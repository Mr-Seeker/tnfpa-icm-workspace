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Effective" sheetId="5" state="visible" r:id="rId5"/>
    <sheet xmlns:r="http://schemas.openxmlformats.org/officeDocument/2006/relationships" name="ValidKeys" sheetId="6" state="visible" r:id="rId6"/>
    <sheet xmlns:r="http://schemas.openxmlformats.org/officeDocument/2006/relationships" name="Mode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Briefing" sheetId="9" state="visible" r:id="rId9"/>
    <sheet xmlns:r="http://schemas.openxmlformats.org/officeDocument/2006/relationships" name="Export_Rows" sheetId="10" state="visible" r:id="rId10"/>
  </sheets>
  <definedNames>
    <definedName name="corr_key">'Corrections'!$H$5:$H$64</definedName>
    <definedName name="corr_value">'Corrections'!$G$5:$G$64</definedName>
    <definedName name="company_name">'Effective'!$B$5</definedName>
    <definedName name="start_month">'Effective'!$B$6</definedName>
    <definedName name="horizon_months">'Effective'!$B$7</definedName>
    <definedName name="tax_rate">'Effective'!$B$8</definedName>
    <definedName name="da_monthly">'Effective'!$B$9</definedName>
    <definedName name="capex_monthly">'Effective'!$B$10</definedName>
    <definedName name="dso_days">'Effective'!$B$11</definedName>
    <definedName name="dpo_days">'Effective'!$B$12</definedName>
    <definedName name="dio_days">'Effective'!$B$13</definedName>
    <definedName name="open_cash">'Effective'!$B$14</definedName>
    <definedName name="open_ar">'Effective'!$B$15</definedName>
    <definedName name="open_ap">'Effective'!$B$16</definedName>
    <definedName name="open_inventory">'Effective'!$B$17</definedName>
    <definedName name="open_nol">'Effective'!$B$18</definedName>
    <definedName name="currency_code">'Effective'!$B$19</definedName>
    <definedName name="currency_symbol">'Effective'!$B$20</definedName>
    <definedName name="number_style">'Effective'!$B$21</definedName>
    <definedName name="display_divisor">'Effective'!$B$22</definedName>
    <definedName name="display_unit">'Effective'!$B$23</definedName>
    <definedName name="valid_keys">'ValidKeys'!$A$3:$A$207</definedName>
    <definedName name="tot_revenue">'Summary'!$B$5</definedName>
    <definedName name="tot_ebitda">'Summary'!$B$9</definedName>
    <definedName name="tot_net_income">'Summary'!$B$14</definedName>
    <definedName name="tot_ending_cash">'Summary'!$B$21</definedName>
    <definedName name="tot_gross_margin">'Summary'!$B$26</definedName>
    <definedName name="tot_free_cash_flow">'Summary'!$B$19</definedName>
    <definedName name="briefing_lines">'Briefing'!$D$10:$D$147</definedName>
    <definedName name="checks_overall">'Checks'!$C$3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[Red]-#,##0"/>
    <numFmt numFmtId="166" formatCode="0.0"/>
    <numFmt numFmtId="167" formatCode="0.0%"/>
    <numFmt numFmtId="168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i val="1"/>
      <color rgb="00595959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" fontId="5" fillId="3" borderId="1" pivotButton="0" quotePrefix="0" xfId="0"/>
    <xf numFmtId="1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164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K01 · Monthly P&amp;L + Cash-Flow Engine (no-code kernel)</t>
        </is>
      </c>
    </row>
    <row r="2"/>
    <row r="3">
      <c r="A3" s="2" t="inlineStr">
        <is>
          <t>Replaces openfpa: pyfpa.cashflow_from_config, revenue/cogs/opex/debt/working_capital/tax models, apply_corrections, model_to_excel, verify_workbook, extract_lines, to_briefing_md, forecast_to_excel.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this file into companies/&lt;slug&gt;/models/ (never edit the kernel copy in 02_kernel/).</t>
        </is>
      </c>
    </row>
    <row r="6">
      <c r="A6" s="2" t="inlineStr">
        <is>
          <t>2. Type drivers ONLY into pale-yellow cells on 'Assumptions' (scalars, up to 8 channels, 15 opex lines, 5 debt instruments).</t>
        </is>
      </c>
    </row>
    <row r="7">
      <c r="A7" s="2" t="inlineStr">
        <is>
          <t>3. Transcribe every memory/corrections/*.md with type: parametric into 'Corrections' (path, value, status, type).</t>
        </is>
      </c>
    </row>
    <row r="8">
      <c r="A8" s="2" t="inlineStr">
        <is>
          <t>4. Let the spreadsheet engine recalculate (Excel, LibreOffice Calc, Google Sheets, OnlyOffice, Zoho Sheet, WPS). Never type numbers into white cells.</t>
        </is>
      </c>
    </row>
    <row r="9">
      <c r="A9" s="2" t="inlineStr">
        <is>
          <t>5. Read 'Checks' first: OVERALL must be PASS before any number leaves the workbook.</t>
        </is>
      </c>
    </row>
    <row r="10">
      <c r="A10" s="2" t="inlineStr">
        <is>
          <t>6. Read results from 'Summary' (headline, Indian-FY and quarterly roll-ups, scoring lines) and 'Briefing' (board markdown).</t>
        </is>
      </c>
    </row>
    <row r="11">
      <c r="A11" s="2" t="inlineStr">
        <is>
          <t>7. 'Export_Rows' is the month-per-row fact table for K08 divestiture and the BI layer (05_bi-and-presentation).</t>
        </is>
      </c>
    </row>
    <row r="12">
      <c r="A12" s="3" t="inlineStr">
        <is>
          <t>Sheet map</t>
        </is>
      </c>
    </row>
    <row r="13">
      <c r="A13" s="2" t="inlineStr">
        <is>
          <t>Assumptions = inputs · Corrections = parametric overrides · Effective = inputs after corrections (formulas) · Model = the engine (one formula per line per month, up to 120 months) · Summary · Briefing · Export_Rows · Checks · ValidKeys.</t>
        </is>
      </c>
    </row>
    <row r="14">
      <c r="A14" s="3" t="inlineStr">
        <is>
          <t>Engine conventions (identical to openfpa kernel)</t>
        </is>
      </c>
    </row>
    <row r="15">
      <c r="A15" s="2" t="inlineStr">
        <is>
          <t>Seasonality is by calendar month and normalised (weight / sum of 12 weights). Growth compounds every 12 forecast months from the start month.</t>
        </is>
      </c>
    </row>
    <row r="16">
      <c r="A16" s="2" t="inlineStr">
        <is>
          <t>COGS = channel revenue x cogs_pct. Fixed opex is constant; variable opex = total revenue x pct. 'total' is a reserved line name.</t>
        </is>
      </c>
    </row>
    <row r="17">
      <c r="A17" s="2" t="inlineStr">
        <is>
          <t>Term loans amortise by monthly_principal (capped at balance); LOCs are interest-only. Interest = opening-of-month balance x rate / 12.</t>
        </is>
      </c>
    </row>
    <row r="18">
      <c r="A18" s="2" t="inlineStr">
        <is>
          <t>EBIT = EBITDA - D&amp;A; pre-tax = EBIT - interest; tax = rate x positive pre-tax after consuming the opening loss carryforward (in-period losses do not create new carryforward).</t>
        </is>
      </c>
    </row>
    <row r="19">
      <c r="A19" s="2" t="inlineStr">
        <is>
          <t>AR = revenue x DSO/30, AP = COGS x DPO/30, Inventory = COGS x DIO/30 (30-day months). Month-1 deltas are versus opening balances: if opening balances differ from the day-count-implied level the whole gap lands in month 1 (the working-capital seam - see W00 CFO judgment).</t>
        </is>
      </c>
    </row>
    <row r="20">
      <c r="A20" s="2" t="inlineStr">
        <is>
          <t>OCF = net income + D&amp;A + working-capital cash impact; FCF = OCF - capex; change in cash = FCF - principal; ending cash is the cumulative roll-forward.</t>
        </is>
      </c>
    </row>
    <row r="21">
      <c r="A21" s="3" t="inlineStr">
        <is>
          <t>Correction precedence (deterministic)</t>
        </is>
      </c>
    </row>
    <row r="22">
      <c r="A22" s="2" t="inlineStr">
        <is>
          <t>Exact path (e.g. channels[0].seasonality[11]) beats a partial wildcard (channels[*].seasonality[11] or channels[0].seasonality[*]) which beats a full wildcard. Indexes are 0-based exactly as in openfpa paths. Only status=applied AND type=parametric rows change the model. Two applied rows on the same path = Checks FAIL (supersede one).</t>
        </is>
      </c>
    </row>
    <row r="23">
      <c r="A23" s="3" t="inlineStr">
        <is>
          <t>Formula vocabulary</t>
        </is>
      </c>
    </row>
    <row r="24">
      <c r="A24" s="2" t="inlineStr">
        <is>
          <t>Only built-in functions available in every major engine: arithmetic, ^, SUM, SUMIF, COUNTIF, INDEX, MATCH, MIN, MAX, ABS, IF, AND, OR, ROUND, INT, MOD, EDATE, MONTH, YEAR, DAY, TEXT, ISNUMBER, LEFT, RIGHT. No macros, scripts, add-ins or external links.</t>
        </is>
      </c>
    </row>
    <row r="25">
      <c r="A25" s="3" t="inlineStr">
        <is>
          <t>Kaveri Chairs (example)</t>
        </is>
      </c>
    </row>
    <row r="26">
      <c r="A26" s="2" t="inlineStr">
        <is>
          <t>FY2026-27 budget, ₹, Indian FY, one applied parametric correction (dealer November seasonality 1.45). GOLDEN rows = reference-engine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Checks - schema validation + accounting invariants. OVERALL must be PASS before use.</t>
        </is>
      </c>
    </row>
    <row r="2"/>
    <row r="3">
      <c r="B3" s="4" t="inlineStr">
        <is>
          <t>OVERALL</t>
        </is>
      </c>
      <c r="C3" s="5">
        <f>IF(COUNTIF(C5:C36,"PASS")=COUNT(A5:A36),"PASS","FAIL")</f>
        <v/>
      </c>
      <c r="D3" s="6">
        <f>COUNTIF(C5:C36,"PASS")&amp;" pass / "&amp;COUNTIF(C5:C36,"FAIL")&amp;" fail / "&amp;(COUNT(A5:A36)-COUNTIF(C5:C36,"PASS")-COUNTIF(C5:C36,"FAIL"))&amp;"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start_month is a date on the 1st of a month</t>
        </is>
      </c>
      <c r="C5" s="6">
        <f>IF(AND(ISNUMBER(Effective!$B$6),DAY(Effective!$B$6)=1),"PASS","FAIL")</f>
        <v/>
      </c>
      <c r="D5" s="6">
        <f>"start_month="&amp;TEXT(Effective!$B$6,"yyyy-mm-dd")</f>
        <v/>
      </c>
    </row>
    <row r="6">
      <c r="A6" t="n">
        <v>2</v>
      </c>
      <c r="B6" t="inlineStr">
        <is>
          <t>horizon_months is an integer 1..120</t>
        </is>
      </c>
      <c r="C6" s="6">
        <f>IF(AND(ISNUMBER(Effective!$B$7),Effective!$B$7&gt;=1,Effective!$B$7&lt;=120,INT(Effective!$B$7)=Effective!$B$7),"PASS","FAIL")</f>
        <v/>
      </c>
      <c r="D6" s="6">
        <f>Effective!$B$7</f>
        <v/>
      </c>
    </row>
    <row r="7">
      <c r="A7" t="n">
        <v>3</v>
      </c>
      <c r="B7" t="inlineStr">
        <is>
          <t>tax_rate within 0..1</t>
        </is>
      </c>
      <c r="C7" s="6">
        <f>IF(AND(Effective!$B$8&gt;=0,Effective!$B$8&lt;=1),"PASS","FAIL")</f>
        <v/>
      </c>
      <c r="D7" s="6">
        <f>Effective!$B$8</f>
        <v/>
      </c>
    </row>
    <row r="8">
      <c r="A8" t="n">
        <v>4</v>
      </c>
      <c r="B8" t="inlineStr">
        <is>
          <t>da_monthly, capex_monthly, WC days, opening NOL are &gt;= 0</t>
        </is>
      </c>
      <c r="C8" s="6">
        <f>IF(AND(Effective!$B$9&gt;=0,Effective!$B$10&gt;=0,Effective!$B$11&gt;=0,Effective!$B$12&gt;=0,Effective!$B$13&gt;=0,Effective!$B$18&gt;=0),"PASS","FAIL")</f>
        <v/>
      </c>
    </row>
    <row r="9">
      <c r="A9" t="n">
        <v>5</v>
      </c>
      <c r="B9" t="inlineStr">
        <is>
          <t>at least one revenue channel</t>
        </is>
      </c>
      <c r="C9" s="6">
        <f>IF(SUMPRODUCT((Effective!$B$26:$B$33&lt;&gt;"")*1)&gt;=1,"PASS","FAIL")</f>
        <v/>
      </c>
      <c r="D9" s="6">
        <f>SUMPRODUCT((Effective!$B$26:$B$33&lt;&gt;"")*1)&amp;" channels"</f>
        <v/>
      </c>
    </row>
    <row r="10">
      <c r="A10" t="n">
        <v>6</v>
      </c>
      <c r="B10" t="inlineStr">
        <is>
          <t>'total' is not used as a channel or opex name (reserved)</t>
        </is>
      </c>
      <c r="C10" s="6">
        <f>IF(COUNTIF(Effective!$B$26:$B$33,"total")+COUNTIF(Effective!$B$36:$B$50,"total")=0,"PASS","FAIL")</f>
        <v/>
      </c>
    </row>
    <row r="11">
      <c r="A11" t="n">
        <v>7</v>
      </c>
      <c r="B11" t="inlineStr">
        <is>
          <t>channel names unique (case-insensitive)</t>
        </is>
      </c>
      <c r="C11" s="6">
        <f>IF((IF(Effective!$B$26="",0,IF(COUNTIF(Effective!$B$26:$B$33,Effective!$B$26)&gt;1,1,0))+IF(Effective!$B$27="",0,IF(COUNTIF(Effective!$B$26:$B$33,Effective!$B$27)&gt;1,1,0))+IF(Effective!$B$28="",0,IF(COUNTIF(Effective!$B$26:$B$33,Effective!$B$28)&gt;1,1,0))+IF(Effective!$B$29="",0,IF(COUNTIF(Effective!$B$26:$B$33,Effective!$B$29)&gt;1,1,0))+IF(Effective!$B$30="",0,IF(COUNTIF(Effective!$B$26:$B$33,Effective!$B$30)&gt;1,1,0))+IF(Effective!$B$31="",0,IF(COUNTIF(Effective!$B$26:$B$33,Effective!$B$31)&gt;1,1,0))+IF(Effective!$B$32="",0,IF(COUNTIF(Effective!$B$26:$B$33,Effective!$B$32)&gt;1,1,0))+IF(Effective!$B$33="",0,IF(COUNTIF(Effective!$B$26:$B$33,Effective!$B$33)&gt;1,1,0)))=0,"PASS","FAIL")</f>
        <v/>
      </c>
    </row>
    <row r="12">
      <c r="A12" t="n">
        <v>8</v>
      </c>
      <c r="B12" t="inlineStr">
        <is>
          <t>opex names unique (case-insensitive)</t>
        </is>
      </c>
      <c r="C12" s="6">
        <f>IF((IF(Effective!$B$36="",0,IF(COUNTIF(Effective!$B$36:$B$50,Effective!$B$36)&gt;1,1,0))+IF(Effective!$B$37="",0,IF(COUNTIF(Effective!$B$36:$B$50,Effective!$B$37)&gt;1,1,0))+IF(Effective!$B$38="",0,IF(COUNTIF(Effective!$B$36:$B$50,Effective!$B$38)&gt;1,1,0))+IF(Effective!$B$39="",0,IF(COUNTIF(Effective!$B$36:$B$50,Effective!$B$39)&gt;1,1,0))+IF(Effective!$B$40="",0,IF(COUNTIF(Effective!$B$36:$B$50,Effective!$B$40)&gt;1,1,0))+IF(Effective!$B$41="",0,IF(COUNTIF(Effective!$B$36:$B$50,Effective!$B$41)&gt;1,1,0))+IF(Effective!$B$42="",0,IF(COUNTIF(Effective!$B$36:$B$50,Effective!$B$42)&gt;1,1,0))+IF(Effective!$B$43="",0,IF(COUNTIF(Effective!$B$36:$B$50,Effective!$B$43)&gt;1,1,0))+IF(Effective!$B$44="",0,IF(COUNTIF(Effective!$B$36:$B$50,Effective!$B$44)&gt;1,1,0))+IF(Effective!$B$45="",0,IF(COUNTIF(Effective!$B$36:$B$50,Effective!$B$45)&gt;1,1,0))+IF(Effective!$B$46="",0,IF(COUNTIF(Effective!$B$36:$B$50,Effective!$B$46)&gt;1,1,0))+IF(Effective!$B$47="",0,IF(COUNTIF(Effective!$B$36:$B$50,Effective!$B$47)&gt;1,1,0))+IF(Effective!$B$48="",0,IF(COUNTIF(Effective!$B$36:$B$50,Effective!$B$48)&gt;1,1,0))+IF(Effective!$B$49="",0,IF(COUNTIF(Effective!$B$36:$B$50,Effective!$B$49)&gt;1,1,0))+IF(Effective!$B$50="",0,IF(COUNTIF(Effective!$B$36:$B$50,Effective!$B$50)&gt;1,1,0)))=0,"PASS","FAIL")</f>
        <v/>
      </c>
    </row>
    <row r="13">
      <c r="A13" t="n">
        <v>9</v>
      </c>
      <c r="B13" t="inlineStr">
        <is>
          <t>debt names unique (case-insensitive)</t>
        </is>
      </c>
      <c r="C13" s="6">
        <f>IF((IF(Effective!$B$53="",0,IF(COUNTIF(Effective!$B$53:$B$57,Effective!$B$53)&gt;1,1,0))+IF(Effective!$B$54="",0,IF(COUNTIF(Effective!$B$53:$B$57,Effective!$B$54)&gt;1,1,0))+IF(Effective!$B$55="",0,IF(COUNTIF(Effective!$B$53:$B$57,Effective!$B$55)&gt;1,1,0))+IF(Effective!$B$56="",0,IF(COUNTIF(Effective!$B$53:$B$57,Effective!$B$56)&gt;1,1,0))+IF(Effective!$B$57="",0,IF(COUNTIF(Effective!$B$53:$B$57,Effective!$B$57)&gt;1,1,0)))=0,"PASS","FAIL")</f>
        <v/>
      </c>
    </row>
    <row r="14">
      <c r="A14" t="n">
        <v>10</v>
      </c>
      <c r="B14" t="inlineStr">
        <is>
          <t>channel fields valid (revenue&gt;=0, growth&gt;-100%, 0&lt;=cogs_pct&lt;=1, 12 seasonality weights with positive sum; unnamed rows empty)</t>
        </is>
      </c>
      <c r="C14" s="6">
        <f>IF(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=0,"PASS","FAIL")</f>
        <v/>
      </c>
      <c r="D14" s="6">
        <f>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&amp;" bad channel rows"</f>
        <v/>
      </c>
    </row>
    <row r="15">
      <c r="A15" t="n">
        <v>11</v>
      </c>
      <c r="B15" t="inlineStr">
        <is>
          <t>opex kind is fixed or variable for every named line</t>
        </is>
      </c>
      <c r="C15" s="6">
        <f>IF((IF(Effective!$B$36="",0,IF(OR(Effective!$C$36="fixed",Effective!$C$36="variable"),0,1))+IF(Effective!$B$37="",0,IF(OR(Effective!$C$37="fixed",Effective!$C$37="variable"),0,1))+IF(Effective!$B$38="",0,IF(OR(Effective!$C$38="fixed",Effective!$C$38="variable"),0,1))+IF(Effective!$B$39="",0,IF(OR(Effective!$C$39="fixed",Effective!$C$39="variable"),0,1))+IF(Effective!$B$40="",0,IF(OR(Effective!$C$40="fixed",Effective!$C$40="variable"),0,1))+IF(Effective!$B$41="",0,IF(OR(Effective!$C$41="fixed",Effective!$C$41="variable"),0,1))+IF(Effective!$B$42="",0,IF(OR(Effective!$C$42="fixed",Effective!$C$42="variable"),0,1))+IF(Effective!$B$43="",0,IF(OR(Effective!$C$43="fixed",Effective!$C$43="variable"),0,1))+IF(Effective!$B$44="",0,IF(OR(Effective!$C$44="fixed",Effective!$C$44="variable"),0,1))+IF(Effective!$B$45="",0,IF(OR(Effective!$C$45="fixed",Effective!$C$45="variable"),0,1))+IF(Effective!$B$46="",0,IF(OR(Effective!$C$46="fixed",Effective!$C$46="variable"),0,1))+IF(Effective!$B$47="",0,IF(OR(Effective!$C$47="fixed",Effective!$C$47="variable"),0,1))+IF(Effective!$B$48="",0,IF(OR(Effective!$C$48="fixed",Effective!$C$48="variable"),0,1))+IF(Effective!$B$49="",0,IF(OR(Effective!$C$49="fixed",Effective!$C$49="variable"),0,1))+IF(Effective!$B$50="",0,IF(OR(Effective!$C$50="fixed",Effective!$C$50="variable"),0,1)))=0,"PASS","FAIL")</f>
        <v/>
      </c>
    </row>
    <row r="16">
      <c r="A16" t="n">
        <v>12</v>
      </c>
      <c r="B16" t="inlineStr">
        <is>
          <t>debt kind term_loan/loc and balances/rates/principal &gt;= 0</t>
        </is>
      </c>
      <c r="C16" s="6">
        <f>IF((IF(Effective!$B$53="",0,IF(AND(OR(Effective!$C$53="term_loan",Effective!$C$53="loc"),Effective!$D$53&gt;=0,Effective!$E$53&gt;=0,Effective!$F$53&gt;=0),0,1))+IF(Effective!$B$54="",0,IF(AND(OR(Effective!$C$54="term_loan",Effective!$C$54="loc"),Effective!$D$54&gt;=0,Effective!$E$54&gt;=0,Effective!$F$54&gt;=0),0,1))+IF(Effective!$B$55="",0,IF(AND(OR(Effective!$C$55="term_loan",Effective!$C$55="loc"),Effective!$D$55&gt;=0,Effective!$E$55&gt;=0,Effective!$F$55&gt;=0),0,1))+IF(Effective!$B$56="",0,IF(AND(OR(Effective!$C$56="term_loan",Effective!$C$56="loc"),Effective!$D$56&gt;=0,Effective!$E$56&gt;=0,Effective!$F$56&gt;=0),0,1))+IF(Effective!$B$57="",0,IF(AND(OR(Effective!$C$57="term_loan",Effective!$C$57="loc"),Effective!$D$57&gt;=0,Effective!$E$57&gt;=0,Effective!$F$57&gt;=0),0,1)))=0,"PASS","FAIL")</f>
        <v/>
      </c>
    </row>
    <row r="17">
      <c r="A17" t="n">
        <v>13</v>
      </c>
      <c r="B17" t="inlineStr">
        <is>
          <t>no two applied parametric corrections on the same path</t>
        </is>
      </c>
      <c r="C17" s="6">
        <f>IF(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=0,"PASS","FAIL")</f>
        <v/>
      </c>
      <c r="D17" s="6">
        <f>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&amp;" duplicate rows"</f>
        <v/>
      </c>
    </row>
    <row r="18">
      <c r="A18" t="n">
        <v>14</v>
      </c>
      <c r="B18" t="inlineStr">
        <is>
          <t>every applied parametric correction path resolves (see ValidKeys)</t>
        </is>
      </c>
      <c r="C18" s="6">
        <f>IF(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=0,"PASS","FAIL")</f>
        <v/>
      </c>
      <c r="D18" s="6">
        <f>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&amp;" unresolved"</f>
        <v/>
      </c>
    </row>
    <row r="19">
      <c r="A19" t="n">
        <v>15</v>
      </c>
      <c r="B19" t="inlineStr">
        <is>
          <t>every applied parametric correction has a numeric value</t>
        </is>
      </c>
      <c r="C19" s="6">
        <f>IF((IF(RIGHT(Corrections!$H$5,19)="|applied|parametric",IF(ISNUMBER(Corrections!$G$5),0,1),0)+IF(RIGHT(Corrections!$H$6,19)="|applied|parametric",IF(ISNUMBER(Corrections!$G$6),0,1),0)+IF(RIGHT(Corrections!$H$7,19)="|applied|parametric",IF(ISNUMBER(Corrections!$G$7),0,1),0)+IF(RIGHT(Corrections!$H$8,19)="|applied|parametric",IF(ISNUMBER(Corrections!$G$8),0,1),0)+IF(RIGHT(Corrections!$H$9,19)="|applied|parametric",IF(ISNUMBER(Corrections!$G$9),0,1),0)+IF(RIGHT(Corrections!$H$10,19)="|applied|parametric",IF(ISNUMBER(Corrections!$G$10),0,1),0)+IF(RIGHT(Corrections!$H$11,19)="|applied|parametric",IF(ISNUMBER(Corrections!$G$11),0,1),0)+IF(RIGHT(Corrections!$H$12,19)="|applied|parametric",IF(ISNUMBER(Corrections!$G$12),0,1),0)+IF(RIGHT(Corrections!$H$13,19)="|applied|parametric",IF(ISNUMBER(Corrections!$G$13),0,1),0)+IF(RIGHT(Corrections!$H$14,19)="|applied|parametric",IF(ISNUMBER(Corrections!$G$14),0,1),0)+IF(RIGHT(Corrections!$H$15,19)="|applied|parametric",IF(ISNUMBER(Corrections!$G$15),0,1),0)+IF(RIGHT(Corrections!$H$16,19)="|applied|parametric",IF(ISNUMBER(Corrections!$G$16),0,1),0)+IF(RIGHT(Corrections!$H$17,19)="|applied|parametric",IF(ISNUMBER(Corrections!$G$17),0,1),0)+IF(RIGHT(Corrections!$H$18,19)="|applied|parametric",IF(ISNUMBER(Corrections!$G$18),0,1),0)+IF(RIGHT(Corrections!$H$19,19)="|applied|parametric",IF(ISNUMBER(Corrections!$G$19),0,1),0)+IF(RIGHT(Corrections!$H$20,19)="|applied|parametric",IF(ISNUMBER(Corrections!$G$20),0,1),0)+IF(RIGHT(Corrections!$H$21,19)="|applied|parametric",IF(ISNUMBER(Corrections!$G$21),0,1),0)+IF(RIGHT(Corrections!$H$22,19)="|applied|parametric",IF(ISNUMBER(Corrections!$G$22),0,1),0)+IF(RIGHT(Corrections!$H$23,19)="|applied|parametric",IF(ISNUMBER(Corrections!$G$23),0,1),0)+IF(RIGHT(Corrections!$H$24,19)="|applied|parametric",IF(ISNUMBER(Corrections!$G$24),0,1),0)+IF(RIGHT(Corrections!$H$25,19)="|applied|parametric",IF(ISNUMBER(Corrections!$G$25),0,1),0)+IF(RIGHT(Corrections!$H$26,19)="|applied|parametric",IF(ISNUMBER(Corrections!$G$26),0,1),0)+IF(RIGHT(Corrections!$H$27,19)="|applied|parametric",IF(ISNUMBER(Corrections!$G$27),0,1),0)+IF(RIGHT(Corrections!$H$28,19)="|applied|parametric",IF(ISNUMBER(Corrections!$G$28),0,1),0)+IF(RIGHT(Corrections!$H$29,19)="|applied|parametric",IF(ISNUMBER(Corrections!$G$29),0,1),0)+IF(RIGHT(Corrections!$H$30,19)="|applied|parametric",IF(ISNUMBER(Corrections!$G$30),0,1),0)+IF(RIGHT(Corrections!$H$31,19)="|applied|parametric",IF(ISNUMBER(Corrections!$G$31),0,1),0)+IF(RIGHT(Corrections!$H$32,19)="|applied|parametric",IF(ISNUMBER(Corrections!$G$32),0,1),0)+IF(RIGHT(Corrections!$H$33,19)="|applied|parametric",IF(ISNUMBER(Corrections!$G$33),0,1),0)+IF(RIGHT(Corrections!$H$34,19)="|applied|parametric",IF(ISNUMBER(Corrections!$G$34),0,1),0)+IF(RIGHT(Corrections!$H$35,19)="|applied|parametric",IF(ISNUMBER(Corrections!$G$35),0,1),0)+IF(RIGHT(Corrections!$H$36,19)="|applied|parametric",IF(ISNUMBER(Corrections!$G$36),0,1),0)+IF(RIGHT(Corrections!$H$37,19)="|applied|parametric",IF(ISNUMBER(Corrections!$G$37),0,1),0)+IF(RIGHT(Corrections!$H$38,19)="|applied|parametric",IF(ISNUMBER(Corrections!$G$38),0,1),0)+IF(RIGHT(Corrections!$H$39,19)="|applied|parametric",IF(ISNUMBER(Corrections!$G$39),0,1),0)+IF(RIGHT(Corrections!$H$40,19)="|applied|parametric",IF(ISNUMBER(Corrections!$G$40),0,1),0)+IF(RIGHT(Corrections!$H$41,19)="|applied|parametric",IF(ISNUMBER(Corrections!$G$41),0,1),0)+IF(RIGHT(Corrections!$H$42,19)="|applied|parametric",IF(ISNUMBER(Corrections!$G$42),0,1),0)+IF(RIGHT(Corrections!$H$43,19)="|applied|parametric",IF(ISNUMBER(Corrections!$G$43),0,1),0)+IF(RIGHT(Corrections!$H$44,19)="|applied|parametric",IF(ISNUMBER(Corrections!$G$44),0,1),0)+IF(RIGHT(Corrections!$H$45,19)="|applied|parametric",IF(ISNUMBER(Corrections!$G$45),0,1),0)+IF(RIGHT(Corrections!$H$46,19)="|applied|parametric",IF(ISNUMBER(Corrections!$G$46),0,1),0)+IF(RIGHT(Corrections!$H$47,19)="|applied|parametric",IF(ISNUMBER(Corrections!$G$47),0,1),0)+IF(RIGHT(Corrections!$H$48,19)="|applied|parametric",IF(ISNUMBER(Corrections!$G$48),0,1),0)+IF(RIGHT(Corrections!$H$49,19)="|applied|parametric",IF(ISNUMBER(Corrections!$G$49),0,1),0)+IF(RIGHT(Corrections!$H$50,19)="|applied|parametric",IF(ISNUMBER(Corrections!$G$50),0,1),0)+IF(RIGHT(Corrections!$H$51,19)="|applied|parametric",IF(ISNUMBER(Corrections!$G$51),0,1),0)+IF(RIGHT(Corrections!$H$52,19)="|applied|parametric",IF(ISNUMBER(Corrections!$G$52),0,1),0)+IF(RIGHT(Corrections!$H$53,19)="|applied|parametric",IF(ISNUMBER(Corrections!$G$53),0,1),0)+IF(RIGHT(Corrections!$H$54,19)="|applied|parametric",IF(ISNUMBER(Corrections!$G$54),0,1),0)+IF(RIGHT(Corrections!$H$55,19)="|applied|parametric",IF(ISNUMBER(Corrections!$G$55),0,1),0)+IF(RIGHT(Corrections!$H$56,19)="|applied|parametric",IF(ISNUMBER(Corrections!$G$56),0,1),0)+IF(RIGHT(Corrections!$H$57,19)="|applied|parametric",IF(ISNUMBER(Corrections!$G$57),0,1),0)+IF(RIGHT(Corrections!$H$58,19)="|applied|parametric",IF(ISNUMBER(Corrections!$G$58),0,1),0)+IF(RIGHT(Corrections!$H$59,19)="|applied|parametric",IF(ISNUMBER(Corrections!$G$59),0,1),0)+IF(RIGHT(Corrections!$H$60,19)="|applied|parametric",IF(ISNUMBER(Corrections!$G$60),0,1),0)+IF(RIGHT(Corrections!$H$61,19)="|applied|parametric",IF(ISNUMBER(Corrections!$G$61),0,1),0)+IF(RIGHT(Corrections!$H$62,19)="|applied|parametric",IF(ISNUMBER(Corrections!$G$62),0,1),0)+IF(RIGHT(Corrections!$H$63,19)="|applied|parametric",IF(ISNUMBER(Corrections!$G$63),0,1),0)+IF(RIGHT(Corrections!$H$64,19)="|applied|parametric",IF(ISNUMBER(Corrections!$G$64),0,1),0))=0,"PASS","FAIL")</f>
        <v/>
      </c>
    </row>
    <row r="20">
      <c r="A20" t="n">
        <v>16</v>
      </c>
      <c r="B20" t="inlineStr">
        <is>
          <t>revenue = sum of channel revenue (every month)</t>
        </is>
      </c>
      <c r="C20" s="6">
        <f>IF(MAX($E$60:$DS$60)&lt;=0.005,"PASS","FAIL")</f>
        <v/>
      </c>
      <c r="D20" s="6">
        <f>ROUND(MAX($E$60:$DS$60),6)</f>
        <v/>
      </c>
    </row>
    <row r="21">
      <c r="A21" t="n">
        <v>17</v>
      </c>
      <c r="B21" t="inlineStr">
        <is>
          <t>gross_profit = revenue - cogs (every month)</t>
        </is>
      </c>
      <c r="C21" s="6">
        <f>IF(MAX($E$61:$DS$61)&lt;=0.005,"PASS","FAIL")</f>
        <v/>
      </c>
      <c r="D21" s="6">
        <f>ROUND(MAX($E$61:$DS$61),6)</f>
        <v/>
      </c>
    </row>
    <row r="22">
      <c r="A22" t="n">
        <v>18</v>
      </c>
      <c r="B22" t="inlineStr">
        <is>
          <t>ebitda = gross_profit - opex (every month)</t>
        </is>
      </c>
      <c r="C22" s="6">
        <f>IF(MAX($E$62:$DS$62)&lt;=0.005,"PASS","FAIL")</f>
        <v/>
      </c>
      <c r="D22" s="6">
        <f>ROUND(MAX($E$62:$DS$62),6)</f>
        <v/>
      </c>
    </row>
    <row r="23">
      <c r="A23" t="n">
        <v>19</v>
      </c>
      <c r="B23" t="inlineStr">
        <is>
          <t>pretax = ebitda - da - interest (every month)</t>
        </is>
      </c>
      <c r="C23" s="6">
        <f>IF(MAX($E$63:$DS$63)&lt;=0.005,"PASS","FAIL")</f>
        <v/>
      </c>
      <c r="D23" s="6">
        <f>ROUND(MAX($E$63:$DS$63),6)</f>
        <v/>
      </c>
    </row>
    <row r="24">
      <c r="A24" t="n">
        <v>20</v>
      </c>
      <c r="B24" t="inlineStr">
        <is>
          <t>net_income = pretax - tax (every month)</t>
        </is>
      </c>
      <c r="C24" s="6">
        <f>IF(MAX($E$64:$DS$64)&lt;=0.005,"PASS","FAIL")</f>
        <v/>
      </c>
      <c r="D24" s="6">
        <f>ROUND(MAX($E$64:$DS$64),6)</f>
        <v/>
      </c>
    </row>
    <row r="25">
      <c r="A25" t="n">
        <v>21</v>
      </c>
      <c r="B25" t="inlineStr">
        <is>
          <t>operating_cash_flow = net_income + da + wc_cash_impact (every month)</t>
        </is>
      </c>
      <c r="C25" s="6">
        <f>IF(MAX($E$65:$DS$65)&lt;=0.005,"PASS","FAIL")</f>
        <v/>
      </c>
      <c r="D25" s="6">
        <f>ROUND(MAX($E$65:$DS$65),6)</f>
        <v/>
      </c>
    </row>
    <row r="26">
      <c r="A26" t="n">
        <v>22</v>
      </c>
      <c r="B26" t="inlineStr">
        <is>
          <t>free_cash_flow = ocf - capex (every month)</t>
        </is>
      </c>
      <c r="C26" s="6">
        <f>IF(MAX($E$66:$DS$66)&lt;=0.005,"PASS","FAIL")</f>
        <v/>
      </c>
      <c r="D26" s="6">
        <f>ROUND(MAX($E$66:$DS$66),6)</f>
        <v/>
      </c>
    </row>
    <row r="27">
      <c r="A27" t="n">
        <v>23</v>
      </c>
      <c r="B27" t="inlineStr">
        <is>
          <t>change_in_cash = fcf - principal (every month)</t>
        </is>
      </c>
      <c r="C27" s="6">
        <f>IF(MAX($E$67:$DS$67)&lt;=0.005,"PASS","FAIL")</f>
        <v/>
      </c>
      <c r="D27" s="6">
        <f>ROUND(MAX($E$67:$DS$67),6)</f>
        <v/>
      </c>
    </row>
    <row r="28">
      <c r="A28" t="n">
        <v>24</v>
      </c>
      <c r="B28" t="inlineStr">
        <is>
          <t>tax is never negative (every month)</t>
        </is>
      </c>
      <c r="C28" s="6">
        <f>IF(MAX($E$68:$DS$68)&lt;=0.005,"PASS","FAIL")</f>
        <v/>
      </c>
      <c r="D28" s="6">
        <f>ROUND(MAX($E$68:$DS$68),6)</f>
        <v/>
      </c>
    </row>
    <row r="29">
      <c r="A29" t="n">
        <v>25</v>
      </c>
      <c r="B29" t="inlineStr">
        <is>
          <t>tax-loss carryforward never negative (every month)</t>
        </is>
      </c>
      <c r="C29" s="6">
        <f>IF(MAX($E$69:$DS$69)&lt;=0.005,"PASS","FAIL")</f>
        <v/>
      </c>
      <c r="D29" s="6">
        <f>ROUND(MAX($E$69:$DS$69),6)</f>
        <v/>
      </c>
    </row>
    <row r="30">
      <c r="A30" t="n">
        <v>26</v>
      </c>
      <c r="B30" t="inlineStr">
        <is>
          <t>ending cash = opening cash + cumulative change in cash</t>
        </is>
      </c>
      <c r="C30" s="6">
        <f>IF(ABS(Summary!$B$21-(Effective!$B$14+SUM(Model!$C$78:$DR$78)))&lt;=0.005,"PASS","FAIL")</f>
        <v/>
      </c>
      <c r="D30" s="6">
        <f>ROUND(ABS(Summary!$B$21-(Effective!$B$14+SUM(Model!$C$78:$DR$78))),6)</f>
        <v/>
      </c>
    </row>
    <row r="31">
      <c r="A31" t="n">
        <v>27</v>
      </c>
      <c r="B31" t="inlineStr">
        <is>
          <t>debt roll-forward: sum opening debt - principal paid = ending debt</t>
        </is>
      </c>
      <c r="C31" s="6">
        <f>IF(ABS(INDEX(Model!$C$64:$DR$64,1,Effective!$B$7)-(SUM(Effective!$D$53:$D$57)-SUM(Model!$C$63:$DR$63)))&lt;=0.005,"PASS","FAIL")</f>
        <v/>
      </c>
      <c r="D31" s="6">
        <f>ROUND(ABS(INDEX(Model!$C$64:$DR$64,1,Effective!$B$7)-(SUM(Effective!$D$53:$D$57)-SUM(Model!$C$63:$DR$63))),6)</f>
        <v/>
      </c>
    </row>
    <row r="32">
      <c r="A32" t="n">
        <v>28</v>
      </c>
      <c r="B32" t="inlineStr">
        <is>
          <t>cumulative WC impact = -(closing AR - open AR) + (closing AP - open AP) - (closing inv - open inv)</t>
        </is>
      </c>
      <c r="C32" s="6">
        <f>IF(ABS(SUM(Model!$C$74:$DR$74)-(-(INDEX(Model!$C$71:$DR$71,1,Effective!$B$7)-Effective!$B$15)+(INDEX(Model!$C$72:$DR$72,1,Effective!$B$7)-Effective!$B$16)-(INDEX(Model!$C$73:$DR$73,1,Effective!$B$7)-Effective!$B$17)))&lt;=0.005,"PASS","FAIL")</f>
        <v/>
      </c>
      <c r="D32" s="6">
        <f>ROUND(ABS(SUM(Model!$C$74:$DR$74)-(-(INDEX(Model!$C$71:$DR$71,1,Effective!$B$7)-Effective!$B$15)+(INDEX(Model!$C$72:$DR$72,1,Effective!$B$7)-Effective!$B$16)-(INDEX(Model!$C$73:$DR$73,1,Effective!$B$7)-Effective!$B$17))),6)</f>
        <v/>
      </c>
    </row>
    <row r="33">
      <c r="A33" t="n">
        <v>29</v>
      </c>
      <c r="B33" t="inlineStr">
        <is>
          <t>GOLDEN parity with original openfpa output: revenue = 350,000,000</t>
        </is>
      </c>
      <c r="C33" s="6">
        <f>IF(ABS(ROUND(Summary!$B$5,0)-(350000000))&lt;=1,"PASS","FAIL")</f>
        <v/>
      </c>
      <c r="D33" s="6">
        <f>ROUND(Summary!$B$5,0)</f>
        <v/>
      </c>
    </row>
    <row r="34">
      <c r="A34" t="n">
        <v>30</v>
      </c>
      <c r="B34" t="inlineStr">
        <is>
          <t>GOLDEN parity with original openfpa output: ebitda = 62,900,000</t>
        </is>
      </c>
      <c r="C34" s="6">
        <f>IF(ABS(ROUND(Summary!$B$9,0)-(62900000))&lt;=1,"PASS","FAIL")</f>
        <v/>
      </c>
      <c r="D34" s="6">
        <f>ROUND(Summary!$B$9,0)</f>
        <v/>
      </c>
    </row>
    <row r="35">
      <c r="A35" t="n">
        <v>31</v>
      </c>
      <c r="B35" t="inlineStr">
        <is>
          <t>GOLDEN parity with original openfpa output: net_income = 35,022,779</t>
        </is>
      </c>
      <c r="C35" s="6">
        <f>IF(ABS(ROUND(Summary!$B$14,0)-(35022779))&lt;=1,"PASS","FAIL")</f>
        <v/>
      </c>
      <c r="D35" s="6">
        <f>ROUND(Summary!$B$14,0)</f>
        <v/>
      </c>
    </row>
    <row r="36">
      <c r="A36" t="n">
        <v>32</v>
      </c>
      <c r="B36" t="inlineStr">
        <is>
          <t>GOLDEN parity with original openfpa output: ending_cash = 45,445,776</t>
        </is>
      </c>
      <c r="C36" s="6">
        <f>IF(ABS(ROUND(Summary!$B$21,0)-(45445776))&lt;=1,"PASS","FAIL")</f>
        <v/>
      </c>
      <c r="D36" s="6">
        <f>ROUND(Summary!$B$21,0)</f>
        <v/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" t="inlineStr">
        <is>
          <t>Identity helper rows (absolute deviation per month)</t>
        </is>
      </c>
    </row>
    <row r="60">
      <c r="B60" t="inlineStr">
        <is>
          <t>revenue = sum of channel revenue</t>
        </is>
      </c>
      <c r="E60">
        <f>ABS(Model!C18-SUM(Model!C10:C17))</f>
        <v/>
      </c>
      <c r="F60">
        <f>ABS(Model!D18-SUM(Model!D10:D17))</f>
        <v/>
      </c>
      <c r="G60">
        <f>ABS(Model!E18-SUM(Model!E10:E17))</f>
        <v/>
      </c>
      <c r="H60">
        <f>ABS(Model!F18-SUM(Model!F10:F17))</f>
        <v/>
      </c>
      <c r="I60">
        <f>ABS(Model!G18-SUM(Model!G10:G17))</f>
        <v/>
      </c>
      <c r="J60">
        <f>ABS(Model!H18-SUM(Model!H10:H17))</f>
        <v/>
      </c>
      <c r="K60">
        <f>ABS(Model!I18-SUM(Model!I10:I17))</f>
        <v/>
      </c>
      <c r="L60">
        <f>ABS(Model!J18-SUM(Model!J10:J17))</f>
        <v/>
      </c>
      <c r="M60">
        <f>ABS(Model!K18-SUM(Model!K10:K17))</f>
        <v/>
      </c>
      <c r="N60">
        <f>ABS(Model!L18-SUM(Model!L10:L17))</f>
        <v/>
      </c>
      <c r="O60">
        <f>ABS(Model!M18-SUM(Model!M10:M17))</f>
        <v/>
      </c>
      <c r="P60">
        <f>ABS(Model!N18-SUM(Model!N10:N17))</f>
        <v/>
      </c>
      <c r="Q60">
        <f>ABS(Model!O18-SUM(Model!O10:O17))</f>
        <v/>
      </c>
      <c r="R60">
        <f>ABS(Model!P18-SUM(Model!P10:P17))</f>
        <v/>
      </c>
      <c r="S60">
        <f>ABS(Model!Q18-SUM(Model!Q10:Q17))</f>
        <v/>
      </c>
      <c r="T60">
        <f>ABS(Model!R18-SUM(Model!R10:R17))</f>
        <v/>
      </c>
      <c r="U60">
        <f>ABS(Model!S18-SUM(Model!S10:S17))</f>
        <v/>
      </c>
      <c r="V60">
        <f>ABS(Model!T18-SUM(Model!T10:T17))</f>
        <v/>
      </c>
      <c r="W60">
        <f>ABS(Model!U18-SUM(Model!U10:U17))</f>
        <v/>
      </c>
      <c r="X60">
        <f>ABS(Model!V18-SUM(Model!V10:V17))</f>
        <v/>
      </c>
      <c r="Y60">
        <f>ABS(Model!W18-SUM(Model!W10:W17))</f>
        <v/>
      </c>
      <c r="Z60">
        <f>ABS(Model!X18-SUM(Model!X10:X17))</f>
        <v/>
      </c>
      <c r="AA60">
        <f>ABS(Model!Y18-SUM(Model!Y10:Y17))</f>
        <v/>
      </c>
      <c r="AB60">
        <f>ABS(Model!Z18-SUM(Model!Z10:Z17))</f>
        <v/>
      </c>
      <c r="AC60">
        <f>ABS(Model!AA18-SUM(Model!AA10:AA17))</f>
        <v/>
      </c>
      <c r="AD60">
        <f>ABS(Model!AB18-SUM(Model!AB10:AB17))</f>
        <v/>
      </c>
      <c r="AE60">
        <f>ABS(Model!AC18-SUM(Model!AC10:AC17))</f>
        <v/>
      </c>
      <c r="AF60">
        <f>ABS(Model!AD18-SUM(Model!AD10:AD17))</f>
        <v/>
      </c>
      <c r="AG60">
        <f>ABS(Model!AE18-SUM(Model!AE10:AE17))</f>
        <v/>
      </c>
      <c r="AH60">
        <f>ABS(Model!AF18-SUM(Model!AF10:AF17))</f>
        <v/>
      </c>
      <c r="AI60">
        <f>ABS(Model!AG18-SUM(Model!AG10:AG17))</f>
        <v/>
      </c>
      <c r="AJ60">
        <f>ABS(Model!AH18-SUM(Model!AH10:AH17))</f>
        <v/>
      </c>
      <c r="AK60">
        <f>ABS(Model!AI18-SUM(Model!AI10:AI17))</f>
        <v/>
      </c>
      <c r="AL60">
        <f>ABS(Model!AJ18-SUM(Model!AJ10:AJ17))</f>
        <v/>
      </c>
      <c r="AM60">
        <f>ABS(Model!AK18-SUM(Model!AK10:AK17))</f>
        <v/>
      </c>
      <c r="AN60">
        <f>ABS(Model!AL18-SUM(Model!AL10:AL17))</f>
        <v/>
      </c>
      <c r="AO60">
        <f>ABS(Model!AM18-SUM(Model!AM10:AM17))</f>
        <v/>
      </c>
      <c r="AP60">
        <f>ABS(Model!AN18-SUM(Model!AN10:AN17))</f>
        <v/>
      </c>
      <c r="AQ60">
        <f>ABS(Model!AO18-SUM(Model!AO10:AO17))</f>
        <v/>
      </c>
      <c r="AR60">
        <f>ABS(Model!AP18-SUM(Model!AP10:AP17))</f>
        <v/>
      </c>
      <c r="AS60">
        <f>ABS(Model!AQ18-SUM(Model!AQ10:AQ17))</f>
        <v/>
      </c>
      <c r="AT60">
        <f>ABS(Model!AR18-SUM(Model!AR10:AR17))</f>
        <v/>
      </c>
      <c r="AU60">
        <f>ABS(Model!AS18-SUM(Model!AS10:AS17))</f>
        <v/>
      </c>
      <c r="AV60">
        <f>ABS(Model!AT18-SUM(Model!AT10:AT17))</f>
        <v/>
      </c>
      <c r="AW60">
        <f>ABS(Model!AU18-SUM(Model!AU10:AU17))</f>
        <v/>
      </c>
      <c r="AX60">
        <f>ABS(Model!AV18-SUM(Model!AV10:AV17))</f>
        <v/>
      </c>
      <c r="AY60">
        <f>ABS(Model!AW18-SUM(Model!AW10:AW17))</f>
        <v/>
      </c>
      <c r="AZ60">
        <f>ABS(Model!AX18-SUM(Model!AX10:AX17))</f>
        <v/>
      </c>
      <c r="BA60">
        <f>ABS(Model!AY18-SUM(Model!AY10:AY17))</f>
        <v/>
      </c>
      <c r="BB60">
        <f>ABS(Model!AZ18-SUM(Model!AZ10:AZ17))</f>
        <v/>
      </c>
      <c r="BC60">
        <f>ABS(Model!BA18-SUM(Model!BA10:BA17))</f>
        <v/>
      </c>
      <c r="BD60">
        <f>ABS(Model!BB18-SUM(Model!BB10:BB17))</f>
        <v/>
      </c>
      <c r="BE60">
        <f>ABS(Model!BC18-SUM(Model!BC10:BC17))</f>
        <v/>
      </c>
      <c r="BF60">
        <f>ABS(Model!BD18-SUM(Model!BD10:BD17))</f>
        <v/>
      </c>
      <c r="BG60">
        <f>ABS(Model!BE18-SUM(Model!BE10:BE17))</f>
        <v/>
      </c>
      <c r="BH60">
        <f>ABS(Model!BF18-SUM(Model!BF10:BF17))</f>
        <v/>
      </c>
      <c r="BI60">
        <f>ABS(Model!BG18-SUM(Model!BG10:BG17))</f>
        <v/>
      </c>
      <c r="BJ60">
        <f>ABS(Model!BH18-SUM(Model!BH10:BH17))</f>
        <v/>
      </c>
      <c r="BK60">
        <f>ABS(Model!BI18-SUM(Model!BI10:BI17))</f>
        <v/>
      </c>
      <c r="BL60">
        <f>ABS(Model!BJ18-SUM(Model!BJ10:BJ17))</f>
        <v/>
      </c>
      <c r="BM60">
        <f>ABS(Model!BK18-SUM(Model!BK10:BK17))</f>
        <v/>
      </c>
      <c r="BN60">
        <f>ABS(Model!BL18-SUM(Model!BL10:BL17))</f>
        <v/>
      </c>
      <c r="BO60">
        <f>ABS(Model!BM18-SUM(Model!BM10:BM17))</f>
        <v/>
      </c>
      <c r="BP60">
        <f>ABS(Model!BN18-SUM(Model!BN10:BN17))</f>
        <v/>
      </c>
      <c r="BQ60">
        <f>ABS(Model!BO18-SUM(Model!BO10:BO17))</f>
        <v/>
      </c>
      <c r="BR60">
        <f>ABS(Model!BP18-SUM(Model!BP10:BP17))</f>
        <v/>
      </c>
      <c r="BS60">
        <f>ABS(Model!BQ18-SUM(Model!BQ10:BQ17))</f>
        <v/>
      </c>
      <c r="BT60">
        <f>ABS(Model!BR18-SUM(Model!BR10:BR17))</f>
        <v/>
      </c>
      <c r="BU60">
        <f>ABS(Model!BS18-SUM(Model!BS10:BS17))</f>
        <v/>
      </c>
      <c r="BV60">
        <f>ABS(Model!BT18-SUM(Model!BT10:BT17))</f>
        <v/>
      </c>
      <c r="BW60">
        <f>ABS(Model!BU18-SUM(Model!BU10:BU17))</f>
        <v/>
      </c>
      <c r="BX60">
        <f>ABS(Model!BV18-SUM(Model!BV10:BV17))</f>
        <v/>
      </c>
      <c r="BY60">
        <f>ABS(Model!BW18-SUM(Model!BW10:BW17))</f>
        <v/>
      </c>
      <c r="BZ60">
        <f>ABS(Model!BX18-SUM(Model!BX10:BX17))</f>
        <v/>
      </c>
      <c r="CA60">
        <f>ABS(Model!BY18-SUM(Model!BY10:BY17))</f>
        <v/>
      </c>
      <c r="CB60">
        <f>ABS(Model!BZ18-SUM(Model!BZ10:BZ17))</f>
        <v/>
      </c>
      <c r="CC60">
        <f>ABS(Model!CA18-SUM(Model!CA10:CA17))</f>
        <v/>
      </c>
      <c r="CD60">
        <f>ABS(Model!CB18-SUM(Model!CB10:CB17))</f>
        <v/>
      </c>
      <c r="CE60">
        <f>ABS(Model!CC18-SUM(Model!CC10:CC17))</f>
        <v/>
      </c>
      <c r="CF60">
        <f>ABS(Model!CD18-SUM(Model!CD10:CD17))</f>
        <v/>
      </c>
      <c r="CG60">
        <f>ABS(Model!CE18-SUM(Model!CE10:CE17))</f>
        <v/>
      </c>
      <c r="CH60">
        <f>ABS(Model!CF18-SUM(Model!CF10:CF17))</f>
        <v/>
      </c>
      <c r="CI60">
        <f>ABS(Model!CG18-SUM(Model!CG10:CG17))</f>
        <v/>
      </c>
      <c r="CJ60">
        <f>ABS(Model!CH18-SUM(Model!CH10:CH17))</f>
        <v/>
      </c>
      <c r="CK60">
        <f>ABS(Model!CI18-SUM(Model!CI10:CI17))</f>
        <v/>
      </c>
      <c r="CL60">
        <f>ABS(Model!CJ18-SUM(Model!CJ10:CJ17))</f>
        <v/>
      </c>
      <c r="CM60">
        <f>ABS(Model!CK18-SUM(Model!CK10:CK17))</f>
        <v/>
      </c>
      <c r="CN60">
        <f>ABS(Model!CL18-SUM(Model!CL10:CL17))</f>
        <v/>
      </c>
      <c r="CO60">
        <f>ABS(Model!CM18-SUM(Model!CM10:CM17))</f>
        <v/>
      </c>
      <c r="CP60">
        <f>ABS(Model!CN18-SUM(Model!CN10:CN17))</f>
        <v/>
      </c>
      <c r="CQ60">
        <f>ABS(Model!CO18-SUM(Model!CO10:CO17))</f>
        <v/>
      </c>
      <c r="CR60">
        <f>ABS(Model!CP18-SUM(Model!CP10:CP17))</f>
        <v/>
      </c>
      <c r="CS60">
        <f>ABS(Model!CQ18-SUM(Model!CQ10:CQ17))</f>
        <v/>
      </c>
      <c r="CT60">
        <f>ABS(Model!CR18-SUM(Model!CR10:CR17))</f>
        <v/>
      </c>
      <c r="CU60">
        <f>ABS(Model!CS18-SUM(Model!CS10:CS17))</f>
        <v/>
      </c>
      <c r="CV60">
        <f>ABS(Model!CT18-SUM(Model!CT10:CT17))</f>
        <v/>
      </c>
      <c r="CW60">
        <f>ABS(Model!CU18-SUM(Model!CU10:CU17))</f>
        <v/>
      </c>
      <c r="CX60">
        <f>ABS(Model!CV18-SUM(Model!CV10:CV17))</f>
        <v/>
      </c>
      <c r="CY60">
        <f>ABS(Model!CW18-SUM(Model!CW10:CW17))</f>
        <v/>
      </c>
      <c r="CZ60">
        <f>ABS(Model!CX18-SUM(Model!CX10:CX17))</f>
        <v/>
      </c>
      <c r="DA60">
        <f>ABS(Model!CY18-SUM(Model!CY10:CY17))</f>
        <v/>
      </c>
      <c r="DB60">
        <f>ABS(Model!CZ18-SUM(Model!CZ10:CZ17))</f>
        <v/>
      </c>
      <c r="DC60">
        <f>ABS(Model!DA18-SUM(Model!DA10:DA17))</f>
        <v/>
      </c>
      <c r="DD60">
        <f>ABS(Model!DB18-SUM(Model!DB10:DB17))</f>
        <v/>
      </c>
      <c r="DE60">
        <f>ABS(Model!DC18-SUM(Model!DC10:DC17))</f>
        <v/>
      </c>
      <c r="DF60">
        <f>ABS(Model!DD18-SUM(Model!DD10:DD17))</f>
        <v/>
      </c>
      <c r="DG60">
        <f>ABS(Model!DE18-SUM(Model!DE10:DE17))</f>
        <v/>
      </c>
      <c r="DH60">
        <f>ABS(Model!DF18-SUM(Model!DF10:DF17))</f>
        <v/>
      </c>
      <c r="DI60">
        <f>ABS(Model!DG18-SUM(Model!DG10:DG17))</f>
        <v/>
      </c>
      <c r="DJ60">
        <f>ABS(Model!DH18-SUM(Model!DH10:DH17))</f>
        <v/>
      </c>
      <c r="DK60">
        <f>ABS(Model!DI18-SUM(Model!DI10:DI17))</f>
        <v/>
      </c>
      <c r="DL60">
        <f>ABS(Model!DJ18-SUM(Model!DJ10:DJ17))</f>
        <v/>
      </c>
      <c r="DM60">
        <f>ABS(Model!DK18-SUM(Model!DK10:DK17))</f>
        <v/>
      </c>
      <c r="DN60">
        <f>ABS(Model!DL18-SUM(Model!DL10:DL17))</f>
        <v/>
      </c>
      <c r="DO60">
        <f>ABS(Model!DM18-SUM(Model!DM10:DM17))</f>
        <v/>
      </c>
      <c r="DP60">
        <f>ABS(Model!DN18-SUM(Model!DN10:DN17))</f>
        <v/>
      </c>
      <c r="DQ60">
        <f>ABS(Model!DO18-SUM(Model!DO10:DO17))</f>
        <v/>
      </c>
      <c r="DR60">
        <f>ABS(Model!DP18-SUM(Model!DP10:DP17))</f>
        <v/>
      </c>
      <c r="DS60">
        <f>ABS(Model!DQ18-SUM(Model!DQ10:DQ17))</f>
        <v/>
      </c>
      <c r="DT60">
        <f>ABS(Model!DR18-SUM(Model!DR10:DR17))</f>
        <v/>
      </c>
    </row>
    <row r="61">
      <c r="B61" t="inlineStr">
        <is>
          <t>gross_profit = revenue - cogs</t>
        </is>
      </c>
      <c r="E61">
        <f>ABS(Model!C28-(Model!C18-Model!C27))</f>
        <v/>
      </c>
      <c r="F61">
        <f>ABS(Model!D28-(Model!D18-Model!D27))</f>
        <v/>
      </c>
      <c r="G61">
        <f>ABS(Model!E28-(Model!E18-Model!E27))</f>
        <v/>
      </c>
      <c r="H61">
        <f>ABS(Model!F28-(Model!F18-Model!F27))</f>
        <v/>
      </c>
      <c r="I61">
        <f>ABS(Model!G28-(Model!G18-Model!G27))</f>
        <v/>
      </c>
      <c r="J61">
        <f>ABS(Model!H28-(Model!H18-Model!H27))</f>
        <v/>
      </c>
      <c r="K61">
        <f>ABS(Model!I28-(Model!I18-Model!I27))</f>
        <v/>
      </c>
      <c r="L61">
        <f>ABS(Model!J28-(Model!J18-Model!J27))</f>
        <v/>
      </c>
      <c r="M61">
        <f>ABS(Model!K28-(Model!K18-Model!K27))</f>
        <v/>
      </c>
      <c r="N61">
        <f>ABS(Model!L28-(Model!L18-Model!L27))</f>
        <v/>
      </c>
      <c r="O61">
        <f>ABS(Model!M28-(Model!M18-Model!M27))</f>
        <v/>
      </c>
      <c r="P61">
        <f>ABS(Model!N28-(Model!N18-Model!N27))</f>
        <v/>
      </c>
      <c r="Q61">
        <f>ABS(Model!O28-(Model!O18-Model!O27))</f>
        <v/>
      </c>
      <c r="R61">
        <f>ABS(Model!P28-(Model!P18-Model!P27))</f>
        <v/>
      </c>
      <c r="S61">
        <f>ABS(Model!Q28-(Model!Q18-Model!Q27))</f>
        <v/>
      </c>
      <c r="T61">
        <f>ABS(Model!R28-(Model!R18-Model!R27))</f>
        <v/>
      </c>
      <c r="U61">
        <f>ABS(Model!S28-(Model!S18-Model!S27))</f>
        <v/>
      </c>
      <c r="V61">
        <f>ABS(Model!T28-(Model!T18-Model!T27))</f>
        <v/>
      </c>
      <c r="W61">
        <f>ABS(Model!U28-(Model!U18-Model!U27))</f>
        <v/>
      </c>
      <c r="X61">
        <f>ABS(Model!V28-(Model!V18-Model!V27))</f>
        <v/>
      </c>
      <c r="Y61">
        <f>ABS(Model!W28-(Model!W18-Model!W27))</f>
        <v/>
      </c>
      <c r="Z61">
        <f>ABS(Model!X28-(Model!X18-Model!X27))</f>
        <v/>
      </c>
      <c r="AA61">
        <f>ABS(Model!Y28-(Model!Y18-Model!Y27))</f>
        <v/>
      </c>
      <c r="AB61">
        <f>ABS(Model!Z28-(Model!Z18-Model!Z27))</f>
        <v/>
      </c>
      <c r="AC61">
        <f>ABS(Model!AA28-(Model!AA18-Model!AA27))</f>
        <v/>
      </c>
      <c r="AD61">
        <f>ABS(Model!AB28-(Model!AB18-Model!AB27))</f>
        <v/>
      </c>
      <c r="AE61">
        <f>ABS(Model!AC28-(Model!AC18-Model!AC27))</f>
        <v/>
      </c>
      <c r="AF61">
        <f>ABS(Model!AD28-(Model!AD18-Model!AD27))</f>
        <v/>
      </c>
      <c r="AG61">
        <f>ABS(Model!AE28-(Model!AE18-Model!AE27))</f>
        <v/>
      </c>
      <c r="AH61">
        <f>ABS(Model!AF28-(Model!AF18-Model!AF27))</f>
        <v/>
      </c>
      <c r="AI61">
        <f>ABS(Model!AG28-(Model!AG18-Model!AG27))</f>
        <v/>
      </c>
      <c r="AJ61">
        <f>ABS(Model!AH28-(Model!AH18-Model!AH27))</f>
        <v/>
      </c>
      <c r="AK61">
        <f>ABS(Model!AI28-(Model!AI18-Model!AI27))</f>
        <v/>
      </c>
      <c r="AL61">
        <f>ABS(Model!AJ28-(Model!AJ18-Model!AJ27))</f>
        <v/>
      </c>
      <c r="AM61">
        <f>ABS(Model!AK28-(Model!AK18-Model!AK27))</f>
        <v/>
      </c>
      <c r="AN61">
        <f>ABS(Model!AL28-(Model!AL18-Model!AL27))</f>
        <v/>
      </c>
      <c r="AO61">
        <f>ABS(Model!AM28-(Model!AM18-Model!AM27))</f>
        <v/>
      </c>
      <c r="AP61">
        <f>ABS(Model!AN28-(Model!AN18-Model!AN27))</f>
        <v/>
      </c>
      <c r="AQ61">
        <f>ABS(Model!AO28-(Model!AO18-Model!AO27))</f>
        <v/>
      </c>
      <c r="AR61">
        <f>ABS(Model!AP28-(Model!AP18-Model!AP27))</f>
        <v/>
      </c>
      <c r="AS61">
        <f>ABS(Model!AQ28-(Model!AQ18-Model!AQ27))</f>
        <v/>
      </c>
      <c r="AT61">
        <f>ABS(Model!AR28-(Model!AR18-Model!AR27))</f>
        <v/>
      </c>
      <c r="AU61">
        <f>ABS(Model!AS28-(Model!AS18-Model!AS27))</f>
        <v/>
      </c>
      <c r="AV61">
        <f>ABS(Model!AT28-(Model!AT18-Model!AT27))</f>
        <v/>
      </c>
      <c r="AW61">
        <f>ABS(Model!AU28-(Model!AU18-Model!AU27))</f>
        <v/>
      </c>
      <c r="AX61">
        <f>ABS(Model!AV28-(Model!AV18-Model!AV27))</f>
        <v/>
      </c>
      <c r="AY61">
        <f>ABS(Model!AW28-(Model!AW18-Model!AW27))</f>
        <v/>
      </c>
      <c r="AZ61">
        <f>ABS(Model!AX28-(Model!AX18-Model!AX27))</f>
        <v/>
      </c>
      <c r="BA61">
        <f>ABS(Model!AY28-(Model!AY18-Model!AY27))</f>
        <v/>
      </c>
      <c r="BB61">
        <f>ABS(Model!AZ28-(Model!AZ18-Model!AZ27))</f>
        <v/>
      </c>
      <c r="BC61">
        <f>ABS(Model!BA28-(Model!BA18-Model!BA27))</f>
        <v/>
      </c>
      <c r="BD61">
        <f>ABS(Model!BB28-(Model!BB18-Model!BB27))</f>
        <v/>
      </c>
      <c r="BE61">
        <f>ABS(Model!BC28-(Model!BC18-Model!BC27))</f>
        <v/>
      </c>
      <c r="BF61">
        <f>ABS(Model!BD28-(Model!BD18-Model!BD27))</f>
        <v/>
      </c>
      <c r="BG61">
        <f>ABS(Model!BE28-(Model!BE18-Model!BE27))</f>
        <v/>
      </c>
      <c r="BH61">
        <f>ABS(Model!BF28-(Model!BF18-Model!BF27))</f>
        <v/>
      </c>
      <c r="BI61">
        <f>ABS(Model!BG28-(Model!BG18-Model!BG27))</f>
        <v/>
      </c>
      <c r="BJ61">
        <f>ABS(Model!BH28-(Model!BH18-Model!BH27))</f>
        <v/>
      </c>
      <c r="BK61">
        <f>ABS(Model!BI28-(Model!BI18-Model!BI27))</f>
        <v/>
      </c>
      <c r="BL61">
        <f>ABS(Model!BJ28-(Model!BJ18-Model!BJ27))</f>
        <v/>
      </c>
      <c r="BM61">
        <f>ABS(Model!BK28-(Model!BK18-Model!BK27))</f>
        <v/>
      </c>
      <c r="BN61">
        <f>ABS(Model!BL28-(Model!BL18-Model!BL27))</f>
        <v/>
      </c>
      <c r="BO61">
        <f>ABS(Model!BM28-(Model!BM18-Model!BM27))</f>
        <v/>
      </c>
      <c r="BP61">
        <f>ABS(Model!BN28-(Model!BN18-Model!BN27))</f>
        <v/>
      </c>
      <c r="BQ61">
        <f>ABS(Model!BO28-(Model!BO18-Model!BO27))</f>
        <v/>
      </c>
      <c r="BR61">
        <f>ABS(Model!BP28-(Model!BP18-Model!BP27))</f>
        <v/>
      </c>
      <c r="BS61">
        <f>ABS(Model!BQ28-(Model!BQ18-Model!BQ27))</f>
        <v/>
      </c>
      <c r="BT61">
        <f>ABS(Model!BR28-(Model!BR18-Model!BR27))</f>
        <v/>
      </c>
      <c r="BU61">
        <f>ABS(Model!BS28-(Model!BS18-Model!BS27))</f>
        <v/>
      </c>
      <c r="BV61">
        <f>ABS(Model!BT28-(Model!BT18-Model!BT27))</f>
        <v/>
      </c>
      <c r="BW61">
        <f>ABS(Model!BU28-(Model!BU18-Model!BU27))</f>
        <v/>
      </c>
      <c r="BX61">
        <f>ABS(Model!BV28-(Model!BV18-Model!BV27))</f>
        <v/>
      </c>
      <c r="BY61">
        <f>ABS(Model!BW28-(Model!BW18-Model!BW27))</f>
        <v/>
      </c>
      <c r="BZ61">
        <f>ABS(Model!BX28-(Model!BX18-Model!BX27))</f>
        <v/>
      </c>
      <c r="CA61">
        <f>ABS(Model!BY28-(Model!BY18-Model!BY27))</f>
        <v/>
      </c>
      <c r="CB61">
        <f>ABS(Model!BZ28-(Model!BZ18-Model!BZ27))</f>
        <v/>
      </c>
      <c r="CC61">
        <f>ABS(Model!CA28-(Model!CA18-Model!CA27))</f>
        <v/>
      </c>
      <c r="CD61">
        <f>ABS(Model!CB28-(Model!CB18-Model!CB27))</f>
        <v/>
      </c>
      <c r="CE61">
        <f>ABS(Model!CC28-(Model!CC18-Model!CC27))</f>
        <v/>
      </c>
      <c r="CF61">
        <f>ABS(Model!CD28-(Model!CD18-Model!CD27))</f>
        <v/>
      </c>
      <c r="CG61">
        <f>ABS(Model!CE28-(Model!CE18-Model!CE27))</f>
        <v/>
      </c>
      <c r="CH61">
        <f>ABS(Model!CF28-(Model!CF18-Model!CF27))</f>
        <v/>
      </c>
      <c r="CI61">
        <f>ABS(Model!CG28-(Model!CG18-Model!CG27))</f>
        <v/>
      </c>
      <c r="CJ61">
        <f>ABS(Model!CH28-(Model!CH18-Model!CH27))</f>
        <v/>
      </c>
      <c r="CK61">
        <f>ABS(Model!CI28-(Model!CI18-Model!CI27))</f>
        <v/>
      </c>
      <c r="CL61">
        <f>ABS(Model!CJ28-(Model!CJ18-Model!CJ27))</f>
        <v/>
      </c>
      <c r="CM61">
        <f>ABS(Model!CK28-(Model!CK18-Model!CK27))</f>
        <v/>
      </c>
      <c r="CN61">
        <f>ABS(Model!CL28-(Model!CL18-Model!CL27))</f>
        <v/>
      </c>
      <c r="CO61">
        <f>ABS(Model!CM28-(Model!CM18-Model!CM27))</f>
        <v/>
      </c>
      <c r="CP61">
        <f>ABS(Model!CN28-(Model!CN18-Model!CN27))</f>
        <v/>
      </c>
      <c r="CQ61">
        <f>ABS(Model!CO28-(Model!CO18-Model!CO27))</f>
        <v/>
      </c>
      <c r="CR61">
        <f>ABS(Model!CP28-(Model!CP18-Model!CP27))</f>
        <v/>
      </c>
      <c r="CS61">
        <f>ABS(Model!CQ28-(Model!CQ18-Model!CQ27))</f>
        <v/>
      </c>
      <c r="CT61">
        <f>ABS(Model!CR28-(Model!CR18-Model!CR27))</f>
        <v/>
      </c>
      <c r="CU61">
        <f>ABS(Model!CS28-(Model!CS18-Model!CS27))</f>
        <v/>
      </c>
      <c r="CV61">
        <f>ABS(Model!CT28-(Model!CT18-Model!CT27))</f>
        <v/>
      </c>
      <c r="CW61">
        <f>ABS(Model!CU28-(Model!CU18-Model!CU27))</f>
        <v/>
      </c>
      <c r="CX61">
        <f>ABS(Model!CV28-(Model!CV18-Model!CV27))</f>
        <v/>
      </c>
      <c r="CY61">
        <f>ABS(Model!CW28-(Model!CW18-Model!CW27))</f>
        <v/>
      </c>
      <c r="CZ61">
        <f>ABS(Model!CX28-(Model!CX18-Model!CX27))</f>
        <v/>
      </c>
      <c r="DA61">
        <f>ABS(Model!CY28-(Model!CY18-Model!CY27))</f>
        <v/>
      </c>
      <c r="DB61">
        <f>ABS(Model!CZ28-(Model!CZ18-Model!CZ27))</f>
        <v/>
      </c>
      <c r="DC61">
        <f>ABS(Model!DA28-(Model!DA18-Model!DA27))</f>
        <v/>
      </c>
      <c r="DD61">
        <f>ABS(Model!DB28-(Model!DB18-Model!DB27))</f>
        <v/>
      </c>
      <c r="DE61">
        <f>ABS(Model!DC28-(Model!DC18-Model!DC27))</f>
        <v/>
      </c>
      <c r="DF61">
        <f>ABS(Model!DD28-(Model!DD18-Model!DD27))</f>
        <v/>
      </c>
      <c r="DG61">
        <f>ABS(Model!DE28-(Model!DE18-Model!DE27))</f>
        <v/>
      </c>
      <c r="DH61">
        <f>ABS(Model!DF28-(Model!DF18-Model!DF27))</f>
        <v/>
      </c>
      <c r="DI61">
        <f>ABS(Model!DG28-(Model!DG18-Model!DG27))</f>
        <v/>
      </c>
      <c r="DJ61">
        <f>ABS(Model!DH28-(Model!DH18-Model!DH27))</f>
        <v/>
      </c>
      <c r="DK61">
        <f>ABS(Model!DI28-(Model!DI18-Model!DI27))</f>
        <v/>
      </c>
      <c r="DL61">
        <f>ABS(Model!DJ28-(Model!DJ18-Model!DJ27))</f>
        <v/>
      </c>
      <c r="DM61">
        <f>ABS(Model!DK28-(Model!DK18-Model!DK27))</f>
        <v/>
      </c>
      <c r="DN61">
        <f>ABS(Model!DL28-(Model!DL18-Model!DL27))</f>
        <v/>
      </c>
      <c r="DO61">
        <f>ABS(Model!DM28-(Model!DM18-Model!DM27))</f>
        <v/>
      </c>
      <c r="DP61">
        <f>ABS(Model!DN28-(Model!DN18-Model!DN27))</f>
        <v/>
      </c>
      <c r="DQ61">
        <f>ABS(Model!DO28-(Model!DO18-Model!DO27))</f>
        <v/>
      </c>
      <c r="DR61">
        <f>ABS(Model!DP28-(Model!DP18-Model!DP27))</f>
        <v/>
      </c>
      <c r="DS61">
        <f>ABS(Model!DQ28-(Model!DQ18-Model!DQ27))</f>
        <v/>
      </c>
      <c r="DT61">
        <f>ABS(Model!DR28-(Model!DR18-Model!DR27))</f>
        <v/>
      </c>
    </row>
    <row r="62">
      <c r="B62" t="inlineStr">
        <is>
          <t>ebitda = gross_profit - opex</t>
        </is>
      </c>
      <c r="E62">
        <f>ABS(Model!C45-(Model!C28-Model!C44))</f>
        <v/>
      </c>
      <c r="F62">
        <f>ABS(Model!D45-(Model!D28-Model!D44))</f>
        <v/>
      </c>
      <c r="G62">
        <f>ABS(Model!E45-(Model!E28-Model!E44))</f>
        <v/>
      </c>
      <c r="H62">
        <f>ABS(Model!F45-(Model!F28-Model!F44))</f>
        <v/>
      </c>
      <c r="I62">
        <f>ABS(Model!G45-(Model!G28-Model!G44))</f>
        <v/>
      </c>
      <c r="J62">
        <f>ABS(Model!H45-(Model!H28-Model!H44))</f>
        <v/>
      </c>
      <c r="K62">
        <f>ABS(Model!I45-(Model!I28-Model!I44))</f>
        <v/>
      </c>
      <c r="L62">
        <f>ABS(Model!J45-(Model!J28-Model!J44))</f>
        <v/>
      </c>
      <c r="M62">
        <f>ABS(Model!K45-(Model!K28-Model!K44))</f>
        <v/>
      </c>
      <c r="N62">
        <f>ABS(Model!L45-(Model!L28-Model!L44))</f>
        <v/>
      </c>
      <c r="O62">
        <f>ABS(Model!M45-(Model!M28-Model!M44))</f>
        <v/>
      </c>
      <c r="P62">
        <f>ABS(Model!N45-(Model!N28-Model!N44))</f>
        <v/>
      </c>
      <c r="Q62">
        <f>ABS(Model!O45-(Model!O28-Model!O44))</f>
        <v/>
      </c>
      <c r="R62">
        <f>ABS(Model!P45-(Model!P28-Model!P44))</f>
        <v/>
      </c>
      <c r="S62">
        <f>ABS(Model!Q45-(Model!Q28-Model!Q44))</f>
        <v/>
      </c>
      <c r="T62">
        <f>ABS(Model!R45-(Model!R28-Model!R44))</f>
        <v/>
      </c>
      <c r="U62">
        <f>ABS(Model!S45-(Model!S28-Model!S44))</f>
        <v/>
      </c>
      <c r="V62">
        <f>ABS(Model!T45-(Model!T28-Model!T44))</f>
        <v/>
      </c>
      <c r="W62">
        <f>ABS(Model!U45-(Model!U28-Model!U44))</f>
        <v/>
      </c>
      <c r="X62">
        <f>ABS(Model!V45-(Model!V28-Model!V44))</f>
        <v/>
      </c>
      <c r="Y62">
        <f>ABS(Model!W45-(Model!W28-Model!W44))</f>
        <v/>
      </c>
      <c r="Z62">
        <f>ABS(Model!X45-(Model!X28-Model!X44))</f>
        <v/>
      </c>
      <c r="AA62">
        <f>ABS(Model!Y45-(Model!Y28-Model!Y44))</f>
        <v/>
      </c>
      <c r="AB62">
        <f>ABS(Model!Z45-(Model!Z28-Model!Z44))</f>
        <v/>
      </c>
      <c r="AC62">
        <f>ABS(Model!AA45-(Model!AA28-Model!AA44))</f>
        <v/>
      </c>
      <c r="AD62">
        <f>ABS(Model!AB45-(Model!AB28-Model!AB44))</f>
        <v/>
      </c>
      <c r="AE62">
        <f>ABS(Model!AC45-(Model!AC28-Model!AC44))</f>
        <v/>
      </c>
      <c r="AF62">
        <f>ABS(Model!AD45-(Model!AD28-Model!AD44))</f>
        <v/>
      </c>
      <c r="AG62">
        <f>ABS(Model!AE45-(Model!AE28-Model!AE44))</f>
        <v/>
      </c>
      <c r="AH62">
        <f>ABS(Model!AF45-(Model!AF28-Model!AF44))</f>
        <v/>
      </c>
      <c r="AI62">
        <f>ABS(Model!AG45-(Model!AG28-Model!AG44))</f>
        <v/>
      </c>
      <c r="AJ62">
        <f>ABS(Model!AH45-(Model!AH28-Model!AH44))</f>
        <v/>
      </c>
      <c r="AK62">
        <f>ABS(Model!AI45-(Model!AI28-Model!AI44))</f>
        <v/>
      </c>
      <c r="AL62">
        <f>ABS(Model!AJ45-(Model!AJ28-Model!AJ44))</f>
        <v/>
      </c>
      <c r="AM62">
        <f>ABS(Model!AK45-(Model!AK28-Model!AK44))</f>
        <v/>
      </c>
      <c r="AN62">
        <f>ABS(Model!AL45-(Model!AL28-Model!AL44))</f>
        <v/>
      </c>
      <c r="AO62">
        <f>ABS(Model!AM45-(Model!AM28-Model!AM44))</f>
        <v/>
      </c>
      <c r="AP62">
        <f>ABS(Model!AN45-(Model!AN28-Model!AN44))</f>
        <v/>
      </c>
      <c r="AQ62">
        <f>ABS(Model!AO45-(Model!AO28-Model!AO44))</f>
        <v/>
      </c>
      <c r="AR62">
        <f>ABS(Model!AP45-(Model!AP28-Model!AP44))</f>
        <v/>
      </c>
      <c r="AS62">
        <f>ABS(Model!AQ45-(Model!AQ28-Model!AQ44))</f>
        <v/>
      </c>
      <c r="AT62">
        <f>ABS(Model!AR45-(Model!AR28-Model!AR44))</f>
        <v/>
      </c>
      <c r="AU62">
        <f>ABS(Model!AS45-(Model!AS28-Model!AS44))</f>
        <v/>
      </c>
      <c r="AV62">
        <f>ABS(Model!AT45-(Model!AT28-Model!AT44))</f>
        <v/>
      </c>
      <c r="AW62">
        <f>ABS(Model!AU45-(Model!AU28-Model!AU44))</f>
        <v/>
      </c>
      <c r="AX62">
        <f>ABS(Model!AV45-(Model!AV28-Model!AV44))</f>
        <v/>
      </c>
      <c r="AY62">
        <f>ABS(Model!AW45-(Model!AW28-Model!AW44))</f>
        <v/>
      </c>
      <c r="AZ62">
        <f>ABS(Model!AX45-(Model!AX28-Model!AX44))</f>
        <v/>
      </c>
      <c r="BA62">
        <f>ABS(Model!AY45-(Model!AY28-Model!AY44))</f>
        <v/>
      </c>
      <c r="BB62">
        <f>ABS(Model!AZ45-(Model!AZ28-Model!AZ44))</f>
        <v/>
      </c>
      <c r="BC62">
        <f>ABS(Model!BA45-(Model!BA28-Model!BA44))</f>
        <v/>
      </c>
      <c r="BD62">
        <f>ABS(Model!BB45-(Model!BB28-Model!BB44))</f>
        <v/>
      </c>
      <c r="BE62">
        <f>ABS(Model!BC45-(Model!BC28-Model!BC44))</f>
        <v/>
      </c>
      <c r="BF62">
        <f>ABS(Model!BD45-(Model!BD28-Model!BD44))</f>
        <v/>
      </c>
      <c r="BG62">
        <f>ABS(Model!BE45-(Model!BE28-Model!BE44))</f>
        <v/>
      </c>
      <c r="BH62">
        <f>ABS(Model!BF45-(Model!BF28-Model!BF44))</f>
        <v/>
      </c>
      <c r="BI62">
        <f>ABS(Model!BG45-(Model!BG28-Model!BG44))</f>
        <v/>
      </c>
      <c r="BJ62">
        <f>ABS(Model!BH45-(Model!BH28-Model!BH44))</f>
        <v/>
      </c>
      <c r="BK62">
        <f>ABS(Model!BI45-(Model!BI28-Model!BI44))</f>
        <v/>
      </c>
      <c r="BL62">
        <f>ABS(Model!BJ45-(Model!BJ28-Model!BJ44))</f>
        <v/>
      </c>
      <c r="BM62">
        <f>ABS(Model!BK45-(Model!BK28-Model!BK44))</f>
        <v/>
      </c>
      <c r="BN62">
        <f>ABS(Model!BL45-(Model!BL28-Model!BL44))</f>
        <v/>
      </c>
      <c r="BO62">
        <f>ABS(Model!BM45-(Model!BM28-Model!BM44))</f>
        <v/>
      </c>
      <c r="BP62">
        <f>ABS(Model!BN45-(Model!BN28-Model!BN44))</f>
        <v/>
      </c>
      <c r="BQ62">
        <f>ABS(Model!BO45-(Model!BO28-Model!BO44))</f>
        <v/>
      </c>
      <c r="BR62">
        <f>ABS(Model!BP45-(Model!BP28-Model!BP44))</f>
        <v/>
      </c>
      <c r="BS62">
        <f>ABS(Model!BQ45-(Model!BQ28-Model!BQ44))</f>
        <v/>
      </c>
      <c r="BT62">
        <f>ABS(Model!BR45-(Model!BR28-Model!BR44))</f>
        <v/>
      </c>
      <c r="BU62">
        <f>ABS(Model!BS45-(Model!BS28-Model!BS44))</f>
        <v/>
      </c>
      <c r="BV62">
        <f>ABS(Model!BT45-(Model!BT28-Model!BT44))</f>
        <v/>
      </c>
      <c r="BW62">
        <f>ABS(Model!BU45-(Model!BU28-Model!BU44))</f>
        <v/>
      </c>
      <c r="BX62">
        <f>ABS(Model!BV45-(Model!BV28-Model!BV44))</f>
        <v/>
      </c>
      <c r="BY62">
        <f>ABS(Model!BW45-(Model!BW28-Model!BW44))</f>
        <v/>
      </c>
      <c r="BZ62">
        <f>ABS(Model!BX45-(Model!BX28-Model!BX44))</f>
        <v/>
      </c>
      <c r="CA62">
        <f>ABS(Model!BY45-(Model!BY28-Model!BY44))</f>
        <v/>
      </c>
      <c r="CB62">
        <f>ABS(Model!BZ45-(Model!BZ28-Model!BZ44))</f>
        <v/>
      </c>
      <c r="CC62">
        <f>ABS(Model!CA45-(Model!CA28-Model!CA44))</f>
        <v/>
      </c>
      <c r="CD62">
        <f>ABS(Model!CB45-(Model!CB28-Model!CB44))</f>
        <v/>
      </c>
      <c r="CE62">
        <f>ABS(Model!CC45-(Model!CC28-Model!CC44))</f>
        <v/>
      </c>
      <c r="CF62">
        <f>ABS(Model!CD45-(Model!CD28-Model!CD44))</f>
        <v/>
      </c>
      <c r="CG62">
        <f>ABS(Model!CE45-(Model!CE28-Model!CE44))</f>
        <v/>
      </c>
      <c r="CH62">
        <f>ABS(Model!CF45-(Model!CF28-Model!CF44))</f>
        <v/>
      </c>
      <c r="CI62">
        <f>ABS(Model!CG45-(Model!CG28-Model!CG44))</f>
        <v/>
      </c>
      <c r="CJ62">
        <f>ABS(Model!CH45-(Model!CH28-Model!CH44))</f>
        <v/>
      </c>
      <c r="CK62">
        <f>ABS(Model!CI45-(Model!CI28-Model!CI44))</f>
        <v/>
      </c>
      <c r="CL62">
        <f>ABS(Model!CJ45-(Model!CJ28-Model!CJ44))</f>
        <v/>
      </c>
      <c r="CM62">
        <f>ABS(Model!CK45-(Model!CK28-Model!CK44))</f>
        <v/>
      </c>
      <c r="CN62">
        <f>ABS(Model!CL45-(Model!CL28-Model!CL44))</f>
        <v/>
      </c>
      <c r="CO62">
        <f>ABS(Model!CM45-(Model!CM28-Model!CM44))</f>
        <v/>
      </c>
      <c r="CP62">
        <f>ABS(Model!CN45-(Model!CN28-Model!CN44))</f>
        <v/>
      </c>
      <c r="CQ62">
        <f>ABS(Model!CO45-(Model!CO28-Model!CO44))</f>
        <v/>
      </c>
      <c r="CR62">
        <f>ABS(Model!CP45-(Model!CP28-Model!CP44))</f>
        <v/>
      </c>
      <c r="CS62">
        <f>ABS(Model!CQ45-(Model!CQ28-Model!CQ44))</f>
        <v/>
      </c>
      <c r="CT62">
        <f>ABS(Model!CR45-(Model!CR28-Model!CR44))</f>
        <v/>
      </c>
      <c r="CU62">
        <f>ABS(Model!CS45-(Model!CS28-Model!CS44))</f>
        <v/>
      </c>
      <c r="CV62">
        <f>ABS(Model!CT45-(Model!CT28-Model!CT44))</f>
        <v/>
      </c>
      <c r="CW62">
        <f>ABS(Model!CU45-(Model!CU28-Model!CU44))</f>
        <v/>
      </c>
      <c r="CX62">
        <f>ABS(Model!CV45-(Model!CV28-Model!CV44))</f>
        <v/>
      </c>
      <c r="CY62">
        <f>ABS(Model!CW45-(Model!CW28-Model!CW44))</f>
        <v/>
      </c>
      <c r="CZ62">
        <f>ABS(Model!CX45-(Model!CX28-Model!CX44))</f>
        <v/>
      </c>
      <c r="DA62">
        <f>ABS(Model!CY45-(Model!CY28-Model!CY44))</f>
        <v/>
      </c>
      <c r="DB62">
        <f>ABS(Model!CZ45-(Model!CZ28-Model!CZ44))</f>
        <v/>
      </c>
      <c r="DC62">
        <f>ABS(Model!DA45-(Model!DA28-Model!DA44))</f>
        <v/>
      </c>
      <c r="DD62">
        <f>ABS(Model!DB45-(Model!DB28-Model!DB44))</f>
        <v/>
      </c>
      <c r="DE62">
        <f>ABS(Model!DC45-(Model!DC28-Model!DC44))</f>
        <v/>
      </c>
      <c r="DF62">
        <f>ABS(Model!DD45-(Model!DD28-Model!DD44))</f>
        <v/>
      </c>
      <c r="DG62">
        <f>ABS(Model!DE45-(Model!DE28-Model!DE44))</f>
        <v/>
      </c>
      <c r="DH62">
        <f>ABS(Model!DF45-(Model!DF28-Model!DF44))</f>
        <v/>
      </c>
      <c r="DI62">
        <f>ABS(Model!DG45-(Model!DG28-Model!DG44))</f>
        <v/>
      </c>
      <c r="DJ62">
        <f>ABS(Model!DH45-(Model!DH28-Model!DH44))</f>
        <v/>
      </c>
      <c r="DK62">
        <f>ABS(Model!DI45-(Model!DI28-Model!DI44))</f>
        <v/>
      </c>
      <c r="DL62">
        <f>ABS(Model!DJ45-(Model!DJ28-Model!DJ44))</f>
        <v/>
      </c>
      <c r="DM62">
        <f>ABS(Model!DK45-(Model!DK28-Model!DK44))</f>
        <v/>
      </c>
      <c r="DN62">
        <f>ABS(Model!DL45-(Model!DL28-Model!DL44))</f>
        <v/>
      </c>
      <c r="DO62">
        <f>ABS(Model!DM45-(Model!DM28-Model!DM44))</f>
        <v/>
      </c>
      <c r="DP62">
        <f>ABS(Model!DN45-(Model!DN28-Model!DN44))</f>
        <v/>
      </c>
      <c r="DQ62">
        <f>ABS(Model!DO45-(Model!DO28-Model!DO44))</f>
        <v/>
      </c>
      <c r="DR62">
        <f>ABS(Model!DP45-(Model!DP28-Model!DP44))</f>
        <v/>
      </c>
      <c r="DS62">
        <f>ABS(Model!DQ45-(Model!DQ28-Model!DQ44))</f>
        <v/>
      </c>
      <c r="DT62">
        <f>ABS(Model!DR45-(Model!DR28-Model!DR44))</f>
        <v/>
      </c>
    </row>
    <row r="63">
      <c r="B63" t="inlineStr">
        <is>
          <t>pretax = ebitda - da - interest</t>
        </is>
      </c>
      <c r="E63">
        <f>ABS(Model!C65-(Model!C45-Model!C46-Model!C62))</f>
        <v/>
      </c>
      <c r="F63">
        <f>ABS(Model!D65-(Model!D45-Model!D46-Model!D62))</f>
        <v/>
      </c>
      <c r="G63">
        <f>ABS(Model!E65-(Model!E45-Model!E46-Model!E62))</f>
        <v/>
      </c>
      <c r="H63">
        <f>ABS(Model!F65-(Model!F45-Model!F46-Model!F62))</f>
        <v/>
      </c>
      <c r="I63">
        <f>ABS(Model!G65-(Model!G45-Model!G46-Model!G62))</f>
        <v/>
      </c>
      <c r="J63">
        <f>ABS(Model!H65-(Model!H45-Model!H46-Model!H62))</f>
        <v/>
      </c>
      <c r="K63">
        <f>ABS(Model!I65-(Model!I45-Model!I46-Model!I62))</f>
        <v/>
      </c>
      <c r="L63">
        <f>ABS(Model!J65-(Model!J45-Model!J46-Model!J62))</f>
        <v/>
      </c>
      <c r="M63">
        <f>ABS(Model!K65-(Model!K45-Model!K46-Model!K62))</f>
        <v/>
      </c>
      <c r="N63">
        <f>ABS(Model!L65-(Model!L45-Model!L46-Model!L62))</f>
        <v/>
      </c>
      <c r="O63">
        <f>ABS(Model!M65-(Model!M45-Model!M46-Model!M62))</f>
        <v/>
      </c>
      <c r="P63">
        <f>ABS(Model!N65-(Model!N45-Model!N46-Model!N62))</f>
        <v/>
      </c>
      <c r="Q63">
        <f>ABS(Model!O65-(Model!O45-Model!O46-Model!O62))</f>
        <v/>
      </c>
      <c r="R63">
        <f>ABS(Model!P65-(Model!P45-Model!P46-Model!P62))</f>
        <v/>
      </c>
      <c r="S63">
        <f>ABS(Model!Q65-(Model!Q45-Model!Q46-Model!Q62))</f>
        <v/>
      </c>
      <c r="T63">
        <f>ABS(Model!R65-(Model!R45-Model!R46-Model!R62))</f>
        <v/>
      </c>
      <c r="U63">
        <f>ABS(Model!S65-(Model!S45-Model!S46-Model!S62))</f>
        <v/>
      </c>
      <c r="V63">
        <f>ABS(Model!T65-(Model!T45-Model!T46-Model!T62))</f>
        <v/>
      </c>
      <c r="W63">
        <f>ABS(Model!U65-(Model!U45-Model!U46-Model!U62))</f>
        <v/>
      </c>
      <c r="X63">
        <f>ABS(Model!V65-(Model!V45-Model!V46-Model!V62))</f>
        <v/>
      </c>
      <c r="Y63">
        <f>ABS(Model!W65-(Model!W45-Model!W46-Model!W62))</f>
        <v/>
      </c>
      <c r="Z63">
        <f>ABS(Model!X65-(Model!X45-Model!X46-Model!X62))</f>
        <v/>
      </c>
      <c r="AA63">
        <f>ABS(Model!Y65-(Model!Y45-Model!Y46-Model!Y62))</f>
        <v/>
      </c>
      <c r="AB63">
        <f>ABS(Model!Z65-(Model!Z45-Model!Z46-Model!Z62))</f>
        <v/>
      </c>
      <c r="AC63">
        <f>ABS(Model!AA65-(Model!AA45-Model!AA46-Model!AA62))</f>
        <v/>
      </c>
      <c r="AD63">
        <f>ABS(Model!AB65-(Model!AB45-Model!AB46-Model!AB62))</f>
        <v/>
      </c>
      <c r="AE63">
        <f>ABS(Model!AC65-(Model!AC45-Model!AC46-Model!AC62))</f>
        <v/>
      </c>
      <c r="AF63">
        <f>ABS(Model!AD65-(Model!AD45-Model!AD46-Model!AD62))</f>
        <v/>
      </c>
      <c r="AG63">
        <f>ABS(Model!AE65-(Model!AE45-Model!AE46-Model!AE62))</f>
        <v/>
      </c>
      <c r="AH63">
        <f>ABS(Model!AF65-(Model!AF45-Model!AF46-Model!AF62))</f>
        <v/>
      </c>
      <c r="AI63">
        <f>ABS(Model!AG65-(Model!AG45-Model!AG46-Model!AG62))</f>
        <v/>
      </c>
      <c r="AJ63">
        <f>ABS(Model!AH65-(Model!AH45-Model!AH46-Model!AH62))</f>
        <v/>
      </c>
      <c r="AK63">
        <f>ABS(Model!AI65-(Model!AI45-Model!AI46-Model!AI62))</f>
        <v/>
      </c>
      <c r="AL63">
        <f>ABS(Model!AJ65-(Model!AJ45-Model!AJ46-Model!AJ62))</f>
        <v/>
      </c>
      <c r="AM63">
        <f>ABS(Model!AK65-(Model!AK45-Model!AK46-Model!AK62))</f>
        <v/>
      </c>
      <c r="AN63">
        <f>ABS(Model!AL65-(Model!AL45-Model!AL46-Model!AL62))</f>
        <v/>
      </c>
      <c r="AO63">
        <f>ABS(Model!AM65-(Model!AM45-Model!AM46-Model!AM62))</f>
        <v/>
      </c>
      <c r="AP63">
        <f>ABS(Model!AN65-(Model!AN45-Model!AN46-Model!AN62))</f>
        <v/>
      </c>
      <c r="AQ63">
        <f>ABS(Model!AO65-(Model!AO45-Model!AO46-Model!AO62))</f>
        <v/>
      </c>
      <c r="AR63">
        <f>ABS(Model!AP65-(Model!AP45-Model!AP46-Model!AP62))</f>
        <v/>
      </c>
      <c r="AS63">
        <f>ABS(Model!AQ65-(Model!AQ45-Model!AQ46-Model!AQ62))</f>
        <v/>
      </c>
      <c r="AT63">
        <f>ABS(Model!AR65-(Model!AR45-Model!AR46-Model!AR62))</f>
        <v/>
      </c>
      <c r="AU63">
        <f>ABS(Model!AS65-(Model!AS45-Model!AS46-Model!AS62))</f>
        <v/>
      </c>
      <c r="AV63">
        <f>ABS(Model!AT65-(Model!AT45-Model!AT46-Model!AT62))</f>
        <v/>
      </c>
      <c r="AW63">
        <f>ABS(Model!AU65-(Model!AU45-Model!AU46-Model!AU62))</f>
        <v/>
      </c>
      <c r="AX63">
        <f>ABS(Model!AV65-(Model!AV45-Model!AV46-Model!AV62))</f>
        <v/>
      </c>
      <c r="AY63">
        <f>ABS(Model!AW65-(Model!AW45-Model!AW46-Model!AW62))</f>
        <v/>
      </c>
      <c r="AZ63">
        <f>ABS(Model!AX65-(Model!AX45-Model!AX46-Model!AX62))</f>
        <v/>
      </c>
      <c r="BA63">
        <f>ABS(Model!AY65-(Model!AY45-Model!AY46-Model!AY62))</f>
        <v/>
      </c>
      <c r="BB63">
        <f>ABS(Model!AZ65-(Model!AZ45-Model!AZ46-Model!AZ62))</f>
        <v/>
      </c>
      <c r="BC63">
        <f>ABS(Model!BA65-(Model!BA45-Model!BA46-Model!BA62))</f>
        <v/>
      </c>
      <c r="BD63">
        <f>ABS(Model!BB65-(Model!BB45-Model!BB46-Model!BB62))</f>
        <v/>
      </c>
      <c r="BE63">
        <f>ABS(Model!BC65-(Model!BC45-Model!BC46-Model!BC62))</f>
        <v/>
      </c>
      <c r="BF63">
        <f>ABS(Model!BD65-(Model!BD45-Model!BD46-Model!BD62))</f>
        <v/>
      </c>
      <c r="BG63">
        <f>ABS(Model!BE65-(Model!BE45-Model!BE46-Model!BE62))</f>
        <v/>
      </c>
      <c r="BH63">
        <f>ABS(Model!BF65-(Model!BF45-Model!BF46-Model!BF62))</f>
        <v/>
      </c>
      <c r="BI63">
        <f>ABS(Model!BG65-(Model!BG45-Model!BG46-Model!BG62))</f>
        <v/>
      </c>
      <c r="BJ63">
        <f>ABS(Model!BH65-(Model!BH45-Model!BH46-Model!BH62))</f>
        <v/>
      </c>
      <c r="BK63">
        <f>ABS(Model!BI65-(Model!BI45-Model!BI46-Model!BI62))</f>
        <v/>
      </c>
      <c r="BL63">
        <f>ABS(Model!BJ65-(Model!BJ45-Model!BJ46-Model!BJ62))</f>
        <v/>
      </c>
      <c r="BM63">
        <f>ABS(Model!BK65-(Model!BK45-Model!BK46-Model!BK62))</f>
        <v/>
      </c>
      <c r="BN63">
        <f>ABS(Model!BL65-(Model!BL45-Model!BL46-Model!BL62))</f>
        <v/>
      </c>
      <c r="BO63">
        <f>ABS(Model!BM65-(Model!BM45-Model!BM46-Model!BM62))</f>
        <v/>
      </c>
      <c r="BP63">
        <f>ABS(Model!BN65-(Model!BN45-Model!BN46-Model!BN62))</f>
        <v/>
      </c>
      <c r="BQ63">
        <f>ABS(Model!BO65-(Model!BO45-Model!BO46-Model!BO62))</f>
        <v/>
      </c>
      <c r="BR63">
        <f>ABS(Model!BP65-(Model!BP45-Model!BP46-Model!BP62))</f>
        <v/>
      </c>
      <c r="BS63">
        <f>ABS(Model!BQ65-(Model!BQ45-Model!BQ46-Model!BQ62))</f>
        <v/>
      </c>
      <c r="BT63">
        <f>ABS(Model!BR65-(Model!BR45-Model!BR46-Model!BR62))</f>
        <v/>
      </c>
      <c r="BU63">
        <f>ABS(Model!BS65-(Model!BS45-Model!BS46-Model!BS62))</f>
        <v/>
      </c>
      <c r="BV63">
        <f>ABS(Model!BT65-(Model!BT45-Model!BT46-Model!BT62))</f>
        <v/>
      </c>
      <c r="BW63">
        <f>ABS(Model!BU65-(Model!BU45-Model!BU46-Model!BU62))</f>
        <v/>
      </c>
      <c r="BX63">
        <f>ABS(Model!BV65-(Model!BV45-Model!BV46-Model!BV62))</f>
        <v/>
      </c>
      <c r="BY63">
        <f>ABS(Model!BW65-(Model!BW45-Model!BW46-Model!BW62))</f>
        <v/>
      </c>
      <c r="BZ63">
        <f>ABS(Model!BX65-(Model!BX45-Model!BX46-Model!BX62))</f>
        <v/>
      </c>
      <c r="CA63">
        <f>ABS(Model!BY65-(Model!BY45-Model!BY46-Model!BY62))</f>
        <v/>
      </c>
      <c r="CB63">
        <f>ABS(Model!BZ65-(Model!BZ45-Model!BZ46-Model!BZ62))</f>
        <v/>
      </c>
      <c r="CC63">
        <f>ABS(Model!CA65-(Model!CA45-Model!CA46-Model!CA62))</f>
        <v/>
      </c>
      <c r="CD63">
        <f>ABS(Model!CB65-(Model!CB45-Model!CB46-Model!CB62))</f>
        <v/>
      </c>
      <c r="CE63">
        <f>ABS(Model!CC65-(Model!CC45-Model!CC46-Model!CC62))</f>
        <v/>
      </c>
      <c r="CF63">
        <f>ABS(Model!CD65-(Model!CD45-Model!CD46-Model!CD62))</f>
        <v/>
      </c>
      <c r="CG63">
        <f>ABS(Model!CE65-(Model!CE45-Model!CE46-Model!CE62))</f>
        <v/>
      </c>
      <c r="CH63">
        <f>ABS(Model!CF65-(Model!CF45-Model!CF46-Model!CF62))</f>
        <v/>
      </c>
      <c r="CI63">
        <f>ABS(Model!CG65-(Model!CG45-Model!CG46-Model!CG62))</f>
        <v/>
      </c>
      <c r="CJ63">
        <f>ABS(Model!CH65-(Model!CH45-Model!CH46-Model!CH62))</f>
        <v/>
      </c>
      <c r="CK63">
        <f>ABS(Model!CI65-(Model!CI45-Model!CI46-Model!CI62))</f>
        <v/>
      </c>
      <c r="CL63">
        <f>ABS(Model!CJ65-(Model!CJ45-Model!CJ46-Model!CJ62))</f>
        <v/>
      </c>
      <c r="CM63">
        <f>ABS(Model!CK65-(Model!CK45-Model!CK46-Model!CK62))</f>
        <v/>
      </c>
      <c r="CN63">
        <f>ABS(Model!CL65-(Model!CL45-Model!CL46-Model!CL62))</f>
        <v/>
      </c>
      <c r="CO63">
        <f>ABS(Model!CM65-(Model!CM45-Model!CM46-Model!CM62))</f>
        <v/>
      </c>
      <c r="CP63">
        <f>ABS(Model!CN65-(Model!CN45-Model!CN46-Model!CN62))</f>
        <v/>
      </c>
      <c r="CQ63">
        <f>ABS(Model!CO65-(Model!CO45-Model!CO46-Model!CO62))</f>
        <v/>
      </c>
      <c r="CR63">
        <f>ABS(Model!CP65-(Model!CP45-Model!CP46-Model!CP62))</f>
        <v/>
      </c>
      <c r="CS63">
        <f>ABS(Model!CQ65-(Model!CQ45-Model!CQ46-Model!CQ62))</f>
        <v/>
      </c>
      <c r="CT63">
        <f>ABS(Model!CR65-(Model!CR45-Model!CR46-Model!CR62))</f>
        <v/>
      </c>
      <c r="CU63">
        <f>ABS(Model!CS65-(Model!CS45-Model!CS46-Model!CS62))</f>
        <v/>
      </c>
      <c r="CV63">
        <f>ABS(Model!CT65-(Model!CT45-Model!CT46-Model!CT62))</f>
        <v/>
      </c>
      <c r="CW63">
        <f>ABS(Model!CU65-(Model!CU45-Model!CU46-Model!CU62))</f>
        <v/>
      </c>
      <c r="CX63">
        <f>ABS(Model!CV65-(Model!CV45-Model!CV46-Model!CV62))</f>
        <v/>
      </c>
      <c r="CY63">
        <f>ABS(Model!CW65-(Model!CW45-Model!CW46-Model!CW62))</f>
        <v/>
      </c>
      <c r="CZ63">
        <f>ABS(Model!CX65-(Model!CX45-Model!CX46-Model!CX62))</f>
        <v/>
      </c>
      <c r="DA63">
        <f>ABS(Model!CY65-(Model!CY45-Model!CY46-Model!CY62))</f>
        <v/>
      </c>
      <c r="DB63">
        <f>ABS(Model!CZ65-(Model!CZ45-Model!CZ46-Model!CZ62))</f>
        <v/>
      </c>
      <c r="DC63">
        <f>ABS(Model!DA65-(Model!DA45-Model!DA46-Model!DA62))</f>
        <v/>
      </c>
      <c r="DD63">
        <f>ABS(Model!DB65-(Model!DB45-Model!DB46-Model!DB62))</f>
        <v/>
      </c>
      <c r="DE63">
        <f>ABS(Model!DC65-(Model!DC45-Model!DC46-Model!DC62))</f>
        <v/>
      </c>
      <c r="DF63">
        <f>ABS(Model!DD65-(Model!DD45-Model!DD46-Model!DD62))</f>
        <v/>
      </c>
      <c r="DG63">
        <f>ABS(Model!DE65-(Model!DE45-Model!DE46-Model!DE62))</f>
        <v/>
      </c>
      <c r="DH63">
        <f>ABS(Model!DF65-(Model!DF45-Model!DF46-Model!DF62))</f>
        <v/>
      </c>
      <c r="DI63">
        <f>ABS(Model!DG65-(Model!DG45-Model!DG46-Model!DG62))</f>
        <v/>
      </c>
      <c r="DJ63">
        <f>ABS(Model!DH65-(Model!DH45-Model!DH46-Model!DH62))</f>
        <v/>
      </c>
      <c r="DK63">
        <f>ABS(Model!DI65-(Model!DI45-Model!DI46-Model!DI62))</f>
        <v/>
      </c>
      <c r="DL63">
        <f>ABS(Model!DJ65-(Model!DJ45-Model!DJ46-Model!DJ62))</f>
        <v/>
      </c>
      <c r="DM63">
        <f>ABS(Model!DK65-(Model!DK45-Model!DK46-Model!DK62))</f>
        <v/>
      </c>
      <c r="DN63">
        <f>ABS(Model!DL65-(Model!DL45-Model!DL46-Model!DL62))</f>
        <v/>
      </c>
      <c r="DO63">
        <f>ABS(Model!DM65-(Model!DM45-Model!DM46-Model!DM62))</f>
        <v/>
      </c>
      <c r="DP63">
        <f>ABS(Model!DN65-(Model!DN45-Model!DN46-Model!DN62))</f>
        <v/>
      </c>
      <c r="DQ63">
        <f>ABS(Model!DO65-(Model!DO45-Model!DO46-Model!DO62))</f>
        <v/>
      </c>
      <c r="DR63">
        <f>ABS(Model!DP65-(Model!DP45-Model!DP46-Model!DP62))</f>
        <v/>
      </c>
      <c r="DS63">
        <f>ABS(Model!DQ65-(Model!DQ45-Model!DQ46-Model!DQ62))</f>
        <v/>
      </c>
      <c r="DT63">
        <f>ABS(Model!DR65-(Model!DR45-Model!DR46-Model!DR62))</f>
        <v/>
      </c>
    </row>
    <row r="64">
      <c r="B64" t="inlineStr">
        <is>
          <t>net_income = pretax - tax</t>
        </is>
      </c>
      <c r="E64">
        <f>ABS(Model!C70-(Model!C65-Model!C69))</f>
        <v/>
      </c>
      <c r="F64">
        <f>ABS(Model!D70-(Model!D65-Model!D69))</f>
        <v/>
      </c>
      <c r="G64">
        <f>ABS(Model!E70-(Model!E65-Model!E69))</f>
        <v/>
      </c>
      <c r="H64">
        <f>ABS(Model!F70-(Model!F65-Model!F69))</f>
        <v/>
      </c>
      <c r="I64">
        <f>ABS(Model!G70-(Model!G65-Model!G69))</f>
        <v/>
      </c>
      <c r="J64">
        <f>ABS(Model!H70-(Model!H65-Model!H69))</f>
        <v/>
      </c>
      <c r="K64">
        <f>ABS(Model!I70-(Model!I65-Model!I69))</f>
        <v/>
      </c>
      <c r="L64">
        <f>ABS(Model!J70-(Model!J65-Model!J69))</f>
        <v/>
      </c>
      <c r="M64">
        <f>ABS(Model!K70-(Model!K65-Model!K69))</f>
        <v/>
      </c>
      <c r="N64">
        <f>ABS(Model!L70-(Model!L65-Model!L69))</f>
        <v/>
      </c>
      <c r="O64">
        <f>ABS(Model!M70-(Model!M65-Model!M69))</f>
        <v/>
      </c>
      <c r="P64">
        <f>ABS(Model!N70-(Model!N65-Model!N69))</f>
        <v/>
      </c>
      <c r="Q64">
        <f>ABS(Model!O70-(Model!O65-Model!O69))</f>
        <v/>
      </c>
      <c r="R64">
        <f>ABS(Model!P70-(Model!P65-Model!P69))</f>
        <v/>
      </c>
      <c r="S64">
        <f>ABS(Model!Q70-(Model!Q65-Model!Q69))</f>
        <v/>
      </c>
      <c r="T64">
        <f>ABS(Model!R70-(Model!R65-Model!R69))</f>
        <v/>
      </c>
      <c r="U64">
        <f>ABS(Model!S70-(Model!S65-Model!S69))</f>
        <v/>
      </c>
      <c r="V64">
        <f>ABS(Model!T70-(Model!T65-Model!T69))</f>
        <v/>
      </c>
      <c r="W64">
        <f>ABS(Model!U70-(Model!U65-Model!U69))</f>
        <v/>
      </c>
      <c r="X64">
        <f>ABS(Model!V70-(Model!V65-Model!V69))</f>
        <v/>
      </c>
      <c r="Y64">
        <f>ABS(Model!W70-(Model!W65-Model!W69))</f>
        <v/>
      </c>
      <c r="Z64">
        <f>ABS(Model!X70-(Model!X65-Model!X69))</f>
        <v/>
      </c>
      <c r="AA64">
        <f>ABS(Model!Y70-(Model!Y65-Model!Y69))</f>
        <v/>
      </c>
      <c r="AB64">
        <f>ABS(Model!Z70-(Model!Z65-Model!Z69))</f>
        <v/>
      </c>
      <c r="AC64">
        <f>ABS(Model!AA70-(Model!AA65-Model!AA69))</f>
        <v/>
      </c>
      <c r="AD64">
        <f>ABS(Model!AB70-(Model!AB65-Model!AB69))</f>
        <v/>
      </c>
      <c r="AE64">
        <f>ABS(Model!AC70-(Model!AC65-Model!AC69))</f>
        <v/>
      </c>
      <c r="AF64">
        <f>ABS(Model!AD70-(Model!AD65-Model!AD69))</f>
        <v/>
      </c>
      <c r="AG64">
        <f>ABS(Model!AE70-(Model!AE65-Model!AE69))</f>
        <v/>
      </c>
      <c r="AH64">
        <f>ABS(Model!AF70-(Model!AF65-Model!AF69))</f>
        <v/>
      </c>
      <c r="AI64">
        <f>ABS(Model!AG70-(Model!AG65-Model!AG69))</f>
        <v/>
      </c>
      <c r="AJ64">
        <f>ABS(Model!AH70-(Model!AH65-Model!AH69))</f>
        <v/>
      </c>
      <c r="AK64">
        <f>ABS(Model!AI70-(Model!AI65-Model!AI69))</f>
        <v/>
      </c>
      <c r="AL64">
        <f>ABS(Model!AJ70-(Model!AJ65-Model!AJ69))</f>
        <v/>
      </c>
      <c r="AM64">
        <f>ABS(Model!AK70-(Model!AK65-Model!AK69))</f>
        <v/>
      </c>
      <c r="AN64">
        <f>ABS(Model!AL70-(Model!AL65-Model!AL69))</f>
        <v/>
      </c>
      <c r="AO64">
        <f>ABS(Model!AM70-(Model!AM65-Model!AM69))</f>
        <v/>
      </c>
      <c r="AP64">
        <f>ABS(Model!AN70-(Model!AN65-Model!AN69))</f>
        <v/>
      </c>
      <c r="AQ64">
        <f>ABS(Model!AO70-(Model!AO65-Model!AO69))</f>
        <v/>
      </c>
      <c r="AR64">
        <f>ABS(Model!AP70-(Model!AP65-Model!AP69))</f>
        <v/>
      </c>
      <c r="AS64">
        <f>ABS(Model!AQ70-(Model!AQ65-Model!AQ69))</f>
        <v/>
      </c>
      <c r="AT64">
        <f>ABS(Model!AR70-(Model!AR65-Model!AR69))</f>
        <v/>
      </c>
      <c r="AU64">
        <f>ABS(Model!AS70-(Model!AS65-Model!AS69))</f>
        <v/>
      </c>
      <c r="AV64">
        <f>ABS(Model!AT70-(Model!AT65-Model!AT69))</f>
        <v/>
      </c>
      <c r="AW64">
        <f>ABS(Model!AU70-(Model!AU65-Model!AU69))</f>
        <v/>
      </c>
      <c r="AX64">
        <f>ABS(Model!AV70-(Model!AV65-Model!AV69))</f>
        <v/>
      </c>
      <c r="AY64">
        <f>ABS(Model!AW70-(Model!AW65-Model!AW69))</f>
        <v/>
      </c>
      <c r="AZ64">
        <f>ABS(Model!AX70-(Model!AX65-Model!AX69))</f>
        <v/>
      </c>
      <c r="BA64">
        <f>ABS(Model!AY70-(Model!AY65-Model!AY69))</f>
        <v/>
      </c>
      <c r="BB64">
        <f>ABS(Model!AZ70-(Model!AZ65-Model!AZ69))</f>
        <v/>
      </c>
      <c r="BC64">
        <f>ABS(Model!BA70-(Model!BA65-Model!BA69))</f>
        <v/>
      </c>
      <c r="BD64">
        <f>ABS(Model!BB70-(Model!BB65-Model!BB69))</f>
        <v/>
      </c>
      <c r="BE64">
        <f>ABS(Model!BC70-(Model!BC65-Model!BC69))</f>
        <v/>
      </c>
      <c r="BF64">
        <f>ABS(Model!BD70-(Model!BD65-Model!BD69))</f>
        <v/>
      </c>
      <c r="BG64">
        <f>ABS(Model!BE70-(Model!BE65-Model!BE69))</f>
        <v/>
      </c>
      <c r="BH64">
        <f>ABS(Model!BF70-(Model!BF65-Model!BF69))</f>
        <v/>
      </c>
      <c r="BI64">
        <f>ABS(Model!BG70-(Model!BG65-Model!BG69))</f>
        <v/>
      </c>
      <c r="BJ64">
        <f>ABS(Model!BH70-(Model!BH65-Model!BH69))</f>
        <v/>
      </c>
      <c r="BK64">
        <f>ABS(Model!BI70-(Model!BI65-Model!BI69))</f>
        <v/>
      </c>
      <c r="BL64">
        <f>ABS(Model!BJ70-(Model!BJ65-Model!BJ69))</f>
        <v/>
      </c>
      <c r="BM64">
        <f>ABS(Model!BK70-(Model!BK65-Model!BK69))</f>
        <v/>
      </c>
      <c r="BN64">
        <f>ABS(Model!BL70-(Model!BL65-Model!BL69))</f>
        <v/>
      </c>
      <c r="BO64">
        <f>ABS(Model!BM70-(Model!BM65-Model!BM69))</f>
        <v/>
      </c>
      <c r="BP64">
        <f>ABS(Model!BN70-(Model!BN65-Model!BN69))</f>
        <v/>
      </c>
      <c r="BQ64">
        <f>ABS(Model!BO70-(Model!BO65-Model!BO69))</f>
        <v/>
      </c>
      <c r="BR64">
        <f>ABS(Model!BP70-(Model!BP65-Model!BP69))</f>
        <v/>
      </c>
      <c r="BS64">
        <f>ABS(Model!BQ70-(Model!BQ65-Model!BQ69))</f>
        <v/>
      </c>
      <c r="BT64">
        <f>ABS(Model!BR70-(Model!BR65-Model!BR69))</f>
        <v/>
      </c>
      <c r="BU64">
        <f>ABS(Model!BS70-(Model!BS65-Model!BS69))</f>
        <v/>
      </c>
      <c r="BV64">
        <f>ABS(Model!BT70-(Model!BT65-Model!BT69))</f>
        <v/>
      </c>
      <c r="BW64">
        <f>ABS(Model!BU70-(Model!BU65-Model!BU69))</f>
        <v/>
      </c>
      <c r="BX64">
        <f>ABS(Model!BV70-(Model!BV65-Model!BV69))</f>
        <v/>
      </c>
      <c r="BY64">
        <f>ABS(Model!BW70-(Model!BW65-Model!BW69))</f>
        <v/>
      </c>
      <c r="BZ64">
        <f>ABS(Model!BX70-(Model!BX65-Model!BX69))</f>
        <v/>
      </c>
      <c r="CA64">
        <f>ABS(Model!BY70-(Model!BY65-Model!BY69))</f>
        <v/>
      </c>
      <c r="CB64">
        <f>ABS(Model!BZ70-(Model!BZ65-Model!BZ69))</f>
        <v/>
      </c>
      <c r="CC64">
        <f>ABS(Model!CA70-(Model!CA65-Model!CA69))</f>
        <v/>
      </c>
      <c r="CD64">
        <f>ABS(Model!CB70-(Model!CB65-Model!CB69))</f>
        <v/>
      </c>
      <c r="CE64">
        <f>ABS(Model!CC70-(Model!CC65-Model!CC69))</f>
        <v/>
      </c>
      <c r="CF64">
        <f>ABS(Model!CD70-(Model!CD65-Model!CD69))</f>
        <v/>
      </c>
      <c r="CG64">
        <f>ABS(Model!CE70-(Model!CE65-Model!CE69))</f>
        <v/>
      </c>
      <c r="CH64">
        <f>ABS(Model!CF70-(Model!CF65-Model!CF69))</f>
        <v/>
      </c>
      <c r="CI64">
        <f>ABS(Model!CG70-(Model!CG65-Model!CG69))</f>
        <v/>
      </c>
      <c r="CJ64">
        <f>ABS(Model!CH70-(Model!CH65-Model!CH69))</f>
        <v/>
      </c>
      <c r="CK64">
        <f>ABS(Model!CI70-(Model!CI65-Model!CI69))</f>
        <v/>
      </c>
      <c r="CL64">
        <f>ABS(Model!CJ70-(Model!CJ65-Model!CJ69))</f>
        <v/>
      </c>
      <c r="CM64">
        <f>ABS(Model!CK70-(Model!CK65-Model!CK69))</f>
        <v/>
      </c>
      <c r="CN64">
        <f>ABS(Model!CL70-(Model!CL65-Model!CL69))</f>
        <v/>
      </c>
      <c r="CO64">
        <f>ABS(Model!CM70-(Model!CM65-Model!CM69))</f>
        <v/>
      </c>
      <c r="CP64">
        <f>ABS(Model!CN70-(Model!CN65-Model!CN69))</f>
        <v/>
      </c>
      <c r="CQ64">
        <f>ABS(Model!CO70-(Model!CO65-Model!CO69))</f>
        <v/>
      </c>
      <c r="CR64">
        <f>ABS(Model!CP70-(Model!CP65-Model!CP69))</f>
        <v/>
      </c>
      <c r="CS64">
        <f>ABS(Model!CQ70-(Model!CQ65-Model!CQ69))</f>
        <v/>
      </c>
      <c r="CT64">
        <f>ABS(Model!CR70-(Model!CR65-Model!CR69))</f>
        <v/>
      </c>
      <c r="CU64">
        <f>ABS(Model!CS70-(Model!CS65-Model!CS69))</f>
        <v/>
      </c>
      <c r="CV64">
        <f>ABS(Model!CT70-(Model!CT65-Model!CT69))</f>
        <v/>
      </c>
      <c r="CW64">
        <f>ABS(Model!CU70-(Model!CU65-Model!CU69))</f>
        <v/>
      </c>
      <c r="CX64">
        <f>ABS(Model!CV70-(Model!CV65-Model!CV69))</f>
        <v/>
      </c>
      <c r="CY64">
        <f>ABS(Model!CW70-(Model!CW65-Model!CW69))</f>
        <v/>
      </c>
      <c r="CZ64">
        <f>ABS(Model!CX70-(Model!CX65-Model!CX69))</f>
        <v/>
      </c>
      <c r="DA64">
        <f>ABS(Model!CY70-(Model!CY65-Model!CY69))</f>
        <v/>
      </c>
      <c r="DB64">
        <f>ABS(Model!CZ70-(Model!CZ65-Model!CZ69))</f>
        <v/>
      </c>
      <c r="DC64">
        <f>ABS(Model!DA70-(Model!DA65-Model!DA69))</f>
        <v/>
      </c>
      <c r="DD64">
        <f>ABS(Model!DB70-(Model!DB65-Model!DB69))</f>
        <v/>
      </c>
      <c r="DE64">
        <f>ABS(Model!DC70-(Model!DC65-Model!DC69))</f>
        <v/>
      </c>
      <c r="DF64">
        <f>ABS(Model!DD70-(Model!DD65-Model!DD69))</f>
        <v/>
      </c>
      <c r="DG64">
        <f>ABS(Model!DE70-(Model!DE65-Model!DE69))</f>
        <v/>
      </c>
      <c r="DH64">
        <f>ABS(Model!DF70-(Model!DF65-Model!DF69))</f>
        <v/>
      </c>
      <c r="DI64">
        <f>ABS(Model!DG70-(Model!DG65-Model!DG69))</f>
        <v/>
      </c>
      <c r="DJ64">
        <f>ABS(Model!DH70-(Model!DH65-Model!DH69))</f>
        <v/>
      </c>
      <c r="DK64">
        <f>ABS(Model!DI70-(Model!DI65-Model!DI69))</f>
        <v/>
      </c>
      <c r="DL64">
        <f>ABS(Model!DJ70-(Model!DJ65-Model!DJ69))</f>
        <v/>
      </c>
      <c r="DM64">
        <f>ABS(Model!DK70-(Model!DK65-Model!DK69))</f>
        <v/>
      </c>
      <c r="DN64">
        <f>ABS(Model!DL70-(Model!DL65-Model!DL69))</f>
        <v/>
      </c>
      <c r="DO64">
        <f>ABS(Model!DM70-(Model!DM65-Model!DM69))</f>
        <v/>
      </c>
      <c r="DP64">
        <f>ABS(Model!DN70-(Model!DN65-Model!DN69))</f>
        <v/>
      </c>
      <c r="DQ64">
        <f>ABS(Model!DO70-(Model!DO65-Model!DO69))</f>
        <v/>
      </c>
      <c r="DR64">
        <f>ABS(Model!DP70-(Model!DP65-Model!DP69))</f>
        <v/>
      </c>
      <c r="DS64">
        <f>ABS(Model!DQ70-(Model!DQ65-Model!DQ69))</f>
        <v/>
      </c>
      <c r="DT64">
        <f>ABS(Model!DR70-(Model!DR65-Model!DR69))</f>
        <v/>
      </c>
    </row>
    <row r="65">
      <c r="B65" t="inlineStr">
        <is>
          <t>operating_cash_flow = net_income + da + wc_cash_impact</t>
        </is>
      </c>
      <c r="E65">
        <f>ABS(Model!C75-(Model!C70+Model!C46+Model!C74))</f>
        <v/>
      </c>
      <c r="F65">
        <f>ABS(Model!D75-(Model!D70+Model!D46+Model!D74))</f>
        <v/>
      </c>
      <c r="G65">
        <f>ABS(Model!E75-(Model!E70+Model!E46+Model!E74))</f>
        <v/>
      </c>
      <c r="H65">
        <f>ABS(Model!F75-(Model!F70+Model!F46+Model!F74))</f>
        <v/>
      </c>
      <c r="I65">
        <f>ABS(Model!G75-(Model!G70+Model!G46+Model!G74))</f>
        <v/>
      </c>
      <c r="J65">
        <f>ABS(Model!H75-(Model!H70+Model!H46+Model!H74))</f>
        <v/>
      </c>
      <c r="K65">
        <f>ABS(Model!I75-(Model!I70+Model!I46+Model!I74))</f>
        <v/>
      </c>
      <c r="L65">
        <f>ABS(Model!J75-(Model!J70+Model!J46+Model!J74))</f>
        <v/>
      </c>
      <c r="M65">
        <f>ABS(Model!K75-(Model!K70+Model!K46+Model!K74))</f>
        <v/>
      </c>
      <c r="N65">
        <f>ABS(Model!L75-(Model!L70+Model!L46+Model!L74))</f>
        <v/>
      </c>
      <c r="O65">
        <f>ABS(Model!M75-(Model!M70+Model!M46+Model!M74))</f>
        <v/>
      </c>
      <c r="P65">
        <f>ABS(Model!N75-(Model!N70+Model!N46+Model!N74))</f>
        <v/>
      </c>
      <c r="Q65">
        <f>ABS(Model!O75-(Model!O70+Model!O46+Model!O74))</f>
        <v/>
      </c>
      <c r="R65">
        <f>ABS(Model!P75-(Model!P70+Model!P46+Model!P74))</f>
        <v/>
      </c>
      <c r="S65">
        <f>ABS(Model!Q75-(Model!Q70+Model!Q46+Model!Q74))</f>
        <v/>
      </c>
      <c r="T65">
        <f>ABS(Model!R75-(Model!R70+Model!R46+Model!R74))</f>
        <v/>
      </c>
      <c r="U65">
        <f>ABS(Model!S75-(Model!S70+Model!S46+Model!S74))</f>
        <v/>
      </c>
      <c r="V65">
        <f>ABS(Model!T75-(Model!T70+Model!T46+Model!T74))</f>
        <v/>
      </c>
      <c r="W65">
        <f>ABS(Model!U75-(Model!U70+Model!U46+Model!U74))</f>
        <v/>
      </c>
      <c r="X65">
        <f>ABS(Model!V75-(Model!V70+Model!V46+Model!V74))</f>
        <v/>
      </c>
      <c r="Y65">
        <f>ABS(Model!W75-(Model!W70+Model!W46+Model!W74))</f>
        <v/>
      </c>
      <c r="Z65">
        <f>ABS(Model!X75-(Model!X70+Model!X46+Model!X74))</f>
        <v/>
      </c>
      <c r="AA65">
        <f>ABS(Model!Y75-(Model!Y70+Model!Y46+Model!Y74))</f>
        <v/>
      </c>
      <c r="AB65">
        <f>ABS(Model!Z75-(Model!Z70+Model!Z46+Model!Z74))</f>
        <v/>
      </c>
      <c r="AC65">
        <f>ABS(Model!AA75-(Model!AA70+Model!AA46+Model!AA74))</f>
        <v/>
      </c>
      <c r="AD65">
        <f>ABS(Model!AB75-(Model!AB70+Model!AB46+Model!AB74))</f>
        <v/>
      </c>
      <c r="AE65">
        <f>ABS(Model!AC75-(Model!AC70+Model!AC46+Model!AC74))</f>
        <v/>
      </c>
      <c r="AF65">
        <f>ABS(Model!AD75-(Model!AD70+Model!AD46+Model!AD74))</f>
        <v/>
      </c>
      <c r="AG65">
        <f>ABS(Model!AE75-(Model!AE70+Model!AE46+Model!AE74))</f>
        <v/>
      </c>
      <c r="AH65">
        <f>ABS(Model!AF75-(Model!AF70+Model!AF46+Model!AF74))</f>
        <v/>
      </c>
      <c r="AI65">
        <f>ABS(Model!AG75-(Model!AG70+Model!AG46+Model!AG74))</f>
        <v/>
      </c>
      <c r="AJ65">
        <f>ABS(Model!AH75-(Model!AH70+Model!AH46+Model!AH74))</f>
        <v/>
      </c>
      <c r="AK65">
        <f>ABS(Model!AI75-(Model!AI70+Model!AI46+Model!AI74))</f>
        <v/>
      </c>
      <c r="AL65">
        <f>ABS(Model!AJ75-(Model!AJ70+Model!AJ46+Model!AJ74))</f>
        <v/>
      </c>
      <c r="AM65">
        <f>ABS(Model!AK75-(Model!AK70+Model!AK46+Model!AK74))</f>
        <v/>
      </c>
      <c r="AN65">
        <f>ABS(Model!AL75-(Model!AL70+Model!AL46+Model!AL74))</f>
        <v/>
      </c>
      <c r="AO65">
        <f>ABS(Model!AM75-(Model!AM70+Model!AM46+Model!AM74))</f>
        <v/>
      </c>
      <c r="AP65">
        <f>ABS(Model!AN75-(Model!AN70+Model!AN46+Model!AN74))</f>
        <v/>
      </c>
      <c r="AQ65">
        <f>ABS(Model!AO75-(Model!AO70+Model!AO46+Model!AO74))</f>
        <v/>
      </c>
      <c r="AR65">
        <f>ABS(Model!AP75-(Model!AP70+Model!AP46+Model!AP74))</f>
        <v/>
      </c>
      <c r="AS65">
        <f>ABS(Model!AQ75-(Model!AQ70+Model!AQ46+Model!AQ74))</f>
        <v/>
      </c>
      <c r="AT65">
        <f>ABS(Model!AR75-(Model!AR70+Model!AR46+Model!AR74))</f>
        <v/>
      </c>
      <c r="AU65">
        <f>ABS(Model!AS75-(Model!AS70+Model!AS46+Model!AS74))</f>
        <v/>
      </c>
      <c r="AV65">
        <f>ABS(Model!AT75-(Model!AT70+Model!AT46+Model!AT74))</f>
        <v/>
      </c>
      <c r="AW65">
        <f>ABS(Model!AU75-(Model!AU70+Model!AU46+Model!AU74))</f>
        <v/>
      </c>
      <c r="AX65">
        <f>ABS(Model!AV75-(Model!AV70+Model!AV46+Model!AV74))</f>
        <v/>
      </c>
      <c r="AY65">
        <f>ABS(Model!AW75-(Model!AW70+Model!AW46+Model!AW74))</f>
        <v/>
      </c>
      <c r="AZ65">
        <f>ABS(Model!AX75-(Model!AX70+Model!AX46+Model!AX74))</f>
        <v/>
      </c>
      <c r="BA65">
        <f>ABS(Model!AY75-(Model!AY70+Model!AY46+Model!AY74))</f>
        <v/>
      </c>
      <c r="BB65">
        <f>ABS(Model!AZ75-(Model!AZ70+Model!AZ46+Model!AZ74))</f>
        <v/>
      </c>
      <c r="BC65">
        <f>ABS(Model!BA75-(Model!BA70+Model!BA46+Model!BA74))</f>
        <v/>
      </c>
      <c r="BD65">
        <f>ABS(Model!BB75-(Model!BB70+Model!BB46+Model!BB74))</f>
        <v/>
      </c>
      <c r="BE65">
        <f>ABS(Model!BC75-(Model!BC70+Model!BC46+Model!BC74))</f>
        <v/>
      </c>
      <c r="BF65">
        <f>ABS(Model!BD75-(Model!BD70+Model!BD46+Model!BD74))</f>
        <v/>
      </c>
      <c r="BG65">
        <f>ABS(Model!BE75-(Model!BE70+Model!BE46+Model!BE74))</f>
        <v/>
      </c>
      <c r="BH65">
        <f>ABS(Model!BF75-(Model!BF70+Model!BF46+Model!BF74))</f>
        <v/>
      </c>
      <c r="BI65">
        <f>ABS(Model!BG75-(Model!BG70+Model!BG46+Model!BG74))</f>
        <v/>
      </c>
      <c r="BJ65">
        <f>ABS(Model!BH75-(Model!BH70+Model!BH46+Model!BH74))</f>
        <v/>
      </c>
      <c r="BK65">
        <f>ABS(Model!BI75-(Model!BI70+Model!BI46+Model!BI74))</f>
        <v/>
      </c>
      <c r="BL65">
        <f>ABS(Model!BJ75-(Model!BJ70+Model!BJ46+Model!BJ74))</f>
        <v/>
      </c>
      <c r="BM65">
        <f>ABS(Model!BK75-(Model!BK70+Model!BK46+Model!BK74))</f>
        <v/>
      </c>
      <c r="BN65">
        <f>ABS(Model!BL75-(Model!BL70+Model!BL46+Model!BL74))</f>
        <v/>
      </c>
      <c r="BO65">
        <f>ABS(Model!BM75-(Model!BM70+Model!BM46+Model!BM74))</f>
        <v/>
      </c>
      <c r="BP65">
        <f>ABS(Model!BN75-(Model!BN70+Model!BN46+Model!BN74))</f>
        <v/>
      </c>
      <c r="BQ65">
        <f>ABS(Model!BO75-(Model!BO70+Model!BO46+Model!BO74))</f>
        <v/>
      </c>
      <c r="BR65">
        <f>ABS(Model!BP75-(Model!BP70+Model!BP46+Model!BP74))</f>
        <v/>
      </c>
      <c r="BS65">
        <f>ABS(Model!BQ75-(Model!BQ70+Model!BQ46+Model!BQ74))</f>
        <v/>
      </c>
      <c r="BT65">
        <f>ABS(Model!BR75-(Model!BR70+Model!BR46+Model!BR74))</f>
        <v/>
      </c>
      <c r="BU65">
        <f>ABS(Model!BS75-(Model!BS70+Model!BS46+Model!BS74))</f>
        <v/>
      </c>
      <c r="BV65">
        <f>ABS(Model!BT75-(Model!BT70+Model!BT46+Model!BT74))</f>
        <v/>
      </c>
      <c r="BW65">
        <f>ABS(Model!BU75-(Model!BU70+Model!BU46+Model!BU74))</f>
        <v/>
      </c>
      <c r="BX65">
        <f>ABS(Model!BV75-(Model!BV70+Model!BV46+Model!BV74))</f>
        <v/>
      </c>
      <c r="BY65">
        <f>ABS(Model!BW75-(Model!BW70+Model!BW46+Model!BW74))</f>
        <v/>
      </c>
      <c r="BZ65">
        <f>ABS(Model!BX75-(Model!BX70+Model!BX46+Model!BX74))</f>
        <v/>
      </c>
      <c r="CA65">
        <f>ABS(Model!BY75-(Model!BY70+Model!BY46+Model!BY74))</f>
        <v/>
      </c>
      <c r="CB65">
        <f>ABS(Model!BZ75-(Model!BZ70+Model!BZ46+Model!BZ74))</f>
        <v/>
      </c>
      <c r="CC65">
        <f>ABS(Model!CA75-(Model!CA70+Model!CA46+Model!CA74))</f>
        <v/>
      </c>
      <c r="CD65">
        <f>ABS(Model!CB75-(Model!CB70+Model!CB46+Model!CB74))</f>
        <v/>
      </c>
      <c r="CE65">
        <f>ABS(Model!CC75-(Model!CC70+Model!CC46+Model!CC74))</f>
        <v/>
      </c>
      <c r="CF65">
        <f>ABS(Model!CD75-(Model!CD70+Model!CD46+Model!CD74))</f>
        <v/>
      </c>
      <c r="CG65">
        <f>ABS(Model!CE75-(Model!CE70+Model!CE46+Model!CE74))</f>
        <v/>
      </c>
      <c r="CH65">
        <f>ABS(Model!CF75-(Model!CF70+Model!CF46+Model!CF74))</f>
        <v/>
      </c>
      <c r="CI65">
        <f>ABS(Model!CG75-(Model!CG70+Model!CG46+Model!CG74))</f>
        <v/>
      </c>
      <c r="CJ65">
        <f>ABS(Model!CH75-(Model!CH70+Model!CH46+Model!CH74))</f>
        <v/>
      </c>
      <c r="CK65">
        <f>ABS(Model!CI75-(Model!CI70+Model!CI46+Model!CI74))</f>
        <v/>
      </c>
      <c r="CL65">
        <f>ABS(Model!CJ75-(Model!CJ70+Model!CJ46+Model!CJ74))</f>
        <v/>
      </c>
      <c r="CM65">
        <f>ABS(Model!CK75-(Model!CK70+Model!CK46+Model!CK74))</f>
        <v/>
      </c>
      <c r="CN65">
        <f>ABS(Model!CL75-(Model!CL70+Model!CL46+Model!CL74))</f>
        <v/>
      </c>
      <c r="CO65">
        <f>ABS(Model!CM75-(Model!CM70+Model!CM46+Model!CM74))</f>
        <v/>
      </c>
      <c r="CP65">
        <f>ABS(Model!CN75-(Model!CN70+Model!CN46+Model!CN74))</f>
        <v/>
      </c>
      <c r="CQ65">
        <f>ABS(Model!CO75-(Model!CO70+Model!CO46+Model!CO74))</f>
        <v/>
      </c>
      <c r="CR65">
        <f>ABS(Model!CP75-(Model!CP70+Model!CP46+Model!CP74))</f>
        <v/>
      </c>
      <c r="CS65">
        <f>ABS(Model!CQ75-(Model!CQ70+Model!CQ46+Model!CQ74))</f>
        <v/>
      </c>
      <c r="CT65">
        <f>ABS(Model!CR75-(Model!CR70+Model!CR46+Model!CR74))</f>
        <v/>
      </c>
      <c r="CU65">
        <f>ABS(Model!CS75-(Model!CS70+Model!CS46+Model!CS74))</f>
        <v/>
      </c>
      <c r="CV65">
        <f>ABS(Model!CT75-(Model!CT70+Model!CT46+Model!CT74))</f>
        <v/>
      </c>
      <c r="CW65">
        <f>ABS(Model!CU75-(Model!CU70+Model!CU46+Model!CU74))</f>
        <v/>
      </c>
      <c r="CX65">
        <f>ABS(Model!CV75-(Model!CV70+Model!CV46+Model!CV74))</f>
        <v/>
      </c>
      <c r="CY65">
        <f>ABS(Model!CW75-(Model!CW70+Model!CW46+Model!CW74))</f>
        <v/>
      </c>
      <c r="CZ65">
        <f>ABS(Model!CX75-(Model!CX70+Model!CX46+Model!CX74))</f>
        <v/>
      </c>
      <c r="DA65">
        <f>ABS(Model!CY75-(Model!CY70+Model!CY46+Model!CY74))</f>
        <v/>
      </c>
      <c r="DB65">
        <f>ABS(Model!CZ75-(Model!CZ70+Model!CZ46+Model!CZ74))</f>
        <v/>
      </c>
      <c r="DC65">
        <f>ABS(Model!DA75-(Model!DA70+Model!DA46+Model!DA74))</f>
        <v/>
      </c>
      <c r="DD65">
        <f>ABS(Model!DB75-(Model!DB70+Model!DB46+Model!DB74))</f>
        <v/>
      </c>
      <c r="DE65">
        <f>ABS(Model!DC75-(Model!DC70+Model!DC46+Model!DC74))</f>
        <v/>
      </c>
      <c r="DF65">
        <f>ABS(Model!DD75-(Model!DD70+Model!DD46+Model!DD74))</f>
        <v/>
      </c>
      <c r="DG65">
        <f>ABS(Model!DE75-(Model!DE70+Model!DE46+Model!DE74))</f>
        <v/>
      </c>
      <c r="DH65">
        <f>ABS(Model!DF75-(Model!DF70+Model!DF46+Model!DF74))</f>
        <v/>
      </c>
      <c r="DI65">
        <f>ABS(Model!DG75-(Model!DG70+Model!DG46+Model!DG74))</f>
        <v/>
      </c>
      <c r="DJ65">
        <f>ABS(Model!DH75-(Model!DH70+Model!DH46+Model!DH74))</f>
        <v/>
      </c>
      <c r="DK65">
        <f>ABS(Model!DI75-(Model!DI70+Model!DI46+Model!DI74))</f>
        <v/>
      </c>
      <c r="DL65">
        <f>ABS(Model!DJ75-(Model!DJ70+Model!DJ46+Model!DJ74))</f>
        <v/>
      </c>
      <c r="DM65">
        <f>ABS(Model!DK75-(Model!DK70+Model!DK46+Model!DK74))</f>
        <v/>
      </c>
      <c r="DN65">
        <f>ABS(Model!DL75-(Model!DL70+Model!DL46+Model!DL74))</f>
        <v/>
      </c>
      <c r="DO65">
        <f>ABS(Model!DM75-(Model!DM70+Model!DM46+Model!DM74))</f>
        <v/>
      </c>
      <c r="DP65">
        <f>ABS(Model!DN75-(Model!DN70+Model!DN46+Model!DN74))</f>
        <v/>
      </c>
      <c r="DQ65">
        <f>ABS(Model!DO75-(Model!DO70+Model!DO46+Model!DO74))</f>
        <v/>
      </c>
      <c r="DR65">
        <f>ABS(Model!DP75-(Model!DP70+Model!DP46+Model!DP74))</f>
        <v/>
      </c>
      <c r="DS65">
        <f>ABS(Model!DQ75-(Model!DQ70+Model!DQ46+Model!DQ74))</f>
        <v/>
      </c>
      <c r="DT65">
        <f>ABS(Model!DR75-(Model!DR70+Model!DR46+Model!DR74))</f>
        <v/>
      </c>
    </row>
    <row r="66">
      <c r="B66" t="inlineStr">
        <is>
          <t>free_cash_flow = ocf - capex</t>
        </is>
      </c>
      <c r="E66">
        <f>ABS(Model!C77-(Model!C75-Model!C76))</f>
        <v/>
      </c>
      <c r="F66">
        <f>ABS(Model!D77-(Model!D75-Model!D76))</f>
        <v/>
      </c>
      <c r="G66">
        <f>ABS(Model!E77-(Model!E75-Model!E76))</f>
        <v/>
      </c>
      <c r="H66">
        <f>ABS(Model!F77-(Model!F75-Model!F76))</f>
        <v/>
      </c>
      <c r="I66">
        <f>ABS(Model!G77-(Model!G75-Model!G76))</f>
        <v/>
      </c>
      <c r="J66">
        <f>ABS(Model!H77-(Model!H75-Model!H76))</f>
        <v/>
      </c>
      <c r="K66">
        <f>ABS(Model!I77-(Model!I75-Model!I76))</f>
        <v/>
      </c>
      <c r="L66">
        <f>ABS(Model!J77-(Model!J75-Model!J76))</f>
        <v/>
      </c>
      <c r="M66">
        <f>ABS(Model!K77-(Model!K75-Model!K76))</f>
        <v/>
      </c>
      <c r="N66">
        <f>ABS(Model!L77-(Model!L75-Model!L76))</f>
        <v/>
      </c>
      <c r="O66">
        <f>ABS(Model!M77-(Model!M75-Model!M76))</f>
        <v/>
      </c>
      <c r="P66">
        <f>ABS(Model!N77-(Model!N75-Model!N76))</f>
        <v/>
      </c>
      <c r="Q66">
        <f>ABS(Model!O77-(Model!O75-Model!O76))</f>
        <v/>
      </c>
      <c r="R66">
        <f>ABS(Model!P77-(Model!P75-Model!P76))</f>
        <v/>
      </c>
      <c r="S66">
        <f>ABS(Model!Q77-(Model!Q75-Model!Q76))</f>
        <v/>
      </c>
      <c r="T66">
        <f>ABS(Model!R77-(Model!R75-Model!R76))</f>
        <v/>
      </c>
      <c r="U66">
        <f>ABS(Model!S77-(Model!S75-Model!S76))</f>
        <v/>
      </c>
      <c r="V66">
        <f>ABS(Model!T77-(Model!T75-Model!T76))</f>
        <v/>
      </c>
      <c r="W66">
        <f>ABS(Model!U77-(Model!U75-Model!U76))</f>
        <v/>
      </c>
      <c r="X66">
        <f>ABS(Model!V77-(Model!V75-Model!V76))</f>
        <v/>
      </c>
      <c r="Y66">
        <f>ABS(Model!W77-(Model!W75-Model!W76))</f>
        <v/>
      </c>
      <c r="Z66">
        <f>ABS(Model!X77-(Model!X75-Model!X76))</f>
        <v/>
      </c>
      <c r="AA66">
        <f>ABS(Model!Y77-(Model!Y75-Model!Y76))</f>
        <v/>
      </c>
      <c r="AB66">
        <f>ABS(Model!Z77-(Model!Z75-Model!Z76))</f>
        <v/>
      </c>
      <c r="AC66">
        <f>ABS(Model!AA77-(Model!AA75-Model!AA76))</f>
        <v/>
      </c>
      <c r="AD66">
        <f>ABS(Model!AB77-(Model!AB75-Model!AB76))</f>
        <v/>
      </c>
      <c r="AE66">
        <f>ABS(Model!AC77-(Model!AC75-Model!AC76))</f>
        <v/>
      </c>
      <c r="AF66">
        <f>ABS(Model!AD77-(Model!AD75-Model!AD76))</f>
        <v/>
      </c>
      <c r="AG66">
        <f>ABS(Model!AE77-(Model!AE75-Model!AE76))</f>
        <v/>
      </c>
      <c r="AH66">
        <f>ABS(Model!AF77-(Model!AF75-Model!AF76))</f>
        <v/>
      </c>
      <c r="AI66">
        <f>ABS(Model!AG77-(Model!AG75-Model!AG76))</f>
        <v/>
      </c>
      <c r="AJ66">
        <f>ABS(Model!AH77-(Model!AH75-Model!AH76))</f>
        <v/>
      </c>
      <c r="AK66">
        <f>ABS(Model!AI77-(Model!AI75-Model!AI76))</f>
        <v/>
      </c>
      <c r="AL66">
        <f>ABS(Model!AJ77-(Model!AJ75-Model!AJ76))</f>
        <v/>
      </c>
      <c r="AM66">
        <f>ABS(Model!AK77-(Model!AK75-Model!AK76))</f>
        <v/>
      </c>
      <c r="AN66">
        <f>ABS(Model!AL77-(Model!AL75-Model!AL76))</f>
        <v/>
      </c>
      <c r="AO66">
        <f>ABS(Model!AM77-(Model!AM75-Model!AM76))</f>
        <v/>
      </c>
      <c r="AP66">
        <f>ABS(Model!AN77-(Model!AN75-Model!AN76))</f>
        <v/>
      </c>
      <c r="AQ66">
        <f>ABS(Model!AO77-(Model!AO75-Model!AO76))</f>
        <v/>
      </c>
      <c r="AR66">
        <f>ABS(Model!AP77-(Model!AP75-Model!AP76))</f>
        <v/>
      </c>
      <c r="AS66">
        <f>ABS(Model!AQ77-(Model!AQ75-Model!AQ76))</f>
        <v/>
      </c>
      <c r="AT66">
        <f>ABS(Model!AR77-(Model!AR75-Model!AR76))</f>
        <v/>
      </c>
      <c r="AU66">
        <f>ABS(Model!AS77-(Model!AS75-Model!AS76))</f>
        <v/>
      </c>
      <c r="AV66">
        <f>ABS(Model!AT77-(Model!AT75-Model!AT76))</f>
        <v/>
      </c>
      <c r="AW66">
        <f>ABS(Model!AU77-(Model!AU75-Model!AU76))</f>
        <v/>
      </c>
      <c r="AX66">
        <f>ABS(Model!AV77-(Model!AV75-Model!AV76))</f>
        <v/>
      </c>
      <c r="AY66">
        <f>ABS(Model!AW77-(Model!AW75-Model!AW76))</f>
        <v/>
      </c>
      <c r="AZ66">
        <f>ABS(Model!AX77-(Model!AX75-Model!AX76))</f>
        <v/>
      </c>
      <c r="BA66">
        <f>ABS(Model!AY77-(Model!AY75-Model!AY76))</f>
        <v/>
      </c>
      <c r="BB66">
        <f>ABS(Model!AZ77-(Model!AZ75-Model!AZ76))</f>
        <v/>
      </c>
      <c r="BC66">
        <f>ABS(Model!BA77-(Model!BA75-Model!BA76))</f>
        <v/>
      </c>
      <c r="BD66">
        <f>ABS(Model!BB77-(Model!BB75-Model!BB76))</f>
        <v/>
      </c>
      <c r="BE66">
        <f>ABS(Model!BC77-(Model!BC75-Model!BC76))</f>
        <v/>
      </c>
      <c r="BF66">
        <f>ABS(Model!BD77-(Model!BD75-Model!BD76))</f>
        <v/>
      </c>
      <c r="BG66">
        <f>ABS(Model!BE77-(Model!BE75-Model!BE76))</f>
        <v/>
      </c>
      <c r="BH66">
        <f>ABS(Model!BF77-(Model!BF75-Model!BF76))</f>
        <v/>
      </c>
      <c r="BI66">
        <f>ABS(Model!BG77-(Model!BG75-Model!BG76))</f>
        <v/>
      </c>
      <c r="BJ66">
        <f>ABS(Model!BH77-(Model!BH75-Model!BH76))</f>
        <v/>
      </c>
      <c r="BK66">
        <f>ABS(Model!BI77-(Model!BI75-Model!BI76))</f>
        <v/>
      </c>
      <c r="BL66">
        <f>ABS(Model!BJ77-(Model!BJ75-Model!BJ76))</f>
        <v/>
      </c>
      <c r="BM66">
        <f>ABS(Model!BK77-(Model!BK75-Model!BK76))</f>
        <v/>
      </c>
      <c r="BN66">
        <f>ABS(Model!BL77-(Model!BL75-Model!BL76))</f>
        <v/>
      </c>
      <c r="BO66">
        <f>ABS(Model!BM77-(Model!BM75-Model!BM76))</f>
        <v/>
      </c>
      <c r="BP66">
        <f>ABS(Model!BN77-(Model!BN75-Model!BN76))</f>
        <v/>
      </c>
      <c r="BQ66">
        <f>ABS(Model!BO77-(Model!BO75-Model!BO76))</f>
        <v/>
      </c>
      <c r="BR66">
        <f>ABS(Model!BP77-(Model!BP75-Model!BP76))</f>
        <v/>
      </c>
      <c r="BS66">
        <f>ABS(Model!BQ77-(Model!BQ75-Model!BQ76))</f>
        <v/>
      </c>
      <c r="BT66">
        <f>ABS(Model!BR77-(Model!BR75-Model!BR76))</f>
        <v/>
      </c>
      <c r="BU66">
        <f>ABS(Model!BS77-(Model!BS75-Model!BS76))</f>
        <v/>
      </c>
      <c r="BV66">
        <f>ABS(Model!BT77-(Model!BT75-Model!BT76))</f>
        <v/>
      </c>
      <c r="BW66">
        <f>ABS(Model!BU77-(Model!BU75-Model!BU76))</f>
        <v/>
      </c>
      <c r="BX66">
        <f>ABS(Model!BV77-(Model!BV75-Model!BV76))</f>
        <v/>
      </c>
      <c r="BY66">
        <f>ABS(Model!BW77-(Model!BW75-Model!BW76))</f>
        <v/>
      </c>
      <c r="BZ66">
        <f>ABS(Model!BX77-(Model!BX75-Model!BX76))</f>
        <v/>
      </c>
      <c r="CA66">
        <f>ABS(Model!BY77-(Model!BY75-Model!BY76))</f>
        <v/>
      </c>
      <c r="CB66">
        <f>ABS(Model!BZ77-(Model!BZ75-Model!BZ76))</f>
        <v/>
      </c>
      <c r="CC66">
        <f>ABS(Model!CA77-(Model!CA75-Model!CA76))</f>
        <v/>
      </c>
      <c r="CD66">
        <f>ABS(Model!CB77-(Model!CB75-Model!CB76))</f>
        <v/>
      </c>
      <c r="CE66">
        <f>ABS(Model!CC77-(Model!CC75-Model!CC76))</f>
        <v/>
      </c>
      <c r="CF66">
        <f>ABS(Model!CD77-(Model!CD75-Model!CD76))</f>
        <v/>
      </c>
      <c r="CG66">
        <f>ABS(Model!CE77-(Model!CE75-Model!CE76))</f>
        <v/>
      </c>
      <c r="CH66">
        <f>ABS(Model!CF77-(Model!CF75-Model!CF76))</f>
        <v/>
      </c>
      <c r="CI66">
        <f>ABS(Model!CG77-(Model!CG75-Model!CG76))</f>
        <v/>
      </c>
      <c r="CJ66">
        <f>ABS(Model!CH77-(Model!CH75-Model!CH76))</f>
        <v/>
      </c>
      <c r="CK66">
        <f>ABS(Model!CI77-(Model!CI75-Model!CI76))</f>
        <v/>
      </c>
      <c r="CL66">
        <f>ABS(Model!CJ77-(Model!CJ75-Model!CJ76))</f>
        <v/>
      </c>
      <c r="CM66">
        <f>ABS(Model!CK77-(Model!CK75-Model!CK76))</f>
        <v/>
      </c>
      <c r="CN66">
        <f>ABS(Model!CL77-(Model!CL75-Model!CL76))</f>
        <v/>
      </c>
      <c r="CO66">
        <f>ABS(Model!CM77-(Model!CM75-Model!CM76))</f>
        <v/>
      </c>
      <c r="CP66">
        <f>ABS(Model!CN77-(Model!CN75-Model!CN76))</f>
        <v/>
      </c>
      <c r="CQ66">
        <f>ABS(Model!CO77-(Model!CO75-Model!CO76))</f>
        <v/>
      </c>
      <c r="CR66">
        <f>ABS(Model!CP77-(Model!CP75-Model!CP76))</f>
        <v/>
      </c>
      <c r="CS66">
        <f>ABS(Model!CQ77-(Model!CQ75-Model!CQ76))</f>
        <v/>
      </c>
      <c r="CT66">
        <f>ABS(Model!CR77-(Model!CR75-Model!CR76))</f>
        <v/>
      </c>
      <c r="CU66">
        <f>ABS(Model!CS77-(Model!CS75-Model!CS76))</f>
        <v/>
      </c>
      <c r="CV66">
        <f>ABS(Model!CT77-(Model!CT75-Model!CT76))</f>
        <v/>
      </c>
      <c r="CW66">
        <f>ABS(Model!CU77-(Model!CU75-Model!CU76))</f>
        <v/>
      </c>
      <c r="CX66">
        <f>ABS(Model!CV77-(Model!CV75-Model!CV76))</f>
        <v/>
      </c>
      <c r="CY66">
        <f>ABS(Model!CW77-(Model!CW75-Model!CW76))</f>
        <v/>
      </c>
      <c r="CZ66">
        <f>ABS(Model!CX77-(Model!CX75-Model!CX76))</f>
        <v/>
      </c>
      <c r="DA66">
        <f>ABS(Model!CY77-(Model!CY75-Model!CY76))</f>
        <v/>
      </c>
      <c r="DB66">
        <f>ABS(Model!CZ77-(Model!CZ75-Model!CZ76))</f>
        <v/>
      </c>
      <c r="DC66">
        <f>ABS(Model!DA77-(Model!DA75-Model!DA76))</f>
        <v/>
      </c>
      <c r="DD66">
        <f>ABS(Model!DB77-(Model!DB75-Model!DB76))</f>
        <v/>
      </c>
      <c r="DE66">
        <f>ABS(Model!DC77-(Model!DC75-Model!DC76))</f>
        <v/>
      </c>
      <c r="DF66">
        <f>ABS(Model!DD77-(Model!DD75-Model!DD76))</f>
        <v/>
      </c>
      <c r="DG66">
        <f>ABS(Model!DE77-(Model!DE75-Model!DE76))</f>
        <v/>
      </c>
      <c r="DH66">
        <f>ABS(Model!DF77-(Model!DF75-Model!DF76))</f>
        <v/>
      </c>
      <c r="DI66">
        <f>ABS(Model!DG77-(Model!DG75-Model!DG76))</f>
        <v/>
      </c>
      <c r="DJ66">
        <f>ABS(Model!DH77-(Model!DH75-Model!DH76))</f>
        <v/>
      </c>
      <c r="DK66">
        <f>ABS(Model!DI77-(Model!DI75-Model!DI76))</f>
        <v/>
      </c>
      <c r="DL66">
        <f>ABS(Model!DJ77-(Model!DJ75-Model!DJ76))</f>
        <v/>
      </c>
      <c r="DM66">
        <f>ABS(Model!DK77-(Model!DK75-Model!DK76))</f>
        <v/>
      </c>
      <c r="DN66">
        <f>ABS(Model!DL77-(Model!DL75-Model!DL76))</f>
        <v/>
      </c>
      <c r="DO66">
        <f>ABS(Model!DM77-(Model!DM75-Model!DM76))</f>
        <v/>
      </c>
      <c r="DP66">
        <f>ABS(Model!DN77-(Model!DN75-Model!DN76))</f>
        <v/>
      </c>
      <c r="DQ66">
        <f>ABS(Model!DO77-(Model!DO75-Model!DO76))</f>
        <v/>
      </c>
      <c r="DR66">
        <f>ABS(Model!DP77-(Model!DP75-Model!DP76))</f>
        <v/>
      </c>
      <c r="DS66">
        <f>ABS(Model!DQ77-(Model!DQ75-Model!DQ76))</f>
        <v/>
      </c>
      <c r="DT66">
        <f>ABS(Model!DR77-(Model!DR75-Model!DR76))</f>
        <v/>
      </c>
    </row>
    <row r="67">
      <c r="B67" t="inlineStr">
        <is>
          <t>change_in_cash = fcf - principal</t>
        </is>
      </c>
      <c r="E67">
        <f>ABS(Model!C78-(Model!C77-Model!C63))</f>
        <v/>
      </c>
      <c r="F67">
        <f>ABS(Model!D78-(Model!D77-Model!D63))</f>
        <v/>
      </c>
      <c r="G67">
        <f>ABS(Model!E78-(Model!E77-Model!E63))</f>
        <v/>
      </c>
      <c r="H67">
        <f>ABS(Model!F78-(Model!F77-Model!F63))</f>
        <v/>
      </c>
      <c r="I67">
        <f>ABS(Model!G78-(Model!G77-Model!G63))</f>
        <v/>
      </c>
      <c r="J67">
        <f>ABS(Model!H78-(Model!H77-Model!H63))</f>
        <v/>
      </c>
      <c r="K67">
        <f>ABS(Model!I78-(Model!I77-Model!I63))</f>
        <v/>
      </c>
      <c r="L67">
        <f>ABS(Model!J78-(Model!J77-Model!J63))</f>
        <v/>
      </c>
      <c r="M67">
        <f>ABS(Model!K78-(Model!K77-Model!K63))</f>
        <v/>
      </c>
      <c r="N67">
        <f>ABS(Model!L78-(Model!L77-Model!L63))</f>
        <v/>
      </c>
      <c r="O67">
        <f>ABS(Model!M78-(Model!M77-Model!M63))</f>
        <v/>
      </c>
      <c r="P67">
        <f>ABS(Model!N78-(Model!N77-Model!N63))</f>
        <v/>
      </c>
      <c r="Q67">
        <f>ABS(Model!O78-(Model!O77-Model!O63))</f>
        <v/>
      </c>
      <c r="R67">
        <f>ABS(Model!P78-(Model!P77-Model!P63))</f>
        <v/>
      </c>
      <c r="S67">
        <f>ABS(Model!Q78-(Model!Q77-Model!Q63))</f>
        <v/>
      </c>
      <c r="T67">
        <f>ABS(Model!R78-(Model!R77-Model!R63))</f>
        <v/>
      </c>
      <c r="U67">
        <f>ABS(Model!S78-(Model!S77-Model!S63))</f>
        <v/>
      </c>
      <c r="V67">
        <f>ABS(Model!T78-(Model!T77-Model!T63))</f>
        <v/>
      </c>
      <c r="W67">
        <f>ABS(Model!U78-(Model!U77-Model!U63))</f>
        <v/>
      </c>
      <c r="X67">
        <f>ABS(Model!V78-(Model!V77-Model!V63))</f>
        <v/>
      </c>
      <c r="Y67">
        <f>ABS(Model!W78-(Model!W77-Model!W63))</f>
        <v/>
      </c>
      <c r="Z67">
        <f>ABS(Model!X78-(Model!X77-Model!X63))</f>
        <v/>
      </c>
      <c r="AA67">
        <f>ABS(Model!Y78-(Model!Y77-Model!Y63))</f>
        <v/>
      </c>
      <c r="AB67">
        <f>ABS(Model!Z78-(Model!Z77-Model!Z63))</f>
        <v/>
      </c>
      <c r="AC67">
        <f>ABS(Model!AA78-(Model!AA77-Model!AA63))</f>
        <v/>
      </c>
      <c r="AD67">
        <f>ABS(Model!AB78-(Model!AB77-Model!AB63))</f>
        <v/>
      </c>
      <c r="AE67">
        <f>ABS(Model!AC78-(Model!AC77-Model!AC63))</f>
        <v/>
      </c>
      <c r="AF67">
        <f>ABS(Model!AD78-(Model!AD77-Model!AD63))</f>
        <v/>
      </c>
      <c r="AG67">
        <f>ABS(Model!AE78-(Model!AE77-Model!AE63))</f>
        <v/>
      </c>
      <c r="AH67">
        <f>ABS(Model!AF78-(Model!AF77-Model!AF63))</f>
        <v/>
      </c>
      <c r="AI67">
        <f>ABS(Model!AG78-(Model!AG77-Model!AG63))</f>
        <v/>
      </c>
      <c r="AJ67">
        <f>ABS(Model!AH78-(Model!AH77-Model!AH63))</f>
        <v/>
      </c>
      <c r="AK67">
        <f>ABS(Model!AI78-(Model!AI77-Model!AI63))</f>
        <v/>
      </c>
      <c r="AL67">
        <f>ABS(Model!AJ78-(Model!AJ77-Model!AJ63))</f>
        <v/>
      </c>
      <c r="AM67">
        <f>ABS(Model!AK78-(Model!AK77-Model!AK63))</f>
        <v/>
      </c>
      <c r="AN67">
        <f>ABS(Model!AL78-(Model!AL77-Model!AL63))</f>
        <v/>
      </c>
      <c r="AO67">
        <f>ABS(Model!AM78-(Model!AM77-Model!AM63))</f>
        <v/>
      </c>
      <c r="AP67">
        <f>ABS(Model!AN78-(Model!AN77-Model!AN63))</f>
        <v/>
      </c>
      <c r="AQ67">
        <f>ABS(Model!AO78-(Model!AO77-Model!AO63))</f>
        <v/>
      </c>
      <c r="AR67">
        <f>ABS(Model!AP78-(Model!AP77-Model!AP63))</f>
        <v/>
      </c>
      <c r="AS67">
        <f>ABS(Model!AQ78-(Model!AQ77-Model!AQ63))</f>
        <v/>
      </c>
      <c r="AT67">
        <f>ABS(Model!AR78-(Model!AR77-Model!AR63))</f>
        <v/>
      </c>
      <c r="AU67">
        <f>ABS(Model!AS78-(Model!AS77-Model!AS63))</f>
        <v/>
      </c>
      <c r="AV67">
        <f>ABS(Model!AT78-(Model!AT77-Model!AT63))</f>
        <v/>
      </c>
      <c r="AW67">
        <f>ABS(Model!AU78-(Model!AU77-Model!AU63))</f>
        <v/>
      </c>
      <c r="AX67">
        <f>ABS(Model!AV78-(Model!AV77-Model!AV63))</f>
        <v/>
      </c>
      <c r="AY67">
        <f>ABS(Model!AW78-(Model!AW77-Model!AW63))</f>
        <v/>
      </c>
      <c r="AZ67">
        <f>ABS(Model!AX78-(Model!AX77-Model!AX63))</f>
        <v/>
      </c>
      <c r="BA67">
        <f>ABS(Model!AY78-(Model!AY77-Model!AY63))</f>
        <v/>
      </c>
      <c r="BB67">
        <f>ABS(Model!AZ78-(Model!AZ77-Model!AZ63))</f>
        <v/>
      </c>
      <c r="BC67">
        <f>ABS(Model!BA78-(Model!BA77-Model!BA63))</f>
        <v/>
      </c>
      <c r="BD67">
        <f>ABS(Model!BB78-(Model!BB77-Model!BB63))</f>
        <v/>
      </c>
      <c r="BE67">
        <f>ABS(Model!BC78-(Model!BC77-Model!BC63))</f>
        <v/>
      </c>
      <c r="BF67">
        <f>ABS(Model!BD78-(Model!BD77-Model!BD63))</f>
        <v/>
      </c>
      <c r="BG67">
        <f>ABS(Model!BE78-(Model!BE77-Model!BE63))</f>
        <v/>
      </c>
      <c r="BH67">
        <f>ABS(Model!BF78-(Model!BF77-Model!BF63))</f>
        <v/>
      </c>
      <c r="BI67">
        <f>ABS(Model!BG78-(Model!BG77-Model!BG63))</f>
        <v/>
      </c>
      <c r="BJ67">
        <f>ABS(Model!BH78-(Model!BH77-Model!BH63))</f>
        <v/>
      </c>
      <c r="BK67">
        <f>ABS(Model!BI78-(Model!BI77-Model!BI63))</f>
        <v/>
      </c>
      <c r="BL67">
        <f>ABS(Model!BJ78-(Model!BJ77-Model!BJ63))</f>
        <v/>
      </c>
      <c r="BM67">
        <f>ABS(Model!BK78-(Model!BK77-Model!BK63))</f>
        <v/>
      </c>
      <c r="BN67">
        <f>ABS(Model!BL78-(Model!BL77-Model!BL63))</f>
        <v/>
      </c>
      <c r="BO67">
        <f>ABS(Model!BM78-(Model!BM77-Model!BM63))</f>
        <v/>
      </c>
      <c r="BP67">
        <f>ABS(Model!BN78-(Model!BN77-Model!BN63))</f>
        <v/>
      </c>
      <c r="BQ67">
        <f>ABS(Model!BO78-(Model!BO77-Model!BO63))</f>
        <v/>
      </c>
      <c r="BR67">
        <f>ABS(Model!BP78-(Model!BP77-Model!BP63))</f>
        <v/>
      </c>
      <c r="BS67">
        <f>ABS(Model!BQ78-(Model!BQ77-Model!BQ63))</f>
        <v/>
      </c>
      <c r="BT67">
        <f>ABS(Model!BR78-(Model!BR77-Model!BR63))</f>
        <v/>
      </c>
      <c r="BU67">
        <f>ABS(Model!BS78-(Model!BS77-Model!BS63))</f>
        <v/>
      </c>
      <c r="BV67">
        <f>ABS(Model!BT78-(Model!BT77-Model!BT63))</f>
        <v/>
      </c>
      <c r="BW67">
        <f>ABS(Model!BU78-(Model!BU77-Model!BU63))</f>
        <v/>
      </c>
      <c r="BX67">
        <f>ABS(Model!BV78-(Model!BV77-Model!BV63))</f>
        <v/>
      </c>
      <c r="BY67">
        <f>ABS(Model!BW78-(Model!BW77-Model!BW63))</f>
        <v/>
      </c>
      <c r="BZ67">
        <f>ABS(Model!BX78-(Model!BX77-Model!BX63))</f>
        <v/>
      </c>
      <c r="CA67">
        <f>ABS(Model!BY78-(Model!BY77-Model!BY63))</f>
        <v/>
      </c>
      <c r="CB67">
        <f>ABS(Model!BZ78-(Model!BZ77-Model!BZ63))</f>
        <v/>
      </c>
      <c r="CC67">
        <f>ABS(Model!CA78-(Model!CA77-Model!CA63))</f>
        <v/>
      </c>
      <c r="CD67">
        <f>ABS(Model!CB78-(Model!CB77-Model!CB63))</f>
        <v/>
      </c>
      <c r="CE67">
        <f>ABS(Model!CC78-(Model!CC77-Model!CC63))</f>
        <v/>
      </c>
      <c r="CF67">
        <f>ABS(Model!CD78-(Model!CD77-Model!CD63))</f>
        <v/>
      </c>
      <c r="CG67">
        <f>ABS(Model!CE78-(Model!CE77-Model!CE63))</f>
        <v/>
      </c>
      <c r="CH67">
        <f>ABS(Model!CF78-(Model!CF77-Model!CF63))</f>
        <v/>
      </c>
      <c r="CI67">
        <f>ABS(Model!CG78-(Model!CG77-Model!CG63))</f>
        <v/>
      </c>
      <c r="CJ67">
        <f>ABS(Model!CH78-(Model!CH77-Model!CH63))</f>
        <v/>
      </c>
      <c r="CK67">
        <f>ABS(Model!CI78-(Model!CI77-Model!CI63))</f>
        <v/>
      </c>
      <c r="CL67">
        <f>ABS(Model!CJ78-(Model!CJ77-Model!CJ63))</f>
        <v/>
      </c>
      <c r="CM67">
        <f>ABS(Model!CK78-(Model!CK77-Model!CK63))</f>
        <v/>
      </c>
      <c r="CN67">
        <f>ABS(Model!CL78-(Model!CL77-Model!CL63))</f>
        <v/>
      </c>
      <c r="CO67">
        <f>ABS(Model!CM78-(Model!CM77-Model!CM63))</f>
        <v/>
      </c>
      <c r="CP67">
        <f>ABS(Model!CN78-(Model!CN77-Model!CN63))</f>
        <v/>
      </c>
      <c r="CQ67">
        <f>ABS(Model!CO78-(Model!CO77-Model!CO63))</f>
        <v/>
      </c>
      <c r="CR67">
        <f>ABS(Model!CP78-(Model!CP77-Model!CP63))</f>
        <v/>
      </c>
      <c r="CS67">
        <f>ABS(Model!CQ78-(Model!CQ77-Model!CQ63))</f>
        <v/>
      </c>
      <c r="CT67">
        <f>ABS(Model!CR78-(Model!CR77-Model!CR63))</f>
        <v/>
      </c>
      <c r="CU67">
        <f>ABS(Model!CS78-(Model!CS77-Model!CS63))</f>
        <v/>
      </c>
      <c r="CV67">
        <f>ABS(Model!CT78-(Model!CT77-Model!CT63))</f>
        <v/>
      </c>
      <c r="CW67">
        <f>ABS(Model!CU78-(Model!CU77-Model!CU63))</f>
        <v/>
      </c>
      <c r="CX67">
        <f>ABS(Model!CV78-(Model!CV77-Model!CV63))</f>
        <v/>
      </c>
      <c r="CY67">
        <f>ABS(Model!CW78-(Model!CW77-Model!CW63))</f>
        <v/>
      </c>
      <c r="CZ67">
        <f>ABS(Model!CX78-(Model!CX77-Model!CX63))</f>
        <v/>
      </c>
      <c r="DA67">
        <f>ABS(Model!CY78-(Model!CY77-Model!CY63))</f>
        <v/>
      </c>
      <c r="DB67">
        <f>ABS(Model!CZ78-(Model!CZ77-Model!CZ63))</f>
        <v/>
      </c>
      <c r="DC67">
        <f>ABS(Model!DA78-(Model!DA77-Model!DA63))</f>
        <v/>
      </c>
      <c r="DD67">
        <f>ABS(Model!DB78-(Model!DB77-Model!DB63))</f>
        <v/>
      </c>
      <c r="DE67">
        <f>ABS(Model!DC78-(Model!DC77-Model!DC63))</f>
        <v/>
      </c>
      <c r="DF67">
        <f>ABS(Model!DD78-(Model!DD77-Model!DD63))</f>
        <v/>
      </c>
      <c r="DG67">
        <f>ABS(Model!DE78-(Model!DE77-Model!DE63))</f>
        <v/>
      </c>
      <c r="DH67">
        <f>ABS(Model!DF78-(Model!DF77-Model!DF63))</f>
        <v/>
      </c>
      <c r="DI67">
        <f>ABS(Model!DG78-(Model!DG77-Model!DG63))</f>
        <v/>
      </c>
      <c r="DJ67">
        <f>ABS(Model!DH78-(Model!DH77-Model!DH63))</f>
        <v/>
      </c>
      <c r="DK67">
        <f>ABS(Model!DI78-(Model!DI77-Model!DI63))</f>
        <v/>
      </c>
      <c r="DL67">
        <f>ABS(Model!DJ78-(Model!DJ77-Model!DJ63))</f>
        <v/>
      </c>
      <c r="DM67">
        <f>ABS(Model!DK78-(Model!DK77-Model!DK63))</f>
        <v/>
      </c>
      <c r="DN67">
        <f>ABS(Model!DL78-(Model!DL77-Model!DL63))</f>
        <v/>
      </c>
      <c r="DO67">
        <f>ABS(Model!DM78-(Model!DM77-Model!DM63))</f>
        <v/>
      </c>
      <c r="DP67">
        <f>ABS(Model!DN78-(Model!DN77-Model!DN63))</f>
        <v/>
      </c>
      <c r="DQ67">
        <f>ABS(Model!DO78-(Model!DO77-Model!DO63))</f>
        <v/>
      </c>
      <c r="DR67">
        <f>ABS(Model!DP78-(Model!DP77-Model!DP63))</f>
        <v/>
      </c>
      <c r="DS67">
        <f>ABS(Model!DQ78-(Model!DQ77-Model!DQ63))</f>
        <v/>
      </c>
      <c r="DT67">
        <f>ABS(Model!DR78-(Model!DR77-Model!DR63))</f>
        <v/>
      </c>
    </row>
    <row r="68">
      <c r="B68" t="inlineStr">
        <is>
          <t>tax is never negative</t>
        </is>
      </c>
      <c r="E68">
        <f>MAX(0,-Model!C69)</f>
        <v/>
      </c>
      <c r="F68">
        <f>MAX(0,-Model!D69)</f>
        <v/>
      </c>
      <c r="G68">
        <f>MAX(0,-Model!E69)</f>
        <v/>
      </c>
      <c r="H68">
        <f>MAX(0,-Model!F69)</f>
        <v/>
      </c>
      <c r="I68">
        <f>MAX(0,-Model!G69)</f>
        <v/>
      </c>
      <c r="J68">
        <f>MAX(0,-Model!H69)</f>
        <v/>
      </c>
      <c r="K68">
        <f>MAX(0,-Model!I69)</f>
        <v/>
      </c>
      <c r="L68">
        <f>MAX(0,-Model!J69)</f>
        <v/>
      </c>
      <c r="M68">
        <f>MAX(0,-Model!K69)</f>
        <v/>
      </c>
      <c r="N68">
        <f>MAX(0,-Model!L69)</f>
        <v/>
      </c>
      <c r="O68">
        <f>MAX(0,-Model!M69)</f>
        <v/>
      </c>
      <c r="P68">
        <f>MAX(0,-Model!N69)</f>
        <v/>
      </c>
      <c r="Q68">
        <f>MAX(0,-Model!O69)</f>
        <v/>
      </c>
      <c r="R68">
        <f>MAX(0,-Model!P69)</f>
        <v/>
      </c>
      <c r="S68">
        <f>MAX(0,-Model!Q69)</f>
        <v/>
      </c>
      <c r="T68">
        <f>MAX(0,-Model!R69)</f>
        <v/>
      </c>
      <c r="U68">
        <f>MAX(0,-Model!S69)</f>
        <v/>
      </c>
      <c r="V68">
        <f>MAX(0,-Model!T69)</f>
        <v/>
      </c>
      <c r="W68">
        <f>MAX(0,-Model!U69)</f>
        <v/>
      </c>
      <c r="X68">
        <f>MAX(0,-Model!V69)</f>
        <v/>
      </c>
      <c r="Y68">
        <f>MAX(0,-Model!W69)</f>
        <v/>
      </c>
      <c r="Z68">
        <f>MAX(0,-Model!X69)</f>
        <v/>
      </c>
      <c r="AA68">
        <f>MAX(0,-Model!Y69)</f>
        <v/>
      </c>
      <c r="AB68">
        <f>MAX(0,-Model!Z69)</f>
        <v/>
      </c>
      <c r="AC68">
        <f>MAX(0,-Model!AA69)</f>
        <v/>
      </c>
      <c r="AD68">
        <f>MAX(0,-Model!AB69)</f>
        <v/>
      </c>
      <c r="AE68">
        <f>MAX(0,-Model!AC69)</f>
        <v/>
      </c>
      <c r="AF68">
        <f>MAX(0,-Model!AD69)</f>
        <v/>
      </c>
      <c r="AG68">
        <f>MAX(0,-Model!AE69)</f>
        <v/>
      </c>
      <c r="AH68">
        <f>MAX(0,-Model!AF69)</f>
        <v/>
      </c>
      <c r="AI68">
        <f>MAX(0,-Model!AG69)</f>
        <v/>
      </c>
      <c r="AJ68">
        <f>MAX(0,-Model!AH69)</f>
        <v/>
      </c>
      <c r="AK68">
        <f>MAX(0,-Model!AI69)</f>
        <v/>
      </c>
      <c r="AL68">
        <f>MAX(0,-Model!AJ69)</f>
        <v/>
      </c>
      <c r="AM68">
        <f>MAX(0,-Model!AK69)</f>
        <v/>
      </c>
      <c r="AN68">
        <f>MAX(0,-Model!AL69)</f>
        <v/>
      </c>
      <c r="AO68">
        <f>MAX(0,-Model!AM69)</f>
        <v/>
      </c>
      <c r="AP68">
        <f>MAX(0,-Model!AN69)</f>
        <v/>
      </c>
      <c r="AQ68">
        <f>MAX(0,-Model!AO69)</f>
        <v/>
      </c>
      <c r="AR68">
        <f>MAX(0,-Model!AP69)</f>
        <v/>
      </c>
      <c r="AS68">
        <f>MAX(0,-Model!AQ69)</f>
        <v/>
      </c>
      <c r="AT68">
        <f>MAX(0,-Model!AR69)</f>
        <v/>
      </c>
      <c r="AU68">
        <f>MAX(0,-Model!AS69)</f>
        <v/>
      </c>
      <c r="AV68">
        <f>MAX(0,-Model!AT69)</f>
        <v/>
      </c>
      <c r="AW68">
        <f>MAX(0,-Model!AU69)</f>
        <v/>
      </c>
      <c r="AX68">
        <f>MAX(0,-Model!AV69)</f>
        <v/>
      </c>
      <c r="AY68">
        <f>MAX(0,-Model!AW69)</f>
        <v/>
      </c>
      <c r="AZ68">
        <f>MAX(0,-Model!AX69)</f>
        <v/>
      </c>
      <c r="BA68">
        <f>MAX(0,-Model!AY69)</f>
        <v/>
      </c>
      <c r="BB68">
        <f>MAX(0,-Model!AZ69)</f>
        <v/>
      </c>
      <c r="BC68">
        <f>MAX(0,-Model!BA69)</f>
        <v/>
      </c>
      <c r="BD68">
        <f>MAX(0,-Model!BB69)</f>
        <v/>
      </c>
      <c r="BE68">
        <f>MAX(0,-Model!BC69)</f>
        <v/>
      </c>
      <c r="BF68">
        <f>MAX(0,-Model!BD69)</f>
        <v/>
      </c>
      <c r="BG68">
        <f>MAX(0,-Model!BE69)</f>
        <v/>
      </c>
      <c r="BH68">
        <f>MAX(0,-Model!BF69)</f>
        <v/>
      </c>
      <c r="BI68">
        <f>MAX(0,-Model!BG69)</f>
        <v/>
      </c>
      <c r="BJ68">
        <f>MAX(0,-Model!BH69)</f>
        <v/>
      </c>
      <c r="BK68">
        <f>MAX(0,-Model!BI69)</f>
        <v/>
      </c>
      <c r="BL68">
        <f>MAX(0,-Model!BJ69)</f>
        <v/>
      </c>
      <c r="BM68">
        <f>MAX(0,-Model!BK69)</f>
        <v/>
      </c>
      <c r="BN68">
        <f>MAX(0,-Model!BL69)</f>
        <v/>
      </c>
      <c r="BO68">
        <f>MAX(0,-Model!BM69)</f>
        <v/>
      </c>
      <c r="BP68">
        <f>MAX(0,-Model!BN69)</f>
        <v/>
      </c>
      <c r="BQ68">
        <f>MAX(0,-Model!BO69)</f>
        <v/>
      </c>
      <c r="BR68">
        <f>MAX(0,-Model!BP69)</f>
        <v/>
      </c>
      <c r="BS68">
        <f>MAX(0,-Model!BQ69)</f>
        <v/>
      </c>
      <c r="BT68">
        <f>MAX(0,-Model!BR69)</f>
        <v/>
      </c>
      <c r="BU68">
        <f>MAX(0,-Model!BS69)</f>
        <v/>
      </c>
      <c r="BV68">
        <f>MAX(0,-Model!BT69)</f>
        <v/>
      </c>
      <c r="BW68">
        <f>MAX(0,-Model!BU69)</f>
        <v/>
      </c>
      <c r="BX68">
        <f>MAX(0,-Model!BV69)</f>
        <v/>
      </c>
      <c r="BY68">
        <f>MAX(0,-Model!BW69)</f>
        <v/>
      </c>
      <c r="BZ68">
        <f>MAX(0,-Model!BX69)</f>
        <v/>
      </c>
      <c r="CA68">
        <f>MAX(0,-Model!BY69)</f>
        <v/>
      </c>
      <c r="CB68">
        <f>MAX(0,-Model!BZ69)</f>
        <v/>
      </c>
      <c r="CC68">
        <f>MAX(0,-Model!CA69)</f>
        <v/>
      </c>
      <c r="CD68">
        <f>MAX(0,-Model!CB69)</f>
        <v/>
      </c>
      <c r="CE68">
        <f>MAX(0,-Model!CC69)</f>
        <v/>
      </c>
      <c r="CF68">
        <f>MAX(0,-Model!CD69)</f>
        <v/>
      </c>
      <c r="CG68">
        <f>MAX(0,-Model!CE69)</f>
        <v/>
      </c>
      <c r="CH68">
        <f>MAX(0,-Model!CF69)</f>
        <v/>
      </c>
      <c r="CI68">
        <f>MAX(0,-Model!CG69)</f>
        <v/>
      </c>
      <c r="CJ68">
        <f>MAX(0,-Model!CH69)</f>
        <v/>
      </c>
      <c r="CK68">
        <f>MAX(0,-Model!CI69)</f>
        <v/>
      </c>
      <c r="CL68">
        <f>MAX(0,-Model!CJ69)</f>
        <v/>
      </c>
      <c r="CM68">
        <f>MAX(0,-Model!CK69)</f>
        <v/>
      </c>
      <c r="CN68">
        <f>MAX(0,-Model!CL69)</f>
        <v/>
      </c>
      <c r="CO68">
        <f>MAX(0,-Model!CM69)</f>
        <v/>
      </c>
      <c r="CP68">
        <f>MAX(0,-Model!CN69)</f>
        <v/>
      </c>
      <c r="CQ68">
        <f>MAX(0,-Model!CO69)</f>
        <v/>
      </c>
      <c r="CR68">
        <f>MAX(0,-Model!CP69)</f>
        <v/>
      </c>
      <c r="CS68">
        <f>MAX(0,-Model!CQ69)</f>
        <v/>
      </c>
      <c r="CT68">
        <f>MAX(0,-Model!CR69)</f>
        <v/>
      </c>
      <c r="CU68">
        <f>MAX(0,-Model!CS69)</f>
        <v/>
      </c>
      <c r="CV68">
        <f>MAX(0,-Model!CT69)</f>
        <v/>
      </c>
      <c r="CW68">
        <f>MAX(0,-Model!CU69)</f>
        <v/>
      </c>
      <c r="CX68">
        <f>MAX(0,-Model!CV69)</f>
        <v/>
      </c>
      <c r="CY68">
        <f>MAX(0,-Model!CW69)</f>
        <v/>
      </c>
      <c r="CZ68">
        <f>MAX(0,-Model!CX69)</f>
        <v/>
      </c>
      <c r="DA68">
        <f>MAX(0,-Model!CY69)</f>
        <v/>
      </c>
      <c r="DB68">
        <f>MAX(0,-Model!CZ69)</f>
        <v/>
      </c>
      <c r="DC68">
        <f>MAX(0,-Model!DA69)</f>
        <v/>
      </c>
      <c r="DD68">
        <f>MAX(0,-Model!DB69)</f>
        <v/>
      </c>
      <c r="DE68">
        <f>MAX(0,-Model!DC69)</f>
        <v/>
      </c>
      <c r="DF68">
        <f>MAX(0,-Model!DD69)</f>
        <v/>
      </c>
      <c r="DG68">
        <f>MAX(0,-Model!DE69)</f>
        <v/>
      </c>
      <c r="DH68">
        <f>MAX(0,-Model!DF69)</f>
        <v/>
      </c>
      <c r="DI68">
        <f>MAX(0,-Model!DG69)</f>
        <v/>
      </c>
      <c r="DJ68">
        <f>MAX(0,-Model!DH69)</f>
        <v/>
      </c>
      <c r="DK68">
        <f>MAX(0,-Model!DI69)</f>
        <v/>
      </c>
      <c r="DL68">
        <f>MAX(0,-Model!DJ69)</f>
        <v/>
      </c>
      <c r="DM68">
        <f>MAX(0,-Model!DK69)</f>
        <v/>
      </c>
      <c r="DN68">
        <f>MAX(0,-Model!DL69)</f>
        <v/>
      </c>
      <c r="DO68">
        <f>MAX(0,-Model!DM69)</f>
        <v/>
      </c>
      <c r="DP68">
        <f>MAX(0,-Model!DN69)</f>
        <v/>
      </c>
      <c r="DQ68">
        <f>MAX(0,-Model!DO69)</f>
        <v/>
      </c>
      <c r="DR68">
        <f>MAX(0,-Model!DP69)</f>
        <v/>
      </c>
      <c r="DS68">
        <f>MAX(0,-Model!DQ69)</f>
        <v/>
      </c>
      <c r="DT68">
        <f>MAX(0,-Model!DR69)</f>
        <v/>
      </c>
    </row>
    <row r="69">
      <c r="B69" t="inlineStr">
        <is>
          <t>tax-loss carryforward never negative</t>
        </is>
      </c>
      <c r="E69">
        <f>MAX(0,-Model!C68)</f>
        <v/>
      </c>
      <c r="F69">
        <f>MAX(0,-Model!D68)</f>
        <v/>
      </c>
      <c r="G69">
        <f>MAX(0,-Model!E68)</f>
        <v/>
      </c>
      <c r="H69">
        <f>MAX(0,-Model!F68)</f>
        <v/>
      </c>
      <c r="I69">
        <f>MAX(0,-Model!G68)</f>
        <v/>
      </c>
      <c r="J69">
        <f>MAX(0,-Model!H68)</f>
        <v/>
      </c>
      <c r="K69">
        <f>MAX(0,-Model!I68)</f>
        <v/>
      </c>
      <c r="L69">
        <f>MAX(0,-Model!J68)</f>
        <v/>
      </c>
      <c r="M69">
        <f>MAX(0,-Model!K68)</f>
        <v/>
      </c>
      <c r="N69">
        <f>MAX(0,-Model!L68)</f>
        <v/>
      </c>
      <c r="O69">
        <f>MAX(0,-Model!M68)</f>
        <v/>
      </c>
      <c r="P69">
        <f>MAX(0,-Model!N68)</f>
        <v/>
      </c>
      <c r="Q69">
        <f>MAX(0,-Model!O68)</f>
        <v/>
      </c>
      <c r="R69">
        <f>MAX(0,-Model!P68)</f>
        <v/>
      </c>
      <c r="S69">
        <f>MAX(0,-Model!Q68)</f>
        <v/>
      </c>
      <c r="T69">
        <f>MAX(0,-Model!R68)</f>
        <v/>
      </c>
      <c r="U69">
        <f>MAX(0,-Model!S68)</f>
        <v/>
      </c>
      <c r="V69">
        <f>MAX(0,-Model!T68)</f>
        <v/>
      </c>
      <c r="W69">
        <f>MAX(0,-Model!U68)</f>
        <v/>
      </c>
      <c r="X69">
        <f>MAX(0,-Model!V68)</f>
        <v/>
      </c>
      <c r="Y69">
        <f>MAX(0,-Model!W68)</f>
        <v/>
      </c>
      <c r="Z69">
        <f>MAX(0,-Model!X68)</f>
        <v/>
      </c>
      <c r="AA69">
        <f>MAX(0,-Model!Y68)</f>
        <v/>
      </c>
      <c r="AB69">
        <f>MAX(0,-Model!Z68)</f>
        <v/>
      </c>
      <c r="AC69">
        <f>MAX(0,-Model!AA68)</f>
        <v/>
      </c>
      <c r="AD69">
        <f>MAX(0,-Model!AB68)</f>
        <v/>
      </c>
      <c r="AE69">
        <f>MAX(0,-Model!AC68)</f>
        <v/>
      </c>
      <c r="AF69">
        <f>MAX(0,-Model!AD68)</f>
        <v/>
      </c>
      <c r="AG69">
        <f>MAX(0,-Model!AE68)</f>
        <v/>
      </c>
      <c r="AH69">
        <f>MAX(0,-Model!AF68)</f>
        <v/>
      </c>
      <c r="AI69">
        <f>MAX(0,-Model!AG68)</f>
        <v/>
      </c>
      <c r="AJ69">
        <f>MAX(0,-Model!AH68)</f>
        <v/>
      </c>
      <c r="AK69">
        <f>MAX(0,-Model!AI68)</f>
        <v/>
      </c>
      <c r="AL69">
        <f>MAX(0,-Model!AJ68)</f>
        <v/>
      </c>
      <c r="AM69">
        <f>MAX(0,-Model!AK68)</f>
        <v/>
      </c>
      <c r="AN69">
        <f>MAX(0,-Model!AL68)</f>
        <v/>
      </c>
      <c r="AO69">
        <f>MAX(0,-Model!AM68)</f>
        <v/>
      </c>
      <c r="AP69">
        <f>MAX(0,-Model!AN68)</f>
        <v/>
      </c>
      <c r="AQ69">
        <f>MAX(0,-Model!AO68)</f>
        <v/>
      </c>
      <c r="AR69">
        <f>MAX(0,-Model!AP68)</f>
        <v/>
      </c>
      <c r="AS69">
        <f>MAX(0,-Model!AQ68)</f>
        <v/>
      </c>
      <c r="AT69">
        <f>MAX(0,-Model!AR68)</f>
        <v/>
      </c>
      <c r="AU69">
        <f>MAX(0,-Model!AS68)</f>
        <v/>
      </c>
      <c r="AV69">
        <f>MAX(0,-Model!AT68)</f>
        <v/>
      </c>
      <c r="AW69">
        <f>MAX(0,-Model!AU68)</f>
        <v/>
      </c>
      <c r="AX69">
        <f>MAX(0,-Model!AV68)</f>
        <v/>
      </c>
      <c r="AY69">
        <f>MAX(0,-Model!AW68)</f>
        <v/>
      </c>
      <c r="AZ69">
        <f>MAX(0,-Model!AX68)</f>
        <v/>
      </c>
      <c r="BA69">
        <f>MAX(0,-Model!AY68)</f>
        <v/>
      </c>
      <c r="BB69">
        <f>MAX(0,-Model!AZ68)</f>
        <v/>
      </c>
      <c r="BC69">
        <f>MAX(0,-Model!BA68)</f>
        <v/>
      </c>
      <c r="BD69">
        <f>MAX(0,-Model!BB68)</f>
        <v/>
      </c>
      <c r="BE69">
        <f>MAX(0,-Model!BC68)</f>
        <v/>
      </c>
      <c r="BF69">
        <f>MAX(0,-Model!BD68)</f>
        <v/>
      </c>
      <c r="BG69">
        <f>MAX(0,-Model!BE68)</f>
        <v/>
      </c>
      <c r="BH69">
        <f>MAX(0,-Model!BF68)</f>
        <v/>
      </c>
      <c r="BI69">
        <f>MAX(0,-Model!BG68)</f>
        <v/>
      </c>
      <c r="BJ69">
        <f>MAX(0,-Model!BH68)</f>
        <v/>
      </c>
      <c r="BK69">
        <f>MAX(0,-Model!BI68)</f>
        <v/>
      </c>
      <c r="BL69">
        <f>MAX(0,-Model!BJ68)</f>
        <v/>
      </c>
      <c r="BM69">
        <f>MAX(0,-Model!BK68)</f>
        <v/>
      </c>
      <c r="BN69">
        <f>MAX(0,-Model!BL68)</f>
        <v/>
      </c>
      <c r="BO69">
        <f>MAX(0,-Model!BM68)</f>
        <v/>
      </c>
      <c r="BP69">
        <f>MAX(0,-Model!BN68)</f>
        <v/>
      </c>
      <c r="BQ69">
        <f>MAX(0,-Model!BO68)</f>
        <v/>
      </c>
      <c r="BR69">
        <f>MAX(0,-Model!BP68)</f>
        <v/>
      </c>
      <c r="BS69">
        <f>MAX(0,-Model!BQ68)</f>
        <v/>
      </c>
      <c r="BT69">
        <f>MAX(0,-Model!BR68)</f>
        <v/>
      </c>
      <c r="BU69">
        <f>MAX(0,-Model!BS68)</f>
        <v/>
      </c>
      <c r="BV69">
        <f>MAX(0,-Model!BT68)</f>
        <v/>
      </c>
      <c r="BW69">
        <f>MAX(0,-Model!BU68)</f>
        <v/>
      </c>
      <c r="BX69">
        <f>MAX(0,-Model!BV68)</f>
        <v/>
      </c>
      <c r="BY69">
        <f>MAX(0,-Model!BW68)</f>
        <v/>
      </c>
      <c r="BZ69">
        <f>MAX(0,-Model!BX68)</f>
        <v/>
      </c>
      <c r="CA69">
        <f>MAX(0,-Model!BY68)</f>
        <v/>
      </c>
      <c r="CB69">
        <f>MAX(0,-Model!BZ68)</f>
        <v/>
      </c>
      <c r="CC69">
        <f>MAX(0,-Model!CA68)</f>
        <v/>
      </c>
      <c r="CD69">
        <f>MAX(0,-Model!CB68)</f>
        <v/>
      </c>
      <c r="CE69">
        <f>MAX(0,-Model!CC68)</f>
        <v/>
      </c>
      <c r="CF69">
        <f>MAX(0,-Model!CD68)</f>
        <v/>
      </c>
      <c r="CG69">
        <f>MAX(0,-Model!CE68)</f>
        <v/>
      </c>
      <c r="CH69">
        <f>MAX(0,-Model!CF68)</f>
        <v/>
      </c>
      <c r="CI69">
        <f>MAX(0,-Model!CG68)</f>
        <v/>
      </c>
      <c r="CJ69">
        <f>MAX(0,-Model!CH68)</f>
        <v/>
      </c>
      <c r="CK69">
        <f>MAX(0,-Model!CI68)</f>
        <v/>
      </c>
      <c r="CL69">
        <f>MAX(0,-Model!CJ68)</f>
        <v/>
      </c>
      <c r="CM69">
        <f>MAX(0,-Model!CK68)</f>
        <v/>
      </c>
      <c r="CN69">
        <f>MAX(0,-Model!CL68)</f>
        <v/>
      </c>
      <c r="CO69">
        <f>MAX(0,-Model!CM68)</f>
        <v/>
      </c>
      <c r="CP69">
        <f>MAX(0,-Model!CN68)</f>
        <v/>
      </c>
      <c r="CQ69">
        <f>MAX(0,-Model!CO68)</f>
        <v/>
      </c>
      <c r="CR69">
        <f>MAX(0,-Model!CP68)</f>
        <v/>
      </c>
      <c r="CS69">
        <f>MAX(0,-Model!CQ68)</f>
        <v/>
      </c>
      <c r="CT69">
        <f>MAX(0,-Model!CR68)</f>
        <v/>
      </c>
      <c r="CU69">
        <f>MAX(0,-Model!CS68)</f>
        <v/>
      </c>
      <c r="CV69">
        <f>MAX(0,-Model!CT68)</f>
        <v/>
      </c>
      <c r="CW69">
        <f>MAX(0,-Model!CU68)</f>
        <v/>
      </c>
      <c r="CX69">
        <f>MAX(0,-Model!CV68)</f>
        <v/>
      </c>
      <c r="CY69">
        <f>MAX(0,-Model!CW68)</f>
        <v/>
      </c>
      <c r="CZ69">
        <f>MAX(0,-Model!CX68)</f>
        <v/>
      </c>
      <c r="DA69">
        <f>MAX(0,-Model!CY68)</f>
        <v/>
      </c>
      <c r="DB69">
        <f>MAX(0,-Model!CZ68)</f>
        <v/>
      </c>
      <c r="DC69">
        <f>MAX(0,-Model!DA68)</f>
        <v/>
      </c>
      <c r="DD69">
        <f>MAX(0,-Model!DB68)</f>
        <v/>
      </c>
      <c r="DE69">
        <f>MAX(0,-Model!DC68)</f>
        <v/>
      </c>
      <c r="DF69">
        <f>MAX(0,-Model!DD68)</f>
        <v/>
      </c>
      <c r="DG69">
        <f>MAX(0,-Model!DE68)</f>
        <v/>
      </c>
      <c r="DH69">
        <f>MAX(0,-Model!DF68)</f>
        <v/>
      </c>
      <c r="DI69">
        <f>MAX(0,-Model!DG68)</f>
        <v/>
      </c>
      <c r="DJ69">
        <f>MAX(0,-Model!DH68)</f>
        <v/>
      </c>
      <c r="DK69">
        <f>MAX(0,-Model!DI68)</f>
        <v/>
      </c>
      <c r="DL69">
        <f>MAX(0,-Model!DJ68)</f>
        <v/>
      </c>
      <c r="DM69">
        <f>MAX(0,-Model!DK68)</f>
        <v/>
      </c>
      <c r="DN69">
        <f>MAX(0,-Model!DL68)</f>
        <v/>
      </c>
      <c r="DO69">
        <f>MAX(0,-Model!DM68)</f>
        <v/>
      </c>
      <c r="DP69">
        <f>MAX(0,-Model!DN68)</f>
        <v/>
      </c>
      <c r="DQ69">
        <f>MAX(0,-Model!DO68)</f>
        <v/>
      </c>
      <c r="DR69">
        <f>MAX(0,-Model!DP68)</f>
        <v/>
      </c>
      <c r="DS69">
        <f>MAX(0,-Model!DQ68)</f>
        <v/>
      </c>
      <c r="DT69">
        <f>MAX(0,-Model!DR68)</f>
        <v/>
      </c>
    </row>
  </sheetData>
  <conditionalFormatting sqref="C3:C3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Assumptions (inputs only - pale yellow)</t>
        </is>
      </c>
    </row>
    <row r="2">
      <c r="A2" s="8" t="inlineStr">
        <is>
          <t>Edit here. Everything else is formula-driven. Keys in column A are the correction paths.</t>
        </is>
      </c>
    </row>
    <row r="3"/>
    <row r="4">
      <c r="A4" s="7" t="inlineStr">
        <is>
          <t>key (correction path)</t>
        </is>
      </c>
      <c r="B4" s="7" t="inlineStr">
        <is>
          <t>value</t>
        </is>
      </c>
      <c r="C4" s="7" t="inlineStr">
        <is>
          <t>meaning</t>
        </is>
      </c>
    </row>
    <row r="5">
      <c r="A5" t="inlineStr">
        <is>
          <t>name</t>
        </is>
      </c>
      <c r="B5" s="9" t="inlineStr">
        <is>
          <t>Kaveri Chairs Pvt Ltd (Coimbatore) - FY2026-27 budget</t>
        </is>
      </c>
      <c r="C5" t="inlineStr">
        <is>
          <t>Company / entity name</t>
        </is>
      </c>
    </row>
    <row r="6">
      <c r="A6" t="inlineStr">
        <is>
          <t>start_month</t>
        </is>
      </c>
      <c r="B6" s="10" t="n">
        <v>46113</v>
      </c>
      <c r="C6" t="inlineStr">
        <is>
          <t>First forecast month (enter 1st of month)</t>
        </is>
      </c>
    </row>
    <row r="7">
      <c r="A7" t="inlineStr">
        <is>
          <t>horizon_months</t>
        </is>
      </c>
      <c r="B7" s="11" t="n">
        <v>12</v>
      </c>
      <c r="C7" t="inlineStr">
        <is>
          <t>Horizon (months, 1-120)</t>
        </is>
      </c>
    </row>
    <row r="8">
      <c r="A8" t="inlineStr">
        <is>
          <t>tax_rate</t>
        </is>
      </c>
      <c r="B8" s="12" t="n">
        <v>0.25168</v>
      </c>
      <c r="C8" t="inlineStr">
        <is>
          <t>Tax rate on positive pre-tax income</t>
        </is>
      </c>
    </row>
    <row r="9">
      <c r="A9" t="inlineStr">
        <is>
          <t>da_monthly</t>
        </is>
      </c>
      <c r="B9" s="13" t="n">
        <v>900000</v>
      </c>
      <c r="C9" t="inlineStr">
        <is>
          <t>Depreciation &amp; amortisation per month</t>
        </is>
      </c>
    </row>
    <row r="10">
      <c r="A10" t="inlineStr">
        <is>
          <t>capex_monthly</t>
        </is>
      </c>
      <c r="B10" s="13" t="n">
        <v>600000</v>
      </c>
      <c r="C10" t="inlineStr">
        <is>
          <t>Capital expenditure per month</t>
        </is>
      </c>
    </row>
    <row r="11">
      <c r="A11" t="inlineStr">
        <is>
          <t>working_capital.dso_days</t>
        </is>
      </c>
      <c r="B11" s="14" t="n">
        <v>52</v>
      </c>
      <c r="C11" t="inlineStr">
        <is>
          <t>DSO days (AR = revenue x DSO/30)</t>
        </is>
      </c>
    </row>
    <row r="12">
      <c r="A12" t="inlineStr">
        <is>
          <t>working_capital.dpo_days</t>
        </is>
      </c>
      <c r="B12" s="14" t="n">
        <v>48</v>
      </c>
      <c r="C12" t="inlineStr">
        <is>
          <t>DPO days (AP = COGS x DPO/30)</t>
        </is>
      </c>
    </row>
    <row r="13">
      <c r="A13" t="inlineStr">
        <is>
          <t>working_capital.dio_days</t>
        </is>
      </c>
      <c r="B13" s="14" t="n">
        <v>85</v>
      </c>
      <c r="C13" t="inlineStr">
        <is>
          <t>DIO days (Inventory = COGS x DIO/30)</t>
        </is>
      </c>
    </row>
    <row r="14">
      <c r="A14" t="inlineStr">
        <is>
          <t>opening_balances.cash</t>
        </is>
      </c>
      <c r="B14" s="13" t="n">
        <v>11000000</v>
      </c>
      <c r="C14" t="inlineStr">
        <is>
          <t>Opening cash</t>
        </is>
      </c>
    </row>
    <row r="15">
      <c r="A15" t="inlineStr">
        <is>
          <t>opening_balances.ar</t>
        </is>
      </c>
      <c r="B15" s="13" t="n">
        <v>52563570</v>
      </c>
      <c r="C15" t="inlineStr">
        <is>
          <t>Opening AR</t>
        </is>
      </c>
    </row>
    <row r="16">
      <c r="A16" t="inlineStr">
        <is>
          <t>opening_balances.ap</t>
        </is>
      </c>
      <c r="B16" s="13" t="n">
        <v>28071727</v>
      </c>
      <c r="C16" t="inlineStr">
        <is>
          <t>Opening AP</t>
        </is>
      </c>
    </row>
    <row r="17">
      <c r="A17" t="inlineStr">
        <is>
          <t>opening_balances.inventory</t>
        </is>
      </c>
      <c r="B17" s="13" t="n">
        <v>49710349</v>
      </c>
      <c r="C17" t="inlineStr">
        <is>
          <t>Opening inventory</t>
        </is>
      </c>
    </row>
    <row r="18">
      <c r="A18" t="inlineStr">
        <is>
          <t>opening_balances.nol</t>
        </is>
      </c>
      <c r="B18" s="13" t="n">
        <v>0</v>
      </c>
      <c r="C18" t="inlineStr">
        <is>
          <t>Opening tax-loss carryforward (unabsorbed loss)</t>
        </is>
      </c>
    </row>
    <row r="19">
      <c r="A19" t="inlineStr">
        <is>
          <t>currency_code</t>
        </is>
      </c>
      <c r="B19" s="9" t="inlineStr">
        <is>
          <t>INR</t>
        </is>
      </c>
      <c r="C19" t="inlineStr">
        <is>
          <t>Currency (ISO)</t>
        </is>
      </c>
    </row>
    <row r="20">
      <c r="A20" t="inlineStr">
        <is>
          <t>currency_symbol</t>
        </is>
      </c>
      <c r="B20" s="9" t="inlineStr">
        <is>
          <t>₹</t>
        </is>
      </c>
      <c r="C20" t="inlineStr">
        <is>
          <t>Currency symbol for reports</t>
        </is>
      </c>
    </row>
    <row r="21">
      <c r="A21" t="inlineStr">
        <is>
          <t>number_style</t>
        </is>
      </c>
      <c r="B21" s="9" t="inlineStr">
        <is>
          <t>indian</t>
        </is>
      </c>
      <c r="C21" t="inlineStr">
        <is>
          <t>Report digit grouping: indian / western</t>
        </is>
      </c>
    </row>
    <row r="22">
      <c r="A22" t="inlineStr">
        <is>
          <t>display_divisor</t>
        </is>
      </c>
      <c r="B22" s="11" t="n">
        <v>100000</v>
      </c>
      <c r="C22" t="inlineStr">
        <is>
          <t>Report unit divisor (1, 1000, 100000=lakh, 10000000=crore)</t>
        </is>
      </c>
    </row>
    <row r="23">
      <c r="A23" t="inlineStr">
        <is>
          <t>display_unit</t>
        </is>
      </c>
      <c r="B23" s="9" t="inlineStr">
        <is>
          <t>₹ lakh</t>
        </is>
      </c>
      <c r="C23" t="inlineStr">
        <is>
          <t>Report unit label</t>
        </is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9" t="inlineStr">
        <is>
          <t>Dealer network (TN &amp; Kerala)</t>
        </is>
      </c>
      <c r="C26" s="13" t="n">
        <v>180000000</v>
      </c>
      <c r="D26" s="15" t="n">
        <v>0.12</v>
      </c>
      <c r="E26" s="15" t="n">
        <v>0.58</v>
      </c>
      <c r="F26" s="16" t="n">
        <v>1.1</v>
      </c>
      <c r="G26" s="16" t="n">
        <v>0.85</v>
      </c>
      <c r="H26" s="16" t="n">
        <v>1</v>
      </c>
      <c r="I26" s="16" t="n">
        <v>1.05</v>
      </c>
      <c r="J26" s="16" t="n">
        <v>0.95</v>
      </c>
      <c r="K26" s="16" t="n">
        <v>0.85</v>
      </c>
      <c r="L26" s="16" t="n">
        <v>0.75</v>
      </c>
      <c r="M26" s="16" t="n">
        <v>0.9</v>
      </c>
      <c r="N26" s="16" t="n">
        <v>1.05</v>
      </c>
      <c r="O26" s="16" t="n">
        <v>1.4</v>
      </c>
      <c r="P26" s="16" t="n">
        <v>1.25</v>
      </c>
      <c r="Q26" s="16" t="n">
        <v>0.85</v>
      </c>
    </row>
    <row r="27">
      <c r="A27" t="n">
        <v>1</v>
      </c>
      <c r="B27" s="9" t="inlineStr">
        <is>
          <t>Online marketplaces (Amazon.in / Flipkart)</t>
        </is>
      </c>
      <c r="C27" s="13" t="n">
        <v>90000000</v>
      </c>
      <c r="D27" s="15" t="n">
        <v>0.25</v>
      </c>
      <c r="E27" s="15" t="n">
        <v>0.62</v>
      </c>
      <c r="F27" s="16" t="n">
        <v>1</v>
      </c>
      <c r="G27" s="16" t="n">
        <v>0.85</v>
      </c>
      <c r="H27" s="16" t="n">
        <v>0.95</v>
      </c>
      <c r="I27" s="16" t="n">
        <v>1</v>
      </c>
      <c r="J27" s="16" t="n">
        <v>0.95</v>
      </c>
      <c r="K27" s="16" t="n">
        <v>0.85</v>
      </c>
      <c r="L27" s="16" t="n">
        <v>0.95</v>
      </c>
      <c r="M27" s="16" t="n">
        <v>1.05</v>
      </c>
      <c r="N27" s="16" t="n">
        <v>1.15</v>
      </c>
      <c r="O27" s="16" t="n">
        <v>1.35</v>
      </c>
      <c r="P27" s="16" t="n">
        <v>1.05</v>
      </c>
      <c r="Q27" s="16" t="n">
        <v>0.85</v>
      </c>
    </row>
    <row r="28">
      <c r="A28" t="n">
        <v>2</v>
      </c>
      <c r="B28" s="9" t="inlineStr">
        <is>
          <t>D2C website &amp; Coimbatore experience store</t>
        </is>
      </c>
      <c r="C28" s="13" t="n">
        <v>45000000</v>
      </c>
      <c r="D28" s="15" t="n">
        <v>0.18</v>
      </c>
      <c r="E28" s="15" t="n">
        <v>0.45</v>
      </c>
      <c r="F28" s="16" t="n">
        <v>1.15</v>
      </c>
      <c r="G28" s="16" t="n">
        <v>0.9</v>
      </c>
      <c r="H28" s="16" t="n">
        <v>0.95</v>
      </c>
      <c r="I28" s="16" t="n">
        <v>1.1</v>
      </c>
      <c r="J28" s="16" t="n">
        <v>1</v>
      </c>
      <c r="K28" s="16" t="n">
        <v>0.85</v>
      </c>
      <c r="L28" s="16" t="n">
        <v>0.75</v>
      </c>
      <c r="M28" s="16" t="n">
        <v>0.9</v>
      </c>
      <c r="N28" s="16" t="n">
        <v>1</v>
      </c>
      <c r="O28" s="16" t="n">
        <v>1.3</v>
      </c>
      <c r="P28" s="16" t="n">
        <v>1.2</v>
      </c>
      <c r="Q28" s="16" t="n">
        <v>0.9</v>
      </c>
    </row>
    <row r="29">
      <c r="A29" t="n">
        <v>3</v>
      </c>
      <c r="B29" s="9" t="inlineStr">
        <is>
          <t>Institutional (schools, hotels, offices)</t>
        </is>
      </c>
      <c r="C29" s="13" t="n">
        <v>35000000</v>
      </c>
      <c r="D29" s="15" t="n">
        <v>0.05</v>
      </c>
      <c r="E29" s="15" t="n">
        <v>0.64</v>
      </c>
      <c r="F29" s="16" t="n">
        <v>0.7</v>
      </c>
      <c r="G29" s="16" t="n">
        <v>0.8</v>
      </c>
      <c r="H29" s="16" t="n">
        <v>1.4</v>
      </c>
      <c r="I29" s="16" t="n">
        <v>1.1</v>
      </c>
      <c r="J29" s="16" t="n">
        <v>1.4</v>
      </c>
      <c r="K29" s="16" t="n">
        <v>1.5</v>
      </c>
      <c r="L29" s="16" t="n">
        <v>0.9</v>
      </c>
      <c r="M29" s="16" t="n">
        <v>0.8</v>
      </c>
      <c r="N29" s="16" t="n">
        <v>0.8</v>
      </c>
      <c r="O29" s="16" t="n">
        <v>0.8</v>
      </c>
      <c r="P29" s="16" t="n">
        <v>0.9</v>
      </c>
      <c r="Q29" s="16" t="n">
        <v>0.9</v>
      </c>
    </row>
    <row r="30">
      <c r="A30" t="n">
        <v>4</v>
      </c>
      <c r="B30" s="9" t="n"/>
      <c r="C30" s="13" t="n"/>
      <c r="D30" s="15" t="n"/>
      <c r="E30" s="15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t="n">
        <v>5</v>
      </c>
      <c r="B31" s="9" t="n"/>
      <c r="C31" s="13" t="n"/>
      <c r="D31" s="15" t="n"/>
      <c r="E31" s="15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t="n">
        <v>6</v>
      </c>
      <c r="B32" s="9" t="n"/>
      <c r="C32" s="13" t="n"/>
      <c r="D32" s="15" t="n"/>
      <c r="E32" s="15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t="n">
        <v>7</v>
      </c>
      <c r="B33" s="9" t="n"/>
      <c r="C33" s="13" t="n"/>
      <c r="D33" s="15" t="n"/>
      <c r="E33" s="15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 (fixed/variable)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9" t="inlineStr">
        <is>
          <t>Payroll &amp; benefits (from D04)</t>
        </is>
      </c>
      <c r="C36" s="9" t="inlineStr">
        <is>
          <t>fixed</t>
        </is>
      </c>
      <c r="D36" s="13" t="n">
        <v>3200000</v>
      </c>
      <c r="E36" s="15" t="n">
        <v>0</v>
      </c>
    </row>
    <row r="37">
      <c r="A37" t="n">
        <v>1</v>
      </c>
      <c r="B37" s="9" t="inlineStr">
        <is>
          <t>Marketing &amp; dealer promotion</t>
        </is>
      </c>
      <c r="C37" s="9" t="inlineStr">
        <is>
          <t>variable</t>
        </is>
      </c>
      <c r="D37" s="13" t="n">
        <v>0</v>
      </c>
      <c r="E37" s="15" t="n">
        <v>0.06</v>
      </c>
    </row>
    <row r="38">
      <c r="A38" t="n">
        <v>2</v>
      </c>
      <c r="B38" s="9" t="inlineStr">
        <is>
          <t>Freight outward</t>
        </is>
      </c>
      <c r="C38" s="9" t="inlineStr">
        <is>
          <t>variable</t>
        </is>
      </c>
      <c r="D38" s="13" t="n">
        <v>0</v>
      </c>
      <c r="E38" s="15" t="n">
        <v>0.035</v>
      </c>
    </row>
    <row r="39">
      <c r="A39" t="n">
        <v>3</v>
      </c>
      <c r="B39" s="9" t="inlineStr">
        <is>
          <t>Rent &amp; facilities (from D18)</t>
        </is>
      </c>
      <c r="C39" s="9" t="inlineStr">
        <is>
          <t>fixed</t>
        </is>
      </c>
      <c r="D39" s="13" t="n">
        <v>650000</v>
      </c>
      <c r="E39" s="15" t="n">
        <v>0</v>
      </c>
    </row>
    <row r="40">
      <c r="A40" t="n">
        <v>4</v>
      </c>
      <c r="B40" s="9" t="inlineStr">
        <is>
          <t>Admin, software &amp; professional fees</t>
        </is>
      </c>
      <c r="C40" s="9" t="inlineStr">
        <is>
          <t>fixed</t>
        </is>
      </c>
      <c r="D40" s="13" t="n">
        <v>400000</v>
      </c>
      <c r="E40" s="15" t="n">
        <v>0</v>
      </c>
    </row>
    <row r="41">
      <c r="A41" t="n">
        <v>5</v>
      </c>
      <c r="B41" s="9" t="n"/>
      <c r="C41" s="9" t="n"/>
      <c r="D41" s="13" t="n"/>
      <c r="E41" s="15" t="n"/>
    </row>
    <row r="42">
      <c r="A42" t="n">
        <v>6</v>
      </c>
      <c r="B42" s="9" t="n"/>
      <c r="C42" s="9" t="n"/>
      <c r="D42" s="13" t="n"/>
      <c r="E42" s="15" t="n"/>
    </row>
    <row r="43">
      <c r="A43" t="n">
        <v>7</v>
      </c>
      <c r="B43" s="9" t="n"/>
      <c r="C43" s="9" t="n"/>
      <c r="D43" s="13" t="n"/>
      <c r="E43" s="15" t="n"/>
    </row>
    <row r="44">
      <c r="A44" t="n">
        <v>8</v>
      </c>
      <c r="B44" s="9" t="n"/>
      <c r="C44" s="9" t="n"/>
      <c r="D44" s="13" t="n"/>
      <c r="E44" s="15" t="n"/>
    </row>
    <row r="45">
      <c r="A45" t="n">
        <v>9</v>
      </c>
      <c r="B45" s="9" t="n"/>
      <c r="C45" s="9" t="n"/>
      <c r="D45" s="13" t="n"/>
      <c r="E45" s="15" t="n"/>
    </row>
    <row r="46">
      <c r="A46" t="n">
        <v>10</v>
      </c>
      <c r="B46" s="9" t="n"/>
      <c r="C46" s="9" t="n"/>
      <c r="D46" s="13" t="n"/>
      <c r="E46" s="15" t="n"/>
    </row>
    <row r="47">
      <c r="A47" t="n">
        <v>11</v>
      </c>
      <c r="B47" s="9" t="n"/>
      <c r="C47" s="9" t="n"/>
      <c r="D47" s="13" t="n"/>
      <c r="E47" s="15" t="n"/>
    </row>
    <row r="48">
      <c r="A48" t="n">
        <v>12</v>
      </c>
      <c r="B48" s="9" t="n"/>
      <c r="C48" s="9" t="n"/>
      <c r="D48" s="13" t="n"/>
      <c r="E48" s="15" t="n"/>
    </row>
    <row r="49">
      <c r="A49" t="n">
        <v>13</v>
      </c>
      <c r="B49" s="9" t="n"/>
      <c r="C49" s="9" t="n"/>
      <c r="D49" s="13" t="n"/>
      <c r="E49" s="15" t="n"/>
    </row>
    <row r="50">
      <c r="A50" t="n">
        <v>14</v>
      </c>
      <c r="B50" s="9" t="n"/>
      <c r="C50" s="9" t="n"/>
      <c r="D50" s="13" t="n"/>
      <c r="E50" s="15" t="n"/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 (term_loan/loc)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9" t="inlineStr">
        <is>
          <t>Cash credit - Indian Bank (CC)</t>
        </is>
      </c>
      <c r="C53" s="9" t="inlineStr">
        <is>
          <t>loc</t>
        </is>
      </c>
      <c r="D53" s="13" t="n">
        <v>32000000</v>
      </c>
      <c r="E53" s="12" t="n">
        <v>0.0975</v>
      </c>
      <c r="F53" s="13" t="n">
        <v>0</v>
      </c>
    </row>
    <row r="54">
      <c r="A54" t="n">
        <v>1</v>
      </c>
      <c r="B54" s="9" t="inlineStr">
        <is>
          <t>Term loan - TIIC (plant expansion)</t>
        </is>
      </c>
      <c r="C54" s="9" t="inlineStr">
        <is>
          <t>term_loan</t>
        </is>
      </c>
      <c r="D54" s="13" t="n">
        <v>24000000</v>
      </c>
      <c r="E54" s="12" t="n">
        <v>0.1025</v>
      </c>
      <c r="F54" s="13" t="n">
        <v>500000</v>
      </c>
    </row>
    <row r="55">
      <c r="A55" t="n">
        <v>2</v>
      </c>
      <c r="B55" s="9" t="n"/>
      <c r="C55" s="9" t="n"/>
      <c r="D55" s="13" t="n"/>
      <c r="E55" s="12" t="n"/>
      <c r="F55" s="13" t="n"/>
    </row>
    <row r="56">
      <c r="A56" t="n">
        <v>3</v>
      </c>
      <c r="B56" s="9" t="n"/>
      <c r="C56" s="9" t="n"/>
      <c r="D56" s="13" t="n"/>
      <c r="E56" s="12" t="n"/>
      <c r="F56" s="13" t="n"/>
    </row>
    <row r="57">
      <c r="A57" t="n">
        <v>4</v>
      </c>
      <c r="B57" s="9" t="n"/>
      <c r="C57" s="9" t="n"/>
      <c r="D57" s="13" t="n"/>
      <c r="E57" s="12" t="n"/>
      <c r="F57" s="13" t="n"/>
    </row>
  </sheetData>
  <dataValidations count="3">
    <dataValidation sqref="B21" showDropDown="0" showInputMessage="0" showErrorMessage="0" allowBlank="1" type="list">
      <formula1>"indian,western"</formula1>
    </dataValidation>
    <dataValidation sqref="C36:C50" showDropDown="0" showInputMessage="0" showErrorMessage="0" allowBlank="1" type="list">
      <formula1>"fixed,variable"</formula1>
    </dataValidation>
    <dataValidation sqref="C53:C57" showDropDown="0" showInputMessage="0" showErrorMessage="0" allowBlank="1" type="list">
      <formula1>"term_loan,loc"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1" customWidth="1" min="4" max="4"/>
    <col width="12" customWidth="1" min="5" max="5"/>
    <col width="34" customWidth="1" min="6" max="6"/>
    <col width="14" customWidth="1" min="7" max="7"/>
    <col width="48" customWidth="1" min="8" max="8"/>
  </cols>
  <sheetData>
    <row r="1">
      <c r="A1" s="1" t="inlineStr">
        <is>
          <t>Corrections (transcribed from memory/corrections/*.md)</t>
        </is>
      </c>
    </row>
    <row r="2">
      <c r="A2" s="8" t="inlineStr">
        <is>
          <t>One row per correction file. Only applied + parametric rows change the model. Home of the fact = the .md file.</t>
        </is>
      </c>
    </row>
    <row r="3"/>
    <row r="4">
      <c r="A4" s="7" t="inlineStr">
        <is>
          <t>slug</t>
        </is>
      </c>
      <c r="B4" s="7" t="inlineStr">
        <is>
          <t>type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date</t>
        </is>
      </c>
      <c r="F4" s="7" t="inlineStr">
        <is>
          <t>override_path</t>
        </is>
      </c>
      <c r="G4" s="7" t="inlineStr">
        <is>
          <t>override_value</t>
        </is>
      </c>
      <c r="H4" s="7" t="inlineStr">
        <is>
          <t>key (formula)</t>
        </is>
      </c>
    </row>
    <row r="5">
      <c r="A5" s="9" t="inlineStr">
        <is>
          <t>2026-03-20-dealer-november-deepavali</t>
        </is>
      </c>
      <c r="B5" s="9" t="inlineStr">
        <is>
          <t>parametric</t>
        </is>
      </c>
      <c r="C5" s="9" t="inlineStr">
        <is>
          <t>channels[0].seasonality[10]</t>
        </is>
      </c>
      <c r="D5" s="9" t="inlineStr">
        <is>
          <t>applied</t>
        </is>
      </c>
      <c r="E5" s="9" t="inlineStr">
        <is>
          <t>2026-03-20</t>
        </is>
      </c>
      <c r="F5" s="9" t="inlineStr">
        <is>
          <t>channels[0].seasonality[10]</t>
        </is>
      </c>
      <c r="G5" s="9" t="n">
        <v>1.45</v>
      </c>
      <c r="H5" s="6">
        <f>IF(F5="","",SUBSTITUTE(SUBSTITUTE(F5," ",""),"*","ALL")&amp;"|"&amp;LOWER(D5)&amp;"|"&amp;LOWER(B5))</f>
        <v/>
      </c>
    </row>
    <row r="6">
      <c r="A6" s="9" t="inlineStr">
        <is>
          <t>2025-12-05-cyclone-dispatch-delay</t>
        </is>
      </c>
      <c r="B6" s="9" t="inlineStr">
        <is>
          <t>context</t>
        </is>
      </c>
      <c r="C6" s="9" t="inlineStr">
        <is>
          <t>FY2025-26 November-December dealer revenue</t>
        </is>
      </c>
      <c r="D6" s="9" t="inlineStr">
        <is>
          <t>applied</t>
        </is>
      </c>
      <c r="E6" s="9" t="inlineStr">
        <is>
          <t>2025-12-05</t>
        </is>
      </c>
      <c r="F6" s="9" t="n"/>
      <c r="G6" s="9" t="n"/>
      <c r="H6" s="6">
        <f>IF(F6="","",SUBSTITUTE(SUBSTITUTE(F6," ",""),"*","ALL")&amp;"|"&amp;LOWER(D6)&amp;"|"&amp;LOWER(B6))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6">
        <f>IF(F7="","",SUBSTITUTE(SUBSTITUTE(F7," ",""),"*","ALL")&amp;"|"&amp;LOWER(D7)&amp;"|"&amp;LOWER(B7))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6">
        <f>IF(F8="","",SUBSTITUTE(SUBSTITUTE(F8," ",""),"*","ALL")&amp;"|"&amp;LOWER(D8)&amp;"|"&amp;LOWER(B8))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6">
        <f>IF(F9="","",SUBSTITUTE(SUBSTITUTE(F9," ",""),"*","ALL")&amp;"|"&amp;LOWER(D9)&amp;"|"&amp;LOWER(B9))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6">
        <f>IF(F10="","",SUBSTITUTE(SUBSTITUTE(F10," ",""),"*","ALL")&amp;"|"&amp;LOWER(D10)&amp;"|"&amp;LOWER(B10))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6">
        <f>IF(F11="","",SUBSTITUTE(SUBSTITUTE(F11," ",""),"*","ALL")&amp;"|"&amp;LOWER(D11)&amp;"|"&amp;LOWER(B11))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6">
        <f>IF(F12="","",SUBSTITUTE(SUBSTITUTE(F12," ",""),"*","ALL")&amp;"|"&amp;LOWER(D12)&amp;"|"&amp;LOWER(B12))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6">
        <f>IF(F13="","",SUBSTITUTE(SUBSTITUTE(F13," ",""),"*","ALL")&amp;"|"&amp;LOWER(D13)&amp;"|"&amp;LOWER(B13))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6">
        <f>IF(F14="","",SUBSTITUTE(SUBSTITUTE(F14," ",""),"*","ALL")&amp;"|"&amp;LOWER(D14)&amp;"|"&amp;LOWER(B14))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6">
        <f>IF(F15="","",SUBSTITUTE(SUBSTITUTE(F15," ",""),"*","ALL")&amp;"|"&amp;LOWER(D15)&amp;"|"&amp;LOWER(B15))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6">
        <f>IF(F16="","",SUBSTITUTE(SUBSTITUTE(F16," ",""),"*","ALL")&amp;"|"&amp;LOWER(D16)&amp;"|"&amp;LOWER(B16))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6">
        <f>IF(F17="","",SUBSTITUTE(SUBSTITUTE(F17," ",""),"*","ALL")&amp;"|"&amp;LOWER(D17)&amp;"|"&amp;LOWER(B17))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6">
        <f>IF(F18="","",SUBSTITUTE(SUBSTITUTE(F18," ",""),"*","ALL")&amp;"|"&amp;LOWER(D18)&amp;"|"&amp;LOWER(B18))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6">
        <f>IF(F19="","",SUBSTITUTE(SUBSTITUTE(F19," ",""),"*","ALL")&amp;"|"&amp;LOWER(D19)&amp;"|"&amp;LOWER(B19))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6">
        <f>IF(F20="","",SUBSTITUTE(SUBSTITUTE(F20," ",""),"*","ALL")&amp;"|"&amp;LOWER(D20)&amp;"|"&amp;LOWER(B20))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6">
        <f>IF(F21="","",SUBSTITUTE(SUBSTITUTE(F21," ",""),"*","ALL")&amp;"|"&amp;LOWER(D21)&amp;"|"&amp;LOWER(B21))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6">
        <f>IF(F22="","",SUBSTITUTE(SUBSTITUTE(F22," ",""),"*","ALL")&amp;"|"&amp;LOWER(D22)&amp;"|"&amp;LOWER(B22))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6">
        <f>IF(F23="","",SUBSTITUTE(SUBSTITUTE(F23," ",""),"*","ALL")&amp;"|"&amp;LOWER(D23)&amp;"|"&amp;LOWER(B23))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6">
        <f>IF(F24="","",SUBSTITUTE(SUBSTITUTE(F24," ",""),"*","ALL")&amp;"|"&amp;LOWER(D24)&amp;"|"&amp;LOWER(B24))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6">
        <f>IF(F25="","",SUBSTITUTE(SUBSTITUTE(F25," ",""),"*","ALL")&amp;"|"&amp;LOWER(D25)&amp;"|"&amp;LOWER(B25))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6">
        <f>IF(F26="","",SUBSTITUTE(SUBSTITUTE(F26," ",""),"*","ALL")&amp;"|"&amp;LOWER(D26)&amp;"|"&amp;LOWER(B26))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6">
        <f>IF(F27="","",SUBSTITUTE(SUBSTITUTE(F27," ",""),"*","ALL")&amp;"|"&amp;LOWER(D27)&amp;"|"&amp;LOWER(B27))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6">
        <f>IF(F28="","",SUBSTITUTE(SUBSTITUTE(F28," ",""),"*","ALL")&amp;"|"&amp;LOWER(D28)&amp;"|"&amp;LOWER(B28))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6">
        <f>IF(F29="","",SUBSTITUTE(SUBSTITUTE(F29," ",""),"*","ALL")&amp;"|"&amp;LOWER(D29)&amp;"|"&amp;LOWER(B29))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6">
        <f>IF(F30="","",SUBSTITUTE(SUBSTITUTE(F30," ",""),"*","ALL")&amp;"|"&amp;LOWER(D30)&amp;"|"&amp;LOWER(B30))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6">
        <f>IF(F31="","",SUBSTITUTE(SUBSTITUTE(F31," ",""),"*","ALL")&amp;"|"&amp;LOWER(D31)&amp;"|"&amp;LOWER(B31))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6">
        <f>IF(F32="","",SUBSTITUTE(SUBSTITUTE(F32," ",""),"*","ALL")&amp;"|"&amp;LOWER(D32)&amp;"|"&amp;LOWER(B32))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6">
        <f>IF(F33="","",SUBSTITUTE(SUBSTITUTE(F33," ",""),"*","ALL")&amp;"|"&amp;LOWER(D33)&amp;"|"&amp;LOWER(B33))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6">
        <f>IF(F34="","",SUBSTITUTE(SUBSTITUTE(F34," ",""),"*","ALL")&amp;"|"&amp;LOWER(D34)&amp;"|"&amp;LOWER(B34))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6">
        <f>IF(F35="","",SUBSTITUTE(SUBSTITUTE(F35," ",""),"*","ALL")&amp;"|"&amp;LOWER(D35)&amp;"|"&amp;LOWER(B35))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6">
        <f>IF(F36="","",SUBSTITUTE(SUBSTITUTE(F36," ",""),"*","ALL")&amp;"|"&amp;LOWER(D36)&amp;"|"&amp;LOWER(B36))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6">
        <f>IF(F37="","",SUBSTITUTE(SUBSTITUTE(F37," ",""),"*","ALL")&amp;"|"&amp;LOWER(D37)&amp;"|"&amp;LOWER(B37))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6">
        <f>IF(F38="","",SUBSTITUTE(SUBSTITUTE(F38," ",""),"*","ALL")&amp;"|"&amp;LOWER(D38)&amp;"|"&amp;LOWER(B38))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6">
        <f>IF(F39="","",SUBSTITUTE(SUBSTITUTE(F39," ",""),"*","ALL")&amp;"|"&amp;LOWER(D39)&amp;"|"&amp;LOWER(B39))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6">
        <f>IF(F40="","",SUBSTITUTE(SUBSTITUTE(F40," ",""),"*","ALL")&amp;"|"&amp;LOWER(D40)&amp;"|"&amp;LOWER(B40))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6">
        <f>IF(F41="","",SUBSTITUTE(SUBSTITUTE(F41," ",""),"*","ALL")&amp;"|"&amp;LOWER(D41)&amp;"|"&amp;LOWER(B41))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6">
        <f>IF(F42="","",SUBSTITUTE(SUBSTITUTE(F42," ",""),"*","ALL")&amp;"|"&amp;LOWER(D42)&amp;"|"&amp;LOWER(B42))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6">
        <f>IF(F43="","",SUBSTITUTE(SUBSTITUTE(F43," ",""),"*","ALL")&amp;"|"&amp;LOWER(D43)&amp;"|"&amp;LOWER(B43))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6">
        <f>IF(F44="","",SUBSTITUTE(SUBSTITUTE(F44," ",""),"*","ALL")&amp;"|"&amp;LOWER(D44)&amp;"|"&amp;LOWER(B44))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6">
        <f>IF(F45="","",SUBSTITUTE(SUBSTITUTE(F45," ",""),"*","ALL")&amp;"|"&amp;LOWER(D45)&amp;"|"&amp;LOWER(B45))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6">
        <f>IF(F46="","",SUBSTITUTE(SUBSTITUTE(F46," ",""),"*","ALL")&amp;"|"&amp;LOWER(D46)&amp;"|"&amp;LOWER(B46))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6">
        <f>IF(F47="","",SUBSTITUTE(SUBSTITUTE(F47," ",""),"*","ALL")&amp;"|"&amp;LOWER(D47)&amp;"|"&amp;LOWER(B47))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6">
        <f>IF(F48="","",SUBSTITUTE(SUBSTITUTE(F48," ",""),"*","ALL")&amp;"|"&amp;LOWER(D48)&amp;"|"&amp;LOWER(B48))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6">
        <f>IF(F49="","",SUBSTITUTE(SUBSTITUTE(F49," ",""),"*","ALL")&amp;"|"&amp;LOWER(D49)&amp;"|"&amp;LOWER(B49))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6">
        <f>IF(F50="","",SUBSTITUTE(SUBSTITUTE(F50," ",""),"*","ALL")&amp;"|"&amp;LOWER(D50)&amp;"|"&amp;LOWER(B50))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6">
        <f>IF(F51="","",SUBSTITUTE(SUBSTITUTE(F51," ",""),"*","ALL")&amp;"|"&amp;LOWER(D51)&amp;"|"&amp;LOWER(B51))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6">
        <f>IF(F52="","",SUBSTITUTE(SUBSTITUTE(F52," ",""),"*","ALL")&amp;"|"&amp;LOWER(D52)&amp;"|"&amp;LOWER(B52))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6">
        <f>IF(F53="","",SUBSTITUTE(SUBSTITUTE(F53," ",""),"*","ALL")&amp;"|"&amp;LOWER(D53)&amp;"|"&amp;LOWER(B53))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6">
        <f>IF(F54="","",SUBSTITUTE(SUBSTITUTE(F54," ",""),"*","ALL")&amp;"|"&amp;LOWER(D54)&amp;"|"&amp;LOWER(B54))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6">
        <f>IF(F55="","",SUBSTITUTE(SUBSTITUTE(F55," ",""),"*","ALL")&amp;"|"&amp;LOWER(D55)&amp;"|"&amp;LOWER(B55))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6">
        <f>IF(F56="","",SUBSTITUTE(SUBSTITUTE(F56," ",""),"*","ALL")&amp;"|"&amp;LOWER(D56)&amp;"|"&amp;LOWER(B56))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6">
        <f>IF(F57="","",SUBSTITUTE(SUBSTITUTE(F57," ",""),"*","ALL")&amp;"|"&amp;LOWER(D57)&amp;"|"&amp;LOWER(B57))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6">
        <f>IF(F58="","",SUBSTITUTE(SUBSTITUTE(F58," ",""),"*","ALL")&amp;"|"&amp;LOWER(D58)&amp;"|"&amp;LOWER(B58))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6">
        <f>IF(F59="","",SUBSTITUTE(SUBSTITUTE(F59," ",""),"*","ALL")&amp;"|"&amp;LOWER(D59)&amp;"|"&amp;LOWER(B59))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6">
        <f>IF(F60="","",SUBSTITUTE(SUBSTITUTE(F60," ",""),"*","ALL")&amp;"|"&amp;LOWER(D60)&amp;"|"&amp;LOWER(B60))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6">
        <f>IF(F61="","",SUBSTITUTE(SUBSTITUTE(F61," ",""),"*","ALL")&amp;"|"&amp;LOWER(D61)&amp;"|"&amp;LOWER(B61))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6">
        <f>IF(F62="","",SUBSTITUTE(SUBSTITUTE(F62," ",""),"*","ALL")&amp;"|"&amp;LOWER(D62)&amp;"|"&amp;LOWER(B62))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6">
        <f>IF(F63="","",SUBSTITUTE(SUBSTITUTE(F63," ",""),"*","ALL")&amp;"|"&amp;LOWER(D63)&amp;"|"&amp;LOWER(B63))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6">
        <f>IF(F64="","",SUBSTITUTE(SUBSTITUTE(F64," ",""),"*","ALL")&amp;"|"&amp;LOWER(D64)&amp;"|"&amp;LOWER(B64))</f>
        <v/>
      </c>
    </row>
  </sheetData>
  <dataValidations count="2">
    <dataValidation sqref="B5:B64" showDropDown="0" showInputMessage="0" showErrorMessage="0" allowBlank="1" type="list">
      <formula1>"parametric,structural,context"</formula1>
    </dataValidation>
    <dataValidation sqref="D5:D64" showDropDown="0" showInputMessage="0" showErrorMessage="0" allowBlank="1" type="list">
      <formula1>"open,applied,superseded"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Effective drivers = Assumptions after applied parametric corrections (formulas only)</t>
        </is>
      </c>
    </row>
    <row r="2"/>
    <row r="3"/>
    <row r="4">
      <c r="A4" s="7" t="inlineStr">
        <is>
          <t>key</t>
        </is>
      </c>
      <c r="B4" s="7" t="inlineStr">
        <is>
          <t>effective value</t>
        </is>
      </c>
    </row>
    <row r="5">
      <c r="A5" t="inlineStr">
        <is>
          <t>name</t>
        </is>
      </c>
      <c r="B5" s="6">
        <f>IF(Assumptions!B5="","",Assumptions!B5)</f>
        <v/>
      </c>
    </row>
    <row r="6">
      <c r="A6" t="inlineStr">
        <is>
          <t>start_month</t>
        </is>
      </c>
      <c r="B6" s="17">
        <f>Assumptions!B6</f>
        <v/>
      </c>
    </row>
    <row r="7">
      <c r="A7" t="inlineStr">
        <is>
          <t>horizon_months</t>
        </is>
      </c>
      <c r="B7" s="18">
        <f>Assumptions!B7</f>
        <v/>
      </c>
    </row>
    <row r="8">
      <c r="A8" t="inlineStr">
        <is>
          <t>tax_rate</t>
        </is>
      </c>
      <c r="B8" s="19">
        <f>IF(COUNTIF(Corrections!$H$5:$H$64,"tax_rate|applied|parametric")&gt;0,SUMIF(Corrections!$H$5:$H$64,"tax_rate|applied|parametric",Corrections!$G$5:$G$64),Assumptions!B8)</f>
        <v/>
      </c>
    </row>
    <row r="9">
      <c r="A9" t="inlineStr">
        <is>
          <t>da_monthly</t>
        </is>
      </c>
      <c r="B9" s="20">
        <f>IF(COUNTIF(Corrections!$H$5:$H$64,"da_monthly|applied|parametric")&gt;0,SUMIF(Corrections!$H$5:$H$64,"da_monthly|applied|parametric",Corrections!$G$5:$G$64),Assumptions!B9)</f>
        <v/>
      </c>
    </row>
    <row r="10">
      <c r="A10" t="inlineStr">
        <is>
          <t>capex_monthly</t>
        </is>
      </c>
      <c r="B10" s="20">
        <f>IF(COUNTIF(Corrections!$H$5:$H$64,"capex_monthly|applied|parametric")&gt;0,SUMIF(Corrections!$H$5:$H$64,"capex_monthly|applied|parametric",Corrections!$G$5:$G$64),Assumptions!B10)</f>
        <v/>
      </c>
    </row>
    <row r="11">
      <c r="A11" t="inlineStr">
        <is>
          <t>working_capital.dso_days</t>
        </is>
      </c>
      <c r="B11" s="21">
        <f>IF(COUNTIF(Corrections!$H$5:$H$64,"working_capital.dso_days|applied|parametric")&gt;0,SUMIF(Corrections!$H$5:$H$64,"working_capital.dso_days|applied|parametric",Corrections!$G$5:$G$64),Assumptions!B11)</f>
        <v/>
      </c>
    </row>
    <row r="12">
      <c r="A12" t="inlineStr">
        <is>
          <t>working_capital.dpo_days</t>
        </is>
      </c>
      <c r="B12" s="21">
        <f>IF(COUNTIF(Corrections!$H$5:$H$64,"working_capital.dpo_days|applied|parametric")&gt;0,SUMIF(Corrections!$H$5:$H$64,"working_capital.dpo_days|applied|parametric",Corrections!$G$5:$G$64),Assumptions!B12)</f>
        <v/>
      </c>
    </row>
    <row r="13">
      <c r="A13" t="inlineStr">
        <is>
          <t>working_capital.dio_days</t>
        </is>
      </c>
      <c r="B13" s="21">
        <f>IF(COUNTIF(Corrections!$H$5:$H$64,"working_capital.dio_days|applied|parametric")&gt;0,SUMIF(Corrections!$H$5:$H$64,"working_capital.dio_days|applied|parametric",Corrections!$G$5:$G$64),Assumptions!B13)</f>
        <v/>
      </c>
    </row>
    <row r="14">
      <c r="A14" t="inlineStr">
        <is>
          <t>opening_balances.cash</t>
        </is>
      </c>
      <c r="B14" s="20">
        <f>IF(COUNTIF(Corrections!$H$5:$H$64,"opening_balances.cash|applied|parametric")&gt;0,SUMIF(Corrections!$H$5:$H$64,"opening_balances.cash|applied|parametric",Corrections!$G$5:$G$64),Assumptions!B14)</f>
        <v/>
      </c>
    </row>
    <row r="15">
      <c r="A15" t="inlineStr">
        <is>
          <t>opening_balances.ar</t>
        </is>
      </c>
      <c r="B15" s="20">
        <f>IF(COUNTIF(Corrections!$H$5:$H$64,"opening_balances.ar|applied|parametric")&gt;0,SUMIF(Corrections!$H$5:$H$64,"opening_balances.ar|applied|parametric",Corrections!$G$5:$G$64),Assumptions!B15)</f>
        <v/>
      </c>
    </row>
    <row r="16">
      <c r="A16" t="inlineStr">
        <is>
          <t>opening_balances.ap</t>
        </is>
      </c>
      <c r="B16" s="20">
        <f>IF(COUNTIF(Corrections!$H$5:$H$64,"opening_balances.ap|applied|parametric")&gt;0,SUMIF(Corrections!$H$5:$H$64,"opening_balances.ap|applied|parametric",Corrections!$G$5:$G$64),Assumptions!B16)</f>
        <v/>
      </c>
    </row>
    <row r="17">
      <c r="A17" t="inlineStr">
        <is>
          <t>opening_balances.inventory</t>
        </is>
      </c>
      <c r="B17" s="20">
        <f>IF(COUNTIF(Corrections!$H$5:$H$64,"opening_balances.inventory|applied|parametric")&gt;0,SUMIF(Corrections!$H$5:$H$64,"opening_balances.inventory|applied|parametric",Corrections!$G$5:$G$64),Assumptions!B17)</f>
        <v/>
      </c>
    </row>
    <row r="18">
      <c r="A18" t="inlineStr">
        <is>
          <t>opening_balances.nol</t>
        </is>
      </c>
      <c r="B18" s="20">
        <f>IF(COUNTIF(Corrections!$H$5:$H$64,"opening_balances.nol|applied|parametric")&gt;0,SUMIF(Corrections!$H$5:$H$64,"opening_balances.nol|applied|parametric",Corrections!$G$5:$G$64),Assumptions!B18)</f>
        <v/>
      </c>
    </row>
    <row r="19">
      <c r="A19" t="inlineStr">
        <is>
          <t>currency_code</t>
        </is>
      </c>
      <c r="B19" s="6">
        <f>IF(Assumptions!B19="","",Assumptions!B19)</f>
        <v/>
      </c>
    </row>
    <row r="20">
      <c r="A20" t="inlineStr">
        <is>
          <t>currency_symbol</t>
        </is>
      </c>
      <c r="B20" s="6">
        <f>IF(Assumptions!B20="","",Assumptions!B20)</f>
        <v/>
      </c>
    </row>
    <row r="21">
      <c r="A21" t="inlineStr">
        <is>
          <t>number_style</t>
        </is>
      </c>
      <c r="B21" s="6">
        <f>IF(Assumptions!B21="","",Assumptions!B21)</f>
        <v/>
      </c>
    </row>
    <row r="22">
      <c r="A22" t="inlineStr">
        <is>
          <t>display_divisor</t>
        </is>
      </c>
      <c r="B22" s="18">
        <f>IF(Assumptions!B22="","",Assumptions!B22)</f>
        <v/>
      </c>
    </row>
    <row r="23">
      <c r="A23" t="inlineStr">
        <is>
          <t>display_unit</t>
        </is>
      </c>
      <c r="B23" s="6">
        <f>IF(Assumptions!B23="","",Assumptions!B23)</f>
        <v/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6">
        <f>IF(Assumptions!B26="","",TRIM(Assumptions!B26))</f>
        <v/>
      </c>
      <c r="C26" s="20">
        <f>IF(COUNTIF(Corrections!$H$5:$H$64,"channels[0].annual_revenue|applied|parametric")&gt;0,SUMIF(Corrections!$H$5:$H$64,"channels[0].annual_revenue|applied|parametric",Corrections!$G$5:$G$64),IF(COUNTIF(Corrections!$H$5:$H$64,"channels[ALL].annual_revenue|applied|parametric")&gt;0,SUMIF(Corrections!$H$5:$H$64,"channels[ALL].annual_revenue|applied|parametric",Corrections!$G$5:$G$64),N(Assumptions!C26)))</f>
        <v/>
      </c>
      <c r="D26" s="22">
        <f>IF(COUNTIF(Corrections!$H$5:$H$64,"channels[0].growth_rate|applied|parametric")&gt;0,SUMIF(Corrections!$H$5:$H$64,"channels[0].growth_rate|applied|parametric",Corrections!$G$5:$G$64),IF(COUNTIF(Corrections!$H$5:$H$64,"channels[ALL].growth_rate|applied|parametric")&gt;0,SUMIF(Corrections!$H$5:$H$64,"channels[ALL].growth_rate|applied|parametric",Corrections!$G$5:$G$64),N(Assumptions!D26)))</f>
        <v/>
      </c>
      <c r="E26" s="22">
        <f>IF(COUNTIF(Corrections!$H$5:$H$64,"channels[0].cogs_pct|applied|parametric")&gt;0,SUMIF(Corrections!$H$5:$H$64,"channels[0].cogs_pct|applied|parametric",Corrections!$G$5:$G$64),IF(COUNTIF(Corrections!$H$5:$H$64,"channels[ALL].cogs_pct|applied|parametric")&gt;0,SUMIF(Corrections!$H$5:$H$64,"channels[ALL].cogs_pct|applied|parametric",Corrections!$G$5:$G$64),N(Assumptions!E26)))</f>
        <v/>
      </c>
      <c r="F26" s="23">
        <f>IF(COUNTIF(Corrections!$H$5:$H$64,"channels[0].seasonality[0]|applied|parametric")&gt;0,SUMIF(Corrections!$H$5:$H$64,"channels[0]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F26)))))</f>
        <v/>
      </c>
      <c r="G26" s="23">
        <f>IF(COUNTIF(Corrections!$H$5:$H$64,"channels[0].seasonality[1]|applied|parametric")&gt;0,SUMIF(Corrections!$H$5:$H$64,"channels[0]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G26)))))</f>
        <v/>
      </c>
      <c r="H26" s="23">
        <f>IF(COUNTIF(Corrections!$H$5:$H$64,"channels[0].seasonality[2]|applied|parametric")&gt;0,SUMIF(Corrections!$H$5:$H$64,"channels[0]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H26)))))</f>
        <v/>
      </c>
      <c r="I26" s="23">
        <f>IF(COUNTIF(Corrections!$H$5:$H$64,"channels[0].seasonality[3]|applied|parametric")&gt;0,SUMIF(Corrections!$H$5:$H$64,"channels[0]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I26)))))</f>
        <v/>
      </c>
      <c r="J26" s="23">
        <f>IF(COUNTIF(Corrections!$H$5:$H$64,"channels[0].seasonality[4]|applied|parametric")&gt;0,SUMIF(Corrections!$H$5:$H$64,"channels[0]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J26)))))</f>
        <v/>
      </c>
      <c r="K26" s="23">
        <f>IF(COUNTIF(Corrections!$H$5:$H$64,"channels[0].seasonality[5]|applied|parametric")&gt;0,SUMIF(Corrections!$H$5:$H$64,"channels[0]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K26)))))</f>
        <v/>
      </c>
      <c r="L26" s="23">
        <f>IF(COUNTIF(Corrections!$H$5:$H$64,"channels[0].seasonality[6]|applied|parametric")&gt;0,SUMIF(Corrections!$H$5:$H$64,"channels[0]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L26)))))</f>
        <v/>
      </c>
      <c r="M26" s="23">
        <f>IF(COUNTIF(Corrections!$H$5:$H$64,"channels[0].seasonality[7]|applied|parametric")&gt;0,SUMIF(Corrections!$H$5:$H$64,"channels[0]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M26)))))</f>
        <v/>
      </c>
      <c r="N26" s="23">
        <f>IF(COUNTIF(Corrections!$H$5:$H$64,"channels[0].seasonality[8]|applied|parametric")&gt;0,SUMIF(Corrections!$H$5:$H$64,"channels[0]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N26)))))</f>
        <v/>
      </c>
      <c r="O26" s="23">
        <f>IF(COUNTIF(Corrections!$H$5:$H$64,"channels[0].seasonality[9]|applied|parametric")&gt;0,SUMIF(Corrections!$H$5:$H$64,"channels[0]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O26)))))</f>
        <v/>
      </c>
      <c r="P26" s="23">
        <f>IF(COUNTIF(Corrections!$H$5:$H$64,"channels[0].seasonality[10]|applied|parametric")&gt;0,SUMIF(Corrections!$H$5:$H$64,"channels[0]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P26)))))</f>
        <v/>
      </c>
      <c r="Q26" s="23">
        <f>IF(COUNTIF(Corrections!$H$5:$H$64,"channels[0].seasonality[11]|applied|parametric")&gt;0,SUMIF(Corrections!$H$5:$H$64,"channels[0]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Q26)))))</f>
        <v/>
      </c>
    </row>
    <row r="27">
      <c r="A27" t="n">
        <v>1</v>
      </c>
      <c r="B27" s="6">
        <f>IF(Assumptions!B27="","",TRIM(Assumptions!B27))</f>
        <v/>
      </c>
      <c r="C27" s="20">
        <f>IF(COUNTIF(Corrections!$H$5:$H$64,"channels[1].annual_revenue|applied|parametric")&gt;0,SUMIF(Corrections!$H$5:$H$64,"channels[1].annual_revenue|applied|parametric",Corrections!$G$5:$G$64),IF(COUNTIF(Corrections!$H$5:$H$64,"channels[ALL].annual_revenue|applied|parametric")&gt;0,SUMIF(Corrections!$H$5:$H$64,"channels[ALL].annual_revenue|applied|parametric",Corrections!$G$5:$G$64),N(Assumptions!C27)))</f>
        <v/>
      </c>
      <c r="D27" s="22">
        <f>IF(COUNTIF(Corrections!$H$5:$H$64,"channels[1].growth_rate|applied|parametric")&gt;0,SUMIF(Corrections!$H$5:$H$64,"channels[1].growth_rate|applied|parametric",Corrections!$G$5:$G$64),IF(COUNTIF(Corrections!$H$5:$H$64,"channels[ALL].growth_rate|applied|parametric")&gt;0,SUMIF(Corrections!$H$5:$H$64,"channels[ALL].growth_rate|applied|parametric",Corrections!$G$5:$G$64),N(Assumptions!D27)))</f>
        <v/>
      </c>
      <c r="E27" s="22">
        <f>IF(COUNTIF(Corrections!$H$5:$H$64,"channels[1].cogs_pct|applied|parametric")&gt;0,SUMIF(Corrections!$H$5:$H$64,"channels[1].cogs_pct|applied|parametric",Corrections!$G$5:$G$64),IF(COUNTIF(Corrections!$H$5:$H$64,"channels[ALL].cogs_pct|applied|parametric")&gt;0,SUMIF(Corrections!$H$5:$H$64,"channels[ALL].cogs_pct|applied|parametric",Corrections!$G$5:$G$64),N(Assumptions!E27)))</f>
        <v/>
      </c>
      <c r="F27" s="23">
        <f>IF(COUNTIF(Corrections!$H$5:$H$64,"channels[1].seasonality[0]|applied|parametric")&gt;0,SUMIF(Corrections!$H$5:$H$64,"channels[1]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F27)))))</f>
        <v/>
      </c>
      <c r="G27" s="23">
        <f>IF(COUNTIF(Corrections!$H$5:$H$64,"channels[1].seasonality[1]|applied|parametric")&gt;0,SUMIF(Corrections!$H$5:$H$64,"channels[1]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G27)))))</f>
        <v/>
      </c>
      <c r="H27" s="23">
        <f>IF(COUNTIF(Corrections!$H$5:$H$64,"channels[1].seasonality[2]|applied|parametric")&gt;0,SUMIF(Corrections!$H$5:$H$64,"channels[1]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H27)))))</f>
        <v/>
      </c>
      <c r="I27" s="23">
        <f>IF(COUNTIF(Corrections!$H$5:$H$64,"channels[1].seasonality[3]|applied|parametric")&gt;0,SUMIF(Corrections!$H$5:$H$64,"channels[1]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I27)))))</f>
        <v/>
      </c>
      <c r="J27" s="23">
        <f>IF(COUNTIF(Corrections!$H$5:$H$64,"channels[1].seasonality[4]|applied|parametric")&gt;0,SUMIF(Corrections!$H$5:$H$64,"channels[1]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J27)))))</f>
        <v/>
      </c>
      <c r="K27" s="23">
        <f>IF(COUNTIF(Corrections!$H$5:$H$64,"channels[1].seasonality[5]|applied|parametric")&gt;0,SUMIF(Corrections!$H$5:$H$64,"channels[1]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K27)))))</f>
        <v/>
      </c>
      <c r="L27" s="23">
        <f>IF(COUNTIF(Corrections!$H$5:$H$64,"channels[1].seasonality[6]|applied|parametric")&gt;0,SUMIF(Corrections!$H$5:$H$64,"channels[1]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L27)))))</f>
        <v/>
      </c>
      <c r="M27" s="23">
        <f>IF(COUNTIF(Corrections!$H$5:$H$64,"channels[1].seasonality[7]|applied|parametric")&gt;0,SUMIF(Corrections!$H$5:$H$64,"channels[1]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M27)))))</f>
        <v/>
      </c>
      <c r="N27" s="23">
        <f>IF(COUNTIF(Corrections!$H$5:$H$64,"channels[1].seasonality[8]|applied|parametric")&gt;0,SUMIF(Corrections!$H$5:$H$64,"channels[1]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N27)))))</f>
        <v/>
      </c>
      <c r="O27" s="23">
        <f>IF(COUNTIF(Corrections!$H$5:$H$64,"channels[1].seasonality[9]|applied|parametric")&gt;0,SUMIF(Corrections!$H$5:$H$64,"channels[1]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O27)))))</f>
        <v/>
      </c>
      <c r="P27" s="23">
        <f>IF(COUNTIF(Corrections!$H$5:$H$64,"channels[1].seasonality[10]|applied|parametric")&gt;0,SUMIF(Corrections!$H$5:$H$64,"channels[1]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P27)))))</f>
        <v/>
      </c>
      <c r="Q27" s="23">
        <f>IF(COUNTIF(Corrections!$H$5:$H$64,"channels[1].seasonality[11]|applied|parametric")&gt;0,SUMIF(Corrections!$H$5:$H$64,"channels[1]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Q27)))))</f>
        <v/>
      </c>
    </row>
    <row r="28">
      <c r="A28" t="n">
        <v>2</v>
      </c>
      <c r="B28" s="6">
        <f>IF(Assumptions!B28="","",TRIM(Assumptions!B28))</f>
        <v/>
      </c>
      <c r="C28" s="20">
        <f>IF(COUNTIF(Corrections!$H$5:$H$64,"channels[2].annual_revenue|applied|parametric")&gt;0,SUMIF(Corrections!$H$5:$H$64,"channels[2].annual_revenue|applied|parametric",Corrections!$G$5:$G$64),IF(COUNTIF(Corrections!$H$5:$H$64,"channels[ALL].annual_revenue|applied|parametric")&gt;0,SUMIF(Corrections!$H$5:$H$64,"channels[ALL].annual_revenue|applied|parametric",Corrections!$G$5:$G$64),N(Assumptions!C28)))</f>
        <v/>
      </c>
      <c r="D28" s="22">
        <f>IF(COUNTIF(Corrections!$H$5:$H$64,"channels[2].growth_rate|applied|parametric")&gt;0,SUMIF(Corrections!$H$5:$H$64,"channels[2].growth_rate|applied|parametric",Corrections!$G$5:$G$64),IF(COUNTIF(Corrections!$H$5:$H$64,"channels[ALL].growth_rate|applied|parametric")&gt;0,SUMIF(Corrections!$H$5:$H$64,"channels[ALL].growth_rate|applied|parametric",Corrections!$G$5:$G$64),N(Assumptions!D28)))</f>
        <v/>
      </c>
      <c r="E28" s="22">
        <f>IF(COUNTIF(Corrections!$H$5:$H$64,"channels[2].cogs_pct|applied|parametric")&gt;0,SUMIF(Corrections!$H$5:$H$64,"channels[2].cogs_pct|applied|parametric",Corrections!$G$5:$G$64),IF(COUNTIF(Corrections!$H$5:$H$64,"channels[ALL].cogs_pct|applied|parametric")&gt;0,SUMIF(Corrections!$H$5:$H$64,"channels[ALL].cogs_pct|applied|parametric",Corrections!$G$5:$G$64),N(Assumptions!E28)))</f>
        <v/>
      </c>
      <c r="F28" s="23">
        <f>IF(COUNTIF(Corrections!$H$5:$H$64,"channels[2].seasonality[0]|applied|parametric")&gt;0,SUMIF(Corrections!$H$5:$H$64,"channels[2]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F28)))))</f>
        <v/>
      </c>
      <c r="G28" s="23">
        <f>IF(COUNTIF(Corrections!$H$5:$H$64,"channels[2].seasonality[1]|applied|parametric")&gt;0,SUMIF(Corrections!$H$5:$H$64,"channels[2]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G28)))))</f>
        <v/>
      </c>
      <c r="H28" s="23">
        <f>IF(COUNTIF(Corrections!$H$5:$H$64,"channels[2].seasonality[2]|applied|parametric")&gt;0,SUMIF(Corrections!$H$5:$H$64,"channels[2]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H28)))))</f>
        <v/>
      </c>
      <c r="I28" s="23">
        <f>IF(COUNTIF(Corrections!$H$5:$H$64,"channels[2].seasonality[3]|applied|parametric")&gt;0,SUMIF(Corrections!$H$5:$H$64,"channels[2]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I28)))))</f>
        <v/>
      </c>
      <c r="J28" s="23">
        <f>IF(COUNTIF(Corrections!$H$5:$H$64,"channels[2].seasonality[4]|applied|parametric")&gt;0,SUMIF(Corrections!$H$5:$H$64,"channels[2]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J28)))))</f>
        <v/>
      </c>
      <c r="K28" s="23">
        <f>IF(COUNTIF(Corrections!$H$5:$H$64,"channels[2].seasonality[5]|applied|parametric")&gt;0,SUMIF(Corrections!$H$5:$H$64,"channels[2]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K28)))))</f>
        <v/>
      </c>
      <c r="L28" s="23">
        <f>IF(COUNTIF(Corrections!$H$5:$H$64,"channels[2].seasonality[6]|applied|parametric")&gt;0,SUMIF(Corrections!$H$5:$H$64,"channels[2]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L28)))))</f>
        <v/>
      </c>
      <c r="M28" s="23">
        <f>IF(COUNTIF(Corrections!$H$5:$H$64,"channels[2].seasonality[7]|applied|parametric")&gt;0,SUMIF(Corrections!$H$5:$H$64,"channels[2]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M28)))))</f>
        <v/>
      </c>
      <c r="N28" s="23">
        <f>IF(COUNTIF(Corrections!$H$5:$H$64,"channels[2].seasonality[8]|applied|parametric")&gt;0,SUMIF(Corrections!$H$5:$H$64,"channels[2]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N28)))))</f>
        <v/>
      </c>
      <c r="O28" s="23">
        <f>IF(COUNTIF(Corrections!$H$5:$H$64,"channels[2].seasonality[9]|applied|parametric")&gt;0,SUMIF(Corrections!$H$5:$H$64,"channels[2]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O28)))))</f>
        <v/>
      </c>
      <c r="P28" s="23">
        <f>IF(COUNTIF(Corrections!$H$5:$H$64,"channels[2].seasonality[10]|applied|parametric")&gt;0,SUMIF(Corrections!$H$5:$H$64,"channels[2]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P28)))))</f>
        <v/>
      </c>
      <c r="Q28" s="23">
        <f>IF(COUNTIF(Corrections!$H$5:$H$64,"channels[2].seasonality[11]|applied|parametric")&gt;0,SUMIF(Corrections!$H$5:$H$64,"channels[2]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Q28)))))</f>
        <v/>
      </c>
    </row>
    <row r="29">
      <c r="A29" t="n">
        <v>3</v>
      </c>
      <c r="B29" s="6">
        <f>IF(Assumptions!B29="","",TRIM(Assumptions!B29))</f>
        <v/>
      </c>
      <c r="C29" s="20">
        <f>IF(COUNTIF(Corrections!$H$5:$H$64,"channels[3].annual_revenue|applied|parametric")&gt;0,SUMIF(Corrections!$H$5:$H$64,"channels[3].annual_revenue|applied|parametric",Corrections!$G$5:$G$64),IF(COUNTIF(Corrections!$H$5:$H$64,"channels[ALL].annual_revenue|applied|parametric")&gt;0,SUMIF(Corrections!$H$5:$H$64,"channels[ALL].annual_revenue|applied|parametric",Corrections!$G$5:$G$64),N(Assumptions!C29)))</f>
        <v/>
      </c>
      <c r="D29" s="22">
        <f>IF(COUNTIF(Corrections!$H$5:$H$64,"channels[3].growth_rate|applied|parametric")&gt;0,SUMIF(Corrections!$H$5:$H$64,"channels[3].growth_rate|applied|parametric",Corrections!$G$5:$G$64),IF(COUNTIF(Corrections!$H$5:$H$64,"channels[ALL].growth_rate|applied|parametric")&gt;0,SUMIF(Corrections!$H$5:$H$64,"channels[ALL].growth_rate|applied|parametric",Corrections!$G$5:$G$64),N(Assumptions!D29)))</f>
        <v/>
      </c>
      <c r="E29" s="22">
        <f>IF(COUNTIF(Corrections!$H$5:$H$64,"channels[3].cogs_pct|applied|parametric")&gt;0,SUMIF(Corrections!$H$5:$H$64,"channels[3].cogs_pct|applied|parametric",Corrections!$G$5:$G$64),IF(COUNTIF(Corrections!$H$5:$H$64,"channels[ALL].cogs_pct|applied|parametric")&gt;0,SUMIF(Corrections!$H$5:$H$64,"channels[ALL].cogs_pct|applied|parametric",Corrections!$G$5:$G$64),N(Assumptions!E29)))</f>
        <v/>
      </c>
      <c r="F29" s="23">
        <f>IF(COUNTIF(Corrections!$H$5:$H$64,"channels[3].seasonality[0]|applied|parametric")&gt;0,SUMIF(Corrections!$H$5:$H$64,"channels[3]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F29)))))</f>
        <v/>
      </c>
      <c r="G29" s="23">
        <f>IF(COUNTIF(Corrections!$H$5:$H$64,"channels[3].seasonality[1]|applied|parametric")&gt;0,SUMIF(Corrections!$H$5:$H$64,"channels[3]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G29)))))</f>
        <v/>
      </c>
      <c r="H29" s="23">
        <f>IF(COUNTIF(Corrections!$H$5:$H$64,"channels[3].seasonality[2]|applied|parametric")&gt;0,SUMIF(Corrections!$H$5:$H$64,"channels[3]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H29)))))</f>
        <v/>
      </c>
      <c r="I29" s="23">
        <f>IF(COUNTIF(Corrections!$H$5:$H$64,"channels[3].seasonality[3]|applied|parametric")&gt;0,SUMIF(Corrections!$H$5:$H$64,"channels[3]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I29)))))</f>
        <v/>
      </c>
      <c r="J29" s="23">
        <f>IF(COUNTIF(Corrections!$H$5:$H$64,"channels[3].seasonality[4]|applied|parametric")&gt;0,SUMIF(Corrections!$H$5:$H$64,"channels[3]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J29)))))</f>
        <v/>
      </c>
      <c r="K29" s="23">
        <f>IF(COUNTIF(Corrections!$H$5:$H$64,"channels[3].seasonality[5]|applied|parametric")&gt;0,SUMIF(Corrections!$H$5:$H$64,"channels[3]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K29)))))</f>
        <v/>
      </c>
      <c r="L29" s="23">
        <f>IF(COUNTIF(Corrections!$H$5:$H$64,"channels[3].seasonality[6]|applied|parametric")&gt;0,SUMIF(Corrections!$H$5:$H$64,"channels[3]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L29)))))</f>
        <v/>
      </c>
      <c r="M29" s="23">
        <f>IF(COUNTIF(Corrections!$H$5:$H$64,"channels[3].seasonality[7]|applied|parametric")&gt;0,SUMIF(Corrections!$H$5:$H$64,"channels[3]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M29)))))</f>
        <v/>
      </c>
      <c r="N29" s="23">
        <f>IF(COUNTIF(Corrections!$H$5:$H$64,"channels[3].seasonality[8]|applied|parametric")&gt;0,SUMIF(Corrections!$H$5:$H$64,"channels[3]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N29)))))</f>
        <v/>
      </c>
      <c r="O29" s="23">
        <f>IF(COUNTIF(Corrections!$H$5:$H$64,"channels[3].seasonality[9]|applied|parametric")&gt;0,SUMIF(Corrections!$H$5:$H$64,"channels[3]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O29)))))</f>
        <v/>
      </c>
      <c r="P29" s="23">
        <f>IF(COUNTIF(Corrections!$H$5:$H$64,"channels[3].seasonality[10]|applied|parametric")&gt;0,SUMIF(Corrections!$H$5:$H$64,"channels[3]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P29)))))</f>
        <v/>
      </c>
      <c r="Q29" s="23">
        <f>IF(COUNTIF(Corrections!$H$5:$H$64,"channels[3].seasonality[11]|applied|parametric")&gt;0,SUMIF(Corrections!$H$5:$H$64,"channels[3]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Q29)))))</f>
        <v/>
      </c>
    </row>
    <row r="30">
      <c r="A30" t="n">
        <v>4</v>
      </c>
      <c r="B30" s="6">
        <f>IF(Assumptions!B30="","",TRIM(Assumptions!B30))</f>
        <v/>
      </c>
      <c r="C30" s="20">
        <f>IF(COUNTIF(Corrections!$H$5:$H$64,"channels[4].annual_revenue|applied|parametric")&gt;0,SUMIF(Corrections!$H$5:$H$64,"channels[4].annual_revenue|applied|parametric",Corrections!$G$5:$G$64),IF(COUNTIF(Corrections!$H$5:$H$64,"channels[ALL].annual_revenue|applied|parametric")&gt;0,SUMIF(Corrections!$H$5:$H$64,"channels[ALL].annual_revenue|applied|parametric",Corrections!$G$5:$G$64),N(Assumptions!C30)))</f>
        <v/>
      </c>
      <c r="D30" s="22">
        <f>IF(COUNTIF(Corrections!$H$5:$H$64,"channels[4].growth_rate|applied|parametric")&gt;0,SUMIF(Corrections!$H$5:$H$64,"channels[4].growth_rate|applied|parametric",Corrections!$G$5:$G$64),IF(COUNTIF(Corrections!$H$5:$H$64,"channels[ALL].growth_rate|applied|parametric")&gt;0,SUMIF(Corrections!$H$5:$H$64,"channels[ALL].growth_rate|applied|parametric",Corrections!$G$5:$G$64),N(Assumptions!D30)))</f>
        <v/>
      </c>
      <c r="E30" s="22">
        <f>IF(COUNTIF(Corrections!$H$5:$H$64,"channels[4].cogs_pct|applied|parametric")&gt;0,SUMIF(Corrections!$H$5:$H$64,"channels[4].cogs_pct|applied|parametric",Corrections!$G$5:$G$64),IF(COUNTIF(Corrections!$H$5:$H$64,"channels[ALL].cogs_pct|applied|parametric")&gt;0,SUMIF(Corrections!$H$5:$H$64,"channels[ALL].cogs_pct|applied|parametric",Corrections!$G$5:$G$64),N(Assumptions!E30)))</f>
        <v/>
      </c>
      <c r="F30" s="23">
        <f>IF(COUNTIF(Corrections!$H$5:$H$64,"channels[4].seasonality[0]|applied|parametric")&gt;0,SUMIF(Corrections!$H$5:$H$64,"channels[4]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F30)))))</f>
        <v/>
      </c>
      <c r="G30" s="23">
        <f>IF(COUNTIF(Corrections!$H$5:$H$64,"channels[4].seasonality[1]|applied|parametric")&gt;0,SUMIF(Corrections!$H$5:$H$64,"channels[4]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G30)))))</f>
        <v/>
      </c>
      <c r="H30" s="23">
        <f>IF(COUNTIF(Corrections!$H$5:$H$64,"channels[4].seasonality[2]|applied|parametric")&gt;0,SUMIF(Corrections!$H$5:$H$64,"channels[4]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H30)))))</f>
        <v/>
      </c>
      <c r="I30" s="23">
        <f>IF(COUNTIF(Corrections!$H$5:$H$64,"channels[4].seasonality[3]|applied|parametric")&gt;0,SUMIF(Corrections!$H$5:$H$64,"channels[4]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I30)))))</f>
        <v/>
      </c>
      <c r="J30" s="23">
        <f>IF(COUNTIF(Corrections!$H$5:$H$64,"channels[4].seasonality[4]|applied|parametric")&gt;0,SUMIF(Corrections!$H$5:$H$64,"channels[4]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J30)))))</f>
        <v/>
      </c>
      <c r="K30" s="23">
        <f>IF(COUNTIF(Corrections!$H$5:$H$64,"channels[4].seasonality[5]|applied|parametric")&gt;0,SUMIF(Corrections!$H$5:$H$64,"channels[4]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K30)))))</f>
        <v/>
      </c>
      <c r="L30" s="23">
        <f>IF(COUNTIF(Corrections!$H$5:$H$64,"channels[4].seasonality[6]|applied|parametric")&gt;0,SUMIF(Corrections!$H$5:$H$64,"channels[4]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L30)))))</f>
        <v/>
      </c>
      <c r="M30" s="23">
        <f>IF(COUNTIF(Corrections!$H$5:$H$64,"channels[4].seasonality[7]|applied|parametric")&gt;0,SUMIF(Corrections!$H$5:$H$64,"channels[4]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M30)))))</f>
        <v/>
      </c>
      <c r="N30" s="23">
        <f>IF(COUNTIF(Corrections!$H$5:$H$64,"channels[4].seasonality[8]|applied|parametric")&gt;0,SUMIF(Corrections!$H$5:$H$64,"channels[4]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N30)))))</f>
        <v/>
      </c>
      <c r="O30" s="23">
        <f>IF(COUNTIF(Corrections!$H$5:$H$64,"channels[4].seasonality[9]|applied|parametric")&gt;0,SUMIF(Corrections!$H$5:$H$64,"channels[4]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O30)))))</f>
        <v/>
      </c>
      <c r="P30" s="23">
        <f>IF(COUNTIF(Corrections!$H$5:$H$64,"channels[4].seasonality[10]|applied|parametric")&gt;0,SUMIF(Corrections!$H$5:$H$64,"channels[4]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P30)))))</f>
        <v/>
      </c>
      <c r="Q30" s="23">
        <f>IF(COUNTIF(Corrections!$H$5:$H$64,"channels[4].seasonality[11]|applied|parametric")&gt;0,SUMIF(Corrections!$H$5:$H$64,"channels[4]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Q30)))))</f>
        <v/>
      </c>
    </row>
    <row r="31">
      <c r="A31" t="n">
        <v>5</v>
      </c>
      <c r="B31" s="6">
        <f>IF(Assumptions!B31="","",TRIM(Assumptions!B31))</f>
        <v/>
      </c>
      <c r="C31" s="20">
        <f>IF(COUNTIF(Corrections!$H$5:$H$64,"channels[5].annual_revenue|applied|parametric")&gt;0,SUMIF(Corrections!$H$5:$H$64,"channels[5].annual_revenue|applied|parametric",Corrections!$G$5:$G$64),IF(COUNTIF(Corrections!$H$5:$H$64,"channels[ALL].annual_revenue|applied|parametric")&gt;0,SUMIF(Corrections!$H$5:$H$64,"channels[ALL].annual_revenue|applied|parametric",Corrections!$G$5:$G$64),N(Assumptions!C31)))</f>
        <v/>
      </c>
      <c r="D31" s="22">
        <f>IF(COUNTIF(Corrections!$H$5:$H$64,"channels[5].growth_rate|applied|parametric")&gt;0,SUMIF(Corrections!$H$5:$H$64,"channels[5].growth_rate|applied|parametric",Corrections!$G$5:$G$64),IF(COUNTIF(Corrections!$H$5:$H$64,"channels[ALL].growth_rate|applied|parametric")&gt;0,SUMIF(Corrections!$H$5:$H$64,"channels[ALL].growth_rate|applied|parametric",Corrections!$G$5:$G$64),N(Assumptions!D31)))</f>
        <v/>
      </c>
      <c r="E31" s="22">
        <f>IF(COUNTIF(Corrections!$H$5:$H$64,"channels[5].cogs_pct|applied|parametric")&gt;0,SUMIF(Corrections!$H$5:$H$64,"channels[5].cogs_pct|applied|parametric",Corrections!$G$5:$G$64),IF(COUNTIF(Corrections!$H$5:$H$64,"channels[ALL].cogs_pct|applied|parametric")&gt;0,SUMIF(Corrections!$H$5:$H$64,"channels[ALL].cogs_pct|applied|parametric",Corrections!$G$5:$G$64),N(Assumptions!E31)))</f>
        <v/>
      </c>
      <c r="F31" s="23">
        <f>IF(COUNTIF(Corrections!$H$5:$H$64,"channels[5].seasonality[0]|applied|parametric")&gt;0,SUMIF(Corrections!$H$5:$H$64,"channels[5]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F31)))))</f>
        <v/>
      </c>
      <c r="G31" s="23">
        <f>IF(COUNTIF(Corrections!$H$5:$H$64,"channels[5].seasonality[1]|applied|parametric")&gt;0,SUMIF(Corrections!$H$5:$H$64,"channels[5]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G31)))))</f>
        <v/>
      </c>
      <c r="H31" s="23">
        <f>IF(COUNTIF(Corrections!$H$5:$H$64,"channels[5].seasonality[2]|applied|parametric")&gt;0,SUMIF(Corrections!$H$5:$H$64,"channels[5]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H31)))))</f>
        <v/>
      </c>
      <c r="I31" s="23">
        <f>IF(COUNTIF(Corrections!$H$5:$H$64,"channels[5].seasonality[3]|applied|parametric")&gt;0,SUMIF(Corrections!$H$5:$H$64,"channels[5]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I31)))))</f>
        <v/>
      </c>
      <c r="J31" s="23">
        <f>IF(COUNTIF(Corrections!$H$5:$H$64,"channels[5].seasonality[4]|applied|parametric")&gt;0,SUMIF(Corrections!$H$5:$H$64,"channels[5]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J31)))))</f>
        <v/>
      </c>
      <c r="K31" s="23">
        <f>IF(COUNTIF(Corrections!$H$5:$H$64,"channels[5].seasonality[5]|applied|parametric")&gt;0,SUMIF(Corrections!$H$5:$H$64,"channels[5]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K31)))))</f>
        <v/>
      </c>
      <c r="L31" s="23">
        <f>IF(COUNTIF(Corrections!$H$5:$H$64,"channels[5].seasonality[6]|applied|parametric")&gt;0,SUMIF(Corrections!$H$5:$H$64,"channels[5]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L31)))))</f>
        <v/>
      </c>
      <c r="M31" s="23">
        <f>IF(COUNTIF(Corrections!$H$5:$H$64,"channels[5].seasonality[7]|applied|parametric")&gt;0,SUMIF(Corrections!$H$5:$H$64,"channels[5]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M31)))))</f>
        <v/>
      </c>
      <c r="N31" s="23">
        <f>IF(COUNTIF(Corrections!$H$5:$H$64,"channels[5].seasonality[8]|applied|parametric")&gt;0,SUMIF(Corrections!$H$5:$H$64,"channels[5]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N31)))))</f>
        <v/>
      </c>
      <c r="O31" s="23">
        <f>IF(COUNTIF(Corrections!$H$5:$H$64,"channels[5].seasonality[9]|applied|parametric")&gt;0,SUMIF(Corrections!$H$5:$H$64,"channels[5]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O31)))))</f>
        <v/>
      </c>
      <c r="P31" s="23">
        <f>IF(COUNTIF(Corrections!$H$5:$H$64,"channels[5].seasonality[10]|applied|parametric")&gt;0,SUMIF(Corrections!$H$5:$H$64,"channels[5]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P31)))))</f>
        <v/>
      </c>
      <c r="Q31" s="23">
        <f>IF(COUNTIF(Corrections!$H$5:$H$64,"channels[5].seasonality[11]|applied|parametric")&gt;0,SUMIF(Corrections!$H$5:$H$64,"channels[5]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Q31)))))</f>
        <v/>
      </c>
    </row>
    <row r="32">
      <c r="A32" t="n">
        <v>6</v>
      </c>
      <c r="B32" s="6">
        <f>IF(Assumptions!B32="","",TRIM(Assumptions!B32))</f>
        <v/>
      </c>
      <c r="C32" s="20">
        <f>IF(COUNTIF(Corrections!$H$5:$H$64,"channels[6].annual_revenue|applied|parametric")&gt;0,SUMIF(Corrections!$H$5:$H$64,"channels[6].annual_revenue|applied|parametric",Corrections!$G$5:$G$64),IF(COUNTIF(Corrections!$H$5:$H$64,"channels[ALL].annual_revenue|applied|parametric")&gt;0,SUMIF(Corrections!$H$5:$H$64,"channels[ALL].annual_revenue|applied|parametric",Corrections!$G$5:$G$64),N(Assumptions!C32)))</f>
        <v/>
      </c>
      <c r="D32" s="22">
        <f>IF(COUNTIF(Corrections!$H$5:$H$64,"channels[6].growth_rate|applied|parametric")&gt;0,SUMIF(Corrections!$H$5:$H$64,"channels[6].growth_rate|applied|parametric",Corrections!$G$5:$G$64),IF(COUNTIF(Corrections!$H$5:$H$64,"channels[ALL].growth_rate|applied|parametric")&gt;0,SUMIF(Corrections!$H$5:$H$64,"channels[ALL].growth_rate|applied|parametric",Corrections!$G$5:$G$64),N(Assumptions!D32)))</f>
        <v/>
      </c>
      <c r="E32" s="22">
        <f>IF(COUNTIF(Corrections!$H$5:$H$64,"channels[6].cogs_pct|applied|parametric")&gt;0,SUMIF(Corrections!$H$5:$H$64,"channels[6].cogs_pct|applied|parametric",Corrections!$G$5:$G$64),IF(COUNTIF(Corrections!$H$5:$H$64,"channels[ALL].cogs_pct|applied|parametric")&gt;0,SUMIF(Corrections!$H$5:$H$64,"channels[ALL].cogs_pct|applied|parametric",Corrections!$G$5:$G$64),N(Assumptions!E32)))</f>
        <v/>
      </c>
      <c r="F32" s="23">
        <f>IF(COUNTIF(Corrections!$H$5:$H$64,"channels[6].seasonality[0]|applied|parametric")&gt;0,SUMIF(Corrections!$H$5:$H$64,"channels[6]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F32)))))</f>
        <v/>
      </c>
      <c r="G32" s="23">
        <f>IF(COUNTIF(Corrections!$H$5:$H$64,"channels[6].seasonality[1]|applied|parametric")&gt;0,SUMIF(Corrections!$H$5:$H$64,"channels[6]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G32)))))</f>
        <v/>
      </c>
      <c r="H32" s="23">
        <f>IF(COUNTIF(Corrections!$H$5:$H$64,"channels[6].seasonality[2]|applied|parametric")&gt;0,SUMIF(Corrections!$H$5:$H$64,"channels[6]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H32)))))</f>
        <v/>
      </c>
      <c r="I32" s="23">
        <f>IF(COUNTIF(Corrections!$H$5:$H$64,"channels[6].seasonality[3]|applied|parametric")&gt;0,SUMIF(Corrections!$H$5:$H$64,"channels[6]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I32)))))</f>
        <v/>
      </c>
      <c r="J32" s="23">
        <f>IF(COUNTIF(Corrections!$H$5:$H$64,"channels[6].seasonality[4]|applied|parametric")&gt;0,SUMIF(Corrections!$H$5:$H$64,"channels[6]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J32)))))</f>
        <v/>
      </c>
      <c r="K32" s="23">
        <f>IF(COUNTIF(Corrections!$H$5:$H$64,"channels[6].seasonality[5]|applied|parametric")&gt;0,SUMIF(Corrections!$H$5:$H$64,"channels[6]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K32)))))</f>
        <v/>
      </c>
      <c r="L32" s="23">
        <f>IF(COUNTIF(Corrections!$H$5:$H$64,"channels[6].seasonality[6]|applied|parametric")&gt;0,SUMIF(Corrections!$H$5:$H$64,"channels[6]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L32)))))</f>
        <v/>
      </c>
      <c r="M32" s="23">
        <f>IF(COUNTIF(Corrections!$H$5:$H$64,"channels[6].seasonality[7]|applied|parametric")&gt;0,SUMIF(Corrections!$H$5:$H$64,"channels[6]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M32)))))</f>
        <v/>
      </c>
      <c r="N32" s="23">
        <f>IF(COUNTIF(Corrections!$H$5:$H$64,"channels[6].seasonality[8]|applied|parametric")&gt;0,SUMIF(Corrections!$H$5:$H$64,"channels[6]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N32)))))</f>
        <v/>
      </c>
      <c r="O32" s="23">
        <f>IF(COUNTIF(Corrections!$H$5:$H$64,"channels[6].seasonality[9]|applied|parametric")&gt;0,SUMIF(Corrections!$H$5:$H$64,"channels[6]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O32)))))</f>
        <v/>
      </c>
      <c r="P32" s="23">
        <f>IF(COUNTIF(Corrections!$H$5:$H$64,"channels[6].seasonality[10]|applied|parametric")&gt;0,SUMIF(Corrections!$H$5:$H$64,"channels[6]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P32)))))</f>
        <v/>
      </c>
      <c r="Q32" s="23">
        <f>IF(COUNTIF(Corrections!$H$5:$H$64,"channels[6].seasonality[11]|applied|parametric")&gt;0,SUMIF(Corrections!$H$5:$H$64,"channels[6]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Q32)))))</f>
        <v/>
      </c>
    </row>
    <row r="33">
      <c r="A33" t="n">
        <v>7</v>
      </c>
      <c r="B33" s="6">
        <f>IF(Assumptions!B33="","",TRIM(Assumptions!B33))</f>
        <v/>
      </c>
      <c r="C33" s="20">
        <f>IF(COUNTIF(Corrections!$H$5:$H$64,"channels[7].annual_revenue|applied|parametric")&gt;0,SUMIF(Corrections!$H$5:$H$64,"channels[7].annual_revenue|applied|parametric",Corrections!$G$5:$G$64),IF(COUNTIF(Corrections!$H$5:$H$64,"channels[ALL].annual_revenue|applied|parametric")&gt;0,SUMIF(Corrections!$H$5:$H$64,"channels[ALL].annual_revenue|applied|parametric",Corrections!$G$5:$G$64),N(Assumptions!C33)))</f>
        <v/>
      </c>
      <c r="D33" s="22">
        <f>IF(COUNTIF(Corrections!$H$5:$H$64,"channels[7].growth_rate|applied|parametric")&gt;0,SUMIF(Corrections!$H$5:$H$64,"channels[7].growth_rate|applied|parametric",Corrections!$G$5:$G$64),IF(COUNTIF(Corrections!$H$5:$H$64,"channels[ALL].growth_rate|applied|parametric")&gt;0,SUMIF(Corrections!$H$5:$H$64,"channels[ALL].growth_rate|applied|parametric",Corrections!$G$5:$G$64),N(Assumptions!D33)))</f>
        <v/>
      </c>
      <c r="E33" s="22">
        <f>IF(COUNTIF(Corrections!$H$5:$H$64,"channels[7].cogs_pct|applied|parametric")&gt;0,SUMIF(Corrections!$H$5:$H$64,"channels[7].cogs_pct|applied|parametric",Corrections!$G$5:$G$64),IF(COUNTIF(Corrections!$H$5:$H$64,"channels[ALL].cogs_pct|applied|parametric")&gt;0,SUMIF(Corrections!$H$5:$H$64,"channels[ALL].cogs_pct|applied|parametric",Corrections!$G$5:$G$64),N(Assumptions!E33)))</f>
        <v/>
      </c>
      <c r="F33" s="23">
        <f>IF(COUNTIF(Corrections!$H$5:$H$64,"channels[7].seasonality[0]|applied|parametric")&gt;0,SUMIF(Corrections!$H$5:$H$64,"channels[7]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F33)))))</f>
        <v/>
      </c>
      <c r="G33" s="23">
        <f>IF(COUNTIF(Corrections!$H$5:$H$64,"channels[7].seasonality[1]|applied|parametric")&gt;0,SUMIF(Corrections!$H$5:$H$64,"channels[7]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G33)))))</f>
        <v/>
      </c>
      <c r="H33" s="23">
        <f>IF(COUNTIF(Corrections!$H$5:$H$64,"channels[7].seasonality[2]|applied|parametric")&gt;0,SUMIF(Corrections!$H$5:$H$64,"channels[7]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H33)))))</f>
        <v/>
      </c>
      <c r="I33" s="23">
        <f>IF(COUNTIF(Corrections!$H$5:$H$64,"channels[7].seasonality[3]|applied|parametric")&gt;0,SUMIF(Corrections!$H$5:$H$64,"channels[7]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I33)))))</f>
        <v/>
      </c>
      <c r="J33" s="23">
        <f>IF(COUNTIF(Corrections!$H$5:$H$64,"channels[7].seasonality[4]|applied|parametric")&gt;0,SUMIF(Corrections!$H$5:$H$64,"channels[7]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J33)))))</f>
        <v/>
      </c>
      <c r="K33" s="23">
        <f>IF(COUNTIF(Corrections!$H$5:$H$64,"channels[7].seasonality[5]|applied|parametric")&gt;0,SUMIF(Corrections!$H$5:$H$64,"channels[7]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K33)))))</f>
        <v/>
      </c>
      <c r="L33" s="23">
        <f>IF(COUNTIF(Corrections!$H$5:$H$64,"channels[7].seasonality[6]|applied|parametric")&gt;0,SUMIF(Corrections!$H$5:$H$64,"channels[7]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L33)))))</f>
        <v/>
      </c>
      <c r="M33" s="23">
        <f>IF(COUNTIF(Corrections!$H$5:$H$64,"channels[7].seasonality[7]|applied|parametric")&gt;0,SUMIF(Corrections!$H$5:$H$64,"channels[7]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M33)))))</f>
        <v/>
      </c>
      <c r="N33" s="23">
        <f>IF(COUNTIF(Corrections!$H$5:$H$64,"channels[7].seasonality[8]|applied|parametric")&gt;0,SUMIF(Corrections!$H$5:$H$64,"channels[7]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N33)))))</f>
        <v/>
      </c>
      <c r="O33" s="23">
        <f>IF(COUNTIF(Corrections!$H$5:$H$64,"channels[7].seasonality[9]|applied|parametric")&gt;0,SUMIF(Corrections!$H$5:$H$64,"channels[7]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O33)))))</f>
        <v/>
      </c>
      <c r="P33" s="23">
        <f>IF(COUNTIF(Corrections!$H$5:$H$64,"channels[7].seasonality[10]|applied|parametric")&gt;0,SUMIF(Corrections!$H$5:$H$64,"channels[7]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P33)))))</f>
        <v/>
      </c>
      <c r="Q33" s="23">
        <f>IF(COUNTIF(Corrections!$H$5:$H$64,"channels[7].seasonality[11]|applied|parametric")&gt;0,SUMIF(Corrections!$H$5:$H$64,"channels[7]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Q33)))))</f>
        <v/>
      </c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6">
        <f>IF(Assumptions!B36="","",TRIM(Assumptions!B36))</f>
        <v/>
      </c>
      <c r="C36" s="6">
        <f>IF(Assumptions!C36="","",LOWER(TRIM(Assumptions!C36)))</f>
        <v/>
      </c>
      <c r="D36" s="20">
        <f>IF(COUNTIF(Corrections!$H$5:$H$64,"opex[0].monthly_amount|applied|parametric")&gt;0,SUMIF(Corrections!$H$5:$H$64,"opex[0].monthly_amount|applied|parametric",Corrections!$G$5:$G$64),IF(COUNTIF(Corrections!$H$5:$H$64,"opex[ALL].monthly_amount|applied|parametric")&gt;0,SUMIF(Corrections!$H$5:$H$64,"opex[ALL].monthly_amount|applied|parametric",Corrections!$G$5:$G$64),N(Assumptions!D36)))</f>
        <v/>
      </c>
      <c r="E36" s="22">
        <f>IF(COUNTIF(Corrections!$H$5:$H$64,"opex[0].pct_of_revenue|applied|parametric")&gt;0,SUMIF(Corrections!$H$5:$H$64,"opex[0].pct_of_revenue|applied|parametric",Corrections!$G$5:$G$64),IF(COUNTIF(Corrections!$H$5:$H$64,"opex[ALL].pct_of_revenue|applied|parametric")&gt;0,SUMIF(Corrections!$H$5:$H$64,"opex[ALL].pct_of_revenue|applied|parametric",Corrections!$G$5:$G$64),N(Assumptions!E36)))</f>
        <v/>
      </c>
    </row>
    <row r="37">
      <c r="A37" t="n">
        <v>1</v>
      </c>
      <c r="B37" s="6">
        <f>IF(Assumptions!B37="","",TRIM(Assumptions!B37))</f>
        <v/>
      </c>
      <c r="C37" s="6">
        <f>IF(Assumptions!C37="","",LOWER(TRIM(Assumptions!C37)))</f>
        <v/>
      </c>
      <c r="D37" s="20">
        <f>IF(COUNTIF(Corrections!$H$5:$H$64,"opex[1].monthly_amount|applied|parametric")&gt;0,SUMIF(Corrections!$H$5:$H$64,"opex[1].monthly_amount|applied|parametric",Corrections!$G$5:$G$64),IF(COUNTIF(Corrections!$H$5:$H$64,"opex[ALL].monthly_amount|applied|parametric")&gt;0,SUMIF(Corrections!$H$5:$H$64,"opex[ALL].monthly_amount|applied|parametric",Corrections!$G$5:$G$64),N(Assumptions!D37)))</f>
        <v/>
      </c>
      <c r="E37" s="22">
        <f>IF(COUNTIF(Corrections!$H$5:$H$64,"opex[1].pct_of_revenue|applied|parametric")&gt;0,SUMIF(Corrections!$H$5:$H$64,"opex[1].pct_of_revenue|applied|parametric",Corrections!$G$5:$G$64),IF(COUNTIF(Corrections!$H$5:$H$64,"opex[ALL].pct_of_revenue|applied|parametric")&gt;0,SUMIF(Corrections!$H$5:$H$64,"opex[ALL].pct_of_revenue|applied|parametric",Corrections!$G$5:$G$64),N(Assumptions!E37)))</f>
        <v/>
      </c>
    </row>
    <row r="38">
      <c r="A38" t="n">
        <v>2</v>
      </c>
      <c r="B38" s="6">
        <f>IF(Assumptions!B38="","",TRIM(Assumptions!B38))</f>
        <v/>
      </c>
      <c r="C38" s="6">
        <f>IF(Assumptions!C38="","",LOWER(TRIM(Assumptions!C38)))</f>
        <v/>
      </c>
      <c r="D38" s="20">
        <f>IF(COUNTIF(Corrections!$H$5:$H$64,"opex[2].monthly_amount|applied|parametric")&gt;0,SUMIF(Corrections!$H$5:$H$64,"opex[2].monthly_amount|applied|parametric",Corrections!$G$5:$G$64),IF(COUNTIF(Corrections!$H$5:$H$64,"opex[ALL].monthly_amount|applied|parametric")&gt;0,SUMIF(Corrections!$H$5:$H$64,"opex[ALL].monthly_amount|applied|parametric",Corrections!$G$5:$G$64),N(Assumptions!D38)))</f>
        <v/>
      </c>
      <c r="E38" s="22">
        <f>IF(COUNTIF(Corrections!$H$5:$H$64,"opex[2].pct_of_revenue|applied|parametric")&gt;0,SUMIF(Corrections!$H$5:$H$64,"opex[2].pct_of_revenue|applied|parametric",Corrections!$G$5:$G$64),IF(COUNTIF(Corrections!$H$5:$H$64,"opex[ALL].pct_of_revenue|applied|parametric")&gt;0,SUMIF(Corrections!$H$5:$H$64,"opex[ALL].pct_of_revenue|applied|parametric",Corrections!$G$5:$G$64),N(Assumptions!E38)))</f>
        <v/>
      </c>
    </row>
    <row r="39">
      <c r="A39" t="n">
        <v>3</v>
      </c>
      <c r="B39" s="6">
        <f>IF(Assumptions!B39="","",TRIM(Assumptions!B39))</f>
        <v/>
      </c>
      <c r="C39" s="6">
        <f>IF(Assumptions!C39="","",LOWER(TRIM(Assumptions!C39)))</f>
        <v/>
      </c>
      <c r="D39" s="20">
        <f>IF(COUNTIF(Corrections!$H$5:$H$64,"opex[3].monthly_amount|applied|parametric")&gt;0,SUMIF(Corrections!$H$5:$H$64,"opex[3].monthly_amount|applied|parametric",Corrections!$G$5:$G$64),IF(COUNTIF(Corrections!$H$5:$H$64,"opex[ALL].monthly_amount|applied|parametric")&gt;0,SUMIF(Corrections!$H$5:$H$64,"opex[ALL].monthly_amount|applied|parametric",Corrections!$G$5:$G$64),N(Assumptions!D39)))</f>
        <v/>
      </c>
      <c r="E39" s="22">
        <f>IF(COUNTIF(Corrections!$H$5:$H$64,"opex[3].pct_of_revenue|applied|parametric")&gt;0,SUMIF(Corrections!$H$5:$H$64,"opex[3].pct_of_revenue|applied|parametric",Corrections!$G$5:$G$64),IF(COUNTIF(Corrections!$H$5:$H$64,"opex[ALL].pct_of_revenue|applied|parametric")&gt;0,SUMIF(Corrections!$H$5:$H$64,"opex[ALL].pct_of_revenue|applied|parametric",Corrections!$G$5:$G$64),N(Assumptions!E39)))</f>
        <v/>
      </c>
    </row>
    <row r="40">
      <c r="A40" t="n">
        <v>4</v>
      </c>
      <c r="B40" s="6">
        <f>IF(Assumptions!B40="","",TRIM(Assumptions!B40))</f>
        <v/>
      </c>
      <c r="C40" s="6">
        <f>IF(Assumptions!C40="","",LOWER(TRIM(Assumptions!C40)))</f>
        <v/>
      </c>
      <c r="D40" s="20">
        <f>IF(COUNTIF(Corrections!$H$5:$H$64,"opex[4].monthly_amount|applied|parametric")&gt;0,SUMIF(Corrections!$H$5:$H$64,"opex[4].monthly_amount|applied|parametric",Corrections!$G$5:$G$64),IF(COUNTIF(Corrections!$H$5:$H$64,"opex[ALL].monthly_amount|applied|parametric")&gt;0,SUMIF(Corrections!$H$5:$H$64,"opex[ALL].monthly_amount|applied|parametric",Corrections!$G$5:$G$64),N(Assumptions!D40)))</f>
        <v/>
      </c>
      <c r="E40" s="22">
        <f>IF(COUNTIF(Corrections!$H$5:$H$64,"opex[4].pct_of_revenue|applied|parametric")&gt;0,SUMIF(Corrections!$H$5:$H$64,"opex[4].pct_of_revenue|applied|parametric",Corrections!$G$5:$G$64),IF(COUNTIF(Corrections!$H$5:$H$64,"opex[ALL].pct_of_revenue|applied|parametric")&gt;0,SUMIF(Corrections!$H$5:$H$64,"opex[ALL].pct_of_revenue|applied|parametric",Corrections!$G$5:$G$64),N(Assumptions!E40)))</f>
        <v/>
      </c>
    </row>
    <row r="41">
      <c r="A41" t="n">
        <v>5</v>
      </c>
      <c r="B41" s="6">
        <f>IF(Assumptions!B41="","",TRIM(Assumptions!B41))</f>
        <v/>
      </c>
      <c r="C41" s="6">
        <f>IF(Assumptions!C41="","",LOWER(TRIM(Assumptions!C41)))</f>
        <v/>
      </c>
      <c r="D41" s="20">
        <f>IF(COUNTIF(Corrections!$H$5:$H$64,"opex[5].monthly_amount|applied|parametric")&gt;0,SUMIF(Corrections!$H$5:$H$64,"opex[5].monthly_amount|applied|parametric",Corrections!$G$5:$G$64),IF(COUNTIF(Corrections!$H$5:$H$64,"opex[ALL].monthly_amount|applied|parametric")&gt;0,SUMIF(Corrections!$H$5:$H$64,"opex[ALL].monthly_amount|applied|parametric",Corrections!$G$5:$G$64),N(Assumptions!D41)))</f>
        <v/>
      </c>
      <c r="E41" s="22">
        <f>IF(COUNTIF(Corrections!$H$5:$H$64,"opex[5].pct_of_revenue|applied|parametric")&gt;0,SUMIF(Corrections!$H$5:$H$64,"opex[5].pct_of_revenue|applied|parametric",Corrections!$G$5:$G$64),IF(COUNTIF(Corrections!$H$5:$H$64,"opex[ALL].pct_of_revenue|applied|parametric")&gt;0,SUMIF(Corrections!$H$5:$H$64,"opex[ALL].pct_of_revenue|applied|parametric",Corrections!$G$5:$G$64),N(Assumptions!E41)))</f>
        <v/>
      </c>
    </row>
    <row r="42">
      <c r="A42" t="n">
        <v>6</v>
      </c>
      <c r="B42" s="6">
        <f>IF(Assumptions!B42="","",TRIM(Assumptions!B42))</f>
        <v/>
      </c>
      <c r="C42" s="6">
        <f>IF(Assumptions!C42="","",LOWER(TRIM(Assumptions!C42)))</f>
        <v/>
      </c>
      <c r="D42" s="20">
        <f>IF(COUNTIF(Corrections!$H$5:$H$64,"opex[6].monthly_amount|applied|parametric")&gt;0,SUMIF(Corrections!$H$5:$H$64,"opex[6].monthly_amount|applied|parametric",Corrections!$G$5:$G$64),IF(COUNTIF(Corrections!$H$5:$H$64,"opex[ALL].monthly_amount|applied|parametric")&gt;0,SUMIF(Corrections!$H$5:$H$64,"opex[ALL].monthly_amount|applied|parametric",Corrections!$G$5:$G$64),N(Assumptions!D42)))</f>
        <v/>
      </c>
      <c r="E42" s="22">
        <f>IF(COUNTIF(Corrections!$H$5:$H$64,"opex[6].pct_of_revenue|applied|parametric")&gt;0,SUMIF(Corrections!$H$5:$H$64,"opex[6].pct_of_revenue|applied|parametric",Corrections!$G$5:$G$64),IF(COUNTIF(Corrections!$H$5:$H$64,"opex[ALL].pct_of_revenue|applied|parametric")&gt;0,SUMIF(Corrections!$H$5:$H$64,"opex[ALL].pct_of_revenue|applied|parametric",Corrections!$G$5:$G$64),N(Assumptions!E42)))</f>
        <v/>
      </c>
    </row>
    <row r="43">
      <c r="A43" t="n">
        <v>7</v>
      </c>
      <c r="B43" s="6">
        <f>IF(Assumptions!B43="","",TRIM(Assumptions!B43))</f>
        <v/>
      </c>
      <c r="C43" s="6">
        <f>IF(Assumptions!C43="","",LOWER(TRIM(Assumptions!C43)))</f>
        <v/>
      </c>
      <c r="D43" s="20">
        <f>IF(COUNTIF(Corrections!$H$5:$H$64,"opex[7].monthly_amount|applied|parametric")&gt;0,SUMIF(Corrections!$H$5:$H$64,"opex[7].monthly_amount|applied|parametric",Corrections!$G$5:$G$64),IF(COUNTIF(Corrections!$H$5:$H$64,"opex[ALL].monthly_amount|applied|parametric")&gt;0,SUMIF(Corrections!$H$5:$H$64,"opex[ALL].monthly_amount|applied|parametric",Corrections!$G$5:$G$64),N(Assumptions!D43)))</f>
        <v/>
      </c>
      <c r="E43" s="22">
        <f>IF(COUNTIF(Corrections!$H$5:$H$64,"opex[7].pct_of_revenue|applied|parametric")&gt;0,SUMIF(Corrections!$H$5:$H$64,"opex[7].pct_of_revenue|applied|parametric",Corrections!$G$5:$G$64),IF(COUNTIF(Corrections!$H$5:$H$64,"opex[ALL].pct_of_revenue|applied|parametric")&gt;0,SUMIF(Corrections!$H$5:$H$64,"opex[ALL].pct_of_revenue|applied|parametric",Corrections!$G$5:$G$64),N(Assumptions!E43)))</f>
        <v/>
      </c>
    </row>
    <row r="44">
      <c r="A44" t="n">
        <v>8</v>
      </c>
      <c r="B44" s="6">
        <f>IF(Assumptions!B44="","",TRIM(Assumptions!B44))</f>
        <v/>
      </c>
      <c r="C44" s="6">
        <f>IF(Assumptions!C44="","",LOWER(TRIM(Assumptions!C44)))</f>
        <v/>
      </c>
      <c r="D44" s="20">
        <f>IF(COUNTIF(Corrections!$H$5:$H$64,"opex[8].monthly_amount|applied|parametric")&gt;0,SUMIF(Corrections!$H$5:$H$64,"opex[8].monthly_amount|applied|parametric",Corrections!$G$5:$G$64),IF(COUNTIF(Corrections!$H$5:$H$64,"opex[ALL].monthly_amount|applied|parametric")&gt;0,SUMIF(Corrections!$H$5:$H$64,"opex[ALL].monthly_amount|applied|parametric",Corrections!$G$5:$G$64),N(Assumptions!D44)))</f>
        <v/>
      </c>
      <c r="E44" s="22">
        <f>IF(COUNTIF(Corrections!$H$5:$H$64,"opex[8].pct_of_revenue|applied|parametric")&gt;0,SUMIF(Corrections!$H$5:$H$64,"opex[8].pct_of_revenue|applied|parametric",Corrections!$G$5:$G$64),IF(COUNTIF(Corrections!$H$5:$H$64,"opex[ALL].pct_of_revenue|applied|parametric")&gt;0,SUMIF(Corrections!$H$5:$H$64,"opex[ALL].pct_of_revenue|applied|parametric",Corrections!$G$5:$G$64),N(Assumptions!E44)))</f>
        <v/>
      </c>
    </row>
    <row r="45">
      <c r="A45" t="n">
        <v>9</v>
      </c>
      <c r="B45" s="6">
        <f>IF(Assumptions!B45="","",TRIM(Assumptions!B45))</f>
        <v/>
      </c>
      <c r="C45" s="6">
        <f>IF(Assumptions!C45="","",LOWER(TRIM(Assumptions!C45)))</f>
        <v/>
      </c>
      <c r="D45" s="20">
        <f>IF(COUNTIF(Corrections!$H$5:$H$64,"opex[9].monthly_amount|applied|parametric")&gt;0,SUMIF(Corrections!$H$5:$H$64,"opex[9].monthly_amount|applied|parametric",Corrections!$G$5:$G$64),IF(COUNTIF(Corrections!$H$5:$H$64,"opex[ALL].monthly_amount|applied|parametric")&gt;0,SUMIF(Corrections!$H$5:$H$64,"opex[ALL].monthly_amount|applied|parametric",Corrections!$G$5:$G$64),N(Assumptions!D45)))</f>
        <v/>
      </c>
      <c r="E45" s="22">
        <f>IF(COUNTIF(Corrections!$H$5:$H$64,"opex[9].pct_of_revenue|applied|parametric")&gt;0,SUMIF(Corrections!$H$5:$H$64,"opex[9].pct_of_revenue|applied|parametric",Corrections!$G$5:$G$64),IF(COUNTIF(Corrections!$H$5:$H$64,"opex[ALL].pct_of_revenue|applied|parametric")&gt;0,SUMIF(Corrections!$H$5:$H$64,"opex[ALL].pct_of_revenue|applied|parametric",Corrections!$G$5:$G$64),N(Assumptions!E45)))</f>
        <v/>
      </c>
    </row>
    <row r="46">
      <c r="A46" t="n">
        <v>10</v>
      </c>
      <c r="B46" s="6">
        <f>IF(Assumptions!B46="","",TRIM(Assumptions!B46))</f>
        <v/>
      </c>
      <c r="C46" s="6">
        <f>IF(Assumptions!C46="","",LOWER(TRIM(Assumptions!C46)))</f>
        <v/>
      </c>
      <c r="D46" s="20">
        <f>IF(COUNTIF(Corrections!$H$5:$H$64,"opex[10].monthly_amount|applied|parametric")&gt;0,SUMIF(Corrections!$H$5:$H$64,"opex[10].monthly_amount|applied|parametric",Corrections!$G$5:$G$64),IF(COUNTIF(Corrections!$H$5:$H$64,"opex[ALL].monthly_amount|applied|parametric")&gt;0,SUMIF(Corrections!$H$5:$H$64,"opex[ALL].monthly_amount|applied|parametric",Corrections!$G$5:$G$64),N(Assumptions!D46)))</f>
        <v/>
      </c>
      <c r="E46" s="22">
        <f>IF(COUNTIF(Corrections!$H$5:$H$64,"opex[10].pct_of_revenue|applied|parametric")&gt;0,SUMIF(Corrections!$H$5:$H$64,"opex[10].pct_of_revenue|applied|parametric",Corrections!$G$5:$G$64),IF(COUNTIF(Corrections!$H$5:$H$64,"opex[ALL].pct_of_revenue|applied|parametric")&gt;0,SUMIF(Corrections!$H$5:$H$64,"opex[ALL].pct_of_revenue|applied|parametric",Corrections!$G$5:$G$64),N(Assumptions!E46)))</f>
        <v/>
      </c>
    </row>
    <row r="47">
      <c r="A47" t="n">
        <v>11</v>
      </c>
      <c r="B47" s="6">
        <f>IF(Assumptions!B47="","",TRIM(Assumptions!B47))</f>
        <v/>
      </c>
      <c r="C47" s="6">
        <f>IF(Assumptions!C47="","",LOWER(TRIM(Assumptions!C47)))</f>
        <v/>
      </c>
      <c r="D47" s="20">
        <f>IF(COUNTIF(Corrections!$H$5:$H$64,"opex[11].monthly_amount|applied|parametric")&gt;0,SUMIF(Corrections!$H$5:$H$64,"opex[11].monthly_amount|applied|parametric",Corrections!$G$5:$G$64),IF(COUNTIF(Corrections!$H$5:$H$64,"opex[ALL].monthly_amount|applied|parametric")&gt;0,SUMIF(Corrections!$H$5:$H$64,"opex[ALL].monthly_amount|applied|parametric",Corrections!$G$5:$G$64),N(Assumptions!D47)))</f>
        <v/>
      </c>
      <c r="E47" s="22">
        <f>IF(COUNTIF(Corrections!$H$5:$H$64,"opex[11].pct_of_revenue|applied|parametric")&gt;0,SUMIF(Corrections!$H$5:$H$64,"opex[11].pct_of_revenue|applied|parametric",Corrections!$G$5:$G$64),IF(COUNTIF(Corrections!$H$5:$H$64,"opex[ALL].pct_of_revenue|applied|parametric")&gt;0,SUMIF(Corrections!$H$5:$H$64,"opex[ALL].pct_of_revenue|applied|parametric",Corrections!$G$5:$G$64),N(Assumptions!E47)))</f>
        <v/>
      </c>
    </row>
    <row r="48">
      <c r="A48" t="n">
        <v>12</v>
      </c>
      <c r="B48" s="6">
        <f>IF(Assumptions!B48="","",TRIM(Assumptions!B48))</f>
        <v/>
      </c>
      <c r="C48" s="6">
        <f>IF(Assumptions!C48="","",LOWER(TRIM(Assumptions!C48)))</f>
        <v/>
      </c>
      <c r="D48" s="20">
        <f>IF(COUNTIF(Corrections!$H$5:$H$64,"opex[12].monthly_amount|applied|parametric")&gt;0,SUMIF(Corrections!$H$5:$H$64,"opex[12].monthly_amount|applied|parametric",Corrections!$G$5:$G$64),IF(COUNTIF(Corrections!$H$5:$H$64,"opex[ALL].monthly_amount|applied|parametric")&gt;0,SUMIF(Corrections!$H$5:$H$64,"opex[ALL].monthly_amount|applied|parametric",Corrections!$G$5:$G$64),N(Assumptions!D48)))</f>
        <v/>
      </c>
      <c r="E48" s="22">
        <f>IF(COUNTIF(Corrections!$H$5:$H$64,"opex[12].pct_of_revenue|applied|parametric")&gt;0,SUMIF(Corrections!$H$5:$H$64,"opex[12].pct_of_revenue|applied|parametric",Corrections!$G$5:$G$64),IF(COUNTIF(Corrections!$H$5:$H$64,"opex[ALL].pct_of_revenue|applied|parametric")&gt;0,SUMIF(Corrections!$H$5:$H$64,"opex[ALL].pct_of_revenue|applied|parametric",Corrections!$G$5:$G$64),N(Assumptions!E48)))</f>
        <v/>
      </c>
    </row>
    <row r="49">
      <c r="A49" t="n">
        <v>13</v>
      </c>
      <c r="B49" s="6">
        <f>IF(Assumptions!B49="","",TRIM(Assumptions!B49))</f>
        <v/>
      </c>
      <c r="C49" s="6">
        <f>IF(Assumptions!C49="","",LOWER(TRIM(Assumptions!C49)))</f>
        <v/>
      </c>
      <c r="D49" s="20">
        <f>IF(COUNTIF(Corrections!$H$5:$H$64,"opex[13].monthly_amount|applied|parametric")&gt;0,SUMIF(Corrections!$H$5:$H$64,"opex[13].monthly_amount|applied|parametric",Corrections!$G$5:$G$64),IF(COUNTIF(Corrections!$H$5:$H$64,"opex[ALL].monthly_amount|applied|parametric")&gt;0,SUMIF(Corrections!$H$5:$H$64,"opex[ALL].monthly_amount|applied|parametric",Corrections!$G$5:$G$64),N(Assumptions!D49)))</f>
        <v/>
      </c>
      <c r="E49" s="22">
        <f>IF(COUNTIF(Corrections!$H$5:$H$64,"opex[13].pct_of_revenue|applied|parametric")&gt;0,SUMIF(Corrections!$H$5:$H$64,"opex[13].pct_of_revenue|applied|parametric",Corrections!$G$5:$G$64),IF(COUNTIF(Corrections!$H$5:$H$64,"opex[ALL].pct_of_revenue|applied|parametric")&gt;0,SUMIF(Corrections!$H$5:$H$64,"opex[ALL].pct_of_revenue|applied|parametric",Corrections!$G$5:$G$64),N(Assumptions!E49)))</f>
        <v/>
      </c>
    </row>
    <row r="50">
      <c r="A50" t="n">
        <v>14</v>
      </c>
      <c r="B50" s="6">
        <f>IF(Assumptions!B50="","",TRIM(Assumptions!B50))</f>
        <v/>
      </c>
      <c r="C50" s="6">
        <f>IF(Assumptions!C50="","",LOWER(TRIM(Assumptions!C50)))</f>
        <v/>
      </c>
      <c r="D50" s="20">
        <f>IF(COUNTIF(Corrections!$H$5:$H$64,"opex[14].monthly_amount|applied|parametric")&gt;0,SUMIF(Corrections!$H$5:$H$64,"opex[14].monthly_amount|applied|parametric",Corrections!$G$5:$G$64),IF(COUNTIF(Corrections!$H$5:$H$64,"opex[ALL].monthly_amount|applied|parametric")&gt;0,SUMIF(Corrections!$H$5:$H$64,"opex[ALL].monthly_amount|applied|parametric",Corrections!$G$5:$G$64),N(Assumptions!D50)))</f>
        <v/>
      </c>
      <c r="E50" s="22">
        <f>IF(COUNTIF(Corrections!$H$5:$H$64,"opex[14].pct_of_revenue|applied|parametric")&gt;0,SUMIF(Corrections!$H$5:$H$64,"opex[14].pct_of_revenue|applied|parametric",Corrections!$G$5:$G$64),IF(COUNTIF(Corrections!$H$5:$H$64,"opex[ALL].pct_of_revenue|applied|parametric")&gt;0,SUMIF(Corrections!$H$5:$H$64,"opex[ALL].pct_of_revenue|applied|parametric",Corrections!$G$5:$G$64),N(Assumptions!E50)))</f>
        <v/>
      </c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6">
        <f>IF(Assumptions!B53="","",TRIM(Assumptions!B53))</f>
        <v/>
      </c>
      <c r="C53" s="6">
        <f>IF(Assumptions!C53="","",LOWER(TRIM(Assumptions!C53)))</f>
        <v/>
      </c>
      <c r="D53" s="20">
        <f>IF(COUNTIF(Corrections!$H$5:$H$64,"debt[0].opening_balance|applied|parametric")&gt;0,SUMIF(Corrections!$H$5:$H$64,"debt[0].opening_balance|applied|parametric",Corrections!$G$5:$G$64),IF(COUNTIF(Corrections!$H$5:$H$64,"debt[ALL].opening_balance|applied|parametric")&gt;0,SUMIF(Corrections!$H$5:$H$64,"debt[ALL].opening_balance|applied|parametric",Corrections!$G$5:$G$64),N(Assumptions!D53)))</f>
        <v/>
      </c>
      <c r="E53" s="19">
        <f>IF(COUNTIF(Corrections!$H$5:$H$64,"debt[0].annual_rate|applied|parametric")&gt;0,SUMIF(Corrections!$H$5:$H$64,"debt[0].annual_rate|applied|parametric",Corrections!$G$5:$G$64),IF(COUNTIF(Corrections!$H$5:$H$64,"debt[ALL].annual_rate|applied|parametric")&gt;0,SUMIF(Corrections!$H$5:$H$64,"debt[ALL].annual_rate|applied|parametric",Corrections!$G$5:$G$64),N(Assumptions!E53)))</f>
        <v/>
      </c>
      <c r="F53" s="20">
        <f>IF(COUNTIF(Corrections!$H$5:$H$64,"debt[0].monthly_principal|applied|parametric")&gt;0,SUMIF(Corrections!$H$5:$H$64,"debt[0].monthly_principal|applied|parametric",Corrections!$G$5:$G$64),IF(COUNTIF(Corrections!$H$5:$H$64,"debt[ALL].monthly_principal|applied|parametric")&gt;0,SUMIF(Corrections!$H$5:$H$64,"debt[ALL].monthly_principal|applied|parametric",Corrections!$G$5:$G$64),N(Assumptions!F53)))</f>
        <v/>
      </c>
    </row>
    <row r="54">
      <c r="A54" t="n">
        <v>1</v>
      </c>
      <c r="B54" s="6">
        <f>IF(Assumptions!B54="","",TRIM(Assumptions!B54))</f>
        <v/>
      </c>
      <c r="C54" s="6">
        <f>IF(Assumptions!C54="","",LOWER(TRIM(Assumptions!C54)))</f>
        <v/>
      </c>
      <c r="D54" s="20">
        <f>IF(COUNTIF(Corrections!$H$5:$H$64,"debt[1].opening_balance|applied|parametric")&gt;0,SUMIF(Corrections!$H$5:$H$64,"debt[1].opening_balance|applied|parametric",Corrections!$G$5:$G$64),IF(COUNTIF(Corrections!$H$5:$H$64,"debt[ALL].opening_balance|applied|parametric")&gt;0,SUMIF(Corrections!$H$5:$H$64,"debt[ALL].opening_balance|applied|parametric",Corrections!$G$5:$G$64),N(Assumptions!D54)))</f>
        <v/>
      </c>
      <c r="E54" s="19">
        <f>IF(COUNTIF(Corrections!$H$5:$H$64,"debt[1].annual_rate|applied|parametric")&gt;0,SUMIF(Corrections!$H$5:$H$64,"debt[1].annual_rate|applied|parametric",Corrections!$G$5:$G$64),IF(COUNTIF(Corrections!$H$5:$H$64,"debt[ALL].annual_rate|applied|parametric")&gt;0,SUMIF(Corrections!$H$5:$H$64,"debt[ALL].annual_rate|applied|parametric",Corrections!$G$5:$G$64),N(Assumptions!E54)))</f>
        <v/>
      </c>
      <c r="F54" s="20">
        <f>IF(COUNTIF(Corrections!$H$5:$H$64,"debt[1].monthly_principal|applied|parametric")&gt;0,SUMIF(Corrections!$H$5:$H$64,"debt[1].monthly_principal|applied|parametric",Corrections!$G$5:$G$64),IF(COUNTIF(Corrections!$H$5:$H$64,"debt[ALL].monthly_principal|applied|parametric")&gt;0,SUMIF(Corrections!$H$5:$H$64,"debt[ALL].monthly_principal|applied|parametric",Corrections!$G$5:$G$64),N(Assumptions!F54)))</f>
        <v/>
      </c>
    </row>
    <row r="55">
      <c r="A55" t="n">
        <v>2</v>
      </c>
      <c r="B55" s="6">
        <f>IF(Assumptions!B55="","",TRIM(Assumptions!B55))</f>
        <v/>
      </c>
      <c r="C55" s="6">
        <f>IF(Assumptions!C55="","",LOWER(TRIM(Assumptions!C55)))</f>
        <v/>
      </c>
      <c r="D55" s="20">
        <f>IF(COUNTIF(Corrections!$H$5:$H$64,"debt[2].opening_balance|applied|parametric")&gt;0,SUMIF(Corrections!$H$5:$H$64,"debt[2].opening_balance|applied|parametric",Corrections!$G$5:$G$64),IF(COUNTIF(Corrections!$H$5:$H$64,"debt[ALL].opening_balance|applied|parametric")&gt;0,SUMIF(Corrections!$H$5:$H$64,"debt[ALL].opening_balance|applied|parametric",Corrections!$G$5:$G$64),N(Assumptions!D55)))</f>
        <v/>
      </c>
      <c r="E55" s="19">
        <f>IF(COUNTIF(Corrections!$H$5:$H$64,"debt[2].annual_rate|applied|parametric")&gt;0,SUMIF(Corrections!$H$5:$H$64,"debt[2].annual_rate|applied|parametric",Corrections!$G$5:$G$64),IF(COUNTIF(Corrections!$H$5:$H$64,"debt[ALL].annual_rate|applied|parametric")&gt;0,SUMIF(Corrections!$H$5:$H$64,"debt[ALL].annual_rate|applied|parametric",Corrections!$G$5:$G$64),N(Assumptions!E55)))</f>
        <v/>
      </c>
      <c r="F55" s="20">
        <f>IF(COUNTIF(Corrections!$H$5:$H$64,"debt[2].monthly_principal|applied|parametric")&gt;0,SUMIF(Corrections!$H$5:$H$64,"debt[2].monthly_principal|applied|parametric",Corrections!$G$5:$G$64),IF(COUNTIF(Corrections!$H$5:$H$64,"debt[ALL].monthly_principal|applied|parametric")&gt;0,SUMIF(Corrections!$H$5:$H$64,"debt[ALL].monthly_principal|applied|parametric",Corrections!$G$5:$G$64),N(Assumptions!F55)))</f>
        <v/>
      </c>
    </row>
    <row r="56">
      <c r="A56" t="n">
        <v>3</v>
      </c>
      <c r="B56" s="6">
        <f>IF(Assumptions!B56="","",TRIM(Assumptions!B56))</f>
        <v/>
      </c>
      <c r="C56" s="6">
        <f>IF(Assumptions!C56="","",LOWER(TRIM(Assumptions!C56)))</f>
        <v/>
      </c>
      <c r="D56" s="20">
        <f>IF(COUNTIF(Corrections!$H$5:$H$64,"debt[3].opening_balance|applied|parametric")&gt;0,SUMIF(Corrections!$H$5:$H$64,"debt[3].opening_balance|applied|parametric",Corrections!$G$5:$G$64),IF(COUNTIF(Corrections!$H$5:$H$64,"debt[ALL].opening_balance|applied|parametric")&gt;0,SUMIF(Corrections!$H$5:$H$64,"debt[ALL].opening_balance|applied|parametric",Corrections!$G$5:$G$64),N(Assumptions!D56)))</f>
        <v/>
      </c>
      <c r="E56" s="19">
        <f>IF(COUNTIF(Corrections!$H$5:$H$64,"debt[3].annual_rate|applied|parametric")&gt;0,SUMIF(Corrections!$H$5:$H$64,"debt[3].annual_rate|applied|parametric",Corrections!$G$5:$G$64),IF(COUNTIF(Corrections!$H$5:$H$64,"debt[ALL].annual_rate|applied|parametric")&gt;0,SUMIF(Corrections!$H$5:$H$64,"debt[ALL].annual_rate|applied|parametric",Corrections!$G$5:$G$64),N(Assumptions!E56)))</f>
        <v/>
      </c>
      <c r="F56" s="20">
        <f>IF(COUNTIF(Corrections!$H$5:$H$64,"debt[3].monthly_principal|applied|parametric")&gt;0,SUMIF(Corrections!$H$5:$H$64,"debt[3].monthly_principal|applied|parametric",Corrections!$G$5:$G$64),IF(COUNTIF(Corrections!$H$5:$H$64,"debt[ALL].monthly_principal|applied|parametric")&gt;0,SUMIF(Corrections!$H$5:$H$64,"debt[ALL].monthly_principal|applied|parametric",Corrections!$G$5:$G$64),N(Assumptions!F56)))</f>
        <v/>
      </c>
    </row>
    <row r="57">
      <c r="A57" t="n">
        <v>4</v>
      </c>
      <c r="B57" s="6">
        <f>IF(Assumptions!B57="","",TRIM(Assumptions!B57))</f>
        <v/>
      </c>
      <c r="C57" s="6">
        <f>IF(Assumptions!C57="","",LOWER(TRIM(Assumptions!C57)))</f>
        <v/>
      </c>
      <c r="D57" s="20">
        <f>IF(COUNTIF(Corrections!$H$5:$H$64,"debt[4].opening_balance|applied|parametric")&gt;0,SUMIF(Corrections!$H$5:$H$64,"debt[4].opening_balance|applied|parametric",Corrections!$G$5:$G$64),IF(COUNTIF(Corrections!$H$5:$H$64,"debt[ALL].opening_balance|applied|parametric")&gt;0,SUMIF(Corrections!$H$5:$H$64,"debt[ALL].opening_balance|applied|parametric",Corrections!$G$5:$G$64),N(Assumptions!D57)))</f>
        <v/>
      </c>
      <c r="E57" s="19">
        <f>IF(COUNTIF(Corrections!$H$5:$H$64,"debt[4].annual_rate|applied|parametric")&gt;0,SUMIF(Corrections!$H$5:$H$64,"debt[4].annual_rate|applied|parametric",Corrections!$G$5:$G$64),IF(COUNTIF(Corrections!$H$5:$H$64,"debt[ALL].annual_rate|applied|parametric")&gt;0,SUMIF(Corrections!$H$5:$H$64,"debt[ALL].annual_rate|applied|parametric",Corrections!$G$5:$G$64),N(Assumptions!E57)))</f>
        <v/>
      </c>
      <c r="F57" s="20">
        <f>IF(COUNTIF(Corrections!$H$5:$H$64,"debt[4].monthly_principal|applied|parametric")&gt;0,SUMIF(Corrections!$H$5:$H$64,"debt[4].monthly_principal|applied|parametric",Corrections!$G$5:$G$64),IF(COUNTIF(Corrections!$H$5:$H$64,"debt[ALL].monthly_principal|applied|parametric")&gt;0,SUMIF(Corrections!$H$5:$H$64,"debt[ALL].monthly_principal|applied|parametric",Corrections!$G$5:$G$64),N(Assumptions!F57)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 correction paths (normalised: * written as ALL)</t>
        </is>
      </c>
    </row>
    <row r="2"/>
    <row r="3">
      <c r="A3" t="inlineStr">
        <is>
          <t>tax_rate</t>
        </is>
      </c>
    </row>
    <row r="4">
      <c r="A4" t="inlineStr">
        <is>
          <t>da_monthly</t>
        </is>
      </c>
    </row>
    <row r="5">
      <c r="A5" t="inlineStr">
        <is>
          <t>capex_monthly</t>
        </is>
      </c>
    </row>
    <row r="6">
      <c r="A6" t="inlineStr">
        <is>
          <t>working_capital.dso_days</t>
        </is>
      </c>
    </row>
    <row r="7">
      <c r="A7" t="inlineStr">
        <is>
          <t>working_capital.dpo_days</t>
        </is>
      </c>
    </row>
    <row r="8">
      <c r="A8" t="inlineStr">
        <is>
          <t>working_capital.dio_days</t>
        </is>
      </c>
    </row>
    <row r="9">
      <c r="A9" t="inlineStr">
        <is>
          <t>opening_balances.cash</t>
        </is>
      </c>
    </row>
    <row r="10">
      <c r="A10" t="inlineStr">
        <is>
          <t>opening_balances.ar</t>
        </is>
      </c>
    </row>
    <row r="11">
      <c r="A11" t="inlineStr">
        <is>
          <t>opening_balances.ap</t>
        </is>
      </c>
    </row>
    <row r="12">
      <c r="A12" t="inlineStr">
        <is>
          <t>opening_balances.inventory</t>
        </is>
      </c>
    </row>
    <row r="13">
      <c r="A13" t="inlineStr">
        <is>
          <t>opening_balances.nol</t>
        </is>
      </c>
    </row>
    <row r="14">
      <c r="A14" t="inlineStr">
        <is>
          <t>channels[0].annual_revenue</t>
        </is>
      </c>
    </row>
    <row r="15">
      <c r="A15" t="inlineStr">
        <is>
          <t>channels[0].growth_rate</t>
        </is>
      </c>
    </row>
    <row r="16">
      <c r="A16" t="inlineStr">
        <is>
          <t>channels[0].cogs_pct</t>
        </is>
      </c>
    </row>
    <row r="17">
      <c r="A17" t="inlineStr">
        <is>
          <t>channels[0].seasonality[0]</t>
        </is>
      </c>
    </row>
    <row r="18">
      <c r="A18" t="inlineStr">
        <is>
          <t>channels[0].seasonality[1]</t>
        </is>
      </c>
    </row>
    <row r="19">
      <c r="A19" t="inlineStr">
        <is>
          <t>channels[0].seasonality[2]</t>
        </is>
      </c>
    </row>
    <row r="20">
      <c r="A20" t="inlineStr">
        <is>
          <t>channels[0].seasonality[3]</t>
        </is>
      </c>
    </row>
    <row r="21">
      <c r="A21" t="inlineStr">
        <is>
          <t>channels[0].seasonality[4]</t>
        </is>
      </c>
    </row>
    <row r="22">
      <c r="A22" t="inlineStr">
        <is>
          <t>channels[0].seasonality[5]</t>
        </is>
      </c>
    </row>
    <row r="23">
      <c r="A23" t="inlineStr">
        <is>
          <t>channels[0].seasonality[6]</t>
        </is>
      </c>
    </row>
    <row r="24">
      <c r="A24" t="inlineStr">
        <is>
          <t>channels[0].seasonality[7]</t>
        </is>
      </c>
    </row>
    <row r="25">
      <c r="A25" t="inlineStr">
        <is>
          <t>channels[0].seasonality[8]</t>
        </is>
      </c>
    </row>
    <row r="26">
      <c r="A26" t="inlineStr">
        <is>
          <t>channels[0].seasonality[9]</t>
        </is>
      </c>
    </row>
    <row r="27">
      <c r="A27" t="inlineStr">
        <is>
          <t>channels[0].seasonality[10]</t>
        </is>
      </c>
    </row>
    <row r="28">
      <c r="A28" t="inlineStr">
        <is>
          <t>channels[0].seasonality[11]</t>
        </is>
      </c>
    </row>
    <row r="29">
      <c r="A29" t="inlineStr">
        <is>
          <t>channels[0].seasonality[ALL]</t>
        </is>
      </c>
    </row>
    <row r="30">
      <c r="A30" t="inlineStr">
        <is>
          <t>channels[1].annual_revenue</t>
        </is>
      </c>
    </row>
    <row r="31">
      <c r="A31" t="inlineStr">
        <is>
          <t>channels[1].growth_rate</t>
        </is>
      </c>
    </row>
    <row r="32">
      <c r="A32" t="inlineStr">
        <is>
          <t>channels[1].cogs_pct</t>
        </is>
      </c>
    </row>
    <row r="33">
      <c r="A33" t="inlineStr">
        <is>
          <t>channels[1].seasonality[0]</t>
        </is>
      </c>
    </row>
    <row r="34">
      <c r="A34" t="inlineStr">
        <is>
          <t>channels[1].seasonality[1]</t>
        </is>
      </c>
    </row>
    <row r="35">
      <c r="A35" t="inlineStr">
        <is>
          <t>channels[1].seasonality[2]</t>
        </is>
      </c>
    </row>
    <row r="36">
      <c r="A36" t="inlineStr">
        <is>
          <t>channels[1].seasonality[3]</t>
        </is>
      </c>
    </row>
    <row r="37">
      <c r="A37" t="inlineStr">
        <is>
          <t>channels[1].seasonality[4]</t>
        </is>
      </c>
    </row>
    <row r="38">
      <c r="A38" t="inlineStr">
        <is>
          <t>channels[1].seasonality[5]</t>
        </is>
      </c>
    </row>
    <row r="39">
      <c r="A39" t="inlineStr">
        <is>
          <t>channels[1].seasonality[6]</t>
        </is>
      </c>
    </row>
    <row r="40">
      <c r="A40" t="inlineStr">
        <is>
          <t>channels[1].seasonality[7]</t>
        </is>
      </c>
    </row>
    <row r="41">
      <c r="A41" t="inlineStr">
        <is>
          <t>channels[1].seasonality[8]</t>
        </is>
      </c>
    </row>
    <row r="42">
      <c r="A42" t="inlineStr">
        <is>
          <t>channels[1].seasonality[9]</t>
        </is>
      </c>
    </row>
    <row r="43">
      <c r="A43" t="inlineStr">
        <is>
          <t>channels[1].seasonality[10]</t>
        </is>
      </c>
    </row>
    <row r="44">
      <c r="A44" t="inlineStr">
        <is>
          <t>channels[1].seasonality[11]</t>
        </is>
      </c>
    </row>
    <row r="45">
      <c r="A45" t="inlineStr">
        <is>
          <t>channels[1].seasonality[ALL]</t>
        </is>
      </c>
    </row>
    <row r="46">
      <c r="A46" t="inlineStr">
        <is>
          <t>channels[2].annual_revenue</t>
        </is>
      </c>
    </row>
    <row r="47">
      <c r="A47" t="inlineStr">
        <is>
          <t>channels[2].growth_rate</t>
        </is>
      </c>
    </row>
    <row r="48">
      <c r="A48" t="inlineStr">
        <is>
          <t>channels[2].cogs_pct</t>
        </is>
      </c>
    </row>
    <row r="49">
      <c r="A49" t="inlineStr">
        <is>
          <t>channels[2].seasonality[0]</t>
        </is>
      </c>
    </row>
    <row r="50">
      <c r="A50" t="inlineStr">
        <is>
          <t>channels[2].seasonality[1]</t>
        </is>
      </c>
    </row>
    <row r="51">
      <c r="A51" t="inlineStr">
        <is>
          <t>channels[2].seasonality[2]</t>
        </is>
      </c>
    </row>
    <row r="52">
      <c r="A52" t="inlineStr">
        <is>
          <t>channels[2].seasonality[3]</t>
        </is>
      </c>
    </row>
    <row r="53">
      <c r="A53" t="inlineStr">
        <is>
          <t>channels[2].seasonality[4]</t>
        </is>
      </c>
    </row>
    <row r="54">
      <c r="A54" t="inlineStr">
        <is>
          <t>channels[2].seasonality[5]</t>
        </is>
      </c>
    </row>
    <row r="55">
      <c r="A55" t="inlineStr">
        <is>
          <t>channels[2].seasonality[6]</t>
        </is>
      </c>
    </row>
    <row r="56">
      <c r="A56" t="inlineStr">
        <is>
          <t>channels[2].seasonality[7]</t>
        </is>
      </c>
    </row>
    <row r="57">
      <c r="A57" t="inlineStr">
        <is>
          <t>channels[2].seasonality[8]</t>
        </is>
      </c>
    </row>
    <row r="58">
      <c r="A58" t="inlineStr">
        <is>
          <t>channels[2].seasonality[9]</t>
        </is>
      </c>
    </row>
    <row r="59">
      <c r="A59" t="inlineStr">
        <is>
          <t>channels[2].seasonality[10]</t>
        </is>
      </c>
    </row>
    <row r="60">
      <c r="A60" t="inlineStr">
        <is>
          <t>channels[2].seasonality[11]</t>
        </is>
      </c>
    </row>
    <row r="61">
      <c r="A61" t="inlineStr">
        <is>
          <t>channels[2].seasonality[ALL]</t>
        </is>
      </c>
    </row>
    <row r="62">
      <c r="A62" t="inlineStr">
        <is>
          <t>channels[3].annual_revenue</t>
        </is>
      </c>
    </row>
    <row r="63">
      <c r="A63" t="inlineStr">
        <is>
          <t>channels[3].growth_rate</t>
        </is>
      </c>
    </row>
    <row r="64">
      <c r="A64" t="inlineStr">
        <is>
          <t>channels[3].cogs_pct</t>
        </is>
      </c>
    </row>
    <row r="65">
      <c r="A65" t="inlineStr">
        <is>
          <t>channels[3].seasonality[0]</t>
        </is>
      </c>
    </row>
    <row r="66">
      <c r="A66" t="inlineStr">
        <is>
          <t>channels[3].seasonality[1]</t>
        </is>
      </c>
    </row>
    <row r="67">
      <c r="A67" t="inlineStr">
        <is>
          <t>channels[3].seasonality[2]</t>
        </is>
      </c>
    </row>
    <row r="68">
      <c r="A68" t="inlineStr">
        <is>
          <t>channels[3].seasonality[3]</t>
        </is>
      </c>
    </row>
    <row r="69">
      <c r="A69" t="inlineStr">
        <is>
          <t>channels[3].seasonality[4]</t>
        </is>
      </c>
    </row>
    <row r="70">
      <c r="A70" t="inlineStr">
        <is>
          <t>channels[3].seasonality[5]</t>
        </is>
      </c>
    </row>
    <row r="71">
      <c r="A71" t="inlineStr">
        <is>
          <t>channels[3].seasonality[6]</t>
        </is>
      </c>
    </row>
    <row r="72">
      <c r="A72" t="inlineStr">
        <is>
          <t>channels[3].seasonality[7]</t>
        </is>
      </c>
    </row>
    <row r="73">
      <c r="A73" t="inlineStr">
        <is>
          <t>channels[3].seasonality[8]</t>
        </is>
      </c>
    </row>
    <row r="74">
      <c r="A74" t="inlineStr">
        <is>
          <t>channels[3].seasonality[9]</t>
        </is>
      </c>
    </row>
    <row r="75">
      <c r="A75" t="inlineStr">
        <is>
          <t>channels[3].seasonality[10]</t>
        </is>
      </c>
    </row>
    <row r="76">
      <c r="A76" t="inlineStr">
        <is>
          <t>channels[3].seasonality[11]</t>
        </is>
      </c>
    </row>
    <row r="77">
      <c r="A77" t="inlineStr">
        <is>
          <t>channels[3].seasonality[ALL]</t>
        </is>
      </c>
    </row>
    <row r="78">
      <c r="A78" t="inlineStr">
        <is>
          <t>channels[4].annual_revenue</t>
        </is>
      </c>
    </row>
    <row r="79">
      <c r="A79" t="inlineStr">
        <is>
          <t>channels[4].growth_rate</t>
        </is>
      </c>
    </row>
    <row r="80">
      <c r="A80" t="inlineStr">
        <is>
          <t>channels[4].cogs_pct</t>
        </is>
      </c>
    </row>
    <row r="81">
      <c r="A81" t="inlineStr">
        <is>
          <t>channels[4].seasonality[0]</t>
        </is>
      </c>
    </row>
    <row r="82">
      <c r="A82" t="inlineStr">
        <is>
          <t>channels[4].seasonality[1]</t>
        </is>
      </c>
    </row>
    <row r="83">
      <c r="A83" t="inlineStr">
        <is>
          <t>channels[4].seasonality[2]</t>
        </is>
      </c>
    </row>
    <row r="84">
      <c r="A84" t="inlineStr">
        <is>
          <t>channels[4].seasonality[3]</t>
        </is>
      </c>
    </row>
    <row r="85">
      <c r="A85" t="inlineStr">
        <is>
          <t>channels[4].seasonality[4]</t>
        </is>
      </c>
    </row>
    <row r="86">
      <c r="A86" t="inlineStr">
        <is>
          <t>channels[4].seasonality[5]</t>
        </is>
      </c>
    </row>
    <row r="87">
      <c r="A87" t="inlineStr">
        <is>
          <t>channels[4].seasonality[6]</t>
        </is>
      </c>
    </row>
    <row r="88">
      <c r="A88" t="inlineStr">
        <is>
          <t>channels[4].seasonality[7]</t>
        </is>
      </c>
    </row>
    <row r="89">
      <c r="A89" t="inlineStr">
        <is>
          <t>channels[4].seasonality[8]</t>
        </is>
      </c>
    </row>
    <row r="90">
      <c r="A90" t="inlineStr">
        <is>
          <t>channels[4].seasonality[9]</t>
        </is>
      </c>
    </row>
    <row r="91">
      <c r="A91" t="inlineStr">
        <is>
          <t>channels[4].seasonality[10]</t>
        </is>
      </c>
    </row>
    <row r="92">
      <c r="A92" t="inlineStr">
        <is>
          <t>channels[4].seasonality[11]</t>
        </is>
      </c>
    </row>
    <row r="93">
      <c r="A93" t="inlineStr">
        <is>
          <t>channels[4].seasonality[ALL]</t>
        </is>
      </c>
    </row>
    <row r="94">
      <c r="A94" t="inlineStr">
        <is>
          <t>channels[5].annual_revenue</t>
        </is>
      </c>
    </row>
    <row r="95">
      <c r="A95" t="inlineStr">
        <is>
          <t>channels[5].growth_rate</t>
        </is>
      </c>
    </row>
    <row r="96">
      <c r="A96" t="inlineStr">
        <is>
          <t>channels[5].cogs_pct</t>
        </is>
      </c>
    </row>
    <row r="97">
      <c r="A97" t="inlineStr">
        <is>
          <t>channels[5].seasonality[0]</t>
        </is>
      </c>
    </row>
    <row r="98">
      <c r="A98" t="inlineStr">
        <is>
          <t>channels[5].seasonality[1]</t>
        </is>
      </c>
    </row>
    <row r="99">
      <c r="A99" t="inlineStr">
        <is>
          <t>channels[5].seasonality[2]</t>
        </is>
      </c>
    </row>
    <row r="100">
      <c r="A100" t="inlineStr">
        <is>
          <t>channels[5].seasonality[3]</t>
        </is>
      </c>
    </row>
    <row r="101">
      <c r="A101" t="inlineStr">
        <is>
          <t>channels[5].seasonality[4]</t>
        </is>
      </c>
    </row>
    <row r="102">
      <c r="A102" t="inlineStr">
        <is>
          <t>channels[5].seasonality[5]</t>
        </is>
      </c>
    </row>
    <row r="103">
      <c r="A103" t="inlineStr">
        <is>
          <t>channels[5].seasonality[6]</t>
        </is>
      </c>
    </row>
    <row r="104">
      <c r="A104" t="inlineStr">
        <is>
          <t>channels[5].seasonality[7]</t>
        </is>
      </c>
    </row>
    <row r="105">
      <c r="A105" t="inlineStr">
        <is>
          <t>channels[5].seasonality[8]</t>
        </is>
      </c>
    </row>
    <row r="106">
      <c r="A106" t="inlineStr">
        <is>
          <t>channels[5].seasonality[9]</t>
        </is>
      </c>
    </row>
    <row r="107">
      <c r="A107" t="inlineStr">
        <is>
          <t>channels[5].seasonality[10]</t>
        </is>
      </c>
    </row>
    <row r="108">
      <c r="A108" t="inlineStr">
        <is>
          <t>channels[5].seasonality[11]</t>
        </is>
      </c>
    </row>
    <row r="109">
      <c r="A109" t="inlineStr">
        <is>
          <t>channels[5].seasonality[ALL]</t>
        </is>
      </c>
    </row>
    <row r="110">
      <c r="A110" t="inlineStr">
        <is>
          <t>channels[6].annual_revenue</t>
        </is>
      </c>
    </row>
    <row r="111">
      <c r="A111" t="inlineStr">
        <is>
          <t>channels[6].growth_rate</t>
        </is>
      </c>
    </row>
    <row r="112">
      <c r="A112" t="inlineStr">
        <is>
          <t>channels[6].cogs_pct</t>
        </is>
      </c>
    </row>
    <row r="113">
      <c r="A113" t="inlineStr">
        <is>
          <t>channels[6].seasonality[0]</t>
        </is>
      </c>
    </row>
    <row r="114">
      <c r="A114" t="inlineStr">
        <is>
          <t>channels[6].seasonality[1]</t>
        </is>
      </c>
    </row>
    <row r="115">
      <c r="A115" t="inlineStr">
        <is>
          <t>channels[6].seasonality[2]</t>
        </is>
      </c>
    </row>
    <row r="116">
      <c r="A116" t="inlineStr">
        <is>
          <t>channels[6].seasonality[3]</t>
        </is>
      </c>
    </row>
    <row r="117">
      <c r="A117" t="inlineStr">
        <is>
          <t>channels[6].seasonality[4]</t>
        </is>
      </c>
    </row>
    <row r="118">
      <c r="A118" t="inlineStr">
        <is>
          <t>channels[6].seasonality[5]</t>
        </is>
      </c>
    </row>
    <row r="119">
      <c r="A119" t="inlineStr">
        <is>
          <t>channels[6].seasonality[6]</t>
        </is>
      </c>
    </row>
    <row r="120">
      <c r="A120" t="inlineStr">
        <is>
          <t>channels[6].seasonality[7]</t>
        </is>
      </c>
    </row>
    <row r="121">
      <c r="A121" t="inlineStr">
        <is>
          <t>channels[6].seasonality[8]</t>
        </is>
      </c>
    </row>
    <row r="122">
      <c r="A122" t="inlineStr">
        <is>
          <t>channels[6].seasonality[9]</t>
        </is>
      </c>
    </row>
    <row r="123">
      <c r="A123" t="inlineStr">
        <is>
          <t>channels[6].seasonality[10]</t>
        </is>
      </c>
    </row>
    <row r="124">
      <c r="A124" t="inlineStr">
        <is>
          <t>channels[6].seasonality[11]</t>
        </is>
      </c>
    </row>
    <row r="125">
      <c r="A125" t="inlineStr">
        <is>
          <t>channels[6].seasonality[ALL]</t>
        </is>
      </c>
    </row>
    <row r="126">
      <c r="A126" t="inlineStr">
        <is>
          <t>channels[7].annual_revenue</t>
        </is>
      </c>
    </row>
    <row r="127">
      <c r="A127" t="inlineStr">
        <is>
          <t>channels[7].growth_rate</t>
        </is>
      </c>
    </row>
    <row r="128">
      <c r="A128" t="inlineStr">
        <is>
          <t>channels[7].cogs_pct</t>
        </is>
      </c>
    </row>
    <row r="129">
      <c r="A129" t="inlineStr">
        <is>
          <t>channels[7].seasonality[0]</t>
        </is>
      </c>
    </row>
    <row r="130">
      <c r="A130" t="inlineStr">
        <is>
          <t>channels[7].seasonality[1]</t>
        </is>
      </c>
    </row>
    <row r="131">
      <c r="A131" t="inlineStr">
        <is>
          <t>channels[7].seasonality[2]</t>
        </is>
      </c>
    </row>
    <row r="132">
      <c r="A132" t="inlineStr">
        <is>
          <t>channels[7].seasonality[3]</t>
        </is>
      </c>
    </row>
    <row r="133">
      <c r="A133" t="inlineStr">
        <is>
          <t>channels[7].seasonality[4]</t>
        </is>
      </c>
    </row>
    <row r="134">
      <c r="A134" t="inlineStr">
        <is>
          <t>channels[7].seasonality[5]</t>
        </is>
      </c>
    </row>
    <row r="135">
      <c r="A135" t="inlineStr">
        <is>
          <t>channels[7].seasonality[6]</t>
        </is>
      </c>
    </row>
    <row r="136">
      <c r="A136" t="inlineStr">
        <is>
          <t>channels[7].seasonality[7]</t>
        </is>
      </c>
    </row>
    <row r="137">
      <c r="A137" t="inlineStr">
        <is>
          <t>channels[7].seasonality[8]</t>
        </is>
      </c>
    </row>
    <row r="138">
      <c r="A138" t="inlineStr">
        <is>
          <t>channels[7].seasonality[9]</t>
        </is>
      </c>
    </row>
    <row r="139">
      <c r="A139" t="inlineStr">
        <is>
          <t>channels[7].seasonality[10]</t>
        </is>
      </c>
    </row>
    <row r="140">
      <c r="A140" t="inlineStr">
        <is>
          <t>channels[7].seasonality[11]</t>
        </is>
      </c>
    </row>
    <row r="141">
      <c r="A141" t="inlineStr">
        <is>
          <t>channels[7].seasonality[ALL]</t>
        </is>
      </c>
    </row>
    <row r="142">
      <c r="A142" t="inlineStr">
        <is>
          <t>channels[ALL].annual_revenue</t>
        </is>
      </c>
    </row>
    <row r="143">
      <c r="A143" t="inlineStr">
        <is>
          <t>channels[ALL].growth_rate</t>
        </is>
      </c>
    </row>
    <row r="144">
      <c r="A144" t="inlineStr">
        <is>
          <t>channels[ALL].cogs_pct</t>
        </is>
      </c>
    </row>
    <row r="145">
      <c r="A145" t="inlineStr">
        <is>
          <t>channels[ALL].seasonality[0]</t>
        </is>
      </c>
    </row>
    <row r="146">
      <c r="A146" t="inlineStr">
        <is>
          <t>channels[ALL].seasonality[1]</t>
        </is>
      </c>
    </row>
    <row r="147">
      <c r="A147" t="inlineStr">
        <is>
          <t>channels[ALL].seasonality[2]</t>
        </is>
      </c>
    </row>
    <row r="148">
      <c r="A148" t="inlineStr">
        <is>
          <t>channels[ALL].seasonality[3]</t>
        </is>
      </c>
    </row>
    <row r="149">
      <c r="A149" t="inlineStr">
        <is>
          <t>channels[ALL].seasonality[4]</t>
        </is>
      </c>
    </row>
    <row r="150">
      <c r="A150" t="inlineStr">
        <is>
          <t>channels[ALL].seasonality[5]</t>
        </is>
      </c>
    </row>
    <row r="151">
      <c r="A151" t="inlineStr">
        <is>
          <t>channels[ALL].seasonality[6]</t>
        </is>
      </c>
    </row>
    <row r="152">
      <c r="A152" t="inlineStr">
        <is>
          <t>channels[ALL].seasonality[7]</t>
        </is>
      </c>
    </row>
    <row r="153">
      <c r="A153" t="inlineStr">
        <is>
          <t>channels[ALL].seasonality[8]</t>
        </is>
      </c>
    </row>
    <row r="154">
      <c r="A154" t="inlineStr">
        <is>
          <t>channels[ALL].seasonality[9]</t>
        </is>
      </c>
    </row>
    <row r="155">
      <c r="A155" t="inlineStr">
        <is>
          <t>channels[ALL].seasonality[10]</t>
        </is>
      </c>
    </row>
    <row r="156">
      <c r="A156" t="inlineStr">
        <is>
          <t>channels[ALL].seasonality[11]</t>
        </is>
      </c>
    </row>
    <row r="157">
      <c r="A157" t="inlineStr">
        <is>
          <t>channels[ALL].seasonality[ALL]</t>
        </is>
      </c>
    </row>
    <row r="158">
      <c r="A158" t="inlineStr">
        <is>
          <t>opex[0].monthly_amount</t>
        </is>
      </c>
    </row>
    <row r="159">
      <c r="A159" t="inlineStr">
        <is>
          <t>opex[0].pct_of_revenue</t>
        </is>
      </c>
    </row>
    <row r="160">
      <c r="A160" t="inlineStr">
        <is>
          <t>opex[1].monthly_amount</t>
        </is>
      </c>
    </row>
    <row r="161">
      <c r="A161" t="inlineStr">
        <is>
          <t>opex[1].pct_of_revenue</t>
        </is>
      </c>
    </row>
    <row r="162">
      <c r="A162" t="inlineStr">
        <is>
          <t>opex[2].monthly_amount</t>
        </is>
      </c>
    </row>
    <row r="163">
      <c r="A163" t="inlineStr">
        <is>
          <t>opex[2].pct_of_revenue</t>
        </is>
      </c>
    </row>
    <row r="164">
      <c r="A164" t="inlineStr">
        <is>
          <t>opex[3].monthly_amount</t>
        </is>
      </c>
    </row>
    <row r="165">
      <c r="A165" t="inlineStr">
        <is>
          <t>opex[3].pct_of_revenue</t>
        </is>
      </c>
    </row>
    <row r="166">
      <c r="A166" t="inlineStr">
        <is>
          <t>opex[4].monthly_amount</t>
        </is>
      </c>
    </row>
    <row r="167">
      <c r="A167" t="inlineStr">
        <is>
          <t>opex[4].pct_of_revenue</t>
        </is>
      </c>
    </row>
    <row r="168">
      <c r="A168" t="inlineStr">
        <is>
          <t>opex[5].monthly_amount</t>
        </is>
      </c>
    </row>
    <row r="169">
      <c r="A169" t="inlineStr">
        <is>
          <t>opex[5].pct_of_revenue</t>
        </is>
      </c>
    </row>
    <row r="170">
      <c r="A170" t="inlineStr">
        <is>
          <t>opex[6].monthly_amount</t>
        </is>
      </c>
    </row>
    <row r="171">
      <c r="A171" t="inlineStr">
        <is>
          <t>opex[6].pct_of_revenue</t>
        </is>
      </c>
    </row>
    <row r="172">
      <c r="A172" t="inlineStr">
        <is>
          <t>opex[7].monthly_amount</t>
        </is>
      </c>
    </row>
    <row r="173">
      <c r="A173" t="inlineStr">
        <is>
          <t>opex[7].pct_of_revenue</t>
        </is>
      </c>
    </row>
    <row r="174">
      <c r="A174" t="inlineStr">
        <is>
          <t>opex[8].monthly_amount</t>
        </is>
      </c>
    </row>
    <row r="175">
      <c r="A175" t="inlineStr">
        <is>
          <t>opex[8].pct_of_revenue</t>
        </is>
      </c>
    </row>
    <row r="176">
      <c r="A176" t="inlineStr">
        <is>
          <t>opex[9].monthly_amount</t>
        </is>
      </c>
    </row>
    <row r="177">
      <c r="A177" t="inlineStr">
        <is>
          <t>opex[9].pct_of_revenue</t>
        </is>
      </c>
    </row>
    <row r="178">
      <c r="A178" t="inlineStr">
        <is>
          <t>opex[10].monthly_amount</t>
        </is>
      </c>
    </row>
    <row r="179">
      <c r="A179" t="inlineStr">
        <is>
          <t>opex[10].pct_of_revenue</t>
        </is>
      </c>
    </row>
    <row r="180">
      <c r="A180" t="inlineStr">
        <is>
          <t>opex[11].monthly_amount</t>
        </is>
      </c>
    </row>
    <row r="181">
      <c r="A181" t="inlineStr">
        <is>
          <t>opex[11].pct_of_revenue</t>
        </is>
      </c>
    </row>
    <row r="182">
      <c r="A182" t="inlineStr">
        <is>
          <t>opex[12].monthly_amount</t>
        </is>
      </c>
    </row>
    <row r="183">
      <c r="A183" t="inlineStr">
        <is>
          <t>opex[12].pct_of_revenue</t>
        </is>
      </c>
    </row>
    <row r="184">
      <c r="A184" t="inlineStr">
        <is>
          <t>opex[13].monthly_amount</t>
        </is>
      </c>
    </row>
    <row r="185">
      <c r="A185" t="inlineStr">
        <is>
          <t>opex[13].pct_of_revenue</t>
        </is>
      </c>
    </row>
    <row r="186">
      <c r="A186" t="inlineStr">
        <is>
          <t>opex[14].monthly_amount</t>
        </is>
      </c>
    </row>
    <row r="187">
      <c r="A187" t="inlineStr">
        <is>
          <t>opex[14].pct_of_revenue</t>
        </is>
      </c>
    </row>
    <row r="188">
      <c r="A188" t="inlineStr">
        <is>
          <t>opex[ALL].monthly_amount</t>
        </is>
      </c>
    </row>
    <row r="189">
      <c r="A189" t="inlineStr">
        <is>
          <t>opex[ALL].pct_of_revenue</t>
        </is>
      </c>
    </row>
    <row r="190">
      <c r="A190" t="inlineStr">
        <is>
          <t>debt[0].opening_balance</t>
        </is>
      </c>
    </row>
    <row r="191">
      <c r="A191" t="inlineStr">
        <is>
          <t>debt[0].annual_rate</t>
        </is>
      </c>
    </row>
    <row r="192">
      <c r="A192" t="inlineStr">
        <is>
          <t>debt[0].monthly_principal</t>
        </is>
      </c>
    </row>
    <row r="193">
      <c r="A193" t="inlineStr">
        <is>
          <t>debt[1].opening_balance</t>
        </is>
      </c>
    </row>
    <row r="194">
      <c r="A194" t="inlineStr">
        <is>
          <t>debt[1].annual_rate</t>
        </is>
      </c>
    </row>
    <row r="195">
      <c r="A195" t="inlineStr">
        <is>
          <t>debt[1].monthly_principal</t>
        </is>
      </c>
    </row>
    <row r="196">
      <c r="A196" t="inlineStr">
        <is>
          <t>debt[2].opening_balance</t>
        </is>
      </c>
    </row>
    <row r="197">
      <c r="A197" t="inlineStr">
        <is>
          <t>debt[2].annual_rate</t>
        </is>
      </c>
    </row>
    <row r="198">
      <c r="A198" t="inlineStr">
        <is>
          <t>debt[2].monthly_principal</t>
        </is>
      </c>
    </row>
    <row r="199">
      <c r="A199" t="inlineStr">
        <is>
          <t>debt[3].opening_balance</t>
        </is>
      </c>
    </row>
    <row r="200">
      <c r="A200" t="inlineStr">
        <is>
          <t>debt[3].annual_rate</t>
        </is>
      </c>
    </row>
    <row r="201">
      <c r="A201" t="inlineStr">
        <is>
          <t>debt[3].monthly_principal</t>
        </is>
      </c>
    </row>
    <row r="202">
      <c r="A202" t="inlineStr">
        <is>
          <t>debt[4].opening_balance</t>
        </is>
      </c>
    </row>
    <row r="203">
      <c r="A203" t="inlineStr">
        <is>
          <t>debt[4].annual_rate</t>
        </is>
      </c>
    </row>
    <row r="204">
      <c r="A204" t="inlineStr">
        <is>
          <t>debt[4].monthly_principal</t>
        </is>
      </c>
    </row>
    <row r="205">
      <c r="A205" t="inlineStr">
        <is>
          <t>debt[ALL].opening_balance</t>
        </is>
      </c>
    </row>
    <row r="206">
      <c r="A206" t="inlineStr">
        <is>
          <t>debt[ALL].annual_rate</t>
        </is>
      </c>
    </row>
    <row r="207">
      <c r="A207" t="inlineStr">
        <is>
          <t>debt[ALL].monthly_principal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4" t="inlineStr">
        <is>
          <t>line</t>
        </is>
      </c>
      <c r="B1" s="4" t="inlineStr">
        <is>
          <t>note</t>
        </is>
      </c>
      <c r="C1" s="4">
        <f>IF(C4=1,TEXT(C3,"yyyy-mm"),"")</f>
        <v/>
      </c>
      <c r="D1" s="4">
        <f>IF(D4=1,TEXT(D3,"yyyy-mm"),"")</f>
        <v/>
      </c>
      <c r="E1" s="4">
        <f>IF(E4=1,TEXT(E3,"yyyy-mm"),"")</f>
        <v/>
      </c>
      <c r="F1" s="4">
        <f>IF(F4=1,TEXT(F3,"yyyy-mm"),"")</f>
        <v/>
      </c>
      <c r="G1" s="4">
        <f>IF(G4=1,TEXT(G3,"yyyy-mm"),"")</f>
        <v/>
      </c>
      <c r="H1" s="4">
        <f>IF(H4=1,TEXT(H3,"yyyy-mm"),"")</f>
        <v/>
      </c>
      <c r="I1" s="4">
        <f>IF(I4=1,TEXT(I3,"yyyy-mm"),"")</f>
        <v/>
      </c>
      <c r="J1" s="4">
        <f>IF(J4=1,TEXT(J3,"yyyy-mm"),"")</f>
        <v/>
      </c>
      <c r="K1" s="4">
        <f>IF(K4=1,TEXT(K3,"yyyy-mm"),"")</f>
        <v/>
      </c>
      <c r="L1" s="4">
        <f>IF(L4=1,TEXT(L3,"yyyy-mm"),"")</f>
        <v/>
      </c>
      <c r="M1" s="4">
        <f>IF(M4=1,TEXT(M3,"yyyy-mm"),"")</f>
        <v/>
      </c>
      <c r="N1" s="4">
        <f>IF(N4=1,TEXT(N3,"yyyy-mm"),"")</f>
        <v/>
      </c>
      <c r="O1" s="4">
        <f>IF(O4=1,TEXT(O3,"yyyy-mm"),"")</f>
        <v/>
      </c>
      <c r="P1" s="4">
        <f>IF(P4=1,TEXT(P3,"yyyy-mm"),"")</f>
        <v/>
      </c>
      <c r="Q1" s="4">
        <f>IF(Q4=1,TEXT(Q3,"yyyy-mm"),"")</f>
        <v/>
      </c>
      <c r="R1" s="4">
        <f>IF(R4=1,TEXT(R3,"yyyy-mm"),"")</f>
        <v/>
      </c>
      <c r="S1" s="4">
        <f>IF(S4=1,TEXT(S3,"yyyy-mm"),"")</f>
        <v/>
      </c>
      <c r="T1" s="4">
        <f>IF(T4=1,TEXT(T3,"yyyy-mm"),"")</f>
        <v/>
      </c>
      <c r="U1" s="4">
        <f>IF(U4=1,TEXT(U3,"yyyy-mm"),"")</f>
        <v/>
      </c>
      <c r="V1" s="4">
        <f>IF(V4=1,TEXT(V3,"yyyy-mm"),"")</f>
        <v/>
      </c>
      <c r="W1" s="4">
        <f>IF(W4=1,TEXT(W3,"yyyy-mm"),"")</f>
        <v/>
      </c>
      <c r="X1" s="4">
        <f>IF(X4=1,TEXT(X3,"yyyy-mm"),"")</f>
        <v/>
      </c>
      <c r="Y1" s="4">
        <f>IF(Y4=1,TEXT(Y3,"yyyy-mm"),"")</f>
        <v/>
      </c>
      <c r="Z1" s="4">
        <f>IF(Z4=1,TEXT(Z3,"yyyy-mm"),"")</f>
        <v/>
      </c>
      <c r="AA1" s="4">
        <f>IF(AA4=1,TEXT(AA3,"yyyy-mm"),"")</f>
        <v/>
      </c>
      <c r="AB1" s="4">
        <f>IF(AB4=1,TEXT(AB3,"yyyy-mm"),"")</f>
        <v/>
      </c>
      <c r="AC1" s="4">
        <f>IF(AC4=1,TEXT(AC3,"yyyy-mm"),"")</f>
        <v/>
      </c>
      <c r="AD1" s="4">
        <f>IF(AD4=1,TEXT(AD3,"yyyy-mm"),"")</f>
        <v/>
      </c>
      <c r="AE1" s="4">
        <f>IF(AE4=1,TEXT(AE3,"yyyy-mm"),"")</f>
        <v/>
      </c>
      <c r="AF1" s="4">
        <f>IF(AF4=1,TEXT(AF3,"yyyy-mm"),"")</f>
        <v/>
      </c>
      <c r="AG1" s="4">
        <f>IF(AG4=1,TEXT(AG3,"yyyy-mm"),"")</f>
        <v/>
      </c>
      <c r="AH1" s="4">
        <f>IF(AH4=1,TEXT(AH3,"yyyy-mm"),"")</f>
        <v/>
      </c>
      <c r="AI1" s="4">
        <f>IF(AI4=1,TEXT(AI3,"yyyy-mm"),"")</f>
        <v/>
      </c>
      <c r="AJ1" s="4">
        <f>IF(AJ4=1,TEXT(AJ3,"yyyy-mm"),"")</f>
        <v/>
      </c>
      <c r="AK1" s="4">
        <f>IF(AK4=1,TEXT(AK3,"yyyy-mm"),"")</f>
        <v/>
      </c>
      <c r="AL1" s="4">
        <f>IF(AL4=1,TEXT(AL3,"yyyy-mm"),"")</f>
        <v/>
      </c>
      <c r="AM1" s="4">
        <f>IF(AM4=1,TEXT(AM3,"yyyy-mm"),"")</f>
        <v/>
      </c>
      <c r="AN1" s="4">
        <f>IF(AN4=1,TEXT(AN3,"yyyy-mm"),"")</f>
        <v/>
      </c>
      <c r="AO1" s="4">
        <f>IF(AO4=1,TEXT(AO3,"yyyy-mm"),"")</f>
        <v/>
      </c>
      <c r="AP1" s="4">
        <f>IF(AP4=1,TEXT(AP3,"yyyy-mm"),"")</f>
        <v/>
      </c>
      <c r="AQ1" s="4">
        <f>IF(AQ4=1,TEXT(AQ3,"yyyy-mm"),"")</f>
        <v/>
      </c>
      <c r="AR1" s="4">
        <f>IF(AR4=1,TEXT(AR3,"yyyy-mm"),"")</f>
        <v/>
      </c>
      <c r="AS1" s="4">
        <f>IF(AS4=1,TEXT(AS3,"yyyy-mm"),"")</f>
        <v/>
      </c>
      <c r="AT1" s="4">
        <f>IF(AT4=1,TEXT(AT3,"yyyy-mm"),"")</f>
        <v/>
      </c>
      <c r="AU1" s="4">
        <f>IF(AU4=1,TEXT(AU3,"yyyy-mm"),"")</f>
        <v/>
      </c>
      <c r="AV1" s="4">
        <f>IF(AV4=1,TEXT(AV3,"yyyy-mm"),"")</f>
        <v/>
      </c>
      <c r="AW1" s="4">
        <f>IF(AW4=1,TEXT(AW3,"yyyy-mm"),"")</f>
        <v/>
      </c>
      <c r="AX1" s="4">
        <f>IF(AX4=1,TEXT(AX3,"yyyy-mm"),"")</f>
        <v/>
      </c>
      <c r="AY1" s="4">
        <f>IF(AY4=1,TEXT(AY3,"yyyy-mm"),"")</f>
        <v/>
      </c>
      <c r="AZ1" s="4">
        <f>IF(AZ4=1,TEXT(AZ3,"yyyy-mm"),"")</f>
        <v/>
      </c>
      <c r="BA1" s="4">
        <f>IF(BA4=1,TEXT(BA3,"yyyy-mm"),"")</f>
        <v/>
      </c>
      <c r="BB1" s="4">
        <f>IF(BB4=1,TEXT(BB3,"yyyy-mm"),"")</f>
        <v/>
      </c>
      <c r="BC1" s="4">
        <f>IF(BC4=1,TEXT(BC3,"yyyy-mm"),"")</f>
        <v/>
      </c>
      <c r="BD1" s="4">
        <f>IF(BD4=1,TEXT(BD3,"yyyy-mm"),"")</f>
        <v/>
      </c>
      <c r="BE1" s="4">
        <f>IF(BE4=1,TEXT(BE3,"yyyy-mm"),"")</f>
        <v/>
      </c>
      <c r="BF1" s="4">
        <f>IF(BF4=1,TEXT(BF3,"yyyy-mm"),"")</f>
        <v/>
      </c>
      <c r="BG1" s="4">
        <f>IF(BG4=1,TEXT(BG3,"yyyy-mm"),"")</f>
        <v/>
      </c>
      <c r="BH1" s="4">
        <f>IF(BH4=1,TEXT(BH3,"yyyy-mm"),"")</f>
        <v/>
      </c>
      <c r="BI1" s="4">
        <f>IF(BI4=1,TEXT(BI3,"yyyy-mm"),"")</f>
        <v/>
      </c>
      <c r="BJ1" s="4">
        <f>IF(BJ4=1,TEXT(BJ3,"yyyy-mm"),"")</f>
        <v/>
      </c>
      <c r="BK1" s="4">
        <f>IF(BK4=1,TEXT(BK3,"yyyy-mm"),"")</f>
        <v/>
      </c>
      <c r="BL1" s="4">
        <f>IF(BL4=1,TEXT(BL3,"yyyy-mm"),"")</f>
        <v/>
      </c>
      <c r="BM1" s="4">
        <f>IF(BM4=1,TEXT(BM3,"yyyy-mm"),"")</f>
        <v/>
      </c>
      <c r="BN1" s="4">
        <f>IF(BN4=1,TEXT(BN3,"yyyy-mm"),"")</f>
        <v/>
      </c>
      <c r="BO1" s="4">
        <f>IF(BO4=1,TEXT(BO3,"yyyy-mm"),"")</f>
        <v/>
      </c>
      <c r="BP1" s="4">
        <f>IF(BP4=1,TEXT(BP3,"yyyy-mm"),"")</f>
        <v/>
      </c>
      <c r="BQ1" s="4">
        <f>IF(BQ4=1,TEXT(BQ3,"yyyy-mm"),"")</f>
        <v/>
      </c>
      <c r="BR1" s="4">
        <f>IF(BR4=1,TEXT(BR3,"yyyy-mm"),"")</f>
        <v/>
      </c>
      <c r="BS1" s="4">
        <f>IF(BS4=1,TEXT(BS3,"yyyy-mm"),"")</f>
        <v/>
      </c>
      <c r="BT1" s="4">
        <f>IF(BT4=1,TEXT(BT3,"yyyy-mm"),"")</f>
        <v/>
      </c>
      <c r="BU1" s="4">
        <f>IF(BU4=1,TEXT(BU3,"yyyy-mm"),"")</f>
        <v/>
      </c>
      <c r="BV1" s="4">
        <f>IF(BV4=1,TEXT(BV3,"yyyy-mm"),"")</f>
        <v/>
      </c>
      <c r="BW1" s="4">
        <f>IF(BW4=1,TEXT(BW3,"yyyy-mm"),"")</f>
        <v/>
      </c>
      <c r="BX1" s="4">
        <f>IF(BX4=1,TEXT(BX3,"yyyy-mm"),"")</f>
        <v/>
      </c>
      <c r="BY1" s="4">
        <f>IF(BY4=1,TEXT(BY3,"yyyy-mm"),"")</f>
        <v/>
      </c>
      <c r="BZ1" s="4">
        <f>IF(BZ4=1,TEXT(BZ3,"yyyy-mm"),"")</f>
        <v/>
      </c>
      <c r="CA1" s="4">
        <f>IF(CA4=1,TEXT(CA3,"yyyy-mm"),"")</f>
        <v/>
      </c>
      <c r="CB1" s="4">
        <f>IF(CB4=1,TEXT(CB3,"yyyy-mm"),"")</f>
        <v/>
      </c>
      <c r="CC1" s="4">
        <f>IF(CC4=1,TEXT(CC3,"yyyy-mm"),"")</f>
        <v/>
      </c>
      <c r="CD1" s="4">
        <f>IF(CD4=1,TEXT(CD3,"yyyy-mm"),"")</f>
        <v/>
      </c>
      <c r="CE1" s="4">
        <f>IF(CE4=1,TEXT(CE3,"yyyy-mm"),"")</f>
        <v/>
      </c>
      <c r="CF1" s="4">
        <f>IF(CF4=1,TEXT(CF3,"yyyy-mm"),"")</f>
        <v/>
      </c>
      <c r="CG1" s="4">
        <f>IF(CG4=1,TEXT(CG3,"yyyy-mm"),"")</f>
        <v/>
      </c>
      <c r="CH1" s="4">
        <f>IF(CH4=1,TEXT(CH3,"yyyy-mm"),"")</f>
        <v/>
      </c>
      <c r="CI1" s="4">
        <f>IF(CI4=1,TEXT(CI3,"yyyy-mm"),"")</f>
        <v/>
      </c>
      <c r="CJ1" s="4">
        <f>IF(CJ4=1,TEXT(CJ3,"yyyy-mm"),"")</f>
        <v/>
      </c>
      <c r="CK1" s="4">
        <f>IF(CK4=1,TEXT(CK3,"yyyy-mm"),"")</f>
        <v/>
      </c>
      <c r="CL1" s="4">
        <f>IF(CL4=1,TEXT(CL3,"yyyy-mm"),"")</f>
        <v/>
      </c>
      <c r="CM1" s="4">
        <f>IF(CM4=1,TEXT(CM3,"yyyy-mm"),"")</f>
        <v/>
      </c>
      <c r="CN1" s="4">
        <f>IF(CN4=1,TEXT(CN3,"yyyy-mm"),"")</f>
        <v/>
      </c>
      <c r="CO1" s="4">
        <f>IF(CO4=1,TEXT(CO3,"yyyy-mm"),"")</f>
        <v/>
      </c>
      <c r="CP1" s="4">
        <f>IF(CP4=1,TEXT(CP3,"yyyy-mm"),"")</f>
        <v/>
      </c>
      <c r="CQ1" s="4">
        <f>IF(CQ4=1,TEXT(CQ3,"yyyy-mm"),"")</f>
        <v/>
      </c>
      <c r="CR1" s="4">
        <f>IF(CR4=1,TEXT(CR3,"yyyy-mm"),"")</f>
        <v/>
      </c>
      <c r="CS1" s="4">
        <f>IF(CS4=1,TEXT(CS3,"yyyy-mm"),"")</f>
        <v/>
      </c>
      <c r="CT1" s="4">
        <f>IF(CT4=1,TEXT(CT3,"yyyy-mm"),"")</f>
        <v/>
      </c>
      <c r="CU1" s="4">
        <f>IF(CU4=1,TEXT(CU3,"yyyy-mm"),"")</f>
        <v/>
      </c>
      <c r="CV1" s="4">
        <f>IF(CV4=1,TEXT(CV3,"yyyy-mm"),"")</f>
        <v/>
      </c>
      <c r="CW1" s="4">
        <f>IF(CW4=1,TEXT(CW3,"yyyy-mm"),"")</f>
        <v/>
      </c>
      <c r="CX1" s="4">
        <f>IF(CX4=1,TEXT(CX3,"yyyy-mm"),"")</f>
        <v/>
      </c>
      <c r="CY1" s="4">
        <f>IF(CY4=1,TEXT(CY3,"yyyy-mm"),"")</f>
        <v/>
      </c>
      <c r="CZ1" s="4">
        <f>IF(CZ4=1,TEXT(CZ3,"yyyy-mm"),"")</f>
        <v/>
      </c>
      <c r="DA1" s="4">
        <f>IF(DA4=1,TEXT(DA3,"yyyy-mm"),"")</f>
        <v/>
      </c>
      <c r="DB1" s="4">
        <f>IF(DB4=1,TEXT(DB3,"yyyy-mm"),"")</f>
        <v/>
      </c>
      <c r="DC1" s="4">
        <f>IF(DC4=1,TEXT(DC3,"yyyy-mm"),"")</f>
        <v/>
      </c>
      <c r="DD1" s="4">
        <f>IF(DD4=1,TEXT(DD3,"yyyy-mm"),"")</f>
        <v/>
      </c>
      <c r="DE1" s="4">
        <f>IF(DE4=1,TEXT(DE3,"yyyy-mm"),"")</f>
        <v/>
      </c>
      <c r="DF1" s="4">
        <f>IF(DF4=1,TEXT(DF3,"yyyy-mm"),"")</f>
        <v/>
      </c>
      <c r="DG1" s="4">
        <f>IF(DG4=1,TEXT(DG3,"yyyy-mm"),"")</f>
        <v/>
      </c>
      <c r="DH1" s="4">
        <f>IF(DH4=1,TEXT(DH3,"yyyy-mm"),"")</f>
        <v/>
      </c>
      <c r="DI1" s="4">
        <f>IF(DI4=1,TEXT(DI3,"yyyy-mm"),"")</f>
        <v/>
      </c>
      <c r="DJ1" s="4">
        <f>IF(DJ4=1,TEXT(DJ3,"yyyy-mm"),"")</f>
        <v/>
      </c>
      <c r="DK1" s="4">
        <f>IF(DK4=1,TEXT(DK3,"yyyy-mm"),"")</f>
        <v/>
      </c>
      <c r="DL1" s="4">
        <f>IF(DL4=1,TEXT(DL3,"yyyy-mm"),"")</f>
        <v/>
      </c>
      <c r="DM1" s="4">
        <f>IF(DM4=1,TEXT(DM3,"yyyy-mm"),"")</f>
        <v/>
      </c>
      <c r="DN1" s="4">
        <f>IF(DN4=1,TEXT(DN3,"yyyy-mm"),"")</f>
        <v/>
      </c>
      <c r="DO1" s="4">
        <f>IF(DO4=1,TEXT(DO3,"yyyy-mm"),"")</f>
        <v/>
      </c>
      <c r="DP1" s="4">
        <f>IF(DP4=1,TEXT(DP3,"yyyy-mm"),"")</f>
        <v/>
      </c>
      <c r="DQ1" s="4">
        <f>IF(DQ4=1,TEXT(DQ3,"yyyy-mm"),"")</f>
        <v/>
      </c>
      <c r="DR1" s="4">
        <f>IF(DR4=1,TEXT(DR3,"yyyy-mm"),"")</f>
        <v/>
      </c>
    </row>
    <row r="2">
      <c r="A2" t="inlineStr">
        <is>
          <t>month_no</t>
        </is>
      </c>
      <c r="B2" t="inlineStr">
        <is>
          <t>1..120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  <c r="AY2" t="n">
        <v>49</v>
      </c>
      <c r="AZ2" t="n">
        <v>50</v>
      </c>
      <c r="BA2" t="n">
        <v>51</v>
      </c>
      <c r="BB2" t="n">
        <v>52</v>
      </c>
      <c r="BC2" t="n">
        <v>53</v>
      </c>
      <c r="BD2" t="n">
        <v>54</v>
      </c>
      <c r="BE2" t="n">
        <v>55</v>
      </c>
      <c r="BF2" t="n">
        <v>56</v>
      </c>
      <c r="BG2" t="n">
        <v>57</v>
      </c>
      <c r="BH2" t="n">
        <v>58</v>
      </c>
      <c r="BI2" t="n">
        <v>59</v>
      </c>
      <c r="BJ2" t="n">
        <v>60</v>
      </c>
      <c r="BK2" t="n">
        <v>61</v>
      </c>
      <c r="BL2" t="n">
        <v>62</v>
      </c>
      <c r="BM2" t="n">
        <v>63</v>
      </c>
      <c r="BN2" t="n">
        <v>64</v>
      </c>
      <c r="BO2" t="n">
        <v>65</v>
      </c>
      <c r="BP2" t="n">
        <v>66</v>
      </c>
      <c r="BQ2" t="n">
        <v>67</v>
      </c>
      <c r="BR2" t="n">
        <v>68</v>
      </c>
      <c r="BS2" t="n">
        <v>69</v>
      </c>
      <c r="BT2" t="n">
        <v>70</v>
      </c>
      <c r="BU2" t="n">
        <v>71</v>
      </c>
      <c r="BV2" t="n">
        <v>72</v>
      </c>
      <c r="BW2" t="n">
        <v>73</v>
      </c>
      <c r="BX2" t="n">
        <v>74</v>
      </c>
      <c r="BY2" t="n">
        <v>75</v>
      </c>
      <c r="BZ2" t="n">
        <v>76</v>
      </c>
      <c r="CA2" t="n">
        <v>77</v>
      </c>
      <c r="CB2" t="n">
        <v>78</v>
      </c>
      <c r="CC2" t="n">
        <v>79</v>
      </c>
      <c r="CD2" t="n">
        <v>80</v>
      </c>
      <c r="CE2" t="n">
        <v>81</v>
      </c>
      <c r="CF2" t="n">
        <v>82</v>
      </c>
      <c r="CG2" t="n">
        <v>83</v>
      </c>
      <c r="CH2" t="n">
        <v>84</v>
      </c>
      <c r="CI2" t="n">
        <v>85</v>
      </c>
      <c r="CJ2" t="n">
        <v>86</v>
      </c>
      <c r="CK2" t="n">
        <v>87</v>
      </c>
      <c r="CL2" t="n">
        <v>88</v>
      </c>
      <c r="CM2" t="n">
        <v>89</v>
      </c>
      <c r="CN2" t="n">
        <v>90</v>
      </c>
      <c r="CO2" t="n">
        <v>91</v>
      </c>
      <c r="CP2" t="n">
        <v>92</v>
      </c>
      <c r="CQ2" t="n">
        <v>93</v>
      </c>
      <c r="CR2" t="n">
        <v>94</v>
      </c>
      <c r="CS2" t="n">
        <v>95</v>
      </c>
      <c r="CT2" t="n">
        <v>96</v>
      </c>
      <c r="CU2" t="n">
        <v>97</v>
      </c>
      <c r="CV2" t="n">
        <v>98</v>
      </c>
      <c r="CW2" t="n">
        <v>99</v>
      </c>
      <c r="CX2" t="n">
        <v>100</v>
      </c>
      <c r="CY2" t="n">
        <v>101</v>
      </c>
      <c r="CZ2" t="n">
        <v>102</v>
      </c>
      <c r="DA2" t="n">
        <v>103</v>
      </c>
      <c r="DB2" t="n">
        <v>104</v>
      </c>
      <c r="DC2" t="n">
        <v>105</v>
      </c>
      <c r="DD2" t="n">
        <v>106</v>
      </c>
      <c r="DE2" t="n">
        <v>107</v>
      </c>
      <c r="DF2" t="n">
        <v>108</v>
      </c>
      <c r="DG2" t="n">
        <v>109</v>
      </c>
      <c r="DH2" t="n">
        <v>110</v>
      </c>
      <c r="DI2" t="n">
        <v>111</v>
      </c>
      <c r="DJ2" t="n">
        <v>112</v>
      </c>
      <c r="DK2" t="n">
        <v>113</v>
      </c>
      <c r="DL2" t="n">
        <v>114</v>
      </c>
      <c r="DM2" t="n">
        <v>115</v>
      </c>
      <c r="DN2" t="n">
        <v>116</v>
      </c>
      <c r="DO2" t="n">
        <v>117</v>
      </c>
      <c r="DP2" t="n">
        <v>118</v>
      </c>
      <c r="DQ2" t="n">
        <v>119</v>
      </c>
      <c r="DR2" t="n">
        <v>120</v>
      </c>
    </row>
    <row r="3">
      <c r="A3" t="inlineStr">
        <is>
          <t>period_start</t>
        </is>
      </c>
      <c r="B3" t="inlineStr">
        <is>
          <t>EDATE(start_month, n-1)</t>
        </is>
      </c>
      <c r="C3" s="24">
        <f>EDATE(Effective!$B$6,C2-1)</f>
        <v/>
      </c>
      <c r="D3" s="24">
        <f>EDATE(Effective!$B$6,D2-1)</f>
        <v/>
      </c>
      <c r="E3" s="24">
        <f>EDATE(Effective!$B$6,E2-1)</f>
        <v/>
      </c>
      <c r="F3" s="24">
        <f>EDATE(Effective!$B$6,F2-1)</f>
        <v/>
      </c>
      <c r="G3" s="24">
        <f>EDATE(Effective!$B$6,G2-1)</f>
        <v/>
      </c>
      <c r="H3" s="24">
        <f>EDATE(Effective!$B$6,H2-1)</f>
        <v/>
      </c>
      <c r="I3" s="24">
        <f>EDATE(Effective!$B$6,I2-1)</f>
        <v/>
      </c>
      <c r="J3" s="24">
        <f>EDATE(Effective!$B$6,J2-1)</f>
        <v/>
      </c>
      <c r="K3" s="24">
        <f>EDATE(Effective!$B$6,K2-1)</f>
        <v/>
      </c>
      <c r="L3" s="24">
        <f>EDATE(Effective!$B$6,L2-1)</f>
        <v/>
      </c>
      <c r="M3" s="24">
        <f>EDATE(Effective!$B$6,M2-1)</f>
        <v/>
      </c>
      <c r="N3" s="24">
        <f>EDATE(Effective!$B$6,N2-1)</f>
        <v/>
      </c>
      <c r="O3" s="24">
        <f>EDATE(Effective!$B$6,O2-1)</f>
        <v/>
      </c>
      <c r="P3" s="24">
        <f>EDATE(Effective!$B$6,P2-1)</f>
        <v/>
      </c>
      <c r="Q3" s="24">
        <f>EDATE(Effective!$B$6,Q2-1)</f>
        <v/>
      </c>
      <c r="R3" s="24">
        <f>EDATE(Effective!$B$6,R2-1)</f>
        <v/>
      </c>
      <c r="S3" s="24">
        <f>EDATE(Effective!$B$6,S2-1)</f>
        <v/>
      </c>
      <c r="T3" s="24">
        <f>EDATE(Effective!$B$6,T2-1)</f>
        <v/>
      </c>
      <c r="U3" s="24">
        <f>EDATE(Effective!$B$6,U2-1)</f>
        <v/>
      </c>
      <c r="V3" s="24">
        <f>EDATE(Effective!$B$6,V2-1)</f>
        <v/>
      </c>
      <c r="W3" s="24">
        <f>EDATE(Effective!$B$6,W2-1)</f>
        <v/>
      </c>
      <c r="X3" s="24">
        <f>EDATE(Effective!$B$6,X2-1)</f>
        <v/>
      </c>
      <c r="Y3" s="24">
        <f>EDATE(Effective!$B$6,Y2-1)</f>
        <v/>
      </c>
      <c r="Z3" s="24">
        <f>EDATE(Effective!$B$6,Z2-1)</f>
        <v/>
      </c>
      <c r="AA3" s="24">
        <f>EDATE(Effective!$B$6,AA2-1)</f>
        <v/>
      </c>
      <c r="AB3" s="24">
        <f>EDATE(Effective!$B$6,AB2-1)</f>
        <v/>
      </c>
      <c r="AC3" s="24">
        <f>EDATE(Effective!$B$6,AC2-1)</f>
        <v/>
      </c>
      <c r="AD3" s="24">
        <f>EDATE(Effective!$B$6,AD2-1)</f>
        <v/>
      </c>
      <c r="AE3" s="24">
        <f>EDATE(Effective!$B$6,AE2-1)</f>
        <v/>
      </c>
      <c r="AF3" s="24">
        <f>EDATE(Effective!$B$6,AF2-1)</f>
        <v/>
      </c>
      <c r="AG3" s="24">
        <f>EDATE(Effective!$B$6,AG2-1)</f>
        <v/>
      </c>
      <c r="AH3" s="24">
        <f>EDATE(Effective!$B$6,AH2-1)</f>
        <v/>
      </c>
      <c r="AI3" s="24">
        <f>EDATE(Effective!$B$6,AI2-1)</f>
        <v/>
      </c>
      <c r="AJ3" s="24">
        <f>EDATE(Effective!$B$6,AJ2-1)</f>
        <v/>
      </c>
      <c r="AK3" s="24">
        <f>EDATE(Effective!$B$6,AK2-1)</f>
        <v/>
      </c>
      <c r="AL3" s="24">
        <f>EDATE(Effective!$B$6,AL2-1)</f>
        <v/>
      </c>
      <c r="AM3" s="24">
        <f>EDATE(Effective!$B$6,AM2-1)</f>
        <v/>
      </c>
      <c r="AN3" s="24">
        <f>EDATE(Effective!$B$6,AN2-1)</f>
        <v/>
      </c>
      <c r="AO3" s="24">
        <f>EDATE(Effective!$B$6,AO2-1)</f>
        <v/>
      </c>
      <c r="AP3" s="24">
        <f>EDATE(Effective!$B$6,AP2-1)</f>
        <v/>
      </c>
      <c r="AQ3" s="24">
        <f>EDATE(Effective!$B$6,AQ2-1)</f>
        <v/>
      </c>
      <c r="AR3" s="24">
        <f>EDATE(Effective!$B$6,AR2-1)</f>
        <v/>
      </c>
      <c r="AS3" s="24">
        <f>EDATE(Effective!$B$6,AS2-1)</f>
        <v/>
      </c>
      <c r="AT3" s="24">
        <f>EDATE(Effective!$B$6,AT2-1)</f>
        <v/>
      </c>
      <c r="AU3" s="24">
        <f>EDATE(Effective!$B$6,AU2-1)</f>
        <v/>
      </c>
      <c r="AV3" s="24">
        <f>EDATE(Effective!$B$6,AV2-1)</f>
        <v/>
      </c>
      <c r="AW3" s="24">
        <f>EDATE(Effective!$B$6,AW2-1)</f>
        <v/>
      </c>
      <c r="AX3" s="24">
        <f>EDATE(Effective!$B$6,AX2-1)</f>
        <v/>
      </c>
      <c r="AY3" s="24">
        <f>EDATE(Effective!$B$6,AY2-1)</f>
        <v/>
      </c>
      <c r="AZ3" s="24">
        <f>EDATE(Effective!$B$6,AZ2-1)</f>
        <v/>
      </c>
      <c r="BA3" s="24">
        <f>EDATE(Effective!$B$6,BA2-1)</f>
        <v/>
      </c>
      <c r="BB3" s="24">
        <f>EDATE(Effective!$B$6,BB2-1)</f>
        <v/>
      </c>
      <c r="BC3" s="24">
        <f>EDATE(Effective!$B$6,BC2-1)</f>
        <v/>
      </c>
      <c r="BD3" s="24">
        <f>EDATE(Effective!$B$6,BD2-1)</f>
        <v/>
      </c>
      <c r="BE3" s="24">
        <f>EDATE(Effective!$B$6,BE2-1)</f>
        <v/>
      </c>
      <c r="BF3" s="24">
        <f>EDATE(Effective!$B$6,BF2-1)</f>
        <v/>
      </c>
      <c r="BG3" s="24">
        <f>EDATE(Effective!$B$6,BG2-1)</f>
        <v/>
      </c>
      <c r="BH3" s="24">
        <f>EDATE(Effective!$B$6,BH2-1)</f>
        <v/>
      </c>
      <c r="BI3" s="24">
        <f>EDATE(Effective!$B$6,BI2-1)</f>
        <v/>
      </c>
      <c r="BJ3" s="24">
        <f>EDATE(Effective!$B$6,BJ2-1)</f>
        <v/>
      </c>
      <c r="BK3" s="24">
        <f>EDATE(Effective!$B$6,BK2-1)</f>
        <v/>
      </c>
      <c r="BL3" s="24">
        <f>EDATE(Effective!$B$6,BL2-1)</f>
        <v/>
      </c>
      <c r="BM3" s="24">
        <f>EDATE(Effective!$B$6,BM2-1)</f>
        <v/>
      </c>
      <c r="BN3" s="24">
        <f>EDATE(Effective!$B$6,BN2-1)</f>
        <v/>
      </c>
      <c r="BO3" s="24">
        <f>EDATE(Effective!$B$6,BO2-1)</f>
        <v/>
      </c>
      <c r="BP3" s="24">
        <f>EDATE(Effective!$B$6,BP2-1)</f>
        <v/>
      </c>
      <c r="BQ3" s="24">
        <f>EDATE(Effective!$B$6,BQ2-1)</f>
        <v/>
      </c>
      <c r="BR3" s="24">
        <f>EDATE(Effective!$B$6,BR2-1)</f>
        <v/>
      </c>
      <c r="BS3" s="24">
        <f>EDATE(Effective!$B$6,BS2-1)</f>
        <v/>
      </c>
      <c r="BT3" s="24">
        <f>EDATE(Effective!$B$6,BT2-1)</f>
        <v/>
      </c>
      <c r="BU3" s="24">
        <f>EDATE(Effective!$B$6,BU2-1)</f>
        <v/>
      </c>
      <c r="BV3" s="24">
        <f>EDATE(Effective!$B$6,BV2-1)</f>
        <v/>
      </c>
      <c r="BW3" s="24">
        <f>EDATE(Effective!$B$6,BW2-1)</f>
        <v/>
      </c>
      <c r="BX3" s="24">
        <f>EDATE(Effective!$B$6,BX2-1)</f>
        <v/>
      </c>
      <c r="BY3" s="24">
        <f>EDATE(Effective!$B$6,BY2-1)</f>
        <v/>
      </c>
      <c r="BZ3" s="24">
        <f>EDATE(Effective!$B$6,BZ2-1)</f>
        <v/>
      </c>
      <c r="CA3" s="24">
        <f>EDATE(Effective!$B$6,CA2-1)</f>
        <v/>
      </c>
      <c r="CB3" s="24">
        <f>EDATE(Effective!$B$6,CB2-1)</f>
        <v/>
      </c>
      <c r="CC3" s="24">
        <f>EDATE(Effective!$B$6,CC2-1)</f>
        <v/>
      </c>
      <c r="CD3" s="24">
        <f>EDATE(Effective!$B$6,CD2-1)</f>
        <v/>
      </c>
      <c r="CE3" s="24">
        <f>EDATE(Effective!$B$6,CE2-1)</f>
        <v/>
      </c>
      <c r="CF3" s="24">
        <f>EDATE(Effective!$B$6,CF2-1)</f>
        <v/>
      </c>
      <c r="CG3" s="24">
        <f>EDATE(Effective!$B$6,CG2-1)</f>
        <v/>
      </c>
      <c r="CH3" s="24">
        <f>EDATE(Effective!$B$6,CH2-1)</f>
        <v/>
      </c>
      <c r="CI3" s="24">
        <f>EDATE(Effective!$B$6,CI2-1)</f>
        <v/>
      </c>
      <c r="CJ3" s="24">
        <f>EDATE(Effective!$B$6,CJ2-1)</f>
        <v/>
      </c>
      <c r="CK3" s="24">
        <f>EDATE(Effective!$B$6,CK2-1)</f>
        <v/>
      </c>
      <c r="CL3" s="24">
        <f>EDATE(Effective!$B$6,CL2-1)</f>
        <v/>
      </c>
      <c r="CM3" s="24">
        <f>EDATE(Effective!$B$6,CM2-1)</f>
        <v/>
      </c>
      <c r="CN3" s="24">
        <f>EDATE(Effective!$B$6,CN2-1)</f>
        <v/>
      </c>
      <c r="CO3" s="24">
        <f>EDATE(Effective!$B$6,CO2-1)</f>
        <v/>
      </c>
      <c r="CP3" s="24">
        <f>EDATE(Effective!$B$6,CP2-1)</f>
        <v/>
      </c>
      <c r="CQ3" s="24">
        <f>EDATE(Effective!$B$6,CQ2-1)</f>
        <v/>
      </c>
      <c r="CR3" s="24">
        <f>EDATE(Effective!$B$6,CR2-1)</f>
        <v/>
      </c>
      <c r="CS3" s="24">
        <f>EDATE(Effective!$B$6,CS2-1)</f>
        <v/>
      </c>
      <c r="CT3" s="24">
        <f>EDATE(Effective!$B$6,CT2-1)</f>
        <v/>
      </c>
      <c r="CU3" s="24">
        <f>EDATE(Effective!$B$6,CU2-1)</f>
        <v/>
      </c>
      <c r="CV3" s="24">
        <f>EDATE(Effective!$B$6,CV2-1)</f>
        <v/>
      </c>
      <c r="CW3" s="24">
        <f>EDATE(Effective!$B$6,CW2-1)</f>
        <v/>
      </c>
      <c r="CX3" s="24">
        <f>EDATE(Effective!$B$6,CX2-1)</f>
        <v/>
      </c>
      <c r="CY3" s="24">
        <f>EDATE(Effective!$B$6,CY2-1)</f>
        <v/>
      </c>
      <c r="CZ3" s="24">
        <f>EDATE(Effective!$B$6,CZ2-1)</f>
        <v/>
      </c>
      <c r="DA3" s="24">
        <f>EDATE(Effective!$B$6,DA2-1)</f>
        <v/>
      </c>
      <c r="DB3" s="24">
        <f>EDATE(Effective!$B$6,DB2-1)</f>
        <v/>
      </c>
      <c r="DC3" s="24">
        <f>EDATE(Effective!$B$6,DC2-1)</f>
        <v/>
      </c>
      <c r="DD3" s="24">
        <f>EDATE(Effective!$B$6,DD2-1)</f>
        <v/>
      </c>
      <c r="DE3" s="24">
        <f>EDATE(Effective!$B$6,DE2-1)</f>
        <v/>
      </c>
      <c r="DF3" s="24">
        <f>EDATE(Effective!$B$6,DF2-1)</f>
        <v/>
      </c>
      <c r="DG3" s="24">
        <f>EDATE(Effective!$B$6,DG2-1)</f>
        <v/>
      </c>
      <c r="DH3" s="24">
        <f>EDATE(Effective!$B$6,DH2-1)</f>
        <v/>
      </c>
      <c r="DI3" s="24">
        <f>EDATE(Effective!$B$6,DI2-1)</f>
        <v/>
      </c>
      <c r="DJ3" s="24">
        <f>EDATE(Effective!$B$6,DJ2-1)</f>
        <v/>
      </c>
      <c r="DK3" s="24">
        <f>EDATE(Effective!$B$6,DK2-1)</f>
        <v/>
      </c>
      <c r="DL3" s="24">
        <f>EDATE(Effective!$B$6,DL2-1)</f>
        <v/>
      </c>
      <c r="DM3" s="24">
        <f>EDATE(Effective!$B$6,DM2-1)</f>
        <v/>
      </c>
      <c r="DN3" s="24">
        <f>EDATE(Effective!$B$6,DN2-1)</f>
        <v/>
      </c>
      <c r="DO3" s="24">
        <f>EDATE(Effective!$B$6,DO2-1)</f>
        <v/>
      </c>
      <c r="DP3" s="24">
        <f>EDATE(Effective!$B$6,DP2-1)</f>
        <v/>
      </c>
      <c r="DQ3" s="24">
        <f>EDATE(Effective!$B$6,DQ2-1)</f>
        <v/>
      </c>
      <c r="DR3" s="24">
        <f>EDATE(Effective!$B$6,DR2-1)</f>
        <v/>
      </c>
    </row>
    <row r="4">
      <c r="A4" t="inlineStr">
        <is>
          <t>active</t>
        </is>
      </c>
      <c r="B4" t="inlineStr">
        <is>
          <t>1 if n &lt;= horizon</t>
        </is>
      </c>
      <c r="C4">
        <f>IF(C2&lt;=Effective!$B$7,1,0)</f>
        <v/>
      </c>
      <c r="D4">
        <f>IF(D2&lt;=Effective!$B$7,1,0)</f>
        <v/>
      </c>
      <c r="E4">
        <f>IF(E2&lt;=Effective!$B$7,1,0)</f>
        <v/>
      </c>
      <c r="F4">
        <f>IF(F2&lt;=Effective!$B$7,1,0)</f>
        <v/>
      </c>
      <c r="G4">
        <f>IF(G2&lt;=Effective!$B$7,1,0)</f>
        <v/>
      </c>
      <c r="H4">
        <f>IF(H2&lt;=Effective!$B$7,1,0)</f>
        <v/>
      </c>
      <c r="I4">
        <f>IF(I2&lt;=Effective!$B$7,1,0)</f>
        <v/>
      </c>
      <c r="J4">
        <f>IF(J2&lt;=Effective!$B$7,1,0)</f>
        <v/>
      </c>
      <c r="K4">
        <f>IF(K2&lt;=Effective!$B$7,1,0)</f>
        <v/>
      </c>
      <c r="L4">
        <f>IF(L2&lt;=Effective!$B$7,1,0)</f>
        <v/>
      </c>
      <c r="M4">
        <f>IF(M2&lt;=Effective!$B$7,1,0)</f>
        <v/>
      </c>
      <c r="N4">
        <f>IF(N2&lt;=Effective!$B$7,1,0)</f>
        <v/>
      </c>
      <c r="O4">
        <f>IF(O2&lt;=Effective!$B$7,1,0)</f>
        <v/>
      </c>
      <c r="P4">
        <f>IF(P2&lt;=Effective!$B$7,1,0)</f>
        <v/>
      </c>
      <c r="Q4">
        <f>IF(Q2&lt;=Effective!$B$7,1,0)</f>
        <v/>
      </c>
      <c r="R4">
        <f>IF(R2&lt;=Effective!$B$7,1,0)</f>
        <v/>
      </c>
      <c r="S4">
        <f>IF(S2&lt;=Effective!$B$7,1,0)</f>
        <v/>
      </c>
      <c r="T4">
        <f>IF(T2&lt;=Effective!$B$7,1,0)</f>
        <v/>
      </c>
      <c r="U4">
        <f>IF(U2&lt;=Effective!$B$7,1,0)</f>
        <v/>
      </c>
      <c r="V4">
        <f>IF(V2&lt;=Effective!$B$7,1,0)</f>
        <v/>
      </c>
      <c r="W4">
        <f>IF(W2&lt;=Effective!$B$7,1,0)</f>
        <v/>
      </c>
      <c r="X4">
        <f>IF(X2&lt;=Effective!$B$7,1,0)</f>
        <v/>
      </c>
      <c r="Y4">
        <f>IF(Y2&lt;=Effective!$B$7,1,0)</f>
        <v/>
      </c>
      <c r="Z4">
        <f>IF(Z2&lt;=Effective!$B$7,1,0)</f>
        <v/>
      </c>
      <c r="AA4">
        <f>IF(AA2&lt;=Effective!$B$7,1,0)</f>
        <v/>
      </c>
      <c r="AB4">
        <f>IF(AB2&lt;=Effective!$B$7,1,0)</f>
        <v/>
      </c>
      <c r="AC4">
        <f>IF(AC2&lt;=Effective!$B$7,1,0)</f>
        <v/>
      </c>
      <c r="AD4">
        <f>IF(AD2&lt;=Effective!$B$7,1,0)</f>
        <v/>
      </c>
      <c r="AE4">
        <f>IF(AE2&lt;=Effective!$B$7,1,0)</f>
        <v/>
      </c>
      <c r="AF4">
        <f>IF(AF2&lt;=Effective!$B$7,1,0)</f>
        <v/>
      </c>
      <c r="AG4">
        <f>IF(AG2&lt;=Effective!$B$7,1,0)</f>
        <v/>
      </c>
      <c r="AH4">
        <f>IF(AH2&lt;=Effective!$B$7,1,0)</f>
        <v/>
      </c>
      <c r="AI4">
        <f>IF(AI2&lt;=Effective!$B$7,1,0)</f>
        <v/>
      </c>
      <c r="AJ4">
        <f>IF(AJ2&lt;=Effective!$B$7,1,0)</f>
        <v/>
      </c>
      <c r="AK4">
        <f>IF(AK2&lt;=Effective!$B$7,1,0)</f>
        <v/>
      </c>
      <c r="AL4">
        <f>IF(AL2&lt;=Effective!$B$7,1,0)</f>
        <v/>
      </c>
      <c r="AM4">
        <f>IF(AM2&lt;=Effective!$B$7,1,0)</f>
        <v/>
      </c>
      <c r="AN4">
        <f>IF(AN2&lt;=Effective!$B$7,1,0)</f>
        <v/>
      </c>
      <c r="AO4">
        <f>IF(AO2&lt;=Effective!$B$7,1,0)</f>
        <v/>
      </c>
      <c r="AP4">
        <f>IF(AP2&lt;=Effective!$B$7,1,0)</f>
        <v/>
      </c>
      <c r="AQ4">
        <f>IF(AQ2&lt;=Effective!$B$7,1,0)</f>
        <v/>
      </c>
      <c r="AR4">
        <f>IF(AR2&lt;=Effective!$B$7,1,0)</f>
        <v/>
      </c>
      <c r="AS4">
        <f>IF(AS2&lt;=Effective!$B$7,1,0)</f>
        <v/>
      </c>
      <c r="AT4">
        <f>IF(AT2&lt;=Effective!$B$7,1,0)</f>
        <v/>
      </c>
      <c r="AU4">
        <f>IF(AU2&lt;=Effective!$B$7,1,0)</f>
        <v/>
      </c>
      <c r="AV4">
        <f>IF(AV2&lt;=Effective!$B$7,1,0)</f>
        <v/>
      </c>
      <c r="AW4">
        <f>IF(AW2&lt;=Effective!$B$7,1,0)</f>
        <v/>
      </c>
      <c r="AX4">
        <f>IF(AX2&lt;=Effective!$B$7,1,0)</f>
        <v/>
      </c>
      <c r="AY4">
        <f>IF(AY2&lt;=Effective!$B$7,1,0)</f>
        <v/>
      </c>
      <c r="AZ4">
        <f>IF(AZ2&lt;=Effective!$B$7,1,0)</f>
        <v/>
      </c>
      <c r="BA4">
        <f>IF(BA2&lt;=Effective!$B$7,1,0)</f>
        <v/>
      </c>
      <c r="BB4">
        <f>IF(BB2&lt;=Effective!$B$7,1,0)</f>
        <v/>
      </c>
      <c r="BC4">
        <f>IF(BC2&lt;=Effective!$B$7,1,0)</f>
        <v/>
      </c>
      <c r="BD4">
        <f>IF(BD2&lt;=Effective!$B$7,1,0)</f>
        <v/>
      </c>
      <c r="BE4">
        <f>IF(BE2&lt;=Effective!$B$7,1,0)</f>
        <v/>
      </c>
      <c r="BF4">
        <f>IF(BF2&lt;=Effective!$B$7,1,0)</f>
        <v/>
      </c>
      <c r="BG4">
        <f>IF(BG2&lt;=Effective!$B$7,1,0)</f>
        <v/>
      </c>
      <c r="BH4">
        <f>IF(BH2&lt;=Effective!$B$7,1,0)</f>
        <v/>
      </c>
      <c r="BI4">
        <f>IF(BI2&lt;=Effective!$B$7,1,0)</f>
        <v/>
      </c>
      <c r="BJ4">
        <f>IF(BJ2&lt;=Effective!$B$7,1,0)</f>
        <v/>
      </c>
      <c r="BK4">
        <f>IF(BK2&lt;=Effective!$B$7,1,0)</f>
        <v/>
      </c>
      <c r="BL4">
        <f>IF(BL2&lt;=Effective!$B$7,1,0)</f>
        <v/>
      </c>
      <c r="BM4">
        <f>IF(BM2&lt;=Effective!$B$7,1,0)</f>
        <v/>
      </c>
      <c r="BN4">
        <f>IF(BN2&lt;=Effective!$B$7,1,0)</f>
        <v/>
      </c>
      <c r="BO4">
        <f>IF(BO2&lt;=Effective!$B$7,1,0)</f>
        <v/>
      </c>
      <c r="BP4">
        <f>IF(BP2&lt;=Effective!$B$7,1,0)</f>
        <v/>
      </c>
      <c r="BQ4">
        <f>IF(BQ2&lt;=Effective!$B$7,1,0)</f>
        <v/>
      </c>
      <c r="BR4">
        <f>IF(BR2&lt;=Effective!$B$7,1,0)</f>
        <v/>
      </c>
      <c r="BS4">
        <f>IF(BS2&lt;=Effective!$B$7,1,0)</f>
        <v/>
      </c>
      <c r="BT4">
        <f>IF(BT2&lt;=Effective!$B$7,1,0)</f>
        <v/>
      </c>
      <c r="BU4">
        <f>IF(BU2&lt;=Effective!$B$7,1,0)</f>
        <v/>
      </c>
      <c r="BV4">
        <f>IF(BV2&lt;=Effective!$B$7,1,0)</f>
        <v/>
      </c>
      <c r="BW4">
        <f>IF(BW2&lt;=Effective!$B$7,1,0)</f>
        <v/>
      </c>
      <c r="BX4">
        <f>IF(BX2&lt;=Effective!$B$7,1,0)</f>
        <v/>
      </c>
      <c r="BY4">
        <f>IF(BY2&lt;=Effective!$B$7,1,0)</f>
        <v/>
      </c>
      <c r="BZ4">
        <f>IF(BZ2&lt;=Effective!$B$7,1,0)</f>
        <v/>
      </c>
      <c r="CA4">
        <f>IF(CA2&lt;=Effective!$B$7,1,0)</f>
        <v/>
      </c>
      <c r="CB4">
        <f>IF(CB2&lt;=Effective!$B$7,1,0)</f>
        <v/>
      </c>
      <c r="CC4">
        <f>IF(CC2&lt;=Effective!$B$7,1,0)</f>
        <v/>
      </c>
      <c r="CD4">
        <f>IF(CD2&lt;=Effective!$B$7,1,0)</f>
        <v/>
      </c>
      <c r="CE4">
        <f>IF(CE2&lt;=Effective!$B$7,1,0)</f>
        <v/>
      </c>
      <c r="CF4">
        <f>IF(CF2&lt;=Effective!$B$7,1,0)</f>
        <v/>
      </c>
      <c r="CG4">
        <f>IF(CG2&lt;=Effective!$B$7,1,0)</f>
        <v/>
      </c>
      <c r="CH4">
        <f>IF(CH2&lt;=Effective!$B$7,1,0)</f>
        <v/>
      </c>
      <c r="CI4">
        <f>IF(CI2&lt;=Effective!$B$7,1,0)</f>
        <v/>
      </c>
      <c r="CJ4">
        <f>IF(CJ2&lt;=Effective!$B$7,1,0)</f>
        <v/>
      </c>
      <c r="CK4">
        <f>IF(CK2&lt;=Effective!$B$7,1,0)</f>
        <v/>
      </c>
      <c r="CL4">
        <f>IF(CL2&lt;=Effective!$B$7,1,0)</f>
        <v/>
      </c>
      <c r="CM4">
        <f>IF(CM2&lt;=Effective!$B$7,1,0)</f>
        <v/>
      </c>
      <c r="CN4">
        <f>IF(CN2&lt;=Effective!$B$7,1,0)</f>
        <v/>
      </c>
      <c r="CO4">
        <f>IF(CO2&lt;=Effective!$B$7,1,0)</f>
        <v/>
      </c>
      <c r="CP4">
        <f>IF(CP2&lt;=Effective!$B$7,1,0)</f>
        <v/>
      </c>
      <c r="CQ4">
        <f>IF(CQ2&lt;=Effective!$B$7,1,0)</f>
        <v/>
      </c>
      <c r="CR4">
        <f>IF(CR2&lt;=Effective!$B$7,1,0)</f>
        <v/>
      </c>
      <c r="CS4">
        <f>IF(CS2&lt;=Effective!$B$7,1,0)</f>
        <v/>
      </c>
      <c r="CT4">
        <f>IF(CT2&lt;=Effective!$B$7,1,0)</f>
        <v/>
      </c>
      <c r="CU4">
        <f>IF(CU2&lt;=Effective!$B$7,1,0)</f>
        <v/>
      </c>
      <c r="CV4">
        <f>IF(CV2&lt;=Effective!$B$7,1,0)</f>
        <v/>
      </c>
      <c r="CW4">
        <f>IF(CW2&lt;=Effective!$B$7,1,0)</f>
        <v/>
      </c>
      <c r="CX4">
        <f>IF(CX2&lt;=Effective!$B$7,1,0)</f>
        <v/>
      </c>
      <c r="CY4">
        <f>IF(CY2&lt;=Effective!$B$7,1,0)</f>
        <v/>
      </c>
      <c r="CZ4">
        <f>IF(CZ2&lt;=Effective!$B$7,1,0)</f>
        <v/>
      </c>
      <c r="DA4">
        <f>IF(DA2&lt;=Effective!$B$7,1,0)</f>
        <v/>
      </c>
      <c r="DB4">
        <f>IF(DB2&lt;=Effective!$B$7,1,0)</f>
        <v/>
      </c>
      <c r="DC4">
        <f>IF(DC2&lt;=Effective!$B$7,1,0)</f>
        <v/>
      </c>
      <c r="DD4">
        <f>IF(DD2&lt;=Effective!$B$7,1,0)</f>
        <v/>
      </c>
      <c r="DE4">
        <f>IF(DE2&lt;=Effective!$B$7,1,0)</f>
        <v/>
      </c>
      <c r="DF4">
        <f>IF(DF2&lt;=Effective!$B$7,1,0)</f>
        <v/>
      </c>
      <c r="DG4">
        <f>IF(DG2&lt;=Effective!$B$7,1,0)</f>
        <v/>
      </c>
      <c r="DH4">
        <f>IF(DH2&lt;=Effective!$B$7,1,0)</f>
        <v/>
      </c>
      <c r="DI4">
        <f>IF(DI2&lt;=Effective!$B$7,1,0)</f>
        <v/>
      </c>
      <c r="DJ4">
        <f>IF(DJ2&lt;=Effective!$B$7,1,0)</f>
        <v/>
      </c>
      <c r="DK4">
        <f>IF(DK2&lt;=Effective!$B$7,1,0)</f>
        <v/>
      </c>
      <c r="DL4">
        <f>IF(DL2&lt;=Effective!$B$7,1,0)</f>
        <v/>
      </c>
      <c r="DM4">
        <f>IF(DM2&lt;=Effective!$B$7,1,0)</f>
        <v/>
      </c>
      <c r="DN4">
        <f>IF(DN2&lt;=Effective!$B$7,1,0)</f>
        <v/>
      </c>
      <c r="DO4">
        <f>IF(DO2&lt;=Effective!$B$7,1,0)</f>
        <v/>
      </c>
      <c r="DP4">
        <f>IF(DP2&lt;=Effective!$B$7,1,0)</f>
        <v/>
      </c>
      <c r="DQ4">
        <f>IF(DQ2&lt;=Effective!$B$7,1,0)</f>
        <v/>
      </c>
      <c r="DR4">
        <f>IF(DR2&lt;=Effective!$B$7,1,0)</f>
        <v/>
      </c>
    </row>
    <row r="5">
      <c r="A5" t="inlineStr">
        <is>
          <t>calendar_month</t>
        </is>
      </c>
      <c r="C5">
        <f>MONTH(C3)</f>
        <v/>
      </c>
      <c r="D5">
        <f>MONTH(D3)</f>
        <v/>
      </c>
      <c r="E5">
        <f>MONTH(E3)</f>
        <v/>
      </c>
      <c r="F5">
        <f>MONTH(F3)</f>
        <v/>
      </c>
      <c r="G5">
        <f>MONTH(G3)</f>
        <v/>
      </c>
      <c r="H5">
        <f>MONTH(H3)</f>
        <v/>
      </c>
      <c r="I5">
        <f>MONTH(I3)</f>
        <v/>
      </c>
      <c r="J5">
        <f>MONTH(J3)</f>
        <v/>
      </c>
      <c r="K5">
        <f>MONTH(K3)</f>
        <v/>
      </c>
      <c r="L5">
        <f>MONTH(L3)</f>
        <v/>
      </c>
      <c r="M5">
        <f>MONTH(M3)</f>
        <v/>
      </c>
      <c r="N5">
        <f>MONTH(N3)</f>
        <v/>
      </c>
      <c r="O5">
        <f>MONTH(O3)</f>
        <v/>
      </c>
      <c r="P5">
        <f>MONTH(P3)</f>
        <v/>
      </c>
      <c r="Q5">
        <f>MONTH(Q3)</f>
        <v/>
      </c>
      <c r="R5">
        <f>MONTH(R3)</f>
        <v/>
      </c>
      <c r="S5">
        <f>MONTH(S3)</f>
        <v/>
      </c>
      <c r="T5">
        <f>MONTH(T3)</f>
        <v/>
      </c>
      <c r="U5">
        <f>MONTH(U3)</f>
        <v/>
      </c>
      <c r="V5">
        <f>MONTH(V3)</f>
        <v/>
      </c>
      <c r="W5">
        <f>MONTH(W3)</f>
        <v/>
      </c>
      <c r="X5">
        <f>MONTH(X3)</f>
        <v/>
      </c>
      <c r="Y5">
        <f>MONTH(Y3)</f>
        <v/>
      </c>
      <c r="Z5">
        <f>MONTH(Z3)</f>
        <v/>
      </c>
      <c r="AA5">
        <f>MONTH(AA3)</f>
        <v/>
      </c>
      <c r="AB5">
        <f>MONTH(AB3)</f>
        <v/>
      </c>
      <c r="AC5">
        <f>MONTH(AC3)</f>
        <v/>
      </c>
      <c r="AD5">
        <f>MONTH(AD3)</f>
        <v/>
      </c>
      <c r="AE5">
        <f>MONTH(AE3)</f>
        <v/>
      </c>
      <c r="AF5">
        <f>MONTH(AF3)</f>
        <v/>
      </c>
      <c r="AG5">
        <f>MONTH(AG3)</f>
        <v/>
      </c>
      <c r="AH5">
        <f>MONTH(AH3)</f>
        <v/>
      </c>
      <c r="AI5">
        <f>MONTH(AI3)</f>
        <v/>
      </c>
      <c r="AJ5">
        <f>MONTH(AJ3)</f>
        <v/>
      </c>
      <c r="AK5">
        <f>MONTH(AK3)</f>
        <v/>
      </c>
      <c r="AL5">
        <f>MONTH(AL3)</f>
        <v/>
      </c>
      <c r="AM5">
        <f>MONTH(AM3)</f>
        <v/>
      </c>
      <c r="AN5">
        <f>MONTH(AN3)</f>
        <v/>
      </c>
      <c r="AO5">
        <f>MONTH(AO3)</f>
        <v/>
      </c>
      <c r="AP5">
        <f>MONTH(AP3)</f>
        <v/>
      </c>
      <c r="AQ5">
        <f>MONTH(AQ3)</f>
        <v/>
      </c>
      <c r="AR5">
        <f>MONTH(AR3)</f>
        <v/>
      </c>
      <c r="AS5">
        <f>MONTH(AS3)</f>
        <v/>
      </c>
      <c r="AT5">
        <f>MONTH(AT3)</f>
        <v/>
      </c>
      <c r="AU5">
        <f>MONTH(AU3)</f>
        <v/>
      </c>
      <c r="AV5">
        <f>MONTH(AV3)</f>
        <v/>
      </c>
      <c r="AW5">
        <f>MONTH(AW3)</f>
        <v/>
      </c>
      <c r="AX5">
        <f>MONTH(AX3)</f>
        <v/>
      </c>
      <c r="AY5">
        <f>MONTH(AY3)</f>
        <v/>
      </c>
      <c r="AZ5">
        <f>MONTH(AZ3)</f>
        <v/>
      </c>
      <c r="BA5">
        <f>MONTH(BA3)</f>
        <v/>
      </c>
      <c r="BB5">
        <f>MONTH(BB3)</f>
        <v/>
      </c>
      <c r="BC5">
        <f>MONTH(BC3)</f>
        <v/>
      </c>
      <c r="BD5">
        <f>MONTH(BD3)</f>
        <v/>
      </c>
      <c r="BE5">
        <f>MONTH(BE3)</f>
        <v/>
      </c>
      <c r="BF5">
        <f>MONTH(BF3)</f>
        <v/>
      </c>
      <c r="BG5">
        <f>MONTH(BG3)</f>
        <v/>
      </c>
      <c r="BH5">
        <f>MONTH(BH3)</f>
        <v/>
      </c>
      <c r="BI5">
        <f>MONTH(BI3)</f>
        <v/>
      </c>
      <c r="BJ5">
        <f>MONTH(BJ3)</f>
        <v/>
      </c>
      <c r="BK5">
        <f>MONTH(BK3)</f>
        <v/>
      </c>
      <c r="BL5">
        <f>MONTH(BL3)</f>
        <v/>
      </c>
      <c r="BM5">
        <f>MONTH(BM3)</f>
        <v/>
      </c>
      <c r="BN5">
        <f>MONTH(BN3)</f>
        <v/>
      </c>
      <c r="BO5">
        <f>MONTH(BO3)</f>
        <v/>
      </c>
      <c r="BP5">
        <f>MONTH(BP3)</f>
        <v/>
      </c>
      <c r="BQ5">
        <f>MONTH(BQ3)</f>
        <v/>
      </c>
      <c r="BR5">
        <f>MONTH(BR3)</f>
        <v/>
      </c>
      <c r="BS5">
        <f>MONTH(BS3)</f>
        <v/>
      </c>
      <c r="BT5">
        <f>MONTH(BT3)</f>
        <v/>
      </c>
      <c r="BU5">
        <f>MONTH(BU3)</f>
        <v/>
      </c>
      <c r="BV5">
        <f>MONTH(BV3)</f>
        <v/>
      </c>
      <c r="BW5">
        <f>MONTH(BW3)</f>
        <v/>
      </c>
      <c r="BX5">
        <f>MONTH(BX3)</f>
        <v/>
      </c>
      <c r="BY5">
        <f>MONTH(BY3)</f>
        <v/>
      </c>
      <c r="BZ5">
        <f>MONTH(BZ3)</f>
        <v/>
      </c>
      <c r="CA5">
        <f>MONTH(CA3)</f>
        <v/>
      </c>
      <c r="CB5">
        <f>MONTH(CB3)</f>
        <v/>
      </c>
      <c r="CC5">
        <f>MONTH(CC3)</f>
        <v/>
      </c>
      <c r="CD5">
        <f>MONTH(CD3)</f>
        <v/>
      </c>
      <c r="CE5">
        <f>MONTH(CE3)</f>
        <v/>
      </c>
      <c r="CF5">
        <f>MONTH(CF3)</f>
        <v/>
      </c>
      <c r="CG5">
        <f>MONTH(CG3)</f>
        <v/>
      </c>
      <c r="CH5">
        <f>MONTH(CH3)</f>
        <v/>
      </c>
      <c r="CI5">
        <f>MONTH(CI3)</f>
        <v/>
      </c>
      <c r="CJ5">
        <f>MONTH(CJ3)</f>
        <v/>
      </c>
      <c r="CK5">
        <f>MONTH(CK3)</f>
        <v/>
      </c>
      <c r="CL5">
        <f>MONTH(CL3)</f>
        <v/>
      </c>
      <c r="CM5">
        <f>MONTH(CM3)</f>
        <v/>
      </c>
      <c r="CN5">
        <f>MONTH(CN3)</f>
        <v/>
      </c>
      <c r="CO5">
        <f>MONTH(CO3)</f>
        <v/>
      </c>
      <c r="CP5">
        <f>MONTH(CP3)</f>
        <v/>
      </c>
      <c r="CQ5">
        <f>MONTH(CQ3)</f>
        <v/>
      </c>
      <c r="CR5">
        <f>MONTH(CR3)</f>
        <v/>
      </c>
      <c r="CS5">
        <f>MONTH(CS3)</f>
        <v/>
      </c>
      <c r="CT5">
        <f>MONTH(CT3)</f>
        <v/>
      </c>
      <c r="CU5">
        <f>MONTH(CU3)</f>
        <v/>
      </c>
      <c r="CV5">
        <f>MONTH(CV3)</f>
        <v/>
      </c>
      <c r="CW5">
        <f>MONTH(CW3)</f>
        <v/>
      </c>
      <c r="CX5">
        <f>MONTH(CX3)</f>
        <v/>
      </c>
      <c r="CY5">
        <f>MONTH(CY3)</f>
        <v/>
      </c>
      <c r="CZ5">
        <f>MONTH(CZ3)</f>
        <v/>
      </c>
      <c r="DA5">
        <f>MONTH(DA3)</f>
        <v/>
      </c>
      <c r="DB5">
        <f>MONTH(DB3)</f>
        <v/>
      </c>
      <c r="DC5">
        <f>MONTH(DC3)</f>
        <v/>
      </c>
      <c r="DD5">
        <f>MONTH(DD3)</f>
        <v/>
      </c>
      <c r="DE5">
        <f>MONTH(DE3)</f>
        <v/>
      </c>
      <c r="DF5">
        <f>MONTH(DF3)</f>
        <v/>
      </c>
      <c r="DG5">
        <f>MONTH(DG3)</f>
        <v/>
      </c>
      <c r="DH5">
        <f>MONTH(DH3)</f>
        <v/>
      </c>
      <c r="DI5">
        <f>MONTH(DI3)</f>
        <v/>
      </c>
      <c r="DJ5">
        <f>MONTH(DJ3)</f>
        <v/>
      </c>
      <c r="DK5">
        <f>MONTH(DK3)</f>
        <v/>
      </c>
      <c r="DL5">
        <f>MONTH(DL3)</f>
        <v/>
      </c>
      <c r="DM5">
        <f>MONTH(DM3)</f>
        <v/>
      </c>
      <c r="DN5">
        <f>MONTH(DN3)</f>
        <v/>
      </c>
      <c r="DO5">
        <f>MONTH(DO3)</f>
        <v/>
      </c>
      <c r="DP5">
        <f>MONTH(DP3)</f>
        <v/>
      </c>
      <c r="DQ5">
        <f>MONTH(DQ3)</f>
        <v/>
      </c>
      <c r="DR5">
        <f>MONTH(DR3)</f>
        <v/>
      </c>
    </row>
    <row r="6">
      <c r="A6" t="inlineStr">
        <is>
          <t>year_offset</t>
        </is>
      </c>
      <c r="B6" t="inlineStr">
        <is>
          <t>growth exponent</t>
        </is>
      </c>
      <c r="C6">
        <f>INT((C2-1)/12)</f>
        <v/>
      </c>
      <c r="D6">
        <f>INT((D2-1)/12)</f>
        <v/>
      </c>
      <c r="E6">
        <f>INT((E2-1)/12)</f>
        <v/>
      </c>
      <c r="F6">
        <f>INT((F2-1)/12)</f>
        <v/>
      </c>
      <c r="G6">
        <f>INT((G2-1)/12)</f>
        <v/>
      </c>
      <c r="H6">
        <f>INT((H2-1)/12)</f>
        <v/>
      </c>
      <c r="I6">
        <f>INT((I2-1)/12)</f>
        <v/>
      </c>
      <c r="J6">
        <f>INT((J2-1)/12)</f>
        <v/>
      </c>
      <c r="K6">
        <f>INT((K2-1)/12)</f>
        <v/>
      </c>
      <c r="L6">
        <f>INT((L2-1)/12)</f>
        <v/>
      </c>
      <c r="M6">
        <f>INT((M2-1)/12)</f>
        <v/>
      </c>
      <c r="N6">
        <f>INT((N2-1)/12)</f>
        <v/>
      </c>
      <c r="O6">
        <f>INT((O2-1)/12)</f>
        <v/>
      </c>
      <c r="P6">
        <f>INT((P2-1)/12)</f>
        <v/>
      </c>
      <c r="Q6">
        <f>INT((Q2-1)/12)</f>
        <v/>
      </c>
      <c r="R6">
        <f>INT((R2-1)/12)</f>
        <v/>
      </c>
      <c r="S6">
        <f>INT((S2-1)/12)</f>
        <v/>
      </c>
      <c r="T6">
        <f>INT((T2-1)/12)</f>
        <v/>
      </c>
      <c r="U6">
        <f>INT((U2-1)/12)</f>
        <v/>
      </c>
      <c r="V6">
        <f>INT((V2-1)/12)</f>
        <v/>
      </c>
      <c r="W6">
        <f>INT((W2-1)/12)</f>
        <v/>
      </c>
      <c r="X6">
        <f>INT((X2-1)/12)</f>
        <v/>
      </c>
      <c r="Y6">
        <f>INT((Y2-1)/12)</f>
        <v/>
      </c>
      <c r="Z6">
        <f>INT((Z2-1)/12)</f>
        <v/>
      </c>
      <c r="AA6">
        <f>INT((AA2-1)/12)</f>
        <v/>
      </c>
      <c r="AB6">
        <f>INT((AB2-1)/12)</f>
        <v/>
      </c>
      <c r="AC6">
        <f>INT((AC2-1)/12)</f>
        <v/>
      </c>
      <c r="AD6">
        <f>INT((AD2-1)/12)</f>
        <v/>
      </c>
      <c r="AE6">
        <f>INT((AE2-1)/12)</f>
        <v/>
      </c>
      <c r="AF6">
        <f>INT((AF2-1)/12)</f>
        <v/>
      </c>
      <c r="AG6">
        <f>INT((AG2-1)/12)</f>
        <v/>
      </c>
      <c r="AH6">
        <f>INT((AH2-1)/12)</f>
        <v/>
      </c>
      <c r="AI6">
        <f>INT((AI2-1)/12)</f>
        <v/>
      </c>
      <c r="AJ6">
        <f>INT((AJ2-1)/12)</f>
        <v/>
      </c>
      <c r="AK6">
        <f>INT((AK2-1)/12)</f>
        <v/>
      </c>
      <c r="AL6">
        <f>INT((AL2-1)/12)</f>
        <v/>
      </c>
      <c r="AM6">
        <f>INT((AM2-1)/12)</f>
        <v/>
      </c>
      <c r="AN6">
        <f>INT((AN2-1)/12)</f>
        <v/>
      </c>
      <c r="AO6">
        <f>INT((AO2-1)/12)</f>
        <v/>
      </c>
      <c r="AP6">
        <f>INT((AP2-1)/12)</f>
        <v/>
      </c>
      <c r="AQ6">
        <f>INT((AQ2-1)/12)</f>
        <v/>
      </c>
      <c r="AR6">
        <f>INT((AR2-1)/12)</f>
        <v/>
      </c>
      <c r="AS6">
        <f>INT((AS2-1)/12)</f>
        <v/>
      </c>
      <c r="AT6">
        <f>INT((AT2-1)/12)</f>
        <v/>
      </c>
      <c r="AU6">
        <f>INT((AU2-1)/12)</f>
        <v/>
      </c>
      <c r="AV6">
        <f>INT((AV2-1)/12)</f>
        <v/>
      </c>
      <c r="AW6">
        <f>INT((AW2-1)/12)</f>
        <v/>
      </c>
      <c r="AX6">
        <f>INT((AX2-1)/12)</f>
        <v/>
      </c>
      <c r="AY6">
        <f>INT((AY2-1)/12)</f>
        <v/>
      </c>
      <c r="AZ6">
        <f>INT((AZ2-1)/12)</f>
        <v/>
      </c>
      <c r="BA6">
        <f>INT((BA2-1)/12)</f>
        <v/>
      </c>
      <c r="BB6">
        <f>INT((BB2-1)/12)</f>
        <v/>
      </c>
      <c r="BC6">
        <f>INT((BC2-1)/12)</f>
        <v/>
      </c>
      <c r="BD6">
        <f>INT((BD2-1)/12)</f>
        <v/>
      </c>
      <c r="BE6">
        <f>INT((BE2-1)/12)</f>
        <v/>
      </c>
      <c r="BF6">
        <f>INT((BF2-1)/12)</f>
        <v/>
      </c>
      <c r="BG6">
        <f>INT((BG2-1)/12)</f>
        <v/>
      </c>
      <c r="BH6">
        <f>INT((BH2-1)/12)</f>
        <v/>
      </c>
      <c r="BI6">
        <f>INT((BI2-1)/12)</f>
        <v/>
      </c>
      <c r="BJ6">
        <f>INT((BJ2-1)/12)</f>
        <v/>
      </c>
      <c r="BK6">
        <f>INT((BK2-1)/12)</f>
        <v/>
      </c>
      <c r="BL6">
        <f>INT((BL2-1)/12)</f>
        <v/>
      </c>
      <c r="BM6">
        <f>INT((BM2-1)/12)</f>
        <v/>
      </c>
      <c r="BN6">
        <f>INT((BN2-1)/12)</f>
        <v/>
      </c>
      <c r="BO6">
        <f>INT((BO2-1)/12)</f>
        <v/>
      </c>
      <c r="BP6">
        <f>INT((BP2-1)/12)</f>
        <v/>
      </c>
      <c r="BQ6">
        <f>INT((BQ2-1)/12)</f>
        <v/>
      </c>
      <c r="BR6">
        <f>INT((BR2-1)/12)</f>
        <v/>
      </c>
      <c r="BS6">
        <f>INT((BS2-1)/12)</f>
        <v/>
      </c>
      <c r="BT6">
        <f>INT((BT2-1)/12)</f>
        <v/>
      </c>
      <c r="BU6">
        <f>INT((BU2-1)/12)</f>
        <v/>
      </c>
      <c r="BV6">
        <f>INT((BV2-1)/12)</f>
        <v/>
      </c>
      <c r="BW6">
        <f>INT((BW2-1)/12)</f>
        <v/>
      </c>
      <c r="BX6">
        <f>INT((BX2-1)/12)</f>
        <v/>
      </c>
      <c r="BY6">
        <f>INT((BY2-1)/12)</f>
        <v/>
      </c>
      <c r="BZ6">
        <f>INT((BZ2-1)/12)</f>
        <v/>
      </c>
      <c r="CA6">
        <f>INT((CA2-1)/12)</f>
        <v/>
      </c>
      <c r="CB6">
        <f>INT((CB2-1)/12)</f>
        <v/>
      </c>
      <c r="CC6">
        <f>INT((CC2-1)/12)</f>
        <v/>
      </c>
      <c r="CD6">
        <f>INT((CD2-1)/12)</f>
        <v/>
      </c>
      <c r="CE6">
        <f>INT((CE2-1)/12)</f>
        <v/>
      </c>
      <c r="CF6">
        <f>INT((CF2-1)/12)</f>
        <v/>
      </c>
      <c r="CG6">
        <f>INT((CG2-1)/12)</f>
        <v/>
      </c>
      <c r="CH6">
        <f>INT((CH2-1)/12)</f>
        <v/>
      </c>
      <c r="CI6">
        <f>INT((CI2-1)/12)</f>
        <v/>
      </c>
      <c r="CJ6">
        <f>INT((CJ2-1)/12)</f>
        <v/>
      </c>
      <c r="CK6">
        <f>INT((CK2-1)/12)</f>
        <v/>
      </c>
      <c r="CL6">
        <f>INT((CL2-1)/12)</f>
        <v/>
      </c>
      <c r="CM6">
        <f>INT((CM2-1)/12)</f>
        <v/>
      </c>
      <c r="CN6">
        <f>INT((CN2-1)/12)</f>
        <v/>
      </c>
      <c r="CO6">
        <f>INT((CO2-1)/12)</f>
        <v/>
      </c>
      <c r="CP6">
        <f>INT((CP2-1)/12)</f>
        <v/>
      </c>
      <c r="CQ6">
        <f>INT((CQ2-1)/12)</f>
        <v/>
      </c>
      <c r="CR6">
        <f>INT((CR2-1)/12)</f>
        <v/>
      </c>
      <c r="CS6">
        <f>INT((CS2-1)/12)</f>
        <v/>
      </c>
      <c r="CT6">
        <f>INT((CT2-1)/12)</f>
        <v/>
      </c>
      <c r="CU6">
        <f>INT((CU2-1)/12)</f>
        <v/>
      </c>
      <c r="CV6">
        <f>INT((CV2-1)/12)</f>
        <v/>
      </c>
      <c r="CW6">
        <f>INT((CW2-1)/12)</f>
        <v/>
      </c>
      <c r="CX6">
        <f>INT((CX2-1)/12)</f>
        <v/>
      </c>
      <c r="CY6">
        <f>INT((CY2-1)/12)</f>
        <v/>
      </c>
      <c r="CZ6">
        <f>INT((CZ2-1)/12)</f>
        <v/>
      </c>
      <c r="DA6">
        <f>INT((DA2-1)/12)</f>
        <v/>
      </c>
      <c r="DB6">
        <f>INT((DB2-1)/12)</f>
        <v/>
      </c>
      <c r="DC6">
        <f>INT((DC2-1)/12)</f>
        <v/>
      </c>
      <c r="DD6">
        <f>INT((DD2-1)/12)</f>
        <v/>
      </c>
      <c r="DE6">
        <f>INT((DE2-1)/12)</f>
        <v/>
      </c>
      <c r="DF6">
        <f>INT((DF2-1)/12)</f>
        <v/>
      </c>
      <c r="DG6">
        <f>INT((DG2-1)/12)</f>
        <v/>
      </c>
      <c r="DH6">
        <f>INT((DH2-1)/12)</f>
        <v/>
      </c>
      <c r="DI6">
        <f>INT((DI2-1)/12)</f>
        <v/>
      </c>
      <c r="DJ6">
        <f>INT((DJ2-1)/12)</f>
        <v/>
      </c>
      <c r="DK6">
        <f>INT((DK2-1)/12)</f>
        <v/>
      </c>
      <c r="DL6">
        <f>INT((DL2-1)/12)</f>
        <v/>
      </c>
      <c r="DM6">
        <f>INT((DM2-1)/12)</f>
        <v/>
      </c>
      <c r="DN6">
        <f>INT((DN2-1)/12)</f>
        <v/>
      </c>
      <c r="DO6">
        <f>INT((DO2-1)/12)</f>
        <v/>
      </c>
      <c r="DP6">
        <f>INT((DP2-1)/12)</f>
        <v/>
      </c>
      <c r="DQ6">
        <f>INT((DQ2-1)/12)</f>
        <v/>
      </c>
      <c r="DR6">
        <f>INT((DR2-1)/12)</f>
        <v/>
      </c>
    </row>
    <row r="7">
      <c r="A7" t="inlineStr">
        <is>
          <t>indian_fiscal_year</t>
        </is>
      </c>
      <c r="B7" t="inlineStr">
        <is>
          <t>Apr-Mar</t>
        </is>
      </c>
      <c r="C7">
        <f>IF(C5&gt;=4,"FY"&amp;YEAR(C3)&amp;"-"&amp;RIGHT(YEAR(C3)+1,2),"FY"&amp;(YEAR(C3)-1)&amp;"-"&amp;RIGHT(YEAR(C3),2))</f>
        <v/>
      </c>
      <c r="D7">
        <f>IF(D5&gt;=4,"FY"&amp;YEAR(D3)&amp;"-"&amp;RIGHT(YEAR(D3)+1,2),"FY"&amp;(YEAR(D3)-1)&amp;"-"&amp;RIGHT(YEAR(D3),2))</f>
        <v/>
      </c>
      <c r="E7">
        <f>IF(E5&gt;=4,"FY"&amp;YEAR(E3)&amp;"-"&amp;RIGHT(YEAR(E3)+1,2),"FY"&amp;(YEAR(E3)-1)&amp;"-"&amp;RIGHT(YEAR(E3),2))</f>
        <v/>
      </c>
      <c r="F7">
        <f>IF(F5&gt;=4,"FY"&amp;YEAR(F3)&amp;"-"&amp;RIGHT(YEAR(F3)+1,2),"FY"&amp;(YEAR(F3)-1)&amp;"-"&amp;RIGHT(YEAR(F3),2))</f>
        <v/>
      </c>
      <c r="G7">
        <f>IF(G5&gt;=4,"FY"&amp;YEAR(G3)&amp;"-"&amp;RIGHT(YEAR(G3)+1,2),"FY"&amp;(YEAR(G3)-1)&amp;"-"&amp;RIGHT(YEAR(G3),2))</f>
        <v/>
      </c>
      <c r="H7">
        <f>IF(H5&gt;=4,"FY"&amp;YEAR(H3)&amp;"-"&amp;RIGHT(YEAR(H3)+1,2),"FY"&amp;(YEAR(H3)-1)&amp;"-"&amp;RIGHT(YEAR(H3),2))</f>
        <v/>
      </c>
      <c r="I7">
        <f>IF(I5&gt;=4,"FY"&amp;YEAR(I3)&amp;"-"&amp;RIGHT(YEAR(I3)+1,2),"FY"&amp;(YEAR(I3)-1)&amp;"-"&amp;RIGHT(YEAR(I3),2))</f>
        <v/>
      </c>
      <c r="J7">
        <f>IF(J5&gt;=4,"FY"&amp;YEAR(J3)&amp;"-"&amp;RIGHT(YEAR(J3)+1,2),"FY"&amp;(YEAR(J3)-1)&amp;"-"&amp;RIGHT(YEAR(J3),2))</f>
        <v/>
      </c>
      <c r="K7">
        <f>IF(K5&gt;=4,"FY"&amp;YEAR(K3)&amp;"-"&amp;RIGHT(YEAR(K3)+1,2),"FY"&amp;(YEAR(K3)-1)&amp;"-"&amp;RIGHT(YEAR(K3),2))</f>
        <v/>
      </c>
      <c r="L7">
        <f>IF(L5&gt;=4,"FY"&amp;YEAR(L3)&amp;"-"&amp;RIGHT(YEAR(L3)+1,2),"FY"&amp;(YEAR(L3)-1)&amp;"-"&amp;RIGHT(YEAR(L3),2))</f>
        <v/>
      </c>
      <c r="M7">
        <f>IF(M5&gt;=4,"FY"&amp;YEAR(M3)&amp;"-"&amp;RIGHT(YEAR(M3)+1,2),"FY"&amp;(YEAR(M3)-1)&amp;"-"&amp;RIGHT(YEAR(M3),2))</f>
        <v/>
      </c>
      <c r="N7">
        <f>IF(N5&gt;=4,"FY"&amp;YEAR(N3)&amp;"-"&amp;RIGHT(YEAR(N3)+1,2),"FY"&amp;(YEAR(N3)-1)&amp;"-"&amp;RIGHT(YEAR(N3),2))</f>
        <v/>
      </c>
      <c r="O7">
        <f>IF(O5&gt;=4,"FY"&amp;YEAR(O3)&amp;"-"&amp;RIGHT(YEAR(O3)+1,2),"FY"&amp;(YEAR(O3)-1)&amp;"-"&amp;RIGHT(YEAR(O3),2))</f>
        <v/>
      </c>
      <c r="P7">
        <f>IF(P5&gt;=4,"FY"&amp;YEAR(P3)&amp;"-"&amp;RIGHT(YEAR(P3)+1,2),"FY"&amp;(YEAR(P3)-1)&amp;"-"&amp;RIGHT(YEAR(P3),2))</f>
        <v/>
      </c>
      <c r="Q7">
        <f>IF(Q5&gt;=4,"FY"&amp;YEAR(Q3)&amp;"-"&amp;RIGHT(YEAR(Q3)+1,2),"FY"&amp;(YEAR(Q3)-1)&amp;"-"&amp;RIGHT(YEAR(Q3),2))</f>
        <v/>
      </c>
      <c r="R7">
        <f>IF(R5&gt;=4,"FY"&amp;YEAR(R3)&amp;"-"&amp;RIGHT(YEAR(R3)+1,2),"FY"&amp;(YEAR(R3)-1)&amp;"-"&amp;RIGHT(YEAR(R3),2))</f>
        <v/>
      </c>
      <c r="S7">
        <f>IF(S5&gt;=4,"FY"&amp;YEAR(S3)&amp;"-"&amp;RIGHT(YEAR(S3)+1,2),"FY"&amp;(YEAR(S3)-1)&amp;"-"&amp;RIGHT(YEAR(S3),2))</f>
        <v/>
      </c>
      <c r="T7">
        <f>IF(T5&gt;=4,"FY"&amp;YEAR(T3)&amp;"-"&amp;RIGHT(YEAR(T3)+1,2),"FY"&amp;(YEAR(T3)-1)&amp;"-"&amp;RIGHT(YEAR(T3),2))</f>
        <v/>
      </c>
      <c r="U7">
        <f>IF(U5&gt;=4,"FY"&amp;YEAR(U3)&amp;"-"&amp;RIGHT(YEAR(U3)+1,2),"FY"&amp;(YEAR(U3)-1)&amp;"-"&amp;RIGHT(YEAR(U3),2))</f>
        <v/>
      </c>
      <c r="V7">
        <f>IF(V5&gt;=4,"FY"&amp;YEAR(V3)&amp;"-"&amp;RIGHT(YEAR(V3)+1,2),"FY"&amp;(YEAR(V3)-1)&amp;"-"&amp;RIGHT(YEAR(V3),2))</f>
        <v/>
      </c>
      <c r="W7">
        <f>IF(W5&gt;=4,"FY"&amp;YEAR(W3)&amp;"-"&amp;RIGHT(YEAR(W3)+1,2),"FY"&amp;(YEAR(W3)-1)&amp;"-"&amp;RIGHT(YEAR(W3),2))</f>
        <v/>
      </c>
      <c r="X7">
        <f>IF(X5&gt;=4,"FY"&amp;YEAR(X3)&amp;"-"&amp;RIGHT(YEAR(X3)+1,2),"FY"&amp;(YEAR(X3)-1)&amp;"-"&amp;RIGHT(YEAR(X3),2))</f>
        <v/>
      </c>
      <c r="Y7">
        <f>IF(Y5&gt;=4,"FY"&amp;YEAR(Y3)&amp;"-"&amp;RIGHT(YEAR(Y3)+1,2),"FY"&amp;(YEAR(Y3)-1)&amp;"-"&amp;RIGHT(YEAR(Y3),2))</f>
        <v/>
      </c>
      <c r="Z7">
        <f>IF(Z5&gt;=4,"FY"&amp;YEAR(Z3)&amp;"-"&amp;RIGHT(YEAR(Z3)+1,2),"FY"&amp;(YEAR(Z3)-1)&amp;"-"&amp;RIGHT(YEAR(Z3),2))</f>
        <v/>
      </c>
      <c r="AA7">
        <f>IF(AA5&gt;=4,"FY"&amp;YEAR(AA3)&amp;"-"&amp;RIGHT(YEAR(AA3)+1,2),"FY"&amp;(YEAR(AA3)-1)&amp;"-"&amp;RIGHT(YEAR(AA3),2))</f>
        <v/>
      </c>
      <c r="AB7">
        <f>IF(AB5&gt;=4,"FY"&amp;YEAR(AB3)&amp;"-"&amp;RIGHT(YEAR(AB3)+1,2),"FY"&amp;(YEAR(AB3)-1)&amp;"-"&amp;RIGHT(YEAR(AB3),2))</f>
        <v/>
      </c>
      <c r="AC7">
        <f>IF(AC5&gt;=4,"FY"&amp;YEAR(AC3)&amp;"-"&amp;RIGHT(YEAR(AC3)+1,2),"FY"&amp;(YEAR(AC3)-1)&amp;"-"&amp;RIGHT(YEAR(AC3),2))</f>
        <v/>
      </c>
      <c r="AD7">
        <f>IF(AD5&gt;=4,"FY"&amp;YEAR(AD3)&amp;"-"&amp;RIGHT(YEAR(AD3)+1,2),"FY"&amp;(YEAR(AD3)-1)&amp;"-"&amp;RIGHT(YEAR(AD3),2))</f>
        <v/>
      </c>
      <c r="AE7">
        <f>IF(AE5&gt;=4,"FY"&amp;YEAR(AE3)&amp;"-"&amp;RIGHT(YEAR(AE3)+1,2),"FY"&amp;(YEAR(AE3)-1)&amp;"-"&amp;RIGHT(YEAR(AE3),2))</f>
        <v/>
      </c>
      <c r="AF7">
        <f>IF(AF5&gt;=4,"FY"&amp;YEAR(AF3)&amp;"-"&amp;RIGHT(YEAR(AF3)+1,2),"FY"&amp;(YEAR(AF3)-1)&amp;"-"&amp;RIGHT(YEAR(AF3),2))</f>
        <v/>
      </c>
      <c r="AG7">
        <f>IF(AG5&gt;=4,"FY"&amp;YEAR(AG3)&amp;"-"&amp;RIGHT(YEAR(AG3)+1,2),"FY"&amp;(YEAR(AG3)-1)&amp;"-"&amp;RIGHT(YEAR(AG3),2))</f>
        <v/>
      </c>
      <c r="AH7">
        <f>IF(AH5&gt;=4,"FY"&amp;YEAR(AH3)&amp;"-"&amp;RIGHT(YEAR(AH3)+1,2),"FY"&amp;(YEAR(AH3)-1)&amp;"-"&amp;RIGHT(YEAR(AH3),2))</f>
        <v/>
      </c>
      <c r="AI7">
        <f>IF(AI5&gt;=4,"FY"&amp;YEAR(AI3)&amp;"-"&amp;RIGHT(YEAR(AI3)+1,2),"FY"&amp;(YEAR(AI3)-1)&amp;"-"&amp;RIGHT(YEAR(AI3),2))</f>
        <v/>
      </c>
      <c r="AJ7">
        <f>IF(AJ5&gt;=4,"FY"&amp;YEAR(AJ3)&amp;"-"&amp;RIGHT(YEAR(AJ3)+1,2),"FY"&amp;(YEAR(AJ3)-1)&amp;"-"&amp;RIGHT(YEAR(AJ3),2))</f>
        <v/>
      </c>
      <c r="AK7">
        <f>IF(AK5&gt;=4,"FY"&amp;YEAR(AK3)&amp;"-"&amp;RIGHT(YEAR(AK3)+1,2),"FY"&amp;(YEAR(AK3)-1)&amp;"-"&amp;RIGHT(YEAR(AK3),2))</f>
        <v/>
      </c>
      <c r="AL7">
        <f>IF(AL5&gt;=4,"FY"&amp;YEAR(AL3)&amp;"-"&amp;RIGHT(YEAR(AL3)+1,2),"FY"&amp;(YEAR(AL3)-1)&amp;"-"&amp;RIGHT(YEAR(AL3),2))</f>
        <v/>
      </c>
      <c r="AM7">
        <f>IF(AM5&gt;=4,"FY"&amp;YEAR(AM3)&amp;"-"&amp;RIGHT(YEAR(AM3)+1,2),"FY"&amp;(YEAR(AM3)-1)&amp;"-"&amp;RIGHT(YEAR(AM3),2))</f>
        <v/>
      </c>
      <c r="AN7">
        <f>IF(AN5&gt;=4,"FY"&amp;YEAR(AN3)&amp;"-"&amp;RIGHT(YEAR(AN3)+1,2),"FY"&amp;(YEAR(AN3)-1)&amp;"-"&amp;RIGHT(YEAR(AN3),2))</f>
        <v/>
      </c>
      <c r="AO7">
        <f>IF(AO5&gt;=4,"FY"&amp;YEAR(AO3)&amp;"-"&amp;RIGHT(YEAR(AO3)+1,2),"FY"&amp;(YEAR(AO3)-1)&amp;"-"&amp;RIGHT(YEAR(AO3),2))</f>
        <v/>
      </c>
      <c r="AP7">
        <f>IF(AP5&gt;=4,"FY"&amp;YEAR(AP3)&amp;"-"&amp;RIGHT(YEAR(AP3)+1,2),"FY"&amp;(YEAR(AP3)-1)&amp;"-"&amp;RIGHT(YEAR(AP3),2))</f>
        <v/>
      </c>
      <c r="AQ7">
        <f>IF(AQ5&gt;=4,"FY"&amp;YEAR(AQ3)&amp;"-"&amp;RIGHT(YEAR(AQ3)+1,2),"FY"&amp;(YEAR(AQ3)-1)&amp;"-"&amp;RIGHT(YEAR(AQ3),2))</f>
        <v/>
      </c>
      <c r="AR7">
        <f>IF(AR5&gt;=4,"FY"&amp;YEAR(AR3)&amp;"-"&amp;RIGHT(YEAR(AR3)+1,2),"FY"&amp;(YEAR(AR3)-1)&amp;"-"&amp;RIGHT(YEAR(AR3),2))</f>
        <v/>
      </c>
      <c r="AS7">
        <f>IF(AS5&gt;=4,"FY"&amp;YEAR(AS3)&amp;"-"&amp;RIGHT(YEAR(AS3)+1,2),"FY"&amp;(YEAR(AS3)-1)&amp;"-"&amp;RIGHT(YEAR(AS3),2))</f>
        <v/>
      </c>
      <c r="AT7">
        <f>IF(AT5&gt;=4,"FY"&amp;YEAR(AT3)&amp;"-"&amp;RIGHT(YEAR(AT3)+1,2),"FY"&amp;(YEAR(AT3)-1)&amp;"-"&amp;RIGHT(YEAR(AT3),2))</f>
        <v/>
      </c>
      <c r="AU7">
        <f>IF(AU5&gt;=4,"FY"&amp;YEAR(AU3)&amp;"-"&amp;RIGHT(YEAR(AU3)+1,2),"FY"&amp;(YEAR(AU3)-1)&amp;"-"&amp;RIGHT(YEAR(AU3),2))</f>
        <v/>
      </c>
      <c r="AV7">
        <f>IF(AV5&gt;=4,"FY"&amp;YEAR(AV3)&amp;"-"&amp;RIGHT(YEAR(AV3)+1,2),"FY"&amp;(YEAR(AV3)-1)&amp;"-"&amp;RIGHT(YEAR(AV3),2))</f>
        <v/>
      </c>
      <c r="AW7">
        <f>IF(AW5&gt;=4,"FY"&amp;YEAR(AW3)&amp;"-"&amp;RIGHT(YEAR(AW3)+1,2),"FY"&amp;(YEAR(AW3)-1)&amp;"-"&amp;RIGHT(YEAR(AW3),2))</f>
        <v/>
      </c>
      <c r="AX7">
        <f>IF(AX5&gt;=4,"FY"&amp;YEAR(AX3)&amp;"-"&amp;RIGHT(YEAR(AX3)+1,2),"FY"&amp;(YEAR(AX3)-1)&amp;"-"&amp;RIGHT(YEAR(AX3),2))</f>
        <v/>
      </c>
      <c r="AY7">
        <f>IF(AY5&gt;=4,"FY"&amp;YEAR(AY3)&amp;"-"&amp;RIGHT(YEAR(AY3)+1,2),"FY"&amp;(YEAR(AY3)-1)&amp;"-"&amp;RIGHT(YEAR(AY3),2))</f>
        <v/>
      </c>
      <c r="AZ7">
        <f>IF(AZ5&gt;=4,"FY"&amp;YEAR(AZ3)&amp;"-"&amp;RIGHT(YEAR(AZ3)+1,2),"FY"&amp;(YEAR(AZ3)-1)&amp;"-"&amp;RIGHT(YEAR(AZ3),2))</f>
        <v/>
      </c>
      <c r="BA7">
        <f>IF(BA5&gt;=4,"FY"&amp;YEAR(BA3)&amp;"-"&amp;RIGHT(YEAR(BA3)+1,2),"FY"&amp;(YEAR(BA3)-1)&amp;"-"&amp;RIGHT(YEAR(BA3),2))</f>
        <v/>
      </c>
      <c r="BB7">
        <f>IF(BB5&gt;=4,"FY"&amp;YEAR(BB3)&amp;"-"&amp;RIGHT(YEAR(BB3)+1,2),"FY"&amp;(YEAR(BB3)-1)&amp;"-"&amp;RIGHT(YEAR(BB3),2))</f>
        <v/>
      </c>
      <c r="BC7">
        <f>IF(BC5&gt;=4,"FY"&amp;YEAR(BC3)&amp;"-"&amp;RIGHT(YEAR(BC3)+1,2),"FY"&amp;(YEAR(BC3)-1)&amp;"-"&amp;RIGHT(YEAR(BC3),2))</f>
        <v/>
      </c>
      <c r="BD7">
        <f>IF(BD5&gt;=4,"FY"&amp;YEAR(BD3)&amp;"-"&amp;RIGHT(YEAR(BD3)+1,2),"FY"&amp;(YEAR(BD3)-1)&amp;"-"&amp;RIGHT(YEAR(BD3),2))</f>
        <v/>
      </c>
      <c r="BE7">
        <f>IF(BE5&gt;=4,"FY"&amp;YEAR(BE3)&amp;"-"&amp;RIGHT(YEAR(BE3)+1,2),"FY"&amp;(YEAR(BE3)-1)&amp;"-"&amp;RIGHT(YEAR(BE3),2))</f>
        <v/>
      </c>
      <c r="BF7">
        <f>IF(BF5&gt;=4,"FY"&amp;YEAR(BF3)&amp;"-"&amp;RIGHT(YEAR(BF3)+1,2),"FY"&amp;(YEAR(BF3)-1)&amp;"-"&amp;RIGHT(YEAR(BF3),2))</f>
        <v/>
      </c>
      <c r="BG7">
        <f>IF(BG5&gt;=4,"FY"&amp;YEAR(BG3)&amp;"-"&amp;RIGHT(YEAR(BG3)+1,2),"FY"&amp;(YEAR(BG3)-1)&amp;"-"&amp;RIGHT(YEAR(BG3),2))</f>
        <v/>
      </c>
      <c r="BH7">
        <f>IF(BH5&gt;=4,"FY"&amp;YEAR(BH3)&amp;"-"&amp;RIGHT(YEAR(BH3)+1,2),"FY"&amp;(YEAR(BH3)-1)&amp;"-"&amp;RIGHT(YEAR(BH3),2))</f>
        <v/>
      </c>
      <c r="BI7">
        <f>IF(BI5&gt;=4,"FY"&amp;YEAR(BI3)&amp;"-"&amp;RIGHT(YEAR(BI3)+1,2),"FY"&amp;(YEAR(BI3)-1)&amp;"-"&amp;RIGHT(YEAR(BI3),2))</f>
        <v/>
      </c>
      <c r="BJ7">
        <f>IF(BJ5&gt;=4,"FY"&amp;YEAR(BJ3)&amp;"-"&amp;RIGHT(YEAR(BJ3)+1,2),"FY"&amp;(YEAR(BJ3)-1)&amp;"-"&amp;RIGHT(YEAR(BJ3),2))</f>
        <v/>
      </c>
      <c r="BK7">
        <f>IF(BK5&gt;=4,"FY"&amp;YEAR(BK3)&amp;"-"&amp;RIGHT(YEAR(BK3)+1,2),"FY"&amp;(YEAR(BK3)-1)&amp;"-"&amp;RIGHT(YEAR(BK3),2))</f>
        <v/>
      </c>
      <c r="BL7">
        <f>IF(BL5&gt;=4,"FY"&amp;YEAR(BL3)&amp;"-"&amp;RIGHT(YEAR(BL3)+1,2),"FY"&amp;(YEAR(BL3)-1)&amp;"-"&amp;RIGHT(YEAR(BL3),2))</f>
        <v/>
      </c>
      <c r="BM7">
        <f>IF(BM5&gt;=4,"FY"&amp;YEAR(BM3)&amp;"-"&amp;RIGHT(YEAR(BM3)+1,2),"FY"&amp;(YEAR(BM3)-1)&amp;"-"&amp;RIGHT(YEAR(BM3),2))</f>
        <v/>
      </c>
      <c r="BN7">
        <f>IF(BN5&gt;=4,"FY"&amp;YEAR(BN3)&amp;"-"&amp;RIGHT(YEAR(BN3)+1,2),"FY"&amp;(YEAR(BN3)-1)&amp;"-"&amp;RIGHT(YEAR(BN3),2))</f>
        <v/>
      </c>
      <c r="BO7">
        <f>IF(BO5&gt;=4,"FY"&amp;YEAR(BO3)&amp;"-"&amp;RIGHT(YEAR(BO3)+1,2),"FY"&amp;(YEAR(BO3)-1)&amp;"-"&amp;RIGHT(YEAR(BO3),2))</f>
        <v/>
      </c>
      <c r="BP7">
        <f>IF(BP5&gt;=4,"FY"&amp;YEAR(BP3)&amp;"-"&amp;RIGHT(YEAR(BP3)+1,2),"FY"&amp;(YEAR(BP3)-1)&amp;"-"&amp;RIGHT(YEAR(BP3),2))</f>
        <v/>
      </c>
      <c r="BQ7">
        <f>IF(BQ5&gt;=4,"FY"&amp;YEAR(BQ3)&amp;"-"&amp;RIGHT(YEAR(BQ3)+1,2),"FY"&amp;(YEAR(BQ3)-1)&amp;"-"&amp;RIGHT(YEAR(BQ3),2))</f>
        <v/>
      </c>
      <c r="BR7">
        <f>IF(BR5&gt;=4,"FY"&amp;YEAR(BR3)&amp;"-"&amp;RIGHT(YEAR(BR3)+1,2),"FY"&amp;(YEAR(BR3)-1)&amp;"-"&amp;RIGHT(YEAR(BR3),2))</f>
        <v/>
      </c>
      <c r="BS7">
        <f>IF(BS5&gt;=4,"FY"&amp;YEAR(BS3)&amp;"-"&amp;RIGHT(YEAR(BS3)+1,2),"FY"&amp;(YEAR(BS3)-1)&amp;"-"&amp;RIGHT(YEAR(BS3),2))</f>
        <v/>
      </c>
      <c r="BT7">
        <f>IF(BT5&gt;=4,"FY"&amp;YEAR(BT3)&amp;"-"&amp;RIGHT(YEAR(BT3)+1,2),"FY"&amp;(YEAR(BT3)-1)&amp;"-"&amp;RIGHT(YEAR(BT3),2))</f>
        <v/>
      </c>
      <c r="BU7">
        <f>IF(BU5&gt;=4,"FY"&amp;YEAR(BU3)&amp;"-"&amp;RIGHT(YEAR(BU3)+1,2),"FY"&amp;(YEAR(BU3)-1)&amp;"-"&amp;RIGHT(YEAR(BU3),2))</f>
        <v/>
      </c>
      <c r="BV7">
        <f>IF(BV5&gt;=4,"FY"&amp;YEAR(BV3)&amp;"-"&amp;RIGHT(YEAR(BV3)+1,2),"FY"&amp;(YEAR(BV3)-1)&amp;"-"&amp;RIGHT(YEAR(BV3),2))</f>
        <v/>
      </c>
      <c r="BW7">
        <f>IF(BW5&gt;=4,"FY"&amp;YEAR(BW3)&amp;"-"&amp;RIGHT(YEAR(BW3)+1,2),"FY"&amp;(YEAR(BW3)-1)&amp;"-"&amp;RIGHT(YEAR(BW3),2))</f>
        <v/>
      </c>
      <c r="BX7">
        <f>IF(BX5&gt;=4,"FY"&amp;YEAR(BX3)&amp;"-"&amp;RIGHT(YEAR(BX3)+1,2),"FY"&amp;(YEAR(BX3)-1)&amp;"-"&amp;RIGHT(YEAR(BX3),2))</f>
        <v/>
      </c>
      <c r="BY7">
        <f>IF(BY5&gt;=4,"FY"&amp;YEAR(BY3)&amp;"-"&amp;RIGHT(YEAR(BY3)+1,2),"FY"&amp;(YEAR(BY3)-1)&amp;"-"&amp;RIGHT(YEAR(BY3),2))</f>
        <v/>
      </c>
      <c r="BZ7">
        <f>IF(BZ5&gt;=4,"FY"&amp;YEAR(BZ3)&amp;"-"&amp;RIGHT(YEAR(BZ3)+1,2),"FY"&amp;(YEAR(BZ3)-1)&amp;"-"&amp;RIGHT(YEAR(BZ3),2))</f>
        <v/>
      </c>
      <c r="CA7">
        <f>IF(CA5&gt;=4,"FY"&amp;YEAR(CA3)&amp;"-"&amp;RIGHT(YEAR(CA3)+1,2),"FY"&amp;(YEAR(CA3)-1)&amp;"-"&amp;RIGHT(YEAR(CA3),2))</f>
        <v/>
      </c>
      <c r="CB7">
        <f>IF(CB5&gt;=4,"FY"&amp;YEAR(CB3)&amp;"-"&amp;RIGHT(YEAR(CB3)+1,2),"FY"&amp;(YEAR(CB3)-1)&amp;"-"&amp;RIGHT(YEAR(CB3),2))</f>
        <v/>
      </c>
      <c r="CC7">
        <f>IF(CC5&gt;=4,"FY"&amp;YEAR(CC3)&amp;"-"&amp;RIGHT(YEAR(CC3)+1,2),"FY"&amp;(YEAR(CC3)-1)&amp;"-"&amp;RIGHT(YEAR(CC3),2))</f>
        <v/>
      </c>
      <c r="CD7">
        <f>IF(CD5&gt;=4,"FY"&amp;YEAR(CD3)&amp;"-"&amp;RIGHT(YEAR(CD3)+1,2),"FY"&amp;(YEAR(CD3)-1)&amp;"-"&amp;RIGHT(YEAR(CD3),2))</f>
        <v/>
      </c>
      <c r="CE7">
        <f>IF(CE5&gt;=4,"FY"&amp;YEAR(CE3)&amp;"-"&amp;RIGHT(YEAR(CE3)+1,2),"FY"&amp;(YEAR(CE3)-1)&amp;"-"&amp;RIGHT(YEAR(CE3),2))</f>
        <v/>
      </c>
      <c r="CF7">
        <f>IF(CF5&gt;=4,"FY"&amp;YEAR(CF3)&amp;"-"&amp;RIGHT(YEAR(CF3)+1,2),"FY"&amp;(YEAR(CF3)-1)&amp;"-"&amp;RIGHT(YEAR(CF3),2))</f>
        <v/>
      </c>
      <c r="CG7">
        <f>IF(CG5&gt;=4,"FY"&amp;YEAR(CG3)&amp;"-"&amp;RIGHT(YEAR(CG3)+1,2),"FY"&amp;(YEAR(CG3)-1)&amp;"-"&amp;RIGHT(YEAR(CG3),2))</f>
        <v/>
      </c>
      <c r="CH7">
        <f>IF(CH5&gt;=4,"FY"&amp;YEAR(CH3)&amp;"-"&amp;RIGHT(YEAR(CH3)+1,2),"FY"&amp;(YEAR(CH3)-1)&amp;"-"&amp;RIGHT(YEAR(CH3),2))</f>
        <v/>
      </c>
      <c r="CI7">
        <f>IF(CI5&gt;=4,"FY"&amp;YEAR(CI3)&amp;"-"&amp;RIGHT(YEAR(CI3)+1,2),"FY"&amp;(YEAR(CI3)-1)&amp;"-"&amp;RIGHT(YEAR(CI3),2))</f>
        <v/>
      </c>
      <c r="CJ7">
        <f>IF(CJ5&gt;=4,"FY"&amp;YEAR(CJ3)&amp;"-"&amp;RIGHT(YEAR(CJ3)+1,2),"FY"&amp;(YEAR(CJ3)-1)&amp;"-"&amp;RIGHT(YEAR(CJ3),2))</f>
        <v/>
      </c>
      <c r="CK7">
        <f>IF(CK5&gt;=4,"FY"&amp;YEAR(CK3)&amp;"-"&amp;RIGHT(YEAR(CK3)+1,2),"FY"&amp;(YEAR(CK3)-1)&amp;"-"&amp;RIGHT(YEAR(CK3),2))</f>
        <v/>
      </c>
      <c r="CL7">
        <f>IF(CL5&gt;=4,"FY"&amp;YEAR(CL3)&amp;"-"&amp;RIGHT(YEAR(CL3)+1,2),"FY"&amp;(YEAR(CL3)-1)&amp;"-"&amp;RIGHT(YEAR(CL3),2))</f>
        <v/>
      </c>
      <c r="CM7">
        <f>IF(CM5&gt;=4,"FY"&amp;YEAR(CM3)&amp;"-"&amp;RIGHT(YEAR(CM3)+1,2),"FY"&amp;(YEAR(CM3)-1)&amp;"-"&amp;RIGHT(YEAR(CM3),2))</f>
        <v/>
      </c>
      <c r="CN7">
        <f>IF(CN5&gt;=4,"FY"&amp;YEAR(CN3)&amp;"-"&amp;RIGHT(YEAR(CN3)+1,2),"FY"&amp;(YEAR(CN3)-1)&amp;"-"&amp;RIGHT(YEAR(CN3),2))</f>
        <v/>
      </c>
      <c r="CO7">
        <f>IF(CO5&gt;=4,"FY"&amp;YEAR(CO3)&amp;"-"&amp;RIGHT(YEAR(CO3)+1,2),"FY"&amp;(YEAR(CO3)-1)&amp;"-"&amp;RIGHT(YEAR(CO3),2))</f>
        <v/>
      </c>
      <c r="CP7">
        <f>IF(CP5&gt;=4,"FY"&amp;YEAR(CP3)&amp;"-"&amp;RIGHT(YEAR(CP3)+1,2),"FY"&amp;(YEAR(CP3)-1)&amp;"-"&amp;RIGHT(YEAR(CP3),2))</f>
        <v/>
      </c>
      <c r="CQ7">
        <f>IF(CQ5&gt;=4,"FY"&amp;YEAR(CQ3)&amp;"-"&amp;RIGHT(YEAR(CQ3)+1,2),"FY"&amp;(YEAR(CQ3)-1)&amp;"-"&amp;RIGHT(YEAR(CQ3),2))</f>
        <v/>
      </c>
      <c r="CR7">
        <f>IF(CR5&gt;=4,"FY"&amp;YEAR(CR3)&amp;"-"&amp;RIGHT(YEAR(CR3)+1,2),"FY"&amp;(YEAR(CR3)-1)&amp;"-"&amp;RIGHT(YEAR(CR3),2))</f>
        <v/>
      </c>
      <c r="CS7">
        <f>IF(CS5&gt;=4,"FY"&amp;YEAR(CS3)&amp;"-"&amp;RIGHT(YEAR(CS3)+1,2),"FY"&amp;(YEAR(CS3)-1)&amp;"-"&amp;RIGHT(YEAR(CS3),2))</f>
        <v/>
      </c>
      <c r="CT7">
        <f>IF(CT5&gt;=4,"FY"&amp;YEAR(CT3)&amp;"-"&amp;RIGHT(YEAR(CT3)+1,2),"FY"&amp;(YEAR(CT3)-1)&amp;"-"&amp;RIGHT(YEAR(CT3),2))</f>
        <v/>
      </c>
      <c r="CU7">
        <f>IF(CU5&gt;=4,"FY"&amp;YEAR(CU3)&amp;"-"&amp;RIGHT(YEAR(CU3)+1,2),"FY"&amp;(YEAR(CU3)-1)&amp;"-"&amp;RIGHT(YEAR(CU3),2))</f>
        <v/>
      </c>
      <c r="CV7">
        <f>IF(CV5&gt;=4,"FY"&amp;YEAR(CV3)&amp;"-"&amp;RIGHT(YEAR(CV3)+1,2),"FY"&amp;(YEAR(CV3)-1)&amp;"-"&amp;RIGHT(YEAR(CV3),2))</f>
        <v/>
      </c>
      <c r="CW7">
        <f>IF(CW5&gt;=4,"FY"&amp;YEAR(CW3)&amp;"-"&amp;RIGHT(YEAR(CW3)+1,2),"FY"&amp;(YEAR(CW3)-1)&amp;"-"&amp;RIGHT(YEAR(CW3),2))</f>
        <v/>
      </c>
      <c r="CX7">
        <f>IF(CX5&gt;=4,"FY"&amp;YEAR(CX3)&amp;"-"&amp;RIGHT(YEAR(CX3)+1,2),"FY"&amp;(YEAR(CX3)-1)&amp;"-"&amp;RIGHT(YEAR(CX3),2))</f>
        <v/>
      </c>
      <c r="CY7">
        <f>IF(CY5&gt;=4,"FY"&amp;YEAR(CY3)&amp;"-"&amp;RIGHT(YEAR(CY3)+1,2),"FY"&amp;(YEAR(CY3)-1)&amp;"-"&amp;RIGHT(YEAR(CY3),2))</f>
        <v/>
      </c>
      <c r="CZ7">
        <f>IF(CZ5&gt;=4,"FY"&amp;YEAR(CZ3)&amp;"-"&amp;RIGHT(YEAR(CZ3)+1,2),"FY"&amp;(YEAR(CZ3)-1)&amp;"-"&amp;RIGHT(YEAR(CZ3),2))</f>
        <v/>
      </c>
      <c r="DA7">
        <f>IF(DA5&gt;=4,"FY"&amp;YEAR(DA3)&amp;"-"&amp;RIGHT(YEAR(DA3)+1,2),"FY"&amp;(YEAR(DA3)-1)&amp;"-"&amp;RIGHT(YEAR(DA3),2))</f>
        <v/>
      </c>
      <c r="DB7">
        <f>IF(DB5&gt;=4,"FY"&amp;YEAR(DB3)&amp;"-"&amp;RIGHT(YEAR(DB3)+1,2),"FY"&amp;(YEAR(DB3)-1)&amp;"-"&amp;RIGHT(YEAR(DB3),2))</f>
        <v/>
      </c>
      <c r="DC7">
        <f>IF(DC5&gt;=4,"FY"&amp;YEAR(DC3)&amp;"-"&amp;RIGHT(YEAR(DC3)+1,2),"FY"&amp;(YEAR(DC3)-1)&amp;"-"&amp;RIGHT(YEAR(DC3),2))</f>
        <v/>
      </c>
      <c r="DD7">
        <f>IF(DD5&gt;=4,"FY"&amp;YEAR(DD3)&amp;"-"&amp;RIGHT(YEAR(DD3)+1,2),"FY"&amp;(YEAR(DD3)-1)&amp;"-"&amp;RIGHT(YEAR(DD3),2))</f>
        <v/>
      </c>
      <c r="DE7">
        <f>IF(DE5&gt;=4,"FY"&amp;YEAR(DE3)&amp;"-"&amp;RIGHT(YEAR(DE3)+1,2),"FY"&amp;(YEAR(DE3)-1)&amp;"-"&amp;RIGHT(YEAR(DE3),2))</f>
        <v/>
      </c>
      <c r="DF7">
        <f>IF(DF5&gt;=4,"FY"&amp;YEAR(DF3)&amp;"-"&amp;RIGHT(YEAR(DF3)+1,2),"FY"&amp;(YEAR(DF3)-1)&amp;"-"&amp;RIGHT(YEAR(DF3),2))</f>
        <v/>
      </c>
      <c r="DG7">
        <f>IF(DG5&gt;=4,"FY"&amp;YEAR(DG3)&amp;"-"&amp;RIGHT(YEAR(DG3)+1,2),"FY"&amp;(YEAR(DG3)-1)&amp;"-"&amp;RIGHT(YEAR(DG3),2))</f>
        <v/>
      </c>
      <c r="DH7">
        <f>IF(DH5&gt;=4,"FY"&amp;YEAR(DH3)&amp;"-"&amp;RIGHT(YEAR(DH3)+1,2),"FY"&amp;(YEAR(DH3)-1)&amp;"-"&amp;RIGHT(YEAR(DH3),2))</f>
        <v/>
      </c>
      <c r="DI7">
        <f>IF(DI5&gt;=4,"FY"&amp;YEAR(DI3)&amp;"-"&amp;RIGHT(YEAR(DI3)+1,2),"FY"&amp;(YEAR(DI3)-1)&amp;"-"&amp;RIGHT(YEAR(DI3),2))</f>
        <v/>
      </c>
      <c r="DJ7">
        <f>IF(DJ5&gt;=4,"FY"&amp;YEAR(DJ3)&amp;"-"&amp;RIGHT(YEAR(DJ3)+1,2),"FY"&amp;(YEAR(DJ3)-1)&amp;"-"&amp;RIGHT(YEAR(DJ3),2))</f>
        <v/>
      </c>
      <c r="DK7">
        <f>IF(DK5&gt;=4,"FY"&amp;YEAR(DK3)&amp;"-"&amp;RIGHT(YEAR(DK3)+1,2),"FY"&amp;(YEAR(DK3)-1)&amp;"-"&amp;RIGHT(YEAR(DK3),2))</f>
        <v/>
      </c>
      <c r="DL7">
        <f>IF(DL5&gt;=4,"FY"&amp;YEAR(DL3)&amp;"-"&amp;RIGHT(YEAR(DL3)+1,2),"FY"&amp;(YEAR(DL3)-1)&amp;"-"&amp;RIGHT(YEAR(DL3),2))</f>
        <v/>
      </c>
      <c r="DM7">
        <f>IF(DM5&gt;=4,"FY"&amp;YEAR(DM3)&amp;"-"&amp;RIGHT(YEAR(DM3)+1,2),"FY"&amp;(YEAR(DM3)-1)&amp;"-"&amp;RIGHT(YEAR(DM3),2))</f>
        <v/>
      </c>
      <c r="DN7">
        <f>IF(DN5&gt;=4,"FY"&amp;YEAR(DN3)&amp;"-"&amp;RIGHT(YEAR(DN3)+1,2),"FY"&amp;(YEAR(DN3)-1)&amp;"-"&amp;RIGHT(YEAR(DN3),2))</f>
        <v/>
      </c>
      <c r="DO7">
        <f>IF(DO5&gt;=4,"FY"&amp;YEAR(DO3)&amp;"-"&amp;RIGHT(YEAR(DO3)+1,2),"FY"&amp;(YEAR(DO3)-1)&amp;"-"&amp;RIGHT(YEAR(DO3),2))</f>
        <v/>
      </c>
      <c r="DP7">
        <f>IF(DP5&gt;=4,"FY"&amp;YEAR(DP3)&amp;"-"&amp;RIGHT(YEAR(DP3)+1,2),"FY"&amp;(YEAR(DP3)-1)&amp;"-"&amp;RIGHT(YEAR(DP3),2))</f>
        <v/>
      </c>
      <c r="DQ7">
        <f>IF(DQ5&gt;=4,"FY"&amp;YEAR(DQ3)&amp;"-"&amp;RIGHT(YEAR(DQ3)+1,2),"FY"&amp;(YEAR(DQ3)-1)&amp;"-"&amp;RIGHT(YEAR(DQ3),2))</f>
        <v/>
      </c>
      <c r="DR7">
        <f>IF(DR5&gt;=4,"FY"&amp;YEAR(DR3)&amp;"-"&amp;RIGHT(YEAR(DR3)+1,2),"FY"&amp;(YEAR(DR3)-1)&amp;"-"&amp;RIGHT(YEAR(DR3),2))</f>
        <v/>
      </c>
    </row>
    <row r="8">
      <c r="A8" t="inlineStr">
        <is>
          <t>fiscal_quarter</t>
        </is>
      </c>
      <c r="B8" t="inlineStr">
        <is>
          <t>Q1=Apr-Jun</t>
        </is>
      </c>
      <c r="C8">
        <f>"Q"&amp;(INT(MOD(C5-4,12)/3)+1)</f>
        <v/>
      </c>
      <c r="D8">
        <f>"Q"&amp;(INT(MOD(D5-4,12)/3)+1)</f>
        <v/>
      </c>
      <c r="E8">
        <f>"Q"&amp;(INT(MOD(E5-4,12)/3)+1)</f>
        <v/>
      </c>
      <c r="F8">
        <f>"Q"&amp;(INT(MOD(F5-4,12)/3)+1)</f>
        <v/>
      </c>
      <c r="G8">
        <f>"Q"&amp;(INT(MOD(G5-4,12)/3)+1)</f>
        <v/>
      </c>
      <c r="H8">
        <f>"Q"&amp;(INT(MOD(H5-4,12)/3)+1)</f>
        <v/>
      </c>
      <c r="I8">
        <f>"Q"&amp;(INT(MOD(I5-4,12)/3)+1)</f>
        <v/>
      </c>
      <c r="J8">
        <f>"Q"&amp;(INT(MOD(J5-4,12)/3)+1)</f>
        <v/>
      </c>
      <c r="K8">
        <f>"Q"&amp;(INT(MOD(K5-4,12)/3)+1)</f>
        <v/>
      </c>
      <c r="L8">
        <f>"Q"&amp;(INT(MOD(L5-4,12)/3)+1)</f>
        <v/>
      </c>
      <c r="M8">
        <f>"Q"&amp;(INT(MOD(M5-4,12)/3)+1)</f>
        <v/>
      </c>
      <c r="N8">
        <f>"Q"&amp;(INT(MOD(N5-4,12)/3)+1)</f>
        <v/>
      </c>
      <c r="O8">
        <f>"Q"&amp;(INT(MOD(O5-4,12)/3)+1)</f>
        <v/>
      </c>
      <c r="P8">
        <f>"Q"&amp;(INT(MOD(P5-4,12)/3)+1)</f>
        <v/>
      </c>
      <c r="Q8">
        <f>"Q"&amp;(INT(MOD(Q5-4,12)/3)+1)</f>
        <v/>
      </c>
      <c r="R8">
        <f>"Q"&amp;(INT(MOD(R5-4,12)/3)+1)</f>
        <v/>
      </c>
      <c r="S8">
        <f>"Q"&amp;(INT(MOD(S5-4,12)/3)+1)</f>
        <v/>
      </c>
      <c r="T8">
        <f>"Q"&amp;(INT(MOD(T5-4,12)/3)+1)</f>
        <v/>
      </c>
      <c r="U8">
        <f>"Q"&amp;(INT(MOD(U5-4,12)/3)+1)</f>
        <v/>
      </c>
      <c r="V8">
        <f>"Q"&amp;(INT(MOD(V5-4,12)/3)+1)</f>
        <v/>
      </c>
      <c r="W8">
        <f>"Q"&amp;(INT(MOD(W5-4,12)/3)+1)</f>
        <v/>
      </c>
      <c r="X8">
        <f>"Q"&amp;(INT(MOD(X5-4,12)/3)+1)</f>
        <v/>
      </c>
      <c r="Y8">
        <f>"Q"&amp;(INT(MOD(Y5-4,12)/3)+1)</f>
        <v/>
      </c>
      <c r="Z8">
        <f>"Q"&amp;(INT(MOD(Z5-4,12)/3)+1)</f>
        <v/>
      </c>
      <c r="AA8">
        <f>"Q"&amp;(INT(MOD(AA5-4,12)/3)+1)</f>
        <v/>
      </c>
      <c r="AB8">
        <f>"Q"&amp;(INT(MOD(AB5-4,12)/3)+1)</f>
        <v/>
      </c>
      <c r="AC8">
        <f>"Q"&amp;(INT(MOD(AC5-4,12)/3)+1)</f>
        <v/>
      </c>
      <c r="AD8">
        <f>"Q"&amp;(INT(MOD(AD5-4,12)/3)+1)</f>
        <v/>
      </c>
      <c r="AE8">
        <f>"Q"&amp;(INT(MOD(AE5-4,12)/3)+1)</f>
        <v/>
      </c>
      <c r="AF8">
        <f>"Q"&amp;(INT(MOD(AF5-4,12)/3)+1)</f>
        <v/>
      </c>
      <c r="AG8">
        <f>"Q"&amp;(INT(MOD(AG5-4,12)/3)+1)</f>
        <v/>
      </c>
      <c r="AH8">
        <f>"Q"&amp;(INT(MOD(AH5-4,12)/3)+1)</f>
        <v/>
      </c>
      <c r="AI8">
        <f>"Q"&amp;(INT(MOD(AI5-4,12)/3)+1)</f>
        <v/>
      </c>
      <c r="AJ8">
        <f>"Q"&amp;(INT(MOD(AJ5-4,12)/3)+1)</f>
        <v/>
      </c>
      <c r="AK8">
        <f>"Q"&amp;(INT(MOD(AK5-4,12)/3)+1)</f>
        <v/>
      </c>
      <c r="AL8">
        <f>"Q"&amp;(INT(MOD(AL5-4,12)/3)+1)</f>
        <v/>
      </c>
      <c r="AM8">
        <f>"Q"&amp;(INT(MOD(AM5-4,12)/3)+1)</f>
        <v/>
      </c>
      <c r="AN8">
        <f>"Q"&amp;(INT(MOD(AN5-4,12)/3)+1)</f>
        <v/>
      </c>
      <c r="AO8">
        <f>"Q"&amp;(INT(MOD(AO5-4,12)/3)+1)</f>
        <v/>
      </c>
      <c r="AP8">
        <f>"Q"&amp;(INT(MOD(AP5-4,12)/3)+1)</f>
        <v/>
      </c>
      <c r="AQ8">
        <f>"Q"&amp;(INT(MOD(AQ5-4,12)/3)+1)</f>
        <v/>
      </c>
      <c r="AR8">
        <f>"Q"&amp;(INT(MOD(AR5-4,12)/3)+1)</f>
        <v/>
      </c>
      <c r="AS8">
        <f>"Q"&amp;(INT(MOD(AS5-4,12)/3)+1)</f>
        <v/>
      </c>
      <c r="AT8">
        <f>"Q"&amp;(INT(MOD(AT5-4,12)/3)+1)</f>
        <v/>
      </c>
      <c r="AU8">
        <f>"Q"&amp;(INT(MOD(AU5-4,12)/3)+1)</f>
        <v/>
      </c>
      <c r="AV8">
        <f>"Q"&amp;(INT(MOD(AV5-4,12)/3)+1)</f>
        <v/>
      </c>
      <c r="AW8">
        <f>"Q"&amp;(INT(MOD(AW5-4,12)/3)+1)</f>
        <v/>
      </c>
      <c r="AX8">
        <f>"Q"&amp;(INT(MOD(AX5-4,12)/3)+1)</f>
        <v/>
      </c>
      <c r="AY8">
        <f>"Q"&amp;(INT(MOD(AY5-4,12)/3)+1)</f>
        <v/>
      </c>
      <c r="AZ8">
        <f>"Q"&amp;(INT(MOD(AZ5-4,12)/3)+1)</f>
        <v/>
      </c>
      <c r="BA8">
        <f>"Q"&amp;(INT(MOD(BA5-4,12)/3)+1)</f>
        <v/>
      </c>
      <c r="BB8">
        <f>"Q"&amp;(INT(MOD(BB5-4,12)/3)+1)</f>
        <v/>
      </c>
      <c r="BC8">
        <f>"Q"&amp;(INT(MOD(BC5-4,12)/3)+1)</f>
        <v/>
      </c>
      <c r="BD8">
        <f>"Q"&amp;(INT(MOD(BD5-4,12)/3)+1)</f>
        <v/>
      </c>
      <c r="BE8">
        <f>"Q"&amp;(INT(MOD(BE5-4,12)/3)+1)</f>
        <v/>
      </c>
      <c r="BF8">
        <f>"Q"&amp;(INT(MOD(BF5-4,12)/3)+1)</f>
        <v/>
      </c>
      <c r="BG8">
        <f>"Q"&amp;(INT(MOD(BG5-4,12)/3)+1)</f>
        <v/>
      </c>
      <c r="BH8">
        <f>"Q"&amp;(INT(MOD(BH5-4,12)/3)+1)</f>
        <v/>
      </c>
      <c r="BI8">
        <f>"Q"&amp;(INT(MOD(BI5-4,12)/3)+1)</f>
        <v/>
      </c>
      <c r="BJ8">
        <f>"Q"&amp;(INT(MOD(BJ5-4,12)/3)+1)</f>
        <v/>
      </c>
      <c r="BK8">
        <f>"Q"&amp;(INT(MOD(BK5-4,12)/3)+1)</f>
        <v/>
      </c>
      <c r="BL8">
        <f>"Q"&amp;(INT(MOD(BL5-4,12)/3)+1)</f>
        <v/>
      </c>
      <c r="BM8">
        <f>"Q"&amp;(INT(MOD(BM5-4,12)/3)+1)</f>
        <v/>
      </c>
      <c r="BN8">
        <f>"Q"&amp;(INT(MOD(BN5-4,12)/3)+1)</f>
        <v/>
      </c>
      <c r="BO8">
        <f>"Q"&amp;(INT(MOD(BO5-4,12)/3)+1)</f>
        <v/>
      </c>
      <c r="BP8">
        <f>"Q"&amp;(INT(MOD(BP5-4,12)/3)+1)</f>
        <v/>
      </c>
      <c r="BQ8">
        <f>"Q"&amp;(INT(MOD(BQ5-4,12)/3)+1)</f>
        <v/>
      </c>
      <c r="BR8">
        <f>"Q"&amp;(INT(MOD(BR5-4,12)/3)+1)</f>
        <v/>
      </c>
      <c r="BS8">
        <f>"Q"&amp;(INT(MOD(BS5-4,12)/3)+1)</f>
        <v/>
      </c>
      <c r="BT8">
        <f>"Q"&amp;(INT(MOD(BT5-4,12)/3)+1)</f>
        <v/>
      </c>
      <c r="BU8">
        <f>"Q"&amp;(INT(MOD(BU5-4,12)/3)+1)</f>
        <v/>
      </c>
      <c r="BV8">
        <f>"Q"&amp;(INT(MOD(BV5-4,12)/3)+1)</f>
        <v/>
      </c>
      <c r="BW8">
        <f>"Q"&amp;(INT(MOD(BW5-4,12)/3)+1)</f>
        <v/>
      </c>
      <c r="BX8">
        <f>"Q"&amp;(INT(MOD(BX5-4,12)/3)+1)</f>
        <v/>
      </c>
      <c r="BY8">
        <f>"Q"&amp;(INT(MOD(BY5-4,12)/3)+1)</f>
        <v/>
      </c>
      <c r="BZ8">
        <f>"Q"&amp;(INT(MOD(BZ5-4,12)/3)+1)</f>
        <v/>
      </c>
      <c r="CA8">
        <f>"Q"&amp;(INT(MOD(CA5-4,12)/3)+1)</f>
        <v/>
      </c>
      <c r="CB8">
        <f>"Q"&amp;(INT(MOD(CB5-4,12)/3)+1)</f>
        <v/>
      </c>
      <c r="CC8">
        <f>"Q"&amp;(INT(MOD(CC5-4,12)/3)+1)</f>
        <v/>
      </c>
      <c r="CD8">
        <f>"Q"&amp;(INT(MOD(CD5-4,12)/3)+1)</f>
        <v/>
      </c>
      <c r="CE8">
        <f>"Q"&amp;(INT(MOD(CE5-4,12)/3)+1)</f>
        <v/>
      </c>
      <c r="CF8">
        <f>"Q"&amp;(INT(MOD(CF5-4,12)/3)+1)</f>
        <v/>
      </c>
      <c r="CG8">
        <f>"Q"&amp;(INT(MOD(CG5-4,12)/3)+1)</f>
        <v/>
      </c>
      <c r="CH8">
        <f>"Q"&amp;(INT(MOD(CH5-4,12)/3)+1)</f>
        <v/>
      </c>
      <c r="CI8">
        <f>"Q"&amp;(INT(MOD(CI5-4,12)/3)+1)</f>
        <v/>
      </c>
      <c r="CJ8">
        <f>"Q"&amp;(INT(MOD(CJ5-4,12)/3)+1)</f>
        <v/>
      </c>
      <c r="CK8">
        <f>"Q"&amp;(INT(MOD(CK5-4,12)/3)+1)</f>
        <v/>
      </c>
      <c r="CL8">
        <f>"Q"&amp;(INT(MOD(CL5-4,12)/3)+1)</f>
        <v/>
      </c>
      <c r="CM8">
        <f>"Q"&amp;(INT(MOD(CM5-4,12)/3)+1)</f>
        <v/>
      </c>
      <c r="CN8">
        <f>"Q"&amp;(INT(MOD(CN5-4,12)/3)+1)</f>
        <v/>
      </c>
      <c r="CO8">
        <f>"Q"&amp;(INT(MOD(CO5-4,12)/3)+1)</f>
        <v/>
      </c>
      <c r="CP8">
        <f>"Q"&amp;(INT(MOD(CP5-4,12)/3)+1)</f>
        <v/>
      </c>
      <c r="CQ8">
        <f>"Q"&amp;(INT(MOD(CQ5-4,12)/3)+1)</f>
        <v/>
      </c>
      <c r="CR8">
        <f>"Q"&amp;(INT(MOD(CR5-4,12)/3)+1)</f>
        <v/>
      </c>
      <c r="CS8">
        <f>"Q"&amp;(INT(MOD(CS5-4,12)/3)+1)</f>
        <v/>
      </c>
      <c r="CT8">
        <f>"Q"&amp;(INT(MOD(CT5-4,12)/3)+1)</f>
        <v/>
      </c>
      <c r="CU8">
        <f>"Q"&amp;(INT(MOD(CU5-4,12)/3)+1)</f>
        <v/>
      </c>
      <c r="CV8">
        <f>"Q"&amp;(INT(MOD(CV5-4,12)/3)+1)</f>
        <v/>
      </c>
      <c r="CW8">
        <f>"Q"&amp;(INT(MOD(CW5-4,12)/3)+1)</f>
        <v/>
      </c>
      <c r="CX8">
        <f>"Q"&amp;(INT(MOD(CX5-4,12)/3)+1)</f>
        <v/>
      </c>
      <c r="CY8">
        <f>"Q"&amp;(INT(MOD(CY5-4,12)/3)+1)</f>
        <v/>
      </c>
      <c r="CZ8">
        <f>"Q"&amp;(INT(MOD(CZ5-4,12)/3)+1)</f>
        <v/>
      </c>
      <c r="DA8">
        <f>"Q"&amp;(INT(MOD(DA5-4,12)/3)+1)</f>
        <v/>
      </c>
      <c r="DB8">
        <f>"Q"&amp;(INT(MOD(DB5-4,12)/3)+1)</f>
        <v/>
      </c>
      <c r="DC8">
        <f>"Q"&amp;(INT(MOD(DC5-4,12)/3)+1)</f>
        <v/>
      </c>
      <c r="DD8">
        <f>"Q"&amp;(INT(MOD(DD5-4,12)/3)+1)</f>
        <v/>
      </c>
      <c r="DE8">
        <f>"Q"&amp;(INT(MOD(DE5-4,12)/3)+1)</f>
        <v/>
      </c>
      <c r="DF8">
        <f>"Q"&amp;(INT(MOD(DF5-4,12)/3)+1)</f>
        <v/>
      </c>
      <c r="DG8">
        <f>"Q"&amp;(INT(MOD(DG5-4,12)/3)+1)</f>
        <v/>
      </c>
      <c r="DH8">
        <f>"Q"&amp;(INT(MOD(DH5-4,12)/3)+1)</f>
        <v/>
      </c>
      <c r="DI8">
        <f>"Q"&amp;(INT(MOD(DI5-4,12)/3)+1)</f>
        <v/>
      </c>
      <c r="DJ8">
        <f>"Q"&amp;(INT(MOD(DJ5-4,12)/3)+1)</f>
        <v/>
      </c>
      <c r="DK8">
        <f>"Q"&amp;(INT(MOD(DK5-4,12)/3)+1)</f>
        <v/>
      </c>
      <c r="DL8">
        <f>"Q"&amp;(INT(MOD(DL5-4,12)/3)+1)</f>
        <v/>
      </c>
      <c r="DM8">
        <f>"Q"&amp;(INT(MOD(DM5-4,12)/3)+1)</f>
        <v/>
      </c>
      <c r="DN8">
        <f>"Q"&amp;(INT(MOD(DN5-4,12)/3)+1)</f>
        <v/>
      </c>
      <c r="DO8">
        <f>"Q"&amp;(INT(MOD(DO5-4,12)/3)+1)</f>
        <v/>
      </c>
      <c r="DP8">
        <f>"Q"&amp;(INT(MOD(DP5-4,12)/3)+1)</f>
        <v/>
      </c>
      <c r="DQ8">
        <f>"Q"&amp;(INT(MOD(DQ5-4,12)/3)+1)</f>
        <v/>
      </c>
      <c r="DR8">
        <f>"Q"&amp;(INT(MOD(DR5-4,12)/3)+1)</f>
        <v/>
      </c>
    </row>
    <row r="9">
      <c r="A9" t="inlineStr">
        <is>
          <t>fy_quarter_key</t>
        </is>
      </c>
      <c r="C9">
        <f>C7&amp;" "&amp;C8</f>
        <v/>
      </c>
      <c r="D9">
        <f>D7&amp;" "&amp;D8</f>
        <v/>
      </c>
      <c r="E9">
        <f>E7&amp;" "&amp;E8</f>
        <v/>
      </c>
      <c r="F9">
        <f>F7&amp;" "&amp;F8</f>
        <v/>
      </c>
      <c r="G9">
        <f>G7&amp;" "&amp;G8</f>
        <v/>
      </c>
      <c r="H9">
        <f>H7&amp;" "&amp;H8</f>
        <v/>
      </c>
      <c r="I9">
        <f>I7&amp;" "&amp;I8</f>
        <v/>
      </c>
      <c r="J9">
        <f>J7&amp;" "&amp;J8</f>
        <v/>
      </c>
      <c r="K9">
        <f>K7&amp;" "&amp;K8</f>
        <v/>
      </c>
      <c r="L9">
        <f>L7&amp;" "&amp;L8</f>
        <v/>
      </c>
      <c r="M9">
        <f>M7&amp;" "&amp;M8</f>
        <v/>
      </c>
      <c r="N9">
        <f>N7&amp;" "&amp;N8</f>
        <v/>
      </c>
      <c r="O9">
        <f>O7&amp;" "&amp;O8</f>
        <v/>
      </c>
      <c r="P9">
        <f>P7&amp;" "&amp;P8</f>
        <v/>
      </c>
      <c r="Q9">
        <f>Q7&amp;" "&amp;Q8</f>
        <v/>
      </c>
      <c r="R9">
        <f>R7&amp;" "&amp;R8</f>
        <v/>
      </c>
      <c r="S9">
        <f>S7&amp;" "&amp;S8</f>
        <v/>
      </c>
      <c r="T9">
        <f>T7&amp;" "&amp;T8</f>
        <v/>
      </c>
      <c r="U9">
        <f>U7&amp;" "&amp;U8</f>
        <v/>
      </c>
      <c r="V9">
        <f>V7&amp;" "&amp;V8</f>
        <v/>
      </c>
      <c r="W9">
        <f>W7&amp;" "&amp;W8</f>
        <v/>
      </c>
      <c r="X9">
        <f>X7&amp;" "&amp;X8</f>
        <v/>
      </c>
      <c r="Y9">
        <f>Y7&amp;" "&amp;Y8</f>
        <v/>
      </c>
      <c r="Z9">
        <f>Z7&amp;" "&amp;Z8</f>
        <v/>
      </c>
      <c r="AA9">
        <f>AA7&amp;" "&amp;AA8</f>
        <v/>
      </c>
      <c r="AB9">
        <f>AB7&amp;" "&amp;AB8</f>
        <v/>
      </c>
      <c r="AC9">
        <f>AC7&amp;" "&amp;AC8</f>
        <v/>
      </c>
      <c r="AD9">
        <f>AD7&amp;" "&amp;AD8</f>
        <v/>
      </c>
      <c r="AE9">
        <f>AE7&amp;" "&amp;AE8</f>
        <v/>
      </c>
      <c r="AF9">
        <f>AF7&amp;" "&amp;AF8</f>
        <v/>
      </c>
      <c r="AG9">
        <f>AG7&amp;" "&amp;AG8</f>
        <v/>
      </c>
      <c r="AH9">
        <f>AH7&amp;" "&amp;AH8</f>
        <v/>
      </c>
      <c r="AI9">
        <f>AI7&amp;" "&amp;AI8</f>
        <v/>
      </c>
      <c r="AJ9">
        <f>AJ7&amp;" "&amp;AJ8</f>
        <v/>
      </c>
      <c r="AK9">
        <f>AK7&amp;" "&amp;AK8</f>
        <v/>
      </c>
      <c r="AL9">
        <f>AL7&amp;" "&amp;AL8</f>
        <v/>
      </c>
      <c r="AM9">
        <f>AM7&amp;" "&amp;AM8</f>
        <v/>
      </c>
      <c r="AN9">
        <f>AN7&amp;" "&amp;AN8</f>
        <v/>
      </c>
      <c r="AO9">
        <f>AO7&amp;" "&amp;AO8</f>
        <v/>
      </c>
      <c r="AP9">
        <f>AP7&amp;" "&amp;AP8</f>
        <v/>
      </c>
      <c r="AQ9">
        <f>AQ7&amp;" "&amp;AQ8</f>
        <v/>
      </c>
      <c r="AR9">
        <f>AR7&amp;" "&amp;AR8</f>
        <v/>
      </c>
      <c r="AS9">
        <f>AS7&amp;" "&amp;AS8</f>
        <v/>
      </c>
      <c r="AT9">
        <f>AT7&amp;" "&amp;AT8</f>
        <v/>
      </c>
      <c r="AU9">
        <f>AU7&amp;" "&amp;AU8</f>
        <v/>
      </c>
      <c r="AV9">
        <f>AV7&amp;" "&amp;AV8</f>
        <v/>
      </c>
      <c r="AW9">
        <f>AW7&amp;" "&amp;AW8</f>
        <v/>
      </c>
      <c r="AX9">
        <f>AX7&amp;" "&amp;AX8</f>
        <v/>
      </c>
      <c r="AY9">
        <f>AY7&amp;" "&amp;AY8</f>
        <v/>
      </c>
      <c r="AZ9">
        <f>AZ7&amp;" "&amp;AZ8</f>
        <v/>
      </c>
      <c r="BA9">
        <f>BA7&amp;" "&amp;BA8</f>
        <v/>
      </c>
      <c r="BB9">
        <f>BB7&amp;" "&amp;BB8</f>
        <v/>
      </c>
      <c r="BC9">
        <f>BC7&amp;" "&amp;BC8</f>
        <v/>
      </c>
      <c r="BD9">
        <f>BD7&amp;" "&amp;BD8</f>
        <v/>
      </c>
      <c r="BE9">
        <f>BE7&amp;" "&amp;BE8</f>
        <v/>
      </c>
      <c r="BF9">
        <f>BF7&amp;" "&amp;BF8</f>
        <v/>
      </c>
      <c r="BG9">
        <f>BG7&amp;" "&amp;BG8</f>
        <v/>
      </c>
      <c r="BH9">
        <f>BH7&amp;" "&amp;BH8</f>
        <v/>
      </c>
      <c r="BI9">
        <f>BI7&amp;" "&amp;BI8</f>
        <v/>
      </c>
      <c r="BJ9">
        <f>BJ7&amp;" "&amp;BJ8</f>
        <v/>
      </c>
      <c r="BK9">
        <f>BK7&amp;" "&amp;BK8</f>
        <v/>
      </c>
      <c r="BL9">
        <f>BL7&amp;" "&amp;BL8</f>
        <v/>
      </c>
      <c r="BM9">
        <f>BM7&amp;" "&amp;BM8</f>
        <v/>
      </c>
      <c r="BN9">
        <f>BN7&amp;" "&amp;BN8</f>
        <v/>
      </c>
      <c r="BO9">
        <f>BO7&amp;" "&amp;BO8</f>
        <v/>
      </c>
      <c r="BP9">
        <f>BP7&amp;" "&amp;BP8</f>
        <v/>
      </c>
      <c r="BQ9">
        <f>BQ7&amp;" "&amp;BQ8</f>
        <v/>
      </c>
      <c r="BR9">
        <f>BR7&amp;" "&amp;BR8</f>
        <v/>
      </c>
      <c r="BS9">
        <f>BS7&amp;" "&amp;BS8</f>
        <v/>
      </c>
      <c r="BT9">
        <f>BT7&amp;" "&amp;BT8</f>
        <v/>
      </c>
      <c r="BU9">
        <f>BU7&amp;" "&amp;BU8</f>
        <v/>
      </c>
      <c r="BV9">
        <f>BV7&amp;" "&amp;BV8</f>
        <v/>
      </c>
      <c r="BW9">
        <f>BW7&amp;" "&amp;BW8</f>
        <v/>
      </c>
      <c r="BX9">
        <f>BX7&amp;" "&amp;BX8</f>
        <v/>
      </c>
      <c r="BY9">
        <f>BY7&amp;" "&amp;BY8</f>
        <v/>
      </c>
      <c r="BZ9">
        <f>BZ7&amp;" "&amp;BZ8</f>
        <v/>
      </c>
      <c r="CA9">
        <f>CA7&amp;" "&amp;CA8</f>
        <v/>
      </c>
      <c r="CB9">
        <f>CB7&amp;" "&amp;CB8</f>
        <v/>
      </c>
      <c r="CC9">
        <f>CC7&amp;" "&amp;CC8</f>
        <v/>
      </c>
      <c r="CD9">
        <f>CD7&amp;" "&amp;CD8</f>
        <v/>
      </c>
      <c r="CE9">
        <f>CE7&amp;" "&amp;CE8</f>
        <v/>
      </c>
      <c r="CF9">
        <f>CF7&amp;" "&amp;CF8</f>
        <v/>
      </c>
      <c r="CG9">
        <f>CG7&amp;" "&amp;CG8</f>
        <v/>
      </c>
      <c r="CH9">
        <f>CH7&amp;" "&amp;CH8</f>
        <v/>
      </c>
      <c r="CI9">
        <f>CI7&amp;" "&amp;CI8</f>
        <v/>
      </c>
      <c r="CJ9">
        <f>CJ7&amp;" "&amp;CJ8</f>
        <v/>
      </c>
      <c r="CK9">
        <f>CK7&amp;" "&amp;CK8</f>
        <v/>
      </c>
      <c r="CL9">
        <f>CL7&amp;" "&amp;CL8</f>
        <v/>
      </c>
      <c r="CM9">
        <f>CM7&amp;" "&amp;CM8</f>
        <v/>
      </c>
      <c r="CN9">
        <f>CN7&amp;" "&amp;CN8</f>
        <v/>
      </c>
      <c r="CO9">
        <f>CO7&amp;" "&amp;CO8</f>
        <v/>
      </c>
      <c r="CP9">
        <f>CP7&amp;" "&amp;CP8</f>
        <v/>
      </c>
      <c r="CQ9">
        <f>CQ7&amp;" "&amp;CQ8</f>
        <v/>
      </c>
      <c r="CR9">
        <f>CR7&amp;" "&amp;CR8</f>
        <v/>
      </c>
      <c r="CS9">
        <f>CS7&amp;" "&amp;CS8</f>
        <v/>
      </c>
      <c r="CT9">
        <f>CT7&amp;" "&amp;CT8</f>
        <v/>
      </c>
      <c r="CU9">
        <f>CU7&amp;" "&amp;CU8</f>
        <v/>
      </c>
      <c r="CV9">
        <f>CV7&amp;" "&amp;CV8</f>
        <v/>
      </c>
      <c r="CW9">
        <f>CW7&amp;" "&amp;CW8</f>
        <v/>
      </c>
      <c r="CX9">
        <f>CX7&amp;" "&amp;CX8</f>
        <v/>
      </c>
      <c r="CY9">
        <f>CY7&amp;" "&amp;CY8</f>
        <v/>
      </c>
      <c r="CZ9">
        <f>CZ7&amp;" "&amp;CZ8</f>
        <v/>
      </c>
      <c r="DA9">
        <f>DA7&amp;" "&amp;DA8</f>
        <v/>
      </c>
      <c r="DB9">
        <f>DB7&amp;" "&amp;DB8</f>
        <v/>
      </c>
      <c r="DC9">
        <f>DC7&amp;" "&amp;DC8</f>
        <v/>
      </c>
      <c r="DD9">
        <f>DD7&amp;" "&amp;DD8</f>
        <v/>
      </c>
      <c r="DE9">
        <f>DE7&amp;" "&amp;DE8</f>
        <v/>
      </c>
      <c r="DF9">
        <f>DF7&amp;" "&amp;DF8</f>
        <v/>
      </c>
      <c r="DG9">
        <f>DG7&amp;" "&amp;DG8</f>
        <v/>
      </c>
      <c r="DH9">
        <f>DH7&amp;" "&amp;DH8</f>
        <v/>
      </c>
      <c r="DI9">
        <f>DI7&amp;" "&amp;DI8</f>
        <v/>
      </c>
      <c r="DJ9">
        <f>DJ7&amp;" "&amp;DJ8</f>
        <v/>
      </c>
      <c r="DK9">
        <f>DK7&amp;" "&amp;DK8</f>
        <v/>
      </c>
      <c r="DL9">
        <f>DL7&amp;" "&amp;DL8</f>
        <v/>
      </c>
      <c r="DM9">
        <f>DM7&amp;" "&amp;DM8</f>
        <v/>
      </c>
      <c r="DN9">
        <f>DN7&amp;" "&amp;DN8</f>
        <v/>
      </c>
      <c r="DO9">
        <f>DO7&amp;" "&amp;DO8</f>
        <v/>
      </c>
      <c r="DP9">
        <f>DP7&amp;" "&amp;DP8</f>
        <v/>
      </c>
      <c r="DQ9">
        <f>DQ7&amp;" "&amp;DQ8</f>
        <v/>
      </c>
      <c r="DR9">
        <f>DR7&amp;" "&amp;DR8</f>
        <v/>
      </c>
    </row>
    <row r="10">
      <c r="A10" t="inlineStr">
        <is>
          <t>revenue_ch1</t>
        </is>
      </c>
      <c r="B10" t="inlineStr">
        <is>
          <t>channel idx 0</t>
        </is>
      </c>
      <c r="C10" s="25">
        <f>IF(OR(C$4=0,SUM(Effective!$F$26:$Q$26)&lt;=0),0,Effective!$C$26*INDEX(Effective!$F$26:$Q$26,1,C$5)/SUM(Effective!$F$26:$Q$26)*(1+Effective!$D$26)^C$6)</f>
        <v/>
      </c>
      <c r="D10" s="25">
        <f>IF(OR(D$4=0,SUM(Effective!$F$26:$Q$26)&lt;=0),0,Effective!$C$26*INDEX(Effective!$F$26:$Q$26,1,D$5)/SUM(Effective!$F$26:$Q$26)*(1+Effective!$D$26)^D$6)</f>
        <v/>
      </c>
      <c r="E10" s="25">
        <f>IF(OR(E$4=0,SUM(Effective!$F$26:$Q$26)&lt;=0),0,Effective!$C$26*INDEX(Effective!$F$26:$Q$26,1,E$5)/SUM(Effective!$F$26:$Q$26)*(1+Effective!$D$26)^E$6)</f>
        <v/>
      </c>
      <c r="F10" s="25">
        <f>IF(OR(F$4=0,SUM(Effective!$F$26:$Q$26)&lt;=0),0,Effective!$C$26*INDEX(Effective!$F$26:$Q$26,1,F$5)/SUM(Effective!$F$26:$Q$26)*(1+Effective!$D$26)^F$6)</f>
        <v/>
      </c>
      <c r="G10" s="25">
        <f>IF(OR(G$4=0,SUM(Effective!$F$26:$Q$26)&lt;=0),0,Effective!$C$26*INDEX(Effective!$F$26:$Q$26,1,G$5)/SUM(Effective!$F$26:$Q$26)*(1+Effective!$D$26)^G$6)</f>
        <v/>
      </c>
      <c r="H10" s="25">
        <f>IF(OR(H$4=0,SUM(Effective!$F$26:$Q$26)&lt;=0),0,Effective!$C$26*INDEX(Effective!$F$26:$Q$26,1,H$5)/SUM(Effective!$F$26:$Q$26)*(1+Effective!$D$26)^H$6)</f>
        <v/>
      </c>
      <c r="I10" s="25">
        <f>IF(OR(I$4=0,SUM(Effective!$F$26:$Q$26)&lt;=0),0,Effective!$C$26*INDEX(Effective!$F$26:$Q$26,1,I$5)/SUM(Effective!$F$26:$Q$26)*(1+Effective!$D$26)^I$6)</f>
        <v/>
      </c>
      <c r="J10" s="25">
        <f>IF(OR(J$4=0,SUM(Effective!$F$26:$Q$26)&lt;=0),0,Effective!$C$26*INDEX(Effective!$F$26:$Q$26,1,J$5)/SUM(Effective!$F$26:$Q$26)*(1+Effective!$D$26)^J$6)</f>
        <v/>
      </c>
      <c r="K10" s="25">
        <f>IF(OR(K$4=0,SUM(Effective!$F$26:$Q$26)&lt;=0),0,Effective!$C$26*INDEX(Effective!$F$26:$Q$26,1,K$5)/SUM(Effective!$F$26:$Q$26)*(1+Effective!$D$26)^K$6)</f>
        <v/>
      </c>
      <c r="L10" s="25">
        <f>IF(OR(L$4=0,SUM(Effective!$F$26:$Q$26)&lt;=0),0,Effective!$C$26*INDEX(Effective!$F$26:$Q$26,1,L$5)/SUM(Effective!$F$26:$Q$26)*(1+Effective!$D$26)^L$6)</f>
        <v/>
      </c>
      <c r="M10" s="25">
        <f>IF(OR(M$4=0,SUM(Effective!$F$26:$Q$26)&lt;=0),0,Effective!$C$26*INDEX(Effective!$F$26:$Q$26,1,M$5)/SUM(Effective!$F$26:$Q$26)*(1+Effective!$D$26)^M$6)</f>
        <v/>
      </c>
      <c r="N10" s="25">
        <f>IF(OR(N$4=0,SUM(Effective!$F$26:$Q$26)&lt;=0),0,Effective!$C$26*INDEX(Effective!$F$26:$Q$26,1,N$5)/SUM(Effective!$F$26:$Q$26)*(1+Effective!$D$26)^N$6)</f>
        <v/>
      </c>
      <c r="O10" s="25">
        <f>IF(OR(O$4=0,SUM(Effective!$F$26:$Q$26)&lt;=0),0,Effective!$C$26*INDEX(Effective!$F$26:$Q$26,1,O$5)/SUM(Effective!$F$26:$Q$26)*(1+Effective!$D$26)^O$6)</f>
        <v/>
      </c>
      <c r="P10" s="25">
        <f>IF(OR(P$4=0,SUM(Effective!$F$26:$Q$26)&lt;=0),0,Effective!$C$26*INDEX(Effective!$F$26:$Q$26,1,P$5)/SUM(Effective!$F$26:$Q$26)*(1+Effective!$D$26)^P$6)</f>
        <v/>
      </c>
      <c r="Q10" s="25">
        <f>IF(OR(Q$4=0,SUM(Effective!$F$26:$Q$26)&lt;=0),0,Effective!$C$26*INDEX(Effective!$F$26:$Q$26,1,Q$5)/SUM(Effective!$F$26:$Q$26)*(1+Effective!$D$26)^Q$6)</f>
        <v/>
      </c>
      <c r="R10" s="25">
        <f>IF(OR(R$4=0,SUM(Effective!$F$26:$Q$26)&lt;=0),0,Effective!$C$26*INDEX(Effective!$F$26:$Q$26,1,R$5)/SUM(Effective!$F$26:$Q$26)*(1+Effective!$D$26)^R$6)</f>
        <v/>
      </c>
      <c r="S10" s="25">
        <f>IF(OR(S$4=0,SUM(Effective!$F$26:$Q$26)&lt;=0),0,Effective!$C$26*INDEX(Effective!$F$26:$Q$26,1,S$5)/SUM(Effective!$F$26:$Q$26)*(1+Effective!$D$26)^S$6)</f>
        <v/>
      </c>
      <c r="T10" s="25">
        <f>IF(OR(T$4=0,SUM(Effective!$F$26:$Q$26)&lt;=0),0,Effective!$C$26*INDEX(Effective!$F$26:$Q$26,1,T$5)/SUM(Effective!$F$26:$Q$26)*(1+Effective!$D$26)^T$6)</f>
        <v/>
      </c>
      <c r="U10" s="25">
        <f>IF(OR(U$4=0,SUM(Effective!$F$26:$Q$26)&lt;=0),0,Effective!$C$26*INDEX(Effective!$F$26:$Q$26,1,U$5)/SUM(Effective!$F$26:$Q$26)*(1+Effective!$D$26)^U$6)</f>
        <v/>
      </c>
      <c r="V10" s="25">
        <f>IF(OR(V$4=0,SUM(Effective!$F$26:$Q$26)&lt;=0),0,Effective!$C$26*INDEX(Effective!$F$26:$Q$26,1,V$5)/SUM(Effective!$F$26:$Q$26)*(1+Effective!$D$26)^V$6)</f>
        <v/>
      </c>
      <c r="W10" s="25">
        <f>IF(OR(W$4=0,SUM(Effective!$F$26:$Q$26)&lt;=0),0,Effective!$C$26*INDEX(Effective!$F$26:$Q$26,1,W$5)/SUM(Effective!$F$26:$Q$26)*(1+Effective!$D$26)^W$6)</f>
        <v/>
      </c>
      <c r="X10" s="25">
        <f>IF(OR(X$4=0,SUM(Effective!$F$26:$Q$26)&lt;=0),0,Effective!$C$26*INDEX(Effective!$F$26:$Q$26,1,X$5)/SUM(Effective!$F$26:$Q$26)*(1+Effective!$D$26)^X$6)</f>
        <v/>
      </c>
      <c r="Y10" s="25">
        <f>IF(OR(Y$4=0,SUM(Effective!$F$26:$Q$26)&lt;=0),0,Effective!$C$26*INDEX(Effective!$F$26:$Q$26,1,Y$5)/SUM(Effective!$F$26:$Q$26)*(1+Effective!$D$26)^Y$6)</f>
        <v/>
      </c>
      <c r="Z10" s="25">
        <f>IF(OR(Z$4=0,SUM(Effective!$F$26:$Q$26)&lt;=0),0,Effective!$C$26*INDEX(Effective!$F$26:$Q$26,1,Z$5)/SUM(Effective!$F$26:$Q$26)*(1+Effective!$D$26)^Z$6)</f>
        <v/>
      </c>
      <c r="AA10" s="25">
        <f>IF(OR(AA$4=0,SUM(Effective!$F$26:$Q$26)&lt;=0),0,Effective!$C$26*INDEX(Effective!$F$26:$Q$26,1,AA$5)/SUM(Effective!$F$26:$Q$26)*(1+Effective!$D$26)^AA$6)</f>
        <v/>
      </c>
      <c r="AB10" s="25">
        <f>IF(OR(AB$4=0,SUM(Effective!$F$26:$Q$26)&lt;=0),0,Effective!$C$26*INDEX(Effective!$F$26:$Q$26,1,AB$5)/SUM(Effective!$F$26:$Q$26)*(1+Effective!$D$26)^AB$6)</f>
        <v/>
      </c>
      <c r="AC10" s="25">
        <f>IF(OR(AC$4=0,SUM(Effective!$F$26:$Q$26)&lt;=0),0,Effective!$C$26*INDEX(Effective!$F$26:$Q$26,1,AC$5)/SUM(Effective!$F$26:$Q$26)*(1+Effective!$D$26)^AC$6)</f>
        <v/>
      </c>
      <c r="AD10" s="25">
        <f>IF(OR(AD$4=0,SUM(Effective!$F$26:$Q$26)&lt;=0),0,Effective!$C$26*INDEX(Effective!$F$26:$Q$26,1,AD$5)/SUM(Effective!$F$26:$Q$26)*(1+Effective!$D$26)^AD$6)</f>
        <v/>
      </c>
      <c r="AE10" s="25">
        <f>IF(OR(AE$4=0,SUM(Effective!$F$26:$Q$26)&lt;=0),0,Effective!$C$26*INDEX(Effective!$F$26:$Q$26,1,AE$5)/SUM(Effective!$F$26:$Q$26)*(1+Effective!$D$26)^AE$6)</f>
        <v/>
      </c>
      <c r="AF10" s="25">
        <f>IF(OR(AF$4=0,SUM(Effective!$F$26:$Q$26)&lt;=0),0,Effective!$C$26*INDEX(Effective!$F$26:$Q$26,1,AF$5)/SUM(Effective!$F$26:$Q$26)*(1+Effective!$D$26)^AF$6)</f>
        <v/>
      </c>
      <c r="AG10" s="25">
        <f>IF(OR(AG$4=0,SUM(Effective!$F$26:$Q$26)&lt;=0),0,Effective!$C$26*INDEX(Effective!$F$26:$Q$26,1,AG$5)/SUM(Effective!$F$26:$Q$26)*(1+Effective!$D$26)^AG$6)</f>
        <v/>
      </c>
      <c r="AH10" s="25">
        <f>IF(OR(AH$4=0,SUM(Effective!$F$26:$Q$26)&lt;=0),0,Effective!$C$26*INDEX(Effective!$F$26:$Q$26,1,AH$5)/SUM(Effective!$F$26:$Q$26)*(1+Effective!$D$26)^AH$6)</f>
        <v/>
      </c>
      <c r="AI10" s="25">
        <f>IF(OR(AI$4=0,SUM(Effective!$F$26:$Q$26)&lt;=0),0,Effective!$C$26*INDEX(Effective!$F$26:$Q$26,1,AI$5)/SUM(Effective!$F$26:$Q$26)*(1+Effective!$D$26)^AI$6)</f>
        <v/>
      </c>
      <c r="AJ10" s="25">
        <f>IF(OR(AJ$4=0,SUM(Effective!$F$26:$Q$26)&lt;=0),0,Effective!$C$26*INDEX(Effective!$F$26:$Q$26,1,AJ$5)/SUM(Effective!$F$26:$Q$26)*(1+Effective!$D$26)^AJ$6)</f>
        <v/>
      </c>
      <c r="AK10" s="25">
        <f>IF(OR(AK$4=0,SUM(Effective!$F$26:$Q$26)&lt;=0),0,Effective!$C$26*INDEX(Effective!$F$26:$Q$26,1,AK$5)/SUM(Effective!$F$26:$Q$26)*(1+Effective!$D$26)^AK$6)</f>
        <v/>
      </c>
      <c r="AL10" s="25">
        <f>IF(OR(AL$4=0,SUM(Effective!$F$26:$Q$26)&lt;=0),0,Effective!$C$26*INDEX(Effective!$F$26:$Q$26,1,AL$5)/SUM(Effective!$F$26:$Q$26)*(1+Effective!$D$26)^AL$6)</f>
        <v/>
      </c>
      <c r="AM10" s="25">
        <f>IF(OR(AM$4=0,SUM(Effective!$F$26:$Q$26)&lt;=0),0,Effective!$C$26*INDEX(Effective!$F$26:$Q$26,1,AM$5)/SUM(Effective!$F$26:$Q$26)*(1+Effective!$D$26)^AM$6)</f>
        <v/>
      </c>
      <c r="AN10" s="25">
        <f>IF(OR(AN$4=0,SUM(Effective!$F$26:$Q$26)&lt;=0),0,Effective!$C$26*INDEX(Effective!$F$26:$Q$26,1,AN$5)/SUM(Effective!$F$26:$Q$26)*(1+Effective!$D$26)^AN$6)</f>
        <v/>
      </c>
      <c r="AO10" s="25">
        <f>IF(OR(AO$4=0,SUM(Effective!$F$26:$Q$26)&lt;=0),0,Effective!$C$26*INDEX(Effective!$F$26:$Q$26,1,AO$5)/SUM(Effective!$F$26:$Q$26)*(1+Effective!$D$26)^AO$6)</f>
        <v/>
      </c>
      <c r="AP10" s="25">
        <f>IF(OR(AP$4=0,SUM(Effective!$F$26:$Q$26)&lt;=0),0,Effective!$C$26*INDEX(Effective!$F$26:$Q$26,1,AP$5)/SUM(Effective!$F$26:$Q$26)*(1+Effective!$D$26)^AP$6)</f>
        <v/>
      </c>
      <c r="AQ10" s="25">
        <f>IF(OR(AQ$4=0,SUM(Effective!$F$26:$Q$26)&lt;=0),0,Effective!$C$26*INDEX(Effective!$F$26:$Q$26,1,AQ$5)/SUM(Effective!$F$26:$Q$26)*(1+Effective!$D$26)^AQ$6)</f>
        <v/>
      </c>
      <c r="AR10" s="25">
        <f>IF(OR(AR$4=0,SUM(Effective!$F$26:$Q$26)&lt;=0),0,Effective!$C$26*INDEX(Effective!$F$26:$Q$26,1,AR$5)/SUM(Effective!$F$26:$Q$26)*(1+Effective!$D$26)^AR$6)</f>
        <v/>
      </c>
      <c r="AS10" s="25">
        <f>IF(OR(AS$4=0,SUM(Effective!$F$26:$Q$26)&lt;=0),0,Effective!$C$26*INDEX(Effective!$F$26:$Q$26,1,AS$5)/SUM(Effective!$F$26:$Q$26)*(1+Effective!$D$26)^AS$6)</f>
        <v/>
      </c>
      <c r="AT10" s="25">
        <f>IF(OR(AT$4=0,SUM(Effective!$F$26:$Q$26)&lt;=0),0,Effective!$C$26*INDEX(Effective!$F$26:$Q$26,1,AT$5)/SUM(Effective!$F$26:$Q$26)*(1+Effective!$D$26)^AT$6)</f>
        <v/>
      </c>
      <c r="AU10" s="25">
        <f>IF(OR(AU$4=0,SUM(Effective!$F$26:$Q$26)&lt;=0),0,Effective!$C$26*INDEX(Effective!$F$26:$Q$26,1,AU$5)/SUM(Effective!$F$26:$Q$26)*(1+Effective!$D$26)^AU$6)</f>
        <v/>
      </c>
      <c r="AV10" s="25">
        <f>IF(OR(AV$4=0,SUM(Effective!$F$26:$Q$26)&lt;=0),0,Effective!$C$26*INDEX(Effective!$F$26:$Q$26,1,AV$5)/SUM(Effective!$F$26:$Q$26)*(1+Effective!$D$26)^AV$6)</f>
        <v/>
      </c>
      <c r="AW10" s="25">
        <f>IF(OR(AW$4=0,SUM(Effective!$F$26:$Q$26)&lt;=0),0,Effective!$C$26*INDEX(Effective!$F$26:$Q$26,1,AW$5)/SUM(Effective!$F$26:$Q$26)*(1+Effective!$D$26)^AW$6)</f>
        <v/>
      </c>
      <c r="AX10" s="25">
        <f>IF(OR(AX$4=0,SUM(Effective!$F$26:$Q$26)&lt;=0),0,Effective!$C$26*INDEX(Effective!$F$26:$Q$26,1,AX$5)/SUM(Effective!$F$26:$Q$26)*(1+Effective!$D$26)^AX$6)</f>
        <v/>
      </c>
      <c r="AY10" s="25">
        <f>IF(OR(AY$4=0,SUM(Effective!$F$26:$Q$26)&lt;=0),0,Effective!$C$26*INDEX(Effective!$F$26:$Q$26,1,AY$5)/SUM(Effective!$F$26:$Q$26)*(1+Effective!$D$26)^AY$6)</f>
        <v/>
      </c>
      <c r="AZ10" s="25">
        <f>IF(OR(AZ$4=0,SUM(Effective!$F$26:$Q$26)&lt;=0),0,Effective!$C$26*INDEX(Effective!$F$26:$Q$26,1,AZ$5)/SUM(Effective!$F$26:$Q$26)*(1+Effective!$D$26)^AZ$6)</f>
        <v/>
      </c>
      <c r="BA10" s="25">
        <f>IF(OR(BA$4=0,SUM(Effective!$F$26:$Q$26)&lt;=0),0,Effective!$C$26*INDEX(Effective!$F$26:$Q$26,1,BA$5)/SUM(Effective!$F$26:$Q$26)*(1+Effective!$D$26)^BA$6)</f>
        <v/>
      </c>
      <c r="BB10" s="25">
        <f>IF(OR(BB$4=0,SUM(Effective!$F$26:$Q$26)&lt;=0),0,Effective!$C$26*INDEX(Effective!$F$26:$Q$26,1,BB$5)/SUM(Effective!$F$26:$Q$26)*(1+Effective!$D$26)^BB$6)</f>
        <v/>
      </c>
      <c r="BC10" s="25">
        <f>IF(OR(BC$4=0,SUM(Effective!$F$26:$Q$26)&lt;=0),0,Effective!$C$26*INDEX(Effective!$F$26:$Q$26,1,BC$5)/SUM(Effective!$F$26:$Q$26)*(1+Effective!$D$26)^BC$6)</f>
        <v/>
      </c>
      <c r="BD10" s="25">
        <f>IF(OR(BD$4=0,SUM(Effective!$F$26:$Q$26)&lt;=0),0,Effective!$C$26*INDEX(Effective!$F$26:$Q$26,1,BD$5)/SUM(Effective!$F$26:$Q$26)*(1+Effective!$D$26)^BD$6)</f>
        <v/>
      </c>
      <c r="BE10" s="25">
        <f>IF(OR(BE$4=0,SUM(Effective!$F$26:$Q$26)&lt;=0),0,Effective!$C$26*INDEX(Effective!$F$26:$Q$26,1,BE$5)/SUM(Effective!$F$26:$Q$26)*(1+Effective!$D$26)^BE$6)</f>
        <v/>
      </c>
      <c r="BF10" s="25">
        <f>IF(OR(BF$4=0,SUM(Effective!$F$26:$Q$26)&lt;=0),0,Effective!$C$26*INDEX(Effective!$F$26:$Q$26,1,BF$5)/SUM(Effective!$F$26:$Q$26)*(1+Effective!$D$26)^BF$6)</f>
        <v/>
      </c>
      <c r="BG10" s="25">
        <f>IF(OR(BG$4=0,SUM(Effective!$F$26:$Q$26)&lt;=0),0,Effective!$C$26*INDEX(Effective!$F$26:$Q$26,1,BG$5)/SUM(Effective!$F$26:$Q$26)*(1+Effective!$D$26)^BG$6)</f>
        <v/>
      </c>
      <c r="BH10" s="25">
        <f>IF(OR(BH$4=0,SUM(Effective!$F$26:$Q$26)&lt;=0),0,Effective!$C$26*INDEX(Effective!$F$26:$Q$26,1,BH$5)/SUM(Effective!$F$26:$Q$26)*(1+Effective!$D$26)^BH$6)</f>
        <v/>
      </c>
      <c r="BI10" s="25">
        <f>IF(OR(BI$4=0,SUM(Effective!$F$26:$Q$26)&lt;=0),0,Effective!$C$26*INDEX(Effective!$F$26:$Q$26,1,BI$5)/SUM(Effective!$F$26:$Q$26)*(1+Effective!$D$26)^BI$6)</f>
        <v/>
      </c>
      <c r="BJ10" s="25">
        <f>IF(OR(BJ$4=0,SUM(Effective!$F$26:$Q$26)&lt;=0),0,Effective!$C$26*INDEX(Effective!$F$26:$Q$26,1,BJ$5)/SUM(Effective!$F$26:$Q$26)*(1+Effective!$D$26)^BJ$6)</f>
        <v/>
      </c>
      <c r="BK10" s="25">
        <f>IF(OR(BK$4=0,SUM(Effective!$F$26:$Q$26)&lt;=0),0,Effective!$C$26*INDEX(Effective!$F$26:$Q$26,1,BK$5)/SUM(Effective!$F$26:$Q$26)*(1+Effective!$D$26)^BK$6)</f>
        <v/>
      </c>
      <c r="BL10" s="25">
        <f>IF(OR(BL$4=0,SUM(Effective!$F$26:$Q$26)&lt;=0),0,Effective!$C$26*INDEX(Effective!$F$26:$Q$26,1,BL$5)/SUM(Effective!$F$26:$Q$26)*(1+Effective!$D$26)^BL$6)</f>
        <v/>
      </c>
      <c r="BM10" s="25">
        <f>IF(OR(BM$4=0,SUM(Effective!$F$26:$Q$26)&lt;=0),0,Effective!$C$26*INDEX(Effective!$F$26:$Q$26,1,BM$5)/SUM(Effective!$F$26:$Q$26)*(1+Effective!$D$26)^BM$6)</f>
        <v/>
      </c>
      <c r="BN10" s="25">
        <f>IF(OR(BN$4=0,SUM(Effective!$F$26:$Q$26)&lt;=0),0,Effective!$C$26*INDEX(Effective!$F$26:$Q$26,1,BN$5)/SUM(Effective!$F$26:$Q$26)*(1+Effective!$D$26)^BN$6)</f>
        <v/>
      </c>
      <c r="BO10" s="25">
        <f>IF(OR(BO$4=0,SUM(Effective!$F$26:$Q$26)&lt;=0),0,Effective!$C$26*INDEX(Effective!$F$26:$Q$26,1,BO$5)/SUM(Effective!$F$26:$Q$26)*(1+Effective!$D$26)^BO$6)</f>
        <v/>
      </c>
      <c r="BP10" s="25">
        <f>IF(OR(BP$4=0,SUM(Effective!$F$26:$Q$26)&lt;=0),0,Effective!$C$26*INDEX(Effective!$F$26:$Q$26,1,BP$5)/SUM(Effective!$F$26:$Q$26)*(1+Effective!$D$26)^BP$6)</f>
        <v/>
      </c>
      <c r="BQ10" s="25">
        <f>IF(OR(BQ$4=0,SUM(Effective!$F$26:$Q$26)&lt;=0),0,Effective!$C$26*INDEX(Effective!$F$26:$Q$26,1,BQ$5)/SUM(Effective!$F$26:$Q$26)*(1+Effective!$D$26)^BQ$6)</f>
        <v/>
      </c>
      <c r="BR10" s="25">
        <f>IF(OR(BR$4=0,SUM(Effective!$F$26:$Q$26)&lt;=0),0,Effective!$C$26*INDEX(Effective!$F$26:$Q$26,1,BR$5)/SUM(Effective!$F$26:$Q$26)*(1+Effective!$D$26)^BR$6)</f>
        <v/>
      </c>
      <c r="BS10" s="25">
        <f>IF(OR(BS$4=0,SUM(Effective!$F$26:$Q$26)&lt;=0),0,Effective!$C$26*INDEX(Effective!$F$26:$Q$26,1,BS$5)/SUM(Effective!$F$26:$Q$26)*(1+Effective!$D$26)^BS$6)</f>
        <v/>
      </c>
      <c r="BT10" s="25">
        <f>IF(OR(BT$4=0,SUM(Effective!$F$26:$Q$26)&lt;=0),0,Effective!$C$26*INDEX(Effective!$F$26:$Q$26,1,BT$5)/SUM(Effective!$F$26:$Q$26)*(1+Effective!$D$26)^BT$6)</f>
        <v/>
      </c>
      <c r="BU10" s="25">
        <f>IF(OR(BU$4=0,SUM(Effective!$F$26:$Q$26)&lt;=0),0,Effective!$C$26*INDEX(Effective!$F$26:$Q$26,1,BU$5)/SUM(Effective!$F$26:$Q$26)*(1+Effective!$D$26)^BU$6)</f>
        <v/>
      </c>
      <c r="BV10" s="25">
        <f>IF(OR(BV$4=0,SUM(Effective!$F$26:$Q$26)&lt;=0),0,Effective!$C$26*INDEX(Effective!$F$26:$Q$26,1,BV$5)/SUM(Effective!$F$26:$Q$26)*(1+Effective!$D$26)^BV$6)</f>
        <v/>
      </c>
      <c r="BW10" s="25">
        <f>IF(OR(BW$4=0,SUM(Effective!$F$26:$Q$26)&lt;=0),0,Effective!$C$26*INDEX(Effective!$F$26:$Q$26,1,BW$5)/SUM(Effective!$F$26:$Q$26)*(1+Effective!$D$26)^BW$6)</f>
        <v/>
      </c>
      <c r="BX10" s="25">
        <f>IF(OR(BX$4=0,SUM(Effective!$F$26:$Q$26)&lt;=0),0,Effective!$C$26*INDEX(Effective!$F$26:$Q$26,1,BX$5)/SUM(Effective!$F$26:$Q$26)*(1+Effective!$D$26)^BX$6)</f>
        <v/>
      </c>
      <c r="BY10" s="25">
        <f>IF(OR(BY$4=0,SUM(Effective!$F$26:$Q$26)&lt;=0),0,Effective!$C$26*INDEX(Effective!$F$26:$Q$26,1,BY$5)/SUM(Effective!$F$26:$Q$26)*(1+Effective!$D$26)^BY$6)</f>
        <v/>
      </c>
      <c r="BZ10" s="25">
        <f>IF(OR(BZ$4=0,SUM(Effective!$F$26:$Q$26)&lt;=0),0,Effective!$C$26*INDEX(Effective!$F$26:$Q$26,1,BZ$5)/SUM(Effective!$F$26:$Q$26)*(1+Effective!$D$26)^BZ$6)</f>
        <v/>
      </c>
      <c r="CA10" s="25">
        <f>IF(OR(CA$4=0,SUM(Effective!$F$26:$Q$26)&lt;=0),0,Effective!$C$26*INDEX(Effective!$F$26:$Q$26,1,CA$5)/SUM(Effective!$F$26:$Q$26)*(1+Effective!$D$26)^CA$6)</f>
        <v/>
      </c>
      <c r="CB10" s="25">
        <f>IF(OR(CB$4=0,SUM(Effective!$F$26:$Q$26)&lt;=0),0,Effective!$C$26*INDEX(Effective!$F$26:$Q$26,1,CB$5)/SUM(Effective!$F$26:$Q$26)*(1+Effective!$D$26)^CB$6)</f>
        <v/>
      </c>
      <c r="CC10" s="25">
        <f>IF(OR(CC$4=0,SUM(Effective!$F$26:$Q$26)&lt;=0),0,Effective!$C$26*INDEX(Effective!$F$26:$Q$26,1,CC$5)/SUM(Effective!$F$26:$Q$26)*(1+Effective!$D$26)^CC$6)</f>
        <v/>
      </c>
      <c r="CD10" s="25">
        <f>IF(OR(CD$4=0,SUM(Effective!$F$26:$Q$26)&lt;=0),0,Effective!$C$26*INDEX(Effective!$F$26:$Q$26,1,CD$5)/SUM(Effective!$F$26:$Q$26)*(1+Effective!$D$26)^CD$6)</f>
        <v/>
      </c>
      <c r="CE10" s="25">
        <f>IF(OR(CE$4=0,SUM(Effective!$F$26:$Q$26)&lt;=0),0,Effective!$C$26*INDEX(Effective!$F$26:$Q$26,1,CE$5)/SUM(Effective!$F$26:$Q$26)*(1+Effective!$D$26)^CE$6)</f>
        <v/>
      </c>
      <c r="CF10" s="25">
        <f>IF(OR(CF$4=0,SUM(Effective!$F$26:$Q$26)&lt;=0),0,Effective!$C$26*INDEX(Effective!$F$26:$Q$26,1,CF$5)/SUM(Effective!$F$26:$Q$26)*(1+Effective!$D$26)^CF$6)</f>
        <v/>
      </c>
      <c r="CG10" s="25">
        <f>IF(OR(CG$4=0,SUM(Effective!$F$26:$Q$26)&lt;=0),0,Effective!$C$26*INDEX(Effective!$F$26:$Q$26,1,CG$5)/SUM(Effective!$F$26:$Q$26)*(1+Effective!$D$26)^CG$6)</f>
        <v/>
      </c>
      <c r="CH10" s="25">
        <f>IF(OR(CH$4=0,SUM(Effective!$F$26:$Q$26)&lt;=0),0,Effective!$C$26*INDEX(Effective!$F$26:$Q$26,1,CH$5)/SUM(Effective!$F$26:$Q$26)*(1+Effective!$D$26)^CH$6)</f>
        <v/>
      </c>
      <c r="CI10" s="25">
        <f>IF(OR(CI$4=0,SUM(Effective!$F$26:$Q$26)&lt;=0),0,Effective!$C$26*INDEX(Effective!$F$26:$Q$26,1,CI$5)/SUM(Effective!$F$26:$Q$26)*(1+Effective!$D$26)^CI$6)</f>
        <v/>
      </c>
      <c r="CJ10" s="25">
        <f>IF(OR(CJ$4=0,SUM(Effective!$F$26:$Q$26)&lt;=0),0,Effective!$C$26*INDEX(Effective!$F$26:$Q$26,1,CJ$5)/SUM(Effective!$F$26:$Q$26)*(1+Effective!$D$26)^CJ$6)</f>
        <v/>
      </c>
      <c r="CK10" s="25">
        <f>IF(OR(CK$4=0,SUM(Effective!$F$26:$Q$26)&lt;=0),0,Effective!$C$26*INDEX(Effective!$F$26:$Q$26,1,CK$5)/SUM(Effective!$F$26:$Q$26)*(1+Effective!$D$26)^CK$6)</f>
        <v/>
      </c>
      <c r="CL10" s="25">
        <f>IF(OR(CL$4=0,SUM(Effective!$F$26:$Q$26)&lt;=0),0,Effective!$C$26*INDEX(Effective!$F$26:$Q$26,1,CL$5)/SUM(Effective!$F$26:$Q$26)*(1+Effective!$D$26)^CL$6)</f>
        <v/>
      </c>
      <c r="CM10" s="25">
        <f>IF(OR(CM$4=0,SUM(Effective!$F$26:$Q$26)&lt;=0),0,Effective!$C$26*INDEX(Effective!$F$26:$Q$26,1,CM$5)/SUM(Effective!$F$26:$Q$26)*(1+Effective!$D$26)^CM$6)</f>
        <v/>
      </c>
      <c r="CN10" s="25">
        <f>IF(OR(CN$4=0,SUM(Effective!$F$26:$Q$26)&lt;=0),0,Effective!$C$26*INDEX(Effective!$F$26:$Q$26,1,CN$5)/SUM(Effective!$F$26:$Q$26)*(1+Effective!$D$26)^CN$6)</f>
        <v/>
      </c>
      <c r="CO10" s="25">
        <f>IF(OR(CO$4=0,SUM(Effective!$F$26:$Q$26)&lt;=0),0,Effective!$C$26*INDEX(Effective!$F$26:$Q$26,1,CO$5)/SUM(Effective!$F$26:$Q$26)*(1+Effective!$D$26)^CO$6)</f>
        <v/>
      </c>
      <c r="CP10" s="25">
        <f>IF(OR(CP$4=0,SUM(Effective!$F$26:$Q$26)&lt;=0),0,Effective!$C$26*INDEX(Effective!$F$26:$Q$26,1,CP$5)/SUM(Effective!$F$26:$Q$26)*(1+Effective!$D$26)^CP$6)</f>
        <v/>
      </c>
      <c r="CQ10" s="25">
        <f>IF(OR(CQ$4=0,SUM(Effective!$F$26:$Q$26)&lt;=0),0,Effective!$C$26*INDEX(Effective!$F$26:$Q$26,1,CQ$5)/SUM(Effective!$F$26:$Q$26)*(1+Effective!$D$26)^CQ$6)</f>
        <v/>
      </c>
      <c r="CR10" s="25">
        <f>IF(OR(CR$4=0,SUM(Effective!$F$26:$Q$26)&lt;=0),0,Effective!$C$26*INDEX(Effective!$F$26:$Q$26,1,CR$5)/SUM(Effective!$F$26:$Q$26)*(1+Effective!$D$26)^CR$6)</f>
        <v/>
      </c>
      <c r="CS10" s="25">
        <f>IF(OR(CS$4=0,SUM(Effective!$F$26:$Q$26)&lt;=0),0,Effective!$C$26*INDEX(Effective!$F$26:$Q$26,1,CS$5)/SUM(Effective!$F$26:$Q$26)*(1+Effective!$D$26)^CS$6)</f>
        <v/>
      </c>
      <c r="CT10" s="25">
        <f>IF(OR(CT$4=0,SUM(Effective!$F$26:$Q$26)&lt;=0),0,Effective!$C$26*INDEX(Effective!$F$26:$Q$26,1,CT$5)/SUM(Effective!$F$26:$Q$26)*(1+Effective!$D$26)^CT$6)</f>
        <v/>
      </c>
      <c r="CU10" s="25">
        <f>IF(OR(CU$4=0,SUM(Effective!$F$26:$Q$26)&lt;=0),0,Effective!$C$26*INDEX(Effective!$F$26:$Q$26,1,CU$5)/SUM(Effective!$F$26:$Q$26)*(1+Effective!$D$26)^CU$6)</f>
        <v/>
      </c>
      <c r="CV10" s="25">
        <f>IF(OR(CV$4=0,SUM(Effective!$F$26:$Q$26)&lt;=0),0,Effective!$C$26*INDEX(Effective!$F$26:$Q$26,1,CV$5)/SUM(Effective!$F$26:$Q$26)*(1+Effective!$D$26)^CV$6)</f>
        <v/>
      </c>
      <c r="CW10" s="25">
        <f>IF(OR(CW$4=0,SUM(Effective!$F$26:$Q$26)&lt;=0),0,Effective!$C$26*INDEX(Effective!$F$26:$Q$26,1,CW$5)/SUM(Effective!$F$26:$Q$26)*(1+Effective!$D$26)^CW$6)</f>
        <v/>
      </c>
      <c r="CX10" s="25">
        <f>IF(OR(CX$4=0,SUM(Effective!$F$26:$Q$26)&lt;=0),0,Effective!$C$26*INDEX(Effective!$F$26:$Q$26,1,CX$5)/SUM(Effective!$F$26:$Q$26)*(1+Effective!$D$26)^CX$6)</f>
        <v/>
      </c>
      <c r="CY10" s="25">
        <f>IF(OR(CY$4=0,SUM(Effective!$F$26:$Q$26)&lt;=0),0,Effective!$C$26*INDEX(Effective!$F$26:$Q$26,1,CY$5)/SUM(Effective!$F$26:$Q$26)*(1+Effective!$D$26)^CY$6)</f>
        <v/>
      </c>
      <c r="CZ10" s="25">
        <f>IF(OR(CZ$4=0,SUM(Effective!$F$26:$Q$26)&lt;=0),0,Effective!$C$26*INDEX(Effective!$F$26:$Q$26,1,CZ$5)/SUM(Effective!$F$26:$Q$26)*(1+Effective!$D$26)^CZ$6)</f>
        <v/>
      </c>
      <c r="DA10" s="25">
        <f>IF(OR(DA$4=0,SUM(Effective!$F$26:$Q$26)&lt;=0),0,Effective!$C$26*INDEX(Effective!$F$26:$Q$26,1,DA$5)/SUM(Effective!$F$26:$Q$26)*(1+Effective!$D$26)^DA$6)</f>
        <v/>
      </c>
      <c r="DB10" s="25">
        <f>IF(OR(DB$4=0,SUM(Effective!$F$26:$Q$26)&lt;=0),0,Effective!$C$26*INDEX(Effective!$F$26:$Q$26,1,DB$5)/SUM(Effective!$F$26:$Q$26)*(1+Effective!$D$26)^DB$6)</f>
        <v/>
      </c>
      <c r="DC10" s="25">
        <f>IF(OR(DC$4=0,SUM(Effective!$F$26:$Q$26)&lt;=0),0,Effective!$C$26*INDEX(Effective!$F$26:$Q$26,1,DC$5)/SUM(Effective!$F$26:$Q$26)*(1+Effective!$D$26)^DC$6)</f>
        <v/>
      </c>
      <c r="DD10" s="25">
        <f>IF(OR(DD$4=0,SUM(Effective!$F$26:$Q$26)&lt;=0),0,Effective!$C$26*INDEX(Effective!$F$26:$Q$26,1,DD$5)/SUM(Effective!$F$26:$Q$26)*(1+Effective!$D$26)^DD$6)</f>
        <v/>
      </c>
      <c r="DE10" s="25">
        <f>IF(OR(DE$4=0,SUM(Effective!$F$26:$Q$26)&lt;=0),0,Effective!$C$26*INDEX(Effective!$F$26:$Q$26,1,DE$5)/SUM(Effective!$F$26:$Q$26)*(1+Effective!$D$26)^DE$6)</f>
        <v/>
      </c>
      <c r="DF10" s="25">
        <f>IF(OR(DF$4=0,SUM(Effective!$F$26:$Q$26)&lt;=0),0,Effective!$C$26*INDEX(Effective!$F$26:$Q$26,1,DF$5)/SUM(Effective!$F$26:$Q$26)*(1+Effective!$D$26)^DF$6)</f>
        <v/>
      </c>
      <c r="DG10" s="25">
        <f>IF(OR(DG$4=0,SUM(Effective!$F$26:$Q$26)&lt;=0),0,Effective!$C$26*INDEX(Effective!$F$26:$Q$26,1,DG$5)/SUM(Effective!$F$26:$Q$26)*(1+Effective!$D$26)^DG$6)</f>
        <v/>
      </c>
      <c r="DH10" s="25">
        <f>IF(OR(DH$4=0,SUM(Effective!$F$26:$Q$26)&lt;=0),0,Effective!$C$26*INDEX(Effective!$F$26:$Q$26,1,DH$5)/SUM(Effective!$F$26:$Q$26)*(1+Effective!$D$26)^DH$6)</f>
        <v/>
      </c>
      <c r="DI10" s="25">
        <f>IF(OR(DI$4=0,SUM(Effective!$F$26:$Q$26)&lt;=0),0,Effective!$C$26*INDEX(Effective!$F$26:$Q$26,1,DI$5)/SUM(Effective!$F$26:$Q$26)*(1+Effective!$D$26)^DI$6)</f>
        <v/>
      </c>
      <c r="DJ10" s="25">
        <f>IF(OR(DJ$4=0,SUM(Effective!$F$26:$Q$26)&lt;=0),0,Effective!$C$26*INDEX(Effective!$F$26:$Q$26,1,DJ$5)/SUM(Effective!$F$26:$Q$26)*(1+Effective!$D$26)^DJ$6)</f>
        <v/>
      </c>
      <c r="DK10" s="25">
        <f>IF(OR(DK$4=0,SUM(Effective!$F$26:$Q$26)&lt;=0),0,Effective!$C$26*INDEX(Effective!$F$26:$Q$26,1,DK$5)/SUM(Effective!$F$26:$Q$26)*(1+Effective!$D$26)^DK$6)</f>
        <v/>
      </c>
      <c r="DL10" s="25">
        <f>IF(OR(DL$4=0,SUM(Effective!$F$26:$Q$26)&lt;=0),0,Effective!$C$26*INDEX(Effective!$F$26:$Q$26,1,DL$5)/SUM(Effective!$F$26:$Q$26)*(1+Effective!$D$26)^DL$6)</f>
        <v/>
      </c>
      <c r="DM10" s="25">
        <f>IF(OR(DM$4=0,SUM(Effective!$F$26:$Q$26)&lt;=0),0,Effective!$C$26*INDEX(Effective!$F$26:$Q$26,1,DM$5)/SUM(Effective!$F$26:$Q$26)*(1+Effective!$D$26)^DM$6)</f>
        <v/>
      </c>
      <c r="DN10" s="25">
        <f>IF(OR(DN$4=0,SUM(Effective!$F$26:$Q$26)&lt;=0),0,Effective!$C$26*INDEX(Effective!$F$26:$Q$26,1,DN$5)/SUM(Effective!$F$26:$Q$26)*(1+Effective!$D$26)^DN$6)</f>
        <v/>
      </c>
      <c r="DO10" s="25">
        <f>IF(OR(DO$4=0,SUM(Effective!$F$26:$Q$26)&lt;=0),0,Effective!$C$26*INDEX(Effective!$F$26:$Q$26,1,DO$5)/SUM(Effective!$F$26:$Q$26)*(1+Effective!$D$26)^DO$6)</f>
        <v/>
      </c>
      <c r="DP10" s="25">
        <f>IF(OR(DP$4=0,SUM(Effective!$F$26:$Q$26)&lt;=0),0,Effective!$C$26*INDEX(Effective!$F$26:$Q$26,1,DP$5)/SUM(Effective!$F$26:$Q$26)*(1+Effective!$D$26)^DP$6)</f>
        <v/>
      </c>
      <c r="DQ10" s="25">
        <f>IF(OR(DQ$4=0,SUM(Effective!$F$26:$Q$26)&lt;=0),0,Effective!$C$26*INDEX(Effective!$F$26:$Q$26,1,DQ$5)/SUM(Effective!$F$26:$Q$26)*(1+Effective!$D$26)^DQ$6)</f>
        <v/>
      </c>
      <c r="DR10" s="25">
        <f>IF(OR(DR$4=0,SUM(Effective!$F$26:$Q$26)&lt;=0),0,Effective!$C$26*INDEX(Effective!$F$26:$Q$26,1,DR$5)/SUM(Effective!$F$26:$Q$26)*(1+Effective!$D$26)^DR$6)</f>
        <v/>
      </c>
    </row>
    <row r="11">
      <c r="A11" t="inlineStr">
        <is>
          <t>revenue_ch2</t>
        </is>
      </c>
      <c r="B11" t="inlineStr">
        <is>
          <t>channel idx 1</t>
        </is>
      </c>
      <c r="C11" s="25">
        <f>IF(OR(C$4=0,SUM(Effective!$F$27:$Q$27)&lt;=0),0,Effective!$C$27*INDEX(Effective!$F$27:$Q$27,1,C$5)/SUM(Effective!$F$27:$Q$27)*(1+Effective!$D$27)^C$6)</f>
        <v/>
      </c>
      <c r="D11" s="25">
        <f>IF(OR(D$4=0,SUM(Effective!$F$27:$Q$27)&lt;=0),0,Effective!$C$27*INDEX(Effective!$F$27:$Q$27,1,D$5)/SUM(Effective!$F$27:$Q$27)*(1+Effective!$D$27)^D$6)</f>
        <v/>
      </c>
      <c r="E11" s="25">
        <f>IF(OR(E$4=0,SUM(Effective!$F$27:$Q$27)&lt;=0),0,Effective!$C$27*INDEX(Effective!$F$27:$Q$27,1,E$5)/SUM(Effective!$F$27:$Q$27)*(1+Effective!$D$27)^E$6)</f>
        <v/>
      </c>
      <c r="F11" s="25">
        <f>IF(OR(F$4=0,SUM(Effective!$F$27:$Q$27)&lt;=0),0,Effective!$C$27*INDEX(Effective!$F$27:$Q$27,1,F$5)/SUM(Effective!$F$27:$Q$27)*(1+Effective!$D$27)^F$6)</f>
        <v/>
      </c>
      <c r="G11" s="25">
        <f>IF(OR(G$4=0,SUM(Effective!$F$27:$Q$27)&lt;=0),0,Effective!$C$27*INDEX(Effective!$F$27:$Q$27,1,G$5)/SUM(Effective!$F$27:$Q$27)*(1+Effective!$D$27)^G$6)</f>
        <v/>
      </c>
      <c r="H11" s="25">
        <f>IF(OR(H$4=0,SUM(Effective!$F$27:$Q$27)&lt;=0),0,Effective!$C$27*INDEX(Effective!$F$27:$Q$27,1,H$5)/SUM(Effective!$F$27:$Q$27)*(1+Effective!$D$27)^H$6)</f>
        <v/>
      </c>
      <c r="I11" s="25">
        <f>IF(OR(I$4=0,SUM(Effective!$F$27:$Q$27)&lt;=0),0,Effective!$C$27*INDEX(Effective!$F$27:$Q$27,1,I$5)/SUM(Effective!$F$27:$Q$27)*(1+Effective!$D$27)^I$6)</f>
        <v/>
      </c>
      <c r="J11" s="25">
        <f>IF(OR(J$4=0,SUM(Effective!$F$27:$Q$27)&lt;=0),0,Effective!$C$27*INDEX(Effective!$F$27:$Q$27,1,J$5)/SUM(Effective!$F$27:$Q$27)*(1+Effective!$D$27)^J$6)</f>
        <v/>
      </c>
      <c r="K11" s="25">
        <f>IF(OR(K$4=0,SUM(Effective!$F$27:$Q$27)&lt;=0),0,Effective!$C$27*INDEX(Effective!$F$27:$Q$27,1,K$5)/SUM(Effective!$F$27:$Q$27)*(1+Effective!$D$27)^K$6)</f>
        <v/>
      </c>
      <c r="L11" s="25">
        <f>IF(OR(L$4=0,SUM(Effective!$F$27:$Q$27)&lt;=0),0,Effective!$C$27*INDEX(Effective!$F$27:$Q$27,1,L$5)/SUM(Effective!$F$27:$Q$27)*(1+Effective!$D$27)^L$6)</f>
        <v/>
      </c>
      <c r="M11" s="25">
        <f>IF(OR(M$4=0,SUM(Effective!$F$27:$Q$27)&lt;=0),0,Effective!$C$27*INDEX(Effective!$F$27:$Q$27,1,M$5)/SUM(Effective!$F$27:$Q$27)*(1+Effective!$D$27)^M$6)</f>
        <v/>
      </c>
      <c r="N11" s="25">
        <f>IF(OR(N$4=0,SUM(Effective!$F$27:$Q$27)&lt;=0),0,Effective!$C$27*INDEX(Effective!$F$27:$Q$27,1,N$5)/SUM(Effective!$F$27:$Q$27)*(1+Effective!$D$27)^N$6)</f>
        <v/>
      </c>
      <c r="O11" s="25">
        <f>IF(OR(O$4=0,SUM(Effective!$F$27:$Q$27)&lt;=0),0,Effective!$C$27*INDEX(Effective!$F$27:$Q$27,1,O$5)/SUM(Effective!$F$27:$Q$27)*(1+Effective!$D$27)^O$6)</f>
        <v/>
      </c>
      <c r="P11" s="25">
        <f>IF(OR(P$4=0,SUM(Effective!$F$27:$Q$27)&lt;=0),0,Effective!$C$27*INDEX(Effective!$F$27:$Q$27,1,P$5)/SUM(Effective!$F$27:$Q$27)*(1+Effective!$D$27)^P$6)</f>
        <v/>
      </c>
      <c r="Q11" s="25">
        <f>IF(OR(Q$4=0,SUM(Effective!$F$27:$Q$27)&lt;=0),0,Effective!$C$27*INDEX(Effective!$F$27:$Q$27,1,Q$5)/SUM(Effective!$F$27:$Q$27)*(1+Effective!$D$27)^Q$6)</f>
        <v/>
      </c>
      <c r="R11" s="25">
        <f>IF(OR(R$4=0,SUM(Effective!$F$27:$Q$27)&lt;=0),0,Effective!$C$27*INDEX(Effective!$F$27:$Q$27,1,R$5)/SUM(Effective!$F$27:$Q$27)*(1+Effective!$D$27)^R$6)</f>
        <v/>
      </c>
      <c r="S11" s="25">
        <f>IF(OR(S$4=0,SUM(Effective!$F$27:$Q$27)&lt;=0),0,Effective!$C$27*INDEX(Effective!$F$27:$Q$27,1,S$5)/SUM(Effective!$F$27:$Q$27)*(1+Effective!$D$27)^S$6)</f>
        <v/>
      </c>
      <c r="T11" s="25">
        <f>IF(OR(T$4=0,SUM(Effective!$F$27:$Q$27)&lt;=0),0,Effective!$C$27*INDEX(Effective!$F$27:$Q$27,1,T$5)/SUM(Effective!$F$27:$Q$27)*(1+Effective!$D$27)^T$6)</f>
        <v/>
      </c>
      <c r="U11" s="25">
        <f>IF(OR(U$4=0,SUM(Effective!$F$27:$Q$27)&lt;=0),0,Effective!$C$27*INDEX(Effective!$F$27:$Q$27,1,U$5)/SUM(Effective!$F$27:$Q$27)*(1+Effective!$D$27)^U$6)</f>
        <v/>
      </c>
      <c r="V11" s="25">
        <f>IF(OR(V$4=0,SUM(Effective!$F$27:$Q$27)&lt;=0),0,Effective!$C$27*INDEX(Effective!$F$27:$Q$27,1,V$5)/SUM(Effective!$F$27:$Q$27)*(1+Effective!$D$27)^V$6)</f>
        <v/>
      </c>
      <c r="W11" s="25">
        <f>IF(OR(W$4=0,SUM(Effective!$F$27:$Q$27)&lt;=0),0,Effective!$C$27*INDEX(Effective!$F$27:$Q$27,1,W$5)/SUM(Effective!$F$27:$Q$27)*(1+Effective!$D$27)^W$6)</f>
        <v/>
      </c>
      <c r="X11" s="25">
        <f>IF(OR(X$4=0,SUM(Effective!$F$27:$Q$27)&lt;=0),0,Effective!$C$27*INDEX(Effective!$F$27:$Q$27,1,X$5)/SUM(Effective!$F$27:$Q$27)*(1+Effective!$D$27)^X$6)</f>
        <v/>
      </c>
      <c r="Y11" s="25">
        <f>IF(OR(Y$4=0,SUM(Effective!$F$27:$Q$27)&lt;=0),0,Effective!$C$27*INDEX(Effective!$F$27:$Q$27,1,Y$5)/SUM(Effective!$F$27:$Q$27)*(1+Effective!$D$27)^Y$6)</f>
        <v/>
      </c>
      <c r="Z11" s="25">
        <f>IF(OR(Z$4=0,SUM(Effective!$F$27:$Q$27)&lt;=0),0,Effective!$C$27*INDEX(Effective!$F$27:$Q$27,1,Z$5)/SUM(Effective!$F$27:$Q$27)*(1+Effective!$D$27)^Z$6)</f>
        <v/>
      </c>
      <c r="AA11" s="25">
        <f>IF(OR(AA$4=0,SUM(Effective!$F$27:$Q$27)&lt;=0),0,Effective!$C$27*INDEX(Effective!$F$27:$Q$27,1,AA$5)/SUM(Effective!$F$27:$Q$27)*(1+Effective!$D$27)^AA$6)</f>
        <v/>
      </c>
      <c r="AB11" s="25">
        <f>IF(OR(AB$4=0,SUM(Effective!$F$27:$Q$27)&lt;=0),0,Effective!$C$27*INDEX(Effective!$F$27:$Q$27,1,AB$5)/SUM(Effective!$F$27:$Q$27)*(1+Effective!$D$27)^AB$6)</f>
        <v/>
      </c>
      <c r="AC11" s="25">
        <f>IF(OR(AC$4=0,SUM(Effective!$F$27:$Q$27)&lt;=0),0,Effective!$C$27*INDEX(Effective!$F$27:$Q$27,1,AC$5)/SUM(Effective!$F$27:$Q$27)*(1+Effective!$D$27)^AC$6)</f>
        <v/>
      </c>
      <c r="AD11" s="25">
        <f>IF(OR(AD$4=0,SUM(Effective!$F$27:$Q$27)&lt;=0),0,Effective!$C$27*INDEX(Effective!$F$27:$Q$27,1,AD$5)/SUM(Effective!$F$27:$Q$27)*(1+Effective!$D$27)^AD$6)</f>
        <v/>
      </c>
      <c r="AE11" s="25">
        <f>IF(OR(AE$4=0,SUM(Effective!$F$27:$Q$27)&lt;=0),0,Effective!$C$27*INDEX(Effective!$F$27:$Q$27,1,AE$5)/SUM(Effective!$F$27:$Q$27)*(1+Effective!$D$27)^AE$6)</f>
        <v/>
      </c>
      <c r="AF11" s="25">
        <f>IF(OR(AF$4=0,SUM(Effective!$F$27:$Q$27)&lt;=0),0,Effective!$C$27*INDEX(Effective!$F$27:$Q$27,1,AF$5)/SUM(Effective!$F$27:$Q$27)*(1+Effective!$D$27)^AF$6)</f>
        <v/>
      </c>
      <c r="AG11" s="25">
        <f>IF(OR(AG$4=0,SUM(Effective!$F$27:$Q$27)&lt;=0),0,Effective!$C$27*INDEX(Effective!$F$27:$Q$27,1,AG$5)/SUM(Effective!$F$27:$Q$27)*(1+Effective!$D$27)^AG$6)</f>
        <v/>
      </c>
      <c r="AH11" s="25">
        <f>IF(OR(AH$4=0,SUM(Effective!$F$27:$Q$27)&lt;=0),0,Effective!$C$27*INDEX(Effective!$F$27:$Q$27,1,AH$5)/SUM(Effective!$F$27:$Q$27)*(1+Effective!$D$27)^AH$6)</f>
        <v/>
      </c>
      <c r="AI11" s="25">
        <f>IF(OR(AI$4=0,SUM(Effective!$F$27:$Q$27)&lt;=0),0,Effective!$C$27*INDEX(Effective!$F$27:$Q$27,1,AI$5)/SUM(Effective!$F$27:$Q$27)*(1+Effective!$D$27)^AI$6)</f>
        <v/>
      </c>
      <c r="AJ11" s="25">
        <f>IF(OR(AJ$4=0,SUM(Effective!$F$27:$Q$27)&lt;=0),0,Effective!$C$27*INDEX(Effective!$F$27:$Q$27,1,AJ$5)/SUM(Effective!$F$27:$Q$27)*(1+Effective!$D$27)^AJ$6)</f>
        <v/>
      </c>
      <c r="AK11" s="25">
        <f>IF(OR(AK$4=0,SUM(Effective!$F$27:$Q$27)&lt;=0),0,Effective!$C$27*INDEX(Effective!$F$27:$Q$27,1,AK$5)/SUM(Effective!$F$27:$Q$27)*(1+Effective!$D$27)^AK$6)</f>
        <v/>
      </c>
      <c r="AL11" s="25">
        <f>IF(OR(AL$4=0,SUM(Effective!$F$27:$Q$27)&lt;=0),0,Effective!$C$27*INDEX(Effective!$F$27:$Q$27,1,AL$5)/SUM(Effective!$F$27:$Q$27)*(1+Effective!$D$27)^AL$6)</f>
        <v/>
      </c>
      <c r="AM11" s="25">
        <f>IF(OR(AM$4=0,SUM(Effective!$F$27:$Q$27)&lt;=0),0,Effective!$C$27*INDEX(Effective!$F$27:$Q$27,1,AM$5)/SUM(Effective!$F$27:$Q$27)*(1+Effective!$D$27)^AM$6)</f>
        <v/>
      </c>
      <c r="AN11" s="25">
        <f>IF(OR(AN$4=0,SUM(Effective!$F$27:$Q$27)&lt;=0),0,Effective!$C$27*INDEX(Effective!$F$27:$Q$27,1,AN$5)/SUM(Effective!$F$27:$Q$27)*(1+Effective!$D$27)^AN$6)</f>
        <v/>
      </c>
      <c r="AO11" s="25">
        <f>IF(OR(AO$4=0,SUM(Effective!$F$27:$Q$27)&lt;=0),0,Effective!$C$27*INDEX(Effective!$F$27:$Q$27,1,AO$5)/SUM(Effective!$F$27:$Q$27)*(1+Effective!$D$27)^AO$6)</f>
        <v/>
      </c>
      <c r="AP11" s="25">
        <f>IF(OR(AP$4=0,SUM(Effective!$F$27:$Q$27)&lt;=0),0,Effective!$C$27*INDEX(Effective!$F$27:$Q$27,1,AP$5)/SUM(Effective!$F$27:$Q$27)*(1+Effective!$D$27)^AP$6)</f>
        <v/>
      </c>
      <c r="AQ11" s="25">
        <f>IF(OR(AQ$4=0,SUM(Effective!$F$27:$Q$27)&lt;=0),0,Effective!$C$27*INDEX(Effective!$F$27:$Q$27,1,AQ$5)/SUM(Effective!$F$27:$Q$27)*(1+Effective!$D$27)^AQ$6)</f>
        <v/>
      </c>
      <c r="AR11" s="25">
        <f>IF(OR(AR$4=0,SUM(Effective!$F$27:$Q$27)&lt;=0),0,Effective!$C$27*INDEX(Effective!$F$27:$Q$27,1,AR$5)/SUM(Effective!$F$27:$Q$27)*(1+Effective!$D$27)^AR$6)</f>
        <v/>
      </c>
      <c r="AS11" s="25">
        <f>IF(OR(AS$4=0,SUM(Effective!$F$27:$Q$27)&lt;=0),0,Effective!$C$27*INDEX(Effective!$F$27:$Q$27,1,AS$5)/SUM(Effective!$F$27:$Q$27)*(1+Effective!$D$27)^AS$6)</f>
        <v/>
      </c>
      <c r="AT11" s="25">
        <f>IF(OR(AT$4=0,SUM(Effective!$F$27:$Q$27)&lt;=0),0,Effective!$C$27*INDEX(Effective!$F$27:$Q$27,1,AT$5)/SUM(Effective!$F$27:$Q$27)*(1+Effective!$D$27)^AT$6)</f>
        <v/>
      </c>
      <c r="AU11" s="25">
        <f>IF(OR(AU$4=0,SUM(Effective!$F$27:$Q$27)&lt;=0),0,Effective!$C$27*INDEX(Effective!$F$27:$Q$27,1,AU$5)/SUM(Effective!$F$27:$Q$27)*(1+Effective!$D$27)^AU$6)</f>
        <v/>
      </c>
      <c r="AV11" s="25">
        <f>IF(OR(AV$4=0,SUM(Effective!$F$27:$Q$27)&lt;=0),0,Effective!$C$27*INDEX(Effective!$F$27:$Q$27,1,AV$5)/SUM(Effective!$F$27:$Q$27)*(1+Effective!$D$27)^AV$6)</f>
        <v/>
      </c>
      <c r="AW11" s="25">
        <f>IF(OR(AW$4=0,SUM(Effective!$F$27:$Q$27)&lt;=0),0,Effective!$C$27*INDEX(Effective!$F$27:$Q$27,1,AW$5)/SUM(Effective!$F$27:$Q$27)*(1+Effective!$D$27)^AW$6)</f>
        <v/>
      </c>
      <c r="AX11" s="25">
        <f>IF(OR(AX$4=0,SUM(Effective!$F$27:$Q$27)&lt;=0),0,Effective!$C$27*INDEX(Effective!$F$27:$Q$27,1,AX$5)/SUM(Effective!$F$27:$Q$27)*(1+Effective!$D$27)^AX$6)</f>
        <v/>
      </c>
      <c r="AY11" s="25">
        <f>IF(OR(AY$4=0,SUM(Effective!$F$27:$Q$27)&lt;=0),0,Effective!$C$27*INDEX(Effective!$F$27:$Q$27,1,AY$5)/SUM(Effective!$F$27:$Q$27)*(1+Effective!$D$27)^AY$6)</f>
        <v/>
      </c>
      <c r="AZ11" s="25">
        <f>IF(OR(AZ$4=0,SUM(Effective!$F$27:$Q$27)&lt;=0),0,Effective!$C$27*INDEX(Effective!$F$27:$Q$27,1,AZ$5)/SUM(Effective!$F$27:$Q$27)*(1+Effective!$D$27)^AZ$6)</f>
        <v/>
      </c>
      <c r="BA11" s="25">
        <f>IF(OR(BA$4=0,SUM(Effective!$F$27:$Q$27)&lt;=0),0,Effective!$C$27*INDEX(Effective!$F$27:$Q$27,1,BA$5)/SUM(Effective!$F$27:$Q$27)*(1+Effective!$D$27)^BA$6)</f>
        <v/>
      </c>
      <c r="BB11" s="25">
        <f>IF(OR(BB$4=0,SUM(Effective!$F$27:$Q$27)&lt;=0),0,Effective!$C$27*INDEX(Effective!$F$27:$Q$27,1,BB$5)/SUM(Effective!$F$27:$Q$27)*(1+Effective!$D$27)^BB$6)</f>
        <v/>
      </c>
      <c r="BC11" s="25">
        <f>IF(OR(BC$4=0,SUM(Effective!$F$27:$Q$27)&lt;=0),0,Effective!$C$27*INDEX(Effective!$F$27:$Q$27,1,BC$5)/SUM(Effective!$F$27:$Q$27)*(1+Effective!$D$27)^BC$6)</f>
        <v/>
      </c>
      <c r="BD11" s="25">
        <f>IF(OR(BD$4=0,SUM(Effective!$F$27:$Q$27)&lt;=0),0,Effective!$C$27*INDEX(Effective!$F$27:$Q$27,1,BD$5)/SUM(Effective!$F$27:$Q$27)*(1+Effective!$D$27)^BD$6)</f>
        <v/>
      </c>
      <c r="BE11" s="25">
        <f>IF(OR(BE$4=0,SUM(Effective!$F$27:$Q$27)&lt;=0),0,Effective!$C$27*INDEX(Effective!$F$27:$Q$27,1,BE$5)/SUM(Effective!$F$27:$Q$27)*(1+Effective!$D$27)^BE$6)</f>
        <v/>
      </c>
      <c r="BF11" s="25">
        <f>IF(OR(BF$4=0,SUM(Effective!$F$27:$Q$27)&lt;=0),0,Effective!$C$27*INDEX(Effective!$F$27:$Q$27,1,BF$5)/SUM(Effective!$F$27:$Q$27)*(1+Effective!$D$27)^BF$6)</f>
        <v/>
      </c>
      <c r="BG11" s="25">
        <f>IF(OR(BG$4=0,SUM(Effective!$F$27:$Q$27)&lt;=0),0,Effective!$C$27*INDEX(Effective!$F$27:$Q$27,1,BG$5)/SUM(Effective!$F$27:$Q$27)*(1+Effective!$D$27)^BG$6)</f>
        <v/>
      </c>
      <c r="BH11" s="25">
        <f>IF(OR(BH$4=0,SUM(Effective!$F$27:$Q$27)&lt;=0),0,Effective!$C$27*INDEX(Effective!$F$27:$Q$27,1,BH$5)/SUM(Effective!$F$27:$Q$27)*(1+Effective!$D$27)^BH$6)</f>
        <v/>
      </c>
      <c r="BI11" s="25">
        <f>IF(OR(BI$4=0,SUM(Effective!$F$27:$Q$27)&lt;=0),0,Effective!$C$27*INDEX(Effective!$F$27:$Q$27,1,BI$5)/SUM(Effective!$F$27:$Q$27)*(1+Effective!$D$27)^BI$6)</f>
        <v/>
      </c>
      <c r="BJ11" s="25">
        <f>IF(OR(BJ$4=0,SUM(Effective!$F$27:$Q$27)&lt;=0),0,Effective!$C$27*INDEX(Effective!$F$27:$Q$27,1,BJ$5)/SUM(Effective!$F$27:$Q$27)*(1+Effective!$D$27)^BJ$6)</f>
        <v/>
      </c>
      <c r="BK11" s="25">
        <f>IF(OR(BK$4=0,SUM(Effective!$F$27:$Q$27)&lt;=0),0,Effective!$C$27*INDEX(Effective!$F$27:$Q$27,1,BK$5)/SUM(Effective!$F$27:$Q$27)*(1+Effective!$D$27)^BK$6)</f>
        <v/>
      </c>
      <c r="BL11" s="25">
        <f>IF(OR(BL$4=0,SUM(Effective!$F$27:$Q$27)&lt;=0),0,Effective!$C$27*INDEX(Effective!$F$27:$Q$27,1,BL$5)/SUM(Effective!$F$27:$Q$27)*(1+Effective!$D$27)^BL$6)</f>
        <v/>
      </c>
      <c r="BM11" s="25">
        <f>IF(OR(BM$4=0,SUM(Effective!$F$27:$Q$27)&lt;=0),0,Effective!$C$27*INDEX(Effective!$F$27:$Q$27,1,BM$5)/SUM(Effective!$F$27:$Q$27)*(1+Effective!$D$27)^BM$6)</f>
        <v/>
      </c>
      <c r="BN11" s="25">
        <f>IF(OR(BN$4=0,SUM(Effective!$F$27:$Q$27)&lt;=0),0,Effective!$C$27*INDEX(Effective!$F$27:$Q$27,1,BN$5)/SUM(Effective!$F$27:$Q$27)*(1+Effective!$D$27)^BN$6)</f>
        <v/>
      </c>
      <c r="BO11" s="25">
        <f>IF(OR(BO$4=0,SUM(Effective!$F$27:$Q$27)&lt;=0),0,Effective!$C$27*INDEX(Effective!$F$27:$Q$27,1,BO$5)/SUM(Effective!$F$27:$Q$27)*(1+Effective!$D$27)^BO$6)</f>
        <v/>
      </c>
      <c r="BP11" s="25">
        <f>IF(OR(BP$4=0,SUM(Effective!$F$27:$Q$27)&lt;=0),0,Effective!$C$27*INDEX(Effective!$F$27:$Q$27,1,BP$5)/SUM(Effective!$F$27:$Q$27)*(1+Effective!$D$27)^BP$6)</f>
        <v/>
      </c>
      <c r="BQ11" s="25">
        <f>IF(OR(BQ$4=0,SUM(Effective!$F$27:$Q$27)&lt;=0),0,Effective!$C$27*INDEX(Effective!$F$27:$Q$27,1,BQ$5)/SUM(Effective!$F$27:$Q$27)*(1+Effective!$D$27)^BQ$6)</f>
        <v/>
      </c>
      <c r="BR11" s="25">
        <f>IF(OR(BR$4=0,SUM(Effective!$F$27:$Q$27)&lt;=0),0,Effective!$C$27*INDEX(Effective!$F$27:$Q$27,1,BR$5)/SUM(Effective!$F$27:$Q$27)*(1+Effective!$D$27)^BR$6)</f>
        <v/>
      </c>
      <c r="BS11" s="25">
        <f>IF(OR(BS$4=0,SUM(Effective!$F$27:$Q$27)&lt;=0),0,Effective!$C$27*INDEX(Effective!$F$27:$Q$27,1,BS$5)/SUM(Effective!$F$27:$Q$27)*(1+Effective!$D$27)^BS$6)</f>
        <v/>
      </c>
      <c r="BT11" s="25">
        <f>IF(OR(BT$4=0,SUM(Effective!$F$27:$Q$27)&lt;=0),0,Effective!$C$27*INDEX(Effective!$F$27:$Q$27,1,BT$5)/SUM(Effective!$F$27:$Q$27)*(1+Effective!$D$27)^BT$6)</f>
        <v/>
      </c>
      <c r="BU11" s="25">
        <f>IF(OR(BU$4=0,SUM(Effective!$F$27:$Q$27)&lt;=0),0,Effective!$C$27*INDEX(Effective!$F$27:$Q$27,1,BU$5)/SUM(Effective!$F$27:$Q$27)*(1+Effective!$D$27)^BU$6)</f>
        <v/>
      </c>
      <c r="BV11" s="25">
        <f>IF(OR(BV$4=0,SUM(Effective!$F$27:$Q$27)&lt;=0),0,Effective!$C$27*INDEX(Effective!$F$27:$Q$27,1,BV$5)/SUM(Effective!$F$27:$Q$27)*(1+Effective!$D$27)^BV$6)</f>
        <v/>
      </c>
      <c r="BW11" s="25">
        <f>IF(OR(BW$4=0,SUM(Effective!$F$27:$Q$27)&lt;=0),0,Effective!$C$27*INDEX(Effective!$F$27:$Q$27,1,BW$5)/SUM(Effective!$F$27:$Q$27)*(1+Effective!$D$27)^BW$6)</f>
        <v/>
      </c>
      <c r="BX11" s="25">
        <f>IF(OR(BX$4=0,SUM(Effective!$F$27:$Q$27)&lt;=0),0,Effective!$C$27*INDEX(Effective!$F$27:$Q$27,1,BX$5)/SUM(Effective!$F$27:$Q$27)*(1+Effective!$D$27)^BX$6)</f>
        <v/>
      </c>
      <c r="BY11" s="25">
        <f>IF(OR(BY$4=0,SUM(Effective!$F$27:$Q$27)&lt;=0),0,Effective!$C$27*INDEX(Effective!$F$27:$Q$27,1,BY$5)/SUM(Effective!$F$27:$Q$27)*(1+Effective!$D$27)^BY$6)</f>
        <v/>
      </c>
      <c r="BZ11" s="25">
        <f>IF(OR(BZ$4=0,SUM(Effective!$F$27:$Q$27)&lt;=0),0,Effective!$C$27*INDEX(Effective!$F$27:$Q$27,1,BZ$5)/SUM(Effective!$F$27:$Q$27)*(1+Effective!$D$27)^BZ$6)</f>
        <v/>
      </c>
      <c r="CA11" s="25">
        <f>IF(OR(CA$4=0,SUM(Effective!$F$27:$Q$27)&lt;=0),0,Effective!$C$27*INDEX(Effective!$F$27:$Q$27,1,CA$5)/SUM(Effective!$F$27:$Q$27)*(1+Effective!$D$27)^CA$6)</f>
        <v/>
      </c>
      <c r="CB11" s="25">
        <f>IF(OR(CB$4=0,SUM(Effective!$F$27:$Q$27)&lt;=0),0,Effective!$C$27*INDEX(Effective!$F$27:$Q$27,1,CB$5)/SUM(Effective!$F$27:$Q$27)*(1+Effective!$D$27)^CB$6)</f>
        <v/>
      </c>
      <c r="CC11" s="25">
        <f>IF(OR(CC$4=0,SUM(Effective!$F$27:$Q$27)&lt;=0),0,Effective!$C$27*INDEX(Effective!$F$27:$Q$27,1,CC$5)/SUM(Effective!$F$27:$Q$27)*(1+Effective!$D$27)^CC$6)</f>
        <v/>
      </c>
      <c r="CD11" s="25">
        <f>IF(OR(CD$4=0,SUM(Effective!$F$27:$Q$27)&lt;=0),0,Effective!$C$27*INDEX(Effective!$F$27:$Q$27,1,CD$5)/SUM(Effective!$F$27:$Q$27)*(1+Effective!$D$27)^CD$6)</f>
        <v/>
      </c>
      <c r="CE11" s="25">
        <f>IF(OR(CE$4=0,SUM(Effective!$F$27:$Q$27)&lt;=0),0,Effective!$C$27*INDEX(Effective!$F$27:$Q$27,1,CE$5)/SUM(Effective!$F$27:$Q$27)*(1+Effective!$D$27)^CE$6)</f>
        <v/>
      </c>
      <c r="CF11" s="25">
        <f>IF(OR(CF$4=0,SUM(Effective!$F$27:$Q$27)&lt;=0),0,Effective!$C$27*INDEX(Effective!$F$27:$Q$27,1,CF$5)/SUM(Effective!$F$27:$Q$27)*(1+Effective!$D$27)^CF$6)</f>
        <v/>
      </c>
      <c r="CG11" s="25">
        <f>IF(OR(CG$4=0,SUM(Effective!$F$27:$Q$27)&lt;=0),0,Effective!$C$27*INDEX(Effective!$F$27:$Q$27,1,CG$5)/SUM(Effective!$F$27:$Q$27)*(1+Effective!$D$27)^CG$6)</f>
        <v/>
      </c>
      <c r="CH11" s="25">
        <f>IF(OR(CH$4=0,SUM(Effective!$F$27:$Q$27)&lt;=0),0,Effective!$C$27*INDEX(Effective!$F$27:$Q$27,1,CH$5)/SUM(Effective!$F$27:$Q$27)*(1+Effective!$D$27)^CH$6)</f>
        <v/>
      </c>
      <c r="CI11" s="25">
        <f>IF(OR(CI$4=0,SUM(Effective!$F$27:$Q$27)&lt;=0),0,Effective!$C$27*INDEX(Effective!$F$27:$Q$27,1,CI$5)/SUM(Effective!$F$27:$Q$27)*(1+Effective!$D$27)^CI$6)</f>
        <v/>
      </c>
      <c r="CJ11" s="25">
        <f>IF(OR(CJ$4=0,SUM(Effective!$F$27:$Q$27)&lt;=0),0,Effective!$C$27*INDEX(Effective!$F$27:$Q$27,1,CJ$5)/SUM(Effective!$F$27:$Q$27)*(1+Effective!$D$27)^CJ$6)</f>
        <v/>
      </c>
      <c r="CK11" s="25">
        <f>IF(OR(CK$4=0,SUM(Effective!$F$27:$Q$27)&lt;=0),0,Effective!$C$27*INDEX(Effective!$F$27:$Q$27,1,CK$5)/SUM(Effective!$F$27:$Q$27)*(1+Effective!$D$27)^CK$6)</f>
        <v/>
      </c>
      <c r="CL11" s="25">
        <f>IF(OR(CL$4=0,SUM(Effective!$F$27:$Q$27)&lt;=0),0,Effective!$C$27*INDEX(Effective!$F$27:$Q$27,1,CL$5)/SUM(Effective!$F$27:$Q$27)*(1+Effective!$D$27)^CL$6)</f>
        <v/>
      </c>
      <c r="CM11" s="25">
        <f>IF(OR(CM$4=0,SUM(Effective!$F$27:$Q$27)&lt;=0),0,Effective!$C$27*INDEX(Effective!$F$27:$Q$27,1,CM$5)/SUM(Effective!$F$27:$Q$27)*(1+Effective!$D$27)^CM$6)</f>
        <v/>
      </c>
      <c r="CN11" s="25">
        <f>IF(OR(CN$4=0,SUM(Effective!$F$27:$Q$27)&lt;=0),0,Effective!$C$27*INDEX(Effective!$F$27:$Q$27,1,CN$5)/SUM(Effective!$F$27:$Q$27)*(1+Effective!$D$27)^CN$6)</f>
        <v/>
      </c>
      <c r="CO11" s="25">
        <f>IF(OR(CO$4=0,SUM(Effective!$F$27:$Q$27)&lt;=0),0,Effective!$C$27*INDEX(Effective!$F$27:$Q$27,1,CO$5)/SUM(Effective!$F$27:$Q$27)*(1+Effective!$D$27)^CO$6)</f>
        <v/>
      </c>
      <c r="CP11" s="25">
        <f>IF(OR(CP$4=0,SUM(Effective!$F$27:$Q$27)&lt;=0),0,Effective!$C$27*INDEX(Effective!$F$27:$Q$27,1,CP$5)/SUM(Effective!$F$27:$Q$27)*(1+Effective!$D$27)^CP$6)</f>
        <v/>
      </c>
      <c r="CQ11" s="25">
        <f>IF(OR(CQ$4=0,SUM(Effective!$F$27:$Q$27)&lt;=0),0,Effective!$C$27*INDEX(Effective!$F$27:$Q$27,1,CQ$5)/SUM(Effective!$F$27:$Q$27)*(1+Effective!$D$27)^CQ$6)</f>
        <v/>
      </c>
      <c r="CR11" s="25">
        <f>IF(OR(CR$4=0,SUM(Effective!$F$27:$Q$27)&lt;=0),0,Effective!$C$27*INDEX(Effective!$F$27:$Q$27,1,CR$5)/SUM(Effective!$F$27:$Q$27)*(1+Effective!$D$27)^CR$6)</f>
        <v/>
      </c>
      <c r="CS11" s="25">
        <f>IF(OR(CS$4=0,SUM(Effective!$F$27:$Q$27)&lt;=0),0,Effective!$C$27*INDEX(Effective!$F$27:$Q$27,1,CS$5)/SUM(Effective!$F$27:$Q$27)*(1+Effective!$D$27)^CS$6)</f>
        <v/>
      </c>
      <c r="CT11" s="25">
        <f>IF(OR(CT$4=0,SUM(Effective!$F$27:$Q$27)&lt;=0),0,Effective!$C$27*INDEX(Effective!$F$27:$Q$27,1,CT$5)/SUM(Effective!$F$27:$Q$27)*(1+Effective!$D$27)^CT$6)</f>
        <v/>
      </c>
      <c r="CU11" s="25">
        <f>IF(OR(CU$4=0,SUM(Effective!$F$27:$Q$27)&lt;=0),0,Effective!$C$27*INDEX(Effective!$F$27:$Q$27,1,CU$5)/SUM(Effective!$F$27:$Q$27)*(1+Effective!$D$27)^CU$6)</f>
        <v/>
      </c>
      <c r="CV11" s="25">
        <f>IF(OR(CV$4=0,SUM(Effective!$F$27:$Q$27)&lt;=0),0,Effective!$C$27*INDEX(Effective!$F$27:$Q$27,1,CV$5)/SUM(Effective!$F$27:$Q$27)*(1+Effective!$D$27)^CV$6)</f>
        <v/>
      </c>
      <c r="CW11" s="25">
        <f>IF(OR(CW$4=0,SUM(Effective!$F$27:$Q$27)&lt;=0),0,Effective!$C$27*INDEX(Effective!$F$27:$Q$27,1,CW$5)/SUM(Effective!$F$27:$Q$27)*(1+Effective!$D$27)^CW$6)</f>
        <v/>
      </c>
      <c r="CX11" s="25">
        <f>IF(OR(CX$4=0,SUM(Effective!$F$27:$Q$27)&lt;=0),0,Effective!$C$27*INDEX(Effective!$F$27:$Q$27,1,CX$5)/SUM(Effective!$F$27:$Q$27)*(1+Effective!$D$27)^CX$6)</f>
        <v/>
      </c>
      <c r="CY11" s="25">
        <f>IF(OR(CY$4=0,SUM(Effective!$F$27:$Q$27)&lt;=0),0,Effective!$C$27*INDEX(Effective!$F$27:$Q$27,1,CY$5)/SUM(Effective!$F$27:$Q$27)*(1+Effective!$D$27)^CY$6)</f>
        <v/>
      </c>
      <c r="CZ11" s="25">
        <f>IF(OR(CZ$4=0,SUM(Effective!$F$27:$Q$27)&lt;=0),0,Effective!$C$27*INDEX(Effective!$F$27:$Q$27,1,CZ$5)/SUM(Effective!$F$27:$Q$27)*(1+Effective!$D$27)^CZ$6)</f>
        <v/>
      </c>
      <c r="DA11" s="25">
        <f>IF(OR(DA$4=0,SUM(Effective!$F$27:$Q$27)&lt;=0),0,Effective!$C$27*INDEX(Effective!$F$27:$Q$27,1,DA$5)/SUM(Effective!$F$27:$Q$27)*(1+Effective!$D$27)^DA$6)</f>
        <v/>
      </c>
      <c r="DB11" s="25">
        <f>IF(OR(DB$4=0,SUM(Effective!$F$27:$Q$27)&lt;=0),0,Effective!$C$27*INDEX(Effective!$F$27:$Q$27,1,DB$5)/SUM(Effective!$F$27:$Q$27)*(1+Effective!$D$27)^DB$6)</f>
        <v/>
      </c>
      <c r="DC11" s="25">
        <f>IF(OR(DC$4=0,SUM(Effective!$F$27:$Q$27)&lt;=0),0,Effective!$C$27*INDEX(Effective!$F$27:$Q$27,1,DC$5)/SUM(Effective!$F$27:$Q$27)*(1+Effective!$D$27)^DC$6)</f>
        <v/>
      </c>
      <c r="DD11" s="25">
        <f>IF(OR(DD$4=0,SUM(Effective!$F$27:$Q$27)&lt;=0),0,Effective!$C$27*INDEX(Effective!$F$27:$Q$27,1,DD$5)/SUM(Effective!$F$27:$Q$27)*(1+Effective!$D$27)^DD$6)</f>
        <v/>
      </c>
      <c r="DE11" s="25">
        <f>IF(OR(DE$4=0,SUM(Effective!$F$27:$Q$27)&lt;=0),0,Effective!$C$27*INDEX(Effective!$F$27:$Q$27,1,DE$5)/SUM(Effective!$F$27:$Q$27)*(1+Effective!$D$27)^DE$6)</f>
        <v/>
      </c>
      <c r="DF11" s="25">
        <f>IF(OR(DF$4=0,SUM(Effective!$F$27:$Q$27)&lt;=0),0,Effective!$C$27*INDEX(Effective!$F$27:$Q$27,1,DF$5)/SUM(Effective!$F$27:$Q$27)*(1+Effective!$D$27)^DF$6)</f>
        <v/>
      </c>
      <c r="DG11" s="25">
        <f>IF(OR(DG$4=0,SUM(Effective!$F$27:$Q$27)&lt;=0),0,Effective!$C$27*INDEX(Effective!$F$27:$Q$27,1,DG$5)/SUM(Effective!$F$27:$Q$27)*(1+Effective!$D$27)^DG$6)</f>
        <v/>
      </c>
      <c r="DH11" s="25">
        <f>IF(OR(DH$4=0,SUM(Effective!$F$27:$Q$27)&lt;=0),0,Effective!$C$27*INDEX(Effective!$F$27:$Q$27,1,DH$5)/SUM(Effective!$F$27:$Q$27)*(1+Effective!$D$27)^DH$6)</f>
        <v/>
      </c>
      <c r="DI11" s="25">
        <f>IF(OR(DI$4=0,SUM(Effective!$F$27:$Q$27)&lt;=0),0,Effective!$C$27*INDEX(Effective!$F$27:$Q$27,1,DI$5)/SUM(Effective!$F$27:$Q$27)*(1+Effective!$D$27)^DI$6)</f>
        <v/>
      </c>
      <c r="DJ11" s="25">
        <f>IF(OR(DJ$4=0,SUM(Effective!$F$27:$Q$27)&lt;=0),0,Effective!$C$27*INDEX(Effective!$F$27:$Q$27,1,DJ$5)/SUM(Effective!$F$27:$Q$27)*(1+Effective!$D$27)^DJ$6)</f>
        <v/>
      </c>
      <c r="DK11" s="25">
        <f>IF(OR(DK$4=0,SUM(Effective!$F$27:$Q$27)&lt;=0),0,Effective!$C$27*INDEX(Effective!$F$27:$Q$27,1,DK$5)/SUM(Effective!$F$27:$Q$27)*(1+Effective!$D$27)^DK$6)</f>
        <v/>
      </c>
      <c r="DL11" s="25">
        <f>IF(OR(DL$4=0,SUM(Effective!$F$27:$Q$27)&lt;=0),0,Effective!$C$27*INDEX(Effective!$F$27:$Q$27,1,DL$5)/SUM(Effective!$F$27:$Q$27)*(1+Effective!$D$27)^DL$6)</f>
        <v/>
      </c>
      <c r="DM11" s="25">
        <f>IF(OR(DM$4=0,SUM(Effective!$F$27:$Q$27)&lt;=0),0,Effective!$C$27*INDEX(Effective!$F$27:$Q$27,1,DM$5)/SUM(Effective!$F$27:$Q$27)*(1+Effective!$D$27)^DM$6)</f>
        <v/>
      </c>
      <c r="DN11" s="25">
        <f>IF(OR(DN$4=0,SUM(Effective!$F$27:$Q$27)&lt;=0),0,Effective!$C$27*INDEX(Effective!$F$27:$Q$27,1,DN$5)/SUM(Effective!$F$27:$Q$27)*(1+Effective!$D$27)^DN$6)</f>
        <v/>
      </c>
      <c r="DO11" s="25">
        <f>IF(OR(DO$4=0,SUM(Effective!$F$27:$Q$27)&lt;=0),0,Effective!$C$27*INDEX(Effective!$F$27:$Q$27,1,DO$5)/SUM(Effective!$F$27:$Q$27)*(1+Effective!$D$27)^DO$6)</f>
        <v/>
      </c>
      <c r="DP11" s="25">
        <f>IF(OR(DP$4=0,SUM(Effective!$F$27:$Q$27)&lt;=0),0,Effective!$C$27*INDEX(Effective!$F$27:$Q$27,1,DP$5)/SUM(Effective!$F$27:$Q$27)*(1+Effective!$D$27)^DP$6)</f>
        <v/>
      </c>
      <c r="DQ11" s="25">
        <f>IF(OR(DQ$4=0,SUM(Effective!$F$27:$Q$27)&lt;=0),0,Effective!$C$27*INDEX(Effective!$F$27:$Q$27,1,DQ$5)/SUM(Effective!$F$27:$Q$27)*(1+Effective!$D$27)^DQ$6)</f>
        <v/>
      </c>
      <c r="DR11" s="25">
        <f>IF(OR(DR$4=0,SUM(Effective!$F$27:$Q$27)&lt;=0),0,Effective!$C$27*INDEX(Effective!$F$27:$Q$27,1,DR$5)/SUM(Effective!$F$27:$Q$27)*(1+Effective!$D$27)^DR$6)</f>
        <v/>
      </c>
    </row>
    <row r="12">
      <c r="A12" t="inlineStr">
        <is>
          <t>revenue_ch3</t>
        </is>
      </c>
      <c r="B12" t="inlineStr">
        <is>
          <t>channel idx 2</t>
        </is>
      </c>
      <c r="C12" s="25">
        <f>IF(OR(C$4=0,SUM(Effective!$F$28:$Q$28)&lt;=0),0,Effective!$C$28*INDEX(Effective!$F$28:$Q$28,1,C$5)/SUM(Effective!$F$28:$Q$28)*(1+Effective!$D$28)^C$6)</f>
        <v/>
      </c>
      <c r="D12" s="25">
        <f>IF(OR(D$4=0,SUM(Effective!$F$28:$Q$28)&lt;=0),0,Effective!$C$28*INDEX(Effective!$F$28:$Q$28,1,D$5)/SUM(Effective!$F$28:$Q$28)*(1+Effective!$D$28)^D$6)</f>
        <v/>
      </c>
      <c r="E12" s="25">
        <f>IF(OR(E$4=0,SUM(Effective!$F$28:$Q$28)&lt;=0),0,Effective!$C$28*INDEX(Effective!$F$28:$Q$28,1,E$5)/SUM(Effective!$F$28:$Q$28)*(1+Effective!$D$28)^E$6)</f>
        <v/>
      </c>
      <c r="F12" s="25">
        <f>IF(OR(F$4=0,SUM(Effective!$F$28:$Q$28)&lt;=0),0,Effective!$C$28*INDEX(Effective!$F$28:$Q$28,1,F$5)/SUM(Effective!$F$28:$Q$28)*(1+Effective!$D$28)^F$6)</f>
        <v/>
      </c>
      <c r="G12" s="25">
        <f>IF(OR(G$4=0,SUM(Effective!$F$28:$Q$28)&lt;=0),0,Effective!$C$28*INDEX(Effective!$F$28:$Q$28,1,G$5)/SUM(Effective!$F$28:$Q$28)*(1+Effective!$D$28)^G$6)</f>
        <v/>
      </c>
      <c r="H12" s="25">
        <f>IF(OR(H$4=0,SUM(Effective!$F$28:$Q$28)&lt;=0),0,Effective!$C$28*INDEX(Effective!$F$28:$Q$28,1,H$5)/SUM(Effective!$F$28:$Q$28)*(1+Effective!$D$28)^H$6)</f>
        <v/>
      </c>
      <c r="I12" s="25">
        <f>IF(OR(I$4=0,SUM(Effective!$F$28:$Q$28)&lt;=0),0,Effective!$C$28*INDEX(Effective!$F$28:$Q$28,1,I$5)/SUM(Effective!$F$28:$Q$28)*(1+Effective!$D$28)^I$6)</f>
        <v/>
      </c>
      <c r="J12" s="25">
        <f>IF(OR(J$4=0,SUM(Effective!$F$28:$Q$28)&lt;=0),0,Effective!$C$28*INDEX(Effective!$F$28:$Q$28,1,J$5)/SUM(Effective!$F$28:$Q$28)*(1+Effective!$D$28)^J$6)</f>
        <v/>
      </c>
      <c r="K12" s="25">
        <f>IF(OR(K$4=0,SUM(Effective!$F$28:$Q$28)&lt;=0),0,Effective!$C$28*INDEX(Effective!$F$28:$Q$28,1,K$5)/SUM(Effective!$F$28:$Q$28)*(1+Effective!$D$28)^K$6)</f>
        <v/>
      </c>
      <c r="L12" s="25">
        <f>IF(OR(L$4=0,SUM(Effective!$F$28:$Q$28)&lt;=0),0,Effective!$C$28*INDEX(Effective!$F$28:$Q$28,1,L$5)/SUM(Effective!$F$28:$Q$28)*(1+Effective!$D$28)^L$6)</f>
        <v/>
      </c>
      <c r="M12" s="25">
        <f>IF(OR(M$4=0,SUM(Effective!$F$28:$Q$28)&lt;=0),0,Effective!$C$28*INDEX(Effective!$F$28:$Q$28,1,M$5)/SUM(Effective!$F$28:$Q$28)*(1+Effective!$D$28)^M$6)</f>
        <v/>
      </c>
      <c r="N12" s="25">
        <f>IF(OR(N$4=0,SUM(Effective!$F$28:$Q$28)&lt;=0),0,Effective!$C$28*INDEX(Effective!$F$28:$Q$28,1,N$5)/SUM(Effective!$F$28:$Q$28)*(1+Effective!$D$28)^N$6)</f>
        <v/>
      </c>
      <c r="O12" s="25">
        <f>IF(OR(O$4=0,SUM(Effective!$F$28:$Q$28)&lt;=0),0,Effective!$C$28*INDEX(Effective!$F$28:$Q$28,1,O$5)/SUM(Effective!$F$28:$Q$28)*(1+Effective!$D$28)^O$6)</f>
        <v/>
      </c>
      <c r="P12" s="25">
        <f>IF(OR(P$4=0,SUM(Effective!$F$28:$Q$28)&lt;=0),0,Effective!$C$28*INDEX(Effective!$F$28:$Q$28,1,P$5)/SUM(Effective!$F$28:$Q$28)*(1+Effective!$D$28)^P$6)</f>
        <v/>
      </c>
      <c r="Q12" s="25">
        <f>IF(OR(Q$4=0,SUM(Effective!$F$28:$Q$28)&lt;=0),0,Effective!$C$28*INDEX(Effective!$F$28:$Q$28,1,Q$5)/SUM(Effective!$F$28:$Q$28)*(1+Effective!$D$28)^Q$6)</f>
        <v/>
      </c>
      <c r="R12" s="25">
        <f>IF(OR(R$4=0,SUM(Effective!$F$28:$Q$28)&lt;=0),0,Effective!$C$28*INDEX(Effective!$F$28:$Q$28,1,R$5)/SUM(Effective!$F$28:$Q$28)*(1+Effective!$D$28)^R$6)</f>
        <v/>
      </c>
      <c r="S12" s="25">
        <f>IF(OR(S$4=0,SUM(Effective!$F$28:$Q$28)&lt;=0),0,Effective!$C$28*INDEX(Effective!$F$28:$Q$28,1,S$5)/SUM(Effective!$F$28:$Q$28)*(1+Effective!$D$28)^S$6)</f>
        <v/>
      </c>
      <c r="T12" s="25">
        <f>IF(OR(T$4=0,SUM(Effective!$F$28:$Q$28)&lt;=0),0,Effective!$C$28*INDEX(Effective!$F$28:$Q$28,1,T$5)/SUM(Effective!$F$28:$Q$28)*(1+Effective!$D$28)^T$6)</f>
        <v/>
      </c>
      <c r="U12" s="25">
        <f>IF(OR(U$4=0,SUM(Effective!$F$28:$Q$28)&lt;=0),0,Effective!$C$28*INDEX(Effective!$F$28:$Q$28,1,U$5)/SUM(Effective!$F$28:$Q$28)*(1+Effective!$D$28)^U$6)</f>
        <v/>
      </c>
      <c r="V12" s="25">
        <f>IF(OR(V$4=0,SUM(Effective!$F$28:$Q$28)&lt;=0),0,Effective!$C$28*INDEX(Effective!$F$28:$Q$28,1,V$5)/SUM(Effective!$F$28:$Q$28)*(1+Effective!$D$28)^V$6)</f>
        <v/>
      </c>
      <c r="W12" s="25">
        <f>IF(OR(W$4=0,SUM(Effective!$F$28:$Q$28)&lt;=0),0,Effective!$C$28*INDEX(Effective!$F$28:$Q$28,1,W$5)/SUM(Effective!$F$28:$Q$28)*(1+Effective!$D$28)^W$6)</f>
        <v/>
      </c>
      <c r="X12" s="25">
        <f>IF(OR(X$4=0,SUM(Effective!$F$28:$Q$28)&lt;=0),0,Effective!$C$28*INDEX(Effective!$F$28:$Q$28,1,X$5)/SUM(Effective!$F$28:$Q$28)*(1+Effective!$D$28)^X$6)</f>
        <v/>
      </c>
      <c r="Y12" s="25">
        <f>IF(OR(Y$4=0,SUM(Effective!$F$28:$Q$28)&lt;=0),0,Effective!$C$28*INDEX(Effective!$F$28:$Q$28,1,Y$5)/SUM(Effective!$F$28:$Q$28)*(1+Effective!$D$28)^Y$6)</f>
        <v/>
      </c>
      <c r="Z12" s="25">
        <f>IF(OR(Z$4=0,SUM(Effective!$F$28:$Q$28)&lt;=0),0,Effective!$C$28*INDEX(Effective!$F$28:$Q$28,1,Z$5)/SUM(Effective!$F$28:$Q$28)*(1+Effective!$D$28)^Z$6)</f>
        <v/>
      </c>
      <c r="AA12" s="25">
        <f>IF(OR(AA$4=0,SUM(Effective!$F$28:$Q$28)&lt;=0),0,Effective!$C$28*INDEX(Effective!$F$28:$Q$28,1,AA$5)/SUM(Effective!$F$28:$Q$28)*(1+Effective!$D$28)^AA$6)</f>
        <v/>
      </c>
      <c r="AB12" s="25">
        <f>IF(OR(AB$4=0,SUM(Effective!$F$28:$Q$28)&lt;=0),0,Effective!$C$28*INDEX(Effective!$F$28:$Q$28,1,AB$5)/SUM(Effective!$F$28:$Q$28)*(1+Effective!$D$28)^AB$6)</f>
        <v/>
      </c>
      <c r="AC12" s="25">
        <f>IF(OR(AC$4=0,SUM(Effective!$F$28:$Q$28)&lt;=0),0,Effective!$C$28*INDEX(Effective!$F$28:$Q$28,1,AC$5)/SUM(Effective!$F$28:$Q$28)*(1+Effective!$D$28)^AC$6)</f>
        <v/>
      </c>
      <c r="AD12" s="25">
        <f>IF(OR(AD$4=0,SUM(Effective!$F$28:$Q$28)&lt;=0),0,Effective!$C$28*INDEX(Effective!$F$28:$Q$28,1,AD$5)/SUM(Effective!$F$28:$Q$28)*(1+Effective!$D$28)^AD$6)</f>
        <v/>
      </c>
      <c r="AE12" s="25">
        <f>IF(OR(AE$4=0,SUM(Effective!$F$28:$Q$28)&lt;=0),0,Effective!$C$28*INDEX(Effective!$F$28:$Q$28,1,AE$5)/SUM(Effective!$F$28:$Q$28)*(1+Effective!$D$28)^AE$6)</f>
        <v/>
      </c>
      <c r="AF12" s="25">
        <f>IF(OR(AF$4=0,SUM(Effective!$F$28:$Q$28)&lt;=0),0,Effective!$C$28*INDEX(Effective!$F$28:$Q$28,1,AF$5)/SUM(Effective!$F$28:$Q$28)*(1+Effective!$D$28)^AF$6)</f>
        <v/>
      </c>
      <c r="AG12" s="25">
        <f>IF(OR(AG$4=0,SUM(Effective!$F$28:$Q$28)&lt;=0),0,Effective!$C$28*INDEX(Effective!$F$28:$Q$28,1,AG$5)/SUM(Effective!$F$28:$Q$28)*(1+Effective!$D$28)^AG$6)</f>
        <v/>
      </c>
      <c r="AH12" s="25">
        <f>IF(OR(AH$4=0,SUM(Effective!$F$28:$Q$28)&lt;=0),0,Effective!$C$28*INDEX(Effective!$F$28:$Q$28,1,AH$5)/SUM(Effective!$F$28:$Q$28)*(1+Effective!$D$28)^AH$6)</f>
        <v/>
      </c>
      <c r="AI12" s="25">
        <f>IF(OR(AI$4=0,SUM(Effective!$F$28:$Q$28)&lt;=0),0,Effective!$C$28*INDEX(Effective!$F$28:$Q$28,1,AI$5)/SUM(Effective!$F$28:$Q$28)*(1+Effective!$D$28)^AI$6)</f>
        <v/>
      </c>
      <c r="AJ12" s="25">
        <f>IF(OR(AJ$4=0,SUM(Effective!$F$28:$Q$28)&lt;=0),0,Effective!$C$28*INDEX(Effective!$F$28:$Q$28,1,AJ$5)/SUM(Effective!$F$28:$Q$28)*(1+Effective!$D$28)^AJ$6)</f>
        <v/>
      </c>
      <c r="AK12" s="25">
        <f>IF(OR(AK$4=0,SUM(Effective!$F$28:$Q$28)&lt;=0),0,Effective!$C$28*INDEX(Effective!$F$28:$Q$28,1,AK$5)/SUM(Effective!$F$28:$Q$28)*(1+Effective!$D$28)^AK$6)</f>
        <v/>
      </c>
      <c r="AL12" s="25">
        <f>IF(OR(AL$4=0,SUM(Effective!$F$28:$Q$28)&lt;=0),0,Effective!$C$28*INDEX(Effective!$F$28:$Q$28,1,AL$5)/SUM(Effective!$F$28:$Q$28)*(1+Effective!$D$28)^AL$6)</f>
        <v/>
      </c>
      <c r="AM12" s="25">
        <f>IF(OR(AM$4=0,SUM(Effective!$F$28:$Q$28)&lt;=0),0,Effective!$C$28*INDEX(Effective!$F$28:$Q$28,1,AM$5)/SUM(Effective!$F$28:$Q$28)*(1+Effective!$D$28)^AM$6)</f>
        <v/>
      </c>
      <c r="AN12" s="25">
        <f>IF(OR(AN$4=0,SUM(Effective!$F$28:$Q$28)&lt;=0),0,Effective!$C$28*INDEX(Effective!$F$28:$Q$28,1,AN$5)/SUM(Effective!$F$28:$Q$28)*(1+Effective!$D$28)^AN$6)</f>
        <v/>
      </c>
      <c r="AO12" s="25">
        <f>IF(OR(AO$4=0,SUM(Effective!$F$28:$Q$28)&lt;=0),0,Effective!$C$28*INDEX(Effective!$F$28:$Q$28,1,AO$5)/SUM(Effective!$F$28:$Q$28)*(1+Effective!$D$28)^AO$6)</f>
        <v/>
      </c>
      <c r="AP12" s="25">
        <f>IF(OR(AP$4=0,SUM(Effective!$F$28:$Q$28)&lt;=0),0,Effective!$C$28*INDEX(Effective!$F$28:$Q$28,1,AP$5)/SUM(Effective!$F$28:$Q$28)*(1+Effective!$D$28)^AP$6)</f>
        <v/>
      </c>
      <c r="AQ12" s="25">
        <f>IF(OR(AQ$4=0,SUM(Effective!$F$28:$Q$28)&lt;=0),0,Effective!$C$28*INDEX(Effective!$F$28:$Q$28,1,AQ$5)/SUM(Effective!$F$28:$Q$28)*(1+Effective!$D$28)^AQ$6)</f>
        <v/>
      </c>
      <c r="AR12" s="25">
        <f>IF(OR(AR$4=0,SUM(Effective!$F$28:$Q$28)&lt;=0),0,Effective!$C$28*INDEX(Effective!$F$28:$Q$28,1,AR$5)/SUM(Effective!$F$28:$Q$28)*(1+Effective!$D$28)^AR$6)</f>
        <v/>
      </c>
      <c r="AS12" s="25">
        <f>IF(OR(AS$4=0,SUM(Effective!$F$28:$Q$28)&lt;=0),0,Effective!$C$28*INDEX(Effective!$F$28:$Q$28,1,AS$5)/SUM(Effective!$F$28:$Q$28)*(1+Effective!$D$28)^AS$6)</f>
        <v/>
      </c>
      <c r="AT12" s="25">
        <f>IF(OR(AT$4=0,SUM(Effective!$F$28:$Q$28)&lt;=0),0,Effective!$C$28*INDEX(Effective!$F$28:$Q$28,1,AT$5)/SUM(Effective!$F$28:$Q$28)*(1+Effective!$D$28)^AT$6)</f>
        <v/>
      </c>
      <c r="AU12" s="25">
        <f>IF(OR(AU$4=0,SUM(Effective!$F$28:$Q$28)&lt;=0),0,Effective!$C$28*INDEX(Effective!$F$28:$Q$28,1,AU$5)/SUM(Effective!$F$28:$Q$28)*(1+Effective!$D$28)^AU$6)</f>
        <v/>
      </c>
      <c r="AV12" s="25">
        <f>IF(OR(AV$4=0,SUM(Effective!$F$28:$Q$28)&lt;=0),0,Effective!$C$28*INDEX(Effective!$F$28:$Q$28,1,AV$5)/SUM(Effective!$F$28:$Q$28)*(1+Effective!$D$28)^AV$6)</f>
        <v/>
      </c>
      <c r="AW12" s="25">
        <f>IF(OR(AW$4=0,SUM(Effective!$F$28:$Q$28)&lt;=0),0,Effective!$C$28*INDEX(Effective!$F$28:$Q$28,1,AW$5)/SUM(Effective!$F$28:$Q$28)*(1+Effective!$D$28)^AW$6)</f>
        <v/>
      </c>
      <c r="AX12" s="25">
        <f>IF(OR(AX$4=0,SUM(Effective!$F$28:$Q$28)&lt;=0),0,Effective!$C$28*INDEX(Effective!$F$28:$Q$28,1,AX$5)/SUM(Effective!$F$28:$Q$28)*(1+Effective!$D$28)^AX$6)</f>
        <v/>
      </c>
      <c r="AY12" s="25">
        <f>IF(OR(AY$4=0,SUM(Effective!$F$28:$Q$28)&lt;=0),0,Effective!$C$28*INDEX(Effective!$F$28:$Q$28,1,AY$5)/SUM(Effective!$F$28:$Q$28)*(1+Effective!$D$28)^AY$6)</f>
        <v/>
      </c>
      <c r="AZ12" s="25">
        <f>IF(OR(AZ$4=0,SUM(Effective!$F$28:$Q$28)&lt;=0),0,Effective!$C$28*INDEX(Effective!$F$28:$Q$28,1,AZ$5)/SUM(Effective!$F$28:$Q$28)*(1+Effective!$D$28)^AZ$6)</f>
        <v/>
      </c>
      <c r="BA12" s="25">
        <f>IF(OR(BA$4=0,SUM(Effective!$F$28:$Q$28)&lt;=0),0,Effective!$C$28*INDEX(Effective!$F$28:$Q$28,1,BA$5)/SUM(Effective!$F$28:$Q$28)*(1+Effective!$D$28)^BA$6)</f>
        <v/>
      </c>
      <c r="BB12" s="25">
        <f>IF(OR(BB$4=0,SUM(Effective!$F$28:$Q$28)&lt;=0),0,Effective!$C$28*INDEX(Effective!$F$28:$Q$28,1,BB$5)/SUM(Effective!$F$28:$Q$28)*(1+Effective!$D$28)^BB$6)</f>
        <v/>
      </c>
      <c r="BC12" s="25">
        <f>IF(OR(BC$4=0,SUM(Effective!$F$28:$Q$28)&lt;=0),0,Effective!$C$28*INDEX(Effective!$F$28:$Q$28,1,BC$5)/SUM(Effective!$F$28:$Q$28)*(1+Effective!$D$28)^BC$6)</f>
        <v/>
      </c>
      <c r="BD12" s="25">
        <f>IF(OR(BD$4=0,SUM(Effective!$F$28:$Q$28)&lt;=0),0,Effective!$C$28*INDEX(Effective!$F$28:$Q$28,1,BD$5)/SUM(Effective!$F$28:$Q$28)*(1+Effective!$D$28)^BD$6)</f>
        <v/>
      </c>
      <c r="BE12" s="25">
        <f>IF(OR(BE$4=0,SUM(Effective!$F$28:$Q$28)&lt;=0),0,Effective!$C$28*INDEX(Effective!$F$28:$Q$28,1,BE$5)/SUM(Effective!$F$28:$Q$28)*(1+Effective!$D$28)^BE$6)</f>
        <v/>
      </c>
      <c r="BF12" s="25">
        <f>IF(OR(BF$4=0,SUM(Effective!$F$28:$Q$28)&lt;=0),0,Effective!$C$28*INDEX(Effective!$F$28:$Q$28,1,BF$5)/SUM(Effective!$F$28:$Q$28)*(1+Effective!$D$28)^BF$6)</f>
        <v/>
      </c>
      <c r="BG12" s="25">
        <f>IF(OR(BG$4=0,SUM(Effective!$F$28:$Q$28)&lt;=0),0,Effective!$C$28*INDEX(Effective!$F$28:$Q$28,1,BG$5)/SUM(Effective!$F$28:$Q$28)*(1+Effective!$D$28)^BG$6)</f>
        <v/>
      </c>
      <c r="BH12" s="25">
        <f>IF(OR(BH$4=0,SUM(Effective!$F$28:$Q$28)&lt;=0),0,Effective!$C$28*INDEX(Effective!$F$28:$Q$28,1,BH$5)/SUM(Effective!$F$28:$Q$28)*(1+Effective!$D$28)^BH$6)</f>
        <v/>
      </c>
      <c r="BI12" s="25">
        <f>IF(OR(BI$4=0,SUM(Effective!$F$28:$Q$28)&lt;=0),0,Effective!$C$28*INDEX(Effective!$F$28:$Q$28,1,BI$5)/SUM(Effective!$F$28:$Q$28)*(1+Effective!$D$28)^BI$6)</f>
        <v/>
      </c>
      <c r="BJ12" s="25">
        <f>IF(OR(BJ$4=0,SUM(Effective!$F$28:$Q$28)&lt;=0),0,Effective!$C$28*INDEX(Effective!$F$28:$Q$28,1,BJ$5)/SUM(Effective!$F$28:$Q$28)*(1+Effective!$D$28)^BJ$6)</f>
        <v/>
      </c>
      <c r="BK12" s="25">
        <f>IF(OR(BK$4=0,SUM(Effective!$F$28:$Q$28)&lt;=0),0,Effective!$C$28*INDEX(Effective!$F$28:$Q$28,1,BK$5)/SUM(Effective!$F$28:$Q$28)*(1+Effective!$D$28)^BK$6)</f>
        <v/>
      </c>
      <c r="BL12" s="25">
        <f>IF(OR(BL$4=0,SUM(Effective!$F$28:$Q$28)&lt;=0),0,Effective!$C$28*INDEX(Effective!$F$28:$Q$28,1,BL$5)/SUM(Effective!$F$28:$Q$28)*(1+Effective!$D$28)^BL$6)</f>
        <v/>
      </c>
      <c r="BM12" s="25">
        <f>IF(OR(BM$4=0,SUM(Effective!$F$28:$Q$28)&lt;=0),0,Effective!$C$28*INDEX(Effective!$F$28:$Q$28,1,BM$5)/SUM(Effective!$F$28:$Q$28)*(1+Effective!$D$28)^BM$6)</f>
        <v/>
      </c>
      <c r="BN12" s="25">
        <f>IF(OR(BN$4=0,SUM(Effective!$F$28:$Q$28)&lt;=0),0,Effective!$C$28*INDEX(Effective!$F$28:$Q$28,1,BN$5)/SUM(Effective!$F$28:$Q$28)*(1+Effective!$D$28)^BN$6)</f>
        <v/>
      </c>
      <c r="BO12" s="25">
        <f>IF(OR(BO$4=0,SUM(Effective!$F$28:$Q$28)&lt;=0),0,Effective!$C$28*INDEX(Effective!$F$28:$Q$28,1,BO$5)/SUM(Effective!$F$28:$Q$28)*(1+Effective!$D$28)^BO$6)</f>
        <v/>
      </c>
      <c r="BP12" s="25">
        <f>IF(OR(BP$4=0,SUM(Effective!$F$28:$Q$28)&lt;=0),0,Effective!$C$28*INDEX(Effective!$F$28:$Q$28,1,BP$5)/SUM(Effective!$F$28:$Q$28)*(1+Effective!$D$28)^BP$6)</f>
        <v/>
      </c>
      <c r="BQ12" s="25">
        <f>IF(OR(BQ$4=0,SUM(Effective!$F$28:$Q$28)&lt;=0),0,Effective!$C$28*INDEX(Effective!$F$28:$Q$28,1,BQ$5)/SUM(Effective!$F$28:$Q$28)*(1+Effective!$D$28)^BQ$6)</f>
        <v/>
      </c>
      <c r="BR12" s="25">
        <f>IF(OR(BR$4=0,SUM(Effective!$F$28:$Q$28)&lt;=0),0,Effective!$C$28*INDEX(Effective!$F$28:$Q$28,1,BR$5)/SUM(Effective!$F$28:$Q$28)*(1+Effective!$D$28)^BR$6)</f>
        <v/>
      </c>
      <c r="BS12" s="25">
        <f>IF(OR(BS$4=0,SUM(Effective!$F$28:$Q$28)&lt;=0),0,Effective!$C$28*INDEX(Effective!$F$28:$Q$28,1,BS$5)/SUM(Effective!$F$28:$Q$28)*(1+Effective!$D$28)^BS$6)</f>
        <v/>
      </c>
      <c r="BT12" s="25">
        <f>IF(OR(BT$4=0,SUM(Effective!$F$28:$Q$28)&lt;=0),0,Effective!$C$28*INDEX(Effective!$F$28:$Q$28,1,BT$5)/SUM(Effective!$F$28:$Q$28)*(1+Effective!$D$28)^BT$6)</f>
        <v/>
      </c>
      <c r="BU12" s="25">
        <f>IF(OR(BU$4=0,SUM(Effective!$F$28:$Q$28)&lt;=0),0,Effective!$C$28*INDEX(Effective!$F$28:$Q$28,1,BU$5)/SUM(Effective!$F$28:$Q$28)*(1+Effective!$D$28)^BU$6)</f>
        <v/>
      </c>
      <c r="BV12" s="25">
        <f>IF(OR(BV$4=0,SUM(Effective!$F$28:$Q$28)&lt;=0),0,Effective!$C$28*INDEX(Effective!$F$28:$Q$28,1,BV$5)/SUM(Effective!$F$28:$Q$28)*(1+Effective!$D$28)^BV$6)</f>
        <v/>
      </c>
      <c r="BW12" s="25">
        <f>IF(OR(BW$4=0,SUM(Effective!$F$28:$Q$28)&lt;=0),0,Effective!$C$28*INDEX(Effective!$F$28:$Q$28,1,BW$5)/SUM(Effective!$F$28:$Q$28)*(1+Effective!$D$28)^BW$6)</f>
        <v/>
      </c>
      <c r="BX12" s="25">
        <f>IF(OR(BX$4=0,SUM(Effective!$F$28:$Q$28)&lt;=0),0,Effective!$C$28*INDEX(Effective!$F$28:$Q$28,1,BX$5)/SUM(Effective!$F$28:$Q$28)*(1+Effective!$D$28)^BX$6)</f>
        <v/>
      </c>
      <c r="BY12" s="25">
        <f>IF(OR(BY$4=0,SUM(Effective!$F$28:$Q$28)&lt;=0),0,Effective!$C$28*INDEX(Effective!$F$28:$Q$28,1,BY$5)/SUM(Effective!$F$28:$Q$28)*(1+Effective!$D$28)^BY$6)</f>
        <v/>
      </c>
      <c r="BZ12" s="25">
        <f>IF(OR(BZ$4=0,SUM(Effective!$F$28:$Q$28)&lt;=0),0,Effective!$C$28*INDEX(Effective!$F$28:$Q$28,1,BZ$5)/SUM(Effective!$F$28:$Q$28)*(1+Effective!$D$28)^BZ$6)</f>
        <v/>
      </c>
      <c r="CA12" s="25">
        <f>IF(OR(CA$4=0,SUM(Effective!$F$28:$Q$28)&lt;=0),0,Effective!$C$28*INDEX(Effective!$F$28:$Q$28,1,CA$5)/SUM(Effective!$F$28:$Q$28)*(1+Effective!$D$28)^CA$6)</f>
        <v/>
      </c>
      <c r="CB12" s="25">
        <f>IF(OR(CB$4=0,SUM(Effective!$F$28:$Q$28)&lt;=0),0,Effective!$C$28*INDEX(Effective!$F$28:$Q$28,1,CB$5)/SUM(Effective!$F$28:$Q$28)*(1+Effective!$D$28)^CB$6)</f>
        <v/>
      </c>
      <c r="CC12" s="25">
        <f>IF(OR(CC$4=0,SUM(Effective!$F$28:$Q$28)&lt;=0),0,Effective!$C$28*INDEX(Effective!$F$28:$Q$28,1,CC$5)/SUM(Effective!$F$28:$Q$28)*(1+Effective!$D$28)^CC$6)</f>
        <v/>
      </c>
      <c r="CD12" s="25">
        <f>IF(OR(CD$4=0,SUM(Effective!$F$28:$Q$28)&lt;=0),0,Effective!$C$28*INDEX(Effective!$F$28:$Q$28,1,CD$5)/SUM(Effective!$F$28:$Q$28)*(1+Effective!$D$28)^CD$6)</f>
        <v/>
      </c>
      <c r="CE12" s="25">
        <f>IF(OR(CE$4=0,SUM(Effective!$F$28:$Q$28)&lt;=0),0,Effective!$C$28*INDEX(Effective!$F$28:$Q$28,1,CE$5)/SUM(Effective!$F$28:$Q$28)*(1+Effective!$D$28)^CE$6)</f>
        <v/>
      </c>
      <c r="CF12" s="25">
        <f>IF(OR(CF$4=0,SUM(Effective!$F$28:$Q$28)&lt;=0),0,Effective!$C$28*INDEX(Effective!$F$28:$Q$28,1,CF$5)/SUM(Effective!$F$28:$Q$28)*(1+Effective!$D$28)^CF$6)</f>
        <v/>
      </c>
      <c r="CG12" s="25">
        <f>IF(OR(CG$4=0,SUM(Effective!$F$28:$Q$28)&lt;=0),0,Effective!$C$28*INDEX(Effective!$F$28:$Q$28,1,CG$5)/SUM(Effective!$F$28:$Q$28)*(1+Effective!$D$28)^CG$6)</f>
        <v/>
      </c>
      <c r="CH12" s="25">
        <f>IF(OR(CH$4=0,SUM(Effective!$F$28:$Q$28)&lt;=0),0,Effective!$C$28*INDEX(Effective!$F$28:$Q$28,1,CH$5)/SUM(Effective!$F$28:$Q$28)*(1+Effective!$D$28)^CH$6)</f>
        <v/>
      </c>
      <c r="CI12" s="25">
        <f>IF(OR(CI$4=0,SUM(Effective!$F$28:$Q$28)&lt;=0),0,Effective!$C$28*INDEX(Effective!$F$28:$Q$28,1,CI$5)/SUM(Effective!$F$28:$Q$28)*(1+Effective!$D$28)^CI$6)</f>
        <v/>
      </c>
      <c r="CJ12" s="25">
        <f>IF(OR(CJ$4=0,SUM(Effective!$F$28:$Q$28)&lt;=0),0,Effective!$C$28*INDEX(Effective!$F$28:$Q$28,1,CJ$5)/SUM(Effective!$F$28:$Q$28)*(1+Effective!$D$28)^CJ$6)</f>
        <v/>
      </c>
      <c r="CK12" s="25">
        <f>IF(OR(CK$4=0,SUM(Effective!$F$28:$Q$28)&lt;=0),0,Effective!$C$28*INDEX(Effective!$F$28:$Q$28,1,CK$5)/SUM(Effective!$F$28:$Q$28)*(1+Effective!$D$28)^CK$6)</f>
        <v/>
      </c>
      <c r="CL12" s="25">
        <f>IF(OR(CL$4=0,SUM(Effective!$F$28:$Q$28)&lt;=0),0,Effective!$C$28*INDEX(Effective!$F$28:$Q$28,1,CL$5)/SUM(Effective!$F$28:$Q$28)*(1+Effective!$D$28)^CL$6)</f>
        <v/>
      </c>
      <c r="CM12" s="25">
        <f>IF(OR(CM$4=0,SUM(Effective!$F$28:$Q$28)&lt;=0),0,Effective!$C$28*INDEX(Effective!$F$28:$Q$28,1,CM$5)/SUM(Effective!$F$28:$Q$28)*(1+Effective!$D$28)^CM$6)</f>
        <v/>
      </c>
      <c r="CN12" s="25">
        <f>IF(OR(CN$4=0,SUM(Effective!$F$28:$Q$28)&lt;=0),0,Effective!$C$28*INDEX(Effective!$F$28:$Q$28,1,CN$5)/SUM(Effective!$F$28:$Q$28)*(1+Effective!$D$28)^CN$6)</f>
        <v/>
      </c>
      <c r="CO12" s="25">
        <f>IF(OR(CO$4=0,SUM(Effective!$F$28:$Q$28)&lt;=0),0,Effective!$C$28*INDEX(Effective!$F$28:$Q$28,1,CO$5)/SUM(Effective!$F$28:$Q$28)*(1+Effective!$D$28)^CO$6)</f>
        <v/>
      </c>
      <c r="CP12" s="25">
        <f>IF(OR(CP$4=0,SUM(Effective!$F$28:$Q$28)&lt;=0),0,Effective!$C$28*INDEX(Effective!$F$28:$Q$28,1,CP$5)/SUM(Effective!$F$28:$Q$28)*(1+Effective!$D$28)^CP$6)</f>
        <v/>
      </c>
      <c r="CQ12" s="25">
        <f>IF(OR(CQ$4=0,SUM(Effective!$F$28:$Q$28)&lt;=0),0,Effective!$C$28*INDEX(Effective!$F$28:$Q$28,1,CQ$5)/SUM(Effective!$F$28:$Q$28)*(1+Effective!$D$28)^CQ$6)</f>
        <v/>
      </c>
      <c r="CR12" s="25">
        <f>IF(OR(CR$4=0,SUM(Effective!$F$28:$Q$28)&lt;=0),0,Effective!$C$28*INDEX(Effective!$F$28:$Q$28,1,CR$5)/SUM(Effective!$F$28:$Q$28)*(1+Effective!$D$28)^CR$6)</f>
        <v/>
      </c>
      <c r="CS12" s="25">
        <f>IF(OR(CS$4=0,SUM(Effective!$F$28:$Q$28)&lt;=0),0,Effective!$C$28*INDEX(Effective!$F$28:$Q$28,1,CS$5)/SUM(Effective!$F$28:$Q$28)*(1+Effective!$D$28)^CS$6)</f>
        <v/>
      </c>
      <c r="CT12" s="25">
        <f>IF(OR(CT$4=0,SUM(Effective!$F$28:$Q$28)&lt;=0),0,Effective!$C$28*INDEX(Effective!$F$28:$Q$28,1,CT$5)/SUM(Effective!$F$28:$Q$28)*(1+Effective!$D$28)^CT$6)</f>
        <v/>
      </c>
      <c r="CU12" s="25">
        <f>IF(OR(CU$4=0,SUM(Effective!$F$28:$Q$28)&lt;=0),0,Effective!$C$28*INDEX(Effective!$F$28:$Q$28,1,CU$5)/SUM(Effective!$F$28:$Q$28)*(1+Effective!$D$28)^CU$6)</f>
        <v/>
      </c>
      <c r="CV12" s="25">
        <f>IF(OR(CV$4=0,SUM(Effective!$F$28:$Q$28)&lt;=0),0,Effective!$C$28*INDEX(Effective!$F$28:$Q$28,1,CV$5)/SUM(Effective!$F$28:$Q$28)*(1+Effective!$D$28)^CV$6)</f>
        <v/>
      </c>
      <c r="CW12" s="25">
        <f>IF(OR(CW$4=0,SUM(Effective!$F$28:$Q$28)&lt;=0),0,Effective!$C$28*INDEX(Effective!$F$28:$Q$28,1,CW$5)/SUM(Effective!$F$28:$Q$28)*(1+Effective!$D$28)^CW$6)</f>
        <v/>
      </c>
      <c r="CX12" s="25">
        <f>IF(OR(CX$4=0,SUM(Effective!$F$28:$Q$28)&lt;=0),0,Effective!$C$28*INDEX(Effective!$F$28:$Q$28,1,CX$5)/SUM(Effective!$F$28:$Q$28)*(1+Effective!$D$28)^CX$6)</f>
        <v/>
      </c>
      <c r="CY12" s="25">
        <f>IF(OR(CY$4=0,SUM(Effective!$F$28:$Q$28)&lt;=0),0,Effective!$C$28*INDEX(Effective!$F$28:$Q$28,1,CY$5)/SUM(Effective!$F$28:$Q$28)*(1+Effective!$D$28)^CY$6)</f>
        <v/>
      </c>
      <c r="CZ12" s="25">
        <f>IF(OR(CZ$4=0,SUM(Effective!$F$28:$Q$28)&lt;=0),0,Effective!$C$28*INDEX(Effective!$F$28:$Q$28,1,CZ$5)/SUM(Effective!$F$28:$Q$28)*(1+Effective!$D$28)^CZ$6)</f>
        <v/>
      </c>
      <c r="DA12" s="25">
        <f>IF(OR(DA$4=0,SUM(Effective!$F$28:$Q$28)&lt;=0),0,Effective!$C$28*INDEX(Effective!$F$28:$Q$28,1,DA$5)/SUM(Effective!$F$28:$Q$28)*(1+Effective!$D$28)^DA$6)</f>
        <v/>
      </c>
      <c r="DB12" s="25">
        <f>IF(OR(DB$4=0,SUM(Effective!$F$28:$Q$28)&lt;=0),0,Effective!$C$28*INDEX(Effective!$F$28:$Q$28,1,DB$5)/SUM(Effective!$F$28:$Q$28)*(1+Effective!$D$28)^DB$6)</f>
        <v/>
      </c>
      <c r="DC12" s="25">
        <f>IF(OR(DC$4=0,SUM(Effective!$F$28:$Q$28)&lt;=0),0,Effective!$C$28*INDEX(Effective!$F$28:$Q$28,1,DC$5)/SUM(Effective!$F$28:$Q$28)*(1+Effective!$D$28)^DC$6)</f>
        <v/>
      </c>
      <c r="DD12" s="25">
        <f>IF(OR(DD$4=0,SUM(Effective!$F$28:$Q$28)&lt;=0),0,Effective!$C$28*INDEX(Effective!$F$28:$Q$28,1,DD$5)/SUM(Effective!$F$28:$Q$28)*(1+Effective!$D$28)^DD$6)</f>
        <v/>
      </c>
      <c r="DE12" s="25">
        <f>IF(OR(DE$4=0,SUM(Effective!$F$28:$Q$28)&lt;=0),0,Effective!$C$28*INDEX(Effective!$F$28:$Q$28,1,DE$5)/SUM(Effective!$F$28:$Q$28)*(1+Effective!$D$28)^DE$6)</f>
        <v/>
      </c>
      <c r="DF12" s="25">
        <f>IF(OR(DF$4=0,SUM(Effective!$F$28:$Q$28)&lt;=0),0,Effective!$C$28*INDEX(Effective!$F$28:$Q$28,1,DF$5)/SUM(Effective!$F$28:$Q$28)*(1+Effective!$D$28)^DF$6)</f>
        <v/>
      </c>
      <c r="DG12" s="25">
        <f>IF(OR(DG$4=0,SUM(Effective!$F$28:$Q$28)&lt;=0),0,Effective!$C$28*INDEX(Effective!$F$28:$Q$28,1,DG$5)/SUM(Effective!$F$28:$Q$28)*(1+Effective!$D$28)^DG$6)</f>
        <v/>
      </c>
      <c r="DH12" s="25">
        <f>IF(OR(DH$4=0,SUM(Effective!$F$28:$Q$28)&lt;=0),0,Effective!$C$28*INDEX(Effective!$F$28:$Q$28,1,DH$5)/SUM(Effective!$F$28:$Q$28)*(1+Effective!$D$28)^DH$6)</f>
        <v/>
      </c>
      <c r="DI12" s="25">
        <f>IF(OR(DI$4=0,SUM(Effective!$F$28:$Q$28)&lt;=0),0,Effective!$C$28*INDEX(Effective!$F$28:$Q$28,1,DI$5)/SUM(Effective!$F$28:$Q$28)*(1+Effective!$D$28)^DI$6)</f>
        <v/>
      </c>
      <c r="DJ12" s="25">
        <f>IF(OR(DJ$4=0,SUM(Effective!$F$28:$Q$28)&lt;=0),0,Effective!$C$28*INDEX(Effective!$F$28:$Q$28,1,DJ$5)/SUM(Effective!$F$28:$Q$28)*(1+Effective!$D$28)^DJ$6)</f>
        <v/>
      </c>
      <c r="DK12" s="25">
        <f>IF(OR(DK$4=0,SUM(Effective!$F$28:$Q$28)&lt;=0),0,Effective!$C$28*INDEX(Effective!$F$28:$Q$28,1,DK$5)/SUM(Effective!$F$28:$Q$28)*(1+Effective!$D$28)^DK$6)</f>
        <v/>
      </c>
      <c r="DL12" s="25">
        <f>IF(OR(DL$4=0,SUM(Effective!$F$28:$Q$28)&lt;=0),0,Effective!$C$28*INDEX(Effective!$F$28:$Q$28,1,DL$5)/SUM(Effective!$F$28:$Q$28)*(1+Effective!$D$28)^DL$6)</f>
        <v/>
      </c>
      <c r="DM12" s="25">
        <f>IF(OR(DM$4=0,SUM(Effective!$F$28:$Q$28)&lt;=0),0,Effective!$C$28*INDEX(Effective!$F$28:$Q$28,1,DM$5)/SUM(Effective!$F$28:$Q$28)*(1+Effective!$D$28)^DM$6)</f>
        <v/>
      </c>
      <c r="DN12" s="25">
        <f>IF(OR(DN$4=0,SUM(Effective!$F$28:$Q$28)&lt;=0),0,Effective!$C$28*INDEX(Effective!$F$28:$Q$28,1,DN$5)/SUM(Effective!$F$28:$Q$28)*(1+Effective!$D$28)^DN$6)</f>
        <v/>
      </c>
      <c r="DO12" s="25">
        <f>IF(OR(DO$4=0,SUM(Effective!$F$28:$Q$28)&lt;=0),0,Effective!$C$28*INDEX(Effective!$F$28:$Q$28,1,DO$5)/SUM(Effective!$F$28:$Q$28)*(1+Effective!$D$28)^DO$6)</f>
        <v/>
      </c>
      <c r="DP12" s="25">
        <f>IF(OR(DP$4=0,SUM(Effective!$F$28:$Q$28)&lt;=0),0,Effective!$C$28*INDEX(Effective!$F$28:$Q$28,1,DP$5)/SUM(Effective!$F$28:$Q$28)*(1+Effective!$D$28)^DP$6)</f>
        <v/>
      </c>
      <c r="DQ12" s="25">
        <f>IF(OR(DQ$4=0,SUM(Effective!$F$28:$Q$28)&lt;=0),0,Effective!$C$28*INDEX(Effective!$F$28:$Q$28,1,DQ$5)/SUM(Effective!$F$28:$Q$28)*(1+Effective!$D$28)^DQ$6)</f>
        <v/>
      </c>
      <c r="DR12" s="25">
        <f>IF(OR(DR$4=0,SUM(Effective!$F$28:$Q$28)&lt;=0),0,Effective!$C$28*INDEX(Effective!$F$28:$Q$28,1,DR$5)/SUM(Effective!$F$28:$Q$28)*(1+Effective!$D$28)^DR$6)</f>
        <v/>
      </c>
    </row>
    <row r="13">
      <c r="A13" t="inlineStr">
        <is>
          <t>revenue_ch4</t>
        </is>
      </c>
      <c r="B13" t="inlineStr">
        <is>
          <t>channel idx 3</t>
        </is>
      </c>
      <c r="C13" s="25">
        <f>IF(OR(C$4=0,SUM(Effective!$F$29:$Q$29)&lt;=0),0,Effective!$C$29*INDEX(Effective!$F$29:$Q$29,1,C$5)/SUM(Effective!$F$29:$Q$29)*(1+Effective!$D$29)^C$6)</f>
        <v/>
      </c>
      <c r="D13" s="25">
        <f>IF(OR(D$4=0,SUM(Effective!$F$29:$Q$29)&lt;=0),0,Effective!$C$29*INDEX(Effective!$F$29:$Q$29,1,D$5)/SUM(Effective!$F$29:$Q$29)*(1+Effective!$D$29)^D$6)</f>
        <v/>
      </c>
      <c r="E13" s="25">
        <f>IF(OR(E$4=0,SUM(Effective!$F$29:$Q$29)&lt;=0),0,Effective!$C$29*INDEX(Effective!$F$29:$Q$29,1,E$5)/SUM(Effective!$F$29:$Q$29)*(1+Effective!$D$29)^E$6)</f>
        <v/>
      </c>
      <c r="F13" s="25">
        <f>IF(OR(F$4=0,SUM(Effective!$F$29:$Q$29)&lt;=0),0,Effective!$C$29*INDEX(Effective!$F$29:$Q$29,1,F$5)/SUM(Effective!$F$29:$Q$29)*(1+Effective!$D$29)^F$6)</f>
        <v/>
      </c>
      <c r="G13" s="25">
        <f>IF(OR(G$4=0,SUM(Effective!$F$29:$Q$29)&lt;=0),0,Effective!$C$29*INDEX(Effective!$F$29:$Q$29,1,G$5)/SUM(Effective!$F$29:$Q$29)*(1+Effective!$D$29)^G$6)</f>
        <v/>
      </c>
      <c r="H13" s="25">
        <f>IF(OR(H$4=0,SUM(Effective!$F$29:$Q$29)&lt;=0),0,Effective!$C$29*INDEX(Effective!$F$29:$Q$29,1,H$5)/SUM(Effective!$F$29:$Q$29)*(1+Effective!$D$29)^H$6)</f>
        <v/>
      </c>
      <c r="I13" s="25">
        <f>IF(OR(I$4=0,SUM(Effective!$F$29:$Q$29)&lt;=0),0,Effective!$C$29*INDEX(Effective!$F$29:$Q$29,1,I$5)/SUM(Effective!$F$29:$Q$29)*(1+Effective!$D$29)^I$6)</f>
        <v/>
      </c>
      <c r="J13" s="25">
        <f>IF(OR(J$4=0,SUM(Effective!$F$29:$Q$29)&lt;=0),0,Effective!$C$29*INDEX(Effective!$F$29:$Q$29,1,J$5)/SUM(Effective!$F$29:$Q$29)*(1+Effective!$D$29)^J$6)</f>
        <v/>
      </c>
      <c r="K13" s="25">
        <f>IF(OR(K$4=0,SUM(Effective!$F$29:$Q$29)&lt;=0),0,Effective!$C$29*INDEX(Effective!$F$29:$Q$29,1,K$5)/SUM(Effective!$F$29:$Q$29)*(1+Effective!$D$29)^K$6)</f>
        <v/>
      </c>
      <c r="L13" s="25">
        <f>IF(OR(L$4=0,SUM(Effective!$F$29:$Q$29)&lt;=0),0,Effective!$C$29*INDEX(Effective!$F$29:$Q$29,1,L$5)/SUM(Effective!$F$29:$Q$29)*(1+Effective!$D$29)^L$6)</f>
        <v/>
      </c>
      <c r="M13" s="25">
        <f>IF(OR(M$4=0,SUM(Effective!$F$29:$Q$29)&lt;=0),0,Effective!$C$29*INDEX(Effective!$F$29:$Q$29,1,M$5)/SUM(Effective!$F$29:$Q$29)*(1+Effective!$D$29)^M$6)</f>
        <v/>
      </c>
      <c r="N13" s="25">
        <f>IF(OR(N$4=0,SUM(Effective!$F$29:$Q$29)&lt;=0),0,Effective!$C$29*INDEX(Effective!$F$29:$Q$29,1,N$5)/SUM(Effective!$F$29:$Q$29)*(1+Effective!$D$29)^N$6)</f>
        <v/>
      </c>
      <c r="O13" s="25">
        <f>IF(OR(O$4=0,SUM(Effective!$F$29:$Q$29)&lt;=0),0,Effective!$C$29*INDEX(Effective!$F$29:$Q$29,1,O$5)/SUM(Effective!$F$29:$Q$29)*(1+Effective!$D$29)^O$6)</f>
        <v/>
      </c>
      <c r="P13" s="25">
        <f>IF(OR(P$4=0,SUM(Effective!$F$29:$Q$29)&lt;=0),0,Effective!$C$29*INDEX(Effective!$F$29:$Q$29,1,P$5)/SUM(Effective!$F$29:$Q$29)*(1+Effective!$D$29)^P$6)</f>
        <v/>
      </c>
      <c r="Q13" s="25">
        <f>IF(OR(Q$4=0,SUM(Effective!$F$29:$Q$29)&lt;=0),0,Effective!$C$29*INDEX(Effective!$F$29:$Q$29,1,Q$5)/SUM(Effective!$F$29:$Q$29)*(1+Effective!$D$29)^Q$6)</f>
        <v/>
      </c>
      <c r="R13" s="25">
        <f>IF(OR(R$4=0,SUM(Effective!$F$29:$Q$29)&lt;=0),0,Effective!$C$29*INDEX(Effective!$F$29:$Q$29,1,R$5)/SUM(Effective!$F$29:$Q$29)*(1+Effective!$D$29)^R$6)</f>
        <v/>
      </c>
      <c r="S13" s="25">
        <f>IF(OR(S$4=0,SUM(Effective!$F$29:$Q$29)&lt;=0),0,Effective!$C$29*INDEX(Effective!$F$29:$Q$29,1,S$5)/SUM(Effective!$F$29:$Q$29)*(1+Effective!$D$29)^S$6)</f>
        <v/>
      </c>
      <c r="T13" s="25">
        <f>IF(OR(T$4=0,SUM(Effective!$F$29:$Q$29)&lt;=0),0,Effective!$C$29*INDEX(Effective!$F$29:$Q$29,1,T$5)/SUM(Effective!$F$29:$Q$29)*(1+Effective!$D$29)^T$6)</f>
        <v/>
      </c>
      <c r="U13" s="25">
        <f>IF(OR(U$4=0,SUM(Effective!$F$29:$Q$29)&lt;=0),0,Effective!$C$29*INDEX(Effective!$F$29:$Q$29,1,U$5)/SUM(Effective!$F$29:$Q$29)*(1+Effective!$D$29)^U$6)</f>
        <v/>
      </c>
      <c r="V13" s="25">
        <f>IF(OR(V$4=0,SUM(Effective!$F$29:$Q$29)&lt;=0),0,Effective!$C$29*INDEX(Effective!$F$29:$Q$29,1,V$5)/SUM(Effective!$F$29:$Q$29)*(1+Effective!$D$29)^V$6)</f>
        <v/>
      </c>
      <c r="W13" s="25">
        <f>IF(OR(W$4=0,SUM(Effective!$F$29:$Q$29)&lt;=0),0,Effective!$C$29*INDEX(Effective!$F$29:$Q$29,1,W$5)/SUM(Effective!$F$29:$Q$29)*(1+Effective!$D$29)^W$6)</f>
        <v/>
      </c>
      <c r="X13" s="25">
        <f>IF(OR(X$4=0,SUM(Effective!$F$29:$Q$29)&lt;=0),0,Effective!$C$29*INDEX(Effective!$F$29:$Q$29,1,X$5)/SUM(Effective!$F$29:$Q$29)*(1+Effective!$D$29)^X$6)</f>
        <v/>
      </c>
      <c r="Y13" s="25">
        <f>IF(OR(Y$4=0,SUM(Effective!$F$29:$Q$29)&lt;=0),0,Effective!$C$29*INDEX(Effective!$F$29:$Q$29,1,Y$5)/SUM(Effective!$F$29:$Q$29)*(1+Effective!$D$29)^Y$6)</f>
        <v/>
      </c>
      <c r="Z13" s="25">
        <f>IF(OR(Z$4=0,SUM(Effective!$F$29:$Q$29)&lt;=0),0,Effective!$C$29*INDEX(Effective!$F$29:$Q$29,1,Z$5)/SUM(Effective!$F$29:$Q$29)*(1+Effective!$D$29)^Z$6)</f>
        <v/>
      </c>
      <c r="AA13" s="25">
        <f>IF(OR(AA$4=0,SUM(Effective!$F$29:$Q$29)&lt;=0),0,Effective!$C$29*INDEX(Effective!$F$29:$Q$29,1,AA$5)/SUM(Effective!$F$29:$Q$29)*(1+Effective!$D$29)^AA$6)</f>
        <v/>
      </c>
      <c r="AB13" s="25">
        <f>IF(OR(AB$4=0,SUM(Effective!$F$29:$Q$29)&lt;=0),0,Effective!$C$29*INDEX(Effective!$F$29:$Q$29,1,AB$5)/SUM(Effective!$F$29:$Q$29)*(1+Effective!$D$29)^AB$6)</f>
        <v/>
      </c>
      <c r="AC13" s="25">
        <f>IF(OR(AC$4=0,SUM(Effective!$F$29:$Q$29)&lt;=0),0,Effective!$C$29*INDEX(Effective!$F$29:$Q$29,1,AC$5)/SUM(Effective!$F$29:$Q$29)*(1+Effective!$D$29)^AC$6)</f>
        <v/>
      </c>
      <c r="AD13" s="25">
        <f>IF(OR(AD$4=0,SUM(Effective!$F$29:$Q$29)&lt;=0),0,Effective!$C$29*INDEX(Effective!$F$29:$Q$29,1,AD$5)/SUM(Effective!$F$29:$Q$29)*(1+Effective!$D$29)^AD$6)</f>
        <v/>
      </c>
      <c r="AE13" s="25">
        <f>IF(OR(AE$4=0,SUM(Effective!$F$29:$Q$29)&lt;=0),0,Effective!$C$29*INDEX(Effective!$F$29:$Q$29,1,AE$5)/SUM(Effective!$F$29:$Q$29)*(1+Effective!$D$29)^AE$6)</f>
        <v/>
      </c>
      <c r="AF13" s="25">
        <f>IF(OR(AF$4=0,SUM(Effective!$F$29:$Q$29)&lt;=0),0,Effective!$C$29*INDEX(Effective!$F$29:$Q$29,1,AF$5)/SUM(Effective!$F$29:$Q$29)*(1+Effective!$D$29)^AF$6)</f>
        <v/>
      </c>
      <c r="AG13" s="25">
        <f>IF(OR(AG$4=0,SUM(Effective!$F$29:$Q$29)&lt;=0),0,Effective!$C$29*INDEX(Effective!$F$29:$Q$29,1,AG$5)/SUM(Effective!$F$29:$Q$29)*(1+Effective!$D$29)^AG$6)</f>
        <v/>
      </c>
      <c r="AH13" s="25">
        <f>IF(OR(AH$4=0,SUM(Effective!$F$29:$Q$29)&lt;=0),0,Effective!$C$29*INDEX(Effective!$F$29:$Q$29,1,AH$5)/SUM(Effective!$F$29:$Q$29)*(1+Effective!$D$29)^AH$6)</f>
        <v/>
      </c>
      <c r="AI13" s="25">
        <f>IF(OR(AI$4=0,SUM(Effective!$F$29:$Q$29)&lt;=0),0,Effective!$C$29*INDEX(Effective!$F$29:$Q$29,1,AI$5)/SUM(Effective!$F$29:$Q$29)*(1+Effective!$D$29)^AI$6)</f>
        <v/>
      </c>
      <c r="AJ13" s="25">
        <f>IF(OR(AJ$4=0,SUM(Effective!$F$29:$Q$29)&lt;=0),0,Effective!$C$29*INDEX(Effective!$F$29:$Q$29,1,AJ$5)/SUM(Effective!$F$29:$Q$29)*(1+Effective!$D$29)^AJ$6)</f>
        <v/>
      </c>
      <c r="AK13" s="25">
        <f>IF(OR(AK$4=0,SUM(Effective!$F$29:$Q$29)&lt;=0),0,Effective!$C$29*INDEX(Effective!$F$29:$Q$29,1,AK$5)/SUM(Effective!$F$29:$Q$29)*(1+Effective!$D$29)^AK$6)</f>
        <v/>
      </c>
      <c r="AL13" s="25">
        <f>IF(OR(AL$4=0,SUM(Effective!$F$29:$Q$29)&lt;=0),0,Effective!$C$29*INDEX(Effective!$F$29:$Q$29,1,AL$5)/SUM(Effective!$F$29:$Q$29)*(1+Effective!$D$29)^AL$6)</f>
        <v/>
      </c>
      <c r="AM13" s="25">
        <f>IF(OR(AM$4=0,SUM(Effective!$F$29:$Q$29)&lt;=0),0,Effective!$C$29*INDEX(Effective!$F$29:$Q$29,1,AM$5)/SUM(Effective!$F$29:$Q$29)*(1+Effective!$D$29)^AM$6)</f>
        <v/>
      </c>
      <c r="AN13" s="25">
        <f>IF(OR(AN$4=0,SUM(Effective!$F$29:$Q$29)&lt;=0),0,Effective!$C$29*INDEX(Effective!$F$29:$Q$29,1,AN$5)/SUM(Effective!$F$29:$Q$29)*(1+Effective!$D$29)^AN$6)</f>
        <v/>
      </c>
      <c r="AO13" s="25">
        <f>IF(OR(AO$4=0,SUM(Effective!$F$29:$Q$29)&lt;=0),0,Effective!$C$29*INDEX(Effective!$F$29:$Q$29,1,AO$5)/SUM(Effective!$F$29:$Q$29)*(1+Effective!$D$29)^AO$6)</f>
        <v/>
      </c>
      <c r="AP13" s="25">
        <f>IF(OR(AP$4=0,SUM(Effective!$F$29:$Q$29)&lt;=0),0,Effective!$C$29*INDEX(Effective!$F$29:$Q$29,1,AP$5)/SUM(Effective!$F$29:$Q$29)*(1+Effective!$D$29)^AP$6)</f>
        <v/>
      </c>
      <c r="AQ13" s="25">
        <f>IF(OR(AQ$4=0,SUM(Effective!$F$29:$Q$29)&lt;=0),0,Effective!$C$29*INDEX(Effective!$F$29:$Q$29,1,AQ$5)/SUM(Effective!$F$29:$Q$29)*(1+Effective!$D$29)^AQ$6)</f>
        <v/>
      </c>
      <c r="AR13" s="25">
        <f>IF(OR(AR$4=0,SUM(Effective!$F$29:$Q$29)&lt;=0),0,Effective!$C$29*INDEX(Effective!$F$29:$Q$29,1,AR$5)/SUM(Effective!$F$29:$Q$29)*(1+Effective!$D$29)^AR$6)</f>
        <v/>
      </c>
      <c r="AS13" s="25">
        <f>IF(OR(AS$4=0,SUM(Effective!$F$29:$Q$29)&lt;=0),0,Effective!$C$29*INDEX(Effective!$F$29:$Q$29,1,AS$5)/SUM(Effective!$F$29:$Q$29)*(1+Effective!$D$29)^AS$6)</f>
        <v/>
      </c>
      <c r="AT13" s="25">
        <f>IF(OR(AT$4=0,SUM(Effective!$F$29:$Q$29)&lt;=0),0,Effective!$C$29*INDEX(Effective!$F$29:$Q$29,1,AT$5)/SUM(Effective!$F$29:$Q$29)*(1+Effective!$D$29)^AT$6)</f>
        <v/>
      </c>
      <c r="AU13" s="25">
        <f>IF(OR(AU$4=0,SUM(Effective!$F$29:$Q$29)&lt;=0),0,Effective!$C$29*INDEX(Effective!$F$29:$Q$29,1,AU$5)/SUM(Effective!$F$29:$Q$29)*(1+Effective!$D$29)^AU$6)</f>
        <v/>
      </c>
      <c r="AV13" s="25">
        <f>IF(OR(AV$4=0,SUM(Effective!$F$29:$Q$29)&lt;=0),0,Effective!$C$29*INDEX(Effective!$F$29:$Q$29,1,AV$5)/SUM(Effective!$F$29:$Q$29)*(1+Effective!$D$29)^AV$6)</f>
        <v/>
      </c>
      <c r="AW13" s="25">
        <f>IF(OR(AW$4=0,SUM(Effective!$F$29:$Q$29)&lt;=0),0,Effective!$C$29*INDEX(Effective!$F$29:$Q$29,1,AW$5)/SUM(Effective!$F$29:$Q$29)*(1+Effective!$D$29)^AW$6)</f>
        <v/>
      </c>
      <c r="AX13" s="25">
        <f>IF(OR(AX$4=0,SUM(Effective!$F$29:$Q$29)&lt;=0),0,Effective!$C$29*INDEX(Effective!$F$29:$Q$29,1,AX$5)/SUM(Effective!$F$29:$Q$29)*(1+Effective!$D$29)^AX$6)</f>
        <v/>
      </c>
      <c r="AY13" s="25">
        <f>IF(OR(AY$4=0,SUM(Effective!$F$29:$Q$29)&lt;=0),0,Effective!$C$29*INDEX(Effective!$F$29:$Q$29,1,AY$5)/SUM(Effective!$F$29:$Q$29)*(1+Effective!$D$29)^AY$6)</f>
        <v/>
      </c>
      <c r="AZ13" s="25">
        <f>IF(OR(AZ$4=0,SUM(Effective!$F$29:$Q$29)&lt;=0),0,Effective!$C$29*INDEX(Effective!$F$29:$Q$29,1,AZ$5)/SUM(Effective!$F$29:$Q$29)*(1+Effective!$D$29)^AZ$6)</f>
        <v/>
      </c>
      <c r="BA13" s="25">
        <f>IF(OR(BA$4=0,SUM(Effective!$F$29:$Q$29)&lt;=0),0,Effective!$C$29*INDEX(Effective!$F$29:$Q$29,1,BA$5)/SUM(Effective!$F$29:$Q$29)*(1+Effective!$D$29)^BA$6)</f>
        <v/>
      </c>
      <c r="BB13" s="25">
        <f>IF(OR(BB$4=0,SUM(Effective!$F$29:$Q$29)&lt;=0),0,Effective!$C$29*INDEX(Effective!$F$29:$Q$29,1,BB$5)/SUM(Effective!$F$29:$Q$29)*(1+Effective!$D$29)^BB$6)</f>
        <v/>
      </c>
      <c r="BC13" s="25">
        <f>IF(OR(BC$4=0,SUM(Effective!$F$29:$Q$29)&lt;=0),0,Effective!$C$29*INDEX(Effective!$F$29:$Q$29,1,BC$5)/SUM(Effective!$F$29:$Q$29)*(1+Effective!$D$29)^BC$6)</f>
        <v/>
      </c>
      <c r="BD13" s="25">
        <f>IF(OR(BD$4=0,SUM(Effective!$F$29:$Q$29)&lt;=0),0,Effective!$C$29*INDEX(Effective!$F$29:$Q$29,1,BD$5)/SUM(Effective!$F$29:$Q$29)*(1+Effective!$D$29)^BD$6)</f>
        <v/>
      </c>
      <c r="BE13" s="25">
        <f>IF(OR(BE$4=0,SUM(Effective!$F$29:$Q$29)&lt;=0),0,Effective!$C$29*INDEX(Effective!$F$29:$Q$29,1,BE$5)/SUM(Effective!$F$29:$Q$29)*(1+Effective!$D$29)^BE$6)</f>
        <v/>
      </c>
      <c r="BF13" s="25">
        <f>IF(OR(BF$4=0,SUM(Effective!$F$29:$Q$29)&lt;=0),0,Effective!$C$29*INDEX(Effective!$F$29:$Q$29,1,BF$5)/SUM(Effective!$F$29:$Q$29)*(1+Effective!$D$29)^BF$6)</f>
        <v/>
      </c>
      <c r="BG13" s="25">
        <f>IF(OR(BG$4=0,SUM(Effective!$F$29:$Q$29)&lt;=0),0,Effective!$C$29*INDEX(Effective!$F$29:$Q$29,1,BG$5)/SUM(Effective!$F$29:$Q$29)*(1+Effective!$D$29)^BG$6)</f>
        <v/>
      </c>
      <c r="BH13" s="25">
        <f>IF(OR(BH$4=0,SUM(Effective!$F$29:$Q$29)&lt;=0),0,Effective!$C$29*INDEX(Effective!$F$29:$Q$29,1,BH$5)/SUM(Effective!$F$29:$Q$29)*(1+Effective!$D$29)^BH$6)</f>
        <v/>
      </c>
      <c r="BI13" s="25">
        <f>IF(OR(BI$4=0,SUM(Effective!$F$29:$Q$29)&lt;=0),0,Effective!$C$29*INDEX(Effective!$F$29:$Q$29,1,BI$5)/SUM(Effective!$F$29:$Q$29)*(1+Effective!$D$29)^BI$6)</f>
        <v/>
      </c>
      <c r="BJ13" s="25">
        <f>IF(OR(BJ$4=0,SUM(Effective!$F$29:$Q$29)&lt;=0),0,Effective!$C$29*INDEX(Effective!$F$29:$Q$29,1,BJ$5)/SUM(Effective!$F$29:$Q$29)*(1+Effective!$D$29)^BJ$6)</f>
        <v/>
      </c>
      <c r="BK13" s="25">
        <f>IF(OR(BK$4=0,SUM(Effective!$F$29:$Q$29)&lt;=0),0,Effective!$C$29*INDEX(Effective!$F$29:$Q$29,1,BK$5)/SUM(Effective!$F$29:$Q$29)*(1+Effective!$D$29)^BK$6)</f>
        <v/>
      </c>
      <c r="BL13" s="25">
        <f>IF(OR(BL$4=0,SUM(Effective!$F$29:$Q$29)&lt;=0),0,Effective!$C$29*INDEX(Effective!$F$29:$Q$29,1,BL$5)/SUM(Effective!$F$29:$Q$29)*(1+Effective!$D$29)^BL$6)</f>
        <v/>
      </c>
      <c r="BM13" s="25">
        <f>IF(OR(BM$4=0,SUM(Effective!$F$29:$Q$29)&lt;=0),0,Effective!$C$29*INDEX(Effective!$F$29:$Q$29,1,BM$5)/SUM(Effective!$F$29:$Q$29)*(1+Effective!$D$29)^BM$6)</f>
        <v/>
      </c>
      <c r="BN13" s="25">
        <f>IF(OR(BN$4=0,SUM(Effective!$F$29:$Q$29)&lt;=0),0,Effective!$C$29*INDEX(Effective!$F$29:$Q$29,1,BN$5)/SUM(Effective!$F$29:$Q$29)*(1+Effective!$D$29)^BN$6)</f>
        <v/>
      </c>
      <c r="BO13" s="25">
        <f>IF(OR(BO$4=0,SUM(Effective!$F$29:$Q$29)&lt;=0),0,Effective!$C$29*INDEX(Effective!$F$29:$Q$29,1,BO$5)/SUM(Effective!$F$29:$Q$29)*(1+Effective!$D$29)^BO$6)</f>
        <v/>
      </c>
      <c r="BP13" s="25">
        <f>IF(OR(BP$4=0,SUM(Effective!$F$29:$Q$29)&lt;=0),0,Effective!$C$29*INDEX(Effective!$F$29:$Q$29,1,BP$5)/SUM(Effective!$F$29:$Q$29)*(1+Effective!$D$29)^BP$6)</f>
        <v/>
      </c>
      <c r="BQ13" s="25">
        <f>IF(OR(BQ$4=0,SUM(Effective!$F$29:$Q$29)&lt;=0),0,Effective!$C$29*INDEX(Effective!$F$29:$Q$29,1,BQ$5)/SUM(Effective!$F$29:$Q$29)*(1+Effective!$D$29)^BQ$6)</f>
        <v/>
      </c>
      <c r="BR13" s="25">
        <f>IF(OR(BR$4=0,SUM(Effective!$F$29:$Q$29)&lt;=0),0,Effective!$C$29*INDEX(Effective!$F$29:$Q$29,1,BR$5)/SUM(Effective!$F$29:$Q$29)*(1+Effective!$D$29)^BR$6)</f>
        <v/>
      </c>
      <c r="BS13" s="25">
        <f>IF(OR(BS$4=0,SUM(Effective!$F$29:$Q$29)&lt;=0),0,Effective!$C$29*INDEX(Effective!$F$29:$Q$29,1,BS$5)/SUM(Effective!$F$29:$Q$29)*(1+Effective!$D$29)^BS$6)</f>
        <v/>
      </c>
      <c r="BT13" s="25">
        <f>IF(OR(BT$4=0,SUM(Effective!$F$29:$Q$29)&lt;=0),0,Effective!$C$29*INDEX(Effective!$F$29:$Q$29,1,BT$5)/SUM(Effective!$F$29:$Q$29)*(1+Effective!$D$29)^BT$6)</f>
        <v/>
      </c>
      <c r="BU13" s="25">
        <f>IF(OR(BU$4=0,SUM(Effective!$F$29:$Q$29)&lt;=0),0,Effective!$C$29*INDEX(Effective!$F$29:$Q$29,1,BU$5)/SUM(Effective!$F$29:$Q$29)*(1+Effective!$D$29)^BU$6)</f>
        <v/>
      </c>
      <c r="BV13" s="25">
        <f>IF(OR(BV$4=0,SUM(Effective!$F$29:$Q$29)&lt;=0),0,Effective!$C$29*INDEX(Effective!$F$29:$Q$29,1,BV$5)/SUM(Effective!$F$29:$Q$29)*(1+Effective!$D$29)^BV$6)</f>
        <v/>
      </c>
      <c r="BW13" s="25">
        <f>IF(OR(BW$4=0,SUM(Effective!$F$29:$Q$29)&lt;=0),0,Effective!$C$29*INDEX(Effective!$F$29:$Q$29,1,BW$5)/SUM(Effective!$F$29:$Q$29)*(1+Effective!$D$29)^BW$6)</f>
        <v/>
      </c>
      <c r="BX13" s="25">
        <f>IF(OR(BX$4=0,SUM(Effective!$F$29:$Q$29)&lt;=0),0,Effective!$C$29*INDEX(Effective!$F$29:$Q$29,1,BX$5)/SUM(Effective!$F$29:$Q$29)*(1+Effective!$D$29)^BX$6)</f>
        <v/>
      </c>
      <c r="BY13" s="25">
        <f>IF(OR(BY$4=0,SUM(Effective!$F$29:$Q$29)&lt;=0),0,Effective!$C$29*INDEX(Effective!$F$29:$Q$29,1,BY$5)/SUM(Effective!$F$29:$Q$29)*(1+Effective!$D$29)^BY$6)</f>
        <v/>
      </c>
      <c r="BZ13" s="25">
        <f>IF(OR(BZ$4=0,SUM(Effective!$F$29:$Q$29)&lt;=0),0,Effective!$C$29*INDEX(Effective!$F$29:$Q$29,1,BZ$5)/SUM(Effective!$F$29:$Q$29)*(1+Effective!$D$29)^BZ$6)</f>
        <v/>
      </c>
      <c r="CA13" s="25">
        <f>IF(OR(CA$4=0,SUM(Effective!$F$29:$Q$29)&lt;=0),0,Effective!$C$29*INDEX(Effective!$F$29:$Q$29,1,CA$5)/SUM(Effective!$F$29:$Q$29)*(1+Effective!$D$29)^CA$6)</f>
        <v/>
      </c>
      <c r="CB13" s="25">
        <f>IF(OR(CB$4=0,SUM(Effective!$F$29:$Q$29)&lt;=0),0,Effective!$C$29*INDEX(Effective!$F$29:$Q$29,1,CB$5)/SUM(Effective!$F$29:$Q$29)*(1+Effective!$D$29)^CB$6)</f>
        <v/>
      </c>
      <c r="CC13" s="25">
        <f>IF(OR(CC$4=0,SUM(Effective!$F$29:$Q$29)&lt;=0),0,Effective!$C$29*INDEX(Effective!$F$29:$Q$29,1,CC$5)/SUM(Effective!$F$29:$Q$29)*(1+Effective!$D$29)^CC$6)</f>
        <v/>
      </c>
      <c r="CD13" s="25">
        <f>IF(OR(CD$4=0,SUM(Effective!$F$29:$Q$29)&lt;=0),0,Effective!$C$29*INDEX(Effective!$F$29:$Q$29,1,CD$5)/SUM(Effective!$F$29:$Q$29)*(1+Effective!$D$29)^CD$6)</f>
        <v/>
      </c>
      <c r="CE13" s="25">
        <f>IF(OR(CE$4=0,SUM(Effective!$F$29:$Q$29)&lt;=0),0,Effective!$C$29*INDEX(Effective!$F$29:$Q$29,1,CE$5)/SUM(Effective!$F$29:$Q$29)*(1+Effective!$D$29)^CE$6)</f>
        <v/>
      </c>
      <c r="CF13" s="25">
        <f>IF(OR(CF$4=0,SUM(Effective!$F$29:$Q$29)&lt;=0),0,Effective!$C$29*INDEX(Effective!$F$29:$Q$29,1,CF$5)/SUM(Effective!$F$29:$Q$29)*(1+Effective!$D$29)^CF$6)</f>
        <v/>
      </c>
      <c r="CG13" s="25">
        <f>IF(OR(CG$4=0,SUM(Effective!$F$29:$Q$29)&lt;=0),0,Effective!$C$29*INDEX(Effective!$F$29:$Q$29,1,CG$5)/SUM(Effective!$F$29:$Q$29)*(1+Effective!$D$29)^CG$6)</f>
        <v/>
      </c>
      <c r="CH13" s="25">
        <f>IF(OR(CH$4=0,SUM(Effective!$F$29:$Q$29)&lt;=0),0,Effective!$C$29*INDEX(Effective!$F$29:$Q$29,1,CH$5)/SUM(Effective!$F$29:$Q$29)*(1+Effective!$D$29)^CH$6)</f>
        <v/>
      </c>
      <c r="CI13" s="25">
        <f>IF(OR(CI$4=0,SUM(Effective!$F$29:$Q$29)&lt;=0),0,Effective!$C$29*INDEX(Effective!$F$29:$Q$29,1,CI$5)/SUM(Effective!$F$29:$Q$29)*(1+Effective!$D$29)^CI$6)</f>
        <v/>
      </c>
      <c r="CJ13" s="25">
        <f>IF(OR(CJ$4=0,SUM(Effective!$F$29:$Q$29)&lt;=0),0,Effective!$C$29*INDEX(Effective!$F$29:$Q$29,1,CJ$5)/SUM(Effective!$F$29:$Q$29)*(1+Effective!$D$29)^CJ$6)</f>
        <v/>
      </c>
      <c r="CK13" s="25">
        <f>IF(OR(CK$4=0,SUM(Effective!$F$29:$Q$29)&lt;=0),0,Effective!$C$29*INDEX(Effective!$F$29:$Q$29,1,CK$5)/SUM(Effective!$F$29:$Q$29)*(1+Effective!$D$29)^CK$6)</f>
        <v/>
      </c>
      <c r="CL13" s="25">
        <f>IF(OR(CL$4=0,SUM(Effective!$F$29:$Q$29)&lt;=0),0,Effective!$C$29*INDEX(Effective!$F$29:$Q$29,1,CL$5)/SUM(Effective!$F$29:$Q$29)*(1+Effective!$D$29)^CL$6)</f>
        <v/>
      </c>
      <c r="CM13" s="25">
        <f>IF(OR(CM$4=0,SUM(Effective!$F$29:$Q$29)&lt;=0),0,Effective!$C$29*INDEX(Effective!$F$29:$Q$29,1,CM$5)/SUM(Effective!$F$29:$Q$29)*(1+Effective!$D$29)^CM$6)</f>
        <v/>
      </c>
      <c r="CN13" s="25">
        <f>IF(OR(CN$4=0,SUM(Effective!$F$29:$Q$29)&lt;=0),0,Effective!$C$29*INDEX(Effective!$F$29:$Q$29,1,CN$5)/SUM(Effective!$F$29:$Q$29)*(1+Effective!$D$29)^CN$6)</f>
        <v/>
      </c>
      <c r="CO13" s="25">
        <f>IF(OR(CO$4=0,SUM(Effective!$F$29:$Q$29)&lt;=0),0,Effective!$C$29*INDEX(Effective!$F$29:$Q$29,1,CO$5)/SUM(Effective!$F$29:$Q$29)*(1+Effective!$D$29)^CO$6)</f>
        <v/>
      </c>
      <c r="CP13" s="25">
        <f>IF(OR(CP$4=0,SUM(Effective!$F$29:$Q$29)&lt;=0),0,Effective!$C$29*INDEX(Effective!$F$29:$Q$29,1,CP$5)/SUM(Effective!$F$29:$Q$29)*(1+Effective!$D$29)^CP$6)</f>
        <v/>
      </c>
      <c r="CQ13" s="25">
        <f>IF(OR(CQ$4=0,SUM(Effective!$F$29:$Q$29)&lt;=0),0,Effective!$C$29*INDEX(Effective!$F$29:$Q$29,1,CQ$5)/SUM(Effective!$F$29:$Q$29)*(1+Effective!$D$29)^CQ$6)</f>
        <v/>
      </c>
      <c r="CR13" s="25">
        <f>IF(OR(CR$4=0,SUM(Effective!$F$29:$Q$29)&lt;=0),0,Effective!$C$29*INDEX(Effective!$F$29:$Q$29,1,CR$5)/SUM(Effective!$F$29:$Q$29)*(1+Effective!$D$29)^CR$6)</f>
        <v/>
      </c>
      <c r="CS13" s="25">
        <f>IF(OR(CS$4=0,SUM(Effective!$F$29:$Q$29)&lt;=0),0,Effective!$C$29*INDEX(Effective!$F$29:$Q$29,1,CS$5)/SUM(Effective!$F$29:$Q$29)*(1+Effective!$D$29)^CS$6)</f>
        <v/>
      </c>
      <c r="CT13" s="25">
        <f>IF(OR(CT$4=0,SUM(Effective!$F$29:$Q$29)&lt;=0),0,Effective!$C$29*INDEX(Effective!$F$29:$Q$29,1,CT$5)/SUM(Effective!$F$29:$Q$29)*(1+Effective!$D$29)^CT$6)</f>
        <v/>
      </c>
      <c r="CU13" s="25">
        <f>IF(OR(CU$4=0,SUM(Effective!$F$29:$Q$29)&lt;=0),0,Effective!$C$29*INDEX(Effective!$F$29:$Q$29,1,CU$5)/SUM(Effective!$F$29:$Q$29)*(1+Effective!$D$29)^CU$6)</f>
        <v/>
      </c>
      <c r="CV13" s="25">
        <f>IF(OR(CV$4=0,SUM(Effective!$F$29:$Q$29)&lt;=0),0,Effective!$C$29*INDEX(Effective!$F$29:$Q$29,1,CV$5)/SUM(Effective!$F$29:$Q$29)*(1+Effective!$D$29)^CV$6)</f>
        <v/>
      </c>
      <c r="CW13" s="25">
        <f>IF(OR(CW$4=0,SUM(Effective!$F$29:$Q$29)&lt;=0),0,Effective!$C$29*INDEX(Effective!$F$29:$Q$29,1,CW$5)/SUM(Effective!$F$29:$Q$29)*(1+Effective!$D$29)^CW$6)</f>
        <v/>
      </c>
      <c r="CX13" s="25">
        <f>IF(OR(CX$4=0,SUM(Effective!$F$29:$Q$29)&lt;=0),0,Effective!$C$29*INDEX(Effective!$F$29:$Q$29,1,CX$5)/SUM(Effective!$F$29:$Q$29)*(1+Effective!$D$29)^CX$6)</f>
        <v/>
      </c>
      <c r="CY13" s="25">
        <f>IF(OR(CY$4=0,SUM(Effective!$F$29:$Q$29)&lt;=0),0,Effective!$C$29*INDEX(Effective!$F$29:$Q$29,1,CY$5)/SUM(Effective!$F$29:$Q$29)*(1+Effective!$D$29)^CY$6)</f>
        <v/>
      </c>
      <c r="CZ13" s="25">
        <f>IF(OR(CZ$4=0,SUM(Effective!$F$29:$Q$29)&lt;=0),0,Effective!$C$29*INDEX(Effective!$F$29:$Q$29,1,CZ$5)/SUM(Effective!$F$29:$Q$29)*(1+Effective!$D$29)^CZ$6)</f>
        <v/>
      </c>
      <c r="DA13" s="25">
        <f>IF(OR(DA$4=0,SUM(Effective!$F$29:$Q$29)&lt;=0),0,Effective!$C$29*INDEX(Effective!$F$29:$Q$29,1,DA$5)/SUM(Effective!$F$29:$Q$29)*(1+Effective!$D$29)^DA$6)</f>
        <v/>
      </c>
      <c r="DB13" s="25">
        <f>IF(OR(DB$4=0,SUM(Effective!$F$29:$Q$29)&lt;=0),0,Effective!$C$29*INDEX(Effective!$F$29:$Q$29,1,DB$5)/SUM(Effective!$F$29:$Q$29)*(1+Effective!$D$29)^DB$6)</f>
        <v/>
      </c>
      <c r="DC13" s="25">
        <f>IF(OR(DC$4=0,SUM(Effective!$F$29:$Q$29)&lt;=0),0,Effective!$C$29*INDEX(Effective!$F$29:$Q$29,1,DC$5)/SUM(Effective!$F$29:$Q$29)*(1+Effective!$D$29)^DC$6)</f>
        <v/>
      </c>
      <c r="DD13" s="25">
        <f>IF(OR(DD$4=0,SUM(Effective!$F$29:$Q$29)&lt;=0),0,Effective!$C$29*INDEX(Effective!$F$29:$Q$29,1,DD$5)/SUM(Effective!$F$29:$Q$29)*(1+Effective!$D$29)^DD$6)</f>
        <v/>
      </c>
      <c r="DE13" s="25">
        <f>IF(OR(DE$4=0,SUM(Effective!$F$29:$Q$29)&lt;=0),0,Effective!$C$29*INDEX(Effective!$F$29:$Q$29,1,DE$5)/SUM(Effective!$F$29:$Q$29)*(1+Effective!$D$29)^DE$6)</f>
        <v/>
      </c>
      <c r="DF13" s="25">
        <f>IF(OR(DF$4=0,SUM(Effective!$F$29:$Q$29)&lt;=0),0,Effective!$C$29*INDEX(Effective!$F$29:$Q$29,1,DF$5)/SUM(Effective!$F$29:$Q$29)*(1+Effective!$D$29)^DF$6)</f>
        <v/>
      </c>
      <c r="DG13" s="25">
        <f>IF(OR(DG$4=0,SUM(Effective!$F$29:$Q$29)&lt;=0),0,Effective!$C$29*INDEX(Effective!$F$29:$Q$29,1,DG$5)/SUM(Effective!$F$29:$Q$29)*(1+Effective!$D$29)^DG$6)</f>
        <v/>
      </c>
      <c r="DH13" s="25">
        <f>IF(OR(DH$4=0,SUM(Effective!$F$29:$Q$29)&lt;=0),0,Effective!$C$29*INDEX(Effective!$F$29:$Q$29,1,DH$5)/SUM(Effective!$F$29:$Q$29)*(1+Effective!$D$29)^DH$6)</f>
        <v/>
      </c>
      <c r="DI13" s="25">
        <f>IF(OR(DI$4=0,SUM(Effective!$F$29:$Q$29)&lt;=0),0,Effective!$C$29*INDEX(Effective!$F$29:$Q$29,1,DI$5)/SUM(Effective!$F$29:$Q$29)*(1+Effective!$D$29)^DI$6)</f>
        <v/>
      </c>
      <c r="DJ13" s="25">
        <f>IF(OR(DJ$4=0,SUM(Effective!$F$29:$Q$29)&lt;=0),0,Effective!$C$29*INDEX(Effective!$F$29:$Q$29,1,DJ$5)/SUM(Effective!$F$29:$Q$29)*(1+Effective!$D$29)^DJ$6)</f>
        <v/>
      </c>
      <c r="DK13" s="25">
        <f>IF(OR(DK$4=0,SUM(Effective!$F$29:$Q$29)&lt;=0),0,Effective!$C$29*INDEX(Effective!$F$29:$Q$29,1,DK$5)/SUM(Effective!$F$29:$Q$29)*(1+Effective!$D$29)^DK$6)</f>
        <v/>
      </c>
      <c r="DL13" s="25">
        <f>IF(OR(DL$4=0,SUM(Effective!$F$29:$Q$29)&lt;=0),0,Effective!$C$29*INDEX(Effective!$F$29:$Q$29,1,DL$5)/SUM(Effective!$F$29:$Q$29)*(1+Effective!$D$29)^DL$6)</f>
        <v/>
      </c>
      <c r="DM13" s="25">
        <f>IF(OR(DM$4=0,SUM(Effective!$F$29:$Q$29)&lt;=0),0,Effective!$C$29*INDEX(Effective!$F$29:$Q$29,1,DM$5)/SUM(Effective!$F$29:$Q$29)*(1+Effective!$D$29)^DM$6)</f>
        <v/>
      </c>
      <c r="DN13" s="25">
        <f>IF(OR(DN$4=0,SUM(Effective!$F$29:$Q$29)&lt;=0),0,Effective!$C$29*INDEX(Effective!$F$29:$Q$29,1,DN$5)/SUM(Effective!$F$29:$Q$29)*(1+Effective!$D$29)^DN$6)</f>
        <v/>
      </c>
      <c r="DO13" s="25">
        <f>IF(OR(DO$4=0,SUM(Effective!$F$29:$Q$29)&lt;=0),0,Effective!$C$29*INDEX(Effective!$F$29:$Q$29,1,DO$5)/SUM(Effective!$F$29:$Q$29)*(1+Effective!$D$29)^DO$6)</f>
        <v/>
      </c>
      <c r="DP13" s="25">
        <f>IF(OR(DP$4=0,SUM(Effective!$F$29:$Q$29)&lt;=0),0,Effective!$C$29*INDEX(Effective!$F$29:$Q$29,1,DP$5)/SUM(Effective!$F$29:$Q$29)*(1+Effective!$D$29)^DP$6)</f>
        <v/>
      </c>
      <c r="DQ13" s="25">
        <f>IF(OR(DQ$4=0,SUM(Effective!$F$29:$Q$29)&lt;=0),0,Effective!$C$29*INDEX(Effective!$F$29:$Q$29,1,DQ$5)/SUM(Effective!$F$29:$Q$29)*(1+Effective!$D$29)^DQ$6)</f>
        <v/>
      </c>
      <c r="DR13" s="25">
        <f>IF(OR(DR$4=0,SUM(Effective!$F$29:$Q$29)&lt;=0),0,Effective!$C$29*INDEX(Effective!$F$29:$Q$29,1,DR$5)/SUM(Effective!$F$29:$Q$29)*(1+Effective!$D$29)^DR$6)</f>
        <v/>
      </c>
    </row>
    <row r="14">
      <c r="A14" t="inlineStr">
        <is>
          <t>revenue_ch5</t>
        </is>
      </c>
      <c r="B14" t="inlineStr">
        <is>
          <t>channel idx 4</t>
        </is>
      </c>
      <c r="C14" s="25">
        <f>IF(OR(C$4=0,SUM(Effective!$F$30:$Q$30)&lt;=0),0,Effective!$C$30*INDEX(Effective!$F$30:$Q$30,1,C$5)/SUM(Effective!$F$30:$Q$30)*(1+Effective!$D$30)^C$6)</f>
        <v/>
      </c>
      <c r="D14" s="25">
        <f>IF(OR(D$4=0,SUM(Effective!$F$30:$Q$30)&lt;=0),0,Effective!$C$30*INDEX(Effective!$F$30:$Q$30,1,D$5)/SUM(Effective!$F$30:$Q$30)*(1+Effective!$D$30)^D$6)</f>
        <v/>
      </c>
      <c r="E14" s="25">
        <f>IF(OR(E$4=0,SUM(Effective!$F$30:$Q$30)&lt;=0),0,Effective!$C$30*INDEX(Effective!$F$30:$Q$30,1,E$5)/SUM(Effective!$F$30:$Q$30)*(1+Effective!$D$30)^E$6)</f>
        <v/>
      </c>
      <c r="F14" s="25">
        <f>IF(OR(F$4=0,SUM(Effective!$F$30:$Q$30)&lt;=0),0,Effective!$C$30*INDEX(Effective!$F$30:$Q$30,1,F$5)/SUM(Effective!$F$30:$Q$30)*(1+Effective!$D$30)^F$6)</f>
        <v/>
      </c>
      <c r="G14" s="25">
        <f>IF(OR(G$4=0,SUM(Effective!$F$30:$Q$30)&lt;=0),0,Effective!$C$30*INDEX(Effective!$F$30:$Q$30,1,G$5)/SUM(Effective!$F$30:$Q$30)*(1+Effective!$D$30)^G$6)</f>
        <v/>
      </c>
      <c r="H14" s="25">
        <f>IF(OR(H$4=0,SUM(Effective!$F$30:$Q$30)&lt;=0),0,Effective!$C$30*INDEX(Effective!$F$30:$Q$30,1,H$5)/SUM(Effective!$F$30:$Q$30)*(1+Effective!$D$30)^H$6)</f>
        <v/>
      </c>
      <c r="I14" s="25">
        <f>IF(OR(I$4=0,SUM(Effective!$F$30:$Q$30)&lt;=0),0,Effective!$C$30*INDEX(Effective!$F$30:$Q$30,1,I$5)/SUM(Effective!$F$30:$Q$30)*(1+Effective!$D$30)^I$6)</f>
        <v/>
      </c>
      <c r="J14" s="25">
        <f>IF(OR(J$4=0,SUM(Effective!$F$30:$Q$30)&lt;=0),0,Effective!$C$30*INDEX(Effective!$F$30:$Q$30,1,J$5)/SUM(Effective!$F$30:$Q$30)*(1+Effective!$D$30)^J$6)</f>
        <v/>
      </c>
      <c r="K14" s="25">
        <f>IF(OR(K$4=0,SUM(Effective!$F$30:$Q$30)&lt;=0),0,Effective!$C$30*INDEX(Effective!$F$30:$Q$30,1,K$5)/SUM(Effective!$F$30:$Q$30)*(1+Effective!$D$30)^K$6)</f>
        <v/>
      </c>
      <c r="L14" s="25">
        <f>IF(OR(L$4=0,SUM(Effective!$F$30:$Q$30)&lt;=0),0,Effective!$C$30*INDEX(Effective!$F$30:$Q$30,1,L$5)/SUM(Effective!$F$30:$Q$30)*(1+Effective!$D$30)^L$6)</f>
        <v/>
      </c>
      <c r="M14" s="25">
        <f>IF(OR(M$4=0,SUM(Effective!$F$30:$Q$30)&lt;=0),0,Effective!$C$30*INDEX(Effective!$F$30:$Q$30,1,M$5)/SUM(Effective!$F$30:$Q$30)*(1+Effective!$D$30)^M$6)</f>
        <v/>
      </c>
      <c r="N14" s="25">
        <f>IF(OR(N$4=0,SUM(Effective!$F$30:$Q$30)&lt;=0),0,Effective!$C$30*INDEX(Effective!$F$30:$Q$30,1,N$5)/SUM(Effective!$F$30:$Q$30)*(1+Effective!$D$30)^N$6)</f>
        <v/>
      </c>
      <c r="O14" s="25">
        <f>IF(OR(O$4=0,SUM(Effective!$F$30:$Q$30)&lt;=0),0,Effective!$C$30*INDEX(Effective!$F$30:$Q$30,1,O$5)/SUM(Effective!$F$30:$Q$30)*(1+Effective!$D$30)^O$6)</f>
        <v/>
      </c>
      <c r="P14" s="25">
        <f>IF(OR(P$4=0,SUM(Effective!$F$30:$Q$30)&lt;=0),0,Effective!$C$30*INDEX(Effective!$F$30:$Q$30,1,P$5)/SUM(Effective!$F$30:$Q$30)*(1+Effective!$D$30)^P$6)</f>
        <v/>
      </c>
      <c r="Q14" s="25">
        <f>IF(OR(Q$4=0,SUM(Effective!$F$30:$Q$30)&lt;=0),0,Effective!$C$30*INDEX(Effective!$F$30:$Q$30,1,Q$5)/SUM(Effective!$F$30:$Q$30)*(1+Effective!$D$30)^Q$6)</f>
        <v/>
      </c>
      <c r="R14" s="25">
        <f>IF(OR(R$4=0,SUM(Effective!$F$30:$Q$30)&lt;=0),0,Effective!$C$30*INDEX(Effective!$F$30:$Q$30,1,R$5)/SUM(Effective!$F$30:$Q$30)*(1+Effective!$D$30)^R$6)</f>
        <v/>
      </c>
      <c r="S14" s="25">
        <f>IF(OR(S$4=0,SUM(Effective!$F$30:$Q$30)&lt;=0),0,Effective!$C$30*INDEX(Effective!$F$30:$Q$30,1,S$5)/SUM(Effective!$F$30:$Q$30)*(1+Effective!$D$30)^S$6)</f>
        <v/>
      </c>
      <c r="T14" s="25">
        <f>IF(OR(T$4=0,SUM(Effective!$F$30:$Q$30)&lt;=0),0,Effective!$C$30*INDEX(Effective!$F$30:$Q$30,1,T$5)/SUM(Effective!$F$30:$Q$30)*(1+Effective!$D$30)^T$6)</f>
        <v/>
      </c>
      <c r="U14" s="25">
        <f>IF(OR(U$4=0,SUM(Effective!$F$30:$Q$30)&lt;=0),0,Effective!$C$30*INDEX(Effective!$F$30:$Q$30,1,U$5)/SUM(Effective!$F$30:$Q$30)*(1+Effective!$D$30)^U$6)</f>
        <v/>
      </c>
      <c r="V14" s="25">
        <f>IF(OR(V$4=0,SUM(Effective!$F$30:$Q$30)&lt;=0),0,Effective!$C$30*INDEX(Effective!$F$30:$Q$30,1,V$5)/SUM(Effective!$F$30:$Q$30)*(1+Effective!$D$30)^V$6)</f>
        <v/>
      </c>
      <c r="W14" s="25">
        <f>IF(OR(W$4=0,SUM(Effective!$F$30:$Q$30)&lt;=0),0,Effective!$C$30*INDEX(Effective!$F$30:$Q$30,1,W$5)/SUM(Effective!$F$30:$Q$30)*(1+Effective!$D$30)^W$6)</f>
        <v/>
      </c>
      <c r="X14" s="25">
        <f>IF(OR(X$4=0,SUM(Effective!$F$30:$Q$30)&lt;=0),0,Effective!$C$30*INDEX(Effective!$F$30:$Q$30,1,X$5)/SUM(Effective!$F$30:$Q$30)*(1+Effective!$D$30)^X$6)</f>
        <v/>
      </c>
      <c r="Y14" s="25">
        <f>IF(OR(Y$4=0,SUM(Effective!$F$30:$Q$30)&lt;=0),0,Effective!$C$30*INDEX(Effective!$F$30:$Q$30,1,Y$5)/SUM(Effective!$F$30:$Q$30)*(1+Effective!$D$30)^Y$6)</f>
        <v/>
      </c>
      <c r="Z14" s="25">
        <f>IF(OR(Z$4=0,SUM(Effective!$F$30:$Q$30)&lt;=0),0,Effective!$C$30*INDEX(Effective!$F$30:$Q$30,1,Z$5)/SUM(Effective!$F$30:$Q$30)*(1+Effective!$D$30)^Z$6)</f>
        <v/>
      </c>
      <c r="AA14" s="25">
        <f>IF(OR(AA$4=0,SUM(Effective!$F$30:$Q$30)&lt;=0),0,Effective!$C$30*INDEX(Effective!$F$30:$Q$30,1,AA$5)/SUM(Effective!$F$30:$Q$30)*(1+Effective!$D$30)^AA$6)</f>
        <v/>
      </c>
      <c r="AB14" s="25">
        <f>IF(OR(AB$4=0,SUM(Effective!$F$30:$Q$30)&lt;=0),0,Effective!$C$30*INDEX(Effective!$F$30:$Q$30,1,AB$5)/SUM(Effective!$F$30:$Q$30)*(1+Effective!$D$30)^AB$6)</f>
        <v/>
      </c>
      <c r="AC14" s="25">
        <f>IF(OR(AC$4=0,SUM(Effective!$F$30:$Q$30)&lt;=0),0,Effective!$C$30*INDEX(Effective!$F$30:$Q$30,1,AC$5)/SUM(Effective!$F$30:$Q$30)*(1+Effective!$D$30)^AC$6)</f>
        <v/>
      </c>
      <c r="AD14" s="25">
        <f>IF(OR(AD$4=0,SUM(Effective!$F$30:$Q$30)&lt;=0),0,Effective!$C$30*INDEX(Effective!$F$30:$Q$30,1,AD$5)/SUM(Effective!$F$30:$Q$30)*(1+Effective!$D$30)^AD$6)</f>
        <v/>
      </c>
      <c r="AE14" s="25">
        <f>IF(OR(AE$4=0,SUM(Effective!$F$30:$Q$30)&lt;=0),0,Effective!$C$30*INDEX(Effective!$F$30:$Q$30,1,AE$5)/SUM(Effective!$F$30:$Q$30)*(1+Effective!$D$30)^AE$6)</f>
        <v/>
      </c>
      <c r="AF14" s="25">
        <f>IF(OR(AF$4=0,SUM(Effective!$F$30:$Q$30)&lt;=0),0,Effective!$C$30*INDEX(Effective!$F$30:$Q$30,1,AF$5)/SUM(Effective!$F$30:$Q$30)*(1+Effective!$D$30)^AF$6)</f>
        <v/>
      </c>
      <c r="AG14" s="25">
        <f>IF(OR(AG$4=0,SUM(Effective!$F$30:$Q$30)&lt;=0),0,Effective!$C$30*INDEX(Effective!$F$30:$Q$30,1,AG$5)/SUM(Effective!$F$30:$Q$30)*(1+Effective!$D$30)^AG$6)</f>
        <v/>
      </c>
      <c r="AH14" s="25">
        <f>IF(OR(AH$4=0,SUM(Effective!$F$30:$Q$30)&lt;=0),0,Effective!$C$30*INDEX(Effective!$F$30:$Q$30,1,AH$5)/SUM(Effective!$F$30:$Q$30)*(1+Effective!$D$30)^AH$6)</f>
        <v/>
      </c>
      <c r="AI14" s="25">
        <f>IF(OR(AI$4=0,SUM(Effective!$F$30:$Q$30)&lt;=0),0,Effective!$C$30*INDEX(Effective!$F$30:$Q$30,1,AI$5)/SUM(Effective!$F$30:$Q$30)*(1+Effective!$D$30)^AI$6)</f>
        <v/>
      </c>
      <c r="AJ14" s="25">
        <f>IF(OR(AJ$4=0,SUM(Effective!$F$30:$Q$30)&lt;=0),0,Effective!$C$30*INDEX(Effective!$F$30:$Q$30,1,AJ$5)/SUM(Effective!$F$30:$Q$30)*(1+Effective!$D$30)^AJ$6)</f>
        <v/>
      </c>
      <c r="AK14" s="25">
        <f>IF(OR(AK$4=0,SUM(Effective!$F$30:$Q$30)&lt;=0),0,Effective!$C$30*INDEX(Effective!$F$30:$Q$30,1,AK$5)/SUM(Effective!$F$30:$Q$30)*(1+Effective!$D$30)^AK$6)</f>
        <v/>
      </c>
      <c r="AL14" s="25">
        <f>IF(OR(AL$4=0,SUM(Effective!$F$30:$Q$30)&lt;=0),0,Effective!$C$30*INDEX(Effective!$F$30:$Q$30,1,AL$5)/SUM(Effective!$F$30:$Q$30)*(1+Effective!$D$30)^AL$6)</f>
        <v/>
      </c>
      <c r="AM14" s="25">
        <f>IF(OR(AM$4=0,SUM(Effective!$F$30:$Q$30)&lt;=0),0,Effective!$C$30*INDEX(Effective!$F$30:$Q$30,1,AM$5)/SUM(Effective!$F$30:$Q$30)*(1+Effective!$D$30)^AM$6)</f>
        <v/>
      </c>
      <c r="AN14" s="25">
        <f>IF(OR(AN$4=0,SUM(Effective!$F$30:$Q$30)&lt;=0),0,Effective!$C$30*INDEX(Effective!$F$30:$Q$30,1,AN$5)/SUM(Effective!$F$30:$Q$30)*(1+Effective!$D$30)^AN$6)</f>
        <v/>
      </c>
      <c r="AO14" s="25">
        <f>IF(OR(AO$4=0,SUM(Effective!$F$30:$Q$30)&lt;=0),0,Effective!$C$30*INDEX(Effective!$F$30:$Q$30,1,AO$5)/SUM(Effective!$F$30:$Q$30)*(1+Effective!$D$30)^AO$6)</f>
        <v/>
      </c>
      <c r="AP14" s="25">
        <f>IF(OR(AP$4=0,SUM(Effective!$F$30:$Q$30)&lt;=0),0,Effective!$C$30*INDEX(Effective!$F$30:$Q$30,1,AP$5)/SUM(Effective!$F$30:$Q$30)*(1+Effective!$D$30)^AP$6)</f>
        <v/>
      </c>
      <c r="AQ14" s="25">
        <f>IF(OR(AQ$4=0,SUM(Effective!$F$30:$Q$30)&lt;=0),0,Effective!$C$30*INDEX(Effective!$F$30:$Q$30,1,AQ$5)/SUM(Effective!$F$30:$Q$30)*(1+Effective!$D$30)^AQ$6)</f>
        <v/>
      </c>
      <c r="AR14" s="25">
        <f>IF(OR(AR$4=0,SUM(Effective!$F$30:$Q$30)&lt;=0),0,Effective!$C$30*INDEX(Effective!$F$30:$Q$30,1,AR$5)/SUM(Effective!$F$30:$Q$30)*(1+Effective!$D$30)^AR$6)</f>
        <v/>
      </c>
      <c r="AS14" s="25">
        <f>IF(OR(AS$4=0,SUM(Effective!$F$30:$Q$30)&lt;=0),0,Effective!$C$30*INDEX(Effective!$F$30:$Q$30,1,AS$5)/SUM(Effective!$F$30:$Q$30)*(1+Effective!$D$30)^AS$6)</f>
        <v/>
      </c>
      <c r="AT14" s="25">
        <f>IF(OR(AT$4=0,SUM(Effective!$F$30:$Q$30)&lt;=0),0,Effective!$C$30*INDEX(Effective!$F$30:$Q$30,1,AT$5)/SUM(Effective!$F$30:$Q$30)*(1+Effective!$D$30)^AT$6)</f>
        <v/>
      </c>
      <c r="AU14" s="25">
        <f>IF(OR(AU$4=0,SUM(Effective!$F$30:$Q$30)&lt;=0),0,Effective!$C$30*INDEX(Effective!$F$30:$Q$30,1,AU$5)/SUM(Effective!$F$30:$Q$30)*(1+Effective!$D$30)^AU$6)</f>
        <v/>
      </c>
      <c r="AV14" s="25">
        <f>IF(OR(AV$4=0,SUM(Effective!$F$30:$Q$30)&lt;=0),0,Effective!$C$30*INDEX(Effective!$F$30:$Q$30,1,AV$5)/SUM(Effective!$F$30:$Q$30)*(1+Effective!$D$30)^AV$6)</f>
        <v/>
      </c>
      <c r="AW14" s="25">
        <f>IF(OR(AW$4=0,SUM(Effective!$F$30:$Q$30)&lt;=0),0,Effective!$C$30*INDEX(Effective!$F$30:$Q$30,1,AW$5)/SUM(Effective!$F$30:$Q$30)*(1+Effective!$D$30)^AW$6)</f>
        <v/>
      </c>
      <c r="AX14" s="25">
        <f>IF(OR(AX$4=0,SUM(Effective!$F$30:$Q$30)&lt;=0),0,Effective!$C$30*INDEX(Effective!$F$30:$Q$30,1,AX$5)/SUM(Effective!$F$30:$Q$30)*(1+Effective!$D$30)^AX$6)</f>
        <v/>
      </c>
      <c r="AY14" s="25">
        <f>IF(OR(AY$4=0,SUM(Effective!$F$30:$Q$30)&lt;=0),0,Effective!$C$30*INDEX(Effective!$F$30:$Q$30,1,AY$5)/SUM(Effective!$F$30:$Q$30)*(1+Effective!$D$30)^AY$6)</f>
        <v/>
      </c>
      <c r="AZ14" s="25">
        <f>IF(OR(AZ$4=0,SUM(Effective!$F$30:$Q$30)&lt;=0),0,Effective!$C$30*INDEX(Effective!$F$30:$Q$30,1,AZ$5)/SUM(Effective!$F$30:$Q$30)*(1+Effective!$D$30)^AZ$6)</f>
        <v/>
      </c>
      <c r="BA14" s="25">
        <f>IF(OR(BA$4=0,SUM(Effective!$F$30:$Q$30)&lt;=0),0,Effective!$C$30*INDEX(Effective!$F$30:$Q$30,1,BA$5)/SUM(Effective!$F$30:$Q$30)*(1+Effective!$D$30)^BA$6)</f>
        <v/>
      </c>
      <c r="BB14" s="25">
        <f>IF(OR(BB$4=0,SUM(Effective!$F$30:$Q$30)&lt;=0),0,Effective!$C$30*INDEX(Effective!$F$30:$Q$30,1,BB$5)/SUM(Effective!$F$30:$Q$30)*(1+Effective!$D$30)^BB$6)</f>
        <v/>
      </c>
      <c r="BC14" s="25">
        <f>IF(OR(BC$4=0,SUM(Effective!$F$30:$Q$30)&lt;=0),0,Effective!$C$30*INDEX(Effective!$F$30:$Q$30,1,BC$5)/SUM(Effective!$F$30:$Q$30)*(1+Effective!$D$30)^BC$6)</f>
        <v/>
      </c>
      <c r="BD14" s="25">
        <f>IF(OR(BD$4=0,SUM(Effective!$F$30:$Q$30)&lt;=0),0,Effective!$C$30*INDEX(Effective!$F$30:$Q$30,1,BD$5)/SUM(Effective!$F$30:$Q$30)*(1+Effective!$D$30)^BD$6)</f>
        <v/>
      </c>
      <c r="BE14" s="25">
        <f>IF(OR(BE$4=0,SUM(Effective!$F$30:$Q$30)&lt;=0),0,Effective!$C$30*INDEX(Effective!$F$30:$Q$30,1,BE$5)/SUM(Effective!$F$30:$Q$30)*(1+Effective!$D$30)^BE$6)</f>
        <v/>
      </c>
      <c r="BF14" s="25">
        <f>IF(OR(BF$4=0,SUM(Effective!$F$30:$Q$30)&lt;=0),0,Effective!$C$30*INDEX(Effective!$F$30:$Q$30,1,BF$5)/SUM(Effective!$F$30:$Q$30)*(1+Effective!$D$30)^BF$6)</f>
        <v/>
      </c>
      <c r="BG14" s="25">
        <f>IF(OR(BG$4=0,SUM(Effective!$F$30:$Q$30)&lt;=0),0,Effective!$C$30*INDEX(Effective!$F$30:$Q$30,1,BG$5)/SUM(Effective!$F$30:$Q$30)*(1+Effective!$D$30)^BG$6)</f>
        <v/>
      </c>
      <c r="BH14" s="25">
        <f>IF(OR(BH$4=0,SUM(Effective!$F$30:$Q$30)&lt;=0),0,Effective!$C$30*INDEX(Effective!$F$30:$Q$30,1,BH$5)/SUM(Effective!$F$30:$Q$30)*(1+Effective!$D$30)^BH$6)</f>
        <v/>
      </c>
      <c r="BI14" s="25">
        <f>IF(OR(BI$4=0,SUM(Effective!$F$30:$Q$30)&lt;=0),0,Effective!$C$30*INDEX(Effective!$F$30:$Q$30,1,BI$5)/SUM(Effective!$F$30:$Q$30)*(1+Effective!$D$30)^BI$6)</f>
        <v/>
      </c>
      <c r="BJ14" s="25">
        <f>IF(OR(BJ$4=0,SUM(Effective!$F$30:$Q$30)&lt;=0),0,Effective!$C$30*INDEX(Effective!$F$30:$Q$30,1,BJ$5)/SUM(Effective!$F$30:$Q$30)*(1+Effective!$D$30)^BJ$6)</f>
        <v/>
      </c>
      <c r="BK14" s="25">
        <f>IF(OR(BK$4=0,SUM(Effective!$F$30:$Q$30)&lt;=0),0,Effective!$C$30*INDEX(Effective!$F$30:$Q$30,1,BK$5)/SUM(Effective!$F$30:$Q$30)*(1+Effective!$D$30)^BK$6)</f>
        <v/>
      </c>
      <c r="BL14" s="25">
        <f>IF(OR(BL$4=0,SUM(Effective!$F$30:$Q$30)&lt;=0),0,Effective!$C$30*INDEX(Effective!$F$30:$Q$30,1,BL$5)/SUM(Effective!$F$30:$Q$30)*(1+Effective!$D$30)^BL$6)</f>
        <v/>
      </c>
      <c r="BM14" s="25">
        <f>IF(OR(BM$4=0,SUM(Effective!$F$30:$Q$30)&lt;=0),0,Effective!$C$30*INDEX(Effective!$F$30:$Q$30,1,BM$5)/SUM(Effective!$F$30:$Q$30)*(1+Effective!$D$30)^BM$6)</f>
        <v/>
      </c>
      <c r="BN14" s="25">
        <f>IF(OR(BN$4=0,SUM(Effective!$F$30:$Q$30)&lt;=0),0,Effective!$C$30*INDEX(Effective!$F$30:$Q$30,1,BN$5)/SUM(Effective!$F$30:$Q$30)*(1+Effective!$D$30)^BN$6)</f>
        <v/>
      </c>
      <c r="BO14" s="25">
        <f>IF(OR(BO$4=0,SUM(Effective!$F$30:$Q$30)&lt;=0),0,Effective!$C$30*INDEX(Effective!$F$30:$Q$30,1,BO$5)/SUM(Effective!$F$30:$Q$30)*(1+Effective!$D$30)^BO$6)</f>
        <v/>
      </c>
      <c r="BP14" s="25">
        <f>IF(OR(BP$4=0,SUM(Effective!$F$30:$Q$30)&lt;=0),0,Effective!$C$30*INDEX(Effective!$F$30:$Q$30,1,BP$5)/SUM(Effective!$F$30:$Q$30)*(1+Effective!$D$30)^BP$6)</f>
        <v/>
      </c>
      <c r="BQ14" s="25">
        <f>IF(OR(BQ$4=0,SUM(Effective!$F$30:$Q$30)&lt;=0),0,Effective!$C$30*INDEX(Effective!$F$30:$Q$30,1,BQ$5)/SUM(Effective!$F$30:$Q$30)*(1+Effective!$D$30)^BQ$6)</f>
        <v/>
      </c>
      <c r="BR14" s="25">
        <f>IF(OR(BR$4=0,SUM(Effective!$F$30:$Q$30)&lt;=0),0,Effective!$C$30*INDEX(Effective!$F$30:$Q$30,1,BR$5)/SUM(Effective!$F$30:$Q$30)*(1+Effective!$D$30)^BR$6)</f>
        <v/>
      </c>
      <c r="BS14" s="25">
        <f>IF(OR(BS$4=0,SUM(Effective!$F$30:$Q$30)&lt;=0),0,Effective!$C$30*INDEX(Effective!$F$30:$Q$30,1,BS$5)/SUM(Effective!$F$30:$Q$30)*(1+Effective!$D$30)^BS$6)</f>
        <v/>
      </c>
      <c r="BT14" s="25">
        <f>IF(OR(BT$4=0,SUM(Effective!$F$30:$Q$30)&lt;=0),0,Effective!$C$30*INDEX(Effective!$F$30:$Q$30,1,BT$5)/SUM(Effective!$F$30:$Q$30)*(1+Effective!$D$30)^BT$6)</f>
        <v/>
      </c>
      <c r="BU14" s="25">
        <f>IF(OR(BU$4=0,SUM(Effective!$F$30:$Q$30)&lt;=0),0,Effective!$C$30*INDEX(Effective!$F$30:$Q$30,1,BU$5)/SUM(Effective!$F$30:$Q$30)*(1+Effective!$D$30)^BU$6)</f>
        <v/>
      </c>
      <c r="BV14" s="25">
        <f>IF(OR(BV$4=0,SUM(Effective!$F$30:$Q$30)&lt;=0),0,Effective!$C$30*INDEX(Effective!$F$30:$Q$30,1,BV$5)/SUM(Effective!$F$30:$Q$30)*(1+Effective!$D$30)^BV$6)</f>
        <v/>
      </c>
      <c r="BW14" s="25">
        <f>IF(OR(BW$4=0,SUM(Effective!$F$30:$Q$30)&lt;=0),0,Effective!$C$30*INDEX(Effective!$F$30:$Q$30,1,BW$5)/SUM(Effective!$F$30:$Q$30)*(1+Effective!$D$30)^BW$6)</f>
        <v/>
      </c>
      <c r="BX14" s="25">
        <f>IF(OR(BX$4=0,SUM(Effective!$F$30:$Q$30)&lt;=0),0,Effective!$C$30*INDEX(Effective!$F$30:$Q$30,1,BX$5)/SUM(Effective!$F$30:$Q$30)*(1+Effective!$D$30)^BX$6)</f>
        <v/>
      </c>
      <c r="BY14" s="25">
        <f>IF(OR(BY$4=0,SUM(Effective!$F$30:$Q$30)&lt;=0),0,Effective!$C$30*INDEX(Effective!$F$30:$Q$30,1,BY$5)/SUM(Effective!$F$30:$Q$30)*(1+Effective!$D$30)^BY$6)</f>
        <v/>
      </c>
      <c r="BZ14" s="25">
        <f>IF(OR(BZ$4=0,SUM(Effective!$F$30:$Q$30)&lt;=0),0,Effective!$C$30*INDEX(Effective!$F$30:$Q$30,1,BZ$5)/SUM(Effective!$F$30:$Q$30)*(1+Effective!$D$30)^BZ$6)</f>
        <v/>
      </c>
      <c r="CA14" s="25">
        <f>IF(OR(CA$4=0,SUM(Effective!$F$30:$Q$30)&lt;=0),0,Effective!$C$30*INDEX(Effective!$F$30:$Q$30,1,CA$5)/SUM(Effective!$F$30:$Q$30)*(1+Effective!$D$30)^CA$6)</f>
        <v/>
      </c>
      <c r="CB14" s="25">
        <f>IF(OR(CB$4=0,SUM(Effective!$F$30:$Q$30)&lt;=0),0,Effective!$C$30*INDEX(Effective!$F$30:$Q$30,1,CB$5)/SUM(Effective!$F$30:$Q$30)*(1+Effective!$D$30)^CB$6)</f>
        <v/>
      </c>
      <c r="CC14" s="25">
        <f>IF(OR(CC$4=0,SUM(Effective!$F$30:$Q$30)&lt;=0),0,Effective!$C$30*INDEX(Effective!$F$30:$Q$30,1,CC$5)/SUM(Effective!$F$30:$Q$30)*(1+Effective!$D$30)^CC$6)</f>
        <v/>
      </c>
      <c r="CD14" s="25">
        <f>IF(OR(CD$4=0,SUM(Effective!$F$30:$Q$30)&lt;=0),0,Effective!$C$30*INDEX(Effective!$F$30:$Q$30,1,CD$5)/SUM(Effective!$F$30:$Q$30)*(1+Effective!$D$30)^CD$6)</f>
        <v/>
      </c>
      <c r="CE14" s="25">
        <f>IF(OR(CE$4=0,SUM(Effective!$F$30:$Q$30)&lt;=0),0,Effective!$C$30*INDEX(Effective!$F$30:$Q$30,1,CE$5)/SUM(Effective!$F$30:$Q$30)*(1+Effective!$D$30)^CE$6)</f>
        <v/>
      </c>
      <c r="CF14" s="25">
        <f>IF(OR(CF$4=0,SUM(Effective!$F$30:$Q$30)&lt;=0),0,Effective!$C$30*INDEX(Effective!$F$30:$Q$30,1,CF$5)/SUM(Effective!$F$30:$Q$30)*(1+Effective!$D$30)^CF$6)</f>
        <v/>
      </c>
      <c r="CG14" s="25">
        <f>IF(OR(CG$4=0,SUM(Effective!$F$30:$Q$30)&lt;=0),0,Effective!$C$30*INDEX(Effective!$F$30:$Q$30,1,CG$5)/SUM(Effective!$F$30:$Q$30)*(1+Effective!$D$30)^CG$6)</f>
        <v/>
      </c>
      <c r="CH14" s="25">
        <f>IF(OR(CH$4=0,SUM(Effective!$F$30:$Q$30)&lt;=0),0,Effective!$C$30*INDEX(Effective!$F$30:$Q$30,1,CH$5)/SUM(Effective!$F$30:$Q$30)*(1+Effective!$D$30)^CH$6)</f>
        <v/>
      </c>
      <c r="CI14" s="25">
        <f>IF(OR(CI$4=0,SUM(Effective!$F$30:$Q$30)&lt;=0),0,Effective!$C$30*INDEX(Effective!$F$30:$Q$30,1,CI$5)/SUM(Effective!$F$30:$Q$30)*(1+Effective!$D$30)^CI$6)</f>
        <v/>
      </c>
      <c r="CJ14" s="25">
        <f>IF(OR(CJ$4=0,SUM(Effective!$F$30:$Q$30)&lt;=0),0,Effective!$C$30*INDEX(Effective!$F$30:$Q$30,1,CJ$5)/SUM(Effective!$F$30:$Q$30)*(1+Effective!$D$30)^CJ$6)</f>
        <v/>
      </c>
      <c r="CK14" s="25">
        <f>IF(OR(CK$4=0,SUM(Effective!$F$30:$Q$30)&lt;=0),0,Effective!$C$30*INDEX(Effective!$F$30:$Q$30,1,CK$5)/SUM(Effective!$F$30:$Q$30)*(1+Effective!$D$30)^CK$6)</f>
        <v/>
      </c>
      <c r="CL14" s="25">
        <f>IF(OR(CL$4=0,SUM(Effective!$F$30:$Q$30)&lt;=0),0,Effective!$C$30*INDEX(Effective!$F$30:$Q$30,1,CL$5)/SUM(Effective!$F$30:$Q$30)*(1+Effective!$D$30)^CL$6)</f>
        <v/>
      </c>
      <c r="CM14" s="25">
        <f>IF(OR(CM$4=0,SUM(Effective!$F$30:$Q$30)&lt;=0),0,Effective!$C$30*INDEX(Effective!$F$30:$Q$30,1,CM$5)/SUM(Effective!$F$30:$Q$30)*(1+Effective!$D$30)^CM$6)</f>
        <v/>
      </c>
      <c r="CN14" s="25">
        <f>IF(OR(CN$4=0,SUM(Effective!$F$30:$Q$30)&lt;=0),0,Effective!$C$30*INDEX(Effective!$F$30:$Q$30,1,CN$5)/SUM(Effective!$F$30:$Q$30)*(1+Effective!$D$30)^CN$6)</f>
        <v/>
      </c>
      <c r="CO14" s="25">
        <f>IF(OR(CO$4=0,SUM(Effective!$F$30:$Q$30)&lt;=0),0,Effective!$C$30*INDEX(Effective!$F$30:$Q$30,1,CO$5)/SUM(Effective!$F$30:$Q$30)*(1+Effective!$D$30)^CO$6)</f>
        <v/>
      </c>
      <c r="CP14" s="25">
        <f>IF(OR(CP$4=0,SUM(Effective!$F$30:$Q$30)&lt;=0),0,Effective!$C$30*INDEX(Effective!$F$30:$Q$30,1,CP$5)/SUM(Effective!$F$30:$Q$30)*(1+Effective!$D$30)^CP$6)</f>
        <v/>
      </c>
      <c r="CQ14" s="25">
        <f>IF(OR(CQ$4=0,SUM(Effective!$F$30:$Q$30)&lt;=0),0,Effective!$C$30*INDEX(Effective!$F$30:$Q$30,1,CQ$5)/SUM(Effective!$F$30:$Q$30)*(1+Effective!$D$30)^CQ$6)</f>
        <v/>
      </c>
      <c r="CR14" s="25">
        <f>IF(OR(CR$4=0,SUM(Effective!$F$30:$Q$30)&lt;=0),0,Effective!$C$30*INDEX(Effective!$F$30:$Q$30,1,CR$5)/SUM(Effective!$F$30:$Q$30)*(1+Effective!$D$30)^CR$6)</f>
        <v/>
      </c>
      <c r="CS14" s="25">
        <f>IF(OR(CS$4=0,SUM(Effective!$F$30:$Q$30)&lt;=0),0,Effective!$C$30*INDEX(Effective!$F$30:$Q$30,1,CS$5)/SUM(Effective!$F$30:$Q$30)*(1+Effective!$D$30)^CS$6)</f>
        <v/>
      </c>
      <c r="CT14" s="25">
        <f>IF(OR(CT$4=0,SUM(Effective!$F$30:$Q$30)&lt;=0),0,Effective!$C$30*INDEX(Effective!$F$30:$Q$30,1,CT$5)/SUM(Effective!$F$30:$Q$30)*(1+Effective!$D$30)^CT$6)</f>
        <v/>
      </c>
      <c r="CU14" s="25">
        <f>IF(OR(CU$4=0,SUM(Effective!$F$30:$Q$30)&lt;=0),0,Effective!$C$30*INDEX(Effective!$F$30:$Q$30,1,CU$5)/SUM(Effective!$F$30:$Q$30)*(1+Effective!$D$30)^CU$6)</f>
        <v/>
      </c>
      <c r="CV14" s="25">
        <f>IF(OR(CV$4=0,SUM(Effective!$F$30:$Q$30)&lt;=0),0,Effective!$C$30*INDEX(Effective!$F$30:$Q$30,1,CV$5)/SUM(Effective!$F$30:$Q$30)*(1+Effective!$D$30)^CV$6)</f>
        <v/>
      </c>
      <c r="CW14" s="25">
        <f>IF(OR(CW$4=0,SUM(Effective!$F$30:$Q$30)&lt;=0),0,Effective!$C$30*INDEX(Effective!$F$30:$Q$30,1,CW$5)/SUM(Effective!$F$30:$Q$30)*(1+Effective!$D$30)^CW$6)</f>
        <v/>
      </c>
      <c r="CX14" s="25">
        <f>IF(OR(CX$4=0,SUM(Effective!$F$30:$Q$30)&lt;=0),0,Effective!$C$30*INDEX(Effective!$F$30:$Q$30,1,CX$5)/SUM(Effective!$F$30:$Q$30)*(1+Effective!$D$30)^CX$6)</f>
        <v/>
      </c>
      <c r="CY14" s="25">
        <f>IF(OR(CY$4=0,SUM(Effective!$F$30:$Q$30)&lt;=0),0,Effective!$C$30*INDEX(Effective!$F$30:$Q$30,1,CY$5)/SUM(Effective!$F$30:$Q$30)*(1+Effective!$D$30)^CY$6)</f>
        <v/>
      </c>
      <c r="CZ14" s="25">
        <f>IF(OR(CZ$4=0,SUM(Effective!$F$30:$Q$30)&lt;=0),0,Effective!$C$30*INDEX(Effective!$F$30:$Q$30,1,CZ$5)/SUM(Effective!$F$30:$Q$30)*(1+Effective!$D$30)^CZ$6)</f>
        <v/>
      </c>
      <c r="DA14" s="25">
        <f>IF(OR(DA$4=0,SUM(Effective!$F$30:$Q$30)&lt;=0),0,Effective!$C$30*INDEX(Effective!$F$30:$Q$30,1,DA$5)/SUM(Effective!$F$30:$Q$30)*(1+Effective!$D$30)^DA$6)</f>
        <v/>
      </c>
      <c r="DB14" s="25">
        <f>IF(OR(DB$4=0,SUM(Effective!$F$30:$Q$30)&lt;=0),0,Effective!$C$30*INDEX(Effective!$F$30:$Q$30,1,DB$5)/SUM(Effective!$F$30:$Q$30)*(1+Effective!$D$30)^DB$6)</f>
        <v/>
      </c>
      <c r="DC14" s="25">
        <f>IF(OR(DC$4=0,SUM(Effective!$F$30:$Q$30)&lt;=0),0,Effective!$C$30*INDEX(Effective!$F$30:$Q$30,1,DC$5)/SUM(Effective!$F$30:$Q$30)*(1+Effective!$D$30)^DC$6)</f>
        <v/>
      </c>
      <c r="DD14" s="25">
        <f>IF(OR(DD$4=0,SUM(Effective!$F$30:$Q$30)&lt;=0),0,Effective!$C$30*INDEX(Effective!$F$30:$Q$30,1,DD$5)/SUM(Effective!$F$30:$Q$30)*(1+Effective!$D$30)^DD$6)</f>
        <v/>
      </c>
      <c r="DE14" s="25">
        <f>IF(OR(DE$4=0,SUM(Effective!$F$30:$Q$30)&lt;=0),0,Effective!$C$30*INDEX(Effective!$F$30:$Q$30,1,DE$5)/SUM(Effective!$F$30:$Q$30)*(1+Effective!$D$30)^DE$6)</f>
        <v/>
      </c>
      <c r="DF14" s="25">
        <f>IF(OR(DF$4=0,SUM(Effective!$F$30:$Q$30)&lt;=0),0,Effective!$C$30*INDEX(Effective!$F$30:$Q$30,1,DF$5)/SUM(Effective!$F$30:$Q$30)*(1+Effective!$D$30)^DF$6)</f>
        <v/>
      </c>
      <c r="DG14" s="25">
        <f>IF(OR(DG$4=0,SUM(Effective!$F$30:$Q$30)&lt;=0),0,Effective!$C$30*INDEX(Effective!$F$30:$Q$30,1,DG$5)/SUM(Effective!$F$30:$Q$30)*(1+Effective!$D$30)^DG$6)</f>
        <v/>
      </c>
      <c r="DH14" s="25">
        <f>IF(OR(DH$4=0,SUM(Effective!$F$30:$Q$30)&lt;=0),0,Effective!$C$30*INDEX(Effective!$F$30:$Q$30,1,DH$5)/SUM(Effective!$F$30:$Q$30)*(1+Effective!$D$30)^DH$6)</f>
        <v/>
      </c>
      <c r="DI14" s="25">
        <f>IF(OR(DI$4=0,SUM(Effective!$F$30:$Q$30)&lt;=0),0,Effective!$C$30*INDEX(Effective!$F$30:$Q$30,1,DI$5)/SUM(Effective!$F$30:$Q$30)*(1+Effective!$D$30)^DI$6)</f>
        <v/>
      </c>
      <c r="DJ14" s="25">
        <f>IF(OR(DJ$4=0,SUM(Effective!$F$30:$Q$30)&lt;=0),0,Effective!$C$30*INDEX(Effective!$F$30:$Q$30,1,DJ$5)/SUM(Effective!$F$30:$Q$30)*(1+Effective!$D$30)^DJ$6)</f>
        <v/>
      </c>
      <c r="DK14" s="25">
        <f>IF(OR(DK$4=0,SUM(Effective!$F$30:$Q$30)&lt;=0),0,Effective!$C$30*INDEX(Effective!$F$30:$Q$30,1,DK$5)/SUM(Effective!$F$30:$Q$30)*(1+Effective!$D$30)^DK$6)</f>
        <v/>
      </c>
      <c r="DL14" s="25">
        <f>IF(OR(DL$4=0,SUM(Effective!$F$30:$Q$30)&lt;=0),0,Effective!$C$30*INDEX(Effective!$F$30:$Q$30,1,DL$5)/SUM(Effective!$F$30:$Q$30)*(1+Effective!$D$30)^DL$6)</f>
        <v/>
      </c>
      <c r="DM14" s="25">
        <f>IF(OR(DM$4=0,SUM(Effective!$F$30:$Q$30)&lt;=0),0,Effective!$C$30*INDEX(Effective!$F$30:$Q$30,1,DM$5)/SUM(Effective!$F$30:$Q$30)*(1+Effective!$D$30)^DM$6)</f>
        <v/>
      </c>
      <c r="DN14" s="25">
        <f>IF(OR(DN$4=0,SUM(Effective!$F$30:$Q$30)&lt;=0),0,Effective!$C$30*INDEX(Effective!$F$30:$Q$30,1,DN$5)/SUM(Effective!$F$30:$Q$30)*(1+Effective!$D$30)^DN$6)</f>
        <v/>
      </c>
      <c r="DO14" s="25">
        <f>IF(OR(DO$4=0,SUM(Effective!$F$30:$Q$30)&lt;=0),0,Effective!$C$30*INDEX(Effective!$F$30:$Q$30,1,DO$5)/SUM(Effective!$F$30:$Q$30)*(1+Effective!$D$30)^DO$6)</f>
        <v/>
      </c>
      <c r="DP14" s="25">
        <f>IF(OR(DP$4=0,SUM(Effective!$F$30:$Q$30)&lt;=0),0,Effective!$C$30*INDEX(Effective!$F$30:$Q$30,1,DP$5)/SUM(Effective!$F$30:$Q$30)*(1+Effective!$D$30)^DP$6)</f>
        <v/>
      </c>
      <c r="DQ14" s="25">
        <f>IF(OR(DQ$4=0,SUM(Effective!$F$30:$Q$30)&lt;=0),0,Effective!$C$30*INDEX(Effective!$F$30:$Q$30,1,DQ$5)/SUM(Effective!$F$30:$Q$30)*(1+Effective!$D$30)^DQ$6)</f>
        <v/>
      </c>
      <c r="DR14" s="25">
        <f>IF(OR(DR$4=0,SUM(Effective!$F$30:$Q$30)&lt;=0),0,Effective!$C$30*INDEX(Effective!$F$30:$Q$30,1,DR$5)/SUM(Effective!$F$30:$Q$30)*(1+Effective!$D$30)^DR$6)</f>
        <v/>
      </c>
    </row>
    <row r="15">
      <c r="A15" t="inlineStr">
        <is>
          <t>revenue_ch6</t>
        </is>
      </c>
      <c r="B15" t="inlineStr">
        <is>
          <t>channel idx 5</t>
        </is>
      </c>
      <c r="C15" s="25">
        <f>IF(OR(C$4=0,SUM(Effective!$F$31:$Q$31)&lt;=0),0,Effective!$C$31*INDEX(Effective!$F$31:$Q$31,1,C$5)/SUM(Effective!$F$31:$Q$31)*(1+Effective!$D$31)^C$6)</f>
        <v/>
      </c>
      <c r="D15" s="25">
        <f>IF(OR(D$4=0,SUM(Effective!$F$31:$Q$31)&lt;=0),0,Effective!$C$31*INDEX(Effective!$F$31:$Q$31,1,D$5)/SUM(Effective!$F$31:$Q$31)*(1+Effective!$D$31)^D$6)</f>
        <v/>
      </c>
      <c r="E15" s="25">
        <f>IF(OR(E$4=0,SUM(Effective!$F$31:$Q$31)&lt;=0),0,Effective!$C$31*INDEX(Effective!$F$31:$Q$31,1,E$5)/SUM(Effective!$F$31:$Q$31)*(1+Effective!$D$31)^E$6)</f>
        <v/>
      </c>
      <c r="F15" s="25">
        <f>IF(OR(F$4=0,SUM(Effective!$F$31:$Q$31)&lt;=0),0,Effective!$C$31*INDEX(Effective!$F$31:$Q$31,1,F$5)/SUM(Effective!$F$31:$Q$31)*(1+Effective!$D$31)^F$6)</f>
        <v/>
      </c>
      <c r="G15" s="25">
        <f>IF(OR(G$4=0,SUM(Effective!$F$31:$Q$31)&lt;=0),0,Effective!$C$31*INDEX(Effective!$F$31:$Q$31,1,G$5)/SUM(Effective!$F$31:$Q$31)*(1+Effective!$D$31)^G$6)</f>
        <v/>
      </c>
      <c r="H15" s="25">
        <f>IF(OR(H$4=0,SUM(Effective!$F$31:$Q$31)&lt;=0),0,Effective!$C$31*INDEX(Effective!$F$31:$Q$31,1,H$5)/SUM(Effective!$F$31:$Q$31)*(1+Effective!$D$31)^H$6)</f>
        <v/>
      </c>
      <c r="I15" s="25">
        <f>IF(OR(I$4=0,SUM(Effective!$F$31:$Q$31)&lt;=0),0,Effective!$C$31*INDEX(Effective!$F$31:$Q$31,1,I$5)/SUM(Effective!$F$31:$Q$31)*(1+Effective!$D$31)^I$6)</f>
        <v/>
      </c>
      <c r="J15" s="25">
        <f>IF(OR(J$4=0,SUM(Effective!$F$31:$Q$31)&lt;=0),0,Effective!$C$31*INDEX(Effective!$F$31:$Q$31,1,J$5)/SUM(Effective!$F$31:$Q$31)*(1+Effective!$D$31)^J$6)</f>
        <v/>
      </c>
      <c r="K15" s="25">
        <f>IF(OR(K$4=0,SUM(Effective!$F$31:$Q$31)&lt;=0),0,Effective!$C$31*INDEX(Effective!$F$31:$Q$31,1,K$5)/SUM(Effective!$F$31:$Q$31)*(1+Effective!$D$31)^K$6)</f>
        <v/>
      </c>
      <c r="L15" s="25">
        <f>IF(OR(L$4=0,SUM(Effective!$F$31:$Q$31)&lt;=0),0,Effective!$C$31*INDEX(Effective!$F$31:$Q$31,1,L$5)/SUM(Effective!$F$31:$Q$31)*(1+Effective!$D$31)^L$6)</f>
        <v/>
      </c>
      <c r="M15" s="25">
        <f>IF(OR(M$4=0,SUM(Effective!$F$31:$Q$31)&lt;=0),0,Effective!$C$31*INDEX(Effective!$F$31:$Q$31,1,M$5)/SUM(Effective!$F$31:$Q$31)*(1+Effective!$D$31)^M$6)</f>
        <v/>
      </c>
      <c r="N15" s="25">
        <f>IF(OR(N$4=0,SUM(Effective!$F$31:$Q$31)&lt;=0),0,Effective!$C$31*INDEX(Effective!$F$31:$Q$31,1,N$5)/SUM(Effective!$F$31:$Q$31)*(1+Effective!$D$31)^N$6)</f>
        <v/>
      </c>
      <c r="O15" s="25">
        <f>IF(OR(O$4=0,SUM(Effective!$F$31:$Q$31)&lt;=0),0,Effective!$C$31*INDEX(Effective!$F$31:$Q$31,1,O$5)/SUM(Effective!$F$31:$Q$31)*(1+Effective!$D$31)^O$6)</f>
        <v/>
      </c>
      <c r="P15" s="25">
        <f>IF(OR(P$4=0,SUM(Effective!$F$31:$Q$31)&lt;=0),0,Effective!$C$31*INDEX(Effective!$F$31:$Q$31,1,P$5)/SUM(Effective!$F$31:$Q$31)*(1+Effective!$D$31)^P$6)</f>
        <v/>
      </c>
      <c r="Q15" s="25">
        <f>IF(OR(Q$4=0,SUM(Effective!$F$31:$Q$31)&lt;=0),0,Effective!$C$31*INDEX(Effective!$F$31:$Q$31,1,Q$5)/SUM(Effective!$F$31:$Q$31)*(1+Effective!$D$31)^Q$6)</f>
        <v/>
      </c>
      <c r="R15" s="25">
        <f>IF(OR(R$4=0,SUM(Effective!$F$31:$Q$31)&lt;=0),0,Effective!$C$31*INDEX(Effective!$F$31:$Q$31,1,R$5)/SUM(Effective!$F$31:$Q$31)*(1+Effective!$D$31)^R$6)</f>
        <v/>
      </c>
      <c r="S15" s="25">
        <f>IF(OR(S$4=0,SUM(Effective!$F$31:$Q$31)&lt;=0),0,Effective!$C$31*INDEX(Effective!$F$31:$Q$31,1,S$5)/SUM(Effective!$F$31:$Q$31)*(1+Effective!$D$31)^S$6)</f>
        <v/>
      </c>
      <c r="T15" s="25">
        <f>IF(OR(T$4=0,SUM(Effective!$F$31:$Q$31)&lt;=0),0,Effective!$C$31*INDEX(Effective!$F$31:$Q$31,1,T$5)/SUM(Effective!$F$31:$Q$31)*(1+Effective!$D$31)^T$6)</f>
        <v/>
      </c>
      <c r="U15" s="25">
        <f>IF(OR(U$4=0,SUM(Effective!$F$31:$Q$31)&lt;=0),0,Effective!$C$31*INDEX(Effective!$F$31:$Q$31,1,U$5)/SUM(Effective!$F$31:$Q$31)*(1+Effective!$D$31)^U$6)</f>
        <v/>
      </c>
      <c r="V15" s="25">
        <f>IF(OR(V$4=0,SUM(Effective!$F$31:$Q$31)&lt;=0),0,Effective!$C$31*INDEX(Effective!$F$31:$Q$31,1,V$5)/SUM(Effective!$F$31:$Q$31)*(1+Effective!$D$31)^V$6)</f>
        <v/>
      </c>
      <c r="W15" s="25">
        <f>IF(OR(W$4=0,SUM(Effective!$F$31:$Q$31)&lt;=0),0,Effective!$C$31*INDEX(Effective!$F$31:$Q$31,1,W$5)/SUM(Effective!$F$31:$Q$31)*(1+Effective!$D$31)^W$6)</f>
        <v/>
      </c>
      <c r="X15" s="25">
        <f>IF(OR(X$4=0,SUM(Effective!$F$31:$Q$31)&lt;=0),0,Effective!$C$31*INDEX(Effective!$F$31:$Q$31,1,X$5)/SUM(Effective!$F$31:$Q$31)*(1+Effective!$D$31)^X$6)</f>
        <v/>
      </c>
      <c r="Y15" s="25">
        <f>IF(OR(Y$4=0,SUM(Effective!$F$31:$Q$31)&lt;=0),0,Effective!$C$31*INDEX(Effective!$F$31:$Q$31,1,Y$5)/SUM(Effective!$F$31:$Q$31)*(1+Effective!$D$31)^Y$6)</f>
        <v/>
      </c>
      <c r="Z15" s="25">
        <f>IF(OR(Z$4=0,SUM(Effective!$F$31:$Q$31)&lt;=0),0,Effective!$C$31*INDEX(Effective!$F$31:$Q$31,1,Z$5)/SUM(Effective!$F$31:$Q$31)*(1+Effective!$D$31)^Z$6)</f>
        <v/>
      </c>
      <c r="AA15" s="25">
        <f>IF(OR(AA$4=0,SUM(Effective!$F$31:$Q$31)&lt;=0),0,Effective!$C$31*INDEX(Effective!$F$31:$Q$31,1,AA$5)/SUM(Effective!$F$31:$Q$31)*(1+Effective!$D$31)^AA$6)</f>
        <v/>
      </c>
      <c r="AB15" s="25">
        <f>IF(OR(AB$4=0,SUM(Effective!$F$31:$Q$31)&lt;=0),0,Effective!$C$31*INDEX(Effective!$F$31:$Q$31,1,AB$5)/SUM(Effective!$F$31:$Q$31)*(1+Effective!$D$31)^AB$6)</f>
        <v/>
      </c>
      <c r="AC15" s="25">
        <f>IF(OR(AC$4=0,SUM(Effective!$F$31:$Q$31)&lt;=0),0,Effective!$C$31*INDEX(Effective!$F$31:$Q$31,1,AC$5)/SUM(Effective!$F$31:$Q$31)*(1+Effective!$D$31)^AC$6)</f>
        <v/>
      </c>
      <c r="AD15" s="25">
        <f>IF(OR(AD$4=0,SUM(Effective!$F$31:$Q$31)&lt;=0),0,Effective!$C$31*INDEX(Effective!$F$31:$Q$31,1,AD$5)/SUM(Effective!$F$31:$Q$31)*(1+Effective!$D$31)^AD$6)</f>
        <v/>
      </c>
      <c r="AE15" s="25">
        <f>IF(OR(AE$4=0,SUM(Effective!$F$31:$Q$31)&lt;=0),0,Effective!$C$31*INDEX(Effective!$F$31:$Q$31,1,AE$5)/SUM(Effective!$F$31:$Q$31)*(1+Effective!$D$31)^AE$6)</f>
        <v/>
      </c>
      <c r="AF15" s="25">
        <f>IF(OR(AF$4=0,SUM(Effective!$F$31:$Q$31)&lt;=0),0,Effective!$C$31*INDEX(Effective!$F$31:$Q$31,1,AF$5)/SUM(Effective!$F$31:$Q$31)*(1+Effective!$D$31)^AF$6)</f>
        <v/>
      </c>
      <c r="AG15" s="25">
        <f>IF(OR(AG$4=0,SUM(Effective!$F$31:$Q$31)&lt;=0),0,Effective!$C$31*INDEX(Effective!$F$31:$Q$31,1,AG$5)/SUM(Effective!$F$31:$Q$31)*(1+Effective!$D$31)^AG$6)</f>
        <v/>
      </c>
      <c r="AH15" s="25">
        <f>IF(OR(AH$4=0,SUM(Effective!$F$31:$Q$31)&lt;=0),0,Effective!$C$31*INDEX(Effective!$F$31:$Q$31,1,AH$5)/SUM(Effective!$F$31:$Q$31)*(1+Effective!$D$31)^AH$6)</f>
        <v/>
      </c>
      <c r="AI15" s="25">
        <f>IF(OR(AI$4=0,SUM(Effective!$F$31:$Q$31)&lt;=0),0,Effective!$C$31*INDEX(Effective!$F$31:$Q$31,1,AI$5)/SUM(Effective!$F$31:$Q$31)*(1+Effective!$D$31)^AI$6)</f>
        <v/>
      </c>
      <c r="AJ15" s="25">
        <f>IF(OR(AJ$4=0,SUM(Effective!$F$31:$Q$31)&lt;=0),0,Effective!$C$31*INDEX(Effective!$F$31:$Q$31,1,AJ$5)/SUM(Effective!$F$31:$Q$31)*(1+Effective!$D$31)^AJ$6)</f>
        <v/>
      </c>
      <c r="AK15" s="25">
        <f>IF(OR(AK$4=0,SUM(Effective!$F$31:$Q$31)&lt;=0),0,Effective!$C$31*INDEX(Effective!$F$31:$Q$31,1,AK$5)/SUM(Effective!$F$31:$Q$31)*(1+Effective!$D$31)^AK$6)</f>
        <v/>
      </c>
      <c r="AL15" s="25">
        <f>IF(OR(AL$4=0,SUM(Effective!$F$31:$Q$31)&lt;=0),0,Effective!$C$31*INDEX(Effective!$F$31:$Q$31,1,AL$5)/SUM(Effective!$F$31:$Q$31)*(1+Effective!$D$31)^AL$6)</f>
        <v/>
      </c>
      <c r="AM15" s="25">
        <f>IF(OR(AM$4=0,SUM(Effective!$F$31:$Q$31)&lt;=0),0,Effective!$C$31*INDEX(Effective!$F$31:$Q$31,1,AM$5)/SUM(Effective!$F$31:$Q$31)*(1+Effective!$D$31)^AM$6)</f>
        <v/>
      </c>
      <c r="AN15" s="25">
        <f>IF(OR(AN$4=0,SUM(Effective!$F$31:$Q$31)&lt;=0),0,Effective!$C$31*INDEX(Effective!$F$31:$Q$31,1,AN$5)/SUM(Effective!$F$31:$Q$31)*(1+Effective!$D$31)^AN$6)</f>
        <v/>
      </c>
      <c r="AO15" s="25">
        <f>IF(OR(AO$4=0,SUM(Effective!$F$31:$Q$31)&lt;=0),0,Effective!$C$31*INDEX(Effective!$F$31:$Q$31,1,AO$5)/SUM(Effective!$F$31:$Q$31)*(1+Effective!$D$31)^AO$6)</f>
        <v/>
      </c>
      <c r="AP15" s="25">
        <f>IF(OR(AP$4=0,SUM(Effective!$F$31:$Q$31)&lt;=0),0,Effective!$C$31*INDEX(Effective!$F$31:$Q$31,1,AP$5)/SUM(Effective!$F$31:$Q$31)*(1+Effective!$D$31)^AP$6)</f>
        <v/>
      </c>
      <c r="AQ15" s="25">
        <f>IF(OR(AQ$4=0,SUM(Effective!$F$31:$Q$31)&lt;=0),0,Effective!$C$31*INDEX(Effective!$F$31:$Q$31,1,AQ$5)/SUM(Effective!$F$31:$Q$31)*(1+Effective!$D$31)^AQ$6)</f>
        <v/>
      </c>
      <c r="AR15" s="25">
        <f>IF(OR(AR$4=0,SUM(Effective!$F$31:$Q$31)&lt;=0),0,Effective!$C$31*INDEX(Effective!$F$31:$Q$31,1,AR$5)/SUM(Effective!$F$31:$Q$31)*(1+Effective!$D$31)^AR$6)</f>
        <v/>
      </c>
      <c r="AS15" s="25">
        <f>IF(OR(AS$4=0,SUM(Effective!$F$31:$Q$31)&lt;=0),0,Effective!$C$31*INDEX(Effective!$F$31:$Q$31,1,AS$5)/SUM(Effective!$F$31:$Q$31)*(1+Effective!$D$31)^AS$6)</f>
        <v/>
      </c>
      <c r="AT15" s="25">
        <f>IF(OR(AT$4=0,SUM(Effective!$F$31:$Q$31)&lt;=0),0,Effective!$C$31*INDEX(Effective!$F$31:$Q$31,1,AT$5)/SUM(Effective!$F$31:$Q$31)*(1+Effective!$D$31)^AT$6)</f>
        <v/>
      </c>
      <c r="AU15" s="25">
        <f>IF(OR(AU$4=0,SUM(Effective!$F$31:$Q$31)&lt;=0),0,Effective!$C$31*INDEX(Effective!$F$31:$Q$31,1,AU$5)/SUM(Effective!$F$31:$Q$31)*(1+Effective!$D$31)^AU$6)</f>
        <v/>
      </c>
      <c r="AV15" s="25">
        <f>IF(OR(AV$4=0,SUM(Effective!$F$31:$Q$31)&lt;=0),0,Effective!$C$31*INDEX(Effective!$F$31:$Q$31,1,AV$5)/SUM(Effective!$F$31:$Q$31)*(1+Effective!$D$31)^AV$6)</f>
        <v/>
      </c>
      <c r="AW15" s="25">
        <f>IF(OR(AW$4=0,SUM(Effective!$F$31:$Q$31)&lt;=0),0,Effective!$C$31*INDEX(Effective!$F$31:$Q$31,1,AW$5)/SUM(Effective!$F$31:$Q$31)*(1+Effective!$D$31)^AW$6)</f>
        <v/>
      </c>
      <c r="AX15" s="25">
        <f>IF(OR(AX$4=0,SUM(Effective!$F$31:$Q$31)&lt;=0),0,Effective!$C$31*INDEX(Effective!$F$31:$Q$31,1,AX$5)/SUM(Effective!$F$31:$Q$31)*(1+Effective!$D$31)^AX$6)</f>
        <v/>
      </c>
      <c r="AY15" s="25">
        <f>IF(OR(AY$4=0,SUM(Effective!$F$31:$Q$31)&lt;=0),0,Effective!$C$31*INDEX(Effective!$F$31:$Q$31,1,AY$5)/SUM(Effective!$F$31:$Q$31)*(1+Effective!$D$31)^AY$6)</f>
        <v/>
      </c>
      <c r="AZ15" s="25">
        <f>IF(OR(AZ$4=0,SUM(Effective!$F$31:$Q$31)&lt;=0),0,Effective!$C$31*INDEX(Effective!$F$31:$Q$31,1,AZ$5)/SUM(Effective!$F$31:$Q$31)*(1+Effective!$D$31)^AZ$6)</f>
        <v/>
      </c>
      <c r="BA15" s="25">
        <f>IF(OR(BA$4=0,SUM(Effective!$F$31:$Q$31)&lt;=0),0,Effective!$C$31*INDEX(Effective!$F$31:$Q$31,1,BA$5)/SUM(Effective!$F$31:$Q$31)*(1+Effective!$D$31)^BA$6)</f>
        <v/>
      </c>
      <c r="BB15" s="25">
        <f>IF(OR(BB$4=0,SUM(Effective!$F$31:$Q$31)&lt;=0),0,Effective!$C$31*INDEX(Effective!$F$31:$Q$31,1,BB$5)/SUM(Effective!$F$31:$Q$31)*(1+Effective!$D$31)^BB$6)</f>
        <v/>
      </c>
      <c r="BC15" s="25">
        <f>IF(OR(BC$4=0,SUM(Effective!$F$31:$Q$31)&lt;=0),0,Effective!$C$31*INDEX(Effective!$F$31:$Q$31,1,BC$5)/SUM(Effective!$F$31:$Q$31)*(1+Effective!$D$31)^BC$6)</f>
        <v/>
      </c>
      <c r="BD15" s="25">
        <f>IF(OR(BD$4=0,SUM(Effective!$F$31:$Q$31)&lt;=0),0,Effective!$C$31*INDEX(Effective!$F$31:$Q$31,1,BD$5)/SUM(Effective!$F$31:$Q$31)*(1+Effective!$D$31)^BD$6)</f>
        <v/>
      </c>
      <c r="BE15" s="25">
        <f>IF(OR(BE$4=0,SUM(Effective!$F$31:$Q$31)&lt;=0),0,Effective!$C$31*INDEX(Effective!$F$31:$Q$31,1,BE$5)/SUM(Effective!$F$31:$Q$31)*(1+Effective!$D$31)^BE$6)</f>
        <v/>
      </c>
      <c r="BF15" s="25">
        <f>IF(OR(BF$4=0,SUM(Effective!$F$31:$Q$31)&lt;=0),0,Effective!$C$31*INDEX(Effective!$F$31:$Q$31,1,BF$5)/SUM(Effective!$F$31:$Q$31)*(1+Effective!$D$31)^BF$6)</f>
        <v/>
      </c>
      <c r="BG15" s="25">
        <f>IF(OR(BG$4=0,SUM(Effective!$F$31:$Q$31)&lt;=0),0,Effective!$C$31*INDEX(Effective!$F$31:$Q$31,1,BG$5)/SUM(Effective!$F$31:$Q$31)*(1+Effective!$D$31)^BG$6)</f>
        <v/>
      </c>
      <c r="BH15" s="25">
        <f>IF(OR(BH$4=0,SUM(Effective!$F$31:$Q$31)&lt;=0),0,Effective!$C$31*INDEX(Effective!$F$31:$Q$31,1,BH$5)/SUM(Effective!$F$31:$Q$31)*(1+Effective!$D$31)^BH$6)</f>
        <v/>
      </c>
      <c r="BI15" s="25">
        <f>IF(OR(BI$4=0,SUM(Effective!$F$31:$Q$31)&lt;=0),0,Effective!$C$31*INDEX(Effective!$F$31:$Q$31,1,BI$5)/SUM(Effective!$F$31:$Q$31)*(1+Effective!$D$31)^BI$6)</f>
        <v/>
      </c>
      <c r="BJ15" s="25">
        <f>IF(OR(BJ$4=0,SUM(Effective!$F$31:$Q$31)&lt;=0),0,Effective!$C$31*INDEX(Effective!$F$31:$Q$31,1,BJ$5)/SUM(Effective!$F$31:$Q$31)*(1+Effective!$D$31)^BJ$6)</f>
        <v/>
      </c>
      <c r="BK15" s="25">
        <f>IF(OR(BK$4=0,SUM(Effective!$F$31:$Q$31)&lt;=0),0,Effective!$C$31*INDEX(Effective!$F$31:$Q$31,1,BK$5)/SUM(Effective!$F$31:$Q$31)*(1+Effective!$D$31)^BK$6)</f>
        <v/>
      </c>
      <c r="BL15" s="25">
        <f>IF(OR(BL$4=0,SUM(Effective!$F$31:$Q$31)&lt;=0),0,Effective!$C$31*INDEX(Effective!$F$31:$Q$31,1,BL$5)/SUM(Effective!$F$31:$Q$31)*(1+Effective!$D$31)^BL$6)</f>
        <v/>
      </c>
      <c r="BM15" s="25">
        <f>IF(OR(BM$4=0,SUM(Effective!$F$31:$Q$31)&lt;=0),0,Effective!$C$31*INDEX(Effective!$F$31:$Q$31,1,BM$5)/SUM(Effective!$F$31:$Q$31)*(1+Effective!$D$31)^BM$6)</f>
        <v/>
      </c>
      <c r="BN15" s="25">
        <f>IF(OR(BN$4=0,SUM(Effective!$F$31:$Q$31)&lt;=0),0,Effective!$C$31*INDEX(Effective!$F$31:$Q$31,1,BN$5)/SUM(Effective!$F$31:$Q$31)*(1+Effective!$D$31)^BN$6)</f>
        <v/>
      </c>
      <c r="BO15" s="25">
        <f>IF(OR(BO$4=0,SUM(Effective!$F$31:$Q$31)&lt;=0),0,Effective!$C$31*INDEX(Effective!$F$31:$Q$31,1,BO$5)/SUM(Effective!$F$31:$Q$31)*(1+Effective!$D$31)^BO$6)</f>
        <v/>
      </c>
      <c r="BP15" s="25">
        <f>IF(OR(BP$4=0,SUM(Effective!$F$31:$Q$31)&lt;=0),0,Effective!$C$31*INDEX(Effective!$F$31:$Q$31,1,BP$5)/SUM(Effective!$F$31:$Q$31)*(1+Effective!$D$31)^BP$6)</f>
        <v/>
      </c>
      <c r="BQ15" s="25">
        <f>IF(OR(BQ$4=0,SUM(Effective!$F$31:$Q$31)&lt;=0),0,Effective!$C$31*INDEX(Effective!$F$31:$Q$31,1,BQ$5)/SUM(Effective!$F$31:$Q$31)*(1+Effective!$D$31)^BQ$6)</f>
        <v/>
      </c>
      <c r="BR15" s="25">
        <f>IF(OR(BR$4=0,SUM(Effective!$F$31:$Q$31)&lt;=0),0,Effective!$C$31*INDEX(Effective!$F$31:$Q$31,1,BR$5)/SUM(Effective!$F$31:$Q$31)*(1+Effective!$D$31)^BR$6)</f>
        <v/>
      </c>
      <c r="BS15" s="25">
        <f>IF(OR(BS$4=0,SUM(Effective!$F$31:$Q$31)&lt;=0),0,Effective!$C$31*INDEX(Effective!$F$31:$Q$31,1,BS$5)/SUM(Effective!$F$31:$Q$31)*(1+Effective!$D$31)^BS$6)</f>
        <v/>
      </c>
      <c r="BT15" s="25">
        <f>IF(OR(BT$4=0,SUM(Effective!$F$31:$Q$31)&lt;=0),0,Effective!$C$31*INDEX(Effective!$F$31:$Q$31,1,BT$5)/SUM(Effective!$F$31:$Q$31)*(1+Effective!$D$31)^BT$6)</f>
        <v/>
      </c>
      <c r="BU15" s="25">
        <f>IF(OR(BU$4=0,SUM(Effective!$F$31:$Q$31)&lt;=0),0,Effective!$C$31*INDEX(Effective!$F$31:$Q$31,1,BU$5)/SUM(Effective!$F$31:$Q$31)*(1+Effective!$D$31)^BU$6)</f>
        <v/>
      </c>
      <c r="BV15" s="25">
        <f>IF(OR(BV$4=0,SUM(Effective!$F$31:$Q$31)&lt;=0),0,Effective!$C$31*INDEX(Effective!$F$31:$Q$31,1,BV$5)/SUM(Effective!$F$31:$Q$31)*(1+Effective!$D$31)^BV$6)</f>
        <v/>
      </c>
      <c r="BW15" s="25">
        <f>IF(OR(BW$4=0,SUM(Effective!$F$31:$Q$31)&lt;=0),0,Effective!$C$31*INDEX(Effective!$F$31:$Q$31,1,BW$5)/SUM(Effective!$F$31:$Q$31)*(1+Effective!$D$31)^BW$6)</f>
        <v/>
      </c>
      <c r="BX15" s="25">
        <f>IF(OR(BX$4=0,SUM(Effective!$F$31:$Q$31)&lt;=0),0,Effective!$C$31*INDEX(Effective!$F$31:$Q$31,1,BX$5)/SUM(Effective!$F$31:$Q$31)*(1+Effective!$D$31)^BX$6)</f>
        <v/>
      </c>
      <c r="BY15" s="25">
        <f>IF(OR(BY$4=0,SUM(Effective!$F$31:$Q$31)&lt;=0),0,Effective!$C$31*INDEX(Effective!$F$31:$Q$31,1,BY$5)/SUM(Effective!$F$31:$Q$31)*(1+Effective!$D$31)^BY$6)</f>
        <v/>
      </c>
      <c r="BZ15" s="25">
        <f>IF(OR(BZ$4=0,SUM(Effective!$F$31:$Q$31)&lt;=0),0,Effective!$C$31*INDEX(Effective!$F$31:$Q$31,1,BZ$5)/SUM(Effective!$F$31:$Q$31)*(1+Effective!$D$31)^BZ$6)</f>
        <v/>
      </c>
      <c r="CA15" s="25">
        <f>IF(OR(CA$4=0,SUM(Effective!$F$31:$Q$31)&lt;=0),0,Effective!$C$31*INDEX(Effective!$F$31:$Q$31,1,CA$5)/SUM(Effective!$F$31:$Q$31)*(1+Effective!$D$31)^CA$6)</f>
        <v/>
      </c>
      <c r="CB15" s="25">
        <f>IF(OR(CB$4=0,SUM(Effective!$F$31:$Q$31)&lt;=0),0,Effective!$C$31*INDEX(Effective!$F$31:$Q$31,1,CB$5)/SUM(Effective!$F$31:$Q$31)*(1+Effective!$D$31)^CB$6)</f>
        <v/>
      </c>
      <c r="CC15" s="25">
        <f>IF(OR(CC$4=0,SUM(Effective!$F$31:$Q$31)&lt;=0),0,Effective!$C$31*INDEX(Effective!$F$31:$Q$31,1,CC$5)/SUM(Effective!$F$31:$Q$31)*(1+Effective!$D$31)^CC$6)</f>
        <v/>
      </c>
      <c r="CD15" s="25">
        <f>IF(OR(CD$4=0,SUM(Effective!$F$31:$Q$31)&lt;=0),0,Effective!$C$31*INDEX(Effective!$F$31:$Q$31,1,CD$5)/SUM(Effective!$F$31:$Q$31)*(1+Effective!$D$31)^CD$6)</f>
        <v/>
      </c>
      <c r="CE15" s="25">
        <f>IF(OR(CE$4=0,SUM(Effective!$F$31:$Q$31)&lt;=0),0,Effective!$C$31*INDEX(Effective!$F$31:$Q$31,1,CE$5)/SUM(Effective!$F$31:$Q$31)*(1+Effective!$D$31)^CE$6)</f>
        <v/>
      </c>
      <c r="CF15" s="25">
        <f>IF(OR(CF$4=0,SUM(Effective!$F$31:$Q$31)&lt;=0),0,Effective!$C$31*INDEX(Effective!$F$31:$Q$31,1,CF$5)/SUM(Effective!$F$31:$Q$31)*(1+Effective!$D$31)^CF$6)</f>
        <v/>
      </c>
      <c r="CG15" s="25">
        <f>IF(OR(CG$4=0,SUM(Effective!$F$31:$Q$31)&lt;=0),0,Effective!$C$31*INDEX(Effective!$F$31:$Q$31,1,CG$5)/SUM(Effective!$F$31:$Q$31)*(1+Effective!$D$31)^CG$6)</f>
        <v/>
      </c>
      <c r="CH15" s="25">
        <f>IF(OR(CH$4=0,SUM(Effective!$F$31:$Q$31)&lt;=0),0,Effective!$C$31*INDEX(Effective!$F$31:$Q$31,1,CH$5)/SUM(Effective!$F$31:$Q$31)*(1+Effective!$D$31)^CH$6)</f>
        <v/>
      </c>
      <c r="CI15" s="25">
        <f>IF(OR(CI$4=0,SUM(Effective!$F$31:$Q$31)&lt;=0),0,Effective!$C$31*INDEX(Effective!$F$31:$Q$31,1,CI$5)/SUM(Effective!$F$31:$Q$31)*(1+Effective!$D$31)^CI$6)</f>
        <v/>
      </c>
      <c r="CJ15" s="25">
        <f>IF(OR(CJ$4=0,SUM(Effective!$F$31:$Q$31)&lt;=0),0,Effective!$C$31*INDEX(Effective!$F$31:$Q$31,1,CJ$5)/SUM(Effective!$F$31:$Q$31)*(1+Effective!$D$31)^CJ$6)</f>
        <v/>
      </c>
      <c r="CK15" s="25">
        <f>IF(OR(CK$4=0,SUM(Effective!$F$31:$Q$31)&lt;=0),0,Effective!$C$31*INDEX(Effective!$F$31:$Q$31,1,CK$5)/SUM(Effective!$F$31:$Q$31)*(1+Effective!$D$31)^CK$6)</f>
        <v/>
      </c>
      <c r="CL15" s="25">
        <f>IF(OR(CL$4=0,SUM(Effective!$F$31:$Q$31)&lt;=0),0,Effective!$C$31*INDEX(Effective!$F$31:$Q$31,1,CL$5)/SUM(Effective!$F$31:$Q$31)*(1+Effective!$D$31)^CL$6)</f>
        <v/>
      </c>
      <c r="CM15" s="25">
        <f>IF(OR(CM$4=0,SUM(Effective!$F$31:$Q$31)&lt;=0),0,Effective!$C$31*INDEX(Effective!$F$31:$Q$31,1,CM$5)/SUM(Effective!$F$31:$Q$31)*(1+Effective!$D$31)^CM$6)</f>
        <v/>
      </c>
      <c r="CN15" s="25">
        <f>IF(OR(CN$4=0,SUM(Effective!$F$31:$Q$31)&lt;=0),0,Effective!$C$31*INDEX(Effective!$F$31:$Q$31,1,CN$5)/SUM(Effective!$F$31:$Q$31)*(1+Effective!$D$31)^CN$6)</f>
        <v/>
      </c>
      <c r="CO15" s="25">
        <f>IF(OR(CO$4=0,SUM(Effective!$F$31:$Q$31)&lt;=0),0,Effective!$C$31*INDEX(Effective!$F$31:$Q$31,1,CO$5)/SUM(Effective!$F$31:$Q$31)*(1+Effective!$D$31)^CO$6)</f>
        <v/>
      </c>
      <c r="CP15" s="25">
        <f>IF(OR(CP$4=0,SUM(Effective!$F$31:$Q$31)&lt;=0),0,Effective!$C$31*INDEX(Effective!$F$31:$Q$31,1,CP$5)/SUM(Effective!$F$31:$Q$31)*(1+Effective!$D$31)^CP$6)</f>
        <v/>
      </c>
      <c r="CQ15" s="25">
        <f>IF(OR(CQ$4=0,SUM(Effective!$F$31:$Q$31)&lt;=0),0,Effective!$C$31*INDEX(Effective!$F$31:$Q$31,1,CQ$5)/SUM(Effective!$F$31:$Q$31)*(1+Effective!$D$31)^CQ$6)</f>
        <v/>
      </c>
      <c r="CR15" s="25">
        <f>IF(OR(CR$4=0,SUM(Effective!$F$31:$Q$31)&lt;=0),0,Effective!$C$31*INDEX(Effective!$F$31:$Q$31,1,CR$5)/SUM(Effective!$F$31:$Q$31)*(1+Effective!$D$31)^CR$6)</f>
        <v/>
      </c>
      <c r="CS15" s="25">
        <f>IF(OR(CS$4=0,SUM(Effective!$F$31:$Q$31)&lt;=0),0,Effective!$C$31*INDEX(Effective!$F$31:$Q$31,1,CS$5)/SUM(Effective!$F$31:$Q$31)*(1+Effective!$D$31)^CS$6)</f>
        <v/>
      </c>
      <c r="CT15" s="25">
        <f>IF(OR(CT$4=0,SUM(Effective!$F$31:$Q$31)&lt;=0),0,Effective!$C$31*INDEX(Effective!$F$31:$Q$31,1,CT$5)/SUM(Effective!$F$31:$Q$31)*(1+Effective!$D$31)^CT$6)</f>
        <v/>
      </c>
      <c r="CU15" s="25">
        <f>IF(OR(CU$4=0,SUM(Effective!$F$31:$Q$31)&lt;=0),0,Effective!$C$31*INDEX(Effective!$F$31:$Q$31,1,CU$5)/SUM(Effective!$F$31:$Q$31)*(1+Effective!$D$31)^CU$6)</f>
        <v/>
      </c>
      <c r="CV15" s="25">
        <f>IF(OR(CV$4=0,SUM(Effective!$F$31:$Q$31)&lt;=0),0,Effective!$C$31*INDEX(Effective!$F$31:$Q$31,1,CV$5)/SUM(Effective!$F$31:$Q$31)*(1+Effective!$D$31)^CV$6)</f>
        <v/>
      </c>
      <c r="CW15" s="25">
        <f>IF(OR(CW$4=0,SUM(Effective!$F$31:$Q$31)&lt;=0),0,Effective!$C$31*INDEX(Effective!$F$31:$Q$31,1,CW$5)/SUM(Effective!$F$31:$Q$31)*(1+Effective!$D$31)^CW$6)</f>
        <v/>
      </c>
      <c r="CX15" s="25">
        <f>IF(OR(CX$4=0,SUM(Effective!$F$31:$Q$31)&lt;=0),0,Effective!$C$31*INDEX(Effective!$F$31:$Q$31,1,CX$5)/SUM(Effective!$F$31:$Q$31)*(1+Effective!$D$31)^CX$6)</f>
        <v/>
      </c>
      <c r="CY15" s="25">
        <f>IF(OR(CY$4=0,SUM(Effective!$F$31:$Q$31)&lt;=0),0,Effective!$C$31*INDEX(Effective!$F$31:$Q$31,1,CY$5)/SUM(Effective!$F$31:$Q$31)*(1+Effective!$D$31)^CY$6)</f>
        <v/>
      </c>
      <c r="CZ15" s="25">
        <f>IF(OR(CZ$4=0,SUM(Effective!$F$31:$Q$31)&lt;=0),0,Effective!$C$31*INDEX(Effective!$F$31:$Q$31,1,CZ$5)/SUM(Effective!$F$31:$Q$31)*(1+Effective!$D$31)^CZ$6)</f>
        <v/>
      </c>
      <c r="DA15" s="25">
        <f>IF(OR(DA$4=0,SUM(Effective!$F$31:$Q$31)&lt;=0),0,Effective!$C$31*INDEX(Effective!$F$31:$Q$31,1,DA$5)/SUM(Effective!$F$31:$Q$31)*(1+Effective!$D$31)^DA$6)</f>
        <v/>
      </c>
      <c r="DB15" s="25">
        <f>IF(OR(DB$4=0,SUM(Effective!$F$31:$Q$31)&lt;=0),0,Effective!$C$31*INDEX(Effective!$F$31:$Q$31,1,DB$5)/SUM(Effective!$F$31:$Q$31)*(1+Effective!$D$31)^DB$6)</f>
        <v/>
      </c>
      <c r="DC15" s="25">
        <f>IF(OR(DC$4=0,SUM(Effective!$F$31:$Q$31)&lt;=0),0,Effective!$C$31*INDEX(Effective!$F$31:$Q$31,1,DC$5)/SUM(Effective!$F$31:$Q$31)*(1+Effective!$D$31)^DC$6)</f>
        <v/>
      </c>
      <c r="DD15" s="25">
        <f>IF(OR(DD$4=0,SUM(Effective!$F$31:$Q$31)&lt;=0),0,Effective!$C$31*INDEX(Effective!$F$31:$Q$31,1,DD$5)/SUM(Effective!$F$31:$Q$31)*(1+Effective!$D$31)^DD$6)</f>
        <v/>
      </c>
      <c r="DE15" s="25">
        <f>IF(OR(DE$4=0,SUM(Effective!$F$31:$Q$31)&lt;=0),0,Effective!$C$31*INDEX(Effective!$F$31:$Q$31,1,DE$5)/SUM(Effective!$F$31:$Q$31)*(1+Effective!$D$31)^DE$6)</f>
        <v/>
      </c>
      <c r="DF15" s="25">
        <f>IF(OR(DF$4=0,SUM(Effective!$F$31:$Q$31)&lt;=0),0,Effective!$C$31*INDEX(Effective!$F$31:$Q$31,1,DF$5)/SUM(Effective!$F$31:$Q$31)*(1+Effective!$D$31)^DF$6)</f>
        <v/>
      </c>
      <c r="DG15" s="25">
        <f>IF(OR(DG$4=0,SUM(Effective!$F$31:$Q$31)&lt;=0),0,Effective!$C$31*INDEX(Effective!$F$31:$Q$31,1,DG$5)/SUM(Effective!$F$31:$Q$31)*(1+Effective!$D$31)^DG$6)</f>
        <v/>
      </c>
      <c r="DH15" s="25">
        <f>IF(OR(DH$4=0,SUM(Effective!$F$31:$Q$31)&lt;=0),0,Effective!$C$31*INDEX(Effective!$F$31:$Q$31,1,DH$5)/SUM(Effective!$F$31:$Q$31)*(1+Effective!$D$31)^DH$6)</f>
        <v/>
      </c>
      <c r="DI15" s="25">
        <f>IF(OR(DI$4=0,SUM(Effective!$F$31:$Q$31)&lt;=0),0,Effective!$C$31*INDEX(Effective!$F$31:$Q$31,1,DI$5)/SUM(Effective!$F$31:$Q$31)*(1+Effective!$D$31)^DI$6)</f>
        <v/>
      </c>
      <c r="DJ15" s="25">
        <f>IF(OR(DJ$4=0,SUM(Effective!$F$31:$Q$31)&lt;=0),0,Effective!$C$31*INDEX(Effective!$F$31:$Q$31,1,DJ$5)/SUM(Effective!$F$31:$Q$31)*(1+Effective!$D$31)^DJ$6)</f>
        <v/>
      </c>
      <c r="DK15" s="25">
        <f>IF(OR(DK$4=0,SUM(Effective!$F$31:$Q$31)&lt;=0),0,Effective!$C$31*INDEX(Effective!$F$31:$Q$31,1,DK$5)/SUM(Effective!$F$31:$Q$31)*(1+Effective!$D$31)^DK$6)</f>
        <v/>
      </c>
      <c r="DL15" s="25">
        <f>IF(OR(DL$4=0,SUM(Effective!$F$31:$Q$31)&lt;=0),0,Effective!$C$31*INDEX(Effective!$F$31:$Q$31,1,DL$5)/SUM(Effective!$F$31:$Q$31)*(1+Effective!$D$31)^DL$6)</f>
        <v/>
      </c>
      <c r="DM15" s="25">
        <f>IF(OR(DM$4=0,SUM(Effective!$F$31:$Q$31)&lt;=0),0,Effective!$C$31*INDEX(Effective!$F$31:$Q$31,1,DM$5)/SUM(Effective!$F$31:$Q$31)*(1+Effective!$D$31)^DM$6)</f>
        <v/>
      </c>
      <c r="DN15" s="25">
        <f>IF(OR(DN$4=0,SUM(Effective!$F$31:$Q$31)&lt;=0),0,Effective!$C$31*INDEX(Effective!$F$31:$Q$31,1,DN$5)/SUM(Effective!$F$31:$Q$31)*(1+Effective!$D$31)^DN$6)</f>
        <v/>
      </c>
      <c r="DO15" s="25">
        <f>IF(OR(DO$4=0,SUM(Effective!$F$31:$Q$31)&lt;=0),0,Effective!$C$31*INDEX(Effective!$F$31:$Q$31,1,DO$5)/SUM(Effective!$F$31:$Q$31)*(1+Effective!$D$31)^DO$6)</f>
        <v/>
      </c>
      <c r="DP15" s="25">
        <f>IF(OR(DP$4=0,SUM(Effective!$F$31:$Q$31)&lt;=0),0,Effective!$C$31*INDEX(Effective!$F$31:$Q$31,1,DP$5)/SUM(Effective!$F$31:$Q$31)*(1+Effective!$D$31)^DP$6)</f>
        <v/>
      </c>
      <c r="DQ15" s="25">
        <f>IF(OR(DQ$4=0,SUM(Effective!$F$31:$Q$31)&lt;=0),0,Effective!$C$31*INDEX(Effective!$F$31:$Q$31,1,DQ$5)/SUM(Effective!$F$31:$Q$31)*(1+Effective!$D$31)^DQ$6)</f>
        <v/>
      </c>
      <c r="DR15" s="25">
        <f>IF(OR(DR$4=0,SUM(Effective!$F$31:$Q$31)&lt;=0),0,Effective!$C$31*INDEX(Effective!$F$31:$Q$31,1,DR$5)/SUM(Effective!$F$31:$Q$31)*(1+Effective!$D$31)^DR$6)</f>
        <v/>
      </c>
    </row>
    <row r="16">
      <c r="A16" t="inlineStr">
        <is>
          <t>revenue_ch7</t>
        </is>
      </c>
      <c r="B16" t="inlineStr">
        <is>
          <t>channel idx 6</t>
        </is>
      </c>
      <c r="C16" s="25">
        <f>IF(OR(C$4=0,SUM(Effective!$F$32:$Q$32)&lt;=0),0,Effective!$C$32*INDEX(Effective!$F$32:$Q$32,1,C$5)/SUM(Effective!$F$32:$Q$32)*(1+Effective!$D$32)^C$6)</f>
        <v/>
      </c>
      <c r="D16" s="25">
        <f>IF(OR(D$4=0,SUM(Effective!$F$32:$Q$32)&lt;=0),0,Effective!$C$32*INDEX(Effective!$F$32:$Q$32,1,D$5)/SUM(Effective!$F$32:$Q$32)*(1+Effective!$D$32)^D$6)</f>
        <v/>
      </c>
      <c r="E16" s="25">
        <f>IF(OR(E$4=0,SUM(Effective!$F$32:$Q$32)&lt;=0),0,Effective!$C$32*INDEX(Effective!$F$32:$Q$32,1,E$5)/SUM(Effective!$F$32:$Q$32)*(1+Effective!$D$32)^E$6)</f>
        <v/>
      </c>
      <c r="F16" s="25">
        <f>IF(OR(F$4=0,SUM(Effective!$F$32:$Q$32)&lt;=0),0,Effective!$C$32*INDEX(Effective!$F$32:$Q$32,1,F$5)/SUM(Effective!$F$32:$Q$32)*(1+Effective!$D$32)^F$6)</f>
        <v/>
      </c>
      <c r="G16" s="25">
        <f>IF(OR(G$4=0,SUM(Effective!$F$32:$Q$32)&lt;=0),0,Effective!$C$32*INDEX(Effective!$F$32:$Q$32,1,G$5)/SUM(Effective!$F$32:$Q$32)*(1+Effective!$D$32)^G$6)</f>
        <v/>
      </c>
      <c r="H16" s="25">
        <f>IF(OR(H$4=0,SUM(Effective!$F$32:$Q$32)&lt;=0),0,Effective!$C$32*INDEX(Effective!$F$32:$Q$32,1,H$5)/SUM(Effective!$F$32:$Q$32)*(1+Effective!$D$32)^H$6)</f>
        <v/>
      </c>
      <c r="I16" s="25">
        <f>IF(OR(I$4=0,SUM(Effective!$F$32:$Q$32)&lt;=0),0,Effective!$C$32*INDEX(Effective!$F$32:$Q$32,1,I$5)/SUM(Effective!$F$32:$Q$32)*(1+Effective!$D$32)^I$6)</f>
        <v/>
      </c>
      <c r="J16" s="25">
        <f>IF(OR(J$4=0,SUM(Effective!$F$32:$Q$32)&lt;=0),0,Effective!$C$32*INDEX(Effective!$F$32:$Q$32,1,J$5)/SUM(Effective!$F$32:$Q$32)*(1+Effective!$D$32)^J$6)</f>
        <v/>
      </c>
      <c r="K16" s="25">
        <f>IF(OR(K$4=0,SUM(Effective!$F$32:$Q$32)&lt;=0),0,Effective!$C$32*INDEX(Effective!$F$32:$Q$32,1,K$5)/SUM(Effective!$F$32:$Q$32)*(1+Effective!$D$32)^K$6)</f>
        <v/>
      </c>
      <c r="L16" s="25">
        <f>IF(OR(L$4=0,SUM(Effective!$F$32:$Q$32)&lt;=0),0,Effective!$C$32*INDEX(Effective!$F$32:$Q$32,1,L$5)/SUM(Effective!$F$32:$Q$32)*(1+Effective!$D$32)^L$6)</f>
        <v/>
      </c>
      <c r="M16" s="25">
        <f>IF(OR(M$4=0,SUM(Effective!$F$32:$Q$32)&lt;=0),0,Effective!$C$32*INDEX(Effective!$F$32:$Q$32,1,M$5)/SUM(Effective!$F$32:$Q$32)*(1+Effective!$D$32)^M$6)</f>
        <v/>
      </c>
      <c r="N16" s="25">
        <f>IF(OR(N$4=0,SUM(Effective!$F$32:$Q$32)&lt;=0),0,Effective!$C$32*INDEX(Effective!$F$32:$Q$32,1,N$5)/SUM(Effective!$F$32:$Q$32)*(1+Effective!$D$32)^N$6)</f>
        <v/>
      </c>
      <c r="O16" s="25">
        <f>IF(OR(O$4=0,SUM(Effective!$F$32:$Q$32)&lt;=0),0,Effective!$C$32*INDEX(Effective!$F$32:$Q$32,1,O$5)/SUM(Effective!$F$32:$Q$32)*(1+Effective!$D$32)^O$6)</f>
        <v/>
      </c>
      <c r="P16" s="25">
        <f>IF(OR(P$4=0,SUM(Effective!$F$32:$Q$32)&lt;=0),0,Effective!$C$32*INDEX(Effective!$F$32:$Q$32,1,P$5)/SUM(Effective!$F$32:$Q$32)*(1+Effective!$D$32)^P$6)</f>
        <v/>
      </c>
      <c r="Q16" s="25">
        <f>IF(OR(Q$4=0,SUM(Effective!$F$32:$Q$32)&lt;=0),0,Effective!$C$32*INDEX(Effective!$F$32:$Q$32,1,Q$5)/SUM(Effective!$F$32:$Q$32)*(1+Effective!$D$32)^Q$6)</f>
        <v/>
      </c>
      <c r="R16" s="25">
        <f>IF(OR(R$4=0,SUM(Effective!$F$32:$Q$32)&lt;=0),0,Effective!$C$32*INDEX(Effective!$F$32:$Q$32,1,R$5)/SUM(Effective!$F$32:$Q$32)*(1+Effective!$D$32)^R$6)</f>
        <v/>
      </c>
      <c r="S16" s="25">
        <f>IF(OR(S$4=0,SUM(Effective!$F$32:$Q$32)&lt;=0),0,Effective!$C$32*INDEX(Effective!$F$32:$Q$32,1,S$5)/SUM(Effective!$F$32:$Q$32)*(1+Effective!$D$32)^S$6)</f>
        <v/>
      </c>
      <c r="T16" s="25">
        <f>IF(OR(T$4=0,SUM(Effective!$F$32:$Q$32)&lt;=0),0,Effective!$C$32*INDEX(Effective!$F$32:$Q$32,1,T$5)/SUM(Effective!$F$32:$Q$32)*(1+Effective!$D$32)^T$6)</f>
        <v/>
      </c>
      <c r="U16" s="25">
        <f>IF(OR(U$4=0,SUM(Effective!$F$32:$Q$32)&lt;=0),0,Effective!$C$32*INDEX(Effective!$F$32:$Q$32,1,U$5)/SUM(Effective!$F$32:$Q$32)*(1+Effective!$D$32)^U$6)</f>
        <v/>
      </c>
      <c r="V16" s="25">
        <f>IF(OR(V$4=0,SUM(Effective!$F$32:$Q$32)&lt;=0),0,Effective!$C$32*INDEX(Effective!$F$32:$Q$32,1,V$5)/SUM(Effective!$F$32:$Q$32)*(1+Effective!$D$32)^V$6)</f>
        <v/>
      </c>
      <c r="W16" s="25">
        <f>IF(OR(W$4=0,SUM(Effective!$F$32:$Q$32)&lt;=0),0,Effective!$C$32*INDEX(Effective!$F$32:$Q$32,1,W$5)/SUM(Effective!$F$32:$Q$32)*(1+Effective!$D$32)^W$6)</f>
        <v/>
      </c>
      <c r="X16" s="25">
        <f>IF(OR(X$4=0,SUM(Effective!$F$32:$Q$32)&lt;=0),0,Effective!$C$32*INDEX(Effective!$F$32:$Q$32,1,X$5)/SUM(Effective!$F$32:$Q$32)*(1+Effective!$D$32)^X$6)</f>
        <v/>
      </c>
      <c r="Y16" s="25">
        <f>IF(OR(Y$4=0,SUM(Effective!$F$32:$Q$32)&lt;=0),0,Effective!$C$32*INDEX(Effective!$F$32:$Q$32,1,Y$5)/SUM(Effective!$F$32:$Q$32)*(1+Effective!$D$32)^Y$6)</f>
        <v/>
      </c>
      <c r="Z16" s="25">
        <f>IF(OR(Z$4=0,SUM(Effective!$F$32:$Q$32)&lt;=0),0,Effective!$C$32*INDEX(Effective!$F$32:$Q$32,1,Z$5)/SUM(Effective!$F$32:$Q$32)*(1+Effective!$D$32)^Z$6)</f>
        <v/>
      </c>
      <c r="AA16" s="25">
        <f>IF(OR(AA$4=0,SUM(Effective!$F$32:$Q$32)&lt;=0),0,Effective!$C$32*INDEX(Effective!$F$32:$Q$32,1,AA$5)/SUM(Effective!$F$32:$Q$32)*(1+Effective!$D$32)^AA$6)</f>
        <v/>
      </c>
      <c r="AB16" s="25">
        <f>IF(OR(AB$4=0,SUM(Effective!$F$32:$Q$32)&lt;=0),0,Effective!$C$32*INDEX(Effective!$F$32:$Q$32,1,AB$5)/SUM(Effective!$F$32:$Q$32)*(1+Effective!$D$32)^AB$6)</f>
        <v/>
      </c>
      <c r="AC16" s="25">
        <f>IF(OR(AC$4=0,SUM(Effective!$F$32:$Q$32)&lt;=0),0,Effective!$C$32*INDEX(Effective!$F$32:$Q$32,1,AC$5)/SUM(Effective!$F$32:$Q$32)*(1+Effective!$D$32)^AC$6)</f>
        <v/>
      </c>
      <c r="AD16" s="25">
        <f>IF(OR(AD$4=0,SUM(Effective!$F$32:$Q$32)&lt;=0),0,Effective!$C$32*INDEX(Effective!$F$32:$Q$32,1,AD$5)/SUM(Effective!$F$32:$Q$32)*(1+Effective!$D$32)^AD$6)</f>
        <v/>
      </c>
      <c r="AE16" s="25">
        <f>IF(OR(AE$4=0,SUM(Effective!$F$32:$Q$32)&lt;=0),0,Effective!$C$32*INDEX(Effective!$F$32:$Q$32,1,AE$5)/SUM(Effective!$F$32:$Q$32)*(1+Effective!$D$32)^AE$6)</f>
        <v/>
      </c>
      <c r="AF16" s="25">
        <f>IF(OR(AF$4=0,SUM(Effective!$F$32:$Q$32)&lt;=0),0,Effective!$C$32*INDEX(Effective!$F$32:$Q$32,1,AF$5)/SUM(Effective!$F$32:$Q$32)*(1+Effective!$D$32)^AF$6)</f>
        <v/>
      </c>
      <c r="AG16" s="25">
        <f>IF(OR(AG$4=0,SUM(Effective!$F$32:$Q$32)&lt;=0),0,Effective!$C$32*INDEX(Effective!$F$32:$Q$32,1,AG$5)/SUM(Effective!$F$32:$Q$32)*(1+Effective!$D$32)^AG$6)</f>
        <v/>
      </c>
      <c r="AH16" s="25">
        <f>IF(OR(AH$4=0,SUM(Effective!$F$32:$Q$32)&lt;=0),0,Effective!$C$32*INDEX(Effective!$F$32:$Q$32,1,AH$5)/SUM(Effective!$F$32:$Q$32)*(1+Effective!$D$32)^AH$6)</f>
        <v/>
      </c>
      <c r="AI16" s="25">
        <f>IF(OR(AI$4=0,SUM(Effective!$F$32:$Q$32)&lt;=0),0,Effective!$C$32*INDEX(Effective!$F$32:$Q$32,1,AI$5)/SUM(Effective!$F$32:$Q$32)*(1+Effective!$D$32)^AI$6)</f>
        <v/>
      </c>
      <c r="AJ16" s="25">
        <f>IF(OR(AJ$4=0,SUM(Effective!$F$32:$Q$32)&lt;=0),0,Effective!$C$32*INDEX(Effective!$F$32:$Q$32,1,AJ$5)/SUM(Effective!$F$32:$Q$32)*(1+Effective!$D$32)^AJ$6)</f>
        <v/>
      </c>
      <c r="AK16" s="25">
        <f>IF(OR(AK$4=0,SUM(Effective!$F$32:$Q$32)&lt;=0),0,Effective!$C$32*INDEX(Effective!$F$32:$Q$32,1,AK$5)/SUM(Effective!$F$32:$Q$32)*(1+Effective!$D$32)^AK$6)</f>
        <v/>
      </c>
      <c r="AL16" s="25">
        <f>IF(OR(AL$4=0,SUM(Effective!$F$32:$Q$32)&lt;=0),0,Effective!$C$32*INDEX(Effective!$F$32:$Q$32,1,AL$5)/SUM(Effective!$F$32:$Q$32)*(1+Effective!$D$32)^AL$6)</f>
        <v/>
      </c>
      <c r="AM16" s="25">
        <f>IF(OR(AM$4=0,SUM(Effective!$F$32:$Q$32)&lt;=0),0,Effective!$C$32*INDEX(Effective!$F$32:$Q$32,1,AM$5)/SUM(Effective!$F$32:$Q$32)*(1+Effective!$D$32)^AM$6)</f>
        <v/>
      </c>
      <c r="AN16" s="25">
        <f>IF(OR(AN$4=0,SUM(Effective!$F$32:$Q$32)&lt;=0),0,Effective!$C$32*INDEX(Effective!$F$32:$Q$32,1,AN$5)/SUM(Effective!$F$32:$Q$32)*(1+Effective!$D$32)^AN$6)</f>
        <v/>
      </c>
      <c r="AO16" s="25">
        <f>IF(OR(AO$4=0,SUM(Effective!$F$32:$Q$32)&lt;=0),0,Effective!$C$32*INDEX(Effective!$F$32:$Q$32,1,AO$5)/SUM(Effective!$F$32:$Q$32)*(1+Effective!$D$32)^AO$6)</f>
        <v/>
      </c>
      <c r="AP16" s="25">
        <f>IF(OR(AP$4=0,SUM(Effective!$F$32:$Q$32)&lt;=0),0,Effective!$C$32*INDEX(Effective!$F$32:$Q$32,1,AP$5)/SUM(Effective!$F$32:$Q$32)*(1+Effective!$D$32)^AP$6)</f>
        <v/>
      </c>
      <c r="AQ16" s="25">
        <f>IF(OR(AQ$4=0,SUM(Effective!$F$32:$Q$32)&lt;=0),0,Effective!$C$32*INDEX(Effective!$F$32:$Q$32,1,AQ$5)/SUM(Effective!$F$32:$Q$32)*(1+Effective!$D$32)^AQ$6)</f>
        <v/>
      </c>
      <c r="AR16" s="25">
        <f>IF(OR(AR$4=0,SUM(Effective!$F$32:$Q$32)&lt;=0),0,Effective!$C$32*INDEX(Effective!$F$32:$Q$32,1,AR$5)/SUM(Effective!$F$32:$Q$32)*(1+Effective!$D$32)^AR$6)</f>
        <v/>
      </c>
      <c r="AS16" s="25">
        <f>IF(OR(AS$4=0,SUM(Effective!$F$32:$Q$32)&lt;=0),0,Effective!$C$32*INDEX(Effective!$F$32:$Q$32,1,AS$5)/SUM(Effective!$F$32:$Q$32)*(1+Effective!$D$32)^AS$6)</f>
        <v/>
      </c>
      <c r="AT16" s="25">
        <f>IF(OR(AT$4=0,SUM(Effective!$F$32:$Q$32)&lt;=0),0,Effective!$C$32*INDEX(Effective!$F$32:$Q$32,1,AT$5)/SUM(Effective!$F$32:$Q$32)*(1+Effective!$D$32)^AT$6)</f>
        <v/>
      </c>
      <c r="AU16" s="25">
        <f>IF(OR(AU$4=0,SUM(Effective!$F$32:$Q$32)&lt;=0),0,Effective!$C$32*INDEX(Effective!$F$32:$Q$32,1,AU$5)/SUM(Effective!$F$32:$Q$32)*(1+Effective!$D$32)^AU$6)</f>
        <v/>
      </c>
      <c r="AV16" s="25">
        <f>IF(OR(AV$4=0,SUM(Effective!$F$32:$Q$32)&lt;=0),0,Effective!$C$32*INDEX(Effective!$F$32:$Q$32,1,AV$5)/SUM(Effective!$F$32:$Q$32)*(1+Effective!$D$32)^AV$6)</f>
        <v/>
      </c>
      <c r="AW16" s="25">
        <f>IF(OR(AW$4=0,SUM(Effective!$F$32:$Q$32)&lt;=0),0,Effective!$C$32*INDEX(Effective!$F$32:$Q$32,1,AW$5)/SUM(Effective!$F$32:$Q$32)*(1+Effective!$D$32)^AW$6)</f>
        <v/>
      </c>
      <c r="AX16" s="25">
        <f>IF(OR(AX$4=0,SUM(Effective!$F$32:$Q$32)&lt;=0),0,Effective!$C$32*INDEX(Effective!$F$32:$Q$32,1,AX$5)/SUM(Effective!$F$32:$Q$32)*(1+Effective!$D$32)^AX$6)</f>
        <v/>
      </c>
      <c r="AY16" s="25">
        <f>IF(OR(AY$4=0,SUM(Effective!$F$32:$Q$32)&lt;=0),0,Effective!$C$32*INDEX(Effective!$F$32:$Q$32,1,AY$5)/SUM(Effective!$F$32:$Q$32)*(1+Effective!$D$32)^AY$6)</f>
        <v/>
      </c>
      <c r="AZ16" s="25">
        <f>IF(OR(AZ$4=0,SUM(Effective!$F$32:$Q$32)&lt;=0),0,Effective!$C$32*INDEX(Effective!$F$32:$Q$32,1,AZ$5)/SUM(Effective!$F$32:$Q$32)*(1+Effective!$D$32)^AZ$6)</f>
        <v/>
      </c>
      <c r="BA16" s="25">
        <f>IF(OR(BA$4=0,SUM(Effective!$F$32:$Q$32)&lt;=0),0,Effective!$C$32*INDEX(Effective!$F$32:$Q$32,1,BA$5)/SUM(Effective!$F$32:$Q$32)*(1+Effective!$D$32)^BA$6)</f>
        <v/>
      </c>
      <c r="BB16" s="25">
        <f>IF(OR(BB$4=0,SUM(Effective!$F$32:$Q$32)&lt;=0),0,Effective!$C$32*INDEX(Effective!$F$32:$Q$32,1,BB$5)/SUM(Effective!$F$32:$Q$32)*(1+Effective!$D$32)^BB$6)</f>
        <v/>
      </c>
      <c r="BC16" s="25">
        <f>IF(OR(BC$4=0,SUM(Effective!$F$32:$Q$32)&lt;=0),0,Effective!$C$32*INDEX(Effective!$F$32:$Q$32,1,BC$5)/SUM(Effective!$F$32:$Q$32)*(1+Effective!$D$32)^BC$6)</f>
        <v/>
      </c>
      <c r="BD16" s="25">
        <f>IF(OR(BD$4=0,SUM(Effective!$F$32:$Q$32)&lt;=0),0,Effective!$C$32*INDEX(Effective!$F$32:$Q$32,1,BD$5)/SUM(Effective!$F$32:$Q$32)*(1+Effective!$D$32)^BD$6)</f>
        <v/>
      </c>
      <c r="BE16" s="25">
        <f>IF(OR(BE$4=0,SUM(Effective!$F$32:$Q$32)&lt;=0),0,Effective!$C$32*INDEX(Effective!$F$32:$Q$32,1,BE$5)/SUM(Effective!$F$32:$Q$32)*(1+Effective!$D$32)^BE$6)</f>
        <v/>
      </c>
      <c r="BF16" s="25">
        <f>IF(OR(BF$4=0,SUM(Effective!$F$32:$Q$32)&lt;=0),0,Effective!$C$32*INDEX(Effective!$F$32:$Q$32,1,BF$5)/SUM(Effective!$F$32:$Q$32)*(1+Effective!$D$32)^BF$6)</f>
        <v/>
      </c>
      <c r="BG16" s="25">
        <f>IF(OR(BG$4=0,SUM(Effective!$F$32:$Q$32)&lt;=0),0,Effective!$C$32*INDEX(Effective!$F$32:$Q$32,1,BG$5)/SUM(Effective!$F$32:$Q$32)*(1+Effective!$D$32)^BG$6)</f>
        <v/>
      </c>
      <c r="BH16" s="25">
        <f>IF(OR(BH$4=0,SUM(Effective!$F$32:$Q$32)&lt;=0),0,Effective!$C$32*INDEX(Effective!$F$32:$Q$32,1,BH$5)/SUM(Effective!$F$32:$Q$32)*(1+Effective!$D$32)^BH$6)</f>
        <v/>
      </c>
      <c r="BI16" s="25">
        <f>IF(OR(BI$4=0,SUM(Effective!$F$32:$Q$32)&lt;=0),0,Effective!$C$32*INDEX(Effective!$F$32:$Q$32,1,BI$5)/SUM(Effective!$F$32:$Q$32)*(1+Effective!$D$32)^BI$6)</f>
        <v/>
      </c>
      <c r="BJ16" s="25">
        <f>IF(OR(BJ$4=0,SUM(Effective!$F$32:$Q$32)&lt;=0),0,Effective!$C$32*INDEX(Effective!$F$32:$Q$32,1,BJ$5)/SUM(Effective!$F$32:$Q$32)*(1+Effective!$D$32)^BJ$6)</f>
        <v/>
      </c>
      <c r="BK16" s="25">
        <f>IF(OR(BK$4=0,SUM(Effective!$F$32:$Q$32)&lt;=0),0,Effective!$C$32*INDEX(Effective!$F$32:$Q$32,1,BK$5)/SUM(Effective!$F$32:$Q$32)*(1+Effective!$D$32)^BK$6)</f>
        <v/>
      </c>
      <c r="BL16" s="25">
        <f>IF(OR(BL$4=0,SUM(Effective!$F$32:$Q$32)&lt;=0),0,Effective!$C$32*INDEX(Effective!$F$32:$Q$32,1,BL$5)/SUM(Effective!$F$32:$Q$32)*(1+Effective!$D$32)^BL$6)</f>
        <v/>
      </c>
      <c r="BM16" s="25">
        <f>IF(OR(BM$4=0,SUM(Effective!$F$32:$Q$32)&lt;=0),0,Effective!$C$32*INDEX(Effective!$F$32:$Q$32,1,BM$5)/SUM(Effective!$F$32:$Q$32)*(1+Effective!$D$32)^BM$6)</f>
        <v/>
      </c>
      <c r="BN16" s="25">
        <f>IF(OR(BN$4=0,SUM(Effective!$F$32:$Q$32)&lt;=0),0,Effective!$C$32*INDEX(Effective!$F$32:$Q$32,1,BN$5)/SUM(Effective!$F$32:$Q$32)*(1+Effective!$D$32)^BN$6)</f>
        <v/>
      </c>
      <c r="BO16" s="25">
        <f>IF(OR(BO$4=0,SUM(Effective!$F$32:$Q$32)&lt;=0),0,Effective!$C$32*INDEX(Effective!$F$32:$Q$32,1,BO$5)/SUM(Effective!$F$32:$Q$32)*(1+Effective!$D$32)^BO$6)</f>
        <v/>
      </c>
      <c r="BP16" s="25">
        <f>IF(OR(BP$4=0,SUM(Effective!$F$32:$Q$32)&lt;=0),0,Effective!$C$32*INDEX(Effective!$F$32:$Q$32,1,BP$5)/SUM(Effective!$F$32:$Q$32)*(1+Effective!$D$32)^BP$6)</f>
        <v/>
      </c>
      <c r="BQ16" s="25">
        <f>IF(OR(BQ$4=0,SUM(Effective!$F$32:$Q$32)&lt;=0),0,Effective!$C$32*INDEX(Effective!$F$32:$Q$32,1,BQ$5)/SUM(Effective!$F$32:$Q$32)*(1+Effective!$D$32)^BQ$6)</f>
        <v/>
      </c>
      <c r="BR16" s="25">
        <f>IF(OR(BR$4=0,SUM(Effective!$F$32:$Q$32)&lt;=0),0,Effective!$C$32*INDEX(Effective!$F$32:$Q$32,1,BR$5)/SUM(Effective!$F$32:$Q$32)*(1+Effective!$D$32)^BR$6)</f>
        <v/>
      </c>
      <c r="BS16" s="25">
        <f>IF(OR(BS$4=0,SUM(Effective!$F$32:$Q$32)&lt;=0),0,Effective!$C$32*INDEX(Effective!$F$32:$Q$32,1,BS$5)/SUM(Effective!$F$32:$Q$32)*(1+Effective!$D$32)^BS$6)</f>
        <v/>
      </c>
      <c r="BT16" s="25">
        <f>IF(OR(BT$4=0,SUM(Effective!$F$32:$Q$32)&lt;=0),0,Effective!$C$32*INDEX(Effective!$F$32:$Q$32,1,BT$5)/SUM(Effective!$F$32:$Q$32)*(1+Effective!$D$32)^BT$6)</f>
        <v/>
      </c>
      <c r="BU16" s="25">
        <f>IF(OR(BU$4=0,SUM(Effective!$F$32:$Q$32)&lt;=0),0,Effective!$C$32*INDEX(Effective!$F$32:$Q$32,1,BU$5)/SUM(Effective!$F$32:$Q$32)*(1+Effective!$D$32)^BU$6)</f>
        <v/>
      </c>
      <c r="BV16" s="25">
        <f>IF(OR(BV$4=0,SUM(Effective!$F$32:$Q$32)&lt;=0),0,Effective!$C$32*INDEX(Effective!$F$32:$Q$32,1,BV$5)/SUM(Effective!$F$32:$Q$32)*(1+Effective!$D$32)^BV$6)</f>
        <v/>
      </c>
      <c r="BW16" s="25">
        <f>IF(OR(BW$4=0,SUM(Effective!$F$32:$Q$32)&lt;=0),0,Effective!$C$32*INDEX(Effective!$F$32:$Q$32,1,BW$5)/SUM(Effective!$F$32:$Q$32)*(1+Effective!$D$32)^BW$6)</f>
        <v/>
      </c>
      <c r="BX16" s="25">
        <f>IF(OR(BX$4=0,SUM(Effective!$F$32:$Q$32)&lt;=0),0,Effective!$C$32*INDEX(Effective!$F$32:$Q$32,1,BX$5)/SUM(Effective!$F$32:$Q$32)*(1+Effective!$D$32)^BX$6)</f>
        <v/>
      </c>
      <c r="BY16" s="25">
        <f>IF(OR(BY$4=0,SUM(Effective!$F$32:$Q$32)&lt;=0),0,Effective!$C$32*INDEX(Effective!$F$32:$Q$32,1,BY$5)/SUM(Effective!$F$32:$Q$32)*(1+Effective!$D$32)^BY$6)</f>
        <v/>
      </c>
      <c r="BZ16" s="25">
        <f>IF(OR(BZ$4=0,SUM(Effective!$F$32:$Q$32)&lt;=0),0,Effective!$C$32*INDEX(Effective!$F$32:$Q$32,1,BZ$5)/SUM(Effective!$F$32:$Q$32)*(1+Effective!$D$32)^BZ$6)</f>
        <v/>
      </c>
      <c r="CA16" s="25">
        <f>IF(OR(CA$4=0,SUM(Effective!$F$32:$Q$32)&lt;=0),0,Effective!$C$32*INDEX(Effective!$F$32:$Q$32,1,CA$5)/SUM(Effective!$F$32:$Q$32)*(1+Effective!$D$32)^CA$6)</f>
        <v/>
      </c>
      <c r="CB16" s="25">
        <f>IF(OR(CB$4=0,SUM(Effective!$F$32:$Q$32)&lt;=0),0,Effective!$C$32*INDEX(Effective!$F$32:$Q$32,1,CB$5)/SUM(Effective!$F$32:$Q$32)*(1+Effective!$D$32)^CB$6)</f>
        <v/>
      </c>
      <c r="CC16" s="25">
        <f>IF(OR(CC$4=0,SUM(Effective!$F$32:$Q$32)&lt;=0),0,Effective!$C$32*INDEX(Effective!$F$32:$Q$32,1,CC$5)/SUM(Effective!$F$32:$Q$32)*(1+Effective!$D$32)^CC$6)</f>
        <v/>
      </c>
      <c r="CD16" s="25">
        <f>IF(OR(CD$4=0,SUM(Effective!$F$32:$Q$32)&lt;=0),0,Effective!$C$32*INDEX(Effective!$F$32:$Q$32,1,CD$5)/SUM(Effective!$F$32:$Q$32)*(1+Effective!$D$32)^CD$6)</f>
        <v/>
      </c>
      <c r="CE16" s="25">
        <f>IF(OR(CE$4=0,SUM(Effective!$F$32:$Q$32)&lt;=0),0,Effective!$C$32*INDEX(Effective!$F$32:$Q$32,1,CE$5)/SUM(Effective!$F$32:$Q$32)*(1+Effective!$D$32)^CE$6)</f>
        <v/>
      </c>
      <c r="CF16" s="25">
        <f>IF(OR(CF$4=0,SUM(Effective!$F$32:$Q$32)&lt;=0),0,Effective!$C$32*INDEX(Effective!$F$32:$Q$32,1,CF$5)/SUM(Effective!$F$32:$Q$32)*(1+Effective!$D$32)^CF$6)</f>
        <v/>
      </c>
      <c r="CG16" s="25">
        <f>IF(OR(CG$4=0,SUM(Effective!$F$32:$Q$32)&lt;=0),0,Effective!$C$32*INDEX(Effective!$F$32:$Q$32,1,CG$5)/SUM(Effective!$F$32:$Q$32)*(1+Effective!$D$32)^CG$6)</f>
        <v/>
      </c>
      <c r="CH16" s="25">
        <f>IF(OR(CH$4=0,SUM(Effective!$F$32:$Q$32)&lt;=0),0,Effective!$C$32*INDEX(Effective!$F$32:$Q$32,1,CH$5)/SUM(Effective!$F$32:$Q$32)*(1+Effective!$D$32)^CH$6)</f>
        <v/>
      </c>
      <c r="CI16" s="25">
        <f>IF(OR(CI$4=0,SUM(Effective!$F$32:$Q$32)&lt;=0),0,Effective!$C$32*INDEX(Effective!$F$32:$Q$32,1,CI$5)/SUM(Effective!$F$32:$Q$32)*(1+Effective!$D$32)^CI$6)</f>
        <v/>
      </c>
      <c r="CJ16" s="25">
        <f>IF(OR(CJ$4=0,SUM(Effective!$F$32:$Q$32)&lt;=0),0,Effective!$C$32*INDEX(Effective!$F$32:$Q$32,1,CJ$5)/SUM(Effective!$F$32:$Q$32)*(1+Effective!$D$32)^CJ$6)</f>
        <v/>
      </c>
      <c r="CK16" s="25">
        <f>IF(OR(CK$4=0,SUM(Effective!$F$32:$Q$32)&lt;=0),0,Effective!$C$32*INDEX(Effective!$F$32:$Q$32,1,CK$5)/SUM(Effective!$F$32:$Q$32)*(1+Effective!$D$32)^CK$6)</f>
        <v/>
      </c>
      <c r="CL16" s="25">
        <f>IF(OR(CL$4=0,SUM(Effective!$F$32:$Q$32)&lt;=0),0,Effective!$C$32*INDEX(Effective!$F$32:$Q$32,1,CL$5)/SUM(Effective!$F$32:$Q$32)*(1+Effective!$D$32)^CL$6)</f>
        <v/>
      </c>
      <c r="CM16" s="25">
        <f>IF(OR(CM$4=0,SUM(Effective!$F$32:$Q$32)&lt;=0),0,Effective!$C$32*INDEX(Effective!$F$32:$Q$32,1,CM$5)/SUM(Effective!$F$32:$Q$32)*(1+Effective!$D$32)^CM$6)</f>
        <v/>
      </c>
      <c r="CN16" s="25">
        <f>IF(OR(CN$4=0,SUM(Effective!$F$32:$Q$32)&lt;=0),0,Effective!$C$32*INDEX(Effective!$F$32:$Q$32,1,CN$5)/SUM(Effective!$F$32:$Q$32)*(1+Effective!$D$32)^CN$6)</f>
        <v/>
      </c>
      <c r="CO16" s="25">
        <f>IF(OR(CO$4=0,SUM(Effective!$F$32:$Q$32)&lt;=0),0,Effective!$C$32*INDEX(Effective!$F$32:$Q$32,1,CO$5)/SUM(Effective!$F$32:$Q$32)*(1+Effective!$D$32)^CO$6)</f>
        <v/>
      </c>
      <c r="CP16" s="25">
        <f>IF(OR(CP$4=0,SUM(Effective!$F$32:$Q$32)&lt;=0),0,Effective!$C$32*INDEX(Effective!$F$32:$Q$32,1,CP$5)/SUM(Effective!$F$32:$Q$32)*(1+Effective!$D$32)^CP$6)</f>
        <v/>
      </c>
      <c r="CQ16" s="25">
        <f>IF(OR(CQ$4=0,SUM(Effective!$F$32:$Q$32)&lt;=0),0,Effective!$C$32*INDEX(Effective!$F$32:$Q$32,1,CQ$5)/SUM(Effective!$F$32:$Q$32)*(1+Effective!$D$32)^CQ$6)</f>
        <v/>
      </c>
      <c r="CR16" s="25">
        <f>IF(OR(CR$4=0,SUM(Effective!$F$32:$Q$32)&lt;=0),0,Effective!$C$32*INDEX(Effective!$F$32:$Q$32,1,CR$5)/SUM(Effective!$F$32:$Q$32)*(1+Effective!$D$32)^CR$6)</f>
        <v/>
      </c>
      <c r="CS16" s="25">
        <f>IF(OR(CS$4=0,SUM(Effective!$F$32:$Q$32)&lt;=0),0,Effective!$C$32*INDEX(Effective!$F$32:$Q$32,1,CS$5)/SUM(Effective!$F$32:$Q$32)*(1+Effective!$D$32)^CS$6)</f>
        <v/>
      </c>
      <c r="CT16" s="25">
        <f>IF(OR(CT$4=0,SUM(Effective!$F$32:$Q$32)&lt;=0),0,Effective!$C$32*INDEX(Effective!$F$32:$Q$32,1,CT$5)/SUM(Effective!$F$32:$Q$32)*(1+Effective!$D$32)^CT$6)</f>
        <v/>
      </c>
      <c r="CU16" s="25">
        <f>IF(OR(CU$4=0,SUM(Effective!$F$32:$Q$32)&lt;=0),0,Effective!$C$32*INDEX(Effective!$F$32:$Q$32,1,CU$5)/SUM(Effective!$F$32:$Q$32)*(1+Effective!$D$32)^CU$6)</f>
        <v/>
      </c>
      <c r="CV16" s="25">
        <f>IF(OR(CV$4=0,SUM(Effective!$F$32:$Q$32)&lt;=0),0,Effective!$C$32*INDEX(Effective!$F$32:$Q$32,1,CV$5)/SUM(Effective!$F$32:$Q$32)*(1+Effective!$D$32)^CV$6)</f>
        <v/>
      </c>
      <c r="CW16" s="25">
        <f>IF(OR(CW$4=0,SUM(Effective!$F$32:$Q$32)&lt;=0),0,Effective!$C$32*INDEX(Effective!$F$32:$Q$32,1,CW$5)/SUM(Effective!$F$32:$Q$32)*(1+Effective!$D$32)^CW$6)</f>
        <v/>
      </c>
      <c r="CX16" s="25">
        <f>IF(OR(CX$4=0,SUM(Effective!$F$32:$Q$32)&lt;=0),0,Effective!$C$32*INDEX(Effective!$F$32:$Q$32,1,CX$5)/SUM(Effective!$F$32:$Q$32)*(1+Effective!$D$32)^CX$6)</f>
        <v/>
      </c>
      <c r="CY16" s="25">
        <f>IF(OR(CY$4=0,SUM(Effective!$F$32:$Q$32)&lt;=0),0,Effective!$C$32*INDEX(Effective!$F$32:$Q$32,1,CY$5)/SUM(Effective!$F$32:$Q$32)*(1+Effective!$D$32)^CY$6)</f>
        <v/>
      </c>
      <c r="CZ16" s="25">
        <f>IF(OR(CZ$4=0,SUM(Effective!$F$32:$Q$32)&lt;=0),0,Effective!$C$32*INDEX(Effective!$F$32:$Q$32,1,CZ$5)/SUM(Effective!$F$32:$Q$32)*(1+Effective!$D$32)^CZ$6)</f>
        <v/>
      </c>
      <c r="DA16" s="25">
        <f>IF(OR(DA$4=0,SUM(Effective!$F$32:$Q$32)&lt;=0),0,Effective!$C$32*INDEX(Effective!$F$32:$Q$32,1,DA$5)/SUM(Effective!$F$32:$Q$32)*(1+Effective!$D$32)^DA$6)</f>
        <v/>
      </c>
      <c r="DB16" s="25">
        <f>IF(OR(DB$4=0,SUM(Effective!$F$32:$Q$32)&lt;=0),0,Effective!$C$32*INDEX(Effective!$F$32:$Q$32,1,DB$5)/SUM(Effective!$F$32:$Q$32)*(1+Effective!$D$32)^DB$6)</f>
        <v/>
      </c>
      <c r="DC16" s="25">
        <f>IF(OR(DC$4=0,SUM(Effective!$F$32:$Q$32)&lt;=0),0,Effective!$C$32*INDEX(Effective!$F$32:$Q$32,1,DC$5)/SUM(Effective!$F$32:$Q$32)*(1+Effective!$D$32)^DC$6)</f>
        <v/>
      </c>
      <c r="DD16" s="25">
        <f>IF(OR(DD$4=0,SUM(Effective!$F$32:$Q$32)&lt;=0),0,Effective!$C$32*INDEX(Effective!$F$32:$Q$32,1,DD$5)/SUM(Effective!$F$32:$Q$32)*(1+Effective!$D$32)^DD$6)</f>
        <v/>
      </c>
      <c r="DE16" s="25">
        <f>IF(OR(DE$4=0,SUM(Effective!$F$32:$Q$32)&lt;=0),0,Effective!$C$32*INDEX(Effective!$F$32:$Q$32,1,DE$5)/SUM(Effective!$F$32:$Q$32)*(1+Effective!$D$32)^DE$6)</f>
        <v/>
      </c>
      <c r="DF16" s="25">
        <f>IF(OR(DF$4=0,SUM(Effective!$F$32:$Q$32)&lt;=0),0,Effective!$C$32*INDEX(Effective!$F$32:$Q$32,1,DF$5)/SUM(Effective!$F$32:$Q$32)*(1+Effective!$D$32)^DF$6)</f>
        <v/>
      </c>
      <c r="DG16" s="25">
        <f>IF(OR(DG$4=0,SUM(Effective!$F$32:$Q$32)&lt;=0),0,Effective!$C$32*INDEX(Effective!$F$32:$Q$32,1,DG$5)/SUM(Effective!$F$32:$Q$32)*(1+Effective!$D$32)^DG$6)</f>
        <v/>
      </c>
      <c r="DH16" s="25">
        <f>IF(OR(DH$4=0,SUM(Effective!$F$32:$Q$32)&lt;=0),0,Effective!$C$32*INDEX(Effective!$F$32:$Q$32,1,DH$5)/SUM(Effective!$F$32:$Q$32)*(1+Effective!$D$32)^DH$6)</f>
        <v/>
      </c>
      <c r="DI16" s="25">
        <f>IF(OR(DI$4=0,SUM(Effective!$F$32:$Q$32)&lt;=0),0,Effective!$C$32*INDEX(Effective!$F$32:$Q$32,1,DI$5)/SUM(Effective!$F$32:$Q$32)*(1+Effective!$D$32)^DI$6)</f>
        <v/>
      </c>
      <c r="DJ16" s="25">
        <f>IF(OR(DJ$4=0,SUM(Effective!$F$32:$Q$32)&lt;=0),0,Effective!$C$32*INDEX(Effective!$F$32:$Q$32,1,DJ$5)/SUM(Effective!$F$32:$Q$32)*(1+Effective!$D$32)^DJ$6)</f>
        <v/>
      </c>
      <c r="DK16" s="25">
        <f>IF(OR(DK$4=0,SUM(Effective!$F$32:$Q$32)&lt;=0),0,Effective!$C$32*INDEX(Effective!$F$32:$Q$32,1,DK$5)/SUM(Effective!$F$32:$Q$32)*(1+Effective!$D$32)^DK$6)</f>
        <v/>
      </c>
      <c r="DL16" s="25">
        <f>IF(OR(DL$4=0,SUM(Effective!$F$32:$Q$32)&lt;=0),0,Effective!$C$32*INDEX(Effective!$F$32:$Q$32,1,DL$5)/SUM(Effective!$F$32:$Q$32)*(1+Effective!$D$32)^DL$6)</f>
        <v/>
      </c>
      <c r="DM16" s="25">
        <f>IF(OR(DM$4=0,SUM(Effective!$F$32:$Q$32)&lt;=0),0,Effective!$C$32*INDEX(Effective!$F$32:$Q$32,1,DM$5)/SUM(Effective!$F$32:$Q$32)*(1+Effective!$D$32)^DM$6)</f>
        <v/>
      </c>
      <c r="DN16" s="25">
        <f>IF(OR(DN$4=0,SUM(Effective!$F$32:$Q$32)&lt;=0),0,Effective!$C$32*INDEX(Effective!$F$32:$Q$32,1,DN$5)/SUM(Effective!$F$32:$Q$32)*(1+Effective!$D$32)^DN$6)</f>
        <v/>
      </c>
      <c r="DO16" s="25">
        <f>IF(OR(DO$4=0,SUM(Effective!$F$32:$Q$32)&lt;=0),0,Effective!$C$32*INDEX(Effective!$F$32:$Q$32,1,DO$5)/SUM(Effective!$F$32:$Q$32)*(1+Effective!$D$32)^DO$6)</f>
        <v/>
      </c>
      <c r="DP16" s="25">
        <f>IF(OR(DP$4=0,SUM(Effective!$F$32:$Q$32)&lt;=0),0,Effective!$C$32*INDEX(Effective!$F$32:$Q$32,1,DP$5)/SUM(Effective!$F$32:$Q$32)*(1+Effective!$D$32)^DP$6)</f>
        <v/>
      </c>
      <c r="DQ16" s="25">
        <f>IF(OR(DQ$4=0,SUM(Effective!$F$32:$Q$32)&lt;=0),0,Effective!$C$32*INDEX(Effective!$F$32:$Q$32,1,DQ$5)/SUM(Effective!$F$32:$Q$32)*(1+Effective!$D$32)^DQ$6)</f>
        <v/>
      </c>
      <c r="DR16" s="25">
        <f>IF(OR(DR$4=0,SUM(Effective!$F$32:$Q$32)&lt;=0),0,Effective!$C$32*INDEX(Effective!$F$32:$Q$32,1,DR$5)/SUM(Effective!$F$32:$Q$32)*(1+Effective!$D$32)^DR$6)</f>
        <v/>
      </c>
    </row>
    <row r="17">
      <c r="A17" t="inlineStr">
        <is>
          <t>revenue_ch8</t>
        </is>
      </c>
      <c r="B17" t="inlineStr">
        <is>
          <t>channel idx 7</t>
        </is>
      </c>
      <c r="C17" s="25">
        <f>IF(OR(C$4=0,SUM(Effective!$F$33:$Q$33)&lt;=0),0,Effective!$C$33*INDEX(Effective!$F$33:$Q$33,1,C$5)/SUM(Effective!$F$33:$Q$33)*(1+Effective!$D$33)^C$6)</f>
        <v/>
      </c>
      <c r="D17" s="25">
        <f>IF(OR(D$4=0,SUM(Effective!$F$33:$Q$33)&lt;=0),0,Effective!$C$33*INDEX(Effective!$F$33:$Q$33,1,D$5)/SUM(Effective!$F$33:$Q$33)*(1+Effective!$D$33)^D$6)</f>
        <v/>
      </c>
      <c r="E17" s="25">
        <f>IF(OR(E$4=0,SUM(Effective!$F$33:$Q$33)&lt;=0),0,Effective!$C$33*INDEX(Effective!$F$33:$Q$33,1,E$5)/SUM(Effective!$F$33:$Q$33)*(1+Effective!$D$33)^E$6)</f>
        <v/>
      </c>
      <c r="F17" s="25">
        <f>IF(OR(F$4=0,SUM(Effective!$F$33:$Q$33)&lt;=0),0,Effective!$C$33*INDEX(Effective!$F$33:$Q$33,1,F$5)/SUM(Effective!$F$33:$Q$33)*(1+Effective!$D$33)^F$6)</f>
        <v/>
      </c>
      <c r="G17" s="25">
        <f>IF(OR(G$4=0,SUM(Effective!$F$33:$Q$33)&lt;=0),0,Effective!$C$33*INDEX(Effective!$F$33:$Q$33,1,G$5)/SUM(Effective!$F$33:$Q$33)*(1+Effective!$D$33)^G$6)</f>
        <v/>
      </c>
      <c r="H17" s="25">
        <f>IF(OR(H$4=0,SUM(Effective!$F$33:$Q$33)&lt;=0),0,Effective!$C$33*INDEX(Effective!$F$33:$Q$33,1,H$5)/SUM(Effective!$F$33:$Q$33)*(1+Effective!$D$33)^H$6)</f>
        <v/>
      </c>
      <c r="I17" s="25">
        <f>IF(OR(I$4=0,SUM(Effective!$F$33:$Q$33)&lt;=0),0,Effective!$C$33*INDEX(Effective!$F$33:$Q$33,1,I$5)/SUM(Effective!$F$33:$Q$33)*(1+Effective!$D$33)^I$6)</f>
        <v/>
      </c>
      <c r="J17" s="25">
        <f>IF(OR(J$4=0,SUM(Effective!$F$33:$Q$33)&lt;=0),0,Effective!$C$33*INDEX(Effective!$F$33:$Q$33,1,J$5)/SUM(Effective!$F$33:$Q$33)*(1+Effective!$D$33)^J$6)</f>
        <v/>
      </c>
      <c r="K17" s="25">
        <f>IF(OR(K$4=0,SUM(Effective!$F$33:$Q$33)&lt;=0),0,Effective!$C$33*INDEX(Effective!$F$33:$Q$33,1,K$5)/SUM(Effective!$F$33:$Q$33)*(1+Effective!$D$33)^K$6)</f>
        <v/>
      </c>
      <c r="L17" s="25">
        <f>IF(OR(L$4=0,SUM(Effective!$F$33:$Q$33)&lt;=0),0,Effective!$C$33*INDEX(Effective!$F$33:$Q$33,1,L$5)/SUM(Effective!$F$33:$Q$33)*(1+Effective!$D$33)^L$6)</f>
        <v/>
      </c>
      <c r="M17" s="25">
        <f>IF(OR(M$4=0,SUM(Effective!$F$33:$Q$33)&lt;=0),0,Effective!$C$33*INDEX(Effective!$F$33:$Q$33,1,M$5)/SUM(Effective!$F$33:$Q$33)*(1+Effective!$D$33)^M$6)</f>
        <v/>
      </c>
      <c r="N17" s="25">
        <f>IF(OR(N$4=0,SUM(Effective!$F$33:$Q$33)&lt;=0),0,Effective!$C$33*INDEX(Effective!$F$33:$Q$33,1,N$5)/SUM(Effective!$F$33:$Q$33)*(1+Effective!$D$33)^N$6)</f>
        <v/>
      </c>
      <c r="O17" s="25">
        <f>IF(OR(O$4=0,SUM(Effective!$F$33:$Q$33)&lt;=0),0,Effective!$C$33*INDEX(Effective!$F$33:$Q$33,1,O$5)/SUM(Effective!$F$33:$Q$33)*(1+Effective!$D$33)^O$6)</f>
        <v/>
      </c>
      <c r="P17" s="25">
        <f>IF(OR(P$4=0,SUM(Effective!$F$33:$Q$33)&lt;=0),0,Effective!$C$33*INDEX(Effective!$F$33:$Q$33,1,P$5)/SUM(Effective!$F$33:$Q$33)*(1+Effective!$D$33)^P$6)</f>
        <v/>
      </c>
      <c r="Q17" s="25">
        <f>IF(OR(Q$4=0,SUM(Effective!$F$33:$Q$33)&lt;=0),0,Effective!$C$33*INDEX(Effective!$F$33:$Q$33,1,Q$5)/SUM(Effective!$F$33:$Q$33)*(1+Effective!$D$33)^Q$6)</f>
        <v/>
      </c>
      <c r="R17" s="25">
        <f>IF(OR(R$4=0,SUM(Effective!$F$33:$Q$33)&lt;=0),0,Effective!$C$33*INDEX(Effective!$F$33:$Q$33,1,R$5)/SUM(Effective!$F$33:$Q$33)*(1+Effective!$D$33)^R$6)</f>
        <v/>
      </c>
      <c r="S17" s="25">
        <f>IF(OR(S$4=0,SUM(Effective!$F$33:$Q$33)&lt;=0),0,Effective!$C$33*INDEX(Effective!$F$33:$Q$33,1,S$5)/SUM(Effective!$F$33:$Q$33)*(1+Effective!$D$33)^S$6)</f>
        <v/>
      </c>
      <c r="T17" s="25">
        <f>IF(OR(T$4=0,SUM(Effective!$F$33:$Q$33)&lt;=0),0,Effective!$C$33*INDEX(Effective!$F$33:$Q$33,1,T$5)/SUM(Effective!$F$33:$Q$33)*(1+Effective!$D$33)^T$6)</f>
        <v/>
      </c>
      <c r="U17" s="25">
        <f>IF(OR(U$4=0,SUM(Effective!$F$33:$Q$33)&lt;=0),0,Effective!$C$33*INDEX(Effective!$F$33:$Q$33,1,U$5)/SUM(Effective!$F$33:$Q$33)*(1+Effective!$D$33)^U$6)</f>
        <v/>
      </c>
      <c r="V17" s="25">
        <f>IF(OR(V$4=0,SUM(Effective!$F$33:$Q$33)&lt;=0),0,Effective!$C$33*INDEX(Effective!$F$33:$Q$33,1,V$5)/SUM(Effective!$F$33:$Q$33)*(1+Effective!$D$33)^V$6)</f>
        <v/>
      </c>
      <c r="W17" s="25">
        <f>IF(OR(W$4=0,SUM(Effective!$F$33:$Q$33)&lt;=0),0,Effective!$C$33*INDEX(Effective!$F$33:$Q$33,1,W$5)/SUM(Effective!$F$33:$Q$33)*(1+Effective!$D$33)^W$6)</f>
        <v/>
      </c>
      <c r="X17" s="25">
        <f>IF(OR(X$4=0,SUM(Effective!$F$33:$Q$33)&lt;=0),0,Effective!$C$33*INDEX(Effective!$F$33:$Q$33,1,X$5)/SUM(Effective!$F$33:$Q$33)*(1+Effective!$D$33)^X$6)</f>
        <v/>
      </c>
      <c r="Y17" s="25">
        <f>IF(OR(Y$4=0,SUM(Effective!$F$33:$Q$33)&lt;=0),0,Effective!$C$33*INDEX(Effective!$F$33:$Q$33,1,Y$5)/SUM(Effective!$F$33:$Q$33)*(1+Effective!$D$33)^Y$6)</f>
        <v/>
      </c>
      <c r="Z17" s="25">
        <f>IF(OR(Z$4=0,SUM(Effective!$F$33:$Q$33)&lt;=0),0,Effective!$C$33*INDEX(Effective!$F$33:$Q$33,1,Z$5)/SUM(Effective!$F$33:$Q$33)*(1+Effective!$D$33)^Z$6)</f>
        <v/>
      </c>
      <c r="AA17" s="25">
        <f>IF(OR(AA$4=0,SUM(Effective!$F$33:$Q$33)&lt;=0),0,Effective!$C$33*INDEX(Effective!$F$33:$Q$33,1,AA$5)/SUM(Effective!$F$33:$Q$33)*(1+Effective!$D$33)^AA$6)</f>
        <v/>
      </c>
      <c r="AB17" s="25">
        <f>IF(OR(AB$4=0,SUM(Effective!$F$33:$Q$33)&lt;=0),0,Effective!$C$33*INDEX(Effective!$F$33:$Q$33,1,AB$5)/SUM(Effective!$F$33:$Q$33)*(1+Effective!$D$33)^AB$6)</f>
        <v/>
      </c>
      <c r="AC17" s="25">
        <f>IF(OR(AC$4=0,SUM(Effective!$F$33:$Q$33)&lt;=0),0,Effective!$C$33*INDEX(Effective!$F$33:$Q$33,1,AC$5)/SUM(Effective!$F$33:$Q$33)*(1+Effective!$D$33)^AC$6)</f>
        <v/>
      </c>
      <c r="AD17" s="25">
        <f>IF(OR(AD$4=0,SUM(Effective!$F$33:$Q$33)&lt;=0),0,Effective!$C$33*INDEX(Effective!$F$33:$Q$33,1,AD$5)/SUM(Effective!$F$33:$Q$33)*(1+Effective!$D$33)^AD$6)</f>
        <v/>
      </c>
      <c r="AE17" s="25">
        <f>IF(OR(AE$4=0,SUM(Effective!$F$33:$Q$33)&lt;=0),0,Effective!$C$33*INDEX(Effective!$F$33:$Q$33,1,AE$5)/SUM(Effective!$F$33:$Q$33)*(1+Effective!$D$33)^AE$6)</f>
        <v/>
      </c>
      <c r="AF17" s="25">
        <f>IF(OR(AF$4=0,SUM(Effective!$F$33:$Q$33)&lt;=0),0,Effective!$C$33*INDEX(Effective!$F$33:$Q$33,1,AF$5)/SUM(Effective!$F$33:$Q$33)*(1+Effective!$D$33)^AF$6)</f>
        <v/>
      </c>
      <c r="AG17" s="25">
        <f>IF(OR(AG$4=0,SUM(Effective!$F$33:$Q$33)&lt;=0),0,Effective!$C$33*INDEX(Effective!$F$33:$Q$33,1,AG$5)/SUM(Effective!$F$33:$Q$33)*(1+Effective!$D$33)^AG$6)</f>
        <v/>
      </c>
      <c r="AH17" s="25">
        <f>IF(OR(AH$4=0,SUM(Effective!$F$33:$Q$33)&lt;=0),0,Effective!$C$33*INDEX(Effective!$F$33:$Q$33,1,AH$5)/SUM(Effective!$F$33:$Q$33)*(1+Effective!$D$33)^AH$6)</f>
        <v/>
      </c>
      <c r="AI17" s="25">
        <f>IF(OR(AI$4=0,SUM(Effective!$F$33:$Q$33)&lt;=0),0,Effective!$C$33*INDEX(Effective!$F$33:$Q$33,1,AI$5)/SUM(Effective!$F$33:$Q$33)*(1+Effective!$D$33)^AI$6)</f>
        <v/>
      </c>
      <c r="AJ17" s="25">
        <f>IF(OR(AJ$4=0,SUM(Effective!$F$33:$Q$33)&lt;=0),0,Effective!$C$33*INDEX(Effective!$F$33:$Q$33,1,AJ$5)/SUM(Effective!$F$33:$Q$33)*(1+Effective!$D$33)^AJ$6)</f>
        <v/>
      </c>
      <c r="AK17" s="25">
        <f>IF(OR(AK$4=0,SUM(Effective!$F$33:$Q$33)&lt;=0),0,Effective!$C$33*INDEX(Effective!$F$33:$Q$33,1,AK$5)/SUM(Effective!$F$33:$Q$33)*(1+Effective!$D$33)^AK$6)</f>
        <v/>
      </c>
      <c r="AL17" s="25">
        <f>IF(OR(AL$4=0,SUM(Effective!$F$33:$Q$33)&lt;=0),0,Effective!$C$33*INDEX(Effective!$F$33:$Q$33,1,AL$5)/SUM(Effective!$F$33:$Q$33)*(1+Effective!$D$33)^AL$6)</f>
        <v/>
      </c>
      <c r="AM17" s="25">
        <f>IF(OR(AM$4=0,SUM(Effective!$F$33:$Q$33)&lt;=0),0,Effective!$C$33*INDEX(Effective!$F$33:$Q$33,1,AM$5)/SUM(Effective!$F$33:$Q$33)*(1+Effective!$D$33)^AM$6)</f>
        <v/>
      </c>
      <c r="AN17" s="25">
        <f>IF(OR(AN$4=0,SUM(Effective!$F$33:$Q$33)&lt;=0),0,Effective!$C$33*INDEX(Effective!$F$33:$Q$33,1,AN$5)/SUM(Effective!$F$33:$Q$33)*(1+Effective!$D$33)^AN$6)</f>
        <v/>
      </c>
      <c r="AO17" s="25">
        <f>IF(OR(AO$4=0,SUM(Effective!$F$33:$Q$33)&lt;=0),0,Effective!$C$33*INDEX(Effective!$F$33:$Q$33,1,AO$5)/SUM(Effective!$F$33:$Q$33)*(1+Effective!$D$33)^AO$6)</f>
        <v/>
      </c>
      <c r="AP17" s="25">
        <f>IF(OR(AP$4=0,SUM(Effective!$F$33:$Q$33)&lt;=0),0,Effective!$C$33*INDEX(Effective!$F$33:$Q$33,1,AP$5)/SUM(Effective!$F$33:$Q$33)*(1+Effective!$D$33)^AP$6)</f>
        <v/>
      </c>
      <c r="AQ17" s="25">
        <f>IF(OR(AQ$4=0,SUM(Effective!$F$33:$Q$33)&lt;=0),0,Effective!$C$33*INDEX(Effective!$F$33:$Q$33,1,AQ$5)/SUM(Effective!$F$33:$Q$33)*(1+Effective!$D$33)^AQ$6)</f>
        <v/>
      </c>
      <c r="AR17" s="25">
        <f>IF(OR(AR$4=0,SUM(Effective!$F$33:$Q$33)&lt;=0),0,Effective!$C$33*INDEX(Effective!$F$33:$Q$33,1,AR$5)/SUM(Effective!$F$33:$Q$33)*(1+Effective!$D$33)^AR$6)</f>
        <v/>
      </c>
      <c r="AS17" s="25">
        <f>IF(OR(AS$4=0,SUM(Effective!$F$33:$Q$33)&lt;=0),0,Effective!$C$33*INDEX(Effective!$F$33:$Q$33,1,AS$5)/SUM(Effective!$F$33:$Q$33)*(1+Effective!$D$33)^AS$6)</f>
        <v/>
      </c>
      <c r="AT17" s="25">
        <f>IF(OR(AT$4=0,SUM(Effective!$F$33:$Q$33)&lt;=0),0,Effective!$C$33*INDEX(Effective!$F$33:$Q$33,1,AT$5)/SUM(Effective!$F$33:$Q$33)*(1+Effective!$D$33)^AT$6)</f>
        <v/>
      </c>
      <c r="AU17" s="25">
        <f>IF(OR(AU$4=0,SUM(Effective!$F$33:$Q$33)&lt;=0),0,Effective!$C$33*INDEX(Effective!$F$33:$Q$33,1,AU$5)/SUM(Effective!$F$33:$Q$33)*(1+Effective!$D$33)^AU$6)</f>
        <v/>
      </c>
      <c r="AV17" s="25">
        <f>IF(OR(AV$4=0,SUM(Effective!$F$33:$Q$33)&lt;=0),0,Effective!$C$33*INDEX(Effective!$F$33:$Q$33,1,AV$5)/SUM(Effective!$F$33:$Q$33)*(1+Effective!$D$33)^AV$6)</f>
        <v/>
      </c>
      <c r="AW17" s="25">
        <f>IF(OR(AW$4=0,SUM(Effective!$F$33:$Q$33)&lt;=0),0,Effective!$C$33*INDEX(Effective!$F$33:$Q$33,1,AW$5)/SUM(Effective!$F$33:$Q$33)*(1+Effective!$D$33)^AW$6)</f>
        <v/>
      </c>
      <c r="AX17" s="25">
        <f>IF(OR(AX$4=0,SUM(Effective!$F$33:$Q$33)&lt;=0),0,Effective!$C$33*INDEX(Effective!$F$33:$Q$33,1,AX$5)/SUM(Effective!$F$33:$Q$33)*(1+Effective!$D$33)^AX$6)</f>
        <v/>
      </c>
      <c r="AY17" s="25">
        <f>IF(OR(AY$4=0,SUM(Effective!$F$33:$Q$33)&lt;=0),0,Effective!$C$33*INDEX(Effective!$F$33:$Q$33,1,AY$5)/SUM(Effective!$F$33:$Q$33)*(1+Effective!$D$33)^AY$6)</f>
        <v/>
      </c>
      <c r="AZ17" s="25">
        <f>IF(OR(AZ$4=0,SUM(Effective!$F$33:$Q$33)&lt;=0),0,Effective!$C$33*INDEX(Effective!$F$33:$Q$33,1,AZ$5)/SUM(Effective!$F$33:$Q$33)*(1+Effective!$D$33)^AZ$6)</f>
        <v/>
      </c>
      <c r="BA17" s="25">
        <f>IF(OR(BA$4=0,SUM(Effective!$F$33:$Q$33)&lt;=0),0,Effective!$C$33*INDEX(Effective!$F$33:$Q$33,1,BA$5)/SUM(Effective!$F$33:$Q$33)*(1+Effective!$D$33)^BA$6)</f>
        <v/>
      </c>
      <c r="BB17" s="25">
        <f>IF(OR(BB$4=0,SUM(Effective!$F$33:$Q$33)&lt;=0),0,Effective!$C$33*INDEX(Effective!$F$33:$Q$33,1,BB$5)/SUM(Effective!$F$33:$Q$33)*(1+Effective!$D$33)^BB$6)</f>
        <v/>
      </c>
      <c r="BC17" s="25">
        <f>IF(OR(BC$4=0,SUM(Effective!$F$33:$Q$33)&lt;=0),0,Effective!$C$33*INDEX(Effective!$F$33:$Q$33,1,BC$5)/SUM(Effective!$F$33:$Q$33)*(1+Effective!$D$33)^BC$6)</f>
        <v/>
      </c>
      <c r="BD17" s="25">
        <f>IF(OR(BD$4=0,SUM(Effective!$F$33:$Q$33)&lt;=0),0,Effective!$C$33*INDEX(Effective!$F$33:$Q$33,1,BD$5)/SUM(Effective!$F$33:$Q$33)*(1+Effective!$D$33)^BD$6)</f>
        <v/>
      </c>
      <c r="BE17" s="25">
        <f>IF(OR(BE$4=0,SUM(Effective!$F$33:$Q$33)&lt;=0),0,Effective!$C$33*INDEX(Effective!$F$33:$Q$33,1,BE$5)/SUM(Effective!$F$33:$Q$33)*(1+Effective!$D$33)^BE$6)</f>
        <v/>
      </c>
      <c r="BF17" s="25">
        <f>IF(OR(BF$4=0,SUM(Effective!$F$33:$Q$33)&lt;=0),0,Effective!$C$33*INDEX(Effective!$F$33:$Q$33,1,BF$5)/SUM(Effective!$F$33:$Q$33)*(1+Effective!$D$33)^BF$6)</f>
        <v/>
      </c>
      <c r="BG17" s="25">
        <f>IF(OR(BG$4=0,SUM(Effective!$F$33:$Q$33)&lt;=0),0,Effective!$C$33*INDEX(Effective!$F$33:$Q$33,1,BG$5)/SUM(Effective!$F$33:$Q$33)*(1+Effective!$D$33)^BG$6)</f>
        <v/>
      </c>
      <c r="BH17" s="25">
        <f>IF(OR(BH$4=0,SUM(Effective!$F$33:$Q$33)&lt;=0),0,Effective!$C$33*INDEX(Effective!$F$33:$Q$33,1,BH$5)/SUM(Effective!$F$33:$Q$33)*(1+Effective!$D$33)^BH$6)</f>
        <v/>
      </c>
      <c r="BI17" s="25">
        <f>IF(OR(BI$4=0,SUM(Effective!$F$33:$Q$33)&lt;=0),0,Effective!$C$33*INDEX(Effective!$F$33:$Q$33,1,BI$5)/SUM(Effective!$F$33:$Q$33)*(1+Effective!$D$33)^BI$6)</f>
        <v/>
      </c>
      <c r="BJ17" s="25">
        <f>IF(OR(BJ$4=0,SUM(Effective!$F$33:$Q$33)&lt;=0),0,Effective!$C$33*INDEX(Effective!$F$33:$Q$33,1,BJ$5)/SUM(Effective!$F$33:$Q$33)*(1+Effective!$D$33)^BJ$6)</f>
        <v/>
      </c>
      <c r="BK17" s="25">
        <f>IF(OR(BK$4=0,SUM(Effective!$F$33:$Q$33)&lt;=0),0,Effective!$C$33*INDEX(Effective!$F$33:$Q$33,1,BK$5)/SUM(Effective!$F$33:$Q$33)*(1+Effective!$D$33)^BK$6)</f>
        <v/>
      </c>
      <c r="BL17" s="25">
        <f>IF(OR(BL$4=0,SUM(Effective!$F$33:$Q$33)&lt;=0),0,Effective!$C$33*INDEX(Effective!$F$33:$Q$33,1,BL$5)/SUM(Effective!$F$33:$Q$33)*(1+Effective!$D$33)^BL$6)</f>
        <v/>
      </c>
      <c r="BM17" s="25">
        <f>IF(OR(BM$4=0,SUM(Effective!$F$33:$Q$33)&lt;=0),0,Effective!$C$33*INDEX(Effective!$F$33:$Q$33,1,BM$5)/SUM(Effective!$F$33:$Q$33)*(1+Effective!$D$33)^BM$6)</f>
        <v/>
      </c>
      <c r="BN17" s="25">
        <f>IF(OR(BN$4=0,SUM(Effective!$F$33:$Q$33)&lt;=0),0,Effective!$C$33*INDEX(Effective!$F$33:$Q$33,1,BN$5)/SUM(Effective!$F$33:$Q$33)*(1+Effective!$D$33)^BN$6)</f>
        <v/>
      </c>
      <c r="BO17" s="25">
        <f>IF(OR(BO$4=0,SUM(Effective!$F$33:$Q$33)&lt;=0),0,Effective!$C$33*INDEX(Effective!$F$33:$Q$33,1,BO$5)/SUM(Effective!$F$33:$Q$33)*(1+Effective!$D$33)^BO$6)</f>
        <v/>
      </c>
      <c r="BP17" s="25">
        <f>IF(OR(BP$4=0,SUM(Effective!$F$33:$Q$33)&lt;=0),0,Effective!$C$33*INDEX(Effective!$F$33:$Q$33,1,BP$5)/SUM(Effective!$F$33:$Q$33)*(1+Effective!$D$33)^BP$6)</f>
        <v/>
      </c>
      <c r="BQ17" s="25">
        <f>IF(OR(BQ$4=0,SUM(Effective!$F$33:$Q$33)&lt;=0),0,Effective!$C$33*INDEX(Effective!$F$33:$Q$33,1,BQ$5)/SUM(Effective!$F$33:$Q$33)*(1+Effective!$D$33)^BQ$6)</f>
        <v/>
      </c>
      <c r="BR17" s="25">
        <f>IF(OR(BR$4=0,SUM(Effective!$F$33:$Q$33)&lt;=0),0,Effective!$C$33*INDEX(Effective!$F$33:$Q$33,1,BR$5)/SUM(Effective!$F$33:$Q$33)*(1+Effective!$D$33)^BR$6)</f>
        <v/>
      </c>
      <c r="BS17" s="25">
        <f>IF(OR(BS$4=0,SUM(Effective!$F$33:$Q$33)&lt;=0),0,Effective!$C$33*INDEX(Effective!$F$33:$Q$33,1,BS$5)/SUM(Effective!$F$33:$Q$33)*(1+Effective!$D$33)^BS$6)</f>
        <v/>
      </c>
      <c r="BT17" s="25">
        <f>IF(OR(BT$4=0,SUM(Effective!$F$33:$Q$33)&lt;=0),0,Effective!$C$33*INDEX(Effective!$F$33:$Q$33,1,BT$5)/SUM(Effective!$F$33:$Q$33)*(1+Effective!$D$33)^BT$6)</f>
        <v/>
      </c>
      <c r="BU17" s="25">
        <f>IF(OR(BU$4=0,SUM(Effective!$F$33:$Q$33)&lt;=0),0,Effective!$C$33*INDEX(Effective!$F$33:$Q$33,1,BU$5)/SUM(Effective!$F$33:$Q$33)*(1+Effective!$D$33)^BU$6)</f>
        <v/>
      </c>
      <c r="BV17" s="25">
        <f>IF(OR(BV$4=0,SUM(Effective!$F$33:$Q$33)&lt;=0),0,Effective!$C$33*INDEX(Effective!$F$33:$Q$33,1,BV$5)/SUM(Effective!$F$33:$Q$33)*(1+Effective!$D$33)^BV$6)</f>
        <v/>
      </c>
      <c r="BW17" s="25">
        <f>IF(OR(BW$4=0,SUM(Effective!$F$33:$Q$33)&lt;=0),0,Effective!$C$33*INDEX(Effective!$F$33:$Q$33,1,BW$5)/SUM(Effective!$F$33:$Q$33)*(1+Effective!$D$33)^BW$6)</f>
        <v/>
      </c>
      <c r="BX17" s="25">
        <f>IF(OR(BX$4=0,SUM(Effective!$F$33:$Q$33)&lt;=0),0,Effective!$C$33*INDEX(Effective!$F$33:$Q$33,1,BX$5)/SUM(Effective!$F$33:$Q$33)*(1+Effective!$D$33)^BX$6)</f>
        <v/>
      </c>
      <c r="BY17" s="25">
        <f>IF(OR(BY$4=0,SUM(Effective!$F$33:$Q$33)&lt;=0),0,Effective!$C$33*INDEX(Effective!$F$33:$Q$33,1,BY$5)/SUM(Effective!$F$33:$Q$33)*(1+Effective!$D$33)^BY$6)</f>
        <v/>
      </c>
      <c r="BZ17" s="25">
        <f>IF(OR(BZ$4=0,SUM(Effective!$F$33:$Q$33)&lt;=0),0,Effective!$C$33*INDEX(Effective!$F$33:$Q$33,1,BZ$5)/SUM(Effective!$F$33:$Q$33)*(1+Effective!$D$33)^BZ$6)</f>
        <v/>
      </c>
      <c r="CA17" s="25">
        <f>IF(OR(CA$4=0,SUM(Effective!$F$33:$Q$33)&lt;=0),0,Effective!$C$33*INDEX(Effective!$F$33:$Q$33,1,CA$5)/SUM(Effective!$F$33:$Q$33)*(1+Effective!$D$33)^CA$6)</f>
        <v/>
      </c>
      <c r="CB17" s="25">
        <f>IF(OR(CB$4=0,SUM(Effective!$F$33:$Q$33)&lt;=0),0,Effective!$C$33*INDEX(Effective!$F$33:$Q$33,1,CB$5)/SUM(Effective!$F$33:$Q$33)*(1+Effective!$D$33)^CB$6)</f>
        <v/>
      </c>
      <c r="CC17" s="25">
        <f>IF(OR(CC$4=0,SUM(Effective!$F$33:$Q$33)&lt;=0),0,Effective!$C$33*INDEX(Effective!$F$33:$Q$33,1,CC$5)/SUM(Effective!$F$33:$Q$33)*(1+Effective!$D$33)^CC$6)</f>
        <v/>
      </c>
      <c r="CD17" s="25">
        <f>IF(OR(CD$4=0,SUM(Effective!$F$33:$Q$33)&lt;=0),0,Effective!$C$33*INDEX(Effective!$F$33:$Q$33,1,CD$5)/SUM(Effective!$F$33:$Q$33)*(1+Effective!$D$33)^CD$6)</f>
        <v/>
      </c>
      <c r="CE17" s="25">
        <f>IF(OR(CE$4=0,SUM(Effective!$F$33:$Q$33)&lt;=0),0,Effective!$C$33*INDEX(Effective!$F$33:$Q$33,1,CE$5)/SUM(Effective!$F$33:$Q$33)*(1+Effective!$D$33)^CE$6)</f>
        <v/>
      </c>
      <c r="CF17" s="25">
        <f>IF(OR(CF$4=0,SUM(Effective!$F$33:$Q$33)&lt;=0),0,Effective!$C$33*INDEX(Effective!$F$33:$Q$33,1,CF$5)/SUM(Effective!$F$33:$Q$33)*(1+Effective!$D$33)^CF$6)</f>
        <v/>
      </c>
      <c r="CG17" s="25">
        <f>IF(OR(CG$4=0,SUM(Effective!$F$33:$Q$33)&lt;=0),0,Effective!$C$33*INDEX(Effective!$F$33:$Q$33,1,CG$5)/SUM(Effective!$F$33:$Q$33)*(1+Effective!$D$33)^CG$6)</f>
        <v/>
      </c>
      <c r="CH17" s="25">
        <f>IF(OR(CH$4=0,SUM(Effective!$F$33:$Q$33)&lt;=0),0,Effective!$C$33*INDEX(Effective!$F$33:$Q$33,1,CH$5)/SUM(Effective!$F$33:$Q$33)*(1+Effective!$D$33)^CH$6)</f>
        <v/>
      </c>
      <c r="CI17" s="25">
        <f>IF(OR(CI$4=0,SUM(Effective!$F$33:$Q$33)&lt;=0),0,Effective!$C$33*INDEX(Effective!$F$33:$Q$33,1,CI$5)/SUM(Effective!$F$33:$Q$33)*(1+Effective!$D$33)^CI$6)</f>
        <v/>
      </c>
      <c r="CJ17" s="25">
        <f>IF(OR(CJ$4=0,SUM(Effective!$F$33:$Q$33)&lt;=0),0,Effective!$C$33*INDEX(Effective!$F$33:$Q$33,1,CJ$5)/SUM(Effective!$F$33:$Q$33)*(1+Effective!$D$33)^CJ$6)</f>
        <v/>
      </c>
      <c r="CK17" s="25">
        <f>IF(OR(CK$4=0,SUM(Effective!$F$33:$Q$33)&lt;=0),0,Effective!$C$33*INDEX(Effective!$F$33:$Q$33,1,CK$5)/SUM(Effective!$F$33:$Q$33)*(1+Effective!$D$33)^CK$6)</f>
        <v/>
      </c>
      <c r="CL17" s="25">
        <f>IF(OR(CL$4=0,SUM(Effective!$F$33:$Q$33)&lt;=0),0,Effective!$C$33*INDEX(Effective!$F$33:$Q$33,1,CL$5)/SUM(Effective!$F$33:$Q$33)*(1+Effective!$D$33)^CL$6)</f>
        <v/>
      </c>
      <c r="CM17" s="25">
        <f>IF(OR(CM$4=0,SUM(Effective!$F$33:$Q$33)&lt;=0),0,Effective!$C$33*INDEX(Effective!$F$33:$Q$33,1,CM$5)/SUM(Effective!$F$33:$Q$33)*(1+Effective!$D$33)^CM$6)</f>
        <v/>
      </c>
      <c r="CN17" s="25">
        <f>IF(OR(CN$4=0,SUM(Effective!$F$33:$Q$33)&lt;=0),0,Effective!$C$33*INDEX(Effective!$F$33:$Q$33,1,CN$5)/SUM(Effective!$F$33:$Q$33)*(1+Effective!$D$33)^CN$6)</f>
        <v/>
      </c>
      <c r="CO17" s="25">
        <f>IF(OR(CO$4=0,SUM(Effective!$F$33:$Q$33)&lt;=0),0,Effective!$C$33*INDEX(Effective!$F$33:$Q$33,1,CO$5)/SUM(Effective!$F$33:$Q$33)*(1+Effective!$D$33)^CO$6)</f>
        <v/>
      </c>
      <c r="CP17" s="25">
        <f>IF(OR(CP$4=0,SUM(Effective!$F$33:$Q$33)&lt;=0),0,Effective!$C$33*INDEX(Effective!$F$33:$Q$33,1,CP$5)/SUM(Effective!$F$33:$Q$33)*(1+Effective!$D$33)^CP$6)</f>
        <v/>
      </c>
      <c r="CQ17" s="25">
        <f>IF(OR(CQ$4=0,SUM(Effective!$F$33:$Q$33)&lt;=0),0,Effective!$C$33*INDEX(Effective!$F$33:$Q$33,1,CQ$5)/SUM(Effective!$F$33:$Q$33)*(1+Effective!$D$33)^CQ$6)</f>
        <v/>
      </c>
      <c r="CR17" s="25">
        <f>IF(OR(CR$4=0,SUM(Effective!$F$33:$Q$33)&lt;=0),0,Effective!$C$33*INDEX(Effective!$F$33:$Q$33,1,CR$5)/SUM(Effective!$F$33:$Q$33)*(1+Effective!$D$33)^CR$6)</f>
        <v/>
      </c>
      <c r="CS17" s="25">
        <f>IF(OR(CS$4=0,SUM(Effective!$F$33:$Q$33)&lt;=0),0,Effective!$C$33*INDEX(Effective!$F$33:$Q$33,1,CS$5)/SUM(Effective!$F$33:$Q$33)*(1+Effective!$D$33)^CS$6)</f>
        <v/>
      </c>
      <c r="CT17" s="25">
        <f>IF(OR(CT$4=0,SUM(Effective!$F$33:$Q$33)&lt;=0),0,Effective!$C$33*INDEX(Effective!$F$33:$Q$33,1,CT$5)/SUM(Effective!$F$33:$Q$33)*(1+Effective!$D$33)^CT$6)</f>
        <v/>
      </c>
      <c r="CU17" s="25">
        <f>IF(OR(CU$4=0,SUM(Effective!$F$33:$Q$33)&lt;=0),0,Effective!$C$33*INDEX(Effective!$F$33:$Q$33,1,CU$5)/SUM(Effective!$F$33:$Q$33)*(1+Effective!$D$33)^CU$6)</f>
        <v/>
      </c>
      <c r="CV17" s="25">
        <f>IF(OR(CV$4=0,SUM(Effective!$F$33:$Q$33)&lt;=0),0,Effective!$C$33*INDEX(Effective!$F$33:$Q$33,1,CV$5)/SUM(Effective!$F$33:$Q$33)*(1+Effective!$D$33)^CV$6)</f>
        <v/>
      </c>
      <c r="CW17" s="25">
        <f>IF(OR(CW$4=0,SUM(Effective!$F$33:$Q$33)&lt;=0),0,Effective!$C$33*INDEX(Effective!$F$33:$Q$33,1,CW$5)/SUM(Effective!$F$33:$Q$33)*(1+Effective!$D$33)^CW$6)</f>
        <v/>
      </c>
      <c r="CX17" s="25">
        <f>IF(OR(CX$4=0,SUM(Effective!$F$33:$Q$33)&lt;=0),0,Effective!$C$33*INDEX(Effective!$F$33:$Q$33,1,CX$5)/SUM(Effective!$F$33:$Q$33)*(1+Effective!$D$33)^CX$6)</f>
        <v/>
      </c>
      <c r="CY17" s="25">
        <f>IF(OR(CY$4=0,SUM(Effective!$F$33:$Q$33)&lt;=0),0,Effective!$C$33*INDEX(Effective!$F$33:$Q$33,1,CY$5)/SUM(Effective!$F$33:$Q$33)*(1+Effective!$D$33)^CY$6)</f>
        <v/>
      </c>
      <c r="CZ17" s="25">
        <f>IF(OR(CZ$4=0,SUM(Effective!$F$33:$Q$33)&lt;=0),0,Effective!$C$33*INDEX(Effective!$F$33:$Q$33,1,CZ$5)/SUM(Effective!$F$33:$Q$33)*(1+Effective!$D$33)^CZ$6)</f>
        <v/>
      </c>
      <c r="DA17" s="25">
        <f>IF(OR(DA$4=0,SUM(Effective!$F$33:$Q$33)&lt;=0),0,Effective!$C$33*INDEX(Effective!$F$33:$Q$33,1,DA$5)/SUM(Effective!$F$33:$Q$33)*(1+Effective!$D$33)^DA$6)</f>
        <v/>
      </c>
      <c r="DB17" s="25">
        <f>IF(OR(DB$4=0,SUM(Effective!$F$33:$Q$33)&lt;=0),0,Effective!$C$33*INDEX(Effective!$F$33:$Q$33,1,DB$5)/SUM(Effective!$F$33:$Q$33)*(1+Effective!$D$33)^DB$6)</f>
        <v/>
      </c>
      <c r="DC17" s="25">
        <f>IF(OR(DC$4=0,SUM(Effective!$F$33:$Q$33)&lt;=0),0,Effective!$C$33*INDEX(Effective!$F$33:$Q$33,1,DC$5)/SUM(Effective!$F$33:$Q$33)*(1+Effective!$D$33)^DC$6)</f>
        <v/>
      </c>
      <c r="DD17" s="25">
        <f>IF(OR(DD$4=0,SUM(Effective!$F$33:$Q$33)&lt;=0),0,Effective!$C$33*INDEX(Effective!$F$33:$Q$33,1,DD$5)/SUM(Effective!$F$33:$Q$33)*(1+Effective!$D$33)^DD$6)</f>
        <v/>
      </c>
      <c r="DE17" s="25">
        <f>IF(OR(DE$4=0,SUM(Effective!$F$33:$Q$33)&lt;=0),0,Effective!$C$33*INDEX(Effective!$F$33:$Q$33,1,DE$5)/SUM(Effective!$F$33:$Q$33)*(1+Effective!$D$33)^DE$6)</f>
        <v/>
      </c>
      <c r="DF17" s="25">
        <f>IF(OR(DF$4=0,SUM(Effective!$F$33:$Q$33)&lt;=0),0,Effective!$C$33*INDEX(Effective!$F$33:$Q$33,1,DF$5)/SUM(Effective!$F$33:$Q$33)*(1+Effective!$D$33)^DF$6)</f>
        <v/>
      </c>
      <c r="DG17" s="25">
        <f>IF(OR(DG$4=0,SUM(Effective!$F$33:$Q$33)&lt;=0),0,Effective!$C$33*INDEX(Effective!$F$33:$Q$33,1,DG$5)/SUM(Effective!$F$33:$Q$33)*(1+Effective!$D$33)^DG$6)</f>
        <v/>
      </c>
      <c r="DH17" s="25">
        <f>IF(OR(DH$4=0,SUM(Effective!$F$33:$Q$33)&lt;=0),0,Effective!$C$33*INDEX(Effective!$F$33:$Q$33,1,DH$5)/SUM(Effective!$F$33:$Q$33)*(1+Effective!$D$33)^DH$6)</f>
        <v/>
      </c>
      <c r="DI17" s="25">
        <f>IF(OR(DI$4=0,SUM(Effective!$F$33:$Q$33)&lt;=0),0,Effective!$C$33*INDEX(Effective!$F$33:$Q$33,1,DI$5)/SUM(Effective!$F$33:$Q$33)*(1+Effective!$D$33)^DI$6)</f>
        <v/>
      </c>
      <c r="DJ17" s="25">
        <f>IF(OR(DJ$4=0,SUM(Effective!$F$33:$Q$33)&lt;=0),0,Effective!$C$33*INDEX(Effective!$F$33:$Q$33,1,DJ$5)/SUM(Effective!$F$33:$Q$33)*(1+Effective!$D$33)^DJ$6)</f>
        <v/>
      </c>
      <c r="DK17" s="25">
        <f>IF(OR(DK$4=0,SUM(Effective!$F$33:$Q$33)&lt;=0),0,Effective!$C$33*INDEX(Effective!$F$33:$Q$33,1,DK$5)/SUM(Effective!$F$33:$Q$33)*(1+Effective!$D$33)^DK$6)</f>
        <v/>
      </c>
      <c r="DL17" s="25">
        <f>IF(OR(DL$4=0,SUM(Effective!$F$33:$Q$33)&lt;=0),0,Effective!$C$33*INDEX(Effective!$F$33:$Q$33,1,DL$5)/SUM(Effective!$F$33:$Q$33)*(1+Effective!$D$33)^DL$6)</f>
        <v/>
      </c>
      <c r="DM17" s="25">
        <f>IF(OR(DM$4=0,SUM(Effective!$F$33:$Q$33)&lt;=0),0,Effective!$C$33*INDEX(Effective!$F$33:$Q$33,1,DM$5)/SUM(Effective!$F$33:$Q$33)*(1+Effective!$D$33)^DM$6)</f>
        <v/>
      </c>
      <c r="DN17" s="25">
        <f>IF(OR(DN$4=0,SUM(Effective!$F$33:$Q$33)&lt;=0),0,Effective!$C$33*INDEX(Effective!$F$33:$Q$33,1,DN$5)/SUM(Effective!$F$33:$Q$33)*(1+Effective!$D$33)^DN$6)</f>
        <v/>
      </c>
      <c r="DO17" s="25">
        <f>IF(OR(DO$4=0,SUM(Effective!$F$33:$Q$33)&lt;=0),0,Effective!$C$33*INDEX(Effective!$F$33:$Q$33,1,DO$5)/SUM(Effective!$F$33:$Q$33)*(1+Effective!$D$33)^DO$6)</f>
        <v/>
      </c>
      <c r="DP17" s="25">
        <f>IF(OR(DP$4=0,SUM(Effective!$F$33:$Q$33)&lt;=0),0,Effective!$C$33*INDEX(Effective!$F$33:$Q$33,1,DP$5)/SUM(Effective!$F$33:$Q$33)*(1+Effective!$D$33)^DP$6)</f>
        <v/>
      </c>
      <c r="DQ17" s="25">
        <f>IF(OR(DQ$4=0,SUM(Effective!$F$33:$Q$33)&lt;=0),0,Effective!$C$33*INDEX(Effective!$F$33:$Q$33,1,DQ$5)/SUM(Effective!$F$33:$Q$33)*(1+Effective!$D$33)^DQ$6)</f>
        <v/>
      </c>
      <c r="DR17" s="25">
        <f>IF(OR(DR$4=0,SUM(Effective!$F$33:$Q$33)&lt;=0),0,Effective!$C$33*INDEX(Effective!$F$33:$Q$33,1,DR$5)/SUM(Effective!$F$33:$Q$33)*(1+Effective!$D$33)^DR$6)</f>
        <v/>
      </c>
    </row>
    <row r="18">
      <c r="A18" s="4" t="inlineStr">
        <is>
          <t>revenue</t>
        </is>
      </c>
      <c r="C18" s="25">
        <f>SUM(C10:C17)</f>
        <v/>
      </c>
      <c r="D18" s="25">
        <f>SUM(D10:D17)</f>
        <v/>
      </c>
      <c r="E18" s="25">
        <f>SUM(E10:E17)</f>
        <v/>
      </c>
      <c r="F18" s="25">
        <f>SUM(F10:F17)</f>
        <v/>
      </c>
      <c r="G18" s="25">
        <f>SUM(G10:G17)</f>
        <v/>
      </c>
      <c r="H18" s="25">
        <f>SUM(H10:H17)</f>
        <v/>
      </c>
      <c r="I18" s="25">
        <f>SUM(I10:I17)</f>
        <v/>
      </c>
      <c r="J18" s="25">
        <f>SUM(J10:J17)</f>
        <v/>
      </c>
      <c r="K18" s="25">
        <f>SUM(K10:K17)</f>
        <v/>
      </c>
      <c r="L18" s="25">
        <f>SUM(L10:L17)</f>
        <v/>
      </c>
      <c r="M18" s="25">
        <f>SUM(M10:M17)</f>
        <v/>
      </c>
      <c r="N18" s="25">
        <f>SUM(N10:N17)</f>
        <v/>
      </c>
      <c r="O18" s="25">
        <f>SUM(O10:O17)</f>
        <v/>
      </c>
      <c r="P18" s="25">
        <f>SUM(P10:P17)</f>
        <v/>
      </c>
      <c r="Q18" s="25">
        <f>SUM(Q10:Q17)</f>
        <v/>
      </c>
      <c r="R18" s="25">
        <f>SUM(R10:R17)</f>
        <v/>
      </c>
      <c r="S18" s="25">
        <f>SUM(S10:S17)</f>
        <v/>
      </c>
      <c r="T18" s="25">
        <f>SUM(T10:T17)</f>
        <v/>
      </c>
      <c r="U18" s="25">
        <f>SUM(U10:U17)</f>
        <v/>
      </c>
      <c r="V18" s="25">
        <f>SUM(V10:V17)</f>
        <v/>
      </c>
      <c r="W18" s="25">
        <f>SUM(W10:W17)</f>
        <v/>
      </c>
      <c r="X18" s="25">
        <f>SUM(X10:X17)</f>
        <v/>
      </c>
      <c r="Y18" s="25">
        <f>SUM(Y10:Y17)</f>
        <v/>
      </c>
      <c r="Z18" s="25">
        <f>SUM(Z10:Z17)</f>
        <v/>
      </c>
      <c r="AA18" s="25">
        <f>SUM(AA10:AA17)</f>
        <v/>
      </c>
      <c r="AB18" s="25">
        <f>SUM(AB10:AB17)</f>
        <v/>
      </c>
      <c r="AC18" s="25">
        <f>SUM(AC10:AC17)</f>
        <v/>
      </c>
      <c r="AD18" s="25">
        <f>SUM(AD10:AD17)</f>
        <v/>
      </c>
      <c r="AE18" s="25">
        <f>SUM(AE10:AE17)</f>
        <v/>
      </c>
      <c r="AF18" s="25">
        <f>SUM(AF10:AF17)</f>
        <v/>
      </c>
      <c r="AG18" s="25">
        <f>SUM(AG10:AG17)</f>
        <v/>
      </c>
      <c r="AH18" s="25">
        <f>SUM(AH10:AH17)</f>
        <v/>
      </c>
      <c r="AI18" s="25">
        <f>SUM(AI10:AI17)</f>
        <v/>
      </c>
      <c r="AJ18" s="25">
        <f>SUM(AJ10:AJ17)</f>
        <v/>
      </c>
      <c r="AK18" s="25">
        <f>SUM(AK10:AK17)</f>
        <v/>
      </c>
      <c r="AL18" s="25">
        <f>SUM(AL10:AL17)</f>
        <v/>
      </c>
      <c r="AM18" s="25">
        <f>SUM(AM10:AM17)</f>
        <v/>
      </c>
      <c r="AN18" s="25">
        <f>SUM(AN10:AN17)</f>
        <v/>
      </c>
      <c r="AO18" s="25">
        <f>SUM(AO10:AO17)</f>
        <v/>
      </c>
      <c r="AP18" s="25">
        <f>SUM(AP10:AP17)</f>
        <v/>
      </c>
      <c r="AQ18" s="25">
        <f>SUM(AQ10:AQ17)</f>
        <v/>
      </c>
      <c r="AR18" s="25">
        <f>SUM(AR10:AR17)</f>
        <v/>
      </c>
      <c r="AS18" s="25">
        <f>SUM(AS10:AS17)</f>
        <v/>
      </c>
      <c r="AT18" s="25">
        <f>SUM(AT10:AT17)</f>
        <v/>
      </c>
      <c r="AU18" s="25">
        <f>SUM(AU10:AU17)</f>
        <v/>
      </c>
      <c r="AV18" s="25">
        <f>SUM(AV10:AV17)</f>
        <v/>
      </c>
      <c r="AW18" s="25">
        <f>SUM(AW10:AW17)</f>
        <v/>
      </c>
      <c r="AX18" s="25">
        <f>SUM(AX10:AX17)</f>
        <v/>
      </c>
      <c r="AY18" s="25">
        <f>SUM(AY10:AY17)</f>
        <v/>
      </c>
      <c r="AZ18" s="25">
        <f>SUM(AZ10:AZ17)</f>
        <v/>
      </c>
      <c r="BA18" s="25">
        <f>SUM(BA10:BA17)</f>
        <v/>
      </c>
      <c r="BB18" s="25">
        <f>SUM(BB10:BB17)</f>
        <v/>
      </c>
      <c r="BC18" s="25">
        <f>SUM(BC10:BC17)</f>
        <v/>
      </c>
      <c r="BD18" s="25">
        <f>SUM(BD10:BD17)</f>
        <v/>
      </c>
      <c r="BE18" s="25">
        <f>SUM(BE10:BE17)</f>
        <v/>
      </c>
      <c r="BF18" s="25">
        <f>SUM(BF10:BF17)</f>
        <v/>
      </c>
      <c r="BG18" s="25">
        <f>SUM(BG10:BG17)</f>
        <v/>
      </c>
      <c r="BH18" s="25">
        <f>SUM(BH10:BH17)</f>
        <v/>
      </c>
      <c r="BI18" s="25">
        <f>SUM(BI10:BI17)</f>
        <v/>
      </c>
      <c r="BJ18" s="25">
        <f>SUM(BJ10:BJ17)</f>
        <v/>
      </c>
      <c r="BK18" s="25">
        <f>SUM(BK10:BK17)</f>
        <v/>
      </c>
      <c r="BL18" s="25">
        <f>SUM(BL10:BL17)</f>
        <v/>
      </c>
      <c r="BM18" s="25">
        <f>SUM(BM10:BM17)</f>
        <v/>
      </c>
      <c r="BN18" s="25">
        <f>SUM(BN10:BN17)</f>
        <v/>
      </c>
      <c r="BO18" s="25">
        <f>SUM(BO10:BO17)</f>
        <v/>
      </c>
      <c r="BP18" s="25">
        <f>SUM(BP10:BP17)</f>
        <v/>
      </c>
      <c r="BQ18" s="25">
        <f>SUM(BQ10:BQ17)</f>
        <v/>
      </c>
      <c r="BR18" s="25">
        <f>SUM(BR10:BR17)</f>
        <v/>
      </c>
      <c r="BS18" s="25">
        <f>SUM(BS10:BS17)</f>
        <v/>
      </c>
      <c r="BT18" s="25">
        <f>SUM(BT10:BT17)</f>
        <v/>
      </c>
      <c r="BU18" s="25">
        <f>SUM(BU10:BU17)</f>
        <v/>
      </c>
      <c r="BV18" s="25">
        <f>SUM(BV10:BV17)</f>
        <v/>
      </c>
      <c r="BW18" s="25">
        <f>SUM(BW10:BW17)</f>
        <v/>
      </c>
      <c r="BX18" s="25">
        <f>SUM(BX10:BX17)</f>
        <v/>
      </c>
      <c r="BY18" s="25">
        <f>SUM(BY10:BY17)</f>
        <v/>
      </c>
      <c r="BZ18" s="25">
        <f>SUM(BZ10:BZ17)</f>
        <v/>
      </c>
      <c r="CA18" s="25">
        <f>SUM(CA10:CA17)</f>
        <v/>
      </c>
      <c r="CB18" s="25">
        <f>SUM(CB10:CB17)</f>
        <v/>
      </c>
      <c r="CC18" s="25">
        <f>SUM(CC10:CC17)</f>
        <v/>
      </c>
      <c r="CD18" s="25">
        <f>SUM(CD10:CD17)</f>
        <v/>
      </c>
      <c r="CE18" s="25">
        <f>SUM(CE10:CE17)</f>
        <v/>
      </c>
      <c r="CF18" s="25">
        <f>SUM(CF10:CF17)</f>
        <v/>
      </c>
      <c r="CG18" s="25">
        <f>SUM(CG10:CG17)</f>
        <v/>
      </c>
      <c r="CH18" s="25">
        <f>SUM(CH10:CH17)</f>
        <v/>
      </c>
      <c r="CI18" s="25">
        <f>SUM(CI10:CI17)</f>
        <v/>
      </c>
      <c r="CJ18" s="25">
        <f>SUM(CJ10:CJ17)</f>
        <v/>
      </c>
      <c r="CK18" s="25">
        <f>SUM(CK10:CK17)</f>
        <v/>
      </c>
      <c r="CL18" s="25">
        <f>SUM(CL10:CL17)</f>
        <v/>
      </c>
      <c r="CM18" s="25">
        <f>SUM(CM10:CM17)</f>
        <v/>
      </c>
      <c r="CN18" s="25">
        <f>SUM(CN10:CN17)</f>
        <v/>
      </c>
      <c r="CO18" s="25">
        <f>SUM(CO10:CO17)</f>
        <v/>
      </c>
      <c r="CP18" s="25">
        <f>SUM(CP10:CP17)</f>
        <v/>
      </c>
      <c r="CQ18" s="25">
        <f>SUM(CQ10:CQ17)</f>
        <v/>
      </c>
      <c r="CR18" s="25">
        <f>SUM(CR10:CR17)</f>
        <v/>
      </c>
      <c r="CS18" s="25">
        <f>SUM(CS10:CS17)</f>
        <v/>
      </c>
      <c r="CT18" s="25">
        <f>SUM(CT10:CT17)</f>
        <v/>
      </c>
      <c r="CU18" s="25">
        <f>SUM(CU10:CU17)</f>
        <v/>
      </c>
      <c r="CV18" s="25">
        <f>SUM(CV10:CV17)</f>
        <v/>
      </c>
      <c r="CW18" s="25">
        <f>SUM(CW10:CW17)</f>
        <v/>
      </c>
      <c r="CX18" s="25">
        <f>SUM(CX10:CX17)</f>
        <v/>
      </c>
      <c r="CY18" s="25">
        <f>SUM(CY10:CY17)</f>
        <v/>
      </c>
      <c r="CZ18" s="25">
        <f>SUM(CZ10:CZ17)</f>
        <v/>
      </c>
      <c r="DA18" s="25">
        <f>SUM(DA10:DA17)</f>
        <v/>
      </c>
      <c r="DB18" s="25">
        <f>SUM(DB10:DB17)</f>
        <v/>
      </c>
      <c r="DC18" s="25">
        <f>SUM(DC10:DC17)</f>
        <v/>
      </c>
      <c r="DD18" s="25">
        <f>SUM(DD10:DD17)</f>
        <v/>
      </c>
      <c r="DE18" s="25">
        <f>SUM(DE10:DE17)</f>
        <v/>
      </c>
      <c r="DF18" s="25">
        <f>SUM(DF10:DF17)</f>
        <v/>
      </c>
      <c r="DG18" s="25">
        <f>SUM(DG10:DG17)</f>
        <v/>
      </c>
      <c r="DH18" s="25">
        <f>SUM(DH10:DH17)</f>
        <v/>
      </c>
      <c r="DI18" s="25">
        <f>SUM(DI10:DI17)</f>
        <v/>
      </c>
      <c r="DJ18" s="25">
        <f>SUM(DJ10:DJ17)</f>
        <v/>
      </c>
      <c r="DK18" s="25">
        <f>SUM(DK10:DK17)</f>
        <v/>
      </c>
      <c r="DL18" s="25">
        <f>SUM(DL10:DL17)</f>
        <v/>
      </c>
      <c r="DM18" s="25">
        <f>SUM(DM10:DM17)</f>
        <v/>
      </c>
      <c r="DN18" s="25">
        <f>SUM(DN10:DN17)</f>
        <v/>
      </c>
      <c r="DO18" s="25">
        <f>SUM(DO10:DO17)</f>
        <v/>
      </c>
      <c r="DP18" s="25">
        <f>SUM(DP10:DP17)</f>
        <v/>
      </c>
      <c r="DQ18" s="25">
        <f>SUM(DQ10:DQ17)</f>
        <v/>
      </c>
      <c r="DR18" s="25">
        <f>SUM(DR10:DR17)</f>
        <v/>
      </c>
    </row>
    <row r="19">
      <c r="A19" t="inlineStr">
        <is>
          <t>cogs_ch1</t>
        </is>
      </c>
      <c r="C19" s="25">
        <f>C10*Effective!$E$26</f>
        <v/>
      </c>
      <c r="D19" s="25">
        <f>D10*Effective!$E$26</f>
        <v/>
      </c>
      <c r="E19" s="25">
        <f>E10*Effective!$E$26</f>
        <v/>
      </c>
      <c r="F19" s="25">
        <f>F10*Effective!$E$26</f>
        <v/>
      </c>
      <c r="G19" s="25">
        <f>G10*Effective!$E$26</f>
        <v/>
      </c>
      <c r="H19" s="25">
        <f>H10*Effective!$E$26</f>
        <v/>
      </c>
      <c r="I19" s="25">
        <f>I10*Effective!$E$26</f>
        <v/>
      </c>
      <c r="J19" s="25">
        <f>J10*Effective!$E$26</f>
        <v/>
      </c>
      <c r="K19" s="25">
        <f>K10*Effective!$E$26</f>
        <v/>
      </c>
      <c r="L19" s="25">
        <f>L10*Effective!$E$26</f>
        <v/>
      </c>
      <c r="M19" s="25">
        <f>M10*Effective!$E$26</f>
        <v/>
      </c>
      <c r="N19" s="25">
        <f>N10*Effective!$E$26</f>
        <v/>
      </c>
      <c r="O19" s="25">
        <f>O10*Effective!$E$26</f>
        <v/>
      </c>
      <c r="P19" s="25">
        <f>P10*Effective!$E$26</f>
        <v/>
      </c>
      <c r="Q19" s="25">
        <f>Q10*Effective!$E$26</f>
        <v/>
      </c>
      <c r="R19" s="25">
        <f>R10*Effective!$E$26</f>
        <v/>
      </c>
      <c r="S19" s="25">
        <f>S10*Effective!$E$26</f>
        <v/>
      </c>
      <c r="T19" s="25">
        <f>T10*Effective!$E$26</f>
        <v/>
      </c>
      <c r="U19" s="25">
        <f>U10*Effective!$E$26</f>
        <v/>
      </c>
      <c r="V19" s="25">
        <f>V10*Effective!$E$26</f>
        <v/>
      </c>
      <c r="W19" s="25">
        <f>W10*Effective!$E$26</f>
        <v/>
      </c>
      <c r="X19" s="25">
        <f>X10*Effective!$E$26</f>
        <v/>
      </c>
      <c r="Y19" s="25">
        <f>Y10*Effective!$E$26</f>
        <v/>
      </c>
      <c r="Z19" s="25">
        <f>Z10*Effective!$E$26</f>
        <v/>
      </c>
      <c r="AA19" s="25">
        <f>AA10*Effective!$E$26</f>
        <v/>
      </c>
      <c r="AB19" s="25">
        <f>AB10*Effective!$E$26</f>
        <v/>
      </c>
      <c r="AC19" s="25">
        <f>AC10*Effective!$E$26</f>
        <v/>
      </c>
      <c r="AD19" s="25">
        <f>AD10*Effective!$E$26</f>
        <v/>
      </c>
      <c r="AE19" s="25">
        <f>AE10*Effective!$E$26</f>
        <v/>
      </c>
      <c r="AF19" s="25">
        <f>AF10*Effective!$E$26</f>
        <v/>
      </c>
      <c r="AG19" s="25">
        <f>AG10*Effective!$E$26</f>
        <v/>
      </c>
      <c r="AH19" s="25">
        <f>AH10*Effective!$E$26</f>
        <v/>
      </c>
      <c r="AI19" s="25">
        <f>AI10*Effective!$E$26</f>
        <v/>
      </c>
      <c r="AJ19" s="25">
        <f>AJ10*Effective!$E$26</f>
        <v/>
      </c>
      <c r="AK19" s="25">
        <f>AK10*Effective!$E$26</f>
        <v/>
      </c>
      <c r="AL19" s="25">
        <f>AL10*Effective!$E$26</f>
        <v/>
      </c>
      <c r="AM19" s="25">
        <f>AM10*Effective!$E$26</f>
        <v/>
      </c>
      <c r="AN19" s="25">
        <f>AN10*Effective!$E$26</f>
        <v/>
      </c>
      <c r="AO19" s="25">
        <f>AO10*Effective!$E$26</f>
        <v/>
      </c>
      <c r="AP19" s="25">
        <f>AP10*Effective!$E$26</f>
        <v/>
      </c>
      <c r="AQ19" s="25">
        <f>AQ10*Effective!$E$26</f>
        <v/>
      </c>
      <c r="AR19" s="25">
        <f>AR10*Effective!$E$26</f>
        <v/>
      </c>
      <c r="AS19" s="25">
        <f>AS10*Effective!$E$26</f>
        <v/>
      </c>
      <c r="AT19" s="25">
        <f>AT10*Effective!$E$26</f>
        <v/>
      </c>
      <c r="AU19" s="25">
        <f>AU10*Effective!$E$26</f>
        <v/>
      </c>
      <c r="AV19" s="25">
        <f>AV10*Effective!$E$26</f>
        <v/>
      </c>
      <c r="AW19" s="25">
        <f>AW10*Effective!$E$26</f>
        <v/>
      </c>
      <c r="AX19" s="25">
        <f>AX10*Effective!$E$26</f>
        <v/>
      </c>
      <c r="AY19" s="25">
        <f>AY10*Effective!$E$26</f>
        <v/>
      </c>
      <c r="AZ19" s="25">
        <f>AZ10*Effective!$E$26</f>
        <v/>
      </c>
      <c r="BA19" s="25">
        <f>BA10*Effective!$E$26</f>
        <v/>
      </c>
      <c r="BB19" s="25">
        <f>BB10*Effective!$E$26</f>
        <v/>
      </c>
      <c r="BC19" s="25">
        <f>BC10*Effective!$E$26</f>
        <v/>
      </c>
      <c r="BD19" s="25">
        <f>BD10*Effective!$E$26</f>
        <v/>
      </c>
      <c r="BE19" s="25">
        <f>BE10*Effective!$E$26</f>
        <v/>
      </c>
      <c r="BF19" s="25">
        <f>BF10*Effective!$E$26</f>
        <v/>
      </c>
      <c r="BG19" s="25">
        <f>BG10*Effective!$E$26</f>
        <v/>
      </c>
      <c r="BH19" s="25">
        <f>BH10*Effective!$E$26</f>
        <v/>
      </c>
      <c r="BI19" s="25">
        <f>BI10*Effective!$E$26</f>
        <v/>
      </c>
      <c r="BJ19" s="25">
        <f>BJ10*Effective!$E$26</f>
        <v/>
      </c>
      <c r="BK19" s="25">
        <f>BK10*Effective!$E$26</f>
        <v/>
      </c>
      <c r="BL19" s="25">
        <f>BL10*Effective!$E$26</f>
        <v/>
      </c>
      <c r="BM19" s="25">
        <f>BM10*Effective!$E$26</f>
        <v/>
      </c>
      <c r="BN19" s="25">
        <f>BN10*Effective!$E$26</f>
        <v/>
      </c>
      <c r="BO19" s="25">
        <f>BO10*Effective!$E$26</f>
        <v/>
      </c>
      <c r="BP19" s="25">
        <f>BP10*Effective!$E$26</f>
        <v/>
      </c>
      <c r="BQ19" s="25">
        <f>BQ10*Effective!$E$26</f>
        <v/>
      </c>
      <c r="BR19" s="25">
        <f>BR10*Effective!$E$26</f>
        <v/>
      </c>
      <c r="BS19" s="25">
        <f>BS10*Effective!$E$26</f>
        <v/>
      </c>
      <c r="BT19" s="25">
        <f>BT10*Effective!$E$26</f>
        <v/>
      </c>
      <c r="BU19" s="25">
        <f>BU10*Effective!$E$26</f>
        <v/>
      </c>
      <c r="BV19" s="25">
        <f>BV10*Effective!$E$26</f>
        <v/>
      </c>
      <c r="BW19" s="25">
        <f>BW10*Effective!$E$26</f>
        <v/>
      </c>
      <c r="BX19" s="25">
        <f>BX10*Effective!$E$26</f>
        <v/>
      </c>
      <c r="BY19" s="25">
        <f>BY10*Effective!$E$26</f>
        <v/>
      </c>
      <c r="BZ19" s="25">
        <f>BZ10*Effective!$E$26</f>
        <v/>
      </c>
      <c r="CA19" s="25">
        <f>CA10*Effective!$E$26</f>
        <v/>
      </c>
      <c r="CB19" s="25">
        <f>CB10*Effective!$E$26</f>
        <v/>
      </c>
      <c r="CC19" s="25">
        <f>CC10*Effective!$E$26</f>
        <v/>
      </c>
      <c r="CD19" s="25">
        <f>CD10*Effective!$E$26</f>
        <v/>
      </c>
      <c r="CE19" s="25">
        <f>CE10*Effective!$E$26</f>
        <v/>
      </c>
      <c r="CF19" s="25">
        <f>CF10*Effective!$E$26</f>
        <v/>
      </c>
      <c r="CG19" s="25">
        <f>CG10*Effective!$E$26</f>
        <v/>
      </c>
      <c r="CH19" s="25">
        <f>CH10*Effective!$E$26</f>
        <v/>
      </c>
      <c r="CI19" s="25">
        <f>CI10*Effective!$E$26</f>
        <v/>
      </c>
      <c r="CJ19" s="25">
        <f>CJ10*Effective!$E$26</f>
        <v/>
      </c>
      <c r="CK19" s="25">
        <f>CK10*Effective!$E$26</f>
        <v/>
      </c>
      <c r="CL19" s="25">
        <f>CL10*Effective!$E$26</f>
        <v/>
      </c>
      <c r="CM19" s="25">
        <f>CM10*Effective!$E$26</f>
        <v/>
      </c>
      <c r="CN19" s="25">
        <f>CN10*Effective!$E$26</f>
        <v/>
      </c>
      <c r="CO19" s="25">
        <f>CO10*Effective!$E$26</f>
        <v/>
      </c>
      <c r="CP19" s="25">
        <f>CP10*Effective!$E$26</f>
        <v/>
      </c>
      <c r="CQ19" s="25">
        <f>CQ10*Effective!$E$26</f>
        <v/>
      </c>
      <c r="CR19" s="25">
        <f>CR10*Effective!$E$26</f>
        <v/>
      </c>
      <c r="CS19" s="25">
        <f>CS10*Effective!$E$26</f>
        <v/>
      </c>
      <c r="CT19" s="25">
        <f>CT10*Effective!$E$26</f>
        <v/>
      </c>
      <c r="CU19" s="25">
        <f>CU10*Effective!$E$26</f>
        <v/>
      </c>
      <c r="CV19" s="25">
        <f>CV10*Effective!$E$26</f>
        <v/>
      </c>
      <c r="CW19" s="25">
        <f>CW10*Effective!$E$26</f>
        <v/>
      </c>
      <c r="CX19" s="25">
        <f>CX10*Effective!$E$26</f>
        <v/>
      </c>
      <c r="CY19" s="25">
        <f>CY10*Effective!$E$26</f>
        <v/>
      </c>
      <c r="CZ19" s="25">
        <f>CZ10*Effective!$E$26</f>
        <v/>
      </c>
      <c r="DA19" s="25">
        <f>DA10*Effective!$E$26</f>
        <v/>
      </c>
      <c r="DB19" s="25">
        <f>DB10*Effective!$E$26</f>
        <v/>
      </c>
      <c r="DC19" s="25">
        <f>DC10*Effective!$E$26</f>
        <v/>
      </c>
      <c r="DD19" s="25">
        <f>DD10*Effective!$E$26</f>
        <v/>
      </c>
      <c r="DE19" s="25">
        <f>DE10*Effective!$E$26</f>
        <v/>
      </c>
      <c r="DF19" s="25">
        <f>DF10*Effective!$E$26</f>
        <v/>
      </c>
      <c r="DG19" s="25">
        <f>DG10*Effective!$E$26</f>
        <v/>
      </c>
      <c r="DH19" s="25">
        <f>DH10*Effective!$E$26</f>
        <v/>
      </c>
      <c r="DI19" s="25">
        <f>DI10*Effective!$E$26</f>
        <v/>
      </c>
      <c r="DJ19" s="25">
        <f>DJ10*Effective!$E$26</f>
        <v/>
      </c>
      <c r="DK19" s="25">
        <f>DK10*Effective!$E$26</f>
        <v/>
      </c>
      <c r="DL19" s="25">
        <f>DL10*Effective!$E$26</f>
        <v/>
      </c>
      <c r="DM19" s="25">
        <f>DM10*Effective!$E$26</f>
        <v/>
      </c>
      <c r="DN19" s="25">
        <f>DN10*Effective!$E$26</f>
        <v/>
      </c>
      <c r="DO19" s="25">
        <f>DO10*Effective!$E$26</f>
        <v/>
      </c>
      <c r="DP19" s="25">
        <f>DP10*Effective!$E$26</f>
        <v/>
      </c>
      <c r="DQ19" s="25">
        <f>DQ10*Effective!$E$26</f>
        <v/>
      </c>
      <c r="DR19" s="25">
        <f>DR10*Effective!$E$26</f>
        <v/>
      </c>
    </row>
    <row r="20">
      <c r="A20" t="inlineStr">
        <is>
          <t>cogs_ch2</t>
        </is>
      </c>
      <c r="C20" s="25">
        <f>C11*Effective!$E$27</f>
        <v/>
      </c>
      <c r="D20" s="25">
        <f>D11*Effective!$E$27</f>
        <v/>
      </c>
      <c r="E20" s="25">
        <f>E11*Effective!$E$27</f>
        <v/>
      </c>
      <c r="F20" s="25">
        <f>F11*Effective!$E$27</f>
        <v/>
      </c>
      <c r="G20" s="25">
        <f>G11*Effective!$E$27</f>
        <v/>
      </c>
      <c r="H20" s="25">
        <f>H11*Effective!$E$27</f>
        <v/>
      </c>
      <c r="I20" s="25">
        <f>I11*Effective!$E$27</f>
        <v/>
      </c>
      <c r="J20" s="25">
        <f>J11*Effective!$E$27</f>
        <v/>
      </c>
      <c r="K20" s="25">
        <f>K11*Effective!$E$27</f>
        <v/>
      </c>
      <c r="L20" s="25">
        <f>L11*Effective!$E$27</f>
        <v/>
      </c>
      <c r="M20" s="25">
        <f>M11*Effective!$E$27</f>
        <v/>
      </c>
      <c r="N20" s="25">
        <f>N11*Effective!$E$27</f>
        <v/>
      </c>
      <c r="O20" s="25">
        <f>O11*Effective!$E$27</f>
        <v/>
      </c>
      <c r="P20" s="25">
        <f>P11*Effective!$E$27</f>
        <v/>
      </c>
      <c r="Q20" s="25">
        <f>Q11*Effective!$E$27</f>
        <v/>
      </c>
      <c r="R20" s="25">
        <f>R11*Effective!$E$27</f>
        <v/>
      </c>
      <c r="S20" s="25">
        <f>S11*Effective!$E$27</f>
        <v/>
      </c>
      <c r="T20" s="25">
        <f>T11*Effective!$E$27</f>
        <v/>
      </c>
      <c r="U20" s="25">
        <f>U11*Effective!$E$27</f>
        <v/>
      </c>
      <c r="V20" s="25">
        <f>V11*Effective!$E$27</f>
        <v/>
      </c>
      <c r="W20" s="25">
        <f>W11*Effective!$E$27</f>
        <v/>
      </c>
      <c r="X20" s="25">
        <f>X11*Effective!$E$27</f>
        <v/>
      </c>
      <c r="Y20" s="25">
        <f>Y11*Effective!$E$27</f>
        <v/>
      </c>
      <c r="Z20" s="25">
        <f>Z11*Effective!$E$27</f>
        <v/>
      </c>
      <c r="AA20" s="25">
        <f>AA11*Effective!$E$27</f>
        <v/>
      </c>
      <c r="AB20" s="25">
        <f>AB11*Effective!$E$27</f>
        <v/>
      </c>
      <c r="AC20" s="25">
        <f>AC11*Effective!$E$27</f>
        <v/>
      </c>
      <c r="AD20" s="25">
        <f>AD11*Effective!$E$27</f>
        <v/>
      </c>
      <c r="AE20" s="25">
        <f>AE11*Effective!$E$27</f>
        <v/>
      </c>
      <c r="AF20" s="25">
        <f>AF11*Effective!$E$27</f>
        <v/>
      </c>
      <c r="AG20" s="25">
        <f>AG11*Effective!$E$27</f>
        <v/>
      </c>
      <c r="AH20" s="25">
        <f>AH11*Effective!$E$27</f>
        <v/>
      </c>
      <c r="AI20" s="25">
        <f>AI11*Effective!$E$27</f>
        <v/>
      </c>
      <c r="AJ20" s="25">
        <f>AJ11*Effective!$E$27</f>
        <v/>
      </c>
      <c r="AK20" s="25">
        <f>AK11*Effective!$E$27</f>
        <v/>
      </c>
      <c r="AL20" s="25">
        <f>AL11*Effective!$E$27</f>
        <v/>
      </c>
      <c r="AM20" s="25">
        <f>AM11*Effective!$E$27</f>
        <v/>
      </c>
      <c r="AN20" s="25">
        <f>AN11*Effective!$E$27</f>
        <v/>
      </c>
      <c r="AO20" s="25">
        <f>AO11*Effective!$E$27</f>
        <v/>
      </c>
      <c r="AP20" s="25">
        <f>AP11*Effective!$E$27</f>
        <v/>
      </c>
      <c r="AQ20" s="25">
        <f>AQ11*Effective!$E$27</f>
        <v/>
      </c>
      <c r="AR20" s="25">
        <f>AR11*Effective!$E$27</f>
        <v/>
      </c>
      <c r="AS20" s="25">
        <f>AS11*Effective!$E$27</f>
        <v/>
      </c>
      <c r="AT20" s="25">
        <f>AT11*Effective!$E$27</f>
        <v/>
      </c>
      <c r="AU20" s="25">
        <f>AU11*Effective!$E$27</f>
        <v/>
      </c>
      <c r="AV20" s="25">
        <f>AV11*Effective!$E$27</f>
        <v/>
      </c>
      <c r="AW20" s="25">
        <f>AW11*Effective!$E$27</f>
        <v/>
      </c>
      <c r="AX20" s="25">
        <f>AX11*Effective!$E$27</f>
        <v/>
      </c>
      <c r="AY20" s="25">
        <f>AY11*Effective!$E$27</f>
        <v/>
      </c>
      <c r="AZ20" s="25">
        <f>AZ11*Effective!$E$27</f>
        <v/>
      </c>
      <c r="BA20" s="25">
        <f>BA11*Effective!$E$27</f>
        <v/>
      </c>
      <c r="BB20" s="25">
        <f>BB11*Effective!$E$27</f>
        <v/>
      </c>
      <c r="BC20" s="25">
        <f>BC11*Effective!$E$27</f>
        <v/>
      </c>
      <c r="BD20" s="25">
        <f>BD11*Effective!$E$27</f>
        <v/>
      </c>
      <c r="BE20" s="25">
        <f>BE11*Effective!$E$27</f>
        <v/>
      </c>
      <c r="BF20" s="25">
        <f>BF11*Effective!$E$27</f>
        <v/>
      </c>
      <c r="BG20" s="25">
        <f>BG11*Effective!$E$27</f>
        <v/>
      </c>
      <c r="BH20" s="25">
        <f>BH11*Effective!$E$27</f>
        <v/>
      </c>
      <c r="BI20" s="25">
        <f>BI11*Effective!$E$27</f>
        <v/>
      </c>
      <c r="BJ20" s="25">
        <f>BJ11*Effective!$E$27</f>
        <v/>
      </c>
      <c r="BK20" s="25">
        <f>BK11*Effective!$E$27</f>
        <v/>
      </c>
      <c r="BL20" s="25">
        <f>BL11*Effective!$E$27</f>
        <v/>
      </c>
      <c r="BM20" s="25">
        <f>BM11*Effective!$E$27</f>
        <v/>
      </c>
      <c r="BN20" s="25">
        <f>BN11*Effective!$E$27</f>
        <v/>
      </c>
      <c r="BO20" s="25">
        <f>BO11*Effective!$E$27</f>
        <v/>
      </c>
      <c r="BP20" s="25">
        <f>BP11*Effective!$E$27</f>
        <v/>
      </c>
      <c r="BQ20" s="25">
        <f>BQ11*Effective!$E$27</f>
        <v/>
      </c>
      <c r="BR20" s="25">
        <f>BR11*Effective!$E$27</f>
        <v/>
      </c>
      <c r="BS20" s="25">
        <f>BS11*Effective!$E$27</f>
        <v/>
      </c>
      <c r="BT20" s="25">
        <f>BT11*Effective!$E$27</f>
        <v/>
      </c>
      <c r="BU20" s="25">
        <f>BU11*Effective!$E$27</f>
        <v/>
      </c>
      <c r="BV20" s="25">
        <f>BV11*Effective!$E$27</f>
        <v/>
      </c>
      <c r="BW20" s="25">
        <f>BW11*Effective!$E$27</f>
        <v/>
      </c>
      <c r="BX20" s="25">
        <f>BX11*Effective!$E$27</f>
        <v/>
      </c>
      <c r="BY20" s="25">
        <f>BY11*Effective!$E$27</f>
        <v/>
      </c>
      <c r="BZ20" s="25">
        <f>BZ11*Effective!$E$27</f>
        <v/>
      </c>
      <c r="CA20" s="25">
        <f>CA11*Effective!$E$27</f>
        <v/>
      </c>
      <c r="CB20" s="25">
        <f>CB11*Effective!$E$27</f>
        <v/>
      </c>
      <c r="CC20" s="25">
        <f>CC11*Effective!$E$27</f>
        <v/>
      </c>
      <c r="CD20" s="25">
        <f>CD11*Effective!$E$27</f>
        <v/>
      </c>
      <c r="CE20" s="25">
        <f>CE11*Effective!$E$27</f>
        <v/>
      </c>
      <c r="CF20" s="25">
        <f>CF11*Effective!$E$27</f>
        <v/>
      </c>
      <c r="CG20" s="25">
        <f>CG11*Effective!$E$27</f>
        <v/>
      </c>
      <c r="CH20" s="25">
        <f>CH11*Effective!$E$27</f>
        <v/>
      </c>
      <c r="CI20" s="25">
        <f>CI11*Effective!$E$27</f>
        <v/>
      </c>
      <c r="CJ20" s="25">
        <f>CJ11*Effective!$E$27</f>
        <v/>
      </c>
      <c r="CK20" s="25">
        <f>CK11*Effective!$E$27</f>
        <v/>
      </c>
      <c r="CL20" s="25">
        <f>CL11*Effective!$E$27</f>
        <v/>
      </c>
      <c r="CM20" s="25">
        <f>CM11*Effective!$E$27</f>
        <v/>
      </c>
      <c r="CN20" s="25">
        <f>CN11*Effective!$E$27</f>
        <v/>
      </c>
      <c r="CO20" s="25">
        <f>CO11*Effective!$E$27</f>
        <v/>
      </c>
      <c r="CP20" s="25">
        <f>CP11*Effective!$E$27</f>
        <v/>
      </c>
      <c r="CQ20" s="25">
        <f>CQ11*Effective!$E$27</f>
        <v/>
      </c>
      <c r="CR20" s="25">
        <f>CR11*Effective!$E$27</f>
        <v/>
      </c>
      <c r="CS20" s="25">
        <f>CS11*Effective!$E$27</f>
        <v/>
      </c>
      <c r="CT20" s="25">
        <f>CT11*Effective!$E$27</f>
        <v/>
      </c>
      <c r="CU20" s="25">
        <f>CU11*Effective!$E$27</f>
        <v/>
      </c>
      <c r="CV20" s="25">
        <f>CV11*Effective!$E$27</f>
        <v/>
      </c>
      <c r="CW20" s="25">
        <f>CW11*Effective!$E$27</f>
        <v/>
      </c>
      <c r="CX20" s="25">
        <f>CX11*Effective!$E$27</f>
        <v/>
      </c>
      <c r="CY20" s="25">
        <f>CY11*Effective!$E$27</f>
        <v/>
      </c>
      <c r="CZ20" s="25">
        <f>CZ11*Effective!$E$27</f>
        <v/>
      </c>
      <c r="DA20" s="25">
        <f>DA11*Effective!$E$27</f>
        <v/>
      </c>
      <c r="DB20" s="25">
        <f>DB11*Effective!$E$27</f>
        <v/>
      </c>
      <c r="DC20" s="25">
        <f>DC11*Effective!$E$27</f>
        <v/>
      </c>
      <c r="DD20" s="25">
        <f>DD11*Effective!$E$27</f>
        <v/>
      </c>
      <c r="DE20" s="25">
        <f>DE11*Effective!$E$27</f>
        <v/>
      </c>
      <c r="DF20" s="25">
        <f>DF11*Effective!$E$27</f>
        <v/>
      </c>
      <c r="DG20" s="25">
        <f>DG11*Effective!$E$27</f>
        <v/>
      </c>
      <c r="DH20" s="25">
        <f>DH11*Effective!$E$27</f>
        <v/>
      </c>
      <c r="DI20" s="25">
        <f>DI11*Effective!$E$27</f>
        <v/>
      </c>
      <c r="DJ20" s="25">
        <f>DJ11*Effective!$E$27</f>
        <v/>
      </c>
      <c r="DK20" s="25">
        <f>DK11*Effective!$E$27</f>
        <v/>
      </c>
      <c r="DL20" s="25">
        <f>DL11*Effective!$E$27</f>
        <v/>
      </c>
      <c r="DM20" s="25">
        <f>DM11*Effective!$E$27</f>
        <v/>
      </c>
      <c r="DN20" s="25">
        <f>DN11*Effective!$E$27</f>
        <v/>
      </c>
      <c r="DO20" s="25">
        <f>DO11*Effective!$E$27</f>
        <v/>
      </c>
      <c r="DP20" s="25">
        <f>DP11*Effective!$E$27</f>
        <v/>
      </c>
      <c r="DQ20" s="25">
        <f>DQ11*Effective!$E$27</f>
        <v/>
      </c>
      <c r="DR20" s="25">
        <f>DR11*Effective!$E$27</f>
        <v/>
      </c>
    </row>
    <row r="21">
      <c r="A21" t="inlineStr">
        <is>
          <t>cogs_ch3</t>
        </is>
      </c>
      <c r="C21" s="25">
        <f>C12*Effective!$E$28</f>
        <v/>
      </c>
      <c r="D21" s="25">
        <f>D12*Effective!$E$28</f>
        <v/>
      </c>
      <c r="E21" s="25">
        <f>E12*Effective!$E$28</f>
        <v/>
      </c>
      <c r="F21" s="25">
        <f>F12*Effective!$E$28</f>
        <v/>
      </c>
      <c r="G21" s="25">
        <f>G12*Effective!$E$28</f>
        <v/>
      </c>
      <c r="H21" s="25">
        <f>H12*Effective!$E$28</f>
        <v/>
      </c>
      <c r="I21" s="25">
        <f>I12*Effective!$E$28</f>
        <v/>
      </c>
      <c r="J21" s="25">
        <f>J12*Effective!$E$28</f>
        <v/>
      </c>
      <c r="K21" s="25">
        <f>K12*Effective!$E$28</f>
        <v/>
      </c>
      <c r="L21" s="25">
        <f>L12*Effective!$E$28</f>
        <v/>
      </c>
      <c r="M21" s="25">
        <f>M12*Effective!$E$28</f>
        <v/>
      </c>
      <c r="N21" s="25">
        <f>N12*Effective!$E$28</f>
        <v/>
      </c>
      <c r="O21" s="25">
        <f>O12*Effective!$E$28</f>
        <v/>
      </c>
      <c r="P21" s="25">
        <f>P12*Effective!$E$28</f>
        <v/>
      </c>
      <c r="Q21" s="25">
        <f>Q12*Effective!$E$28</f>
        <v/>
      </c>
      <c r="R21" s="25">
        <f>R12*Effective!$E$28</f>
        <v/>
      </c>
      <c r="S21" s="25">
        <f>S12*Effective!$E$28</f>
        <v/>
      </c>
      <c r="T21" s="25">
        <f>T12*Effective!$E$28</f>
        <v/>
      </c>
      <c r="U21" s="25">
        <f>U12*Effective!$E$28</f>
        <v/>
      </c>
      <c r="V21" s="25">
        <f>V12*Effective!$E$28</f>
        <v/>
      </c>
      <c r="W21" s="25">
        <f>W12*Effective!$E$28</f>
        <v/>
      </c>
      <c r="X21" s="25">
        <f>X12*Effective!$E$28</f>
        <v/>
      </c>
      <c r="Y21" s="25">
        <f>Y12*Effective!$E$28</f>
        <v/>
      </c>
      <c r="Z21" s="25">
        <f>Z12*Effective!$E$28</f>
        <v/>
      </c>
      <c r="AA21" s="25">
        <f>AA12*Effective!$E$28</f>
        <v/>
      </c>
      <c r="AB21" s="25">
        <f>AB12*Effective!$E$28</f>
        <v/>
      </c>
      <c r="AC21" s="25">
        <f>AC12*Effective!$E$28</f>
        <v/>
      </c>
      <c r="AD21" s="25">
        <f>AD12*Effective!$E$28</f>
        <v/>
      </c>
      <c r="AE21" s="25">
        <f>AE12*Effective!$E$28</f>
        <v/>
      </c>
      <c r="AF21" s="25">
        <f>AF12*Effective!$E$28</f>
        <v/>
      </c>
      <c r="AG21" s="25">
        <f>AG12*Effective!$E$28</f>
        <v/>
      </c>
      <c r="AH21" s="25">
        <f>AH12*Effective!$E$28</f>
        <v/>
      </c>
      <c r="AI21" s="25">
        <f>AI12*Effective!$E$28</f>
        <v/>
      </c>
      <c r="AJ21" s="25">
        <f>AJ12*Effective!$E$28</f>
        <v/>
      </c>
      <c r="AK21" s="25">
        <f>AK12*Effective!$E$28</f>
        <v/>
      </c>
      <c r="AL21" s="25">
        <f>AL12*Effective!$E$28</f>
        <v/>
      </c>
      <c r="AM21" s="25">
        <f>AM12*Effective!$E$28</f>
        <v/>
      </c>
      <c r="AN21" s="25">
        <f>AN12*Effective!$E$28</f>
        <v/>
      </c>
      <c r="AO21" s="25">
        <f>AO12*Effective!$E$28</f>
        <v/>
      </c>
      <c r="AP21" s="25">
        <f>AP12*Effective!$E$28</f>
        <v/>
      </c>
      <c r="AQ21" s="25">
        <f>AQ12*Effective!$E$28</f>
        <v/>
      </c>
      <c r="AR21" s="25">
        <f>AR12*Effective!$E$28</f>
        <v/>
      </c>
      <c r="AS21" s="25">
        <f>AS12*Effective!$E$28</f>
        <v/>
      </c>
      <c r="AT21" s="25">
        <f>AT12*Effective!$E$28</f>
        <v/>
      </c>
      <c r="AU21" s="25">
        <f>AU12*Effective!$E$28</f>
        <v/>
      </c>
      <c r="AV21" s="25">
        <f>AV12*Effective!$E$28</f>
        <v/>
      </c>
      <c r="AW21" s="25">
        <f>AW12*Effective!$E$28</f>
        <v/>
      </c>
      <c r="AX21" s="25">
        <f>AX12*Effective!$E$28</f>
        <v/>
      </c>
      <c r="AY21" s="25">
        <f>AY12*Effective!$E$28</f>
        <v/>
      </c>
      <c r="AZ21" s="25">
        <f>AZ12*Effective!$E$28</f>
        <v/>
      </c>
      <c r="BA21" s="25">
        <f>BA12*Effective!$E$28</f>
        <v/>
      </c>
      <c r="BB21" s="25">
        <f>BB12*Effective!$E$28</f>
        <v/>
      </c>
      <c r="BC21" s="25">
        <f>BC12*Effective!$E$28</f>
        <v/>
      </c>
      <c r="BD21" s="25">
        <f>BD12*Effective!$E$28</f>
        <v/>
      </c>
      <c r="BE21" s="25">
        <f>BE12*Effective!$E$28</f>
        <v/>
      </c>
      <c r="BF21" s="25">
        <f>BF12*Effective!$E$28</f>
        <v/>
      </c>
      <c r="BG21" s="25">
        <f>BG12*Effective!$E$28</f>
        <v/>
      </c>
      <c r="BH21" s="25">
        <f>BH12*Effective!$E$28</f>
        <v/>
      </c>
      <c r="BI21" s="25">
        <f>BI12*Effective!$E$28</f>
        <v/>
      </c>
      <c r="BJ21" s="25">
        <f>BJ12*Effective!$E$28</f>
        <v/>
      </c>
      <c r="BK21" s="25">
        <f>BK12*Effective!$E$28</f>
        <v/>
      </c>
      <c r="BL21" s="25">
        <f>BL12*Effective!$E$28</f>
        <v/>
      </c>
      <c r="BM21" s="25">
        <f>BM12*Effective!$E$28</f>
        <v/>
      </c>
      <c r="BN21" s="25">
        <f>BN12*Effective!$E$28</f>
        <v/>
      </c>
      <c r="BO21" s="25">
        <f>BO12*Effective!$E$28</f>
        <v/>
      </c>
      <c r="BP21" s="25">
        <f>BP12*Effective!$E$28</f>
        <v/>
      </c>
      <c r="BQ21" s="25">
        <f>BQ12*Effective!$E$28</f>
        <v/>
      </c>
      <c r="BR21" s="25">
        <f>BR12*Effective!$E$28</f>
        <v/>
      </c>
      <c r="BS21" s="25">
        <f>BS12*Effective!$E$28</f>
        <v/>
      </c>
      <c r="BT21" s="25">
        <f>BT12*Effective!$E$28</f>
        <v/>
      </c>
      <c r="BU21" s="25">
        <f>BU12*Effective!$E$28</f>
        <v/>
      </c>
      <c r="BV21" s="25">
        <f>BV12*Effective!$E$28</f>
        <v/>
      </c>
      <c r="BW21" s="25">
        <f>BW12*Effective!$E$28</f>
        <v/>
      </c>
      <c r="BX21" s="25">
        <f>BX12*Effective!$E$28</f>
        <v/>
      </c>
      <c r="BY21" s="25">
        <f>BY12*Effective!$E$28</f>
        <v/>
      </c>
      <c r="BZ21" s="25">
        <f>BZ12*Effective!$E$28</f>
        <v/>
      </c>
      <c r="CA21" s="25">
        <f>CA12*Effective!$E$28</f>
        <v/>
      </c>
      <c r="CB21" s="25">
        <f>CB12*Effective!$E$28</f>
        <v/>
      </c>
      <c r="CC21" s="25">
        <f>CC12*Effective!$E$28</f>
        <v/>
      </c>
      <c r="CD21" s="25">
        <f>CD12*Effective!$E$28</f>
        <v/>
      </c>
      <c r="CE21" s="25">
        <f>CE12*Effective!$E$28</f>
        <v/>
      </c>
      <c r="CF21" s="25">
        <f>CF12*Effective!$E$28</f>
        <v/>
      </c>
      <c r="CG21" s="25">
        <f>CG12*Effective!$E$28</f>
        <v/>
      </c>
      <c r="CH21" s="25">
        <f>CH12*Effective!$E$28</f>
        <v/>
      </c>
      <c r="CI21" s="25">
        <f>CI12*Effective!$E$28</f>
        <v/>
      </c>
      <c r="CJ21" s="25">
        <f>CJ12*Effective!$E$28</f>
        <v/>
      </c>
      <c r="CK21" s="25">
        <f>CK12*Effective!$E$28</f>
        <v/>
      </c>
      <c r="CL21" s="25">
        <f>CL12*Effective!$E$28</f>
        <v/>
      </c>
      <c r="CM21" s="25">
        <f>CM12*Effective!$E$28</f>
        <v/>
      </c>
      <c r="CN21" s="25">
        <f>CN12*Effective!$E$28</f>
        <v/>
      </c>
      <c r="CO21" s="25">
        <f>CO12*Effective!$E$28</f>
        <v/>
      </c>
      <c r="CP21" s="25">
        <f>CP12*Effective!$E$28</f>
        <v/>
      </c>
      <c r="CQ21" s="25">
        <f>CQ12*Effective!$E$28</f>
        <v/>
      </c>
      <c r="CR21" s="25">
        <f>CR12*Effective!$E$28</f>
        <v/>
      </c>
      <c r="CS21" s="25">
        <f>CS12*Effective!$E$28</f>
        <v/>
      </c>
      <c r="CT21" s="25">
        <f>CT12*Effective!$E$28</f>
        <v/>
      </c>
      <c r="CU21" s="25">
        <f>CU12*Effective!$E$28</f>
        <v/>
      </c>
      <c r="CV21" s="25">
        <f>CV12*Effective!$E$28</f>
        <v/>
      </c>
      <c r="CW21" s="25">
        <f>CW12*Effective!$E$28</f>
        <v/>
      </c>
      <c r="CX21" s="25">
        <f>CX12*Effective!$E$28</f>
        <v/>
      </c>
      <c r="CY21" s="25">
        <f>CY12*Effective!$E$28</f>
        <v/>
      </c>
      <c r="CZ21" s="25">
        <f>CZ12*Effective!$E$28</f>
        <v/>
      </c>
      <c r="DA21" s="25">
        <f>DA12*Effective!$E$28</f>
        <v/>
      </c>
      <c r="DB21" s="25">
        <f>DB12*Effective!$E$28</f>
        <v/>
      </c>
      <c r="DC21" s="25">
        <f>DC12*Effective!$E$28</f>
        <v/>
      </c>
      <c r="DD21" s="25">
        <f>DD12*Effective!$E$28</f>
        <v/>
      </c>
      <c r="DE21" s="25">
        <f>DE12*Effective!$E$28</f>
        <v/>
      </c>
      <c r="DF21" s="25">
        <f>DF12*Effective!$E$28</f>
        <v/>
      </c>
      <c r="DG21" s="25">
        <f>DG12*Effective!$E$28</f>
        <v/>
      </c>
      <c r="DH21" s="25">
        <f>DH12*Effective!$E$28</f>
        <v/>
      </c>
      <c r="DI21" s="25">
        <f>DI12*Effective!$E$28</f>
        <v/>
      </c>
      <c r="DJ21" s="25">
        <f>DJ12*Effective!$E$28</f>
        <v/>
      </c>
      <c r="DK21" s="25">
        <f>DK12*Effective!$E$28</f>
        <v/>
      </c>
      <c r="DL21" s="25">
        <f>DL12*Effective!$E$28</f>
        <v/>
      </c>
      <c r="DM21" s="25">
        <f>DM12*Effective!$E$28</f>
        <v/>
      </c>
      <c r="DN21" s="25">
        <f>DN12*Effective!$E$28</f>
        <v/>
      </c>
      <c r="DO21" s="25">
        <f>DO12*Effective!$E$28</f>
        <v/>
      </c>
      <c r="DP21" s="25">
        <f>DP12*Effective!$E$28</f>
        <v/>
      </c>
      <c r="DQ21" s="25">
        <f>DQ12*Effective!$E$28</f>
        <v/>
      </c>
      <c r="DR21" s="25">
        <f>DR12*Effective!$E$28</f>
        <v/>
      </c>
    </row>
    <row r="22">
      <c r="A22" t="inlineStr">
        <is>
          <t>cogs_ch4</t>
        </is>
      </c>
      <c r="C22" s="25">
        <f>C13*Effective!$E$29</f>
        <v/>
      </c>
      <c r="D22" s="25">
        <f>D13*Effective!$E$29</f>
        <v/>
      </c>
      <c r="E22" s="25">
        <f>E13*Effective!$E$29</f>
        <v/>
      </c>
      <c r="F22" s="25">
        <f>F13*Effective!$E$29</f>
        <v/>
      </c>
      <c r="G22" s="25">
        <f>G13*Effective!$E$29</f>
        <v/>
      </c>
      <c r="H22" s="25">
        <f>H13*Effective!$E$29</f>
        <v/>
      </c>
      <c r="I22" s="25">
        <f>I13*Effective!$E$29</f>
        <v/>
      </c>
      <c r="J22" s="25">
        <f>J13*Effective!$E$29</f>
        <v/>
      </c>
      <c r="K22" s="25">
        <f>K13*Effective!$E$29</f>
        <v/>
      </c>
      <c r="L22" s="25">
        <f>L13*Effective!$E$29</f>
        <v/>
      </c>
      <c r="M22" s="25">
        <f>M13*Effective!$E$29</f>
        <v/>
      </c>
      <c r="N22" s="25">
        <f>N13*Effective!$E$29</f>
        <v/>
      </c>
      <c r="O22" s="25">
        <f>O13*Effective!$E$29</f>
        <v/>
      </c>
      <c r="P22" s="25">
        <f>P13*Effective!$E$29</f>
        <v/>
      </c>
      <c r="Q22" s="25">
        <f>Q13*Effective!$E$29</f>
        <v/>
      </c>
      <c r="R22" s="25">
        <f>R13*Effective!$E$29</f>
        <v/>
      </c>
      <c r="S22" s="25">
        <f>S13*Effective!$E$29</f>
        <v/>
      </c>
      <c r="T22" s="25">
        <f>T13*Effective!$E$29</f>
        <v/>
      </c>
      <c r="U22" s="25">
        <f>U13*Effective!$E$29</f>
        <v/>
      </c>
      <c r="V22" s="25">
        <f>V13*Effective!$E$29</f>
        <v/>
      </c>
      <c r="W22" s="25">
        <f>W13*Effective!$E$29</f>
        <v/>
      </c>
      <c r="X22" s="25">
        <f>X13*Effective!$E$29</f>
        <v/>
      </c>
      <c r="Y22" s="25">
        <f>Y13*Effective!$E$29</f>
        <v/>
      </c>
      <c r="Z22" s="25">
        <f>Z13*Effective!$E$29</f>
        <v/>
      </c>
      <c r="AA22" s="25">
        <f>AA13*Effective!$E$29</f>
        <v/>
      </c>
      <c r="AB22" s="25">
        <f>AB13*Effective!$E$29</f>
        <v/>
      </c>
      <c r="AC22" s="25">
        <f>AC13*Effective!$E$29</f>
        <v/>
      </c>
      <c r="AD22" s="25">
        <f>AD13*Effective!$E$29</f>
        <v/>
      </c>
      <c r="AE22" s="25">
        <f>AE13*Effective!$E$29</f>
        <v/>
      </c>
      <c r="AF22" s="25">
        <f>AF13*Effective!$E$29</f>
        <v/>
      </c>
      <c r="AG22" s="25">
        <f>AG13*Effective!$E$29</f>
        <v/>
      </c>
      <c r="AH22" s="25">
        <f>AH13*Effective!$E$29</f>
        <v/>
      </c>
      <c r="AI22" s="25">
        <f>AI13*Effective!$E$29</f>
        <v/>
      </c>
      <c r="AJ22" s="25">
        <f>AJ13*Effective!$E$29</f>
        <v/>
      </c>
      <c r="AK22" s="25">
        <f>AK13*Effective!$E$29</f>
        <v/>
      </c>
      <c r="AL22" s="25">
        <f>AL13*Effective!$E$29</f>
        <v/>
      </c>
      <c r="AM22" s="25">
        <f>AM13*Effective!$E$29</f>
        <v/>
      </c>
      <c r="AN22" s="25">
        <f>AN13*Effective!$E$29</f>
        <v/>
      </c>
      <c r="AO22" s="25">
        <f>AO13*Effective!$E$29</f>
        <v/>
      </c>
      <c r="AP22" s="25">
        <f>AP13*Effective!$E$29</f>
        <v/>
      </c>
      <c r="AQ22" s="25">
        <f>AQ13*Effective!$E$29</f>
        <v/>
      </c>
      <c r="AR22" s="25">
        <f>AR13*Effective!$E$29</f>
        <v/>
      </c>
      <c r="AS22" s="25">
        <f>AS13*Effective!$E$29</f>
        <v/>
      </c>
      <c r="AT22" s="25">
        <f>AT13*Effective!$E$29</f>
        <v/>
      </c>
      <c r="AU22" s="25">
        <f>AU13*Effective!$E$29</f>
        <v/>
      </c>
      <c r="AV22" s="25">
        <f>AV13*Effective!$E$29</f>
        <v/>
      </c>
      <c r="AW22" s="25">
        <f>AW13*Effective!$E$29</f>
        <v/>
      </c>
      <c r="AX22" s="25">
        <f>AX13*Effective!$E$29</f>
        <v/>
      </c>
      <c r="AY22" s="25">
        <f>AY13*Effective!$E$29</f>
        <v/>
      </c>
      <c r="AZ22" s="25">
        <f>AZ13*Effective!$E$29</f>
        <v/>
      </c>
      <c r="BA22" s="25">
        <f>BA13*Effective!$E$29</f>
        <v/>
      </c>
      <c r="BB22" s="25">
        <f>BB13*Effective!$E$29</f>
        <v/>
      </c>
      <c r="BC22" s="25">
        <f>BC13*Effective!$E$29</f>
        <v/>
      </c>
      <c r="BD22" s="25">
        <f>BD13*Effective!$E$29</f>
        <v/>
      </c>
      <c r="BE22" s="25">
        <f>BE13*Effective!$E$29</f>
        <v/>
      </c>
      <c r="BF22" s="25">
        <f>BF13*Effective!$E$29</f>
        <v/>
      </c>
      <c r="BG22" s="25">
        <f>BG13*Effective!$E$29</f>
        <v/>
      </c>
      <c r="BH22" s="25">
        <f>BH13*Effective!$E$29</f>
        <v/>
      </c>
      <c r="BI22" s="25">
        <f>BI13*Effective!$E$29</f>
        <v/>
      </c>
      <c r="BJ22" s="25">
        <f>BJ13*Effective!$E$29</f>
        <v/>
      </c>
      <c r="BK22" s="25">
        <f>BK13*Effective!$E$29</f>
        <v/>
      </c>
      <c r="BL22" s="25">
        <f>BL13*Effective!$E$29</f>
        <v/>
      </c>
      <c r="BM22" s="25">
        <f>BM13*Effective!$E$29</f>
        <v/>
      </c>
      <c r="BN22" s="25">
        <f>BN13*Effective!$E$29</f>
        <v/>
      </c>
      <c r="BO22" s="25">
        <f>BO13*Effective!$E$29</f>
        <v/>
      </c>
      <c r="BP22" s="25">
        <f>BP13*Effective!$E$29</f>
        <v/>
      </c>
      <c r="BQ22" s="25">
        <f>BQ13*Effective!$E$29</f>
        <v/>
      </c>
      <c r="BR22" s="25">
        <f>BR13*Effective!$E$29</f>
        <v/>
      </c>
      <c r="BS22" s="25">
        <f>BS13*Effective!$E$29</f>
        <v/>
      </c>
      <c r="BT22" s="25">
        <f>BT13*Effective!$E$29</f>
        <v/>
      </c>
      <c r="BU22" s="25">
        <f>BU13*Effective!$E$29</f>
        <v/>
      </c>
      <c r="BV22" s="25">
        <f>BV13*Effective!$E$29</f>
        <v/>
      </c>
      <c r="BW22" s="25">
        <f>BW13*Effective!$E$29</f>
        <v/>
      </c>
      <c r="BX22" s="25">
        <f>BX13*Effective!$E$29</f>
        <v/>
      </c>
      <c r="BY22" s="25">
        <f>BY13*Effective!$E$29</f>
        <v/>
      </c>
      <c r="BZ22" s="25">
        <f>BZ13*Effective!$E$29</f>
        <v/>
      </c>
      <c r="CA22" s="25">
        <f>CA13*Effective!$E$29</f>
        <v/>
      </c>
      <c r="CB22" s="25">
        <f>CB13*Effective!$E$29</f>
        <v/>
      </c>
      <c r="CC22" s="25">
        <f>CC13*Effective!$E$29</f>
        <v/>
      </c>
      <c r="CD22" s="25">
        <f>CD13*Effective!$E$29</f>
        <v/>
      </c>
      <c r="CE22" s="25">
        <f>CE13*Effective!$E$29</f>
        <v/>
      </c>
      <c r="CF22" s="25">
        <f>CF13*Effective!$E$29</f>
        <v/>
      </c>
      <c r="CG22" s="25">
        <f>CG13*Effective!$E$29</f>
        <v/>
      </c>
      <c r="CH22" s="25">
        <f>CH13*Effective!$E$29</f>
        <v/>
      </c>
      <c r="CI22" s="25">
        <f>CI13*Effective!$E$29</f>
        <v/>
      </c>
      <c r="CJ22" s="25">
        <f>CJ13*Effective!$E$29</f>
        <v/>
      </c>
      <c r="CK22" s="25">
        <f>CK13*Effective!$E$29</f>
        <v/>
      </c>
      <c r="CL22" s="25">
        <f>CL13*Effective!$E$29</f>
        <v/>
      </c>
      <c r="CM22" s="25">
        <f>CM13*Effective!$E$29</f>
        <v/>
      </c>
      <c r="CN22" s="25">
        <f>CN13*Effective!$E$29</f>
        <v/>
      </c>
      <c r="CO22" s="25">
        <f>CO13*Effective!$E$29</f>
        <v/>
      </c>
      <c r="CP22" s="25">
        <f>CP13*Effective!$E$29</f>
        <v/>
      </c>
      <c r="CQ22" s="25">
        <f>CQ13*Effective!$E$29</f>
        <v/>
      </c>
      <c r="CR22" s="25">
        <f>CR13*Effective!$E$29</f>
        <v/>
      </c>
      <c r="CS22" s="25">
        <f>CS13*Effective!$E$29</f>
        <v/>
      </c>
      <c r="CT22" s="25">
        <f>CT13*Effective!$E$29</f>
        <v/>
      </c>
      <c r="CU22" s="25">
        <f>CU13*Effective!$E$29</f>
        <v/>
      </c>
      <c r="CV22" s="25">
        <f>CV13*Effective!$E$29</f>
        <v/>
      </c>
      <c r="CW22" s="25">
        <f>CW13*Effective!$E$29</f>
        <v/>
      </c>
      <c r="CX22" s="25">
        <f>CX13*Effective!$E$29</f>
        <v/>
      </c>
      <c r="CY22" s="25">
        <f>CY13*Effective!$E$29</f>
        <v/>
      </c>
      <c r="CZ22" s="25">
        <f>CZ13*Effective!$E$29</f>
        <v/>
      </c>
      <c r="DA22" s="25">
        <f>DA13*Effective!$E$29</f>
        <v/>
      </c>
      <c r="DB22" s="25">
        <f>DB13*Effective!$E$29</f>
        <v/>
      </c>
      <c r="DC22" s="25">
        <f>DC13*Effective!$E$29</f>
        <v/>
      </c>
      <c r="DD22" s="25">
        <f>DD13*Effective!$E$29</f>
        <v/>
      </c>
      <c r="DE22" s="25">
        <f>DE13*Effective!$E$29</f>
        <v/>
      </c>
      <c r="DF22" s="25">
        <f>DF13*Effective!$E$29</f>
        <v/>
      </c>
      <c r="DG22" s="25">
        <f>DG13*Effective!$E$29</f>
        <v/>
      </c>
      <c r="DH22" s="25">
        <f>DH13*Effective!$E$29</f>
        <v/>
      </c>
      <c r="DI22" s="25">
        <f>DI13*Effective!$E$29</f>
        <v/>
      </c>
      <c r="DJ22" s="25">
        <f>DJ13*Effective!$E$29</f>
        <v/>
      </c>
      <c r="DK22" s="25">
        <f>DK13*Effective!$E$29</f>
        <v/>
      </c>
      <c r="DL22" s="25">
        <f>DL13*Effective!$E$29</f>
        <v/>
      </c>
      <c r="DM22" s="25">
        <f>DM13*Effective!$E$29</f>
        <v/>
      </c>
      <c r="DN22" s="25">
        <f>DN13*Effective!$E$29</f>
        <v/>
      </c>
      <c r="DO22" s="25">
        <f>DO13*Effective!$E$29</f>
        <v/>
      </c>
      <c r="DP22" s="25">
        <f>DP13*Effective!$E$29</f>
        <v/>
      </c>
      <c r="DQ22" s="25">
        <f>DQ13*Effective!$E$29</f>
        <v/>
      </c>
      <c r="DR22" s="25">
        <f>DR13*Effective!$E$29</f>
        <v/>
      </c>
    </row>
    <row r="23">
      <c r="A23" t="inlineStr">
        <is>
          <t>cogs_ch5</t>
        </is>
      </c>
      <c r="C23" s="25">
        <f>C14*Effective!$E$30</f>
        <v/>
      </c>
      <c r="D23" s="25">
        <f>D14*Effective!$E$30</f>
        <v/>
      </c>
      <c r="E23" s="25">
        <f>E14*Effective!$E$30</f>
        <v/>
      </c>
      <c r="F23" s="25">
        <f>F14*Effective!$E$30</f>
        <v/>
      </c>
      <c r="G23" s="25">
        <f>G14*Effective!$E$30</f>
        <v/>
      </c>
      <c r="H23" s="25">
        <f>H14*Effective!$E$30</f>
        <v/>
      </c>
      <c r="I23" s="25">
        <f>I14*Effective!$E$30</f>
        <v/>
      </c>
      <c r="J23" s="25">
        <f>J14*Effective!$E$30</f>
        <v/>
      </c>
      <c r="K23" s="25">
        <f>K14*Effective!$E$30</f>
        <v/>
      </c>
      <c r="L23" s="25">
        <f>L14*Effective!$E$30</f>
        <v/>
      </c>
      <c r="M23" s="25">
        <f>M14*Effective!$E$30</f>
        <v/>
      </c>
      <c r="N23" s="25">
        <f>N14*Effective!$E$30</f>
        <v/>
      </c>
      <c r="O23" s="25">
        <f>O14*Effective!$E$30</f>
        <v/>
      </c>
      <c r="P23" s="25">
        <f>P14*Effective!$E$30</f>
        <v/>
      </c>
      <c r="Q23" s="25">
        <f>Q14*Effective!$E$30</f>
        <v/>
      </c>
      <c r="R23" s="25">
        <f>R14*Effective!$E$30</f>
        <v/>
      </c>
      <c r="S23" s="25">
        <f>S14*Effective!$E$30</f>
        <v/>
      </c>
      <c r="T23" s="25">
        <f>T14*Effective!$E$30</f>
        <v/>
      </c>
      <c r="U23" s="25">
        <f>U14*Effective!$E$30</f>
        <v/>
      </c>
      <c r="V23" s="25">
        <f>V14*Effective!$E$30</f>
        <v/>
      </c>
      <c r="W23" s="25">
        <f>W14*Effective!$E$30</f>
        <v/>
      </c>
      <c r="X23" s="25">
        <f>X14*Effective!$E$30</f>
        <v/>
      </c>
      <c r="Y23" s="25">
        <f>Y14*Effective!$E$30</f>
        <v/>
      </c>
      <c r="Z23" s="25">
        <f>Z14*Effective!$E$30</f>
        <v/>
      </c>
      <c r="AA23" s="25">
        <f>AA14*Effective!$E$30</f>
        <v/>
      </c>
      <c r="AB23" s="25">
        <f>AB14*Effective!$E$30</f>
        <v/>
      </c>
      <c r="AC23" s="25">
        <f>AC14*Effective!$E$30</f>
        <v/>
      </c>
      <c r="AD23" s="25">
        <f>AD14*Effective!$E$30</f>
        <v/>
      </c>
      <c r="AE23" s="25">
        <f>AE14*Effective!$E$30</f>
        <v/>
      </c>
      <c r="AF23" s="25">
        <f>AF14*Effective!$E$30</f>
        <v/>
      </c>
      <c r="AG23" s="25">
        <f>AG14*Effective!$E$30</f>
        <v/>
      </c>
      <c r="AH23" s="25">
        <f>AH14*Effective!$E$30</f>
        <v/>
      </c>
      <c r="AI23" s="25">
        <f>AI14*Effective!$E$30</f>
        <v/>
      </c>
      <c r="AJ23" s="25">
        <f>AJ14*Effective!$E$30</f>
        <v/>
      </c>
      <c r="AK23" s="25">
        <f>AK14*Effective!$E$30</f>
        <v/>
      </c>
      <c r="AL23" s="25">
        <f>AL14*Effective!$E$30</f>
        <v/>
      </c>
      <c r="AM23" s="25">
        <f>AM14*Effective!$E$30</f>
        <v/>
      </c>
      <c r="AN23" s="25">
        <f>AN14*Effective!$E$30</f>
        <v/>
      </c>
      <c r="AO23" s="25">
        <f>AO14*Effective!$E$30</f>
        <v/>
      </c>
      <c r="AP23" s="25">
        <f>AP14*Effective!$E$30</f>
        <v/>
      </c>
      <c r="AQ23" s="25">
        <f>AQ14*Effective!$E$30</f>
        <v/>
      </c>
      <c r="AR23" s="25">
        <f>AR14*Effective!$E$30</f>
        <v/>
      </c>
      <c r="AS23" s="25">
        <f>AS14*Effective!$E$30</f>
        <v/>
      </c>
      <c r="AT23" s="25">
        <f>AT14*Effective!$E$30</f>
        <v/>
      </c>
      <c r="AU23" s="25">
        <f>AU14*Effective!$E$30</f>
        <v/>
      </c>
      <c r="AV23" s="25">
        <f>AV14*Effective!$E$30</f>
        <v/>
      </c>
      <c r="AW23" s="25">
        <f>AW14*Effective!$E$30</f>
        <v/>
      </c>
      <c r="AX23" s="25">
        <f>AX14*Effective!$E$30</f>
        <v/>
      </c>
      <c r="AY23" s="25">
        <f>AY14*Effective!$E$30</f>
        <v/>
      </c>
      <c r="AZ23" s="25">
        <f>AZ14*Effective!$E$30</f>
        <v/>
      </c>
      <c r="BA23" s="25">
        <f>BA14*Effective!$E$30</f>
        <v/>
      </c>
      <c r="BB23" s="25">
        <f>BB14*Effective!$E$30</f>
        <v/>
      </c>
      <c r="BC23" s="25">
        <f>BC14*Effective!$E$30</f>
        <v/>
      </c>
      <c r="BD23" s="25">
        <f>BD14*Effective!$E$30</f>
        <v/>
      </c>
      <c r="BE23" s="25">
        <f>BE14*Effective!$E$30</f>
        <v/>
      </c>
      <c r="BF23" s="25">
        <f>BF14*Effective!$E$30</f>
        <v/>
      </c>
      <c r="BG23" s="25">
        <f>BG14*Effective!$E$30</f>
        <v/>
      </c>
      <c r="BH23" s="25">
        <f>BH14*Effective!$E$30</f>
        <v/>
      </c>
      <c r="BI23" s="25">
        <f>BI14*Effective!$E$30</f>
        <v/>
      </c>
      <c r="BJ23" s="25">
        <f>BJ14*Effective!$E$30</f>
        <v/>
      </c>
      <c r="BK23" s="25">
        <f>BK14*Effective!$E$30</f>
        <v/>
      </c>
      <c r="BL23" s="25">
        <f>BL14*Effective!$E$30</f>
        <v/>
      </c>
      <c r="BM23" s="25">
        <f>BM14*Effective!$E$30</f>
        <v/>
      </c>
      <c r="BN23" s="25">
        <f>BN14*Effective!$E$30</f>
        <v/>
      </c>
      <c r="BO23" s="25">
        <f>BO14*Effective!$E$30</f>
        <v/>
      </c>
      <c r="BP23" s="25">
        <f>BP14*Effective!$E$30</f>
        <v/>
      </c>
      <c r="BQ23" s="25">
        <f>BQ14*Effective!$E$30</f>
        <v/>
      </c>
      <c r="BR23" s="25">
        <f>BR14*Effective!$E$30</f>
        <v/>
      </c>
      <c r="BS23" s="25">
        <f>BS14*Effective!$E$30</f>
        <v/>
      </c>
      <c r="BT23" s="25">
        <f>BT14*Effective!$E$30</f>
        <v/>
      </c>
      <c r="BU23" s="25">
        <f>BU14*Effective!$E$30</f>
        <v/>
      </c>
      <c r="BV23" s="25">
        <f>BV14*Effective!$E$30</f>
        <v/>
      </c>
      <c r="BW23" s="25">
        <f>BW14*Effective!$E$30</f>
        <v/>
      </c>
      <c r="BX23" s="25">
        <f>BX14*Effective!$E$30</f>
        <v/>
      </c>
      <c r="BY23" s="25">
        <f>BY14*Effective!$E$30</f>
        <v/>
      </c>
      <c r="BZ23" s="25">
        <f>BZ14*Effective!$E$30</f>
        <v/>
      </c>
      <c r="CA23" s="25">
        <f>CA14*Effective!$E$30</f>
        <v/>
      </c>
      <c r="CB23" s="25">
        <f>CB14*Effective!$E$30</f>
        <v/>
      </c>
      <c r="CC23" s="25">
        <f>CC14*Effective!$E$30</f>
        <v/>
      </c>
      <c r="CD23" s="25">
        <f>CD14*Effective!$E$30</f>
        <v/>
      </c>
      <c r="CE23" s="25">
        <f>CE14*Effective!$E$30</f>
        <v/>
      </c>
      <c r="CF23" s="25">
        <f>CF14*Effective!$E$30</f>
        <v/>
      </c>
      <c r="CG23" s="25">
        <f>CG14*Effective!$E$30</f>
        <v/>
      </c>
      <c r="CH23" s="25">
        <f>CH14*Effective!$E$30</f>
        <v/>
      </c>
      <c r="CI23" s="25">
        <f>CI14*Effective!$E$30</f>
        <v/>
      </c>
      <c r="CJ23" s="25">
        <f>CJ14*Effective!$E$30</f>
        <v/>
      </c>
      <c r="CK23" s="25">
        <f>CK14*Effective!$E$30</f>
        <v/>
      </c>
      <c r="CL23" s="25">
        <f>CL14*Effective!$E$30</f>
        <v/>
      </c>
      <c r="CM23" s="25">
        <f>CM14*Effective!$E$30</f>
        <v/>
      </c>
      <c r="CN23" s="25">
        <f>CN14*Effective!$E$30</f>
        <v/>
      </c>
      <c r="CO23" s="25">
        <f>CO14*Effective!$E$30</f>
        <v/>
      </c>
      <c r="CP23" s="25">
        <f>CP14*Effective!$E$30</f>
        <v/>
      </c>
      <c r="CQ23" s="25">
        <f>CQ14*Effective!$E$30</f>
        <v/>
      </c>
      <c r="CR23" s="25">
        <f>CR14*Effective!$E$30</f>
        <v/>
      </c>
      <c r="CS23" s="25">
        <f>CS14*Effective!$E$30</f>
        <v/>
      </c>
      <c r="CT23" s="25">
        <f>CT14*Effective!$E$30</f>
        <v/>
      </c>
      <c r="CU23" s="25">
        <f>CU14*Effective!$E$30</f>
        <v/>
      </c>
      <c r="CV23" s="25">
        <f>CV14*Effective!$E$30</f>
        <v/>
      </c>
      <c r="CW23" s="25">
        <f>CW14*Effective!$E$30</f>
        <v/>
      </c>
      <c r="CX23" s="25">
        <f>CX14*Effective!$E$30</f>
        <v/>
      </c>
      <c r="CY23" s="25">
        <f>CY14*Effective!$E$30</f>
        <v/>
      </c>
      <c r="CZ23" s="25">
        <f>CZ14*Effective!$E$30</f>
        <v/>
      </c>
      <c r="DA23" s="25">
        <f>DA14*Effective!$E$30</f>
        <v/>
      </c>
      <c r="DB23" s="25">
        <f>DB14*Effective!$E$30</f>
        <v/>
      </c>
      <c r="DC23" s="25">
        <f>DC14*Effective!$E$30</f>
        <v/>
      </c>
      <c r="DD23" s="25">
        <f>DD14*Effective!$E$30</f>
        <v/>
      </c>
      <c r="DE23" s="25">
        <f>DE14*Effective!$E$30</f>
        <v/>
      </c>
      <c r="DF23" s="25">
        <f>DF14*Effective!$E$30</f>
        <v/>
      </c>
      <c r="DG23" s="25">
        <f>DG14*Effective!$E$30</f>
        <v/>
      </c>
      <c r="DH23" s="25">
        <f>DH14*Effective!$E$30</f>
        <v/>
      </c>
      <c r="DI23" s="25">
        <f>DI14*Effective!$E$30</f>
        <v/>
      </c>
      <c r="DJ23" s="25">
        <f>DJ14*Effective!$E$30</f>
        <v/>
      </c>
      <c r="DK23" s="25">
        <f>DK14*Effective!$E$30</f>
        <v/>
      </c>
      <c r="DL23" s="25">
        <f>DL14*Effective!$E$30</f>
        <v/>
      </c>
      <c r="DM23" s="25">
        <f>DM14*Effective!$E$30</f>
        <v/>
      </c>
      <c r="DN23" s="25">
        <f>DN14*Effective!$E$30</f>
        <v/>
      </c>
      <c r="DO23" s="25">
        <f>DO14*Effective!$E$30</f>
        <v/>
      </c>
      <c r="DP23" s="25">
        <f>DP14*Effective!$E$30</f>
        <v/>
      </c>
      <c r="DQ23" s="25">
        <f>DQ14*Effective!$E$30</f>
        <v/>
      </c>
      <c r="DR23" s="25">
        <f>DR14*Effective!$E$30</f>
        <v/>
      </c>
    </row>
    <row r="24">
      <c r="A24" t="inlineStr">
        <is>
          <t>cogs_ch6</t>
        </is>
      </c>
      <c r="C24" s="25">
        <f>C15*Effective!$E$31</f>
        <v/>
      </c>
      <c r="D24" s="25">
        <f>D15*Effective!$E$31</f>
        <v/>
      </c>
      <c r="E24" s="25">
        <f>E15*Effective!$E$31</f>
        <v/>
      </c>
      <c r="F24" s="25">
        <f>F15*Effective!$E$31</f>
        <v/>
      </c>
      <c r="G24" s="25">
        <f>G15*Effective!$E$31</f>
        <v/>
      </c>
      <c r="H24" s="25">
        <f>H15*Effective!$E$31</f>
        <v/>
      </c>
      <c r="I24" s="25">
        <f>I15*Effective!$E$31</f>
        <v/>
      </c>
      <c r="J24" s="25">
        <f>J15*Effective!$E$31</f>
        <v/>
      </c>
      <c r="K24" s="25">
        <f>K15*Effective!$E$31</f>
        <v/>
      </c>
      <c r="L24" s="25">
        <f>L15*Effective!$E$31</f>
        <v/>
      </c>
      <c r="M24" s="25">
        <f>M15*Effective!$E$31</f>
        <v/>
      </c>
      <c r="N24" s="25">
        <f>N15*Effective!$E$31</f>
        <v/>
      </c>
      <c r="O24" s="25">
        <f>O15*Effective!$E$31</f>
        <v/>
      </c>
      <c r="P24" s="25">
        <f>P15*Effective!$E$31</f>
        <v/>
      </c>
      <c r="Q24" s="25">
        <f>Q15*Effective!$E$31</f>
        <v/>
      </c>
      <c r="R24" s="25">
        <f>R15*Effective!$E$31</f>
        <v/>
      </c>
      <c r="S24" s="25">
        <f>S15*Effective!$E$31</f>
        <v/>
      </c>
      <c r="T24" s="25">
        <f>T15*Effective!$E$31</f>
        <v/>
      </c>
      <c r="U24" s="25">
        <f>U15*Effective!$E$31</f>
        <v/>
      </c>
      <c r="V24" s="25">
        <f>V15*Effective!$E$31</f>
        <v/>
      </c>
      <c r="W24" s="25">
        <f>W15*Effective!$E$31</f>
        <v/>
      </c>
      <c r="X24" s="25">
        <f>X15*Effective!$E$31</f>
        <v/>
      </c>
      <c r="Y24" s="25">
        <f>Y15*Effective!$E$31</f>
        <v/>
      </c>
      <c r="Z24" s="25">
        <f>Z15*Effective!$E$31</f>
        <v/>
      </c>
      <c r="AA24" s="25">
        <f>AA15*Effective!$E$31</f>
        <v/>
      </c>
      <c r="AB24" s="25">
        <f>AB15*Effective!$E$31</f>
        <v/>
      </c>
      <c r="AC24" s="25">
        <f>AC15*Effective!$E$31</f>
        <v/>
      </c>
      <c r="AD24" s="25">
        <f>AD15*Effective!$E$31</f>
        <v/>
      </c>
      <c r="AE24" s="25">
        <f>AE15*Effective!$E$31</f>
        <v/>
      </c>
      <c r="AF24" s="25">
        <f>AF15*Effective!$E$31</f>
        <v/>
      </c>
      <c r="AG24" s="25">
        <f>AG15*Effective!$E$31</f>
        <v/>
      </c>
      <c r="AH24" s="25">
        <f>AH15*Effective!$E$31</f>
        <v/>
      </c>
      <c r="AI24" s="25">
        <f>AI15*Effective!$E$31</f>
        <v/>
      </c>
      <c r="AJ24" s="25">
        <f>AJ15*Effective!$E$31</f>
        <v/>
      </c>
      <c r="AK24" s="25">
        <f>AK15*Effective!$E$31</f>
        <v/>
      </c>
      <c r="AL24" s="25">
        <f>AL15*Effective!$E$31</f>
        <v/>
      </c>
      <c r="AM24" s="25">
        <f>AM15*Effective!$E$31</f>
        <v/>
      </c>
      <c r="AN24" s="25">
        <f>AN15*Effective!$E$31</f>
        <v/>
      </c>
      <c r="AO24" s="25">
        <f>AO15*Effective!$E$31</f>
        <v/>
      </c>
      <c r="AP24" s="25">
        <f>AP15*Effective!$E$31</f>
        <v/>
      </c>
      <c r="AQ24" s="25">
        <f>AQ15*Effective!$E$31</f>
        <v/>
      </c>
      <c r="AR24" s="25">
        <f>AR15*Effective!$E$31</f>
        <v/>
      </c>
      <c r="AS24" s="25">
        <f>AS15*Effective!$E$31</f>
        <v/>
      </c>
      <c r="AT24" s="25">
        <f>AT15*Effective!$E$31</f>
        <v/>
      </c>
      <c r="AU24" s="25">
        <f>AU15*Effective!$E$31</f>
        <v/>
      </c>
      <c r="AV24" s="25">
        <f>AV15*Effective!$E$31</f>
        <v/>
      </c>
      <c r="AW24" s="25">
        <f>AW15*Effective!$E$31</f>
        <v/>
      </c>
      <c r="AX24" s="25">
        <f>AX15*Effective!$E$31</f>
        <v/>
      </c>
      <c r="AY24" s="25">
        <f>AY15*Effective!$E$31</f>
        <v/>
      </c>
      <c r="AZ24" s="25">
        <f>AZ15*Effective!$E$31</f>
        <v/>
      </c>
      <c r="BA24" s="25">
        <f>BA15*Effective!$E$31</f>
        <v/>
      </c>
      <c r="BB24" s="25">
        <f>BB15*Effective!$E$31</f>
        <v/>
      </c>
      <c r="BC24" s="25">
        <f>BC15*Effective!$E$31</f>
        <v/>
      </c>
      <c r="BD24" s="25">
        <f>BD15*Effective!$E$31</f>
        <v/>
      </c>
      <c r="BE24" s="25">
        <f>BE15*Effective!$E$31</f>
        <v/>
      </c>
      <c r="BF24" s="25">
        <f>BF15*Effective!$E$31</f>
        <v/>
      </c>
      <c r="BG24" s="25">
        <f>BG15*Effective!$E$31</f>
        <v/>
      </c>
      <c r="BH24" s="25">
        <f>BH15*Effective!$E$31</f>
        <v/>
      </c>
      <c r="BI24" s="25">
        <f>BI15*Effective!$E$31</f>
        <v/>
      </c>
      <c r="BJ24" s="25">
        <f>BJ15*Effective!$E$31</f>
        <v/>
      </c>
      <c r="BK24" s="25">
        <f>BK15*Effective!$E$31</f>
        <v/>
      </c>
      <c r="BL24" s="25">
        <f>BL15*Effective!$E$31</f>
        <v/>
      </c>
      <c r="BM24" s="25">
        <f>BM15*Effective!$E$31</f>
        <v/>
      </c>
      <c r="BN24" s="25">
        <f>BN15*Effective!$E$31</f>
        <v/>
      </c>
      <c r="BO24" s="25">
        <f>BO15*Effective!$E$31</f>
        <v/>
      </c>
      <c r="BP24" s="25">
        <f>BP15*Effective!$E$31</f>
        <v/>
      </c>
      <c r="BQ24" s="25">
        <f>BQ15*Effective!$E$31</f>
        <v/>
      </c>
      <c r="BR24" s="25">
        <f>BR15*Effective!$E$31</f>
        <v/>
      </c>
      <c r="BS24" s="25">
        <f>BS15*Effective!$E$31</f>
        <v/>
      </c>
      <c r="BT24" s="25">
        <f>BT15*Effective!$E$31</f>
        <v/>
      </c>
      <c r="BU24" s="25">
        <f>BU15*Effective!$E$31</f>
        <v/>
      </c>
      <c r="BV24" s="25">
        <f>BV15*Effective!$E$31</f>
        <v/>
      </c>
      <c r="BW24" s="25">
        <f>BW15*Effective!$E$31</f>
        <v/>
      </c>
      <c r="BX24" s="25">
        <f>BX15*Effective!$E$31</f>
        <v/>
      </c>
      <c r="BY24" s="25">
        <f>BY15*Effective!$E$31</f>
        <v/>
      </c>
      <c r="BZ24" s="25">
        <f>BZ15*Effective!$E$31</f>
        <v/>
      </c>
      <c r="CA24" s="25">
        <f>CA15*Effective!$E$31</f>
        <v/>
      </c>
      <c r="CB24" s="25">
        <f>CB15*Effective!$E$31</f>
        <v/>
      </c>
      <c r="CC24" s="25">
        <f>CC15*Effective!$E$31</f>
        <v/>
      </c>
      <c r="CD24" s="25">
        <f>CD15*Effective!$E$31</f>
        <v/>
      </c>
      <c r="CE24" s="25">
        <f>CE15*Effective!$E$31</f>
        <v/>
      </c>
      <c r="CF24" s="25">
        <f>CF15*Effective!$E$31</f>
        <v/>
      </c>
      <c r="CG24" s="25">
        <f>CG15*Effective!$E$31</f>
        <v/>
      </c>
      <c r="CH24" s="25">
        <f>CH15*Effective!$E$31</f>
        <v/>
      </c>
      <c r="CI24" s="25">
        <f>CI15*Effective!$E$31</f>
        <v/>
      </c>
      <c r="CJ24" s="25">
        <f>CJ15*Effective!$E$31</f>
        <v/>
      </c>
      <c r="CK24" s="25">
        <f>CK15*Effective!$E$31</f>
        <v/>
      </c>
      <c r="CL24" s="25">
        <f>CL15*Effective!$E$31</f>
        <v/>
      </c>
      <c r="CM24" s="25">
        <f>CM15*Effective!$E$31</f>
        <v/>
      </c>
      <c r="CN24" s="25">
        <f>CN15*Effective!$E$31</f>
        <v/>
      </c>
      <c r="CO24" s="25">
        <f>CO15*Effective!$E$31</f>
        <v/>
      </c>
      <c r="CP24" s="25">
        <f>CP15*Effective!$E$31</f>
        <v/>
      </c>
      <c r="CQ24" s="25">
        <f>CQ15*Effective!$E$31</f>
        <v/>
      </c>
      <c r="CR24" s="25">
        <f>CR15*Effective!$E$31</f>
        <v/>
      </c>
      <c r="CS24" s="25">
        <f>CS15*Effective!$E$31</f>
        <v/>
      </c>
      <c r="CT24" s="25">
        <f>CT15*Effective!$E$31</f>
        <v/>
      </c>
      <c r="CU24" s="25">
        <f>CU15*Effective!$E$31</f>
        <v/>
      </c>
      <c r="CV24" s="25">
        <f>CV15*Effective!$E$31</f>
        <v/>
      </c>
      <c r="CW24" s="25">
        <f>CW15*Effective!$E$31</f>
        <v/>
      </c>
      <c r="CX24" s="25">
        <f>CX15*Effective!$E$31</f>
        <v/>
      </c>
      <c r="CY24" s="25">
        <f>CY15*Effective!$E$31</f>
        <v/>
      </c>
      <c r="CZ24" s="25">
        <f>CZ15*Effective!$E$31</f>
        <v/>
      </c>
      <c r="DA24" s="25">
        <f>DA15*Effective!$E$31</f>
        <v/>
      </c>
      <c r="DB24" s="25">
        <f>DB15*Effective!$E$31</f>
        <v/>
      </c>
      <c r="DC24" s="25">
        <f>DC15*Effective!$E$31</f>
        <v/>
      </c>
      <c r="DD24" s="25">
        <f>DD15*Effective!$E$31</f>
        <v/>
      </c>
      <c r="DE24" s="25">
        <f>DE15*Effective!$E$31</f>
        <v/>
      </c>
      <c r="DF24" s="25">
        <f>DF15*Effective!$E$31</f>
        <v/>
      </c>
      <c r="DG24" s="25">
        <f>DG15*Effective!$E$31</f>
        <v/>
      </c>
      <c r="DH24" s="25">
        <f>DH15*Effective!$E$31</f>
        <v/>
      </c>
      <c r="DI24" s="25">
        <f>DI15*Effective!$E$31</f>
        <v/>
      </c>
      <c r="DJ24" s="25">
        <f>DJ15*Effective!$E$31</f>
        <v/>
      </c>
      <c r="DK24" s="25">
        <f>DK15*Effective!$E$31</f>
        <v/>
      </c>
      <c r="DL24" s="25">
        <f>DL15*Effective!$E$31</f>
        <v/>
      </c>
      <c r="DM24" s="25">
        <f>DM15*Effective!$E$31</f>
        <v/>
      </c>
      <c r="DN24" s="25">
        <f>DN15*Effective!$E$31</f>
        <v/>
      </c>
      <c r="DO24" s="25">
        <f>DO15*Effective!$E$31</f>
        <v/>
      </c>
      <c r="DP24" s="25">
        <f>DP15*Effective!$E$31</f>
        <v/>
      </c>
      <c r="DQ24" s="25">
        <f>DQ15*Effective!$E$31</f>
        <v/>
      </c>
      <c r="DR24" s="25">
        <f>DR15*Effective!$E$31</f>
        <v/>
      </c>
    </row>
    <row r="25">
      <c r="A25" t="inlineStr">
        <is>
          <t>cogs_ch7</t>
        </is>
      </c>
      <c r="C25" s="25">
        <f>C16*Effective!$E$32</f>
        <v/>
      </c>
      <c r="D25" s="25">
        <f>D16*Effective!$E$32</f>
        <v/>
      </c>
      <c r="E25" s="25">
        <f>E16*Effective!$E$32</f>
        <v/>
      </c>
      <c r="F25" s="25">
        <f>F16*Effective!$E$32</f>
        <v/>
      </c>
      <c r="G25" s="25">
        <f>G16*Effective!$E$32</f>
        <v/>
      </c>
      <c r="H25" s="25">
        <f>H16*Effective!$E$32</f>
        <v/>
      </c>
      <c r="I25" s="25">
        <f>I16*Effective!$E$32</f>
        <v/>
      </c>
      <c r="J25" s="25">
        <f>J16*Effective!$E$32</f>
        <v/>
      </c>
      <c r="K25" s="25">
        <f>K16*Effective!$E$32</f>
        <v/>
      </c>
      <c r="L25" s="25">
        <f>L16*Effective!$E$32</f>
        <v/>
      </c>
      <c r="M25" s="25">
        <f>M16*Effective!$E$32</f>
        <v/>
      </c>
      <c r="N25" s="25">
        <f>N16*Effective!$E$32</f>
        <v/>
      </c>
      <c r="O25" s="25">
        <f>O16*Effective!$E$32</f>
        <v/>
      </c>
      <c r="P25" s="25">
        <f>P16*Effective!$E$32</f>
        <v/>
      </c>
      <c r="Q25" s="25">
        <f>Q16*Effective!$E$32</f>
        <v/>
      </c>
      <c r="R25" s="25">
        <f>R16*Effective!$E$32</f>
        <v/>
      </c>
      <c r="S25" s="25">
        <f>S16*Effective!$E$32</f>
        <v/>
      </c>
      <c r="T25" s="25">
        <f>T16*Effective!$E$32</f>
        <v/>
      </c>
      <c r="U25" s="25">
        <f>U16*Effective!$E$32</f>
        <v/>
      </c>
      <c r="V25" s="25">
        <f>V16*Effective!$E$32</f>
        <v/>
      </c>
      <c r="W25" s="25">
        <f>W16*Effective!$E$32</f>
        <v/>
      </c>
      <c r="X25" s="25">
        <f>X16*Effective!$E$32</f>
        <v/>
      </c>
      <c r="Y25" s="25">
        <f>Y16*Effective!$E$32</f>
        <v/>
      </c>
      <c r="Z25" s="25">
        <f>Z16*Effective!$E$32</f>
        <v/>
      </c>
      <c r="AA25" s="25">
        <f>AA16*Effective!$E$32</f>
        <v/>
      </c>
      <c r="AB25" s="25">
        <f>AB16*Effective!$E$32</f>
        <v/>
      </c>
      <c r="AC25" s="25">
        <f>AC16*Effective!$E$32</f>
        <v/>
      </c>
      <c r="AD25" s="25">
        <f>AD16*Effective!$E$32</f>
        <v/>
      </c>
      <c r="AE25" s="25">
        <f>AE16*Effective!$E$32</f>
        <v/>
      </c>
      <c r="AF25" s="25">
        <f>AF16*Effective!$E$32</f>
        <v/>
      </c>
      <c r="AG25" s="25">
        <f>AG16*Effective!$E$32</f>
        <v/>
      </c>
      <c r="AH25" s="25">
        <f>AH16*Effective!$E$32</f>
        <v/>
      </c>
      <c r="AI25" s="25">
        <f>AI16*Effective!$E$32</f>
        <v/>
      </c>
      <c r="AJ25" s="25">
        <f>AJ16*Effective!$E$32</f>
        <v/>
      </c>
      <c r="AK25" s="25">
        <f>AK16*Effective!$E$32</f>
        <v/>
      </c>
      <c r="AL25" s="25">
        <f>AL16*Effective!$E$32</f>
        <v/>
      </c>
      <c r="AM25" s="25">
        <f>AM16*Effective!$E$32</f>
        <v/>
      </c>
      <c r="AN25" s="25">
        <f>AN16*Effective!$E$32</f>
        <v/>
      </c>
      <c r="AO25" s="25">
        <f>AO16*Effective!$E$32</f>
        <v/>
      </c>
      <c r="AP25" s="25">
        <f>AP16*Effective!$E$32</f>
        <v/>
      </c>
      <c r="AQ25" s="25">
        <f>AQ16*Effective!$E$32</f>
        <v/>
      </c>
      <c r="AR25" s="25">
        <f>AR16*Effective!$E$32</f>
        <v/>
      </c>
      <c r="AS25" s="25">
        <f>AS16*Effective!$E$32</f>
        <v/>
      </c>
      <c r="AT25" s="25">
        <f>AT16*Effective!$E$32</f>
        <v/>
      </c>
      <c r="AU25" s="25">
        <f>AU16*Effective!$E$32</f>
        <v/>
      </c>
      <c r="AV25" s="25">
        <f>AV16*Effective!$E$32</f>
        <v/>
      </c>
      <c r="AW25" s="25">
        <f>AW16*Effective!$E$32</f>
        <v/>
      </c>
      <c r="AX25" s="25">
        <f>AX16*Effective!$E$32</f>
        <v/>
      </c>
      <c r="AY25" s="25">
        <f>AY16*Effective!$E$32</f>
        <v/>
      </c>
      <c r="AZ25" s="25">
        <f>AZ16*Effective!$E$32</f>
        <v/>
      </c>
      <c r="BA25" s="25">
        <f>BA16*Effective!$E$32</f>
        <v/>
      </c>
      <c r="BB25" s="25">
        <f>BB16*Effective!$E$32</f>
        <v/>
      </c>
      <c r="BC25" s="25">
        <f>BC16*Effective!$E$32</f>
        <v/>
      </c>
      <c r="BD25" s="25">
        <f>BD16*Effective!$E$32</f>
        <v/>
      </c>
      <c r="BE25" s="25">
        <f>BE16*Effective!$E$32</f>
        <v/>
      </c>
      <c r="BF25" s="25">
        <f>BF16*Effective!$E$32</f>
        <v/>
      </c>
      <c r="BG25" s="25">
        <f>BG16*Effective!$E$32</f>
        <v/>
      </c>
      <c r="BH25" s="25">
        <f>BH16*Effective!$E$32</f>
        <v/>
      </c>
      <c r="BI25" s="25">
        <f>BI16*Effective!$E$32</f>
        <v/>
      </c>
      <c r="BJ25" s="25">
        <f>BJ16*Effective!$E$32</f>
        <v/>
      </c>
      <c r="BK25" s="25">
        <f>BK16*Effective!$E$32</f>
        <v/>
      </c>
      <c r="BL25" s="25">
        <f>BL16*Effective!$E$32</f>
        <v/>
      </c>
      <c r="BM25" s="25">
        <f>BM16*Effective!$E$32</f>
        <v/>
      </c>
      <c r="BN25" s="25">
        <f>BN16*Effective!$E$32</f>
        <v/>
      </c>
      <c r="BO25" s="25">
        <f>BO16*Effective!$E$32</f>
        <v/>
      </c>
      <c r="BP25" s="25">
        <f>BP16*Effective!$E$32</f>
        <v/>
      </c>
      <c r="BQ25" s="25">
        <f>BQ16*Effective!$E$32</f>
        <v/>
      </c>
      <c r="BR25" s="25">
        <f>BR16*Effective!$E$32</f>
        <v/>
      </c>
      <c r="BS25" s="25">
        <f>BS16*Effective!$E$32</f>
        <v/>
      </c>
      <c r="BT25" s="25">
        <f>BT16*Effective!$E$32</f>
        <v/>
      </c>
      <c r="BU25" s="25">
        <f>BU16*Effective!$E$32</f>
        <v/>
      </c>
      <c r="BV25" s="25">
        <f>BV16*Effective!$E$32</f>
        <v/>
      </c>
      <c r="BW25" s="25">
        <f>BW16*Effective!$E$32</f>
        <v/>
      </c>
      <c r="BX25" s="25">
        <f>BX16*Effective!$E$32</f>
        <v/>
      </c>
      <c r="BY25" s="25">
        <f>BY16*Effective!$E$32</f>
        <v/>
      </c>
      <c r="BZ25" s="25">
        <f>BZ16*Effective!$E$32</f>
        <v/>
      </c>
      <c r="CA25" s="25">
        <f>CA16*Effective!$E$32</f>
        <v/>
      </c>
      <c r="CB25" s="25">
        <f>CB16*Effective!$E$32</f>
        <v/>
      </c>
      <c r="CC25" s="25">
        <f>CC16*Effective!$E$32</f>
        <v/>
      </c>
      <c r="CD25" s="25">
        <f>CD16*Effective!$E$32</f>
        <v/>
      </c>
      <c r="CE25" s="25">
        <f>CE16*Effective!$E$32</f>
        <v/>
      </c>
      <c r="CF25" s="25">
        <f>CF16*Effective!$E$32</f>
        <v/>
      </c>
      <c r="CG25" s="25">
        <f>CG16*Effective!$E$32</f>
        <v/>
      </c>
      <c r="CH25" s="25">
        <f>CH16*Effective!$E$32</f>
        <v/>
      </c>
      <c r="CI25" s="25">
        <f>CI16*Effective!$E$32</f>
        <v/>
      </c>
      <c r="CJ25" s="25">
        <f>CJ16*Effective!$E$32</f>
        <v/>
      </c>
      <c r="CK25" s="25">
        <f>CK16*Effective!$E$32</f>
        <v/>
      </c>
      <c r="CL25" s="25">
        <f>CL16*Effective!$E$32</f>
        <v/>
      </c>
      <c r="CM25" s="25">
        <f>CM16*Effective!$E$32</f>
        <v/>
      </c>
      <c r="CN25" s="25">
        <f>CN16*Effective!$E$32</f>
        <v/>
      </c>
      <c r="CO25" s="25">
        <f>CO16*Effective!$E$32</f>
        <v/>
      </c>
      <c r="CP25" s="25">
        <f>CP16*Effective!$E$32</f>
        <v/>
      </c>
      <c r="CQ25" s="25">
        <f>CQ16*Effective!$E$32</f>
        <v/>
      </c>
      <c r="CR25" s="25">
        <f>CR16*Effective!$E$32</f>
        <v/>
      </c>
      <c r="CS25" s="25">
        <f>CS16*Effective!$E$32</f>
        <v/>
      </c>
      <c r="CT25" s="25">
        <f>CT16*Effective!$E$32</f>
        <v/>
      </c>
      <c r="CU25" s="25">
        <f>CU16*Effective!$E$32</f>
        <v/>
      </c>
      <c r="CV25" s="25">
        <f>CV16*Effective!$E$32</f>
        <v/>
      </c>
      <c r="CW25" s="25">
        <f>CW16*Effective!$E$32</f>
        <v/>
      </c>
      <c r="CX25" s="25">
        <f>CX16*Effective!$E$32</f>
        <v/>
      </c>
      <c r="CY25" s="25">
        <f>CY16*Effective!$E$32</f>
        <v/>
      </c>
      <c r="CZ25" s="25">
        <f>CZ16*Effective!$E$32</f>
        <v/>
      </c>
      <c r="DA25" s="25">
        <f>DA16*Effective!$E$32</f>
        <v/>
      </c>
      <c r="DB25" s="25">
        <f>DB16*Effective!$E$32</f>
        <v/>
      </c>
      <c r="DC25" s="25">
        <f>DC16*Effective!$E$32</f>
        <v/>
      </c>
      <c r="DD25" s="25">
        <f>DD16*Effective!$E$32</f>
        <v/>
      </c>
      <c r="DE25" s="25">
        <f>DE16*Effective!$E$32</f>
        <v/>
      </c>
      <c r="DF25" s="25">
        <f>DF16*Effective!$E$32</f>
        <v/>
      </c>
      <c r="DG25" s="25">
        <f>DG16*Effective!$E$32</f>
        <v/>
      </c>
      <c r="DH25" s="25">
        <f>DH16*Effective!$E$32</f>
        <v/>
      </c>
      <c r="DI25" s="25">
        <f>DI16*Effective!$E$32</f>
        <v/>
      </c>
      <c r="DJ25" s="25">
        <f>DJ16*Effective!$E$32</f>
        <v/>
      </c>
      <c r="DK25" s="25">
        <f>DK16*Effective!$E$32</f>
        <v/>
      </c>
      <c r="DL25" s="25">
        <f>DL16*Effective!$E$32</f>
        <v/>
      </c>
      <c r="DM25" s="25">
        <f>DM16*Effective!$E$32</f>
        <v/>
      </c>
      <c r="DN25" s="25">
        <f>DN16*Effective!$E$32</f>
        <v/>
      </c>
      <c r="DO25" s="25">
        <f>DO16*Effective!$E$32</f>
        <v/>
      </c>
      <c r="DP25" s="25">
        <f>DP16*Effective!$E$32</f>
        <v/>
      </c>
      <c r="DQ25" s="25">
        <f>DQ16*Effective!$E$32</f>
        <v/>
      </c>
      <c r="DR25" s="25">
        <f>DR16*Effective!$E$32</f>
        <v/>
      </c>
    </row>
    <row r="26">
      <c r="A26" t="inlineStr">
        <is>
          <t>cogs_ch8</t>
        </is>
      </c>
      <c r="C26" s="25">
        <f>C17*Effective!$E$33</f>
        <v/>
      </c>
      <c r="D26" s="25">
        <f>D17*Effective!$E$33</f>
        <v/>
      </c>
      <c r="E26" s="25">
        <f>E17*Effective!$E$33</f>
        <v/>
      </c>
      <c r="F26" s="25">
        <f>F17*Effective!$E$33</f>
        <v/>
      </c>
      <c r="G26" s="25">
        <f>G17*Effective!$E$33</f>
        <v/>
      </c>
      <c r="H26" s="25">
        <f>H17*Effective!$E$33</f>
        <v/>
      </c>
      <c r="I26" s="25">
        <f>I17*Effective!$E$33</f>
        <v/>
      </c>
      <c r="J26" s="25">
        <f>J17*Effective!$E$33</f>
        <v/>
      </c>
      <c r="K26" s="25">
        <f>K17*Effective!$E$33</f>
        <v/>
      </c>
      <c r="L26" s="25">
        <f>L17*Effective!$E$33</f>
        <v/>
      </c>
      <c r="M26" s="25">
        <f>M17*Effective!$E$33</f>
        <v/>
      </c>
      <c r="N26" s="25">
        <f>N17*Effective!$E$33</f>
        <v/>
      </c>
      <c r="O26" s="25">
        <f>O17*Effective!$E$33</f>
        <v/>
      </c>
      <c r="P26" s="25">
        <f>P17*Effective!$E$33</f>
        <v/>
      </c>
      <c r="Q26" s="25">
        <f>Q17*Effective!$E$33</f>
        <v/>
      </c>
      <c r="R26" s="25">
        <f>R17*Effective!$E$33</f>
        <v/>
      </c>
      <c r="S26" s="25">
        <f>S17*Effective!$E$33</f>
        <v/>
      </c>
      <c r="T26" s="25">
        <f>T17*Effective!$E$33</f>
        <v/>
      </c>
      <c r="U26" s="25">
        <f>U17*Effective!$E$33</f>
        <v/>
      </c>
      <c r="V26" s="25">
        <f>V17*Effective!$E$33</f>
        <v/>
      </c>
      <c r="W26" s="25">
        <f>W17*Effective!$E$33</f>
        <v/>
      </c>
      <c r="X26" s="25">
        <f>X17*Effective!$E$33</f>
        <v/>
      </c>
      <c r="Y26" s="25">
        <f>Y17*Effective!$E$33</f>
        <v/>
      </c>
      <c r="Z26" s="25">
        <f>Z17*Effective!$E$33</f>
        <v/>
      </c>
      <c r="AA26" s="25">
        <f>AA17*Effective!$E$33</f>
        <v/>
      </c>
      <c r="AB26" s="25">
        <f>AB17*Effective!$E$33</f>
        <v/>
      </c>
      <c r="AC26" s="25">
        <f>AC17*Effective!$E$33</f>
        <v/>
      </c>
      <c r="AD26" s="25">
        <f>AD17*Effective!$E$33</f>
        <v/>
      </c>
      <c r="AE26" s="25">
        <f>AE17*Effective!$E$33</f>
        <v/>
      </c>
      <c r="AF26" s="25">
        <f>AF17*Effective!$E$33</f>
        <v/>
      </c>
      <c r="AG26" s="25">
        <f>AG17*Effective!$E$33</f>
        <v/>
      </c>
      <c r="AH26" s="25">
        <f>AH17*Effective!$E$33</f>
        <v/>
      </c>
      <c r="AI26" s="25">
        <f>AI17*Effective!$E$33</f>
        <v/>
      </c>
      <c r="AJ26" s="25">
        <f>AJ17*Effective!$E$33</f>
        <v/>
      </c>
      <c r="AK26" s="25">
        <f>AK17*Effective!$E$33</f>
        <v/>
      </c>
      <c r="AL26" s="25">
        <f>AL17*Effective!$E$33</f>
        <v/>
      </c>
      <c r="AM26" s="25">
        <f>AM17*Effective!$E$33</f>
        <v/>
      </c>
      <c r="AN26" s="25">
        <f>AN17*Effective!$E$33</f>
        <v/>
      </c>
      <c r="AO26" s="25">
        <f>AO17*Effective!$E$33</f>
        <v/>
      </c>
      <c r="AP26" s="25">
        <f>AP17*Effective!$E$33</f>
        <v/>
      </c>
      <c r="AQ26" s="25">
        <f>AQ17*Effective!$E$33</f>
        <v/>
      </c>
      <c r="AR26" s="25">
        <f>AR17*Effective!$E$33</f>
        <v/>
      </c>
      <c r="AS26" s="25">
        <f>AS17*Effective!$E$33</f>
        <v/>
      </c>
      <c r="AT26" s="25">
        <f>AT17*Effective!$E$33</f>
        <v/>
      </c>
      <c r="AU26" s="25">
        <f>AU17*Effective!$E$33</f>
        <v/>
      </c>
      <c r="AV26" s="25">
        <f>AV17*Effective!$E$33</f>
        <v/>
      </c>
      <c r="AW26" s="25">
        <f>AW17*Effective!$E$33</f>
        <v/>
      </c>
      <c r="AX26" s="25">
        <f>AX17*Effective!$E$33</f>
        <v/>
      </c>
      <c r="AY26" s="25">
        <f>AY17*Effective!$E$33</f>
        <v/>
      </c>
      <c r="AZ26" s="25">
        <f>AZ17*Effective!$E$33</f>
        <v/>
      </c>
      <c r="BA26" s="25">
        <f>BA17*Effective!$E$33</f>
        <v/>
      </c>
      <c r="BB26" s="25">
        <f>BB17*Effective!$E$33</f>
        <v/>
      </c>
      <c r="BC26" s="25">
        <f>BC17*Effective!$E$33</f>
        <v/>
      </c>
      <c r="BD26" s="25">
        <f>BD17*Effective!$E$33</f>
        <v/>
      </c>
      <c r="BE26" s="25">
        <f>BE17*Effective!$E$33</f>
        <v/>
      </c>
      <c r="BF26" s="25">
        <f>BF17*Effective!$E$33</f>
        <v/>
      </c>
      <c r="BG26" s="25">
        <f>BG17*Effective!$E$33</f>
        <v/>
      </c>
      <c r="BH26" s="25">
        <f>BH17*Effective!$E$33</f>
        <v/>
      </c>
      <c r="BI26" s="25">
        <f>BI17*Effective!$E$33</f>
        <v/>
      </c>
      <c r="BJ26" s="25">
        <f>BJ17*Effective!$E$33</f>
        <v/>
      </c>
      <c r="BK26" s="25">
        <f>BK17*Effective!$E$33</f>
        <v/>
      </c>
      <c r="BL26" s="25">
        <f>BL17*Effective!$E$33</f>
        <v/>
      </c>
      <c r="BM26" s="25">
        <f>BM17*Effective!$E$33</f>
        <v/>
      </c>
      <c r="BN26" s="25">
        <f>BN17*Effective!$E$33</f>
        <v/>
      </c>
      <c r="BO26" s="25">
        <f>BO17*Effective!$E$33</f>
        <v/>
      </c>
      <c r="BP26" s="25">
        <f>BP17*Effective!$E$33</f>
        <v/>
      </c>
      <c r="BQ26" s="25">
        <f>BQ17*Effective!$E$33</f>
        <v/>
      </c>
      <c r="BR26" s="25">
        <f>BR17*Effective!$E$33</f>
        <v/>
      </c>
      <c r="BS26" s="25">
        <f>BS17*Effective!$E$33</f>
        <v/>
      </c>
      <c r="BT26" s="25">
        <f>BT17*Effective!$E$33</f>
        <v/>
      </c>
      <c r="BU26" s="25">
        <f>BU17*Effective!$E$33</f>
        <v/>
      </c>
      <c r="BV26" s="25">
        <f>BV17*Effective!$E$33</f>
        <v/>
      </c>
      <c r="BW26" s="25">
        <f>BW17*Effective!$E$33</f>
        <v/>
      </c>
      <c r="BX26" s="25">
        <f>BX17*Effective!$E$33</f>
        <v/>
      </c>
      <c r="BY26" s="25">
        <f>BY17*Effective!$E$33</f>
        <v/>
      </c>
      <c r="BZ26" s="25">
        <f>BZ17*Effective!$E$33</f>
        <v/>
      </c>
      <c r="CA26" s="25">
        <f>CA17*Effective!$E$33</f>
        <v/>
      </c>
      <c r="CB26" s="25">
        <f>CB17*Effective!$E$33</f>
        <v/>
      </c>
      <c r="CC26" s="25">
        <f>CC17*Effective!$E$33</f>
        <v/>
      </c>
      <c r="CD26" s="25">
        <f>CD17*Effective!$E$33</f>
        <v/>
      </c>
      <c r="CE26" s="25">
        <f>CE17*Effective!$E$33</f>
        <v/>
      </c>
      <c r="CF26" s="25">
        <f>CF17*Effective!$E$33</f>
        <v/>
      </c>
      <c r="CG26" s="25">
        <f>CG17*Effective!$E$33</f>
        <v/>
      </c>
      <c r="CH26" s="25">
        <f>CH17*Effective!$E$33</f>
        <v/>
      </c>
      <c r="CI26" s="25">
        <f>CI17*Effective!$E$33</f>
        <v/>
      </c>
      <c r="CJ26" s="25">
        <f>CJ17*Effective!$E$33</f>
        <v/>
      </c>
      <c r="CK26" s="25">
        <f>CK17*Effective!$E$33</f>
        <v/>
      </c>
      <c r="CL26" s="25">
        <f>CL17*Effective!$E$33</f>
        <v/>
      </c>
      <c r="CM26" s="25">
        <f>CM17*Effective!$E$33</f>
        <v/>
      </c>
      <c r="CN26" s="25">
        <f>CN17*Effective!$E$33</f>
        <v/>
      </c>
      <c r="CO26" s="25">
        <f>CO17*Effective!$E$33</f>
        <v/>
      </c>
      <c r="CP26" s="25">
        <f>CP17*Effective!$E$33</f>
        <v/>
      </c>
      <c r="CQ26" s="25">
        <f>CQ17*Effective!$E$33</f>
        <v/>
      </c>
      <c r="CR26" s="25">
        <f>CR17*Effective!$E$33</f>
        <v/>
      </c>
      <c r="CS26" s="25">
        <f>CS17*Effective!$E$33</f>
        <v/>
      </c>
      <c r="CT26" s="25">
        <f>CT17*Effective!$E$33</f>
        <v/>
      </c>
      <c r="CU26" s="25">
        <f>CU17*Effective!$E$33</f>
        <v/>
      </c>
      <c r="CV26" s="25">
        <f>CV17*Effective!$E$33</f>
        <v/>
      </c>
      <c r="CW26" s="25">
        <f>CW17*Effective!$E$33</f>
        <v/>
      </c>
      <c r="CX26" s="25">
        <f>CX17*Effective!$E$33</f>
        <v/>
      </c>
      <c r="CY26" s="25">
        <f>CY17*Effective!$E$33</f>
        <v/>
      </c>
      <c r="CZ26" s="25">
        <f>CZ17*Effective!$E$33</f>
        <v/>
      </c>
      <c r="DA26" s="25">
        <f>DA17*Effective!$E$33</f>
        <v/>
      </c>
      <c r="DB26" s="25">
        <f>DB17*Effective!$E$33</f>
        <v/>
      </c>
      <c r="DC26" s="25">
        <f>DC17*Effective!$E$33</f>
        <v/>
      </c>
      <c r="DD26" s="25">
        <f>DD17*Effective!$E$33</f>
        <v/>
      </c>
      <c r="DE26" s="25">
        <f>DE17*Effective!$E$33</f>
        <v/>
      </c>
      <c r="DF26" s="25">
        <f>DF17*Effective!$E$33</f>
        <v/>
      </c>
      <c r="DG26" s="25">
        <f>DG17*Effective!$E$33</f>
        <v/>
      </c>
      <c r="DH26" s="25">
        <f>DH17*Effective!$E$33</f>
        <v/>
      </c>
      <c r="DI26" s="25">
        <f>DI17*Effective!$E$33</f>
        <v/>
      </c>
      <c r="DJ26" s="25">
        <f>DJ17*Effective!$E$33</f>
        <v/>
      </c>
      <c r="DK26" s="25">
        <f>DK17*Effective!$E$33</f>
        <v/>
      </c>
      <c r="DL26" s="25">
        <f>DL17*Effective!$E$33</f>
        <v/>
      </c>
      <c r="DM26" s="25">
        <f>DM17*Effective!$E$33</f>
        <v/>
      </c>
      <c r="DN26" s="25">
        <f>DN17*Effective!$E$33</f>
        <v/>
      </c>
      <c r="DO26" s="25">
        <f>DO17*Effective!$E$33</f>
        <v/>
      </c>
      <c r="DP26" s="25">
        <f>DP17*Effective!$E$33</f>
        <v/>
      </c>
      <c r="DQ26" s="25">
        <f>DQ17*Effective!$E$33</f>
        <v/>
      </c>
      <c r="DR26" s="25">
        <f>DR17*Effective!$E$33</f>
        <v/>
      </c>
    </row>
    <row r="27">
      <c r="A27" s="4" t="inlineStr">
        <is>
          <t>cogs</t>
        </is>
      </c>
      <c r="C27" s="25">
        <f>SUM(C19:C26)</f>
        <v/>
      </c>
      <c r="D27" s="25">
        <f>SUM(D19:D26)</f>
        <v/>
      </c>
      <c r="E27" s="25">
        <f>SUM(E19:E26)</f>
        <v/>
      </c>
      <c r="F27" s="25">
        <f>SUM(F19:F26)</f>
        <v/>
      </c>
      <c r="G27" s="25">
        <f>SUM(G19:G26)</f>
        <v/>
      </c>
      <c r="H27" s="25">
        <f>SUM(H19:H26)</f>
        <v/>
      </c>
      <c r="I27" s="25">
        <f>SUM(I19:I26)</f>
        <v/>
      </c>
      <c r="J27" s="25">
        <f>SUM(J19:J26)</f>
        <v/>
      </c>
      <c r="K27" s="25">
        <f>SUM(K19:K26)</f>
        <v/>
      </c>
      <c r="L27" s="25">
        <f>SUM(L19:L26)</f>
        <v/>
      </c>
      <c r="M27" s="25">
        <f>SUM(M19:M26)</f>
        <v/>
      </c>
      <c r="N27" s="25">
        <f>SUM(N19:N26)</f>
        <v/>
      </c>
      <c r="O27" s="25">
        <f>SUM(O19:O26)</f>
        <v/>
      </c>
      <c r="P27" s="25">
        <f>SUM(P19:P26)</f>
        <v/>
      </c>
      <c r="Q27" s="25">
        <f>SUM(Q19:Q26)</f>
        <v/>
      </c>
      <c r="R27" s="25">
        <f>SUM(R19:R26)</f>
        <v/>
      </c>
      <c r="S27" s="25">
        <f>SUM(S19:S26)</f>
        <v/>
      </c>
      <c r="T27" s="25">
        <f>SUM(T19:T26)</f>
        <v/>
      </c>
      <c r="U27" s="25">
        <f>SUM(U19:U26)</f>
        <v/>
      </c>
      <c r="V27" s="25">
        <f>SUM(V19:V26)</f>
        <v/>
      </c>
      <c r="W27" s="25">
        <f>SUM(W19:W26)</f>
        <v/>
      </c>
      <c r="X27" s="25">
        <f>SUM(X19:X26)</f>
        <v/>
      </c>
      <c r="Y27" s="25">
        <f>SUM(Y19:Y26)</f>
        <v/>
      </c>
      <c r="Z27" s="25">
        <f>SUM(Z19:Z26)</f>
        <v/>
      </c>
      <c r="AA27" s="25">
        <f>SUM(AA19:AA26)</f>
        <v/>
      </c>
      <c r="AB27" s="25">
        <f>SUM(AB19:AB26)</f>
        <v/>
      </c>
      <c r="AC27" s="25">
        <f>SUM(AC19:AC26)</f>
        <v/>
      </c>
      <c r="AD27" s="25">
        <f>SUM(AD19:AD26)</f>
        <v/>
      </c>
      <c r="AE27" s="25">
        <f>SUM(AE19:AE26)</f>
        <v/>
      </c>
      <c r="AF27" s="25">
        <f>SUM(AF19:AF26)</f>
        <v/>
      </c>
      <c r="AG27" s="25">
        <f>SUM(AG19:AG26)</f>
        <v/>
      </c>
      <c r="AH27" s="25">
        <f>SUM(AH19:AH26)</f>
        <v/>
      </c>
      <c r="AI27" s="25">
        <f>SUM(AI19:AI26)</f>
        <v/>
      </c>
      <c r="AJ27" s="25">
        <f>SUM(AJ19:AJ26)</f>
        <v/>
      </c>
      <c r="AK27" s="25">
        <f>SUM(AK19:AK26)</f>
        <v/>
      </c>
      <c r="AL27" s="25">
        <f>SUM(AL19:AL26)</f>
        <v/>
      </c>
      <c r="AM27" s="25">
        <f>SUM(AM19:AM26)</f>
        <v/>
      </c>
      <c r="AN27" s="25">
        <f>SUM(AN19:AN26)</f>
        <v/>
      </c>
      <c r="AO27" s="25">
        <f>SUM(AO19:AO26)</f>
        <v/>
      </c>
      <c r="AP27" s="25">
        <f>SUM(AP19:AP26)</f>
        <v/>
      </c>
      <c r="AQ27" s="25">
        <f>SUM(AQ19:AQ26)</f>
        <v/>
      </c>
      <c r="AR27" s="25">
        <f>SUM(AR19:AR26)</f>
        <v/>
      </c>
      <c r="AS27" s="25">
        <f>SUM(AS19:AS26)</f>
        <v/>
      </c>
      <c r="AT27" s="25">
        <f>SUM(AT19:AT26)</f>
        <v/>
      </c>
      <c r="AU27" s="25">
        <f>SUM(AU19:AU26)</f>
        <v/>
      </c>
      <c r="AV27" s="25">
        <f>SUM(AV19:AV26)</f>
        <v/>
      </c>
      <c r="AW27" s="25">
        <f>SUM(AW19:AW26)</f>
        <v/>
      </c>
      <c r="AX27" s="25">
        <f>SUM(AX19:AX26)</f>
        <v/>
      </c>
      <c r="AY27" s="25">
        <f>SUM(AY19:AY26)</f>
        <v/>
      </c>
      <c r="AZ27" s="25">
        <f>SUM(AZ19:AZ26)</f>
        <v/>
      </c>
      <c r="BA27" s="25">
        <f>SUM(BA19:BA26)</f>
        <v/>
      </c>
      <c r="BB27" s="25">
        <f>SUM(BB19:BB26)</f>
        <v/>
      </c>
      <c r="BC27" s="25">
        <f>SUM(BC19:BC26)</f>
        <v/>
      </c>
      <c r="BD27" s="25">
        <f>SUM(BD19:BD26)</f>
        <v/>
      </c>
      <c r="BE27" s="25">
        <f>SUM(BE19:BE26)</f>
        <v/>
      </c>
      <c r="BF27" s="25">
        <f>SUM(BF19:BF26)</f>
        <v/>
      </c>
      <c r="BG27" s="25">
        <f>SUM(BG19:BG26)</f>
        <v/>
      </c>
      <c r="BH27" s="25">
        <f>SUM(BH19:BH26)</f>
        <v/>
      </c>
      <c r="BI27" s="25">
        <f>SUM(BI19:BI26)</f>
        <v/>
      </c>
      <c r="BJ27" s="25">
        <f>SUM(BJ19:BJ26)</f>
        <v/>
      </c>
      <c r="BK27" s="25">
        <f>SUM(BK19:BK26)</f>
        <v/>
      </c>
      <c r="BL27" s="25">
        <f>SUM(BL19:BL26)</f>
        <v/>
      </c>
      <c r="BM27" s="25">
        <f>SUM(BM19:BM26)</f>
        <v/>
      </c>
      <c r="BN27" s="25">
        <f>SUM(BN19:BN26)</f>
        <v/>
      </c>
      <c r="BO27" s="25">
        <f>SUM(BO19:BO26)</f>
        <v/>
      </c>
      <c r="BP27" s="25">
        <f>SUM(BP19:BP26)</f>
        <v/>
      </c>
      <c r="BQ27" s="25">
        <f>SUM(BQ19:BQ26)</f>
        <v/>
      </c>
      <c r="BR27" s="25">
        <f>SUM(BR19:BR26)</f>
        <v/>
      </c>
      <c r="BS27" s="25">
        <f>SUM(BS19:BS26)</f>
        <v/>
      </c>
      <c r="BT27" s="25">
        <f>SUM(BT19:BT26)</f>
        <v/>
      </c>
      <c r="BU27" s="25">
        <f>SUM(BU19:BU26)</f>
        <v/>
      </c>
      <c r="BV27" s="25">
        <f>SUM(BV19:BV26)</f>
        <v/>
      </c>
      <c r="BW27" s="25">
        <f>SUM(BW19:BW26)</f>
        <v/>
      </c>
      <c r="BX27" s="25">
        <f>SUM(BX19:BX26)</f>
        <v/>
      </c>
      <c r="BY27" s="25">
        <f>SUM(BY19:BY26)</f>
        <v/>
      </c>
      <c r="BZ27" s="25">
        <f>SUM(BZ19:BZ26)</f>
        <v/>
      </c>
      <c r="CA27" s="25">
        <f>SUM(CA19:CA26)</f>
        <v/>
      </c>
      <c r="CB27" s="25">
        <f>SUM(CB19:CB26)</f>
        <v/>
      </c>
      <c r="CC27" s="25">
        <f>SUM(CC19:CC26)</f>
        <v/>
      </c>
      <c r="CD27" s="25">
        <f>SUM(CD19:CD26)</f>
        <v/>
      </c>
      <c r="CE27" s="25">
        <f>SUM(CE19:CE26)</f>
        <v/>
      </c>
      <c r="CF27" s="25">
        <f>SUM(CF19:CF26)</f>
        <v/>
      </c>
      <c r="CG27" s="25">
        <f>SUM(CG19:CG26)</f>
        <v/>
      </c>
      <c r="CH27" s="25">
        <f>SUM(CH19:CH26)</f>
        <v/>
      </c>
      <c r="CI27" s="25">
        <f>SUM(CI19:CI26)</f>
        <v/>
      </c>
      <c r="CJ27" s="25">
        <f>SUM(CJ19:CJ26)</f>
        <v/>
      </c>
      <c r="CK27" s="25">
        <f>SUM(CK19:CK26)</f>
        <v/>
      </c>
      <c r="CL27" s="25">
        <f>SUM(CL19:CL26)</f>
        <v/>
      </c>
      <c r="CM27" s="25">
        <f>SUM(CM19:CM26)</f>
        <v/>
      </c>
      <c r="CN27" s="25">
        <f>SUM(CN19:CN26)</f>
        <v/>
      </c>
      <c r="CO27" s="25">
        <f>SUM(CO19:CO26)</f>
        <v/>
      </c>
      <c r="CP27" s="25">
        <f>SUM(CP19:CP26)</f>
        <v/>
      </c>
      <c r="CQ27" s="25">
        <f>SUM(CQ19:CQ26)</f>
        <v/>
      </c>
      <c r="CR27" s="25">
        <f>SUM(CR19:CR26)</f>
        <v/>
      </c>
      <c r="CS27" s="25">
        <f>SUM(CS19:CS26)</f>
        <v/>
      </c>
      <c r="CT27" s="25">
        <f>SUM(CT19:CT26)</f>
        <v/>
      </c>
      <c r="CU27" s="25">
        <f>SUM(CU19:CU26)</f>
        <v/>
      </c>
      <c r="CV27" s="25">
        <f>SUM(CV19:CV26)</f>
        <v/>
      </c>
      <c r="CW27" s="25">
        <f>SUM(CW19:CW26)</f>
        <v/>
      </c>
      <c r="CX27" s="25">
        <f>SUM(CX19:CX26)</f>
        <v/>
      </c>
      <c r="CY27" s="25">
        <f>SUM(CY19:CY26)</f>
        <v/>
      </c>
      <c r="CZ27" s="25">
        <f>SUM(CZ19:CZ26)</f>
        <v/>
      </c>
      <c r="DA27" s="25">
        <f>SUM(DA19:DA26)</f>
        <v/>
      </c>
      <c r="DB27" s="25">
        <f>SUM(DB19:DB26)</f>
        <v/>
      </c>
      <c r="DC27" s="25">
        <f>SUM(DC19:DC26)</f>
        <v/>
      </c>
      <c r="DD27" s="25">
        <f>SUM(DD19:DD26)</f>
        <v/>
      </c>
      <c r="DE27" s="25">
        <f>SUM(DE19:DE26)</f>
        <v/>
      </c>
      <c r="DF27" s="25">
        <f>SUM(DF19:DF26)</f>
        <v/>
      </c>
      <c r="DG27" s="25">
        <f>SUM(DG19:DG26)</f>
        <v/>
      </c>
      <c r="DH27" s="25">
        <f>SUM(DH19:DH26)</f>
        <v/>
      </c>
      <c r="DI27" s="25">
        <f>SUM(DI19:DI26)</f>
        <v/>
      </c>
      <c r="DJ27" s="25">
        <f>SUM(DJ19:DJ26)</f>
        <v/>
      </c>
      <c r="DK27" s="25">
        <f>SUM(DK19:DK26)</f>
        <v/>
      </c>
      <c r="DL27" s="25">
        <f>SUM(DL19:DL26)</f>
        <v/>
      </c>
      <c r="DM27" s="25">
        <f>SUM(DM19:DM26)</f>
        <v/>
      </c>
      <c r="DN27" s="25">
        <f>SUM(DN19:DN26)</f>
        <v/>
      </c>
      <c r="DO27" s="25">
        <f>SUM(DO19:DO26)</f>
        <v/>
      </c>
      <c r="DP27" s="25">
        <f>SUM(DP19:DP26)</f>
        <v/>
      </c>
      <c r="DQ27" s="25">
        <f>SUM(DQ19:DQ26)</f>
        <v/>
      </c>
      <c r="DR27" s="25">
        <f>SUM(DR19:DR26)</f>
        <v/>
      </c>
    </row>
    <row r="28">
      <c r="A28" s="4" t="inlineStr">
        <is>
          <t>gross_profit</t>
        </is>
      </c>
      <c r="C28" s="25">
        <f>C18-C27</f>
        <v/>
      </c>
      <c r="D28" s="25">
        <f>D18-D27</f>
        <v/>
      </c>
      <c r="E28" s="25">
        <f>E18-E27</f>
        <v/>
      </c>
      <c r="F28" s="25">
        <f>F18-F27</f>
        <v/>
      </c>
      <c r="G28" s="25">
        <f>G18-G27</f>
        <v/>
      </c>
      <c r="H28" s="25">
        <f>H18-H27</f>
        <v/>
      </c>
      <c r="I28" s="25">
        <f>I18-I27</f>
        <v/>
      </c>
      <c r="J28" s="25">
        <f>J18-J27</f>
        <v/>
      </c>
      <c r="K28" s="25">
        <f>K18-K27</f>
        <v/>
      </c>
      <c r="L28" s="25">
        <f>L18-L27</f>
        <v/>
      </c>
      <c r="M28" s="25">
        <f>M18-M27</f>
        <v/>
      </c>
      <c r="N28" s="25">
        <f>N18-N27</f>
        <v/>
      </c>
      <c r="O28" s="25">
        <f>O18-O27</f>
        <v/>
      </c>
      <c r="P28" s="25">
        <f>P18-P27</f>
        <v/>
      </c>
      <c r="Q28" s="25">
        <f>Q18-Q27</f>
        <v/>
      </c>
      <c r="R28" s="25">
        <f>R18-R27</f>
        <v/>
      </c>
      <c r="S28" s="25">
        <f>S18-S27</f>
        <v/>
      </c>
      <c r="T28" s="25">
        <f>T18-T27</f>
        <v/>
      </c>
      <c r="U28" s="25">
        <f>U18-U27</f>
        <v/>
      </c>
      <c r="V28" s="25">
        <f>V18-V27</f>
        <v/>
      </c>
      <c r="W28" s="25">
        <f>W18-W27</f>
        <v/>
      </c>
      <c r="X28" s="25">
        <f>X18-X27</f>
        <v/>
      </c>
      <c r="Y28" s="25">
        <f>Y18-Y27</f>
        <v/>
      </c>
      <c r="Z28" s="25">
        <f>Z18-Z27</f>
        <v/>
      </c>
      <c r="AA28" s="25">
        <f>AA18-AA27</f>
        <v/>
      </c>
      <c r="AB28" s="25">
        <f>AB18-AB27</f>
        <v/>
      </c>
      <c r="AC28" s="25">
        <f>AC18-AC27</f>
        <v/>
      </c>
      <c r="AD28" s="25">
        <f>AD18-AD27</f>
        <v/>
      </c>
      <c r="AE28" s="25">
        <f>AE18-AE27</f>
        <v/>
      </c>
      <c r="AF28" s="25">
        <f>AF18-AF27</f>
        <v/>
      </c>
      <c r="AG28" s="25">
        <f>AG18-AG27</f>
        <v/>
      </c>
      <c r="AH28" s="25">
        <f>AH18-AH27</f>
        <v/>
      </c>
      <c r="AI28" s="25">
        <f>AI18-AI27</f>
        <v/>
      </c>
      <c r="AJ28" s="25">
        <f>AJ18-AJ27</f>
        <v/>
      </c>
      <c r="AK28" s="25">
        <f>AK18-AK27</f>
        <v/>
      </c>
      <c r="AL28" s="25">
        <f>AL18-AL27</f>
        <v/>
      </c>
      <c r="AM28" s="25">
        <f>AM18-AM27</f>
        <v/>
      </c>
      <c r="AN28" s="25">
        <f>AN18-AN27</f>
        <v/>
      </c>
      <c r="AO28" s="25">
        <f>AO18-AO27</f>
        <v/>
      </c>
      <c r="AP28" s="25">
        <f>AP18-AP27</f>
        <v/>
      </c>
      <c r="AQ28" s="25">
        <f>AQ18-AQ27</f>
        <v/>
      </c>
      <c r="AR28" s="25">
        <f>AR18-AR27</f>
        <v/>
      </c>
      <c r="AS28" s="25">
        <f>AS18-AS27</f>
        <v/>
      </c>
      <c r="AT28" s="25">
        <f>AT18-AT27</f>
        <v/>
      </c>
      <c r="AU28" s="25">
        <f>AU18-AU27</f>
        <v/>
      </c>
      <c r="AV28" s="25">
        <f>AV18-AV27</f>
        <v/>
      </c>
      <c r="AW28" s="25">
        <f>AW18-AW27</f>
        <v/>
      </c>
      <c r="AX28" s="25">
        <f>AX18-AX27</f>
        <v/>
      </c>
      <c r="AY28" s="25">
        <f>AY18-AY27</f>
        <v/>
      </c>
      <c r="AZ28" s="25">
        <f>AZ18-AZ27</f>
        <v/>
      </c>
      <c r="BA28" s="25">
        <f>BA18-BA27</f>
        <v/>
      </c>
      <c r="BB28" s="25">
        <f>BB18-BB27</f>
        <v/>
      </c>
      <c r="BC28" s="25">
        <f>BC18-BC27</f>
        <v/>
      </c>
      <c r="BD28" s="25">
        <f>BD18-BD27</f>
        <v/>
      </c>
      <c r="BE28" s="25">
        <f>BE18-BE27</f>
        <v/>
      </c>
      <c r="BF28" s="25">
        <f>BF18-BF27</f>
        <v/>
      </c>
      <c r="BG28" s="25">
        <f>BG18-BG27</f>
        <v/>
      </c>
      <c r="BH28" s="25">
        <f>BH18-BH27</f>
        <v/>
      </c>
      <c r="BI28" s="25">
        <f>BI18-BI27</f>
        <v/>
      </c>
      <c r="BJ28" s="25">
        <f>BJ18-BJ27</f>
        <v/>
      </c>
      <c r="BK28" s="25">
        <f>BK18-BK27</f>
        <v/>
      </c>
      <c r="BL28" s="25">
        <f>BL18-BL27</f>
        <v/>
      </c>
      <c r="BM28" s="25">
        <f>BM18-BM27</f>
        <v/>
      </c>
      <c r="BN28" s="25">
        <f>BN18-BN27</f>
        <v/>
      </c>
      <c r="BO28" s="25">
        <f>BO18-BO27</f>
        <v/>
      </c>
      <c r="BP28" s="25">
        <f>BP18-BP27</f>
        <v/>
      </c>
      <c r="BQ28" s="25">
        <f>BQ18-BQ27</f>
        <v/>
      </c>
      <c r="BR28" s="25">
        <f>BR18-BR27</f>
        <v/>
      </c>
      <c r="BS28" s="25">
        <f>BS18-BS27</f>
        <v/>
      </c>
      <c r="BT28" s="25">
        <f>BT18-BT27</f>
        <v/>
      </c>
      <c r="BU28" s="25">
        <f>BU18-BU27</f>
        <v/>
      </c>
      <c r="BV28" s="25">
        <f>BV18-BV27</f>
        <v/>
      </c>
      <c r="BW28" s="25">
        <f>BW18-BW27</f>
        <v/>
      </c>
      <c r="BX28" s="25">
        <f>BX18-BX27</f>
        <v/>
      </c>
      <c r="BY28" s="25">
        <f>BY18-BY27</f>
        <v/>
      </c>
      <c r="BZ28" s="25">
        <f>BZ18-BZ27</f>
        <v/>
      </c>
      <c r="CA28" s="25">
        <f>CA18-CA27</f>
        <v/>
      </c>
      <c r="CB28" s="25">
        <f>CB18-CB27</f>
        <v/>
      </c>
      <c r="CC28" s="25">
        <f>CC18-CC27</f>
        <v/>
      </c>
      <c r="CD28" s="25">
        <f>CD18-CD27</f>
        <v/>
      </c>
      <c r="CE28" s="25">
        <f>CE18-CE27</f>
        <v/>
      </c>
      <c r="CF28" s="25">
        <f>CF18-CF27</f>
        <v/>
      </c>
      <c r="CG28" s="25">
        <f>CG18-CG27</f>
        <v/>
      </c>
      <c r="CH28" s="25">
        <f>CH18-CH27</f>
        <v/>
      </c>
      <c r="CI28" s="25">
        <f>CI18-CI27</f>
        <v/>
      </c>
      <c r="CJ28" s="25">
        <f>CJ18-CJ27</f>
        <v/>
      </c>
      <c r="CK28" s="25">
        <f>CK18-CK27</f>
        <v/>
      </c>
      <c r="CL28" s="25">
        <f>CL18-CL27</f>
        <v/>
      </c>
      <c r="CM28" s="25">
        <f>CM18-CM27</f>
        <v/>
      </c>
      <c r="CN28" s="25">
        <f>CN18-CN27</f>
        <v/>
      </c>
      <c r="CO28" s="25">
        <f>CO18-CO27</f>
        <v/>
      </c>
      <c r="CP28" s="25">
        <f>CP18-CP27</f>
        <v/>
      </c>
      <c r="CQ28" s="25">
        <f>CQ18-CQ27</f>
        <v/>
      </c>
      <c r="CR28" s="25">
        <f>CR18-CR27</f>
        <v/>
      </c>
      <c r="CS28" s="25">
        <f>CS18-CS27</f>
        <v/>
      </c>
      <c r="CT28" s="25">
        <f>CT18-CT27</f>
        <v/>
      </c>
      <c r="CU28" s="25">
        <f>CU18-CU27</f>
        <v/>
      </c>
      <c r="CV28" s="25">
        <f>CV18-CV27</f>
        <v/>
      </c>
      <c r="CW28" s="25">
        <f>CW18-CW27</f>
        <v/>
      </c>
      <c r="CX28" s="25">
        <f>CX18-CX27</f>
        <v/>
      </c>
      <c r="CY28" s="25">
        <f>CY18-CY27</f>
        <v/>
      </c>
      <c r="CZ28" s="25">
        <f>CZ18-CZ27</f>
        <v/>
      </c>
      <c r="DA28" s="25">
        <f>DA18-DA27</f>
        <v/>
      </c>
      <c r="DB28" s="25">
        <f>DB18-DB27</f>
        <v/>
      </c>
      <c r="DC28" s="25">
        <f>DC18-DC27</f>
        <v/>
      </c>
      <c r="DD28" s="25">
        <f>DD18-DD27</f>
        <v/>
      </c>
      <c r="DE28" s="25">
        <f>DE18-DE27</f>
        <v/>
      </c>
      <c r="DF28" s="25">
        <f>DF18-DF27</f>
        <v/>
      </c>
      <c r="DG28" s="25">
        <f>DG18-DG27</f>
        <v/>
      </c>
      <c r="DH28" s="25">
        <f>DH18-DH27</f>
        <v/>
      </c>
      <c r="DI28" s="25">
        <f>DI18-DI27</f>
        <v/>
      </c>
      <c r="DJ28" s="25">
        <f>DJ18-DJ27</f>
        <v/>
      </c>
      <c r="DK28" s="25">
        <f>DK18-DK27</f>
        <v/>
      </c>
      <c r="DL28" s="25">
        <f>DL18-DL27</f>
        <v/>
      </c>
      <c r="DM28" s="25">
        <f>DM18-DM27</f>
        <v/>
      </c>
      <c r="DN28" s="25">
        <f>DN18-DN27</f>
        <v/>
      </c>
      <c r="DO28" s="25">
        <f>DO18-DO27</f>
        <v/>
      </c>
      <c r="DP28" s="25">
        <f>DP18-DP27</f>
        <v/>
      </c>
      <c r="DQ28" s="25">
        <f>DQ18-DQ27</f>
        <v/>
      </c>
      <c r="DR28" s="25">
        <f>DR18-DR27</f>
        <v/>
      </c>
    </row>
    <row r="29">
      <c r="A29" t="inlineStr">
        <is>
          <t>opex_1</t>
        </is>
      </c>
      <c r="B29" t="inlineStr">
        <is>
          <t>opex idx 0</t>
        </is>
      </c>
      <c r="C29" s="25">
        <f>IF(C$4=0,0,IF(Effective!$C$36="fixed",Effective!$D$36,IF(Effective!$C$36="variable",C18*Effective!$E$36,0)))</f>
        <v/>
      </c>
      <c r="D29" s="25">
        <f>IF(D$4=0,0,IF(Effective!$C$36="fixed",Effective!$D$36,IF(Effective!$C$36="variable",D18*Effective!$E$36,0)))</f>
        <v/>
      </c>
      <c r="E29" s="25">
        <f>IF(E$4=0,0,IF(Effective!$C$36="fixed",Effective!$D$36,IF(Effective!$C$36="variable",E18*Effective!$E$36,0)))</f>
        <v/>
      </c>
      <c r="F29" s="25">
        <f>IF(F$4=0,0,IF(Effective!$C$36="fixed",Effective!$D$36,IF(Effective!$C$36="variable",F18*Effective!$E$36,0)))</f>
        <v/>
      </c>
      <c r="G29" s="25">
        <f>IF(G$4=0,0,IF(Effective!$C$36="fixed",Effective!$D$36,IF(Effective!$C$36="variable",G18*Effective!$E$36,0)))</f>
        <v/>
      </c>
      <c r="H29" s="25">
        <f>IF(H$4=0,0,IF(Effective!$C$36="fixed",Effective!$D$36,IF(Effective!$C$36="variable",H18*Effective!$E$36,0)))</f>
        <v/>
      </c>
      <c r="I29" s="25">
        <f>IF(I$4=0,0,IF(Effective!$C$36="fixed",Effective!$D$36,IF(Effective!$C$36="variable",I18*Effective!$E$36,0)))</f>
        <v/>
      </c>
      <c r="J29" s="25">
        <f>IF(J$4=0,0,IF(Effective!$C$36="fixed",Effective!$D$36,IF(Effective!$C$36="variable",J18*Effective!$E$36,0)))</f>
        <v/>
      </c>
      <c r="K29" s="25">
        <f>IF(K$4=0,0,IF(Effective!$C$36="fixed",Effective!$D$36,IF(Effective!$C$36="variable",K18*Effective!$E$36,0)))</f>
        <v/>
      </c>
      <c r="L29" s="25">
        <f>IF(L$4=0,0,IF(Effective!$C$36="fixed",Effective!$D$36,IF(Effective!$C$36="variable",L18*Effective!$E$36,0)))</f>
        <v/>
      </c>
      <c r="M29" s="25">
        <f>IF(M$4=0,0,IF(Effective!$C$36="fixed",Effective!$D$36,IF(Effective!$C$36="variable",M18*Effective!$E$36,0)))</f>
        <v/>
      </c>
      <c r="N29" s="25">
        <f>IF(N$4=0,0,IF(Effective!$C$36="fixed",Effective!$D$36,IF(Effective!$C$36="variable",N18*Effective!$E$36,0)))</f>
        <v/>
      </c>
      <c r="O29" s="25">
        <f>IF(O$4=0,0,IF(Effective!$C$36="fixed",Effective!$D$36,IF(Effective!$C$36="variable",O18*Effective!$E$36,0)))</f>
        <v/>
      </c>
      <c r="P29" s="25">
        <f>IF(P$4=0,0,IF(Effective!$C$36="fixed",Effective!$D$36,IF(Effective!$C$36="variable",P18*Effective!$E$36,0)))</f>
        <v/>
      </c>
      <c r="Q29" s="25">
        <f>IF(Q$4=0,0,IF(Effective!$C$36="fixed",Effective!$D$36,IF(Effective!$C$36="variable",Q18*Effective!$E$36,0)))</f>
        <v/>
      </c>
      <c r="R29" s="25">
        <f>IF(R$4=0,0,IF(Effective!$C$36="fixed",Effective!$D$36,IF(Effective!$C$36="variable",R18*Effective!$E$36,0)))</f>
        <v/>
      </c>
      <c r="S29" s="25">
        <f>IF(S$4=0,0,IF(Effective!$C$36="fixed",Effective!$D$36,IF(Effective!$C$36="variable",S18*Effective!$E$36,0)))</f>
        <v/>
      </c>
      <c r="T29" s="25">
        <f>IF(T$4=0,0,IF(Effective!$C$36="fixed",Effective!$D$36,IF(Effective!$C$36="variable",T18*Effective!$E$36,0)))</f>
        <v/>
      </c>
      <c r="U29" s="25">
        <f>IF(U$4=0,0,IF(Effective!$C$36="fixed",Effective!$D$36,IF(Effective!$C$36="variable",U18*Effective!$E$36,0)))</f>
        <v/>
      </c>
      <c r="V29" s="25">
        <f>IF(V$4=0,0,IF(Effective!$C$36="fixed",Effective!$D$36,IF(Effective!$C$36="variable",V18*Effective!$E$36,0)))</f>
        <v/>
      </c>
      <c r="W29" s="25">
        <f>IF(W$4=0,0,IF(Effective!$C$36="fixed",Effective!$D$36,IF(Effective!$C$36="variable",W18*Effective!$E$36,0)))</f>
        <v/>
      </c>
      <c r="X29" s="25">
        <f>IF(X$4=0,0,IF(Effective!$C$36="fixed",Effective!$D$36,IF(Effective!$C$36="variable",X18*Effective!$E$36,0)))</f>
        <v/>
      </c>
      <c r="Y29" s="25">
        <f>IF(Y$4=0,0,IF(Effective!$C$36="fixed",Effective!$D$36,IF(Effective!$C$36="variable",Y18*Effective!$E$36,0)))</f>
        <v/>
      </c>
      <c r="Z29" s="25">
        <f>IF(Z$4=0,0,IF(Effective!$C$36="fixed",Effective!$D$36,IF(Effective!$C$36="variable",Z18*Effective!$E$36,0)))</f>
        <v/>
      </c>
      <c r="AA29" s="25">
        <f>IF(AA$4=0,0,IF(Effective!$C$36="fixed",Effective!$D$36,IF(Effective!$C$36="variable",AA18*Effective!$E$36,0)))</f>
        <v/>
      </c>
      <c r="AB29" s="25">
        <f>IF(AB$4=0,0,IF(Effective!$C$36="fixed",Effective!$D$36,IF(Effective!$C$36="variable",AB18*Effective!$E$36,0)))</f>
        <v/>
      </c>
      <c r="AC29" s="25">
        <f>IF(AC$4=0,0,IF(Effective!$C$36="fixed",Effective!$D$36,IF(Effective!$C$36="variable",AC18*Effective!$E$36,0)))</f>
        <v/>
      </c>
      <c r="AD29" s="25">
        <f>IF(AD$4=0,0,IF(Effective!$C$36="fixed",Effective!$D$36,IF(Effective!$C$36="variable",AD18*Effective!$E$36,0)))</f>
        <v/>
      </c>
      <c r="AE29" s="25">
        <f>IF(AE$4=0,0,IF(Effective!$C$36="fixed",Effective!$D$36,IF(Effective!$C$36="variable",AE18*Effective!$E$36,0)))</f>
        <v/>
      </c>
      <c r="AF29" s="25">
        <f>IF(AF$4=0,0,IF(Effective!$C$36="fixed",Effective!$D$36,IF(Effective!$C$36="variable",AF18*Effective!$E$36,0)))</f>
        <v/>
      </c>
      <c r="AG29" s="25">
        <f>IF(AG$4=0,0,IF(Effective!$C$36="fixed",Effective!$D$36,IF(Effective!$C$36="variable",AG18*Effective!$E$36,0)))</f>
        <v/>
      </c>
      <c r="AH29" s="25">
        <f>IF(AH$4=0,0,IF(Effective!$C$36="fixed",Effective!$D$36,IF(Effective!$C$36="variable",AH18*Effective!$E$36,0)))</f>
        <v/>
      </c>
      <c r="AI29" s="25">
        <f>IF(AI$4=0,0,IF(Effective!$C$36="fixed",Effective!$D$36,IF(Effective!$C$36="variable",AI18*Effective!$E$36,0)))</f>
        <v/>
      </c>
      <c r="AJ29" s="25">
        <f>IF(AJ$4=0,0,IF(Effective!$C$36="fixed",Effective!$D$36,IF(Effective!$C$36="variable",AJ18*Effective!$E$36,0)))</f>
        <v/>
      </c>
      <c r="AK29" s="25">
        <f>IF(AK$4=0,0,IF(Effective!$C$36="fixed",Effective!$D$36,IF(Effective!$C$36="variable",AK18*Effective!$E$36,0)))</f>
        <v/>
      </c>
      <c r="AL29" s="25">
        <f>IF(AL$4=0,0,IF(Effective!$C$36="fixed",Effective!$D$36,IF(Effective!$C$36="variable",AL18*Effective!$E$36,0)))</f>
        <v/>
      </c>
      <c r="AM29" s="25">
        <f>IF(AM$4=0,0,IF(Effective!$C$36="fixed",Effective!$D$36,IF(Effective!$C$36="variable",AM18*Effective!$E$36,0)))</f>
        <v/>
      </c>
      <c r="AN29" s="25">
        <f>IF(AN$4=0,0,IF(Effective!$C$36="fixed",Effective!$D$36,IF(Effective!$C$36="variable",AN18*Effective!$E$36,0)))</f>
        <v/>
      </c>
      <c r="AO29" s="25">
        <f>IF(AO$4=0,0,IF(Effective!$C$36="fixed",Effective!$D$36,IF(Effective!$C$36="variable",AO18*Effective!$E$36,0)))</f>
        <v/>
      </c>
      <c r="AP29" s="25">
        <f>IF(AP$4=0,0,IF(Effective!$C$36="fixed",Effective!$D$36,IF(Effective!$C$36="variable",AP18*Effective!$E$36,0)))</f>
        <v/>
      </c>
      <c r="AQ29" s="25">
        <f>IF(AQ$4=0,0,IF(Effective!$C$36="fixed",Effective!$D$36,IF(Effective!$C$36="variable",AQ18*Effective!$E$36,0)))</f>
        <v/>
      </c>
      <c r="AR29" s="25">
        <f>IF(AR$4=0,0,IF(Effective!$C$36="fixed",Effective!$D$36,IF(Effective!$C$36="variable",AR18*Effective!$E$36,0)))</f>
        <v/>
      </c>
      <c r="AS29" s="25">
        <f>IF(AS$4=0,0,IF(Effective!$C$36="fixed",Effective!$D$36,IF(Effective!$C$36="variable",AS18*Effective!$E$36,0)))</f>
        <v/>
      </c>
      <c r="AT29" s="25">
        <f>IF(AT$4=0,0,IF(Effective!$C$36="fixed",Effective!$D$36,IF(Effective!$C$36="variable",AT18*Effective!$E$36,0)))</f>
        <v/>
      </c>
      <c r="AU29" s="25">
        <f>IF(AU$4=0,0,IF(Effective!$C$36="fixed",Effective!$D$36,IF(Effective!$C$36="variable",AU18*Effective!$E$36,0)))</f>
        <v/>
      </c>
      <c r="AV29" s="25">
        <f>IF(AV$4=0,0,IF(Effective!$C$36="fixed",Effective!$D$36,IF(Effective!$C$36="variable",AV18*Effective!$E$36,0)))</f>
        <v/>
      </c>
      <c r="AW29" s="25">
        <f>IF(AW$4=0,0,IF(Effective!$C$36="fixed",Effective!$D$36,IF(Effective!$C$36="variable",AW18*Effective!$E$36,0)))</f>
        <v/>
      </c>
      <c r="AX29" s="25">
        <f>IF(AX$4=0,0,IF(Effective!$C$36="fixed",Effective!$D$36,IF(Effective!$C$36="variable",AX18*Effective!$E$36,0)))</f>
        <v/>
      </c>
      <c r="AY29" s="25">
        <f>IF(AY$4=0,0,IF(Effective!$C$36="fixed",Effective!$D$36,IF(Effective!$C$36="variable",AY18*Effective!$E$36,0)))</f>
        <v/>
      </c>
      <c r="AZ29" s="25">
        <f>IF(AZ$4=0,0,IF(Effective!$C$36="fixed",Effective!$D$36,IF(Effective!$C$36="variable",AZ18*Effective!$E$36,0)))</f>
        <v/>
      </c>
      <c r="BA29" s="25">
        <f>IF(BA$4=0,0,IF(Effective!$C$36="fixed",Effective!$D$36,IF(Effective!$C$36="variable",BA18*Effective!$E$36,0)))</f>
        <v/>
      </c>
      <c r="BB29" s="25">
        <f>IF(BB$4=0,0,IF(Effective!$C$36="fixed",Effective!$D$36,IF(Effective!$C$36="variable",BB18*Effective!$E$36,0)))</f>
        <v/>
      </c>
      <c r="BC29" s="25">
        <f>IF(BC$4=0,0,IF(Effective!$C$36="fixed",Effective!$D$36,IF(Effective!$C$36="variable",BC18*Effective!$E$36,0)))</f>
        <v/>
      </c>
      <c r="BD29" s="25">
        <f>IF(BD$4=0,0,IF(Effective!$C$36="fixed",Effective!$D$36,IF(Effective!$C$36="variable",BD18*Effective!$E$36,0)))</f>
        <v/>
      </c>
      <c r="BE29" s="25">
        <f>IF(BE$4=0,0,IF(Effective!$C$36="fixed",Effective!$D$36,IF(Effective!$C$36="variable",BE18*Effective!$E$36,0)))</f>
        <v/>
      </c>
      <c r="BF29" s="25">
        <f>IF(BF$4=0,0,IF(Effective!$C$36="fixed",Effective!$D$36,IF(Effective!$C$36="variable",BF18*Effective!$E$36,0)))</f>
        <v/>
      </c>
      <c r="BG29" s="25">
        <f>IF(BG$4=0,0,IF(Effective!$C$36="fixed",Effective!$D$36,IF(Effective!$C$36="variable",BG18*Effective!$E$36,0)))</f>
        <v/>
      </c>
      <c r="BH29" s="25">
        <f>IF(BH$4=0,0,IF(Effective!$C$36="fixed",Effective!$D$36,IF(Effective!$C$36="variable",BH18*Effective!$E$36,0)))</f>
        <v/>
      </c>
      <c r="BI29" s="25">
        <f>IF(BI$4=0,0,IF(Effective!$C$36="fixed",Effective!$D$36,IF(Effective!$C$36="variable",BI18*Effective!$E$36,0)))</f>
        <v/>
      </c>
      <c r="BJ29" s="25">
        <f>IF(BJ$4=0,0,IF(Effective!$C$36="fixed",Effective!$D$36,IF(Effective!$C$36="variable",BJ18*Effective!$E$36,0)))</f>
        <v/>
      </c>
      <c r="BK29" s="25">
        <f>IF(BK$4=0,0,IF(Effective!$C$36="fixed",Effective!$D$36,IF(Effective!$C$36="variable",BK18*Effective!$E$36,0)))</f>
        <v/>
      </c>
      <c r="BL29" s="25">
        <f>IF(BL$4=0,0,IF(Effective!$C$36="fixed",Effective!$D$36,IF(Effective!$C$36="variable",BL18*Effective!$E$36,0)))</f>
        <v/>
      </c>
      <c r="BM29" s="25">
        <f>IF(BM$4=0,0,IF(Effective!$C$36="fixed",Effective!$D$36,IF(Effective!$C$36="variable",BM18*Effective!$E$36,0)))</f>
        <v/>
      </c>
      <c r="BN29" s="25">
        <f>IF(BN$4=0,0,IF(Effective!$C$36="fixed",Effective!$D$36,IF(Effective!$C$36="variable",BN18*Effective!$E$36,0)))</f>
        <v/>
      </c>
      <c r="BO29" s="25">
        <f>IF(BO$4=0,0,IF(Effective!$C$36="fixed",Effective!$D$36,IF(Effective!$C$36="variable",BO18*Effective!$E$36,0)))</f>
        <v/>
      </c>
      <c r="BP29" s="25">
        <f>IF(BP$4=0,0,IF(Effective!$C$36="fixed",Effective!$D$36,IF(Effective!$C$36="variable",BP18*Effective!$E$36,0)))</f>
        <v/>
      </c>
      <c r="BQ29" s="25">
        <f>IF(BQ$4=0,0,IF(Effective!$C$36="fixed",Effective!$D$36,IF(Effective!$C$36="variable",BQ18*Effective!$E$36,0)))</f>
        <v/>
      </c>
      <c r="BR29" s="25">
        <f>IF(BR$4=0,0,IF(Effective!$C$36="fixed",Effective!$D$36,IF(Effective!$C$36="variable",BR18*Effective!$E$36,0)))</f>
        <v/>
      </c>
      <c r="BS29" s="25">
        <f>IF(BS$4=0,0,IF(Effective!$C$36="fixed",Effective!$D$36,IF(Effective!$C$36="variable",BS18*Effective!$E$36,0)))</f>
        <v/>
      </c>
      <c r="BT29" s="25">
        <f>IF(BT$4=0,0,IF(Effective!$C$36="fixed",Effective!$D$36,IF(Effective!$C$36="variable",BT18*Effective!$E$36,0)))</f>
        <v/>
      </c>
      <c r="BU29" s="25">
        <f>IF(BU$4=0,0,IF(Effective!$C$36="fixed",Effective!$D$36,IF(Effective!$C$36="variable",BU18*Effective!$E$36,0)))</f>
        <v/>
      </c>
      <c r="BV29" s="25">
        <f>IF(BV$4=0,0,IF(Effective!$C$36="fixed",Effective!$D$36,IF(Effective!$C$36="variable",BV18*Effective!$E$36,0)))</f>
        <v/>
      </c>
      <c r="BW29" s="25">
        <f>IF(BW$4=0,0,IF(Effective!$C$36="fixed",Effective!$D$36,IF(Effective!$C$36="variable",BW18*Effective!$E$36,0)))</f>
        <v/>
      </c>
      <c r="BX29" s="25">
        <f>IF(BX$4=0,0,IF(Effective!$C$36="fixed",Effective!$D$36,IF(Effective!$C$36="variable",BX18*Effective!$E$36,0)))</f>
        <v/>
      </c>
      <c r="BY29" s="25">
        <f>IF(BY$4=0,0,IF(Effective!$C$36="fixed",Effective!$D$36,IF(Effective!$C$36="variable",BY18*Effective!$E$36,0)))</f>
        <v/>
      </c>
      <c r="BZ29" s="25">
        <f>IF(BZ$4=0,0,IF(Effective!$C$36="fixed",Effective!$D$36,IF(Effective!$C$36="variable",BZ18*Effective!$E$36,0)))</f>
        <v/>
      </c>
      <c r="CA29" s="25">
        <f>IF(CA$4=0,0,IF(Effective!$C$36="fixed",Effective!$D$36,IF(Effective!$C$36="variable",CA18*Effective!$E$36,0)))</f>
        <v/>
      </c>
      <c r="CB29" s="25">
        <f>IF(CB$4=0,0,IF(Effective!$C$36="fixed",Effective!$D$36,IF(Effective!$C$36="variable",CB18*Effective!$E$36,0)))</f>
        <v/>
      </c>
      <c r="CC29" s="25">
        <f>IF(CC$4=0,0,IF(Effective!$C$36="fixed",Effective!$D$36,IF(Effective!$C$36="variable",CC18*Effective!$E$36,0)))</f>
        <v/>
      </c>
      <c r="CD29" s="25">
        <f>IF(CD$4=0,0,IF(Effective!$C$36="fixed",Effective!$D$36,IF(Effective!$C$36="variable",CD18*Effective!$E$36,0)))</f>
        <v/>
      </c>
      <c r="CE29" s="25">
        <f>IF(CE$4=0,0,IF(Effective!$C$36="fixed",Effective!$D$36,IF(Effective!$C$36="variable",CE18*Effective!$E$36,0)))</f>
        <v/>
      </c>
      <c r="CF29" s="25">
        <f>IF(CF$4=0,0,IF(Effective!$C$36="fixed",Effective!$D$36,IF(Effective!$C$36="variable",CF18*Effective!$E$36,0)))</f>
        <v/>
      </c>
      <c r="CG29" s="25">
        <f>IF(CG$4=0,0,IF(Effective!$C$36="fixed",Effective!$D$36,IF(Effective!$C$36="variable",CG18*Effective!$E$36,0)))</f>
        <v/>
      </c>
      <c r="CH29" s="25">
        <f>IF(CH$4=0,0,IF(Effective!$C$36="fixed",Effective!$D$36,IF(Effective!$C$36="variable",CH18*Effective!$E$36,0)))</f>
        <v/>
      </c>
      <c r="CI29" s="25">
        <f>IF(CI$4=0,0,IF(Effective!$C$36="fixed",Effective!$D$36,IF(Effective!$C$36="variable",CI18*Effective!$E$36,0)))</f>
        <v/>
      </c>
      <c r="CJ29" s="25">
        <f>IF(CJ$4=0,0,IF(Effective!$C$36="fixed",Effective!$D$36,IF(Effective!$C$36="variable",CJ18*Effective!$E$36,0)))</f>
        <v/>
      </c>
      <c r="CK29" s="25">
        <f>IF(CK$4=0,0,IF(Effective!$C$36="fixed",Effective!$D$36,IF(Effective!$C$36="variable",CK18*Effective!$E$36,0)))</f>
        <v/>
      </c>
      <c r="CL29" s="25">
        <f>IF(CL$4=0,0,IF(Effective!$C$36="fixed",Effective!$D$36,IF(Effective!$C$36="variable",CL18*Effective!$E$36,0)))</f>
        <v/>
      </c>
      <c r="CM29" s="25">
        <f>IF(CM$4=0,0,IF(Effective!$C$36="fixed",Effective!$D$36,IF(Effective!$C$36="variable",CM18*Effective!$E$36,0)))</f>
        <v/>
      </c>
      <c r="CN29" s="25">
        <f>IF(CN$4=0,0,IF(Effective!$C$36="fixed",Effective!$D$36,IF(Effective!$C$36="variable",CN18*Effective!$E$36,0)))</f>
        <v/>
      </c>
      <c r="CO29" s="25">
        <f>IF(CO$4=0,0,IF(Effective!$C$36="fixed",Effective!$D$36,IF(Effective!$C$36="variable",CO18*Effective!$E$36,0)))</f>
        <v/>
      </c>
      <c r="CP29" s="25">
        <f>IF(CP$4=0,0,IF(Effective!$C$36="fixed",Effective!$D$36,IF(Effective!$C$36="variable",CP18*Effective!$E$36,0)))</f>
        <v/>
      </c>
      <c r="CQ29" s="25">
        <f>IF(CQ$4=0,0,IF(Effective!$C$36="fixed",Effective!$D$36,IF(Effective!$C$36="variable",CQ18*Effective!$E$36,0)))</f>
        <v/>
      </c>
      <c r="CR29" s="25">
        <f>IF(CR$4=0,0,IF(Effective!$C$36="fixed",Effective!$D$36,IF(Effective!$C$36="variable",CR18*Effective!$E$36,0)))</f>
        <v/>
      </c>
      <c r="CS29" s="25">
        <f>IF(CS$4=0,0,IF(Effective!$C$36="fixed",Effective!$D$36,IF(Effective!$C$36="variable",CS18*Effective!$E$36,0)))</f>
        <v/>
      </c>
      <c r="CT29" s="25">
        <f>IF(CT$4=0,0,IF(Effective!$C$36="fixed",Effective!$D$36,IF(Effective!$C$36="variable",CT18*Effective!$E$36,0)))</f>
        <v/>
      </c>
      <c r="CU29" s="25">
        <f>IF(CU$4=0,0,IF(Effective!$C$36="fixed",Effective!$D$36,IF(Effective!$C$36="variable",CU18*Effective!$E$36,0)))</f>
        <v/>
      </c>
      <c r="CV29" s="25">
        <f>IF(CV$4=0,0,IF(Effective!$C$36="fixed",Effective!$D$36,IF(Effective!$C$36="variable",CV18*Effective!$E$36,0)))</f>
        <v/>
      </c>
      <c r="CW29" s="25">
        <f>IF(CW$4=0,0,IF(Effective!$C$36="fixed",Effective!$D$36,IF(Effective!$C$36="variable",CW18*Effective!$E$36,0)))</f>
        <v/>
      </c>
      <c r="CX29" s="25">
        <f>IF(CX$4=0,0,IF(Effective!$C$36="fixed",Effective!$D$36,IF(Effective!$C$36="variable",CX18*Effective!$E$36,0)))</f>
        <v/>
      </c>
      <c r="CY29" s="25">
        <f>IF(CY$4=0,0,IF(Effective!$C$36="fixed",Effective!$D$36,IF(Effective!$C$36="variable",CY18*Effective!$E$36,0)))</f>
        <v/>
      </c>
      <c r="CZ29" s="25">
        <f>IF(CZ$4=0,0,IF(Effective!$C$36="fixed",Effective!$D$36,IF(Effective!$C$36="variable",CZ18*Effective!$E$36,0)))</f>
        <v/>
      </c>
      <c r="DA29" s="25">
        <f>IF(DA$4=0,0,IF(Effective!$C$36="fixed",Effective!$D$36,IF(Effective!$C$36="variable",DA18*Effective!$E$36,0)))</f>
        <v/>
      </c>
      <c r="DB29" s="25">
        <f>IF(DB$4=0,0,IF(Effective!$C$36="fixed",Effective!$D$36,IF(Effective!$C$36="variable",DB18*Effective!$E$36,0)))</f>
        <v/>
      </c>
      <c r="DC29" s="25">
        <f>IF(DC$4=0,0,IF(Effective!$C$36="fixed",Effective!$D$36,IF(Effective!$C$36="variable",DC18*Effective!$E$36,0)))</f>
        <v/>
      </c>
      <c r="DD29" s="25">
        <f>IF(DD$4=0,0,IF(Effective!$C$36="fixed",Effective!$D$36,IF(Effective!$C$36="variable",DD18*Effective!$E$36,0)))</f>
        <v/>
      </c>
      <c r="DE29" s="25">
        <f>IF(DE$4=0,0,IF(Effective!$C$36="fixed",Effective!$D$36,IF(Effective!$C$36="variable",DE18*Effective!$E$36,0)))</f>
        <v/>
      </c>
      <c r="DF29" s="25">
        <f>IF(DF$4=0,0,IF(Effective!$C$36="fixed",Effective!$D$36,IF(Effective!$C$36="variable",DF18*Effective!$E$36,0)))</f>
        <v/>
      </c>
      <c r="DG29" s="25">
        <f>IF(DG$4=0,0,IF(Effective!$C$36="fixed",Effective!$D$36,IF(Effective!$C$36="variable",DG18*Effective!$E$36,0)))</f>
        <v/>
      </c>
      <c r="DH29" s="25">
        <f>IF(DH$4=0,0,IF(Effective!$C$36="fixed",Effective!$D$36,IF(Effective!$C$36="variable",DH18*Effective!$E$36,0)))</f>
        <v/>
      </c>
      <c r="DI29" s="25">
        <f>IF(DI$4=0,0,IF(Effective!$C$36="fixed",Effective!$D$36,IF(Effective!$C$36="variable",DI18*Effective!$E$36,0)))</f>
        <v/>
      </c>
      <c r="DJ29" s="25">
        <f>IF(DJ$4=0,0,IF(Effective!$C$36="fixed",Effective!$D$36,IF(Effective!$C$36="variable",DJ18*Effective!$E$36,0)))</f>
        <v/>
      </c>
      <c r="DK29" s="25">
        <f>IF(DK$4=0,0,IF(Effective!$C$36="fixed",Effective!$D$36,IF(Effective!$C$36="variable",DK18*Effective!$E$36,0)))</f>
        <v/>
      </c>
      <c r="DL29" s="25">
        <f>IF(DL$4=0,0,IF(Effective!$C$36="fixed",Effective!$D$36,IF(Effective!$C$36="variable",DL18*Effective!$E$36,0)))</f>
        <v/>
      </c>
      <c r="DM29" s="25">
        <f>IF(DM$4=0,0,IF(Effective!$C$36="fixed",Effective!$D$36,IF(Effective!$C$36="variable",DM18*Effective!$E$36,0)))</f>
        <v/>
      </c>
      <c r="DN29" s="25">
        <f>IF(DN$4=0,0,IF(Effective!$C$36="fixed",Effective!$D$36,IF(Effective!$C$36="variable",DN18*Effective!$E$36,0)))</f>
        <v/>
      </c>
      <c r="DO29" s="25">
        <f>IF(DO$4=0,0,IF(Effective!$C$36="fixed",Effective!$D$36,IF(Effective!$C$36="variable",DO18*Effective!$E$36,0)))</f>
        <v/>
      </c>
      <c r="DP29" s="25">
        <f>IF(DP$4=0,0,IF(Effective!$C$36="fixed",Effective!$D$36,IF(Effective!$C$36="variable",DP18*Effective!$E$36,0)))</f>
        <v/>
      </c>
      <c r="DQ29" s="25">
        <f>IF(DQ$4=0,0,IF(Effective!$C$36="fixed",Effective!$D$36,IF(Effective!$C$36="variable",DQ18*Effective!$E$36,0)))</f>
        <v/>
      </c>
      <c r="DR29" s="25">
        <f>IF(DR$4=0,0,IF(Effective!$C$36="fixed",Effective!$D$36,IF(Effective!$C$36="variable",DR18*Effective!$E$36,0)))</f>
        <v/>
      </c>
    </row>
    <row r="30">
      <c r="A30" t="inlineStr">
        <is>
          <t>opex_2</t>
        </is>
      </c>
      <c r="B30" t="inlineStr">
        <is>
          <t>opex idx 1</t>
        </is>
      </c>
      <c r="C30" s="25">
        <f>IF(C$4=0,0,IF(Effective!$C$37="fixed",Effective!$D$37,IF(Effective!$C$37="variable",C18*Effective!$E$37,0)))</f>
        <v/>
      </c>
      <c r="D30" s="25">
        <f>IF(D$4=0,0,IF(Effective!$C$37="fixed",Effective!$D$37,IF(Effective!$C$37="variable",D18*Effective!$E$37,0)))</f>
        <v/>
      </c>
      <c r="E30" s="25">
        <f>IF(E$4=0,0,IF(Effective!$C$37="fixed",Effective!$D$37,IF(Effective!$C$37="variable",E18*Effective!$E$37,0)))</f>
        <v/>
      </c>
      <c r="F30" s="25">
        <f>IF(F$4=0,0,IF(Effective!$C$37="fixed",Effective!$D$37,IF(Effective!$C$37="variable",F18*Effective!$E$37,0)))</f>
        <v/>
      </c>
      <c r="G30" s="25">
        <f>IF(G$4=0,0,IF(Effective!$C$37="fixed",Effective!$D$37,IF(Effective!$C$37="variable",G18*Effective!$E$37,0)))</f>
        <v/>
      </c>
      <c r="H30" s="25">
        <f>IF(H$4=0,0,IF(Effective!$C$37="fixed",Effective!$D$37,IF(Effective!$C$37="variable",H18*Effective!$E$37,0)))</f>
        <v/>
      </c>
      <c r="I30" s="25">
        <f>IF(I$4=0,0,IF(Effective!$C$37="fixed",Effective!$D$37,IF(Effective!$C$37="variable",I18*Effective!$E$37,0)))</f>
        <v/>
      </c>
      <c r="J30" s="25">
        <f>IF(J$4=0,0,IF(Effective!$C$37="fixed",Effective!$D$37,IF(Effective!$C$37="variable",J18*Effective!$E$37,0)))</f>
        <v/>
      </c>
      <c r="K30" s="25">
        <f>IF(K$4=0,0,IF(Effective!$C$37="fixed",Effective!$D$37,IF(Effective!$C$37="variable",K18*Effective!$E$37,0)))</f>
        <v/>
      </c>
      <c r="L30" s="25">
        <f>IF(L$4=0,0,IF(Effective!$C$37="fixed",Effective!$D$37,IF(Effective!$C$37="variable",L18*Effective!$E$37,0)))</f>
        <v/>
      </c>
      <c r="M30" s="25">
        <f>IF(M$4=0,0,IF(Effective!$C$37="fixed",Effective!$D$37,IF(Effective!$C$37="variable",M18*Effective!$E$37,0)))</f>
        <v/>
      </c>
      <c r="N30" s="25">
        <f>IF(N$4=0,0,IF(Effective!$C$37="fixed",Effective!$D$37,IF(Effective!$C$37="variable",N18*Effective!$E$37,0)))</f>
        <v/>
      </c>
      <c r="O30" s="25">
        <f>IF(O$4=0,0,IF(Effective!$C$37="fixed",Effective!$D$37,IF(Effective!$C$37="variable",O18*Effective!$E$37,0)))</f>
        <v/>
      </c>
      <c r="P30" s="25">
        <f>IF(P$4=0,0,IF(Effective!$C$37="fixed",Effective!$D$37,IF(Effective!$C$37="variable",P18*Effective!$E$37,0)))</f>
        <v/>
      </c>
      <c r="Q30" s="25">
        <f>IF(Q$4=0,0,IF(Effective!$C$37="fixed",Effective!$D$37,IF(Effective!$C$37="variable",Q18*Effective!$E$37,0)))</f>
        <v/>
      </c>
      <c r="R30" s="25">
        <f>IF(R$4=0,0,IF(Effective!$C$37="fixed",Effective!$D$37,IF(Effective!$C$37="variable",R18*Effective!$E$37,0)))</f>
        <v/>
      </c>
      <c r="S30" s="25">
        <f>IF(S$4=0,0,IF(Effective!$C$37="fixed",Effective!$D$37,IF(Effective!$C$37="variable",S18*Effective!$E$37,0)))</f>
        <v/>
      </c>
      <c r="T30" s="25">
        <f>IF(T$4=0,0,IF(Effective!$C$37="fixed",Effective!$D$37,IF(Effective!$C$37="variable",T18*Effective!$E$37,0)))</f>
        <v/>
      </c>
      <c r="U30" s="25">
        <f>IF(U$4=0,0,IF(Effective!$C$37="fixed",Effective!$D$37,IF(Effective!$C$37="variable",U18*Effective!$E$37,0)))</f>
        <v/>
      </c>
      <c r="V30" s="25">
        <f>IF(V$4=0,0,IF(Effective!$C$37="fixed",Effective!$D$37,IF(Effective!$C$37="variable",V18*Effective!$E$37,0)))</f>
        <v/>
      </c>
      <c r="W30" s="25">
        <f>IF(W$4=0,0,IF(Effective!$C$37="fixed",Effective!$D$37,IF(Effective!$C$37="variable",W18*Effective!$E$37,0)))</f>
        <v/>
      </c>
      <c r="X30" s="25">
        <f>IF(X$4=0,0,IF(Effective!$C$37="fixed",Effective!$D$37,IF(Effective!$C$37="variable",X18*Effective!$E$37,0)))</f>
        <v/>
      </c>
      <c r="Y30" s="25">
        <f>IF(Y$4=0,0,IF(Effective!$C$37="fixed",Effective!$D$37,IF(Effective!$C$37="variable",Y18*Effective!$E$37,0)))</f>
        <v/>
      </c>
      <c r="Z30" s="25">
        <f>IF(Z$4=0,0,IF(Effective!$C$37="fixed",Effective!$D$37,IF(Effective!$C$37="variable",Z18*Effective!$E$37,0)))</f>
        <v/>
      </c>
      <c r="AA30" s="25">
        <f>IF(AA$4=0,0,IF(Effective!$C$37="fixed",Effective!$D$37,IF(Effective!$C$37="variable",AA18*Effective!$E$37,0)))</f>
        <v/>
      </c>
      <c r="AB30" s="25">
        <f>IF(AB$4=0,0,IF(Effective!$C$37="fixed",Effective!$D$37,IF(Effective!$C$37="variable",AB18*Effective!$E$37,0)))</f>
        <v/>
      </c>
      <c r="AC30" s="25">
        <f>IF(AC$4=0,0,IF(Effective!$C$37="fixed",Effective!$D$37,IF(Effective!$C$37="variable",AC18*Effective!$E$37,0)))</f>
        <v/>
      </c>
      <c r="AD30" s="25">
        <f>IF(AD$4=0,0,IF(Effective!$C$37="fixed",Effective!$D$37,IF(Effective!$C$37="variable",AD18*Effective!$E$37,0)))</f>
        <v/>
      </c>
      <c r="AE30" s="25">
        <f>IF(AE$4=0,0,IF(Effective!$C$37="fixed",Effective!$D$37,IF(Effective!$C$37="variable",AE18*Effective!$E$37,0)))</f>
        <v/>
      </c>
      <c r="AF30" s="25">
        <f>IF(AF$4=0,0,IF(Effective!$C$37="fixed",Effective!$D$37,IF(Effective!$C$37="variable",AF18*Effective!$E$37,0)))</f>
        <v/>
      </c>
      <c r="AG30" s="25">
        <f>IF(AG$4=0,0,IF(Effective!$C$37="fixed",Effective!$D$37,IF(Effective!$C$37="variable",AG18*Effective!$E$37,0)))</f>
        <v/>
      </c>
      <c r="AH30" s="25">
        <f>IF(AH$4=0,0,IF(Effective!$C$37="fixed",Effective!$D$37,IF(Effective!$C$37="variable",AH18*Effective!$E$37,0)))</f>
        <v/>
      </c>
      <c r="AI30" s="25">
        <f>IF(AI$4=0,0,IF(Effective!$C$37="fixed",Effective!$D$37,IF(Effective!$C$37="variable",AI18*Effective!$E$37,0)))</f>
        <v/>
      </c>
      <c r="AJ30" s="25">
        <f>IF(AJ$4=0,0,IF(Effective!$C$37="fixed",Effective!$D$37,IF(Effective!$C$37="variable",AJ18*Effective!$E$37,0)))</f>
        <v/>
      </c>
      <c r="AK30" s="25">
        <f>IF(AK$4=0,0,IF(Effective!$C$37="fixed",Effective!$D$37,IF(Effective!$C$37="variable",AK18*Effective!$E$37,0)))</f>
        <v/>
      </c>
      <c r="AL30" s="25">
        <f>IF(AL$4=0,0,IF(Effective!$C$37="fixed",Effective!$D$37,IF(Effective!$C$37="variable",AL18*Effective!$E$37,0)))</f>
        <v/>
      </c>
      <c r="AM30" s="25">
        <f>IF(AM$4=0,0,IF(Effective!$C$37="fixed",Effective!$D$37,IF(Effective!$C$37="variable",AM18*Effective!$E$37,0)))</f>
        <v/>
      </c>
      <c r="AN30" s="25">
        <f>IF(AN$4=0,0,IF(Effective!$C$37="fixed",Effective!$D$37,IF(Effective!$C$37="variable",AN18*Effective!$E$37,0)))</f>
        <v/>
      </c>
      <c r="AO30" s="25">
        <f>IF(AO$4=0,0,IF(Effective!$C$37="fixed",Effective!$D$37,IF(Effective!$C$37="variable",AO18*Effective!$E$37,0)))</f>
        <v/>
      </c>
      <c r="AP30" s="25">
        <f>IF(AP$4=0,0,IF(Effective!$C$37="fixed",Effective!$D$37,IF(Effective!$C$37="variable",AP18*Effective!$E$37,0)))</f>
        <v/>
      </c>
      <c r="AQ30" s="25">
        <f>IF(AQ$4=0,0,IF(Effective!$C$37="fixed",Effective!$D$37,IF(Effective!$C$37="variable",AQ18*Effective!$E$37,0)))</f>
        <v/>
      </c>
      <c r="AR30" s="25">
        <f>IF(AR$4=0,0,IF(Effective!$C$37="fixed",Effective!$D$37,IF(Effective!$C$37="variable",AR18*Effective!$E$37,0)))</f>
        <v/>
      </c>
      <c r="AS30" s="25">
        <f>IF(AS$4=0,0,IF(Effective!$C$37="fixed",Effective!$D$37,IF(Effective!$C$37="variable",AS18*Effective!$E$37,0)))</f>
        <v/>
      </c>
      <c r="AT30" s="25">
        <f>IF(AT$4=0,0,IF(Effective!$C$37="fixed",Effective!$D$37,IF(Effective!$C$37="variable",AT18*Effective!$E$37,0)))</f>
        <v/>
      </c>
      <c r="AU30" s="25">
        <f>IF(AU$4=0,0,IF(Effective!$C$37="fixed",Effective!$D$37,IF(Effective!$C$37="variable",AU18*Effective!$E$37,0)))</f>
        <v/>
      </c>
      <c r="AV30" s="25">
        <f>IF(AV$4=0,0,IF(Effective!$C$37="fixed",Effective!$D$37,IF(Effective!$C$37="variable",AV18*Effective!$E$37,0)))</f>
        <v/>
      </c>
      <c r="AW30" s="25">
        <f>IF(AW$4=0,0,IF(Effective!$C$37="fixed",Effective!$D$37,IF(Effective!$C$37="variable",AW18*Effective!$E$37,0)))</f>
        <v/>
      </c>
      <c r="AX30" s="25">
        <f>IF(AX$4=0,0,IF(Effective!$C$37="fixed",Effective!$D$37,IF(Effective!$C$37="variable",AX18*Effective!$E$37,0)))</f>
        <v/>
      </c>
      <c r="AY30" s="25">
        <f>IF(AY$4=0,0,IF(Effective!$C$37="fixed",Effective!$D$37,IF(Effective!$C$37="variable",AY18*Effective!$E$37,0)))</f>
        <v/>
      </c>
      <c r="AZ30" s="25">
        <f>IF(AZ$4=0,0,IF(Effective!$C$37="fixed",Effective!$D$37,IF(Effective!$C$37="variable",AZ18*Effective!$E$37,0)))</f>
        <v/>
      </c>
      <c r="BA30" s="25">
        <f>IF(BA$4=0,0,IF(Effective!$C$37="fixed",Effective!$D$37,IF(Effective!$C$37="variable",BA18*Effective!$E$37,0)))</f>
        <v/>
      </c>
      <c r="BB30" s="25">
        <f>IF(BB$4=0,0,IF(Effective!$C$37="fixed",Effective!$D$37,IF(Effective!$C$37="variable",BB18*Effective!$E$37,0)))</f>
        <v/>
      </c>
      <c r="BC30" s="25">
        <f>IF(BC$4=0,0,IF(Effective!$C$37="fixed",Effective!$D$37,IF(Effective!$C$37="variable",BC18*Effective!$E$37,0)))</f>
        <v/>
      </c>
      <c r="BD30" s="25">
        <f>IF(BD$4=0,0,IF(Effective!$C$37="fixed",Effective!$D$37,IF(Effective!$C$37="variable",BD18*Effective!$E$37,0)))</f>
        <v/>
      </c>
      <c r="BE30" s="25">
        <f>IF(BE$4=0,0,IF(Effective!$C$37="fixed",Effective!$D$37,IF(Effective!$C$37="variable",BE18*Effective!$E$37,0)))</f>
        <v/>
      </c>
      <c r="BF30" s="25">
        <f>IF(BF$4=0,0,IF(Effective!$C$37="fixed",Effective!$D$37,IF(Effective!$C$37="variable",BF18*Effective!$E$37,0)))</f>
        <v/>
      </c>
      <c r="BG30" s="25">
        <f>IF(BG$4=0,0,IF(Effective!$C$37="fixed",Effective!$D$37,IF(Effective!$C$37="variable",BG18*Effective!$E$37,0)))</f>
        <v/>
      </c>
      <c r="BH30" s="25">
        <f>IF(BH$4=0,0,IF(Effective!$C$37="fixed",Effective!$D$37,IF(Effective!$C$37="variable",BH18*Effective!$E$37,0)))</f>
        <v/>
      </c>
      <c r="BI30" s="25">
        <f>IF(BI$4=0,0,IF(Effective!$C$37="fixed",Effective!$D$37,IF(Effective!$C$37="variable",BI18*Effective!$E$37,0)))</f>
        <v/>
      </c>
      <c r="BJ30" s="25">
        <f>IF(BJ$4=0,0,IF(Effective!$C$37="fixed",Effective!$D$37,IF(Effective!$C$37="variable",BJ18*Effective!$E$37,0)))</f>
        <v/>
      </c>
      <c r="BK30" s="25">
        <f>IF(BK$4=0,0,IF(Effective!$C$37="fixed",Effective!$D$37,IF(Effective!$C$37="variable",BK18*Effective!$E$37,0)))</f>
        <v/>
      </c>
      <c r="BL30" s="25">
        <f>IF(BL$4=0,0,IF(Effective!$C$37="fixed",Effective!$D$37,IF(Effective!$C$37="variable",BL18*Effective!$E$37,0)))</f>
        <v/>
      </c>
      <c r="BM30" s="25">
        <f>IF(BM$4=0,0,IF(Effective!$C$37="fixed",Effective!$D$37,IF(Effective!$C$37="variable",BM18*Effective!$E$37,0)))</f>
        <v/>
      </c>
      <c r="BN30" s="25">
        <f>IF(BN$4=0,0,IF(Effective!$C$37="fixed",Effective!$D$37,IF(Effective!$C$37="variable",BN18*Effective!$E$37,0)))</f>
        <v/>
      </c>
      <c r="BO30" s="25">
        <f>IF(BO$4=0,0,IF(Effective!$C$37="fixed",Effective!$D$37,IF(Effective!$C$37="variable",BO18*Effective!$E$37,0)))</f>
        <v/>
      </c>
      <c r="BP30" s="25">
        <f>IF(BP$4=0,0,IF(Effective!$C$37="fixed",Effective!$D$37,IF(Effective!$C$37="variable",BP18*Effective!$E$37,0)))</f>
        <v/>
      </c>
      <c r="BQ30" s="25">
        <f>IF(BQ$4=0,0,IF(Effective!$C$37="fixed",Effective!$D$37,IF(Effective!$C$37="variable",BQ18*Effective!$E$37,0)))</f>
        <v/>
      </c>
      <c r="BR30" s="25">
        <f>IF(BR$4=0,0,IF(Effective!$C$37="fixed",Effective!$D$37,IF(Effective!$C$37="variable",BR18*Effective!$E$37,0)))</f>
        <v/>
      </c>
      <c r="BS30" s="25">
        <f>IF(BS$4=0,0,IF(Effective!$C$37="fixed",Effective!$D$37,IF(Effective!$C$37="variable",BS18*Effective!$E$37,0)))</f>
        <v/>
      </c>
      <c r="BT30" s="25">
        <f>IF(BT$4=0,0,IF(Effective!$C$37="fixed",Effective!$D$37,IF(Effective!$C$37="variable",BT18*Effective!$E$37,0)))</f>
        <v/>
      </c>
      <c r="BU30" s="25">
        <f>IF(BU$4=0,0,IF(Effective!$C$37="fixed",Effective!$D$37,IF(Effective!$C$37="variable",BU18*Effective!$E$37,0)))</f>
        <v/>
      </c>
      <c r="BV30" s="25">
        <f>IF(BV$4=0,0,IF(Effective!$C$37="fixed",Effective!$D$37,IF(Effective!$C$37="variable",BV18*Effective!$E$37,0)))</f>
        <v/>
      </c>
      <c r="BW30" s="25">
        <f>IF(BW$4=0,0,IF(Effective!$C$37="fixed",Effective!$D$37,IF(Effective!$C$37="variable",BW18*Effective!$E$37,0)))</f>
        <v/>
      </c>
      <c r="BX30" s="25">
        <f>IF(BX$4=0,0,IF(Effective!$C$37="fixed",Effective!$D$37,IF(Effective!$C$37="variable",BX18*Effective!$E$37,0)))</f>
        <v/>
      </c>
      <c r="BY30" s="25">
        <f>IF(BY$4=0,0,IF(Effective!$C$37="fixed",Effective!$D$37,IF(Effective!$C$37="variable",BY18*Effective!$E$37,0)))</f>
        <v/>
      </c>
      <c r="BZ30" s="25">
        <f>IF(BZ$4=0,0,IF(Effective!$C$37="fixed",Effective!$D$37,IF(Effective!$C$37="variable",BZ18*Effective!$E$37,0)))</f>
        <v/>
      </c>
      <c r="CA30" s="25">
        <f>IF(CA$4=0,0,IF(Effective!$C$37="fixed",Effective!$D$37,IF(Effective!$C$37="variable",CA18*Effective!$E$37,0)))</f>
        <v/>
      </c>
      <c r="CB30" s="25">
        <f>IF(CB$4=0,0,IF(Effective!$C$37="fixed",Effective!$D$37,IF(Effective!$C$37="variable",CB18*Effective!$E$37,0)))</f>
        <v/>
      </c>
      <c r="CC30" s="25">
        <f>IF(CC$4=0,0,IF(Effective!$C$37="fixed",Effective!$D$37,IF(Effective!$C$37="variable",CC18*Effective!$E$37,0)))</f>
        <v/>
      </c>
      <c r="CD30" s="25">
        <f>IF(CD$4=0,0,IF(Effective!$C$37="fixed",Effective!$D$37,IF(Effective!$C$37="variable",CD18*Effective!$E$37,0)))</f>
        <v/>
      </c>
      <c r="CE30" s="25">
        <f>IF(CE$4=0,0,IF(Effective!$C$37="fixed",Effective!$D$37,IF(Effective!$C$37="variable",CE18*Effective!$E$37,0)))</f>
        <v/>
      </c>
      <c r="CF30" s="25">
        <f>IF(CF$4=0,0,IF(Effective!$C$37="fixed",Effective!$D$37,IF(Effective!$C$37="variable",CF18*Effective!$E$37,0)))</f>
        <v/>
      </c>
      <c r="CG30" s="25">
        <f>IF(CG$4=0,0,IF(Effective!$C$37="fixed",Effective!$D$37,IF(Effective!$C$37="variable",CG18*Effective!$E$37,0)))</f>
        <v/>
      </c>
      <c r="CH30" s="25">
        <f>IF(CH$4=0,0,IF(Effective!$C$37="fixed",Effective!$D$37,IF(Effective!$C$37="variable",CH18*Effective!$E$37,0)))</f>
        <v/>
      </c>
      <c r="CI30" s="25">
        <f>IF(CI$4=0,0,IF(Effective!$C$37="fixed",Effective!$D$37,IF(Effective!$C$37="variable",CI18*Effective!$E$37,0)))</f>
        <v/>
      </c>
      <c r="CJ30" s="25">
        <f>IF(CJ$4=0,0,IF(Effective!$C$37="fixed",Effective!$D$37,IF(Effective!$C$37="variable",CJ18*Effective!$E$37,0)))</f>
        <v/>
      </c>
      <c r="CK30" s="25">
        <f>IF(CK$4=0,0,IF(Effective!$C$37="fixed",Effective!$D$37,IF(Effective!$C$37="variable",CK18*Effective!$E$37,0)))</f>
        <v/>
      </c>
      <c r="CL30" s="25">
        <f>IF(CL$4=0,0,IF(Effective!$C$37="fixed",Effective!$D$37,IF(Effective!$C$37="variable",CL18*Effective!$E$37,0)))</f>
        <v/>
      </c>
      <c r="CM30" s="25">
        <f>IF(CM$4=0,0,IF(Effective!$C$37="fixed",Effective!$D$37,IF(Effective!$C$37="variable",CM18*Effective!$E$37,0)))</f>
        <v/>
      </c>
      <c r="CN30" s="25">
        <f>IF(CN$4=0,0,IF(Effective!$C$37="fixed",Effective!$D$37,IF(Effective!$C$37="variable",CN18*Effective!$E$37,0)))</f>
        <v/>
      </c>
      <c r="CO30" s="25">
        <f>IF(CO$4=0,0,IF(Effective!$C$37="fixed",Effective!$D$37,IF(Effective!$C$37="variable",CO18*Effective!$E$37,0)))</f>
        <v/>
      </c>
      <c r="CP30" s="25">
        <f>IF(CP$4=0,0,IF(Effective!$C$37="fixed",Effective!$D$37,IF(Effective!$C$37="variable",CP18*Effective!$E$37,0)))</f>
        <v/>
      </c>
      <c r="CQ30" s="25">
        <f>IF(CQ$4=0,0,IF(Effective!$C$37="fixed",Effective!$D$37,IF(Effective!$C$37="variable",CQ18*Effective!$E$37,0)))</f>
        <v/>
      </c>
      <c r="CR30" s="25">
        <f>IF(CR$4=0,0,IF(Effective!$C$37="fixed",Effective!$D$37,IF(Effective!$C$37="variable",CR18*Effective!$E$37,0)))</f>
        <v/>
      </c>
      <c r="CS30" s="25">
        <f>IF(CS$4=0,0,IF(Effective!$C$37="fixed",Effective!$D$37,IF(Effective!$C$37="variable",CS18*Effective!$E$37,0)))</f>
        <v/>
      </c>
      <c r="CT30" s="25">
        <f>IF(CT$4=0,0,IF(Effective!$C$37="fixed",Effective!$D$37,IF(Effective!$C$37="variable",CT18*Effective!$E$37,0)))</f>
        <v/>
      </c>
      <c r="CU30" s="25">
        <f>IF(CU$4=0,0,IF(Effective!$C$37="fixed",Effective!$D$37,IF(Effective!$C$37="variable",CU18*Effective!$E$37,0)))</f>
        <v/>
      </c>
      <c r="CV30" s="25">
        <f>IF(CV$4=0,0,IF(Effective!$C$37="fixed",Effective!$D$37,IF(Effective!$C$37="variable",CV18*Effective!$E$37,0)))</f>
        <v/>
      </c>
      <c r="CW30" s="25">
        <f>IF(CW$4=0,0,IF(Effective!$C$37="fixed",Effective!$D$37,IF(Effective!$C$37="variable",CW18*Effective!$E$37,0)))</f>
        <v/>
      </c>
      <c r="CX30" s="25">
        <f>IF(CX$4=0,0,IF(Effective!$C$37="fixed",Effective!$D$37,IF(Effective!$C$37="variable",CX18*Effective!$E$37,0)))</f>
        <v/>
      </c>
      <c r="CY30" s="25">
        <f>IF(CY$4=0,0,IF(Effective!$C$37="fixed",Effective!$D$37,IF(Effective!$C$37="variable",CY18*Effective!$E$37,0)))</f>
        <v/>
      </c>
      <c r="CZ30" s="25">
        <f>IF(CZ$4=0,0,IF(Effective!$C$37="fixed",Effective!$D$37,IF(Effective!$C$37="variable",CZ18*Effective!$E$37,0)))</f>
        <v/>
      </c>
      <c r="DA30" s="25">
        <f>IF(DA$4=0,0,IF(Effective!$C$37="fixed",Effective!$D$37,IF(Effective!$C$37="variable",DA18*Effective!$E$37,0)))</f>
        <v/>
      </c>
      <c r="DB30" s="25">
        <f>IF(DB$4=0,0,IF(Effective!$C$37="fixed",Effective!$D$37,IF(Effective!$C$37="variable",DB18*Effective!$E$37,0)))</f>
        <v/>
      </c>
      <c r="DC30" s="25">
        <f>IF(DC$4=0,0,IF(Effective!$C$37="fixed",Effective!$D$37,IF(Effective!$C$37="variable",DC18*Effective!$E$37,0)))</f>
        <v/>
      </c>
      <c r="DD30" s="25">
        <f>IF(DD$4=0,0,IF(Effective!$C$37="fixed",Effective!$D$37,IF(Effective!$C$37="variable",DD18*Effective!$E$37,0)))</f>
        <v/>
      </c>
      <c r="DE30" s="25">
        <f>IF(DE$4=0,0,IF(Effective!$C$37="fixed",Effective!$D$37,IF(Effective!$C$37="variable",DE18*Effective!$E$37,0)))</f>
        <v/>
      </c>
      <c r="DF30" s="25">
        <f>IF(DF$4=0,0,IF(Effective!$C$37="fixed",Effective!$D$37,IF(Effective!$C$37="variable",DF18*Effective!$E$37,0)))</f>
        <v/>
      </c>
      <c r="DG30" s="25">
        <f>IF(DG$4=0,0,IF(Effective!$C$37="fixed",Effective!$D$37,IF(Effective!$C$37="variable",DG18*Effective!$E$37,0)))</f>
        <v/>
      </c>
      <c r="DH30" s="25">
        <f>IF(DH$4=0,0,IF(Effective!$C$37="fixed",Effective!$D$37,IF(Effective!$C$37="variable",DH18*Effective!$E$37,0)))</f>
        <v/>
      </c>
      <c r="DI30" s="25">
        <f>IF(DI$4=0,0,IF(Effective!$C$37="fixed",Effective!$D$37,IF(Effective!$C$37="variable",DI18*Effective!$E$37,0)))</f>
        <v/>
      </c>
      <c r="DJ30" s="25">
        <f>IF(DJ$4=0,0,IF(Effective!$C$37="fixed",Effective!$D$37,IF(Effective!$C$37="variable",DJ18*Effective!$E$37,0)))</f>
        <v/>
      </c>
      <c r="DK30" s="25">
        <f>IF(DK$4=0,0,IF(Effective!$C$37="fixed",Effective!$D$37,IF(Effective!$C$37="variable",DK18*Effective!$E$37,0)))</f>
        <v/>
      </c>
      <c r="DL30" s="25">
        <f>IF(DL$4=0,0,IF(Effective!$C$37="fixed",Effective!$D$37,IF(Effective!$C$37="variable",DL18*Effective!$E$37,0)))</f>
        <v/>
      </c>
      <c r="DM30" s="25">
        <f>IF(DM$4=0,0,IF(Effective!$C$37="fixed",Effective!$D$37,IF(Effective!$C$37="variable",DM18*Effective!$E$37,0)))</f>
        <v/>
      </c>
      <c r="DN30" s="25">
        <f>IF(DN$4=0,0,IF(Effective!$C$37="fixed",Effective!$D$37,IF(Effective!$C$37="variable",DN18*Effective!$E$37,0)))</f>
        <v/>
      </c>
      <c r="DO30" s="25">
        <f>IF(DO$4=0,0,IF(Effective!$C$37="fixed",Effective!$D$37,IF(Effective!$C$37="variable",DO18*Effective!$E$37,0)))</f>
        <v/>
      </c>
      <c r="DP30" s="25">
        <f>IF(DP$4=0,0,IF(Effective!$C$37="fixed",Effective!$D$37,IF(Effective!$C$37="variable",DP18*Effective!$E$37,0)))</f>
        <v/>
      </c>
      <c r="DQ30" s="25">
        <f>IF(DQ$4=0,0,IF(Effective!$C$37="fixed",Effective!$D$37,IF(Effective!$C$37="variable",DQ18*Effective!$E$37,0)))</f>
        <v/>
      </c>
      <c r="DR30" s="25">
        <f>IF(DR$4=0,0,IF(Effective!$C$37="fixed",Effective!$D$37,IF(Effective!$C$37="variable",DR18*Effective!$E$37,0)))</f>
        <v/>
      </c>
    </row>
    <row r="31">
      <c r="A31" t="inlineStr">
        <is>
          <t>opex_3</t>
        </is>
      </c>
      <c r="B31" t="inlineStr">
        <is>
          <t>opex idx 2</t>
        </is>
      </c>
      <c r="C31" s="25">
        <f>IF(C$4=0,0,IF(Effective!$C$38="fixed",Effective!$D$38,IF(Effective!$C$38="variable",C18*Effective!$E$38,0)))</f>
        <v/>
      </c>
      <c r="D31" s="25">
        <f>IF(D$4=0,0,IF(Effective!$C$38="fixed",Effective!$D$38,IF(Effective!$C$38="variable",D18*Effective!$E$38,0)))</f>
        <v/>
      </c>
      <c r="E31" s="25">
        <f>IF(E$4=0,0,IF(Effective!$C$38="fixed",Effective!$D$38,IF(Effective!$C$38="variable",E18*Effective!$E$38,0)))</f>
        <v/>
      </c>
      <c r="F31" s="25">
        <f>IF(F$4=0,0,IF(Effective!$C$38="fixed",Effective!$D$38,IF(Effective!$C$38="variable",F18*Effective!$E$38,0)))</f>
        <v/>
      </c>
      <c r="G31" s="25">
        <f>IF(G$4=0,0,IF(Effective!$C$38="fixed",Effective!$D$38,IF(Effective!$C$38="variable",G18*Effective!$E$38,0)))</f>
        <v/>
      </c>
      <c r="H31" s="25">
        <f>IF(H$4=0,0,IF(Effective!$C$38="fixed",Effective!$D$38,IF(Effective!$C$38="variable",H18*Effective!$E$38,0)))</f>
        <v/>
      </c>
      <c r="I31" s="25">
        <f>IF(I$4=0,0,IF(Effective!$C$38="fixed",Effective!$D$38,IF(Effective!$C$38="variable",I18*Effective!$E$38,0)))</f>
        <v/>
      </c>
      <c r="J31" s="25">
        <f>IF(J$4=0,0,IF(Effective!$C$38="fixed",Effective!$D$38,IF(Effective!$C$38="variable",J18*Effective!$E$38,0)))</f>
        <v/>
      </c>
      <c r="K31" s="25">
        <f>IF(K$4=0,0,IF(Effective!$C$38="fixed",Effective!$D$38,IF(Effective!$C$38="variable",K18*Effective!$E$38,0)))</f>
        <v/>
      </c>
      <c r="L31" s="25">
        <f>IF(L$4=0,0,IF(Effective!$C$38="fixed",Effective!$D$38,IF(Effective!$C$38="variable",L18*Effective!$E$38,0)))</f>
        <v/>
      </c>
      <c r="M31" s="25">
        <f>IF(M$4=0,0,IF(Effective!$C$38="fixed",Effective!$D$38,IF(Effective!$C$38="variable",M18*Effective!$E$38,0)))</f>
        <v/>
      </c>
      <c r="N31" s="25">
        <f>IF(N$4=0,0,IF(Effective!$C$38="fixed",Effective!$D$38,IF(Effective!$C$38="variable",N18*Effective!$E$38,0)))</f>
        <v/>
      </c>
      <c r="O31" s="25">
        <f>IF(O$4=0,0,IF(Effective!$C$38="fixed",Effective!$D$38,IF(Effective!$C$38="variable",O18*Effective!$E$38,0)))</f>
        <v/>
      </c>
      <c r="P31" s="25">
        <f>IF(P$4=0,0,IF(Effective!$C$38="fixed",Effective!$D$38,IF(Effective!$C$38="variable",P18*Effective!$E$38,0)))</f>
        <v/>
      </c>
      <c r="Q31" s="25">
        <f>IF(Q$4=0,0,IF(Effective!$C$38="fixed",Effective!$D$38,IF(Effective!$C$38="variable",Q18*Effective!$E$38,0)))</f>
        <v/>
      </c>
      <c r="R31" s="25">
        <f>IF(R$4=0,0,IF(Effective!$C$38="fixed",Effective!$D$38,IF(Effective!$C$38="variable",R18*Effective!$E$38,0)))</f>
        <v/>
      </c>
      <c r="S31" s="25">
        <f>IF(S$4=0,0,IF(Effective!$C$38="fixed",Effective!$D$38,IF(Effective!$C$38="variable",S18*Effective!$E$38,0)))</f>
        <v/>
      </c>
      <c r="T31" s="25">
        <f>IF(T$4=0,0,IF(Effective!$C$38="fixed",Effective!$D$38,IF(Effective!$C$38="variable",T18*Effective!$E$38,0)))</f>
        <v/>
      </c>
      <c r="U31" s="25">
        <f>IF(U$4=0,0,IF(Effective!$C$38="fixed",Effective!$D$38,IF(Effective!$C$38="variable",U18*Effective!$E$38,0)))</f>
        <v/>
      </c>
      <c r="V31" s="25">
        <f>IF(V$4=0,0,IF(Effective!$C$38="fixed",Effective!$D$38,IF(Effective!$C$38="variable",V18*Effective!$E$38,0)))</f>
        <v/>
      </c>
      <c r="W31" s="25">
        <f>IF(W$4=0,0,IF(Effective!$C$38="fixed",Effective!$D$38,IF(Effective!$C$38="variable",W18*Effective!$E$38,0)))</f>
        <v/>
      </c>
      <c r="X31" s="25">
        <f>IF(X$4=0,0,IF(Effective!$C$38="fixed",Effective!$D$38,IF(Effective!$C$38="variable",X18*Effective!$E$38,0)))</f>
        <v/>
      </c>
      <c r="Y31" s="25">
        <f>IF(Y$4=0,0,IF(Effective!$C$38="fixed",Effective!$D$38,IF(Effective!$C$38="variable",Y18*Effective!$E$38,0)))</f>
        <v/>
      </c>
      <c r="Z31" s="25">
        <f>IF(Z$4=0,0,IF(Effective!$C$38="fixed",Effective!$D$38,IF(Effective!$C$38="variable",Z18*Effective!$E$38,0)))</f>
        <v/>
      </c>
      <c r="AA31" s="25">
        <f>IF(AA$4=0,0,IF(Effective!$C$38="fixed",Effective!$D$38,IF(Effective!$C$38="variable",AA18*Effective!$E$38,0)))</f>
        <v/>
      </c>
      <c r="AB31" s="25">
        <f>IF(AB$4=0,0,IF(Effective!$C$38="fixed",Effective!$D$38,IF(Effective!$C$38="variable",AB18*Effective!$E$38,0)))</f>
        <v/>
      </c>
      <c r="AC31" s="25">
        <f>IF(AC$4=0,0,IF(Effective!$C$38="fixed",Effective!$D$38,IF(Effective!$C$38="variable",AC18*Effective!$E$38,0)))</f>
        <v/>
      </c>
      <c r="AD31" s="25">
        <f>IF(AD$4=0,0,IF(Effective!$C$38="fixed",Effective!$D$38,IF(Effective!$C$38="variable",AD18*Effective!$E$38,0)))</f>
        <v/>
      </c>
      <c r="AE31" s="25">
        <f>IF(AE$4=0,0,IF(Effective!$C$38="fixed",Effective!$D$38,IF(Effective!$C$38="variable",AE18*Effective!$E$38,0)))</f>
        <v/>
      </c>
      <c r="AF31" s="25">
        <f>IF(AF$4=0,0,IF(Effective!$C$38="fixed",Effective!$D$38,IF(Effective!$C$38="variable",AF18*Effective!$E$38,0)))</f>
        <v/>
      </c>
      <c r="AG31" s="25">
        <f>IF(AG$4=0,0,IF(Effective!$C$38="fixed",Effective!$D$38,IF(Effective!$C$38="variable",AG18*Effective!$E$38,0)))</f>
        <v/>
      </c>
      <c r="AH31" s="25">
        <f>IF(AH$4=0,0,IF(Effective!$C$38="fixed",Effective!$D$38,IF(Effective!$C$38="variable",AH18*Effective!$E$38,0)))</f>
        <v/>
      </c>
      <c r="AI31" s="25">
        <f>IF(AI$4=0,0,IF(Effective!$C$38="fixed",Effective!$D$38,IF(Effective!$C$38="variable",AI18*Effective!$E$38,0)))</f>
        <v/>
      </c>
      <c r="AJ31" s="25">
        <f>IF(AJ$4=0,0,IF(Effective!$C$38="fixed",Effective!$D$38,IF(Effective!$C$38="variable",AJ18*Effective!$E$38,0)))</f>
        <v/>
      </c>
      <c r="AK31" s="25">
        <f>IF(AK$4=0,0,IF(Effective!$C$38="fixed",Effective!$D$38,IF(Effective!$C$38="variable",AK18*Effective!$E$38,0)))</f>
        <v/>
      </c>
      <c r="AL31" s="25">
        <f>IF(AL$4=0,0,IF(Effective!$C$38="fixed",Effective!$D$38,IF(Effective!$C$38="variable",AL18*Effective!$E$38,0)))</f>
        <v/>
      </c>
      <c r="AM31" s="25">
        <f>IF(AM$4=0,0,IF(Effective!$C$38="fixed",Effective!$D$38,IF(Effective!$C$38="variable",AM18*Effective!$E$38,0)))</f>
        <v/>
      </c>
      <c r="AN31" s="25">
        <f>IF(AN$4=0,0,IF(Effective!$C$38="fixed",Effective!$D$38,IF(Effective!$C$38="variable",AN18*Effective!$E$38,0)))</f>
        <v/>
      </c>
      <c r="AO31" s="25">
        <f>IF(AO$4=0,0,IF(Effective!$C$38="fixed",Effective!$D$38,IF(Effective!$C$38="variable",AO18*Effective!$E$38,0)))</f>
        <v/>
      </c>
      <c r="AP31" s="25">
        <f>IF(AP$4=0,0,IF(Effective!$C$38="fixed",Effective!$D$38,IF(Effective!$C$38="variable",AP18*Effective!$E$38,0)))</f>
        <v/>
      </c>
      <c r="AQ31" s="25">
        <f>IF(AQ$4=0,0,IF(Effective!$C$38="fixed",Effective!$D$38,IF(Effective!$C$38="variable",AQ18*Effective!$E$38,0)))</f>
        <v/>
      </c>
      <c r="AR31" s="25">
        <f>IF(AR$4=0,0,IF(Effective!$C$38="fixed",Effective!$D$38,IF(Effective!$C$38="variable",AR18*Effective!$E$38,0)))</f>
        <v/>
      </c>
      <c r="AS31" s="25">
        <f>IF(AS$4=0,0,IF(Effective!$C$38="fixed",Effective!$D$38,IF(Effective!$C$38="variable",AS18*Effective!$E$38,0)))</f>
        <v/>
      </c>
      <c r="AT31" s="25">
        <f>IF(AT$4=0,0,IF(Effective!$C$38="fixed",Effective!$D$38,IF(Effective!$C$38="variable",AT18*Effective!$E$38,0)))</f>
        <v/>
      </c>
      <c r="AU31" s="25">
        <f>IF(AU$4=0,0,IF(Effective!$C$38="fixed",Effective!$D$38,IF(Effective!$C$38="variable",AU18*Effective!$E$38,0)))</f>
        <v/>
      </c>
      <c r="AV31" s="25">
        <f>IF(AV$4=0,0,IF(Effective!$C$38="fixed",Effective!$D$38,IF(Effective!$C$38="variable",AV18*Effective!$E$38,0)))</f>
        <v/>
      </c>
      <c r="AW31" s="25">
        <f>IF(AW$4=0,0,IF(Effective!$C$38="fixed",Effective!$D$38,IF(Effective!$C$38="variable",AW18*Effective!$E$38,0)))</f>
        <v/>
      </c>
      <c r="AX31" s="25">
        <f>IF(AX$4=0,0,IF(Effective!$C$38="fixed",Effective!$D$38,IF(Effective!$C$38="variable",AX18*Effective!$E$38,0)))</f>
        <v/>
      </c>
      <c r="AY31" s="25">
        <f>IF(AY$4=0,0,IF(Effective!$C$38="fixed",Effective!$D$38,IF(Effective!$C$38="variable",AY18*Effective!$E$38,0)))</f>
        <v/>
      </c>
      <c r="AZ31" s="25">
        <f>IF(AZ$4=0,0,IF(Effective!$C$38="fixed",Effective!$D$38,IF(Effective!$C$38="variable",AZ18*Effective!$E$38,0)))</f>
        <v/>
      </c>
      <c r="BA31" s="25">
        <f>IF(BA$4=0,0,IF(Effective!$C$38="fixed",Effective!$D$38,IF(Effective!$C$38="variable",BA18*Effective!$E$38,0)))</f>
        <v/>
      </c>
      <c r="BB31" s="25">
        <f>IF(BB$4=0,0,IF(Effective!$C$38="fixed",Effective!$D$38,IF(Effective!$C$38="variable",BB18*Effective!$E$38,0)))</f>
        <v/>
      </c>
      <c r="BC31" s="25">
        <f>IF(BC$4=0,0,IF(Effective!$C$38="fixed",Effective!$D$38,IF(Effective!$C$38="variable",BC18*Effective!$E$38,0)))</f>
        <v/>
      </c>
      <c r="BD31" s="25">
        <f>IF(BD$4=0,0,IF(Effective!$C$38="fixed",Effective!$D$38,IF(Effective!$C$38="variable",BD18*Effective!$E$38,0)))</f>
        <v/>
      </c>
      <c r="BE31" s="25">
        <f>IF(BE$4=0,0,IF(Effective!$C$38="fixed",Effective!$D$38,IF(Effective!$C$38="variable",BE18*Effective!$E$38,0)))</f>
        <v/>
      </c>
      <c r="BF31" s="25">
        <f>IF(BF$4=0,0,IF(Effective!$C$38="fixed",Effective!$D$38,IF(Effective!$C$38="variable",BF18*Effective!$E$38,0)))</f>
        <v/>
      </c>
      <c r="BG31" s="25">
        <f>IF(BG$4=0,0,IF(Effective!$C$38="fixed",Effective!$D$38,IF(Effective!$C$38="variable",BG18*Effective!$E$38,0)))</f>
        <v/>
      </c>
      <c r="BH31" s="25">
        <f>IF(BH$4=0,0,IF(Effective!$C$38="fixed",Effective!$D$38,IF(Effective!$C$38="variable",BH18*Effective!$E$38,0)))</f>
        <v/>
      </c>
      <c r="BI31" s="25">
        <f>IF(BI$4=0,0,IF(Effective!$C$38="fixed",Effective!$D$38,IF(Effective!$C$38="variable",BI18*Effective!$E$38,0)))</f>
        <v/>
      </c>
      <c r="BJ31" s="25">
        <f>IF(BJ$4=0,0,IF(Effective!$C$38="fixed",Effective!$D$38,IF(Effective!$C$38="variable",BJ18*Effective!$E$38,0)))</f>
        <v/>
      </c>
      <c r="BK31" s="25">
        <f>IF(BK$4=0,0,IF(Effective!$C$38="fixed",Effective!$D$38,IF(Effective!$C$38="variable",BK18*Effective!$E$38,0)))</f>
        <v/>
      </c>
      <c r="BL31" s="25">
        <f>IF(BL$4=0,0,IF(Effective!$C$38="fixed",Effective!$D$38,IF(Effective!$C$38="variable",BL18*Effective!$E$38,0)))</f>
        <v/>
      </c>
      <c r="BM31" s="25">
        <f>IF(BM$4=0,0,IF(Effective!$C$38="fixed",Effective!$D$38,IF(Effective!$C$38="variable",BM18*Effective!$E$38,0)))</f>
        <v/>
      </c>
      <c r="BN31" s="25">
        <f>IF(BN$4=0,0,IF(Effective!$C$38="fixed",Effective!$D$38,IF(Effective!$C$38="variable",BN18*Effective!$E$38,0)))</f>
        <v/>
      </c>
      <c r="BO31" s="25">
        <f>IF(BO$4=0,0,IF(Effective!$C$38="fixed",Effective!$D$38,IF(Effective!$C$38="variable",BO18*Effective!$E$38,0)))</f>
        <v/>
      </c>
      <c r="BP31" s="25">
        <f>IF(BP$4=0,0,IF(Effective!$C$38="fixed",Effective!$D$38,IF(Effective!$C$38="variable",BP18*Effective!$E$38,0)))</f>
        <v/>
      </c>
      <c r="BQ31" s="25">
        <f>IF(BQ$4=0,0,IF(Effective!$C$38="fixed",Effective!$D$38,IF(Effective!$C$38="variable",BQ18*Effective!$E$38,0)))</f>
        <v/>
      </c>
      <c r="BR31" s="25">
        <f>IF(BR$4=0,0,IF(Effective!$C$38="fixed",Effective!$D$38,IF(Effective!$C$38="variable",BR18*Effective!$E$38,0)))</f>
        <v/>
      </c>
      <c r="BS31" s="25">
        <f>IF(BS$4=0,0,IF(Effective!$C$38="fixed",Effective!$D$38,IF(Effective!$C$38="variable",BS18*Effective!$E$38,0)))</f>
        <v/>
      </c>
      <c r="BT31" s="25">
        <f>IF(BT$4=0,0,IF(Effective!$C$38="fixed",Effective!$D$38,IF(Effective!$C$38="variable",BT18*Effective!$E$38,0)))</f>
        <v/>
      </c>
      <c r="BU31" s="25">
        <f>IF(BU$4=0,0,IF(Effective!$C$38="fixed",Effective!$D$38,IF(Effective!$C$38="variable",BU18*Effective!$E$38,0)))</f>
        <v/>
      </c>
      <c r="BV31" s="25">
        <f>IF(BV$4=0,0,IF(Effective!$C$38="fixed",Effective!$D$38,IF(Effective!$C$38="variable",BV18*Effective!$E$38,0)))</f>
        <v/>
      </c>
      <c r="BW31" s="25">
        <f>IF(BW$4=0,0,IF(Effective!$C$38="fixed",Effective!$D$38,IF(Effective!$C$38="variable",BW18*Effective!$E$38,0)))</f>
        <v/>
      </c>
      <c r="BX31" s="25">
        <f>IF(BX$4=0,0,IF(Effective!$C$38="fixed",Effective!$D$38,IF(Effective!$C$38="variable",BX18*Effective!$E$38,0)))</f>
        <v/>
      </c>
      <c r="BY31" s="25">
        <f>IF(BY$4=0,0,IF(Effective!$C$38="fixed",Effective!$D$38,IF(Effective!$C$38="variable",BY18*Effective!$E$38,0)))</f>
        <v/>
      </c>
      <c r="BZ31" s="25">
        <f>IF(BZ$4=0,0,IF(Effective!$C$38="fixed",Effective!$D$38,IF(Effective!$C$38="variable",BZ18*Effective!$E$38,0)))</f>
        <v/>
      </c>
      <c r="CA31" s="25">
        <f>IF(CA$4=0,0,IF(Effective!$C$38="fixed",Effective!$D$38,IF(Effective!$C$38="variable",CA18*Effective!$E$38,0)))</f>
        <v/>
      </c>
      <c r="CB31" s="25">
        <f>IF(CB$4=0,0,IF(Effective!$C$38="fixed",Effective!$D$38,IF(Effective!$C$38="variable",CB18*Effective!$E$38,0)))</f>
        <v/>
      </c>
      <c r="CC31" s="25">
        <f>IF(CC$4=0,0,IF(Effective!$C$38="fixed",Effective!$D$38,IF(Effective!$C$38="variable",CC18*Effective!$E$38,0)))</f>
        <v/>
      </c>
      <c r="CD31" s="25">
        <f>IF(CD$4=0,0,IF(Effective!$C$38="fixed",Effective!$D$38,IF(Effective!$C$38="variable",CD18*Effective!$E$38,0)))</f>
        <v/>
      </c>
      <c r="CE31" s="25">
        <f>IF(CE$4=0,0,IF(Effective!$C$38="fixed",Effective!$D$38,IF(Effective!$C$38="variable",CE18*Effective!$E$38,0)))</f>
        <v/>
      </c>
      <c r="CF31" s="25">
        <f>IF(CF$4=0,0,IF(Effective!$C$38="fixed",Effective!$D$38,IF(Effective!$C$38="variable",CF18*Effective!$E$38,0)))</f>
        <v/>
      </c>
      <c r="CG31" s="25">
        <f>IF(CG$4=0,0,IF(Effective!$C$38="fixed",Effective!$D$38,IF(Effective!$C$38="variable",CG18*Effective!$E$38,0)))</f>
        <v/>
      </c>
      <c r="CH31" s="25">
        <f>IF(CH$4=0,0,IF(Effective!$C$38="fixed",Effective!$D$38,IF(Effective!$C$38="variable",CH18*Effective!$E$38,0)))</f>
        <v/>
      </c>
      <c r="CI31" s="25">
        <f>IF(CI$4=0,0,IF(Effective!$C$38="fixed",Effective!$D$38,IF(Effective!$C$38="variable",CI18*Effective!$E$38,0)))</f>
        <v/>
      </c>
      <c r="CJ31" s="25">
        <f>IF(CJ$4=0,0,IF(Effective!$C$38="fixed",Effective!$D$38,IF(Effective!$C$38="variable",CJ18*Effective!$E$38,0)))</f>
        <v/>
      </c>
      <c r="CK31" s="25">
        <f>IF(CK$4=0,0,IF(Effective!$C$38="fixed",Effective!$D$38,IF(Effective!$C$38="variable",CK18*Effective!$E$38,0)))</f>
        <v/>
      </c>
      <c r="CL31" s="25">
        <f>IF(CL$4=0,0,IF(Effective!$C$38="fixed",Effective!$D$38,IF(Effective!$C$38="variable",CL18*Effective!$E$38,0)))</f>
        <v/>
      </c>
      <c r="CM31" s="25">
        <f>IF(CM$4=0,0,IF(Effective!$C$38="fixed",Effective!$D$38,IF(Effective!$C$38="variable",CM18*Effective!$E$38,0)))</f>
        <v/>
      </c>
      <c r="CN31" s="25">
        <f>IF(CN$4=0,0,IF(Effective!$C$38="fixed",Effective!$D$38,IF(Effective!$C$38="variable",CN18*Effective!$E$38,0)))</f>
        <v/>
      </c>
      <c r="CO31" s="25">
        <f>IF(CO$4=0,0,IF(Effective!$C$38="fixed",Effective!$D$38,IF(Effective!$C$38="variable",CO18*Effective!$E$38,0)))</f>
        <v/>
      </c>
      <c r="CP31" s="25">
        <f>IF(CP$4=0,0,IF(Effective!$C$38="fixed",Effective!$D$38,IF(Effective!$C$38="variable",CP18*Effective!$E$38,0)))</f>
        <v/>
      </c>
      <c r="CQ31" s="25">
        <f>IF(CQ$4=0,0,IF(Effective!$C$38="fixed",Effective!$D$38,IF(Effective!$C$38="variable",CQ18*Effective!$E$38,0)))</f>
        <v/>
      </c>
      <c r="CR31" s="25">
        <f>IF(CR$4=0,0,IF(Effective!$C$38="fixed",Effective!$D$38,IF(Effective!$C$38="variable",CR18*Effective!$E$38,0)))</f>
        <v/>
      </c>
      <c r="CS31" s="25">
        <f>IF(CS$4=0,0,IF(Effective!$C$38="fixed",Effective!$D$38,IF(Effective!$C$38="variable",CS18*Effective!$E$38,0)))</f>
        <v/>
      </c>
      <c r="CT31" s="25">
        <f>IF(CT$4=0,0,IF(Effective!$C$38="fixed",Effective!$D$38,IF(Effective!$C$38="variable",CT18*Effective!$E$38,0)))</f>
        <v/>
      </c>
      <c r="CU31" s="25">
        <f>IF(CU$4=0,0,IF(Effective!$C$38="fixed",Effective!$D$38,IF(Effective!$C$38="variable",CU18*Effective!$E$38,0)))</f>
        <v/>
      </c>
      <c r="CV31" s="25">
        <f>IF(CV$4=0,0,IF(Effective!$C$38="fixed",Effective!$D$38,IF(Effective!$C$38="variable",CV18*Effective!$E$38,0)))</f>
        <v/>
      </c>
      <c r="CW31" s="25">
        <f>IF(CW$4=0,0,IF(Effective!$C$38="fixed",Effective!$D$38,IF(Effective!$C$38="variable",CW18*Effective!$E$38,0)))</f>
        <v/>
      </c>
      <c r="CX31" s="25">
        <f>IF(CX$4=0,0,IF(Effective!$C$38="fixed",Effective!$D$38,IF(Effective!$C$38="variable",CX18*Effective!$E$38,0)))</f>
        <v/>
      </c>
      <c r="CY31" s="25">
        <f>IF(CY$4=0,0,IF(Effective!$C$38="fixed",Effective!$D$38,IF(Effective!$C$38="variable",CY18*Effective!$E$38,0)))</f>
        <v/>
      </c>
      <c r="CZ31" s="25">
        <f>IF(CZ$4=0,0,IF(Effective!$C$38="fixed",Effective!$D$38,IF(Effective!$C$38="variable",CZ18*Effective!$E$38,0)))</f>
        <v/>
      </c>
      <c r="DA31" s="25">
        <f>IF(DA$4=0,0,IF(Effective!$C$38="fixed",Effective!$D$38,IF(Effective!$C$38="variable",DA18*Effective!$E$38,0)))</f>
        <v/>
      </c>
      <c r="DB31" s="25">
        <f>IF(DB$4=0,0,IF(Effective!$C$38="fixed",Effective!$D$38,IF(Effective!$C$38="variable",DB18*Effective!$E$38,0)))</f>
        <v/>
      </c>
      <c r="DC31" s="25">
        <f>IF(DC$4=0,0,IF(Effective!$C$38="fixed",Effective!$D$38,IF(Effective!$C$38="variable",DC18*Effective!$E$38,0)))</f>
        <v/>
      </c>
      <c r="DD31" s="25">
        <f>IF(DD$4=0,0,IF(Effective!$C$38="fixed",Effective!$D$38,IF(Effective!$C$38="variable",DD18*Effective!$E$38,0)))</f>
        <v/>
      </c>
      <c r="DE31" s="25">
        <f>IF(DE$4=0,0,IF(Effective!$C$38="fixed",Effective!$D$38,IF(Effective!$C$38="variable",DE18*Effective!$E$38,0)))</f>
        <v/>
      </c>
      <c r="DF31" s="25">
        <f>IF(DF$4=0,0,IF(Effective!$C$38="fixed",Effective!$D$38,IF(Effective!$C$38="variable",DF18*Effective!$E$38,0)))</f>
        <v/>
      </c>
      <c r="DG31" s="25">
        <f>IF(DG$4=0,0,IF(Effective!$C$38="fixed",Effective!$D$38,IF(Effective!$C$38="variable",DG18*Effective!$E$38,0)))</f>
        <v/>
      </c>
      <c r="DH31" s="25">
        <f>IF(DH$4=0,0,IF(Effective!$C$38="fixed",Effective!$D$38,IF(Effective!$C$38="variable",DH18*Effective!$E$38,0)))</f>
        <v/>
      </c>
      <c r="DI31" s="25">
        <f>IF(DI$4=0,0,IF(Effective!$C$38="fixed",Effective!$D$38,IF(Effective!$C$38="variable",DI18*Effective!$E$38,0)))</f>
        <v/>
      </c>
      <c r="DJ31" s="25">
        <f>IF(DJ$4=0,0,IF(Effective!$C$38="fixed",Effective!$D$38,IF(Effective!$C$38="variable",DJ18*Effective!$E$38,0)))</f>
        <v/>
      </c>
      <c r="DK31" s="25">
        <f>IF(DK$4=0,0,IF(Effective!$C$38="fixed",Effective!$D$38,IF(Effective!$C$38="variable",DK18*Effective!$E$38,0)))</f>
        <v/>
      </c>
      <c r="DL31" s="25">
        <f>IF(DL$4=0,0,IF(Effective!$C$38="fixed",Effective!$D$38,IF(Effective!$C$38="variable",DL18*Effective!$E$38,0)))</f>
        <v/>
      </c>
      <c r="DM31" s="25">
        <f>IF(DM$4=0,0,IF(Effective!$C$38="fixed",Effective!$D$38,IF(Effective!$C$38="variable",DM18*Effective!$E$38,0)))</f>
        <v/>
      </c>
      <c r="DN31" s="25">
        <f>IF(DN$4=0,0,IF(Effective!$C$38="fixed",Effective!$D$38,IF(Effective!$C$38="variable",DN18*Effective!$E$38,0)))</f>
        <v/>
      </c>
      <c r="DO31" s="25">
        <f>IF(DO$4=0,0,IF(Effective!$C$38="fixed",Effective!$D$38,IF(Effective!$C$38="variable",DO18*Effective!$E$38,0)))</f>
        <v/>
      </c>
      <c r="DP31" s="25">
        <f>IF(DP$4=0,0,IF(Effective!$C$38="fixed",Effective!$D$38,IF(Effective!$C$38="variable",DP18*Effective!$E$38,0)))</f>
        <v/>
      </c>
      <c r="DQ31" s="25">
        <f>IF(DQ$4=0,0,IF(Effective!$C$38="fixed",Effective!$D$38,IF(Effective!$C$38="variable",DQ18*Effective!$E$38,0)))</f>
        <v/>
      </c>
      <c r="DR31" s="25">
        <f>IF(DR$4=0,0,IF(Effective!$C$38="fixed",Effective!$D$38,IF(Effective!$C$38="variable",DR18*Effective!$E$38,0)))</f>
        <v/>
      </c>
    </row>
    <row r="32">
      <c r="A32" t="inlineStr">
        <is>
          <t>opex_4</t>
        </is>
      </c>
      <c r="B32" t="inlineStr">
        <is>
          <t>opex idx 3</t>
        </is>
      </c>
      <c r="C32" s="25">
        <f>IF(C$4=0,0,IF(Effective!$C$39="fixed",Effective!$D$39,IF(Effective!$C$39="variable",C18*Effective!$E$39,0)))</f>
        <v/>
      </c>
      <c r="D32" s="25">
        <f>IF(D$4=0,0,IF(Effective!$C$39="fixed",Effective!$D$39,IF(Effective!$C$39="variable",D18*Effective!$E$39,0)))</f>
        <v/>
      </c>
      <c r="E32" s="25">
        <f>IF(E$4=0,0,IF(Effective!$C$39="fixed",Effective!$D$39,IF(Effective!$C$39="variable",E18*Effective!$E$39,0)))</f>
        <v/>
      </c>
      <c r="F32" s="25">
        <f>IF(F$4=0,0,IF(Effective!$C$39="fixed",Effective!$D$39,IF(Effective!$C$39="variable",F18*Effective!$E$39,0)))</f>
        <v/>
      </c>
      <c r="G32" s="25">
        <f>IF(G$4=0,0,IF(Effective!$C$39="fixed",Effective!$D$39,IF(Effective!$C$39="variable",G18*Effective!$E$39,0)))</f>
        <v/>
      </c>
      <c r="H32" s="25">
        <f>IF(H$4=0,0,IF(Effective!$C$39="fixed",Effective!$D$39,IF(Effective!$C$39="variable",H18*Effective!$E$39,0)))</f>
        <v/>
      </c>
      <c r="I32" s="25">
        <f>IF(I$4=0,0,IF(Effective!$C$39="fixed",Effective!$D$39,IF(Effective!$C$39="variable",I18*Effective!$E$39,0)))</f>
        <v/>
      </c>
      <c r="J32" s="25">
        <f>IF(J$4=0,0,IF(Effective!$C$39="fixed",Effective!$D$39,IF(Effective!$C$39="variable",J18*Effective!$E$39,0)))</f>
        <v/>
      </c>
      <c r="K32" s="25">
        <f>IF(K$4=0,0,IF(Effective!$C$39="fixed",Effective!$D$39,IF(Effective!$C$39="variable",K18*Effective!$E$39,0)))</f>
        <v/>
      </c>
      <c r="L32" s="25">
        <f>IF(L$4=0,0,IF(Effective!$C$39="fixed",Effective!$D$39,IF(Effective!$C$39="variable",L18*Effective!$E$39,0)))</f>
        <v/>
      </c>
      <c r="M32" s="25">
        <f>IF(M$4=0,0,IF(Effective!$C$39="fixed",Effective!$D$39,IF(Effective!$C$39="variable",M18*Effective!$E$39,0)))</f>
        <v/>
      </c>
      <c r="N32" s="25">
        <f>IF(N$4=0,0,IF(Effective!$C$39="fixed",Effective!$D$39,IF(Effective!$C$39="variable",N18*Effective!$E$39,0)))</f>
        <v/>
      </c>
      <c r="O32" s="25">
        <f>IF(O$4=0,0,IF(Effective!$C$39="fixed",Effective!$D$39,IF(Effective!$C$39="variable",O18*Effective!$E$39,0)))</f>
        <v/>
      </c>
      <c r="P32" s="25">
        <f>IF(P$4=0,0,IF(Effective!$C$39="fixed",Effective!$D$39,IF(Effective!$C$39="variable",P18*Effective!$E$39,0)))</f>
        <v/>
      </c>
      <c r="Q32" s="25">
        <f>IF(Q$4=0,0,IF(Effective!$C$39="fixed",Effective!$D$39,IF(Effective!$C$39="variable",Q18*Effective!$E$39,0)))</f>
        <v/>
      </c>
      <c r="R32" s="25">
        <f>IF(R$4=0,0,IF(Effective!$C$39="fixed",Effective!$D$39,IF(Effective!$C$39="variable",R18*Effective!$E$39,0)))</f>
        <v/>
      </c>
      <c r="S32" s="25">
        <f>IF(S$4=0,0,IF(Effective!$C$39="fixed",Effective!$D$39,IF(Effective!$C$39="variable",S18*Effective!$E$39,0)))</f>
        <v/>
      </c>
      <c r="T32" s="25">
        <f>IF(T$4=0,0,IF(Effective!$C$39="fixed",Effective!$D$39,IF(Effective!$C$39="variable",T18*Effective!$E$39,0)))</f>
        <v/>
      </c>
      <c r="U32" s="25">
        <f>IF(U$4=0,0,IF(Effective!$C$39="fixed",Effective!$D$39,IF(Effective!$C$39="variable",U18*Effective!$E$39,0)))</f>
        <v/>
      </c>
      <c r="V32" s="25">
        <f>IF(V$4=0,0,IF(Effective!$C$39="fixed",Effective!$D$39,IF(Effective!$C$39="variable",V18*Effective!$E$39,0)))</f>
        <v/>
      </c>
      <c r="W32" s="25">
        <f>IF(W$4=0,0,IF(Effective!$C$39="fixed",Effective!$D$39,IF(Effective!$C$39="variable",W18*Effective!$E$39,0)))</f>
        <v/>
      </c>
      <c r="X32" s="25">
        <f>IF(X$4=0,0,IF(Effective!$C$39="fixed",Effective!$D$39,IF(Effective!$C$39="variable",X18*Effective!$E$39,0)))</f>
        <v/>
      </c>
      <c r="Y32" s="25">
        <f>IF(Y$4=0,0,IF(Effective!$C$39="fixed",Effective!$D$39,IF(Effective!$C$39="variable",Y18*Effective!$E$39,0)))</f>
        <v/>
      </c>
      <c r="Z32" s="25">
        <f>IF(Z$4=0,0,IF(Effective!$C$39="fixed",Effective!$D$39,IF(Effective!$C$39="variable",Z18*Effective!$E$39,0)))</f>
        <v/>
      </c>
      <c r="AA32" s="25">
        <f>IF(AA$4=0,0,IF(Effective!$C$39="fixed",Effective!$D$39,IF(Effective!$C$39="variable",AA18*Effective!$E$39,0)))</f>
        <v/>
      </c>
      <c r="AB32" s="25">
        <f>IF(AB$4=0,0,IF(Effective!$C$39="fixed",Effective!$D$39,IF(Effective!$C$39="variable",AB18*Effective!$E$39,0)))</f>
        <v/>
      </c>
      <c r="AC32" s="25">
        <f>IF(AC$4=0,0,IF(Effective!$C$39="fixed",Effective!$D$39,IF(Effective!$C$39="variable",AC18*Effective!$E$39,0)))</f>
        <v/>
      </c>
      <c r="AD32" s="25">
        <f>IF(AD$4=0,0,IF(Effective!$C$39="fixed",Effective!$D$39,IF(Effective!$C$39="variable",AD18*Effective!$E$39,0)))</f>
        <v/>
      </c>
      <c r="AE32" s="25">
        <f>IF(AE$4=0,0,IF(Effective!$C$39="fixed",Effective!$D$39,IF(Effective!$C$39="variable",AE18*Effective!$E$39,0)))</f>
        <v/>
      </c>
      <c r="AF32" s="25">
        <f>IF(AF$4=0,0,IF(Effective!$C$39="fixed",Effective!$D$39,IF(Effective!$C$39="variable",AF18*Effective!$E$39,0)))</f>
        <v/>
      </c>
      <c r="AG32" s="25">
        <f>IF(AG$4=0,0,IF(Effective!$C$39="fixed",Effective!$D$39,IF(Effective!$C$39="variable",AG18*Effective!$E$39,0)))</f>
        <v/>
      </c>
      <c r="AH32" s="25">
        <f>IF(AH$4=0,0,IF(Effective!$C$39="fixed",Effective!$D$39,IF(Effective!$C$39="variable",AH18*Effective!$E$39,0)))</f>
        <v/>
      </c>
      <c r="AI32" s="25">
        <f>IF(AI$4=0,0,IF(Effective!$C$39="fixed",Effective!$D$39,IF(Effective!$C$39="variable",AI18*Effective!$E$39,0)))</f>
        <v/>
      </c>
      <c r="AJ32" s="25">
        <f>IF(AJ$4=0,0,IF(Effective!$C$39="fixed",Effective!$D$39,IF(Effective!$C$39="variable",AJ18*Effective!$E$39,0)))</f>
        <v/>
      </c>
      <c r="AK32" s="25">
        <f>IF(AK$4=0,0,IF(Effective!$C$39="fixed",Effective!$D$39,IF(Effective!$C$39="variable",AK18*Effective!$E$39,0)))</f>
        <v/>
      </c>
      <c r="AL32" s="25">
        <f>IF(AL$4=0,0,IF(Effective!$C$39="fixed",Effective!$D$39,IF(Effective!$C$39="variable",AL18*Effective!$E$39,0)))</f>
        <v/>
      </c>
      <c r="AM32" s="25">
        <f>IF(AM$4=0,0,IF(Effective!$C$39="fixed",Effective!$D$39,IF(Effective!$C$39="variable",AM18*Effective!$E$39,0)))</f>
        <v/>
      </c>
      <c r="AN32" s="25">
        <f>IF(AN$4=0,0,IF(Effective!$C$39="fixed",Effective!$D$39,IF(Effective!$C$39="variable",AN18*Effective!$E$39,0)))</f>
        <v/>
      </c>
      <c r="AO32" s="25">
        <f>IF(AO$4=0,0,IF(Effective!$C$39="fixed",Effective!$D$39,IF(Effective!$C$39="variable",AO18*Effective!$E$39,0)))</f>
        <v/>
      </c>
      <c r="AP32" s="25">
        <f>IF(AP$4=0,0,IF(Effective!$C$39="fixed",Effective!$D$39,IF(Effective!$C$39="variable",AP18*Effective!$E$39,0)))</f>
        <v/>
      </c>
      <c r="AQ32" s="25">
        <f>IF(AQ$4=0,0,IF(Effective!$C$39="fixed",Effective!$D$39,IF(Effective!$C$39="variable",AQ18*Effective!$E$39,0)))</f>
        <v/>
      </c>
      <c r="AR32" s="25">
        <f>IF(AR$4=0,0,IF(Effective!$C$39="fixed",Effective!$D$39,IF(Effective!$C$39="variable",AR18*Effective!$E$39,0)))</f>
        <v/>
      </c>
      <c r="AS32" s="25">
        <f>IF(AS$4=0,0,IF(Effective!$C$39="fixed",Effective!$D$39,IF(Effective!$C$39="variable",AS18*Effective!$E$39,0)))</f>
        <v/>
      </c>
      <c r="AT32" s="25">
        <f>IF(AT$4=0,0,IF(Effective!$C$39="fixed",Effective!$D$39,IF(Effective!$C$39="variable",AT18*Effective!$E$39,0)))</f>
        <v/>
      </c>
      <c r="AU32" s="25">
        <f>IF(AU$4=0,0,IF(Effective!$C$39="fixed",Effective!$D$39,IF(Effective!$C$39="variable",AU18*Effective!$E$39,0)))</f>
        <v/>
      </c>
      <c r="AV32" s="25">
        <f>IF(AV$4=0,0,IF(Effective!$C$39="fixed",Effective!$D$39,IF(Effective!$C$39="variable",AV18*Effective!$E$39,0)))</f>
        <v/>
      </c>
      <c r="AW32" s="25">
        <f>IF(AW$4=0,0,IF(Effective!$C$39="fixed",Effective!$D$39,IF(Effective!$C$39="variable",AW18*Effective!$E$39,0)))</f>
        <v/>
      </c>
      <c r="AX32" s="25">
        <f>IF(AX$4=0,0,IF(Effective!$C$39="fixed",Effective!$D$39,IF(Effective!$C$39="variable",AX18*Effective!$E$39,0)))</f>
        <v/>
      </c>
      <c r="AY32" s="25">
        <f>IF(AY$4=0,0,IF(Effective!$C$39="fixed",Effective!$D$39,IF(Effective!$C$39="variable",AY18*Effective!$E$39,0)))</f>
        <v/>
      </c>
      <c r="AZ32" s="25">
        <f>IF(AZ$4=0,0,IF(Effective!$C$39="fixed",Effective!$D$39,IF(Effective!$C$39="variable",AZ18*Effective!$E$39,0)))</f>
        <v/>
      </c>
      <c r="BA32" s="25">
        <f>IF(BA$4=0,0,IF(Effective!$C$39="fixed",Effective!$D$39,IF(Effective!$C$39="variable",BA18*Effective!$E$39,0)))</f>
        <v/>
      </c>
      <c r="BB32" s="25">
        <f>IF(BB$4=0,0,IF(Effective!$C$39="fixed",Effective!$D$39,IF(Effective!$C$39="variable",BB18*Effective!$E$39,0)))</f>
        <v/>
      </c>
      <c r="BC32" s="25">
        <f>IF(BC$4=0,0,IF(Effective!$C$39="fixed",Effective!$D$39,IF(Effective!$C$39="variable",BC18*Effective!$E$39,0)))</f>
        <v/>
      </c>
      <c r="BD32" s="25">
        <f>IF(BD$4=0,0,IF(Effective!$C$39="fixed",Effective!$D$39,IF(Effective!$C$39="variable",BD18*Effective!$E$39,0)))</f>
        <v/>
      </c>
      <c r="BE32" s="25">
        <f>IF(BE$4=0,0,IF(Effective!$C$39="fixed",Effective!$D$39,IF(Effective!$C$39="variable",BE18*Effective!$E$39,0)))</f>
        <v/>
      </c>
      <c r="BF32" s="25">
        <f>IF(BF$4=0,0,IF(Effective!$C$39="fixed",Effective!$D$39,IF(Effective!$C$39="variable",BF18*Effective!$E$39,0)))</f>
        <v/>
      </c>
      <c r="BG32" s="25">
        <f>IF(BG$4=0,0,IF(Effective!$C$39="fixed",Effective!$D$39,IF(Effective!$C$39="variable",BG18*Effective!$E$39,0)))</f>
        <v/>
      </c>
      <c r="BH32" s="25">
        <f>IF(BH$4=0,0,IF(Effective!$C$39="fixed",Effective!$D$39,IF(Effective!$C$39="variable",BH18*Effective!$E$39,0)))</f>
        <v/>
      </c>
      <c r="BI32" s="25">
        <f>IF(BI$4=0,0,IF(Effective!$C$39="fixed",Effective!$D$39,IF(Effective!$C$39="variable",BI18*Effective!$E$39,0)))</f>
        <v/>
      </c>
      <c r="BJ32" s="25">
        <f>IF(BJ$4=0,0,IF(Effective!$C$39="fixed",Effective!$D$39,IF(Effective!$C$39="variable",BJ18*Effective!$E$39,0)))</f>
        <v/>
      </c>
      <c r="BK32" s="25">
        <f>IF(BK$4=0,0,IF(Effective!$C$39="fixed",Effective!$D$39,IF(Effective!$C$39="variable",BK18*Effective!$E$39,0)))</f>
        <v/>
      </c>
      <c r="BL32" s="25">
        <f>IF(BL$4=0,0,IF(Effective!$C$39="fixed",Effective!$D$39,IF(Effective!$C$39="variable",BL18*Effective!$E$39,0)))</f>
        <v/>
      </c>
      <c r="BM32" s="25">
        <f>IF(BM$4=0,0,IF(Effective!$C$39="fixed",Effective!$D$39,IF(Effective!$C$39="variable",BM18*Effective!$E$39,0)))</f>
        <v/>
      </c>
      <c r="BN32" s="25">
        <f>IF(BN$4=0,0,IF(Effective!$C$39="fixed",Effective!$D$39,IF(Effective!$C$39="variable",BN18*Effective!$E$39,0)))</f>
        <v/>
      </c>
      <c r="BO32" s="25">
        <f>IF(BO$4=0,0,IF(Effective!$C$39="fixed",Effective!$D$39,IF(Effective!$C$39="variable",BO18*Effective!$E$39,0)))</f>
        <v/>
      </c>
      <c r="BP32" s="25">
        <f>IF(BP$4=0,0,IF(Effective!$C$39="fixed",Effective!$D$39,IF(Effective!$C$39="variable",BP18*Effective!$E$39,0)))</f>
        <v/>
      </c>
      <c r="BQ32" s="25">
        <f>IF(BQ$4=0,0,IF(Effective!$C$39="fixed",Effective!$D$39,IF(Effective!$C$39="variable",BQ18*Effective!$E$39,0)))</f>
        <v/>
      </c>
      <c r="BR32" s="25">
        <f>IF(BR$4=0,0,IF(Effective!$C$39="fixed",Effective!$D$39,IF(Effective!$C$39="variable",BR18*Effective!$E$39,0)))</f>
        <v/>
      </c>
      <c r="BS32" s="25">
        <f>IF(BS$4=0,0,IF(Effective!$C$39="fixed",Effective!$D$39,IF(Effective!$C$39="variable",BS18*Effective!$E$39,0)))</f>
        <v/>
      </c>
      <c r="BT32" s="25">
        <f>IF(BT$4=0,0,IF(Effective!$C$39="fixed",Effective!$D$39,IF(Effective!$C$39="variable",BT18*Effective!$E$39,0)))</f>
        <v/>
      </c>
      <c r="BU32" s="25">
        <f>IF(BU$4=0,0,IF(Effective!$C$39="fixed",Effective!$D$39,IF(Effective!$C$39="variable",BU18*Effective!$E$39,0)))</f>
        <v/>
      </c>
      <c r="BV32" s="25">
        <f>IF(BV$4=0,0,IF(Effective!$C$39="fixed",Effective!$D$39,IF(Effective!$C$39="variable",BV18*Effective!$E$39,0)))</f>
        <v/>
      </c>
      <c r="BW32" s="25">
        <f>IF(BW$4=0,0,IF(Effective!$C$39="fixed",Effective!$D$39,IF(Effective!$C$39="variable",BW18*Effective!$E$39,0)))</f>
        <v/>
      </c>
      <c r="BX32" s="25">
        <f>IF(BX$4=0,0,IF(Effective!$C$39="fixed",Effective!$D$39,IF(Effective!$C$39="variable",BX18*Effective!$E$39,0)))</f>
        <v/>
      </c>
      <c r="BY32" s="25">
        <f>IF(BY$4=0,0,IF(Effective!$C$39="fixed",Effective!$D$39,IF(Effective!$C$39="variable",BY18*Effective!$E$39,0)))</f>
        <v/>
      </c>
      <c r="BZ32" s="25">
        <f>IF(BZ$4=0,0,IF(Effective!$C$39="fixed",Effective!$D$39,IF(Effective!$C$39="variable",BZ18*Effective!$E$39,0)))</f>
        <v/>
      </c>
      <c r="CA32" s="25">
        <f>IF(CA$4=0,0,IF(Effective!$C$39="fixed",Effective!$D$39,IF(Effective!$C$39="variable",CA18*Effective!$E$39,0)))</f>
        <v/>
      </c>
      <c r="CB32" s="25">
        <f>IF(CB$4=0,0,IF(Effective!$C$39="fixed",Effective!$D$39,IF(Effective!$C$39="variable",CB18*Effective!$E$39,0)))</f>
        <v/>
      </c>
      <c r="CC32" s="25">
        <f>IF(CC$4=0,0,IF(Effective!$C$39="fixed",Effective!$D$39,IF(Effective!$C$39="variable",CC18*Effective!$E$39,0)))</f>
        <v/>
      </c>
      <c r="CD32" s="25">
        <f>IF(CD$4=0,0,IF(Effective!$C$39="fixed",Effective!$D$39,IF(Effective!$C$39="variable",CD18*Effective!$E$39,0)))</f>
        <v/>
      </c>
      <c r="CE32" s="25">
        <f>IF(CE$4=0,0,IF(Effective!$C$39="fixed",Effective!$D$39,IF(Effective!$C$39="variable",CE18*Effective!$E$39,0)))</f>
        <v/>
      </c>
      <c r="CF32" s="25">
        <f>IF(CF$4=0,0,IF(Effective!$C$39="fixed",Effective!$D$39,IF(Effective!$C$39="variable",CF18*Effective!$E$39,0)))</f>
        <v/>
      </c>
      <c r="CG32" s="25">
        <f>IF(CG$4=0,0,IF(Effective!$C$39="fixed",Effective!$D$39,IF(Effective!$C$39="variable",CG18*Effective!$E$39,0)))</f>
        <v/>
      </c>
      <c r="CH32" s="25">
        <f>IF(CH$4=0,0,IF(Effective!$C$39="fixed",Effective!$D$39,IF(Effective!$C$39="variable",CH18*Effective!$E$39,0)))</f>
        <v/>
      </c>
      <c r="CI32" s="25">
        <f>IF(CI$4=0,0,IF(Effective!$C$39="fixed",Effective!$D$39,IF(Effective!$C$39="variable",CI18*Effective!$E$39,0)))</f>
        <v/>
      </c>
      <c r="CJ32" s="25">
        <f>IF(CJ$4=0,0,IF(Effective!$C$39="fixed",Effective!$D$39,IF(Effective!$C$39="variable",CJ18*Effective!$E$39,0)))</f>
        <v/>
      </c>
      <c r="CK32" s="25">
        <f>IF(CK$4=0,0,IF(Effective!$C$39="fixed",Effective!$D$39,IF(Effective!$C$39="variable",CK18*Effective!$E$39,0)))</f>
        <v/>
      </c>
      <c r="CL32" s="25">
        <f>IF(CL$4=0,0,IF(Effective!$C$39="fixed",Effective!$D$39,IF(Effective!$C$39="variable",CL18*Effective!$E$39,0)))</f>
        <v/>
      </c>
      <c r="CM32" s="25">
        <f>IF(CM$4=0,0,IF(Effective!$C$39="fixed",Effective!$D$39,IF(Effective!$C$39="variable",CM18*Effective!$E$39,0)))</f>
        <v/>
      </c>
      <c r="CN32" s="25">
        <f>IF(CN$4=0,0,IF(Effective!$C$39="fixed",Effective!$D$39,IF(Effective!$C$39="variable",CN18*Effective!$E$39,0)))</f>
        <v/>
      </c>
      <c r="CO32" s="25">
        <f>IF(CO$4=0,0,IF(Effective!$C$39="fixed",Effective!$D$39,IF(Effective!$C$39="variable",CO18*Effective!$E$39,0)))</f>
        <v/>
      </c>
      <c r="CP32" s="25">
        <f>IF(CP$4=0,0,IF(Effective!$C$39="fixed",Effective!$D$39,IF(Effective!$C$39="variable",CP18*Effective!$E$39,0)))</f>
        <v/>
      </c>
      <c r="CQ32" s="25">
        <f>IF(CQ$4=0,0,IF(Effective!$C$39="fixed",Effective!$D$39,IF(Effective!$C$39="variable",CQ18*Effective!$E$39,0)))</f>
        <v/>
      </c>
      <c r="CR32" s="25">
        <f>IF(CR$4=0,0,IF(Effective!$C$39="fixed",Effective!$D$39,IF(Effective!$C$39="variable",CR18*Effective!$E$39,0)))</f>
        <v/>
      </c>
      <c r="CS32" s="25">
        <f>IF(CS$4=0,0,IF(Effective!$C$39="fixed",Effective!$D$39,IF(Effective!$C$39="variable",CS18*Effective!$E$39,0)))</f>
        <v/>
      </c>
      <c r="CT32" s="25">
        <f>IF(CT$4=0,0,IF(Effective!$C$39="fixed",Effective!$D$39,IF(Effective!$C$39="variable",CT18*Effective!$E$39,0)))</f>
        <v/>
      </c>
      <c r="CU32" s="25">
        <f>IF(CU$4=0,0,IF(Effective!$C$39="fixed",Effective!$D$39,IF(Effective!$C$39="variable",CU18*Effective!$E$39,0)))</f>
        <v/>
      </c>
      <c r="CV32" s="25">
        <f>IF(CV$4=0,0,IF(Effective!$C$39="fixed",Effective!$D$39,IF(Effective!$C$39="variable",CV18*Effective!$E$39,0)))</f>
        <v/>
      </c>
      <c r="CW32" s="25">
        <f>IF(CW$4=0,0,IF(Effective!$C$39="fixed",Effective!$D$39,IF(Effective!$C$39="variable",CW18*Effective!$E$39,0)))</f>
        <v/>
      </c>
      <c r="CX32" s="25">
        <f>IF(CX$4=0,0,IF(Effective!$C$39="fixed",Effective!$D$39,IF(Effective!$C$39="variable",CX18*Effective!$E$39,0)))</f>
        <v/>
      </c>
      <c r="CY32" s="25">
        <f>IF(CY$4=0,0,IF(Effective!$C$39="fixed",Effective!$D$39,IF(Effective!$C$39="variable",CY18*Effective!$E$39,0)))</f>
        <v/>
      </c>
      <c r="CZ32" s="25">
        <f>IF(CZ$4=0,0,IF(Effective!$C$39="fixed",Effective!$D$39,IF(Effective!$C$39="variable",CZ18*Effective!$E$39,0)))</f>
        <v/>
      </c>
      <c r="DA32" s="25">
        <f>IF(DA$4=0,0,IF(Effective!$C$39="fixed",Effective!$D$39,IF(Effective!$C$39="variable",DA18*Effective!$E$39,0)))</f>
        <v/>
      </c>
      <c r="DB32" s="25">
        <f>IF(DB$4=0,0,IF(Effective!$C$39="fixed",Effective!$D$39,IF(Effective!$C$39="variable",DB18*Effective!$E$39,0)))</f>
        <v/>
      </c>
      <c r="DC32" s="25">
        <f>IF(DC$4=0,0,IF(Effective!$C$39="fixed",Effective!$D$39,IF(Effective!$C$39="variable",DC18*Effective!$E$39,0)))</f>
        <v/>
      </c>
      <c r="DD32" s="25">
        <f>IF(DD$4=0,0,IF(Effective!$C$39="fixed",Effective!$D$39,IF(Effective!$C$39="variable",DD18*Effective!$E$39,0)))</f>
        <v/>
      </c>
      <c r="DE32" s="25">
        <f>IF(DE$4=0,0,IF(Effective!$C$39="fixed",Effective!$D$39,IF(Effective!$C$39="variable",DE18*Effective!$E$39,0)))</f>
        <v/>
      </c>
      <c r="DF32" s="25">
        <f>IF(DF$4=0,0,IF(Effective!$C$39="fixed",Effective!$D$39,IF(Effective!$C$39="variable",DF18*Effective!$E$39,0)))</f>
        <v/>
      </c>
      <c r="DG32" s="25">
        <f>IF(DG$4=0,0,IF(Effective!$C$39="fixed",Effective!$D$39,IF(Effective!$C$39="variable",DG18*Effective!$E$39,0)))</f>
        <v/>
      </c>
      <c r="DH32" s="25">
        <f>IF(DH$4=0,0,IF(Effective!$C$39="fixed",Effective!$D$39,IF(Effective!$C$39="variable",DH18*Effective!$E$39,0)))</f>
        <v/>
      </c>
      <c r="DI32" s="25">
        <f>IF(DI$4=0,0,IF(Effective!$C$39="fixed",Effective!$D$39,IF(Effective!$C$39="variable",DI18*Effective!$E$39,0)))</f>
        <v/>
      </c>
      <c r="DJ32" s="25">
        <f>IF(DJ$4=0,0,IF(Effective!$C$39="fixed",Effective!$D$39,IF(Effective!$C$39="variable",DJ18*Effective!$E$39,0)))</f>
        <v/>
      </c>
      <c r="DK32" s="25">
        <f>IF(DK$4=0,0,IF(Effective!$C$39="fixed",Effective!$D$39,IF(Effective!$C$39="variable",DK18*Effective!$E$39,0)))</f>
        <v/>
      </c>
      <c r="DL32" s="25">
        <f>IF(DL$4=0,0,IF(Effective!$C$39="fixed",Effective!$D$39,IF(Effective!$C$39="variable",DL18*Effective!$E$39,0)))</f>
        <v/>
      </c>
      <c r="DM32" s="25">
        <f>IF(DM$4=0,0,IF(Effective!$C$39="fixed",Effective!$D$39,IF(Effective!$C$39="variable",DM18*Effective!$E$39,0)))</f>
        <v/>
      </c>
      <c r="DN32" s="25">
        <f>IF(DN$4=0,0,IF(Effective!$C$39="fixed",Effective!$D$39,IF(Effective!$C$39="variable",DN18*Effective!$E$39,0)))</f>
        <v/>
      </c>
      <c r="DO32" s="25">
        <f>IF(DO$4=0,0,IF(Effective!$C$39="fixed",Effective!$D$39,IF(Effective!$C$39="variable",DO18*Effective!$E$39,0)))</f>
        <v/>
      </c>
      <c r="DP32" s="25">
        <f>IF(DP$4=0,0,IF(Effective!$C$39="fixed",Effective!$D$39,IF(Effective!$C$39="variable",DP18*Effective!$E$39,0)))</f>
        <v/>
      </c>
      <c r="DQ32" s="25">
        <f>IF(DQ$4=0,0,IF(Effective!$C$39="fixed",Effective!$D$39,IF(Effective!$C$39="variable",DQ18*Effective!$E$39,0)))</f>
        <v/>
      </c>
      <c r="DR32" s="25">
        <f>IF(DR$4=0,0,IF(Effective!$C$39="fixed",Effective!$D$39,IF(Effective!$C$39="variable",DR18*Effective!$E$39,0)))</f>
        <v/>
      </c>
    </row>
    <row r="33">
      <c r="A33" t="inlineStr">
        <is>
          <t>opex_5</t>
        </is>
      </c>
      <c r="B33" t="inlineStr">
        <is>
          <t>opex idx 4</t>
        </is>
      </c>
      <c r="C33" s="25">
        <f>IF(C$4=0,0,IF(Effective!$C$40="fixed",Effective!$D$40,IF(Effective!$C$40="variable",C18*Effective!$E$40,0)))</f>
        <v/>
      </c>
      <c r="D33" s="25">
        <f>IF(D$4=0,0,IF(Effective!$C$40="fixed",Effective!$D$40,IF(Effective!$C$40="variable",D18*Effective!$E$40,0)))</f>
        <v/>
      </c>
      <c r="E33" s="25">
        <f>IF(E$4=0,0,IF(Effective!$C$40="fixed",Effective!$D$40,IF(Effective!$C$40="variable",E18*Effective!$E$40,0)))</f>
        <v/>
      </c>
      <c r="F33" s="25">
        <f>IF(F$4=0,0,IF(Effective!$C$40="fixed",Effective!$D$40,IF(Effective!$C$40="variable",F18*Effective!$E$40,0)))</f>
        <v/>
      </c>
      <c r="G33" s="25">
        <f>IF(G$4=0,0,IF(Effective!$C$40="fixed",Effective!$D$40,IF(Effective!$C$40="variable",G18*Effective!$E$40,0)))</f>
        <v/>
      </c>
      <c r="H33" s="25">
        <f>IF(H$4=0,0,IF(Effective!$C$40="fixed",Effective!$D$40,IF(Effective!$C$40="variable",H18*Effective!$E$40,0)))</f>
        <v/>
      </c>
      <c r="I33" s="25">
        <f>IF(I$4=0,0,IF(Effective!$C$40="fixed",Effective!$D$40,IF(Effective!$C$40="variable",I18*Effective!$E$40,0)))</f>
        <v/>
      </c>
      <c r="J33" s="25">
        <f>IF(J$4=0,0,IF(Effective!$C$40="fixed",Effective!$D$40,IF(Effective!$C$40="variable",J18*Effective!$E$40,0)))</f>
        <v/>
      </c>
      <c r="K33" s="25">
        <f>IF(K$4=0,0,IF(Effective!$C$40="fixed",Effective!$D$40,IF(Effective!$C$40="variable",K18*Effective!$E$40,0)))</f>
        <v/>
      </c>
      <c r="L33" s="25">
        <f>IF(L$4=0,0,IF(Effective!$C$40="fixed",Effective!$D$40,IF(Effective!$C$40="variable",L18*Effective!$E$40,0)))</f>
        <v/>
      </c>
      <c r="M33" s="25">
        <f>IF(M$4=0,0,IF(Effective!$C$40="fixed",Effective!$D$40,IF(Effective!$C$40="variable",M18*Effective!$E$40,0)))</f>
        <v/>
      </c>
      <c r="N33" s="25">
        <f>IF(N$4=0,0,IF(Effective!$C$40="fixed",Effective!$D$40,IF(Effective!$C$40="variable",N18*Effective!$E$40,0)))</f>
        <v/>
      </c>
      <c r="O33" s="25">
        <f>IF(O$4=0,0,IF(Effective!$C$40="fixed",Effective!$D$40,IF(Effective!$C$40="variable",O18*Effective!$E$40,0)))</f>
        <v/>
      </c>
      <c r="P33" s="25">
        <f>IF(P$4=0,0,IF(Effective!$C$40="fixed",Effective!$D$40,IF(Effective!$C$40="variable",P18*Effective!$E$40,0)))</f>
        <v/>
      </c>
      <c r="Q33" s="25">
        <f>IF(Q$4=0,0,IF(Effective!$C$40="fixed",Effective!$D$40,IF(Effective!$C$40="variable",Q18*Effective!$E$40,0)))</f>
        <v/>
      </c>
      <c r="R33" s="25">
        <f>IF(R$4=0,0,IF(Effective!$C$40="fixed",Effective!$D$40,IF(Effective!$C$40="variable",R18*Effective!$E$40,0)))</f>
        <v/>
      </c>
      <c r="S33" s="25">
        <f>IF(S$4=0,0,IF(Effective!$C$40="fixed",Effective!$D$40,IF(Effective!$C$40="variable",S18*Effective!$E$40,0)))</f>
        <v/>
      </c>
      <c r="T33" s="25">
        <f>IF(T$4=0,0,IF(Effective!$C$40="fixed",Effective!$D$40,IF(Effective!$C$40="variable",T18*Effective!$E$40,0)))</f>
        <v/>
      </c>
      <c r="U33" s="25">
        <f>IF(U$4=0,0,IF(Effective!$C$40="fixed",Effective!$D$40,IF(Effective!$C$40="variable",U18*Effective!$E$40,0)))</f>
        <v/>
      </c>
      <c r="V33" s="25">
        <f>IF(V$4=0,0,IF(Effective!$C$40="fixed",Effective!$D$40,IF(Effective!$C$40="variable",V18*Effective!$E$40,0)))</f>
        <v/>
      </c>
      <c r="W33" s="25">
        <f>IF(W$4=0,0,IF(Effective!$C$40="fixed",Effective!$D$40,IF(Effective!$C$40="variable",W18*Effective!$E$40,0)))</f>
        <v/>
      </c>
      <c r="X33" s="25">
        <f>IF(X$4=0,0,IF(Effective!$C$40="fixed",Effective!$D$40,IF(Effective!$C$40="variable",X18*Effective!$E$40,0)))</f>
        <v/>
      </c>
      <c r="Y33" s="25">
        <f>IF(Y$4=0,0,IF(Effective!$C$40="fixed",Effective!$D$40,IF(Effective!$C$40="variable",Y18*Effective!$E$40,0)))</f>
        <v/>
      </c>
      <c r="Z33" s="25">
        <f>IF(Z$4=0,0,IF(Effective!$C$40="fixed",Effective!$D$40,IF(Effective!$C$40="variable",Z18*Effective!$E$40,0)))</f>
        <v/>
      </c>
      <c r="AA33" s="25">
        <f>IF(AA$4=0,0,IF(Effective!$C$40="fixed",Effective!$D$40,IF(Effective!$C$40="variable",AA18*Effective!$E$40,0)))</f>
        <v/>
      </c>
      <c r="AB33" s="25">
        <f>IF(AB$4=0,0,IF(Effective!$C$40="fixed",Effective!$D$40,IF(Effective!$C$40="variable",AB18*Effective!$E$40,0)))</f>
        <v/>
      </c>
      <c r="AC33" s="25">
        <f>IF(AC$4=0,0,IF(Effective!$C$40="fixed",Effective!$D$40,IF(Effective!$C$40="variable",AC18*Effective!$E$40,0)))</f>
        <v/>
      </c>
      <c r="AD33" s="25">
        <f>IF(AD$4=0,0,IF(Effective!$C$40="fixed",Effective!$D$40,IF(Effective!$C$40="variable",AD18*Effective!$E$40,0)))</f>
        <v/>
      </c>
      <c r="AE33" s="25">
        <f>IF(AE$4=0,0,IF(Effective!$C$40="fixed",Effective!$D$40,IF(Effective!$C$40="variable",AE18*Effective!$E$40,0)))</f>
        <v/>
      </c>
      <c r="AF33" s="25">
        <f>IF(AF$4=0,0,IF(Effective!$C$40="fixed",Effective!$D$40,IF(Effective!$C$40="variable",AF18*Effective!$E$40,0)))</f>
        <v/>
      </c>
      <c r="AG33" s="25">
        <f>IF(AG$4=0,0,IF(Effective!$C$40="fixed",Effective!$D$40,IF(Effective!$C$40="variable",AG18*Effective!$E$40,0)))</f>
        <v/>
      </c>
      <c r="AH33" s="25">
        <f>IF(AH$4=0,0,IF(Effective!$C$40="fixed",Effective!$D$40,IF(Effective!$C$40="variable",AH18*Effective!$E$40,0)))</f>
        <v/>
      </c>
      <c r="AI33" s="25">
        <f>IF(AI$4=0,0,IF(Effective!$C$40="fixed",Effective!$D$40,IF(Effective!$C$40="variable",AI18*Effective!$E$40,0)))</f>
        <v/>
      </c>
      <c r="AJ33" s="25">
        <f>IF(AJ$4=0,0,IF(Effective!$C$40="fixed",Effective!$D$40,IF(Effective!$C$40="variable",AJ18*Effective!$E$40,0)))</f>
        <v/>
      </c>
      <c r="AK33" s="25">
        <f>IF(AK$4=0,0,IF(Effective!$C$40="fixed",Effective!$D$40,IF(Effective!$C$40="variable",AK18*Effective!$E$40,0)))</f>
        <v/>
      </c>
      <c r="AL33" s="25">
        <f>IF(AL$4=0,0,IF(Effective!$C$40="fixed",Effective!$D$40,IF(Effective!$C$40="variable",AL18*Effective!$E$40,0)))</f>
        <v/>
      </c>
      <c r="AM33" s="25">
        <f>IF(AM$4=0,0,IF(Effective!$C$40="fixed",Effective!$D$40,IF(Effective!$C$40="variable",AM18*Effective!$E$40,0)))</f>
        <v/>
      </c>
      <c r="AN33" s="25">
        <f>IF(AN$4=0,0,IF(Effective!$C$40="fixed",Effective!$D$40,IF(Effective!$C$40="variable",AN18*Effective!$E$40,0)))</f>
        <v/>
      </c>
      <c r="AO33" s="25">
        <f>IF(AO$4=0,0,IF(Effective!$C$40="fixed",Effective!$D$40,IF(Effective!$C$40="variable",AO18*Effective!$E$40,0)))</f>
        <v/>
      </c>
      <c r="AP33" s="25">
        <f>IF(AP$4=0,0,IF(Effective!$C$40="fixed",Effective!$D$40,IF(Effective!$C$40="variable",AP18*Effective!$E$40,0)))</f>
        <v/>
      </c>
      <c r="AQ33" s="25">
        <f>IF(AQ$4=0,0,IF(Effective!$C$40="fixed",Effective!$D$40,IF(Effective!$C$40="variable",AQ18*Effective!$E$40,0)))</f>
        <v/>
      </c>
      <c r="AR33" s="25">
        <f>IF(AR$4=0,0,IF(Effective!$C$40="fixed",Effective!$D$40,IF(Effective!$C$40="variable",AR18*Effective!$E$40,0)))</f>
        <v/>
      </c>
      <c r="AS33" s="25">
        <f>IF(AS$4=0,0,IF(Effective!$C$40="fixed",Effective!$D$40,IF(Effective!$C$40="variable",AS18*Effective!$E$40,0)))</f>
        <v/>
      </c>
      <c r="AT33" s="25">
        <f>IF(AT$4=0,0,IF(Effective!$C$40="fixed",Effective!$D$40,IF(Effective!$C$40="variable",AT18*Effective!$E$40,0)))</f>
        <v/>
      </c>
      <c r="AU33" s="25">
        <f>IF(AU$4=0,0,IF(Effective!$C$40="fixed",Effective!$D$40,IF(Effective!$C$40="variable",AU18*Effective!$E$40,0)))</f>
        <v/>
      </c>
      <c r="AV33" s="25">
        <f>IF(AV$4=0,0,IF(Effective!$C$40="fixed",Effective!$D$40,IF(Effective!$C$40="variable",AV18*Effective!$E$40,0)))</f>
        <v/>
      </c>
      <c r="AW33" s="25">
        <f>IF(AW$4=0,0,IF(Effective!$C$40="fixed",Effective!$D$40,IF(Effective!$C$40="variable",AW18*Effective!$E$40,0)))</f>
        <v/>
      </c>
      <c r="AX33" s="25">
        <f>IF(AX$4=0,0,IF(Effective!$C$40="fixed",Effective!$D$40,IF(Effective!$C$40="variable",AX18*Effective!$E$40,0)))</f>
        <v/>
      </c>
      <c r="AY33" s="25">
        <f>IF(AY$4=0,0,IF(Effective!$C$40="fixed",Effective!$D$40,IF(Effective!$C$40="variable",AY18*Effective!$E$40,0)))</f>
        <v/>
      </c>
      <c r="AZ33" s="25">
        <f>IF(AZ$4=0,0,IF(Effective!$C$40="fixed",Effective!$D$40,IF(Effective!$C$40="variable",AZ18*Effective!$E$40,0)))</f>
        <v/>
      </c>
      <c r="BA33" s="25">
        <f>IF(BA$4=0,0,IF(Effective!$C$40="fixed",Effective!$D$40,IF(Effective!$C$40="variable",BA18*Effective!$E$40,0)))</f>
        <v/>
      </c>
      <c r="BB33" s="25">
        <f>IF(BB$4=0,0,IF(Effective!$C$40="fixed",Effective!$D$40,IF(Effective!$C$40="variable",BB18*Effective!$E$40,0)))</f>
        <v/>
      </c>
      <c r="BC33" s="25">
        <f>IF(BC$4=0,0,IF(Effective!$C$40="fixed",Effective!$D$40,IF(Effective!$C$40="variable",BC18*Effective!$E$40,0)))</f>
        <v/>
      </c>
      <c r="BD33" s="25">
        <f>IF(BD$4=0,0,IF(Effective!$C$40="fixed",Effective!$D$40,IF(Effective!$C$40="variable",BD18*Effective!$E$40,0)))</f>
        <v/>
      </c>
      <c r="BE33" s="25">
        <f>IF(BE$4=0,0,IF(Effective!$C$40="fixed",Effective!$D$40,IF(Effective!$C$40="variable",BE18*Effective!$E$40,0)))</f>
        <v/>
      </c>
      <c r="BF33" s="25">
        <f>IF(BF$4=0,0,IF(Effective!$C$40="fixed",Effective!$D$40,IF(Effective!$C$40="variable",BF18*Effective!$E$40,0)))</f>
        <v/>
      </c>
      <c r="BG33" s="25">
        <f>IF(BG$4=0,0,IF(Effective!$C$40="fixed",Effective!$D$40,IF(Effective!$C$40="variable",BG18*Effective!$E$40,0)))</f>
        <v/>
      </c>
      <c r="BH33" s="25">
        <f>IF(BH$4=0,0,IF(Effective!$C$40="fixed",Effective!$D$40,IF(Effective!$C$40="variable",BH18*Effective!$E$40,0)))</f>
        <v/>
      </c>
      <c r="BI33" s="25">
        <f>IF(BI$4=0,0,IF(Effective!$C$40="fixed",Effective!$D$40,IF(Effective!$C$40="variable",BI18*Effective!$E$40,0)))</f>
        <v/>
      </c>
      <c r="BJ33" s="25">
        <f>IF(BJ$4=0,0,IF(Effective!$C$40="fixed",Effective!$D$40,IF(Effective!$C$40="variable",BJ18*Effective!$E$40,0)))</f>
        <v/>
      </c>
      <c r="BK33" s="25">
        <f>IF(BK$4=0,0,IF(Effective!$C$40="fixed",Effective!$D$40,IF(Effective!$C$40="variable",BK18*Effective!$E$40,0)))</f>
        <v/>
      </c>
      <c r="BL33" s="25">
        <f>IF(BL$4=0,0,IF(Effective!$C$40="fixed",Effective!$D$40,IF(Effective!$C$40="variable",BL18*Effective!$E$40,0)))</f>
        <v/>
      </c>
      <c r="BM33" s="25">
        <f>IF(BM$4=0,0,IF(Effective!$C$40="fixed",Effective!$D$40,IF(Effective!$C$40="variable",BM18*Effective!$E$40,0)))</f>
        <v/>
      </c>
      <c r="BN33" s="25">
        <f>IF(BN$4=0,0,IF(Effective!$C$40="fixed",Effective!$D$40,IF(Effective!$C$40="variable",BN18*Effective!$E$40,0)))</f>
        <v/>
      </c>
      <c r="BO33" s="25">
        <f>IF(BO$4=0,0,IF(Effective!$C$40="fixed",Effective!$D$40,IF(Effective!$C$40="variable",BO18*Effective!$E$40,0)))</f>
        <v/>
      </c>
      <c r="BP33" s="25">
        <f>IF(BP$4=0,0,IF(Effective!$C$40="fixed",Effective!$D$40,IF(Effective!$C$40="variable",BP18*Effective!$E$40,0)))</f>
        <v/>
      </c>
      <c r="BQ33" s="25">
        <f>IF(BQ$4=0,0,IF(Effective!$C$40="fixed",Effective!$D$40,IF(Effective!$C$40="variable",BQ18*Effective!$E$40,0)))</f>
        <v/>
      </c>
      <c r="BR33" s="25">
        <f>IF(BR$4=0,0,IF(Effective!$C$40="fixed",Effective!$D$40,IF(Effective!$C$40="variable",BR18*Effective!$E$40,0)))</f>
        <v/>
      </c>
      <c r="BS33" s="25">
        <f>IF(BS$4=0,0,IF(Effective!$C$40="fixed",Effective!$D$40,IF(Effective!$C$40="variable",BS18*Effective!$E$40,0)))</f>
        <v/>
      </c>
      <c r="BT33" s="25">
        <f>IF(BT$4=0,0,IF(Effective!$C$40="fixed",Effective!$D$40,IF(Effective!$C$40="variable",BT18*Effective!$E$40,0)))</f>
        <v/>
      </c>
      <c r="BU33" s="25">
        <f>IF(BU$4=0,0,IF(Effective!$C$40="fixed",Effective!$D$40,IF(Effective!$C$40="variable",BU18*Effective!$E$40,0)))</f>
        <v/>
      </c>
      <c r="BV33" s="25">
        <f>IF(BV$4=0,0,IF(Effective!$C$40="fixed",Effective!$D$40,IF(Effective!$C$40="variable",BV18*Effective!$E$40,0)))</f>
        <v/>
      </c>
      <c r="BW33" s="25">
        <f>IF(BW$4=0,0,IF(Effective!$C$40="fixed",Effective!$D$40,IF(Effective!$C$40="variable",BW18*Effective!$E$40,0)))</f>
        <v/>
      </c>
      <c r="BX33" s="25">
        <f>IF(BX$4=0,0,IF(Effective!$C$40="fixed",Effective!$D$40,IF(Effective!$C$40="variable",BX18*Effective!$E$40,0)))</f>
        <v/>
      </c>
      <c r="BY33" s="25">
        <f>IF(BY$4=0,0,IF(Effective!$C$40="fixed",Effective!$D$40,IF(Effective!$C$40="variable",BY18*Effective!$E$40,0)))</f>
        <v/>
      </c>
      <c r="BZ33" s="25">
        <f>IF(BZ$4=0,0,IF(Effective!$C$40="fixed",Effective!$D$40,IF(Effective!$C$40="variable",BZ18*Effective!$E$40,0)))</f>
        <v/>
      </c>
      <c r="CA33" s="25">
        <f>IF(CA$4=0,0,IF(Effective!$C$40="fixed",Effective!$D$40,IF(Effective!$C$40="variable",CA18*Effective!$E$40,0)))</f>
        <v/>
      </c>
      <c r="CB33" s="25">
        <f>IF(CB$4=0,0,IF(Effective!$C$40="fixed",Effective!$D$40,IF(Effective!$C$40="variable",CB18*Effective!$E$40,0)))</f>
        <v/>
      </c>
      <c r="CC33" s="25">
        <f>IF(CC$4=0,0,IF(Effective!$C$40="fixed",Effective!$D$40,IF(Effective!$C$40="variable",CC18*Effective!$E$40,0)))</f>
        <v/>
      </c>
      <c r="CD33" s="25">
        <f>IF(CD$4=0,0,IF(Effective!$C$40="fixed",Effective!$D$40,IF(Effective!$C$40="variable",CD18*Effective!$E$40,0)))</f>
        <v/>
      </c>
      <c r="CE33" s="25">
        <f>IF(CE$4=0,0,IF(Effective!$C$40="fixed",Effective!$D$40,IF(Effective!$C$40="variable",CE18*Effective!$E$40,0)))</f>
        <v/>
      </c>
      <c r="CF33" s="25">
        <f>IF(CF$4=0,0,IF(Effective!$C$40="fixed",Effective!$D$40,IF(Effective!$C$40="variable",CF18*Effective!$E$40,0)))</f>
        <v/>
      </c>
      <c r="CG33" s="25">
        <f>IF(CG$4=0,0,IF(Effective!$C$40="fixed",Effective!$D$40,IF(Effective!$C$40="variable",CG18*Effective!$E$40,0)))</f>
        <v/>
      </c>
      <c r="CH33" s="25">
        <f>IF(CH$4=0,0,IF(Effective!$C$40="fixed",Effective!$D$40,IF(Effective!$C$40="variable",CH18*Effective!$E$40,0)))</f>
        <v/>
      </c>
      <c r="CI33" s="25">
        <f>IF(CI$4=0,0,IF(Effective!$C$40="fixed",Effective!$D$40,IF(Effective!$C$40="variable",CI18*Effective!$E$40,0)))</f>
        <v/>
      </c>
      <c r="CJ33" s="25">
        <f>IF(CJ$4=0,0,IF(Effective!$C$40="fixed",Effective!$D$40,IF(Effective!$C$40="variable",CJ18*Effective!$E$40,0)))</f>
        <v/>
      </c>
      <c r="CK33" s="25">
        <f>IF(CK$4=0,0,IF(Effective!$C$40="fixed",Effective!$D$40,IF(Effective!$C$40="variable",CK18*Effective!$E$40,0)))</f>
        <v/>
      </c>
      <c r="CL33" s="25">
        <f>IF(CL$4=0,0,IF(Effective!$C$40="fixed",Effective!$D$40,IF(Effective!$C$40="variable",CL18*Effective!$E$40,0)))</f>
        <v/>
      </c>
      <c r="CM33" s="25">
        <f>IF(CM$4=0,0,IF(Effective!$C$40="fixed",Effective!$D$40,IF(Effective!$C$40="variable",CM18*Effective!$E$40,0)))</f>
        <v/>
      </c>
      <c r="CN33" s="25">
        <f>IF(CN$4=0,0,IF(Effective!$C$40="fixed",Effective!$D$40,IF(Effective!$C$40="variable",CN18*Effective!$E$40,0)))</f>
        <v/>
      </c>
      <c r="CO33" s="25">
        <f>IF(CO$4=0,0,IF(Effective!$C$40="fixed",Effective!$D$40,IF(Effective!$C$40="variable",CO18*Effective!$E$40,0)))</f>
        <v/>
      </c>
      <c r="CP33" s="25">
        <f>IF(CP$4=0,0,IF(Effective!$C$40="fixed",Effective!$D$40,IF(Effective!$C$40="variable",CP18*Effective!$E$40,0)))</f>
        <v/>
      </c>
      <c r="CQ33" s="25">
        <f>IF(CQ$4=0,0,IF(Effective!$C$40="fixed",Effective!$D$40,IF(Effective!$C$40="variable",CQ18*Effective!$E$40,0)))</f>
        <v/>
      </c>
      <c r="CR33" s="25">
        <f>IF(CR$4=0,0,IF(Effective!$C$40="fixed",Effective!$D$40,IF(Effective!$C$40="variable",CR18*Effective!$E$40,0)))</f>
        <v/>
      </c>
      <c r="CS33" s="25">
        <f>IF(CS$4=0,0,IF(Effective!$C$40="fixed",Effective!$D$40,IF(Effective!$C$40="variable",CS18*Effective!$E$40,0)))</f>
        <v/>
      </c>
      <c r="CT33" s="25">
        <f>IF(CT$4=0,0,IF(Effective!$C$40="fixed",Effective!$D$40,IF(Effective!$C$40="variable",CT18*Effective!$E$40,0)))</f>
        <v/>
      </c>
      <c r="CU33" s="25">
        <f>IF(CU$4=0,0,IF(Effective!$C$40="fixed",Effective!$D$40,IF(Effective!$C$40="variable",CU18*Effective!$E$40,0)))</f>
        <v/>
      </c>
      <c r="CV33" s="25">
        <f>IF(CV$4=0,0,IF(Effective!$C$40="fixed",Effective!$D$40,IF(Effective!$C$40="variable",CV18*Effective!$E$40,0)))</f>
        <v/>
      </c>
      <c r="CW33" s="25">
        <f>IF(CW$4=0,0,IF(Effective!$C$40="fixed",Effective!$D$40,IF(Effective!$C$40="variable",CW18*Effective!$E$40,0)))</f>
        <v/>
      </c>
      <c r="CX33" s="25">
        <f>IF(CX$4=0,0,IF(Effective!$C$40="fixed",Effective!$D$40,IF(Effective!$C$40="variable",CX18*Effective!$E$40,0)))</f>
        <v/>
      </c>
      <c r="CY33" s="25">
        <f>IF(CY$4=0,0,IF(Effective!$C$40="fixed",Effective!$D$40,IF(Effective!$C$40="variable",CY18*Effective!$E$40,0)))</f>
        <v/>
      </c>
      <c r="CZ33" s="25">
        <f>IF(CZ$4=0,0,IF(Effective!$C$40="fixed",Effective!$D$40,IF(Effective!$C$40="variable",CZ18*Effective!$E$40,0)))</f>
        <v/>
      </c>
      <c r="DA33" s="25">
        <f>IF(DA$4=0,0,IF(Effective!$C$40="fixed",Effective!$D$40,IF(Effective!$C$40="variable",DA18*Effective!$E$40,0)))</f>
        <v/>
      </c>
      <c r="DB33" s="25">
        <f>IF(DB$4=0,0,IF(Effective!$C$40="fixed",Effective!$D$40,IF(Effective!$C$40="variable",DB18*Effective!$E$40,0)))</f>
        <v/>
      </c>
      <c r="DC33" s="25">
        <f>IF(DC$4=0,0,IF(Effective!$C$40="fixed",Effective!$D$40,IF(Effective!$C$40="variable",DC18*Effective!$E$40,0)))</f>
        <v/>
      </c>
      <c r="DD33" s="25">
        <f>IF(DD$4=0,0,IF(Effective!$C$40="fixed",Effective!$D$40,IF(Effective!$C$40="variable",DD18*Effective!$E$40,0)))</f>
        <v/>
      </c>
      <c r="DE33" s="25">
        <f>IF(DE$4=0,0,IF(Effective!$C$40="fixed",Effective!$D$40,IF(Effective!$C$40="variable",DE18*Effective!$E$40,0)))</f>
        <v/>
      </c>
      <c r="DF33" s="25">
        <f>IF(DF$4=0,0,IF(Effective!$C$40="fixed",Effective!$D$40,IF(Effective!$C$40="variable",DF18*Effective!$E$40,0)))</f>
        <v/>
      </c>
      <c r="DG33" s="25">
        <f>IF(DG$4=0,0,IF(Effective!$C$40="fixed",Effective!$D$40,IF(Effective!$C$40="variable",DG18*Effective!$E$40,0)))</f>
        <v/>
      </c>
      <c r="DH33" s="25">
        <f>IF(DH$4=0,0,IF(Effective!$C$40="fixed",Effective!$D$40,IF(Effective!$C$40="variable",DH18*Effective!$E$40,0)))</f>
        <v/>
      </c>
      <c r="DI33" s="25">
        <f>IF(DI$4=0,0,IF(Effective!$C$40="fixed",Effective!$D$40,IF(Effective!$C$40="variable",DI18*Effective!$E$40,0)))</f>
        <v/>
      </c>
      <c r="DJ33" s="25">
        <f>IF(DJ$4=0,0,IF(Effective!$C$40="fixed",Effective!$D$40,IF(Effective!$C$40="variable",DJ18*Effective!$E$40,0)))</f>
        <v/>
      </c>
      <c r="DK33" s="25">
        <f>IF(DK$4=0,0,IF(Effective!$C$40="fixed",Effective!$D$40,IF(Effective!$C$40="variable",DK18*Effective!$E$40,0)))</f>
        <v/>
      </c>
      <c r="DL33" s="25">
        <f>IF(DL$4=0,0,IF(Effective!$C$40="fixed",Effective!$D$40,IF(Effective!$C$40="variable",DL18*Effective!$E$40,0)))</f>
        <v/>
      </c>
      <c r="DM33" s="25">
        <f>IF(DM$4=0,0,IF(Effective!$C$40="fixed",Effective!$D$40,IF(Effective!$C$40="variable",DM18*Effective!$E$40,0)))</f>
        <v/>
      </c>
      <c r="DN33" s="25">
        <f>IF(DN$4=0,0,IF(Effective!$C$40="fixed",Effective!$D$40,IF(Effective!$C$40="variable",DN18*Effective!$E$40,0)))</f>
        <v/>
      </c>
      <c r="DO33" s="25">
        <f>IF(DO$4=0,0,IF(Effective!$C$40="fixed",Effective!$D$40,IF(Effective!$C$40="variable",DO18*Effective!$E$40,0)))</f>
        <v/>
      </c>
      <c r="DP33" s="25">
        <f>IF(DP$4=0,0,IF(Effective!$C$40="fixed",Effective!$D$40,IF(Effective!$C$40="variable",DP18*Effective!$E$40,0)))</f>
        <v/>
      </c>
      <c r="DQ33" s="25">
        <f>IF(DQ$4=0,0,IF(Effective!$C$40="fixed",Effective!$D$40,IF(Effective!$C$40="variable",DQ18*Effective!$E$40,0)))</f>
        <v/>
      </c>
      <c r="DR33" s="25">
        <f>IF(DR$4=0,0,IF(Effective!$C$40="fixed",Effective!$D$40,IF(Effective!$C$40="variable",DR18*Effective!$E$40,0)))</f>
        <v/>
      </c>
    </row>
    <row r="34">
      <c r="A34" t="inlineStr">
        <is>
          <t>opex_6</t>
        </is>
      </c>
      <c r="B34" t="inlineStr">
        <is>
          <t>opex idx 5</t>
        </is>
      </c>
      <c r="C34" s="25">
        <f>IF(C$4=0,0,IF(Effective!$C$41="fixed",Effective!$D$41,IF(Effective!$C$41="variable",C18*Effective!$E$41,0)))</f>
        <v/>
      </c>
      <c r="D34" s="25">
        <f>IF(D$4=0,0,IF(Effective!$C$41="fixed",Effective!$D$41,IF(Effective!$C$41="variable",D18*Effective!$E$41,0)))</f>
        <v/>
      </c>
      <c r="E34" s="25">
        <f>IF(E$4=0,0,IF(Effective!$C$41="fixed",Effective!$D$41,IF(Effective!$C$41="variable",E18*Effective!$E$41,0)))</f>
        <v/>
      </c>
      <c r="F34" s="25">
        <f>IF(F$4=0,0,IF(Effective!$C$41="fixed",Effective!$D$41,IF(Effective!$C$41="variable",F18*Effective!$E$41,0)))</f>
        <v/>
      </c>
      <c r="G34" s="25">
        <f>IF(G$4=0,0,IF(Effective!$C$41="fixed",Effective!$D$41,IF(Effective!$C$41="variable",G18*Effective!$E$41,0)))</f>
        <v/>
      </c>
      <c r="H34" s="25">
        <f>IF(H$4=0,0,IF(Effective!$C$41="fixed",Effective!$D$41,IF(Effective!$C$41="variable",H18*Effective!$E$41,0)))</f>
        <v/>
      </c>
      <c r="I34" s="25">
        <f>IF(I$4=0,0,IF(Effective!$C$41="fixed",Effective!$D$41,IF(Effective!$C$41="variable",I18*Effective!$E$41,0)))</f>
        <v/>
      </c>
      <c r="J34" s="25">
        <f>IF(J$4=0,0,IF(Effective!$C$41="fixed",Effective!$D$41,IF(Effective!$C$41="variable",J18*Effective!$E$41,0)))</f>
        <v/>
      </c>
      <c r="K34" s="25">
        <f>IF(K$4=0,0,IF(Effective!$C$41="fixed",Effective!$D$41,IF(Effective!$C$41="variable",K18*Effective!$E$41,0)))</f>
        <v/>
      </c>
      <c r="L34" s="25">
        <f>IF(L$4=0,0,IF(Effective!$C$41="fixed",Effective!$D$41,IF(Effective!$C$41="variable",L18*Effective!$E$41,0)))</f>
        <v/>
      </c>
      <c r="M34" s="25">
        <f>IF(M$4=0,0,IF(Effective!$C$41="fixed",Effective!$D$41,IF(Effective!$C$41="variable",M18*Effective!$E$41,0)))</f>
        <v/>
      </c>
      <c r="N34" s="25">
        <f>IF(N$4=0,0,IF(Effective!$C$41="fixed",Effective!$D$41,IF(Effective!$C$41="variable",N18*Effective!$E$41,0)))</f>
        <v/>
      </c>
      <c r="O34" s="25">
        <f>IF(O$4=0,0,IF(Effective!$C$41="fixed",Effective!$D$41,IF(Effective!$C$41="variable",O18*Effective!$E$41,0)))</f>
        <v/>
      </c>
      <c r="P34" s="25">
        <f>IF(P$4=0,0,IF(Effective!$C$41="fixed",Effective!$D$41,IF(Effective!$C$41="variable",P18*Effective!$E$41,0)))</f>
        <v/>
      </c>
      <c r="Q34" s="25">
        <f>IF(Q$4=0,0,IF(Effective!$C$41="fixed",Effective!$D$41,IF(Effective!$C$41="variable",Q18*Effective!$E$41,0)))</f>
        <v/>
      </c>
      <c r="R34" s="25">
        <f>IF(R$4=0,0,IF(Effective!$C$41="fixed",Effective!$D$41,IF(Effective!$C$41="variable",R18*Effective!$E$41,0)))</f>
        <v/>
      </c>
      <c r="S34" s="25">
        <f>IF(S$4=0,0,IF(Effective!$C$41="fixed",Effective!$D$41,IF(Effective!$C$41="variable",S18*Effective!$E$41,0)))</f>
        <v/>
      </c>
      <c r="T34" s="25">
        <f>IF(T$4=0,0,IF(Effective!$C$41="fixed",Effective!$D$41,IF(Effective!$C$41="variable",T18*Effective!$E$41,0)))</f>
        <v/>
      </c>
      <c r="U34" s="25">
        <f>IF(U$4=0,0,IF(Effective!$C$41="fixed",Effective!$D$41,IF(Effective!$C$41="variable",U18*Effective!$E$41,0)))</f>
        <v/>
      </c>
      <c r="V34" s="25">
        <f>IF(V$4=0,0,IF(Effective!$C$41="fixed",Effective!$D$41,IF(Effective!$C$41="variable",V18*Effective!$E$41,0)))</f>
        <v/>
      </c>
      <c r="W34" s="25">
        <f>IF(W$4=0,0,IF(Effective!$C$41="fixed",Effective!$D$41,IF(Effective!$C$41="variable",W18*Effective!$E$41,0)))</f>
        <v/>
      </c>
      <c r="X34" s="25">
        <f>IF(X$4=0,0,IF(Effective!$C$41="fixed",Effective!$D$41,IF(Effective!$C$41="variable",X18*Effective!$E$41,0)))</f>
        <v/>
      </c>
      <c r="Y34" s="25">
        <f>IF(Y$4=0,0,IF(Effective!$C$41="fixed",Effective!$D$41,IF(Effective!$C$41="variable",Y18*Effective!$E$41,0)))</f>
        <v/>
      </c>
      <c r="Z34" s="25">
        <f>IF(Z$4=0,0,IF(Effective!$C$41="fixed",Effective!$D$41,IF(Effective!$C$41="variable",Z18*Effective!$E$41,0)))</f>
        <v/>
      </c>
      <c r="AA34" s="25">
        <f>IF(AA$4=0,0,IF(Effective!$C$41="fixed",Effective!$D$41,IF(Effective!$C$41="variable",AA18*Effective!$E$41,0)))</f>
        <v/>
      </c>
      <c r="AB34" s="25">
        <f>IF(AB$4=0,0,IF(Effective!$C$41="fixed",Effective!$D$41,IF(Effective!$C$41="variable",AB18*Effective!$E$41,0)))</f>
        <v/>
      </c>
      <c r="AC34" s="25">
        <f>IF(AC$4=0,0,IF(Effective!$C$41="fixed",Effective!$D$41,IF(Effective!$C$41="variable",AC18*Effective!$E$41,0)))</f>
        <v/>
      </c>
      <c r="AD34" s="25">
        <f>IF(AD$4=0,0,IF(Effective!$C$41="fixed",Effective!$D$41,IF(Effective!$C$41="variable",AD18*Effective!$E$41,0)))</f>
        <v/>
      </c>
      <c r="AE34" s="25">
        <f>IF(AE$4=0,0,IF(Effective!$C$41="fixed",Effective!$D$41,IF(Effective!$C$41="variable",AE18*Effective!$E$41,0)))</f>
        <v/>
      </c>
      <c r="AF34" s="25">
        <f>IF(AF$4=0,0,IF(Effective!$C$41="fixed",Effective!$D$41,IF(Effective!$C$41="variable",AF18*Effective!$E$41,0)))</f>
        <v/>
      </c>
      <c r="AG34" s="25">
        <f>IF(AG$4=0,0,IF(Effective!$C$41="fixed",Effective!$D$41,IF(Effective!$C$41="variable",AG18*Effective!$E$41,0)))</f>
        <v/>
      </c>
      <c r="AH34" s="25">
        <f>IF(AH$4=0,0,IF(Effective!$C$41="fixed",Effective!$D$41,IF(Effective!$C$41="variable",AH18*Effective!$E$41,0)))</f>
        <v/>
      </c>
      <c r="AI34" s="25">
        <f>IF(AI$4=0,0,IF(Effective!$C$41="fixed",Effective!$D$41,IF(Effective!$C$41="variable",AI18*Effective!$E$41,0)))</f>
        <v/>
      </c>
      <c r="AJ34" s="25">
        <f>IF(AJ$4=0,0,IF(Effective!$C$41="fixed",Effective!$D$41,IF(Effective!$C$41="variable",AJ18*Effective!$E$41,0)))</f>
        <v/>
      </c>
      <c r="AK34" s="25">
        <f>IF(AK$4=0,0,IF(Effective!$C$41="fixed",Effective!$D$41,IF(Effective!$C$41="variable",AK18*Effective!$E$41,0)))</f>
        <v/>
      </c>
      <c r="AL34" s="25">
        <f>IF(AL$4=0,0,IF(Effective!$C$41="fixed",Effective!$D$41,IF(Effective!$C$41="variable",AL18*Effective!$E$41,0)))</f>
        <v/>
      </c>
      <c r="AM34" s="25">
        <f>IF(AM$4=0,0,IF(Effective!$C$41="fixed",Effective!$D$41,IF(Effective!$C$41="variable",AM18*Effective!$E$41,0)))</f>
        <v/>
      </c>
      <c r="AN34" s="25">
        <f>IF(AN$4=0,0,IF(Effective!$C$41="fixed",Effective!$D$41,IF(Effective!$C$41="variable",AN18*Effective!$E$41,0)))</f>
        <v/>
      </c>
      <c r="AO34" s="25">
        <f>IF(AO$4=0,0,IF(Effective!$C$41="fixed",Effective!$D$41,IF(Effective!$C$41="variable",AO18*Effective!$E$41,0)))</f>
        <v/>
      </c>
      <c r="AP34" s="25">
        <f>IF(AP$4=0,0,IF(Effective!$C$41="fixed",Effective!$D$41,IF(Effective!$C$41="variable",AP18*Effective!$E$41,0)))</f>
        <v/>
      </c>
      <c r="AQ34" s="25">
        <f>IF(AQ$4=0,0,IF(Effective!$C$41="fixed",Effective!$D$41,IF(Effective!$C$41="variable",AQ18*Effective!$E$41,0)))</f>
        <v/>
      </c>
      <c r="AR34" s="25">
        <f>IF(AR$4=0,0,IF(Effective!$C$41="fixed",Effective!$D$41,IF(Effective!$C$41="variable",AR18*Effective!$E$41,0)))</f>
        <v/>
      </c>
      <c r="AS34" s="25">
        <f>IF(AS$4=0,0,IF(Effective!$C$41="fixed",Effective!$D$41,IF(Effective!$C$41="variable",AS18*Effective!$E$41,0)))</f>
        <v/>
      </c>
      <c r="AT34" s="25">
        <f>IF(AT$4=0,0,IF(Effective!$C$41="fixed",Effective!$D$41,IF(Effective!$C$41="variable",AT18*Effective!$E$41,0)))</f>
        <v/>
      </c>
      <c r="AU34" s="25">
        <f>IF(AU$4=0,0,IF(Effective!$C$41="fixed",Effective!$D$41,IF(Effective!$C$41="variable",AU18*Effective!$E$41,0)))</f>
        <v/>
      </c>
      <c r="AV34" s="25">
        <f>IF(AV$4=0,0,IF(Effective!$C$41="fixed",Effective!$D$41,IF(Effective!$C$41="variable",AV18*Effective!$E$41,0)))</f>
        <v/>
      </c>
      <c r="AW34" s="25">
        <f>IF(AW$4=0,0,IF(Effective!$C$41="fixed",Effective!$D$41,IF(Effective!$C$41="variable",AW18*Effective!$E$41,0)))</f>
        <v/>
      </c>
      <c r="AX34" s="25">
        <f>IF(AX$4=0,0,IF(Effective!$C$41="fixed",Effective!$D$41,IF(Effective!$C$41="variable",AX18*Effective!$E$41,0)))</f>
        <v/>
      </c>
      <c r="AY34" s="25">
        <f>IF(AY$4=0,0,IF(Effective!$C$41="fixed",Effective!$D$41,IF(Effective!$C$41="variable",AY18*Effective!$E$41,0)))</f>
        <v/>
      </c>
      <c r="AZ34" s="25">
        <f>IF(AZ$4=0,0,IF(Effective!$C$41="fixed",Effective!$D$41,IF(Effective!$C$41="variable",AZ18*Effective!$E$41,0)))</f>
        <v/>
      </c>
      <c r="BA34" s="25">
        <f>IF(BA$4=0,0,IF(Effective!$C$41="fixed",Effective!$D$41,IF(Effective!$C$41="variable",BA18*Effective!$E$41,0)))</f>
        <v/>
      </c>
      <c r="BB34" s="25">
        <f>IF(BB$4=0,0,IF(Effective!$C$41="fixed",Effective!$D$41,IF(Effective!$C$41="variable",BB18*Effective!$E$41,0)))</f>
        <v/>
      </c>
      <c r="BC34" s="25">
        <f>IF(BC$4=0,0,IF(Effective!$C$41="fixed",Effective!$D$41,IF(Effective!$C$41="variable",BC18*Effective!$E$41,0)))</f>
        <v/>
      </c>
      <c r="BD34" s="25">
        <f>IF(BD$4=0,0,IF(Effective!$C$41="fixed",Effective!$D$41,IF(Effective!$C$41="variable",BD18*Effective!$E$41,0)))</f>
        <v/>
      </c>
      <c r="BE34" s="25">
        <f>IF(BE$4=0,0,IF(Effective!$C$41="fixed",Effective!$D$41,IF(Effective!$C$41="variable",BE18*Effective!$E$41,0)))</f>
        <v/>
      </c>
      <c r="BF34" s="25">
        <f>IF(BF$4=0,0,IF(Effective!$C$41="fixed",Effective!$D$41,IF(Effective!$C$41="variable",BF18*Effective!$E$41,0)))</f>
        <v/>
      </c>
      <c r="BG34" s="25">
        <f>IF(BG$4=0,0,IF(Effective!$C$41="fixed",Effective!$D$41,IF(Effective!$C$41="variable",BG18*Effective!$E$41,0)))</f>
        <v/>
      </c>
      <c r="BH34" s="25">
        <f>IF(BH$4=0,0,IF(Effective!$C$41="fixed",Effective!$D$41,IF(Effective!$C$41="variable",BH18*Effective!$E$41,0)))</f>
        <v/>
      </c>
      <c r="BI34" s="25">
        <f>IF(BI$4=0,0,IF(Effective!$C$41="fixed",Effective!$D$41,IF(Effective!$C$41="variable",BI18*Effective!$E$41,0)))</f>
        <v/>
      </c>
      <c r="BJ34" s="25">
        <f>IF(BJ$4=0,0,IF(Effective!$C$41="fixed",Effective!$D$41,IF(Effective!$C$41="variable",BJ18*Effective!$E$41,0)))</f>
        <v/>
      </c>
      <c r="BK34" s="25">
        <f>IF(BK$4=0,0,IF(Effective!$C$41="fixed",Effective!$D$41,IF(Effective!$C$41="variable",BK18*Effective!$E$41,0)))</f>
        <v/>
      </c>
      <c r="BL34" s="25">
        <f>IF(BL$4=0,0,IF(Effective!$C$41="fixed",Effective!$D$41,IF(Effective!$C$41="variable",BL18*Effective!$E$41,0)))</f>
        <v/>
      </c>
      <c r="BM34" s="25">
        <f>IF(BM$4=0,0,IF(Effective!$C$41="fixed",Effective!$D$41,IF(Effective!$C$41="variable",BM18*Effective!$E$41,0)))</f>
        <v/>
      </c>
      <c r="BN34" s="25">
        <f>IF(BN$4=0,0,IF(Effective!$C$41="fixed",Effective!$D$41,IF(Effective!$C$41="variable",BN18*Effective!$E$41,0)))</f>
        <v/>
      </c>
      <c r="BO34" s="25">
        <f>IF(BO$4=0,0,IF(Effective!$C$41="fixed",Effective!$D$41,IF(Effective!$C$41="variable",BO18*Effective!$E$41,0)))</f>
        <v/>
      </c>
      <c r="BP34" s="25">
        <f>IF(BP$4=0,0,IF(Effective!$C$41="fixed",Effective!$D$41,IF(Effective!$C$41="variable",BP18*Effective!$E$41,0)))</f>
        <v/>
      </c>
      <c r="BQ34" s="25">
        <f>IF(BQ$4=0,0,IF(Effective!$C$41="fixed",Effective!$D$41,IF(Effective!$C$41="variable",BQ18*Effective!$E$41,0)))</f>
        <v/>
      </c>
      <c r="BR34" s="25">
        <f>IF(BR$4=0,0,IF(Effective!$C$41="fixed",Effective!$D$41,IF(Effective!$C$41="variable",BR18*Effective!$E$41,0)))</f>
        <v/>
      </c>
      <c r="BS34" s="25">
        <f>IF(BS$4=0,0,IF(Effective!$C$41="fixed",Effective!$D$41,IF(Effective!$C$41="variable",BS18*Effective!$E$41,0)))</f>
        <v/>
      </c>
      <c r="BT34" s="25">
        <f>IF(BT$4=0,0,IF(Effective!$C$41="fixed",Effective!$D$41,IF(Effective!$C$41="variable",BT18*Effective!$E$41,0)))</f>
        <v/>
      </c>
      <c r="BU34" s="25">
        <f>IF(BU$4=0,0,IF(Effective!$C$41="fixed",Effective!$D$41,IF(Effective!$C$41="variable",BU18*Effective!$E$41,0)))</f>
        <v/>
      </c>
      <c r="BV34" s="25">
        <f>IF(BV$4=0,0,IF(Effective!$C$41="fixed",Effective!$D$41,IF(Effective!$C$41="variable",BV18*Effective!$E$41,0)))</f>
        <v/>
      </c>
      <c r="BW34" s="25">
        <f>IF(BW$4=0,0,IF(Effective!$C$41="fixed",Effective!$D$41,IF(Effective!$C$41="variable",BW18*Effective!$E$41,0)))</f>
        <v/>
      </c>
      <c r="BX34" s="25">
        <f>IF(BX$4=0,0,IF(Effective!$C$41="fixed",Effective!$D$41,IF(Effective!$C$41="variable",BX18*Effective!$E$41,0)))</f>
        <v/>
      </c>
      <c r="BY34" s="25">
        <f>IF(BY$4=0,0,IF(Effective!$C$41="fixed",Effective!$D$41,IF(Effective!$C$41="variable",BY18*Effective!$E$41,0)))</f>
        <v/>
      </c>
      <c r="BZ34" s="25">
        <f>IF(BZ$4=0,0,IF(Effective!$C$41="fixed",Effective!$D$41,IF(Effective!$C$41="variable",BZ18*Effective!$E$41,0)))</f>
        <v/>
      </c>
      <c r="CA34" s="25">
        <f>IF(CA$4=0,0,IF(Effective!$C$41="fixed",Effective!$D$41,IF(Effective!$C$41="variable",CA18*Effective!$E$41,0)))</f>
        <v/>
      </c>
      <c r="CB34" s="25">
        <f>IF(CB$4=0,0,IF(Effective!$C$41="fixed",Effective!$D$41,IF(Effective!$C$41="variable",CB18*Effective!$E$41,0)))</f>
        <v/>
      </c>
      <c r="CC34" s="25">
        <f>IF(CC$4=0,0,IF(Effective!$C$41="fixed",Effective!$D$41,IF(Effective!$C$41="variable",CC18*Effective!$E$41,0)))</f>
        <v/>
      </c>
      <c r="CD34" s="25">
        <f>IF(CD$4=0,0,IF(Effective!$C$41="fixed",Effective!$D$41,IF(Effective!$C$41="variable",CD18*Effective!$E$41,0)))</f>
        <v/>
      </c>
      <c r="CE34" s="25">
        <f>IF(CE$4=0,0,IF(Effective!$C$41="fixed",Effective!$D$41,IF(Effective!$C$41="variable",CE18*Effective!$E$41,0)))</f>
        <v/>
      </c>
      <c r="CF34" s="25">
        <f>IF(CF$4=0,0,IF(Effective!$C$41="fixed",Effective!$D$41,IF(Effective!$C$41="variable",CF18*Effective!$E$41,0)))</f>
        <v/>
      </c>
      <c r="CG34" s="25">
        <f>IF(CG$4=0,0,IF(Effective!$C$41="fixed",Effective!$D$41,IF(Effective!$C$41="variable",CG18*Effective!$E$41,0)))</f>
        <v/>
      </c>
      <c r="CH34" s="25">
        <f>IF(CH$4=0,0,IF(Effective!$C$41="fixed",Effective!$D$41,IF(Effective!$C$41="variable",CH18*Effective!$E$41,0)))</f>
        <v/>
      </c>
      <c r="CI34" s="25">
        <f>IF(CI$4=0,0,IF(Effective!$C$41="fixed",Effective!$D$41,IF(Effective!$C$41="variable",CI18*Effective!$E$41,0)))</f>
        <v/>
      </c>
      <c r="CJ34" s="25">
        <f>IF(CJ$4=0,0,IF(Effective!$C$41="fixed",Effective!$D$41,IF(Effective!$C$41="variable",CJ18*Effective!$E$41,0)))</f>
        <v/>
      </c>
      <c r="CK34" s="25">
        <f>IF(CK$4=0,0,IF(Effective!$C$41="fixed",Effective!$D$41,IF(Effective!$C$41="variable",CK18*Effective!$E$41,0)))</f>
        <v/>
      </c>
      <c r="CL34" s="25">
        <f>IF(CL$4=0,0,IF(Effective!$C$41="fixed",Effective!$D$41,IF(Effective!$C$41="variable",CL18*Effective!$E$41,0)))</f>
        <v/>
      </c>
      <c r="CM34" s="25">
        <f>IF(CM$4=0,0,IF(Effective!$C$41="fixed",Effective!$D$41,IF(Effective!$C$41="variable",CM18*Effective!$E$41,0)))</f>
        <v/>
      </c>
      <c r="CN34" s="25">
        <f>IF(CN$4=0,0,IF(Effective!$C$41="fixed",Effective!$D$41,IF(Effective!$C$41="variable",CN18*Effective!$E$41,0)))</f>
        <v/>
      </c>
      <c r="CO34" s="25">
        <f>IF(CO$4=0,0,IF(Effective!$C$41="fixed",Effective!$D$41,IF(Effective!$C$41="variable",CO18*Effective!$E$41,0)))</f>
        <v/>
      </c>
      <c r="CP34" s="25">
        <f>IF(CP$4=0,0,IF(Effective!$C$41="fixed",Effective!$D$41,IF(Effective!$C$41="variable",CP18*Effective!$E$41,0)))</f>
        <v/>
      </c>
      <c r="CQ34" s="25">
        <f>IF(CQ$4=0,0,IF(Effective!$C$41="fixed",Effective!$D$41,IF(Effective!$C$41="variable",CQ18*Effective!$E$41,0)))</f>
        <v/>
      </c>
      <c r="CR34" s="25">
        <f>IF(CR$4=0,0,IF(Effective!$C$41="fixed",Effective!$D$41,IF(Effective!$C$41="variable",CR18*Effective!$E$41,0)))</f>
        <v/>
      </c>
      <c r="CS34" s="25">
        <f>IF(CS$4=0,0,IF(Effective!$C$41="fixed",Effective!$D$41,IF(Effective!$C$41="variable",CS18*Effective!$E$41,0)))</f>
        <v/>
      </c>
      <c r="CT34" s="25">
        <f>IF(CT$4=0,0,IF(Effective!$C$41="fixed",Effective!$D$41,IF(Effective!$C$41="variable",CT18*Effective!$E$41,0)))</f>
        <v/>
      </c>
      <c r="CU34" s="25">
        <f>IF(CU$4=0,0,IF(Effective!$C$41="fixed",Effective!$D$41,IF(Effective!$C$41="variable",CU18*Effective!$E$41,0)))</f>
        <v/>
      </c>
      <c r="CV34" s="25">
        <f>IF(CV$4=0,0,IF(Effective!$C$41="fixed",Effective!$D$41,IF(Effective!$C$41="variable",CV18*Effective!$E$41,0)))</f>
        <v/>
      </c>
      <c r="CW34" s="25">
        <f>IF(CW$4=0,0,IF(Effective!$C$41="fixed",Effective!$D$41,IF(Effective!$C$41="variable",CW18*Effective!$E$41,0)))</f>
        <v/>
      </c>
      <c r="CX34" s="25">
        <f>IF(CX$4=0,0,IF(Effective!$C$41="fixed",Effective!$D$41,IF(Effective!$C$41="variable",CX18*Effective!$E$41,0)))</f>
        <v/>
      </c>
      <c r="CY34" s="25">
        <f>IF(CY$4=0,0,IF(Effective!$C$41="fixed",Effective!$D$41,IF(Effective!$C$41="variable",CY18*Effective!$E$41,0)))</f>
        <v/>
      </c>
      <c r="CZ34" s="25">
        <f>IF(CZ$4=0,0,IF(Effective!$C$41="fixed",Effective!$D$41,IF(Effective!$C$41="variable",CZ18*Effective!$E$41,0)))</f>
        <v/>
      </c>
      <c r="DA34" s="25">
        <f>IF(DA$4=0,0,IF(Effective!$C$41="fixed",Effective!$D$41,IF(Effective!$C$41="variable",DA18*Effective!$E$41,0)))</f>
        <v/>
      </c>
      <c r="DB34" s="25">
        <f>IF(DB$4=0,0,IF(Effective!$C$41="fixed",Effective!$D$41,IF(Effective!$C$41="variable",DB18*Effective!$E$41,0)))</f>
        <v/>
      </c>
      <c r="DC34" s="25">
        <f>IF(DC$4=0,0,IF(Effective!$C$41="fixed",Effective!$D$41,IF(Effective!$C$41="variable",DC18*Effective!$E$41,0)))</f>
        <v/>
      </c>
      <c r="DD34" s="25">
        <f>IF(DD$4=0,0,IF(Effective!$C$41="fixed",Effective!$D$41,IF(Effective!$C$41="variable",DD18*Effective!$E$41,0)))</f>
        <v/>
      </c>
      <c r="DE34" s="25">
        <f>IF(DE$4=0,0,IF(Effective!$C$41="fixed",Effective!$D$41,IF(Effective!$C$41="variable",DE18*Effective!$E$41,0)))</f>
        <v/>
      </c>
      <c r="DF34" s="25">
        <f>IF(DF$4=0,0,IF(Effective!$C$41="fixed",Effective!$D$41,IF(Effective!$C$41="variable",DF18*Effective!$E$41,0)))</f>
        <v/>
      </c>
      <c r="DG34" s="25">
        <f>IF(DG$4=0,0,IF(Effective!$C$41="fixed",Effective!$D$41,IF(Effective!$C$41="variable",DG18*Effective!$E$41,0)))</f>
        <v/>
      </c>
      <c r="DH34" s="25">
        <f>IF(DH$4=0,0,IF(Effective!$C$41="fixed",Effective!$D$41,IF(Effective!$C$41="variable",DH18*Effective!$E$41,0)))</f>
        <v/>
      </c>
      <c r="DI34" s="25">
        <f>IF(DI$4=0,0,IF(Effective!$C$41="fixed",Effective!$D$41,IF(Effective!$C$41="variable",DI18*Effective!$E$41,0)))</f>
        <v/>
      </c>
      <c r="DJ34" s="25">
        <f>IF(DJ$4=0,0,IF(Effective!$C$41="fixed",Effective!$D$41,IF(Effective!$C$41="variable",DJ18*Effective!$E$41,0)))</f>
        <v/>
      </c>
      <c r="DK34" s="25">
        <f>IF(DK$4=0,0,IF(Effective!$C$41="fixed",Effective!$D$41,IF(Effective!$C$41="variable",DK18*Effective!$E$41,0)))</f>
        <v/>
      </c>
      <c r="DL34" s="25">
        <f>IF(DL$4=0,0,IF(Effective!$C$41="fixed",Effective!$D$41,IF(Effective!$C$41="variable",DL18*Effective!$E$41,0)))</f>
        <v/>
      </c>
      <c r="DM34" s="25">
        <f>IF(DM$4=0,0,IF(Effective!$C$41="fixed",Effective!$D$41,IF(Effective!$C$41="variable",DM18*Effective!$E$41,0)))</f>
        <v/>
      </c>
      <c r="DN34" s="25">
        <f>IF(DN$4=0,0,IF(Effective!$C$41="fixed",Effective!$D$41,IF(Effective!$C$41="variable",DN18*Effective!$E$41,0)))</f>
        <v/>
      </c>
      <c r="DO34" s="25">
        <f>IF(DO$4=0,0,IF(Effective!$C$41="fixed",Effective!$D$41,IF(Effective!$C$41="variable",DO18*Effective!$E$41,0)))</f>
        <v/>
      </c>
      <c r="DP34" s="25">
        <f>IF(DP$4=0,0,IF(Effective!$C$41="fixed",Effective!$D$41,IF(Effective!$C$41="variable",DP18*Effective!$E$41,0)))</f>
        <v/>
      </c>
      <c r="DQ34" s="25">
        <f>IF(DQ$4=0,0,IF(Effective!$C$41="fixed",Effective!$D$41,IF(Effective!$C$41="variable",DQ18*Effective!$E$41,0)))</f>
        <v/>
      </c>
      <c r="DR34" s="25">
        <f>IF(DR$4=0,0,IF(Effective!$C$41="fixed",Effective!$D$41,IF(Effective!$C$41="variable",DR18*Effective!$E$41,0)))</f>
        <v/>
      </c>
    </row>
    <row r="35">
      <c r="A35" t="inlineStr">
        <is>
          <t>opex_7</t>
        </is>
      </c>
      <c r="B35" t="inlineStr">
        <is>
          <t>opex idx 6</t>
        </is>
      </c>
      <c r="C35" s="25">
        <f>IF(C$4=0,0,IF(Effective!$C$42="fixed",Effective!$D$42,IF(Effective!$C$42="variable",C18*Effective!$E$42,0)))</f>
        <v/>
      </c>
      <c r="D35" s="25">
        <f>IF(D$4=0,0,IF(Effective!$C$42="fixed",Effective!$D$42,IF(Effective!$C$42="variable",D18*Effective!$E$42,0)))</f>
        <v/>
      </c>
      <c r="E35" s="25">
        <f>IF(E$4=0,0,IF(Effective!$C$42="fixed",Effective!$D$42,IF(Effective!$C$42="variable",E18*Effective!$E$42,0)))</f>
        <v/>
      </c>
      <c r="F35" s="25">
        <f>IF(F$4=0,0,IF(Effective!$C$42="fixed",Effective!$D$42,IF(Effective!$C$42="variable",F18*Effective!$E$42,0)))</f>
        <v/>
      </c>
      <c r="G35" s="25">
        <f>IF(G$4=0,0,IF(Effective!$C$42="fixed",Effective!$D$42,IF(Effective!$C$42="variable",G18*Effective!$E$42,0)))</f>
        <v/>
      </c>
      <c r="H35" s="25">
        <f>IF(H$4=0,0,IF(Effective!$C$42="fixed",Effective!$D$42,IF(Effective!$C$42="variable",H18*Effective!$E$42,0)))</f>
        <v/>
      </c>
      <c r="I35" s="25">
        <f>IF(I$4=0,0,IF(Effective!$C$42="fixed",Effective!$D$42,IF(Effective!$C$42="variable",I18*Effective!$E$42,0)))</f>
        <v/>
      </c>
      <c r="J35" s="25">
        <f>IF(J$4=0,0,IF(Effective!$C$42="fixed",Effective!$D$42,IF(Effective!$C$42="variable",J18*Effective!$E$42,0)))</f>
        <v/>
      </c>
      <c r="K35" s="25">
        <f>IF(K$4=0,0,IF(Effective!$C$42="fixed",Effective!$D$42,IF(Effective!$C$42="variable",K18*Effective!$E$42,0)))</f>
        <v/>
      </c>
      <c r="L35" s="25">
        <f>IF(L$4=0,0,IF(Effective!$C$42="fixed",Effective!$D$42,IF(Effective!$C$42="variable",L18*Effective!$E$42,0)))</f>
        <v/>
      </c>
      <c r="M35" s="25">
        <f>IF(M$4=0,0,IF(Effective!$C$42="fixed",Effective!$D$42,IF(Effective!$C$42="variable",M18*Effective!$E$42,0)))</f>
        <v/>
      </c>
      <c r="N35" s="25">
        <f>IF(N$4=0,0,IF(Effective!$C$42="fixed",Effective!$D$42,IF(Effective!$C$42="variable",N18*Effective!$E$42,0)))</f>
        <v/>
      </c>
      <c r="O35" s="25">
        <f>IF(O$4=0,0,IF(Effective!$C$42="fixed",Effective!$D$42,IF(Effective!$C$42="variable",O18*Effective!$E$42,0)))</f>
        <v/>
      </c>
      <c r="P35" s="25">
        <f>IF(P$4=0,0,IF(Effective!$C$42="fixed",Effective!$D$42,IF(Effective!$C$42="variable",P18*Effective!$E$42,0)))</f>
        <v/>
      </c>
      <c r="Q35" s="25">
        <f>IF(Q$4=0,0,IF(Effective!$C$42="fixed",Effective!$D$42,IF(Effective!$C$42="variable",Q18*Effective!$E$42,0)))</f>
        <v/>
      </c>
      <c r="R35" s="25">
        <f>IF(R$4=0,0,IF(Effective!$C$42="fixed",Effective!$D$42,IF(Effective!$C$42="variable",R18*Effective!$E$42,0)))</f>
        <v/>
      </c>
      <c r="S35" s="25">
        <f>IF(S$4=0,0,IF(Effective!$C$42="fixed",Effective!$D$42,IF(Effective!$C$42="variable",S18*Effective!$E$42,0)))</f>
        <v/>
      </c>
      <c r="T35" s="25">
        <f>IF(T$4=0,0,IF(Effective!$C$42="fixed",Effective!$D$42,IF(Effective!$C$42="variable",T18*Effective!$E$42,0)))</f>
        <v/>
      </c>
      <c r="U35" s="25">
        <f>IF(U$4=0,0,IF(Effective!$C$42="fixed",Effective!$D$42,IF(Effective!$C$42="variable",U18*Effective!$E$42,0)))</f>
        <v/>
      </c>
      <c r="V35" s="25">
        <f>IF(V$4=0,0,IF(Effective!$C$42="fixed",Effective!$D$42,IF(Effective!$C$42="variable",V18*Effective!$E$42,0)))</f>
        <v/>
      </c>
      <c r="W35" s="25">
        <f>IF(W$4=0,0,IF(Effective!$C$42="fixed",Effective!$D$42,IF(Effective!$C$42="variable",W18*Effective!$E$42,0)))</f>
        <v/>
      </c>
      <c r="X35" s="25">
        <f>IF(X$4=0,0,IF(Effective!$C$42="fixed",Effective!$D$42,IF(Effective!$C$42="variable",X18*Effective!$E$42,0)))</f>
        <v/>
      </c>
      <c r="Y35" s="25">
        <f>IF(Y$4=0,0,IF(Effective!$C$42="fixed",Effective!$D$42,IF(Effective!$C$42="variable",Y18*Effective!$E$42,0)))</f>
        <v/>
      </c>
      <c r="Z35" s="25">
        <f>IF(Z$4=0,0,IF(Effective!$C$42="fixed",Effective!$D$42,IF(Effective!$C$42="variable",Z18*Effective!$E$42,0)))</f>
        <v/>
      </c>
      <c r="AA35" s="25">
        <f>IF(AA$4=0,0,IF(Effective!$C$42="fixed",Effective!$D$42,IF(Effective!$C$42="variable",AA18*Effective!$E$42,0)))</f>
        <v/>
      </c>
      <c r="AB35" s="25">
        <f>IF(AB$4=0,0,IF(Effective!$C$42="fixed",Effective!$D$42,IF(Effective!$C$42="variable",AB18*Effective!$E$42,0)))</f>
        <v/>
      </c>
      <c r="AC35" s="25">
        <f>IF(AC$4=0,0,IF(Effective!$C$42="fixed",Effective!$D$42,IF(Effective!$C$42="variable",AC18*Effective!$E$42,0)))</f>
        <v/>
      </c>
      <c r="AD35" s="25">
        <f>IF(AD$4=0,0,IF(Effective!$C$42="fixed",Effective!$D$42,IF(Effective!$C$42="variable",AD18*Effective!$E$42,0)))</f>
        <v/>
      </c>
      <c r="AE35" s="25">
        <f>IF(AE$4=0,0,IF(Effective!$C$42="fixed",Effective!$D$42,IF(Effective!$C$42="variable",AE18*Effective!$E$42,0)))</f>
        <v/>
      </c>
      <c r="AF35" s="25">
        <f>IF(AF$4=0,0,IF(Effective!$C$42="fixed",Effective!$D$42,IF(Effective!$C$42="variable",AF18*Effective!$E$42,0)))</f>
        <v/>
      </c>
      <c r="AG35" s="25">
        <f>IF(AG$4=0,0,IF(Effective!$C$42="fixed",Effective!$D$42,IF(Effective!$C$42="variable",AG18*Effective!$E$42,0)))</f>
        <v/>
      </c>
      <c r="AH35" s="25">
        <f>IF(AH$4=0,0,IF(Effective!$C$42="fixed",Effective!$D$42,IF(Effective!$C$42="variable",AH18*Effective!$E$42,0)))</f>
        <v/>
      </c>
      <c r="AI35" s="25">
        <f>IF(AI$4=0,0,IF(Effective!$C$42="fixed",Effective!$D$42,IF(Effective!$C$42="variable",AI18*Effective!$E$42,0)))</f>
        <v/>
      </c>
      <c r="AJ35" s="25">
        <f>IF(AJ$4=0,0,IF(Effective!$C$42="fixed",Effective!$D$42,IF(Effective!$C$42="variable",AJ18*Effective!$E$42,0)))</f>
        <v/>
      </c>
      <c r="AK35" s="25">
        <f>IF(AK$4=0,0,IF(Effective!$C$42="fixed",Effective!$D$42,IF(Effective!$C$42="variable",AK18*Effective!$E$42,0)))</f>
        <v/>
      </c>
      <c r="AL35" s="25">
        <f>IF(AL$4=0,0,IF(Effective!$C$42="fixed",Effective!$D$42,IF(Effective!$C$42="variable",AL18*Effective!$E$42,0)))</f>
        <v/>
      </c>
      <c r="AM35" s="25">
        <f>IF(AM$4=0,0,IF(Effective!$C$42="fixed",Effective!$D$42,IF(Effective!$C$42="variable",AM18*Effective!$E$42,0)))</f>
        <v/>
      </c>
      <c r="AN35" s="25">
        <f>IF(AN$4=0,0,IF(Effective!$C$42="fixed",Effective!$D$42,IF(Effective!$C$42="variable",AN18*Effective!$E$42,0)))</f>
        <v/>
      </c>
      <c r="AO35" s="25">
        <f>IF(AO$4=0,0,IF(Effective!$C$42="fixed",Effective!$D$42,IF(Effective!$C$42="variable",AO18*Effective!$E$42,0)))</f>
        <v/>
      </c>
      <c r="AP35" s="25">
        <f>IF(AP$4=0,0,IF(Effective!$C$42="fixed",Effective!$D$42,IF(Effective!$C$42="variable",AP18*Effective!$E$42,0)))</f>
        <v/>
      </c>
      <c r="AQ35" s="25">
        <f>IF(AQ$4=0,0,IF(Effective!$C$42="fixed",Effective!$D$42,IF(Effective!$C$42="variable",AQ18*Effective!$E$42,0)))</f>
        <v/>
      </c>
      <c r="AR35" s="25">
        <f>IF(AR$4=0,0,IF(Effective!$C$42="fixed",Effective!$D$42,IF(Effective!$C$42="variable",AR18*Effective!$E$42,0)))</f>
        <v/>
      </c>
      <c r="AS35" s="25">
        <f>IF(AS$4=0,0,IF(Effective!$C$42="fixed",Effective!$D$42,IF(Effective!$C$42="variable",AS18*Effective!$E$42,0)))</f>
        <v/>
      </c>
      <c r="AT35" s="25">
        <f>IF(AT$4=0,0,IF(Effective!$C$42="fixed",Effective!$D$42,IF(Effective!$C$42="variable",AT18*Effective!$E$42,0)))</f>
        <v/>
      </c>
      <c r="AU35" s="25">
        <f>IF(AU$4=0,0,IF(Effective!$C$42="fixed",Effective!$D$42,IF(Effective!$C$42="variable",AU18*Effective!$E$42,0)))</f>
        <v/>
      </c>
      <c r="AV35" s="25">
        <f>IF(AV$4=0,0,IF(Effective!$C$42="fixed",Effective!$D$42,IF(Effective!$C$42="variable",AV18*Effective!$E$42,0)))</f>
        <v/>
      </c>
      <c r="AW35" s="25">
        <f>IF(AW$4=0,0,IF(Effective!$C$42="fixed",Effective!$D$42,IF(Effective!$C$42="variable",AW18*Effective!$E$42,0)))</f>
        <v/>
      </c>
      <c r="AX35" s="25">
        <f>IF(AX$4=0,0,IF(Effective!$C$42="fixed",Effective!$D$42,IF(Effective!$C$42="variable",AX18*Effective!$E$42,0)))</f>
        <v/>
      </c>
      <c r="AY35" s="25">
        <f>IF(AY$4=0,0,IF(Effective!$C$42="fixed",Effective!$D$42,IF(Effective!$C$42="variable",AY18*Effective!$E$42,0)))</f>
        <v/>
      </c>
      <c r="AZ35" s="25">
        <f>IF(AZ$4=0,0,IF(Effective!$C$42="fixed",Effective!$D$42,IF(Effective!$C$42="variable",AZ18*Effective!$E$42,0)))</f>
        <v/>
      </c>
      <c r="BA35" s="25">
        <f>IF(BA$4=0,0,IF(Effective!$C$42="fixed",Effective!$D$42,IF(Effective!$C$42="variable",BA18*Effective!$E$42,0)))</f>
        <v/>
      </c>
      <c r="BB35" s="25">
        <f>IF(BB$4=0,0,IF(Effective!$C$42="fixed",Effective!$D$42,IF(Effective!$C$42="variable",BB18*Effective!$E$42,0)))</f>
        <v/>
      </c>
      <c r="BC35" s="25">
        <f>IF(BC$4=0,0,IF(Effective!$C$42="fixed",Effective!$D$42,IF(Effective!$C$42="variable",BC18*Effective!$E$42,0)))</f>
        <v/>
      </c>
      <c r="BD35" s="25">
        <f>IF(BD$4=0,0,IF(Effective!$C$42="fixed",Effective!$D$42,IF(Effective!$C$42="variable",BD18*Effective!$E$42,0)))</f>
        <v/>
      </c>
      <c r="BE35" s="25">
        <f>IF(BE$4=0,0,IF(Effective!$C$42="fixed",Effective!$D$42,IF(Effective!$C$42="variable",BE18*Effective!$E$42,0)))</f>
        <v/>
      </c>
      <c r="BF35" s="25">
        <f>IF(BF$4=0,0,IF(Effective!$C$42="fixed",Effective!$D$42,IF(Effective!$C$42="variable",BF18*Effective!$E$42,0)))</f>
        <v/>
      </c>
      <c r="BG35" s="25">
        <f>IF(BG$4=0,0,IF(Effective!$C$42="fixed",Effective!$D$42,IF(Effective!$C$42="variable",BG18*Effective!$E$42,0)))</f>
        <v/>
      </c>
      <c r="BH35" s="25">
        <f>IF(BH$4=0,0,IF(Effective!$C$42="fixed",Effective!$D$42,IF(Effective!$C$42="variable",BH18*Effective!$E$42,0)))</f>
        <v/>
      </c>
      <c r="BI35" s="25">
        <f>IF(BI$4=0,0,IF(Effective!$C$42="fixed",Effective!$D$42,IF(Effective!$C$42="variable",BI18*Effective!$E$42,0)))</f>
        <v/>
      </c>
      <c r="BJ35" s="25">
        <f>IF(BJ$4=0,0,IF(Effective!$C$42="fixed",Effective!$D$42,IF(Effective!$C$42="variable",BJ18*Effective!$E$42,0)))</f>
        <v/>
      </c>
      <c r="BK35" s="25">
        <f>IF(BK$4=0,0,IF(Effective!$C$42="fixed",Effective!$D$42,IF(Effective!$C$42="variable",BK18*Effective!$E$42,0)))</f>
        <v/>
      </c>
      <c r="BL35" s="25">
        <f>IF(BL$4=0,0,IF(Effective!$C$42="fixed",Effective!$D$42,IF(Effective!$C$42="variable",BL18*Effective!$E$42,0)))</f>
        <v/>
      </c>
      <c r="BM35" s="25">
        <f>IF(BM$4=0,0,IF(Effective!$C$42="fixed",Effective!$D$42,IF(Effective!$C$42="variable",BM18*Effective!$E$42,0)))</f>
        <v/>
      </c>
      <c r="BN35" s="25">
        <f>IF(BN$4=0,0,IF(Effective!$C$42="fixed",Effective!$D$42,IF(Effective!$C$42="variable",BN18*Effective!$E$42,0)))</f>
        <v/>
      </c>
      <c r="BO35" s="25">
        <f>IF(BO$4=0,0,IF(Effective!$C$42="fixed",Effective!$D$42,IF(Effective!$C$42="variable",BO18*Effective!$E$42,0)))</f>
        <v/>
      </c>
      <c r="BP35" s="25">
        <f>IF(BP$4=0,0,IF(Effective!$C$42="fixed",Effective!$D$42,IF(Effective!$C$42="variable",BP18*Effective!$E$42,0)))</f>
        <v/>
      </c>
      <c r="BQ35" s="25">
        <f>IF(BQ$4=0,0,IF(Effective!$C$42="fixed",Effective!$D$42,IF(Effective!$C$42="variable",BQ18*Effective!$E$42,0)))</f>
        <v/>
      </c>
      <c r="BR35" s="25">
        <f>IF(BR$4=0,0,IF(Effective!$C$42="fixed",Effective!$D$42,IF(Effective!$C$42="variable",BR18*Effective!$E$42,0)))</f>
        <v/>
      </c>
      <c r="BS35" s="25">
        <f>IF(BS$4=0,0,IF(Effective!$C$42="fixed",Effective!$D$42,IF(Effective!$C$42="variable",BS18*Effective!$E$42,0)))</f>
        <v/>
      </c>
      <c r="BT35" s="25">
        <f>IF(BT$4=0,0,IF(Effective!$C$42="fixed",Effective!$D$42,IF(Effective!$C$42="variable",BT18*Effective!$E$42,0)))</f>
        <v/>
      </c>
      <c r="BU35" s="25">
        <f>IF(BU$4=0,0,IF(Effective!$C$42="fixed",Effective!$D$42,IF(Effective!$C$42="variable",BU18*Effective!$E$42,0)))</f>
        <v/>
      </c>
      <c r="BV35" s="25">
        <f>IF(BV$4=0,0,IF(Effective!$C$42="fixed",Effective!$D$42,IF(Effective!$C$42="variable",BV18*Effective!$E$42,0)))</f>
        <v/>
      </c>
      <c r="BW35" s="25">
        <f>IF(BW$4=0,0,IF(Effective!$C$42="fixed",Effective!$D$42,IF(Effective!$C$42="variable",BW18*Effective!$E$42,0)))</f>
        <v/>
      </c>
      <c r="BX35" s="25">
        <f>IF(BX$4=0,0,IF(Effective!$C$42="fixed",Effective!$D$42,IF(Effective!$C$42="variable",BX18*Effective!$E$42,0)))</f>
        <v/>
      </c>
      <c r="BY35" s="25">
        <f>IF(BY$4=0,0,IF(Effective!$C$42="fixed",Effective!$D$42,IF(Effective!$C$42="variable",BY18*Effective!$E$42,0)))</f>
        <v/>
      </c>
      <c r="BZ35" s="25">
        <f>IF(BZ$4=0,0,IF(Effective!$C$42="fixed",Effective!$D$42,IF(Effective!$C$42="variable",BZ18*Effective!$E$42,0)))</f>
        <v/>
      </c>
      <c r="CA35" s="25">
        <f>IF(CA$4=0,0,IF(Effective!$C$42="fixed",Effective!$D$42,IF(Effective!$C$42="variable",CA18*Effective!$E$42,0)))</f>
        <v/>
      </c>
      <c r="CB35" s="25">
        <f>IF(CB$4=0,0,IF(Effective!$C$42="fixed",Effective!$D$42,IF(Effective!$C$42="variable",CB18*Effective!$E$42,0)))</f>
        <v/>
      </c>
      <c r="CC35" s="25">
        <f>IF(CC$4=0,0,IF(Effective!$C$42="fixed",Effective!$D$42,IF(Effective!$C$42="variable",CC18*Effective!$E$42,0)))</f>
        <v/>
      </c>
      <c r="CD35" s="25">
        <f>IF(CD$4=0,0,IF(Effective!$C$42="fixed",Effective!$D$42,IF(Effective!$C$42="variable",CD18*Effective!$E$42,0)))</f>
        <v/>
      </c>
      <c r="CE35" s="25">
        <f>IF(CE$4=0,0,IF(Effective!$C$42="fixed",Effective!$D$42,IF(Effective!$C$42="variable",CE18*Effective!$E$42,0)))</f>
        <v/>
      </c>
      <c r="CF35" s="25">
        <f>IF(CF$4=0,0,IF(Effective!$C$42="fixed",Effective!$D$42,IF(Effective!$C$42="variable",CF18*Effective!$E$42,0)))</f>
        <v/>
      </c>
      <c r="CG35" s="25">
        <f>IF(CG$4=0,0,IF(Effective!$C$42="fixed",Effective!$D$42,IF(Effective!$C$42="variable",CG18*Effective!$E$42,0)))</f>
        <v/>
      </c>
      <c r="CH35" s="25">
        <f>IF(CH$4=0,0,IF(Effective!$C$42="fixed",Effective!$D$42,IF(Effective!$C$42="variable",CH18*Effective!$E$42,0)))</f>
        <v/>
      </c>
      <c r="CI35" s="25">
        <f>IF(CI$4=0,0,IF(Effective!$C$42="fixed",Effective!$D$42,IF(Effective!$C$42="variable",CI18*Effective!$E$42,0)))</f>
        <v/>
      </c>
      <c r="CJ35" s="25">
        <f>IF(CJ$4=0,0,IF(Effective!$C$42="fixed",Effective!$D$42,IF(Effective!$C$42="variable",CJ18*Effective!$E$42,0)))</f>
        <v/>
      </c>
      <c r="CK35" s="25">
        <f>IF(CK$4=0,0,IF(Effective!$C$42="fixed",Effective!$D$42,IF(Effective!$C$42="variable",CK18*Effective!$E$42,0)))</f>
        <v/>
      </c>
      <c r="CL35" s="25">
        <f>IF(CL$4=0,0,IF(Effective!$C$42="fixed",Effective!$D$42,IF(Effective!$C$42="variable",CL18*Effective!$E$42,0)))</f>
        <v/>
      </c>
      <c r="CM35" s="25">
        <f>IF(CM$4=0,0,IF(Effective!$C$42="fixed",Effective!$D$42,IF(Effective!$C$42="variable",CM18*Effective!$E$42,0)))</f>
        <v/>
      </c>
      <c r="CN35" s="25">
        <f>IF(CN$4=0,0,IF(Effective!$C$42="fixed",Effective!$D$42,IF(Effective!$C$42="variable",CN18*Effective!$E$42,0)))</f>
        <v/>
      </c>
      <c r="CO35" s="25">
        <f>IF(CO$4=0,0,IF(Effective!$C$42="fixed",Effective!$D$42,IF(Effective!$C$42="variable",CO18*Effective!$E$42,0)))</f>
        <v/>
      </c>
      <c r="CP35" s="25">
        <f>IF(CP$4=0,0,IF(Effective!$C$42="fixed",Effective!$D$42,IF(Effective!$C$42="variable",CP18*Effective!$E$42,0)))</f>
        <v/>
      </c>
      <c r="CQ35" s="25">
        <f>IF(CQ$4=0,0,IF(Effective!$C$42="fixed",Effective!$D$42,IF(Effective!$C$42="variable",CQ18*Effective!$E$42,0)))</f>
        <v/>
      </c>
      <c r="CR35" s="25">
        <f>IF(CR$4=0,0,IF(Effective!$C$42="fixed",Effective!$D$42,IF(Effective!$C$42="variable",CR18*Effective!$E$42,0)))</f>
        <v/>
      </c>
      <c r="CS35" s="25">
        <f>IF(CS$4=0,0,IF(Effective!$C$42="fixed",Effective!$D$42,IF(Effective!$C$42="variable",CS18*Effective!$E$42,0)))</f>
        <v/>
      </c>
      <c r="CT35" s="25">
        <f>IF(CT$4=0,0,IF(Effective!$C$42="fixed",Effective!$D$42,IF(Effective!$C$42="variable",CT18*Effective!$E$42,0)))</f>
        <v/>
      </c>
      <c r="CU35" s="25">
        <f>IF(CU$4=0,0,IF(Effective!$C$42="fixed",Effective!$D$42,IF(Effective!$C$42="variable",CU18*Effective!$E$42,0)))</f>
        <v/>
      </c>
      <c r="CV35" s="25">
        <f>IF(CV$4=0,0,IF(Effective!$C$42="fixed",Effective!$D$42,IF(Effective!$C$42="variable",CV18*Effective!$E$42,0)))</f>
        <v/>
      </c>
      <c r="CW35" s="25">
        <f>IF(CW$4=0,0,IF(Effective!$C$42="fixed",Effective!$D$42,IF(Effective!$C$42="variable",CW18*Effective!$E$42,0)))</f>
        <v/>
      </c>
      <c r="CX35" s="25">
        <f>IF(CX$4=0,0,IF(Effective!$C$42="fixed",Effective!$D$42,IF(Effective!$C$42="variable",CX18*Effective!$E$42,0)))</f>
        <v/>
      </c>
      <c r="CY35" s="25">
        <f>IF(CY$4=0,0,IF(Effective!$C$42="fixed",Effective!$D$42,IF(Effective!$C$42="variable",CY18*Effective!$E$42,0)))</f>
        <v/>
      </c>
      <c r="CZ35" s="25">
        <f>IF(CZ$4=0,0,IF(Effective!$C$42="fixed",Effective!$D$42,IF(Effective!$C$42="variable",CZ18*Effective!$E$42,0)))</f>
        <v/>
      </c>
      <c r="DA35" s="25">
        <f>IF(DA$4=0,0,IF(Effective!$C$42="fixed",Effective!$D$42,IF(Effective!$C$42="variable",DA18*Effective!$E$42,0)))</f>
        <v/>
      </c>
      <c r="DB35" s="25">
        <f>IF(DB$4=0,0,IF(Effective!$C$42="fixed",Effective!$D$42,IF(Effective!$C$42="variable",DB18*Effective!$E$42,0)))</f>
        <v/>
      </c>
      <c r="DC35" s="25">
        <f>IF(DC$4=0,0,IF(Effective!$C$42="fixed",Effective!$D$42,IF(Effective!$C$42="variable",DC18*Effective!$E$42,0)))</f>
        <v/>
      </c>
      <c r="DD35" s="25">
        <f>IF(DD$4=0,0,IF(Effective!$C$42="fixed",Effective!$D$42,IF(Effective!$C$42="variable",DD18*Effective!$E$42,0)))</f>
        <v/>
      </c>
      <c r="DE35" s="25">
        <f>IF(DE$4=0,0,IF(Effective!$C$42="fixed",Effective!$D$42,IF(Effective!$C$42="variable",DE18*Effective!$E$42,0)))</f>
        <v/>
      </c>
      <c r="DF35" s="25">
        <f>IF(DF$4=0,0,IF(Effective!$C$42="fixed",Effective!$D$42,IF(Effective!$C$42="variable",DF18*Effective!$E$42,0)))</f>
        <v/>
      </c>
      <c r="DG35" s="25">
        <f>IF(DG$4=0,0,IF(Effective!$C$42="fixed",Effective!$D$42,IF(Effective!$C$42="variable",DG18*Effective!$E$42,0)))</f>
        <v/>
      </c>
      <c r="DH35" s="25">
        <f>IF(DH$4=0,0,IF(Effective!$C$42="fixed",Effective!$D$42,IF(Effective!$C$42="variable",DH18*Effective!$E$42,0)))</f>
        <v/>
      </c>
      <c r="DI35" s="25">
        <f>IF(DI$4=0,0,IF(Effective!$C$42="fixed",Effective!$D$42,IF(Effective!$C$42="variable",DI18*Effective!$E$42,0)))</f>
        <v/>
      </c>
      <c r="DJ35" s="25">
        <f>IF(DJ$4=0,0,IF(Effective!$C$42="fixed",Effective!$D$42,IF(Effective!$C$42="variable",DJ18*Effective!$E$42,0)))</f>
        <v/>
      </c>
      <c r="DK35" s="25">
        <f>IF(DK$4=0,0,IF(Effective!$C$42="fixed",Effective!$D$42,IF(Effective!$C$42="variable",DK18*Effective!$E$42,0)))</f>
        <v/>
      </c>
      <c r="DL35" s="25">
        <f>IF(DL$4=0,0,IF(Effective!$C$42="fixed",Effective!$D$42,IF(Effective!$C$42="variable",DL18*Effective!$E$42,0)))</f>
        <v/>
      </c>
      <c r="DM35" s="25">
        <f>IF(DM$4=0,0,IF(Effective!$C$42="fixed",Effective!$D$42,IF(Effective!$C$42="variable",DM18*Effective!$E$42,0)))</f>
        <v/>
      </c>
      <c r="DN35" s="25">
        <f>IF(DN$4=0,0,IF(Effective!$C$42="fixed",Effective!$D$42,IF(Effective!$C$42="variable",DN18*Effective!$E$42,0)))</f>
        <v/>
      </c>
      <c r="DO35" s="25">
        <f>IF(DO$4=0,0,IF(Effective!$C$42="fixed",Effective!$D$42,IF(Effective!$C$42="variable",DO18*Effective!$E$42,0)))</f>
        <v/>
      </c>
      <c r="DP35" s="25">
        <f>IF(DP$4=0,0,IF(Effective!$C$42="fixed",Effective!$D$42,IF(Effective!$C$42="variable",DP18*Effective!$E$42,0)))</f>
        <v/>
      </c>
      <c r="DQ35" s="25">
        <f>IF(DQ$4=0,0,IF(Effective!$C$42="fixed",Effective!$D$42,IF(Effective!$C$42="variable",DQ18*Effective!$E$42,0)))</f>
        <v/>
      </c>
      <c r="DR35" s="25">
        <f>IF(DR$4=0,0,IF(Effective!$C$42="fixed",Effective!$D$42,IF(Effective!$C$42="variable",DR18*Effective!$E$42,0)))</f>
        <v/>
      </c>
    </row>
    <row r="36">
      <c r="A36" t="inlineStr">
        <is>
          <t>opex_8</t>
        </is>
      </c>
      <c r="B36" t="inlineStr">
        <is>
          <t>opex idx 7</t>
        </is>
      </c>
      <c r="C36" s="25">
        <f>IF(C$4=0,0,IF(Effective!$C$43="fixed",Effective!$D$43,IF(Effective!$C$43="variable",C18*Effective!$E$43,0)))</f>
        <v/>
      </c>
      <c r="D36" s="25">
        <f>IF(D$4=0,0,IF(Effective!$C$43="fixed",Effective!$D$43,IF(Effective!$C$43="variable",D18*Effective!$E$43,0)))</f>
        <v/>
      </c>
      <c r="E36" s="25">
        <f>IF(E$4=0,0,IF(Effective!$C$43="fixed",Effective!$D$43,IF(Effective!$C$43="variable",E18*Effective!$E$43,0)))</f>
        <v/>
      </c>
      <c r="F36" s="25">
        <f>IF(F$4=0,0,IF(Effective!$C$43="fixed",Effective!$D$43,IF(Effective!$C$43="variable",F18*Effective!$E$43,0)))</f>
        <v/>
      </c>
      <c r="G36" s="25">
        <f>IF(G$4=0,0,IF(Effective!$C$43="fixed",Effective!$D$43,IF(Effective!$C$43="variable",G18*Effective!$E$43,0)))</f>
        <v/>
      </c>
      <c r="H36" s="25">
        <f>IF(H$4=0,0,IF(Effective!$C$43="fixed",Effective!$D$43,IF(Effective!$C$43="variable",H18*Effective!$E$43,0)))</f>
        <v/>
      </c>
      <c r="I36" s="25">
        <f>IF(I$4=0,0,IF(Effective!$C$43="fixed",Effective!$D$43,IF(Effective!$C$43="variable",I18*Effective!$E$43,0)))</f>
        <v/>
      </c>
      <c r="J36" s="25">
        <f>IF(J$4=0,0,IF(Effective!$C$43="fixed",Effective!$D$43,IF(Effective!$C$43="variable",J18*Effective!$E$43,0)))</f>
        <v/>
      </c>
      <c r="K36" s="25">
        <f>IF(K$4=0,0,IF(Effective!$C$43="fixed",Effective!$D$43,IF(Effective!$C$43="variable",K18*Effective!$E$43,0)))</f>
        <v/>
      </c>
      <c r="L36" s="25">
        <f>IF(L$4=0,0,IF(Effective!$C$43="fixed",Effective!$D$43,IF(Effective!$C$43="variable",L18*Effective!$E$43,0)))</f>
        <v/>
      </c>
      <c r="M36" s="25">
        <f>IF(M$4=0,0,IF(Effective!$C$43="fixed",Effective!$D$43,IF(Effective!$C$43="variable",M18*Effective!$E$43,0)))</f>
        <v/>
      </c>
      <c r="N36" s="25">
        <f>IF(N$4=0,0,IF(Effective!$C$43="fixed",Effective!$D$43,IF(Effective!$C$43="variable",N18*Effective!$E$43,0)))</f>
        <v/>
      </c>
      <c r="O36" s="25">
        <f>IF(O$4=0,0,IF(Effective!$C$43="fixed",Effective!$D$43,IF(Effective!$C$43="variable",O18*Effective!$E$43,0)))</f>
        <v/>
      </c>
      <c r="P36" s="25">
        <f>IF(P$4=0,0,IF(Effective!$C$43="fixed",Effective!$D$43,IF(Effective!$C$43="variable",P18*Effective!$E$43,0)))</f>
        <v/>
      </c>
      <c r="Q36" s="25">
        <f>IF(Q$4=0,0,IF(Effective!$C$43="fixed",Effective!$D$43,IF(Effective!$C$43="variable",Q18*Effective!$E$43,0)))</f>
        <v/>
      </c>
      <c r="R36" s="25">
        <f>IF(R$4=0,0,IF(Effective!$C$43="fixed",Effective!$D$43,IF(Effective!$C$43="variable",R18*Effective!$E$43,0)))</f>
        <v/>
      </c>
      <c r="S36" s="25">
        <f>IF(S$4=0,0,IF(Effective!$C$43="fixed",Effective!$D$43,IF(Effective!$C$43="variable",S18*Effective!$E$43,0)))</f>
        <v/>
      </c>
      <c r="T36" s="25">
        <f>IF(T$4=0,0,IF(Effective!$C$43="fixed",Effective!$D$43,IF(Effective!$C$43="variable",T18*Effective!$E$43,0)))</f>
        <v/>
      </c>
      <c r="U36" s="25">
        <f>IF(U$4=0,0,IF(Effective!$C$43="fixed",Effective!$D$43,IF(Effective!$C$43="variable",U18*Effective!$E$43,0)))</f>
        <v/>
      </c>
      <c r="V36" s="25">
        <f>IF(V$4=0,0,IF(Effective!$C$43="fixed",Effective!$D$43,IF(Effective!$C$43="variable",V18*Effective!$E$43,0)))</f>
        <v/>
      </c>
      <c r="W36" s="25">
        <f>IF(W$4=0,0,IF(Effective!$C$43="fixed",Effective!$D$43,IF(Effective!$C$43="variable",W18*Effective!$E$43,0)))</f>
        <v/>
      </c>
      <c r="X36" s="25">
        <f>IF(X$4=0,0,IF(Effective!$C$43="fixed",Effective!$D$43,IF(Effective!$C$43="variable",X18*Effective!$E$43,0)))</f>
        <v/>
      </c>
      <c r="Y36" s="25">
        <f>IF(Y$4=0,0,IF(Effective!$C$43="fixed",Effective!$D$43,IF(Effective!$C$43="variable",Y18*Effective!$E$43,0)))</f>
        <v/>
      </c>
      <c r="Z36" s="25">
        <f>IF(Z$4=0,0,IF(Effective!$C$43="fixed",Effective!$D$43,IF(Effective!$C$43="variable",Z18*Effective!$E$43,0)))</f>
        <v/>
      </c>
      <c r="AA36" s="25">
        <f>IF(AA$4=0,0,IF(Effective!$C$43="fixed",Effective!$D$43,IF(Effective!$C$43="variable",AA18*Effective!$E$43,0)))</f>
        <v/>
      </c>
      <c r="AB36" s="25">
        <f>IF(AB$4=0,0,IF(Effective!$C$43="fixed",Effective!$D$43,IF(Effective!$C$43="variable",AB18*Effective!$E$43,0)))</f>
        <v/>
      </c>
      <c r="AC36" s="25">
        <f>IF(AC$4=0,0,IF(Effective!$C$43="fixed",Effective!$D$43,IF(Effective!$C$43="variable",AC18*Effective!$E$43,0)))</f>
        <v/>
      </c>
      <c r="AD36" s="25">
        <f>IF(AD$4=0,0,IF(Effective!$C$43="fixed",Effective!$D$43,IF(Effective!$C$43="variable",AD18*Effective!$E$43,0)))</f>
        <v/>
      </c>
      <c r="AE36" s="25">
        <f>IF(AE$4=0,0,IF(Effective!$C$43="fixed",Effective!$D$43,IF(Effective!$C$43="variable",AE18*Effective!$E$43,0)))</f>
        <v/>
      </c>
      <c r="AF36" s="25">
        <f>IF(AF$4=0,0,IF(Effective!$C$43="fixed",Effective!$D$43,IF(Effective!$C$43="variable",AF18*Effective!$E$43,0)))</f>
        <v/>
      </c>
      <c r="AG36" s="25">
        <f>IF(AG$4=0,0,IF(Effective!$C$43="fixed",Effective!$D$43,IF(Effective!$C$43="variable",AG18*Effective!$E$43,0)))</f>
        <v/>
      </c>
      <c r="AH36" s="25">
        <f>IF(AH$4=0,0,IF(Effective!$C$43="fixed",Effective!$D$43,IF(Effective!$C$43="variable",AH18*Effective!$E$43,0)))</f>
        <v/>
      </c>
      <c r="AI36" s="25">
        <f>IF(AI$4=0,0,IF(Effective!$C$43="fixed",Effective!$D$43,IF(Effective!$C$43="variable",AI18*Effective!$E$43,0)))</f>
        <v/>
      </c>
      <c r="AJ36" s="25">
        <f>IF(AJ$4=0,0,IF(Effective!$C$43="fixed",Effective!$D$43,IF(Effective!$C$43="variable",AJ18*Effective!$E$43,0)))</f>
        <v/>
      </c>
      <c r="AK36" s="25">
        <f>IF(AK$4=0,0,IF(Effective!$C$43="fixed",Effective!$D$43,IF(Effective!$C$43="variable",AK18*Effective!$E$43,0)))</f>
        <v/>
      </c>
      <c r="AL36" s="25">
        <f>IF(AL$4=0,0,IF(Effective!$C$43="fixed",Effective!$D$43,IF(Effective!$C$43="variable",AL18*Effective!$E$43,0)))</f>
        <v/>
      </c>
      <c r="AM36" s="25">
        <f>IF(AM$4=0,0,IF(Effective!$C$43="fixed",Effective!$D$43,IF(Effective!$C$43="variable",AM18*Effective!$E$43,0)))</f>
        <v/>
      </c>
      <c r="AN36" s="25">
        <f>IF(AN$4=0,0,IF(Effective!$C$43="fixed",Effective!$D$43,IF(Effective!$C$43="variable",AN18*Effective!$E$43,0)))</f>
        <v/>
      </c>
      <c r="AO36" s="25">
        <f>IF(AO$4=0,0,IF(Effective!$C$43="fixed",Effective!$D$43,IF(Effective!$C$43="variable",AO18*Effective!$E$43,0)))</f>
        <v/>
      </c>
      <c r="AP36" s="25">
        <f>IF(AP$4=0,0,IF(Effective!$C$43="fixed",Effective!$D$43,IF(Effective!$C$43="variable",AP18*Effective!$E$43,0)))</f>
        <v/>
      </c>
      <c r="AQ36" s="25">
        <f>IF(AQ$4=0,0,IF(Effective!$C$43="fixed",Effective!$D$43,IF(Effective!$C$43="variable",AQ18*Effective!$E$43,0)))</f>
        <v/>
      </c>
      <c r="AR36" s="25">
        <f>IF(AR$4=0,0,IF(Effective!$C$43="fixed",Effective!$D$43,IF(Effective!$C$43="variable",AR18*Effective!$E$43,0)))</f>
        <v/>
      </c>
      <c r="AS36" s="25">
        <f>IF(AS$4=0,0,IF(Effective!$C$43="fixed",Effective!$D$43,IF(Effective!$C$43="variable",AS18*Effective!$E$43,0)))</f>
        <v/>
      </c>
      <c r="AT36" s="25">
        <f>IF(AT$4=0,0,IF(Effective!$C$43="fixed",Effective!$D$43,IF(Effective!$C$43="variable",AT18*Effective!$E$43,0)))</f>
        <v/>
      </c>
      <c r="AU36" s="25">
        <f>IF(AU$4=0,0,IF(Effective!$C$43="fixed",Effective!$D$43,IF(Effective!$C$43="variable",AU18*Effective!$E$43,0)))</f>
        <v/>
      </c>
      <c r="AV36" s="25">
        <f>IF(AV$4=0,0,IF(Effective!$C$43="fixed",Effective!$D$43,IF(Effective!$C$43="variable",AV18*Effective!$E$43,0)))</f>
        <v/>
      </c>
      <c r="AW36" s="25">
        <f>IF(AW$4=0,0,IF(Effective!$C$43="fixed",Effective!$D$43,IF(Effective!$C$43="variable",AW18*Effective!$E$43,0)))</f>
        <v/>
      </c>
      <c r="AX36" s="25">
        <f>IF(AX$4=0,0,IF(Effective!$C$43="fixed",Effective!$D$43,IF(Effective!$C$43="variable",AX18*Effective!$E$43,0)))</f>
        <v/>
      </c>
      <c r="AY36" s="25">
        <f>IF(AY$4=0,0,IF(Effective!$C$43="fixed",Effective!$D$43,IF(Effective!$C$43="variable",AY18*Effective!$E$43,0)))</f>
        <v/>
      </c>
      <c r="AZ36" s="25">
        <f>IF(AZ$4=0,0,IF(Effective!$C$43="fixed",Effective!$D$43,IF(Effective!$C$43="variable",AZ18*Effective!$E$43,0)))</f>
        <v/>
      </c>
      <c r="BA36" s="25">
        <f>IF(BA$4=0,0,IF(Effective!$C$43="fixed",Effective!$D$43,IF(Effective!$C$43="variable",BA18*Effective!$E$43,0)))</f>
        <v/>
      </c>
      <c r="BB36" s="25">
        <f>IF(BB$4=0,0,IF(Effective!$C$43="fixed",Effective!$D$43,IF(Effective!$C$43="variable",BB18*Effective!$E$43,0)))</f>
        <v/>
      </c>
      <c r="BC36" s="25">
        <f>IF(BC$4=0,0,IF(Effective!$C$43="fixed",Effective!$D$43,IF(Effective!$C$43="variable",BC18*Effective!$E$43,0)))</f>
        <v/>
      </c>
      <c r="BD36" s="25">
        <f>IF(BD$4=0,0,IF(Effective!$C$43="fixed",Effective!$D$43,IF(Effective!$C$43="variable",BD18*Effective!$E$43,0)))</f>
        <v/>
      </c>
      <c r="BE36" s="25">
        <f>IF(BE$4=0,0,IF(Effective!$C$43="fixed",Effective!$D$43,IF(Effective!$C$43="variable",BE18*Effective!$E$43,0)))</f>
        <v/>
      </c>
      <c r="BF36" s="25">
        <f>IF(BF$4=0,0,IF(Effective!$C$43="fixed",Effective!$D$43,IF(Effective!$C$43="variable",BF18*Effective!$E$43,0)))</f>
        <v/>
      </c>
      <c r="BG36" s="25">
        <f>IF(BG$4=0,0,IF(Effective!$C$43="fixed",Effective!$D$43,IF(Effective!$C$43="variable",BG18*Effective!$E$43,0)))</f>
        <v/>
      </c>
      <c r="BH36" s="25">
        <f>IF(BH$4=0,0,IF(Effective!$C$43="fixed",Effective!$D$43,IF(Effective!$C$43="variable",BH18*Effective!$E$43,0)))</f>
        <v/>
      </c>
      <c r="BI36" s="25">
        <f>IF(BI$4=0,0,IF(Effective!$C$43="fixed",Effective!$D$43,IF(Effective!$C$43="variable",BI18*Effective!$E$43,0)))</f>
        <v/>
      </c>
      <c r="BJ36" s="25">
        <f>IF(BJ$4=0,0,IF(Effective!$C$43="fixed",Effective!$D$43,IF(Effective!$C$43="variable",BJ18*Effective!$E$43,0)))</f>
        <v/>
      </c>
      <c r="BK36" s="25">
        <f>IF(BK$4=0,0,IF(Effective!$C$43="fixed",Effective!$D$43,IF(Effective!$C$43="variable",BK18*Effective!$E$43,0)))</f>
        <v/>
      </c>
      <c r="BL36" s="25">
        <f>IF(BL$4=0,0,IF(Effective!$C$43="fixed",Effective!$D$43,IF(Effective!$C$43="variable",BL18*Effective!$E$43,0)))</f>
        <v/>
      </c>
      <c r="BM36" s="25">
        <f>IF(BM$4=0,0,IF(Effective!$C$43="fixed",Effective!$D$43,IF(Effective!$C$43="variable",BM18*Effective!$E$43,0)))</f>
        <v/>
      </c>
      <c r="BN36" s="25">
        <f>IF(BN$4=0,0,IF(Effective!$C$43="fixed",Effective!$D$43,IF(Effective!$C$43="variable",BN18*Effective!$E$43,0)))</f>
        <v/>
      </c>
      <c r="BO36" s="25">
        <f>IF(BO$4=0,0,IF(Effective!$C$43="fixed",Effective!$D$43,IF(Effective!$C$43="variable",BO18*Effective!$E$43,0)))</f>
        <v/>
      </c>
      <c r="BP36" s="25">
        <f>IF(BP$4=0,0,IF(Effective!$C$43="fixed",Effective!$D$43,IF(Effective!$C$43="variable",BP18*Effective!$E$43,0)))</f>
        <v/>
      </c>
      <c r="BQ36" s="25">
        <f>IF(BQ$4=0,0,IF(Effective!$C$43="fixed",Effective!$D$43,IF(Effective!$C$43="variable",BQ18*Effective!$E$43,0)))</f>
        <v/>
      </c>
      <c r="BR36" s="25">
        <f>IF(BR$4=0,0,IF(Effective!$C$43="fixed",Effective!$D$43,IF(Effective!$C$43="variable",BR18*Effective!$E$43,0)))</f>
        <v/>
      </c>
      <c r="BS36" s="25">
        <f>IF(BS$4=0,0,IF(Effective!$C$43="fixed",Effective!$D$43,IF(Effective!$C$43="variable",BS18*Effective!$E$43,0)))</f>
        <v/>
      </c>
      <c r="BT36" s="25">
        <f>IF(BT$4=0,0,IF(Effective!$C$43="fixed",Effective!$D$43,IF(Effective!$C$43="variable",BT18*Effective!$E$43,0)))</f>
        <v/>
      </c>
      <c r="BU36" s="25">
        <f>IF(BU$4=0,0,IF(Effective!$C$43="fixed",Effective!$D$43,IF(Effective!$C$43="variable",BU18*Effective!$E$43,0)))</f>
        <v/>
      </c>
      <c r="BV36" s="25">
        <f>IF(BV$4=0,0,IF(Effective!$C$43="fixed",Effective!$D$43,IF(Effective!$C$43="variable",BV18*Effective!$E$43,0)))</f>
        <v/>
      </c>
      <c r="BW36" s="25">
        <f>IF(BW$4=0,0,IF(Effective!$C$43="fixed",Effective!$D$43,IF(Effective!$C$43="variable",BW18*Effective!$E$43,0)))</f>
        <v/>
      </c>
      <c r="BX36" s="25">
        <f>IF(BX$4=0,0,IF(Effective!$C$43="fixed",Effective!$D$43,IF(Effective!$C$43="variable",BX18*Effective!$E$43,0)))</f>
        <v/>
      </c>
      <c r="BY36" s="25">
        <f>IF(BY$4=0,0,IF(Effective!$C$43="fixed",Effective!$D$43,IF(Effective!$C$43="variable",BY18*Effective!$E$43,0)))</f>
        <v/>
      </c>
      <c r="BZ36" s="25">
        <f>IF(BZ$4=0,0,IF(Effective!$C$43="fixed",Effective!$D$43,IF(Effective!$C$43="variable",BZ18*Effective!$E$43,0)))</f>
        <v/>
      </c>
      <c r="CA36" s="25">
        <f>IF(CA$4=0,0,IF(Effective!$C$43="fixed",Effective!$D$43,IF(Effective!$C$43="variable",CA18*Effective!$E$43,0)))</f>
        <v/>
      </c>
      <c r="CB36" s="25">
        <f>IF(CB$4=0,0,IF(Effective!$C$43="fixed",Effective!$D$43,IF(Effective!$C$43="variable",CB18*Effective!$E$43,0)))</f>
        <v/>
      </c>
      <c r="CC36" s="25">
        <f>IF(CC$4=0,0,IF(Effective!$C$43="fixed",Effective!$D$43,IF(Effective!$C$43="variable",CC18*Effective!$E$43,0)))</f>
        <v/>
      </c>
      <c r="CD36" s="25">
        <f>IF(CD$4=0,0,IF(Effective!$C$43="fixed",Effective!$D$43,IF(Effective!$C$43="variable",CD18*Effective!$E$43,0)))</f>
        <v/>
      </c>
      <c r="CE36" s="25">
        <f>IF(CE$4=0,0,IF(Effective!$C$43="fixed",Effective!$D$43,IF(Effective!$C$43="variable",CE18*Effective!$E$43,0)))</f>
        <v/>
      </c>
      <c r="CF36" s="25">
        <f>IF(CF$4=0,0,IF(Effective!$C$43="fixed",Effective!$D$43,IF(Effective!$C$43="variable",CF18*Effective!$E$43,0)))</f>
        <v/>
      </c>
      <c r="CG36" s="25">
        <f>IF(CG$4=0,0,IF(Effective!$C$43="fixed",Effective!$D$43,IF(Effective!$C$43="variable",CG18*Effective!$E$43,0)))</f>
        <v/>
      </c>
      <c r="CH36" s="25">
        <f>IF(CH$4=0,0,IF(Effective!$C$43="fixed",Effective!$D$43,IF(Effective!$C$43="variable",CH18*Effective!$E$43,0)))</f>
        <v/>
      </c>
      <c r="CI36" s="25">
        <f>IF(CI$4=0,0,IF(Effective!$C$43="fixed",Effective!$D$43,IF(Effective!$C$43="variable",CI18*Effective!$E$43,0)))</f>
        <v/>
      </c>
      <c r="CJ36" s="25">
        <f>IF(CJ$4=0,0,IF(Effective!$C$43="fixed",Effective!$D$43,IF(Effective!$C$43="variable",CJ18*Effective!$E$43,0)))</f>
        <v/>
      </c>
      <c r="CK36" s="25">
        <f>IF(CK$4=0,0,IF(Effective!$C$43="fixed",Effective!$D$43,IF(Effective!$C$43="variable",CK18*Effective!$E$43,0)))</f>
        <v/>
      </c>
      <c r="CL36" s="25">
        <f>IF(CL$4=0,0,IF(Effective!$C$43="fixed",Effective!$D$43,IF(Effective!$C$43="variable",CL18*Effective!$E$43,0)))</f>
        <v/>
      </c>
      <c r="CM36" s="25">
        <f>IF(CM$4=0,0,IF(Effective!$C$43="fixed",Effective!$D$43,IF(Effective!$C$43="variable",CM18*Effective!$E$43,0)))</f>
        <v/>
      </c>
      <c r="CN36" s="25">
        <f>IF(CN$4=0,0,IF(Effective!$C$43="fixed",Effective!$D$43,IF(Effective!$C$43="variable",CN18*Effective!$E$43,0)))</f>
        <v/>
      </c>
      <c r="CO36" s="25">
        <f>IF(CO$4=0,0,IF(Effective!$C$43="fixed",Effective!$D$43,IF(Effective!$C$43="variable",CO18*Effective!$E$43,0)))</f>
        <v/>
      </c>
      <c r="CP36" s="25">
        <f>IF(CP$4=0,0,IF(Effective!$C$43="fixed",Effective!$D$43,IF(Effective!$C$43="variable",CP18*Effective!$E$43,0)))</f>
        <v/>
      </c>
      <c r="CQ36" s="25">
        <f>IF(CQ$4=0,0,IF(Effective!$C$43="fixed",Effective!$D$43,IF(Effective!$C$43="variable",CQ18*Effective!$E$43,0)))</f>
        <v/>
      </c>
      <c r="CR36" s="25">
        <f>IF(CR$4=0,0,IF(Effective!$C$43="fixed",Effective!$D$43,IF(Effective!$C$43="variable",CR18*Effective!$E$43,0)))</f>
        <v/>
      </c>
      <c r="CS36" s="25">
        <f>IF(CS$4=0,0,IF(Effective!$C$43="fixed",Effective!$D$43,IF(Effective!$C$43="variable",CS18*Effective!$E$43,0)))</f>
        <v/>
      </c>
      <c r="CT36" s="25">
        <f>IF(CT$4=0,0,IF(Effective!$C$43="fixed",Effective!$D$43,IF(Effective!$C$43="variable",CT18*Effective!$E$43,0)))</f>
        <v/>
      </c>
      <c r="CU36" s="25">
        <f>IF(CU$4=0,0,IF(Effective!$C$43="fixed",Effective!$D$43,IF(Effective!$C$43="variable",CU18*Effective!$E$43,0)))</f>
        <v/>
      </c>
      <c r="CV36" s="25">
        <f>IF(CV$4=0,0,IF(Effective!$C$43="fixed",Effective!$D$43,IF(Effective!$C$43="variable",CV18*Effective!$E$43,0)))</f>
        <v/>
      </c>
      <c r="CW36" s="25">
        <f>IF(CW$4=0,0,IF(Effective!$C$43="fixed",Effective!$D$43,IF(Effective!$C$43="variable",CW18*Effective!$E$43,0)))</f>
        <v/>
      </c>
      <c r="CX36" s="25">
        <f>IF(CX$4=0,0,IF(Effective!$C$43="fixed",Effective!$D$43,IF(Effective!$C$43="variable",CX18*Effective!$E$43,0)))</f>
        <v/>
      </c>
      <c r="CY36" s="25">
        <f>IF(CY$4=0,0,IF(Effective!$C$43="fixed",Effective!$D$43,IF(Effective!$C$43="variable",CY18*Effective!$E$43,0)))</f>
        <v/>
      </c>
      <c r="CZ36" s="25">
        <f>IF(CZ$4=0,0,IF(Effective!$C$43="fixed",Effective!$D$43,IF(Effective!$C$43="variable",CZ18*Effective!$E$43,0)))</f>
        <v/>
      </c>
      <c r="DA36" s="25">
        <f>IF(DA$4=0,0,IF(Effective!$C$43="fixed",Effective!$D$43,IF(Effective!$C$43="variable",DA18*Effective!$E$43,0)))</f>
        <v/>
      </c>
      <c r="DB36" s="25">
        <f>IF(DB$4=0,0,IF(Effective!$C$43="fixed",Effective!$D$43,IF(Effective!$C$43="variable",DB18*Effective!$E$43,0)))</f>
        <v/>
      </c>
      <c r="DC36" s="25">
        <f>IF(DC$4=0,0,IF(Effective!$C$43="fixed",Effective!$D$43,IF(Effective!$C$43="variable",DC18*Effective!$E$43,0)))</f>
        <v/>
      </c>
      <c r="DD36" s="25">
        <f>IF(DD$4=0,0,IF(Effective!$C$43="fixed",Effective!$D$43,IF(Effective!$C$43="variable",DD18*Effective!$E$43,0)))</f>
        <v/>
      </c>
      <c r="DE36" s="25">
        <f>IF(DE$4=0,0,IF(Effective!$C$43="fixed",Effective!$D$43,IF(Effective!$C$43="variable",DE18*Effective!$E$43,0)))</f>
        <v/>
      </c>
      <c r="DF36" s="25">
        <f>IF(DF$4=0,0,IF(Effective!$C$43="fixed",Effective!$D$43,IF(Effective!$C$43="variable",DF18*Effective!$E$43,0)))</f>
        <v/>
      </c>
      <c r="DG36" s="25">
        <f>IF(DG$4=0,0,IF(Effective!$C$43="fixed",Effective!$D$43,IF(Effective!$C$43="variable",DG18*Effective!$E$43,0)))</f>
        <v/>
      </c>
      <c r="DH36" s="25">
        <f>IF(DH$4=0,0,IF(Effective!$C$43="fixed",Effective!$D$43,IF(Effective!$C$43="variable",DH18*Effective!$E$43,0)))</f>
        <v/>
      </c>
      <c r="DI36" s="25">
        <f>IF(DI$4=0,0,IF(Effective!$C$43="fixed",Effective!$D$43,IF(Effective!$C$43="variable",DI18*Effective!$E$43,0)))</f>
        <v/>
      </c>
      <c r="DJ36" s="25">
        <f>IF(DJ$4=0,0,IF(Effective!$C$43="fixed",Effective!$D$43,IF(Effective!$C$43="variable",DJ18*Effective!$E$43,0)))</f>
        <v/>
      </c>
      <c r="DK36" s="25">
        <f>IF(DK$4=0,0,IF(Effective!$C$43="fixed",Effective!$D$43,IF(Effective!$C$43="variable",DK18*Effective!$E$43,0)))</f>
        <v/>
      </c>
      <c r="DL36" s="25">
        <f>IF(DL$4=0,0,IF(Effective!$C$43="fixed",Effective!$D$43,IF(Effective!$C$43="variable",DL18*Effective!$E$43,0)))</f>
        <v/>
      </c>
      <c r="DM36" s="25">
        <f>IF(DM$4=0,0,IF(Effective!$C$43="fixed",Effective!$D$43,IF(Effective!$C$43="variable",DM18*Effective!$E$43,0)))</f>
        <v/>
      </c>
      <c r="DN36" s="25">
        <f>IF(DN$4=0,0,IF(Effective!$C$43="fixed",Effective!$D$43,IF(Effective!$C$43="variable",DN18*Effective!$E$43,0)))</f>
        <v/>
      </c>
      <c r="DO36" s="25">
        <f>IF(DO$4=0,0,IF(Effective!$C$43="fixed",Effective!$D$43,IF(Effective!$C$43="variable",DO18*Effective!$E$43,0)))</f>
        <v/>
      </c>
      <c r="DP36" s="25">
        <f>IF(DP$4=0,0,IF(Effective!$C$43="fixed",Effective!$D$43,IF(Effective!$C$43="variable",DP18*Effective!$E$43,0)))</f>
        <v/>
      </c>
      <c r="DQ36" s="25">
        <f>IF(DQ$4=0,0,IF(Effective!$C$43="fixed",Effective!$D$43,IF(Effective!$C$43="variable",DQ18*Effective!$E$43,0)))</f>
        <v/>
      </c>
      <c r="DR36" s="25">
        <f>IF(DR$4=0,0,IF(Effective!$C$43="fixed",Effective!$D$43,IF(Effective!$C$43="variable",DR18*Effective!$E$43,0)))</f>
        <v/>
      </c>
    </row>
    <row r="37">
      <c r="A37" t="inlineStr">
        <is>
          <t>opex_9</t>
        </is>
      </c>
      <c r="B37" t="inlineStr">
        <is>
          <t>opex idx 8</t>
        </is>
      </c>
      <c r="C37" s="25">
        <f>IF(C$4=0,0,IF(Effective!$C$44="fixed",Effective!$D$44,IF(Effective!$C$44="variable",C18*Effective!$E$44,0)))</f>
        <v/>
      </c>
      <c r="D37" s="25">
        <f>IF(D$4=0,0,IF(Effective!$C$44="fixed",Effective!$D$44,IF(Effective!$C$44="variable",D18*Effective!$E$44,0)))</f>
        <v/>
      </c>
      <c r="E37" s="25">
        <f>IF(E$4=0,0,IF(Effective!$C$44="fixed",Effective!$D$44,IF(Effective!$C$44="variable",E18*Effective!$E$44,0)))</f>
        <v/>
      </c>
      <c r="F37" s="25">
        <f>IF(F$4=0,0,IF(Effective!$C$44="fixed",Effective!$D$44,IF(Effective!$C$44="variable",F18*Effective!$E$44,0)))</f>
        <v/>
      </c>
      <c r="G37" s="25">
        <f>IF(G$4=0,0,IF(Effective!$C$44="fixed",Effective!$D$44,IF(Effective!$C$44="variable",G18*Effective!$E$44,0)))</f>
        <v/>
      </c>
      <c r="H37" s="25">
        <f>IF(H$4=0,0,IF(Effective!$C$44="fixed",Effective!$D$44,IF(Effective!$C$44="variable",H18*Effective!$E$44,0)))</f>
        <v/>
      </c>
      <c r="I37" s="25">
        <f>IF(I$4=0,0,IF(Effective!$C$44="fixed",Effective!$D$44,IF(Effective!$C$44="variable",I18*Effective!$E$44,0)))</f>
        <v/>
      </c>
      <c r="J37" s="25">
        <f>IF(J$4=0,0,IF(Effective!$C$44="fixed",Effective!$D$44,IF(Effective!$C$44="variable",J18*Effective!$E$44,0)))</f>
        <v/>
      </c>
      <c r="K37" s="25">
        <f>IF(K$4=0,0,IF(Effective!$C$44="fixed",Effective!$D$44,IF(Effective!$C$44="variable",K18*Effective!$E$44,0)))</f>
        <v/>
      </c>
      <c r="L37" s="25">
        <f>IF(L$4=0,0,IF(Effective!$C$44="fixed",Effective!$D$44,IF(Effective!$C$44="variable",L18*Effective!$E$44,0)))</f>
        <v/>
      </c>
      <c r="M37" s="25">
        <f>IF(M$4=0,0,IF(Effective!$C$44="fixed",Effective!$D$44,IF(Effective!$C$44="variable",M18*Effective!$E$44,0)))</f>
        <v/>
      </c>
      <c r="N37" s="25">
        <f>IF(N$4=0,0,IF(Effective!$C$44="fixed",Effective!$D$44,IF(Effective!$C$44="variable",N18*Effective!$E$44,0)))</f>
        <v/>
      </c>
      <c r="O37" s="25">
        <f>IF(O$4=0,0,IF(Effective!$C$44="fixed",Effective!$D$44,IF(Effective!$C$44="variable",O18*Effective!$E$44,0)))</f>
        <v/>
      </c>
      <c r="P37" s="25">
        <f>IF(P$4=0,0,IF(Effective!$C$44="fixed",Effective!$D$44,IF(Effective!$C$44="variable",P18*Effective!$E$44,0)))</f>
        <v/>
      </c>
      <c r="Q37" s="25">
        <f>IF(Q$4=0,0,IF(Effective!$C$44="fixed",Effective!$D$44,IF(Effective!$C$44="variable",Q18*Effective!$E$44,0)))</f>
        <v/>
      </c>
      <c r="R37" s="25">
        <f>IF(R$4=0,0,IF(Effective!$C$44="fixed",Effective!$D$44,IF(Effective!$C$44="variable",R18*Effective!$E$44,0)))</f>
        <v/>
      </c>
      <c r="S37" s="25">
        <f>IF(S$4=0,0,IF(Effective!$C$44="fixed",Effective!$D$44,IF(Effective!$C$44="variable",S18*Effective!$E$44,0)))</f>
        <v/>
      </c>
      <c r="T37" s="25">
        <f>IF(T$4=0,0,IF(Effective!$C$44="fixed",Effective!$D$44,IF(Effective!$C$44="variable",T18*Effective!$E$44,0)))</f>
        <v/>
      </c>
      <c r="U37" s="25">
        <f>IF(U$4=0,0,IF(Effective!$C$44="fixed",Effective!$D$44,IF(Effective!$C$44="variable",U18*Effective!$E$44,0)))</f>
        <v/>
      </c>
      <c r="V37" s="25">
        <f>IF(V$4=0,0,IF(Effective!$C$44="fixed",Effective!$D$44,IF(Effective!$C$44="variable",V18*Effective!$E$44,0)))</f>
        <v/>
      </c>
      <c r="W37" s="25">
        <f>IF(W$4=0,0,IF(Effective!$C$44="fixed",Effective!$D$44,IF(Effective!$C$44="variable",W18*Effective!$E$44,0)))</f>
        <v/>
      </c>
      <c r="X37" s="25">
        <f>IF(X$4=0,0,IF(Effective!$C$44="fixed",Effective!$D$44,IF(Effective!$C$44="variable",X18*Effective!$E$44,0)))</f>
        <v/>
      </c>
      <c r="Y37" s="25">
        <f>IF(Y$4=0,0,IF(Effective!$C$44="fixed",Effective!$D$44,IF(Effective!$C$44="variable",Y18*Effective!$E$44,0)))</f>
        <v/>
      </c>
      <c r="Z37" s="25">
        <f>IF(Z$4=0,0,IF(Effective!$C$44="fixed",Effective!$D$44,IF(Effective!$C$44="variable",Z18*Effective!$E$44,0)))</f>
        <v/>
      </c>
      <c r="AA37" s="25">
        <f>IF(AA$4=0,0,IF(Effective!$C$44="fixed",Effective!$D$44,IF(Effective!$C$44="variable",AA18*Effective!$E$44,0)))</f>
        <v/>
      </c>
      <c r="AB37" s="25">
        <f>IF(AB$4=0,0,IF(Effective!$C$44="fixed",Effective!$D$44,IF(Effective!$C$44="variable",AB18*Effective!$E$44,0)))</f>
        <v/>
      </c>
      <c r="AC37" s="25">
        <f>IF(AC$4=0,0,IF(Effective!$C$44="fixed",Effective!$D$44,IF(Effective!$C$44="variable",AC18*Effective!$E$44,0)))</f>
        <v/>
      </c>
      <c r="AD37" s="25">
        <f>IF(AD$4=0,0,IF(Effective!$C$44="fixed",Effective!$D$44,IF(Effective!$C$44="variable",AD18*Effective!$E$44,0)))</f>
        <v/>
      </c>
      <c r="AE37" s="25">
        <f>IF(AE$4=0,0,IF(Effective!$C$44="fixed",Effective!$D$44,IF(Effective!$C$44="variable",AE18*Effective!$E$44,0)))</f>
        <v/>
      </c>
      <c r="AF37" s="25">
        <f>IF(AF$4=0,0,IF(Effective!$C$44="fixed",Effective!$D$44,IF(Effective!$C$44="variable",AF18*Effective!$E$44,0)))</f>
        <v/>
      </c>
      <c r="AG37" s="25">
        <f>IF(AG$4=0,0,IF(Effective!$C$44="fixed",Effective!$D$44,IF(Effective!$C$44="variable",AG18*Effective!$E$44,0)))</f>
        <v/>
      </c>
      <c r="AH37" s="25">
        <f>IF(AH$4=0,0,IF(Effective!$C$44="fixed",Effective!$D$44,IF(Effective!$C$44="variable",AH18*Effective!$E$44,0)))</f>
        <v/>
      </c>
      <c r="AI37" s="25">
        <f>IF(AI$4=0,0,IF(Effective!$C$44="fixed",Effective!$D$44,IF(Effective!$C$44="variable",AI18*Effective!$E$44,0)))</f>
        <v/>
      </c>
      <c r="AJ37" s="25">
        <f>IF(AJ$4=0,0,IF(Effective!$C$44="fixed",Effective!$D$44,IF(Effective!$C$44="variable",AJ18*Effective!$E$44,0)))</f>
        <v/>
      </c>
      <c r="AK37" s="25">
        <f>IF(AK$4=0,0,IF(Effective!$C$44="fixed",Effective!$D$44,IF(Effective!$C$44="variable",AK18*Effective!$E$44,0)))</f>
        <v/>
      </c>
      <c r="AL37" s="25">
        <f>IF(AL$4=0,0,IF(Effective!$C$44="fixed",Effective!$D$44,IF(Effective!$C$44="variable",AL18*Effective!$E$44,0)))</f>
        <v/>
      </c>
      <c r="AM37" s="25">
        <f>IF(AM$4=0,0,IF(Effective!$C$44="fixed",Effective!$D$44,IF(Effective!$C$44="variable",AM18*Effective!$E$44,0)))</f>
        <v/>
      </c>
      <c r="AN37" s="25">
        <f>IF(AN$4=0,0,IF(Effective!$C$44="fixed",Effective!$D$44,IF(Effective!$C$44="variable",AN18*Effective!$E$44,0)))</f>
        <v/>
      </c>
      <c r="AO37" s="25">
        <f>IF(AO$4=0,0,IF(Effective!$C$44="fixed",Effective!$D$44,IF(Effective!$C$44="variable",AO18*Effective!$E$44,0)))</f>
        <v/>
      </c>
      <c r="AP37" s="25">
        <f>IF(AP$4=0,0,IF(Effective!$C$44="fixed",Effective!$D$44,IF(Effective!$C$44="variable",AP18*Effective!$E$44,0)))</f>
        <v/>
      </c>
      <c r="AQ37" s="25">
        <f>IF(AQ$4=0,0,IF(Effective!$C$44="fixed",Effective!$D$44,IF(Effective!$C$44="variable",AQ18*Effective!$E$44,0)))</f>
        <v/>
      </c>
      <c r="AR37" s="25">
        <f>IF(AR$4=0,0,IF(Effective!$C$44="fixed",Effective!$D$44,IF(Effective!$C$44="variable",AR18*Effective!$E$44,0)))</f>
        <v/>
      </c>
      <c r="AS37" s="25">
        <f>IF(AS$4=0,0,IF(Effective!$C$44="fixed",Effective!$D$44,IF(Effective!$C$44="variable",AS18*Effective!$E$44,0)))</f>
        <v/>
      </c>
      <c r="AT37" s="25">
        <f>IF(AT$4=0,0,IF(Effective!$C$44="fixed",Effective!$D$44,IF(Effective!$C$44="variable",AT18*Effective!$E$44,0)))</f>
        <v/>
      </c>
      <c r="AU37" s="25">
        <f>IF(AU$4=0,0,IF(Effective!$C$44="fixed",Effective!$D$44,IF(Effective!$C$44="variable",AU18*Effective!$E$44,0)))</f>
        <v/>
      </c>
      <c r="AV37" s="25">
        <f>IF(AV$4=0,0,IF(Effective!$C$44="fixed",Effective!$D$44,IF(Effective!$C$44="variable",AV18*Effective!$E$44,0)))</f>
        <v/>
      </c>
      <c r="AW37" s="25">
        <f>IF(AW$4=0,0,IF(Effective!$C$44="fixed",Effective!$D$44,IF(Effective!$C$44="variable",AW18*Effective!$E$44,0)))</f>
        <v/>
      </c>
      <c r="AX37" s="25">
        <f>IF(AX$4=0,0,IF(Effective!$C$44="fixed",Effective!$D$44,IF(Effective!$C$44="variable",AX18*Effective!$E$44,0)))</f>
        <v/>
      </c>
      <c r="AY37" s="25">
        <f>IF(AY$4=0,0,IF(Effective!$C$44="fixed",Effective!$D$44,IF(Effective!$C$44="variable",AY18*Effective!$E$44,0)))</f>
        <v/>
      </c>
      <c r="AZ37" s="25">
        <f>IF(AZ$4=0,0,IF(Effective!$C$44="fixed",Effective!$D$44,IF(Effective!$C$44="variable",AZ18*Effective!$E$44,0)))</f>
        <v/>
      </c>
      <c r="BA37" s="25">
        <f>IF(BA$4=0,0,IF(Effective!$C$44="fixed",Effective!$D$44,IF(Effective!$C$44="variable",BA18*Effective!$E$44,0)))</f>
        <v/>
      </c>
      <c r="BB37" s="25">
        <f>IF(BB$4=0,0,IF(Effective!$C$44="fixed",Effective!$D$44,IF(Effective!$C$44="variable",BB18*Effective!$E$44,0)))</f>
        <v/>
      </c>
      <c r="BC37" s="25">
        <f>IF(BC$4=0,0,IF(Effective!$C$44="fixed",Effective!$D$44,IF(Effective!$C$44="variable",BC18*Effective!$E$44,0)))</f>
        <v/>
      </c>
      <c r="BD37" s="25">
        <f>IF(BD$4=0,0,IF(Effective!$C$44="fixed",Effective!$D$44,IF(Effective!$C$44="variable",BD18*Effective!$E$44,0)))</f>
        <v/>
      </c>
      <c r="BE37" s="25">
        <f>IF(BE$4=0,0,IF(Effective!$C$44="fixed",Effective!$D$44,IF(Effective!$C$44="variable",BE18*Effective!$E$44,0)))</f>
        <v/>
      </c>
      <c r="BF37" s="25">
        <f>IF(BF$4=0,0,IF(Effective!$C$44="fixed",Effective!$D$44,IF(Effective!$C$44="variable",BF18*Effective!$E$44,0)))</f>
        <v/>
      </c>
      <c r="BG37" s="25">
        <f>IF(BG$4=0,0,IF(Effective!$C$44="fixed",Effective!$D$44,IF(Effective!$C$44="variable",BG18*Effective!$E$44,0)))</f>
        <v/>
      </c>
      <c r="BH37" s="25">
        <f>IF(BH$4=0,0,IF(Effective!$C$44="fixed",Effective!$D$44,IF(Effective!$C$44="variable",BH18*Effective!$E$44,0)))</f>
        <v/>
      </c>
      <c r="BI37" s="25">
        <f>IF(BI$4=0,0,IF(Effective!$C$44="fixed",Effective!$D$44,IF(Effective!$C$44="variable",BI18*Effective!$E$44,0)))</f>
        <v/>
      </c>
      <c r="BJ37" s="25">
        <f>IF(BJ$4=0,0,IF(Effective!$C$44="fixed",Effective!$D$44,IF(Effective!$C$44="variable",BJ18*Effective!$E$44,0)))</f>
        <v/>
      </c>
      <c r="BK37" s="25">
        <f>IF(BK$4=0,0,IF(Effective!$C$44="fixed",Effective!$D$44,IF(Effective!$C$44="variable",BK18*Effective!$E$44,0)))</f>
        <v/>
      </c>
      <c r="BL37" s="25">
        <f>IF(BL$4=0,0,IF(Effective!$C$44="fixed",Effective!$D$44,IF(Effective!$C$44="variable",BL18*Effective!$E$44,0)))</f>
        <v/>
      </c>
      <c r="BM37" s="25">
        <f>IF(BM$4=0,0,IF(Effective!$C$44="fixed",Effective!$D$44,IF(Effective!$C$44="variable",BM18*Effective!$E$44,0)))</f>
        <v/>
      </c>
      <c r="BN37" s="25">
        <f>IF(BN$4=0,0,IF(Effective!$C$44="fixed",Effective!$D$44,IF(Effective!$C$44="variable",BN18*Effective!$E$44,0)))</f>
        <v/>
      </c>
      <c r="BO37" s="25">
        <f>IF(BO$4=0,0,IF(Effective!$C$44="fixed",Effective!$D$44,IF(Effective!$C$44="variable",BO18*Effective!$E$44,0)))</f>
        <v/>
      </c>
      <c r="BP37" s="25">
        <f>IF(BP$4=0,0,IF(Effective!$C$44="fixed",Effective!$D$44,IF(Effective!$C$44="variable",BP18*Effective!$E$44,0)))</f>
        <v/>
      </c>
      <c r="BQ37" s="25">
        <f>IF(BQ$4=0,0,IF(Effective!$C$44="fixed",Effective!$D$44,IF(Effective!$C$44="variable",BQ18*Effective!$E$44,0)))</f>
        <v/>
      </c>
      <c r="BR37" s="25">
        <f>IF(BR$4=0,0,IF(Effective!$C$44="fixed",Effective!$D$44,IF(Effective!$C$44="variable",BR18*Effective!$E$44,0)))</f>
        <v/>
      </c>
      <c r="BS37" s="25">
        <f>IF(BS$4=0,0,IF(Effective!$C$44="fixed",Effective!$D$44,IF(Effective!$C$44="variable",BS18*Effective!$E$44,0)))</f>
        <v/>
      </c>
      <c r="BT37" s="25">
        <f>IF(BT$4=0,0,IF(Effective!$C$44="fixed",Effective!$D$44,IF(Effective!$C$44="variable",BT18*Effective!$E$44,0)))</f>
        <v/>
      </c>
      <c r="BU37" s="25">
        <f>IF(BU$4=0,0,IF(Effective!$C$44="fixed",Effective!$D$44,IF(Effective!$C$44="variable",BU18*Effective!$E$44,0)))</f>
        <v/>
      </c>
      <c r="BV37" s="25">
        <f>IF(BV$4=0,0,IF(Effective!$C$44="fixed",Effective!$D$44,IF(Effective!$C$44="variable",BV18*Effective!$E$44,0)))</f>
        <v/>
      </c>
      <c r="BW37" s="25">
        <f>IF(BW$4=0,0,IF(Effective!$C$44="fixed",Effective!$D$44,IF(Effective!$C$44="variable",BW18*Effective!$E$44,0)))</f>
        <v/>
      </c>
      <c r="BX37" s="25">
        <f>IF(BX$4=0,0,IF(Effective!$C$44="fixed",Effective!$D$44,IF(Effective!$C$44="variable",BX18*Effective!$E$44,0)))</f>
        <v/>
      </c>
      <c r="BY37" s="25">
        <f>IF(BY$4=0,0,IF(Effective!$C$44="fixed",Effective!$D$44,IF(Effective!$C$44="variable",BY18*Effective!$E$44,0)))</f>
        <v/>
      </c>
      <c r="BZ37" s="25">
        <f>IF(BZ$4=0,0,IF(Effective!$C$44="fixed",Effective!$D$44,IF(Effective!$C$44="variable",BZ18*Effective!$E$44,0)))</f>
        <v/>
      </c>
      <c r="CA37" s="25">
        <f>IF(CA$4=0,0,IF(Effective!$C$44="fixed",Effective!$D$44,IF(Effective!$C$44="variable",CA18*Effective!$E$44,0)))</f>
        <v/>
      </c>
      <c r="CB37" s="25">
        <f>IF(CB$4=0,0,IF(Effective!$C$44="fixed",Effective!$D$44,IF(Effective!$C$44="variable",CB18*Effective!$E$44,0)))</f>
        <v/>
      </c>
      <c r="CC37" s="25">
        <f>IF(CC$4=0,0,IF(Effective!$C$44="fixed",Effective!$D$44,IF(Effective!$C$44="variable",CC18*Effective!$E$44,0)))</f>
        <v/>
      </c>
      <c r="CD37" s="25">
        <f>IF(CD$4=0,0,IF(Effective!$C$44="fixed",Effective!$D$44,IF(Effective!$C$44="variable",CD18*Effective!$E$44,0)))</f>
        <v/>
      </c>
      <c r="CE37" s="25">
        <f>IF(CE$4=0,0,IF(Effective!$C$44="fixed",Effective!$D$44,IF(Effective!$C$44="variable",CE18*Effective!$E$44,0)))</f>
        <v/>
      </c>
      <c r="CF37" s="25">
        <f>IF(CF$4=0,0,IF(Effective!$C$44="fixed",Effective!$D$44,IF(Effective!$C$44="variable",CF18*Effective!$E$44,0)))</f>
        <v/>
      </c>
      <c r="CG37" s="25">
        <f>IF(CG$4=0,0,IF(Effective!$C$44="fixed",Effective!$D$44,IF(Effective!$C$44="variable",CG18*Effective!$E$44,0)))</f>
        <v/>
      </c>
      <c r="CH37" s="25">
        <f>IF(CH$4=0,0,IF(Effective!$C$44="fixed",Effective!$D$44,IF(Effective!$C$44="variable",CH18*Effective!$E$44,0)))</f>
        <v/>
      </c>
      <c r="CI37" s="25">
        <f>IF(CI$4=0,0,IF(Effective!$C$44="fixed",Effective!$D$44,IF(Effective!$C$44="variable",CI18*Effective!$E$44,0)))</f>
        <v/>
      </c>
      <c r="CJ37" s="25">
        <f>IF(CJ$4=0,0,IF(Effective!$C$44="fixed",Effective!$D$44,IF(Effective!$C$44="variable",CJ18*Effective!$E$44,0)))</f>
        <v/>
      </c>
      <c r="CK37" s="25">
        <f>IF(CK$4=0,0,IF(Effective!$C$44="fixed",Effective!$D$44,IF(Effective!$C$44="variable",CK18*Effective!$E$44,0)))</f>
        <v/>
      </c>
      <c r="CL37" s="25">
        <f>IF(CL$4=0,0,IF(Effective!$C$44="fixed",Effective!$D$44,IF(Effective!$C$44="variable",CL18*Effective!$E$44,0)))</f>
        <v/>
      </c>
      <c r="CM37" s="25">
        <f>IF(CM$4=0,0,IF(Effective!$C$44="fixed",Effective!$D$44,IF(Effective!$C$44="variable",CM18*Effective!$E$44,0)))</f>
        <v/>
      </c>
      <c r="CN37" s="25">
        <f>IF(CN$4=0,0,IF(Effective!$C$44="fixed",Effective!$D$44,IF(Effective!$C$44="variable",CN18*Effective!$E$44,0)))</f>
        <v/>
      </c>
      <c r="CO37" s="25">
        <f>IF(CO$4=0,0,IF(Effective!$C$44="fixed",Effective!$D$44,IF(Effective!$C$44="variable",CO18*Effective!$E$44,0)))</f>
        <v/>
      </c>
      <c r="CP37" s="25">
        <f>IF(CP$4=0,0,IF(Effective!$C$44="fixed",Effective!$D$44,IF(Effective!$C$44="variable",CP18*Effective!$E$44,0)))</f>
        <v/>
      </c>
      <c r="CQ37" s="25">
        <f>IF(CQ$4=0,0,IF(Effective!$C$44="fixed",Effective!$D$44,IF(Effective!$C$44="variable",CQ18*Effective!$E$44,0)))</f>
        <v/>
      </c>
      <c r="CR37" s="25">
        <f>IF(CR$4=0,0,IF(Effective!$C$44="fixed",Effective!$D$44,IF(Effective!$C$44="variable",CR18*Effective!$E$44,0)))</f>
        <v/>
      </c>
      <c r="CS37" s="25">
        <f>IF(CS$4=0,0,IF(Effective!$C$44="fixed",Effective!$D$44,IF(Effective!$C$44="variable",CS18*Effective!$E$44,0)))</f>
        <v/>
      </c>
      <c r="CT37" s="25">
        <f>IF(CT$4=0,0,IF(Effective!$C$44="fixed",Effective!$D$44,IF(Effective!$C$44="variable",CT18*Effective!$E$44,0)))</f>
        <v/>
      </c>
      <c r="CU37" s="25">
        <f>IF(CU$4=0,0,IF(Effective!$C$44="fixed",Effective!$D$44,IF(Effective!$C$44="variable",CU18*Effective!$E$44,0)))</f>
        <v/>
      </c>
      <c r="CV37" s="25">
        <f>IF(CV$4=0,0,IF(Effective!$C$44="fixed",Effective!$D$44,IF(Effective!$C$44="variable",CV18*Effective!$E$44,0)))</f>
        <v/>
      </c>
      <c r="CW37" s="25">
        <f>IF(CW$4=0,0,IF(Effective!$C$44="fixed",Effective!$D$44,IF(Effective!$C$44="variable",CW18*Effective!$E$44,0)))</f>
        <v/>
      </c>
      <c r="CX37" s="25">
        <f>IF(CX$4=0,0,IF(Effective!$C$44="fixed",Effective!$D$44,IF(Effective!$C$44="variable",CX18*Effective!$E$44,0)))</f>
        <v/>
      </c>
      <c r="CY37" s="25">
        <f>IF(CY$4=0,0,IF(Effective!$C$44="fixed",Effective!$D$44,IF(Effective!$C$44="variable",CY18*Effective!$E$44,0)))</f>
        <v/>
      </c>
      <c r="CZ37" s="25">
        <f>IF(CZ$4=0,0,IF(Effective!$C$44="fixed",Effective!$D$44,IF(Effective!$C$44="variable",CZ18*Effective!$E$44,0)))</f>
        <v/>
      </c>
      <c r="DA37" s="25">
        <f>IF(DA$4=0,0,IF(Effective!$C$44="fixed",Effective!$D$44,IF(Effective!$C$44="variable",DA18*Effective!$E$44,0)))</f>
        <v/>
      </c>
      <c r="DB37" s="25">
        <f>IF(DB$4=0,0,IF(Effective!$C$44="fixed",Effective!$D$44,IF(Effective!$C$44="variable",DB18*Effective!$E$44,0)))</f>
        <v/>
      </c>
      <c r="DC37" s="25">
        <f>IF(DC$4=0,0,IF(Effective!$C$44="fixed",Effective!$D$44,IF(Effective!$C$44="variable",DC18*Effective!$E$44,0)))</f>
        <v/>
      </c>
      <c r="DD37" s="25">
        <f>IF(DD$4=0,0,IF(Effective!$C$44="fixed",Effective!$D$44,IF(Effective!$C$44="variable",DD18*Effective!$E$44,0)))</f>
        <v/>
      </c>
      <c r="DE37" s="25">
        <f>IF(DE$4=0,0,IF(Effective!$C$44="fixed",Effective!$D$44,IF(Effective!$C$44="variable",DE18*Effective!$E$44,0)))</f>
        <v/>
      </c>
      <c r="DF37" s="25">
        <f>IF(DF$4=0,0,IF(Effective!$C$44="fixed",Effective!$D$44,IF(Effective!$C$44="variable",DF18*Effective!$E$44,0)))</f>
        <v/>
      </c>
      <c r="DG37" s="25">
        <f>IF(DG$4=0,0,IF(Effective!$C$44="fixed",Effective!$D$44,IF(Effective!$C$44="variable",DG18*Effective!$E$44,0)))</f>
        <v/>
      </c>
      <c r="DH37" s="25">
        <f>IF(DH$4=0,0,IF(Effective!$C$44="fixed",Effective!$D$44,IF(Effective!$C$44="variable",DH18*Effective!$E$44,0)))</f>
        <v/>
      </c>
      <c r="DI37" s="25">
        <f>IF(DI$4=0,0,IF(Effective!$C$44="fixed",Effective!$D$44,IF(Effective!$C$44="variable",DI18*Effective!$E$44,0)))</f>
        <v/>
      </c>
      <c r="DJ37" s="25">
        <f>IF(DJ$4=0,0,IF(Effective!$C$44="fixed",Effective!$D$44,IF(Effective!$C$44="variable",DJ18*Effective!$E$44,0)))</f>
        <v/>
      </c>
      <c r="DK37" s="25">
        <f>IF(DK$4=0,0,IF(Effective!$C$44="fixed",Effective!$D$44,IF(Effective!$C$44="variable",DK18*Effective!$E$44,0)))</f>
        <v/>
      </c>
      <c r="DL37" s="25">
        <f>IF(DL$4=0,0,IF(Effective!$C$44="fixed",Effective!$D$44,IF(Effective!$C$44="variable",DL18*Effective!$E$44,0)))</f>
        <v/>
      </c>
      <c r="DM37" s="25">
        <f>IF(DM$4=0,0,IF(Effective!$C$44="fixed",Effective!$D$44,IF(Effective!$C$44="variable",DM18*Effective!$E$44,0)))</f>
        <v/>
      </c>
      <c r="DN37" s="25">
        <f>IF(DN$4=0,0,IF(Effective!$C$44="fixed",Effective!$D$44,IF(Effective!$C$44="variable",DN18*Effective!$E$44,0)))</f>
        <v/>
      </c>
      <c r="DO37" s="25">
        <f>IF(DO$4=0,0,IF(Effective!$C$44="fixed",Effective!$D$44,IF(Effective!$C$44="variable",DO18*Effective!$E$44,0)))</f>
        <v/>
      </c>
      <c r="DP37" s="25">
        <f>IF(DP$4=0,0,IF(Effective!$C$44="fixed",Effective!$D$44,IF(Effective!$C$44="variable",DP18*Effective!$E$44,0)))</f>
        <v/>
      </c>
      <c r="DQ37" s="25">
        <f>IF(DQ$4=0,0,IF(Effective!$C$44="fixed",Effective!$D$44,IF(Effective!$C$44="variable",DQ18*Effective!$E$44,0)))</f>
        <v/>
      </c>
      <c r="DR37" s="25">
        <f>IF(DR$4=0,0,IF(Effective!$C$44="fixed",Effective!$D$44,IF(Effective!$C$44="variable",DR18*Effective!$E$44,0)))</f>
        <v/>
      </c>
    </row>
    <row r="38">
      <c r="A38" t="inlineStr">
        <is>
          <t>opex_10</t>
        </is>
      </c>
      <c r="B38" t="inlineStr">
        <is>
          <t>opex idx 9</t>
        </is>
      </c>
      <c r="C38" s="25">
        <f>IF(C$4=0,0,IF(Effective!$C$45="fixed",Effective!$D$45,IF(Effective!$C$45="variable",C18*Effective!$E$45,0)))</f>
        <v/>
      </c>
      <c r="D38" s="25">
        <f>IF(D$4=0,0,IF(Effective!$C$45="fixed",Effective!$D$45,IF(Effective!$C$45="variable",D18*Effective!$E$45,0)))</f>
        <v/>
      </c>
      <c r="E38" s="25">
        <f>IF(E$4=0,0,IF(Effective!$C$45="fixed",Effective!$D$45,IF(Effective!$C$45="variable",E18*Effective!$E$45,0)))</f>
        <v/>
      </c>
      <c r="F38" s="25">
        <f>IF(F$4=0,0,IF(Effective!$C$45="fixed",Effective!$D$45,IF(Effective!$C$45="variable",F18*Effective!$E$45,0)))</f>
        <v/>
      </c>
      <c r="G38" s="25">
        <f>IF(G$4=0,0,IF(Effective!$C$45="fixed",Effective!$D$45,IF(Effective!$C$45="variable",G18*Effective!$E$45,0)))</f>
        <v/>
      </c>
      <c r="H38" s="25">
        <f>IF(H$4=0,0,IF(Effective!$C$45="fixed",Effective!$D$45,IF(Effective!$C$45="variable",H18*Effective!$E$45,0)))</f>
        <v/>
      </c>
      <c r="I38" s="25">
        <f>IF(I$4=0,0,IF(Effective!$C$45="fixed",Effective!$D$45,IF(Effective!$C$45="variable",I18*Effective!$E$45,0)))</f>
        <v/>
      </c>
      <c r="J38" s="25">
        <f>IF(J$4=0,0,IF(Effective!$C$45="fixed",Effective!$D$45,IF(Effective!$C$45="variable",J18*Effective!$E$45,0)))</f>
        <v/>
      </c>
      <c r="K38" s="25">
        <f>IF(K$4=0,0,IF(Effective!$C$45="fixed",Effective!$D$45,IF(Effective!$C$45="variable",K18*Effective!$E$45,0)))</f>
        <v/>
      </c>
      <c r="L38" s="25">
        <f>IF(L$4=0,0,IF(Effective!$C$45="fixed",Effective!$D$45,IF(Effective!$C$45="variable",L18*Effective!$E$45,0)))</f>
        <v/>
      </c>
      <c r="M38" s="25">
        <f>IF(M$4=0,0,IF(Effective!$C$45="fixed",Effective!$D$45,IF(Effective!$C$45="variable",M18*Effective!$E$45,0)))</f>
        <v/>
      </c>
      <c r="N38" s="25">
        <f>IF(N$4=0,0,IF(Effective!$C$45="fixed",Effective!$D$45,IF(Effective!$C$45="variable",N18*Effective!$E$45,0)))</f>
        <v/>
      </c>
      <c r="O38" s="25">
        <f>IF(O$4=0,0,IF(Effective!$C$45="fixed",Effective!$D$45,IF(Effective!$C$45="variable",O18*Effective!$E$45,0)))</f>
        <v/>
      </c>
      <c r="P38" s="25">
        <f>IF(P$4=0,0,IF(Effective!$C$45="fixed",Effective!$D$45,IF(Effective!$C$45="variable",P18*Effective!$E$45,0)))</f>
        <v/>
      </c>
      <c r="Q38" s="25">
        <f>IF(Q$4=0,0,IF(Effective!$C$45="fixed",Effective!$D$45,IF(Effective!$C$45="variable",Q18*Effective!$E$45,0)))</f>
        <v/>
      </c>
      <c r="R38" s="25">
        <f>IF(R$4=0,0,IF(Effective!$C$45="fixed",Effective!$D$45,IF(Effective!$C$45="variable",R18*Effective!$E$45,0)))</f>
        <v/>
      </c>
      <c r="S38" s="25">
        <f>IF(S$4=0,0,IF(Effective!$C$45="fixed",Effective!$D$45,IF(Effective!$C$45="variable",S18*Effective!$E$45,0)))</f>
        <v/>
      </c>
      <c r="T38" s="25">
        <f>IF(T$4=0,0,IF(Effective!$C$45="fixed",Effective!$D$45,IF(Effective!$C$45="variable",T18*Effective!$E$45,0)))</f>
        <v/>
      </c>
      <c r="U38" s="25">
        <f>IF(U$4=0,0,IF(Effective!$C$45="fixed",Effective!$D$45,IF(Effective!$C$45="variable",U18*Effective!$E$45,0)))</f>
        <v/>
      </c>
      <c r="V38" s="25">
        <f>IF(V$4=0,0,IF(Effective!$C$45="fixed",Effective!$D$45,IF(Effective!$C$45="variable",V18*Effective!$E$45,0)))</f>
        <v/>
      </c>
      <c r="W38" s="25">
        <f>IF(W$4=0,0,IF(Effective!$C$45="fixed",Effective!$D$45,IF(Effective!$C$45="variable",W18*Effective!$E$45,0)))</f>
        <v/>
      </c>
      <c r="X38" s="25">
        <f>IF(X$4=0,0,IF(Effective!$C$45="fixed",Effective!$D$45,IF(Effective!$C$45="variable",X18*Effective!$E$45,0)))</f>
        <v/>
      </c>
      <c r="Y38" s="25">
        <f>IF(Y$4=0,0,IF(Effective!$C$45="fixed",Effective!$D$45,IF(Effective!$C$45="variable",Y18*Effective!$E$45,0)))</f>
        <v/>
      </c>
      <c r="Z38" s="25">
        <f>IF(Z$4=0,0,IF(Effective!$C$45="fixed",Effective!$D$45,IF(Effective!$C$45="variable",Z18*Effective!$E$45,0)))</f>
        <v/>
      </c>
      <c r="AA38" s="25">
        <f>IF(AA$4=0,0,IF(Effective!$C$45="fixed",Effective!$D$45,IF(Effective!$C$45="variable",AA18*Effective!$E$45,0)))</f>
        <v/>
      </c>
      <c r="AB38" s="25">
        <f>IF(AB$4=0,0,IF(Effective!$C$45="fixed",Effective!$D$45,IF(Effective!$C$45="variable",AB18*Effective!$E$45,0)))</f>
        <v/>
      </c>
      <c r="AC38" s="25">
        <f>IF(AC$4=0,0,IF(Effective!$C$45="fixed",Effective!$D$45,IF(Effective!$C$45="variable",AC18*Effective!$E$45,0)))</f>
        <v/>
      </c>
      <c r="AD38" s="25">
        <f>IF(AD$4=0,0,IF(Effective!$C$45="fixed",Effective!$D$45,IF(Effective!$C$45="variable",AD18*Effective!$E$45,0)))</f>
        <v/>
      </c>
      <c r="AE38" s="25">
        <f>IF(AE$4=0,0,IF(Effective!$C$45="fixed",Effective!$D$45,IF(Effective!$C$45="variable",AE18*Effective!$E$45,0)))</f>
        <v/>
      </c>
      <c r="AF38" s="25">
        <f>IF(AF$4=0,0,IF(Effective!$C$45="fixed",Effective!$D$45,IF(Effective!$C$45="variable",AF18*Effective!$E$45,0)))</f>
        <v/>
      </c>
      <c r="AG38" s="25">
        <f>IF(AG$4=0,0,IF(Effective!$C$45="fixed",Effective!$D$45,IF(Effective!$C$45="variable",AG18*Effective!$E$45,0)))</f>
        <v/>
      </c>
      <c r="AH38" s="25">
        <f>IF(AH$4=0,0,IF(Effective!$C$45="fixed",Effective!$D$45,IF(Effective!$C$45="variable",AH18*Effective!$E$45,0)))</f>
        <v/>
      </c>
      <c r="AI38" s="25">
        <f>IF(AI$4=0,0,IF(Effective!$C$45="fixed",Effective!$D$45,IF(Effective!$C$45="variable",AI18*Effective!$E$45,0)))</f>
        <v/>
      </c>
      <c r="AJ38" s="25">
        <f>IF(AJ$4=0,0,IF(Effective!$C$45="fixed",Effective!$D$45,IF(Effective!$C$45="variable",AJ18*Effective!$E$45,0)))</f>
        <v/>
      </c>
      <c r="AK38" s="25">
        <f>IF(AK$4=0,0,IF(Effective!$C$45="fixed",Effective!$D$45,IF(Effective!$C$45="variable",AK18*Effective!$E$45,0)))</f>
        <v/>
      </c>
      <c r="AL38" s="25">
        <f>IF(AL$4=0,0,IF(Effective!$C$45="fixed",Effective!$D$45,IF(Effective!$C$45="variable",AL18*Effective!$E$45,0)))</f>
        <v/>
      </c>
      <c r="AM38" s="25">
        <f>IF(AM$4=0,0,IF(Effective!$C$45="fixed",Effective!$D$45,IF(Effective!$C$45="variable",AM18*Effective!$E$45,0)))</f>
        <v/>
      </c>
      <c r="AN38" s="25">
        <f>IF(AN$4=0,0,IF(Effective!$C$45="fixed",Effective!$D$45,IF(Effective!$C$45="variable",AN18*Effective!$E$45,0)))</f>
        <v/>
      </c>
      <c r="AO38" s="25">
        <f>IF(AO$4=0,0,IF(Effective!$C$45="fixed",Effective!$D$45,IF(Effective!$C$45="variable",AO18*Effective!$E$45,0)))</f>
        <v/>
      </c>
      <c r="AP38" s="25">
        <f>IF(AP$4=0,0,IF(Effective!$C$45="fixed",Effective!$D$45,IF(Effective!$C$45="variable",AP18*Effective!$E$45,0)))</f>
        <v/>
      </c>
      <c r="AQ38" s="25">
        <f>IF(AQ$4=0,0,IF(Effective!$C$45="fixed",Effective!$D$45,IF(Effective!$C$45="variable",AQ18*Effective!$E$45,0)))</f>
        <v/>
      </c>
      <c r="AR38" s="25">
        <f>IF(AR$4=0,0,IF(Effective!$C$45="fixed",Effective!$D$45,IF(Effective!$C$45="variable",AR18*Effective!$E$45,0)))</f>
        <v/>
      </c>
      <c r="AS38" s="25">
        <f>IF(AS$4=0,0,IF(Effective!$C$45="fixed",Effective!$D$45,IF(Effective!$C$45="variable",AS18*Effective!$E$45,0)))</f>
        <v/>
      </c>
      <c r="AT38" s="25">
        <f>IF(AT$4=0,0,IF(Effective!$C$45="fixed",Effective!$D$45,IF(Effective!$C$45="variable",AT18*Effective!$E$45,0)))</f>
        <v/>
      </c>
      <c r="AU38" s="25">
        <f>IF(AU$4=0,0,IF(Effective!$C$45="fixed",Effective!$D$45,IF(Effective!$C$45="variable",AU18*Effective!$E$45,0)))</f>
        <v/>
      </c>
      <c r="AV38" s="25">
        <f>IF(AV$4=0,0,IF(Effective!$C$45="fixed",Effective!$D$45,IF(Effective!$C$45="variable",AV18*Effective!$E$45,0)))</f>
        <v/>
      </c>
      <c r="AW38" s="25">
        <f>IF(AW$4=0,0,IF(Effective!$C$45="fixed",Effective!$D$45,IF(Effective!$C$45="variable",AW18*Effective!$E$45,0)))</f>
        <v/>
      </c>
      <c r="AX38" s="25">
        <f>IF(AX$4=0,0,IF(Effective!$C$45="fixed",Effective!$D$45,IF(Effective!$C$45="variable",AX18*Effective!$E$45,0)))</f>
        <v/>
      </c>
      <c r="AY38" s="25">
        <f>IF(AY$4=0,0,IF(Effective!$C$45="fixed",Effective!$D$45,IF(Effective!$C$45="variable",AY18*Effective!$E$45,0)))</f>
        <v/>
      </c>
      <c r="AZ38" s="25">
        <f>IF(AZ$4=0,0,IF(Effective!$C$45="fixed",Effective!$D$45,IF(Effective!$C$45="variable",AZ18*Effective!$E$45,0)))</f>
        <v/>
      </c>
      <c r="BA38" s="25">
        <f>IF(BA$4=0,0,IF(Effective!$C$45="fixed",Effective!$D$45,IF(Effective!$C$45="variable",BA18*Effective!$E$45,0)))</f>
        <v/>
      </c>
      <c r="BB38" s="25">
        <f>IF(BB$4=0,0,IF(Effective!$C$45="fixed",Effective!$D$45,IF(Effective!$C$45="variable",BB18*Effective!$E$45,0)))</f>
        <v/>
      </c>
      <c r="BC38" s="25">
        <f>IF(BC$4=0,0,IF(Effective!$C$45="fixed",Effective!$D$45,IF(Effective!$C$45="variable",BC18*Effective!$E$45,0)))</f>
        <v/>
      </c>
      <c r="BD38" s="25">
        <f>IF(BD$4=0,0,IF(Effective!$C$45="fixed",Effective!$D$45,IF(Effective!$C$45="variable",BD18*Effective!$E$45,0)))</f>
        <v/>
      </c>
      <c r="BE38" s="25">
        <f>IF(BE$4=0,0,IF(Effective!$C$45="fixed",Effective!$D$45,IF(Effective!$C$45="variable",BE18*Effective!$E$45,0)))</f>
        <v/>
      </c>
      <c r="BF38" s="25">
        <f>IF(BF$4=0,0,IF(Effective!$C$45="fixed",Effective!$D$45,IF(Effective!$C$45="variable",BF18*Effective!$E$45,0)))</f>
        <v/>
      </c>
      <c r="BG38" s="25">
        <f>IF(BG$4=0,0,IF(Effective!$C$45="fixed",Effective!$D$45,IF(Effective!$C$45="variable",BG18*Effective!$E$45,0)))</f>
        <v/>
      </c>
      <c r="BH38" s="25">
        <f>IF(BH$4=0,0,IF(Effective!$C$45="fixed",Effective!$D$45,IF(Effective!$C$45="variable",BH18*Effective!$E$45,0)))</f>
        <v/>
      </c>
      <c r="BI38" s="25">
        <f>IF(BI$4=0,0,IF(Effective!$C$45="fixed",Effective!$D$45,IF(Effective!$C$45="variable",BI18*Effective!$E$45,0)))</f>
        <v/>
      </c>
      <c r="BJ38" s="25">
        <f>IF(BJ$4=0,0,IF(Effective!$C$45="fixed",Effective!$D$45,IF(Effective!$C$45="variable",BJ18*Effective!$E$45,0)))</f>
        <v/>
      </c>
      <c r="BK38" s="25">
        <f>IF(BK$4=0,0,IF(Effective!$C$45="fixed",Effective!$D$45,IF(Effective!$C$45="variable",BK18*Effective!$E$45,0)))</f>
        <v/>
      </c>
      <c r="BL38" s="25">
        <f>IF(BL$4=0,0,IF(Effective!$C$45="fixed",Effective!$D$45,IF(Effective!$C$45="variable",BL18*Effective!$E$45,0)))</f>
        <v/>
      </c>
      <c r="BM38" s="25">
        <f>IF(BM$4=0,0,IF(Effective!$C$45="fixed",Effective!$D$45,IF(Effective!$C$45="variable",BM18*Effective!$E$45,0)))</f>
        <v/>
      </c>
      <c r="BN38" s="25">
        <f>IF(BN$4=0,0,IF(Effective!$C$45="fixed",Effective!$D$45,IF(Effective!$C$45="variable",BN18*Effective!$E$45,0)))</f>
        <v/>
      </c>
      <c r="BO38" s="25">
        <f>IF(BO$4=0,0,IF(Effective!$C$45="fixed",Effective!$D$45,IF(Effective!$C$45="variable",BO18*Effective!$E$45,0)))</f>
        <v/>
      </c>
      <c r="BP38" s="25">
        <f>IF(BP$4=0,0,IF(Effective!$C$45="fixed",Effective!$D$45,IF(Effective!$C$45="variable",BP18*Effective!$E$45,0)))</f>
        <v/>
      </c>
      <c r="BQ38" s="25">
        <f>IF(BQ$4=0,0,IF(Effective!$C$45="fixed",Effective!$D$45,IF(Effective!$C$45="variable",BQ18*Effective!$E$45,0)))</f>
        <v/>
      </c>
      <c r="BR38" s="25">
        <f>IF(BR$4=0,0,IF(Effective!$C$45="fixed",Effective!$D$45,IF(Effective!$C$45="variable",BR18*Effective!$E$45,0)))</f>
        <v/>
      </c>
      <c r="BS38" s="25">
        <f>IF(BS$4=0,0,IF(Effective!$C$45="fixed",Effective!$D$45,IF(Effective!$C$45="variable",BS18*Effective!$E$45,0)))</f>
        <v/>
      </c>
      <c r="BT38" s="25">
        <f>IF(BT$4=0,0,IF(Effective!$C$45="fixed",Effective!$D$45,IF(Effective!$C$45="variable",BT18*Effective!$E$45,0)))</f>
        <v/>
      </c>
      <c r="BU38" s="25">
        <f>IF(BU$4=0,0,IF(Effective!$C$45="fixed",Effective!$D$45,IF(Effective!$C$45="variable",BU18*Effective!$E$45,0)))</f>
        <v/>
      </c>
      <c r="BV38" s="25">
        <f>IF(BV$4=0,0,IF(Effective!$C$45="fixed",Effective!$D$45,IF(Effective!$C$45="variable",BV18*Effective!$E$45,0)))</f>
        <v/>
      </c>
      <c r="BW38" s="25">
        <f>IF(BW$4=0,0,IF(Effective!$C$45="fixed",Effective!$D$45,IF(Effective!$C$45="variable",BW18*Effective!$E$45,0)))</f>
        <v/>
      </c>
      <c r="BX38" s="25">
        <f>IF(BX$4=0,0,IF(Effective!$C$45="fixed",Effective!$D$45,IF(Effective!$C$45="variable",BX18*Effective!$E$45,0)))</f>
        <v/>
      </c>
      <c r="BY38" s="25">
        <f>IF(BY$4=0,0,IF(Effective!$C$45="fixed",Effective!$D$45,IF(Effective!$C$45="variable",BY18*Effective!$E$45,0)))</f>
        <v/>
      </c>
      <c r="BZ38" s="25">
        <f>IF(BZ$4=0,0,IF(Effective!$C$45="fixed",Effective!$D$45,IF(Effective!$C$45="variable",BZ18*Effective!$E$45,0)))</f>
        <v/>
      </c>
      <c r="CA38" s="25">
        <f>IF(CA$4=0,0,IF(Effective!$C$45="fixed",Effective!$D$45,IF(Effective!$C$45="variable",CA18*Effective!$E$45,0)))</f>
        <v/>
      </c>
      <c r="CB38" s="25">
        <f>IF(CB$4=0,0,IF(Effective!$C$45="fixed",Effective!$D$45,IF(Effective!$C$45="variable",CB18*Effective!$E$45,0)))</f>
        <v/>
      </c>
      <c r="CC38" s="25">
        <f>IF(CC$4=0,0,IF(Effective!$C$45="fixed",Effective!$D$45,IF(Effective!$C$45="variable",CC18*Effective!$E$45,0)))</f>
        <v/>
      </c>
      <c r="CD38" s="25">
        <f>IF(CD$4=0,0,IF(Effective!$C$45="fixed",Effective!$D$45,IF(Effective!$C$45="variable",CD18*Effective!$E$45,0)))</f>
        <v/>
      </c>
      <c r="CE38" s="25">
        <f>IF(CE$4=0,0,IF(Effective!$C$45="fixed",Effective!$D$45,IF(Effective!$C$45="variable",CE18*Effective!$E$45,0)))</f>
        <v/>
      </c>
      <c r="CF38" s="25">
        <f>IF(CF$4=0,0,IF(Effective!$C$45="fixed",Effective!$D$45,IF(Effective!$C$45="variable",CF18*Effective!$E$45,0)))</f>
        <v/>
      </c>
      <c r="CG38" s="25">
        <f>IF(CG$4=0,0,IF(Effective!$C$45="fixed",Effective!$D$45,IF(Effective!$C$45="variable",CG18*Effective!$E$45,0)))</f>
        <v/>
      </c>
      <c r="CH38" s="25">
        <f>IF(CH$4=0,0,IF(Effective!$C$45="fixed",Effective!$D$45,IF(Effective!$C$45="variable",CH18*Effective!$E$45,0)))</f>
        <v/>
      </c>
      <c r="CI38" s="25">
        <f>IF(CI$4=0,0,IF(Effective!$C$45="fixed",Effective!$D$45,IF(Effective!$C$45="variable",CI18*Effective!$E$45,0)))</f>
        <v/>
      </c>
      <c r="CJ38" s="25">
        <f>IF(CJ$4=0,0,IF(Effective!$C$45="fixed",Effective!$D$45,IF(Effective!$C$45="variable",CJ18*Effective!$E$45,0)))</f>
        <v/>
      </c>
      <c r="CK38" s="25">
        <f>IF(CK$4=0,0,IF(Effective!$C$45="fixed",Effective!$D$45,IF(Effective!$C$45="variable",CK18*Effective!$E$45,0)))</f>
        <v/>
      </c>
      <c r="CL38" s="25">
        <f>IF(CL$4=0,0,IF(Effective!$C$45="fixed",Effective!$D$45,IF(Effective!$C$45="variable",CL18*Effective!$E$45,0)))</f>
        <v/>
      </c>
      <c r="CM38" s="25">
        <f>IF(CM$4=0,0,IF(Effective!$C$45="fixed",Effective!$D$45,IF(Effective!$C$45="variable",CM18*Effective!$E$45,0)))</f>
        <v/>
      </c>
      <c r="CN38" s="25">
        <f>IF(CN$4=0,0,IF(Effective!$C$45="fixed",Effective!$D$45,IF(Effective!$C$45="variable",CN18*Effective!$E$45,0)))</f>
        <v/>
      </c>
      <c r="CO38" s="25">
        <f>IF(CO$4=0,0,IF(Effective!$C$45="fixed",Effective!$D$45,IF(Effective!$C$45="variable",CO18*Effective!$E$45,0)))</f>
        <v/>
      </c>
      <c r="CP38" s="25">
        <f>IF(CP$4=0,0,IF(Effective!$C$45="fixed",Effective!$D$45,IF(Effective!$C$45="variable",CP18*Effective!$E$45,0)))</f>
        <v/>
      </c>
      <c r="CQ38" s="25">
        <f>IF(CQ$4=0,0,IF(Effective!$C$45="fixed",Effective!$D$45,IF(Effective!$C$45="variable",CQ18*Effective!$E$45,0)))</f>
        <v/>
      </c>
      <c r="CR38" s="25">
        <f>IF(CR$4=0,0,IF(Effective!$C$45="fixed",Effective!$D$45,IF(Effective!$C$45="variable",CR18*Effective!$E$45,0)))</f>
        <v/>
      </c>
      <c r="CS38" s="25">
        <f>IF(CS$4=0,0,IF(Effective!$C$45="fixed",Effective!$D$45,IF(Effective!$C$45="variable",CS18*Effective!$E$45,0)))</f>
        <v/>
      </c>
      <c r="CT38" s="25">
        <f>IF(CT$4=0,0,IF(Effective!$C$45="fixed",Effective!$D$45,IF(Effective!$C$45="variable",CT18*Effective!$E$45,0)))</f>
        <v/>
      </c>
      <c r="CU38" s="25">
        <f>IF(CU$4=0,0,IF(Effective!$C$45="fixed",Effective!$D$45,IF(Effective!$C$45="variable",CU18*Effective!$E$45,0)))</f>
        <v/>
      </c>
      <c r="CV38" s="25">
        <f>IF(CV$4=0,0,IF(Effective!$C$45="fixed",Effective!$D$45,IF(Effective!$C$45="variable",CV18*Effective!$E$45,0)))</f>
        <v/>
      </c>
      <c r="CW38" s="25">
        <f>IF(CW$4=0,0,IF(Effective!$C$45="fixed",Effective!$D$45,IF(Effective!$C$45="variable",CW18*Effective!$E$45,0)))</f>
        <v/>
      </c>
      <c r="CX38" s="25">
        <f>IF(CX$4=0,0,IF(Effective!$C$45="fixed",Effective!$D$45,IF(Effective!$C$45="variable",CX18*Effective!$E$45,0)))</f>
        <v/>
      </c>
      <c r="CY38" s="25">
        <f>IF(CY$4=0,0,IF(Effective!$C$45="fixed",Effective!$D$45,IF(Effective!$C$45="variable",CY18*Effective!$E$45,0)))</f>
        <v/>
      </c>
      <c r="CZ38" s="25">
        <f>IF(CZ$4=0,0,IF(Effective!$C$45="fixed",Effective!$D$45,IF(Effective!$C$45="variable",CZ18*Effective!$E$45,0)))</f>
        <v/>
      </c>
      <c r="DA38" s="25">
        <f>IF(DA$4=0,0,IF(Effective!$C$45="fixed",Effective!$D$45,IF(Effective!$C$45="variable",DA18*Effective!$E$45,0)))</f>
        <v/>
      </c>
      <c r="DB38" s="25">
        <f>IF(DB$4=0,0,IF(Effective!$C$45="fixed",Effective!$D$45,IF(Effective!$C$45="variable",DB18*Effective!$E$45,0)))</f>
        <v/>
      </c>
      <c r="DC38" s="25">
        <f>IF(DC$4=0,0,IF(Effective!$C$45="fixed",Effective!$D$45,IF(Effective!$C$45="variable",DC18*Effective!$E$45,0)))</f>
        <v/>
      </c>
      <c r="DD38" s="25">
        <f>IF(DD$4=0,0,IF(Effective!$C$45="fixed",Effective!$D$45,IF(Effective!$C$45="variable",DD18*Effective!$E$45,0)))</f>
        <v/>
      </c>
      <c r="DE38" s="25">
        <f>IF(DE$4=0,0,IF(Effective!$C$45="fixed",Effective!$D$45,IF(Effective!$C$45="variable",DE18*Effective!$E$45,0)))</f>
        <v/>
      </c>
      <c r="DF38" s="25">
        <f>IF(DF$4=0,0,IF(Effective!$C$45="fixed",Effective!$D$45,IF(Effective!$C$45="variable",DF18*Effective!$E$45,0)))</f>
        <v/>
      </c>
      <c r="DG38" s="25">
        <f>IF(DG$4=0,0,IF(Effective!$C$45="fixed",Effective!$D$45,IF(Effective!$C$45="variable",DG18*Effective!$E$45,0)))</f>
        <v/>
      </c>
      <c r="DH38" s="25">
        <f>IF(DH$4=0,0,IF(Effective!$C$45="fixed",Effective!$D$45,IF(Effective!$C$45="variable",DH18*Effective!$E$45,0)))</f>
        <v/>
      </c>
      <c r="DI38" s="25">
        <f>IF(DI$4=0,0,IF(Effective!$C$45="fixed",Effective!$D$45,IF(Effective!$C$45="variable",DI18*Effective!$E$45,0)))</f>
        <v/>
      </c>
      <c r="DJ38" s="25">
        <f>IF(DJ$4=0,0,IF(Effective!$C$45="fixed",Effective!$D$45,IF(Effective!$C$45="variable",DJ18*Effective!$E$45,0)))</f>
        <v/>
      </c>
      <c r="DK38" s="25">
        <f>IF(DK$4=0,0,IF(Effective!$C$45="fixed",Effective!$D$45,IF(Effective!$C$45="variable",DK18*Effective!$E$45,0)))</f>
        <v/>
      </c>
      <c r="DL38" s="25">
        <f>IF(DL$4=0,0,IF(Effective!$C$45="fixed",Effective!$D$45,IF(Effective!$C$45="variable",DL18*Effective!$E$45,0)))</f>
        <v/>
      </c>
      <c r="DM38" s="25">
        <f>IF(DM$4=0,0,IF(Effective!$C$45="fixed",Effective!$D$45,IF(Effective!$C$45="variable",DM18*Effective!$E$45,0)))</f>
        <v/>
      </c>
      <c r="DN38" s="25">
        <f>IF(DN$4=0,0,IF(Effective!$C$45="fixed",Effective!$D$45,IF(Effective!$C$45="variable",DN18*Effective!$E$45,0)))</f>
        <v/>
      </c>
      <c r="DO38" s="25">
        <f>IF(DO$4=0,0,IF(Effective!$C$45="fixed",Effective!$D$45,IF(Effective!$C$45="variable",DO18*Effective!$E$45,0)))</f>
        <v/>
      </c>
      <c r="DP38" s="25">
        <f>IF(DP$4=0,0,IF(Effective!$C$45="fixed",Effective!$D$45,IF(Effective!$C$45="variable",DP18*Effective!$E$45,0)))</f>
        <v/>
      </c>
      <c r="DQ38" s="25">
        <f>IF(DQ$4=0,0,IF(Effective!$C$45="fixed",Effective!$D$45,IF(Effective!$C$45="variable",DQ18*Effective!$E$45,0)))</f>
        <v/>
      </c>
      <c r="DR38" s="25">
        <f>IF(DR$4=0,0,IF(Effective!$C$45="fixed",Effective!$D$45,IF(Effective!$C$45="variable",DR18*Effective!$E$45,0)))</f>
        <v/>
      </c>
    </row>
    <row r="39">
      <c r="A39" t="inlineStr">
        <is>
          <t>opex_11</t>
        </is>
      </c>
      <c r="B39" t="inlineStr">
        <is>
          <t>opex idx 10</t>
        </is>
      </c>
      <c r="C39" s="25">
        <f>IF(C$4=0,0,IF(Effective!$C$46="fixed",Effective!$D$46,IF(Effective!$C$46="variable",C18*Effective!$E$46,0)))</f>
        <v/>
      </c>
      <c r="D39" s="25">
        <f>IF(D$4=0,0,IF(Effective!$C$46="fixed",Effective!$D$46,IF(Effective!$C$46="variable",D18*Effective!$E$46,0)))</f>
        <v/>
      </c>
      <c r="E39" s="25">
        <f>IF(E$4=0,0,IF(Effective!$C$46="fixed",Effective!$D$46,IF(Effective!$C$46="variable",E18*Effective!$E$46,0)))</f>
        <v/>
      </c>
      <c r="F39" s="25">
        <f>IF(F$4=0,0,IF(Effective!$C$46="fixed",Effective!$D$46,IF(Effective!$C$46="variable",F18*Effective!$E$46,0)))</f>
        <v/>
      </c>
      <c r="G39" s="25">
        <f>IF(G$4=0,0,IF(Effective!$C$46="fixed",Effective!$D$46,IF(Effective!$C$46="variable",G18*Effective!$E$46,0)))</f>
        <v/>
      </c>
      <c r="H39" s="25">
        <f>IF(H$4=0,0,IF(Effective!$C$46="fixed",Effective!$D$46,IF(Effective!$C$46="variable",H18*Effective!$E$46,0)))</f>
        <v/>
      </c>
      <c r="I39" s="25">
        <f>IF(I$4=0,0,IF(Effective!$C$46="fixed",Effective!$D$46,IF(Effective!$C$46="variable",I18*Effective!$E$46,0)))</f>
        <v/>
      </c>
      <c r="J39" s="25">
        <f>IF(J$4=0,0,IF(Effective!$C$46="fixed",Effective!$D$46,IF(Effective!$C$46="variable",J18*Effective!$E$46,0)))</f>
        <v/>
      </c>
      <c r="K39" s="25">
        <f>IF(K$4=0,0,IF(Effective!$C$46="fixed",Effective!$D$46,IF(Effective!$C$46="variable",K18*Effective!$E$46,0)))</f>
        <v/>
      </c>
      <c r="L39" s="25">
        <f>IF(L$4=0,0,IF(Effective!$C$46="fixed",Effective!$D$46,IF(Effective!$C$46="variable",L18*Effective!$E$46,0)))</f>
        <v/>
      </c>
      <c r="M39" s="25">
        <f>IF(M$4=0,0,IF(Effective!$C$46="fixed",Effective!$D$46,IF(Effective!$C$46="variable",M18*Effective!$E$46,0)))</f>
        <v/>
      </c>
      <c r="N39" s="25">
        <f>IF(N$4=0,0,IF(Effective!$C$46="fixed",Effective!$D$46,IF(Effective!$C$46="variable",N18*Effective!$E$46,0)))</f>
        <v/>
      </c>
      <c r="O39" s="25">
        <f>IF(O$4=0,0,IF(Effective!$C$46="fixed",Effective!$D$46,IF(Effective!$C$46="variable",O18*Effective!$E$46,0)))</f>
        <v/>
      </c>
      <c r="P39" s="25">
        <f>IF(P$4=0,0,IF(Effective!$C$46="fixed",Effective!$D$46,IF(Effective!$C$46="variable",P18*Effective!$E$46,0)))</f>
        <v/>
      </c>
      <c r="Q39" s="25">
        <f>IF(Q$4=0,0,IF(Effective!$C$46="fixed",Effective!$D$46,IF(Effective!$C$46="variable",Q18*Effective!$E$46,0)))</f>
        <v/>
      </c>
      <c r="R39" s="25">
        <f>IF(R$4=0,0,IF(Effective!$C$46="fixed",Effective!$D$46,IF(Effective!$C$46="variable",R18*Effective!$E$46,0)))</f>
        <v/>
      </c>
      <c r="S39" s="25">
        <f>IF(S$4=0,0,IF(Effective!$C$46="fixed",Effective!$D$46,IF(Effective!$C$46="variable",S18*Effective!$E$46,0)))</f>
        <v/>
      </c>
      <c r="T39" s="25">
        <f>IF(T$4=0,0,IF(Effective!$C$46="fixed",Effective!$D$46,IF(Effective!$C$46="variable",T18*Effective!$E$46,0)))</f>
        <v/>
      </c>
      <c r="U39" s="25">
        <f>IF(U$4=0,0,IF(Effective!$C$46="fixed",Effective!$D$46,IF(Effective!$C$46="variable",U18*Effective!$E$46,0)))</f>
        <v/>
      </c>
      <c r="V39" s="25">
        <f>IF(V$4=0,0,IF(Effective!$C$46="fixed",Effective!$D$46,IF(Effective!$C$46="variable",V18*Effective!$E$46,0)))</f>
        <v/>
      </c>
      <c r="W39" s="25">
        <f>IF(W$4=0,0,IF(Effective!$C$46="fixed",Effective!$D$46,IF(Effective!$C$46="variable",W18*Effective!$E$46,0)))</f>
        <v/>
      </c>
      <c r="X39" s="25">
        <f>IF(X$4=0,0,IF(Effective!$C$46="fixed",Effective!$D$46,IF(Effective!$C$46="variable",X18*Effective!$E$46,0)))</f>
        <v/>
      </c>
      <c r="Y39" s="25">
        <f>IF(Y$4=0,0,IF(Effective!$C$46="fixed",Effective!$D$46,IF(Effective!$C$46="variable",Y18*Effective!$E$46,0)))</f>
        <v/>
      </c>
      <c r="Z39" s="25">
        <f>IF(Z$4=0,0,IF(Effective!$C$46="fixed",Effective!$D$46,IF(Effective!$C$46="variable",Z18*Effective!$E$46,0)))</f>
        <v/>
      </c>
      <c r="AA39" s="25">
        <f>IF(AA$4=0,0,IF(Effective!$C$46="fixed",Effective!$D$46,IF(Effective!$C$46="variable",AA18*Effective!$E$46,0)))</f>
        <v/>
      </c>
      <c r="AB39" s="25">
        <f>IF(AB$4=0,0,IF(Effective!$C$46="fixed",Effective!$D$46,IF(Effective!$C$46="variable",AB18*Effective!$E$46,0)))</f>
        <v/>
      </c>
      <c r="AC39" s="25">
        <f>IF(AC$4=0,0,IF(Effective!$C$46="fixed",Effective!$D$46,IF(Effective!$C$46="variable",AC18*Effective!$E$46,0)))</f>
        <v/>
      </c>
      <c r="AD39" s="25">
        <f>IF(AD$4=0,0,IF(Effective!$C$46="fixed",Effective!$D$46,IF(Effective!$C$46="variable",AD18*Effective!$E$46,0)))</f>
        <v/>
      </c>
      <c r="AE39" s="25">
        <f>IF(AE$4=0,0,IF(Effective!$C$46="fixed",Effective!$D$46,IF(Effective!$C$46="variable",AE18*Effective!$E$46,0)))</f>
        <v/>
      </c>
      <c r="AF39" s="25">
        <f>IF(AF$4=0,0,IF(Effective!$C$46="fixed",Effective!$D$46,IF(Effective!$C$46="variable",AF18*Effective!$E$46,0)))</f>
        <v/>
      </c>
      <c r="AG39" s="25">
        <f>IF(AG$4=0,0,IF(Effective!$C$46="fixed",Effective!$D$46,IF(Effective!$C$46="variable",AG18*Effective!$E$46,0)))</f>
        <v/>
      </c>
      <c r="AH39" s="25">
        <f>IF(AH$4=0,0,IF(Effective!$C$46="fixed",Effective!$D$46,IF(Effective!$C$46="variable",AH18*Effective!$E$46,0)))</f>
        <v/>
      </c>
      <c r="AI39" s="25">
        <f>IF(AI$4=0,0,IF(Effective!$C$46="fixed",Effective!$D$46,IF(Effective!$C$46="variable",AI18*Effective!$E$46,0)))</f>
        <v/>
      </c>
      <c r="AJ39" s="25">
        <f>IF(AJ$4=0,0,IF(Effective!$C$46="fixed",Effective!$D$46,IF(Effective!$C$46="variable",AJ18*Effective!$E$46,0)))</f>
        <v/>
      </c>
      <c r="AK39" s="25">
        <f>IF(AK$4=0,0,IF(Effective!$C$46="fixed",Effective!$D$46,IF(Effective!$C$46="variable",AK18*Effective!$E$46,0)))</f>
        <v/>
      </c>
      <c r="AL39" s="25">
        <f>IF(AL$4=0,0,IF(Effective!$C$46="fixed",Effective!$D$46,IF(Effective!$C$46="variable",AL18*Effective!$E$46,0)))</f>
        <v/>
      </c>
      <c r="AM39" s="25">
        <f>IF(AM$4=0,0,IF(Effective!$C$46="fixed",Effective!$D$46,IF(Effective!$C$46="variable",AM18*Effective!$E$46,0)))</f>
        <v/>
      </c>
      <c r="AN39" s="25">
        <f>IF(AN$4=0,0,IF(Effective!$C$46="fixed",Effective!$D$46,IF(Effective!$C$46="variable",AN18*Effective!$E$46,0)))</f>
        <v/>
      </c>
      <c r="AO39" s="25">
        <f>IF(AO$4=0,0,IF(Effective!$C$46="fixed",Effective!$D$46,IF(Effective!$C$46="variable",AO18*Effective!$E$46,0)))</f>
        <v/>
      </c>
      <c r="AP39" s="25">
        <f>IF(AP$4=0,0,IF(Effective!$C$46="fixed",Effective!$D$46,IF(Effective!$C$46="variable",AP18*Effective!$E$46,0)))</f>
        <v/>
      </c>
      <c r="AQ39" s="25">
        <f>IF(AQ$4=0,0,IF(Effective!$C$46="fixed",Effective!$D$46,IF(Effective!$C$46="variable",AQ18*Effective!$E$46,0)))</f>
        <v/>
      </c>
      <c r="AR39" s="25">
        <f>IF(AR$4=0,0,IF(Effective!$C$46="fixed",Effective!$D$46,IF(Effective!$C$46="variable",AR18*Effective!$E$46,0)))</f>
        <v/>
      </c>
      <c r="AS39" s="25">
        <f>IF(AS$4=0,0,IF(Effective!$C$46="fixed",Effective!$D$46,IF(Effective!$C$46="variable",AS18*Effective!$E$46,0)))</f>
        <v/>
      </c>
      <c r="AT39" s="25">
        <f>IF(AT$4=0,0,IF(Effective!$C$46="fixed",Effective!$D$46,IF(Effective!$C$46="variable",AT18*Effective!$E$46,0)))</f>
        <v/>
      </c>
      <c r="AU39" s="25">
        <f>IF(AU$4=0,0,IF(Effective!$C$46="fixed",Effective!$D$46,IF(Effective!$C$46="variable",AU18*Effective!$E$46,0)))</f>
        <v/>
      </c>
      <c r="AV39" s="25">
        <f>IF(AV$4=0,0,IF(Effective!$C$46="fixed",Effective!$D$46,IF(Effective!$C$46="variable",AV18*Effective!$E$46,0)))</f>
        <v/>
      </c>
      <c r="AW39" s="25">
        <f>IF(AW$4=0,0,IF(Effective!$C$46="fixed",Effective!$D$46,IF(Effective!$C$46="variable",AW18*Effective!$E$46,0)))</f>
        <v/>
      </c>
      <c r="AX39" s="25">
        <f>IF(AX$4=0,0,IF(Effective!$C$46="fixed",Effective!$D$46,IF(Effective!$C$46="variable",AX18*Effective!$E$46,0)))</f>
        <v/>
      </c>
      <c r="AY39" s="25">
        <f>IF(AY$4=0,0,IF(Effective!$C$46="fixed",Effective!$D$46,IF(Effective!$C$46="variable",AY18*Effective!$E$46,0)))</f>
        <v/>
      </c>
      <c r="AZ39" s="25">
        <f>IF(AZ$4=0,0,IF(Effective!$C$46="fixed",Effective!$D$46,IF(Effective!$C$46="variable",AZ18*Effective!$E$46,0)))</f>
        <v/>
      </c>
      <c r="BA39" s="25">
        <f>IF(BA$4=0,0,IF(Effective!$C$46="fixed",Effective!$D$46,IF(Effective!$C$46="variable",BA18*Effective!$E$46,0)))</f>
        <v/>
      </c>
      <c r="BB39" s="25">
        <f>IF(BB$4=0,0,IF(Effective!$C$46="fixed",Effective!$D$46,IF(Effective!$C$46="variable",BB18*Effective!$E$46,0)))</f>
        <v/>
      </c>
      <c r="BC39" s="25">
        <f>IF(BC$4=0,0,IF(Effective!$C$46="fixed",Effective!$D$46,IF(Effective!$C$46="variable",BC18*Effective!$E$46,0)))</f>
        <v/>
      </c>
      <c r="BD39" s="25">
        <f>IF(BD$4=0,0,IF(Effective!$C$46="fixed",Effective!$D$46,IF(Effective!$C$46="variable",BD18*Effective!$E$46,0)))</f>
        <v/>
      </c>
      <c r="BE39" s="25">
        <f>IF(BE$4=0,0,IF(Effective!$C$46="fixed",Effective!$D$46,IF(Effective!$C$46="variable",BE18*Effective!$E$46,0)))</f>
        <v/>
      </c>
      <c r="BF39" s="25">
        <f>IF(BF$4=0,0,IF(Effective!$C$46="fixed",Effective!$D$46,IF(Effective!$C$46="variable",BF18*Effective!$E$46,0)))</f>
        <v/>
      </c>
      <c r="BG39" s="25">
        <f>IF(BG$4=0,0,IF(Effective!$C$46="fixed",Effective!$D$46,IF(Effective!$C$46="variable",BG18*Effective!$E$46,0)))</f>
        <v/>
      </c>
      <c r="BH39" s="25">
        <f>IF(BH$4=0,0,IF(Effective!$C$46="fixed",Effective!$D$46,IF(Effective!$C$46="variable",BH18*Effective!$E$46,0)))</f>
        <v/>
      </c>
      <c r="BI39" s="25">
        <f>IF(BI$4=0,0,IF(Effective!$C$46="fixed",Effective!$D$46,IF(Effective!$C$46="variable",BI18*Effective!$E$46,0)))</f>
        <v/>
      </c>
      <c r="BJ39" s="25">
        <f>IF(BJ$4=0,0,IF(Effective!$C$46="fixed",Effective!$D$46,IF(Effective!$C$46="variable",BJ18*Effective!$E$46,0)))</f>
        <v/>
      </c>
      <c r="BK39" s="25">
        <f>IF(BK$4=0,0,IF(Effective!$C$46="fixed",Effective!$D$46,IF(Effective!$C$46="variable",BK18*Effective!$E$46,0)))</f>
        <v/>
      </c>
      <c r="BL39" s="25">
        <f>IF(BL$4=0,0,IF(Effective!$C$46="fixed",Effective!$D$46,IF(Effective!$C$46="variable",BL18*Effective!$E$46,0)))</f>
        <v/>
      </c>
      <c r="BM39" s="25">
        <f>IF(BM$4=0,0,IF(Effective!$C$46="fixed",Effective!$D$46,IF(Effective!$C$46="variable",BM18*Effective!$E$46,0)))</f>
        <v/>
      </c>
      <c r="BN39" s="25">
        <f>IF(BN$4=0,0,IF(Effective!$C$46="fixed",Effective!$D$46,IF(Effective!$C$46="variable",BN18*Effective!$E$46,0)))</f>
        <v/>
      </c>
      <c r="BO39" s="25">
        <f>IF(BO$4=0,0,IF(Effective!$C$46="fixed",Effective!$D$46,IF(Effective!$C$46="variable",BO18*Effective!$E$46,0)))</f>
        <v/>
      </c>
      <c r="BP39" s="25">
        <f>IF(BP$4=0,0,IF(Effective!$C$46="fixed",Effective!$D$46,IF(Effective!$C$46="variable",BP18*Effective!$E$46,0)))</f>
        <v/>
      </c>
      <c r="BQ39" s="25">
        <f>IF(BQ$4=0,0,IF(Effective!$C$46="fixed",Effective!$D$46,IF(Effective!$C$46="variable",BQ18*Effective!$E$46,0)))</f>
        <v/>
      </c>
      <c r="BR39" s="25">
        <f>IF(BR$4=0,0,IF(Effective!$C$46="fixed",Effective!$D$46,IF(Effective!$C$46="variable",BR18*Effective!$E$46,0)))</f>
        <v/>
      </c>
      <c r="BS39" s="25">
        <f>IF(BS$4=0,0,IF(Effective!$C$46="fixed",Effective!$D$46,IF(Effective!$C$46="variable",BS18*Effective!$E$46,0)))</f>
        <v/>
      </c>
      <c r="BT39" s="25">
        <f>IF(BT$4=0,0,IF(Effective!$C$46="fixed",Effective!$D$46,IF(Effective!$C$46="variable",BT18*Effective!$E$46,0)))</f>
        <v/>
      </c>
      <c r="BU39" s="25">
        <f>IF(BU$4=0,0,IF(Effective!$C$46="fixed",Effective!$D$46,IF(Effective!$C$46="variable",BU18*Effective!$E$46,0)))</f>
        <v/>
      </c>
      <c r="BV39" s="25">
        <f>IF(BV$4=0,0,IF(Effective!$C$46="fixed",Effective!$D$46,IF(Effective!$C$46="variable",BV18*Effective!$E$46,0)))</f>
        <v/>
      </c>
      <c r="BW39" s="25">
        <f>IF(BW$4=0,0,IF(Effective!$C$46="fixed",Effective!$D$46,IF(Effective!$C$46="variable",BW18*Effective!$E$46,0)))</f>
        <v/>
      </c>
      <c r="BX39" s="25">
        <f>IF(BX$4=0,0,IF(Effective!$C$46="fixed",Effective!$D$46,IF(Effective!$C$46="variable",BX18*Effective!$E$46,0)))</f>
        <v/>
      </c>
      <c r="BY39" s="25">
        <f>IF(BY$4=0,0,IF(Effective!$C$46="fixed",Effective!$D$46,IF(Effective!$C$46="variable",BY18*Effective!$E$46,0)))</f>
        <v/>
      </c>
      <c r="BZ39" s="25">
        <f>IF(BZ$4=0,0,IF(Effective!$C$46="fixed",Effective!$D$46,IF(Effective!$C$46="variable",BZ18*Effective!$E$46,0)))</f>
        <v/>
      </c>
      <c r="CA39" s="25">
        <f>IF(CA$4=0,0,IF(Effective!$C$46="fixed",Effective!$D$46,IF(Effective!$C$46="variable",CA18*Effective!$E$46,0)))</f>
        <v/>
      </c>
      <c r="CB39" s="25">
        <f>IF(CB$4=0,0,IF(Effective!$C$46="fixed",Effective!$D$46,IF(Effective!$C$46="variable",CB18*Effective!$E$46,0)))</f>
        <v/>
      </c>
      <c r="CC39" s="25">
        <f>IF(CC$4=0,0,IF(Effective!$C$46="fixed",Effective!$D$46,IF(Effective!$C$46="variable",CC18*Effective!$E$46,0)))</f>
        <v/>
      </c>
      <c r="CD39" s="25">
        <f>IF(CD$4=0,0,IF(Effective!$C$46="fixed",Effective!$D$46,IF(Effective!$C$46="variable",CD18*Effective!$E$46,0)))</f>
        <v/>
      </c>
      <c r="CE39" s="25">
        <f>IF(CE$4=0,0,IF(Effective!$C$46="fixed",Effective!$D$46,IF(Effective!$C$46="variable",CE18*Effective!$E$46,0)))</f>
        <v/>
      </c>
      <c r="CF39" s="25">
        <f>IF(CF$4=0,0,IF(Effective!$C$46="fixed",Effective!$D$46,IF(Effective!$C$46="variable",CF18*Effective!$E$46,0)))</f>
        <v/>
      </c>
      <c r="CG39" s="25">
        <f>IF(CG$4=0,0,IF(Effective!$C$46="fixed",Effective!$D$46,IF(Effective!$C$46="variable",CG18*Effective!$E$46,0)))</f>
        <v/>
      </c>
      <c r="CH39" s="25">
        <f>IF(CH$4=0,0,IF(Effective!$C$46="fixed",Effective!$D$46,IF(Effective!$C$46="variable",CH18*Effective!$E$46,0)))</f>
        <v/>
      </c>
      <c r="CI39" s="25">
        <f>IF(CI$4=0,0,IF(Effective!$C$46="fixed",Effective!$D$46,IF(Effective!$C$46="variable",CI18*Effective!$E$46,0)))</f>
        <v/>
      </c>
      <c r="CJ39" s="25">
        <f>IF(CJ$4=0,0,IF(Effective!$C$46="fixed",Effective!$D$46,IF(Effective!$C$46="variable",CJ18*Effective!$E$46,0)))</f>
        <v/>
      </c>
      <c r="CK39" s="25">
        <f>IF(CK$4=0,0,IF(Effective!$C$46="fixed",Effective!$D$46,IF(Effective!$C$46="variable",CK18*Effective!$E$46,0)))</f>
        <v/>
      </c>
      <c r="CL39" s="25">
        <f>IF(CL$4=0,0,IF(Effective!$C$46="fixed",Effective!$D$46,IF(Effective!$C$46="variable",CL18*Effective!$E$46,0)))</f>
        <v/>
      </c>
      <c r="CM39" s="25">
        <f>IF(CM$4=0,0,IF(Effective!$C$46="fixed",Effective!$D$46,IF(Effective!$C$46="variable",CM18*Effective!$E$46,0)))</f>
        <v/>
      </c>
      <c r="CN39" s="25">
        <f>IF(CN$4=0,0,IF(Effective!$C$46="fixed",Effective!$D$46,IF(Effective!$C$46="variable",CN18*Effective!$E$46,0)))</f>
        <v/>
      </c>
      <c r="CO39" s="25">
        <f>IF(CO$4=0,0,IF(Effective!$C$46="fixed",Effective!$D$46,IF(Effective!$C$46="variable",CO18*Effective!$E$46,0)))</f>
        <v/>
      </c>
      <c r="CP39" s="25">
        <f>IF(CP$4=0,0,IF(Effective!$C$46="fixed",Effective!$D$46,IF(Effective!$C$46="variable",CP18*Effective!$E$46,0)))</f>
        <v/>
      </c>
      <c r="CQ39" s="25">
        <f>IF(CQ$4=0,0,IF(Effective!$C$46="fixed",Effective!$D$46,IF(Effective!$C$46="variable",CQ18*Effective!$E$46,0)))</f>
        <v/>
      </c>
      <c r="CR39" s="25">
        <f>IF(CR$4=0,0,IF(Effective!$C$46="fixed",Effective!$D$46,IF(Effective!$C$46="variable",CR18*Effective!$E$46,0)))</f>
        <v/>
      </c>
      <c r="CS39" s="25">
        <f>IF(CS$4=0,0,IF(Effective!$C$46="fixed",Effective!$D$46,IF(Effective!$C$46="variable",CS18*Effective!$E$46,0)))</f>
        <v/>
      </c>
      <c r="CT39" s="25">
        <f>IF(CT$4=0,0,IF(Effective!$C$46="fixed",Effective!$D$46,IF(Effective!$C$46="variable",CT18*Effective!$E$46,0)))</f>
        <v/>
      </c>
      <c r="CU39" s="25">
        <f>IF(CU$4=0,0,IF(Effective!$C$46="fixed",Effective!$D$46,IF(Effective!$C$46="variable",CU18*Effective!$E$46,0)))</f>
        <v/>
      </c>
      <c r="CV39" s="25">
        <f>IF(CV$4=0,0,IF(Effective!$C$46="fixed",Effective!$D$46,IF(Effective!$C$46="variable",CV18*Effective!$E$46,0)))</f>
        <v/>
      </c>
      <c r="CW39" s="25">
        <f>IF(CW$4=0,0,IF(Effective!$C$46="fixed",Effective!$D$46,IF(Effective!$C$46="variable",CW18*Effective!$E$46,0)))</f>
        <v/>
      </c>
      <c r="CX39" s="25">
        <f>IF(CX$4=0,0,IF(Effective!$C$46="fixed",Effective!$D$46,IF(Effective!$C$46="variable",CX18*Effective!$E$46,0)))</f>
        <v/>
      </c>
      <c r="CY39" s="25">
        <f>IF(CY$4=0,0,IF(Effective!$C$46="fixed",Effective!$D$46,IF(Effective!$C$46="variable",CY18*Effective!$E$46,0)))</f>
        <v/>
      </c>
      <c r="CZ39" s="25">
        <f>IF(CZ$4=0,0,IF(Effective!$C$46="fixed",Effective!$D$46,IF(Effective!$C$46="variable",CZ18*Effective!$E$46,0)))</f>
        <v/>
      </c>
      <c r="DA39" s="25">
        <f>IF(DA$4=0,0,IF(Effective!$C$46="fixed",Effective!$D$46,IF(Effective!$C$46="variable",DA18*Effective!$E$46,0)))</f>
        <v/>
      </c>
      <c r="DB39" s="25">
        <f>IF(DB$4=0,0,IF(Effective!$C$46="fixed",Effective!$D$46,IF(Effective!$C$46="variable",DB18*Effective!$E$46,0)))</f>
        <v/>
      </c>
      <c r="DC39" s="25">
        <f>IF(DC$4=0,0,IF(Effective!$C$46="fixed",Effective!$D$46,IF(Effective!$C$46="variable",DC18*Effective!$E$46,0)))</f>
        <v/>
      </c>
      <c r="DD39" s="25">
        <f>IF(DD$4=0,0,IF(Effective!$C$46="fixed",Effective!$D$46,IF(Effective!$C$46="variable",DD18*Effective!$E$46,0)))</f>
        <v/>
      </c>
      <c r="DE39" s="25">
        <f>IF(DE$4=0,0,IF(Effective!$C$46="fixed",Effective!$D$46,IF(Effective!$C$46="variable",DE18*Effective!$E$46,0)))</f>
        <v/>
      </c>
      <c r="DF39" s="25">
        <f>IF(DF$4=0,0,IF(Effective!$C$46="fixed",Effective!$D$46,IF(Effective!$C$46="variable",DF18*Effective!$E$46,0)))</f>
        <v/>
      </c>
      <c r="DG39" s="25">
        <f>IF(DG$4=0,0,IF(Effective!$C$46="fixed",Effective!$D$46,IF(Effective!$C$46="variable",DG18*Effective!$E$46,0)))</f>
        <v/>
      </c>
      <c r="DH39" s="25">
        <f>IF(DH$4=0,0,IF(Effective!$C$46="fixed",Effective!$D$46,IF(Effective!$C$46="variable",DH18*Effective!$E$46,0)))</f>
        <v/>
      </c>
      <c r="DI39" s="25">
        <f>IF(DI$4=0,0,IF(Effective!$C$46="fixed",Effective!$D$46,IF(Effective!$C$46="variable",DI18*Effective!$E$46,0)))</f>
        <v/>
      </c>
      <c r="DJ39" s="25">
        <f>IF(DJ$4=0,0,IF(Effective!$C$46="fixed",Effective!$D$46,IF(Effective!$C$46="variable",DJ18*Effective!$E$46,0)))</f>
        <v/>
      </c>
      <c r="DK39" s="25">
        <f>IF(DK$4=0,0,IF(Effective!$C$46="fixed",Effective!$D$46,IF(Effective!$C$46="variable",DK18*Effective!$E$46,0)))</f>
        <v/>
      </c>
      <c r="DL39" s="25">
        <f>IF(DL$4=0,0,IF(Effective!$C$46="fixed",Effective!$D$46,IF(Effective!$C$46="variable",DL18*Effective!$E$46,0)))</f>
        <v/>
      </c>
      <c r="DM39" s="25">
        <f>IF(DM$4=0,0,IF(Effective!$C$46="fixed",Effective!$D$46,IF(Effective!$C$46="variable",DM18*Effective!$E$46,0)))</f>
        <v/>
      </c>
      <c r="DN39" s="25">
        <f>IF(DN$4=0,0,IF(Effective!$C$46="fixed",Effective!$D$46,IF(Effective!$C$46="variable",DN18*Effective!$E$46,0)))</f>
        <v/>
      </c>
      <c r="DO39" s="25">
        <f>IF(DO$4=0,0,IF(Effective!$C$46="fixed",Effective!$D$46,IF(Effective!$C$46="variable",DO18*Effective!$E$46,0)))</f>
        <v/>
      </c>
      <c r="DP39" s="25">
        <f>IF(DP$4=0,0,IF(Effective!$C$46="fixed",Effective!$D$46,IF(Effective!$C$46="variable",DP18*Effective!$E$46,0)))</f>
        <v/>
      </c>
      <c r="DQ39" s="25">
        <f>IF(DQ$4=0,0,IF(Effective!$C$46="fixed",Effective!$D$46,IF(Effective!$C$46="variable",DQ18*Effective!$E$46,0)))</f>
        <v/>
      </c>
      <c r="DR39" s="25">
        <f>IF(DR$4=0,0,IF(Effective!$C$46="fixed",Effective!$D$46,IF(Effective!$C$46="variable",DR18*Effective!$E$46,0)))</f>
        <v/>
      </c>
    </row>
    <row r="40">
      <c r="A40" t="inlineStr">
        <is>
          <t>opex_12</t>
        </is>
      </c>
      <c r="B40" t="inlineStr">
        <is>
          <t>opex idx 11</t>
        </is>
      </c>
      <c r="C40" s="25">
        <f>IF(C$4=0,0,IF(Effective!$C$47="fixed",Effective!$D$47,IF(Effective!$C$47="variable",C18*Effective!$E$47,0)))</f>
        <v/>
      </c>
      <c r="D40" s="25">
        <f>IF(D$4=0,0,IF(Effective!$C$47="fixed",Effective!$D$47,IF(Effective!$C$47="variable",D18*Effective!$E$47,0)))</f>
        <v/>
      </c>
      <c r="E40" s="25">
        <f>IF(E$4=0,0,IF(Effective!$C$47="fixed",Effective!$D$47,IF(Effective!$C$47="variable",E18*Effective!$E$47,0)))</f>
        <v/>
      </c>
      <c r="F40" s="25">
        <f>IF(F$4=0,0,IF(Effective!$C$47="fixed",Effective!$D$47,IF(Effective!$C$47="variable",F18*Effective!$E$47,0)))</f>
        <v/>
      </c>
      <c r="G40" s="25">
        <f>IF(G$4=0,0,IF(Effective!$C$47="fixed",Effective!$D$47,IF(Effective!$C$47="variable",G18*Effective!$E$47,0)))</f>
        <v/>
      </c>
      <c r="H40" s="25">
        <f>IF(H$4=0,0,IF(Effective!$C$47="fixed",Effective!$D$47,IF(Effective!$C$47="variable",H18*Effective!$E$47,0)))</f>
        <v/>
      </c>
      <c r="I40" s="25">
        <f>IF(I$4=0,0,IF(Effective!$C$47="fixed",Effective!$D$47,IF(Effective!$C$47="variable",I18*Effective!$E$47,0)))</f>
        <v/>
      </c>
      <c r="J40" s="25">
        <f>IF(J$4=0,0,IF(Effective!$C$47="fixed",Effective!$D$47,IF(Effective!$C$47="variable",J18*Effective!$E$47,0)))</f>
        <v/>
      </c>
      <c r="K40" s="25">
        <f>IF(K$4=0,0,IF(Effective!$C$47="fixed",Effective!$D$47,IF(Effective!$C$47="variable",K18*Effective!$E$47,0)))</f>
        <v/>
      </c>
      <c r="L40" s="25">
        <f>IF(L$4=0,0,IF(Effective!$C$47="fixed",Effective!$D$47,IF(Effective!$C$47="variable",L18*Effective!$E$47,0)))</f>
        <v/>
      </c>
      <c r="M40" s="25">
        <f>IF(M$4=0,0,IF(Effective!$C$47="fixed",Effective!$D$47,IF(Effective!$C$47="variable",M18*Effective!$E$47,0)))</f>
        <v/>
      </c>
      <c r="N40" s="25">
        <f>IF(N$4=0,0,IF(Effective!$C$47="fixed",Effective!$D$47,IF(Effective!$C$47="variable",N18*Effective!$E$47,0)))</f>
        <v/>
      </c>
      <c r="O40" s="25">
        <f>IF(O$4=0,0,IF(Effective!$C$47="fixed",Effective!$D$47,IF(Effective!$C$47="variable",O18*Effective!$E$47,0)))</f>
        <v/>
      </c>
      <c r="P40" s="25">
        <f>IF(P$4=0,0,IF(Effective!$C$47="fixed",Effective!$D$47,IF(Effective!$C$47="variable",P18*Effective!$E$47,0)))</f>
        <v/>
      </c>
      <c r="Q40" s="25">
        <f>IF(Q$4=0,0,IF(Effective!$C$47="fixed",Effective!$D$47,IF(Effective!$C$47="variable",Q18*Effective!$E$47,0)))</f>
        <v/>
      </c>
      <c r="R40" s="25">
        <f>IF(R$4=0,0,IF(Effective!$C$47="fixed",Effective!$D$47,IF(Effective!$C$47="variable",R18*Effective!$E$47,0)))</f>
        <v/>
      </c>
      <c r="S40" s="25">
        <f>IF(S$4=0,0,IF(Effective!$C$47="fixed",Effective!$D$47,IF(Effective!$C$47="variable",S18*Effective!$E$47,0)))</f>
        <v/>
      </c>
      <c r="T40" s="25">
        <f>IF(T$4=0,0,IF(Effective!$C$47="fixed",Effective!$D$47,IF(Effective!$C$47="variable",T18*Effective!$E$47,0)))</f>
        <v/>
      </c>
      <c r="U40" s="25">
        <f>IF(U$4=0,0,IF(Effective!$C$47="fixed",Effective!$D$47,IF(Effective!$C$47="variable",U18*Effective!$E$47,0)))</f>
        <v/>
      </c>
      <c r="V40" s="25">
        <f>IF(V$4=0,0,IF(Effective!$C$47="fixed",Effective!$D$47,IF(Effective!$C$47="variable",V18*Effective!$E$47,0)))</f>
        <v/>
      </c>
      <c r="W40" s="25">
        <f>IF(W$4=0,0,IF(Effective!$C$47="fixed",Effective!$D$47,IF(Effective!$C$47="variable",W18*Effective!$E$47,0)))</f>
        <v/>
      </c>
      <c r="X40" s="25">
        <f>IF(X$4=0,0,IF(Effective!$C$47="fixed",Effective!$D$47,IF(Effective!$C$47="variable",X18*Effective!$E$47,0)))</f>
        <v/>
      </c>
      <c r="Y40" s="25">
        <f>IF(Y$4=0,0,IF(Effective!$C$47="fixed",Effective!$D$47,IF(Effective!$C$47="variable",Y18*Effective!$E$47,0)))</f>
        <v/>
      </c>
      <c r="Z40" s="25">
        <f>IF(Z$4=0,0,IF(Effective!$C$47="fixed",Effective!$D$47,IF(Effective!$C$47="variable",Z18*Effective!$E$47,0)))</f>
        <v/>
      </c>
      <c r="AA40" s="25">
        <f>IF(AA$4=0,0,IF(Effective!$C$47="fixed",Effective!$D$47,IF(Effective!$C$47="variable",AA18*Effective!$E$47,0)))</f>
        <v/>
      </c>
      <c r="AB40" s="25">
        <f>IF(AB$4=0,0,IF(Effective!$C$47="fixed",Effective!$D$47,IF(Effective!$C$47="variable",AB18*Effective!$E$47,0)))</f>
        <v/>
      </c>
      <c r="AC40" s="25">
        <f>IF(AC$4=0,0,IF(Effective!$C$47="fixed",Effective!$D$47,IF(Effective!$C$47="variable",AC18*Effective!$E$47,0)))</f>
        <v/>
      </c>
      <c r="AD40" s="25">
        <f>IF(AD$4=0,0,IF(Effective!$C$47="fixed",Effective!$D$47,IF(Effective!$C$47="variable",AD18*Effective!$E$47,0)))</f>
        <v/>
      </c>
      <c r="AE40" s="25">
        <f>IF(AE$4=0,0,IF(Effective!$C$47="fixed",Effective!$D$47,IF(Effective!$C$47="variable",AE18*Effective!$E$47,0)))</f>
        <v/>
      </c>
      <c r="AF40" s="25">
        <f>IF(AF$4=0,0,IF(Effective!$C$47="fixed",Effective!$D$47,IF(Effective!$C$47="variable",AF18*Effective!$E$47,0)))</f>
        <v/>
      </c>
      <c r="AG40" s="25">
        <f>IF(AG$4=0,0,IF(Effective!$C$47="fixed",Effective!$D$47,IF(Effective!$C$47="variable",AG18*Effective!$E$47,0)))</f>
        <v/>
      </c>
      <c r="AH40" s="25">
        <f>IF(AH$4=0,0,IF(Effective!$C$47="fixed",Effective!$D$47,IF(Effective!$C$47="variable",AH18*Effective!$E$47,0)))</f>
        <v/>
      </c>
      <c r="AI40" s="25">
        <f>IF(AI$4=0,0,IF(Effective!$C$47="fixed",Effective!$D$47,IF(Effective!$C$47="variable",AI18*Effective!$E$47,0)))</f>
        <v/>
      </c>
      <c r="AJ40" s="25">
        <f>IF(AJ$4=0,0,IF(Effective!$C$47="fixed",Effective!$D$47,IF(Effective!$C$47="variable",AJ18*Effective!$E$47,0)))</f>
        <v/>
      </c>
      <c r="AK40" s="25">
        <f>IF(AK$4=0,0,IF(Effective!$C$47="fixed",Effective!$D$47,IF(Effective!$C$47="variable",AK18*Effective!$E$47,0)))</f>
        <v/>
      </c>
      <c r="AL40" s="25">
        <f>IF(AL$4=0,0,IF(Effective!$C$47="fixed",Effective!$D$47,IF(Effective!$C$47="variable",AL18*Effective!$E$47,0)))</f>
        <v/>
      </c>
      <c r="AM40" s="25">
        <f>IF(AM$4=0,0,IF(Effective!$C$47="fixed",Effective!$D$47,IF(Effective!$C$47="variable",AM18*Effective!$E$47,0)))</f>
        <v/>
      </c>
      <c r="AN40" s="25">
        <f>IF(AN$4=0,0,IF(Effective!$C$47="fixed",Effective!$D$47,IF(Effective!$C$47="variable",AN18*Effective!$E$47,0)))</f>
        <v/>
      </c>
      <c r="AO40" s="25">
        <f>IF(AO$4=0,0,IF(Effective!$C$47="fixed",Effective!$D$47,IF(Effective!$C$47="variable",AO18*Effective!$E$47,0)))</f>
        <v/>
      </c>
      <c r="AP40" s="25">
        <f>IF(AP$4=0,0,IF(Effective!$C$47="fixed",Effective!$D$47,IF(Effective!$C$47="variable",AP18*Effective!$E$47,0)))</f>
        <v/>
      </c>
      <c r="AQ40" s="25">
        <f>IF(AQ$4=0,0,IF(Effective!$C$47="fixed",Effective!$D$47,IF(Effective!$C$47="variable",AQ18*Effective!$E$47,0)))</f>
        <v/>
      </c>
      <c r="AR40" s="25">
        <f>IF(AR$4=0,0,IF(Effective!$C$47="fixed",Effective!$D$47,IF(Effective!$C$47="variable",AR18*Effective!$E$47,0)))</f>
        <v/>
      </c>
      <c r="AS40" s="25">
        <f>IF(AS$4=0,0,IF(Effective!$C$47="fixed",Effective!$D$47,IF(Effective!$C$47="variable",AS18*Effective!$E$47,0)))</f>
        <v/>
      </c>
      <c r="AT40" s="25">
        <f>IF(AT$4=0,0,IF(Effective!$C$47="fixed",Effective!$D$47,IF(Effective!$C$47="variable",AT18*Effective!$E$47,0)))</f>
        <v/>
      </c>
      <c r="AU40" s="25">
        <f>IF(AU$4=0,0,IF(Effective!$C$47="fixed",Effective!$D$47,IF(Effective!$C$47="variable",AU18*Effective!$E$47,0)))</f>
        <v/>
      </c>
      <c r="AV40" s="25">
        <f>IF(AV$4=0,0,IF(Effective!$C$47="fixed",Effective!$D$47,IF(Effective!$C$47="variable",AV18*Effective!$E$47,0)))</f>
        <v/>
      </c>
      <c r="AW40" s="25">
        <f>IF(AW$4=0,0,IF(Effective!$C$47="fixed",Effective!$D$47,IF(Effective!$C$47="variable",AW18*Effective!$E$47,0)))</f>
        <v/>
      </c>
      <c r="AX40" s="25">
        <f>IF(AX$4=0,0,IF(Effective!$C$47="fixed",Effective!$D$47,IF(Effective!$C$47="variable",AX18*Effective!$E$47,0)))</f>
        <v/>
      </c>
      <c r="AY40" s="25">
        <f>IF(AY$4=0,0,IF(Effective!$C$47="fixed",Effective!$D$47,IF(Effective!$C$47="variable",AY18*Effective!$E$47,0)))</f>
        <v/>
      </c>
      <c r="AZ40" s="25">
        <f>IF(AZ$4=0,0,IF(Effective!$C$47="fixed",Effective!$D$47,IF(Effective!$C$47="variable",AZ18*Effective!$E$47,0)))</f>
        <v/>
      </c>
      <c r="BA40" s="25">
        <f>IF(BA$4=0,0,IF(Effective!$C$47="fixed",Effective!$D$47,IF(Effective!$C$47="variable",BA18*Effective!$E$47,0)))</f>
        <v/>
      </c>
      <c r="BB40" s="25">
        <f>IF(BB$4=0,0,IF(Effective!$C$47="fixed",Effective!$D$47,IF(Effective!$C$47="variable",BB18*Effective!$E$47,0)))</f>
        <v/>
      </c>
      <c r="BC40" s="25">
        <f>IF(BC$4=0,0,IF(Effective!$C$47="fixed",Effective!$D$47,IF(Effective!$C$47="variable",BC18*Effective!$E$47,0)))</f>
        <v/>
      </c>
      <c r="BD40" s="25">
        <f>IF(BD$4=0,0,IF(Effective!$C$47="fixed",Effective!$D$47,IF(Effective!$C$47="variable",BD18*Effective!$E$47,0)))</f>
        <v/>
      </c>
      <c r="BE40" s="25">
        <f>IF(BE$4=0,0,IF(Effective!$C$47="fixed",Effective!$D$47,IF(Effective!$C$47="variable",BE18*Effective!$E$47,0)))</f>
        <v/>
      </c>
      <c r="BF40" s="25">
        <f>IF(BF$4=0,0,IF(Effective!$C$47="fixed",Effective!$D$47,IF(Effective!$C$47="variable",BF18*Effective!$E$47,0)))</f>
        <v/>
      </c>
      <c r="BG40" s="25">
        <f>IF(BG$4=0,0,IF(Effective!$C$47="fixed",Effective!$D$47,IF(Effective!$C$47="variable",BG18*Effective!$E$47,0)))</f>
        <v/>
      </c>
      <c r="BH40" s="25">
        <f>IF(BH$4=0,0,IF(Effective!$C$47="fixed",Effective!$D$47,IF(Effective!$C$47="variable",BH18*Effective!$E$47,0)))</f>
        <v/>
      </c>
      <c r="BI40" s="25">
        <f>IF(BI$4=0,0,IF(Effective!$C$47="fixed",Effective!$D$47,IF(Effective!$C$47="variable",BI18*Effective!$E$47,0)))</f>
        <v/>
      </c>
      <c r="BJ40" s="25">
        <f>IF(BJ$4=0,0,IF(Effective!$C$47="fixed",Effective!$D$47,IF(Effective!$C$47="variable",BJ18*Effective!$E$47,0)))</f>
        <v/>
      </c>
      <c r="BK40" s="25">
        <f>IF(BK$4=0,0,IF(Effective!$C$47="fixed",Effective!$D$47,IF(Effective!$C$47="variable",BK18*Effective!$E$47,0)))</f>
        <v/>
      </c>
      <c r="BL40" s="25">
        <f>IF(BL$4=0,0,IF(Effective!$C$47="fixed",Effective!$D$47,IF(Effective!$C$47="variable",BL18*Effective!$E$47,0)))</f>
        <v/>
      </c>
      <c r="BM40" s="25">
        <f>IF(BM$4=0,0,IF(Effective!$C$47="fixed",Effective!$D$47,IF(Effective!$C$47="variable",BM18*Effective!$E$47,0)))</f>
        <v/>
      </c>
      <c r="BN40" s="25">
        <f>IF(BN$4=0,0,IF(Effective!$C$47="fixed",Effective!$D$47,IF(Effective!$C$47="variable",BN18*Effective!$E$47,0)))</f>
        <v/>
      </c>
      <c r="BO40" s="25">
        <f>IF(BO$4=0,0,IF(Effective!$C$47="fixed",Effective!$D$47,IF(Effective!$C$47="variable",BO18*Effective!$E$47,0)))</f>
        <v/>
      </c>
      <c r="BP40" s="25">
        <f>IF(BP$4=0,0,IF(Effective!$C$47="fixed",Effective!$D$47,IF(Effective!$C$47="variable",BP18*Effective!$E$47,0)))</f>
        <v/>
      </c>
      <c r="BQ40" s="25">
        <f>IF(BQ$4=0,0,IF(Effective!$C$47="fixed",Effective!$D$47,IF(Effective!$C$47="variable",BQ18*Effective!$E$47,0)))</f>
        <v/>
      </c>
      <c r="BR40" s="25">
        <f>IF(BR$4=0,0,IF(Effective!$C$47="fixed",Effective!$D$47,IF(Effective!$C$47="variable",BR18*Effective!$E$47,0)))</f>
        <v/>
      </c>
      <c r="BS40" s="25">
        <f>IF(BS$4=0,0,IF(Effective!$C$47="fixed",Effective!$D$47,IF(Effective!$C$47="variable",BS18*Effective!$E$47,0)))</f>
        <v/>
      </c>
      <c r="BT40" s="25">
        <f>IF(BT$4=0,0,IF(Effective!$C$47="fixed",Effective!$D$47,IF(Effective!$C$47="variable",BT18*Effective!$E$47,0)))</f>
        <v/>
      </c>
      <c r="BU40" s="25">
        <f>IF(BU$4=0,0,IF(Effective!$C$47="fixed",Effective!$D$47,IF(Effective!$C$47="variable",BU18*Effective!$E$47,0)))</f>
        <v/>
      </c>
      <c r="BV40" s="25">
        <f>IF(BV$4=0,0,IF(Effective!$C$47="fixed",Effective!$D$47,IF(Effective!$C$47="variable",BV18*Effective!$E$47,0)))</f>
        <v/>
      </c>
      <c r="BW40" s="25">
        <f>IF(BW$4=0,0,IF(Effective!$C$47="fixed",Effective!$D$47,IF(Effective!$C$47="variable",BW18*Effective!$E$47,0)))</f>
        <v/>
      </c>
      <c r="BX40" s="25">
        <f>IF(BX$4=0,0,IF(Effective!$C$47="fixed",Effective!$D$47,IF(Effective!$C$47="variable",BX18*Effective!$E$47,0)))</f>
        <v/>
      </c>
      <c r="BY40" s="25">
        <f>IF(BY$4=0,0,IF(Effective!$C$47="fixed",Effective!$D$47,IF(Effective!$C$47="variable",BY18*Effective!$E$47,0)))</f>
        <v/>
      </c>
      <c r="BZ40" s="25">
        <f>IF(BZ$4=0,0,IF(Effective!$C$47="fixed",Effective!$D$47,IF(Effective!$C$47="variable",BZ18*Effective!$E$47,0)))</f>
        <v/>
      </c>
      <c r="CA40" s="25">
        <f>IF(CA$4=0,0,IF(Effective!$C$47="fixed",Effective!$D$47,IF(Effective!$C$47="variable",CA18*Effective!$E$47,0)))</f>
        <v/>
      </c>
      <c r="CB40" s="25">
        <f>IF(CB$4=0,0,IF(Effective!$C$47="fixed",Effective!$D$47,IF(Effective!$C$47="variable",CB18*Effective!$E$47,0)))</f>
        <v/>
      </c>
      <c r="CC40" s="25">
        <f>IF(CC$4=0,0,IF(Effective!$C$47="fixed",Effective!$D$47,IF(Effective!$C$47="variable",CC18*Effective!$E$47,0)))</f>
        <v/>
      </c>
      <c r="CD40" s="25">
        <f>IF(CD$4=0,0,IF(Effective!$C$47="fixed",Effective!$D$47,IF(Effective!$C$47="variable",CD18*Effective!$E$47,0)))</f>
        <v/>
      </c>
      <c r="CE40" s="25">
        <f>IF(CE$4=0,0,IF(Effective!$C$47="fixed",Effective!$D$47,IF(Effective!$C$47="variable",CE18*Effective!$E$47,0)))</f>
        <v/>
      </c>
      <c r="CF40" s="25">
        <f>IF(CF$4=0,0,IF(Effective!$C$47="fixed",Effective!$D$47,IF(Effective!$C$47="variable",CF18*Effective!$E$47,0)))</f>
        <v/>
      </c>
      <c r="CG40" s="25">
        <f>IF(CG$4=0,0,IF(Effective!$C$47="fixed",Effective!$D$47,IF(Effective!$C$47="variable",CG18*Effective!$E$47,0)))</f>
        <v/>
      </c>
      <c r="CH40" s="25">
        <f>IF(CH$4=0,0,IF(Effective!$C$47="fixed",Effective!$D$47,IF(Effective!$C$47="variable",CH18*Effective!$E$47,0)))</f>
        <v/>
      </c>
      <c r="CI40" s="25">
        <f>IF(CI$4=0,0,IF(Effective!$C$47="fixed",Effective!$D$47,IF(Effective!$C$47="variable",CI18*Effective!$E$47,0)))</f>
        <v/>
      </c>
      <c r="CJ40" s="25">
        <f>IF(CJ$4=0,0,IF(Effective!$C$47="fixed",Effective!$D$47,IF(Effective!$C$47="variable",CJ18*Effective!$E$47,0)))</f>
        <v/>
      </c>
      <c r="CK40" s="25">
        <f>IF(CK$4=0,0,IF(Effective!$C$47="fixed",Effective!$D$47,IF(Effective!$C$47="variable",CK18*Effective!$E$47,0)))</f>
        <v/>
      </c>
      <c r="CL40" s="25">
        <f>IF(CL$4=0,0,IF(Effective!$C$47="fixed",Effective!$D$47,IF(Effective!$C$47="variable",CL18*Effective!$E$47,0)))</f>
        <v/>
      </c>
      <c r="CM40" s="25">
        <f>IF(CM$4=0,0,IF(Effective!$C$47="fixed",Effective!$D$47,IF(Effective!$C$47="variable",CM18*Effective!$E$47,0)))</f>
        <v/>
      </c>
      <c r="CN40" s="25">
        <f>IF(CN$4=0,0,IF(Effective!$C$47="fixed",Effective!$D$47,IF(Effective!$C$47="variable",CN18*Effective!$E$47,0)))</f>
        <v/>
      </c>
      <c r="CO40" s="25">
        <f>IF(CO$4=0,0,IF(Effective!$C$47="fixed",Effective!$D$47,IF(Effective!$C$47="variable",CO18*Effective!$E$47,0)))</f>
        <v/>
      </c>
      <c r="CP40" s="25">
        <f>IF(CP$4=0,0,IF(Effective!$C$47="fixed",Effective!$D$47,IF(Effective!$C$47="variable",CP18*Effective!$E$47,0)))</f>
        <v/>
      </c>
      <c r="CQ40" s="25">
        <f>IF(CQ$4=0,0,IF(Effective!$C$47="fixed",Effective!$D$47,IF(Effective!$C$47="variable",CQ18*Effective!$E$47,0)))</f>
        <v/>
      </c>
      <c r="CR40" s="25">
        <f>IF(CR$4=0,0,IF(Effective!$C$47="fixed",Effective!$D$47,IF(Effective!$C$47="variable",CR18*Effective!$E$47,0)))</f>
        <v/>
      </c>
      <c r="CS40" s="25">
        <f>IF(CS$4=0,0,IF(Effective!$C$47="fixed",Effective!$D$47,IF(Effective!$C$47="variable",CS18*Effective!$E$47,0)))</f>
        <v/>
      </c>
      <c r="CT40" s="25">
        <f>IF(CT$4=0,0,IF(Effective!$C$47="fixed",Effective!$D$47,IF(Effective!$C$47="variable",CT18*Effective!$E$47,0)))</f>
        <v/>
      </c>
      <c r="CU40" s="25">
        <f>IF(CU$4=0,0,IF(Effective!$C$47="fixed",Effective!$D$47,IF(Effective!$C$47="variable",CU18*Effective!$E$47,0)))</f>
        <v/>
      </c>
      <c r="CV40" s="25">
        <f>IF(CV$4=0,0,IF(Effective!$C$47="fixed",Effective!$D$47,IF(Effective!$C$47="variable",CV18*Effective!$E$47,0)))</f>
        <v/>
      </c>
      <c r="CW40" s="25">
        <f>IF(CW$4=0,0,IF(Effective!$C$47="fixed",Effective!$D$47,IF(Effective!$C$47="variable",CW18*Effective!$E$47,0)))</f>
        <v/>
      </c>
      <c r="CX40" s="25">
        <f>IF(CX$4=0,0,IF(Effective!$C$47="fixed",Effective!$D$47,IF(Effective!$C$47="variable",CX18*Effective!$E$47,0)))</f>
        <v/>
      </c>
      <c r="CY40" s="25">
        <f>IF(CY$4=0,0,IF(Effective!$C$47="fixed",Effective!$D$47,IF(Effective!$C$47="variable",CY18*Effective!$E$47,0)))</f>
        <v/>
      </c>
      <c r="CZ40" s="25">
        <f>IF(CZ$4=0,0,IF(Effective!$C$47="fixed",Effective!$D$47,IF(Effective!$C$47="variable",CZ18*Effective!$E$47,0)))</f>
        <v/>
      </c>
      <c r="DA40" s="25">
        <f>IF(DA$4=0,0,IF(Effective!$C$47="fixed",Effective!$D$47,IF(Effective!$C$47="variable",DA18*Effective!$E$47,0)))</f>
        <v/>
      </c>
      <c r="DB40" s="25">
        <f>IF(DB$4=0,0,IF(Effective!$C$47="fixed",Effective!$D$47,IF(Effective!$C$47="variable",DB18*Effective!$E$47,0)))</f>
        <v/>
      </c>
      <c r="DC40" s="25">
        <f>IF(DC$4=0,0,IF(Effective!$C$47="fixed",Effective!$D$47,IF(Effective!$C$47="variable",DC18*Effective!$E$47,0)))</f>
        <v/>
      </c>
      <c r="DD40" s="25">
        <f>IF(DD$4=0,0,IF(Effective!$C$47="fixed",Effective!$D$47,IF(Effective!$C$47="variable",DD18*Effective!$E$47,0)))</f>
        <v/>
      </c>
      <c r="DE40" s="25">
        <f>IF(DE$4=0,0,IF(Effective!$C$47="fixed",Effective!$D$47,IF(Effective!$C$47="variable",DE18*Effective!$E$47,0)))</f>
        <v/>
      </c>
      <c r="DF40" s="25">
        <f>IF(DF$4=0,0,IF(Effective!$C$47="fixed",Effective!$D$47,IF(Effective!$C$47="variable",DF18*Effective!$E$47,0)))</f>
        <v/>
      </c>
      <c r="DG40" s="25">
        <f>IF(DG$4=0,0,IF(Effective!$C$47="fixed",Effective!$D$47,IF(Effective!$C$47="variable",DG18*Effective!$E$47,0)))</f>
        <v/>
      </c>
      <c r="DH40" s="25">
        <f>IF(DH$4=0,0,IF(Effective!$C$47="fixed",Effective!$D$47,IF(Effective!$C$47="variable",DH18*Effective!$E$47,0)))</f>
        <v/>
      </c>
      <c r="DI40" s="25">
        <f>IF(DI$4=0,0,IF(Effective!$C$47="fixed",Effective!$D$47,IF(Effective!$C$47="variable",DI18*Effective!$E$47,0)))</f>
        <v/>
      </c>
      <c r="DJ40" s="25">
        <f>IF(DJ$4=0,0,IF(Effective!$C$47="fixed",Effective!$D$47,IF(Effective!$C$47="variable",DJ18*Effective!$E$47,0)))</f>
        <v/>
      </c>
      <c r="DK40" s="25">
        <f>IF(DK$4=0,0,IF(Effective!$C$47="fixed",Effective!$D$47,IF(Effective!$C$47="variable",DK18*Effective!$E$47,0)))</f>
        <v/>
      </c>
      <c r="DL40" s="25">
        <f>IF(DL$4=0,0,IF(Effective!$C$47="fixed",Effective!$D$47,IF(Effective!$C$47="variable",DL18*Effective!$E$47,0)))</f>
        <v/>
      </c>
      <c r="DM40" s="25">
        <f>IF(DM$4=0,0,IF(Effective!$C$47="fixed",Effective!$D$47,IF(Effective!$C$47="variable",DM18*Effective!$E$47,0)))</f>
        <v/>
      </c>
      <c r="DN40" s="25">
        <f>IF(DN$4=0,0,IF(Effective!$C$47="fixed",Effective!$D$47,IF(Effective!$C$47="variable",DN18*Effective!$E$47,0)))</f>
        <v/>
      </c>
      <c r="DO40" s="25">
        <f>IF(DO$4=0,0,IF(Effective!$C$47="fixed",Effective!$D$47,IF(Effective!$C$47="variable",DO18*Effective!$E$47,0)))</f>
        <v/>
      </c>
      <c r="DP40" s="25">
        <f>IF(DP$4=0,0,IF(Effective!$C$47="fixed",Effective!$D$47,IF(Effective!$C$47="variable",DP18*Effective!$E$47,0)))</f>
        <v/>
      </c>
      <c r="DQ40" s="25">
        <f>IF(DQ$4=0,0,IF(Effective!$C$47="fixed",Effective!$D$47,IF(Effective!$C$47="variable",DQ18*Effective!$E$47,0)))</f>
        <v/>
      </c>
      <c r="DR40" s="25">
        <f>IF(DR$4=0,0,IF(Effective!$C$47="fixed",Effective!$D$47,IF(Effective!$C$47="variable",DR18*Effective!$E$47,0)))</f>
        <v/>
      </c>
    </row>
    <row r="41">
      <c r="A41" t="inlineStr">
        <is>
          <t>opex_13</t>
        </is>
      </c>
      <c r="B41" t="inlineStr">
        <is>
          <t>opex idx 12</t>
        </is>
      </c>
      <c r="C41" s="25">
        <f>IF(C$4=0,0,IF(Effective!$C$48="fixed",Effective!$D$48,IF(Effective!$C$48="variable",C18*Effective!$E$48,0)))</f>
        <v/>
      </c>
      <c r="D41" s="25">
        <f>IF(D$4=0,0,IF(Effective!$C$48="fixed",Effective!$D$48,IF(Effective!$C$48="variable",D18*Effective!$E$48,0)))</f>
        <v/>
      </c>
      <c r="E41" s="25">
        <f>IF(E$4=0,0,IF(Effective!$C$48="fixed",Effective!$D$48,IF(Effective!$C$48="variable",E18*Effective!$E$48,0)))</f>
        <v/>
      </c>
      <c r="F41" s="25">
        <f>IF(F$4=0,0,IF(Effective!$C$48="fixed",Effective!$D$48,IF(Effective!$C$48="variable",F18*Effective!$E$48,0)))</f>
        <v/>
      </c>
      <c r="G41" s="25">
        <f>IF(G$4=0,0,IF(Effective!$C$48="fixed",Effective!$D$48,IF(Effective!$C$48="variable",G18*Effective!$E$48,0)))</f>
        <v/>
      </c>
      <c r="H41" s="25">
        <f>IF(H$4=0,0,IF(Effective!$C$48="fixed",Effective!$D$48,IF(Effective!$C$48="variable",H18*Effective!$E$48,0)))</f>
        <v/>
      </c>
      <c r="I41" s="25">
        <f>IF(I$4=0,0,IF(Effective!$C$48="fixed",Effective!$D$48,IF(Effective!$C$48="variable",I18*Effective!$E$48,0)))</f>
        <v/>
      </c>
      <c r="J41" s="25">
        <f>IF(J$4=0,0,IF(Effective!$C$48="fixed",Effective!$D$48,IF(Effective!$C$48="variable",J18*Effective!$E$48,0)))</f>
        <v/>
      </c>
      <c r="K41" s="25">
        <f>IF(K$4=0,0,IF(Effective!$C$48="fixed",Effective!$D$48,IF(Effective!$C$48="variable",K18*Effective!$E$48,0)))</f>
        <v/>
      </c>
      <c r="L41" s="25">
        <f>IF(L$4=0,0,IF(Effective!$C$48="fixed",Effective!$D$48,IF(Effective!$C$48="variable",L18*Effective!$E$48,0)))</f>
        <v/>
      </c>
      <c r="M41" s="25">
        <f>IF(M$4=0,0,IF(Effective!$C$48="fixed",Effective!$D$48,IF(Effective!$C$48="variable",M18*Effective!$E$48,0)))</f>
        <v/>
      </c>
      <c r="N41" s="25">
        <f>IF(N$4=0,0,IF(Effective!$C$48="fixed",Effective!$D$48,IF(Effective!$C$48="variable",N18*Effective!$E$48,0)))</f>
        <v/>
      </c>
      <c r="O41" s="25">
        <f>IF(O$4=0,0,IF(Effective!$C$48="fixed",Effective!$D$48,IF(Effective!$C$48="variable",O18*Effective!$E$48,0)))</f>
        <v/>
      </c>
      <c r="P41" s="25">
        <f>IF(P$4=0,0,IF(Effective!$C$48="fixed",Effective!$D$48,IF(Effective!$C$48="variable",P18*Effective!$E$48,0)))</f>
        <v/>
      </c>
      <c r="Q41" s="25">
        <f>IF(Q$4=0,0,IF(Effective!$C$48="fixed",Effective!$D$48,IF(Effective!$C$48="variable",Q18*Effective!$E$48,0)))</f>
        <v/>
      </c>
      <c r="R41" s="25">
        <f>IF(R$4=0,0,IF(Effective!$C$48="fixed",Effective!$D$48,IF(Effective!$C$48="variable",R18*Effective!$E$48,0)))</f>
        <v/>
      </c>
      <c r="S41" s="25">
        <f>IF(S$4=0,0,IF(Effective!$C$48="fixed",Effective!$D$48,IF(Effective!$C$48="variable",S18*Effective!$E$48,0)))</f>
        <v/>
      </c>
      <c r="T41" s="25">
        <f>IF(T$4=0,0,IF(Effective!$C$48="fixed",Effective!$D$48,IF(Effective!$C$48="variable",T18*Effective!$E$48,0)))</f>
        <v/>
      </c>
      <c r="U41" s="25">
        <f>IF(U$4=0,0,IF(Effective!$C$48="fixed",Effective!$D$48,IF(Effective!$C$48="variable",U18*Effective!$E$48,0)))</f>
        <v/>
      </c>
      <c r="V41" s="25">
        <f>IF(V$4=0,0,IF(Effective!$C$48="fixed",Effective!$D$48,IF(Effective!$C$48="variable",V18*Effective!$E$48,0)))</f>
        <v/>
      </c>
      <c r="W41" s="25">
        <f>IF(W$4=0,0,IF(Effective!$C$48="fixed",Effective!$D$48,IF(Effective!$C$48="variable",W18*Effective!$E$48,0)))</f>
        <v/>
      </c>
      <c r="X41" s="25">
        <f>IF(X$4=0,0,IF(Effective!$C$48="fixed",Effective!$D$48,IF(Effective!$C$48="variable",X18*Effective!$E$48,0)))</f>
        <v/>
      </c>
      <c r="Y41" s="25">
        <f>IF(Y$4=0,0,IF(Effective!$C$48="fixed",Effective!$D$48,IF(Effective!$C$48="variable",Y18*Effective!$E$48,0)))</f>
        <v/>
      </c>
      <c r="Z41" s="25">
        <f>IF(Z$4=0,0,IF(Effective!$C$48="fixed",Effective!$D$48,IF(Effective!$C$48="variable",Z18*Effective!$E$48,0)))</f>
        <v/>
      </c>
      <c r="AA41" s="25">
        <f>IF(AA$4=0,0,IF(Effective!$C$48="fixed",Effective!$D$48,IF(Effective!$C$48="variable",AA18*Effective!$E$48,0)))</f>
        <v/>
      </c>
      <c r="AB41" s="25">
        <f>IF(AB$4=0,0,IF(Effective!$C$48="fixed",Effective!$D$48,IF(Effective!$C$48="variable",AB18*Effective!$E$48,0)))</f>
        <v/>
      </c>
      <c r="AC41" s="25">
        <f>IF(AC$4=0,0,IF(Effective!$C$48="fixed",Effective!$D$48,IF(Effective!$C$48="variable",AC18*Effective!$E$48,0)))</f>
        <v/>
      </c>
      <c r="AD41" s="25">
        <f>IF(AD$4=0,0,IF(Effective!$C$48="fixed",Effective!$D$48,IF(Effective!$C$48="variable",AD18*Effective!$E$48,0)))</f>
        <v/>
      </c>
      <c r="AE41" s="25">
        <f>IF(AE$4=0,0,IF(Effective!$C$48="fixed",Effective!$D$48,IF(Effective!$C$48="variable",AE18*Effective!$E$48,0)))</f>
        <v/>
      </c>
      <c r="AF41" s="25">
        <f>IF(AF$4=0,0,IF(Effective!$C$48="fixed",Effective!$D$48,IF(Effective!$C$48="variable",AF18*Effective!$E$48,0)))</f>
        <v/>
      </c>
      <c r="AG41" s="25">
        <f>IF(AG$4=0,0,IF(Effective!$C$48="fixed",Effective!$D$48,IF(Effective!$C$48="variable",AG18*Effective!$E$48,0)))</f>
        <v/>
      </c>
      <c r="AH41" s="25">
        <f>IF(AH$4=0,0,IF(Effective!$C$48="fixed",Effective!$D$48,IF(Effective!$C$48="variable",AH18*Effective!$E$48,0)))</f>
        <v/>
      </c>
      <c r="AI41" s="25">
        <f>IF(AI$4=0,0,IF(Effective!$C$48="fixed",Effective!$D$48,IF(Effective!$C$48="variable",AI18*Effective!$E$48,0)))</f>
        <v/>
      </c>
      <c r="AJ41" s="25">
        <f>IF(AJ$4=0,0,IF(Effective!$C$48="fixed",Effective!$D$48,IF(Effective!$C$48="variable",AJ18*Effective!$E$48,0)))</f>
        <v/>
      </c>
      <c r="AK41" s="25">
        <f>IF(AK$4=0,0,IF(Effective!$C$48="fixed",Effective!$D$48,IF(Effective!$C$48="variable",AK18*Effective!$E$48,0)))</f>
        <v/>
      </c>
      <c r="AL41" s="25">
        <f>IF(AL$4=0,0,IF(Effective!$C$48="fixed",Effective!$D$48,IF(Effective!$C$48="variable",AL18*Effective!$E$48,0)))</f>
        <v/>
      </c>
      <c r="AM41" s="25">
        <f>IF(AM$4=0,0,IF(Effective!$C$48="fixed",Effective!$D$48,IF(Effective!$C$48="variable",AM18*Effective!$E$48,0)))</f>
        <v/>
      </c>
      <c r="AN41" s="25">
        <f>IF(AN$4=0,0,IF(Effective!$C$48="fixed",Effective!$D$48,IF(Effective!$C$48="variable",AN18*Effective!$E$48,0)))</f>
        <v/>
      </c>
      <c r="AO41" s="25">
        <f>IF(AO$4=0,0,IF(Effective!$C$48="fixed",Effective!$D$48,IF(Effective!$C$48="variable",AO18*Effective!$E$48,0)))</f>
        <v/>
      </c>
      <c r="AP41" s="25">
        <f>IF(AP$4=0,0,IF(Effective!$C$48="fixed",Effective!$D$48,IF(Effective!$C$48="variable",AP18*Effective!$E$48,0)))</f>
        <v/>
      </c>
      <c r="AQ41" s="25">
        <f>IF(AQ$4=0,0,IF(Effective!$C$48="fixed",Effective!$D$48,IF(Effective!$C$48="variable",AQ18*Effective!$E$48,0)))</f>
        <v/>
      </c>
      <c r="AR41" s="25">
        <f>IF(AR$4=0,0,IF(Effective!$C$48="fixed",Effective!$D$48,IF(Effective!$C$48="variable",AR18*Effective!$E$48,0)))</f>
        <v/>
      </c>
      <c r="AS41" s="25">
        <f>IF(AS$4=0,0,IF(Effective!$C$48="fixed",Effective!$D$48,IF(Effective!$C$48="variable",AS18*Effective!$E$48,0)))</f>
        <v/>
      </c>
      <c r="AT41" s="25">
        <f>IF(AT$4=0,0,IF(Effective!$C$48="fixed",Effective!$D$48,IF(Effective!$C$48="variable",AT18*Effective!$E$48,0)))</f>
        <v/>
      </c>
      <c r="AU41" s="25">
        <f>IF(AU$4=0,0,IF(Effective!$C$48="fixed",Effective!$D$48,IF(Effective!$C$48="variable",AU18*Effective!$E$48,0)))</f>
        <v/>
      </c>
      <c r="AV41" s="25">
        <f>IF(AV$4=0,0,IF(Effective!$C$48="fixed",Effective!$D$48,IF(Effective!$C$48="variable",AV18*Effective!$E$48,0)))</f>
        <v/>
      </c>
      <c r="AW41" s="25">
        <f>IF(AW$4=0,0,IF(Effective!$C$48="fixed",Effective!$D$48,IF(Effective!$C$48="variable",AW18*Effective!$E$48,0)))</f>
        <v/>
      </c>
      <c r="AX41" s="25">
        <f>IF(AX$4=0,0,IF(Effective!$C$48="fixed",Effective!$D$48,IF(Effective!$C$48="variable",AX18*Effective!$E$48,0)))</f>
        <v/>
      </c>
      <c r="AY41" s="25">
        <f>IF(AY$4=0,0,IF(Effective!$C$48="fixed",Effective!$D$48,IF(Effective!$C$48="variable",AY18*Effective!$E$48,0)))</f>
        <v/>
      </c>
      <c r="AZ41" s="25">
        <f>IF(AZ$4=0,0,IF(Effective!$C$48="fixed",Effective!$D$48,IF(Effective!$C$48="variable",AZ18*Effective!$E$48,0)))</f>
        <v/>
      </c>
      <c r="BA41" s="25">
        <f>IF(BA$4=0,0,IF(Effective!$C$48="fixed",Effective!$D$48,IF(Effective!$C$48="variable",BA18*Effective!$E$48,0)))</f>
        <v/>
      </c>
      <c r="BB41" s="25">
        <f>IF(BB$4=0,0,IF(Effective!$C$48="fixed",Effective!$D$48,IF(Effective!$C$48="variable",BB18*Effective!$E$48,0)))</f>
        <v/>
      </c>
      <c r="BC41" s="25">
        <f>IF(BC$4=0,0,IF(Effective!$C$48="fixed",Effective!$D$48,IF(Effective!$C$48="variable",BC18*Effective!$E$48,0)))</f>
        <v/>
      </c>
      <c r="BD41" s="25">
        <f>IF(BD$4=0,0,IF(Effective!$C$48="fixed",Effective!$D$48,IF(Effective!$C$48="variable",BD18*Effective!$E$48,0)))</f>
        <v/>
      </c>
      <c r="BE41" s="25">
        <f>IF(BE$4=0,0,IF(Effective!$C$48="fixed",Effective!$D$48,IF(Effective!$C$48="variable",BE18*Effective!$E$48,0)))</f>
        <v/>
      </c>
      <c r="BF41" s="25">
        <f>IF(BF$4=0,0,IF(Effective!$C$48="fixed",Effective!$D$48,IF(Effective!$C$48="variable",BF18*Effective!$E$48,0)))</f>
        <v/>
      </c>
      <c r="BG41" s="25">
        <f>IF(BG$4=0,0,IF(Effective!$C$48="fixed",Effective!$D$48,IF(Effective!$C$48="variable",BG18*Effective!$E$48,0)))</f>
        <v/>
      </c>
      <c r="BH41" s="25">
        <f>IF(BH$4=0,0,IF(Effective!$C$48="fixed",Effective!$D$48,IF(Effective!$C$48="variable",BH18*Effective!$E$48,0)))</f>
        <v/>
      </c>
      <c r="BI41" s="25">
        <f>IF(BI$4=0,0,IF(Effective!$C$48="fixed",Effective!$D$48,IF(Effective!$C$48="variable",BI18*Effective!$E$48,0)))</f>
        <v/>
      </c>
      <c r="BJ41" s="25">
        <f>IF(BJ$4=0,0,IF(Effective!$C$48="fixed",Effective!$D$48,IF(Effective!$C$48="variable",BJ18*Effective!$E$48,0)))</f>
        <v/>
      </c>
      <c r="BK41" s="25">
        <f>IF(BK$4=0,0,IF(Effective!$C$48="fixed",Effective!$D$48,IF(Effective!$C$48="variable",BK18*Effective!$E$48,0)))</f>
        <v/>
      </c>
      <c r="BL41" s="25">
        <f>IF(BL$4=0,0,IF(Effective!$C$48="fixed",Effective!$D$48,IF(Effective!$C$48="variable",BL18*Effective!$E$48,0)))</f>
        <v/>
      </c>
      <c r="BM41" s="25">
        <f>IF(BM$4=0,0,IF(Effective!$C$48="fixed",Effective!$D$48,IF(Effective!$C$48="variable",BM18*Effective!$E$48,0)))</f>
        <v/>
      </c>
      <c r="BN41" s="25">
        <f>IF(BN$4=0,0,IF(Effective!$C$48="fixed",Effective!$D$48,IF(Effective!$C$48="variable",BN18*Effective!$E$48,0)))</f>
        <v/>
      </c>
      <c r="BO41" s="25">
        <f>IF(BO$4=0,0,IF(Effective!$C$48="fixed",Effective!$D$48,IF(Effective!$C$48="variable",BO18*Effective!$E$48,0)))</f>
        <v/>
      </c>
      <c r="BP41" s="25">
        <f>IF(BP$4=0,0,IF(Effective!$C$48="fixed",Effective!$D$48,IF(Effective!$C$48="variable",BP18*Effective!$E$48,0)))</f>
        <v/>
      </c>
      <c r="BQ41" s="25">
        <f>IF(BQ$4=0,0,IF(Effective!$C$48="fixed",Effective!$D$48,IF(Effective!$C$48="variable",BQ18*Effective!$E$48,0)))</f>
        <v/>
      </c>
      <c r="BR41" s="25">
        <f>IF(BR$4=0,0,IF(Effective!$C$48="fixed",Effective!$D$48,IF(Effective!$C$48="variable",BR18*Effective!$E$48,0)))</f>
        <v/>
      </c>
      <c r="BS41" s="25">
        <f>IF(BS$4=0,0,IF(Effective!$C$48="fixed",Effective!$D$48,IF(Effective!$C$48="variable",BS18*Effective!$E$48,0)))</f>
        <v/>
      </c>
      <c r="BT41" s="25">
        <f>IF(BT$4=0,0,IF(Effective!$C$48="fixed",Effective!$D$48,IF(Effective!$C$48="variable",BT18*Effective!$E$48,0)))</f>
        <v/>
      </c>
      <c r="BU41" s="25">
        <f>IF(BU$4=0,0,IF(Effective!$C$48="fixed",Effective!$D$48,IF(Effective!$C$48="variable",BU18*Effective!$E$48,0)))</f>
        <v/>
      </c>
      <c r="BV41" s="25">
        <f>IF(BV$4=0,0,IF(Effective!$C$48="fixed",Effective!$D$48,IF(Effective!$C$48="variable",BV18*Effective!$E$48,0)))</f>
        <v/>
      </c>
      <c r="BW41" s="25">
        <f>IF(BW$4=0,0,IF(Effective!$C$48="fixed",Effective!$D$48,IF(Effective!$C$48="variable",BW18*Effective!$E$48,0)))</f>
        <v/>
      </c>
      <c r="BX41" s="25">
        <f>IF(BX$4=0,0,IF(Effective!$C$48="fixed",Effective!$D$48,IF(Effective!$C$48="variable",BX18*Effective!$E$48,0)))</f>
        <v/>
      </c>
      <c r="BY41" s="25">
        <f>IF(BY$4=0,0,IF(Effective!$C$48="fixed",Effective!$D$48,IF(Effective!$C$48="variable",BY18*Effective!$E$48,0)))</f>
        <v/>
      </c>
      <c r="BZ41" s="25">
        <f>IF(BZ$4=0,0,IF(Effective!$C$48="fixed",Effective!$D$48,IF(Effective!$C$48="variable",BZ18*Effective!$E$48,0)))</f>
        <v/>
      </c>
      <c r="CA41" s="25">
        <f>IF(CA$4=0,0,IF(Effective!$C$48="fixed",Effective!$D$48,IF(Effective!$C$48="variable",CA18*Effective!$E$48,0)))</f>
        <v/>
      </c>
      <c r="CB41" s="25">
        <f>IF(CB$4=0,0,IF(Effective!$C$48="fixed",Effective!$D$48,IF(Effective!$C$48="variable",CB18*Effective!$E$48,0)))</f>
        <v/>
      </c>
      <c r="CC41" s="25">
        <f>IF(CC$4=0,0,IF(Effective!$C$48="fixed",Effective!$D$48,IF(Effective!$C$48="variable",CC18*Effective!$E$48,0)))</f>
        <v/>
      </c>
      <c r="CD41" s="25">
        <f>IF(CD$4=0,0,IF(Effective!$C$48="fixed",Effective!$D$48,IF(Effective!$C$48="variable",CD18*Effective!$E$48,0)))</f>
        <v/>
      </c>
      <c r="CE41" s="25">
        <f>IF(CE$4=0,0,IF(Effective!$C$48="fixed",Effective!$D$48,IF(Effective!$C$48="variable",CE18*Effective!$E$48,0)))</f>
        <v/>
      </c>
      <c r="CF41" s="25">
        <f>IF(CF$4=0,0,IF(Effective!$C$48="fixed",Effective!$D$48,IF(Effective!$C$48="variable",CF18*Effective!$E$48,0)))</f>
        <v/>
      </c>
      <c r="CG41" s="25">
        <f>IF(CG$4=0,0,IF(Effective!$C$48="fixed",Effective!$D$48,IF(Effective!$C$48="variable",CG18*Effective!$E$48,0)))</f>
        <v/>
      </c>
      <c r="CH41" s="25">
        <f>IF(CH$4=0,0,IF(Effective!$C$48="fixed",Effective!$D$48,IF(Effective!$C$48="variable",CH18*Effective!$E$48,0)))</f>
        <v/>
      </c>
      <c r="CI41" s="25">
        <f>IF(CI$4=0,0,IF(Effective!$C$48="fixed",Effective!$D$48,IF(Effective!$C$48="variable",CI18*Effective!$E$48,0)))</f>
        <v/>
      </c>
      <c r="CJ41" s="25">
        <f>IF(CJ$4=0,0,IF(Effective!$C$48="fixed",Effective!$D$48,IF(Effective!$C$48="variable",CJ18*Effective!$E$48,0)))</f>
        <v/>
      </c>
      <c r="CK41" s="25">
        <f>IF(CK$4=0,0,IF(Effective!$C$48="fixed",Effective!$D$48,IF(Effective!$C$48="variable",CK18*Effective!$E$48,0)))</f>
        <v/>
      </c>
      <c r="CL41" s="25">
        <f>IF(CL$4=0,0,IF(Effective!$C$48="fixed",Effective!$D$48,IF(Effective!$C$48="variable",CL18*Effective!$E$48,0)))</f>
        <v/>
      </c>
      <c r="CM41" s="25">
        <f>IF(CM$4=0,0,IF(Effective!$C$48="fixed",Effective!$D$48,IF(Effective!$C$48="variable",CM18*Effective!$E$48,0)))</f>
        <v/>
      </c>
      <c r="CN41" s="25">
        <f>IF(CN$4=0,0,IF(Effective!$C$48="fixed",Effective!$D$48,IF(Effective!$C$48="variable",CN18*Effective!$E$48,0)))</f>
        <v/>
      </c>
      <c r="CO41" s="25">
        <f>IF(CO$4=0,0,IF(Effective!$C$48="fixed",Effective!$D$48,IF(Effective!$C$48="variable",CO18*Effective!$E$48,0)))</f>
        <v/>
      </c>
      <c r="CP41" s="25">
        <f>IF(CP$4=0,0,IF(Effective!$C$48="fixed",Effective!$D$48,IF(Effective!$C$48="variable",CP18*Effective!$E$48,0)))</f>
        <v/>
      </c>
      <c r="CQ41" s="25">
        <f>IF(CQ$4=0,0,IF(Effective!$C$48="fixed",Effective!$D$48,IF(Effective!$C$48="variable",CQ18*Effective!$E$48,0)))</f>
        <v/>
      </c>
      <c r="CR41" s="25">
        <f>IF(CR$4=0,0,IF(Effective!$C$48="fixed",Effective!$D$48,IF(Effective!$C$48="variable",CR18*Effective!$E$48,0)))</f>
        <v/>
      </c>
      <c r="CS41" s="25">
        <f>IF(CS$4=0,0,IF(Effective!$C$48="fixed",Effective!$D$48,IF(Effective!$C$48="variable",CS18*Effective!$E$48,0)))</f>
        <v/>
      </c>
      <c r="CT41" s="25">
        <f>IF(CT$4=0,0,IF(Effective!$C$48="fixed",Effective!$D$48,IF(Effective!$C$48="variable",CT18*Effective!$E$48,0)))</f>
        <v/>
      </c>
      <c r="CU41" s="25">
        <f>IF(CU$4=0,0,IF(Effective!$C$48="fixed",Effective!$D$48,IF(Effective!$C$48="variable",CU18*Effective!$E$48,0)))</f>
        <v/>
      </c>
      <c r="CV41" s="25">
        <f>IF(CV$4=0,0,IF(Effective!$C$48="fixed",Effective!$D$48,IF(Effective!$C$48="variable",CV18*Effective!$E$48,0)))</f>
        <v/>
      </c>
      <c r="CW41" s="25">
        <f>IF(CW$4=0,0,IF(Effective!$C$48="fixed",Effective!$D$48,IF(Effective!$C$48="variable",CW18*Effective!$E$48,0)))</f>
        <v/>
      </c>
      <c r="CX41" s="25">
        <f>IF(CX$4=0,0,IF(Effective!$C$48="fixed",Effective!$D$48,IF(Effective!$C$48="variable",CX18*Effective!$E$48,0)))</f>
        <v/>
      </c>
      <c r="CY41" s="25">
        <f>IF(CY$4=0,0,IF(Effective!$C$48="fixed",Effective!$D$48,IF(Effective!$C$48="variable",CY18*Effective!$E$48,0)))</f>
        <v/>
      </c>
      <c r="CZ41" s="25">
        <f>IF(CZ$4=0,0,IF(Effective!$C$48="fixed",Effective!$D$48,IF(Effective!$C$48="variable",CZ18*Effective!$E$48,0)))</f>
        <v/>
      </c>
      <c r="DA41" s="25">
        <f>IF(DA$4=0,0,IF(Effective!$C$48="fixed",Effective!$D$48,IF(Effective!$C$48="variable",DA18*Effective!$E$48,0)))</f>
        <v/>
      </c>
      <c r="DB41" s="25">
        <f>IF(DB$4=0,0,IF(Effective!$C$48="fixed",Effective!$D$48,IF(Effective!$C$48="variable",DB18*Effective!$E$48,0)))</f>
        <v/>
      </c>
      <c r="DC41" s="25">
        <f>IF(DC$4=0,0,IF(Effective!$C$48="fixed",Effective!$D$48,IF(Effective!$C$48="variable",DC18*Effective!$E$48,0)))</f>
        <v/>
      </c>
      <c r="DD41" s="25">
        <f>IF(DD$4=0,0,IF(Effective!$C$48="fixed",Effective!$D$48,IF(Effective!$C$48="variable",DD18*Effective!$E$48,0)))</f>
        <v/>
      </c>
      <c r="DE41" s="25">
        <f>IF(DE$4=0,0,IF(Effective!$C$48="fixed",Effective!$D$48,IF(Effective!$C$48="variable",DE18*Effective!$E$48,0)))</f>
        <v/>
      </c>
      <c r="DF41" s="25">
        <f>IF(DF$4=0,0,IF(Effective!$C$48="fixed",Effective!$D$48,IF(Effective!$C$48="variable",DF18*Effective!$E$48,0)))</f>
        <v/>
      </c>
      <c r="DG41" s="25">
        <f>IF(DG$4=0,0,IF(Effective!$C$48="fixed",Effective!$D$48,IF(Effective!$C$48="variable",DG18*Effective!$E$48,0)))</f>
        <v/>
      </c>
      <c r="DH41" s="25">
        <f>IF(DH$4=0,0,IF(Effective!$C$48="fixed",Effective!$D$48,IF(Effective!$C$48="variable",DH18*Effective!$E$48,0)))</f>
        <v/>
      </c>
      <c r="DI41" s="25">
        <f>IF(DI$4=0,0,IF(Effective!$C$48="fixed",Effective!$D$48,IF(Effective!$C$48="variable",DI18*Effective!$E$48,0)))</f>
        <v/>
      </c>
      <c r="DJ41" s="25">
        <f>IF(DJ$4=0,0,IF(Effective!$C$48="fixed",Effective!$D$48,IF(Effective!$C$48="variable",DJ18*Effective!$E$48,0)))</f>
        <v/>
      </c>
      <c r="DK41" s="25">
        <f>IF(DK$4=0,0,IF(Effective!$C$48="fixed",Effective!$D$48,IF(Effective!$C$48="variable",DK18*Effective!$E$48,0)))</f>
        <v/>
      </c>
      <c r="DL41" s="25">
        <f>IF(DL$4=0,0,IF(Effective!$C$48="fixed",Effective!$D$48,IF(Effective!$C$48="variable",DL18*Effective!$E$48,0)))</f>
        <v/>
      </c>
      <c r="DM41" s="25">
        <f>IF(DM$4=0,0,IF(Effective!$C$48="fixed",Effective!$D$48,IF(Effective!$C$48="variable",DM18*Effective!$E$48,0)))</f>
        <v/>
      </c>
      <c r="DN41" s="25">
        <f>IF(DN$4=0,0,IF(Effective!$C$48="fixed",Effective!$D$48,IF(Effective!$C$48="variable",DN18*Effective!$E$48,0)))</f>
        <v/>
      </c>
      <c r="DO41" s="25">
        <f>IF(DO$4=0,0,IF(Effective!$C$48="fixed",Effective!$D$48,IF(Effective!$C$48="variable",DO18*Effective!$E$48,0)))</f>
        <v/>
      </c>
      <c r="DP41" s="25">
        <f>IF(DP$4=0,0,IF(Effective!$C$48="fixed",Effective!$D$48,IF(Effective!$C$48="variable",DP18*Effective!$E$48,0)))</f>
        <v/>
      </c>
      <c r="DQ41" s="25">
        <f>IF(DQ$4=0,0,IF(Effective!$C$48="fixed",Effective!$D$48,IF(Effective!$C$48="variable",DQ18*Effective!$E$48,0)))</f>
        <v/>
      </c>
      <c r="DR41" s="25">
        <f>IF(DR$4=0,0,IF(Effective!$C$48="fixed",Effective!$D$48,IF(Effective!$C$48="variable",DR18*Effective!$E$48,0)))</f>
        <v/>
      </c>
    </row>
    <row r="42">
      <c r="A42" t="inlineStr">
        <is>
          <t>opex_14</t>
        </is>
      </c>
      <c r="B42" t="inlineStr">
        <is>
          <t>opex idx 13</t>
        </is>
      </c>
      <c r="C42" s="25">
        <f>IF(C$4=0,0,IF(Effective!$C$49="fixed",Effective!$D$49,IF(Effective!$C$49="variable",C18*Effective!$E$49,0)))</f>
        <v/>
      </c>
      <c r="D42" s="25">
        <f>IF(D$4=0,0,IF(Effective!$C$49="fixed",Effective!$D$49,IF(Effective!$C$49="variable",D18*Effective!$E$49,0)))</f>
        <v/>
      </c>
      <c r="E42" s="25">
        <f>IF(E$4=0,0,IF(Effective!$C$49="fixed",Effective!$D$49,IF(Effective!$C$49="variable",E18*Effective!$E$49,0)))</f>
        <v/>
      </c>
      <c r="F42" s="25">
        <f>IF(F$4=0,0,IF(Effective!$C$49="fixed",Effective!$D$49,IF(Effective!$C$49="variable",F18*Effective!$E$49,0)))</f>
        <v/>
      </c>
      <c r="G42" s="25">
        <f>IF(G$4=0,0,IF(Effective!$C$49="fixed",Effective!$D$49,IF(Effective!$C$49="variable",G18*Effective!$E$49,0)))</f>
        <v/>
      </c>
      <c r="H42" s="25">
        <f>IF(H$4=0,0,IF(Effective!$C$49="fixed",Effective!$D$49,IF(Effective!$C$49="variable",H18*Effective!$E$49,0)))</f>
        <v/>
      </c>
      <c r="I42" s="25">
        <f>IF(I$4=0,0,IF(Effective!$C$49="fixed",Effective!$D$49,IF(Effective!$C$49="variable",I18*Effective!$E$49,0)))</f>
        <v/>
      </c>
      <c r="J42" s="25">
        <f>IF(J$4=0,0,IF(Effective!$C$49="fixed",Effective!$D$49,IF(Effective!$C$49="variable",J18*Effective!$E$49,0)))</f>
        <v/>
      </c>
      <c r="K42" s="25">
        <f>IF(K$4=0,0,IF(Effective!$C$49="fixed",Effective!$D$49,IF(Effective!$C$49="variable",K18*Effective!$E$49,0)))</f>
        <v/>
      </c>
      <c r="L42" s="25">
        <f>IF(L$4=0,0,IF(Effective!$C$49="fixed",Effective!$D$49,IF(Effective!$C$49="variable",L18*Effective!$E$49,0)))</f>
        <v/>
      </c>
      <c r="M42" s="25">
        <f>IF(M$4=0,0,IF(Effective!$C$49="fixed",Effective!$D$49,IF(Effective!$C$49="variable",M18*Effective!$E$49,0)))</f>
        <v/>
      </c>
      <c r="N42" s="25">
        <f>IF(N$4=0,0,IF(Effective!$C$49="fixed",Effective!$D$49,IF(Effective!$C$49="variable",N18*Effective!$E$49,0)))</f>
        <v/>
      </c>
      <c r="O42" s="25">
        <f>IF(O$4=0,0,IF(Effective!$C$49="fixed",Effective!$D$49,IF(Effective!$C$49="variable",O18*Effective!$E$49,0)))</f>
        <v/>
      </c>
      <c r="P42" s="25">
        <f>IF(P$4=0,0,IF(Effective!$C$49="fixed",Effective!$D$49,IF(Effective!$C$49="variable",P18*Effective!$E$49,0)))</f>
        <v/>
      </c>
      <c r="Q42" s="25">
        <f>IF(Q$4=0,0,IF(Effective!$C$49="fixed",Effective!$D$49,IF(Effective!$C$49="variable",Q18*Effective!$E$49,0)))</f>
        <v/>
      </c>
      <c r="R42" s="25">
        <f>IF(R$4=0,0,IF(Effective!$C$49="fixed",Effective!$D$49,IF(Effective!$C$49="variable",R18*Effective!$E$49,0)))</f>
        <v/>
      </c>
      <c r="S42" s="25">
        <f>IF(S$4=0,0,IF(Effective!$C$49="fixed",Effective!$D$49,IF(Effective!$C$49="variable",S18*Effective!$E$49,0)))</f>
        <v/>
      </c>
      <c r="T42" s="25">
        <f>IF(T$4=0,0,IF(Effective!$C$49="fixed",Effective!$D$49,IF(Effective!$C$49="variable",T18*Effective!$E$49,0)))</f>
        <v/>
      </c>
      <c r="U42" s="25">
        <f>IF(U$4=0,0,IF(Effective!$C$49="fixed",Effective!$D$49,IF(Effective!$C$49="variable",U18*Effective!$E$49,0)))</f>
        <v/>
      </c>
      <c r="V42" s="25">
        <f>IF(V$4=0,0,IF(Effective!$C$49="fixed",Effective!$D$49,IF(Effective!$C$49="variable",V18*Effective!$E$49,0)))</f>
        <v/>
      </c>
      <c r="W42" s="25">
        <f>IF(W$4=0,0,IF(Effective!$C$49="fixed",Effective!$D$49,IF(Effective!$C$49="variable",W18*Effective!$E$49,0)))</f>
        <v/>
      </c>
      <c r="X42" s="25">
        <f>IF(X$4=0,0,IF(Effective!$C$49="fixed",Effective!$D$49,IF(Effective!$C$49="variable",X18*Effective!$E$49,0)))</f>
        <v/>
      </c>
      <c r="Y42" s="25">
        <f>IF(Y$4=0,0,IF(Effective!$C$49="fixed",Effective!$D$49,IF(Effective!$C$49="variable",Y18*Effective!$E$49,0)))</f>
        <v/>
      </c>
      <c r="Z42" s="25">
        <f>IF(Z$4=0,0,IF(Effective!$C$49="fixed",Effective!$D$49,IF(Effective!$C$49="variable",Z18*Effective!$E$49,0)))</f>
        <v/>
      </c>
      <c r="AA42" s="25">
        <f>IF(AA$4=0,0,IF(Effective!$C$49="fixed",Effective!$D$49,IF(Effective!$C$49="variable",AA18*Effective!$E$49,0)))</f>
        <v/>
      </c>
      <c r="AB42" s="25">
        <f>IF(AB$4=0,0,IF(Effective!$C$49="fixed",Effective!$D$49,IF(Effective!$C$49="variable",AB18*Effective!$E$49,0)))</f>
        <v/>
      </c>
      <c r="AC42" s="25">
        <f>IF(AC$4=0,0,IF(Effective!$C$49="fixed",Effective!$D$49,IF(Effective!$C$49="variable",AC18*Effective!$E$49,0)))</f>
        <v/>
      </c>
      <c r="AD42" s="25">
        <f>IF(AD$4=0,0,IF(Effective!$C$49="fixed",Effective!$D$49,IF(Effective!$C$49="variable",AD18*Effective!$E$49,0)))</f>
        <v/>
      </c>
      <c r="AE42" s="25">
        <f>IF(AE$4=0,0,IF(Effective!$C$49="fixed",Effective!$D$49,IF(Effective!$C$49="variable",AE18*Effective!$E$49,0)))</f>
        <v/>
      </c>
      <c r="AF42" s="25">
        <f>IF(AF$4=0,0,IF(Effective!$C$49="fixed",Effective!$D$49,IF(Effective!$C$49="variable",AF18*Effective!$E$49,0)))</f>
        <v/>
      </c>
      <c r="AG42" s="25">
        <f>IF(AG$4=0,0,IF(Effective!$C$49="fixed",Effective!$D$49,IF(Effective!$C$49="variable",AG18*Effective!$E$49,0)))</f>
        <v/>
      </c>
      <c r="AH42" s="25">
        <f>IF(AH$4=0,0,IF(Effective!$C$49="fixed",Effective!$D$49,IF(Effective!$C$49="variable",AH18*Effective!$E$49,0)))</f>
        <v/>
      </c>
      <c r="AI42" s="25">
        <f>IF(AI$4=0,0,IF(Effective!$C$49="fixed",Effective!$D$49,IF(Effective!$C$49="variable",AI18*Effective!$E$49,0)))</f>
        <v/>
      </c>
      <c r="AJ42" s="25">
        <f>IF(AJ$4=0,0,IF(Effective!$C$49="fixed",Effective!$D$49,IF(Effective!$C$49="variable",AJ18*Effective!$E$49,0)))</f>
        <v/>
      </c>
      <c r="AK42" s="25">
        <f>IF(AK$4=0,0,IF(Effective!$C$49="fixed",Effective!$D$49,IF(Effective!$C$49="variable",AK18*Effective!$E$49,0)))</f>
        <v/>
      </c>
      <c r="AL42" s="25">
        <f>IF(AL$4=0,0,IF(Effective!$C$49="fixed",Effective!$D$49,IF(Effective!$C$49="variable",AL18*Effective!$E$49,0)))</f>
        <v/>
      </c>
      <c r="AM42" s="25">
        <f>IF(AM$4=0,0,IF(Effective!$C$49="fixed",Effective!$D$49,IF(Effective!$C$49="variable",AM18*Effective!$E$49,0)))</f>
        <v/>
      </c>
      <c r="AN42" s="25">
        <f>IF(AN$4=0,0,IF(Effective!$C$49="fixed",Effective!$D$49,IF(Effective!$C$49="variable",AN18*Effective!$E$49,0)))</f>
        <v/>
      </c>
      <c r="AO42" s="25">
        <f>IF(AO$4=0,0,IF(Effective!$C$49="fixed",Effective!$D$49,IF(Effective!$C$49="variable",AO18*Effective!$E$49,0)))</f>
        <v/>
      </c>
      <c r="AP42" s="25">
        <f>IF(AP$4=0,0,IF(Effective!$C$49="fixed",Effective!$D$49,IF(Effective!$C$49="variable",AP18*Effective!$E$49,0)))</f>
        <v/>
      </c>
      <c r="AQ42" s="25">
        <f>IF(AQ$4=0,0,IF(Effective!$C$49="fixed",Effective!$D$49,IF(Effective!$C$49="variable",AQ18*Effective!$E$49,0)))</f>
        <v/>
      </c>
      <c r="AR42" s="25">
        <f>IF(AR$4=0,0,IF(Effective!$C$49="fixed",Effective!$D$49,IF(Effective!$C$49="variable",AR18*Effective!$E$49,0)))</f>
        <v/>
      </c>
      <c r="AS42" s="25">
        <f>IF(AS$4=0,0,IF(Effective!$C$49="fixed",Effective!$D$49,IF(Effective!$C$49="variable",AS18*Effective!$E$49,0)))</f>
        <v/>
      </c>
      <c r="AT42" s="25">
        <f>IF(AT$4=0,0,IF(Effective!$C$49="fixed",Effective!$D$49,IF(Effective!$C$49="variable",AT18*Effective!$E$49,0)))</f>
        <v/>
      </c>
      <c r="AU42" s="25">
        <f>IF(AU$4=0,0,IF(Effective!$C$49="fixed",Effective!$D$49,IF(Effective!$C$49="variable",AU18*Effective!$E$49,0)))</f>
        <v/>
      </c>
      <c r="AV42" s="25">
        <f>IF(AV$4=0,0,IF(Effective!$C$49="fixed",Effective!$D$49,IF(Effective!$C$49="variable",AV18*Effective!$E$49,0)))</f>
        <v/>
      </c>
      <c r="AW42" s="25">
        <f>IF(AW$4=0,0,IF(Effective!$C$49="fixed",Effective!$D$49,IF(Effective!$C$49="variable",AW18*Effective!$E$49,0)))</f>
        <v/>
      </c>
      <c r="AX42" s="25">
        <f>IF(AX$4=0,0,IF(Effective!$C$49="fixed",Effective!$D$49,IF(Effective!$C$49="variable",AX18*Effective!$E$49,0)))</f>
        <v/>
      </c>
      <c r="AY42" s="25">
        <f>IF(AY$4=0,0,IF(Effective!$C$49="fixed",Effective!$D$49,IF(Effective!$C$49="variable",AY18*Effective!$E$49,0)))</f>
        <v/>
      </c>
      <c r="AZ42" s="25">
        <f>IF(AZ$4=0,0,IF(Effective!$C$49="fixed",Effective!$D$49,IF(Effective!$C$49="variable",AZ18*Effective!$E$49,0)))</f>
        <v/>
      </c>
      <c r="BA42" s="25">
        <f>IF(BA$4=0,0,IF(Effective!$C$49="fixed",Effective!$D$49,IF(Effective!$C$49="variable",BA18*Effective!$E$49,0)))</f>
        <v/>
      </c>
      <c r="BB42" s="25">
        <f>IF(BB$4=0,0,IF(Effective!$C$49="fixed",Effective!$D$49,IF(Effective!$C$49="variable",BB18*Effective!$E$49,0)))</f>
        <v/>
      </c>
      <c r="BC42" s="25">
        <f>IF(BC$4=0,0,IF(Effective!$C$49="fixed",Effective!$D$49,IF(Effective!$C$49="variable",BC18*Effective!$E$49,0)))</f>
        <v/>
      </c>
      <c r="BD42" s="25">
        <f>IF(BD$4=0,0,IF(Effective!$C$49="fixed",Effective!$D$49,IF(Effective!$C$49="variable",BD18*Effective!$E$49,0)))</f>
        <v/>
      </c>
      <c r="BE42" s="25">
        <f>IF(BE$4=0,0,IF(Effective!$C$49="fixed",Effective!$D$49,IF(Effective!$C$49="variable",BE18*Effective!$E$49,0)))</f>
        <v/>
      </c>
      <c r="BF42" s="25">
        <f>IF(BF$4=0,0,IF(Effective!$C$49="fixed",Effective!$D$49,IF(Effective!$C$49="variable",BF18*Effective!$E$49,0)))</f>
        <v/>
      </c>
      <c r="BG42" s="25">
        <f>IF(BG$4=0,0,IF(Effective!$C$49="fixed",Effective!$D$49,IF(Effective!$C$49="variable",BG18*Effective!$E$49,0)))</f>
        <v/>
      </c>
      <c r="BH42" s="25">
        <f>IF(BH$4=0,0,IF(Effective!$C$49="fixed",Effective!$D$49,IF(Effective!$C$49="variable",BH18*Effective!$E$49,0)))</f>
        <v/>
      </c>
      <c r="BI42" s="25">
        <f>IF(BI$4=0,0,IF(Effective!$C$49="fixed",Effective!$D$49,IF(Effective!$C$49="variable",BI18*Effective!$E$49,0)))</f>
        <v/>
      </c>
      <c r="BJ42" s="25">
        <f>IF(BJ$4=0,0,IF(Effective!$C$49="fixed",Effective!$D$49,IF(Effective!$C$49="variable",BJ18*Effective!$E$49,0)))</f>
        <v/>
      </c>
      <c r="BK42" s="25">
        <f>IF(BK$4=0,0,IF(Effective!$C$49="fixed",Effective!$D$49,IF(Effective!$C$49="variable",BK18*Effective!$E$49,0)))</f>
        <v/>
      </c>
      <c r="BL42" s="25">
        <f>IF(BL$4=0,0,IF(Effective!$C$49="fixed",Effective!$D$49,IF(Effective!$C$49="variable",BL18*Effective!$E$49,0)))</f>
        <v/>
      </c>
      <c r="BM42" s="25">
        <f>IF(BM$4=0,0,IF(Effective!$C$49="fixed",Effective!$D$49,IF(Effective!$C$49="variable",BM18*Effective!$E$49,0)))</f>
        <v/>
      </c>
      <c r="BN42" s="25">
        <f>IF(BN$4=0,0,IF(Effective!$C$49="fixed",Effective!$D$49,IF(Effective!$C$49="variable",BN18*Effective!$E$49,0)))</f>
        <v/>
      </c>
      <c r="BO42" s="25">
        <f>IF(BO$4=0,0,IF(Effective!$C$49="fixed",Effective!$D$49,IF(Effective!$C$49="variable",BO18*Effective!$E$49,0)))</f>
        <v/>
      </c>
      <c r="BP42" s="25">
        <f>IF(BP$4=0,0,IF(Effective!$C$49="fixed",Effective!$D$49,IF(Effective!$C$49="variable",BP18*Effective!$E$49,0)))</f>
        <v/>
      </c>
      <c r="BQ42" s="25">
        <f>IF(BQ$4=0,0,IF(Effective!$C$49="fixed",Effective!$D$49,IF(Effective!$C$49="variable",BQ18*Effective!$E$49,0)))</f>
        <v/>
      </c>
      <c r="BR42" s="25">
        <f>IF(BR$4=0,0,IF(Effective!$C$49="fixed",Effective!$D$49,IF(Effective!$C$49="variable",BR18*Effective!$E$49,0)))</f>
        <v/>
      </c>
      <c r="BS42" s="25">
        <f>IF(BS$4=0,0,IF(Effective!$C$49="fixed",Effective!$D$49,IF(Effective!$C$49="variable",BS18*Effective!$E$49,0)))</f>
        <v/>
      </c>
      <c r="BT42" s="25">
        <f>IF(BT$4=0,0,IF(Effective!$C$49="fixed",Effective!$D$49,IF(Effective!$C$49="variable",BT18*Effective!$E$49,0)))</f>
        <v/>
      </c>
      <c r="BU42" s="25">
        <f>IF(BU$4=0,0,IF(Effective!$C$49="fixed",Effective!$D$49,IF(Effective!$C$49="variable",BU18*Effective!$E$49,0)))</f>
        <v/>
      </c>
      <c r="BV42" s="25">
        <f>IF(BV$4=0,0,IF(Effective!$C$49="fixed",Effective!$D$49,IF(Effective!$C$49="variable",BV18*Effective!$E$49,0)))</f>
        <v/>
      </c>
      <c r="BW42" s="25">
        <f>IF(BW$4=0,0,IF(Effective!$C$49="fixed",Effective!$D$49,IF(Effective!$C$49="variable",BW18*Effective!$E$49,0)))</f>
        <v/>
      </c>
      <c r="BX42" s="25">
        <f>IF(BX$4=0,0,IF(Effective!$C$49="fixed",Effective!$D$49,IF(Effective!$C$49="variable",BX18*Effective!$E$49,0)))</f>
        <v/>
      </c>
      <c r="BY42" s="25">
        <f>IF(BY$4=0,0,IF(Effective!$C$49="fixed",Effective!$D$49,IF(Effective!$C$49="variable",BY18*Effective!$E$49,0)))</f>
        <v/>
      </c>
      <c r="BZ42" s="25">
        <f>IF(BZ$4=0,0,IF(Effective!$C$49="fixed",Effective!$D$49,IF(Effective!$C$49="variable",BZ18*Effective!$E$49,0)))</f>
        <v/>
      </c>
      <c r="CA42" s="25">
        <f>IF(CA$4=0,0,IF(Effective!$C$49="fixed",Effective!$D$49,IF(Effective!$C$49="variable",CA18*Effective!$E$49,0)))</f>
        <v/>
      </c>
      <c r="CB42" s="25">
        <f>IF(CB$4=0,0,IF(Effective!$C$49="fixed",Effective!$D$49,IF(Effective!$C$49="variable",CB18*Effective!$E$49,0)))</f>
        <v/>
      </c>
      <c r="CC42" s="25">
        <f>IF(CC$4=0,0,IF(Effective!$C$49="fixed",Effective!$D$49,IF(Effective!$C$49="variable",CC18*Effective!$E$49,0)))</f>
        <v/>
      </c>
      <c r="CD42" s="25">
        <f>IF(CD$4=0,0,IF(Effective!$C$49="fixed",Effective!$D$49,IF(Effective!$C$49="variable",CD18*Effective!$E$49,0)))</f>
        <v/>
      </c>
      <c r="CE42" s="25">
        <f>IF(CE$4=0,0,IF(Effective!$C$49="fixed",Effective!$D$49,IF(Effective!$C$49="variable",CE18*Effective!$E$49,0)))</f>
        <v/>
      </c>
      <c r="CF42" s="25">
        <f>IF(CF$4=0,0,IF(Effective!$C$49="fixed",Effective!$D$49,IF(Effective!$C$49="variable",CF18*Effective!$E$49,0)))</f>
        <v/>
      </c>
      <c r="CG42" s="25">
        <f>IF(CG$4=0,0,IF(Effective!$C$49="fixed",Effective!$D$49,IF(Effective!$C$49="variable",CG18*Effective!$E$49,0)))</f>
        <v/>
      </c>
      <c r="CH42" s="25">
        <f>IF(CH$4=0,0,IF(Effective!$C$49="fixed",Effective!$D$49,IF(Effective!$C$49="variable",CH18*Effective!$E$49,0)))</f>
        <v/>
      </c>
      <c r="CI42" s="25">
        <f>IF(CI$4=0,0,IF(Effective!$C$49="fixed",Effective!$D$49,IF(Effective!$C$49="variable",CI18*Effective!$E$49,0)))</f>
        <v/>
      </c>
      <c r="CJ42" s="25">
        <f>IF(CJ$4=0,0,IF(Effective!$C$49="fixed",Effective!$D$49,IF(Effective!$C$49="variable",CJ18*Effective!$E$49,0)))</f>
        <v/>
      </c>
      <c r="CK42" s="25">
        <f>IF(CK$4=0,0,IF(Effective!$C$49="fixed",Effective!$D$49,IF(Effective!$C$49="variable",CK18*Effective!$E$49,0)))</f>
        <v/>
      </c>
      <c r="CL42" s="25">
        <f>IF(CL$4=0,0,IF(Effective!$C$49="fixed",Effective!$D$49,IF(Effective!$C$49="variable",CL18*Effective!$E$49,0)))</f>
        <v/>
      </c>
      <c r="CM42" s="25">
        <f>IF(CM$4=0,0,IF(Effective!$C$49="fixed",Effective!$D$49,IF(Effective!$C$49="variable",CM18*Effective!$E$49,0)))</f>
        <v/>
      </c>
      <c r="CN42" s="25">
        <f>IF(CN$4=0,0,IF(Effective!$C$49="fixed",Effective!$D$49,IF(Effective!$C$49="variable",CN18*Effective!$E$49,0)))</f>
        <v/>
      </c>
      <c r="CO42" s="25">
        <f>IF(CO$4=0,0,IF(Effective!$C$49="fixed",Effective!$D$49,IF(Effective!$C$49="variable",CO18*Effective!$E$49,0)))</f>
        <v/>
      </c>
      <c r="CP42" s="25">
        <f>IF(CP$4=0,0,IF(Effective!$C$49="fixed",Effective!$D$49,IF(Effective!$C$49="variable",CP18*Effective!$E$49,0)))</f>
        <v/>
      </c>
      <c r="CQ42" s="25">
        <f>IF(CQ$4=0,0,IF(Effective!$C$49="fixed",Effective!$D$49,IF(Effective!$C$49="variable",CQ18*Effective!$E$49,0)))</f>
        <v/>
      </c>
      <c r="CR42" s="25">
        <f>IF(CR$4=0,0,IF(Effective!$C$49="fixed",Effective!$D$49,IF(Effective!$C$49="variable",CR18*Effective!$E$49,0)))</f>
        <v/>
      </c>
      <c r="CS42" s="25">
        <f>IF(CS$4=0,0,IF(Effective!$C$49="fixed",Effective!$D$49,IF(Effective!$C$49="variable",CS18*Effective!$E$49,0)))</f>
        <v/>
      </c>
      <c r="CT42" s="25">
        <f>IF(CT$4=0,0,IF(Effective!$C$49="fixed",Effective!$D$49,IF(Effective!$C$49="variable",CT18*Effective!$E$49,0)))</f>
        <v/>
      </c>
      <c r="CU42" s="25">
        <f>IF(CU$4=0,0,IF(Effective!$C$49="fixed",Effective!$D$49,IF(Effective!$C$49="variable",CU18*Effective!$E$49,0)))</f>
        <v/>
      </c>
      <c r="CV42" s="25">
        <f>IF(CV$4=0,0,IF(Effective!$C$49="fixed",Effective!$D$49,IF(Effective!$C$49="variable",CV18*Effective!$E$49,0)))</f>
        <v/>
      </c>
      <c r="CW42" s="25">
        <f>IF(CW$4=0,0,IF(Effective!$C$49="fixed",Effective!$D$49,IF(Effective!$C$49="variable",CW18*Effective!$E$49,0)))</f>
        <v/>
      </c>
      <c r="CX42" s="25">
        <f>IF(CX$4=0,0,IF(Effective!$C$49="fixed",Effective!$D$49,IF(Effective!$C$49="variable",CX18*Effective!$E$49,0)))</f>
        <v/>
      </c>
      <c r="CY42" s="25">
        <f>IF(CY$4=0,0,IF(Effective!$C$49="fixed",Effective!$D$49,IF(Effective!$C$49="variable",CY18*Effective!$E$49,0)))</f>
        <v/>
      </c>
      <c r="CZ42" s="25">
        <f>IF(CZ$4=0,0,IF(Effective!$C$49="fixed",Effective!$D$49,IF(Effective!$C$49="variable",CZ18*Effective!$E$49,0)))</f>
        <v/>
      </c>
      <c r="DA42" s="25">
        <f>IF(DA$4=0,0,IF(Effective!$C$49="fixed",Effective!$D$49,IF(Effective!$C$49="variable",DA18*Effective!$E$49,0)))</f>
        <v/>
      </c>
      <c r="DB42" s="25">
        <f>IF(DB$4=0,0,IF(Effective!$C$49="fixed",Effective!$D$49,IF(Effective!$C$49="variable",DB18*Effective!$E$49,0)))</f>
        <v/>
      </c>
      <c r="DC42" s="25">
        <f>IF(DC$4=0,0,IF(Effective!$C$49="fixed",Effective!$D$49,IF(Effective!$C$49="variable",DC18*Effective!$E$49,0)))</f>
        <v/>
      </c>
      <c r="DD42" s="25">
        <f>IF(DD$4=0,0,IF(Effective!$C$49="fixed",Effective!$D$49,IF(Effective!$C$49="variable",DD18*Effective!$E$49,0)))</f>
        <v/>
      </c>
      <c r="DE42" s="25">
        <f>IF(DE$4=0,0,IF(Effective!$C$49="fixed",Effective!$D$49,IF(Effective!$C$49="variable",DE18*Effective!$E$49,0)))</f>
        <v/>
      </c>
      <c r="DF42" s="25">
        <f>IF(DF$4=0,0,IF(Effective!$C$49="fixed",Effective!$D$49,IF(Effective!$C$49="variable",DF18*Effective!$E$49,0)))</f>
        <v/>
      </c>
      <c r="DG42" s="25">
        <f>IF(DG$4=0,0,IF(Effective!$C$49="fixed",Effective!$D$49,IF(Effective!$C$49="variable",DG18*Effective!$E$49,0)))</f>
        <v/>
      </c>
      <c r="DH42" s="25">
        <f>IF(DH$4=0,0,IF(Effective!$C$49="fixed",Effective!$D$49,IF(Effective!$C$49="variable",DH18*Effective!$E$49,0)))</f>
        <v/>
      </c>
      <c r="DI42" s="25">
        <f>IF(DI$4=0,0,IF(Effective!$C$49="fixed",Effective!$D$49,IF(Effective!$C$49="variable",DI18*Effective!$E$49,0)))</f>
        <v/>
      </c>
      <c r="DJ42" s="25">
        <f>IF(DJ$4=0,0,IF(Effective!$C$49="fixed",Effective!$D$49,IF(Effective!$C$49="variable",DJ18*Effective!$E$49,0)))</f>
        <v/>
      </c>
      <c r="DK42" s="25">
        <f>IF(DK$4=0,0,IF(Effective!$C$49="fixed",Effective!$D$49,IF(Effective!$C$49="variable",DK18*Effective!$E$49,0)))</f>
        <v/>
      </c>
      <c r="DL42" s="25">
        <f>IF(DL$4=0,0,IF(Effective!$C$49="fixed",Effective!$D$49,IF(Effective!$C$49="variable",DL18*Effective!$E$49,0)))</f>
        <v/>
      </c>
      <c r="DM42" s="25">
        <f>IF(DM$4=0,0,IF(Effective!$C$49="fixed",Effective!$D$49,IF(Effective!$C$49="variable",DM18*Effective!$E$49,0)))</f>
        <v/>
      </c>
      <c r="DN42" s="25">
        <f>IF(DN$4=0,0,IF(Effective!$C$49="fixed",Effective!$D$49,IF(Effective!$C$49="variable",DN18*Effective!$E$49,0)))</f>
        <v/>
      </c>
      <c r="DO42" s="25">
        <f>IF(DO$4=0,0,IF(Effective!$C$49="fixed",Effective!$D$49,IF(Effective!$C$49="variable",DO18*Effective!$E$49,0)))</f>
        <v/>
      </c>
      <c r="DP42" s="25">
        <f>IF(DP$4=0,0,IF(Effective!$C$49="fixed",Effective!$D$49,IF(Effective!$C$49="variable",DP18*Effective!$E$49,0)))</f>
        <v/>
      </c>
      <c r="DQ42" s="25">
        <f>IF(DQ$4=0,0,IF(Effective!$C$49="fixed",Effective!$D$49,IF(Effective!$C$49="variable",DQ18*Effective!$E$49,0)))</f>
        <v/>
      </c>
      <c r="DR42" s="25">
        <f>IF(DR$4=0,0,IF(Effective!$C$49="fixed",Effective!$D$49,IF(Effective!$C$49="variable",DR18*Effective!$E$49,0)))</f>
        <v/>
      </c>
    </row>
    <row r="43">
      <c r="A43" t="inlineStr">
        <is>
          <t>opex_15</t>
        </is>
      </c>
      <c r="B43" t="inlineStr">
        <is>
          <t>opex idx 14</t>
        </is>
      </c>
      <c r="C43" s="25">
        <f>IF(C$4=0,0,IF(Effective!$C$50="fixed",Effective!$D$50,IF(Effective!$C$50="variable",C18*Effective!$E$50,0)))</f>
        <v/>
      </c>
      <c r="D43" s="25">
        <f>IF(D$4=0,0,IF(Effective!$C$50="fixed",Effective!$D$50,IF(Effective!$C$50="variable",D18*Effective!$E$50,0)))</f>
        <v/>
      </c>
      <c r="E43" s="25">
        <f>IF(E$4=0,0,IF(Effective!$C$50="fixed",Effective!$D$50,IF(Effective!$C$50="variable",E18*Effective!$E$50,0)))</f>
        <v/>
      </c>
      <c r="F43" s="25">
        <f>IF(F$4=0,0,IF(Effective!$C$50="fixed",Effective!$D$50,IF(Effective!$C$50="variable",F18*Effective!$E$50,0)))</f>
        <v/>
      </c>
      <c r="G43" s="25">
        <f>IF(G$4=0,0,IF(Effective!$C$50="fixed",Effective!$D$50,IF(Effective!$C$50="variable",G18*Effective!$E$50,0)))</f>
        <v/>
      </c>
      <c r="H43" s="25">
        <f>IF(H$4=0,0,IF(Effective!$C$50="fixed",Effective!$D$50,IF(Effective!$C$50="variable",H18*Effective!$E$50,0)))</f>
        <v/>
      </c>
      <c r="I43" s="25">
        <f>IF(I$4=0,0,IF(Effective!$C$50="fixed",Effective!$D$50,IF(Effective!$C$50="variable",I18*Effective!$E$50,0)))</f>
        <v/>
      </c>
      <c r="J43" s="25">
        <f>IF(J$4=0,0,IF(Effective!$C$50="fixed",Effective!$D$50,IF(Effective!$C$50="variable",J18*Effective!$E$50,0)))</f>
        <v/>
      </c>
      <c r="K43" s="25">
        <f>IF(K$4=0,0,IF(Effective!$C$50="fixed",Effective!$D$50,IF(Effective!$C$50="variable",K18*Effective!$E$50,0)))</f>
        <v/>
      </c>
      <c r="L43" s="25">
        <f>IF(L$4=0,0,IF(Effective!$C$50="fixed",Effective!$D$50,IF(Effective!$C$50="variable",L18*Effective!$E$50,0)))</f>
        <v/>
      </c>
      <c r="M43" s="25">
        <f>IF(M$4=0,0,IF(Effective!$C$50="fixed",Effective!$D$50,IF(Effective!$C$50="variable",M18*Effective!$E$50,0)))</f>
        <v/>
      </c>
      <c r="N43" s="25">
        <f>IF(N$4=0,0,IF(Effective!$C$50="fixed",Effective!$D$50,IF(Effective!$C$50="variable",N18*Effective!$E$50,0)))</f>
        <v/>
      </c>
      <c r="O43" s="25">
        <f>IF(O$4=0,0,IF(Effective!$C$50="fixed",Effective!$D$50,IF(Effective!$C$50="variable",O18*Effective!$E$50,0)))</f>
        <v/>
      </c>
      <c r="P43" s="25">
        <f>IF(P$4=0,0,IF(Effective!$C$50="fixed",Effective!$D$50,IF(Effective!$C$50="variable",P18*Effective!$E$50,0)))</f>
        <v/>
      </c>
      <c r="Q43" s="25">
        <f>IF(Q$4=0,0,IF(Effective!$C$50="fixed",Effective!$D$50,IF(Effective!$C$50="variable",Q18*Effective!$E$50,0)))</f>
        <v/>
      </c>
      <c r="R43" s="25">
        <f>IF(R$4=0,0,IF(Effective!$C$50="fixed",Effective!$D$50,IF(Effective!$C$50="variable",R18*Effective!$E$50,0)))</f>
        <v/>
      </c>
      <c r="S43" s="25">
        <f>IF(S$4=0,0,IF(Effective!$C$50="fixed",Effective!$D$50,IF(Effective!$C$50="variable",S18*Effective!$E$50,0)))</f>
        <v/>
      </c>
      <c r="T43" s="25">
        <f>IF(T$4=0,0,IF(Effective!$C$50="fixed",Effective!$D$50,IF(Effective!$C$50="variable",T18*Effective!$E$50,0)))</f>
        <v/>
      </c>
      <c r="U43" s="25">
        <f>IF(U$4=0,0,IF(Effective!$C$50="fixed",Effective!$D$50,IF(Effective!$C$50="variable",U18*Effective!$E$50,0)))</f>
        <v/>
      </c>
      <c r="V43" s="25">
        <f>IF(V$4=0,0,IF(Effective!$C$50="fixed",Effective!$D$50,IF(Effective!$C$50="variable",V18*Effective!$E$50,0)))</f>
        <v/>
      </c>
      <c r="W43" s="25">
        <f>IF(W$4=0,0,IF(Effective!$C$50="fixed",Effective!$D$50,IF(Effective!$C$50="variable",W18*Effective!$E$50,0)))</f>
        <v/>
      </c>
      <c r="X43" s="25">
        <f>IF(X$4=0,0,IF(Effective!$C$50="fixed",Effective!$D$50,IF(Effective!$C$50="variable",X18*Effective!$E$50,0)))</f>
        <v/>
      </c>
      <c r="Y43" s="25">
        <f>IF(Y$4=0,0,IF(Effective!$C$50="fixed",Effective!$D$50,IF(Effective!$C$50="variable",Y18*Effective!$E$50,0)))</f>
        <v/>
      </c>
      <c r="Z43" s="25">
        <f>IF(Z$4=0,0,IF(Effective!$C$50="fixed",Effective!$D$50,IF(Effective!$C$50="variable",Z18*Effective!$E$50,0)))</f>
        <v/>
      </c>
      <c r="AA43" s="25">
        <f>IF(AA$4=0,0,IF(Effective!$C$50="fixed",Effective!$D$50,IF(Effective!$C$50="variable",AA18*Effective!$E$50,0)))</f>
        <v/>
      </c>
      <c r="AB43" s="25">
        <f>IF(AB$4=0,0,IF(Effective!$C$50="fixed",Effective!$D$50,IF(Effective!$C$50="variable",AB18*Effective!$E$50,0)))</f>
        <v/>
      </c>
      <c r="AC43" s="25">
        <f>IF(AC$4=0,0,IF(Effective!$C$50="fixed",Effective!$D$50,IF(Effective!$C$50="variable",AC18*Effective!$E$50,0)))</f>
        <v/>
      </c>
      <c r="AD43" s="25">
        <f>IF(AD$4=0,0,IF(Effective!$C$50="fixed",Effective!$D$50,IF(Effective!$C$50="variable",AD18*Effective!$E$50,0)))</f>
        <v/>
      </c>
      <c r="AE43" s="25">
        <f>IF(AE$4=0,0,IF(Effective!$C$50="fixed",Effective!$D$50,IF(Effective!$C$50="variable",AE18*Effective!$E$50,0)))</f>
        <v/>
      </c>
      <c r="AF43" s="25">
        <f>IF(AF$4=0,0,IF(Effective!$C$50="fixed",Effective!$D$50,IF(Effective!$C$50="variable",AF18*Effective!$E$50,0)))</f>
        <v/>
      </c>
      <c r="AG43" s="25">
        <f>IF(AG$4=0,0,IF(Effective!$C$50="fixed",Effective!$D$50,IF(Effective!$C$50="variable",AG18*Effective!$E$50,0)))</f>
        <v/>
      </c>
      <c r="AH43" s="25">
        <f>IF(AH$4=0,0,IF(Effective!$C$50="fixed",Effective!$D$50,IF(Effective!$C$50="variable",AH18*Effective!$E$50,0)))</f>
        <v/>
      </c>
      <c r="AI43" s="25">
        <f>IF(AI$4=0,0,IF(Effective!$C$50="fixed",Effective!$D$50,IF(Effective!$C$50="variable",AI18*Effective!$E$50,0)))</f>
        <v/>
      </c>
      <c r="AJ43" s="25">
        <f>IF(AJ$4=0,0,IF(Effective!$C$50="fixed",Effective!$D$50,IF(Effective!$C$50="variable",AJ18*Effective!$E$50,0)))</f>
        <v/>
      </c>
      <c r="AK43" s="25">
        <f>IF(AK$4=0,0,IF(Effective!$C$50="fixed",Effective!$D$50,IF(Effective!$C$50="variable",AK18*Effective!$E$50,0)))</f>
        <v/>
      </c>
      <c r="AL43" s="25">
        <f>IF(AL$4=0,0,IF(Effective!$C$50="fixed",Effective!$D$50,IF(Effective!$C$50="variable",AL18*Effective!$E$50,0)))</f>
        <v/>
      </c>
      <c r="AM43" s="25">
        <f>IF(AM$4=0,0,IF(Effective!$C$50="fixed",Effective!$D$50,IF(Effective!$C$50="variable",AM18*Effective!$E$50,0)))</f>
        <v/>
      </c>
      <c r="AN43" s="25">
        <f>IF(AN$4=0,0,IF(Effective!$C$50="fixed",Effective!$D$50,IF(Effective!$C$50="variable",AN18*Effective!$E$50,0)))</f>
        <v/>
      </c>
      <c r="AO43" s="25">
        <f>IF(AO$4=0,0,IF(Effective!$C$50="fixed",Effective!$D$50,IF(Effective!$C$50="variable",AO18*Effective!$E$50,0)))</f>
        <v/>
      </c>
      <c r="AP43" s="25">
        <f>IF(AP$4=0,0,IF(Effective!$C$50="fixed",Effective!$D$50,IF(Effective!$C$50="variable",AP18*Effective!$E$50,0)))</f>
        <v/>
      </c>
      <c r="AQ43" s="25">
        <f>IF(AQ$4=0,0,IF(Effective!$C$50="fixed",Effective!$D$50,IF(Effective!$C$50="variable",AQ18*Effective!$E$50,0)))</f>
        <v/>
      </c>
      <c r="AR43" s="25">
        <f>IF(AR$4=0,0,IF(Effective!$C$50="fixed",Effective!$D$50,IF(Effective!$C$50="variable",AR18*Effective!$E$50,0)))</f>
        <v/>
      </c>
      <c r="AS43" s="25">
        <f>IF(AS$4=0,0,IF(Effective!$C$50="fixed",Effective!$D$50,IF(Effective!$C$50="variable",AS18*Effective!$E$50,0)))</f>
        <v/>
      </c>
      <c r="AT43" s="25">
        <f>IF(AT$4=0,0,IF(Effective!$C$50="fixed",Effective!$D$50,IF(Effective!$C$50="variable",AT18*Effective!$E$50,0)))</f>
        <v/>
      </c>
      <c r="AU43" s="25">
        <f>IF(AU$4=0,0,IF(Effective!$C$50="fixed",Effective!$D$50,IF(Effective!$C$50="variable",AU18*Effective!$E$50,0)))</f>
        <v/>
      </c>
      <c r="AV43" s="25">
        <f>IF(AV$4=0,0,IF(Effective!$C$50="fixed",Effective!$D$50,IF(Effective!$C$50="variable",AV18*Effective!$E$50,0)))</f>
        <v/>
      </c>
      <c r="AW43" s="25">
        <f>IF(AW$4=0,0,IF(Effective!$C$50="fixed",Effective!$D$50,IF(Effective!$C$50="variable",AW18*Effective!$E$50,0)))</f>
        <v/>
      </c>
      <c r="AX43" s="25">
        <f>IF(AX$4=0,0,IF(Effective!$C$50="fixed",Effective!$D$50,IF(Effective!$C$50="variable",AX18*Effective!$E$50,0)))</f>
        <v/>
      </c>
      <c r="AY43" s="25">
        <f>IF(AY$4=0,0,IF(Effective!$C$50="fixed",Effective!$D$50,IF(Effective!$C$50="variable",AY18*Effective!$E$50,0)))</f>
        <v/>
      </c>
      <c r="AZ43" s="25">
        <f>IF(AZ$4=0,0,IF(Effective!$C$50="fixed",Effective!$D$50,IF(Effective!$C$50="variable",AZ18*Effective!$E$50,0)))</f>
        <v/>
      </c>
      <c r="BA43" s="25">
        <f>IF(BA$4=0,0,IF(Effective!$C$50="fixed",Effective!$D$50,IF(Effective!$C$50="variable",BA18*Effective!$E$50,0)))</f>
        <v/>
      </c>
      <c r="BB43" s="25">
        <f>IF(BB$4=0,0,IF(Effective!$C$50="fixed",Effective!$D$50,IF(Effective!$C$50="variable",BB18*Effective!$E$50,0)))</f>
        <v/>
      </c>
      <c r="BC43" s="25">
        <f>IF(BC$4=0,0,IF(Effective!$C$50="fixed",Effective!$D$50,IF(Effective!$C$50="variable",BC18*Effective!$E$50,0)))</f>
        <v/>
      </c>
      <c r="BD43" s="25">
        <f>IF(BD$4=0,0,IF(Effective!$C$50="fixed",Effective!$D$50,IF(Effective!$C$50="variable",BD18*Effective!$E$50,0)))</f>
        <v/>
      </c>
      <c r="BE43" s="25">
        <f>IF(BE$4=0,0,IF(Effective!$C$50="fixed",Effective!$D$50,IF(Effective!$C$50="variable",BE18*Effective!$E$50,0)))</f>
        <v/>
      </c>
      <c r="BF43" s="25">
        <f>IF(BF$4=0,0,IF(Effective!$C$50="fixed",Effective!$D$50,IF(Effective!$C$50="variable",BF18*Effective!$E$50,0)))</f>
        <v/>
      </c>
      <c r="BG43" s="25">
        <f>IF(BG$4=0,0,IF(Effective!$C$50="fixed",Effective!$D$50,IF(Effective!$C$50="variable",BG18*Effective!$E$50,0)))</f>
        <v/>
      </c>
      <c r="BH43" s="25">
        <f>IF(BH$4=0,0,IF(Effective!$C$50="fixed",Effective!$D$50,IF(Effective!$C$50="variable",BH18*Effective!$E$50,0)))</f>
        <v/>
      </c>
      <c r="BI43" s="25">
        <f>IF(BI$4=0,0,IF(Effective!$C$50="fixed",Effective!$D$50,IF(Effective!$C$50="variable",BI18*Effective!$E$50,0)))</f>
        <v/>
      </c>
      <c r="BJ43" s="25">
        <f>IF(BJ$4=0,0,IF(Effective!$C$50="fixed",Effective!$D$50,IF(Effective!$C$50="variable",BJ18*Effective!$E$50,0)))</f>
        <v/>
      </c>
      <c r="BK43" s="25">
        <f>IF(BK$4=0,0,IF(Effective!$C$50="fixed",Effective!$D$50,IF(Effective!$C$50="variable",BK18*Effective!$E$50,0)))</f>
        <v/>
      </c>
      <c r="BL43" s="25">
        <f>IF(BL$4=0,0,IF(Effective!$C$50="fixed",Effective!$D$50,IF(Effective!$C$50="variable",BL18*Effective!$E$50,0)))</f>
        <v/>
      </c>
      <c r="BM43" s="25">
        <f>IF(BM$4=0,0,IF(Effective!$C$50="fixed",Effective!$D$50,IF(Effective!$C$50="variable",BM18*Effective!$E$50,0)))</f>
        <v/>
      </c>
      <c r="BN43" s="25">
        <f>IF(BN$4=0,0,IF(Effective!$C$50="fixed",Effective!$D$50,IF(Effective!$C$50="variable",BN18*Effective!$E$50,0)))</f>
        <v/>
      </c>
      <c r="BO43" s="25">
        <f>IF(BO$4=0,0,IF(Effective!$C$50="fixed",Effective!$D$50,IF(Effective!$C$50="variable",BO18*Effective!$E$50,0)))</f>
        <v/>
      </c>
      <c r="BP43" s="25">
        <f>IF(BP$4=0,0,IF(Effective!$C$50="fixed",Effective!$D$50,IF(Effective!$C$50="variable",BP18*Effective!$E$50,0)))</f>
        <v/>
      </c>
      <c r="BQ43" s="25">
        <f>IF(BQ$4=0,0,IF(Effective!$C$50="fixed",Effective!$D$50,IF(Effective!$C$50="variable",BQ18*Effective!$E$50,0)))</f>
        <v/>
      </c>
      <c r="BR43" s="25">
        <f>IF(BR$4=0,0,IF(Effective!$C$50="fixed",Effective!$D$50,IF(Effective!$C$50="variable",BR18*Effective!$E$50,0)))</f>
        <v/>
      </c>
      <c r="BS43" s="25">
        <f>IF(BS$4=0,0,IF(Effective!$C$50="fixed",Effective!$D$50,IF(Effective!$C$50="variable",BS18*Effective!$E$50,0)))</f>
        <v/>
      </c>
      <c r="BT43" s="25">
        <f>IF(BT$4=0,0,IF(Effective!$C$50="fixed",Effective!$D$50,IF(Effective!$C$50="variable",BT18*Effective!$E$50,0)))</f>
        <v/>
      </c>
      <c r="BU43" s="25">
        <f>IF(BU$4=0,0,IF(Effective!$C$50="fixed",Effective!$D$50,IF(Effective!$C$50="variable",BU18*Effective!$E$50,0)))</f>
        <v/>
      </c>
      <c r="BV43" s="25">
        <f>IF(BV$4=0,0,IF(Effective!$C$50="fixed",Effective!$D$50,IF(Effective!$C$50="variable",BV18*Effective!$E$50,0)))</f>
        <v/>
      </c>
      <c r="BW43" s="25">
        <f>IF(BW$4=0,0,IF(Effective!$C$50="fixed",Effective!$D$50,IF(Effective!$C$50="variable",BW18*Effective!$E$50,0)))</f>
        <v/>
      </c>
      <c r="BX43" s="25">
        <f>IF(BX$4=0,0,IF(Effective!$C$50="fixed",Effective!$D$50,IF(Effective!$C$50="variable",BX18*Effective!$E$50,0)))</f>
        <v/>
      </c>
      <c r="BY43" s="25">
        <f>IF(BY$4=0,0,IF(Effective!$C$50="fixed",Effective!$D$50,IF(Effective!$C$50="variable",BY18*Effective!$E$50,0)))</f>
        <v/>
      </c>
      <c r="BZ43" s="25">
        <f>IF(BZ$4=0,0,IF(Effective!$C$50="fixed",Effective!$D$50,IF(Effective!$C$50="variable",BZ18*Effective!$E$50,0)))</f>
        <v/>
      </c>
      <c r="CA43" s="25">
        <f>IF(CA$4=0,0,IF(Effective!$C$50="fixed",Effective!$D$50,IF(Effective!$C$50="variable",CA18*Effective!$E$50,0)))</f>
        <v/>
      </c>
      <c r="CB43" s="25">
        <f>IF(CB$4=0,0,IF(Effective!$C$50="fixed",Effective!$D$50,IF(Effective!$C$50="variable",CB18*Effective!$E$50,0)))</f>
        <v/>
      </c>
      <c r="CC43" s="25">
        <f>IF(CC$4=0,0,IF(Effective!$C$50="fixed",Effective!$D$50,IF(Effective!$C$50="variable",CC18*Effective!$E$50,0)))</f>
        <v/>
      </c>
      <c r="CD43" s="25">
        <f>IF(CD$4=0,0,IF(Effective!$C$50="fixed",Effective!$D$50,IF(Effective!$C$50="variable",CD18*Effective!$E$50,0)))</f>
        <v/>
      </c>
      <c r="CE43" s="25">
        <f>IF(CE$4=0,0,IF(Effective!$C$50="fixed",Effective!$D$50,IF(Effective!$C$50="variable",CE18*Effective!$E$50,0)))</f>
        <v/>
      </c>
      <c r="CF43" s="25">
        <f>IF(CF$4=0,0,IF(Effective!$C$50="fixed",Effective!$D$50,IF(Effective!$C$50="variable",CF18*Effective!$E$50,0)))</f>
        <v/>
      </c>
      <c r="CG43" s="25">
        <f>IF(CG$4=0,0,IF(Effective!$C$50="fixed",Effective!$D$50,IF(Effective!$C$50="variable",CG18*Effective!$E$50,0)))</f>
        <v/>
      </c>
      <c r="CH43" s="25">
        <f>IF(CH$4=0,0,IF(Effective!$C$50="fixed",Effective!$D$50,IF(Effective!$C$50="variable",CH18*Effective!$E$50,0)))</f>
        <v/>
      </c>
      <c r="CI43" s="25">
        <f>IF(CI$4=0,0,IF(Effective!$C$50="fixed",Effective!$D$50,IF(Effective!$C$50="variable",CI18*Effective!$E$50,0)))</f>
        <v/>
      </c>
      <c r="CJ43" s="25">
        <f>IF(CJ$4=0,0,IF(Effective!$C$50="fixed",Effective!$D$50,IF(Effective!$C$50="variable",CJ18*Effective!$E$50,0)))</f>
        <v/>
      </c>
      <c r="CK43" s="25">
        <f>IF(CK$4=0,0,IF(Effective!$C$50="fixed",Effective!$D$50,IF(Effective!$C$50="variable",CK18*Effective!$E$50,0)))</f>
        <v/>
      </c>
      <c r="CL43" s="25">
        <f>IF(CL$4=0,0,IF(Effective!$C$50="fixed",Effective!$D$50,IF(Effective!$C$50="variable",CL18*Effective!$E$50,0)))</f>
        <v/>
      </c>
      <c r="CM43" s="25">
        <f>IF(CM$4=0,0,IF(Effective!$C$50="fixed",Effective!$D$50,IF(Effective!$C$50="variable",CM18*Effective!$E$50,0)))</f>
        <v/>
      </c>
      <c r="CN43" s="25">
        <f>IF(CN$4=0,0,IF(Effective!$C$50="fixed",Effective!$D$50,IF(Effective!$C$50="variable",CN18*Effective!$E$50,0)))</f>
        <v/>
      </c>
      <c r="CO43" s="25">
        <f>IF(CO$4=0,0,IF(Effective!$C$50="fixed",Effective!$D$50,IF(Effective!$C$50="variable",CO18*Effective!$E$50,0)))</f>
        <v/>
      </c>
      <c r="CP43" s="25">
        <f>IF(CP$4=0,0,IF(Effective!$C$50="fixed",Effective!$D$50,IF(Effective!$C$50="variable",CP18*Effective!$E$50,0)))</f>
        <v/>
      </c>
      <c r="CQ43" s="25">
        <f>IF(CQ$4=0,0,IF(Effective!$C$50="fixed",Effective!$D$50,IF(Effective!$C$50="variable",CQ18*Effective!$E$50,0)))</f>
        <v/>
      </c>
      <c r="CR43" s="25">
        <f>IF(CR$4=0,0,IF(Effective!$C$50="fixed",Effective!$D$50,IF(Effective!$C$50="variable",CR18*Effective!$E$50,0)))</f>
        <v/>
      </c>
      <c r="CS43" s="25">
        <f>IF(CS$4=0,0,IF(Effective!$C$50="fixed",Effective!$D$50,IF(Effective!$C$50="variable",CS18*Effective!$E$50,0)))</f>
        <v/>
      </c>
      <c r="CT43" s="25">
        <f>IF(CT$4=0,0,IF(Effective!$C$50="fixed",Effective!$D$50,IF(Effective!$C$50="variable",CT18*Effective!$E$50,0)))</f>
        <v/>
      </c>
      <c r="CU43" s="25">
        <f>IF(CU$4=0,0,IF(Effective!$C$50="fixed",Effective!$D$50,IF(Effective!$C$50="variable",CU18*Effective!$E$50,0)))</f>
        <v/>
      </c>
      <c r="CV43" s="25">
        <f>IF(CV$4=0,0,IF(Effective!$C$50="fixed",Effective!$D$50,IF(Effective!$C$50="variable",CV18*Effective!$E$50,0)))</f>
        <v/>
      </c>
      <c r="CW43" s="25">
        <f>IF(CW$4=0,0,IF(Effective!$C$50="fixed",Effective!$D$50,IF(Effective!$C$50="variable",CW18*Effective!$E$50,0)))</f>
        <v/>
      </c>
      <c r="CX43" s="25">
        <f>IF(CX$4=0,0,IF(Effective!$C$50="fixed",Effective!$D$50,IF(Effective!$C$50="variable",CX18*Effective!$E$50,0)))</f>
        <v/>
      </c>
      <c r="CY43" s="25">
        <f>IF(CY$4=0,0,IF(Effective!$C$50="fixed",Effective!$D$50,IF(Effective!$C$50="variable",CY18*Effective!$E$50,0)))</f>
        <v/>
      </c>
      <c r="CZ43" s="25">
        <f>IF(CZ$4=0,0,IF(Effective!$C$50="fixed",Effective!$D$50,IF(Effective!$C$50="variable",CZ18*Effective!$E$50,0)))</f>
        <v/>
      </c>
      <c r="DA43" s="25">
        <f>IF(DA$4=0,0,IF(Effective!$C$50="fixed",Effective!$D$50,IF(Effective!$C$50="variable",DA18*Effective!$E$50,0)))</f>
        <v/>
      </c>
      <c r="DB43" s="25">
        <f>IF(DB$4=0,0,IF(Effective!$C$50="fixed",Effective!$D$50,IF(Effective!$C$50="variable",DB18*Effective!$E$50,0)))</f>
        <v/>
      </c>
      <c r="DC43" s="25">
        <f>IF(DC$4=0,0,IF(Effective!$C$50="fixed",Effective!$D$50,IF(Effective!$C$50="variable",DC18*Effective!$E$50,0)))</f>
        <v/>
      </c>
      <c r="DD43" s="25">
        <f>IF(DD$4=0,0,IF(Effective!$C$50="fixed",Effective!$D$50,IF(Effective!$C$50="variable",DD18*Effective!$E$50,0)))</f>
        <v/>
      </c>
      <c r="DE43" s="25">
        <f>IF(DE$4=0,0,IF(Effective!$C$50="fixed",Effective!$D$50,IF(Effective!$C$50="variable",DE18*Effective!$E$50,0)))</f>
        <v/>
      </c>
      <c r="DF43" s="25">
        <f>IF(DF$4=0,0,IF(Effective!$C$50="fixed",Effective!$D$50,IF(Effective!$C$50="variable",DF18*Effective!$E$50,0)))</f>
        <v/>
      </c>
      <c r="DG43" s="25">
        <f>IF(DG$4=0,0,IF(Effective!$C$50="fixed",Effective!$D$50,IF(Effective!$C$50="variable",DG18*Effective!$E$50,0)))</f>
        <v/>
      </c>
      <c r="DH43" s="25">
        <f>IF(DH$4=0,0,IF(Effective!$C$50="fixed",Effective!$D$50,IF(Effective!$C$50="variable",DH18*Effective!$E$50,0)))</f>
        <v/>
      </c>
      <c r="DI43" s="25">
        <f>IF(DI$4=0,0,IF(Effective!$C$50="fixed",Effective!$D$50,IF(Effective!$C$50="variable",DI18*Effective!$E$50,0)))</f>
        <v/>
      </c>
      <c r="DJ43" s="25">
        <f>IF(DJ$4=0,0,IF(Effective!$C$50="fixed",Effective!$D$50,IF(Effective!$C$50="variable",DJ18*Effective!$E$50,0)))</f>
        <v/>
      </c>
      <c r="DK43" s="25">
        <f>IF(DK$4=0,0,IF(Effective!$C$50="fixed",Effective!$D$50,IF(Effective!$C$50="variable",DK18*Effective!$E$50,0)))</f>
        <v/>
      </c>
      <c r="DL43" s="25">
        <f>IF(DL$4=0,0,IF(Effective!$C$50="fixed",Effective!$D$50,IF(Effective!$C$50="variable",DL18*Effective!$E$50,0)))</f>
        <v/>
      </c>
      <c r="DM43" s="25">
        <f>IF(DM$4=0,0,IF(Effective!$C$50="fixed",Effective!$D$50,IF(Effective!$C$50="variable",DM18*Effective!$E$50,0)))</f>
        <v/>
      </c>
      <c r="DN43" s="25">
        <f>IF(DN$4=0,0,IF(Effective!$C$50="fixed",Effective!$D$50,IF(Effective!$C$50="variable",DN18*Effective!$E$50,0)))</f>
        <v/>
      </c>
      <c r="DO43" s="25">
        <f>IF(DO$4=0,0,IF(Effective!$C$50="fixed",Effective!$D$50,IF(Effective!$C$50="variable",DO18*Effective!$E$50,0)))</f>
        <v/>
      </c>
      <c r="DP43" s="25">
        <f>IF(DP$4=0,0,IF(Effective!$C$50="fixed",Effective!$D$50,IF(Effective!$C$50="variable",DP18*Effective!$E$50,0)))</f>
        <v/>
      </c>
      <c r="DQ43" s="25">
        <f>IF(DQ$4=0,0,IF(Effective!$C$50="fixed",Effective!$D$50,IF(Effective!$C$50="variable",DQ18*Effective!$E$50,0)))</f>
        <v/>
      </c>
      <c r="DR43" s="25">
        <f>IF(DR$4=0,0,IF(Effective!$C$50="fixed",Effective!$D$50,IF(Effective!$C$50="variable",DR18*Effective!$E$50,0)))</f>
        <v/>
      </c>
    </row>
    <row r="44">
      <c r="A44" s="4" t="inlineStr">
        <is>
          <t>opex</t>
        </is>
      </c>
      <c r="C44" s="25">
        <f>SUM(C29:C43)</f>
        <v/>
      </c>
      <c r="D44" s="25">
        <f>SUM(D29:D43)</f>
        <v/>
      </c>
      <c r="E44" s="25">
        <f>SUM(E29:E43)</f>
        <v/>
      </c>
      <c r="F44" s="25">
        <f>SUM(F29:F43)</f>
        <v/>
      </c>
      <c r="G44" s="25">
        <f>SUM(G29:G43)</f>
        <v/>
      </c>
      <c r="H44" s="25">
        <f>SUM(H29:H43)</f>
        <v/>
      </c>
      <c r="I44" s="25">
        <f>SUM(I29:I43)</f>
        <v/>
      </c>
      <c r="J44" s="25">
        <f>SUM(J29:J43)</f>
        <v/>
      </c>
      <c r="K44" s="25">
        <f>SUM(K29:K43)</f>
        <v/>
      </c>
      <c r="L44" s="25">
        <f>SUM(L29:L43)</f>
        <v/>
      </c>
      <c r="M44" s="25">
        <f>SUM(M29:M43)</f>
        <v/>
      </c>
      <c r="N44" s="25">
        <f>SUM(N29:N43)</f>
        <v/>
      </c>
      <c r="O44" s="25">
        <f>SUM(O29:O43)</f>
        <v/>
      </c>
      <c r="P44" s="25">
        <f>SUM(P29:P43)</f>
        <v/>
      </c>
      <c r="Q44" s="25">
        <f>SUM(Q29:Q43)</f>
        <v/>
      </c>
      <c r="R44" s="25">
        <f>SUM(R29:R43)</f>
        <v/>
      </c>
      <c r="S44" s="25">
        <f>SUM(S29:S43)</f>
        <v/>
      </c>
      <c r="T44" s="25">
        <f>SUM(T29:T43)</f>
        <v/>
      </c>
      <c r="U44" s="25">
        <f>SUM(U29:U43)</f>
        <v/>
      </c>
      <c r="V44" s="25">
        <f>SUM(V29:V43)</f>
        <v/>
      </c>
      <c r="W44" s="25">
        <f>SUM(W29:W43)</f>
        <v/>
      </c>
      <c r="X44" s="25">
        <f>SUM(X29:X43)</f>
        <v/>
      </c>
      <c r="Y44" s="25">
        <f>SUM(Y29:Y43)</f>
        <v/>
      </c>
      <c r="Z44" s="25">
        <f>SUM(Z29:Z43)</f>
        <v/>
      </c>
      <c r="AA44" s="25">
        <f>SUM(AA29:AA43)</f>
        <v/>
      </c>
      <c r="AB44" s="25">
        <f>SUM(AB29:AB43)</f>
        <v/>
      </c>
      <c r="AC44" s="25">
        <f>SUM(AC29:AC43)</f>
        <v/>
      </c>
      <c r="AD44" s="25">
        <f>SUM(AD29:AD43)</f>
        <v/>
      </c>
      <c r="AE44" s="25">
        <f>SUM(AE29:AE43)</f>
        <v/>
      </c>
      <c r="AF44" s="25">
        <f>SUM(AF29:AF43)</f>
        <v/>
      </c>
      <c r="AG44" s="25">
        <f>SUM(AG29:AG43)</f>
        <v/>
      </c>
      <c r="AH44" s="25">
        <f>SUM(AH29:AH43)</f>
        <v/>
      </c>
      <c r="AI44" s="25">
        <f>SUM(AI29:AI43)</f>
        <v/>
      </c>
      <c r="AJ44" s="25">
        <f>SUM(AJ29:AJ43)</f>
        <v/>
      </c>
      <c r="AK44" s="25">
        <f>SUM(AK29:AK43)</f>
        <v/>
      </c>
      <c r="AL44" s="25">
        <f>SUM(AL29:AL43)</f>
        <v/>
      </c>
      <c r="AM44" s="25">
        <f>SUM(AM29:AM43)</f>
        <v/>
      </c>
      <c r="AN44" s="25">
        <f>SUM(AN29:AN43)</f>
        <v/>
      </c>
      <c r="AO44" s="25">
        <f>SUM(AO29:AO43)</f>
        <v/>
      </c>
      <c r="AP44" s="25">
        <f>SUM(AP29:AP43)</f>
        <v/>
      </c>
      <c r="AQ44" s="25">
        <f>SUM(AQ29:AQ43)</f>
        <v/>
      </c>
      <c r="AR44" s="25">
        <f>SUM(AR29:AR43)</f>
        <v/>
      </c>
      <c r="AS44" s="25">
        <f>SUM(AS29:AS43)</f>
        <v/>
      </c>
      <c r="AT44" s="25">
        <f>SUM(AT29:AT43)</f>
        <v/>
      </c>
      <c r="AU44" s="25">
        <f>SUM(AU29:AU43)</f>
        <v/>
      </c>
      <c r="AV44" s="25">
        <f>SUM(AV29:AV43)</f>
        <v/>
      </c>
      <c r="AW44" s="25">
        <f>SUM(AW29:AW43)</f>
        <v/>
      </c>
      <c r="AX44" s="25">
        <f>SUM(AX29:AX43)</f>
        <v/>
      </c>
      <c r="AY44" s="25">
        <f>SUM(AY29:AY43)</f>
        <v/>
      </c>
      <c r="AZ44" s="25">
        <f>SUM(AZ29:AZ43)</f>
        <v/>
      </c>
      <c r="BA44" s="25">
        <f>SUM(BA29:BA43)</f>
        <v/>
      </c>
      <c r="BB44" s="25">
        <f>SUM(BB29:BB43)</f>
        <v/>
      </c>
      <c r="BC44" s="25">
        <f>SUM(BC29:BC43)</f>
        <v/>
      </c>
      <c r="BD44" s="25">
        <f>SUM(BD29:BD43)</f>
        <v/>
      </c>
      <c r="BE44" s="25">
        <f>SUM(BE29:BE43)</f>
        <v/>
      </c>
      <c r="BF44" s="25">
        <f>SUM(BF29:BF43)</f>
        <v/>
      </c>
      <c r="BG44" s="25">
        <f>SUM(BG29:BG43)</f>
        <v/>
      </c>
      <c r="BH44" s="25">
        <f>SUM(BH29:BH43)</f>
        <v/>
      </c>
      <c r="BI44" s="25">
        <f>SUM(BI29:BI43)</f>
        <v/>
      </c>
      <c r="BJ44" s="25">
        <f>SUM(BJ29:BJ43)</f>
        <v/>
      </c>
      <c r="BK44" s="25">
        <f>SUM(BK29:BK43)</f>
        <v/>
      </c>
      <c r="BL44" s="25">
        <f>SUM(BL29:BL43)</f>
        <v/>
      </c>
      <c r="BM44" s="25">
        <f>SUM(BM29:BM43)</f>
        <v/>
      </c>
      <c r="BN44" s="25">
        <f>SUM(BN29:BN43)</f>
        <v/>
      </c>
      <c r="BO44" s="25">
        <f>SUM(BO29:BO43)</f>
        <v/>
      </c>
      <c r="BP44" s="25">
        <f>SUM(BP29:BP43)</f>
        <v/>
      </c>
      <c r="BQ44" s="25">
        <f>SUM(BQ29:BQ43)</f>
        <v/>
      </c>
      <c r="BR44" s="25">
        <f>SUM(BR29:BR43)</f>
        <v/>
      </c>
      <c r="BS44" s="25">
        <f>SUM(BS29:BS43)</f>
        <v/>
      </c>
      <c r="BT44" s="25">
        <f>SUM(BT29:BT43)</f>
        <v/>
      </c>
      <c r="BU44" s="25">
        <f>SUM(BU29:BU43)</f>
        <v/>
      </c>
      <c r="BV44" s="25">
        <f>SUM(BV29:BV43)</f>
        <v/>
      </c>
      <c r="BW44" s="25">
        <f>SUM(BW29:BW43)</f>
        <v/>
      </c>
      <c r="BX44" s="25">
        <f>SUM(BX29:BX43)</f>
        <v/>
      </c>
      <c r="BY44" s="25">
        <f>SUM(BY29:BY43)</f>
        <v/>
      </c>
      <c r="BZ44" s="25">
        <f>SUM(BZ29:BZ43)</f>
        <v/>
      </c>
      <c r="CA44" s="25">
        <f>SUM(CA29:CA43)</f>
        <v/>
      </c>
      <c r="CB44" s="25">
        <f>SUM(CB29:CB43)</f>
        <v/>
      </c>
      <c r="CC44" s="25">
        <f>SUM(CC29:CC43)</f>
        <v/>
      </c>
      <c r="CD44" s="25">
        <f>SUM(CD29:CD43)</f>
        <v/>
      </c>
      <c r="CE44" s="25">
        <f>SUM(CE29:CE43)</f>
        <v/>
      </c>
      <c r="CF44" s="25">
        <f>SUM(CF29:CF43)</f>
        <v/>
      </c>
      <c r="CG44" s="25">
        <f>SUM(CG29:CG43)</f>
        <v/>
      </c>
      <c r="CH44" s="25">
        <f>SUM(CH29:CH43)</f>
        <v/>
      </c>
      <c r="CI44" s="25">
        <f>SUM(CI29:CI43)</f>
        <v/>
      </c>
      <c r="CJ44" s="25">
        <f>SUM(CJ29:CJ43)</f>
        <v/>
      </c>
      <c r="CK44" s="25">
        <f>SUM(CK29:CK43)</f>
        <v/>
      </c>
      <c r="CL44" s="25">
        <f>SUM(CL29:CL43)</f>
        <v/>
      </c>
      <c r="CM44" s="25">
        <f>SUM(CM29:CM43)</f>
        <v/>
      </c>
      <c r="CN44" s="25">
        <f>SUM(CN29:CN43)</f>
        <v/>
      </c>
      <c r="CO44" s="25">
        <f>SUM(CO29:CO43)</f>
        <v/>
      </c>
      <c r="CP44" s="25">
        <f>SUM(CP29:CP43)</f>
        <v/>
      </c>
      <c r="CQ44" s="25">
        <f>SUM(CQ29:CQ43)</f>
        <v/>
      </c>
      <c r="CR44" s="25">
        <f>SUM(CR29:CR43)</f>
        <v/>
      </c>
      <c r="CS44" s="25">
        <f>SUM(CS29:CS43)</f>
        <v/>
      </c>
      <c r="CT44" s="25">
        <f>SUM(CT29:CT43)</f>
        <v/>
      </c>
      <c r="CU44" s="25">
        <f>SUM(CU29:CU43)</f>
        <v/>
      </c>
      <c r="CV44" s="25">
        <f>SUM(CV29:CV43)</f>
        <v/>
      </c>
      <c r="CW44" s="25">
        <f>SUM(CW29:CW43)</f>
        <v/>
      </c>
      <c r="CX44" s="25">
        <f>SUM(CX29:CX43)</f>
        <v/>
      </c>
      <c r="CY44" s="25">
        <f>SUM(CY29:CY43)</f>
        <v/>
      </c>
      <c r="CZ44" s="25">
        <f>SUM(CZ29:CZ43)</f>
        <v/>
      </c>
      <c r="DA44" s="25">
        <f>SUM(DA29:DA43)</f>
        <v/>
      </c>
      <c r="DB44" s="25">
        <f>SUM(DB29:DB43)</f>
        <v/>
      </c>
      <c r="DC44" s="25">
        <f>SUM(DC29:DC43)</f>
        <v/>
      </c>
      <c r="DD44" s="25">
        <f>SUM(DD29:DD43)</f>
        <v/>
      </c>
      <c r="DE44" s="25">
        <f>SUM(DE29:DE43)</f>
        <v/>
      </c>
      <c r="DF44" s="25">
        <f>SUM(DF29:DF43)</f>
        <v/>
      </c>
      <c r="DG44" s="25">
        <f>SUM(DG29:DG43)</f>
        <v/>
      </c>
      <c r="DH44" s="25">
        <f>SUM(DH29:DH43)</f>
        <v/>
      </c>
      <c r="DI44" s="25">
        <f>SUM(DI29:DI43)</f>
        <v/>
      </c>
      <c r="DJ44" s="25">
        <f>SUM(DJ29:DJ43)</f>
        <v/>
      </c>
      <c r="DK44" s="25">
        <f>SUM(DK29:DK43)</f>
        <v/>
      </c>
      <c r="DL44" s="25">
        <f>SUM(DL29:DL43)</f>
        <v/>
      </c>
      <c r="DM44" s="25">
        <f>SUM(DM29:DM43)</f>
        <v/>
      </c>
      <c r="DN44" s="25">
        <f>SUM(DN29:DN43)</f>
        <v/>
      </c>
      <c r="DO44" s="25">
        <f>SUM(DO29:DO43)</f>
        <v/>
      </c>
      <c r="DP44" s="25">
        <f>SUM(DP29:DP43)</f>
        <v/>
      </c>
      <c r="DQ44" s="25">
        <f>SUM(DQ29:DQ43)</f>
        <v/>
      </c>
      <c r="DR44" s="25">
        <f>SUM(DR29:DR43)</f>
        <v/>
      </c>
    </row>
    <row r="45">
      <c r="A45" s="4" t="inlineStr">
        <is>
          <t>ebitda</t>
        </is>
      </c>
      <c r="C45" s="25">
        <f>C28-C44</f>
        <v/>
      </c>
      <c r="D45" s="25">
        <f>D28-D44</f>
        <v/>
      </c>
      <c r="E45" s="25">
        <f>E28-E44</f>
        <v/>
      </c>
      <c r="F45" s="25">
        <f>F28-F44</f>
        <v/>
      </c>
      <c r="G45" s="25">
        <f>G28-G44</f>
        <v/>
      </c>
      <c r="H45" s="25">
        <f>H28-H44</f>
        <v/>
      </c>
      <c r="I45" s="25">
        <f>I28-I44</f>
        <v/>
      </c>
      <c r="J45" s="25">
        <f>J28-J44</f>
        <v/>
      </c>
      <c r="K45" s="25">
        <f>K28-K44</f>
        <v/>
      </c>
      <c r="L45" s="25">
        <f>L28-L44</f>
        <v/>
      </c>
      <c r="M45" s="25">
        <f>M28-M44</f>
        <v/>
      </c>
      <c r="N45" s="25">
        <f>N28-N44</f>
        <v/>
      </c>
      <c r="O45" s="25">
        <f>O28-O44</f>
        <v/>
      </c>
      <c r="P45" s="25">
        <f>P28-P44</f>
        <v/>
      </c>
      <c r="Q45" s="25">
        <f>Q28-Q44</f>
        <v/>
      </c>
      <c r="R45" s="25">
        <f>R28-R44</f>
        <v/>
      </c>
      <c r="S45" s="25">
        <f>S28-S44</f>
        <v/>
      </c>
      <c r="T45" s="25">
        <f>T28-T44</f>
        <v/>
      </c>
      <c r="U45" s="25">
        <f>U28-U44</f>
        <v/>
      </c>
      <c r="V45" s="25">
        <f>V28-V44</f>
        <v/>
      </c>
      <c r="W45" s="25">
        <f>W28-W44</f>
        <v/>
      </c>
      <c r="X45" s="25">
        <f>X28-X44</f>
        <v/>
      </c>
      <c r="Y45" s="25">
        <f>Y28-Y44</f>
        <v/>
      </c>
      <c r="Z45" s="25">
        <f>Z28-Z44</f>
        <v/>
      </c>
      <c r="AA45" s="25">
        <f>AA28-AA44</f>
        <v/>
      </c>
      <c r="AB45" s="25">
        <f>AB28-AB44</f>
        <v/>
      </c>
      <c r="AC45" s="25">
        <f>AC28-AC44</f>
        <v/>
      </c>
      <c r="AD45" s="25">
        <f>AD28-AD44</f>
        <v/>
      </c>
      <c r="AE45" s="25">
        <f>AE28-AE44</f>
        <v/>
      </c>
      <c r="AF45" s="25">
        <f>AF28-AF44</f>
        <v/>
      </c>
      <c r="AG45" s="25">
        <f>AG28-AG44</f>
        <v/>
      </c>
      <c r="AH45" s="25">
        <f>AH28-AH44</f>
        <v/>
      </c>
      <c r="AI45" s="25">
        <f>AI28-AI44</f>
        <v/>
      </c>
      <c r="AJ45" s="25">
        <f>AJ28-AJ44</f>
        <v/>
      </c>
      <c r="AK45" s="25">
        <f>AK28-AK44</f>
        <v/>
      </c>
      <c r="AL45" s="25">
        <f>AL28-AL44</f>
        <v/>
      </c>
      <c r="AM45" s="25">
        <f>AM28-AM44</f>
        <v/>
      </c>
      <c r="AN45" s="25">
        <f>AN28-AN44</f>
        <v/>
      </c>
      <c r="AO45" s="25">
        <f>AO28-AO44</f>
        <v/>
      </c>
      <c r="AP45" s="25">
        <f>AP28-AP44</f>
        <v/>
      </c>
      <c r="AQ45" s="25">
        <f>AQ28-AQ44</f>
        <v/>
      </c>
      <c r="AR45" s="25">
        <f>AR28-AR44</f>
        <v/>
      </c>
      <c r="AS45" s="25">
        <f>AS28-AS44</f>
        <v/>
      </c>
      <c r="AT45" s="25">
        <f>AT28-AT44</f>
        <v/>
      </c>
      <c r="AU45" s="25">
        <f>AU28-AU44</f>
        <v/>
      </c>
      <c r="AV45" s="25">
        <f>AV28-AV44</f>
        <v/>
      </c>
      <c r="AW45" s="25">
        <f>AW28-AW44</f>
        <v/>
      </c>
      <c r="AX45" s="25">
        <f>AX28-AX44</f>
        <v/>
      </c>
      <c r="AY45" s="25">
        <f>AY28-AY44</f>
        <v/>
      </c>
      <c r="AZ45" s="25">
        <f>AZ28-AZ44</f>
        <v/>
      </c>
      <c r="BA45" s="25">
        <f>BA28-BA44</f>
        <v/>
      </c>
      <c r="BB45" s="25">
        <f>BB28-BB44</f>
        <v/>
      </c>
      <c r="BC45" s="25">
        <f>BC28-BC44</f>
        <v/>
      </c>
      <c r="BD45" s="25">
        <f>BD28-BD44</f>
        <v/>
      </c>
      <c r="BE45" s="25">
        <f>BE28-BE44</f>
        <v/>
      </c>
      <c r="BF45" s="25">
        <f>BF28-BF44</f>
        <v/>
      </c>
      <c r="BG45" s="25">
        <f>BG28-BG44</f>
        <v/>
      </c>
      <c r="BH45" s="25">
        <f>BH28-BH44</f>
        <v/>
      </c>
      <c r="BI45" s="25">
        <f>BI28-BI44</f>
        <v/>
      </c>
      <c r="BJ45" s="25">
        <f>BJ28-BJ44</f>
        <v/>
      </c>
      <c r="BK45" s="25">
        <f>BK28-BK44</f>
        <v/>
      </c>
      <c r="BL45" s="25">
        <f>BL28-BL44</f>
        <v/>
      </c>
      <c r="BM45" s="25">
        <f>BM28-BM44</f>
        <v/>
      </c>
      <c r="BN45" s="25">
        <f>BN28-BN44</f>
        <v/>
      </c>
      <c r="BO45" s="25">
        <f>BO28-BO44</f>
        <v/>
      </c>
      <c r="BP45" s="25">
        <f>BP28-BP44</f>
        <v/>
      </c>
      <c r="BQ45" s="25">
        <f>BQ28-BQ44</f>
        <v/>
      </c>
      <c r="BR45" s="25">
        <f>BR28-BR44</f>
        <v/>
      </c>
      <c r="BS45" s="25">
        <f>BS28-BS44</f>
        <v/>
      </c>
      <c r="BT45" s="25">
        <f>BT28-BT44</f>
        <v/>
      </c>
      <c r="BU45" s="25">
        <f>BU28-BU44</f>
        <v/>
      </c>
      <c r="BV45" s="25">
        <f>BV28-BV44</f>
        <v/>
      </c>
      <c r="BW45" s="25">
        <f>BW28-BW44</f>
        <v/>
      </c>
      <c r="BX45" s="25">
        <f>BX28-BX44</f>
        <v/>
      </c>
      <c r="BY45" s="25">
        <f>BY28-BY44</f>
        <v/>
      </c>
      <c r="BZ45" s="25">
        <f>BZ28-BZ44</f>
        <v/>
      </c>
      <c r="CA45" s="25">
        <f>CA28-CA44</f>
        <v/>
      </c>
      <c r="CB45" s="25">
        <f>CB28-CB44</f>
        <v/>
      </c>
      <c r="CC45" s="25">
        <f>CC28-CC44</f>
        <v/>
      </c>
      <c r="CD45" s="25">
        <f>CD28-CD44</f>
        <v/>
      </c>
      <c r="CE45" s="25">
        <f>CE28-CE44</f>
        <v/>
      </c>
      <c r="CF45" s="25">
        <f>CF28-CF44</f>
        <v/>
      </c>
      <c r="CG45" s="25">
        <f>CG28-CG44</f>
        <v/>
      </c>
      <c r="CH45" s="25">
        <f>CH28-CH44</f>
        <v/>
      </c>
      <c r="CI45" s="25">
        <f>CI28-CI44</f>
        <v/>
      </c>
      <c r="CJ45" s="25">
        <f>CJ28-CJ44</f>
        <v/>
      </c>
      <c r="CK45" s="25">
        <f>CK28-CK44</f>
        <v/>
      </c>
      <c r="CL45" s="25">
        <f>CL28-CL44</f>
        <v/>
      </c>
      <c r="CM45" s="25">
        <f>CM28-CM44</f>
        <v/>
      </c>
      <c r="CN45" s="25">
        <f>CN28-CN44</f>
        <v/>
      </c>
      <c r="CO45" s="25">
        <f>CO28-CO44</f>
        <v/>
      </c>
      <c r="CP45" s="25">
        <f>CP28-CP44</f>
        <v/>
      </c>
      <c r="CQ45" s="25">
        <f>CQ28-CQ44</f>
        <v/>
      </c>
      <c r="CR45" s="25">
        <f>CR28-CR44</f>
        <v/>
      </c>
      <c r="CS45" s="25">
        <f>CS28-CS44</f>
        <v/>
      </c>
      <c r="CT45" s="25">
        <f>CT28-CT44</f>
        <v/>
      </c>
      <c r="CU45" s="25">
        <f>CU28-CU44</f>
        <v/>
      </c>
      <c r="CV45" s="25">
        <f>CV28-CV44</f>
        <v/>
      </c>
      <c r="CW45" s="25">
        <f>CW28-CW44</f>
        <v/>
      </c>
      <c r="CX45" s="25">
        <f>CX28-CX44</f>
        <v/>
      </c>
      <c r="CY45" s="25">
        <f>CY28-CY44</f>
        <v/>
      </c>
      <c r="CZ45" s="25">
        <f>CZ28-CZ44</f>
        <v/>
      </c>
      <c r="DA45" s="25">
        <f>DA28-DA44</f>
        <v/>
      </c>
      <c r="DB45" s="25">
        <f>DB28-DB44</f>
        <v/>
      </c>
      <c r="DC45" s="25">
        <f>DC28-DC44</f>
        <v/>
      </c>
      <c r="DD45" s="25">
        <f>DD28-DD44</f>
        <v/>
      </c>
      <c r="DE45" s="25">
        <f>DE28-DE44</f>
        <v/>
      </c>
      <c r="DF45" s="25">
        <f>DF28-DF44</f>
        <v/>
      </c>
      <c r="DG45" s="25">
        <f>DG28-DG44</f>
        <v/>
      </c>
      <c r="DH45" s="25">
        <f>DH28-DH44</f>
        <v/>
      </c>
      <c r="DI45" s="25">
        <f>DI28-DI44</f>
        <v/>
      </c>
      <c r="DJ45" s="25">
        <f>DJ28-DJ44</f>
        <v/>
      </c>
      <c r="DK45" s="25">
        <f>DK28-DK44</f>
        <v/>
      </c>
      <c r="DL45" s="25">
        <f>DL28-DL44</f>
        <v/>
      </c>
      <c r="DM45" s="25">
        <f>DM28-DM44</f>
        <v/>
      </c>
      <c r="DN45" s="25">
        <f>DN28-DN44</f>
        <v/>
      </c>
      <c r="DO45" s="25">
        <f>DO28-DO44</f>
        <v/>
      </c>
      <c r="DP45" s="25">
        <f>DP28-DP44</f>
        <v/>
      </c>
      <c r="DQ45" s="25">
        <f>DQ28-DQ44</f>
        <v/>
      </c>
      <c r="DR45" s="25">
        <f>DR28-DR44</f>
        <v/>
      </c>
    </row>
    <row r="46">
      <c r="A46" t="inlineStr">
        <is>
          <t>da</t>
        </is>
      </c>
      <c r="C46" s="25">
        <f>IF(C$4=0,0,Effective!$B$9)</f>
        <v/>
      </c>
      <c r="D46" s="25">
        <f>IF(D$4=0,0,Effective!$B$9)</f>
        <v/>
      </c>
      <c r="E46" s="25">
        <f>IF(E$4=0,0,Effective!$B$9)</f>
        <v/>
      </c>
      <c r="F46" s="25">
        <f>IF(F$4=0,0,Effective!$B$9)</f>
        <v/>
      </c>
      <c r="G46" s="25">
        <f>IF(G$4=0,0,Effective!$B$9)</f>
        <v/>
      </c>
      <c r="H46" s="25">
        <f>IF(H$4=0,0,Effective!$B$9)</f>
        <v/>
      </c>
      <c r="I46" s="25">
        <f>IF(I$4=0,0,Effective!$B$9)</f>
        <v/>
      </c>
      <c r="J46" s="25">
        <f>IF(J$4=0,0,Effective!$B$9)</f>
        <v/>
      </c>
      <c r="K46" s="25">
        <f>IF(K$4=0,0,Effective!$B$9)</f>
        <v/>
      </c>
      <c r="L46" s="25">
        <f>IF(L$4=0,0,Effective!$B$9)</f>
        <v/>
      </c>
      <c r="M46" s="25">
        <f>IF(M$4=0,0,Effective!$B$9)</f>
        <v/>
      </c>
      <c r="N46" s="25">
        <f>IF(N$4=0,0,Effective!$B$9)</f>
        <v/>
      </c>
      <c r="O46" s="25">
        <f>IF(O$4=0,0,Effective!$B$9)</f>
        <v/>
      </c>
      <c r="P46" s="25">
        <f>IF(P$4=0,0,Effective!$B$9)</f>
        <v/>
      </c>
      <c r="Q46" s="25">
        <f>IF(Q$4=0,0,Effective!$B$9)</f>
        <v/>
      </c>
      <c r="R46" s="25">
        <f>IF(R$4=0,0,Effective!$B$9)</f>
        <v/>
      </c>
      <c r="S46" s="25">
        <f>IF(S$4=0,0,Effective!$B$9)</f>
        <v/>
      </c>
      <c r="T46" s="25">
        <f>IF(T$4=0,0,Effective!$B$9)</f>
        <v/>
      </c>
      <c r="U46" s="25">
        <f>IF(U$4=0,0,Effective!$B$9)</f>
        <v/>
      </c>
      <c r="V46" s="25">
        <f>IF(V$4=0,0,Effective!$B$9)</f>
        <v/>
      </c>
      <c r="W46" s="25">
        <f>IF(W$4=0,0,Effective!$B$9)</f>
        <v/>
      </c>
      <c r="X46" s="25">
        <f>IF(X$4=0,0,Effective!$B$9)</f>
        <v/>
      </c>
      <c r="Y46" s="25">
        <f>IF(Y$4=0,0,Effective!$B$9)</f>
        <v/>
      </c>
      <c r="Z46" s="25">
        <f>IF(Z$4=0,0,Effective!$B$9)</f>
        <v/>
      </c>
      <c r="AA46" s="25">
        <f>IF(AA$4=0,0,Effective!$B$9)</f>
        <v/>
      </c>
      <c r="AB46" s="25">
        <f>IF(AB$4=0,0,Effective!$B$9)</f>
        <v/>
      </c>
      <c r="AC46" s="25">
        <f>IF(AC$4=0,0,Effective!$B$9)</f>
        <v/>
      </c>
      <c r="AD46" s="25">
        <f>IF(AD$4=0,0,Effective!$B$9)</f>
        <v/>
      </c>
      <c r="AE46" s="25">
        <f>IF(AE$4=0,0,Effective!$B$9)</f>
        <v/>
      </c>
      <c r="AF46" s="25">
        <f>IF(AF$4=0,0,Effective!$B$9)</f>
        <v/>
      </c>
      <c r="AG46" s="25">
        <f>IF(AG$4=0,0,Effective!$B$9)</f>
        <v/>
      </c>
      <c r="AH46" s="25">
        <f>IF(AH$4=0,0,Effective!$B$9)</f>
        <v/>
      </c>
      <c r="AI46" s="25">
        <f>IF(AI$4=0,0,Effective!$B$9)</f>
        <v/>
      </c>
      <c r="AJ46" s="25">
        <f>IF(AJ$4=0,0,Effective!$B$9)</f>
        <v/>
      </c>
      <c r="AK46" s="25">
        <f>IF(AK$4=0,0,Effective!$B$9)</f>
        <v/>
      </c>
      <c r="AL46" s="25">
        <f>IF(AL$4=0,0,Effective!$B$9)</f>
        <v/>
      </c>
      <c r="AM46" s="25">
        <f>IF(AM$4=0,0,Effective!$B$9)</f>
        <v/>
      </c>
      <c r="AN46" s="25">
        <f>IF(AN$4=0,0,Effective!$B$9)</f>
        <v/>
      </c>
      <c r="AO46" s="25">
        <f>IF(AO$4=0,0,Effective!$B$9)</f>
        <v/>
      </c>
      <c r="AP46" s="25">
        <f>IF(AP$4=0,0,Effective!$B$9)</f>
        <v/>
      </c>
      <c r="AQ46" s="25">
        <f>IF(AQ$4=0,0,Effective!$B$9)</f>
        <v/>
      </c>
      <c r="AR46" s="25">
        <f>IF(AR$4=0,0,Effective!$B$9)</f>
        <v/>
      </c>
      <c r="AS46" s="25">
        <f>IF(AS$4=0,0,Effective!$B$9)</f>
        <v/>
      </c>
      <c r="AT46" s="25">
        <f>IF(AT$4=0,0,Effective!$B$9)</f>
        <v/>
      </c>
      <c r="AU46" s="25">
        <f>IF(AU$4=0,0,Effective!$B$9)</f>
        <v/>
      </c>
      <c r="AV46" s="25">
        <f>IF(AV$4=0,0,Effective!$B$9)</f>
        <v/>
      </c>
      <c r="AW46" s="25">
        <f>IF(AW$4=0,0,Effective!$B$9)</f>
        <v/>
      </c>
      <c r="AX46" s="25">
        <f>IF(AX$4=0,0,Effective!$B$9)</f>
        <v/>
      </c>
      <c r="AY46" s="25">
        <f>IF(AY$4=0,0,Effective!$B$9)</f>
        <v/>
      </c>
      <c r="AZ46" s="25">
        <f>IF(AZ$4=0,0,Effective!$B$9)</f>
        <v/>
      </c>
      <c r="BA46" s="25">
        <f>IF(BA$4=0,0,Effective!$B$9)</f>
        <v/>
      </c>
      <c r="BB46" s="25">
        <f>IF(BB$4=0,0,Effective!$B$9)</f>
        <v/>
      </c>
      <c r="BC46" s="25">
        <f>IF(BC$4=0,0,Effective!$B$9)</f>
        <v/>
      </c>
      <c r="BD46" s="25">
        <f>IF(BD$4=0,0,Effective!$B$9)</f>
        <v/>
      </c>
      <c r="BE46" s="25">
        <f>IF(BE$4=0,0,Effective!$B$9)</f>
        <v/>
      </c>
      <c r="BF46" s="25">
        <f>IF(BF$4=0,0,Effective!$B$9)</f>
        <v/>
      </c>
      <c r="BG46" s="25">
        <f>IF(BG$4=0,0,Effective!$B$9)</f>
        <v/>
      </c>
      <c r="BH46" s="25">
        <f>IF(BH$4=0,0,Effective!$B$9)</f>
        <v/>
      </c>
      <c r="BI46" s="25">
        <f>IF(BI$4=0,0,Effective!$B$9)</f>
        <v/>
      </c>
      <c r="BJ46" s="25">
        <f>IF(BJ$4=0,0,Effective!$B$9)</f>
        <v/>
      </c>
      <c r="BK46" s="25">
        <f>IF(BK$4=0,0,Effective!$B$9)</f>
        <v/>
      </c>
      <c r="BL46" s="25">
        <f>IF(BL$4=0,0,Effective!$B$9)</f>
        <v/>
      </c>
      <c r="BM46" s="25">
        <f>IF(BM$4=0,0,Effective!$B$9)</f>
        <v/>
      </c>
      <c r="BN46" s="25">
        <f>IF(BN$4=0,0,Effective!$B$9)</f>
        <v/>
      </c>
      <c r="BO46" s="25">
        <f>IF(BO$4=0,0,Effective!$B$9)</f>
        <v/>
      </c>
      <c r="BP46" s="25">
        <f>IF(BP$4=0,0,Effective!$B$9)</f>
        <v/>
      </c>
      <c r="BQ46" s="25">
        <f>IF(BQ$4=0,0,Effective!$B$9)</f>
        <v/>
      </c>
      <c r="BR46" s="25">
        <f>IF(BR$4=0,0,Effective!$B$9)</f>
        <v/>
      </c>
      <c r="BS46" s="25">
        <f>IF(BS$4=0,0,Effective!$B$9)</f>
        <v/>
      </c>
      <c r="BT46" s="25">
        <f>IF(BT$4=0,0,Effective!$B$9)</f>
        <v/>
      </c>
      <c r="BU46" s="25">
        <f>IF(BU$4=0,0,Effective!$B$9)</f>
        <v/>
      </c>
      <c r="BV46" s="25">
        <f>IF(BV$4=0,0,Effective!$B$9)</f>
        <v/>
      </c>
      <c r="BW46" s="25">
        <f>IF(BW$4=0,0,Effective!$B$9)</f>
        <v/>
      </c>
      <c r="BX46" s="25">
        <f>IF(BX$4=0,0,Effective!$B$9)</f>
        <v/>
      </c>
      <c r="BY46" s="25">
        <f>IF(BY$4=0,0,Effective!$B$9)</f>
        <v/>
      </c>
      <c r="BZ46" s="25">
        <f>IF(BZ$4=0,0,Effective!$B$9)</f>
        <v/>
      </c>
      <c r="CA46" s="25">
        <f>IF(CA$4=0,0,Effective!$B$9)</f>
        <v/>
      </c>
      <c r="CB46" s="25">
        <f>IF(CB$4=0,0,Effective!$B$9)</f>
        <v/>
      </c>
      <c r="CC46" s="25">
        <f>IF(CC$4=0,0,Effective!$B$9)</f>
        <v/>
      </c>
      <c r="CD46" s="25">
        <f>IF(CD$4=0,0,Effective!$B$9)</f>
        <v/>
      </c>
      <c r="CE46" s="25">
        <f>IF(CE$4=0,0,Effective!$B$9)</f>
        <v/>
      </c>
      <c r="CF46" s="25">
        <f>IF(CF$4=0,0,Effective!$B$9)</f>
        <v/>
      </c>
      <c r="CG46" s="25">
        <f>IF(CG$4=0,0,Effective!$B$9)</f>
        <v/>
      </c>
      <c r="CH46" s="25">
        <f>IF(CH$4=0,0,Effective!$B$9)</f>
        <v/>
      </c>
      <c r="CI46" s="25">
        <f>IF(CI$4=0,0,Effective!$B$9)</f>
        <v/>
      </c>
      <c r="CJ46" s="25">
        <f>IF(CJ$4=0,0,Effective!$B$9)</f>
        <v/>
      </c>
      <c r="CK46" s="25">
        <f>IF(CK$4=0,0,Effective!$B$9)</f>
        <v/>
      </c>
      <c r="CL46" s="25">
        <f>IF(CL$4=0,0,Effective!$B$9)</f>
        <v/>
      </c>
      <c r="CM46" s="25">
        <f>IF(CM$4=0,0,Effective!$B$9)</f>
        <v/>
      </c>
      <c r="CN46" s="25">
        <f>IF(CN$4=0,0,Effective!$B$9)</f>
        <v/>
      </c>
      <c r="CO46" s="25">
        <f>IF(CO$4=0,0,Effective!$B$9)</f>
        <v/>
      </c>
      <c r="CP46" s="25">
        <f>IF(CP$4=0,0,Effective!$B$9)</f>
        <v/>
      </c>
      <c r="CQ46" s="25">
        <f>IF(CQ$4=0,0,Effective!$B$9)</f>
        <v/>
      </c>
      <c r="CR46" s="25">
        <f>IF(CR$4=0,0,Effective!$B$9)</f>
        <v/>
      </c>
      <c r="CS46" s="25">
        <f>IF(CS$4=0,0,Effective!$B$9)</f>
        <v/>
      </c>
      <c r="CT46" s="25">
        <f>IF(CT$4=0,0,Effective!$B$9)</f>
        <v/>
      </c>
      <c r="CU46" s="25">
        <f>IF(CU$4=0,0,Effective!$B$9)</f>
        <v/>
      </c>
      <c r="CV46" s="25">
        <f>IF(CV$4=0,0,Effective!$B$9)</f>
        <v/>
      </c>
      <c r="CW46" s="25">
        <f>IF(CW$4=0,0,Effective!$B$9)</f>
        <v/>
      </c>
      <c r="CX46" s="25">
        <f>IF(CX$4=0,0,Effective!$B$9)</f>
        <v/>
      </c>
      <c r="CY46" s="25">
        <f>IF(CY$4=0,0,Effective!$B$9)</f>
        <v/>
      </c>
      <c r="CZ46" s="25">
        <f>IF(CZ$4=0,0,Effective!$B$9)</f>
        <v/>
      </c>
      <c r="DA46" s="25">
        <f>IF(DA$4=0,0,Effective!$B$9)</f>
        <v/>
      </c>
      <c r="DB46" s="25">
        <f>IF(DB$4=0,0,Effective!$B$9)</f>
        <v/>
      </c>
      <c r="DC46" s="25">
        <f>IF(DC$4=0,0,Effective!$B$9)</f>
        <v/>
      </c>
      <c r="DD46" s="25">
        <f>IF(DD$4=0,0,Effective!$B$9)</f>
        <v/>
      </c>
      <c r="DE46" s="25">
        <f>IF(DE$4=0,0,Effective!$B$9)</f>
        <v/>
      </c>
      <c r="DF46" s="25">
        <f>IF(DF$4=0,0,Effective!$B$9)</f>
        <v/>
      </c>
      <c r="DG46" s="25">
        <f>IF(DG$4=0,0,Effective!$B$9)</f>
        <v/>
      </c>
      <c r="DH46" s="25">
        <f>IF(DH$4=0,0,Effective!$B$9)</f>
        <v/>
      </c>
      <c r="DI46" s="25">
        <f>IF(DI$4=0,0,Effective!$B$9)</f>
        <v/>
      </c>
      <c r="DJ46" s="25">
        <f>IF(DJ$4=0,0,Effective!$B$9)</f>
        <v/>
      </c>
      <c r="DK46" s="25">
        <f>IF(DK$4=0,0,Effective!$B$9)</f>
        <v/>
      </c>
      <c r="DL46" s="25">
        <f>IF(DL$4=0,0,Effective!$B$9)</f>
        <v/>
      </c>
      <c r="DM46" s="25">
        <f>IF(DM$4=0,0,Effective!$B$9)</f>
        <v/>
      </c>
      <c r="DN46" s="25">
        <f>IF(DN$4=0,0,Effective!$B$9)</f>
        <v/>
      </c>
      <c r="DO46" s="25">
        <f>IF(DO$4=0,0,Effective!$B$9)</f>
        <v/>
      </c>
      <c r="DP46" s="25">
        <f>IF(DP$4=0,0,Effective!$B$9)</f>
        <v/>
      </c>
      <c r="DQ46" s="25">
        <f>IF(DQ$4=0,0,Effective!$B$9)</f>
        <v/>
      </c>
      <c r="DR46" s="25">
        <f>IF(DR$4=0,0,Effective!$B$9)</f>
        <v/>
      </c>
    </row>
    <row r="47">
      <c r="A47" t="inlineStr">
        <is>
          <t>debt_balance_1</t>
        </is>
      </c>
      <c r="B47" t="inlineStr">
        <is>
          <t>after payment</t>
        </is>
      </c>
      <c r="C47" s="25">
        <f>Effective!$D$53-C49</f>
        <v/>
      </c>
      <c r="D47" s="25">
        <f>C47-D49</f>
        <v/>
      </c>
      <c r="E47" s="25">
        <f>D47-E49</f>
        <v/>
      </c>
      <c r="F47" s="25">
        <f>E47-F49</f>
        <v/>
      </c>
      <c r="G47" s="25">
        <f>F47-G49</f>
        <v/>
      </c>
      <c r="H47" s="25">
        <f>G47-H49</f>
        <v/>
      </c>
      <c r="I47" s="25">
        <f>H47-I49</f>
        <v/>
      </c>
      <c r="J47" s="25">
        <f>I47-J49</f>
        <v/>
      </c>
      <c r="K47" s="25">
        <f>J47-K49</f>
        <v/>
      </c>
      <c r="L47" s="25">
        <f>K47-L49</f>
        <v/>
      </c>
      <c r="M47" s="25">
        <f>L47-M49</f>
        <v/>
      </c>
      <c r="N47" s="25">
        <f>M47-N49</f>
        <v/>
      </c>
      <c r="O47" s="25">
        <f>N47-O49</f>
        <v/>
      </c>
      <c r="P47" s="25">
        <f>O47-P49</f>
        <v/>
      </c>
      <c r="Q47" s="25">
        <f>P47-Q49</f>
        <v/>
      </c>
      <c r="R47" s="25">
        <f>Q47-R49</f>
        <v/>
      </c>
      <c r="S47" s="25">
        <f>R47-S49</f>
        <v/>
      </c>
      <c r="T47" s="25">
        <f>S47-T49</f>
        <v/>
      </c>
      <c r="U47" s="25">
        <f>T47-U49</f>
        <v/>
      </c>
      <c r="V47" s="25">
        <f>U47-V49</f>
        <v/>
      </c>
      <c r="W47" s="25">
        <f>V47-W49</f>
        <v/>
      </c>
      <c r="X47" s="25">
        <f>W47-X49</f>
        <v/>
      </c>
      <c r="Y47" s="25">
        <f>X47-Y49</f>
        <v/>
      </c>
      <c r="Z47" s="25">
        <f>Y47-Z49</f>
        <v/>
      </c>
      <c r="AA47" s="25">
        <f>Z47-AA49</f>
        <v/>
      </c>
      <c r="AB47" s="25">
        <f>AA47-AB49</f>
        <v/>
      </c>
      <c r="AC47" s="25">
        <f>AB47-AC49</f>
        <v/>
      </c>
      <c r="AD47" s="25">
        <f>AC47-AD49</f>
        <v/>
      </c>
      <c r="AE47" s="25">
        <f>AD47-AE49</f>
        <v/>
      </c>
      <c r="AF47" s="25">
        <f>AE47-AF49</f>
        <v/>
      </c>
      <c r="AG47" s="25">
        <f>AF47-AG49</f>
        <v/>
      </c>
      <c r="AH47" s="25">
        <f>AG47-AH49</f>
        <v/>
      </c>
      <c r="AI47" s="25">
        <f>AH47-AI49</f>
        <v/>
      </c>
      <c r="AJ47" s="25">
        <f>AI47-AJ49</f>
        <v/>
      </c>
      <c r="AK47" s="25">
        <f>AJ47-AK49</f>
        <v/>
      </c>
      <c r="AL47" s="25">
        <f>AK47-AL49</f>
        <v/>
      </c>
      <c r="AM47" s="25">
        <f>AL47-AM49</f>
        <v/>
      </c>
      <c r="AN47" s="25">
        <f>AM47-AN49</f>
        <v/>
      </c>
      <c r="AO47" s="25">
        <f>AN47-AO49</f>
        <v/>
      </c>
      <c r="AP47" s="25">
        <f>AO47-AP49</f>
        <v/>
      </c>
      <c r="AQ47" s="25">
        <f>AP47-AQ49</f>
        <v/>
      </c>
      <c r="AR47" s="25">
        <f>AQ47-AR49</f>
        <v/>
      </c>
      <c r="AS47" s="25">
        <f>AR47-AS49</f>
        <v/>
      </c>
      <c r="AT47" s="25">
        <f>AS47-AT49</f>
        <v/>
      </c>
      <c r="AU47" s="25">
        <f>AT47-AU49</f>
        <v/>
      </c>
      <c r="AV47" s="25">
        <f>AU47-AV49</f>
        <v/>
      </c>
      <c r="AW47" s="25">
        <f>AV47-AW49</f>
        <v/>
      </c>
      <c r="AX47" s="25">
        <f>AW47-AX49</f>
        <v/>
      </c>
      <c r="AY47" s="25">
        <f>AX47-AY49</f>
        <v/>
      </c>
      <c r="AZ47" s="25">
        <f>AY47-AZ49</f>
        <v/>
      </c>
      <c r="BA47" s="25">
        <f>AZ47-BA49</f>
        <v/>
      </c>
      <c r="BB47" s="25">
        <f>BA47-BB49</f>
        <v/>
      </c>
      <c r="BC47" s="25">
        <f>BB47-BC49</f>
        <v/>
      </c>
      <c r="BD47" s="25">
        <f>BC47-BD49</f>
        <v/>
      </c>
      <c r="BE47" s="25">
        <f>BD47-BE49</f>
        <v/>
      </c>
      <c r="BF47" s="25">
        <f>BE47-BF49</f>
        <v/>
      </c>
      <c r="BG47" s="25">
        <f>BF47-BG49</f>
        <v/>
      </c>
      <c r="BH47" s="25">
        <f>BG47-BH49</f>
        <v/>
      </c>
      <c r="BI47" s="25">
        <f>BH47-BI49</f>
        <v/>
      </c>
      <c r="BJ47" s="25">
        <f>BI47-BJ49</f>
        <v/>
      </c>
      <c r="BK47" s="25">
        <f>BJ47-BK49</f>
        <v/>
      </c>
      <c r="BL47" s="25">
        <f>BK47-BL49</f>
        <v/>
      </c>
      <c r="BM47" s="25">
        <f>BL47-BM49</f>
        <v/>
      </c>
      <c r="BN47" s="25">
        <f>BM47-BN49</f>
        <v/>
      </c>
      <c r="BO47" s="25">
        <f>BN47-BO49</f>
        <v/>
      </c>
      <c r="BP47" s="25">
        <f>BO47-BP49</f>
        <v/>
      </c>
      <c r="BQ47" s="25">
        <f>BP47-BQ49</f>
        <v/>
      </c>
      <c r="BR47" s="25">
        <f>BQ47-BR49</f>
        <v/>
      </c>
      <c r="BS47" s="25">
        <f>BR47-BS49</f>
        <v/>
      </c>
      <c r="BT47" s="25">
        <f>BS47-BT49</f>
        <v/>
      </c>
      <c r="BU47" s="25">
        <f>BT47-BU49</f>
        <v/>
      </c>
      <c r="BV47" s="25">
        <f>BU47-BV49</f>
        <v/>
      </c>
      <c r="BW47" s="25">
        <f>BV47-BW49</f>
        <v/>
      </c>
      <c r="BX47" s="25">
        <f>BW47-BX49</f>
        <v/>
      </c>
      <c r="BY47" s="25">
        <f>BX47-BY49</f>
        <v/>
      </c>
      <c r="BZ47" s="25">
        <f>BY47-BZ49</f>
        <v/>
      </c>
      <c r="CA47" s="25">
        <f>BZ47-CA49</f>
        <v/>
      </c>
      <c r="CB47" s="25">
        <f>CA47-CB49</f>
        <v/>
      </c>
      <c r="CC47" s="25">
        <f>CB47-CC49</f>
        <v/>
      </c>
      <c r="CD47" s="25">
        <f>CC47-CD49</f>
        <v/>
      </c>
      <c r="CE47" s="25">
        <f>CD47-CE49</f>
        <v/>
      </c>
      <c r="CF47" s="25">
        <f>CE47-CF49</f>
        <v/>
      </c>
      <c r="CG47" s="25">
        <f>CF47-CG49</f>
        <v/>
      </c>
      <c r="CH47" s="25">
        <f>CG47-CH49</f>
        <v/>
      </c>
      <c r="CI47" s="25">
        <f>CH47-CI49</f>
        <v/>
      </c>
      <c r="CJ47" s="25">
        <f>CI47-CJ49</f>
        <v/>
      </c>
      <c r="CK47" s="25">
        <f>CJ47-CK49</f>
        <v/>
      </c>
      <c r="CL47" s="25">
        <f>CK47-CL49</f>
        <v/>
      </c>
      <c r="CM47" s="25">
        <f>CL47-CM49</f>
        <v/>
      </c>
      <c r="CN47" s="25">
        <f>CM47-CN49</f>
        <v/>
      </c>
      <c r="CO47" s="25">
        <f>CN47-CO49</f>
        <v/>
      </c>
      <c r="CP47" s="25">
        <f>CO47-CP49</f>
        <v/>
      </c>
      <c r="CQ47" s="25">
        <f>CP47-CQ49</f>
        <v/>
      </c>
      <c r="CR47" s="25">
        <f>CQ47-CR49</f>
        <v/>
      </c>
      <c r="CS47" s="25">
        <f>CR47-CS49</f>
        <v/>
      </c>
      <c r="CT47" s="25">
        <f>CS47-CT49</f>
        <v/>
      </c>
      <c r="CU47" s="25">
        <f>CT47-CU49</f>
        <v/>
      </c>
      <c r="CV47" s="25">
        <f>CU47-CV49</f>
        <v/>
      </c>
      <c r="CW47" s="25">
        <f>CV47-CW49</f>
        <v/>
      </c>
      <c r="CX47" s="25">
        <f>CW47-CX49</f>
        <v/>
      </c>
      <c r="CY47" s="25">
        <f>CX47-CY49</f>
        <v/>
      </c>
      <c r="CZ47" s="25">
        <f>CY47-CZ49</f>
        <v/>
      </c>
      <c r="DA47" s="25">
        <f>CZ47-DA49</f>
        <v/>
      </c>
      <c r="DB47" s="25">
        <f>DA47-DB49</f>
        <v/>
      </c>
      <c r="DC47" s="25">
        <f>DB47-DC49</f>
        <v/>
      </c>
      <c r="DD47" s="25">
        <f>DC47-DD49</f>
        <v/>
      </c>
      <c r="DE47" s="25">
        <f>DD47-DE49</f>
        <v/>
      </c>
      <c r="DF47" s="25">
        <f>DE47-DF49</f>
        <v/>
      </c>
      <c r="DG47" s="25">
        <f>DF47-DG49</f>
        <v/>
      </c>
      <c r="DH47" s="25">
        <f>DG47-DH49</f>
        <v/>
      </c>
      <c r="DI47" s="25">
        <f>DH47-DI49</f>
        <v/>
      </c>
      <c r="DJ47" s="25">
        <f>DI47-DJ49</f>
        <v/>
      </c>
      <c r="DK47" s="25">
        <f>DJ47-DK49</f>
        <v/>
      </c>
      <c r="DL47" s="25">
        <f>DK47-DL49</f>
        <v/>
      </c>
      <c r="DM47" s="25">
        <f>DL47-DM49</f>
        <v/>
      </c>
      <c r="DN47" s="25">
        <f>DM47-DN49</f>
        <v/>
      </c>
      <c r="DO47" s="25">
        <f>DN47-DO49</f>
        <v/>
      </c>
      <c r="DP47" s="25">
        <f>DO47-DP49</f>
        <v/>
      </c>
      <c r="DQ47" s="25">
        <f>DP47-DQ49</f>
        <v/>
      </c>
      <c r="DR47" s="25">
        <f>DQ47-DR49</f>
        <v/>
      </c>
    </row>
    <row r="48">
      <c r="A48" t="inlineStr">
        <is>
          <t>interest_1</t>
        </is>
      </c>
      <c r="C48" s="25">
        <f>IF(C$4=0,0,Effective!$D$53*Effective!$E$53/12)</f>
        <v/>
      </c>
      <c r="D48" s="25">
        <f>IF(D$4=0,0,C47*Effective!$E$53/12)</f>
        <v/>
      </c>
      <c r="E48" s="25">
        <f>IF(E$4=0,0,D47*Effective!$E$53/12)</f>
        <v/>
      </c>
      <c r="F48" s="25">
        <f>IF(F$4=0,0,E47*Effective!$E$53/12)</f>
        <v/>
      </c>
      <c r="G48" s="25">
        <f>IF(G$4=0,0,F47*Effective!$E$53/12)</f>
        <v/>
      </c>
      <c r="H48" s="25">
        <f>IF(H$4=0,0,G47*Effective!$E$53/12)</f>
        <v/>
      </c>
      <c r="I48" s="25">
        <f>IF(I$4=0,0,H47*Effective!$E$53/12)</f>
        <v/>
      </c>
      <c r="J48" s="25">
        <f>IF(J$4=0,0,I47*Effective!$E$53/12)</f>
        <v/>
      </c>
      <c r="K48" s="25">
        <f>IF(K$4=0,0,J47*Effective!$E$53/12)</f>
        <v/>
      </c>
      <c r="L48" s="25">
        <f>IF(L$4=0,0,K47*Effective!$E$53/12)</f>
        <v/>
      </c>
      <c r="M48" s="25">
        <f>IF(M$4=0,0,L47*Effective!$E$53/12)</f>
        <v/>
      </c>
      <c r="N48" s="25">
        <f>IF(N$4=0,0,M47*Effective!$E$53/12)</f>
        <v/>
      </c>
      <c r="O48" s="25">
        <f>IF(O$4=0,0,N47*Effective!$E$53/12)</f>
        <v/>
      </c>
      <c r="P48" s="25">
        <f>IF(P$4=0,0,O47*Effective!$E$53/12)</f>
        <v/>
      </c>
      <c r="Q48" s="25">
        <f>IF(Q$4=0,0,P47*Effective!$E$53/12)</f>
        <v/>
      </c>
      <c r="R48" s="25">
        <f>IF(R$4=0,0,Q47*Effective!$E$53/12)</f>
        <v/>
      </c>
      <c r="S48" s="25">
        <f>IF(S$4=0,0,R47*Effective!$E$53/12)</f>
        <v/>
      </c>
      <c r="T48" s="25">
        <f>IF(T$4=0,0,S47*Effective!$E$53/12)</f>
        <v/>
      </c>
      <c r="U48" s="25">
        <f>IF(U$4=0,0,T47*Effective!$E$53/12)</f>
        <v/>
      </c>
      <c r="V48" s="25">
        <f>IF(V$4=0,0,U47*Effective!$E$53/12)</f>
        <v/>
      </c>
      <c r="W48" s="25">
        <f>IF(W$4=0,0,V47*Effective!$E$53/12)</f>
        <v/>
      </c>
      <c r="X48" s="25">
        <f>IF(X$4=0,0,W47*Effective!$E$53/12)</f>
        <v/>
      </c>
      <c r="Y48" s="25">
        <f>IF(Y$4=0,0,X47*Effective!$E$53/12)</f>
        <v/>
      </c>
      <c r="Z48" s="25">
        <f>IF(Z$4=0,0,Y47*Effective!$E$53/12)</f>
        <v/>
      </c>
      <c r="AA48" s="25">
        <f>IF(AA$4=0,0,Z47*Effective!$E$53/12)</f>
        <v/>
      </c>
      <c r="AB48" s="25">
        <f>IF(AB$4=0,0,AA47*Effective!$E$53/12)</f>
        <v/>
      </c>
      <c r="AC48" s="25">
        <f>IF(AC$4=0,0,AB47*Effective!$E$53/12)</f>
        <v/>
      </c>
      <c r="AD48" s="25">
        <f>IF(AD$4=0,0,AC47*Effective!$E$53/12)</f>
        <v/>
      </c>
      <c r="AE48" s="25">
        <f>IF(AE$4=0,0,AD47*Effective!$E$53/12)</f>
        <v/>
      </c>
      <c r="AF48" s="25">
        <f>IF(AF$4=0,0,AE47*Effective!$E$53/12)</f>
        <v/>
      </c>
      <c r="AG48" s="25">
        <f>IF(AG$4=0,0,AF47*Effective!$E$53/12)</f>
        <v/>
      </c>
      <c r="AH48" s="25">
        <f>IF(AH$4=0,0,AG47*Effective!$E$53/12)</f>
        <v/>
      </c>
      <c r="AI48" s="25">
        <f>IF(AI$4=0,0,AH47*Effective!$E$53/12)</f>
        <v/>
      </c>
      <c r="AJ48" s="25">
        <f>IF(AJ$4=0,0,AI47*Effective!$E$53/12)</f>
        <v/>
      </c>
      <c r="AK48" s="25">
        <f>IF(AK$4=0,0,AJ47*Effective!$E$53/12)</f>
        <v/>
      </c>
      <c r="AL48" s="25">
        <f>IF(AL$4=0,0,AK47*Effective!$E$53/12)</f>
        <v/>
      </c>
      <c r="AM48" s="25">
        <f>IF(AM$4=0,0,AL47*Effective!$E$53/12)</f>
        <v/>
      </c>
      <c r="AN48" s="25">
        <f>IF(AN$4=0,0,AM47*Effective!$E$53/12)</f>
        <v/>
      </c>
      <c r="AO48" s="25">
        <f>IF(AO$4=0,0,AN47*Effective!$E$53/12)</f>
        <v/>
      </c>
      <c r="AP48" s="25">
        <f>IF(AP$4=0,0,AO47*Effective!$E$53/12)</f>
        <v/>
      </c>
      <c r="AQ48" s="25">
        <f>IF(AQ$4=0,0,AP47*Effective!$E$53/12)</f>
        <v/>
      </c>
      <c r="AR48" s="25">
        <f>IF(AR$4=0,0,AQ47*Effective!$E$53/12)</f>
        <v/>
      </c>
      <c r="AS48" s="25">
        <f>IF(AS$4=0,0,AR47*Effective!$E$53/12)</f>
        <v/>
      </c>
      <c r="AT48" s="25">
        <f>IF(AT$4=0,0,AS47*Effective!$E$53/12)</f>
        <v/>
      </c>
      <c r="AU48" s="25">
        <f>IF(AU$4=0,0,AT47*Effective!$E$53/12)</f>
        <v/>
      </c>
      <c r="AV48" s="25">
        <f>IF(AV$4=0,0,AU47*Effective!$E$53/12)</f>
        <v/>
      </c>
      <c r="AW48" s="25">
        <f>IF(AW$4=0,0,AV47*Effective!$E$53/12)</f>
        <v/>
      </c>
      <c r="AX48" s="25">
        <f>IF(AX$4=0,0,AW47*Effective!$E$53/12)</f>
        <v/>
      </c>
      <c r="AY48" s="25">
        <f>IF(AY$4=0,0,AX47*Effective!$E$53/12)</f>
        <v/>
      </c>
      <c r="AZ48" s="25">
        <f>IF(AZ$4=0,0,AY47*Effective!$E$53/12)</f>
        <v/>
      </c>
      <c r="BA48" s="25">
        <f>IF(BA$4=0,0,AZ47*Effective!$E$53/12)</f>
        <v/>
      </c>
      <c r="BB48" s="25">
        <f>IF(BB$4=0,0,BA47*Effective!$E$53/12)</f>
        <v/>
      </c>
      <c r="BC48" s="25">
        <f>IF(BC$4=0,0,BB47*Effective!$E$53/12)</f>
        <v/>
      </c>
      <c r="BD48" s="25">
        <f>IF(BD$4=0,0,BC47*Effective!$E$53/12)</f>
        <v/>
      </c>
      <c r="BE48" s="25">
        <f>IF(BE$4=0,0,BD47*Effective!$E$53/12)</f>
        <v/>
      </c>
      <c r="BF48" s="25">
        <f>IF(BF$4=0,0,BE47*Effective!$E$53/12)</f>
        <v/>
      </c>
      <c r="BG48" s="25">
        <f>IF(BG$4=0,0,BF47*Effective!$E$53/12)</f>
        <v/>
      </c>
      <c r="BH48" s="25">
        <f>IF(BH$4=0,0,BG47*Effective!$E$53/12)</f>
        <v/>
      </c>
      <c r="BI48" s="25">
        <f>IF(BI$4=0,0,BH47*Effective!$E$53/12)</f>
        <v/>
      </c>
      <c r="BJ48" s="25">
        <f>IF(BJ$4=0,0,BI47*Effective!$E$53/12)</f>
        <v/>
      </c>
      <c r="BK48" s="25">
        <f>IF(BK$4=0,0,BJ47*Effective!$E$53/12)</f>
        <v/>
      </c>
      <c r="BL48" s="25">
        <f>IF(BL$4=0,0,BK47*Effective!$E$53/12)</f>
        <v/>
      </c>
      <c r="BM48" s="25">
        <f>IF(BM$4=0,0,BL47*Effective!$E$53/12)</f>
        <v/>
      </c>
      <c r="BN48" s="25">
        <f>IF(BN$4=0,0,BM47*Effective!$E$53/12)</f>
        <v/>
      </c>
      <c r="BO48" s="25">
        <f>IF(BO$4=0,0,BN47*Effective!$E$53/12)</f>
        <v/>
      </c>
      <c r="BP48" s="25">
        <f>IF(BP$4=0,0,BO47*Effective!$E$53/12)</f>
        <v/>
      </c>
      <c r="BQ48" s="25">
        <f>IF(BQ$4=0,0,BP47*Effective!$E$53/12)</f>
        <v/>
      </c>
      <c r="BR48" s="25">
        <f>IF(BR$4=0,0,BQ47*Effective!$E$53/12)</f>
        <v/>
      </c>
      <c r="BS48" s="25">
        <f>IF(BS$4=0,0,BR47*Effective!$E$53/12)</f>
        <v/>
      </c>
      <c r="BT48" s="25">
        <f>IF(BT$4=0,0,BS47*Effective!$E$53/12)</f>
        <v/>
      </c>
      <c r="BU48" s="25">
        <f>IF(BU$4=0,0,BT47*Effective!$E$53/12)</f>
        <v/>
      </c>
      <c r="BV48" s="25">
        <f>IF(BV$4=0,0,BU47*Effective!$E$53/12)</f>
        <v/>
      </c>
      <c r="BW48" s="25">
        <f>IF(BW$4=0,0,BV47*Effective!$E$53/12)</f>
        <v/>
      </c>
      <c r="BX48" s="25">
        <f>IF(BX$4=0,0,BW47*Effective!$E$53/12)</f>
        <v/>
      </c>
      <c r="BY48" s="25">
        <f>IF(BY$4=0,0,BX47*Effective!$E$53/12)</f>
        <v/>
      </c>
      <c r="BZ48" s="25">
        <f>IF(BZ$4=0,0,BY47*Effective!$E$53/12)</f>
        <v/>
      </c>
      <c r="CA48" s="25">
        <f>IF(CA$4=0,0,BZ47*Effective!$E$53/12)</f>
        <v/>
      </c>
      <c r="CB48" s="25">
        <f>IF(CB$4=0,0,CA47*Effective!$E$53/12)</f>
        <v/>
      </c>
      <c r="CC48" s="25">
        <f>IF(CC$4=0,0,CB47*Effective!$E$53/12)</f>
        <v/>
      </c>
      <c r="CD48" s="25">
        <f>IF(CD$4=0,0,CC47*Effective!$E$53/12)</f>
        <v/>
      </c>
      <c r="CE48" s="25">
        <f>IF(CE$4=0,0,CD47*Effective!$E$53/12)</f>
        <v/>
      </c>
      <c r="CF48" s="25">
        <f>IF(CF$4=0,0,CE47*Effective!$E$53/12)</f>
        <v/>
      </c>
      <c r="CG48" s="25">
        <f>IF(CG$4=0,0,CF47*Effective!$E$53/12)</f>
        <v/>
      </c>
      <c r="CH48" s="25">
        <f>IF(CH$4=0,0,CG47*Effective!$E$53/12)</f>
        <v/>
      </c>
      <c r="CI48" s="25">
        <f>IF(CI$4=0,0,CH47*Effective!$E$53/12)</f>
        <v/>
      </c>
      <c r="CJ48" s="25">
        <f>IF(CJ$4=0,0,CI47*Effective!$E$53/12)</f>
        <v/>
      </c>
      <c r="CK48" s="25">
        <f>IF(CK$4=0,0,CJ47*Effective!$E$53/12)</f>
        <v/>
      </c>
      <c r="CL48" s="25">
        <f>IF(CL$4=0,0,CK47*Effective!$E$53/12)</f>
        <v/>
      </c>
      <c r="CM48" s="25">
        <f>IF(CM$4=0,0,CL47*Effective!$E$53/12)</f>
        <v/>
      </c>
      <c r="CN48" s="25">
        <f>IF(CN$4=0,0,CM47*Effective!$E$53/12)</f>
        <v/>
      </c>
      <c r="CO48" s="25">
        <f>IF(CO$4=0,0,CN47*Effective!$E$53/12)</f>
        <v/>
      </c>
      <c r="CP48" s="25">
        <f>IF(CP$4=0,0,CO47*Effective!$E$53/12)</f>
        <v/>
      </c>
      <c r="CQ48" s="25">
        <f>IF(CQ$4=0,0,CP47*Effective!$E$53/12)</f>
        <v/>
      </c>
      <c r="CR48" s="25">
        <f>IF(CR$4=0,0,CQ47*Effective!$E$53/12)</f>
        <v/>
      </c>
      <c r="CS48" s="25">
        <f>IF(CS$4=0,0,CR47*Effective!$E$53/12)</f>
        <v/>
      </c>
      <c r="CT48" s="25">
        <f>IF(CT$4=0,0,CS47*Effective!$E$53/12)</f>
        <v/>
      </c>
      <c r="CU48" s="25">
        <f>IF(CU$4=0,0,CT47*Effective!$E$53/12)</f>
        <v/>
      </c>
      <c r="CV48" s="25">
        <f>IF(CV$4=0,0,CU47*Effective!$E$53/12)</f>
        <v/>
      </c>
      <c r="CW48" s="25">
        <f>IF(CW$4=0,0,CV47*Effective!$E$53/12)</f>
        <v/>
      </c>
      <c r="CX48" s="25">
        <f>IF(CX$4=0,0,CW47*Effective!$E$53/12)</f>
        <v/>
      </c>
      <c r="CY48" s="25">
        <f>IF(CY$4=0,0,CX47*Effective!$E$53/12)</f>
        <v/>
      </c>
      <c r="CZ48" s="25">
        <f>IF(CZ$4=0,0,CY47*Effective!$E$53/12)</f>
        <v/>
      </c>
      <c r="DA48" s="25">
        <f>IF(DA$4=0,0,CZ47*Effective!$E$53/12)</f>
        <v/>
      </c>
      <c r="DB48" s="25">
        <f>IF(DB$4=0,0,DA47*Effective!$E$53/12)</f>
        <v/>
      </c>
      <c r="DC48" s="25">
        <f>IF(DC$4=0,0,DB47*Effective!$E$53/12)</f>
        <v/>
      </c>
      <c r="DD48" s="25">
        <f>IF(DD$4=0,0,DC47*Effective!$E$53/12)</f>
        <v/>
      </c>
      <c r="DE48" s="25">
        <f>IF(DE$4=0,0,DD47*Effective!$E$53/12)</f>
        <v/>
      </c>
      <c r="DF48" s="25">
        <f>IF(DF$4=0,0,DE47*Effective!$E$53/12)</f>
        <v/>
      </c>
      <c r="DG48" s="25">
        <f>IF(DG$4=0,0,DF47*Effective!$E$53/12)</f>
        <v/>
      </c>
      <c r="DH48" s="25">
        <f>IF(DH$4=0,0,DG47*Effective!$E$53/12)</f>
        <v/>
      </c>
      <c r="DI48" s="25">
        <f>IF(DI$4=0,0,DH47*Effective!$E$53/12)</f>
        <v/>
      </c>
      <c r="DJ48" s="25">
        <f>IF(DJ$4=0,0,DI47*Effective!$E$53/12)</f>
        <v/>
      </c>
      <c r="DK48" s="25">
        <f>IF(DK$4=0,0,DJ47*Effective!$E$53/12)</f>
        <v/>
      </c>
      <c r="DL48" s="25">
        <f>IF(DL$4=0,0,DK47*Effective!$E$53/12)</f>
        <v/>
      </c>
      <c r="DM48" s="25">
        <f>IF(DM$4=0,0,DL47*Effective!$E$53/12)</f>
        <v/>
      </c>
      <c r="DN48" s="25">
        <f>IF(DN$4=0,0,DM47*Effective!$E$53/12)</f>
        <v/>
      </c>
      <c r="DO48" s="25">
        <f>IF(DO$4=0,0,DN47*Effective!$E$53/12)</f>
        <v/>
      </c>
      <c r="DP48" s="25">
        <f>IF(DP$4=0,0,DO47*Effective!$E$53/12)</f>
        <v/>
      </c>
      <c r="DQ48" s="25">
        <f>IF(DQ$4=0,0,DP47*Effective!$E$53/12)</f>
        <v/>
      </c>
      <c r="DR48" s="25">
        <f>IF(DR$4=0,0,DQ47*Effective!$E$53/12)</f>
        <v/>
      </c>
    </row>
    <row r="49">
      <c r="A49" t="inlineStr">
        <is>
          <t>principal_1</t>
        </is>
      </c>
      <c r="C49" s="25">
        <f>IF(C$4=0,0,IF(Effective!$C$53="term_loan",MIN(Effective!$F$53,Effective!$D$53),0))</f>
        <v/>
      </c>
      <c r="D49" s="25">
        <f>IF(D$4=0,0,IF(Effective!$C$53="term_loan",MIN(Effective!$F$53,C47),0))</f>
        <v/>
      </c>
      <c r="E49" s="25">
        <f>IF(E$4=0,0,IF(Effective!$C$53="term_loan",MIN(Effective!$F$53,D47),0))</f>
        <v/>
      </c>
      <c r="F49" s="25">
        <f>IF(F$4=0,0,IF(Effective!$C$53="term_loan",MIN(Effective!$F$53,E47),0))</f>
        <v/>
      </c>
      <c r="G49" s="25">
        <f>IF(G$4=0,0,IF(Effective!$C$53="term_loan",MIN(Effective!$F$53,F47),0))</f>
        <v/>
      </c>
      <c r="H49" s="25">
        <f>IF(H$4=0,0,IF(Effective!$C$53="term_loan",MIN(Effective!$F$53,G47),0))</f>
        <v/>
      </c>
      <c r="I49" s="25">
        <f>IF(I$4=0,0,IF(Effective!$C$53="term_loan",MIN(Effective!$F$53,H47),0))</f>
        <v/>
      </c>
      <c r="J49" s="25">
        <f>IF(J$4=0,0,IF(Effective!$C$53="term_loan",MIN(Effective!$F$53,I47),0))</f>
        <v/>
      </c>
      <c r="K49" s="25">
        <f>IF(K$4=0,0,IF(Effective!$C$53="term_loan",MIN(Effective!$F$53,J47),0))</f>
        <v/>
      </c>
      <c r="L49" s="25">
        <f>IF(L$4=0,0,IF(Effective!$C$53="term_loan",MIN(Effective!$F$53,K47),0))</f>
        <v/>
      </c>
      <c r="M49" s="25">
        <f>IF(M$4=0,0,IF(Effective!$C$53="term_loan",MIN(Effective!$F$53,L47),0))</f>
        <v/>
      </c>
      <c r="N49" s="25">
        <f>IF(N$4=0,0,IF(Effective!$C$53="term_loan",MIN(Effective!$F$53,M47),0))</f>
        <v/>
      </c>
      <c r="O49" s="25">
        <f>IF(O$4=0,0,IF(Effective!$C$53="term_loan",MIN(Effective!$F$53,N47),0))</f>
        <v/>
      </c>
      <c r="P49" s="25">
        <f>IF(P$4=0,0,IF(Effective!$C$53="term_loan",MIN(Effective!$F$53,O47),0))</f>
        <v/>
      </c>
      <c r="Q49" s="25">
        <f>IF(Q$4=0,0,IF(Effective!$C$53="term_loan",MIN(Effective!$F$53,P47),0))</f>
        <v/>
      </c>
      <c r="R49" s="25">
        <f>IF(R$4=0,0,IF(Effective!$C$53="term_loan",MIN(Effective!$F$53,Q47),0))</f>
        <v/>
      </c>
      <c r="S49" s="25">
        <f>IF(S$4=0,0,IF(Effective!$C$53="term_loan",MIN(Effective!$F$53,R47),0))</f>
        <v/>
      </c>
      <c r="T49" s="25">
        <f>IF(T$4=0,0,IF(Effective!$C$53="term_loan",MIN(Effective!$F$53,S47),0))</f>
        <v/>
      </c>
      <c r="U49" s="25">
        <f>IF(U$4=0,0,IF(Effective!$C$53="term_loan",MIN(Effective!$F$53,T47),0))</f>
        <v/>
      </c>
      <c r="V49" s="25">
        <f>IF(V$4=0,0,IF(Effective!$C$53="term_loan",MIN(Effective!$F$53,U47),0))</f>
        <v/>
      </c>
      <c r="W49" s="25">
        <f>IF(W$4=0,0,IF(Effective!$C$53="term_loan",MIN(Effective!$F$53,V47),0))</f>
        <v/>
      </c>
      <c r="X49" s="25">
        <f>IF(X$4=0,0,IF(Effective!$C$53="term_loan",MIN(Effective!$F$53,W47),0))</f>
        <v/>
      </c>
      <c r="Y49" s="25">
        <f>IF(Y$4=0,0,IF(Effective!$C$53="term_loan",MIN(Effective!$F$53,X47),0))</f>
        <v/>
      </c>
      <c r="Z49" s="25">
        <f>IF(Z$4=0,0,IF(Effective!$C$53="term_loan",MIN(Effective!$F$53,Y47),0))</f>
        <v/>
      </c>
      <c r="AA49" s="25">
        <f>IF(AA$4=0,0,IF(Effective!$C$53="term_loan",MIN(Effective!$F$53,Z47),0))</f>
        <v/>
      </c>
      <c r="AB49" s="25">
        <f>IF(AB$4=0,0,IF(Effective!$C$53="term_loan",MIN(Effective!$F$53,AA47),0))</f>
        <v/>
      </c>
      <c r="AC49" s="25">
        <f>IF(AC$4=0,0,IF(Effective!$C$53="term_loan",MIN(Effective!$F$53,AB47),0))</f>
        <v/>
      </c>
      <c r="AD49" s="25">
        <f>IF(AD$4=0,0,IF(Effective!$C$53="term_loan",MIN(Effective!$F$53,AC47),0))</f>
        <v/>
      </c>
      <c r="AE49" s="25">
        <f>IF(AE$4=0,0,IF(Effective!$C$53="term_loan",MIN(Effective!$F$53,AD47),0))</f>
        <v/>
      </c>
      <c r="AF49" s="25">
        <f>IF(AF$4=0,0,IF(Effective!$C$53="term_loan",MIN(Effective!$F$53,AE47),0))</f>
        <v/>
      </c>
      <c r="AG49" s="25">
        <f>IF(AG$4=0,0,IF(Effective!$C$53="term_loan",MIN(Effective!$F$53,AF47),0))</f>
        <v/>
      </c>
      <c r="AH49" s="25">
        <f>IF(AH$4=0,0,IF(Effective!$C$53="term_loan",MIN(Effective!$F$53,AG47),0))</f>
        <v/>
      </c>
      <c r="AI49" s="25">
        <f>IF(AI$4=0,0,IF(Effective!$C$53="term_loan",MIN(Effective!$F$53,AH47),0))</f>
        <v/>
      </c>
      <c r="AJ49" s="25">
        <f>IF(AJ$4=0,0,IF(Effective!$C$53="term_loan",MIN(Effective!$F$53,AI47),0))</f>
        <v/>
      </c>
      <c r="AK49" s="25">
        <f>IF(AK$4=0,0,IF(Effective!$C$53="term_loan",MIN(Effective!$F$53,AJ47),0))</f>
        <v/>
      </c>
      <c r="AL49" s="25">
        <f>IF(AL$4=0,0,IF(Effective!$C$53="term_loan",MIN(Effective!$F$53,AK47),0))</f>
        <v/>
      </c>
      <c r="AM49" s="25">
        <f>IF(AM$4=0,0,IF(Effective!$C$53="term_loan",MIN(Effective!$F$53,AL47),0))</f>
        <v/>
      </c>
      <c r="AN49" s="25">
        <f>IF(AN$4=0,0,IF(Effective!$C$53="term_loan",MIN(Effective!$F$53,AM47),0))</f>
        <v/>
      </c>
      <c r="AO49" s="25">
        <f>IF(AO$4=0,0,IF(Effective!$C$53="term_loan",MIN(Effective!$F$53,AN47),0))</f>
        <v/>
      </c>
      <c r="AP49" s="25">
        <f>IF(AP$4=0,0,IF(Effective!$C$53="term_loan",MIN(Effective!$F$53,AO47),0))</f>
        <v/>
      </c>
      <c r="AQ49" s="25">
        <f>IF(AQ$4=0,0,IF(Effective!$C$53="term_loan",MIN(Effective!$F$53,AP47),0))</f>
        <v/>
      </c>
      <c r="AR49" s="25">
        <f>IF(AR$4=0,0,IF(Effective!$C$53="term_loan",MIN(Effective!$F$53,AQ47),0))</f>
        <v/>
      </c>
      <c r="AS49" s="25">
        <f>IF(AS$4=0,0,IF(Effective!$C$53="term_loan",MIN(Effective!$F$53,AR47),0))</f>
        <v/>
      </c>
      <c r="AT49" s="25">
        <f>IF(AT$4=0,0,IF(Effective!$C$53="term_loan",MIN(Effective!$F$53,AS47),0))</f>
        <v/>
      </c>
      <c r="AU49" s="25">
        <f>IF(AU$4=0,0,IF(Effective!$C$53="term_loan",MIN(Effective!$F$53,AT47),0))</f>
        <v/>
      </c>
      <c r="AV49" s="25">
        <f>IF(AV$4=0,0,IF(Effective!$C$53="term_loan",MIN(Effective!$F$53,AU47),0))</f>
        <v/>
      </c>
      <c r="AW49" s="25">
        <f>IF(AW$4=0,0,IF(Effective!$C$53="term_loan",MIN(Effective!$F$53,AV47),0))</f>
        <v/>
      </c>
      <c r="AX49" s="25">
        <f>IF(AX$4=0,0,IF(Effective!$C$53="term_loan",MIN(Effective!$F$53,AW47),0))</f>
        <v/>
      </c>
      <c r="AY49" s="25">
        <f>IF(AY$4=0,0,IF(Effective!$C$53="term_loan",MIN(Effective!$F$53,AX47),0))</f>
        <v/>
      </c>
      <c r="AZ49" s="25">
        <f>IF(AZ$4=0,0,IF(Effective!$C$53="term_loan",MIN(Effective!$F$53,AY47),0))</f>
        <v/>
      </c>
      <c r="BA49" s="25">
        <f>IF(BA$4=0,0,IF(Effective!$C$53="term_loan",MIN(Effective!$F$53,AZ47),0))</f>
        <v/>
      </c>
      <c r="BB49" s="25">
        <f>IF(BB$4=0,0,IF(Effective!$C$53="term_loan",MIN(Effective!$F$53,BA47),0))</f>
        <v/>
      </c>
      <c r="BC49" s="25">
        <f>IF(BC$4=0,0,IF(Effective!$C$53="term_loan",MIN(Effective!$F$53,BB47),0))</f>
        <v/>
      </c>
      <c r="BD49" s="25">
        <f>IF(BD$4=0,0,IF(Effective!$C$53="term_loan",MIN(Effective!$F$53,BC47),0))</f>
        <v/>
      </c>
      <c r="BE49" s="25">
        <f>IF(BE$4=0,0,IF(Effective!$C$53="term_loan",MIN(Effective!$F$53,BD47),0))</f>
        <v/>
      </c>
      <c r="BF49" s="25">
        <f>IF(BF$4=0,0,IF(Effective!$C$53="term_loan",MIN(Effective!$F$53,BE47),0))</f>
        <v/>
      </c>
      <c r="BG49" s="25">
        <f>IF(BG$4=0,0,IF(Effective!$C$53="term_loan",MIN(Effective!$F$53,BF47),0))</f>
        <v/>
      </c>
      <c r="BH49" s="25">
        <f>IF(BH$4=0,0,IF(Effective!$C$53="term_loan",MIN(Effective!$F$53,BG47),0))</f>
        <v/>
      </c>
      <c r="BI49" s="25">
        <f>IF(BI$4=0,0,IF(Effective!$C$53="term_loan",MIN(Effective!$F$53,BH47),0))</f>
        <v/>
      </c>
      <c r="BJ49" s="25">
        <f>IF(BJ$4=0,0,IF(Effective!$C$53="term_loan",MIN(Effective!$F$53,BI47),0))</f>
        <v/>
      </c>
      <c r="BK49" s="25">
        <f>IF(BK$4=0,0,IF(Effective!$C$53="term_loan",MIN(Effective!$F$53,BJ47),0))</f>
        <v/>
      </c>
      <c r="BL49" s="25">
        <f>IF(BL$4=0,0,IF(Effective!$C$53="term_loan",MIN(Effective!$F$53,BK47),0))</f>
        <v/>
      </c>
      <c r="BM49" s="25">
        <f>IF(BM$4=0,0,IF(Effective!$C$53="term_loan",MIN(Effective!$F$53,BL47),0))</f>
        <v/>
      </c>
      <c r="BN49" s="25">
        <f>IF(BN$4=0,0,IF(Effective!$C$53="term_loan",MIN(Effective!$F$53,BM47),0))</f>
        <v/>
      </c>
      <c r="BO49" s="25">
        <f>IF(BO$4=0,0,IF(Effective!$C$53="term_loan",MIN(Effective!$F$53,BN47),0))</f>
        <v/>
      </c>
      <c r="BP49" s="25">
        <f>IF(BP$4=0,0,IF(Effective!$C$53="term_loan",MIN(Effective!$F$53,BO47),0))</f>
        <v/>
      </c>
      <c r="BQ49" s="25">
        <f>IF(BQ$4=0,0,IF(Effective!$C$53="term_loan",MIN(Effective!$F$53,BP47),0))</f>
        <v/>
      </c>
      <c r="BR49" s="25">
        <f>IF(BR$4=0,0,IF(Effective!$C$53="term_loan",MIN(Effective!$F$53,BQ47),0))</f>
        <v/>
      </c>
      <c r="BS49" s="25">
        <f>IF(BS$4=0,0,IF(Effective!$C$53="term_loan",MIN(Effective!$F$53,BR47),0))</f>
        <v/>
      </c>
      <c r="BT49" s="25">
        <f>IF(BT$4=0,0,IF(Effective!$C$53="term_loan",MIN(Effective!$F$53,BS47),0))</f>
        <v/>
      </c>
      <c r="BU49" s="25">
        <f>IF(BU$4=0,0,IF(Effective!$C$53="term_loan",MIN(Effective!$F$53,BT47),0))</f>
        <v/>
      </c>
      <c r="BV49" s="25">
        <f>IF(BV$4=0,0,IF(Effective!$C$53="term_loan",MIN(Effective!$F$53,BU47),0))</f>
        <v/>
      </c>
      <c r="BW49" s="25">
        <f>IF(BW$4=0,0,IF(Effective!$C$53="term_loan",MIN(Effective!$F$53,BV47),0))</f>
        <v/>
      </c>
      <c r="BX49" s="25">
        <f>IF(BX$4=0,0,IF(Effective!$C$53="term_loan",MIN(Effective!$F$53,BW47),0))</f>
        <v/>
      </c>
      <c r="BY49" s="25">
        <f>IF(BY$4=0,0,IF(Effective!$C$53="term_loan",MIN(Effective!$F$53,BX47),0))</f>
        <v/>
      </c>
      <c r="BZ49" s="25">
        <f>IF(BZ$4=0,0,IF(Effective!$C$53="term_loan",MIN(Effective!$F$53,BY47),0))</f>
        <v/>
      </c>
      <c r="CA49" s="25">
        <f>IF(CA$4=0,0,IF(Effective!$C$53="term_loan",MIN(Effective!$F$53,BZ47),0))</f>
        <v/>
      </c>
      <c r="CB49" s="25">
        <f>IF(CB$4=0,0,IF(Effective!$C$53="term_loan",MIN(Effective!$F$53,CA47),0))</f>
        <v/>
      </c>
      <c r="CC49" s="25">
        <f>IF(CC$4=0,0,IF(Effective!$C$53="term_loan",MIN(Effective!$F$53,CB47),0))</f>
        <v/>
      </c>
      <c r="CD49" s="25">
        <f>IF(CD$4=0,0,IF(Effective!$C$53="term_loan",MIN(Effective!$F$53,CC47),0))</f>
        <v/>
      </c>
      <c r="CE49" s="25">
        <f>IF(CE$4=0,0,IF(Effective!$C$53="term_loan",MIN(Effective!$F$53,CD47),0))</f>
        <v/>
      </c>
      <c r="CF49" s="25">
        <f>IF(CF$4=0,0,IF(Effective!$C$53="term_loan",MIN(Effective!$F$53,CE47),0))</f>
        <v/>
      </c>
      <c r="CG49" s="25">
        <f>IF(CG$4=0,0,IF(Effective!$C$53="term_loan",MIN(Effective!$F$53,CF47),0))</f>
        <v/>
      </c>
      <c r="CH49" s="25">
        <f>IF(CH$4=0,0,IF(Effective!$C$53="term_loan",MIN(Effective!$F$53,CG47),0))</f>
        <v/>
      </c>
      <c r="CI49" s="25">
        <f>IF(CI$4=0,0,IF(Effective!$C$53="term_loan",MIN(Effective!$F$53,CH47),0))</f>
        <v/>
      </c>
      <c r="CJ49" s="25">
        <f>IF(CJ$4=0,0,IF(Effective!$C$53="term_loan",MIN(Effective!$F$53,CI47),0))</f>
        <v/>
      </c>
      <c r="CK49" s="25">
        <f>IF(CK$4=0,0,IF(Effective!$C$53="term_loan",MIN(Effective!$F$53,CJ47),0))</f>
        <v/>
      </c>
      <c r="CL49" s="25">
        <f>IF(CL$4=0,0,IF(Effective!$C$53="term_loan",MIN(Effective!$F$53,CK47),0))</f>
        <v/>
      </c>
      <c r="CM49" s="25">
        <f>IF(CM$4=0,0,IF(Effective!$C$53="term_loan",MIN(Effective!$F$53,CL47),0))</f>
        <v/>
      </c>
      <c r="CN49" s="25">
        <f>IF(CN$4=0,0,IF(Effective!$C$53="term_loan",MIN(Effective!$F$53,CM47),0))</f>
        <v/>
      </c>
      <c r="CO49" s="25">
        <f>IF(CO$4=0,0,IF(Effective!$C$53="term_loan",MIN(Effective!$F$53,CN47),0))</f>
        <v/>
      </c>
      <c r="CP49" s="25">
        <f>IF(CP$4=0,0,IF(Effective!$C$53="term_loan",MIN(Effective!$F$53,CO47),0))</f>
        <v/>
      </c>
      <c r="CQ49" s="25">
        <f>IF(CQ$4=0,0,IF(Effective!$C$53="term_loan",MIN(Effective!$F$53,CP47),0))</f>
        <v/>
      </c>
      <c r="CR49" s="25">
        <f>IF(CR$4=0,0,IF(Effective!$C$53="term_loan",MIN(Effective!$F$53,CQ47),0))</f>
        <v/>
      </c>
      <c r="CS49" s="25">
        <f>IF(CS$4=0,0,IF(Effective!$C$53="term_loan",MIN(Effective!$F$53,CR47),0))</f>
        <v/>
      </c>
      <c r="CT49" s="25">
        <f>IF(CT$4=0,0,IF(Effective!$C$53="term_loan",MIN(Effective!$F$53,CS47),0))</f>
        <v/>
      </c>
      <c r="CU49" s="25">
        <f>IF(CU$4=0,0,IF(Effective!$C$53="term_loan",MIN(Effective!$F$53,CT47),0))</f>
        <v/>
      </c>
      <c r="CV49" s="25">
        <f>IF(CV$4=0,0,IF(Effective!$C$53="term_loan",MIN(Effective!$F$53,CU47),0))</f>
        <v/>
      </c>
      <c r="CW49" s="25">
        <f>IF(CW$4=0,0,IF(Effective!$C$53="term_loan",MIN(Effective!$F$53,CV47),0))</f>
        <v/>
      </c>
      <c r="CX49" s="25">
        <f>IF(CX$4=0,0,IF(Effective!$C$53="term_loan",MIN(Effective!$F$53,CW47),0))</f>
        <v/>
      </c>
      <c r="CY49" s="25">
        <f>IF(CY$4=0,0,IF(Effective!$C$53="term_loan",MIN(Effective!$F$53,CX47),0))</f>
        <v/>
      </c>
      <c r="CZ49" s="25">
        <f>IF(CZ$4=0,0,IF(Effective!$C$53="term_loan",MIN(Effective!$F$53,CY47),0))</f>
        <v/>
      </c>
      <c r="DA49" s="25">
        <f>IF(DA$4=0,0,IF(Effective!$C$53="term_loan",MIN(Effective!$F$53,CZ47),0))</f>
        <v/>
      </c>
      <c r="DB49" s="25">
        <f>IF(DB$4=0,0,IF(Effective!$C$53="term_loan",MIN(Effective!$F$53,DA47),0))</f>
        <v/>
      </c>
      <c r="DC49" s="25">
        <f>IF(DC$4=0,0,IF(Effective!$C$53="term_loan",MIN(Effective!$F$53,DB47),0))</f>
        <v/>
      </c>
      <c r="DD49" s="25">
        <f>IF(DD$4=0,0,IF(Effective!$C$53="term_loan",MIN(Effective!$F$53,DC47),0))</f>
        <v/>
      </c>
      <c r="DE49" s="25">
        <f>IF(DE$4=0,0,IF(Effective!$C$53="term_loan",MIN(Effective!$F$53,DD47),0))</f>
        <v/>
      </c>
      <c r="DF49" s="25">
        <f>IF(DF$4=0,0,IF(Effective!$C$53="term_loan",MIN(Effective!$F$53,DE47),0))</f>
        <v/>
      </c>
      <c r="DG49" s="25">
        <f>IF(DG$4=0,0,IF(Effective!$C$53="term_loan",MIN(Effective!$F$53,DF47),0))</f>
        <v/>
      </c>
      <c r="DH49" s="25">
        <f>IF(DH$4=0,0,IF(Effective!$C$53="term_loan",MIN(Effective!$F$53,DG47),0))</f>
        <v/>
      </c>
      <c r="DI49" s="25">
        <f>IF(DI$4=0,0,IF(Effective!$C$53="term_loan",MIN(Effective!$F$53,DH47),0))</f>
        <v/>
      </c>
      <c r="DJ49" s="25">
        <f>IF(DJ$4=0,0,IF(Effective!$C$53="term_loan",MIN(Effective!$F$53,DI47),0))</f>
        <v/>
      </c>
      <c r="DK49" s="25">
        <f>IF(DK$4=0,0,IF(Effective!$C$53="term_loan",MIN(Effective!$F$53,DJ47),0))</f>
        <v/>
      </c>
      <c r="DL49" s="25">
        <f>IF(DL$4=0,0,IF(Effective!$C$53="term_loan",MIN(Effective!$F$53,DK47),0))</f>
        <v/>
      </c>
      <c r="DM49" s="25">
        <f>IF(DM$4=0,0,IF(Effective!$C$53="term_loan",MIN(Effective!$F$53,DL47),0))</f>
        <v/>
      </c>
      <c r="DN49" s="25">
        <f>IF(DN$4=0,0,IF(Effective!$C$53="term_loan",MIN(Effective!$F$53,DM47),0))</f>
        <v/>
      </c>
      <c r="DO49" s="25">
        <f>IF(DO$4=0,0,IF(Effective!$C$53="term_loan",MIN(Effective!$F$53,DN47),0))</f>
        <v/>
      </c>
      <c r="DP49" s="25">
        <f>IF(DP$4=0,0,IF(Effective!$C$53="term_loan",MIN(Effective!$F$53,DO47),0))</f>
        <v/>
      </c>
      <c r="DQ49" s="25">
        <f>IF(DQ$4=0,0,IF(Effective!$C$53="term_loan",MIN(Effective!$F$53,DP47),0))</f>
        <v/>
      </c>
      <c r="DR49" s="25">
        <f>IF(DR$4=0,0,IF(Effective!$C$53="term_loan",MIN(Effective!$F$53,DQ47),0))</f>
        <v/>
      </c>
    </row>
    <row r="50">
      <c r="A50" t="inlineStr">
        <is>
          <t>debt_balance_2</t>
        </is>
      </c>
      <c r="B50" t="inlineStr">
        <is>
          <t>after payment</t>
        </is>
      </c>
      <c r="C50" s="25">
        <f>Effective!$D$54-C52</f>
        <v/>
      </c>
      <c r="D50" s="25">
        <f>C50-D52</f>
        <v/>
      </c>
      <c r="E50" s="25">
        <f>D50-E52</f>
        <v/>
      </c>
      <c r="F50" s="25">
        <f>E50-F52</f>
        <v/>
      </c>
      <c r="G50" s="25">
        <f>F50-G52</f>
        <v/>
      </c>
      <c r="H50" s="25">
        <f>G50-H52</f>
        <v/>
      </c>
      <c r="I50" s="25">
        <f>H50-I52</f>
        <v/>
      </c>
      <c r="J50" s="25">
        <f>I50-J52</f>
        <v/>
      </c>
      <c r="K50" s="25">
        <f>J50-K52</f>
        <v/>
      </c>
      <c r="L50" s="25">
        <f>K50-L52</f>
        <v/>
      </c>
      <c r="M50" s="25">
        <f>L50-M52</f>
        <v/>
      </c>
      <c r="N50" s="25">
        <f>M50-N52</f>
        <v/>
      </c>
      <c r="O50" s="25">
        <f>N50-O52</f>
        <v/>
      </c>
      <c r="P50" s="25">
        <f>O50-P52</f>
        <v/>
      </c>
      <c r="Q50" s="25">
        <f>P50-Q52</f>
        <v/>
      </c>
      <c r="R50" s="25">
        <f>Q50-R52</f>
        <v/>
      </c>
      <c r="S50" s="25">
        <f>R50-S52</f>
        <v/>
      </c>
      <c r="T50" s="25">
        <f>S50-T52</f>
        <v/>
      </c>
      <c r="U50" s="25">
        <f>T50-U52</f>
        <v/>
      </c>
      <c r="V50" s="25">
        <f>U50-V52</f>
        <v/>
      </c>
      <c r="W50" s="25">
        <f>V50-W52</f>
        <v/>
      </c>
      <c r="X50" s="25">
        <f>W50-X52</f>
        <v/>
      </c>
      <c r="Y50" s="25">
        <f>X50-Y52</f>
        <v/>
      </c>
      <c r="Z50" s="25">
        <f>Y50-Z52</f>
        <v/>
      </c>
      <c r="AA50" s="25">
        <f>Z50-AA52</f>
        <v/>
      </c>
      <c r="AB50" s="25">
        <f>AA50-AB52</f>
        <v/>
      </c>
      <c r="AC50" s="25">
        <f>AB50-AC52</f>
        <v/>
      </c>
      <c r="AD50" s="25">
        <f>AC50-AD52</f>
        <v/>
      </c>
      <c r="AE50" s="25">
        <f>AD50-AE52</f>
        <v/>
      </c>
      <c r="AF50" s="25">
        <f>AE50-AF52</f>
        <v/>
      </c>
      <c r="AG50" s="25">
        <f>AF50-AG52</f>
        <v/>
      </c>
      <c r="AH50" s="25">
        <f>AG50-AH52</f>
        <v/>
      </c>
      <c r="AI50" s="25">
        <f>AH50-AI52</f>
        <v/>
      </c>
      <c r="AJ50" s="25">
        <f>AI50-AJ52</f>
        <v/>
      </c>
      <c r="AK50" s="25">
        <f>AJ50-AK52</f>
        <v/>
      </c>
      <c r="AL50" s="25">
        <f>AK50-AL52</f>
        <v/>
      </c>
      <c r="AM50" s="25">
        <f>AL50-AM52</f>
        <v/>
      </c>
      <c r="AN50" s="25">
        <f>AM50-AN52</f>
        <v/>
      </c>
      <c r="AO50" s="25">
        <f>AN50-AO52</f>
        <v/>
      </c>
      <c r="AP50" s="25">
        <f>AO50-AP52</f>
        <v/>
      </c>
      <c r="AQ50" s="25">
        <f>AP50-AQ52</f>
        <v/>
      </c>
      <c r="AR50" s="25">
        <f>AQ50-AR52</f>
        <v/>
      </c>
      <c r="AS50" s="25">
        <f>AR50-AS52</f>
        <v/>
      </c>
      <c r="AT50" s="25">
        <f>AS50-AT52</f>
        <v/>
      </c>
      <c r="AU50" s="25">
        <f>AT50-AU52</f>
        <v/>
      </c>
      <c r="AV50" s="25">
        <f>AU50-AV52</f>
        <v/>
      </c>
      <c r="AW50" s="25">
        <f>AV50-AW52</f>
        <v/>
      </c>
      <c r="AX50" s="25">
        <f>AW50-AX52</f>
        <v/>
      </c>
      <c r="AY50" s="25">
        <f>AX50-AY52</f>
        <v/>
      </c>
      <c r="AZ50" s="25">
        <f>AY50-AZ52</f>
        <v/>
      </c>
      <c r="BA50" s="25">
        <f>AZ50-BA52</f>
        <v/>
      </c>
      <c r="BB50" s="25">
        <f>BA50-BB52</f>
        <v/>
      </c>
      <c r="BC50" s="25">
        <f>BB50-BC52</f>
        <v/>
      </c>
      <c r="BD50" s="25">
        <f>BC50-BD52</f>
        <v/>
      </c>
      <c r="BE50" s="25">
        <f>BD50-BE52</f>
        <v/>
      </c>
      <c r="BF50" s="25">
        <f>BE50-BF52</f>
        <v/>
      </c>
      <c r="BG50" s="25">
        <f>BF50-BG52</f>
        <v/>
      </c>
      <c r="BH50" s="25">
        <f>BG50-BH52</f>
        <v/>
      </c>
      <c r="BI50" s="25">
        <f>BH50-BI52</f>
        <v/>
      </c>
      <c r="BJ50" s="25">
        <f>BI50-BJ52</f>
        <v/>
      </c>
      <c r="BK50" s="25">
        <f>BJ50-BK52</f>
        <v/>
      </c>
      <c r="BL50" s="25">
        <f>BK50-BL52</f>
        <v/>
      </c>
      <c r="BM50" s="25">
        <f>BL50-BM52</f>
        <v/>
      </c>
      <c r="BN50" s="25">
        <f>BM50-BN52</f>
        <v/>
      </c>
      <c r="BO50" s="25">
        <f>BN50-BO52</f>
        <v/>
      </c>
      <c r="BP50" s="25">
        <f>BO50-BP52</f>
        <v/>
      </c>
      <c r="BQ50" s="25">
        <f>BP50-BQ52</f>
        <v/>
      </c>
      <c r="BR50" s="25">
        <f>BQ50-BR52</f>
        <v/>
      </c>
      <c r="BS50" s="25">
        <f>BR50-BS52</f>
        <v/>
      </c>
      <c r="BT50" s="25">
        <f>BS50-BT52</f>
        <v/>
      </c>
      <c r="BU50" s="25">
        <f>BT50-BU52</f>
        <v/>
      </c>
      <c r="BV50" s="25">
        <f>BU50-BV52</f>
        <v/>
      </c>
      <c r="BW50" s="25">
        <f>BV50-BW52</f>
        <v/>
      </c>
      <c r="BX50" s="25">
        <f>BW50-BX52</f>
        <v/>
      </c>
      <c r="BY50" s="25">
        <f>BX50-BY52</f>
        <v/>
      </c>
      <c r="BZ50" s="25">
        <f>BY50-BZ52</f>
        <v/>
      </c>
      <c r="CA50" s="25">
        <f>BZ50-CA52</f>
        <v/>
      </c>
      <c r="CB50" s="25">
        <f>CA50-CB52</f>
        <v/>
      </c>
      <c r="CC50" s="25">
        <f>CB50-CC52</f>
        <v/>
      </c>
      <c r="CD50" s="25">
        <f>CC50-CD52</f>
        <v/>
      </c>
      <c r="CE50" s="25">
        <f>CD50-CE52</f>
        <v/>
      </c>
      <c r="CF50" s="25">
        <f>CE50-CF52</f>
        <v/>
      </c>
      <c r="CG50" s="25">
        <f>CF50-CG52</f>
        <v/>
      </c>
      <c r="CH50" s="25">
        <f>CG50-CH52</f>
        <v/>
      </c>
      <c r="CI50" s="25">
        <f>CH50-CI52</f>
        <v/>
      </c>
      <c r="CJ50" s="25">
        <f>CI50-CJ52</f>
        <v/>
      </c>
      <c r="CK50" s="25">
        <f>CJ50-CK52</f>
        <v/>
      </c>
      <c r="CL50" s="25">
        <f>CK50-CL52</f>
        <v/>
      </c>
      <c r="CM50" s="25">
        <f>CL50-CM52</f>
        <v/>
      </c>
      <c r="CN50" s="25">
        <f>CM50-CN52</f>
        <v/>
      </c>
      <c r="CO50" s="25">
        <f>CN50-CO52</f>
        <v/>
      </c>
      <c r="CP50" s="25">
        <f>CO50-CP52</f>
        <v/>
      </c>
      <c r="CQ50" s="25">
        <f>CP50-CQ52</f>
        <v/>
      </c>
      <c r="CR50" s="25">
        <f>CQ50-CR52</f>
        <v/>
      </c>
      <c r="CS50" s="25">
        <f>CR50-CS52</f>
        <v/>
      </c>
      <c r="CT50" s="25">
        <f>CS50-CT52</f>
        <v/>
      </c>
      <c r="CU50" s="25">
        <f>CT50-CU52</f>
        <v/>
      </c>
      <c r="CV50" s="25">
        <f>CU50-CV52</f>
        <v/>
      </c>
      <c r="CW50" s="25">
        <f>CV50-CW52</f>
        <v/>
      </c>
      <c r="CX50" s="25">
        <f>CW50-CX52</f>
        <v/>
      </c>
      <c r="CY50" s="25">
        <f>CX50-CY52</f>
        <v/>
      </c>
      <c r="CZ50" s="25">
        <f>CY50-CZ52</f>
        <v/>
      </c>
      <c r="DA50" s="25">
        <f>CZ50-DA52</f>
        <v/>
      </c>
      <c r="DB50" s="25">
        <f>DA50-DB52</f>
        <v/>
      </c>
      <c r="DC50" s="25">
        <f>DB50-DC52</f>
        <v/>
      </c>
      <c r="DD50" s="25">
        <f>DC50-DD52</f>
        <v/>
      </c>
      <c r="DE50" s="25">
        <f>DD50-DE52</f>
        <v/>
      </c>
      <c r="DF50" s="25">
        <f>DE50-DF52</f>
        <v/>
      </c>
      <c r="DG50" s="25">
        <f>DF50-DG52</f>
        <v/>
      </c>
      <c r="DH50" s="25">
        <f>DG50-DH52</f>
        <v/>
      </c>
      <c r="DI50" s="25">
        <f>DH50-DI52</f>
        <v/>
      </c>
      <c r="DJ50" s="25">
        <f>DI50-DJ52</f>
        <v/>
      </c>
      <c r="DK50" s="25">
        <f>DJ50-DK52</f>
        <v/>
      </c>
      <c r="DL50" s="25">
        <f>DK50-DL52</f>
        <v/>
      </c>
      <c r="DM50" s="25">
        <f>DL50-DM52</f>
        <v/>
      </c>
      <c r="DN50" s="25">
        <f>DM50-DN52</f>
        <v/>
      </c>
      <c r="DO50" s="25">
        <f>DN50-DO52</f>
        <v/>
      </c>
      <c r="DP50" s="25">
        <f>DO50-DP52</f>
        <v/>
      </c>
      <c r="DQ50" s="25">
        <f>DP50-DQ52</f>
        <v/>
      </c>
      <c r="DR50" s="25">
        <f>DQ50-DR52</f>
        <v/>
      </c>
    </row>
    <row r="51">
      <c r="A51" t="inlineStr">
        <is>
          <t>interest_2</t>
        </is>
      </c>
      <c r="C51" s="25">
        <f>IF(C$4=0,0,Effective!$D$54*Effective!$E$54/12)</f>
        <v/>
      </c>
      <c r="D51" s="25">
        <f>IF(D$4=0,0,C50*Effective!$E$54/12)</f>
        <v/>
      </c>
      <c r="E51" s="25">
        <f>IF(E$4=0,0,D50*Effective!$E$54/12)</f>
        <v/>
      </c>
      <c r="F51" s="25">
        <f>IF(F$4=0,0,E50*Effective!$E$54/12)</f>
        <v/>
      </c>
      <c r="G51" s="25">
        <f>IF(G$4=0,0,F50*Effective!$E$54/12)</f>
        <v/>
      </c>
      <c r="H51" s="25">
        <f>IF(H$4=0,0,G50*Effective!$E$54/12)</f>
        <v/>
      </c>
      <c r="I51" s="25">
        <f>IF(I$4=0,0,H50*Effective!$E$54/12)</f>
        <v/>
      </c>
      <c r="J51" s="25">
        <f>IF(J$4=0,0,I50*Effective!$E$54/12)</f>
        <v/>
      </c>
      <c r="K51" s="25">
        <f>IF(K$4=0,0,J50*Effective!$E$54/12)</f>
        <v/>
      </c>
      <c r="L51" s="25">
        <f>IF(L$4=0,0,K50*Effective!$E$54/12)</f>
        <v/>
      </c>
      <c r="M51" s="25">
        <f>IF(M$4=0,0,L50*Effective!$E$54/12)</f>
        <v/>
      </c>
      <c r="N51" s="25">
        <f>IF(N$4=0,0,M50*Effective!$E$54/12)</f>
        <v/>
      </c>
      <c r="O51" s="25">
        <f>IF(O$4=0,0,N50*Effective!$E$54/12)</f>
        <v/>
      </c>
      <c r="P51" s="25">
        <f>IF(P$4=0,0,O50*Effective!$E$54/12)</f>
        <v/>
      </c>
      <c r="Q51" s="25">
        <f>IF(Q$4=0,0,P50*Effective!$E$54/12)</f>
        <v/>
      </c>
      <c r="R51" s="25">
        <f>IF(R$4=0,0,Q50*Effective!$E$54/12)</f>
        <v/>
      </c>
      <c r="S51" s="25">
        <f>IF(S$4=0,0,R50*Effective!$E$54/12)</f>
        <v/>
      </c>
      <c r="T51" s="25">
        <f>IF(T$4=0,0,S50*Effective!$E$54/12)</f>
        <v/>
      </c>
      <c r="U51" s="25">
        <f>IF(U$4=0,0,T50*Effective!$E$54/12)</f>
        <v/>
      </c>
      <c r="V51" s="25">
        <f>IF(V$4=0,0,U50*Effective!$E$54/12)</f>
        <v/>
      </c>
      <c r="W51" s="25">
        <f>IF(W$4=0,0,V50*Effective!$E$54/12)</f>
        <v/>
      </c>
      <c r="X51" s="25">
        <f>IF(X$4=0,0,W50*Effective!$E$54/12)</f>
        <v/>
      </c>
      <c r="Y51" s="25">
        <f>IF(Y$4=0,0,X50*Effective!$E$54/12)</f>
        <v/>
      </c>
      <c r="Z51" s="25">
        <f>IF(Z$4=0,0,Y50*Effective!$E$54/12)</f>
        <v/>
      </c>
      <c r="AA51" s="25">
        <f>IF(AA$4=0,0,Z50*Effective!$E$54/12)</f>
        <v/>
      </c>
      <c r="AB51" s="25">
        <f>IF(AB$4=0,0,AA50*Effective!$E$54/12)</f>
        <v/>
      </c>
      <c r="AC51" s="25">
        <f>IF(AC$4=0,0,AB50*Effective!$E$54/12)</f>
        <v/>
      </c>
      <c r="AD51" s="25">
        <f>IF(AD$4=0,0,AC50*Effective!$E$54/12)</f>
        <v/>
      </c>
      <c r="AE51" s="25">
        <f>IF(AE$4=0,0,AD50*Effective!$E$54/12)</f>
        <v/>
      </c>
      <c r="AF51" s="25">
        <f>IF(AF$4=0,0,AE50*Effective!$E$54/12)</f>
        <v/>
      </c>
      <c r="AG51" s="25">
        <f>IF(AG$4=0,0,AF50*Effective!$E$54/12)</f>
        <v/>
      </c>
      <c r="AH51" s="25">
        <f>IF(AH$4=0,0,AG50*Effective!$E$54/12)</f>
        <v/>
      </c>
      <c r="AI51" s="25">
        <f>IF(AI$4=0,0,AH50*Effective!$E$54/12)</f>
        <v/>
      </c>
      <c r="AJ51" s="25">
        <f>IF(AJ$4=0,0,AI50*Effective!$E$54/12)</f>
        <v/>
      </c>
      <c r="AK51" s="25">
        <f>IF(AK$4=0,0,AJ50*Effective!$E$54/12)</f>
        <v/>
      </c>
      <c r="AL51" s="25">
        <f>IF(AL$4=0,0,AK50*Effective!$E$54/12)</f>
        <v/>
      </c>
      <c r="AM51" s="25">
        <f>IF(AM$4=0,0,AL50*Effective!$E$54/12)</f>
        <v/>
      </c>
      <c r="AN51" s="25">
        <f>IF(AN$4=0,0,AM50*Effective!$E$54/12)</f>
        <v/>
      </c>
      <c r="AO51" s="25">
        <f>IF(AO$4=0,0,AN50*Effective!$E$54/12)</f>
        <v/>
      </c>
      <c r="AP51" s="25">
        <f>IF(AP$4=0,0,AO50*Effective!$E$54/12)</f>
        <v/>
      </c>
      <c r="AQ51" s="25">
        <f>IF(AQ$4=0,0,AP50*Effective!$E$54/12)</f>
        <v/>
      </c>
      <c r="AR51" s="25">
        <f>IF(AR$4=0,0,AQ50*Effective!$E$54/12)</f>
        <v/>
      </c>
      <c r="AS51" s="25">
        <f>IF(AS$4=0,0,AR50*Effective!$E$54/12)</f>
        <v/>
      </c>
      <c r="AT51" s="25">
        <f>IF(AT$4=0,0,AS50*Effective!$E$54/12)</f>
        <v/>
      </c>
      <c r="AU51" s="25">
        <f>IF(AU$4=0,0,AT50*Effective!$E$54/12)</f>
        <v/>
      </c>
      <c r="AV51" s="25">
        <f>IF(AV$4=0,0,AU50*Effective!$E$54/12)</f>
        <v/>
      </c>
      <c r="AW51" s="25">
        <f>IF(AW$4=0,0,AV50*Effective!$E$54/12)</f>
        <v/>
      </c>
      <c r="AX51" s="25">
        <f>IF(AX$4=0,0,AW50*Effective!$E$54/12)</f>
        <v/>
      </c>
      <c r="AY51" s="25">
        <f>IF(AY$4=0,0,AX50*Effective!$E$54/12)</f>
        <v/>
      </c>
      <c r="AZ51" s="25">
        <f>IF(AZ$4=0,0,AY50*Effective!$E$54/12)</f>
        <v/>
      </c>
      <c r="BA51" s="25">
        <f>IF(BA$4=0,0,AZ50*Effective!$E$54/12)</f>
        <v/>
      </c>
      <c r="BB51" s="25">
        <f>IF(BB$4=0,0,BA50*Effective!$E$54/12)</f>
        <v/>
      </c>
      <c r="BC51" s="25">
        <f>IF(BC$4=0,0,BB50*Effective!$E$54/12)</f>
        <v/>
      </c>
      <c r="BD51" s="25">
        <f>IF(BD$4=0,0,BC50*Effective!$E$54/12)</f>
        <v/>
      </c>
      <c r="BE51" s="25">
        <f>IF(BE$4=0,0,BD50*Effective!$E$54/12)</f>
        <v/>
      </c>
      <c r="BF51" s="25">
        <f>IF(BF$4=0,0,BE50*Effective!$E$54/12)</f>
        <v/>
      </c>
      <c r="BG51" s="25">
        <f>IF(BG$4=0,0,BF50*Effective!$E$54/12)</f>
        <v/>
      </c>
      <c r="BH51" s="25">
        <f>IF(BH$4=0,0,BG50*Effective!$E$54/12)</f>
        <v/>
      </c>
      <c r="BI51" s="25">
        <f>IF(BI$4=0,0,BH50*Effective!$E$54/12)</f>
        <v/>
      </c>
      <c r="BJ51" s="25">
        <f>IF(BJ$4=0,0,BI50*Effective!$E$54/12)</f>
        <v/>
      </c>
      <c r="BK51" s="25">
        <f>IF(BK$4=0,0,BJ50*Effective!$E$54/12)</f>
        <v/>
      </c>
      <c r="BL51" s="25">
        <f>IF(BL$4=0,0,BK50*Effective!$E$54/12)</f>
        <v/>
      </c>
      <c r="BM51" s="25">
        <f>IF(BM$4=0,0,BL50*Effective!$E$54/12)</f>
        <v/>
      </c>
      <c r="BN51" s="25">
        <f>IF(BN$4=0,0,BM50*Effective!$E$54/12)</f>
        <v/>
      </c>
      <c r="BO51" s="25">
        <f>IF(BO$4=0,0,BN50*Effective!$E$54/12)</f>
        <v/>
      </c>
      <c r="BP51" s="25">
        <f>IF(BP$4=0,0,BO50*Effective!$E$54/12)</f>
        <v/>
      </c>
      <c r="BQ51" s="25">
        <f>IF(BQ$4=0,0,BP50*Effective!$E$54/12)</f>
        <v/>
      </c>
      <c r="BR51" s="25">
        <f>IF(BR$4=0,0,BQ50*Effective!$E$54/12)</f>
        <v/>
      </c>
      <c r="BS51" s="25">
        <f>IF(BS$4=0,0,BR50*Effective!$E$54/12)</f>
        <v/>
      </c>
      <c r="BT51" s="25">
        <f>IF(BT$4=0,0,BS50*Effective!$E$54/12)</f>
        <v/>
      </c>
      <c r="BU51" s="25">
        <f>IF(BU$4=0,0,BT50*Effective!$E$54/12)</f>
        <v/>
      </c>
      <c r="BV51" s="25">
        <f>IF(BV$4=0,0,BU50*Effective!$E$54/12)</f>
        <v/>
      </c>
      <c r="BW51" s="25">
        <f>IF(BW$4=0,0,BV50*Effective!$E$54/12)</f>
        <v/>
      </c>
      <c r="BX51" s="25">
        <f>IF(BX$4=0,0,BW50*Effective!$E$54/12)</f>
        <v/>
      </c>
      <c r="BY51" s="25">
        <f>IF(BY$4=0,0,BX50*Effective!$E$54/12)</f>
        <v/>
      </c>
      <c r="BZ51" s="25">
        <f>IF(BZ$4=0,0,BY50*Effective!$E$54/12)</f>
        <v/>
      </c>
      <c r="CA51" s="25">
        <f>IF(CA$4=0,0,BZ50*Effective!$E$54/12)</f>
        <v/>
      </c>
      <c r="CB51" s="25">
        <f>IF(CB$4=0,0,CA50*Effective!$E$54/12)</f>
        <v/>
      </c>
      <c r="CC51" s="25">
        <f>IF(CC$4=0,0,CB50*Effective!$E$54/12)</f>
        <v/>
      </c>
      <c r="CD51" s="25">
        <f>IF(CD$4=0,0,CC50*Effective!$E$54/12)</f>
        <v/>
      </c>
      <c r="CE51" s="25">
        <f>IF(CE$4=0,0,CD50*Effective!$E$54/12)</f>
        <v/>
      </c>
      <c r="CF51" s="25">
        <f>IF(CF$4=0,0,CE50*Effective!$E$54/12)</f>
        <v/>
      </c>
      <c r="CG51" s="25">
        <f>IF(CG$4=0,0,CF50*Effective!$E$54/12)</f>
        <v/>
      </c>
      <c r="CH51" s="25">
        <f>IF(CH$4=0,0,CG50*Effective!$E$54/12)</f>
        <v/>
      </c>
      <c r="CI51" s="25">
        <f>IF(CI$4=0,0,CH50*Effective!$E$54/12)</f>
        <v/>
      </c>
      <c r="CJ51" s="25">
        <f>IF(CJ$4=0,0,CI50*Effective!$E$54/12)</f>
        <v/>
      </c>
      <c r="CK51" s="25">
        <f>IF(CK$4=0,0,CJ50*Effective!$E$54/12)</f>
        <v/>
      </c>
      <c r="CL51" s="25">
        <f>IF(CL$4=0,0,CK50*Effective!$E$54/12)</f>
        <v/>
      </c>
      <c r="CM51" s="25">
        <f>IF(CM$4=0,0,CL50*Effective!$E$54/12)</f>
        <v/>
      </c>
      <c r="CN51" s="25">
        <f>IF(CN$4=0,0,CM50*Effective!$E$54/12)</f>
        <v/>
      </c>
      <c r="CO51" s="25">
        <f>IF(CO$4=0,0,CN50*Effective!$E$54/12)</f>
        <v/>
      </c>
      <c r="CP51" s="25">
        <f>IF(CP$4=0,0,CO50*Effective!$E$54/12)</f>
        <v/>
      </c>
      <c r="CQ51" s="25">
        <f>IF(CQ$4=0,0,CP50*Effective!$E$54/12)</f>
        <v/>
      </c>
      <c r="CR51" s="25">
        <f>IF(CR$4=0,0,CQ50*Effective!$E$54/12)</f>
        <v/>
      </c>
      <c r="CS51" s="25">
        <f>IF(CS$4=0,0,CR50*Effective!$E$54/12)</f>
        <v/>
      </c>
      <c r="CT51" s="25">
        <f>IF(CT$4=0,0,CS50*Effective!$E$54/12)</f>
        <v/>
      </c>
      <c r="CU51" s="25">
        <f>IF(CU$4=0,0,CT50*Effective!$E$54/12)</f>
        <v/>
      </c>
      <c r="CV51" s="25">
        <f>IF(CV$4=0,0,CU50*Effective!$E$54/12)</f>
        <v/>
      </c>
      <c r="CW51" s="25">
        <f>IF(CW$4=0,0,CV50*Effective!$E$54/12)</f>
        <v/>
      </c>
      <c r="CX51" s="25">
        <f>IF(CX$4=0,0,CW50*Effective!$E$54/12)</f>
        <v/>
      </c>
      <c r="CY51" s="25">
        <f>IF(CY$4=0,0,CX50*Effective!$E$54/12)</f>
        <v/>
      </c>
      <c r="CZ51" s="25">
        <f>IF(CZ$4=0,0,CY50*Effective!$E$54/12)</f>
        <v/>
      </c>
      <c r="DA51" s="25">
        <f>IF(DA$4=0,0,CZ50*Effective!$E$54/12)</f>
        <v/>
      </c>
      <c r="DB51" s="25">
        <f>IF(DB$4=0,0,DA50*Effective!$E$54/12)</f>
        <v/>
      </c>
      <c r="DC51" s="25">
        <f>IF(DC$4=0,0,DB50*Effective!$E$54/12)</f>
        <v/>
      </c>
      <c r="DD51" s="25">
        <f>IF(DD$4=0,0,DC50*Effective!$E$54/12)</f>
        <v/>
      </c>
      <c r="DE51" s="25">
        <f>IF(DE$4=0,0,DD50*Effective!$E$54/12)</f>
        <v/>
      </c>
      <c r="DF51" s="25">
        <f>IF(DF$4=0,0,DE50*Effective!$E$54/12)</f>
        <v/>
      </c>
      <c r="DG51" s="25">
        <f>IF(DG$4=0,0,DF50*Effective!$E$54/12)</f>
        <v/>
      </c>
      <c r="DH51" s="25">
        <f>IF(DH$4=0,0,DG50*Effective!$E$54/12)</f>
        <v/>
      </c>
      <c r="DI51" s="25">
        <f>IF(DI$4=0,0,DH50*Effective!$E$54/12)</f>
        <v/>
      </c>
      <c r="DJ51" s="25">
        <f>IF(DJ$4=0,0,DI50*Effective!$E$54/12)</f>
        <v/>
      </c>
      <c r="DK51" s="25">
        <f>IF(DK$4=0,0,DJ50*Effective!$E$54/12)</f>
        <v/>
      </c>
      <c r="DL51" s="25">
        <f>IF(DL$4=0,0,DK50*Effective!$E$54/12)</f>
        <v/>
      </c>
      <c r="DM51" s="25">
        <f>IF(DM$4=0,0,DL50*Effective!$E$54/12)</f>
        <v/>
      </c>
      <c r="DN51" s="25">
        <f>IF(DN$4=0,0,DM50*Effective!$E$54/12)</f>
        <v/>
      </c>
      <c r="DO51" s="25">
        <f>IF(DO$4=0,0,DN50*Effective!$E$54/12)</f>
        <v/>
      </c>
      <c r="DP51" s="25">
        <f>IF(DP$4=0,0,DO50*Effective!$E$54/12)</f>
        <v/>
      </c>
      <c r="DQ51" s="25">
        <f>IF(DQ$4=0,0,DP50*Effective!$E$54/12)</f>
        <v/>
      </c>
      <c r="DR51" s="25">
        <f>IF(DR$4=0,0,DQ50*Effective!$E$54/12)</f>
        <v/>
      </c>
    </row>
    <row r="52">
      <c r="A52" t="inlineStr">
        <is>
          <t>principal_2</t>
        </is>
      </c>
      <c r="C52" s="25">
        <f>IF(C$4=0,0,IF(Effective!$C$54="term_loan",MIN(Effective!$F$54,Effective!$D$54),0))</f>
        <v/>
      </c>
      <c r="D52" s="25">
        <f>IF(D$4=0,0,IF(Effective!$C$54="term_loan",MIN(Effective!$F$54,C50),0))</f>
        <v/>
      </c>
      <c r="E52" s="25">
        <f>IF(E$4=0,0,IF(Effective!$C$54="term_loan",MIN(Effective!$F$54,D50),0))</f>
        <v/>
      </c>
      <c r="F52" s="25">
        <f>IF(F$4=0,0,IF(Effective!$C$54="term_loan",MIN(Effective!$F$54,E50),0))</f>
        <v/>
      </c>
      <c r="G52" s="25">
        <f>IF(G$4=0,0,IF(Effective!$C$54="term_loan",MIN(Effective!$F$54,F50),0))</f>
        <v/>
      </c>
      <c r="H52" s="25">
        <f>IF(H$4=0,0,IF(Effective!$C$54="term_loan",MIN(Effective!$F$54,G50),0))</f>
        <v/>
      </c>
      <c r="I52" s="25">
        <f>IF(I$4=0,0,IF(Effective!$C$54="term_loan",MIN(Effective!$F$54,H50),0))</f>
        <v/>
      </c>
      <c r="J52" s="25">
        <f>IF(J$4=0,0,IF(Effective!$C$54="term_loan",MIN(Effective!$F$54,I50),0))</f>
        <v/>
      </c>
      <c r="K52" s="25">
        <f>IF(K$4=0,0,IF(Effective!$C$54="term_loan",MIN(Effective!$F$54,J50),0))</f>
        <v/>
      </c>
      <c r="L52" s="25">
        <f>IF(L$4=0,0,IF(Effective!$C$54="term_loan",MIN(Effective!$F$54,K50),0))</f>
        <v/>
      </c>
      <c r="M52" s="25">
        <f>IF(M$4=0,0,IF(Effective!$C$54="term_loan",MIN(Effective!$F$54,L50),0))</f>
        <v/>
      </c>
      <c r="N52" s="25">
        <f>IF(N$4=0,0,IF(Effective!$C$54="term_loan",MIN(Effective!$F$54,M50),0))</f>
        <v/>
      </c>
      <c r="O52" s="25">
        <f>IF(O$4=0,0,IF(Effective!$C$54="term_loan",MIN(Effective!$F$54,N50),0))</f>
        <v/>
      </c>
      <c r="P52" s="25">
        <f>IF(P$4=0,0,IF(Effective!$C$54="term_loan",MIN(Effective!$F$54,O50),0))</f>
        <v/>
      </c>
      <c r="Q52" s="25">
        <f>IF(Q$4=0,0,IF(Effective!$C$54="term_loan",MIN(Effective!$F$54,P50),0))</f>
        <v/>
      </c>
      <c r="R52" s="25">
        <f>IF(R$4=0,0,IF(Effective!$C$54="term_loan",MIN(Effective!$F$54,Q50),0))</f>
        <v/>
      </c>
      <c r="S52" s="25">
        <f>IF(S$4=0,0,IF(Effective!$C$54="term_loan",MIN(Effective!$F$54,R50),0))</f>
        <v/>
      </c>
      <c r="T52" s="25">
        <f>IF(T$4=0,0,IF(Effective!$C$54="term_loan",MIN(Effective!$F$54,S50),0))</f>
        <v/>
      </c>
      <c r="U52" s="25">
        <f>IF(U$4=0,0,IF(Effective!$C$54="term_loan",MIN(Effective!$F$54,T50),0))</f>
        <v/>
      </c>
      <c r="V52" s="25">
        <f>IF(V$4=0,0,IF(Effective!$C$54="term_loan",MIN(Effective!$F$54,U50),0))</f>
        <v/>
      </c>
      <c r="W52" s="25">
        <f>IF(W$4=0,0,IF(Effective!$C$54="term_loan",MIN(Effective!$F$54,V50),0))</f>
        <v/>
      </c>
      <c r="X52" s="25">
        <f>IF(X$4=0,0,IF(Effective!$C$54="term_loan",MIN(Effective!$F$54,W50),0))</f>
        <v/>
      </c>
      <c r="Y52" s="25">
        <f>IF(Y$4=0,0,IF(Effective!$C$54="term_loan",MIN(Effective!$F$54,X50),0))</f>
        <v/>
      </c>
      <c r="Z52" s="25">
        <f>IF(Z$4=0,0,IF(Effective!$C$54="term_loan",MIN(Effective!$F$54,Y50),0))</f>
        <v/>
      </c>
      <c r="AA52" s="25">
        <f>IF(AA$4=0,0,IF(Effective!$C$54="term_loan",MIN(Effective!$F$54,Z50),0))</f>
        <v/>
      </c>
      <c r="AB52" s="25">
        <f>IF(AB$4=0,0,IF(Effective!$C$54="term_loan",MIN(Effective!$F$54,AA50),0))</f>
        <v/>
      </c>
      <c r="AC52" s="25">
        <f>IF(AC$4=0,0,IF(Effective!$C$54="term_loan",MIN(Effective!$F$54,AB50),0))</f>
        <v/>
      </c>
      <c r="AD52" s="25">
        <f>IF(AD$4=0,0,IF(Effective!$C$54="term_loan",MIN(Effective!$F$54,AC50),0))</f>
        <v/>
      </c>
      <c r="AE52" s="25">
        <f>IF(AE$4=0,0,IF(Effective!$C$54="term_loan",MIN(Effective!$F$54,AD50),0))</f>
        <v/>
      </c>
      <c r="AF52" s="25">
        <f>IF(AF$4=0,0,IF(Effective!$C$54="term_loan",MIN(Effective!$F$54,AE50),0))</f>
        <v/>
      </c>
      <c r="AG52" s="25">
        <f>IF(AG$4=0,0,IF(Effective!$C$54="term_loan",MIN(Effective!$F$54,AF50),0))</f>
        <v/>
      </c>
      <c r="AH52" s="25">
        <f>IF(AH$4=0,0,IF(Effective!$C$54="term_loan",MIN(Effective!$F$54,AG50),0))</f>
        <v/>
      </c>
      <c r="AI52" s="25">
        <f>IF(AI$4=0,0,IF(Effective!$C$54="term_loan",MIN(Effective!$F$54,AH50),0))</f>
        <v/>
      </c>
      <c r="AJ52" s="25">
        <f>IF(AJ$4=0,0,IF(Effective!$C$54="term_loan",MIN(Effective!$F$54,AI50),0))</f>
        <v/>
      </c>
      <c r="AK52" s="25">
        <f>IF(AK$4=0,0,IF(Effective!$C$54="term_loan",MIN(Effective!$F$54,AJ50),0))</f>
        <v/>
      </c>
      <c r="AL52" s="25">
        <f>IF(AL$4=0,0,IF(Effective!$C$54="term_loan",MIN(Effective!$F$54,AK50),0))</f>
        <v/>
      </c>
      <c r="AM52" s="25">
        <f>IF(AM$4=0,0,IF(Effective!$C$54="term_loan",MIN(Effective!$F$54,AL50),0))</f>
        <v/>
      </c>
      <c r="AN52" s="25">
        <f>IF(AN$4=0,0,IF(Effective!$C$54="term_loan",MIN(Effective!$F$54,AM50),0))</f>
        <v/>
      </c>
      <c r="AO52" s="25">
        <f>IF(AO$4=0,0,IF(Effective!$C$54="term_loan",MIN(Effective!$F$54,AN50),0))</f>
        <v/>
      </c>
      <c r="AP52" s="25">
        <f>IF(AP$4=0,0,IF(Effective!$C$54="term_loan",MIN(Effective!$F$54,AO50),0))</f>
        <v/>
      </c>
      <c r="AQ52" s="25">
        <f>IF(AQ$4=0,0,IF(Effective!$C$54="term_loan",MIN(Effective!$F$54,AP50),0))</f>
        <v/>
      </c>
      <c r="AR52" s="25">
        <f>IF(AR$4=0,0,IF(Effective!$C$54="term_loan",MIN(Effective!$F$54,AQ50),0))</f>
        <v/>
      </c>
      <c r="AS52" s="25">
        <f>IF(AS$4=0,0,IF(Effective!$C$54="term_loan",MIN(Effective!$F$54,AR50),0))</f>
        <v/>
      </c>
      <c r="AT52" s="25">
        <f>IF(AT$4=0,0,IF(Effective!$C$54="term_loan",MIN(Effective!$F$54,AS50),0))</f>
        <v/>
      </c>
      <c r="AU52" s="25">
        <f>IF(AU$4=0,0,IF(Effective!$C$54="term_loan",MIN(Effective!$F$54,AT50),0))</f>
        <v/>
      </c>
      <c r="AV52" s="25">
        <f>IF(AV$4=0,0,IF(Effective!$C$54="term_loan",MIN(Effective!$F$54,AU50),0))</f>
        <v/>
      </c>
      <c r="AW52" s="25">
        <f>IF(AW$4=0,0,IF(Effective!$C$54="term_loan",MIN(Effective!$F$54,AV50),0))</f>
        <v/>
      </c>
      <c r="AX52" s="25">
        <f>IF(AX$4=0,0,IF(Effective!$C$54="term_loan",MIN(Effective!$F$54,AW50),0))</f>
        <v/>
      </c>
      <c r="AY52" s="25">
        <f>IF(AY$4=0,0,IF(Effective!$C$54="term_loan",MIN(Effective!$F$54,AX50),0))</f>
        <v/>
      </c>
      <c r="AZ52" s="25">
        <f>IF(AZ$4=0,0,IF(Effective!$C$54="term_loan",MIN(Effective!$F$54,AY50),0))</f>
        <v/>
      </c>
      <c r="BA52" s="25">
        <f>IF(BA$4=0,0,IF(Effective!$C$54="term_loan",MIN(Effective!$F$54,AZ50),0))</f>
        <v/>
      </c>
      <c r="BB52" s="25">
        <f>IF(BB$4=0,0,IF(Effective!$C$54="term_loan",MIN(Effective!$F$54,BA50),0))</f>
        <v/>
      </c>
      <c r="BC52" s="25">
        <f>IF(BC$4=0,0,IF(Effective!$C$54="term_loan",MIN(Effective!$F$54,BB50),0))</f>
        <v/>
      </c>
      <c r="BD52" s="25">
        <f>IF(BD$4=0,0,IF(Effective!$C$54="term_loan",MIN(Effective!$F$54,BC50),0))</f>
        <v/>
      </c>
      <c r="BE52" s="25">
        <f>IF(BE$4=0,0,IF(Effective!$C$54="term_loan",MIN(Effective!$F$54,BD50),0))</f>
        <v/>
      </c>
      <c r="BF52" s="25">
        <f>IF(BF$4=0,0,IF(Effective!$C$54="term_loan",MIN(Effective!$F$54,BE50),0))</f>
        <v/>
      </c>
      <c r="BG52" s="25">
        <f>IF(BG$4=0,0,IF(Effective!$C$54="term_loan",MIN(Effective!$F$54,BF50),0))</f>
        <v/>
      </c>
      <c r="BH52" s="25">
        <f>IF(BH$4=0,0,IF(Effective!$C$54="term_loan",MIN(Effective!$F$54,BG50),0))</f>
        <v/>
      </c>
      <c r="BI52" s="25">
        <f>IF(BI$4=0,0,IF(Effective!$C$54="term_loan",MIN(Effective!$F$54,BH50),0))</f>
        <v/>
      </c>
      <c r="BJ52" s="25">
        <f>IF(BJ$4=0,0,IF(Effective!$C$54="term_loan",MIN(Effective!$F$54,BI50),0))</f>
        <v/>
      </c>
      <c r="BK52" s="25">
        <f>IF(BK$4=0,0,IF(Effective!$C$54="term_loan",MIN(Effective!$F$54,BJ50),0))</f>
        <v/>
      </c>
      <c r="BL52" s="25">
        <f>IF(BL$4=0,0,IF(Effective!$C$54="term_loan",MIN(Effective!$F$54,BK50),0))</f>
        <v/>
      </c>
      <c r="BM52" s="25">
        <f>IF(BM$4=0,0,IF(Effective!$C$54="term_loan",MIN(Effective!$F$54,BL50),0))</f>
        <v/>
      </c>
      <c r="BN52" s="25">
        <f>IF(BN$4=0,0,IF(Effective!$C$54="term_loan",MIN(Effective!$F$54,BM50),0))</f>
        <v/>
      </c>
      <c r="BO52" s="25">
        <f>IF(BO$4=0,0,IF(Effective!$C$54="term_loan",MIN(Effective!$F$54,BN50),0))</f>
        <v/>
      </c>
      <c r="BP52" s="25">
        <f>IF(BP$4=0,0,IF(Effective!$C$54="term_loan",MIN(Effective!$F$54,BO50),0))</f>
        <v/>
      </c>
      <c r="BQ52" s="25">
        <f>IF(BQ$4=0,0,IF(Effective!$C$54="term_loan",MIN(Effective!$F$54,BP50),0))</f>
        <v/>
      </c>
      <c r="BR52" s="25">
        <f>IF(BR$4=0,0,IF(Effective!$C$54="term_loan",MIN(Effective!$F$54,BQ50),0))</f>
        <v/>
      </c>
      <c r="BS52" s="25">
        <f>IF(BS$4=0,0,IF(Effective!$C$54="term_loan",MIN(Effective!$F$54,BR50),0))</f>
        <v/>
      </c>
      <c r="BT52" s="25">
        <f>IF(BT$4=0,0,IF(Effective!$C$54="term_loan",MIN(Effective!$F$54,BS50),0))</f>
        <v/>
      </c>
      <c r="BU52" s="25">
        <f>IF(BU$4=0,0,IF(Effective!$C$54="term_loan",MIN(Effective!$F$54,BT50),0))</f>
        <v/>
      </c>
      <c r="BV52" s="25">
        <f>IF(BV$4=0,0,IF(Effective!$C$54="term_loan",MIN(Effective!$F$54,BU50),0))</f>
        <v/>
      </c>
      <c r="BW52" s="25">
        <f>IF(BW$4=0,0,IF(Effective!$C$54="term_loan",MIN(Effective!$F$54,BV50),0))</f>
        <v/>
      </c>
      <c r="BX52" s="25">
        <f>IF(BX$4=0,0,IF(Effective!$C$54="term_loan",MIN(Effective!$F$54,BW50),0))</f>
        <v/>
      </c>
      <c r="BY52" s="25">
        <f>IF(BY$4=0,0,IF(Effective!$C$54="term_loan",MIN(Effective!$F$54,BX50),0))</f>
        <v/>
      </c>
      <c r="BZ52" s="25">
        <f>IF(BZ$4=0,0,IF(Effective!$C$54="term_loan",MIN(Effective!$F$54,BY50),0))</f>
        <v/>
      </c>
      <c r="CA52" s="25">
        <f>IF(CA$4=0,0,IF(Effective!$C$54="term_loan",MIN(Effective!$F$54,BZ50),0))</f>
        <v/>
      </c>
      <c r="CB52" s="25">
        <f>IF(CB$4=0,0,IF(Effective!$C$54="term_loan",MIN(Effective!$F$54,CA50),0))</f>
        <v/>
      </c>
      <c r="CC52" s="25">
        <f>IF(CC$4=0,0,IF(Effective!$C$54="term_loan",MIN(Effective!$F$54,CB50),0))</f>
        <v/>
      </c>
      <c r="CD52" s="25">
        <f>IF(CD$4=0,0,IF(Effective!$C$54="term_loan",MIN(Effective!$F$54,CC50),0))</f>
        <v/>
      </c>
      <c r="CE52" s="25">
        <f>IF(CE$4=0,0,IF(Effective!$C$54="term_loan",MIN(Effective!$F$54,CD50),0))</f>
        <v/>
      </c>
      <c r="CF52" s="25">
        <f>IF(CF$4=0,0,IF(Effective!$C$54="term_loan",MIN(Effective!$F$54,CE50),0))</f>
        <v/>
      </c>
      <c r="CG52" s="25">
        <f>IF(CG$4=0,0,IF(Effective!$C$54="term_loan",MIN(Effective!$F$54,CF50),0))</f>
        <v/>
      </c>
      <c r="CH52" s="25">
        <f>IF(CH$4=0,0,IF(Effective!$C$54="term_loan",MIN(Effective!$F$54,CG50),0))</f>
        <v/>
      </c>
      <c r="CI52" s="25">
        <f>IF(CI$4=0,0,IF(Effective!$C$54="term_loan",MIN(Effective!$F$54,CH50),0))</f>
        <v/>
      </c>
      <c r="CJ52" s="25">
        <f>IF(CJ$4=0,0,IF(Effective!$C$54="term_loan",MIN(Effective!$F$54,CI50),0))</f>
        <v/>
      </c>
      <c r="CK52" s="25">
        <f>IF(CK$4=0,0,IF(Effective!$C$54="term_loan",MIN(Effective!$F$54,CJ50),0))</f>
        <v/>
      </c>
      <c r="CL52" s="25">
        <f>IF(CL$4=0,0,IF(Effective!$C$54="term_loan",MIN(Effective!$F$54,CK50),0))</f>
        <v/>
      </c>
      <c r="CM52" s="25">
        <f>IF(CM$4=0,0,IF(Effective!$C$54="term_loan",MIN(Effective!$F$54,CL50),0))</f>
        <v/>
      </c>
      <c r="CN52" s="25">
        <f>IF(CN$4=0,0,IF(Effective!$C$54="term_loan",MIN(Effective!$F$54,CM50),0))</f>
        <v/>
      </c>
      <c r="CO52" s="25">
        <f>IF(CO$4=0,0,IF(Effective!$C$54="term_loan",MIN(Effective!$F$54,CN50),0))</f>
        <v/>
      </c>
      <c r="CP52" s="25">
        <f>IF(CP$4=0,0,IF(Effective!$C$54="term_loan",MIN(Effective!$F$54,CO50),0))</f>
        <v/>
      </c>
      <c r="CQ52" s="25">
        <f>IF(CQ$4=0,0,IF(Effective!$C$54="term_loan",MIN(Effective!$F$54,CP50),0))</f>
        <v/>
      </c>
      <c r="CR52" s="25">
        <f>IF(CR$4=0,0,IF(Effective!$C$54="term_loan",MIN(Effective!$F$54,CQ50),0))</f>
        <v/>
      </c>
      <c r="CS52" s="25">
        <f>IF(CS$4=0,0,IF(Effective!$C$54="term_loan",MIN(Effective!$F$54,CR50),0))</f>
        <v/>
      </c>
      <c r="CT52" s="25">
        <f>IF(CT$4=0,0,IF(Effective!$C$54="term_loan",MIN(Effective!$F$54,CS50),0))</f>
        <v/>
      </c>
      <c r="CU52" s="25">
        <f>IF(CU$4=0,0,IF(Effective!$C$54="term_loan",MIN(Effective!$F$54,CT50),0))</f>
        <v/>
      </c>
      <c r="CV52" s="25">
        <f>IF(CV$4=0,0,IF(Effective!$C$54="term_loan",MIN(Effective!$F$54,CU50),0))</f>
        <v/>
      </c>
      <c r="CW52" s="25">
        <f>IF(CW$4=0,0,IF(Effective!$C$54="term_loan",MIN(Effective!$F$54,CV50),0))</f>
        <v/>
      </c>
      <c r="CX52" s="25">
        <f>IF(CX$4=0,0,IF(Effective!$C$54="term_loan",MIN(Effective!$F$54,CW50),0))</f>
        <v/>
      </c>
      <c r="CY52" s="25">
        <f>IF(CY$4=0,0,IF(Effective!$C$54="term_loan",MIN(Effective!$F$54,CX50),0))</f>
        <v/>
      </c>
      <c r="CZ52" s="25">
        <f>IF(CZ$4=0,0,IF(Effective!$C$54="term_loan",MIN(Effective!$F$54,CY50),0))</f>
        <v/>
      </c>
      <c r="DA52" s="25">
        <f>IF(DA$4=0,0,IF(Effective!$C$54="term_loan",MIN(Effective!$F$54,CZ50),0))</f>
        <v/>
      </c>
      <c r="DB52" s="25">
        <f>IF(DB$4=0,0,IF(Effective!$C$54="term_loan",MIN(Effective!$F$54,DA50),0))</f>
        <v/>
      </c>
      <c r="DC52" s="25">
        <f>IF(DC$4=0,0,IF(Effective!$C$54="term_loan",MIN(Effective!$F$54,DB50),0))</f>
        <v/>
      </c>
      <c r="DD52" s="25">
        <f>IF(DD$4=0,0,IF(Effective!$C$54="term_loan",MIN(Effective!$F$54,DC50),0))</f>
        <v/>
      </c>
      <c r="DE52" s="25">
        <f>IF(DE$4=0,0,IF(Effective!$C$54="term_loan",MIN(Effective!$F$54,DD50),0))</f>
        <v/>
      </c>
      <c r="DF52" s="25">
        <f>IF(DF$4=0,0,IF(Effective!$C$54="term_loan",MIN(Effective!$F$54,DE50),0))</f>
        <v/>
      </c>
      <c r="DG52" s="25">
        <f>IF(DG$4=0,0,IF(Effective!$C$54="term_loan",MIN(Effective!$F$54,DF50),0))</f>
        <v/>
      </c>
      <c r="DH52" s="25">
        <f>IF(DH$4=0,0,IF(Effective!$C$54="term_loan",MIN(Effective!$F$54,DG50),0))</f>
        <v/>
      </c>
      <c r="DI52" s="25">
        <f>IF(DI$4=0,0,IF(Effective!$C$54="term_loan",MIN(Effective!$F$54,DH50),0))</f>
        <v/>
      </c>
      <c r="DJ52" s="25">
        <f>IF(DJ$4=0,0,IF(Effective!$C$54="term_loan",MIN(Effective!$F$54,DI50),0))</f>
        <v/>
      </c>
      <c r="DK52" s="25">
        <f>IF(DK$4=0,0,IF(Effective!$C$54="term_loan",MIN(Effective!$F$54,DJ50),0))</f>
        <v/>
      </c>
      <c r="DL52" s="25">
        <f>IF(DL$4=0,0,IF(Effective!$C$54="term_loan",MIN(Effective!$F$54,DK50),0))</f>
        <v/>
      </c>
      <c r="DM52" s="25">
        <f>IF(DM$4=0,0,IF(Effective!$C$54="term_loan",MIN(Effective!$F$54,DL50),0))</f>
        <v/>
      </c>
      <c r="DN52" s="25">
        <f>IF(DN$4=0,0,IF(Effective!$C$54="term_loan",MIN(Effective!$F$54,DM50),0))</f>
        <v/>
      </c>
      <c r="DO52" s="25">
        <f>IF(DO$4=0,0,IF(Effective!$C$54="term_loan",MIN(Effective!$F$54,DN50),0))</f>
        <v/>
      </c>
      <c r="DP52" s="25">
        <f>IF(DP$4=0,0,IF(Effective!$C$54="term_loan",MIN(Effective!$F$54,DO50),0))</f>
        <v/>
      </c>
      <c r="DQ52" s="25">
        <f>IF(DQ$4=0,0,IF(Effective!$C$54="term_loan",MIN(Effective!$F$54,DP50),0))</f>
        <v/>
      </c>
      <c r="DR52" s="25">
        <f>IF(DR$4=0,0,IF(Effective!$C$54="term_loan",MIN(Effective!$F$54,DQ50),0))</f>
        <v/>
      </c>
    </row>
    <row r="53">
      <c r="A53" t="inlineStr">
        <is>
          <t>debt_balance_3</t>
        </is>
      </c>
      <c r="B53" t="inlineStr">
        <is>
          <t>after payment</t>
        </is>
      </c>
      <c r="C53" s="25">
        <f>Effective!$D$55-C55</f>
        <v/>
      </c>
      <c r="D53" s="25">
        <f>C53-D55</f>
        <v/>
      </c>
      <c r="E53" s="25">
        <f>D53-E55</f>
        <v/>
      </c>
      <c r="F53" s="25">
        <f>E53-F55</f>
        <v/>
      </c>
      <c r="G53" s="25">
        <f>F53-G55</f>
        <v/>
      </c>
      <c r="H53" s="25">
        <f>G53-H55</f>
        <v/>
      </c>
      <c r="I53" s="25">
        <f>H53-I55</f>
        <v/>
      </c>
      <c r="J53" s="25">
        <f>I53-J55</f>
        <v/>
      </c>
      <c r="K53" s="25">
        <f>J53-K55</f>
        <v/>
      </c>
      <c r="L53" s="25">
        <f>K53-L55</f>
        <v/>
      </c>
      <c r="M53" s="25">
        <f>L53-M55</f>
        <v/>
      </c>
      <c r="N53" s="25">
        <f>M53-N55</f>
        <v/>
      </c>
      <c r="O53" s="25">
        <f>N53-O55</f>
        <v/>
      </c>
      <c r="P53" s="25">
        <f>O53-P55</f>
        <v/>
      </c>
      <c r="Q53" s="25">
        <f>P53-Q55</f>
        <v/>
      </c>
      <c r="R53" s="25">
        <f>Q53-R55</f>
        <v/>
      </c>
      <c r="S53" s="25">
        <f>R53-S55</f>
        <v/>
      </c>
      <c r="T53" s="25">
        <f>S53-T55</f>
        <v/>
      </c>
      <c r="U53" s="25">
        <f>T53-U55</f>
        <v/>
      </c>
      <c r="V53" s="25">
        <f>U53-V55</f>
        <v/>
      </c>
      <c r="W53" s="25">
        <f>V53-W55</f>
        <v/>
      </c>
      <c r="X53" s="25">
        <f>W53-X55</f>
        <v/>
      </c>
      <c r="Y53" s="25">
        <f>X53-Y55</f>
        <v/>
      </c>
      <c r="Z53" s="25">
        <f>Y53-Z55</f>
        <v/>
      </c>
      <c r="AA53" s="25">
        <f>Z53-AA55</f>
        <v/>
      </c>
      <c r="AB53" s="25">
        <f>AA53-AB55</f>
        <v/>
      </c>
      <c r="AC53" s="25">
        <f>AB53-AC55</f>
        <v/>
      </c>
      <c r="AD53" s="25">
        <f>AC53-AD55</f>
        <v/>
      </c>
      <c r="AE53" s="25">
        <f>AD53-AE55</f>
        <v/>
      </c>
      <c r="AF53" s="25">
        <f>AE53-AF55</f>
        <v/>
      </c>
      <c r="AG53" s="25">
        <f>AF53-AG55</f>
        <v/>
      </c>
      <c r="AH53" s="25">
        <f>AG53-AH55</f>
        <v/>
      </c>
      <c r="AI53" s="25">
        <f>AH53-AI55</f>
        <v/>
      </c>
      <c r="AJ53" s="25">
        <f>AI53-AJ55</f>
        <v/>
      </c>
      <c r="AK53" s="25">
        <f>AJ53-AK55</f>
        <v/>
      </c>
      <c r="AL53" s="25">
        <f>AK53-AL55</f>
        <v/>
      </c>
      <c r="AM53" s="25">
        <f>AL53-AM55</f>
        <v/>
      </c>
      <c r="AN53" s="25">
        <f>AM53-AN55</f>
        <v/>
      </c>
      <c r="AO53" s="25">
        <f>AN53-AO55</f>
        <v/>
      </c>
      <c r="AP53" s="25">
        <f>AO53-AP55</f>
        <v/>
      </c>
      <c r="AQ53" s="25">
        <f>AP53-AQ55</f>
        <v/>
      </c>
      <c r="AR53" s="25">
        <f>AQ53-AR55</f>
        <v/>
      </c>
      <c r="AS53" s="25">
        <f>AR53-AS55</f>
        <v/>
      </c>
      <c r="AT53" s="25">
        <f>AS53-AT55</f>
        <v/>
      </c>
      <c r="AU53" s="25">
        <f>AT53-AU55</f>
        <v/>
      </c>
      <c r="AV53" s="25">
        <f>AU53-AV55</f>
        <v/>
      </c>
      <c r="AW53" s="25">
        <f>AV53-AW55</f>
        <v/>
      </c>
      <c r="AX53" s="25">
        <f>AW53-AX55</f>
        <v/>
      </c>
      <c r="AY53" s="25">
        <f>AX53-AY55</f>
        <v/>
      </c>
      <c r="AZ53" s="25">
        <f>AY53-AZ55</f>
        <v/>
      </c>
      <c r="BA53" s="25">
        <f>AZ53-BA55</f>
        <v/>
      </c>
      <c r="BB53" s="25">
        <f>BA53-BB55</f>
        <v/>
      </c>
      <c r="BC53" s="25">
        <f>BB53-BC55</f>
        <v/>
      </c>
      <c r="BD53" s="25">
        <f>BC53-BD55</f>
        <v/>
      </c>
      <c r="BE53" s="25">
        <f>BD53-BE55</f>
        <v/>
      </c>
      <c r="BF53" s="25">
        <f>BE53-BF55</f>
        <v/>
      </c>
      <c r="BG53" s="25">
        <f>BF53-BG55</f>
        <v/>
      </c>
      <c r="BH53" s="25">
        <f>BG53-BH55</f>
        <v/>
      </c>
      <c r="BI53" s="25">
        <f>BH53-BI55</f>
        <v/>
      </c>
      <c r="BJ53" s="25">
        <f>BI53-BJ55</f>
        <v/>
      </c>
      <c r="BK53" s="25">
        <f>BJ53-BK55</f>
        <v/>
      </c>
      <c r="BL53" s="25">
        <f>BK53-BL55</f>
        <v/>
      </c>
      <c r="BM53" s="25">
        <f>BL53-BM55</f>
        <v/>
      </c>
      <c r="BN53" s="25">
        <f>BM53-BN55</f>
        <v/>
      </c>
      <c r="BO53" s="25">
        <f>BN53-BO55</f>
        <v/>
      </c>
      <c r="BP53" s="25">
        <f>BO53-BP55</f>
        <v/>
      </c>
      <c r="BQ53" s="25">
        <f>BP53-BQ55</f>
        <v/>
      </c>
      <c r="BR53" s="25">
        <f>BQ53-BR55</f>
        <v/>
      </c>
      <c r="BS53" s="25">
        <f>BR53-BS55</f>
        <v/>
      </c>
      <c r="BT53" s="25">
        <f>BS53-BT55</f>
        <v/>
      </c>
      <c r="BU53" s="25">
        <f>BT53-BU55</f>
        <v/>
      </c>
      <c r="BV53" s="25">
        <f>BU53-BV55</f>
        <v/>
      </c>
      <c r="BW53" s="25">
        <f>BV53-BW55</f>
        <v/>
      </c>
      <c r="BX53" s="25">
        <f>BW53-BX55</f>
        <v/>
      </c>
      <c r="BY53" s="25">
        <f>BX53-BY55</f>
        <v/>
      </c>
      <c r="BZ53" s="25">
        <f>BY53-BZ55</f>
        <v/>
      </c>
      <c r="CA53" s="25">
        <f>BZ53-CA55</f>
        <v/>
      </c>
      <c r="CB53" s="25">
        <f>CA53-CB55</f>
        <v/>
      </c>
      <c r="CC53" s="25">
        <f>CB53-CC55</f>
        <v/>
      </c>
      <c r="CD53" s="25">
        <f>CC53-CD55</f>
        <v/>
      </c>
      <c r="CE53" s="25">
        <f>CD53-CE55</f>
        <v/>
      </c>
      <c r="CF53" s="25">
        <f>CE53-CF55</f>
        <v/>
      </c>
      <c r="CG53" s="25">
        <f>CF53-CG55</f>
        <v/>
      </c>
      <c r="CH53" s="25">
        <f>CG53-CH55</f>
        <v/>
      </c>
      <c r="CI53" s="25">
        <f>CH53-CI55</f>
        <v/>
      </c>
      <c r="CJ53" s="25">
        <f>CI53-CJ55</f>
        <v/>
      </c>
      <c r="CK53" s="25">
        <f>CJ53-CK55</f>
        <v/>
      </c>
      <c r="CL53" s="25">
        <f>CK53-CL55</f>
        <v/>
      </c>
      <c r="CM53" s="25">
        <f>CL53-CM55</f>
        <v/>
      </c>
      <c r="CN53" s="25">
        <f>CM53-CN55</f>
        <v/>
      </c>
      <c r="CO53" s="25">
        <f>CN53-CO55</f>
        <v/>
      </c>
      <c r="CP53" s="25">
        <f>CO53-CP55</f>
        <v/>
      </c>
      <c r="CQ53" s="25">
        <f>CP53-CQ55</f>
        <v/>
      </c>
      <c r="CR53" s="25">
        <f>CQ53-CR55</f>
        <v/>
      </c>
      <c r="CS53" s="25">
        <f>CR53-CS55</f>
        <v/>
      </c>
      <c r="CT53" s="25">
        <f>CS53-CT55</f>
        <v/>
      </c>
      <c r="CU53" s="25">
        <f>CT53-CU55</f>
        <v/>
      </c>
      <c r="CV53" s="25">
        <f>CU53-CV55</f>
        <v/>
      </c>
      <c r="CW53" s="25">
        <f>CV53-CW55</f>
        <v/>
      </c>
      <c r="CX53" s="25">
        <f>CW53-CX55</f>
        <v/>
      </c>
      <c r="CY53" s="25">
        <f>CX53-CY55</f>
        <v/>
      </c>
      <c r="CZ53" s="25">
        <f>CY53-CZ55</f>
        <v/>
      </c>
      <c r="DA53" s="25">
        <f>CZ53-DA55</f>
        <v/>
      </c>
      <c r="DB53" s="25">
        <f>DA53-DB55</f>
        <v/>
      </c>
      <c r="DC53" s="25">
        <f>DB53-DC55</f>
        <v/>
      </c>
      <c r="DD53" s="25">
        <f>DC53-DD55</f>
        <v/>
      </c>
      <c r="DE53" s="25">
        <f>DD53-DE55</f>
        <v/>
      </c>
      <c r="DF53" s="25">
        <f>DE53-DF55</f>
        <v/>
      </c>
      <c r="DG53" s="25">
        <f>DF53-DG55</f>
        <v/>
      </c>
      <c r="DH53" s="25">
        <f>DG53-DH55</f>
        <v/>
      </c>
      <c r="DI53" s="25">
        <f>DH53-DI55</f>
        <v/>
      </c>
      <c r="DJ53" s="25">
        <f>DI53-DJ55</f>
        <v/>
      </c>
      <c r="DK53" s="25">
        <f>DJ53-DK55</f>
        <v/>
      </c>
      <c r="DL53" s="25">
        <f>DK53-DL55</f>
        <v/>
      </c>
      <c r="DM53" s="25">
        <f>DL53-DM55</f>
        <v/>
      </c>
      <c r="DN53" s="25">
        <f>DM53-DN55</f>
        <v/>
      </c>
      <c r="DO53" s="25">
        <f>DN53-DO55</f>
        <v/>
      </c>
      <c r="DP53" s="25">
        <f>DO53-DP55</f>
        <v/>
      </c>
      <c r="DQ53" s="25">
        <f>DP53-DQ55</f>
        <v/>
      </c>
      <c r="DR53" s="25">
        <f>DQ53-DR55</f>
        <v/>
      </c>
    </row>
    <row r="54">
      <c r="A54" t="inlineStr">
        <is>
          <t>interest_3</t>
        </is>
      </c>
      <c r="C54" s="25">
        <f>IF(C$4=0,0,Effective!$D$55*Effective!$E$55/12)</f>
        <v/>
      </c>
      <c r="D54" s="25">
        <f>IF(D$4=0,0,C53*Effective!$E$55/12)</f>
        <v/>
      </c>
      <c r="E54" s="25">
        <f>IF(E$4=0,0,D53*Effective!$E$55/12)</f>
        <v/>
      </c>
      <c r="F54" s="25">
        <f>IF(F$4=0,0,E53*Effective!$E$55/12)</f>
        <v/>
      </c>
      <c r="G54" s="25">
        <f>IF(G$4=0,0,F53*Effective!$E$55/12)</f>
        <v/>
      </c>
      <c r="H54" s="25">
        <f>IF(H$4=0,0,G53*Effective!$E$55/12)</f>
        <v/>
      </c>
      <c r="I54" s="25">
        <f>IF(I$4=0,0,H53*Effective!$E$55/12)</f>
        <v/>
      </c>
      <c r="J54" s="25">
        <f>IF(J$4=0,0,I53*Effective!$E$55/12)</f>
        <v/>
      </c>
      <c r="K54" s="25">
        <f>IF(K$4=0,0,J53*Effective!$E$55/12)</f>
        <v/>
      </c>
      <c r="L54" s="25">
        <f>IF(L$4=0,0,K53*Effective!$E$55/12)</f>
        <v/>
      </c>
      <c r="M54" s="25">
        <f>IF(M$4=0,0,L53*Effective!$E$55/12)</f>
        <v/>
      </c>
      <c r="N54" s="25">
        <f>IF(N$4=0,0,M53*Effective!$E$55/12)</f>
        <v/>
      </c>
      <c r="O54" s="25">
        <f>IF(O$4=0,0,N53*Effective!$E$55/12)</f>
        <v/>
      </c>
      <c r="P54" s="25">
        <f>IF(P$4=0,0,O53*Effective!$E$55/12)</f>
        <v/>
      </c>
      <c r="Q54" s="25">
        <f>IF(Q$4=0,0,P53*Effective!$E$55/12)</f>
        <v/>
      </c>
      <c r="R54" s="25">
        <f>IF(R$4=0,0,Q53*Effective!$E$55/12)</f>
        <v/>
      </c>
      <c r="S54" s="25">
        <f>IF(S$4=0,0,R53*Effective!$E$55/12)</f>
        <v/>
      </c>
      <c r="T54" s="25">
        <f>IF(T$4=0,0,S53*Effective!$E$55/12)</f>
        <v/>
      </c>
      <c r="U54" s="25">
        <f>IF(U$4=0,0,T53*Effective!$E$55/12)</f>
        <v/>
      </c>
      <c r="V54" s="25">
        <f>IF(V$4=0,0,U53*Effective!$E$55/12)</f>
        <v/>
      </c>
      <c r="W54" s="25">
        <f>IF(W$4=0,0,V53*Effective!$E$55/12)</f>
        <v/>
      </c>
      <c r="X54" s="25">
        <f>IF(X$4=0,0,W53*Effective!$E$55/12)</f>
        <v/>
      </c>
      <c r="Y54" s="25">
        <f>IF(Y$4=0,0,X53*Effective!$E$55/12)</f>
        <v/>
      </c>
      <c r="Z54" s="25">
        <f>IF(Z$4=0,0,Y53*Effective!$E$55/12)</f>
        <v/>
      </c>
      <c r="AA54" s="25">
        <f>IF(AA$4=0,0,Z53*Effective!$E$55/12)</f>
        <v/>
      </c>
      <c r="AB54" s="25">
        <f>IF(AB$4=0,0,AA53*Effective!$E$55/12)</f>
        <v/>
      </c>
      <c r="AC54" s="25">
        <f>IF(AC$4=0,0,AB53*Effective!$E$55/12)</f>
        <v/>
      </c>
      <c r="AD54" s="25">
        <f>IF(AD$4=0,0,AC53*Effective!$E$55/12)</f>
        <v/>
      </c>
      <c r="AE54" s="25">
        <f>IF(AE$4=0,0,AD53*Effective!$E$55/12)</f>
        <v/>
      </c>
      <c r="AF54" s="25">
        <f>IF(AF$4=0,0,AE53*Effective!$E$55/12)</f>
        <v/>
      </c>
      <c r="AG54" s="25">
        <f>IF(AG$4=0,0,AF53*Effective!$E$55/12)</f>
        <v/>
      </c>
      <c r="AH54" s="25">
        <f>IF(AH$4=0,0,AG53*Effective!$E$55/12)</f>
        <v/>
      </c>
      <c r="AI54" s="25">
        <f>IF(AI$4=0,0,AH53*Effective!$E$55/12)</f>
        <v/>
      </c>
      <c r="AJ54" s="25">
        <f>IF(AJ$4=0,0,AI53*Effective!$E$55/12)</f>
        <v/>
      </c>
      <c r="AK54" s="25">
        <f>IF(AK$4=0,0,AJ53*Effective!$E$55/12)</f>
        <v/>
      </c>
      <c r="AL54" s="25">
        <f>IF(AL$4=0,0,AK53*Effective!$E$55/12)</f>
        <v/>
      </c>
      <c r="AM54" s="25">
        <f>IF(AM$4=0,0,AL53*Effective!$E$55/12)</f>
        <v/>
      </c>
      <c r="AN54" s="25">
        <f>IF(AN$4=0,0,AM53*Effective!$E$55/12)</f>
        <v/>
      </c>
      <c r="AO54" s="25">
        <f>IF(AO$4=0,0,AN53*Effective!$E$55/12)</f>
        <v/>
      </c>
      <c r="AP54" s="25">
        <f>IF(AP$4=0,0,AO53*Effective!$E$55/12)</f>
        <v/>
      </c>
      <c r="AQ54" s="25">
        <f>IF(AQ$4=0,0,AP53*Effective!$E$55/12)</f>
        <v/>
      </c>
      <c r="AR54" s="25">
        <f>IF(AR$4=0,0,AQ53*Effective!$E$55/12)</f>
        <v/>
      </c>
      <c r="AS54" s="25">
        <f>IF(AS$4=0,0,AR53*Effective!$E$55/12)</f>
        <v/>
      </c>
      <c r="AT54" s="25">
        <f>IF(AT$4=0,0,AS53*Effective!$E$55/12)</f>
        <v/>
      </c>
      <c r="AU54" s="25">
        <f>IF(AU$4=0,0,AT53*Effective!$E$55/12)</f>
        <v/>
      </c>
      <c r="AV54" s="25">
        <f>IF(AV$4=0,0,AU53*Effective!$E$55/12)</f>
        <v/>
      </c>
      <c r="AW54" s="25">
        <f>IF(AW$4=0,0,AV53*Effective!$E$55/12)</f>
        <v/>
      </c>
      <c r="AX54" s="25">
        <f>IF(AX$4=0,0,AW53*Effective!$E$55/12)</f>
        <v/>
      </c>
      <c r="AY54" s="25">
        <f>IF(AY$4=0,0,AX53*Effective!$E$55/12)</f>
        <v/>
      </c>
      <c r="AZ54" s="25">
        <f>IF(AZ$4=0,0,AY53*Effective!$E$55/12)</f>
        <v/>
      </c>
      <c r="BA54" s="25">
        <f>IF(BA$4=0,0,AZ53*Effective!$E$55/12)</f>
        <v/>
      </c>
      <c r="BB54" s="25">
        <f>IF(BB$4=0,0,BA53*Effective!$E$55/12)</f>
        <v/>
      </c>
      <c r="BC54" s="25">
        <f>IF(BC$4=0,0,BB53*Effective!$E$55/12)</f>
        <v/>
      </c>
      <c r="BD54" s="25">
        <f>IF(BD$4=0,0,BC53*Effective!$E$55/12)</f>
        <v/>
      </c>
      <c r="BE54" s="25">
        <f>IF(BE$4=0,0,BD53*Effective!$E$55/12)</f>
        <v/>
      </c>
      <c r="BF54" s="25">
        <f>IF(BF$4=0,0,BE53*Effective!$E$55/12)</f>
        <v/>
      </c>
      <c r="BG54" s="25">
        <f>IF(BG$4=0,0,BF53*Effective!$E$55/12)</f>
        <v/>
      </c>
      <c r="BH54" s="25">
        <f>IF(BH$4=0,0,BG53*Effective!$E$55/12)</f>
        <v/>
      </c>
      <c r="BI54" s="25">
        <f>IF(BI$4=0,0,BH53*Effective!$E$55/12)</f>
        <v/>
      </c>
      <c r="BJ54" s="25">
        <f>IF(BJ$4=0,0,BI53*Effective!$E$55/12)</f>
        <v/>
      </c>
      <c r="BK54" s="25">
        <f>IF(BK$4=0,0,BJ53*Effective!$E$55/12)</f>
        <v/>
      </c>
      <c r="BL54" s="25">
        <f>IF(BL$4=0,0,BK53*Effective!$E$55/12)</f>
        <v/>
      </c>
      <c r="BM54" s="25">
        <f>IF(BM$4=0,0,BL53*Effective!$E$55/12)</f>
        <v/>
      </c>
      <c r="BN54" s="25">
        <f>IF(BN$4=0,0,BM53*Effective!$E$55/12)</f>
        <v/>
      </c>
      <c r="BO54" s="25">
        <f>IF(BO$4=0,0,BN53*Effective!$E$55/12)</f>
        <v/>
      </c>
      <c r="BP54" s="25">
        <f>IF(BP$4=0,0,BO53*Effective!$E$55/12)</f>
        <v/>
      </c>
      <c r="BQ54" s="25">
        <f>IF(BQ$4=0,0,BP53*Effective!$E$55/12)</f>
        <v/>
      </c>
      <c r="BR54" s="25">
        <f>IF(BR$4=0,0,BQ53*Effective!$E$55/12)</f>
        <v/>
      </c>
      <c r="BS54" s="25">
        <f>IF(BS$4=0,0,BR53*Effective!$E$55/12)</f>
        <v/>
      </c>
      <c r="BT54" s="25">
        <f>IF(BT$4=0,0,BS53*Effective!$E$55/12)</f>
        <v/>
      </c>
      <c r="BU54" s="25">
        <f>IF(BU$4=0,0,BT53*Effective!$E$55/12)</f>
        <v/>
      </c>
      <c r="BV54" s="25">
        <f>IF(BV$4=0,0,BU53*Effective!$E$55/12)</f>
        <v/>
      </c>
      <c r="BW54" s="25">
        <f>IF(BW$4=0,0,BV53*Effective!$E$55/12)</f>
        <v/>
      </c>
      <c r="BX54" s="25">
        <f>IF(BX$4=0,0,BW53*Effective!$E$55/12)</f>
        <v/>
      </c>
      <c r="BY54" s="25">
        <f>IF(BY$4=0,0,BX53*Effective!$E$55/12)</f>
        <v/>
      </c>
      <c r="BZ54" s="25">
        <f>IF(BZ$4=0,0,BY53*Effective!$E$55/12)</f>
        <v/>
      </c>
      <c r="CA54" s="25">
        <f>IF(CA$4=0,0,BZ53*Effective!$E$55/12)</f>
        <v/>
      </c>
      <c r="CB54" s="25">
        <f>IF(CB$4=0,0,CA53*Effective!$E$55/12)</f>
        <v/>
      </c>
      <c r="CC54" s="25">
        <f>IF(CC$4=0,0,CB53*Effective!$E$55/12)</f>
        <v/>
      </c>
      <c r="CD54" s="25">
        <f>IF(CD$4=0,0,CC53*Effective!$E$55/12)</f>
        <v/>
      </c>
      <c r="CE54" s="25">
        <f>IF(CE$4=0,0,CD53*Effective!$E$55/12)</f>
        <v/>
      </c>
      <c r="CF54" s="25">
        <f>IF(CF$4=0,0,CE53*Effective!$E$55/12)</f>
        <v/>
      </c>
      <c r="CG54" s="25">
        <f>IF(CG$4=0,0,CF53*Effective!$E$55/12)</f>
        <v/>
      </c>
      <c r="CH54" s="25">
        <f>IF(CH$4=0,0,CG53*Effective!$E$55/12)</f>
        <v/>
      </c>
      <c r="CI54" s="25">
        <f>IF(CI$4=0,0,CH53*Effective!$E$55/12)</f>
        <v/>
      </c>
      <c r="CJ54" s="25">
        <f>IF(CJ$4=0,0,CI53*Effective!$E$55/12)</f>
        <v/>
      </c>
      <c r="CK54" s="25">
        <f>IF(CK$4=0,0,CJ53*Effective!$E$55/12)</f>
        <v/>
      </c>
      <c r="CL54" s="25">
        <f>IF(CL$4=0,0,CK53*Effective!$E$55/12)</f>
        <v/>
      </c>
      <c r="CM54" s="25">
        <f>IF(CM$4=0,0,CL53*Effective!$E$55/12)</f>
        <v/>
      </c>
      <c r="CN54" s="25">
        <f>IF(CN$4=0,0,CM53*Effective!$E$55/12)</f>
        <v/>
      </c>
      <c r="CO54" s="25">
        <f>IF(CO$4=0,0,CN53*Effective!$E$55/12)</f>
        <v/>
      </c>
      <c r="CP54" s="25">
        <f>IF(CP$4=0,0,CO53*Effective!$E$55/12)</f>
        <v/>
      </c>
      <c r="CQ54" s="25">
        <f>IF(CQ$4=0,0,CP53*Effective!$E$55/12)</f>
        <v/>
      </c>
      <c r="CR54" s="25">
        <f>IF(CR$4=0,0,CQ53*Effective!$E$55/12)</f>
        <v/>
      </c>
      <c r="CS54" s="25">
        <f>IF(CS$4=0,0,CR53*Effective!$E$55/12)</f>
        <v/>
      </c>
      <c r="CT54" s="25">
        <f>IF(CT$4=0,0,CS53*Effective!$E$55/12)</f>
        <v/>
      </c>
      <c r="CU54" s="25">
        <f>IF(CU$4=0,0,CT53*Effective!$E$55/12)</f>
        <v/>
      </c>
      <c r="CV54" s="25">
        <f>IF(CV$4=0,0,CU53*Effective!$E$55/12)</f>
        <v/>
      </c>
      <c r="CW54" s="25">
        <f>IF(CW$4=0,0,CV53*Effective!$E$55/12)</f>
        <v/>
      </c>
      <c r="CX54" s="25">
        <f>IF(CX$4=0,0,CW53*Effective!$E$55/12)</f>
        <v/>
      </c>
      <c r="CY54" s="25">
        <f>IF(CY$4=0,0,CX53*Effective!$E$55/12)</f>
        <v/>
      </c>
      <c r="CZ54" s="25">
        <f>IF(CZ$4=0,0,CY53*Effective!$E$55/12)</f>
        <v/>
      </c>
      <c r="DA54" s="25">
        <f>IF(DA$4=0,0,CZ53*Effective!$E$55/12)</f>
        <v/>
      </c>
      <c r="DB54" s="25">
        <f>IF(DB$4=0,0,DA53*Effective!$E$55/12)</f>
        <v/>
      </c>
      <c r="DC54" s="25">
        <f>IF(DC$4=0,0,DB53*Effective!$E$55/12)</f>
        <v/>
      </c>
      <c r="DD54" s="25">
        <f>IF(DD$4=0,0,DC53*Effective!$E$55/12)</f>
        <v/>
      </c>
      <c r="DE54" s="25">
        <f>IF(DE$4=0,0,DD53*Effective!$E$55/12)</f>
        <v/>
      </c>
      <c r="DF54" s="25">
        <f>IF(DF$4=0,0,DE53*Effective!$E$55/12)</f>
        <v/>
      </c>
      <c r="DG54" s="25">
        <f>IF(DG$4=0,0,DF53*Effective!$E$55/12)</f>
        <v/>
      </c>
      <c r="DH54" s="25">
        <f>IF(DH$4=0,0,DG53*Effective!$E$55/12)</f>
        <v/>
      </c>
      <c r="DI54" s="25">
        <f>IF(DI$4=0,0,DH53*Effective!$E$55/12)</f>
        <v/>
      </c>
      <c r="DJ54" s="25">
        <f>IF(DJ$4=0,0,DI53*Effective!$E$55/12)</f>
        <v/>
      </c>
      <c r="DK54" s="25">
        <f>IF(DK$4=0,0,DJ53*Effective!$E$55/12)</f>
        <v/>
      </c>
      <c r="DL54" s="25">
        <f>IF(DL$4=0,0,DK53*Effective!$E$55/12)</f>
        <v/>
      </c>
      <c r="DM54" s="25">
        <f>IF(DM$4=0,0,DL53*Effective!$E$55/12)</f>
        <v/>
      </c>
      <c r="DN54" s="25">
        <f>IF(DN$4=0,0,DM53*Effective!$E$55/12)</f>
        <v/>
      </c>
      <c r="DO54" s="25">
        <f>IF(DO$4=0,0,DN53*Effective!$E$55/12)</f>
        <v/>
      </c>
      <c r="DP54" s="25">
        <f>IF(DP$4=0,0,DO53*Effective!$E$55/12)</f>
        <v/>
      </c>
      <c r="DQ54" s="25">
        <f>IF(DQ$4=0,0,DP53*Effective!$E$55/12)</f>
        <v/>
      </c>
      <c r="DR54" s="25">
        <f>IF(DR$4=0,0,DQ53*Effective!$E$55/12)</f>
        <v/>
      </c>
    </row>
    <row r="55">
      <c r="A55" t="inlineStr">
        <is>
          <t>principal_3</t>
        </is>
      </c>
      <c r="C55" s="25">
        <f>IF(C$4=0,0,IF(Effective!$C$55="term_loan",MIN(Effective!$F$55,Effective!$D$55),0))</f>
        <v/>
      </c>
      <c r="D55" s="25">
        <f>IF(D$4=0,0,IF(Effective!$C$55="term_loan",MIN(Effective!$F$55,C53),0))</f>
        <v/>
      </c>
      <c r="E55" s="25">
        <f>IF(E$4=0,0,IF(Effective!$C$55="term_loan",MIN(Effective!$F$55,D53),0))</f>
        <v/>
      </c>
      <c r="F55" s="25">
        <f>IF(F$4=0,0,IF(Effective!$C$55="term_loan",MIN(Effective!$F$55,E53),0))</f>
        <v/>
      </c>
      <c r="G55" s="25">
        <f>IF(G$4=0,0,IF(Effective!$C$55="term_loan",MIN(Effective!$F$55,F53),0))</f>
        <v/>
      </c>
      <c r="H55" s="25">
        <f>IF(H$4=0,0,IF(Effective!$C$55="term_loan",MIN(Effective!$F$55,G53),0))</f>
        <v/>
      </c>
      <c r="I55" s="25">
        <f>IF(I$4=0,0,IF(Effective!$C$55="term_loan",MIN(Effective!$F$55,H53),0))</f>
        <v/>
      </c>
      <c r="J55" s="25">
        <f>IF(J$4=0,0,IF(Effective!$C$55="term_loan",MIN(Effective!$F$55,I53),0))</f>
        <v/>
      </c>
      <c r="K55" s="25">
        <f>IF(K$4=0,0,IF(Effective!$C$55="term_loan",MIN(Effective!$F$55,J53),0))</f>
        <v/>
      </c>
      <c r="L55" s="25">
        <f>IF(L$4=0,0,IF(Effective!$C$55="term_loan",MIN(Effective!$F$55,K53),0))</f>
        <v/>
      </c>
      <c r="M55" s="25">
        <f>IF(M$4=0,0,IF(Effective!$C$55="term_loan",MIN(Effective!$F$55,L53),0))</f>
        <v/>
      </c>
      <c r="N55" s="25">
        <f>IF(N$4=0,0,IF(Effective!$C$55="term_loan",MIN(Effective!$F$55,M53),0))</f>
        <v/>
      </c>
      <c r="O55" s="25">
        <f>IF(O$4=0,0,IF(Effective!$C$55="term_loan",MIN(Effective!$F$55,N53),0))</f>
        <v/>
      </c>
      <c r="P55" s="25">
        <f>IF(P$4=0,0,IF(Effective!$C$55="term_loan",MIN(Effective!$F$55,O53),0))</f>
        <v/>
      </c>
      <c r="Q55" s="25">
        <f>IF(Q$4=0,0,IF(Effective!$C$55="term_loan",MIN(Effective!$F$55,P53),0))</f>
        <v/>
      </c>
      <c r="R55" s="25">
        <f>IF(R$4=0,0,IF(Effective!$C$55="term_loan",MIN(Effective!$F$55,Q53),0))</f>
        <v/>
      </c>
      <c r="S55" s="25">
        <f>IF(S$4=0,0,IF(Effective!$C$55="term_loan",MIN(Effective!$F$55,R53),0))</f>
        <v/>
      </c>
      <c r="T55" s="25">
        <f>IF(T$4=0,0,IF(Effective!$C$55="term_loan",MIN(Effective!$F$55,S53),0))</f>
        <v/>
      </c>
      <c r="U55" s="25">
        <f>IF(U$4=0,0,IF(Effective!$C$55="term_loan",MIN(Effective!$F$55,T53),0))</f>
        <v/>
      </c>
      <c r="V55" s="25">
        <f>IF(V$4=0,0,IF(Effective!$C$55="term_loan",MIN(Effective!$F$55,U53),0))</f>
        <v/>
      </c>
      <c r="W55" s="25">
        <f>IF(W$4=0,0,IF(Effective!$C$55="term_loan",MIN(Effective!$F$55,V53),0))</f>
        <v/>
      </c>
      <c r="X55" s="25">
        <f>IF(X$4=0,0,IF(Effective!$C$55="term_loan",MIN(Effective!$F$55,W53),0))</f>
        <v/>
      </c>
      <c r="Y55" s="25">
        <f>IF(Y$4=0,0,IF(Effective!$C$55="term_loan",MIN(Effective!$F$55,X53),0))</f>
        <v/>
      </c>
      <c r="Z55" s="25">
        <f>IF(Z$4=0,0,IF(Effective!$C$55="term_loan",MIN(Effective!$F$55,Y53),0))</f>
        <v/>
      </c>
      <c r="AA55" s="25">
        <f>IF(AA$4=0,0,IF(Effective!$C$55="term_loan",MIN(Effective!$F$55,Z53),0))</f>
        <v/>
      </c>
      <c r="AB55" s="25">
        <f>IF(AB$4=0,0,IF(Effective!$C$55="term_loan",MIN(Effective!$F$55,AA53),0))</f>
        <v/>
      </c>
      <c r="AC55" s="25">
        <f>IF(AC$4=0,0,IF(Effective!$C$55="term_loan",MIN(Effective!$F$55,AB53),0))</f>
        <v/>
      </c>
      <c r="AD55" s="25">
        <f>IF(AD$4=0,0,IF(Effective!$C$55="term_loan",MIN(Effective!$F$55,AC53),0))</f>
        <v/>
      </c>
      <c r="AE55" s="25">
        <f>IF(AE$4=0,0,IF(Effective!$C$55="term_loan",MIN(Effective!$F$55,AD53),0))</f>
        <v/>
      </c>
      <c r="AF55" s="25">
        <f>IF(AF$4=0,0,IF(Effective!$C$55="term_loan",MIN(Effective!$F$55,AE53),0))</f>
        <v/>
      </c>
      <c r="AG55" s="25">
        <f>IF(AG$4=0,0,IF(Effective!$C$55="term_loan",MIN(Effective!$F$55,AF53),0))</f>
        <v/>
      </c>
      <c r="AH55" s="25">
        <f>IF(AH$4=0,0,IF(Effective!$C$55="term_loan",MIN(Effective!$F$55,AG53),0))</f>
        <v/>
      </c>
      <c r="AI55" s="25">
        <f>IF(AI$4=0,0,IF(Effective!$C$55="term_loan",MIN(Effective!$F$55,AH53),0))</f>
        <v/>
      </c>
      <c r="AJ55" s="25">
        <f>IF(AJ$4=0,0,IF(Effective!$C$55="term_loan",MIN(Effective!$F$55,AI53),0))</f>
        <v/>
      </c>
      <c r="AK55" s="25">
        <f>IF(AK$4=0,0,IF(Effective!$C$55="term_loan",MIN(Effective!$F$55,AJ53),0))</f>
        <v/>
      </c>
      <c r="AL55" s="25">
        <f>IF(AL$4=0,0,IF(Effective!$C$55="term_loan",MIN(Effective!$F$55,AK53),0))</f>
        <v/>
      </c>
      <c r="AM55" s="25">
        <f>IF(AM$4=0,0,IF(Effective!$C$55="term_loan",MIN(Effective!$F$55,AL53),0))</f>
        <v/>
      </c>
      <c r="AN55" s="25">
        <f>IF(AN$4=0,0,IF(Effective!$C$55="term_loan",MIN(Effective!$F$55,AM53),0))</f>
        <v/>
      </c>
      <c r="AO55" s="25">
        <f>IF(AO$4=0,0,IF(Effective!$C$55="term_loan",MIN(Effective!$F$55,AN53),0))</f>
        <v/>
      </c>
      <c r="AP55" s="25">
        <f>IF(AP$4=0,0,IF(Effective!$C$55="term_loan",MIN(Effective!$F$55,AO53),0))</f>
        <v/>
      </c>
      <c r="AQ55" s="25">
        <f>IF(AQ$4=0,0,IF(Effective!$C$55="term_loan",MIN(Effective!$F$55,AP53),0))</f>
        <v/>
      </c>
      <c r="AR55" s="25">
        <f>IF(AR$4=0,0,IF(Effective!$C$55="term_loan",MIN(Effective!$F$55,AQ53),0))</f>
        <v/>
      </c>
      <c r="AS55" s="25">
        <f>IF(AS$4=0,0,IF(Effective!$C$55="term_loan",MIN(Effective!$F$55,AR53),0))</f>
        <v/>
      </c>
      <c r="AT55" s="25">
        <f>IF(AT$4=0,0,IF(Effective!$C$55="term_loan",MIN(Effective!$F$55,AS53),0))</f>
        <v/>
      </c>
      <c r="AU55" s="25">
        <f>IF(AU$4=0,0,IF(Effective!$C$55="term_loan",MIN(Effective!$F$55,AT53),0))</f>
        <v/>
      </c>
      <c r="AV55" s="25">
        <f>IF(AV$4=0,0,IF(Effective!$C$55="term_loan",MIN(Effective!$F$55,AU53),0))</f>
        <v/>
      </c>
      <c r="AW55" s="25">
        <f>IF(AW$4=0,0,IF(Effective!$C$55="term_loan",MIN(Effective!$F$55,AV53),0))</f>
        <v/>
      </c>
      <c r="AX55" s="25">
        <f>IF(AX$4=0,0,IF(Effective!$C$55="term_loan",MIN(Effective!$F$55,AW53),0))</f>
        <v/>
      </c>
      <c r="AY55" s="25">
        <f>IF(AY$4=0,0,IF(Effective!$C$55="term_loan",MIN(Effective!$F$55,AX53),0))</f>
        <v/>
      </c>
      <c r="AZ55" s="25">
        <f>IF(AZ$4=0,0,IF(Effective!$C$55="term_loan",MIN(Effective!$F$55,AY53),0))</f>
        <v/>
      </c>
      <c r="BA55" s="25">
        <f>IF(BA$4=0,0,IF(Effective!$C$55="term_loan",MIN(Effective!$F$55,AZ53),0))</f>
        <v/>
      </c>
      <c r="BB55" s="25">
        <f>IF(BB$4=0,0,IF(Effective!$C$55="term_loan",MIN(Effective!$F$55,BA53),0))</f>
        <v/>
      </c>
      <c r="BC55" s="25">
        <f>IF(BC$4=0,0,IF(Effective!$C$55="term_loan",MIN(Effective!$F$55,BB53),0))</f>
        <v/>
      </c>
      <c r="BD55" s="25">
        <f>IF(BD$4=0,0,IF(Effective!$C$55="term_loan",MIN(Effective!$F$55,BC53),0))</f>
        <v/>
      </c>
      <c r="BE55" s="25">
        <f>IF(BE$4=0,0,IF(Effective!$C$55="term_loan",MIN(Effective!$F$55,BD53),0))</f>
        <v/>
      </c>
      <c r="BF55" s="25">
        <f>IF(BF$4=0,0,IF(Effective!$C$55="term_loan",MIN(Effective!$F$55,BE53),0))</f>
        <v/>
      </c>
      <c r="BG55" s="25">
        <f>IF(BG$4=0,0,IF(Effective!$C$55="term_loan",MIN(Effective!$F$55,BF53),0))</f>
        <v/>
      </c>
      <c r="BH55" s="25">
        <f>IF(BH$4=0,0,IF(Effective!$C$55="term_loan",MIN(Effective!$F$55,BG53),0))</f>
        <v/>
      </c>
      <c r="BI55" s="25">
        <f>IF(BI$4=0,0,IF(Effective!$C$55="term_loan",MIN(Effective!$F$55,BH53),0))</f>
        <v/>
      </c>
      <c r="BJ55" s="25">
        <f>IF(BJ$4=0,0,IF(Effective!$C$55="term_loan",MIN(Effective!$F$55,BI53),0))</f>
        <v/>
      </c>
      <c r="BK55" s="25">
        <f>IF(BK$4=0,0,IF(Effective!$C$55="term_loan",MIN(Effective!$F$55,BJ53),0))</f>
        <v/>
      </c>
      <c r="BL55" s="25">
        <f>IF(BL$4=0,0,IF(Effective!$C$55="term_loan",MIN(Effective!$F$55,BK53),0))</f>
        <v/>
      </c>
      <c r="BM55" s="25">
        <f>IF(BM$4=0,0,IF(Effective!$C$55="term_loan",MIN(Effective!$F$55,BL53),0))</f>
        <v/>
      </c>
      <c r="BN55" s="25">
        <f>IF(BN$4=0,0,IF(Effective!$C$55="term_loan",MIN(Effective!$F$55,BM53),0))</f>
        <v/>
      </c>
      <c r="BO55" s="25">
        <f>IF(BO$4=0,0,IF(Effective!$C$55="term_loan",MIN(Effective!$F$55,BN53),0))</f>
        <v/>
      </c>
      <c r="BP55" s="25">
        <f>IF(BP$4=0,0,IF(Effective!$C$55="term_loan",MIN(Effective!$F$55,BO53),0))</f>
        <v/>
      </c>
      <c r="BQ55" s="25">
        <f>IF(BQ$4=0,0,IF(Effective!$C$55="term_loan",MIN(Effective!$F$55,BP53),0))</f>
        <v/>
      </c>
      <c r="BR55" s="25">
        <f>IF(BR$4=0,0,IF(Effective!$C$55="term_loan",MIN(Effective!$F$55,BQ53),0))</f>
        <v/>
      </c>
      <c r="BS55" s="25">
        <f>IF(BS$4=0,0,IF(Effective!$C$55="term_loan",MIN(Effective!$F$55,BR53),0))</f>
        <v/>
      </c>
      <c r="BT55" s="25">
        <f>IF(BT$4=0,0,IF(Effective!$C$55="term_loan",MIN(Effective!$F$55,BS53),0))</f>
        <v/>
      </c>
      <c r="BU55" s="25">
        <f>IF(BU$4=0,0,IF(Effective!$C$55="term_loan",MIN(Effective!$F$55,BT53),0))</f>
        <v/>
      </c>
      <c r="BV55" s="25">
        <f>IF(BV$4=0,0,IF(Effective!$C$55="term_loan",MIN(Effective!$F$55,BU53),0))</f>
        <v/>
      </c>
      <c r="BW55" s="25">
        <f>IF(BW$4=0,0,IF(Effective!$C$55="term_loan",MIN(Effective!$F$55,BV53),0))</f>
        <v/>
      </c>
      <c r="BX55" s="25">
        <f>IF(BX$4=0,0,IF(Effective!$C$55="term_loan",MIN(Effective!$F$55,BW53),0))</f>
        <v/>
      </c>
      <c r="BY55" s="25">
        <f>IF(BY$4=0,0,IF(Effective!$C$55="term_loan",MIN(Effective!$F$55,BX53),0))</f>
        <v/>
      </c>
      <c r="BZ55" s="25">
        <f>IF(BZ$4=0,0,IF(Effective!$C$55="term_loan",MIN(Effective!$F$55,BY53),0))</f>
        <v/>
      </c>
      <c r="CA55" s="25">
        <f>IF(CA$4=0,0,IF(Effective!$C$55="term_loan",MIN(Effective!$F$55,BZ53),0))</f>
        <v/>
      </c>
      <c r="CB55" s="25">
        <f>IF(CB$4=0,0,IF(Effective!$C$55="term_loan",MIN(Effective!$F$55,CA53),0))</f>
        <v/>
      </c>
      <c r="CC55" s="25">
        <f>IF(CC$4=0,0,IF(Effective!$C$55="term_loan",MIN(Effective!$F$55,CB53),0))</f>
        <v/>
      </c>
      <c r="CD55" s="25">
        <f>IF(CD$4=0,0,IF(Effective!$C$55="term_loan",MIN(Effective!$F$55,CC53),0))</f>
        <v/>
      </c>
      <c r="CE55" s="25">
        <f>IF(CE$4=0,0,IF(Effective!$C$55="term_loan",MIN(Effective!$F$55,CD53),0))</f>
        <v/>
      </c>
      <c r="CF55" s="25">
        <f>IF(CF$4=0,0,IF(Effective!$C$55="term_loan",MIN(Effective!$F$55,CE53),0))</f>
        <v/>
      </c>
      <c r="CG55" s="25">
        <f>IF(CG$4=0,0,IF(Effective!$C$55="term_loan",MIN(Effective!$F$55,CF53),0))</f>
        <v/>
      </c>
      <c r="CH55" s="25">
        <f>IF(CH$4=0,0,IF(Effective!$C$55="term_loan",MIN(Effective!$F$55,CG53),0))</f>
        <v/>
      </c>
      <c r="CI55" s="25">
        <f>IF(CI$4=0,0,IF(Effective!$C$55="term_loan",MIN(Effective!$F$55,CH53),0))</f>
        <v/>
      </c>
      <c r="CJ55" s="25">
        <f>IF(CJ$4=0,0,IF(Effective!$C$55="term_loan",MIN(Effective!$F$55,CI53),0))</f>
        <v/>
      </c>
      <c r="CK55" s="25">
        <f>IF(CK$4=0,0,IF(Effective!$C$55="term_loan",MIN(Effective!$F$55,CJ53),0))</f>
        <v/>
      </c>
      <c r="CL55" s="25">
        <f>IF(CL$4=0,0,IF(Effective!$C$55="term_loan",MIN(Effective!$F$55,CK53),0))</f>
        <v/>
      </c>
      <c r="CM55" s="25">
        <f>IF(CM$4=0,0,IF(Effective!$C$55="term_loan",MIN(Effective!$F$55,CL53),0))</f>
        <v/>
      </c>
      <c r="CN55" s="25">
        <f>IF(CN$4=0,0,IF(Effective!$C$55="term_loan",MIN(Effective!$F$55,CM53),0))</f>
        <v/>
      </c>
      <c r="CO55" s="25">
        <f>IF(CO$4=0,0,IF(Effective!$C$55="term_loan",MIN(Effective!$F$55,CN53),0))</f>
        <v/>
      </c>
      <c r="CP55" s="25">
        <f>IF(CP$4=0,0,IF(Effective!$C$55="term_loan",MIN(Effective!$F$55,CO53),0))</f>
        <v/>
      </c>
      <c r="CQ55" s="25">
        <f>IF(CQ$4=0,0,IF(Effective!$C$55="term_loan",MIN(Effective!$F$55,CP53),0))</f>
        <v/>
      </c>
      <c r="CR55" s="25">
        <f>IF(CR$4=0,0,IF(Effective!$C$55="term_loan",MIN(Effective!$F$55,CQ53),0))</f>
        <v/>
      </c>
      <c r="CS55" s="25">
        <f>IF(CS$4=0,0,IF(Effective!$C$55="term_loan",MIN(Effective!$F$55,CR53),0))</f>
        <v/>
      </c>
      <c r="CT55" s="25">
        <f>IF(CT$4=0,0,IF(Effective!$C$55="term_loan",MIN(Effective!$F$55,CS53),0))</f>
        <v/>
      </c>
      <c r="CU55" s="25">
        <f>IF(CU$4=0,0,IF(Effective!$C$55="term_loan",MIN(Effective!$F$55,CT53),0))</f>
        <v/>
      </c>
      <c r="CV55" s="25">
        <f>IF(CV$4=0,0,IF(Effective!$C$55="term_loan",MIN(Effective!$F$55,CU53),0))</f>
        <v/>
      </c>
      <c r="CW55" s="25">
        <f>IF(CW$4=0,0,IF(Effective!$C$55="term_loan",MIN(Effective!$F$55,CV53),0))</f>
        <v/>
      </c>
      <c r="CX55" s="25">
        <f>IF(CX$4=0,0,IF(Effective!$C$55="term_loan",MIN(Effective!$F$55,CW53),0))</f>
        <v/>
      </c>
      <c r="CY55" s="25">
        <f>IF(CY$4=0,0,IF(Effective!$C$55="term_loan",MIN(Effective!$F$55,CX53),0))</f>
        <v/>
      </c>
      <c r="CZ55" s="25">
        <f>IF(CZ$4=0,0,IF(Effective!$C$55="term_loan",MIN(Effective!$F$55,CY53),0))</f>
        <v/>
      </c>
      <c r="DA55" s="25">
        <f>IF(DA$4=0,0,IF(Effective!$C$55="term_loan",MIN(Effective!$F$55,CZ53),0))</f>
        <v/>
      </c>
      <c r="DB55" s="25">
        <f>IF(DB$4=0,0,IF(Effective!$C$55="term_loan",MIN(Effective!$F$55,DA53),0))</f>
        <v/>
      </c>
      <c r="DC55" s="25">
        <f>IF(DC$4=0,0,IF(Effective!$C$55="term_loan",MIN(Effective!$F$55,DB53),0))</f>
        <v/>
      </c>
      <c r="DD55" s="25">
        <f>IF(DD$4=0,0,IF(Effective!$C$55="term_loan",MIN(Effective!$F$55,DC53),0))</f>
        <v/>
      </c>
      <c r="DE55" s="25">
        <f>IF(DE$4=0,0,IF(Effective!$C$55="term_loan",MIN(Effective!$F$55,DD53),0))</f>
        <v/>
      </c>
      <c r="DF55" s="25">
        <f>IF(DF$4=0,0,IF(Effective!$C$55="term_loan",MIN(Effective!$F$55,DE53),0))</f>
        <v/>
      </c>
      <c r="DG55" s="25">
        <f>IF(DG$4=0,0,IF(Effective!$C$55="term_loan",MIN(Effective!$F$55,DF53),0))</f>
        <v/>
      </c>
      <c r="DH55" s="25">
        <f>IF(DH$4=0,0,IF(Effective!$C$55="term_loan",MIN(Effective!$F$55,DG53),0))</f>
        <v/>
      </c>
      <c r="DI55" s="25">
        <f>IF(DI$4=0,0,IF(Effective!$C$55="term_loan",MIN(Effective!$F$55,DH53),0))</f>
        <v/>
      </c>
      <c r="DJ55" s="25">
        <f>IF(DJ$4=0,0,IF(Effective!$C$55="term_loan",MIN(Effective!$F$55,DI53),0))</f>
        <v/>
      </c>
      <c r="DK55" s="25">
        <f>IF(DK$4=0,0,IF(Effective!$C$55="term_loan",MIN(Effective!$F$55,DJ53),0))</f>
        <v/>
      </c>
      <c r="DL55" s="25">
        <f>IF(DL$4=0,0,IF(Effective!$C$55="term_loan",MIN(Effective!$F$55,DK53),0))</f>
        <v/>
      </c>
      <c r="DM55" s="25">
        <f>IF(DM$4=0,0,IF(Effective!$C$55="term_loan",MIN(Effective!$F$55,DL53),0))</f>
        <v/>
      </c>
      <c r="DN55" s="25">
        <f>IF(DN$4=0,0,IF(Effective!$C$55="term_loan",MIN(Effective!$F$55,DM53),0))</f>
        <v/>
      </c>
      <c r="DO55" s="25">
        <f>IF(DO$4=0,0,IF(Effective!$C$55="term_loan",MIN(Effective!$F$55,DN53),0))</f>
        <v/>
      </c>
      <c r="DP55" s="25">
        <f>IF(DP$4=0,0,IF(Effective!$C$55="term_loan",MIN(Effective!$F$55,DO53),0))</f>
        <v/>
      </c>
      <c r="DQ55" s="25">
        <f>IF(DQ$4=0,0,IF(Effective!$C$55="term_loan",MIN(Effective!$F$55,DP53),0))</f>
        <v/>
      </c>
      <c r="DR55" s="25">
        <f>IF(DR$4=0,0,IF(Effective!$C$55="term_loan",MIN(Effective!$F$55,DQ53),0))</f>
        <v/>
      </c>
    </row>
    <row r="56">
      <c r="A56" t="inlineStr">
        <is>
          <t>debt_balance_4</t>
        </is>
      </c>
      <c r="B56" t="inlineStr">
        <is>
          <t>after payment</t>
        </is>
      </c>
      <c r="C56" s="25">
        <f>Effective!$D$56-C58</f>
        <v/>
      </c>
      <c r="D56" s="25">
        <f>C56-D58</f>
        <v/>
      </c>
      <c r="E56" s="25">
        <f>D56-E58</f>
        <v/>
      </c>
      <c r="F56" s="25">
        <f>E56-F58</f>
        <v/>
      </c>
      <c r="G56" s="25">
        <f>F56-G58</f>
        <v/>
      </c>
      <c r="H56" s="25">
        <f>G56-H58</f>
        <v/>
      </c>
      <c r="I56" s="25">
        <f>H56-I58</f>
        <v/>
      </c>
      <c r="J56" s="25">
        <f>I56-J58</f>
        <v/>
      </c>
      <c r="K56" s="25">
        <f>J56-K58</f>
        <v/>
      </c>
      <c r="L56" s="25">
        <f>K56-L58</f>
        <v/>
      </c>
      <c r="M56" s="25">
        <f>L56-M58</f>
        <v/>
      </c>
      <c r="N56" s="25">
        <f>M56-N58</f>
        <v/>
      </c>
      <c r="O56" s="25">
        <f>N56-O58</f>
        <v/>
      </c>
      <c r="P56" s="25">
        <f>O56-P58</f>
        <v/>
      </c>
      <c r="Q56" s="25">
        <f>P56-Q58</f>
        <v/>
      </c>
      <c r="R56" s="25">
        <f>Q56-R58</f>
        <v/>
      </c>
      <c r="S56" s="25">
        <f>R56-S58</f>
        <v/>
      </c>
      <c r="T56" s="25">
        <f>S56-T58</f>
        <v/>
      </c>
      <c r="U56" s="25">
        <f>T56-U58</f>
        <v/>
      </c>
      <c r="V56" s="25">
        <f>U56-V58</f>
        <v/>
      </c>
      <c r="W56" s="25">
        <f>V56-W58</f>
        <v/>
      </c>
      <c r="X56" s="25">
        <f>W56-X58</f>
        <v/>
      </c>
      <c r="Y56" s="25">
        <f>X56-Y58</f>
        <v/>
      </c>
      <c r="Z56" s="25">
        <f>Y56-Z58</f>
        <v/>
      </c>
      <c r="AA56" s="25">
        <f>Z56-AA58</f>
        <v/>
      </c>
      <c r="AB56" s="25">
        <f>AA56-AB58</f>
        <v/>
      </c>
      <c r="AC56" s="25">
        <f>AB56-AC58</f>
        <v/>
      </c>
      <c r="AD56" s="25">
        <f>AC56-AD58</f>
        <v/>
      </c>
      <c r="AE56" s="25">
        <f>AD56-AE58</f>
        <v/>
      </c>
      <c r="AF56" s="25">
        <f>AE56-AF58</f>
        <v/>
      </c>
      <c r="AG56" s="25">
        <f>AF56-AG58</f>
        <v/>
      </c>
      <c r="AH56" s="25">
        <f>AG56-AH58</f>
        <v/>
      </c>
      <c r="AI56" s="25">
        <f>AH56-AI58</f>
        <v/>
      </c>
      <c r="AJ56" s="25">
        <f>AI56-AJ58</f>
        <v/>
      </c>
      <c r="AK56" s="25">
        <f>AJ56-AK58</f>
        <v/>
      </c>
      <c r="AL56" s="25">
        <f>AK56-AL58</f>
        <v/>
      </c>
      <c r="AM56" s="25">
        <f>AL56-AM58</f>
        <v/>
      </c>
      <c r="AN56" s="25">
        <f>AM56-AN58</f>
        <v/>
      </c>
      <c r="AO56" s="25">
        <f>AN56-AO58</f>
        <v/>
      </c>
      <c r="AP56" s="25">
        <f>AO56-AP58</f>
        <v/>
      </c>
      <c r="AQ56" s="25">
        <f>AP56-AQ58</f>
        <v/>
      </c>
      <c r="AR56" s="25">
        <f>AQ56-AR58</f>
        <v/>
      </c>
      <c r="AS56" s="25">
        <f>AR56-AS58</f>
        <v/>
      </c>
      <c r="AT56" s="25">
        <f>AS56-AT58</f>
        <v/>
      </c>
      <c r="AU56" s="25">
        <f>AT56-AU58</f>
        <v/>
      </c>
      <c r="AV56" s="25">
        <f>AU56-AV58</f>
        <v/>
      </c>
      <c r="AW56" s="25">
        <f>AV56-AW58</f>
        <v/>
      </c>
      <c r="AX56" s="25">
        <f>AW56-AX58</f>
        <v/>
      </c>
      <c r="AY56" s="25">
        <f>AX56-AY58</f>
        <v/>
      </c>
      <c r="AZ56" s="25">
        <f>AY56-AZ58</f>
        <v/>
      </c>
      <c r="BA56" s="25">
        <f>AZ56-BA58</f>
        <v/>
      </c>
      <c r="BB56" s="25">
        <f>BA56-BB58</f>
        <v/>
      </c>
      <c r="BC56" s="25">
        <f>BB56-BC58</f>
        <v/>
      </c>
      <c r="BD56" s="25">
        <f>BC56-BD58</f>
        <v/>
      </c>
      <c r="BE56" s="25">
        <f>BD56-BE58</f>
        <v/>
      </c>
      <c r="BF56" s="25">
        <f>BE56-BF58</f>
        <v/>
      </c>
      <c r="BG56" s="25">
        <f>BF56-BG58</f>
        <v/>
      </c>
      <c r="BH56" s="25">
        <f>BG56-BH58</f>
        <v/>
      </c>
      <c r="BI56" s="25">
        <f>BH56-BI58</f>
        <v/>
      </c>
      <c r="BJ56" s="25">
        <f>BI56-BJ58</f>
        <v/>
      </c>
      <c r="BK56" s="25">
        <f>BJ56-BK58</f>
        <v/>
      </c>
      <c r="BL56" s="25">
        <f>BK56-BL58</f>
        <v/>
      </c>
      <c r="BM56" s="25">
        <f>BL56-BM58</f>
        <v/>
      </c>
      <c r="BN56" s="25">
        <f>BM56-BN58</f>
        <v/>
      </c>
      <c r="BO56" s="25">
        <f>BN56-BO58</f>
        <v/>
      </c>
      <c r="BP56" s="25">
        <f>BO56-BP58</f>
        <v/>
      </c>
      <c r="BQ56" s="25">
        <f>BP56-BQ58</f>
        <v/>
      </c>
      <c r="BR56" s="25">
        <f>BQ56-BR58</f>
        <v/>
      </c>
      <c r="BS56" s="25">
        <f>BR56-BS58</f>
        <v/>
      </c>
      <c r="BT56" s="25">
        <f>BS56-BT58</f>
        <v/>
      </c>
      <c r="BU56" s="25">
        <f>BT56-BU58</f>
        <v/>
      </c>
      <c r="BV56" s="25">
        <f>BU56-BV58</f>
        <v/>
      </c>
      <c r="BW56" s="25">
        <f>BV56-BW58</f>
        <v/>
      </c>
      <c r="BX56" s="25">
        <f>BW56-BX58</f>
        <v/>
      </c>
      <c r="BY56" s="25">
        <f>BX56-BY58</f>
        <v/>
      </c>
      <c r="BZ56" s="25">
        <f>BY56-BZ58</f>
        <v/>
      </c>
      <c r="CA56" s="25">
        <f>BZ56-CA58</f>
        <v/>
      </c>
      <c r="CB56" s="25">
        <f>CA56-CB58</f>
        <v/>
      </c>
      <c r="CC56" s="25">
        <f>CB56-CC58</f>
        <v/>
      </c>
      <c r="CD56" s="25">
        <f>CC56-CD58</f>
        <v/>
      </c>
      <c r="CE56" s="25">
        <f>CD56-CE58</f>
        <v/>
      </c>
      <c r="CF56" s="25">
        <f>CE56-CF58</f>
        <v/>
      </c>
      <c r="CG56" s="25">
        <f>CF56-CG58</f>
        <v/>
      </c>
      <c r="CH56" s="25">
        <f>CG56-CH58</f>
        <v/>
      </c>
      <c r="CI56" s="25">
        <f>CH56-CI58</f>
        <v/>
      </c>
      <c r="CJ56" s="25">
        <f>CI56-CJ58</f>
        <v/>
      </c>
      <c r="CK56" s="25">
        <f>CJ56-CK58</f>
        <v/>
      </c>
      <c r="CL56" s="25">
        <f>CK56-CL58</f>
        <v/>
      </c>
      <c r="CM56" s="25">
        <f>CL56-CM58</f>
        <v/>
      </c>
      <c r="CN56" s="25">
        <f>CM56-CN58</f>
        <v/>
      </c>
      <c r="CO56" s="25">
        <f>CN56-CO58</f>
        <v/>
      </c>
      <c r="CP56" s="25">
        <f>CO56-CP58</f>
        <v/>
      </c>
      <c r="CQ56" s="25">
        <f>CP56-CQ58</f>
        <v/>
      </c>
      <c r="CR56" s="25">
        <f>CQ56-CR58</f>
        <v/>
      </c>
      <c r="CS56" s="25">
        <f>CR56-CS58</f>
        <v/>
      </c>
      <c r="CT56" s="25">
        <f>CS56-CT58</f>
        <v/>
      </c>
      <c r="CU56" s="25">
        <f>CT56-CU58</f>
        <v/>
      </c>
      <c r="CV56" s="25">
        <f>CU56-CV58</f>
        <v/>
      </c>
      <c r="CW56" s="25">
        <f>CV56-CW58</f>
        <v/>
      </c>
      <c r="CX56" s="25">
        <f>CW56-CX58</f>
        <v/>
      </c>
      <c r="CY56" s="25">
        <f>CX56-CY58</f>
        <v/>
      </c>
      <c r="CZ56" s="25">
        <f>CY56-CZ58</f>
        <v/>
      </c>
      <c r="DA56" s="25">
        <f>CZ56-DA58</f>
        <v/>
      </c>
      <c r="DB56" s="25">
        <f>DA56-DB58</f>
        <v/>
      </c>
      <c r="DC56" s="25">
        <f>DB56-DC58</f>
        <v/>
      </c>
      <c r="DD56" s="25">
        <f>DC56-DD58</f>
        <v/>
      </c>
      <c r="DE56" s="25">
        <f>DD56-DE58</f>
        <v/>
      </c>
      <c r="DF56" s="25">
        <f>DE56-DF58</f>
        <v/>
      </c>
      <c r="DG56" s="25">
        <f>DF56-DG58</f>
        <v/>
      </c>
      <c r="DH56" s="25">
        <f>DG56-DH58</f>
        <v/>
      </c>
      <c r="DI56" s="25">
        <f>DH56-DI58</f>
        <v/>
      </c>
      <c r="DJ56" s="25">
        <f>DI56-DJ58</f>
        <v/>
      </c>
      <c r="DK56" s="25">
        <f>DJ56-DK58</f>
        <v/>
      </c>
      <c r="DL56" s="25">
        <f>DK56-DL58</f>
        <v/>
      </c>
      <c r="DM56" s="25">
        <f>DL56-DM58</f>
        <v/>
      </c>
      <c r="DN56" s="25">
        <f>DM56-DN58</f>
        <v/>
      </c>
      <c r="DO56" s="25">
        <f>DN56-DO58</f>
        <v/>
      </c>
      <c r="DP56" s="25">
        <f>DO56-DP58</f>
        <v/>
      </c>
      <c r="DQ56" s="25">
        <f>DP56-DQ58</f>
        <v/>
      </c>
      <c r="DR56" s="25">
        <f>DQ56-DR58</f>
        <v/>
      </c>
    </row>
    <row r="57">
      <c r="A57" t="inlineStr">
        <is>
          <t>interest_4</t>
        </is>
      </c>
      <c r="C57" s="25">
        <f>IF(C$4=0,0,Effective!$D$56*Effective!$E$56/12)</f>
        <v/>
      </c>
      <c r="D57" s="25">
        <f>IF(D$4=0,0,C56*Effective!$E$56/12)</f>
        <v/>
      </c>
      <c r="E57" s="25">
        <f>IF(E$4=0,0,D56*Effective!$E$56/12)</f>
        <v/>
      </c>
      <c r="F57" s="25">
        <f>IF(F$4=0,0,E56*Effective!$E$56/12)</f>
        <v/>
      </c>
      <c r="G57" s="25">
        <f>IF(G$4=0,0,F56*Effective!$E$56/12)</f>
        <v/>
      </c>
      <c r="H57" s="25">
        <f>IF(H$4=0,0,G56*Effective!$E$56/12)</f>
        <v/>
      </c>
      <c r="I57" s="25">
        <f>IF(I$4=0,0,H56*Effective!$E$56/12)</f>
        <v/>
      </c>
      <c r="J57" s="25">
        <f>IF(J$4=0,0,I56*Effective!$E$56/12)</f>
        <v/>
      </c>
      <c r="K57" s="25">
        <f>IF(K$4=0,0,J56*Effective!$E$56/12)</f>
        <v/>
      </c>
      <c r="L57" s="25">
        <f>IF(L$4=0,0,K56*Effective!$E$56/12)</f>
        <v/>
      </c>
      <c r="M57" s="25">
        <f>IF(M$4=0,0,L56*Effective!$E$56/12)</f>
        <v/>
      </c>
      <c r="N57" s="25">
        <f>IF(N$4=0,0,M56*Effective!$E$56/12)</f>
        <v/>
      </c>
      <c r="O57" s="25">
        <f>IF(O$4=0,0,N56*Effective!$E$56/12)</f>
        <v/>
      </c>
      <c r="P57" s="25">
        <f>IF(P$4=0,0,O56*Effective!$E$56/12)</f>
        <v/>
      </c>
      <c r="Q57" s="25">
        <f>IF(Q$4=0,0,P56*Effective!$E$56/12)</f>
        <v/>
      </c>
      <c r="R57" s="25">
        <f>IF(R$4=0,0,Q56*Effective!$E$56/12)</f>
        <v/>
      </c>
      <c r="S57" s="25">
        <f>IF(S$4=0,0,R56*Effective!$E$56/12)</f>
        <v/>
      </c>
      <c r="T57" s="25">
        <f>IF(T$4=0,0,S56*Effective!$E$56/12)</f>
        <v/>
      </c>
      <c r="U57" s="25">
        <f>IF(U$4=0,0,T56*Effective!$E$56/12)</f>
        <v/>
      </c>
      <c r="V57" s="25">
        <f>IF(V$4=0,0,U56*Effective!$E$56/12)</f>
        <v/>
      </c>
      <c r="W57" s="25">
        <f>IF(W$4=0,0,V56*Effective!$E$56/12)</f>
        <v/>
      </c>
      <c r="X57" s="25">
        <f>IF(X$4=0,0,W56*Effective!$E$56/12)</f>
        <v/>
      </c>
      <c r="Y57" s="25">
        <f>IF(Y$4=0,0,X56*Effective!$E$56/12)</f>
        <v/>
      </c>
      <c r="Z57" s="25">
        <f>IF(Z$4=0,0,Y56*Effective!$E$56/12)</f>
        <v/>
      </c>
      <c r="AA57" s="25">
        <f>IF(AA$4=0,0,Z56*Effective!$E$56/12)</f>
        <v/>
      </c>
      <c r="AB57" s="25">
        <f>IF(AB$4=0,0,AA56*Effective!$E$56/12)</f>
        <v/>
      </c>
      <c r="AC57" s="25">
        <f>IF(AC$4=0,0,AB56*Effective!$E$56/12)</f>
        <v/>
      </c>
      <c r="AD57" s="25">
        <f>IF(AD$4=0,0,AC56*Effective!$E$56/12)</f>
        <v/>
      </c>
      <c r="AE57" s="25">
        <f>IF(AE$4=0,0,AD56*Effective!$E$56/12)</f>
        <v/>
      </c>
      <c r="AF57" s="25">
        <f>IF(AF$4=0,0,AE56*Effective!$E$56/12)</f>
        <v/>
      </c>
      <c r="AG57" s="25">
        <f>IF(AG$4=0,0,AF56*Effective!$E$56/12)</f>
        <v/>
      </c>
      <c r="AH57" s="25">
        <f>IF(AH$4=0,0,AG56*Effective!$E$56/12)</f>
        <v/>
      </c>
      <c r="AI57" s="25">
        <f>IF(AI$4=0,0,AH56*Effective!$E$56/12)</f>
        <v/>
      </c>
      <c r="AJ57" s="25">
        <f>IF(AJ$4=0,0,AI56*Effective!$E$56/12)</f>
        <v/>
      </c>
      <c r="AK57" s="25">
        <f>IF(AK$4=0,0,AJ56*Effective!$E$56/12)</f>
        <v/>
      </c>
      <c r="AL57" s="25">
        <f>IF(AL$4=0,0,AK56*Effective!$E$56/12)</f>
        <v/>
      </c>
      <c r="AM57" s="25">
        <f>IF(AM$4=0,0,AL56*Effective!$E$56/12)</f>
        <v/>
      </c>
      <c r="AN57" s="25">
        <f>IF(AN$4=0,0,AM56*Effective!$E$56/12)</f>
        <v/>
      </c>
      <c r="AO57" s="25">
        <f>IF(AO$4=0,0,AN56*Effective!$E$56/12)</f>
        <v/>
      </c>
      <c r="AP57" s="25">
        <f>IF(AP$4=0,0,AO56*Effective!$E$56/12)</f>
        <v/>
      </c>
      <c r="AQ57" s="25">
        <f>IF(AQ$4=0,0,AP56*Effective!$E$56/12)</f>
        <v/>
      </c>
      <c r="AR57" s="25">
        <f>IF(AR$4=0,0,AQ56*Effective!$E$56/12)</f>
        <v/>
      </c>
      <c r="AS57" s="25">
        <f>IF(AS$4=0,0,AR56*Effective!$E$56/12)</f>
        <v/>
      </c>
      <c r="AT57" s="25">
        <f>IF(AT$4=0,0,AS56*Effective!$E$56/12)</f>
        <v/>
      </c>
      <c r="AU57" s="25">
        <f>IF(AU$4=0,0,AT56*Effective!$E$56/12)</f>
        <v/>
      </c>
      <c r="AV57" s="25">
        <f>IF(AV$4=0,0,AU56*Effective!$E$56/12)</f>
        <v/>
      </c>
      <c r="AW57" s="25">
        <f>IF(AW$4=0,0,AV56*Effective!$E$56/12)</f>
        <v/>
      </c>
      <c r="AX57" s="25">
        <f>IF(AX$4=0,0,AW56*Effective!$E$56/12)</f>
        <v/>
      </c>
      <c r="AY57" s="25">
        <f>IF(AY$4=0,0,AX56*Effective!$E$56/12)</f>
        <v/>
      </c>
      <c r="AZ57" s="25">
        <f>IF(AZ$4=0,0,AY56*Effective!$E$56/12)</f>
        <v/>
      </c>
      <c r="BA57" s="25">
        <f>IF(BA$4=0,0,AZ56*Effective!$E$56/12)</f>
        <v/>
      </c>
      <c r="BB57" s="25">
        <f>IF(BB$4=0,0,BA56*Effective!$E$56/12)</f>
        <v/>
      </c>
      <c r="BC57" s="25">
        <f>IF(BC$4=0,0,BB56*Effective!$E$56/12)</f>
        <v/>
      </c>
      <c r="BD57" s="25">
        <f>IF(BD$4=0,0,BC56*Effective!$E$56/12)</f>
        <v/>
      </c>
      <c r="BE57" s="25">
        <f>IF(BE$4=0,0,BD56*Effective!$E$56/12)</f>
        <v/>
      </c>
      <c r="BF57" s="25">
        <f>IF(BF$4=0,0,BE56*Effective!$E$56/12)</f>
        <v/>
      </c>
      <c r="BG57" s="25">
        <f>IF(BG$4=0,0,BF56*Effective!$E$56/12)</f>
        <v/>
      </c>
      <c r="BH57" s="25">
        <f>IF(BH$4=0,0,BG56*Effective!$E$56/12)</f>
        <v/>
      </c>
      <c r="BI57" s="25">
        <f>IF(BI$4=0,0,BH56*Effective!$E$56/12)</f>
        <v/>
      </c>
      <c r="BJ57" s="25">
        <f>IF(BJ$4=0,0,BI56*Effective!$E$56/12)</f>
        <v/>
      </c>
      <c r="BK57" s="25">
        <f>IF(BK$4=0,0,BJ56*Effective!$E$56/12)</f>
        <v/>
      </c>
      <c r="BL57" s="25">
        <f>IF(BL$4=0,0,BK56*Effective!$E$56/12)</f>
        <v/>
      </c>
      <c r="BM57" s="25">
        <f>IF(BM$4=0,0,BL56*Effective!$E$56/12)</f>
        <v/>
      </c>
      <c r="BN57" s="25">
        <f>IF(BN$4=0,0,BM56*Effective!$E$56/12)</f>
        <v/>
      </c>
      <c r="BO57" s="25">
        <f>IF(BO$4=0,0,BN56*Effective!$E$56/12)</f>
        <v/>
      </c>
      <c r="BP57" s="25">
        <f>IF(BP$4=0,0,BO56*Effective!$E$56/12)</f>
        <v/>
      </c>
      <c r="BQ57" s="25">
        <f>IF(BQ$4=0,0,BP56*Effective!$E$56/12)</f>
        <v/>
      </c>
      <c r="BR57" s="25">
        <f>IF(BR$4=0,0,BQ56*Effective!$E$56/12)</f>
        <v/>
      </c>
      <c r="BS57" s="25">
        <f>IF(BS$4=0,0,BR56*Effective!$E$56/12)</f>
        <v/>
      </c>
      <c r="BT57" s="25">
        <f>IF(BT$4=0,0,BS56*Effective!$E$56/12)</f>
        <v/>
      </c>
      <c r="BU57" s="25">
        <f>IF(BU$4=0,0,BT56*Effective!$E$56/12)</f>
        <v/>
      </c>
      <c r="BV57" s="25">
        <f>IF(BV$4=0,0,BU56*Effective!$E$56/12)</f>
        <v/>
      </c>
      <c r="BW57" s="25">
        <f>IF(BW$4=0,0,BV56*Effective!$E$56/12)</f>
        <v/>
      </c>
      <c r="BX57" s="25">
        <f>IF(BX$4=0,0,BW56*Effective!$E$56/12)</f>
        <v/>
      </c>
      <c r="BY57" s="25">
        <f>IF(BY$4=0,0,BX56*Effective!$E$56/12)</f>
        <v/>
      </c>
      <c r="BZ57" s="25">
        <f>IF(BZ$4=0,0,BY56*Effective!$E$56/12)</f>
        <v/>
      </c>
      <c r="CA57" s="25">
        <f>IF(CA$4=0,0,BZ56*Effective!$E$56/12)</f>
        <v/>
      </c>
      <c r="CB57" s="25">
        <f>IF(CB$4=0,0,CA56*Effective!$E$56/12)</f>
        <v/>
      </c>
      <c r="CC57" s="25">
        <f>IF(CC$4=0,0,CB56*Effective!$E$56/12)</f>
        <v/>
      </c>
      <c r="CD57" s="25">
        <f>IF(CD$4=0,0,CC56*Effective!$E$56/12)</f>
        <v/>
      </c>
      <c r="CE57" s="25">
        <f>IF(CE$4=0,0,CD56*Effective!$E$56/12)</f>
        <v/>
      </c>
      <c r="CF57" s="25">
        <f>IF(CF$4=0,0,CE56*Effective!$E$56/12)</f>
        <v/>
      </c>
      <c r="CG57" s="25">
        <f>IF(CG$4=0,0,CF56*Effective!$E$56/12)</f>
        <v/>
      </c>
      <c r="CH57" s="25">
        <f>IF(CH$4=0,0,CG56*Effective!$E$56/12)</f>
        <v/>
      </c>
      <c r="CI57" s="25">
        <f>IF(CI$4=0,0,CH56*Effective!$E$56/12)</f>
        <v/>
      </c>
      <c r="CJ57" s="25">
        <f>IF(CJ$4=0,0,CI56*Effective!$E$56/12)</f>
        <v/>
      </c>
      <c r="CK57" s="25">
        <f>IF(CK$4=0,0,CJ56*Effective!$E$56/12)</f>
        <v/>
      </c>
      <c r="CL57" s="25">
        <f>IF(CL$4=0,0,CK56*Effective!$E$56/12)</f>
        <v/>
      </c>
      <c r="CM57" s="25">
        <f>IF(CM$4=0,0,CL56*Effective!$E$56/12)</f>
        <v/>
      </c>
      <c r="CN57" s="25">
        <f>IF(CN$4=0,0,CM56*Effective!$E$56/12)</f>
        <v/>
      </c>
      <c r="CO57" s="25">
        <f>IF(CO$4=0,0,CN56*Effective!$E$56/12)</f>
        <v/>
      </c>
      <c r="CP57" s="25">
        <f>IF(CP$4=0,0,CO56*Effective!$E$56/12)</f>
        <v/>
      </c>
      <c r="CQ57" s="25">
        <f>IF(CQ$4=0,0,CP56*Effective!$E$56/12)</f>
        <v/>
      </c>
      <c r="CR57" s="25">
        <f>IF(CR$4=0,0,CQ56*Effective!$E$56/12)</f>
        <v/>
      </c>
      <c r="CS57" s="25">
        <f>IF(CS$4=0,0,CR56*Effective!$E$56/12)</f>
        <v/>
      </c>
      <c r="CT57" s="25">
        <f>IF(CT$4=0,0,CS56*Effective!$E$56/12)</f>
        <v/>
      </c>
      <c r="CU57" s="25">
        <f>IF(CU$4=0,0,CT56*Effective!$E$56/12)</f>
        <v/>
      </c>
      <c r="CV57" s="25">
        <f>IF(CV$4=0,0,CU56*Effective!$E$56/12)</f>
        <v/>
      </c>
      <c r="CW57" s="25">
        <f>IF(CW$4=0,0,CV56*Effective!$E$56/12)</f>
        <v/>
      </c>
      <c r="CX57" s="25">
        <f>IF(CX$4=0,0,CW56*Effective!$E$56/12)</f>
        <v/>
      </c>
      <c r="CY57" s="25">
        <f>IF(CY$4=0,0,CX56*Effective!$E$56/12)</f>
        <v/>
      </c>
      <c r="CZ57" s="25">
        <f>IF(CZ$4=0,0,CY56*Effective!$E$56/12)</f>
        <v/>
      </c>
      <c r="DA57" s="25">
        <f>IF(DA$4=0,0,CZ56*Effective!$E$56/12)</f>
        <v/>
      </c>
      <c r="DB57" s="25">
        <f>IF(DB$4=0,0,DA56*Effective!$E$56/12)</f>
        <v/>
      </c>
      <c r="DC57" s="25">
        <f>IF(DC$4=0,0,DB56*Effective!$E$56/12)</f>
        <v/>
      </c>
      <c r="DD57" s="25">
        <f>IF(DD$4=0,0,DC56*Effective!$E$56/12)</f>
        <v/>
      </c>
      <c r="DE57" s="25">
        <f>IF(DE$4=0,0,DD56*Effective!$E$56/12)</f>
        <v/>
      </c>
      <c r="DF57" s="25">
        <f>IF(DF$4=0,0,DE56*Effective!$E$56/12)</f>
        <v/>
      </c>
      <c r="DG57" s="25">
        <f>IF(DG$4=0,0,DF56*Effective!$E$56/12)</f>
        <v/>
      </c>
      <c r="DH57" s="25">
        <f>IF(DH$4=0,0,DG56*Effective!$E$56/12)</f>
        <v/>
      </c>
      <c r="DI57" s="25">
        <f>IF(DI$4=0,0,DH56*Effective!$E$56/12)</f>
        <v/>
      </c>
      <c r="DJ57" s="25">
        <f>IF(DJ$4=0,0,DI56*Effective!$E$56/12)</f>
        <v/>
      </c>
      <c r="DK57" s="25">
        <f>IF(DK$4=0,0,DJ56*Effective!$E$56/12)</f>
        <v/>
      </c>
      <c r="DL57" s="25">
        <f>IF(DL$4=0,0,DK56*Effective!$E$56/12)</f>
        <v/>
      </c>
      <c r="DM57" s="25">
        <f>IF(DM$4=0,0,DL56*Effective!$E$56/12)</f>
        <v/>
      </c>
      <c r="DN57" s="25">
        <f>IF(DN$4=0,0,DM56*Effective!$E$56/12)</f>
        <v/>
      </c>
      <c r="DO57" s="25">
        <f>IF(DO$4=0,0,DN56*Effective!$E$56/12)</f>
        <v/>
      </c>
      <c r="DP57" s="25">
        <f>IF(DP$4=0,0,DO56*Effective!$E$56/12)</f>
        <v/>
      </c>
      <c r="DQ57" s="25">
        <f>IF(DQ$4=0,0,DP56*Effective!$E$56/12)</f>
        <v/>
      </c>
      <c r="DR57" s="25">
        <f>IF(DR$4=0,0,DQ56*Effective!$E$56/12)</f>
        <v/>
      </c>
    </row>
    <row r="58">
      <c r="A58" t="inlineStr">
        <is>
          <t>principal_4</t>
        </is>
      </c>
      <c r="C58" s="25">
        <f>IF(C$4=0,0,IF(Effective!$C$56="term_loan",MIN(Effective!$F$56,Effective!$D$56),0))</f>
        <v/>
      </c>
      <c r="D58" s="25">
        <f>IF(D$4=0,0,IF(Effective!$C$56="term_loan",MIN(Effective!$F$56,C56),0))</f>
        <v/>
      </c>
      <c r="E58" s="25">
        <f>IF(E$4=0,0,IF(Effective!$C$56="term_loan",MIN(Effective!$F$56,D56),0))</f>
        <v/>
      </c>
      <c r="F58" s="25">
        <f>IF(F$4=0,0,IF(Effective!$C$56="term_loan",MIN(Effective!$F$56,E56),0))</f>
        <v/>
      </c>
      <c r="G58" s="25">
        <f>IF(G$4=0,0,IF(Effective!$C$56="term_loan",MIN(Effective!$F$56,F56),0))</f>
        <v/>
      </c>
      <c r="H58" s="25">
        <f>IF(H$4=0,0,IF(Effective!$C$56="term_loan",MIN(Effective!$F$56,G56),0))</f>
        <v/>
      </c>
      <c r="I58" s="25">
        <f>IF(I$4=0,0,IF(Effective!$C$56="term_loan",MIN(Effective!$F$56,H56),0))</f>
        <v/>
      </c>
      <c r="J58" s="25">
        <f>IF(J$4=0,0,IF(Effective!$C$56="term_loan",MIN(Effective!$F$56,I56),0))</f>
        <v/>
      </c>
      <c r="K58" s="25">
        <f>IF(K$4=0,0,IF(Effective!$C$56="term_loan",MIN(Effective!$F$56,J56),0))</f>
        <v/>
      </c>
      <c r="L58" s="25">
        <f>IF(L$4=0,0,IF(Effective!$C$56="term_loan",MIN(Effective!$F$56,K56),0))</f>
        <v/>
      </c>
      <c r="M58" s="25">
        <f>IF(M$4=0,0,IF(Effective!$C$56="term_loan",MIN(Effective!$F$56,L56),0))</f>
        <v/>
      </c>
      <c r="N58" s="25">
        <f>IF(N$4=0,0,IF(Effective!$C$56="term_loan",MIN(Effective!$F$56,M56),0))</f>
        <v/>
      </c>
      <c r="O58" s="25">
        <f>IF(O$4=0,0,IF(Effective!$C$56="term_loan",MIN(Effective!$F$56,N56),0))</f>
        <v/>
      </c>
      <c r="P58" s="25">
        <f>IF(P$4=0,0,IF(Effective!$C$56="term_loan",MIN(Effective!$F$56,O56),0))</f>
        <v/>
      </c>
      <c r="Q58" s="25">
        <f>IF(Q$4=0,0,IF(Effective!$C$56="term_loan",MIN(Effective!$F$56,P56),0))</f>
        <v/>
      </c>
      <c r="R58" s="25">
        <f>IF(R$4=0,0,IF(Effective!$C$56="term_loan",MIN(Effective!$F$56,Q56),0))</f>
        <v/>
      </c>
      <c r="S58" s="25">
        <f>IF(S$4=0,0,IF(Effective!$C$56="term_loan",MIN(Effective!$F$56,R56),0))</f>
        <v/>
      </c>
      <c r="T58" s="25">
        <f>IF(T$4=0,0,IF(Effective!$C$56="term_loan",MIN(Effective!$F$56,S56),0))</f>
        <v/>
      </c>
      <c r="U58" s="25">
        <f>IF(U$4=0,0,IF(Effective!$C$56="term_loan",MIN(Effective!$F$56,T56),0))</f>
        <v/>
      </c>
      <c r="V58" s="25">
        <f>IF(V$4=0,0,IF(Effective!$C$56="term_loan",MIN(Effective!$F$56,U56),0))</f>
        <v/>
      </c>
      <c r="W58" s="25">
        <f>IF(W$4=0,0,IF(Effective!$C$56="term_loan",MIN(Effective!$F$56,V56),0))</f>
        <v/>
      </c>
      <c r="X58" s="25">
        <f>IF(X$4=0,0,IF(Effective!$C$56="term_loan",MIN(Effective!$F$56,W56),0))</f>
        <v/>
      </c>
      <c r="Y58" s="25">
        <f>IF(Y$4=0,0,IF(Effective!$C$56="term_loan",MIN(Effective!$F$56,X56),0))</f>
        <v/>
      </c>
      <c r="Z58" s="25">
        <f>IF(Z$4=0,0,IF(Effective!$C$56="term_loan",MIN(Effective!$F$56,Y56),0))</f>
        <v/>
      </c>
      <c r="AA58" s="25">
        <f>IF(AA$4=0,0,IF(Effective!$C$56="term_loan",MIN(Effective!$F$56,Z56),0))</f>
        <v/>
      </c>
      <c r="AB58" s="25">
        <f>IF(AB$4=0,0,IF(Effective!$C$56="term_loan",MIN(Effective!$F$56,AA56),0))</f>
        <v/>
      </c>
      <c r="AC58" s="25">
        <f>IF(AC$4=0,0,IF(Effective!$C$56="term_loan",MIN(Effective!$F$56,AB56),0))</f>
        <v/>
      </c>
      <c r="AD58" s="25">
        <f>IF(AD$4=0,0,IF(Effective!$C$56="term_loan",MIN(Effective!$F$56,AC56),0))</f>
        <v/>
      </c>
      <c r="AE58" s="25">
        <f>IF(AE$4=0,0,IF(Effective!$C$56="term_loan",MIN(Effective!$F$56,AD56),0))</f>
        <v/>
      </c>
      <c r="AF58" s="25">
        <f>IF(AF$4=0,0,IF(Effective!$C$56="term_loan",MIN(Effective!$F$56,AE56),0))</f>
        <v/>
      </c>
      <c r="AG58" s="25">
        <f>IF(AG$4=0,0,IF(Effective!$C$56="term_loan",MIN(Effective!$F$56,AF56),0))</f>
        <v/>
      </c>
      <c r="AH58" s="25">
        <f>IF(AH$4=0,0,IF(Effective!$C$56="term_loan",MIN(Effective!$F$56,AG56),0))</f>
        <v/>
      </c>
      <c r="AI58" s="25">
        <f>IF(AI$4=0,0,IF(Effective!$C$56="term_loan",MIN(Effective!$F$56,AH56),0))</f>
        <v/>
      </c>
      <c r="AJ58" s="25">
        <f>IF(AJ$4=0,0,IF(Effective!$C$56="term_loan",MIN(Effective!$F$56,AI56),0))</f>
        <v/>
      </c>
      <c r="AK58" s="25">
        <f>IF(AK$4=0,0,IF(Effective!$C$56="term_loan",MIN(Effective!$F$56,AJ56),0))</f>
        <v/>
      </c>
      <c r="AL58" s="25">
        <f>IF(AL$4=0,0,IF(Effective!$C$56="term_loan",MIN(Effective!$F$56,AK56),0))</f>
        <v/>
      </c>
      <c r="AM58" s="25">
        <f>IF(AM$4=0,0,IF(Effective!$C$56="term_loan",MIN(Effective!$F$56,AL56),0))</f>
        <v/>
      </c>
      <c r="AN58" s="25">
        <f>IF(AN$4=0,0,IF(Effective!$C$56="term_loan",MIN(Effective!$F$56,AM56),0))</f>
        <v/>
      </c>
      <c r="AO58" s="25">
        <f>IF(AO$4=0,0,IF(Effective!$C$56="term_loan",MIN(Effective!$F$56,AN56),0))</f>
        <v/>
      </c>
      <c r="AP58" s="25">
        <f>IF(AP$4=0,0,IF(Effective!$C$56="term_loan",MIN(Effective!$F$56,AO56),0))</f>
        <v/>
      </c>
      <c r="AQ58" s="25">
        <f>IF(AQ$4=0,0,IF(Effective!$C$56="term_loan",MIN(Effective!$F$56,AP56),0))</f>
        <v/>
      </c>
      <c r="AR58" s="25">
        <f>IF(AR$4=0,0,IF(Effective!$C$56="term_loan",MIN(Effective!$F$56,AQ56),0))</f>
        <v/>
      </c>
      <c r="AS58" s="25">
        <f>IF(AS$4=0,0,IF(Effective!$C$56="term_loan",MIN(Effective!$F$56,AR56),0))</f>
        <v/>
      </c>
      <c r="AT58" s="25">
        <f>IF(AT$4=0,0,IF(Effective!$C$56="term_loan",MIN(Effective!$F$56,AS56),0))</f>
        <v/>
      </c>
      <c r="AU58" s="25">
        <f>IF(AU$4=0,0,IF(Effective!$C$56="term_loan",MIN(Effective!$F$56,AT56),0))</f>
        <v/>
      </c>
      <c r="AV58" s="25">
        <f>IF(AV$4=0,0,IF(Effective!$C$56="term_loan",MIN(Effective!$F$56,AU56),0))</f>
        <v/>
      </c>
      <c r="AW58" s="25">
        <f>IF(AW$4=0,0,IF(Effective!$C$56="term_loan",MIN(Effective!$F$56,AV56),0))</f>
        <v/>
      </c>
      <c r="AX58" s="25">
        <f>IF(AX$4=0,0,IF(Effective!$C$56="term_loan",MIN(Effective!$F$56,AW56),0))</f>
        <v/>
      </c>
      <c r="AY58" s="25">
        <f>IF(AY$4=0,0,IF(Effective!$C$56="term_loan",MIN(Effective!$F$56,AX56),0))</f>
        <v/>
      </c>
      <c r="AZ58" s="25">
        <f>IF(AZ$4=0,0,IF(Effective!$C$56="term_loan",MIN(Effective!$F$56,AY56),0))</f>
        <v/>
      </c>
      <c r="BA58" s="25">
        <f>IF(BA$4=0,0,IF(Effective!$C$56="term_loan",MIN(Effective!$F$56,AZ56),0))</f>
        <v/>
      </c>
      <c r="BB58" s="25">
        <f>IF(BB$4=0,0,IF(Effective!$C$56="term_loan",MIN(Effective!$F$56,BA56),0))</f>
        <v/>
      </c>
      <c r="BC58" s="25">
        <f>IF(BC$4=0,0,IF(Effective!$C$56="term_loan",MIN(Effective!$F$56,BB56),0))</f>
        <v/>
      </c>
      <c r="BD58" s="25">
        <f>IF(BD$4=0,0,IF(Effective!$C$56="term_loan",MIN(Effective!$F$56,BC56),0))</f>
        <v/>
      </c>
      <c r="BE58" s="25">
        <f>IF(BE$4=0,0,IF(Effective!$C$56="term_loan",MIN(Effective!$F$56,BD56),0))</f>
        <v/>
      </c>
      <c r="BF58" s="25">
        <f>IF(BF$4=0,0,IF(Effective!$C$56="term_loan",MIN(Effective!$F$56,BE56),0))</f>
        <v/>
      </c>
      <c r="BG58" s="25">
        <f>IF(BG$4=0,0,IF(Effective!$C$56="term_loan",MIN(Effective!$F$56,BF56),0))</f>
        <v/>
      </c>
      <c r="BH58" s="25">
        <f>IF(BH$4=0,0,IF(Effective!$C$56="term_loan",MIN(Effective!$F$56,BG56),0))</f>
        <v/>
      </c>
      <c r="BI58" s="25">
        <f>IF(BI$4=0,0,IF(Effective!$C$56="term_loan",MIN(Effective!$F$56,BH56),0))</f>
        <v/>
      </c>
      <c r="BJ58" s="25">
        <f>IF(BJ$4=0,0,IF(Effective!$C$56="term_loan",MIN(Effective!$F$56,BI56),0))</f>
        <v/>
      </c>
      <c r="BK58" s="25">
        <f>IF(BK$4=0,0,IF(Effective!$C$56="term_loan",MIN(Effective!$F$56,BJ56),0))</f>
        <v/>
      </c>
      <c r="BL58" s="25">
        <f>IF(BL$4=0,0,IF(Effective!$C$56="term_loan",MIN(Effective!$F$56,BK56),0))</f>
        <v/>
      </c>
      <c r="BM58" s="25">
        <f>IF(BM$4=0,0,IF(Effective!$C$56="term_loan",MIN(Effective!$F$56,BL56),0))</f>
        <v/>
      </c>
      <c r="BN58" s="25">
        <f>IF(BN$4=0,0,IF(Effective!$C$56="term_loan",MIN(Effective!$F$56,BM56),0))</f>
        <v/>
      </c>
      <c r="BO58" s="25">
        <f>IF(BO$4=0,0,IF(Effective!$C$56="term_loan",MIN(Effective!$F$56,BN56),0))</f>
        <v/>
      </c>
      <c r="BP58" s="25">
        <f>IF(BP$4=0,0,IF(Effective!$C$56="term_loan",MIN(Effective!$F$56,BO56),0))</f>
        <v/>
      </c>
      <c r="BQ58" s="25">
        <f>IF(BQ$4=0,0,IF(Effective!$C$56="term_loan",MIN(Effective!$F$56,BP56),0))</f>
        <v/>
      </c>
      <c r="BR58" s="25">
        <f>IF(BR$4=0,0,IF(Effective!$C$56="term_loan",MIN(Effective!$F$56,BQ56),0))</f>
        <v/>
      </c>
      <c r="BS58" s="25">
        <f>IF(BS$4=0,0,IF(Effective!$C$56="term_loan",MIN(Effective!$F$56,BR56),0))</f>
        <v/>
      </c>
      <c r="BT58" s="25">
        <f>IF(BT$4=0,0,IF(Effective!$C$56="term_loan",MIN(Effective!$F$56,BS56),0))</f>
        <v/>
      </c>
      <c r="BU58" s="25">
        <f>IF(BU$4=0,0,IF(Effective!$C$56="term_loan",MIN(Effective!$F$56,BT56),0))</f>
        <v/>
      </c>
      <c r="BV58" s="25">
        <f>IF(BV$4=0,0,IF(Effective!$C$56="term_loan",MIN(Effective!$F$56,BU56),0))</f>
        <v/>
      </c>
      <c r="BW58" s="25">
        <f>IF(BW$4=0,0,IF(Effective!$C$56="term_loan",MIN(Effective!$F$56,BV56),0))</f>
        <v/>
      </c>
      <c r="BX58" s="25">
        <f>IF(BX$4=0,0,IF(Effective!$C$56="term_loan",MIN(Effective!$F$56,BW56),0))</f>
        <v/>
      </c>
      <c r="BY58" s="25">
        <f>IF(BY$4=0,0,IF(Effective!$C$56="term_loan",MIN(Effective!$F$56,BX56),0))</f>
        <v/>
      </c>
      <c r="BZ58" s="25">
        <f>IF(BZ$4=0,0,IF(Effective!$C$56="term_loan",MIN(Effective!$F$56,BY56),0))</f>
        <v/>
      </c>
      <c r="CA58" s="25">
        <f>IF(CA$4=0,0,IF(Effective!$C$56="term_loan",MIN(Effective!$F$56,BZ56),0))</f>
        <v/>
      </c>
      <c r="CB58" s="25">
        <f>IF(CB$4=0,0,IF(Effective!$C$56="term_loan",MIN(Effective!$F$56,CA56),0))</f>
        <v/>
      </c>
      <c r="CC58" s="25">
        <f>IF(CC$4=0,0,IF(Effective!$C$56="term_loan",MIN(Effective!$F$56,CB56),0))</f>
        <v/>
      </c>
      <c r="CD58" s="25">
        <f>IF(CD$4=0,0,IF(Effective!$C$56="term_loan",MIN(Effective!$F$56,CC56),0))</f>
        <v/>
      </c>
      <c r="CE58" s="25">
        <f>IF(CE$4=0,0,IF(Effective!$C$56="term_loan",MIN(Effective!$F$56,CD56),0))</f>
        <v/>
      </c>
      <c r="CF58" s="25">
        <f>IF(CF$4=0,0,IF(Effective!$C$56="term_loan",MIN(Effective!$F$56,CE56),0))</f>
        <v/>
      </c>
      <c r="CG58" s="25">
        <f>IF(CG$4=0,0,IF(Effective!$C$56="term_loan",MIN(Effective!$F$56,CF56),0))</f>
        <v/>
      </c>
      <c r="CH58" s="25">
        <f>IF(CH$4=0,0,IF(Effective!$C$56="term_loan",MIN(Effective!$F$56,CG56),0))</f>
        <v/>
      </c>
      <c r="CI58" s="25">
        <f>IF(CI$4=0,0,IF(Effective!$C$56="term_loan",MIN(Effective!$F$56,CH56),0))</f>
        <v/>
      </c>
      <c r="CJ58" s="25">
        <f>IF(CJ$4=0,0,IF(Effective!$C$56="term_loan",MIN(Effective!$F$56,CI56),0))</f>
        <v/>
      </c>
      <c r="CK58" s="25">
        <f>IF(CK$4=0,0,IF(Effective!$C$56="term_loan",MIN(Effective!$F$56,CJ56),0))</f>
        <v/>
      </c>
      <c r="CL58" s="25">
        <f>IF(CL$4=0,0,IF(Effective!$C$56="term_loan",MIN(Effective!$F$56,CK56),0))</f>
        <v/>
      </c>
      <c r="CM58" s="25">
        <f>IF(CM$4=0,0,IF(Effective!$C$56="term_loan",MIN(Effective!$F$56,CL56),0))</f>
        <v/>
      </c>
      <c r="CN58" s="25">
        <f>IF(CN$4=0,0,IF(Effective!$C$56="term_loan",MIN(Effective!$F$56,CM56),0))</f>
        <v/>
      </c>
      <c r="CO58" s="25">
        <f>IF(CO$4=0,0,IF(Effective!$C$56="term_loan",MIN(Effective!$F$56,CN56),0))</f>
        <v/>
      </c>
      <c r="CP58" s="25">
        <f>IF(CP$4=0,0,IF(Effective!$C$56="term_loan",MIN(Effective!$F$56,CO56),0))</f>
        <v/>
      </c>
      <c r="CQ58" s="25">
        <f>IF(CQ$4=0,0,IF(Effective!$C$56="term_loan",MIN(Effective!$F$56,CP56),0))</f>
        <v/>
      </c>
      <c r="CR58" s="25">
        <f>IF(CR$4=0,0,IF(Effective!$C$56="term_loan",MIN(Effective!$F$56,CQ56),0))</f>
        <v/>
      </c>
      <c r="CS58" s="25">
        <f>IF(CS$4=0,0,IF(Effective!$C$56="term_loan",MIN(Effective!$F$56,CR56),0))</f>
        <v/>
      </c>
      <c r="CT58" s="25">
        <f>IF(CT$4=0,0,IF(Effective!$C$56="term_loan",MIN(Effective!$F$56,CS56),0))</f>
        <v/>
      </c>
      <c r="CU58" s="25">
        <f>IF(CU$4=0,0,IF(Effective!$C$56="term_loan",MIN(Effective!$F$56,CT56),0))</f>
        <v/>
      </c>
      <c r="CV58" s="25">
        <f>IF(CV$4=0,0,IF(Effective!$C$56="term_loan",MIN(Effective!$F$56,CU56),0))</f>
        <v/>
      </c>
      <c r="CW58" s="25">
        <f>IF(CW$4=0,0,IF(Effective!$C$56="term_loan",MIN(Effective!$F$56,CV56),0))</f>
        <v/>
      </c>
      <c r="CX58" s="25">
        <f>IF(CX$4=0,0,IF(Effective!$C$56="term_loan",MIN(Effective!$F$56,CW56),0))</f>
        <v/>
      </c>
      <c r="CY58" s="25">
        <f>IF(CY$4=0,0,IF(Effective!$C$56="term_loan",MIN(Effective!$F$56,CX56),0))</f>
        <v/>
      </c>
      <c r="CZ58" s="25">
        <f>IF(CZ$4=0,0,IF(Effective!$C$56="term_loan",MIN(Effective!$F$56,CY56),0))</f>
        <v/>
      </c>
      <c r="DA58" s="25">
        <f>IF(DA$4=0,0,IF(Effective!$C$56="term_loan",MIN(Effective!$F$56,CZ56),0))</f>
        <v/>
      </c>
      <c r="DB58" s="25">
        <f>IF(DB$4=0,0,IF(Effective!$C$56="term_loan",MIN(Effective!$F$56,DA56),0))</f>
        <v/>
      </c>
      <c r="DC58" s="25">
        <f>IF(DC$4=0,0,IF(Effective!$C$56="term_loan",MIN(Effective!$F$56,DB56),0))</f>
        <v/>
      </c>
      <c r="DD58" s="25">
        <f>IF(DD$4=0,0,IF(Effective!$C$56="term_loan",MIN(Effective!$F$56,DC56),0))</f>
        <v/>
      </c>
      <c r="DE58" s="25">
        <f>IF(DE$4=0,0,IF(Effective!$C$56="term_loan",MIN(Effective!$F$56,DD56),0))</f>
        <v/>
      </c>
      <c r="DF58" s="25">
        <f>IF(DF$4=0,0,IF(Effective!$C$56="term_loan",MIN(Effective!$F$56,DE56),0))</f>
        <v/>
      </c>
      <c r="DG58" s="25">
        <f>IF(DG$4=0,0,IF(Effective!$C$56="term_loan",MIN(Effective!$F$56,DF56),0))</f>
        <v/>
      </c>
      <c r="DH58" s="25">
        <f>IF(DH$4=0,0,IF(Effective!$C$56="term_loan",MIN(Effective!$F$56,DG56),0))</f>
        <v/>
      </c>
      <c r="DI58" s="25">
        <f>IF(DI$4=0,0,IF(Effective!$C$56="term_loan",MIN(Effective!$F$56,DH56),0))</f>
        <v/>
      </c>
      <c r="DJ58" s="25">
        <f>IF(DJ$4=0,0,IF(Effective!$C$56="term_loan",MIN(Effective!$F$56,DI56),0))</f>
        <v/>
      </c>
      <c r="DK58" s="25">
        <f>IF(DK$4=0,0,IF(Effective!$C$56="term_loan",MIN(Effective!$F$56,DJ56),0))</f>
        <v/>
      </c>
      <c r="DL58" s="25">
        <f>IF(DL$4=0,0,IF(Effective!$C$56="term_loan",MIN(Effective!$F$56,DK56),0))</f>
        <v/>
      </c>
      <c r="DM58" s="25">
        <f>IF(DM$4=0,0,IF(Effective!$C$56="term_loan",MIN(Effective!$F$56,DL56),0))</f>
        <v/>
      </c>
      <c r="DN58" s="25">
        <f>IF(DN$4=0,0,IF(Effective!$C$56="term_loan",MIN(Effective!$F$56,DM56),0))</f>
        <v/>
      </c>
      <c r="DO58" s="25">
        <f>IF(DO$4=0,0,IF(Effective!$C$56="term_loan",MIN(Effective!$F$56,DN56),0))</f>
        <v/>
      </c>
      <c r="DP58" s="25">
        <f>IF(DP$4=0,0,IF(Effective!$C$56="term_loan",MIN(Effective!$F$56,DO56),0))</f>
        <v/>
      </c>
      <c r="DQ58" s="25">
        <f>IF(DQ$4=0,0,IF(Effective!$C$56="term_loan",MIN(Effective!$F$56,DP56),0))</f>
        <v/>
      </c>
      <c r="DR58" s="25">
        <f>IF(DR$4=0,0,IF(Effective!$C$56="term_loan",MIN(Effective!$F$56,DQ56),0))</f>
        <v/>
      </c>
    </row>
    <row r="59">
      <c r="A59" t="inlineStr">
        <is>
          <t>debt_balance_5</t>
        </is>
      </c>
      <c r="B59" t="inlineStr">
        <is>
          <t>after payment</t>
        </is>
      </c>
      <c r="C59" s="25">
        <f>Effective!$D$57-C61</f>
        <v/>
      </c>
      <c r="D59" s="25">
        <f>C59-D61</f>
        <v/>
      </c>
      <c r="E59" s="25">
        <f>D59-E61</f>
        <v/>
      </c>
      <c r="F59" s="25">
        <f>E59-F61</f>
        <v/>
      </c>
      <c r="G59" s="25">
        <f>F59-G61</f>
        <v/>
      </c>
      <c r="H59" s="25">
        <f>G59-H61</f>
        <v/>
      </c>
      <c r="I59" s="25">
        <f>H59-I61</f>
        <v/>
      </c>
      <c r="J59" s="25">
        <f>I59-J61</f>
        <v/>
      </c>
      <c r="K59" s="25">
        <f>J59-K61</f>
        <v/>
      </c>
      <c r="L59" s="25">
        <f>K59-L61</f>
        <v/>
      </c>
      <c r="M59" s="25">
        <f>L59-M61</f>
        <v/>
      </c>
      <c r="N59" s="25">
        <f>M59-N61</f>
        <v/>
      </c>
      <c r="O59" s="25">
        <f>N59-O61</f>
        <v/>
      </c>
      <c r="P59" s="25">
        <f>O59-P61</f>
        <v/>
      </c>
      <c r="Q59" s="25">
        <f>P59-Q61</f>
        <v/>
      </c>
      <c r="R59" s="25">
        <f>Q59-R61</f>
        <v/>
      </c>
      <c r="S59" s="25">
        <f>R59-S61</f>
        <v/>
      </c>
      <c r="T59" s="25">
        <f>S59-T61</f>
        <v/>
      </c>
      <c r="U59" s="25">
        <f>T59-U61</f>
        <v/>
      </c>
      <c r="V59" s="25">
        <f>U59-V61</f>
        <v/>
      </c>
      <c r="W59" s="25">
        <f>V59-W61</f>
        <v/>
      </c>
      <c r="X59" s="25">
        <f>W59-X61</f>
        <v/>
      </c>
      <c r="Y59" s="25">
        <f>X59-Y61</f>
        <v/>
      </c>
      <c r="Z59" s="25">
        <f>Y59-Z61</f>
        <v/>
      </c>
      <c r="AA59" s="25">
        <f>Z59-AA61</f>
        <v/>
      </c>
      <c r="AB59" s="25">
        <f>AA59-AB61</f>
        <v/>
      </c>
      <c r="AC59" s="25">
        <f>AB59-AC61</f>
        <v/>
      </c>
      <c r="AD59" s="25">
        <f>AC59-AD61</f>
        <v/>
      </c>
      <c r="AE59" s="25">
        <f>AD59-AE61</f>
        <v/>
      </c>
      <c r="AF59" s="25">
        <f>AE59-AF61</f>
        <v/>
      </c>
      <c r="AG59" s="25">
        <f>AF59-AG61</f>
        <v/>
      </c>
      <c r="AH59" s="25">
        <f>AG59-AH61</f>
        <v/>
      </c>
      <c r="AI59" s="25">
        <f>AH59-AI61</f>
        <v/>
      </c>
      <c r="AJ59" s="25">
        <f>AI59-AJ61</f>
        <v/>
      </c>
      <c r="AK59" s="25">
        <f>AJ59-AK61</f>
        <v/>
      </c>
      <c r="AL59" s="25">
        <f>AK59-AL61</f>
        <v/>
      </c>
      <c r="AM59" s="25">
        <f>AL59-AM61</f>
        <v/>
      </c>
      <c r="AN59" s="25">
        <f>AM59-AN61</f>
        <v/>
      </c>
      <c r="AO59" s="25">
        <f>AN59-AO61</f>
        <v/>
      </c>
      <c r="AP59" s="25">
        <f>AO59-AP61</f>
        <v/>
      </c>
      <c r="AQ59" s="25">
        <f>AP59-AQ61</f>
        <v/>
      </c>
      <c r="AR59" s="25">
        <f>AQ59-AR61</f>
        <v/>
      </c>
      <c r="AS59" s="25">
        <f>AR59-AS61</f>
        <v/>
      </c>
      <c r="AT59" s="25">
        <f>AS59-AT61</f>
        <v/>
      </c>
      <c r="AU59" s="25">
        <f>AT59-AU61</f>
        <v/>
      </c>
      <c r="AV59" s="25">
        <f>AU59-AV61</f>
        <v/>
      </c>
      <c r="AW59" s="25">
        <f>AV59-AW61</f>
        <v/>
      </c>
      <c r="AX59" s="25">
        <f>AW59-AX61</f>
        <v/>
      </c>
      <c r="AY59" s="25">
        <f>AX59-AY61</f>
        <v/>
      </c>
      <c r="AZ59" s="25">
        <f>AY59-AZ61</f>
        <v/>
      </c>
      <c r="BA59" s="25">
        <f>AZ59-BA61</f>
        <v/>
      </c>
      <c r="BB59" s="25">
        <f>BA59-BB61</f>
        <v/>
      </c>
      <c r="BC59" s="25">
        <f>BB59-BC61</f>
        <v/>
      </c>
      <c r="BD59" s="25">
        <f>BC59-BD61</f>
        <v/>
      </c>
      <c r="BE59" s="25">
        <f>BD59-BE61</f>
        <v/>
      </c>
      <c r="BF59" s="25">
        <f>BE59-BF61</f>
        <v/>
      </c>
      <c r="BG59" s="25">
        <f>BF59-BG61</f>
        <v/>
      </c>
      <c r="BH59" s="25">
        <f>BG59-BH61</f>
        <v/>
      </c>
      <c r="BI59" s="25">
        <f>BH59-BI61</f>
        <v/>
      </c>
      <c r="BJ59" s="25">
        <f>BI59-BJ61</f>
        <v/>
      </c>
      <c r="BK59" s="25">
        <f>BJ59-BK61</f>
        <v/>
      </c>
      <c r="BL59" s="25">
        <f>BK59-BL61</f>
        <v/>
      </c>
      <c r="BM59" s="25">
        <f>BL59-BM61</f>
        <v/>
      </c>
      <c r="BN59" s="25">
        <f>BM59-BN61</f>
        <v/>
      </c>
      <c r="BO59" s="25">
        <f>BN59-BO61</f>
        <v/>
      </c>
      <c r="BP59" s="25">
        <f>BO59-BP61</f>
        <v/>
      </c>
      <c r="BQ59" s="25">
        <f>BP59-BQ61</f>
        <v/>
      </c>
      <c r="BR59" s="25">
        <f>BQ59-BR61</f>
        <v/>
      </c>
      <c r="BS59" s="25">
        <f>BR59-BS61</f>
        <v/>
      </c>
      <c r="BT59" s="25">
        <f>BS59-BT61</f>
        <v/>
      </c>
      <c r="BU59" s="25">
        <f>BT59-BU61</f>
        <v/>
      </c>
      <c r="BV59" s="25">
        <f>BU59-BV61</f>
        <v/>
      </c>
      <c r="BW59" s="25">
        <f>BV59-BW61</f>
        <v/>
      </c>
      <c r="BX59" s="25">
        <f>BW59-BX61</f>
        <v/>
      </c>
      <c r="BY59" s="25">
        <f>BX59-BY61</f>
        <v/>
      </c>
      <c r="BZ59" s="25">
        <f>BY59-BZ61</f>
        <v/>
      </c>
      <c r="CA59" s="25">
        <f>BZ59-CA61</f>
        <v/>
      </c>
      <c r="CB59" s="25">
        <f>CA59-CB61</f>
        <v/>
      </c>
      <c r="CC59" s="25">
        <f>CB59-CC61</f>
        <v/>
      </c>
      <c r="CD59" s="25">
        <f>CC59-CD61</f>
        <v/>
      </c>
      <c r="CE59" s="25">
        <f>CD59-CE61</f>
        <v/>
      </c>
      <c r="CF59" s="25">
        <f>CE59-CF61</f>
        <v/>
      </c>
      <c r="CG59" s="25">
        <f>CF59-CG61</f>
        <v/>
      </c>
      <c r="CH59" s="25">
        <f>CG59-CH61</f>
        <v/>
      </c>
      <c r="CI59" s="25">
        <f>CH59-CI61</f>
        <v/>
      </c>
      <c r="CJ59" s="25">
        <f>CI59-CJ61</f>
        <v/>
      </c>
      <c r="CK59" s="25">
        <f>CJ59-CK61</f>
        <v/>
      </c>
      <c r="CL59" s="25">
        <f>CK59-CL61</f>
        <v/>
      </c>
      <c r="CM59" s="25">
        <f>CL59-CM61</f>
        <v/>
      </c>
      <c r="CN59" s="25">
        <f>CM59-CN61</f>
        <v/>
      </c>
      <c r="CO59" s="25">
        <f>CN59-CO61</f>
        <v/>
      </c>
      <c r="CP59" s="25">
        <f>CO59-CP61</f>
        <v/>
      </c>
      <c r="CQ59" s="25">
        <f>CP59-CQ61</f>
        <v/>
      </c>
      <c r="CR59" s="25">
        <f>CQ59-CR61</f>
        <v/>
      </c>
      <c r="CS59" s="25">
        <f>CR59-CS61</f>
        <v/>
      </c>
      <c r="CT59" s="25">
        <f>CS59-CT61</f>
        <v/>
      </c>
      <c r="CU59" s="25">
        <f>CT59-CU61</f>
        <v/>
      </c>
      <c r="CV59" s="25">
        <f>CU59-CV61</f>
        <v/>
      </c>
      <c r="CW59" s="25">
        <f>CV59-CW61</f>
        <v/>
      </c>
      <c r="CX59" s="25">
        <f>CW59-CX61</f>
        <v/>
      </c>
      <c r="CY59" s="25">
        <f>CX59-CY61</f>
        <v/>
      </c>
      <c r="CZ59" s="25">
        <f>CY59-CZ61</f>
        <v/>
      </c>
      <c r="DA59" s="25">
        <f>CZ59-DA61</f>
        <v/>
      </c>
      <c r="DB59" s="25">
        <f>DA59-DB61</f>
        <v/>
      </c>
      <c r="DC59" s="25">
        <f>DB59-DC61</f>
        <v/>
      </c>
      <c r="DD59" s="25">
        <f>DC59-DD61</f>
        <v/>
      </c>
      <c r="DE59" s="25">
        <f>DD59-DE61</f>
        <v/>
      </c>
      <c r="DF59" s="25">
        <f>DE59-DF61</f>
        <v/>
      </c>
      <c r="DG59" s="25">
        <f>DF59-DG61</f>
        <v/>
      </c>
      <c r="DH59" s="25">
        <f>DG59-DH61</f>
        <v/>
      </c>
      <c r="DI59" s="25">
        <f>DH59-DI61</f>
        <v/>
      </c>
      <c r="DJ59" s="25">
        <f>DI59-DJ61</f>
        <v/>
      </c>
      <c r="DK59" s="25">
        <f>DJ59-DK61</f>
        <v/>
      </c>
      <c r="DL59" s="25">
        <f>DK59-DL61</f>
        <v/>
      </c>
      <c r="DM59" s="25">
        <f>DL59-DM61</f>
        <v/>
      </c>
      <c r="DN59" s="25">
        <f>DM59-DN61</f>
        <v/>
      </c>
      <c r="DO59" s="25">
        <f>DN59-DO61</f>
        <v/>
      </c>
      <c r="DP59" s="25">
        <f>DO59-DP61</f>
        <v/>
      </c>
      <c r="DQ59" s="25">
        <f>DP59-DQ61</f>
        <v/>
      </c>
      <c r="DR59" s="25">
        <f>DQ59-DR61</f>
        <v/>
      </c>
    </row>
    <row r="60">
      <c r="A60" t="inlineStr">
        <is>
          <t>interest_5</t>
        </is>
      </c>
      <c r="C60" s="25">
        <f>IF(C$4=0,0,Effective!$D$57*Effective!$E$57/12)</f>
        <v/>
      </c>
      <c r="D60" s="25">
        <f>IF(D$4=0,0,C59*Effective!$E$57/12)</f>
        <v/>
      </c>
      <c r="E60" s="25">
        <f>IF(E$4=0,0,D59*Effective!$E$57/12)</f>
        <v/>
      </c>
      <c r="F60" s="25">
        <f>IF(F$4=0,0,E59*Effective!$E$57/12)</f>
        <v/>
      </c>
      <c r="G60" s="25">
        <f>IF(G$4=0,0,F59*Effective!$E$57/12)</f>
        <v/>
      </c>
      <c r="H60" s="25">
        <f>IF(H$4=0,0,G59*Effective!$E$57/12)</f>
        <v/>
      </c>
      <c r="I60" s="25">
        <f>IF(I$4=0,0,H59*Effective!$E$57/12)</f>
        <v/>
      </c>
      <c r="J60" s="25">
        <f>IF(J$4=0,0,I59*Effective!$E$57/12)</f>
        <v/>
      </c>
      <c r="K60" s="25">
        <f>IF(K$4=0,0,J59*Effective!$E$57/12)</f>
        <v/>
      </c>
      <c r="L60" s="25">
        <f>IF(L$4=0,0,K59*Effective!$E$57/12)</f>
        <v/>
      </c>
      <c r="M60" s="25">
        <f>IF(M$4=0,0,L59*Effective!$E$57/12)</f>
        <v/>
      </c>
      <c r="N60" s="25">
        <f>IF(N$4=0,0,M59*Effective!$E$57/12)</f>
        <v/>
      </c>
      <c r="O60" s="25">
        <f>IF(O$4=0,0,N59*Effective!$E$57/12)</f>
        <v/>
      </c>
      <c r="P60" s="25">
        <f>IF(P$4=0,0,O59*Effective!$E$57/12)</f>
        <v/>
      </c>
      <c r="Q60" s="25">
        <f>IF(Q$4=0,0,P59*Effective!$E$57/12)</f>
        <v/>
      </c>
      <c r="R60" s="25">
        <f>IF(R$4=0,0,Q59*Effective!$E$57/12)</f>
        <v/>
      </c>
      <c r="S60" s="25">
        <f>IF(S$4=0,0,R59*Effective!$E$57/12)</f>
        <v/>
      </c>
      <c r="T60" s="25">
        <f>IF(T$4=0,0,S59*Effective!$E$57/12)</f>
        <v/>
      </c>
      <c r="U60" s="25">
        <f>IF(U$4=0,0,T59*Effective!$E$57/12)</f>
        <v/>
      </c>
      <c r="V60" s="25">
        <f>IF(V$4=0,0,U59*Effective!$E$57/12)</f>
        <v/>
      </c>
      <c r="W60" s="25">
        <f>IF(W$4=0,0,V59*Effective!$E$57/12)</f>
        <v/>
      </c>
      <c r="X60" s="25">
        <f>IF(X$4=0,0,W59*Effective!$E$57/12)</f>
        <v/>
      </c>
      <c r="Y60" s="25">
        <f>IF(Y$4=0,0,X59*Effective!$E$57/12)</f>
        <v/>
      </c>
      <c r="Z60" s="25">
        <f>IF(Z$4=0,0,Y59*Effective!$E$57/12)</f>
        <v/>
      </c>
      <c r="AA60" s="25">
        <f>IF(AA$4=0,0,Z59*Effective!$E$57/12)</f>
        <v/>
      </c>
      <c r="AB60" s="25">
        <f>IF(AB$4=0,0,AA59*Effective!$E$57/12)</f>
        <v/>
      </c>
      <c r="AC60" s="25">
        <f>IF(AC$4=0,0,AB59*Effective!$E$57/12)</f>
        <v/>
      </c>
      <c r="AD60" s="25">
        <f>IF(AD$4=0,0,AC59*Effective!$E$57/12)</f>
        <v/>
      </c>
      <c r="AE60" s="25">
        <f>IF(AE$4=0,0,AD59*Effective!$E$57/12)</f>
        <v/>
      </c>
      <c r="AF60" s="25">
        <f>IF(AF$4=0,0,AE59*Effective!$E$57/12)</f>
        <v/>
      </c>
      <c r="AG60" s="25">
        <f>IF(AG$4=0,0,AF59*Effective!$E$57/12)</f>
        <v/>
      </c>
      <c r="AH60" s="25">
        <f>IF(AH$4=0,0,AG59*Effective!$E$57/12)</f>
        <v/>
      </c>
      <c r="AI60" s="25">
        <f>IF(AI$4=0,0,AH59*Effective!$E$57/12)</f>
        <v/>
      </c>
      <c r="AJ60" s="25">
        <f>IF(AJ$4=0,0,AI59*Effective!$E$57/12)</f>
        <v/>
      </c>
      <c r="AK60" s="25">
        <f>IF(AK$4=0,0,AJ59*Effective!$E$57/12)</f>
        <v/>
      </c>
      <c r="AL60" s="25">
        <f>IF(AL$4=0,0,AK59*Effective!$E$57/12)</f>
        <v/>
      </c>
      <c r="AM60" s="25">
        <f>IF(AM$4=0,0,AL59*Effective!$E$57/12)</f>
        <v/>
      </c>
      <c r="AN60" s="25">
        <f>IF(AN$4=0,0,AM59*Effective!$E$57/12)</f>
        <v/>
      </c>
      <c r="AO60" s="25">
        <f>IF(AO$4=0,0,AN59*Effective!$E$57/12)</f>
        <v/>
      </c>
      <c r="AP60" s="25">
        <f>IF(AP$4=0,0,AO59*Effective!$E$57/12)</f>
        <v/>
      </c>
      <c r="AQ60" s="25">
        <f>IF(AQ$4=0,0,AP59*Effective!$E$57/12)</f>
        <v/>
      </c>
      <c r="AR60" s="25">
        <f>IF(AR$4=0,0,AQ59*Effective!$E$57/12)</f>
        <v/>
      </c>
      <c r="AS60" s="25">
        <f>IF(AS$4=0,0,AR59*Effective!$E$57/12)</f>
        <v/>
      </c>
      <c r="AT60" s="25">
        <f>IF(AT$4=0,0,AS59*Effective!$E$57/12)</f>
        <v/>
      </c>
      <c r="AU60" s="25">
        <f>IF(AU$4=0,0,AT59*Effective!$E$57/12)</f>
        <v/>
      </c>
      <c r="AV60" s="25">
        <f>IF(AV$4=0,0,AU59*Effective!$E$57/12)</f>
        <v/>
      </c>
      <c r="AW60" s="25">
        <f>IF(AW$4=0,0,AV59*Effective!$E$57/12)</f>
        <v/>
      </c>
      <c r="AX60" s="25">
        <f>IF(AX$4=0,0,AW59*Effective!$E$57/12)</f>
        <v/>
      </c>
      <c r="AY60" s="25">
        <f>IF(AY$4=0,0,AX59*Effective!$E$57/12)</f>
        <v/>
      </c>
      <c r="AZ60" s="25">
        <f>IF(AZ$4=0,0,AY59*Effective!$E$57/12)</f>
        <v/>
      </c>
      <c r="BA60" s="25">
        <f>IF(BA$4=0,0,AZ59*Effective!$E$57/12)</f>
        <v/>
      </c>
      <c r="BB60" s="25">
        <f>IF(BB$4=0,0,BA59*Effective!$E$57/12)</f>
        <v/>
      </c>
      <c r="BC60" s="25">
        <f>IF(BC$4=0,0,BB59*Effective!$E$57/12)</f>
        <v/>
      </c>
      <c r="BD60" s="25">
        <f>IF(BD$4=0,0,BC59*Effective!$E$57/12)</f>
        <v/>
      </c>
      <c r="BE60" s="25">
        <f>IF(BE$4=0,0,BD59*Effective!$E$57/12)</f>
        <v/>
      </c>
      <c r="BF60" s="25">
        <f>IF(BF$4=0,0,BE59*Effective!$E$57/12)</f>
        <v/>
      </c>
      <c r="BG60" s="25">
        <f>IF(BG$4=0,0,BF59*Effective!$E$57/12)</f>
        <v/>
      </c>
      <c r="BH60" s="25">
        <f>IF(BH$4=0,0,BG59*Effective!$E$57/12)</f>
        <v/>
      </c>
      <c r="BI60" s="25">
        <f>IF(BI$4=0,0,BH59*Effective!$E$57/12)</f>
        <v/>
      </c>
      <c r="BJ60" s="25">
        <f>IF(BJ$4=0,0,BI59*Effective!$E$57/12)</f>
        <v/>
      </c>
      <c r="BK60" s="25">
        <f>IF(BK$4=0,0,BJ59*Effective!$E$57/12)</f>
        <v/>
      </c>
      <c r="BL60" s="25">
        <f>IF(BL$4=0,0,BK59*Effective!$E$57/12)</f>
        <v/>
      </c>
      <c r="BM60" s="25">
        <f>IF(BM$4=0,0,BL59*Effective!$E$57/12)</f>
        <v/>
      </c>
      <c r="BN60" s="25">
        <f>IF(BN$4=0,0,BM59*Effective!$E$57/12)</f>
        <v/>
      </c>
      <c r="BO60" s="25">
        <f>IF(BO$4=0,0,BN59*Effective!$E$57/12)</f>
        <v/>
      </c>
      <c r="BP60" s="25">
        <f>IF(BP$4=0,0,BO59*Effective!$E$57/12)</f>
        <v/>
      </c>
      <c r="BQ60" s="25">
        <f>IF(BQ$4=0,0,BP59*Effective!$E$57/12)</f>
        <v/>
      </c>
      <c r="BR60" s="25">
        <f>IF(BR$4=0,0,BQ59*Effective!$E$57/12)</f>
        <v/>
      </c>
      <c r="BS60" s="25">
        <f>IF(BS$4=0,0,BR59*Effective!$E$57/12)</f>
        <v/>
      </c>
      <c r="BT60" s="25">
        <f>IF(BT$4=0,0,BS59*Effective!$E$57/12)</f>
        <v/>
      </c>
      <c r="BU60" s="25">
        <f>IF(BU$4=0,0,BT59*Effective!$E$57/12)</f>
        <v/>
      </c>
      <c r="BV60" s="25">
        <f>IF(BV$4=0,0,BU59*Effective!$E$57/12)</f>
        <v/>
      </c>
      <c r="BW60" s="25">
        <f>IF(BW$4=0,0,BV59*Effective!$E$57/12)</f>
        <v/>
      </c>
      <c r="BX60" s="25">
        <f>IF(BX$4=0,0,BW59*Effective!$E$57/12)</f>
        <v/>
      </c>
      <c r="BY60" s="25">
        <f>IF(BY$4=0,0,BX59*Effective!$E$57/12)</f>
        <v/>
      </c>
      <c r="BZ60" s="25">
        <f>IF(BZ$4=0,0,BY59*Effective!$E$57/12)</f>
        <v/>
      </c>
      <c r="CA60" s="25">
        <f>IF(CA$4=0,0,BZ59*Effective!$E$57/12)</f>
        <v/>
      </c>
      <c r="CB60" s="25">
        <f>IF(CB$4=0,0,CA59*Effective!$E$57/12)</f>
        <v/>
      </c>
      <c r="CC60" s="25">
        <f>IF(CC$4=0,0,CB59*Effective!$E$57/12)</f>
        <v/>
      </c>
      <c r="CD60" s="25">
        <f>IF(CD$4=0,0,CC59*Effective!$E$57/12)</f>
        <v/>
      </c>
      <c r="CE60" s="25">
        <f>IF(CE$4=0,0,CD59*Effective!$E$57/12)</f>
        <v/>
      </c>
      <c r="CF60" s="25">
        <f>IF(CF$4=0,0,CE59*Effective!$E$57/12)</f>
        <v/>
      </c>
      <c r="CG60" s="25">
        <f>IF(CG$4=0,0,CF59*Effective!$E$57/12)</f>
        <v/>
      </c>
      <c r="CH60" s="25">
        <f>IF(CH$4=0,0,CG59*Effective!$E$57/12)</f>
        <v/>
      </c>
      <c r="CI60" s="25">
        <f>IF(CI$4=0,0,CH59*Effective!$E$57/12)</f>
        <v/>
      </c>
      <c r="CJ60" s="25">
        <f>IF(CJ$4=0,0,CI59*Effective!$E$57/12)</f>
        <v/>
      </c>
      <c r="CK60" s="25">
        <f>IF(CK$4=0,0,CJ59*Effective!$E$57/12)</f>
        <v/>
      </c>
      <c r="CL60" s="25">
        <f>IF(CL$4=0,0,CK59*Effective!$E$57/12)</f>
        <v/>
      </c>
      <c r="CM60" s="25">
        <f>IF(CM$4=0,0,CL59*Effective!$E$57/12)</f>
        <v/>
      </c>
      <c r="CN60" s="25">
        <f>IF(CN$4=0,0,CM59*Effective!$E$57/12)</f>
        <v/>
      </c>
      <c r="CO60" s="25">
        <f>IF(CO$4=0,0,CN59*Effective!$E$57/12)</f>
        <v/>
      </c>
      <c r="CP60" s="25">
        <f>IF(CP$4=0,0,CO59*Effective!$E$57/12)</f>
        <v/>
      </c>
      <c r="CQ60" s="25">
        <f>IF(CQ$4=0,0,CP59*Effective!$E$57/12)</f>
        <v/>
      </c>
      <c r="CR60" s="25">
        <f>IF(CR$4=0,0,CQ59*Effective!$E$57/12)</f>
        <v/>
      </c>
      <c r="CS60" s="25">
        <f>IF(CS$4=0,0,CR59*Effective!$E$57/12)</f>
        <v/>
      </c>
      <c r="CT60" s="25">
        <f>IF(CT$4=0,0,CS59*Effective!$E$57/12)</f>
        <v/>
      </c>
      <c r="CU60" s="25">
        <f>IF(CU$4=0,0,CT59*Effective!$E$57/12)</f>
        <v/>
      </c>
      <c r="CV60" s="25">
        <f>IF(CV$4=0,0,CU59*Effective!$E$57/12)</f>
        <v/>
      </c>
      <c r="CW60" s="25">
        <f>IF(CW$4=0,0,CV59*Effective!$E$57/12)</f>
        <v/>
      </c>
      <c r="CX60" s="25">
        <f>IF(CX$4=0,0,CW59*Effective!$E$57/12)</f>
        <v/>
      </c>
      <c r="CY60" s="25">
        <f>IF(CY$4=0,0,CX59*Effective!$E$57/12)</f>
        <v/>
      </c>
      <c r="CZ60" s="25">
        <f>IF(CZ$4=0,0,CY59*Effective!$E$57/12)</f>
        <v/>
      </c>
      <c r="DA60" s="25">
        <f>IF(DA$4=0,0,CZ59*Effective!$E$57/12)</f>
        <v/>
      </c>
      <c r="DB60" s="25">
        <f>IF(DB$4=0,0,DA59*Effective!$E$57/12)</f>
        <v/>
      </c>
      <c r="DC60" s="25">
        <f>IF(DC$4=0,0,DB59*Effective!$E$57/12)</f>
        <v/>
      </c>
      <c r="DD60" s="25">
        <f>IF(DD$4=0,0,DC59*Effective!$E$57/12)</f>
        <v/>
      </c>
      <c r="DE60" s="25">
        <f>IF(DE$4=0,0,DD59*Effective!$E$57/12)</f>
        <v/>
      </c>
      <c r="DF60" s="25">
        <f>IF(DF$4=0,0,DE59*Effective!$E$57/12)</f>
        <v/>
      </c>
      <c r="DG60" s="25">
        <f>IF(DG$4=0,0,DF59*Effective!$E$57/12)</f>
        <v/>
      </c>
      <c r="DH60" s="25">
        <f>IF(DH$4=0,0,DG59*Effective!$E$57/12)</f>
        <v/>
      </c>
      <c r="DI60" s="25">
        <f>IF(DI$4=0,0,DH59*Effective!$E$57/12)</f>
        <v/>
      </c>
      <c r="DJ60" s="25">
        <f>IF(DJ$4=0,0,DI59*Effective!$E$57/12)</f>
        <v/>
      </c>
      <c r="DK60" s="25">
        <f>IF(DK$4=0,0,DJ59*Effective!$E$57/12)</f>
        <v/>
      </c>
      <c r="DL60" s="25">
        <f>IF(DL$4=0,0,DK59*Effective!$E$57/12)</f>
        <v/>
      </c>
      <c r="DM60" s="25">
        <f>IF(DM$4=0,0,DL59*Effective!$E$57/12)</f>
        <v/>
      </c>
      <c r="DN60" s="25">
        <f>IF(DN$4=0,0,DM59*Effective!$E$57/12)</f>
        <v/>
      </c>
      <c r="DO60" s="25">
        <f>IF(DO$4=0,0,DN59*Effective!$E$57/12)</f>
        <v/>
      </c>
      <c r="DP60" s="25">
        <f>IF(DP$4=0,0,DO59*Effective!$E$57/12)</f>
        <v/>
      </c>
      <c r="DQ60" s="25">
        <f>IF(DQ$4=0,0,DP59*Effective!$E$57/12)</f>
        <v/>
      </c>
      <c r="DR60" s="25">
        <f>IF(DR$4=0,0,DQ59*Effective!$E$57/12)</f>
        <v/>
      </c>
    </row>
    <row r="61">
      <c r="A61" t="inlineStr">
        <is>
          <t>principal_5</t>
        </is>
      </c>
      <c r="C61" s="25">
        <f>IF(C$4=0,0,IF(Effective!$C$57="term_loan",MIN(Effective!$F$57,Effective!$D$57),0))</f>
        <v/>
      </c>
      <c r="D61" s="25">
        <f>IF(D$4=0,0,IF(Effective!$C$57="term_loan",MIN(Effective!$F$57,C59),0))</f>
        <v/>
      </c>
      <c r="E61" s="25">
        <f>IF(E$4=0,0,IF(Effective!$C$57="term_loan",MIN(Effective!$F$57,D59),0))</f>
        <v/>
      </c>
      <c r="F61" s="25">
        <f>IF(F$4=0,0,IF(Effective!$C$57="term_loan",MIN(Effective!$F$57,E59),0))</f>
        <v/>
      </c>
      <c r="G61" s="25">
        <f>IF(G$4=0,0,IF(Effective!$C$57="term_loan",MIN(Effective!$F$57,F59),0))</f>
        <v/>
      </c>
      <c r="H61" s="25">
        <f>IF(H$4=0,0,IF(Effective!$C$57="term_loan",MIN(Effective!$F$57,G59),0))</f>
        <v/>
      </c>
      <c r="I61" s="25">
        <f>IF(I$4=0,0,IF(Effective!$C$57="term_loan",MIN(Effective!$F$57,H59),0))</f>
        <v/>
      </c>
      <c r="J61" s="25">
        <f>IF(J$4=0,0,IF(Effective!$C$57="term_loan",MIN(Effective!$F$57,I59),0))</f>
        <v/>
      </c>
      <c r="K61" s="25">
        <f>IF(K$4=0,0,IF(Effective!$C$57="term_loan",MIN(Effective!$F$57,J59),0))</f>
        <v/>
      </c>
      <c r="L61" s="25">
        <f>IF(L$4=0,0,IF(Effective!$C$57="term_loan",MIN(Effective!$F$57,K59),0))</f>
        <v/>
      </c>
      <c r="M61" s="25">
        <f>IF(M$4=0,0,IF(Effective!$C$57="term_loan",MIN(Effective!$F$57,L59),0))</f>
        <v/>
      </c>
      <c r="N61" s="25">
        <f>IF(N$4=0,0,IF(Effective!$C$57="term_loan",MIN(Effective!$F$57,M59),0))</f>
        <v/>
      </c>
      <c r="O61" s="25">
        <f>IF(O$4=0,0,IF(Effective!$C$57="term_loan",MIN(Effective!$F$57,N59),0))</f>
        <v/>
      </c>
      <c r="P61" s="25">
        <f>IF(P$4=0,0,IF(Effective!$C$57="term_loan",MIN(Effective!$F$57,O59),0))</f>
        <v/>
      </c>
      <c r="Q61" s="25">
        <f>IF(Q$4=0,0,IF(Effective!$C$57="term_loan",MIN(Effective!$F$57,P59),0))</f>
        <v/>
      </c>
      <c r="R61" s="25">
        <f>IF(R$4=0,0,IF(Effective!$C$57="term_loan",MIN(Effective!$F$57,Q59),0))</f>
        <v/>
      </c>
      <c r="S61" s="25">
        <f>IF(S$4=0,0,IF(Effective!$C$57="term_loan",MIN(Effective!$F$57,R59),0))</f>
        <v/>
      </c>
      <c r="T61" s="25">
        <f>IF(T$4=0,0,IF(Effective!$C$57="term_loan",MIN(Effective!$F$57,S59),0))</f>
        <v/>
      </c>
      <c r="U61" s="25">
        <f>IF(U$4=0,0,IF(Effective!$C$57="term_loan",MIN(Effective!$F$57,T59),0))</f>
        <v/>
      </c>
      <c r="V61" s="25">
        <f>IF(V$4=0,0,IF(Effective!$C$57="term_loan",MIN(Effective!$F$57,U59),0))</f>
        <v/>
      </c>
      <c r="W61" s="25">
        <f>IF(W$4=0,0,IF(Effective!$C$57="term_loan",MIN(Effective!$F$57,V59),0))</f>
        <v/>
      </c>
      <c r="X61" s="25">
        <f>IF(X$4=0,0,IF(Effective!$C$57="term_loan",MIN(Effective!$F$57,W59),0))</f>
        <v/>
      </c>
      <c r="Y61" s="25">
        <f>IF(Y$4=0,0,IF(Effective!$C$57="term_loan",MIN(Effective!$F$57,X59),0))</f>
        <v/>
      </c>
      <c r="Z61" s="25">
        <f>IF(Z$4=0,0,IF(Effective!$C$57="term_loan",MIN(Effective!$F$57,Y59),0))</f>
        <v/>
      </c>
      <c r="AA61" s="25">
        <f>IF(AA$4=0,0,IF(Effective!$C$57="term_loan",MIN(Effective!$F$57,Z59),0))</f>
        <v/>
      </c>
      <c r="AB61" s="25">
        <f>IF(AB$4=0,0,IF(Effective!$C$57="term_loan",MIN(Effective!$F$57,AA59),0))</f>
        <v/>
      </c>
      <c r="AC61" s="25">
        <f>IF(AC$4=0,0,IF(Effective!$C$57="term_loan",MIN(Effective!$F$57,AB59),0))</f>
        <v/>
      </c>
      <c r="AD61" s="25">
        <f>IF(AD$4=0,0,IF(Effective!$C$57="term_loan",MIN(Effective!$F$57,AC59),0))</f>
        <v/>
      </c>
      <c r="AE61" s="25">
        <f>IF(AE$4=0,0,IF(Effective!$C$57="term_loan",MIN(Effective!$F$57,AD59),0))</f>
        <v/>
      </c>
      <c r="AF61" s="25">
        <f>IF(AF$4=0,0,IF(Effective!$C$57="term_loan",MIN(Effective!$F$57,AE59),0))</f>
        <v/>
      </c>
      <c r="AG61" s="25">
        <f>IF(AG$4=0,0,IF(Effective!$C$57="term_loan",MIN(Effective!$F$57,AF59),0))</f>
        <v/>
      </c>
      <c r="AH61" s="25">
        <f>IF(AH$4=0,0,IF(Effective!$C$57="term_loan",MIN(Effective!$F$57,AG59),0))</f>
        <v/>
      </c>
      <c r="AI61" s="25">
        <f>IF(AI$4=0,0,IF(Effective!$C$57="term_loan",MIN(Effective!$F$57,AH59),0))</f>
        <v/>
      </c>
      <c r="AJ61" s="25">
        <f>IF(AJ$4=0,0,IF(Effective!$C$57="term_loan",MIN(Effective!$F$57,AI59),0))</f>
        <v/>
      </c>
      <c r="AK61" s="25">
        <f>IF(AK$4=0,0,IF(Effective!$C$57="term_loan",MIN(Effective!$F$57,AJ59),0))</f>
        <v/>
      </c>
      <c r="AL61" s="25">
        <f>IF(AL$4=0,0,IF(Effective!$C$57="term_loan",MIN(Effective!$F$57,AK59),0))</f>
        <v/>
      </c>
      <c r="AM61" s="25">
        <f>IF(AM$4=0,0,IF(Effective!$C$57="term_loan",MIN(Effective!$F$57,AL59),0))</f>
        <v/>
      </c>
      <c r="AN61" s="25">
        <f>IF(AN$4=0,0,IF(Effective!$C$57="term_loan",MIN(Effective!$F$57,AM59),0))</f>
        <v/>
      </c>
      <c r="AO61" s="25">
        <f>IF(AO$4=0,0,IF(Effective!$C$57="term_loan",MIN(Effective!$F$57,AN59),0))</f>
        <v/>
      </c>
      <c r="AP61" s="25">
        <f>IF(AP$4=0,0,IF(Effective!$C$57="term_loan",MIN(Effective!$F$57,AO59),0))</f>
        <v/>
      </c>
      <c r="AQ61" s="25">
        <f>IF(AQ$4=0,0,IF(Effective!$C$57="term_loan",MIN(Effective!$F$57,AP59),0))</f>
        <v/>
      </c>
      <c r="AR61" s="25">
        <f>IF(AR$4=0,0,IF(Effective!$C$57="term_loan",MIN(Effective!$F$57,AQ59),0))</f>
        <v/>
      </c>
      <c r="AS61" s="25">
        <f>IF(AS$4=0,0,IF(Effective!$C$57="term_loan",MIN(Effective!$F$57,AR59),0))</f>
        <v/>
      </c>
      <c r="AT61" s="25">
        <f>IF(AT$4=0,0,IF(Effective!$C$57="term_loan",MIN(Effective!$F$57,AS59),0))</f>
        <v/>
      </c>
      <c r="AU61" s="25">
        <f>IF(AU$4=0,0,IF(Effective!$C$57="term_loan",MIN(Effective!$F$57,AT59),0))</f>
        <v/>
      </c>
      <c r="AV61" s="25">
        <f>IF(AV$4=0,0,IF(Effective!$C$57="term_loan",MIN(Effective!$F$57,AU59),0))</f>
        <v/>
      </c>
      <c r="AW61" s="25">
        <f>IF(AW$4=0,0,IF(Effective!$C$57="term_loan",MIN(Effective!$F$57,AV59),0))</f>
        <v/>
      </c>
      <c r="AX61" s="25">
        <f>IF(AX$4=0,0,IF(Effective!$C$57="term_loan",MIN(Effective!$F$57,AW59),0))</f>
        <v/>
      </c>
      <c r="AY61" s="25">
        <f>IF(AY$4=0,0,IF(Effective!$C$57="term_loan",MIN(Effective!$F$57,AX59),0))</f>
        <v/>
      </c>
      <c r="AZ61" s="25">
        <f>IF(AZ$4=0,0,IF(Effective!$C$57="term_loan",MIN(Effective!$F$57,AY59),0))</f>
        <v/>
      </c>
      <c r="BA61" s="25">
        <f>IF(BA$4=0,0,IF(Effective!$C$57="term_loan",MIN(Effective!$F$57,AZ59),0))</f>
        <v/>
      </c>
      <c r="BB61" s="25">
        <f>IF(BB$4=0,0,IF(Effective!$C$57="term_loan",MIN(Effective!$F$57,BA59),0))</f>
        <v/>
      </c>
      <c r="BC61" s="25">
        <f>IF(BC$4=0,0,IF(Effective!$C$57="term_loan",MIN(Effective!$F$57,BB59),0))</f>
        <v/>
      </c>
      <c r="BD61" s="25">
        <f>IF(BD$4=0,0,IF(Effective!$C$57="term_loan",MIN(Effective!$F$57,BC59),0))</f>
        <v/>
      </c>
      <c r="BE61" s="25">
        <f>IF(BE$4=0,0,IF(Effective!$C$57="term_loan",MIN(Effective!$F$57,BD59),0))</f>
        <v/>
      </c>
      <c r="BF61" s="25">
        <f>IF(BF$4=0,0,IF(Effective!$C$57="term_loan",MIN(Effective!$F$57,BE59),0))</f>
        <v/>
      </c>
      <c r="BG61" s="25">
        <f>IF(BG$4=0,0,IF(Effective!$C$57="term_loan",MIN(Effective!$F$57,BF59),0))</f>
        <v/>
      </c>
      <c r="BH61" s="25">
        <f>IF(BH$4=0,0,IF(Effective!$C$57="term_loan",MIN(Effective!$F$57,BG59),0))</f>
        <v/>
      </c>
      <c r="BI61" s="25">
        <f>IF(BI$4=0,0,IF(Effective!$C$57="term_loan",MIN(Effective!$F$57,BH59),0))</f>
        <v/>
      </c>
      <c r="BJ61" s="25">
        <f>IF(BJ$4=0,0,IF(Effective!$C$57="term_loan",MIN(Effective!$F$57,BI59),0))</f>
        <v/>
      </c>
      <c r="BK61" s="25">
        <f>IF(BK$4=0,0,IF(Effective!$C$57="term_loan",MIN(Effective!$F$57,BJ59),0))</f>
        <v/>
      </c>
      <c r="BL61" s="25">
        <f>IF(BL$4=0,0,IF(Effective!$C$57="term_loan",MIN(Effective!$F$57,BK59),0))</f>
        <v/>
      </c>
      <c r="BM61" s="25">
        <f>IF(BM$4=0,0,IF(Effective!$C$57="term_loan",MIN(Effective!$F$57,BL59),0))</f>
        <v/>
      </c>
      <c r="BN61" s="25">
        <f>IF(BN$4=0,0,IF(Effective!$C$57="term_loan",MIN(Effective!$F$57,BM59),0))</f>
        <v/>
      </c>
      <c r="BO61" s="25">
        <f>IF(BO$4=0,0,IF(Effective!$C$57="term_loan",MIN(Effective!$F$57,BN59),0))</f>
        <v/>
      </c>
      <c r="BP61" s="25">
        <f>IF(BP$4=0,0,IF(Effective!$C$57="term_loan",MIN(Effective!$F$57,BO59),0))</f>
        <v/>
      </c>
      <c r="BQ61" s="25">
        <f>IF(BQ$4=0,0,IF(Effective!$C$57="term_loan",MIN(Effective!$F$57,BP59),0))</f>
        <v/>
      </c>
      <c r="BR61" s="25">
        <f>IF(BR$4=0,0,IF(Effective!$C$57="term_loan",MIN(Effective!$F$57,BQ59),0))</f>
        <v/>
      </c>
      <c r="BS61" s="25">
        <f>IF(BS$4=0,0,IF(Effective!$C$57="term_loan",MIN(Effective!$F$57,BR59),0))</f>
        <v/>
      </c>
      <c r="BT61" s="25">
        <f>IF(BT$4=0,0,IF(Effective!$C$57="term_loan",MIN(Effective!$F$57,BS59),0))</f>
        <v/>
      </c>
      <c r="BU61" s="25">
        <f>IF(BU$4=0,0,IF(Effective!$C$57="term_loan",MIN(Effective!$F$57,BT59),0))</f>
        <v/>
      </c>
      <c r="BV61" s="25">
        <f>IF(BV$4=0,0,IF(Effective!$C$57="term_loan",MIN(Effective!$F$57,BU59),0))</f>
        <v/>
      </c>
      <c r="BW61" s="25">
        <f>IF(BW$4=0,0,IF(Effective!$C$57="term_loan",MIN(Effective!$F$57,BV59),0))</f>
        <v/>
      </c>
      <c r="BX61" s="25">
        <f>IF(BX$4=0,0,IF(Effective!$C$57="term_loan",MIN(Effective!$F$57,BW59),0))</f>
        <v/>
      </c>
      <c r="BY61" s="25">
        <f>IF(BY$4=0,0,IF(Effective!$C$57="term_loan",MIN(Effective!$F$57,BX59),0))</f>
        <v/>
      </c>
      <c r="BZ61" s="25">
        <f>IF(BZ$4=0,0,IF(Effective!$C$57="term_loan",MIN(Effective!$F$57,BY59),0))</f>
        <v/>
      </c>
      <c r="CA61" s="25">
        <f>IF(CA$4=0,0,IF(Effective!$C$57="term_loan",MIN(Effective!$F$57,BZ59),0))</f>
        <v/>
      </c>
      <c r="CB61" s="25">
        <f>IF(CB$4=0,0,IF(Effective!$C$57="term_loan",MIN(Effective!$F$57,CA59),0))</f>
        <v/>
      </c>
      <c r="CC61" s="25">
        <f>IF(CC$4=0,0,IF(Effective!$C$57="term_loan",MIN(Effective!$F$57,CB59),0))</f>
        <v/>
      </c>
      <c r="CD61" s="25">
        <f>IF(CD$4=0,0,IF(Effective!$C$57="term_loan",MIN(Effective!$F$57,CC59),0))</f>
        <v/>
      </c>
      <c r="CE61" s="25">
        <f>IF(CE$4=0,0,IF(Effective!$C$57="term_loan",MIN(Effective!$F$57,CD59),0))</f>
        <v/>
      </c>
      <c r="CF61" s="25">
        <f>IF(CF$4=0,0,IF(Effective!$C$57="term_loan",MIN(Effective!$F$57,CE59),0))</f>
        <v/>
      </c>
      <c r="CG61" s="25">
        <f>IF(CG$4=0,0,IF(Effective!$C$57="term_loan",MIN(Effective!$F$57,CF59),0))</f>
        <v/>
      </c>
      <c r="CH61" s="25">
        <f>IF(CH$4=0,0,IF(Effective!$C$57="term_loan",MIN(Effective!$F$57,CG59),0))</f>
        <v/>
      </c>
      <c r="CI61" s="25">
        <f>IF(CI$4=0,0,IF(Effective!$C$57="term_loan",MIN(Effective!$F$57,CH59),0))</f>
        <v/>
      </c>
      <c r="CJ61" s="25">
        <f>IF(CJ$4=0,0,IF(Effective!$C$57="term_loan",MIN(Effective!$F$57,CI59),0))</f>
        <v/>
      </c>
      <c r="CK61" s="25">
        <f>IF(CK$4=0,0,IF(Effective!$C$57="term_loan",MIN(Effective!$F$57,CJ59),0))</f>
        <v/>
      </c>
      <c r="CL61" s="25">
        <f>IF(CL$4=0,0,IF(Effective!$C$57="term_loan",MIN(Effective!$F$57,CK59),0))</f>
        <v/>
      </c>
      <c r="CM61" s="25">
        <f>IF(CM$4=0,0,IF(Effective!$C$57="term_loan",MIN(Effective!$F$57,CL59),0))</f>
        <v/>
      </c>
      <c r="CN61" s="25">
        <f>IF(CN$4=0,0,IF(Effective!$C$57="term_loan",MIN(Effective!$F$57,CM59),0))</f>
        <v/>
      </c>
      <c r="CO61" s="25">
        <f>IF(CO$4=0,0,IF(Effective!$C$57="term_loan",MIN(Effective!$F$57,CN59),0))</f>
        <v/>
      </c>
      <c r="CP61" s="25">
        <f>IF(CP$4=0,0,IF(Effective!$C$57="term_loan",MIN(Effective!$F$57,CO59),0))</f>
        <v/>
      </c>
      <c r="CQ61" s="25">
        <f>IF(CQ$4=0,0,IF(Effective!$C$57="term_loan",MIN(Effective!$F$57,CP59),0))</f>
        <v/>
      </c>
      <c r="CR61" s="25">
        <f>IF(CR$4=0,0,IF(Effective!$C$57="term_loan",MIN(Effective!$F$57,CQ59),0))</f>
        <v/>
      </c>
      <c r="CS61" s="25">
        <f>IF(CS$4=0,0,IF(Effective!$C$57="term_loan",MIN(Effective!$F$57,CR59),0))</f>
        <v/>
      </c>
      <c r="CT61" s="25">
        <f>IF(CT$4=0,0,IF(Effective!$C$57="term_loan",MIN(Effective!$F$57,CS59),0))</f>
        <v/>
      </c>
      <c r="CU61" s="25">
        <f>IF(CU$4=0,0,IF(Effective!$C$57="term_loan",MIN(Effective!$F$57,CT59),0))</f>
        <v/>
      </c>
      <c r="CV61" s="25">
        <f>IF(CV$4=0,0,IF(Effective!$C$57="term_loan",MIN(Effective!$F$57,CU59),0))</f>
        <v/>
      </c>
      <c r="CW61" s="25">
        <f>IF(CW$4=0,0,IF(Effective!$C$57="term_loan",MIN(Effective!$F$57,CV59),0))</f>
        <v/>
      </c>
      <c r="CX61" s="25">
        <f>IF(CX$4=0,0,IF(Effective!$C$57="term_loan",MIN(Effective!$F$57,CW59),0))</f>
        <v/>
      </c>
      <c r="CY61" s="25">
        <f>IF(CY$4=0,0,IF(Effective!$C$57="term_loan",MIN(Effective!$F$57,CX59),0))</f>
        <v/>
      </c>
      <c r="CZ61" s="25">
        <f>IF(CZ$4=0,0,IF(Effective!$C$57="term_loan",MIN(Effective!$F$57,CY59),0))</f>
        <v/>
      </c>
      <c r="DA61" s="25">
        <f>IF(DA$4=0,0,IF(Effective!$C$57="term_loan",MIN(Effective!$F$57,CZ59),0))</f>
        <v/>
      </c>
      <c r="DB61" s="25">
        <f>IF(DB$4=0,0,IF(Effective!$C$57="term_loan",MIN(Effective!$F$57,DA59),0))</f>
        <v/>
      </c>
      <c r="DC61" s="25">
        <f>IF(DC$4=0,0,IF(Effective!$C$57="term_loan",MIN(Effective!$F$57,DB59),0))</f>
        <v/>
      </c>
      <c r="DD61" s="25">
        <f>IF(DD$4=0,0,IF(Effective!$C$57="term_loan",MIN(Effective!$F$57,DC59),0))</f>
        <v/>
      </c>
      <c r="DE61" s="25">
        <f>IF(DE$4=0,0,IF(Effective!$C$57="term_loan",MIN(Effective!$F$57,DD59),0))</f>
        <v/>
      </c>
      <c r="DF61" s="25">
        <f>IF(DF$4=0,0,IF(Effective!$C$57="term_loan",MIN(Effective!$F$57,DE59),0))</f>
        <v/>
      </c>
      <c r="DG61" s="25">
        <f>IF(DG$4=0,0,IF(Effective!$C$57="term_loan",MIN(Effective!$F$57,DF59),0))</f>
        <v/>
      </c>
      <c r="DH61" s="25">
        <f>IF(DH$4=0,0,IF(Effective!$C$57="term_loan",MIN(Effective!$F$57,DG59),0))</f>
        <v/>
      </c>
      <c r="DI61" s="25">
        <f>IF(DI$4=0,0,IF(Effective!$C$57="term_loan",MIN(Effective!$F$57,DH59),0))</f>
        <v/>
      </c>
      <c r="DJ61" s="25">
        <f>IF(DJ$4=0,0,IF(Effective!$C$57="term_loan",MIN(Effective!$F$57,DI59),0))</f>
        <v/>
      </c>
      <c r="DK61" s="25">
        <f>IF(DK$4=0,0,IF(Effective!$C$57="term_loan",MIN(Effective!$F$57,DJ59),0))</f>
        <v/>
      </c>
      <c r="DL61" s="25">
        <f>IF(DL$4=0,0,IF(Effective!$C$57="term_loan",MIN(Effective!$F$57,DK59),0))</f>
        <v/>
      </c>
      <c r="DM61" s="25">
        <f>IF(DM$4=0,0,IF(Effective!$C$57="term_loan",MIN(Effective!$F$57,DL59),0))</f>
        <v/>
      </c>
      <c r="DN61" s="25">
        <f>IF(DN$4=0,0,IF(Effective!$C$57="term_loan",MIN(Effective!$F$57,DM59),0))</f>
        <v/>
      </c>
      <c r="DO61" s="25">
        <f>IF(DO$4=0,0,IF(Effective!$C$57="term_loan",MIN(Effective!$F$57,DN59),0))</f>
        <v/>
      </c>
      <c r="DP61" s="25">
        <f>IF(DP$4=0,0,IF(Effective!$C$57="term_loan",MIN(Effective!$F$57,DO59),0))</f>
        <v/>
      </c>
      <c r="DQ61" s="25">
        <f>IF(DQ$4=0,0,IF(Effective!$C$57="term_loan",MIN(Effective!$F$57,DP59),0))</f>
        <v/>
      </c>
      <c r="DR61" s="25">
        <f>IF(DR$4=0,0,IF(Effective!$C$57="term_loan",MIN(Effective!$F$57,DQ59),0))</f>
        <v/>
      </c>
    </row>
    <row r="62">
      <c r="A62" t="inlineStr">
        <is>
          <t>interest</t>
        </is>
      </c>
      <c r="C62" s="25">
        <f>C48+C51+C54+C57+C60</f>
        <v/>
      </c>
      <c r="D62" s="25">
        <f>D48+D51+D54+D57+D60</f>
        <v/>
      </c>
      <c r="E62" s="25">
        <f>E48+E51+E54+E57+E60</f>
        <v/>
      </c>
      <c r="F62" s="25">
        <f>F48+F51+F54+F57+F60</f>
        <v/>
      </c>
      <c r="G62" s="25">
        <f>G48+G51+G54+G57+G60</f>
        <v/>
      </c>
      <c r="H62" s="25">
        <f>H48+H51+H54+H57+H60</f>
        <v/>
      </c>
      <c r="I62" s="25">
        <f>I48+I51+I54+I57+I60</f>
        <v/>
      </c>
      <c r="J62" s="25">
        <f>J48+J51+J54+J57+J60</f>
        <v/>
      </c>
      <c r="K62" s="25">
        <f>K48+K51+K54+K57+K60</f>
        <v/>
      </c>
      <c r="L62" s="25">
        <f>L48+L51+L54+L57+L60</f>
        <v/>
      </c>
      <c r="M62" s="25">
        <f>M48+M51+M54+M57+M60</f>
        <v/>
      </c>
      <c r="N62" s="25">
        <f>N48+N51+N54+N57+N60</f>
        <v/>
      </c>
      <c r="O62" s="25">
        <f>O48+O51+O54+O57+O60</f>
        <v/>
      </c>
      <c r="P62" s="25">
        <f>P48+P51+P54+P57+P60</f>
        <v/>
      </c>
      <c r="Q62" s="25">
        <f>Q48+Q51+Q54+Q57+Q60</f>
        <v/>
      </c>
      <c r="R62" s="25">
        <f>R48+R51+R54+R57+R60</f>
        <v/>
      </c>
      <c r="S62" s="25">
        <f>S48+S51+S54+S57+S60</f>
        <v/>
      </c>
      <c r="T62" s="25">
        <f>T48+T51+T54+T57+T60</f>
        <v/>
      </c>
      <c r="U62" s="25">
        <f>U48+U51+U54+U57+U60</f>
        <v/>
      </c>
      <c r="V62" s="25">
        <f>V48+V51+V54+V57+V60</f>
        <v/>
      </c>
      <c r="W62" s="25">
        <f>W48+W51+W54+W57+W60</f>
        <v/>
      </c>
      <c r="X62" s="25">
        <f>X48+X51+X54+X57+X60</f>
        <v/>
      </c>
      <c r="Y62" s="25">
        <f>Y48+Y51+Y54+Y57+Y60</f>
        <v/>
      </c>
      <c r="Z62" s="25">
        <f>Z48+Z51+Z54+Z57+Z60</f>
        <v/>
      </c>
      <c r="AA62" s="25">
        <f>AA48+AA51+AA54+AA57+AA60</f>
        <v/>
      </c>
      <c r="AB62" s="25">
        <f>AB48+AB51+AB54+AB57+AB60</f>
        <v/>
      </c>
      <c r="AC62" s="25">
        <f>AC48+AC51+AC54+AC57+AC60</f>
        <v/>
      </c>
      <c r="AD62" s="25">
        <f>AD48+AD51+AD54+AD57+AD60</f>
        <v/>
      </c>
      <c r="AE62" s="25">
        <f>AE48+AE51+AE54+AE57+AE60</f>
        <v/>
      </c>
      <c r="AF62" s="25">
        <f>AF48+AF51+AF54+AF57+AF60</f>
        <v/>
      </c>
      <c r="AG62" s="25">
        <f>AG48+AG51+AG54+AG57+AG60</f>
        <v/>
      </c>
      <c r="AH62" s="25">
        <f>AH48+AH51+AH54+AH57+AH60</f>
        <v/>
      </c>
      <c r="AI62" s="25">
        <f>AI48+AI51+AI54+AI57+AI60</f>
        <v/>
      </c>
      <c r="AJ62" s="25">
        <f>AJ48+AJ51+AJ54+AJ57+AJ60</f>
        <v/>
      </c>
      <c r="AK62" s="25">
        <f>AK48+AK51+AK54+AK57+AK60</f>
        <v/>
      </c>
      <c r="AL62" s="25">
        <f>AL48+AL51+AL54+AL57+AL60</f>
        <v/>
      </c>
      <c r="AM62" s="25">
        <f>AM48+AM51+AM54+AM57+AM60</f>
        <v/>
      </c>
      <c r="AN62" s="25">
        <f>AN48+AN51+AN54+AN57+AN60</f>
        <v/>
      </c>
      <c r="AO62" s="25">
        <f>AO48+AO51+AO54+AO57+AO60</f>
        <v/>
      </c>
      <c r="AP62" s="25">
        <f>AP48+AP51+AP54+AP57+AP60</f>
        <v/>
      </c>
      <c r="AQ62" s="25">
        <f>AQ48+AQ51+AQ54+AQ57+AQ60</f>
        <v/>
      </c>
      <c r="AR62" s="25">
        <f>AR48+AR51+AR54+AR57+AR60</f>
        <v/>
      </c>
      <c r="AS62" s="25">
        <f>AS48+AS51+AS54+AS57+AS60</f>
        <v/>
      </c>
      <c r="AT62" s="25">
        <f>AT48+AT51+AT54+AT57+AT60</f>
        <v/>
      </c>
      <c r="AU62" s="25">
        <f>AU48+AU51+AU54+AU57+AU60</f>
        <v/>
      </c>
      <c r="AV62" s="25">
        <f>AV48+AV51+AV54+AV57+AV60</f>
        <v/>
      </c>
      <c r="AW62" s="25">
        <f>AW48+AW51+AW54+AW57+AW60</f>
        <v/>
      </c>
      <c r="AX62" s="25">
        <f>AX48+AX51+AX54+AX57+AX60</f>
        <v/>
      </c>
      <c r="AY62" s="25">
        <f>AY48+AY51+AY54+AY57+AY60</f>
        <v/>
      </c>
      <c r="AZ62" s="25">
        <f>AZ48+AZ51+AZ54+AZ57+AZ60</f>
        <v/>
      </c>
      <c r="BA62" s="25">
        <f>BA48+BA51+BA54+BA57+BA60</f>
        <v/>
      </c>
      <c r="BB62" s="25">
        <f>BB48+BB51+BB54+BB57+BB60</f>
        <v/>
      </c>
      <c r="BC62" s="25">
        <f>BC48+BC51+BC54+BC57+BC60</f>
        <v/>
      </c>
      <c r="BD62" s="25">
        <f>BD48+BD51+BD54+BD57+BD60</f>
        <v/>
      </c>
      <c r="BE62" s="25">
        <f>BE48+BE51+BE54+BE57+BE60</f>
        <v/>
      </c>
      <c r="BF62" s="25">
        <f>BF48+BF51+BF54+BF57+BF60</f>
        <v/>
      </c>
      <c r="BG62" s="25">
        <f>BG48+BG51+BG54+BG57+BG60</f>
        <v/>
      </c>
      <c r="BH62" s="25">
        <f>BH48+BH51+BH54+BH57+BH60</f>
        <v/>
      </c>
      <c r="BI62" s="25">
        <f>BI48+BI51+BI54+BI57+BI60</f>
        <v/>
      </c>
      <c r="BJ62" s="25">
        <f>BJ48+BJ51+BJ54+BJ57+BJ60</f>
        <v/>
      </c>
      <c r="BK62" s="25">
        <f>BK48+BK51+BK54+BK57+BK60</f>
        <v/>
      </c>
      <c r="BL62" s="25">
        <f>BL48+BL51+BL54+BL57+BL60</f>
        <v/>
      </c>
      <c r="BM62" s="25">
        <f>BM48+BM51+BM54+BM57+BM60</f>
        <v/>
      </c>
      <c r="BN62" s="25">
        <f>BN48+BN51+BN54+BN57+BN60</f>
        <v/>
      </c>
      <c r="BO62" s="25">
        <f>BO48+BO51+BO54+BO57+BO60</f>
        <v/>
      </c>
      <c r="BP62" s="25">
        <f>BP48+BP51+BP54+BP57+BP60</f>
        <v/>
      </c>
      <c r="BQ62" s="25">
        <f>BQ48+BQ51+BQ54+BQ57+BQ60</f>
        <v/>
      </c>
      <c r="BR62" s="25">
        <f>BR48+BR51+BR54+BR57+BR60</f>
        <v/>
      </c>
      <c r="BS62" s="25">
        <f>BS48+BS51+BS54+BS57+BS60</f>
        <v/>
      </c>
      <c r="BT62" s="25">
        <f>BT48+BT51+BT54+BT57+BT60</f>
        <v/>
      </c>
      <c r="BU62" s="25">
        <f>BU48+BU51+BU54+BU57+BU60</f>
        <v/>
      </c>
      <c r="BV62" s="25">
        <f>BV48+BV51+BV54+BV57+BV60</f>
        <v/>
      </c>
      <c r="BW62" s="25">
        <f>BW48+BW51+BW54+BW57+BW60</f>
        <v/>
      </c>
      <c r="BX62" s="25">
        <f>BX48+BX51+BX54+BX57+BX60</f>
        <v/>
      </c>
      <c r="BY62" s="25">
        <f>BY48+BY51+BY54+BY57+BY60</f>
        <v/>
      </c>
      <c r="BZ62" s="25">
        <f>BZ48+BZ51+BZ54+BZ57+BZ60</f>
        <v/>
      </c>
      <c r="CA62" s="25">
        <f>CA48+CA51+CA54+CA57+CA60</f>
        <v/>
      </c>
      <c r="CB62" s="25">
        <f>CB48+CB51+CB54+CB57+CB60</f>
        <v/>
      </c>
      <c r="CC62" s="25">
        <f>CC48+CC51+CC54+CC57+CC60</f>
        <v/>
      </c>
      <c r="CD62" s="25">
        <f>CD48+CD51+CD54+CD57+CD60</f>
        <v/>
      </c>
      <c r="CE62" s="25">
        <f>CE48+CE51+CE54+CE57+CE60</f>
        <v/>
      </c>
      <c r="CF62" s="25">
        <f>CF48+CF51+CF54+CF57+CF60</f>
        <v/>
      </c>
      <c r="CG62" s="25">
        <f>CG48+CG51+CG54+CG57+CG60</f>
        <v/>
      </c>
      <c r="CH62" s="25">
        <f>CH48+CH51+CH54+CH57+CH60</f>
        <v/>
      </c>
      <c r="CI62" s="25">
        <f>CI48+CI51+CI54+CI57+CI60</f>
        <v/>
      </c>
      <c r="CJ62" s="25">
        <f>CJ48+CJ51+CJ54+CJ57+CJ60</f>
        <v/>
      </c>
      <c r="CK62" s="25">
        <f>CK48+CK51+CK54+CK57+CK60</f>
        <v/>
      </c>
      <c r="CL62" s="25">
        <f>CL48+CL51+CL54+CL57+CL60</f>
        <v/>
      </c>
      <c r="CM62" s="25">
        <f>CM48+CM51+CM54+CM57+CM60</f>
        <v/>
      </c>
      <c r="CN62" s="25">
        <f>CN48+CN51+CN54+CN57+CN60</f>
        <v/>
      </c>
      <c r="CO62" s="25">
        <f>CO48+CO51+CO54+CO57+CO60</f>
        <v/>
      </c>
      <c r="CP62" s="25">
        <f>CP48+CP51+CP54+CP57+CP60</f>
        <v/>
      </c>
      <c r="CQ62" s="25">
        <f>CQ48+CQ51+CQ54+CQ57+CQ60</f>
        <v/>
      </c>
      <c r="CR62" s="25">
        <f>CR48+CR51+CR54+CR57+CR60</f>
        <v/>
      </c>
      <c r="CS62" s="25">
        <f>CS48+CS51+CS54+CS57+CS60</f>
        <v/>
      </c>
      <c r="CT62" s="25">
        <f>CT48+CT51+CT54+CT57+CT60</f>
        <v/>
      </c>
      <c r="CU62" s="25">
        <f>CU48+CU51+CU54+CU57+CU60</f>
        <v/>
      </c>
      <c r="CV62" s="25">
        <f>CV48+CV51+CV54+CV57+CV60</f>
        <v/>
      </c>
      <c r="CW62" s="25">
        <f>CW48+CW51+CW54+CW57+CW60</f>
        <v/>
      </c>
      <c r="CX62" s="25">
        <f>CX48+CX51+CX54+CX57+CX60</f>
        <v/>
      </c>
      <c r="CY62" s="25">
        <f>CY48+CY51+CY54+CY57+CY60</f>
        <v/>
      </c>
      <c r="CZ62" s="25">
        <f>CZ48+CZ51+CZ54+CZ57+CZ60</f>
        <v/>
      </c>
      <c r="DA62" s="25">
        <f>DA48+DA51+DA54+DA57+DA60</f>
        <v/>
      </c>
      <c r="DB62" s="25">
        <f>DB48+DB51+DB54+DB57+DB60</f>
        <v/>
      </c>
      <c r="DC62" s="25">
        <f>DC48+DC51+DC54+DC57+DC60</f>
        <v/>
      </c>
      <c r="DD62" s="25">
        <f>DD48+DD51+DD54+DD57+DD60</f>
        <v/>
      </c>
      <c r="DE62" s="25">
        <f>DE48+DE51+DE54+DE57+DE60</f>
        <v/>
      </c>
      <c r="DF62" s="25">
        <f>DF48+DF51+DF54+DF57+DF60</f>
        <v/>
      </c>
      <c r="DG62" s="25">
        <f>DG48+DG51+DG54+DG57+DG60</f>
        <v/>
      </c>
      <c r="DH62" s="25">
        <f>DH48+DH51+DH54+DH57+DH60</f>
        <v/>
      </c>
      <c r="DI62" s="25">
        <f>DI48+DI51+DI54+DI57+DI60</f>
        <v/>
      </c>
      <c r="DJ62" s="25">
        <f>DJ48+DJ51+DJ54+DJ57+DJ60</f>
        <v/>
      </c>
      <c r="DK62" s="25">
        <f>DK48+DK51+DK54+DK57+DK60</f>
        <v/>
      </c>
      <c r="DL62" s="25">
        <f>DL48+DL51+DL54+DL57+DL60</f>
        <v/>
      </c>
      <c r="DM62" s="25">
        <f>DM48+DM51+DM54+DM57+DM60</f>
        <v/>
      </c>
      <c r="DN62" s="25">
        <f>DN48+DN51+DN54+DN57+DN60</f>
        <v/>
      </c>
      <c r="DO62" s="25">
        <f>DO48+DO51+DO54+DO57+DO60</f>
        <v/>
      </c>
      <c r="DP62" s="25">
        <f>DP48+DP51+DP54+DP57+DP60</f>
        <v/>
      </c>
      <c r="DQ62" s="25">
        <f>DQ48+DQ51+DQ54+DQ57+DQ60</f>
        <v/>
      </c>
      <c r="DR62" s="25">
        <f>DR48+DR51+DR54+DR57+DR60</f>
        <v/>
      </c>
    </row>
    <row r="63">
      <c r="A63" t="inlineStr">
        <is>
          <t>principal</t>
        </is>
      </c>
      <c r="C63" s="25">
        <f>C49+C52+C55+C58+C61</f>
        <v/>
      </c>
      <c r="D63" s="25">
        <f>D49+D52+D55+D58+D61</f>
        <v/>
      </c>
      <c r="E63" s="25">
        <f>E49+E52+E55+E58+E61</f>
        <v/>
      </c>
      <c r="F63" s="25">
        <f>F49+F52+F55+F58+F61</f>
        <v/>
      </c>
      <c r="G63" s="25">
        <f>G49+G52+G55+G58+G61</f>
        <v/>
      </c>
      <c r="H63" s="25">
        <f>H49+H52+H55+H58+H61</f>
        <v/>
      </c>
      <c r="I63" s="25">
        <f>I49+I52+I55+I58+I61</f>
        <v/>
      </c>
      <c r="J63" s="25">
        <f>J49+J52+J55+J58+J61</f>
        <v/>
      </c>
      <c r="K63" s="25">
        <f>K49+K52+K55+K58+K61</f>
        <v/>
      </c>
      <c r="L63" s="25">
        <f>L49+L52+L55+L58+L61</f>
        <v/>
      </c>
      <c r="M63" s="25">
        <f>M49+M52+M55+M58+M61</f>
        <v/>
      </c>
      <c r="N63" s="25">
        <f>N49+N52+N55+N58+N61</f>
        <v/>
      </c>
      <c r="O63" s="25">
        <f>O49+O52+O55+O58+O61</f>
        <v/>
      </c>
      <c r="P63" s="25">
        <f>P49+P52+P55+P58+P61</f>
        <v/>
      </c>
      <c r="Q63" s="25">
        <f>Q49+Q52+Q55+Q58+Q61</f>
        <v/>
      </c>
      <c r="R63" s="25">
        <f>R49+R52+R55+R58+R61</f>
        <v/>
      </c>
      <c r="S63" s="25">
        <f>S49+S52+S55+S58+S61</f>
        <v/>
      </c>
      <c r="T63" s="25">
        <f>T49+T52+T55+T58+T61</f>
        <v/>
      </c>
      <c r="U63" s="25">
        <f>U49+U52+U55+U58+U61</f>
        <v/>
      </c>
      <c r="V63" s="25">
        <f>V49+V52+V55+V58+V61</f>
        <v/>
      </c>
      <c r="W63" s="25">
        <f>W49+W52+W55+W58+W61</f>
        <v/>
      </c>
      <c r="X63" s="25">
        <f>X49+X52+X55+X58+X61</f>
        <v/>
      </c>
      <c r="Y63" s="25">
        <f>Y49+Y52+Y55+Y58+Y61</f>
        <v/>
      </c>
      <c r="Z63" s="25">
        <f>Z49+Z52+Z55+Z58+Z61</f>
        <v/>
      </c>
      <c r="AA63" s="25">
        <f>AA49+AA52+AA55+AA58+AA61</f>
        <v/>
      </c>
      <c r="AB63" s="25">
        <f>AB49+AB52+AB55+AB58+AB61</f>
        <v/>
      </c>
      <c r="AC63" s="25">
        <f>AC49+AC52+AC55+AC58+AC61</f>
        <v/>
      </c>
      <c r="AD63" s="25">
        <f>AD49+AD52+AD55+AD58+AD61</f>
        <v/>
      </c>
      <c r="AE63" s="25">
        <f>AE49+AE52+AE55+AE58+AE61</f>
        <v/>
      </c>
      <c r="AF63" s="25">
        <f>AF49+AF52+AF55+AF58+AF61</f>
        <v/>
      </c>
      <c r="AG63" s="25">
        <f>AG49+AG52+AG55+AG58+AG61</f>
        <v/>
      </c>
      <c r="AH63" s="25">
        <f>AH49+AH52+AH55+AH58+AH61</f>
        <v/>
      </c>
      <c r="AI63" s="25">
        <f>AI49+AI52+AI55+AI58+AI61</f>
        <v/>
      </c>
      <c r="AJ63" s="25">
        <f>AJ49+AJ52+AJ55+AJ58+AJ61</f>
        <v/>
      </c>
      <c r="AK63" s="25">
        <f>AK49+AK52+AK55+AK58+AK61</f>
        <v/>
      </c>
      <c r="AL63" s="25">
        <f>AL49+AL52+AL55+AL58+AL61</f>
        <v/>
      </c>
      <c r="AM63" s="25">
        <f>AM49+AM52+AM55+AM58+AM61</f>
        <v/>
      </c>
      <c r="AN63" s="25">
        <f>AN49+AN52+AN55+AN58+AN61</f>
        <v/>
      </c>
      <c r="AO63" s="25">
        <f>AO49+AO52+AO55+AO58+AO61</f>
        <v/>
      </c>
      <c r="AP63" s="25">
        <f>AP49+AP52+AP55+AP58+AP61</f>
        <v/>
      </c>
      <c r="AQ63" s="25">
        <f>AQ49+AQ52+AQ55+AQ58+AQ61</f>
        <v/>
      </c>
      <c r="AR63" s="25">
        <f>AR49+AR52+AR55+AR58+AR61</f>
        <v/>
      </c>
      <c r="AS63" s="25">
        <f>AS49+AS52+AS55+AS58+AS61</f>
        <v/>
      </c>
      <c r="AT63" s="25">
        <f>AT49+AT52+AT55+AT58+AT61</f>
        <v/>
      </c>
      <c r="AU63" s="25">
        <f>AU49+AU52+AU55+AU58+AU61</f>
        <v/>
      </c>
      <c r="AV63" s="25">
        <f>AV49+AV52+AV55+AV58+AV61</f>
        <v/>
      </c>
      <c r="AW63" s="25">
        <f>AW49+AW52+AW55+AW58+AW61</f>
        <v/>
      </c>
      <c r="AX63" s="25">
        <f>AX49+AX52+AX55+AX58+AX61</f>
        <v/>
      </c>
      <c r="AY63" s="25">
        <f>AY49+AY52+AY55+AY58+AY61</f>
        <v/>
      </c>
      <c r="AZ63" s="25">
        <f>AZ49+AZ52+AZ55+AZ58+AZ61</f>
        <v/>
      </c>
      <c r="BA63" s="25">
        <f>BA49+BA52+BA55+BA58+BA61</f>
        <v/>
      </c>
      <c r="BB63" s="25">
        <f>BB49+BB52+BB55+BB58+BB61</f>
        <v/>
      </c>
      <c r="BC63" s="25">
        <f>BC49+BC52+BC55+BC58+BC61</f>
        <v/>
      </c>
      <c r="BD63" s="25">
        <f>BD49+BD52+BD55+BD58+BD61</f>
        <v/>
      </c>
      <c r="BE63" s="25">
        <f>BE49+BE52+BE55+BE58+BE61</f>
        <v/>
      </c>
      <c r="BF63" s="25">
        <f>BF49+BF52+BF55+BF58+BF61</f>
        <v/>
      </c>
      <c r="BG63" s="25">
        <f>BG49+BG52+BG55+BG58+BG61</f>
        <v/>
      </c>
      <c r="BH63" s="25">
        <f>BH49+BH52+BH55+BH58+BH61</f>
        <v/>
      </c>
      <c r="BI63" s="25">
        <f>BI49+BI52+BI55+BI58+BI61</f>
        <v/>
      </c>
      <c r="BJ63" s="25">
        <f>BJ49+BJ52+BJ55+BJ58+BJ61</f>
        <v/>
      </c>
      <c r="BK63" s="25">
        <f>BK49+BK52+BK55+BK58+BK61</f>
        <v/>
      </c>
      <c r="BL63" s="25">
        <f>BL49+BL52+BL55+BL58+BL61</f>
        <v/>
      </c>
      <c r="BM63" s="25">
        <f>BM49+BM52+BM55+BM58+BM61</f>
        <v/>
      </c>
      <c r="BN63" s="25">
        <f>BN49+BN52+BN55+BN58+BN61</f>
        <v/>
      </c>
      <c r="BO63" s="25">
        <f>BO49+BO52+BO55+BO58+BO61</f>
        <v/>
      </c>
      <c r="BP63" s="25">
        <f>BP49+BP52+BP55+BP58+BP61</f>
        <v/>
      </c>
      <c r="BQ63" s="25">
        <f>BQ49+BQ52+BQ55+BQ58+BQ61</f>
        <v/>
      </c>
      <c r="BR63" s="25">
        <f>BR49+BR52+BR55+BR58+BR61</f>
        <v/>
      </c>
      <c r="BS63" s="25">
        <f>BS49+BS52+BS55+BS58+BS61</f>
        <v/>
      </c>
      <c r="BT63" s="25">
        <f>BT49+BT52+BT55+BT58+BT61</f>
        <v/>
      </c>
      <c r="BU63" s="25">
        <f>BU49+BU52+BU55+BU58+BU61</f>
        <v/>
      </c>
      <c r="BV63" s="25">
        <f>BV49+BV52+BV55+BV58+BV61</f>
        <v/>
      </c>
      <c r="BW63" s="25">
        <f>BW49+BW52+BW55+BW58+BW61</f>
        <v/>
      </c>
      <c r="BX63" s="25">
        <f>BX49+BX52+BX55+BX58+BX61</f>
        <v/>
      </c>
      <c r="BY63" s="25">
        <f>BY49+BY52+BY55+BY58+BY61</f>
        <v/>
      </c>
      <c r="BZ63" s="25">
        <f>BZ49+BZ52+BZ55+BZ58+BZ61</f>
        <v/>
      </c>
      <c r="CA63" s="25">
        <f>CA49+CA52+CA55+CA58+CA61</f>
        <v/>
      </c>
      <c r="CB63" s="25">
        <f>CB49+CB52+CB55+CB58+CB61</f>
        <v/>
      </c>
      <c r="CC63" s="25">
        <f>CC49+CC52+CC55+CC58+CC61</f>
        <v/>
      </c>
      <c r="CD63" s="25">
        <f>CD49+CD52+CD55+CD58+CD61</f>
        <v/>
      </c>
      <c r="CE63" s="25">
        <f>CE49+CE52+CE55+CE58+CE61</f>
        <v/>
      </c>
      <c r="CF63" s="25">
        <f>CF49+CF52+CF55+CF58+CF61</f>
        <v/>
      </c>
      <c r="CG63" s="25">
        <f>CG49+CG52+CG55+CG58+CG61</f>
        <v/>
      </c>
      <c r="CH63" s="25">
        <f>CH49+CH52+CH55+CH58+CH61</f>
        <v/>
      </c>
      <c r="CI63" s="25">
        <f>CI49+CI52+CI55+CI58+CI61</f>
        <v/>
      </c>
      <c r="CJ63" s="25">
        <f>CJ49+CJ52+CJ55+CJ58+CJ61</f>
        <v/>
      </c>
      <c r="CK63" s="25">
        <f>CK49+CK52+CK55+CK58+CK61</f>
        <v/>
      </c>
      <c r="CL63" s="25">
        <f>CL49+CL52+CL55+CL58+CL61</f>
        <v/>
      </c>
      <c r="CM63" s="25">
        <f>CM49+CM52+CM55+CM58+CM61</f>
        <v/>
      </c>
      <c r="CN63" s="25">
        <f>CN49+CN52+CN55+CN58+CN61</f>
        <v/>
      </c>
      <c r="CO63" s="25">
        <f>CO49+CO52+CO55+CO58+CO61</f>
        <v/>
      </c>
      <c r="CP63" s="25">
        <f>CP49+CP52+CP55+CP58+CP61</f>
        <v/>
      </c>
      <c r="CQ63" s="25">
        <f>CQ49+CQ52+CQ55+CQ58+CQ61</f>
        <v/>
      </c>
      <c r="CR63" s="25">
        <f>CR49+CR52+CR55+CR58+CR61</f>
        <v/>
      </c>
      <c r="CS63" s="25">
        <f>CS49+CS52+CS55+CS58+CS61</f>
        <v/>
      </c>
      <c r="CT63" s="25">
        <f>CT49+CT52+CT55+CT58+CT61</f>
        <v/>
      </c>
      <c r="CU63" s="25">
        <f>CU49+CU52+CU55+CU58+CU61</f>
        <v/>
      </c>
      <c r="CV63" s="25">
        <f>CV49+CV52+CV55+CV58+CV61</f>
        <v/>
      </c>
      <c r="CW63" s="25">
        <f>CW49+CW52+CW55+CW58+CW61</f>
        <v/>
      </c>
      <c r="CX63" s="25">
        <f>CX49+CX52+CX55+CX58+CX61</f>
        <v/>
      </c>
      <c r="CY63" s="25">
        <f>CY49+CY52+CY55+CY58+CY61</f>
        <v/>
      </c>
      <c r="CZ63" s="25">
        <f>CZ49+CZ52+CZ55+CZ58+CZ61</f>
        <v/>
      </c>
      <c r="DA63" s="25">
        <f>DA49+DA52+DA55+DA58+DA61</f>
        <v/>
      </c>
      <c r="DB63" s="25">
        <f>DB49+DB52+DB55+DB58+DB61</f>
        <v/>
      </c>
      <c r="DC63" s="25">
        <f>DC49+DC52+DC55+DC58+DC61</f>
        <v/>
      </c>
      <c r="DD63" s="25">
        <f>DD49+DD52+DD55+DD58+DD61</f>
        <v/>
      </c>
      <c r="DE63" s="25">
        <f>DE49+DE52+DE55+DE58+DE61</f>
        <v/>
      </c>
      <c r="DF63" s="25">
        <f>DF49+DF52+DF55+DF58+DF61</f>
        <v/>
      </c>
      <c r="DG63" s="25">
        <f>DG49+DG52+DG55+DG58+DG61</f>
        <v/>
      </c>
      <c r="DH63" s="25">
        <f>DH49+DH52+DH55+DH58+DH61</f>
        <v/>
      </c>
      <c r="DI63" s="25">
        <f>DI49+DI52+DI55+DI58+DI61</f>
        <v/>
      </c>
      <c r="DJ63" s="25">
        <f>DJ49+DJ52+DJ55+DJ58+DJ61</f>
        <v/>
      </c>
      <c r="DK63" s="25">
        <f>DK49+DK52+DK55+DK58+DK61</f>
        <v/>
      </c>
      <c r="DL63" s="25">
        <f>DL49+DL52+DL55+DL58+DL61</f>
        <v/>
      </c>
      <c r="DM63" s="25">
        <f>DM49+DM52+DM55+DM58+DM61</f>
        <v/>
      </c>
      <c r="DN63" s="25">
        <f>DN49+DN52+DN55+DN58+DN61</f>
        <v/>
      </c>
      <c r="DO63" s="25">
        <f>DO49+DO52+DO55+DO58+DO61</f>
        <v/>
      </c>
      <c r="DP63" s="25">
        <f>DP49+DP52+DP55+DP58+DP61</f>
        <v/>
      </c>
      <c r="DQ63" s="25">
        <f>DQ49+DQ52+DQ55+DQ58+DQ61</f>
        <v/>
      </c>
      <c r="DR63" s="25">
        <f>DR49+DR52+DR55+DR58+DR61</f>
        <v/>
      </c>
    </row>
    <row r="64">
      <c r="A64" t="inlineStr">
        <is>
          <t>ending_debt</t>
        </is>
      </c>
      <c r="C64" s="25">
        <f>C47+C50+C53+C56+C59</f>
        <v/>
      </c>
      <c r="D64" s="25">
        <f>D47+D50+D53+D56+D59</f>
        <v/>
      </c>
      <c r="E64" s="25">
        <f>E47+E50+E53+E56+E59</f>
        <v/>
      </c>
      <c r="F64" s="25">
        <f>F47+F50+F53+F56+F59</f>
        <v/>
      </c>
      <c r="G64" s="25">
        <f>G47+G50+G53+G56+G59</f>
        <v/>
      </c>
      <c r="H64" s="25">
        <f>H47+H50+H53+H56+H59</f>
        <v/>
      </c>
      <c r="I64" s="25">
        <f>I47+I50+I53+I56+I59</f>
        <v/>
      </c>
      <c r="J64" s="25">
        <f>J47+J50+J53+J56+J59</f>
        <v/>
      </c>
      <c r="K64" s="25">
        <f>K47+K50+K53+K56+K59</f>
        <v/>
      </c>
      <c r="L64" s="25">
        <f>L47+L50+L53+L56+L59</f>
        <v/>
      </c>
      <c r="M64" s="25">
        <f>M47+M50+M53+M56+M59</f>
        <v/>
      </c>
      <c r="N64" s="25">
        <f>N47+N50+N53+N56+N59</f>
        <v/>
      </c>
      <c r="O64" s="25">
        <f>O47+O50+O53+O56+O59</f>
        <v/>
      </c>
      <c r="P64" s="25">
        <f>P47+P50+P53+P56+P59</f>
        <v/>
      </c>
      <c r="Q64" s="25">
        <f>Q47+Q50+Q53+Q56+Q59</f>
        <v/>
      </c>
      <c r="R64" s="25">
        <f>R47+R50+R53+R56+R59</f>
        <v/>
      </c>
      <c r="S64" s="25">
        <f>S47+S50+S53+S56+S59</f>
        <v/>
      </c>
      <c r="T64" s="25">
        <f>T47+T50+T53+T56+T59</f>
        <v/>
      </c>
      <c r="U64" s="25">
        <f>U47+U50+U53+U56+U59</f>
        <v/>
      </c>
      <c r="V64" s="25">
        <f>V47+V50+V53+V56+V59</f>
        <v/>
      </c>
      <c r="W64" s="25">
        <f>W47+W50+W53+W56+W59</f>
        <v/>
      </c>
      <c r="X64" s="25">
        <f>X47+X50+X53+X56+X59</f>
        <v/>
      </c>
      <c r="Y64" s="25">
        <f>Y47+Y50+Y53+Y56+Y59</f>
        <v/>
      </c>
      <c r="Z64" s="25">
        <f>Z47+Z50+Z53+Z56+Z59</f>
        <v/>
      </c>
      <c r="AA64" s="25">
        <f>AA47+AA50+AA53+AA56+AA59</f>
        <v/>
      </c>
      <c r="AB64" s="25">
        <f>AB47+AB50+AB53+AB56+AB59</f>
        <v/>
      </c>
      <c r="AC64" s="25">
        <f>AC47+AC50+AC53+AC56+AC59</f>
        <v/>
      </c>
      <c r="AD64" s="25">
        <f>AD47+AD50+AD53+AD56+AD59</f>
        <v/>
      </c>
      <c r="AE64" s="25">
        <f>AE47+AE50+AE53+AE56+AE59</f>
        <v/>
      </c>
      <c r="AF64" s="25">
        <f>AF47+AF50+AF53+AF56+AF59</f>
        <v/>
      </c>
      <c r="AG64" s="25">
        <f>AG47+AG50+AG53+AG56+AG59</f>
        <v/>
      </c>
      <c r="AH64" s="25">
        <f>AH47+AH50+AH53+AH56+AH59</f>
        <v/>
      </c>
      <c r="AI64" s="25">
        <f>AI47+AI50+AI53+AI56+AI59</f>
        <v/>
      </c>
      <c r="AJ64" s="25">
        <f>AJ47+AJ50+AJ53+AJ56+AJ59</f>
        <v/>
      </c>
      <c r="AK64" s="25">
        <f>AK47+AK50+AK53+AK56+AK59</f>
        <v/>
      </c>
      <c r="AL64" s="25">
        <f>AL47+AL50+AL53+AL56+AL59</f>
        <v/>
      </c>
      <c r="AM64" s="25">
        <f>AM47+AM50+AM53+AM56+AM59</f>
        <v/>
      </c>
      <c r="AN64" s="25">
        <f>AN47+AN50+AN53+AN56+AN59</f>
        <v/>
      </c>
      <c r="AO64" s="25">
        <f>AO47+AO50+AO53+AO56+AO59</f>
        <v/>
      </c>
      <c r="AP64" s="25">
        <f>AP47+AP50+AP53+AP56+AP59</f>
        <v/>
      </c>
      <c r="AQ64" s="25">
        <f>AQ47+AQ50+AQ53+AQ56+AQ59</f>
        <v/>
      </c>
      <c r="AR64" s="25">
        <f>AR47+AR50+AR53+AR56+AR59</f>
        <v/>
      </c>
      <c r="AS64" s="25">
        <f>AS47+AS50+AS53+AS56+AS59</f>
        <v/>
      </c>
      <c r="AT64" s="25">
        <f>AT47+AT50+AT53+AT56+AT59</f>
        <v/>
      </c>
      <c r="AU64" s="25">
        <f>AU47+AU50+AU53+AU56+AU59</f>
        <v/>
      </c>
      <c r="AV64" s="25">
        <f>AV47+AV50+AV53+AV56+AV59</f>
        <v/>
      </c>
      <c r="AW64" s="25">
        <f>AW47+AW50+AW53+AW56+AW59</f>
        <v/>
      </c>
      <c r="AX64" s="25">
        <f>AX47+AX50+AX53+AX56+AX59</f>
        <v/>
      </c>
      <c r="AY64" s="25">
        <f>AY47+AY50+AY53+AY56+AY59</f>
        <v/>
      </c>
      <c r="AZ64" s="25">
        <f>AZ47+AZ50+AZ53+AZ56+AZ59</f>
        <v/>
      </c>
      <c r="BA64" s="25">
        <f>BA47+BA50+BA53+BA56+BA59</f>
        <v/>
      </c>
      <c r="BB64" s="25">
        <f>BB47+BB50+BB53+BB56+BB59</f>
        <v/>
      </c>
      <c r="BC64" s="25">
        <f>BC47+BC50+BC53+BC56+BC59</f>
        <v/>
      </c>
      <c r="BD64" s="25">
        <f>BD47+BD50+BD53+BD56+BD59</f>
        <v/>
      </c>
      <c r="BE64" s="25">
        <f>BE47+BE50+BE53+BE56+BE59</f>
        <v/>
      </c>
      <c r="BF64" s="25">
        <f>BF47+BF50+BF53+BF56+BF59</f>
        <v/>
      </c>
      <c r="BG64" s="25">
        <f>BG47+BG50+BG53+BG56+BG59</f>
        <v/>
      </c>
      <c r="BH64" s="25">
        <f>BH47+BH50+BH53+BH56+BH59</f>
        <v/>
      </c>
      <c r="BI64" s="25">
        <f>BI47+BI50+BI53+BI56+BI59</f>
        <v/>
      </c>
      <c r="BJ64" s="25">
        <f>BJ47+BJ50+BJ53+BJ56+BJ59</f>
        <v/>
      </c>
      <c r="BK64" s="25">
        <f>BK47+BK50+BK53+BK56+BK59</f>
        <v/>
      </c>
      <c r="BL64" s="25">
        <f>BL47+BL50+BL53+BL56+BL59</f>
        <v/>
      </c>
      <c r="BM64" s="25">
        <f>BM47+BM50+BM53+BM56+BM59</f>
        <v/>
      </c>
      <c r="BN64" s="25">
        <f>BN47+BN50+BN53+BN56+BN59</f>
        <v/>
      </c>
      <c r="BO64" s="25">
        <f>BO47+BO50+BO53+BO56+BO59</f>
        <v/>
      </c>
      <c r="BP64" s="25">
        <f>BP47+BP50+BP53+BP56+BP59</f>
        <v/>
      </c>
      <c r="BQ64" s="25">
        <f>BQ47+BQ50+BQ53+BQ56+BQ59</f>
        <v/>
      </c>
      <c r="BR64" s="25">
        <f>BR47+BR50+BR53+BR56+BR59</f>
        <v/>
      </c>
      <c r="BS64" s="25">
        <f>BS47+BS50+BS53+BS56+BS59</f>
        <v/>
      </c>
      <c r="BT64" s="25">
        <f>BT47+BT50+BT53+BT56+BT59</f>
        <v/>
      </c>
      <c r="BU64" s="25">
        <f>BU47+BU50+BU53+BU56+BU59</f>
        <v/>
      </c>
      <c r="BV64" s="25">
        <f>BV47+BV50+BV53+BV56+BV59</f>
        <v/>
      </c>
      <c r="BW64" s="25">
        <f>BW47+BW50+BW53+BW56+BW59</f>
        <v/>
      </c>
      <c r="BX64" s="25">
        <f>BX47+BX50+BX53+BX56+BX59</f>
        <v/>
      </c>
      <c r="BY64" s="25">
        <f>BY47+BY50+BY53+BY56+BY59</f>
        <v/>
      </c>
      <c r="BZ64" s="25">
        <f>BZ47+BZ50+BZ53+BZ56+BZ59</f>
        <v/>
      </c>
      <c r="CA64" s="25">
        <f>CA47+CA50+CA53+CA56+CA59</f>
        <v/>
      </c>
      <c r="CB64" s="25">
        <f>CB47+CB50+CB53+CB56+CB59</f>
        <v/>
      </c>
      <c r="CC64" s="25">
        <f>CC47+CC50+CC53+CC56+CC59</f>
        <v/>
      </c>
      <c r="CD64" s="25">
        <f>CD47+CD50+CD53+CD56+CD59</f>
        <v/>
      </c>
      <c r="CE64" s="25">
        <f>CE47+CE50+CE53+CE56+CE59</f>
        <v/>
      </c>
      <c r="CF64" s="25">
        <f>CF47+CF50+CF53+CF56+CF59</f>
        <v/>
      </c>
      <c r="CG64" s="25">
        <f>CG47+CG50+CG53+CG56+CG59</f>
        <v/>
      </c>
      <c r="CH64" s="25">
        <f>CH47+CH50+CH53+CH56+CH59</f>
        <v/>
      </c>
      <c r="CI64" s="25">
        <f>CI47+CI50+CI53+CI56+CI59</f>
        <v/>
      </c>
      <c r="CJ64" s="25">
        <f>CJ47+CJ50+CJ53+CJ56+CJ59</f>
        <v/>
      </c>
      <c r="CK64" s="25">
        <f>CK47+CK50+CK53+CK56+CK59</f>
        <v/>
      </c>
      <c r="CL64" s="25">
        <f>CL47+CL50+CL53+CL56+CL59</f>
        <v/>
      </c>
      <c r="CM64" s="25">
        <f>CM47+CM50+CM53+CM56+CM59</f>
        <v/>
      </c>
      <c r="CN64" s="25">
        <f>CN47+CN50+CN53+CN56+CN59</f>
        <v/>
      </c>
      <c r="CO64" s="25">
        <f>CO47+CO50+CO53+CO56+CO59</f>
        <v/>
      </c>
      <c r="CP64" s="25">
        <f>CP47+CP50+CP53+CP56+CP59</f>
        <v/>
      </c>
      <c r="CQ64" s="25">
        <f>CQ47+CQ50+CQ53+CQ56+CQ59</f>
        <v/>
      </c>
      <c r="CR64" s="25">
        <f>CR47+CR50+CR53+CR56+CR59</f>
        <v/>
      </c>
      <c r="CS64" s="25">
        <f>CS47+CS50+CS53+CS56+CS59</f>
        <v/>
      </c>
      <c r="CT64" s="25">
        <f>CT47+CT50+CT53+CT56+CT59</f>
        <v/>
      </c>
      <c r="CU64" s="25">
        <f>CU47+CU50+CU53+CU56+CU59</f>
        <v/>
      </c>
      <c r="CV64" s="25">
        <f>CV47+CV50+CV53+CV56+CV59</f>
        <v/>
      </c>
      <c r="CW64" s="25">
        <f>CW47+CW50+CW53+CW56+CW59</f>
        <v/>
      </c>
      <c r="CX64" s="25">
        <f>CX47+CX50+CX53+CX56+CX59</f>
        <v/>
      </c>
      <c r="CY64" s="25">
        <f>CY47+CY50+CY53+CY56+CY59</f>
        <v/>
      </c>
      <c r="CZ64" s="25">
        <f>CZ47+CZ50+CZ53+CZ56+CZ59</f>
        <v/>
      </c>
      <c r="DA64" s="25">
        <f>DA47+DA50+DA53+DA56+DA59</f>
        <v/>
      </c>
      <c r="DB64" s="25">
        <f>DB47+DB50+DB53+DB56+DB59</f>
        <v/>
      </c>
      <c r="DC64" s="25">
        <f>DC47+DC50+DC53+DC56+DC59</f>
        <v/>
      </c>
      <c r="DD64" s="25">
        <f>DD47+DD50+DD53+DD56+DD59</f>
        <v/>
      </c>
      <c r="DE64" s="25">
        <f>DE47+DE50+DE53+DE56+DE59</f>
        <v/>
      </c>
      <c r="DF64" s="25">
        <f>DF47+DF50+DF53+DF56+DF59</f>
        <v/>
      </c>
      <c r="DG64" s="25">
        <f>DG47+DG50+DG53+DG56+DG59</f>
        <v/>
      </c>
      <c r="DH64" s="25">
        <f>DH47+DH50+DH53+DH56+DH59</f>
        <v/>
      </c>
      <c r="DI64" s="25">
        <f>DI47+DI50+DI53+DI56+DI59</f>
        <v/>
      </c>
      <c r="DJ64" s="25">
        <f>DJ47+DJ50+DJ53+DJ56+DJ59</f>
        <v/>
      </c>
      <c r="DK64" s="25">
        <f>DK47+DK50+DK53+DK56+DK59</f>
        <v/>
      </c>
      <c r="DL64" s="25">
        <f>DL47+DL50+DL53+DL56+DL59</f>
        <v/>
      </c>
      <c r="DM64" s="25">
        <f>DM47+DM50+DM53+DM56+DM59</f>
        <v/>
      </c>
      <c r="DN64" s="25">
        <f>DN47+DN50+DN53+DN56+DN59</f>
        <v/>
      </c>
      <c r="DO64" s="25">
        <f>DO47+DO50+DO53+DO56+DO59</f>
        <v/>
      </c>
      <c r="DP64" s="25">
        <f>DP47+DP50+DP53+DP56+DP59</f>
        <v/>
      </c>
      <c r="DQ64" s="25">
        <f>DQ47+DQ50+DQ53+DQ56+DQ59</f>
        <v/>
      </c>
      <c r="DR64" s="25">
        <f>DR47+DR50+DR53+DR56+DR59</f>
        <v/>
      </c>
    </row>
    <row r="65">
      <c r="A65" s="4" t="inlineStr">
        <is>
          <t>pretax_income</t>
        </is>
      </c>
      <c r="B65" t="inlineStr">
        <is>
          <t>EBITDA - D&amp;A - interest</t>
        </is>
      </c>
      <c r="C65" s="25">
        <f>C45-C46-C62</f>
        <v/>
      </c>
      <c r="D65" s="25">
        <f>D45-D46-D62</f>
        <v/>
      </c>
      <c r="E65" s="25">
        <f>E45-E46-E62</f>
        <v/>
      </c>
      <c r="F65" s="25">
        <f>F45-F46-F62</f>
        <v/>
      </c>
      <c r="G65" s="25">
        <f>G45-G46-G62</f>
        <v/>
      </c>
      <c r="H65" s="25">
        <f>H45-H46-H62</f>
        <v/>
      </c>
      <c r="I65" s="25">
        <f>I45-I46-I62</f>
        <v/>
      </c>
      <c r="J65" s="25">
        <f>J45-J46-J62</f>
        <v/>
      </c>
      <c r="K65" s="25">
        <f>K45-K46-K62</f>
        <v/>
      </c>
      <c r="L65" s="25">
        <f>L45-L46-L62</f>
        <v/>
      </c>
      <c r="M65" s="25">
        <f>M45-M46-M62</f>
        <v/>
      </c>
      <c r="N65" s="25">
        <f>N45-N46-N62</f>
        <v/>
      </c>
      <c r="O65" s="25">
        <f>O45-O46-O62</f>
        <v/>
      </c>
      <c r="P65" s="25">
        <f>P45-P46-P62</f>
        <v/>
      </c>
      <c r="Q65" s="25">
        <f>Q45-Q46-Q62</f>
        <v/>
      </c>
      <c r="R65" s="25">
        <f>R45-R46-R62</f>
        <v/>
      </c>
      <c r="S65" s="25">
        <f>S45-S46-S62</f>
        <v/>
      </c>
      <c r="T65" s="25">
        <f>T45-T46-T62</f>
        <v/>
      </c>
      <c r="U65" s="25">
        <f>U45-U46-U62</f>
        <v/>
      </c>
      <c r="V65" s="25">
        <f>V45-V46-V62</f>
        <v/>
      </c>
      <c r="W65" s="25">
        <f>W45-W46-W62</f>
        <v/>
      </c>
      <c r="X65" s="25">
        <f>X45-X46-X62</f>
        <v/>
      </c>
      <c r="Y65" s="25">
        <f>Y45-Y46-Y62</f>
        <v/>
      </c>
      <c r="Z65" s="25">
        <f>Z45-Z46-Z62</f>
        <v/>
      </c>
      <c r="AA65" s="25">
        <f>AA45-AA46-AA62</f>
        <v/>
      </c>
      <c r="AB65" s="25">
        <f>AB45-AB46-AB62</f>
        <v/>
      </c>
      <c r="AC65" s="25">
        <f>AC45-AC46-AC62</f>
        <v/>
      </c>
      <c r="AD65" s="25">
        <f>AD45-AD46-AD62</f>
        <v/>
      </c>
      <c r="AE65" s="25">
        <f>AE45-AE46-AE62</f>
        <v/>
      </c>
      <c r="AF65" s="25">
        <f>AF45-AF46-AF62</f>
        <v/>
      </c>
      <c r="AG65" s="25">
        <f>AG45-AG46-AG62</f>
        <v/>
      </c>
      <c r="AH65" s="25">
        <f>AH45-AH46-AH62</f>
        <v/>
      </c>
      <c r="AI65" s="25">
        <f>AI45-AI46-AI62</f>
        <v/>
      </c>
      <c r="AJ65" s="25">
        <f>AJ45-AJ46-AJ62</f>
        <v/>
      </c>
      <c r="AK65" s="25">
        <f>AK45-AK46-AK62</f>
        <v/>
      </c>
      <c r="AL65" s="25">
        <f>AL45-AL46-AL62</f>
        <v/>
      </c>
      <c r="AM65" s="25">
        <f>AM45-AM46-AM62</f>
        <v/>
      </c>
      <c r="AN65" s="25">
        <f>AN45-AN46-AN62</f>
        <v/>
      </c>
      <c r="AO65" s="25">
        <f>AO45-AO46-AO62</f>
        <v/>
      </c>
      <c r="AP65" s="25">
        <f>AP45-AP46-AP62</f>
        <v/>
      </c>
      <c r="AQ65" s="25">
        <f>AQ45-AQ46-AQ62</f>
        <v/>
      </c>
      <c r="AR65" s="25">
        <f>AR45-AR46-AR62</f>
        <v/>
      </c>
      <c r="AS65" s="25">
        <f>AS45-AS46-AS62</f>
        <v/>
      </c>
      <c r="AT65" s="25">
        <f>AT45-AT46-AT62</f>
        <v/>
      </c>
      <c r="AU65" s="25">
        <f>AU45-AU46-AU62</f>
        <v/>
      </c>
      <c r="AV65" s="25">
        <f>AV45-AV46-AV62</f>
        <v/>
      </c>
      <c r="AW65" s="25">
        <f>AW45-AW46-AW62</f>
        <v/>
      </c>
      <c r="AX65" s="25">
        <f>AX45-AX46-AX62</f>
        <v/>
      </c>
      <c r="AY65" s="25">
        <f>AY45-AY46-AY62</f>
        <v/>
      </c>
      <c r="AZ65" s="25">
        <f>AZ45-AZ46-AZ62</f>
        <v/>
      </c>
      <c r="BA65" s="25">
        <f>BA45-BA46-BA62</f>
        <v/>
      </c>
      <c r="BB65" s="25">
        <f>BB45-BB46-BB62</f>
        <v/>
      </c>
      <c r="BC65" s="25">
        <f>BC45-BC46-BC62</f>
        <v/>
      </c>
      <c r="BD65" s="25">
        <f>BD45-BD46-BD62</f>
        <v/>
      </c>
      <c r="BE65" s="25">
        <f>BE45-BE46-BE62</f>
        <v/>
      </c>
      <c r="BF65" s="25">
        <f>BF45-BF46-BF62</f>
        <v/>
      </c>
      <c r="BG65" s="25">
        <f>BG45-BG46-BG62</f>
        <v/>
      </c>
      <c r="BH65" s="25">
        <f>BH45-BH46-BH62</f>
        <v/>
      </c>
      <c r="BI65" s="25">
        <f>BI45-BI46-BI62</f>
        <v/>
      </c>
      <c r="BJ65" s="25">
        <f>BJ45-BJ46-BJ62</f>
        <v/>
      </c>
      <c r="BK65" s="25">
        <f>BK45-BK46-BK62</f>
        <v/>
      </c>
      <c r="BL65" s="25">
        <f>BL45-BL46-BL62</f>
        <v/>
      </c>
      <c r="BM65" s="25">
        <f>BM45-BM46-BM62</f>
        <v/>
      </c>
      <c r="BN65" s="25">
        <f>BN45-BN46-BN62</f>
        <v/>
      </c>
      <c r="BO65" s="25">
        <f>BO45-BO46-BO62</f>
        <v/>
      </c>
      <c r="BP65" s="25">
        <f>BP45-BP46-BP62</f>
        <v/>
      </c>
      <c r="BQ65" s="25">
        <f>BQ45-BQ46-BQ62</f>
        <v/>
      </c>
      <c r="BR65" s="25">
        <f>BR45-BR46-BR62</f>
        <v/>
      </c>
      <c r="BS65" s="25">
        <f>BS45-BS46-BS62</f>
        <v/>
      </c>
      <c r="BT65" s="25">
        <f>BT45-BT46-BT62</f>
        <v/>
      </c>
      <c r="BU65" s="25">
        <f>BU45-BU46-BU62</f>
        <v/>
      </c>
      <c r="BV65" s="25">
        <f>BV45-BV46-BV62</f>
        <v/>
      </c>
      <c r="BW65" s="25">
        <f>BW45-BW46-BW62</f>
        <v/>
      </c>
      <c r="BX65" s="25">
        <f>BX45-BX46-BX62</f>
        <v/>
      </c>
      <c r="BY65" s="25">
        <f>BY45-BY46-BY62</f>
        <v/>
      </c>
      <c r="BZ65" s="25">
        <f>BZ45-BZ46-BZ62</f>
        <v/>
      </c>
      <c r="CA65" s="25">
        <f>CA45-CA46-CA62</f>
        <v/>
      </c>
      <c r="CB65" s="25">
        <f>CB45-CB46-CB62</f>
        <v/>
      </c>
      <c r="CC65" s="25">
        <f>CC45-CC46-CC62</f>
        <v/>
      </c>
      <c r="CD65" s="25">
        <f>CD45-CD46-CD62</f>
        <v/>
      </c>
      <c r="CE65" s="25">
        <f>CE45-CE46-CE62</f>
        <v/>
      </c>
      <c r="CF65" s="25">
        <f>CF45-CF46-CF62</f>
        <v/>
      </c>
      <c r="CG65" s="25">
        <f>CG45-CG46-CG62</f>
        <v/>
      </c>
      <c r="CH65" s="25">
        <f>CH45-CH46-CH62</f>
        <v/>
      </c>
      <c r="CI65" s="25">
        <f>CI45-CI46-CI62</f>
        <v/>
      </c>
      <c r="CJ65" s="25">
        <f>CJ45-CJ46-CJ62</f>
        <v/>
      </c>
      <c r="CK65" s="25">
        <f>CK45-CK46-CK62</f>
        <v/>
      </c>
      <c r="CL65" s="25">
        <f>CL45-CL46-CL62</f>
        <v/>
      </c>
      <c r="CM65" s="25">
        <f>CM45-CM46-CM62</f>
        <v/>
      </c>
      <c r="CN65" s="25">
        <f>CN45-CN46-CN62</f>
        <v/>
      </c>
      <c r="CO65" s="25">
        <f>CO45-CO46-CO62</f>
        <v/>
      </c>
      <c r="CP65" s="25">
        <f>CP45-CP46-CP62</f>
        <v/>
      </c>
      <c r="CQ65" s="25">
        <f>CQ45-CQ46-CQ62</f>
        <v/>
      </c>
      <c r="CR65" s="25">
        <f>CR45-CR46-CR62</f>
        <v/>
      </c>
      <c r="CS65" s="25">
        <f>CS45-CS46-CS62</f>
        <v/>
      </c>
      <c r="CT65" s="25">
        <f>CT45-CT46-CT62</f>
        <v/>
      </c>
      <c r="CU65" s="25">
        <f>CU45-CU46-CU62</f>
        <v/>
      </c>
      <c r="CV65" s="25">
        <f>CV45-CV46-CV62</f>
        <v/>
      </c>
      <c r="CW65" s="25">
        <f>CW45-CW46-CW62</f>
        <v/>
      </c>
      <c r="CX65" s="25">
        <f>CX45-CX46-CX62</f>
        <v/>
      </c>
      <c r="CY65" s="25">
        <f>CY45-CY46-CY62</f>
        <v/>
      </c>
      <c r="CZ65" s="25">
        <f>CZ45-CZ46-CZ62</f>
        <v/>
      </c>
      <c r="DA65" s="25">
        <f>DA45-DA46-DA62</f>
        <v/>
      </c>
      <c r="DB65" s="25">
        <f>DB45-DB46-DB62</f>
        <v/>
      </c>
      <c r="DC65" s="25">
        <f>DC45-DC46-DC62</f>
        <v/>
      </c>
      <c r="DD65" s="25">
        <f>DD45-DD46-DD62</f>
        <v/>
      </c>
      <c r="DE65" s="25">
        <f>DE45-DE46-DE62</f>
        <v/>
      </c>
      <c r="DF65" s="25">
        <f>DF45-DF46-DF62</f>
        <v/>
      </c>
      <c r="DG65" s="25">
        <f>DG45-DG46-DG62</f>
        <v/>
      </c>
      <c r="DH65" s="25">
        <f>DH45-DH46-DH62</f>
        <v/>
      </c>
      <c r="DI65" s="25">
        <f>DI45-DI46-DI62</f>
        <v/>
      </c>
      <c r="DJ65" s="25">
        <f>DJ45-DJ46-DJ62</f>
        <v/>
      </c>
      <c r="DK65" s="25">
        <f>DK45-DK46-DK62</f>
        <v/>
      </c>
      <c r="DL65" s="25">
        <f>DL45-DL46-DL62</f>
        <v/>
      </c>
      <c r="DM65" s="25">
        <f>DM45-DM46-DM62</f>
        <v/>
      </c>
      <c r="DN65" s="25">
        <f>DN45-DN46-DN62</f>
        <v/>
      </c>
      <c r="DO65" s="25">
        <f>DO45-DO46-DO62</f>
        <v/>
      </c>
      <c r="DP65" s="25">
        <f>DP45-DP46-DP62</f>
        <v/>
      </c>
      <c r="DQ65" s="25">
        <f>DQ45-DQ46-DQ62</f>
        <v/>
      </c>
      <c r="DR65" s="25">
        <f>DR45-DR46-DR62</f>
        <v/>
      </c>
    </row>
    <row r="66">
      <c r="A66" t="inlineStr">
        <is>
          <t>nol_opening</t>
        </is>
      </c>
      <c r="C66" s="25">
        <f>Effective!$B$18</f>
        <v/>
      </c>
      <c r="D66" s="25">
        <f>C68</f>
        <v/>
      </c>
      <c r="E66" s="25">
        <f>D68</f>
        <v/>
      </c>
      <c r="F66" s="25">
        <f>E68</f>
        <v/>
      </c>
      <c r="G66" s="25">
        <f>F68</f>
        <v/>
      </c>
      <c r="H66" s="25">
        <f>G68</f>
        <v/>
      </c>
      <c r="I66" s="25">
        <f>H68</f>
        <v/>
      </c>
      <c r="J66" s="25">
        <f>I68</f>
        <v/>
      </c>
      <c r="K66" s="25">
        <f>J68</f>
        <v/>
      </c>
      <c r="L66" s="25">
        <f>K68</f>
        <v/>
      </c>
      <c r="M66" s="25">
        <f>L68</f>
        <v/>
      </c>
      <c r="N66" s="25">
        <f>M68</f>
        <v/>
      </c>
      <c r="O66" s="25">
        <f>N68</f>
        <v/>
      </c>
      <c r="P66" s="25">
        <f>O68</f>
        <v/>
      </c>
      <c r="Q66" s="25">
        <f>P68</f>
        <v/>
      </c>
      <c r="R66" s="25">
        <f>Q68</f>
        <v/>
      </c>
      <c r="S66" s="25">
        <f>R68</f>
        <v/>
      </c>
      <c r="T66" s="25">
        <f>S68</f>
        <v/>
      </c>
      <c r="U66" s="25">
        <f>T68</f>
        <v/>
      </c>
      <c r="V66" s="25">
        <f>U68</f>
        <v/>
      </c>
      <c r="W66" s="25">
        <f>V68</f>
        <v/>
      </c>
      <c r="X66" s="25">
        <f>W68</f>
        <v/>
      </c>
      <c r="Y66" s="25">
        <f>X68</f>
        <v/>
      </c>
      <c r="Z66" s="25">
        <f>Y68</f>
        <v/>
      </c>
      <c r="AA66" s="25">
        <f>Z68</f>
        <v/>
      </c>
      <c r="AB66" s="25">
        <f>AA68</f>
        <v/>
      </c>
      <c r="AC66" s="25">
        <f>AB68</f>
        <v/>
      </c>
      <c r="AD66" s="25">
        <f>AC68</f>
        <v/>
      </c>
      <c r="AE66" s="25">
        <f>AD68</f>
        <v/>
      </c>
      <c r="AF66" s="25">
        <f>AE68</f>
        <v/>
      </c>
      <c r="AG66" s="25">
        <f>AF68</f>
        <v/>
      </c>
      <c r="AH66" s="25">
        <f>AG68</f>
        <v/>
      </c>
      <c r="AI66" s="25">
        <f>AH68</f>
        <v/>
      </c>
      <c r="AJ66" s="25">
        <f>AI68</f>
        <v/>
      </c>
      <c r="AK66" s="25">
        <f>AJ68</f>
        <v/>
      </c>
      <c r="AL66" s="25">
        <f>AK68</f>
        <v/>
      </c>
      <c r="AM66" s="25">
        <f>AL68</f>
        <v/>
      </c>
      <c r="AN66" s="25">
        <f>AM68</f>
        <v/>
      </c>
      <c r="AO66" s="25">
        <f>AN68</f>
        <v/>
      </c>
      <c r="AP66" s="25">
        <f>AO68</f>
        <v/>
      </c>
      <c r="AQ66" s="25">
        <f>AP68</f>
        <v/>
      </c>
      <c r="AR66" s="25">
        <f>AQ68</f>
        <v/>
      </c>
      <c r="AS66" s="25">
        <f>AR68</f>
        <v/>
      </c>
      <c r="AT66" s="25">
        <f>AS68</f>
        <v/>
      </c>
      <c r="AU66" s="25">
        <f>AT68</f>
        <v/>
      </c>
      <c r="AV66" s="25">
        <f>AU68</f>
        <v/>
      </c>
      <c r="AW66" s="25">
        <f>AV68</f>
        <v/>
      </c>
      <c r="AX66" s="25">
        <f>AW68</f>
        <v/>
      </c>
      <c r="AY66" s="25">
        <f>AX68</f>
        <v/>
      </c>
      <c r="AZ66" s="25">
        <f>AY68</f>
        <v/>
      </c>
      <c r="BA66" s="25">
        <f>AZ68</f>
        <v/>
      </c>
      <c r="BB66" s="25">
        <f>BA68</f>
        <v/>
      </c>
      <c r="BC66" s="25">
        <f>BB68</f>
        <v/>
      </c>
      <c r="BD66" s="25">
        <f>BC68</f>
        <v/>
      </c>
      <c r="BE66" s="25">
        <f>BD68</f>
        <v/>
      </c>
      <c r="BF66" s="25">
        <f>BE68</f>
        <v/>
      </c>
      <c r="BG66" s="25">
        <f>BF68</f>
        <v/>
      </c>
      <c r="BH66" s="25">
        <f>BG68</f>
        <v/>
      </c>
      <c r="BI66" s="25">
        <f>BH68</f>
        <v/>
      </c>
      <c r="BJ66" s="25">
        <f>BI68</f>
        <v/>
      </c>
      <c r="BK66" s="25">
        <f>BJ68</f>
        <v/>
      </c>
      <c r="BL66" s="25">
        <f>BK68</f>
        <v/>
      </c>
      <c r="BM66" s="25">
        <f>BL68</f>
        <v/>
      </c>
      <c r="BN66" s="25">
        <f>BM68</f>
        <v/>
      </c>
      <c r="BO66" s="25">
        <f>BN68</f>
        <v/>
      </c>
      <c r="BP66" s="25">
        <f>BO68</f>
        <v/>
      </c>
      <c r="BQ66" s="25">
        <f>BP68</f>
        <v/>
      </c>
      <c r="BR66" s="25">
        <f>BQ68</f>
        <v/>
      </c>
      <c r="BS66" s="25">
        <f>BR68</f>
        <v/>
      </c>
      <c r="BT66" s="25">
        <f>BS68</f>
        <v/>
      </c>
      <c r="BU66" s="25">
        <f>BT68</f>
        <v/>
      </c>
      <c r="BV66" s="25">
        <f>BU68</f>
        <v/>
      </c>
      <c r="BW66" s="25">
        <f>BV68</f>
        <v/>
      </c>
      <c r="BX66" s="25">
        <f>BW68</f>
        <v/>
      </c>
      <c r="BY66" s="25">
        <f>BX68</f>
        <v/>
      </c>
      <c r="BZ66" s="25">
        <f>BY68</f>
        <v/>
      </c>
      <c r="CA66" s="25">
        <f>BZ68</f>
        <v/>
      </c>
      <c r="CB66" s="25">
        <f>CA68</f>
        <v/>
      </c>
      <c r="CC66" s="25">
        <f>CB68</f>
        <v/>
      </c>
      <c r="CD66" s="25">
        <f>CC68</f>
        <v/>
      </c>
      <c r="CE66" s="25">
        <f>CD68</f>
        <v/>
      </c>
      <c r="CF66" s="25">
        <f>CE68</f>
        <v/>
      </c>
      <c r="CG66" s="25">
        <f>CF68</f>
        <v/>
      </c>
      <c r="CH66" s="25">
        <f>CG68</f>
        <v/>
      </c>
      <c r="CI66" s="25">
        <f>CH68</f>
        <v/>
      </c>
      <c r="CJ66" s="25">
        <f>CI68</f>
        <v/>
      </c>
      <c r="CK66" s="25">
        <f>CJ68</f>
        <v/>
      </c>
      <c r="CL66" s="25">
        <f>CK68</f>
        <v/>
      </c>
      <c r="CM66" s="25">
        <f>CL68</f>
        <v/>
      </c>
      <c r="CN66" s="25">
        <f>CM68</f>
        <v/>
      </c>
      <c r="CO66" s="25">
        <f>CN68</f>
        <v/>
      </c>
      <c r="CP66" s="25">
        <f>CO68</f>
        <v/>
      </c>
      <c r="CQ66" s="25">
        <f>CP68</f>
        <v/>
      </c>
      <c r="CR66" s="25">
        <f>CQ68</f>
        <v/>
      </c>
      <c r="CS66" s="25">
        <f>CR68</f>
        <v/>
      </c>
      <c r="CT66" s="25">
        <f>CS68</f>
        <v/>
      </c>
      <c r="CU66" s="25">
        <f>CT68</f>
        <v/>
      </c>
      <c r="CV66" s="25">
        <f>CU68</f>
        <v/>
      </c>
      <c r="CW66" s="25">
        <f>CV68</f>
        <v/>
      </c>
      <c r="CX66" s="25">
        <f>CW68</f>
        <v/>
      </c>
      <c r="CY66" s="25">
        <f>CX68</f>
        <v/>
      </c>
      <c r="CZ66" s="25">
        <f>CY68</f>
        <v/>
      </c>
      <c r="DA66" s="25">
        <f>CZ68</f>
        <v/>
      </c>
      <c r="DB66" s="25">
        <f>DA68</f>
        <v/>
      </c>
      <c r="DC66" s="25">
        <f>DB68</f>
        <v/>
      </c>
      <c r="DD66" s="25">
        <f>DC68</f>
        <v/>
      </c>
      <c r="DE66" s="25">
        <f>DD68</f>
        <v/>
      </c>
      <c r="DF66" s="25">
        <f>DE68</f>
        <v/>
      </c>
      <c r="DG66" s="25">
        <f>DF68</f>
        <v/>
      </c>
      <c r="DH66" s="25">
        <f>DG68</f>
        <v/>
      </c>
      <c r="DI66" s="25">
        <f>DH68</f>
        <v/>
      </c>
      <c r="DJ66" s="25">
        <f>DI68</f>
        <v/>
      </c>
      <c r="DK66" s="25">
        <f>DJ68</f>
        <v/>
      </c>
      <c r="DL66" s="25">
        <f>DK68</f>
        <v/>
      </c>
      <c r="DM66" s="25">
        <f>DL68</f>
        <v/>
      </c>
      <c r="DN66" s="25">
        <f>DM68</f>
        <v/>
      </c>
      <c r="DO66" s="25">
        <f>DN68</f>
        <v/>
      </c>
      <c r="DP66" s="25">
        <f>DO68</f>
        <v/>
      </c>
      <c r="DQ66" s="25">
        <f>DP68</f>
        <v/>
      </c>
      <c r="DR66" s="25">
        <f>DQ68</f>
        <v/>
      </c>
    </row>
    <row r="67">
      <c r="A67" t="inlineStr">
        <is>
          <t>nol_used</t>
        </is>
      </c>
      <c r="C67" s="25">
        <f>IF(C$4=0,0,MIN(C66,MAX(0,C65)))</f>
        <v/>
      </c>
      <c r="D67" s="25">
        <f>IF(D$4=0,0,MIN(D66,MAX(0,D65)))</f>
        <v/>
      </c>
      <c r="E67" s="25">
        <f>IF(E$4=0,0,MIN(E66,MAX(0,E65)))</f>
        <v/>
      </c>
      <c r="F67" s="25">
        <f>IF(F$4=0,0,MIN(F66,MAX(0,F65)))</f>
        <v/>
      </c>
      <c r="G67" s="25">
        <f>IF(G$4=0,0,MIN(G66,MAX(0,G65)))</f>
        <v/>
      </c>
      <c r="H67" s="25">
        <f>IF(H$4=0,0,MIN(H66,MAX(0,H65)))</f>
        <v/>
      </c>
      <c r="I67" s="25">
        <f>IF(I$4=0,0,MIN(I66,MAX(0,I65)))</f>
        <v/>
      </c>
      <c r="J67" s="25">
        <f>IF(J$4=0,0,MIN(J66,MAX(0,J65)))</f>
        <v/>
      </c>
      <c r="K67" s="25">
        <f>IF(K$4=0,0,MIN(K66,MAX(0,K65)))</f>
        <v/>
      </c>
      <c r="L67" s="25">
        <f>IF(L$4=0,0,MIN(L66,MAX(0,L65)))</f>
        <v/>
      </c>
      <c r="M67" s="25">
        <f>IF(M$4=0,0,MIN(M66,MAX(0,M65)))</f>
        <v/>
      </c>
      <c r="N67" s="25">
        <f>IF(N$4=0,0,MIN(N66,MAX(0,N65)))</f>
        <v/>
      </c>
      <c r="O67" s="25">
        <f>IF(O$4=0,0,MIN(O66,MAX(0,O65)))</f>
        <v/>
      </c>
      <c r="P67" s="25">
        <f>IF(P$4=0,0,MIN(P66,MAX(0,P65)))</f>
        <v/>
      </c>
      <c r="Q67" s="25">
        <f>IF(Q$4=0,0,MIN(Q66,MAX(0,Q65)))</f>
        <v/>
      </c>
      <c r="R67" s="25">
        <f>IF(R$4=0,0,MIN(R66,MAX(0,R65)))</f>
        <v/>
      </c>
      <c r="S67" s="25">
        <f>IF(S$4=0,0,MIN(S66,MAX(0,S65)))</f>
        <v/>
      </c>
      <c r="T67" s="25">
        <f>IF(T$4=0,0,MIN(T66,MAX(0,T65)))</f>
        <v/>
      </c>
      <c r="U67" s="25">
        <f>IF(U$4=0,0,MIN(U66,MAX(0,U65)))</f>
        <v/>
      </c>
      <c r="V67" s="25">
        <f>IF(V$4=0,0,MIN(V66,MAX(0,V65)))</f>
        <v/>
      </c>
      <c r="W67" s="25">
        <f>IF(W$4=0,0,MIN(W66,MAX(0,W65)))</f>
        <v/>
      </c>
      <c r="X67" s="25">
        <f>IF(X$4=0,0,MIN(X66,MAX(0,X65)))</f>
        <v/>
      </c>
      <c r="Y67" s="25">
        <f>IF(Y$4=0,0,MIN(Y66,MAX(0,Y65)))</f>
        <v/>
      </c>
      <c r="Z67" s="25">
        <f>IF(Z$4=0,0,MIN(Z66,MAX(0,Z65)))</f>
        <v/>
      </c>
      <c r="AA67" s="25">
        <f>IF(AA$4=0,0,MIN(AA66,MAX(0,AA65)))</f>
        <v/>
      </c>
      <c r="AB67" s="25">
        <f>IF(AB$4=0,0,MIN(AB66,MAX(0,AB65)))</f>
        <v/>
      </c>
      <c r="AC67" s="25">
        <f>IF(AC$4=0,0,MIN(AC66,MAX(0,AC65)))</f>
        <v/>
      </c>
      <c r="AD67" s="25">
        <f>IF(AD$4=0,0,MIN(AD66,MAX(0,AD65)))</f>
        <v/>
      </c>
      <c r="AE67" s="25">
        <f>IF(AE$4=0,0,MIN(AE66,MAX(0,AE65)))</f>
        <v/>
      </c>
      <c r="AF67" s="25">
        <f>IF(AF$4=0,0,MIN(AF66,MAX(0,AF65)))</f>
        <v/>
      </c>
      <c r="AG67" s="25">
        <f>IF(AG$4=0,0,MIN(AG66,MAX(0,AG65)))</f>
        <v/>
      </c>
      <c r="AH67" s="25">
        <f>IF(AH$4=0,0,MIN(AH66,MAX(0,AH65)))</f>
        <v/>
      </c>
      <c r="AI67" s="25">
        <f>IF(AI$4=0,0,MIN(AI66,MAX(0,AI65)))</f>
        <v/>
      </c>
      <c r="AJ67" s="25">
        <f>IF(AJ$4=0,0,MIN(AJ66,MAX(0,AJ65)))</f>
        <v/>
      </c>
      <c r="AK67" s="25">
        <f>IF(AK$4=0,0,MIN(AK66,MAX(0,AK65)))</f>
        <v/>
      </c>
      <c r="AL67" s="25">
        <f>IF(AL$4=0,0,MIN(AL66,MAX(0,AL65)))</f>
        <v/>
      </c>
      <c r="AM67" s="25">
        <f>IF(AM$4=0,0,MIN(AM66,MAX(0,AM65)))</f>
        <v/>
      </c>
      <c r="AN67" s="25">
        <f>IF(AN$4=0,0,MIN(AN66,MAX(0,AN65)))</f>
        <v/>
      </c>
      <c r="AO67" s="25">
        <f>IF(AO$4=0,0,MIN(AO66,MAX(0,AO65)))</f>
        <v/>
      </c>
      <c r="AP67" s="25">
        <f>IF(AP$4=0,0,MIN(AP66,MAX(0,AP65)))</f>
        <v/>
      </c>
      <c r="AQ67" s="25">
        <f>IF(AQ$4=0,0,MIN(AQ66,MAX(0,AQ65)))</f>
        <v/>
      </c>
      <c r="AR67" s="25">
        <f>IF(AR$4=0,0,MIN(AR66,MAX(0,AR65)))</f>
        <v/>
      </c>
      <c r="AS67" s="25">
        <f>IF(AS$4=0,0,MIN(AS66,MAX(0,AS65)))</f>
        <v/>
      </c>
      <c r="AT67" s="25">
        <f>IF(AT$4=0,0,MIN(AT66,MAX(0,AT65)))</f>
        <v/>
      </c>
      <c r="AU67" s="25">
        <f>IF(AU$4=0,0,MIN(AU66,MAX(0,AU65)))</f>
        <v/>
      </c>
      <c r="AV67" s="25">
        <f>IF(AV$4=0,0,MIN(AV66,MAX(0,AV65)))</f>
        <v/>
      </c>
      <c r="AW67" s="25">
        <f>IF(AW$4=0,0,MIN(AW66,MAX(0,AW65)))</f>
        <v/>
      </c>
      <c r="AX67" s="25">
        <f>IF(AX$4=0,0,MIN(AX66,MAX(0,AX65)))</f>
        <v/>
      </c>
      <c r="AY67" s="25">
        <f>IF(AY$4=0,0,MIN(AY66,MAX(0,AY65)))</f>
        <v/>
      </c>
      <c r="AZ67" s="25">
        <f>IF(AZ$4=0,0,MIN(AZ66,MAX(0,AZ65)))</f>
        <v/>
      </c>
      <c r="BA67" s="25">
        <f>IF(BA$4=0,0,MIN(BA66,MAX(0,BA65)))</f>
        <v/>
      </c>
      <c r="BB67" s="25">
        <f>IF(BB$4=0,0,MIN(BB66,MAX(0,BB65)))</f>
        <v/>
      </c>
      <c r="BC67" s="25">
        <f>IF(BC$4=0,0,MIN(BC66,MAX(0,BC65)))</f>
        <v/>
      </c>
      <c r="BD67" s="25">
        <f>IF(BD$4=0,0,MIN(BD66,MAX(0,BD65)))</f>
        <v/>
      </c>
      <c r="BE67" s="25">
        <f>IF(BE$4=0,0,MIN(BE66,MAX(0,BE65)))</f>
        <v/>
      </c>
      <c r="BF67" s="25">
        <f>IF(BF$4=0,0,MIN(BF66,MAX(0,BF65)))</f>
        <v/>
      </c>
      <c r="BG67" s="25">
        <f>IF(BG$4=0,0,MIN(BG66,MAX(0,BG65)))</f>
        <v/>
      </c>
      <c r="BH67" s="25">
        <f>IF(BH$4=0,0,MIN(BH66,MAX(0,BH65)))</f>
        <v/>
      </c>
      <c r="BI67" s="25">
        <f>IF(BI$4=0,0,MIN(BI66,MAX(0,BI65)))</f>
        <v/>
      </c>
      <c r="BJ67" s="25">
        <f>IF(BJ$4=0,0,MIN(BJ66,MAX(0,BJ65)))</f>
        <v/>
      </c>
      <c r="BK67" s="25">
        <f>IF(BK$4=0,0,MIN(BK66,MAX(0,BK65)))</f>
        <v/>
      </c>
      <c r="BL67" s="25">
        <f>IF(BL$4=0,0,MIN(BL66,MAX(0,BL65)))</f>
        <v/>
      </c>
      <c r="BM67" s="25">
        <f>IF(BM$4=0,0,MIN(BM66,MAX(0,BM65)))</f>
        <v/>
      </c>
      <c r="BN67" s="25">
        <f>IF(BN$4=0,0,MIN(BN66,MAX(0,BN65)))</f>
        <v/>
      </c>
      <c r="BO67" s="25">
        <f>IF(BO$4=0,0,MIN(BO66,MAX(0,BO65)))</f>
        <v/>
      </c>
      <c r="BP67" s="25">
        <f>IF(BP$4=0,0,MIN(BP66,MAX(0,BP65)))</f>
        <v/>
      </c>
      <c r="BQ67" s="25">
        <f>IF(BQ$4=0,0,MIN(BQ66,MAX(0,BQ65)))</f>
        <v/>
      </c>
      <c r="BR67" s="25">
        <f>IF(BR$4=0,0,MIN(BR66,MAX(0,BR65)))</f>
        <v/>
      </c>
      <c r="BS67" s="25">
        <f>IF(BS$4=0,0,MIN(BS66,MAX(0,BS65)))</f>
        <v/>
      </c>
      <c r="BT67" s="25">
        <f>IF(BT$4=0,0,MIN(BT66,MAX(0,BT65)))</f>
        <v/>
      </c>
      <c r="BU67" s="25">
        <f>IF(BU$4=0,0,MIN(BU66,MAX(0,BU65)))</f>
        <v/>
      </c>
      <c r="BV67" s="25">
        <f>IF(BV$4=0,0,MIN(BV66,MAX(0,BV65)))</f>
        <v/>
      </c>
      <c r="BW67" s="25">
        <f>IF(BW$4=0,0,MIN(BW66,MAX(0,BW65)))</f>
        <v/>
      </c>
      <c r="BX67" s="25">
        <f>IF(BX$4=0,0,MIN(BX66,MAX(0,BX65)))</f>
        <v/>
      </c>
      <c r="BY67" s="25">
        <f>IF(BY$4=0,0,MIN(BY66,MAX(0,BY65)))</f>
        <v/>
      </c>
      <c r="BZ67" s="25">
        <f>IF(BZ$4=0,0,MIN(BZ66,MAX(0,BZ65)))</f>
        <v/>
      </c>
      <c r="CA67" s="25">
        <f>IF(CA$4=0,0,MIN(CA66,MAX(0,CA65)))</f>
        <v/>
      </c>
      <c r="CB67" s="25">
        <f>IF(CB$4=0,0,MIN(CB66,MAX(0,CB65)))</f>
        <v/>
      </c>
      <c r="CC67" s="25">
        <f>IF(CC$4=0,0,MIN(CC66,MAX(0,CC65)))</f>
        <v/>
      </c>
      <c r="CD67" s="25">
        <f>IF(CD$4=0,0,MIN(CD66,MAX(0,CD65)))</f>
        <v/>
      </c>
      <c r="CE67" s="25">
        <f>IF(CE$4=0,0,MIN(CE66,MAX(0,CE65)))</f>
        <v/>
      </c>
      <c r="CF67" s="25">
        <f>IF(CF$4=0,0,MIN(CF66,MAX(0,CF65)))</f>
        <v/>
      </c>
      <c r="CG67" s="25">
        <f>IF(CG$4=0,0,MIN(CG66,MAX(0,CG65)))</f>
        <v/>
      </c>
      <c r="CH67" s="25">
        <f>IF(CH$4=0,0,MIN(CH66,MAX(0,CH65)))</f>
        <v/>
      </c>
      <c r="CI67" s="25">
        <f>IF(CI$4=0,0,MIN(CI66,MAX(0,CI65)))</f>
        <v/>
      </c>
      <c r="CJ67" s="25">
        <f>IF(CJ$4=0,0,MIN(CJ66,MAX(0,CJ65)))</f>
        <v/>
      </c>
      <c r="CK67" s="25">
        <f>IF(CK$4=0,0,MIN(CK66,MAX(0,CK65)))</f>
        <v/>
      </c>
      <c r="CL67" s="25">
        <f>IF(CL$4=0,0,MIN(CL66,MAX(0,CL65)))</f>
        <v/>
      </c>
      <c r="CM67" s="25">
        <f>IF(CM$4=0,0,MIN(CM66,MAX(0,CM65)))</f>
        <v/>
      </c>
      <c r="CN67" s="25">
        <f>IF(CN$4=0,0,MIN(CN66,MAX(0,CN65)))</f>
        <v/>
      </c>
      <c r="CO67" s="25">
        <f>IF(CO$4=0,0,MIN(CO66,MAX(0,CO65)))</f>
        <v/>
      </c>
      <c r="CP67" s="25">
        <f>IF(CP$4=0,0,MIN(CP66,MAX(0,CP65)))</f>
        <v/>
      </c>
      <c r="CQ67" s="25">
        <f>IF(CQ$4=0,0,MIN(CQ66,MAX(0,CQ65)))</f>
        <v/>
      </c>
      <c r="CR67" s="25">
        <f>IF(CR$4=0,0,MIN(CR66,MAX(0,CR65)))</f>
        <v/>
      </c>
      <c r="CS67" s="25">
        <f>IF(CS$4=0,0,MIN(CS66,MAX(0,CS65)))</f>
        <v/>
      </c>
      <c r="CT67" s="25">
        <f>IF(CT$4=0,0,MIN(CT66,MAX(0,CT65)))</f>
        <v/>
      </c>
      <c r="CU67" s="25">
        <f>IF(CU$4=0,0,MIN(CU66,MAX(0,CU65)))</f>
        <v/>
      </c>
      <c r="CV67" s="25">
        <f>IF(CV$4=0,0,MIN(CV66,MAX(0,CV65)))</f>
        <v/>
      </c>
      <c r="CW67" s="25">
        <f>IF(CW$4=0,0,MIN(CW66,MAX(0,CW65)))</f>
        <v/>
      </c>
      <c r="CX67" s="25">
        <f>IF(CX$4=0,0,MIN(CX66,MAX(0,CX65)))</f>
        <v/>
      </c>
      <c r="CY67" s="25">
        <f>IF(CY$4=0,0,MIN(CY66,MAX(0,CY65)))</f>
        <v/>
      </c>
      <c r="CZ67" s="25">
        <f>IF(CZ$4=0,0,MIN(CZ66,MAX(0,CZ65)))</f>
        <v/>
      </c>
      <c r="DA67" s="25">
        <f>IF(DA$4=0,0,MIN(DA66,MAX(0,DA65)))</f>
        <v/>
      </c>
      <c r="DB67" s="25">
        <f>IF(DB$4=0,0,MIN(DB66,MAX(0,DB65)))</f>
        <v/>
      </c>
      <c r="DC67" s="25">
        <f>IF(DC$4=0,0,MIN(DC66,MAX(0,DC65)))</f>
        <v/>
      </c>
      <c r="DD67" s="25">
        <f>IF(DD$4=0,0,MIN(DD66,MAX(0,DD65)))</f>
        <v/>
      </c>
      <c r="DE67" s="25">
        <f>IF(DE$4=0,0,MIN(DE66,MAX(0,DE65)))</f>
        <v/>
      </c>
      <c r="DF67" s="25">
        <f>IF(DF$4=0,0,MIN(DF66,MAX(0,DF65)))</f>
        <v/>
      </c>
      <c r="DG67" s="25">
        <f>IF(DG$4=0,0,MIN(DG66,MAX(0,DG65)))</f>
        <v/>
      </c>
      <c r="DH67" s="25">
        <f>IF(DH$4=0,0,MIN(DH66,MAX(0,DH65)))</f>
        <v/>
      </c>
      <c r="DI67" s="25">
        <f>IF(DI$4=0,0,MIN(DI66,MAX(0,DI65)))</f>
        <v/>
      </c>
      <c r="DJ67" s="25">
        <f>IF(DJ$4=0,0,MIN(DJ66,MAX(0,DJ65)))</f>
        <v/>
      </c>
      <c r="DK67" s="25">
        <f>IF(DK$4=0,0,MIN(DK66,MAX(0,DK65)))</f>
        <v/>
      </c>
      <c r="DL67" s="25">
        <f>IF(DL$4=0,0,MIN(DL66,MAX(0,DL65)))</f>
        <v/>
      </c>
      <c r="DM67" s="25">
        <f>IF(DM$4=0,0,MIN(DM66,MAX(0,DM65)))</f>
        <v/>
      </c>
      <c r="DN67" s="25">
        <f>IF(DN$4=0,0,MIN(DN66,MAX(0,DN65)))</f>
        <v/>
      </c>
      <c r="DO67" s="25">
        <f>IF(DO$4=0,0,MIN(DO66,MAX(0,DO65)))</f>
        <v/>
      </c>
      <c r="DP67" s="25">
        <f>IF(DP$4=0,0,MIN(DP66,MAX(0,DP65)))</f>
        <v/>
      </c>
      <c r="DQ67" s="25">
        <f>IF(DQ$4=0,0,MIN(DQ66,MAX(0,DQ65)))</f>
        <v/>
      </c>
      <c r="DR67" s="25">
        <f>IF(DR$4=0,0,MIN(DR66,MAX(0,DR65)))</f>
        <v/>
      </c>
    </row>
    <row r="68">
      <c r="A68" t="inlineStr">
        <is>
          <t>nol_closing</t>
        </is>
      </c>
      <c r="C68" s="25">
        <f>C66-C67</f>
        <v/>
      </c>
      <c r="D68" s="25">
        <f>D66-D67</f>
        <v/>
      </c>
      <c r="E68" s="25">
        <f>E66-E67</f>
        <v/>
      </c>
      <c r="F68" s="25">
        <f>F66-F67</f>
        <v/>
      </c>
      <c r="G68" s="25">
        <f>G66-G67</f>
        <v/>
      </c>
      <c r="H68" s="25">
        <f>H66-H67</f>
        <v/>
      </c>
      <c r="I68" s="25">
        <f>I66-I67</f>
        <v/>
      </c>
      <c r="J68" s="25">
        <f>J66-J67</f>
        <v/>
      </c>
      <c r="K68" s="25">
        <f>K66-K67</f>
        <v/>
      </c>
      <c r="L68" s="25">
        <f>L66-L67</f>
        <v/>
      </c>
      <c r="M68" s="25">
        <f>M66-M67</f>
        <v/>
      </c>
      <c r="N68" s="25">
        <f>N66-N67</f>
        <v/>
      </c>
      <c r="O68" s="25">
        <f>O66-O67</f>
        <v/>
      </c>
      <c r="P68" s="25">
        <f>P66-P67</f>
        <v/>
      </c>
      <c r="Q68" s="25">
        <f>Q66-Q67</f>
        <v/>
      </c>
      <c r="R68" s="25">
        <f>R66-R67</f>
        <v/>
      </c>
      <c r="S68" s="25">
        <f>S66-S67</f>
        <v/>
      </c>
      <c r="T68" s="25">
        <f>T66-T67</f>
        <v/>
      </c>
      <c r="U68" s="25">
        <f>U66-U67</f>
        <v/>
      </c>
      <c r="V68" s="25">
        <f>V66-V67</f>
        <v/>
      </c>
      <c r="W68" s="25">
        <f>W66-W67</f>
        <v/>
      </c>
      <c r="X68" s="25">
        <f>X66-X67</f>
        <v/>
      </c>
      <c r="Y68" s="25">
        <f>Y66-Y67</f>
        <v/>
      </c>
      <c r="Z68" s="25">
        <f>Z66-Z67</f>
        <v/>
      </c>
      <c r="AA68" s="25">
        <f>AA66-AA67</f>
        <v/>
      </c>
      <c r="AB68" s="25">
        <f>AB66-AB67</f>
        <v/>
      </c>
      <c r="AC68" s="25">
        <f>AC66-AC67</f>
        <v/>
      </c>
      <c r="AD68" s="25">
        <f>AD66-AD67</f>
        <v/>
      </c>
      <c r="AE68" s="25">
        <f>AE66-AE67</f>
        <v/>
      </c>
      <c r="AF68" s="25">
        <f>AF66-AF67</f>
        <v/>
      </c>
      <c r="AG68" s="25">
        <f>AG66-AG67</f>
        <v/>
      </c>
      <c r="AH68" s="25">
        <f>AH66-AH67</f>
        <v/>
      </c>
      <c r="AI68" s="25">
        <f>AI66-AI67</f>
        <v/>
      </c>
      <c r="AJ68" s="25">
        <f>AJ66-AJ67</f>
        <v/>
      </c>
      <c r="AK68" s="25">
        <f>AK66-AK67</f>
        <v/>
      </c>
      <c r="AL68" s="25">
        <f>AL66-AL67</f>
        <v/>
      </c>
      <c r="AM68" s="25">
        <f>AM66-AM67</f>
        <v/>
      </c>
      <c r="AN68" s="25">
        <f>AN66-AN67</f>
        <v/>
      </c>
      <c r="AO68" s="25">
        <f>AO66-AO67</f>
        <v/>
      </c>
      <c r="AP68" s="25">
        <f>AP66-AP67</f>
        <v/>
      </c>
      <c r="AQ68" s="25">
        <f>AQ66-AQ67</f>
        <v/>
      </c>
      <c r="AR68" s="25">
        <f>AR66-AR67</f>
        <v/>
      </c>
      <c r="AS68" s="25">
        <f>AS66-AS67</f>
        <v/>
      </c>
      <c r="AT68" s="25">
        <f>AT66-AT67</f>
        <v/>
      </c>
      <c r="AU68" s="25">
        <f>AU66-AU67</f>
        <v/>
      </c>
      <c r="AV68" s="25">
        <f>AV66-AV67</f>
        <v/>
      </c>
      <c r="AW68" s="25">
        <f>AW66-AW67</f>
        <v/>
      </c>
      <c r="AX68" s="25">
        <f>AX66-AX67</f>
        <v/>
      </c>
      <c r="AY68" s="25">
        <f>AY66-AY67</f>
        <v/>
      </c>
      <c r="AZ68" s="25">
        <f>AZ66-AZ67</f>
        <v/>
      </c>
      <c r="BA68" s="25">
        <f>BA66-BA67</f>
        <v/>
      </c>
      <c r="BB68" s="25">
        <f>BB66-BB67</f>
        <v/>
      </c>
      <c r="BC68" s="25">
        <f>BC66-BC67</f>
        <v/>
      </c>
      <c r="BD68" s="25">
        <f>BD66-BD67</f>
        <v/>
      </c>
      <c r="BE68" s="25">
        <f>BE66-BE67</f>
        <v/>
      </c>
      <c r="BF68" s="25">
        <f>BF66-BF67</f>
        <v/>
      </c>
      <c r="BG68" s="25">
        <f>BG66-BG67</f>
        <v/>
      </c>
      <c r="BH68" s="25">
        <f>BH66-BH67</f>
        <v/>
      </c>
      <c r="BI68" s="25">
        <f>BI66-BI67</f>
        <v/>
      </c>
      <c r="BJ68" s="25">
        <f>BJ66-BJ67</f>
        <v/>
      </c>
      <c r="BK68" s="25">
        <f>BK66-BK67</f>
        <v/>
      </c>
      <c r="BL68" s="25">
        <f>BL66-BL67</f>
        <v/>
      </c>
      <c r="BM68" s="25">
        <f>BM66-BM67</f>
        <v/>
      </c>
      <c r="BN68" s="25">
        <f>BN66-BN67</f>
        <v/>
      </c>
      <c r="BO68" s="25">
        <f>BO66-BO67</f>
        <v/>
      </c>
      <c r="BP68" s="25">
        <f>BP66-BP67</f>
        <v/>
      </c>
      <c r="BQ68" s="25">
        <f>BQ66-BQ67</f>
        <v/>
      </c>
      <c r="BR68" s="25">
        <f>BR66-BR67</f>
        <v/>
      </c>
      <c r="BS68" s="25">
        <f>BS66-BS67</f>
        <v/>
      </c>
      <c r="BT68" s="25">
        <f>BT66-BT67</f>
        <v/>
      </c>
      <c r="BU68" s="25">
        <f>BU66-BU67</f>
        <v/>
      </c>
      <c r="BV68" s="25">
        <f>BV66-BV67</f>
        <v/>
      </c>
      <c r="BW68" s="25">
        <f>BW66-BW67</f>
        <v/>
      </c>
      <c r="BX68" s="25">
        <f>BX66-BX67</f>
        <v/>
      </c>
      <c r="BY68" s="25">
        <f>BY66-BY67</f>
        <v/>
      </c>
      <c r="BZ68" s="25">
        <f>BZ66-BZ67</f>
        <v/>
      </c>
      <c r="CA68" s="25">
        <f>CA66-CA67</f>
        <v/>
      </c>
      <c r="CB68" s="25">
        <f>CB66-CB67</f>
        <v/>
      </c>
      <c r="CC68" s="25">
        <f>CC66-CC67</f>
        <v/>
      </c>
      <c r="CD68" s="25">
        <f>CD66-CD67</f>
        <v/>
      </c>
      <c r="CE68" s="25">
        <f>CE66-CE67</f>
        <v/>
      </c>
      <c r="CF68" s="25">
        <f>CF66-CF67</f>
        <v/>
      </c>
      <c r="CG68" s="25">
        <f>CG66-CG67</f>
        <v/>
      </c>
      <c r="CH68" s="25">
        <f>CH66-CH67</f>
        <v/>
      </c>
      <c r="CI68" s="25">
        <f>CI66-CI67</f>
        <v/>
      </c>
      <c r="CJ68" s="25">
        <f>CJ66-CJ67</f>
        <v/>
      </c>
      <c r="CK68" s="25">
        <f>CK66-CK67</f>
        <v/>
      </c>
      <c r="CL68" s="25">
        <f>CL66-CL67</f>
        <v/>
      </c>
      <c r="CM68" s="25">
        <f>CM66-CM67</f>
        <v/>
      </c>
      <c r="CN68" s="25">
        <f>CN66-CN67</f>
        <v/>
      </c>
      <c r="CO68" s="25">
        <f>CO66-CO67</f>
        <v/>
      </c>
      <c r="CP68" s="25">
        <f>CP66-CP67</f>
        <v/>
      </c>
      <c r="CQ68" s="25">
        <f>CQ66-CQ67</f>
        <v/>
      </c>
      <c r="CR68" s="25">
        <f>CR66-CR67</f>
        <v/>
      </c>
      <c r="CS68" s="25">
        <f>CS66-CS67</f>
        <v/>
      </c>
      <c r="CT68" s="25">
        <f>CT66-CT67</f>
        <v/>
      </c>
      <c r="CU68" s="25">
        <f>CU66-CU67</f>
        <v/>
      </c>
      <c r="CV68" s="25">
        <f>CV66-CV67</f>
        <v/>
      </c>
      <c r="CW68" s="25">
        <f>CW66-CW67</f>
        <v/>
      </c>
      <c r="CX68" s="25">
        <f>CX66-CX67</f>
        <v/>
      </c>
      <c r="CY68" s="25">
        <f>CY66-CY67</f>
        <v/>
      </c>
      <c r="CZ68" s="25">
        <f>CZ66-CZ67</f>
        <v/>
      </c>
      <c r="DA68" s="25">
        <f>DA66-DA67</f>
        <v/>
      </c>
      <c r="DB68" s="25">
        <f>DB66-DB67</f>
        <v/>
      </c>
      <c r="DC68" s="25">
        <f>DC66-DC67</f>
        <v/>
      </c>
      <c r="DD68" s="25">
        <f>DD66-DD67</f>
        <v/>
      </c>
      <c r="DE68" s="25">
        <f>DE66-DE67</f>
        <v/>
      </c>
      <c r="DF68" s="25">
        <f>DF66-DF67</f>
        <v/>
      </c>
      <c r="DG68" s="25">
        <f>DG66-DG67</f>
        <v/>
      </c>
      <c r="DH68" s="25">
        <f>DH66-DH67</f>
        <v/>
      </c>
      <c r="DI68" s="25">
        <f>DI66-DI67</f>
        <v/>
      </c>
      <c r="DJ68" s="25">
        <f>DJ66-DJ67</f>
        <v/>
      </c>
      <c r="DK68" s="25">
        <f>DK66-DK67</f>
        <v/>
      </c>
      <c r="DL68" s="25">
        <f>DL66-DL67</f>
        <v/>
      </c>
      <c r="DM68" s="25">
        <f>DM66-DM67</f>
        <v/>
      </c>
      <c r="DN68" s="25">
        <f>DN66-DN67</f>
        <v/>
      </c>
      <c r="DO68" s="25">
        <f>DO66-DO67</f>
        <v/>
      </c>
      <c r="DP68" s="25">
        <f>DP66-DP67</f>
        <v/>
      </c>
      <c r="DQ68" s="25">
        <f>DQ66-DQ67</f>
        <v/>
      </c>
      <c r="DR68" s="25">
        <f>DR66-DR67</f>
        <v/>
      </c>
    </row>
    <row r="69">
      <c r="A69" t="inlineStr">
        <is>
          <t>tax</t>
        </is>
      </c>
      <c r="C69" s="25">
        <f>IF(C$4=0,0,(MAX(0,C65)-C67)*Effective!$B$8)</f>
        <v/>
      </c>
      <c r="D69" s="25">
        <f>IF(D$4=0,0,(MAX(0,D65)-D67)*Effective!$B$8)</f>
        <v/>
      </c>
      <c r="E69" s="25">
        <f>IF(E$4=0,0,(MAX(0,E65)-E67)*Effective!$B$8)</f>
        <v/>
      </c>
      <c r="F69" s="25">
        <f>IF(F$4=0,0,(MAX(0,F65)-F67)*Effective!$B$8)</f>
        <v/>
      </c>
      <c r="G69" s="25">
        <f>IF(G$4=0,0,(MAX(0,G65)-G67)*Effective!$B$8)</f>
        <v/>
      </c>
      <c r="H69" s="25">
        <f>IF(H$4=0,0,(MAX(0,H65)-H67)*Effective!$B$8)</f>
        <v/>
      </c>
      <c r="I69" s="25">
        <f>IF(I$4=0,0,(MAX(0,I65)-I67)*Effective!$B$8)</f>
        <v/>
      </c>
      <c r="J69" s="25">
        <f>IF(J$4=0,0,(MAX(0,J65)-J67)*Effective!$B$8)</f>
        <v/>
      </c>
      <c r="K69" s="25">
        <f>IF(K$4=0,0,(MAX(0,K65)-K67)*Effective!$B$8)</f>
        <v/>
      </c>
      <c r="L69" s="25">
        <f>IF(L$4=0,0,(MAX(0,L65)-L67)*Effective!$B$8)</f>
        <v/>
      </c>
      <c r="M69" s="25">
        <f>IF(M$4=0,0,(MAX(0,M65)-M67)*Effective!$B$8)</f>
        <v/>
      </c>
      <c r="N69" s="25">
        <f>IF(N$4=0,0,(MAX(0,N65)-N67)*Effective!$B$8)</f>
        <v/>
      </c>
      <c r="O69" s="25">
        <f>IF(O$4=0,0,(MAX(0,O65)-O67)*Effective!$B$8)</f>
        <v/>
      </c>
      <c r="P69" s="25">
        <f>IF(P$4=0,0,(MAX(0,P65)-P67)*Effective!$B$8)</f>
        <v/>
      </c>
      <c r="Q69" s="25">
        <f>IF(Q$4=0,0,(MAX(0,Q65)-Q67)*Effective!$B$8)</f>
        <v/>
      </c>
      <c r="R69" s="25">
        <f>IF(R$4=0,0,(MAX(0,R65)-R67)*Effective!$B$8)</f>
        <v/>
      </c>
      <c r="S69" s="25">
        <f>IF(S$4=0,0,(MAX(0,S65)-S67)*Effective!$B$8)</f>
        <v/>
      </c>
      <c r="T69" s="25">
        <f>IF(T$4=0,0,(MAX(0,T65)-T67)*Effective!$B$8)</f>
        <v/>
      </c>
      <c r="U69" s="25">
        <f>IF(U$4=0,0,(MAX(0,U65)-U67)*Effective!$B$8)</f>
        <v/>
      </c>
      <c r="V69" s="25">
        <f>IF(V$4=0,0,(MAX(0,V65)-V67)*Effective!$B$8)</f>
        <v/>
      </c>
      <c r="W69" s="25">
        <f>IF(W$4=0,0,(MAX(0,W65)-W67)*Effective!$B$8)</f>
        <v/>
      </c>
      <c r="X69" s="25">
        <f>IF(X$4=0,0,(MAX(0,X65)-X67)*Effective!$B$8)</f>
        <v/>
      </c>
      <c r="Y69" s="25">
        <f>IF(Y$4=0,0,(MAX(0,Y65)-Y67)*Effective!$B$8)</f>
        <v/>
      </c>
      <c r="Z69" s="25">
        <f>IF(Z$4=0,0,(MAX(0,Z65)-Z67)*Effective!$B$8)</f>
        <v/>
      </c>
      <c r="AA69" s="25">
        <f>IF(AA$4=0,0,(MAX(0,AA65)-AA67)*Effective!$B$8)</f>
        <v/>
      </c>
      <c r="AB69" s="25">
        <f>IF(AB$4=0,0,(MAX(0,AB65)-AB67)*Effective!$B$8)</f>
        <v/>
      </c>
      <c r="AC69" s="25">
        <f>IF(AC$4=0,0,(MAX(0,AC65)-AC67)*Effective!$B$8)</f>
        <v/>
      </c>
      <c r="AD69" s="25">
        <f>IF(AD$4=0,0,(MAX(0,AD65)-AD67)*Effective!$B$8)</f>
        <v/>
      </c>
      <c r="AE69" s="25">
        <f>IF(AE$4=0,0,(MAX(0,AE65)-AE67)*Effective!$B$8)</f>
        <v/>
      </c>
      <c r="AF69" s="25">
        <f>IF(AF$4=0,0,(MAX(0,AF65)-AF67)*Effective!$B$8)</f>
        <v/>
      </c>
      <c r="AG69" s="25">
        <f>IF(AG$4=0,0,(MAX(0,AG65)-AG67)*Effective!$B$8)</f>
        <v/>
      </c>
      <c r="AH69" s="25">
        <f>IF(AH$4=0,0,(MAX(0,AH65)-AH67)*Effective!$B$8)</f>
        <v/>
      </c>
      <c r="AI69" s="25">
        <f>IF(AI$4=0,0,(MAX(0,AI65)-AI67)*Effective!$B$8)</f>
        <v/>
      </c>
      <c r="AJ69" s="25">
        <f>IF(AJ$4=0,0,(MAX(0,AJ65)-AJ67)*Effective!$B$8)</f>
        <v/>
      </c>
      <c r="AK69" s="25">
        <f>IF(AK$4=0,0,(MAX(0,AK65)-AK67)*Effective!$B$8)</f>
        <v/>
      </c>
      <c r="AL69" s="25">
        <f>IF(AL$4=0,0,(MAX(0,AL65)-AL67)*Effective!$B$8)</f>
        <v/>
      </c>
      <c r="AM69" s="25">
        <f>IF(AM$4=0,0,(MAX(0,AM65)-AM67)*Effective!$B$8)</f>
        <v/>
      </c>
      <c r="AN69" s="25">
        <f>IF(AN$4=0,0,(MAX(0,AN65)-AN67)*Effective!$B$8)</f>
        <v/>
      </c>
      <c r="AO69" s="25">
        <f>IF(AO$4=0,0,(MAX(0,AO65)-AO67)*Effective!$B$8)</f>
        <v/>
      </c>
      <c r="AP69" s="25">
        <f>IF(AP$4=0,0,(MAX(0,AP65)-AP67)*Effective!$B$8)</f>
        <v/>
      </c>
      <c r="AQ69" s="25">
        <f>IF(AQ$4=0,0,(MAX(0,AQ65)-AQ67)*Effective!$B$8)</f>
        <v/>
      </c>
      <c r="AR69" s="25">
        <f>IF(AR$4=0,0,(MAX(0,AR65)-AR67)*Effective!$B$8)</f>
        <v/>
      </c>
      <c r="AS69" s="25">
        <f>IF(AS$4=0,0,(MAX(0,AS65)-AS67)*Effective!$B$8)</f>
        <v/>
      </c>
      <c r="AT69" s="25">
        <f>IF(AT$4=0,0,(MAX(0,AT65)-AT67)*Effective!$B$8)</f>
        <v/>
      </c>
      <c r="AU69" s="25">
        <f>IF(AU$4=0,0,(MAX(0,AU65)-AU67)*Effective!$B$8)</f>
        <v/>
      </c>
      <c r="AV69" s="25">
        <f>IF(AV$4=0,0,(MAX(0,AV65)-AV67)*Effective!$B$8)</f>
        <v/>
      </c>
      <c r="AW69" s="25">
        <f>IF(AW$4=0,0,(MAX(0,AW65)-AW67)*Effective!$B$8)</f>
        <v/>
      </c>
      <c r="AX69" s="25">
        <f>IF(AX$4=0,0,(MAX(0,AX65)-AX67)*Effective!$B$8)</f>
        <v/>
      </c>
      <c r="AY69" s="25">
        <f>IF(AY$4=0,0,(MAX(0,AY65)-AY67)*Effective!$B$8)</f>
        <v/>
      </c>
      <c r="AZ69" s="25">
        <f>IF(AZ$4=0,0,(MAX(0,AZ65)-AZ67)*Effective!$B$8)</f>
        <v/>
      </c>
      <c r="BA69" s="25">
        <f>IF(BA$4=0,0,(MAX(0,BA65)-BA67)*Effective!$B$8)</f>
        <v/>
      </c>
      <c r="BB69" s="25">
        <f>IF(BB$4=0,0,(MAX(0,BB65)-BB67)*Effective!$B$8)</f>
        <v/>
      </c>
      <c r="BC69" s="25">
        <f>IF(BC$4=0,0,(MAX(0,BC65)-BC67)*Effective!$B$8)</f>
        <v/>
      </c>
      <c r="BD69" s="25">
        <f>IF(BD$4=0,0,(MAX(0,BD65)-BD67)*Effective!$B$8)</f>
        <v/>
      </c>
      <c r="BE69" s="25">
        <f>IF(BE$4=0,0,(MAX(0,BE65)-BE67)*Effective!$B$8)</f>
        <v/>
      </c>
      <c r="BF69" s="25">
        <f>IF(BF$4=0,0,(MAX(0,BF65)-BF67)*Effective!$B$8)</f>
        <v/>
      </c>
      <c r="BG69" s="25">
        <f>IF(BG$4=0,0,(MAX(0,BG65)-BG67)*Effective!$B$8)</f>
        <v/>
      </c>
      <c r="BH69" s="25">
        <f>IF(BH$4=0,0,(MAX(0,BH65)-BH67)*Effective!$B$8)</f>
        <v/>
      </c>
      <c r="BI69" s="25">
        <f>IF(BI$4=0,0,(MAX(0,BI65)-BI67)*Effective!$B$8)</f>
        <v/>
      </c>
      <c r="BJ69" s="25">
        <f>IF(BJ$4=0,0,(MAX(0,BJ65)-BJ67)*Effective!$B$8)</f>
        <v/>
      </c>
      <c r="BK69" s="25">
        <f>IF(BK$4=0,0,(MAX(0,BK65)-BK67)*Effective!$B$8)</f>
        <v/>
      </c>
      <c r="BL69" s="25">
        <f>IF(BL$4=0,0,(MAX(0,BL65)-BL67)*Effective!$B$8)</f>
        <v/>
      </c>
      <c r="BM69" s="25">
        <f>IF(BM$4=0,0,(MAX(0,BM65)-BM67)*Effective!$B$8)</f>
        <v/>
      </c>
      <c r="BN69" s="25">
        <f>IF(BN$4=0,0,(MAX(0,BN65)-BN67)*Effective!$B$8)</f>
        <v/>
      </c>
      <c r="BO69" s="25">
        <f>IF(BO$4=0,0,(MAX(0,BO65)-BO67)*Effective!$B$8)</f>
        <v/>
      </c>
      <c r="BP69" s="25">
        <f>IF(BP$4=0,0,(MAX(0,BP65)-BP67)*Effective!$B$8)</f>
        <v/>
      </c>
      <c r="BQ69" s="25">
        <f>IF(BQ$4=0,0,(MAX(0,BQ65)-BQ67)*Effective!$B$8)</f>
        <v/>
      </c>
      <c r="BR69" s="25">
        <f>IF(BR$4=0,0,(MAX(0,BR65)-BR67)*Effective!$B$8)</f>
        <v/>
      </c>
      <c r="BS69" s="25">
        <f>IF(BS$4=0,0,(MAX(0,BS65)-BS67)*Effective!$B$8)</f>
        <v/>
      </c>
      <c r="BT69" s="25">
        <f>IF(BT$4=0,0,(MAX(0,BT65)-BT67)*Effective!$B$8)</f>
        <v/>
      </c>
      <c r="BU69" s="25">
        <f>IF(BU$4=0,0,(MAX(0,BU65)-BU67)*Effective!$B$8)</f>
        <v/>
      </c>
      <c r="BV69" s="25">
        <f>IF(BV$4=0,0,(MAX(0,BV65)-BV67)*Effective!$B$8)</f>
        <v/>
      </c>
      <c r="BW69" s="25">
        <f>IF(BW$4=0,0,(MAX(0,BW65)-BW67)*Effective!$B$8)</f>
        <v/>
      </c>
      <c r="BX69" s="25">
        <f>IF(BX$4=0,0,(MAX(0,BX65)-BX67)*Effective!$B$8)</f>
        <v/>
      </c>
      <c r="BY69" s="25">
        <f>IF(BY$4=0,0,(MAX(0,BY65)-BY67)*Effective!$B$8)</f>
        <v/>
      </c>
      <c r="BZ69" s="25">
        <f>IF(BZ$4=0,0,(MAX(0,BZ65)-BZ67)*Effective!$B$8)</f>
        <v/>
      </c>
      <c r="CA69" s="25">
        <f>IF(CA$4=0,0,(MAX(0,CA65)-CA67)*Effective!$B$8)</f>
        <v/>
      </c>
      <c r="CB69" s="25">
        <f>IF(CB$4=0,0,(MAX(0,CB65)-CB67)*Effective!$B$8)</f>
        <v/>
      </c>
      <c r="CC69" s="25">
        <f>IF(CC$4=0,0,(MAX(0,CC65)-CC67)*Effective!$B$8)</f>
        <v/>
      </c>
      <c r="CD69" s="25">
        <f>IF(CD$4=0,0,(MAX(0,CD65)-CD67)*Effective!$B$8)</f>
        <v/>
      </c>
      <c r="CE69" s="25">
        <f>IF(CE$4=0,0,(MAX(0,CE65)-CE67)*Effective!$B$8)</f>
        <v/>
      </c>
      <c r="CF69" s="25">
        <f>IF(CF$4=0,0,(MAX(0,CF65)-CF67)*Effective!$B$8)</f>
        <v/>
      </c>
      <c r="CG69" s="25">
        <f>IF(CG$4=0,0,(MAX(0,CG65)-CG67)*Effective!$B$8)</f>
        <v/>
      </c>
      <c r="CH69" s="25">
        <f>IF(CH$4=0,0,(MAX(0,CH65)-CH67)*Effective!$B$8)</f>
        <v/>
      </c>
      <c r="CI69" s="25">
        <f>IF(CI$4=0,0,(MAX(0,CI65)-CI67)*Effective!$B$8)</f>
        <v/>
      </c>
      <c r="CJ69" s="25">
        <f>IF(CJ$4=0,0,(MAX(0,CJ65)-CJ67)*Effective!$B$8)</f>
        <v/>
      </c>
      <c r="CK69" s="25">
        <f>IF(CK$4=0,0,(MAX(0,CK65)-CK67)*Effective!$B$8)</f>
        <v/>
      </c>
      <c r="CL69" s="25">
        <f>IF(CL$4=0,0,(MAX(0,CL65)-CL67)*Effective!$B$8)</f>
        <v/>
      </c>
      <c r="CM69" s="25">
        <f>IF(CM$4=0,0,(MAX(0,CM65)-CM67)*Effective!$B$8)</f>
        <v/>
      </c>
      <c r="CN69" s="25">
        <f>IF(CN$4=0,0,(MAX(0,CN65)-CN67)*Effective!$B$8)</f>
        <v/>
      </c>
      <c r="CO69" s="25">
        <f>IF(CO$4=0,0,(MAX(0,CO65)-CO67)*Effective!$B$8)</f>
        <v/>
      </c>
      <c r="CP69" s="25">
        <f>IF(CP$4=0,0,(MAX(0,CP65)-CP67)*Effective!$B$8)</f>
        <v/>
      </c>
      <c r="CQ69" s="25">
        <f>IF(CQ$4=0,0,(MAX(0,CQ65)-CQ67)*Effective!$B$8)</f>
        <v/>
      </c>
      <c r="CR69" s="25">
        <f>IF(CR$4=0,0,(MAX(0,CR65)-CR67)*Effective!$B$8)</f>
        <v/>
      </c>
      <c r="CS69" s="25">
        <f>IF(CS$4=0,0,(MAX(0,CS65)-CS67)*Effective!$B$8)</f>
        <v/>
      </c>
      <c r="CT69" s="25">
        <f>IF(CT$4=0,0,(MAX(0,CT65)-CT67)*Effective!$B$8)</f>
        <v/>
      </c>
      <c r="CU69" s="25">
        <f>IF(CU$4=0,0,(MAX(0,CU65)-CU67)*Effective!$B$8)</f>
        <v/>
      </c>
      <c r="CV69" s="25">
        <f>IF(CV$4=0,0,(MAX(0,CV65)-CV67)*Effective!$B$8)</f>
        <v/>
      </c>
      <c r="CW69" s="25">
        <f>IF(CW$4=0,0,(MAX(0,CW65)-CW67)*Effective!$B$8)</f>
        <v/>
      </c>
      <c r="CX69" s="25">
        <f>IF(CX$4=0,0,(MAX(0,CX65)-CX67)*Effective!$B$8)</f>
        <v/>
      </c>
      <c r="CY69" s="25">
        <f>IF(CY$4=0,0,(MAX(0,CY65)-CY67)*Effective!$B$8)</f>
        <v/>
      </c>
      <c r="CZ69" s="25">
        <f>IF(CZ$4=0,0,(MAX(0,CZ65)-CZ67)*Effective!$B$8)</f>
        <v/>
      </c>
      <c r="DA69" s="25">
        <f>IF(DA$4=0,0,(MAX(0,DA65)-DA67)*Effective!$B$8)</f>
        <v/>
      </c>
      <c r="DB69" s="25">
        <f>IF(DB$4=0,0,(MAX(0,DB65)-DB67)*Effective!$B$8)</f>
        <v/>
      </c>
      <c r="DC69" s="25">
        <f>IF(DC$4=0,0,(MAX(0,DC65)-DC67)*Effective!$B$8)</f>
        <v/>
      </c>
      <c r="DD69" s="25">
        <f>IF(DD$4=0,0,(MAX(0,DD65)-DD67)*Effective!$B$8)</f>
        <v/>
      </c>
      <c r="DE69" s="25">
        <f>IF(DE$4=0,0,(MAX(0,DE65)-DE67)*Effective!$B$8)</f>
        <v/>
      </c>
      <c r="DF69" s="25">
        <f>IF(DF$4=0,0,(MAX(0,DF65)-DF67)*Effective!$B$8)</f>
        <v/>
      </c>
      <c r="DG69" s="25">
        <f>IF(DG$4=0,0,(MAX(0,DG65)-DG67)*Effective!$B$8)</f>
        <v/>
      </c>
      <c r="DH69" s="25">
        <f>IF(DH$4=0,0,(MAX(0,DH65)-DH67)*Effective!$B$8)</f>
        <v/>
      </c>
      <c r="DI69" s="25">
        <f>IF(DI$4=0,0,(MAX(0,DI65)-DI67)*Effective!$B$8)</f>
        <v/>
      </c>
      <c r="DJ69" s="25">
        <f>IF(DJ$4=0,0,(MAX(0,DJ65)-DJ67)*Effective!$B$8)</f>
        <v/>
      </c>
      <c r="DK69" s="25">
        <f>IF(DK$4=0,0,(MAX(0,DK65)-DK67)*Effective!$B$8)</f>
        <v/>
      </c>
      <c r="DL69" s="25">
        <f>IF(DL$4=0,0,(MAX(0,DL65)-DL67)*Effective!$B$8)</f>
        <v/>
      </c>
      <c r="DM69" s="25">
        <f>IF(DM$4=0,0,(MAX(0,DM65)-DM67)*Effective!$B$8)</f>
        <v/>
      </c>
      <c r="DN69" s="25">
        <f>IF(DN$4=0,0,(MAX(0,DN65)-DN67)*Effective!$B$8)</f>
        <v/>
      </c>
      <c r="DO69" s="25">
        <f>IF(DO$4=0,0,(MAX(0,DO65)-DO67)*Effective!$B$8)</f>
        <v/>
      </c>
      <c r="DP69" s="25">
        <f>IF(DP$4=0,0,(MAX(0,DP65)-DP67)*Effective!$B$8)</f>
        <v/>
      </c>
      <c r="DQ69" s="25">
        <f>IF(DQ$4=0,0,(MAX(0,DQ65)-DQ67)*Effective!$B$8)</f>
        <v/>
      </c>
      <c r="DR69" s="25">
        <f>IF(DR$4=0,0,(MAX(0,DR65)-DR67)*Effective!$B$8)</f>
        <v/>
      </c>
    </row>
    <row r="70">
      <c r="A70" s="4" t="inlineStr">
        <is>
          <t>net_income</t>
        </is>
      </c>
      <c r="C70" s="25">
        <f>C65-C69</f>
        <v/>
      </c>
      <c r="D70" s="25">
        <f>D65-D69</f>
        <v/>
      </c>
      <c r="E70" s="25">
        <f>E65-E69</f>
        <v/>
      </c>
      <c r="F70" s="25">
        <f>F65-F69</f>
        <v/>
      </c>
      <c r="G70" s="25">
        <f>G65-G69</f>
        <v/>
      </c>
      <c r="H70" s="25">
        <f>H65-H69</f>
        <v/>
      </c>
      <c r="I70" s="25">
        <f>I65-I69</f>
        <v/>
      </c>
      <c r="J70" s="25">
        <f>J65-J69</f>
        <v/>
      </c>
      <c r="K70" s="25">
        <f>K65-K69</f>
        <v/>
      </c>
      <c r="L70" s="25">
        <f>L65-L69</f>
        <v/>
      </c>
      <c r="M70" s="25">
        <f>M65-M69</f>
        <v/>
      </c>
      <c r="N70" s="25">
        <f>N65-N69</f>
        <v/>
      </c>
      <c r="O70" s="25">
        <f>O65-O69</f>
        <v/>
      </c>
      <c r="P70" s="25">
        <f>P65-P69</f>
        <v/>
      </c>
      <c r="Q70" s="25">
        <f>Q65-Q69</f>
        <v/>
      </c>
      <c r="R70" s="25">
        <f>R65-R69</f>
        <v/>
      </c>
      <c r="S70" s="25">
        <f>S65-S69</f>
        <v/>
      </c>
      <c r="T70" s="25">
        <f>T65-T69</f>
        <v/>
      </c>
      <c r="U70" s="25">
        <f>U65-U69</f>
        <v/>
      </c>
      <c r="V70" s="25">
        <f>V65-V69</f>
        <v/>
      </c>
      <c r="W70" s="25">
        <f>W65-W69</f>
        <v/>
      </c>
      <c r="X70" s="25">
        <f>X65-X69</f>
        <v/>
      </c>
      <c r="Y70" s="25">
        <f>Y65-Y69</f>
        <v/>
      </c>
      <c r="Z70" s="25">
        <f>Z65-Z69</f>
        <v/>
      </c>
      <c r="AA70" s="25">
        <f>AA65-AA69</f>
        <v/>
      </c>
      <c r="AB70" s="25">
        <f>AB65-AB69</f>
        <v/>
      </c>
      <c r="AC70" s="25">
        <f>AC65-AC69</f>
        <v/>
      </c>
      <c r="AD70" s="25">
        <f>AD65-AD69</f>
        <v/>
      </c>
      <c r="AE70" s="25">
        <f>AE65-AE69</f>
        <v/>
      </c>
      <c r="AF70" s="25">
        <f>AF65-AF69</f>
        <v/>
      </c>
      <c r="AG70" s="25">
        <f>AG65-AG69</f>
        <v/>
      </c>
      <c r="AH70" s="25">
        <f>AH65-AH69</f>
        <v/>
      </c>
      <c r="AI70" s="25">
        <f>AI65-AI69</f>
        <v/>
      </c>
      <c r="AJ70" s="25">
        <f>AJ65-AJ69</f>
        <v/>
      </c>
      <c r="AK70" s="25">
        <f>AK65-AK69</f>
        <v/>
      </c>
      <c r="AL70" s="25">
        <f>AL65-AL69</f>
        <v/>
      </c>
      <c r="AM70" s="25">
        <f>AM65-AM69</f>
        <v/>
      </c>
      <c r="AN70" s="25">
        <f>AN65-AN69</f>
        <v/>
      </c>
      <c r="AO70" s="25">
        <f>AO65-AO69</f>
        <v/>
      </c>
      <c r="AP70" s="25">
        <f>AP65-AP69</f>
        <v/>
      </c>
      <c r="AQ70" s="25">
        <f>AQ65-AQ69</f>
        <v/>
      </c>
      <c r="AR70" s="25">
        <f>AR65-AR69</f>
        <v/>
      </c>
      <c r="AS70" s="25">
        <f>AS65-AS69</f>
        <v/>
      </c>
      <c r="AT70" s="25">
        <f>AT65-AT69</f>
        <v/>
      </c>
      <c r="AU70" s="25">
        <f>AU65-AU69</f>
        <v/>
      </c>
      <c r="AV70" s="25">
        <f>AV65-AV69</f>
        <v/>
      </c>
      <c r="AW70" s="25">
        <f>AW65-AW69</f>
        <v/>
      </c>
      <c r="AX70" s="25">
        <f>AX65-AX69</f>
        <v/>
      </c>
      <c r="AY70" s="25">
        <f>AY65-AY69</f>
        <v/>
      </c>
      <c r="AZ70" s="25">
        <f>AZ65-AZ69</f>
        <v/>
      </c>
      <c r="BA70" s="25">
        <f>BA65-BA69</f>
        <v/>
      </c>
      <c r="BB70" s="25">
        <f>BB65-BB69</f>
        <v/>
      </c>
      <c r="BC70" s="25">
        <f>BC65-BC69</f>
        <v/>
      </c>
      <c r="BD70" s="25">
        <f>BD65-BD69</f>
        <v/>
      </c>
      <c r="BE70" s="25">
        <f>BE65-BE69</f>
        <v/>
      </c>
      <c r="BF70" s="25">
        <f>BF65-BF69</f>
        <v/>
      </c>
      <c r="BG70" s="25">
        <f>BG65-BG69</f>
        <v/>
      </c>
      <c r="BH70" s="25">
        <f>BH65-BH69</f>
        <v/>
      </c>
      <c r="BI70" s="25">
        <f>BI65-BI69</f>
        <v/>
      </c>
      <c r="BJ70" s="25">
        <f>BJ65-BJ69</f>
        <v/>
      </c>
      <c r="BK70" s="25">
        <f>BK65-BK69</f>
        <v/>
      </c>
      <c r="BL70" s="25">
        <f>BL65-BL69</f>
        <v/>
      </c>
      <c r="BM70" s="25">
        <f>BM65-BM69</f>
        <v/>
      </c>
      <c r="BN70" s="25">
        <f>BN65-BN69</f>
        <v/>
      </c>
      <c r="BO70" s="25">
        <f>BO65-BO69</f>
        <v/>
      </c>
      <c r="BP70" s="25">
        <f>BP65-BP69</f>
        <v/>
      </c>
      <c r="BQ70" s="25">
        <f>BQ65-BQ69</f>
        <v/>
      </c>
      <c r="BR70" s="25">
        <f>BR65-BR69</f>
        <v/>
      </c>
      <c r="BS70" s="25">
        <f>BS65-BS69</f>
        <v/>
      </c>
      <c r="BT70" s="25">
        <f>BT65-BT69</f>
        <v/>
      </c>
      <c r="BU70" s="25">
        <f>BU65-BU69</f>
        <v/>
      </c>
      <c r="BV70" s="25">
        <f>BV65-BV69</f>
        <v/>
      </c>
      <c r="BW70" s="25">
        <f>BW65-BW69</f>
        <v/>
      </c>
      <c r="BX70" s="25">
        <f>BX65-BX69</f>
        <v/>
      </c>
      <c r="BY70" s="25">
        <f>BY65-BY69</f>
        <v/>
      </c>
      <c r="BZ70" s="25">
        <f>BZ65-BZ69</f>
        <v/>
      </c>
      <c r="CA70" s="25">
        <f>CA65-CA69</f>
        <v/>
      </c>
      <c r="CB70" s="25">
        <f>CB65-CB69</f>
        <v/>
      </c>
      <c r="CC70" s="25">
        <f>CC65-CC69</f>
        <v/>
      </c>
      <c r="CD70" s="25">
        <f>CD65-CD69</f>
        <v/>
      </c>
      <c r="CE70" s="25">
        <f>CE65-CE69</f>
        <v/>
      </c>
      <c r="CF70" s="25">
        <f>CF65-CF69</f>
        <v/>
      </c>
      <c r="CG70" s="25">
        <f>CG65-CG69</f>
        <v/>
      </c>
      <c r="CH70" s="25">
        <f>CH65-CH69</f>
        <v/>
      </c>
      <c r="CI70" s="25">
        <f>CI65-CI69</f>
        <v/>
      </c>
      <c r="CJ70" s="25">
        <f>CJ65-CJ69</f>
        <v/>
      </c>
      <c r="CK70" s="25">
        <f>CK65-CK69</f>
        <v/>
      </c>
      <c r="CL70" s="25">
        <f>CL65-CL69</f>
        <v/>
      </c>
      <c r="CM70" s="25">
        <f>CM65-CM69</f>
        <v/>
      </c>
      <c r="CN70" s="25">
        <f>CN65-CN69</f>
        <v/>
      </c>
      <c r="CO70" s="25">
        <f>CO65-CO69</f>
        <v/>
      </c>
      <c r="CP70" s="25">
        <f>CP65-CP69</f>
        <v/>
      </c>
      <c r="CQ70" s="25">
        <f>CQ65-CQ69</f>
        <v/>
      </c>
      <c r="CR70" s="25">
        <f>CR65-CR69</f>
        <v/>
      </c>
      <c r="CS70" s="25">
        <f>CS65-CS69</f>
        <v/>
      </c>
      <c r="CT70" s="25">
        <f>CT65-CT69</f>
        <v/>
      </c>
      <c r="CU70" s="25">
        <f>CU65-CU69</f>
        <v/>
      </c>
      <c r="CV70" s="25">
        <f>CV65-CV69</f>
        <v/>
      </c>
      <c r="CW70" s="25">
        <f>CW65-CW69</f>
        <v/>
      </c>
      <c r="CX70" s="25">
        <f>CX65-CX69</f>
        <v/>
      </c>
      <c r="CY70" s="25">
        <f>CY65-CY69</f>
        <v/>
      </c>
      <c r="CZ70" s="25">
        <f>CZ65-CZ69</f>
        <v/>
      </c>
      <c r="DA70" s="25">
        <f>DA65-DA69</f>
        <v/>
      </c>
      <c r="DB70" s="25">
        <f>DB65-DB69</f>
        <v/>
      </c>
      <c r="DC70" s="25">
        <f>DC65-DC69</f>
        <v/>
      </c>
      <c r="DD70" s="25">
        <f>DD65-DD69</f>
        <v/>
      </c>
      <c r="DE70" s="25">
        <f>DE65-DE69</f>
        <v/>
      </c>
      <c r="DF70" s="25">
        <f>DF65-DF69</f>
        <v/>
      </c>
      <c r="DG70" s="25">
        <f>DG65-DG69</f>
        <v/>
      </c>
      <c r="DH70" s="25">
        <f>DH65-DH69</f>
        <v/>
      </c>
      <c r="DI70" s="25">
        <f>DI65-DI69</f>
        <v/>
      </c>
      <c r="DJ70" s="25">
        <f>DJ65-DJ69</f>
        <v/>
      </c>
      <c r="DK70" s="25">
        <f>DK65-DK69</f>
        <v/>
      </c>
      <c r="DL70" s="25">
        <f>DL65-DL69</f>
        <v/>
      </c>
      <c r="DM70" s="25">
        <f>DM65-DM69</f>
        <v/>
      </c>
      <c r="DN70" s="25">
        <f>DN65-DN69</f>
        <v/>
      </c>
      <c r="DO70" s="25">
        <f>DO65-DO69</f>
        <v/>
      </c>
      <c r="DP70" s="25">
        <f>DP65-DP69</f>
        <v/>
      </c>
      <c r="DQ70" s="25">
        <f>DQ65-DQ69</f>
        <v/>
      </c>
      <c r="DR70" s="25">
        <f>DR65-DR69</f>
        <v/>
      </c>
    </row>
    <row r="71">
      <c r="A71" t="inlineStr">
        <is>
          <t>ar_balance</t>
        </is>
      </c>
      <c r="C71" s="25">
        <f>C18*Effective!$B$11/30</f>
        <v/>
      </c>
      <c r="D71" s="25">
        <f>D18*Effective!$B$11/30</f>
        <v/>
      </c>
      <c r="E71" s="25">
        <f>E18*Effective!$B$11/30</f>
        <v/>
      </c>
      <c r="F71" s="25">
        <f>F18*Effective!$B$11/30</f>
        <v/>
      </c>
      <c r="G71" s="25">
        <f>G18*Effective!$B$11/30</f>
        <v/>
      </c>
      <c r="H71" s="25">
        <f>H18*Effective!$B$11/30</f>
        <v/>
      </c>
      <c r="I71" s="25">
        <f>I18*Effective!$B$11/30</f>
        <v/>
      </c>
      <c r="J71" s="25">
        <f>J18*Effective!$B$11/30</f>
        <v/>
      </c>
      <c r="K71" s="25">
        <f>K18*Effective!$B$11/30</f>
        <v/>
      </c>
      <c r="L71" s="25">
        <f>L18*Effective!$B$11/30</f>
        <v/>
      </c>
      <c r="M71" s="25">
        <f>M18*Effective!$B$11/30</f>
        <v/>
      </c>
      <c r="N71" s="25">
        <f>N18*Effective!$B$11/30</f>
        <v/>
      </c>
      <c r="O71" s="25">
        <f>O18*Effective!$B$11/30</f>
        <v/>
      </c>
      <c r="P71" s="25">
        <f>P18*Effective!$B$11/30</f>
        <v/>
      </c>
      <c r="Q71" s="25">
        <f>Q18*Effective!$B$11/30</f>
        <v/>
      </c>
      <c r="R71" s="25">
        <f>R18*Effective!$B$11/30</f>
        <v/>
      </c>
      <c r="S71" s="25">
        <f>S18*Effective!$B$11/30</f>
        <v/>
      </c>
      <c r="T71" s="25">
        <f>T18*Effective!$B$11/30</f>
        <v/>
      </c>
      <c r="U71" s="25">
        <f>U18*Effective!$B$11/30</f>
        <v/>
      </c>
      <c r="V71" s="25">
        <f>V18*Effective!$B$11/30</f>
        <v/>
      </c>
      <c r="W71" s="25">
        <f>W18*Effective!$B$11/30</f>
        <v/>
      </c>
      <c r="X71" s="25">
        <f>X18*Effective!$B$11/30</f>
        <v/>
      </c>
      <c r="Y71" s="25">
        <f>Y18*Effective!$B$11/30</f>
        <v/>
      </c>
      <c r="Z71" s="25">
        <f>Z18*Effective!$B$11/30</f>
        <v/>
      </c>
      <c r="AA71" s="25">
        <f>AA18*Effective!$B$11/30</f>
        <v/>
      </c>
      <c r="AB71" s="25">
        <f>AB18*Effective!$B$11/30</f>
        <v/>
      </c>
      <c r="AC71" s="25">
        <f>AC18*Effective!$B$11/30</f>
        <v/>
      </c>
      <c r="AD71" s="25">
        <f>AD18*Effective!$B$11/30</f>
        <v/>
      </c>
      <c r="AE71" s="25">
        <f>AE18*Effective!$B$11/30</f>
        <v/>
      </c>
      <c r="AF71" s="25">
        <f>AF18*Effective!$B$11/30</f>
        <v/>
      </c>
      <c r="AG71" s="25">
        <f>AG18*Effective!$B$11/30</f>
        <v/>
      </c>
      <c r="AH71" s="25">
        <f>AH18*Effective!$B$11/30</f>
        <v/>
      </c>
      <c r="AI71" s="25">
        <f>AI18*Effective!$B$11/30</f>
        <v/>
      </c>
      <c r="AJ71" s="25">
        <f>AJ18*Effective!$B$11/30</f>
        <v/>
      </c>
      <c r="AK71" s="25">
        <f>AK18*Effective!$B$11/30</f>
        <v/>
      </c>
      <c r="AL71" s="25">
        <f>AL18*Effective!$B$11/30</f>
        <v/>
      </c>
      <c r="AM71" s="25">
        <f>AM18*Effective!$B$11/30</f>
        <v/>
      </c>
      <c r="AN71" s="25">
        <f>AN18*Effective!$B$11/30</f>
        <v/>
      </c>
      <c r="AO71" s="25">
        <f>AO18*Effective!$B$11/30</f>
        <v/>
      </c>
      <c r="AP71" s="25">
        <f>AP18*Effective!$B$11/30</f>
        <v/>
      </c>
      <c r="AQ71" s="25">
        <f>AQ18*Effective!$B$11/30</f>
        <v/>
      </c>
      <c r="AR71" s="25">
        <f>AR18*Effective!$B$11/30</f>
        <v/>
      </c>
      <c r="AS71" s="25">
        <f>AS18*Effective!$B$11/30</f>
        <v/>
      </c>
      <c r="AT71" s="25">
        <f>AT18*Effective!$B$11/30</f>
        <v/>
      </c>
      <c r="AU71" s="25">
        <f>AU18*Effective!$B$11/30</f>
        <v/>
      </c>
      <c r="AV71" s="25">
        <f>AV18*Effective!$B$11/30</f>
        <v/>
      </c>
      <c r="AW71" s="25">
        <f>AW18*Effective!$B$11/30</f>
        <v/>
      </c>
      <c r="AX71" s="25">
        <f>AX18*Effective!$B$11/30</f>
        <v/>
      </c>
      <c r="AY71" s="25">
        <f>AY18*Effective!$B$11/30</f>
        <v/>
      </c>
      <c r="AZ71" s="25">
        <f>AZ18*Effective!$B$11/30</f>
        <v/>
      </c>
      <c r="BA71" s="25">
        <f>BA18*Effective!$B$11/30</f>
        <v/>
      </c>
      <c r="BB71" s="25">
        <f>BB18*Effective!$B$11/30</f>
        <v/>
      </c>
      <c r="BC71" s="25">
        <f>BC18*Effective!$B$11/30</f>
        <v/>
      </c>
      <c r="BD71" s="25">
        <f>BD18*Effective!$B$11/30</f>
        <v/>
      </c>
      <c r="BE71" s="25">
        <f>BE18*Effective!$B$11/30</f>
        <v/>
      </c>
      <c r="BF71" s="25">
        <f>BF18*Effective!$B$11/30</f>
        <v/>
      </c>
      <c r="BG71" s="25">
        <f>BG18*Effective!$B$11/30</f>
        <v/>
      </c>
      <c r="BH71" s="25">
        <f>BH18*Effective!$B$11/30</f>
        <v/>
      </c>
      <c r="BI71" s="25">
        <f>BI18*Effective!$B$11/30</f>
        <v/>
      </c>
      <c r="BJ71" s="25">
        <f>BJ18*Effective!$B$11/30</f>
        <v/>
      </c>
      <c r="BK71" s="25">
        <f>BK18*Effective!$B$11/30</f>
        <v/>
      </c>
      <c r="BL71" s="25">
        <f>BL18*Effective!$B$11/30</f>
        <v/>
      </c>
      <c r="BM71" s="25">
        <f>BM18*Effective!$B$11/30</f>
        <v/>
      </c>
      <c r="BN71" s="25">
        <f>BN18*Effective!$B$11/30</f>
        <v/>
      </c>
      <c r="BO71" s="25">
        <f>BO18*Effective!$B$11/30</f>
        <v/>
      </c>
      <c r="BP71" s="25">
        <f>BP18*Effective!$B$11/30</f>
        <v/>
      </c>
      <c r="BQ71" s="25">
        <f>BQ18*Effective!$B$11/30</f>
        <v/>
      </c>
      <c r="BR71" s="25">
        <f>BR18*Effective!$B$11/30</f>
        <v/>
      </c>
      <c r="BS71" s="25">
        <f>BS18*Effective!$B$11/30</f>
        <v/>
      </c>
      <c r="BT71" s="25">
        <f>BT18*Effective!$B$11/30</f>
        <v/>
      </c>
      <c r="BU71" s="25">
        <f>BU18*Effective!$B$11/30</f>
        <v/>
      </c>
      <c r="BV71" s="25">
        <f>BV18*Effective!$B$11/30</f>
        <v/>
      </c>
      <c r="BW71" s="25">
        <f>BW18*Effective!$B$11/30</f>
        <v/>
      </c>
      <c r="BX71" s="25">
        <f>BX18*Effective!$B$11/30</f>
        <v/>
      </c>
      <c r="BY71" s="25">
        <f>BY18*Effective!$B$11/30</f>
        <v/>
      </c>
      <c r="BZ71" s="25">
        <f>BZ18*Effective!$B$11/30</f>
        <v/>
      </c>
      <c r="CA71" s="25">
        <f>CA18*Effective!$B$11/30</f>
        <v/>
      </c>
      <c r="CB71" s="25">
        <f>CB18*Effective!$B$11/30</f>
        <v/>
      </c>
      <c r="CC71" s="25">
        <f>CC18*Effective!$B$11/30</f>
        <v/>
      </c>
      <c r="CD71" s="25">
        <f>CD18*Effective!$B$11/30</f>
        <v/>
      </c>
      <c r="CE71" s="25">
        <f>CE18*Effective!$B$11/30</f>
        <v/>
      </c>
      <c r="CF71" s="25">
        <f>CF18*Effective!$B$11/30</f>
        <v/>
      </c>
      <c r="CG71" s="25">
        <f>CG18*Effective!$B$11/30</f>
        <v/>
      </c>
      <c r="CH71" s="25">
        <f>CH18*Effective!$B$11/30</f>
        <v/>
      </c>
      <c r="CI71" s="25">
        <f>CI18*Effective!$B$11/30</f>
        <v/>
      </c>
      <c r="CJ71" s="25">
        <f>CJ18*Effective!$B$11/30</f>
        <v/>
      </c>
      <c r="CK71" s="25">
        <f>CK18*Effective!$B$11/30</f>
        <v/>
      </c>
      <c r="CL71" s="25">
        <f>CL18*Effective!$B$11/30</f>
        <v/>
      </c>
      <c r="CM71" s="25">
        <f>CM18*Effective!$B$11/30</f>
        <v/>
      </c>
      <c r="CN71" s="25">
        <f>CN18*Effective!$B$11/30</f>
        <v/>
      </c>
      <c r="CO71" s="25">
        <f>CO18*Effective!$B$11/30</f>
        <v/>
      </c>
      <c r="CP71" s="25">
        <f>CP18*Effective!$B$11/30</f>
        <v/>
      </c>
      <c r="CQ71" s="25">
        <f>CQ18*Effective!$B$11/30</f>
        <v/>
      </c>
      <c r="CR71" s="25">
        <f>CR18*Effective!$B$11/30</f>
        <v/>
      </c>
      <c r="CS71" s="25">
        <f>CS18*Effective!$B$11/30</f>
        <v/>
      </c>
      <c r="CT71" s="25">
        <f>CT18*Effective!$B$11/30</f>
        <v/>
      </c>
      <c r="CU71" s="25">
        <f>CU18*Effective!$B$11/30</f>
        <v/>
      </c>
      <c r="CV71" s="25">
        <f>CV18*Effective!$B$11/30</f>
        <v/>
      </c>
      <c r="CW71" s="25">
        <f>CW18*Effective!$B$11/30</f>
        <v/>
      </c>
      <c r="CX71" s="25">
        <f>CX18*Effective!$B$11/30</f>
        <v/>
      </c>
      <c r="CY71" s="25">
        <f>CY18*Effective!$B$11/30</f>
        <v/>
      </c>
      <c r="CZ71" s="25">
        <f>CZ18*Effective!$B$11/30</f>
        <v/>
      </c>
      <c r="DA71" s="25">
        <f>DA18*Effective!$B$11/30</f>
        <v/>
      </c>
      <c r="DB71" s="25">
        <f>DB18*Effective!$B$11/30</f>
        <v/>
      </c>
      <c r="DC71" s="25">
        <f>DC18*Effective!$B$11/30</f>
        <v/>
      </c>
      <c r="DD71" s="25">
        <f>DD18*Effective!$B$11/30</f>
        <v/>
      </c>
      <c r="DE71" s="25">
        <f>DE18*Effective!$B$11/30</f>
        <v/>
      </c>
      <c r="DF71" s="25">
        <f>DF18*Effective!$B$11/30</f>
        <v/>
      </c>
      <c r="DG71" s="25">
        <f>DG18*Effective!$B$11/30</f>
        <v/>
      </c>
      <c r="DH71" s="25">
        <f>DH18*Effective!$B$11/30</f>
        <v/>
      </c>
      <c r="DI71" s="25">
        <f>DI18*Effective!$B$11/30</f>
        <v/>
      </c>
      <c r="DJ71" s="25">
        <f>DJ18*Effective!$B$11/30</f>
        <v/>
      </c>
      <c r="DK71" s="25">
        <f>DK18*Effective!$B$11/30</f>
        <v/>
      </c>
      <c r="DL71" s="25">
        <f>DL18*Effective!$B$11/30</f>
        <v/>
      </c>
      <c r="DM71" s="25">
        <f>DM18*Effective!$B$11/30</f>
        <v/>
      </c>
      <c r="DN71" s="25">
        <f>DN18*Effective!$B$11/30</f>
        <v/>
      </c>
      <c r="DO71" s="25">
        <f>DO18*Effective!$B$11/30</f>
        <v/>
      </c>
      <c r="DP71" s="25">
        <f>DP18*Effective!$B$11/30</f>
        <v/>
      </c>
      <c r="DQ71" s="25">
        <f>DQ18*Effective!$B$11/30</f>
        <v/>
      </c>
      <c r="DR71" s="25">
        <f>DR18*Effective!$B$11/30</f>
        <v/>
      </c>
    </row>
    <row r="72">
      <c r="A72" t="inlineStr">
        <is>
          <t>ap_balance</t>
        </is>
      </c>
      <c r="C72" s="25">
        <f>C27*Effective!$B$12/30</f>
        <v/>
      </c>
      <c r="D72" s="25">
        <f>D27*Effective!$B$12/30</f>
        <v/>
      </c>
      <c r="E72" s="25">
        <f>E27*Effective!$B$12/30</f>
        <v/>
      </c>
      <c r="F72" s="25">
        <f>F27*Effective!$B$12/30</f>
        <v/>
      </c>
      <c r="G72" s="25">
        <f>G27*Effective!$B$12/30</f>
        <v/>
      </c>
      <c r="H72" s="25">
        <f>H27*Effective!$B$12/30</f>
        <v/>
      </c>
      <c r="I72" s="25">
        <f>I27*Effective!$B$12/30</f>
        <v/>
      </c>
      <c r="J72" s="25">
        <f>J27*Effective!$B$12/30</f>
        <v/>
      </c>
      <c r="K72" s="25">
        <f>K27*Effective!$B$12/30</f>
        <v/>
      </c>
      <c r="L72" s="25">
        <f>L27*Effective!$B$12/30</f>
        <v/>
      </c>
      <c r="M72" s="25">
        <f>M27*Effective!$B$12/30</f>
        <v/>
      </c>
      <c r="N72" s="25">
        <f>N27*Effective!$B$12/30</f>
        <v/>
      </c>
      <c r="O72" s="25">
        <f>O27*Effective!$B$12/30</f>
        <v/>
      </c>
      <c r="P72" s="25">
        <f>P27*Effective!$B$12/30</f>
        <v/>
      </c>
      <c r="Q72" s="25">
        <f>Q27*Effective!$B$12/30</f>
        <v/>
      </c>
      <c r="R72" s="25">
        <f>R27*Effective!$B$12/30</f>
        <v/>
      </c>
      <c r="S72" s="25">
        <f>S27*Effective!$B$12/30</f>
        <v/>
      </c>
      <c r="T72" s="25">
        <f>T27*Effective!$B$12/30</f>
        <v/>
      </c>
      <c r="U72" s="25">
        <f>U27*Effective!$B$12/30</f>
        <v/>
      </c>
      <c r="V72" s="25">
        <f>V27*Effective!$B$12/30</f>
        <v/>
      </c>
      <c r="W72" s="25">
        <f>W27*Effective!$B$12/30</f>
        <v/>
      </c>
      <c r="X72" s="25">
        <f>X27*Effective!$B$12/30</f>
        <v/>
      </c>
      <c r="Y72" s="25">
        <f>Y27*Effective!$B$12/30</f>
        <v/>
      </c>
      <c r="Z72" s="25">
        <f>Z27*Effective!$B$12/30</f>
        <v/>
      </c>
      <c r="AA72" s="25">
        <f>AA27*Effective!$B$12/30</f>
        <v/>
      </c>
      <c r="AB72" s="25">
        <f>AB27*Effective!$B$12/30</f>
        <v/>
      </c>
      <c r="AC72" s="25">
        <f>AC27*Effective!$B$12/30</f>
        <v/>
      </c>
      <c r="AD72" s="25">
        <f>AD27*Effective!$B$12/30</f>
        <v/>
      </c>
      <c r="AE72" s="25">
        <f>AE27*Effective!$B$12/30</f>
        <v/>
      </c>
      <c r="AF72" s="25">
        <f>AF27*Effective!$B$12/30</f>
        <v/>
      </c>
      <c r="AG72" s="25">
        <f>AG27*Effective!$B$12/30</f>
        <v/>
      </c>
      <c r="AH72" s="25">
        <f>AH27*Effective!$B$12/30</f>
        <v/>
      </c>
      <c r="AI72" s="25">
        <f>AI27*Effective!$B$12/30</f>
        <v/>
      </c>
      <c r="AJ72" s="25">
        <f>AJ27*Effective!$B$12/30</f>
        <v/>
      </c>
      <c r="AK72" s="25">
        <f>AK27*Effective!$B$12/30</f>
        <v/>
      </c>
      <c r="AL72" s="25">
        <f>AL27*Effective!$B$12/30</f>
        <v/>
      </c>
      <c r="AM72" s="25">
        <f>AM27*Effective!$B$12/30</f>
        <v/>
      </c>
      <c r="AN72" s="25">
        <f>AN27*Effective!$B$12/30</f>
        <v/>
      </c>
      <c r="AO72" s="25">
        <f>AO27*Effective!$B$12/30</f>
        <v/>
      </c>
      <c r="AP72" s="25">
        <f>AP27*Effective!$B$12/30</f>
        <v/>
      </c>
      <c r="AQ72" s="25">
        <f>AQ27*Effective!$B$12/30</f>
        <v/>
      </c>
      <c r="AR72" s="25">
        <f>AR27*Effective!$B$12/30</f>
        <v/>
      </c>
      <c r="AS72" s="25">
        <f>AS27*Effective!$B$12/30</f>
        <v/>
      </c>
      <c r="AT72" s="25">
        <f>AT27*Effective!$B$12/30</f>
        <v/>
      </c>
      <c r="AU72" s="25">
        <f>AU27*Effective!$B$12/30</f>
        <v/>
      </c>
      <c r="AV72" s="25">
        <f>AV27*Effective!$B$12/30</f>
        <v/>
      </c>
      <c r="AW72" s="25">
        <f>AW27*Effective!$B$12/30</f>
        <v/>
      </c>
      <c r="AX72" s="25">
        <f>AX27*Effective!$B$12/30</f>
        <v/>
      </c>
      <c r="AY72" s="25">
        <f>AY27*Effective!$B$12/30</f>
        <v/>
      </c>
      <c r="AZ72" s="25">
        <f>AZ27*Effective!$B$12/30</f>
        <v/>
      </c>
      <c r="BA72" s="25">
        <f>BA27*Effective!$B$12/30</f>
        <v/>
      </c>
      <c r="BB72" s="25">
        <f>BB27*Effective!$B$12/30</f>
        <v/>
      </c>
      <c r="BC72" s="25">
        <f>BC27*Effective!$B$12/30</f>
        <v/>
      </c>
      <c r="BD72" s="25">
        <f>BD27*Effective!$B$12/30</f>
        <v/>
      </c>
      <c r="BE72" s="25">
        <f>BE27*Effective!$B$12/30</f>
        <v/>
      </c>
      <c r="BF72" s="25">
        <f>BF27*Effective!$B$12/30</f>
        <v/>
      </c>
      <c r="BG72" s="25">
        <f>BG27*Effective!$B$12/30</f>
        <v/>
      </c>
      <c r="BH72" s="25">
        <f>BH27*Effective!$B$12/30</f>
        <v/>
      </c>
      <c r="BI72" s="25">
        <f>BI27*Effective!$B$12/30</f>
        <v/>
      </c>
      <c r="BJ72" s="25">
        <f>BJ27*Effective!$B$12/30</f>
        <v/>
      </c>
      <c r="BK72" s="25">
        <f>BK27*Effective!$B$12/30</f>
        <v/>
      </c>
      <c r="BL72" s="25">
        <f>BL27*Effective!$B$12/30</f>
        <v/>
      </c>
      <c r="BM72" s="25">
        <f>BM27*Effective!$B$12/30</f>
        <v/>
      </c>
      <c r="BN72" s="25">
        <f>BN27*Effective!$B$12/30</f>
        <v/>
      </c>
      <c r="BO72" s="25">
        <f>BO27*Effective!$B$12/30</f>
        <v/>
      </c>
      <c r="BP72" s="25">
        <f>BP27*Effective!$B$12/30</f>
        <v/>
      </c>
      <c r="BQ72" s="25">
        <f>BQ27*Effective!$B$12/30</f>
        <v/>
      </c>
      <c r="BR72" s="25">
        <f>BR27*Effective!$B$12/30</f>
        <v/>
      </c>
      <c r="BS72" s="25">
        <f>BS27*Effective!$B$12/30</f>
        <v/>
      </c>
      <c r="BT72" s="25">
        <f>BT27*Effective!$B$12/30</f>
        <v/>
      </c>
      <c r="BU72" s="25">
        <f>BU27*Effective!$B$12/30</f>
        <v/>
      </c>
      <c r="BV72" s="25">
        <f>BV27*Effective!$B$12/30</f>
        <v/>
      </c>
      <c r="BW72" s="25">
        <f>BW27*Effective!$B$12/30</f>
        <v/>
      </c>
      <c r="BX72" s="25">
        <f>BX27*Effective!$B$12/30</f>
        <v/>
      </c>
      <c r="BY72" s="25">
        <f>BY27*Effective!$B$12/30</f>
        <v/>
      </c>
      <c r="BZ72" s="25">
        <f>BZ27*Effective!$B$12/30</f>
        <v/>
      </c>
      <c r="CA72" s="25">
        <f>CA27*Effective!$B$12/30</f>
        <v/>
      </c>
      <c r="CB72" s="25">
        <f>CB27*Effective!$B$12/30</f>
        <v/>
      </c>
      <c r="CC72" s="25">
        <f>CC27*Effective!$B$12/30</f>
        <v/>
      </c>
      <c r="CD72" s="25">
        <f>CD27*Effective!$B$12/30</f>
        <v/>
      </c>
      <c r="CE72" s="25">
        <f>CE27*Effective!$B$12/30</f>
        <v/>
      </c>
      <c r="CF72" s="25">
        <f>CF27*Effective!$B$12/30</f>
        <v/>
      </c>
      <c r="CG72" s="25">
        <f>CG27*Effective!$B$12/30</f>
        <v/>
      </c>
      <c r="CH72" s="25">
        <f>CH27*Effective!$B$12/30</f>
        <v/>
      </c>
      <c r="CI72" s="25">
        <f>CI27*Effective!$B$12/30</f>
        <v/>
      </c>
      <c r="CJ72" s="25">
        <f>CJ27*Effective!$B$12/30</f>
        <v/>
      </c>
      <c r="CK72" s="25">
        <f>CK27*Effective!$B$12/30</f>
        <v/>
      </c>
      <c r="CL72" s="25">
        <f>CL27*Effective!$B$12/30</f>
        <v/>
      </c>
      <c r="CM72" s="25">
        <f>CM27*Effective!$B$12/30</f>
        <v/>
      </c>
      <c r="CN72" s="25">
        <f>CN27*Effective!$B$12/30</f>
        <v/>
      </c>
      <c r="CO72" s="25">
        <f>CO27*Effective!$B$12/30</f>
        <v/>
      </c>
      <c r="CP72" s="25">
        <f>CP27*Effective!$B$12/30</f>
        <v/>
      </c>
      <c r="CQ72" s="25">
        <f>CQ27*Effective!$B$12/30</f>
        <v/>
      </c>
      <c r="CR72" s="25">
        <f>CR27*Effective!$B$12/30</f>
        <v/>
      </c>
      <c r="CS72" s="25">
        <f>CS27*Effective!$B$12/30</f>
        <v/>
      </c>
      <c r="CT72" s="25">
        <f>CT27*Effective!$B$12/30</f>
        <v/>
      </c>
      <c r="CU72" s="25">
        <f>CU27*Effective!$B$12/30</f>
        <v/>
      </c>
      <c r="CV72" s="25">
        <f>CV27*Effective!$B$12/30</f>
        <v/>
      </c>
      <c r="CW72" s="25">
        <f>CW27*Effective!$B$12/30</f>
        <v/>
      </c>
      <c r="CX72" s="25">
        <f>CX27*Effective!$B$12/30</f>
        <v/>
      </c>
      <c r="CY72" s="25">
        <f>CY27*Effective!$B$12/30</f>
        <v/>
      </c>
      <c r="CZ72" s="25">
        <f>CZ27*Effective!$B$12/30</f>
        <v/>
      </c>
      <c r="DA72" s="25">
        <f>DA27*Effective!$B$12/30</f>
        <v/>
      </c>
      <c r="DB72" s="25">
        <f>DB27*Effective!$B$12/30</f>
        <v/>
      </c>
      <c r="DC72" s="25">
        <f>DC27*Effective!$B$12/30</f>
        <v/>
      </c>
      <c r="DD72" s="25">
        <f>DD27*Effective!$B$12/30</f>
        <v/>
      </c>
      <c r="DE72" s="25">
        <f>DE27*Effective!$B$12/30</f>
        <v/>
      </c>
      <c r="DF72" s="25">
        <f>DF27*Effective!$B$12/30</f>
        <v/>
      </c>
      <c r="DG72" s="25">
        <f>DG27*Effective!$B$12/30</f>
        <v/>
      </c>
      <c r="DH72" s="25">
        <f>DH27*Effective!$B$12/30</f>
        <v/>
      </c>
      <c r="DI72" s="25">
        <f>DI27*Effective!$B$12/30</f>
        <v/>
      </c>
      <c r="DJ72" s="25">
        <f>DJ27*Effective!$B$12/30</f>
        <v/>
      </c>
      <c r="DK72" s="25">
        <f>DK27*Effective!$B$12/30</f>
        <v/>
      </c>
      <c r="DL72" s="25">
        <f>DL27*Effective!$B$12/30</f>
        <v/>
      </c>
      <c r="DM72" s="25">
        <f>DM27*Effective!$B$12/30</f>
        <v/>
      </c>
      <c r="DN72" s="25">
        <f>DN27*Effective!$B$12/30</f>
        <v/>
      </c>
      <c r="DO72" s="25">
        <f>DO27*Effective!$B$12/30</f>
        <v/>
      </c>
      <c r="DP72" s="25">
        <f>DP27*Effective!$B$12/30</f>
        <v/>
      </c>
      <c r="DQ72" s="25">
        <f>DQ27*Effective!$B$12/30</f>
        <v/>
      </c>
      <c r="DR72" s="25">
        <f>DR27*Effective!$B$12/30</f>
        <v/>
      </c>
    </row>
    <row r="73">
      <c r="A73" t="inlineStr">
        <is>
          <t>inv_balance</t>
        </is>
      </c>
      <c r="C73" s="25">
        <f>C27*Effective!$B$13/30</f>
        <v/>
      </c>
      <c r="D73" s="25">
        <f>D27*Effective!$B$13/30</f>
        <v/>
      </c>
      <c r="E73" s="25">
        <f>E27*Effective!$B$13/30</f>
        <v/>
      </c>
      <c r="F73" s="25">
        <f>F27*Effective!$B$13/30</f>
        <v/>
      </c>
      <c r="G73" s="25">
        <f>G27*Effective!$B$13/30</f>
        <v/>
      </c>
      <c r="H73" s="25">
        <f>H27*Effective!$B$13/30</f>
        <v/>
      </c>
      <c r="I73" s="25">
        <f>I27*Effective!$B$13/30</f>
        <v/>
      </c>
      <c r="J73" s="25">
        <f>J27*Effective!$B$13/30</f>
        <v/>
      </c>
      <c r="K73" s="25">
        <f>K27*Effective!$B$13/30</f>
        <v/>
      </c>
      <c r="L73" s="25">
        <f>L27*Effective!$B$13/30</f>
        <v/>
      </c>
      <c r="M73" s="25">
        <f>M27*Effective!$B$13/30</f>
        <v/>
      </c>
      <c r="N73" s="25">
        <f>N27*Effective!$B$13/30</f>
        <v/>
      </c>
      <c r="O73" s="25">
        <f>O27*Effective!$B$13/30</f>
        <v/>
      </c>
      <c r="P73" s="25">
        <f>P27*Effective!$B$13/30</f>
        <v/>
      </c>
      <c r="Q73" s="25">
        <f>Q27*Effective!$B$13/30</f>
        <v/>
      </c>
      <c r="R73" s="25">
        <f>R27*Effective!$B$13/30</f>
        <v/>
      </c>
      <c r="S73" s="25">
        <f>S27*Effective!$B$13/30</f>
        <v/>
      </c>
      <c r="T73" s="25">
        <f>T27*Effective!$B$13/30</f>
        <v/>
      </c>
      <c r="U73" s="25">
        <f>U27*Effective!$B$13/30</f>
        <v/>
      </c>
      <c r="V73" s="25">
        <f>V27*Effective!$B$13/30</f>
        <v/>
      </c>
      <c r="W73" s="25">
        <f>W27*Effective!$B$13/30</f>
        <v/>
      </c>
      <c r="X73" s="25">
        <f>X27*Effective!$B$13/30</f>
        <v/>
      </c>
      <c r="Y73" s="25">
        <f>Y27*Effective!$B$13/30</f>
        <v/>
      </c>
      <c r="Z73" s="25">
        <f>Z27*Effective!$B$13/30</f>
        <v/>
      </c>
      <c r="AA73" s="25">
        <f>AA27*Effective!$B$13/30</f>
        <v/>
      </c>
      <c r="AB73" s="25">
        <f>AB27*Effective!$B$13/30</f>
        <v/>
      </c>
      <c r="AC73" s="25">
        <f>AC27*Effective!$B$13/30</f>
        <v/>
      </c>
      <c r="AD73" s="25">
        <f>AD27*Effective!$B$13/30</f>
        <v/>
      </c>
      <c r="AE73" s="25">
        <f>AE27*Effective!$B$13/30</f>
        <v/>
      </c>
      <c r="AF73" s="25">
        <f>AF27*Effective!$B$13/30</f>
        <v/>
      </c>
      <c r="AG73" s="25">
        <f>AG27*Effective!$B$13/30</f>
        <v/>
      </c>
      <c r="AH73" s="25">
        <f>AH27*Effective!$B$13/30</f>
        <v/>
      </c>
      <c r="AI73" s="25">
        <f>AI27*Effective!$B$13/30</f>
        <v/>
      </c>
      <c r="AJ73" s="25">
        <f>AJ27*Effective!$B$13/30</f>
        <v/>
      </c>
      <c r="AK73" s="25">
        <f>AK27*Effective!$B$13/30</f>
        <v/>
      </c>
      <c r="AL73" s="25">
        <f>AL27*Effective!$B$13/30</f>
        <v/>
      </c>
      <c r="AM73" s="25">
        <f>AM27*Effective!$B$13/30</f>
        <v/>
      </c>
      <c r="AN73" s="25">
        <f>AN27*Effective!$B$13/30</f>
        <v/>
      </c>
      <c r="AO73" s="25">
        <f>AO27*Effective!$B$13/30</f>
        <v/>
      </c>
      <c r="AP73" s="25">
        <f>AP27*Effective!$B$13/30</f>
        <v/>
      </c>
      <c r="AQ73" s="25">
        <f>AQ27*Effective!$B$13/30</f>
        <v/>
      </c>
      <c r="AR73" s="25">
        <f>AR27*Effective!$B$13/30</f>
        <v/>
      </c>
      <c r="AS73" s="25">
        <f>AS27*Effective!$B$13/30</f>
        <v/>
      </c>
      <c r="AT73" s="25">
        <f>AT27*Effective!$B$13/30</f>
        <v/>
      </c>
      <c r="AU73" s="25">
        <f>AU27*Effective!$B$13/30</f>
        <v/>
      </c>
      <c r="AV73" s="25">
        <f>AV27*Effective!$B$13/30</f>
        <v/>
      </c>
      <c r="AW73" s="25">
        <f>AW27*Effective!$B$13/30</f>
        <v/>
      </c>
      <c r="AX73" s="25">
        <f>AX27*Effective!$B$13/30</f>
        <v/>
      </c>
      <c r="AY73" s="25">
        <f>AY27*Effective!$B$13/30</f>
        <v/>
      </c>
      <c r="AZ73" s="25">
        <f>AZ27*Effective!$B$13/30</f>
        <v/>
      </c>
      <c r="BA73" s="25">
        <f>BA27*Effective!$B$13/30</f>
        <v/>
      </c>
      <c r="BB73" s="25">
        <f>BB27*Effective!$B$13/30</f>
        <v/>
      </c>
      <c r="BC73" s="25">
        <f>BC27*Effective!$B$13/30</f>
        <v/>
      </c>
      <c r="BD73" s="25">
        <f>BD27*Effective!$B$13/30</f>
        <v/>
      </c>
      <c r="BE73" s="25">
        <f>BE27*Effective!$B$13/30</f>
        <v/>
      </c>
      <c r="BF73" s="25">
        <f>BF27*Effective!$B$13/30</f>
        <v/>
      </c>
      <c r="BG73" s="25">
        <f>BG27*Effective!$B$13/30</f>
        <v/>
      </c>
      <c r="BH73" s="25">
        <f>BH27*Effective!$B$13/30</f>
        <v/>
      </c>
      <c r="BI73" s="25">
        <f>BI27*Effective!$B$13/30</f>
        <v/>
      </c>
      <c r="BJ73" s="25">
        <f>BJ27*Effective!$B$13/30</f>
        <v/>
      </c>
      <c r="BK73" s="25">
        <f>BK27*Effective!$B$13/30</f>
        <v/>
      </c>
      <c r="BL73" s="25">
        <f>BL27*Effective!$B$13/30</f>
        <v/>
      </c>
      <c r="BM73" s="25">
        <f>BM27*Effective!$B$13/30</f>
        <v/>
      </c>
      <c r="BN73" s="25">
        <f>BN27*Effective!$B$13/30</f>
        <v/>
      </c>
      <c r="BO73" s="25">
        <f>BO27*Effective!$B$13/30</f>
        <v/>
      </c>
      <c r="BP73" s="25">
        <f>BP27*Effective!$B$13/30</f>
        <v/>
      </c>
      <c r="BQ73" s="25">
        <f>BQ27*Effective!$B$13/30</f>
        <v/>
      </c>
      <c r="BR73" s="25">
        <f>BR27*Effective!$B$13/30</f>
        <v/>
      </c>
      <c r="BS73" s="25">
        <f>BS27*Effective!$B$13/30</f>
        <v/>
      </c>
      <c r="BT73" s="25">
        <f>BT27*Effective!$B$13/30</f>
        <v/>
      </c>
      <c r="BU73" s="25">
        <f>BU27*Effective!$B$13/30</f>
        <v/>
      </c>
      <c r="BV73" s="25">
        <f>BV27*Effective!$B$13/30</f>
        <v/>
      </c>
      <c r="BW73" s="25">
        <f>BW27*Effective!$B$13/30</f>
        <v/>
      </c>
      <c r="BX73" s="25">
        <f>BX27*Effective!$B$13/30</f>
        <v/>
      </c>
      <c r="BY73" s="25">
        <f>BY27*Effective!$B$13/30</f>
        <v/>
      </c>
      <c r="BZ73" s="25">
        <f>BZ27*Effective!$B$13/30</f>
        <v/>
      </c>
      <c r="CA73" s="25">
        <f>CA27*Effective!$B$13/30</f>
        <v/>
      </c>
      <c r="CB73" s="25">
        <f>CB27*Effective!$B$13/30</f>
        <v/>
      </c>
      <c r="CC73" s="25">
        <f>CC27*Effective!$B$13/30</f>
        <v/>
      </c>
      <c r="CD73" s="25">
        <f>CD27*Effective!$B$13/30</f>
        <v/>
      </c>
      <c r="CE73" s="25">
        <f>CE27*Effective!$B$13/30</f>
        <v/>
      </c>
      <c r="CF73" s="25">
        <f>CF27*Effective!$B$13/30</f>
        <v/>
      </c>
      <c r="CG73" s="25">
        <f>CG27*Effective!$B$13/30</f>
        <v/>
      </c>
      <c r="CH73" s="25">
        <f>CH27*Effective!$B$13/30</f>
        <v/>
      </c>
      <c r="CI73" s="25">
        <f>CI27*Effective!$B$13/30</f>
        <v/>
      </c>
      <c r="CJ73" s="25">
        <f>CJ27*Effective!$B$13/30</f>
        <v/>
      </c>
      <c r="CK73" s="25">
        <f>CK27*Effective!$B$13/30</f>
        <v/>
      </c>
      <c r="CL73" s="25">
        <f>CL27*Effective!$B$13/30</f>
        <v/>
      </c>
      <c r="CM73" s="25">
        <f>CM27*Effective!$B$13/30</f>
        <v/>
      </c>
      <c r="CN73" s="25">
        <f>CN27*Effective!$B$13/30</f>
        <v/>
      </c>
      <c r="CO73" s="25">
        <f>CO27*Effective!$B$13/30</f>
        <v/>
      </c>
      <c r="CP73" s="25">
        <f>CP27*Effective!$B$13/30</f>
        <v/>
      </c>
      <c r="CQ73" s="25">
        <f>CQ27*Effective!$B$13/30</f>
        <v/>
      </c>
      <c r="CR73" s="25">
        <f>CR27*Effective!$B$13/30</f>
        <v/>
      </c>
      <c r="CS73" s="25">
        <f>CS27*Effective!$B$13/30</f>
        <v/>
      </c>
      <c r="CT73" s="25">
        <f>CT27*Effective!$B$13/30</f>
        <v/>
      </c>
      <c r="CU73" s="25">
        <f>CU27*Effective!$B$13/30</f>
        <v/>
      </c>
      <c r="CV73" s="25">
        <f>CV27*Effective!$B$13/30</f>
        <v/>
      </c>
      <c r="CW73" s="25">
        <f>CW27*Effective!$B$13/30</f>
        <v/>
      </c>
      <c r="CX73" s="25">
        <f>CX27*Effective!$B$13/30</f>
        <v/>
      </c>
      <c r="CY73" s="25">
        <f>CY27*Effective!$B$13/30</f>
        <v/>
      </c>
      <c r="CZ73" s="25">
        <f>CZ27*Effective!$B$13/30</f>
        <v/>
      </c>
      <c r="DA73" s="25">
        <f>DA27*Effective!$B$13/30</f>
        <v/>
      </c>
      <c r="DB73" s="25">
        <f>DB27*Effective!$B$13/30</f>
        <v/>
      </c>
      <c r="DC73" s="25">
        <f>DC27*Effective!$B$13/30</f>
        <v/>
      </c>
      <c r="DD73" s="25">
        <f>DD27*Effective!$B$13/30</f>
        <v/>
      </c>
      <c r="DE73" s="25">
        <f>DE27*Effective!$B$13/30</f>
        <v/>
      </c>
      <c r="DF73" s="25">
        <f>DF27*Effective!$B$13/30</f>
        <v/>
      </c>
      <c r="DG73" s="25">
        <f>DG27*Effective!$B$13/30</f>
        <v/>
      </c>
      <c r="DH73" s="25">
        <f>DH27*Effective!$B$13/30</f>
        <v/>
      </c>
      <c r="DI73" s="25">
        <f>DI27*Effective!$B$13/30</f>
        <v/>
      </c>
      <c r="DJ73" s="25">
        <f>DJ27*Effective!$B$13/30</f>
        <v/>
      </c>
      <c r="DK73" s="25">
        <f>DK27*Effective!$B$13/30</f>
        <v/>
      </c>
      <c r="DL73" s="25">
        <f>DL27*Effective!$B$13/30</f>
        <v/>
      </c>
      <c r="DM73" s="25">
        <f>DM27*Effective!$B$13/30</f>
        <v/>
      </c>
      <c r="DN73" s="25">
        <f>DN27*Effective!$B$13/30</f>
        <v/>
      </c>
      <c r="DO73" s="25">
        <f>DO27*Effective!$B$13/30</f>
        <v/>
      </c>
      <c r="DP73" s="25">
        <f>DP27*Effective!$B$13/30</f>
        <v/>
      </c>
      <c r="DQ73" s="25">
        <f>DQ27*Effective!$B$13/30</f>
        <v/>
      </c>
      <c r="DR73" s="25">
        <f>DR27*Effective!$B$13/30</f>
        <v/>
      </c>
    </row>
    <row r="74">
      <c r="A74" t="inlineStr">
        <is>
          <t>wc_cash_impact</t>
        </is>
      </c>
      <c r="B74" t="inlineStr">
        <is>
          <t>-dAR + dAP - dInv</t>
        </is>
      </c>
      <c r="C74" s="25">
        <f>IF(C$4=0,0,-(C71-Effective!$B$15)+(C72-Effective!$B$16)-(C73-Effective!$B$17))</f>
        <v/>
      </c>
      <c r="D74" s="25">
        <f>IF(D$4=0,0,-(D71-C71)+(D72-C72)-(D73-C73))</f>
        <v/>
      </c>
      <c r="E74" s="25">
        <f>IF(E$4=0,0,-(E71-D71)+(E72-D72)-(E73-D73))</f>
        <v/>
      </c>
      <c r="F74" s="25">
        <f>IF(F$4=0,0,-(F71-E71)+(F72-E72)-(F73-E73))</f>
        <v/>
      </c>
      <c r="G74" s="25">
        <f>IF(G$4=0,0,-(G71-F71)+(G72-F72)-(G73-F73))</f>
        <v/>
      </c>
      <c r="H74" s="25">
        <f>IF(H$4=0,0,-(H71-G71)+(H72-G72)-(H73-G73))</f>
        <v/>
      </c>
      <c r="I74" s="25">
        <f>IF(I$4=0,0,-(I71-H71)+(I72-H72)-(I73-H73))</f>
        <v/>
      </c>
      <c r="J74" s="25">
        <f>IF(J$4=0,0,-(J71-I71)+(J72-I72)-(J73-I73))</f>
        <v/>
      </c>
      <c r="K74" s="25">
        <f>IF(K$4=0,0,-(K71-J71)+(K72-J72)-(K73-J73))</f>
        <v/>
      </c>
      <c r="L74" s="25">
        <f>IF(L$4=0,0,-(L71-K71)+(L72-K72)-(L73-K73))</f>
        <v/>
      </c>
      <c r="M74" s="25">
        <f>IF(M$4=0,0,-(M71-L71)+(M72-L72)-(M73-L73))</f>
        <v/>
      </c>
      <c r="N74" s="25">
        <f>IF(N$4=0,0,-(N71-M71)+(N72-M72)-(N73-M73))</f>
        <v/>
      </c>
      <c r="O74" s="25">
        <f>IF(O$4=0,0,-(O71-N71)+(O72-N72)-(O73-N73))</f>
        <v/>
      </c>
      <c r="P74" s="25">
        <f>IF(P$4=0,0,-(P71-O71)+(P72-O72)-(P73-O73))</f>
        <v/>
      </c>
      <c r="Q74" s="25">
        <f>IF(Q$4=0,0,-(Q71-P71)+(Q72-P72)-(Q73-P73))</f>
        <v/>
      </c>
      <c r="R74" s="25">
        <f>IF(R$4=0,0,-(R71-Q71)+(R72-Q72)-(R73-Q73))</f>
        <v/>
      </c>
      <c r="S74" s="25">
        <f>IF(S$4=0,0,-(S71-R71)+(S72-R72)-(S73-R73))</f>
        <v/>
      </c>
      <c r="T74" s="25">
        <f>IF(T$4=0,0,-(T71-S71)+(T72-S72)-(T73-S73))</f>
        <v/>
      </c>
      <c r="U74" s="25">
        <f>IF(U$4=0,0,-(U71-T71)+(U72-T72)-(U73-T73))</f>
        <v/>
      </c>
      <c r="V74" s="25">
        <f>IF(V$4=0,0,-(V71-U71)+(V72-U72)-(V73-U73))</f>
        <v/>
      </c>
      <c r="W74" s="25">
        <f>IF(W$4=0,0,-(W71-V71)+(W72-V72)-(W73-V73))</f>
        <v/>
      </c>
      <c r="X74" s="25">
        <f>IF(X$4=0,0,-(X71-W71)+(X72-W72)-(X73-W73))</f>
        <v/>
      </c>
      <c r="Y74" s="25">
        <f>IF(Y$4=0,0,-(Y71-X71)+(Y72-X72)-(Y73-X73))</f>
        <v/>
      </c>
      <c r="Z74" s="25">
        <f>IF(Z$4=0,0,-(Z71-Y71)+(Z72-Y72)-(Z73-Y73))</f>
        <v/>
      </c>
      <c r="AA74" s="25">
        <f>IF(AA$4=0,0,-(AA71-Z71)+(AA72-Z72)-(AA73-Z73))</f>
        <v/>
      </c>
      <c r="AB74" s="25">
        <f>IF(AB$4=0,0,-(AB71-AA71)+(AB72-AA72)-(AB73-AA73))</f>
        <v/>
      </c>
      <c r="AC74" s="25">
        <f>IF(AC$4=0,0,-(AC71-AB71)+(AC72-AB72)-(AC73-AB73))</f>
        <v/>
      </c>
      <c r="AD74" s="25">
        <f>IF(AD$4=0,0,-(AD71-AC71)+(AD72-AC72)-(AD73-AC73))</f>
        <v/>
      </c>
      <c r="AE74" s="25">
        <f>IF(AE$4=0,0,-(AE71-AD71)+(AE72-AD72)-(AE73-AD73))</f>
        <v/>
      </c>
      <c r="AF74" s="25">
        <f>IF(AF$4=0,0,-(AF71-AE71)+(AF72-AE72)-(AF73-AE73))</f>
        <v/>
      </c>
      <c r="AG74" s="25">
        <f>IF(AG$4=0,0,-(AG71-AF71)+(AG72-AF72)-(AG73-AF73))</f>
        <v/>
      </c>
      <c r="AH74" s="25">
        <f>IF(AH$4=0,0,-(AH71-AG71)+(AH72-AG72)-(AH73-AG73))</f>
        <v/>
      </c>
      <c r="AI74" s="25">
        <f>IF(AI$4=0,0,-(AI71-AH71)+(AI72-AH72)-(AI73-AH73))</f>
        <v/>
      </c>
      <c r="AJ74" s="25">
        <f>IF(AJ$4=0,0,-(AJ71-AI71)+(AJ72-AI72)-(AJ73-AI73))</f>
        <v/>
      </c>
      <c r="AK74" s="25">
        <f>IF(AK$4=0,0,-(AK71-AJ71)+(AK72-AJ72)-(AK73-AJ73))</f>
        <v/>
      </c>
      <c r="AL74" s="25">
        <f>IF(AL$4=0,0,-(AL71-AK71)+(AL72-AK72)-(AL73-AK73))</f>
        <v/>
      </c>
      <c r="AM74" s="25">
        <f>IF(AM$4=0,0,-(AM71-AL71)+(AM72-AL72)-(AM73-AL73))</f>
        <v/>
      </c>
      <c r="AN74" s="25">
        <f>IF(AN$4=0,0,-(AN71-AM71)+(AN72-AM72)-(AN73-AM73))</f>
        <v/>
      </c>
      <c r="AO74" s="25">
        <f>IF(AO$4=0,0,-(AO71-AN71)+(AO72-AN72)-(AO73-AN73))</f>
        <v/>
      </c>
      <c r="AP74" s="25">
        <f>IF(AP$4=0,0,-(AP71-AO71)+(AP72-AO72)-(AP73-AO73))</f>
        <v/>
      </c>
      <c r="AQ74" s="25">
        <f>IF(AQ$4=0,0,-(AQ71-AP71)+(AQ72-AP72)-(AQ73-AP73))</f>
        <v/>
      </c>
      <c r="AR74" s="25">
        <f>IF(AR$4=0,0,-(AR71-AQ71)+(AR72-AQ72)-(AR73-AQ73))</f>
        <v/>
      </c>
      <c r="AS74" s="25">
        <f>IF(AS$4=0,0,-(AS71-AR71)+(AS72-AR72)-(AS73-AR73))</f>
        <v/>
      </c>
      <c r="AT74" s="25">
        <f>IF(AT$4=0,0,-(AT71-AS71)+(AT72-AS72)-(AT73-AS73))</f>
        <v/>
      </c>
      <c r="AU74" s="25">
        <f>IF(AU$4=0,0,-(AU71-AT71)+(AU72-AT72)-(AU73-AT73))</f>
        <v/>
      </c>
      <c r="AV74" s="25">
        <f>IF(AV$4=0,0,-(AV71-AU71)+(AV72-AU72)-(AV73-AU73))</f>
        <v/>
      </c>
      <c r="AW74" s="25">
        <f>IF(AW$4=0,0,-(AW71-AV71)+(AW72-AV72)-(AW73-AV73))</f>
        <v/>
      </c>
      <c r="AX74" s="25">
        <f>IF(AX$4=0,0,-(AX71-AW71)+(AX72-AW72)-(AX73-AW73))</f>
        <v/>
      </c>
      <c r="AY74" s="25">
        <f>IF(AY$4=0,0,-(AY71-AX71)+(AY72-AX72)-(AY73-AX73))</f>
        <v/>
      </c>
      <c r="AZ74" s="25">
        <f>IF(AZ$4=0,0,-(AZ71-AY71)+(AZ72-AY72)-(AZ73-AY73))</f>
        <v/>
      </c>
      <c r="BA74" s="25">
        <f>IF(BA$4=0,0,-(BA71-AZ71)+(BA72-AZ72)-(BA73-AZ73))</f>
        <v/>
      </c>
      <c r="BB74" s="25">
        <f>IF(BB$4=0,0,-(BB71-BA71)+(BB72-BA72)-(BB73-BA73))</f>
        <v/>
      </c>
      <c r="BC74" s="25">
        <f>IF(BC$4=0,0,-(BC71-BB71)+(BC72-BB72)-(BC73-BB73))</f>
        <v/>
      </c>
      <c r="BD74" s="25">
        <f>IF(BD$4=0,0,-(BD71-BC71)+(BD72-BC72)-(BD73-BC73))</f>
        <v/>
      </c>
      <c r="BE74" s="25">
        <f>IF(BE$4=0,0,-(BE71-BD71)+(BE72-BD72)-(BE73-BD73))</f>
        <v/>
      </c>
      <c r="BF74" s="25">
        <f>IF(BF$4=0,0,-(BF71-BE71)+(BF72-BE72)-(BF73-BE73))</f>
        <v/>
      </c>
      <c r="BG74" s="25">
        <f>IF(BG$4=0,0,-(BG71-BF71)+(BG72-BF72)-(BG73-BF73))</f>
        <v/>
      </c>
      <c r="BH74" s="25">
        <f>IF(BH$4=0,0,-(BH71-BG71)+(BH72-BG72)-(BH73-BG73))</f>
        <v/>
      </c>
      <c r="BI74" s="25">
        <f>IF(BI$4=0,0,-(BI71-BH71)+(BI72-BH72)-(BI73-BH73))</f>
        <v/>
      </c>
      <c r="BJ74" s="25">
        <f>IF(BJ$4=0,0,-(BJ71-BI71)+(BJ72-BI72)-(BJ73-BI73))</f>
        <v/>
      </c>
      <c r="BK74" s="25">
        <f>IF(BK$4=0,0,-(BK71-BJ71)+(BK72-BJ72)-(BK73-BJ73))</f>
        <v/>
      </c>
      <c r="BL74" s="25">
        <f>IF(BL$4=0,0,-(BL71-BK71)+(BL72-BK72)-(BL73-BK73))</f>
        <v/>
      </c>
      <c r="BM74" s="25">
        <f>IF(BM$4=0,0,-(BM71-BL71)+(BM72-BL72)-(BM73-BL73))</f>
        <v/>
      </c>
      <c r="BN74" s="25">
        <f>IF(BN$4=0,0,-(BN71-BM71)+(BN72-BM72)-(BN73-BM73))</f>
        <v/>
      </c>
      <c r="BO74" s="25">
        <f>IF(BO$4=0,0,-(BO71-BN71)+(BO72-BN72)-(BO73-BN73))</f>
        <v/>
      </c>
      <c r="BP74" s="25">
        <f>IF(BP$4=0,0,-(BP71-BO71)+(BP72-BO72)-(BP73-BO73))</f>
        <v/>
      </c>
      <c r="BQ74" s="25">
        <f>IF(BQ$4=0,0,-(BQ71-BP71)+(BQ72-BP72)-(BQ73-BP73))</f>
        <v/>
      </c>
      <c r="BR74" s="25">
        <f>IF(BR$4=0,0,-(BR71-BQ71)+(BR72-BQ72)-(BR73-BQ73))</f>
        <v/>
      </c>
      <c r="BS74" s="25">
        <f>IF(BS$4=0,0,-(BS71-BR71)+(BS72-BR72)-(BS73-BR73))</f>
        <v/>
      </c>
      <c r="BT74" s="25">
        <f>IF(BT$4=0,0,-(BT71-BS71)+(BT72-BS72)-(BT73-BS73))</f>
        <v/>
      </c>
      <c r="BU74" s="25">
        <f>IF(BU$4=0,0,-(BU71-BT71)+(BU72-BT72)-(BU73-BT73))</f>
        <v/>
      </c>
      <c r="BV74" s="25">
        <f>IF(BV$4=0,0,-(BV71-BU71)+(BV72-BU72)-(BV73-BU73))</f>
        <v/>
      </c>
      <c r="BW74" s="25">
        <f>IF(BW$4=0,0,-(BW71-BV71)+(BW72-BV72)-(BW73-BV73))</f>
        <v/>
      </c>
      <c r="BX74" s="25">
        <f>IF(BX$4=0,0,-(BX71-BW71)+(BX72-BW72)-(BX73-BW73))</f>
        <v/>
      </c>
      <c r="BY74" s="25">
        <f>IF(BY$4=0,0,-(BY71-BX71)+(BY72-BX72)-(BY73-BX73))</f>
        <v/>
      </c>
      <c r="BZ74" s="25">
        <f>IF(BZ$4=0,0,-(BZ71-BY71)+(BZ72-BY72)-(BZ73-BY73))</f>
        <v/>
      </c>
      <c r="CA74" s="25">
        <f>IF(CA$4=0,0,-(CA71-BZ71)+(CA72-BZ72)-(CA73-BZ73))</f>
        <v/>
      </c>
      <c r="CB74" s="25">
        <f>IF(CB$4=0,0,-(CB71-CA71)+(CB72-CA72)-(CB73-CA73))</f>
        <v/>
      </c>
      <c r="CC74" s="25">
        <f>IF(CC$4=0,0,-(CC71-CB71)+(CC72-CB72)-(CC73-CB73))</f>
        <v/>
      </c>
      <c r="CD74" s="25">
        <f>IF(CD$4=0,0,-(CD71-CC71)+(CD72-CC72)-(CD73-CC73))</f>
        <v/>
      </c>
      <c r="CE74" s="25">
        <f>IF(CE$4=0,0,-(CE71-CD71)+(CE72-CD72)-(CE73-CD73))</f>
        <v/>
      </c>
      <c r="CF74" s="25">
        <f>IF(CF$4=0,0,-(CF71-CE71)+(CF72-CE72)-(CF73-CE73))</f>
        <v/>
      </c>
      <c r="CG74" s="25">
        <f>IF(CG$4=0,0,-(CG71-CF71)+(CG72-CF72)-(CG73-CF73))</f>
        <v/>
      </c>
      <c r="CH74" s="25">
        <f>IF(CH$4=0,0,-(CH71-CG71)+(CH72-CG72)-(CH73-CG73))</f>
        <v/>
      </c>
      <c r="CI74" s="25">
        <f>IF(CI$4=0,0,-(CI71-CH71)+(CI72-CH72)-(CI73-CH73))</f>
        <v/>
      </c>
      <c r="CJ74" s="25">
        <f>IF(CJ$4=0,0,-(CJ71-CI71)+(CJ72-CI72)-(CJ73-CI73))</f>
        <v/>
      </c>
      <c r="CK74" s="25">
        <f>IF(CK$4=0,0,-(CK71-CJ71)+(CK72-CJ72)-(CK73-CJ73))</f>
        <v/>
      </c>
      <c r="CL74" s="25">
        <f>IF(CL$4=0,0,-(CL71-CK71)+(CL72-CK72)-(CL73-CK73))</f>
        <v/>
      </c>
      <c r="CM74" s="25">
        <f>IF(CM$4=0,0,-(CM71-CL71)+(CM72-CL72)-(CM73-CL73))</f>
        <v/>
      </c>
      <c r="CN74" s="25">
        <f>IF(CN$4=0,0,-(CN71-CM71)+(CN72-CM72)-(CN73-CM73))</f>
        <v/>
      </c>
      <c r="CO74" s="25">
        <f>IF(CO$4=0,0,-(CO71-CN71)+(CO72-CN72)-(CO73-CN73))</f>
        <v/>
      </c>
      <c r="CP74" s="25">
        <f>IF(CP$4=0,0,-(CP71-CO71)+(CP72-CO72)-(CP73-CO73))</f>
        <v/>
      </c>
      <c r="CQ74" s="25">
        <f>IF(CQ$4=0,0,-(CQ71-CP71)+(CQ72-CP72)-(CQ73-CP73))</f>
        <v/>
      </c>
      <c r="CR74" s="25">
        <f>IF(CR$4=0,0,-(CR71-CQ71)+(CR72-CQ72)-(CR73-CQ73))</f>
        <v/>
      </c>
      <c r="CS74" s="25">
        <f>IF(CS$4=0,0,-(CS71-CR71)+(CS72-CR72)-(CS73-CR73))</f>
        <v/>
      </c>
      <c r="CT74" s="25">
        <f>IF(CT$4=0,0,-(CT71-CS71)+(CT72-CS72)-(CT73-CS73))</f>
        <v/>
      </c>
      <c r="CU74" s="25">
        <f>IF(CU$4=0,0,-(CU71-CT71)+(CU72-CT72)-(CU73-CT73))</f>
        <v/>
      </c>
      <c r="CV74" s="25">
        <f>IF(CV$4=0,0,-(CV71-CU71)+(CV72-CU72)-(CV73-CU73))</f>
        <v/>
      </c>
      <c r="CW74" s="25">
        <f>IF(CW$4=0,0,-(CW71-CV71)+(CW72-CV72)-(CW73-CV73))</f>
        <v/>
      </c>
      <c r="CX74" s="25">
        <f>IF(CX$4=0,0,-(CX71-CW71)+(CX72-CW72)-(CX73-CW73))</f>
        <v/>
      </c>
      <c r="CY74" s="25">
        <f>IF(CY$4=0,0,-(CY71-CX71)+(CY72-CX72)-(CY73-CX73))</f>
        <v/>
      </c>
      <c r="CZ74" s="25">
        <f>IF(CZ$4=0,0,-(CZ71-CY71)+(CZ72-CY72)-(CZ73-CY73))</f>
        <v/>
      </c>
      <c r="DA74" s="25">
        <f>IF(DA$4=0,0,-(DA71-CZ71)+(DA72-CZ72)-(DA73-CZ73))</f>
        <v/>
      </c>
      <c r="DB74" s="25">
        <f>IF(DB$4=0,0,-(DB71-DA71)+(DB72-DA72)-(DB73-DA73))</f>
        <v/>
      </c>
      <c r="DC74" s="25">
        <f>IF(DC$4=0,0,-(DC71-DB71)+(DC72-DB72)-(DC73-DB73))</f>
        <v/>
      </c>
      <c r="DD74" s="25">
        <f>IF(DD$4=0,0,-(DD71-DC71)+(DD72-DC72)-(DD73-DC73))</f>
        <v/>
      </c>
      <c r="DE74" s="25">
        <f>IF(DE$4=0,0,-(DE71-DD71)+(DE72-DD72)-(DE73-DD73))</f>
        <v/>
      </c>
      <c r="DF74" s="25">
        <f>IF(DF$4=0,0,-(DF71-DE71)+(DF72-DE72)-(DF73-DE73))</f>
        <v/>
      </c>
      <c r="DG74" s="25">
        <f>IF(DG$4=0,0,-(DG71-DF71)+(DG72-DF72)-(DG73-DF73))</f>
        <v/>
      </c>
      <c r="DH74" s="25">
        <f>IF(DH$4=0,0,-(DH71-DG71)+(DH72-DG72)-(DH73-DG73))</f>
        <v/>
      </c>
      <c r="DI74" s="25">
        <f>IF(DI$4=0,0,-(DI71-DH71)+(DI72-DH72)-(DI73-DH73))</f>
        <v/>
      </c>
      <c r="DJ74" s="25">
        <f>IF(DJ$4=0,0,-(DJ71-DI71)+(DJ72-DI72)-(DJ73-DI73))</f>
        <v/>
      </c>
      <c r="DK74" s="25">
        <f>IF(DK$4=0,0,-(DK71-DJ71)+(DK72-DJ72)-(DK73-DJ73))</f>
        <v/>
      </c>
      <c r="DL74" s="25">
        <f>IF(DL$4=0,0,-(DL71-DK71)+(DL72-DK72)-(DL73-DK73))</f>
        <v/>
      </c>
      <c r="DM74" s="25">
        <f>IF(DM$4=0,0,-(DM71-DL71)+(DM72-DL72)-(DM73-DL73))</f>
        <v/>
      </c>
      <c r="DN74" s="25">
        <f>IF(DN$4=0,0,-(DN71-DM71)+(DN72-DM72)-(DN73-DM73))</f>
        <v/>
      </c>
      <c r="DO74" s="25">
        <f>IF(DO$4=0,0,-(DO71-DN71)+(DO72-DN72)-(DO73-DN73))</f>
        <v/>
      </c>
      <c r="DP74" s="25">
        <f>IF(DP$4=0,0,-(DP71-DO71)+(DP72-DO72)-(DP73-DO73))</f>
        <v/>
      </c>
      <c r="DQ74" s="25">
        <f>IF(DQ$4=0,0,-(DQ71-DP71)+(DQ72-DP72)-(DQ73-DP73))</f>
        <v/>
      </c>
      <c r="DR74" s="25">
        <f>IF(DR$4=0,0,-(DR71-DQ71)+(DR72-DQ72)-(DR73-DQ73))</f>
        <v/>
      </c>
    </row>
    <row r="75">
      <c r="A75" s="4" t="inlineStr">
        <is>
          <t>operating_cash_flow</t>
        </is>
      </c>
      <c r="C75" s="25">
        <f>C70+C46+C74</f>
        <v/>
      </c>
      <c r="D75" s="25">
        <f>D70+D46+D74</f>
        <v/>
      </c>
      <c r="E75" s="25">
        <f>E70+E46+E74</f>
        <v/>
      </c>
      <c r="F75" s="25">
        <f>F70+F46+F74</f>
        <v/>
      </c>
      <c r="G75" s="25">
        <f>G70+G46+G74</f>
        <v/>
      </c>
      <c r="H75" s="25">
        <f>H70+H46+H74</f>
        <v/>
      </c>
      <c r="I75" s="25">
        <f>I70+I46+I74</f>
        <v/>
      </c>
      <c r="J75" s="25">
        <f>J70+J46+J74</f>
        <v/>
      </c>
      <c r="K75" s="25">
        <f>K70+K46+K74</f>
        <v/>
      </c>
      <c r="L75" s="25">
        <f>L70+L46+L74</f>
        <v/>
      </c>
      <c r="M75" s="25">
        <f>M70+M46+M74</f>
        <v/>
      </c>
      <c r="N75" s="25">
        <f>N70+N46+N74</f>
        <v/>
      </c>
      <c r="O75" s="25">
        <f>O70+O46+O74</f>
        <v/>
      </c>
      <c r="P75" s="25">
        <f>P70+P46+P74</f>
        <v/>
      </c>
      <c r="Q75" s="25">
        <f>Q70+Q46+Q74</f>
        <v/>
      </c>
      <c r="R75" s="25">
        <f>R70+R46+R74</f>
        <v/>
      </c>
      <c r="S75" s="25">
        <f>S70+S46+S74</f>
        <v/>
      </c>
      <c r="T75" s="25">
        <f>T70+T46+T74</f>
        <v/>
      </c>
      <c r="U75" s="25">
        <f>U70+U46+U74</f>
        <v/>
      </c>
      <c r="V75" s="25">
        <f>V70+V46+V74</f>
        <v/>
      </c>
      <c r="W75" s="25">
        <f>W70+W46+W74</f>
        <v/>
      </c>
      <c r="X75" s="25">
        <f>X70+X46+X74</f>
        <v/>
      </c>
      <c r="Y75" s="25">
        <f>Y70+Y46+Y74</f>
        <v/>
      </c>
      <c r="Z75" s="25">
        <f>Z70+Z46+Z74</f>
        <v/>
      </c>
      <c r="AA75" s="25">
        <f>AA70+AA46+AA74</f>
        <v/>
      </c>
      <c r="AB75" s="25">
        <f>AB70+AB46+AB74</f>
        <v/>
      </c>
      <c r="AC75" s="25">
        <f>AC70+AC46+AC74</f>
        <v/>
      </c>
      <c r="AD75" s="25">
        <f>AD70+AD46+AD74</f>
        <v/>
      </c>
      <c r="AE75" s="25">
        <f>AE70+AE46+AE74</f>
        <v/>
      </c>
      <c r="AF75" s="25">
        <f>AF70+AF46+AF74</f>
        <v/>
      </c>
      <c r="AG75" s="25">
        <f>AG70+AG46+AG74</f>
        <v/>
      </c>
      <c r="AH75" s="25">
        <f>AH70+AH46+AH74</f>
        <v/>
      </c>
      <c r="AI75" s="25">
        <f>AI70+AI46+AI74</f>
        <v/>
      </c>
      <c r="AJ75" s="25">
        <f>AJ70+AJ46+AJ74</f>
        <v/>
      </c>
      <c r="AK75" s="25">
        <f>AK70+AK46+AK74</f>
        <v/>
      </c>
      <c r="AL75" s="25">
        <f>AL70+AL46+AL74</f>
        <v/>
      </c>
      <c r="AM75" s="25">
        <f>AM70+AM46+AM74</f>
        <v/>
      </c>
      <c r="AN75" s="25">
        <f>AN70+AN46+AN74</f>
        <v/>
      </c>
      <c r="AO75" s="25">
        <f>AO70+AO46+AO74</f>
        <v/>
      </c>
      <c r="AP75" s="25">
        <f>AP70+AP46+AP74</f>
        <v/>
      </c>
      <c r="AQ75" s="25">
        <f>AQ70+AQ46+AQ74</f>
        <v/>
      </c>
      <c r="AR75" s="25">
        <f>AR70+AR46+AR74</f>
        <v/>
      </c>
      <c r="AS75" s="25">
        <f>AS70+AS46+AS74</f>
        <v/>
      </c>
      <c r="AT75" s="25">
        <f>AT70+AT46+AT74</f>
        <v/>
      </c>
      <c r="AU75" s="25">
        <f>AU70+AU46+AU74</f>
        <v/>
      </c>
      <c r="AV75" s="25">
        <f>AV70+AV46+AV74</f>
        <v/>
      </c>
      <c r="AW75" s="25">
        <f>AW70+AW46+AW74</f>
        <v/>
      </c>
      <c r="AX75" s="25">
        <f>AX70+AX46+AX74</f>
        <v/>
      </c>
      <c r="AY75" s="25">
        <f>AY70+AY46+AY74</f>
        <v/>
      </c>
      <c r="AZ75" s="25">
        <f>AZ70+AZ46+AZ74</f>
        <v/>
      </c>
      <c r="BA75" s="25">
        <f>BA70+BA46+BA74</f>
        <v/>
      </c>
      <c r="BB75" s="25">
        <f>BB70+BB46+BB74</f>
        <v/>
      </c>
      <c r="BC75" s="25">
        <f>BC70+BC46+BC74</f>
        <v/>
      </c>
      <c r="BD75" s="25">
        <f>BD70+BD46+BD74</f>
        <v/>
      </c>
      <c r="BE75" s="25">
        <f>BE70+BE46+BE74</f>
        <v/>
      </c>
      <c r="BF75" s="25">
        <f>BF70+BF46+BF74</f>
        <v/>
      </c>
      <c r="BG75" s="25">
        <f>BG70+BG46+BG74</f>
        <v/>
      </c>
      <c r="BH75" s="25">
        <f>BH70+BH46+BH74</f>
        <v/>
      </c>
      <c r="BI75" s="25">
        <f>BI70+BI46+BI74</f>
        <v/>
      </c>
      <c r="BJ75" s="25">
        <f>BJ70+BJ46+BJ74</f>
        <v/>
      </c>
      <c r="BK75" s="25">
        <f>BK70+BK46+BK74</f>
        <v/>
      </c>
      <c r="BL75" s="25">
        <f>BL70+BL46+BL74</f>
        <v/>
      </c>
      <c r="BM75" s="25">
        <f>BM70+BM46+BM74</f>
        <v/>
      </c>
      <c r="BN75" s="25">
        <f>BN70+BN46+BN74</f>
        <v/>
      </c>
      <c r="BO75" s="25">
        <f>BO70+BO46+BO74</f>
        <v/>
      </c>
      <c r="BP75" s="25">
        <f>BP70+BP46+BP74</f>
        <v/>
      </c>
      <c r="BQ75" s="25">
        <f>BQ70+BQ46+BQ74</f>
        <v/>
      </c>
      <c r="BR75" s="25">
        <f>BR70+BR46+BR74</f>
        <v/>
      </c>
      <c r="BS75" s="25">
        <f>BS70+BS46+BS74</f>
        <v/>
      </c>
      <c r="BT75" s="25">
        <f>BT70+BT46+BT74</f>
        <v/>
      </c>
      <c r="BU75" s="25">
        <f>BU70+BU46+BU74</f>
        <v/>
      </c>
      <c r="BV75" s="25">
        <f>BV70+BV46+BV74</f>
        <v/>
      </c>
      <c r="BW75" s="25">
        <f>BW70+BW46+BW74</f>
        <v/>
      </c>
      <c r="BX75" s="25">
        <f>BX70+BX46+BX74</f>
        <v/>
      </c>
      <c r="BY75" s="25">
        <f>BY70+BY46+BY74</f>
        <v/>
      </c>
      <c r="BZ75" s="25">
        <f>BZ70+BZ46+BZ74</f>
        <v/>
      </c>
      <c r="CA75" s="25">
        <f>CA70+CA46+CA74</f>
        <v/>
      </c>
      <c r="CB75" s="25">
        <f>CB70+CB46+CB74</f>
        <v/>
      </c>
      <c r="CC75" s="25">
        <f>CC70+CC46+CC74</f>
        <v/>
      </c>
      <c r="CD75" s="25">
        <f>CD70+CD46+CD74</f>
        <v/>
      </c>
      <c r="CE75" s="25">
        <f>CE70+CE46+CE74</f>
        <v/>
      </c>
      <c r="CF75" s="25">
        <f>CF70+CF46+CF74</f>
        <v/>
      </c>
      <c r="CG75" s="25">
        <f>CG70+CG46+CG74</f>
        <v/>
      </c>
      <c r="CH75" s="25">
        <f>CH70+CH46+CH74</f>
        <v/>
      </c>
      <c r="CI75" s="25">
        <f>CI70+CI46+CI74</f>
        <v/>
      </c>
      <c r="CJ75" s="25">
        <f>CJ70+CJ46+CJ74</f>
        <v/>
      </c>
      <c r="CK75" s="25">
        <f>CK70+CK46+CK74</f>
        <v/>
      </c>
      <c r="CL75" s="25">
        <f>CL70+CL46+CL74</f>
        <v/>
      </c>
      <c r="CM75" s="25">
        <f>CM70+CM46+CM74</f>
        <v/>
      </c>
      <c r="CN75" s="25">
        <f>CN70+CN46+CN74</f>
        <v/>
      </c>
      <c r="CO75" s="25">
        <f>CO70+CO46+CO74</f>
        <v/>
      </c>
      <c r="CP75" s="25">
        <f>CP70+CP46+CP74</f>
        <v/>
      </c>
      <c r="CQ75" s="25">
        <f>CQ70+CQ46+CQ74</f>
        <v/>
      </c>
      <c r="CR75" s="25">
        <f>CR70+CR46+CR74</f>
        <v/>
      </c>
      <c r="CS75" s="25">
        <f>CS70+CS46+CS74</f>
        <v/>
      </c>
      <c r="CT75" s="25">
        <f>CT70+CT46+CT74</f>
        <v/>
      </c>
      <c r="CU75" s="25">
        <f>CU70+CU46+CU74</f>
        <v/>
      </c>
      <c r="CV75" s="25">
        <f>CV70+CV46+CV74</f>
        <v/>
      </c>
      <c r="CW75" s="25">
        <f>CW70+CW46+CW74</f>
        <v/>
      </c>
      <c r="CX75" s="25">
        <f>CX70+CX46+CX74</f>
        <v/>
      </c>
      <c r="CY75" s="25">
        <f>CY70+CY46+CY74</f>
        <v/>
      </c>
      <c r="CZ75" s="25">
        <f>CZ70+CZ46+CZ74</f>
        <v/>
      </c>
      <c r="DA75" s="25">
        <f>DA70+DA46+DA74</f>
        <v/>
      </c>
      <c r="DB75" s="25">
        <f>DB70+DB46+DB74</f>
        <v/>
      </c>
      <c r="DC75" s="25">
        <f>DC70+DC46+DC74</f>
        <v/>
      </c>
      <c r="DD75" s="25">
        <f>DD70+DD46+DD74</f>
        <v/>
      </c>
      <c r="DE75" s="25">
        <f>DE70+DE46+DE74</f>
        <v/>
      </c>
      <c r="DF75" s="25">
        <f>DF70+DF46+DF74</f>
        <v/>
      </c>
      <c r="DG75" s="25">
        <f>DG70+DG46+DG74</f>
        <v/>
      </c>
      <c r="DH75" s="25">
        <f>DH70+DH46+DH74</f>
        <v/>
      </c>
      <c r="DI75" s="25">
        <f>DI70+DI46+DI74</f>
        <v/>
      </c>
      <c r="DJ75" s="25">
        <f>DJ70+DJ46+DJ74</f>
        <v/>
      </c>
      <c r="DK75" s="25">
        <f>DK70+DK46+DK74</f>
        <v/>
      </c>
      <c r="DL75" s="25">
        <f>DL70+DL46+DL74</f>
        <v/>
      </c>
      <c r="DM75" s="25">
        <f>DM70+DM46+DM74</f>
        <v/>
      </c>
      <c r="DN75" s="25">
        <f>DN70+DN46+DN74</f>
        <v/>
      </c>
      <c r="DO75" s="25">
        <f>DO70+DO46+DO74</f>
        <v/>
      </c>
      <c r="DP75" s="25">
        <f>DP70+DP46+DP74</f>
        <v/>
      </c>
      <c r="DQ75" s="25">
        <f>DQ70+DQ46+DQ74</f>
        <v/>
      </c>
      <c r="DR75" s="25">
        <f>DR70+DR46+DR74</f>
        <v/>
      </c>
    </row>
    <row r="76">
      <c r="A76" t="inlineStr">
        <is>
          <t>capex</t>
        </is>
      </c>
      <c r="C76" s="25">
        <f>IF(C$4=0,0,Effective!$B$10)</f>
        <v/>
      </c>
      <c r="D76" s="25">
        <f>IF(D$4=0,0,Effective!$B$10)</f>
        <v/>
      </c>
      <c r="E76" s="25">
        <f>IF(E$4=0,0,Effective!$B$10)</f>
        <v/>
      </c>
      <c r="F76" s="25">
        <f>IF(F$4=0,0,Effective!$B$10)</f>
        <v/>
      </c>
      <c r="G76" s="25">
        <f>IF(G$4=0,0,Effective!$B$10)</f>
        <v/>
      </c>
      <c r="H76" s="25">
        <f>IF(H$4=0,0,Effective!$B$10)</f>
        <v/>
      </c>
      <c r="I76" s="25">
        <f>IF(I$4=0,0,Effective!$B$10)</f>
        <v/>
      </c>
      <c r="J76" s="25">
        <f>IF(J$4=0,0,Effective!$B$10)</f>
        <v/>
      </c>
      <c r="K76" s="25">
        <f>IF(K$4=0,0,Effective!$B$10)</f>
        <v/>
      </c>
      <c r="L76" s="25">
        <f>IF(L$4=0,0,Effective!$B$10)</f>
        <v/>
      </c>
      <c r="M76" s="25">
        <f>IF(M$4=0,0,Effective!$B$10)</f>
        <v/>
      </c>
      <c r="N76" s="25">
        <f>IF(N$4=0,0,Effective!$B$10)</f>
        <v/>
      </c>
      <c r="O76" s="25">
        <f>IF(O$4=0,0,Effective!$B$10)</f>
        <v/>
      </c>
      <c r="P76" s="25">
        <f>IF(P$4=0,0,Effective!$B$10)</f>
        <v/>
      </c>
      <c r="Q76" s="25">
        <f>IF(Q$4=0,0,Effective!$B$10)</f>
        <v/>
      </c>
      <c r="R76" s="25">
        <f>IF(R$4=0,0,Effective!$B$10)</f>
        <v/>
      </c>
      <c r="S76" s="25">
        <f>IF(S$4=0,0,Effective!$B$10)</f>
        <v/>
      </c>
      <c r="T76" s="25">
        <f>IF(T$4=0,0,Effective!$B$10)</f>
        <v/>
      </c>
      <c r="U76" s="25">
        <f>IF(U$4=0,0,Effective!$B$10)</f>
        <v/>
      </c>
      <c r="V76" s="25">
        <f>IF(V$4=0,0,Effective!$B$10)</f>
        <v/>
      </c>
      <c r="W76" s="25">
        <f>IF(W$4=0,0,Effective!$B$10)</f>
        <v/>
      </c>
      <c r="X76" s="25">
        <f>IF(X$4=0,0,Effective!$B$10)</f>
        <v/>
      </c>
      <c r="Y76" s="25">
        <f>IF(Y$4=0,0,Effective!$B$10)</f>
        <v/>
      </c>
      <c r="Z76" s="25">
        <f>IF(Z$4=0,0,Effective!$B$10)</f>
        <v/>
      </c>
      <c r="AA76" s="25">
        <f>IF(AA$4=0,0,Effective!$B$10)</f>
        <v/>
      </c>
      <c r="AB76" s="25">
        <f>IF(AB$4=0,0,Effective!$B$10)</f>
        <v/>
      </c>
      <c r="AC76" s="25">
        <f>IF(AC$4=0,0,Effective!$B$10)</f>
        <v/>
      </c>
      <c r="AD76" s="25">
        <f>IF(AD$4=0,0,Effective!$B$10)</f>
        <v/>
      </c>
      <c r="AE76" s="25">
        <f>IF(AE$4=0,0,Effective!$B$10)</f>
        <v/>
      </c>
      <c r="AF76" s="25">
        <f>IF(AF$4=0,0,Effective!$B$10)</f>
        <v/>
      </c>
      <c r="AG76" s="25">
        <f>IF(AG$4=0,0,Effective!$B$10)</f>
        <v/>
      </c>
      <c r="AH76" s="25">
        <f>IF(AH$4=0,0,Effective!$B$10)</f>
        <v/>
      </c>
      <c r="AI76" s="25">
        <f>IF(AI$4=0,0,Effective!$B$10)</f>
        <v/>
      </c>
      <c r="AJ76" s="25">
        <f>IF(AJ$4=0,0,Effective!$B$10)</f>
        <v/>
      </c>
      <c r="AK76" s="25">
        <f>IF(AK$4=0,0,Effective!$B$10)</f>
        <v/>
      </c>
      <c r="AL76" s="25">
        <f>IF(AL$4=0,0,Effective!$B$10)</f>
        <v/>
      </c>
      <c r="AM76" s="25">
        <f>IF(AM$4=0,0,Effective!$B$10)</f>
        <v/>
      </c>
      <c r="AN76" s="25">
        <f>IF(AN$4=0,0,Effective!$B$10)</f>
        <v/>
      </c>
      <c r="AO76" s="25">
        <f>IF(AO$4=0,0,Effective!$B$10)</f>
        <v/>
      </c>
      <c r="AP76" s="25">
        <f>IF(AP$4=0,0,Effective!$B$10)</f>
        <v/>
      </c>
      <c r="AQ76" s="25">
        <f>IF(AQ$4=0,0,Effective!$B$10)</f>
        <v/>
      </c>
      <c r="AR76" s="25">
        <f>IF(AR$4=0,0,Effective!$B$10)</f>
        <v/>
      </c>
      <c r="AS76" s="25">
        <f>IF(AS$4=0,0,Effective!$B$10)</f>
        <v/>
      </c>
      <c r="AT76" s="25">
        <f>IF(AT$4=0,0,Effective!$B$10)</f>
        <v/>
      </c>
      <c r="AU76" s="25">
        <f>IF(AU$4=0,0,Effective!$B$10)</f>
        <v/>
      </c>
      <c r="AV76" s="25">
        <f>IF(AV$4=0,0,Effective!$B$10)</f>
        <v/>
      </c>
      <c r="AW76" s="25">
        <f>IF(AW$4=0,0,Effective!$B$10)</f>
        <v/>
      </c>
      <c r="AX76" s="25">
        <f>IF(AX$4=0,0,Effective!$B$10)</f>
        <v/>
      </c>
      <c r="AY76" s="25">
        <f>IF(AY$4=0,0,Effective!$B$10)</f>
        <v/>
      </c>
      <c r="AZ76" s="25">
        <f>IF(AZ$4=0,0,Effective!$B$10)</f>
        <v/>
      </c>
      <c r="BA76" s="25">
        <f>IF(BA$4=0,0,Effective!$B$10)</f>
        <v/>
      </c>
      <c r="BB76" s="25">
        <f>IF(BB$4=0,0,Effective!$B$10)</f>
        <v/>
      </c>
      <c r="BC76" s="25">
        <f>IF(BC$4=0,0,Effective!$B$10)</f>
        <v/>
      </c>
      <c r="BD76" s="25">
        <f>IF(BD$4=0,0,Effective!$B$10)</f>
        <v/>
      </c>
      <c r="BE76" s="25">
        <f>IF(BE$4=0,0,Effective!$B$10)</f>
        <v/>
      </c>
      <c r="BF76" s="25">
        <f>IF(BF$4=0,0,Effective!$B$10)</f>
        <v/>
      </c>
      <c r="BG76" s="25">
        <f>IF(BG$4=0,0,Effective!$B$10)</f>
        <v/>
      </c>
      <c r="BH76" s="25">
        <f>IF(BH$4=0,0,Effective!$B$10)</f>
        <v/>
      </c>
      <c r="BI76" s="25">
        <f>IF(BI$4=0,0,Effective!$B$10)</f>
        <v/>
      </c>
      <c r="BJ76" s="25">
        <f>IF(BJ$4=0,0,Effective!$B$10)</f>
        <v/>
      </c>
      <c r="BK76" s="25">
        <f>IF(BK$4=0,0,Effective!$B$10)</f>
        <v/>
      </c>
      <c r="BL76" s="25">
        <f>IF(BL$4=0,0,Effective!$B$10)</f>
        <v/>
      </c>
      <c r="BM76" s="25">
        <f>IF(BM$4=0,0,Effective!$B$10)</f>
        <v/>
      </c>
      <c r="BN76" s="25">
        <f>IF(BN$4=0,0,Effective!$B$10)</f>
        <v/>
      </c>
      <c r="BO76" s="25">
        <f>IF(BO$4=0,0,Effective!$B$10)</f>
        <v/>
      </c>
      <c r="BP76" s="25">
        <f>IF(BP$4=0,0,Effective!$B$10)</f>
        <v/>
      </c>
      <c r="BQ76" s="25">
        <f>IF(BQ$4=0,0,Effective!$B$10)</f>
        <v/>
      </c>
      <c r="BR76" s="25">
        <f>IF(BR$4=0,0,Effective!$B$10)</f>
        <v/>
      </c>
      <c r="BS76" s="25">
        <f>IF(BS$4=0,0,Effective!$B$10)</f>
        <v/>
      </c>
      <c r="BT76" s="25">
        <f>IF(BT$4=0,0,Effective!$B$10)</f>
        <v/>
      </c>
      <c r="BU76" s="25">
        <f>IF(BU$4=0,0,Effective!$B$10)</f>
        <v/>
      </c>
      <c r="BV76" s="25">
        <f>IF(BV$4=0,0,Effective!$B$10)</f>
        <v/>
      </c>
      <c r="BW76" s="25">
        <f>IF(BW$4=0,0,Effective!$B$10)</f>
        <v/>
      </c>
      <c r="BX76" s="25">
        <f>IF(BX$4=0,0,Effective!$B$10)</f>
        <v/>
      </c>
      <c r="BY76" s="25">
        <f>IF(BY$4=0,0,Effective!$B$10)</f>
        <v/>
      </c>
      <c r="BZ76" s="25">
        <f>IF(BZ$4=0,0,Effective!$B$10)</f>
        <v/>
      </c>
      <c r="CA76" s="25">
        <f>IF(CA$4=0,0,Effective!$B$10)</f>
        <v/>
      </c>
      <c r="CB76" s="25">
        <f>IF(CB$4=0,0,Effective!$B$10)</f>
        <v/>
      </c>
      <c r="CC76" s="25">
        <f>IF(CC$4=0,0,Effective!$B$10)</f>
        <v/>
      </c>
      <c r="CD76" s="25">
        <f>IF(CD$4=0,0,Effective!$B$10)</f>
        <v/>
      </c>
      <c r="CE76" s="25">
        <f>IF(CE$4=0,0,Effective!$B$10)</f>
        <v/>
      </c>
      <c r="CF76" s="25">
        <f>IF(CF$4=0,0,Effective!$B$10)</f>
        <v/>
      </c>
      <c r="CG76" s="25">
        <f>IF(CG$4=0,0,Effective!$B$10)</f>
        <v/>
      </c>
      <c r="CH76" s="25">
        <f>IF(CH$4=0,0,Effective!$B$10)</f>
        <v/>
      </c>
      <c r="CI76" s="25">
        <f>IF(CI$4=0,0,Effective!$B$10)</f>
        <v/>
      </c>
      <c r="CJ76" s="25">
        <f>IF(CJ$4=0,0,Effective!$B$10)</f>
        <v/>
      </c>
      <c r="CK76" s="25">
        <f>IF(CK$4=0,0,Effective!$B$10)</f>
        <v/>
      </c>
      <c r="CL76" s="25">
        <f>IF(CL$4=0,0,Effective!$B$10)</f>
        <v/>
      </c>
      <c r="CM76" s="25">
        <f>IF(CM$4=0,0,Effective!$B$10)</f>
        <v/>
      </c>
      <c r="CN76" s="25">
        <f>IF(CN$4=0,0,Effective!$B$10)</f>
        <v/>
      </c>
      <c r="CO76" s="25">
        <f>IF(CO$4=0,0,Effective!$B$10)</f>
        <v/>
      </c>
      <c r="CP76" s="25">
        <f>IF(CP$4=0,0,Effective!$B$10)</f>
        <v/>
      </c>
      <c r="CQ76" s="25">
        <f>IF(CQ$4=0,0,Effective!$B$10)</f>
        <v/>
      </c>
      <c r="CR76" s="25">
        <f>IF(CR$4=0,0,Effective!$B$10)</f>
        <v/>
      </c>
      <c r="CS76" s="25">
        <f>IF(CS$4=0,0,Effective!$B$10)</f>
        <v/>
      </c>
      <c r="CT76" s="25">
        <f>IF(CT$4=0,0,Effective!$B$10)</f>
        <v/>
      </c>
      <c r="CU76" s="25">
        <f>IF(CU$4=0,0,Effective!$B$10)</f>
        <v/>
      </c>
      <c r="CV76" s="25">
        <f>IF(CV$4=0,0,Effective!$B$10)</f>
        <v/>
      </c>
      <c r="CW76" s="25">
        <f>IF(CW$4=0,0,Effective!$B$10)</f>
        <v/>
      </c>
      <c r="CX76" s="25">
        <f>IF(CX$4=0,0,Effective!$B$10)</f>
        <v/>
      </c>
      <c r="CY76" s="25">
        <f>IF(CY$4=0,0,Effective!$B$10)</f>
        <v/>
      </c>
      <c r="CZ76" s="25">
        <f>IF(CZ$4=0,0,Effective!$B$10)</f>
        <v/>
      </c>
      <c r="DA76" s="25">
        <f>IF(DA$4=0,0,Effective!$B$10)</f>
        <v/>
      </c>
      <c r="DB76" s="25">
        <f>IF(DB$4=0,0,Effective!$B$10)</f>
        <v/>
      </c>
      <c r="DC76" s="25">
        <f>IF(DC$4=0,0,Effective!$B$10)</f>
        <v/>
      </c>
      <c r="DD76" s="25">
        <f>IF(DD$4=0,0,Effective!$B$10)</f>
        <v/>
      </c>
      <c r="DE76" s="25">
        <f>IF(DE$4=0,0,Effective!$B$10)</f>
        <v/>
      </c>
      <c r="DF76" s="25">
        <f>IF(DF$4=0,0,Effective!$B$10)</f>
        <v/>
      </c>
      <c r="DG76" s="25">
        <f>IF(DG$4=0,0,Effective!$B$10)</f>
        <v/>
      </c>
      <c r="DH76" s="25">
        <f>IF(DH$4=0,0,Effective!$B$10)</f>
        <v/>
      </c>
      <c r="DI76" s="25">
        <f>IF(DI$4=0,0,Effective!$B$10)</f>
        <v/>
      </c>
      <c r="DJ76" s="25">
        <f>IF(DJ$4=0,0,Effective!$B$10)</f>
        <v/>
      </c>
      <c r="DK76" s="25">
        <f>IF(DK$4=0,0,Effective!$B$10)</f>
        <v/>
      </c>
      <c r="DL76" s="25">
        <f>IF(DL$4=0,0,Effective!$B$10)</f>
        <v/>
      </c>
      <c r="DM76" s="25">
        <f>IF(DM$4=0,0,Effective!$B$10)</f>
        <v/>
      </c>
      <c r="DN76" s="25">
        <f>IF(DN$4=0,0,Effective!$B$10)</f>
        <v/>
      </c>
      <c r="DO76" s="25">
        <f>IF(DO$4=0,0,Effective!$B$10)</f>
        <v/>
      </c>
      <c r="DP76" s="25">
        <f>IF(DP$4=0,0,Effective!$B$10)</f>
        <v/>
      </c>
      <c r="DQ76" s="25">
        <f>IF(DQ$4=0,0,Effective!$B$10)</f>
        <v/>
      </c>
      <c r="DR76" s="25">
        <f>IF(DR$4=0,0,Effective!$B$10)</f>
        <v/>
      </c>
    </row>
    <row r="77">
      <c r="A77" s="4" t="inlineStr">
        <is>
          <t>free_cash_flow</t>
        </is>
      </c>
      <c r="C77" s="25">
        <f>C75-C76</f>
        <v/>
      </c>
      <c r="D77" s="25">
        <f>D75-D76</f>
        <v/>
      </c>
      <c r="E77" s="25">
        <f>E75-E76</f>
        <v/>
      </c>
      <c r="F77" s="25">
        <f>F75-F76</f>
        <v/>
      </c>
      <c r="G77" s="25">
        <f>G75-G76</f>
        <v/>
      </c>
      <c r="H77" s="25">
        <f>H75-H76</f>
        <v/>
      </c>
      <c r="I77" s="25">
        <f>I75-I76</f>
        <v/>
      </c>
      <c r="J77" s="25">
        <f>J75-J76</f>
        <v/>
      </c>
      <c r="K77" s="25">
        <f>K75-K76</f>
        <v/>
      </c>
      <c r="L77" s="25">
        <f>L75-L76</f>
        <v/>
      </c>
      <c r="M77" s="25">
        <f>M75-M76</f>
        <v/>
      </c>
      <c r="N77" s="25">
        <f>N75-N76</f>
        <v/>
      </c>
      <c r="O77" s="25">
        <f>O75-O76</f>
        <v/>
      </c>
      <c r="P77" s="25">
        <f>P75-P76</f>
        <v/>
      </c>
      <c r="Q77" s="25">
        <f>Q75-Q76</f>
        <v/>
      </c>
      <c r="R77" s="25">
        <f>R75-R76</f>
        <v/>
      </c>
      <c r="S77" s="25">
        <f>S75-S76</f>
        <v/>
      </c>
      <c r="T77" s="25">
        <f>T75-T76</f>
        <v/>
      </c>
      <c r="U77" s="25">
        <f>U75-U76</f>
        <v/>
      </c>
      <c r="V77" s="25">
        <f>V75-V76</f>
        <v/>
      </c>
      <c r="W77" s="25">
        <f>W75-W76</f>
        <v/>
      </c>
      <c r="X77" s="25">
        <f>X75-X76</f>
        <v/>
      </c>
      <c r="Y77" s="25">
        <f>Y75-Y76</f>
        <v/>
      </c>
      <c r="Z77" s="25">
        <f>Z75-Z76</f>
        <v/>
      </c>
      <c r="AA77" s="25">
        <f>AA75-AA76</f>
        <v/>
      </c>
      <c r="AB77" s="25">
        <f>AB75-AB76</f>
        <v/>
      </c>
      <c r="AC77" s="25">
        <f>AC75-AC76</f>
        <v/>
      </c>
      <c r="AD77" s="25">
        <f>AD75-AD76</f>
        <v/>
      </c>
      <c r="AE77" s="25">
        <f>AE75-AE76</f>
        <v/>
      </c>
      <c r="AF77" s="25">
        <f>AF75-AF76</f>
        <v/>
      </c>
      <c r="AG77" s="25">
        <f>AG75-AG76</f>
        <v/>
      </c>
      <c r="AH77" s="25">
        <f>AH75-AH76</f>
        <v/>
      </c>
      <c r="AI77" s="25">
        <f>AI75-AI76</f>
        <v/>
      </c>
      <c r="AJ77" s="25">
        <f>AJ75-AJ76</f>
        <v/>
      </c>
      <c r="AK77" s="25">
        <f>AK75-AK76</f>
        <v/>
      </c>
      <c r="AL77" s="25">
        <f>AL75-AL76</f>
        <v/>
      </c>
      <c r="AM77" s="25">
        <f>AM75-AM76</f>
        <v/>
      </c>
      <c r="AN77" s="25">
        <f>AN75-AN76</f>
        <v/>
      </c>
      <c r="AO77" s="25">
        <f>AO75-AO76</f>
        <v/>
      </c>
      <c r="AP77" s="25">
        <f>AP75-AP76</f>
        <v/>
      </c>
      <c r="AQ77" s="25">
        <f>AQ75-AQ76</f>
        <v/>
      </c>
      <c r="AR77" s="25">
        <f>AR75-AR76</f>
        <v/>
      </c>
      <c r="AS77" s="25">
        <f>AS75-AS76</f>
        <v/>
      </c>
      <c r="AT77" s="25">
        <f>AT75-AT76</f>
        <v/>
      </c>
      <c r="AU77" s="25">
        <f>AU75-AU76</f>
        <v/>
      </c>
      <c r="AV77" s="25">
        <f>AV75-AV76</f>
        <v/>
      </c>
      <c r="AW77" s="25">
        <f>AW75-AW76</f>
        <v/>
      </c>
      <c r="AX77" s="25">
        <f>AX75-AX76</f>
        <v/>
      </c>
      <c r="AY77" s="25">
        <f>AY75-AY76</f>
        <v/>
      </c>
      <c r="AZ77" s="25">
        <f>AZ75-AZ76</f>
        <v/>
      </c>
      <c r="BA77" s="25">
        <f>BA75-BA76</f>
        <v/>
      </c>
      <c r="BB77" s="25">
        <f>BB75-BB76</f>
        <v/>
      </c>
      <c r="BC77" s="25">
        <f>BC75-BC76</f>
        <v/>
      </c>
      <c r="BD77" s="25">
        <f>BD75-BD76</f>
        <v/>
      </c>
      <c r="BE77" s="25">
        <f>BE75-BE76</f>
        <v/>
      </c>
      <c r="BF77" s="25">
        <f>BF75-BF76</f>
        <v/>
      </c>
      <c r="BG77" s="25">
        <f>BG75-BG76</f>
        <v/>
      </c>
      <c r="BH77" s="25">
        <f>BH75-BH76</f>
        <v/>
      </c>
      <c r="BI77" s="25">
        <f>BI75-BI76</f>
        <v/>
      </c>
      <c r="BJ77" s="25">
        <f>BJ75-BJ76</f>
        <v/>
      </c>
      <c r="BK77" s="25">
        <f>BK75-BK76</f>
        <v/>
      </c>
      <c r="BL77" s="25">
        <f>BL75-BL76</f>
        <v/>
      </c>
      <c r="BM77" s="25">
        <f>BM75-BM76</f>
        <v/>
      </c>
      <c r="BN77" s="25">
        <f>BN75-BN76</f>
        <v/>
      </c>
      <c r="BO77" s="25">
        <f>BO75-BO76</f>
        <v/>
      </c>
      <c r="BP77" s="25">
        <f>BP75-BP76</f>
        <v/>
      </c>
      <c r="BQ77" s="25">
        <f>BQ75-BQ76</f>
        <v/>
      </c>
      <c r="BR77" s="25">
        <f>BR75-BR76</f>
        <v/>
      </c>
      <c r="BS77" s="25">
        <f>BS75-BS76</f>
        <v/>
      </c>
      <c r="BT77" s="25">
        <f>BT75-BT76</f>
        <v/>
      </c>
      <c r="BU77" s="25">
        <f>BU75-BU76</f>
        <v/>
      </c>
      <c r="BV77" s="25">
        <f>BV75-BV76</f>
        <v/>
      </c>
      <c r="BW77" s="25">
        <f>BW75-BW76</f>
        <v/>
      </c>
      <c r="BX77" s="25">
        <f>BX75-BX76</f>
        <v/>
      </c>
      <c r="BY77" s="25">
        <f>BY75-BY76</f>
        <v/>
      </c>
      <c r="BZ77" s="25">
        <f>BZ75-BZ76</f>
        <v/>
      </c>
      <c r="CA77" s="25">
        <f>CA75-CA76</f>
        <v/>
      </c>
      <c r="CB77" s="25">
        <f>CB75-CB76</f>
        <v/>
      </c>
      <c r="CC77" s="25">
        <f>CC75-CC76</f>
        <v/>
      </c>
      <c r="CD77" s="25">
        <f>CD75-CD76</f>
        <v/>
      </c>
      <c r="CE77" s="25">
        <f>CE75-CE76</f>
        <v/>
      </c>
      <c r="CF77" s="25">
        <f>CF75-CF76</f>
        <v/>
      </c>
      <c r="CG77" s="25">
        <f>CG75-CG76</f>
        <v/>
      </c>
      <c r="CH77" s="25">
        <f>CH75-CH76</f>
        <v/>
      </c>
      <c r="CI77" s="25">
        <f>CI75-CI76</f>
        <v/>
      </c>
      <c r="CJ77" s="25">
        <f>CJ75-CJ76</f>
        <v/>
      </c>
      <c r="CK77" s="25">
        <f>CK75-CK76</f>
        <v/>
      </c>
      <c r="CL77" s="25">
        <f>CL75-CL76</f>
        <v/>
      </c>
      <c r="CM77" s="25">
        <f>CM75-CM76</f>
        <v/>
      </c>
      <c r="CN77" s="25">
        <f>CN75-CN76</f>
        <v/>
      </c>
      <c r="CO77" s="25">
        <f>CO75-CO76</f>
        <v/>
      </c>
      <c r="CP77" s="25">
        <f>CP75-CP76</f>
        <v/>
      </c>
      <c r="CQ77" s="25">
        <f>CQ75-CQ76</f>
        <v/>
      </c>
      <c r="CR77" s="25">
        <f>CR75-CR76</f>
        <v/>
      </c>
      <c r="CS77" s="25">
        <f>CS75-CS76</f>
        <v/>
      </c>
      <c r="CT77" s="25">
        <f>CT75-CT76</f>
        <v/>
      </c>
      <c r="CU77" s="25">
        <f>CU75-CU76</f>
        <v/>
      </c>
      <c r="CV77" s="25">
        <f>CV75-CV76</f>
        <v/>
      </c>
      <c r="CW77" s="25">
        <f>CW75-CW76</f>
        <v/>
      </c>
      <c r="CX77" s="25">
        <f>CX75-CX76</f>
        <v/>
      </c>
      <c r="CY77" s="25">
        <f>CY75-CY76</f>
        <v/>
      </c>
      <c r="CZ77" s="25">
        <f>CZ75-CZ76</f>
        <v/>
      </c>
      <c r="DA77" s="25">
        <f>DA75-DA76</f>
        <v/>
      </c>
      <c r="DB77" s="25">
        <f>DB75-DB76</f>
        <v/>
      </c>
      <c r="DC77" s="25">
        <f>DC75-DC76</f>
        <v/>
      </c>
      <c r="DD77" s="25">
        <f>DD75-DD76</f>
        <v/>
      </c>
      <c r="DE77" s="25">
        <f>DE75-DE76</f>
        <v/>
      </c>
      <c r="DF77" s="25">
        <f>DF75-DF76</f>
        <v/>
      </c>
      <c r="DG77" s="25">
        <f>DG75-DG76</f>
        <v/>
      </c>
      <c r="DH77" s="25">
        <f>DH75-DH76</f>
        <v/>
      </c>
      <c r="DI77" s="25">
        <f>DI75-DI76</f>
        <v/>
      </c>
      <c r="DJ77" s="25">
        <f>DJ75-DJ76</f>
        <v/>
      </c>
      <c r="DK77" s="25">
        <f>DK75-DK76</f>
        <v/>
      </c>
      <c r="DL77" s="25">
        <f>DL75-DL76</f>
        <v/>
      </c>
      <c r="DM77" s="25">
        <f>DM75-DM76</f>
        <v/>
      </c>
      <c r="DN77" s="25">
        <f>DN75-DN76</f>
        <v/>
      </c>
      <c r="DO77" s="25">
        <f>DO75-DO76</f>
        <v/>
      </c>
      <c r="DP77" s="25">
        <f>DP75-DP76</f>
        <v/>
      </c>
      <c r="DQ77" s="25">
        <f>DQ75-DQ76</f>
        <v/>
      </c>
      <c r="DR77" s="25">
        <f>DR75-DR76</f>
        <v/>
      </c>
    </row>
    <row r="78">
      <c r="A78" t="inlineStr">
        <is>
          <t>change_in_cash</t>
        </is>
      </c>
      <c r="C78" s="25">
        <f>C77-C63</f>
        <v/>
      </c>
      <c r="D78" s="25">
        <f>D77-D63</f>
        <v/>
      </c>
      <c r="E78" s="25">
        <f>E77-E63</f>
        <v/>
      </c>
      <c r="F78" s="25">
        <f>F77-F63</f>
        <v/>
      </c>
      <c r="G78" s="25">
        <f>G77-G63</f>
        <v/>
      </c>
      <c r="H78" s="25">
        <f>H77-H63</f>
        <v/>
      </c>
      <c r="I78" s="25">
        <f>I77-I63</f>
        <v/>
      </c>
      <c r="J78" s="25">
        <f>J77-J63</f>
        <v/>
      </c>
      <c r="K78" s="25">
        <f>K77-K63</f>
        <v/>
      </c>
      <c r="L78" s="25">
        <f>L77-L63</f>
        <v/>
      </c>
      <c r="M78" s="25">
        <f>M77-M63</f>
        <v/>
      </c>
      <c r="N78" s="25">
        <f>N77-N63</f>
        <v/>
      </c>
      <c r="O78" s="25">
        <f>O77-O63</f>
        <v/>
      </c>
      <c r="P78" s="25">
        <f>P77-P63</f>
        <v/>
      </c>
      <c r="Q78" s="25">
        <f>Q77-Q63</f>
        <v/>
      </c>
      <c r="R78" s="25">
        <f>R77-R63</f>
        <v/>
      </c>
      <c r="S78" s="25">
        <f>S77-S63</f>
        <v/>
      </c>
      <c r="T78" s="25">
        <f>T77-T63</f>
        <v/>
      </c>
      <c r="U78" s="25">
        <f>U77-U63</f>
        <v/>
      </c>
      <c r="V78" s="25">
        <f>V77-V63</f>
        <v/>
      </c>
      <c r="W78" s="25">
        <f>W77-W63</f>
        <v/>
      </c>
      <c r="X78" s="25">
        <f>X77-X63</f>
        <v/>
      </c>
      <c r="Y78" s="25">
        <f>Y77-Y63</f>
        <v/>
      </c>
      <c r="Z78" s="25">
        <f>Z77-Z63</f>
        <v/>
      </c>
      <c r="AA78" s="25">
        <f>AA77-AA63</f>
        <v/>
      </c>
      <c r="AB78" s="25">
        <f>AB77-AB63</f>
        <v/>
      </c>
      <c r="AC78" s="25">
        <f>AC77-AC63</f>
        <v/>
      </c>
      <c r="AD78" s="25">
        <f>AD77-AD63</f>
        <v/>
      </c>
      <c r="AE78" s="25">
        <f>AE77-AE63</f>
        <v/>
      </c>
      <c r="AF78" s="25">
        <f>AF77-AF63</f>
        <v/>
      </c>
      <c r="AG78" s="25">
        <f>AG77-AG63</f>
        <v/>
      </c>
      <c r="AH78" s="25">
        <f>AH77-AH63</f>
        <v/>
      </c>
      <c r="AI78" s="25">
        <f>AI77-AI63</f>
        <v/>
      </c>
      <c r="AJ78" s="25">
        <f>AJ77-AJ63</f>
        <v/>
      </c>
      <c r="AK78" s="25">
        <f>AK77-AK63</f>
        <v/>
      </c>
      <c r="AL78" s="25">
        <f>AL77-AL63</f>
        <v/>
      </c>
      <c r="AM78" s="25">
        <f>AM77-AM63</f>
        <v/>
      </c>
      <c r="AN78" s="25">
        <f>AN77-AN63</f>
        <v/>
      </c>
      <c r="AO78" s="25">
        <f>AO77-AO63</f>
        <v/>
      </c>
      <c r="AP78" s="25">
        <f>AP77-AP63</f>
        <v/>
      </c>
      <c r="AQ78" s="25">
        <f>AQ77-AQ63</f>
        <v/>
      </c>
      <c r="AR78" s="25">
        <f>AR77-AR63</f>
        <v/>
      </c>
      <c r="AS78" s="25">
        <f>AS77-AS63</f>
        <v/>
      </c>
      <c r="AT78" s="25">
        <f>AT77-AT63</f>
        <v/>
      </c>
      <c r="AU78" s="25">
        <f>AU77-AU63</f>
        <v/>
      </c>
      <c r="AV78" s="25">
        <f>AV77-AV63</f>
        <v/>
      </c>
      <c r="AW78" s="25">
        <f>AW77-AW63</f>
        <v/>
      </c>
      <c r="AX78" s="25">
        <f>AX77-AX63</f>
        <v/>
      </c>
      <c r="AY78" s="25">
        <f>AY77-AY63</f>
        <v/>
      </c>
      <c r="AZ78" s="25">
        <f>AZ77-AZ63</f>
        <v/>
      </c>
      <c r="BA78" s="25">
        <f>BA77-BA63</f>
        <v/>
      </c>
      <c r="BB78" s="25">
        <f>BB77-BB63</f>
        <v/>
      </c>
      <c r="BC78" s="25">
        <f>BC77-BC63</f>
        <v/>
      </c>
      <c r="BD78" s="25">
        <f>BD77-BD63</f>
        <v/>
      </c>
      <c r="BE78" s="25">
        <f>BE77-BE63</f>
        <v/>
      </c>
      <c r="BF78" s="25">
        <f>BF77-BF63</f>
        <v/>
      </c>
      <c r="BG78" s="25">
        <f>BG77-BG63</f>
        <v/>
      </c>
      <c r="BH78" s="25">
        <f>BH77-BH63</f>
        <v/>
      </c>
      <c r="BI78" s="25">
        <f>BI77-BI63</f>
        <v/>
      </c>
      <c r="BJ78" s="25">
        <f>BJ77-BJ63</f>
        <v/>
      </c>
      <c r="BK78" s="25">
        <f>BK77-BK63</f>
        <v/>
      </c>
      <c r="BL78" s="25">
        <f>BL77-BL63</f>
        <v/>
      </c>
      <c r="BM78" s="25">
        <f>BM77-BM63</f>
        <v/>
      </c>
      <c r="BN78" s="25">
        <f>BN77-BN63</f>
        <v/>
      </c>
      <c r="BO78" s="25">
        <f>BO77-BO63</f>
        <v/>
      </c>
      <c r="BP78" s="25">
        <f>BP77-BP63</f>
        <v/>
      </c>
      <c r="BQ78" s="25">
        <f>BQ77-BQ63</f>
        <v/>
      </c>
      <c r="BR78" s="25">
        <f>BR77-BR63</f>
        <v/>
      </c>
      <c r="BS78" s="25">
        <f>BS77-BS63</f>
        <v/>
      </c>
      <c r="BT78" s="25">
        <f>BT77-BT63</f>
        <v/>
      </c>
      <c r="BU78" s="25">
        <f>BU77-BU63</f>
        <v/>
      </c>
      <c r="BV78" s="25">
        <f>BV77-BV63</f>
        <v/>
      </c>
      <c r="BW78" s="25">
        <f>BW77-BW63</f>
        <v/>
      </c>
      <c r="BX78" s="25">
        <f>BX77-BX63</f>
        <v/>
      </c>
      <c r="BY78" s="25">
        <f>BY77-BY63</f>
        <v/>
      </c>
      <c r="BZ78" s="25">
        <f>BZ77-BZ63</f>
        <v/>
      </c>
      <c r="CA78" s="25">
        <f>CA77-CA63</f>
        <v/>
      </c>
      <c r="CB78" s="25">
        <f>CB77-CB63</f>
        <v/>
      </c>
      <c r="CC78" s="25">
        <f>CC77-CC63</f>
        <v/>
      </c>
      <c r="CD78" s="25">
        <f>CD77-CD63</f>
        <v/>
      </c>
      <c r="CE78" s="25">
        <f>CE77-CE63</f>
        <v/>
      </c>
      <c r="CF78" s="25">
        <f>CF77-CF63</f>
        <v/>
      </c>
      <c r="CG78" s="25">
        <f>CG77-CG63</f>
        <v/>
      </c>
      <c r="CH78" s="25">
        <f>CH77-CH63</f>
        <v/>
      </c>
      <c r="CI78" s="25">
        <f>CI77-CI63</f>
        <v/>
      </c>
      <c r="CJ78" s="25">
        <f>CJ77-CJ63</f>
        <v/>
      </c>
      <c r="CK78" s="25">
        <f>CK77-CK63</f>
        <v/>
      </c>
      <c r="CL78" s="25">
        <f>CL77-CL63</f>
        <v/>
      </c>
      <c r="CM78" s="25">
        <f>CM77-CM63</f>
        <v/>
      </c>
      <c r="CN78" s="25">
        <f>CN77-CN63</f>
        <v/>
      </c>
      <c r="CO78" s="25">
        <f>CO77-CO63</f>
        <v/>
      </c>
      <c r="CP78" s="25">
        <f>CP77-CP63</f>
        <v/>
      </c>
      <c r="CQ78" s="25">
        <f>CQ77-CQ63</f>
        <v/>
      </c>
      <c r="CR78" s="25">
        <f>CR77-CR63</f>
        <v/>
      </c>
      <c r="CS78" s="25">
        <f>CS77-CS63</f>
        <v/>
      </c>
      <c r="CT78" s="25">
        <f>CT77-CT63</f>
        <v/>
      </c>
      <c r="CU78" s="25">
        <f>CU77-CU63</f>
        <v/>
      </c>
      <c r="CV78" s="25">
        <f>CV77-CV63</f>
        <v/>
      </c>
      <c r="CW78" s="25">
        <f>CW77-CW63</f>
        <v/>
      </c>
      <c r="CX78" s="25">
        <f>CX77-CX63</f>
        <v/>
      </c>
      <c r="CY78" s="25">
        <f>CY77-CY63</f>
        <v/>
      </c>
      <c r="CZ78" s="25">
        <f>CZ77-CZ63</f>
        <v/>
      </c>
      <c r="DA78" s="25">
        <f>DA77-DA63</f>
        <v/>
      </c>
      <c r="DB78" s="25">
        <f>DB77-DB63</f>
        <v/>
      </c>
      <c r="DC78" s="25">
        <f>DC77-DC63</f>
        <v/>
      </c>
      <c r="DD78" s="25">
        <f>DD77-DD63</f>
        <v/>
      </c>
      <c r="DE78" s="25">
        <f>DE77-DE63</f>
        <v/>
      </c>
      <c r="DF78" s="25">
        <f>DF77-DF63</f>
        <v/>
      </c>
      <c r="DG78" s="25">
        <f>DG77-DG63</f>
        <v/>
      </c>
      <c r="DH78" s="25">
        <f>DH77-DH63</f>
        <v/>
      </c>
      <c r="DI78" s="25">
        <f>DI77-DI63</f>
        <v/>
      </c>
      <c r="DJ78" s="25">
        <f>DJ77-DJ63</f>
        <v/>
      </c>
      <c r="DK78" s="25">
        <f>DK77-DK63</f>
        <v/>
      </c>
      <c r="DL78" s="25">
        <f>DL77-DL63</f>
        <v/>
      </c>
      <c r="DM78" s="25">
        <f>DM77-DM63</f>
        <v/>
      </c>
      <c r="DN78" s="25">
        <f>DN77-DN63</f>
        <v/>
      </c>
      <c r="DO78" s="25">
        <f>DO77-DO63</f>
        <v/>
      </c>
      <c r="DP78" s="25">
        <f>DP77-DP63</f>
        <v/>
      </c>
      <c r="DQ78" s="25">
        <f>DQ77-DQ63</f>
        <v/>
      </c>
      <c r="DR78" s="25">
        <f>DR77-DR63</f>
        <v/>
      </c>
    </row>
    <row r="79">
      <c r="A79" s="4" t="inlineStr">
        <is>
          <t>ending_cash</t>
        </is>
      </c>
      <c r="C79" s="25">
        <f>Effective!$B$14+C78</f>
        <v/>
      </c>
      <c r="D79" s="25">
        <f>C79+D78</f>
        <v/>
      </c>
      <c r="E79" s="25">
        <f>D79+E78</f>
        <v/>
      </c>
      <c r="F79" s="25">
        <f>E79+F78</f>
        <v/>
      </c>
      <c r="G79" s="25">
        <f>F79+G78</f>
        <v/>
      </c>
      <c r="H79" s="25">
        <f>G79+H78</f>
        <v/>
      </c>
      <c r="I79" s="25">
        <f>H79+I78</f>
        <v/>
      </c>
      <c r="J79" s="25">
        <f>I79+J78</f>
        <v/>
      </c>
      <c r="K79" s="25">
        <f>J79+K78</f>
        <v/>
      </c>
      <c r="L79" s="25">
        <f>K79+L78</f>
        <v/>
      </c>
      <c r="M79" s="25">
        <f>L79+M78</f>
        <v/>
      </c>
      <c r="N79" s="25">
        <f>M79+N78</f>
        <v/>
      </c>
      <c r="O79" s="25">
        <f>N79+O78</f>
        <v/>
      </c>
      <c r="P79" s="25">
        <f>O79+P78</f>
        <v/>
      </c>
      <c r="Q79" s="25">
        <f>P79+Q78</f>
        <v/>
      </c>
      <c r="R79" s="25">
        <f>Q79+R78</f>
        <v/>
      </c>
      <c r="S79" s="25">
        <f>R79+S78</f>
        <v/>
      </c>
      <c r="T79" s="25">
        <f>S79+T78</f>
        <v/>
      </c>
      <c r="U79" s="25">
        <f>T79+U78</f>
        <v/>
      </c>
      <c r="V79" s="25">
        <f>U79+V78</f>
        <v/>
      </c>
      <c r="W79" s="25">
        <f>V79+W78</f>
        <v/>
      </c>
      <c r="X79" s="25">
        <f>W79+X78</f>
        <v/>
      </c>
      <c r="Y79" s="25">
        <f>X79+Y78</f>
        <v/>
      </c>
      <c r="Z79" s="25">
        <f>Y79+Z78</f>
        <v/>
      </c>
      <c r="AA79" s="25">
        <f>Z79+AA78</f>
        <v/>
      </c>
      <c r="AB79" s="25">
        <f>AA79+AB78</f>
        <v/>
      </c>
      <c r="AC79" s="25">
        <f>AB79+AC78</f>
        <v/>
      </c>
      <c r="AD79" s="25">
        <f>AC79+AD78</f>
        <v/>
      </c>
      <c r="AE79" s="25">
        <f>AD79+AE78</f>
        <v/>
      </c>
      <c r="AF79" s="25">
        <f>AE79+AF78</f>
        <v/>
      </c>
      <c r="AG79" s="25">
        <f>AF79+AG78</f>
        <v/>
      </c>
      <c r="AH79" s="25">
        <f>AG79+AH78</f>
        <v/>
      </c>
      <c r="AI79" s="25">
        <f>AH79+AI78</f>
        <v/>
      </c>
      <c r="AJ79" s="25">
        <f>AI79+AJ78</f>
        <v/>
      </c>
      <c r="AK79" s="25">
        <f>AJ79+AK78</f>
        <v/>
      </c>
      <c r="AL79" s="25">
        <f>AK79+AL78</f>
        <v/>
      </c>
      <c r="AM79" s="25">
        <f>AL79+AM78</f>
        <v/>
      </c>
      <c r="AN79" s="25">
        <f>AM79+AN78</f>
        <v/>
      </c>
      <c r="AO79" s="25">
        <f>AN79+AO78</f>
        <v/>
      </c>
      <c r="AP79" s="25">
        <f>AO79+AP78</f>
        <v/>
      </c>
      <c r="AQ79" s="25">
        <f>AP79+AQ78</f>
        <v/>
      </c>
      <c r="AR79" s="25">
        <f>AQ79+AR78</f>
        <v/>
      </c>
      <c r="AS79" s="25">
        <f>AR79+AS78</f>
        <v/>
      </c>
      <c r="AT79" s="25">
        <f>AS79+AT78</f>
        <v/>
      </c>
      <c r="AU79" s="25">
        <f>AT79+AU78</f>
        <v/>
      </c>
      <c r="AV79" s="25">
        <f>AU79+AV78</f>
        <v/>
      </c>
      <c r="AW79" s="25">
        <f>AV79+AW78</f>
        <v/>
      </c>
      <c r="AX79" s="25">
        <f>AW79+AX78</f>
        <v/>
      </c>
      <c r="AY79" s="25">
        <f>AX79+AY78</f>
        <v/>
      </c>
      <c r="AZ79" s="25">
        <f>AY79+AZ78</f>
        <v/>
      </c>
      <c r="BA79" s="25">
        <f>AZ79+BA78</f>
        <v/>
      </c>
      <c r="BB79" s="25">
        <f>BA79+BB78</f>
        <v/>
      </c>
      <c r="BC79" s="25">
        <f>BB79+BC78</f>
        <v/>
      </c>
      <c r="BD79" s="25">
        <f>BC79+BD78</f>
        <v/>
      </c>
      <c r="BE79" s="25">
        <f>BD79+BE78</f>
        <v/>
      </c>
      <c r="BF79" s="25">
        <f>BE79+BF78</f>
        <v/>
      </c>
      <c r="BG79" s="25">
        <f>BF79+BG78</f>
        <v/>
      </c>
      <c r="BH79" s="25">
        <f>BG79+BH78</f>
        <v/>
      </c>
      <c r="BI79" s="25">
        <f>BH79+BI78</f>
        <v/>
      </c>
      <c r="BJ79" s="25">
        <f>BI79+BJ78</f>
        <v/>
      </c>
      <c r="BK79" s="25">
        <f>BJ79+BK78</f>
        <v/>
      </c>
      <c r="BL79" s="25">
        <f>BK79+BL78</f>
        <v/>
      </c>
      <c r="BM79" s="25">
        <f>BL79+BM78</f>
        <v/>
      </c>
      <c r="BN79" s="25">
        <f>BM79+BN78</f>
        <v/>
      </c>
      <c r="BO79" s="25">
        <f>BN79+BO78</f>
        <v/>
      </c>
      <c r="BP79" s="25">
        <f>BO79+BP78</f>
        <v/>
      </c>
      <c r="BQ79" s="25">
        <f>BP79+BQ78</f>
        <v/>
      </c>
      <c r="BR79" s="25">
        <f>BQ79+BR78</f>
        <v/>
      </c>
      <c r="BS79" s="25">
        <f>BR79+BS78</f>
        <v/>
      </c>
      <c r="BT79" s="25">
        <f>BS79+BT78</f>
        <v/>
      </c>
      <c r="BU79" s="25">
        <f>BT79+BU78</f>
        <v/>
      </c>
      <c r="BV79" s="25">
        <f>BU79+BV78</f>
        <v/>
      </c>
      <c r="BW79" s="25">
        <f>BV79+BW78</f>
        <v/>
      </c>
      <c r="BX79" s="25">
        <f>BW79+BX78</f>
        <v/>
      </c>
      <c r="BY79" s="25">
        <f>BX79+BY78</f>
        <v/>
      </c>
      <c r="BZ79" s="25">
        <f>BY79+BZ78</f>
        <v/>
      </c>
      <c r="CA79" s="25">
        <f>BZ79+CA78</f>
        <v/>
      </c>
      <c r="CB79" s="25">
        <f>CA79+CB78</f>
        <v/>
      </c>
      <c r="CC79" s="25">
        <f>CB79+CC78</f>
        <v/>
      </c>
      <c r="CD79" s="25">
        <f>CC79+CD78</f>
        <v/>
      </c>
      <c r="CE79" s="25">
        <f>CD79+CE78</f>
        <v/>
      </c>
      <c r="CF79" s="25">
        <f>CE79+CF78</f>
        <v/>
      </c>
      <c r="CG79" s="25">
        <f>CF79+CG78</f>
        <v/>
      </c>
      <c r="CH79" s="25">
        <f>CG79+CH78</f>
        <v/>
      </c>
      <c r="CI79" s="25">
        <f>CH79+CI78</f>
        <v/>
      </c>
      <c r="CJ79" s="25">
        <f>CI79+CJ78</f>
        <v/>
      </c>
      <c r="CK79" s="25">
        <f>CJ79+CK78</f>
        <v/>
      </c>
      <c r="CL79" s="25">
        <f>CK79+CL78</f>
        <v/>
      </c>
      <c r="CM79" s="25">
        <f>CL79+CM78</f>
        <v/>
      </c>
      <c r="CN79" s="25">
        <f>CM79+CN78</f>
        <v/>
      </c>
      <c r="CO79" s="25">
        <f>CN79+CO78</f>
        <v/>
      </c>
      <c r="CP79" s="25">
        <f>CO79+CP78</f>
        <v/>
      </c>
      <c r="CQ79" s="25">
        <f>CP79+CQ78</f>
        <v/>
      </c>
      <c r="CR79" s="25">
        <f>CQ79+CR78</f>
        <v/>
      </c>
      <c r="CS79" s="25">
        <f>CR79+CS78</f>
        <v/>
      </c>
      <c r="CT79" s="25">
        <f>CS79+CT78</f>
        <v/>
      </c>
      <c r="CU79" s="25">
        <f>CT79+CU78</f>
        <v/>
      </c>
      <c r="CV79" s="25">
        <f>CU79+CV78</f>
        <v/>
      </c>
      <c r="CW79" s="25">
        <f>CV79+CW78</f>
        <v/>
      </c>
      <c r="CX79" s="25">
        <f>CW79+CX78</f>
        <v/>
      </c>
      <c r="CY79" s="25">
        <f>CX79+CY78</f>
        <v/>
      </c>
      <c r="CZ79" s="25">
        <f>CY79+CZ78</f>
        <v/>
      </c>
      <c r="DA79" s="25">
        <f>CZ79+DA78</f>
        <v/>
      </c>
      <c r="DB79" s="25">
        <f>DA79+DB78</f>
        <v/>
      </c>
      <c r="DC79" s="25">
        <f>DB79+DC78</f>
        <v/>
      </c>
      <c r="DD79" s="25">
        <f>DC79+DD78</f>
        <v/>
      </c>
      <c r="DE79" s="25">
        <f>DD79+DE78</f>
        <v/>
      </c>
      <c r="DF79" s="25">
        <f>DE79+DF78</f>
        <v/>
      </c>
      <c r="DG79" s="25">
        <f>DF79+DG78</f>
        <v/>
      </c>
      <c r="DH79" s="25">
        <f>DG79+DH78</f>
        <v/>
      </c>
      <c r="DI79" s="25">
        <f>DH79+DI78</f>
        <v/>
      </c>
      <c r="DJ79" s="25">
        <f>DI79+DJ78</f>
        <v/>
      </c>
      <c r="DK79" s="25">
        <f>DJ79+DK78</f>
        <v/>
      </c>
      <c r="DL79" s="25">
        <f>DK79+DL78</f>
        <v/>
      </c>
      <c r="DM79" s="25">
        <f>DL79+DM78</f>
        <v/>
      </c>
      <c r="DN79" s="25">
        <f>DM79+DN78</f>
        <v/>
      </c>
      <c r="DO79" s="25">
        <f>DN79+DO78</f>
        <v/>
      </c>
      <c r="DP79" s="25">
        <f>DO79+DP78</f>
        <v/>
      </c>
      <c r="DQ79" s="25">
        <f>DP79+DQ78</f>
        <v/>
      </c>
      <c r="DR79" s="25">
        <f>DQ79+DR78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Summary - headline, scoring lines (extract_lines), Indian FY and quarterly roll-ups</t>
        </is>
      </c>
    </row>
    <row r="2"/>
    <row r="3"/>
    <row r="4">
      <c r="A4" s="7" t="inlineStr">
        <is>
          <t>line</t>
        </is>
      </c>
      <c r="B4" s="7" t="inlineStr">
        <is>
          <t>horizon total</t>
        </is>
      </c>
      <c r="C4" s="7" t="inlineStr">
        <is>
          <t>kind</t>
        </is>
      </c>
    </row>
    <row r="5">
      <c r="A5" t="inlineStr">
        <is>
          <t>revenue</t>
        </is>
      </c>
      <c r="B5" s="20">
        <f>SUM(Model!$C$18:$DR$18)</f>
        <v/>
      </c>
      <c r="C5" t="inlineStr">
        <is>
          <t>flow (sum)</t>
        </is>
      </c>
    </row>
    <row r="6">
      <c r="A6" t="inlineStr">
        <is>
          <t>cogs</t>
        </is>
      </c>
      <c r="B6" s="20">
        <f>SUM(Model!$C$27:$DR$27)</f>
        <v/>
      </c>
      <c r="C6" t="inlineStr">
        <is>
          <t>flow (sum)</t>
        </is>
      </c>
    </row>
    <row r="7">
      <c r="A7" t="inlineStr">
        <is>
          <t>gross_profit</t>
        </is>
      </c>
      <c r="B7" s="20">
        <f>SUM(Model!$C$28:$DR$28)</f>
        <v/>
      </c>
      <c r="C7" t="inlineStr">
        <is>
          <t>flow (sum)</t>
        </is>
      </c>
    </row>
    <row r="8">
      <c r="A8" t="inlineStr">
        <is>
          <t>opex</t>
        </is>
      </c>
      <c r="B8" s="20">
        <f>SUM(Model!$C$44:$DR$44)</f>
        <v/>
      </c>
      <c r="C8" t="inlineStr">
        <is>
          <t>flow (sum)</t>
        </is>
      </c>
    </row>
    <row r="9">
      <c r="A9" t="inlineStr">
        <is>
          <t>ebitda</t>
        </is>
      </c>
      <c r="B9" s="20">
        <f>SUM(Model!$C$45:$DR$45)</f>
        <v/>
      </c>
      <c r="C9" t="inlineStr">
        <is>
          <t>flow (sum)</t>
        </is>
      </c>
    </row>
    <row r="10">
      <c r="A10" t="inlineStr">
        <is>
          <t>da</t>
        </is>
      </c>
      <c r="B10" s="20">
        <f>SUM(Model!$C$46:$DR$46)</f>
        <v/>
      </c>
      <c r="C10" t="inlineStr">
        <is>
          <t>flow (sum)</t>
        </is>
      </c>
    </row>
    <row r="11">
      <c r="A11" t="inlineStr">
        <is>
          <t>interest</t>
        </is>
      </c>
      <c r="B11" s="20">
        <f>SUM(Model!$C$62:$DR$62)</f>
        <v/>
      </c>
      <c r="C11" t="inlineStr">
        <is>
          <t>flow (sum)</t>
        </is>
      </c>
    </row>
    <row r="12">
      <c r="A12" t="inlineStr">
        <is>
          <t>pretax_income</t>
        </is>
      </c>
      <c r="B12" s="20">
        <f>SUM(Model!$C$65:$DR$65)</f>
        <v/>
      </c>
      <c r="C12" t="inlineStr">
        <is>
          <t>flow (sum)</t>
        </is>
      </c>
    </row>
    <row r="13">
      <c r="A13" t="inlineStr">
        <is>
          <t>tax</t>
        </is>
      </c>
      <c r="B13" s="20">
        <f>SUM(Model!$C$69:$DR$69)</f>
        <v/>
      </c>
      <c r="C13" t="inlineStr">
        <is>
          <t>flow (sum)</t>
        </is>
      </c>
    </row>
    <row r="14">
      <c r="A14" t="inlineStr">
        <is>
          <t>net_income</t>
        </is>
      </c>
      <c r="B14" s="20">
        <f>SUM(Model!$C$70:$DR$70)</f>
        <v/>
      </c>
      <c r="C14" t="inlineStr">
        <is>
          <t>flow (sum)</t>
        </is>
      </c>
    </row>
    <row r="15">
      <c r="A15" t="inlineStr">
        <is>
          <t>wc_cash_impact</t>
        </is>
      </c>
      <c r="B15" s="20">
        <f>SUM(Model!$C$74:$DR$74)</f>
        <v/>
      </c>
      <c r="C15" t="inlineStr">
        <is>
          <t>flow (sum)</t>
        </is>
      </c>
    </row>
    <row r="16">
      <c r="A16" t="inlineStr">
        <is>
          <t>operating_cash_flow</t>
        </is>
      </c>
      <c r="B16" s="20">
        <f>SUM(Model!$C$75:$DR$75)</f>
        <v/>
      </c>
      <c r="C16" t="inlineStr">
        <is>
          <t>flow (sum)</t>
        </is>
      </c>
    </row>
    <row r="17">
      <c r="A17" t="inlineStr">
        <is>
          <t>capex</t>
        </is>
      </c>
      <c r="B17" s="20">
        <f>SUM(Model!$C$76:$DR$76)</f>
        <v/>
      </c>
      <c r="C17" t="inlineStr">
        <is>
          <t>flow (sum)</t>
        </is>
      </c>
    </row>
    <row r="18">
      <c r="A18" t="inlineStr">
        <is>
          <t>principal</t>
        </is>
      </c>
      <c r="B18" s="20">
        <f>SUM(Model!$C$63:$DR$63)</f>
        <v/>
      </c>
      <c r="C18" t="inlineStr">
        <is>
          <t>flow (sum)</t>
        </is>
      </c>
    </row>
    <row r="19">
      <c r="A19" t="inlineStr">
        <is>
          <t>free_cash_flow</t>
        </is>
      </c>
      <c r="B19" s="20">
        <f>SUM(Model!$C$77:$DR$77)</f>
        <v/>
      </c>
      <c r="C19" t="inlineStr">
        <is>
          <t>flow (sum)</t>
        </is>
      </c>
    </row>
    <row r="20">
      <c r="A20" t="inlineStr">
        <is>
          <t>change_in_cash</t>
        </is>
      </c>
      <c r="B20" s="20">
        <f>SUM(Model!$C$78:$DR$78)</f>
        <v/>
      </c>
      <c r="C20" t="inlineStr">
        <is>
          <t>flow (sum)</t>
        </is>
      </c>
    </row>
    <row r="21">
      <c r="A21" t="inlineStr">
        <is>
          <t>ending_cash</t>
        </is>
      </c>
      <c r="B21" s="20">
        <f>INDEX(Model!$C$79:$DR$79,1,Effective!$B$7)</f>
        <v/>
      </c>
      <c r="C21" t="inlineStr">
        <is>
          <t>stock (last month)</t>
        </is>
      </c>
    </row>
    <row r="22">
      <c r="A22" t="inlineStr">
        <is>
          <t>ending_debt</t>
        </is>
      </c>
      <c r="B22" s="20">
        <f>INDEX(Model!$C$64:$DR$64,1,Effective!$B$7)</f>
        <v/>
      </c>
      <c r="C22" t="inlineStr">
        <is>
          <t>stock (last month)</t>
        </is>
      </c>
    </row>
    <row r="23">
      <c r="A23" t="inlineStr">
        <is>
          <t>ar_balance</t>
        </is>
      </c>
      <c r="B23" s="20">
        <f>INDEX(Model!$C$71:$DR$71,1,Effective!$B$7)</f>
        <v/>
      </c>
      <c r="C23" t="inlineStr">
        <is>
          <t>stock (last month)</t>
        </is>
      </c>
    </row>
    <row r="24">
      <c r="A24" t="inlineStr">
        <is>
          <t>ap_balance</t>
        </is>
      </c>
      <c r="B24" s="20">
        <f>INDEX(Model!$C$72:$DR$72,1,Effective!$B$7)</f>
        <v/>
      </c>
      <c r="C24" t="inlineStr">
        <is>
          <t>stock (last month)</t>
        </is>
      </c>
    </row>
    <row r="25">
      <c r="A25" t="inlineStr">
        <is>
          <t>inv_balance</t>
        </is>
      </c>
      <c r="B25" s="20">
        <f>INDEX(Model!$C$73:$DR$73,1,Effective!$B$7)</f>
        <v/>
      </c>
      <c r="C25" t="inlineStr">
        <is>
          <t>stock (last month)</t>
        </is>
      </c>
    </row>
    <row r="26">
      <c r="A26" t="inlineStr">
        <is>
          <t>gross_margin</t>
        </is>
      </c>
      <c r="B26" s="19">
        <f>IF(B5=0,0,B7/B5)</f>
        <v/>
      </c>
      <c r="C26" t="inlineStr">
        <is>
          <t>ratio (sum GP / sum revenue)</t>
        </is>
      </c>
    </row>
    <row r="27"/>
    <row r="28">
      <c r="A28" s="4" t="inlineStr">
        <is>
          <t>Forecast snapshot (copy into memory/forecasts/&lt;label&gt;.snapshot.md)</t>
        </is>
      </c>
    </row>
    <row r="29">
      <c r="A29" s="7" t="inlineStr">
        <is>
          <t>field</t>
        </is>
      </c>
      <c r="B29" s="7" t="inlineStr">
        <is>
          <t>value</t>
        </is>
      </c>
    </row>
    <row r="30">
      <c r="A30" t="inlineStr">
        <is>
          <t>label</t>
        </is>
      </c>
      <c r="B30" s="9" t="n"/>
    </row>
    <row r="31">
      <c r="A31" t="inlineStr">
        <is>
          <t>created (YYYY-MM-DD)</t>
        </is>
      </c>
      <c r="B31" s="9" t="n"/>
    </row>
    <row r="32">
      <c r="A32" t="inlineStr">
        <is>
          <t>predicted.ending_cash</t>
        </is>
      </c>
      <c r="B32" s="26">
        <f>B21</f>
        <v/>
      </c>
    </row>
    <row r="33">
      <c r="A33" t="inlineStr">
        <is>
          <t>predicted.ebitda</t>
        </is>
      </c>
      <c r="B33" s="26">
        <f>B9</f>
        <v/>
      </c>
    </row>
    <row r="34">
      <c r="A34" t="inlineStr">
        <is>
          <t>predicted.revenue</t>
        </is>
      </c>
      <c r="B34" s="26">
        <f>B5</f>
        <v/>
      </c>
    </row>
    <row r="35">
      <c r="A35" t="inlineStr">
        <is>
          <t>predicted.gross_margin</t>
        </is>
      </c>
      <c r="B35" s="19">
        <f>B26</f>
        <v/>
      </c>
    </row>
    <row r="36"/>
    <row r="37"/>
    <row r="38">
      <c r="A38" s="4" t="inlineStr">
        <is>
          <t>Indian fiscal-year roll-up (April-March)</t>
        </is>
      </c>
    </row>
    <row r="39">
      <c r="A39" s="7" t="inlineStr">
        <is>
          <t>fiscal year</t>
        </is>
      </c>
      <c r="B39" s="7" t="inlineStr">
        <is>
          <t>months in horizon</t>
        </is>
      </c>
      <c r="C39" s="7" t="inlineStr">
        <is>
          <t>revenue</t>
        </is>
      </c>
      <c r="D39" s="7" t="inlineStr">
        <is>
          <t>gross_profit</t>
        </is>
      </c>
      <c r="E39" s="7" t="inlineStr">
        <is>
          <t>ebitda</t>
        </is>
      </c>
      <c r="F39" s="7" t="inlineStr">
        <is>
          <t>net_income</t>
        </is>
      </c>
      <c r="G39" s="7" t="inlineStr">
        <is>
          <t>operating_cash_flow</t>
        </is>
      </c>
      <c r="H39" s="7" t="inlineStr">
        <is>
          <t>free_cash_flow</t>
        </is>
      </c>
      <c r="I39" s="7" t="inlineStr">
        <is>
          <t>ending_cash (FY end or horizon end)</t>
        </is>
      </c>
    </row>
    <row r="40">
      <c r="A40" s="6">
        <f>"FY"&amp;((YEAR(Effective!$B$6)-IF(MONTH(Effective!$B$6)&lt;4,1,0))+0)&amp;"-"&amp;RIGHT((YEAR(Effective!$B$6)-IF(MONTH(Effective!$B$6)&lt;4,1,0))+0+1,2)</f>
        <v/>
      </c>
      <c r="B40" s="18">
        <f>SUMIF(Model!$C$7:$DR$7,A40,Model!$C$4:$DR$4)</f>
        <v/>
      </c>
      <c r="C40" s="20">
        <f>IF(B40=0,"",SUMIF(Model!$C$7:$DR$7,A40,Model!$C$18:$DR$18))</f>
        <v/>
      </c>
      <c r="D40" s="20">
        <f>IF(B40=0,"",SUMIF(Model!$C$7:$DR$7,A40,Model!$C$28:$DR$28))</f>
        <v/>
      </c>
      <c r="E40" s="20">
        <f>IF(B40=0,"",SUMIF(Model!$C$7:$DR$7,A40,Model!$C$45:$DR$45))</f>
        <v/>
      </c>
      <c r="F40" s="20">
        <f>IF(B40=0,"",SUMIF(Model!$C$7:$DR$7,A40,Model!$C$70:$DR$70))</f>
        <v/>
      </c>
      <c r="G40" s="20">
        <f>IF(B40=0,"",SUMIF(Model!$C$7:$DR$7,A40,Model!$C$75:$DR$75))</f>
        <v/>
      </c>
      <c r="H40" s="20">
        <f>IF(B40=0,"",SUMIF(Model!$C$7:$DR$7,A40,Model!$C$77:$DR$77))</f>
        <v/>
      </c>
      <c r="I40" s="20">
        <f>IF(B40=0,"",INDEX(Model!$C$79:$DR$79,1,MATCH(A40,Model!$C$7:$DR$7,0)+B40-1))</f>
        <v/>
      </c>
    </row>
    <row r="41">
      <c r="A41" s="6">
        <f>"FY"&amp;((YEAR(Effective!$B$6)-IF(MONTH(Effective!$B$6)&lt;4,1,0))+1)&amp;"-"&amp;RIGHT((YEAR(Effective!$B$6)-IF(MONTH(Effective!$B$6)&lt;4,1,0))+1+1,2)</f>
        <v/>
      </c>
      <c r="B41" s="18">
        <f>SUMIF(Model!$C$7:$DR$7,A41,Model!$C$4:$DR$4)</f>
        <v/>
      </c>
      <c r="C41" s="20">
        <f>IF(B41=0,"",SUMIF(Model!$C$7:$DR$7,A41,Model!$C$18:$DR$18))</f>
        <v/>
      </c>
      <c r="D41" s="20">
        <f>IF(B41=0,"",SUMIF(Model!$C$7:$DR$7,A41,Model!$C$28:$DR$28))</f>
        <v/>
      </c>
      <c r="E41" s="20">
        <f>IF(B41=0,"",SUMIF(Model!$C$7:$DR$7,A41,Model!$C$45:$DR$45))</f>
        <v/>
      </c>
      <c r="F41" s="20">
        <f>IF(B41=0,"",SUMIF(Model!$C$7:$DR$7,A41,Model!$C$70:$DR$70))</f>
        <v/>
      </c>
      <c r="G41" s="20">
        <f>IF(B41=0,"",SUMIF(Model!$C$7:$DR$7,A41,Model!$C$75:$DR$75))</f>
        <v/>
      </c>
      <c r="H41" s="20">
        <f>IF(B41=0,"",SUMIF(Model!$C$7:$DR$7,A41,Model!$C$77:$DR$77))</f>
        <v/>
      </c>
      <c r="I41" s="20">
        <f>IF(B41=0,"",INDEX(Model!$C$79:$DR$79,1,MATCH(A41,Model!$C$7:$DR$7,0)+B41-1))</f>
        <v/>
      </c>
    </row>
    <row r="42">
      <c r="A42" s="6">
        <f>"FY"&amp;((YEAR(Effective!$B$6)-IF(MONTH(Effective!$B$6)&lt;4,1,0))+2)&amp;"-"&amp;RIGHT((YEAR(Effective!$B$6)-IF(MONTH(Effective!$B$6)&lt;4,1,0))+2+1,2)</f>
        <v/>
      </c>
      <c r="B42" s="18">
        <f>SUMIF(Model!$C$7:$DR$7,A42,Model!$C$4:$DR$4)</f>
        <v/>
      </c>
      <c r="C42" s="20">
        <f>IF(B42=0,"",SUMIF(Model!$C$7:$DR$7,A42,Model!$C$18:$DR$18))</f>
        <v/>
      </c>
      <c r="D42" s="20">
        <f>IF(B42=0,"",SUMIF(Model!$C$7:$DR$7,A42,Model!$C$28:$DR$28))</f>
        <v/>
      </c>
      <c r="E42" s="20">
        <f>IF(B42=0,"",SUMIF(Model!$C$7:$DR$7,A42,Model!$C$45:$DR$45))</f>
        <v/>
      </c>
      <c r="F42" s="20">
        <f>IF(B42=0,"",SUMIF(Model!$C$7:$DR$7,A42,Model!$C$70:$DR$70))</f>
        <v/>
      </c>
      <c r="G42" s="20">
        <f>IF(B42=0,"",SUMIF(Model!$C$7:$DR$7,A42,Model!$C$75:$DR$75))</f>
        <v/>
      </c>
      <c r="H42" s="20">
        <f>IF(B42=0,"",SUMIF(Model!$C$7:$DR$7,A42,Model!$C$77:$DR$77))</f>
        <v/>
      </c>
      <c r="I42" s="20">
        <f>IF(B42=0,"",INDEX(Model!$C$79:$DR$79,1,MATCH(A42,Model!$C$7:$DR$7,0)+B42-1))</f>
        <v/>
      </c>
    </row>
    <row r="43">
      <c r="A43" s="6">
        <f>"FY"&amp;((YEAR(Effective!$B$6)-IF(MONTH(Effective!$B$6)&lt;4,1,0))+3)&amp;"-"&amp;RIGHT((YEAR(Effective!$B$6)-IF(MONTH(Effective!$B$6)&lt;4,1,0))+3+1,2)</f>
        <v/>
      </c>
      <c r="B43" s="18">
        <f>SUMIF(Model!$C$7:$DR$7,A43,Model!$C$4:$DR$4)</f>
        <v/>
      </c>
      <c r="C43" s="20">
        <f>IF(B43=0,"",SUMIF(Model!$C$7:$DR$7,A43,Model!$C$18:$DR$18))</f>
        <v/>
      </c>
      <c r="D43" s="20">
        <f>IF(B43=0,"",SUMIF(Model!$C$7:$DR$7,A43,Model!$C$28:$DR$28))</f>
        <v/>
      </c>
      <c r="E43" s="20">
        <f>IF(B43=0,"",SUMIF(Model!$C$7:$DR$7,A43,Model!$C$45:$DR$45))</f>
        <v/>
      </c>
      <c r="F43" s="20">
        <f>IF(B43=0,"",SUMIF(Model!$C$7:$DR$7,A43,Model!$C$70:$DR$70))</f>
        <v/>
      </c>
      <c r="G43" s="20">
        <f>IF(B43=0,"",SUMIF(Model!$C$7:$DR$7,A43,Model!$C$75:$DR$75))</f>
        <v/>
      </c>
      <c r="H43" s="20">
        <f>IF(B43=0,"",SUMIF(Model!$C$7:$DR$7,A43,Model!$C$77:$DR$77))</f>
        <v/>
      </c>
      <c r="I43" s="20">
        <f>IF(B43=0,"",INDEX(Model!$C$79:$DR$79,1,MATCH(A43,Model!$C$7:$DR$7,0)+B43-1))</f>
        <v/>
      </c>
    </row>
    <row r="44">
      <c r="A44" s="6">
        <f>"FY"&amp;((YEAR(Effective!$B$6)-IF(MONTH(Effective!$B$6)&lt;4,1,0))+4)&amp;"-"&amp;RIGHT((YEAR(Effective!$B$6)-IF(MONTH(Effective!$B$6)&lt;4,1,0))+4+1,2)</f>
        <v/>
      </c>
      <c r="B44" s="18">
        <f>SUMIF(Model!$C$7:$DR$7,A44,Model!$C$4:$DR$4)</f>
        <v/>
      </c>
      <c r="C44" s="20">
        <f>IF(B44=0,"",SUMIF(Model!$C$7:$DR$7,A44,Model!$C$18:$DR$18))</f>
        <v/>
      </c>
      <c r="D44" s="20">
        <f>IF(B44=0,"",SUMIF(Model!$C$7:$DR$7,A44,Model!$C$28:$DR$28))</f>
        <v/>
      </c>
      <c r="E44" s="20">
        <f>IF(B44=0,"",SUMIF(Model!$C$7:$DR$7,A44,Model!$C$45:$DR$45))</f>
        <v/>
      </c>
      <c r="F44" s="20">
        <f>IF(B44=0,"",SUMIF(Model!$C$7:$DR$7,A44,Model!$C$70:$DR$70))</f>
        <v/>
      </c>
      <c r="G44" s="20">
        <f>IF(B44=0,"",SUMIF(Model!$C$7:$DR$7,A44,Model!$C$75:$DR$75))</f>
        <v/>
      </c>
      <c r="H44" s="20">
        <f>IF(B44=0,"",SUMIF(Model!$C$7:$DR$7,A44,Model!$C$77:$DR$77))</f>
        <v/>
      </c>
      <c r="I44" s="20">
        <f>IF(B44=0,"",INDEX(Model!$C$79:$DR$79,1,MATCH(A44,Model!$C$7:$DR$7,0)+B44-1))</f>
        <v/>
      </c>
    </row>
    <row r="45">
      <c r="A45" s="6">
        <f>"FY"&amp;((YEAR(Effective!$B$6)-IF(MONTH(Effective!$B$6)&lt;4,1,0))+5)&amp;"-"&amp;RIGHT((YEAR(Effective!$B$6)-IF(MONTH(Effective!$B$6)&lt;4,1,0))+5+1,2)</f>
        <v/>
      </c>
      <c r="B45" s="18">
        <f>SUMIF(Model!$C$7:$DR$7,A45,Model!$C$4:$DR$4)</f>
        <v/>
      </c>
      <c r="C45" s="20">
        <f>IF(B45=0,"",SUMIF(Model!$C$7:$DR$7,A45,Model!$C$18:$DR$18))</f>
        <v/>
      </c>
      <c r="D45" s="20">
        <f>IF(B45=0,"",SUMIF(Model!$C$7:$DR$7,A45,Model!$C$28:$DR$28))</f>
        <v/>
      </c>
      <c r="E45" s="20">
        <f>IF(B45=0,"",SUMIF(Model!$C$7:$DR$7,A45,Model!$C$45:$DR$45))</f>
        <v/>
      </c>
      <c r="F45" s="20">
        <f>IF(B45=0,"",SUMIF(Model!$C$7:$DR$7,A45,Model!$C$70:$DR$70))</f>
        <v/>
      </c>
      <c r="G45" s="20">
        <f>IF(B45=0,"",SUMIF(Model!$C$7:$DR$7,A45,Model!$C$75:$DR$75))</f>
        <v/>
      </c>
      <c r="H45" s="20">
        <f>IF(B45=0,"",SUMIF(Model!$C$7:$DR$7,A45,Model!$C$77:$DR$77))</f>
        <v/>
      </c>
      <c r="I45" s="20">
        <f>IF(B45=0,"",INDEX(Model!$C$79:$DR$79,1,MATCH(A45,Model!$C$7:$DR$7,0)+B45-1))</f>
        <v/>
      </c>
    </row>
    <row r="46">
      <c r="A46" s="6">
        <f>"FY"&amp;((YEAR(Effective!$B$6)-IF(MONTH(Effective!$B$6)&lt;4,1,0))+6)&amp;"-"&amp;RIGHT((YEAR(Effective!$B$6)-IF(MONTH(Effective!$B$6)&lt;4,1,0))+6+1,2)</f>
        <v/>
      </c>
      <c r="B46" s="18">
        <f>SUMIF(Model!$C$7:$DR$7,A46,Model!$C$4:$DR$4)</f>
        <v/>
      </c>
      <c r="C46" s="20">
        <f>IF(B46=0,"",SUMIF(Model!$C$7:$DR$7,A46,Model!$C$18:$DR$18))</f>
        <v/>
      </c>
      <c r="D46" s="20">
        <f>IF(B46=0,"",SUMIF(Model!$C$7:$DR$7,A46,Model!$C$28:$DR$28))</f>
        <v/>
      </c>
      <c r="E46" s="20">
        <f>IF(B46=0,"",SUMIF(Model!$C$7:$DR$7,A46,Model!$C$45:$DR$45))</f>
        <v/>
      </c>
      <c r="F46" s="20">
        <f>IF(B46=0,"",SUMIF(Model!$C$7:$DR$7,A46,Model!$C$70:$DR$70))</f>
        <v/>
      </c>
      <c r="G46" s="20">
        <f>IF(B46=0,"",SUMIF(Model!$C$7:$DR$7,A46,Model!$C$75:$DR$75))</f>
        <v/>
      </c>
      <c r="H46" s="20">
        <f>IF(B46=0,"",SUMIF(Model!$C$7:$DR$7,A46,Model!$C$77:$DR$77))</f>
        <v/>
      </c>
      <c r="I46" s="20">
        <f>IF(B46=0,"",INDEX(Model!$C$79:$DR$79,1,MATCH(A46,Model!$C$7:$DR$7,0)+B46-1))</f>
        <v/>
      </c>
    </row>
    <row r="47">
      <c r="A47" s="6">
        <f>"FY"&amp;((YEAR(Effective!$B$6)-IF(MONTH(Effective!$B$6)&lt;4,1,0))+7)&amp;"-"&amp;RIGHT((YEAR(Effective!$B$6)-IF(MONTH(Effective!$B$6)&lt;4,1,0))+7+1,2)</f>
        <v/>
      </c>
      <c r="B47" s="18">
        <f>SUMIF(Model!$C$7:$DR$7,A47,Model!$C$4:$DR$4)</f>
        <v/>
      </c>
      <c r="C47" s="20">
        <f>IF(B47=0,"",SUMIF(Model!$C$7:$DR$7,A47,Model!$C$18:$DR$18))</f>
        <v/>
      </c>
      <c r="D47" s="20">
        <f>IF(B47=0,"",SUMIF(Model!$C$7:$DR$7,A47,Model!$C$28:$DR$28))</f>
        <v/>
      </c>
      <c r="E47" s="20">
        <f>IF(B47=0,"",SUMIF(Model!$C$7:$DR$7,A47,Model!$C$45:$DR$45))</f>
        <v/>
      </c>
      <c r="F47" s="20">
        <f>IF(B47=0,"",SUMIF(Model!$C$7:$DR$7,A47,Model!$C$70:$DR$70))</f>
        <v/>
      </c>
      <c r="G47" s="20">
        <f>IF(B47=0,"",SUMIF(Model!$C$7:$DR$7,A47,Model!$C$75:$DR$75))</f>
        <v/>
      </c>
      <c r="H47" s="20">
        <f>IF(B47=0,"",SUMIF(Model!$C$7:$DR$7,A47,Model!$C$77:$DR$77))</f>
        <v/>
      </c>
      <c r="I47" s="20">
        <f>IF(B47=0,"",INDEX(Model!$C$79:$DR$79,1,MATCH(A47,Model!$C$7:$DR$7,0)+B47-1))</f>
        <v/>
      </c>
    </row>
    <row r="48">
      <c r="A48" s="6">
        <f>"FY"&amp;((YEAR(Effective!$B$6)-IF(MONTH(Effective!$B$6)&lt;4,1,0))+8)&amp;"-"&amp;RIGHT((YEAR(Effective!$B$6)-IF(MONTH(Effective!$B$6)&lt;4,1,0))+8+1,2)</f>
        <v/>
      </c>
      <c r="B48" s="18">
        <f>SUMIF(Model!$C$7:$DR$7,A48,Model!$C$4:$DR$4)</f>
        <v/>
      </c>
      <c r="C48" s="20">
        <f>IF(B48=0,"",SUMIF(Model!$C$7:$DR$7,A48,Model!$C$18:$DR$18))</f>
        <v/>
      </c>
      <c r="D48" s="20">
        <f>IF(B48=0,"",SUMIF(Model!$C$7:$DR$7,A48,Model!$C$28:$DR$28))</f>
        <v/>
      </c>
      <c r="E48" s="20">
        <f>IF(B48=0,"",SUMIF(Model!$C$7:$DR$7,A48,Model!$C$45:$DR$45))</f>
        <v/>
      </c>
      <c r="F48" s="20">
        <f>IF(B48=0,"",SUMIF(Model!$C$7:$DR$7,A48,Model!$C$70:$DR$70))</f>
        <v/>
      </c>
      <c r="G48" s="20">
        <f>IF(B48=0,"",SUMIF(Model!$C$7:$DR$7,A48,Model!$C$75:$DR$75))</f>
        <v/>
      </c>
      <c r="H48" s="20">
        <f>IF(B48=0,"",SUMIF(Model!$C$7:$DR$7,A48,Model!$C$77:$DR$77))</f>
        <v/>
      </c>
      <c r="I48" s="20">
        <f>IF(B48=0,"",INDEX(Model!$C$79:$DR$79,1,MATCH(A48,Model!$C$7:$DR$7,0)+B48-1))</f>
        <v/>
      </c>
    </row>
    <row r="49">
      <c r="A49" s="6">
        <f>"FY"&amp;((YEAR(Effective!$B$6)-IF(MONTH(Effective!$B$6)&lt;4,1,0))+9)&amp;"-"&amp;RIGHT((YEAR(Effective!$B$6)-IF(MONTH(Effective!$B$6)&lt;4,1,0))+9+1,2)</f>
        <v/>
      </c>
      <c r="B49" s="18">
        <f>SUMIF(Model!$C$7:$DR$7,A49,Model!$C$4:$DR$4)</f>
        <v/>
      </c>
      <c r="C49" s="20">
        <f>IF(B49=0,"",SUMIF(Model!$C$7:$DR$7,A49,Model!$C$18:$DR$18))</f>
        <v/>
      </c>
      <c r="D49" s="20">
        <f>IF(B49=0,"",SUMIF(Model!$C$7:$DR$7,A49,Model!$C$28:$DR$28))</f>
        <v/>
      </c>
      <c r="E49" s="20">
        <f>IF(B49=0,"",SUMIF(Model!$C$7:$DR$7,A49,Model!$C$45:$DR$45))</f>
        <v/>
      </c>
      <c r="F49" s="20">
        <f>IF(B49=0,"",SUMIF(Model!$C$7:$DR$7,A49,Model!$C$70:$DR$70))</f>
        <v/>
      </c>
      <c r="G49" s="20">
        <f>IF(B49=0,"",SUMIF(Model!$C$7:$DR$7,A49,Model!$C$75:$DR$75))</f>
        <v/>
      </c>
      <c r="H49" s="20">
        <f>IF(B49=0,"",SUMIF(Model!$C$7:$DR$7,A49,Model!$C$77:$DR$77))</f>
        <v/>
      </c>
      <c r="I49" s="20">
        <f>IF(B49=0,"",INDEX(Model!$C$79:$DR$79,1,MATCH(A49,Model!$C$7:$DR$7,0)+B49-1))</f>
        <v/>
      </c>
    </row>
    <row r="50">
      <c r="A50" s="6">
        <f>"FY"&amp;((YEAR(Effective!$B$6)-IF(MONTH(Effective!$B$6)&lt;4,1,0))+10)&amp;"-"&amp;RIGHT((YEAR(Effective!$B$6)-IF(MONTH(Effective!$B$6)&lt;4,1,0))+10+1,2)</f>
        <v/>
      </c>
      <c r="B50" s="18">
        <f>SUMIF(Model!$C$7:$DR$7,A50,Model!$C$4:$DR$4)</f>
        <v/>
      </c>
      <c r="C50" s="20">
        <f>IF(B50=0,"",SUMIF(Model!$C$7:$DR$7,A50,Model!$C$18:$DR$18))</f>
        <v/>
      </c>
      <c r="D50" s="20">
        <f>IF(B50=0,"",SUMIF(Model!$C$7:$DR$7,A50,Model!$C$28:$DR$28))</f>
        <v/>
      </c>
      <c r="E50" s="20">
        <f>IF(B50=0,"",SUMIF(Model!$C$7:$DR$7,A50,Model!$C$45:$DR$45))</f>
        <v/>
      </c>
      <c r="F50" s="20">
        <f>IF(B50=0,"",SUMIF(Model!$C$7:$DR$7,A50,Model!$C$70:$DR$70))</f>
        <v/>
      </c>
      <c r="G50" s="20">
        <f>IF(B50=0,"",SUMIF(Model!$C$7:$DR$7,A50,Model!$C$75:$DR$75))</f>
        <v/>
      </c>
      <c r="H50" s="20">
        <f>IF(B50=0,"",SUMIF(Model!$C$7:$DR$7,A50,Model!$C$77:$DR$77))</f>
        <v/>
      </c>
      <c r="I50" s="20">
        <f>IF(B50=0,"",INDEX(Model!$C$79:$DR$79,1,MATCH(A50,Model!$C$7:$DR$7,0)+B50-1))</f>
        <v/>
      </c>
    </row>
    <row r="51"/>
    <row r="52"/>
    <row r="53">
      <c r="A53" s="4" t="inlineStr">
        <is>
          <t>Quarterly roll-up (Indian fiscal quarters)</t>
        </is>
      </c>
    </row>
    <row r="54">
      <c r="A54" s="7" t="inlineStr">
        <is>
          <t>fy quarter</t>
        </is>
      </c>
      <c r="B54" s="7" t="inlineStr">
        <is>
          <t>months</t>
        </is>
      </c>
      <c r="C54" s="7" t="inlineStr">
        <is>
          <t>revenue</t>
        </is>
      </c>
      <c r="D54" s="7" t="inlineStr">
        <is>
          <t>gross_profit</t>
        </is>
      </c>
      <c r="E54" s="7" t="inlineStr">
        <is>
          <t>ebitda</t>
        </is>
      </c>
      <c r="F54" s="7" t="inlineStr">
        <is>
          <t>net_income</t>
        </is>
      </c>
      <c r="G54" s="7" t="inlineStr">
        <is>
          <t>operating_cash_flow</t>
        </is>
      </c>
      <c r="H54" s="7" t="inlineStr">
        <is>
          <t>free_cash_flow</t>
        </is>
      </c>
      <c r="I54" s="7" t="inlineStr">
        <is>
          <t>ending_cash (quarter end)</t>
        </is>
      </c>
    </row>
    <row r="55">
      <c r="A55" s="6">
        <f>IF(1&gt;Effective!$B$7,"",INDEX(Model!$C$9:$DR$9,1,1))</f>
        <v/>
      </c>
      <c r="B55" s="18">
        <f>IF(A55="","",SUMIF(Model!$C$9:$DR$9,A55,Model!$C$4:$DR$4))</f>
        <v/>
      </c>
      <c r="C55" s="20">
        <f>IF(OR(A55="",B55=0),"",SUMIF(Model!$C$9:$DR$9,A55,Model!$C$18:$DR$18))</f>
        <v/>
      </c>
      <c r="D55" s="20">
        <f>IF(OR(A55="",B55=0),"",SUMIF(Model!$C$9:$DR$9,A55,Model!$C$28:$DR$28))</f>
        <v/>
      </c>
      <c r="E55" s="20">
        <f>IF(OR(A55="",B55=0),"",SUMIF(Model!$C$9:$DR$9,A55,Model!$C$45:$DR$45))</f>
        <v/>
      </c>
      <c r="F55" s="20">
        <f>IF(OR(A55="",B55=0),"",SUMIF(Model!$C$9:$DR$9,A55,Model!$C$70:$DR$70))</f>
        <v/>
      </c>
      <c r="G55" s="20">
        <f>IF(OR(A55="",B55=0),"",SUMIF(Model!$C$9:$DR$9,A55,Model!$C$75:$DR$75))</f>
        <v/>
      </c>
      <c r="H55" s="20">
        <f>IF(OR(A55="",B55=0),"",SUMIF(Model!$C$9:$DR$9,A55,Model!$C$77:$DR$77))</f>
        <v/>
      </c>
      <c r="I55" s="20">
        <f>IF(OR(A55="",B55=0),"",INDEX(Model!$C$79:$DR$79,1,MATCH(A55,Model!$C$9:$DR$9,0)+B55-1))</f>
        <v/>
      </c>
    </row>
    <row r="56">
      <c r="A56" s="6">
        <f>IF((1+3*1-MOD(MONTH(Effective!$B$6)-4+12,3))&gt;Effective!$B$7,"",INDEX(Model!$C$9:$DR$9,1,(1+3*1-MOD(MONTH(Effective!$B$6)-4+12,3))))</f>
        <v/>
      </c>
      <c r="B56" s="18">
        <f>IF(A56="","",SUMIF(Model!$C$9:$DR$9,A56,Model!$C$4:$DR$4))</f>
        <v/>
      </c>
      <c r="C56" s="20">
        <f>IF(OR(A56="",B56=0),"",SUMIF(Model!$C$9:$DR$9,A56,Model!$C$18:$DR$18))</f>
        <v/>
      </c>
      <c r="D56" s="20">
        <f>IF(OR(A56="",B56=0),"",SUMIF(Model!$C$9:$DR$9,A56,Model!$C$28:$DR$28))</f>
        <v/>
      </c>
      <c r="E56" s="20">
        <f>IF(OR(A56="",B56=0),"",SUMIF(Model!$C$9:$DR$9,A56,Model!$C$45:$DR$45))</f>
        <v/>
      </c>
      <c r="F56" s="20">
        <f>IF(OR(A56="",B56=0),"",SUMIF(Model!$C$9:$DR$9,A56,Model!$C$70:$DR$70))</f>
        <v/>
      </c>
      <c r="G56" s="20">
        <f>IF(OR(A56="",B56=0),"",SUMIF(Model!$C$9:$DR$9,A56,Model!$C$75:$DR$75))</f>
        <v/>
      </c>
      <c r="H56" s="20">
        <f>IF(OR(A56="",B56=0),"",SUMIF(Model!$C$9:$DR$9,A56,Model!$C$77:$DR$77))</f>
        <v/>
      </c>
      <c r="I56" s="20">
        <f>IF(OR(A56="",B56=0),"",INDEX(Model!$C$79:$DR$79,1,MATCH(A56,Model!$C$9:$DR$9,0)+B56-1))</f>
        <v/>
      </c>
    </row>
    <row r="57">
      <c r="A57" s="6">
        <f>IF((1+3*2-MOD(MONTH(Effective!$B$6)-4+12,3))&gt;Effective!$B$7,"",INDEX(Model!$C$9:$DR$9,1,(1+3*2-MOD(MONTH(Effective!$B$6)-4+12,3))))</f>
        <v/>
      </c>
      <c r="B57" s="18">
        <f>IF(A57="","",SUMIF(Model!$C$9:$DR$9,A57,Model!$C$4:$DR$4))</f>
        <v/>
      </c>
      <c r="C57" s="20">
        <f>IF(OR(A57="",B57=0),"",SUMIF(Model!$C$9:$DR$9,A57,Model!$C$18:$DR$18))</f>
        <v/>
      </c>
      <c r="D57" s="20">
        <f>IF(OR(A57="",B57=0),"",SUMIF(Model!$C$9:$DR$9,A57,Model!$C$28:$DR$28))</f>
        <v/>
      </c>
      <c r="E57" s="20">
        <f>IF(OR(A57="",B57=0),"",SUMIF(Model!$C$9:$DR$9,A57,Model!$C$45:$DR$45))</f>
        <v/>
      </c>
      <c r="F57" s="20">
        <f>IF(OR(A57="",B57=0),"",SUMIF(Model!$C$9:$DR$9,A57,Model!$C$70:$DR$70))</f>
        <v/>
      </c>
      <c r="G57" s="20">
        <f>IF(OR(A57="",B57=0),"",SUMIF(Model!$C$9:$DR$9,A57,Model!$C$75:$DR$75))</f>
        <v/>
      </c>
      <c r="H57" s="20">
        <f>IF(OR(A57="",B57=0),"",SUMIF(Model!$C$9:$DR$9,A57,Model!$C$77:$DR$77))</f>
        <v/>
      </c>
      <c r="I57" s="20">
        <f>IF(OR(A57="",B57=0),"",INDEX(Model!$C$79:$DR$79,1,MATCH(A57,Model!$C$9:$DR$9,0)+B57-1))</f>
        <v/>
      </c>
    </row>
    <row r="58">
      <c r="A58" s="6">
        <f>IF((1+3*3-MOD(MONTH(Effective!$B$6)-4+12,3))&gt;Effective!$B$7,"",INDEX(Model!$C$9:$DR$9,1,(1+3*3-MOD(MONTH(Effective!$B$6)-4+12,3))))</f>
        <v/>
      </c>
      <c r="B58" s="18">
        <f>IF(A58="","",SUMIF(Model!$C$9:$DR$9,A58,Model!$C$4:$DR$4))</f>
        <v/>
      </c>
      <c r="C58" s="20">
        <f>IF(OR(A58="",B58=0),"",SUMIF(Model!$C$9:$DR$9,A58,Model!$C$18:$DR$18))</f>
        <v/>
      </c>
      <c r="D58" s="20">
        <f>IF(OR(A58="",B58=0),"",SUMIF(Model!$C$9:$DR$9,A58,Model!$C$28:$DR$28))</f>
        <v/>
      </c>
      <c r="E58" s="20">
        <f>IF(OR(A58="",B58=0),"",SUMIF(Model!$C$9:$DR$9,A58,Model!$C$45:$DR$45))</f>
        <v/>
      </c>
      <c r="F58" s="20">
        <f>IF(OR(A58="",B58=0),"",SUMIF(Model!$C$9:$DR$9,A58,Model!$C$70:$DR$70))</f>
        <v/>
      </c>
      <c r="G58" s="20">
        <f>IF(OR(A58="",B58=0),"",SUMIF(Model!$C$9:$DR$9,A58,Model!$C$75:$DR$75))</f>
        <v/>
      </c>
      <c r="H58" s="20">
        <f>IF(OR(A58="",B58=0),"",SUMIF(Model!$C$9:$DR$9,A58,Model!$C$77:$DR$77))</f>
        <v/>
      </c>
      <c r="I58" s="20">
        <f>IF(OR(A58="",B58=0),"",INDEX(Model!$C$79:$DR$79,1,MATCH(A58,Model!$C$9:$DR$9,0)+B58-1))</f>
        <v/>
      </c>
    </row>
    <row r="59">
      <c r="A59" s="6">
        <f>IF((1+3*4-MOD(MONTH(Effective!$B$6)-4+12,3))&gt;Effective!$B$7,"",INDEX(Model!$C$9:$DR$9,1,(1+3*4-MOD(MONTH(Effective!$B$6)-4+12,3))))</f>
        <v/>
      </c>
      <c r="B59" s="18">
        <f>IF(A59="","",SUMIF(Model!$C$9:$DR$9,A59,Model!$C$4:$DR$4))</f>
        <v/>
      </c>
      <c r="C59" s="20">
        <f>IF(OR(A59="",B59=0),"",SUMIF(Model!$C$9:$DR$9,A59,Model!$C$18:$DR$18))</f>
        <v/>
      </c>
      <c r="D59" s="20">
        <f>IF(OR(A59="",B59=0),"",SUMIF(Model!$C$9:$DR$9,A59,Model!$C$28:$DR$28))</f>
        <v/>
      </c>
      <c r="E59" s="20">
        <f>IF(OR(A59="",B59=0),"",SUMIF(Model!$C$9:$DR$9,A59,Model!$C$45:$DR$45))</f>
        <v/>
      </c>
      <c r="F59" s="20">
        <f>IF(OR(A59="",B59=0),"",SUMIF(Model!$C$9:$DR$9,A59,Model!$C$70:$DR$70))</f>
        <v/>
      </c>
      <c r="G59" s="20">
        <f>IF(OR(A59="",B59=0),"",SUMIF(Model!$C$9:$DR$9,A59,Model!$C$75:$DR$75))</f>
        <v/>
      </c>
      <c r="H59" s="20">
        <f>IF(OR(A59="",B59=0),"",SUMIF(Model!$C$9:$DR$9,A59,Model!$C$77:$DR$77))</f>
        <v/>
      </c>
      <c r="I59" s="20">
        <f>IF(OR(A59="",B59=0),"",INDEX(Model!$C$79:$DR$79,1,MATCH(A59,Model!$C$9:$DR$9,0)+B59-1))</f>
        <v/>
      </c>
    </row>
    <row r="60">
      <c r="A60" s="6">
        <f>IF((1+3*5-MOD(MONTH(Effective!$B$6)-4+12,3))&gt;Effective!$B$7,"",INDEX(Model!$C$9:$DR$9,1,(1+3*5-MOD(MONTH(Effective!$B$6)-4+12,3))))</f>
        <v/>
      </c>
      <c r="B60" s="18">
        <f>IF(A60="","",SUMIF(Model!$C$9:$DR$9,A60,Model!$C$4:$DR$4))</f>
        <v/>
      </c>
      <c r="C60" s="20">
        <f>IF(OR(A60="",B60=0),"",SUMIF(Model!$C$9:$DR$9,A60,Model!$C$18:$DR$18))</f>
        <v/>
      </c>
      <c r="D60" s="20">
        <f>IF(OR(A60="",B60=0),"",SUMIF(Model!$C$9:$DR$9,A60,Model!$C$28:$DR$28))</f>
        <v/>
      </c>
      <c r="E60" s="20">
        <f>IF(OR(A60="",B60=0),"",SUMIF(Model!$C$9:$DR$9,A60,Model!$C$45:$DR$45))</f>
        <v/>
      </c>
      <c r="F60" s="20">
        <f>IF(OR(A60="",B60=0),"",SUMIF(Model!$C$9:$DR$9,A60,Model!$C$70:$DR$70))</f>
        <v/>
      </c>
      <c r="G60" s="20">
        <f>IF(OR(A60="",B60=0),"",SUMIF(Model!$C$9:$DR$9,A60,Model!$C$75:$DR$75))</f>
        <v/>
      </c>
      <c r="H60" s="20">
        <f>IF(OR(A60="",B60=0),"",SUMIF(Model!$C$9:$DR$9,A60,Model!$C$77:$DR$77))</f>
        <v/>
      </c>
      <c r="I60" s="20">
        <f>IF(OR(A60="",B60=0),"",INDEX(Model!$C$79:$DR$79,1,MATCH(A60,Model!$C$9:$DR$9,0)+B60-1))</f>
        <v/>
      </c>
    </row>
    <row r="61">
      <c r="A61" s="6">
        <f>IF((1+3*6-MOD(MONTH(Effective!$B$6)-4+12,3))&gt;Effective!$B$7,"",INDEX(Model!$C$9:$DR$9,1,(1+3*6-MOD(MONTH(Effective!$B$6)-4+12,3))))</f>
        <v/>
      </c>
      <c r="B61" s="18">
        <f>IF(A61="","",SUMIF(Model!$C$9:$DR$9,A61,Model!$C$4:$DR$4))</f>
        <v/>
      </c>
      <c r="C61" s="20">
        <f>IF(OR(A61="",B61=0),"",SUMIF(Model!$C$9:$DR$9,A61,Model!$C$18:$DR$18))</f>
        <v/>
      </c>
      <c r="D61" s="20">
        <f>IF(OR(A61="",B61=0),"",SUMIF(Model!$C$9:$DR$9,A61,Model!$C$28:$DR$28))</f>
        <v/>
      </c>
      <c r="E61" s="20">
        <f>IF(OR(A61="",B61=0),"",SUMIF(Model!$C$9:$DR$9,A61,Model!$C$45:$DR$45))</f>
        <v/>
      </c>
      <c r="F61" s="20">
        <f>IF(OR(A61="",B61=0),"",SUMIF(Model!$C$9:$DR$9,A61,Model!$C$70:$DR$70))</f>
        <v/>
      </c>
      <c r="G61" s="20">
        <f>IF(OR(A61="",B61=0),"",SUMIF(Model!$C$9:$DR$9,A61,Model!$C$75:$DR$75))</f>
        <v/>
      </c>
      <c r="H61" s="20">
        <f>IF(OR(A61="",B61=0),"",SUMIF(Model!$C$9:$DR$9,A61,Model!$C$77:$DR$77))</f>
        <v/>
      </c>
      <c r="I61" s="20">
        <f>IF(OR(A61="",B61=0),"",INDEX(Model!$C$79:$DR$79,1,MATCH(A61,Model!$C$9:$DR$9,0)+B61-1))</f>
        <v/>
      </c>
    </row>
    <row r="62">
      <c r="A62" s="6">
        <f>IF((1+3*7-MOD(MONTH(Effective!$B$6)-4+12,3))&gt;Effective!$B$7,"",INDEX(Model!$C$9:$DR$9,1,(1+3*7-MOD(MONTH(Effective!$B$6)-4+12,3))))</f>
        <v/>
      </c>
      <c r="B62" s="18">
        <f>IF(A62="","",SUMIF(Model!$C$9:$DR$9,A62,Model!$C$4:$DR$4))</f>
        <v/>
      </c>
      <c r="C62" s="20">
        <f>IF(OR(A62="",B62=0),"",SUMIF(Model!$C$9:$DR$9,A62,Model!$C$18:$DR$18))</f>
        <v/>
      </c>
      <c r="D62" s="20">
        <f>IF(OR(A62="",B62=0),"",SUMIF(Model!$C$9:$DR$9,A62,Model!$C$28:$DR$28))</f>
        <v/>
      </c>
      <c r="E62" s="20">
        <f>IF(OR(A62="",B62=0),"",SUMIF(Model!$C$9:$DR$9,A62,Model!$C$45:$DR$45))</f>
        <v/>
      </c>
      <c r="F62" s="20">
        <f>IF(OR(A62="",B62=0),"",SUMIF(Model!$C$9:$DR$9,A62,Model!$C$70:$DR$70))</f>
        <v/>
      </c>
      <c r="G62" s="20">
        <f>IF(OR(A62="",B62=0),"",SUMIF(Model!$C$9:$DR$9,A62,Model!$C$75:$DR$75))</f>
        <v/>
      </c>
      <c r="H62" s="20">
        <f>IF(OR(A62="",B62=0),"",SUMIF(Model!$C$9:$DR$9,A62,Model!$C$77:$DR$77))</f>
        <v/>
      </c>
      <c r="I62" s="20">
        <f>IF(OR(A62="",B62=0),"",INDEX(Model!$C$79:$DR$79,1,MATCH(A62,Model!$C$9:$DR$9,0)+B62-1))</f>
        <v/>
      </c>
    </row>
    <row r="63">
      <c r="A63" s="6">
        <f>IF((1+3*8-MOD(MONTH(Effective!$B$6)-4+12,3))&gt;Effective!$B$7,"",INDEX(Model!$C$9:$DR$9,1,(1+3*8-MOD(MONTH(Effective!$B$6)-4+12,3))))</f>
        <v/>
      </c>
      <c r="B63" s="18">
        <f>IF(A63="","",SUMIF(Model!$C$9:$DR$9,A63,Model!$C$4:$DR$4))</f>
        <v/>
      </c>
      <c r="C63" s="20">
        <f>IF(OR(A63="",B63=0),"",SUMIF(Model!$C$9:$DR$9,A63,Model!$C$18:$DR$18))</f>
        <v/>
      </c>
      <c r="D63" s="20">
        <f>IF(OR(A63="",B63=0),"",SUMIF(Model!$C$9:$DR$9,A63,Model!$C$28:$DR$28))</f>
        <v/>
      </c>
      <c r="E63" s="20">
        <f>IF(OR(A63="",B63=0),"",SUMIF(Model!$C$9:$DR$9,A63,Model!$C$45:$DR$45))</f>
        <v/>
      </c>
      <c r="F63" s="20">
        <f>IF(OR(A63="",B63=0),"",SUMIF(Model!$C$9:$DR$9,A63,Model!$C$70:$DR$70))</f>
        <v/>
      </c>
      <c r="G63" s="20">
        <f>IF(OR(A63="",B63=0),"",SUMIF(Model!$C$9:$DR$9,A63,Model!$C$75:$DR$75))</f>
        <v/>
      </c>
      <c r="H63" s="20">
        <f>IF(OR(A63="",B63=0),"",SUMIF(Model!$C$9:$DR$9,A63,Model!$C$77:$DR$77))</f>
        <v/>
      </c>
      <c r="I63" s="20">
        <f>IF(OR(A63="",B63=0),"",INDEX(Model!$C$79:$DR$79,1,MATCH(A63,Model!$C$9:$DR$9,0)+B63-1))</f>
        <v/>
      </c>
    </row>
    <row r="64">
      <c r="A64" s="6">
        <f>IF((1+3*9-MOD(MONTH(Effective!$B$6)-4+12,3))&gt;Effective!$B$7,"",INDEX(Model!$C$9:$DR$9,1,(1+3*9-MOD(MONTH(Effective!$B$6)-4+12,3))))</f>
        <v/>
      </c>
      <c r="B64" s="18">
        <f>IF(A64="","",SUMIF(Model!$C$9:$DR$9,A64,Model!$C$4:$DR$4))</f>
        <v/>
      </c>
      <c r="C64" s="20">
        <f>IF(OR(A64="",B64=0),"",SUMIF(Model!$C$9:$DR$9,A64,Model!$C$18:$DR$18))</f>
        <v/>
      </c>
      <c r="D64" s="20">
        <f>IF(OR(A64="",B64=0),"",SUMIF(Model!$C$9:$DR$9,A64,Model!$C$28:$DR$28))</f>
        <v/>
      </c>
      <c r="E64" s="20">
        <f>IF(OR(A64="",B64=0),"",SUMIF(Model!$C$9:$DR$9,A64,Model!$C$45:$DR$45))</f>
        <v/>
      </c>
      <c r="F64" s="20">
        <f>IF(OR(A64="",B64=0),"",SUMIF(Model!$C$9:$DR$9,A64,Model!$C$70:$DR$70))</f>
        <v/>
      </c>
      <c r="G64" s="20">
        <f>IF(OR(A64="",B64=0),"",SUMIF(Model!$C$9:$DR$9,A64,Model!$C$75:$DR$75))</f>
        <v/>
      </c>
      <c r="H64" s="20">
        <f>IF(OR(A64="",B64=0),"",SUMIF(Model!$C$9:$DR$9,A64,Model!$C$77:$DR$77))</f>
        <v/>
      </c>
      <c r="I64" s="20">
        <f>IF(OR(A64="",B64=0),"",INDEX(Model!$C$79:$DR$79,1,MATCH(A64,Model!$C$9:$DR$9,0)+B64-1))</f>
        <v/>
      </c>
    </row>
    <row r="65">
      <c r="A65" s="6">
        <f>IF((1+3*10-MOD(MONTH(Effective!$B$6)-4+12,3))&gt;Effective!$B$7,"",INDEX(Model!$C$9:$DR$9,1,(1+3*10-MOD(MONTH(Effective!$B$6)-4+12,3))))</f>
        <v/>
      </c>
      <c r="B65" s="18">
        <f>IF(A65="","",SUMIF(Model!$C$9:$DR$9,A65,Model!$C$4:$DR$4))</f>
        <v/>
      </c>
      <c r="C65" s="20">
        <f>IF(OR(A65="",B65=0),"",SUMIF(Model!$C$9:$DR$9,A65,Model!$C$18:$DR$18))</f>
        <v/>
      </c>
      <c r="D65" s="20">
        <f>IF(OR(A65="",B65=0),"",SUMIF(Model!$C$9:$DR$9,A65,Model!$C$28:$DR$28))</f>
        <v/>
      </c>
      <c r="E65" s="20">
        <f>IF(OR(A65="",B65=0),"",SUMIF(Model!$C$9:$DR$9,A65,Model!$C$45:$DR$45))</f>
        <v/>
      </c>
      <c r="F65" s="20">
        <f>IF(OR(A65="",B65=0),"",SUMIF(Model!$C$9:$DR$9,A65,Model!$C$70:$DR$70))</f>
        <v/>
      </c>
      <c r="G65" s="20">
        <f>IF(OR(A65="",B65=0),"",SUMIF(Model!$C$9:$DR$9,A65,Model!$C$75:$DR$75))</f>
        <v/>
      </c>
      <c r="H65" s="20">
        <f>IF(OR(A65="",B65=0),"",SUMIF(Model!$C$9:$DR$9,A65,Model!$C$77:$DR$77))</f>
        <v/>
      </c>
      <c r="I65" s="20">
        <f>IF(OR(A65="",B65=0),"",INDEX(Model!$C$79:$DR$79,1,MATCH(A65,Model!$C$9:$DR$9,0)+B65-1))</f>
        <v/>
      </c>
    </row>
    <row r="66">
      <c r="A66" s="6">
        <f>IF((1+3*11-MOD(MONTH(Effective!$B$6)-4+12,3))&gt;Effective!$B$7,"",INDEX(Model!$C$9:$DR$9,1,(1+3*11-MOD(MONTH(Effective!$B$6)-4+12,3))))</f>
        <v/>
      </c>
      <c r="B66" s="18">
        <f>IF(A66="","",SUMIF(Model!$C$9:$DR$9,A66,Model!$C$4:$DR$4))</f>
        <v/>
      </c>
      <c r="C66" s="20">
        <f>IF(OR(A66="",B66=0),"",SUMIF(Model!$C$9:$DR$9,A66,Model!$C$18:$DR$18))</f>
        <v/>
      </c>
      <c r="D66" s="20">
        <f>IF(OR(A66="",B66=0),"",SUMIF(Model!$C$9:$DR$9,A66,Model!$C$28:$DR$28))</f>
        <v/>
      </c>
      <c r="E66" s="20">
        <f>IF(OR(A66="",B66=0),"",SUMIF(Model!$C$9:$DR$9,A66,Model!$C$45:$DR$45))</f>
        <v/>
      </c>
      <c r="F66" s="20">
        <f>IF(OR(A66="",B66=0),"",SUMIF(Model!$C$9:$DR$9,A66,Model!$C$70:$DR$70))</f>
        <v/>
      </c>
      <c r="G66" s="20">
        <f>IF(OR(A66="",B66=0),"",SUMIF(Model!$C$9:$DR$9,A66,Model!$C$75:$DR$75))</f>
        <v/>
      </c>
      <c r="H66" s="20">
        <f>IF(OR(A66="",B66=0),"",SUMIF(Model!$C$9:$DR$9,A66,Model!$C$77:$DR$77))</f>
        <v/>
      </c>
      <c r="I66" s="20">
        <f>IF(OR(A66="",B66=0),"",INDEX(Model!$C$79:$DR$79,1,MATCH(A66,Model!$C$9:$DR$9,0)+B66-1))</f>
        <v/>
      </c>
    </row>
    <row r="67">
      <c r="A67" s="6">
        <f>IF((1+3*12-MOD(MONTH(Effective!$B$6)-4+12,3))&gt;Effective!$B$7,"",INDEX(Model!$C$9:$DR$9,1,(1+3*12-MOD(MONTH(Effective!$B$6)-4+12,3))))</f>
        <v/>
      </c>
      <c r="B67" s="18">
        <f>IF(A67="","",SUMIF(Model!$C$9:$DR$9,A67,Model!$C$4:$DR$4))</f>
        <v/>
      </c>
      <c r="C67" s="20">
        <f>IF(OR(A67="",B67=0),"",SUMIF(Model!$C$9:$DR$9,A67,Model!$C$18:$DR$18))</f>
        <v/>
      </c>
      <c r="D67" s="20">
        <f>IF(OR(A67="",B67=0),"",SUMIF(Model!$C$9:$DR$9,A67,Model!$C$28:$DR$28))</f>
        <v/>
      </c>
      <c r="E67" s="20">
        <f>IF(OR(A67="",B67=0),"",SUMIF(Model!$C$9:$DR$9,A67,Model!$C$45:$DR$45))</f>
        <v/>
      </c>
      <c r="F67" s="20">
        <f>IF(OR(A67="",B67=0),"",SUMIF(Model!$C$9:$DR$9,A67,Model!$C$70:$DR$70))</f>
        <v/>
      </c>
      <c r="G67" s="20">
        <f>IF(OR(A67="",B67=0),"",SUMIF(Model!$C$9:$DR$9,A67,Model!$C$75:$DR$75))</f>
        <v/>
      </c>
      <c r="H67" s="20">
        <f>IF(OR(A67="",B67=0),"",SUMIF(Model!$C$9:$DR$9,A67,Model!$C$77:$DR$77))</f>
        <v/>
      </c>
      <c r="I67" s="20">
        <f>IF(OR(A67="",B67=0),"",INDEX(Model!$C$79:$DR$79,1,MATCH(A67,Model!$C$9:$DR$9,0)+B67-1))</f>
        <v/>
      </c>
    </row>
    <row r="68">
      <c r="A68" s="6">
        <f>IF((1+3*13-MOD(MONTH(Effective!$B$6)-4+12,3))&gt;Effective!$B$7,"",INDEX(Model!$C$9:$DR$9,1,(1+3*13-MOD(MONTH(Effective!$B$6)-4+12,3))))</f>
        <v/>
      </c>
      <c r="B68" s="18">
        <f>IF(A68="","",SUMIF(Model!$C$9:$DR$9,A68,Model!$C$4:$DR$4))</f>
        <v/>
      </c>
      <c r="C68" s="20">
        <f>IF(OR(A68="",B68=0),"",SUMIF(Model!$C$9:$DR$9,A68,Model!$C$18:$DR$18))</f>
        <v/>
      </c>
      <c r="D68" s="20">
        <f>IF(OR(A68="",B68=0),"",SUMIF(Model!$C$9:$DR$9,A68,Model!$C$28:$DR$28))</f>
        <v/>
      </c>
      <c r="E68" s="20">
        <f>IF(OR(A68="",B68=0),"",SUMIF(Model!$C$9:$DR$9,A68,Model!$C$45:$DR$45))</f>
        <v/>
      </c>
      <c r="F68" s="20">
        <f>IF(OR(A68="",B68=0),"",SUMIF(Model!$C$9:$DR$9,A68,Model!$C$70:$DR$70))</f>
        <v/>
      </c>
      <c r="G68" s="20">
        <f>IF(OR(A68="",B68=0),"",SUMIF(Model!$C$9:$DR$9,A68,Model!$C$75:$DR$75))</f>
        <v/>
      </c>
      <c r="H68" s="20">
        <f>IF(OR(A68="",B68=0),"",SUMIF(Model!$C$9:$DR$9,A68,Model!$C$77:$DR$77))</f>
        <v/>
      </c>
      <c r="I68" s="20">
        <f>IF(OR(A68="",B68=0),"",INDEX(Model!$C$79:$DR$79,1,MATCH(A68,Model!$C$9:$DR$9,0)+B68-1))</f>
        <v/>
      </c>
    </row>
    <row r="69">
      <c r="A69" s="6">
        <f>IF((1+3*14-MOD(MONTH(Effective!$B$6)-4+12,3))&gt;Effective!$B$7,"",INDEX(Model!$C$9:$DR$9,1,(1+3*14-MOD(MONTH(Effective!$B$6)-4+12,3))))</f>
        <v/>
      </c>
      <c r="B69" s="18">
        <f>IF(A69="","",SUMIF(Model!$C$9:$DR$9,A69,Model!$C$4:$DR$4))</f>
        <v/>
      </c>
      <c r="C69" s="20">
        <f>IF(OR(A69="",B69=0),"",SUMIF(Model!$C$9:$DR$9,A69,Model!$C$18:$DR$18))</f>
        <v/>
      </c>
      <c r="D69" s="20">
        <f>IF(OR(A69="",B69=0),"",SUMIF(Model!$C$9:$DR$9,A69,Model!$C$28:$DR$28))</f>
        <v/>
      </c>
      <c r="E69" s="20">
        <f>IF(OR(A69="",B69=0),"",SUMIF(Model!$C$9:$DR$9,A69,Model!$C$45:$DR$45))</f>
        <v/>
      </c>
      <c r="F69" s="20">
        <f>IF(OR(A69="",B69=0),"",SUMIF(Model!$C$9:$DR$9,A69,Model!$C$70:$DR$70))</f>
        <v/>
      </c>
      <c r="G69" s="20">
        <f>IF(OR(A69="",B69=0),"",SUMIF(Model!$C$9:$DR$9,A69,Model!$C$75:$DR$75))</f>
        <v/>
      </c>
      <c r="H69" s="20">
        <f>IF(OR(A69="",B69=0),"",SUMIF(Model!$C$9:$DR$9,A69,Model!$C$77:$DR$77))</f>
        <v/>
      </c>
      <c r="I69" s="20">
        <f>IF(OR(A69="",B69=0),"",INDEX(Model!$C$79:$DR$79,1,MATCH(A69,Model!$C$9:$DR$9,0)+B69-1))</f>
        <v/>
      </c>
    </row>
    <row r="70">
      <c r="A70" s="6">
        <f>IF((1+3*15-MOD(MONTH(Effective!$B$6)-4+12,3))&gt;Effective!$B$7,"",INDEX(Model!$C$9:$DR$9,1,(1+3*15-MOD(MONTH(Effective!$B$6)-4+12,3))))</f>
        <v/>
      </c>
      <c r="B70" s="18">
        <f>IF(A70="","",SUMIF(Model!$C$9:$DR$9,A70,Model!$C$4:$DR$4))</f>
        <v/>
      </c>
      <c r="C70" s="20">
        <f>IF(OR(A70="",B70=0),"",SUMIF(Model!$C$9:$DR$9,A70,Model!$C$18:$DR$18))</f>
        <v/>
      </c>
      <c r="D70" s="20">
        <f>IF(OR(A70="",B70=0),"",SUMIF(Model!$C$9:$DR$9,A70,Model!$C$28:$DR$28))</f>
        <v/>
      </c>
      <c r="E70" s="20">
        <f>IF(OR(A70="",B70=0),"",SUMIF(Model!$C$9:$DR$9,A70,Model!$C$45:$DR$45))</f>
        <v/>
      </c>
      <c r="F70" s="20">
        <f>IF(OR(A70="",B70=0),"",SUMIF(Model!$C$9:$DR$9,A70,Model!$C$70:$DR$70))</f>
        <v/>
      </c>
      <c r="G70" s="20">
        <f>IF(OR(A70="",B70=0),"",SUMIF(Model!$C$9:$DR$9,A70,Model!$C$75:$DR$75))</f>
        <v/>
      </c>
      <c r="H70" s="20">
        <f>IF(OR(A70="",B70=0),"",SUMIF(Model!$C$9:$DR$9,A70,Model!$C$77:$DR$77))</f>
        <v/>
      </c>
      <c r="I70" s="20">
        <f>IF(OR(A70="",B70=0),"",INDEX(Model!$C$79:$DR$79,1,MATCH(A70,Model!$C$9:$DR$9,0)+B70-1))</f>
        <v/>
      </c>
    </row>
    <row r="71">
      <c r="A71" s="6">
        <f>IF((1+3*16-MOD(MONTH(Effective!$B$6)-4+12,3))&gt;Effective!$B$7,"",INDEX(Model!$C$9:$DR$9,1,(1+3*16-MOD(MONTH(Effective!$B$6)-4+12,3))))</f>
        <v/>
      </c>
      <c r="B71" s="18">
        <f>IF(A71="","",SUMIF(Model!$C$9:$DR$9,A71,Model!$C$4:$DR$4))</f>
        <v/>
      </c>
      <c r="C71" s="20">
        <f>IF(OR(A71="",B71=0),"",SUMIF(Model!$C$9:$DR$9,A71,Model!$C$18:$DR$18))</f>
        <v/>
      </c>
      <c r="D71" s="20">
        <f>IF(OR(A71="",B71=0),"",SUMIF(Model!$C$9:$DR$9,A71,Model!$C$28:$DR$28))</f>
        <v/>
      </c>
      <c r="E71" s="20">
        <f>IF(OR(A71="",B71=0),"",SUMIF(Model!$C$9:$DR$9,A71,Model!$C$45:$DR$45))</f>
        <v/>
      </c>
      <c r="F71" s="20">
        <f>IF(OR(A71="",B71=0),"",SUMIF(Model!$C$9:$DR$9,A71,Model!$C$70:$DR$70))</f>
        <v/>
      </c>
      <c r="G71" s="20">
        <f>IF(OR(A71="",B71=0),"",SUMIF(Model!$C$9:$DR$9,A71,Model!$C$75:$DR$75))</f>
        <v/>
      </c>
      <c r="H71" s="20">
        <f>IF(OR(A71="",B71=0),"",SUMIF(Model!$C$9:$DR$9,A71,Model!$C$77:$DR$77))</f>
        <v/>
      </c>
      <c r="I71" s="20">
        <f>IF(OR(A71="",B71=0),"",INDEX(Model!$C$79:$DR$79,1,MATCH(A71,Model!$C$9:$DR$9,0)+B71-1))</f>
        <v/>
      </c>
    </row>
    <row r="72">
      <c r="A72" s="6">
        <f>IF((1+3*17-MOD(MONTH(Effective!$B$6)-4+12,3))&gt;Effective!$B$7,"",INDEX(Model!$C$9:$DR$9,1,(1+3*17-MOD(MONTH(Effective!$B$6)-4+12,3))))</f>
        <v/>
      </c>
      <c r="B72" s="18">
        <f>IF(A72="","",SUMIF(Model!$C$9:$DR$9,A72,Model!$C$4:$DR$4))</f>
        <v/>
      </c>
      <c r="C72" s="20">
        <f>IF(OR(A72="",B72=0),"",SUMIF(Model!$C$9:$DR$9,A72,Model!$C$18:$DR$18))</f>
        <v/>
      </c>
      <c r="D72" s="20">
        <f>IF(OR(A72="",B72=0),"",SUMIF(Model!$C$9:$DR$9,A72,Model!$C$28:$DR$28))</f>
        <v/>
      </c>
      <c r="E72" s="20">
        <f>IF(OR(A72="",B72=0),"",SUMIF(Model!$C$9:$DR$9,A72,Model!$C$45:$DR$45))</f>
        <v/>
      </c>
      <c r="F72" s="20">
        <f>IF(OR(A72="",B72=0),"",SUMIF(Model!$C$9:$DR$9,A72,Model!$C$70:$DR$70))</f>
        <v/>
      </c>
      <c r="G72" s="20">
        <f>IF(OR(A72="",B72=0),"",SUMIF(Model!$C$9:$DR$9,A72,Model!$C$75:$DR$75))</f>
        <v/>
      </c>
      <c r="H72" s="20">
        <f>IF(OR(A72="",B72=0),"",SUMIF(Model!$C$9:$DR$9,A72,Model!$C$77:$DR$77))</f>
        <v/>
      </c>
      <c r="I72" s="20">
        <f>IF(OR(A72="",B72=0),"",INDEX(Model!$C$79:$DR$79,1,MATCH(A72,Model!$C$9:$DR$9,0)+B72-1))</f>
        <v/>
      </c>
    </row>
    <row r="73">
      <c r="A73" s="6">
        <f>IF((1+3*18-MOD(MONTH(Effective!$B$6)-4+12,3))&gt;Effective!$B$7,"",INDEX(Model!$C$9:$DR$9,1,(1+3*18-MOD(MONTH(Effective!$B$6)-4+12,3))))</f>
        <v/>
      </c>
      <c r="B73" s="18">
        <f>IF(A73="","",SUMIF(Model!$C$9:$DR$9,A73,Model!$C$4:$DR$4))</f>
        <v/>
      </c>
      <c r="C73" s="20">
        <f>IF(OR(A73="",B73=0),"",SUMIF(Model!$C$9:$DR$9,A73,Model!$C$18:$DR$18))</f>
        <v/>
      </c>
      <c r="D73" s="20">
        <f>IF(OR(A73="",B73=0),"",SUMIF(Model!$C$9:$DR$9,A73,Model!$C$28:$DR$28))</f>
        <v/>
      </c>
      <c r="E73" s="20">
        <f>IF(OR(A73="",B73=0),"",SUMIF(Model!$C$9:$DR$9,A73,Model!$C$45:$DR$45))</f>
        <v/>
      </c>
      <c r="F73" s="20">
        <f>IF(OR(A73="",B73=0),"",SUMIF(Model!$C$9:$DR$9,A73,Model!$C$70:$DR$70))</f>
        <v/>
      </c>
      <c r="G73" s="20">
        <f>IF(OR(A73="",B73=0),"",SUMIF(Model!$C$9:$DR$9,A73,Model!$C$75:$DR$75))</f>
        <v/>
      </c>
      <c r="H73" s="20">
        <f>IF(OR(A73="",B73=0),"",SUMIF(Model!$C$9:$DR$9,A73,Model!$C$77:$DR$77))</f>
        <v/>
      </c>
      <c r="I73" s="20">
        <f>IF(OR(A73="",B73=0),"",INDEX(Model!$C$79:$DR$79,1,MATCH(A73,Model!$C$9:$DR$9,0)+B73-1))</f>
        <v/>
      </c>
    </row>
    <row r="74">
      <c r="A74" s="6">
        <f>IF((1+3*19-MOD(MONTH(Effective!$B$6)-4+12,3))&gt;Effective!$B$7,"",INDEX(Model!$C$9:$DR$9,1,(1+3*19-MOD(MONTH(Effective!$B$6)-4+12,3))))</f>
        <v/>
      </c>
      <c r="B74" s="18">
        <f>IF(A74="","",SUMIF(Model!$C$9:$DR$9,A74,Model!$C$4:$DR$4))</f>
        <v/>
      </c>
      <c r="C74" s="20">
        <f>IF(OR(A74="",B74=0),"",SUMIF(Model!$C$9:$DR$9,A74,Model!$C$18:$DR$18))</f>
        <v/>
      </c>
      <c r="D74" s="20">
        <f>IF(OR(A74="",B74=0),"",SUMIF(Model!$C$9:$DR$9,A74,Model!$C$28:$DR$28))</f>
        <v/>
      </c>
      <c r="E74" s="20">
        <f>IF(OR(A74="",B74=0),"",SUMIF(Model!$C$9:$DR$9,A74,Model!$C$45:$DR$45))</f>
        <v/>
      </c>
      <c r="F74" s="20">
        <f>IF(OR(A74="",B74=0),"",SUMIF(Model!$C$9:$DR$9,A74,Model!$C$70:$DR$70))</f>
        <v/>
      </c>
      <c r="G74" s="20">
        <f>IF(OR(A74="",B74=0),"",SUMIF(Model!$C$9:$DR$9,A74,Model!$C$75:$DR$75))</f>
        <v/>
      </c>
      <c r="H74" s="20">
        <f>IF(OR(A74="",B74=0),"",SUMIF(Model!$C$9:$DR$9,A74,Model!$C$77:$DR$77))</f>
        <v/>
      </c>
      <c r="I74" s="20">
        <f>IF(OR(A74="",B74=0),"",INDEX(Model!$C$79:$DR$79,1,MATCH(A74,Model!$C$9:$DR$9,0)+B74-1))</f>
        <v/>
      </c>
    </row>
    <row r="75">
      <c r="A75" s="6">
        <f>IF((1+3*20-MOD(MONTH(Effective!$B$6)-4+12,3))&gt;Effective!$B$7,"",INDEX(Model!$C$9:$DR$9,1,(1+3*20-MOD(MONTH(Effective!$B$6)-4+12,3))))</f>
        <v/>
      </c>
      <c r="B75" s="18">
        <f>IF(A75="","",SUMIF(Model!$C$9:$DR$9,A75,Model!$C$4:$DR$4))</f>
        <v/>
      </c>
      <c r="C75" s="20">
        <f>IF(OR(A75="",B75=0),"",SUMIF(Model!$C$9:$DR$9,A75,Model!$C$18:$DR$18))</f>
        <v/>
      </c>
      <c r="D75" s="20">
        <f>IF(OR(A75="",B75=0),"",SUMIF(Model!$C$9:$DR$9,A75,Model!$C$28:$DR$28))</f>
        <v/>
      </c>
      <c r="E75" s="20">
        <f>IF(OR(A75="",B75=0),"",SUMIF(Model!$C$9:$DR$9,A75,Model!$C$45:$DR$45))</f>
        <v/>
      </c>
      <c r="F75" s="20">
        <f>IF(OR(A75="",B75=0),"",SUMIF(Model!$C$9:$DR$9,A75,Model!$C$70:$DR$70))</f>
        <v/>
      </c>
      <c r="G75" s="20">
        <f>IF(OR(A75="",B75=0),"",SUMIF(Model!$C$9:$DR$9,A75,Model!$C$75:$DR$75))</f>
        <v/>
      </c>
      <c r="H75" s="20">
        <f>IF(OR(A75="",B75=0),"",SUMIF(Model!$C$9:$DR$9,A75,Model!$C$77:$DR$77))</f>
        <v/>
      </c>
      <c r="I75" s="20">
        <f>IF(OR(A75="",B75=0),"",INDEX(Model!$C$79:$DR$79,1,MATCH(A75,Model!$C$9:$DR$9,0)+B75-1))</f>
        <v/>
      </c>
    </row>
    <row r="76">
      <c r="A76" s="6">
        <f>IF((1+3*21-MOD(MONTH(Effective!$B$6)-4+12,3))&gt;Effective!$B$7,"",INDEX(Model!$C$9:$DR$9,1,(1+3*21-MOD(MONTH(Effective!$B$6)-4+12,3))))</f>
        <v/>
      </c>
      <c r="B76" s="18">
        <f>IF(A76="","",SUMIF(Model!$C$9:$DR$9,A76,Model!$C$4:$DR$4))</f>
        <v/>
      </c>
      <c r="C76" s="20">
        <f>IF(OR(A76="",B76=0),"",SUMIF(Model!$C$9:$DR$9,A76,Model!$C$18:$DR$18))</f>
        <v/>
      </c>
      <c r="D76" s="20">
        <f>IF(OR(A76="",B76=0),"",SUMIF(Model!$C$9:$DR$9,A76,Model!$C$28:$DR$28))</f>
        <v/>
      </c>
      <c r="E76" s="20">
        <f>IF(OR(A76="",B76=0),"",SUMIF(Model!$C$9:$DR$9,A76,Model!$C$45:$DR$45))</f>
        <v/>
      </c>
      <c r="F76" s="20">
        <f>IF(OR(A76="",B76=0),"",SUMIF(Model!$C$9:$DR$9,A76,Model!$C$70:$DR$70))</f>
        <v/>
      </c>
      <c r="G76" s="20">
        <f>IF(OR(A76="",B76=0),"",SUMIF(Model!$C$9:$DR$9,A76,Model!$C$75:$DR$75))</f>
        <v/>
      </c>
      <c r="H76" s="20">
        <f>IF(OR(A76="",B76=0),"",SUMIF(Model!$C$9:$DR$9,A76,Model!$C$77:$DR$77))</f>
        <v/>
      </c>
      <c r="I76" s="20">
        <f>IF(OR(A76="",B76=0),"",INDEX(Model!$C$79:$DR$79,1,MATCH(A76,Model!$C$9:$DR$9,0)+B76-1))</f>
        <v/>
      </c>
    </row>
    <row r="77">
      <c r="A77" s="6">
        <f>IF((1+3*22-MOD(MONTH(Effective!$B$6)-4+12,3))&gt;Effective!$B$7,"",INDEX(Model!$C$9:$DR$9,1,(1+3*22-MOD(MONTH(Effective!$B$6)-4+12,3))))</f>
        <v/>
      </c>
      <c r="B77" s="18">
        <f>IF(A77="","",SUMIF(Model!$C$9:$DR$9,A77,Model!$C$4:$DR$4))</f>
        <v/>
      </c>
      <c r="C77" s="20">
        <f>IF(OR(A77="",B77=0),"",SUMIF(Model!$C$9:$DR$9,A77,Model!$C$18:$DR$18))</f>
        <v/>
      </c>
      <c r="D77" s="20">
        <f>IF(OR(A77="",B77=0),"",SUMIF(Model!$C$9:$DR$9,A77,Model!$C$28:$DR$28))</f>
        <v/>
      </c>
      <c r="E77" s="20">
        <f>IF(OR(A77="",B77=0),"",SUMIF(Model!$C$9:$DR$9,A77,Model!$C$45:$DR$45))</f>
        <v/>
      </c>
      <c r="F77" s="20">
        <f>IF(OR(A77="",B77=0),"",SUMIF(Model!$C$9:$DR$9,A77,Model!$C$70:$DR$70))</f>
        <v/>
      </c>
      <c r="G77" s="20">
        <f>IF(OR(A77="",B77=0),"",SUMIF(Model!$C$9:$DR$9,A77,Model!$C$75:$DR$75))</f>
        <v/>
      </c>
      <c r="H77" s="20">
        <f>IF(OR(A77="",B77=0),"",SUMIF(Model!$C$9:$DR$9,A77,Model!$C$77:$DR$77))</f>
        <v/>
      </c>
      <c r="I77" s="20">
        <f>IF(OR(A77="",B77=0),"",INDEX(Model!$C$79:$DR$79,1,MATCH(A77,Model!$C$9:$DR$9,0)+B77-1))</f>
        <v/>
      </c>
    </row>
    <row r="78">
      <c r="A78" s="6">
        <f>IF((1+3*23-MOD(MONTH(Effective!$B$6)-4+12,3))&gt;Effective!$B$7,"",INDEX(Model!$C$9:$DR$9,1,(1+3*23-MOD(MONTH(Effective!$B$6)-4+12,3))))</f>
        <v/>
      </c>
      <c r="B78" s="18">
        <f>IF(A78="","",SUMIF(Model!$C$9:$DR$9,A78,Model!$C$4:$DR$4))</f>
        <v/>
      </c>
      <c r="C78" s="20">
        <f>IF(OR(A78="",B78=0),"",SUMIF(Model!$C$9:$DR$9,A78,Model!$C$18:$DR$18))</f>
        <v/>
      </c>
      <c r="D78" s="20">
        <f>IF(OR(A78="",B78=0),"",SUMIF(Model!$C$9:$DR$9,A78,Model!$C$28:$DR$28))</f>
        <v/>
      </c>
      <c r="E78" s="20">
        <f>IF(OR(A78="",B78=0),"",SUMIF(Model!$C$9:$DR$9,A78,Model!$C$45:$DR$45))</f>
        <v/>
      </c>
      <c r="F78" s="20">
        <f>IF(OR(A78="",B78=0),"",SUMIF(Model!$C$9:$DR$9,A78,Model!$C$70:$DR$70))</f>
        <v/>
      </c>
      <c r="G78" s="20">
        <f>IF(OR(A78="",B78=0),"",SUMIF(Model!$C$9:$DR$9,A78,Model!$C$75:$DR$75))</f>
        <v/>
      </c>
      <c r="H78" s="20">
        <f>IF(OR(A78="",B78=0),"",SUMIF(Model!$C$9:$DR$9,A78,Model!$C$77:$DR$77))</f>
        <v/>
      </c>
      <c r="I78" s="20">
        <f>IF(OR(A78="",B78=0),"",INDEX(Model!$C$79:$DR$79,1,MATCH(A78,Model!$C$9:$DR$9,0)+B78-1))</f>
        <v/>
      </c>
    </row>
    <row r="79">
      <c r="A79" s="6">
        <f>IF((1+3*24-MOD(MONTH(Effective!$B$6)-4+12,3))&gt;Effective!$B$7,"",INDEX(Model!$C$9:$DR$9,1,(1+3*24-MOD(MONTH(Effective!$B$6)-4+12,3))))</f>
        <v/>
      </c>
      <c r="B79" s="18">
        <f>IF(A79="","",SUMIF(Model!$C$9:$DR$9,A79,Model!$C$4:$DR$4))</f>
        <v/>
      </c>
      <c r="C79" s="20">
        <f>IF(OR(A79="",B79=0),"",SUMIF(Model!$C$9:$DR$9,A79,Model!$C$18:$DR$18))</f>
        <v/>
      </c>
      <c r="D79" s="20">
        <f>IF(OR(A79="",B79=0),"",SUMIF(Model!$C$9:$DR$9,A79,Model!$C$28:$DR$28))</f>
        <v/>
      </c>
      <c r="E79" s="20">
        <f>IF(OR(A79="",B79=0),"",SUMIF(Model!$C$9:$DR$9,A79,Model!$C$45:$DR$45))</f>
        <v/>
      </c>
      <c r="F79" s="20">
        <f>IF(OR(A79="",B79=0),"",SUMIF(Model!$C$9:$DR$9,A79,Model!$C$70:$DR$70))</f>
        <v/>
      </c>
      <c r="G79" s="20">
        <f>IF(OR(A79="",B79=0),"",SUMIF(Model!$C$9:$DR$9,A79,Model!$C$75:$DR$75))</f>
        <v/>
      </c>
      <c r="H79" s="20">
        <f>IF(OR(A79="",B79=0),"",SUMIF(Model!$C$9:$DR$9,A79,Model!$C$77:$DR$77))</f>
        <v/>
      </c>
      <c r="I79" s="20">
        <f>IF(OR(A79="",B79=0),"",INDEX(Model!$C$79:$DR$79,1,MATCH(A79,Model!$C$9:$DR$9,0)+B79-1))</f>
        <v/>
      </c>
    </row>
    <row r="80">
      <c r="A80" s="6">
        <f>IF((1+3*25-MOD(MONTH(Effective!$B$6)-4+12,3))&gt;Effective!$B$7,"",INDEX(Model!$C$9:$DR$9,1,(1+3*25-MOD(MONTH(Effective!$B$6)-4+12,3))))</f>
        <v/>
      </c>
      <c r="B80" s="18">
        <f>IF(A80="","",SUMIF(Model!$C$9:$DR$9,A80,Model!$C$4:$DR$4))</f>
        <v/>
      </c>
      <c r="C80" s="20">
        <f>IF(OR(A80="",B80=0),"",SUMIF(Model!$C$9:$DR$9,A80,Model!$C$18:$DR$18))</f>
        <v/>
      </c>
      <c r="D80" s="20">
        <f>IF(OR(A80="",B80=0),"",SUMIF(Model!$C$9:$DR$9,A80,Model!$C$28:$DR$28))</f>
        <v/>
      </c>
      <c r="E80" s="20">
        <f>IF(OR(A80="",B80=0),"",SUMIF(Model!$C$9:$DR$9,A80,Model!$C$45:$DR$45))</f>
        <v/>
      </c>
      <c r="F80" s="20">
        <f>IF(OR(A80="",B80=0),"",SUMIF(Model!$C$9:$DR$9,A80,Model!$C$70:$DR$70))</f>
        <v/>
      </c>
      <c r="G80" s="20">
        <f>IF(OR(A80="",B80=0),"",SUMIF(Model!$C$9:$DR$9,A80,Model!$C$75:$DR$75))</f>
        <v/>
      </c>
      <c r="H80" s="20">
        <f>IF(OR(A80="",B80=0),"",SUMIF(Model!$C$9:$DR$9,A80,Model!$C$77:$DR$77))</f>
        <v/>
      </c>
      <c r="I80" s="20">
        <f>IF(OR(A80="",B80=0),"",INDEX(Model!$C$79:$DR$79,1,MATCH(A80,Model!$C$9:$DR$9,0)+B80-1))</f>
        <v/>
      </c>
    </row>
    <row r="81">
      <c r="A81" s="6">
        <f>IF((1+3*26-MOD(MONTH(Effective!$B$6)-4+12,3))&gt;Effective!$B$7,"",INDEX(Model!$C$9:$DR$9,1,(1+3*26-MOD(MONTH(Effective!$B$6)-4+12,3))))</f>
        <v/>
      </c>
      <c r="B81" s="18">
        <f>IF(A81="","",SUMIF(Model!$C$9:$DR$9,A81,Model!$C$4:$DR$4))</f>
        <v/>
      </c>
      <c r="C81" s="20">
        <f>IF(OR(A81="",B81=0),"",SUMIF(Model!$C$9:$DR$9,A81,Model!$C$18:$DR$18))</f>
        <v/>
      </c>
      <c r="D81" s="20">
        <f>IF(OR(A81="",B81=0),"",SUMIF(Model!$C$9:$DR$9,A81,Model!$C$28:$DR$28))</f>
        <v/>
      </c>
      <c r="E81" s="20">
        <f>IF(OR(A81="",B81=0),"",SUMIF(Model!$C$9:$DR$9,A81,Model!$C$45:$DR$45))</f>
        <v/>
      </c>
      <c r="F81" s="20">
        <f>IF(OR(A81="",B81=0),"",SUMIF(Model!$C$9:$DR$9,A81,Model!$C$70:$DR$70))</f>
        <v/>
      </c>
      <c r="G81" s="20">
        <f>IF(OR(A81="",B81=0),"",SUMIF(Model!$C$9:$DR$9,A81,Model!$C$75:$DR$75))</f>
        <v/>
      </c>
      <c r="H81" s="20">
        <f>IF(OR(A81="",B81=0),"",SUMIF(Model!$C$9:$DR$9,A81,Model!$C$77:$DR$77))</f>
        <v/>
      </c>
      <c r="I81" s="20">
        <f>IF(OR(A81="",B81=0),"",INDEX(Model!$C$79:$DR$79,1,MATCH(A81,Model!$C$9:$DR$9,0)+B81-1))</f>
        <v/>
      </c>
    </row>
    <row r="82">
      <c r="A82" s="6">
        <f>IF((1+3*27-MOD(MONTH(Effective!$B$6)-4+12,3))&gt;Effective!$B$7,"",INDEX(Model!$C$9:$DR$9,1,(1+3*27-MOD(MONTH(Effective!$B$6)-4+12,3))))</f>
        <v/>
      </c>
      <c r="B82" s="18">
        <f>IF(A82="","",SUMIF(Model!$C$9:$DR$9,A82,Model!$C$4:$DR$4))</f>
        <v/>
      </c>
      <c r="C82" s="20">
        <f>IF(OR(A82="",B82=0),"",SUMIF(Model!$C$9:$DR$9,A82,Model!$C$18:$DR$18))</f>
        <v/>
      </c>
      <c r="D82" s="20">
        <f>IF(OR(A82="",B82=0),"",SUMIF(Model!$C$9:$DR$9,A82,Model!$C$28:$DR$28))</f>
        <v/>
      </c>
      <c r="E82" s="20">
        <f>IF(OR(A82="",B82=0),"",SUMIF(Model!$C$9:$DR$9,A82,Model!$C$45:$DR$45))</f>
        <v/>
      </c>
      <c r="F82" s="20">
        <f>IF(OR(A82="",B82=0),"",SUMIF(Model!$C$9:$DR$9,A82,Model!$C$70:$DR$70))</f>
        <v/>
      </c>
      <c r="G82" s="20">
        <f>IF(OR(A82="",B82=0),"",SUMIF(Model!$C$9:$DR$9,A82,Model!$C$75:$DR$75))</f>
        <v/>
      </c>
      <c r="H82" s="20">
        <f>IF(OR(A82="",B82=0),"",SUMIF(Model!$C$9:$DR$9,A82,Model!$C$77:$DR$77))</f>
        <v/>
      </c>
      <c r="I82" s="20">
        <f>IF(OR(A82="",B82=0),"",INDEX(Model!$C$79:$DR$79,1,MATCH(A82,Model!$C$9:$DR$9,0)+B82-1))</f>
        <v/>
      </c>
    </row>
    <row r="83">
      <c r="A83" s="6">
        <f>IF((1+3*28-MOD(MONTH(Effective!$B$6)-4+12,3))&gt;Effective!$B$7,"",INDEX(Model!$C$9:$DR$9,1,(1+3*28-MOD(MONTH(Effective!$B$6)-4+12,3))))</f>
        <v/>
      </c>
      <c r="B83" s="18">
        <f>IF(A83="","",SUMIF(Model!$C$9:$DR$9,A83,Model!$C$4:$DR$4))</f>
        <v/>
      </c>
      <c r="C83" s="20">
        <f>IF(OR(A83="",B83=0),"",SUMIF(Model!$C$9:$DR$9,A83,Model!$C$18:$DR$18))</f>
        <v/>
      </c>
      <c r="D83" s="20">
        <f>IF(OR(A83="",B83=0),"",SUMIF(Model!$C$9:$DR$9,A83,Model!$C$28:$DR$28))</f>
        <v/>
      </c>
      <c r="E83" s="20">
        <f>IF(OR(A83="",B83=0),"",SUMIF(Model!$C$9:$DR$9,A83,Model!$C$45:$DR$45))</f>
        <v/>
      </c>
      <c r="F83" s="20">
        <f>IF(OR(A83="",B83=0),"",SUMIF(Model!$C$9:$DR$9,A83,Model!$C$70:$DR$70))</f>
        <v/>
      </c>
      <c r="G83" s="20">
        <f>IF(OR(A83="",B83=0),"",SUMIF(Model!$C$9:$DR$9,A83,Model!$C$75:$DR$75))</f>
        <v/>
      </c>
      <c r="H83" s="20">
        <f>IF(OR(A83="",B83=0),"",SUMIF(Model!$C$9:$DR$9,A83,Model!$C$77:$DR$77))</f>
        <v/>
      </c>
      <c r="I83" s="20">
        <f>IF(OR(A83="",B83=0),"",INDEX(Model!$C$79:$DR$79,1,MATCH(A83,Model!$C$9:$DR$9,0)+B83-1))</f>
        <v/>
      </c>
    </row>
    <row r="84">
      <c r="A84" s="6">
        <f>IF((1+3*29-MOD(MONTH(Effective!$B$6)-4+12,3))&gt;Effective!$B$7,"",INDEX(Model!$C$9:$DR$9,1,(1+3*29-MOD(MONTH(Effective!$B$6)-4+12,3))))</f>
        <v/>
      </c>
      <c r="B84" s="18">
        <f>IF(A84="","",SUMIF(Model!$C$9:$DR$9,A84,Model!$C$4:$DR$4))</f>
        <v/>
      </c>
      <c r="C84" s="20">
        <f>IF(OR(A84="",B84=0),"",SUMIF(Model!$C$9:$DR$9,A84,Model!$C$18:$DR$18))</f>
        <v/>
      </c>
      <c r="D84" s="20">
        <f>IF(OR(A84="",B84=0),"",SUMIF(Model!$C$9:$DR$9,A84,Model!$C$28:$DR$28))</f>
        <v/>
      </c>
      <c r="E84" s="20">
        <f>IF(OR(A84="",B84=0),"",SUMIF(Model!$C$9:$DR$9,A84,Model!$C$45:$DR$45))</f>
        <v/>
      </c>
      <c r="F84" s="20">
        <f>IF(OR(A84="",B84=0),"",SUMIF(Model!$C$9:$DR$9,A84,Model!$C$70:$DR$70))</f>
        <v/>
      </c>
      <c r="G84" s="20">
        <f>IF(OR(A84="",B84=0),"",SUMIF(Model!$C$9:$DR$9,A84,Model!$C$75:$DR$75))</f>
        <v/>
      </c>
      <c r="H84" s="20">
        <f>IF(OR(A84="",B84=0),"",SUMIF(Model!$C$9:$DR$9,A84,Model!$C$77:$DR$77))</f>
        <v/>
      </c>
      <c r="I84" s="20">
        <f>IF(OR(A84="",B84=0),"",INDEX(Model!$C$79:$DR$79,1,MATCH(A84,Model!$C$9:$DR$9,0)+B84-1))</f>
        <v/>
      </c>
    </row>
    <row r="85">
      <c r="A85" s="6">
        <f>IF((1+3*30-MOD(MONTH(Effective!$B$6)-4+12,3))&gt;Effective!$B$7,"",INDEX(Model!$C$9:$DR$9,1,(1+3*30-MOD(MONTH(Effective!$B$6)-4+12,3))))</f>
        <v/>
      </c>
      <c r="B85" s="18">
        <f>IF(A85="","",SUMIF(Model!$C$9:$DR$9,A85,Model!$C$4:$DR$4))</f>
        <v/>
      </c>
      <c r="C85" s="20">
        <f>IF(OR(A85="",B85=0),"",SUMIF(Model!$C$9:$DR$9,A85,Model!$C$18:$DR$18))</f>
        <v/>
      </c>
      <c r="D85" s="20">
        <f>IF(OR(A85="",B85=0),"",SUMIF(Model!$C$9:$DR$9,A85,Model!$C$28:$DR$28))</f>
        <v/>
      </c>
      <c r="E85" s="20">
        <f>IF(OR(A85="",B85=0),"",SUMIF(Model!$C$9:$DR$9,A85,Model!$C$45:$DR$45))</f>
        <v/>
      </c>
      <c r="F85" s="20">
        <f>IF(OR(A85="",B85=0),"",SUMIF(Model!$C$9:$DR$9,A85,Model!$C$70:$DR$70))</f>
        <v/>
      </c>
      <c r="G85" s="20">
        <f>IF(OR(A85="",B85=0),"",SUMIF(Model!$C$9:$DR$9,A85,Model!$C$75:$DR$75))</f>
        <v/>
      </c>
      <c r="H85" s="20">
        <f>IF(OR(A85="",B85=0),"",SUMIF(Model!$C$9:$DR$9,A85,Model!$C$77:$DR$77))</f>
        <v/>
      </c>
      <c r="I85" s="20">
        <f>IF(OR(A85="",B85=0),"",INDEX(Model!$C$79:$DR$79,1,MATCH(A85,Model!$C$9:$DR$9,0)+B85-1))</f>
        <v/>
      </c>
    </row>
    <row r="86">
      <c r="A86" s="6">
        <f>IF((1+3*31-MOD(MONTH(Effective!$B$6)-4+12,3))&gt;Effective!$B$7,"",INDEX(Model!$C$9:$DR$9,1,(1+3*31-MOD(MONTH(Effective!$B$6)-4+12,3))))</f>
        <v/>
      </c>
      <c r="B86" s="18">
        <f>IF(A86="","",SUMIF(Model!$C$9:$DR$9,A86,Model!$C$4:$DR$4))</f>
        <v/>
      </c>
      <c r="C86" s="20">
        <f>IF(OR(A86="",B86=0),"",SUMIF(Model!$C$9:$DR$9,A86,Model!$C$18:$DR$18))</f>
        <v/>
      </c>
      <c r="D86" s="20">
        <f>IF(OR(A86="",B86=0),"",SUMIF(Model!$C$9:$DR$9,A86,Model!$C$28:$DR$28))</f>
        <v/>
      </c>
      <c r="E86" s="20">
        <f>IF(OR(A86="",B86=0),"",SUMIF(Model!$C$9:$DR$9,A86,Model!$C$45:$DR$45))</f>
        <v/>
      </c>
      <c r="F86" s="20">
        <f>IF(OR(A86="",B86=0),"",SUMIF(Model!$C$9:$DR$9,A86,Model!$C$70:$DR$70))</f>
        <v/>
      </c>
      <c r="G86" s="20">
        <f>IF(OR(A86="",B86=0),"",SUMIF(Model!$C$9:$DR$9,A86,Model!$C$75:$DR$75))</f>
        <v/>
      </c>
      <c r="H86" s="20">
        <f>IF(OR(A86="",B86=0),"",SUMIF(Model!$C$9:$DR$9,A86,Model!$C$77:$DR$77))</f>
        <v/>
      </c>
      <c r="I86" s="20">
        <f>IF(OR(A86="",B86=0),"",INDEX(Model!$C$79:$DR$79,1,MATCH(A86,Model!$C$9:$DR$9,0)+B86-1))</f>
        <v/>
      </c>
    </row>
    <row r="87">
      <c r="A87" s="6">
        <f>IF((1+3*32-MOD(MONTH(Effective!$B$6)-4+12,3))&gt;Effective!$B$7,"",INDEX(Model!$C$9:$DR$9,1,(1+3*32-MOD(MONTH(Effective!$B$6)-4+12,3))))</f>
        <v/>
      </c>
      <c r="B87" s="18">
        <f>IF(A87="","",SUMIF(Model!$C$9:$DR$9,A87,Model!$C$4:$DR$4))</f>
        <v/>
      </c>
      <c r="C87" s="20">
        <f>IF(OR(A87="",B87=0),"",SUMIF(Model!$C$9:$DR$9,A87,Model!$C$18:$DR$18))</f>
        <v/>
      </c>
      <c r="D87" s="20">
        <f>IF(OR(A87="",B87=0),"",SUMIF(Model!$C$9:$DR$9,A87,Model!$C$28:$DR$28))</f>
        <v/>
      </c>
      <c r="E87" s="20">
        <f>IF(OR(A87="",B87=0),"",SUMIF(Model!$C$9:$DR$9,A87,Model!$C$45:$DR$45))</f>
        <v/>
      </c>
      <c r="F87" s="20">
        <f>IF(OR(A87="",B87=0),"",SUMIF(Model!$C$9:$DR$9,A87,Model!$C$70:$DR$70))</f>
        <v/>
      </c>
      <c r="G87" s="20">
        <f>IF(OR(A87="",B87=0),"",SUMIF(Model!$C$9:$DR$9,A87,Model!$C$75:$DR$75))</f>
        <v/>
      </c>
      <c r="H87" s="20">
        <f>IF(OR(A87="",B87=0),"",SUMIF(Model!$C$9:$DR$9,A87,Model!$C$77:$DR$77))</f>
        <v/>
      </c>
      <c r="I87" s="20">
        <f>IF(OR(A87="",B87=0),"",INDEX(Model!$C$79:$DR$79,1,MATCH(A87,Model!$C$9:$DR$9,0)+B87-1))</f>
        <v/>
      </c>
    </row>
    <row r="88">
      <c r="A88" s="6">
        <f>IF((1+3*33-MOD(MONTH(Effective!$B$6)-4+12,3))&gt;Effective!$B$7,"",INDEX(Model!$C$9:$DR$9,1,(1+3*33-MOD(MONTH(Effective!$B$6)-4+12,3))))</f>
        <v/>
      </c>
      <c r="B88" s="18">
        <f>IF(A88="","",SUMIF(Model!$C$9:$DR$9,A88,Model!$C$4:$DR$4))</f>
        <v/>
      </c>
      <c r="C88" s="20">
        <f>IF(OR(A88="",B88=0),"",SUMIF(Model!$C$9:$DR$9,A88,Model!$C$18:$DR$18))</f>
        <v/>
      </c>
      <c r="D88" s="20">
        <f>IF(OR(A88="",B88=0),"",SUMIF(Model!$C$9:$DR$9,A88,Model!$C$28:$DR$28))</f>
        <v/>
      </c>
      <c r="E88" s="20">
        <f>IF(OR(A88="",B88=0),"",SUMIF(Model!$C$9:$DR$9,A88,Model!$C$45:$DR$45))</f>
        <v/>
      </c>
      <c r="F88" s="20">
        <f>IF(OR(A88="",B88=0),"",SUMIF(Model!$C$9:$DR$9,A88,Model!$C$70:$DR$70))</f>
        <v/>
      </c>
      <c r="G88" s="20">
        <f>IF(OR(A88="",B88=0),"",SUMIF(Model!$C$9:$DR$9,A88,Model!$C$75:$DR$75))</f>
        <v/>
      </c>
      <c r="H88" s="20">
        <f>IF(OR(A88="",B88=0),"",SUMIF(Model!$C$9:$DR$9,A88,Model!$C$77:$DR$77))</f>
        <v/>
      </c>
      <c r="I88" s="20">
        <f>IF(OR(A88="",B88=0),"",INDEX(Model!$C$79:$DR$79,1,MATCH(A88,Model!$C$9:$DR$9,0)+B88-1))</f>
        <v/>
      </c>
    </row>
    <row r="89">
      <c r="A89" s="6">
        <f>IF((1+3*34-MOD(MONTH(Effective!$B$6)-4+12,3))&gt;Effective!$B$7,"",INDEX(Model!$C$9:$DR$9,1,(1+3*34-MOD(MONTH(Effective!$B$6)-4+12,3))))</f>
        <v/>
      </c>
      <c r="B89" s="18">
        <f>IF(A89="","",SUMIF(Model!$C$9:$DR$9,A89,Model!$C$4:$DR$4))</f>
        <v/>
      </c>
      <c r="C89" s="20">
        <f>IF(OR(A89="",B89=0),"",SUMIF(Model!$C$9:$DR$9,A89,Model!$C$18:$DR$18))</f>
        <v/>
      </c>
      <c r="D89" s="20">
        <f>IF(OR(A89="",B89=0),"",SUMIF(Model!$C$9:$DR$9,A89,Model!$C$28:$DR$28))</f>
        <v/>
      </c>
      <c r="E89" s="20">
        <f>IF(OR(A89="",B89=0),"",SUMIF(Model!$C$9:$DR$9,A89,Model!$C$45:$DR$45))</f>
        <v/>
      </c>
      <c r="F89" s="20">
        <f>IF(OR(A89="",B89=0),"",SUMIF(Model!$C$9:$DR$9,A89,Model!$C$70:$DR$70))</f>
        <v/>
      </c>
      <c r="G89" s="20">
        <f>IF(OR(A89="",B89=0),"",SUMIF(Model!$C$9:$DR$9,A89,Model!$C$75:$DR$75))</f>
        <v/>
      </c>
      <c r="H89" s="20">
        <f>IF(OR(A89="",B89=0),"",SUMIF(Model!$C$9:$DR$9,A89,Model!$C$77:$DR$77))</f>
        <v/>
      </c>
      <c r="I89" s="20">
        <f>IF(OR(A89="",B89=0),"",INDEX(Model!$C$79:$DR$79,1,MATCH(A89,Model!$C$9:$DR$9,0)+B89-1))</f>
        <v/>
      </c>
    </row>
    <row r="90">
      <c r="A90" s="6">
        <f>IF((1+3*35-MOD(MONTH(Effective!$B$6)-4+12,3))&gt;Effective!$B$7,"",INDEX(Model!$C$9:$DR$9,1,(1+3*35-MOD(MONTH(Effective!$B$6)-4+12,3))))</f>
        <v/>
      </c>
      <c r="B90" s="18">
        <f>IF(A90="","",SUMIF(Model!$C$9:$DR$9,A90,Model!$C$4:$DR$4))</f>
        <v/>
      </c>
      <c r="C90" s="20">
        <f>IF(OR(A90="",B90=0),"",SUMIF(Model!$C$9:$DR$9,A90,Model!$C$18:$DR$18))</f>
        <v/>
      </c>
      <c r="D90" s="20">
        <f>IF(OR(A90="",B90=0),"",SUMIF(Model!$C$9:$DR$9,A90,Model!$C$28:$DR$28))</f>
        <v/>
      </c>
      <c r="E90" s="20">
        <f>IF(OR(A90="",B90=0),"",SUMIF(Model!$C$9:$DR$9,A90,Model!$C$45:$DR$45))</f>
        <v/>
      </c>
      <c r="F90" s="20">
        <f>IF(OR(A90="",B90=0),"",SUMIF(Model!$C$9:$DR$9,A90,Model!$C$70:$DR$70))</f>
        <v/>
      </c>
      <c r="G90" s="20">
        <f>IF(OR(A90="",B90=0),"",SUMIF(Model!$C$9:$DR$9,A90,Model!$C$75:$DR$75))</f>
        <v/>
      </c>
      <c r="H90" s="20">
        <f>IF(OR(A90="",B90=0),"",SUMIF(Model!$C$9:$DR$9,A90,Model!$C$77:$DR$77))</f>
        <v/>
      </c>
      <c r="I90" s="20">
        <f>IF(OR(A90="",B90=0),"",INDEX(Model!$C$79:$DR$79,1,MATCH(A90,Model!$C$9:$DR$9,0)+B90-1))</f>
        <v/>
      </c>
    </row>
    <row r="91">
      <c r="A91" s="6">
        <f>IF((1+3*36-MOD(MONTH(Effective!$B$6)-4+12,3))&gt;Effective!$B$7,"",INDEX(Model!$C$9:$DR$9,1,(1+3*36-MOD(MONTH(Effective!$B$6)-4+12,3))))</f>
        <v/>
      </c>
      <c r="B91" s="18">
        <f>IF(A91="","",SUMIF(Model!$C$9:$DR$9,A91,Model!$C$4:$DR$4))</f>
        <v/>
      </c>
      <c r="C91" s="20">
        <f>IF(OR(A91="",B91=0),"",SUMIF(Model!$C$9:$DR$9,A91,Model!$C$18:$DR$18))</f>
        <v/>
      </c>
      <c r="D91" s="20">
        <f>IF(OR(A91="",B91=0),"",SUMIF(Model!$C$9:$DR$9,A91,Model!$C$28:$DR$28))</f>
        <v/>
      </c>
      <c r="E91" s="20">
        <f>IF(OR(A91="",B91=0),"",SUMIF(Model!$C$9:$DR$9,A91,Model!$C$45:$DR$45))</f>
        <v/>
      </c>
      <c r="F91" s="20">
        <f>IF(OR(A91="",B91=0),"",SUMIF(Model!$C$9:$DR$9,A91,Model!$C$70:$DR$70))</f>
        <v/>
      </c>
      <c r="G91" s="20">
        <f>IF(OR(A91="",B91=0),"",SUMIF(Model!$C$9:$DR$9,A91,Model!$C$75:$DR$75))</f>
        <v/>
      </c>
      <c r="H91" s="20">
        <f>IF(OR(A91="",B91=0),"",SUMIF(Model!$C$9:$DR$9,A91,Model!$C$77:$DR$77))</f>
        <v/>
      </c>
      <c r="I91" s="20">
        <f>IF(OR(A91="",B91=0),"",INDEX(Model!$C$79:$DR$79,1,MATCH(A91,Model!$C$9:$DR$9,0)+B91-1))</f>
        <v/>
      </c>
    </row>
    <row r="92">
      <c r="A92" s="6">
        <f>IF((1+3*37-MOD(MONTH(Effective!$B$6)-4+12,3))&gt;Effective!$B$7,"",INDEX(Model!$C$9:$DR$9,1,(1+3*37-MOD(MONTH(Effective!$B$6)-4+12,3))))</f>
        <v/>
      </c>
      <c r="B92" s="18">
        <f>IF(A92="","",SUMIF(Model!$C$9:$DR$9,A92,Model!$C$4:$DR$4))</f>
        <v/>
      </c>
      <c r="C92" s="20">
        <f>IF(OR(A92="",B92=0),"",SUMIF(Model!$C$9:$DR$9,A92,Model!$C$18:$DR$18))</f>
        <v/>
      </c>
      <c r="D92" s="20">
        <f>IF(OR(A92="",B92=0),"",SUMIF(Model!$C$9:$DR$9,A92,Model!$C$28:$DR$28))</f>
        <v/>
      </c>
      <c r="E92" s="20">
        <f>IF(OR(A92="",B92=0),"",SUMIF(Model!$C$9:$DR$9,A92,Model!$C$45:$DR$45))</f>
        <v/>
      </c>
      <c r="F92" s="20">
        <f>IF(OR(A92="",B92=0),"",SUMIF(Model!$C$9:$DR$9,A92,Model!$C$70:$DR$70))</f>
        <v/>
      </c>
      <c r="G92" s="20">
        <f>IF(OR(A92="",B92=0),"",SUMIF(Model!$C$9:$DR$9,A92,Model!$C$75:$DR$75))</f>
        <v/>
      </c>
      <c r="H92" s="20">
        <f>IF(OR(A92="",B92=0),"",SUMIF(Model!$C$9:$DR$9,A92,Model!$C$77:$DR$77))</f>
        <v/>
      </c>
      <c r="I92" s="20">
        <f>IF(OR(A92="",B92=0),"",INDEX(Model!$C$79:$DR$79,1,MATCH(A92,Model!$C$9:$DR$9,0)+B92-1))</f>
        <v/>
      </c>
    </row>
    <row r="93">
      <c r="A93" s="6">
        <f>IF((1+3*38-MOD(MONTH(Effective!$B$6)-4+12,3))&gt;Effective!$B$7,"",INDEX(Model!$C$9:$DR$9,1,(1+3*38-MOD(MONTH(Effective!$B$6)-4+12,3))))</f>
        <v/>
      </c>
      <c r="B93" s="18">
        <f>IF(A93="","",SUMIF(Model!$C$9:$DR$9,A93,Model!$C$4:$DR$4))</f>
        <v/>
      </c>
      <c r="C93" s="20">
        <f>IF(OR(A93="",B93=0),"",SUMIF(Model!$C$9:$DR$9,A93,Model!$C$18:$DR$18))</f>
        <v/>
      </c>
      <c r="D93" s="20">
        <f>IF(OR(A93="",B93=0),"",SUMIF(Model!$C$9:$DR$9,A93,Model!$C$28:$DR$28))</f>
        <v/>
      </c>
      <c r="E93" s="20">
        <f>IF(OR(A93="",B93=0),"",SUMIF(Model!$C$9:$DR$9,A93,Model!$C$45:$DR$45))</f>
        <v/>
      </c>
      <c r="F93" s="20">
        <f>IF(OR(A93="",B93=0),"",SUMIF(Model!$C$9:$DR$9,A93,Model!$C$70:$DR$70))</f>
        <v/>
      </c>
      <c r="G93" s="20">
        <f>IF(OR(A93="",B93=0),"",SUMIF(Model!$C$9:$DR$9,A93,Model!$C$75:$DR$75))</f>
        <v/>
      </c>
      <c r="H93" s="20">
        <f>IF(OR(A93="",B93=0),"",SUMIF(Model!$C$9:$DR$9,A93,Model!$C$77:$DR$77))</f>
        <v/>
      </c>
      <c r="I93" s="20">
        <f>IF(OR(A93="",B93=0),"",INDEX(Model!$C$79:$DR$79,1,MATCH(A93,Model!$C$9:$DR$9,0)+B93-1))</f>
        <v/>
      </c>
    </row>
    <row r="94">
      <c r="A94" s="6">
        <f>IF((1+3*39-MOD(MONTH(Effective!$B$6)-4+12,3))&gt;Effective!$B$7,"",INDEX(Model!$C$9:$DR$9,1,(1+3*39-MOD(MONTH(Effective!$B$6)-4+12,3))))</f>
        <v/>
      </c>
      <c r="B94" s="18">
        <f>IF(A94="","",SUMIF(Model!$C$9:$DR$9,A94,Model!$C$4:$DR$4))</f>
        <v/>
      </c>
      <c r="C94" s="20">
        <f>IF(OR(A94="",B94=0),"",SUMIF(Model!$C$9:$DR$9,A94,Model!$C$18:$DR$18))</f>
        <v/>
      </c>
      <c r="D94" s="20">
        <f>IF(OR(A94="",B94=0),"",SUMIF(Model!$C$9:$DR$9,A94,Model!$C$28:$DR$28))</f>
        <v/>
      </c>
      <c r="E94" s="20">
        <f>IF(OR(A94="",B94=0),"",SUMIF(Model!$C$9:$DR$9,A94,Model!$C$45:$DR$45))</f>
        <v/>
      </c>
      <c r="F94" s="20">
        <f>IF(OR(A94="",B94=0),"",SUMIF(Model!$C$9:$DR$9,A94,Model!$C$70:$DR$70))</f>
        <v/>
      </c>
      <c r="G94" s="20">
        <f>IF(OR(A94="",B94=0),"",SUMIF(Model!$C$9:$DR$9,A94,Model!$C$75:$DR$75))</f>
        <v/>
      </c>
      <c r="H94" s="20">
        <f>IF(OR(A94="",B94=0),"",SUMIF(Model!$C$9:$DR$9,A94,Model!$C$77:$DR$77))</f>
        <v/>
      </c>
      <c r="I94" s="20">
        <f>IF(OR(A94="",B94=0),"",INDEX(Model!$C$79:$DR$79,1,MATCH(A94,Model!$C$9:$DR$9,0)+B94-1))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" customWidth="1" min="3" max="3"/>
    <col width="110" customWidth="1" min="4" max="4"/>
  </cols>
  <sheetData>
    <row r="1">
      <c r="A1" s="1" t="inlineStr">
        <is>
          <t>Briefing (to_briefing_md) - copy column D lines 10+ verbatim into the board markdown</t>
        </is>
      </c>
    </row>
    <row r="2"/>
    <row r="3">
      <c r="A3" t="inlineStr">
        <is>
          <t>runway min_cash (from K02)</t>
        </is>
      </c>
      <c r="B3" s="13" t="n">
        <v>-3185000</v>
      </c>
    </row>
    <row r="4">
      <c r="A4" t="inlineStr">
        <is>
          <t>runway min_week (from K02)</t>
        </is>
      </c>
      <c r="B4" s="11" t="n">
        <v>5</v>
      </c>
    </row>
    <row r="5">
      <c r="A5" t="inlineStr">
        <is>
          <t>runway first_negative_week (blank = none)</t>
        </is>
      </c>
      <c r="B5" s="11" t="n">
        <v>5</v>
      </c>
    </row>
    <row r="6">
      <c r="A6" t="inlineStr">
        <is>
          <t>include runway section? (yes/no)</t>
        </is>
      </c>
      <c r="B6" s="9" t="inlineStr">
        <is>
          <t>yes</t>
        </is>
      </c>
    </row>
    <row r="7">
      <c r="A7" t="inlineStr">
        <is>
          <t>briefing title</t>
        </is>
      </c>
      <c r="B7" s="6">
        <f>Effective!$B$5</f>
        <v/>
      </c>
    </row>
    <row r="8"/>
    <row r="9">
      <c r="D9" s="4" t="inlineStr">
        <is>
          <t>markdown line</t>
        </is>
      </c>
    </row>
    <row r="10">
      <c r="D10">
        <f>"# "&amp;B7</f>
        <v/>
      </c>
    </row>
    <row r="11">
      <c r="D11">
        <f>""</f>
        <v/>
      </c>
    </row>
    <row r="12">
      <c r="D12">
        <f>"## Headline"</f>
        <v/>
      </c>
    </row>
    <row r="13">
      <c r="D13">
        <f>""</f>
        <v/>
      </c>
    </row>
    <row r="14">
      <c r="D14">
        <f>"- **Revenue:** "&amp;IF(Summary!$B$5&lt;0,"-","")&amp;Effective!$B$20&amp;IF(Effective!$B$21="indian",TEXT(IF(MOD(ABS(Summary!$B$5),1)=0.5,2*ROUND(ABS(Summary!$B$5)/2,0),ROUND(ABS(Summary!$B$5),0)),"[&gt;=10000000]##\,##\,##\,##0;[&gt;=100000]##\,##\,##0;##,##0"),TEXT(IF(MOD(ABS(Summary!$B$5),1)=0.5,2*ROUND(ABS(Summary!$B$5)/2,0),ROUND(ABS(Summary!$B$5),0)),"#,##0"))</f>
        <v/>
      </c>
    </row>
    <row r="15">
      <c r="D15">
        <f>"- **EBITDA:** "&amp;IF(Summary!$B$9&lt;0,"-","")&amp;Effective!$B$20&amp;IF(Effective!$B$21="indian",TEXT(IF(MOD(ABS(Summary!$B$9),1)=0.5,2*ROUND(ABS(Summary!$B$9)/2,0),ROUND(ABS(Summary!$B$9),0)),"[&gt;=10000000]##\,##\,##\,##0;[&gt;=100000]##\,##\,##0;##,##0"),TEXT(IF(MOD(ABS(Summary!$B$9),1)=0.5,2*ROUND(ABS(Summary!$B$9)/2,0),ROUND(ABS(Summary!$B$9),0)),"#,##0"))</f>
        <v/>
      </c>
    </row>
    <row r="16">
      <c r="D16">
        <f>"- **Net income:** "&amp;IF(Summary!$B$14&lt;0,"-","")&amp;Effective!$B$20&amp;IF(Effective!$B$21="indian",TEXT(IF(MOD(ABS(Summary!$B$14),1)=0.5,2*ROUND(ABS(Summary!$B$14)/2,0),ROUND(ABS(Summary!$B$14),0)),"[&gt;=10000000]##\,##\,##\,##0;[&gt;=100000]##\,##\,##0;##,##0"),TEXT(IF(MOD(ABS(Summary!$B$14),1)=0.5,2*ROUND(ABS(Summary!$B$14)/2,0),ROUND(ABS(Summary!$B$14),0)),"#,##0"))</f>
        <v/>
      </c>
    </row>
    <row r="17">
      <c r="D17">
        <f>"- **Ending cash:** "&amp;IF(Summary!$B$21&lt;0,"-","")&amp;Effective!$B$20&amp;IF(Effective!$B$21="indian",TEXT(IF(MOD(ABS(Summary!$B$21),1)=0.5,2*ROUND(ABS(Summary!$B$21)/2,0),ROUND(ABS(Summary!$B$21),0)),"[&gt;=10000000]##\,##\,##\,##0;[&gt;=100000]##\,##\,##0;##,##0"),TEXT(IF(MOD(ABS(Summary!$B$21),1)=0.5,2*ROUND(ABS(Summary!$B$21)/2,0),ROUND(ABS(Summary!$B$21),0)),"#,##0"))</f>
        <v/>
      </c>
    </row>
    <row r="18">
      <c r="D18">
        <f>""</f>
        <v/>
      </c>
    </row>
    <row r="19">
      <c r="D19">
        <f>IF(B6="yes","## 13-Week Cash Runway","")</f>
        <v/>
      </c>
    </row>
    <row r="20">
      <c r="D20">
        <f>IF(B6="yes","","")</f>
        <v/>
      </c>
    </row>
    <row r="21">
      <c r="D21">
        <f>IF(B6="yes","- **Trough:** "&amp;IF(B3&lt;0,"-","")&amp;Effective!$B$20&amp;IF(Effective!$B$21="indian",TEXT(IF(MOD(ABS(B3),1)=0.5,2*ROUND(ABS(B3)/2,0),ROUND(ABS(B3),0)),"[&gt;=10000000]##\,##\,##\,##0;[&gt;=100000]##\,##\,##0;##,##0"),TEXT(IF(MOD(ABS(B3),1)=0.5,2*ROUND(ABS(B3)/2,0),ROUND(ABS(B3),0)),"#,##0"))&amp;" (week "&amp;B4&amp;")","")</f>
        <v/>
      </c>
    </row>
    <row r="22">
      <c r="D22">
        <f>IF(B6="yes","- **First negative week:** "&amp;IF(B5="","none","week "&amp;B5),"")</f>
        <v/>
      </c>
    </row>
    <row r="23">
      <c r="D23">
        <f>IF(B6="yes","","")</f>
        <v/>
      </c>
    </row>
    <row r="24">
      <c r="D24">
        <f>"## Monthly"</f>
        <v/>
      </c>
    </row>
    <row r="25">
      <c r="D25">
        <f>""</f>
        <v/>
      </c>
    </row>
    <row r="26">
      <c r="D26">
        <f>"| Month | Revenue | EBITDA | Net Income | Ending Cash |"</f>
        <v/>
      </c>
    </row>
    <row r="27">
      <c r="D27">
        <f>"|---|---|---|---|---|"</f>
        <v/>
      </c>
    </row>
    <row r="28">
      <c r="D28">
        <f>IF(Model!C4=0,"","| "&amp;Model!C1&amp;" | "&amp;IF(Model!C18&lt;0,"-","")&amp;Effective!$B$20&amp;IF(Effective!$B$21="indian",TEXT(IF(MOD(ABS(Model!C18),1)=0.5,2*ROUND(ABS(Model!C18)/2,0),ROUND(ABS(Model!C18),0)),"[&gt;=10000000]##\,##\,##\,##0;[&gt;=100000]##\,##\,##0;##,##0"),TEXT(IF(MOD(ABS(Model!C18),1)=0.5,2*ROUND(ABS(Model!C18)/2,0),ROUND(ABS(Model!C18),0)),"#,##0"))&amp;" | "&amp;IF(Model!C45&lt;0,"-","")&amp;Effective!$B$20&amp;IF(Effective!$B$21="indian",TEXT(IF(MOD(ABS(Model!C45),1)=0.5,2*ROUND(ABS(Model!C45)/2,0),ROUND(ABS(Model!C45),0)),"[&gt;=10000000]##\,##\,##\,##0;[&gt;=100000]##\,##\,##0;##,##0"),TEXT(IF(MOD(ABS(Model!C45),1)=0.5,2*ROUND(ABS(Model!C45)/2,0),ROUND(ABS(Model!C45),0)),"#,##0"))&amp;" | "&amp;IF(Model!C70&lt;0,"-","")&amp;Effective!$B$20&amp;IF(Effective!$B$21="indian",TEXT(IF(MOD(ABS(Model!C70),1)=0.5,2*ROUND(ABS(Model!C70)/2,0),ROUND(ABS(Model!C70),0)),"[&gt;=10000000]##\,##\,##\,##0;[&gt;=100000]##\,##\,##0;##,##0"),TEXT(IF(MOD(ABS(Model!C70),1)=0.5,2*ROUND(ABS(Model!C70)/2,0),ROUND(ABS(Model!C70),0)),"#,##0"))&amp;" | "&amp;IF(Model!C79&lt;0,"-","")&amp;Effective!$B$20&amp;IF(Effective!$B$21="indian",TEXT(IF(MOD(ABS(Model!C79),1)=0.5,2*ROUND(ABS(Model!C79)/2,0),ROUND(ABS(Model!C79),0)),"[&gt;=10000000]##\,##\,##\,##0;[&gt;=100000]##\,##\,##0;##,##0"),TEXT(IF(MOD(ABS(Model!C79),1)=0.5,2*ROUND(ABS(Model!C79)/2,0),ROUND(ABS(Model!C79),0)),"#,##0"))&amp;" |")</f>
        <v/>
      </c>
    </row>
    <row r="29">
      <c r="D29">
        <f>IF(Model!D4=0,"","| "&amp;Model!D1&amp;" | "&amp;IF(Model!D18&lt;0,"-","")&amp;Effective!$B$20&amp;IF(Effective!$B$21="indian",TEXT(IF(MOD(ABS(Model!D18),1)=0.5,2*ROUND(ABS(Model!D18)/2,0),ROUND(ABS(Model!D18),0)),"[&gt;=10000000]##\,##\,##\,##0;[&gt;=100000]##\,##\,##0;##,##0"),TEXT(IF(MOD(ABS(Model!D18),1)=0.5,2*ROUND(ABS(Model!D18)/2,0),ROUND(ABS(Model!D18),0)),"#,##0"))&amp;" | "&amp;IF(Model!D45&lt;0,"-","")&amp;Effective!$B$20&amp;IF(Effective!$B$21="indian",TEXT(IF(MOD(ABS(Model!D45),1)=0.5,2*ROUND(ABS(Model!D45)/2,0),ROUND(ABS(Model!D45),0)),"[&gt;=10000000]##\,##\,##\,##0;[&gt;=100000]##\,##\,##0;##,##0"),TEXT(IF(MOD(ABS(Model!D45),1)=0.5,2*ROUND(ABS(Model!D45)/2,0),ROUND(ABS(Model!D45),0)),"#,##0"))&amp;" | "&amp;IF(Model!D70&lt;0,"-","")&amp;Effective!$B$20&amp;IF(Effective!$B$21="indian",TEXT(IF(MOD(ABS(Model!D70),1)=0.5,2*ROUND(ABS(Model!D70)/2,0),ROUND(ABS(Model!D70),0)),"[&gt;=10000000]##\,##\,##\,##0;[&gt;=100000]##\,##\,##0;##,##0"),TEXT(IF(MOD(ABS(Model!D70),1)=0.5,2*ROUND(ABS(Model!D70)/2,0),ROUND(ABS(Model!D70),0)),"#,##0"))&amp;" | "&amp;IF(Model!D79&lt;0,"-","")&amp;Effective!$B$20&amp;IF(Effective!$B$21="indian",TEXT(IF(MOD(ABS(Model!D79),1)=0.5,2*ROUND(ABS(Model!D79)/2,0),ROUND(ABS(Model!D79),0)),"[&gt;=10000000]##\,##\,##\,##0;[&gt;=100000]##\,##\,##0;##,##0"),TEXT(IF(MOD(ABS(Model!D79),1)=0.5,2*ROUND(ABS(Model!D79)/2,0),ROUND(ABS(Model!D79),0)),"#,##0"))&amp;" |")</f>
        <v/>
      </c>
    </row>
    <row r="30">
      <c r="D30">
        <f>IF(Model!E4=0,"","| "&amp;Model!E1&amp;" | "&amp;IF(Model!E18&lt;0,"-","")&amp;Effective!$B$20&amp;IF(Effective!$B$21="indian",TEXT(IF(MOD(ABS(Model!E18),1)=0.5,2*ROUND(ABS(Model!E18)/2,0),ROUND(ABS(Model!E18),0)),"[&gt;=10000000]##\,##\,##\,##0;[&gt;=100000]##\,##\,##0;##,##0"),TEXT(IF(MOD(ABS(Model!E18),1)=0.5,2*ROUND(ABS(Model!E18)/2,0),ROUND(ABS(Model!E18),0)),"#,##0"))&amp;" | "&amp;IF(Model!E45&lt;0,"-","")&amp;Effective!$B$20&amp;IF(Effective!$B$21="indian",TEXT(IF(MOD(ABS(Model!E45),1)=0.5,2*ROUND(ABS(Model!E45)/2,0),ROUND(ABS(Model!E45),0)),"[&gt;=10000000]##\,##\,##\,##0;[&gt;=100000]##\,##\,##0;##,##0"),TEXT(IF(MOD(ABS(Model!E45),1)=0.5,2*ROUND(ABS(Model!E45)/2,0),ROUND(ABS(Model!E45),0)),"#,##0"))&amp;" | "&amp;IF(Model!E70&lt;0,"-","")&amp;Effective!$B$20&amp;IF(Effective!$B$21="indian",TEXT(IF(MOD(ABS(Model!E70),1)=0.5,2*ROUND(ABS(Model!E70)/2,0),ROUND(ABS(Model!E70),0)),"[&gt;=10000000]##\,##\,##\,##0;[&gt;=100000]##\,##\,##0;##,##0"),TEXT(IF(MOD(ABS(Model!E70),1)=0.5,2*ROUND(ABS(Model!E70)/2,0),ROUND(ABS(Model!E70),0)),"#,##0"))&amp;" | "&amp;IF(Model!E79&lt;0,"-","")&amp;Effective!$B$20&amp;IF(Effective!$B$21="indian",TEXT(IF(MOD(ABS(Model!E79),1)=0.5,2*ROUND(ABS(Model!E79)/2,0),ROUND(ABS(Model!E79),0)),"[&gt;=10000000]##\,##\,##\,##0;[&gt;=100000]##\,##\,##0;##,##0"),TEXT(IF(MOD(ABS(Model!E79),1)=0.5,2*ROUND(ABS(Model!E79)/2,0),ROUND(ABS(Model!E79),0)),"#,##0"))&amp;" |")</f>
        <v/>
      </c>
    </row>
    <row r="31">
      <c r="D31">
        <f>IF(Model!F4=0,"","| "&amp;Model!F1&amp;" | "&amp;IF(Model!F18&lt;0,"-","")&amp;Effective!$B$20&amp;IF(Effective!$B$21="indian",TEXT(IF(MOD(ABS(Model!F18),1)=0.5,2*ROUND(ABS(Model!F18)/2,0),ROUND(ABS(Model!F18),0)),"[&gt;=10000000]##\,##\,##\,##0;[&gt;=100000]##\,##\,##0;##,##0"),TEXT(IF(MOD(ABS(Model!F18),1)=0.5,2*ROUND(ABS(Model!F18)/2,0),ROUND(ABS(Model!F18),0)),"#,##0"))&amp;" | "&amp;IF(Model!F45&lt;0,"-","")&amp;Effective!$B$20&amp;IF(Effective!$B$21="indian",TEXT(IF(MOD(ABS(Model!F45),1)=0.5,2*ROUND(ABS(Model!F45)/2,0),ROUND(ABS(Model!F45),0)),"[&gt;=10000000]##\,##\,##\,##0;[&gt;=100000]##\,##\,##0;##,##0"),TEXT(IF(MOD(ABS(Model!F45),1)=0.5,2*ROUND(ABS(Model!F45)/2,0),ROUND(ABS(Model!F45),0)),"#,##0"))&amp;" | "&amp;IF(Model!F70&lt;0,"-","")&amp;Effective!$B$20&amp;IF(Effective!$B$21="indian",TEXT(IF(MOD(ABS(Model!F70),1)=0.5,2*ROUND(ABS(Model!F70)/2,0),ROUND(ABS(Model!F70),0)),"[&gt;=10000000]##\,##\,##\,##0;[&gt;=100000]##\,##\,##0;##,##0"),TEXT(IF(MOD(ABS(Model!F70),1)=0.5,2*ROUND(ABS(Model!F70)/2,0),ROUND(ABS(Model!F70),0)),"#,##0"))&amp;" | "&amp;IF(Model!F79&lt;0,"-","")&amp;Effective!$B$20&amp;IF(Effective!$B$21="indian",TEXT(IF(MOD(ABS(Model!F79),1)=0.5,2*ROUND(ABS(Model!F79)/2,0),ROUND(ABS(Model!F79),0)),"[&gt;=10000000]##\,##\,##\,##0;[&gt;=100000]##\,##\,##0;##,##0"),TEXT(IF(MOD(ABS(Model!F79),1)=0.5,2*ROUND(ABS(Model!F79)/2,0),ROUND(ABS(Model!F79),0)),"#,##0"))&amp;" |")</f>
        <v/>
      </c>
    </row>
    <row r="32">
      <c r="D32">
        <f>IF(Model!G4=0,"","| "&amp;Model!G1&amp;" | "&amp;IF(Model!G18&lt;0,"-","")&amp;Effective!$B$20&amp;IF(Effective!$B$21="indian",TEXT(IF(MOD(ABS(Model!G18),1)=0.5,2*ROUND(ABS(Model!G18)/2,0),ROUND(ABS(Model!G18),0)),"[&gt;=10000000]##\,##\,##\,##0;[&gt;=100000]##\,##\,##0;##,##0"),TEXT(IF(MOD(ABS(Model!G18),1)=0.5,2*ROUND(ABS(Model!G18)/2,0),ROUND(ABS(Model!G18),0)),"#,##0"))&amp;" | "&amp;IF(Model!G45&lt;0,"-","")&amp;Effective!$B$20&amp;IF(Effective!$B$21="indian",TEXT(IF(MOD(ABS(Model!G45),1)=0.5,2*ROUND(ABS(Model!G45)/2,0),ROUND(ABS(Model!G45),0)),"[&gt;=10000000]##\,##\,##\,##0;[&gt;=100000]##\,##\,##0;##,##0"),TEXT(IF(MOD(ABS(Model!G45),1)=0.5,2*ROUND(ABS(Model!G45)/2,0),ROUND(ABS(Model!G45),0)),"#,##0"))&amp;" | "&amp;IF(Model!G70&lt;0,"-","")&amp;Effective!$B$20&amp;IF(Effective!$B$21="indian",TEXT(IF(MOD(ABS(Model!G70),1)=0.5,2*ROUND(ABS(Model!G70)/2,0),ROUND(ABS(Model!G70),0)),"[&gt;=10000000]##\,##\,##\,##0;[&gt;=100000]##\,##\,##0;##,##0"),TEXT(IF(MOD(ABS(Model!G70),1)=0.5,2*ROUND(ABS(Model!G70)/2,0),ROUND(ABS(Model!G70),0)),"#,##0"))&amp;" | "&amp;IF(Model!G79&lt;0,"-","")&amp;Effective!$B$20&amp;IF(Effective!$B$21="indian",TEXT(IF(MOD(ABS(Model!G79),1)=0.5,2*ROUND(ABS(Model!G79)/2,0),ROUND(ABS(Model!G79),0)),"[&gt;=10000000]##\,##\,##\,##0;[&gt;=100000]##\,##\,##0;##,##0"),TEXT(IF(MOD(ABS(Model!G79),1)=0.5,2*ROUND(ABS(Model!G79)/2,0),ROUND(ABS(Model!G79),0)),"#,##0"))&amp;" |")</f>
        <v/>
      </c>
    </row>
    <row r="33">
      <c r="D33">
        <f>IF(Model!H4=0,"","| "&amp;Model!H1&amp;" | "&amp;IF(Model!H18&lt;0,"-","")&amp;Effective!$B$20&amp;IF(Effective!$B$21="indian",TEXT(IF(MOD(ABS(Model!H18),1)=0.5,2*ROUND(ABS(Model!H18)/2,0),ROUND(ABS(Model!H18),0)),"[&gt;=10000000]##\,##\,##\,##0;[&gt;=100000]##\,##\,##0;##,##0"),TEXT(IF(MOD(ABS(Model!H18),1)=0.5,2*ROUND(ABS(Model!H18)/2,0),ROUND(ABS(Model!H18),0)),"#,##0"))&amp;" | "&amp;IF(Model!H45&lt;0,"-","")&amp;Effective!$B$20&amp;IF(Effective!$B$21="indian",TEXT(IF(MOD(ABS(Model!H45),1)=0.5,2*ROUND(ABS(Model!H45)/2,0),ROUND(ABS(Model!H45),0)),"[&gt;=10000000]##\,##\,##\,##0;[&gt;=100000]##\,##\,##0;##,##0"),TEXT(IF(MOD(ABS(Model!H45),1)=0.5,2*ROUND(ABS(Model!H45)/2,0),ROUND(ABS(Model!H45),0)),"#,##0"))&amp;" | "&amp;IF(Model!H70&lt;0,"-","")&amp;Effective!$B$20&amp;IF(Effective!$B$21="indian",TEXT(IF(MOD(ABS(Model!H70),1)=0.5,2*ROUND(ABS(Model!H70)/2,0),ROUND(ABS(Model!H70),0)),"[&gt;=10000000]##\,##\,##\,##0;[&gt;=100000]##\,##\,##0;##,##0"),TEXT(IF(MOD(ABS(Model!H70),1)=0.5,2*ROUND(ABS(Model!H70)/2,0),ROUND(ABS(Model!H70),0)),"#,##0"))&amp;" | "&amp;IF(Model!H79&lt;0,"-","")&amp;Effective!$B$20&amp;IF(Effective!$B$21="indian",TEXT(IF(MOD(ABS(Model!H79),1)=0.5,2*ROUND(ABS(Model!H79)/2,0),ROUND(ABS(Model!H79),0)),"[&gt;=10000000]##\,##\,##\,##0;[&gt;=100000]##\,##\,##0;##,##0"),TEXT(IF(MOD(ABS(Model!H79),1)=0.5,2*ROUND(ABS(Model!H79)/2,0),ROUND(ABS(Model!H79),0)),"#,##0"))&amp;" |")</f>
        <v/>
      </c>
    </row>
    <row r="34">
      <c r="D34">
        <f>IF(Model!I4=0,"","| "&amp;Model!I1&amp;" | "&amp;IF(Model!I18&lt;0,"-","")&amp;Effective!$B$20&amp;IF(Effective!$B$21="indian",TEXT(IF(MOD(ABS(Model!I18),1)=0.5,2*ROUND(ABS(Model!I18)/2,0),ROUND(ABS(Model!I18),0)),"[&gt;=10000000]##\,##\,##\,##0;[&gt;=100000]##\,##\,##0;##,##0"),TEXT(IF(MOD(ABS(Model!I18),1)=0.5,2*ROUND(ABS(Model!I18)/2,0),ROUND(ABS(Model!I18),0)),"#,##0"))&amp;" | "&amp;IF(Model!I45&lt;0,"-","")&amp;Effective!$B$20&amp;IF(Effective!$B$21="indian",TEXT(IF(MOD(ABS(Model!I45),1)=0.5,2*ROUND(ABS(Model!I45)/2,0),ROUND(ABS(Model!I45),0)),"[&gt;=10000000]##\,##\,##\,##0;[&gt;=100000]##\,##\,##0;##,##0"),TEXT(IF(MOD(ABS(Model!I45),1)=0.5,2*ROUND(ABS(Model!I45)/2,0),ROUND(ABS(Model!I45),0)),"#,##0"))&amp;" | "&amp;IF(Model!I70&lt;0,"-","")&amp;Effective!$B$20&amp;IF(Effective!$B$21="indian",TEXT(IF(MOD(ABS(Model!I70),1)=0.5,2*ROUND(ABS(Model!I70)/2,0),ROUND(ABS(Model!I70),0)),"[&gt;=10000000]##\,##\,##\,##0;[&gt;=100000]##\,##\,##0;##,##0"),TEXT(IF(MOD(ABS(Model!I70),1)=0.5,2*ROUND(ABS(Model!I70)/2,0),ROUND(ABS(Model!I70),0)),"#,##0"))&amp;" | "&amp;IF(Model!I79&lt;0,"-","")&amp;Effective!$B$20&amp;IF(Effective!$B$21="indian",TEXT(IF(MOD(ABS(Model!I79),1)=0.5,2*ROUND(ABS(Model!I79)/2,0),ROUND(ABS(Model!I79),0)),"[&gt;=10000000]##\,##\,##\,##0;[&gt;=100000]##\,##\,##0;##,##0"),TEXT(IF(MOD(ABS(Model!I79),1)=0.5,2*ROUND(ABS(Model!I79)/2,0),ROUND(ABS(Model!I79),0)),"#,##0"))&amp;" |")</f>
        <v/>
      </c>
    </row>
    <row r="35">
      <c r="D35">
        <f>IF(Model!J4=0,"","| "&amp;Model!J1&amp;" | "&amp;IF(Model!J18&lt;0,"-","")&amp;Effective!$B$20&amp;IF(Effective!$B$21="indian",TEXT(IF(MOD(ABS(Model!J18),1)=0.5,2*ROUND(ABS(Model!J18)/2,0),ROUND(ABS(Model!J18),0)),"[&gt;=10000000]##\,##\,##\,##0;[&gt;=100000]##\,##\,##0;##,##0"),TEXT(IF(MOD(ABS(Model!J18),1)=0.5,2*ROUND(ABS(Model!J18)/2,0),ROUND(ABS(Model!J18),0)),"#,##0"))&amp;" | "&amp;IF(Model!J45&lt;0,"-","")&amp;Effective!$B$20&amp;IF(Effective!$B$21="indian",TEXT(IF(MOD(ABS(Model!J45),1)=0.5,2*ROUND(ABS(Model!J45)/2,0),ROUND(ABS(Model!J45),0)),"[&gt;=10000000]##\,##\,##\,##0;[&gt;=100000]##\,##\,##0;##,##0"),TEXT(IF(MOD(ABS(Model!J45),1)=0.5,2*ROUND(ABS(Model!J45)/2,0),ROUND(ABS(Model!J45),0)),"#,##0"))&amp;" | "&amp;IF(Model!J70&lt;0,"-","")&amp;Effective!$B$20&amp;IF(Effective!$B$21="indian",TEXT(IF(MOD(ABS(Model!J70),1)=0.5,2*ROUND(ABS(Model!J70)/2,0),ROUND(ABS(Model!J70),0)),"[&gt;=10000000]##\,##\,##\,##0;[&gt;=100000]##\,##\,##0;##,##0"),TEXT(IF(MOD(ABS(Model!J70),1)=0.5,2*ROUND(ABS(Model!J70)/2,0),ROUND(ABS(Model!J70),0)),"#,##0"))&amp;" | "&amp;IF(Model!J79&lt;0,"-","")&amp;Effective!$B$20&amp;IF(Effective!$B$21="indian",TEXT(IF(MOD(ABS(Model!J79),1)=0.5,2*ROUND(ABS(Model!J79)/2,0),ROUND(ABS(Model!J79),0)),"[&gt;=10000000]##\,##\,##\,##0;[&gt;=100000]##\,##\,##0;##,##0"),TEXT(IF(MOD(ABS(Model!J79),1)=0.5,2*ROUND(ABS(Model!J79)/2,0),ROUND(ABS(Model!J79),0)),"#,##0"))&amp;" |")</f>
        <v/>
      </c>
    </row>
    <row r="36">
      <c r="D36">
        <f>IF(Model!K4=0,"","| "&amp;Model!K1&amp;" | "&amp;IF(Model!K18&lt;0,"-","")&amp;Effective!$B$20&amp;IF(Effective!$B$21="indian",TEXT(IF(MOD(ABS(Model!K18),1)=0.5,2*ROUND(ABS(Model!K18)/2,0),ROUND(ABS(Model!K18),0)),"[&gt;=10000000]##\,##\,##\,##0;[&gt;=100000]##\,##\,##0;##,##0"),TEXT(IF(MOD(ABS(Model!K18),1)=0.5,2*ROUND(ABS(Model!K18)/2,0),ROUND(ABS(Model!K18),0)),"#,##0"))&amp;" | "&amp;IF(Model!K45&lt;0,"-","")&amp;Effective!$B$20&amp;IF(Effective!$B$21="indian",TEXT(IF(MOD(ABS(Model!K45),1)=0.5,2*ROUND(ABS(Model!K45)/2,0),ROUND(ABS(Model!K45),0)),"[&gt;=10000000]##\,##\,##\,##0;[&gt;=100000]##\,##\,##0;##,##0"),TEXT(IF(MOD(ABS(Model!K45),1)=0.5,2*ROUND(ABS(Model!K45)/2,0),ROUND(ABS(Model!K45),0)),"#,##0"))&amp;" | "&amp;IF(Model!K70&lt;0,"-","")&amp;Effective!$B$20&amp;IF(Effective!$B$21="indian",TEXT(IF(MOD(ABS(Model!K70),1)=0.5,2*ROUND(ABS(Model!K70)/2,0),ROUND(ABS(Model!K70),0)),"[&gt;=10000000]##\,##\,##\,##0;[&gt;=100000]##\,##\,##0;##,##0"),TEXT(IF(MOD(ABS(Model!K70),1)=0.5,2*ROUND(ABS(Model!K70)/2,0),ROUND(ABS(Model!K70),0)),"#,##0"))&amp;" | "&amp;IF(Model!K79&lt;0,"-","")&amp;Effective!$B$20&amp;IF(Effective!$B$21="indian",TEXT(IF(MOD(ABS(Model!K79),1)=0.5,2*ROUND(ABS(Model!K79)/2,0),ROUND(ABS(Model!K79),0)),"[&gt;=10000000]##\,##\,##\,##0;[&gt;=100000]##\,##\,##0;##,##0"),TEXT(IF(MOD(ABS(Model!K79),1)=0.5,2*ROUND(ABS(Model!K79)/2,0),ROUND(ABS(Model!K79),0)),"#,##0"))&amp;" |")</f>
        <v/>
      </c>
    </row>
    <row r="37">
      <c r="D37">
        <f>IF(Model!L4=0,"","| "&amp;Model!L1&amp;" | "&amp;IF(Model!L18&lt;0,"-","")&amp;Effective!$B$20&amp;IF(Effective!$B$21="indian",TEXT(IF(MOD(ABS(Model!L18),1)=0.5,2*ROUND(ABS(Model!L18)/2,0),ROUND(ABS(Model!L18),0)),"[&gt;=10000000]##\,##\,##\,##0;[&gt;=100000]##\,##\,##0;##,##0"),TEXT(IF(MOD(ABS(Model!L18),1)=0.5,2*ROUND(ABS(Model!L18)/2,0),ROUND(ABS(Model!L18),0)),"#,##0"))&amp;" | "&amp;IF(Model!L45&lt;0,"-","")&amp;Effective!$B$20&amp;IF(Effective!$B$21="indian",TEXT(IF(MOD(ABS(Model!L45),1)=0.5,2*ROUND(ABS(Model!L45)/2,0),ROUND(ABS(Model!L45),0)),"[&gt;=10000000]##\,##\,##\,##0;[&gt;=100000]##\,##\,##0;##,##0"),TEXT(IF(MOD(ABS(Model!L45),1)=0.5,2*ROUND(ABS(Model!L45)/2,0),ROUND(ABS(Model!L45),0)),"#,##0"))&amp;" | "&amp;IF(Model!L70&lt;0,"-","")&amp;Effective!$B$20&amp;IF(Effective!$B$21="indian",TEXT(IF(MOD(ABS(Model!L70),1)=0.5,2*ROUND(ABS(Model!L70)/2,0),ROUND(ABS(Model!L70),0)),"[&gt;=10000000]##\,##\,##\,##0;[&gt;=100000]##\,##\,##0;##,##0"),TEXT(IF(MOD(ABS(Model!L70),1)=0.5,2*ROUND(ABS(Model!L70)/2,0),ROUND(ABS(Model!L70),0)),"#,##0"))&amp;" | "&amp;IF(Model!L79&lt;0,"-","")&amp;Effective!$B$20&amp;IF(Effective!$B$21="indian",TEXT(IF(MOD(ABS(Model!L79),1)=0.5,2*ROUND(ABS(Model!L79)/2,0),ROUND(ABS(Model!L79),0)),"[&gt;=10000000]##\,##\,##\,##0;[&gt;=100000]##\,##\,##0;##,##0"),TEXT(IF(MOD(ABS(Model!L79),1)=0.5,2*ROUND(ABS(Model!L79)/2,0),ROUND(ABS(Model!L79),0)),"#,##0"))&amp;" |")</f>
        <v/>
      </c>
    </row>
    <row r="38">
      <c r="D38">
        <f>IF(Model!M4=0,"","| "&amp;Model!M1&amp;" | "&amp;IF(Model!M18&lt;0,"-","")&amp;Effective!$B$20&amp;IF(Effective!$B$21="indian",TEXT(IF(MOD(ABS(Model!M18),1)=0.5,2*ROUND(ABS(Model!M18)/2,0),ROUND(ABS(Model!M18),0)),"[&gt;=10000000]##\,##\,##\,##0;[&gt;=100000]##\,##\,##0;##,##0"),TEXT(IF(MOD(ABS(Model!M18),1)=0.5,2*ROUND(ABS(Model!M18)/2,0),ROUND(ABS(Model!M18),0)),"#,##0"))&amp;" | "&amp;IF(Model!M45&lt;0,"-","")&amp;Effective!$B$20&amp;IF(Effective!$B$21="indian",TEXT(IF(MOD(ABS(Model!M45),1)=0.5,2*ROUND(ABS(Model!M45)/2,0),ROUND(ABS(Model!M45),0)),"[&gt;=10000000]##\,##\,##\,##0;[&gt;=100000]##\,##\,##0;##,##0"),TEXT(IF(MOD(ABS(Model!M45),1)=0.5,2*ROUND(ABS(Model!M45)/2,0),ROUND(ABS(Model!M45),0)),"#,##0"))&amp;" | "&amp;IF(Model!M70&lt;0,"-","")&amp;Effective!$B$20&amp;IF(Effective!$B$21="indian",TEXT(IF(MOD(ABS(Model!M70),1)=0.5,2*ROUND(ABS(Model!M70)/2,0),ROUND(ABS(Model!M70),0)),"[&gt;=10000000]##\,##\,##\,##0;[&gt;=100000]##\,##\,##0;##,##0"),TEXT(IF(MOD(ABS(Model!M70),1)=0.5,2*ROUND(ABS(Model!M70)/2,0),ROUND(ABS(Model!M70),0)),"#,##0"))&amp;" | "&amp;IF(Model!M79&lt;0,"-","")&amp;Effective!$B$20&amp;IF(Effective!$B$21="indian",TEXT(IF(MOD(ABS(Model!M79),1)=0.5,2*ROUND(ABS(Model!M79)/2,0),ROUND(ABS(Model!M79),0)),"[&gt;=10000000]##\,##\,##\,##0;[&gt;=100000]##\,##\,##0;##,##0"),TEXT(IF(MOD(ABS(Model!M79),1)=0.5,2*ROUND(ABS(Model!M79)/2,0),ROUND(ABS(Model!M79),0)),"#,##0"))&amp;" |")</f>
        <v/>
      </c>
    </row>
    <row r="39">
      <c r="D39">
        <f>IF(Model!N4=0,"","| "&amp;Model!N1&amp;" | "&amp;IF(Model!N18&lt;0,"-","")&amp;Effective!$B$20&amp;IF(Effective!$B$21="indian",TEXT(IF(MOD(ABS(Model!N18),1)=0.5,2*ROUND(ABS(Model!N18)/2,0),ROUND(ABS(Model!N18),0)),"[&gt;=10000000]##\,##\,##\,##0;[&gt;=100000]##\,##\,##0;##,##0"),TEXT(IF(MOD(ABS(Model!N18),1)=0.5,2*ROUND(ABS(Model!N18)/2,0),ROUND(ABS(Model!N18),0)),"#,##0"))&amp;" | "&amp;IF(Model!N45&lt;0,"-","")&amp;Effective!$B$20&amp;IF(Effective!$B$21="indian",TEXT(IF(MOD(ABS(Model!N45),1)=0.5,2*ROUND(ABS(Model!N45)/2,0),ROUND(ABS(Model!N45),0)),"[&gt;=10000000]##\,##\,##\,##0;[&gt;=100000]##\,##\,##0;##,##0"),TEXT(IF(MOD(ABS(Model!N45),1)=0.5,2*ROUND(ABS(Model!N45)/2,0),ROUND(ABS(Model!N45),0)),"#,##0"))&amp;" | "&amp;IF(Model!N70&lt;0,"-","")&amp;Effective!$B$20&amp;IF(Effective!$B$21="indian",TEXT(IF(MOD(ABS(Model!N70),1)=0.5,2*ROUND(ABS(Model!N70)/2,0),ROUND(ABS(Model!N70),0)),"[&gt;=10000000]##\,##\,##\,##0;[&gt;=100000]##\,##\,##0;##,##0"),TEXT(IF(MOD(ABS(Model!N70),1)=0.5,2*ROUND(ABS(Model!N70)/2,0),ROUND(ABS(Model!N70),0)),"#,##0"))&amp;" | "&amp;IF(Model!N79&lt;0,"-","")&amp;Effective!$B$20&amp;IF(Effective!$B$21="indian",TEXT(IF(MOD(ABS(Model!N79),1)=0.5,2*ROUND(ABS(Model!N79)/2,0),ROUND(ABS(Model!N79),0)),"[&gt;=10000000]##\,##\,##\,##0;[&gt;=100000]##\,##\,##0;##,##0"),TEXT(IF(MOD(ABS(Model!N79),1)=0.5,2*ROUND(ABS(Model!N79)/2,0),ROUND(ABS(Model!N79),0)),"#,##0"))&amp;" |")</f>
        <v/>
      </c>
    </row>
    <row r="40">
      <c r="D40">
        <f>IF(Model!O4=0,"","| "&amp;Model!O1&amp;" | "&amp;IF(Model!O18&lt;0,"-","")&amp;Effective!$B$20&amp;IF(Effective!$B$21="indian",TEXT(IF(MOD(ABS(Model!O18),1)=0.5,2*ROUND(ABS(Model!O18)/2,0),ROUND(ABS(Model!O18),0)),"[&gt;=10000000]##\,##\,##\,##0;[&gt;=100000]##\,##\,##0;##,##0"),TEXT(IF(MOD(ABS(Model!O18),1)=0.5,2*ROUND(ABS(Model!O18)/2,0),ROUND(ABS(Model!O18),0)),"#,##0"))&amp;" | "&amp;IF(Model!O45&lt;0,"-","")&amp;Effective!$B$20&amp;IF(Effective!$B$21="indian",TEXT(IF(MOD(ABS(Model!O45),1)=0.5,2*ROUND(ABS(Model!O45)/2,0),ROUND(ABS(Model!O45),0)),"[&gt;=10000000]##\,##\,##\,##0;[&gt;=100000]##\,##\,##0;##,##0"),TEXT(IF(MOD(ABS(Model!O45),1)=0.5,2*ROUND(ABS(Model!O45)/2,0),ROUND(ABS(Model!O45),0)),"#,##0"))&amp;" | "&amp;IF(Model!O70&lt;0,"-","")&amp;Effective!$B$20&amp;IF(Effective!$B$21="indian",TEXT(IF(MOD(ABS(Model!O70),1)=0.5,2*ROUND(ABS(Model!O70)/2,0),ROUND(ABS(Model!O70),0)),"[&gt;=10000000]##\,##\,##\,##0;[&gt;=100000]##\,##\,##0;##,##0"),TEXT(IF(MOD(ABS(Model!O70),1)=0.5,2*ROUND(ABS(Model!O70)/2,0),ROUND(ABS(Model!O70),0)),"#,##0"))&amp;" | "&amp;IF(Model!O79&lt;0,"-","")&amp;Effective!$B$20&amp;IF(Effective!$B$21="indian",TEXT(IF(MOD(ABS(Model!O79),1)=0.5,2*ROUND(ABS(Model!O79)/2,0),ROUND(ABS(Model!O79),0)),"[&gt;=10000000]##\,##\,##\,##0;[&gt;=100000]##\,##\,##0;##,##0"),TEXT(IF(MOD(ABS(Model!O79),1)=0.5,2*ROUND(ABS(Model!O79)/2,0),ROUND(ABS(Model!O79),0)),"#,##0"))&amp;" |")</f>
        <v/>
      </c>
    </row>
    <row r="41">
      <c r="D41">
        <f>IF(Model!P4=0,"","| "&amp;Model!P1&amp;" | "&amp;IF(Model!P18&lt;0,"-","")&amp;Effective!$B$20&amp;IF(Effective!$B$21="indian",TEXT(IF(MOD(ABS(Model!P18),1)=0.5,2*ROUND(ABS(Model!P18)/2,0),ROUND(ABS(Model!P18),0)),"[&gt;=10000000]##\,##\,##\,##0;[&gt;=100000]##\,##\,##0;##,##0"),TEXT(IF(MOD(ABS(Model!P18),1)=0.5,2*ROUND(ABS(Model!P18)/2,0),ROUND(ABS(Model!P18),0)),"#,##0"))&amp;" | "&amp;IF(Model!P45&lt;0,"-","")&amp;Effective!$B$20&amp;IF(Effective!$B$21="indian",TEXT(IF(MOD(ABS(Model!P45),1)=0.5,2*ROUND(ABS(Model!P45)/2,0),ROUND(ABS(Model!P45),0)),"[&gt;=10000000]##\,##\,##\,##0;[&gt;=100000]##\,##\,##0;##,##0"),TEXT(IF(MOD(ABS(Model!P45),1)=0.5,2*ROUND(ABS(Model!P45)/2,0),ROUND(ABS(Model!P45),0)),"#,##0"))&amp;" | "&amp;IF(Model!P70&lt;0,"-","")&amp;Effective!$B$20&amp;IF(Effective!$B$21="indian",TEXT(IF(MOD(ABS(Model!P70),1)=0.5,2*ROUND(ABS(Model!P70)/2,0),ROUND(ABS(Model!P70),0)),"[&gt;=10000000]##\,##\,##\,##0;[&gt;=100000]##\,##\,##0;##,##0"),TEXT(IF(MOD(ABS(Model!P70),1)=0.5,2*ROUND(ABS(Model!P70)/2,0),ROUND(ABS(Model!P70),0)),"#,##0"))&amp;" | "&amp;IF(Model!P79&lt;0,"-","")&amp;Effective!$B$20&amp;IF(Effective!$B$21="indian",TEXT(IF(MOD(ABS(Model!P79),1)=0.5,2*ROUND(ABS(Model!P79)/2,0),ROUND(ABS(Model!P79),0)),"[&gt;=10000000]##\,##\,##\,##0;[&gt;=100000]##\,##\,##0;##,##0"),TEXT(IF(MOD(ABS(Model!P79),1)=0.5,2*ROUND(ABS(Model!P79)/2,0),ROUND(ABS(Model!P79),0)),"#,##0"))&amp;" |")</f>
        <v/>
      </c>
    </row>
    <row r="42">
      <c r="D42">
        <f>IF(Model!Q4=0,"","| "&amp;Model!Q1&amp;" | "&amp;IF(Model!Q18&lt;0,"-","")&amp;Effective!$B$20&amp;IF(Effective!$B$21="indian",TEXT(IF(MOD(ABS(Model!Q18),1)=0.5,2*ROUND(ABS(Model!Q18)/2,0),ROUND(ABS(Model!Q18),0)),"[&gt;=10000000]##\,##\,##\,##0;[&gt;=100000]##\,##\,##0;##,##0"),TEXT(IF(MOD(ABS(Model!Q18),1)=0.5,2*ROUND(ABS(Model!Q18)/2,0),ROUND(ABS(Model!Q18),0)),"#,##0"))&amp;" | "&amp;IF(Model!Q45&lt;0,"-","")&amp;Effective!$B$20&amp;IF(Effective!$B$21="indian",TEXT(IF(MOD(ABS(Model!Q45),1)=0.5,2*ROUND(ABS(Model!Q45)/2,0),ROUND(ABS(Model!Q45),0)),"[&gt;=10000000]##\,##\,##\,##0;[&gt;=100000]##\,##\,##0;##,##0"),TEXT(IF(MOD(ABS(Model!Q45),1)=0.5,2*ROUND(ABS(Model!Q45)/2,0),ROUND(ABS(Model!Q45),0)),"#,##0"))&amp;" | "&amp;IF(Model!Q70&lt;0,"-","")&amp;Effective!$B$20&amp;IF(Effective!$B$21="indian",TEXT(IF(MOD(ABS(Model!Q70),1)=0.5,2*ROUND(ABS(Model!Q70)/2,0),ROUND(ABS(Model!Q70),0)),"[&gt;=10000000]##\,##\,##\,##0;[&gt;=100000]##\,##\,##0;##,##0"),TEXT(IF(MOD(ABS(Model!Q70),1)=0.5,2*ROUND(ABS(Model!Q70)/2,0),ROUND(ABS(Model!Q70),0)),"#,##0"))&amp;" | "&amp;IF(Model!Q79&lt;0,"-","")&amp;Effective!$B$20&amp;IF(Effective!$B$21="indian",TEXT(IF(MOD(ABS(Model!Q79),1)=0.5,2*ROUND(ABS(Model!Q79)/2,0),ROUND(ABS(Model!Q79),0)),"[&gt;=10000000]##\,##\,##\,##0;[&gt;=100000]##\,##\,##0;##,##0"),TEXT(IF(MOD(ABS(Model!Q79),1)=0.5,2*ROUND(ABS(Model!Q79)/2,0),ROUND(ABS(Model!Q79),0)),"#,##0"))&amp;" |")</f>
        <v/>
      </c>
    </row>
    <row r="43">
      <c r="D43">
        <f>IF(Model!R4=0,"","| "&amp;Model!R1&amp;" | "&amp;IF(Model!R18&lt;0,"-","")&amp;Effective!$B$20&amp;IF(Effective!$B$21="indian",TEXT(IF(MOD(ABS(Model!R18),1)=0.5,2*ROUND(ABS(Model!R18)/2,0),ROUND(ABS(Model!R18),0)),"[&gt;=10000000]##\,##\,##\,##0;[&gt;=100000]##\,##\,##0;##,##0"),TEXT(IF(MOD(ABS(Model!R18),1)=0.5,2*ROUND(ABS(Model!R18)/2,0),ROUND(ABS(Model!R18),0)),"#,##0"))&amp;" | "&amp;IF(Model!R45&lt;0,"-","")&amp;Effective!$B$20&amp;IF(Effective!$B$21="indian",TEXT(IF(MOD(ABS(Model!R45),1)=0.5,2*ROUND(ABS(Model!R45)/2,0),ROUND(ABS(Model!R45),0)),"[&gt;=10000000]##\,##\,##\,##0;[&gt;=100000]##\,##\,##0;##,##0"),TEXT(IF(MOD(ABS(Model!R45),1)=0.5,2*ROUND(ABS(Model!R45)/2,0),ROUND(ABS(Model!R45),0)),"#,##0"))&amp;" | "&amp;IF(Model!R70&lt;0,"-","")&amp;Effective!$B$20&amp;IF(Effective!$B$21="indian",TEXT(IF(MOD(ABS(Model!R70),1)=0.5,2*ROUND(ABS(Model!R70)/2,0),ROUND(ABS(Model!R70),0)),"[&gt;=10000000]##\,##\,##\,##0;[&gt;=100000]##\,##\,##0;##,##0"),TEXT(IF(MOD(ABS(Model!R70),1)=0.5,2*ROUND(ABS(Model!R70)/2,0),ROUND(ABS(Model!R70),0)),"#,##0"))&amp;" | "&amp;IF(Model!R79&lt;0,"-","")&amp;Effective!$B$20&amp;IF(Effective!$B$21="indian",TEXT(IF(MOD(ABS(Model!R79),1)=0.5,2*ROUND(ABS(Model!R79)/2,0),ROUND(ABS(Model!R79),0)),"[&gt;=10000000]##\,##\,##\,##0;[&gt;=100000]##\,##\,##0;##,##0"),TEXT(IF(MOD(ABS(Model!R79),1)=0.5,2*ROUND(ABS(Model!R79)/2,0),ROUND(ABS(Model!R79),0)),"#,##0"))&amp;" |")</f>
        <v/>
      </c>
    </row>
    <row r="44">
      <c r="D44">
        <f>IF(Model!S4=0,"","| "&amp;Model!S1&amp;" | "&amp;IF(Model!S18&lt;0,"-","")&amp;Effective!$B$20&amp;IF(Effective!$B$21="indian",TEXT(IF(MOD(ABS(Model!S18),1)=0.5,2*ROUND(ABS(Model!S18)/2,0),ROUND(ABS(Model!S18),0)),"[&gt;=10000000]##\,##\,##\,##0;[&gt;=100000]##\,##\,##0;##,##0"),TEXT(IF(MOD(ABS(Model!S18),1)=0.5,2*ROUND(ABS(Model!S18)/2,0),ROUND(ABS(Model!S18),0)),"#,##0"))&amp;" | "&amp;IF(Model!S45&lt;0,"-","")&amp;Effective!$B$20&amp;IF(Effective!$B$21="indian",TEXT(IF(MOD(ABS(Model!S45),1)=0.5,2*ROUND(ABS(Model!S45)/2,0),ROUND(ABS(Model!S45),0)),"[&gt;=10000000]##\,##\,##\,##0;[&gt;=100000]##\,##\,##0;##,##0"),TEXT(IF(MOD(ABS(Model!S45),1)=0.5,2*ROUND(ABS(Model!S45)/2,0),ROUND(ABS(Model!S45),0)),"#,##0"))&amp;" | "&amp;IF(Model!S70&lt;0,"-","")&amp;Effective!$B$20&amp;IF(Effective!$B$21="indian",TEXT(IF(MOD(ABS(Model!S70),1)=0.5,2*ROUND(ABS(Model!S70)/2,0),ROUND(ABS(Model!S70),0)),"[&gt;=10000000]##\,##\,##\,##0;[&gt;=100000]##\,##\,##0;##,##0"),TEXT(IF(MOD(ABS(Model!S70),1)=0.5,2*ROUND(ABS(Model!S70)/2,0),ROUND(ABS(Model!S70),0)),"#,##0"))&amp;" | "&amp;IF(Model!S79&lt;0,"-","")&amp;Effective!$B$20&amp;IF(Effective!$B$21="indian",TEXT(IF(MOD(ABS(Model!S79),1)=0.5,2*ROUND(ABS(Model!S79)/2,0),ROUND(ABS(Model!S79),0)),"[&gt;=10000000]##\,##\,##\,##0;[&gt;=100000]##\,##\,##0;##,##0"),TEXT(IF(MOD(ABS(Model!S79),1)=0.5,2*ROUND(ABS(Model!S79)/2,0),ROUND(ABS(Model!S79),0)),"#,##0"))&amp;" |")</f>
        <v/>
      </c>
    </row>
    <row r="45">
      <c r="D45">
        <f>IF(Model!T4=0,"","| "&amp;Model!T1&amp;" | "&amp;IF(Model!T18&lt;0,"-","")&amp;Effective!$B$20&amp;IF(Effective!$B$21="indian",TEXT(IF(MOD(ABS(Model!T18),1)=0.5,2*ROUND(ABS(Model!T18)/2,0),ROUND(ABS(Model!T18),0)),"[&gt;=10000000]##\,##\,##\,##0;[&gt;=100000]##\,##\,##0;##,##0"),TEXT(IF(MOD(ABS(Model!T18),1)=0.5,2*ROUND(ABS(Model!T18)/2,0),ROUND(ABS(Model!T18),0)),"#,##0"))&amp;" | "&amp;IF(Model!T45&lt;0,"-","")&amp;Effective!$B$20&amp;IF(Effective!$B$21="indian",TEXT(IF(MOD(ABS(Model!T45),1)=0.5,2*ROUND(ABS(Model!T45)/2,0),ROUND(ABS(Model!T45),0)),"[&gt;=10000000]##\,##\,##\,##0;[&gt;=100000]##\,##\,##0;##,##0"),TEXT(IF(MOD(ABS(Model!T45),1)=0.5,2*ROUND(ABS(Model!T45)/2,0),ROUND(ABS(Model!T45),0)),"#,##0"))&amp;" | "&amp;IF(Model!T70&lt;0,"-","")&amp;Effective!$B$20&amp;IF(Effective!$B$21="indian",TEXT(IF(MOD(ABS(Model!T70),1)=0.5,2*ROUND(ABS(Model!T70)/2,0),ROUND(ABS(Model!T70),0)),"[&gt;=10000000]##\,##\,##\,##0;[&gt;=100000]##\,##\,##0;##,##0"),TEXT(IF(MOD(ABS(Model!T70),1)=0.5,2*ROUND(ABS(Model!T70)/2,0),ROUND(ABS(Model!T70),0)),"#,##0"))&amp;" | "&amp;IF(Model!T79&lt;0,"-","")&amp;Effective!$B$20&amp;IF(Effective!$B$21="indian",TEXT(IF(MOD(ABS(Model!T79),1)=0.5,2*ROUND(ABS(Model!T79)/2,0),ROUND(ABS(Model!T79),0)),"[&gt;=10000000]##\,##\,##\,##0;[&gt;=100000]##\,##\,##0;##,##0"),TEXT(IF(MOD(ABS(Model!T79),1)=0.5,2*ROUND(ABS(Model!T79)/2,0),ROUND(ABS(Model!T79),0)),"#,##0"))&amp;" |")</f>
        <v/>
      </c>
    </row>
    <row r="46">
      <c r="D46">
        <f>IF(Model!U4=0,"","| "&amp;Model!U1&amp;" | "&amp;IF(Model!U18&lt;0,"-","")&amp;Effective!$B$20&amp;IF(Effective!$B$21="indian",TEXT(IF(MOD(ABS(Model!U18),1)=0.5,2*ROUND(ABS(Model!U18)/2,0),ROUND(ABS(Model!U18),0)),"[&gt;=10000000]##\,##\,##\,##0;[&gt;=100000]##\,##\,##0;##,##0"),TEXT(IF(MOD(ABS(Model!U18),1)=0.5,2*ROUND(ABS(Model!U18)/2,0),ROUND(ABS(Model!U18),0)),"#,##0"))&amp;" | "&amp;IF(Model!U45&lt;0,"-","")&amp;Effective!$B$20&amp;IF(Effective!$B$21="indian",TEXT(IF(MOD(ABS(Model!U45),1)=0.5,2*ROUND(ABS(Model!U45)/2,0),ROUND(ABS(Model!U45),0)),"[&gt;=10000000]##\,##\,##\,##0;[&gt;=100000]##\,##\,##0;##,##0"),TEXT(IF(MOD(ABS(Model!U45),1)=0.5,2*ROUND(ABS(Model!U45)/2,0),ROUND(ABS(Model!U45),0)),"#,##0"))&amp;" | "&amp;IF(Model!U70&lt;0,"-","")&amp;Effective!$B$20&amp;IF(Effective!$B$21="indian",TEXT(IF(MOD(ABS(Model!U70),1)=0.5,2*ROUND(ABS(Model!U70)/2,0),ROUND(ABS(Model!U70),0)),"[&gt;=10000000]##\,##\,##\,##0;[&gt;=100000]##\,##\,##0;##,##0"),TEXT(IF(MOD(ABS(Model!U70),1)=0.5,2*ROUND(ABS(Model!U70)/2,0),ROUND(ABS(Model!U70),0)),"#,##0"))&amp;" | "&amp;IF(Model!U79&lt;0,"-","")&amp;Effective!$B$20&amp;IF(Effective!$B$21="indian",TEXT(IF(MOD(ABS(Model!U79),1)=0.5,2*ROUND(ABS(Model!U79)/2,0),ROUND(ABS(Model!U79),0)),"[&gt;=10000000]##\,##\,##\,##0;[&gt;=100000]##\,##\,##0;##,##0"),TEXT(IF(MOD(ABS(Model!U79),1)=0.5,2*ROUND(ABS(Model!U79)/2,0),ROUND(ABS(Model!U79),0)),"#,##0"))&amp;" |")</f>
        <v/>
      </c>
    </row>
    <row r="47">
      <c r="D47">
        <f>IF(Model!V4=0,"","| "&amp;Model!V1&amp;" | "&amp;IF(Model!V18&lt;0,"-","")&amp;Effective!$B$20&amp;IF(Effective!$B$21="indian",TEXT(IF(MOD(ABS(Model!V18),1)=0.5,2*ROUND(ABS(Model!V18)/2,0),ROUND(ABS(Model!V18),0)),"[&gt;=10000000]##\,##\,##\,##0;[&gt;=100000]##\,##\,##0;##,##0"),TEXT(IF(MOD(ABS(Model!V18),1)=0.5,2*ROUND(ABS(Model!V18)/2,0),ROUND(ABS(Model!V18),0)),"#,##0"))&amp;" | "&amp;IF(Model!V45&lt;0,"-","")&amp;Effective!$B$20&amp;IF(Effective!$B$21="indian",TEXT(IF(MOD(ABS(Model!V45),1)=0.5,2*ROUND(ABS(Model!V45)/2,0),ROUND(ABS(Model!V45),0)),"[&gt;=10000000]##\,##\,##\,##0;[&gt;=100000]##\,##\,##0;##,##0"),TEXT(IF(MOD(ABS(Model!V45),1)=0.5,2*ROUND(ABS(Model!V45)/2,0),ROUND(ABS(Model!V45),0)),"#,##0"))&amp;" | "&amp;IF(Model!V70&lt;0,"-","")&amp;Effective!$B$20&amp;IF(Effective!$B$21="indian",TEXT(IF(MOD(ABS(Model!V70),1)=0.5,2*ROUND(ABS(Model!V70)/2,0),ROUND(ABS(Model!V70),0)),"[&gt;=10000000]##\,##\,##\,##0;[&gt;=100000]##\,##\,##0;##,##0"),TEXT(IF(MOD(ABS(Model!V70),1)=0.5,2*ROUND(ABS(Model!V70)/2,0),ROUND(ABS(Model!V70),0)),"#,##0"))&amp;" | "&amp;IF(Model!V79&lt;0,"-","")&amp;Effective!$B$20&amp;IF(Effective!$B$21="indian",TEXT(IF(MOD(ABS(Model!V79),1)=0.5,2*ROUND(ABS(Model!V79)/2,0),ROUND(ABS(Model!V79),0)),"[&gt;=10000000]##\,##\,##\,##0;[&gt;=100000]##\,##\,##0;##,##0"),TEXT(IF(MOD(ABS(Model!V79),1)=0.5,2*ROUND(ABS(Model!V79)/2,0),ROUND(ABS(Model!V79),0)),"#,##0"))&amp;" |")</f>
        <v/>
      </c>
    </row>
    <row r="48">
      <c r="D48">
        <f>IF(Model!W4=0,"","| "&amp;Model!W1&amp;" | "&amp;IF(Model!W18&lt;0,"-","")&amp;Effective!$B$20&amp;IF(Effective!$B$21="indian",TEXT(IF(MOD(ABS(Model!W18),1)=0.5,2*ROUND(ABS(Model!W18)/2,0),ROUND(ABS(Model!W18),0)),"[&gt;=10000000]##\,##\,##\,##0;[&gt;=100000]##\,##\,##0;##,##0"),TEXT(IF(MOD(ABS(Model!W18),1)=0.5,2*ROUND(ABS(Model!W18)/2,0),ROUND(ABS(Model!W18),0)),"#,##0"))&amp;" | "&amp;IF(Model!W45&lt;0,"-","")&amp;Effective!$B$20&amp;IF(Effective!$B$21="indian",TEXT(IF(MOD(ABS(Model!W45),1)=0.5,2*ROUND(ABS(Model!W45)/2,0),ROUND(ABS(Model!W45),0)),"[&gt;=10000000]##\,##\,##\,##0;[&gt;=100000]##\,##\,##0;##,##0"),TEXT(IF(MOD(ABS(Model!W45),1)=0.5,2*ROUND(ABS(Model!W45)/2,0),ROUND(ABS(Model!W45),0)),"#,##0"))&amp;" | "&amp;IF(Model!W70&lt;0,"-","")&amp;Effective!$B$20&amp;IF(Effective!$B$21="indian",TEXT(IF(MOD(ABS(Model!W70),1)=0.5,2*ROUND(ABS(Model!W70)/2,0),ROUND(ABS(Model!W70),0)),"[&gt;=10000000]##\,##\,##\,##0;[&gt;=100000]##\,##\,##0;##,##0"),TEXT(IF(MOD(ABS(Model!W70),1)=0.5,2*ROUND(ABS(Model!W70)/2,0),ROUND(ABS(Model!W70),0)),"#,##0"))&amp;" | "&amp;IF(Model!W79&lt;0,"-","")&amp;Effective!$B$20&amp;IF(Effective!$B$21="indian",TEXT(IF(MOD(ABS(Model!W79),1)=0.5,2*ROUND(ABS(Model!W79)/2,0),ROUND(ABS(Model!W79),0)),"[&gt;=10000000]##\,##\,##\,##0;[&gt;=100000]##\,##\,##0;##,##0"),TEXT(IF(MOD(ABS(Model!W79),1)=0.5,2*ROUND(ABS(Model!W79)/2,0),ROUND(ABS(Model!W79),0)),"#,##0"))&amp;" |")</f>
        <v/>
      </c>
    </row>
    <row r="49">
      <c r="D49">
        <f>IF(Model!X4=0,"","| "&amp;Model!X1&amp;" | "&amp;IF(Model!X18&lt;0,"-","")&amp;Effective!$B$20&amp;IF(Effective!$B$21="indian",TEXT(IF(MOD(ABS(Model!X18),1)=0.5,2*ROUND(ABS(Model!X18)/2,0),ROUND(ABS(Model!X18),0)),"[&gt;=10000000]##\,##\,##\,##0;[&gt;=100000]##\,##\,##0;##,##0"),TEXT(IF(MOD(ABS(Model!X18),1)=0.5,2*ROUND(ABS(Model!X18)/2,0),ROUND(ABS(Model!X18),0)),"#,##0"))&amp;" | "&amp;IF(Model!X45&lt;0,"-","")&amp;Effective!$B$20&amp;IF(Effective!$B$21="indian",TEXT(IF(MOD(ABS(Model!X45),1)=0.5,2*ROUND(ABS(Model!X45)/2,0),ROUND(ABS(Model!X45),0)),"[&gt;=10000000]##\,##\,##\,##0;[&gt;=100000]##\,##\,##0;##,##0"),TEXT(IF(MOD(ABS(Model!X45),1)=0.5,2*ROUND(ABS(Model!X45)/2,0),ROUND(ABS(Model!X45),0)),"#,##0"))&amp;" | "&amp;IF(Model!X70&lt;0,"-","")&amp;Effective!$B$20&amp;IF(Effective!$B$21="indian",TEXT(IF(MOD(ABS(Model!X70),1)=0.5,2*ROUND(ABS(Model!X70)/2,0),ROUND(ABS(Model!X70),0)),"[&gt;=10000000]##\,##\,##\,##0;[&gt;=100000]##\,##\,##0;##,##0"),TEXT(IF(MOD(ABS(Model!X70),1)=0.5,2*ROUND(ABS(Model!X70)/2,0),ROUND(ABS(Model!X70),0)),"#,##0"))&amp;" | "&amp;IF(Model!X79&lt;0,"-","")&amp;Effective!$B$20&amp;IF(Effective!$B$21="indian",TEXT(IF(MOD(ABS(Model!X79),1)=0.5,2*ROUND(ABS(Model!X79)/2,0),ROUND(ABS(Model!X79),0)),"[&gt;=10000000]##\,##\,##\,##0;[&gt;=100000]##\,##\,##0;##,##0"),TEXT(IF(MOD(ABS(Model!X79),1)=0.5,2*ROUND(ABS(Model!X79)/2,0),ROUND(ABS(Model!X79),0)),"#,##0"))&amp;" |")</f>
        <v/>
      </c>
    </row>
    <row r="50">
      <c r="D50">
        <f>IF(Model!Y4=0,"","| "&amp;Model!Y1&amp;" | "&amp;IF(Model!Y18&lt;0,"-","")&amp;Effective!$B$20&amp;IF(Effective!$B$21="indian",TEXT(IF(MOD(ABS(Model!Y18),1)=0.5,2*ROUND(ABS(Model!Y18)/2,0),ROUND(ABS(Model!Y18),0)),"[&gt;=10000000]##\,##\,##\,##0;[&gt;=100000]##\,##\,##0;##,##0"),TEXT(IF(MOD(ABS(Model!Y18),1)=0.5,2*ROUND(ABS(Model!Y18)/2,0),ROUND(ABS(Model!Y18),0)),"#,##0"))&amp;" | "&amp;IF(Model!Y45&lt;0,"-","")&amp;Effective!$B$20&amp;IF(Effective!$B$21="indian",TEXT(IF(MOD(ABS(Model!Y45),1)=0.5,2*ROUND(ABS(Model!Y45)/2,0),ROUND(ABS(Model!Y45),0)),"[&gt;=10000000]##\,##\,##\,##0;[&gt;=100000]##\,##\,##0;##,##0"),TEXT(IF(MOD(ABS(Model!Y45),1)=0.5,2*ROUND(ABS(Model!Y45)/2,0),ROUND(ABS(Model!Y45),0)),"#,##0"))&amp;" | "&amp;IF(Model!Y70&lt;0,"-","")&amp;Effective!$B$20&amp;IF(Effective!$B$21="indian",TEXT(IF(MOD(ABS(Model!Y70),1)=0.5,2*ROUND(ABS(Model!Y70)/2,0),ROUND(ABS(Model!Y70),0)),"[&gt;=10000000]##\,##\,##\,##0;[&gt;=100000]##\,##\,##0;##,##0"),TEXT(IF(MOD(ABS(Model!Y70),1)=0.5,2*ROUND(ABS(Model!Y70)/2,0),ROUND(ABS(Model!Y70),0)),"#,##0"))&amp;" | "&amp;IF(Model!Y79&lt;0,"-","")&amp;Effective!$B$20&amp;IF(Effective!$B$21="indian",TEXT(IF(MOD(ABS(Model!Y79),1)=0.5,2*ROUND(ABS(Model!Y79)/2,0),ROUND(ABS(Model!Y79),0)),"[&gt;=10000000]##\,##\,##\,##0;[&gt;=100000]##\,##\,##0;##,##0"),TEXT(IF(MOD(ABS(Model!Y79),1)=0.5,2*ROUND(ABS(Model!Y79)/2,0),ROUND(ABS(Model!Y79),0)),"#,##0"))&amp;" |")</f>
        <v/>
      </c>
    </row>
    <row r="51">
      <c r="D51">
        <f>IF(Model!Z4=0,"","| "&amp;Model!Z1&amp;" | "&amp;IF(Model!Z18&lt;0,"-","")&amp;Effective!$B$20&amp;IF(Effective!$B$21="indian",TEXT(IF(MOD(ABS(Model!Z18),1)=0.5,2*ROUND(ABS(Model!Z18)/2,0),ROUND(ABS(Model!Z18),0)),"[&gt;=10000000]##\,##\,##\,##0;[&gt;=100000]##\,##\,##0;##,##0"),TEXT(IF(MOD(ABS(Model!Z18),1)=0.5,2*ROUND(ABS(Model!Z18)/2,0),ROUND(ABS(Model!Z18),0)),"#,##0"))&amp;" | "&amp;IF(Model!Z45&lt;0,"-","")&amp;Effective!$B$20&amp;IF(Effective!$B$21="indian",TEXT(IF(MOD(ABS(Model!Z45),1)=0.5,2*ROUND(ABS(Model!Z45)/2,0),ROUND(ABS(Model!Z45),0)),"[&gt;=10000000]##\,##\,##\,##0;[&gt;=100000]##\,##\,##0;##,##0"),TEXT(IF(MOD(ABS(Model!Z45),1)=0.5,2*ROUND(ABS(Model!Z45)/2,0),ROUND(ABS(Model!Z45),0)),"#,##0"))&amp;" | "&amp;IF(Model!Z70&lt;0,"-","")&amp;Effective!$B$20&amp;IF(Effective!$B$21="indian",TEXT(IF(MOD(ABS(Model!Z70),1)=0.5,2*ROUND(ABS(Model!Z70)/2,0),ROUND(ABS(Model!Z70),0)),"[&gt;=10000000]##\,##\,##\,##0;[&gt;=100000]##\,##\,##0;##,##0"),TEXT(IF(MOD(ABS(Model!Z70),1)=0.5,2*ROUND(ABS(Model!Z70)/2,0),ROUND(ABS(Model!Z70),0)),"#,##0"))&amp;" | "&amp;IF(Model!Z79&lt;0,"-","")&amp;Effective!$B$20&amp;IF(Effective!$B$21="indian",TEXT(IF(MOD(ABS(Model!Z79),1)=0.5,2*ROUND(ABS(Model!Z79)/2,0),ROUND(ABS(Model!Z79),0)),"[&gt;=10000000]##\,##\,##\,##0;[&gt;=100000]##\,##\,##0;##,##0"),TEXT(IF(MOD(ABS(Model!Z79),1)=0.5,2*ROUND(ABS(Model!Z79)/2,0),ROUND(ABS(Model!Z79),0)),"#,##0"))&amp;" |")</f>
        <v/>
      </c>
    </row>
    <row r="52">
      <c r="D52">
        <f>IF(Model!AA4=0,"","| "&amp;Model!AA1&amp;" | "&amp;IF(Model!AA18&lt;0,"-","")&amp;Effective!$B$20&amp;IF(Effective!$B$21="indian",TEXT(IF(MOD(ABS(Model!AA18),1)=0.5,2*ROUND(ABS(Model!AA18)/2,0),ROUND(ABS(Model!AA18),0)),"[&gt;=10000000]##\,##\,##\,##0;[&gt;=100000]##\,##\,##0;##,##0"),TEXT(IF(MOD(ABS(Model!AA18),1)=0.5,2*ROUND(ABS(Model!AA18)/2,0),ROUND(ABS(Model!AA18),0)),"#,##0"))&amp;" | "&amp;IF(Model!AA45&lt;0,"-","")&amp;Effective!$B$20&amp;IF(Effective!$B$21="indian",TEXT(IF(MOD(ABS(Model!AA45),1)=0.5,2*ROUND(ABS(Model!AA45)/2,0),ROUND(ABS(Model!AA45),0)),"[&gt;=10000000]##\,##\,##\,##0;[&gt;=100000]##\,##\,##0;##,##0"),TEXT(IF(MOD(ABS(Model!AA45),1)=0.5,2*ROUND(ABS(Model!AA45)/2,0),ROUND(ABS(Model!AA45),0)),"#,##0"))&amp;" | "&amp;IF(Model!AA70&lt;0,"-","")&amp;Effective!$B$20&amp;IF(Effective!$B$21="indian",TEXT(IF(MOD(ABS(Model!AA70),1)=0.5,2*ROUND(ABS(Model!AA70)/2,0),ROUND(ABS(Model!AA70),0)),"[&gt;=10000000]##\,##\,##\,##0;[&gt;=100000]##\,##\,##0;##,##0"),TEXT(IF(MOD(ABS(Model!AA70),1)=0.5,2*ROUND(ABS(Model!AA70)/2,0),ROUND(ABS(Model!AA70),0)),"#,##0"))&amp;" | "&amp;IF(Model!AA79&lt;0,"-","")&amp;Effective!$B$20&amp;IF(Effective!$B$21="indian",TEXT(IF(MOD(ABS(Model!AA79),1)=0.5,2*ROUND(ABS(Model!AA79)/2,0),ROUND(ABS(Model!AA79),0)),"[&gt;=10000000]##\,##\,##\,##0;[&gt;=100000]##\,##\,##0;##,##0"),TEXT(IF(MOD(ABS(Model!AA79),1)=0.5,2*ROUND(ABS(Model!AA79)/2,0),ROUND(ABS(Model!AA79),0)),"#,##0"))&amp;" |")</f>
        <v/>
      </c>
    </row>
    <row r="53">
      <c r="D53">
        <f>IF(Model!AB4=0,"","| "&amp;Model!AB1&amp;" | "&amp;IF(Model!AB18&lt;0,"-","")&amp;Effective!$B$20&amp;IF(Effective!$B$21="indian",TEXT(IF(MOD(ABS(Model!AB18),1)=0.5,2*ROUND(ABS(Model!AB18)/2,0),ROUND(ABS(Model!AB18),0)),"[&gt;=10000000]##\,##\,##\,##0;[&gt;=100000]##\,##\,##0;##,##0"),TEXT(IF(MOD(ABS(Model!AB18),1)=0.5,2*ROUND(ABS(Model!AB18)/2,0),ROUND(ABS(Model!AB18),0)),"#,##0"))&amp;" | "&amp;IF(Model!AB45&lt;0,"-","")&amp;Effective!$B$20&amp;IF(Effective!$B$21="indian",TEXT(IF(MOD(ABS(Model!AB45),1)=0.5,2*ROUND(ABS(Model!AB45)/2,0),ROUND(ABS(Model!AB45),0)),"[&gt;=10000000]##\,##\,##\,##0;[&gt;=100000]##\,##\,##0;##,##0"),TEXT(IF(MOD(ABS(Model!AB45),1)=0.5,2*ROUND(ABS(Model!AB45)/2,0),ROUND(ABS(Model!AB45),0)),"#,##0"))&amp;" | "&amp;IF(Model!AB70&lt;0,"-","")&amp;Effective!$B$20&amp;IF(Effective!$B$21="indian",TEXT(IF(MOD(ABS(Model!AB70),1)=0.5,2*ROUND(ABS(Model!AB70)/2,0),ROUND(ABS(Model!AB70),0)),"[&gt;=10000000]##\,##\,##\,##0;[&gt;=100000]##\,##\,##0;##,##0"),TEXT(IF(MOD(ABS(Model!AB70),1)=0.5,2*ROUND(ABS(Model!AB70)/2,0),ROUND(ABS(Model!AB70),0)),"#,##0"))&amp;" | "&amp;IF(Model!AB79&lt;0,"-","")&amp;Effective!$B$20&amp;IF(Effective!$B$21="indian",TEXT(IF(MOD(ABS(Model!AB79),1)=0.5,2*ROUND(ABS(Model!AB79)/2,0),ROUND(ABS(Model!AB79),0)),"[&gt;=10000000]##\,##\,##\,##0;[&gt;=100000]##\,##\,##0;##,##0"),TEXT(IF(MOD(ABS(Model!AB79),1)=0.5,2*ROUND(ABS(Model!AB79)/2,0),ROUND(ABS(Model!AB79),0)),"#,##0"))&amp;" |")</f>
        <v/>
      </c>
    </row>
    <row r="54">
      <c r="D54">
        <f>IF(Model!AC4=0,"","| "&amp;Model!AC1&amp;" | "&amp;IF(Model!AC18&lt;0,"-","")&amp;Effective!$B$20&amp;IF(Effective!$B$21="indian",TEXT(IF(MOD(ABS(Model!AC18),1)=0.5,2*ROUND(ABS(Model!AC18)/2,0),ROUND(ABS(Model!AC18),0)),"[&gt;=10000000]##\,##\,##\,##0;[&gt;=100000]##\,##\,##0;##,##0"),TEXT(IF(MOD(ABS(Model!AC18),1)=0.5,2*ROUND(ABS(Model!AC18)/2,0),ROUND(ABS(Model!AC18),0)),"#,##0"))&amp;" | "&amp;IF(Model!AC45&lt;0,"-","")&amp;Effective!$B$20&amp;IF(Effective!$B$21="indian",TEXT(IF(MOD(ABS(Model!AC45),1)=0.5,2*ROUND(ABS(Model!AC45)/2,0),ROUND(ABS(Model!AC45),0)),"[&gt;=10000000]##\,##\,##\,##0;[&gt;=100000]##\,##\,##0;##,##0"),TEXT(IF(MOD(ABS(Model!AC45),1)=0.5,2*ROUND(ABS(Model!AC45)/2,0),ROUND(ABS(Model!AC45),0)),"#,##0"))&amp;" | "&amp;IF(Model!AC70&lt;0,"-","")&amp;Effective!$B$20&amp;IF(Effective!$B$21="indian",TEXT(IF(MOD(ABS(Model!AC70),1)=0.5,2*ROUND(ABS(Model!AC70)/2,0),ROUND(ABS(Model!AC70),0)),"[&gt;=10000000]##\,##\,##\,##0;[&gt;=100000]##\,##\,##0;##,##0"),TEXT(IF(MOD(ABS(Model!AC70),1)=0.5,2*ROUND(ABS(Model!AC70)/2,0),ROUND(ABS(Model!AC70),0)),"#,##0"))&amp;" | "&amp;IF(Model!AC79&lt;0,"-","")&amp;Effective!$B$20&amp;IF(Effective!$B$21="indian",TEXT(IF(MOD(ABS(Model!AC79),1)=0.5,2*ROUND(ABS(Model!AC79)/2,0),ROUND(ABS(Model!AC79),0)),"[&gt;=10000000]##\,##\,##\,##0;[&gt;=100000]##\,##\,##0;##,##0"),TEXT(IF(MOD(ABS(Model!AC79),1)=0.5,2*ROUND(ABS(Model!AC79)/2,0),ROUND(ABS(Model!AC79),0)),"#,##0"))&amp;" |")</f>
        <v/>
      </c>
    </row>
    <row r="55">
      <c r="D55">
        <f>IF(Model!AD4=0,"","| "&amp;Model!AD1&amp;" | "&amp;IF(Model!AD18&lt;0,"-","")&amp;Effective!$B$20&amp;IF(Effective!$B$21="indian",TEXT(IF(MOD(ABS(Model!AD18),1)=0.5,2*ROUND(ABS(Model!AD18)/2,0),ROUND(ABS(Model!AD18),0)),"[&gt;=10000000]##\,##\,##\,##0;[&gt;=100000]##\,##\,##0;##,##0"),TEXT(IF(MOD(ABS(Model!AD18),1)=0.5,2*ROUND(ABS(Model!AD18)/2,0),ROUND(ABS(Model!AD18),0)),"#,##0"))&amp;" | "&amp;IF(Model!AD45&lt;0,"-","")&amp;Effective!$B$20&amp;IF(Effective!$B$21="indian",TEXT(IF(MOD(ABS(Model!AD45),1)=0.5,2*ROUND(ABS(Model!AD45)/2,0),ROUND(ABS(Model!AD45),0)),"[&gt;=10000000]##\,##\,##\,##0;[&gt;=100000]##\,##\,##0;##,##0"),TEXT(IF(MOD(ABS(Model!AD45),1)=0.5,2*ROUND(ABS(Model!AD45)/2,0),ROUND(ABS(Model!AD45),0)),"#,##0"))&amp;" | "&amp;IF(Model!AD70&lt;0,"-","")&amp;Effective!$B$20&amp;IF(Effective!$B$21="indian",TEXT(IF(MOD(ABS(Model!AD70),1)=0.5,2*ROUND(ABS(Model!AD70)/2,0),ROUND(ABS(Model!AD70),0)),"[&gt;=10000000]##\,##\,##\,##0;[&gt;=100000]##\,##\,##0;##,##0"),TEXT(IF(MOD(ABS(Model!AD70),1)=0.5,2*ROUND(ABS(Model!AD70)/2,0),ROUND(ABS(Model!AD70),0)),"#,##0"))&amp;" | "&amp;IF(Model!AD79&lt;0,"-","")&amp;Effective!$B$20&amp;IF(Effective!$B$21="indian",TEXT(IF(MOD(ABS(Model!AD79),1)=0.5,2*ROUND(ABS(Model!AD79)/2,0),ROUND(ABS(Model!AD79),0)),"[&gt;=10000000]##\,##\,##\,##0;[&gt;=100000]##\,##\,##0;##,##0"),TEXT(IF(MOD(ABS(Model!AD79),1)=0.5,2*ROUND(ABS(Model!AD79)/2,0),ROUND(ABS(Model!AD79),0)),"#,##0"))&amp;" |")</f>
        <v/>
      </c>
    </row>
    <row r="56">
      <c r="D56">
        <f>IF(Model!AE4=0,"","| "&amp;Model!AE1&amp;" | "&amp;IF(Model!AE18&lt;0,"-","")&amp;Effective!$B$20&amp;IF(Effective!$B$21="indian",TEXT(IF(MOD(ABS(Model!AE18),1)=0.5,2*ROUND(ABS(Model!AE18)/2,0),ROUND(ABS(Model!AE18),0)),"[&gt;=10000000]##\,##\,##\,##0;[&gt;=100000]##\,##\,##0;##,##0"),TEXT(IF(MOD(ABS(Model!AE18),1)=0.5,2*ROUND(ABS(Model!AE18)/2,0),ROUND(ABS(Model!AE18),0)),"#,##0"))&amp;" | "&amp;IF(Model!AE45&lt;0,"-","")&amp;Effective!$B$20&amp;IF(Effective!$B$21="indian",TEXT(IF(MOD(ABS(Model!AE45),1)=0.5,2*ROUND(ABS(Model!AE45)/2,0),ROUND(ABS(Model!AE45),0)),"[&gt;=10000000]##\,##\,##\,##0;[&gt;=100000]##\,##\,##0;##,##0"),TEXT(IF(MOD(ABS(Model!AE45),1)=0.5,2*ROUND(ABS(Model!AE45)/2,0),ROUND(ABS(Model!AE45),0)),"#,##0"))&amp;" | "&amp;IF(Model!AE70&lt;0,"-","")&amp;Effective!$B$20&amp;IF(Effective!$B$21="indian",TEXT(IF(MOD(ABS(Model!AE70),1)=0.5,2*ROUND(ABS(Model!AE70)/2,0),ROUND(ABS(Model!AE70),0)),"[&gt;=10000000]##\,##\,##\,##0;[&gt;=100000]##\,##\,##0;##,##0"),TEXT(IF(MOD(ABS(Model!AE70),1)=0.5,2*ROUND(ABS(Model!AE70)/2,0),ROUND(ABS(Model!AE70),0)),"#,##0"))&amp;" | "&amp;IF(Model!AE79&lt;0,"-","")&amp;Effective!$B$20&amp;IF(Effective!$B$21="indian",TEXT(IF(MOD(ABS(Model!AE79),1)=0.5,2*ROUND(ABS(Model!AE79)/2,0),ROUND(ABS(Model!AE79),0)),"[&gt;=10000000]##\,##\,##\,##0;[&gt;=100000]##\,##\,##0;##,##0"),TEXT(IF(MOD(ABS(Model!AE79),1)=0.5,2*ROUND(ABS(Model!AE79)/2,0),ROUND(ABS(Model!AE79),0)),"#,##0"))&amp;" |")</f>
        <v/>
      </c>
    </row>
    <row r="57">
      <c r="D57">
        <f>IF(Model!AF4=0,"","| "&amp;Model!AF1&amp;" | "&amp;IF(Model!AF18&lt;0,"-","")&amp;Effective!$B$20&amp;IF(Effective!$B$21="indian",TEXT(IF(MOD(ABS(Model!AF18),1)=0.5,2*ROUND(ABS(Model!AF18)/2,0),ROUND(ABS(Model!AF18),0)),"[&gt;=10000000]##\,##\,##\,##0;[&gt;=100000]##\,##\,##0;##,##0"),TEXT(IF(MOD(ABS(Model!AF18),1)=0.5,2*ROUND(ABS(Model!AF18)/2,0),ROUND(ABS(Model!AF18),0)),"#,##0"))&amp;" | "&amp;IF(Model!AF45&lt;0,"-","")&amp;Effective!$B$20&amp;IF(Effective!$B$21="indian",TEXT(IF(MOD(ABS(Model!AF45),1)=0.5,2*ROUND(ABS(Model!AF45)/2,0),ROUND(ABS(Model!AF45),0)),"[&gt;=10000000]##\,##\,##\,##0;[&gt;=100000]##\,##\,##0;##,##0"),TEXT(IF(MOD(ABS(Model!AF45),1)=0.5,2*ROUND(ABS(Model!AF45)/2,0),ROUND(ABS(Model!AF45),0)),"#,##0"))&amp;" | "&amp;IF(Model!AF70&lt;0,"-","")&amp;Effective!$B$20&amp;IF(Effective!$B$21="indian",TEXT(IF(MOD(ABS(Model!AF70),1)=0.5,2*ROUND(ABS(Model!AF70)/2,0),ROUND(ABS(Model!AF70),0)),"[&gt;=10000000]##\,##\,##\,##0;[&gt;=100000]##\,##\,##0;##,##0"),TEXT(IF(MOD(ABS(Model!AF70),1)=0.5,2*ROUND(ABS(Model!AF70)/2,0),ROUND(ABS(Model!AF70),0)),"#,##0"))&amp;" | "&amp;IF(Model!AF79&lt;0,"-","")&amp;Effective!$B$20&amp;IF(Effective!$B$21="indian",TEXT(IF(MOD(ABS(Model!AF79),1)=0.5,2*ROUND(ABS(Model!AF79)/2,0),ROUND(ABS(Model!AF79),0)),"[&gt;=10000000]##\,##\,##\,##0;[&gt;=100000]##\,##\,##0;##,##0"),TEXT(IF(MOD(ABS(Model!AF79),1)=0.5,2*ROUND(ABS(Model!AF79)/2,0),ROUND(ABS(Model!AF79),0)),"#,##0"))&amp;" |")</f>
        <v/>
      </c>
    </row>
    <row r="58">
      <c r="D58">
        <f>IF(Model!AG4=0,"","| "&amp;Model!AG1&amp;" | "&amp;IF(Model!AG18&lt;0,"-","")&amp;Effective!$B$20&amp;IF(Effective!$B$21="indian",TEXT(IF(MOD(ABS(Model!AG18),1)=0.5,2*ROUND(ABS(Model!AG18)/2,0),ROUND(ABS(Model!AG18),0)),"[&gt;=10000000]##\,##\,##\,##0;[&gt;=100000]##\,##\,##0;##,##0"),TEXT(IF(MOD(ABS(Model!AG18),1)=0.5,2*ROUND(ABS(Model!AG18)/2,0),ROUND(ABS(Model!AG18),0)),"#,##0"))&amp;" | "&amp;IF(Model!AG45&lt;0,"-","")&amp;Effective!$B$20&amp;IF(Effective!$B$21="indian",TEXT(IF(MOD(ABS(Model!AG45),1)=0.5,2*ROUND(ABS(Model!AG45)/2,0),ROUND(ABS(Model!AG45),0)),"[&gt;=10000000]##\,##\,##\,##0;[&gt;=100000]##\,##\,##0;##,##0"),TEXT(IF(MOD(ABS(Model!AG45),1)=0.5,2*ROUND(ABS(Model!AG45)/2,0),ROUND(ABS(Model!AG45),0)),"#,##0"))&amp;" | "&amp;IF(Model!AG70&lt;0,"-","")&amp;Effective!$B$20&amp;IF(Effective!$B$21="indian",TEXT(IF(MOD(ABS(Model!AG70),1)=0.5,2*ROUND(ABS(Model!AG70)/2,0),ROUND(ABS(Model!AG70),0)),"[&gt;=10000000]##\,##\,##\,##0;[&gt;=100000]##\,##\,##0;##,##0"),TEXT(IF(MOD(ABS(Model!AG70),1)=0.5,2*ROUND(ABS(Model!AG70)/2,0),ROUND(ABS(Model!AG70),0)),"#,##0"))&amp;" | "&amp;IF(Model!AG79&lt;0,"-","")&amp;Effective!$B$20&amp;IF(Effective!$B$21="indian",TEXT(IF(MOD(ABS(Model!AG79),1)=0.5,2*ROUND(ABS(Model!AG79)/2,0),ROUND(ABS(Model!AG79),0)),"[&gt;=10000000]##\,##\,##\,##0;[&gt;=100000]##\,##\,##0;##,##0"),TEXT(IF(MOD(ABS(Model!AG79),1)=0.5,2*ROUND(ABS(Model!AG79)/2,0),ROUND(ABS(Model!AG79),0)),"#,##0"))&amp;" |")</f>
        <v/>
      </c>
    </row>
    <row r="59">
      <c r="D59">
        <f>IF(Model!AH4=0,"","| "&amp;Model!AH1&amp;" | "&amp;IF(Model!AH18&lt;0,"-","")&amp;Effective!$B$20&amp;IF(Effective!$B$21="indian",TEXT(IF(MOD(ABS(Model!AH18),1)=0.5,2*ROUND(ABS(Model!AH18)/2,0),ROUND(ABS(Model!AH18),0)),"[&gt;=10000000]##\,##\,##\,##0;[&gt;=100000]##\,##\,##0;##,##0"),TEXT(IF(MOD(ABS(Model!AH18),1)=0.5,2*ROUND(ABS(Model!AH18)/2,0),ROUND(ABS(Model!AH18),0)),"#,##0"))&amp;" | "&amp;IF(Model!AH45&lt;0,"-","")&amp;Effective!$B$20&amp;IF(Effective!$B$21="indian",TEXT(IF(MOD(ABS(Model!AH45),1)=0.5,2*ROUND(ABS(Model!AH45)/2,0),ROUND(ABS(Model!AH45),0)),"[&gt;=10000000]##\,##\,##\,##0;[&gt;=100000]##\,##\,##0;##,##0"),TEXT(IF(MOD(ABS(Model!AH45),1)=0.5,2*ROUND(ABS(Model!AH45)/2,0),ROUND(ABS(Model!AH45),0)),"#,##0"))&amp;" | "&amp;IF(Model!AH70&lt;0,"-","")&amp;Effective!$B$20&amp;IF(Effective!$B$21="indian",TEXT(IF(MOD(ABS(Model!AH70),1)=0.5,2*ROUND(ABS(Model!AH70)/2,0),ROUND(ABS(Model!AH70),0)),"[&gt;=10000000]##\,##\,##\,##0;[&gt;=100000]##\,##\,##0;##,##0"),TEXT(IF(MOD(ABS(Model!AH70),1)=0.5,2*ROUND(ABS(Model!AH70)/2,0),ROUND(ABS(Model!AH70),0)),"#,##0"))&amp;" | "&amp;IF(Model!AH79&lt;0,"-","")&amp;Effective!$B$20&amp;IF(Effective!$B$21="indian",TEXT(IF(MOD(ABS(Model!AH79),1)=0.5,2*ROUND(ABS(Model!AH79)/2,0),ROUND(ABS(Model!AH79),0)),"[&gt;=10000000]##\,##\,##\,##0;[&gt;=100000]##\,##\,##0;##,##0"),TEXT(IF(MOD(ABS(Model!AH79),1)=0.5,2*ROUND(ABS(Model!AH79)/2,0),ROUND(ABS(Model!AH79),0)),"#,##0"))&amp;" |")</f>
        <v/>
      </c>
    </row>
    <row r="60">
      <c r="D60">
        <f>IF(Model!AI4=0,"","| "&amp;Model!AI1&amp;" | "&amp;IF(Model!AI18&lt;0,"-","")&amp;Effective!$B$20&amp;IF(Effective!$B$21="indian",TEXT(IF(MOD(ABS(Model!AI18),1)=0.5,2*ROUND(ABS(Model!AI18)/2,0),ROUND(ABS(Model!AI18),0)),"[&gt;=10000000]##\,##\,##\,##0;[&gt;=100000]##\,##\,##0;##,##0"),TEXT(IF(MOD(ABS(Model!AI18),1)=0.5,2*ROUND(ABS(Model!AI18)/2,0),ROUND(ABS(Model!AI18),0)),"#,##0"))&amp;" | "&amp;IF(Model!AI45&lt;0,"-","")&amp;Effective!$B$20&amp;IF(Effective!$B$21="indian",TEXT(IF(MOD(ABS(Model!AI45),1)=0.5,2*ROUND(ABS(Model!AI45)/2,0),ROUND(ABS(Model!AI45),0)),"[&gt;=10000000]##\,##\,##\,##0;[&gt;=100000]##\,##\,##0;##,##0"),TEXT(IF(MOD(ABS(Model!AI45),1)=0.5,2*ROUND(ABS(Model!AI45)/2,0),ROUND(ABS(Model!AI45),0)),"#,##0"))&amp;" | "&amp;IF(Model!AI70&lt;0,"-","")&amp;Effective!$B$20&amp;IF(Effective!$B$21="indian",TEXT(IF(MOD(ABS(Model!AI70),1)=0.5,2*ROUND(ABS(Model!AI70)/2,0),ROUND(ABS(Model!AI70),0)),"[&gt;=10000000]##\,##\,##\,##0;[&gt;=100000]##\,##\,##0;##,##0"),TEXT(IF(MOD(ABS(Model!AI70),1)=0.5,2*ROUND(ABS(Model!AI70)/2,0),ROUND(ABS(Model!AI70),0)),"#,##0"))&amp;" | "&amp;IF(Model!AI79&lt;0,"-","")&amp;Effective!$B$20&amp;IF(Effective!$B$21="indian",TEXT(IF(MOD(ABS(Model!AI79),1)=0.5,2*ROUND(ABS(Model!AI79)/2,0),ROUND(ABS(Model!AI79),0)),"[&gt;=10000000]##\,##\,##\,##0;[&gt;=100000]##\,##\,##0;##,##0"),TEXT(IF(MOD(ABS(Model!AI79),1)=0.5,2*ROUND(ABS(Model!AI79)/2,0),ROUND(ABS(Model!AI79),0)),"#,##0"))&amp;" |")</f>
        <v/>
      </c>
    </row>
    <row r="61">
      <c r="D61">
        <f>IF(Model!AJ4=0,"","| "&amp;Model!AJ1&amp;" | "&amp;IF(Model!AJ18&lt;0,"-","")&amp;Effective!$B$20&amp;IF(Effective!$B$21="indian",TEXT(IF(MOD(ABS(Model!AJ18),1)=0.5,2*ROUND(ABS(Model!AJ18)/2,0),ROUND(ABS(Model!AJ18),0)),"[&gt;=10000000]##\,##\,##\,##0;[&gt;=100000]##\,##\,##0;##,##0"),TEXT(IF(MOD(ABS(Model!AJ18),1)=0.5,2*ROUND(ABS(Model!AJ18)/2,0),ROUND(ABS(Model!AJ18),0)),"#,##0"))&amp;" | "&amp;IF(Model!AJ45&lt;0,"-","")&amp;Effective!$B$20&amp;IF(Effective!$B$21="indian",TEXT(IF(MOD(ABS(Model!AJ45),1)=0.5,2*ROUND(ABS(Model!AJ45)/2,0),ROUND(ABS(Model!AJ45),0)),"[&gt;=10000000]##\,##\,##\,##0;[&gt;=100000]##\,##\,##0;##,##0"),TEXT(IF(MOD(ABS(Model!AJ45),1)=0.5,2*ROUND(ABS(Model!AJ45)/2,0),ROUND(ABS(Model!AJ45),0)),"#,##0"))&amp;" | "&amp;IF(Model!AJ70&lt;0,"-","")&amp;Effective!$B$20&amp;IF(Effective!$B$21="indian",TEXT(IF(MOD(ABS(Model!AJ70),1)=0.5,2*ROUND(ABS(Model!AJ70)/2,0),ROUND(ABS(Model!AJ70),0)),"[&gt;=10000000]##\,##\,##\,##0;[&gt;=100000]##\,##\,##0;##,##0"),TEXT(IF(MOD(ABS(Model!AJ70),1)=0.5,2*ROUND(ABS(Model!AJ70)/2,0),ROUND(ABS(Model!AJ70),0)),"#,##0"))&amp;" | "&amp;IF(Model!AJ79&lt;0,"-","")&amp;Effective!$B$20&amp;IF(Effective!$B$21="indian",TEXT(IF(MOD(ABS(Model!AJ79),1)=0.5,2*ROUND(ABS(Model!AJ79)/2,0),ROUND(ABS(Model!AJ79),0)),"[&gt;=10000000]##\,##\,##\,##0;[&gt;=100000]##\,##\,##0;##,##0"),TEXT(IF(MOD(ABS(Model!AJ79),1)=0.5,2*ROUND(ABS(Model!AJ79)/2,0),ROUND(ABS(Model!AJ79),0)),"#,##0"))&amp;" |")</f>
        <v/>
      </c>
    </row>
    <row r="62">
      <c r="D62">
        <f>IF(Model!AK4=0,"","| "&amp;Model!AK1&amp;" | "&amp;IF(Model!AK18&lt;0,"-","")&amp;Effective!$B$20&amp;IF(Effective!$B$21="indian",TEXT(IF(MOD(ABS(Model!AK18),1)=0.5,2*ROUND(ABS(Model!AK18)/2,0),ROUND(ABS(Model!AK18),0)),"[&gt;=10000000]##\,##\,##\,##0;[&gt;=100000]##\,##\,##0;##,##0"),TEXT(IF(MOD(ABS(Model!AK18),1)=0.5,2*ROUND(ABS(Model!AK18)/2,0),ROUND(ABS(Model!AK18),0)),"#,##0"))&amp;" | "&amp;IF(Model!AK45&lt;0,"-","")&amp;Effective!$B$20&amp;IF(Effective!$B$21="indian",TEXT(IF(MOD(ABS(Model!AK45),1)=0.5,2*ROUND(ABS(Model!AK45)/2,0),ROUND(ABS(Model!AK45),0)),"[&gt;=10000000]##\,##\,##\,##0;[&gt;=100000]##\,##\,##0;##,##0"),TEXT(IF(MOD(ABS(Model!AK45),1)=0.5,2*ROUND(ABS(Model!AK45)/2,0),ROUND(ABS(Model!AK45),0)),"#,##0"))&amp;" | "&amp;IF(Model!AK70&lt;0,"-","")&amp;Effective!$B$20&amp;IF(Effective!$B$21="indian",TEXT(IF(MOD(ABS(Model!AK70),1)=0.5,2*ROUND(ABS(Model!AK70)/2,0),ROUND(ABS(Model!AK70),0)),"[&gt;=10000000]##\,##\,##\,##0;[&gt;=100000]##\,##\,##0;##,##0"),TEXT(IF(MOD(ABS(Model!AK70),1)=0.5,2*ROUND(ABS(Model!AK70)/2,0),ROUND(ABS(Model!AK70),0)),"#,##0"))&amp;" | "&amp;IF(Model!AK79&lt;0,"-","")&amp;Effective!$B$20&amp;IF(Effective!$B$21="indian",TEXT(IF(MOD(ABS(Model!AK79),1)=0.5,2*ROUND(ABS(Model!AK79)/2,0),ROUND(ABS(Model!AK79),0)),"[&gt;=10000000]##\,##\,##\,##0;[&gt;=100000]##\,##\,##0;##,##0"),TEXT(IF(MOD(ABS(Model!AK79),1)=0.5,2*ROUND(ABS(Model!AK79)/2,0),ROUND(ABS(Model!AK79),0)),"#,##0"))&amp;" |")</f>
        <v/>
      </c>
    </row>
    <row r="63">
      <c r="D63">
        <f>IF(Model!AL4=0,"","| "&amp;Model!AL1&amp;" | "&amp;IF(Model!AL18&lt;0,"-","")&amp;Effective!$B$20&amp;IF(Effective!$B$21="indian",TEXT(IF(MOD(ABS(Model!AL18),1)=0.5,2*ROUND(ABS(Model!AL18)/2,0),ROUND(ABS(Model!AL18),0)),"[&gt;=10000000]##\,##\,##\,##0;[&gt;=100000]##\,##\,##0;##,##0"),TEXT(IF(MOD(ABS(Model!AL18),1)=0.5,2*ROUND(ABS(Model!AL18)/2,0),ROUND(ABS(Model!AL18),0)),"#,##0"))&amp;" | "&amp;IF(Model!AL45&lt;0,"-","")&amp;Effective!$B$20&amp;IF(Effective!$B$21="indian",TEXT(IF(MOD(ABS(Model!AL45),1)=0.5,2*ROUND(ABS(Model!AL45)/2,0),ROUND(ABS(Model!AL45),0)),"[&gt;=10000000]##\,##\,##\,##0;[&gt;=100000]##\,##\,##0;##,##0"),TEXT(IF(MOD(ABS(Model!AL45),1)=0.5,2*ROUND(ABS(Model!AL45)/2,0),ROUND(ABS(Model!AL45),0)),"#,##0"))&amp;" | "&amp;IF(Model!AL70&lt;0,"-","")&amp;Effective!$B$20&amp;IF(Effective!$B$21="indian",TEXT(IF(MOD(ABS(Model!AL70),1)=0.5,2*ROUND(ABS(Model!AL70)/2,0),ROUND(ABS(Model!AL70),0)),"[&gt;=10000000]##\,##\,##\,##0;[&gt;=100000]##\,##\,##0;##,##0"),TEXT(IF(MOD(ABS(Model!AL70),1)=0.5,2*ROUND(ABS(Model!AL70)/2,0),ROUND(ABS(Model!AL70),0)),"#,##0"))&amp;" | "&amp;IF(Model!AL79&lt;0,"-","")&amp;Effective!$B$20&amp;IF(Effective!$B$21="indian",TEXT(IF(MOD(ABS(Model!AL79),1)=0.5,2*ROUND(ABS(Model!AL79)/2,0),ROUND(ABS(Model!AL79),0)),"[&gt;=10000000]##\,##\,##\,##0;[&gt;=100000]##\,##\,##0;##,##0"),TEXT(IF(MOD(ABS(Model!AL79),1)=0.5,2*ROUND(ABS(Model!AL79)/2,0),ROUND(ABS(Model!AL79),0)),"#,##0"))&amp;" |")</f>
        <v/>
      </c>
    </row>
    <row r="64">
      <c r="D64">
        <f>IF(Model!AM4=0,"","| "&amp;Model!AM1&amp;" | "&amp;IF(Model!AM18&lt;0,"-","")&amp;Effective!$B$20&amp;IF(Effective!$B$21="indian",TEXT(IF(MOD(ABS(Model!AM18),1)=0.5,2*ROUND(ABS(Model!AM18)/2,0),ROUND(ABS(Model!AM18),0)),"[&gt;=10000000]##\,##\,##\,##0;[&gt;=100000]##\,##\,##0;##,##0"),TEXT(IF(MOD(ABS(Model!AM18),1)=0.5,2*ROUND(ABS(Model!AM18)/2,0),ROUND(ABS(Model!AM18),0)),"#,##0"))&amp;" | "&amp;IF(Model!AM45&lt;0,"-","")&amp;Effective!$B$20&amp;IF(Effective!$B$21="indian",TEXT(IF(MOD(ABS(Model!AM45),1)=0.5,2*ROUND(ABS(Model!AM45)/2,0),ROUND(ABS(Model!AM45),0)),"[&gt;=10000000]##\,##\,##\,##0;[&gt;=100000]##\,##\,##0;##,##0"),TEXT(IF(MOD(ABS(Model!AM45),1)=0.5,2*ROUND(ABS(Model!AM45)/2,0),ROUND(ABS(Model!AM45),0)),"#,##0"))&amp;" | "&amp;IF(Model!AM70&lt;0,"-","")&amp;Effective!$B$20&amp;IF(Effective!$B$21="indian",TEXT(IF(MOD(ABS(Model!AM70),1)=0.5,2*ROUND(ABS(Model!AM70)/2,0),ROUND(ABS(Model!AM70),0)),"[&gt;=10000000]##\,##\,##\,##0;[&gt;=100000]##\,##\,##0;##,##0"),TEXT(IF(MOD(ABS(Model!AM70),1)=0.5,2*ROUND(ABS(Model!AM70)/2,0),ROUND(ABS(Model!AM70),0)),"#,##0"))&amp;" | "&amp;IF(Model!AM79&lt;0,"-","")&amp;Effective!$B$20&amp;IF(Effective!$B$21="indian",TEXT(IF(MOD(ABS(Model!AM79),1)=0.5,2*ROUND(ABS(Model!AM79)/2,0),ROUND(ABS(Model!AM79),0)),"[&gt;=10000000]##\,##\,##\,##0;[&gt;=100000]##\,##\,##0;##,##0"),TEXT(IF(MOD(ABS(Model!AM79),1)=0.5,2*ROUND(ABS(Model!AM79)/2,0),ROUND(ABS(Model!AM79),0)),"#,##0"))&amp;" |")</f>
        <v/>
      </c>
    </row>
    <row r="65">
      <c r="D65">
        <f>IF(Model!AN4=0,"","| "&amp;Model!AN1&amp;" | "&amp;IF(Model!AN18&lt;0,"-","")&amp;Effective!$B$20&amp;IF(Effective!$B$21="indian",TEXT(IF(MOD(ABS(Model!AN18),1)=0.5,2*ROUND(ABS(Model!AN18)/2,0),ROUND(ABS(Model!AN18),0)),"[&gt;=10000000]##\,##\,##\,##0;[&gt;=100000]##\,##\,##0;##,##0"),TEXT(IF(MOD(ABS(Model!AN18),1)=0.5,2*ROUND(ABS(Model!AN18)/2,0),ROUND(ABS(Model!AN18),0)),"#,##0"))&amp;" | "&amp;IF(Model!AN45&lt;0,"-","")&amp;Effective!$B$20&amp;IF(Effective!$B$21="indian",TEXT(IF(MOD(ABS(Model!AN45),1)=0.5,2*ROUND(ABS(Model!AN45)/2,0),ROUND(ABS(Model!AN45),0)),"[&gt;=10000000]##\,##\,##\,##0;[&gt;=100000]##\,##\,##0;##,##0"),TEXT(IF(MOD(ABS(Model!AN45),1)=0.5,2*ROUND(ABS(Model!AN45)/2,0),ROUND(ABS(Model!AN45),0)),"#,##0"))&amp;" | "&amp;IF(Model!AN70&lt;0,"-","")&amp;Effective!$B$20&amp;IF(Effective!$B$21="indian",TEXT(IF(MOD(ABS(Model!AN70),1)=0.5,2*ROUND(ABS(Model!AN70)/2,0),ROUND(ABS(Model!AN70),0)),"[&gt;=10000000]##\,##\,##\,##0;[&gt;=100000]##\,##\,##0;##,##0"),TEXT(IF(MOD(ABS(Model!AN70),1)=0.5,2*ROUND(ABS(Model!AN70)/2,0),ROUND(ABS(Model!AN70),0)),"#,##0"))&amp;" | "&amp;IF(Model!AN79&lt;0,"-","")&amp;Effective!$B$20&amp;IF(Effective!$B$21="indian",TEXT(IF(MOD(ABS(Model!AN79),1)=0.5,2*ROUND(ABS(Model!AN79)/2,0),ROUND(ABS(Model!AN79),0)),"[&gt;=10000000]##\,##\,##\,##0;[&gt;=100000]##\,##\,##0;##,##0"),TEXT(IF(MOD(ABS(Model!AN79),1)=0.5,2*ROUND(ABS(Model!AN79)/2,0),ROUND(ABS(Model!AN79),0)),"#,##0"))&amp;" |")</f>
        <v/>
      </c>
    </row>
    <row r="66">
      <c r="D66">
        <f>IF(Model!AO4=0,"","| "&amp;Model!AO1&amp;" | "&amp;IF(Model!AO18&lt;0,"-","")&amp;Effective!$B$20&amp;IF(Effective!$B$21="indian",TEXT(IF(MOD(ABS(Model!AO18),1)=0.5,2*ROUND(ABS(Model!AO18)/2,0),ROUND(ABS(Model!AO18),0)),"[&gt;=10000000]##\,##\,##\,##0;[&gt;=100000]##\,##\,##0;##,##0"),TEXT(IF(MOD(ABS(Model!AO18),1)=0.5,2*ROUND(ABS(Model!AO18)/2,0),ROUND(ABS(Model!AO18),0)),"#,##0"))&amp;" | "&amp;IF(Model!AO45&lt;0,"-","")&amp;Effective!$B$20&amp;IF(Effective!$B$21="indian",TEXT(IF(MOD(ABS(Model!AO45),1)=0.5,2*ROUND(ABS(Model!AO45)/2,0),ROUND(ABS(Model!AO45),0)),"[&gt;=10000000]##\,##\,##\,##0;[&gt;=100000]##\,##\,##0;##,##0"),TEXT(IF(MOD(ABS(Model!AO45),1)=0.5,2*ROUND(ABS(Model!AO45)/2,0),ROUND(ABS(Model!AO45),0)),"#,##0"))&amp;" | "&amp;IF(Model!AO70&lt;0,"-","")&amp;Effective!$B$20&amp;IF(Effective!$B$21="indian",TEXT(IF(MOD(ABS(Model!AO70),1)=0.5,2*ROUND(ABS(Model!AO70)/2,0),ROUND(ABS(Model!AO70),0)),"[&gt;=10000000]##\,##\,##\,##0;[&gt;=100000]##\,##\,##0;##,##0"),TEXT(IF(MOD(ABS(Model!AO70),1)=0.5,2*ROUND(ABS(Model!AO70)/2,0),ROUND(ABS(Model!AO70),0)),"#,##0"))&amp;" | "&amp;IF(Model!AO79&lt;0,"-","")&amp;Effective!$B$20&amp;IF(Effective!$B$21="indian",TEXT(IF(MOD(ABS(Model!AO79),1)=0.5,2*ROUND(ABS(Model!AO79)/2,0),ROUND(ABS(Model!AO79),0)),"[&gt;=10000000]##\,##\,##\,##0;[&gt;=100000]##\,##\,##0;##,##0"),TEXT(IF(MOD(ABS(Model!AO79),1)=0.5,2*ROUND(ABS(Model!AO79)/2,0),ROUND(ABS(Model!AO79),0)),"#,##0"))&amp;" |")</f>
        <v/>
      </c>
    </row>
    <row r="67">
      <c r="D67">
        <f>IF(Model!AP4=0,"","| "&amp;Model!AP1&amp;" | "&amp;IF(Model!AP18&lt;0,"-","")&amp;Effective!$B$20&amp;IF(Effective!$B$21="indian",TEXT(IF(MOD(ABS(Model!AP18),1)=0.5,2*ROUND(ABS(Model!AP18)/2,0),ROUND(ABS(Model!AP18),0)),"[&gt;=10000000]##\,##\,##\,##0;[&gt;=100000]##\,##\,##0;##,##0"),TEXT(IF(MOD(ABS(Model!AP18),1)=0.5,2*ROUND(ABS(Model!AP18)/2,0),ROUND(ABS(Model!AP18),0)),"#,##0"))&amp;" | "&amp;IF(Model!AP45&lt;0,"-","")&amp;Effective!$B$20&amp;IF(Effective!$B$21="indian",TEXT(IF(MOD(ABS(Model!AP45),1)=0.5,2*ROUND(ABS(Model!AP45)/2,0),ROUND(ABS(Model!AP45),0)),"[&gt;=10000000]##\,##\,##\,##0;[&gt;=100000]##\,##\,##0;##,##0"),TEXT(IF(MOD(ABS(Model!AP45),1)=0.5,2*ROUND(ABS(Model!AP45)/2,0),ROUND(ABS(Model!AP45),0)),"#,##0"))&amp;" | "&amp;IF(Model!AP70&lt;0,"-","")&amp;Effective!$B$20&amp;IF(Effective!$B$21="indian",TEXT(IF(MOD(ABS(Model!AP70),1)=0.5,2*ROUND(ABS(Model!AP70)/2,0),ROUND(ABS(Model!AP70),0)),"[&gt;=10000000]##\,##\,##\,##0;[&gt;=100000]##\,##\,##0;##,##0"),TEXT(IF(MOD(ABS(Model!AP70),1)=0.5,2*ROUND(ABS(Model!AP70)/2,0),ROUND(ABS(Model!AP70),0)),"#,##0"))&amp;" | "&amp;IF(Model!AP79&lt;0,"-","")&amp;Effective!$B$20&amp;IF(Effective!$B$21="indian",TEXT(IF(MOD(ABS(Model!AP79),1)=0.5,2*ROUND(ABS(Model!AP79)/2,0),ROUND(ABS(Model!AP79),0)),"[&gt;=10000000]##\,##\,##\,##0;[&gt;=100000]##\,##\,##0;##,##0"),TEXT(IF(MOD(ABS(Model!AP79),1)=0.5,2*ROUND(ABS(Model!AP79)/2,0),ROUND(ABS(Model!AP79),0)),"#,##0"))&amp;" |")</f>
        <v/>
      </c>
    </row>
    <row r="68">
      <c r="D68">
        <f>IF(Model!AQ4=0,"","| "&amp;Model!AQ1&amp;" | "&amp;IF(Model!AQ18&lt;0,"-","")&amp;Effective!$B$20&amp;IF(Effective!$B$21="indian",TEXT(IF(MOD(ABS(Model!AQ18),1)=0.5,2*ROUND(ABS(Model!AQ18)/2,0),ROUND(ABS(Model!AQ18),0)),"[&gt;=10000000]##\,##\,##\,##0;[&gt;=100000]##\,##\,##0;##,##0"),TEXT(IF(MOD(ABS(Model!AQ18),1)=0.5,2*ROUND(ABS(Model!AQ18)/2,0),ROUND(ABS(Model!AQ18),0)),"#,##0"))&amp;" | "&amp;IF(Model!AQ45&lt;0,"-","")&amp;Effective!$B$20&amp;IF(Effective!$B$21="indian",TEXT(IF(MOD(ABS(Model!AQ45),1)=0.5,2*ROUND(ABS(Model!AQ45)/2,0),ROUND(ABS(Model!AQ45),0)),"[&gt;=10000000]##\,##\,##\,##0;[&gt;=100000]##\,##\,##0;##,##0"),TEXT(IF(MOD(ABS(Model!AQ45),1)=0.5,2*ROUND(ABS(Model!AQ45)/2,0),ROUND(ABS(Model!AQ45),0)),"#,##0"))&amp;" | "&amp;IF(Model!AQ70&lt;0,"-","")&amp;Effective!$B$20&amp;IF(Effective!$B$21="indian",TEXT(IF(MOD(ABS(Model!AQ70),1)=0.5,2*ROUND(ABS(Model!AQ70)/2,0),ROUND(ABS(Model!AQ70),0)),"[&gt;=10000000]##\,##\,##\,##0;[&gt;=100000]##\,##\,##0;##,##0"),TEXT(IF(MOD(ABS(Model!AQ70),1)=0.5,2*ROUND(ABS(Model!AQ70)/2,0),ROUND(ABS(Model!AQ70),0)),"#,##0"))&amp;" | "&amp;IF(Model!AQ79&lt;0,"-","")&amp;Effective!$B$20&amp;IF(Effective!$B$21="indian",TEXT(IF(MOD(ABS(Model!AQ79),1)=0.5,2*ROUND(ABS(Model!AQ79)/2,0),ROUND(ABS(Model!AQ79),0)),"[&gt;=10000000]##\,##\,##\,##0;[&gt;=100000]##\,##\,##0;##,##0"),TEXT(IF(MOD(ABS(Model!AQ79),1)=0.5,2*ROUND(ABS(Model!AQ79)/2,0),ROUND(ABS(Model!AQ79),0)),"#,##0"))&amp;" |")</f>
        <v/>
      </c>
    </row>
    <row r="69">
      <c r="D69">
        <f>IF(Model!AR4=0,"","| "&amp;Model!AR1&amp;" | "&amp;IF(Model!AR18&lt;0,"-","")&amp;Effective!$B$20&amp;IF(Effective!$B$21="indian",TEXT(IF(MOD(ABS(Model!AR18),1)=0.5,2*ROUND(ABS(Model!AR18)/2,0),ROUND(ABS(Model!AR18),0)),"[&gt;=10000000]##\,##\,##\,##0;[&gt;=100000]##\,##\,##0;##,##0"),TEXT(IF(MOD(ABS(Model!AR18),1)=0.5,2*ROUND(ABS(Model!AR18)/2,0),ROUND(ABS(Model!AR18),0)),"#,##0"))&amp;" | "&amp;IF(Model!AR45&lt;0,"-","")&amp;Effective!$B$20&amp;IF(Effective!$B$21="indian",TEXT(IF(MOD(ABS(Model!AR45),1)=0.5,2*ROUND(ABS(Model!AR45)/2,0),ROUND(ABS(Model!AR45),0)),"[&gt;=10000000]##\,##\,##\,##0;[&gt;=100000]##\,##\,##0;##,##0"),TEXT(IF(MOD(ABS(Model!AR45),1)=0.5,2*ROUND(ABS(Model!AR45)/2,0),ROUND(ABS(Model!AR45),0)),"#,##0"))&amp;" | "&amp;IF(Model!AR70&lt;0,"-","")&amp;Effective!$B$20&amp;IF(Effective!$B$21="indian",TEXT(IF(MOD(ABS(Model!AR70),1)=0.5,2*ROUND(ABS(Model!AR70)/2,0),ROUND(ABS(Model!AR70),0)),"[&gt;=10000000]##\,##\,##\,##0;[&gt;=100000]##\,##\,##0;##,##0"),TEXT(IF(MOD(ABS(Model!AR70),1)=0.5,2*ROUND(ABS(Model!AR70)/2,0),ROUND(ABS(Model!AR70),0)),"#,##0"))&amp;" | "&amp;IF(Model!AR79&lt;0,"-","")&amp;Effective!$B$20&amp;IF(Effective!$B$21="indian",TEXT(IF(MOD(ABS(Model!AR79),1)=0.5,2*ROUND(ABS(Model!AR79)/2,0),ROUND(ABS(Model!AR79),0)),"[&gt;=10000000]##\,##\,##\,##0;[&gt;=100000]##\,##\,##0;##,##0"),TEXT(IF(MOD(ABS(Model!AR79),1)=0.5,2*ROUND(ABS(Model!AR79)/2,0),ROUND(ABS(Model!AR79),0)),"#,##0"))&amp;" |")</f>
        <v/>
      </c>
    </row>
    <row r="70">
      <c r="D70">
        <f>IF(Model!AS4=0,"","| "&amp;Model!AS1&amp;" | "&amp;IF(Model!AS18&lt;0,"-","")&amp;Effective!$B$20&amp;IF(Effective!$B$21="indian",TEXT(IF(MOD(ABS(Model!AS18),1)=0.5,2*ROUND(ABS(Model!AS18)/2,0),ROUND(ABS(Model!AS18),0)),"[&gt;=10000000]##\,##\,##\,##0;[&gt;=100000]##\,##\,##0;##,##0"),TEXT(IF(MOD(ABS(Model!AS18),1)=0.5,2*ROUND(ABS(Model!AS18)/2,0),ROUND(ABS(Model!AS18),0)),"#,##0"))&amp;" | "&amp;IF(Model!AS45&lt;0,"-","")&amp;Effective!$B$20&amp;IF(Effective!$B$21="indian",TEXT(IF(MOD(ABS(Model!AS45),1)=0.5,2*ROUND(ABS(Model!AS45)/2,0),ROUND(ABS(Model!AS45),0)),"[&gt;=10000000]##\,##\,##\,##0;[&gt;=100000]##\,##\,##0;##,##0"),TEXT(IF(MOD(ABS(Model!AS45),1)=0.5,2*ROUND(ABS(Model!AS45)/2,0),ROUND(ABS(Model!AS45),0)),"#,##0"))&amp;" | "&amp;IF(Model!AS70&lt;0,"-","")&amp;Effective!$B$20&amp;IF(Effective!$B$21="indian",TEXT(IF(MOD(ABS(Model!AS70),1)=0.5,2*ROUND(ABS(Model!AS70)/2,0),ROUND(ABS(Model!AS70),0)),"[&gt;=10000000]##\,##\,##\,##0;[&gt;=100000]##\,##\,##0;##,##0"),TEXT(IF(MOD(ABS(Model!AS70),1)=0.5,2*ROUND(ABS(Model!AS70)/2,0),ROUND(ABS(Model!AS70),0)),"#,##0"))&amp;" | "&amp;IF(Model!AS79&lt;0,"-","")&amp;Effective!$B$20&amp;IF(Effective!$B$21="indian",TEXT(IF(MOD(ABS(Model!AS79),1)=0.5,2*ROUND(ABS(Model!AS79)/2,0),ROUND(ABS(Model!AS79),0)),"[&gt;=10000000]##\,##\,##\,##0;[&gt;=100000]##\,##\,##0;##,##0"),TEXT(IF(MOD(ABS(Model!AS79),1)=0.5,2*ROUND(ABS(Model!AS79)/2,0),ROUND(ABS(Model!AS79),0)),"#,##0"))&amp;" |")</f>
        <v/>
      </c>
    </row>
    <row r="71">
      <c r="D71">
        <f>IF(Model!AT4=0,"","| "&amp;Model!AT1&amp;" | "&amp;IF(Model!AT18&lt;0,"-","")&amp;Effective!$B$20&amp;IF(Effective!$B$21="indian",TEXT(IF(MOD(ABS(Model!AT18),1)=0.5,2*ROUND(ABS(Model!AT18)/2,0),ROUND(ABS(Model!AT18),0)),"[&gt;=10000000]##\,##\,##\,##0;[&gt;=100000]##\,##\,##0;##,##0"),TEXT(IF(MOD(ABS(Model!AT18),1)=0.5,2*ROUND(ABS(Model!AT18)/2,0),ROUND(ABS(Model!AT18),0)),"#,##0"))&amp;" | "&amp;IF(Model!AT45&lt;0,"-","")&amp;Effective!$B$20&amp;IF(Effective!$B$21="indian",TEXT(IF(MOD(ABS(Model!AT45),1)=0.5,2*ROUND(ABS(Model!AT45)/2,0),ROUND(ABS(Model!AT45),0)),"[&gt;=10000000]##\,##\,##\,##0;[&gt;=100000]##\,##\,##0;##,##0"),TEXT(IF(MOD(ABS(Model!AT45),1)=0.5,2*ROUND(ABS(Model!AT45)/2,0),ROUND(ABS(Model!AT45),0)),"#,##0"))&amp;" | "&amp;IF(Model!AT70&lt;0,"-","")&amp;Effective!$B$20&amp;IF(Effective!$B$21="indian",TEXT(IF(MOD(ABS(Model!AT70),1)=0.5,2*ROUND(ABS(Model!AT70)/2,0),ROUND(ABS(Model!AT70),0)),"[&gt;=10000000]##\,##\,##\,##0;[&gt;=100000]##\,##\,##0;##,##0"),TEXT(IF(MOD(ABS(Model!AT70),1)=0.5,2*ROUND(ABS(Model!AT70)/2,0),ROUND(ABS(Model!AT70),0)),"#,##0"))&amp;" | "&amp;IF(Model!AT79&lt;0,"-","")&amp;Effective!$B$20&amp;IF(Effective!$B$21="indian",TEXT(IF(MOD(ABS(Model!AT79),1)=0.5,2*ROUND(ABS(Model!AT79)/2,0),ROUND(ABS(Model!AT79),0)),"[&gt;=10000000]##\,##\,##\,##0;[&gt;=100000]##\,##\,##0;##,##0"),TEXT(IF(MOD(ABS(Model!AT79),1)=0.5,2*ROUND(ABS(Model!AT79)/2,0),ROUND(ABS(Model!AT79),0)),"#,##0"))&amp;" |")</f>
        <v/>
      </c>
    </row>
    <row r="72">
      <c r="D72">
        <f>IF(Model!AU4=0,"","| "&amp;Model!AU1&amp;" | "&amp;IF(Model!AU18&lt;0,"-","")&amp;Effective!$B$20&amp;IF(Effective!$B$21="indian",TEXT(IF(MOD(ABS(Model!AU18),1)=0.5,2*ROUND(ABS(Model!AU18)/2,0),ROUND(ABS(Model!AU18),0)),"[&gt;=10000000]##\,##\,##\,##0;[&gt;=100000]##\,##\,##0;##,##0"),TEXT(IF(MOD(ABS(Model!AU18),1)=0.5,2*ROUND(ABS(Model!AU18)/2,0),ROUND(ABS(Model!AU18),0)),"#,##0"))&amp;" | "&amp;IF(Model!AU45&lt;0,"-","")&amp;Effective!$B$20&amp;IF(Effective!$B$21="indian",TEXT(IF(MOD(ABS(Model!AU45),1)=0.5,2*ROUND(ABS(Model!AU45)/2,0),ROUND(ABS(Model!AU45),0)),"[&gt;=10000000]##\,##\,##\,##0;[&gt;=100000]##\,##\,##0;##,##0"),TEXT(IF(MOD(ABS(Model!AU45),1)=0.5,2*ROUND(ABS(Model!AU45)/2,0),ROUND(ABS(Model!AU45),0)),"#,##0"))&amp;" | "&amp;IF(Model!AU70&lt;0,"-","")&amp;Effective!$B$20&amp;IF(Effective!$B$21="indian",TEXT(IF(MOD(ABS(Model!AU70),1)=0.5,2*ROUND(ABS(Model!AU70)/2,0),ROUND(ABS(Model!AU70),0)),"[&gt;=10000000]##\,##\,##\,##0;[&gt;=100000]##\,##\,##0;##,##0"),TEXT(IF(MOD(ABS(Model!AU70),1)=0.5,2*ROUND(ABS(Model!AU70)/2,0),ROUND(ABS(Model!AU70),0)),"#,##0"))&amp;" | "&amp;IF(Model!AU79&lt;0,"-","")&amp;Effective!$B$20&amp;IF(Effective!$B$21="indian",TEXT(IF(MOD(ABS(Model!AU79),1)=0.5,2*ROUND(ABS(Model!AU79)/2,0),ROUND(ABS(Model!AU79),0)),"[&gt;=10000000]##\,##\,##\,##0;[&gt;=100000]##\,##\,##0;##,##0"),TEXT(IF(MOD(ABS(Model!AU79),1)=0.5,2*ROUND(ABS(Model!AU79)/2,0),ROUND(ABS(Model!AU79),0)),"#,##0"))&amp;" |")</f>
        <v/>
      </c>
    </row>
    <row r="73">
      <c r="D73">
        <f>IF(Model!AV4=0,"","| "&amp;Model!AV1&amp;" | "&amp;IF(Model!AV18&lt;0,"-","")&amp;Effective!$B$20&amp;IF(Effective!$B$21="indian",TEXT(IF(MOD(ABS(Model!AV18),1)=0.5,2*ROUND(ABS(Model!AV18)/2,0),ROUND(ABS(Model!AV18),0)),"[&gt;=10000000]##\,##\,##\,##0;[&gt;=100000]##\,##\,##0;##,##0"),TEXT(IF(MOD(ABS(Model!AV18),1)=0.5,2*ROUND(ABS(Model!AV18)/2,0),ROUND(ABS(Model!AV18),0)),"#,##0"))&amp;" | "&amp;IF(Model!AV45&lt;0,"-","")&amp;Effective!$B$20&amp;IF(Effective!$B$21="indian",TEXT(IF(MOD(ABS(Model!AV45),1)=0.5,2*ROUND(ABS(Model!AV45)/2,0),ROUND(ABS(Model!AV45),0)),"[&gt;=10000000]##\,##\,##\,##0;[&gt;=100000]##\,##\,##0;##,##0"),TEXT(IF(MOD(ABS(Model!AV45),1)=0.5,2*ROUND(ABS(Model!AV45)/2,0),ROUND(ABS(Model!AV45),0)),"#,##0"))&amp;" | "&amp;IF(Model!AV70&lt;0,"-","")&amp;Effective!$B$20&amp;IF(Effective!$B$21="indian",TEXT(IF(MOD(ABS(Model!AV70),1)=0.5,2*ROUND(ABS(Model!AV70)/2,0),ROUND(ABS(Model!AV70),0)),"[&gt;=10000000]##\,##\,##\,##0;[&gt;=100000]##\,##\,##0;##,##0"),TEXT(IF(MOD(ABS(Model!AV70),1)=0.5,2*ROUND(ABS(Model!AV70)/2,0),ROUND(ABS(Model!AV70),0)),"#,##0"))&amp;" | "&amp;IF(Model!AV79&lt;0,"-","")&amp;Effective!$B$20&amp;IF(Effective!$B$21="indian",TEXT(IF(MOD(ABS(Model!AV79),1)=0.5,2*ROUND(ABS(Model!AV79)/2,0),ROUND(ABS(Model!AV79),0)),"[&gt;=10000000]##\,##\,##\,##0;[&gt;=100000]##\,##\,##0;##,##0"),TEXT(IF(MOD(ABS(Model!AV79),1)=0.5,2*ROUND(ABS(Model!AV79)/2,0),ROUND(ABS(Model!AV79),0)),"#,##0"))&amp;" |")</f>
        <v/>
      </c>
    </row>
    <row r="74">
      <c r="D74">
        <f>IF(Model!AW4=0,"","| "&amp;Model!AW1&amp;" | "&amp;IF(Model!AW18&lt;0,"-","")&amp;Effective!$B$20&amp;IF(Effective!$B$21="indian",TEXT(IF(MOD(ABS(Model!AW18),1)=0.5,2*ROUND(ABS(Model!AW18)/2,0),ROUND(ABS(Model!AW18),0)),"[&gt;=10000000]##\,##\,##\,##0;[&gt;=100000]##\,##\,##0;##,##0"),TEXT(IF(MOD(ABS(Model!AW18),1)=0.5,2*ROUND(ABS(Model!AW18)/2,0),ROUND(ABS(Model!AW18),0)),"#,##0"))&amp;" | "&amp;IF(Model!AW45&lt;0,"-","")&amp;Effective!$B$20&amp;IF(Effective!$B$21="indian",TEXT(IF(MOD(ABS(Model!AW45),1)=0.5,2*ROUND(ABS(Model!AW45)/2,0),ROUND(ABS(Model!AW45),0)),"[&gt;=10000000]##\,##\,##\,##0;[&gt;=100000]##\,##\,##0;##,##0"),TEXT(IF(MOD(ABS(Model!AW45),1)=0.5,2*ROUND(ABS(Model!AW45)/2,0),ROUND(ABS(Model!AW45),0)),"#,##0"))&amp;" | "&amp;IF(Model!AW70&lt;0,"-","")&amp;Effective!$B$20&amp;IF(Effective!$B$21="indian",TEXT(IF(MOD(ABS(Model!AW70),1)=0.5,2*ROUND(ABS(Model!AW70)/2,0),ROUND(ABS(Model!AW70),0)),"[&gt;=10000000]##\,##\,##\,##0;[&gt;=100000]##\,##\,##0;##,##0"),TEXT(IF(MOD(ABS(Model!AW70),1)=0.5,2*ROUND(ABS(Model!AW70)/2,0),ROUND(ABS(Model!AW70),0)),"#,##0"))&amp;" | "&amp;IF(Model!AW79&lt;0,"-","")&amp;Effective!$B$20&amp;IF(Effective!$B$21="indian",TEXT(IF(MOD(ABS(Model!AW79),1)=0.5,2*ROUND(ABS(Model!AW79)/2,0),ROUND(ABS(Model!AW79),0)),"[&gt;=10000000]##\,##\,##\,##0;[&gt;=100000]##\,##\,##0;##,##0"),TEXT(IF(MOD(ABS(Model!AW79),1)=0.5,2*ROUND(ABS(Model!AW79)/2,0),ROUND(ABS(Model!AW79),0)),"#,##0"))&amp;" |")</f>
        <v/>
      </c>
    </row>
    <row r="75">
      <c r="D75">
        <f>IF(Model!AX4=0,"","| "&amp;Model!AX1&amp;" | "&amp;IF(Model!AX18&lt;0,"-","")&amp;Effective!$B$20&amp;IF(Effective!$B$21="indian",TEXT(IF(MOD(ABS(Model!AX18),1)=0.5,2*ROUND(ABS(Model!AX18)/2,0),ROUND(ABS(Model!AX18),0)),"[&gt;=10000000]##\,##\,##\,##0;[&gt;=100000]##\,##\,##0;##,##0"),TEXT(IF(MOD(ABS(Model!AX18),1)=0.5,2*ROUND(ABS(Model!AX18)/2,0),ROUND(ABS(Model!AX18),0)),"#,##0"))&amp;" | "&amp;IF(Model!AX45&lt;0,"-","")&amp;Effective!$B$20&amp;IF(Effective!$B$21="indian",TEXT(IF(MOD(ABS(Model!AX45),1)=0.5,2*ROUND(ABS(Model!AX45)/2,0),ROUND(ABS(Model!AX45),0)),"[&gt;=10000000]##\,##\,##\,##0;[&gt;=100000]##\,##\,##0;##,##0"),TEXT(IF(MOD(ABS(Model!AX45),1)=0.5,2*ROUND(ABS(Model!AX45)/2,0),ROUND(ABS(Model!AX45),0)),"#,##0"))&amp;" | "&amp;IF(Model!AX70&lt;0,"-","")&amp;Effective!$B$20&amp;IF(Effective!$B$21="indian",TEXT(IF(MOD(ABS(Model!AX70),1)=0.5,2*ROUND(ABS(Model!AX70)/2,0),ROUND(ABS(Model!AX70),0)),"[&gt;=10000000]##\,##\,##\,##0;[&gt;=100000]##\,##\,##0;##,##0"),TEXT(IF(MOD(ABS(Model!AX70),1)=0.5,2*ROUND(ABS(Model!AX70)/2,0),ROUND(ABS(Model!AX70),0)),"#,##0"))&amp;" | "&amp;IF(Model!AX79&lt;0,"-","")&amp;Effective!$B$20&amp;IF(Effective!$B$21="indian",TEXT(IF(MOD(ABS(Model!AX79),1)=0.5,2*ROUND(ABS(Model!AX79)/2,0),ROUND(ABS(Model!AX79),0)),"[&gt;=10000000]##\,##\,##\,##0;[&gt;=100000]##\,##\,##0;##,##0"),TEXT(IF(MOD(ABS(Model!AX79),1)=0.5,2*ROUND(ABS(Model!AX79)/2,0),ROUND(ABS(Model!AX79),0)),"#,##0"))&amp;" |")</f>
        <v/>
      </c>
    </row>
    <row r="76">
      <c r="D76">
        <f>IF(Model!AY4=0,"","| "&amp;Model!AY1&amp;" | "&amp;IF(Model!AY18&lt;0,"-","")&amp;Effective!$B$20&amp;IF(Effective!$B$21="indian",TEXT(IF(MOD(ABS(Model!AY18),1)=0.5,2*ROUND(ABS(Model!AY18)/2,0),ROUND(ABS(Model!AY18),0)),"[&gt;=10000000]##\,##\,##\,##0;[&gt;=100000]##\,##\,##0;##,##0"),TEXT(IF(MOD(ABS(Model!AY18),1)=0.5,2*ROUND(ABS(Model!AY18)/2,0),ROUND(ABS(Model!AY18),0)),"#,##0"))&amp;" | "&amp;IF(Model!AY45&lt;0,"-","")&amp;Effective!$B$20&amp;IF(Effective!$B$21="indian",TEXT(IF(MOD(ABS(Model!AY45),1)=0.5,2*ROUND(ABS(Model!AY45)/2,0),ROUND(ABS(Model!AY45),0)),"[&gt;=10000000]##\,##\,##\,##0;[&gt;=100000]##\,##\,##0;##,##0"),TEXT(IF(MOD(ABS(Model!AY45),1)=0.5,2*ROUND(ABS(Model!AY45)/2,0),ROUND(ABS(Model!AY45),0)),"#,##0"))&amp;" | "&amp;IF(Model!AY70&lt;0,"-","")&amp;Effective!$B$20&amp;IF(Effective!$B$21="indian",TEXT(IF(MOD(ABS(Model!AY70),1)=0.5,2*ROUND(ABS(Model!AY70)/2,0),ROUND(ABS(Model!AY70),0)),"[&gt;=10000000]##\,##\,##\,##0;[&gt;=100000]##\,##\,##0;##,##0"),TEXT(IF(MOD(ABS(Model!AY70),1)=0.5,2*ROUND(ABS(Model!AY70)/2,0),ROUND(ABS(Model!AY70),0)),"#,##0"))&amp;" | "&amp;IF(Model!AY79&lt;0,"-","")&amp;Effective!$B$20&amp;IF(Effective!$B$21="indian",TEXT(IF(MOD(ABS(Model!AY79),1)=0.5,2*ROUND(ABS(Model!AY79)/2,0),ROUND(ABS(Model!AY79),0)),"[&gt;=10000000]##\,##\,##\,##0;[&gt;=100000]##\,##\,##0;##,##0"),TEXT(IF(MOD(ABS(Model!AY79),1)=0.5,2*ROUND(ABS(Model!AY79)/2,0),ROUND(ABS(Model!AY79),0)),"#,##0"))&amp;" |")</f>
        <v/>
      </c>
    </row>
    <row r="77">
      <c r="D77">
        <f>IF(Model!AZ4=0,"","| "&amp;Model!AZ1&amp;" | "&amp;IF(Model!AZ18&lt;0,"-","")&amp;Effective!$B$20&amp;IF(Effective!$B$21="indian",TEXT(IF(MOD(ABS(Model!AZ18),1)=0.5,2*ROUND(ABS(Model!AZ18)/2,0),ROUND(ABS(Model!AZ18),0)),"[&gt;=10000000]##\,##\,##\,##0;[&gt;=100000]##\,##\,##0;##,##0"),TEXT(IF(MOD(ABS(Model!AZ18),1)=0.5,2*ROUND(ABS(Model!AZ18)/2,0),ROUND(ABS(Model!AZ18),0)),"#,##0"))&amp;" | "&amp;IF(Model!AZ45&lt;0,"-","")&amp;Effective!$B$20&amp;IF(Effective!$B$21="indian",TEXT(IF(MOD(ABS(Model!AZ45),1)=0.5,2*ROUND(ABS(Model!AZ45)/2,0),ROUND(ABS(Model!AZ45),0)),"[&gt;=10000000]##\,##\,##\,##0;[&gt;=100000]##\,##\,##0;##,##0"),TEXT(IF(MOD(ABS(Model!AZ45),1)=0.5,2*ROUND(ABS(Model!AZ45)/2,0),ROUND(ABS(Model!AZ45),0)),"#,##0"))&amp;" | "&amp;IF(Model!AZ70&lt;0,"-","")&amp;Effective!$B$20&amp;IF(Effective!$B$21="indian",TEXT(IF(MOD(ABS(Model!AZ70),1)=0.5,2*ROUND(ABS(Model!AZ70)/2,0),ROUND(ABS(Model!AZ70),0)),"[&gt;=10000000]##\,##\,##\,##0;[&gt;=100000]##\,##\,##0;##,##0"),TEXT(IF(MOD(ABS(Model!AZ70),1)=0.5,2*ROUND(ABS(Model!AZ70)/2,0),ROUND(ABS(Model!AZ70),0)),"#,##0"))&amp;" | "&amp;IF(Model!AZ79&lt;0,"-","")&amp;Effective!$B$20&amp;IF(Effective!$B$21="indian",TEXT(IF(MOD(ABS(Model!AZ79),1)=0.5,2*ROUND(ABS(Model!AZ79)/2,0),ROUND(ABS(Model!AZ79),0)),"[&gt;=10000000]##\,##\,##\,##0;[&gt;=100000]##\,##\,##0;##,##0"),TEXT(IF(MOD(ABS(Model!AZ79),1)=0.5,2*ROUND(ABS(Model!AZ79)/2,0),ROUND(ABS(Model!AZ79),0)),"#,##0"))&amp;" |")</f>
        <v/>
      </c>
    </row>
    <row r="78">
      <c r="D78">
        <f>IF(Model!BA4=0,"","| "&amp;Model!BA1&amp;" | "&amp;IF(Model!BA18&lt;0,"-","")&amp;Effective!$B$20&amp;IF(Effective!$B$21="indian",TEXT(IF(MOD(ABS(Model!BA18),1)=0.5,2*ROUND(ABS(Model!BA18)/2,0),ROUND(ABS(Model!BA18),0)),"[&gt;=10000000]##\,##\,##\,##0;[&gt;=100000]##\,##\,##0;##,##0"),TEXT(IF(MOD(ABS(Model!BA18),1)=0.5,2*ROUND(ABS(Model!BA18)/2,0),ROUND(ABS(Model!BA18),0)),"#,##0"))&amp;" | "&amp;IF(Model!BA45&lt;0,"-","")&amp;Effective!$B$20&amp;IF(Effective!$B$21="indian",TEXT(IF(MOD(ABS(Model!BA45),1)=0.5,2*ROUND(ABS(Model!BA45)/2,0),ROUND(ABS(Model!BA45),0)),"[&gt;=10000000]##\,##\,##\,##0;[&gt;=100000]##\,##\,##0;##,##0"),TEXT(IF(MOD(ABS(Model!BA45),1)=0.5,2*ROUND(ABS(Model!BA45)/2,0),ROUND(ABS(Model!BA45),0)),"#,##0"))&amp;" | "&amp;IF(Model!BA70&lt;0,"-","")&amp;Effective!$B$20&amp;IF(Effective!$B$21="indian",TEXT(IF(MOD(ABS(Model!BA70),1)=0.5,2*ROUND(ABS(Model!BA70)/2,0),ROUND(ABS(Model!BA70),0)),"[&gt;=10000000]##\,##\,##\,##0;[&gt;=100000]##\,##\,##0;##,##0"),TEXT(IF(MOD(ABS(Model!BA70),1)=0.5,2*ROUND(ABS(Model!BA70)/2,0),ROUND(ABS(Model!BA70),0)),"#,##0"))&amp;" | "&amp;IF(Model!BA79&lt;0,"-","")&amp;Effective!$B$20&amp;IF(Effective!$B$21="indian",TEXT(IF(MOD(ABS(Model!BA79),1)=0.5,2*ROUND(ABS(Model!BA79)/2,0),ROUND(ABS(Model!BA79),0)),"[&gt;=10000000]##\,##\,##\,##0;[&gt;=100000]##\,##\,##0;##,##0"),TEXT(IF(MOD(ABS(Model!BA79),1)=0.5,2*ROUND(ABS(Model!BA79)/2,0),ROUND(ABS(Model!BA79),0)),"#,##0"))&amp;" |")</f>
        <v/>
      </c>
    </row>
    <row r="79">
      <c r="D79">
        <f>IF(Model!BB4=0,"","| "&amp;Model!BB1&amp;" | "&amp;IF(Model!BB18&lt;0,"-","")&amp;Effective!$B$20&amp;IF(Effective!$B$21="indian",TEXT(IF(MOD(ABS(Model!BB18),1)=0.5,2*ROUND(ABS(Model!BB18)/2,0),ROUND(ABS(Model!BB18),0)),"[&gt;=10000000]##\,##\,##\,##0;[&gt;=100000]##\,##\,##0;##,##0"),TEXT(IF(MOD(ABS(Model!BB18),1)=0.5,2*ROUND(ABS(Model!BB18)/2,0),ROUND(ABS(Model!BB18),0)),"#,##0"))&amp;" | "&amp;IF(Model!BB45&lt;0,"-","")&amp;Effective!$B$20&amp;IF(Effective!$B$21="indian",TEXT(IF(MOD(ABS(Model!BB45),1)=0.5,2*ROUND(ABS(Model!BB45)/2,0),ROUND(ABS(Model!BB45),0)),"[&gt;=10000000]##\,##\,##\,##0;[&gt;=100000]##\,##\,##0;##,##0"),TEXT(IF(MOD(ABS(Model!BB45),1)=0.5,2*ROUND(ABS(Model!BB45)/2,0),ROUND(ABS(Model!BB45),0)),"#,##0"))&amp;" | "&amp;IF(Model!BB70&lt;0,"-","")&amp;Effective!$B$20&amp;IF(Effective!$B$21="indian",TEXT(IF(MOD(ABS(Model!BB70),1)=0.5,2*ROUND(ABS(Model!BB70)/2,0),ROUND(ABS(Model!BB70),0)),"[&gt;=10000000]##\,##\,##\,##0;[&gt;=100000]##\,##\,##0;##,##0"),TEXT(IF(MOD(ABS(Model!BB70),1)=0.5,2*ROUND(ABS(Model!BB70)/2,0),ROUND(ABS(Model!BB70),0)),"#,##0"))&amp;" | "&amp;IF(Model!BB79&lt;0,"-","")&amp;Effective!$B$20&amp;IF(Effective!$B$21="indian",TEXT(IF(MOD(ABS(Model!BB79),1)=0.5,2*ROUND(ABS(Model!BB79)/2,0),ROUND(ABS(Model!BB79),0)),"[&gt;=10000000]##\,##\,##\,##0;[&gt;=100000]##\,##\,##0;##,##0"),TEXT(IF(MOD(ABS(Model!BB79),1)=0.5,2*ROUND(ABS(Model!BB79)/2,0),ROUND(ABS(Model!BB79),0)),"#,##0"))&amp;" |")</f>
        <v/>
      </c>
    </row>
    <row r="80">
      <c r="D80">
        <f>IF(Model!BC4=0,"","| "&amp;Model!BC1&amp;" | "&amp;IF(Model!BC18&lt;0,"-","")&amp;Effective!$B$20&amp;IF(Effective!$B$21="indian",TEXT(IF(MOD(ABS(Model!BC18),1)=0.5,2*ROUND(ABS(Model!BC18)/2,0),ROUND(ABS(Model!BC18),0)),"[&gt;=10000000]##\,##\,##\,##0;[&gt;=100000]##\,##\,##0;##,##0"),TEXT(IF(MOD(ABS(Model!BC18),1)=0.5,2*ROUND(ABS(Model!BC18)/2,0),ROUND(ABS(Model!BC18),0)),"#,##0"))&amp;" | "&amp;IF(Model!BC45&lt;0,"-","")&amp;Effective!$B$20&amp;IF(Effective!$B$21="indian",TEXT(IF(MOD(ABS(Model!BC45),1)=0.5,2*ROUND(ABS(Model!BC45)/2,0),ROUND(ABS(Model!BC45),0)),"[&gt;=10000000]##\,##\,##\,##0;[&gt;=100000]##\,##\,##0;##,##0"),TEXT(IF(MOD(ABS(Model!BC45),1)=0.5,2*ROUND(ABS(Model!BC45)/2,0),ROUND(ABS(Model!BC45),0)),"#,##0"))&amp;" | "&amp;IF(Model!BC70&lt;0,"-","")&amp;Effective!$B$20&amp;IF(Effective!$B$21="indian",TEXT(IF(MOD(ABS(Model!BC70),1)=0.5,2*ROUND(ABS(Model!BC70)/2,0),ROUND(ABS(Model!BC70),0)),"[&gt;=10000000]##\,##\,##\,##0;[&gt;=100000]##\,##\,##0;##,##0"),TEXT(IF(MOD(ABS(Model!BC70),1)=0.5,2*ROUND(ABS(Model!BC70)/2,0),ROUND(ABS(Model!BC70),0)),"#,##0"))&amp;" | "&amp;IF(Model!BC79&lt;0,"-","")&amp;Effective!$B$20&amp;IF(Effective!$B$21="indian",TEXT(IF(MOD(ABS(Model!BC79),1)=0.5,2*ROUND(ABS(Model!BC79)/2,0),ROUND(ABS(Model!BC79),0)),"[&gt;=10000000]##\,##\,##\,##0;[&gt;=100000]##\,##\,##0;##,##0"),TEXT(IF(MOD(ABS(Model!BC79),1)=0.5,2*ROUND(ABS(Model!BC79)/2,0),ROUND(ABS(Model!BC79),0)),"#,##0"))&amp;" |")</f>
        <v/>
      </c>
    </row>
    <row r="81">
      <c r="D81">
        <f>IF(Model!BD4=0,"","| "&amp;Model!BD1&amp;" | "&amp;IF(Model!BD18&lt;0,"-","")&amp;Effective!$B$20&amp;IF(Effective!$B$21="indian",TEXT(IF(MOD(ABS(Model!BD18),1)=0.5,2*ROUND(ABS(Model!BD18)/2,0),ROUND(ABS(Model!BD18),0)),"[&gt;=10000000]##\,##\,##\,##0;[&gt;=100000]##\,##\,##0;##,##0"),TEXT(IF(MOD(ABS(Model!BD18),1)=0.5,2*ROUND(ABS(Model!BD18)/2,0),ROUND(ABS(Model!BD18),0)),"#,##0"))&amp;" | "&amp;IF(Model!BD45&lt;0,"-","")&amp;Effective!$B$20&amp;IF(Effective!$B$21="indian",TEXT(IF(MOD(ABS(Model!BD45),1)=0.5,2*ROUND(ABS(Model!BD45)/2,0),ROUND(ABS(Model!BD45),0)),"[&gt;=10000000]##\,##\,##\,##0;[&gt;=100000]##\,##\,##0;##,##0"),TEXT(IF(MOD(ABS(Model!BD45),1)=0.5,2*ROUND(ABS(Model!BD45)/2,0),ROUND(ABS(Model!BD45),0)),"#,##0"))&amp;" | "&amp;IF(Model!BD70&lt;0,"-","")&amp;Effective!$B$20&amp;IF(Effective!$B$21="indian",TEXT(IF(MOD(ABS(Model!BD70),1)=0.5,2*ROUND(ABS(Model!BD70)/2,0),ROUND(ABS(Model!BD70),0)),"[&gt;=10000000]##\,##\,##\,##0;[&gt;=100000]##\,##\,##0;##,##0"),TEXT(IF(MOD(ABS(Model!BD70),1)=0.5,2*ROUND(ABS(Model!BD70)/2,0),ROUND(ABS(Model!BD70),0)),"#,##0"))&amp;" | "&amp;IF(Model!BD79&lt;0,"-","")&amp;Effective!$B$20&amp;IF(Effective!$B$21="indian",TEXT(IF(MOD(ABS(Model!BD79),1)=0.5,2*ROUND(ABS(Model!BD79)/2,0),ROUND(ABS(Model!BD79),0)),"[&gt;=10000000]##\,##\,##\,##0;[&gt;=100000]##\,##\,##0;##,##0"),TEXT(IF(MOD(ABS(Model!BD79),1)=0.5,2*ROUND(ABS(Model!BD79)/2,0),ROUND(ABS(Model!BD79),0)),"#,##0"))&amp;" |")</f>
        <v/>
      </c>
    </row>
    <row r="82">
      <c r="D82">
        <f>IF(Model!BE4=0,"","| "&amp;Model!BE1&amp;" | "&amp;IF(Model!BE18&lt;0,"-","")&amp;Effective!$B$20&amp;IF(Effective!$B$21="indian",TEXT(IF(MOD(ABS(Model!BE18),1)=0.5,2*ROUND(ABS(Model!BE18)/2,0),ROUND(ABS(Model!BE18),0)),"[&gt;=10000000]##\,##\,##\,##0;[&gt;=100000]##\,##\,##0;##,##0"),TEXT(IF(MOD(ABS(Model!BE18),1)=0.5,2*ROUND(ABS(Model!BE18)/2,0),ROUND(ABS(Model!BE18),0)),"#,##0"))&amp;" | "&amp;IF(Model!BE45&lt;0,"-","")&amp;Effective!$B$20&amp;IF(Effective!$B$21="indian",TEXT(IF(MOD(ABS(Model!BE45),1)=0.5,2*ROUND(ABS(Model!BE45)/2,0),ROUND(ABS(Model!BE45),0)),"[&gt;=10000000]##\,##\,##\,##0;[&gt;=100000]##\,##\,##0;##,##0"),TEXT(IF(MOD(ABS(Model!BE45),1)=0.5,2*ROUND(ABS(Model!BE45)/2,0),ROUND(ABS(Model!BE45),0)),"#,##0"))&amp;" | "&amp;IF(Model!BE70&lt;0,"-","")&amp;Effective!$B$20&amp;IF(Effective!$B$21="indian",TEXT(IF(MOD(ABS(Model!BE70),1)=0.5,2*ROUND(ABS(Model!BE70)/2,0),ROUND(ABS(Model!BE70),0)),"[&gt;=10000000]##\,##\,##\,##0;[&gt;=100000]##\,##\,##0;##,##0"),TEXT(IF(MOD(ABS(Model!BE70),1)=0.5,2*ROUND(ABS(Model!BE70)/2,0),ROUND(ABS(Model!BE70),0)),"#,##0"))&amp;" | "&amp;IF(Model!BE79&lt;0,"-","")&amp;Effective!$B$20&amp;IF(Effective!$B$21="indian",TEXT(IF(MOD(ABS(Model!BE79),1)=0.5,2*ROUND(ABS(Model!BE79)/2,0),ROUND(ABS(Model!BE79),0)),"[&gt;=10000000]##\,##\,##\,##0;[&gt;=100000]##\,##\,##0;##,##0"),TEXT(IF(MOD(ABS(Model!BE79),1)=0.5,2*ROUND(ABS(Model!BE79)/2,0),ROUND(ABS(Model!BE79),0)),"#,##0"))&amp;" |")</f>
        <v/>
      </c>
    </row>
    <row r="83">
      <c r="D83">
        <f>IF(Model!BF4=0,"","| "&amp;Model!BF1&amp;" | "&amp;IF(Model!BF18&lt;0,"-","")&amp;Effective!$B$20&amp;IF(Effective!$B$21="indian",TEXT(IF(MOD(ABS(Model!BF18),1)=0.5,2*ROUND(ABS(Model!BF18)/2,0),ROUND(ABS(Model!BF18),0)),"[&gt;=10000000]##\,##\,##\,##0;[&gt;=100000]##\,##\,##0;##,##0"),TEXT(IF(MOD(ABS(Model!BF18),1)=0.5,2*ROUND(ABS(Model!BF18)/2,0),ROUND(ABS(Model!BF18),0)),"#,##0"))&amp;" | "&amp;IF(Model!BF45&lt;0,"-","")&amp;Effective!$B$20&amp;IF(Effective!$B$21="indian",TEXT(IF(MOD(ABS(Model!BF45),1)=0.5,2*ROUND(ABS(Model!BF45)/2,0),ROUND(ABS(Model!BF45),0)),"[&gt;=10000000]##\,##\,##\,##0;[&gt;=100000]##\,##\,##0;##,##0"),TEXT(IF(MOD(ABS(Model!BF45),1)=0.5,2*ROUND(ABS(Model!BF45)/2,0),ROUND(ABS(Model!BF45),0)),"#,##0"))&amp;" | "&amp;IF(Model!BF70&lt;0,"-","")&amp;Effective!$B$20&amp;IF(Effective!$B$21="indian",TEXT(IF(MOD(ABS(Model!BF70),1)=0.5,2*ROUND(ABS(Model!BF70)/2,0),ROUND(ABS(Model!BF70),0)),"[&gt;=10000000]##\,##\,##\,##0;[&gt;=100000]##\,##\,##0;##,##0"),TEXT(IF(MOD(ABS(Model!BF70),1)=0.5,2*ROUND(ABS(Model!BF70)/2,0),ROUND(ABS(Model!BF70),0)),"#,##0"))&amp;" | "&amp;IF(Model!BF79&lt;0,"-","")&amp;Effective!$B$20&amp;IF(Effective!$B$21="indian",TEXT(IF(MOD(ABS(Model!BF79),1)=0.5,2*ROUND(ABS(Model!BF79)/2,0),ROUND(ABS(Model!BF79),0)),"[&gt;=10000000]##\,##\,##\,##0;[&gt;=100000]##\,##\,##0;##,##0"),TEXT(IF(MOD(ABS(Model!BF79),1)=0.5,2*ROUND(ABS(Model!BF79)/2,0),ROUND(ABS(Model!BF79),0)),"#,##0"))&amp;" |")</f>
        <v/>
      </c>
    </row>
    <row r="84">
      <c r="D84">
        <f>IF(Model!BG4=0,"","| "&amp;Model!BG1&amp;" | "&amp;IF(Model!BG18&lt;0,"-","")&amp;Effective!$B$20&amp;IF(Effective!$B$21="indian",TEXT(IF(MOD(ABS(Model!BG18),1)=0.5,2*ROUND(ABS(Model!BG18)/2,0),ROUND(ABS(Model!BG18),0)),"[&gt;=10000000]##\,##\,##\,##0;[&gt;=100000]##\,##\,##0;##,##0"),TEXT(IF(MOD(ABS(Model!BG18),1)=0.5,2*ROUND(ABS(Model!BG18)/2,0),ROUND(ABS(Model!BG18),0)),"#,##0"))&amp;" | "&amp;IF(Model!BG45&lt;0,"-","")&amp;Effective!$B$20&amp;IF(Effective!$B$21="indian",TEXT(IF(MOD(ABS(Model!BG45),1)=0.5,2*ROUND(ABS(Model!BG45)/2,0),ROUND(ABS(Model!BG45),0)),"[&gt;=10000000]##\,##\,##\,##0;[&gt;=100000]##\,##\,##0;##,##0"),TEXT(IF(MOD(ABS(Model!BG45),1)=0.5,2*ROUND(ABS(Model!BG45)/2,0),ROUND(ABS(Model!BG45),0)),"#,##0"))&amp;" | "&amp;IF(Model!BG70&lt;0,"-","")&amp;Effective!$B$20&amp;IF(Effective!$B$21="indian",TEXT(IF(MOD(ABS(Model!BG70),1)=0.5,2*ROUND(ABS(Model!BG70)/2,0),ROUND(ABS(Model!BG70),0)),"[&gt;=10000000]##\,##\,##\,##0;[&gt;=100000]##\,##\,##0;##,##0"),TEXT(IF(MOD(ABS(Model!BG70),1)=0.5,2*ROUND(ABS(Model!BG70)/2,0),ROUND(ABS(Model!BG70),0)),"#,##0"))&amp;" | "&amp;IF(Model!BG79&lt;0,"-","")&amp;Effective!$B$20&amp;IF(Effective!$B$21="indian",TEXT(IF(MOD(ABS(Model!BG79),1)=0.5,2*ROUND(ABS(Model!BG79)/2,0),ROUND(ABS(Model!BG79),0)),"[&gt;=10000000]##\,##\,##\,##0;[&gt;=100000]##\,##\,##0;##,##0"),TEXT(IF(MOD(ABS(Model!BG79),1)=0.5,2*ROUND(ABS(Model!BG79)/2,0),ROUND(ABS(Model!BG79),0)),"#,##0"))&amp;" |")</f>
        <v/>
      </c>
    </row>
    <row r="85">
      <c r="D85">
        <f>IF(Model!BH4=0,"","| "&amp;Model!BH1&amp;" | "&amp;IF(Model!BH18&lt;0,"-","")&amp;Effective!$B$20&amp;IF(Effective!$B$21="indian",TEXT(IF(MOD(ABS(Model!BH18),1)=0.5,2*ROUND(ABS(Model!BH18)/2,0),ROUND(ABS(Model!BH18),0)),"[&gt;=10000000]##\,##\,##\,##0;[&gt;=100000]##\,##\,##0;##,##0"),TEXT(IF(MOD(ABS(Model!BH18),1)=0.5,2*ROUND(ABS(Model!BH18)/2,0),ROUND(ABS(Model!BH18),0)),"#,##0"))&amp;" | "&amp;IF(Model!BH45&lt;0,"-","")&amp;Effective!$B$20&amp;IF(Effective!$B$21="indian",TEXT(IF(MOD(ABS(Model!BH45),1)=0.5,2*ROUND(ABS(Model!BH45)/2,0),ROUND(ABS(Model!BH45),0)),"[&gt;=10000000]##\,##\,##\,##0;[&gt;=100000]##\,##\,##0;##,##0"),TEXT(IF(MOD(ABS(Model!BH45),1)=0.5,2*ROUND(ABS(Model!BH45)/2,0),ROUND(ABS(Model!BH45),0)),"#,##0"))&amp;" | "&amp;IF(Model!BH70&lt;0,"-","")&amp;Effective!$B$20&amp;IF(Effective!$B$21="indian",TEXT(IF(MOD(ABS(Model!BH70),1)=0.5,2*ROUND(ABS(Model!BH70)/2,0),ROUND(ABS(Model!BH70),0)),"[&gt;=10000000]##\,##\,##\,##0;[&gt;=100000]##\,##\,##0;##,##0"),TEXT(IF(MOD(ABS(Model!BH70),1)=0.5,2*ROUND(ABS(Model!BH70)/2,0),ROUND(ABS(Model!BH70),0)),"#,##0"))&amp;" | "&amp;IF(Model!BH79&lt;0,"-","")&amp;Effective!$B$20&amp;IF(Effective!$B$21="indian",TEXT(IF(MOD(ABS(Model!BH79),1)=0.5,2*ROUND(ABS(Model!BH79)/2,0),ROUND(ABS(Model!BH79),0)),"[&gt;=10000000]##\,##\,##\,##0;[&gt;=100000]##\,##\,##0;##,##0"),TEXT(IF(MOD(ABS(Model!BH79),1)=0.5,2*ROUND(ABS(Model!BH79)/2,0),ROUND(ABS(Model!BH79),0)),"#,##0"))&amp;" |")</f>
        <v/>
      </c>
    </row>
    <row r="86">
      <c r="D86">
        <f>IF(Model!BI4=0,"","| "&amp;Model!BI1&amp;" | "&amp;IF(Model!BI18&lt;0,"-","")&amp;Effective!$B$20&amp;IF(Effective!$B$21="indian",TEXT(IF(MOD(ABS(Model!BI18),1)=0.5,2*ROUND(ABS(Model!BI18)/2,0),ROUND(ABS(Model!BI18),0)),"[&gt;=10000000]##\,##\,##\,##0;[&gt;=100000]##\,##\,##0;##,##0"),TEXT(IF(MOD(ABS(Model!BI18),1)=0.5,2*ROUND(ABS(Model!BI18)/2,0),ROUND(ABS(Model!BI18),0)),"#,##0"))&amp;" | "&amp;IF(Model!BI45&lt;0,"-","")&amp;Effective!$B$20&amp;IF(Effective!$B$21="indian",TEXT(IF(MOD(ABS(Model!BI45),1)=0.5,2*ROUND(ABS(Model!BI45)/2,0),ROUND(ABS(Model!BI45),0)),"[&gt;=10000000]##\,##\,##\,##0;[&gt;=100000]##\,##\,##0;##,##0"),TEXT(IF(MOD(ABS(Model!BI45),1)=0.5,2*ROUND(ABS(Model!BI45)/2,0),ROUND(ABS(Model!BI45),0)),"#,##0"))&amp;" | "&amp;IF(Model!BI70&lt;0,"-","")&amp;Effective!$B$20&amp;IF(Effective!$B$21="indian",TEXT(IF(MOD(ABS(Model!BI70),1)=0.5,2*ROUND(ABS(Model!BI70)/2,0),ROUND(ABS(Model!BI70),0)),"[&gt;=10000000]##\,##\,##\,##0;[&gt;=100000]##\,##\,##0;##,##0"),TEXT(IF(MOD(ABS(Model!BI70),1)=0.5,2*ROUND(ABS(Model!BI70)/2,0),ROUND(ABS(Model!BI70),0)),"#,##0"))&amp;" | "&amp;IF(Model!BI79&lt;0,"-","")&amp;Effective!$B$20&amp;IF(Effective!$B$21="indian",TEXT(IF(MOD(ABS(Model!BI79),1)=0.5,2*ROUND(ABS(Model!BI79)/2,0),ROUND(ABS(Model!BI79),0)),"[&gt;=10000000]##\,##\,##\,##0;[&gt;=100000]##\,##\,##0;##,##0"),TEXT(IF(MOD(ABS(Model!BI79),1)=0.5,2*ROUND(ABS(Model!BI79)/2,0),ROUND(ABS(Model!BI79),0)),"#,##0"))&amp;" |")</f>
        <v/>
      </c>
    </row>
    <row r="87">
      <c r="D87">
        <f>IF(Model!BJ4=0,"","| "&amp;Model!BJ1&amp;" | "&amp;IF(Model!BJ18&lt;0,"-","")&amp;Effective!$B$20&amp;IF(Effective!$B$21="indian",TEXT(IF(MOD(ABS(Model!BJ18),1)=0.5,2*ROUND(ABS(Model!BJ18)/2,0),ROUND(ABS(Model!BJ18),0)),"[&gt;=10000000]##\,##\,##\,##0;[&gt;=100000]##\,##\,##0;##,##0"),TEXT(IF(MOD(ABS(Model!BJ18),1)=0.5,2*ROUND(ABS(Model!BJ18)/2,0),ROUND(ABS(Model!BJ18),0)),"#,##0"))&amp;" | "&amp;IF(Model!BJ45&lt;0,"-","")&amp;Effective!$B$20&amp;IF(Effective!$B$21="indian",TEXT(IF(MOD(ABS(Model!BJ45),1)=0.5,2*ROUND(ABS(Model!BJ45)/2,0),ROUND(ABS(Model!BJ45),0)),"[&gt;=10000000]##\,##\,##\,##0;[&gt;=100000]##\,##\,##0;##,##0"),TEXT(IF(MOD(ABS(Model!BJ45),1)=0.5,2*ROUND(ABS(Model!BJ45)/2,0),ROUND(ABS(Model!BJ45),0)),"#,##0"))&amp;" | "&amp;IF(Model!BJ70&lt;0,"-","")&amp;Effective!$B$20&amp;IF(Effective!$B$21="indian",TEXT(IF(MOD(ABS(Model!BJ70),1)=0.5,2*ROUND(ABS(Model!BJ70)/2,0),ROUND(ABS(Model!BJ70),0)),"[&gt;=10000000]##\,##\,##\,##0;[&gt;=100000]##\,##\,##0;##,##0"),TEXT(IF(MOD(ABS(Model!BJ70),1)=0.5,2*ROUND(ABS(Model!BJ70)/2,0),ROUND(ABS(Model!BJ70),0)),"#,##0"))&amp;" | "&amp;IF(Model!BJ79&lt;0,"-","")&amp;Effective!$B$20&amp;IF(Effective!$B$21="indian",TEXT(IF(MOD(ABS(Model!BJ79),1)=0.5,2*ROUND(ABS(Model!BJ79)/2,0),ROUND(ABS(Model!BJ79),0)),"[&gt;=10000000]##\,##\,##\,##0;[&gt;=100000]##\,##\,##0;##,##0"),TEXT(IF(MOD(ABS(Model!BJ79),1)=0.5,2*ROUND(ABS(Model!BJ79)/2,0),ROUND(ABS(Model!BJ79),0)),"#,##0"))&amp;" |")</f>
        <v/>
      </c>
    </row>
    <row r="88">
      <c r="D88">
        <f>IF(Model!BK4=0,"","| "&amp;Model!BK1&amp;" | "&amp;IF(Model!BK18&lt;0,"-","")&amp;Effective!$B$20&amp;IF(Effective!$B$21="indian",TEXT(IF(MOD(ABS(Model!BK18),1)=0.5,2*ROUND(ABS(Model!BK18)/2,0),ROUND(ABS(Model!BK18),0)),"[&gt;=10000000]##\,##\,##\,##0;[&gt;=100000]##\,##\,##0;##,##0"),TEXT(IF(MOD(ABS(Model!BK18),1)=0.5,2*ROUND(ABS(Model!BK18)/2,0),ROUND(ABS(Model!BK18),0)),"#,##0"))&amp;" | "&amp;IF(Model!BK45&lt;0,"-","")&amp;Effective!$B$20&amp;IF(Effective!$B$21="indian",TEXT(IF(MOD(ABS(Model!BK45),1)=0.5,2*ROUND(ABS(Model!BK45)/2,0),ROUND(ABS(Model!BK45),0)),"[&gt;=10000000]##\,##\,##\,##0;[&gt;=100000]##\,##\,##0;##,##0"),TEXT(IF(MOD(ABS(Model!BK45),1)=0.5,2*ROUND(ABS(Model!BK45)/2,0),ROUND(ABS(Model!BK45),0)),"#,##0"))&amp;" | "&amp;IF(Model!BK70&lt;0,"-","")&amp;Effective!$B$20&amp;IF(Effective!$B$21="indian",TEXT(IF(MOD(ABS(Model!BK70),1)=0.5,2*ROUND(ABS(Model!BK70)/2,0),ROUND(ABS(Model!BK70),0)),"[&gt;=10000000]##\,##\,##\,##0;[&gt;=100000]##\,##\,##0;##,##0"),TEXT(IF(MOD(ABS(Model!BK70),1)=0.5,2*ROUND(ABS(Model!BK70)/2,0),ROUND(ABS(Model!BK70),0)),"#,##0"))&amp;" | "&amp;IF(Model!BK79&lt;0,"-","")&amp;Effective!$B$20&amp;IF(Effective!$B$21="indian",TEXT(IF(MOD(ABS(Model!BK79),1)=0.5,2*ROUND(ABS(Model!BK79)/2,0),ROUND(ABS(Model!BK79),0)),"[&gt;=10000000]##\,##\,##\,##0;[&gt;=100000]##\,##\,##0;##,##0"),TEXT(IF(MOD(ABS(Model!BK79),1)=0.5,2*ROUND(ABS(Model!BK79)/2,0),ROUND(ABS(Model!BK79),0)),"#,##0"))&amp;" |")</f>
        <v/>
      </c>
    </row>
    <row r="89">
      <c r="D89">
        <f>IF(Model!BL4=0,"","| "&amp;Model!BL1&amp;" | "&amp;IF(Model!BL18&lt;0,"-","")&amp;Effective!$B$20&amp;IF(Effective!$B$21="indian",TEXT(IF(MOD(ABS(Model!BL18),1)=0.5,2*ROUND(ABS(Model!BL18)/2,0),ROUND(ABS(Model!BL18),0)),"[&gt;=10000000]##\,##\,##\,##0;[&gt;=100000]##\,##\,##0;##,##0"),TEXT(IF(MOD(ABS(Model!BL18),1)=0.5,2*ROUND(ABS(Model!BL18)/2,0),ROUND(ABS(Model!BL18),0)),"#,##0"))&amp;" | "&amp;IF(Model!BL45&lt;0,"-","")&amp;Effective!$B$20&amp;IF(Effective!$B$21="indian",TEXT(IF(MOD(ABS(Model!BL45),1)=0.5,2*ROUND(ABS(Model!BL45)/2,0),ROUND(ABS(Model!BL45),0)),"[&gt;=10000000]##\,##\,##\,##0;[&gt;=100000]##\,##\,##0;##,##0"),TEXT(IF(MOD(ABS(Model!BL45),1)=0.5,2*ROUND(ABS(Model!BL45)/2,0),ROUND(ABS(Model!BL45),0)),"#,##0"))&amp;" | "&amp;IF(Model!BL70&lt;0,"-","")&amp;Effective!$B$20&amp;IF(Effective!$B$21="indian",TEXT(IF(MOD(ABS(Model!BL70),1)=0.5,2*ROUND(ABS(Model!BL70)/2,0),ROUND(ABS(Model!BL70),0)),"[&gt;=10000000]##\,##\,##\,##0;[&gt;=100000]##\,##\,##0;##,##0"),TEXT(IF(MOD(ABS(Model!BL70),1)=0.5,2*ROUND(ABS(Model!BL70)/2,0),ROUND(ABS(Model!BL70),0)),"#,##0"))&amp;" | "&amp;IF(Model!BL79&lt;0,"-","")&amp;Effective!$B$20&amp;IF(Effective!$B$21="indian",TEXT(IF(MOD(ABS(Model!BL79),1)=0.5,2*ROUND(ABS(Model!BL79)/2,0),ROUND(ABS(Model!BL79),0)),"[&gt;=10000000]##\,##\,##\,##0;[&gt;=100000]##\,##\,##0;##,##0"),TEXT(IF(MOD(ABS(Model!BL79),1)=0.5,2*ROUND(ABS(Model!BL79)/2,0),ROUND(ABS(Model!BL79),0)),"#,##0"))&amp;" |")</f>
        <v/>
      </c>
    </row>
    <row r="90">
      <c r="D90">
        <f>IF(Model!BM4=0,"","| "&amp;Model!BM1&amp;" | "&amp;IF(Model!BM18&lt;0,"-","")&amp;Effective!$B$20&amp;IF(Effective!$B$21="indian",TEXT(IF(MOD(ABS(Model!BM18),1)=0.5,2*ROUND(ABS(Model!BM18)/2,0),ROUND(ABS(Model!BM18),0)),"[&gt;=10000000]##\,##\,##\,##0;[&gt;=100000]##\,##\,##0;##,##0"),TEXT(IF(MOD(ABS(Model!BM18),1)=0.5,2*ROUND(ABS(Model!BM18)/2,0),ROUND(ABS(Model!BM18),0)),"#,##0"))&amp;" | "&amp;IF(Model!BM45&lt;0,"-","")&amp;Effective!$B$20&amp;IF(Effective!$B$21="indian",TEXT(IF(MOD(ABS(Model!BM45),1)=0.5,2*ROUND(ABS(Model!BM45)/2,0),ROUND(ABS(Model!BM45),0)),"[&gt;=10000000]##\,##\,##\,##0;[&gt;=100000]##\,##\,##0;##,##0"),TEXT(IF(MOD(ABS(Model!BM45),1)=0.5,2*ROUND(ABS(Model!BM45)/2,0),ROUND(ABS(Model!BM45),0)),"#,##0"))&amp;" | "&amp;IF(Model!BM70&lt;0,"-","")&amp;Effective!$B$20&amp;IF(Effective!$B$21="indian",TEXT(IF(MOD(ABS(Model!BM70),1)=0.5,2*ROUND(ABS(Model!BM70)/2,0),ROUND(ABS(Model!BM70),0)),"[&gt;=10000000]##\,##\,##\,##0;[&gt;=100000]##\,##\,##0;##,##0"),TEXT(IF(MOD(ABS(Model!BM70),1)=0.5,2*ROUND(ABS(Model!BM70)/2,0),ROUND(ABS(Model!BM70),0)),"#,##0"))&amp;" | "&amp;IF(Model!BM79&lt;0,"-","")&amp;Effective!$B$20&amp;IF(Effective!$B$21="indian",TEXT(IF(MOD(ABS(Model!BM79),1)=0.5,2*ROUND(ABS(Model!BM79)/2,0),ROUND(ABS(Model!BM79),0)),"[&gt;=10000000]##\,##\,##\,##0;[&gt;=100000]##\,##\,##0;##,##0"),TEXT(IF(MOD(ABS(Model!BM79),1)=0.5,2*ROUND(ABS(Model!BM79)/2,0),ROUND(ABS(Model!BM79),0)),"#,##0"))&amp;" |")</f>
        <v/>
      </c>
    </row>
    <row r="91">
      <c r="D91">
        <f>IF(Model!BN4=0,"","| "&amp;Model!BN1&amp;" | "&amp;IF(Model!BN18&lt;0,"-","")&amp;Effective!$B$20&amp;IF(Effective!$B$21="indian",TEXT(IF(MOD(ABS(Model!BN18),1)=0.5,2*ROUND(ABS(Model!BN18)/2,0),ROUND(ABS(Model!BN18),0)),"[&gt;=10000000]##\,##\,##\,##0;[&gt;=100000]##\,##\,##0;##,##0"),TEXT(IF(MOD(ABS(Model!BN18),1)=0.5,2*ROUND(ABS(Model!BN18)/2,0),ROUND(ABS(Model!BN18),0)),"#,##0"))&amp;" | "&amp;IF(Model!BN45&lt;0,"-","")&amp;Effective!$B$20&amp;IF(Effective!$B$21="indian",TEXT(IF(MOD(ABS(Model!BN45),1)=0.5,2*ROUND(ABS(Model!BN45)/2,0),ROUND(ABS(Model!BN45),0)),"[&gt;=10000000]##\,##\,##\,##0;[&gt;=100000]##\,##\,##0;##,##0"),TEXT(IF(MOD(ABS(Model!BN45),1)=0.5,2*ROUND(ABS(Model!BN45)/2,0),ROUND(ABS(Model!BN45),0)),"#,##0"))&amp;" | "&amp;IF(Model!BN70&lt;0,"-","")&amp;Effective!$B$20&amp;IF(Effective!$B$21="indian",TEXT(IF(MOD(ABS(Model!BN70),1)=0.5,2*ROUND(ABS(Model!BN70)/2,0),ROUND(ABS(Model!BN70),0)),"[&gt;=10000000]##\,##\,##\,##0;[&gt;=100000]##\,##\,##0;##,##0"),TEXT(IF(MOD(ABS(Model!BN70),1)=0.5,2*ROUND(ABS(Model!BN70)/2,0),ROUND(ABS(Model!BN70),0)),"#,##0"))&amp;" | "&amp;IF(Model!BN79&lt;0,"-","")&amp;Effective!$B$20&amp;IF(Effective!$B$21="indian",TEXT(IF(MOD(ABS(Model!BN79),1)=0.5,2*ROUND(ABS(Model!BN79)/2,0),ROUND(ABS(Model!BN79),0)),"[&gt;=10000000]##\,##\,##\,##0;[&gt;=100000]##\,##\,##0;##,##0"),TEXT(IF(MOD(ABS(Model!BN79),1)=0.5,2*ROUND(ABS(Model!BN79)/2,0),ROUND(ABS(Model!BN79),0)),"#,##0"))&amp;" |")</f>
        <v/>
      </c>
    </row>
    <row r="92">
      <c r="D92">
        <f>IF(Model!BO4=0,"","| "&amp;Model!BO1&amp;" | "&amp;IF(Model!BO18&lt;0,"-","")&amp;Effective!$B$20&amp;IF(Effective!$B$21="indian",TEXT(IF(MOD(ABS(Model!BO18),1)=0.5,2*ROUND(ABS(Model!BO18)/2,0),ROUND(ABS(Model!BO18),0)),"[&gt;=10000000]##\,##\,##\,##0;[&gt;=100000]##\,##\,##0;##,##0"),TEXT(IF(MOD(ABS(Model!BO18),1)=0.5,2*ROUND(ABS(Model!BO18)/2,0),ROUND(ABS(Model!BO18),0)),"#,##0"))&amp;" | "&amp;IF(Model!BO45&lt;0,"-","")&amp;Effective!$B$20&amp;IF(Effective!$B$21="indian",TEXT(IF(MOD(ABS(Model!BO45),1)=0.5,2*ROUND(ABS(Model!BO45)/2,0),ROUND(ABS(Model!BO45),0)),"[&gt;=10000000]##\,##\,##\,##0;[&gt;=100000]##\,##\,##0;##,##0"),TEXT(IF(MOD(ABS(Model!BO45),1)=0.5,2*ROUND(ABS(Model!BO45)/2,0),ROUND(ABS(Model!BO45),0)),"#,##0"))&amp;" | "&amp;IF(Model!BO70&lt;0,"-","")&amp;Effective!$B$20&amp;IF(Effective!$B$21="indian",TEXT(IF(MOD(ABS(Model!BO70),1)=0.5,2*ROUND(ABS(Model!BO70)/2,0),ROUND(ABS(Model!BO70),0)),"[&gt;=10000000]##\,##\,##\,##0;[&gt;=100000]##\,##\,##0;##,##0"),TEXT(IF(MOD(ABS(Model!BO70),1)=0.5,2*ROUND(ABS(Model!BO70)/2,0),ROUND(ABS(Model!BO70),0)),"#,##0"))&amp;" | "&amp;IF(Model!BO79&lt;0,"-","")&amp;Effective!$B$20&amp;IF(Effective!$B$21="indian",TEXT(IF(MOD(ABS(Model!BO79),1)=0.5,2*ROUND(ABS(Model!BO79)/2,0),ROUND(ABS(Model!BO79),0)),"[&gt;=10000000]##\,##\,##\,##0;[&gt;=100000]##\,##\,##0;##,##0"),TEXT(IF(MOD(ABS(Model!BO79),1)=0.5,2*ROUND(ABS(Model!BO79)/2,0),ROUND(ABS(Model!BO79),0)),"#,##0"))&amp;" |")</f>
        <v/>
      </c>
    </row>
    <row r="93">
      <c r="D93">
        <f>IF(Model!BP4=0,"","| "&amp;Model!BP1&amp;" | "&amp;IF(Model!BP18&lt;0,"-","")&amp;Effective!$B$20&amp;IF(Effective!$B$21="indian",TEXT(IF(MOD(ABS(Model!BP18),1)=0.5,2*ROUND(ABS(Model!BP18)/2,0),ROUND(ABS(Model!BP18),0)),"[&gt;=10000000]##\,##\,##\,##0;[&gt;=100000]##\,##\,##0;##,##0"),TEXT(IF(MOD(ABS(Model!BP18),1)=0.5,2*ROUND(ABS(Model!BP18)/2,0),ROUND(ABS(Model!BP18),0)),"#,##0"))&amp;" | "&amp;IF(Model!BP45&lt;0,"-","")&amp;Effective!$B$20&amp;IF(Effective!$B$21="indian",TEXT(IF(MOD(ABS(Model!BP45),1)=0.5,2*ROUND(ABS(Model!BP45)/2,0),ROUND(ABS(Model!BP45),0)),"[&gt;=10000000]##\,##\,##\,##0;[&gt;=100000]##\,##\,##0;##,##0"),TEXT(IF(MOD(ABS(Model!BP45),1)=0.5,2*ROUND(ABS(Model!BP45)/2,0),ROUND(ABS(Model!BP45),0)),"#,##0"))&amp;" | "&amp;IF(Model!BP70&lt;0,"-","")&amp;Effective!$B$20&amp;IF(Effective!$B$21="indian",TEXT(IF(MOD(ABS(Model!BP70),1)=0.5,2*ROUND(ABS(Model!BP70)/2,0),ROUND(ABS(Model!BP70),0)),"[&gt;=10000000]##\,##\,##\,##0;[&gt;=100000]##\,##\,##0;##,##0"),TEXT(IF(MOD(ABS(Model!BP70),1)=0.5,2*ROUND(ABS(Model!BP70)/2,0),ROUND(ABS(Model!BP70),0)),"#,##0"))&amp;" | "&amp;IF(Model!BP79&lt;0,"-","")&amp;Effective!$B$20&amp;IF(Effective!$B$21="indian",TEXT(IF(MOD(ABS(Model!BP79),1)=0.5,2*ROUND(ABS(Model!BP79)/2,0),ROUND(ABS(Model!BP79),0)),"[&gt;=10000000]##\,##\,##\,##0;[&gt;=100000]##\,##\,##0;##,##0"),TEXT(IF(MOD(ABS(Model!BP79),1)=0.5,2*ROUND(ABS(Model!BP79)/2,0),ROUND(ABS(Model!BP79),0)),"#,##0"))&amp;" |")</f>
        <v/>
      </c>
    </row>
    <row r="94">
      <c r="D94">
        <f>IF(Model!BQ4=0,"","| "&amp;Model!BQ1&amp;" | "&amp;IF(Model!BQ18&lt;0,"-","")&amp;Effective!$B$20&amp;IF(Effective!$B$21="indian",TEXT(IF(MOD(ABS(Model!BQ18),1)=0.5,2*ROUND(ABS(Model!BQ18)/2,0),ROUND(ABS(Model!BQ18),0)),"[&gt;=10000000]##\,##\,##\,##0;[&gt;=100000]##\,##\,##0;##,##0"),TEXT(IF(MOD(ABS(Model!BQ18),1)=0.5,2*ROUND(ABS(Model!BQ18)/2,0),ROUND(ABS(Model!BQ18),0)),"#,##0"))&amp;" | "&amp;IF(Model!BQ45&lt;0,"-","")&amp;Effective!$B$20&amp;IF(Effective!$B$21="indian",TEXT(IF(MOD(ABS(Model!BQ45),1)=0.5,2*ROUND(ABS(Model!BQ45)/2,0),ROUND(ABS(Model!BQ45),0)),"[&gt;=10000000]##\,##\,##\,##0;[&gt;=100000]##\,##\,##0;##,##0"),TEXT(IF(MOD(ABS(Model!BQ45),1)=0.5,2*ROUND(ABS(Model!BQ45)/2,0),ROUND(ABS(Model!BQ45),0)),"#,##0"))&amp;" | "&amp;IF(Model!BQ70&lt;0,"-","")&amp;Effective!$B$20&amp;IF(Effective!$B$21="indian",TEXT(IF(MOD(ABS(Model!BQ70),1)=0.5,2*ROUND(ABS(Model!BQ70)/2,0),ROUND(ABS(Model!BQ70),0)),"[&gt;=10000000]##\,##\,##\,##0;[&gt;=100000]##\,##\,##0;##,##0"),TEXT(IF(MOD(ABS(Model!BQ70),1)=0.5,2*ROUND(ABS(Model!BQ70)/2,0),ROUND(ABS(Model!BQ70),0)),"#,##0"))&amp;" | "&amp;IF(Model!BQ79&lt;0,"-","")&amp;Effective!$B$20&amp;IF(Effective!$B$21="indian",TEXT(IF(MOD(ABS(Model!BQ79),1)=0.5,2*ROUND(ABS(Model!BQ79)/2,0),ROUND(ABS(Model!BQ79),0)),"[&gt;=10000000]##\,##\,##\,##0;[&gt;=100000]##\,##\,##0;##,##0"),TEXT(IF(MOD(ABS(Model!BQ79),1)=0.5,2*ROUND(ABS(Model!BQ79)/2,0),ROUND(ABS(Model!BQ79),0)),"#,##0"))&amp;" |")</f>
        <v/>
      </c>
    </row>
    <row r="95">
      <c r="D95">
        <f>IF(Model!BR4=0,"","| "&amp;Model!BR1&amp;" | "&amp;IF(Model!BR18&lt;0,"-","")&amp;Effective!$B$20&amp;IF(Effective!$B$21="indian",TEXT(IF(MOD(ABS(Model!BR18),1)=0.5,2*ROUND(ABS(Model!BR18)/2,0),ROUND(ABS(Model!BR18),0)),"[&gt;=10000000]##\,##\,##\,##0;[&gt;=100000]##\,##\,##0;##,##0"),TEXT(IF(MOD(ABS(Model!BR18),1)=0.5,2*ROUND(ABS(Model!BR18)/2,0),ROUND(ABS(Model!BR18),0)),"#,##0"))&amp;" | "&amp;IF(Model!BR45&lt;0,"-","")&amp;Effective!$B$20&amp;IF(Effective!$B$21="indian",TEXT(IF(MOD(ABS(Model!BR45),1)=0.5,2*ROUND(ABS(Model!BR45)/2,0),ROUND(ABS(Model!BR45),0)),"[&gt;=10000000]##\,##\,##\,##0;[&gt;=100000]##\,##\,##0;##,##0"),TEXT(IF(MOD(ABS(Model!BR45),1)=0.5,2*ROUND(ABS(Model!BR45)/2,0),ROUND(ABS(Model!BR45),0)),"#,##0"))&amp;" | "&amp;IF(Model!BR70&lt;0,"-","")&amp;Effective!$B$20&amp;IF(Effective!$B$21="indian",TEXT(IF(MOD(ABS(Model!BR70),1)=0.5,2*ROUND(ABS(Model!BR70)/2,0),ROUND(ABS(Model!BR70),0)),"[&gt;=10000000]##\,##\,##\,##0;[&gt;=100000]##\,##\,##0;##,##0"),TEXT(IF(MOD(ABS(Model!BR70),1)=0.5,2*ROUND(ABS(Model!BR70)/2,0),ROUND(ABS(Model!BR70),0)),"#,##0"))&amp;" | "&amp;IF(Model!BR79&lt;0,"-","")&amp;Effective!$B$20&amp;IF(Effective!$B$21="indian",TEXT(IF(MOD(ABS(Model!BR79),1)=0.5,2*ROUND(ABS(Model!BR79)/2,0),ROUND(ABS(Model!BR79),0)),"[&gt;=10000000]##\,##\,##\,##0;[&gt;=100000]##\,##\,##0;##,##0"),TEXT(IF(MOD(ABS(Model!BR79),1)=0.5,2*ROUND(ABS(Model!BR79)/2,0),ROUND(ABS(Model!BR79),0)),"#,##0"))&amp;" |")</f>
        <v/>
      </c>
    </row>
    <row r="96">
      <c r="D96">
        <f>IF(Model!BS4=0,"","| "&amp;Model!BS1&amp;" | "&amp;IF(Model!BS18&lt;0,"-","")&amp;Effective!$B$20&amp;IF(Effective!$B$21="indian",TEXT(IF(MOD(ABS(Model!BS18),1)=0.5,2*ROUND(ABS(Model!BS18)/2,0),ROUND(ABS(Model!BS18),0)),"[&gt;=10000000]##\,##\,##\,##0;[&gt;=100000]##\,##\,##0;##,##0"),TEXT(IF(MOD(ABS(Model!BS18),1)=0.5,2*ROUND(ABS(Model!BS18)/2,0),ROUND(ABS(Model!BS18),0)),"#,##0"))&amp;" | "&amp;IF(Model!BS45&lt;0,"-","")&amp;Effective!$B$20&amp;IF(Effective!$B$21="indian",TEXT(IF(MOD(ABS(Model!BS45),1)=0.5,2*ROUND(ABS(Model!BS45)/2,0),ROUND(ABS(Model!BS45),0)),"[&gt;=10000000]##\,##\,##\,##0;[&gt;=100000]##\,##\,##0;##,##0"),TEXT(IF(MOD(ABS(Model!BS45),1)=0.5,2*ROUND(ABS(Model!BS45)/2,0),ROUND(ABS(Model!BS45),0)),"#,##0"))&amp;" | "&amp;IF(Model!BS70&lt;0,"-","")&amp;Effective!$B$20&amp;IF(Effective!$B$21="indian",TEXT(IF(MOD(ABS(Model!BS70),1)=0.5,2*ROUND(ABS(Model!BS70)/2,0),ROUND(ABS(Model!BS70),0)),"[&gt;=10000000]##\,##\,##\,##0;[&gt;=100000]##\,##\,##0;##,##0"),TEXT(IF(MOD(ABS(Model!BS70),1)=0.5,2*ROUND(ABS(Model!BS70)/2,0),ROUND(ABS(Model!BS70),0)),"#,##0"))&amp;" | "&amp;IF(Model!BS79&lt;0,"-","")&amp;Effective!$B$20&amp;IF(Effective!$B$21="indian",TEXT(IF(MOD(ABS(Model!BS79),1)=0.5,2*ROUND(ABS(Model!BS79)/2,0),ROUND(ABS(Model!BS79),0)),"[&gt;=10000000]##\,##\,##\,##0;[&gt;=100000]##\,##\,##0;##,##0"),TEXT(IF(MOD(ABS(Model!BS79),1)=0.5,2*ROUND(ABS(Model!BS79)/2,0),ROUND(ABS(Model!BS79),0)),"#,##0"))&amp;" |")</f>
        <v/>
      </c>
    </row>
    <row r="97">
      <c r="D97">
        <f>IF(Model!BT4=0,"","| "&amp;Model!BT1&amp;" | "&amp;IF(Model!BT18&lt;0,"-","")&amp;Effective!$B$20&amp;IF(Effective!$B$21="indian",TEXT(IF(MOD(ABS(Model!BT18),1)=0.5,2*ROUND(ABS(Model!BT18)/2,0),ROUND(ABS(Model!BT18),0)),"[&gt;=10000000]##\,##\,##\,##0;[&gt;=100000]##\,##\,##0;##,##0"),TEXT(IF(MOD(ABS(Model!BT18),1)=0.5,2*ROUND(ABS(Model!BT18)/2,0),ROUND(ABS(Model!BT18),0)),"#,##0"))&amp;" | "&amp;IF(Model!BT45&lt;0,"-","")&amp;Effective!$B$20&amp;IF(Effective!$B$21="indian",TEXT(IF(MOD(ABS(Model!BT45),1)=0.5,2*ROUND(ABS(Model!BT45)/2,0),ROUND(ABS(Model!BT45),0)),"[&gt;=10000000]##\,##\,##\,##0;[&gt;=100000]##\,##\,##0;##,##0"),TEXT(IF(MOD(ABS(Model!BT45),1)=0.5,2*ROUND(ABS(Model!BT45)/2,0),ROUND(ABS(Model!BT45),0)),"#,##0"))&amp;" | "&amp;IF(Model!BT70&lt;0,"-","")&amp;Effective!$B$20&amp;IF(Effective!$B$21="indian",TEXT(IF(MOD(ABS(Model!BT70),1)=0.5,2*ROUND(ABS(Model!BT70)/2,0),ROUND(ABS(Model!BT70),0)),"[&gt;=10000000]##\,##\,##\,##0;[&gt;=100000]##\,##\,##0;##,##0"),TEXT(IF(MOD(ABS(Model!BT70),1)=0.5,2*ROUND(ABS(Model!BT70)/2,0),ROUND(ABS(Model!BT70),0)),"#,##0"))&amp;" | "&amp;IF(Model!BT79&lt;0,"-","")&amp;Effective!$B$20&amp;IF(Effective!$B$21="indian",TEXT(IF(MOD(ABS(Model!BT79),1)=0.5,2*ROUND(ABS(Model!BT79)/2,0),ROUND(ABS(Model!BT79),0)),"[&gt;=10000000]##\,##\,##\,##0;[&gt;=100000]##\,##\,##0;##,##0"),TEXT(IF(MOD(ABS(Model!BT79),1)=0.5,2*ROUND(ABS(Model!BT79)/2,0),ROUND(ABS(Model!BT79),0)),"#,##0"))&amp;" |")</f>
        <v/>
      </c>
    </row>
    <row r="98">
      <c r="D98">
        <f>IF(Model!BU4=0,"","| "&amp;Model!BU1&amp;" | "&amp;IF(Model!BU18&lt;0,"-","")&amp;Effective!$B$20&amp;IF(Effective!$B$21="indian",TEXT(IF(MOD(ABS(Model!BU18),1)=0.5,2*ROUND(ABS(Model!BU18)/2,0),ROUND(ABS(Model!BU18),0)),"[&gt;=10000000]##\,##\,##\,##0;[&gt;=100000]##\,##\,##0;##,##0"),TEXT(IF(MOD(ABS(Model!BU18),1)=0.5,2*ROUND(ABS(Model!BU18)/2,0),ROUND(ABS(Model!BU18),0)),"#,##0"))&amp;" | "&amp;IF(Model!BU45&lt;0,"-","")&amp;Effective!$B$20&amp;IF(Effective!$B$21="indian",TEXT(IF(MOD(ABS(Model!BU45),1)=0.5,2*ROUND(ABS(Model!BU45)/2,0),ROUND(ABS(Model!BU45),0)),"[&gt;=10000000]##\,##\,##\,##0;[&gt;=100000]##\,##\,##0;##,##0"),TEXT(IF(MOD(ABS(Model!BU45),1)=0.5,2*ROUND(ABS(Model!BU45)/2,0),ROUND(ABS(Model!BU45),0)),"#,##0"))&amp;" | "&amp;IF(Model!BU70&lt;0,"-","")&amp;Effective!$B$20&amp;IF(Effective!$B$21="indian",TEXT(IF(MOD(ABS(Model!BU70),1)=0.5,2*ROUND(ABS(Model!BU70)/2,0),ROUND(ABS(Model!BU70),0)),"[&gt;=10000000]##\,##\,##\,##0;[&gt;=100000]##\,##\,##0;##,##0"),TEXT(IF(MOD(ABS(Model!BU70),1)=0.5,2*ROUND(ABS(Model!BU70)/2,0),ROUND(ABS(Model!BU70),0)),"#,##0"))&amp;" | "&amp;IF(Model!BU79&lt;0,"-","")&amp;Effective!$B$20&amp;IF(Effective!$B$21="indian",TEXT(IF(MOD(ABS(Model!BU79),1)=0.5,2*ROUND(ABS(Model!BU79)/2,0),ROUND(ABS(Model!BU79),0)),"[&gt;=10000000]##\,##\,##\,##0;[&gt;=100000]##\,##\,##0;##,##0"),TEXT(IF(MOD(ABS(Model!BU79),1)=0.5,2*ROUND(ABS(Model!BU79)/2,0),ROUND(ABS(Model!BU79),0)),"#,##0"))&amp;" |")</f>
        <v/>
      </c>
    </row>
    <row r="99">
      <c r="D99">
        <f>IF(Model!BV4=0,"","| "&amp;Model!BV1&amp;" | "&amp;IF(Model!BV18&lt;0,"-","")&amp;Effective!$B$20&amp;IF(Effective!$B$21="indian",TEXT(IF(MOD(ABS(Model!BV18),1)=0.5,2*ROUND(ABS(Model!BV18)/2,0),ROUND(ABS(Model!BV18),0)),"[&gt;=10000000]##\,##\,##\,##0;[&gt;=100000]##\,##\,##0;##,##0"),TEXT(IF(MOD(ABS(Model!BV18),1)=0.5,2*ROUND(ABS(Model!BV18)/2,0),ROUND(ABS(Model!BV18),0)),"#,##0"))&amp;" | "&amp;IF(Model!BV45&lt;0,"-","")&amp;Effective!$B$20&amp;IF(Effective!$B$21="indian",TEXT(IF(MOD(ABS(Model!BV45),1)=0.5,2*ROUND(ABS(Model!BV45)/2,0),ROUND(ABS(Model!BV45),0)),"[&gt;=10000000]##\,##\,##\,##0;[&gt;=100000]##\,##\,##0;##,##0"),TEXT(IF(MOD(ABS(Model!BV45),1)=0.5,2*ROUND(ABS(Model!BV45)/2,0),ROUND(ABS(Model!BV45),0)),"#,##0"))&amp;" | "&amp;IF(Model!BV70&lt;0,"-","")&amp;Effective!$B$20&amp;IF(Effective!$B$21="indian",TEXT(IF(MOD(ABS(Model!BV70),1)=0.5,2*ROUND(ABS(Model!BV70)/2,0),ROUND(ABS(Model!BV70),0)),"[&gt;=10000000]##\,##\,##\,##0;[&gt;=100000]##\,##\,##0;##,##0"),TEXT(IF(MOD(ABS(Model!BV70),1)=0.5,2*ROUND(ABS(Model!BV70)/2,0),ROUND(ABS(Model!BV70),0)),"#,##0"))&amp;" | "&amp;IF(Model!BV79&lt;0,"-","")&amp;Effective!$B$20&amp;IF(Effective!$B$21="indian",TEXT(IF(MOD(ABS(Model!BV79),1)=0.5,2*ROUND(ABS(Model!BV79)/2,0),ROUND(ABS(Model!BV79),0)),"[&gt;=10000000]##\,##\,##\,##0;[&gt;=100000]##\,##\,##0;##,##0"),TEXT(IF(MOD(ABS(Model!BV79),1)=0.5,2*ROUND(ABS(Model!BV79)/2,0),ROUND(ABS(Model!BV79),0)),"#,##0"))&amp;" |")</f>
        <v/>
      </c>
    </row>
    <row r="100">
      <c r="D100">
        <f>IF(Model!BW4=0,"","| "&amp;Model!BW1&amp;" | "&amp;IF(Model!BW18&lt;0,"-","")&amp;Effective!$B$20&amp;IF(Effective!$B$21="indian",TEXT(IF(MOD(ABS(Model!BW18),1)=0.5,2*ROUND(ABS(Model!BW18)/2,0),ROUND(ABS(Model!BW18),0)),"[&gt;=10000000]##\,##\,##\,##0;[&gt;=100000]##\,##\,##0;##,##0"),TEXT(IF(MOD(ABS(Model!BW18),1)=0.5,2*ROUND(ABS(Model!BW18)/2,0),ROUND(ABS(Model!BW18),0)),"#,##0"))&amp;" | "&amp;IF(Model!BW45&lt;0,"-","")&amp;Effective!$B$20&amp;IF(Effective!$B$21="indian",TEXT(IF(MOD(ABS(Model!BW45),1)=0.5,2*ROUND(ABS(Model!BW45)/2,0),ROUND(ABS(Model!BW45),0)),"[&gt;=10000000]##\,##\,##\,##0;[&gt;=100000]##\,##\,##0;##,##0"),TEXT(IF(MOD(ABS(Model!BW45),1)=0.5,2*ROUND(ABS(Model!BW45)/2,0),ROUND(ABS(Model!BW45),0)),"#,##0"))&amp;" | "&amp;IF(Model!BW70&lt;0,"-","")&amp;Effective!$B$20&amp;IF(Effective!$B$21="indian",TEXT(IF(MOD(ABS(Model!BW70),1)=0.5,2*ROUND(ABS(Model!BW70)/2,0),ROUND(ABS(Model!BW70),0)),"[&gt;=10000000]##\,##\,##\,##0;[&gt;=100000]##\,##\,##0;##,##0"),TEXT(IF(MOD(ABS(Model!BW70),1)=0.5,2*ROUND(ABS(Model!BW70)/2,0),ROUND(ABS(Model!BW70),0)),"#,##0"))&amp;" | "&amp;IF(Model!BW79&lt;0,"-","")&amp;Effective!$B$20&amp;IF(Effective!$B$21="indian",TEXT(IF(MOD(ABS(Model!BW79),1)=0.5,2*ROUND(ABS(Model!BW79)/2,0),ROUND(ABS(Model!BW79),0)),"[&gt;=10000000]##\,##\,##\,##0;[&gt;=100000]##\,##\,##0;##,##0"),TEXT(IF(MOD(ABS(Model!BW79),1)=0.5,2*ROUND(ABS(Model!BW79)/2,0),ROUND(ABS(Model!BW79),0)),"#,##0"))&amp;" |")</f>
        <v/>
      </c>
    </row>
    <row r="101">
      <c r="D101">
        <f>IF(Model!BX4=0,"","| "&amp;Model!BX1&amp;" | "&amp;IF(Model!BX18&lt;0,"-","")&amp;Effective!$B$20&amp;IF(Effective!$B$21="indian",TEXT(IF(MOD(ABS(Model!BX18),1)=0.5,2*ROUND(ABS(Model!BX18)/2,0),ROUND(ABS(Model!BX18),0)),"[&gt;=10000000]##\,##\,##\,##0;[&gt;=100000]##\,##\,##0;##,##0"),TEXT(IF(MOD(ABS(Model!BX18),1)=0.5,2*ROUND(ABS(Model!BX18)/2,0),ROUND(ABS(Model!BX18),0)),"#,##0"))&amp;" | "&amp;IF(Model!BX45&lt;0,"-","")&amp;Effective!$B$20&amp;IF(Effective!$B$21="indian",TEXT(IF(MOD(ABS(Model!BX45),1)=0.5,2*ROUND(ABS(Model!BX45)/2,0),ROUND(ABS(Model!BX45),0)),"[&gt;=10000000]##\,##\,##\,##0;[&gt;=100000]##\,##\,##0;##,##0"),TEXT(IF(MOD(ABS(Model!BX45),1)=0.5,2*ROUND(ABS(Model!BX45)/2,0),ROUND(ABS(Model!BX45),0)),"#,##0"))&amp;" | "&amp;IF(Model!BX70&lt;0,"-","")&amp;Effective!$B$20&amp;IF(Effective!$B$21="indian",TEXT(IF(MOD(ABS(Model!BX70),1)=0.5,2*ROUND(ABS(Model!BX70)/2,0),ROUND(ABS(Model!BX70),0)),"[&gt;=10000000]##\,##\,##\,##0;[&gt;=100000]##\,##\,##0;##,##0"),TEXT(IF(MOD(ABS(Model!BX70),1)=0.5,2*ROUND(ABS(Model!BX70)/2,0),ROUND(ABS(Model!BX70),0)),"#,##0"))&amp;" | "&amp;IF(Model!BX79&lt;0,"-","")&amp;Effective!$B$20&amp;IF(Effective!$B$21="indian",TEXT(IF(MOD(ABS(Model!BX79),1)=0.5,2*ROUND(ABS(Model!BX79)/2,0),ROUND(ABS(Model!BX79),0)),"[&gt;=10000000]##\,##\,##\,##0;[&gt;=100000]##\,##\,##0;##,##0"),TEXT(IF(MOD(ABS(Model!BX79),1)=0.5,2*ROUND(ABS(Model!BX79)/2,0),ROUND(ABS(Model!BX79),0)),"#,##0"))&amp;" |")</f>
        <v/>
      </c>
    </row>
    <row r="102">
      <c r="D102">
        <f>IF(Model!BY4=0,"","| "&amp;Model!BY1&amp;" | "&amp;IF(Model!BY18&lt;0,"-","")&amp;Effective!$B$20&amp;IF(Effective!$B$21="indian",TEXT(IF(MOD(ABS(Model!BY18),1)=0.5,2*ROUND(ABS(Model!BY18)/2,0),ROUND(ABS(Model!BY18),0)),"[&gt;=10000000]##\,##\,##\,##0;[&gt;=100000]##\,##\,##0;##,##0"),TEXT(IF(MOD(ABS(Model!BY18),1)=0.5,2*ROUND(ABS(Model!BY18)/2,0),ROUND(ABS(Model!BY18),0)),"#,##0"))&amp;" | "&amp;IF(Model!BY45&lt;0,"-","")&amp;Effective!$B$20&amp;IF(Effective!$B$21="indian",TEXT(IF(MOD(ABS(Model!BY45),1)=0.5,2*ROUND(ABS(Model!BY45)/2,0),ROUND(ABS(Model!BY45),0)),"[&gt;=10000000]##\,##\,##\,##0;[&gt;=100000]##\,##\,##0;##,##0"),TEXT(IF(MOD(ABS(Model!BY45),1)=0.5,2*ROUND(ABS(Model!BY45)/2,0),ROUND(ABS(Model!BY45),0)),"#,##0"))&amp;" | "&amp;IF(Model!BY70&lt;0,"-","")&amp;Effective!$B$20&amp;IF(Effective!$B$21="indian",TEXT(IF(MOD(ABS(Model!BY70),1)=0.5,2*ROUND(ABS(Model!BY70)/2,0),ROUND(ABS(Model!BY70),0)),"[&gt;=10000000]##\,##\,##\,##0;[&gt;=100000]##\,##\,##0;##,##0"),TEXT(IF(MOD(ABS(Model!BY70),1)=0.5,2*ROUND(ABS(Model!BY70)/2,0),ROUND(ABS(Model!BY70),0)),"#,##0"))&amp;" | "&amp;IF(Model!BY79&lt;0,"-","")&amp;Effective!$B$20&amp;IF(Effective!$B$21="indian",TEXT(IF(MOD(ABS(Model!BY79),1)=0.5,2*ROUND(ABS(Model!BY79)/2,0),ROUND(ABS(Model!BY79),0)),"[&gt;=10000000]##\,##\,##\,##0;[&gt;=100000]##\,##\,##0;##,##0"),TEXT(IF(MOD(ABS(Model!BY79),1)=0.5,2*ROUND(ABS(Model!BY79)/2,0),ROUND(ABS(Model!BY79),0)),"#,##0"))&amp;" |")</f>
        <v/>
      </c>
    </row>
    <row r="103">
      <c r="D103">
        <f>IF(Model!BZ4=0,"","| "&amp;Model!BZ1&amp;" | "&amp;IF(Model!BZ18&lt;0,"-","")&amp;Effective!$B$20&amp;IF(Effective!$B$21="indian",TEXT(IF(MOD(ABS(Model!BZ18),1)=0.5,2*ROUND(ABS(Model!BZ18)/2,0),ROUND(ABS(Model!BZ18),0)),"[&gt;=10000000]##\,##\,##\,##0;[&gt;=100000]##\,##\,##0;##,##0"),TEXT(IF(MOD(ABS(Model!BZ18),1)=0.5,2*ROUND(ABS(Model!BZ18)/2,0),ROUND(ABS(Model!BZ18),0)),"#,##0"))&amp;" | "&amp;IF(Model!BZ45&lt;0,"-","")&amp;Effective!$B$20&amp;IF(Effective!$B$21="indian",TEXT(IF(MOD(ABS(Model!BZ45),1)=0.5,2*ROUND(ABS(Model!BZ45)/2,0),ROUND(ABS(Model!BZ45),0)),"[&gt;=10000000]##\,##\,##\,##0;[&gt;=100000]##\,##\,##0;##,##0"),TEXT(IF(MOD(ABS(Model!BZ45),1)=0.5,2*ROUND(ABS(Model!BZ45)/2,0),ROUND(ABS(Model!BZ45),0)),"#,##0"))&amp;" | "&amp;IF(Model!BZ70&lt;0,"-","")&amp;Effective!$B$20&amp;IF(Effective!$B$21="indian",TEXT(IF(MOD(ABS(Model!BZ70),1)=0.5,2*ROUND(ABS(Model!BZ70)/2,0),ROUND(ABS(Model!BZ70),0)),"[&gt;=10000000]##\,##\,##\,##0;[&gt;=100000]##\,##\,##0;##,##0"),TEXT(IF(MOD(ABS(Model!BZ70),1)=0.5,2*ROUND(ABS(Model!BZ70)/2,0),ROUND(ABS(Model!BZ70),0)),"#,##0"))&amp;" | "&amp;IF(Model!BZ79&lt;0,"-","")&amp;Effective!$B$20&amp;IF(Effective!$B$21="indian",TEXT(IF(MOD(ABS(Model!BZ79),1)=0.5,2*ROUND(ABS(Model!BZ79)/2,0),ROUND(ABS(Model!BZ79),0)),"[&gt;=10000000]##\,##\,##\,##0;[&gt;=100000]##\,##\,##0;##,##0"),TEXT(IF(MOD(ABS(Model!BZ79),1)=0.5,2*ROUND(ABS(Model!BZ79)/2,0),ROUND(ABS(Model!BZ79),0)),"#,##0"))&amp;" |")</f>
        <v/>
      </c>
    </row>
    <row r="104">
      <c r="D104">
        <f>IF(Model!CA4=0,"","| "&amp;Model!CA1&amp;" | "&amp;IF(Model!CA18&lt;0,"-","")&amp;Effective!$B$20&amp;IF(Effective!$B$21="indian",TEXT(IF(MOD(ABS(Model!CA18),1)=0.5,2*ROUND(ABS(Model!CA18)/2,0),ROUND(ABS(Model!CA18),0)),"[&gt;=10000000]##\,##\,##\,##0;[&gt;=100000]##\,##\,##0;##,##0"),TEXT(IF(MOD(ABS(Model!CA18),1)=0.5,2*ROUND(ABS(Model!CA18)/2,0),ROUND(ABS(Model!CA18),0)),"#,##0"))&amp;" | "&amp;IF(Model!CA45&lt;0,"-","")&amp;Effective!$B$20&amp;IF(Effective!$B$21="indian",TEXT(IF(MOD(ABS(Model!CA45),1)=0.5,2*ROUND(ABS(Model!CA45)/2,0),ROUND(ABS(Model!CA45),0)),"[&gt;=10000000]##\,##\,##\,##0;[&gt;=100000]##\,##\,##0;##,##0"),TEXT(IF(MOD(ABS(Model!CA45),1)=0.5,2*ROUND(ABS(Model!CA45)/2,0),ROUND(ABS(Model!CA45),0)),"#,##0"))&amp;" | "&amp;IF(Model!CA70&lt;0,"-","")&amp;Effective!$B$20&amp;IF(Effective!$B$21="indian",TEXT(IF(MOD(ABS(Model!CA70),1)=0.5,2*ROUND(ABS(Model!CA70)/2,0),ROUND(ABS(Model!CA70),0)),"[&gt;=10000000]##\,##\,##\,##0;[&gt;=100000]##\,##\,##0;##,##0"),TEXT(IF(MOD(ABS(Model!CA70),1)=0.5,2*ROUND(ABS(Model!CA70)/2,0),ROUND(ABS(Model!CA70),0)),"#,##0"))&amp;" | "&amp;IF(Model!CA79&lt;0,"-","")&amp;Effective!$B$20&amp;IF(Effective!$B$21="indian",TEXT(IF(MOD(ABS(Model!CA79),1)=0.5,2*ROUND(ABS(Model!CA79)/2,0),ROUND(ABS(Model!CA79),0)),"[&gt;=10000000]##\,##\,##\,##0;[&gt;=100000]##\,##\,##0;##,##0"),TEXT(IF(MOD(ABS(Model!CA79),1)=0.5,2*ROUND(ABS(Model!CA79)/2,0),ROUND(ABS(Model!CA79),0)),"#,##0"))&amp;" |")</f>
        <v/>
      </c>
    </row>
    <row r="105">
      <c r="D105">
        <f>IF(Model!CB4=0,"","| "&amp;Model!CB1&amp;" | "&amp;IF(Model!CB18&lt;0,"-","")&amp;Effective!$B$20&amp;IF(Effective!$B$21="indian",TEXT(IF(MOD(ABS(Model!CB18),1)=0.5,2*ROUND(ABS(Model!CB18)/2,0),ROUND(ABS(Model!CB18),0)),"[&gt;=10000000]##\,##\,##\,##0;[&gt;=100000]##\,##\,##0;##,##0"),TEXT(IF(MOD(ABS(Model!CB18),1)=0.5,2*ROUND(ABS(Model!CB18)/2,0),ROUND(ABS(Model!CB18),0)),"#,##0"))&amp;" | "&amp;IF(Model!CB45&lt;0,"-","")&amp;Effective!$B$20&amp;IF(Effective!$B$21="indian",TEXT(IF(MOD(ABS(Model!CB45),1)=0.5,2*ROUND(ABS(Model!CB45)/2,0),ROUND(ABS(Model!CB45),0)),"[&gt;=10000000]##\,##\,##\,##0;[&gt;=100000]##\,##\,##0;##,##0"),TEXT(IF(MOD(ABS(Model!CB45),1)=0.5,2*ROUND(ABS(Model!CB45)/2,0),ROUND(ABS(Model!CB45),0)),"#,##0"))&amp;" | "&amp;IF(Model!CB70&lt;0,"-","")&amp;Effective!$B$20&amp;IF(Effective!$B$21="indian",TEXT(IF(MOD(ABS(Model!CB70),1)=0.5,2*ROUND(ABS(Model!CB70)/2,0),ROUND(ABS(Model!CB70),0)),"[&gt;=10000000]##\,##\,##\,##0;[&gt;=100000]##\,##\,##0;##,##0"),TEXT(IF(MOD(ABS(Model!CB70),1)=0.5,2*ROUND(ABS(Model!CB70)/2,0),ROUND(ABS(Model!CB70),0)),"#,##0"))&amp;" | "&amp;IF(Model!CB79&lt;0,"-","")&amp;Effective!$B$20&amp;IF(Effective!$B$21="indian",TEXT(IF(MOD(ABS(Model!CB79),1)=0.5,2*ROUND(ABS(Model!CB79)/2,0),ROUND(ABS(Model!CB79),0)),"[&gt;=10000000]##\,##\,##\,##0;[&gt;=100000]##\,##\,##0;##,##0"),TEXT(IF(MOD(ABS(Model!CB79),1)=0.5,2*ROUND(ABS(Model!CB79)/2,0),ROUND(ABS(Model!CB79),0)),"#,##0"))&amp;" |")</f>
        <v/>
      </c>
    </row>
    <row r="106">
      <c r="D106">
        <f>IF(Model!CC4=0,"","| "&amp;Model!CC1&amp;" | "&amp;IF(Model!CC18&lt;0,"-","")&amp;Effective!$B$20&amp;IF(Effective!$B$21="indian",TEXT(IF(MOD(ABS(Model!CC18),1)=0.5,2*ROUND(ABS(Model!CC18)/2,0),ROUND(ABS(Model!CC18),0)),"[&gt;=10000000]##\,##\,##\,##0;[&gt;=100000]##\,##\,##0;##,##0"),TEXT(IF(MOD(ABS(Model!CC18),1)=0.5,2*ROUND(ABS(Model!CC18)/2,0),ROUND(ABS(Model!CC18),0)),"#,##0"))&amp;" | "&amp;IF(Model!CC45&lt;0,"-","")&amp;Effective!$B$20&amp;IF(Effective!$B$21="indian",TEXT(IF(MOD(ABS(Model!CC45),1)=0.5,2*ROUND(ABS(Model!CC45)/2,0),ROUND(ABS(Model!CC45),0)),"[&gt;=10000000]##\,##\,##\,##0;[&gt;=100000]##\,##\,##0;##,##0"),TEXT(IF(MOD(ABS(Model!CC45),1)=0.5,2*ROUND(ABS(Model!CC45)/2,0),ROUND(ABS(Model!CC45),0)),"#,##0"))&amp;" | "&amp;IF(Model!CC70&lt;0,"-","")&amp;Effective!$B$20&amp;IF(Effective!$B$21="indian",TEXT(IF(MOD(ABS(Model!CC70),1)=0.5,2*ROUND(ABS(Model!CC70)/2,0),ROUND(ABS(Model!CC70),0)),"[&gt;=10000000]##\,##\,##\,##0;[&gt;=100000]##\,##\,##0;##,##0"),TEXT(IF(MOD(ABS(Model!CC70),1)=0.5,2*ROUND(ABS(Model!CC70)/2,0),ROUND(ABS(Model!CC70),0)),"#,##0"))&amp;" | "&amp;IF(Model!CC79&lt;0,"-","")&amp;Effective!$B$20&amp;IF(Effective!$B$21="indian",TEXT(IF(MOD(ABS(Model!CC79),1)=0.5,2*ROUND(ABS(Model!CC79)/2,0),ROUND(ABS(Model!CC79),0)),"[&gt;=10000000]##\,##\,##\,##0;[&gt;=100000]##\,##\,##0;##,##0"),TEXT(IF(MOD(ABS(Model!CC79),1)=0.5,2*ROUND(ABS(Model!CC79)/2,0),ROUND(ABS(Model!CC79),0)),"#,##0"))&amp;" |")</f>
        <v/>
      </c>
    </row>
    <row r="107">
      <c r="D107">
        <f>IF(Model!CD4=0,"","| "&amp;Model!CD1&amp;" | "&amp;IF(Model!CD18&lt;0,"-","")&amp;Effective!$B$20&amp;IF(Effective!$B$21="indian",TEXT(IF(MOD(ABS(Model!CD18),1)=0.5,2*ROUND(ABS(Model!CD18)/2,0),ROUND(ABS(Model!CD18),0)),"[&gt;=10000000]##\,##\,##\,##0;[&gt;=100000]##\,##\,##0;##,##0"),TEXT(IF(MOD(ABS(Model!CD18),1)=0.5,2*ROUND(ABS(Model!CD18)/2,0),ROUND(ABS(Model!CD18),0)),"#,##0"))&amp;" | "&amp;IF(Model!CD45&lt;0,"-","")&amp;Effective!$B$20&amp;IF(Effective!$B$21="indian",TEXT(IF(MOD(ABS(Model!CD45),1)=0.5,2*ROUND(ABS(Model!CD45)/2,0),ROUND(ABS(Model!CD45),0)),"[&gt;=10000000]##\,##\,##\,##0;[&gt;=100000]##\,##\,##0;##,##0"),TEXT(IF(MOD(ABS(Model!CD45),1)=0.5,2*ROUND(ABS(Model!CD45)/2,0),ROUND(ABS(Model!CD45),0)),"#,##0"))&amp;" | "&amp;IF(Model!CD70&lt;0,"-","")&amp;Effective!$B$20&amp;IF(Effective!$B$21="indian",TEXT(IF(MOD(ABS(Model!CD70),1)=0.5,2*ROUND(ABS(Model!CD70)/2,0),ROUND(ABS(Model!CD70),0)),"[&gt;=10000000]##\,##\,##\,##0;[&gt;=100000]##\,##\,##0;##,##0"),TEXT(IF(MOD(ABS(Model!CD70),1)=0.5,2*ROUND(ABS(Model!CD70)/2,0),ROUND(ABS(Model!CD70),0)),"#,##0"))&amp;" | "&amp;IF(Model!CD79&lt;0,"-","")&amp;Effective!$B$20&amp;IF(Effective!$B$21="indian",TEXT(IF(MOD(ABS(Model!CD79),1)=0.5,2*ROUND(ABS(Model!CD79)/2,0),ROUND(ABS(Model!CD79),0)),"[&gt;=10000000]##\,##\,##\,##0;[&gt;=100000]##\,##\,##0;##,##0"),TEXT(IF(MOD(ABS(Model!CD79),1)=0.5,2*ROUND(ABS(Model!CD79)/2,0),ROUND(ABS(Model!CD79),0)),"#,##0"))&amp;" |")</f>
        <v/>
      </c>
    </row>
    <row r="108">
      <c r="D108">
        <f>IF(Model!CE4=0,"","| "&amp;Model!CE1&amp;" | "&amp;IF(Model!CE18&lt;0,"-","")&amp;Effective!$B$20&amp;IF(Effective!$B$21="indian",TEXT(IF(MOD(ABS(Model!CE18),1)=0.5,2*ROUND(ABS(Model!CE18)/2,0),ROUND(ABS(Model!CE18),0)),"[&gt;=10000000]##\,##\,##\,##0;[&gt;=100000]##\,##\,##0;##,##0"),TEXT(IF(MOD(ABS(Model!CE18),1)=0.5,2*ROUND(ABS(Model!CE18)/2,0),ROUND(ABS(Model!CE18),0)),"#,##0"))&amp;" | "&amp;IF(Model!CE45&lt;0,"-","")&amp;Effective!$B$20&amp;IF(Effective!$B$21="indian",TEXT(IF(MOD(ABS(Model!CE45),1)=0.5,2*ROUND(ABS(Model!CE45)/2,0),ROUND(ABS(Model!CE45),0)),"[&gt;=10000000]##\,##\,##\,##0;[&gt;=100000]##\,##\,##0;##,##0"),TEXT(IF(MOD(ABS(Model!CE45),1)=0.5,2*ROUND(ABS(Model!CE45)/2,0),ROUND(ABS(Model!CE45),0)),"#,##0"))&amp;" | "&amp;IF(Model!CE70&lt;0,"-","")&amp;Effective!$B$20&amp;IF(Effective!$B$21="indian",TEXT(IF(MOD(ABS(Model!CE70),1)=0.5,2*ROUND(ABS(Model!CE70)/2,0),ROUND(ABS(Model!CE70),0)),"[&gt;=10000000]##\,##\,##\,##0;[&gt;=100000]##\,##\,##0;##,##0"),TEXT(IF(MOD(ABS(Model!CE70),1)=0.5,2*ROUND(ABS(Model!CE70)/2,0),ROUND(ABS(Model!CE70),0)),"#,##0"))&amp;" | "&amp;IF(Model!CE79&lt;0,"-","")&amp;Effective!$B$20&amp;IF(Effective!$B$21="indian",TEXT(IF(MOD(ABS(Model!CE79),1)=0.5,2*ROUND(ABS(Model!CE79)/2,0),ROUND(ABS(Model!CE79),0)),"[&gt;=10000000]##\,##\,##\,##0;[&gt;=100000]##\,##\,##0;##,##0"),TEXT(IF(MOD(ABS(Model!CE79),1)=0.5,2*ROUND(ABS(Model!CE79)/2,0),ROUND(ABS(Model!CE79),0)),"#,##0"))&amp;" |")</f>
        <v/>
      </c>
    </row>
    <row r="109">
      <c r="D109">
        <f>IF(Model!CF4=0,"","| "&amp;Model!CF1&amp;" | "&amp;IF(Model!CF18&lt;0,"-","")&amp;Effective!$B$20&amp;IF(Effective!$B$21="indian",TEXT(IF(MOD(ABS(Model!CF18),1)=0.5,2*ROUND(ABS(Model!CF18)/2,0),ROUND(ABS(Model!CF18),0)),"[&gt;=10000000]##\,##\,##\,##0;[&gt;=100000]##\,##\,##0;##,##0"),TEXT(IF(MOD(ABS(Model!CF18),1)=0.5,2*ROUND(ABS(Model!CF18)/2,0),ROUND(ABS(Model!CF18),0)),"#,##0"))&amp;" | "&amp;IF(Model!CF45&lt;0,"-","")&amp;Effective!$B$20&amp;IF(Effective!$B$21="indian",TEXT(IF(MOD(ABS(Model!CF45),1)=0.5,2*ROUND(ABS(Model!CF45)/2,0),ROUND(ABS(Model!CF45),0)),"[&gt;=10000000]##\,##\,##\,##0;[&gt;=100000]##\,##\,##0;##,##0"),TEXT(IF(MOD(ABS(Model!CF45),1)=0.5,2*ROUND(ABS(Model!CF45)/2,0),ROUND(ABS(Model!CF45),0)),"#,##0"))&amp;" | "&amp;IF(Model!CF70&lt;0,"-","")&amp;Effective!$B$20&amp;IF(Effective!$B$21="indian",TEXT(IF(MOD(ABS(Model!CF70),1)=0.5,2*ROUND(ABS(Model!CF70)/2,0),ROUND(ABS(Model!CF70),0)),"[&gt;=10000000]##\,##\,##\,##0;[&gt;=100000]##\,##\,##0;##,##0"),TEXT(IF(MOD(ABS(Model!CF70),1)=0.5,2*ROUND(ABS(Model!CF70)/2,0),ROUND(ABS(Model!CF70),0)),"#,##0"))&amp;" | "&amp;IF(Model!CF79&lt;0,"-","")&amp;Effective!$B$20&amp;IF(Effective!$B$21="indian",TEXT(IF(MOD(ABS(Model!CF79),1)=0.5,2*ROUND(ABS(Model!CF79)/2,0),ROUND(ABS(Model!CF79),0)),"[&gt;=10000000]##\,##\,##\,##0;[&gt;=100000]##\,##\,##0;##,##0"),TEXT(IF(MOD(ABS(Model!CF79),1)=0.5,2*ROUND(ABS(Model!CF79)/2,0),ROUND(ABS(Model!CF79),0)),"#,##0"))&amp;" |")</f>
        <v/>
      </c>
    </row>
    <row r="110">
      <c r="D110">
        <f>IF(Model!CG4=0,"","| "&amp;Model!CG1&amp;" | "&amp;IF(Model!CG18&lt;0,"-","")&amp;Effective!$B$20&amp;IF(Effective!$B$21="indian",TEXT(IF(MOD(ABS(Model!CG18),1)=0.5,2*ROUND(ABS(Model!CG18)/2,0),ROUND(ABS(Model!CG18),0)),"[&gt;=10000000]##\,##\,##\,##0;[&gt;=100000]##\,##\,##0;##,##0"),TEXT(IF(MOD(ABS(Model!CG18),1)=0.5,2*ROUND(ABS(Model!CG18)/2,0),ROUND(ABS(Model!CG18),0)),"#,##0"))&amp;" | "&amp;IF(Model!CG45&lt;0,"-","")&amp;Effective!$B$20&amp;IF(Effective!$B$21="indian",TEXT(IF(MOD(ABS(Model!CG45),1)=0.5,2*ROUND(ABS(Model!CG45)/2,0),ROUND(ABS(Model!CG45),0)),"[&gt;=10000000]##\,##\,##\,##0;[&gt;=100000]##\,##\,##0;##,##0"),TEXT(IF(MOD(ABS(Model!CG45),1)=0.5,2*ROUND(ABS(Model!CG45)/2,0),ROUND(ABS(Model!CG45),0)),"#,##0"))&amp;" | "&amp;IF(Model!CG70&lt;0,"-","")&amp;Effective!$B$20&amp;IF(Effective!$B$21="indian",TEXT(IF(MOD(ABS(Model!CG70),1)=0.5,2*ROUND(ABS(Model!CG70)/2,0),ROUND(ABS(Model!CG70),0)),"[&gt;=10000000]##\,##\,##\,##0;[&gt;=100000]##\,##\,##0;##,##0"),TEXT(IF(MOD(ABS(Model!CG70),1)=0.5,2*ROUND(ABS(Model!CG70)/2,0),ROUND(ABS(Model!CG70),0)),"#,##0"))&amp;" | "&amp;IF(Model!CG79&lt;0,"-","")&amp;Effective!$B$20&amp;IF(Effective!$B$21="indian",TEXT(IF(MOD(ABS(Model!CG79),1)=0.5,2*ROUND(ABS(Model!CG79)/2,0),ROUND(ABS(Model!CG79),0)),"[&gt;=10000000]##\,##\,##\,##0;[&gt;=100000]##\,##\,##0;##,##0"),TEXT(IF(MOD(ABS(Model!CG79),1)=0.5,2*ROUND(ABS(Model!CG79)/2,0),ROUND(ABS(Model!CG79),0)),"#,##0"))&amp;" |")</f>
        <v/>
      </c>
    </row>
    <row r="111">
      <c r="D111">
        <f>IF(Model!CH4=0,"","| "&amp;Model!CH1&amp;" | "&amp;IF(Model!CH18&lt;0,"-","")&amp;Effective!$B$20&amp;IF(Effective!$B$21="indian",TEXT(IF(MOD(ABS(Model!CH18),1)=0.5,2*ROUND(ABS(Model!CH18)/2,0),ROUND(ABS(Model!CH18),0)),"[&gt;=10000000]##\,##\,##\,##0;[&gt;=100000]##\,##\,##0;##,##0"),TEXT(IF(MOD(ABS(Model!CH18),1)=0.5,2*ROUND(ABS(Model!CH18)/2,0),ROUND(ABS(Model!CH18),0)),"#,##0"))&amp;" | "&amp;IF(Model!CH45&lt;0,"-","")&amp;Effective!$B$20&amp;IF(Effective!$B$21="indian",TEXT(IF(MOD(ABS(Model!CH45),1)=0.5,2*ROUND(ABS(Model!CH45)/2,0),ROUND(ABS(Model!CH45),0)),"[&gt;=10000000]##\,##\,##\,##0;[&gt;=100000]##\,##\,##0;##,##0"),TEXT(IF(MOD(ABS(Model!CH45),1)=0.5,2*ROUND(ABS(Model!CH45)/2,0),ROUND(ABS(Model!CH45),0)),"#,##0"))&amp;" | "&amp;IF(Model!CH70&lt;0,"-","")&amp;Effective!$B$20&amp;IF(Effective!$B$21="indian",TEXT(IF(MOD(ABS(Model!CH70),1)=0.5,2*ROUND(ABS(Model!CH70)/2,0),ROUND(ABS(Model!CH70),0)),"[&gt;=10000000]##\,##\,##\,##0;[&gt;=100000]##\,##\,##0;##,##0"),TEXT(IF(MOD(ABS(Model!CH70),1)=0.5,2*ROUND(ABS(Model!CH70)/2,0),ROUND(ABS(Model!CH70),0)),"#,##0"))&amp;" | "&amp;IF(Model!CH79&lt;0,"-","")&amp;Effective!$B$20&amp;IF(Effective!$B$21="indian",TEXT(IF(MOD(ABS(Model!CH79),1)=0.5,2*ROUND(ABS(Model!CH79)/2,0),ROUND(ABS(Model!CH79),0)),"[&gt;=10000000]##\,##\,##\,##0;[&gt;=100000]##\,##\,##0;##,##0"),TEXT(IF(MOD(ABS(Model!CH79),1)=0.5,2*ROUND(ABS(Model!CH79)/2,0),ROUND(ABS(Model!CH79),0)),"#,##0"))&amp;" |")</f>
        <v/>
      </c>
    </row>
    <row r="112">
      <c r="D112">
        <f>IF(Model!CI4=0,"","| "&amp;Model!CI1&amp;" | "&amp;IF(Model!CI18&lt;0,"-","")&amp;Effective!$B$20&amp;IF(Effective!$B$21="indian",TEXT(IF(MOD(ABS(Model!CI18),1)=0.5,2*ROUND(ABS(Model!CI18)/2,0),ROUND(ABS(Model!CI18),0)),"[&gt;=10000000]##\,##\,##\,##0;[&gt;=100000]##\,##\,##0;##,##0"),TEXT(IF(MOD(ABS(Model!CI18),1)=0.5,2*ROUND(ABS(Model!CI18)/2,0),ROUND(ABS(Model!CI18),0)),"#,##0"))&amp;" | "&amp;IF(Model!CI45&lt;0,"-","")&amp;Effective!$B$20&amp;IF(Effective!$B$21="indian",TEXT(IF(MOD(ABS(Model!CI45),1)=0.5,2*ROUND(ABS(Model!CI45)/2,0),ROUND(ABS(Model!CI45),0)),"[&gt;=10000000]##\,##\,##\,##0;[&gt;=100000]##\,##\,##0;##,##0"),TEXT(IF(MOD(ABS(Model!CI45),1)=0.5,2*ROUND(ABS(Model!CI45)/2,0),ROUND(ABS(Model!CI45),0)),"#,##0"))&amp;" | "&amp;IF(Model!CI70&lt;0,"-","")&amp;Effective!$B$20&amp;IF(Effective!$B$21="indian",TEXT(IF(MOD(ABS(Model!CI70),1)=0.5,2*ROUND(ABS(Model!CI70)/2,0),ROUND(ABS(Model!CI70),0)),"[&gt;=10000000]##\,##\,##\,##0;[&gt;=100000]##\,##\,##0;##,##0"),TEXT(IF(MOD(ABS(Model!CI70),1)=0.5,2*ROUND(ABS(Model!CI70)/2,0),ROUND(ABS(Model!CI70),0)),"#,##0"))&amp;" | "&amp;IF(Model!CI79&lt;0,"-","")&amp;Effective!$B$20&amp;IF(Effective!$B$21="indian",TEXT(IF(MOD(ABS(Model!CI79),1)=0.5,2*ROUND(ABS(Model!CI79)/2,0),ROUND(ABS(Model!CI79),0)),"[&gt;=10000000]##\,##\,##\,##0;[&gt;=100000]##\,##\,##0;##,##0"),TEXT(IF(MOD(ABS(Model!CI79),1)=0.5,2*ROUND(ABS(Model!CI79)/2,0),ROUND(ABS(Model!CI79),0)),"#,##0"))&amp;" |")</f>
        <v/>
      </c>
    </row>
    <row r="113">
      <c r="D113">
        <f>IF(Model!CJ4=0,"","| "&amp;Model!CJ1&amp;" | "&amp;IF(Model!CJ18&lt;0,"-","")&amp;Effective!$B$20&amp;IF(Effective!$B$21="indian",TEXT(IF(MOD(ABS(Model!CJ18),1)=0.5,2*ROUND(ABS(Model!CJ18)/2,0),ROUND(ABS(Model!CJ18),0)),"[&gt;=10000000]##\,##\,##\,##0;[&gt;=100000]##\,##\,##0;##,##0"),TEXT(IF(MOD(ABS(Model!CJ18),1)=0.5,2*ROUND(ABS(Model!CJ18)/2,0),ROUND(ABS(Model!CJ18),0)),"#,##0"))&amp;" | "&amp;IF(Model!CJ45&lt;0,"-","")&amp;Effective!$B$20&amp;IF(Effective!$B$21="indian",TEXT(IF(MOD(ABS(Model!CJ45),1)=0.5,2*ROUND(ABS(Model!CJ45)/2,0),ROUND(ABS(Model!CJ45),0)),"[&gt;=10000000]##\,##\,##\,##0;[&gt;=100000]##\,##\,##0;##,##0"),TEXT(IF(MOD(ABS(Model!CJ45),1)=0.5,2*ROUND(ABS(Model!CJ45)/2,0),ROUND(ABS(Model!CJ45),0)),"#,##0"))&amp;" | "&amp;IF(Model!CJ70&lt;0,"-","")&amp;Effective!$B$20&amp;IF(Effective!$B$21="indian",TEXT(IF(MOD(ABS(Model!CJ70),1)=0.5,2*ROUND(ABS(Model!CJ70)/2,0),ROUND(ABS(Model!CJ70),0)),"[&gt;=10000000]##\,##\,##\,##0;[&gt;=100000]##\,##\,##0;##,##0"),TEXT(IF(MOD(ABS(Model!CJ70),1)=0.5,2*ROUND(ABS(Model!CJ70)/2,0),ROUND(ABS(Model!CJ70),0)),"#,##0"))&amp;" | "&amp;IF(Model!CJ79&lt;0,"-","")&amp;Effective!$B$20&amp;IF(Effective!$B$21="indian",TEXT(IF(MOD(ABS(Model!CJ79),1)=0.5,2*ROUND(ABS(Model!CJ79)/2,0),ROUND(ABS(Model!CJ79),0)),"[&gt;=10000000]##\,##\,##\,##0;[&gt;=100000]##\,##\,##0;##,##0"),TEXT(IF(MOD(ABS(Model!CJ79),1)=0.5,2*ROUND(ABS(Model!CJ79)/2,0),ROUND(ABS(Model!CJ79),0)),"#,##0"))&amp;" |")</f>
        <v/>
      </c>
    </row>
    <row r="114">
      <c r="D114">
        <f>IF(Model!CK4=0,"","| "&amp;Model!CK1&amp;" | "&amp;IF(Model!CK18&lt;0,"-","")&amp;Effective!$B$20&amp;IF(Effective!$B$21="indian",TEXT(IF(MOD(ABS(Model!CK18),1)=0.5,2*ROUND(ABS(Model!CK18)/2,0),ROUND(ABS(Model!CK18),0)),"[&gt;=10000000]##\,##\,##\,##0;[&gt;=100000]##\,##\,##0;##,##0"),TEXT(IF(MOD(ABS(Model!CK18),1)=0.5,2*ROUND(ABS(Model!CK18)/2,0),ROUND(ABS(Model!CK18),0)),"#,##0"))&amp;" | "&amp;IF(Model!CK45&lt;0,"-","")&amp;Effective!$B$20&amp;IF(Effective!$B$21="indian",TEXT(IF(MOD(ABS(Model!CK45),1)=0.5,2*ROUND(ABS(Model!CK45)/2,0),ROUND(ABS(Model!CK45),0)),"[&gt;=10000000]##\,##\,##\,##0;[&gt;=100000]##\,##\,##0;##,##0"),TEXT(IF(MOD(ABS(Model!CK45),1)=0.5,2*ROUND(ABS(Model!CK45)/2,0),ROUND(ABS(Model!CK45),0)),"#,##0"))&amp;" | "&amp;IF(Model!CK70&lt;0,"-","")&amp;Effective!$B$20&amp;IF(Effective!$B$21="indian",TEXT(IF(MOD(ABS(Model!CK70),1)=0.5,2*ROUND(ABS(Model!CK70)/2,0),ROUND(ABS(Model!CK70),0)),"[&gt;=10000000]##\,##\,##\,##0;[&gt;=100000]##\,##\,##0;##,##0"),TEXT(IF(MOD(ABS(Model!CK70),1)=0.5,2*ROUND(ABS(Model!CK70)/2,0),ROUND(ABS(Model!CK70),0)),"#,##0"))&amp;" | "&amp;IF(Model!CK79&lt;0,"-","")&amp;Effective!$B$20&amp;IF(Effective!$B$21="indian",TEXT(IF(MOD(ABS(Model!CK79),1)=0.5,2*ROUND(ABS(Model!CK79)/2,0),ROUND(ABS(Model!CK79),0)),"[&gt;=10000000]##\,##\,##\,##0;[&gt;=100000]##\,##\,##0;##,##0"),TEXT(IF(MOD(ABS(Model!CK79),1)=0.5,2*ROUND(ABS(Model!CK79)/2,0),ROUND(ABS(Model!CK79),0)),"#,##0"))&amp;" |")</f>
        <v/>
      </c>
    </row>
    <row r="115">
      <c r="D115">
        <f>IF(Model!CL4=0,"","| "&amp;Model!CL1&amp;" | "&amp;IF(Model!CL18&lt;0,"-","")&amp;Effective!$B$20&amp;IF(Effective!$B$21="indian",TEXT(IF(MOD(ABS(Model!CL18),1)=0.5,2*ROUND(ABS(Model!CL18)/2,0),ROUND(ABS(Model!CL18),0)),"[&gt;=10000000]##\,##\,##\,##0;[&gt;=100000]##\,##\,##0;##,##0"),TEXT(IF(MOD(ABS(Model!CL18),1)=0.5,2*ROUND(ABS(Model!CL18)/2,0),ROUND(ABS(Model!CL18),0)),"#,##0"))&amp;" | "&amp;IF(Model!CL45&lt;0,"-","")&amp;Effective!$B$20&amp;IF(Effective!$B$21="indian",TEXT(IF(MOD(ABS(Model!CL45),1)=0.5,2*ROUND(ABS(Model!CL45)/2,0),ROUND(ABS(Model!CL45),0)),"[&gt;=10000000]##\,##\,##\,##0;[&gt;=100000]##\,##\,##0;##,##0"),TEXT(IF(MOD(ABS(Model!CL45),1)=0.5,2*ROUND(ABS(Model!CL45)/2,0),ROUND(ABS(Model!CL45),0)),"#,##0"))&amp;" | "&amp;IF(Model!CL70&lt;0,"-","")&amp;Effective!$B$20&amp;IF(Effective!$B$21="indian",TEXT(IF(MOD(ABS(Model!CL70),1)=0.5,2*ROUND(ABS(Model!CL70)/2,0),ROUND(ABS(Model!CL70),0)),"[&gt;=10000000]##\,##\,##\,##0;[&gt;=100000]##\,##\,##0;##,##0"),TEXT(IF(MOD(ABS(Model!CL70),1)=0.5,2*ROUND(ABS(Model!CL70)/2,0),ROUND(ABS(Model!CL70),0)),"#,##0"))&amp;" | "&amp;IF(Model!CL79&lt;0,"-","")&amp;Effective!$B$20&amp;IF(Effective!$B$21="indian",TEXT(IF(MOD(ABS(Model!CL79),1)=0.5,2*ROUND(ABS(Model!CL79)/2,0),ROUND(ABS(Model!CL79),0)),"[&gt;=10000000]##\,##\,##\,##0;[&gt;=100000]##\,##\,##0;##,##0"),TEXT(IF(MOD(ABS(Model!CL79),1)=0.5,2*ROUND(ABS(Model!CL79)/2,0),ROUND(ABS(Model!CL79),0)),"#,##0"))&amp;" |")</f>
        <v/>
      </c>
    </row>
    <row r="116">
      <c r="D116">
        <f>IF(Model!CM4=0,"","| "&amp;Model!CM1&amp;" | "&amp;IF(Model!CM18&lt;0,"-","")&amp;Effective!$B$20&amp;IF(Effective!$B$21="indian",TEXT(IF(MOD(ABS(Model!CM18),1)=0.5,2*ROUND(ABS(Model!CM18)/2,0),ROUND(ABS(Model!CM18),0)),"[&gt;=10000000]##\,##\,##\,##0;[&gt;=100000]##\,##\,##0;##,##0"),TEXT(IF(MOD(ABS(Model!CM18),1)=0.5,2*ROUND(ABS(Model!CM18)/2,0),ROUND(ABS(Model!CM18),0)),"#,##0"))&amp;" | "&amp;IF(Model!CM45&lt;0,"-","")&amp;Effective!$B$20&amp;IF(Effective!$B$21="indian",TEXT(IF(MOD(ABS(Model!CM45),1)=0.5,2*ROUND(ABS(Model!CM45)/2,0),ROUND(ABS(Model!CM45),0)),"[&gt;=10000000]##\,##\,##\,##0;[&gt;=100000]##\,##\,##0;##,##0"),TEXT(IF(MOD(ABS(Model!CM45),1)=0.5,2*ROUND(ABS(Model!CM45)/2,0),ROUND(ABS(Model!CM45),0)),"#,##0"))&amp;" | "&amp;IF(Model!CM70&lt;0,"-","")&amp;Effective!$B$20&amp;IF(Effective!$B$21="indian",TEXT(IF(MOD(ABS(Model!CM70),1)=0.5,2*ROUND(ABS(Model!CM70)/2,0),ROUND(ABS(Model!CM70),0)),"[&gt;=10000000]##\,##\,##\,##0;[&gt;=100000]##\,##\,##0;##,##0"),TEXT(IF(MOD(ABS(Model!CM70),1)=0.5,2*ROUND(ABS(Model!CM70)/2,0),ROUND(ABS(Model!CM70),0)),"#,##0"))&amp;" | "&amp;IF(Model!CM79&lt;0,"-","")&amp;Effective!$B$20&amp;IF(Effective!$B$21="indian",TEXT(IF(MOD(ABS(Model!CM79),1)=0.5,2*ROUND(ABS(Model!CM79)/2,0),ROUND(ABS(Model!CM79),0)),"[&gt;=10000000]##\,##\,##\,##0;[&gt;=100000]##\,##\,##0;##,##0"),TEXT(IF(MOD(ABS(Model!CM79),1)=0.5,2*ROUND(ABS(Model!CM79)/2,0),ROUND(ABS(Model!CM79),0)),"#,##0"))&amp;" |")</f>
        <v/>
      </c>
    </row>
    <row r="117">
      <c r="D117">
        <f>IF(Model!CN4=0,"","| "&amp;Model!CN1&amp;" | "&amp;IF(Model!CN18&lt;0,"-","")&amp;Effective!$B$20&amp;IF(Effective!$B$21="indian",TEXT(IF(MOD(ABS(Model!CN18),1)=0.5,2*ROUND(ABS(Model!CN18)/2,0),ROUND(ABS(Model!CN18),0)),"[&gt;=10000000]##\,##\,##\,##0;[&gt;=100000]##\,##\,##0;##,##0"),TEXT(IF(MOD(ABS(Model!CN18),1)=0.5,2*ROUND(ABS(Model!CN18)/2,0),ROUND(ABS(Model!CN18),0)),"#,##0"))&amp;" | "&amp;IF(Model!CN45&lt;0,"-","")&amp;Effective!$B$20&amp;IF(Effective!$B$21="indian",TEXT(IF(MOD(ABS(Model!CN45),1)=0.5,2*ROUND(ABS(Model!CN45)/2,0),ROUND(ABS(Model!CN45),0)),"[&gt;=10000000]##\,##\,##\,##0;[&gt;=100000]##\,##\,##0;##,##0"),TEXT(IF(MOD(ABS(Model!CN45),1)=0.5,2*ROUND(ABS(Model!CN45)/2,0),ROUND(ABS(Model!CN45),0)),"#,##0"))&amp;" | "&amp;IF(Model!CN70&lt;0,"-","")&amp;Effective!$B$20&amp;IF(Effective!$B$21="indian",TEXT(IF(MOD(ABS(Model!CN70),1)=0.5,2*ROUND(ABS(Model!CN70)/2,0),ROUND(ABS(Model!CN70),0)),"[&gt;=10000000]##\,##\,##\,##0;[&gt;=100000]##\,##\,##0;##,##0"),TEXT(IF(MOD(ABS(Model!CN70),1)=0.5,2*ROUND(ABS(Model!CN70)/2,0),ROUND(ABS(Model!CN70),0)),"#,##0"))&amp;" | "&amp;IF(Model!CN79&lt;0,"-","")&amp;Effective!$B$20&amp;IF(Effective!$B$21="indian",TEXT(IF(MOD(ABS(Model!CN79),1)=0.5,2*ROUND(ABS(Model!CN79)/2,0),ROUND(ABS(Model!CN79),0)),"[&gt;=10000000]##\,##\,##\,##0;[&gt;=100000]##\,##\,##0;##,##0"),TEXT(IF(MOD(ABS(Model!CN79),1)=0.5,2*ROUND(ABS(Model!CN79)/2,0),ROUND(ABS(Model!CN79),0)),"#,##0"))&amp;" |")</f>
        <v/>
      </c>
    </row>
    <row r="118">
      <c r="D118">
        <f>IF(Model!CO4=0,"","| "&amp;Model!CO1&amp;" | "&amp;IF(Model!CO18&lt;0,"-","")&amp;Effective!$B$20&amp;IF(Effective!$B$21="indian",TEXT(IF(MOD(ABS(Model!CO18),1)=0.5,2*ROUND(ABS(Model!CO18)/2,0),ROUND(ABS(Model!CO18),0)),"[&gt;=10000000]##\,##\,##\,##0;[&gt;=100000]##\,##\,##0;##,##0"),TEXT(IF(MOD(ABS(Model!CO18),1)=0.5,2*ROUND(ABS(Model!CO18)/2,0),ROUND(ABS(Model!CO18),0)),"#,##0"))&amp;" | "&amp;IF(Model!CO45&lt;0,"-","")&amp;Effective!$B$20&amp;IF(Effective!$B$21="indian",TEXT(IF(MOD(ABS(Model!CO45),1)=0.5,2*ROUND(ABS(Model!CO45)/2,0),ROUND(ABS(Model!CO45),0)),"[&gt;=10000000]##\,##\,##\,##0;[&gt;=100000]##\,##\,##0;##,##0"),TEXT(IF(MOD(ABS(Model!CO45),1)=0.5,2*ROUND(ABS(Model!CO45)/2,0),ROUND(ABS(Model!CO45),0)),"#,##0"))&amp;" | "&amp;IF(Model!CO70&lt;0,"-","")&amp;Effective!$B$20&amp;IF(Effective!$B$21="indian",TEXT(IF(MOD(ABS(Model!CO70),1)=0.5,2*ROUND(ABS(Model!CO70)/2,0),ROUND(ABS(Model!CO70),0)),"[&gt;=10000000]##\,##\,##\,##0;[&gt;=100000]##\,##\,##0;##,##0"),TEXT(IF(MOD(ABS(Model!CO70),1)=0.5,2*ROUND(ABS(Model!CO70)/2,0),ROUND(ABS(Model!CO70),0)),"#,##0"))&amp;" | "&amp;IF(Model!CO79&lt;0,"-","")&amp;Effective!$B$20&amp;IF(Effective!$B$21="indian",TEXT(IF(MOD(ABS(Model!CO79),1)=0.5,2*ROUND(ABS(Model!CO79)/2,0),ROUND(ABS(Model!CO79),0)),"[&gt;=10000000]##\,##\,##\,##0;[&gt;=100000]##\,##\,##0;##,##0"),TEXT(IF(MOD(ABS(Model!CO79),1)=0.5,2*ROUND(ABS(Model!CO79)/2,0),ROUND(ABS(Model!CO79),0)),"#,##0"))&amp;" |")</f>
        <v/>
      </c>
    </row>
    <row r="119">
      <c r="D119">
        <f>IF(Model!CP4=0,"","| "&amp;Model!CP1&amp;" | "&amp;IF(Model!CP18&lt;0,"-","")&amp;Effective!$B$20&amp;IF(Effective!$B$21="indian",TEXT(IF(MOD(ABS(Model!CP18),1)=0.5,2*ROUND(ABS(Model!CP18)/2,0),ROUND(ABS(Model!CP18),0)),"[&gt;=10000000]##\,##\,##\,##0;[&gt;=100000]##\,##\,##0;##,##0"),TEXT(IF(MOD(ABS(Model!CP18),1)=0.5,2*ROUND(ABS(Model!CP18)/2,0),ROUND(ABS(Model!CP18),0)),"#,##0"))&amp;" | "&amp;IF(Model!CP45&lt;0,"-","")&amp;Effective!$B$20&amp;IF(Effective!$B$21="indian",TEXT(IF(MOD(ABS(Model!CP45),1)=0.5,2*ROUND(ABS(Model!CP45)/2,0),ROUND(ABS(Model!CP45),0)),"[&gt;=10000000]##\,##\,##\,##0;[&gt;=100000]##\,##\,##0;##,##0"),TEXT(IF(MOD(ABS(Model!CP45),1)=0.5,2*ROUND(ABS(Model!CP45)/2,0),ROUND(ABS(Model!CP45),0)),"#,##0"))&amp;" | "&amp;IF(Model!CP70&lt;0,"-","")&amp;Effective!$B$20&amp;IF(Effective!$B$21="indian",TEXT(IF(MOD(ABS(Model!CP70),1)=0.5,2*ROUND(ABS(Model!CP70)/2,0),ROUND(ABS(Model!CP70),0)),"[&gt;=10000000]##\,##\,##\,##0;[&gt;=100000]##\,##\,##0;##,##0"),TEXT(IF(MOD(ABS(Model!CP70),1)=0.5,2*ROUND(ABS(Model!CP70)/2,0),ROUND(ABS(Model!CP70),0)),"#,##0"))&amp;" | "&amp;IF(Model!CP79&lt;0,"-","")&amp;Effective!$B$20&amp;IF(Effective!$B$21="indian",TEXT(IF(MOD(ABS(Model!CP79),1)=0.5,2*ROUND(ABS(Model!CP79)/2,0),ROUND(ABS(Model!CP79),0)),"[&gt;=10000000]##\,##\,##\,##0;[&gt;=100000]##\,##\,##0;##,##0"),TEXT(IF(MOD(ABS(Model!CP79),1)=0.5,2*ROUND(ABS(Model!CP79)/2,0),ROUND(ABS(Model!CP79),0)),"#,##0"))&amp;" |")</f>
        <v/>
      </c>
    </row>
    <row r="120">
      <c r="D120">
        <f>IF(Model!CQ4=0,"","| "&amp;Model!CQ1&amp;" | "&amp;IF(Model!CQ18&lt;0,"-","")&amp;Effective!$B$20&amp;IF(Effective!$B$21="indian",TEXT(IF(MOD(ABS(Model!CQ18),1)=0.5,2*ROUND(ABS(Model!CQ18)/2,0),ROUND(ABS(Model!CQ18),0)),"[&gt;=10000000]##\,##\,##\,##0;[&gt;=100000]##\,##\,##0;##,##0"),TEXT(IF(MOD(ABS(Model!CQ18),1)=0.5,2*ROUND(ABS(Model!CQ18)/2,0),ROUND(ABS(Model!CQ18),0)),"#,##0"))&amp;" | "&amp;IF(Model!CQ45&lt;0,"-","")&amp;Effective!$B$20&amp;IF(Effective!$B$21="indian",TEXT(IF(MOD(ABS(Model!CQ45),1)=0.5,2*ROUND(ABS(Model!CQ45)/2,0),ROUND(ABS(Model!CQ45),0)),"[&gt;=10000000]##\,##\,##\,##0;[&gt;=100000]##\,##\,##0;##,##0"),TEXT(IF(MOD(ABS(Model!CQ45),1)=0.5,2*ROUND(ABS(Model!CQ45)/2,0),ROUND(ABS(Model!CQ45),0)),"#,##0"))&amp;" | "&amp;IF(Model!CQ70&lt;0,"-","")&amp;Effective!$B$20&amp;IF(Effective!$B$21="indian",TEXT(IF(MOD(ABS(Model!CQ70),1)=0.5,2*ROUND(ABS(Model!CQ70)/2,0),ROUND(ABS(Model!CQ70),0)),"[&gt;=10000000]##\,##\,##\,##0;[&gt;=100000]##\,##\,##0;##,##0"),TEXT(IF(MOD(ABS(Model!CQ70),1)=0.5,2*ROUND(ABS(Model!CQ70)/2,0),ROUND(ABS(Model!CQ70),0)),"#,##0"))&amp;" | "&amp;IF(Model!CQ79&lt;0,"-","")&amp;Effective!$B$20&amp;IF(Effective!$B$21="indian",TEXT(IF(MOD(ABS(Model!CQ79),1)=0.5,2*ROUND(ABS(Model!CQ79)/2,0),ROUND(ABS(Model!CQ79),0)),"[&gt;=10000000]##\,##\,##\,##0;[&gt;=100000]##\,##\,##0;##,##0"),TEXT(IF(MOD(ABS(Model!CQ79),1)=0.5,2*ROUND(ABS(Model!CQ79)/2,0),ROUND(ABS(Model!CQ79),0)),"#,##0"))&amp;" |")</f>
        <v/>
      </c>
    </row>
    <row r="121">
      <c r="D121">
        <f>IF(Model!CR4=0,"","| "&amp;Model!CR1&amp;" | "&amp;IF(Model!CR18&lt;0,"-","")&amp;Effective!$B$20&amp;IF(Effective!$B$21="indian",TEXT(IF(MOD(ABS(Model!CR18),1)=0.5,2*ROUND(ABS(Model!CR18)/2,0),ROUND(ABS(Model!CR18),0)),"[&gt;=10000000]##\,##\,##\,##0;[&gt;=100000]##\,##\,##0;##,##0"),TEXT(IF(MOD(ABS(Model!CR18),1)=0.5,2*ROUND(ABS(Model!CR18)/2,0),ROUND(ABS(Model!CR18),0)),"#,##0"))&amp;" | "&amp;IF(Model!CR45&lt;0,"-","")&amp;Effective!$B$20&amp;IF(Effective!$B$21="indian",TEXT(IF(MOD(ABS(Model!CR45),1)=0.5,2*ROUND(ABS(Model!CR45)/2,0),ROUND(ABS(Model!CR45),0)),"[&gt;=10000000]##\,##\,##\,##0;[&gt;=100000]##\,##\,##0;##,##0"),TEXT(IF(MOD(ABS(Model!CR45),1)=0.5,2*ROUND(ABS(Model!CR45)/2,0),ROUND(ABS(Model!CR45),0)),"#,##0"))&amp;" | "&amp;IF(Model!CR70&lt;0,"-","")&amp;Effective!$B$20&amp;IF(Effective!$B$21="indian",TEXT(IF(MOD(ABS(Model!CR70),1)=0.5,2*ROUND(ABS(Model!CR70)/2,0),ROUND(ABS(Model!CR70),0)),"[&gt;=10000000]##\,##\,##\,##0;[&gt;=100000]##\,##\,##0;##,##0"),TEXT(IF(MOD(ABS(Model!CR70),1)=0.5,2*ROUND(ABS(Model!CR70)/2,0),ROUND(ABS(Model!CR70),0)),"#,##0"))&amp;" | "&amp;IF(Model!CR79&lt;0,"-","")&amp;Effective!$B$20&amp;IF(Effective!$B$21="indian",TEXT(IF(MOD(ABS(Model!CR79),1)=0.5,2*ROUND(ABS(Model!CR79)/2,0),ROUND(ABS(Model!CR79),0)),"[&gt;=10000000]##\,##\,##\,##0;[&gt;=100000]##\,##\,##0;##,##0"),TEXT(IF(MOD(ABS(Model!CR79),1)=0.5,2*ROUND(ABS(Model!CR79)/2,0),ROUND(ABS(Model!CR79),0)),"#,##0"))&amp;" |")</f>
        <v/>
      </c>
    </row>
    <row r="122">
      <c r="D122">
        <f>IF(Model!CS4=0,"","| "&amp;Model!CS1&amp;" | "&amp;IF(Model!CS18&lt;0,"-","")&amp;Effective!$B$20&amp;IF(Effective!$B$21="indian",TEXT(IF(MOD(ABS(Model!CS18),1)=0.5,2*ROUND(ABS(Model!CS18)/2,0),ROUND(ABS(Model!CS18),0)),"[&gt;=10000000]##\,##\,##\,##0;[&gt;=100000]##\,##\,##0;##,##0"),TEXT(IF(MOD(ABS(Model!CS18),1)=0.5,2*ROUND(ABS(Model!CS18)/2,0),ROUND(ABS(Model!CS18),0)),"#,##0"))&amp;" | "&amp;IF(Model!CS45&lt;0,"-","")&amp;Effective!$B$20&amp;IF(Effective!$B$21="indian",TEXT(IF(MOD(ABS(Model!CS45),1)=0.5,2*ROUND(ABS(Model!CS45)/2,0),ROUND(ABS(Model!CS45),0)),"[&gt;=10000000]##\,##\,##\,##0;[&gt;=100000]##\,##\,##0;##,##0"),TEXT(IF(MOD(ABS(Model!CS45),1)=0.5,2*ROUND(ABS(Model!CS45)/2,0),ROUND(ABS(Model!CS45),0)),"#,##0"))&amp;" | "&amp;IF(Model!CS70&lt;0,"-","")&amp;Effective!$B$20&amp;IF(Effective!$B$21="indian",TEXT(IF(MOD(ABS(Model!CS70),1)=0.5,2*ROUND(ABS(Model!CS70)/2,0),ROUND(ABS(Model!CS70),0)),"[&gt;=10000000]##\,##\,##\,##0;[&gt;=100000]##\,##\,##0;##,##0"),TEXT(IF(MOD(ABS(Model!CS70),1)=0.5,2*ROUND(ABS(Model!CS70)/2,0),ROUND(ABS(Model!CS70),0)),"#,##0"))&amp;" | "&amp;IF(Model!CS79&lt;0,"-","")&amp;Effective!$B$20&amp;IF(Effective!$B$21="indian",TEXT(IF(MOD(ABS(Model!CS79),1)=0.5,2*ROUND(ABS(Model!CS79)/2,0),ROUND(ABS(Model!CS79),0)),"[&gt;=10000000]##\,##\,##\,##0;[&gt;=100000]##\,##\,##0;##,##0"),TEXT(IF(MOD(ABS(Model!CS79),1)=0.5,2*ROUND(ABS(Model!CS79)/2,0),ROUND(ABS(Model!CS79),0)),"#,##0"))&amp;" |")</f>
        <v/>
      </c>
    </row>
    <row r="123">
      <c r="D123">
        <f>IF(Model!CT4=0,"","| "&amp;Model!CT1&amp;" | "&amp;IF(Model!CT18&lt;0,"-","")&amp;Effective!$B$20&amp;IF(Effective!$B$21="indian",TEXT(IF(MOD(ABS(Model!CT18),1)=0.5,2*ROUND(ABS(Model!CT18)/2,0),ROUND(ABS(Model!CT18),0)),"[&gt;=10000000]##\,##\,##\,##0;[&gt;=100000]##\,##\,##0;##,##0"),TEXT(IF(MOD(ABS(Model!CT18),1)=0.5,2*ROUND(ABS(Model!CT18)/2,0),ROUND(ABS(Model!CT18),0)),"#,##0"))&amp;" | "&amp;IF(Model!CT45&lt;0,"-","")&amp;Effective!$B$20&amp;IF(Effective!$B$21="indian",TEXT(IF(MOD(ABS(Model!CT45),1)=0.5,2*ROUND(ABS(Model!CT45)/2,0),ROUND(ABS(Model!CT45),0)),"[&gt;=10000000]##\,##\,##\,##0;[&gt;=100000]##\,##\,##0;##,##0"),TEXT(IF(MOD(ABS(Model!CT45),1)=0.5,2*ROUND(ABS(Model!CT45)/2,0),ROUND(ABS(Model!CT45),0)),"#,##0"))&amp;" | "&amp;IF(Model!CT70&lt;0,"-","")&amp;Effective!$B$20&amp;IF(Effective!$B$21="indian",TEXT(IF(MOD(ABS(Model!CT70),1)=0.5,2*ROUND(ABS(Model!CT70)/2,0),ROUND(ABS(Model!CT70),0)),"[&gt;=10000000]##\,##\,##\,##0;[&gt;=100000]##\,##\,##0;##,##0"),TEXT(IF(MOD(ABS(Model!CT70),1)=0.5,2*ROUND(ABS(Model!CT70)/2,0),ROUND(ABS(Model!CT70),0)),"#,##0"))&amp;" | "&amp;IF(Model!CT79&lt;0,"-","")&amp;Effective!$B$20&amp;IF(Effective!$B$21="indian",TEXT(IF(MOD(ABS(Model!CT79),1)=0.5,2*ROUND(ABS(Model!CT79)/2,0),ROUND(ABS(Model!CT79),0)),"[&gt;=10000000]##\,##\,##\,##0;[&gt;=100000]##\,##\,##0;##,##0"),TEXT(IF(MOD(ABS(Model!CT79),1)=0.5,2*ROUND(ABS(Model!CT79)/2,0),ROUND(ABS(Model!CT79),0)),"#,##0"))&amp;" |")</f>
        <v/>
      </c>
    </row>
    <row r="124">
      <c r="D124">
        <f>IF(Model!CU4=0,"","| "&amp;Model!CU1&amp;" | "&amp;IF(Model!CU18&lt;0,"-","")&amp;Effective!$B$20&amp;IF(Effective!$B$21="indian",TEXT(IF(MOD(ABS(Model!CU18),1)=0.5,2*ROUND(ABS(Model!CU18)/2,0),ROUND(ABS(Model!CU18),0)),"[&gt;=10000000]##\,##\,##\,##0;[&gt;=100000]##\,##\,##0;##,##0"),TEXT(IF(MOD(ABS(Model!CU18),1)=0.5,2*ROUND(ABS(Model!CU18)/2,0),ROUND(ABS(Model!CU18),0)),"#,##0"))&amp;" | "&amp;IF(Model!CU45&lt;0,"-","")&amp;Effective!$B$20&amp;IF(Effective!$B$21="indian",TEXT(IF(MOD(ABS(Model!CU45),1)=0.5,2*ROUND(ABS(Model!CU45)/2,0),ROUND(ABS(Model!CU45),0)),"[&gt;=10000000]##\,##\,##\,##0;[&gt;=100000]##\,##\,##0;##,##0"),TEXT(IF(MOD(ABS(Model!CU45),1)=0.5,2*ROUND(ABS(Model!CU45)/2,0),ROUND(ABS(Model!CU45),0)),"#,##0"))&amp;" | "&amp;IF(Model!CU70&lt;0,"-","")&amp;Effective!$B$20&amp;IF(Effective!$B$21="indian",TEXT(IF(MOD(ABS(Model!CU70),1)=0.5,2*ROUND(ABS(Model!CU70)/2,0),ROUND(ABS(Model!CU70),0)),"[&gt;=10000000]##\,##\,##\,##0;[&gt;=100000]##\,##\,##0;##,##0"),TEXT(IF(MOD(ABS(Model!CU70),1)=0.5,2*ROUND(ABS(Model!CU70)/2,0),ROUND(ABS(Model!CU70),0)),"#,##0"))&amp;" | "&amp;IF(Model!CU79&lt;0,"-","")&amp;Effective!$B$20&amp;IF(Effective!$B$21="indian",TEXT(IF(MOD(ABS(Model!CU79),1)=0.5,2*ROUND(ABS(Model!CU79)/2,0),ROUND(ABS(Model!CU79),0)),"[&gt;=10000000]##\,##\,##\,##0;[&gt;=100000]##\,##\,##0;##,##0"),TEXT(IF(MOD(ABS(Model!CU79),1)=0.5,2*ROUND(ABS(Model!CU79)/2,0),ROUND(ABS(Model!CU79),0)),"#,##0"))&amp;" |")</f>
        <v/>
      </c>
    </row>
    <row r="125">
      <c r="D125">
        <f>IF(Model!CV4=0,"","| "&amp;Model!CV1&amp;" | "&amp;IF(Model!CV18&lt;0,"-","")&amp;Effective!$B$20&amp;IF(Effective!$B$21="indian",TEXT(IF(MOD(ABS(Model!CV18),1)=0.5,2*ROUND(ABS(Model!CV18)/2,0),ROUND(ABS(Model!CV18),0)),"[&gt;=10000000]##\,##\,##\,##0;[&gt;=100000]##\,##\,##0;##,##0"),TEXT(IF(MOD(ABS(Model!CV18),1)=0.5,2*ROUND(ABS(Model!CV18)/2,0),ROUND(ABS(Model!CV18),0)),"#,##0"))&amp;" | "&amp;IF(Model!CV45&lt;0,"-","")&amp;Effective!$B$20&amp;IF(Effective!$B$21="indian",TEXT(IF(MOD(ABS(Model!CV45),1)=0.5,2*ROUND(ABS(Model!CV45)/2,0),ROUND(ABS(Model!CV45),0)),"[&gt;=10000000]##\,##\,##\,##0;[&gt;=100000]##\,##\,##0;##,##0"),TEXT(IF(MOD(ABS(Model!CV45),1)=0.5,2*ROUND(ABS(Model!CV45)/2,0),ROUND(ABS(Model!CV45),0)),"#,##0"))&amp;" | "&amp;IF(Model!CV70&lt;0,"-","")&amp;Effective!$B$20&amp;IF(Effective!$B$21="indian",TEXT(IF(MOD(ABS(Model!CV70),1)=0.5,2*ROUND(ABS(Model!CV70)/2,0),ROUND(ABS(Model!CV70),0)),"[&gt;=10000000]##\,##\,##\,##0;[&gt;=100000]##\,##\,##0;##,##0"),TEXT(IF(MOD(ABS(Model!CV70),1)=0.5,2*ROUND(ABS(Model!CV70)/2,0),ROUND(ABS(Model!CV70),0)),"#,##0"))&amp;" | "&amp;IF(Model!CV79&lt;0,"-","")&amp;Effective!$B$20&amp;IF(Effective!$B$21="indian",TEXT(IF(MOD(ABS(Model!CV79),1)=0.5,2*ROUND(ABS(Model!CV79)/2,0),ROUND(ABS(Model!CV79),0)),"[&gt;=10000000]##\,##\,##\,##0;[&gt;=100000]##\,##\,##0;##,##0"),TEXT(IF(MOD(ABS(Model!CV79),1)=0.5,2*ROUND(ABS(Model!CV79)/2,0),ROUND(ABS(Model!CV79),0)),"#,##0"))&amp;" |")</f>
        <v/>
      </c>
    </row>
    <row r="126">
      <c r="D126">
        <f>IF(Model!CW4=0,"","| "&amp;Model!CW1&amp;" | "&amp;IF(Model!CW18&lt;0,"-","")&amp;Effective!$B$20&amp;IF(Effective!$B$21="indian",TEXT(IF(MOD(ABS(Model!CW18),1)=0.5,2*ROUND(ABS(Model!CW18)/2,0),ROUND(ABS(Model!CW18),0)),"[&gt;=10000000]##\,##\,##\,##0;[&gt;=100000]##\,##\,##0;##,##0"),TEXT(IF(MOD(ABS(Model!CW18),1)=0.5,2*ROUND(ABS(Model!CW18)/2,0),ROUND(ABS(Model!CW18),0)),"#,##0"))&amp;" | "&amp;IF(Model!CW45&lt;0,"-","")&amp;Effective!$B$20&amp;IF(Effective!$B$21="indian",TEXT(IF(MOD(ABS(Model!CW45),1)=0.5,2*ROUND(ABS(Model!CW45)/2,0),ROUND(ABS(Model!CW45),0)),"[&gt;=10000000]##\,##\,##\,##0;[&gt;=100000]##\,##\,##0;##,##0"),TEXT(IF(MOD(ABS(Model!CW45),1)=0.5,2*ROUND(ABS(Model!CW45)/2,0),ROUND(ABS(Model!CW45),0)),"#,##0"))&amp;" | "&amp;IF(Model!CW70&lt;0,"-","")&amp;Effective!$B$20&amp;IF(Effective!$B$21="indian",TEXT(IF(MOD(ABS(Model!CW70),1)=0.5,2*ROUND(ABS(Model!CW70)/2,0),ROUND(ABS(Model!CW70),0)),"[&gt;=10000000]##\,##\,##\,##0;[&gt;=100000]##\,##\,##0;##,##0"),TEXT(IF(MOD(ABS(Model!CW70),1)=0.5,2*ROUND(ABS(Model!CW70)/2,0),ROUND(ABS(Model!CW70),0)),"#,##0"))&amp;" | "&amp;IF(Model!CW79&lt;0,"-","")&amp;Effective!$B$20&amp;IF(Effective!$B$21="indian",TEXT(IF(MOD(ABS(Model!CW79),1)=0.5,2*ROUND(ABS(Model!CW79)/2,0),ROUND(ABS(Model!CW79),0)),"[&gt;=10000000]##\,##\,##\,##0;[&gt;=100000]##\,##\,##0;##,##0"),TEXT(IF(MOD(ABS(Model!CW79),1)=0.5,2*ROUND(ABS(Model!CW79)/2,0),ROUND(ABS(Model!CW79),0)),"#,##0"))&amp;" |")</f>
        <v/>
      </c>
    </row>
    <row r="127">
      <c r="D127">
        <f>IF(Model!CX4=0,"","| "&amp;Model!CX1&amp;" | "&amp;IF(Model!CX18&lt;0,"-","")&amp;Effective!$B$20&amp;IF(Effective!$B$21="indian",TEXT(IF(MOD(ABS(Model!CX18),1)=0.5,2*ROUND(ABS(Model!CX18)/2,0),ROUND(ABS(Model!CX18),0)),"[&gt;=10000000]##\,##\,##\,##0;[&gt;=100000]##\,##\,##0;##,##0"),TEXT(IF(MOD(ABS(Model!CX18),1)=0.5,2*ROUND(ABS(Model!CX18)/2,0),ROUND(ABS(Model!CX18),0)),"#,##0"))&amp;" | "&amp;IF(Model!CX45&lt;0,"-","")&amp;Effective!$B$20&amp;IF(Effective!$B$21="indian",TEXT(IF(MOD(ABS(Model!CX45),1)=0.5,2*ROUND(ABS(Model!CX45)/2,0),ROUND(ABS(Model!CX45),0)),"[&gt;=10000000]##\,##\,##\,##0;[&gt;=100000]##\,##\,##0;##,##0"),TEXT(IF(MOD(ABS(Model!CX45),1)=0.5,2*ROUND(ABS(Model!CX45)/2,0),ROUND(ABS(Model!CX45),0)),"#,##0"))&amp;" | "&amp;IF(Model!CX70&lt;0,"-","")&amp;Effective!$B$20&amp;IF(Effective!$B$21="indian",TEXT(IF(MOD(ABS(Model!CX70),1)=0.5,2*ROUND(ABS(Model!CX70)/2,0),ROUND(ABS(Model!CX70),0)),"[&gt;=10000000]##\,##\,##\,##0;[&gt;=100000]##\,##\,##0;##,##0"),TEXT(IF(MOD(ABS(Model!CX70),1)=0.5,2*ROUND(ABS(Model!CX70)/2,0),ROUND(ABS(Model!CX70),0)),"#,##0"))&amp;" | "&amp;IF(Model!CX79&lt;0,"-","")&amp;Effective!$B$20&amp;IF(Effective!$B$21="indian",TEXT(IF(MOD(ABS(Model!CX79),1)=0.5,2*ROUND(ABS(Model!CX79)/2,0),ROUND(ABS(Model!CX79),0)),"[&gt;=10000000]##\,##\,##\,##0;[&gt;=100000]##\,##\,##0;##,##0"),TEXT(IF(MOD(ABS(Model!CX79),1)=0.5,2*ROUND(ABS(Model!CX79)/2,0),ROUND(ABS(Model!CX79),0)),"#,##0"))&amp;" |")</f>
        <v/>
      </c>
    </row>
    <row r="128">
      <c r="D128">
        <f>IF(Model!CY4=0,"","| "&amp;Model!CY1&amp;" | "&amp;IF(Model!CY18&lt;0,"-","")&amp;Effective!$B$20&amp;IF(Effective!$B$21="indian",TEXT(IF(MOD(ABS(Model!CY18),1)=0.5,2*ROUND(ABS(Model!CY18)/2,0),ROUND(ABS(Model!CY18),0)),"[&gt;=10000000]##\,##\,##\,##0;[&gt;=100000]##\,##\,##0;##,##0"),TEXT(IF(MOD(ABS(Model!CY18),1)=0.5,2*ROUND(ABS(Model!CY18)/2,0),ROUND(ABS(Model!CY18),0)),"#,##0"))&amp;" | "&amp;IF(Model!CY45&lt;0,"-","")&amp;Effective!$B$20&amp;IF(Effective!$B$21="indian",TEXT(IF(MOD(ABS(Model!CY45),1)=0.5,2*ROUND(ABS(Model!CY45)/2,0),ROUND(ABS(Model!CY45),0)),"[&gt;=10000000]##\,##\,##\,##0;[&gt;=100000]##\,##\,##0;##,##0"),TEXT(IF(MOD(ABS(Model!CY45),1)=0.5,2*ROUND(ABS(Model!CY45)/2,0),ROUND(ABS(Model!CY45),0)),"#,##0"))&amp;" | "&amp;IF(Model!CY70&lt;0,"-","")&amp;Effective!$B$20&amp;IF(Effective!$B$21="indian",TEXT(IF(MOD(ABS(Model!CY70),1)=0.5,2*ROUND(ABS(Model!CY70)/2,0),ROUND(ABS(Model!CY70),0)),"[&gt;=10000000]##\,##\,##\,##0;[&gt;=100000]##\,##\,##0;##,##0"),TEXT(IF(MOD(ABS(Model!CY70),1)=0.5,2*ROUND(ABS(Model!CY70)/2,0),ROUND(ABS(Model!CY70),0)),"#,##0"))&amp;" | "&amp;IF(Model!CY79&lt;0,"-","")&amp;Effective!$B$20&amp;IF(Effective!$B$21="indian",TEXT(IF(MOD(ABS(Model!CY79),1)=0.5,2*ROUND(ABS(Model!CY79)/2,0),ROUND(ABS(Model!CY79),0)),"[&gt;=10000000]##\,##\,##\,##0;[&gt;=100000]##\,##\,##0;##,##0"),TEXT(IF(MOD(ABS(Model!CY79),1)=0.5,2*ROUND(ABS(Model!CY79)/2,0),ROUND(ABS(Model!CY79),0)),"#,##0"))&amp;" |")</f>
        <v/>
      </c>
    </row>
    <row r="129">
      <c r="D129">
        <f>IF(Model!CZ4=0,"","| "&amp;Model!CZ1&amp;" | "&amp;IF(Model!CZ18&lt;0,"-","")&amp;Effective!$B$20&amp;IF(Effective!$B$21="indian",TEXT(IF(MOD(ABS(Model!CZ18),1)=0.5,2*ROUND(ABS(Model!CZ18)/2,0),ROUND(ABS(Model!CZ18),0)),"[&gt;=10000000]##\,##\,##\,##0;[&gt;=100000]##\,##\,##0;##,##0"),TEXT(IF(MOD(ABS(Model!CZ18),1)=0.5,2*ROUND(ABS(Model!CZ18)/2,0),ROUND(ABS(Model!CZ18),0)),"#,##0"))&amp;" | "&amp;IF(Model!CZ45&lt;0,"-","")&amp;Effective!$B$20&amp;IF(Effective!$B$21="indian",TEXT(IF(MOD(ABS(Model!CZ45),1)=0.5,2*ROUND(ABS(Model!CZ45)/2,0),ROUND(ABS(Model!CZ45),0)),"[&gt;=10000000]##\,##\,##\,##0;[&gt;=100000]##\,##\,##0;##,##0"),TEXT(IF(MOD(ABS(Model!CZ45),1)=0.5,2*ROUND(ABS(Model!CZ45)/2,0),ROUND(ABS(Model!CZ45),0)),"#,##0"))&amp;" | "&amp;IF(Model!CZ70&lt;0,"-","")&amp;Effective!$B$20&amp;IF(Effective!$B$21="indian",TEXT(IF(MOD(ABS(Model!CZ70),1)=0.5,2*ROUND(ABS(Model!CZ70)/2,0),ROUND(ABS(Model!CZ70),0)),"[&gt;=10000000]##\,##\,##\,##0;[&gt;=100000]##\,##\,##0;##,##0"),TEXT(IF(MOD(ABS(Model!CZ70),1)=0.5,2*ROUND(ABS(Model!CZ70)/2,0),ROUND(ABS(Model!CZ70),0)),"#,##0"))&amp;" | "&amp;IF(Model!CZ79&lt;0,"-","")&amp;Effective!$B$20&amp;IF(Effective!$B$21="indian",TEXT(IF(MOD(ABS(Model!CZ79),1)=0.5,2*ROUND(ABS(Model!CZ79)/2,0),ROUND(ABS(Model!CZ79),0)),"[&gt;=10000000]##\,##\,##\,##0;[&gt;=100000]##\,##\,##0;##,##0"),TEXT(IF(MOD(ABS(Model!CZ79),1)=0.5,2*ROUND(ABS(Model!CZ79)/2,0),ROUND(ABS(Model!CZ79),0)),"#,##0"))&amp;" |")</f>
        <v/>
      </c>
    </row>
    <row r="130">
      <c r="D130">
        <f>IF(Model!DA4=0,"","| "&amp;Model!DA1&amp;" | "&amp;IF(Model!DA18&lt;0,"-","")&amp;Effective!$B$20&amp;IF(Effective!$B$21="indian",TEXT(IF(MOD(ABS(Model!DA18),1)=0.5,2*ROUND(ABS(Model!DA18)/2,0),ROUND(ABS(Model!DA18),0)),"[&gt;=10000000]##\,##\,##\,##0;[&gt;=100000]##\,##\,##0;##,##0"),TEXT(IF(MOD(ABS(Model!DA18),1)=0.5,2*ROUND(ABS(Model!DA18)/2,0),ROUND(ABS(Model!DA18),0)),"#,##0"))&amp;" | "&amp;IF(Model!DA45&lt;0,"-","")&amp;Effective!$B$20&amp;IF(Effective!$B$21="indian",TEXT(IF(MOD(ABS(Model!DA45),1)=0.5,2*ROUND(ABS(Model!DA45)/2,0),ROUND(ABS(Model!DA45),0)),"[&gt;=10000000]##\,##\,##\,##0;[&gt;=100000]##\,##\,##0;##,##0"),TEXT(IF(MOD(ABS(Model!DA45),1)=0.5,2*ROUND(ABS(Model!DA45)/2,0),ROUND(ABS(Model!DA45),0)),"#,##0"))&amp;" | "&amp;IF(Model!DA70&lt;0,"-","")&amp;Effective!$B$20&amp;IF(Effective!$B$21="indian",TEXT(IF(MOD(ABS(Model!DA70),1)=0.5,2*ROUND(ABS(Model!DA70)/2,0),ROUND(ABS(Model!DA70),0)),"[&gt;=10000000]##\,##\,##\,##0;[&gt;=100000]##\,##\,##0;##,##0"),TEXT(IF(MOD(ABS(Model!DA70),1)=0.5,2*ROUND(ABS(Model!DA70)/2,0),ROUND(ABS(Model!DA70),0)),"#,##0"))&amp;" | "&amp;IF(Model!DA79&lt;0,"-","")&amp;Effective!$B$20&amp;IF(Effective!$B$21="indian",TEXT(IF(MOD(ABS(Model!DA79),1)=0.5,2*ROUND(ABS(Model!DA79)/2,0),ROUND(ABS(Model!DA79),0)),"[&gt;=10000000]##\,##\,##\,##0;[&gt;=100000]##\,##\,##0;##,##0"),TEXT(IF(MOD(ABS(Model!DA79),1)=0.5,2*ROUND(ABS(Model!DA79)/2,0),ROUND(ABS(Model!DA79),0)),"#,##0"))&amp;" |")</f>
        <v/>
      </c>
    </row>
    <row r="131">
      <c r="D131">
        <f>IF(Model!DB4=0,"","| "&amp;Model!DB1&amp;" | "&amp;IF(Model!DB18&lt;0,"-","")&amp;Effective!$B$20&amp;IF(Effective!$B$21="indian",TEXT(IF(MOD(ABS(Model!DB18),1)=0.5,2*ROUND(ABS(Model!DB18)/2,0),ROUND(ABS(Model!DB18),0)),"[&gt;=10000000]##\,##\,##\,##0;[&gt;=100000]##\,##\,##0;##,##0"),TEXT(IF(MOD(ABS(Model!DB18),1)=0.5,2*ROUND(ABS(Model!DB18)/2,0),ROUND(ABS(Model!DB18),0)),"#,##0"))&amp;" | "&amp;IF(Model!DB45&lt;0,"-","")&amp;Effective!$B$20&amp;IF(Effective!$B$21="indian",TEXT(IF(MOD(ABS(Model!DB45),1)=0.5,2*ROUND(ABS(Model!DB45)/2,0),ROUND(ABS(Model!DB45),0)),"[&gt;=10000000]##\,##\,##\,##0;[&gt;=100000]##\,##\,##0;##,##0"),TEXT(IF(MOD(ABS(Model!DB45),1)=0.5,2*ROUND(ABS(Model!DB45)/2,0),ROUND(ABS(Model!DB45),0)),"#,##0"))&amp;" | "&amp;IF(Model!DB70&lt;0,"-","")&amp;Effective!$B$20&amp;IF(Effective!$B$21="indian",TEXT(IF(MOD(ABS(Model!DB70),1)=0.5,2*ROUND(ABS(Model!DB70)/2,0),ROUND(ABS(Model!DB70),0)),"[&gt;=10000000]##\,##\,##\,##0;[&gt;=100000]##\,##\,##0;##,##0"),TEXT(IF(MOD(ABS(Model!DB70),1)=0.5,2*ROUND(ABS(Model!DB70)/2,0),ROUND(ABS(Model!DB70),0)),"#,##0"))&amp;" | "&amp;IF(Model!DB79&lt;0,"-","")&amp;Effective!$B$20&amp;IF(Effective!$B$21="indian",TEXT(IF(MOD(ABS(Model!DB79),1)=0.5,2*ROUND(ABS(Model!DB79)/2,0),ROUND(ABS(Model!DB79),0)),"[&gt;=10000000]##\,##\,##\,##0;[&gt;=100000]##\,##\,##0;##,##0"),TEXT(IF(MOD(ABS(Model!DB79),1)=0.5,2*ROUND(ABS(Model!DB79)/2,0),ROUND(ABS(Model!DB79),0)),"#,##0"))&amp;" |")</f>
        <v/>
      </c>
    </row>
    <row r="132">
      <c r="D132">
        <f>IF(Model!DC4=0,"","| "&amp;Model!DC1&amp;" | "&amp;IF(Model!DC18&lt;0,"-","")&amp;Effective!$B$20&amp;IF(Effective!$B$21="indian",TEXT(IF(MOD(ABS(Model!DC18),1)=0.5,2*ROUND(ABS(Model!DC18)/2,0),ROUND(ABS(Model!DC18),0)),"[&gt;=10000000]##\,##\,##\,##0;[&gt;=100000]##\,##\,##0;##,##0"),TEXT(IF(MOD(ABS(Model!DC18),1)=0.5,2*ROUND(ABS(Model!DC18)/2,0),ROUND(ABS(Model!DC18),0)),"#,##0"))&amp;" | "&amp;IF(Model!DC45&lt;0,"-","")&amp;Effective!$B$20&amp;IF(Effective!$B$21="indian",TEXT(IF(MOD(ABS(Model!DC45),1)=0.5,2*ROUND(ABS(Model!DC45)/2,0),ROUND(ABS(Model!DC45),0)),"[&gt;=10000000]##\,##\,##\,##0;[&gt;=100000]##\,##\,##0;##,##0"),TEXT(IF(MOD(ABS(Model!DC45),1)=0.5,2*ROUND(ABS(Model!DC45)/2,0),ROUND(ABS(Model!DC45),0)),"#,##0"))&amp;" | "&amp;IF(Model!DC70&lt;0,"-","")&amp;Effective!$B$20&amp;IF(Effective!$B$21="indian",TEXT(IF(MOD(ABS(Model!DC70),1)=0.5,2*ROUND(ABS(Model!DC70)/2,0),ROUND(ABS(Model!DC70),0)),"[&gt;=10000000]##\,##\,##\,##0;[&gt;=100000]##\,##\,##0;##,##0"),TEXT(IF(MOD(ABS(Model!DC70),1)=0.5,2*ROUND(ABS(Model!DC70)/2,0),ROUND(ABS(Model!DC70),0)),"#,##0"))&amp;" | "&amp;IF(Model!DC79&lt;0,"-","")&amp;Effective!$B$20&amp;IF(Effective!$B$21="indian",TEXT(IF(MOD(ABS(Model!DC79),1)=0.5,2*ROUND(ABS(Model!DC79)/2,0),ROUND(ABS(Model!DC79),0)),"[&gt;=10000000]##\,##\,##\,##0;[&gt;=100000]##\,##\,##0;##,##0"),TEXT(IF(MOD(ABS(Model!DC79),1)=0.5,2*ROUND(ABS(Model!DC79)/2,0),ROUND(ABS(Model!DC79),0)),"#,##0"))&amp;" |")</f>
        <v/>
      </c>
    </row>
    <row r="133">
      <c r="D133">
        <f>IF(Model!DD4=0,"","| "&amp;Model!DD1&amp;" | "&amp;IF(Model!DD18&lt;0,"-","")&amp;Effective!$B$20&amp;IF(Effective!$B$21="indian",TEXT(IF(MOD(ABS(Model!DD18),1)=0.5,2*ROUND(ABS(Model!DD18)/2,0),ROUND(ABS(Model!DD18),0)),"[&gt;=10000000]##\,##\,##\,##0;[&gt;=100000]##\,##\,##0;##,##0"),TEXT(IF(MOD(ABS(Model!DD18),1)=0.5,2*ROUND(ABS(Model!DD18)/2,0),ROUND(ABS(Model!DD18),0)),"#,##0"))&amp;" | "&amp;IF(Model!DD45&lt;0,"-","")&amp;Effective!$B$20&amp;IF(Effective!$B$21="indian",TEXT(IF(MOD(ABS(Model!DD45),1)=0.5,2*ROUND(ABS(Model!DD45)/2,0),ROUND(ABS(Model!DD45),0)),"[&gt;=10000000]##\,##\,##\,##0;[&gt;=100000]##\,##\,##0;##,##0"),TEXT(IF(MOD(ABS(Model!DD45),1)=0.5,2*ROUND(ABS(Model!DD45)/2,0),ROUND(ABS(Model!DD45),0)),"#,##0"))&amp;" | "&amp;IF(Model!DD70&lt;0,"-","")&amp;Effective!$B$20&amp;IF(Effective!$B$21="indian",TEXT(IF(MOD(ABS(Model!DD70),1)=0.5,2*ROUND(ABS(Model!DD70)/2,0),ROUND(ABS(Model!DD70),0)),"[&gt;=10000000]##\,##\,##\,##0;[&gt;=100000]##\,##\,##0;##,##0"),TEXT(IF(MOD(ABS(Model!DD70),1)=0.5,2*ROUND(ABS(Model!DD70)/2,0),ROUND(ABS(Model!DD70),0)),"#,##0"))&amp;" | "&amp;IF(Model!DD79&lt;0,"-","")&amp;Effective!$B$20&amp;IF(Effective!$B$21="indian",TEXT(IF(MOD(ABS(Model!DD79),1)=0.5,2*ROUND(ABS(Model!DD79)/2,0),ROUND(ABS(Model!DD79),0)),"[&gt;=10000000]##\,##\,##\,##0;[&gt;=100000]##\,##\,##0;##,##0"),TEXT(IF(MOD(ABS(Model!DD79),1)=0.5,2*ROUND(ABS(Model!DD79)/2,0),ROUND(ABS(Model!DD79),0)),"#,##0"))&amp;" |")</f>
        <v/>
      </c>
    </row>
    <row r="134">
      <c r="D134">
        <f>IF(Model!DE4=0,"","| "&amp;Model!DE1&amp;" | "&amp;IF(Model!DE18&lt;0,"-","")&amp;Effective!$B$20&amp;IF(Effective!$B$21="indian",TEXT(IF(MOD(ABS(Model!DE18),1)=0.5,2*ROUND(ABS(Model!DE18)/2,0),ROUND(ABS(Model!DE18),0)),"[&gt;=10000000]##\,##\,##\,##0;[&gt;=100000]##\,##\,##0;##,##0"),TEXT(IF(MOD(ABS(Model!DE18),1)=0.5,2*ROUND(ABS(Model!DE18)/2,0),ROUND(ABS(Model!DE18),0)),"#,##0"))&amp;" | "&amp;IF(Model!DE45&lt;0,"-","")&amp;Effective!$B$20&amp;IF(Effective!$B$21="indian",TEXT(IF(MOD(ABS(Model!DE45),1)=0.5,2*ROUND(ABS(Model!DE45)/2,0),ROUND(ABS(Model!DE45),0)),"[&gt;=10000000]##\,##\,##\,##0;[&gt;=100000]##\,##\,##0;##,##0"),TEXT(IF(MOD(ABS(Model!DE45),1)=0.5,2*ROUND(ABS(Model!DE45)/2,0),ROUND(ABS(Model!DE45),0)),"#,##0"))&amp;" | "&amp;IF(Model!DE70&lt;0,"-","")&amp;Effective!$B$20&amp;IF(Effective!$B$21="indian",TEXT(IF(MOD(ABS(Model!DE70),1)=0.5,2*ROUND(ABS(Model!DE70)/2,0),ROUND(ABS(Model!DE70),0)),"[&gt;=10000000]##\,##\,##\,##0;[&gt;=100000]##\,##\,##0;##,##0"),TEXT(IF(MOD(ABS(Model!DE70),1)=0.5,2*ROUND(ABS(Model!DE70)/2,0),ROUND(ABS(Model!DE70),0)),"#,##0"))&amp;" | "&amp;IF(Model!DE79&lt;0,"-","")&amp;Effective!$B$20&amp;IF(Effective!$B$21="indian",TEXT(IF(MOD(ABS(Model!DE79),1)=0.5,2*ROUND(ABS(Model!DE79)/2,0),ROUND(ABS(Model!DE79),0)),"[&gt;=10000000]##\,##\,##\,##0;[&gt;=100000]##\,##\,##0;##,##0"),TEXT(IF(MOD(ABS(Model!DE79),1)=0.5,2*ROUND(ABS(Model!DE79)/2,0),ROUND(ABS(Model!DE79),0)),"#,##0"))&amp;" |")</f>
        <v/>
      </c>
    </row>
    <row r="135">
      <c r="D135">
        <f>IF(Model!DF4=0,"","| "&amp;Model!DF1&amp;" | "&amp;IF(Model!DF18&lt;0,"-","")&amp;Effective!$B$20&amp;IF(Effective!$B$21="indian",TEXT(IF(MOD(ABS(Model!DF18),1)=0.5,2*ROUND(ABS(Model!DF18)/2,0),ROUND(ABS(Model!DF18),0)),"[&gt;=10000000]##\,##\,##\,##0;[&gt;=100000]##\,##\,##0;##,##0"),TEXT(IF(MOD(ABS(Model!DF18),1)=0.5,2*ROUND(ABS(Model!DF18)/2,0),ROUND(ABS(Model!DF18),0)),"#,##0"))&amp;" | "&amp;IF(Model!DF45&lt;0,"-","")&amp;Effective!$B$20&amp;IF(Effective!$B$21="indian",TEXT(IF(MOD(ABS(Model!DF45),1)=0.5,2*ROUND(ABS(Model!DF45)/2,0),ROUND(ABS(Model!DF45),0)),"[&gt;=10000000]##\,##\,##\,##0;[&gt;=100000]##\,##\,##0;##,##0"),TEXT(IF(MOD(ABS(Model!DF45),1)=0.5,2*ROUND(ABS(Model!DF45)/2,0),ROUND(ABS(Model!DF45),0)),"#,##0"))&amp;" | "&amp;IF(Model!DF70&lt;0,"-","")&amp;Effective!$B$20&amp;IF(Effective!$B$21="indian",TEXT(IF(MOD(ABS(Model!DF70),1)=0.5,2*ROUND(ABS(Model!DF70)/2,0),ROUND(ABS(Model!DF70),0)),"[&gt;=10000000]##\,##\,##\,##0;[&gt;=100000]##\,##\,##0;##,##0"),TEXT(IF(MOD(ABS(Model!DF70),1)=0.5,2*ROUND(ABS(Model!DF70)/2,0),ROUND(ABS(Model!DF70),0)),"#,##0"))&amp;" | "&amp;IF(Model!DF79&lt;0,"-","")&amp;Effective!$B$20&amp;IF(Effective!$B$21="indian",TEXT(IF(MOD(ABS(Model!DF79),1)=0.5,2*ROUND(ABS(Model!DF79)/2,0),ROUND(ABS(Model!DF79),0)),"[&gt;=10000000]##\,##\,##\,##0;[&gt;=100000]##\,##\,##0;##,##0"),TEXT(IF(MOD(ABS(Model!DF79),1)=0.5,2*ROUND(ABS(Model!DF79)/2,0),ROUND(ABS(Model!DF79),0)),"#,##0"))&amp;" |")</f>
        <v/>
      </c>
    </row>
    <row r="136">
      <c r="D136">
        <f>IF(Model!DG4=0,"","| "&amp;Model!DG1&amp;" | "&amp;IF(Model!DG18&lt;0,"-","")&amp;Effective!$B$20&amp;IF(Effective!$B$21="indian",TEXT(IF(MOD(ABS(Model!DG18),1)=0.5,2*ROUND(ABS(Model!DG18)/2,0),ROUND(ABS(Model!DG18),0)),"[&gt;=10000000]##\,##\,##\,##0;[&gt;=100000]##\,##\,##0;##,##0"),TEXT(IF(MOD(ABS(Model!DG18),1)=0.5,2*ROUND(ABS(Model!DG18)/2,0),ROUND(ABS(Model!DG18),0)),"#,##0"))&amp;" | "&amp;IF(Model!DG45&lt;0,"-","")&amp;Effective!$B$20&amp;IF(Effective!$B$21="indian",TEXT(IF(MOD(ABS(Model!DG45),1)=0.5,2*ROUND(ABS(Model!DG45)/2,0),ROUND(ABS(Model!DG45),0)),"[&gt;=10000000]##\,##\,##\,##0;[&gt;=100000]##\,##\,##0;##,##0"),TEXT(IF(MOD(ABS(Model!DG45),1)=0.5,2*ROUND(ABS(Model!DG45)/2,0),ROUND(ABS(Model!DG45),0)),"#,##0"))&amp;" | "&amp;IF(Model!DG70&lt;0,"-","")&amp;Effective!$B$20&amp;IF(Effective!$B$21="indian",TEXT(IF(MOD(ABS(Model!DG70),1)=0.5,2*ROUND(ABS(Model!DG70)/2,0),ROUND(ABS(Model!DG70),0)),"[&gt;=10000000]##\,##\,##\,##0;[&gt;=100000]##\,##\,##0;##,##0"),TEXT(IF(MOD(ABS(Model!DG70),1)=0.5,2*ROUND(ABS(Model!DG70)/2,0),ROUND(ABS(Model!DG70),0)),"#,##0"))&amp;" | "&amp;IF(Model!DG79&lt;0,"-","")&amp;Effective!$B$20&amp;IF(Effective!$B$21="indian",TEXT(IF(MOD(ABS(Model!DG79),1)=0.5,2*ROUND(ABS(Model!DG79)/2,0),ROUND(ABS(Model!DG79),0)),"[&gt;=10000000]##\,##\,##\,##0;[&gt;=100000]##\,##\,##0;##,##0"),TEXT(IF(MOD(ABS(Model!DG79),1)=0.5,2*ROUND(ABS(Model!DG79)/2,0),ROUND(ABS(Model!DG79),0)),"#,##0"))&amp;" |")</f>
        <v/>
      </c>
    </row>
    <row r="137">
      <c r="D137">
        <f>IF(Model!DH4=0,"","| "&amp;Model!DH1&amp;" | "&amp;IF(Model!DH18&lt;0,"-","")&amp;Effective!$B$20&amp;IF(Effective!$B$21="indian",TEXT(IF(MOD(ABS(Model!DH18),1)=0.5,2*ROUND(ABS(Model!DH18)/2,0),ROUND(ABS(Model!DH18),0)),"[&gt;=10000000]##\,##\,##\,##0;[&gt;=100000]##\,##\,##0;##,##0"),TEXT(IF(MOD(ABS(Model!DH18),1)=0.5,2*ROUND(ABS(Model!DH18)/2,0),ROUND(ABS(Model!DH18),0)),"#,##0"))&amp;" | "&amp;IF(Model!DH45&lt;0,"-","")&amp;Effective!$B$20&amp;IF(Effective!$B$21="indian",TEXT(IF(MOD(ABS(Model!DH45),1)=0.5,2*ROUND(ABS(Model!DH45)/2,0),ROUND(ABS(Model!DH45),0)),"[&gt;=10000000]##\,##\,##\,##0;[&gt;=100000]##\,##\,##0;##,##0"),TEXT(IF(MOD(ABS(Model!DH45),1)=0.5,2*ROUND(ABS(Model!DH45)/2,0),ROUND(ABS(Model!DH45),0)),"#,##0"))&amp;" | "&amp;IF(Model!DH70&lt;0,"-","")&amp;Effective!$B$20&amp;IF(Effective!$B$21="indian",TEXT(IF(MOD(ABS(Model!DH70),1)=0.5,2*ROUND(ABS(Model!DH70)/2,0),ROUND(ABS(Model!DH70),0)),"[&gt;=10000000]##\,##\,##\,##0;[&gt;=100000]##\,##\,##0;##,##0"),TEXT(IF(MOD(ABS(Model!DH70),1)=0.5,2*ROUND(ABS(Model!DH70)/2,0),ROUND(ABS(Model!DH70),0)),"#,##0"))&amp;" | "&amp;IF(Model!DH79&lt;0,"-","")&amp;Effective!$B$20&amp;IF(Effective!$B$21="indian",TEXT(IF(MOD(ABS(Model!DH79),1)=0.5,2*ROUND(ABS(Model!DH79)/2,0),ROUND(ABS(Model!DH79),0)),"[&gt;=10000000]##\,##\,##\,##0;[&gt;=100000]##\,##\,##0;##,##0"),TEXT(IF(MOD(ABS(Model!DH79),1)=0.5,2*ROUND(ABS(Model!DH79)/2,0),ROUND(ABS(Model!DH79),0)),"#,##0"))&amp;" |")</f>
        <v/>
      </c>
    </row>
    <row r="138">
      <c r="D138">
        <f>IF(Model!DI4=0,"","| "&amp;Model!DI1&amp;" | "&amp;IF(Model!DI18&lt;0,"-","")&amp;Effective!$B$20&amp;IF(Effective!$B$21="indian",TEXT(IF(MOD(ABS(Model!DI18),1)=0.5,2*ROUND(ABS(Model!DI18)/2,0),ROUND(ABS(Model!DI18),0)),"[&gt;=10000000]##\,##\,##\,##0;[&gt;=100000]##\,##\,##0;##,##0"),TEXT(IF(MOD(ABS(Model!DI18),1)=0.5,2*ROUND(ABS(Model!DI18)/2,0),ROUND(ABS(Model!DI18),0)),"#,##0"))&amp;" | "&amp;IF(Model!DI45&lt;0,"-","")&amp;Effective!$B$20&amp;IF(Effective!$B$21="indian",TEXT(IF(MOD(ABS(Model!DI45),1)=0.5,2*ROUND(ABS(Model!DI45)/2,0),ROUND(ABS(Model!DI45),0)),"[&gt;=10000000]##\,##\,##\,##0;[&gt;=100000]##\,##\,##0;##,##0"),TEXT(IF(MOD(ABS(Model!DI45),1)=0.5,2*ROUND(ABS(Model!DI45)/2,0),ROUND(ABS(Model!DI45),0)),"#,##0"))&amp;" | "&amp;IF(Model!DI70&lt;0,"-","")&amp;Effective!$B$20&amp;IF(Effective!$B$21="indian",TEXT(IF(MOD(ABS(Model!DI70),1)=0.5,2*ROUND(ABS(Model!DI70)/2,0),ROUND(ABS(Model!DI70),0)),"[&gt;=10000000]##\,##\,##\,##0;[&gt;=100000]##\,##\,##0;##,##0"),TEXT(IF(MOD(ABS(Model!DI70),1)=0.5,2*ROUND(ABS(Model!DI70)/2,0),ROUND(ABS(Model!DI70),0)),"#,##0"))&amp;" | "&amp;IF(Model!DI79&lt;0,"-","")&amp;Effective!$B$20&amp;IF(Effective!$B$21="indian",TEXT(IF(MOD(ABS(Model!DI79),1)=0.5,2*ROUND(ABS(Model!DI79)/2,0),ROUND(ABS(Model!DI79),0)),"[&gt;=10000000]##\,##\,##\,##0;[&gt;=100000]##\,##\,##0;##,##0"),TEXT(IF(MOD(ABS(Model!DI79),1)=0.5,2*ROUND(ABS(Model!DI79)/2,0),ROUND(ABS(Model!DI79),0)),"#,##0"))&amp;" |")</f>
        <v/>
      </c>
    </row>
    <row r="139">
      <c r="D139">
        <f>IF(Model!DJ4=0,"","| "&amp;Model!DJ1&amp;" | "&amp;IF(Model!DJ18&lt;0,"-","")&amp;Effective!$B$20&amp;IF(Effective!$B$21="indian",TEXT(IF(MOD(ABS(Model!DJ18),1)=0.5,2*ROUND(ABS(Model!DJ18)/2,0),ROUND(ABS(Model!DJ18),0)),"[&gt;=10000000]##\,##\,##\,##0;[&gt;=100000]##\,##\,##0;##,##0"),TEXT(IF(MOD(ABS(Model!DJ18),1)=0.5,2*ROUND(ABS(Model!DJ18)/2,0),ROUND(ABS(Model!DJ18),0)),"#,##0"))&amp;" | "&amp;IF(Model!DJ45&lt;0,"-","")&amp;Effective!$B$20&amp;IF(Effective!$B$21="indian",TEXT(IF(MOD(ABS(Model!DJ45),1)=0.5,2*ROUND(ABS(Model!DJ45)/2,0),ROUND(ABS(Model!DJ45),0)),"[&gt;=10000000]##\,##\,##\,##0;[&gt;=100000]##\,##\,##0;##,##0"),TEXT(IF(MOD(ABS(Model!DJ45),1)=0.5,2*ROUND(ABS(Model!DJ45)/2,0),ROUND(ABS(Model!DJ45),0)),"#,##0"))&amp;" | "&amp;IF(Model!DJ70&lt;0,"-","")&amp;Effective!$B$20&amp;IF(Effective!$B$21="indian",TEXT(IF(MOD(ABS(Model!DJ70),1)=0.5,2*ROUND(ABS(Model!DJ70)/2,0),ROUND(ABS(Model!DJ70),0)),"[&gt;=10000000]##\,##\,##\,##0;[&gt;=100000]##\,##\,##0;##,##0"),TEXT(IF(MOD(ABS(Model!DJ70),1)=0.5,2*ROUND(ABS(Model!DJ70)/2,0),ROUND(ABS(Model!DJ70),0)),"#,##0"))&amp;" | "&amp;IF(Model!DJ79&lt;0,"-","")&amp;Effective!$B$20&amp;IF(Effective!$B$21="indian",TEXT(IF(MOD(ABS(Model!DJ79),1)=0.5,2*ROUND(ABS(Model!DJ79)/2,0),ROUND(ABS(Model!DJ79),0)),"[&gt;=10000000]##\,##\,##\,##0;[&gt;=100000]##\,##\,##0;##,##0"),TEXT(IF(MOD(ABS(Model!DJ79),1)=0.5,2*ROUND(ABS(Model!DJ79)/2,0),ROUND(ABS(Model!DJ79),0)),"#,##0"))&amp;" |")</f>
        <v/>
      </c>
    </row>
    <row r="140">
      <c r="D140">
        <f>IF(Model!DK4=0,"","| "&amp;Model!DK1&amp;" | "&amp;IF(Model!DK18&lt;0,"-","")&amp;Effective!$B$20&amp;IF(Effective!$B$21="indian",TEXT(IF(MOD(ABS(Model!DK18),1)=0.5,2*ROUND(ABS(Model!DK18)/2,0),ROUND(ABS(Model!DK18),0)),"[&gt;=10000000]##\,##\,##\,##0;[&gt;=100000]##\,##\,##0;##,##0"),TEXT(IF(MOD(ABS(Model!DK18),1)=0.5,2*ROUND(ABS(Model!DK18)/2,0),ROUND(ABS(Model!DK18),0)),"#,##0"))&amp;" | "&amp;IF(Model!DK45&lt;0,"-","")&amp;Effective!$B$20&amp;IF(Effective!$B$21="indian",TEXT(IF(MOD(ABS(Model!DK45),1)=0.5,2*ROUND(ABS(Model!DK45)/2,0),ROUND(ABS(Model!DK45),0)),"[&gt;=10000000]##\,##\,##\,##0;[&gt;=100000]##\,##\,##0;##,##0"),TEXT(IF(MOD(ABS(Model!DK45),1)=0.5,2*ROUND(ABS(Model!DK45)/2,0),ROUND(ABS(Model!DK45),0)),"#,##0"))&amp;" | "&amp;IF(Model!DK70&lt;0,"-","")&amp;Effective!$B$20&amp;IF(Effective!$B$21="indian",TEXT(IF(MOD(ABS(Model!DK70),1)=0.5,2*ROUND(ABS(Model!DK70)/2,0),ROUND(ABS(Model!DK70),0)),"[&gt;=10000000]##\,##\,##\,##0;[&gt;=100000]##\,##\,##0;##,##0"),TEXT(IF(MOD(ABS(Model!DK70),1)=0.5,2*ROUND(ABS(Model!DK70)/2,0),ROUND(ABS(Model!DK70),0)),"#,##0"))&amp;" | "&amp;IF(Model!DK79&lt;0,"-","")&amp;Effective!$B$20&amp;IF(Effective!$B$21="indian",TEXT(IF(MOD(ABS(Model!DK79),1)=0.5,2*ROUND(ABS(Model!DK79)/2,0),ROUND(ABS(Model!DK79),0)),"[&gt;=10000000]##\,##\,##\,##0;[&gt;=100000]##\,##\,##0;##,##0"),TEXT(IF(MOD(ABS(Model!DK79),1)=0.5,2*ROUND(ABS(Model!DK79)/2,0),ROUND(ABS(Model!DK79),0)),"#,##0"))&amp;" |")</f>
        <v/>
      </c>
    </row>
    <row r="141">
      <c r="D141">
        <f>IF(Model!DL4=0,"","| "&amp;Model!DL1&amp;" | "&amp;IF(Model!DL18&lt;0,"-","")&amp;Effective!$B$20&amp;IF(Effective!$B$21="indian",TEXT(IF(MOD(ABS(Model!DL18),1)=0.5,2*ROUND(ABS(Model!DL18)/2,0),ROUND(ABS(Model!DL18),0)),"[&gt;=10000000]##\,##\,##\,##0;[&gt;=100000]##\,##\,##0;##,##0"),TEXT(IF(MOD(ABS(Model!DL18),1)=0.5,2*ROUND(ABS(Model!DL18)/2,0),ROUND(ABS(Model!DL18),0)),"#,##0"))&amp;" | "&amp;IF(Model!DL45&lt;0,"-","")&amp;Effective!$B$20&amp;IF(Effective!$B$21="indian",TEXT(IF(MOD(ABS(Model!DL45),1)=0.5,2*ROUND(ABS(Model!DL45)/2,0),ROUND(ABS(Model!DL45),0)),"[&gt;=10000000]##\,##\,##\,##0;[&gt;=100000]##\,##\,##0;##,##0"),TEXT(IF(MOD(ABS(Model!DL45),1)=0.5,2*ROUND(ABS(Model!DL45)/2,0),ROUND(ABS(Model!DL45),0)),"#,##0"))&amp;" | "&amp;IF(Model!DL70&lt;0,"-","")&amp;Effective!$B$20&amp;IF(Effective!$B$21="indian",TEXT(IF(MOD(ABS(Model!DL70),1)=0.5,2*ROUND(ABS(Model!DL70)/2,0),ROUND(ABS(Model!DL70),0)),"[&gt;=10000000]##\,##\,##\,##0;[&gt;=100000]##\,##\,##0;##,##0"),TEXT(IF(MOD(ABS(Model!DL70),1)=0.5,2*ROUND(ABS(Model!DL70)/2,0),ROUND(ABS(Model!DL70),0)),"#,##0"))&amp;" | "&amp;IF(Model!DL79&lt;0,"-","")&amp;Effective!$B$20&amp;IF(Effective!$B$21="indian",TEXT(IF(MOD(ABS(Model!DL79),1)=0.5,2*ROUND(ABS(Model!DL79)/2,0),ROUND(ABS(Model!DL79),0)),"[&gt;=10000000]##\,##\,##\,##0;[&gt;=100000]##\,##\,##0;##,##0"),TEXT(IF(MOD(ABS(Model!DL79),1)=0.5,2*ROUND(ABS(Model!DL79)/2,0),ROUND(ABS(Model!DL79),0)),"#,##0"))&amp;" |")</f>
        <v/>
      </c>
    </row>
    <row r="142">
      <c r="D142">
        <f>IF(Model!DM4=0,"","| "&amp;Model!DM1&amp;" | "&amp;IF(Model!DM18&lt;0,"-","")&amp;Effective!$B$20&amp;IF(Effective!$B$21="indian",TEXT(IF(MOD(ABS(Model!DM18),1)=0.5,2*ROUND(ABS(Model!DM18)/2,0),ROUND(ABS(Model!DM18),0)),"[&gt;=10000000]##\,##\,##\,##0;[&gt;=100000]##\,##\,##0;##,##0"),TEXT(IF(MOD(ABS(Model!DM18),1)=0.5,2*ROUND(ABS(Model!DM18)/2,0),ROUND(ABS(Model!DM18),0)),"#,##0"))&amp;" | "&amp;IF(Model!DM45&lt;0,"-","")&amp;Effective!$B$20&amp;IF(Effective!$B$21="indian",TEXT(IF(MOD(ABS(Model!DM45),1)=0.5,2*ROUND(ABS(Model!DM45)/2,0),ROUND(ABS(Model!DM45),0)),"[&gt;=10000000]##\,##\,##\,##0;[&gt;=100000]##\,##\,##0;##,##0"),TEXT(IF(MOD(ABS(Model!DM45),1)=0.5,2*ROUND(ABS(Model!DM45)/2,0),ROUND(ABS(Model!DM45),0)),"#,##0"))&amp;" | "&amp;IF(Model!DM70&lt;0,"-","")&amp;Effective!$B$20&amp;IF(Effective!$B$21="indian",TEXT(IF(MOD(ABS(Model!DM70),1)=0.5,2*ROUND(ABS(Model!DM70)/2,0),ROUND(ABS(Model!DM70),0)),"[&gt;=10000000]##\,##\,##\,##0;[&gt;=100000]##\,##\,##0;##,##0"),TEXT(IF(MOD(ABS(Model!DM70),1)=0.5,2*ROUND(ABS(Model!DM70)/2,0),ROUND(ABS(Model!DM70),0)),"#,##0"))&amp;" | "&amp;IF(Model!DM79&lt;0,"-","")&amp;Effective!$B$20&amp;IF(Effective!$B$21="indian",TEXT(IF(MOD(ABS(Model!DM79),1)=0.5,2*ROUND(ABS(Model!DM79)/2,0),ROUND(ABS(Model!DM79),0)),"[&gt;=10000000]##\,##\,##\,##0;[&gt;=100000]##\,##\,##0;##,##0"),TEXT(IF(MOD(ABS(Model!DM79),1)=0.5,2*ROUND(ABS(Model!DM79)/2,0),ROUND(ABS(Model!DM79),0)),"#,##0"))&amp;" |")</f>
        <v/>
      </c>
    </row>
    <row r="143">
      <c r="D143">
        <f>IF(Model!DN4=0,"","| "&amp;Model!DN1&amp;" | "&amp;IF(Model!DN18&lt;0,"-","")&amp;Effective!$B$20&amp;IF(Effective!$B$21="indian",TEXT(IF(MOD(ABS(Model!DN18),1)=0.5,2*ROUND(ABS(Model!DN18)/2,0),ROUND(ABS(Model!DN18),0)),"[&gt;=10000000]##\,##\,##\,##0;[&gt;=100000]##\,##\,##0;##,##0"),TEXT(IF(MOD(ABS(Model!DN18),1)=0.5,2*ROUND(ABS(Model!DN18)/2,0),ROUND(ABS(Model!DN18),0)),"#,##0"))&amp;" | "&amp;IF(Model!DN45&lt;0,"-","")&amp;Effective!$B$20&amp;IF(Effective!$B$21="indian",TEXT(IF(MOD(ABS(Model!DN45),1)=0.5,2*ROUND(ABS(Model!DN45)/2,0),ROUND(ABS(Model!DN45),0)),"[&gt;=10000000]##\,##\,##\,##0;[&gt;=100000]##\,##\,##0;##,##0"),TEXT(IF(MOD(ABS(Model!DN45),1)=0.5,2*ROUND(ABS(Model!DN45)/2,0),ROUND(ABS(Model!DN45),0)),"#,##0"))&amp;" | "&amp;IF(Model!DN70&lt;0,"-","")&amp;Effective!$B$20&amp;IF(Effective!$B$21="indian",TEXT(IF(MOD(ABS(Model!DN70),1)=0.5,2*ROUND(ABS(Model!DN70)/2,0),ROUND(ABS(Model!DN70),0)),"[&gt;=10000000]##\,##\,##\,##0;[&gt;=100000]##\,##\,##0;##,##0"),TEXT(IF(MOD(ABS(Model!DN70),1)=0.5,2*ROUND(ABS(Model!DN70)/2,0),ROUND(ABS(Model!DN70),0)),"#,##0"))&amp;" | "&amp;IF(Model!DN79&lt;0,"-","")&amp;Effective!$B$20&amp;IF(Effective!$B$21="indian",TEXT(IF(MOD(ABS(Model!DN79),1)=0.5,2*ROUND(ABS(Model!DN79)/2,0),ROUND(ABS(Model!DN79),0)),"[&gt;=10000000]##\,##\,##\,##0;[&gt;=100000]##\,##\,##0;##,##0"),TEXT(IF(MOD(ABS(Model!DN79),1)=0.5,2*ROUND(ABS(Model!DN79)/2,0),ROUND(ABS(Model!DN79),0)),"#,##0"))&amp;" |")</f>
        <v/>
      </c>
    </row>
    <row r="144">
      <c r="D144">
        <f>IF(Model!DO4=0,"","| "&amp;Model!DO1&amp;" | "&amp;IF(Model!DO18&lt;0,"-","")&amp;Effective!$B$20&amp;IF(Effective!$B$21="indian",TEXT(IF(MOD(ABS(Model!DO18),1)=0.5,2*ROUND(ABS(Model!DO18)/2,0),ROUND(ABS(Model!DO18),0)),"[&gt;=10000000]##\,##\,##\,##0;[&gt;=100000]##\,##\,##0;##,##0"),TEXT(IF(MOD(ABS(Model!DO18),1)=0.5,2*ROUND(ABS(Model!DO18)/2,0),ROUND(ABS(Model!DO18),0)),"#,##0"))&amp;" | "&amp;IF(Model!DO45&lt;0,"-","")&amp;Effective!$B$20&amp;IF(Effective!$B$21="indian",TEXT(IF(MOD(ABS(Model!DO45),1)=0.5,2*ROUND(ABS(Model!DO45)/2,0),ROUND(ABS(Model!DO45),0)),"[&gt;=10000000]##\,##\,##\,##0;[&gt;=100000]##\,##\,##0;##,##0"),TEXT(IF(MOD(ABS(Model!DO45),1)=0.5,2*ROUND(ABS(Model!DO45)/2,0),ROUND(ABS(Model!DO45),0)),"#,##0"))&amp;" | "&amp;IF(Model!DO70&lt;0,"-","")&amp;Effective!$B$20&amp;IF(Effective!$B$21="indian",TEXT(IF(MOD(ABS(Model!DO70),1)=0.5,2*ROUND(ABS(Model!DO70)/2,0),ROUND(ABS(Model!DO70),0)),"[&gt;=10000000]##\,##\,##\,##0;[&gt;=100000]##\,##\,##0;##,##0"),TEXT(IF(MOD(ABS(Model!DO70),1)=0.5,2*ROUND(ABS(Model!DO70)/2,0),ROUND(ABS(Model!DO70),0)),"#,##0"))&amp;" | "&amp;IF(Model!DO79&lt;0,"-","")&amp;Effective!$B$20&amp;IF(Effective!$B$21="indian",TEXT(IF(MOD(ABS(Model!DO79),1)=0.5,2*ROUND(ABS(Model!DO79)/2,0),ROUND(ABS(Model!DO79),0)),"[&gt;=10000000]##\,##\,##\,##0;[&gt;=100000]##\,##\,##0;##,##0"),TEXT(IF(MOD(ABS(Model!DO79),1)=0.5,2*ROUND(ABS(Model!DO79)/2,0),ROUND(ABS(Model!DO79),0)),"#,##0"))&amp;" |")</f>
        <v/>
      </c>
    </row>
    <row r="145">
      <c r="D145">
        <f>IF(Model!DP4=0,"","| "&amp;Model!DP1&amp;" | "&amp;IF(Model!DP18&lt;0,"-","")&amp;Effective!$B$20&amp;IF(Effective!$B$21="indian",TEXT(IF(MOD(ABS(Model!DP18),1)=0.5,2*ROUND(ABS(Model!DP18)/2,0),ROUND(ABS(Model!DP18),0)),"[&gt;=10000000]##\,##\,##\,##0;[&gt;=100000]##\,##\,##0;##,##0"),TEXT(IF(MOD(ABS(Model!DP18),1)=0.5,2*ROUND(ABS(Model!DP18)/2,0),ROUND(ABS(Model!DP18),0)),"#,##0"))&amp;" | "&amp;IF(Model!DP45&lt;0,"-","")&amp;Effective!$B$20&amp;IF(Effective!$B$21="indian",TEXT(IF(MOD(ABS(Model!DP45),1)=0.5,2*ROUND(ABS(Model!DP45)/2,0),ROUND(ABS(Model!DP45),0)),"[&gt;=10000000]##\,##\,##\,##0;[&gt;=100000]##\,##\,##0;##,##0"),TEXT(IF(MOD(ABS(Model!DP45),1)=0.5,2*ROUND(ABS(Model!DP45)/2,0),ROUND(ABS(Model!DP45),0)),"#,##0"))&amp;" | "&amp;IF(Model!DP70&lt;0,"-","")&amp;Effective!$B$20&amp;IF(Effective!$B$21="indian",TEXT(IF(MOD(ABS(Model!DP70),1)=0.5,2*ROUND(ABS(Model!DP70)/2,0),ROUND(ABS(Model!DP70),0)),"[&gt;=10000000]##\,##\,##\,##0;[&gt;=100000]##\,##\,##0;##,##0"),TEXT(IF(MOD(ABS(Model!DP70),1)=0.5,2*ROUND(ABS(Model!DP70)/2,0),ROUND(ABS(Model!DP70),0)),"#,##0"))&amp;" | "&amp;IF(Model!DP79&lt;0,"-","")&amp;Effective!$B$20&amp;IF(Effective!$B$21="indian",TEXT(IF(MOD(ABS(Model!DP79),1)=0.5,2*ROUND(ABS(Model!DP79)/2,0),ROUND(ABS(Model!DP79),0)),"[&gt;=10000000]##\,##\,##\,##0;[&gt;=100000]##\,##\,##0;##,##0"),TEXT(IF(MOD(ABS(Model!DP79),1)=0.5,2*ROUND(ABS(Model!DP79)/2,0),ROUND(ABS(Model!DP79),0)),"#,##0"))&amp;" |")</f>
        <v/>
      </c>
    </row>
    <row r="146">
      <c r="D146">
        <f>IF(Model!DQ4=0,"","| "&amp;Model!DQ1&amp;" | "&amp;IF(Model!DQ18&lt;0,"-","")&amp;Effective!$B$20&amp;IF(Effective!$B$21="indian",TEXT(IF(MOD(ABS(Model!DQ18),1)=0.5,2*ROUND(ABS(Model!DQ18)/2,0),ROUND(ABS(Model!DQ18),0)),"[&gt;=10000000]##\,##\,##\,##0;[&gt;=100000]##\,##\,##0;##,##0"),TEXT(IF(MOD(ABS(Model!DQ18),1)=0.5,2*ROUND(ABS(Model!DQ18)/2,0),ROUND(ABS(Model!DQ18),0)),"#,##0"))&amp;" | "&amp;IF(Model!DQ45&lt;0,"-","")&amp;Effective!$B$20&amp;IF(Effective!$B$21="indian",TEXT(IF(MOD(ABS(Model!DQ45),1)=0.5,2*ROUND(ABS(Model!DQ45)/2,0),ROUND(ABS(Model!DQ45),0)),"[&gt;=10000000]##\,##\,##\,##0;[&gt;=100000]##\,##\,##0;##,##0"),TEXT(IF(MOD(ABS(Model!DQ45),1)=0.5,2*ROUND(ABS(Model!DQ45)/2,0),ROUND(ABS(Model!DQ45),0)),"#,##0"))&amp;" | "&amp;IF(Model!DQ70&lt;0,"-","")&amp;Effective!$B$20&amp;IF(Effective!$B$21="indian",TEXT(IF(MOD(ABS(Model!DQ70),1)=0.5,2*ROUND(ABS(Model!DQ70)/2,0),ROUND(ABS(Model!DQ70),0)),"[&gt;=10000000]##\,##\,##\,##0;[&gt;=100000]##\,##\,##0;##,##0"),TEXT(IF(MOD(ABS(Model!DQ70),1)=0.5,2*ROUND(ABS(Model!DQ70)/2,0),ROUND(ABS(Model!DQ70),0)),"#,##0"))&amp;" | "&amp;IF(Model!DQ79&lt;0,"-","")&amp;Effective!$B$20&amp;IF(Effective!$B$21="indian",TEXT(IF(MOD(ABS(Model!DQ79),1)=0.5,2*ROUND(ABS(Model!DQ79)/2,0),ROUND(ABS(Model!DQ79),0)),"[&gt;=10000000]##\,##\,##\,##0;[&gt;=100000]##\,##\,##0;##,##0"),TEXT(IF(MOD(ABS(Model!DQ79),1)=0.5,2*ROUND(ABS(Model!DQ79)/2,0),ROUND(ABS(Model!DQ79),0)),"#,##0"))&amp;" |")</f>
        <v/>
      </c>
    </row>
    <row r="147">
      <c r="D147">
        <f>IF(Model!DR4=0,"","| "&amp;Model!DR1&amp;" | "&amp;IF(Model!DR18&lt;0,"-","")&amp;Effective!$B$20&amp;IF(Effective!$B$21="indian",TEXT(IF(MOD(ABS(Model!DR18),1)=0.5,2*ROUND(ABS(Model!DR18)/2,0),ROUND(ABS(Model!DR18),0)),"[&gt;=10000000]##\,##\,##\,##0;[&gt;=100000]##\,##\,##0;##,##0"),TEXT(IF(MOD(ABS(Model!DR18),1)=0.5,2*ROUND(ABS(Model!DR18)/2,0),ROUND(ABS(Model!DR18),0)),"#,##0"))&amp;" | "&amp;IF(Model!DR45&lt;0,"-","")&amp;Effective!$B$20&amp;IF(Effective!$B$21="indian",TEXT(IF(MOD(ABS(Model!DR45),1)=0.5,2*ROUND(ABS(Model!DR45)/2,0),ROUND(ABS(Model!DR45),0)),"[&gt;=10000000]##\,##\,##\,##0;[&gt;=100000]##\,##\,##0;##,##0"),TEXT(IF(MOD(ABS(Model!DR45),1)=0.5,2*ROUND(ABS(Model!DR45)/2,0),ROUND(ABS(Model!DR45),0)),"#,##0"))&amp;" | "&amp;IF(Model!DR70&lt;0,"-","")&amp;Effective!$B$20&amp;IF(Effective!$B$21="indian",TEXT(IF(MOD(ABS(Model!DR70),1)=0.5,2*ROUND(ABS(Model!DR70)/2,0),ROUND(ABS(Model!DR70),0)),"[&gt;=10000000]##\,##\,##\,##0;[&gt;=100000]##\,##\,##0;##,##0"),TEXT(IF(MOD(ABS(Model!DR70),1)=0.5,2*ROUND(ABS(Model!DR70)/2,0),ROUND(ABS(Model!DR70),0)),"#,##0"))&amp;" | "&amp;IF(Model!DR79&lt;0,"-","")&amp;Effective!$B$20&amp;IF(Effective!$B$21="indian",TEXT(IF(MOD(ABS(Model!DR79),1)=0.5,2*ROUND(ABS(Model!DR79)/2,0),ROUND(ABS(Model!DR79),0)),"[&gt;=10000000]##\,##\,##\,##0;[&gt;=100000]##\,##\,##0;##,##0"),TEXT(IF(MOD(ABS(Model!DR79),1)=0.5,2*ROUND(ABS(Model!DR79)/2,0),ROUND(ABS(Model!DR79),0)),"#,##0"))&amp;" |")</f>
        <v/>
      </c>
    </row>
    <row r="148"/>
    <row r="149">
      <c r="A149" s="4" t="inlineStr">
        <is>
          <t>Narrative the renderer cannot write (fpa-board-briefing step 4)</t>
        </is>
      </c>
    </row>
    <row r="150">
      <c r="A150" t="inlineStr">
        <is>
          <t>what_changed_1</t>
        </is>
      </c>
      <c r="B150" s="9" t="inlineStr">
        <is>
          <t>Dealer network budgeted +12% on FY2025-26 with a stronger November (Deepavali) weight after the CFO's correction</t>
        </is>
      </c>
    </row>
    <row r="151">
      <c r="A151" t="inlineStr">
        <is>
          <t>what_changed_2</t>
        </is>
      </c>
      <c r="B151" s="9" t="inlineStr">
        <is>
          <t>Online marketplaces +25% but at 62% COGS incl. commission — lowest contribution channel</t>
        </is>
      </c>
    </row>
    <row r="152">
      <c r="A152" t="inlineStr">
        <is>
          <t>what_changed_3</t>
        </is>
      </c>
      <c r="B152" s="9" t="inlineStr">
        <is>
          <t>Imported mechanism LC of ₹1.35 crore retires in week 5 (4 May 2026)</t>
        </is>
      </c>
    </row>
    <row r="153">
      <c r="A153" t="inlineStr">
        <is>
          <t>risk_1</t>
        </is>
      </c>
      <c r="B153" s="9" t="inlineStr">
        <is>
          <t>NE monsoon / cyclone disruption to Oct–Dec dispatches (as in Nov 2025)</t>
        </is>
      </c>
    </row>
    <row r="154">
      <c r="A154" t="inlineStr">
        <is>
          <t>risk_2</t>
        </is>
      </c>
      <c r="B154" s="9" t="inlineStr">
        <is>
          <t>Teak/rubberwood and steel input costs; MSME supplier payments must stay within 45 days</t>
        </is>
      </c>
    </row>
    <row r="155">
      <c r="A155" t="inlineStr">
        <is>
          <t>risk_3</t>
        </is>
      </c>
      <c r="B155" s="9" t="inlineStr">
        <is>
          <t>Cash-credit drawing power falls if debtor ageing slips past 90 days</t>
        </is>
      </c>
    </row>
    <row r="156">
      <c r="A156" t="inlineStr">
        <is>
          <t>the_ask</t>
        </is>
      </c>
      <c r="B156" s="9" t="inlineStr">
        <is>
          <t>Approve an ad-hoc cash-credit enhancement of ₹37 lakh (or 30-day LC usance extension) with Indian Bank before week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Export_Rows - one row per active month (fact table for K08 divestiture and the BI layer)</t>
        </is>
      </c>
    </row>
    <row r="2"/>
    <row r="3">
      <c r="A3" s="7" t="inlineStr">
        <is>
          <t>month_no</t>
        </is>
      </c>
      <c r="B3" s="7" t="inlineStr">
        <is>
          <t>period</t>
        </is>
      </c>
      <c r="C3" s="7" t="inlineStr">
        <is>
          <t>indian_fiscal_year</t>
        </is>
      </c>
      <c r="D3" s="7" t="inlineStr">
        <is>
          <t>fiscal_quarter</t>
        </is>
      </c>
      <c r="E3" s="7" t="inlineStr">
        <is>
          <t>revenue</t>
        </is>
      </c>
      <c r="F3" s="7" t="inlineStr">
        <is>
          <t>cogs</t>
        </is>
      </c>
      <c r="G3" s="7" t="inlineStr">
        <is>
          <t>gross_profit</t>
        </is>
      </c>
      <c r="H3" s="7" t="inlineStr">
        <is>
          <t>opex</t>
        </is>
      </c>
      <c r="I3" s="7" t="inlineStr">
        <is>
          <t>ebitda</t>
        </is>
      </c>
      <c r="J3" s="7" t="inlineStr">
        <is>
          <t>da</t>
        </is>
      </c>
      <c r="K3" s="7" t="inlineStr">
        <is>
          <t>interest</t>
        </is>
      </c>
      <c r="L3" s="7" t="inlineStr">
        <is>
          <t>pretax_income</t>
        </is>
      </c>
      <c r="M3" s="7" t="inlineStr">
        <is>
          <t>tax</t>
        </is>
      </c>
      <c r="N3" s="7" t="inlineStr">
        <is>
          <t>net_income</t>
        </is>
      </c>
      <c r="O3" s="7" t="inlineStr">
        <is>
          <t>wc_cash_impact</t>
        </is>
      </c>
      <c r="P3" s="7" t="inlineStr">
        <is>
          <t>operating_cash_flow</t>
        </is>
      </c>
      <c r="Q3" s="7" t="inlineStr">
        <is>
          <t>capex</t>
        </is>
      </c>
      <c r="R3" s="7" t="inlineStr">
        <is>
          <t>principal</t>
        </is>
      </c>
      <c r="S3" s="7" t="inlineStr">
        <is>
          <t>free_cash_flow</t>
        </is>
      </c>
      <c r="T3" s="7" t="inlineStr">
        <is>
          <t>change_in_cash</t>
        </is>
      </c>
      <c r="U3" s="7" t="inlineStr">
        <is>
          <t>ending_cash</t>
        </is>
      </c>
      <c r="V3" s="7" t="inlineStr">
        <is>
          <t>ending_debt</t>
        </is>
      </c>
      <c r="W3" s="7" t="inlineStr">
        <is>
          <t>ar_balance</t>
        </is>
      </c>
      <c r="X3" s="7" t="inlineStr">
        <is>
          <t>ap_balance</t>
        </is>
      </c>
      <c r="Y3" s="7" t="inlineStr">
        <is>
          <t>inv_balance</t>
        </is>
      </c>
    </row>
    <row r="4">
      <c r="A4">
        <f>IF(1&lt;=Effective!$B$7,1,"")</f>
        <v/>
      </c>
      <c r="B4">
        <f>IF(A4="","",INDEX(Model!$C$1:$DR$1,1,1))</f>
        <v/>
      </c>
      <c r="C4">
        <f>IF(A4="","",INDEX(Model!$C$7:$DR$7,1,1))</f>
        <v/>
      </c>
      <c r="D4">
        <f>IF(A4="","",INDEX(Model!$C$8:$DR$8,1,1))</f>
        <v/>
      </c>
      <c r="E4" s="25">
        <f>IF(A4="","",INDEX(Model!$C$18:$DR$18,1,1))</f>
        <v/>
      </c>
      <c r="F4" s="25">
        <f>IF(A4="","",INDEX(Model!$C$27:$DR$27,1,1))</f>
        <v/>
      </c>
      <c r="G4" s="25">
        <f>IF(A4="","",INDEX(Model!$C$28:$DR$28,1,1))</f>
        <v/>
      </c>
      <c r="H4" s="25">
        <f>IF(A4="","",INDEX(Model!$C$44:$DR$44,1,1))</f>
        <v/>
      </c>
      <c r="I4" s="25">
        <f>IF(A4="","",INDEX(Model!$C$45:$DR$45,1,1))</f>
        <v/>
      </c>
      <c r="J4" s="25">
        <f>IF(A4="","",INDEX(Model!$C$46:$DR$46,1,1))</f>
        <v/>
      </c>
      <c r="K4" s="25">
        <f>IF(A4="","",INDEX(Model!$C$62:$DR$62,1,1))</f>
        <v/>
      </c>
      <c r="L4" s="25">
        <f>IF(A4="","",INDEX(Model!$C$65:$DR$65,1,1))</f>
        <v/>
      </c>
      <c r="M4" s="25">
        <f>IF(A4="","",INDEX(Model!$C$69:$DR$69,1,1))</f>
        <v/>
      </c>
      <c r="N4" s="25">
        <f>IF(A4="","",INDEX(Model!$C$70:$DR$70,1,1))</f>
        <v/>
      </c>
      <c r="O4" s="25">
        <f>IF(A4="","",INDEX(Model!$C$74:$DR$74,1,1))</f>
        <v/>
      </c>
      <c r="P4" s="25">
        <f>IF(A4="","",INDEX(Model!$C$75:$DR$75,1,1))</f>
        <v/>
      </c>
      <c r="Q4" s="25">
        <f>IF(A4="","",INDEX(Model!$C$76:$DR$76,1,1))</f>
        <v/>
      </c>
      <c r="R4" s="25">
        <f>IF(A4="","",INDEX(Model!$C$63:$DR$63,1,1))</f>
        <v/>
      </c>
      <c r="S4" s="25">
        <f>IF(A4="","",INDEX(Model!$C$77:$DR$77,1,1))</f>
        <v/>
      </c>
      <c r="T4" s="25">
        <f>IF(A4="","",INDEX(Model!$C$78:$DR$78,1,1))</f>
        <v/>
      </c>
      <c r="U4" s="25">
        <f>IF(A4="","",INDEX(Model!$C$79:$DR$79,1,1))</f>
        <v/>
      </c>
      <c r="V4" s="25">
        <f>IF(A4="","",INDEX(Model!$C$64:$DR$64,1,1))</f>
        <v/>
      </c>
      <c r="W4" s="25">
        <f>IF(A4="","",INDEX(Model!$C$71:$DR$71,1,1))</f>
        <v/>
      </c>
      <c r="X4" s="25">
        <f>IF(A4="","",INDEX(Model!$C$72:$DR$72,1,1))</f>
        <v/>
      </c>
      <c r="Y4" s="25">
        <f>IF(A4="","",INDEX(Model!$C$73:$DR$73,1,1))</f>
        <v/>
      </c>
    </row>
    <row r="5">
      <c r="A5">
        <f>IF(2&lt;=Effective!$B$7,2,"")</f>
        <v/>
      </c>
      <c r="B5">
        <f>IF(A5="","",INDEX(Model!$C$1:$DR$1,1,2))</f>
        <v/>
      </c>
      <c r="C5">
        <f>IF(A5="","",INDEX(Model!$C$7:$DR$7,1,2))</f>
        <v/>
      </c>
      <c r="D5">
        <f>IF(A5="","",INDEX(Model!$C$8:$DR$8,1,2))</f>
        <v/>
      </c>
      <c r="E5" s="25">
        <f>IF(A5="","",INDEX(Model!$C$18:$DR$18,1,2))</f>
        <v/>
      </c>
      <c r="F5" s="25">
        <f>IF(A5="","",INDEX(Model!$C$27:$DR$27,1,2))</f>
        <v/>
      </c>
      <c r="G5" s="25">
        <f>IF(A5="","",INDEX(Model!$C$28:$DR$28,1,2))</f>
        <v/>
      </c>
      <c r="H5" s="25">
        <f>IF(A5="","",INDEX(Model!$C$44:$DR$44,1,2))</f>
        <v/>
      </c>
      <c r="I5" s="25">
        <f>IF(A5="","",INDEX(Model!$C$45:$DR$45,1,2))</f>
        <v/>
      </c>
      <c r="J5" s="25">
        <f>IF(A5="","",INDEX(Model!$C$46:$DR$46,1,2))</f>
        <v/>
      </c>
      <c r="K5" s="25">
        <f>IF(A5="","",INDEX(Model!$C$62:$DR$62,1,2))</f>
        <v/>
      </c>
      <c r="L5" s="25">
        <f>IF(A5="","",INDEX(Model!$C$65:$DR$65,1,2))</f>
        <v/>
      </c>
      <c r="M5" s="25">
        <f>IF(A5="","",INDEX(Model!$C$69:$DR$69,1,2))</f>
        <v/>
      </c>
      <c r="N5" s="25">
        <f>IF(A5="","",INDEX(Model!$C$70:$DR$70,1,2))</f>
        <v/>
      </c>
      <c r="O5" s="25">
        <f>IF(A5="","",INDEX(Model!$C$74:$DR$74,1,2))</f>
        <v/>
      </c>
      <c r="P5" s="25">
        <f>IF(A5="","",INDEX(Model!$C$75:$DR$75,1,2))</f>
        <v/>
      </c>
      <c r="Q5" s="25">
        <f>IF(A5="","",INDEX(Model!$C$76:$DR$76,1,2))</f>
        <v/>
      </c>
      <c r="R5" s="25">
        <f>IF(A5="","",INDEX(Model!$C$63:$DR$63,1,2))</f>
        <v/>
      </c>
      <c r="S5" s="25">
        <f>IF(A5="","",INDEX(Model!$C$77:$DR$77,1,2))</f>
        <v/>
      </c>
      <c r="T5" s="25">
        <f>IF(A5="","",INDEX(Model!$C$78:$DR$78,1,2))</f>
        <v/>
      </c>
      <c r="U5" s="25">
        <f>IF(A5="","",INDEX(Model!$C$79:$DR$79,1,2))</f>
        <v/>
      </c>
      <c r="V5" s="25">
        <f>IF(A5="","",INDEX(Model!$C$64:$DR$64,1,2))</f>
        <v/>
      </c>
      <c r="W5" s="25">
        <f>IF(A5="","",INDEX(Model!$C$71:$DR$71,1,2))</f>
        <v/>
      </c>
      <c r="X5" s="25">
        <f>IF(A5="","",INDEX(Model!$C$72:$DR$72,1,2))</f>
        <v/>
      </c>
      <c r="Y5" s="25">
        <f>IF(A5="","",INDEX(Model!$C$73:$DR$73,1,2))</f>
        <v/>
      </c>
    </row>
    <row r="6">
      <c r="A6">
        <f>IF(3&lt;=Effective!$B$7,3,"")</f>
        <v/>
      </c>
      <c r="B6">
        <f>IF(A6="","",INDEX(Model!$C$1:$DR$1,1,3))</f>
        <v/>
      </c>
      <c r="C6">
        <f>IF(A6="","",INDEX(Model!$C$7:$DR$7,1,3))</f>
        <v/>
      </c>
      <c r="D6">
        <f>IF(A6="","",INDEX(Model!$C$8:$DR$8,1,3))</f>
        <v/>
      </c>
      <c r="E6" s="25">
        <f>IF(A6="","",INDEX(Model!$C$18:$DR$18,1,3))</f>
        <v/>
      </c>
      <c r="F6" s="25">
        <f>IF(A6="","",INDEX(Model!$C$27:$DR$27,1,3))</f>
        <v/>
      </c>
      <c r="G6" s="25">
        <f>IF(A6="","",INDEX(Model!$C$28:$DR$28,1,3))</f>
        <v/>
      </c>
      <c r="H6" s="25">
        <f>IF(A6="","",INDEX(Model!$C$44:$DR$44,1,3))</f>
        <v/>
      </c>
      <c r="I6" s="25">
        <f>IF(A6="","",INDEX(Model!$C$45:$DR$45,1,3))</f>
        <v/>
      </c>
      <c r="J6" s="25">
        <f>IF(A6="","",INDEX(Model!$C$46:$DR$46,1,3))</f>
        <v/>
      </c>
      <c r="K6" s="25">
        <f>IF(A6="","",INDEX(Model!$C$62:$DR$62,1,3))</f>
        <v/>
      </c>
      <c r="L6" s="25">
        <f>IF(A6="","",INDEX(Model!$C$65:$DR$65,1,3))</f>
        <v/>
      </c>
      <c r="M6" s="25">
        <f>IF(A6="","",INDEX(Model!$C$69:$DR$69,1,3))</f>
        <v/>
      </c>
      <c r="N6" s="25">
        <f>IF(A6="","",INDEX(Model!$C$70:$DR$70,1,3))</f>
        <v/>
      </c>
      <c r="O6" s="25">
        <f>IF(A6="","",INDEX(Model!$C$74:$DR$74,1,3))</f>
        <v/>
      </c>
      <c r="P6" s="25">
        <f>IF(A6="","",INDEX(Model!$C$75:$DR$75,1,3))</f>
        <v/>
      </c>
      <c r="Q6" s="25">
        <f>IF(A6="","",INDEX(Model!$C$76:$DR$76,1,3))</f>
        <v/>
      </c>
      <c r="R6" s="25">
        <f>IF(A6="","",INDEX(Model!$C$63:$DR$63,1,3))</f>
        <v/>
      </c>
      <c r="S6" s="25">
        <f>IF(A6="","",INDEX(Model!$C$77:$DR$77,1,3))</f>
        <v/>
      </c>
      <c r="T6" s="25">
        <f>IF(A6="","",INDEX(Model!$C$78:$DR$78,1,3))</f>
        <v/>
      </c>
      <c r="U6" s="25">
        <f>IF(A6="","",INDEX(Model!$C$79:$DR$79,1,3))</f>
        <v/>
      </c>
      <c r="V6" s="25">
        <f>IF(A6="","",INDEX(Model!$C$64:$DR$64,1,3))</f>
        <v/>
      </c>
      <c r="W6" s="25">
        <f>IF(A6="","",INDEX(Model!$C$71:$DR$71,1,3))</f>
        <v/>
      </c>
      <c r="X6" s="25">
        <f>IF(A6="","",INDEX(Model!$C$72:$DR$72,1,3))</f>
        <v/>
      </c>
      <c r="Y6" s="25">
        <f>IF(A6="","",INDEX(Model!$C$73:$DR$73,1,3))</f>
        <v/>
      </c>
    </row>
    <row r="7">
      <c r="A7">
        <f>IF(4&lt;=Effective!$B$7,4,"")</f>
        <v/>
      </c>
      <c r="B7">
        <f>IF(A7="","",INDEX(Model!$C$1:$DR$1,1,4))</f>
        <v/>
      </c>
      <c r="C7">
        <f>IF(A7="","",INDEX(Model!$C$7:$DR$7,1,4))</f>
        <v/>
      </c>
      <c r="D7">
        <f>IF(A7="","",INDEX(Model!$C$8:$DR$8,1,4))</f>
        <v/>
      </c>
      <c r="E7" s="25">
        <f>IF(A7="","",INDEX(Model!$C$18:$DR$18,1,4))</f>
        <v/>
      </c>
      <c r="F7" s="25">
        <f>IF(A7="","",INDEX(Model!$C$27:$DR$27,1,4))</f>
        <v/>
      </c>
      <c r="G7" s="25">
        <f>IF(A7="","",INDEX(Model!$C$28:$DR$28,1,4))</f>
        <v/>
      </c>
      <c r="H7" s="25">
        <f>IF(A7="","",INDEX(Model!$C$44:$DR$44,1,4))</f>
        <v/>
      </c>
      <c r="I7" s="25">
        <f>IF(A7="","",INDEX(Model!$C$45:$DR$45,1,4))</f>
        <v/>
      </c>
      <c r="J7" s="25">
        <f>IF(A7="","",INDEX(Model!$C$46:$DR$46,1,4))</f>
        <v/>
      </c>
      <c r="K7" s="25">
        <f>IF(A7="","",INDEX(Model!$C$62:$DR$62,1,4))</f>
        <v/>
      </c>
      <c r="L7" s="25">
        <f>IF(A7="","",INDEX(Model!$C$65:$DR$65,1,4))</f>
        <v/>
      </c>
      <c r="M7" s="25">
        <f>IF(A7="","",INDEX(Model!$C$69:$DR$69,1,4))</f>
        <v/>
      </c>
      <c r="N7" s="25">
        <f>IF(A7="","",INDEX(Model!$C$70:$DR$70,1,4))</f>
        <v/>
      </c>
      <c r="O7" s="25">
        <f>IF(A7="","",INDEX(Model!$C$74:$DR$74,1,4))</f>
        <v/>
      </c>
      <c r="P7" s="25">
        <f>IF(A7="","",INDEX(Model!$C$75:$DR$75,1,4))</f>
        <v/>
      </c>
      <c r="Q7" s="25">
        <f>IF(A7="","",INDEX(Model!$C$76:$DR$76,1,4))</f>
        <v/>
      </c>
      <c r="R7" s="25">
        <f>IF(A7="","",INDEX(Model!$C$63:$DR$63,1,4))</f>
        <v/>
      </c>
      <c r="S7" s="25">
        <f>IF(A7="","",INDEX(Model!$C$77:$DR$77,1,4))</f>
        <v/>
      </c>
      <c r="T7" s="25">
        <f>IF(A7="","",INDEX(Model!$C$78:$DR$78,1,4))</f>
        <v/>
      </c>
      <c r="U7" s="25">
        <f>IF(A7="","",INDEX(Model!$C$79:$DR$79,1,4))</f>
        <v/>
      </c>
      <c r="V7" s="25">
        <f>IF(A7="","",INDEX(Model!$C$64:$DR$64,1,4))</f>
        <v/>
      </c>
      <c r="W7" s="25">
        <f>IF(A7="","",INDEX(Model!$C$71:$DR$71,1,4))</f>
        <v/>
      </c>
      <c r="X7" s="25">
        <f>IF(A7="","",INDEX(Model!$C$72:$DR$72,1,4))</f>
        <v/>
      </c>
      <c r="Y7" s="25">
        <f>IF(A7="","",INDEX(Model!$C$73:$DR$73,1,4))</f>
        <v/>
      </c>
    </row>
    <row r="8">
      <c r="A8">
        <f>IF(5&lt;=Effective!$B$7,5,"")</f>
        <v/>
      </c>
      <c r="B8">
        <f>IF(A8="","",INDEX(Model!$C$1:$DR$1,1,5))</f>
        <v/>
      </c>
      <c r="C8">
        <f>IF(A8="","",INDEX(Model!$C$7:$DR$7,1,5))</f>
        <v/>
      </c>
      <c r="D8">
        <f>IF(A8="","",INDEX(Model!$C$8:$DR$8,1,5))</f>
        <v/>
      </c>
      <c r="E8" s="25">
        <f>IF(A8="","",INDEX(Model!$C$18:$DR$18,1,5))</f>
        <v/>
      </c>
      <c r="F8" s="25">
        <f>IF(A8="","",INDEX(Model!$C$27:$DR$27,1,5))</f>
        <v/>
      </c>
      <c r="G8" s="25">
        <f>IF(A8="","",INDEX(Model!$C$28:$DR$28,1,5))</f>
        <v/>
      </c>
      <c r="H8" s="25">
        <f>IF(A8="","",INDEX(Model!$C$44:$DR$44,1,5))</f>
        <v/>
      </c>
      <c r="I8" s="25">
        <f>IF(A8="","",INDEX(Model!$C$45:$DR$45,1,5))</f>
        <v/>
      </c>
      <c r="J8" s="25">
        <f>IF(A8="","",INDEX(Model!$C$46:$DR$46,1,5))</f>
        <v/>
      </c>
      <c r="K8" s="25">
        <f>IF(A8="","",INDEX(Model!$C$62:$DR$62,1,5))</f>
        <v/>
      </c>
      <c r="L8" s="25">
        <f>IF(A8="","",INDEX(Model!$C$65:$DR$65,1,5))</f>
        <v/>
      </c>
      <c r="M8" s="25">
        <f>IF(A8="","",INDEX(Model!$C$69:$DR$69,1,5))</f>
        <v/>
      </c>
      <c r="N8" s="25">
        <f>IF(A8="","",INDEX(Model!$C$70:$DR$70,1,5))</f>
        <v/>
      </c>
      <c r="O8" s="25">
        <f>IF(A8="","",INDEX(Model!$C$74:$DR$74,1,5))</f>
        <v/>
      </c>
      <c r="P8" s="25">
        <f>IF(A8="","",INDEX(Model!$C$75:$DR$75,1,5))</f>
        <v/>
      </c>
      <c r="Q8" s="25">
        <f>IF(A8="","",INDEX(Model!$C$76:$DR$76,1,5))</f>
        <v/>
      </c>
      <c r="R8" s="25">
        <f>IF(A8="","",INDEX(Model!$C$63:$DR$63,1,5))</f>
        <v/>
      </c>
      <c r="S8" s="25">
        <f>IF(A8="","",INDEX(Model!$C$77:$DR$77,1,5))</f>
        <v/>
      </c>
      <c r="T8" s="25">
        <f>IF(A8="","",INDEX(Model!$C$78:$DR$78,1,5))</f>
        <v/>
      </c>
      <c r="U8" s="25">
        <f>IF(A8="","",INDEX(Model!$C$79:$DR$79,1,5))</f>
        <v/>
      </c>
      <c r="V8" s="25">
        <f>IF(A8="","",INDEX(Model!$C$64:$DR$64,1,5))</f>
        <v/>
      </c>
      <c r="W8" s="25">
        <f>IF(A8="","",INDEX(Model!$C$71:$DR$71,1,5))</f>
        <v/>
      </c>
      <c r="X8" s="25">
        <f>IF(A8="","",INDEX(Model!$C$72:$DR$72,1,5))</f>
        <v/>
      </c>
      <c r="Y8" s="25">
        <f>IF(A8="","",INDEX(Model!$C$73:$DR$73,1,5))</f>
        <v/>
      </c>
    </row>
    <row r="9">
      <c r="A9">
        <f>IF(6&lt;=Effective!$B$7,6,"")</f>
        <v/>
      </c>
      <c r="B9">
        <f>IF(A9="","",INDEX(Model!$C$1:$DR$1,1,6))</f>
        <v/>
      </c>
      <c r="C9">
        <f>IF(A9="","",INDEX(Model!$C$7:$DR$7,1,6))</f>
        <v/>
      </c>
      <c r="D9">
        <f>IF(A9="","",INDEX(Model!$C$8:$DR$8,1,6))</f>
        <v/>
      </c>
      <c r="E9" s="25">
        <f>IF(A9="","",INDEX(Model!$C$18:$DR$18,1,6))</f>
        <v/>
      </c>
      <c r="F9" s="25">
        <f>IF(A9="","",INDEX(Model!$C$27:$DR$27,1,6))</f>
        <v/>
      </c>
      <c r="G9" s="25">
        <f>IF(A9="","",INDEX(Model!$C$28:$DR$28,1,6))</f>
        <v/>
      </c>
      <c r="H9" s="25">
        <f>IF(A9="","",INDEX(Model!$C$44:$DR$44,1,6))</f>
        <v/>
      </c>
      <c r="I9" s="25">
        <f>IF(A9="","",INDEX(Model!$C$45:$DR$45,1,6))</f>
        <v/>
      </c>
      <c r="J9" s="25">
        <f>IF(A9="","",INDEX(Model!$C$46:$DR$46,1,6))</f>
        <v/>
      </c>
      <c r="K9" s="25">
        <f>IF(A9="","",INDEX(Model!$C$62:$DR$62,1,6))</f>
        <v/>
      </c>
      <c r="L9" s="25">
        <f>IF(A9="","",INDEX(Model!$C$65:$DR$65,1,6))</f>
        <v/>
      </c>
      <c r="M9" s="25">
        <f>IF(A9="","",INDEX(Model!$C$69:$DR$69,1,6))</f>
        <v/>
      </c>
      <c r="N9" s="25">
        <f>IF(A9="","",INDEX(Model!$C$70:$DR$70,1,6))</f>
        <v/>
      </c>
      <c r="O9" s="25">
        <f>IF(A9="","",INDEX(Model!$C$74:$DR$74,1,6))</f>
        <v/>
      </c>
      <c r="P9" s="25">
        <f>IF(A9="","",INDEX(Model!$C$75:$DR$75,1,6))</f>
        <v/>
      </c>
      <c r="Q9" s="25">
        <f>IF(A9="","",INDEX(Model!$C$76:$DR$76,1,6))</f>
        <v/>
      </c>
      <c r="R9" s="25">
        <f>IF(A9="","",INDEX(Model!$C$63:$DR$63,1,6))</f>
        <v/>
      </c>
      <c r="S9" s="25">
        <f>IF(A9="","",INDEX(Model!$C$77:$DR$77,1,6))</f>
        <v/>
      </c>
      <c r="T9" s="25">
        <f>IF(A9="","",INDEX(Model!$C$78:$DR$78,1,6))</f>
        <v/>
      </c>
      <c r="U9" s="25">
        <f>IF(A9="","",INDEX(Model!$C$79:$DR$79,1,6))</f>
        <v/>
      </c>
      <c r="V9" s="25">
        <f>IF(A9="","",INDEX(Model!$C$64:$DR$64,1,6))</f>
        <v/>
      </c>
      <c r="W9" s="25">
        <f>IF(A9="","",INDEX(Model!$C$71:$DR$71,1,6))</f>
        <v/>
      </c>
      <c r="X9" s="25">
        <f>IF(A9="","",INDEX(Model!$C$72:$DR$72,1,6))</f>
        <v/>
      </c>
      <c r="Y9" s="25">
        <f>IF(A9="","",INDEX(Model!$C$73:$DR$73,1,6))</f>
        <v/>
      </c>
    </row>
    <row r="10">
      <c r="A10">
        <f>IF(7&lt;=Effective!$B$7,7,"")</f>
        <v/>
      </c>
      <c r="B10">
        <f>IF(A10="","",INDEX(Model!$C$1:$DR$1,1,7))</f>
        <v/>
      </c>
      <c r="C10">
        <f>IF(A10="","",INDEX(Model!$C$7:$DR$7,1,7))</f>
        <v/>
      </c>
      <c r="D10">
        <f>IF(A10="","",INDEX(Model!$C$8:$DR$8,1,7))</f>
        <v/>
      </c>
      <c r="E10" s="25">
        <f>IF(A10="","",INDEX(Model!$C$18:$DR$18,1,7))</f>
        <v/>
      </c>
      <c r="F10" s="25">
        <f>IF(A10="","",INDEX(Model!$C$27:$DR$27,1,7))</f>
        <v/>
      </c>
      <c r="G10" s="25">
        <f>IF(A10="","",INDEX(Model!$C$28:$DR$28,1,7))</f>
        <v/>
      </c>
      <c r="H10" s="25">
        <f>IF(A10="","",INDEX(Model!$C$44:$DR$44,1,7))</f>
        <v/>
      </c>
      <c r="I10" s="25">
        <f>IF(A10="","",INDEX(Model!$C$45:$DR$45,1,7))</f>
        <v/>
      </c>
      <c r="J10" s="25">
        <f>IF(A10="","",INDEX(Model!$C$46:$DR$46,1,7))</f>
        <v/>
      </c>
      <c r="K10" s="25">
        <f>IF(A10="","",INDEX(Model!$C$62:$DR$62,1,7))</f>
        <v/>
      </c>
      <c r="L10" s="25">
        <f>IF(A10="","",INDEX(Model!$C$65:$DR$65,1,7))</f>
        <v/>
      </c>
      <c r="M10" s="25">
        <f>IF(A10="","",INDEX(Model!$C$69:$DR$69,1,7))</f>
        <v/>
      </c>
      <c r="N10" s="25">
        <f>IF(A10="","",INDEX(Model!$C$70:$DR$70,1,7))</f>
        <v/>
      </c>
      <c r="O10" s="25">
        <f>IF(A10="","",INDEX(Model!$C$74:$DR$74,1,7))</f>
        <v/>
      </c>
      <c r="P10" s="25">
        <f>IF(A10="","",INDEX(Model!$C$75:$DR$75,1,7))</f>
        <v/>
      </c>
      <c r="Q10" s="25">
        <f>IF(A10="","",INDEX(Model!$C$76:$DR$76,1,7))</f>
        <v/>
      </c>
      <c r="R10" s="25">
        <f>IF(A10="","",INDEX(Model!$C$63:$DR$63,1,7))</f>
        <v/>
      </c>
      <c r="S10" s="25">
        <f>IF(A10="","",INDEX(Model!$C$77:$DR$77,1,7))</f>
        <v/>
      </c>
      <c r="T10" s="25">
        <f>IF(A10="","",INDEX(Model!$C$78:$DR$78,1,7))</f>
        <v/>
      </c>
      <c r="U10" s="25">
        <f>IF(A10="","",INDEX(Model!$C$79:$DR$79,1,7))</f>
        <v/>
      </c>
      <c r="V10" s="25">
        <f>IF(A10="","",INDEX(Model!$C$64:$DR$64,1,7))</f>
        <v/>
      </c>
      <c r="W10" s="25">
        <f>IF(A10="","",INDEX(Model!$C$71:$DR$71,1,7))</f>
        <v/>
      </c>
      <c r="X10" s="25">
        <f>IF(A10="","",INDEX(Model!$C$72:$DR$72,1,7))</f>
        <v/>
      </c>
      <c r="Y10" s="25">
        <f>IF(A10="","",INDEX(Model!$C$73:$DR$73,1,7))</f>
        <v/>
      </c>
    </row>
    <row r="11">
      <c r="A11">
        <f>IF(8&lt;=Effective!$B$7,8,"")</f>
        <v/>
      </c>
      <c r="B11">
        <f>IF(A11="","",INDEX(Model!$C$1:$DR$1,1,8))</f>
        <v/>
      </c>
      <c r="C11">
        <f>IF(A11="","",INDEX(Model!$C$7:$DR$7,1,8))</f>
        <v/>
      </c>
      <c r="D11">
        <f>IF(A11="","",INDEX(Model!$C$8:$DR$8,1,8))</f>
        <v/>
      </c>
      <c r="E11" s="25">
        <f>IF(A11="","",INDEX(Model!$C$18:$DR$18,1,8))</f>
        <v/>
      </c>
      <c r="F11" s="25">
        <f>IF(A11="","",INDEX(Model!$C$27:$DR$27,1,8))</f>
        <v/>
      </c>
      <c r="G11" s="25">
        <f>IF(A11="","",INDEX(Model!$C$28:$DR$28,1,8))</f>
        <v/>
      </c>
      <c r="H11" s="25">
        <f>IF(A11="","",INDEX(Model!$C$44:$DR$44,1,8))</f>
        <v/>
      </c>
      <c r="I11" s="25">
        <f>IF(A11="","",INDEX(Model!$C$45:$DR$45,1,8))</f>
        <v/>
      </c>
      <c r="J11" s="25">
        <f>IF(A11="","",INDEX(Model!$C$46:$DR$46,1,8))</f>
        <v/>
      </c>
      <c r="K11" s="25">
        <f>IF(A11="","",INDEX(Model!$C$62:$DR$62,1,8))</f>
        <v/>
      </c>
      <c r="L11" s="25">
        <f>IF(A11="","",INDEX(Model!$C$65:$DR$65,1,8))</f>
        <v/>
      </c>
      <c r="M11" s="25">
        <f>IF(A11="","",INDEX(Model!$C$69:$DR$69,1,8))</f>
        <v/>
      </c>
      <c r="N11" s="25">
        <f>IF(A11="","",INDEX(Model!$C$70:$DR$70,1,8))</f>
        <v/>
      </c>
      <c r="O11" s="25">
        <f>IF(A11="","",INDEX(Model!$C$74:$DR$74,1,8))</f>
        <v/>
      </c>
      <c r="P11" s="25">
        <f>IF(A11="","",INDEX(Model!$C$75:$DR$75,1,8))</f>
        <v/>
      </c>
      <c r="Q11" s="25">
        <f>IF(A11="","",INDEX(Model!$C$76:$DR$76,1,8))</f>
        <v/>
      </c>
      <c r="R11" s="25">
        <f>IF(A11="","",INDEX(Model!$C$63:$DR$63,1,8))</f>
        <v/>
      </c>
      <c r="S11" s="25">
        <f>IF(A11="","",INDEX(Model!$C$77:$DR$77,1,8))</f>
        <v/>
      </c>
      <c r="T11" s="25">
        <f>IF(A11="","",INDEX(Model!$C$78:$DR$78,1,8))</f>
        <v/>
      </c>
      <c r="U11" s="25">
        <f>IF(A11="","",INDEX(Model!$C$79:$DR$79,1,8))</f>
        <v/>
      </c>
      <c r="V11" s="25">
        <f>IF(A11="","",INDEX(Model!$C$64:$DR$64,1,8))</f>
        <v/>
      </c>
      <c r="W11" s="25">
        <f>IF(A11="","",INDEX(Model!$C$71:$DR$71,1,8))</f>
        <v/>
      </c>
      <c r="X11" s="25">
        <f>IF(A11="","",INDEX(Model!$C$72:$DR$72,1,8))</f>
        <v/>
      </c>
      <c r="Y11" s="25">
        <f>IF(A11="","",INDEX(Model!$C$73:$DR$73,1,8))</f>
        <v/>
      </c>
    </row>
    <row r="12">
      <c r="A12">
        <f>IF(9&lt;=Effective!$B$7,9,"")</f>
        <v/>
      </c>
      <c r="B12">
        <f>IF(A12="","",INDEX(Model!$C$1:$DR$1,1,9))</f>
        <v/>
      </c>
      <c r="C12">
        <f>IF(A12="","",INDEX(Model!$C$7:$DR$7,1,9))</f>
        <v/>
      </c>
      <c r="D12">
        <f>IF(A12="","",INDEX(Model!$C$8:$DR$8,1,9))</f>
        <v/>
      </c>
      <c r="E12" s="25">
        <f>IF(A12="","",INDEX(Model!$C$18:$DR$18,1,9))</f>
        <v/>
      </c>
      <c r="F12" s="25">
        <f>IF(A12="","",INDEX(Model!$C$27:$DR$27,1,9))</f>
        <v/>
      </c>
      <c r="G12" s="25">
        <f>IF(A12="","",INDEX(Model!$C$28:$DR$28,1,9))</f>
        <v/>
      </c>
      <c r="H12" s="25">
        <f>IF(A12="","",INDEX(Model!$C$44:$DR$44,1,9))</f>
        <v/>
      </c>
      <c r="I12" s="25">
        <f>IF(A12="","",INDEX(Model!$C$45:$DR$45,1,9))</f>
        <v/>
      </c>
      <c r="J12" s="25">
        <f>IF(A12="","",INDEX(Model!$C$46:$DR$46,1,9))</f>
        <v/>
      </c>
      <c r="K12" s="25">
        <f>IF(A12="","",INDEX(Model!$C$62:$DR$62,1,9))</f>
        <v/>
      </c>
      <c r="L12" s="25">
        <f>IF(A12="","",INDEX(Model!$C$65:$DR$65,1,9))</f>
        <v/>
      </c>
      <c r="M12" s="25">
        <f>IF(A12="","",INDEX(Model!$C$69:$DR$69,1,9))</f>
        <v/>
      </c>
      <c r="N12" s="25">
        <f>IF(A12="","",INDEX(Model!$C$70:$DR$70,1,9))</f>
        <v/>
      </c>
      <c r="O12" s="25">
        <f>IF(A12="","",INDEX(Model!$C$74:$DR$74,1,9))</f>
        <v/>
      </c>
      <c r="P12" s="25">
        <f>IF(A12="","",INDEX(Model!$C$75:$DR$75,1,9))</f>
        <v/>
      </c>
      <c r="Q12" s="25">
        <f>IF(A12="","",INDEX(Model!$C$76:$DR$76,1,9))</f>
        <v/>
      </c>
      <c r="R12" s="25">
        <f>IF(A12="","",INDEX(Model!$C$63:$DR$63,1,9))</f>
        <v/>
      </c>
      <c r="S12" s="25">
        <f>IF(A12="","",INDEX(Model!$C$77:$DR$77,1,9))</f>
        <v/>
      </c>
      <c r="T12" s="25">
        <f>IF(A12="","",INDEX(Model!$C$78:$DR$78,1,9))</f>
        <v/>
      </c>
      <c r="U12" s="25">
        <f>IF(A12="","",INDEX(Model!$C$79:$DR$79,1,9))</f>
        <v/>
      </c>
      <c r="V12" s="25">
        <f>IF(A12="","",INDEX(Model!$C$64:$DR$64,1,9))</f>
        <v/>
      </c>
      <c r="W12" s="25">
        <f>IF(A12="","",INDEX(Model!$C$71:$DR$71,1,9))</f>
        <v/>
      </c>
      <c r="X12" s="25">
        <f>IF(A12="","",INDEX(Model!$C$72:$DR$72,1,9))</f>
        <v/>
      </c>
      <c r="Y12" s="25">
        <f>IF(A12="","",INDEX(Model!$C$73:$DR$73,1,9))</f>
        <v/>
      </c>
    </row>
    <row r="13">
      <c r="A13">
        <f>IF(10&lt;=Effective!$B$7,10,"")</f>
        <v/>
      </c>
      <c r="B13">
        <f>IF(A13="","",INDEX(Model!$C$1:$DR$1,1,10))</f>
        <v/>
      </c>
      <c r="C13">
        <f>IF(A13="","",INDEX(Model!$C$7:$DR$7,1,10))</f>
        <v/>
      </c>
      <c r="D13">
        <f>IF(A13="","",INDEX(Model!$C$8:$DR$8,1,10))</f>
        <v/>
      </c>
      <c r="E13" s="25">
        <f>IF(A13="","",INDEX(Model!$C$18:$DR$18,1,10))</f>
        <v/>
      </c>
      <c r="F13" s="25">
        <f>IF(A13="","",INDEX(Model!$C$27:$DR$27,1,10))</f>
        <v/>
      </c>
      <c r="G13" s="25">
        <f>IF(A13="","",INDEX(Model!$C$28:$DR$28,1,10))</f>
        <v/>
      </c>
      <c r="H13" s="25">
        <f>IF(A13="","",INDEX(Model!$C$44:$DR$44,1,10))</f>
        <v/>
      </c>
      <c r="I13" s="25">
        <f>IF(A13="","",INDEX(Model!$C$45:$DR$45,1,10))</f>
        <v/>
      </c>
      <c r="J13" s="25">
        <f>IF(A13="","",INDEX(Model!$C$46:$DR$46,1,10))</f>
        <v/>
      </c>
      <c r="K13" s="25">
        <f>IF(A13="","",INDEX(Model!$C$62:$DR$62,1,10))</f>
        <v/>
      </c>
      <c r="L13" s="25">
        <f>IF(A13="","",INDEX(Model!$C$65:$DR$65,1,10))</f>
        <v/>
      </c>
      <c r="M13" s="25">
        <f>IF(A13="","",INDEX(Model!$C$69:$DR$69,1,10))</f>
        <v/>
      </c>
      <c r="N13" s="25">
        <f>IF(A13="","",INDEX(Model!$C$70:$DR$70,1,10))</f>
        <v/>
      </c>
      <c r="O13" s="25">
        <f>IF(A13="","",INDEX(Model!$C$74:$DR$74,1,10))</f>
        <v/>
      </c>
      <c r="P13" s="25">
        <f>IF(A13="","",INDEX(Model!$C$75:$DR$75,1,10))</f>
        <v/>
      </c>
      <c r="Q13" s="25">
        <f>IF(A13="","",INDEX(Model!$C$76:$DR$76,1,10))</f>
        <v/>
      </c>
      <c r="R13" s="25">
        <f>IF(A13="","",INDEX(Model!$C$63:$DR$63,1,10))</f>
        <v/>
      </c>
      <c r="S13" s="25">
        <f>IF(A13="","",INDEX(Model!$C$77:$DR$77,1,10))</f>
        <v/>
      </c>
      <c r="T13" s="25">
        <f>IF(A13="","",INDEX(Model!$C$78:$DR$78,1,10))</f>
        <v/>
      </c>
      <c r="U13" s="25">
        <f>IF(A13="","",INDEX(Model!$C$79:$DR$79,1,10))</f>
        <v/>
      </c>
      <c r="V13" s="25">
        <f>IF(A13="","",INDEX(Model!$C$64:$DR$64,1,10))</f>
        <v/>
      </c>
      <c r="W13" s="25">
        <f>IF(A13="","",INDEX(Model!$C$71:$DR$71,1,10))</f>
        <v/>
      </c>
      <c r="X13" s="25">
        <f>IF(A13="","",INDEX(Model!$C$72:$DR$72,1,10))</f>
        <v/>
      </c>
      <c r="Y13" s="25">
        <f>IF(A13="","",INDEX(Model!$C$73:$DR$73,1,10))</f>
        <v/>
      </c>
    </row>
    <row r="14">
      <c r="A14">
        <f>IF(11&lt;=Effective!$B$7,11,"")</f>
        <v/>
      </c>
      <c r="B14">
        <f>IF(A14="","",INDEX(Model!$C$1:$DR$1,1,11))</f>
        <v/>
      </c>
      <c r="C14">
        <f>IF(A14="","",INDEX(Model!$C$7:$DR$7,1,11))</f>
        <v/>
      </c>
      <c r="D14">
        <f>IF(A14="","",INDEX(Model!$C$8:$DR$8,1,11))</f>
        <v/>
      </c>
      <c r="E14" s="25">
        <f>IF(A14="","",INDEX(Model!$C$18:$DR$18,1,11))</f>
        <v/>
      </c>
      <c r="F14" s="25">
        <f>IF(A14="","",INDEX(Model!$C$27:$DR$27,1,11))</f>
        <v/>
      </c>
      <c r="G14" s="25">
        <f>IF(A14="","",INDEX(Model!$C$28:$DR$28,1,11))</f>
        <v/>
      </c>
      <c r="H14" s="25">
        <f>IF(A14="","",INDEX(Model!$C$44:$DR$44,1,11))</f>
        <v/>
      </c>
      <c r="I14" s="25">
        <f>IF(A14="","",INDEX(Model!$C$45:$DR$45,1,11))</f>
        <v/>
      </c>
      <c r="J14" s="25">
        <f>IF(A14="","",INDEX(Model!$C$46:$DR$46,1,11))</f>
        <v/>
      </c>
      <c r="K14" s="25">
        <f>IF(A14="","",INDEX(Model!$C$62:$DR$62,1,11))</f>
        <v/>
      </c>
      <c r="L14" s="25">
        <f>IF(A14="","",INDEX(Model!$C$65:$DR$65,1,11))</f>
        <v/>
      </c>
      <c r="M14" s="25">
        <f>IF(A14="","",INDEX(Model!$C$69:$DR$69,1,11))</f>
        <v/>
      </c>
      <c r="N14" s="25">
        <f>IF(A14="","",INDEX(Model!$C$70:$DR$70,1,11))</f>
        <v/>
      </c>
      <c r="O14" s="25">
        <f>IF(A14="","",INDEX(Model!$C$74:$DR$74,1,11))</f>
        <v/>
      </c>
      <c r="P14" s="25">
        <f>IF(A14="","",INDEX(Model!$C$75:$DR$75,1,11))</f>
        <v/>
      </c>
      <c r="Q14" s="25">
        <f>IF(A14="","",INDEX(Model!$C$76:$DR$76,1,11))</f>
        <v/>
      </c>
      <c r="R14" s="25">
        <f>IF(A14="","",INDEX(Model!$C$63:$DR$63,1,11))</f>
        <v/>
      </c>
      <c r="S14" s="25">
        <f>IF(A14="","",INDEX(Model!$C$77:$DR$77,1,11))</f>
        <v/>
      </c>
      <c r="T14" s="25">
        <f>IF(A14="","",INDEX(Model!$C$78:$DR$78,1,11))</f>
        <v/>
      </c>
      <c r="U14" s="25">
        <f>IF(A14="","",INDEX(Model!$C$79:$DR$79,1,11))</f>
        <v/>
      </c>
      <c r="V14" s="25">
        <f>IF(A14="","",INDEX(Model!$C$64:$DR$64,1,11))</f>
        <v/>
      </c>
      <c r="W14" s="25">
        <f>IF(A14="","",INDEX(Model!$C$71:$DR$71,1,11))</f>
        <v/>
      </c>
      <c r="X14" s="25">
        <f>IF(A14="","",INDEX(Model!$C$72:$DR$72,1,11))</f>
        <v/>
      </c>
      <c r="Y14" s="25">
        <f>IF(A14="","",INDEX(Model!$C$73:$DR$73,1,11))</f>
        <v/>
      </c>
    </row>
    <row r="15">
      <c r="A15">
        <f>IF(12&lt;=Effective!$B$7,12,"")</f>
        <v/>
      </c>
      <c r="B15">
        <f>IF(A15="","",INDEX(Model!$C$1:$DR$1,1,12))</f>
        <v/>
      </c>
      <c r="C15">
        <f>IF(A15="","",INDEX(Model!$C$7:$DR$7,1,12))</f>
        <v/>
      </c>
      <c r="D15">
        <f>IF(A15="","",INDEX(Model!$C$8:$DR$8,1,12))</f>
        <v/>
      </c>
      <c r="E15" s="25">
        <f>IF(A15="","",INDEX(Model!$C$18:$DR$18,1,12))</f>
        <v/>
      </c>
      <c r="F15" s="25">
        <f>IF(A15="","",INDEX(Model!$C$27:$DR$27,1,12))</f>
        <v/>
      </c>
      <c r="G15" s="25">
        <f>IF(A15="","",INDEX(Model!$C$28:$DR$28,1,12))</f>
        <v/>
      </c>
      <c r="H15" s="25">
        <f>IF(A15="","",INDEX(Model!$C$44:$DR$44,1,12))</f>
        <v/>
      </c>
      <c r="I15" s="25">
        <f>IF(A15="","",INDEX(Model!$C$45:$DR$45,1,12))</f>
        <v/>
      </c>
      <c r="J15" s="25">
        <f>IF(A15="","",INDEX(Model!$C$46:$DR$46,1,12))</f>
        <v/>
      </c>
      <c r="K15" s="25">
        <f>IF(A15="","",INDEX(Model!$C$62:$DR$62,1,12))</f>
        <v/>
      </c>
      <c r="L15" s="25">
        <f>IF(A15="","",INDEX(Model!$C$65:$DR$65,1,12))</f>
        <v/>
      </c>
      <c r="M15" s="25">
        <f>IF(A15="","",INDEX(Model!$C$69:$DR$69,1,12))</f>
        <v/>
      </c>
      <c r="N15" s="25">
        <f>IF(A15="","",INDEX(Model!$C$70:$DR$70,1,12))</f>
        <v/>
      </c>
      <c r="O15" s="25">
        <f>IF(A15="","",INDEX(Model!$C$74:$DR$74,1,12))</f>
        <v/>
      </c>
      <c r="P15" s="25">
        <f>IF(A15="","",INDEX(Model!$C$75:$DR$75,1,12))</f>
        <v/>
      </c>
      <c r="Q15" s="25">
        <f>IF(A15="","",INDEX(Model!$C$76:$DR$76,1,12))</f>
        <v/>
      </c>
      <c r="R15" s="25">
        <f>IF(A15="","",INDEX(Model!$C$63:$DR$63,1,12))</f>
        <v/>
      </c>
      <c r="S15" s="25">
        <f>IF(A15="","",INDEX(Model!$C$77:$DR$77,1,12))</f>
        <v/>
      </c>
      <c r="T15" s="25">
        <f>IF(A15="","",INDEX(Model!$C$78:$DR$78,1,12))</f>
        <v/>
      </c>
      <c r="U15" s="25">
        <f>IF(A15="","",INDEX(Model!$C$79:$DR$79,1,12))</f>
        <v/>
      </c>
      <c r="V15" s="25">
        <f>IF(A15="","",INDEX(Model!$C$64:$DR$64,1,12))</f>
        <v/>
      </c>
      <c r="W15" s="25">
        <f>IF(A15="","",INDEX(Model!$C$71:$DR$71,1,12))</f>
        <v/>
      </c>
      <c r="X15" s="25">
        <f>IF(A15="","",INDEX(Model!$C$72:$DR$72,1,12))</f>
        <v/>
      </c>
      <c r="Y15" s="25">
        <f>IF(A15="","",INDEX(Model!$C$73:$DR$73,1,12))</f>
        <v/>
      </c>
    </row>
    <row r="16">
      <c r="A16">
        <f>IF(13&lt;=Effective!$B$7,13,"")</f>
        <v/>
      </c>
      <c r="B16">
        <f>IF(A16="","",INDEX(Model!$C$1:$DR$1,1,13))</f>
        <v/>
      </c>
      <c r="C16">
        <f>IF(A16="","",INDEX(Model!$C$7:$DR$7,1,13))</f>
        <v/>
      </c>
      <c r="D16">
        <f>IF(A16="","",INDEX(Model!$C$8:$DR$8,1,13))</f>
        <v/>
      </c>
      <c r="E16" s="25">
        <f>IF(A16="","",INDEX(Model!$C$18:$DR$18,1,13))</f>
        <v/>
      </c>
      <c r="F16" s="25">
        <f>IF(A16="","",INDEX(Model!$C$27:$DR$27,1,13))</f>
        <v/>
      </c>
      <c r="G16" s="25">
        <f>IF(A16="","",INDEX(Model!$C$28:$DR$28,1,13))</f>
        <v/>
      </c>
      <c r="H16" s="25">
        <f>IF(A16="","",INDEX(Model!$C$44:$DR$44,1,13))</f>
        <v/>
      </c>
      <c r="I16" s="25">
        <f>IF(A16="","",INDEX(Model!$C$45:$DR$45,1,13))</f>
        <v/>
      </c>
      <c r="J16" s="25">
        <f>IF(A16="","",INDEX(Model!$C$46:$DR$46,1,13))</f>
        <v/>
      </c>
      <c r="K16" s="25">
        <f>IF(A16="","",INDEX(Model!$C$62:$DR$62,1,13))</f>
        <v/>
      </c>
      <c r="L16" s="25">
        <f>IF(A16="","",INDEX(Model!$C$65:$DR$65,1,13))</f>
        <v/>
      </c>
      <c r="M16" s="25">
        <f>IF(A16="","",INDEX(Model!$C$69:$DR$69,1,13))</f>
        <v/>
      </c>
      <c r="N16" s="25">
        <f>IF(A16="","",INDEX(Model!$C$70:$DR$70,1,13))</f>
        <v/>
      </c>
      <c r="O16" s="25">
        <f>IF(A16="","",INDEX(Model!$C$74:$DR$74,1,13))</f>
        <v/>
      </c>
      <c r="P16" s="25">
        <f>IF(A16="","",INDEX(Model!$C$75:$DR$75,1,13))</f>
        <v/>
      </c>
      <c r="Q16" s="25">
        <f>IF(A16="","",INDEX(Model!$C$76:$DR$76,1,13))</f>
        <v/>
      </c>
      <c r="R16" s="25">
        <f>IF(A16="","",INDEX(Model!$C$63:$DR$63,1,13))</f>
        <v/>
      </c>
      <c r="S16" s="25">
        <f>IF(A16="","",INDEX(Model!$C$77:$DR$77,1,13))</f>
        <v/>
      </c>
      <c r="T16" s="25">
        <f>IF(A16="","",INDEX(Model!$C$78:$DR$78,1,13))</f>
        <v/>
      </c>
      <c r="U16" s="25">
        <f>IF(A16="","",INDEX(Model!$C$79:$DR$79,1,13))</f>
        <v/>
      </c>
      <c r="V16" s="25">
        <f>IF(A16="","",INDEX(Model!$C$64:$DR$64,1,13))</f>
        <v/>
      </c>
      <c r="W16" s="25">
        <f>IF(A16="","",INDEX(Model!$C$71:$DR$71,1,13))</f>
        <v/>
      </c>
      <c r="X16" s="25">
        <f>IF(A16="","",INDEX(Model!$C$72:$DR$72,1,13))</f>
        <v/>
      </c>
      <c r="Y16" s="25">
        <f>IF(A16="","",INDEX(Model!$C$73:$DR$73,1,13))</f>
        <v/>
      </c>
    </row>
    <row r="17">
      <c r="A17">
        <f>IF(14&lt;=Effective!$B$7,14,"")</f>
        <v/>
      </c>
      <c r="B17">
        <f>IF(A17="","",INDEX(Model!$C$1:$DR$1,1,14))</f>
        <v/>
      </c>
      <c r="C17">
        <f>IF(A17="","",INDEX(Model!$C$7:$DR$7,1,14))</f>
        <v/>
      </c>
      <c r="D17">
        <f>IF(A17="","",INDEX(Model!$C$8:$DR$8,1,14))</f>
        <v/>
      </c>
      <c r="E17" s="25">
        <f>IF(A17="","",INDEX(Model!$C$18:$DR$18,1,14))</f>
        <v/>
      </c>
      <c r="F17" s="25">
        <f>IF(A17="","",INDEX(Model!$C$27:$DR$27,1,14))</f>
        <v/>
      </c>
      <c r="G17" s="25">
        <f>IF(A17="","",INDEX(Model!$C$28:$DR$28,1,14))</f>
        <v/>
      </c>
      <c r="H17" s="25">
        <f>IF(A17="","",INDEX(Model!$C$44:$DR$44,1,14))</f>
        <v/>
      </c>
      <c r="I17" s="25">
        <f>IF(A17="","",INDEX(Model!$C$45:$DR$45,1,14))</f>
        <v/>
      </c>
      <c r="J17" s="25">
        <f>IF(A17="","",INDEX(Model!$C$46:$DR$46,1,14))</f>
        <v/>
      </c>
      <c r="K17" s="25">
        <f>IF(A17="","",INDEX(Model!$C$62:$DR$62,1,14))</f>
        <v/>
      </c>
      <c r="L17" s="25">
        <f>IF(A17="","",INDEX(Model!$C$65:$DR$65,1,14))</f>
        <v/>
      </c>
      <c r="M17" s="25">
        <f>IF(A17="","",INDEX(Model!$C$69:$DR$69,1,14))</f>
        <v/>
      </c>
      <c r="N17" s="25">
        <f>IF(A17="","",INDEX(Model!$C$70:$DR$70,1,14))</f>
        <v/>
      </c>
      <c r="O17" s="25">
        <f>IF(A17="","",INDEX(Model!$C$74:$DR$74,1,14))</f>
        <v/>
      </c>
      <c r="P17" s="25">
        <f>IF(A17="","",INDEX(Model!$C$75:$DR$75,1,14))</f>
        <v/>
      </c>
      <c r="Q17" s="25">
        <f>IF(A17="","",INDEX(Model!$C$76:$DR$76,1,14))</f>
        <v/>
      </c>
      <c r="R17" s="25">
        <f>IF(A17="","",INDEX(Model!$C$63:$DR$63,1,14))</f>
        <v/>
      </c>
      <c r="S17" s="25">
        <f>IF(A17="","",INDEX(Model!$C$77:$DR$77,1,14))</f>
        <v/>
      </c>
      <c r="T17" s="25">
        <f>IF(A17="","",INDEX(Model!$C$78:$DR$78,1,14))</f>
        <v/>
      </c>
      <c r="U17" s="25">
        <f>IF(A17="","",INDEX(Model!$C$79:$DR$79,1,14))</f>
        <v/>
      </c>
      <c r="V17" s="25">
        <f>IF(A17="","",INDEX(Model!$C$64:$DR$64,1,14))</f>
        <v/>
      </c>
      <c r="W17" s="25">
        <f>IF(A17="","",INDEX(Model!$C$71:$DR$71,1,14))</f>
        <v/>
      </c>
      <c r="X17" s="25">
        <f>IF(A17="","",INDEX(Model!$C$72:$DR$72,1,14))</f>
        <v/>
      </c>
      <c r="Y17" s="25">
        <f>IF(A17="","",INDEX(Model!$C$73:$DR$73,1,14))</f>
        <v/>
      </c>
    </row>
    <row r="18">
      <c r="A18">
        <f>IF(15&lt;=Effective!$B$7,15,"")</f>
        <v/>
      </c>
      <c r="B18">
        <f>IF(A18="","",INDEX(Model!$C$1:$DR$1,1,15))</f>
        <v/>
      </c>
      <c r="C18">
        <f>IF(A18="","",INDEX(Model!$C$7:$DR$7,1,15))</f>
        <v/>
      </c>
      <c r="D18">
        <f>IF(A18="","",INDEX(Model!$C$8:$DR$8,1,15))</f>
        <v/>
      </c>
      <c r="E18" s="25">
        <f>IF(A18="","",INDEX(Model!$C$18:$DR$18,1,15))</f>
        <v/>
      </c>
      <c r="F18" s="25">
        <f>IF(A18="","",INDEX(Model!$C$27:$DR$27,1,15))</f>
        <v/>
      </c>
      <c r="G18" s="25">
        <f>IF(A18="","",INDEX(Model!$C$28:$DR$28,1,15))</f>
        <v/>
      </c>
      <c r="H18" s="25">
        <f>IF(A18="","",INDEX(Model!$C$44:$DR$44,1,15))</f>
        <v/>
      </c>
      <c r="I18" s="25">
        <f>IF(A18="","",INDEX(Model!$C$45:$DR$45,1,15))</f>
        <v/>
      </c>
      <c r="J18" s="25">
        <f>IF(A18="","",INDEX(Model!$C$46:$DR$46,1,15))</f>
        <v/>
      </c>
      <c r="K18" s="25">
        <f>IF(A18="","",INDEX(Model!$C$62:$DR$62,1,15))</f>
        <v/>
      </c>
      <c r="L18" s="25">
        <f>IF(A18="","",INDEX(Model!$C$65:$DR$65,1,15))</f>
        <v/>
      </c>
      <c r="M18" s="25">
        <f>IF(A18="","",INDEX(Model!$C$69:$DR$69,1,15))</f>
        <v/>
      </c>
      <c r="N18" s="25">
        <f>IF(A18="","",INDEX(Model!$C$70:$DR$70,1,15))</f>
        <v/>
      </c>
      <c r="O18" s="25">
        <f>IF(A18="","",INDEX(Model!$C$74:$DR$74,1,15))</f>
        <v/>
      </c>
      <c r="P18" s="25">
        <f>IF(A18="","",INDEX(Model!$C$75:$DR$75,1,15))</f>
        <v/>
      </c>
      <c r="Q18" s="25">
        <f>IF(A18="","",INDEX(Model!$C$76:$DR$76,1,15))</f>
        <v/>
      </c>
      <c r="R18" s="25">
        <f>IF(A18="","",INDEX(Model!$C$63:$DR$63,1,15))</f>
        <v/>
      </c>
      <c r="S18" s="25">
        <f>IF(A18="","",INDEX(Model!$C$77:$DR$77,1,15))</f>
        <v/>
      </c>
      <c r="T18" s="25">
        <f>IF(A18="","",INDEX(Model!$C$78:$DR$78,1,15))</f>
        <v/>
      </c>
      <c r="U18" s="25">
        <f>IF(A18="","",INDEX(Model!$C$79:$DR$79,1,15))</f>
        <v/>
      </c>
      <c r="V18" s="25">
        <f>IF(A18="","",INDEX(Model!$C$64:$DR$64,1,15))</f>
        <v/>
      </c>
      <c r="W18" s="25">
        <f>IF(A18="","",INDEX(Model!$C$71:$DR$71,1,15))</f>
        <v/>
      </c>
      <c r="X18" s="25">
        <f>IF(A18="","",INDEX(Model!$C$72:$DR$72,1,15))</f>
        <v/>
      </c>
      <c r="Y18" s="25">
        <f>IF(A18="","",INDEX(Model!$C$73:$DR$73,1,15))</f>
        <v/>
      </c>
    </row>
    <row r="19">
      <c r="A19">
        <f>IF(16&lt;=Effective!$B$7,16,"")</f>
        <v/>
      </c>
      <c r="B19">
        <f>IF(A19="","",INDEX(Model!$C$1:$DR$1,1,16))</f>
        <v/>
      </c>
      <c r="C19">
        <f>IF(A19="","",INDEX(Model!$C$7:$DR$7,1,16))</f>
        <v/>
      </c>
      <c r="D19">
        <f>IF(A19="","",INDEX(Model!$C$8:$DR$8,1,16))</f>
        <v/>
      </c>
      <c r="E19" s="25">
        <f>IF(A19="","",INDEX(Model!$C$18:$DR$18,1,16))</f>
        <v/>
      </c>
      <c r="F19" s="25">
        <f>IF(A19="","",INDEX(Model!$C$27:$DR$27,1,16))</f>
        <v/>
      </c>
      <c r="G19" s="25">
        <f>IF(A19="","",INDEX(Model!$C$28:$DR$28,1,16))</f>
        <v/>
      </c>
      <c r="H19" s="25">
        <f>IF(A19="","",INDEX(Model!$C$44:$DR$44,1,16))</f>
        <v/>
      </c>
      <c r="I19" s="25">
        <f>IF(A19="","",INDEX(Model!$C$45:$DR$45,1,16))</f>
        <v/>
      </c>
      <c r="J19" s="25">
        <f>IF(A19="","",INDEX(Model!$C$46:$DR$46,1,16))</f>
        <v/>
      </c>
      <c r="K19" s="25">
        <f>IF(A19="","",INDEX(Model!$C$62:$DR$62,1,16))</f>
        <v/>
      </c>
      <c r="L19" s="25">
        <f>IF(A19="","",INDEX(Model!$C$65:$DR$65,1,16))</f>
        <v/>
      </c>
      <c r="M19" s="25">
        <f>IF(A19="","",INDEX(Model!$C$69:$DR$69,1,16))</f>
        <v/>
      </c>
      <c r="N19" s="25">
        <f>IF(A19="","",INDEX(Model!$C$70:$DR$70,1,16))</f>
        <v/>
      </c>
      <c r="O19" s="25">
        <f>IF(A19="","",INDEX(Model!$C$74:$DR$74,1,16))</f>
        <v/>
      </c>
      <c r="P19" s="25">
        <f>IF(A19="","",INDEX(Model!$C$75:$DR$75,1,16))</f>
        <v/>
      </c>
      <c r="Q19" s="25">
        <f>IF(A19="","",INDEX(Model!$C$76:$DR$76,1,16))</f>
        <v/>
      </c>
      <c r="R19" s="25">
        <f>IF(A19="","",INDEX(Model!$C$63:$DR$63,1,16))</f>
        <v/>
      </c>
      <c r="S19" s="25">
        <f>IF(A19="","",INDEX(Model!$C$77:$DR$77,1,16))</f>
        <v/>
      </c>
      <c r="T19" s="25">
        <f>IF(A19="","",INDEX(Model!$C$78:$DR$78,1,16))</f>
        <v/>
      </c>
      <c r="U19" s="25">
        <f>IF(A19="","",INDEX(Model!$C$79:$DR$79,1,16))</f>
        <v/>
      </c>
      <c r="V19" s="25">
        <f>IF(A19="","",INDEX(Model!$C$64:$DR$64,1,16))</f>
        <v/>
      </c>
      <c r="W19" s="25">
        <f>IF(A19="","",INDEX(Model!$C$71:$DR$71,1,16))</f>
        <v/>
      </c>
      <c r="X19" s="25">
        <f>IF(A19="","",INDEX(Model!$C$72:$DR$72,1,16))</f>
        <v/>
      </c>
      <c r="Y19" s="25">
        <f>IF(A19="","",INDEX(Model!$C$73:$DR$73,1,16))</f>
        <v/>
      </c>
    </row>
    <row r="20">
      <c r="A20">
        <f>IF(17&lt;=Effective!$B$7,17,"")</f>
        <v/>
      </c>
      <c r="B20">
        <f>IF(A20="","",INDEX(Model!$C$1:$DR$1,1,17))</f>
        <v/>
      </c>
      <c r="C20">
        <f>IF(A20="","",INDEX(Model!$C$7:$DR$7,1,17))</f>
        <v/>
      </c>
      <c r="D20">
        <f>IF(A20="","",INDEX(Model!$C$8:$DR$8,1,17))</f>
        <v/>
      </c>
      <c r="E20" s="25">
        <f>IF(A20="","",INDEX(Model!$C$18:$DR$18,1,17))</f>
        <v/>
      </c>
      <c r="F20" s="25">
        <f>IF(A20="","",INDEX(Model!$C$27:$DR$27,1,17))</f>
        <v/>
      </c>
      <c r="G20" s="25">
        <f>IF(A20="","",INDEX(Model!$C$28:$DR$28,1,17))</f>
        <v/>
      </c>
      <c r="H20" s="25">
        <f>IF(A20="","",INDEX(Model!$C$44:$DR$44,1,17))</f>
        <v/>
      </c>
      <c r="I20" s="25">
        <f>IF(A20="","",INDEX(Model!$C$45:$DR$45,1,17))</f>
        <v/>
      </c>
      <c r="J20" s="25">
        <f>IF(A20="","",INDEX(Model!$C$46:$DR$46,1,17))</f>
        <v/>
      </c>
      <c r="K20" s="25">
        <f>IF(A20="","",INDEX(Model!$C$62:$DR$62,1,17))</f>
        <v/>
      </c>
      <c r="L20" s="25">
        <f>IF(A20="","",INDEX(Model!$C$65:$DR$65,1,17))</f>
        <v/>
      </c>
      <c r="M20" s="25">
        <f>IF(A20="","",INDEX(Model!$C$69:$DR$69,1,17))</f>
        <v/>
      </c>
      <c r="N20" s="25">
        <f>IF(A20="","",INDEX(Model!$C$70:$DR$70,1,17))</f>
        <v/>
      </c>
      <c r="O20" s="25">
        <f>IF(A20="","",INDEX(Model!$C$74:$DR$74,1,17))</f>
        <v/>
      </c>
      <c r="P20" s="25">
        <f>IF(A20="","",INDEX(Model!$C$75:$DR$75,1,17))</f>
        <v/>
      </c>
      <c r="Q20" s="25">
        <f>IF(A20="","",INDEX(Model!$C$76:$DR$76,1,17))</f>
        <v/>
      </c>
      <c r="R20" s="25">
        <f>IF(A20="","",INDEX(Model!$C$63:$DR$63,1,17))</f>
        <v/>
      </c>
      <c r="S20" s="25">
        <f>IF(A20="","",INDEX(Model!$C$77:$DR$77,1,17))</f>
        <v/>
      </c>
      <c r="T20" s="25">
        <f>IF(A20="","",INDEX(Model!$C$78:$DR$78,1,17))</f>
        <v/>
      </c>
      <c r="U20" s="25">
        <f>IF(A20="","",INDEX(Model!$C$79:$DR$79,1,17))</f>
        <v/>
      </c>
      <c r="V20" s="25">
        <f>IF(A20="","",INDEX(Model!$C$64:$DR$64,1,17))</f>
        <v/>
      </c>
      <c r="W20" s="25">
        <f>IF(A20="","",INDEX(Model!$C$71:$DR$71,1,17))</f>
        <v/>
      </c>
      <c r="X20" s="25">
        <f>IF(A20="","",INDEX(Model!$C$72:$DR$72,1,17))</f>
        <v/>
      </c>
      <c r="Y20" s="25">
        <f>IF(A20="","",INDEX(Model!$C$73:$DR$73,1,17))</f>
        <v/>
      </c>
    </row>
    <row r="21">
      <c r="A21">
        <f>IF(18&lt;=Effective!$B$7,18,"")</f>
        <v/>
      </c>
      <c r="B21">
        <f>IF(A21="","",INDEX(Model!$C$1:$DR$1,1,18))</f>
        <v/>
      </c>
      <c r="C21">
        <f>IF(A21="","",INDEX(Model!$C$7:$DR$7,1,18))</f>
        <v/>
      </c>
      <c r="D21">
        <f>IF(A21="","",INDEX(Model!$C$8:$DR$8,1,18))</f>
        <v/>
      </c>
      <c r="E21" s="25">
        <f>IF(A21="","",INDEX(Model!$C$18:$DR$18,1,18))</f>
        <v/>
      </c>
      <c r="F21" s="25">
        <f>IF(A21="","",INDEX(Model!$C$27:$DR$27,1,18))</f>
        <v/>
      </c>
      <c r="G21" s="25">
        <f>IF(A21="","",INDEX(Model!$C$28:$DR$28,1,18))</f>
        <v/>
      </c>
      <c r="H21" s="25">
        <f>IF(A21="","",INDEX(Model!$C$44:$DR$44,1,18))</f>
        <v/>
      </c>
      <c r="I21" s="25">
        <f>IF(A21="","",INDEX(Model!$C$45:$DR$45,1,18))</f>
        <v/>
      </c>
      <c r="J21" s="25">
        <f>IF(A21="","",INDEX(Model!$C$46:$DR$46,1,18))</f>
        <v/>
      </c>
      <c r="K21" s="25">
        <f>IF(A21="","",INDEX(Model!$C$62:$DR$62,1,18))</f>
        <v/>
      </c>
      <c r="L21" s="25">
        <f>IF(A21="","",INDEX(Model!$C$65:$DR$65,1,18))</f>
        <v/>
      </c>
      <c r="M21" s="25">
        <f>IF(A21="","",INDEX(Model!$C$69:$DR$69,1,18))</f>
        <v/>
      </c>
      <c r="N21" s="25">
        <f>IF(A21="","",INDEX(Model!$C$70:$DR$70,1,18))</f>
        <v/>
      </c>
      <c r="O21" s="25">
        <f>IF(A21="","",INDEX(Model!$C$74:$DR$74,1,18))</f>
        <v/>
      </c>
      <c r="P21" s="25">
        <f>IF(A21="","",INDEX(Model!$C$75:$DR$75,1,18))</f>
        <v/>
      </c>
      <c r="Q21" s="25">
        <f>IF(A21="","",INDEX(Model!$C$76:$DR$76,1,18))</f>
        <v/>
      </c>
      <c r="R21" s="25">
        <f>IF(A21="","",INDEX(Model!$C$63:$DR$63,1,18))</f>
        <v/>
      </c>
      <c r="S21" s="25">
        <f>IF(A21="","",INDEX(Model!$C$77:$DR$77,1,18))</f>
        <v/>
      </c>
      <c r="T21" s="25">
        <f>IF(A21="","",INDEX(Model!$C$78:$DR$78,1,18))</f>
        <v/>
      </c>
      <c r="U21" s="25">
        <f>IF(A21="","",INDEX(Model!$C$79:$DR$79,1,18))</f>
        <v/>
      </c>
      <c r="V21" s="25">
        <f>IF(A21="","",INDEX(Model!$C$64:$DR$64,1,18))</f>
        <v/>
      </c>
      <c r="W21" s="25">
        <f>IF(A21="","",INDEX(Model!$C$71:$DR$71,1,18))</f>
        <v/>
      </c>
      <c r="X21" s="25">
        <f>IF(A21="","",INDEX(Model!$C$72:$DR$72,1,18))</f>
        <v/>
      </c>
      <c r="Y21" s="25">
        <f>IF(A21="","",INDEX(Model!$C$73:$DR$73,1,18))</f>
        <v/>
      </c>
    </row>
    <row r="22">
      <c r="A22">
        <f>IF(19&lt;=Effective!$B$7,19,"")</f>
        <v/>
      </c>
      <c r="B22">
        <f>IF(A22="","",INDEX(Model!$C$1:$DR$1,1,19))</f>
        <v/>
      </c>
      <c r="C22">
        <f>IF(A22="","",INDEX(Model!$C$7:$DR$7,1,19))</f>
        <v/>
      </c>
      <c r="D22">
        <f>IF(A22="","",INDEX(Model!$C$8:$DR$8,1,19))</f>
        <v/>
      </c>
      <c r="E22" s="25">
        <f>IF(A22="","",INDEX(Model!$C$18:$DR$18,1,19))</f>
        <v/>
      </c>
      <c r="F22" s="25">
        <f>IF(A22="","",INDEX(Model!$C$27:$DR$27,1,19))</f>
        <v/>
      </c>
      <c r="G22" s="25">
        <f>IF(A22="","",INDEX(Model!$C$28:$DR$28,1,19))</f>
        <v/>
      </c>
      <c r="H22" s="25">
        <f>IF(A22="","",INDEX(Model!$C$44:$DR$44,1,19))</f>
        <v/>
      </c>
      <c r="I22" s="25">
        <f>IF(A22="","",INDEX(Model!$C$45:$DR$45,1,19))</f>
        <v/>
      </c>
      <c r="J22" s="25">
        <f>IF(A22="","",INDEX(Model!$C$46:$DR$46,1,19))</f>
        <v/>
      </c>
      <c r="K22" s="25">
        <f>IF(A22="","",INDEX(Model!$C$62:$DR$62,1,19))</f>
        <v/>
      </c>
      <c r="L22" s="25">
        <f>IF(A22="","",INDEX(Model!$C$65:$DR$65,1,19))</f>
        <v/>
      </c>
      <c r="M22" s="25">
        <f>IF(A22="","",INDEX(Model!$C$69:$DR$69,1,19))</f>
        <v/>
      </c>
      <c r="N22" s="25">
        <f>IF(A22="","",INDEX(Model!$C$70:$DR$70,1,19))</f>
        <v/>
      </c>
      <c r="O22" s="25">
        <f>IF(A22="","",INDEX(Model!$C$74:$DR$74,1,19))</f>
        <v/>
      </c>
      <c r="P22" s="25">
        <f>IF(A22="","",INDEX(Model!$C$75:$DR$75,1,19))</f>
        <v/>
      </c>
      <c r="Q22" s="25">
        <f>IF(A22="","",INDEX(Model!$C$76:$DR$76,1,19))</f>
        <v/>
      </c>
      <c r="R22" s="25">
        <f>IF(A22="","",INDEX(Model!$C$63:$DR$63,1,19))</f>
        <v/>
      </c>
      <c r="S22" s="25">
        <f>IF(A22="","",INDEX(Model!$C$77:$DR$77,1,19))</f>
        <v/>
      </c>
      <c r="T22" s="25">
        <f>IF(A22="","",INDEX(Model!$C$78:$DR$78,1,19))</f>
        <v/>
      </c>
      <c r="U22" s="25">
        <f>IF(A22="","",INDEX(Model!$C$79:$DR$79,1,19))</f>
        <v/>
      </c>
      <c r="V22" s="25">
        <f>IF(A22="","",INDEX(Model!$C$64:$DR$64,1,19))</f>
        <v/>
      </c>
      <c r="W22" s="25">
        <f>IF(A22="","",INDEX(Model!$C$71:$DR$71,1,19))</f>
        <v/>
      </c>
      <c r="X22" s="25">
        <f>IF(A22="","",INDEX(Model!$C$72:$DR$72,1,19))</f>
        <v/>
      </c>
      <c r="Y22" s="25">
        <f>IF(A22="","",INDEX(Model!$C$73:$DR$73,1,19))</f>
        <v/>
      </c>
    </row>
    <row r="23">
      <c r="A23">
        <f>IF(20&lt;=Effective!$B$7,20,"")</f>
        <v/>
      </c>
      <c r="B23">
        <f>IF(A23="","",INDEX(Model!$C$1:$DR$1,1,20))</f>
        <v/>
      </c>
      <c r="C23">
        <f>IF(A23="","",INDEX(Model!$C$7:$DR$7,1,20))</f>
        <v/>
      </c>
      <c r="D23">
        <f>IF(A23="","",INDEX(Model!$C$8:$DR$8,1,20))</f>
        <v/>
      </c>
      <c r="E23" s="25">
        <f>IF(A23="","",INDEX(Model!$C$18:$DR$18,1,20))</f>
        <v/>
      </c>
      <c r="F23" s="25">
        <f>IF(A23="","",INDEX(Model!$C$27:$DR$27,1,20))</f>
        <v/>
      </c>
      <c r="G23" s="25">
        <f>IF(A23="","",INDEX(Model!$C$28:$DR$28,1,20))</f>
        <v/>
      </c>
      <c r="H23" s="25">
        <f>IF(A23="","",INDEX(Model!$C$44:$DR$44,1,20))</f>
        <v/>
      </c>
      <c r="I23" s="25">
        <f>IF(A23="","",INDEX(Model!$C$45:$DR$45,1,20))</f>
        <v/>
      </c>
      <c r="J23" s="25">
        <f>IF(A23="","",INDEX(Model!$C$46:$DR$46,1,20))</f>
        <v/>
      </c>
      <c r="K23" s="25">
        <f>IF(A23="","",INDEX(Model!$C$62:$DR$62,1,20))</f>
        <v/>
      </c>
      <c r="L23" s="25">
        <f>IF(A23="","",INDEX(Model!$C$65:$DR$65,1,20))</f>
        <v/>
      </c>
      <c r="M23" s="25">
        <f>IF(A23="","",INDEX(Model!$C$69:$DR$69,1,20))</f>
        <v/>
      </c>
      <c r="N23" s="25">
        <f>IF(A23="","",INDEX(Model!$C$70:$DR$70,1,20))</f>
        <v/>
      </c>
      <c r="O23" s="25">
        <f>IF(A23="","",INDEX(Model!$C$74:$DR$74,1,20))</f>
        <v/>
      </c>
      <c r="P23" s="25">
        <f>IF(A23="","",INDEX(Model!$C$75:$DR$75,1,20))</f>
        <v/>
      </c>
      <c r="Q23" s="25">
        <f>IF(A23="","",INDEX(Model!$C$76:$DR$76,1,20))</f>
        <v/>
      </c>
      <c r="R23" s="25">
        <f>IF(A23="","",INDEX(Model!$C$63:$DR$63,1,20))</f>
        <v/>
      </c>
      <c r="S23" s="25">
        <f>IF(A23="","",INDEX(Model!$C$77:$DR$77,1,20))</f>
        <v/>
      </c>
      <c r="T23" s="25">
        <f>IF(A23="","",INDEX(Model!$C$78:$DR$78,1,20))</f>
        <v/>
      </c>
      <c r="U23" s="25">
        <f>IF(A23="","",INDEX(Model!$C$79:$DR$79,1,20))</f>
        <v/>
      </c>
      <c r="V23" s="25">
        <f>IF(A23="","",INDEX(Model!$C$64:$DR$64,1,20))</f>
        <v/>
      </c>
      <c r="W23" s="25">
        <f>IF(A23="","",INDEX(Model!$C$71:$DR$71,1,20))</f>
        <v/>
      </c>
      <c r="X23" s="25">
        <f>IF(A23="","",INDEX(Model!$C$72:$DR$72,1,20))</f>
        <v/>
      </c>
      <c r="Y23" s="25">
        <f>IF(A23="","",INDEX(Model!$C$73:$DR$73,1,20))</f>
        <v/>
      </c>
    </row>
    <row r="24">
      <c r="A24">
        <f>IF(21&lt;=Effective!$B$7,21,"")</f>
        <v/>
      </c>
      <c r="B24">
        <f>IF(A24="","",INDEX(Model!$C$1:$DR$1,1,21))</f>
        <v/>
      </c>
      <c r="C24">
        <f>IF(A24="","",INDEX(Model!$C$7:$DR$7,1,21))</f>
        <v/>
      </c>
      <c r="D24">
        <f>IF(A24="","",INDEX(Model!$C$8:$DR$8,1,21))</f>
        <v/>
      </c>
      <c r="E24" s="25">
        <f>IF(A24="","",INDEX(Model!$C$18:$DR$18,1,21))</f>
        <v/>
      </c>
      <c r="F24" s="25">
        <f>IF(A24="","",INDEX(Model!$C$27:$DR$27,1,21))</f>
        <v/>
      </c>
      <c r="G24" s="25">
        <f>IF(A24="","",INDEX(Model!$C$28:$DR$28,1,21))</f>
        <v/>
      </c>
      <c r="H24" s="25">
        <f>IF(A24="","",INDEX(Model!$C$44:$DR$44,1,21))</f>
        <v/>
      </c>
      <c r="I24" s="25">
        <f>IF(A24="","",INDEX(Model!$C$45:$DR$45,1,21))</f>
        <v/>
      </c>
      <c r="J24" s="25">
        <f>IF(A24="","",INDEX(Model!$C$46:$DR$46,1,21))</f>
        <v/>
      </c>
      <c r="K24" s="25">
        <f>IF(A24="","",INDEX(Model!$C$62:$DR$62,1,21))</f>
        <v/>
      </c>
      <c r="L24" s="25">
        <f>IF(A24="","",INDEX(Model!$C$65:$DR$65,1,21))</f>
        <v/>
      </c>
      <c r="M24" s="25">
        <f>IF(A24="","",INDEX(Model!$C$69:$DR$69,1,21))</f>
        <v/>
      </c>
      <c r="N24" s="25">
        <f>IF(A24="","",INDEX(Model!$C$70:$DR$70,1,21))</f>
        <v/>
      </c>
      <c r="O24" s="25">
        <f>IF(A24="","",INDEX(Model!$C$74:$DR$74,1,21))</f>
        <v/>
      </c>
      <c r="P24" s="25">
        <f>IF(A24="","",INDEX(Model!$C$75:$DR$75,1,21))</f>
        <v/>
      </c>
      <c r="Q24" s="25">
        <f>IF(A24="","",INDEX(Model!$C$76:$DR$76,1,21))</f>
        <v/>
      </c>
      <c r="R24" s="25">
        <f>IF(A24="","",INDEX(Model!$C$63:$DR$63,1,21))</f>
        <v/>
      </c>
      <c r="S24" s="25">
        <f>IF(A24="","",INDEX(Model!$C$77:$DR$77,1,21))</f>
        <v/>
      </c>
      <c r="T24" s="25">
        <f>IF(A24="","",INDEX(Model!$C$78:$DR$78,1,21))</f>
        <v/>
      </c>
      <c r="U24" s="25">
        <f>IF(A24="","",INDEX(Model!$C$79:$DR$79,1,21))</f>
        <v/>
      </c>
      <c r="V24" s="25">
        <f>IF(A24="","",INDEX(Model!$C$64:$DR$64,1,21))</f>
        <v/>
      </c>
      <c r="W24" s="25">
        <f>IF(A24="","",INDEX(Model!$C$71:$DR$71,1,21))</f>
        <v/>
      </c>
      <c r="X24" s="25">
        <f>IF(A24="","",INDEX(Model!$C$72:$DR$72,1,21))</f>
        <v/>
      </c>
      <c r="Y24" s="25">
        <f>IF(A24="","",INDEX(Model!$C$73:$DR$73,1,21))</f>
        <v/>
      </c>
    </row>
    <row r="25">
      <c r="A25">
        <f>IF(22&lt;=Effective!$B$7,22,"")</f>
        <v/>
      </c>
      <c r="B25">
        <f>IF(A25="","",INDEX(Model!$C$1:$DR$1,1,22))</f>
        <v/>
      </c>
      <c r="C25">
        <f>IF(A25="","",INDEX(Model!$C$7:$DR$7,1,22))</f>
        <v/>
      </c>
      <c r="D25">
        <f>IF(A25="","",INDEX(Model!$C$8:$DR$8,1,22))</f>
        <v/>
      </c>
      <c r="E25" s="25">
        <f>IF(A25="","",INDEX(Model!$C$18:$DR$18,1,22))</f>
        <v/>
      </c>
      <c r="F25" s="25">
        <f>IF(A25="","",INDEX(Model!$C$27:$DR$27,1,22))</f>
        <v/>
      </c>
      <c r="G25" s="25">
        <f>IF(A25="","",INDEX(Model!$C$28:$DR$28,1,22))</f>
        <v/>
      </c>
      <c r="H25" s="25">
        <f>IF(A25="","",INDEX(Model!$C$44:$DR$44,1,22))</f>
        <v/>
      </c>
      <c r="I25" s="25">
        <f>IF(A25="","",INDEX(Model!$C$45:$DR$45,1,22))</f>
        <v/>
      </c>
      <c r="J25" s="25">
        <f>IF(A25="","",INDEX(Model!$C$46:$DR$46,1,22))</f>
        <v/>
      </c>
      <c r="K25" s="25">
        <f>IF(A25="","",INDEX(Model!$C$62:$DR$62,1,22))</f>
        <v/>
      </c>
      <c r="L25" s="25">
        <f>IF(A25="","",INDEX(Model!$C$65:$DR$65,1,22))</f>
        <v/>
      </c>
      <c r="M25" s="25">
        <f>IF(A25="","",INDEX(Model!$C$69:$DR$69,1,22))</f>
        <v/>
      </c>
      <c r="N25" s="25">
        <f>IF(A25="","",INDEX(Model!$C$70:$DR$70,1,22))</f>
        <v/>
      </c>
      <c r="O25" s="25">
        <f>IF(A25="","",INDEX(Model!$C$74:$DR$74,1,22))</f>
        <v/>
      </c>
      <c r="P25" s="25">
        <f>IF(A25="","",INDEX(Model!$C$75:$DR$75,1,22))</f>
        <v/>
      </c>
      <c r="Q25" s="25">
        <f>IF(A25="","",INDEX(Model!$C$76:$DR$76,1,22))</f>
        <v/>
      </c>
      <c r="R25" s="25">
        <f>IF(A25="","",INDEX(Model!$C$63:$DR$63,1,22))</f>
        <v/>
      </c>
      <c r="S25" s="25">
        <f>IF(A25="","",INDEX(Model!$C$77:$DR$77,1,22))</f>
        <v/>
      </c>
      <c r="T25" s="25">
        <f>IF(A25="","",INDEX(Model!$C$78:$DR$78,1,22))</f>
        <v/>
      </c>
      <c r="U25" s="25">
        <f>IF(A25="","",INDEX(Model!$C$79:$DR$79,1,22))</f>
        <v/>
      </c>
      <c r="V25" s="25">
        <f>IF(A25="","",INDEX(Model!$C$64:$DR$64,1,22))</f>
        <v/>
      </c>
      <c r="W25" s="25">
        <f>IF(A25="","",INDEX(Model!$C$71:$DR$71,1,22))</f>
        <v/>
      </c>
      <c r="X25" s="25">
        <f>IF(A25="","",INDEX(Model!$C$72:$DR$72,1,22))</f>
        <v/>
      </c>
      <c r="Y25" s="25">
        <f>IF(A25="","",INDEX(Model!$C$73:$DR$73,1,22))</f>
        <v/>
      </c>
    </row>
    <row r="26">
      <c r="A26">
        <f>IF(23&lt;=Effective!$B$7,23,"")</f>
        <v/>
      </c>
      <c r="B26">
        <f>IF(A26="","",INDEX(Model!$C$1:$DR$1,1,23))</f>
        <v/>
      </c>
      <c r="C26">
        <f>IF(A26="","",INDEX(Model!$C$7:$DR$7,1,23))</f>
        <v/>
      </c>
      <c r="D26">
        <f>IF(A26="","",INDEX(Model!$C$8:$DR$8,1,23))</f>
        <v/>
      </c>
      <c r="E26" s="25">
        <f>IF(A26="","",INDEX(Model!$C$18:$DR$18,1,23))</f>
        <v/>
      </c>
      <c r="F26" s="25">
        <f>IF(A26="","",INDEX(Model!$C$27:$DR$27,1,23))</f>
        <v/>
      </c>
      <c r="G26" s="25">
        <f>IF(A26="","",INDEX(Model!$C$28:$DR$28,1,23))</f>
        <v/>
      </c>
      <c r="H26" s="25">
        <f>IF(A26="","",INDEX(Model!$C$44:$DR$44,1,23))</f>
        <v/>
      </c>
      <c r="I26" s="25">
        <f>IF(A26="","",INDEX(Model!$C$45:$DR$45,1,23))</f>
        <v/>
      </c>
      <c r="J26" s="25">
        <f>IF(A26="","",INDEX(Model!$C$46:$DR$46,1,23))</f>
        <v/>
      </c>
      <c r="K26" s="25">
        <f>IF(A26="","",INDEX(Model!$C$62:$DR$62,1,23))</f>
        <v/>
      </c>
      <c r="L26" s="25">
        <f>IF(A26="","",INDEX(Model!$C$65:$DR$65,1,23))</f>
        <v/>
      </c>
      <c r="M26" s="25">
        <f>IF(A26="","",INDEX(Model!$C$69:$DR$69,1,23))</f>
        <v/>
      </c>
      <c r="N26" s="25">
        <f>IF(A26="","",INDEX(Model!$C$70:$DR$70,1,23))</f>
        <v/>
      </c>
      <c r="O26" s="25">
        <f>IF(A26="","",INDEX(Model!$C$74:$DR$74,1,23))</f>
        <v/>
      </c>
      <c r="P26" s="25">
        <f>IF(A26="","",INDEX(Model!$C$75:$DR$75,1,23))</f>
        <v/>
      </c>
      <c r="Q26" s="25">
        <f>IF(A26="","",INDEX(Model!$C$76:$DR$76,1,23))</f>
        <v/>
      </c>
      <c r="R26" s="25">
        <f>IF(A26="","",INDEX(Model!$C$63:$DR$63,1,23))</f>
        <v/>
      </c>
      <c r="S26" s="25">
        <f>IF(A26="","",INDEX(Model!$C$77:$DR$77,1,23))</f>
        <v/>
      </c>
      <c r="T26" s="25">
        <f>IF(A26="","",INDEX(Model!$C$78:$DR$78,1,23))</f>
        <v/>
      </c>
      <c r="U26" s="25">
        <f>IF(A26="","",INDEX(Model!$C$79:$DR$79,1,23))</f>
        <v/>
      </c>
      <c r="V26" s="25">
        <f>IF(A26="","",INDEX(Model!$C$64:$DR$64,1,23))</f>
        <v/>
      </c>
      <c r="W26" s="25">
        <f>IF(A26="","",INDEX(Model!$C$71:$DR$71,1,23))</f>
        <v/>
      </c>
      <c r="X26" s="25">
        <f>IF(A26="","",INDEX(Model!$C$72:$DR$72,1,23))</f>
        <v/>
      </c>
      <c r="Y26" s="25">
        <f>IF(A26="","",INDEX(Model!$C$73:$DR$73,1,23))</f>
        <v/>
      </c>
    </row>
    <row r="27">
      <c r="A27">
        <f>IF(24&lt;=Effective!$B$7,24,"")</f>
        <v/>
      </c>
      <c r="B27">
        <f>IF(A27="","",INDEX(Model!$C$1:$DR$1,1,24))</f>
        <v/>
      </c>
      <c r="C27">
        <f>IF(A27="","",INDEX(Model!$C$7:$DR$7,1,24))</f>
        <v/>
      </c>
      <c r="D27">
        <f>IF(A27="","",INDEX(Model!$C$8:$DR$8,1,24))</f>
        <v/>
      </c>
      <c r="E27" s="25">
        <f>IF(A27="","",INDEX(Model!$C$18:$DR$18,1,24))</f>
        <v/>
      </c>
      <c r="F27" s="25">
        <f>IF(A27="","",INDEX(Model!$C$27:$DR$27,1,24))</f>
        <v/>
      </c>
      <c r="G27" s="25">
        <f>IF(A27="","",INDEX(Model!$C$28:$DR$28,1,24))</f>
        <v/>
      </c>
      <c r="H27" s="25">
        <f>IF(A27="","",INDEX(Model!$C$44:$DR$44,1,24))</f>
        <v/>
      </c>
      <c r="I27" s="25">
        <f>IF(A27="","",INDEX(Model!$C$45:$DR$45,1,24))</f>
        <v/>
      </c>
      <c r="J27" s="25">
        <f>IF(A27="","",INDEX(Model!$C$46:$DR$46,1,24))</f>
        <v/>
      </c>
      <c r="K27" s="25">
        <f>IF(A27="","",INDEX(Model!$C$62:$DR$62,1,24))</f>
        <v/>
      </c>
      <c r="L27" s="25">
        <f>IF(A27="","",INDEX(Model!$C$65:$DR$65,1,24))</f>
        <v/>
      </c>
      <c r="M27" s="25">
        <f>IF(A27="","",INDEX(Model!$C$69:$DR$69,1,24))</f>
        <v/>
      </c>
      <c r="N27" s="25">
        <f>IF(A27="","",INDEX(Model!$C$70:$DR$70,1,24))</f>
        <v/>
      </c>
      <c r="O27" s="25">
        <f>IF(A27="","",INDEX(Model!$C$74:$DR$74,1,24))</f>
        <v/>
      </c>
      <c r="P27" s="25">
        <f>IF(A27="","",INDEX(Model!$C$75:$DR$75,1,24))</f>
        <v/>
      </c>
      <c r="Q27" s="25">
        <f>IF(A27="","",INDEX(Model!$C$76:$DR$76,1,24))</f>
        <v/>
      </c>
      <c r="R27" s="25">
        <f>IF(A27="","",INDEX(Model!$C$63:$DR$63,1,24))</f>
        <v/>
      </c>
      <c r="S27" s="25">
        <f>IF(A27="","",INDEX(Model!$C$77:$DR$77,1,24))</f>
        <v/>
      </c>
      <c r="T27" s="25">
        <f>IF(A27="","",INDEX(Model!$C$78:$DR$78,1,24))</f>
        <v/>
      </c>
      <c r="U27" s="25">
        <f>IF(A27="","",INDEX(Model!$C$79:$DR$79,1,24))</f>
        <v/>
      </c>
      <c r="V27" s="25">
        <f>IF(A27="","",INDEX(Model!$C$64:$DR$64,1,24))</f>
        <v/>
      </c>
      <c r="W27" s="25">
        <f>IF(A27="","",INDEX(Model!$C$71:$DR$71,1,24))</f>
        <v/>
      </c>
      <c r="X27" s="25">
        <f>IF(A27="","",INDEX(Model!$C$72:$DR$72,1,24))</f>
        <v/>
      </c>
      <c r="Y27" s="25">
        <f>IF(A27="","",INDEX(Model!$C$73:$DR$73,1,24))</f>
        <v/>
      </c>
    </row>
    <row r="28">
      <c r="A28">
        <f>IF(25&lt;=Effective!$B$7,25,"")</f>
        <v/>
      </c>
      <c r="B28">
        <f>IF(A28="","",INDEX(Model!$C$1:$DR$1,1,25))</f>
        <v/>
      </c>
      <c r="C28">
        <f>IF(A28="","",INDEX(Model!$C$7:$DR$7,1,25))</f>
        <v/>
      </c>
      <c r="D28">
        <f>IF(A28="","",INDEX(Model!$C$8:$DR$8,1,25))</f>
        <v/>
      </c>
      <c r="E28" s="25">
        <f>IF(A28="","",INDEX(Model!$C$18:$DR$18,1,25))</f>
        <v/>
      </c>
      <c r="F28" s="25">
        <f>IF(A28="","",INDEX(Model!$C$27:$DR$27,1,25))</f>
        <v/>
      </c>
      <c r="G28" s="25">
        <f>IF(A28="","",INDEX(Model!$C$28:$DR$28,1,25))</f>
        <v/>
      </c>
      <c r="H28" s="25">
        <f>IF(A28="","",INDEX(Model!$C$44:$DR$44,1,25))</f>
        <v/>
      </c>
      <c r="I28" s="25">
        <f>IF(A28="","",INDEX(Model!$C$45:$DR$45,1,25))</f>
        <v/>
      </c>
      <c r="J28" s="25">
        <f>IF(A28="","",INDEX(Model!$C$46:$DR$46,1,25))</f>
        <v/>
      </c>
      <c r="K28" s="25">
        <f>IF(A28="","",INDEX(Model!$C$62:$DR$62,1,25))</f>
        <v/>
      </c>
      <c r="L28" s="25">
        <f>IF(A28="","",INDEX(Model!$C$65:$DR$65,1,25))</f>
        <v/>
      </c>
      <c r="M28" s="25">
        <f>IF(A28="","",INDEX(Model!$C$69:$DR$69,1,25))</f>
        <v/>
      </c>
      <c r="N28" s="25">
        <f>IF(A28="","",INDEX(Model!$C$70:$DR$70,1,25))</f>
        <v/>
      </c>
      <c r="O28" s="25">
        <f>IF(A28="","",INDEX(Model!$C$74:$DR$74,1,25))</f>
        <v/>
      </c>
      <c r="P28" s="25">
        <f>IF(A28="","",INDEX(Model!$C$75:$DR$75,1,25))</f>
        <v/>
      </c>
      <c r="Q28" s="25">
        <f>IF(A28="","",INDEX(Model!$C$76:$DR$76,1,25))</f>
        <v/>
      </c>
      <c r="R28" s="25">
        <f>IF(A28="","",INDEX(Model!$C$63:$DR$63,1,25))</f>
        <v/>
      </c>
      <c r="S28" s="25">
        <f>IF(A28="","",INDEX(Model!$C$77:$DR$77,1,25))</f>
        <v/>
      </c>
      <c r="T28" s="25">
        <f>IF(A28="","",INDEX(Model!$C$78:$DR$78,1,25))</f>
        <v/>
      </c>
      <c r="U28" s="25">
        <f>IF(A28="","",INDEX(Model!$C$79:$DR$79,1,25))</f>
        <v/>
      </c>
      <c r="V28" s="25">
        <f>IF(A28="","",INDEX(Model!$C$64:$DR$64,1,25))</f>
        <v/>
      </c>
      <c r="W28" s="25">
        <f>IF(A28="","",INDEX(Model!$C$71:$DR$71,1,25))</f>
        <v/>
      </c>
      <c r="X28" s="25">
        <f>IF(A28="","",INDEX(Model!$C$72:$DR$72,1,25))</f>
        <v/>
      </c>
      <c r="Y28" s="25">
        <f>IF(A28="","",INDEX(Model!$C$73:$DR$73,1,25))</f>
        <v/>
      </c>
    </row>
    <row r="29">
      <c r="A29">
        <f>IF(26&lt;=Effective!$B$7,26,"")</f>
        <v/>
      </c>
      <c r="B29">
        <f>IF(A29="","",INDEX(Model!$C$1:$DR$1,1,26))</f>
        <v/>
      </c>
      <c r="C29">
        <f>IF(A29="","",INDEX(Model!$C$7:$DR$7,1,26))</f>
        <v/>
      </c>
      <c r="D29">
        <f>IF(A29="","",INDEX(Model!$C$8:$DR$8,1,26))</f>
        <v/>
      </c>
      <c r="E29" s="25">
        <f>IF(A29="","",INDEX(Model!$C$18:$DR$18,1,26))</f>
        <v/>
      </c>
      <c r="F29" s="25">
        <f>IF(A29="","",INDEX(Model!$C$27:$DR$27,1,26))</f>
        <v/>
      </c>
      <c r="G29" s="25">
        <f>IF(A29="","",INDEX(Model!$C$28:$DR$28,1,26))</f>
        <v/>
      </c>
      <c r="H29" s="25">
        <f>IF(A29="","",INDEX(Model!$C$44:$DR$44,1,26))</f>
        <v/>
      </c>
      <c r="I29" s="25">
        <f>IF(A29="","",INDEX(Model!$C$45:$DR$45,1,26))</f>
        <v/>
      </c>
      <c r="J29" s="25">
        <f>IF(A29="","",INDEX(Model!$C$46:$DR$46,1,26))</f>
        <v/>
      </c>
      <c r="K29" s="25">
        <f>IF(A29="","",INDEX(Model!$C$62:$DR$62,1,26))</f>
        <v/>
      </c>
      <c r="L29" s="25">
        <f>IF(A29="","",INDEX(Model!$C$65:$DR$65,1,26))</f>
        <v/>
      </c>
      <c r="M29" s="25">
        <f>IF(A29="","",INDEX(Model!$C$69:$DR$69,1,26))</f>
        <v/>
      </c>
      <c r="N29" s="25">
        <f>IF(A29="","",INDEX(Model!$C$70:$DR$70,1,26))</f>
        <v/>
      </c>
      <c r="O29" s="25">
        <f>IF(A29="","",INDEX(Model!$C$74:$DR$74,1,26))</f>
        <v/>
      </c>
      <c r="P29" s="25">
        <f>IF(A29="","",INDEX(Model!$C$75:$DR$75,1,26))</f>
        <v/>
      </c>
      <c r="Q29" s="25">
        <f>IF(A29="","",INDEX(Model!$C$76:$DR$76,1,26))</f>
        <v/>
      </c>
      <c r="R29" s="25">
        <f>IF(A29="","",INDEX(Model!$C$63:$DR$63,1,26))</f>
        <v/>
      </c>
      <c r="S29" s="25">
        <f>IF(A29="","",INDEX(Model!$C$77:$DR$77,1,26))</f>
        <v/>
      </c>
      <c r="T29" s="25">
        <f>IF(A29="","",INDEX(Model!$C$78:$DR$78,1,26))</f>
        <v/>
      </c>
      <c r="U29" s="25">
        <f>IF(A29="","",INDEX(Model!$C$79:$DR$79,1,26))</f>
        <v/>
      </c>
      <c r="V29" s="25">
        <f>IF(A29="","",INDEX(Model!$C$64:$DR$64,1,26))</f>
        <v/>
      </c>
      <c r="W29" s="25">
        <f>IF(A29="","",INDEX(Model!$C$71:$DR$71,1,26))</f>
        <v/>
      </c>
      <c r="X29" s="25">
        <f>IF(A29="","",INDEX(Model!$C$72:$DR$72,1,26))</f>
        <v/>
      </c>
      <c r="Y29" s="25">
        <f>IF(A29="","",INDEX(Model!$C$73:$DR$73,1,26))</f>
        <v/>
      </c>
    </row>
    <row r="30">
      <c r="A30">
        <f>IF(27&lt;=Effective!$B$7,27,"")</f>
        <v/>
      </c>
      <c r="B30">
        <f>IF(A30="","",INDEX(Model!$C$1:$DR$1,1,27))</f>
        <v/>
      </c>
      <c r="C30">
        <f>IF(A30="","",INDEX(Model!$C$7:$DR$7,1,27))</f>
        <v/>
      </c>
      <c r="D30">
        <f>IF(A30="","",INDEX(Model!$C$8:$DR$8,1,27))</f>
        <v/>
      </c>
      <c r="E30" s="25">
        <f>IF(A30="","",INDEX(Model!$C$18:$DR$18,1,27))</f>
        <v/>
      </c>
      <c r="F30" s="25">
        <f>IF(A30="","",INDEX(Model!$C$27:$DR$27,1,27))</f>
        <v/>
      </c>
      <c r="G30" s="25">
        <f>IF(A30="","",INDEX(Model!$C$28:$DR$28,1,27))</f>
        <v/>
      </c>
      <c r="H30" s="25">
        <f>IF(A30="","",INDEX(Model!$C$44:$DR$44,1,27))</f>
        <v/>
      </c>
      <c r="I30" s="25">
        <f>IF(A30="","",INDEX(Model!$C$45:$DR$45,1,27))</f>
        <v/>
      </c>
      <c r="J30" s="25">
        <f>IF(A30="","",INDEX(Model!$C$46:$DR$46,1,27))</f>
        <v/>
      </c>
      <c r="K30" s="25">
        <f>IF(A30="","",INDEX(Model!$C$62:$DR$62,1,27))</f>
        <v/>
      </c>
      <c r="L30" s="25">
        <f>IF(A30="","",INDEX(Model!$C$65:$DR$65,1,27))</f>
        <v/>
      </c>
      <c r="M30" s="25">
        <f>IF(A30="","",INDEX(Model!$C$69:$DR$69,1,27))</f>
        <v/>
      </c>
      <c r="N30" s="25">
        <f>IF(A30="","",INDEX(Model!$C$70:$DR$70,1,27))</f>
        <v/>
      </c>
      <c r="O30" s="25">
        <f>IF(A30="","",INDEX(Model!$C$74:$DR$74,1,27))</f>
        <v/>
      </c>
      <c r="P30" s="25">
        <f>IF(A30="","",INDEX(Model!$C$75:$DR$75,1,27))</f>
        <v/>
      </c>
      <c r="Q30" s="25">
        <f>IF(A30="","",INDEX(Model!$C$76:$DR$76,1,27))</f>
        <v/>
      </c>
      <c r="R30" s="25">
        <f>IF(A30="","",INDEX(Model!$C$63:$DR$63,1,27))</f>
        <v/>
      </c>
      <c r="S30" s="25">
        <f>IF(A30="","",INDEX(Model!$C$77:$DR$77,1,27))</f>
        <v/>
      </c>
      <c r="T30" s="25">
        <f>IF(A30="","",INDEX(Model!$C$78:$DR$78,1,27))</f>
        <v/>
      </c>
      <c r="U30" s="25">
        <f>IF(A30="","",INDEX(Model!$C$79:$DR$79,1,27))</f>
        <v/>
      </c>
      <c r="V30" s="25">
        <f>IF(A30="","",INDEX(Model!$C$64:$DR$64,1,27))</f>
        <v/>
      </c>
      <c r="W30" s="25">
        <f>IF(A30="","",INDEX(Model!$C$71:$DR$71,1,27))</f>
        <v/>
      </c>
      <c r="X30" s="25">
        <f>IF(A30="","",INDEX(Model!$C$72:$DR$72,1,27))</f>
        <v/>
      </c>
      <c r="Y30" s="25">
        <f>IF(A30="","",INDEX(Model!$C$73:$DR$73,1,27))</f>
        <v/>
      </c>
    </row>
    <row r="31">
      <c r="A31">
        <f>IF(28&lt;=Effective!$B$7,28,"")</f>
        <v/>
      </c>
      <c r="B31">
        <f>IF(A31="","",INDEX(Model!$C$1:$DR$1,1,28))</f>
        <v/>
      </c>
      <c r="C31">
        <f>IF(A31="","",INDEX(Model!$C$7:$DR$7,1,28))</f>
        <v/>
      </c>
      <c r="D31">
        <f>IF(A31="","",INDEX(Model!$C$8:$DR$8,1,28))</f>
        <v/>
      </c>
      <c r="E31" s="25">
        <f>IF(A31="","",INDEX(Model!$C$18:$DR$18,1,28))</f>
        <v/>
      </c>
      <c r="F31" s="25">
        <f>IF(A31="","",INDEX(Model!$C$27:$DR$27,1,28))</f>
        <v/>
      </c>
      <c r="G31" s="25">
        <f>IF(A31="","",INDEX(Model!$C$28:$DR$28,1,28))</f>
        <v/>
      </c>
      <c r="H31" s="25">
        <f>IF(A31="","",INDEX(Model!$C$44:$DR$44,1,28))</f>
        <v/>
      </c>
      <c r="I31" s="25">
        <f>IF(A31="","",INDEX(Model!$C$45:$DR$45,1,28))</f>
        <v/>
      </c>
      <c r="J31" s="25">
        <f>IF(A31="","",INDEX(Model!$C$46:$DR$46,1,28))</f>
        <v/>
      </c>
      <c r="K31" s="25">
        <f>IF(A31="","",INDEX(Model!$C$62:$DR$62,1,28))</f>
        <v/>
      </c>
      <c r="L31" s="25">
        <f>IF(A31="","",INDEX(Model!$C$65:$DR$65,1,28))</f>
        <v/>
      </c>
      <c r="M31" s="25">
        <f>IF(A31="","",INDEX(Model!$C$69:$DR$69,1,28))</f>
        <v/>
      </c>
      <c r="N31" s="25">
        <f>IF(A31="","",INDEX(Model!$C$70:$DR$70,1,28))</f>
        <v/>
      </c>
      <c r="O31" s="25">
        <f>IF(A31="","",INDEX(Model!$C$74:$DR$74,1,28))</f>
        <v/>
      </c>
      <c r="P31" s="25">
        <f>IF(A31="","",INDEX(Model!$C$75:$DR$75,1,28))</f>
        <v/>
      </c>
      <c r="Q31" s="25">
        <f>IF(A31="","",INDEX(Model!$C$76:$DR$76,1,28))</f>
        <v/>
      </c>
      <c r="R31" s="25">
        <f>IF(A31="","",INDEX(Model!$C$63:$DR$63,1,28))</f>
        <v/>
      </c>
      <c r="S31" s="25">
        <f>IF(A31="","",INDEX(Model!$C$77:$DR$77,1,28))</f>
        <v/>
      </c>
      <c r="T31" s="25">
        <f>IF(A31="","",INDEX(Model!$C$78:$DR$78,1,28))</f>
        <v/>
      </c>
      <c r="U31" s="25">
        <f>IF(A31="","",INDEX(Model!$C$79:$DR$79,1,28))</f>
        <v/>
      </c>
      <c r="V31" s="25">
        <f>IF(A31="","",INDEX(Model!$C$64:$DR$64,1,28))</f>
        <v/>
      </c>
      <c r="W31" s="25">
        <f>IF(A31="","",INDEX(Model!$C$71:$DR$71,1,28))</f>
        <v/>
      </c>
      <c r="X31" s="25">
        <f>IF(A31="","",INDEX(Model!$C$72:$DR$72,1,28))</f>
        <v/>
      </c>
      <c r="Y31" s="25">
        <f>IF(A31="","",INDEX(Model!$C$73:$DR$73,1,28))</f>
        <v/>
      </c>
    </row>
    <row r="32">
      <c r="A32">
        <f>IF(29&lt;=Effective!$B$7,29,"")</f>
        <v/>
      </c>
      <c r="B32">
        <f>IF(A32="","",INDEX(Model!$C$1:$DR$1,1,29))</f>
        <v/>
      </c>
      <c r="C32">
        <f>IF(A32="","",INDEX(Model!$C$7:$DR$7,1,29))</f>
        <v/>
      </c>
      <c r="D32">
        <f>IF(A32="","",INDEX(Model!$C$8:$DR$8,1,29))</f>
        <v/>
      </c>
      <c r="E32" s="25">
        <f>IF(A32="","",INDEX(Model!$C$18:$DR$18,1,29))</f>
        <v/>
      </c>
      <c r="F32" s="25">
        <f>IF(A32="","",INDEX(Model!$C$27:$DR$27,1,29))</f>
        <v/>
      </c>
      <c r="G32" s="25">
        <f>IF(A32="","",INDEX(Model!$C$28:$DR$28,1,29))</f>
        <v/>
      </c>
      <c r="H32" s="25">
        <f>IF(A32="","",INDEX(Model!$C$44:$DR$44,1,29))</f>
        <v/>
      </c>
      <c r="I32" s="25">
        <f>IF(A32="","",INDEX(Model!$C$45:$DR$45,1,29))</f>
        <v/>
      </c>
      <c r="J32" s="25">
        <f>IF(A32="","",INDEX(Model!$C$46:$DR$46,1,29))</f>
        <v/>
      </c>
      <c r="K32" s="25">
        <f>IF(A32="","",INDEX(Model!$C$62:$DR$62,1,29))</f>
        <v/>
      </c>
      <c r="L32" s="25">
        <f>IF(A32="","",INDEX(Model!$C$65:$DR$65,1,29))</f>
        <v/>
      </c>
      <c r="M32" s="25">
        <f>IF(A32="","",INDEX(Model!$C$69:$DR$69,1,29))</f>
        <v/>
      </c>
      <c r="N32" s="25">
        <f>IF(A32="","",INDEX(Model!$C$70:$DR$70,1,29))</f>
        <v/>
      </c>
      <c r="O32" s="25">
        <f>IF(A32="","",INDEX(Model!$C$74:$DR$74,1,29))</f>
        <v/>
      </c>
      <c r="P32" s="25">
        <f>IF(A32="","",INDEX(Model!$C$75:$DR$75,1,29))</f>
        <v/>
      </c>
      <c r="Q32" s="25">
        <f>IF(A32="","",INDEX(Model!$C$76:$DR$76,1,29))</f>
        <v/>
      </c>
      <c r="R32" s="25">
        <f>IF(A32="","",INDEX(Model!$C$63:$DR$63,1,29))</f>
        <v/>
      </c>
      <c r="S32" s="25">
        <f>IF(A32="","",INDEX(Model!$C$77:$DR$77,1,29))</f>
        <v/>
      </c>
      <c r="T32" s="25">
        <f>IF(A32="","",INDEX(Model!$C$78:$DR$78,1,29))</f>
        <v/>
      </c>
      <c r="U32" s="25">
        <f>IF(A32="","",INDEX(Model!$C$79:$DR$79,1,29))</f>
        <v/>
      </c>
      <c r="V32" s="25">
        <f>IF(A32="","",INDEX(Model!$C$64:$DR$64,1,29))</f>
        <v/>
      </c>
      <c r="W32" s="25">
        <f>IF(A32="","",INDEX(Model!$C$71:$DR$71,1,29))</f>
        <v/>
      </c>
      <c r="X32" s="25">
        <f>IF(A32="","",INDEX(Model!$C$72:$DR$72,1,29))</f>
        <v/>
      </c>
      <c r="Y32" s="25">
        <f>IF(A32="","",INDEX(Model!$C$73:$DR$73,1,29))</f>
        <v/>
      </c>
    </row>
    <row r="33">
      <c r="A33">
        <f>IF(30&lt;=Effective!$B$7,30,"")</f>
        <v/>
      </c>
      <c r="B33">
        <f>IF(A33="","",INDEX(Model!$C$1:$DR$1,1,30))</f>
        <v/>
      </c>
      <c r="C33">
        <f>IF(A33="","",INDEX(Model!$C$7:$DR$7,1,30))</f>
        <v/>
      </c>
      <c r="D33">
        <f>IF(A33="","",INDEX(Model!$C$8:$DR$8,1,30))</f>
        <v/>
      </c>
      <c r="E33" s="25">
        <f>IF(A33="","",INDEX(Model!$C$18:$DR$18,1,30))</f>
        <v/>
      </c>
      <c r="F33" s="25">
        <f>IF(A33="","",INDEX(Model!$C$27:$DR$27,1,30))</f>
        <v/>
      </c>
      <c r="G33" s="25">
        <f>IF(A33="","",INDEX(Model!$C$28:$DR$28,1,30))</f>
        <v/>
      </c>
      <c r="H33" s="25">
        <f>IF(A33="","",INDEX(Model!$C$44:$DR$44,1,30))</f>
        <v/>
      </c>
      <c r="I33" s="25">
        <f>IF(A33="","",INDEX(Model!$C$45:$DR$45,1,30))</f>
        <v/>
      </c>
      <c r="J33" s="25">
        <f>IF(A33="","",INDEX(Model!$C$46:$DR$46,1,30))</f>
        <v/>
      </c>
      <c r="K33" s="25">
        <f>IF(A33="","",INDEX(Model!$C$62:$DR$62,1,30))</f>
        <v/>
      </c>
      <c r="L33" s="25">
        <f>IF(A33="","",INDEX(Model!$C$65:$DR$65,1,30))</f>
        <v/>
      </c>
      <c r="M33" s="25">
        <f>IF(A33="","",INDEX(Model!$C$69:$DR$69,1,30))</f>
        <v/>
      </c>
      <c r="N33" s="25">
        <f>IF(A33="","",INDEX(Model!$C$70:$DR$70,1,30))</f>
        <v/>
      </c>
      <c r="O33" s="25">
        <f>IF(A33="","",INDEX(Model!$C$74:$DR$74,1,30))</f>
        <v/>
      </c>
      <c r="P33" s="25">
        <f>IF(A33="","",INDEX(Model!$C$75:$DR$75,1,30))</f>
        <v/>
      </c>
      <c r="Q33" s="25">
        <f>IF(A33="","",INDEX(Model!$C$76:$DR$76,1,30))</f>
        <v/>
      </c>
      <c r="R33" s="25">
        <f>IF(A33="","",INDEX(Model!$C$63:$DR$63,1,30))</f>
        <v/>
      </c>
      <c r="S33" s="25">
        <f>IF(A33="","",INDEX(Model!$C$77:$DR$77,1,30))</f>
        <v/>
      </c>
      <c r="T33" s="25">
        <f>IF(A33="","",INDEX(Model!$C$78:$DR$78,1,30))</f>
        <v/>
      </c>
      <c r="U33" s="25">
        <f>IF(A33="","",INDEX(Model!$C$79:$DR$79,1,30))</f>
        <v/>
      </c>
      <c r="V33" s="25">
        <f>IF(A33="","",INDEX(Model!$C$64:$DR$64,1,30))</f>
        <v/>
      </c>
      <c r="W33" s="25">
        <f>IF(A33="","",INDEX(Model!$C$71:$DR$71,1,30))</f>
        <v/>
      </c>
      <c r="X33" s="25">
        <f>IF(A33="","",INDEX(Model!$C$72:$DR$72,1,30))</f>
        <v/>
      </c>
      <c r="Y33" s="25">
        <f>IF(A33="","",INDEX(Model!$C$73:$DR$73,1,30))</f>
        <v/>
      </c>
    </row>
    <row r="34">
      <c r="A34">
        <f>IF(31&lt;=Effective!$B$7,31,"")</f>
        <v/>
      </c>
      <c r="B34">
        <f>IF(A34="","",INDEX(Model!$C$1:$DR$1,1,31))</f>
        <v/>
      </c>
      <c r="C34">
        <f>IF(A34="","",INDEX(Model!$C$7:$DR$7,1,31))</f>
        <v/>
      </c>
      <c r="D34">
        <f>IF(A34="","",INDEX(Model!$C$8:$DR$8,1,31))</f>
        <v/>
      </c>
      <c r="E34" s="25">
        <f>IF(A34="","",INDEX(Model!$C$18:$DR$18,1,31))</f>
        <v/>
      </c>
      <c r="F34" s="25">
        <f>IF(A34="","",INDEX(Model!$C$27:$DR$27,1,31))</f>
        <v/>
      </c>
      <c r="G34" s="25">
        <f>IF(A34="","",INDEX(Model!$C$28:$DR$28,1,31))</f>
        <v/>
      </c>
      <c r="H34" s="25">
        <f>IF(A34="","",INDEX(Model!$C$44:$DR$44,1,31))</f>
        <v/>
      </c>
      <c r="I34" s="25">
        <f>IF(A34="","",INDEX(Model!$C$45:$DR$45,1,31))</f>
        <v/>
      </c>
      <c r="J34" s="25">
        <f>IF(A34="","",INDEX(Model!$C$46:$DR$46,1,31))</f>
        <v/>
      </c>
      <c r="K34" s="25">
        <f>IF(A34="","",INDEX(Model!$C$62:$DR$62,1,31))</f>
        <v/>
      </c>
      <c r="L34" s="25">
        <f>IF(A34="","",INDEX(Model!$C$65:$DR$65,1,31))</f>
        <v/>
      </c>
      <c r="M34" s="25">
        <f>IF(A34="","",INDEX(Model!$C$69:$DR$69,1,31))</f>
        <v/>
      </c>
      <c r="N34" s="25">
        <f>IF(A34="","",INDEX(Model!$C$70:$DR$70,1,31))</f>
        <v/>
      </c>
      <c r="O34" s="25">
        <f>IF(A34="","",INDEX(Model!$C$74:$DR$74,1,31))</f>
        <v/>
      </c>
      <c r="P34" s="25">
        <f>IF(A34="","",INDEX(Model!$C$75:$DR$75,1,31))</f>
        <v/>
      </c>
      <c r="Q34" s="25">
        <f>IF(A34="","",INDEX(Model!$C$76:$DR$76,1,31))</f>
        <v/>
      </c>
      <c r="R34" s="25">
        <f>IF(A34="","",INDEX(Model!$C$63:$DR$63,1,31))</f>
        <v/>
      </c>
      <c r="S34" s="25">
        <f>IF(A34="","",INDEX(Model!$C$77:$DR$77,1,31))</f>
        <v/>
      </c>
      <c r="T34" s="25">
        <f>IF(A34="","",INDEX(Model!$C$78:$DR$78,1,31))</f>
        <v/>
      </c>
      <c r="U34" s="25">
        <f>IF(A34="","",INDEX(Model!$C$79:$DR$79,1,31))</f>
        <v/>
      </c>
      <c r="V34" s="25">
        <f>IF(A34="","",INDEX(Model!$C$64:$DR$64,1,31))</f>
        <v/>
      </c>
      <c r="W34" s="25">
        <f>IF(A34="","",INDEX(Model!$C$71:$DR$71,1,31))</f>
        <v/>
      </c>
      <c r="X34" s="25">
        <f>IF(A34="","",INDEX(Model!$C$72:$DR$72,1,31))</f>
        <v/>
      </c>
      <c r="Y34" s="25">
        <f>IF(A34="","",INDEX(Model!$C$73:$DR$73,1,31))</f>
        <v/>
      </c>
    </row>
    <row r="35">
      <c r="A35">
        <f>IF(32&lt;=Effective!$B$7,32,"")</f>
        <v/>
      </c>
      <c r="B35">
        <f>IF(A35="","",INDEX(Model!$C$1:$DR$1,1,32))</f>
        <v/>
      </c>
      <c r="C35">
        <f>IF(A35="","",INDEX(Model!$C$7:$DR$7,1,32))</f>
        <v/>
      </c>
      <c r="D35">
        <f>IF(A35="","",INDEX(Model!$C$8:$DR$8,1,32))</f>
        <v/>
      </c>
      <c r="E35" s="25">
        <f>IF(A35="","",INDEX(Model!$C$18:$DR$18,1,32))</f>
        <v/>
      </c>
      <c r="F35" s="25">
        <f>IF(A35="","",INDEX(Model!$C$27:$DR$27,1,32))</f>
        <v/>
      </c>
      <c r="G35" s="25">
        <f>IF(A35="","",INDEX(Model!$C$28:$DR$28,1,32))</f>
        <v/>
      </c>
      <c r="H35" s="25">
        <f>IF(A35="","",INDEX(Model!$C$44:$DR$44,1,32))</f>
        <v/>
      </c>
      <c r="I35" s="25">
        <f>IF(A35="","",INDEX(Model!$C$45:$DR$45,1,32))</f>
        <v/>
      </c>
      <c r="J35" s="25">
        <f>IF(A35="","",INDEX(Model!$C$46:$DR$46,1,32))</f>
        <v/>
      </c>
      <c r="K35" s="25">
        <f>IF(A35="","",INDEX(Model!$C$62:$DR$62,1,32))</f>
        <v/>
      </c>
      <c r="L35" s="25">
        <f>IF(A35="","",INDEX(Model!$C$65:$DR$65,1,32))</f>
        <v/>
      </c>
      <c r="M35" s="25">
        <f>IF(A35="","",INDEX(Model!$C$69:$DR$69,1,32))</f>
        <v/>
      </c>
      <c r="N35" s="25">
        <f>IF(A35="","",INDEX(Model!$C$70:$DR$70,1,32))</f>
        <v/>
      </c>
      <c r="O35" s="25">
        <f>IF(A35="","",INDEX(Model!$C$74:$DR$74,1,32))</f>
        <v/>
      </c>
      <c r="P35" s="25">
        <f>IF(A35="","",INDEX(Model!$C$75:$DR$75,1,32))</f>
        <v/>
      </c>
      <c r="Q35" s="25">
        <f>IF(A35="","",INDEX(Model!$C$76:$DR$76,1,32))</f>
        <v/>
      </c>
      <c r="R35" s="25">
        <f>IF(A35="","",INDEX(Model!$C$63:$DR$63,1,32))</f>
        <v/>
      </c>
      <c r="S35" s="25">
        <f>IF(A35="","",INDEX(Model!$C$77:$DR$77,1,32))</f>
        <v/>
      </c>
      <c r="T35" s="25">
        <f>IF(A35="","",INDEX(Model!$C$78:$DR$78,1,32))</f>
        <v/>
      </c>
      <c r="U35" s="25">
        <f>IF(A35="","",INDEX(Model!$C$79:$DR$79,1,32))</f>
        <v/>
      </c>
      <c r="V35" s="25">
        <f>IF(A35="","",INDEX(Model!$C$64:$DR$64,1,32))</f>
        <v/>
      </c>
      <c r="W35" s="25">
        <f>IF(A35="","",INDEX(Model!$C$71:$DR$71,1,32))</f>
        <v/>
      </c>
      <c r="X35" s="25">
        <f>IF(A35="","",INDEX(Model!$C$72:$DR$72,1,32))</f>
        <v/>
      </c>
      <c r="Y35" s="25">
        <f>IF(A35="","",INDEX(Model!$C$73:$DR$73,1,32))</f>
        <v/>
      </c>
    </row>
    <row r="36">
      <c r="A36">
        <f>IF(33&lt;=Effective!$B$7,33,"")</f>
        <v/>
      </c>
      <c r="B36">
        <f>IF(A36="","",INDEX(Model!$C$1:$DR$1,1,33))</f>
        <v/>
      </c>
      <c r="C36">
        <f>IF(A36="","",INDEX(Model!$C$7:$DR$7,1,33))</f>
        <v/>
      </c>
      <c r="D36">
        <f>IF(A36="","",INDEX(Model!$C$8:$DR$8,1,33))</f>
        <v/>
      </c>
      <c r="E36" s="25">
        <f>IF(A36="","",INDEX(Model!$C$18:$DR$18,1,33))</f>
        <v/>
      </c>
      <c r="F36" s="25">
        <f>IF(A36="","",INDEX(Model!$C$27:$DR$27,1,33))</f>
        <v/>
      </c>
      <c r="G36" s="25">
        <f>IF(A36="","",INDEX(Model!$C$28:$DR$28,1,33))</f>
        <v/>
      </c>
      <c r="H36" s="25">
        <f>IF(A36="","",INDEX(Model!$C$44:$DR$44,1,33))</f>
        <v/>
      </c>
      <c r="I36" s="25">
        <f>IF(A36="","",INDEX(Model!$C$45:$DR$45,1,33))</f>
        <v/>
      </c>
      <c r="J36" s="25">
        <f>IF(A36="","",INDEX(Model!$C$46:$DR$46,1,33))</f>
        <v/>
      </c>
      <c r="K36" s="25">
        <f>IF(A36="","",INDEX(Model!$C$62:$DR$62,1,33))</f>
        <v/>
      </c>
      <c r="L36" s="25">
        <f>IF(A36="","",INDEX(Model!$C$65:$DR$65,1,33))</f>
        <v/>
      </c>
      <c r="M36" s="25">
        <f>IF(A36="","",INDEX(Model!$C$69:$DR$69,1,33))</f>
        <v/>
      </c>
      <c r="N36" s="25">
        <f>IF(A36="","",INDEX(Model!$C$70:$DR$70,1,33))</f>
        <v/>
      </c>
      <c r="O36" s="25">
        <f>IF(A36="","",INDEX(Model!$C$74:$DR$74,1,33))</f>
        <v/>
      </c>
      <c r="P36" s="25">
        <f>IF(A36="","",INDEX(Model!$C$75:$DR$75,1,33))</f>
        <v/>
      </c>
      <c r="Q36" s="25">
        <f>IF(A36="","",INDEX(Model!$C$76:$DR$76,1,33))</f>
        <v/>
      </c>
      <c r="R36" s="25">
        <f>IF(A36="","",INDEX(Model!$C$63:$DR$63,1,33))</f>
        <v/>
      </c>
      <c r="S36" s="25">
        <f>IF(A36="","",INDEX(Model!$C$77:$DR$77,1,33))</f>
        <v/>
      </c>
      <c r="T36" s="25">
        <f>IF(A36="","",INDEX(Model!$C$78:$DR$78,1,33))</f>
        <v/>
      </c>
      <c r="U36" s="25">
        <f>IF(A36="","",INDEX(Model!$C$79:$DR$79,1,33))</f>
        <v/>
      </c>
      <c r="V36" s="25">
        <f>IF(A36="","",INDEX(Model!$C$64:$DR$64,1,33))</f>
        <v/>
      </c>
      <c r="W36" s="25">
        <f>IF(A36="","",INDEX(Model!$C$71:$DR$71,1,33))</f>
        <v/>
      </c>
      <c r="X36" s="25">
        <f>IF(A36="","",INDEX(Model!$C$72:$DR$72,1,33))</f>
        <v/>
      </c>
      <c r="Y36" s="25">
        <f>IF(A36="","",INDEX(Model!$C$73:$DR$73,1,33))</f>
        <v/>
      </c>
    </row>
    <row r="37">
      <c r="A37">
        <f>IF(34&lt;=Effective!$B$7,34,"")</f>
        <v/>
      </c>
      <c r="B37">
        <f>IF(A37="","",INDEX(Model!$C$1:$DR$1,1,34))</f>
        <v/>
      </c>
      <c r="C37">
        <f>IF(A37="","",INDEX(Model!$C$7:$DR$7,1,34))</f>
        <v/>
      </c>
      <c r="D37">
        <f>IF(A37="","",INDEX(Model!$C$8:$DR$8,1,34))</f>
        <v/>
      </c>
      <c r="E37" s="25">
        <f>IF(A37="","",INDEX(Model!$C$18:$DR$18,1,34))</f>
        <v/>
      </c>
      <c r="F37" s="25">
        <f>IF(A37="","",INDEX(Model!$C$27:$DR$27,1,34))</f>
        <v/>
      </c>
      <c r="G37" s="25">
        <f>IF(A37="","",INDEX(Model!$C$28:$DR$28,1,34))</f>
        <v/>
      </c>
      <c r="H37" s="25">
        <f>IF(A37="","",INDEX(Model!$C$44:$DR$44,1,34))</f>
        <v/>
      </c>
      <c r="I37" s="25">
        <f>IF(A37="","",INDEX(Model!$C$45:$DR$45,1,34))</f>
        <v/>
      </c>
      <c r="J37" s="25">
        <f>IF(A37="","",INDEX(Model!$C$46:$DR$46,1,34))</f>
        <v/>
      </c>
      <c r="K37" s="25">
        <f>IF(A37="","",INDEX(Model!$C$62:$DR$62,1,34))</f>
        <v/>
      </c>
      <c r="L37" s="25">
        <f>IF(A37="","",INDEX(Model!$C$65:$DR$65,1,34))</f>
        <v/>
      </c>
      <c r="M37" s="25">
        <f>IF(A37="","",INDEX(Model!$C$69:$DR$69,1,34))</f>
        <v/>
      </c>
      <c r="N37" s="25">
        <f>IF(A37="","",INDEX(Model!$C$70:$DR$70,1,34))</f>
        <v/>
      </c>
      <c r="O37" s="25">
        <f>IF(A37="","",INDEX(Model!$C$74:$DR$74,1,34))</f>
        <v/>
      </c>
      <c r="P37" s="25">
        <f>IF(A37="","",INDEX(Model!$C$75:$DR$75,1,34))</f>
        <v/>
      </c>
      <c r="Q37" s="25">
        <f>IF(A37="","",INDEX(Model!$C$76:$DR$76,1,34))</f>
        <v/>
      </c>
      <c r="R37" s="25">
        <f>IF(A37="","",INDEX(Model!$C$63:$DR$63,1,34))</f>
        <v/>
      </c>
      <c r="S37" s="25">
        <f>IF(A37="","",INDEX(Model!$C$77:$DR$77,1,34))</f>
        <v/>
      </c>
      <c r="T37" s="25">
        <f>IF(A37="","",INDEX(Model!$C$78:$DR$78,1,34))</f>
        <v/>
      </c>
      <c r="U37" s="25">
        <f>IF(A37="","",INDEX(Model!$C$79:$DR$79,1,34))</f>
        <v/>
      </c>
      <c r="V37" s="25">
        <f>IF(A37="","",INDEX(Model!$C$64:$DR$64,1,34))</f>
        <v/>
      </c>
      <c r="W37" s="25">
        <f>IF(A37="","",INDEX(Model!$C$71:$DR$71,1,34))</f>
        <v/>
      </c>
      <c r="X37" s="25">
        <f>IF(A37="","",INDEX(Model!$C$72:$DR$72,1,34))</f>
        <v/>
      </c>
      <c r="Y37" s="25">
        <f>IF(A37="","",INDEX(Model!$C$73:$DR$73,1,34))</f>
        <v/>
      </c>
    </row>
    <row r="38">
      <c r="A38">
        <f>IF(35&lt;=Effective!$B$7,35,"")</f>
        <v/>
      </c>
      <c r="B38">
        <f>IF(A38="","",INDEX(Model!$C$1:$DR$1,1,35))</f>
        <v/>
      </c>
      <c r="C38">
        <f>IF(A38="","",INDEX(Model!$C$7:$DR$7,1,35))</f>
        <v/>
      </c>
      <c r="D38">
        <f>IF(A38="","",INDEX(Model!$C$8:$DR$8,1,35))</f>
        <v/>
      </c>
      <c r="E38" s="25">
        <f>IF(A38="","",INDEX(Model!$C$18:$DR$18,1,35))</f>
        <v/>
      </c>
      <c r="F38" s="25">
        <f>IF(A38="","",INDEX(Model!$C$27:$DR$27,1,35))</f>
        <v/>
      </c>
      <c r="G38" s="25">
        <f>IF(A38="","",INDEX(Model!$C$28:$DR$28,1,35))</f>
        <v/>
      </c>
      <c r="H38" s="25">
        <f>IF(A38="","",INDEX(Model!$C$44:$DR$44,1,35))</f>
        <v/>
      </c>
      <c r="I38" s="25">
        <f>IF(A38="","",INDEX(Model!$C$45:$DR$45,1,35))</f>
        <v/>
      </c>
      <c r="J38" s="25">
        <f>IF(A38="","",INDEX(Model!$C$46:$DR$46,1,35))</f>
        <v/>
      </c>
      <c r="K38" s="25">
        <f>IF(A38="","",INDEX(Model!$C$62:$DR$62,1,35))</f>
        <v/>
      </c>
      <c r="L38" s="25">
        <f>IF(A38="","",INDEX(Model!$C$65:$DR$65,1,35))</f>
        <v/>
      </c>
      <c r="M38" s="25">
        <f>IF(A38="","",INDEX(Model!$C$69:$DR$69,1,35))</f>
        <v/>
      </c>
      <c r="N38" s="25">
        <f>IF(A38="","",INDEX(Model!$C$70:$DR$70,1,35))</f>
        <v/>
      </c>
      <c r="O38" s="25">
        <f>IF(A38="","",INDEX(Model!$C$74:$DR$74,1,35))</f>
        <v/>
      </c>
      <c r="P38" s="25">
        <f>IF(A38="","",INDEX(Model!$C$75:$DR$75,1,35))</f>
        <v/>
      </c>
      <c r="Q38" s="25">
        <f>IF(A38="","",INDEX(Model!$C$76:$DR$76,1,35))</f>
        <v/>
      </c>
      <c r="R38" s="25">
        <f>IF(A38="","",INDEX(Model!$C$63:$DR$63,1,35))</f>
        <v/>
      </c>
      <c r="S38" s="25">
        <f>IF(A38="","",INDEX(Model!$C$77:$DR$77,1,35))</f>
        <v/>
      </c>
      <c r="T38" s="25">
        <f>IF(A38="","",INDEX(Model!$C$78:$DR$78,1,35))</f>
        <v/>
      </c>
      <c r="U38" s="25">
        <f>IF(A38="","",INDEX(Model!$C$79:$DR$79,1,35))</f>
        <v/>
      </c>
      <c r="V38" s="25">
        <f>IF(A38="","",INDEX(Model!$C$64:$DR$64,1,35))</f>
        <v/>
      </c>
      <c r="W38" s="25">
        <f>IF(A38="","",INDEX(Model!$C$71:$DR$71,1,35))</f>
        <v/>
      </c>
      <c r="X38" s="25">
        <f>IF(A38="","",INDEX(Model!$C$72:$DR$72,1,35))</f>
        <v/>
      </c>
      <c r="Y38" s="25">
        <f>IF(A38="","",INDEX(Model!$C$73:$DR$73,1,35))</f>
        <v/>
      </c>
    </row>
    <row r="39">
      <c r="A39">
        <f>IF(36&lt;=Effective!$B$7,36,"")</f>
        <v/>
      </c>
      <c r="B39">
        <f>IF(A39="","",INDEX(Model!$C$1:$DR$1,1,36))</f>
        <v/>
      </c>
      <c r="C39">
        <f>IF(A39="","",INDEX(Model!$C$7:$DR$7,1,36))</f>
        <v/>
      </c>
      <c r="D39">
        <f>IF(A39="","",INDEX(Model!$C$8:$DR$8,1,36))</f>
        <v/>
      </c>
      <c r="E39" s="25">
        <f>IF(A39="","",INDEX(Model!$C$18:$DR$18,1,36))</f>
        <v/>
      </c>
      <c r="F39" s="25">
        <f>IF(A39="","",INDEX(Model!$C$27:$DR$27,1,36))</f>
        <v/>
      </c>
      <c r="G39" s="25">
        <f>IF(A39="","",INDEX(Model!$C$28:$DR$28,1,36))</f>
        <v/>
      </c>
      <c r="H39" s="25">
        <f>IF(A39="","",INDEX(Model!$C$44:$DR$44,1,36))</f>
        <v/>
      </c>
      <c r="I39" s="25">
        <f>IF(A39="","",INDEX(Model!$C$45:$DR$45,1,36))</f>
        <v/>
      </c>
      <c r="J39" s="25">
        <f>IF(A39="","",INDEX(Model!$C$46:$DR$46,1,36))</f>
        <v/>
      </c>
      <c r="K39" s="25">
        <f>IF(A39="","",INDEX(Model!$C$62:$DR$62,1,36))</f>
        <v/>
      </c>
      <c r="L39" s="25">
        <f>IF(A39="","",INDEX(Model!$C$65:$DR$65,1,36))</f>
        <v/>
      </c>
      <c r="M39" s="25">
        <f>IF(A39="","",INDEX(Model!$C$69:$DR$69,1,36))</f>
        <v/>
      </c>
      <c r="N39" s="25">
        <f>IF(A39="","",INDEX(Model!$C$70:$DR$70,1,36))</f>
        <v/>
      </c>
      <c r="O39" s="25">
        <f>IF(A39="","",INDEX(Model!$C$74:$DR$74,1,36))</f>
        <v/>
      </c>
      <c r="P39" s="25">
        <f>IF(A39="","",INDEX(Model!$C$75:$DR$75,1,36))</f>
        <v/>
      </c>
      <c r="Q39" s="25">
        <f>IF(A39="","",INDEX(Model!$C$76:$DR$76,1,36))</f>
        <v/>
      </c>
      <c r="R39" s="25">
        <f>IF(A39="","",INDEX(Model!$C$63:$DR$63,1,36))</f>
        <v/>
      </c>
      <c r="S39" s="25">
        <f>IF(A39="","",INDEX(Model!$C$77:$DR$77,1,36))</f>
        <v/>
      </c>
      <c r="T39" s="25">
        <f>IF(A39="","",INDEX(Model!$C$78:$DR$78,1,36))</f>
        <v/>
      </c>
      <c r="U39" s="25">
        <f>IF(A39="","",INDEX(Model!$C$79:$DR$79,1,36))</f>
        <v/>
      </c>
      <c r="V39" s="25">
        <f>IF(A39="","",INDEX(Model!$C$64:$DR$64,1,36))</f>
        <v/>
      </c>
      <c r="W39" s="25">
        <f>IF(A39="","",INDEX(Model!$C$71:$DR$71,1,36))</f>
        <v/>
      </c>
      <c r="X39" s="25">
        <f>IF(A39="","",INDEX(Model!$C$72:$DR$72,1,36))</f>
        <v/>
      </c>
      <c r="Y39" s="25">
        <f>IF(A39="","",INDEX(Model!$C$73:$DR$73,1,36))</f>
        <v/>
      </c>
    </row>
    <row r="40">
      <c r="A40">
        <f>IF(37&lt;=Effective!$B$7,37,"")</f>
        <v/>
      </c>
      <c r="B40">
        <f>IF(A40="","",INDEX(Model!$C$1:$DR$1,1,37))</f>
        <v/>
      </c>
      <c r="C40">
        <f>IF(A40="","",INDEX(Model!$C$7:$DR$7,1,37))</f>
        <v/>
      </c>
      <c r="D40">
        <f>IF(A40="","",INDEX(Model!$C$8:$DR$8,1,37))</f>
        <v/>
      </c>
      <c r="E40" s="25">
        <f>IF(A40="","",INDEX(Model!$C$18:$DR$18,1,37))</f>
        <v/>
      </c>
      <c r="F40" s="25">
        <f>IF(A40="","",INDEX(Model!$C$27:$DR$27,1,37))</f>
        <v/>
      </c>
      <c r="G40" s="25">
        <f>IF(A40="","",INDEX(Model!$C$28:$DR$28,1,37))</f>
        <v/>
      </c>
      <c r="H40" s="25">
        <f>IF(A40="","",INDEX(Model!$C$44:$DR$44,1,37))</f>
        <v/>
      </c>
      <c r="I40" s="25">
        <f>IF(A40="","",INDEX(Model!$C$45:$DR$45,1,37))</f>
        <v/>
      </c>
      <c r="J40" s="25">
        <f>IF(A40="","",INDEX(Model!$C$46:$DR$46,1,37))</f>
        <v/>
      </c>
      <c r="K40" s="25">
        <f>IF(A40="","",INDEX(Model!$C$62:$DR$62,1,37))</f>
        <v/>
      </c>
      <c r="L40" s="25">
        <f>IF(A40="","",INDEX(Model!$C$65:$DR$65,1,37))</f>
        <v/>
      </c>
      <c r="M40" s="25">
        <f>IF(A40="","",INDEX(Model!$C$69:$DR$69,1,37))</f>
        <v/>
      </c>
      <c r="N40" s="25">
        <f>IF(A40="","",INDEX(Model!$C$70:$DR$70,1,37))</f>
        <v/>
      </c>
      <c r="O40" s="25">
        <f>IF(A40="","",INDEX(Model!$C$74:$DR$74,1,37))</f>
        <v/>
      </c>
      <c r="P40" s="25">
        <f>IF(A40="","",INDEX(Model!$C$75:$DR$75,1,37))</f>
        <v/>
      </c>
      <c r="Q40" s="25">
        <f>IF(A40="","",INDEX(Model!$C$76:$DR$76,1,37))</f>
        <v/>
      </c>
      <c r="R40" s="25">
        <f>IF(A40="","",INDEX(Model!$C$63:$DR$63,1,37))</f>
        <v/>
      </c>
      <c r="S40" s="25">
        <f>IF(A40="","",INDEX(Model!$C$77:$DR$77,1,37))</f>
        <v/>
      </c>
      <c r="T40" s="25">
        <f>IF(A40="","",INDEX(Model!$C$78:$DR$78,1,37))</f>
        <v/>
      </c>
      <c r="U40" s="25">
        <f>IF(A40="","",INDEX(Model!$C$79:$DR$79,1,37))</f>
        <v/>
      </c>
      <c r="V40" s="25">
        <f>IF(A40="","",INDEX(Model!$C$64:$DR$64,1,37))</f>
        <v/>
      </c>
      <c r="W40" s="25">
        <f>IF(A40="","",INDEX(Model!$C$71:$DR$71,1,37))</f>
        <v/>
      </c>
      <c r="X40" s="25">
        <f>IF(A40="","",INDEX(Model!$C$72:$DR$72,1,37))</f>
        <v/>
      </c>
      <c r="Y40" s="25">
        <f>IF(A40="","",INDEX(Model!$C$73:$DR$73,1,37))</f>
        <v/>
      </c>
    </row>
    <row r="41">
      <c r="A41">
        <f>IF(38&lt;=Effective!$B$7,38,"")</f>
        <v/>
      </c>
      <c r="B41">
        <f>IF(A41="","",INDEX(Model!$C$1:$DR$1,1,38))</f>
        <v/>
      </c>
      <c r="C41">
        <f>IF(A41="","",INDEX(Model!$C$7:$DR$7,1,38))</f>
        <v/>
      </c>
      <c r="D41">
        <f>IF(A41="","",INDEX(Model!$C$8:$DR$8,1,38))</f>
        <v/>
      </c>
      <c r="E41" s="25">
        <f>IF(A41="","",INDEX(Model!$C$18:$DR$18,1,38))</f>
        <v/>
      </c>
      <c r="F41" s="25">
        <f>IF(A41="","",INDEX(Model!$C$27:$DR$27,1,38))</f>
        <v/>
      </c>
      <c r="G41" s="25">
        <f>IF(A41="","",INDEX(Model!$C$28:$DR$28,1,38))</f>
        <v/>
      </c>
      <c r="H41" s="25">
        <f>IF(A41="","",INDEX(Model!$C$44:$DR$44,1,38))</f>
        <v/>
      </c>
      <c r="I41" s="25">
        <f>IF(A41="","",INDEX(Model!$C$45:$DR$45,1,38))</f>
        <v/>
      </c>
      <c r="J41" s="25">
        <f>IF(A41="","",INDEX(Model!$C$46:$DR$46,1,38))</f>
        <v/>
      </c>
      <c r="K41" s="25">
        <f>IF(A41="","",INDEX(Model!$C$62:$DR$62,1,38))</f>
        <v/>
      </c>
      <c r="L41" s="25">
        <f>IF(A41="","",INDEX(Model!$C$65:$DR$65,1,38))</f>
        <v/>
      </c>
      <c r="M41" s="25">
        <f>IF(A41="","",INDEX(Model!$C$69:$DR$69,1,38))</f>
        <v/>
      </c>
      <c r="N41" s="25">
        <f>IF(A41="","",INDEX(Model!$C$70:$DR$70,1,38))</f>
        <v/>
      </c>
      <c r="O41" s="25">
        <f>IF(A41="","",INDEX(Model!$C$74:$DR$74,1,38))</f>
        <v/>
      </c>
      <c r="P41" s="25">
        <f>IF(A41="","",INDEX(Model!$C$75:$DR$75,1,38))</f>
        <v/>
      </c>
      <c r="Q41" s="25">
        <f>IF(A41="","",INDEX(Model!$C$76:$DR$76,1,38))</f>
        <v/>
      </c>
      <c r="R41" s="25">
        <f>IF(A41="","",INDEX(Model!$C$63:$DR$63,1,38))</f>
        <v/>
      </c>
      <c r="S41" s="25">
        <f>IF(A41="","",INDEX(Model!$C$77:$DR$77,1,38))</f>
        <v/>
      </c>
      <c r="T41" s="25">
        <f>IF(A41="","",INDEX(Model!$C$78:$DR$78,1,38))</f>
        <v/>
      </c>
      <c r="U41" s="25">
        <f>IF(A41="","",INDEX(Model!$C$79:$DR$79,1,38))</f>
        <v/>
      </c>
      <c r="V41" s="25">
        <f>IF(A41="","",INDEX(Model!$C$64:$DR$64,1,38))</f>
        <v/>
      </c>
      <c r="W41" s="25">
        <f>IF(A41="","",INDEX(Model!$C$71:$DR$71,1,38))</f>
        <v/>
      </c>
      <c r="X41" s="25">
        <f>IF(A41="","",INDEX(Model!$C$72:$DR$72,1,38))</f>
        <v/>
      </c>
      <c r="Y41" s="25">
        <f>IF(A41="","",INDEX(Model!$C$73:$DR$73,1,38))</f>
        <v/>
      </c>
    </row>
    <row r="42">
      <c r="A42">
        <f>IF(39&lt;=Effective!$B$7,39,"")</f>
        <v/>
      </c>
      <c r="B42">
        <f>IF(A42="","",INDEX(Model!$C$1:$DR$1,1,39))</f>
        <v/>
      </c>
      <c r="C42">
        <f>IF(A42="","",INDEX(Model!$C$7:$DR$7,1,39))</f>
        <v/>
      </c>
      <c r="D42">
        <f>IF(A42="","",INDEX(Model!$C$8:$DR$8,1,39))</f>
        <v/>
      </c>
      <c r="E42" s="25">
        <f>IF(A42="","",INDEX(Model!$C$18:$DR$18,1,39))</f>
        <v/>
      </c>
      <c r="F42" s="25">
        <f>IF(A42="","",INDEX(Model!$C$27:$DR$27,1,39))</f>
        <v/>
      </c>
      <c r="G42" s="25">
        <f>IF(A42="","",INDEX(Model!$C$28:$DR$28,1,39))</f>
        <v/>
      </c>
      <c r="H42" s="25">
        <f>IF(A42="","",INDEX(Model!$C$44:$DR$44,1,39))</f>
        <v/>
      </c>
      <c r="I42" s="25">
        <f>IF(A42="","",INDEX(Model!$C$45:$DR$45,1,39))</f>
        <v/>
      </c>
      <c r="J42" s="25">
        <f>IF(A42="","",INDEX(Model!$C$46:$DR$46,1,39))</f>
        <v/>
      </c>
      <c r="K42" s="25">
        <f>IF(A42="","",INDEX(Model!$C$62:$DR$62,1,39))</f>
        <v/>
      </c>
      <c r="L42" s="25">
        <f>IF(A42="","",INDEX(Model!$C$65:$DR$65,1,39))</f>
        <v/>
      </c>
      <c r="M42" s="25">
        <f>IF(A42="","",INDEX(Model!$C$69:$DR$69,1,39))</f>
        <v/>
      </c>
      <c r="N42" s="25">
        <f>IF(A42="","",INDEX(Model!$C$70:$DR$70,1,39))</f>
        <v/>
      </c>
      <c r="O42" s="25">
        <f>IF(A42="","",INDEX(Model!$C$74:$DR$74,1,39))</f>
        <v/>
      </c>
      <c r="P42" s="25">
        <f>IF(A42="","",INDEX(Model!$C$75:$DR$75,1,39))</f>
        <v/>
      </c>
      <c r="Q42" s="25">
        <f>IF(A42="","",INDEX(Model!$C$76:$DR$76,1,39))</f>
        <v/>
      </c>
      <c r="R42" s="25">
        <f>IF(A42="","",INDEX(Model!$C$63:$DR$63,1,39))</f>
        <v/>
      </c>
      <c r="S42" s="25">
        <f>IF(A42="","",INDEX(Model!$C$77:$DR$77,1,39))</f>
        <v/>
      </c>
      <c r="T42" s="25">
        <f>IF(A42="","",INDEX(Model!$C$78:$DR$78,1,39))</f>
        <v/>
      </c>
      <c r="U42" s="25">
        <f>IF(A42="","",INDEX(Model!$C$79:$DR$79,1,39))</f>
        <v/>
      </c>
      <c r="V42" s="25">
        <f>IF(A42="","",INDEX(Model!$C$64:$DR$64,1,39))</f>
        <v/>
      </c>
      <c r="W42" s="25">
        <f>IF(A42="","",INDEX(Model!$C$71:$DR$71,1,39))</f>
        <v/>
      </c>
      <c r="X42" s="25">
        <f>IF(A42="","",INDEX(Model!$C$72:$DR$72,1,39))</f>
        <v/>
      </c>
      <c r="Y42" s="25">
        <f>IF(A42="","",INDEX(Model!$C$73:$DR$73,1,39))</f>
        <v/>
      </c>
    </row>
    <row r="43">
      <c r="A43">
        <f>IF(40&lt;=Effective!$B$7,40,"")</f>
        <v/>
      </c>
      <c r="B43">
        <f>IF(A43="","",INDEX(Model!$C$1:$DR$1,1,40))</f>
        <v/>
      </c>
      <c r="C43">
        <f>IF(A43="","",INDEX(Model!$C$7:$DR$7,1,40))</f>
        <v/>
      </c>
      <c r="D43">
        <f>IF(A43="","",INDEX(Model!$C$8:$DR$8,1,40))</f>
        <v/>
      </c>
      <c r="E43" s="25">
        <f>IF(A43="","",INDEX(Model!$C$18:$DR$18,1,40))</f>
        <v/>
      </c>
      <c r="F43" s="25">
        <f>IF(A43="","",INDEX(Model!$C$27:$DR$27,1,40))</f>
        <v/>
      </c>
      <c r="G43" s="25">
        <f>IF(A43="","",INDEX(Model!$C$28:$DR$28,1,40))</f>
        <v/>
      </c>
      <c r="H43" s="25">
        <f>IF(A43="","",INDEX(Model!$C$44:$DR$44,1,40))</f>
        <v/>
      </c>
      <c r="I43" s="25">
        <f>IF(A43="","",INDEX(Model!$C$45:$DR$45,1,40))</f>
        <v/>
      </c>
      <c r="J43" s="25">
        <f>IF(A43="","",INDEX(Model!$C$46:$DR$46,1,40))</f>
        <v/>
      </c>
      <c r="K43" s="25">
        <f>IF(A43="","",INDEX(Model!$C$62:$DR$62,1,40))</f>
        <v/>
      </c>
      <c r="L43" s="25">
        <f>IF(A43="","",INDEX(Model!$C$65:$DR$65,1,40))</f>
        <v/>
      </c>
      <c r="M43" s="25">
        <f>IF(A43="","",INDEX(Model!$C$69:$DR$69,1,40))</f>
        <v/>
      </c>
      <c r="N43" s="25">
        <f>IF(A43="","",INDEX(Model!$C$70:$DR$70,1,40))</f>
        <v/>
      </c>
      <c r="O43" s="25">
        <f>IF(A43="","",INDEX(Model!$C$74:$DR$74,1,40))</f>
        <v/>
      </c>
      <c r="P43" s="25">
        <f>IF(A43="","",INDEX(Model!$C$75:$DR$75,1,40))</f>
        <v/>
      </c>
      <c r="Q43" s="25">
        <f>IF(A43="","",INDEX(Model!$C$76:$DR$76,1,40))</f>
        <v/>
      </c>
      <c r="R43" s="25">
        <f>IF(A43="","",INDEX(Model!$C$63:$DR$63,1,40))</f>
        <v/>
      </c>
      <c r="S43" s="25">
        <f>IF(A43="","",INDEX(Model!$C$77:$DR$77,1,40))</f>
        <v/>
      </c>
      <c r="T43" s="25">
        <f>IF(A43="","",INDEX(Model!$C$78:$DR$78,1,40))</f>
        <v/>
      </c>
      <c r="U43" s="25">
        <f>IF(A43="","",INDEX(Model!$C$79:$DR$79,1,40))</f>
        <v/>
      </c>
      <c r="V43" s="25">
        <f>IF(A43="","",INDEX(Model!$C$64:$DR$64,1,40))</f>
        <v/>
      </c>
      <c r="W43" s="25">
        <f>IF(A43="","",INDEX(Model!$C$71:$DR$71,1,40))</f>
        <v/>
      </c>
      <c r="X43" s="25">
        <f>IF(A43="","",INDEX(Model!$C$72:$DR$72,1,40))</f>
        <v/>
      </c>
      <c r="Y43" s="25">
        <f>IF(A43="","",INDEX(Model!$C$73:$DR$73,1,40))</f>
        <v/>
      </c>
    </row>
    <row r="44">
      <c r="A44">
        <f>IF(41&lt;=Effective!$B$7,41,"")</f>
        <v/>
      </c>
      <c r="B44">
        <f>IF(A44="","",INDEX(Model!$C$1:$DR$1,1,41))</f>
        <v/>
      </c>
      <c r="C44">
        <f>IF(A44="","",INDEX(Model!$C$7:$DR$7,1,41))</f>
        <v/>
      </c>
      <c r="D44">
        <f>IF(A44="","",INDEX(Model!$C$8:$DR$8,1,41))</f>
        <v/>
      </c>
      <c r="E44" s="25">
        <f>IF(A44="","",INDEX(Model!$C$18:$DR$18,1,41))</f>
        <v/>
      </c>
      <c r="F44" s="25">
        <f>IF(A44="","",INDEX(Model!$C$27:$DR$27,1,41))</f>
        <v/>
      </c>
      <c r="G44" s="25">
        <f>IF(A44="","",INDEX(Model!$C$28:$DR$28,1,41))</f>
        <v/>
      </c>
      <c r="H44" s="25">
        <f>IF(A44="","",INDEX(Model!$C$44:$DR$44,1,41))</f>
        <v/>
      </c>
      <c r="I44" s="25">
        <f>IF(A44="","",INDEX(Model!$C$45:$DR$45,1,41))</f>
        <v/>
      </c>
      <c r="J44" s="25">
        <f>IF(A44="","",INDEX(Model!$C$46:$DR$46,1,41))</f>
        <v/>
      </c>
      <c r="K44" s="25">
        <f>IF(A44="","",INDEX(Model!$C$62:$DR$62,1,41))</f>
        <v/>
      </c>
      <c r="L44" s="25">
        <f>IF(A44="","",INDEX(Model!$C$65:$DR$65,1,41))</f>
        <v/>
      </c>
      <c r="M44" s="25">
        <f>IF(A44="","",INDEX(Model!$C$69:$DR$69,1,41))</f>
        <v/>
      </c>
      <c r="N44" s="25">
        <f>IF(A44="","",INDEX(Model!$C$70:$DR$70,1,41))</f>
        <v/>
      </c>
      <c r="O44" s="25">
        <f>IF(A44="","",INDEX(Model!$C$74:$DR$74,1,41))</f>
        <v/>
      </c>
      <c r="P44" s="25">
        <f>IF(A44="","",INDEX(Model!$C$75:$DR$75,1,41))</f>
        <v/>
      </c>
      <c r="Q44" s="25">
        <f>IF(A44="","",INDEX(Model!$C$76:$DR$76,1,41))</f>
        <v/>
      </c>
      <c r="R44" s="25">
        <f>IF(A44="","",INDEX(Model!$C$63:$DR$63,1,41))</f>
        <v/>
      </c>
      <c r="S44" s="25">
        <f>IF(A44="","",INDEX(Model!$C$77:$DR$77,1,41))</f>
        <v/>
      </c>
      <c r="T44" s="25">
        <f>IF(A44="","",INDEX(Model!$C$78:$DR$78,1,41))</f>
        <v/>
      </c>
      <c r="U44" s="25">
        <f>IF(A44="","",INDEX(Model!$C$79:$DR$79,1,41))</f>
        <v/>
      </c>
      <c r="V44" s="25">
        <f>IF(A44="","",INDEX(Model!$C$64:$DR$64,1,41))</f>
        <v/>
      </c>
      <c r="W44" s="25">
        <f>IF(A44="","",INDEX(Model!$C$71:$DR$71,1,41))</f>
        <v/>
      </c>
      <c r="X44" s="25">
        <f>IF(A44="","",INDEX(Model!$C$72:$DR$72,1,41))</f>
        <v/>
      </c>
      <c r="Y44" s="25">
        <f>IF(A44="","",INDEX(Model!$C$73:$DR$73,1,41))</f>
        <v/>
      </c>
    </row>
    <row r="45">
      <c r="A45">
        <f>IF(42&lt;=Effective!$B$7,42,"")</f>
        <v/>
      </c>
      <c r="B45">
        <f>IF(A45="","",INDEX(Model!$C$1:$DR$1,1,42))</f>
        <v/>
      </c>
      <c r="C45">
        <f>IF(A45="","",INDEX(Model!$C$7:$DR$7,1,42))</f>
        <v/>
      </c>
      <c r="D45">
        <f>IF(A45="","",INDEX(Model!$C$8:$DR$8,1,42))</f>
        <v/>
      </c>
      <c r="E45" s="25">
        <f>IF(A45="","",INDEX(Model!$C$18:$DR$18,1,42))</f>
        <v/>
      </c>
      <c r="F45" s="25">
        <f>IF(A45="","",INDEX(Model!$C$27:$DR$27,1,42))</f>
        <v/>
      </c>
      <c r="G45" s="25">
        <f>IF(A45="","",INDEX(Model!$C$28:$DR$28,1,42))</f>
        <v/>
      </c>
      <c r="H45" s="25">
        <f>IF(A45="","",INDEX(Model!$C$44:$DR$44,1,42))</f>
        <v/>
      </c>
      <c r="I45" s="25">
        <f>IF(A45="","",INDEX(Model!$C$45:$DR$45,1,42))</f>
        <v/>
      </c>
      <c r="J45" s="25">
        <f>IF(A45="","",INDEX(Model!$C$46:$DR$46,1,42))</f>
        <v/>
      </c>
      <c r="K45" s="25">
        <f>IF(A45="","",INDEX(Model!$C$62:$DR$62,1,42))</f>
        <v/>
      </c>
      <c r="L45" s="25">
        <f>IF(A45="","",INDEX(Model!$C$65:$DR$65,1,42))</f>
        <v/>
      </c>
      <c r="M45" s="25">
        <f>IF(A45="","",INDEX(Model!$C$69:$DR$69,1,42))</f>
        <v/>
      </c>
      <c r="N45" s="25">
        <f>IF(A45="","",INDEX(Model!$C$70:$DR$70,1,42))</f>
        <v/>
      </c>
      <c r="O45" s="25">
        <f>IF(A45="","",INDEX(Model!$C$74:$DR$74,1,42))</f>
        <v/>
      </c>
      <c r="P45" s="25">
        <f>IF(A45="","",INDEX(Model!$C$75:$DR$75,1,42))</f>
        <v/>
      </c>
      <c r="Q45" s="25">
        <f>IF(A45="","",INDEX(Model!$C$76:$DR$76,1,42))</f>
        <v/>
      </c>
      <c r="R45" s="25">
        <f>IF(A45="","",INDEX(Model!$C$63:$DR$63,1,42))</f>
        <v/>
      </c>
      <c r="S45" s="25">
        <f>IF(A45="","",INDEX(Model!$C$77:$DR$77,1,42))</f>
        <v/>
      </c>
      <c r="T45" s="25">
        <f>IF(A45="","",INDEX(Model!$C$78:$DR$78,1,42))</f>
        <v/>
      </c>
      <c r="U45" s="25">
        <f>IF(A45="","",INDEX(Model!$C$79:$DR$79,1,42))</f>
        <v/>
      </c>
      <c r="V45" s="25">
        <f>IF(A45="","",INDEX(Model!$C$64:$DR$64,1,42))</f>
        <v/>
      </c>
      <c r="W45" s="25">
        <f>IF(A45="","",INDEX(Model!$C$71:$DR$71,1,42))</f>
        <v/>
      </c>
      <c r="X45" s="25">
        <f>IF(A45="","",INDEX(Model!$C$72:$DR$72,1,42))</f>
        <v/>
      </c>
      <c r="Y45" s="25">
        <f>IF(A45="","",INDEX(Model!$C$73:$DR$73,1,42))</f>
        <v/>
      </c>
    </row>
    <row r="46">
      <c r="A46">
        <f>IF(43&lt;=Effective!$B$7,43,"")</f>
        <v/>
      </c>
      <c r="B46">
        <f>IF(A46="","",INDEX(Model!$C$1:$DR$1,1,43))</f>
        <v/>
      </c>
      <c r="C46">
        <f>IF(A46="","",INDEX(Model!$C$7:$DR$7,1,43))</f>
        <v/>
      </c>
      <c r="D46">
        <f>IF(A46="","",INDEX(Model!$C$8:$DR$8,1,43))</f>
        <v/>
      </c>
      <c r="E46" s="25">
        <f>IF(A46="","",INDEX(Model!$C$18:$DR$18,1,43))</f>
        <v/>
      </c>
      <c r="F46" s="25">
        <f>IF(A46="","",INDEX(Model!$C$27:$DR$27,1,43))</f>
        <v/>
      </c>
      <c r="G46" s="25">
        <f>IF(A46="","",INDEX(Model!$C$28:$DR$28,1,43))</f>
        <v/>
      </c>
      <c r="H46" s="25">
        <f>IF(A46="","",INDEX(Model!$C$44:$DR$44,1,43))</f>
        <v/>
      </c>
      <c r="I46" s="25">
        <f>IF(A46="","",INDEX(Model!$C$45:$DR$45,1,43))</f>
        <v/>
      </c>
      <c r="J46" s="25">
        <f>IF(A46="","",INDEX(Model!$C$46:$DR$46,1,43))</f>
        <v/>
      </c>
      <c r="K46" s="25">
        <f>IF(A46="","",INDEX(Model!$C$62:$DR$62,1,43))</f>
        <v/>
      </c>
      <c r="L46" s="25">
        <f>IF(A46="","",INDEX(Model!$C$65:$DR$65,1,43))</f>
        <v/>
      </c>
      <c r="M46" s="25">
        <f>IF(A46="","",INDEX(Model!$C$69:$DR$69,1,43))</f>
        <v/>
      </c>
      <c r="N46" s="25">
        <f>IF(A46="","",INDEX(Model!$C$70:$DR$70,1,43))</f>
        <v/>
      </c>
      <c r="O46" s="25">
        <f>IF(A46="","",INDEX(Model!$C$74:$DR$74,1,43))</f>
        <v/>
      </c>
      <c r="P46" s="25">
        <f>IF(A46="","",INDEX(Model!$C$75:$DR$75,1,43))</f>
        <v/>
      </c>
      <c r="Q46" s="25">
        <f>IF(A46="","",INDEX(Model!$C$76:$DR$76,1,43))</f>
        <v/>
      </c>
      <c r="R46" s="25">
        <f>IF(A46="","",INDEX(Model!$C$63:$DR$63,1,43))</f>
        <v/>
      </c>
      <c r="S46" s="25">
        <f>IF(A46="","",INDEX(Model!$C$77:$DR$77,1,43))</f>
        <v/>
      </c>
      <c r="T46" s="25">
        <f>IF(A46="","",INDEX(Model!$C$78:$DR$78,1,43))</f>
        <v/>
      </c>
      <c r="U46" s="25">
        <f>IF(A46="","",INDEX(Model!$C$79:$DR$79,1,43))</f>
        <v/>
      </c>
      <c r="V46" s="25">
        <f>IF(A46="","",INDEX(Model!$C$64:$DR$64,1,43))</f>
        <v/>
      </c>
      <c r="W46" s="25">
        <f>IF(A46="","",INDEX(Model!$C$71:$DR$71,1,43))</f>
        <v/>
      </c>
      <c r="X46" s="25">
        <f>IF(A46="","",INDEX(Model!$C$72:$DR$72,1,43))</f>
        <v/>
      </c>
      <c r="Y46" s="25">
        <f>IF(A46="","",INDEX(Model!$C$73:$DR$73,1,43))</f>
        <v/>
      </c>
    </row>
    <row r="47">
      <c r="A47">
        <f>IF(44&lt;=Effective!$B$7,44,"")</f>
        <v/>
      </c>
      <c r="B47">
        <f>IF(A47="","",INDEX(Model!$C$1:$DR$1,1,44))</f>
        <v/>
      </c>
      <c r="C47">
        <f>IF(A47="","",INDEX(Model!$C$7:$DR$7,1,44))</f>
        <v/>
      </c>
      <c r="D47">
        <f>IF(A47="","",INDEX(Model!$C$8:$DR$8,1,44))</f>
        <v/>
      </c>
      <c r="E47" s="25">
        <f>IF(A47="","",INDEX(Model!$C$18:$DR$18,1,44))</f>
        <v/>
      </c>
      <c r="F47" s="25">
        <f>IF(A47="","",INDEX(Model!$C$27:$DR$27,1,44))</f>
        <v/>
      </c>
      <c r="G47" s="25">
        <f>IF(A47="","",INDEX(Model!$C$28:$DR$28,1,44))</f>
        <v/>
      </c>
      <c r="H47" s="25">
        <f>IF(A47="","",INDEX(Model!$C$44:$DR$44,1,44))</f>
        <v/>
      </c>
      <c r="I47" s="25">
        <f>IF(A47="","",INDEX(Model!$C$45:$DR$45,1,44))</f>
        <v/>
      </c>
      <c r="J47" s="25">
        <f>IF(A47="","",INDEX(Model!$C$46:$DR$46,1,44))</f>
        <v/>
      </c>
      <c r="K47" s="25">
        <f>IF(A47="","",INDEX(Model!$C$62:$DR$62,1,44))</f>
        <v/>
      </c>
      <c r="L47" s="25">
        <f>IF(A47="","",INDEX(Model!$C$65:$DR$65,1,44))</f>
        <v/>
      </c>
      <c r="M47" s="25">
        <f>IF(A47="","",INDEX(Model!$C$69:$DR$69,1,44))</f>
        <v/>
      </c>
      <c r="N47" s="25">
        <f>IF(A47="","",INDEX(Model!$C$70:$DR$70,1,44))</f>
        <v/>
      </c>
      <c r="O47" s="25">
        <f>IF(A47="","",INDEX(Model!$C$74:$DR$74,1,44))</f>
        <v/>
      </c>
      <c r="P47" s="25">
        <f>IF(A47="","",INDEX(Model!$C$75:$DR$75,1,44))</f>
        <v/>
      </c>
      <c r="Q47" s="25">
        <f>IF(A47="","",INDEX(Model!$C$76:$DR$76,1,44))</f>
        <v/>
      </c>
      <c r="R47" s="25">
        <f>IF(A47="","",INDEX(Model!$C$63:$DR$63,1,44))</f>
        <v/>
      </c>
      <c r="S47" s="25">
        <f>IF(A47="","",INDEX(Model!$C$77:$DR$77,1,44))</f>
        <v/>
      </c>
      <c r="T47" s="25">
        <f>IF(A47="","",INDEX(Model!$C$78:$DR$78,1,44))</f>
        <v/>
      </c>
      <c r="U47" s="25">
        <f>IF(A47="","",INDEX(Model!$C$79:$DR$79,1,44))</f>
        <v/>
      </c>
      <c r="V47" s="25">
        <f>IF(A47="","",INDEX(Model!$C$64:$DR$64,1,44))</f>
        <v/>
      </c>
      <c r="W47" s="25">
        <f>IF(A47="","",INDEX(Model!$C$71:$DR$71,1,44))</f>
        <v/>
      </c>
      <c r="X47" s="25">
        <f>IF(A47="","",INDEX(Model!$C$72:$DR$72,1,44))</f>
        <v/>
      </c>
      <c r="Y47" s="25">
        <f>IF(A47="","",INDEX(Model!$C$73:$DR$73,1,44))</f>
        <v/>
      </c>
    </row>
    <row r="48">
      <c r="A48">
        <f>IF(45&lt;=Effective!$B$7,45,"")</f>
        <v/>
      </c>
      <c r="B48">
        <f>IF(A48="","",INDEX(Model!$C$1:$DR$1,1,45))</f>
        <v/>
      </c>
      <c r="C48">
        <f>IF(A48="","",INDEX(Model!$C$7:$DR$7,1,45))</f>
        <v/>
      </c>
      <c r="D48">
        <f>IF(A48="","",INDEX(Model!$C$8:$DR$8,1,45))</f>
        <v/>
      </c>
      <c r="E48" s="25">
        <f>IF(A48="","",INDEX(Model!$C$18:$DR$18,1,45))</f>
        <v/>
      </c>
      <c r="F48" s="25">
        <f>IF(A48="","",INDEX(Model!$C$27:$DR$27,1,45))</f>
        <v/>
      </c>
      <c r="G48" s="25">
        <f>IF(A48="","",INDEX(Model!$C$28:$DR$28,1,45))</f>
        <v/>
      </c>
      <c r="H48" s="25">
        <f>IF(A48="","",INDEX(Model!$C$44:$DR$44,1,45))</f>
        <v/>
      </c>
      <c r="I48" s="25">
        <f>IF(A48="","",INDEX(Model!$C$45:$DR$45,1,45))</f>
        <v/>
      </c>
      <c r="J48" s="25">
        <f>IF(A48="","",INDEX(Model!$C$46:$DR$46,1,45))</f>
        <v/>
      </c>
      <c r="K48" s="25">
        <f>IF(A48="","",INDEX(Model!$C$62:$DR$62,1,45))</f>
        <v/>
      </c>
      <c r="L48" s="25">
        <f>IF(A48="","",INDEX(Model!$C$65:$DR$65,1,45))</f>
        <v/>
      </c>
      <c r="M48" s="25">
        <f>IF(A48="","",INDEX(Model!$C$69:$DR$69,1,45))</f>
        <v/>
      </c>
      <c r="N48" s="25">
        <f>IF(A48="","",INDEX(Model!$C$70:$DR$70,1,45))</f>
        <v/>
      </c>
      <c r="O48" s="25">
        <f>IF(A48="","",INDEX(Model!$C$74:$DR$74,1,45))</f>
        <v/>
      </c>
      <c r="P48" s="25">
        <f>IF(A48="","",INDEX(Model!$C$75:$DR$75,1,45))</f>
        <v/>
      </c>
      <c r="Q48" s="25">
        <f>IF(A48="","",INDEX(Model!$C$76:$DR$76,1,45))</f>
        <v/>
      </c>
      <c r="R48" s="25">
        <f>IF(A48="","",INDEX(Model!$C$63:$DR$63,1,45))</f>
        <v/>
      </c>
      <c r="S48" s="25">
        <f>IF(A48="","",INDEX(Model!$C$77:$DR$77,1,45))</f>
        <v/>
      </c>
      <c r="T48" s="25">
        <f>IF(A48="","",INDEX(Model!$C$78:$DR$78,1,45))</f>
        <v/>
      </c>
      <c r="U48" s="25">
        <f>IF(A48="","",INDEX(Model!$C$79:$DR$79,1,45))</f>
        <v/>
      </c>
      <c r="V48" s="25">
        <f>IF(A48="","",INDEX(Model!$C$64:$DR$64,1,45))</f>
        <v/>
      </c>
      <c r="W48" s="25">
        <f>IF(A48="","",INDEX(Model!$C$71:$DR$71,1,45))</f>
        <v/>
      </c>
      <c r="X48" s="25">
        <f>IF(A48="","",INDEX(Model!$C$72:$DR$72,1,45))</f>
        <v/>
      </c>
      <c r="Y48" s="25">
        <f>IF(A48="","",INDEX(Model!$C$73:$DR$73,1,45))</f>
        <v/>
      </c>
    </row>
    <row r="49">
      <c r="A49">
        <f>IF(46&lt;=Effective!$B$7,46,"")</f>
        <v/>
      </c>
      <c r="B49">
        <f>IF(A49="","",INDEX(Model!$C$1:$DR$1,1,46))</f>
        <v/>
      </c>
      <c r="C49">
        <f>IF(A49="","",INDEX(Model!$C$7:$DR$7,1,46))</f>
        <v/>
      </c>
      <c r="D49">
        <f>IF(A49="","",INDEX(Model!$C$8:$DR$8,1,46))</f>
        <v/>
      </c>
      <c r="E49" s="25">
        <f>IF(A49="","",INDEX(Model!$C$18:$DR$18,1,46))</f>
        <v/>
      </c>
      <c r="F49" s="25">
        <f>IF(A49="","",INDEX(Model!$C$27:$DR$27,1,46))</f>
        <v/>
      </c>
      <c r="G49" s="25">
        <f>IF(A49="","",INDEX(Model!$C$28:$DR$28,1,46))</f>
        <v/>
      </c>
      <c r="H49" s="25">
        <f>IF(A49="","",INDEX(Model!$C$44:$DR$44,1,46))</f>
        <v/>
      </c>
      <c r="I49" s="25">
        <f>IF(A49="","",INDEX(Model!$C$45:$DR$45,1,46))</f>
        <v/>
      </c>
      <c r="J49" s="25">
        <f>IF(A49="","",INDEX(Model!$C$46:$DR$46,1,46))</f>
        <v/>
      </c>
      <c r="K49" s="25">
        <f>IF(A49="","",INDEX(Model!$C$62:$DR$62,1,46))</f>
        <v/>
      </c>
      <c r="L49" s="25">
        <f>IF(A49="","",INDEX(Model!$C$65:$DR$65,1,46))</f>
        <v/>
      </c>
      <c r="M49" s="25">
        <f>IF(A49="","",INDEX(Model!$C$69:$DR$69,1,46))</f>
        <v/>
      </c>
      <c r="N49" s="25">
        <f>IF(A49="","",INDEX(Model!$C$70:$DR$70,1,46))</f>
        <v/>
      </c>
      <c r="O49" s="25">
        <f>IF(A49="","",INDEX(Model!$C$74:$DR$74,1,46))</f>
        <v/>
      </c>
      <c r="P49" s="25">
        <f>IF(A49="","",INDEX(Model!$C$75:$DR$75,1,46))</f>
        <v/>
      </c>
      <c r="Q49" s="25">
        <f>IF(A49="","",INDEX(Model!$C$76:$DR$76,1,46))</f>
        <v/>
      </c>
      <c r="R49" s="25">
        <f>IF(A49="","",INDEX(Model!$C$63:$DR$63,1,46))</f>
        <v/>
      </c>
      <c r="S49" s="25">
        <f>IF(A49="","",INDEX(Model!$C$77:$DR$77,1,46))</f>
        <v/>
      </c>
      <c r="T49" s="25">
        <f>IF(A49="","",INDEX(Model!$C$78:$DR$78,1,46))</f>
        <v/>
      </c>
      <c r="U49" s="25">
        <f>IF(A49="","",INDEX(Model!$C$79:$DR$79,1,46))</f>
        <v/>
      </c>
      <c r="V49" s="25">
        <f>IF(A49="","",INDEX(Model!$C$64:$DR$64,1,46))</f>
        <v/>
      </c>
      <c r="W49" s="25">
        <f>IF(A49="","",INDEX(Model!$C$71:$DR$71,1,46))</f>
        <v/>
      </c>
      <c r="X49" s="25">
        <f>IF(A49="","",INDEX(Model!$C$72:$DR$72,1,46))</f>
        <v/>
      </c>
      <c r="Y49" s="25">
        <f>IF(A49="","",INDEX(Model!$C$73:$DR$73,1,46))</f>
        <v/>
      </c>
    </row>
    <row r="50">
      <c r="A50">
        <f>IF(47&lt;=Effective!$B$7,47,"")</f>
        <v/>
      </c>
      <c r="B50">
        <f>IF(A50="","",INDEX(Model!$C$1:$DR$1,1,47))</f>
        <v/>
      </c>
      <c r="C50">
        <f>IF(A50="","",INDEX(Model!$C$7:$DR$7,1,47))</f>
        <v/>
      </c>
      <c r="D50">
        <f>IF(A50="","",INDEX(Model!$C$8:$DR$8,1,47))</f>
        <v/>
      </c>
      <c r="E50" s="25">
        <f>IF(A50="","",INDEX(Model!$C$18:$DR$18,1,47))</f>
        <v/>
      </c>
      <c r="F50" s="25">
        <f>IF(A50="","",INDEX(Model!$C$27:$DR$27,1,47))</f>
        <v/>
      </c>
      <c r="G50" s="25">
        <f>IF(A50="","",INDEX(Model!$C$28:$DR$28,1,47))</f>
        <v/>
      </c>
      <c r="H50" s="25">
        <f>IF(A50="","",INDEX(Model!$C$44:$DR$44,1,47))</f>
        <v/>
      </c>
      <c r="I50" s="25">
        <f>IF(A50="","",INDEX(Model!$C$45:$DR$45,1,47))</f>
        <v/>
      </c>
      <c r="J50" s="25">
        <f>IF(A50="","",INDEX(Model!$C$46:$DR$46,1,47))</f>
        <v/>
      </c>
      <c r="K50" s="25">
        <f>IF(A50="","",INDEX(Model!$C$62:$DR$62,1,47))</f>
        <v/>
      </c>
      <c r="L50" s="25">
        <f>IF(A50="","",INDEX(Model!$C$65:$DR$65,1,47))</f>
        <v/>
      </c>
      <c r="M50" s="25">
        <f>IF(A50="","",INDEX(Model!$C$69:$DR$69,1,47))</f>
        <v/>
      </c>
      <c r="N50" s="25">
        <f>IF(A50="","",INDEX(Model!$C$70:$DR$70,1,47))</f>
        <v/>
      </c>
      <c r="O50" s="25">
        <f>IF(A50="","",INDEX(Model!$C$74:$DR$74,1,47))</f>
        <v/>
      </c>
      <c r="P50" s="25">
        <f>IF(A50="","",INDEX(Model!$C$75:$DR$75,1,47))</f>
        <v/>
      </c>
      <c r="Q50" s="25">
        <f>IF(A50="","",INDEX(Model!$C$76:$DR$76,1,47))</f>
        <v/>
      </c>
      <c r="R50" s="25">
        <f>IF(A50="","",INDEX(Model!$C$63:$DR$63,1,47))</f>
        <v/>
      </c>
      <c r="S50" s="25">
        <f>IF(A50="","",INDEX(Model!$C$77:$DR$77,1,47))</f>
        <v/>
      </c>
      <c r="T50" s="25">
        <f>IF(A50="","",INDEX(Model!$C$78:$DR$78,1,47))</f>
        <v/>
      </c>
      <c r="U50" s="25">
        <f>IF(A50="","",INDEX(Model!$C$79:$DR$79,1,47))</f>
        <v/>
      </c>
      <c r="V50" s="25">
        <f>IF(A50="","",INDEX(Model!$C$64:$DR$64,1,47))</f>
        <v/>
      </c>
      <c r="W50" s="25">
        <f>IF(A50="","",INDEX(Model!$C$71:$DR$71,1,47))</f>
        <v/>
      </c>
      <c r="X50" s="25">
        <f>IF(A50="","",INDEX(Model!$C$72:$DR$72,1,47))</f>
        <v/>
      </c>
      <c r="Y50" s="25">
        <f>IF(A50="","",INDEX(Model!$C$73:$DR$73,1,47))</f>
        <v/>
      </c>
    </row>
    <row r="51">
      <c r="A51">
        <f>IF(48&lt;=Effective!$B$7,48,"")</f>
        <v/>
      </c>
      <c r="B51">
        <f>IF(A51="","",INDEX(Model!$C$1:$DR$1,1,48))</f>
        <v/>
      </c>
      <c r="C51">
        <f>IF(A51="","",INDEX(Model!$C$7:$DR$7,1,48))</f>
        <v/>
      </c>
      <c r="D51">
        <f>IF(A51="","",INDEX(Model!$C$8:$DR$8,1,48))</f>
        <v/>
      </c>
      <c r="E51" s="25">
        <f>IF(A51="","",INDEX(Model!$C$18:$DR$18,1,48))</f>
        <v/>
      </c>
      <c r="F51" s="25">
        <f>IF(A51="","",INDEX(Model!$C$27:$DR$27,1,48))</f>
        <v/>
      </c>
      <c r="G51" s="25">
        <f>IF(A51="","",INDEX(Model!$C$28:$DR$28,1,48))</f>
        <v/>
      </c>
      <c r="H51" s="25">
        <f>IF(A51="","",INDEX(Model!$C$44:$DR$44,1,48))</f>
        <v/>
      </c>
      <c r="I51" s="25">
        <f>IF(A51="","",INDEX(Model!$C$45:$DR$45,1,48))</f>
        <v/>
      </c>
      <c r="J51" s="25">
        <f>IF(A51="","",INDEX(Model!$C$46:$DR$46,1,48))</f>
        <v/>
      </c>
      <c r="K51" s="25">
        <f>IF(A51="","",INDEX(Model!$C$62:$DR$62,1,48))</f>
        <v/>
      </c>
      <c r="L51" s="25">
        <f>IF(A51="","",INDEX(Model!$C$65:$DR$65,1,48))</f>
        <v/>
      </c>
      <c r="M51" s="25">
        <f>IF(A51="","",INDEX(Model!$C$69:$DR$69,1,48))</f>
        <v/>
      </c>
      <c r="N51" s="25">
        <f>IF(A51="","",INDEX(Model!$C$70:$DR$70,1,48))</f>
        <v/>
      </c>
      <c r="O51" s="25">
        <f>IF(A51="","",INDEX(Model!$C$74:$DR$74,1,48))</f>
        <v/>
      </c>
      <c r="P51" s="25">
        <f>IF(A51="","",INDEX(Model!$C$75:$DR$75,1,48))</f>
        <v/>
      </c>
      <c r="Q51" s="25">
        <f>IF(A51="","",INDEX(Model!$C$76:$DR$76,1,48))</f>
        <v/>
      </c>
      <c r="R51" s="25">
        <f>IF(A51="","",INDEX(Model!$C$63:$DR$63,1,48))</f>
        <v/>
      </c>
      <c r="S51" s="25">
        <f>IF(A51="","",INDEX(Model!$C$77:$DR$77,1,48))</f>
        <v/>
      </c>
      <c r="T51" s="25">
        <f>IF(A51="","",INDEX(Model!$C$78:$DR$78,1,48))</f>
        <v/>
      </c>
      <c r="U51" s="25">
        <f>IF(A51="","",INDEX(Model!$C$79:$DR$79,1,48))</f>
        <v/>
      </c>
      <c r="V51" s="25">
        <f>IF(A51="","",INDEX(Model!$C$64:$DR$64,1,48))</f>
        <v/>
      </c>
      <c r="W51" s="25">
        <f>IF(A51="","",INDEX(Model!$C$71:$DR$71,1,48))</f>
        <v/>
      </c>
      <c r="X51" s="25">
        <f>IF(A51="","",INDEX(Model!$C$72:$DR$72,1,48))</f>
        <v/>
      </c>
      <c r="Y51" s="25">
        <f>IF(A51="","",INDEX(Model!$C$73:$DR$73,1,48))</f>
        <v/>
      </c>
    </row>
    <row r="52">
      <c r="A52">
        <f>IF(49&lt;=Effective!$B$7,49,"")</f>
        <v/>
      </c>
      <c r="B52">
        <f>IF(A52="","",INDEX(Model!$C$1:$DR$1,1,49))</f>
        <v/>
      </c>
      <c r="C52">
        <f>IF(A52="","",INDEX(Model!$C$7:$DR$7,1,49))</f>
        <v/>
      </c>
      <c r="D52">
        <f>IF(A52="","",INDEX(Model!$C$8:$DR$8,1,49))</f>
        <v/>
      </c>
      <c r="E52" s="25">
        <f>IF(A52="","",INDEX(Model!$C$18:$DR$18,1,49))</f>
        <v/>
      </c>
      <c r="F52" s="25">
        <f>IF(A52="","",INDEX(Model!$C$27:$DR$27,1,49))</f>
        <v/>
      </c>
      <c r="G52" s="25">
        <f>IF(A52="","",INDEX(Model!$C$28:$DR$28,1,49))</f>
        <v/>
      </c>
      <c r="H52" s="25">
        <f>IF(A52="","",INDEX(Model!$C$44:$DR$44,1,49))</f>
        <v/>
      </c>
      <c r="I52" s="25">
        <f>IF(A52="","",INDEX(Model!$C$45:$DR$45,1,49))</f>
        <v/>
      </c>
      <c r="J52" s="25">
        <f>IF(A52="","",INDEX(Model!$C$46:$DR$46,1,49))</f>
        <v/>
      </c>
      <c r="K52" s="25">
        <f>IF(A52="","",INDEX(Model!$C$62:$DR$62,1,49))</f>
        <v/>
      </c>
      <c r="L52" s="25">
        <f>IF(A52="","",INDEX(Model!$C$65:$DR$65,1,49))</f>
        <v/>
      </c>
      <c r="M52" s="25">
        <f>IF(A52="","",INDEX(Model!$C$69:$DR$69,1,49))</f>
        <v/>
      </c>
      <c r="N52" s="25">
        <f>IF(A52="","",INDEX(Model!$C$70:$DR$70,1,49))</f>
        <v/>
      </c>
      <c r="O52" s="25">
        <f>IF(A52="","",INDEX(Model!$C$74:$DR$74,1,49))</f>
        <v/>
      </c>
      <c r="P52" s="25">
        <f>IF(A52="","",INDEX(Model!$C$75:$DR$75,1,49))</f>
        <v/>
      </c>
      <c r="Q52" s="25">
        <f>IF(A52="","",INDEX(Model!$C$76:$DR$76,1,49))</f>
        <v/>
      </c>
      <c r="R52" s="25">
        <f>IF(A52="","",INDEX(Model!$C$63:$DR$63,1,49))</f>
        <v/>
      </c>
      <c r="S52" s="25">
        <f>IF(A52="","",INDEX(Model!$C$77:$DR$77,1,49))</f>
        <v/>
      </c>
      <c r="T52" s="25">
        <f>IF(A52="","",INDEX(Model!$C$78:$DR$78,1,49))</f>
        <v/>
      </c>
      <c r="U52" s="25">
        <f>IF(A52="","",INDEX(Model!$C$79:$DR$79,1,49))</f>
        <v/>
      </c>
      <c r="V52" s="25">
        <f>IF(A52="","",INDEX(Model!$C$64:$DR$64,1,49))</f>
        <v/>
      </c>
      <c r="W52" s="25">
        <f>IF(A52="","",INDEX(Model!$C$71:$DR$71,1,49))</f>
        <v/>
      </c>
      <c r="X52" s="25">
        <f>IF(A52="","",INDEX(Model!$C$72:$DR$72,1,49))</f>
        <v/>
      </c>
      <c r="Y52" s="25">
        <f>IF(A52="","",INDEX(Model!$C$73:$DR$73,1,49))</f>
        <v/>
      </c>
    </row>
    <row r="53">
      <c r="A53">
        <f>IF(50&lt;=Effective!$B$7,50,"")</f>
        <v/>
      </c>
      <c r="B53">
        <f>IF(A53="","",INDEX(Model!$C$1:$DR$1,1,50))</f>
        <v/>
      </c>
      <c r="C53">
        <f>IF(A53="","",INDEX(Model!$C$7:$DR$7,1,50))</f>
        <v/>
      </c>
      <c r="D53">
        <f>IF(A53="","",INDEX(Model!$C$8:$DR$8,1,50))</f>
        <v/>
      </c>
      <c r="E53" s="25">
        <f>IF(A53="","",INDEX(Model!$C$18:$DR$18,1,50))</f>
        <v/>
      </c>
      <c r="F53" s="25">
        <f>IF(A53="","",INDEX(Model!$C$27:$DR$27,1,50))</f>
        <v/>
      </c>
      <c r="G53" s="25">
        <f>IF(A53="","",INDEX(Model!$C$28:$DR$28,1,50))</f>
        <v/>
      </c>
      <c r="H53" s="25">
        <f>IF(A53="","",INDEX(Model!$C$44:$DR$44,1,50))</f>
        <v/>
      </c>
      <c r="I53" s="25">
        <f>IF(A53="","",INDEX(Model!$C$45:$DR$45,1,50))</f>
        <v/>
      </c>
      <c r="J53" s="25">
        <f>IF(A53="","",INDEX(Model!$C$46:$DR$46,1,50))</f>
        <v/>
      </c>
      <c r="K53" s="25">
        <f>IF(A53="","",INDEX(Model!$C$62:$DR$62,1,50))</f>
        <v/>
      </c>
      <c r="L53" s="25">
        <f>IF(A53="","",INDEX(Model!$C$65:$DR$65,1,50))</f>
        <v/>
      </c>
      <c r="M53" s="25">
        <f>IF(A53="","",INDEX(Model!$C$69:$DR$69,1,50))</f>
        <v/>
      </c>
      <c r="N53" s="25">
        <f>IF(A53="","",INDEX(Model!$C$70:$DR$70,1,50))</f>
        <v/>
      </c>
      <c r="O53" s="25">
        <f>IF(A53="","",INDEX(Model!$C$74:$DR$74,1,50))</f>
        <v/>
      </c>
      <c r="P53" s="25">
        <f>IF(A53="","",INDEX(Model!$C$75:$DR$75,1,50))</f>
        <v/>
      </c>
      <c r="Q53" s="25">
        <f>IF(A53="","",INDEX(Model!$C$76:$DR$76,1,50))</f>
        <v/>
      </c>
      <c r="R53" s="25">
        <f>IF(A53="","",INDEX(Model!$C$63:$DR$63,1,50))</f>
        <v/>
      </c>
      <c r="S53" s="25">
        <f>IF(A53="","",INDEX(Model!$C$77:$DR$77,1,50))</f>
        <v/>
      </c>
      <c r="T53" s="25">
        <f>IF(A53="","",INDEX(Model!$C$78:$DR$78,1,50))</f>
        <v/>
      </c>
      <c r="U53" s="25">
        <f>IF(A53="","",INDEX(Model!$C$79:$DR$79,1,50))</f>
        <v/>
      </c>
      <c r="V53" s="25">
        <f>IF(A53="","",INDEX(Model!$C$64:$DR$64,1,50))</f>
        <v/>
      </c>
      <c r="W53" s="25">
        <f>IF(A53="","",INDEX(Model!$C$71:$DR$71,1,50))</f>
        <v/>
      </c>
      <c r="X53" s="25">
        <f>IF(A53="","",INDEX(Model!$C$72:$DR$72,1,50))</f>
        <v/>
      </c>
      <c r="Y53" s="25">
        <f>IF(A53="","",INDEX(Model!$C$73:$DR$73,1,50))</f>
        <v/>
      </c>
    </row>
    <row r="54">
      <c r="A54">
        <f>IF(51&lt;=Effective!$B$7,51,"")</f>
        <v/>
      </c>
      <c r="B54">
        <f>IF(A54="","",INDEX(Model!$C$1:$DR$1,1,51))</f>
        <v/>
      </c>
      <c r="C54">
        <f>IF(A54="","",INDEX(Model!$C$7:$DR$7,1,51))</f>
        <v/>
      </c>
      <c r="D54">
        <f>IF(A54="","",INDEX(Model!$C$8:$DR$8,1,51))</f>
        <v/>
      </c>
      <c r="E54" s="25">
        <f>IF(A54="","",INDEX(Model!$C$18:$DR$18,1,51))</f>
        <v/>
      </c>
      <c r="F54" s="25">
        <f>IF(A54="","",INDEX(Model!$C$27:$DR$27,1,51))</f>
        <v/>
      </c>
      <c r="G54" s="25">
        <f>IF(A54="","",INDEX(Model!$C$28:$DR$28,1,51))</f>
        <v/>
      </c>
      <c r="H54" s="25">
        <f>IF(A54="","",INDEX(Model!$C$44:$DR$44,1,51))</f>
        <v/>
      </c>
      <c r="I54" s="25">
        <f>IF(A54="","",INDEX(Model!$C$45:$DR$45,1,51))</f>
        <v/>
      </c>
      <c r="J54" s="25">
        <f>IF(A54="","",INDEX(Model!$C$46:$DR$46,1,51))</f>
        <v/>
      </c>
      <c r="K54" s="25">
        <f>IF(A54="","",INDEX(Model!$C$62:$DR$62,1,51))</f>
        <v/>
      </c>
      <c r="L54" s="25">
        <f>IF(A54="","",INDEX(Model!$C$65:$DR$65,1,51))</f>
        <v/>
      </c>
      <c r="M54" s="25">
        <f>IF(A54="","",INDEX(Model!$C$69:$DR$69,1,51))</f>
        <v/>
      </c>
      <c r="N54" s="25">
        <f>IF(A54="","",INDEX(Model!$C$70:$DR$70,1,51))</f>
        <v/>
      </c>
      <c r="O54" s="25">
        <f>IF(A54="","",INDEX(Model!$C$74:$DR$74,1,51))</f>
        <v/>
      </c>
      <c r="P54" s="25">
        <f>IF(A54="","",INDEX(Model!$C$75:$DR$75,1,51))</f>
        <v/>
      </c>
      <c r="Q54" s="25">
        <f>IF(A54="","",INDEX(Model!$C$76:$DR$76,1,51))</f>
        <v/>
      </c>
      <c r="R54" s="25">
        <f>IF(A54="","",INDEX(Model!$C$63:$DR$63,1,51))</f>
        <v/>
      </c>
      <c r="S54" s="25">
        <f>IF(A54="","",INDEX(Model!$C$77:$DR$77,1,51))</f>
        <v/>
      </c>
      <c r="T54" s="25">
        <f>IF(A54="","",INDEX(Model!$C$78:$DR$78,1,51))</f>
        <v/>
      </c>
      <c r="U54" s="25">
        <f>IF(A54="","",INDEX(Model!$C$79:$DR$79,1,51))</f>
        <v/>
      </c>
      <c r="V54" s="25">
        <f>IF(A54="","",INDEX(Model!$C$64:$DR$64,1,51))</f>
        <v/>
      </c>
      <c r="W54" s="25">
        <f>IF(A54="","",INDEX(Model!$C$71:$DR$71,1,51))</f>
        <v/>
      </c>
      <c r="X54" s="25">
        <f>IF(A54="","",INDEX(Model!$C$72:$DR$72,1,51))</f>
        <v/>
      </c>
      <c r="Y54" s="25">
        <f>IF(A54="","",INDEX(Model!$C$73:$DR$73,1,51))</f>
        <v/>
      </c>
    </row>
    <row r="55">
      <c r="A55">
        <f>IF(52&lt;=Effective!$B$7,52,"")</f>
        <v/>
      </c>
      <c r="B55">
        <f>IF(A55="","",INDEX(Model!$C$1:$DR$1,1,52))</f>
        <v/>
      </c>
      <c r="C55">
        <f>IF(A55="","",INDEX(Model!$C$7:$DR$7,1,52))</f>
        <v/>
      </c>
      <c r="D55">
        <f>IF(A55="","",INDEX(Model!$C$8:$DR$8,1,52))</f>
        <v/>
      </c>
      <c r="E55" s="25">
        <f>IF(A55="","",INDEX(Model!$C$18:$DR$18,1,52))</f>
        <v/>
      </c>
      <c r="F55" s="25">
        <f>IF(A55="","",INDEX(Model!$C$27:$DR$27,1,52))</f>
        <v/>
      </c>
      <c r="G55" s="25">
        <f>IF(A55="","",INDEX(Model!$C$28:$DR$28,1,52))</f>
        <v/>
      </c>
      <c r="H55" s="25">
        <f>IF(A55="","",INDEX(Model!$C$44:$DR$44,1,52))</f>
        <v/>
      </c>
      <c r="I55" s="25">
        <f>IF(A55="","",INDEX(Model!$C$45:$DR$45,1,52))</f>
        <v/>
      </c>
      <c r="J55" s="25">
        <f>IF(A55="","",INDEX(Model!$C$46:$DR$46,1,52))</f>
        <v/>
      </c>
      <c r="K55" s="25">
        <f>IF(A55="","",INDEX(Model!$C$62:$DR$62,1,52))</f>
        <v/>
      </c>
      <c r="L55" s="25">
        <f>IF(A55="","",INDEX(Model!$C$65:$DR$65,1,52))</f>
        <v/>
      </c>
      <c r="M55" s="25">
        <f>IF(A55="","",INDEX(Model!$C$69:$DR$69,1,52))</f>
        <v/>
      </c>
      <c r="N55" s="25">
        <f>IF(A55="","",INDEX(Model!$C$70:$DR$70,1,52))</f>
        <v/>
      </c>
      <c r="O55" s="25">
        <f>IF(A55="","",INDEX(Model!$C$74:$DR$74,1,52))</f>
        <v/>
      </c>
      <c r="P55" s="25">
        <f>IF(A55="","",INDEX(Model!$C$75:$DR$75,1,52))</f>
        <v/>
      </c>
      <c r="Q55" s="25">
        <f>IF(A55="","",INDEX(Model!$C$76:$DR$76,1,52))</f>
        <v/>
      </c>
      <c r="R55" s="25">
        <f>IF(A55="","",INDEX(Model!$C$63:$DR$63,1,52))</f>
        <v/>
      </c>
      <c r="S55" s="25">
        <f>IF(A55="","",INDEX(Model!$C$77:$DR$77,1,52))</f>
        <v/>
      </c>
      <c r="T55" s="25">
        <f>IF(A55="","",INDEX(Model!$C$78:$DR$78,1,52))</f>
        <v/>
      </c>
      <c r="U55" s="25">
        <f>IF(A55="","",INDEX(Model!$C$79:$DR$79,1,52))</f>
        <v/>
      </c>
      <c r="V55" s="25">
        <f>IF(A55="","",INDEX(Model!$C$64:$DR$64,1,52))</f>
        <v/>
      </c>
      <c r="W55" s="25">
        <f>IF(A55="","",INDEX(Model!$C$71:$DR$71,1,52))</f>
        <v/>
      </c>
      <c r="X55" s="25">
        <f>IF(A55="","",INDEX(Model!$C$72:$DR$72,1,52))</f>
        <v/>
      </c>
      <c r="Y55" s="25">
        <f>IF(A55="","",INDEX(Model!$C$73:$DR$73,1,52))</f>
        <v/>
      </c>
    </row>
    <row r="56">
      <c r="A56">
        <f>IF(53&lt;=Effective!$B$7,53,"")</f>
        <v/>
      </c>
      <c r="B56">
        <f>IF(A56="","",INDEX(Model!$C$1:$DR$1,1,53))</f>
        <v/>
      </c>
      <c r="C56">
        <f>IF(A56="","",INDEX(Model!$C$7:$DR$7,1,53))</f>
        <v/>
      </c>
      <c r="D56">
        <f>IF(A56="","",INDEX(Model!$C$8:$DR$8,1,53))</f>
        <v/>
      </c>
      <c r="E56" s="25">
        <f>IF(A56="","",INDEX(Model!$C$18:$DR$18,1,53))</f>
        <v/>
      </c>
      <c r="F56" s="25">
        <f>IF(A56="","",INDEX(Model!$C$27:$DR$27,1,53))</f>
        <v/>
      </c>
      <c r="G56" s="25">
        <f>IF(A56="","",INDEX(Model!$C$28:$DR$28,1,53))</f>
        <v/>
      </c>
      <c r="H56" s="25">
        <f>IF(A56="","",INDEX(Model!$C$44:$DR$44,1,53))</f>
        <v/>
      </c>
      <c r="I56" s="25">
        <f>IF(A56="","",INDEX(Model!$C$45:$DR$45,1,53))</f>
        <v/>
      </c>
      <c r="J56" s="25">
        <f>IF(A56="","",INDEX(Model!$C$46:$DR$46,1,53))</f>
        <v/>
      </c>
      <c r="K56" s="25">
        <f>IF(A56="","",INDEX(Model!$C$62:$DR$62,1,53))</f>
        <v/>
      </c>
      <c r="L56" s="25">
        <f>IF(A56="","",INDEX(Model!$C$65:$DR$65,1,53))</f>
        <v/>
      </c>
      <c r="M56" s="25">
        <f>IF(A56="","",INDEX(Model!$C$69:$DR$69,1,53))</f>
        <v/>
      </c>
      <c r="N56" s="25">
        <f>IF(A56="","",INDEX(Model!$C$70:$DR$70,1,53))</f>
        <v/>
      </c>
      <c r="O56" s="25">
        <f>IF(A56="","",INDEX(Model!$C$74:$DR$74,1,53))</f>
        <v/>
      </c>
      <c r="P56" s="25">
        <f>IF(A56="","",INDEX(Model!$C$75:$DR$75,1,53))</f>
        <v/>
      </c>
      <c r="Q56" s="25">
        <f>IF(A56="","",INDEX(Model!$C$76:$DR$76,1,53))</f>
        <v/>
      </c>
      <c r="R56" s="25">
        <f>IF(A56="","",INDEX(Model!$C$63:$DR$63,1,53))</f>
        <v/>
      </c>
      <c r="S56" s="25">
        <f>IF(A56="","",INDEX(Model!$C$77:$DR$77,1,53))</f>
        <v/>
      </c>
      <c r="T56" s="25">
        <f>IF(A56="","",INDEX(Model!$C$78:$DR$78,1,53))</f>
        <v/>
      </c>
      <c r="U56" s="25">
        <f>IF(A56="","",INDEX(Model!$C$79:$DR$79,1,53))</f>
        <v/>
      </c>
      <c r="V56" s="25">
        <f>IF(A56="","",INDEX(Model!$C$64:$DR$64,1,53))</f>
        <v/>
      </c>
      <c r="W56" s="25">
        <f>IF(A56="","",INDEX(Model!$C$71:$DR$71,1,53))</f>
        <v/>
      </c>
      <c r="X56" s="25">
        <f>IF(A56="","",INDEX(Model!$C$72:$DR$72,1,53))</f>
        <v/>
      </c>
      <c r="Y56" s="25">
        <f>IF(A56="","",INDEX(Model!$C$73:$DR$73,1,53))</f>
        <v/>
      </c>
    </row>
    <row r="57">
      <c r="A57">
        <f>IF(54&lt;=Effective!$B$7,54,"")</f>
        <v/>
      </c>
      <c r="B57">
        <f>IF(A57="","",INDEX(Model!$C$1:$DR$1,1,54))</f>
        <v/>
      </c>
      <c r="C57">
        <f>IF(A57="","",INDEX(Model!$C$7:$DR$7,1,54))</f>
        <v/>
      </c>
      <c r="D57">
        <f>IF(A57="","",INDEX(Model!$C$8:$DR$8,1,54))</f>
        <v/>
      </c>
      <c r="E57" s="25">
        <f>IF(A57="","",INDEX(Model!$C$18:$DR$18,1,54))</f>
        <v/>
      </c>
      <c r="F57" s="25">
        <f>IF(A57="","",INDEX(Model!$C$27:$DR$27,1,54))</f>
        <v/>
      </c>
      <c r="G57" s="25">
        <f>IF(A57="","",INDEX(Model!$C$28:$DR$28,1,54))</f>
        <v/>
      </c>
      <c r="H57" s="25">
        <f>IF(A57="","",INDEX(Model!$C$44:$DR$44,1,54))</f>
        <v/>
      </c>
      <c r="I57" s="25">
        <f>IF(A57="","",INDEX(Model!$C$45:$DR$45,1,54))</f>
        <v/>
      </c>
      <c r="J57" s="25">
        <f>IF(A57="","",INDEX(Model!$C$46:$DR$46,1,54))</f>
        <v/>
      </c>
      <c r="K57" s="25">
        <f>IF(A57="","",INDEX(Model!$C$62:$DR$62,1,54))</f>
        <v/>
      </c>
      <c r="L57" s="25">
        <f>IF(A57="","",INDEX(Model!$C$65:$DR$65,1,54))</f>
        <v/>
      </c>
      <c r="M57" s="25">
        <f>IF(A57="","",INDEX(Model!$C$69:$DR$69,1,54))</f>
        <v/>
      </c>
      <c r="N57" s="25">
        <f>IF(A57="","",INDEX(Model!$C$70:$DR$70,1,54))</f>
        <v/>
      </c>
      <c r="O57" s="25">
        <f>IF(A57="","",INDEX(Model!$C$74:$DR$74,1,54))</f>
        <v/>
      </c>
      <c r="P57" s="25">
        <f>IF(A57="","",INDEX(Model!$C$75:$DR$75,1,54))</f>
        <v/>
      </c>
      <c r="Q57" s="25">
        <f>IF(A57="","",INDEX(Model!$C$76:$DR$76,1,54))</f>
        <v/>
      </c>
      <c r="R57" s="25">
        <f>IF(A57="","",INDEX(Model!$C$63:$DR$63,1,54))</f>
        <v/>
      </c>
      <c r="S57" s="25">
        <f>IF(A57="","",INDEX(Model!$C$77:$DR$77,1,54))</f>
        <v/>
      </c>
      <c r="T57" s="25">
        <f>IF(A57="","",INDEX(Model!$C$78:$DR$78,1,54))</f>
        <v/>
      </c>
      <c r="U57" s="25">
        <f>IF(A57="","",INDEX(Model!$C$79:$DR$79,1,54))</f>
        <v/>
      </c>
      <c r="V57" s="25">
        <f>IF(A57="","",INDEX(Model!$C$64:$DR$64,1,54))</f>
        <v/>
      </c>
      <c r="W57" s="25">
        <f>IF(A57="","",INDEX(Model!$C$71:$DR$71,1,54))</f>
        <v/>
      </c>
      <c r="X57" s="25">
        <f>IF(A57="","",INDEX(Model!$C$72:$DR$72,1,54))</f>
        <v/>
      </c>
      <c r="Y57" s="25">
        <f>IF(A57="","",INDEX(Model!$C$73:$DR$73,1,54))</f>
        <v/>
      </c>
    </row>
    <row r="58">
      <c r="A58">
        <f>IF(55&lt;=Effective!$B$7,55,"")</f>
        <v/>
      </c>
      <c r="B58">
        <f>IF(A58="","",INDEX(Model!$C$1:$DR$1,1,55))</f>
        <v/>
      </c>
      <c r="C58">
        <f>IF(A58="","",INDEX(Model!$C$7:$DR$7,1,55))</f>
        <v/>
      </c>
      <c r="D58">
        <f>IF(A58="","",INDEX(Model!$C$8:$DR$8,1,55))</f>
        <v/>
      </c>
      <c r="E58" s="25">
        <f>IF(A58="","",INDEX(Model!$C$18:$DR$18,1,55))</f>
        <v/>
      </c>
      <c r="F58" s="25">
        <f>IF(A58="","",INDEX(Model!$C$27:$DR$27,1,55))</f>
        <v/>
      </c>
      <c r="G58" s="25">
        <f>IF(A58="","",INDEX(Model!$C$28:$DR$28,1,55))</f>
        <v/>
      </c>
      <c r="H58" s="25">
        <f>IF(A58="","",INDEX(Model!$C$44:$DR$44,1,55))</f>
        <v/>
      </c>
      <c r="I58" s="25">
        <f>IF(A58="","",INDEX(Model!$C$45:$DR$45,1,55))</f>
        <v/>
      </c>
      <c r="J58" s="25">
        <f>IF(A58="","",INDEX(Model!$C$46:$DR$46,1,55))</f>
        <v/>
      </c>
      <c r="K58" s="25">
        <f>IF(A58="","",INDEX(Model!$C$62:$DR$62,1,55))</f>
        <v/>
      </c>
      <c r="L58" s="25">
        <f>IF(A58="","",INDEX(Model!$C$65:$DR$65,1,55))</f>
        <v/>
      </c>
      <c r="M58" s="25">
        <f>IF(A58="","",INDEX(Model!$C$69:$DR$69,1,55))</f>
        <v/>
      </c>
      <c r="N58" s="25">
        <f>IF(A58="","",INDEX(Model!$C$70:$DR$70,1,55))</f>
        <v/>
      </c>
      <c r="O58" s="25">
        <f>IF(A58="","",INDEX(Model!$C$74:$DR$74,1,55))</f>
        <v/>
      </c>
      <c r="P58" s="25">
        <f>IF(A58="","",INDEX(Model!$C$75:$DR$75,1,55))</f>
        <v/>
      </c>
      <c r="Q58" s="25">
        <f>IF(A58="","",INDEX(Model!$C$76:$DR$76,1,55))</f>
        <v/>
      </c>
      <c r="R58" s="25">
        <f>IF(A58="","",INDEX(Model!$C$63:$DR$63,1,55))</f>
        <v/>
      </c>
      <c r="S58" s="25">
        <f>IF(A58="","",INDEX(Model!$C$77:$DR$77,1,55))</f>
        <v/>
      </c>
      <c r="T58" s="25">
        <f>IF(A58="","",INDEX(Model!$C$78:$DR$78,1,55))</f>
        <v/>
      </c>
      <c r="U58" s="25">
        <f>IF(A58="","",INDEX(Model!$C$79:$DR$79,1,55))</f>
        <v/>
      </c>
      <c r="V58" s="25">
        <f>IF(A58="","",INDEX(Model!$C$64:$DR$64,1,55))</f>
        <v/>
      </c>
      <c r="W58" s="25">
        <f>IF(A58="","",INDEX(Model!$C$71:$DR$71,1,55))</f>
        <v/>
      </c>
      <c r="X58" s="25">
        <f>IF(A58="","",INDEX(Model!$C$72:$DR$72,1,55))</f>
        <v/>
      </c>
      <c r="Y58" s="25">
        <f>IF(A58="","",INDEX(Model!$C$73:$DR$73,1,55))</f>
        <v/>
      </c>
    </row>
    <row r="59">
      <c r="A59">
        <f>IF(56&lt;=Effective!$B$7,56,"")</f>
        <v/>
      </c>
      <c r="B59">
        <f>IF(A59="","",INDEX(Model!$C$1:$DR$1,1,56))</f>
        <v/>
      </c>
      <c r="C59">
        <f>IF(A59="","",INDEX(Model!$C$7:$DR$7,1,56))</f>
        <v/>
      </c>
      <c r="D59">
        <f>IF(A59="","",INDEX(Model!$C$8:$DR$8,1,56))</f>
        <v/>
      </c>
      <c r="E59" s="25">
        <f>IF(A59="","",INDEX(Model!$C$18:$DR$18,1,56))</f>
        <v/>
      </c>
      <c r="F59" s="25">
        <f>IF(A59="","",INDEX(Model!$C$27:$DR$27,1,56))</f>
        <v/>
      </c>
      <c r="G59" s="25">
        <f>IF(A59="","",INDEX(Model!$C$28:$DR$28,1,56))</f>
        <v/>
      </c>
      <c r="H59" s="25">
        <f>IF(A59="","",INDEX(Model!$C$44:$DR$44,1,56))</f>
        <v/>
      </c>
      <c r="I59" s="25">
        <f>IF(A59="","",INDEX(Model!$C$45:$DR$45,1,56))</f>
        <v/>
      </c>
      <c r="J59" s="25">
        <f>IF(A59="","",INDEX(Model!$C$46:$DR$46,1,56))</f>
        <v/>
      </c>
      <c r="K59" s="25">
        <f>IF(A59="","",INDEX(Model!$C$62:$DR$62,1,56))</f>
        <v/>
      </c>
      <c r="L59" s="25">
        <f>IF(A59="","",INDEX(Model!$C$65:$DR$65,1,56))</f>
        <v/>
      </c>
      <c r="M59" s="25">
        <f>IF(A59="","",INDEX(Model!$C$69:$DR$69,1,56))</f>
        <v/>
      </c>
      <c r="N59" s="25">
        <f>IF(A59="","",INDEX(Model!$C$70:$DR$70,1,56))</f>
        <v/>
      </c>
      <c r="O59" s="25">
        <f>IF(A59="","",INDEX(Model!$C$74:$DR$74,1,56))</f>
        <v/>
      </c>
      <c r="P59" s="25">
        <f>IF(A59="","",INDEX(Model!$C$75:$DR$75,1,56))</f>
        <v/>
      </c>
      <c r="Q59" s="25">
        <f>IF(A59="","",INDEX(Model!$C$76:$DR$76,1,56))</f>
        <v/>
      </c>
      <c r="R59" s="25">
        <f>IF(A59="","",INDEX(Model!$C$63:$DR$63,1,56))</f>
        <v/>
      </c>
      <c r="S59" s="25">
        <f>IF(A59="","",INDEX(Model!$C$77:$DR$77,1,56))</f>
        <v/>
      </c>
      <c r="T59" s="25">
        <f>IF(A59="","",INDEX(Model!$C$78:$DR$78,1,56))</f>
        <v/>
      </c>
      <c r="U59" s="25">
        <f>IF(A59="","",INDEX(Model!$C$79:$DR$79,1,56))</f>
        <v/>
      </c>
      <c r="V59" s="25">
        <f>IF(A59="","",INDEX(Model!$C$64:$DR$64,1,56))</f>
        <v/>
      </c>
      <c r="W59" s="25">
        <f>IF(A59="","",INDEX(Model!$C$71:$DR$71,1,56))</f>
        <v/>
      </c>
      <c r="X59" s="25">
        <f>IF(A59="","",INDEX(Model!$C$72:$DR$72,1,56))</f>
        <v/>
      </c>
      <c r="Y59" s="25">
        <f>IF(A59="","",INDEX(Model!$C$73:$DR$73,1,56))</f>
        <v/>
      </c>
    </row>
    <row r="60">
      <c r="A60">
        <f>IF(57&lt;=Effective!$B$7,57,"")</f>
        <v/>
      </c>
      <c r="B60">
        <f>IF(A60="","",INDEX(Model!$C$1:$DR$1,1,57))</f>
        <v/>
      </c>
      <c r="C60">
        <f>IF(A60="","",INDEX(Model!$C$7:$DR$7,1,57))</f>
        <v/>
      </c>
      <c r="D60">
        <f>IF(A60="","",INDEX(Model!$C$8:$DR$8,1,57))</f>
        <v/>
      </c>
      <c r="E60" s="25">
        <f>IF(A60="","",INDEX(Model!$C$18:$DR$18,1,57))</f>
        <v/>
      </c>
      <c r="F60" s="25">
        <f>IF(A60="","",INDEX(Model!$C$27:$DR$27,1,57))</f>
        <v/>
      </c>
      <c r="G60" s="25">
        <f>IF(A60="","",INDEX(Model!$C$28:$DR$28,1,57))</f>
        <v/>
      </c>
      <c r="H60" s="25">
        <f>IF(A60="","",INDEX(Model!$C$44:$DR$44,1,57))</f>
        <v/>
      </c>
      <c r="I60" s="25">
        <f>IF(A60="","",INDEX(Model!$C$45:$DR$45,1,57))</f>
        <v/>
      </c>
      <c r="J60" s="25">
        <f>IF(A60="","",INDEX(Model!$C$46:$DR$46,1,57))</f>
        <v/>
      </c>
      <c r="K60" s="25">
        <f>IF(A60="","",INDEX(Model!$C$62:$DR$62,1,57))</f>
        <v/>
      </c>
      <c r="L60" s="25">
        <f>IF(A60="","",INDEX(Model!$C$65:$DR$65,1,57))</f>
        <v/>
      </c>
      <c r="M60" s="25">
        <f>IF(A60="","",INDEX(Model!$C$69:$DR$69,1,57))</f>
        <v/>
      </c>
      <c r="N60" s="25">
        <f>IF(A60="","",INDEX(Model!$C$70:$DR$70,1,57))</f>
        <v/>
      </c>
      <c r="O60" s="25">
        <f>IF(A60="","",INDEX(Model!$C$74:$DR$74,1,57))</f>
        <v/>
      </c>
      <c r="P60" s="25">
        <f>IF(A60="","",INDEX(Model!$C$75:$DR$75,1,57))</f>
        <v/>
      </c>
      <c r="Q60" s="25">
        <f>IF(A60="","",INDEX(Model!$C$76:$DR$76,1,57))</f>
        <v/>
      </c>
      <c r="R60" s="25">
        <f>IF(A60="","",INDEX(Model!$C$63:$DR$63,1,57))</f>
        <v/>
      </c>
      <c r="S60" s="25">
        <f>IF(A60="","",INDEX(Model!$C$77:$DR$77,1,57))</f>
        <v/>
      </c>
      <c r="T60" s="25">
        <f>IF(A60="","",INDEX(Model!$C$78:$DR$78,1,57))</f>
        <v/>
      </c>
      <c r="U60" s="25">
        <f>IF(A60="","",INDEX(Model!$C$79:$DR$79,1,57))</f>
        <v/>
      </c>
      <c r="V60" s="25">
        <f>IF(A60="","",INDEX(Model!$C$64:$DR$64,1,57))</f>
        <v/>
      </c>
      <c r="W60" s="25">
        <f>IF(A60="","",INDEX(Model!$C$71:$DR$71,1,57))</f>
        <v/>
      </c>
      <c r="X60" s="25">
        <f>IF(A60="","",INDEX(Model!$C$72:$DR$72,1,57))</f>
        <v/>
      </c>
      <c r="Y60" s="25">
        <f>IF(A60="","",INDEX(Model!$C$73:$DR$73,1,57))</f>
        <v/>
      </c>
    </row>
    <row r="61">
      <c r="A61">
        <f>IF(58&lt;=Effective!$B$7,58,"")</f>
        <v/>
      </c>
      <c r="B61">
        <f>IF(A61="","",INDEX(Model!$C$1:$DR$1,1,58))</f>
        <v/>
      </c>
      <c r="C61">
        <f>IF(A61="","",INDEX(Model!$C$7:$DR$7,1,58))</f>
        <v/>
      </c>
      <c r="D61">
        <f>IF(A61="","",INDEX(Model!$C$8:$DR$8,1,58))</f>
        <v/>
      </c>
      <c r="E61" s="25">
        <f>IF(A61="","",INDEX(Model!$C$18:$DR$18,1,58))</f>
        <v/>
      </c>
      <c r="F61" s="25">
        <f>IF(A61="","",INDEX(Model!$C$27:$DR$27,1,58))</f>
        <v/>
      </c>
      <c r="G61" s="25">
        <f>IF(A61="","",INDEX(Model!$C$28:$DR$28,1,58))</f>
        <v/>
      </c>
      <c r="H61" s="25">
        <f>IF(A61="","",INDEX(Model!$C$44:$DR$44,1,58))</f>
        <v/>
      </c>
      <c r="I61" s="25">
        <f>IF(A61="","",INDEX(Model!$C$45:$DR$45,1,58))</f>
        <v/>
      </c>
      <c r="J61" s="25">
        <f>IF(A61="","",INDEX(Model!$C$46:$DR$46,1,58))</f>
        <v/>
      </c>
      <c r="K61" s="25">
        <f>IF(A61="","",INDEX(Model!$C$62:$DR$62,1,58))</f>
        <v/>
      </c>
      <c r="L61" s="25">
        <f>IF(A61="","",INDEX(Model!$C$65:$DR$65,1,58))</f>
        <v/>
      </c>
      <c r="M61" s="25">
        <f>IF(A61="","",INDEX(Model!$C$69:$DR$69,1,58))</f>
        <v/>
      </c>
      <c r="N61" s="25">
        <f>IF(A61="","",INDEX(Model!$C$70:$DR$70,1,58))</f>
        <v/>
      </c>
      <c r="O61" s="25">
        <f>IF(A61="","",INDEX(Model!$C$74:$DR$74,1,58))</f>
        <v/>
      </c>
      <c r="P61" s="25">
        <f>IF(A61="","",INDEX(Model!$C$75:$DR$75,1,58))</f>
        <v/>
      </c>
      <c r="Q61" s="25">
        <f>IF(A61="","",INDEX(Model!$C$76:$DR$76,1,58))</f>
        <v/>
      </c>
      <c r="R61" s="25">
        <f>IF(A61="","",INDEX(Model!$C$63:$DR$63,1,58))</f>
        <v/>
      </c>
      <c r="S61" s="25">
        <f>IF(A61="","",INDEX(Model!$C$77:$DR$77,1,58))</f>
        <v/>
      </c>
      <c r="T61" s="25">
        <f>IF(A61="","",INDEX(Model!$C$78:$DR$78,1,58))</f>
        <v/>
      </c>
      <c r="U61" s="25">
        <f>IF(A61="","",INDEX(Model!$C$79:$DR$79,1,58))</f>
        <v/>
      </c>
      <c r="V61" s="25">
        <f>IF(A61="","",INDEX(Model!$C$64:$DR$64,1,58))</f>
        <v/>
      </c>
      <c r="W61" s="25">
        <f>IF(A61="","",INDEX(Model!$C$71:$DR$71,1,58))</f>
        <v/>
      </c>
      <c r="X61" s="25">
        <f>IF(A61="","",INDEX(Model!$C$72:$DR$72,1,58))</f>
        <v/>
      </c>
      <c r="Y61" s="25">
        <f>IF(A61="","",INDEX(Model!$C$73:$DR$73,1,58))</f>
        <v/>
      </c>
    </row>
    <row r="62">
      <c r="A62">
        <f>IF(59&lt;=Effective!$B$7,59,"")</f>
        <v/>
      </c>
      <c r="B62">
        <f>IF(A62="","",INDEX(Model!$C$1:$DR$1,1,59))</f>
        <v/>
      </c>
      <c r="C62">
        <f>IF(A62="","",INDEX(Model!$C$7:$DR$7,1,59))</f>
        <v/>
      </c>
      <c r="D62">
        <f>IF(A62="","",INDEX(Model!$C$8:$DR$8,1,59))</f>
        <v/>
      </c>
      <c r="E62" s="25">
        <f>IF(A62="","",INDEX(Model!$C$18:$DR$18,1,59))</f>
        <v/>
      </c>
      <c r="F62" s="25">
        <f>IF(A62="","",INDEX(Model!$C$27:$DR$27,1,59))</f>
        <v/>
      </c>
      <c r="G62" s="25">
        <f>IF(A62="","",INDEX(Model!$C$28:$DR$28,1,59))</f>
        <v/>
      </c>
      <c r="H62" s="25">
        <f>IF(A62="","",INDEX(Model!$C$44:$DR$44,1,59))</f>
        <v/>
      </c>
      <c r="I62" s="25">
        <f>IF(A62="","",INDEX(Model!$C$45:$DR$45,1,59))</f>
        <v/>
      </c>
      <c r="J62" s="25">
        <f>IF(A62="","",INDEX(Model!$C$46:$DR$46,1,59))</f>
        <v/>
      </c>
      <c r="K62" s="25">
        <f>IF(A62="","",INDEX(Model!$C$62:$DR$62,1,59))</f>
        <v/>
      </c>
      <c r="L62" s="25">
        <f>IF(A62="","",INDEX(Model!$C$65:$DR$65,1,59))</f>
        <v/>
      </c>
      <c r="M62" s="25">
        <f>IF(A62="","",INDEX(Model!$C$69:$DR$69,1,59))</f>
        <v/>
      </c>
      <c r="N62" s="25">
        <f>IF(A62="","",INDEX(Model!$C$70:$DR$70,1,59))</f>
        <v/>
      </c>
      <c r="O62" s="25">
        <f>IF(A62="","",INDEX(Model!$C$74:$DR$74,1,59))</f>
        <v/>
      </c>
      <c r="P62" s="25">
        <f>IF(A62="","",INDEX(Model!$C$75:$DR$75,1,59))</f>
        <v/>
      </c>
      <c r="Q62" s="25">
        <f>IF(A62="","",INDEX(Model!$C$76:$DR$76,1,59))</f>
        <v/>
      </c>
      <c r="R62" s="25">
        <f>IF(A62="","",INDEX(Model!$C$63:$DR$63,1,59))</f>
        <v/>
      </c>
      <c r="S62" s="25">
        <f>IF(A62="","",INDEX(Model!$C$77:$DR$77,1,59))</f>
        <v/>
      </c>
      <c r="T62" s="25">
        <f>IF(A62="","",INDEX(Model!$C$78:$DR$78,1,59))</f>
        <v/>
      </c>
      <c r="U62" s="25">
        <f>IF(A62="","",INDEX(Model!$C$79:$DR$79,1,59))</f>
        <v/>
      </c>
      <c r="V62" s="25">
        <f>IF(A62="","",INDEX(Model!$C$64:$DR$64,1,59))</f>
        <v/>
      </c>
      <c r="W62" s="25">
        <f>IF(A62="","",INDEX(Model!$C$71:$DR$71,1,59))</f>
        <v/>
      </c>
      <c r="X62" s="25">
        <f>IF(A62="","",INDEX(Model!$C$72:$DR$72,1,59))</f>
        <v/>
      </c>
      <c r="Y62" s="25">
        <f>IF(A62="","",INDEX(Model!$C$73:$DR$73,1,59))</f>
        <v/>
      </c>
    </row>
    <row r="63">
      <c r="A63">
        <f>IF(60&lt;=Effective!$B$7,60,"")</f>
        <v/>
      </c>
      <c r="B63">
        <f>IF(A63="","",INDEX(Model!$C$1:$DR$1,1,60))</f>
        <v/>
      </c>
      <c r="C63">
        <f>IF(A63="","",INDEX(Model!$C$7:$DR$7,1,60))</f>
        <v/>
      </c>
      <c r="D63">
        <f>IF(A63="","",INDEX(Model!$C$8:$DR$8,1,60))</f>
        <v/>
      </c>
      <c r="E63" s="25">
        <f>IF(A63="","",INDEX(Model!$C$18:$DR$18,1,60))</f>
        <v/>
      </c>
      <c r="F63" s="25">
        <f>IF(A63="","",INDEX(Model!$C$27:$DR$27,1,60))</f>
        <v/>
      </c>
      <c r="G63" s="25">
        <f>IF(A63="","",INDEX(Model!$C$28:$DR$28,1,60))</f>
        <v/>
      </c>
      <c r="H63" s="25">
        <f>IF(A63="","",INDEX(Model!$C$44:$DR$44,1,60))</f>
        <v/>
      </c>
      <c r="I63" s="25">
        <f>IF(A63="","",INDEX(Model!$C$45:$DR$45,1,60))</f>
        <v/>
      </c>
      <c r="J63" s="25">
        <f>IF(A63="","",INDEX(Model!$C$46:$DR$46,1,60))</f>
        <v/>
      </c>
      <c r="K63" s="25">
        <f>IF(A63="","",INDEX(Model!$C$62:$DR$62,1,60))</f>
        <v/>
      </c>
      <c r="L63" s="25">
        <f>IF(A63="","",INDEX(Model!$C$65:$DR$65,1,60))</f>
        <v/>
      </c>
      <c r="M63" s="25">
        <f>IF(A63="","",INDEX(Model!$C$69:$DR$69,1,60))</f>
        <v/>
      </c>
      <c r="N63" s="25">
        <f>IF(A63="","",INDEX(Model!$C$70:$DR$70,1,60))</f>
        <v/>
      </c>
      <c r="O63" s="25">
        <f>IF(A63="","",INDEX(Model!$C$74:$DR$74,1,60))</f>
        <v/>
      </c>
      <c r="P63" s="25">
        <f>IF(A63="","",INDEX(Model!$C$75:$DR$75,1,60))</f>
        <v/>
      </c>
      <c r="Q63" s="25">
        <f>IF(A63="","",INDEX(Model!$C$76:$DR$76,1,60))</f>
        <v/>
      </c>
      <c r="R63" s="25">
        <f>IF(A63="","",INDEX(Model!$C$63:$DR$63,1,60))</f>
        <v/>
      </c>
      <c r="S63" s="25">
        <f>IF(A63="","",INDEX(Model!$C$77:$DR$77,1,60))</f>
        <v/>
      </c>
      <c r="T63" s="25">
        <f>IF(A63="","",INDEX(Model!$C$78:$DR$78,1,60))</f>
        <v/>
      </c>
      <c r="U63" s="25">
        <f>IF(A63="","",INDEX(Model!$C$79:$DR$79,1,60))</f>
        <v/>
      </c>
      <c r="V63" s="25">
        <f>IF(A63="","",INDEX(Model!$C$64:$DR$64,1,60))</f>
        <v/>
      </c>
      <c r="W63" s="25">
        <f>IF(A63="","",INDEX(Model!$C$71:$DR$71,1,60))</f>
        <v/>
      </c>
      <c r="X63" s="25">
        <f>IF(A63="","",INDEX(Model!$C$72:$DR$72,1,60))</f>
        <v/>
      </c>
      <c r="Y63" s="25">
        <f>IF(A63="","",INDEX(Model!$C$73:$DR$73,1,60))</f>
        <v/>
      </c>
    </row>
    <row r="64">
      <c r="A64">
        <f>IF(61&lt;=Effective!$B$7,61,"")</f>
        <v/>
      </c>
      <c r="B64">
        <f>IF(A64="","",INDEX(Model!$C$1:$DR$1,1,61))</f>
        <v/>
      </c>
      <c r="C64">
        <f>IF(A64="","",INDEX(Model!$C$7:$DR$7,1,61))</f>
        <v/>
      </c>
      <c r="D64">
        <f>IF(A64="","",INDEX(Model!$C$8:$DR$8,1,61))</f>
        <v/>
      </c>
      <c r="E64" s="25">
        <f>IF(A64="","",INDEX(Model!$C$18:$DR$18,1,61))</f>
        <v/>
      </c>
      <c r="F64" s="25">
        <f>IF(A64="","",INDEX(Model!$C$27:$DR$27,1,61))</f>
        <v/>
      </c>
      <c r="G64" s="25">
        <f>IF(A64="","",INDEX(Model!$C$28:$DR$28,1,61))</f>
        <v/>
      </c>
      <c r="H64" s="25">
        <f>IF(A64="","",INDEX(Model!$C$44:$DR$44,1,61))</f>
        <v/>
      </c>
      <c r="I64" s="25">
        <f>IF(A64="","",INDEX(Model!$C$45:$DR$45,1,61))</f>
        <v/>
      </c>
      <c r="J64" s="25">
        <f>IF(A64="","",INDEX(Model!$C$46:$DR$46,1,61))</f>
        <v/>
      </c>
      <c r="K64" s="25">
        <f>IF(A64="","",INDEX(Model!$C$62:$DR$62,1,61))</f>
        <v/>
      </c>
      <c r="L64" s="25">
        <f>IF(A64="","",INDEX(Model!$C$65:$DR$65,1,61))</f>
        <v/>
      </c>
      <c r="M64" s="25">
        <f>IF(A64="","",INDEX(Model!$C$69:$DR$69,1,61))</f>
        <v/>
      </c>
      <c r="N64" s="25">
        <f>IF(A64="","",INDEX(Model!$C$70:$DR$70,1,61))</f>
        <v/>
      </c>
      <c r="O64" s="25">
        <f>IF(A64="","",INDEX(Model!$C$74:$DR$74,1,61))</f>
        <v/>
      </c>
      <c r="P64" s="25">
        <f>IF(A64="","",INDEX(Model!$C$75:$DR$75,1,61))</f>
        <v/>
      </c>
      <c r="Q64" s="25">
        <f>IF(A64="","",INDEX(Model!$C$76:$DR$76,1,61))</f>
        <v/>
      </c>
      <c r="R64" s="25">
        <f>IF(A64="","",INDEX(Model!$C$63:$DR$63,1,61))</f>
        <v/>
      </c>
      <c r="S64" s="25">
        <f>IF(A64="","",INDEX(Model!$C$77:$DR$77,1,61))</f>
        <v/>
      </c>
      <c r="T64" s="25">
        <f>IF(A64="","",INDEX(Model!$C$78:$DR$78,1,61))</f>
        <v/>
      </c>
      <c r="U64" s="25">
        <f>IF(A64="","",INDEX(Model!$C$79:$DR$79,1,61))</f>
        <v/>
      </c>
      <c r="V64" s="25">
        <f>IF(A64="","",INDEX(Model!$C$64:$DR$64,1,61))</f>
        <v/>
      </c>
      <c r="W64" s="25">
        <f>IF(A64="","",INDEX(Model!$C$71:$DR$71,1,61))</f>
        <v/>
      </c>
      <c r="X64" s="25">
        <f>IF(A64="","",INDEX(Model!$C$72:$DR$72,1,61))</f>
        <v/>
      </c>
      <c r="Y64" s="25">
        <f>IF(A64="","",INDEX(Model!$C$73:$DR$73,1,61))</f>
        <v/>
      </c>
    </row>
    <row r="65">
      <c r="A65">
        <f>IF(62&lt;=Effective!$B$7,62,"")</f>
        <v/>
      </c>
      <c r="B65">
        <f>IF(A65="","",INDEX(Model!$C$1:$DR$1,1,62))</f>
        <v/>
      </c>
      <c r="C65">
        <f>IF(A65="","",INDEX(Model!$C$7:$DR$7,1,62))</f>
        <v/>
      </c>
      <c r="D65">
        <f>IF(A65="","",INDEX(Model!$C$8:$DR$8,1,62))</f>
        <v/>
      </c>
      <c r="E65" s="25">
        <f>IF(A65="","",INDEX(Model!$C$18:$DR$18,1,62))</f>
        <v/>
      </c>
      <c r="F65" s="25">
        <f>IF(A65="","",INDEX(Model!$C$27:$DR$27,1,62))</f>
        <v/>
      </c>
      <c r="G65" s="25">
        <f>IF(A65="","",INDEX(Model!$C$28:$DR$28,1,62))</f>
        <v/>
      </c>
      <c r="H65" s="25">
        <f>IF(A65="","",INDEX(Model!$C$44:$DR$44,1,62))</f>
        <v/>
      </c>
      <c r="I65" s="25">
        <f>IF(A65="","",INDEX(Model!$C$45:$DR$45,1,62))</f>
        <v/>
      </c>
      <c r="J65" s="25">
        <f>IF(A65="","",INDEX(Model!$C$46:$DR$46,1,62))</f>
        <v/>
      </c>
      <c r="K65" s="25">
        <f>IF(A65="","",INDEX(Model!$C$62:$DR$62,1,62))</f>
        <v/>
      </c>
      <c r="L65" s="25">
        <f>IF(A65="","",INDEX(Model!$C$65:$DR$65,1,62))</f>
        <v/>
      </c>
      <c r="M65" s="25">
        <f>IF(A65="","",INDEX(Model!$C$69:$DR$69,1,62))</f>
        <v/>
      </c>
      <c r="N65" s="25">
        <f>IF(A65="","",INDEX(Model!$C$70:$DR$70,1,62))</f>
        <v/>
      </c>
      <c r="O65" s="25">
        <f>IF(A65="","",INDEX(Model!$C$74:$DR$74,1,62))</f>
        <v/>
      </c>
      <c r="P65" s="25">
        <f>IF(A65="","",INDEX(Model!$C$75:$DR$75,1,62))</f>
        <v/>
      </c>
      <c r="Q65" s="25">
        <f>IF(A65="","",INDEX(Model!$C$76:$DR$76,1,62))</f>
        <v/>
      </c>
      <c r="R65" s="25">
        <f>IF(A65="","",INDEX(Model!$C$63:$DR$63,1,62))</f>
        <v/>
      </c>
      <c r="S65" s="25">
        <f>IF(A65="","",INDEX(Model!$C$77:$DR$77,1,62))</f>
        <v/>
      </c>
      <c r="T65" s="25">
        <f>IF(A65="","",INDEX(Model!$C$78:$DR$78,1,62))</f>
        <v/>
      </c>
      <c r="U65" s="25">
        <f>IF(A65="","",INDEX(Model!$C$79:$DR$79,1,62))</f>
        <v/>
      </c>
      <c r="V65" s="25">
        <f>IF(A65="","",INDEX(Model!$C$64:$DR$64,1,62))</f>
        <v/>
      </c>
      <c r="W65" s="25">
        <f>IF(A65="","",INDEX(Model!$C$71:$DR$71,1,62))</f>
        <v/>
      </c>
      <c r="X65" s="25">
        <f>IF(A65="","",INDEX(Model!$C$72:$DR$72,1,62))</f>
        <v/>
      </c>
      <c r="Y65" s="25">
        <f>IF(A65="","",INDEX(Model!$C$73:$DR$73,1,62))</f>
        <v/>
      </c>
    </row>
    <row r="66">
      <c r="A66">
        <f>IF(63&lt;=Effective!$B$7,63,"")</f>
        <v/>
      </c>
      <c r="B66">
        <f>IF(A66="","",INDEX(Model!$C$1:$DR$1,1,63))</f>
        <v/>
      </c>
      <c r="C66">
        <f>IF(A66="","",INDEX(Model!$C$7:$DR$7,1,63))</f>
        <v/>
      </c>
      <c r="D66">
        <f>IF(A66="","",INDEX(Model!$C$8:$DR$8,1,63))</f>
        <v/>
      </c>
      <c r="E66" s="25">
        <f>IF(A66="","",INDEX(Model!$C$18:$DR$18,1,63))</f>
        <v/>
      </c>
      <c r="F66" s="25">
        <f>IF(A66="","",INDEX(Model!$C$27:$DR$27,1,63))</f>
        <v/>
      </c>
      <c r="G66" s="25">
        <f>IF(A66="","",INDEX(Model!$C$28:$DR$28,1,63))</f>
        <v/>
      </c>
      <c r="H66" s="25">
        <f>IF(A66="","",INDEX(Model!$C$44:$DR$44,1,63))</f>
        <v/>
      </c>
      <c r="I66" s="25">
        <f>IF(A66="","",INDEX(Model!$C$45:$DR$45,1,63))</f>
        <v/>
      </c>
      <c r="J66" s="25">
        <f>IF(A66="","",INDEX(Model!$C$46:$DR$46,1,63))</f>
        <v/>
      </c>
      <c r="K66" s="25">
        <f>IF(A66="","",INDEX(Model!$C$62:$DR$62,1,63))</f>
        <v/>
      </c>
      <c r="L66" s="25">
        <f>IF(A66="","",INDEX(Model!$C$65:$DR$65,1,63))</f>
        <v/>
      </c>
      <c r="M66" s="25">
        <f>IF(A66="","",INDEX(Model!$C$69:$DR$69,1,63))</f>
        <v/>
      </c>
      <c r="N66" s="25">
        <f>IF(A66="","",INDEX(Model!$C$70:$DR$70,1,63))</f>
        <v/>
      </c>
      <c r="O66" s="25">
        <f>IF(A66="","",INDEX(Model!$C$74:$DR$74,1,63))</f>
        <v/>
      </c>
      <c r="P66" s="25">
        <f>IF(A66="","",INDEX(Model!$C$75:$DR$75,1,63))</f>
        <v/>
      </c>
      <c r="Q66" s="25">
        <f>IF(A66="","",INDEX(Model!$C$76:$DR$76,1,63))</f>
        <v/>
      </c>
      <c r="R66" s="25">
        <f>IF(A66="","",INDEX(Model!$C$63:$DR$63,1,63))</f>
        <v/>
      </c>
      <c r="S66" s="25">
        <f>IF(A66="","",INDEX(Model!$C$77:$DR$77,1,63))</f>
        <v/>
      </c>
      <c r="T66" s="25">
        <f>IF(A66="","",INDEX(Model!$C$78:$DR$78,1,63))</f>
        <v/>
      </c>
      <c r="U66" s="25">
        <f>IF(A66="","",INDEX(Model!$C$79:$DR$79,1,63))</f>
        <v/>
      </c>
      <c r="V66" s="25">
        <f>IF(A66="","",INDEX(Model!$C$64:$DR$64,1,63))</f>
        <v/>
      </c>
      <c r="W66" s="25">
        <f>IF(A66="","",INDEX(Model!$C$71:$DR$71,1,63))</f>
        <v/>
      </c>
      <c r="X66" s="25">
        <f>IF(A66="","",INDEX(Model!$C$72:$DR$72,1,63))</f>
        <v/>
      </c>
      <c r="Y66" s="25">
        <f>IF(A66="","",INDEX(Model!$C$73:$DR$73,1,63))</f>
        <v/>
      </c>
    </row>
    <row r="67">
      <c r="A67">
        <f>IF(64&lt;=Effective!$B$7,64,"")</f>
        <v/>
      </c>
      <c r="B67">
        <f>IF(A67="","",INDEX(Model!$C$1:$DR$1,1,64))</f>
        <v/>
      </c>
      <c r="C67">
        <f>IF(A67="","",INDEX(Model!$C$7:$DR$7,1,64))</f>
        <v/>
      </c>
      <c r="D67">
        <f>IF(A67="","",INDEX(Model!$C$8:$DR$8,1,64))</f>
        <v/>
      </c>
      <c r="E67" s="25">
        <f>IF(A67="","",INDEX(Model!$C$18:$DR$18,1,64))</f>
        <v/>
      </c>
      <c r="F67" s="25">
        <f>IF(A67="","",INDEX(Model!$C$27:$DR$27,1,64))</f>
        <v/>
      </c>
      <c r="G67" s="25">
        <f>IF(A67="","",INDEX(Model!$C$28:$DR$28,1,64))</f>
        <v/>
      </c>
      <c r="H67" s="25">
        <f>IF(A67="","",INDEX(Model!$C$44:$DR$44,1,64))</f>
        <v/>
      </c>
      <c r="I67" s="25">
        <f>IF(A67="","",INDEX(Model!$C$45:$DR$45,1,64))</f>
        <v/>
      </c>
      <c r="J67" s="25">
        <f>IF(A67="","",INDEX(Model!$C$46:$DR$46,1,64))</f>
        <v/>
      </c>
      <c r="K67" s="25">
        <f>IF(A67="","",INDEX(Model!$C$62:$DR$62,1,64))</f>
        <v/>
      </c>
      <c r="L67" s="25">
        <f>IF(A67="","",INDEX(Model!$C$65:$DR$65,1,64))</f>
        <v/>
      </c>
      <c r="M67" s="25">
        <f>IF(A67="","",INDEX(Model!$C$69:$DR$69,1,64))</f>
        <v/>
      </c>
      <c r="N67" s="25">
        <f>IF(A67="","",INDEX(Model!$C$70:$DR$70,1,64))</f>
        <v/>
      </c>
      <c r="O67" s="25">
        <f>IF(A67="","",INDEX(Model!$C$74:$DR$74,1,64))</f>
        <v/>
      </c>
      <c r="P67" s="25">
        <f>IF(A67="","",INDEX(Model!$C$75:$DR$75,1,64))</f>
        <v/>
      </c>
      <c r="Q67" s="25">
        <f>IF(A67="","",INDEX(Model!$C$76:$DR$76,1,64))</f>
        <v/>
      </c>
      <c r="R67" s="25">
        <f>IF(A67="","",INDEX(Model!$C$63:$DR$63,1,64))</f>
        <v/>
      </c>
      <c r="S67" s="25">
        <f>IF(A67="","",INDEX(Model!$C$77:$DR$77,1,64))</f>
        <v/>
      </c>
      <c r="T67" s="25">
        <f>IF(A67="","",INDEX(Model!$C$78:$DR$78,1,64))</f>
        <v/>
      </c>
      <c r="U67" s="25">
        <f>IF(A67="","",INDEX(Model!$C$79:$DR$79,1,64))</f>
        <v/>
      </c>
      <c r="V67" s="25">
        <f>IF(A67="","",INDEX(Model!$C$64:$DR$64,1,64))</f>
        <v/>
      </c>
      <c r="W67" s="25">
        <f>IF(A67="","",INDEX(Model!$C$71:$DR$71,1,64))</f>
        <v/>
      </c>
      <c r="X67" s="25">
        <f>IF(A67="","",INDEX(Model!$C$72:$DR$72,1,64))</f>
        <v/>
      </c>
      <c r="Y67" s="25">
        <f>IF(A67="","",INDEX(Model!$C$73:$DR$73,1,64))</f>
        <v/>
      </c>
    </row>
    <row r="68">
      <c r="A68">
        <f>IF(65&lt;=Effective!$B$7,65,"")</f>
        <v/>
      </c>
      <c r="B68">
        <f>IF(A68="","",INDEX(Model!$C$1:$DR$1,1,65))</f>
        <v/>
      </c>
      <c r="C68">
        <f>IF(A68="","",INDEX(Model!$C$7:$DR$7,1,65))</f>
        <v/>
      </c>
      <c r="D68">
        <f>IF(A68="","",INDEX(Model!$C$8:$DR$8,1,65))</f>
        <v/>
      </c>
      <c r="E68" s="25">
        <f>IF(A68="","",INDEX(Model!$C$18:$DR$18,1,65))</f>
        <v/>
      </c>
      <c r="F68" s="25">
        <f>IF(A68="","",INDEX(Model!$C$27:$DR$27,1,65))</f>
        <v/>
      </c>
      <c r="G68" s="25">
        <f>IF(A68="","",INDEX(Model!$C$28:$DR$28,1,65))</f>
        <v/>
      </c>
      <c r="H68" s="25">
        <f>IF(A68="","",INDEX(Model!$C$44:$DR$44,1,65))</f>
        <v/>
      </c>
      <c r="I68" s="25">
        <f>IF(A68="","",INDEX(Model!$C$45:$DR$45,1,65))</f>
        <v/>
      </c>
      <c r="J68" s="25">
        <f>IF(A68="","",INDEX(Model!$C$46:$DR$46,1,65))</f>
        <v/>
      </c>
      <c r="K68" s="25">
        <f>IF(A68="","",INDEX(Model!$C$62:$DR$62,1,65))</f>
        <v/>
      </c>
      <c r="L68" s="25">
        <f>IF(A68="","",INDEX(Model!$C$65:$DR$65,1,65))</f>
        <v/>
      </c>
      <c r="M68" s="25">
        <f>IF(A68="","",INDEX(Model!$C$69:$DR$69,1,65))</f>
        <v/>
      </c>
      <c r="N68" s="25">
        <f>IF(A68="","",INDEX(Model!$C$70:$DR$70,1,65))</f>
        <v/>
      </c>
      <c r="O68" s="25">
        <f>IF(A68="","",INDEX(Model!$C$74:$DR$74,1,65))</f>
        <v/>
      </c>
      <c r="P68" s="25">
        <f>IF(A68="","",INDEX(Model!$C$75:$DR$75,1,65))</f>
        <v/>
      </c>
      <c r="Q68" s="25">
        <f>IF(A68="","",INDEX(Model!$C$76:$DR$76,1,65))</f>
        <v/>
      </c>
      <c r="R68" s="25">
        <f>IF(A68="","",INDEX(Model!$C$63:$DR$63,1,65))</f>
        <v/>
      </c>
      <c r="S68" s="25">
        <f>IF(A68="","",INDEX(Model!$C$77:$DR$77,1,65))</f>
        <v/>
      </c>
      <c r="T68" s="25">
        <f>IF(A68="","",INDEX(Model!$C$78:$DR$78,1,65))</f>
        <v/>
      </c>
      <c r="U68" s="25">
        <f>IF(A68="","",INDEX(Model!$C$79:$DR$79,1,65))</f>
        <v/>
      </c>
      <c r="V68" s="25">
        <f>IF(A68="","",INDEX(Model!$C$64:$DR$64,1,65))</f>
        <v/>
      </c>
      <c r="W68" s="25">
        <f>IF(A68="","",INDEX(Model!$C$71:$DR$71,1,65))</f>
        <v/>
      </c>
      <c r="X68" s="25">
        <f>IF(A68="","",INDEX(Model!$C$72:$DR$72,1,65))</f>
        <v/>
      </c>
      <c r="Y68" s="25">
        <f>IF(A68="","",INDEX(Model!$C$73:$DR$73,1,65))</f>
        <v/>
      </c>
    </row>
    <row r="69">
      <c r="A69">
        <f>IF(66&lt;=Effective!$B$7,66,"")</f>
        <v/>
      </c>
      <c r="B69">
        <f>IF(A69="","",INDEX(Model!$C$1:$DR$1,1,66))</f>
        <v/>
      </c>
      <c r="C69">
        <f>IF(A69="","",INDEX(Model!$C$7:$DR$7,1,66))</f>
        <v/>
      </c>
      <c r="D69">
        <f>IF(A69="","",INDEX(Model!$C$8:$DR$8,1,66))</f>
        <v/>
      </c>
      <c r="E69" s="25">
        <f>IF(A69="","",INDEX(Model!$C$18:$DR$18,1,66))</f>
        <v/>
      </c>
      <c r="F69" s="25">
        <f>IF(A69="","",INDEX(Model!$C$27:$DR$27,1,66))</f>
        <v/>
      </c>
      <c r="G69" s="25">
        <f>IF(A69="","",INDEX(Model!$C$28:$DR$28,1,66))</f>
        <v/>
      </c>
      <c r="H69" s="25">
        <f>IF(A69="","",INDEX(Model!$C$44:$DR$44,1,66))</f>
        <v/>
      </c>
      <c r="I69" s="25">
        <f>IF(A69="","",INDEX(Model!$C$45:$DR$45,1,66))</f>
        <v/>
      </c>
      <c r="J69" s="25">
        <f>IF(A69="","",INDEX(Model!$C$46:$DR$46,1,66))</f>
        <v/>
      </c>
      <c r="K69" s="25">
        <f>IF(A69="","",INDEX(Model!$C$62:$DR$62,1,66))</f>
        <v/>
      </c>
      <c r="L69" s="25">
        <f>IF(A69="","",INDEX(Model!$C$65:$DR$65,1,66))</f>
        <v/>
      </c>
      <c r="M69" s="25">
        <f>IF(A69="","",INDEX(Model!$C$69:$DR$69,1,66))</f>
        <v/>
      </c>
      <c r="N69" s="25">
        <f>IF(A69="","",INDEX(Model!$C$70:$DR$70,1,66))</f>
        <v/>
      </c>
      <c r="O69" s="25">
        <f>IF(A69="","",INDEX(Model!$C$74:$DR$74,1,66))</f>
        <v/>
      </c>
      <c r="P69" s="25">
        <f>IF(A69="","",INDEX(Model!$C$75:$DR$75,1,66))</f>
        <v/>
      </c>
      <c r="Q69" s="25">
        <f>IF(A69="","",INDEX(Model!$C$76:$DR$76,1,66))</f>
        <v/>
      </c>
      <c r="R69" s="25">
        <f>IF(A69="","",INDEX(Model!$C$63:$DR$63,1,66))</f>
        <v/>
      </c>
      <c r="S69" s="25">
        <f>IF(A69="","",INDEX(Model!$C$77:$DR$77,1,66))</f>
        <v/>
      </c>
      <c r="T69" s="25">
        <f>IF(A69="","",INDEX(Model!$C$78:$DR$78,1,66))</f>
        <v/>
      </c>
      <c r="U69" s="25">
        <f>IF(A69="","",INDEX(Model!$C$79:$DR$79,1,66))</f>
        <v/>
      </c>
      <c r="V69" s="25">
        <f>IF(A69="","",INDEX(Model!$C$64:$DR$64,1,66))</f>
        <v/>
      </c>
      <c r="W69" s="25">
        <f>IF(A69="","",INDEX(Model!$C$71:$DR$71,1,66))</f>
        <v/>
      </c>
      <c r="X69" s="25">
        <f>IF(A69="","",INDEX(Model!$C$72:$DR$72,1,66))</f>
        <v/>
      </c>
      <c r="Y69" s="25">
        <f>IF(A69="","",INDEX(Model!$C$73:$DR$73,1,66))</f>
        <v/>
      </c>
    </row>
    <row r="70">
      <c r="A70">
        <f>IF(67&lt;=Effective!$B$7,67,"")</f>
        <v/>
      </c>
      <c r="B70">
        <f>IF(A70="","",INDEX(Model!$C$1:$DR$1,1,67))</f>
        <v/>
      </c>
      <c r="C70">
        <f>IF(A70="","",INDEX(Model!$C$7:$DR$7,1,67))</f>
        <v/>
      </c>
      <c r="D70">
        <f>IF(A70="","",INDEX(Model!$C$8:$DR$8,1,67))</f>
        <v/>
      </c>
      <c r="E70" s="25">
        <f>IF(A70="","",INDEX(Model!$C$18:$DR$18,1,67))</f>
        <v/>
      </c>
      <c r="F70" s="25">
        <f>IF(A70="","",INDEX(Model!$C$27:$DR$27,1,67))</f>
        <v/>
      </c>
      <c r="G70" s="25">
        <f>IF(A70="","",INDEX(Model!$C$28:$DR$28,1,67))</f>
        <v/>
      </c>
      <c r="H70" s="25">
        <f>IF(A70="","",INDEX(Model!$C$44:$DR$44,1,67))</f>
        <v/>
      </c>
      <c r="I70" s="25">
        <f>IF(A70="","",INDEX(Model!$C$45:$DR$45,1,67))</f>
        <v/>
      </c>
      <c r="J70" s="25">
        <f>IF(A70="","",INDEX(Model!$C$46:$DR$46,1,67))</f>
        <v/>
      </c>
      <c r="K70" s="25">
        <f>IF(A70="","",INDEX(Model!$C$62:$DR$62,1,67))</f>
        <v/>
      </c>
      <c r="L70" s="25">
        <f>IF(A70="","",INDEX(Model!$C$65:$DR$65,1,67))</f>
        <v/>
      </c>
      <c r="M70" s="25">
        <f>IF(A70="","",INDEX(Model!$C$69:$DR$69,1,67))</f>
        <v/>
      </c>
      <c r="N70" s="25">
        <f>IF(A70="","",INDEX(Model!$C$70:$DR$70,1,67))</f>
        <v/>
      </c>
      <c r="O70" s="25">
        <f>IF(A70="","",INDEX(Model!$C$74:$DR$74,1,67))</f>
        <v/>
      </c>
      <c r="P70" s="25">
        <f>IF(A70="","",INDEX(Model!$C$75:$DR$75,1,67))</f>
        <v/>
      </c>
      <c r="Q70" s="25">
        <f>IF(A70="","",INDEX(Model!$C$76:$DR$76,1,67))</f>
        <v/>
      </c>
      <c r="R70" s="25">
        <f>IF(A70="","",INDEX(Model!$C$63:$DR$63,1,67))</f>
        <v/>
      </c>
      <c r="S70" s="25">
        <f>IF(A70="","",INDEX(Model!$C$77:$DR$77,1,67))</f>
        <v/>
      </c>
      <c r="T70" s="25">
        <f>IF(A70="","",INDEX(Model!$C$78:$DR$78,1,67))</f>
        <v/>
      </c>
      <c r="U70" s="25">
        <f>IF(A70="","",INDEX(Model!$C$79:$DR$79,1,67))</f>
        <v/>
      </c>
      <c r="V70" s="25">
        <f>IF(A70="","",INDEX(Model!$C$64:$DR$64,1,67))</f>
        <v/>
      </c>
      <c r="W70" s="25">
        <f>IF(A70="","",INDEX(Model!$C$71:$DR$71,1,67))</f>
        <v/>
      </c>
      <c r="X70" s="25">
        <f>IF(A70="","",INDEX(Model!$C$72:$DR$72,1,67))</f>
        <v/>
      </c>
      <c r="Y70" s="25">
        <f>IF(A70="","",INDEX(Model!$C$73:$DR$73,1,67))</f>
        <v/>
      </c>
    </row>
    <row r="71">
      <c r="A71">
        <f>IF(68&lt;=Effective!$B$7,68,"")</f>
        <v/>
      </c>
      <c r="B71">
        <f>IF(A71="","",INDEX(Model!$C$1:$DR$1,1,68))</f>
        <v/>
      </c>
      <c r="C71">
        <f>IF(A71="","",INDEX(Model!$C$7:$DR$7,1,68))</f>
        <v/>
      </c>
      <c r="D71">
        <f>IF(A71="","",INDEX(Model!$C$8:$DR$8,1,68))</f>
        <v/>
      </c>
      <c r="E71" s="25">
        <f>IF(A71="","",INDEX(Model!$C$18:$DR$18,1,68))</f>
        <v/>
      </c>
      <c r="F71" s="25">
        <f>IF(A71="","",INDEX(Model!$C$27:$DR$27,1,68))</f>
        <v/>
      </c>
      <c r="G71" s="25">
        <f>IF(A71="","",INDEX(Model!$C$28:$DR$28,1,68))</f>
        <v/>
      </c>
      <c r="H71" s="25">
        <f>IF(A71="","",INDEX(Model!$C$44:$DR$44,1,68))</f>
        <v/>
      </c>
      <c r="I71" s="25">
        <f>IF(A71="","",INDEX(Model!$C$45:$DR$45,1,68))</f>
        <v/>
      </c>
      <c r="J71" s="25">
        <f>IF(A71="","",INDEX(Model!$C$46:$DR$46,1,68))</f>
        <v/>
      </c>
      <c r="K71" s="25">
        <f>IF(A71="","",INDEX(Model!$C$62:$DR$62,1,68))</f>
        <v/>
      </c>
      <c r="L71" s="25">
        <f>IF(A71="","",INDEX(Model!$C$65:$DR$65,1,68))</f>
        <v/>
      </c>
      <c r="M71" s="25">
        <f>IF(A71="","",INDEX(Model!$C$69:$DR$69,1,68))</f>
        <v/>
      </c>
      <c r="N71" s="25">
        <f>IF(A71="","",INDEX(Model!$C$70:$DR$70,1,68))</f>
        <v/>
      </c>
      <c r="O71" s="25">
        <f>IF(A71="","",INDEX(Model!$C$74:$DR$74,1,68))</f>
        <v/>
      </c>
      <c r="P71" s="25">
        <f>IF(A71="","",INDEX(Model!$C$75:$DR$75,1,68))</f>
        <v/>
      </c>
      <c r="Q71" s="25">
        <f>IF(A71="","",INDEX(Model!$C$76:$DR$76,1,68))</f>
        <v/>
      </c>
      <c r="R71" s="25">
        <f>IF(A71="","",INDEX(Model!$C$63:$DR$63,1,68))</f>
        <v/>
      </c>
      <c r="S71" s="25">
        <f>IF(A71="","",INDEX(Model!$C$77:$DR$77,1,68))</f>
        <v/>
      </c>
      <c r="T71" s="25">
        <f>IF(A71="","",INDEX(Model!$C$78:$DR$78,1,68))</f>
        <v/>
      </c>
      <c r="U71" s="25">
        <f>IF(A71="","",INDEX(Model!$C$79:$DR$79,1,68))</f>
        <v/>
      </c>
      <c r="V71" s="25">
        <f>IF(A71="","",INDEX(Model!$C$64:$DR$64,1,68))</f>
        <v/>
      </c>
      <c r="W71" s="25">
        <f>IF(A71="","",INDEX(Model!$C$71:$DR$71,1,68))</f>
        <v/>
      </c>
      <c r="X71" s="25">
        <f>IF(A71="","",INDEX(Model!$C$72:$DR$72,1,68))</f>
        <v/>
      </c>
      <c r="Y71" s="25">
        <f>IF(A71="","",INDEX(Model!$C$73:$DR$73,1,68))</f>
        <v/>
      </c>
    </row>
    <row r="72">
      <c r="A72">
        <f>IF(69&lt;=Effective!$B$7,69,"")</f>
        <v/>
      </c>
      <c r="B72">
        <f>IF(A72="","",INDEX(Model!$C$1:$DR$1,1,69))</f>
        <v/>
      </c>
      <c r="C72">
        <f>IF(A72="","",INDEX(Model!$C$7:$DR$7,1,69))</f>
        <v/>
      </c>
      <c r="D72">
        <f>IF(A72="","",INDEX(Model!$C$8:$DR$8,1,69))</f>
        <v/>
      </c>
      <c r="E72" s="25">
        <f>IF(A72="","",INDEX(Model!$C$18:$DR$18,1,69))</f>
        <v/>
      </c>
      <c r="F72" s="25">
        <f>IF(A72="","",INDEX(Model!$C$27:$DR$27,1,69))</f>
        <v/>
      </c>
      <c r="G72" s="25">
        <f>IF(A72="","",INDEX(Model!$C$28:$DR$28,1,69))</f>
        <v/>
      </c>
      <c r="H72" s="25">
        <f>IF(A72="","",INDEX(Model!$C$44:$DR$44,1,69))</f>
        <v/>
      </c>
      <c r="I72" s="25">
        <f>IF(A72="","",INDEX(Model!$C$45:$DR$45,1,69))</f>
        <v/>
      </c>
      <c r="J72" s="25">
        <f>IF(A72="","",INDEX(Model!$C$46:$DR$46,1,69))</f>
        <v/>
      </c>
      <c r="K72" s="25">
        <f>IF(A72="","",INDEX(Model!$C$62:$DR$62,1,69))</f>
        <v/>
      </c>
      <c r="L72" s="25">
        <f>IF(A72="","",INDEX(Model!$C$65:$DR$65,1,69))</f>
        <v/>
      </c>
      <c r="M72" s="25">
        <f>IF(A72="","",INDEX(Model!$C$69:$DR$69,1,69))</f>
        <v/>
      </c>
      <c r="N72" s="25">
        <f>IF(A72="","",INDEX(Model!$C$70:$DR$70,1,69))</f>
        <v/>
      </c>
      <c r="O72" s="25">
        <f>IF(A72="","",INDEX(Model!$C$74:$DR$74,1,69))</f>
        <v/>
      </c>
      <c r="P72" s="25">
        <f>IF(A72="","",INDEX(Model!$C$75:$DR$75,1,69))</f>
        <v/>
      </c>
      <c r="Q72" s="25">
        <f>IF(A72="","",INDEX(Model!$C$76:$DR$76,1,69))</f>
        <v/>
      </c>
      <c r="R72" s="25">
        <f>IF(A72="","",INDEX(Model!$C$63:$DR$63,1,69))</f>
        <v/>
      </c>
      <c r="S72" s="25">
        <f>IF(A72="","",INDEX(Model!$C$77:$DR$77,1,69))</f>
        <v/>
      </c>
      <c r="T72" s="25">
        <f>IF(A72="","",INDEX(Model!$C$78:$DR$78,1,69))</f>
        <v/>
      </c>
      <c r="U72" s="25">
        <f>IF(A72="","",INDEX(Model!$C$79:$DR$79,1,69))</f>
        <v/>
      </c>
      <c r="V72" s="25">
        <f>IF(A72="","",INDEX(Model!$C$64:$DR$64,1,69))</f>
        <v/>
      </c>
      <c r="W72" s="25">
        <f>IF(A72="","",INDEX(Model!$C$71:$DR$71,1,69))</f>
        <v/>
      </c>
      <c r="X72" s="25">
        <f>IF(A72="","",INDEX(Model!$C$72:$DR$72,1,69))</f>
        <v/>
      </c>
      <c r="Y72" s="25">
        <f>IF(A72="","",INDEX(Model!$C$73:$DR$73,1,69))</f>
        <v/>
      </c>
    </row>
    <row r="73">
      <c r="A73">
        <f>IF(70&lt;=Effective!$B$7,70,"")</f>
        <v/>
      </c>
      <c r="B73">
        <f>IF(A73="","",INDEX(Model!$C$1:$DR$1,1,70))</f>
        <v/>
      </c>
      <c r="C73">
        <f>IF(A73="","",INDEX(Model!$C$7:$DR$7,1,70))</f>
        <v/>
      </c>
      <c r="D73">
        <f>IF(A73="","",INDEX(Model!$C$8:$DR$8,1,70))</f>
        <v/>
      </c>
      <c r="E73" s="25">
        <f>IF(A73="","",INDEX(Model!$C$18:$DR$18,1,70))</f>
        <v/>
      </c>
      <c r="F73" s="25">
        <f>IF(A73="","",INDEX(Model!$C$27:$DR$27,1,70))</f>
        <v/>
      </c>
      <c r="G73" s="25">
        <f>IF(A73="","",INDEX(Model!$C$28:$DR$28,1,70))</f>
        <v/>
      </c>
      <c r="H73" s="25">
        <f>IF(A73="","",INDEX(Model!$C$44:$DR$44,1,70))</f>
        <v/>
      </c>
      <c r="I73" s="25">
        <f>IF(A73="","",INDEX(Model!$C$45:$DR$45,1,70))</f>
        <v/>
      </c>
      <c r="J73" s="25">
        <f>IF(A73="","",INDEX(Model!$C$46:$DR$46,1,70))</f>
        <v/>
      </c>
      <c r="K73" s="25">
        <f>IF(A73="","",INDEX(Model!$C$62:$DR$62,1,70))</f>
        <v/>
      </c>
      <c r="L73" s="25">
        <f>IF(A73="","",INDEX(Model!$C$65:$DR$65,1,70))</f>
        <v/>
      </c>
      <c r="M73" s="25">
        <f>IF(A73="","",INDEX(Model!$C$69:$DR$69,1,70))</f>
        <v/>
      </c>
      <c r="N73" s="25">
        <f>IF(A73="","",INDEX(Model!$C$70:$DR$70,1,70))</f>
        <v/>
      </c>
      <c r="O73" s="25">
        <f>IF(A73="","",INDEX(Model!$C$74:$DR$74,1,70))</f>
        <v/>
      </c>
      <c r="P73" s="25">
        <f>IF(A73="","",INDEX(Model!$C$75:$DR$75,1,70))</f>
        <v/>
      </c>
      <c r="Q73" s="25">
        <f>IF(A73="","",INDEX(Model!$C$76:$DR$76,1,70))</f>
        <v/>
      </c>
      <c r="R73" s="25">
        <f>IF(A73="","",INDEX(Model!$C$63:$DR$63,1,70))</f>
        <v/>
      </c>
      <c r="S73" s="25">
        <f>IF(A73="","",INDEX(Model!$C$77:$DR$77,1,70))</f>
        <v/>
      </c>
      <c r="T73" s="25">
        <f>IF(A73="","",INDEX(Model!$C$78:$DR$78,1,70))</f>
        <v/>
      </c>
      <c r="U73" s="25">
        <f>IF(A73="","",INDEX(Model!$C$79:$DR$79,1,70))</f>
        <v/>
      </c>
      <c r="V73" s="25">
        <f>IF(A73="","",INDEX(Model!$C$64:$DR$64,1,70))</f>
        <v/>
      </c>
      <c r="W73" s="25">
        <f>IF(A73="","",INDEX(Model!$C$71:$DR$71,1,70))</f>
        <v/>
      </c>
      <c r="X73" s="25">
        <f>IF(A73="","",INDEX(Model!$C$72:$DR$72,1,70))</f>
        <v/>
      </c>
      <c r="Y73" s="25">
        <f>IF(A73="","",INDEX(Model!$C$73:$DR$73,1,70))</f>
        <v/>
      </c>
    </row>
    <row r="74">
      <c r="A74">
        <f>IF(71&lt;=Effective!$B$7,71,"")</f>
        <v/>
      </c>
      <c r="B74">
        <f>IF(A74="","",INDEX(Model!$C$1:$DR$1,1,71))</f>
        <v/>
      </c>
      <c r="C74">
        <f>IF(A74="","",INDEX(Model!$C$7:$DR$7,1,71))</f>
        <v/>
      </c>
      <c r="D74">
        <f>IF(A74="","",INDEX(Model!$C$8:$DR$8,1,71))</f>
        <v/>
      </c>
      <c r="E74" s="25">
        <f>IF(A74="","",INDEX(Model!$C$18:$DR$18,1,71))</f>
        <v/>
      </c>
      <c r="F74" s="25">
        <f>IF(A74="","",INDEX(Model!$C$27:$DR$27,1,71))</f>
        <v/>
      </c>
      <c r="G74" s="25">
        <f>IF(A74="","",INDEX(Model!$C$28:$DR$28,1,71))</f>
        <v/>
      </c>
      <c r="H74" s="25">
        <f>IF(A74="","",INDEX(Model!$C$44:$DR$44,1,71))</f>
        <v/>
      </c>
      <c r="I74" s="25">
        <f>IF(A74="","",INDEX(Model!$C$45:$DR$45,1,71))</f>
        <v/>
      </c>
      <c r="J74" s="25">
        <f>IF(A74="","",INDEX(Model!$C$46:$DR$46,1,71))</f>
        <v/>
      </c>
      <c r="K74" s="25">
        <f>IF(A74="","",INDEX(Model!$C$62:$DR$62,1,71))</f>
        <v/>
      </c>
      <c r="L74" s="25">
        <f>IF(A74="","",INDEX(Model!$C$65:$DR$65,1,71))</f>
        <v/>
      </c>
      <c r="M74" s="25">
        <f>IF(A74="","",INDEX(Model!$C$69:$DR$69,1,71))</f>
        <v/>
      </c>
      <c r="N74" s="25">
        <f>IF(A74="","",INDEX(Model!$C$70:$DR$70,1,71))</f>
        <v/>
      </c>
      <c r="O74" s="25">
        <f>IF(A74="","",INDEX(Model!$C$74:$DR$74,1,71))</f>
        <v/>
      </c>
      <c r="P74" s="25">
        <f>IF(A74="","",INDEX(Model!$C$75:$DR$75,1,71))</f>
        <v/>
      </c>
      <c r="Q74" s="25">
        <f>IF(A74="","",INDEX(Model!$C$76:$DR$76,1,71))</f>
        <v/>
      </c>
      <c r="R74" s="25">
        <f>IF(A74="","",INDEX(Model!$C$63:$DR$63,1,71))</f>
        <v/>
      </c>
      <c r="S74" s="25">
        <f>IF(A74="","",INDEX(Model!$C$77:$DR$77,1,71))</f>
        <v/>
      </c>
      <c r="T74" s="25">
        <f>IF(A74="","",INDEX(Model!$C$78:$DR$78,1,71))</f>
        <v/>
      </c>
      <c r="U74" s="25">
        <f>IF(A74="","",INDEX(Model!$C$79:$DR$79,1,71))</f>
        <v/>
      </c>
      <c r="V74" s="25">
        <f>IF(A74="","",INDEX(Model!$C$64:$DR$64,1,71))</f>
        <v/>
      </c>
      <c r="W74" s="25">
        <f>IF(A74="","",INDEX(Model!$C$71:$DR$71,1,71))</f>
        <v/>
      </c>
      <c r="X74" s="25">
        <f>IF(A74="","",INDEX(Model!$C$72:$DR$72,1,71))</f>
        <v/>
      </c>
      <c r="Y74" s="25">
        <f>IF(A74="","",INDEX(Model!$C$73:$DR$73,1,71))</f>
        <v/>
      </c>
    </row>
    <row r="75">
      <c r="A75">
        <f>IF(72&lt;=Effective!$B$7,72,"")</f>
        <v/>
      </c>
      <c r="B75">
        <f>IF(A75="","",INDEX(Model!$C$1:$DR$1,1,72))</f>
        <v/>
      </c>
      <c r="C75">
        <f>IF(A75="","",INDEX(Model!$C$7:$DR$7,1,72))</f>
        <v/>
      </c>
      <c r="D75">
        <f>IF(A75="","",INDEX(Model!$C$8:$DR$8,1,72))</f>
        <v/>
      </c>
      <c r="E75" s="25">
        <f>IF(A75="","",INDEX(Model!$C$18:$DR$18,1,72))</f>
        <v/>
      </c>
      <c r="F75" s="25">
        <f>IF(A75="","",INDEX(Model!$C$27:$DR$27,1,72))</f>
        <v/>
      </c>
      <c r="G75" s="25">
        <f>IF(A75="","",INDEX(Model!$C$28:$DR$28,1,72))</f>
        <v/>
      </c>
      <c r="H75" s="25">
        <f>IF(A75="","",INDEX(Model!$C$44:$DR$44,1,72))</f>
        <v/>
      </c>
      <c r="I75" s="25">
        <f>IF(A75="","",INDEX(Model!$C$45:$DR$45,1,72))</f>
        <v/>
      </c>
      <c r="J75" s="25">
        <f>IF(A75="","",INDEX(Model!$C$46:$DR$46,1,72))</f>
        <v/>
      </c>
      <c r="K75" s="25">
        <f>IF(A75="","",INDEX(Model!$C$62:$DR$62,1,72))</f>
        <v/>
      </c>
      <c r="L75" s="25">
        <f>IF(A75="","",INDEX(Model!$C$65:$DR$65,1,72))</f>
        <v/>
      </c>
      <c r="M75" s="25">
        <f>IF(A75="","",INDEX(Model!$C$69:$DR$69,1,72))</f>
        <v/>
      </c>
      <c r="N75" s="25">
        <f>IF(A75="","",INDEX(Model!$C$70:$DR$70,1,72))</f>
        <v/>
      </c>
      <c r="O75" s="25">
        <f>IF(A75="","",INDEX(Model!$C$74:$DR$74,1,72))</f>
        <v/>
      </c>
      <c r="P75" s="25">
        <f>IF(A75="","",INDEX(Model!$C$75:$DR$75,1,72))</f>
        <v/>
      </c>
      <c r="Q75" s="25">
        <f>IF(A75="","",INDEX(Model!$C$76:$DR$76,1,72))</f>
        <v/>
      </c>
      <c r="R75" s="25">
        <f>IF(A75="","",INDEX(Model!$C$63:$DR$63,1,72))</f>
        <v/>
      </c>
      <c r="S75" s="25">
        <f>IF(A75="","",INDEX(Model!$C$77:$DR$77,1,72))</f>
        <v/>
      </c>
      <c r="T75" s="25">
        <f>IF(A75="","",INDEX(Model!$C$78:$DR$78,1,72))</f>
        <v/>
      </c>
      <c r="U75" s="25">
        <f>IF(A75="","",INDEX(Model!$C$79:$DR$79,1,72))</f>
        <v/>
      </c>
      <c r="V75" s="25">
        <f>IF(A75="","",INDEX(Model!$C$64:$DR$64,1,72))</f>
        <v/>
      </c>
      <c r="W75" s="25">
        <f>IF(A75="","",INDEX(Model!$C$71:$DR$71,1,72))</f>
        <v/>
      </c>
      <c r="X75" s="25">
        <f>IF(A75="","",INDEX(Model!$C$72:$DR$72,1,72))</f>
        <v/>
      </c>
      <c r="Y75" s="25">
        <f>IF(A75="","",INDEX(Model!$C$73:$DR$73,1,72))</f>
        <v/>
      </c>
    </row>
    <row r="76">
      <c r="A76">
        <f>IF(73&lt;=Effective!$B$7,73,"")</f>
        <v/>
      </c>
      <c r="B76">
        <f>IF(A76="","",INDEX(Model!$C$1:$DR$1,1,73))</f>
        <v/>
      </c>
      <c r="C76">
        <f>IF(A76="","",INDEX(Model!$C$7:$DR$7,1,73))</f>
        <v/>
      </c>
      <c r="D76">
        <f>IF(A76="","",INDEX(Model!$C$8:$DR$8,1,73))</f>
        <v/>
      </c>
      <c r="E76" s="25">
        <f>IF(A76="","",INDEX(Model!$C$18:$DR$18,1,73))</f>
        <v/>
      </c>
      <c r="F76" s="25">
        <f>IF(A76="","",INDEX(Model!$C$27:$DR$27,1,73))</f>
        <v/>
      </c>
      <c r="G76" s="25">
        <f>IF(A76="","",INDEX(Model!$C$28:$DR$28,1,73))</f>
        <v/>
      </c>
      <c r="H76" s="25">
        <f>IF(A76="","",INDEX(Model!$C$44:$DR$44,1,73))</f>
        <v/>
      </c>
      <c r="I76" s="25">
        <f>IF(A76="","",INDEX(Model!$C$45:$DR$45,1,73))</f>
        <v/>
      </c>
      <c r="J76" s="25">
        <f>IF(A76="","",INDEX(Model!$C$46:$DR$46,1,73))</f>
        <v/>
      </c>
      <c r="K76" s="25">
        <f>IF(A76="","",INDEX(Model!$C$62:$DR$62,1,73))</f>
        <v/>
      </c>
      <c r="L76" s="25">
        <f>IF(A76="","",INDEX(Model!$C$65:$DR$65,1,73))</f>
        <v/>
      </c>
      <c r="M76" s="25">
        <f>IF(A76="","",INDEX(Model!$C$69:$DR$69,1,73))</f>
        <v/>
      </c>
      <c r="N76" s="25">
        <f>IF(A76="","",INDEX(Model!$C$70:$DR$70,1,73))</f>
        <v/>
      </c>
      <c r="O76" s="25">
        <f>IF(A76="","",INDEX(Model!$C$74:$DR$74,1,73))</f>
        <v/>
      </c>
      <c r="P76" s="25">
        <f>IF(A76="","",INDEX(Model!$C$75:$DR$75,1,73))</f>
        <v/>
      </c>
      <c r="Q76" s="25">
        <f>IF(A76="","",INDEX(Model!$C$76:$DR$76,1,73))</f>
        <v/>
      </c>
      <c r="R76" s="25">
        <f>IF(A76="","",INDEX(Model!$C$63:$DR$63,1,73))</f>
        <v/>
      </c>
      <c r="S76" s="25">
        <f>IF(A76="","",INDEX(Model!$C$77:$DR$77,1,73))</f>
        <v/>
      </c>
      <c r="T76" s="25">
        <f>IF(A76="","",INDEX(Model!$C$78:$DR$78,1,73))</f>
        <v/>
      </c>
      <c r="U76" s="25">
        <f>IF(A76="","",INDEX(Model!$C$79:$DR$79,1,73))</f>
        <v/>
      </c>
      <c r="V76" s="25">
        <f>IF(A76="","",INDEX(Model!$C$64:$DR$64,1,73))</f>
        <v/>
      </c>
      <c r="W76" s="25">
        <f>IF(A76="","",INDEX(Model!$C$71:$DR$71,1,73))</f>
        <v/>
      </c>
      <c r="X76" s="25">
        <f>IF(A76="","",INDEX(Model!$C$72:$DR$72,1,73))</f>
        <v/>
      </c>
      <c r="Y76" s="25">
        <f>IF(A76="","",INDEX(Model!$C$73:$DR$73,1,73))</f>
        <v/>
      </c>
    </row>
    <row r="77">
      <c r="A77">
        <f>IF(74&lt;=Effective!$B$7,74,"")</f>
        <v/>
      </c>
      <c r="B77">
        <f>IF(A77="","",INDEX(Model!$C$1:$DR$1,1,74))</f>
        <v/>
      </c>
      <c r="C77">
        <f>IF(A77="","",INDEX(Model!$C$7:$DR$7,1,74))</f>
        <v/>
      </c>
      <c r="D77">
        <f>IF(A77="","",INDEX(Model!$C$8:$DR$8,1,74))</f>
        <v/>
      </c>
      <c r="E77" s="25">
        <f>IF(A77="","",INDEX(Model!$C$18:$DR$18,1,74))</f>
        <v/>
      </c>
      <c r="F77" s="25">
        <f>IF(A77="","",INDEX(Model!$C$27:$DR$27,1,74))</f>
        <v/>
      </c>
      <c r="G77" s="25">
        <f>IF(A77="","",INDEX(Model!$C$28:$DR$28,1,74))</f>
        <v/>
      </c>
      <c r="H77" s="25">
        <f>IF(A77="","",INDEX(Model!$C$44:$DR$44,1,74))</f>
        <v/>
      </c>
      <c r="I77" s="25">
        <f>IF(A77="","",INDEX(Model!$C$45:$DR$45,1,74))</f>
        <v/>
      </c>
      <c r="J77" s="25">
        <f>IF(A77="","",INDEX(Model!$C$46:$DR$46,1,74))</f>
        <v/>
      </c>
      <c r="K77" s="25">
        <f>IF(A77="","",INDEX(Model!$C$62:$DR$62,1,74))</f>
        <v/>
      </c>
      <c r="L77" s="25">
        <f>IF(A77="","",INDEX(Model!$C$65:$DR$65,1,74))</f>
        <v/>
      </c>
      <c r="M77" s="25">
        <f>IF(A77="","",INDEX(Model!$C$69:$DR$69,1,74))</f>
        <v/>
      </c>
      <c r="N77" s="25">
        <f>IF(A77="","",INDEX(Model!$C$70:$DR$70,1,74))</f>
        <v/>
      </c>
      <c r="O77" s="25">
        <f>IF(A77="","",INDEX(Model!$C$74:$DR$74,1,74))</f>
        <v/>
      </c>
      <c r="P77" s="25">
        <f>IF(A77="","",INDEX(Model!$C$75:$DR$75,1,74))</f>
        <v/>
      </c>
      <c r="Q77" s="25">
        <f>IF(A77="","",INDEX(Model!$C$76:$DR$76,1,74))</f>
        <v/>
      </c>
      <c r="R77" s="25">
        <f>IF(A77="","",INDEX(Model!$C$63:$DR$63,1,74))</f>
        <v/>
      </c>
      <c r="S77" s="25">
        <f>IF(A77="","",INDEX(Model!$C$77:$DR$77,1,74))</f>
        <v/>
      </c>
      <c r="T77" s="25">
        <f>IF(A77="","",INDEX(Model!$C$78:$DR$78,1,74))</f>
        <v/>
      </c>
      <c r="U77" s="25">
        <f>IF(A77="","",INDEX(Model!$C$79:$DR$79,1,74))</f>
        <v/>
      </c>
      <c r="V77" s="25">
        <f>IF(A77="","",INDEX(Model!$C$64:$DR$64,1,74))</f>
        <v/>
      </c>
      <c r="W77" s="25">
        <f>IF(A77="","",INDEX(Model!$C$71:$DR$71,1,74))</f>
        <v/>
      </c>
      <c r="X77" s="25">
        <f>IF(A77="","",INDEX(Model!$C$72:$DR$72,1,74))</f>
        <v/>
      </c>
      <c r="Y77" s="25">
        <f>IF(A77="","",INDEX(Model!$C$73:$DR$73,1,74))</f>
        <v/>
      </c>
    </row>
    <row r="78">
      <c r="A78">
        <f>IF(75&lt;=Effective!$B$7,75,"")</f>
        <v/>
      </c>
      <c r="B78">
        <f>IF(A78="","",INDEX(Model!$C$1:$DR$1,1,75))</f>
        <v/>
      </c>
      <c r="C78">
        <f>IF(A78="","",INDEX(Model!$C$7:$DR$7,1,75))</f>
        <v/>
      </c>
      <c r="D78">
        <f>IF(A78="","",INDEX(Model!$C$8:$DR$8,1,75))</f>
        <v/>
      </c>
      <c r="E78" s="25">
        <f>IF(A78="","",INDEX(Model!$C$18:$DR$18,1,75))</f>
        <v/>
      </c>
      <c r="F78" s="25">
        <f>IF(A78="","",INDEX(Model!$C$27:$DR$27,1,75))</f>
        <v/>
      </c>
      <c r="G78" s="25">
        <f>IF(A78="","",INDEX(Model!$C$28:$DR$28,1,75))</f>
        <v/>
      </c>
      <c r="H78" s="25">
        <f>IF(A78="","",INDEX(Model!$C$44:$DR$44,1,75))</f>
        <v/>
      </c>
      <c r="I78" s="25">
        <f>IF(A78="","",INDEX(Model!$C$45:$DR$45,1,75))</f>
        <v/>
      </c>
      <c r="J78" s="25">
        <f>IF(A78="","",INDEX(Model!$C$46:$DR$46,1,75))</f>
        <v/>
      </c>
      <c r="K78" s="25">
        <f>IF(A78="","",INDEX(Model!$C$62:$DR$62,1,75))</f>
        <v/>
      </c>
      <c r="L78" s="25">
        <f>IF(A78="","",INDEX(Model!$C$65:$DR$65,1,75))</f>
        <v/>
      </c>
      <c r="M78" s="25">
        <f>IF(A78="","",INDEX(Model!$C$69:$DR$69,1,75))</f>
        <v/>
      </c>
      <c r="N78" s="25">
        <f>IF(A78="","",INDEX(Model!$C$70:$DR$70,1,75))</f>
        <v/>
      </c>
      <c r="O78" s="25">
        <f>IF(A78="","",INDEX(Model!$C$74:$DR$74,1,75))</f>
        <v/>
      </c>
      <c r="P78" s="25">
        <f>IF(A78="","",INDEX(Model!$C$75:$DR$75,1,75))</f>
        <v/>
      </c>
      <c r="Q78" s="25">
        <f>IF(A78="","",INDEX(Model!$C$76:$DR$76,1,75))</f>
        <v/>
      </c>
      <c r="R78" s="25">
        <f>IF(A78="","",INDEX(Model!$C$63:$DR$63,1,75))</f>
        <v/>
      </c>
      <c r="S78" s="25">
        <f>IF(A78="","",INDEX(Model!$C$77:$DR$77,1,75))</f>
        <v/>
      </c>
      <c r="T78" s="25">
        <f>IF(A78="","",INDEX(Model!$C$78:$DR$78,1,75))</f>
        <v/>
      </c>
      <c r="U78" s="25">
        <f>IF(A78="","",INDEX(Model!$C$79:$DR$79,1,75))</f>
        <v/>
      </c>
      <c r="V78" s="25">
        <f>IF(A78="","",INDEX(Model!$C$64:$DR$64,1,75))</f>
        <v/>
      </c>
      <c r="W78" s="25">
        <f>IF(A78="","",INDEX(Model!$C$71:$DR$71,1,75))</f>
        <v/>
      </c>
      <c r="X78" s="25">
        <f>IF(A78="","",INDEX(Model!$C$72:$DR$72,1,75))</f>
        <v/>
      </c>
      <c r="Y78" s="25">
        <f>IF(A78="","",INDEX(Model!$C$73:$DR$73,1,75))</f>
        <v/>
      </c>
    </row>
    <row r="79">
      <c r="A79">
        <f>IF(76&lt;=Effective!$B$7,76,"")</f>
        <v/>
      </c>
      <c r="B79">
        <f>IF(A79="","",INDEX(Model!$C$1:$DR$1,1,76))</f>
        <v/>
      </c>
      <c r="C79">
        <f>IF(A79="","",INDEX(Model!$C$7:$DR$7,1,76))</f>
        <v/>
      </c>
      <c r="D79">
        <f>IF(A79="","",INDEX(Model!$C$8:$DR$8,1,76))</f>
        <v/>
      </c>
      <c r="E79" s="25">
        <f>IF(A79="","",INDEX(Model!$C$18:$DR$18,1,76))</f>
        <v/>
      </c>
      <c r="F79" s="25">
        <f>IF(A79="","",INDEX(Model!$C$27:$DR$27,1,76))</f>
        <v/>
      </c>
      <c r="G79" s="25">
        <f>IF(A79="","",INDEX(Model!$C$28:$DR$28,1,76))</f>
        <v/>
      </c>
      <c r="H79" s="25">
        <f>IF(A79="","",INDEX(Model!$C$44:$DR$44,1,76))</f>
        <v/>
      </c>
      <c r="I79" s="25">
        <f>IF(A79="","",INDEX(Model!$C$45:$DR$45,1,76))</f>
        <v/>
      </c>
      <c r="J79" s="25">
        <f>IF(A79="","",INDEX(Model!$C$46:$DR$46,1,76))</f>
        <v/>
      </c>
      <c r="K79" s="25">
        <f>IF(A79="","",INDEX(Model!$C$62:$DR$62,1,76))</f>
        <v/>
      </c>
      <c r="L79" s="25">
        <f>IF(A79="","",INDEX(Model!$C$65:$DR$65,1,76))</f>
        <v/>
      </c>
      <c r="M79" s="25">
        <f>IF(A79="","",INDEX(Model!$C$69:$DR$69,1,76))</f>
        <v/>
      </c>
      <c r="N79" s="25">
        <f>IF(A79="","",INDEX(Model!$C$70:$DR$70,1,76))</f>
        <v/>
      </c>
      <c r="O79" s="25">
        <f>IF(A79="","",INDEX(Model!$C$74:$DR$74,1,76))</f>
        <v/>
      </c>
      <c r="P79" s="25">
        <f>IF(A79="","",INDEX(Model!$C$75:$DR$75,1,76))</f>
        <v/>
      </c>
      <c r="Q79" s="25">
        <f>IF(A79="","",INDEX(Model!$C$76:$DR$76,1,76))</f>
        <v/>
      </c>
      <c r="R79" s="25">
        <f>IF(A79="","",INDEX(Model!$C$63:$DR$63,1,76))</f>
        <v/>
      </c>
      <c r="S79" s="25">
        <f>IF(A79="","",INDEX(Model!$C$77:$DR$77,1,76))</f>
        <v/>
      </c>
      <c r="T79" s="25">
        <f>IF(A79="","",INDEX(Model!$C$78:$DR$78,1,76))</f>
        <v/>
      </c>
      <c r="U79" s="25">
        <f>IF(A79="","",INDEX(Model!$C$79:$DR$79,1,76))</f>
        <v/>
      </c>
      <c r="V79" s="25">
        <f>IF(A79="","",INDEX(Model!$C$64:$DR$64,1,76))</f>
        <v/>
      </c>
      <c r="W79" s="25">
        <f>IF(A79="","",INDEX(Model!$C$71:$DR$71,1,76))</f>
        <v/>
      </c>
      <c r="X79" s="25">
        <f>IF(A79="","",INDEX(Model!$C$72:$DR$72,1,76))</f>
        <v/>
      </c>
      <c r="Y79" s="25">
        <f>IF(A79="","",INDEX(Model!$C$73:$DR$73,1,76))</f>
        <v/>
      </c>
    </row>
    <row r="80">
      <c r="A80">
        <f>IF(77&lt;=Effective!$B$7,77,"")</f>
        <v/>
      </c>
      <c r="B80">
        <f>IF(A80="","",INDEX(Model!$C$1:$DR$1,1,77))</f>
        <v/>
      </c>
      <c r="C80">
        <f>IF(A80="","",INDEX(Model!$C$7:$DR$7,1,77))</f>
        <v/>
      </c>
      <c r="D80">
        <f>IF(A80="","",INDEX(Model!$C$8:$DR$8,1,77))</f>
        <v/>
      </c>
      <c r="E80" s="25">
        <f>IF(A80="","",INDEX(Model!$C$18:$DR$18,1,77))</f>
        <v/>
      </c>
      <c r="F80" s="25">
        <f>IF(A80="","",INDEX(Model!$C$27:$DR$27,1,77))</f>
        <v/>
      </c>
      <c r="G80" s="25">
        <f>IF(A80="","",INDEX(Model!$C$28:$DR$28,1,77))</f>
        <v/>
      </c>
      <c r="H80" s="25">
        <f>IF(A80="","",INDEX(Model!$C$44:$DR$44,1,77))</f>
        <v/>
      </c>
      <c r="I80" s="25">
        <f>IF(A80="","",INDEX(Model!$C$45:$DR$45,1,77))</f>
        <v/>
      </c>
      <c r="J80" s="25">
        <f>IF(A80="","",INDEX(Model!$C$46:$DR$46,1,77))</f>
        <v/>
      </c>
      <c r="K80" s="25">
        <f>IF(A80="","",INDEX(Model!$C$62:$DR$62,1,77))</f>
        <v/>
      </c>
      <c r="L80" s="25">
        <f>IF(A80="","",INDEX(Model!$C$65:$DR$65,1,77))</f>
        <v/>
      </c>
      <c r="M80" s="25">
        <f>IF(A80="","",INDEX(Model!$C$69:$DR$69,1,77))</f>
        <v/>
      </c>
      <c r="N80" s="25">
        <f>IF(A80="","",INDEX(Model!$C$70:$DR$70,1,77))</f>
        <v/>
      </c>
      <c r="O80" s="25">
        <f>IF(A80="","",INDEX(Model!$C$74:$DR$74,1,77))</f>
        <v/>
      </c>
      <c r="P80" s="25">
        <f>IF(A80="","",INDEX(Model!$C$75:$DR$75,1,77))</f>
        <v/>
      </c>
      <c r="Q80" s="25">
        <f>IF(A80="","",INDEX(Model!$C$76:$DR$76,1,77))</f>
        <v/>
      </c>
      <c r="R80" s="25">
        <f>IF(A80="","",INDEX(Model!$C$63:$DR$63,1,77))</f>
        <v/>
      </c>
      <c r="S80" s="25">
        <f>IF(A80="","",INDEX(Model!$C$77:$DR$77,1,77))</f>
        <v/>
      </c>
      <c r="T80" s="25">
        <f>IF(A80="","",INDEX(Model!$C$78:$DR$78,1,77))</f>
        <v/>
      </c>
      <c r="U80" s="25">
        <f>IF(A80="","",INDEX(Model!$C$79:$DR$79,1,77))</f>
        <v/>
      </c>
      <c r="V80" s="25">
        <f>IF(A80="","",INDEX(Model!$C$64:$DR$64,1,77))</f>
        <v/>
      </c>
      <c r="W80" s="25">
        <f>IF(A80="","",INDEX(Model!$C$71:$DR$71,1,77))</f>
        <v/>
      </c>
      <c r="X80" s="25">
        <f>IF(A80="","",INDEX(Model!$C$72:$DR$72,1,77))</f>
        <v/>
      </c>
      <c r="Y80" s="25">
        <f>IF(A80="","",INDEX(Model!$C$73:$DR$73,1,77))</f>
        <v/>
      </c>
    </row>
    <row r="81">
      <c r="A81">
        <f>IF(78&lt;=Effective!$B$7,78,"")</f>
        <v/>
      </c>
      <c r="B81">
        <f>IF(A81="","",INDEX(Model!$C$1:$DR$1,1,78))</f>
        <v/>
      </c>
      <c r="C81">
        <f>IF(A81="","",INDEX(Model!$C$7:$DR$7,1,78))</f>
        <v/>
      </c>
      <c r="D81">
        <f>IF(A81="","",INDEX(Model!$C$8:$DR$8,1,78))</f>
        <v/>
      </c>
      <c r="E81" s="25">
        <f>IF(A81="","",INDEX(Model!$C$18:$DR$18,1,78))</f>
        <v/>
      </c>
      <c r="F81" s="25">
        <f>IF(A81="","",INDEX(Model!$C$27:$DR$27,1,78))</f>
        <v/>
      </c>
      <c r="G81" s="25">
        <f>IF(A81="","",INDEX(Model!$C$28:$DR$28,1,78))</f>
        <v/>
      </c>
      <c r="H81" s="25">
        <f>IF(A81="","",INDEX(Model!$C$44:$DR$44,1,78))</f>
        <v/>
      </c>
      <c r="I81" s="25">
        <f>IF(A81="","",INDEX(Model!$C$45:$DR$45,1,78))</f>
        <v/>
      </c>
      <c r="J81" s="25">
        <f>IF(A81="","",INDEX(Model!$C$46:$DR$46,1,78))</f>
        <v/>
      </c>
      <c r="K81" s="25">
        <f>IF(A81="","",INDEX(Model!$C$62:$DR$62,1,78))</f>
        <v/>
      </c>
      <c r="L81" s="25">
        <f>IF(A81="","",INDEX(Model!$C$65:$DR$65,1,78))</f>
        <v/>
      </c>
      <c r="M81" s="25">
        <f>IF(A81="","",INDEX(Model!$C$69:$DR$69,1,78))</f>
        <v/>
      </c>
      <c r="N81" s="25">
        <f>IF(A81="","",INDEX(Model!$C$70:$DR$70,1,78))</f>
        <v/>
      </c>
      <c r="O81" s="25">
        <f>IF(A81="","",INDEX(Model!$C$74:$DR$74,1,78))</f>
        <v/>
      </c>
      <c r="P81" s="25">
        <f>IF(A81="","",INDEX(Model!$C$75:$DR$75,1,78))</f>
        <v/>
      </c>
      <c r="Q81" s="25">
        <f>IF(A81="","",INDEX(Model!$C$76:$DR$76,1,78))</f>
        <v/>
      </c>
      <c r="R81" s="25">
        <f>IF(A81="","",INDEX(Model!$C$63:$DR$63,1,78))</f>
        <v/>
      </c>
      <c r="S81" s="25">
        <f>IF(A81="","",INDEX(Model!$C$77:$DR$77,1,78))</f>
        <v/>
      </c>
      <c r="T81" s="25">
        <f>IF(A81="","",INDEX(Model!$C$78:$DR$78,1,78))</f>
        <v/>
      </c>
      <c r="U81" s="25">
        <f>IF(A81="","",INDEX(Model!$C$79:$DR$79,1,78))</f>
        <v/>
      </c>
      <c r="V81" s="25">
        <f>IF(A81="","",INDEX(Model!$C$64:$DR$64,1,78))</f>
        <v/>
      </c>
      <c r="W81" s="25">
        <f>IF(A81="","",INDEX(Model!$C$71:$DR$71,1,78))</f>
        <v/>
      </c>
      <c r="X81" s="25">
        <f>IF(A81="","",INDEX(Model!$C$72:$DR$72,1,78))</f>
        <v/>
      </c>
      <c r="Y81" s="25">
        <f>IF(A81="","",INDEX(Model!$C$73:$DR$73,1,78))</f>
        <v/>
      </c>
    </row>
    <row r="82">
      <c r="A82">
        <f>IF(79&lt;=Effective!$B$7,79,"")</f>
        <v/>
      </c>
      <c r="B82">
        <f>IF(A82="","",INDEX(Model!$C$1:$DR$1,1,79))</f>
        <v/>
      </c>
      <c r="C82">
        <f>IF(A82="","",INDEX(Model!$C$7:$DR$7,1,79))</f>
        <v/>
      </c>
      <c r="D82">
        <f>IF(A82="","",INDEX(Model!$C$8:$DR$8,1,79))</f>
        <v/>
      </c>
      <c r="E82" s="25">
        <f>IF(A82="","",INDEX(Model!$C$18:$DR$18,1,79))</f>
        <v/>
      </c>
      <c r="F82" s="25">
        <f>IF(A82="","",INDEX(Model!$C$27:$DR$27,1,79))</f>
        <v/>
      </c>
      <c r="G82" s="25">
        <f>IF(A82="","",INDEX(Model!$C$28:$DR$28,1,79))</f>
        <v/>
      </c>
      <c r="H82" s="25">
        <f>IF(A82="","",INDEX(Model!$C$44:$DR$44,1,79))</f>
        <v/>
      </c>
      <c r="I82" s="25">
        <f>IF(A82="","",INDEX(Model!$C$45:$DR$45,1,79))</f>
        <v/>
      </c>
      <c r="J82" s="25">
        <f>IF(A82="","",INDEX(Model!$C$46:$DR$46,1,79))</f>
        <v/>
      </c>
      <c r="K82" s="25">
        <f>IF(A82="","",INDEX(Model!$C$62:$DR$62,1,79))</f>
        <v/>
      </c>
      <c r="L82" s="25">
        <f>IF(A82="","",INDEX(Model!$C$65:$DR$65,1,79))</f>
        <v/>
      </c>
      <c r="M82" s="25">
        <f>IF(A82="","",INDEX(Model!$C$69:$DR$69,1,79))</f>
        <v/>
      </c>
      <c r="N82" s="25">
        <f>IF(A82="","",INDEX(Model!$C$70:$DR$70,1,79))</f>
        <v/>
      </c>
      <c r="O82" s="25">
        <f>IF(A82="","",INDEX(Model!$C$74:$DR$74,1,79))</f>
        <v/>
      </c>
      <c r="P82" s="25">
        <f>IF(A82="","",INDEX(Model!$C$75:$DR$75,1,79))</f>
        <v/>
      </c>
      <c r="Q82" s="25">
        <f>IF(A82="","",INDEX(Model!$C$76:$DR$76,1,79))</f>
        <v/>
      </c>
      <c r="R82" s="25">
        <f>IF(A82="","",INDEX(Model!$C$63:$DR$63,1,79))</f>
        <v/>
      </c>
      <c r="S82" s="25">
        <f>IF(A82="","",INDEX(Model!$C$77:$DR$77,1,79))</f>
        <v/>
      </c>
      <c r="T82" s="25">
        <f>IF(A82="","",INDEX(Model!$C$78:$DR$78,1,79))</f>
        <v/>
      </c>
      <c r="U82" s="25">
        <f>IF(A82="","",INDEX(Model!$C$79:$DR$79,1,79))</f>
        <v/>
      </c>
      <c r="V82" s="25">
        <f>IF(A82="","",INDEX(Model!$C$64:$DR$64,1,79))</f>
        <v/>
      </c>
      <c r="W82" s="25">
        <f>IF(A82="","",INDEX(Model!$C$71:$DR$71,1,79))</f>
        <v/>
      </c>
      <c r="X82" s="25">
        <f>IF(A82="","",INDEX(Model!$C$72:$DR$72,1,79))</f>
        <v/>
      </c>
      <c r="Y82" s="25">
        <f>IF(A82="","",INDEX(Model!$C$73:$DR$73,1,79))</f>
        <v/>
      </c>
    </row>
    <row r="83">
      <c r="A83">
        <f>IF(80&lt;=Effective!$B$7,80,"")</f>
        <v/>
      </c>
      <c r="B83">
        <f>IF(A83="","",INDEX(Model!$C$1:$DR$1,1,80))</f>
        <v/>
      </c>
      <c r="C83">
        <f>IF(A83="","",INDEX(Model!$C$7:$DR$7,1,80))</f>
        <v/>
      </c>
      <c r="D83">
        <f>IF(A83="","",INDEX(Model!$C$8:$DR$8,1,80))</f>
        <v/>
      </c>
      <c r="E83" s="25">
        <f>IF(A83="","",INDEX(Model!$C$18:$DR$18,1,80))</f>
        <v/>
      </c>
      <c r="F83" s="25">
        <f>IF(A83="","",INDEX(Model!$C$27:$DR$27,1,80))</f>
        <v/>
      </c>
      <c r="G83" s="25">
        <f>IF(A83="","",INDEX(Model!$C$28:$DR$28,1,80))</f>
        <v/>
      </c>
      <c r="H83" s="25">
        <f>IF(A83="","",INDEX(Model!$C$44:$DR$44,1,80))</f>
        <v/>
      </c>
      <c r="I83" s="25">
        <f>IF(A83="","",INDEX(Model!$C$45:$DR$45,1,80))</f>
        <v/>
      </c>
      <c r="J83" s="25">
        <f>IF(A83="","",INDEX(Model!$C$46:$DR$46,1,80))</f>
        <v/>
      </c>
      <c r="K83" s="25">
        <f>IF(A83="","",INDEX(Model!$C$62:$DR$62,1,80))</f>
        <v/>
      </c>
      <c r="L83" s="25">
        <f>IF(A83="","",INDEX(Model!$C$65:$DR$65,1,80))</f>
        <v/>
      </c>
      <c r="M83" s="25">
        <f>IF(A83="","",INDEX(Model!$C$69:$DR$69,1,80))</f>
        <v/>
      </c>
      <c r="N83" s="25">
        <f>IF(A83="","",INDEX(Model!$C$70:$DR$70,1,80))</f>
        <v/>
      </c>
      <c r="O83" s="25">
        <f>IF(A83="","",INDEX(Model!$C$74:$DR$74,1,80))</f>
        <v/>
      </c>
      <c r="P83" s="25">
        <f>IF(A83="","",INDEX(Model!$C$75:$DR$75,1,80))</f>
        <v/>
      </c>
      <c r="Q83" s="25">
        <f>IF(A83="","",INDEX(Model!$C$76:$DR$76,1,80))</f>
        <v/>
      </c>
      <c r="R83" s="25">
        <f>IF(A83="","",INDEX(Model!$C$63:$DR$63,1,80))</f>
        <v/>
      </c>
      <c r="S83" s="25">
        <f>IF(A83="","",INDEX(Model!$C$77:$DR$77,1,80))</f>
        <v/>
      </c>
      <c r="T83" s="25">
        <f>IF(A83="","",INDEX(Model!$C$78:$DR$78,1,80))</f>
        <v/>
      </c>
      <c r="U83" s="25">
        <f>IF(A83="","",INDEX(Model!$C$79:$DR$79,1,80))</f>
        <v/>
      </c>
      <c r="V83" s="25">
        <f>IF(A83="","",INDEX(Model!$C$64:$DR$64,1,80))</f>
        <v/>
      </c>
      <c r="W83" s="25">
        <f>IF(A83="","",INDEX(Model!$C$71:$DR$71,1,80))</f>
        <v/>
      </c>
      <c r="X83" s="25">
        <f>IF(A83="","",INDEX(Model!$C$72:$DR$72,1,80))</f>
        <v/>
      </c>
      <c r="Y83" s="25">
        <f>IF(A83="","",INDEX(Model!$C$73:$DR$73,1,80))</f>
        <v/>
      </c>
    </row>
    <row r="84">
      <c r="A84">
        <f>IF(81&lt;=Effective!$B$7,81,"")</f>
        <v/>
      </c>
      <c r="B84">
        <f>IF(A84="","",INDEX(Model!$C$1:$DR$1,1,81))</f>
        <v/>
      </c>
      <c r="C84">
        <f>IF(A84="","",INDEX(Model!$C$7:$DR$7,1,81))</f>
        <v/>
      </c>
      <c r="D84">
        <f>IF(A84="","",INDEX(Model!$C$8:$DR$8,1,81))</f>
        <v/>
      </c>
      <c r="E84" s="25">
        <f>IF(A84="","",INDEX(Model!$C$18:$DR$18,1,81))</f>
        <v/>
      </c>
      <c r="F84" s="25">
        <f>IF(A84="","",INDEX(Model!$C$27:$DR$27,1,81))</f>
        <v/>
      </c>
      <c r="G84" s="25">
        <f>IF(A84="","",INDEX(Model!$C$28:$DR$28,1,81))</f>
        <v/>
      </c>
      <c r="H84" s="25">
        <f>IF(A84="","",INDEX(Model!$C$44:$DR$44,1,81))</f>
        <v/>
      </c>
      <c r="I84" s="25">
        <f>IF(A84="","",INDEX(Model!$C$45:$DR$45,1,81))</f>
        <v/>
      </c>
      <c r="J84" s="25">
        <f>IF(A84="","",INDEX(Model!$C$46:$DR$46,1,81))</f>
        <v/>
      </c>
      <c r="K84" s="25">
        <f>IF(A84="","",INDEX(Model!$C$62:$DR$62,1,81))</f>
        <v/>
      </c>
      <c r="L84" s="25">
        <f>IF(A84="","",INDEX(Model!$C$65:$DR$65,1,81))</f>
        <v/>
      </c>
      <c r="M84" s="25">
        <f>IF(A84="","",INDEX(Model!$C$69:$DR$69,1,81))</f>
        <v/>
      </c>
      <c r="N84" s="25">
        <f>IF(A84="","",INDEX(Model!$C$70:$DR$70,1,81))</f>
        <v/>
      </c>
      <c r="O84" s="25">
        <f>IF(A84="","",INDEX(Model!$C$74:$DR$74,1,81))</f>
        <v/>
      </c>
      <c r="P84" s="25">
        <f>IF(A84="","",INDEX(Model!$C$75:$DR$75,1,81))</f>
        <v/>
      </c>
      <c r="Q84" s="25">
        <f>IF(A84="","",INDEX(Model!$C$76:$DR$76,1,81))</f>
        <v/>
      </c>
      <c r="R84" s="25">
        <f>IF(A84="","",INDEX(Model!$C$63:$DR$63,1,81))</f>
        <v/>
      </c>
      <c r="S84" s="25">
        <f>IF(A84="","",INDEX(Model!$C$77:$DR$77,1,81))</f>
        <v/>
      </c>
      <c r="T84" s="25">
        <f>IF(A84="","",INDEX(Model!$C$78:$DR$78,1,81))</f>
        <v/>
      </c>
      <c r="U84" s="25">
        <f>IF(A84="","",INDEX(Model!$C$79:$DR$79,1,81))</f>
        <v/>
      </c>
      <c r="V84" s="25">
        <f>IF(A84="","",INDEX(Model!$C$64:$DR$64,1,81))</f>
        <v/>
      </c>
      <c r="W84" s="25">
        <f>IF(A84="","",INDEX(Model!$C$71:$DR$71,1,81))</f>
        <v/>
      </c>
      <c r="X84" s="25">
        <f>IF(A84="","",INDEX(Model!$C$72:$DR$72,1,81))</f>
        <v/>
      </c>
      <c r="Y84" s="25">
        <f>IF(A84="","",INDEX(Model!$C$73:$DR$73,1,81))</f>
        <v/>
      </c>
    </row>
    <row r="85">
      <c r="A85">
        <f>IF(82&lt;=Effective!$B$7,82,"")</f>
        <v/>
      </c>
      <c r="B85">
        <f>IF(A85="","",INDEX(Model!$C$1:$DR$1,1,82))</f>
        <v/>
      </c>
      <c r="C85">
        <f>IF(A85="","",INDEX(Model!$C$7:$DR$7,1,82))</f>
        <v/>
      </c>
      <c r="D85">
        <f>IF(A85="","",INDEX(Model!$C$8:$DR$8,1,82))</f>
        <v/>
      </c>
      <c r="E85" s="25">
        <f>IF(A85="","",INDEX(Model!$C$18:$DR$18,1,82))</f>
        <v/>
      </c>
      <c r="F85" s="25">
        <f>IF(A85="","",INDEX(Model!$C$27:$DR$27,1,82))</f>
        <v/>
      </c>
      <c r="G85" s="25">
        <f>IF(A85="","",INDEX(Model!$C$28:$DR$28,1,82))</f>
        <v/>
      </c>
      <c r="H85" s="25">
        <f>IF(A85="","",INDEX(Model!$C$44:$DR$44,1,82))</f>
        <v/>
      </c>
      <c r="I85" s="25">
        <f>IF(A85="","",INDEX(Model!$C$45:$DR$45,1,82))</f>
        <v/>
      </c>
      <c r="J85" s="25">
        <f>IF(A85="","",INDEX(Model!$C$46:$DR$46,1,82))</f>
        <v/>
      </c>
      <c r="K85" s="25">
        <f>IF(A85="","",INDEX(Model!$C$62:$DR$62,1,82))</f>
        <v/>
      </c>
      <c r="L85" s="25">
        <f>IF(A85="","",INDEX(Model!$C$65:$DR$65,1,82))</f>
        <v/>
      </c>
      <c r="M85" s="25">
        <f>IF(A85="","",INDEX(Model!$C$69:$DR$69,1,82))</f>
        <v/>
      </c>
      <c r="N85" s="25">
        <f>IF(A85="","",INDEX(Model!$C$70:$DR$70,1,82))</f>
        <v/>
      </c>
      <c r="O85" s="25">
        <f>IF(A85="","",INDEX(Model!$C$74:$DR$74,1,82))</f>
        <v/>
      </c>
      <c r="P85" s="25">
        <f>IF(A85="","",INDEX(Model!$C$75:$DR$75,1,82))</f>
        <v/>
      </c>
      <c r="Q85" s="25">
        <f>IF(A85="","",INDEX(Model!$C$76:$DR$76,1,82))</f>
        <v/>
      </c>
      <c r="R85" s="25">
        <f>IF(A85="","",INDEX(Model!$C$63:$DR$63,1,82))</f>
        <v/>
      </c>
      <c r="S85" s="25">
        <f>IF(A85="","",INDEX(Model!$C$77:$DR$77,1,82))</f>
        <v/>
      </c>
      <c r="T85" s="25">
        <f>IF(A85="","",INDEX(Model!$C$78:$DR$78,1,82))</f>
        <v/>
      </c>
      <c r="U85" s="25">
        <f>IF(A85="","",INDEX(Model!$C$79:$DR$79,1,82))</f>
        <v/>
      </c>
      <c r="V85" s="25">
        <f>IF(A85="","",INDEX(Model!$C$64:$DR$64,1,82))</f>
        <v/>
      </c>
      <c r="W85" s="25">
        <f>IF(A85="","",INDEX(Model!$C$71:$DR$71,1,82))</f>
        <v/>
      </c>
      <c r="X85" s="25">
        <f>IF(A85="","",INDEX(Model!$C$72:$DR$72,1,82))</f>
        <v/>
      </c>
      <c r="Y85" s="25">
        <f>IF(A85="","",INDEX(Model!$C$73:$DR$73,1,82))</f>
        <v/>
      </c>
    </row>
    <row r="86">
      <c r="A86">
        <f>IF(83&lt;=Effective!$B$7,83,"")</f>
        <v/>
      </c>
      <c r="B86">
        <f>IF(A86="","",INDEX(Model!$C$1:$DR$1,1,83))</f>
        <v/>
      </c>
      <c r="C86">
        <f>IF(A86="","",INDEX(Model!$C$7:$DR$7,1,83))</f>
        <v/>
      </c>
      <c r="D86">
        <f>IF(A86="","",INDEX(Model!$C$8:$DR$8,1,83))</f>
        <v/>
      </c>
      <c r="E86" s="25">
        <f>IF(A86="","",INDEX(Model!$C$18:$DR$18,1,83))</f>
        <v/>
      </c>
      <c r="F86" s="25">
        <f>IF(A86="","",INDEX(Model!$C$27:$DR$27,1,83))</f>
        <v/>
      </c>
      <c r="G86" s="25">
        <f>IF(A86="","",INDEX(Model!$C$28:$DR$28,1,83))</f>
        <v/>
      </c>
      <c r="H86" s="25">
        <f>IF(A86="","",INDEX(Model!$C$44:$DR$44,1,83))</f>
        <v/>
      </c>
      <c r="I86" s="25">
        <f>IF(A86="","",INDEX(Model!$C$45:$DR$45,1,83))</f>
        <v/>
      </c>
      <c r="J86" s="25">
        <f>IF(A86="","",INDEX(Model!$C$46:$DR$46,1,83))</f>
        <v/>
      </c>
      <c r="K86" s="25">
        <f>IF(A86="","",INDEX(Model!$C$62:$DR$62,1,83))</f>
        <v/>
      </c>
      <c r="L86" s="25">
        <f>IF(A86="","",INDEX(Model!$C$65:$DR$65,1,83))</f>
        <v/>
      </c>
      <c r="M86" s="25">
        <f>IF(A86="","",INDEX(Model!$C$69:$DR$69,1,83))</f>
        <v/>
      </c>
      <c r="N86" s="25">
        <f>IF(A86="","",INDEX(Model!$C$70:$DR$70,1,83))</f>
        <v/>
      </c>
      <c r="O86" s="25">
        <f>IF(A86="","",INDEX(Model!$C$74:$DR$74,1,83))</f>
        <v/>
      </c>
      <c r="P86" s="25">
        <f>IF(A86="","",INDEX(Model!$C$75:$DR$75,1,83))</f>
        <v/>
      </c>
      <c r="Q86" s="25">
        <f>IF(A86="","",INDEX(Model!$C$76:$DR$76,1,83))</f>
        <v/>
      </c>
      <c r="R86" s="25">
        <f>IF(A86="","",INDEX(Model!$C$63:$DR$63,1,83))</f>
        <v/>
      </c>
      <c r="S86" s="25">
        <f>IF(A86="","",INDEX(Model!$C$77:$DR$77,1,83))</f>
        <v/>
      </c>
      <c r="T86" s="25">
        <f>IF(A86="","",INDEX(Model!$C$78:$DR$78,1,83))</f>
        <v/>
      </c>
      <c r="U86" s="25">
        <f>IF(A86="","",INDEX(Model!$C$79:$DR$79,1,83))</f>
        <v/>
      </c>
      <c r="V86" s="25">
        <f>IF(A86="","",INDEX(Model!$C$64:$DR$64,1,83))</f>
        <v/>
      </c>
      <c r="W86" s="25">
        <f>IF(A86="","",INDEX(Model!$C$71:$DR$71,1,83))</f>
        <v/>
      </c>
      <c r="X86" s="25">
        <f>IF(A86="","",INDEX(Model!$C$72:$DR$72,1,83))</f>
        <v/>
      </c>
      <c r="Y86" s="25">
        <f>IF(A86="","",INDEX(Model!$C$73:$DR$73,1,83))</f>
        <v/>
      </c>
    </row>
    <row r="87">
      <c r="A87">
        <f>IF(84&lt;=Effective!$B$7,84,"")</f>
        <v/>
      </c>
      <c r="B87">
        <f>IF(A87="","",INDEX(Model!$C$1:$DR$1,1,84))</f>
        <v/>
      </c>
      <c r="C87">
        <f>IF(A87="","",INDEX(Model!$C$7:$DR$7,1,84))</f>
        <v/>
      </c>
      <c r="D87">
        <f>IF(A87="","",INDEX(Model!$C$8:$DR$8,1,84))</f>
        <v/>
      </c>
      <c r="E87" s="25">
        <f>IF(A87="","",INDEX(Model!$C$18:$DR$18,1,84))</f>
        <v/>
      </c>
      <c r="F87" s="25">
        <f>IF(A87="","",INDEX(Model!$C$27:$DR$27,1,84))</f>
        <v/>
      </c>
      <c r="G87" s="25">
        <f>IF(A87="","",INDEX(Model!$C$28:$DR$28,1,84))</f>
        <v/>
      </c>
      <c r="H87" s="25">
        <f>IF(A87="","",INDEX(Model!$C$44:$DR$44,1,84))</f>
        <v/>
      </c>
      <c r="I87" s="25">
        <f>IF(A87="","",INDEX(Model!$C$45:$DR$45,1,84))</f>
        <v/>
      </c>
      <c r="J87" s="25">
        <f>IF(A87="","",INDEX(Model!$C$46:$DR$46,1,84))</f>
        <v/>
      </c>
      <c r="K87" s="25">
        <f>IF(A87="","",INDEX(Model!$C$62:$DR$62,1,84))</f>
        <v/>
      </c>
      <c r="L87" s="25">
        <f>IF(A87="","",INDEX(Model!$C$65:$DR$65,1,84))</f>
        <v/>
      </c>
      <c r="M87" s="25">
        <f>IF(A87="","",INDEX(Model!$C$69:$DR$69,1,84))</f>
        <v/>
      </c>
      <c r="N87" s="25">
        <f>IF(A87="","",INDEX(Model!$C$70:$DR$70,1,84))</f>
        <v/>
      </c>
      <c r="O87" s="25">
        <f>IF(A87="","",INDEX(Model!$C$74:$DR$74,1,84))</f>
        <v/>
      </c>
      <c r="P87" s="25">
        <f>IF(A87="","",INDEX(Model!$C$75:$DR$75,1,84))</f>
        <v/>
      </c>
      <c r="Q87" s="25">
        <f>IF(A87="","",INDEX(Model!$C$76:$DR$76,1,84))</f>
        <v/>
      </c>
      <c r="R87" s="25">
        <f>IF(A87="","",INDEX(Model!$C$63:$DR$63,1,84))</f>
        <v/>
      </c>
      <c r="S87" s="25">
        <f>IF(A87="","",INDEX(Model!$C$77:$DR$77,1,84))</f>
        <v/>
      </c>
      <c r="T87" s="25">
        <f>IF(A87="","",INDEX(Model!$C$78:$DR$78,1,84))</f>
        <v/>
      </c>
      <c r="U87" s="25">
        <f>IF(A87="","",INDEX(Model!$C$79:$DR$79,1,84))</f>
        <v/>
      </c>
      <c r="V87" s="25">
        <f>IF(A87="","",INDEX(Model!$C$64:$DR$64,1,84))</f>
        <v/>
      </c>
      <c r="W87" s="25">
        <f>IF(A87="","",INDEX(Model!$C$71:$DR$71,1,84))</f>
        <v/>
      </c>
      <c r="X87" s="25">
        <f>IF(A87="","",INDEX(Model!$C$72:$DR$72,1,84))</f>
        <v/>
      </c>
      <c r="Y87" s="25">
        <f>IF(A87="","",INDEX(Model!$C$73:$DR$73,1,84))</f>
        <v/>
      </c>
    </row>
    <row r="88">
      <c r="A88">
        <f>IF(85&lt;=Effective!$B$7,85,"")</f>
        <v/>
      </c>
      <c r="B88">
        <f>IF(A88="","",INDEX(Model!$C$1:$DR$1,1,85))</f>
        <v/>
      </c>
      <c r="C88">
        <f>IF(A88="","",INDEX(Model!$C$7:$DR$7,1,85))</f>
        <v/>
      </c>
      <c r="D88">
        <f>IF(A88="","",INDEX(Model!$C$8:$DR$8,1,85))</f>
        <v/>
      </c>
      <c r="E88" s="25">
        <f>IF(A88="","",INDEX(Model!$C$18:$DR$18,1,85))</f>
        <v/>
      </c>
      <c r="F88" s="25">
        <f>IF(A88="","",INDEX(Model!$C$27:$DR$27,1,85))</f>
        <v/>
      </c>
      <c r="G88" s="25">
        <f>IF(A88="","",INDEX(Model!$C$28:$DR$28,1,85))</f>
        <v/>
      </c>
      <c r="H88" s="25">
        <f>IF(A88="","",INDEX(Model!$C$44:$DR$44,1,85))</f>
        <v/>
      </c>
      <c r="I88" s="25">
        <f>IF(A88="","",INDEX(Model!$C$45:$DR$45,1,85))</f>
        <v/>
      </c>
      <c r="J88" s="25">
        <f>IF(A88="","",INDEX(Model!$C$46:$DR$46,1,85))</f>
        <v/>
      </c>
      <c r="K88" s="25">
        <f>IF(A88="","",INDEX(Model!$C$62:$DR$62,1,85))</f>
        <v/>
      </c>
      <c r="L88" s="25">
        <f>IF(A88="","",INDEX(Model!$C$65:$DR$65,1,85))</f>
        <v/>
      </c>
      <c r="M88" s="25">
        <f>IF(A88="","",INDEX(Model!$C$69:$DR$69,1,85))</f>
        <v/>
      </c>
      <c r="N88" s="25">
        <f>IF(A88="","",INDEX(Model!$C$70:$DR$70,1,85))</f>
        <v/>
      </c>
      <c r="O88" s="25">
        <f>IF(A88="","",INDEX(Model!$C$74:$DR$74,1,85))</f>
        <v/>
      </c>
      <c r="P88" s="25">
        <f>IF(A88="","",INDEX(Model!$C$75:$DR$75,1,85))</f>
        <v/>
      </c>
      <c r="Q88" s="25">
        <f>IF(A88="","",INDEX(Model!$C$76:$DR$76,1,85))</f>
        <v/>
      </c>
      <c r="R88" s="25">
        <f>IF(A88="","",INDEX(Model!$C$63:$DR$63,1,85))</f>
        <v/>
      </c>
      <c r="S88" s="25">
        <f>IF(A88="","",INDEX(Model!$C$77:$DR$77,1,85))</f>
        <v/>
      </c>
      <c r="T88" s="25">
        <f>IF(A88="","",INDEX(Model!$C$78:$DR$78,1,85))</f>
        <v/>
      </c>
      <c r="U88" s="25">
        <f>IF(A88="","",INDEX(Model!$C$79:$DR$79,1,85))</f>
        <v/>
      </c>
      <c r="V88" s="25">
        <f>IF(A88="","",INDEX(Model!$C$64:$DR$64,1,85))</f>
        <v/>
      </c>
      <c r="W88" s="25">
        <f>IF(A88="","",INDEX(Model!$C$71:$DR$71,1,85))</f>
        <v/>
      </c>
      <c r="X88" s="25">
        <f>IF(A88="","",INDEX(Model!$C$72:$DR$72,1,85))</f>
        <v/>
      </c>
      <c r="Y88" s="25">
        <f>IF(A88="","",INDEX(Model!$C$73:$DR$73,1,85))</f>
        <v/>
      </c>
    </row>
    <row r="89">
      <c r="A89">
        <f>IF(86&lt;=Effective!$B$7,86,"")</f>
        <v/>
      </c>
      <c r="B89">
        <f>IF(A89="","",INDEX(Model!$C$1:$DR$1,1,86))</f>
        <v/>
      </c>
      <c r="C89">
        <f>IF(A89="","",INDEX(Model!$C$7:$DR$7,1,86))</f>
        <v/>
      </c>
      <c r="D89">
        <f>IF(A89="","",INDEX(Model!$C$8:$DR$8,1,86))</f>
        <v/>
      </c>
      <c r="E89" s="25">
        <f>IF(A89="","",INDEX(Model!$C$18:$DR$18,1,86))</f>
        <v/>
      </c>
      <c r="F89" s="25">
        <f>IF(A89="","",INDEX(Model!$C$27:$DR$27,1,86))</f>
        <v/>
      </c>
      <c r="G89" s="25">
        <f>IF(A89="","",INDEX(Model!$C$28:$DR$28,1,86))</f>
        <v/>
      </c>
      <c r="H89" s="25">
        <f>IF(A89="","",INDEX(Model!$C$44:$DR$44,1,86))</f>
        <v/>
      </c>
      <c r="I89" s="25">
        <f>IF(A89="","",INDEX(Model!$C$45:$DR$45,1,86))</f>
        <v/>
      </c>
      <c r="J89" s="25">
        <f>IF(A89="","",INDEX(Model!$C$46:$DR$46,1,86))</f>
        <v/>
      </c>
      <c r="K89" s="25">
        <f>IF(A89="","",INDEX(Model!$C$62:$DR$62,1,86))</f>
        <v/>
      </c>
      <c r="L89" s="25">
        <f>IF(A89="","",INDEX(Model!$C$65:$DR$65,1,86))</f>
        <v/>
      </c>
      <c r="M89" s="25">
        <f>IF(A89="","",INDEX(Model!$C$69:$DR$69,1,86))</f>
        <v/>
      </c>
      <c r="N89" s="25">
        <f>IF(A89="","",INDEX(Model!$C$70:$DR$70,1,86))</f>
        <v/>
      </c>
      <c r="O89" s="25">
        <f>IF(A89="","",INDEX(Model!$C$74:$DR$74,1,86))</f>
        <v/>
      </c>
      <c r="P89" s="25">
        <f>IF(A89="","",INDEX(Model!$C$75:$DR$75,1,86))</f>
        <v/>
      </c>
      <c r="Q89" s="25">
        <f>IF(A89="","",INDEX(Model!$C$76:$DR$76,1,86))</f>
        <v/>
      </c>
      <c r="R89" s="25">
        <f>IF(A89="","",INDEX(Model!$C$63:$DR$63,1,86))</f>
        <v/>
      </c>
      <c r="S89" s="25">
        <f>IF(A89="","",INDEX(Model!$C$77:$DR$77,1,86))</f>
        <v/>
      </c>
      <c r="T89" s="25">
        <f>IF(A89="","",INDEX(Model!$C$78:$DR$78,1,86))</f>
        <v/>
      </c>
      <c r="U89" s="25">
        <f>IF(A89="","",INDEX(Model!$C$79:$DR$79,1,86))</f>
        <v/>
      </c>
      <c r="V89" s="25">
        <f>IF(A89="","",INDEX(Model!$C$64:$DR$64,1,86))</f>
        <v/>
      </c>
      <c r="W89" s="25">
        <f>IF(A89="","",INDEX(Model!$C$71:$DR$71,1,86))</f>
        <v/>
      </c>
      <c r="X89" s="25">
        <f>IF(A89="","",INDEX(Model!$C$72:$DR$72,1,86))</f>
        <v/>
      </c>
      <c r="Y89" s="25">
        <f>IF(A89="","",INDEX(Model!$C$73:$DR$73,1,86))</f>
        <v/>
      </c>
    </row>
    <row r="90">
      <c r="A90">
        <f>IF(87&lt;=Effective!$B$7,87,"")</f>
        <v/>
      </c>
      <c r="B90">
        <f>IF(A90="","",INDEX(Model!$C$1:$DR$1,1,87))</f>
        <v/>
      </c>
      <c r="C90">
        <f>IF(A90="","",INDEX(Model!$C$7:$DR$7,1,87))</f>
        <v/>
      </c>
      <c r="D90">
        <f>IF(A90="","",INDEX(Model!$C$8:$DR$8,1,87))</f>
        <v/>
      </c>
      <c r="E90" s="25">
        <f>IF(A90="","",INDEX(Model!$C$18:$DR$18,1,87))</f>
        <v/>
      </c>
      <c r="F90" s="25">
        <f>IF(A90="","",INDEX(Model!$C$27:$DR$27,1,87))</f>
        <v/>
      </c>
      <c r="G90" s="25">
        <f>IF(A90="","",INDEX(Model!$C$28:$DR$28,1,87))</f>
        <v/>
      </c>
      <c r="H90" s="25">
        <f>IF(A90="","",INDEX(Model!$C$44:$DR$44,1,87))</f>
        <v/>
      </c>
      <c r="I90" s="25">
        <f>IF(A90="","",INDEX(Model!$C$45:$DR$45,1,87))</f>
        <v/>
      </c>
      <c r="J90" s="25">
        <f>IF(A90="","",INDEX(Model!$C$46:$DR$46,1,87))</f>
        <v/>
      </c>
      <c r="K90" s="25">
        <f>IF(A90="","",INDEX(Model!$C$62:$DR$62,1,87))</f>
        <v/>
      </c>
      <c r="L90" s="25">
        <f>IF(A90="","",INDEX(Model!$C$65:$DR$65,1,87))</f>
        <v/>
      </c>
      <c r="M90" s="25">
        <f>IF(A90="","",INDEX(Model!$C$69:$DR$69,1,87))</f>
        <v/>
      </c>
      <c r="N90" s="25">
        <f>IF(A90="","",INDEX(Model!$C$70:$DR$70,1,87))</f>
        <v/>
      </c>
      <c r="O90" s="25">
        <f>IF(A90="","",INDEX(Model!$C$74:$DR$74,1,87))</f>
        <v/>
      </c>
      <c r="P90" s="25">
        <f>IF(A90="","",INDEX(Model!$C$75:$DR$75,1,87))</f>
        <v/>
      </c>
      <c r="Q90" s="25">
        <f>IF(A90="","",INDEX(Model!$C$76:$DR$76,1,87))</f>
        <v/>
      </c>
      <c r="R90" s="25">
        <f>IF(A90="","",INDEX(Model!$C$63:$DR$63,1,87))</f>
        <v/>
      </c>
      <c r="S90" s="25">
        <f>IF(A90="","",INDEX(Model!$C$77:$DR$77,1,87))</f>
        <v/>
      </c>
      <c r="T90" s="25">
        <f>IF(A90="","",INDEX(Model!$C$78:$DR$78,1,87))</f>
        <v/>
      </c>
      <c r="U90" s="25">
        <f>IF(A90="","",INDEX(Model!$C$79:$DR$79,1,87))</f>
        <v/>
      </c>
      <c r="V90" s="25">
        <f>IF(A90="","",INDEX(Model!$C$64:$DR$64,1,87))</f>
        <v/>
      </c>
      <c r="W90" s="25">
        <f>IF(A90="","",INDEX(Model!$C$71:$DR$71,1,87))</f>
        <v/>
      </c>
      <c r="X90" s="25">
        <f>IF(A90="","",INDEX(Model!$C$72:$DR$72,1,87))</f>
        <v/>
      </c>
      <c r="Y90" s="25">
        <f>IF(A90="","",INDEX(Model!$C$73:$DR$73,1,87))</f>
        <v/>
      </c>
    </row>
    <row r="91">
      <c r="A91">
        <f>IF(88&lt;=Effective!$B$7,88,"")</f>
        <v/>
      </c>
      <c r="B91">
        <f>IF(A91="","",INDEX(Model!$C$1:$DR$1,1,88))</f>
        <v/>
      </c>
      <c r="C91">
        <f>IF(A91="","",INDEX(Model!$C$7:$DR$7,1,88))</f>
        <v/>
      </c>
      <c r="D91">
        <f>IF(A91="","",INDEX(Model!$C$8:$DR$8,1,88))</f>
        <v/>
      </c>
      <c r="E91" s="25">
        <f>IF(A91="","",INDEX(Model!$C$18:$DR$18,1,88))</f>
        <v/>
      </c>
      <c r="F91" s="25">
        <f>IF(A91="","",INDEX(Model!$C$27:$DR$27,1,88))</f>
        <v/>
      </c>
      <c r="G91" s="25">
        <f>IF(A91="","",INDEX(Model!$C$28:$DR$28,1,88))</f>
        <v/>
      </c>
      <c r="H91" s="25">
        <f>IF(A91="","",INDEX(Model!$C$44:$DR$44,1,88))</f>
        <v/>
      </c>
      <c r="I91" s="25">
        <f>IF(A91="","",INDEX(Model!$C$45:$DR$45,1,88))</f>
        <v/>
      </c>
      <c r="J91" s="25">
        <f>IF(A91="","",INDEX(Model!$C$46:$DR$46,1,88))</f>
        <v/>
      </c>
      <c r="K91" s="25">
        <f>IF(A91="","",INDEX(Model!$C$62:$DR$62,1,88))</f>
        <v/>
      </c>
      <c r="L91" s="25">
        <f>IF(A91="","",INDEX(Model!$C$65:$DR$65,1,88))</f>
        <v/>
      </c>
      <c r="M91" s="25">
        <f>IF(A91="","",INDEX(Model!$C$69:$DR$69,1,88))</f>
        <v/>
      </c>
      <c r="N91" s="25">
        <f>IF(A91="","",INDEX(Model!$C$70:$DR$70,1,88))</f>
        <v/>
      </c>
      <c r="O91" s="25">
        <f>IF(A91="","",INDEX(Model!$C$74:$DR$74,1,88))</f>
        <v/>
      </c>
      <c r="P91" s="25">
        <f>IF(A91="","",INDEX(Model!$C$75:$DR$75,1,88))</f>
        <v/>
      </c>
      <c r="Q91" s="25">
        <f>IF(A91="","",INDEX(Model!$C$76:$DR$76,1,88))</f>
        <v/>
      </c>
      <c r="R91" s="25">
        <f>IF(A91="","",INDEX(Model!$C$63:$DR$63,1,88))</f>
        <v/>
      </c>
      <c r="S91" s="25">
        <f>IF(A91="","",INDEX(Model!$C$77:$DR$77,1,88))</f>
        <v/>
      </c>
      <c r="T91" s="25">
        <f>IF(A91="","",INDEX(Model!$C$78:$DR$78,1,88))</f>
        <v/>
      </c>
      <c r="U91" s="25">
        <f>IF(A91="","",INDEX(Model!$C$79:$DR$79,1,88))</f>
        <v/>
      </c>
      <c r="V91" s="25">
        <f>IF(A91="","",INDEX(Model!$C$64:$DR$64,1,88))</f>
        <v/>
      </c>
      <c r="W91" s="25">
        <f>IF(A91="","",INDEX(Model!$C$71:$DR$71,1,88))</f>
        <v/>
      </c>
      <c r="X91" s="25">
        <f>IF(A91="","",INDEX(Model!$C$72:$DR$72,1,88))</f>
        <v/>
      </c>
      <c r="Y91" s="25">
        <f>IF(A91="","",INDEX(Model!$C$73:$DR$73,1,88))</f>
        <v/>
      </c>
    </row>
    <row r="92">
      <c r="A92">
        <f>IF(89&lt;=Effective!$B$7,89,"")</f>
        <v/>
      </c>
      <c r="B92">
        <f>IF(A92="","",INDEX(Model!$C$1:$DR$1,1,89))</f>
        <v/>
      </c>
      <c r="C92">
        <f>IF(A92="","",INDEX(Model!$C$7:$DR$7,1,89))</f>
        <v/>
      </c>
      <c r="D92">
        <f>IF(A92="","",INDEX(Model!$C$8:$DR$8,1,89))</f>
        <v/>
      </c>
      <c r="E92" s="25">
        <f>IF(A92="","",INDEX(Model!$C$18:$DR$18,1,89))</f>
        <v/>
      </c>
      <c r="F92" s="25">
        <f>IF(A92="","",INDEX(Model!$C$27:$DR$27,1,89))</f>
        <v/>
      </c>
      <c r="G92" s="25">
        <f>IF(A92="","",INDEX(Model!$C$28:$DR$28,1,89))</f>
        <v/>
      </c>
      <c r="H92" s="25">
        <f>IF(A92="","",INDEX(Model!$C$44:$DR$44,1,89))</f>
        <v/>
      </c>
      <c r="I92" s="25">
        <f>IF(A92="","",INDEX(Model!$C$45:$DR$45,1,89))</f>
        <v/>
      </c>
      <c r="J92" s="25">
        <f>IF(A92="","",INDEX(Model!$C$46:$DR$46,1,89))</f>
        <v/>
      </c>
      <c r="K92" s="25">
        <f>IF(A92="","",INDEX(Model!$C$62:$DR$62,1,89))</f>
        <v/>
      </c>
      <c r="L92" s="25">
        <f>IF(A92="","",INDEX(Model!$C$65:$DR$65,1,89))</f>
        <v/>
      </c>
      <c r="M92" s="25">
        <f>IF(A92="","",INDEX(Model!$C$69:$DR$69,1,89))</f>
        <v/>
      </c>
      <c r="N92" s="25">
        <f>IF(A92="","",INDEX(Model!$C$70:$DR$70,1,89))</f>
        <v/>
      </c>
      <c r="O92" s="25">
        <f>IF(A92="","",INDEX(Model!$C$74:$DR$74,1,89))</f>
        <v/>
      </c>
      <c r="P92" s="25">
        <f>IF(A92="","",INDEX(Model!$C$75:$DR$75,1,89))</f>
        <v/>
      </c>
      <c r="Q92" s="25">
        <f>IF(A92="","",INDEX(Model!$C$76:$DR$76,1,89))</f>
        <v/>
      </c>
      <c r="R92" s="25">
        <f>IF(A92="","",INDEX(Model!$C$63:$DR$63,1,89))</f>
        <v/>
      </c>
      <c r="S92" s="25">
        <f>IF(A92="","",INDEX(Model!$C$77:$DR$77,1,89))</f>
        <v/>
      </c>
      <c r="T92" s="25">
        <f>IF(A92="","",INDEX(Model!$C$78:$DR$78,1,89))</f>
        <v/>
      </c>
      <c r="U92" s="25">
        <f>IF(A92="","",INDEX(Model!$C$79:$DR$79,1,89))</f>
        <v/>
      </c>
      <c r="V92" s="25">
        <f>IF(A92="","",INDEX(Model!$C$64:$DR$64,1,89))</f>
        <v/>
      </c>
      <c r="W92" s="25">
        <f>IF(A92="","",INDEX(Model!$C$71:$DR$71,1,89))</f>
        <v/>
      </c>
      <c r="X92" s="25">
        <f>IF(A92="","",INDEX(Model!$C$72:$DR$72,1,89))</f>
        <v/>
      </c>
      <c r="Y92" s="25">
        <f>IF(A92="","",INDEX(Model!$C$73:$DR$73,1,89))</f>
        <v/>
      </c>
    </row>
    <row r="93">
      <c r="A93">
        <f>IF(90&lt;=Effective!$B$7,90,"")</f>
        <v/>
      </c>
      <c r="B93">
        <f>IF(A93="","",INDEX(Model!$C$1:$DR$1,1,90))</f>
        <v/>
      </c>
      <c r="C93">
        <f>IF(A93="","",INDEX(Model!$C$7:$DR$7,1,90))</f>
        <v/>
      </c>
      <c r="D93">
        <f>IF(A93="","",INDEX(Model!$C$8:$DR$8,1,90))</f>
        <v/>
      </c>
      <c r="E93" s="25">
        <f>IF(A93="","",INDEX(Model!$C$18:$DR$18,1,90))</f>
        <v/>
      </c>
      <c r="F93" s="25">
        <f>IF(A93="","",INDEX(Model!$C$27:$DR$27,1,90))</f>
        <v/>
      </c>
      <c r="G93" s="25">
        <f>IF(A93="","",INDEX(Model!$C$28:$DR$28,1,90))</f>
        <v/>
      </c>
      <c r="H93" s="25">
        <f>IF(A93="","",INDEX(Model!$C$44:$DR$44,1,90))</f>
        <v/>
      </c>
      <c r="I93" s="25">
        <f>IF(A93="","",INDEX(Model!$C$45:$DR$45,1,90))</f>
        <v/>
      </c>
      <c r="J93" s="25">
        <f>IF(A93="","",INDEX(Model!$C$46:$DR$46,1,90))</f>
        <v/>
      </c>
      <c r="K93" s="25">
        <f>IF(A93="","",INDEX(Model!$C$62:$DR$62,1,90))</f>
        <v/>
      </c>
      <c r="L93" s="25">
        <f>IF(A93="","",INDEX(Model!$C$65:$DR$65,1,90))</f>
        <v/>
      </c>
      <c r="M93" s="25">
        <f>IF(A93="","",INDEX(Model!$C$69:$DR$69,1,90))</f>
        <v/>
      </c>
      <c r="N93" s="25">
        <f>IF(A93="","",INDEX(Model!$C$70:$DR$70,1,90))</f>
        <v/>
      </c>
      <c r="O93" s="25">
        <f>IF(A93="","",INDEX(Model!$C$74:$DR$74,1,90))</f>
        <v/>
      </c>
      <c r="P93" s="25">
        <f>IF(A93="","",INDEX(Model!$C$75:$DR$75,1,90))</f>
        <v/>
      </c>
      <c r="Q93" s="25">
        <f>IF(A93="","",INDEX(Model!$C$76:$DR$76,1,90))</f>
        <v/>
      </c>
      <c r="R93" s="25">
        <f>IF(A93="","",INDEX(Model!$C$63:$DR$63,1,90))</f>
        <v/>
      </c>
      <c r="S93" s="25">
        <f>IF(A93="","",INDEX(Model!$C$77:$DR$77,1,90))</f>
        <v/>
      </c>
      <c r="T93" s="25">
        <f>IF(A93="","",INDEX(Model!$C$78:$DR$78,1,90))</f>
        <v/>
      </c>
      <c r="U93" s="25">
        <f>IF(A93="","",INDEX(Model!$C$79:$DR$79,1,90))</f>
        <v/>
      </c>
      <c r="V93" s="25">
        <f>IF(A93="","",INDEX(Model!$C$64:$DR$64,1,90))</f>
        <v/>
      </c>
      <c r="W93" s="25">
        <f>IF(A93="","",INDEX(Model!$C$71:$DR$71,1,90))</f>
        <v/>
      </c>
      <c r="X93" s="25">
        <f>IF(A93="","",INDEX(Model!$C$72:$DR$72,1,90))</f>
        <v/>
      </c>
      <c r="Y93" s="25">
        <f>IF(A93="","",INDEX(Model!$C$73:$DR$73,1,90))</f>
        <v/>
      </c>
    </row>
    <row r="94">
      <c r="A94">
        <f>IF(91&lt;=Effective!$B$7,91,"")</f>
        <v/>
      </c>
      <c r="B94">
        <f>IF(A94="","",INDEX(Model!$C$1:$DR$1,1,91))</f>
        <v/>
      </c>
      <c r="C94">
        <f>IF(A94="","",INDEX(Model!$C$7:$DR$7,1,91))</f>
        <v/>
      </c>
      <c r="D94">
        <f>IF(A94="","",INDEX(Model!$C$8:$DR$8,1,91))</f>
        <v/>
      </c>
      <c r="E94" s="25">
        <f>IF(A94="","",INDEX(Model!$C$18:$DR$18,1,91))</f>
        <v/>
      </c>
      <c r="F94" s="25">
        <f>IF(A94="","",INDEX(Model!$C$27:$DR$27,1,91))</f>
        <v/>
      </c>
      <c r="G94" s="25">
        <f>IF(A94="","",INDEX(Model!$C$28:$DR$28,1,91))</f>
        <v/>
      </c>
      <c r="H94" s="25">
        <f>IF(A94="","",INDEX(Model!$C$44:$DR$44,1,91))</f>
        <v/>
      </c>
      <c r="I94" s="25">
        <f>IF(A94="","",INDEX(Model!$C$45:$DR$45,1,91))</f>
        <v/>
      </c>
      <c r="J94" s="25">
        <f>IF(A94="","",INDEX(Model!$C$46:$DR$46,1,91))</f>
        <v/>
      </c>
      <c r="K94" s="25">
        <f>IF(A94="","",INDEX(Model!$C$62:$DR$62,1,91))</f>
        <v/>
      </c>
      <c r="L94" s="25">
        <f>IF(A94="","",INDEX(Model!$C$65:$DR$65,1,91))</f>
        <v/>
      </c>
      <c r="M94" s="25">
        <f>IF(A94="","",INDEX(Model!$C$69:$DR$69,1,91))</f>
        <v/>
      </c>
      <c r="N94" s="25">
        <f>IF(A94="","",INDEX(Model!$C$70:$DR$70,1,91))</f>
        <v/>
      </c>
      <c r="O94" s="25">
        <f>IF(A94="","",INDEX(Model!$C$74:$DR$74,1,91))</f>
        <v/>
      </c>
      <c r="P94" s="25">
        <f>IF(A94="","",INDEX(Model!$C$75:$DR$75,1,91))</f>
        <v/>
      </c>
      <c r="Q94" s="25">
        <f>IF(A94="","",INDEX(Model!$C$76:$DR$76,1,91))</f>
        <v/>
      </c>
      <c r="R94" s="25">
        <f>IF(A94="","",INDEX(Model!$C$63:$DR$63,1,91))</f>
        <v/>
      </c>
      <c r="S94" s="25">
        <f>IF(A94="","",INDEX(Model!$C$77:$DR$77,1,91))</f>
        <v/>
      </c>
      <c r="T94" s="25">
        <f>IF(A94="","",INDEX(Model!$C$78:$DR$78,1,91))</f>
        <v/>
      </c>
      <c r="U94" s="25">
        <f>IF(A94="","",INDEX(Model!$C$79:$DR$79,1,91))</f>
        <v/>
      </c>
      <c r="V94" s="25">
        <f>IF(A94="","",INDEX(Model!$C$64:$DR$64,1,91))</f>
        <v/>
      </c>
      <c r="W94" s="25">
        <f>IF(A94="","",INDEX(Model!$C$71:$DR$71,1,91))</f>
        <v/>
      </c>
      <c r="X94" s="25">
        <f>IF(A94="","",INDEX(Model!$C$72:$DR$72,1,91))</f>
        <v/>
      </c>
      <c r="Y94" s="25">
        <f>IF(A94="","",INDEX(Model!$C$73:$DR$73,1,91))</f>
        <v/>
      </c>
    </row>
    <row r="95">
      <c r="A95">
        <f>IF(92&lt;=Effective!$B$7,92,"")</f>
        <v/>
      </c>
      <c r="B95">
        <f>IF(A95="","",INDEX(Model!$C$1:$DR$1,1,92))</f>
        <v/>
      </c>
      <c r="C95">
        <f>IF(A95="","",INDEX(Model!$C$7:$DR$7,1,92))</f>
        <v/>
      </c>
      <c r="D95">
        <f>IF(A95="","",INDEX(Model!$C$8:$DR$8,1,92))</f>
        <v/>
      </c>
      <c r="E95" s="25">
        <f>IF(A95="","",INDEX(Model!$C$18:$DR$18,1,92))</f>
        <v/>
      </c>
      <c r="F95" s="25">
        <f>IF(A95="","",INDEX(Model!$C$27:$DR$27,1,92))</f>
        <v/>
      </c>
      <c r="G95" s="25">
        <f>IF(A95="","",INDEX(Model!$C$28:$DR$28,1,92))</f>
        <v/>
      </c>
      <c r="H95" s="25">
        <f>IF(A95="","",INDEX(Model!$C$44:$DR$44,1,92))</f>
        <v/>
      </c>
      <c r="I95" s="25">
        <f>IF(A95="","",INDEX(Model!$C$45:$DR$45,1,92))</f>
        <v/>
      </c>
      <c r="J95" s="25">
        <f>IF(A95="","",INDEX(Model!$C$46:$DR$46,1,92))</f>
        <v/>
      </c>
      <c r="K95" s="25">
        <f>IF(A95="","",INDEX(Model!$C$62:$DR$62,1,92))</f>
        <v/>
      </c>
      <c r="L95" s="25">
        <f>IF(A95="","",INDEX(Model!$C$65:$DR$65,1,92))</f>
        <v/>
      </c>
      <c r="M95" s="25">
        <f>IF(A95="","",INDEX(Model!$C$69:$DR$69,1,92))</f>
        <v/>
      </c>
      <c r="N95" s="25">
        <f>IF(A95="","",INDEX(Model!$C$70:$DR$70,1,92))</f>
        <v/>
      </c>
      <c r="O95" s="25">
        <f>IF(A95="","",INDEX(Model!$C$74:$DR$74,1,92))</f>
        <v/>
      </c>
      <c r="P95" s="25">
        <f>IF(A95="","",INDEX(Model!$C$75:$DR$75,1,92))</f>
        <v/>
      </c>
      <c r="Q95" s="25">
        <f>IF(A95="","",INDEX(Model!$C$76:$DR$76,1,92))</f>
        <v/>
      </c>
      <c r="R95" s="25">
        <f>IF(A95="","",INDEX(Model!$C$63:$DR$63,1,92))</f>
        <v/>
      </c>
      <c r="S95" s="25">
        <f>IF(A95="","",INDEX(Model!$C$77:$DR$77,1,92))</f>
        <v/>
      </c>
      <c r="T95" s="25">
        <f>IF(A95="","",INDEX(Model!$C$78:$DR$78,1,92))</f>
        <v/>
      </c>
      <c r="U95" s="25">
        <f>IF(A95="","",INDEX(Model!$C$79:$DR$79,1,92))</f>
        <v/>
      </c>
      <c r="V95" s="25">
        <f>IF(A95="","",INDEX(Model!$C$64:$DR$64,1,92))</f>
        <v/>
      </c>
      <c r="W95" s="25">
        <f>IF(A95="","",INDEX(Model!$C$71:$DR$71,1,92))</f>
        <v/>
      </c>
      <c r="X95" s="25">
        <f>IF(A95="","",INDEX(Model!$C$72:$DR$72,1,92))</f>
        <v/>
      </c>
      <c r="Y95" s="25">
        <f>IF(A95="","",INDEX(Model!$C$73:$DR$73,1,92))</f>
        <v/>
      </c>
    </row>
    <row r="96">
      <c r="A96">
        <f>IF(93&lt;=Effective!$B$7,93,"")</f>
        <v/>
      </c>
      <c r="B96">
        <f>IF(A96="","",INDEX(Model!$C$1:$DR$1,1,93))</f>
        <v/>
      </c>
      <c r="C96">
        <f>IF(A96="","",INDEX(Model!$C$7:$DR$7,1,93))</f>
        <v/>
      </c>
      <c r="D96">
        <f>IF(A96="","",INDEX(Model!$C$8:$DR$8,1,93))</f>
        <v/>
      </c>
      <c r="E96" s="25">
        <f>IF(A96="","",INDEX(Model!$C$18:$DR$18,1,93))</f>
        <v/>
      </c>
      <c r="F96" s="25">
        <f>IF(A96="","",INDEX(Model!$C$27:$DR$27,1,93))</f>
        <v/>
      </c>
      <c r="G96" s="25">
        <f>IF(A96="","",INDEX(Model!$C$28:$DR$28,1,93))</f>
        <v/>
      </c>
      <c r="H96" s="25">
        <f>IF(A96="","",INDEX(Model!$C$44:$DR$44,1,93))</f>
        <v/>
      </c>
      <c r="I96" s="25">
        <f>IF(A96="","",INDEX(Model!$C$45:$DR$45,1,93))</f>
        <v/>
      </c>
      <c r="J96" s="25">
        <f>IF(A96="","",INDEX(Model!$C$46:$DR$46,1,93))</f>
        <v/>
      </c>
      <c r="K96" s="25">
        <f>IF(A96="","",INDEX(Model!$C$62:$DR$62,1,93))</f>
        <v/>
      </c>
      <c r="L96" s="25">
        <f>IF(A96="","",INDEX(Model!$C$65:$DR$65,1,93))</f>
        <v/>
      </c>
      <c r="M96" s="25">
        <f>IF(A96="","",INDEX(Model!$C$69:$DR$69,1,93))</f>
        <v/>
      </c>
      <c r="N96" s="25">
        <f>IF(A96="","",INDEX(Model!$C$70:$DR$70,1,93))</f>
        <v/>
      </c>
      <c r="O96" s="25">
        <f>IF(A96="","",INDEX(Model!$C$74:$DR$74,1,93))</f>
        <v/>
      </c>
      <c r="P96" s="25">
        <f>IF(A96="","",INDEX(Model!$C$75:$DR$75,1,93))</f>
        <v/>
      </c>
      <c r="Q96" s="25">
        <f>IF(A96="","",INDEX(Model!$C$76:$DR$76,1,93))</f>
        <v/>
      </c>
      <c r="R96" s="25">
        <f>IF(A96="","",INDEX(Model!$C$63:$DR$63,1,93))</f>
        <v/>
      </c>
      <c r="S96" s="25">
        <f>IF(A96="","",INDEX(Model!$C$77:$DR$77,1,93))</f>
        <v/>
      </c>
      <c r="T96" s="25">
        <f>IF(A96="","",INDEX(Model!$C$78:$DR$78,1,93))</f>
        <v/>
      </c>
      <c r="U96" s="25">
        <f>IF(A96="","",INDEX(Model!$C$79:$DR$79,1,93))</f>
        <v/>
      </c>
      <c r="V96" s="25">
        <f>IF(A96="","",INDEX(Model!$C$64:$DR$64,1,93))</f>
        <v/>
      </c>
      <c r="W96" s="25">
        <f>IF(A96="","",INDEX(Model!$C$71:$DR$71,1,93))</f>
        <v/>
      </c>
      <c r="X96" s="25">
        <f>IF(A96="","",INDEX(Model!$C$72:$DR$72,1,93))</f>
        <v/>
      </c>
      <c r="Y96" s="25">
        <f>IF(A96="","",INDEX(Model!$C$73:$DR$73,1,93))</f>
        <v/>
      </c>
    </row>
    <row r="97">
      <c r="A97">
        <f>IF(94&lt;=Effective!$B$7,94,"")</f>
        <v/>
      </c>
      <c r="B97">
        <f>IF(A97="","",INDEX(Model!$C$1:$DR$1,1,94))</f>
        <v/>
      </c>
      <c r="C97">
        <f>IF(A97="","",INDEX(Model!$C$7:$DR$7,1,94))</f>
        <v/>
      </c>
      <c r="D97">
        <f>IF(A97="","",INDEX(Model!$C$8:$DR$8,1,94))</f>
        <v/>
      </c>
      <c r="E97" s="25">
        <f>IF(A97="","",INDEX(Model!$C$18:$DR$18,1,94))</f>
        <v/>
      </c>
      <c r="F97" s="25">
        <f>IF(A97="","",INDEX(Model!$C$27:$DR$27,1,94))</f>
        <v/>
      </c>
      <c r="G97" s="25">
        <f>IF(A97="","",INDEX(Model!$C$28:$DR$28,1,94))</f>
        <v/>
      </c>
      <c r="H97" s="25">
        <f>IF(A97="","",INDEX(Model!$C$44:$DR$44,1,94))</f>
        <v/>
      </c>
      <c r="I97" s="25">
        <f>IF(A97="","",INDEX(Model!$C$45:$DR$45,1,94))</f>
        <v/>
      </c>
      <c r="J97" s="25">
        <f>IF(A97="","",INDEX(Model!$C$46:$DR$46,1,94))</f>
        <v/>
      </c>
      <c r="K97" s="25">
        <f>IF(A97="","",INDEX(Model!$C$62:$DR$62,1,94))</f>
        <v/>
      </c>
      <c r="L97" s="25">
        <f>IF(A97="","",INDEX(Model!$C$65:$DR$65,1,94))</f>
        <v/>
      </c>
      <c r="M97" s="25">
        <f>IF(A97="","",INDEX(Model!$C$69:$DR$69,1,94))</f>
        <v/>
      </c>
      <c r="N97" s="25">
        <f>IF(A97="","",INDEX(Model!$C$70:$DR$70,1,94))</f>
        <v/>
      </c>
      <c r="O97" s="25">
        <f>IF(A97="","",INDEX(Model!$C$74:$DR$74,1,94))</f>
        <v/>
      </c>
      <c r="P97" s="25">
        <f>IF(A97="","",INDEX(Model!$C$75:$DR$75,1,94))</f>
        <v/>
      </c>
      <c r="Q97" s="25">
        <f>IF(A97="","",INDEX(Model!$C$76:$DR$76,1,94))</f>
        <v/>
      </c>
      <c r="R97" s="25">
        <f>IF(A97="","",INDEX(Model!$C$63:$DR$63,1,94))</f>
        <v/>
      </c>
      <c r="S97" s="25">
        <f>IF(A97="","",INDEX(Model!$C$77:$DR$77,1,94))</f>
        <v/>
      </c>
      <c r="T97" s="25">
        <f>IF(A97="","",INDEX(Model!$C$78:$DR$78,1,94))</f>
        <v/>
      </c>
      <c r="U97" s="25">
        <f>IF(A97="","",INDEX(Model!$C$79:$DR$79,1,94))</f>
        <v/>
      </c>
      <c r="V97" s="25">
        <f>IF(A97="","",INDEX(Model!$C$64:$DR$64,1,94))</f>
        <v/>
      </c>
      <c r="W97" s="25">
        <f>IF(A97="","",INDEX(Model!$C$71:$DR$71,1,94))</f>
        <v/>
      </c>
      <c r="X97" s="25">
        <f>IF(A97="","",INDEX(Model!$C$72:$DR$72,1,94))</f>
        <v/>
      </c>
      <c r="Y97" s="25">
        <f>IF(A97="","",INDEX(Model!$C$73:$DR$73,1,94))</f>
        <v/>
      </c>
    </row>
    <row r="98">
      <c r="A98">
        <f>IF(95&lt;=Effective!$B$7,95,"")</f>
        <v/>
      </c>
      <c r="B98">
        <f>IF(A98="","",INDEX(Model!$C$1:$DR$1,1,95))</f>
        <v/>
      </c>
      <c r="C98">
        <f>IF(A98="","",INDEX(Model!$C$7:$DR$7,1,95))</f>
        <v/>
      </c>
      <c r="D98">
        <f>IF(A98="","",INDEX(Model!$C$8:$DR$8,1,95))</f>
        <v/>
      </c>
      <c r="E98" s="25">
        <f>IF(A98="","",INDEX(Model!$C$18:$DR$18,1,95))</f>
        <v/>
      </c>
      <c r="F98" s="25">
        <f>IF(A98="","",INDEX(Model!$C$27:$DR$27,1,95))</f>
        <v/>
      </c>
      <c r="G98" s="25">
        <f>IF(A98="","",INDEX(Model!$C$28:$DR$28,1,95))</f>
        <v/>
      </c>
      <c r="H98" s="25">
        <f>IF(A98="","",INDEX(Model!$C$44:$DR$44,1,95))</f>
        <v/>
      </c>
      <c r="I98" s="25">
        <f>IF(A98="","",INDEX(Model!$C$45:$DR$45,1,95))</f>
        <v/>
      </c>
      <c r="J98" s="25">
        <f>IF(A98="","",INDEX(Model!$C$46:$DR$46,1,95))</f>
        <v/>
      </c>
      <c r="K98" s="25">
        <f>IF(A98="","",INDEX(Model!$C$62:$DR$62,1,95))</f>
        <v/>
      </c>
      <c r="L98" s="25">
        <f>IF(A98="","",INDEX(Model!$C$65:$DR$65,1,95))</f>
        <v/>
      </c>
      <c r="M98" s="25">
        <f>IF(A98="","",INDEX(Model!$C$69:$DR$69,1,95))</f>
        <v/>
      </c>
      <c r="N98" s="25">
        <f>IF(A98="","",INDEX(Model!$C$70:$DR$70,1,95))</f>
        <v/>
      </c>
      <c r="O98" s="25">
        <f>IF(A98="","",INDEX(Model!$C$74:$DR$74,1,95))</f>
        <v/>
      </c>
      <c r="P98" s="25">
        <f>IF(A98="","",INDEX(Model!$C$75:$DR$75,1,95))</f>
        <v/>
      </c>
      <c r="Q98" s="25">
        <f>IF(A98="","",INDEX(Model!$C$76:$DR$76,1,95))</f>
        <v/>
      </c>
      <c r="R98" s="25">
        <f>IF(A98="","",INDEX(Model!$C$63:$DR$63,1,95))</f>
        <v/>
      </c>
      <c r="S98" s="25">
        <f>IF(A98="","",INDEX(Model!$C$77:$DR$77,1,95))</f>
        <v/>
      </c>
      <c r="T98" s="25">
        <f>IF(A98="","",INDEX(Model!$C$78:$DR$78,1,95))</f>
        <v/>
      </c>
      <c r="U98" s="25">
        <f>IF(A98="","",INDEX(Model!$C$79:$DR$79,1,95))</f>
        <v/>
      </c>
      <c r="V98" s="25">
        <f>IF(A98="","",INDEX(Model!$C$64:$DR$64,1,95))</f>
        <v/>
      </c>
      <c r="W98" s="25">
        <f>IF(A98="","",INDEX(Model!$C$71:$DR$71,1,95))</f>
        <v/>
      </c>
      <c r="X98" s="25">
        <f>IF(A98="","",INDEX(Model!$C$72:$DR$72,1,95))</f>
        <v/>
      </c>
      <c r="Y98" s="25">
        <f>IF(A98="","",INDEX(Model!$C$73:$DR$73,1,95))</f>
        <v/>
      </c>
    </row>
    <row r="99">
      <c r="A99">
        <f>IF(96&lt;=Effective!$B$7,96,"")</f>
        <v/>
      </c>
      <c r="B99">
        <f>IF(A99="","",INDEX(Model!$C$1:$DR$1,1,96))</f>
        <v/>
      </c>
      <c r="C99">
        <f>IF(A99="","",INDEX(Model!$C$7:$DR$7,1,96))</f>
        <v/>
      </c>
      <c r="D99">
        <f>IF(A99="","",INDEX(Model!$C$8:$DR$8,1,96))</f>
        <v/>
      </c>
      <c r="E99" s="25">
        <f>IF(A99="","",INDEX(Model!$C$18:$DR$18,1,96))</f>
        <v/>
      </c>
      <c r="F99" s="25">
        <f>IF(A99="","",INDEX(Model!$C$27:$DR$27,1,96))</f>
        <v/>
      </c>
      <c r="G99" s="25">
        <f>IF(A99="","",INDEX(Model!$C$28:$DR$28,1,96))</f>
        <v/>
      </c>
      <c r="H99" s="25">
        <f>IF(A99="","",INDEX(Model!$C$44:$DR$44,1,96))</f>
        <v/>
      </c>
      <c r="I99" s="25">
        <f>IF(A99="","",INDEX(Model!$C$45:$DR$45,1,96))</f>
        <v/>
      </c>
      <c r="J99" s="25">
        <f>IF(A99="","",INDEX(Model!$C$46:$DR$46,1,96))</f>
        <v/>
      </c>
      <c r="K99" s="25">
        <f>IF(A99="","",INDEX(Model!$C$62:$DR$62,1,96))</f>
        <v/>
      </c>
      <c r="L99" s="25">
        <f>IF(A99="","",INDEX(Model!$C$65:$DR$65,1,96))</f>
        <v/>
      </c>
      <c r="M99" s="25">
        <f>IF(A99="","",INDEX(Model!$C$69:$DR$69,1,96))</f>
        <v/>
      </c>
      <c r="N99" s="25">
        <f>IF(A99="","",INDEX(Model!$C$70:$DR$70,1,96))</f>
        <v/>
      </c>
      <c r="O99" s="25">
        <f>IF(A99="","",INDEX(Model!$C$74:$DR$74,1,96))</f>
        <v/>
      </c>
      <c r="P99" s="25">
        <f>IF(A99="","",INDEX(Model!$C$75:$DR$75,1,96))</f>
        <v/>
      </c>
      <c r="Q99" s="25">
        <f>IF(A99="","",INDEX(Model!$C$76:$DR$76,1,96))</f>
        <v/>
      </c>
      <c r="R99" s="25">
        <f>IF(A99="","",INDEX(Model!$C$63:$DR$63,1,96))</f>
        <v/>
      </c>
      <c r="S99" s="25">
        <f>IF(A99="","",INDEX(Model!$C$77:$DR$77,1,96))</f>
        <v/>
      </c>
      <c r="T99" s="25">
        <f>IF(A99="","",INDEX(Model!$C$78:$DR$78,1,96))</f>
        <v/>
      </c>
      <c r="U99" s="25">
        <f>IF(A99="","",INDEX(Model!$C$79:$DR$79,1,96))</f>
        <v/>
      </c>
      <c r="V99" s="25">
        <f>IF(A99="","",INDEX(Model!$C$64:$DR$64,1,96))</f>
        <v/>
      </c>
      <c r="W99" s="25">
        <f>IF(A99="","",INDEX(Model!$C$71:$DR$71,1,96))</f>
        <v/>
      </c>
      <c r="X99" s="25">
        <f>IF(A99="","",INDEX(Model!$C$72:$DR$72,1,96))</f>
        <v/>
      </c>
      <c r="Y99" s="25">
        <f>IF(A99="","",INDEX(Model!$C$73:$DR$73,1,96))</f>
        <v/>
      </c>
    </row>
    <row r="100">
      <c r="A100">
        <f>IF(97&lt;=Effective!$B$7,97,"")</f>
        <v/>
      </c>
      <c r="B100">
        <f>IF(A100="","",INDEX(Model!$C$1:$DR$1,1,97))</f>
        <v/>
      </c>
      <c r="C100">
        <f>IF(A100="","",INDEX(Model!$C$7:$DR$7,1,97))</f>
        <v/>
      </c>
      <c r="D100">
        <f>IF(A100="","",INDEX(Model!$C$8:$DR$8,1,97))</f>
        <v/>
      </c>
      <c r="E100" s="25">
        <f>IF(A100="","",INDEX(Model!$C$18:$DR$18,1,97))</f>
        <v/>
      </c>
      <c r="F100" s="25">
        <f>IF(A100="","",INDEX(Model!$C$27:$DR$27,1,97))</f>
        <v/>
      </c>
      <c r="G100" s="25">
        <f>IF(A100="","",INDEX(Model!$C$28:$DR$28,1,97))</f>
        <v/>
      </c>
      <c r="H100" s="25">
        <f>IF(A100="","",INDEX(Model!$C$44:$DR$44,1,97))</f>
        <v/>
      </c>
      <c r="I100" s="25">
        <f>IF(A100="","",INDEX(Model!$C$45:$DR$45,1,97))</f>
        <v/>
      </c>
      <c r="J100" s="25">
        <f>IF(A100="","",INDEX(Model!$C$46:$DR$46,1,97))</f>
        <v/>
      </c>
      <c r="K100" s="25">
        <f>IF(A100="","",INDEX(Model!$C$62:$DR$62,1,97))</f>
        <v/>
      </c>
      <c r="L100" s="25">
        <f>IF(A100="","",INDEX(Model!$C$65:$DR$65,1,97))</f>
        <v/>
      </c>
      <c r="M100" s="25">
        <f>IF(A100="","",INDEX(Model!$C$69:$DR$69,1,97))</f>
        <v/>
      </c>
      <c r="N100" s="25">
        <f>IF(A100="","",INDEX(Model!$C$70:$DR$70,1,97))</f>
        <v/>
      </c>
      <c r="O100" s="25">
        <f>IF(A100="","",INDEX(Model!$C$74:$DR$74,1,97))</f>
        <v/>
      </c>
      <c r="P100" s="25">
        <f>IF(A100="","",INDEX(Model!$C$75:$DR$75,1,97))</f>
        <v/>
      </c>
      <c r="Q100" s="25">
        <f>IF(A100="","",INDEX(Model!$C$76:$DR$76,1,97))</f>
        <v/>
      </c>
      <c r="R100" s="25">
        <f>IF(A100="","",INDEX(Model!$C$63:$DR$63,1,97))</f>
        <v/>
      </c>
      <c r="S100" s="25">
        <f>IF(A100="","",INDEX(Model!$C$77:$DR$77,1,97))</f>
        <v/>
      </c>
      <c r="T100" s="25">
        <f>IF(A100="","",INDEX(Model!$C$78:$DR$78,1,97))</f>
        <v/>
      </c>
      <c r="U100" s="25">
        <f>IF(A100="","",INDEX(Model!$C$79:$DR$79,1,97))</f>
        <v/>
      </c>
      <c r="V100" s="25">
        <f>IF(A100="","",INDEX(Model!$C$64:$DR$64,1,97))</f>
        <v/>
      </c>
      <c r="W100" s="25">
        <f>IF(A100="","",INDEX(Model!$C$71:$DR$71,1,97))</f>
        <v/>
      </c>
      <c r="X100" s="25">
        <f>IF(A100="","",INDEX(Model!$C$72:$DR$72,1,97))</f>
        <v/>
      </c>
      <c r="Y100" s="25">
        <f>IF(A100="","",INDEX(Model!$C$73:$DR$73,1,97))</f>
        <v/>
      </c>
    </row>
    <row r="101">
      <c r="A101">
        <f>IF(98&lt;=Effective!$B$7,98,"")</f>
        <v/>
      </c>
      <c r="B101">
        <f>IF(A101="","",INDEX(Model!$C$1:$DR$1,1,98))</f>
        <v/>
      </c>
      <c r="C101">
        <f>IF(A101="","",INDEX(Model!$C$7:$DR$7,1,98))</f>
        <v/>
      </c>
      <c r="D101">
        <f>IF(A101="","",INDEX(Model!$C$8:$DR$8,1,98))</f>
        <v/>
      </c>
      <c r="E101" s="25">
        <f>IF(A101="","",INDEX(Model!$C$18:$DR$18,1,98))</f>
        <v/>
      </c>
      <c r="F101" s="25">
        <f>IF(A101="","",INDEX(Model!$C$27:$DR$27,1,98))</f>
        <v/>
      </c>
      <c r="G101" s="25">
        <f>IF(A101="","",INDEX(Model!$C$28:$DR$28,1,98))</f>
        <v/>
      </c>
      <c r="H101" s="25">
        <f>IF(A101="","",INDEX(Model!$C$44:$DR$44,1,98))</f>
        <v/>
      </c>
      <c r="I101" s="25">
        <f>IF(A101="","",INDEX(Model!$C$45:$DR$45,1,98))</f>
        <v/>
      </c>
      <c r="J101" s="25">
        <f>IF(A101="","",INDEX(Model!$C$46:$DR$46,1,98))</f>
        <v/>
      </c>
      <c r="K101" s="25">
        <f>IF(A101="","",INDEX(Model!$C$62:$DR$62,1,98))</f>
        <v/>
      </c>
      <c r="L101" s="25">
        <f>IF(A101="","",INDEX(Model!$C$65:$DR$65,1,98))</f>
        <v/>
      </c>
      <c r="M101" s="25">
        <f>IF(A101="","",INDEX(Model!$C$69:$DR$69,1,98))</f>
        <v/>
      </c>
      <c r="N101" s="25">
        <f>IF(A101="","",INDEX(Model!$C$70:$DR$70,1,98))</f>
        <v/>
      </c>
      <c r="O101" s="25">
        <f>IF(A101="","",INDEX(Model!$C$74:$DR$74,1,98))</f>
        <v/>
      </c>
      <c r="P101" s="25">
        <f>IF(A101="","",INDEX(Model!$C$75:$DR$75,1,98))</f>
        <v/>
      </c>
      <c r="Q101" s="25">
        <f>IF(A101="","",INDEX(Model!$C$76:$DR$76,1,98))</f>
        <v/>
      </c>
      <c r="R101" s="25">
        <f>IF(A101="","",INDEX(Model!$C$63:$DR$63,1,98))</f>
        <v/>
      </c>
      <c r="S101" s="25">
        <f>IF(A101="","",INDEX(Model!$C$77:$DR$77,1,98))</f>
        <v/>
      </c>
      <c r="T101" s="25">
        <f>IF(A101="","",INDEX(Model!$C$78:$DR$78,1,98))</f>
        <v/>
      </c>
      <c r="U101" s="25">
        <f>IF(A101="","",INDEX(Model!$C$79:$DR$79,1,98))</f>
        <v/>
      </c>
      <c r="V101" s="25">
        <f>IF(A101="","",INDEX(Model!$C$64:$DR$64,1,98))</f>
        <v/>
      </c>
      <c r="W101" s="25">
        <f>IF(A101="","",INDEX(Model!$C$71:$DR$71,1,98))</f>
        <v/>
      </c>
      <c r="X101" s="25">
        <f>IF(A101="","",INDEX(Model!$C$72:$DR$72,1,98))</f>
        <v/>
      </c>
      <c r="Y101" s="25">
        <f>IF(A101="","",INDEX(Model!$C$73:$DR$73,1,98))</f>
        <v/>
      </c>
    </row>
    <row r="102">
      <c r="A102">
        <f>IF(99&lt;=Effective!$B$7,99,"")</f>
        <v/>
      </c>
      <c r="B102">
        <f>IF(A102="","",INDEX(Model!$C$1:$DR$1,1,99))</f>
        <v/>
      </c>
      <c r="C102">
        <f>IF(A102="","",INDEX(Model!$C$7:$DR$7,1,99))</f>
        <v/>
      </c>
      <c r="D102">
        <f>IF(A102="","",INDEX(Model!$C$8:$DR$8,1,99))</f>
        <v/>
      </c>
      <c r="E102" s="25">
        <f>IF(A102="","",INDEX(Model!$C$18:$DR$18,1,99))</f>
        <v/>
      </c>
      <c r="F102" s="25">
        <f>IF(A102="","",INDEX(Model!$C$27:$DR$27,1,99))</f>
        <v/>
      </c>
      <c r="G102" s="25">
        <f>IF(A102="","",INDEX(Model!$C$28:$DR$28,1,99))</f>
        <v/>
      </c>
      <c r="H102" s="25">
        <f>IF(A102="","",INDEX(Model!$C$44:$DR$44,1,99))</f>
        <v/>
      </c>
      <c r="I102" s="25">
        <f>IF(A102="","",INDEX(Model!$C$45:$DR$45,1,99))</f>
        <v/>
      </c>
      <c r="J102" s="25">
        <f>IF(A102="","",INDEX(Model!$C$46:$DR$46,1,99))</f>
        <v/>
      </c>
      <c r="K102" s="25">
        <f>IF(A102="","",INDEX(Model!$C$62:$DR$62,1,99))</f>
        <v/>
      </c>
      <c r="L102" s="25">
        <f>IF(A102="","",INDEX(Model!$C$65:$DR$65,1,99))</f>
        <v/>
      </c>
      <c r="M102" s="25">
        <f>IF(A102="","",INDEX(Model!$C$69:$DR$69,1,99))</f>
        <v/>
      </c>
      <c r="N102" s="25">
        <f>IF(A102="","",INDEX(Model!$C$70:$DR$70,1,99))</f>
        <v/>
      </c>
      <c r="O102" s="25">
        <f>IF(A102="","",INDEX(Model!$C$74:$DR$74,1,99))</f>
        <v/>
      </c>
      <c r="P102" s="25">
        <f>IF(A102="","",INDEX(Model!$C$75:$DR$75,1,99))</f>
        <v/>
      </c>
      <c r="Q102" s="25">
        <f>IF(A102="","",INDEX(Model!$C$76:$DR$76,1,99))</f>
        <v/>
      </c>
      <c r="R102" s="25">
        <f>IF(A102="","",INDEX(Model!$C$63:$DR$63,1,99))</f>
        <v/>
      </c>
      <c r="S102" s="25">
        <f>IF(A102="","",INDEX(Model!$C$77:$DR$77,1,99))</f>
        <v/>
      </c>
      <c r="T102" s="25">
        <f>IF(A102="","",INDEX(Model!$C$78:$DR$78,1,99))</f>
        <v/>
      </c>
      <c r="U102" s="25">
        <f>IF(A102="","",INDEX(Model!$C$79:$DR$79,1,99))</f>
        <v/>
      </c>
      <c r="V102" s="25">
        <f>IF(A102="","",INDEX(Model!$C$64:$DR$64,1,99))</f>
        <v/>
      </c>
      <c r="W102" s="25">
        <f>IF(A102="","",INDEX(Model!$C$71:$DR$71,1,99))</f>
        <v/>
      </c>
      <c r="X102" s="25">
        <f>IF(A102="","",INDEX(Model!$C$72:$DR$72,1,99))</f>
        <v/>
      </c>
      <c r="Y102" s="25">
        <f>IF(A102="","",INDEX(Model!$C$73:$DR$73,1,99))</f>
        <v/>
      </c>
    </row>
    <row r="103">
      <c r="A103">
        <f>IF(100&lt;=Effective!$B$7,100,"")</f>
        <v/>
      </c>
      <c r="B103">
        <f>IF(A103="","",INDEX(Model!$C$1:$DR$1,1,100))</f>
        <v/>
      </c>
      <c r="C103">
        <f>IF(A103="","",INDEX(Model!$C$7:$DR$7,1,100))</f>
        <v/>
      </c>
      <c r="D103">
        <f>IF(A103="","",INDEX(Model!$C$8:$DR$8,1,100))</f>
        <v/>
      </c>
      <c r="E103" s="25">
        <f>IF(A103="","",INDEX(Model!$C$18:$DR$18,1,100))</f>
        <v/>
      </c>
      <c r="F103" s="25">
        <f>IF(A103="","",INDEX(Model!$C$27:$DR$27,1,100))</f>
        <v/>
      </c>
      <c r="G103" s="25">
        <f>IF(A103="","",INDEX(Model!$C$28:$DR$28,1,100))</f>
        <v/>
      </c>
      <c r="H103" s="25">
        <f>IF(A103="","",INDEX(Model!$C$44:$DR$44,1,100))</f>
        <v/>
      </c>
      <c r="I103" s="25">
        <f>IF(A103="","",INDEX(Model!$C$45:$DR$45,1,100))</f>
        <v/>
      </c>
      <c r="J103" s="25">
        <f>IF(A103="","",INDEX(Model!$C$46:$DR$46,1,100))</f>
        <v/>
      </c>
      <c r="K103" s="25">
        <f>IF(A103="","",INDEX(Model!$C$62:$DR$62,1,100))</f>
        <v/>
      </c>
      <c r="L103" s="25">
        <f>IF(A103="","",INDEX(Model!$C$65:$DR$65,1,100))</f>
        <v/>
      </c>
      <c r="M103" s="25">
        <f>IF(A103="","",INDEX(Model!$C$69:$DR$69,1,100))</f>
        <v/>
      </c>
      <c r="N103" s="25">
        <f>IF(A103="","",INDEX(Model!$C$70:$DR$70,1,100))</f>
        <v/>
      </c>
      <c r="O103" s="25">
        <f>IF(A103="","",INDEX(Model!$C$74:$DR$74,1,100))</f>
        <v/>
      </c>
      <c r="P103" s="25">
        <f>IF(A103="","",INDEX(Model!$C$75:$DR$75,1,100))</f>
        <v/>
      </c>
      <c r="Q103" s="25">
        <f>IF(A103="","",INDEX(Model!$C$76:$DR$76,1,100))</f>
        <v/>
      </c>
      <c r="R103" s="25">
        <f>IF(A103="","",INDEX(Model!$C$63:$DR$63,1,100))</f>
        <v/>
      </c>
      <c r="S103" s="25">
        <f>IF(A103="","",INDEX(Model!$C$77:$DR$77,1,100))</f>
        <v/>
      </c>
      <c r="T103" s="25">
        <f>IF(A103="","",INDEX(Model!$C$78:$DR$78,1,100))</f>
        <v/>
      </c>
      <c r="U103" s="25">
        <f>IF(A103="","",INDEX(Model!$C$79:$DR$79,1,100))</f>
        <v/>
      </c>
      <c r="V103" s="25">
        <f>IF(A103="","",INDEX(Model!$C$64:$DR$64,1,100))</f>
        <v/>
      </c>
      <c r="W103" s="25">
        <f>IF(A103="","",INDEX(Model!$C$71:$DR$71,1,100))</f>
        <v/>
      </c>
      <c r="X103" s="25">
        <f>IF(A103="","",INDEX(Model!$C$72:$DR$72,1,100))</f>
        <v/>
      </c>
      <c r="Y103" s="25">
        <f>IF(A103="","",INDEX(Model!$C$73:$DR$73,1,100))</f>
        <v/>
      </c>
    </row>
    <row r="104">
      <c r="A104">
        <f>IF(101&lt;=Effective!$B$7,101,"")</f>
        <v/>
      </c>
      <c r="B104">
        <f>IF(A104="","",INDEX(Model!$C$1:$DR$1,1,101))</f>
        <v/>
      </c>
      <c r="C104">
        <f>IF(A104="","",INDEX(Model!$C$7:$DR$7,1,101))</f>
        <v/>
      </c>
      <c r="D104">
        <f>IF(A104="","",INDEX(Model!$C$8:$DR$8,1,101))</f>
        <v/>
      </c>
      <c r="E104" s="25">
        <f>IF(A104="","",INDEX(Model!$C$18:$DR$18,1,101))</f>
        <v/>
      </c>
      <c r="F104" s="25">
        <f>IF(A104="","",INDEX(Model!$C$27:$DR$27,1,101))</f>
        <v/>
      </c>
      <c r="G104" s="25">
        <f>IF(A104="","",INDEX(Model!$C$28:$DR$28,1,101))</f>
        <v/>
      </c>
      <c r="H104" s="25">
        <f>IF(A104="","",INDEX(Model!$C$44:$DR$44,1,101))</f>
        <v/>
      </c>
      <c r="I104" s="25">
        <f>IF(A104="","",INDEX(Model!$C$45:$DR$45,1,101))</f>
        <v/>
      </c>
      <c r="J104" s="25">
        <f>IF(A104="","",INDEX(Model!$C$46:$DR$46,1,101))</f>
        <v/>
      </c>
      <c r="K104" s="25">
        <f>IF(A104="","",INDEX(Model!$C$62:$DR$62,1,101))</f>
        <v/>
      </c>
      <c r="L104" s="25">
        <f>IF(A104="","",INDEX(Model!$C$65:$DR$65,1,101))</f>
        <v/>
      </c>
      <c r="M104" s="25">
        <f>IF(A104="","",INDEX(Model!$C$69:$DR$69,1,101))</f>
        <v/>
      </c>
      <c r="N104" s="25">
        <f>IF(A104="","",INDEX(Model!$C$70:$DR$70,1,101))</f>
        <v/>
      </c>
      <c r="O104" s="25">
        <f>IF(A104="","",INDEX(Model!$C$74:$DR$74,1,101))</f>
        <v/>
      </c>
      <c r="P104" s="25">
        <f>IF(A104="","",INDEX(Model!$C$75:$DR$75,1,101))</f>
        <v/>
      </c>
      <c r="Q104" s="25">
        <f>IF(A104="","",INDEX(Model!$C$76:$DR$76,1,101))</f>
        <v/>
      </c>
      <c r="R104" s="25">
        <f>IF(A104="","",INDEX(Model!$C$63:$DR$63,1,101))</f>
        <v/>
      </c>
      <c r="S104" s="25">
        <f>IF(A104="","",INDEX(Model!$C$77:$DR$77,1,101))</f>
        <v/>
      </c>
      <c r="T104" s="25">
        <f>IF(A104="","",INDEX(Model!$C$78:$DR$78,1,101))</f>
        <v/>
      </c>
      <c r="U104" s="25">
        <f>IF(A104="","",INDEX(Model!$C$79:$DR$79,1,101))</f>
        <v/>
      </c>
      <c r="V104" s="25">
        <f>IF(A104="","",INDEX(Model!$C$64:$DR$64,1,101))</f>
        <v/>
      </c>
      <c r="W104" s="25">
        <f>IF(A104="","",INDEX(Model!$C$71:$DR$71,1,101))</f>
        <v/>
      </c>
      <c r="X104" s="25">
        <f>IF(A104="","",INDEX(Model!$C$72:$DR$72,1,101))</f>
        <v/>
      </c>
      <c r="Y104" s="25">
        <f>IF(A104="","",INDEX(Model!$C$73:$DR$73,1,101))</f>
        <v/>
      </c>
    </row>
    <row r="105">
      <c r="A105">
        <f>IF(102&lt;=Effective!$B$7,102,"")</f>
        <v/>
      </c>
      <c r="B105">
        <f>IF(A105="","",INDEX(Model!$C$1:$DR$1,1,102))</f>
        <v/>
      </c>
      <c r="C105">
        <f>IF(A105="","",INDEX(Model!$C$7:$DR$7,1,102))</f>
        <v/>
      </c>
      <c r="D105">
        <f>IF(A105="","",INDEX(Model!$C$8:$DR$8,1,102))</f>
        <v/>
      </c>
      <c r="E105" s="25">
        <f>IF(A105="","",INDEX(Model!$C$18:$DR$18,1,102))</f>
        <v/>
      </c>
      <c r="F105" s="25">
        <f>IF(A105="","",INDEX(Model!$C$27:$DR$27,1,102))</f>
        <v/>
      </c>
      <c r="G105" s="25">
        <f>IF(A105="","",INDEX(Model!$C$28:$DR$28,1,102))</f>
        <v/>
      </c>
      <c r="H105" s="25">
        <f>IF(A105="","",INDEX(Model!$C$44:$DR$44,1,102))</f>
        <v/>
      </c>
      <c r="I105" s="25">
        <f>IF(A105="","",INDEX(Model!$C$45:$DR$45,1,102))</f>
        <v/>
      </c>
      <c r="J105" s="25">
        <f>IF(A105="","",INDEX(Model!$C$46:$DR$46,1,102))</f>
        <v/>
      </c>
      <c r="K105" s="25">
        <f>IF(A105="","",INDEX(Model!$C$62:$DR$62,1,102))</f>
        <v/>
      </c>
      <c r="L105" s="25">
        <f>IF(A105="","",INDEX(Model!$C$65:$DR$65,1,102))</f>
        <v/>
      </c>
      <c r="M105" s="25">
        <f>IF(A105="","",INDEX(Model!$C$69:$DR$69,1,102))</f>
        <v/>
      </c>
      <c r="N105" s="25">
        <f>IF(A105="","",INDEX(Model!$C$70:$DR$70,1,102))</f>
        <v/>
      </c>
      <c r="O105" s="25">
        <f>IF(A105="","",INDEX(Model!$C$74:$DR$74,1,102))</f>
        <v/>
      </c>
      <c r="P105" s="25">
        <f>IF(A105="","",INDEX(Model!$C$75:$DR$75,1,102))</f>
        <v/>
      </c>
      <c r="Q105" s="25">
        <f>IF(A105="","",INDEX(Model!$C$76:$DR$76,1,102))</f>
        <v/>
      </c>
      <c r="R105" s="25">
        <f>IF(A105="","",INDEX(Model!$C$63:$DR$63,1,102))</f>
        <v/>
      </c>
      <c r="S105" s="25">
        <f>IF(A105="","",INDEX(Model!$C$77:$DR$77,1,102))</f>
        <v/>
      </c>
      <c r="T105" s="25">
        <f>IF(A105="","",INDEX(Model!$C$78:$DR$78,1,102))</f>
        <v/>
      </c>
      <c r="U105" s="25">
        <f>IF(A105="","",INDEX(Model!$C$79:$DR$79,1,102))</f>
        <v/>
      </c>
      <c r="V105" s="25">
        <f>IF(A105="","",INDEX(Model!$C$64:$DR$64,1,102))</f>
        <v/>
      </c>
      <c r="W105" s="25">
        <f>IF(A105="","",INDEX(Model!$C$71:$DR$71,1,102))</f>
        <v/>
      </c>
      <c r="X105" s="25">
        <f>IF(A105="","",INDEX(Model!$C$72:$DR$72,1,102))</f>
        <v/>
      </c>
      <c r="Y105" s="25">
        <f>IF(A105="","",INDEX(Model!$C$73:$DR$73,1,102))</f>
        <v/>
      </c>
    </row>
    <row r="106">
      <c r="A106">
        <f>IF(103&lt;=Effective!$B$7,103,"")</f>
        <v/>
      </c>
      <c r="B106">
        <f>IF(A106="","",INDEX(Model!$C$1:$DR$1,1,103))</f>
        <v/>
      </c>
      <c r="C106">
        <f>IF(A106="","",INDEX(Model!$C$7:$DR$7,1,103))</f>
        <v/>
      </c>
      <c r="D106">
        <f>IF(A106="","",INDEX(Model!$C$8:$DR$8,1,103))</f>
        <v/>
      </c>
      <c r="E106" s="25">
        <f>IF(A106="","",INDEX(Model!$C$18:$DR$18,1,103))</f>
        <v/>
      </c>
      <c r="F106" s="25">
        <f>IF(A106="","",INDEX(Model!$C$27:$DR$27,1,103))</f>
        <v/>
      </c>
      <c r="G106" s="25">
        <f>IF(A106="","",INDEX(Model!$C$28:$DR$28,1,103))</f>
        <v/>
      </c>
      <c r="H106" s="25">
        <f>IF(A106="","",INDEX(Model!$C$44:$DR$44,1,103))</f>
        <v/>
      </c>
      <c r="I106" s="25">
        <f>IF(A106="","",INDEX(Model!$C$45:$DR$45,1,103))</f>
        <v/>
      </c>
      <c r="J106" s="25">
        <f>IF(A106="","",INDEX(Model!$C$46:$DR$46,1,103))</f>
        <v/>
      </c>
      <c r="K106" s="25">
        <f>IF(A106="","",INDEX(Model!$C$62:$DR$62,1,103))</f>
        <v/>
      </c>
      <c r="L106" s="25">
        <f>IF(A106="","",INDEX(Model!$C$65:$DR$65,1,103))</f>
        <v/>
      </c>
      <c r="M106" s="25">
        <f>IF(A106="","",INDEX(Model!$C$69:$DR$69,1,103))</f>
        <v/>
      </c>
      <c r="N106" s="25">
        <f>IF(A106="","",INDEX(Model!$C$70:$DR$70,1,103))</f>
        <v/>
      </c>
      <c r="O106" s="25">
        <f>IF(A106="","",INDEX(Model!$C$74:$DR$74,1,103))</f>
        <v/>
      </c>
      <c r="P106" s="25">
        <f>IF(A106="","",INDEX(Model!$C$75:$DR$75,1,103))</f>
        <v/>
      </c>
      <c r="Q106" s="25">
        <f>IF(A106="","",INDEX(Model!$C$76:$DR$76,1,103))</f>
        <v/>
      </c>
      <c r="R106" s="25">
        <f>IF(A106="","",INDEX(Model!$C$63:$DR$63,1,103))</f>
        <v/>
      </c>
      <c r="S106" s="25">
        <f>IF(A106="","",INDEX(Model!$C$77:$DR$77,1,103))</f>
        <v/>
      </c>
      <c r="T106" s="25">
        <f>IF(A106="","",INDEX(Model!$C$78:$DR$78,1,103))</f>
        <v/>
      </c>
      <c r="U106" s="25">
        <f>IF(A106="","",INDEX(Model!$C$79:$DR$79,1,103))</f>
        <v/>
      </c>
      <c r="V106" s="25">
        <f>IF(A106="","",INDEX(Model!$C$64:$DR$64,1,103))</f>
        <v/>
      </c>
      <c r="W106" s="25">
        <f>IF(A106="","",INDEX(Model!$C$71:$DR$71,1,103))</f>
        <v/>
      </c>
      <c r="X106" s="25">
        <f>IF(A106="","",INDEX(Model!$C$72:$DR$72,1,103))</f>
        <v/>
      </c>
      <c r="Y106" s="25">
        <f>IF(A106="","",INDEX(Model!$C$73:$DR$73,1,103))</f>
        <v/>
      </c>
    </row>
    <row r="107">
      <c r="A107">
        <f>IF(104&lt;=Effective!$B$7,104,"")</f>
        <v/>
      </c>
      <c r="B107">
        <f>IF(A107="","",INDEX(Model!$C$1:$DR$1,1,104))</f>
        <v/>
      </c>
      <c r="C107">
        <f>IF(A107="","",INDEX(Model!$C$7:$DR$7,1,104))</f>
        <v/>
      </c>
      <c r="D107">
        <f>IF(A107="","",INDEX(Model!$C$8:$DR$8,1,104))</f>
        <v/>
      </c>
      <c r="E107" s="25">
        <f>IF(A107="","",INDEX(Model!$C$18:$DR$18,1,104))</f>
        <v/>
      </c>
      <c r="F107" s="25">
        <f>IF(A107="","",INDEX(Model!$C$27:$DR$27,1,104))</f>
        <v/>
      </c>
      <c r="G107" s="25">
        <f>IF(A107="","",INDEX(Model!$C$28:$DR$28,1,104))</f>
        <v/>
      </c>
      <c r="H107" s="25">
        <f>IF(A107="","",INDEX(Model!$C$44:$DR$44,1,104))</f>
        <v/>
      </c>
      <c r="I107" s="25">
        <f>IF(A107="","",INDEX(Model!$C$45:$DR$45,1,104))</f>
        <v/>
      </c>
      <c r="J107" s="25">
        <f>IF(A107="","",INDEX(Model!$C$46:$DR$46,1,104))</f>
        <v/>
      </c>
      <c r="K107" s="25">
        <f>IF(A107="","",INDEX(Model!$C$62:$DR$62,1,104))</f>
        <v/>
      </c>
      <c r="L107" s="25">
        <f>IF(A107="","",INDEX(Model!$C$65:$DR$65,1,104))</f>
        <v/>
      </c>
      <c r="M107" s="25">
        <f>IF(A107="","",INDEX(Model!$C$69:$DR$69,1,104))</f>
        <v/>
      </c>
      <c r="N107" s="25">
        <f>IF(A107="","",INDEX(Model!$C$70:$DR$70,1,104))</f>
        <v/>
      </c>
      <c r="O107" s="25">
        <f>IF(A107="","",INDEX(Model!$C$74:$DR$74,1,104))</f>
        <v/>
      </c>
      <c r="P107" s="25">
        <f>IF(A107="","",INDEX(Model!$C$75:$DR$75,1,104))</f>
        <v/>
      </c>
      <c r="Q107" s="25">
        <f>IF(A107="","",INDEX(Model!$C$76:$DR$76,1,104))</f>
        <v/>
      </c>
      <c r="R107" s="25">
        <f>IF(A107="","",INDEX(Model!$C$63:$DR$63,1,104))</f>
        <v/>
      </c>
      <c r="S107" s="25">
        <f>IF(A107="","",INDEX(Model!$C$77:$DR$77,1,104))</f>
        <v/>
      </c>
      <c r="T107" s="25">
        <f>IF(A107="","",INDEX(Model!$C$78:$DR$78,1,104))</f>
        <v/>
      </c>
      <c r="U107" s="25">
        <f>IF(A107="","",INDEX(Model!$C$79:$DR$79,1,104))</f>
        <v/>
      </c>
      <c r="V107" s="25">
        <f>IF(A107="","",INDEX(Model!$C$64:$DR$64,1,104))</f>
        <v/>
      </c>
      <c r="W107" s="25">
        <f>IF(A107="","",INDEX(Model!$C$71:$DR$71,1,104))</f>
        <v/>
      </c>
      <c r="X107" s="25">
        <f>IF(A107="","",INDEX(Model!$C$72:$DR$72,1,104))</f>
        <v/>
      </c>
      <c r="Y107" s="25">
        <f>IF(A107="","",INDEX(Model!$C$73:$DR$73,1,104))</f>
        <v/>
      </c>
    </row>
    <row r="108">
      <c r="A108">
        <f>IF(105&lt;=Effective!$B$7,105,"")</f>
        <v/>
      </c>
      <c r="B108">
        <f>IF(A108="","",INDEX(Model!$C$1:$DR$1,1,105))</f>
        <v/>
      </c>
      <c r="C108">
        <f>IF(A108="","",INDEX(Model!$C$7:$DR$7,1,105))</f>
        <v/>
      </c>
      <c r="D108">
        <f>IF(A108="","",INDEX(Model!$C$8:$DR$8,1,105))</f>
        <v/>
      </c>
      <c r="E108" s="25">
        <f>IF(A108="","",INDEX(Model!$C$18:$DR$18,1,105))</f>
        <v/>
      </c>
      <c r="F108" s="25">
        <f>IF(A108="","",INDEX(Model!$C$27:$DR$27,1,105))</f>
        <v/>
      </c>
      <c r="G108" s="25">
        <f>IF(A108="","",INDEX(Model!$C$28:$DR$28,1,105))</f>
        <v/>
      </c>
      <c r="H108" s="25">
        <f>IF(A108="","",INDEX(Model!$C$44:$DR$44,1,105))</f>
        <v/>
      </c>
      <c r="I108" s="25">
        <f>IF(A108="","",INDEX(Model!$C$45:$DR$45,1,105))</f>
        <v/>
      </c>
      <c r="J108" s="25">
        <f>IF(A108="","",INDEX(Model!$C$46:$DR$46,1,105))</f>
        <v/>
      </c>
      <c r="K108" s="25">
        <f>IF(A108="","",INDEX(Model!$C$62:$DR$62,1,105))</f>
        <v/>
      </c>
      <c r="L108" s="25">
        <f>IF(A108="","",INDEX(Model!$C$65:$DR$65,1,105))</f>
        <v/>
      </c>
      <c r="M108" s="25">
        <f>IF(A108="","",INDEX(Model!$C$69:$DR$69,1,105))</f>
        <v/>
      </c>
      <c r="N108" s="25">
        <f>IF(A108="","",INDEX(Model!$C$70:$DR$70,1,105))</f>
        <v/>
      </c>
      <c r="O108" s="25">
        <f>IF(A108="","",INDEX(Model!$C$74:$DR$74,1,105))</f>
        <v/>
      </c>
      <c r="P108" s="25">
        <f>IF(A108="","",INDEX(Model!$C$75:$DR$75,1,105))</f>
        <v/>
      </c>
      <c r="Q108" s="25">
        <f>IF(A108="","",INDEX(Model!$C$76:$DR$76,1,105))</f>
        <v/>
      </c>
      <c r="R108" s="25">
        <f>IF(A108="","",INDEX(Model!$C$63:$DR$63,1,105))</f>
        <v/>
      </c>
      <c r="S108" s="25">
        <f>IF(A108="","",INDEX(Model!$C$77:$DR$77,1,105))</f>
        <v/>
      </c>
      <c r="T108" s="25">
        <f>IF(A108="","",INDEX(Model!$C$78:$DR$78,1,105))</f>
        <v/>
      </c>
      <c r="U108" s="25">
        <f>IF(A108="","",INDEX(Model!$C$79:$DR$79,1,105))</f>
        <v/>
      </c>
      <c r="V108" s="25">
        <f>IF(A108="","",INDEX(Model!$C$64:$DR$64,1,105))</f>
        <v/>
      </c>
      <c r="W108" s="25">
        <f>IF(A108="","",INDEX(Model!$C$71:$DR$71,1,105))</f>
        <v/>
      </c>
      <c r="X108" s="25">
        <f>IF(A108="","",INDEX(Model!$C$72:$DR$72,1,105))</f>
        <v/>
      </c>
      <c r="Y108" s="25">
        <f>IF(A108="","",INDEX(Model!$C$73:$DR$73,1,105))</f>
        <v/>
      </c>
    </row>
    <row r="109">
      <c r="A109">
        <f>IF(106&lt;=Effective!$B$7,106,"")</f>
        <v/>
      </c>
      <c r="B109">
        <f>IF(A109="","",INDEX(Model!$C$1:$DR$1,1,106))</f>
        <v/>
      </c>
      <c r="C109">
        <f>IF(A109="","",INDEX(Model!$C$7:$DR$7,1,106))</f>
        <v/>
      </c>
      <c r="D109">
        <f>IF(A109="","",INDEX(Model!$C$8:$DR$8,1,106))</f>
        <v/>
      </c>
      <c r="E109" s="25">
        <f>IF(A109="","",INDEX(Model!$C$18:$DR$18,1,106))</f>
        <v/>
      </c>
      <c r="F109" s="25">
        <f>IF(A109="","",INDEX(Model!$C$27:$DR$27,1,106))</f>
        <v/>
      </c>
      <c r="G109" s="25">
        <f>IF(A109="","",INDEX(Model!$C$28:$DR$28,1,106))</f>
        <v/>
      </c>
      <c r="H109" s="25">
        <f>IF(A109="","",INDEX(Model!$C$44:$DR$44,1,106))</f>
        <v/>
      </c>
      <c r="I109" s="25">
        <f>IF(A109="","",INDEX(Model!$C$45:$DR$45,1,106))</f>
        <v/>
      </c>
      <c r="J109" s="25">
        <f>IF(A109="","",INDEX(Model!$C$46:$DR$46,1,106))</f>
        <v/>
      </c>
      <c r="K109" s="25">
        <f>IF(A109="","",INDEX(Model!$C$62:$DR$62,1,106))</f>
        <v/>
      </c>
      <c r="L109" s="25">
        <f>IF(A109="","",INDEX(Model!$C$65:$DR$65,1,106))</f>
        <v/>
      </c>
      <c r="M109" s="25">
        <f>IF(A109="","",INDEX(Model!$C$69:$DR$69,1,106))</f>
        <v/>
      </c>
      <c r="N109" s="25">
        <f>IF(A109="","",INDEX(Model!$C$70:$DR$70,1,106))</f>
        <v/>
      </c>
      <c r="O109" s="25">
        <f>IF(A109="","",INDEX(Model!$C$74:$DR$74,1,106))</f>
        <v/>
      </c>
      <c r="P109" s="25">
        <f>IF(A109="","",INDEX(Model!$C$75:$DR$75,1,106))</f>
        <v/>
      </c>
      <c r="Q109" s="25">
        <f>IF(A109="","",INDEX(Model!$C$76:$DR$76,1,106))</f>
        <v/>
      </c>
      <c r="R109" s="25">
        <f>IF(A109="","",INDEX(Model!$C$63:$DR$63,1,106))</f>
        <v/>
      </c>
      <c r="S109" s="25">
        <f>IF(A109="","",INDEX(Model!$C$77:$DR$77,1,106))</f>
        <v/>
      </c>
      <c r="T109" s="25">
        <f>IF(A109="","",INDEX(Model!$C$78:$DR$78,1,106))</f>
        <v/>
      </c>
      <c r="U109" s="25">
        <f>IF(A109="","",INDEX(Model!$C$79:$DR$79,1,106))</f>
        <v/>
      </c>
      <c r="V109" s="25">
        <f>IF(A109="","",INDEX(Model!$C$64:$DR$64,1,106))</f>
        <v/>
      </c>
      <c r="W109" s="25">
        <f>IF(A109="","",INDEX(Model!$C$71:$DR$71,1,106))</f>
        <v/>
      </c>
      <c r="X109" s="25">
        <f>IF(A109="","",INDEX(Model!$C$72:$DR$72,1,106))</f>
        <v/>
      </c>
      <c r="Y109" s="25">
        <f>IF(A109="","",INDEX(Model!$C$73:$DR$73,1,106))</f>
        <v/>
      </c>
    </row>
    <row r="110">
      <c r="A110">
        <f>IF(107&lt;=Effective!$B$7,107,"")</f>
        <v/>
      </c>
      <c r="B110">
        <f>IF(A110="","",INDEX(Model!$C$1:$DR$1,1,107))</f>
        <v/>
      </c>
      <c r="C110">
        <f>IF(A110="","",INDEX(Model!$C$7:$DR$7,1,107))</f>
        <v/>
      </c>
      <c r="D110">
        <f>IF(A110="","",INDEX(Model!$C$8:$DR$8,1,107))</f>
        <v/>
      </c>
      <c r="E110" s="25">
        <f>IF(A110="","",INDEX(Model!$C$18:$DR$18,1,107))</f>
        <v/>
      </c>
      <c r="F110" s="25">
        <f>IF(A110="","",INDEX(Model!$C$27:$DR$27,1,107))</f>
        <v/>
      </c>
      <c r="G110" s="25">
        <f>IF(A110="","",INDEX(Model!$C$28:$DR$28,1,107))</f>
        <v/>
      </c>
      <c r="H110" s="25">
        <f>IF(A110="","",INDEX(Model!$C$44:$DR$44,1,107))</f>
        <v/>
      </c>
      <c r="I110" s="25">
        <f>IF(A110="","",INDEX(Model!$C$45:$DR$45,1,107))</f>
        <v/>
      </c>
      <c r="J110" s="25">
        <f>IF(A110="","",INDEX(Model!$C$46:$DR$46,1,107))</f>
        <v/>
      </c>
      <c r="K110" s="25">
        <f>IF(A110="","",INDEX(Model!$C$62:$DR$62,1,107))</f>
        <v/>
      </c>
      <c r="L110" s="25">
        <f>IF(A110="","",INDEX(Model!$C$65:$DR$65,1,107))</f>
        <v/>
      </c>
      <c r="M110" s="25">
        <f>IF(A110="","",INDEX(Model!$C$69:$DR$69,1,107))</f>
        <v/>
      </c>
      <c r="N110" s="25">
        <f>IF(A110="","",INDEX(Model!$C$70:$DR$70,1,107))</f>
        <v/>
      </c>
      <c r="O110" s="25">
        <f>IF(A110="","",INDEX(Model!$C$74:$DR$74,1,107))</f>
        <v/>
      </c>
      <c r="P110" s="25">
        <f>IF(A110="","",INDEX(Model!$C$75:$DR$75,1,107))</f>
        <v/>
      </c>
      <c r="Q110" s="25">
        <f>IF(A110="","",INDEX(Model!$C$76:$DR$76,1,107))</f>
        <v/>
      </c>
      <c r="R110" s="25">
        <f>IF(A110="","",INDEX(Model!$C$63:$DR$63,1,107))</f>
        <v/>
      </c>
      <c r="S110" s="25">
        <f>IF(A110="","",INDEX(Model!$C$77:$DR$77,1,107))</f>
        <v/>
      </c>
      <c r="T110" s="25">
        <f>IF(A110="","",INDEX(Model!$C$78:$DR$78,1,107))</f>
        <v/>
      </c>
      <c r="U110" s="25">
        <f>IF(A110="","",INDEX(Model!$C$79:$DR$79,1,107))</f>
        <v/>
      </c>
      <c r="V110" s="25">
        <f>IF(A110="","",INDEX(Model!$C$64:$DR$64,1,107))</f>
        <v/>
      </c>
      <c r="W110" s="25">
        <f>IF(A110="","",INDEX(Model!$C$71:$DR$71,1,107))</f>
        <v/>
      </c>
      <c r="X110" s="25">
        <f>IF(A110="","",INDEX(Model!$C$72:$DR$72,1,107))</f>
        <v/>
      </c>
      <c r="Y110" s="25">
        <f>IF(A110="","",INDEX(Model!$C$73:$DR$73,1,107))</f>
        <v/>
      </c>
    </row>
    <row r="111">
      <c r="A111">
        <f>IF(108&lt;=Effective!$B$7,108,"")</f>
        <v/>
      </c>
      <c r="B111">
        <f>IF(A111="","",INDEX(Model!$C$1:$DR$1,1,108))</f>
        <v/>
      </c>
      <c r="C111">
        <f>IF(A111="","",INDEX(Model!$C$7:$DR$7,1,108))</f>
        <v/>
      </c>
      <c r="D111">
        <f>IF(A111="","",INDEX(Model!$C$8:$DR$8,1,108))</f>
        <v/>
      </c>
      <c r="E111" s="25">
        <f>IF(A111="","",INDEX(Model!$C$18:$DR$18,1,108))</f>
        <v/>
      </c>
      <c r="F111" s="25">
        <f>IF(A111="","",INDEX(Model!$C$27:$DR$27,1,108))</f>
        <v/>
      </c>
      <c r="G111" s="25">
        <f>IF(A111="","",INDEX(Model!$C$28:$DR$28,1,108))</f>
        <v/>
      </c>
      <c r="H111" s="25">
        <f>IF(A111="","",INDEX(Model!$C$44:$DR$44,1,108))</f>
        <v/>
      </c>
      <c r="I111" s="25">
        <f>IF(A111="","",INDEX(Model!$C$45:$DR$45,1,108))</f>
        <v/>
      </c>
      <c r="J111" s="25">
        <f>IF(A111="","",INDEX(Model!$C$46:$DR$46,1,108))</f>
        <v/>
      </c>
      <c r="K111" s="25">
        <f>IF(A111="","",INDEX(Model!$C$62:$DR$62,1,108))</f>
        <v/>
      </c>
      <c r="L111" s="25">
        <f>IF(A111="","",INDEX(Model!$C$65:$DR$65,1,108))</f>
        <v/>
      </c>
      <c r="M111" s="25">
        <f>IF(A111="","",INDEX(Model!$C$69:$DR$69,1,108))</f>
        <v/>
      </c>
      <c r="N111" s="25">
        <f>IF(A111="","",INDEX(Model!$C$70:$DR$70,1,108))</f>
        <v/>
      </c>
      <c r="O111" s="25">
        <f>IF(A111="","",INDEX(Model!$C$74:$DR$74,1,108))</f>
        <v/>
      </c>
      <c r="P111" s="25">
        <f>IF(A111="","",INDEX(Model!$C$75:$DR$75,1,108))</f>
        <v/>
      </c>
      <c r="Q111" s="25">
        <f>IF(A111="","",INDEX(Model!$C$76:$DR$76,1,108))</f>
        <v/>
      </c>
      <c r="R111" s="25">
        <f>IF(A111="","",INDEX(Model!$C$63:$DR$63,1,108))</f>
        <v/>
      </c>
      <c r="S111" s="25">
        <f>IF(A111="","",INDEX(Model!$C$77:$DR$77,1,108))</f>
        <v/>
      </c>
      <c r="T111" s="25">
        <f>IF(A111="","",INDEX(Model!$C$78:$DR$78,1,108))</f>
        <v/>
      </c>
      <c r="U111" s="25">
        <f>IF(A111="","",INDEX(Model!$C$79:$DR$79,1,108))</f>
        <v/>
      </c>
      <c r="V111" s="25">
        <f>IF(A111="","",INDEX(Model!$C$64:$DR$64,1,108))</f>
        <v/>
      </c>
      <c r="W111" s="25">
        <f>IF(A111="","",INDEX(Model!$C$71:$DR$71,1,108))</f>
        <v/>
      </c>
      <c r="X111" s="25">
        <f>IF(A111="","",INDEX(Model!$C$72:$DR$72,1,108))</f>
        <v/>
      </c>
      <c r="Y111" s="25">
        <f>IF(A111="","",INDEX(Model!$C$73:$DR$73,1,108))</f>
        <v/>
      </c>
    </row>
    <row r="112">
      <c r="A112">
        <f>IF(109&lt;=Effective!$B$7,109,"")</f>
        <v/>
      </c>
      <c r="B112">
        <f>IF(A112="","",INDEX(Model!$C$1:$DR$1,1,109))</f>
        <v/>
      </c>
      <c r="C112">
        <f>IF(A112="","",INDEX(Model!$C$7:$DR$7,1,109))</f>
        <v/>
      </c>
      <c r="D112">
        <f>IF(A112="","",INDEX(Model!$C$8:$DR$8,1,109))</f>
        <v/>
      </c>
      <c r="E112" s="25">
        <f>IF(A112="","",INDEX(Model!$C$18:$DR$18,1,109))</f>
        <v/>
      </c>
      <c r="F112" s="25">
        <f>IF(A112="","",INDEX(Model!$C$27:$DR$27,1,109))</f>
        <v/>
      </c>
      <c r="G112" s="25">
        <f>IF(A112="","",INDEX(Model!$C$28:$DR$28,1,109))</f>
        <v/>
      </c>
      <c r="H112" s="25">
        <f>IF(A112="","",INDEX(Model!$C$44:$DR$44,1,109))</f>
        <v/>
      </c>
      <c r="I112" s="25">
        <f>IF(A112="","",INDEX(Model!$C$45:$DR$45,1,109))</f>
        <v/>
      </c>
      <c r="J112" s="25">
        <f>IF(A112="","",INDEX(Model!$C$46:$DR$46,1,109))</f>
        <v/>
      </c>
      <c r="K112" s="25">
        <f>IF(A112="","",INDEX(Model!$C$62:$DR$62,1,109))</f>
        <v/>
      </c>
      <c r="L112" s="25">
        <f>IF(A112="","",INDEX(Model!$C$65:$DR$65,1,109))</f>
        <v/>
      </c>
      <c r="M112" s="25">
        <f>IF(A112="","",INDEX(Model!$C$69:$DR$69,1,109))</f>
        <v/>
      </c>
      <c r="N112" s="25">
        <f>IF(A112="","",INDEX(Model!$C$70:$DR$70,1,109))</f>
        <v/>
      </c>
      <c r="O112" s="25">
        <f>IF(A112="","",INDEX(Model!$C$74:$DR$74,1,109))</f>
        <v/>
      </c>
      <c r="P112" s="25">
        <f>IF(A112="","",INDEX(Model!$C$75:$DR$75,1,109))</f>
        <v/>
      </c>
      <c r="Q112" s="25">
        <f>IF(A112="","",INDEX(Model!$C$76:$DR$76,1,109))</f>
        <v/>
      </c>
      <c r="R112" s="25">
        <f>IF(A112="","",INDEX(Model!$C$63:$DR$63,1,109))</f>
        <v/>
      </c>
      <c r="S112" s="25">
        <f>IF(A112="","",INDEX(Model!$C$77:$DR$77,1,109))</f>
        <v/>
      </c>
      <c r="T112" s="25">
        <f>IF(A112="","",INDEX(Model!$C$78:$DR$78,1,109))</f>
        <v/>
      </c>
      <c r="U112" s="25">
        <f>IF(A112="","",INDEX(Model!$C$79:$DR$79,1,109))</f>
        <v/>
      </c>
      <c r="V112" s="25">
        <f>IF(A112="","",INDEX(Model!$C$64:$DR$64,1,109))</f>
        <v/>
      </c>
      <c r="W112" s="25">
        <f>IF(A112="","",INDEX(Model!$C$71:$DR$71,1,109))</f>
        <v/>
      </c>
      <c r="X112" s="25">
        <f>IF(A112="","",INDEX(Model!$C$72:$DR$72,1,109))</f>
        <v/>
      </c>
      <c r="Y112" s="25">
        <f>IF(A112="","",INDEX(Model!$C$73:$DR$73,1,109))</f>
        <v/>
      </c>
    </row>
    <row r="113">
      <c r="A113">
        <f>IF(110&lt;=Effective!$B$7,110,"")</f>
        <v/>
      </c>
      <c r="B113">
        <f>IF(A113="","",INDEX(Model!$C$1:$DR$1,1,110))</f>
        <v/>
      </c>
      <c r="C113">
        <f>IF(A113="","",INDEX(Model!$C$7:$DR$7,1,110))</f>
        <v/>
      </c>
      <c r="D113">
        <f>IF(A113="","",INDEX(Model!$C$8:$DR$8,1,110))</f>
        <v/>
      </c>
      <c r="E113" s="25">
        <f>IF(A113="","",INDEX(Model!$C$18:$DR$18,1,110))</f>
        <v/>
      </c>
      <c r="F113" s="25">
        <f>IF(A113="","",INDEX(Model!$C$27:$DR$27,1,110))</f>
        <v/>
      </c>
      <c r="G113" s="25">
        <f>IF(A113="","",INDEX(Model!$C$28:$DR$28,1,110))</f>
        <v/>
      </c>
      <c r="H113" s="25">
        <f>IF(A113="","",INDEX(Model!$C$44:$DR$44,1,110))</f>
        <v/>
      </c>
      <c r="I113" s="25">
        <f>IF(A113="","",INDEX(Model!$C$45:$DR$45,1,110))</f>
        <v/>
      </c>
      <c r="J113" s="25">
        <f>IF(A113="","",INDEX(Model!$C$46:$DR$46,1,110))</f>
        <v/>
      </c>
      <c r="K113" s="25">
        <f>IF(A113="","",INDEX(Model!$C$62:$DR$62,1,110))</f>
        <v/>
      </c>
      <c r="L113" s="25">
        <f>IF(A113="","",INDEX(Model!$C$65:$DR$65,1,110))</f>
        <v/>
      </c>
      <c r="M113" s="25">
        <f>IF(A113="","",INDEX(Model!$C$69:$DR$69,1,110))</f>
        <v/>
      </c>
      <c r="N113" s="25">
        <f>IF(A113="","",INDEX(Model!$C$70:$DR$70,1,110))</f>
        <v/>
      </c>
      <c r="O113" s="25">
        <f>IF(A113="","",INDEX(Model!$C$74:$DR$74,1,110))</f>
        <v/>
      </c>
      <c r="P113" s="25">
        <f>IF(A113="","",INDEX(Model!$C$75:$DR$75,1,110))</f>
        <v/>
      </c>
      <c r="Q113" s="25">
        <f>IF(A113="","",INDEX(Model!$C$76:$DR$76,1,110))</f>
        <v/>
      </c>
      <c r="R113" s="25">
        <f>IF(A113="","",INDEX(Model!$C$63:$DR$63,1,110))</f>
        <v/>
      </c>
      <c r="S113" s="25">
        <f>IF(A113="","",INDEX(Model!$C$77:$DR$77,1,110))</f>
        <v/>
      </c>
      <c r="T113" s="25">
        <f>IF(A113="","",INDEX(Model!$C$78:$DR$78,1,110))</f>
        <v/>
      </c>
      <c r="U113" s="25">
        <f>IF(A113="","",INDEX(Model!$C$79:$DR$79,1,110))</f>
        <v/>
      </c>
      <c r="V113" s="25">
        <f>IF(A113="","",INDEX(Model!$C$64:$DR$64,1,110))</f>
        <v/>
      </c>
      <c r="W113" s="25">
        <f>IF(A113="","",INDEX(Model!$C$71:$DR$71,1,110))</f>
        <v/>
      </c>
      <c r="X113" s="25">
        <f>IF(A113="","",INDEX(Model!$C$72:$DR$72,1,110))</f>
        <v/>
      </c>
      <c r="Y113" s="25">
        <f>IF(A113="","",INDEX(Model!$C$73:$DR$73,1,110))</f>
        <v/>
      </c>
    </row>
    <row r="114">
      <c r="A114">
        <f>IF(111&lt;=Effective!$B$7,111,"")</f>
        <v/>
      </c>
      <c r="B114">
        <f>IF(A114="","",INDEX(Model!$C$1:$DR$1,1,111))</f>
        <v/>
      </c>
      <c r="C114">
        <f>IF(A114="","",INDEX(Model!$C$7:$DR$7,1,111))</f>
        <v/>
      </c>
      <c r="D114">
        <f>IF(A114="","",INDEX(Model!$C$8:$DR$8,1,111))</f>
        <v/>
      </c>
      <c r="E114" s="25">
        <f>IF(A114="","",INDEX(Model!$C$18:$DR$18,1,111))</f>
        <v/>
      </c>
      <c r="F114" s="25">
        <f>IF(A114="","",INDEX(Model!$C$27:$DR$27,1,111))</f>
        <v/>
      </c>
      <c r="G114" s="25">
        <f>IF(A114="","",INDEX(Model!$C$28:$DR$28,1,111))</f>
        <v/>
      </c>
      <c r="H114" s="25">
        <f>IF(A114="","",INDEX(Model!$C$44:$DR$44,1,111))</f>
        <v/>
      </c>
      <c r="I114" s="25">
        <f>IF(A114="","",INDEX(Model!$C$45:$DR$45,1,111))</f>
        <v/>
      </c>
      <c r="J114" s="25">
        <f>IF(A114="","",INDEX(Model!$C$46:$DR$46,1,111))</f>
        <v/>
      </c>
      <c r="K114" s="25">
        <f>IF(A114="","",INDEX(Model!$C$62:$DR$62,1,111))</f>
        <v/>
      </c>
      <c r="L114" s="25">
        <f>IF(A114="","",INDEX(Model!$C$65:$DR$65,1,111))</f>
        <v/>
      </c>
      <c r="M114" s="25">
        <f>IF(A114="","",INDEX(Model!$C$69:$DR$69,1,111))</f>
        <v/>
      </c>
      <c r="N114" s="25">
        <f>IF(A114="","",INDEX(Model!$C$70:$DR$70,1,111))</f>
        <v/>
      </c>
      <c r="O114" s="25">
        <f>IF(A114="","",INDEX(Model!$C$74:$DR$74,1,111))</f>
        <v/>
      </c>
      <c r="P114" s="25">
        <f>IF(A114="","",INDEX(Model!$C$75:$DR$75,1,111))</f>
        <v/>
      </c>
      <c r="Q114" s="25">
        <f>IF(A114="","",INDEX(Model!$C$76:$DR$76,1,111))</f>
        <v/>
      </c>
      <c r="R114" s="25">
        <f>IF(A114="","",INDEX(Model!$C$63:$DR$63,1,111))</f>
        <v/>
      </c>
      <c r="S114" s="25">
        <f>IF(A114="","",INDEX(Model!$C$77:$DR$77,1,111))</f>
        <v/>
      </c>
      <c r="T114" s="25">
        <f>IF(A114="","",INDEX(Model!$C$78:$DR$78,1,111))</f>
        <v/>
      </c>
      <c r="U114" s="25">
        <f>IF(A114="","",INDEX(Model!$C$79:$DR$79,1,111))</f>
        <v/>
      </c>
      <c r="V114" s="25">
        <f>IF(A114="","",INDEX(Model!$C$64:$DR$64,1,111))</f>
        <v/>
      </c>
      <c r="W114" s="25">
        <f>IF(A114="","",INDEX(Model!$C$71:$DR$71,1,111))</f>
        <v/>
      </c>
      <c r="X114" s="25">
        <f>IF(A114="","",INDEX(Model!$C$72:$DR$72,1,111))</f>
        <v/>
      </c>
      <c r="Y114" s="25">
        <f>IF(A114="","",INDEX(Model!$C$73:$DR$73,1,111))</f>
        <v/>
      </c>
    </row>
    <row r="115">
      <c r="A115">
        <f>IF(112&lt;=Effective!$B$7,112,"")</f>
        <v/>
      </c>
      <c r="B115">
        <f>IF(A115="","",INDEX(Model!$C$1:$DR$1,1,112))</f>
        <v/>
      </c>
      <c r="C115">
        <f>IF(A115="","",INDEX(Model!$C$7:$DR$7,1,112))</f>
        <v/>
      </c>
      <c r="D115">
        <f>IF(A115="","",INDEX(Model!$C$8:$DR$8,1,112))</f>
        <v/>
      </c>
      <c r="E115" s="25">
        <f>IF(A115="","",INDEX(Model!$C$18:$DR$18,1,112))</f>
        <v/>
      </c>
      <c r="F115" s="25">
        <f>IF(A115="","",INDEX(Model!$C$27:$DR$27,1,112))</f>
        <v/>
      </c>
      <c r="G115" s="25">
        <f>IF(A115="","",INDEX(Model!$C$28:$DR$28,1,112))</f>
        <v/>
      </c>
      <c r="H115" s="25">
        <f>IF(A115="","",INDEX(Model!$C$44:$DR$44,1,112))</f>
        <v/>
      </c>
      <c r="I115" s="25">
        <f>IF(A115="","",INDEX(Model!$C$45:$DR$45,1,112))</f>
        <v/>
      </c>
      <c r="J115" s="25">
        <f>IF(A115="","",INDEX(Model!$C$46:$DR$46,1,112))</f>
        <v/>
      </c>
      <c r="K115" s="25">
        <f>IF(A115="","",INDEX(Model!$C$62:$DR$62,1,112))</f>
        <v/>
      </c>
      <c r="L115" s="25">
        <f>IF(A115="","",INDEX(Model!$C$65:$DR$65,1,112))</f>
        <v/>
      </c>
      <c r="M115" s="25">
        <f>IF(A115="","",INDEX(Model!$C$69:$DR$69,1,112))</f>
        <v/>
      </c>
      <c r="N115" s="25">
        <f>IF(A115="","",INDEX(Model!$C$70:$DR$70,1,112))</f>
        <v/>
      </c>
      <c r="O115" s="25">
        <f>IF(A115="","",INDEX(Model!$C$74:$DR$74,1,112))</f>
        <v/>
      </c>
      <c r="P115" s="25">
        <f>IF(A115="","",INDEX(Model!$C$75:$DR$75,1,112))</f>
        <v/>
      </c>
      <c r="Q115" s="25">
        <f>IF(A115="","",INDEX(Model!$C$76:$DR$76,1,112))</f>
        <v/>
      </c>
      <c r="R115" s="25">
        <f>IF(A115="","",INDEX(Model!$C$63:$DR$63,1,112))</f>
        <v/>
      </c>
      <c r="S115" s="25">
        <f>IF(A115="","",INDEX(Model!$C$77:$DR$77,1,112))</f>
        <v/>
      </c>
      <c r="T115" s="25">
        <f>IF(A115="","",INDEX(Model!$C$78:$DR$78,1,112))</f>
        <v/>
      </c>
      <c r="U115" s="25">
        <f>IF(A115="","",INDEX(Model!$C$79:$DR$79,1,112))</f>
        <v/>
      </c>
      <c r="V115" s="25">
        <f>IF(A115="","",INDEX(Model!$C$64:$DR$64,1,112))</f>
        <v/>
      </c>
      <c r="W115" s="25">
        <f>IF(A115="","",INDEX(Model!$C$71:$DR$71,1,112))</f>
        <v/>
      </c>
      <c r="X115" s="25">
        <f>IF(A115="","",INDEX(Model!$C$72:$DR$72,1,112))</f>
        <v/>
      </c>
      <c r="Y115" s="25">
        <f>IF(A115="","",INDEX(Model!$C$73:$DR$73,1,112))</f>
        <v/>
      </c>
    </row>
    <row r="116">
      <c r="A116">
        <f>IF(113&lt;=Effective!$B$7,113,"")</f>
        <v/>
      </c>
      <c r="B116">
        <f>IF(A116="","",INDEX(Model!$C$1:$DR$1,1,113))</f>
        <v/>
      </c>
      <c r="C116">
        <f>IF(A116="","",INDEX(Model!$C$7:$DR$7,1,113))</f>
        <v/>
      </c>
      <c r="D116">
        <f>IF(A116="","",INDEX(Model!$C$8:$DR$8,1,113))</f>
        <v/>
      </c>
      <c r="E116" s="25">
        <f>IF(A116="","",INDEX(Model!$C$18:$DR$18,1,113))</f>
        <v/>
      </c>
      <c r="F116" s="25">
        <f>IF(A116="","",INDEX(Model!$C$27:$DR$27,1,113))</f>
        <v/>
      </c>
      <c r="G116" s="25">
        <f>IF(A116="","",INDEX(Model!$C$28:$DR$28,1,113))</f>
        <v/>
      </c>
      <c r="H116" s="25">
        <f>IF(A116="","",INDEX(Model!$C$44:$DR$44,1,113))</f>
        <v/>
      </c>
      <c r="I116" s="25">
        <f>IF(A116="","",INDEX(Model!$C$45:$DR$45,1,113))</f>
        <v/>
      </c>
      <c r="J116" s="25">
        <f>IF(A116="","",INDEX(Model!$C$46:$DR$46,1,113))</f>
        <v/>
      </c>
      <c r="K116" s="25">
        <f>IF(A116="","",INDEX(Model!$C$62:$DR$62,1,113))</f>
        <v/>
      </c>
      <c r="L116" s="25">
        <f>IF(A116="","",INDEX(Model!$C$65:$DR$65,1,113))</f>
        <v/>
      </c>
      <c r="M116" s="25">
        <f>IF(A116="","",INDEX(Model!$C$69:$DR$69,1,113))</f>
        <v/>
      </c>
      <c r="N116" s="25">
        <f>IF(A116="","",INDEX(Model!$C$70:$DR$70,1,113))</f>
        <v/>
      </c>
      <c r="O116" s="25">
        <f>IF(A116="","",INDEX(Model!$C$74:$DR$74,1,113))</f>
        <v/>
      </c>
      <c r="P116" s="25">
        <f>IF(A116="","",INDEX(Model!$C$75:$DR$75,1,113))</f>
        <v/>
      </c>
      <c r="Q116" s="25">
        <f>IF(A116="","",INDEX(Model!$C$76:$DR$76,1,113))</f>
        <v/>
      </c>
      <c r="R116" s="25">
        <f>IF(A116="","",INDEX(Model!$C$63:$DR$63,1,113))</f>
        <v/>
      </c>
      <c r="S116" s="25">
        <f>IF(A116="","",INDEX(Model!$C$77:$DR$77,1,113))</f>
        <v/>
      </c>
      <c r="T116" s="25">
        <f>IF(A116="","",INDEX(Model!$C$78:$DR$78,1,113))</f>
        <v/>
      </c>
      <c r="U116" s="25">
        <f>IF(A116="","",INDEX(Model!$C$79:$DR$79,1,113))</f>
        <v/>
      </c>
      <c r="V116" s="25">
        <f>IF(A116="","",INDEX(Model!$C$64:$DR$64,1,113))</f>
        <v/>
      </c>
      <c r="W116" s="25">
        <f>IF(A116="","",INDEX(Model!$C$71:$DR$71,1,113))</f>
        <v/>
      </c>
      <c r="X116" s="25">
        <f>IF(A116="","",INDEX(Model!$C$72:$DR$72,1,113))</f>
        <v/>
      </c>
      <c r="Y116" s="25">
        <f>IF(A116="","",INDEX(Model!$C$73:$DR$73,1,113))</f>
        <v/>
      </c>
    </row>
    <row r="117">
      <c r="A117">
        <f>IF(114&lt;=Effective!$B$7,114,"")</f>
        <v/>
      </c>
      <c r="B117">
        <f>IF(A117="","",INDEX(Model!$C$1:$DR$1,1,114))</f>
        <v/>
      </c>
      <c r="C117">
        <f>IF(A117="","",INDEX(Model!$C$7:$DR$7,1,114))</f>
        <v/>
      </c>
      <c r="D117">
        <f>IF(A117="","",INDEX(Model!$C$8:$DR$8,1,114))</f>
        <v/>
      </c>
      <c r="E117" s="25">
        <f>IF(A117="","",INDEX(Model!$C$18:$DR$18,1,114))</f>
        <v/>
      </c>
      <c r="F117" s="25">
        <f>IF(A117="","",INDEX(Model!$C$27:$DR$27,1,114))</f>
        <v/>
      </c>
      <c r="G117" s="25">
        <f>IF(A117="","",INDEX(Model!$C$28:$DR$28,1,114))</f>
        <v/>
      </c>
      <c r="H117" s="25">
        <f>IF(A117="","",INDEX(Model!$C$44:$DR$44,1,114))</f>
        <v/>
      </c>
      <c r="I117" s="25">
        <f>IF(A117="","",INDEX(Model!$C$45:$DR$45,1,114))</f>
        <v/>
      </c>
      <c r="J117" s="25">
        <f>IF(A117="","",INDEX(Model!$C$46:$DR$46,1,114))</f>
        <v/>
      </c>
      <c r="K117" s="25">
        <f>IF(A117="","",INDEX(Model!$C$62:$DR$62,1,114))</f>
        <v/>
      </c>
      <c r="L117" s="25">
        <f>IF(A117="","",INDEX(Model!$C$65:$DR$65,1,114))</f>
        <v/>
      </c>
      <c r="M117" s="25">
        <f>IF(A117="","",INDEX(Model!$C$69:$DR$69,1,114))</f>
        <v/>
      </c>
      <c r="N117" s="25">
        <f>IF(A117="","",INDEX(Model!$C$70:$DR$70,1,114))</f>
        <v/>
      </c>
      <c r="O117" s="25">
        <f>IF(A117="","",INDEX(Model!$C$74:$DR$74,1,114))</f>
        <v/>
      </c>
      <c r="P117" s="25">
        <f>IF(A117="","",INDEX(Model!$C$75:$DR$75,1,114))</f>
        <v/>
      </c>
      <c r="Q117" s="25">
        <f>IF(A117="","",INDEX(Model!$C$76:$DR$76,1,114))</f>
        <v/>
      </c>
      <c r="R117" s="25">
        <f>IF(A117="","",INDEX(Model!$C$63:$DR$63,1,114))</f>
        <v/>
      </c>
      <c r="S117" s="25">
        <f>IF(A117="","",INDEX(Model!$C$77:$DR$77,1,114))</f>
        <v/>
      </c>
      <c r="T117" s="25">
        <f>IF(A117="","",INDEX(Model!$C$78:$DR$78,1,114))</f>
        <v/>
      </c>
      <c r="U117" s="25">
        <f>IF(A117="","",INDEX(Model!$C$79:$DR$79,1,114))</f>
        <v/>
      </c>
      <c r="V117" s="25">
        <f>IF(A117="","",INDEX(Model!$C$64:$DR$64,1,114))</f>
        <v/>
      </c>
      <c r="W117" s="25">
        <f>IF(A117="","",INDEX(Model!$C$71:$DR$71,1,114))</f>
        <v/>
      </c>
      <c r="X117" s="25">
        <f>IF(A117="","",INDEX(Model!$C$72:$DR$72,1,114))</f>
        <v/>
      </c>
      <c r="Y117" s="25">
        <f>IF(A117="","",INDEX(Model!$C$73:$DR$73,1,114))</f>
        <v/>
      </c>
    </row>
    <row r="118">
      <c r="A118">
        <f>IF(115&lt;=Effective!$B$7,115,"")</f>
        <v/>
      </c>
      <c r="B118">
        <f>IF(A118="","",INDEX(Model!$C$1:$DR$1,1,115))</f>
        <v/>
      </c>
      <c r="C118">
        <f>IF(A118="","",INDEX(Model!$C$7:$DR$7,1,115))</f>
        <v/>
      </c>
      <c r="D118">
        <f>IF(A118="","",INDEX(Model!$C$8:$DR$8,1,115))</f>
        <v/>
      </c>
      <c r="E118" s="25">
        <f>IF(A118="","",INDEX(Model!$C$18:$DR$18,1,115))</f>
        <v/>
      </c>
      <c r="F118" s="25">
        <f>IF(A118="","",INDEX(Model!$C$27:$DR$27,1,115))</f>
        <v/>
      </c>
      <c r="G118" s="25">
        <f>IF(A118="","",INDEX(Model!$C$28:$DR$28,1,115))</f>
        <v/>
      </c>
      <c r="H118" s="25">
        <f>IF(A118="","",INDEX(Model!$C$44:$DR$44,1,115))</f>
        <v/>
      </c>
      <c r="I118" s="25">
        <f>IF(A118="","",INDEX(Model!$C$45:$DR$45,1,115))</f>
        <v/>
      </c>
      <c r="J118" s="25">
        <f>IF(A118="","",INDEX(Model!$C$46:$DR$46,1,115))</f>
        <v/>
      </c>
      <c r="K118" s="25">
        <f>IF(A118="","",INDEX(Model!$C$62:$DR$62,1,115))</f>
        <v/>
      </c>
      <c r="L118" s="25">
        <f>IF(A118="","",INDEX(Model!$C$65:$DR$65,1,115))</f>
        <v/>
      </c>
      <c r="M118" s="25">
        <f>IF(A118="","",INDEX(Model!$C$69:$DR$69,1,115))</f>
        <v/>
      </c>
      <c r="N118" s="25">
        <f>IF(A118="","",INDEX(Model!$C$70:$DR$70,1,115))</f>
        <v/>
      </c>
      <c r="O118" s="25">
        <f>IF(A118="","",INDEX(Model!$C$74:$DR$74,1,115))</f>
        <v/>
      </c>
      <c r="P118" s="25">
        <f>IF(A118="","",INDEX(Model!$C$75:$DR$75,1,115))</f>
        <v/>
      </c>
      <c r="Q118" s="25">
        <f>IF(A118="","",INDEX(Model!$C$76:$DR$76,1,115))</f>
        <v/>
      </c>
      <c r="R118" s="25">
        <f>IF(A118="","",INDEX(Model!$C$63:$DR$63,1,115))</f>
        <v/>
      </c>
      <c r="S118" s="25">
        <f>IF(A118="","",INDEX(Model!$C$77:$DR$77,1,115))</f>
        <v/>
      </c>
      <c r="T118" s="25">
        <f>IF(A118="","",INDEX(Model!$C$78:$DR$78,1,115))</f>
        <v/>
      </c>
      <c r="U118" s="25">
        <f>IF(A118="","",INDEX(Model!$C$79:$DR$79,1,115))</f>
        <v/>
      </c>
      <c r="V118" s="25">
        <f>IF(A118="","",INDEX(Model!$C$64:$DR$64,1,115))</f>
        <v/>
      </c>
      <c r="W118" s="25">
        <f>IF(A118="","",INDEX(Model!$C$71:$DR$71,1,115))</f>
        <v/>
      </c>
      <c r="X118" s="25">
        <f>IF(A118="","",INDEX(Model!$C$72:$DR$72,1,115))</f>
        <v/>
      </c>
      <c r="Y118" s="25">
        <f>IF(A118="","",INDEX(Model!$C$73:$DR$73,1,115))</f>
        <v/>
      </c>
    </row>
    <row r="119">
      <c r="A119">
        <f>IF(116&lt;=Effective!$B$7,116,"")</f>
        <v/>
      </c>
      <c r="B119">
        <f>IF(A119="","",INDEX(Model!$C$1:$DR$1,1,116))</f>
        <v/>
      </c>
      <c r="C119">
        <f>IF(A119="","",INDEX(Model!$C$7:$DR$7,1,116))</f>
        <v/>
      </c>
      <c r="D119">
        <f>IF(A119="","",INDEX(Model!$C$8:$DR$8,1,116))</f>
        <v/>
      </c>
      <c r="E119" s="25">
        <f>IF(A119="","",INDEX(Model!$C$18:$DR$18,1,116))</f>
        <v/>
      </c>
      <c r="F119" s="25">
        <f>IF(A119="","",INDEX(Model!$C$27:$DR$27,1,116))</f>
        <v/>
      </c>
      <c r="G119" s="25">
        <f>IF(A119="","",INDEX(Model!$C$28:$DR$28,1,116))</f>
        <v/>
      </c>
      <c r="H119" s="25">
        <f>IF(A119="","",INDEX(Model!$C$44:$DR$44,1,116))</f>
        <v/>
      </c>
      <c r="I119" s="25">
        <f>IF(A119="","",INDEX(Model!$C$45:$DR$45,1,116))</f>
        <v/>
      </c>
      <c r="J119" s="25">
        <f>IF(A119="","",INDEX(Model!$C$46:$DR$46,1,116))</f>
        <v/>
      </c>
      <c r="K119" s="25">
        <f>IF(A119="","",INDEX(Model!$C$62:$DR$62,1,116))</f>
        <v/>
      </c>
      <c r="L119" s="25">
        <f>IF(A119="","",INDEX(Model!$C$65:$DR$65,1,116))</f>
        <v/>
      </c>
      <c r="M119" s="25">
        <f>IF(A119="","",INDEX(Model!$C$69:$DR$69,1,116))</f>
        <v/>
      </c>
      <c r="N119" s="25">
        <f>IF(A119="","",INDEX(Model!$C$70:$DR$70,1,116))</f>
        <v/>
      </c>
      <c r="O119" s="25">
        <f>IF(A119="","",INDEX(Model!$C$74:$DR$74,1,116))</f>
        <v/>
      </c>
      <c r="P119" s="25">
        <f>IF(A119="","",INDEX(Model!$C$75:$DR$75,1,116))</f>
        <v/>
      </c>
      <c r="Q119" s="25">
        <f>IF(A119="","",INDEX(Model!$C$76:$DR$76,1,116))</f>
        <v/>
      </c>
      <c r="R119" s="25">
        <f>IF(A119="","",INDEX(Model!$C$63:$DR$63,1,116))</f>
        <v/>
      </c>
      <c r="S119" s="25">
        <f>IF(A119="","",INDEX(Model!$C$77:$DR$77,1,116))</f>
        <v/>
      </c>
      <c r="T119" s="25">
        <f>IF(A119="","",INDEX(Model!$C$78:$DR$78,1,116))</f>
        <v/>
      </c>
      <c r="U119" s="25">
        <f>IF(A119="","",INDEX(Model!$C$79:$DR$79,1,116))</f>
        <v/>
      </c>
      <c r="V119" s="25">
        <f>IF(A119="","",INDEX(Model!$C$64:$DR$64,1,116))</f>
        <v/>
      </c>
      <c r="W119" s="25">
        <f>IF(A119="","",INDEX(Model!$C$71:$DR$71,1,116))</f>
        <v/>
      </c>
      <c r="X119" s="25">
        <f>IF(A119="","",INDEX(Model!$C$72:$DR$72,1,116))</f>
        <v/>
      </c>
      <c r="Y119" s="25">
        <f>IF(A119="","",INDEX(Model!$C$73:$DR$73,1,116))</f>
        <v/>
      </c>
    </row>
    <row r="120">
      <c r="A120">
        <f>IF(117&lt;=Effective!$B$7,117,"")</f>
        <v/>
      </c>
      <c r="B120">
        <f>IF(A120="","",INDEX(Model!$C$1:$DR$1,1,117))</f>
        <v/>
      </c>
      <c r="C120">
        <f>IF(A120="","",INDEX(Model!$C$7:$DR$7,1,117))</f>
        <v/>
      </c>
      <c r="D120">
        <f>IF(A120="","",INDEX(Model!$C$8:$DR$8,1,117))</f>
        <v/>
      </c>
      <c r="E120" s="25">
        <f>IF(A120="","",INDEX(Model!$C$18:$DR$18,1,117))</f>
        <v/>
      </c>
      <c r="F120" s="25">
        <f>IF(A120="","",INDEX(Model!$C$27:$DR$27,1,117))</f>
        <v/>
      </c>
      <c r="G120" s="25">
        <f>IF(A120="","",INDEX(Model!$C$28:$DR$28,1,117))</f>
        <v/>
      </c>
      <c r="H120" s="25">
        <f>IF(A120="","",INDEX(Model!$C$44:$DR$44,1,117))</f>
        <v/>
      </c>
      <c r="I120" s="25">
        <f>IF(A120="","",INDEX(Model!$C$45:$DR$45,1,117))</f>
        <v/>
      </c>
      <c r="J120" s="25">
        <f>IF(A120="","",INDEX(Model!$C$46:$DR$46,1,117))</f>
        <v/>
      </c>
      <c r="K120" s="25">
        <f>IF(A120="","",INDEX(Model!$C$62:$DR$62,1,117))</f>
        <v/>
      </c>
      <c r="L120" s="25">
        <f>IF(A120="","",INDEX(Model!$C$65:$DR$65,1,117))</f>
        <v/>
      </c>
      <c r="M120" s="25">
        <f>IF(A120="","",INDEX(Model!$C$69:$DR$69,1,117))</f>
        <v/>
      </c>
      <c r="N120" s="25">
        <f>IF(A120="","",INDEX(Model!$C$70:$DR$70,1,117))</f>
        <v/>
      </c>
      <c r="O120" s="25">
        <f>IF(A120="","",INDEX(Model!$C$74:$DR$74,1,117))</f>
        <v/>
      </c>
      <c r="P120" s="25">
        <f>IF(A120="","",INDEX(Model!$C$75:$DR$75,1,117))</f>
        <v/>
      </c>
      <c r="Q120" s="25">
        <f>IF(A120="","",INDEX(Model!$C$76:$DR$76,1,117))</f>
        <v/>
      </c>
      <c r="R120" s="25">
        <f>IF(A120="","",INDEX(Model!$C$63:$DR$63,1,117))</f>
        <v/>
      </c>
      <c r="S120" s="25">
        <f>IF(A120="","",INDEX(Model!$C$77:$DR$77,1,117))</f>
        <v/>
      </c>
      <c r="T120" s="25">
        <f>IF(A120="","",INDEX(Model!$C$78:$DR$78,1,117))</f>
        <v/>
      </c>
      <c r="U120" s="25">
        <f>IF(A120="","",INDEX(Model!$C$79:$DR$79,1,117))</f>
        <v/>
      </c>
      <c r="V120" s="25">
        <f>IF(A120="","",INDEX(Model!$C$64:$DR$64,1,117))</f>
        <v/>
      </c>
      <c r="W120" s="25">
        <f>IF(A120="","",INDEX(Model!$C$71:$DR$71,1,117))</f>
        <v/>
      </c>
      <c r="X120" s="25">
        <f>IF(A120="","",INDEX(Model!$C$72:$DR$72,1,117))</f>
        <v/>
      </c>
      <c r="Y120" s="25">
        <f>IF(A120="","",INDEX(Model!$C$73:$DR$73,1,117))</f>
        <v/>
      </c>
    </row>
    <row r="121">
      <c r="A121">
        <f>IF(118&lt;=Effective!$B$7,118,"")</f>
        <v/>
      </c>
      <c r="B121">
        <f>IF(A121="","",INDEX(Model!$C$1:$DR$1,1,118))</f>
        <v/>
      </c>
      <c r="C121">
        <f>IF(A121="","",INDEX(Model!$C$7:$DR$7,1,118))</f>
        <v/>
      </c>
      <c r="D121">
        <f>IF(A121="","",INDEX(Model!$C$8:$DR$8,1,118))</f>
        <v/>
      </c>
      <c r="E121" s="25">
        <f>IF(A121="","",INDEX(Model!$C$18:$DR$18,1,118))</f>
        <v/>
      </c>
      <c r="F121" s="25">
        <f>IF(A121="","",INDEX(Model!$C$27:$DR$27,1,118))</f>
        <v/>
      </c>
      <c r="G121" s="25">
        <f>IF(A121="","",INDEX(Model!$C$28:$DR$28,1,118))</f>
        <v/>
      </c>
      <c r="H121" s="25">
        <f>IF(A121="","",INDEX(Model!$C$44:$DR$44,1,118))</f>
        <v/>
      </c>
      <c r="I121" s="25">
        <f>IF(A121="","",INDEX(Model!$C$45:$DR$45,1,118))</f>
        <v/>
      </c>
      <c r="J121" s="25">
        <f>IF(A121="","",INDEX(Model!$C$46:$DR$46,1,118))</f>
        <v/>
      </c>
      <c r="K121" s="25">
        <f>IF(A121="","",INDEX(Model!$C$62:$DR$62,1,118))</f>
        <v/>
      </c>
      <c r="L121" s="25">
        <f>IF(A121="","",INDEX(Model!$C$65:$DR$65,1,118))</f>
        <v/>
      </c>
      <c r="M121" s="25">
        <f>IF(A121="","",INDEX(Model!$C$69:$DR$69,1,118))</f>
        <v/>
      </c>
      <c r="N121" s="25">
        <f>IF(A121="","",INDEX(Model!$C$70:$DR$70,1,118))</f>
        <v/>
      </c>
      <c r="O121" s="25">
        <f>IF(A121="","",INDEX(Model!$C$74:$DR$74,1,118))</f>
        <v/>
      </c>
      <c r="P121" s="25">
        <f>IF(A121="","",INDEX(Model!$C$75:$DR$75,1,118))</f>
        <v/>
      </c>
      <c r="Q121" s="25">
        <f>IF(A121="","",INDEX(Model!$C$76:$DR$76,1,118))</f>
        <v/>
      </c>
      <c r="R121" s="25">
        <f>IF(A121="","",INDEX(Model!$C$63:$DR$63,1,118))</f>
        <v/>
      </c>
      <c r="S121" s="25">
        <f>IF(A121="","",INDEX(Model!$C$77:$DR$77,1,118))</f>
        <v/>
      </c>
      <c r="T121" s="25">
        <f>IF(A121="","",INDEX(Model!$C$78:$DR$78,1,118))</f>
        <v/>
      </c>
      <c r="U121" s="25">
        <f>IF(A121="","",INDEX(Model!$C$79:$DR$79,1,118))</f>
        <v/>
      </c>
      <c r="V121" s="25">
        <f>IF(A121="","",INDEX(Model!$C$64:$DR$64,1,118))</f>
        <v/>
      </c>
      <c r="W121" s="25">
        <f>IF(A121="","",INDEX(Model!$C$71:$DR$71,1,118))</f>
        <v/>
      </c>
      <c r="X121" s="25">
        <f>IF(A121="","",INDEX(Model!$C$72:$DR$72,1,118))</f>
        <v/>
      </c>
      <c r="Y121" s="25">
        <f>IF(A121="","",INDEX(Model!$C$73:$DR$73,1,118))</f>
        <v/>
      </c>
    </row>
    <row r="122">
      <c r="A122">
        <f>IF(119&lt;=Effective!$B$7,119,"")</f>
        <v/>
      </c>
      <c r="B122">
        <f>IF(A122="","",INDEX(Model!$C$1:$DR$1,1,119))</f>
        <v/>
      </c>
      <c r="C122">
        <f>IF(A122="","",INDEX(Model!$C$7:$DR$7,1,119))</f>
        <v/>
      </c>
      <c r="D122">
        <f>IF(A122="","",INDEX(Model!$C$8:$DR$8,1,119))</f>
        <v/>
      </c>
      <c r="E122" s="25">
        <f>IF(A122="","",INDEX(Model!$C$18:$DR$18,1,119))</f>
        <v/>
      </c>
      <c r="F122" s="25">
        <f>IF(A122="","",INDEX(Model!$C$27:$DR$27,1,119))</f>
        <v/>
      </c>
      <c r="G122" s="25">
        <f>IF(A122="","",INDEX(Model!$C$28:$DR$28,1,119))</f>
        <v/>
      </c>
      <c r="H122" s="25">
        <f>IF(A122="","",INDEX(Model!$C$44:$DR$44,1,119))</f>
        <v/>
      </c>
      <c r="I122" s="25">
        <f>IF(A122="","",INDEX(Model!$C$45:$DR$45,1,119))</f>
        <v/>
      </c>
      <c r="J122" s="25">
        <f>IF(A122="","",INDEX(Model!$C$46:$DR$46,1,119))</f>
        <v/>
      </c>
      <c r="K122" s="25">
        <f>IF(A122="","",INDEX(Model!$C$62:$DR$62,1,119))</f>
        <v/>
      </c>
      <c r="L122" s="25">
        <f>IF(A122="","",INDEX(Model!$C$65:$DR$65,1,119))</f>
        <v/>
      </c>
      <c r="M122" s="25">
        <f>IF(A122="","",INDEX(Model!$C$69:$DR$69,1,119))</f>
        <v/>
      </c>
      <c r="N122" s="25">
        <f>IF(A122="","",INDEX(Model!$C$70:$DR$70,1,119))</f>
        <v/>
      </c>
      <c r="O122" s="25">
        <f>IF(A122="","",INDEX(Model!$C$74:$DR$74,1,119))</f>
        <v/>
      </c>
      <c r="P122" s="25">
        <f>IF(A122="","",INDEX(Model!$C$75:$DR$75,1,119))</f>
        <v/>
      </c>
      <c r="Q122" s="25">
        <f>IF(A122="","",INDEX(Model!$C$76:$DR$76,1,119))</f>
        <v/>
      </c>
      <c r="R122" s="25">
        <f>IF(A122="","",INDEX(Model!$C$63:$DR$63,1,119))</f>
        <v/>
      </c>
      <c r="S122" s="25">
        <f>IF(A122="","",INDEX(Model!$C$77:$DR$77,1,119))</f>
        <v/>
      </c>
      <c r="T122" s="25">
        <f>IF(A122="","",INDEX(Model!$C$78:$DR$78,1,119))</f>
        <v/>
      </c>
      <c r="U122" s="25">
        <f>IF(A122="","",INDEX(Model!$C$79:$DR$79,1,119))</f>
        <v/>
      </c>
      <c r="V122" s="25">
        <f>IF(A122="","",INDEX(Model!$C$64:$DR$64,1,119))</f>
        <v/>
      </c>
      <c r="W122" s="25">
        <f>IF(A122="","",INDEX(Model!$C$71:$DR$71,1,119))</f>
        <v/>
      </c>
      <c r="X122" s="25">
        <f>IF(A122="","",INDEX(Model!$C$72:$DR$72,1,119))</f>
        <v/>
      </c>
      <c r="Y122" s="25">
        <f>IF(A122="","",INDEX(Model!$C$73:$DR$73,1,119))</f>
        <v/>
      </c>
    </row>
    <row r="123">
      <c r="A123">
        <f>IF(120&lt;=Effective!$B$7,120,"")</f>
        <v/>
      </c>
      <c r="B123">
        <f>IF(A123="","",INDEX(Model!$C$1:$DR$1,1,120))</f>
        <v/>
      </c>
      <c r="C123">
        <f>IF(A123="","",INDEX(Model!$C$7:$DR$7,1,120))</f>
        <v/>
      </c>
      <c r="D123">
        <f>IF(A123="","",INDEX(Model!$C$8:$DR$8,1,120))</f>
        <v/>
      </c>
      <c r="E123" s="25">
        <f>IF(A123="","",INDEX(Model!$C$18:$DR$18,1,120))</f>
        <v/>
      </c>
      <c r="F123" s="25">
        <f>IF(A123="","",INDEX(Model!$C$27:$DR$27,1,120))</f>
        <v/>
      </c>
      <c r="G123" s="25">
        <f>IF(A123="","",INDEX(Model!$C$28:$DR$28,1,120))</f>
        <v/>
      </c>
      <c r="H123" s="25">
        <f>IF(A123="","",INDEX(Model!$C$44:$DR$44,1,120))</f>
        <v/>
      </c>
      <c r="I123" s="25">
        <f>IF(A123="","",INDEX(Model!$C$45:$DR$45,1,120))</f>
        <v/>
      </c>
      <c r="J123" s="25">
        <f>IF(A123="","",INDEX(Model!$C$46:$DR$46,1,120))</f>
        <v/>
      </c>
      <c r="K123" s="25">
        <f>IF(A123="","",INDEX(Model!$C$62:$DR$62,1,120))</f>
        <v/>
      </c>
      <c r="L123" s="25">
        <f>IF(A123="","",INDEX(Model!$C$65:$DR$65,1,120))</f>
        <v/>
      </c>
      <c r="M123" s="25">
        <f>IF(A123="","",INDEX(Model!$C$69:$DR$69,1,120))</f>
        <v/>
      </c>
      <c r="N123" s="25">
        <f>IF(A123="","",INDEX(Model!$C$70:$DR$70,1,120))</f>
        <v/>
      </c>
      <c r="O123" s="25">
        <f>IF(A123="","",INDEX(Model!$C$74:$DR$74,1,120))</f>
        <v/>
      </c>
      <c r="P123" s="25">
        <f>IF(A123="","",INDEX(Model!$C$75:$DR$75,1,120))</f>
        <v/>
      </c>
      <c r="Q123" s="25">
        <f>IF(A123="","",INDEX(Model!$C$76:$DR$76,1,120))</f>
        <v/>
      </c>
      <c r="R123" s="25">
        <f>IF(A123="","",INDEX(Model!$C$63:$DR$63,1,120))</f>
        <v/>
      </c>
      <c r="S123" s="25">
        <f>IF(A123="","",INDEX(Model!$C$77:$DR$77,1,120))</f>
        <v/>
      </c>
      <c r="T123" s="25">
        <f>IF(A123="","",INDEX(Model!$C$78:$DR$78,1,120))</f>
        <v/>
      </c>
      <c r="U123" s="25">
        <f>IF(A123="","",INDEX(Model!$C$79:$DR$79,1,120))</f>
        <v/>
      </c>
      <c r="V123" s="25">
        <f>IF(A123="","",INDEX(Model!$C$64:$DR$64,1,120))</f>
        <v/>
      </c>
      <c r="W123" s="25">
        <f>IF(A123="","",INDEX(Model!$C$71:$DR$71,1,120))</f>
        <v/>
      </c>
      <c r="X123" s="25">
        <f>IF(A123="","",INDEX(Model!$C$72:$DR$72,1,120))</f>
        <v/>
      </c>
      <c r="Y123" s="25">
        <f>IF(A123="","",INDEX(Model!$C$73:$DR$73,1,120))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2026-10-18T16:53:13Z</dcterms:created>
  <dcterms:modified xmlns:dcterms="http://purl.org/dc/terms/" xmlns:xsi="http://www.w3.org/2001/XMLSchema-instance" xsi:type="dcterms:W3CDTF">2026-10-18T16:53:14Z</dcterms:modified>
</cp:coreProperties>
</file>