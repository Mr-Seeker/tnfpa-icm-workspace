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QuestionBank" sheetId="3" state="visible" r:id="rId3"/>
    <sheet xmlns:r="http://schemas.openxmlformats.org/officeDocument/2006/relationships" name="Facts" sheetId="4" state="visible" r:id="rId4"/>
    <sheet xmlns:r="http://schemas.openxmlformats.org/officeDocument/2006/relationships" name="Readiness" sheetId="5" state="visible" r:id="rId5"/>
    <sheet xmlns:r="http://schemas.openxmlformats.org/officeDocument/2006/relationships" name="RecordFact" sheetId="6" state="visible" r:id="rId6"/>
    <sheet xmlns:r="http://schemas.openxmlformats.org/officeDocument/2006/relationships" name="Profile" sheetId="7" state="visible" r:id="rId7"/>
    <sheet xmlns:r="http://schemas.openxmlformats.org/officeDocument/2006/relationships" name="Proposal" sheetId="8" state="visible" r:id="rId8"/>
  </sheets>
  <definedNames>
    <definedName name="intake_ready">'Readiness'!$J$1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2" fontId="4" fillId="3" borderId="1" pivotButton="0" quotePrefix="0" xfId="0"/>
    <xf numFmtId="1" fontId="4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K10 · Intake Readiness, Next Questions &amp; Onboarding Renderer (no-code kernel)</t>
        </is>
      </c>
    </row>
    <row r="2"/>
    <row r="3">
      <c r="A3" s="2" t="inlineStr">
        <is>
          <t>Replaces openfpa: pyfpa.memory.intake (question bank, record_intake_fact, intake_ready, next_intake_questions) and onboarding (render_business_profile, ArchitectureProposal, render_architecture_proposal, write_onboarding_outputs); CLI intake-next, intake-record, onboarding-render.</t>
        </is>
      </c>
    </row>
    <row r="4">
      <c r="A4" s="3" t="inlineStr">
        <is>
          <t>Facts</t>
        </is>
      </c>
    </row>
    <row r="5">
      <c r="A5" s="2" t="inlineStr">
        <is>
          <t>Paste memory/intake.csv rows into 'Facts' (key, topic, question, answer, status confirmed/inferred/conflict, confidence 0..1, source_type user/local_file/external/inference, sources ; -separated, alternatives ; -separated).</t>
        </is>
      </c>
    </row>
    <row r="6">
      <c r="A6" s="2" t="inlineStr">
        <is>
          <t>A key is KNOWN when its fact is not a conflict and is confirmed, or has confidence &gt;= 0.70. intake_ready = all 11 core keys known.</t>
        </is>
      </c>
    </row>
    <row r="7">
      <c r="A7" s="3" t="inlineStr">
        <is>
          <t>Next questions (intake-next)</t>
        </is>
      </c>
    </row>
    <row r="8">
      <c r="A8" s="2" t="inlineStr">
        <is>
          <t>Walk the bank in order; pending = missing, conflict (re-ask with the alternatives) or inferred below 0.70 (ask to confirm). Take the topic of the FIRST pending question and return at most 3 pending questions of that topic.</t>
        </is>
      </c>
    </row>
    <row r="9">
      <c r="A9" s="3" t="inlineStr">
        <is>
          <t>Recording a fact (intake-record) - progressive authority</t>
        </is>
      </c>
    </row>
    <row r="10">
      <c r="A10" s="2" t="inlineStr">
        <is>
          <t>A user answer is confirmed at confidence 1.0 (keeps earlier sources). New non-user evidence that DISAGREES (case-insensitive) with an existing answer -&gt; status conflict, confidence = min, alternative appended. AGREEING evidence -&gt; confidence = max, sources merged. A new key from non-user evidence -&gt; inferred at the supplied confidence (default 0.8). Use 'RecordFact' to compute the new row deterministically.</t>
        </is>
      </c>
    </row>
    <row r="11">
      <c r="A11" s="3" t="inlineStr">
        <is>
          <t>Onboarding outputs</t>
        </is>
      </c>
    </row>
    <row r="12">
      <c r="A12" s="2" t="inlineStr">
        <is>
          <t>When ready, 'Profile' renders memory/business-profile.md and 'Proposal' renders memory/decisions/initial-model-architecture.md (status Proposed - HUMAN APPROVAL REQUIRED before scaffolding).</t>
        </is>
      </c>
    </row>
    <row r="13">
      <c r="A13" s="2" t="inlineStr">
        <is>
          <t>Tamil Nadu extension questions (tn_statutory topic) are asked after the core bank; they do not block readiness but every TN company should answer them before W03.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  <col width="40" customWidth="1" min="4" max="4"/>
  </cols>
  <sheetData>
    <row r="1">
      <c r="A1" s="1" t="inlineStr">
        <is>
          <t>Checks - OVERALL must be PASS</t>
        </is>
      </c>
    </row>
    <row r="2"/>
    <row r="3">
      <c r="B3" s="4" t="inlineStr">
        <is>
          <t>OVERALL</t>
        </is>
      </c>
      <c r="C3" s="5">
        <f>IF(COUNTIF(C5:C8,"PASS")=COUNT(A5:A8),"PASS","FAIL")</f>
        <v/>
      </c>
      <c r="D3" s="6">
        <f>COUNTIF(C5:C8,"PASS")&amp;" pass / "&amp;COUNTIF(C5:C8,"FAIL")&amp;" fail / "&amp;(COUNT(A5:A8)-COUNTIF(C5:C8,"PASS")-COUNTIF(C5:C8,"FAIL"))&amp;"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every fact status is confirmed/inferred/conflict</t>
        </is>
      </c>
      <c r="C5" s="6">
        <f>IF(SUMPRODUCT((Facts!A5:A64&lt;&gt;"")*((LOWER(Facts!E5:E64)="confirmed")+(LOWER(Facts!E5:E64)="inferred")+(LOWER(Facts!E5:E64)="conflict")=0))=0,"PASS","FAIL")</f>
        <v/>
      </c>
    </row>
    <row r="6">
      <c r="A6" t="n">
        <v>2</v>
      </c>
      <c r="B6" t="inlineStr">
        <is>
          <t>every confidence within 0..1</t>
        </is>
      </c>
      <c r="C6" s="6">
        <f>IF(SUMPRODUCT((Facts!A5:A64&lt;&gt;"")*((Facts!F5:F64&lt;0)+(Facts!F5:F64&gt;1)&gt;0))=0,"PASS","FAIL")</f>
        <v/>
      </c>
    </row>
    <row r="7">
      <c r="A7" t="n">
        <v>3</v>
      </c>
      <c r="B7" t="inlineStr">
        <is>
          <t>fact keys unique</t>
        </is>
      </c>
      <c r="C7" s="6">
        <f>IF(SUMPRODUCT((Facts!A5:A64&lt;&gt;"")*(COUNTIF(Facts!A5:A64,Facts!A5:A64)&gt;1))=0,"PASS","FAIL")</f>
        <v/>
      </c>
    </row>
    <row r="8">
      <c r="A8" t="n">
        <v>4</v>
      </c>
      <c r="B8" t="inlineStr">
        <is>
          <t>no empty answers</t>
        </is>
      </c>
      <c r="C8" s="6">
        <f>IF(SUMPRODUCT((Facts!A5:A64&lt;&gt;"")*(TRIM(Facts!D5:D64)=""))=0,"PASS","FAIL")</f>
        <v/>
      </c>
    </row>
  </sheetData>
  <conditionalFormatting sqref="C3:C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10" customWidth="1" min="4" max="4"/>
    <col width="12" customWidth="1" min="5" max="5"/>
  </cols>
  <sheetData>
    <row r="1">
      <c r="A1" s="1" t="inlineStr">
        <is>
          <t>Question bank (order matters)</t>
        </is>
      </c>
    </row>
    <row r="2"/>
    <row r="3"/>
    <row r="4">
      <c r="A4" s="7" t="inlineStr">
        <is>
          <t>#</t>
        </is>
      </c>
      <c r="B4" s="7" t="inlineStr">
        <is>
          <t>key</t>
        </is>
      </c>
      <c r="C4" s="7" t="inlineStr">
        <is>
          <t>topic</t>
        </is>
      </c>
      <c r="D4" s="7" t="inlineStr">
        <is>
          <t>prompt</t>
        </is>
      </c>
      <c r="E4" s="7" t="inlineStr">
        <is>
          <t>required for readiness?</t>
        </is>
      </c>
    </row>
    <row r="5">
      <c r="A5" t="n">
        <v>1</v>
      </c>
      <c r="B5" s="8" t="inlineStr">
        <is>
          <t>business_model</t>
        </is>
      </c>
      <c r="C5" s="8" t="inlineStr">
        <is>
          <t>business</t>
        </is>
      </c>
      <c r="D5" s="8" t="inlineStr">
        <is>
          <t>What does the company sell, and who are the primary customers?</t>
        </is>
      </c>
      <c r="E5" s="8" t="inlineStr">
        <is>
          <t>yes</t>
        </is>
      </c>
    </row>
    <row r="6">
      <c r="A6" t="n">
        <v>2</v>
      </c>
      <c r="B6" s="8" t="inlineStr">
        <is>
          <t>revenue_model</t>
        </is>
      </c>
      <c r="C6" s="8" t="inlineStr">
        <is>
          <t>business</t>
        </is>
      </c>
      <c r="D6" s="8" t="inlineStr">
        <is>
          <t>How is revenue earned and billed, including pricing and payment terms?</t>
        </is>
      </c>
      <c r="E6" s="8" t="inlineStr">
        <is>
          <t>yes</t>
        </is>
      </c>
    </row>
    <row r="7">
      <c r="A7" t="n">
        <v>3</v>
      </c>
      <c r="B7" s="8" t="inlineStr">
        <is>
          <t>customer_channels</t>
        </is>
      </c>
      <c r="C7" s="8" t="inlineStr">
        <is>
          <t>business</t>
        </is>
      </c>
      <c r="D7" s="8" t="inlineStr">
        <is>
          <t>Which channels, products, or segments should the model distinguish?</t>
        </is>
      </c>
      <c r="E7" s="8" t="inlineStr">
        <is>
          <t>yes</t>
        </is>
      </c>
    </row>
    <row r="8">
      <c r="A8" t="n">
        <v>4</v>
      </c>
      <c r="B8" s="8" t="inlineStr">
        <is>
          <t>collections</t>
        </is>
      </c>
      <c r="C8" s="8" t="inlineStr">
        <is>
          <t>cash_cycle</t>
        </is>
      </c>
      <c r="D8" s="8" t="inlineStr">
        <is>
          <t>When do customers usually pay, and what causes collections to vary?</t>
        </is>
      </c>
      <c r="E8" s="8" t="inlineStr">
        <is>
          <t>yes</t>
        </is>
      </c>
    </row>
    <row r="9">
      <c r="A9" t="n">
        <v>5</v>
      </c>
      <c r="B9" s="8" t="inlineStr">
        <is>
          <t>supplier_payments</t>
        </is>
      </c>
      <c r="C9" s="8" t="inlineStr">
        <is>
          <t>cash_cycle</t>
        </is>
      </c>
      <c r="D9" s="8" t="inlineStr">
        <is>
          <t>When are suppliers, payroll, inventory, and other major obligations paid?</t>
        </is>
      </c>
      <c r="E9" s="8" t="inlineStr">
        <is>
          <t>yes</t>
        </is>
      </c>
    </row>
    <row r="10">
      <c r="A10" t="n">
        <v>6</v>
      </c>
      <c r="B10" s="8" t="inlineStr">
        <is>
          <t>seasonality</t>
        </is>
      </c>
      <c r="C10" s="8" t="inlineStr">
        <is>
          <t>cash_cycle</t>
        </is>
      </c>
      <c r="D10" s="8" t="inlineStr">
        <is>
          <t>What is seasonal or lumpy across revenue, costs, inventory, and cash?</t>
        </is>
      </c>
      <c r="E10" s="8" t="inlineStr">
        <is>
          <t>yes</t>
        </is>
      </c>
    </row>
    <row r="11">
      <c r="A11" t="n">
        <v>7</v>
      </c>
      <c r="B11" s="8" t="inlineStr">
        <is>
          <t>entities</t>
        </is>
      </c>
      <c r="C11" s="8" t="inlineStr">
        <is>
          <t>finance_structure</t>
        </is>
      </c>
      <c r="D11" s="8" t="inlineStr">
        <is>
          <t>Which legal entities, currencies, and intercompany relationships matter?</t>
        </is>
      </c>
      <c r="E11" s="8" t="inlineStr">
        <is>
          <t>yes</t>
        </is>
      </c>
    </row>
    <row r="12">
      <c r="A12" t="n">
        <v>8</v>
      </c>
      <c r="B12" s="8" t="inlineStr">
        <is>
          <t>financing</t>
        </is>
      </c>
      <c r="C12" s="8" t="inlineStr">
        <is>
          <t>finance_structure</t>
        </is>
      </c>
      <c r="D12" s="8" t="inlineStr">
        <is>
          <t>What debt, credit lines, covenants, or other financing is in place?</t>
        </is>
      </c>
      <c r="E12" s="8" t="inlineStr">
        <is>
          <t>yes</t>
        </is>
      </c>
    </row>
    <row r="13">
      <c r="A13" t="n">
        <v>9</v>
      </c>
      <c r="B13" s="8" t="inlineStr">
        <is>
          <t>data_sources</t>
        </is>
      </c>
      <c r="C13" s="8" t="inlineStr">
        <is>
          <t>finance_structure</t>
        </is>
      </c>
      <c r="D13" s="8" t="inlineStr">
        <is>
          <t>Which systems and files contain the financial and operating actuals?</t>
        </is>
      </c>
      <c r="E13" s="8" t="inlineStr">
        <is>
          <t>yes</t>
        </is>
      </c>
    </row>
    <row r="14">
      <c r="A14" t="n">
        <v>10</v>
      </c>
      <c r="B14" s="8" t="inlineStr">
        <is>
          <t>planning_cadence</t>
        </is>
      </c>
      <c r="C14" s="8" t="inlineStr">
        <is>
          <t>planning</t>
        </is>
      </c>
      <c r="D14" s="8" t="inlineStr">
        <is>
          <t>How often do you close, reforecast, report, and make planning decisions?</t>
        </is>
      </c>
      <c r="E14" s="8" t="inlineStr">
        <is>
          <t>yes</t>
        </is>
      </c>
    </row>
    <row r="15">
      <c r="A15" t="n">
        <v>11</v>
      </c>
      <c r="B15" s="8" t="inlineStr">
        <is>
          <t>cfo_priorities</t>
        </is>
      </c>
      <c r="C15" s="8" t="inlineStr">
        <is>
          <t>planning</t>
        </is>
      </c>
      <c r="D15" s="8" t="inlineStr">
        <is>
          <t>Which decisions, risks, or questions matter most to the CFO right now?</t>
        </is>
      </c>
      <c r="E15" s="8" t="inlineStr">
        <is>
          <t>yes</t>
        </is>
      </c>
    </row>
    <row r="16">
      <c r="A16" t="n">
        <v>12</v>
      </c>
      <c r="B16" s="8" t="inlineStr">
        <is>
          <t>gst_profile</t>
        </is>
      </c>
      <c r="C16" s="8" t="inlineStr">
        <is>
          <t>tn_statutory</t>
        </is>
      </c>
      <c r="D16" s="8" t="inlineStr">
        <is>
          <t>What is the GSTIN set-up (state code 33 and others), filing frequency (monthly / QRMP), e-invoicing status and main GST rates?</t>
        </is>
      </c>
      <c r="E16" s="8" t="inlineStr">
        <is>
          <t>no</t>
        </is>
      </c>
    </row>
    <row r="17">
      <c r="A17" t="n">
        <v>13</v>
      </c>
      <c r="B17" s="8" t="inlineStr">
        <is>
          <t>tds_and_tax_regime</t>
        </is>
      </c>
      <c r="C17" s="8" t="inlineStr">
        <is>
          <t>tn_statutory</t>
        </is>
      </c>
      <c r="D17" s="8" t="inlineStr">
        <is>
          <t>Which income-tax regime applies (e.g. s.115BAA), what TDS/TCS is deducted or suffered, and how are advance-tax instalments paid?</t>
        </is>
      </c>
      <c r="E17" s="8" t="inlineStr">
        <is>
          <t>no</t>
        </is>
      </c>
    </row>
    <row r="18">
      <c r="A18" t="n">
        <v>14</v>
      </c>
      <c r="B18" s="8" t="inlineStr">
        <is>
          <t>payroll_statutory</t>
        </is>
      </c>
      <c r="C18" s="8" t="inlineStr">
        <is>
          <t>tn_statutory</t>
        </is>
      </c>
      <c r="D18" s="8" t="inlineStr">
        <is>
          <t>Headcount by location, PF/ESI coverage, Tamil Nadu professional tax and labour-welfare-fund obligations, bonus and gratuity policy?</t>
        </is>
      </c>
      <c r="E18" s="8" t="inlineStr">
        <is>
          <t>no</t>
        </is>
      </c>
    </row>
    <row r="19">
      <c r="A19" t="n">
        <v>15</v>
      </c>
      <c r="B19" s="8" t="inlineStr">
        <is>
          <t>msme_and_incentives</t>
        </is>
      </c>
      <c r="C19" s="8" t="inlineStr">
        <is>
          <t>tn_statutory</t>
        </is>
      </c>
      <c r="D19" s="8" t="inlineStr">
        <is>
          <t>Udyam (MSME) registration status of the company and of key suppliers (45-day payment rule), and any TN industrial-policy incentives or SIPCOT/TIDCO/TIIC links?</t>
        </is>
      </c>
      <c r="E19" s="8" t="inlineStr">
        <is>
          <t>no</t>
        </is>
      </c>
    </row>
    <row r="20">
      <c r="A20" t="n">
        <v>16</v>
      </c>
      <c r="B20" s="8" t="inlineStr">
        <is>
          <t>seasonal_calendar_tn</t>
        </is>
      </c>
      <c r="C20" s="8" t="inlineStr">
        <is>
          <t>tn_statutory</t>
        </is>
      </c>
      <c r="D20" s="8" t="inlineStr">
        <is>
          <t>Which Tamil Nadu festivals, crop seasons, monsoon months or export seasons move sales, collections or production (Pongal, Tamil New Year, Aadi, Deepavali, wedding muhurtham months, NE monsoon)?</t>
        </is>
      </c>
      <c r="E20" s="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  <col width="70" customWidth="1" min="4" max="4"/>
    <col width="11" customWidth="1" min="5" max="5"/>
    <col width="10" customWidth="1" min="6" max="6"/>
    <col width="12" customWidth="1" min="7" max="7"/>
    <col width="40" customWidth="1" min="8" max="8"/>
    <col width="30" customWidth="1" min="9" max="9"/>
  </cols>
  <sheetData>
    <row r="1">
      <c r="A1" s="1" t="inlineStr">
        <is>
          <t>Facts (paste memory/intake.csv)</t>
        </is>
      </c>
    </row>
    <row r="2"/>
    <row r="3">
      <c r="A3" t="inlineStr">
        <is>
          <t>business_name</t>
        </is>
      </c>
      <c r="B3" s="8" t="inlineStr">
        <is>
          <t>Company</t>
        </is>
      </c>
    </row>
    <row r="4">
      <c r="A4" s="7" t="inlineStr">
        <is>
          <t>key</t>
        </is>
      </c>
      <c r="B4" s="7" t="inlineStr">
        <is>
          <t>topic</t>
        </is>
      </c>
      <c r="C4" s="7" t="inlineStr">
        <is>
          <t>question</t>
        </is>
      </c>
      <c r="D4" s="7" t="inlineStr">
        <is>
          <t>answer</t>
        </is>
      </c>
      <c r="E4" s="7" t="inlineStr">
        <is>
          <t>status</t>
        </is>
      </c>
      <c r="F4" s="7" t="inlineStr">
        <is>
          <t>confidence</t>
        </is>
      </c>
      <c r="G4" s="7" t="inlineStr">
        <is>
          <t>source_type</t>
        </is>
      </c>
      <c r="H4" s="7" t="inlineStr">
        <is>
          <t>sources (; separated)</t>
        </is>
      </c>
      <c r="I4" s="7" t="inlineStr">
        <is>
          <t>alternatives (; separated)</t>
        </is>
      </c>
      <c r="L4" t="inlineStr">
        <is>
          <t>ord business</t>
        </is>
      </c>
      <c r="M4" t="inlineStr">
        <is>
          <t>ord cash_cycle</t>
        </is>
      </c>
      <c r="N4" t="inlineStr">
        <is>
          <t>ord finance_structure</t>
        </is>
      </c>
      <c r="O4" t="inlineStr">
        <is>
          <t>ord planning</t>
        </is>
      </c>
      <c r="P4" t="inlineStr">
        <is>
          <t>ord tn_statutory</t>
        </is>
      </c>
    </row>
    <row r="5">
      <c r="A5" s="8" t="n"/>
      <c r="B5" s="8" t="n"/>
      <c r="C5" s="8" t="n"/>
      <c r="D5" s="8" t="n"/>
      <c r="E5" s="8" t="n"/>
      <c r="F5" s="9" t="n"/>
      <c r="G5" s="8" t="n"/>
      <c r="H5" s="8" t="n"/>
      <c r="I5" s="8" t="n"/>
      <c r="L5">
        <f>IF(B5="business",COUNTIF($B$5:B5,"business"),"")</f>
        <v/>
      </c>
      <c r="M5">
        <f>IF(B5="cash_cycle",COUNTIF($B$5:B5,"cash_cycle"),"")</f>
        <v/>
      </c>
      <c r="N5">
        <f>IF(B5="finance_structure",COUNTIF($B$5:B5,"finance_structure"),"")</f>
        <v/>
      </c>
      <c r="O5">
        <f>IF(B5="planning",COUNTIF($B$5:B5,"planning"),"")</f>
        <v/>
      </c>
      <c r="P5">
        <f>IF(B5="tn_statutory",COUNTIF($B$5:B5,"tn_statutory"),"")</f>
        <v/>
      </c>
    </row>
    <row r="6">
      <c r="A6" s="8" t="n"/>
      <c r="B6" s="8" t="n"/>
      <c r="C6" s="8" t="n"/>
      <c r="D6" s="8" t="n"/>
      <c r="E6" s="8" t="n"/>
      <c r="F6" s="9" t="n"/>
      <c r="G6" s="8" t="n"/>
      <c r="H6" s="8" t="n"/>
      <c r="I6" s="8" t="n"/>
      <c r="L6">
        <f>IF(B6="business",COUNTIF($B$5:B6,"business"),"")</f>
        <v/>
      </c>
      <c r="M6">
        <f>IF(B6="cash_cycle",COUNTIF($B$5:B6,"cash_cycle"),"")</f>
        <v/>
      </c>
      <c r="N6">
        <f>IF(B6="finance_structure",COUNTIF($B$5:B6,"finance_structure"),"")</f>
        <v/>
      </c>
      <c r="O6">
        <f>IF(B6="planning",COUNTIF($B$5:B6,"planning"),"")</f>
        <v/>
      </c>
      <c r="P6">
        <f>IF(B6="tn_statutory",COUNTIF($B$5:B6,"tn_statutory"),"")</f>
        <v/>
      </c>
    </row>
    <row r="7">
      <c r="A7" s="8" t="n"/>
      <c r="B7" s="8" t="n"/>
      <c r="C7" s="8" t="n"/>
      <c r="D7" s="8" t="n"/>
      <c r="E7" s="8" t="n"/>
      <c r="F7" s="9" t="n"/>
      <c r="G7" s="8" t="n"/>
      <c r="H7" s="8" t="n"/>
      <c r="I7" s="8" t="n"/>
      <c r="L7">
        <f>IF(B7="business",COUNTIF($B$5:B7,"business"),"")</f>
        <v/>
      </c>
      <c r="M7">
        <f>IF(B7="cash_cycle",COUNTIF($B$5:B7,"cash_cycle"),"")</f>
        <v/>
      </c>
      <c r="N7">
        <f>IF(B7="finance_structure",COUNTIF($B$5:B7,"finance_structure"),"")</f>
        <v/>
      </c>
      <c r="O7">
        <f>IF(B7="planning",COUNTIF($B$5:B7,"planning"),"")</f>
        <v/>
      </c>
      <c r="P7">
        <f>IF(B7="tn_statutory",COUNTIF($B$5:B7,"tn_statutory"),"")</f>
        <v/>
      </c>
    </row>
    <row r="8">
      <c r="A8" s="8" t="n"/>
      <c r="B8" s="8" t="n"/>
      <c r="C8" s="8" t="n"/>
      <c r="D8" s="8" t="n"/>
      <c r="E8" s="8" t="n"/>
      <c r="F8" s="9" t="n"/>
      <c r="G8" s="8" t="n"/>
      <c r="H8" s="8" t="n"/>
      <c r="I8" s="8" t="n"/>
      <c r="L8">
        <f>IF(B8="business",COUNTIF($B$5:B8,"business"),"")</f>
        <v/>
      </c>
      <c r="M8">
        <f>IF(B8="cash_cycle",COUNTIF($B$5:B8,"cash_cycle"),"")</f>
        <v/>
      </c>
      <c r="N8">
        <f>IF(B8="finance_structure",COUNTIF($B$5:B8,"finance_structure"),"")</f>
        <v/>
      </c>
      <c r="O8">
        <f>IF(B8="planning",COUNTIF($B$5:B8,"planning"),"")</f>
        <v/>
      </c>
      <c r="P8">
        <f>IF(B8="tn_statutory",COUNTIF($B$5:B8,"tn_statutory"),"")</f>
        <v/>
      </c>
    </row>
    <row r="9">
      <c r="A9" s="8" t="n"/>
      <c r="B9" s="8" t="n"/>
      <c r="C9" s="8" t="n"/>
      <c r="D9" s="8" t="n"/>
      <c r="E9" s="8" t="n"/>
      <c r="F9" s="9" t="n"/>
      <c r="G9" s="8" t="n"/>
      <c r="H9" s="8" t="n"/>
      <c r="I9" s="8" t="n"/>
      <c r="L9">
        <f>IF(B9="business",COUNTIF($B$5:B9,"business"),"")</f>
        <v/>
      </c>
      <c r="M9">
        <f>IF(B9="cash_cycle",COUNTIF($B$5:B9,"cash_cycle"),"")</f>
        <v/>
      </c>
      <c r="N9">
        <f>IF(B9="finance_structure",COUNTIF($B$5:B9,"finance_structure"),"")</f>
        <v/>
      </c>
      <c r="O9">
        <f>IF(B9="planning",COUNTIF($B$5:B9,"planning"),"")</f>
        <v/>
      </c>
      <c r="P9">
        <f>IF(B9="tn_statutory",COUNTIF($B$5:B9,"tn_statutory"),"")</f>
        <v/>
      </c>
    </row>
    <row r="10">
      <c r="A10" s="8" t="n"/>
      <c r="B10" s="8" t="n"/>
      <c r="C10" s="8" t="n"/>
      <c r="D10" s="8" t="n"/>
      <c r="E10" s="8" t="n"/>
      <c r="F10" s="9" t="n"/>
      <c r="G10" s="8" t="n"/>
      <c r="H10" s="8" t="n"/>
      <c r="I10" s="8" t="n"/>
      <c r="L10">
        <f>IF(B10="business",COUNTIF($B$5:B10,"business"),"")</f>
        <v/>
      </c>
      <c r="M10">
        <f>IF(B10="cash_cycle",COUNTIF($B$5:B10,"cash_cycle"),"")</f>
        <v/>
      </c>
      <c r="N10">
        <f>IF(B10="finance_structure",COUNTIF($B$5:B10,"finance_structure"),"")</f>
        <v/>
      </c>
      <c r="O10">
        <f>IF(B10="planning",COUNTIF($B$5:B10,"planning"),"")</f>
        <v/>
      </c>
      <c r="P10">
        <f>IF(B10="tn_statutory",COUNTIF($B$5:B10,"tn_statutory"),"")</f>
        <v/>
      </c>
    </row>
    <row r="11">
      <c r="A11" s="8" t="n"/>
      <c r="B11" s="8" t="n"/>
      <c r="C11" s="8" t="n"/>
      <c r="D11" s="8" t="n"/>
      <c r="E11" s="8" t="n"/>
      <c r="F11" s="9" t="n"/>
      <c r="G11" s="8" t="n"/>
      <c r="H11" s="8" t="n"/>
      <c r="I11" s="8" t="n"/>
      <c r="L11">
        <f>IF(B11="business",COUNTIF($B$5:B11,"business"),"")</f>
        <v/>
      </c>
      <c r="M11">
        <f>IF(B11="cash_cycle",COUNTIF($B$5:B11,"cash_cycle"),"")</f>
        <v/>
      </c>
      <c r="N11">
        <f>IF(B11="finance_structure",COUNTIF($B$5:B11,"finance_structure"),"")</f>
        <v/>
      </c>
      <c r="O11">
        <f>IF(B11="planning",COUNTIF($B$5:B11,"planning"),"")</f>
        <v/>
      </c>
      <c r="P11">
        <f>IF(B11="tn_statutory",COUNTIF($B$5:B11,"tn_statutory"),"")</f>
        <v/>
      </c>
    </row>
    <row r="12">
      <c r="A12" s="8" t="n"/>
      <c r="B12" s="8" t="n"/>
      <c r="C12" s="8" t="n"/>
      <c r="D12" s="8" t="n"/>
      <c r="E12" s="8" t="n"/>
      <c r="F12" s="9" t="n"/>
      <c r="G12" s="8" t="n"/>
      <c r="H12" s="8" t="n"/>
      <c r="I12" s="8" t="n"/>
      <c r="L12">
        <f>IF(B12="business",COUNTIF($B$5:B12,"business"),"")</f>
        <v/>
      </c>
      <c r="M12">
        <f>IF(B12="cash_cycle",COUNTIF($B$5:B12,"cash_cycle"),"")</f>
        <v/>
      </c>
      <c r="N12">
        <f>IF(B12="finance_structure",COUNTIF($B$5:B12,"finance_structure"),"")</f>
        <v/>
      </c>
      <c r="O12">
        <f>IF(B12="planning",COUNTIF($B$5:B12,"planning"),"")</f>
        <v/>
      </c>
      <c r="P12">
        <f>IF(B12="tn_statutory",COUNTIF($B$5:B12,"tn_statutory"),"")</f>
        <v/>
      </c>
    </row>
    <row r="13">
      <c r="A13" s="8" t="n"/>
      <c r="B13" s="8" t="n"/>
      <c r="C13" s="8" t="n"/>
      <c r="D13" s="8" t="n"/>
      <c r="E13" s="8" t="n"/>
      <c r="F13" s="9" t="n"/>
      <c r="G13" s="8" t="n"/>
      <c r="H13" s="8" t="n"/>
      <c r="I13" s="8" t="n"/>
      <c r="L13">
        <f>IF(B13="business",COUNTIF($B$5:B13,"business"),"")</f>
        <v/>
      </c>
      <c r="M13">
        <f>IF(B13="cash_cycle",COUNTIF($B$5:B13,"cash_cycle"),"")</f>
        <v/>
      </c>
      <c r="N13">
        <f>IF(B13="finance_structure",COUNTIF($B$5:B13,"finance_structure"),"")</f>
        <v/>
      </c>
      <c r="O13">
        <f>IF(B13="planning",COUNTIF($B$5:B13,"planning"),"")</f>
        <v/>
      </c>
      <c r="P13">
        <f>IF(B13="tn_statutory",COUNTIF($B$5:B13,"tn_statutory"),"")</f>
        <v/>
      </c>
    </row>
    <row r="14">
      <c r="A14" s="8" t="n"/>
      <c r="B14" s="8" t="n"/>
      <c r="C14" s="8" t="n"/>
      <c r="D14" s="8" t="n"/>
      <c r="E14" s="8" t="n"/>
      <c r="F14" s="9" t="n"/>
      <c r="G14" s="8" t="n"/>
      <c r="H14" s="8" t="n"/>
      <c r="I14" s="8" t="n"/>
      <c r="L14">
        <f>IF(B14="business",COUNTIF($B$5:B14,"business"),"")</f>
        <v/>
      </c>
      <c r="M14">
        <f>IF(B14="cash_cycle",COUNTIF($B$5:B14,"cash_cycle"),"")</f>
        <v/>
      </c>
      <c r="N14">
        <f>IF(B14="finance_structure",COUNTIF($B$5:B14,"finance_structure"),"")</f>
        <v/>
      </c>
      <c r="O14">
        <f>IF(B14="planning",COUNTIF($B$5:B14,"planning"),"")</f>
        <v/>
      </c>
      <c r="P14">
        <f>IF(B14="tn_statutory",COUNTIF($B$5:B14,"tn_statutory"),"")</f>
        <v/>
      </c>
    </row>
    <row r="15">
      <c r="A15" s="8" t="n"/>
      <c r="B15" s="8" t="n"/>
      <c r="C15" s="8" t="n"/>
      <c r="D15" s="8" t="n"/>
      <c r="E15" s="8" t="n"/>
      <c r="F15" s="9" t="n"/>
      <c r="G15" s="8" t="n"/>
      <c r="H15" s="8" t="n"/>
      <c r="I15" s="8" t="n"/>
      <c r="L15">
        <f>IF(B15="business",COUNTIF($B$5:B15,"business"),"")</f>
        <v/>
      </c>
      <c r="M15">
        <f>IF(B15="cash_cycle",COUNTIF($B$5:B15,"cash_cycle"),"")</f>
        <v/>
      </c>
      <c r="N15">
        <f>IF(B15="finance_structure",COUNTIF($B$5:B15,"finance_structure"),"")</f>
        <v/>
      </c>
      <c r="O15">
        <f>IF(B15="planning",COUNTIF($B$5:B15,"planning"),"")</f>
        <v/>
      </c>
      <c r="P15">
        <f>IF(B15="tn_statutory",COUNTIF($B$5:B15,"tn_statutory"),"")</f>
        <v/>
      </c>
    </row>
    <row r="16">
      <c r="A16" s="8" t="n"/>
      <c r="B16" s="8" t="n"/>
      <c r="C16" s="8" t="n"/>
      <c r="D16" s="8" t="n"/>
      <c r="E16" s="8" t="n"/>
      <c r="F16" s="9" t="n"/>
      <c r="G16" s="8" t="n"/>
      <c r="H16" s="8" t="n"/>
      <c r="I16" s="8" t="n"/>
      <c r="L16">
        <f>IF(B16="business",COUNTIF($B$5:B16,"business"),"")</f>
        <v/>
      </c>
      <c r="M16">
        <f>IF(B16="cash_cycle",COUNTIF($B$5:B16,"cash_cycle"),"")</f>
        <v/>
      </c>
      <c r="N16">
        <f>IF(B16="finance_structure",COUNTIF($B$5:B16,"finance_structure"),"")</f>
        <v/>
      </c>
      <c r="O16">
        <f>IF(B16="planning",COUNTIF($B$5:B16,"planning"),"")</f>
        <v/>
      </c>
      <c r="P16">
        <f>IF(B16="tn_statutory",COUNTIF($B$5:B16,"tn_statutory"),"")</f>
        <v/>
      </c>
    </row>
    <row r="17">
      <c r="A17" s="8" t="n"/>
      <c r="B17" s="8" t="n"/>
      <c r="C17" s="8" t="n"/>
      <c r="D17" s="8" t="n"/>
      <c r="E17" s="8" t="n"/>
      <c r="F17" s="9" t="n"/>
      <c r="G17" s="8" t="n"/>
      <c r="H17" s="8" t="n"/>
      <c r="I17" s="8" t="n"/>
      <c r="L17">
        <f>IF(B17="business",COUNTIF($B$5:B17,"business"),"")</f>
        <v/>
      </c>
      <c r="M17">
        <f>IF(B17="cash_cycle",COUNTIF($B$5:B17,"cash_cycle"),"")</f>
        <v/>
      </c>
      <c r="N17">
        <f>IF(B17="finance_structure",COUNTIF($B$5:B17,"finance_structure"),"")</f>
        <v/>
      </c>
      <c r="O17">
        <f>IF(B17="planning",COUNTIF($B$5:B17,"planning"),"")</f>
        <v/>
      </c>
      <c r="P17">
        <f>IF(B17="tn_statutory",COUNTIF($B$5:B17,"tn_statutory"),"")</f>
        <v/>
      </c>
    </row>
    <row r="18">
      <c r="A18" s="8" t="n"/>
      <c r="B18" s="8" t="n"/>
      <c r="C18" s="8" t="n"/>
      <c r="D18" s="8" t="n"/>
      <c r="E18" s="8" t="n"/>
      <c r="F18" s="9" t="n"/>
      <c r="G18" s="8" t="n"/>
      <c r="H18" s="8" t="n"/>
      <c r="I18" s="8" t="n"/>
      <c r="L18">
        <f>IF(B18="business",COUNTIF($B$5:B18,"business"),"")</f>
        <v/>
      </c>
      <c r="M18">
        <f>IF(B18="cash_cycle",COUNTIF($B$5:B18,"cash_cycle"),"")</f>
        <v/>
      </c>
      <c r="N18">
        <f>IF(B18="finance_structure",COUNTIF($B$5:B18,"finance_structure"),"")</f>
        <v/>
      </c>
      <c r="O18">
        <f>IF(B18="planning",COUNTIF($B$5:B18,"planning"),"")</f>
        <v/>
      </c>
      <c r="P18">
        <f>IF(B18="tn_statutory",COUNTIF($B$5:B18,"tn_statutory"),"")</f>
        <v/>
      </c>
    </row>
    <row r="19">
      <c r="A19" s="8" t="n"/>
      <c r="B19" s="8" t="n"/>
      <c r="C19" s="8" t="n"/>
      <c r="D19" s="8" t="n"/>
      <c r="E19" s="8" t="n"/>
      <c r="F19" s="9" t="n"/>
      <c r="G19" s="8" t="n"/>
      <c r="H19" s="8" t="n"/>
      <c r="I19" s="8" t="n"/>
      <c r="L19">
        <f>IF(B19="business",COUNTIF($B$5:B19,"business"),"")</f>
        <v/>
      </c>
      <c r="M19">
        <f>IF(B19="cash_cycle",COUNTIF($B$5:B19,"cash_cycle"),"")</f>
        <v/>
      </c>
      <c r="N19">
        <f>IF(B19="finance_structure",COUNTIF($B$5:B19,"finance_structure"),"")</f>
        <v/>
      </c>
      <c r="O19">
        <f>IF(B19="planning",COUNTIF($B$5:B19,"planning"),"")</f>
        <v/>
      </c>
      <c r="P19">
        <f>IF(B19="tn_statutory",COUNTIF($B$5:B19,"tn_statutory"),"")</f>
        <v/>
      </c>
    </row>
    <row r="20">
      <c r="A20" s="8" t="n"/>
      <c r="B20" s="8" t="n"/>
      <c r="C20" s="8" t="n"/>
      <c r="D20" s="8" t="n"/>
      <c r="E20" s="8" t="n"/>
      <c r="F20" s="9" t="n"/>
      <c r="G20" s="8" t="n"/>
      <c r="H20" s="8" t="n"/>
      <c r="I20" s="8" t="n"/>
      <c r="L20">
        <f>IF(B20="business",COUNTIF($B$5:B20,"business"),"")</f>
        <v/>
      </c>
      <c r="M20">
        <f>IF(B20="cash_cycle",COUNTIF($B$5:B20,"cash_cycle"),"")</f>
        <v/>
      </c>
      <c r="N20">
        <f>IF(B20="finance_structure",COUNTIF($B$5:B20,"finance_structure"),"")</f>
        <v/>
      </c>
      <c r="O20">
        <f>IF(B20="planning",COUNTIF($B$5:B20,"planning"),"")</f>
        <v/>
      </c>
      <c r="P20">
        <f>IF(B20="tn_statutory",COUNTIF($B$5:B20,"tn_statutory"),"")</f>
        <v/>
      </c>
    </row>
    <row r="21">
      <c r="A21" s="8" t="n"/>
      <c r="B21" s="8" t="n"/>
      <c r="C21" s="8" t="n"/>
      <c r="D21" s="8" t="n"/>
      <c r="E21" s="8" t="n"/>
      <c r="F21" s="9" t="n"/>
      <c r="G21" s="8" t="n"/>
      <c r="H21" s="8" t="n"/>
      <c r="I21" s="8" t="n"/>
      <c r="L21">
        <f>IF(B21="business",COUNTIF($B$5:B21,"business"),"")</f>
        <v/>
      </c>
      <c r="M21">
        <f>IF(B21="cash_cycle",COUNTIF($B$5:B21,"cash_cycle"),"")</f>
        <v/>
      </c>
      <c r="N21">
        <f>IF(B21="finance_structure",COUNTIF($B$5:B21,"finance_structure"),"")</f>
        <v/>
      </c>
      <c r="O21">
        <f>IF(B21="planning",COUNTIF($B$5:B21,"planning"),"")</f>
        <v/>
      </c>
      <c r="P21">
        <f>IF(B21="tn_statutory",COUNTIF($B$5:B21,"tn_statutory"),"")</f>
        <v/>
      </c>
    </row>
    <row r="22">
      <c r="A22" s="8" t="n"/>
      <c r="B22" s="8" t="n"/>
      <c r="C22" s="8" t="n"/>
      <c r="D22" s="8" t="n"/>
      <c r="E22" s="8" t="n"/>
      <c r="F22" s="9" t="n"/>
      <c r="G22" s="8" t="n"/>
      <c r="H22" s="8" t="n"/>
      <c r="I22" s="8" t="n"/>
      <c r="L22">
        <f>IF(B22="business",COUNTIF($B$5:B22,"business"),"")</f>
        <v/>
      </c>
      <c r="M22">
        <f>IF(B22="cash_cycle",COUNTIF($B$5:B22,"cash_cycle"),"")</f>
        <v/>
      </c>
      <c r="N22">
        <f>IF(B22="finance_structure",COUNTIF($B$5:B22,"finance_structure"),"")</f>
        <v/>
      </c>
      <c r="O22">
        <f>IF(B22="planning",COUNTIF($B$5:B22,"planning"),"")</f>
        <v/>
      </c>
      <c r="P22">
        <f>IF(B22="tn_statutory",COUNTIF($B$5:B22,"tn_statutory"),"")</f>
        <v/>
      </c>
    </row>
    <row r="23">
      <c r="A23" s="8" t="n"/>
      <c r="B23" s="8" t="n"/>
      <c r="C23" s="8" t="n"/>
      <c r="D23" s="8" t="n"/>
      <c r="E23" s="8" t="n"/>
      <c r="F23" s="9" t="n"/>
      <c r="G23" s="8" t="n"/>
      <c r="H23" s="8" t="n"/>
      <c r="I23" s="8" t="n"/>
      <c r="L23">
        <f>IF(B23="business",COUNTIF($B$5:B23,"business"),"")</f>
        <v/>
      </c>
      <c r="M23">
        <f>IF(B23="cash_cycle",COUNTIF($B$5:B23,"cash_cycle"),"")</f>
        <v/>
      </c>
      <c r="N23">
        <f>IF(B23="finance_structure",COUNTIF($B$5:B23,"finance_structure"),"")</f>
        <v/>
      </c>
      <c r="O23">
        <f>IF(B23="planning",COUNTIF($B$5:B23,"planning"),"")</f>
        <v/>
      </c>
      <c r="P23">
        <f>IF(B23="tn_statutory",COUNTIF($B$5:B23,"tn_statutory"),"")</f>
        <v/>
      </c>
    </row>
    <row r="24">
      <c r="A24" s="8" t="n"/>
      <c r="B24" s="8" t="n"/>
      <c r="C24" s="8" t="n"/>
      <c r="D24" s="8" t="n"/>
      <c r="E24" s="8" t="n"/>
      <c r="F24" s="9" t="n"/>
      <c r="G24" s="8" t="n"/>
      <c r="H24" s="8" t="n"/>
      <c r="I24" s="8" t="n"/>
      <c r="L24">
        <f>IF(B24="business",COUNTIF($B$5:B24,"business"),"")</f>
        <v/>
      </c>
      <c r="M24">
        <f>IF(B24="cash_cycle",COUNTIF($B$5:B24,"cash_cycle"),"")</f>
        <v/>
      </c>
      <c r="N24">
        <f>IF(B24="finance_structure",COUNTIF($B$5:B24,"finance_structure"),"")</f>
        <v/>
      </c>
      <c r="O24">
        <f>IF(B24="planning",COUNTIF($B$5:B24,"planning"),"")</f>
        <v/>
      </c>
      <c r="P24">
        <f>IF(B24="tn_statutory",COUNTIF($B$5:B24,"tn_statutory"),"")</f>
        <v/>
      </c>
    </row>
    <row r="25">
      <c r="A25" s="8" t="n"/>
      <c r="B25" s="8" t="n"/>
      <c r="C25" s="8" t="n"/>
      <c r="D25" s="8" t="n"/>
      <c r="E25" s="8" t="n"/>
      <c r="F25" s="9" t="n"/>
      <c r="G25" s="8" t="n"/>
      <c r="H25" s="8" t="n"/>
      <c r="I25" s="8" t="n"/>
      <c r="L25">
        <f>IF(B25="business",COUNTIF($B$5:B25,"business"),"")</f>
        <v/>
      </c>
      <c r="M25">
        <f>IF(B25="cash_cycle",COUNTIF($B$5:B25,"cash_cycle"),"")</f>
        <v/>
      </c>
      <c r="N25">
        <f>IF(B25="finance_structure",COUNTIF($B$5:B25,"finance_structure"),"")</f>
        <v/>
      </c>
      <c r="O25">
        <f>IF(B25="planning",COUNTIF($B$5:B25,"planning"),"")</f>
        <v/>
      </c>
      <c r="P25">
        <f>IF(B25="tn_statutory",COUNTIF($B$5:B25,"tn_statutory"),"")</f>
        <v/>
      </c>
    </row>
    <row r="26">
      <c r="A26" s="8" t="n"/>
      <c r="B26" s="8" t="n"/>
      <c r="C26" s="8" t="n"/>
      <c r="D26" s="8" t="n"/>
      <c r="E26" s="8" t="n"/>
      <c r="F26" s="9" t="n"/>
      <c r="G26" s="8" t="n"/>
      <c r="H26" s="8" t="n"/>
      <c r="I26" s="8" t="n"/>
      <c r="L26">
        <f>IF(B26="business",COUNTIF($B$5:B26,"business"),"")</f>
        <v/>
      </c>
      <c r="M26">
        <f>IF(B26="cash_cycle",COUNTIF($B$5:B26,"cash_cycle"),"")</f>
        <v/>
      </c>
      <c r="N26">
        <f>IF(B26="finance_structure",COUNTIF($B$5:B26,"finance_structure"),"")</f>
        <v/>
      </c>
      <c r="O26">
        <f>IF(B26="planning",COUNTIF($B$5:B26,"planning"),"")</f>
        <v/>
      </c>
      <c r="P26">
        <f>IF(B26="tn_statutory",COUNTIF($B$5:B26,"tn_statutory"),"")</f>
        <v/>
      </c>
    </row>
    <row r="27">
      <c r="A27" s="8" t="n"/>
      <c r="B27" s="8" t="n"/>
      <c r="C27" s="8" t="n"/>
      <c r="D27" s="8" t="n"/>
      <c r="E27" s="8" t="n"/>
      <c r="F27" s="9" t="n"/>
      <c r="G27" s="8" t="n"/>
      <c r="H27" s="8" t="n"/>
      <c r="I27" s="8" t="n"/>
      <c r="L27">
        <f>IF(B27="business",COUNTIF($B$5:B27,"business"),"")</f>
        <v/>
      </c>
      <c r="M27">
        <f>IF(B27="cash_cycle",COUNTIF($B$5:B27,"cash_cycle"),"")</f>
        <v/>
      </c>
      <c r="N27">
        <f>IF(B27="finance_structure",COUNTIF($B$5:B27,"finance_structure"),"")</f>
        <v/>
      </c>
      <c r="O27">
        <f>IF(B27="planning",COUNTIF($B$5:B27,"planning"),"")</f>
        <v/>
      </c>
      <c r="P27">
        <f>IF(B27="tn_statutory",COUNTIF($B$5:B27,"tn_statutory"),"")</f>
        <v/>
      </c>
    </row>
    <row r="28">
      <c r="A28" s="8" t="n"/>
      <c r="B28" s="8" t="n"/>
      <c r="C28" s="8" t="n"/>
      <c r="D28" s="8" t="n"/>
      <c r="E28" s="8" t="n"/>
      <c r="F28" s="9" t="n"/>
      <c r="G28" s="8" t="n"/>
      <c r="H28" s="8" t="n"/>
      <c r="I28" s="8" t="n"/>
      <c r="L28">
        <f>IF(B28="business",COUNTIF($B$5:B28,"business"),"")</f>
        <v/>
      </c>
      <c r="M28">
        <f>IF(B28="cash_cycle",COUNTIF($B$5:B28,"cash_cycle"),"")</f>
        <v/>
      </c>
      <c r="N28">
        <f>IF(B28="finance_structure",COUNTIF($B$5:B28,"finance_structure"),"")</f>
        <v/>
      </c>
      <c r="O28">
        <f>IF(B28="planning",COUNTIF($B$5:B28,"planning"),"")</f>
        <v/>
      </c>
      <c r="P28">
        <f>IF(B28="tn_statutory",COUNTIF($B$5:B28,"tn_statutory"),"")</f>
        <v/>
      </c>
    </row>
    <row r="29">
      <c r="A29" s="8" t="n"/>
      <c r="B29" s="8" t="n"/>
      <c r="C29" s="8" t="n"/>
      <c r="D29" s="8" t="n"/>
      <c r="E29" s="8" t="n"/>
      <c r="F29" s="9" t="n"/>
      <c r="G29" s="8" t="n"/>
      <c r="H29" s="8" t="n"/>
      <c r="I29" s="8" t="n"/>
      <c r="L29">
        <f>IF(B29="business",COUNTIF($B$5:B29,"business"),"")</f>
        <v/>
      </c>
      <c r="M29">
        <f>IF(B29="cash_cycle",COUNTIF($B$5:B29,"cash_cycle"),"")</f>
        <v/>
      </c>
      <c r="N29">
        <f>IF(B29="finance_structure",COUNTIF($B$5:B29,"finance_structure"),"")</f>
        <v/>
      </c>
      <c r="O29">
        <f>IF(B29="planning",COUNTIF($B$5:B29,"planning"),"")</f>
        <v/>
      </c>
      <c r="P29">
        <f>IF(B29="tn_statutory",COUNTIF($B$5:B29,"tn_statutory"),"")</f>
        <v/>
      </c>
    </row>
    <row r="30">
      <c r="A30" s="8" t="n"/>
      <c r="B30" s="8" t="n"/>
      <c r="C30" s="8" t="n"/>
      <c r="D30" s="8" t="n"/>
      <c r="E30" s="8" t="n"/>
      <c r="F30" s="9" t="n"/>
      <c r="G30" s="8" t="n"/>
      <c r="H30" s="8" t="n"/>
      <c r="I30" s="8" t="n"/>
      <c r="L30">
        <f>IF(B30="business",COUNTIF($B$5:B30,"business"),"")</f>
        <v/>
      </c>
      <c r="M30">
        <f>IF(B30="cash_cycle",COUNTIF($B$5:B30,"cash_cycle"),"")</f>
        <v/>
      </c>
      <c r="N30">
        <f>IF(B30="finance_structure",COUNTIF($B$5:B30,"finance_structure"),"")</f>
        <v/>
      </c>
      <c r="O30">
        <f>IF(B30="planning",COUNTIF($B$5:B30,"planning"),"")</f>
        <v/>
      </c>
      <c r="P30">
        <f>IF(B30="tn_statutory",COUNTIF($B$5:B30,"tn_statutory"),"")</f>
        <v/>
      </c>
    </row>
    <row r="31">
      <c r="A31" s="8" t="n"/>
      <c r="B31" s="8" t="n"/>
      <c r="C31" s="8" t="n"/>
      <c r="D31" s="8" t="n"/>
      <c r="E31" s="8" t="n"/>
      <c r="F31" s="9" t="n"/>
      <c r="G31" s="8" t="n"/>
      <c r="H31" s="8" t="n"/>
      <c r="I31" s="8" t="n"/>
      <c r="L31">
        <f>IF(B31="business",COUNTIF($B$5:B31,"business"),"")</f>
        <v/>
      </c>
      <c r="M31">
        <f>IF(B31="cash_cycle",COUNTIF($B$5:B31,"cash_cycle"),"")</f>
        <v/>
      </c>
      <c r="N31">
        <f>IF(B31="finance_structure",COUNTIF($B$5:B31,"finance_structure"),"")</f>
        <v/>
      </c>
      <c r="O31">
        <f>IF(B31="planning",COUNTIF($B$5:B31,"planning"),"")</f>
        <v/>
      </c>
      <c r="P31">
        <f>IF(B31="tn_statutory",COUNTIF($B$5:B31,"tn_statutory"),"")</f>
        <v/>
      </c>
    </row>
    <row r="32">
      <c r="A32" s="8" t="n"/>
      <c r="B32" s="8" t="n"/>
      <c r="C32" s="8" t="n"/>
      <c r="D32" s="8" t="n"/>
      <c r="E32" s="8" t="n"/>
      <c r="F32" s="9" t="n"/>
      <c r="G32" s="8" t="n"/>
      <c r="H32" s="8" t="n"/>
      <c r="I32" s="8" t="n"/>
      <c r="L32">
        <f>IF(B32="business",COUNTIF($B$5:B32,"business"),"")</f>
        <v/>
      </c>
      <c r="M32">
        <f>IF(B32="cash_cycle",COUNTIF($B$5:B32,"cash_cycle"),"")</f>
        <v/>
      </c>
      <c r="N32">
        <f>IF(B32="finance_structure",COUNTIF($B$5:B32,"finance_structure"),"")</f>
        <v/>
      </c>
      <c r="O32">
        <f>IF(B32="planning",COUNTIF($B$5:B32,"planning"),"")</f>
        <v/>
      </c>
      <c r="P32">
        <f>IF(B32="tn_statutory",COUNTIF($B$5:B32,"tn_statutory"),"")</f>
        <v/>
      </c>
    </row>
    <row r="33">
      <c r="A33" s="8" t="n"/>
      <c r="B33" s="8" t="n"/>
      <c r="C33" s="8" t="n"/>
      <c r="D33" s="8" t="n"/>
      <c r="E33" s="8" t="n"/>
      <c r="F33" s="9" t="n"/>
      <c r="G33" s="8" t="n"/>
      <c r="H33" s="8" t="n"/>
      <c r="I33" s="8" t="n"/>
      <c r="L33">
        <f>IF(B33="business",COUNTIF($B$5:B33,"business"),"")</f>
        <v/>
      </c>
      <c r="M33">
        <f>IF(B33="cash_cycle",COUNTIF($B$5:B33,"cash_cycle"),"")</f>
        <v/>
      </c>
      <c r="N33">
        <f>IF(B33="finance_structure",COUNTIF($B$5:B33,"finance_structure"),"")</f>
        <v/>
      </c>
      <c r="O33">
        <f>IF(B33="planning",COUNTIF($B$5:B33,"planning"),"")</f>
        <v/>
      </c>
      <c r="P33">
        <f>IF(B33="tn_statutory",COUNTIF($B$5:B33,"tn_statutory"),"")</f>
        <v/>
      </c>
    </row>
    <row r="34">
      <c r="A34" s="8" t="n"/>
      <c r="B34" s="8" t="n"/>
      <c r="C34" s="8" t="n"/>
      <c r="D34" s="8" t="n"/>
      <c r="E34" s="8" t="n"/>
      <c r="F34" s="9" t="n"/>
      <c r="G34" s="8" t="n"/>
      <c r="H34" s="8" t="n"/>
      <c r="I34" s="8" t="n"/>
      <c r="L34">
        <f>IF(B34="business",COUNTIF($B$5:B34,"business"),"")</f>
        <v/>
      </c>
      <c r="M34">
        <f>IF(B34="cash_cycle",COUNTIF($B$5:B34,"cash_cycle"),"")</f>
        <v/>
      </c>
      <c r="N34">
        <f>IF(B34="finance_structure",COUNTIF($B$5:B34,"finance_structure"),"")</f>
        <v/>
      </c>
      <c r="O34">
        <f>IF(B34="planning",COUNTIF($B$5:B34,"planning"),"")</f>
        <v/>
      </c>
      <c r="P34">
        <f>IF(B34="tn_statutory",COUNTIF($B$5:B34,"tn_statutory"),"")</f>
        <v/>
      </c>
    </row>
    <row r="35">
      <c r="A35" s="8" t="n"/>
      <c r="B35" s="8" t="n"/>
      <c r="C35" s="8" t="n"/>
      <c r="D35" s="8" t="n"/>
      <c r="E35" s="8" t="n"/>
      <c r="F35" s="9" t="n"/>
      <c r="G35" s="8" t="n"/>
      <c r="H35" s="8" t="n"/>
      <c r="I35" s="8" t="n"/>
      <c r="L35">
        <f>IF(B35="business",COUNTIF($B$5:B35,"business"),"")</f>
        <v/>
      </c>
      <c r="M35">
        <f>IF(B35="cash_cycle",COUNTIF($B$5:B35,"cash_cycle"),"")</f>
        <v/>
      </c>
      <c r="N35">
        <f>IF(B35="finance_structure",COUNTIF($B$5:B35,"finance_structure"),"")</f>
        <v/>
      </c>
      <c r="O35">
        <f>IF(B35="planning",COUNTIF($B$5:B35,"planning"),"")</f>
        <v/>
      </c>
      <c r="P35">
        <f>IF(B35="tn_statutory",COUNTIF($B$5:B35,"tn_statutory"),"")</f>
        <v/>
      </c>
    </row>
    <row r="36">
      <c r="A36" s="8" t="n"/>
      <c r="B36" s="8" t="n"/>
      <c r="C36" s="8" t="n"/>
      <c r="D36" s="8" t="n"/>
      <c r="E36" s="8" t="n"/>
      <c r="F36" s="9" t="n"/>
      <c r="G36" s="8" t="n"/>
      <c r="H36" s="8" t="n"/>
      <c r="I36" s="8" t="n"/>
      <c r="L36">
        <f>IF(B36="business",COUNTIF($B$5:B36,"business"),"")</f>
        <v/>
      </c>
      <c r="M36">
        <f>IF(B36="cash_cycle",COUNTIF($B$5:B36,"cash_cycle"),"")</f>
        <v/>
      </c>
      <c r="N36">
        <f>IF(B36="finance_structure",COUNTIF($B$5:B36,"finance_structure"),"")</f>
        <v/>
      </c>
      <c r="O36">
        <f>IF(B36="planning",COUNTIF($B$5:B36,"planning"),"")</f>
        <v/>
      </c>
      <c r="P36">
        <f>IF(B36="tn_statutory",COUNTIF($B$5:B36,"tn_statutory"),"")</f>
        <v/>
      </c>
    </row>
    <row r="37">
      <c r="A37" s="8" t="n"/>
      <c r="B37" s="8" t="n"/>
      <c r="C37" s="8" t="n"/>
      <c r="D37" s="8" t="n"/>
      <c r="E37" s="8" t="n"/>
      <c r="F37" s="9" t="n"/>
      <c r="G37" s="8" t="n"/>
      <c r="H37" s="8" t="n"/>
      <c r="I37" s="8" t="n"/>
      <c r="L37">
        <f>IF(B37="business",COUNTIF($B$5:B37,"business"),"")</f>
        <v/>
      </c>
      <c r="M37">
        <f>IF(B37="cash_cycle",COUNTIF($B$5:B37,"cash_cycle"),"")</f>
        <v/>
      </c>
      <c r="N37">
        <f>IF(B37="finance_structure",COUNTIF($B$5:B37,"finance_structure"),"")</f>
        <v/>
      </c>
      <c r="O37">
        <f>IF(B37="planning",COUNTIF($B$5:B37,"planning"),"")</f>
        <v/>
      </c>
      <c r="P37">
        <f>IF(B37="tn_statutory",COUNTIF($B$5:B37,"tn_statutory"),"")</f>
        <v/>
      </c>
    </row>
    <row r="38">
      <c r="A38" s="8" t="n"/>
      <c r="B38" s="8" t="n"/>
      <c r="C38" s="8" t="n"/>
      <c r="D38" s="8" t="n"/>
      <c r="E38" s="8" t="n"/>
      <c r="F38" s="9" t="n"/>
      <c r="G38" s="8" t="n"/>
      <c r="H38" s="8" t="n"/>
      <c r="I38" s="8" t="n"/>
      <c r="L38">
        <f>IF(B38="business",COUNTIF($B$5:B38,"business"),"")</f>
        <v/>
      </c>
      <c r="M38">
        <f>IF(B38="cash_cycle",COUNTIF($B$5:B38,"cash_cycle"),"")</f>
        <v/>
      </c>
      <c r="N38">
        <f>IF(B38="finance_structure",COUNTIF($B$5:B38,"finance_structure"),"")</f>
        <v/>
      </c>
      <c r="O38">
        <f>IF(B38="planning",COUNTIF($B$5:B38,"planning"),"")</f>
        <v/>
      </c>
      <c r="P38">
        <f>IF(B38="tn_statutory",COUNTIF($B$5:B38,"tn_statutory"),"")</f>
        <v/>
      </c>
    </row>
    <row r="39">
      <c r="A39" s="8" t="n"/>
      <c r="B39" s="8" t="n"/>
      <c r="C39" s="8" t="n"/>
      <c r="D39" s="8" t="n"/>
      <c r="E39" s="8" t="n"/>
      <c r="F39" s="9" t="n"/>
      <c r="G39" s="8" t="n"/>
      <c r="H39" s="8" t="n"/>
      <c r="I39" s="8" t="n"/>
      <c r="L39">
        <f>IF(B39="business",COUNTIF($B$5:B39,"business"),"")</f>
        <v/>
      </c>
      <c r="M39">
        <f>IF(B39="cash_cycle",COUNTIF($B$5:B39,"cash_cycle"),"")</f>
        <v/>
      </c>
      <c r="N39">
        <f>IF(B39="finance_structure",COUNTIF($B$5:B39,"finance_structure"),"")</f>
        <v/>
      </c>
      <c r="O39">
        <f>IF(B39="planning",COUNTIF($B$5:B39,"planning"),"")</f>
        <v/>
      </c>
      <c r="P39">
        <f>IF(B39="tn_statutory",COUNTIF($B$5:B39,"tn_statutory"),"")</f>
        <v/>
      </c>
    </row>
    <row r="40">
      <c r="A40" s="8" t="n"/>
      <c r="B40" s="8" t="n"/>
      <c r="C40" s="8" t="n"/>
      <c r="D40" s="8" t="n"/>
      <c r="E40" s="8" t="n"/>
      <c r="F40" s="9" t="n"/>
      <c r="G40" s="8" t="n"/>
      <c r="H40" s="8" t="n"/>
      <c r="I40" s="8" t="n"/>
      <c r="L40">
        <f>IF(B40="business",COUNTIF($B$5:B40,"business"),"")</f>
        <v/>
      </c>
      <c r="M40">
        <f>IF(B40="cash_cycle",COUNTIF($B$5:B40,"cash_cycle"),"")</f>
        <v/>
      </c>
      <c r="N40">
        <f>IF(B40="finance_structure",COUNTIF($B$5:B40,"finance_structure"),"")</f>
        <v/>
      </c>
      <c r="O40">
        <f>IF(B40="planning",COUNTIF($B$5:B40,"planning"),"")</f>
        <v/>
      </c>
      <c r="P40">
        <f>IF(B40="tn_statutory",COUNTIF($B$5:B40,"tn_statutory"),"")</f>
        <v/>
      </c>
    </row>
    <row r="41">
      <c r="A41" s="8" t="n"/>
      <c r="B41" s="8" t="n"/>
      <c r="C41" s="8" t="n"/>
      <c r="D41" s="8" t="n"/>
      <c r="E41" s="8" t="n"/>
      <c r="F41" s="9" t="n"/>
      <c r="G41" s="8" t="n"/>
      <c r="H41" s="8" t="n"/>
      <c r="I41" s="8" t="n"/>
      <c r="L41">
        <f>IF(B41="business",COUNTIF($B$5:B41,"business"),"")</f>
        <v/>
      </c>
      <c r="M41">
        <f>IF(B41="cash_cycle",COUNTIF($B$5:B41,"cash_cycle"),"")</f>
        <v/>
      </c>
      <c r="N41">
        <f>IF(B41="finance_structure",COUNTIF($B$5:B41,"finance_structure"),"")</f>
        <v/>
      </c>
      <c r="O41">
        <f>IF(B41="planning",COUNTIF($B$5:B41,"planning"),"")</f>
        <v/>
      </c>
      <c r="P41">
        <f>IF(B41="tn_statutory",COUNTIF($B$5:B41,"tn_statutory"),"")</f>
        <v/>
      </c>
    </row>
    <row r="42">
      <c r="A42" s="8" t="n"/>
      <c r="B42" s="8" t="n"/>
      <c r="C42" s="8" t="n"/>
      <c r="D42" s="8" t="n"/>
      <c r="E42" s="8" t="n"/>
      <c r="F42" s="9" t="n"/>
      <c r="G42" s="8" t="n"/>
      <c r="H42" s="8" t="n"/>
      <c r="I42" s="8" t="n"/>
      <c r="L42">
        <f>IF(B42="business",COUNTIF($B$5:B42,"business"),"")</f>
        <v/>
      </c>
      <c r="M42">
        <f>IF(B42="cash_cycle",COUNTIF($B$5:B42,"cash_cycle"),"")</f>
        <v/>
      </c>
      <c r="N42">
        <f>IF(B42="finance_structure",COUNTIF($B$5:B42,"finance_structure"),"")</f>
        <v/>
      </c>
      <c r="O42">
        <f>IF(B42="planning",COUNTIF($B$5:B42,"planning"),"")</f>
        <v/>
      </c>
      <c r="P42">
        <f>IF(B42="tn_statutory",COUNTIF($B$5:B42,"tn_statutory"),"")</f>
        <v/>
      </c>
    </row>
    <row r="43">
      <c r="A43" s="8" t="n"/>
      <c r="B43" s="8" t="n"/>
      <c r="C43" s="8" t="n"/>
      <c r="D43" s="8" t="n"/>
      <c r="E43" s="8" t="n"/>
      <c r="F43" s="9" t="n"/>
      <c r="G43" s="8" t="n"/>
      <c r="H43" s="8" t="n"/>
      <c r="I43" s="8" t="n"/>
      <c r="L43">
        <f>IF(B43="business",COUNTIF($B$5:B43,"business"),"")</f>
        <v/>
      </c>
      <c r="M43">
        <f>IF(B43="cash_cycle",COUNTIF($B$5:B43,"cash_cycle"),"")</f>
        <v/>
      </c>
      <c r="N43">
        <f>IF(B43="finance_structure",COUNTIF($B$5:B43,"finance_structure"),"")</f>
        <v/>
      </c>
      <c r="O43">
        <f>IF(B43="planning",COUNTIF($B$5:B43,"planning"),"")</f>
        <v/>
      </c>
      <c r="P43">
        <f>IF(B43="tn_statutory",COUNTIF($B$5:B43,"tn_statutory"),"")</f>
        <v/>
      </c>
    </row>
    <row r="44">
      <c r="A44" s="8" t="n"/>
      <c r="B44" s="8" t="n"/>
      <c r="C44" s="8" t="n"/>
      <c r="D44" s="8" t="n"/>
      <c r="E44" s="8" t="n"/>
      <c r="F44" s="9" t="n"/>
      <c r="G44" s="8" t="n"/>
      <c r="H44" s="8" t="n"/>
      <c r="I44" s="8" t="n"/>
      <c r="L44">
        <f>IF(B44="business",COUNTIF($B$5:B44,"business"),"")</f>
        <v/>
      </c>
      <c r="M44">
        <f>IF(B44="cash_cycle",COUNTIF($B$5:B44,"cash_cycle"),"")</f>
        <v/>
      </c>
      <c r="N44">
        <f>IF(B44="finance_structure",COUNTIF($B$5:B44,"finance_structure"),"")</f>
        <v/>
      </c>
      <c r="O44">
        <f>IF(B44="planning",COUNTIF($B$5:B44,"planning"),"")</f>
        <v/>
      </c>
      <c r="P44">
        <f>IF(B44="tn_statutory",COUNTIF($B$5:B44,"tn_statutory"),"")</f>
        <v/>
      </c>
    </row>
    <row r="45">
      <c r="A45" s="8" t="n"/>
      <c r="B45" s="8" t="n"/>
      <c r="C45" s="8" t="n"/>
      <c r="D45" s="8" t="n"/>
      <c r="E45" s="8" t="n"/>
      <c r="F45" s="9" t="n"/>
      <c r="G45" s="8" t="n"/>
      <c r="H45" s="8" t="n"/>
      <c r="I45" s="8" t="n"/>
      <c r="L45">
        <f>IF(B45="business",COUNTIF($B$5:B45,"business"),"")</f>
        <v/>
      </c>
      <c r="M45">
        <f>IF(B45="cash_cycle",COUNTIF($B$5:B45,"cash_cycle"),"")</f>
        <v/>
      </c>
      <c r="N45">
        <f>IF(B45="finance_structure",COUNTIF($B$5:B45,"finance_structure"),"")</f>
        <v/>
      </c>
      <c r="O45">
        <f>IF(B45="planning",COUNTIF($B$5:B45,"planning"),"")</f>
        <v/>
      </c>
      <c r="P45">
        <f>IF(B45="tn_statutory",COUNTIF($B$5:B45,"tn_statutory"),"")</f>
        <v/>
      </c>
    </row>
    <row r="46">
      <c r="A46" s="8" t="n"/>
      <c r="B46" s="8" t="n"/>
      <c r="C46" s="8" t="n"/>
      <c r="D46" s="8" t="n"/>
      <c r="E46" s="8" t="n"/>
      <c r="F46" s="9" t="n"/>
      <c r="G46" s="8" t="n"/>
      <c r="H46" s="8" t="n"/>
      <c r="I46" s="8" t="n"/>
      <c r="L46">
        <f>IF(B46="business",COUNTIF($B$5:B46,"business"),"")</f>
        <v/>
      </c>
      <c r="M46">
        <f>IF(B46="cash_cycle",COUNTIF($B$5:B46,"cash_cycle"),"")</f>
        <v/>
      </c>
      <c r="N46">
        <f>IF(B46="finance_structure",COUNTIF($B$5:B46,"finance_structure"),"")</f>
        <v/>
      </c>
      <c r="O46">
        <f>IF(B46="planning",COUNTIF($B$5:B46,"planning"),"")</f>
        <v/>
      </c>
      <c r="P46">
        <f>IF(B46="tn_statutory",COUNTIF($B$5:B46,"tn_statutory"),"")</f>
        <v/>
      </c>
    </row>
    <row r="47">
      <c r="A47" s="8" t="n"/>
      <c r="B47" s="8" t="n"/>
      <c r="C47" s="8" t="n"/>
      <c r="D47" s="8" t="n"/>
      <c r="E47" s="8" t="n"/>
      <c r="F47" s="9" t="n"/>
      <c r="G47" s="8" t="n"/>
      <c r="H47" s="8" t="n"/>
      <c r="I47" s="8" t="n"/>
      <c r="L47">
        <f>IF(B47="business",COUNTIF($B$5:B47,"business"),"")</f>
        <v/>
      </c>
      <c r="M47">
        <f>IF(B47="cash_cycle",COUNTIF($B$5:B47,"cash_cycle"),"")</f>
        <v/>
      </c>
      <c r="N47">
        <f>IF(B47="finance_structure",COUNTIF($B$5:B47,"finance_structure"),"")</f>
        <v/>
      </c>
      <c r="O47">
        <f>IF(B47="planning",COUNTIF($B$5:B47,"planning"),"")</f>
        <v/>
      </c>
      <c r="P47">
        <f>IF(B47="tn_statutory",COUNTIF($B$5:B47,"tn_statutory"),"")</f>
        <v/>
      </c>
    </row>
    <row r="48">
      <c r="A48" s="8" t="n"/>
      <c r="B48" s="8" t="n"/>
      <c r="C48" s="8" t="n"/>
      <c r="D48" s="8" t="n"/>
      <c r="E48" s="8" t="n"/>
      <c r="F48" s="9" t="n"/>
      <c r="G48" s="8" t="n"/>
      <c r="H48" s="8" t="n"/>
      <c r="I48" s="8" t="n"/>
      <c r="L48">
        <f>IF(B48="business",COUNTIF($B$5:B48,"business"),"")</f>
        <v/>
      </c>
      <c r="M48">
        <f>IF(B48="cash_cycle",COUNTIF($B$5:B48,"cash_cycle"),"")</f>
        <v/>
      </c>
      <c r="N48">
        <f>IF(B48="finance_structure",COUNTIF($B$5:B48,"finance_structure"),"")</f>
        <v/>
      </c>
      <c r="O48">
        <f>IF(B48="planning",COUNTIF($B$5:B48,"planning"),"")</f>
        <v/>
      </c>
      <c r="P48">
        <f>IF(B48="tn_statutory",COUNTIF($B$5:B48,"tn_statutory"),"")</f>
        <v/>
      </c>
    </row>
    <row r="49">
      <c r="A49" s="8" t="n"/>
      <c r="B49" s="8" t="n"/>
      <c r="C49" s="8" t="n"/>
      <c r="D49" s="8" t="n"/>
      <c r="E49" s="8" t="n"/>
      <c r="F49" s="9" t="n"/>
      <c r="G49" s="8" t="n"/>
      <c r="H49" s="8" t="n"/>
      <c r="I49" s="8" t="n"/>
      <c r="L49">
        <f>IF(B49="business",COUNTIF($B$5:B49,"business"),"")</f>
        <v/>
      </c>
      <c r="M49">
        <f>IF(B49="cash_cycle",COUNTIF($B$5:B49,"cash_cycle"),"")</f>
        <v/>
      </c>
      <c r="N49">
        <f>IF(B49="finance_structure",COUNTIF($B$5:B49,"finance_structure"),"")</f>
        <v/>
      </c>
      <c r="O49">
        <f>IF(B49="planning",COUNTIF($B$5:B49,"planning"),"")</f>
        <v/>
      </c>
      <c r="P49">
        <f>IF(B49="tn_statutory",COUNTIF($B$5:B49,"tn_statutory"),"")</f>
        <v/>
      </c>
    </row>
    <row r="50">
      <c r="A50" s="8" t="n"/>
      <c r="B50" s="8" t="n"/>
      <c r="C50" s="8" t="n"/>
      <c r="D50" s="8" t="n"/>
      <c r="E50" s="8" t="n"/>
      <c r="F50" s="9" t="n"/>
      <c r="G50" s="8" t="n"/>
      <c r="H50" s="8" t="n"/>
      <c r="I50" s="8" t="n"/>
      <c r="L50">
        <f>IF(B50="business",COUNTIF($B$5:B50,"business"),"")</f>
        <v/>
      </c>
      <c r="M50">
        <f>IF(B50="cash_cycle",COUNTIF($B$5:B50,"cash_cycle"),"")</f>
        <v/>
      </c>
      <c r="N50">
        <f>IF(B50="finance_structure",COUNTIF($B$5:B50,"finance_structure"),"")</f>
        <v/>
      </c>
      <c r="O50">
        <f>IF(B50="planning",COUNTIF($B$5:B50,"planning"),"")</f>
        <v/>
      </c>
      <c r="P50">
        <f>IF(B50="tn_statutory",COUNTIF($B$5:B50,"tn_statutory"),"")</f>
        <v/>
      </c>
    </row>
    <row r="51">
      <c r="A51" s="8" t="n"/>
      <c r="B51" s="8" t="n"/>
      <c r="C51" s="8" t="n"/>
      <c r="D51" s="8" t="n"/>
      <c r="E51" s="8" t="n"/>
      <c r="F51" s="9" t="n"/>
      <c r="G51" s="8" t="n"/>
      <c r="H51" s="8" t="n"/>
      <c r="I51" s="8" t="n"/>
      <c r="L51">
        <f>IF(B51="business",COUNTIF($B$5:B51,"business"),"")</f>
        <v/>
      </c>
      <c r="M51">
        <f>IF(B51="cash_cycle",COUNTIF($B$5:B51,"cash_cycle"),"")</f>
        <v/>
      </c>
      <c r="N51">
        <f>IF(B51="finance_structure",COUNTIF($B$5:B51,"finance_structure"),"")</f>
        <v/>
      </c>
      <c r="O51">
        <f>IF(B51="planning",COUNTIF($B$5:B51,"planning"),"")</f>
        <v/>
      </c>
      <c r="P51">
        <f>IF(B51="tn_statutory",COUNTIF($B$5:B51,"tn_statutory"),"")</f>
        <v/>
      </c>
    </row>
    <row r="52">
      <c r="A52" s="8" t="n"/>
      <c r="B52" s="8" t="n"/>
      <c r="C52" s="8" t="n"/>
      <c r="D52" s="8" t="n"/>
      <c r="E52" s="8" t="n"/>
      <c r="F52" s="9" t="n"/>
      <c r="G52" s="8" t="n"/>
      <c r="H52" s="8" t="n"/>
      <c r="I52" s="8" t="n"/>
      <c r="L52">
        <f>IF(B52="business",COUNTIF($B$5:B52,"business"),"")</f>
        <v/>
      </c>
      <c r="M52">
        <f>IF(B52="cash_cycle",COUNTIF($B$5:B52,"cash_cycle"),"")</f>
        <v/>
      </c>
      <c r="N52">
        <f>IF(B52="finance_structure",COUNTIF($B$5:B52,"finance_structure"),"")</f>
        <v/>
      </c>
      <c r="O52">
        <f>IF(B52="planning",COUNTIF($B$5:B52,"planning"),"")</f>
        <v/>
      </c>
      <c r="P52">
        <f>IF(B52="tn_statutory",COUNTIF($B$5:B52,"tn_statutory"),"")</f>
        <v/>
      </c>
    </row>
    <row r="53">
      <c r="A53" s="8" t="n"/>
      <c r="B53" s="8" t="n"/>
      <c r="C53" s="8" t="n"/>
      <c r="D53" s="8" t="n"/>
      <c r="E53" s="8" t="n"/>
      <c r="F53" s="9" t="n"/>
      <c r="G53" s="8" t="n"/>
      <c r="H53" s="8" t="n"/>
      <c r="I53" s="8" t="n"/>
      <c r="L53">
        <f>IF(B53="business",COUNTIF($B$5:B53,"business"),"")</f>
        <v/>
      </c>
      <c r="M53">
        <f>IF(B53="cash_cycle",COUNTIF($B$5:B53,"cash_cycle"),"")</f>
        <v/>
      </c>
      <c r="N53">
        <f>IF(B53="finance_structure",COUNTIF($B$5:B53,"finance_structure"),"")</f>
        <v/>
      </c>
      <c r="O53">
        <f>IF(B53="planning",COUNTIF($B$5:B53,"planning"),"")</f>
        <v/>
      </c>
      <c r="P53">
        <f>IF(B53="tn_statutory",COUNTIF($B$5:B53,"tn_statutory"),"")</f>
        <v/>
      </c>
    </row>
    <row r="54">
      <c r="A54" s="8" t="n"/>
      <c r="B54" s="8" t="n"/>
      <c r="C54" s="8" t="n"/>
      <c r="D54" s="8" t="n"/>
      <c r="E54" s="8" t="n"/>
      <c r="F54" s="9" t="n"/>
      <c r="G54" s="8" t="n"/>
      <c r="H54" s="8" t="n"/>
      <c r="I54" s="8" t="n"/>
      <c r="L54">
        <f>IF(B54="business",COUNTIF($B$5:B54,"business"),"")</f>
        <v/>
      </c>
      <c r="M54">
        <f>IF(B54="cash_cycle",COUNTIF($B$5:B54,"cash_cycle"),"")</f>
        <v/>
      </c>
      <c r="N54">
        <f>IF(B54="finance_structure",COUNTIF($B$5:B54,"finance_structure"),"")</f>
        <v/>
      </c>
      <c r="O54">
        <f>IF(B54="planning",COUNTIF($B$5:B54,"planning"),"")</f>
        <v/>
      </c>
      <c r="P54">
        <f>IF(B54="tn_statutory",COUNTIF($B$5:B54,"tn_statutory"),"")</f>
        <v/>
      </c>
    </row>
    <row r="55">
      <c r="A55" s="8" t="n"/>
      <c r="B55" s="8" t="n"/>
      <c r="C55" s="8" t="n"/>
      <c r="D55" s="8" t="n"/>
      <c r="E55" s="8" t="n"/>
      <c r="F55" s="9" t="n"/>
      <c r="G55" s="8" t="n"/>
      <c r="H55" s="8" t="n"/>
      <c r="I55" s="8" t="n"/>
      <c r="L55">
        <f>IF(B55="business",COUNTIF($B$5:B55,"business"),"")</f>
        <v/>
      </c>
      <c r="M55">
        <f>IF(B55="cash_cycle",COUNTIF($B$5:B55,"cash_cycle"),"")</f>
        <v/>
      </c>
      <c r="N55">
        <f>IF(B55="finance_structure",COUNTIF($B$5:B55,"finance_structure"),"")</f>
        <v/>
      </c>
      <c r="O55">
        <f>IF(B55="planning",COUNTIF($B$5:B55,"planning"),"")</f>
        <v/>
      </c>
      <c r="P55">
        <f>IF(B55="tn_statutory",COUNTIF($B$5:B55,"tn_statutory"),"")</f>
        <v/>
      </c>
    </row>
    <row r="56">
      <c r="A56" s="8" t="n"/>
      <c r="B56" s="8" t="n"/>
      <c r="C56" s="8" t="n"/>
      <c r="D56" s="8" t="n"/>
      <c r="E56" s="8" t="n"/>
      <c r="F56" s="9" t="n"/>
      <c r="G56" s="8" t="n"/>
      <c r="H56" s="8" t="n"/>
      <c r="I56" s="8" t="n"/>
      <c r="L56">
        <f>IF(B56="business",COUNTIF($B$5:B56,"business"),"")</f>
        <v/>
      </c>
      <c r="M56">
        <f>IF(B56="cash_cycle",COUNTIF($B$5:B56,"cash_cycle"),"")</f>
        <v/>
      </c>
      <c r="N56">
        <f>IF(B56="finance_structure",COUNTIF($B$5:B56,"finance_structure"),"")</f>
        <v/>
      </c>
      <c r="O56">
        <f>IF(B56="planning",COUNTIF($B$5:B56,"planning"),"")</f>
        <v/>
      </c>
      <c r="P56">
        <f>IF(B56="tn_statutory",COUNTIF($B$5:B56,"tn_statutory"),"")</f>
        <v/>
      </c>
    </row>
    <row r="57">
      <c r="A57" s="8" t="n"/>
      <c r="B57" s="8" t="n"/>
      <c r="C57" s="8" t="n"/>
      <c r="D57" s="8" t="n"/>
      <c r="E57" s="8" t="n"/>
      <c r="F57" s="9" t="n"/>
      <c r="G57" s="8" t="n"/>
      <c r="H57" s="8" t="n"/>
      <c r="I57" s="8" t="n"/>
      <c r="L57">
        <f>IF(B57="business",COUNTIF($B$5:B57,"business"),"")</f>
        <v/>
      </c>
      <c r="M57">
        <f>IF(B57="cash_cycle",COUNTIF($B$5:B57,"cash_cycle"),"")</f>
        <v/>
      </c>
      <c r="N57">
        <f>IF(B57="finance_structure",COUNTIF($B$5:B57,"finance_structure"),"")</f>
        <v/>
      </c>
      <c r="O57">
        <f>IF(B57="planning",COUNTIF($B$5:B57,"planning"),"")</f>
        <v/>
      </c>
      <c r="P57">
        <f>IF(B57="tn_statutory",COUNTIF($B$5:B57,"tn_statutory"),"")</f>
        <v/>
      </c>
    </row>
    <row r="58">
      <c r="A58" s="8" t="n"/>
      <c r="B58" s="8" t="n"/>
      <c r="C58" s="8" t="n"/>
      <c r="D58" s="8" t="n"/>
      <c r="E58" s="8" t="n"/>
      <c r="F58" s="9" t="n"/>
      <c r="G58" s="8" t="n"/>
      <c r="H58" s="8" t="n"/>
      <c r="I58" s="8" t="n"/>
      <c r="L58">
        <f>IF(B58="business",COUNTIF($B$5:B58,"business"),"")</f>
        <v/>
      </c>
      <c r="M58">
        <f>IF(B58="cash_cycle",COUNTIF($B$5:B58,"cash_cycle"),"")</f>
        <v/>
      </c>
      <c r="N58">
        <f>IF(B58="finance_structure",COUNTIF($B$5:B58,"finance_structure"),"")</f>
        <v/>
      </c>
      <c r="O58">
        <f>IF(B58="planning",COUNTIF($B$5:B58,"planning"),"")</f>
        <v/>
      </c>
      <c r="P58">
        <f>IF(B58="tn_statutory",COUNTIF($B$5:B58,"tn_statutory"),"")</f>
        <v/>
      </c>
    </row>
    <row r="59">
      <c r="A59" s="8" t="n"/>
      <c r="B59" s="8" t="n"/>
      <c r="C59" s="8" t="n"/>
      <c r="D59" s="8" t="n"/>
      <c r="E59" s="8" t="n"/>
      <c r="F59" s="9" t="n"/>
      <c r="G59" s="8" t="n"/>
      <c r="H59" s="8" t="n"/>
      <c r="I59" s="8" t="n"/>
      <c r="L59">
        <f>IF(B59="business",COUNTIF($B$5:B59,"business"),"")</f>
        <v/>
      </c>
      <c r="M59">
        <f>IF(B59="cash_cycle",COUNTIF($B$5:B59,"cash_cycle"),"")</f>
        <v/>
      </c>
      <c r="N59">
        <f>IF(B59="finance_structure",COUNTIF($B$5:B59,"finance_structure"),"")</f>
        <v/>
      </c>
      <c r="O59">
        <f>IF(B59="planning",COUNTIF($B$5:B59,"planning"),"")</f>
        <v/>
      </c>
      <c r="P59">
        <f>IF(B59="tn_statutory",COUNTIF($B$5:B59,"tn_statutory"),"")</f>
        <v/>
      </c>
    </row>
    <row r="60">
      <c r="A60" s="8" t="n"/>
      <c r="B60" s="8" t="n"/>
      <c r="C60" s="8" t="n"/>
      <c r="D60" s="8" t="n"/>
      <c r="E60" s="8" t="n"/>
      <c r="F60" s="9" t="n"/>
      <c r="G60" s="8" t="n"/>
      <c r="H60" s="8" t="n"/>
      <c r="I60" s="8" t="n"/>
      <c r="L60">
        <f>IF(B60="business",COUNTIF($B$5:B60,"business"),"")</f>
        <v/>
      </c>
      <c r="M60">
        <f>IF(B60="cash_cycle",COUNTIF($B$5:B60,"cash_cycle"),"")</f>
        <v/>
      </c>
      <c r="N60">
        <f>IF(B60="finance_structure",COUNTIF($B$5:B60,"finance_structure"),"")</f>
        <v/>
      </c>
      <c r="O60">
        <f>IF(B60="planning",COUNTIF($B$5:B60,"planning"),"")</f>
        <v/>
      </c>
      <c r="P60">
        <f>IF(B60="tn_statutory",COUNTIF($B$5:B60,"tn_statutory"),"")</f>
        <v/>
      </c>
    </row>
    <row r="61">
      <c r="A61" s="8" t="n"/>
      <c r="B61" s="8" t="n"/>
      <c r="C61" s="8" t="n"/>
      <c r="D61" s="8" t="n"/>
      <c r="E61" s="8" t="n"/>
      <c r="F61" s="9" t="n"/>
      <c r="G61" s="8" t="n"/>
      <c r="H61" s="8" t="n"/>
      <c r="I61" s="8" t="n"/>
      <c r="L61">
        <f>IF(B61="business",COUNTIF($B$5:B61,"business"),"")</f>
        <v/>
      </c>
      <c r="M61">
        <f>IF(B61="cash_cycle",COUNTIF($B$5:B61,"cash_cycle"),"")</f>
        <v/>
      </c>
      <c r="N61">
        <f>IF(B61="finance_structure",COUNTIF($B$5:B61,"finance_structure"),"")</f>
        <v/>
      </c>
      <c r="O61">
        <f>IF(B61="planning",COUNTIF($B$5:B61,"planning"),"")</f>
        <v/>
      </c>
      <c r="P61">
        <f>IF(B61="tn_statutory",COUNTIF($B$5:B61,"tn_statutory"),"")</f>
        <v/>
      </c>
    </row>
    <row r="62">
      <c r="A62" s="8" t="n"/>
      <c r="B62" s="8" t="n"/>
      <c r="C62" s="8" t="n"/>
      <c r="D62" s="8" t="n"/>
      <c r="E62" s="8" t="n"/>
      <c r="F62" s="9" t="n"/>
      <c r="G62" s="8" t="n"/>
      <c r="H62" s="8" t="n"/>
      <c r="I62" s="8" t="n"/>
      <c r="L62">
        <f>IF(B62="business",COUNTIF($B$5:B62,"business"),"")</f>
        <v/>
      </c>
      <c r="M62">
        <f>IF(B62="cash_cycle",COUNTIF($B$5:B62,"cash_cycle"),"")</f>
        <v/>
      </c>
      <c r="N62">
        <f>IF(B62="finance_structure",COUNTIF($B$5:B62,"finance_structure"),"")</f>
        <v/>
      </c>
      <c r="O62">
        <f>IF(B62="planning",COUNTIF($B$5:B62,"planning"),"")</f>
        <v/>
      </c>
      <c r="P62">
        <f>IF(B62="tn_statutory",COUNTIF($B$5:B62,"tn_statutory"),"")</f>
        <v/>
      </c>
    </row>
    <row r="63">
      <c r="A63" s="8" t="n"/>
      <c r="B63" s="8" t="n"/>
      <c r="C63" s="8" t="n"/>
      <c r="D63" s="8" t="n"/>
      <c r="E63" s="8" t="n"/>
      <c r="F63" s="9" t="n"/>
      <c r="G63" s="8" t="n"/>
      <c r="H63" s="8" t="n"/>
      <c r="I63" s="8" t="n"/>
      <c r="L63">
        <f>IF(B63="business",COUNTIF($B$5:B63,"business"),"")</f>
        <v/>
      </c>
      <c r="M63">
        <f>IF(B63="cash_cycle",COUNTIF($B$5:B63,"cash_cycle"),"")</f>
        <v/>
      </c>
      <c r="N63">
        <f>IF(B63="finance_structure",COUNTIF($B$5:B63,"finance_structure"),"")</f>
        <v/>
      </c>
      <c r="O63">
        <f>IF(B63="planning",COUNTIF($B$5:B63,"planning"),"")</f>
        <v/>
      </c>
      <c r="P63">
        <f>IF(B63="tn_statutory",COUNTIF($B$5:B63,"tn_statutory"),"")</f>
        <v/>
      </c>
    </row>
    <row r="64">
      <c r="A64" s="8" t="n"/>
      <c r="B64" s="8" t="n"/>
      <c r="C64" s="8" t="n"/>
      <c r="D64" s="8" t="n"/>
      <c r="E64" s="8" t="n"/>
      <c r="F64" s="9" t="n"/>
      <c r="G64" s="8" t="n"/>
      <c r="H64" s="8" t="n"/>
      <c r="I64" s="8" t="n"/>
      <c r="L64">
        <f>IF(B64="business",COUNTIF($B$5:B64,"business"),"")</f>
        <v/>
      </c>
      <c r="M64">
        <f>IF(B64="cash_cycle",COUNTIF($B$5:B64,"cash_cycle"),"")</f>
        <v/>
      </c>
      <c r="N64">
        <f>IF(B64="finance_structure",COUNTIF($B$5:B64,"finance_structure"),"")</f>
        <v/>
      </c>
      <c r="O64">
        <f>IF(B64="planning",COUNTIF($B$5:B64,"planning"),"")</f>
        <v/>
      </c>
      <c r="P64">
        <f>IF(B64="tn_statutory",COUNTIF($B$5:B64,"tn_statutory"),"")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12" customWidth="1" min="8" max="8"/>
    <col width="100" customWidth="1" min="11" max="11"/>
  </cols>
  <sheetData>
    <row r="1">
      <c r="A1" s="1" t="inlineStr">
        <is>
          <t>Readiness and next questions</t>
        </is>
      </c>
      <c r="F1" t="inlineStr">
        <is>
          <t>INTAKE READY (core 11 keys known)</t>
        </is>
      </c>
      <c r="J1" s="5">
        <f>COUNTIF(G5:G15,TRUE)=11</f>
        <v/>
      </c>
    </row>
    <row r="2">
      <c r="A2" t="inlineStr">
        <is>
          <t>next-round topic</t>
        </is>
      </c>
      <c r="B2" s="6">
        <f>IFERROR(INDEX(C5:C20,MATCH(1,I5:I20,0)),"(none - all answered)")</f>
        <v/>
      </c>
      <c r="C2" t="inlineStr">
        <is>
          <t>question limit</t>
        </is>
      </c>
      <c r="D2" s="10" t="n">
        <v>3</v>
      </c>
    </row>
    <row r="3"/>
    <row r="4">
      <c r="A4" s="7" t="inlineStr">
        <is>
          <t>#</t>
        </is>
      </c>
      <c r="B4" s="7" t="inlineStr">
        <is>
          <t>key</t>
        </is>
      </c>
      <c r="C4" s="7" t="inlineStr">
        <is>
          <t>topic</t>
        </is>
      </c>
      <c r="D4" s="7" t="inlineStr">
        <is>
          <t>fact row</t>
        </is>
      </c>
      <c r="E4" s="7" t="inlineStr">
        <is>
          <t>status</t>
        </is>
      </c>
      <c r="F4" s="7" t="inlineStr">
        <is>
          <t>confidence</t>
        </is>
      </c>
      <c r="G4" s="7" t="inlineStr">
        <is>
          <t>known?</t>
        </is>
      </c>
      <c r="H4" s="7" t="inlineStr">
        <is>
          <t>pending reason</t>
        </is>
      </c>
      <c r="I4" s="7" t="inlineStr">
        <is>
          <t>pending order</t>
        </is>
      </c>
      <c r="J4" s="7" t="inlineStr">
        <is>
          <t>in next round?</t>
        </is>
      </c>
      <c r="K4" s="7" t="inlineStr">
        <is>
          <t>question to ask</t>
        </is>
      </c>
    </row>
    <row r="5">
      <c r="A5" s="6" t="n">
        <v>1</v>
      </c>
      <c r="B5" s="6">
        <f>QuestionBank!B5</f>
        <v/>
      </c>
      <c r="C5" s="6">
        <f>QuestionBank!C5</f>
        <v/>
      </c>
      <c r="D5" s="6">
        <f>IFERROR(MATCH(B5,Facts!$A$5:$A$64,0),"")</f>
        <v/>
      </c>
      <c r="E5" s="6">
        <f>IF(D5="","",LOWER(INDEX(Facts!$E$5:$E$64,D5)))</f>
        <v/>
      </c>
      <c r="F5" s="11">
        <f>IF(D5="","",INDEX(Facts!$F$5:$F$64,D5))</f>
        <v/>
      </c>
      <c r="G5" s="6">
        <f>IF(D5="",FALSE,AND(E5&lt;&gt;"conflict",OR(E5="confirmed",F5&gt;=0.7)))</f>
        <v/>
      </c>
      <c r="H5" s="6">
        <f>IF(D5="","missing",IF(E5="conflict","conflict",IF(AND(E5="inferred",F5&lt;0.7),"confirm","")))</f>
        <v/>
      </c>
      <c r="I5" s="6">
        <f>IF(H5="","",SUMPRODUCT(($H$5:H5&lt;&gt;"")*1))</f>
        <v/>
      </c>
      <c r="J5" s="6">
        <f>IF(H5="",FALSE,AND(C5=$B$2,SUMPRODUCT(($C$5:C5=$B$2)*($H$5:H5&lt;&gt;""))&lt;=$D$2))</f>
        <v/>
      </c>
      <c r="K5" s="6">
        <f>IF(H5="missing",QuestionBank!D5,IF(H5="conflict","I found conflicting answers for this: '"&amp;INDEX(Facts!$D$5:$D$64,D5)&amp;"' and '"&amp;SUBSTITUTE(INDEX(Facts!$I$5:$I$64,D5),"; ","', '")&amp;"'. Which is correct?",IF(H5="confirm","I inferred '"&amp;INDEX(Facts!$D$5:$D$64,D5)&amp;"'. Is that accurate?","")))</f>
        <v/>
      </c>
      <c r="L5">
        <f>IF(J5,ROW()-4,"")</f>
        <v/>
      </c>
    </row>
    <row r="6">
      <c r="A6" s="6" t="n">
        <v>2</v>
      </c>
      <c r="B6" s="6">
        <f>QuestionBank!B6</f>
        <v/>
      </c>
      <c r="C6" s="6">
        <f>QuestionBank!C6</f>
        <v/>
      </c>
      <c r="D6" s="6">
        <f>IFERROR(MATCH(B6,Facts!$A$5:$A$64,0),"")</f>
        <v/>
      </c>
      <c r="E6" s="6">
        <f>IF(D6="","",LOWER(INDEX(Facts!$E$5:$E$64,D6)))</f>
        <v/>
      </c>
      <c r="F6" s="11">
        <f>IF(D6="","",INDEX(Facts!$F$5:$F$64,D6))</f>
        <v/>
      </c>
      <c r="G6" s="6">
        <f>IF(D6="",FALSE,AND(E6&lt;&gt;"conflict",OR(E6="confirmed",F6&gt;=0.7)))</f>
        <v/>
      </c>
      <c r="H6" s="6">
        <f>IF(D6="","missing",IF(E6="conflict","conflict",IF(AND(E6="inferred",F6&lt;0.7),"confirm","")))</f>
        <v/>
      </c>
      <c r="I6" s="6">
        <f>IF(H6="","",SUMPRODUCT(($H$5:H6&lt;&gt;"")*1))</f>
        <v/>
      </c>
      <c r="J6" s="6">
        <f>IF(H6="",FALSE,AND(C6=$B$2,SUMPRODUCT(($C$5:C6=$B$2)*($H$5:H6&lt;&gt;""))&lt;=$D$2))</f>
        <v/>
      </c>
      <c r="K6" s="6">
        <f>IF(H6="missing",QuestionBank!D6,IF(H6="conflict","I found conflicting answers for this: '"&amp;INDEX(Facts!$D$5:$D$64,D6)&amp;"' and '"&amp;SUBSTITUTE(INDEX(Facts!$I$5:$I$64,D6),"; ","', '")&amp;"'. Which is correct?",IF(H6="confirm","I inferred '"&amp;INDEX(Facts!$D$5:$D$64,D6)&amp;"'. Is that accurate?","")))</f>
        <v/>
      </c>
      <c r="L6">
        <f>IF(J6,ROW()-4,"")</f>
        <v/>
      </c>
    </row>
    <row r="7">
      <c r="A7" s="6" t="n">
        <v>3</v>
      </c>
      <c r="B7" s="6">
        <f>QuestionBank!B7</f>
        <v/>
      </c>
      <c r="C7" s="6">
        <f>QuestionBank!C7</f>
        <v/>
      </c>
      <c r="D7" s="6">
        <f>IFERROR(MATCH(B7,Facts!$A$5:$A$64,0),"")</f>
        <v/>
      </c>
      <c r="E7" s="6">
        <f>IF(D7="","",LOWER(INDEX(Facts!$E$5:$E$64,D7)))</f>
        <v/>
      </c>
      <c r="F7" s="11">
        <f>IF(D7="","",INDEX(Facts!$F$5:$F$64,D7))</f>
        <v/>
      </c>
      <c r="G7" s="6">
        <f>IF(D7="",FALSE,AND(E7&lt;&gt;"conflict",OR(E7="confirmed",F7&gt;=0.7)))</f>
        <v/>
      </c>
      <c r="H7" s="6">
        <f>IF(D7="","missing",IF(E7="conflict","conflict",IF(AND(E7="inferred",F7&lt;0.7),"confirm","")))</f>
        <v/>
      </c>
      <c r="I7" s="6">
        <f>IF(H7="","",SUMPRODUCT(($H$5:H7&lt;&gt;"")*1))</f>
        <v/>
      </c>
      <c r="J7" s="6">
        <f>IF(H7="",FALSE,AND(C7=$B$2,SUMPRODUCT(($C$5:C7=$B$2)*($H$5:H7&lt;&gt;""))&lt;=$D$2))</f>
        <v/>
      </c>
      <c r="K7" s="6">
        <f>IF(H7="missing",QuestionBank!D7,IF(H7="conflict","I found conflicting answers for this: '"&amp;INDEX(Facts!$D$5:$D$64,D7)&amp;"' and '"&amp;SUBSTITUTE(INDEX(Facts!$I$5:$I$64,D7),"; ","', '")&amp;"'. Which is correct?",IF(H7="confirm","I inferred '"&amp;INDEX(Facts!$D$5:$D$64,D7)&amp;"'. Is that accurate?","")))</f>
        <v/>
      </c>
      <c r="L7">
        <f>IF(J7,ROW()-4,"")</f>
        <v/>
      </c>
    </row>
    <row r="8">
      <c r="A8" s="6" t="n">
        <v>4</v>
      </c>
      <c r="B8" s="6">
        <f>QuestionBank!B8</f>
        <v/>
      </c>
      <c r="C8" s="6">
        <f>QuestionBank!C8</f>
        <v/>
      </c>
      <c r="D8" s="6">
        <f>IFERROR(MATCH(B8,Facts!$A$5:$A$64,0),"")</f>
        <v/>
      </c>
      <c r="E8" s="6">
        <f>IF(D8="","",LOWER(INDEX(Facts!$E$5:$E$64,D8)))</f>
        <v/>
      </c>
      <c r="F8" s="11">
        <f>IF(D8="","",INDEX(Facts!$F$5:$F$64,D8))</f>
        <v/>
      </c>
      <c r="G8" s="6">
        <f>IF(D8="",FALSE,AND(E8&lt;&gt;"conflict",OR(E8="confirmed",F8&gt;=0.7)))</f>
        <v/>
      </c>
      <c r="H8" s="6">
        <f>IF(D8="","missing",IF(E8="conflict","conflict",IF(AND(E8="inferred",F8&lt;0.7),"confirm","")))</f>
        <v/>
      </c>
      <c r="I8" s="6">
        <f>IF(H8="","",SUMPRODUCT(($H$5:H8&lt;&gt;"")*1))</f>
        <v/>
      </c>
      <c r="J8" s="6">
        <f>IF(H8="",FALSE,AND(C8=$B$2,SUMPRODUCT(($C$5:C8=$B$2)*($H$5:H8&lt;&gt;""))&lt;=$D$2))</f>
        <v/>
      </c>
      <c r="K8" s="6">
        <f>IF(H8="missing",QuestionBank!D8,IF(H8="conflict","I found conflicting answers for this: '"&amp;INDEX(Facts!$D$5:$D$64,D8)&amp;"' and '"&amp;SUBSTITUTE(INDEX(Facts!$I$5:$I$64,D8),"; ","', '")&amp;"'. Which is correct?",IF(H8="confirm","I inferred '"&amp;INDEX(Facts!$D$5:$D$64,D8)&amp;"'. Is that accurate?","")))</f>
        <v/>
      </c>
      <c r="L8">
        <f>IF(J8,ROW()-4,"")</f>
        <v/>
      </c>
    </row>
    <row r="9">
      <c r="A9" s="6" t="n">
        <v>5</v>
      </c>
      <c r="B9" s="6">
        <f>QuestionBank!B9</f>
        <v/>
      </c>
      <c r="C9" s="6">
        <f>QuestionBank!C9</f>
        <v/>
      </c>
      <c r="D9" s="6">
        <f>IFERROR(MATCH(B9,Facts!$A$5:$A$64,0),"")</f>
        <v/>
      </c>
      <c r="E9" s="6">
        <f>IF(D9="","",LOWER(INDEX(Facts!$E$5:$E$64,D9)))</f>
        <v/>
      </c>
      <c r="F9" s="11">
        <f>IF(D9="","",INDEX(Facts!$F$5:$F$64,D9))</f>
        <v/>
      </c>
      <c r="G9" s="6">
        <f>IF(D9="",FALSE,AND(E9&lt;&gt;"conflict",OR(E9="confirmed",F9&gt;=0.7)))</f>
        <v/>
      </c>
      <c r="H9" s="6">
        <f>IF(D9="","missing",IF(E9="conflict","conflict",IF(AND(E9="inferred",F9&lt;0.7),"confirm","")))</f>
        <v/>
      </c>
      <c r="I9" s="6">
        <f>IF(H9="","",SUMPRODUCT(($H$5:H9&lt;&gt;"")*1))</f>
        <v/>
      </c>
      <c r="J9" s="6">
        <f>IF(H9="",FALSE,AND(C9=$B$2,SUMPRODUCT(($C$5:C9=$B$2)*($H$5:H9&lt;&gt;""))&lt;=$D$2))</f>
        <v/>
      </c>
      <c r="K9" s="6">
        <f>IF(H9="missing",QuestionBank!D9,IF(H9="conflict","I found conflicting answers for this: '"&amp;INDEX(Facts!$D$5:$D$64,D9)&amp;"' and '"&amp;SUBSTITUTE(INDEX(Facts!$I$5:$I$64,D9),"; ","', '")&amp;"'. Which is correct?",IF(H9="confirm","I inferred '"&amp;INDEX(Facts!$D$5:$D$64,D9)&amp;"'. Is that accurate?","")))</f>
        <v/>
      </c>
      <c r="L9">
        <f>IF(J9,ROW()-4,"")</f>
        <v/>
      </c>
    </row>
    <row r="10">
      <c r="A10" s="6" t="n">
        <v>6</v>
      </c>
      <c r="B10" s="6">
        <f>QuestionBank!B10</f>
        <v/>
      </c>
      <c r="C10" s="6">
        <f>QuestionBank!C10</f>
        <v/>
      </c>
      <c r="D10" s="6">
        <f>IFERROR(MATCH(B10,Facts!$A$5:$A$64,0),"")</f>
        <v/>
      </c>
      <c r="E10" s="6">
        <f>IF(D10="","",LOWER(INDEX(Facts!$E$5:$E$64,D10)))</f>
        <v/>
      </c>
      <c r="F10" s="11">
        <f>IF(D10="","",INDEX(Facts!$F$5:$F$64,D10))</f>
        <v/>
      </c>
      <c r="G10" s="6">
        <f>IF(D10="",FALSE,AND(E10&lt;&gt;"conflict",OR(E10="confirmed",F10&gt;=0.7)))</f>
        <v/>
      </c>
      <c r="H10" s="6">
        <f>IF(D10="","missing",IF(E10="conflict","conflict",IF(AND(E10="inferred",F10&lt;0.7),"confirm","")))</f>
        <v/>
      </c>
      <c r="I10" s="6">
        <f>IF(H10="","",SUMPRODUCT(($H$5:H10&lt;&gt;"")*1))</f>
        <v/>
      </c>
      <c r="J10" s="6">
        <f>IF(H10="",FALSE,AND(C10=$B$2,SUMPRODUCT(($C$5:C10=$B$2)*($H$5:H10&lt;&gt;""))&lt;=$D$2))</f>
        <v/>
      </c>
      <c r="K10" s="6">
        <f>IF(H10="missing",QuestionBank!D10,IF(H10="conflict","I found conflicting answers for this: '"&amp;INDEX(Facts!$D$5:$D$64,D10)&amp;"' and '"&amp;SUBSTITUTE(INDEX(Facts!$I$5:$I$64,D10),"; ","', '")&amp;"'. Which is correct?",IF(H10="confirm","I inferred '"&amp;INDEX(Facts!$D$5:$D$64,D10)&amp;"'. Is that accurate?","")))</f>
        <v/>
      </c>
      <c r="L10">
        <f>IF(J10,ROW()-4,"")</f>
        <v/>
      </c>
    </row>
    <row r="11">
      <c r="A11" s="6" t="n">
        <v>7</v>
      </c>
      <c r="B11" s="6">
        <f>QuestionBank!B11</f>
        <v/>
      </c>
      <c r="C11" s="6">
        <f>QuestionBank!C11</f>
        <v/>
      </c>
      <c r="D11" s="6">
        <f>IFERROR(MATCH(B11,Facts!$A$5:$A$64,0),"")</f>
        <v/>
      </c>
      <c r="E11" s="6">
        <f>IF(D11="","",LOWER(INDEX(Facts!$E$5:$E$64,D11)))</f>
        <v/>
      </c>
      <c r="F11" s="11">
        <f>IF(D11="","",INDEX(Facts!$F$5:$F$64,D11))</f>
        <v/>
      </c>
      <c r="G11" s="6">
        <f>IF(D11="",FALSE,AND(E11&lt;&gt;"conflict",OR(E11="confirmed",F11&gt;=0.7)))</f>
        <v/>
      </c>
      <c r="H11" s="6">
        <f>IF(D11="","missing",IF(E11="conflict","conflict",IF(AND(E11="inferred",F11&lt;0.7),"confirm","")))</f>
        <v/>
      </c>
      <c r="I11" s="6">
        <f>IF(H11="","",SUMPRODUCT(($H$5:H11&lt;&gt;"")*1))</f>
        <v/>
      </c>
      <c r="J11" s="6">
        <f>IF(H11="",FALSE,AND(C11=$B$2,SUMPRODUCT(($C$5:C11=$B$2)*($H$5:H11&lt;&gt;""))&lt;=$D$2))</f>
        <v/>
      </c>
      <c r="K11" s="6">
        <f>IF(H11="missing",QuestionBank!D11,IF(H11="conflict","I found conflicting answers for this: '"&amp;INDEX(Facts!$D$5:$D$64,D11)&amp;"' and '"&amp;SUBSTITUTE(INDEX(Facts!$I$5:$I$64,D11),"; ","', '")&amp;"'. Which is correct?",IF(H11="confirm","I inferred '"&amp;INDEX(Facts!$D$5:$D$64,D11)&amp;"'. Is that accurate?","")))</f>
        <v/>
      </c>
      <c r="L11">
        <f>IF(J11,ROW()-4,"")</f>
        <v/>
      </c>
    </row>
    <row r="12">
      <c r="A12" s="6" t="n">
        <v>8</v>
      </c>
      <c r="B12" s="6">
        <f>QuestionBank!B12</f>
        <v/>
      </c>
      <c r="C12" s="6">
        <f>QuestionBank!C12</f>
        <v/>
      </c>
      <c r="D12" s="6">
        <f>IFERROR(MATCH(B12,Facts!$A$5:$A$64,0),"")</f>
        <v/>
      </c>
      <c r="E12" s="6">
        <f>IF(D12="","",LOWER(INDEX(Facts!$E$5:$E$64,D12)))</f>
        <v/>
      </c>
      <c r="F12" s="11">
        <f>IF(D12="","",INDEX(Facts!$F$5:$F$64,D12))</f>
        <v/>
      </c>
      <c r="G12" s="6">
        <f>IF(D12="",FALSE,AND(E12&lt;&gt;"conflict",OR(E12="confirmed",F12&gt;=0.7)))</f>
        <v/>
      </c>
      <c r="H12" s="6">
        <f>IF(D12="","missing",IF(E12="conflict","conflict",IF(AND(E12="inferred",F12&lt;0.7),"confirm","")))</f>
        <v/>
      </c>
      <c r="I12" s="6">
        <f>IF(H12="","",SUMPRODUCT(($H$5:H12&lt;&gt;"")*1))</f>
        <v/>
      </c>
      <c r="J12" s="6">
        <f>IF(H12="",FALSE,AND(C12=$B$2,SUMPRODUCT(($C$5:C12=$B$2)*($H$5:H12&lt;&gt;""))&lt;=$D$2))</f>
        <v/>
      </c>
      <c r="K12" s="6">
        <f>IF(H12="missing",QuestionBank!D12,IF(H12="conflict","I found conflicting answers for this: '"&amp;INDEX(Facts!$D$5:$D$64,D12)&amp;"' and '"&amp;SUBSTITUTE(INDEX(Facts!$I$5:$I$64,D12),"; ","', '")&amp;"'. Which is correct?",IF(H12="confirm","I inferred '"&amp;INDEX(Facts!$D$5:$D$64,D12)&amp;"'. Is that accurate?","")))</f>
        <v/>
      </c>
      <c r="L12">
        <f>IF(J12,ROW()-4,"")</f>
        <v/>
      </c>
    </row>
    <row r="13">
      <c r="A13" s="6" t="n">
        <v>9</v>
      </c>
      <c r="B13" s="6">
        <f>QuestionBank!B13</f>
        <v/>
      </c>
      <c r="C13" s="6">
        <f>QuestionBank!C13</f>
        <v/>
      </c>
      <c r="D13" s="6">
        <f>IFERROR(MATCH(B13,Facts!$A$5:$A$64,0),"")</f>
        <v/>
      </c>
      <c r="E13" s="6">
        <f>IF(D13="","",LOWER(INDEX(Facts!$E$5:$E$64,D13)))</f>
        <v/>
      </c>
      <c r="F13" s="11">
        <f>IF(D13="","",INDEX(Facts!$F$5:$F$64,D13))</f>
        <v/>
      </c>
      <c r="G13" s="6">
        <f>IF(D13="",FALSE,AND(E13&lt;&gt;"conflict",OR(E13="confirmed",F13&gt;=0.7)))</f>
        <v/>
      </c>
      <c r="H13" s="6">
        <f>IF(D13="","missing",IF(E13="conflict","conflict",IF(AND(E13="inferred",F13&lt;0.7),"confirm","")))</f>
        <v/>
      </c>
      <c r="I13" s="6">
        <f>IF(H13="","",SUMPRODUCT(($H$5:H13&lt;&gt;"")*1))</f>
        <v/>
      </c>
      <c r="J13" s="6">
        <f>IF(H13="",FALSE,AND(C13=$B$2,SUMPRODUCT(($C$5:C13=$B$2)*($H$5:H13&lt;&gt;""))&lt;=$D$2))</f>
        <v/>
      </c>
      <c r="K13" s="6">
        <f>IF(H13="missing",QuestionBank!D13,IF(H13="conflict","I found conflicting answers for this: '"&amp;INDEX(Facts!$D$5:$D$64,D13)&amp;"' and '"&amp;SUBSTITUTE(INDEX(Facts!$I$5:$I$64,D13),"; ","', '")&amp;"'. Which is correct?",IF(H13="confirm","I inferred '"&amp;INDEX(Facts!$D$5:$D$64,D13)&amp;"'. Is that accurate?","")))</f>
        <v/>
      </c>
      <c r="L13">
        <f>IF(J13,ROW()-4,"")</f>
        <v/>
      </c>
    </row>
    <row r="14">
      <c r="A14" s="6" t="n">
        <v>10</v>
      </c>
      <c r="B14" s="6">
        <f>QuestionBank!B14</f>
        <v/>
      </c>
      <c r="C14" s="6">
        <f>QuestionBank!C14</f>
        <v/>
      </c>
      <c r="D14" s="6">
        <f>IFERROR(MATCH(B14,Facts!$A$5:$A$64,0),"")</f>
        <v/>
      </c>
      <c r="E14" s="6">
        <f>IF(D14="","",LOWER(INDEX(Facts!$E$5:$E$64,D14)))</f>
        <v/>
      </c>
      <c r="F14" s="11">
        <f>IF(D14="","",INDEX(Facts!$F$5:$F$64,D14))</f>
        <v/>
      </c>
      <c r="G14" s="6">
        <f>IF(D14="",FALSE,AND(E14&lt;&gt;"conflict",OR(E14="confirmed",F14&gt;=0.7)))</f>
        <v/>
      </c>
      <c r="H14" s="6">
        <f>IF(D14="","missing",IF(E14="conflict","conflict",IF(AND(E14="inferred",F14&lt;0.7),"confirm","")))</f>
        <v/>
      </c>
      <c r="I14" s="6">
        <f>IF(H14="","",SUMPRODUCT(($H$5:H14&lt;&gt;"")*1))</f>
        <v/>
      </c>
      <c r="J14" s="6">
        <f>IF(H14="",FALSE,AND(C14=$B$2,SUMPRODUCT(($C$5:C14=$B$2)*($H$5:H14&lt;&gt;""))&lt;=$D$2))</f>
        <v/>
      </c>
      <c r="K14" s="6">
        <f>IF(H14="missing",QuestionBank!D14,IF(H14="conflict","I found conflicting answers for this: '"&amp;INDEX(Facts!$D$5:$D$64,D14)&amp;"' and '"&amp;SUBSTITUTE(INDEX(Facts!$I$5:$I$64,D14),"; ","', '")&amp;"'. Which is correct?",IF(H14="confirm","I inferred '"&amp;INDEX(Facts!$D$5:$D$64,D14)&amp;"'. Is that accurate?","")))</f>
        <v/>
      </c>
      <c r="L14">
        <f>IF(J14,ROW()-4,"")</f>
        <v/>
      </c>
    </row>
    <row r="15">
      <c r="A15" s="6" t="n">
        <v>11</v>
      </c>
      <c r="B15" s="6">
        <f>QuestionBank!B15</f>
        <v/>
      </c>
      <c r="C15" s="6">
        <f>QuestionBank!C15</f>
        <v/>
      </c>
      <c r="D15" s="6">
        <f>IFERROR(MATCH(B15,Facts!$A$5:$A$64,0),"")</f>
        <v/>
      </c>
      <c r="E15" s="6">
        <f>IF(D15="","",LOWER(INDEX(Facts!$E$5:$E$64,D15)))</f>
        <v/>
      </c>
      <c r="F15" s="11">
        <f>IF(D15="","",INDEX(Facts!$F$5:$F$64,D15))</f>
        <v/>
      </c>
      <c r="G15" s="6">
        <f>IF(D15="",FALSE,AND(E15&lt;&gt;"conflict",OR(E15="confirmed",F15&gt;=0.7)))</f>
        <v/>
      </c>
      <c r="H15" s="6">
        <f>IF(D15="","missing",IF(E15="conflict","conflict",IF(AND(E15="inferred",F15&lt;0.7),"confirm","")))</f>
        <v/>
      </c>
      <c r="I15" s="6">
        <f>IF(H15="","",SUMPRODUCT(($H$5:H15&lt;&gt;"")*1))</f>
        <v/>
      </c>
      <c r="J15" s="6">
        <f>IF(H15="",FALSE,AND(C15=$B$2,SUMPRODUCT(($C$5:C15=$B$2)*($H$5:H15&lt;&gt;""))&lt;=$D$2))</f>
        <v/>
      </c>
      <c r="K15" s="6">
        <f>IF(H15="missing",QuestionBank!D15,IF(H15="conflict","I found conflicting answers for this: '"&amp;INDEX(Facts!$D$5:$D$64,D15)&amp;"' and '"&amp;SUBSTITUTE(INDEX(Facts!$I$5:$I$64,D15),"; ","', '")&amp;"'. Which is correct?",IF(H15="confirm","I inferred '"&amp;INDEX(Facts!$D$5:$D$64,D15)&amp;"'. Is that accurate?","")))</f>
        <v/>
      </c>
      <c r="L15">
        <f>IF(J15,ROW()-4,"")</f>
        <v/>
      </c>
    </row>
    <row r="16">
      <c r="A16" s="6" t="n">
        <v>12</v>
      </c>
      <c r="B16" s="6">
        <f>QuestionBank!B16</f>
        <v/>
      </c>
      <c r="C16" s="6">
        <f>QuestionBank!C16</f>
        <v/>
      </c>
      <c r="D16" s="6">
        <f>IFERROR(MATCH(B16,Facts!$A$5:$A$64,0),"")</f>
        <v/>
      </c>
      <c r="E16" s="6">
        <f>IF(D16="","",LOWER(INDEX(Facts!$E$5:$E$64,D16)))</f>
        <v/>
      </c>
      <c r="F16" s="11">
        <f>IF(D16="","",INDEX(Facts!$F$5:$F$64,D16))</f>
        <v/>
      </c>
      <c r="G16" s="6">
        <f>IF(D16="",FALSE,AND(E16&lt;&gt;"conflict",OR(E16="confirmed",F16&gt;=0.7)))</f>
        <v/>
      </c>
      <c r="H16" s="6">
        <f>IF(D16="","missing",IF(E16="conflict","conflict",IF(AND(E16="inferred",F16&lt;0.7),"confirm","")))</f>
        <v/>
      </c>
      <c r="I16" s="6">
        <f>IF(H16="","",SUMPRODUCT(($H$5:H16&lt;&gt;"")*1))</f>
        <v/>
      </c>
      <c r="J16" s="6">
        <f>IF(H16="",FALSE,AND(C16=$B$2,SUMPRODUCT(($C$5:C16=$B$2)*($H$5:H16&lt;&gt;""))&lt;=$D$2))</f>
        <v/>
      </c>
      <c r="K16" s="6">
        <f>IF(H16="missing",QuestionBank!D16,IF(H16="conflict","I found conflicting answers for this: '"&amp;INDEX(Facts!$D$5:$D$64,D16)&amp;"' and '"&amp;SUBSTITUTE(INDEX(Facts!$I$5:$I$64,D16),"; ","', '")&amp;"'. Which is correct?",IF(H16="confirm","I inferred '"&amp;INDEX(Facts!$D$5:$D$64,D16)&amp;"'. Is that accurate?","")))</f>
        <v/>
      </c>
      <c r="L16">
        <f>IF(J16,ROW()-4,"")</f>
        <v/>
      </c>
    </row>
    <row r="17">
      <c r="A17" s="6" t="n">
        <v>13</v>
      </c>
      <c r="B17" s="6">
        <f>QuestionBank!B17</f>
        <v/>
      </c>
      <c r="C17" s="6">
        <f>QuestionBank!C17</f>
        <v/>
      </c>
      <c r="D17" s="6">
        <f>IFERROR(MATCH(B17,Facts!$A$5:$A$64,0),"")</f>
        <v/>
      </c>
      <c r="E17" s="6">
        <f>IF(D17="","",LOWER(INDEX(Facts!$E$5:$E$64,D17)))</f>
        <v/>
      </c>
      <c r="F17" s="11">
        <f>IF(D17="","",INDEX(Facts!$F$5:$F$64,D17))</f>
        <v/>
      </c>
      <c r="G17" s="6">
        <f>IF(D17="",FALSE,AND(E17&lt;&gt;"conflict",OR(E17="confirmed",F17&gt;=0.7)))</f>
        <v/>
      </c>
      <c r="H17" s="6">
        <f>IF(D17="","missing",IF(E17="conflict","conflict",IF(AND(E17="inferred",F17&lt;0.7),"confirm","")))</f>
        <v/>
      </c>
      <c r="I17" s="6">
        <f>IF(H17="","",SUMPRODUCT(($H$5:H17&lt;&gt;"")*1))</f>
        <v/>
      </c>
      <c r="J17" s="6">
        <f>IF(H17="",FALSE,AND(C17=$B$2,SUMPRODUCT(($C$5:C17=$B$2)*($H$5:H17&lt;&gt;""))&lt;=$D$2))</f>
        <v/>
      </c>
      <c r="K17" s="6">
        <f>IF(H17="missing",QuestionBank!D17,IF(H17="conflict","I found conflicting answers for this: '"&amp;INDEX(Facts!$D$5:$D$64,D17)&amp;"' and '"&amp;SUBSTITUTE(INDEX(Facts!$I$5:$I$64,D17),"; ","', '")&amp;"'. Which is correct?",IF(H17="confirm","I inferred '"&amp;INDEX(Facts!$D$5:$D$64,D17)&amp;"'. Is that accurate?","")))</f>
        <v/>
      </c>
      <c r="L17">
        <f>IF(J17,ROW()-4,"")</f>
        <v/>
      </c>
    </row>
    <row r="18">
      <c r="A18" s="6" t="n">
        <v>14</v>
      </c>
      <c r="B18" s="6">
        <f>QuestionBank!B18</f>
        <v/>
      </c>
      <c r="C18" s="6">
        <f>QuestionBank!C18</f>
        <v/>
      </c>
      <c r="D18" s="6">
        <f>IFERROR(MATCH(B18,Facts!$A$5:$A$64,0),"")</f>
        <v/>
      </c>
      <c r="E18" s="6">
        <f>IF(D18="","",LOWER(INDEX(Facts!$E$5:$E$64,D18)))</f>
        <v/>
      </c>
      <c r="F18" s="11">
        <f>IF(D18="","",INDEX(Facts!$F$5:$F$64,D18))</f>
        <v/>
      </c>
      <c r="G18" s="6">
        <f>IF(D18="",FALSE,AND(E18&lt;&gt;"conflict",OR(E18="confirmed",F18&gt;=0.7)))</f>
        <v/>
      </c>
      <c r="H18" s="6">
        <f>IF(D18="","missing",IF(E18="conflict","conflict",IF(AND(E18="inferred",F18&lt;0.7),"confirm","")))</f>
        <v/>
      </c>
      <c r="I18" s="6">
        <f>IF(H18="","",SUMPRODUCT(($H$5:H18&lt;&gt;"")*1))</f>
        <v/>
      </c>
      <c r="J18" s="6">
        <f>IF(H18="",FALSE,AND(C18=$B$2,SUMPRODUCT(($C$5:C18=$B$2)*($H$5:H18&lt;&gt;""))&lt;=$D$2))</f>
        <v/>
      </c>
      <c r="K18" s="6">
        <f>IF(H18="missing",QuestionBank!D18,IF(H18="conflict","I found conflicting answers for this: '"&amp;INDEX(Facts!$D$5:$D$64,D18)&amp;"' and '"&amp;SUBSTITUTE(INDEX(Facts!$I$5:$I$64,D18),"; ","', '")&amp;"'. Which is correct?",IF(H18="confirm","I inferred '"&amp;INDEX(Facts!$D$5:$D$64,D18)&amp;"'. Is that accurate?","")))</f>
        <v/>
      </c>
      <c r="L18">
        <f>IF(J18,ROW()-4,"")</f>
        <v/>
      </c>
    </row>
    <row r="19">
      <c r="A19" s="6" t="n">
        <v>15</v>
      </c>
      <c r="B19" s="6">
        <f>QuestionBank!B19</f>
        <v/>
      </c>
      <c r="C19" s="6">
        <f>QuestionBank!C19</f>
        <v/>
      </c>
      <c r="D19" s="6">
        <f>IFERROR(MATCH(B19,Facts!$A$5:$A$64,0),"")</f>
        <v/>
      </c>
      <c r="E19" s="6">
        <f>IF(D19="","",LOWER(INDEX(Facts!$E$5:$E$64,D19)))</f>
        <v/>
      </c>
      <c r="F19" s="11">
        <f>IF(D19="","",INDEX(Facts!$F$5:$F$64,D19))</f>
        <v/>
      </c>
      <c r="G19" s="6">
        <f>IF(D19="",FALSE,AND(E19&lt;&gt;"conflict",OR(E19="confirmed",F19&gt;=0.7)))</f>
        <v/>
      </c>
      <c r="H19" s="6">
        <f>IF(D19="","missing",IF(E19="conflict","conflict",IF(AND(E19="inferred",F19&lt;0.7),"confirm","")))</f>
        <v/>
      </c>
      <c r="I19" s="6">
        <f>IF(H19="","",SUMPRODUCT(($H$5:H19&lt;&gt;"")*1))</f>
        <v/>
      </c>
      <c r="J19" s="6">
        <f>IF(H19="",FALSE,AND(C19=$B$2,SUMPRODUCT(($C$5:C19=$B$2)*($H$5:H19&lt;&gt;""))&lt;=$D$2))</f>
        <v/>
      </c>
      <c r="K19" s="6">
        <f>IF(H19="missing",QuestionBank!D19,IF(H19="conflict","I found conflicting answers for this: '"&amp;INDEX(Facts!$D$5:$D$64,D19)&amp;"' and '"&amp;SUBSTITUTE(INDEX(Facts!$I$5:$I$64,D19),"; ","', '")&amp;"'. Which is correct?",IF(H19="confirm","I inferred '"&amp;INDEX(Facts!$D$5:$D$64,D19)&amp;"'. Is that accurate?","")))</f>
        <v/>
      </c>
      <c r="L19">
        <f>IF(J19,ROW()-4,"")</f>
        <v/>
      </c>
    </row>
    <row r="20">
      <c r="A20" s="6" t="n">
        <v>16</v>
      </c>
      <c r="B20" s="6">
        <f>QuestionBank!B20</f>
        <v/>
      </c>
      <c r="C20" s="6">
        <f>QuestionBank!C20</f>
        <v/>
      </c>
      <c r="D20" s="6">
        <f>IFERROR(MATCH(B20,Facts!$A$5:$A$64,0),"")</f>
        <v/>
      </c>
      <c r="E20" s="6">
        <f>IF(D20="","",LOWER(INDEX(Facts!$E$5:$E$64,D20)))</f>
        <v/>
      </c>
      <c r="F20" s="11">
        <f>IF(D20="","",INDEX(Facts!$F$5:$F$64,D20))</f>
        <v/>
      </c>
      <c r="G20" s="6">
        <f>IF(D20="",FALSE,AND(E20&lt;&gt;"conflict",OR(E20="confirmed",F20&gt;=0.7)))</f>
        <v/>
      </c>
      <c r="H20" s="6">
        <f>IF(D20="","missing",IF(E20="conflict","conflict",IF(AND(E20="inferred",F20&lt;0.7),"confirm","")))</f>
        <v/>
      </c>
      <c r="I20" s="6">
        <f>IF(H20="","",SUMPRODUCT(($H$5:H20&lt;&gt;"")*1))</f>
        <v/>
      </c>
      <c r="J20" s="6">
        <f>IF(H20="",FALSE,AND(C20=$B$2,SUMPRODUCT(($C$5:C20=$B$2)*($H$5:H20&lt;&gt;""))&lt;=$D$2))</f>
        <v/>
      </c>
      <c r="K20" s="6">
        <f>IF(H20="missing",QuestionBank!D20,IF(H20="conflict","I found conflicting answers for this: '"&amp;INDEX(Facts!$D$5:$D$64,D20)&amp;"' and '"&amp;SUBSTITUTE(INDEX(Facts!$I$5:$I$64,D20),"; ","', '")&amp;"'. Which is correct?",IF(H20="confirm","I inferred '"&amp;INDEX(Facts!$D$5:$D$64,D20)&amp;"'. Is that accurate?","")))</f>
        <v/>
      </c>
      <c r="L20">
        <f>IF(J20,ROW()-4,"")</f>
        <v/>
      </c>
    </row>
    <row r="21"/>
    <row r="22"/>
    <row r="23">
      <c r="A23" s="7" t="inlineStr">
        <is>
          <t>Next round (ask these, max 3, one topic)</t>
        </is>
      </c>
    </row>
    <row r="24">
      <c r="A24" s="6">
        <f>IFERROR(INDEX($K$5:$K$20,SMALL($L$5:$L$20,1)),"")</f>
        <v/>
      </c>
    </row>
    <row r="25">
      <c r="A25" s="6">
        <f>IFERROR(INDEX($K$5:$K$20,SMALL($L$5:$L$20,2)),"")</f>
        <v/>
      </c>
    </row>
    <row r="26">
      <c r="A26" s="6">
        <f>IFERROR(INDEX($K$5:$K$20,SMALL($L$5:$L$20,3)),"")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2" customWidth="1" min="1" max="1"/>
    <col width="80" customWidth="1" min="2" max="2"/>
    <col width="10" customWidth="1" min="3" max="3"/>
  </cols>
  <sheetData>
    <row r="1">
      <c r="A1" s="1" t="inlineStr">
        <is>
          <t>RecordFact - progressive-authority rule for one new piece of evidence (intake-record)</t>
        </is>
      </c>
    </row>
    <row r="2"/>
    <row r="3"/>
    <row r="4">
      <c r="A4" t="inlineStr">
        <is>
          <t>key</t>
        </is>
      </c>
      <c r="B4" s="8" t="n"/>
    </row>
    <row r="5">
      <c r="A5" t="inlineStr">
        <is>
          <t>new answer</t>
        </is>
      </c>
      <c r="B5" s="8" t="n"/>
    </row>
    <row r="6">
      <c r="A6" t="inlineStr">
        <is>
          <t>new source_type (user/local_file/external/inference)</t>
        </is>
      </c>
      <c r="B6" s="8" t="n"/>
    </row>
    <row r="7">
      <c r="A7" t="inlineStr">
        <is>
          <t>new sources (; separated)</t>
        </is>
      </c>
      <c r="B7" s="8" t="n"/>
    </row>
    <row r="8">
      <c r="A8" t="inlineStr">
        <is>
          <t>new confidence (blank = default)</t>
        </is>
      </c>
      <c r="B8" s="8" t="n"/>
    </row>
    <row r="9"/>
    <row r="10">
      <c r="A10" t="inlineStr">
        <is>
          <t>existing fact row (lookup)</t>
        </is>
      </c>
      <c r="B10" s="6">
        <f>IFERROR(MATCH(B4,Facts!$A$5:$A$64,0),"")</f>
        <v/>
      </c>
    </row>
    <row r="11">
      <c r="A11" t="inlineStr">
        <is>
          <t>existing answer</t>
        </is>
      </c>
      <c r="B11" s="6">
        <f>IF(B10="","",INDEX(Facts!$D$5:$D$64,$B$10))</f>
        <v/>
      </c>
    </row>
    <row r="12">
      <c r="A12" t="inlineStr">
        <is>
          <t>existing status / confidence</t>
        </is>
      </c>
      <c r="B12" s="6">
        <f>IF(B10="","",INDEX(Facts!$E$5:$E$64,$B$10))</f>
        <v/>
      </c>
      <c r="C12" s="6">
        <f>IF(B10="","",INDEX(Facts!$F$5:$F$64,$B$10))</f>
        <v/>
      </c>
    </row>
    <row r="13">
      <c r="A13" t="inlineStr">
        <is>
          <t>resolved new confidence</t>
        </is>
      </c>
      <c r="B13" s="6">
        <f>IF(B5="","",IF(LOWER(B6)="user",1,IF(B8="",0.8,B8)))</f>
        <v/>
      </c>
    </row>
    <row r="14"/>
    <row r="15">
      <c r="A15" s="7" t="inlineStr">
        <is>
          <t>resulting field</t>
        </is>
      </c>
      <c r="B15" s="7" t="inlineStr">
        <is>
          <t>value to write in memory/intake.csv</t>
        </is>
      </c>
    </row>
    <row r="16">
      <c r="A16" t="inlineStr">
        <is>
          <t>key</t>
        </is>
      </c>
      <c r="B16" s="6">
        <f>B4</f>
        <v/>
      </c>
    </row>
    <row r="17">
      <c r="A17" t="inlineStr">
        <is>
          <t>topic</t>
        </is>
      </c>
      <c r="B17" s="6">
        <f>IF(B10&lt;&gt;"",INDEX(Facts!$B$5:$B$64,$B$10),IFERROR(INDEX(QuestionBank!$C$5:$C$30,MATCH(B4,QuestionBank!$B$5:$B$30,0)),"other"))</f>
        <v/>
      </c>
    </row>
    <row r="18">
      <c r="A18" t="inlineStr">
        <is>
          <t>question</t>
        </is>
      </c>
      <c r="B18" s="6">
        <f>IF(B10&lt;&gt;"",INDEX(Facts!$C$5:$C$64,$B$10),IFERROR(INDEX(QuestionBank!$D$5:$D$30,MATCH(B4,QuestionBank!$B$5:$B$30,0)),B4))</f>
        <v/>
      </c>
    </row>
    <row r="19">
      <c r="A19" t="inlineStr">
        <is>
          <t>answer</t>
        </is>
      </c>
      <c r="B19" s="6">
        <f>IF(LOWER(B6)="user",TRIM(B5),IF(B10="",TRIM(B5),B11))</f>
        <v/>
      </c>
    </row>
    <row r="20">
      <c r="A20" t="inlineStr">
        <is>
          <t>status</t>
        </is>
      </c>
      <c r="B20" s="6">
        <f>IF(LOWER(B6)="user","confirmed",IF(B10="","inferred",IF(LOWER(TRIM(B11))&lt;&gt;LOWER(TRIM(B5)),"conflict",B12)))</f>
        <v/>
      </c>
    </row>
    <row r="21">
      <c r="A21" t="inlineStr">
        <is>
          <t>confidence</t>
        </is>
      </c>
      <c r="B21" s="6">
        <f>IF(LOWER(B6)="user",1,IF(B10="",B13,IF(LOWER(TRIM(B11))&lt;&gt;LOWER(TRIM(B5)),MIN(C12,B13),MAX(C12,B13))))</f>
        <v/>
      </c>
    </row>
    <row r="22">
      <c r="A22" t="inlineStr">
        <is>
          <t>source_type</t>
        </is>
      </c>
      <c r="B22" s="6">
        <f>IF(LOWER(B6)="user","user",IF(B10="",LOWER(B6),INDEX(Facts!$G$5:$G$64,$B$10)))</f>
        <v/>
      </c>
    </row>
    <row r="23">
      <c r="A23" t="inlineStr">
        <is>
          <t>sources</t>
        </is>
      </c>
      <c r="B23" s="6">
        <f>IF(B10="",B7,IF(INDEX(Facts!$H$5:$H$64,$B$10)="",B7,IF(B7="",INDEX(Facts!$H$5:$H$64,$B$10),INDEX(Facts!$H$5:$H$64,$B$10)&amp;"; "&amp;B7)))</f>
        <v/>
      </c>
    </row>
    <row r="24">
      <c r="A24" t="inlineStr">
        <is>
          <t>alternatives</t>
        </is>
      </c>
      <c r="B24" s="6">
        <f>IF(LOWER(B6)="user","",IF(B10="","",IF(LOWER(TRIM(B11))&lt;&gt;LOWER(TRIM(B5)),IF(INDEX(Facts!$I$5:$I$64,$B$10)="",TRIM(B5),INDEX(Facts!$I$5:$I$64,$B$10)&amp;"; "&amp;TRIM(B5)),INDEX(Facts!$I$5:$I$64,$B$10))))</f>
        <v/>
      </c>
    </row>
    <row r="25"/>
    <row r="26">
      <c r="A26" s="2" t="inlineStr">
        <is>
          <t>Note: de-duplicate repeated sources when writing; an empty answer is rejected (do not record).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business-profile.md renderer (copy column A from row 4)</t>
        </is>
      </c>
    </row>
    <row r="2"/>
    <row r="3"/>
    <row r="4">
      <c r="A4">
        <f>"# "&amp;Facts!B3&amp;" Business Profile"</f>
        <v/>
      </c>
    </row>
    <row r="5">
      <c r="A5" t="inlineStr"/>
    </row>
    <row r="6">
      <c r="A6" t="inlineStr">
        <is>
          <t>&gt; Generated from `memory/intake.csv`. Update the intake when facts change.</t>
        </is>
      </c>
    </row>
    <row r="7">
      <c r="A7" t="inlineStr"/>
    </row>
    <row r="8">
      <c r="A8" t="inlineStr">
        <is>
          <t>## Business Model And Revenue</t>
        </is>
      </c>
    </row>
    <row r="9">
      <c r="A9" t="inlineStr"/>
    </row>
    <row r="10">
      <c r="A10">
        <f>IF(COUNTIF(Facts!$B$5:$B$64,"business")=0,"- Not yet known.","")</f>
        <v/>
      </c>
    </row>
    <row r="11">
      <c r="A11">
        <f>IFERROR("- **"&amp;INDEX(Facts!$C$5:$C$64,MATCH(1,Facts!$L$5:$L$64,0))&amp;"** "&amp;INDEX(Facts!$D$5:$D$64,MATCH(1,Facts!$L$5:$L$64,0))&amp;" _(status: "&amp;INDEX(Facts!$E$5:$E$64,MATCH(1,Facts!$L$5:$L$64,0))&amp;"; confidence: "&amp;TEXT(INDEX(Facts!$F$5:$F$64,MATCH(1,Facts!$L$5:$L$64,0)),"0%")&amp;"; source: "&amp;IF(INDEX(Facts!$H$5:$H$64,MATCH(1,Facts!$L$5:$L$64,0))="",INDEX(Facts!$G$5:$G$64,MATCH(1,Facts!$L$5:$L$64,0)),SUBSTITUTE(INDEX(Facts!$H$5:$H$64,MATCH(1,Facts!$L$5:$L$64,0)),"; ",", "))&amp;")_","")</f>
        <v/>
      </c>
    </row>
    <row r="12">
      <c r="A12">
        <f>IFERROR("- **"&amp;INDEX(Facts!$C$5:$C$64,MATCH(2,Facts!$L$5:$L$64,0))&amp;"** "&amp;INDEX(Facts!$D$5:$D$64,MATCH(2,Facts!$L$5:$L$64,0))&amp;" _(status: "&amp;INDEX(Facts!$E$5:$E$64,MATCH(2,Facts!$L$5:$L$64,0))&amp;"; confidence: "&amp;TEXT(INDEX(Facts!$F$5:$F$64,MATCH(2,Facts!$L$5:$L$64,0)),"0%")&amp;"; source: "&amp;IF(INDEX(Facts!$H$5:$H$64,MATCH(2,Facts!$L$5:$L$64,0))="",INDEX(Facts!$G$5:$G$64,MATCH(2,Facts!$L$5:$L$64,0)),SUBSTITUTE(INDEX(Facts!$H$5:$H$64,MATCH(2,Facts!$L$5:$L$64,0)),"; ",", "))&amp;")_","")</f>
        <v/>
      </c>
    </row>
    <row r="13">
      <c r="A13">
        <f>IFERROR("- **"&amp;INDEX(Facts!$C$5:$C$64,MATCH(3,Facts!$L$5:$L$64,0))&amp;"** "&amp;INDEX(Facts!$D$5:$D$64,MATCH(3,Facts!$L$5:$L$64,0))&amp;" _(status: "&amp;INDEX(Facts!$E$5:$E$64,MATCH(3,Facts!$L$5:$L$64,0))&amp;"; confidence: "&amp;TEXT(INDEX(Facts!$F$5:$F$64,MATCH(3,Facts!$L$5:$L$64,0)),"0%")&amp;"; source: "&amp;IF(INDEX(Facts!$H$5:$H$64,MATCH(3,Facts!$L$5:$L$64,0))="",INDEX(Facts!$G$5:$G$64,MATCH(3,Facts!$L$5:$L$64,0)),SUBSTITUTE(INDEX(Facts!$H$5:$H$64,MATCH(3,Facts!$L$5:$L$64,0)),"; ",", "))&amp;")_","")</f>
        <v/>
      </c>
    </row>
    <row r="14">
      <c r="A14">
        <f>IFERROR("- **"&amp;INDEX(Facts!$C$5:$C$64,MATCH(4,Facts!$L$5:$L$64,0))&amp;"** "&amp;INDEX(Facts!$D$5:$D$64,MATCH(4,Facts!$L$5:$L$64,0))&amp;" _(status: "&amp;INDEX(Facts!$E$5:$E$64,MATCH(4,Facts!$L$5:$L$64,0))&amp;"; confidence: "&amp;TEXT(INDEX(Facts!$F$5:$F$64,MATCH(4,Facts!$L$5:$L$64,0)),"0%")&amp;"; source: "&amp;IF(INDEX(Facts!$H$5:$H$64,MATCH(4,Facts!$L$5:$L$64,0))="",INDEX(Facts!$G$5:$G$64,MATCH(4,Facts!$L$5:$L$64,0)),SUBSTITUTE(INDEX(Facts!$H$5:$H$64,MATCH(4,Facts!$L$5:$L$64,0)),"; ",", "))&amp;")_","")</f>
        <v/>
      </c>
    </row>
    <row r="15">
      <c r="A15">
        <f>IFERROR("- **"&amp;INDEX(Facts!$C$5:$C$64,MATCH(5,Facts!$L$5:$L$64,0))&amp;"** "&amp;INDEX(Facts!$D$5:$D$64,MATCH(5,Facts!$L$5:$L$64,0))&amp;" _(status: "&amp;INDEX(Facts!$E$5:$E$64,MATCH(5,Facts!$L$5:$L$64,0))&amp;"; confidence: "&amp;TEXT(INDEX(Facts!$F$5:$F$64,MATCH(5,Facts!$L$5:$L$64,0)),"0%")&amp;"; source: "&amp;IF(INDEX(Facts!$H$5:$H$64,MATCH(5,Facts!$L$5:$L$64,0))="",INDEX(Facts!$G$5:$G$64,MATCH(5,Facts!$L$5:$L$64,0)),SUBSTITUTE(INDEX(Facts!$H$5:$H$64,MATCH(5,Facts!$L$5:$L$64,0)),"; ",", "))&amp;")_","")</f>
        <v/>
      </c>
    </row>
    <row r="16">
      <c r="A16">
        <f>IFERROR("- **"&amp;INDEX(Facts!$C$5:$C$64,MATCH(6,Facts!$L$5:$L$64,0))&amp;"** "&amp;INDEX(Facts!$D$5:$D$64,MATCH(6,Facts!$L$5:$L$64,0))&amp;" _(status: "&amp;INDEX(Facts!$E$5:$E$64,MATCH(6,Facts!$L$5:$L$64,0))&amp;"; confidence: "&amp;TEXT(INDEX(Facts!$F$5:$F$64,MATCH(6,Facts!$L$5:$L$64,0)),"0%")&amp;"; source: "&amp;IF(INDEX(Facts!$H$5:$H$64,MATCH(6,Facts!$L$5:$L$64,0))="",INDEX(Facts!$G$5:$G$64,MATCH(6,Facts!$L$5:$L$64,0)),SUBSTITUTE(INDEX(Facts!$H$5:$H$64,MATCH(6,Facts!$L$5:$L$64,0)),"; ",", "))&amp;")_","")</f>
        <v/>
      </c>
    </row>
    <row r="17">
      <c r="A17">
        <f>IFERROR("- **"&amp;INDEX(Facts!$C$5:$C$64,MATCH(7,Facts!$L$5:$L$64,0))&amp;"** "&amp;INDEX(Facts!$D$5:$D$64,MATCH(7,Facts!$L$5:$L$64,0))&amp;" _(status: "&amp;INDEX(Facts!$E$5:$E$64,MATCH(7,Facts!$L$5:$L$64,0))&amp;"; confidence: "&amp;TEXT(INDEX(Facts!$F$5:$F$64,MATCH(7,Facts!$L$5:$L$64,0)),"0%")&amp;"; source: "&amp;IF(INDEX(Facts!$H$5:$H$64,MATCH(7,Facts!$L$5:$L$64,0))="",INDEX(Facts!$G$5:$G$64,MATCH(7,Facts!$L$5:$L$64,0)),SUBSTITUTE(INDEX(Facts!$H$5:$H$64,MATCH(7,Facts!$L$5:$L$64,0)),"; ",", "))&amp;")_","")</f>
        <v/>
      </c>
    </row>
    <row r="18">
      <c r="A18">
        <f>IFERROR("- **"&amp;INDEX(Facts!$C$5:$C$64,MATCH(8,Facts!$L$5:$L$64,0))&amp;"** "&amp;INDEX(Facts!$D$5:$D$64,MATCH(8,Facts!$L$5:$L$64,0))&amp;" _(status: "&amp;INDEX(Facts!$E$5:$E$64,MATCH(8,Facts!$L$5:$L$64,0))&amp;"; confidence: "&amp;TEXT(INDEX(Facts!$F$5:$F$64,MATCH(8,Facts!$L$5:$L$64,0)),"0%")&amp;"; source: "&amp;IF(INDEX(Facts!$H$5:$H$64,MATCH(8,Facts!$L$5:$L$64,0))="",INDEX(Facts!$G$5:$G$64,MATCH(8,Facts!$L$5:$L$64,0)),SUBSTITUTE(INDEX(Facts!$H$5:$H$64,MATCH(8,Facts!$L$5:$L$64,0)),"; ",", "))&amp;")_","")</f>
        <v/>
      </c>
    </row>
    <row r="19">
      <c r="A19">
        <f>IFERROR("- **"&amp;INDEX(Facts!$C$5:$C$64,MATCH(9,Facts!$L$5:$L$64,0))&amp;"** "&amp;INDEX(Facts!$D$5:$D$64,MATCH(9,Facts!$L$5:$L$64,0))&amp;" _(status: "&amp;INDEX(Facts!$E$5:$E$64,MATCH(9,Facts!$L$5:$L$64,0))&amp;"; confidence: "&amp;TEXT(INDEX(Facts!$F$5:$F$64,MATCH(9,Facts!$L$5:$L$64,0)),"0%")&amp;"; source: "&amp;IF(INDEX(Facts!$H$5:$H$64,MATCH(9,Facts!$L$5:$L$64,0))="",INDEX(Facts!$G$5:$G$64,MATCH(9,Facts!$L$5:$L$64,0)),SUBSTITUTE(INDEX(Facts!$H$5:$H$64,MATCH(9,Facts!$L$5:$L$64,0)),"; ",", "))&amp;")_","")</f>
        <v/>
      </c>
    </row>
    <row r="20">
      <c r="A20">
        <f>IFERROR("- **"&amp;INDEX(Facts!$C$5:$C$64,MATCH(10,Facts!$L$5:$L$64,0))&amp;"** "&amp;INDEX(Facts!$D$5:$D$64,MATCH(10,Facts!$L$5:$L$64,0))&amp;" _(status: "&amp;INDEX(Facts!$E$5:$E$64,MATCH(10,Facts!$L$5:$L$64,0))&amp;"; confidence: "&amp;TEXT(INDEX(Facts!$F$5:$F$64,MATCH(10,Facts!$L$5:$L$64,0)),"0%")&amp;"; source: "&amp;IF(INDEX(Facts!$H$5:$H$64,MATCH(10,Facts!$L$5:$L$64,0))="",INDEX(Facts!$G$5:$G$64,MATCH(10,Facts!$L$5:$L$64,0)),SUBSTITUTE(INDEX(Facts!$H$5:$H$64,MATCH(10,Facts!$L$5:$L$64,0)),"; ",", "))&amp;")_","")</f>
        <v/>
      </c>
    </row>
    <row r="21">
      <c r="A21">
        <f>IFERROR("- **"&amp;INDEX(Facts!$C$5:$C$64,MATCH(11,Facts!$L$5:$L$64,0))&amp;"** "&amp;INDEX(Facts!$D$5:$D$64,MATCH(11,Facts!$L$5:$L$64,0))&amp;" _(status: "&amp;INDEX(Facts!$E$5:$E$64,MATCH(11,Facts!$L$5:$L$64,0))&amp;"; confidence: "&amp;TEXT(INDEX(Facts!$F$5:$F$64,MATCH(11,Facts!$L$5:$L$64,0)),"0%")&amp;"; source: "&amp;IF(INDEX(Facts!$H$5:$H$64,MATCH(11,Facts!$L$5:$L$64,0))="",INDEX(Facts!$G$5:$G$64,MATCH(11,Facts!$L$5:$L$64,0)),SUBSTITUTE(INDEX(Facts!$H$5:$H$64,MATCH(11,Facts!$L$5:$L$64,0)),"; ",", "))&amp;")_","")</f>
        <v/>
      </c>
    </row>
    <row r="22">
      <c r="A22">
        <f>IFERROR("- **"&amp;INDEX(Facts!$C$5:$C$64,MATCH(12,Facts!$L$5:$L$64,0))&amp;"** "&amp;INDEX(Facts!$D$5:$D$64,MATCH(12,Facts!$L$5:$L$64,0))&amp;" _(status: "&amp;INDEX(Facts!$E$5:$E$64,MATCH(12,Facts!$L$5:$L$64,0))&amp;"; confidence: "&amp;TEXT(INDEX(Facts!$F$5:$F$64,MATCH(12,Facts!$L$5:$L$64,0)),"0%")&amp;"; source: "&amp;IF(INDEX(Facts!$H$5:$H$64,MATCH(12,Facts!$L$5:$L$64,0))="",INDEX(Facts!$G$5:$G$64,MATCH(12,Facts!$L$5:$L$64,0)),SUBSTITUTE(INDEX(Facts!$H$5:$H$64,MATCH(12,Facts!$L$5:$L$64,0)),"; ",", "))&amp;")_","")</f>
        <v/>
      </c>
    </row>
    <row r="23">
      <c r="A23">
        <f>IFERROR("- **"&amp;INDEX(Facts!$C$5:$C$64,MATCH(13,Facts!$L$5:$L$64,0))&amp;"** "&amp;INDEX(Facts!$D$5:$D$64,MATCH(13,Facts!$L$5:$L$64,0))&amp;" _(status: "&amp;INDEX(Facts!$E$5:$E$64,MATCH(13,Facts!$L$5:$L$64,0))&amp;"; confidence: "&amp;TEXT(INDEX(Facts!$F$5:$F$64,MATCH(13,Facts!$L$5:$L$64,0)),"0%")&amp;"; source: "&amp;IF(INDEX(Facts!$H$5:$H$64,MATCH(13,Facts!$L$5:$L$64,0))="",INDEX(Facts!$G$5:$G$64,MATCH(13,Facts!$L$5:$L$64,0)),SUBSTITUTE(INDEX(Facts!$H$5:$H$64,MATCH(13,Facts!$L$5:$L$64,0)),"; ",", "))&amp;")_","")</f>
        <v/>
      </c>
    </row>
    <row r="24">
      <c r="A24">
        <f>IFERROR("- **"&amp;INDEX(Facts!$C$5:$C$64,MATCH(14,Facts!$L$5:$L$64,0))&amp;"** "&amp;INDEX(Facts!$D$5:$D$64,MATCH(14,Facts!$L$5:$L$64,0))&amp;" _(status: "&amp;INDEX(Facts!$E$5:$E$64,MATCH(14,Facts!$L$5:$L$64,0))&amp;"; confidence: "&amp;TEXT(INDEX(Facts!$F$5:$F$64,MATCH(14,Facts!$L$5:$L$64,0)),"0%")&amp;"; source: "&amp;IF(INDEX(Facts!$H$5:$H$64,MATCH(14,Facts!$L$5:$L$64,0))="",INDEX(Facts!$G$5:$G$64,MATCH(14,Facts!$L$5:$L$64,0)),SUBSTITUTE(INDEX(Facts!$H$5:$H$64,MATCH(14,Facts!$L$5:$L$64,0)),"; ",", "))&amp;")_","")</f>
        <v/>
      </c>
    </row>
    <row r="25">
      <c r="A25">
        <f>IFERROR("- **"&amp;INDEX(Facts!$C$5:$C$64,MATCH(15,Facts!$L$5:$L$64,0))&amp;"** "&amp;INDEX(Facts!$D$5:$D$64,MATCH(15,Facts!$L$5:$L$64,0))&amp;" _(status: "&amp;INDEX(Facts!$E$5:$E$64,MATCH(15,Facts!$L$5:$L$64,0))&amp;"; confidence: "&amp;TEXT(INDEX(Facts!$F$5:$F$64,MATCH(15,Facts!$L$5:$L$64,0)),"0%")&amp;"; source: "&amp;IF(INDEX(Facts!$H$5:$H$64,MATCH(15,Facts!$L$5:$L$64,0))="",INDEX(Facts!$G$5:$G$64,MATCH(15,Facts!$L$5:$L$64,0)),SUBSTITUTE(INDEX(Facts!$H$5:$H$64,MATCH(15,Facts!$L$5:$L$64,0)),"; ",", "))&amp;")_","")</f>
        <v/>
      </c>
    </row>
    <row r="26">
      <c r="A26" t="inlineStr"/>
    </row>
    <row r="27">
      <c r="A27" t="inlineStr">
        <is>
          <t>## Cash Cycle And Seasonality</t>
        </is>
      </c>
    </row>
    <row r="28">
      <c r="A28" t="inlineStr"/>
    </row>
    <row r="29">
      <c r="A29">
        <f>IF(COUNTIF(Facts!$B$5:$B$64,"cash_cycle")=0,"- Not yet known.","")</f>
        <v/>
      </c>
    </row>
    <row r="30">
      <c r="A30">
        <f>IFERROR("- **"&amp;INDEX(Facts!$C$5:$C$64,MATCH(1,Facts!$M$5:$M$64,0))&amp;"** "&amp;INDEX(Facts!$D$5:$D$64,MATCH(1,Facts!$M$5:$M$64,0))&amp;" _(status: "&amp;INDEX(Facts!$E$5:$E$64,MATCH(1,Facts!$M$5:$M$64,0))&amp;"; confidence: "&amp;TEXT(INDEX(Facts!$F$5:$F$64,MATCH(1,Facts!$M$5:$M$64,0)),"0%")&amp;"; source: "&amp;IF(INDEX(Facts!$H$5:$H$64,MATCH(1,Facts!$M$5:$M$64,0))="",INDEX(Facts!$G$5:$G$64,MATCH(1,Facts!$M$5:$M$64,0)),SUBSTITUTE(INDEX(Facts!$H$5:$H$64,MATCH(1,Facts!$M$5:$M$64,0)),"; ",", "))&amp;")_","")</f>
        <v/>
      </c>
    </row>
    <row r="31">
      <c r="A31">
        <f>IFERROR("- **"&amp;INDEX(Facts!$C$5:$C$64,MATCH(2,Facts!$M$5:$M$64,0))&amp;"** "&amp;INDEX(Facts!$D$5:$D$64,MATCH(2,Facts!$M$5:$M$64,0))&amp;" _(status: "&amp;INDEX(Facts!$E$5:$E$64,MATCH(2,Facts!$M$5:$M$64,0))&amp;"; confidence: "&amp;TEXT(INDEX(Facts!$F$5:$F$64,MATCH(2,Facts!$M$5:$M$64,0)),"0%")&amp;"; source: "&amp;IF(INDEX(Facts!$H$5:$H$64,MATCH(2,Facts!$M$5:$M$64,0))="",INDEX(Facts!$G$5:$G$64,MATCH(2,Facts!$M$5:$M$64,0)),SUBSTITUTE(INDEX(Facts!$H$5:$H$64,MATCH(2,Facts!$M$5:$M$64,0)),"; ",", "))&amp;")_","")</f>
        <v/>
      </c>
    </row>
    <row r="32">
      <c r="A32">
        <f>IFERROR("- **"&amp;INDEX(Facts!$C$5:$C$64,MATCH(3,Facts!$M$5:$M$64,0))&amp;"** "&amp;INDEX(Facts!$D$5:$D$64,MATCH(3,Facts!$M$5:$M$64,0))&amp;" _(status: "&amp;INDEX(Facts!$E$5:$E$64,MATCH(3,Facts!$M$5:$M$64,0))&amp;"; confidence: "&amp;TEXT(INDEX(Facts!$F$5:$F$64,MATCH(3,Facts!$M$5:$M$64,0)),"0%")&amp;"; source: "&amp;IF(INDEX(Facts!$H$5:$H$64,MATCH(3,Facts!$M$5:$M$64,0))="",INDEX(Facts!$G$5:$G$64,MATCH(3,Facts!$M$5:$M$64,0)),SUBSTITUTE(INDEX(Facts!$H$5:$H$64,MATCH(3,Facts!$M$5:$M$64,0)),"; ",", "))&amp;")_","")</f>
        <v/>
      </c>
    </row>
    <row r="33">
      <c r="A33">
        <f>IFERROR("- **"&amp;INDEX(Facts!$C$5:$C$64,MATCH(4,Facts!$M$5:$M$64,0))&amp;"** "&amp;INDEX(Facts!$D$5:$D$64,MATCH(4,Facts!$M$5:$M$64,0))&amp;" _(status: "&amp;INDEX(Facts!$E$5:$E$64,MATCH(4,Facts!$M$5:$M$64,0))&amp;"; confidence: "&amp;TEXT(INDEX(Facts!$F$5:$F$64,MATCH(4,Facts!$M$5:$M$64,0)),"0%")&amp;"; source: "&amp;IF(INDEX(Facts!$H$5:$H$64,MATCH(4,Facts!$M$5:$M$64,0))="",INDEX(Facts!$G$5:$G$64,MATCH(4,Facts!$M$5:$M$64,0)),SUBSTITUTE(INDEX(Facts!$H$5:$H$64,MATCH(4,Facts!$M$5:$M$64,0)),"; ",", "))&amp;")_","")</f>
        <v/>
      </c>
    </row>
    <row r="34">
      <c r="A34">
        <f>IFERROR("- **"&amp;INDEX(Facts!$C$5:$C$64,MATCH(5,Facts!$M$5:$M$64,0))&amp;"** "&amp;INDEX(Facts!$D$5:$D$64,MATCH(5,Facts!$M$5:$M$64,0))&amp;" _(status: "&amp;INDEX(Facts!$E$5:$E$64,MATCH(5,Facts!$M$5:$M$64,0))&amp;"; confidence: "&amp;TEXT(INDEX(Facts!$F$5:$F$64,MATCH(5,Facts!$M$5:$M$64,0)),"0%")&amp;"; source: "&amp;IF(INDEX(Facts!$H$5:$H$64,MATCH(5,Facts!$M$5:$M$64,0))="",INDEX(Facts!$G$5:$G$64,MATCH(5,Facts!$M$5:$M$64,0)),SUBSTITUTE(INDEX(Facts!$H$5:$H$64,MATCH(5,Facts!$M$5:$M$64,0)),"; ",", "))&amp;")_","")</f>
        <v/>
      </c>
    </row>
    <row r="35">
      <c r="A35">
        <f>IFERROR("- **"&amp;INDEX(Facts!$C$5:$C$64,MATCH(6,Facts!$M$5:$M$64,0))&amp;"** "&amp;INDEX(Facts!$D$5:$D$64,MATCH(6,Facts!$M$5:$M$64,0))&amp;" _(status: "&amp;INDEX(Facts!$E$5:$E$64,MATCH(6,Facts!$M$5:$M$64,0))&amp;"; confidence: "&amp;TEXT(INDEX(Facts!$F$5:$F$64,MATCH(6,Facts!$M$5:$M$64,0)),"0%")&amp;"; source: "&amp;IF(INDEX(Facts!$H$5:$H$64,MATCH(6,Facts!$M$5:$M$64,0))="",INDEX(Facts!$G$5:$G$64,MATCH(6,Facts!$M$5:$M$64,0)),SUBSTITUTE(INDEX(Facts!$H$5:$H$64,MATCH(6,Facts!$M$5:$M$64,0)),"; ",", "))&amp;")_","")</f>
        <v/>
      </c>
    </row>
    <row r="36">
      <c r="A36">
        <f>IFERROR("- **"&amp;INDEX(Facts!$C$5:$C$64,MATCH(7,Facts!$M$5:$M$64,0))&amp;"** "&amp;INDEX(Facts!$D$5:$D$64,MATCH(7,Facts!$M$5:$M$64,0))&amp;" _(status: "&amp;INDEX(Facts!$E$5:$E$64,MATCH(7,Facts!$M$5:$M$64,0))&amp;"; confidence: "&amp;TEXT(INDEX(Facts!$F$5:$F$64,MATCH(7,Facts!$M$5:$M$64,0)),"0%")&amp;"; source: "&amp;IF(INDEX(Facts!$H$5:$H$64,MATCH(7,Facts!$M$5:$M$64,0))="",INDEX(Facts!$G$5:$G$64,MATCH(7,Facts!$M$5:$M$64,0)),SUBSTITUTE(INDEX(Facts!$H$5:$H$64,MATCH(7,Facts!$M$5:$M$64,0)),"; ",", "))&amp;")_","")</f>
        <v/>
      </c>
    </row>
    <row r="37">
      <c r="A37">
        <f>IFERROR("- **"&amp;INDEX(Facts!$C$5:$C$64,MATCH(8,Facts!$M$5:$M$64,0))&amp;"** "&amp;INDEX(Facts!$D$5:$D$64,MATCH(8,Facts!$M$5:$M$64,0))&amp;" _(status: "&amp;INDEX(Facts!$E$5:$E$64,MATCH(8,Facts!$M$5:$M$64,0))&amp;"; confidence: "&amp;TEXT(INDEX(Facts!$F$5:$F$64,MATCH(8,Facts!$M$5:$M$64,0)),"0%")&amp;"; source: "&amp;IF(INDEX(Facts!$H$5:$H$64,MATCH(8,Facts!$M$5:$M$64,0))="",INDEX(Facts!$G$5:$G$64,MATCH(8,Facts!$M$5:$M$64,0)),SUBSTITUTE(INDEX(Facts!$H$5:$H$64,MATCH(8,Facts!$M$5:$M$64,0)),"; ",", "))&amp;")_","")</f>
        <v/>
      </c>
    </row>
    <row r="38">
      <c r="A38">
        <f>IFERROR("- **"&amp;INDEX(Facts!$C$5:$C$64,MATCH(9,Facts!$M$5:$M$64,0))&amp;"** "&amp;INDEX(Facts!$D$5:$D$64,MATCH(9,Facts!$M$5:$M$64,0))&amp;" _(status: "&amp;INDEX(Facts!$E$5:$E$64,MATCH(9,Facts!$M$5:$M$64,0))&amp;"; confidence: "&amp;TEXT(INDEX(Facts!$F$5:$F$64,MATCH(9,Facts!$M$5:$M$64,0)),"0%")&amp;"; source: "&amp;IF(INDEX(Facts!$H$5:$H$64,MATCH(9,Facts!$M$5:$M$64,0))="",INDEX(Facts!$G$5:$G$64,MATCH(9,Facts!$M$5:$M$64,0)),SUBSTITUTE(INDEX(Facts!$H$5:$H$64,MATCH(9,Facts!$M$5:$M$64,0)),"; ",", "))&amp;")_","")</f>
        <v/>
      </c>
    </row>
    <row r="39">
      <c r="A39">
        <f>IFERROR("- **"&amp;INDEX(Facts!$C$5:$C$64,MATCH(10,Facts!$M$5:$M$64,0))&amp;"** "&amp;INDEX(Facts!$D$5:$D$64,MATCH(10,Facts!$M$5:$M$64,0))&amp;" _(status: "&amp;INDEX(Facts!$E$5:$E$64,MATCH(10,Facts!$M$5:$M$64,0))&amp;"; confidence: "&amp;TEXT(INDEX(Facts!$F$5:$F$64,MATCH(10,Facts!$M$5:$M$64,0)),"0%")&amp;"; source: "&amp;IF(INDEX(Facts!$H$5:$H$64,MATCH(10,Facts!$M$5:$M$64,0))="",INDEX(Facts!$G$5:$G$64,MATCH(10,Facts!$M$5:$M$64,0)),SUBSTITUTE(INDEX(Facts!$H$5:$H$64,MATCH(10,Facts!$M$5:$M$64,0)),"; ",", "))&amp;")_","")</f>
        <v/>
      </c>
    </row>
    <row r="40">
      <c r="A40">
        <f>IFERROR("- **"&amp;INDEX(Facts!$C$5:$C$64,MATCH(11,Facts!$M$5:$M$64,0))&amp;"** "&amp;INDEX(Facts!$D$5:$D$64,MATCH(11,Facts!$M$5:$M$64,0))&amp;" _(status: "&amp;INDEX(Facts!$E$5:$E$64,MATCH(11,Facts!$M$5:$M$64,0))&amp;"; confidence: "&amp;TEXT(INDEX(Facts!$F$5:$F$64,MATCH(11,Facts!$M$5:$M$64,0)),"0%")&amp;"; source: "&amp;IF(INDEX(Facts!$H$5:$H$64,MATCH(11,Facts!$M$5:$M$64,0))="",INDEX(Facts!$G$5:$G$64,MATCH(11,Facts!$M$5:$M$64,0)),SUBSTITUTE(INDEX(Facts!$H$5:$H$64,MATCH(11,Facts!$M$5:$M$64,0)),"; ",", "))&amp;")_","")</f>
        <v/>
      </c>
    </row>
    <row r="41">
      <c r="A41">
        <f>IFERROR("- **"&amp;INDEX(Facts!$C$5:$C$64,MATCH(12,Facts!$M$5:$M$64,0))&amp;"** "&amp;INDEX(Facts!$D$5:$D$64,MATCH(12,Facts!$M$5:$M$64,0))&amp;" _(status: "&amp;INDEX(Facts!$E$5:$E$64,MATCH(12,Facts!$M$5:$M$64,0))&amp;"; confidence: "&amp;TEXT(INDEX(Facts!$F$5:$F$64,MATCH(12,Facts!$M$5:$M$64,0)),"0%")&amp;"; source: "&amp;IF(INDEX(Facts!$H$5:$H$64,MATCH(12,Facts!$M$5:$M$64,0))="",INDEX(Facts!$G$5:$G$64,MATCH(12,Facts!$M$5:$M$64,0)),SUBSTITUTE(INDEX(Facts!$H$5:$H$64,MATCH(12,Facts!$M$5:$M$64,0)),"; ",", "))&amp;")_","")</f>
        <v/>
      </c>
    </row>
    <row r="42">
      <c r="A42">
        <f>IFERROR("- **"&amp;INDEX(Facts!$C$5:$C$64,MATCH(13,Facts!$M$5:$M$64,0))&amp;"** "&amp;INDEX(Facts!$D$5:$D$64,MATCH(13,Facts!$M$5:$M$64,0))&amp;" _(status: "&amp;INDEX(Facts!$E$5:$E$64,MATCH(13,Facts!$M$5:$M$64,0))&amp;"; confidence: "&amp;TEXT(INDEX(Facts!$F$5:$F$64,MATCH(13,Facts!$M$5:$M$64,0)),"0%")&amp;"; source: "&amp;IF(INDEX(Facts!$H$5:$H$64,MATCH(13,Facts!$M$5:$M$64,0))="",INDEX(Facts!$G$5:$G$64,MATCH(13,Facts!$M$5:$M$64,0)),SUBSTITUTE(INDEX(Facts!$H$5:$H$64,MATCH(13,Facts!$M$5:$M$64,0)),"; ",", "))&amp;")_","")</f>
        <v/>
      </c>
    </row>
    <row r="43">
      <c r="A43">
        <f>IFERROR("- **"&amp;INDEX(Facts!$C$5:$C$64,MATCH(14,Facts!$M$5:$M$64,0))&amp;"** "&amp;INDEX(Facts!$D$5:$D$64,MATCH(14,Facts!$M$5:$M$64,0))&amp;" _(status: "&amp;INDEX(Facts!$E$5:$E$64,MATCH(14,Facts!$M$5:$M$64,0))&amp;"; confidence: "&amp;TEXT(INDEX(Facts!$F$5:$F$64,MATCH(14,Facts!$M$5:$M$64,0)),"0%")&amp;"; source: "&amp;IF(INDEX(Facts!$H$5:$H$64,MATCH(14,Facts!$M$5:$M$64,0))="",INDEX(Facts!$G$5:$G$64,MATCH(14,Facts!$M$5:$M$64,0)),SUBSTITUTE(INDEX(Facts!$H$5:$H$64,MATCH(14,Facts!$M$5:$M$64,0)),"; ",", "))&amp;")_","")</f>
        <v/>
      </c>
    </row>
    <row r="44">
      <c r="A44">
        <f>IFERROR("- **"&amp;INDEX(Facts!$C$5:$C$64,MATCH(15,Facts!$M$5:$M$64,0))&amp;"** "&amp;INDEX(Facts!$D$5:$D$64,MATCH(15,Facts!$M$5:$M$64,0))&amp;" _(status: "&amp;INDEX(Facts!$E$5:$E$64,MATCH(15,Facts!$M$5:$M$64,0))&amp;"; confidence: "&amp;TEXT(INDEX(Facts!$F$5:$F$64,MATCH(15,Facts!$M$5:$M$64,0)),"0%")&amp;"; source: "&amp;IF(INDEX(Facts!$H$5:$H$64,MATCH(15,Facts!$M$5:$M$64,0))="",INDEX(Facts!$G$5:$G$64,MATCH(15,Facts!$M$5:$M$64,0)),SUBSTITUTE(INDEX(Facts!$H$5:$H$64,MATCH(15,Facts!$M$5:$M$64,0)),"; ",", "))&amp;")_","")</f>
        <v/>
      </c>
    </row>
    <row r="45">
      <c r="A45" t="inlineStr"/>
    </row>
    <row r="46">
      <c r="A46" t="inlineStr">
        <is>
          <t>## Entity, Financing, And Data Structure</t>
        </is>
      </c>
    </row>
    <row r="47">
      <c r="A47" t="inlineStr"/>
    </row>
    <row r="48">
      <c r="A48">
        <f>IF(COUNTIF(Facts!$B$5:$B$64,"finance_structure")=0,"- Not yet known.","")</f>
        <v/>
      </c>
    </row>
    <row r="49">
      <c r="A49">
        <f>IFERROR("- **"&amp;INDEX(Facts!$C$5:$C$64,MATCH(1,Facts!$N$5:$N$64,0))&amp;"** "&amp;INDEX(Facts!$D$5:$D$64,MATCH(1,Facts!$N$5:$N$64,0))&amp;" _(status: "&amp;INDEX(Facts!$E$5:$E$64,MATCH(1,Facts!$N$5:$N$64,0))&amp;"; confidence: "&amp;TEXT(INDEX(Facts!$F$5:$F$64,MATCH(1,Facts!$N$5:$N$64,0)),"0%")&amp;"; source: "&amp;IF(INDEX(Facts!$H$5:$H$64,MATCH(1,Facts!$N$5:$N$64,0))="",INDEX(Facts!$G$5:$G$64,MATCH(1,Facts!$N$5:$N$64,0)),SUBSTITUTE(INDEX(Facts!$H$5:$H$64,MATCH(1,Facts!$N$5:$N$64,0)),"; ",", "))&amp;")_","")</f>
        <v/>
      </c>
    </row>
    <row r="50">
      <c r="A50">
        <f>IFERROR("- **"&amp;INDEX(Facts!$C$5:$C$64,MATCH(2,Facts!$N$5:$N$64,0))&amp;"** "&amp;INDEX(Facts!$D$5:$D$64,MATCH(2,Facts!$N$5:$N$64,0))&amp;" _(status: "&amp;INDEX(Facts!$E$5:$E$64,MATCH(2,Facts!$N$5:$N$64,0))&amp;"; confidence: "&amp;TEXT(INDEX(Facts!$F$5:$F$64,MATCH(2,Facts!$N$5:$N$64,0)),"0%")&amp;"; source: "&amp;IF(INDEX(Facts!$H$5:$H$64,MATCH(2,Facts!$N$5:$N$64,0))="",INDEX(Facts!$G$5:$G$64,MATCH(2,Facts!$N$5:$N$64,0)),SUBSTITUTE(INDEX(Facts!$H$5:$H$64,MATCH(2,Facts!$N$5:$N$64,0)),"; ",", "))&amp;")_","")</f>
        <v/>
      </c>
    </row>
    <row r="51">
      <c r="A51">
        <f>IFERROR("- **"&amp;INDEX(Facts!$C$5:$C$64,MATCH(3,Facts!$N$5:$N$64,0))&amp;"** "&amp;INDEX(Facts!$D$5:$D$64,MATCH(3,Facts!$N$5:$N$64,0))&amp;" _(status: "&amp;INDEX(Facts!$E$5:$E$64,MATCH(3,Facts!$N$5:$N$64,0))&amp;"; confidence: "&amp;TEXT(INDEX(Facts!$F$5:$F$64,MATCH(3,Facts!$N$5:$N$64,0)),"0%")&amp;"; source: "&amp;IF(INDEX(Facts!$H$5:$H$64,MATCH(3,Facts!$N$5:$N$64,0))="",INDEX(Facts!$G$5:$G$64,MATCH(3,Facts!$N$5:$N$64,0)),SUBSTITUTE(INDEX(Facts!$H$5:$H$64,MATCH(3,Facts!$N$5:$N$64,0)),"; ",", "))&amp;")_","")</f>
        <v/>
      </c>
    </row>
    <row r="52">
      <c r="A52">
        <f>IFERROR("- **"&amp;INDEX(Facts!$C$5:$C$64,MATCH(4,Facts!$N$5:$N$64,0))&amp;"** "&amp;INDEX(Facts!$D$5:$D$64,MATCH(4,Facts!$N$5:$N$64,0))&amp;" _(status: "&amp;INDEX(Facts!$E$5:$E$64,MATCH(4,Facts!$N$5:$N$64,0))&amp;"; confidence: "&amp;TEXT(INDEX(Facts!$F$5:$F$64,MATCH(4,Facts!$N$5:$N$64,0)),"0%")&amp;"; source: "&amp;IF(INDEX(Facts!$H$5:$H$64,MATCH(4,Facts!$N$5:$N$64,0))="",INDEX(Facts!$G$5:$G$64,MATCH(4,Facts!$N$5:$N$64,0)),SUBSTITUTE(INDEX(Facts!$H$5:$H$64,MATCH(4,Facts!$N$5:$N$64,0)),"; ",", "))&amp;")_","")</f>
        <v/>
      </c>
    </row>
    <row r="53">
      <c r="A53">
        <f>IFERROR("- **"&amp;INDEX(Facts!$C$5:$C$64,MATCH(5,Facts!$N$5:$N$64,0))&amp;"** "&amp;INDEX(Facts!$D$5:$D$64,MATCH(5,Facts!$N$5:$N$64,0))&amp;" _(status: "&amp;INDEX(Facts!$E$5:$E$64,MATCH(5,Facts!$N$5:$N$64,0))&amp;"; confidence: "&amp;TEXT(INDEX(Facts!$F$5:$F$64,MATCH(5,Facts!$N$5:$N$64,0)),"0%")&amp;"; source: "&amp;IF(INDEX(Facts!$H$5:$H$64,MATCH(5,Facts!$N$5:$N$64,0))="",INDEX(Facts!$G$5:$G$64,MATCH(5,Facts!$N$5:$N$64,0)),SUBSTITUTE(INDEX(Facts!$H$5:$H$64,MATCH(5,Facts!$N$5:$N$64,0)),"; ",", "))&amp;")_","")</f>
        <v/>
      </c>
    </row>
    <row r="54">
      <c r="A54">
        <f>IFERROR("- **"&amp;INDEX(Facts!$C$5:$C$64,MATCH(6,Facts!$N$5:$N$64,0))&amp;"** "&amp;INDEX(Facts!$D$5:$D$64,MATCH(6,Facts!$N$5:$N$64,0))&amp;" _(status: "&amp;INDEX(Facts!$E$5:$E$64,MATCH(6,Facts!$N$5:$N$64,0))&amp;"; confidence: "&amp;TEXT(INDEX(Facts!$F$5:$F$64,MATCH(6,Facts!$N$5:$N$64,0)),"0%")&amp;"; source: "&amp;IF(INDEX(Facts!$H$5:$H$64,MATCH(6,Facts!$N$5:$N$64,0))="",INDEX(Facts!$G$5:$G$64,MATCH(6,Facts!$N$5:$N$64,0)),SUBSTITUTE(INDEX(Facts!$H$5:$H$64,MATCH(6,Facts!$N$5:$N$64,0)),"; ",", "))&amp;")_","")</f>
        <v/>
      </c>
    </row>
    <row r="55">
      <c r="A55">
        <f>IFERROR("- **"&amp;INDEX(Facts!$C$5:$C$64,MATCH(7,Facts!$N$5:$N$64,0))&amp;"** "&amp;INDEX(Facts!$D$5:$D$64,MATCH(7,Facts!$N$5:$N$64,0))&amp;" _(status: "&amp;INDEX(Facts!$E$5:$E$64,MATCH(7,Facts!$N$5:$N$64,0))&amp;"; confidence: "&amp;TEXT(INDEX(Facts!$F$5:$F$64,MATCH(7,Facts!$N$5:$N$64,0)),"0%")&amp;"; source: "&amp;IF(INDEX(Facts!$H$5:$H$64,MATCH(7,Facts!$N$5:$N$64,0))="",INDEX(Facts!$G$5:$G$64,MATCH(7,Facts!$N$5:$N$64,0)),SUBSTITUTE(INDEX(Facts!$H$5:$H$64,MATCH(7,Facts!$N$5:$N$64,0)),"; ",", "))&amp;")_","")</f>
        <v/>
      </c>
    </row>
    <row r="56">
      <c r="A56">
        <f>IFERROR("- **"&amp;INDEX(Facts!$C$5:$C$64,MATCH(8,Facts!$N$5:$N$64,0))&amp;"** "&amp;INDEX(Facts!$D$5:$D$64,MATCH(8,Facts!$N$5:$N$64,0))&amp;" _(status: "&amp;INDEX(Facts!$E$5:$E$64,MATCH(8,Facts!$N$5:$N$64,0))&amp;"; confidence: "&amp;TEXT(INDEX(Facts!$F$5:$F$64,MATCH(8,Facts!$N$5:$N$64,0)),"0%")&amp;"; source: "&amp;IF(INDEX(Facts!$H$5:$H$64,MATCH(8,Facts!$N$5:$N$64,0))="",INDEX(Facts!$G$5:$G$64,MATCH(8,Facts!$N$5:$N$64,0)),SUBSTITUTE(INDEX(Facts!$H$5:$H$64,MATCH(8,Facts!$N$5:$N$64,0)),"; ",", "))&amp;")_","")</f>
        <v/>
      </c>
    </row>
    <row r="57">
      <c r="A57">
        <f>IFERROR("- **"&amp;INDEX(Facts!$C$5:$C$64,MATCH(9,Facts!$N$5:$N$64,0))&amp;"** "&amp;INDEX(Facts!$D$5:$D$64,MATCH(9,Facts!$N$5:$N$64,0))&amp;" _(status: "&amp;INDEX(Facts!$E$5:$E$64,MATCH(9,Facts!$N$5:$N$64,0))&amp;"; confidence: "&amp;TEXT(INDEX(Facts!$F$5:$F$64,MATCH(9,Facts!$N$5:$N$64,0)),"0%")&amp;"; source: "&amp;IF(INDEX(Facts!$H$5:$H$64,MATCH(9,Facts!$N$5:$N$64,0))="",INDEX(Facts!$G$5:$G$64,MATCH(9,Facts!$N$5:$N$64,0)),SUBSTITUTE(INDEX(Facts!$H$5:$H$64,MATCH(9,Facts!$N$5:$N$64,0)),"; ",", "))&amp;")_","")</f>
        <v/>
      </c>
    </row>
    <row r="58">
      <c r="A58">
        <f>IFERROR("- **"&amp;INDEX(Facts!$C$5:$C$64,MATCH(10,Facts!$N$5:$N$64,0))&amp;"** "&amp;INDEX(Facts!$D$5:$D$64,MATCH(10,Facts!$N$5:$N$64,0))&amp;" _(status: "&amp;INDEX(Facts!$E$5:$E$64,MATCH(10,Facts!$N$5:$N$64,0))&amp;"; confidence: "&amp;TEXT(INDEX(Facts!$F$5:$F$64,MATCH(10,Facts!$N$5:$N$64,0)),"0%")&amp;"; source: "&amp;IF(INDEX(Facts!$H$5:$H$64,MATCH(10,Facts!$N$5:$N$64,0))="",INDEX(Facts!$G$5:$G$64,MATCH(10,Facts!$N$5:$N$64,0)),SUBSTITUTE(INDEX(Facts!$H$5:$H$64,MATCH(10,Facts!$N$5:$N$64,0)),"; ",", "))&amp;")_","")</f>
        <v/>
      </c>
    </row>
    <row r="59">
      <c r="A59">
        <f>IFERROR("- **"&amp;INDEX(Facts!$C$5:$C$64,MATCH(11,Facts!$N$5:$N$64,0))&amp;"** "&amp;INDEX(Facts!$D$5:$D$64,MATCH(11,Facts!$N$5:$N$64,0))&amp;" _(status: "&amp;INDEX(Facts!$E$5:$E$64,MATCH(11,Facts!$N$5:$N$64,0))&amp;"; confidence: "&amp;TEXT(INDEX(Facts!$F$5:$F$64,MATCH(11,Facts!$N$5:$N$64,0)),"0%")&amp;"; source: "&amp;IF(INDEX(Facts!$H$5:$H$64,MATCH(11,Facts!$N$5:$N$64,0))="",INDEX(Facts!$G$5:$G$64,MATCH(11,Facts!$N$5:$N$64,0)),SUBSTITUTE(INDEX(Facts!$H$5:$H$64,MATCH(11,Facts!$N$5:$N$64,0)),"; ",", "))&amp;")_","")</f>
        <v/>
      </c>
    </row>
    <row r="60">
      <c r="A60">
        <f>IFERROR("- **"&amp;INDEX(Facts!$C$5:$C$64,MATCH(12,Facts!$N$5:$N$64,0))&amp;"** "&amp;INDEX(Facts!$D$5:$D$64,MATCH(12,Facts!$N$5:$N$64,0))&amp;" _(status: "&amp;INDEX(Facts!$E$5:$E$64,MATCH(12,Facts!$N$5:$N$64,0))&amp;"; confidence: "&amp;TEXT(INDEX(Facts!$F$5:$F$64,MATCH(12,Facts!$N$5:$N$64,0)),"0%")&amp;"; source: "&amp;IF(INDEX(Facts!$H$5:$H$64,MATCH(12,Facts!$N$5:$N$64,0))="",INDEX(Facts!$G$5:$G$64,MATCH(12,Facts!$N$5:$N$64,0)),SUBSTITUTE(INDEX(Facts!$H$5:$H$64,MATCH(12,Facts!$N$5:$N$64,0)),"; ",", "))&amp;")_","")</f>
        <v/>
      </c>
    </row>
    <row r="61">
      <c r="A61">
        <f>IFERROR("- **"&amp;INDEX(Facts!$C$5:$C$64,MATCH(13,Facts!$N$5:$N$64,0))&amp;"** "&amp;INDEX(Facts!$D$5:$D$64,MATCH(13,Facts!$N$5:$N$64,0))&amp;" _(status: "&amp;INDEX(Facts!$E$5:$E$64,MATCH(13,Facts!$N$5:$N$64,0))&amp;"; confidence: "&amp;TEXT(INDEX(Facts!$F$5:$F$64,MATCH(13,Facts!$N$5:$N$64,0)),"0%")&amp;"; source: "&amp;IF(INDEX(Facts!$H$5:$H$64,MATCH(13,Facts!$N$5:$N$64,0))="",INDEX(Facts!$G$5:$G$64,MATCH(13,Facts!$N$5:$N$64,0)),SUBSTITUTE(INDEX(Facts!$H$5:$H$64,MATCH(13,Facts!$N$5:$N$64,0)),"; ",", "))&amp;")_","")</f>
        <v/>
      </c>
    </row>
    <row r="62">
      <c r="A62">
        <f>IFERROR("- **"&amp;INDEX(Facts!$C$5:$C$64,MATCH(14,Facts!$N$5:$N$64,0))&amp;"** "&amp;INDEX(Facts!$D$5:$D$64,MATCH(14,Facts!$N$5:$N$64,0))&amp;" _(status: "&amp;INDEX(Facts!$E$5:$E$64,MATCH(14,Facts!$N$5:$N$64,0))&amp;"; confidence: "&amp;TEXT(INDEX(Facts!$F$5:$F$64,MATCH(14,Facts!$N$5:$N$64,0)),"0%")&amp;"; source: "&amp;IF(INDEX(Facts!$H$5:$H$64,MATCH(14,Facts!$N$5:$N$64,0))="",INDEX(Facts!$G$5:$G$64,MATCH(14,Facts!$N$5:$N$64,0)),SUBSTITUTE(INDEX(Facts!$H$5:$H$64,MATCH(14,Facts!$N$5:$N$64,0)),"; ",", "))&amp;")_","")</f>
        <v/>
      </c>
    </row>
    <row r="63">
      <c r="A63">
        <f>IFERROR("- **"&amp;INDEX(Facts!$C$5:$C$64,MATCH(15,Facts!$N$5:$N$64,0))&amp;"** "&amp;INDEX(Facts!$D$5:$D$64,MATCH(15,Facts!$N$5:$N$64,0))&amp;" _(status: "&amp;INDEX(Facts!$E$5:$E$64,MATCH(15,Facts!$N$5:$N$64,0))&amp;"; confidence: "&amp;TEXT(INDEX(Facts!$F$5:$F$64,MATCH(15,Facts!$N$5:$N$64,0)),"0%")&amp;"; source: "&amp;IF(INDEX(Facts!$H$5:$H$64,MATCH(15,Facts!$N$5:$N$64,0))="",INDEX(Facts!$G$5:$G$64,MATCH(15,Facts!$N$5:$N$64,0)),SUBSTITUTE(INDEX(Facts!$H$5:$H$64,MATCH(15,Facts!$N$5:$N$64,0)),"; ",", "))&amp;")_","")</f>
        <v/>
      </c>
    </row>
    <row r="64">
      <c r="A64" t="inlineStr"/>
    </row>
    <row r="65">
      <c r="A65" t="inlineStr">
        <is>
          <t>## Planning Cadence And CFO Priorities</t>
        </is>
      </c>
    </row>
    <row r="66">
      <c r="A66" t="inlineStr"/>
    </row>
    <row r="67">
      <c r="A67">
        <f>IF(COUNTIF(Facts!$B$5:$B$64,"planning")=0,"- Not yet known.","")</f>
        <v/>
      </c>
    </row>
    <row r="68">
      <c r="A68">
        <f>IFERROR("- **"&amp;INDEX(Facts!$C$5:$C$64,MATCH(1,Facts!$O$5:$O$64,0))&amp;"** "&amp;INDEX(Facts!$D$5:$D$64,MATCH(1,Facts!$O$5:$O$64,0))&amp;" _(status: "&amp;INDEX(Facts!$E$5:$E$64,MATCH(1,Facts!$O$5:$O$64,0))&amp;"; confidence: "&amp;TEXT(INDEX(Facts!$F$5:$F$64,MATCH(1,Facts!$O$5:$O$64,0)),"0%")&amp;"; source: "&amp;IF(INDEX(Facts!$H$5:$H$64,MATCH(1,Facts!$O$5:$O$64,0))="",INDEX(Facts!$G$5:$G$64,MATCH(1,Facts!$O$5:$O$64,0)),SUBSTITUTE(INDEX(Facts!$H$5:$H$64,MATCH(1,Facts!$O$5:$O$64,0)),"; ",", "))&amp;")_","")</f>
        <v/>
      </c>
    </row>
    <row r="69">
      <c r="A69">
        <f>IFERROR("- **"&amp;INDEX(Facts!$C$5:$C$64,MATCH(2,Facts!$O$5:$O$64,0))&amp;"** "&amp;INDEX(Facts!$D$5:$D$64,MATCH(2,Facts!$O$5:$O$64,0))&amp;" _(status: "&amp;INDEX(Facts!$E$5:$E$64,MATCH(2,Facts!$O$5:$O$64,0))&amp;"; confidence: "&amp;TEXT(INDEX(Facts!$F$5:$F$64,MATCH(2,Facts!$O$5:$O$64,0)),"0%")&amp;"; source: "&amp;IF(INDEX(Facts!$H$5:$H$64,MATCH(2,Facts!$O$5:$O$64,0))="",INDEX(Facts!$G$5:$G$64,MATCH(2,Facts!$O$5:$O$64,0)),SUBSTITUTE(INDEX(Facts!$H$5:$H$64,MATCH(2,Facts!$O$5:$O$64,0)),"; ",", "))&amp;")_","")</f>
        <v/>
      </c>
    </row>
    <row r="70">
      <c r="A70">
        <f>IFERROR("- **"&amp;INDEX(Facts!$C$5:$C$64,MATCH(3,Facts!$O$5:$O$64,0))&amp;"** "&amp;INDEX(Facts!$D$5:$D$64,MATCH(3,Facts!$O$5:$O$64,0))&amp;" _(status: "&amp;INDEX(Facts!$E$5:$E$64,MATCH(3,Facts!$O$5:$O$64,0))&amp;"; confidence: "&amp;TEXT(INDEX(Facts!$F$5:$F$64,MATCH(3,Facts!$O$5:$O$64,0)),"0%")&amp;"; source: "&amp;IF(INDEX(Facts!$H$5:$H$64,MATCH(3,Facts!$O$5:$O$64,0))="",INDEX(Facts!$G$5:$G$64,MATCH(3,Facts!$O$5:$O$64,0)),SUBSTITUTE(INDEX(Facts!$H$5:$H$64,MATCH(3,Facts!$O$5:$O$64,0)),"; ",", "))&amp;")_","")</f>
        <v/>
      </c>
    </row>
    <row r="71">
      <c r="A71">
        <f>IFERROR("- **"&amp;INDEX(Facts!$C$5:$C$64,MATCH(4,Facts!$O$5:$O$64,0))&amp;"** "&amp;INDEX(Facts!$D$5:$D$64,MATCH(4,Facts!$O$5:$O$64,0))&amp;" _(status: "&amp;INDEX(Facts!$E$5:$E$64,MATCH(4,Facts!$O$5:$O$64,0))&amp;"; confidence: "&amp;TEXT(INDEX(Facts!$F$5:$F$64,MATCH(4,Facts!$O$5:$O$64,0)),"0%")&amp;"; source: "&amp;IF(INDEX(Facts!$H$5:$H$64,MATCH(4,Facts!$O$5:$O$64,0))="",INDEX(Facts!$G$5:$G$64,MATCH(4,Facts!$O$5:$O$64,0)),SUBSTITUTE(INDEX(Facts!$H$5:$H$64,MATCH(4,Facts!$O$5:$O$64,0)),"; ",", "))&amp;")_","")</f>
        <v/>
      </c>
    </row>
    <row r="72">
      <c r="A72">
        <f>IFERROR("- **"&amp;INDEX(Facts!$C$5:$C$64,MATCH(5,Facts!$O$5:$O$64,0))&amp;"** "&amp;INDEX(Facts!$D$5:$D$64,MATCH(5,Facts!$O$5:$O$64,0))&amp;" _(status: "&amp;INDEX(Facts!$E$5:$E$64,MATCH(5,Facts!$O$5:$O$64,0))&amp;"; confidence: "&amp;TEXT(INDEX(Facts!$F$5:$F$64,MATCH(5,Facts!$O$5:$O$64,0)),"0%")&amp;"; source: "&amp;IF(INDEX(Facts!$H$5:$H$64,MATCH(5,Facts!$O$5:$O$64,0))="",INDEX(Facts!$G$5:$G$64,MATCH(5,Facts!$O$5:$O$64,0)),SUBSTITUTE(INDEX(Facts!$H$5:$H$64,MATCH(5,Facts!$O$5:$O$64,0)),"; ",", "))&amp;")_","")</f>
        <v/>
      </c>
    </row>
    <row r="73">
      <c r="A73">
        <f>IFERROR("- **"&amp;INDEX(Facts!$C$5:$C$64,MATCH(6,Facts!$O$5:$O$64,0))&amp;"** "&amp;INDEX(Facts!$D$5:$D$64,MATCH(6,Facts!$O$5:$O$64,0))&amp;" _(status: "&amp;INDEX(Facts!$E$5:$E$64,MATCH(6,Facts!$O$5:$O$64,0))&amp;"; confidence: "&amp;TEXT(INDEX(Facts!$F$5:$F$64,MATCH(6,Facts!$O$5:$O$64,0)),"0%")&amp;"; source: "&amp;IF(INDEX(Facts!$H$5:$H$64,MATCH(6,Facts!$O$5:$O$64,0))="",INDEX(Facts!$G$5:$G$64,MATCH(6,Facts!$O$5:$O$64,0)),SUBSTITUTE(INDEX(Facts!$H$5:$H$64,MATCH(6,Facts!$O$5:$O$64,0)),"; ",", "))&amp;")_","")</f>
        <v/>
      </c>
    </row>
    <row r="74">
      <c r="A74">
        <f>IFERROR("- **"&amp;INDEX(Facts!$C$5:$C$64,MATCH(7,Facts!$O$5:$O$64,0))&amp;"** "&amp;INDEX(Facts!$D$5:$D$64,MATCH(7,Facts!$O$5:$O$64,0))&amp;" _(status: "&amp;INDEX(Facts!$E$5:$E$64,MATCH(7,Facts!$O$5:$O$64,0))&amp;"; confidence: "&amp;TEXT(INDEX(Facts!$F$5:$F$64,MATCH(7,Facts!$O$5:$O$64,0)),"0%")&amp;"; source: "&amp;IF(INDEX(Facts!$H$5:$H$64,MATCH(7,Facts!$O$5:$O$64,0))="",INDEX(Facts!$G$5:$G$64,MATCH(7,Facts!$O$5:$O$64,0)),SUBSTITUTE(INDEX(Facts!$H$5:$H$64,MATCH(7,Facts!$O$5:$O$64,0)),"; ",", "))&amp;")_","")</f>
        <v/>
      </c>
    </row>
    <row r="75">
      <c r="A75">
        <f>IFERROR("- **"&amp;INDEX(Facts!$C$5:$C$64,MATCH(8,Facts!$O$5:$O$64,0))&amp;"** "&amp;INDEX(Facts!$D$5:$D$64,MATCH(8,Facts!$O$5:$O$64,0))&amp;" _(status: "&amp;INDEX(Facts!$E$5:$E$64,MATCH(8,Facts!$O$5:$O$64,0))&amp;"; confidence: "&amp;TEXT(INDEX(Facts!$F$5:$F$64,MATCH(8,Facts!$O$5:$O$64,0)),"0%")&amp;"; source: "&amp;IF(INDEX(Facts!$H$5:$H$64,MATCH(8,Facts!$O$5:$O$64,0))="",INDEX(Facts!$G$5:$G$64,MATCH(8,Facts!$O$5:$O$64,0)),SUBSTITUTE(INDEX(Facts!$H$5:$H$64,MATCH(8,Facts!$O$5:$O$64,0)),"; ",", "))&amp;")_","")</f>
        <v/>
      </c>
    </row>
    <row r="76">
      <c r="A76">
        <f>IFERROR("- **"&amp;INDEX(Facts!$C$5:$C$64,MATCH(9,Facts!$O$5:$O$64,0))&amp;"** "&amp;INDEX(Facts!$D$5:$D$64,MATCH(9,Facts!$O$5:$O$64,0))&amp;" _(status: "&amp;INDEX(Facts!$E$5:$E$64,MATCH(9,Facts!$O$5:$O$64,0))&amp;"; confidence: "&amp;TEXT(INDEX(Facts!$F$5:$F$64,MATCH(9,Facts!$O$5:$O$64,0)),"0%")&amp;"; source: "&amp;IF(INDEX(Facts!$H$5:$H$64,MATCH(9,Facts!$O$5:$O$64,0))="",INDEX(Facts!$G$5:$G$64,MATCH(9,Facts!$O$5:$O$64,0)),SUBSTITUTE(INDEX(Facts!$H$5:$H$64,MATCH(9,Facts!$O$5:$O$64,0)),"; ",", "))&amp;")_","")</f>
        <v/>
      </c>
    </row>
    <row r="77">
      <c r="A77">
        <f>IFERROR("- **"&amp;INDEX(Facts!$C$5:$C$64,MATCH(10,Facts!$O$5:$O$64,0))&amp;"** "&amp;INDEX(Facts!$D$5:$D$64,MATCH(10,Facts!$O$5:$O$64,0))&amp;" _(status: "&amp;INDEX(Facts!$E$5:$E$64,MATCH(10,Facts!$O$5:$O$64,0))&amp;"; confidence: "&amp;TEXT(INDEX(Facts!$F$5:$F$64,MATCH(10,Facts!$O$5:$O$64,0)),"0%")&amp;"; source: "&amp;IF(INDEX(Facts!$H$5:$H$64,MATCH(10,Facts!$O$5:$O$64,0))="",INDEX(Facts!$G$5:$G$64,MATCH(10,Facts!$O$5:$O$64,0)),SUBSTITUTE(INDEX(Facts!$H$5:$H$64,MATCH(10,Facts!$O$5:$O$64,0)),"; ",", "))&amp;")_","")</f>
        <v/>
      </c>
    </row>
    <row r="78">
      <c r="A78">
        <f>IFERROR("- **"&amp;INDEX(Facts!$C$5:$C$64,MATCH(11,Facts!$O$5:$O$64,0))&amp;"** "&amp;INDEX(Facts!$D$5:$D$64,MATCH(11,Facts!$O$5:$O$64,0))&amp;" _(status: "&amp;INDEX(Facts!$E$5:$E$64,MATCH(11,Facts!$O$5:$O$64,0))&amp;"; confidence: "&amp;TEXT(INDEX(Facts!$F$5:$F$64,MATCH(11,Facts!$O$5:$O$64,0)),"0%")&amp;"; source: "&amp;IF(INDEX(Facts!$H$5:$H$64,MATCH(11,Facts!$O$5:$O$64,0))="",INDEX(Facts!$G$5:$G$64,MATCH(11,Facts!$O$5:$O$64,0)),SUBSTITUTE(INDEX(Facts!$H$5:$H$64,MATCH(11,Facts!$O$5:$O$64,0)),"; ",", "))&amp;")_","")</f>
        <v/>
      </c>
    </row>
    <row r="79">
      <c r="A79">
        <f>IFERROR("- **"&amp;INDEX(Facts!$C$5:$C$64,MATCH(12,Facts!$O$5:$O$64,0))&amp;"** "&amp;INDEX(Facts!$D$5:$D$64,MATCH(12,Facts!$O$5:$O$64,0))&amp;" _(status: "&amp;INDEX(Facts!$E$5:$E$64,MATCH(12,Facts!$O$5:$O$64,0))&amp;"; confidence: "&amp;TEXT(INDEX(Facts!$F$5:$F$64,MATCH(12,Facts!$O$5:$O$64,0)),"0%")&amp;"; source: "&amp;IF(INDEX(Facts!$H$5:$H$64,MATCH(12,Facts!$O$5:$O$64,0))="",INDEX(Facts!$G$5:$G$64,MATCH(12,Facts!$O$5:$O$64,0)),SUBSTITUTE(INDEX(Facts!$H$5:$H$64,MATCH(12,Facts!$O$5:$O$64,0)),"; ",", "))&amp;")_","")</f>
        <v/>
      </c>
    </row>
    <row r="80">
      <c r="A80">
        <f>IFERROR("- **"&amp;INDEX(Facts!$C$5:$C$64,MATCH(13,Facts!$O$5:$O$64,0))&amp;"** "&amp;INDEX(Facts!$D$5:$D$64,MATCH(13,Facts!$O$5:$O$64,0))&amp;" _(status: "&amp;INDEX(Facts!$E$5:$E$64,MATCH(13,Facts!$O$5:$O$64,0))&amp;"; confidence: "&amp;TEXT(INDEX(Facts!$F$5:$F$64,MATCH(13,Facts!$O$5:$O$64,0)),"0%")&amp;"; source: "&amp;IF(INDEX(Facts!$H$5:$H$64,MATCH(13,Facts!$O$5:$O$64,0))="",INDEX(Facts!$G$5:$G$64,MATCH(13,Facts!$O$5:$O$64,0)),SUBSTITUTE(INDEX(Facts!$H$5:$H$64,MATCH(13,Facts!$O$5:$O$64,0)),"; ",", "))&amp;")_","")</f>
        <v/>
      </c>
    </row>
    <row r="81">
      <c r="A81">
        <f>IFERROR("- **"&amp;INDEX(Facts!$C$5:$C$64,MATCH(14,Facts!$O$5:$O$64,0))&amp;"** "&amp;INDEX(Facts!$D$5:$D$64,MATCH(14,Facts!$O$5:$O$64,0))&amp;" _(status: "&amp;INDEX(Facts!$E$5:$E$64,MATCH(14,Facts!$O$5:$O$64,0))&amp;"; confidence: "&amp;TEXT(INDEX(Facts!$F$5:$F$64,MATCH(14,Facts!$O$5:$O$64,0)),"0%")&amp;"; source: "&amp;IF(INDEX(Facts!$H$5:$H$64,MATCH(14,Facts!$O$5:$O$64,0))="",INDEX(Facts!$G$5:$G$64,MATCH(14,Facts!$O$5:$O$64,0)),SUBSTITUTE(INDEX(Facts!$H$5:$H$64,MATCH(14,Facts!$O$5:$O$64,0)),"; ",", "))&amp;")_","")</f>
        <v/>
      </c>
    </row>
    <row r="82">
      <c r="A82">
        <f>IFERROR("- **"&amp;INDEX(Facts!$C$5:$C$64,MATCH(15,Facts!$O$5:$O$64,0))&amp;"** "&amp;INDEX(Facts!$D$5:$D$64,MATCH(15,Facts!$O$5:$O$64,0))&amp;" _(status: "&amp;INDEX(Facts!$E$5:$E$64,MATCH(15,Facts!$O$5:$O$64,0))&amp;"; confidence: "&amp;TEXT(INDEX(Facts!$F$5:$F$64,MATCH(15,Facts!$O$5:$O$64,0)),"0%")&amp;"; source: "&amp;IF(INDEX(Facts!$H$5:$H$64,MATCH(15,Facts!$O$5:$O$64,0))="",INDEX(Facts!$G$5:$G$64,MATCH(15,Facts!$O$5:$O$64,0)),SUBSTITUTE(INDEX(Facts!$H$5:$H$64,MATCH(15,Facts!$O$5:$O$64,0)),"; ",", "))&amp;")_","")</f>
        <v/>
      </c>
    </row>
    <row r="83">
      <c r="A83" t="inlineStr"/>
    </row>
    <row r="84">
      <c r="A84" t="inlineStr">
        <is>
          <t>## Tamil Nadu Statutory And Local Context</t>
        </is>
      </c>
    </row>
    <row r="85">
      <c r="A85" t="inlineStr"/>
    </row>
    <row r="86">
      <c r="A86">
        <f>IF(COUNTIF(Facts!$B$5:$B$64,"tn_statutory")=0,"- Not yet known.","")</f>
        <v/>
      </c>
    </row>
    <row r="87">
      <c r="A87">
        <f>IFERROR("- **"&amp;INDEX(Facts!$C$5:$C$64,MATCH(1,Facts!$P$5:$P$64,0))&amp;"** "&amp;INDEX(Facts!$D$5:$D$64,MATCH(1,Facts!$P$5:$P$64,0))&amp;" _(status: "&amp;INDEX(Facts!$E$5:$E$64,MATCH(1,Facts!$P$5:$P$64,0))&amp;"; confidence: "&amp;TEXT(INDEX(Facts!$F$5:$F$64,MATCH(1,Facts!$P$5:$P$64,0)),"0%")&amp;"; source: "&amp;IF(INDEX(Facts!$H$5:$H$64,MATCH(1,Facts!$P$5:$P$64,0))="",INDEX(Facts!$G$5:$G$64,MATCH(1,Facts!$P$5:$P$64,0)),SUBSTITUTE(INDEX(Facts!$H$5:$H$64,MATCH(1,Facts!$P$5:$P$64,0)),"; ",", "))&amp;")_","")</f>
        <v/>
      </c>
    </row>
    <row r="88">
      <c r="A88">
        <f>IFERROR("- **"&amp;INDEX(Facts!$C$5:$C$64,MATCH(2,Facts!$P$5:$P$64,0))&amp;"** "&amp;INDEX(Facts!$D$5:$D$64,MATCH(2,Facts!$P$5:$P$64,0))&amp;" _(status: "&amp;INDEX(Facts!$E$5:$E$64,MATCH(2,Facts!$P$5:$P$64,0))&amp;"; confidence: "&amp;TEXT(INDEX(Facts!$F$5:$F$64,MATCH(2,Facts!$P$5:$P$64,0)),"0%")&amp;"; source: "&amp;IF(INDEX(Facts!$H$5:$H$64,MATCH(2,Facts!$P$5:$P$64,0))="",INDEX(Facts!$G$5:$G$64,MATCH(2,Facts!$P$5:$P$64,0)),SUBSTITUTE(INDEX(Facts!$H$5:$H$64,MATCH(2,Facts!$P$5:$P$64,0)),"; ",", "))&amp;")_","")</f>
        <v/>
      </c>
    </row>
    <row r="89">
      <c r="A89">
        <f>IFERROR("- **"&amp;INDEX(Facts!$C$5:$C$64,MATCH(3,Facts!$P$5:$P$64,0))&amp;"** "&amp;INDEX(Facts!$D$5:$D$64,MATCH(3,Facts!$P$5:$P$64,0))&amp;" _(status: "&amp;INDEX(Facts!$E$5:$E$64,MATCH(3,Facts!$P$5:$P$64,0))&amp;"; confidence: "&amp;TEXT(INDEX(Facts!$F$5:$F$64,MATCH(3,Facts!$P$5:$P$64,0)),"0%")&amp;"; source: "&amp;IF(INDEX(Facts!$H$5:$H$64,MATCH(3,Facts!$P$5:$P$64,0))="",INDEX(Facts!$G$5:$G$64,MATCH(3,Facts!$P$5:$P$64,0)),SUBSTITUTE(INDEX(Facts!$H$5:$H$64,MATCH(3,Facts!$P$5:$P$64,0)),"; ",", "))&amp;")_","")</f>
        <v/>
      </c>
    </row>
    <row r="90">
      <c r="A90">
        <f>IFERROR("- **"&amp;INDEX(Facts!$C$5:$C$64,MATCH(4,Facts!$P$5:$P$64,0))&amp;"** "&amp;INDEX(Facts!$D$5:$D$64,MATCH(4,Facts!$P$5:$P$64,0))&amp;" _(status: "&amp;INDEX(Facts!$E$5:$E$64,MATCH(4,Facts!$P$5:$P$64,0))&amp;"; confidence: "&amp;TEXT(INDEX(Facts!$F$5:$F$64,MATCH(4,Facts!$P$5:$P$64,0)),"0%")&amp;"; source: "&amp;IF(INDEX(Facts!$H$5:$H$64,MATCH(4,Facts!$P$5:$P$64,0))="",INDEX(Facts!$G$5:$G$64,MATCH(4,Facts!$P$5:$P$64,0)),SUBSTITUTE(INDEX(Facts!$H$5:$H$64,MATCH(4,Facts!$P$5:$P$64,0)),"; ",", "))&amp;")_","")</f>
        <v/>
      </c>
    </row>
    <row r="91">
      <c r="A91">
        <f>IFERROR("- **"&amp;INDEX(Facts!$C$5:$C$64,MATCH(5,Facts!$P$5:$P$64,0))&amp;"** "&amp;INDEX(Facts!$D$5:$D$64,MATCH(5,Facts!$P$5:$P$64,0))&amp;" _(status: "&amp;INDEX(Facts!$E$5:$E$64,MATCH(5,Facts!$P$5:$P$64,0))&amp;"; confidence: "&amp;TEXT(INDEX(Facts!$F$5:$F$64,MATCH(5,Facts!$P$5:$P$64,0)),"0%")&amp;"; source: "&amp;IF(INDEX(Facts!$H$5:$H$64,MATCH(5,Facts!$P$5:$P$64,0))="",INDEX(Facts!$G$5:$G$64,MATCH(5,Facts!$P$5:$P$64,0)),SUBSTITUTE(INDEX(Facts!$H$5:$H$64,MATCH(5,Facts!$P$5:$P$64,0)),"; ",", "))&amp;")_","")</f>
        <v/>
      </c>
    </row>
    <row r="92">
      <c r="A92">
        <f>IFERROR("- **"&amp;INDEX(Facts!$C$5:$C$64,MATCH(6,Facts!$P$5:$P$64,0))&amp;"** "&amp;INDEX(Facts!$D$5:$D$64,MATCH(6,Facts!$P$5:$P$64,0))&amp;" _(status: "&amp;INDEX(Facts!$E$5:$E$64,MATCH(6,Facts!$P$5:$P$64,0))&amp;"; confidence: "&amp;TEXT(INDEX(Facts!$F$5:$F$64,MATCH(6,Facts!$P$5:$P$64,0)),"0%")&amp;"; source: "&amp;IF(INDEX(Facts!$H$5:$H$64,MATCH(6,Facts!$P$5:$P$64,0))="",INDEX(Facts!$G$5:$G$64,MATCH(6,Facts!$P$5:$P$64,0)),SUBSTITUTE(INDEX(Facts!$H$5:$H$64,MATCH(6,Facts!$P$5:$P$64,0)),"; ",", "))&amp;")_","")</f>
        <v/>
      </c>
    </row>
    <row r="93">
      <c r="A93">
        <f>IFERROR("- **"&amp;INDEX(Facts!$C$5:$C$64,MATCH(7,Facts!$P$5:$P$64,0))&amp;"** "&amp;INDEX(Facts!$D$5:$D$64,MATCH(7,Facts!$P$5:$P$64,0))&amp;" _(status: "&amp;INDEX(Facts!$E$5:$E$64,MATCH(7,Facts!$P$5:$P$64,0))&amp;"; confidence: "&amp;TEXT(INDEX(Facts!$F$5:$F$64,MATCH(7,Facts!$P$5:$P$64,0)),"0%")&amp;"; source: "&amp;IF(INDEX(Facts!$H$5:$H$64,MATCH(7,Facts!$P$5:$P$64,0))="",INDEX(Facts!$G$5:$G$64,MATCH(7,Facts!$P$5:$P$64,0)),SUBSTITUTE(INDEX(Facts!$H$5:$H$64,MATCH(7,Facts!$P$5:$P$64,0)),"; ",", "))&amp;")_","")</f>
        <v/>
      </c>
    </row>
    <row r="94">
      <c r="A94">
        <f>IFERROR("- **"&amp;INDEX(Facts!$C$5:$C$64,MATCH(8,Facts!$P$5:$P$64,0))&amp;"** "&amp;INDEX(Facts!$D$5:$D$64,MATCH(8,Facts!$P$5:$P$64,0))&amp;" _(status: "&amp;INDEX(Facts!$E$5:$E$64,MATCH(8,Facts!$P$5:$P$64,0))&amp;"; confidence: "&amp;TEXT(INDEX(Facts!$F$5:$F$64,MATCH(8,Facts!$P$5:$P$64,0)),"0%")&amp;"; source: "&amp;IF(INDEX(Facts!$H$5:$H$64,MATCH(8,Facts!$P$5:$P$64,0))="",INDEX(Facts!$G$5:$G$64,MATCH(8,Facts!$P$5:$P$64,0)),SUBSTITUTE(INDEX(Facts!$H$5:$H$64,MATCH(8,Facts!$P$5:$P$64,0)),"; ",", "))&amp;")_","")</f>
        <v/>
      </c>
    </row>
    <row r="95">
      <c r="A95">
        <f>IFERROR("- **"&amp;INDEX(Facts!$C$5:$C$64,MATCH(9,Facts!$P$5:$P$64,0))&amp;"** "&amp;INDEX(Facts!$D$5:$D$64,MATCH(9,Facts!$P$5:$P$64,0))&amp;" _(status: "&amp;INDEX(Facts!$E$5:$E$64,MATCH(9,Facts!$P$5:$P$64,0))&amp;"; confidence: "&amp;TEXT(INDEX(Facts!$F$5:$F$64,MATCH(9,Facts!$P$5:$P$64,0)),"0%")&amp;"; source: "&amp;IF(INDEX(Facts!$H$5:$H$64,MATCH(9,Facts!$P$5:$P$64,0))="",INDEX(Facts!$G$5:$G$64,MATCH(9,Facts!$P$5:$P$64,0)),SUBSTITUTE(INDEX(Facts!$H$5:$H$64,MATCH(9,Facts!$P$5:$P$64,0)),"; ",", "))&amp;")_","")</f>
        <v/>
      </c>
    </row>
    <row r="96">
      <c r="A96">
        <f>IFERROR("- **"&amp;INDEX(Facts!$C$5:$C$64,MATCH(10,Facts!$P$5:$P$64,0))&amp;"** "&amp;INDEX(Facts!$D$5:$D$64,MATCH(10,Facts!$P$5:$P$64,0))&amp;" _(status: "&amp;INDEX(Facts!$E$5:$E$64,MATCH(10,Facts!$P$5:$P$64,0))&amp;"; confidence: "&amp;TEXT(INDEX(Facts!$F$5:$F$64,MATCH(10,Facts!$P$5:$P$64,0)),"0%")&amp;"; source: "&amp;IF(INDEX(Facts!$H$5:$H$64,MATCH(10,Facts!$P$5:$P$64,0))="",INDEX(Facts!$G$5:$G$64,MATCH(10,Facts!$P$5:$P$64,0)),SUBSTITUTE(INDEX(Facts!$H$5:$H$64,MATCH(10,Facts!$P$5:$P$64,0)),"; ",", "))&amp;")_","")</f>
        <v/>
      </c>
    </row>
    <row r="97">
      <c r="A97">
        <f>IFERROR("- **"&amp;INDEX(Facts!$C$5:$C$64,MATCH(11,Facts!$P$5:$P$64,0))&amp;"** "&amp;INDEX(Facts!$D$5:$D$64,MATCH(11,Facts!$P$5:$P$64,0))&amp;" _(status: "&amp;INDEX(Facts!$E$5:$E$64,MATCH(11,Facts!$P$5:$P$64,0))&amp;"; confidence: "&amp;TEXT(INDEX(Facts!$F$5:$F$64,MATCH(11,Facts!$P$5:$P$64,0)),"0%")&amp;"; source: "&amp;IF(INDEX(Facts!$H$5:$H$64,MATCH(11,Facts!$P$5:$P$64,0))="",INDEX(Facts!$G$5:$G$64,MATCH(11,Facts!$P$5:$P$64,0)),SUBSTITUTE(INDEX(Facts!$H$5:$H$64,MATCH(11,Facts!$P$5:$P$64,0)),"; ",", "))&amp;")_","")</f>
        <v/>
      </c>
    </row>
    <row r="98">
      <c r="A98">
        <f>IFERROR("- **"&amp;INDEX(Facts!$C$5:$C$64,MATCH(12,Facts!$P$5:$P$64,0))&amp;"** "&amp;INDEX(Facts!$D$5:$D$64,MATCH(12,Facts!$P$5:$P$64,0))&amp;" _(status: "&amp;INDEX(Facts!$E$5:$E$64,MATCH(12,Facts!$P$5:$P$64,0))&amp;"; confidence: "&amp;TEXT(INDEX(Facts!$F$5:$F$64,MATCH(12,Facts!$P$5:$P$64,0)),"0%")&amp;"; source: "&amp;IF(INDEX(Facts!$H$5:$H$64,MATCH(12,Facts!$P$5:$P$64,0))="",INDEX(Facts!$G$5:$G$64,MATCH(12,Facts!$P$5:$P$64,0)),SUBSTITUTE(INDEX(Facts!$H$5:$H$64,MATCH(12,Facts!$P$5:$P$64,0)),"; ",", "))&amp;")_","")</f>
        <v/>
      </c>
    </row>
    <row r="99">
      <c r="A99">
        <f>IFERROR("- **"&amp;INDEX(Facts!$C$5:$C$64,MATCH(13,Facts!$P$5:$P$64,0))&amp;"** "&amp;INDEX(Facts!$D$5:$D$64,MATCH(13,Facts!$P$5:$P$64,0))&amp;" _(status: "&amp;INDEX(Facts!$E$5:$E$64,MATCH(13,Facts!$P$5:$P$64,0))&amp;"; confidence: "&amp;TEXT(INDEX(Facts!$F$5:$F$64,MATCH(13,Facts!$P$5:$P$64,0)),"0%")&amp;"; source: "&amp;IF(INDEX(Facts!$H$5:$H$64,MATCH(13,Facts!$P$5:$P$64,0))="",INDEX(Facts!$G$5:$G$64,MATCH(13,Facts!$P$5:$P$64,0)),SUBSTITUTE(INDEX(Facts!$H$5:$H$64,MATCH(13,Facts!$P$5:$P$64,0)),"; ",", "))&amp;")_","")</f>
        <v/>
      </c>
    </row>
    <row r="100">
      <c r="A100">
        <f>IFERROR("- **"&amp;INDEX(Facts!$C$5:$C$64,MATCH(14,Facts!$P$5:$P$64,0))&amp;"** "&amp;INDEX(Facts!$D$5:$D$64,MATCH(14,Facts!$P$5:$P$64,0))&amp;" _(status: "&amp;INDEX(Facts!$E$5:$E$64,MATCH(14,Facts!$P$5:$P$64,0))&amp;"; confidence: "&amp;TEXT(INDEX(Facts!$F$5:$F$64,MATCH(14,Facts!$P$5:$P$64,0)),"0%")&amp;"; source: "&amp;IF(INDEX(Facts!$H$5:$H$64,MATCH(14,Facts!$P$5:$P$64,0))="",INDEX(Facts!$G$5:$G$64,MATCH(14,Facts!$P$5:$P$64,0)),SUBSTITUTE(INDEX(Facts!$H$5:$H$64,MATCH(14,Facts!$P$5:$P$64,0)),"; ",", "))&amp;")_","")</f>
        <v/>
      </c>
    </row>
    <row r="101">
      <c r="A101">
        <f>IFERROR("- **"&amp;INDEX(Facts!$C$5:$C$64,MATCH(15,Facts!$P$5:$P$64,0))&amp;"** "&amp;INDEX(Facts!$D$5:$D$64,MATCH(15,Facts!$P$5:$P$64,0))&amp;" _(status: "&amp;INDEX(Facts!$E$5:$E$64,MATCH(15,Facts!$P$5:$P$64,0))&amp;"; confidence: "&amp;TEXT(INDEX(Facts!$F$5:$F$64,MATCH(15,Facts!$P$5:$P$64,0)),"0%")&amp;"; source: "&amp;IF(INDEX(Facts!$H$5:$H$64,MATCH(15,Facts!$P$5:$P$64,0))="",INDEX(Facts!$G$5:$G$64,MATCH(15,Facts!$P$5:$P$64,0)),SUBSTITUTE(INDEX(Facts!$H$5:$H$64,MATCH(15,Facts!$P$5:$P$64,0)),"; ",", "))&amp;")_","")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2" customWidth="1" min="3" max="3"/>
    <col width="130" customWidth="1" min="4" max="4"/>
  </cols>
  <sheetData>
    <row r="1">
      <c r="A1" s="1" t="inlineStr">
        <is>
          <t>initial-model-architecture.md renderer - fill the proposal inputs, copy column D from row 4</t>
        </is>
      </c>
    </row>
    <row r="2">
      <c r="D2" t="inlineStr">
        <is>
          <t>Renderer is only valid when intake is ready:</t>
        </is>
      </c>
      <c r="F2" s="5">
        <f>IF(Readiness!$J$1,"READY - write the files","NOT READY - keep asking (Readiness sheet)")</f>
        <v/>
      </c>
    </row>
    <row r="3"/>
    <row r="4">
      <c r="A4" s="4" t="inlineStr">
        <is>
          <t>summary</t>
        </is>
      </c>
      <c r="B4" s="8" t="n"/>
      <c r="D4">
        <f>"# Initial Model Architecture Proposal"</f>
        <v/>
      </c>
    </row>
    <row r="5">
      <c r="D5">
        <f>""</f>
        <v/>
      </c>
    </row>
    <row r="6">
      <c r="A6" s="4" t="inlineStr">
        <is>
          <t>connectors</t>
        </is>
      </c>
      <c r="B6" s="8" t="n"/>
      <c r="D6">
        <f>"**Status:** Proposed. Human approval required before scaffolding."</f>
        <v/>
      </c>
    </row>
    <row r="7">
      <c r="B7" s="8" t="n"/>
      <c r="D7">
        <f>""</f>
        <v/>
      </c>
    </row>
    <row r="8">
      <c r="B8" s="8" t="n"/>
      <c r="D8">
        <f>"## Objective"</f>
        <v/>
      </c>
    </row>
    <row r="9">
      <c r="B9" s="8" t="n"/>
      <c r="D9">
        <f>""</f>
        <v/>
      </c>
    </row>
    <row r="10">
      <c r="B10" s="8" t="n"/>
      <c r="D10">
        <f>TRIM(B4)</f>
        <v/>
      </c>
    </row>
    <row r="11">
      <c r="B11" s="8" t="n"/>
      <c r="D11">
        <f>""</f>
        <v/>
      </c>
    </row>
    <row r="12">
      <c r="B12" s="8" t="n"/>
      <c r="D12">
        <f>"## Known Facts"</f>
        <v/>
      </c>
    </row>
    <row r="13">
      <c r="B13" s="8" t="n"/>
      <c r="D13">
        <f>""</f>
        <v/>
      </c>
    </row>
    <row r="14">
      <c r="D14">
        <f>IF(Facts!A5="","",IF(AND(LOWER(Facts!E5)&lt;&gt;"conflict",OR(LOWER(Facts!E5)="confirmed",Facts!F5&gt;=0.7)),"- "&amp;Facts!C5&amp;": "&amp;Facts!D5,""))</f>
        <v/>
      </c>
    </row>
    <row r="15">
      <c r="A15" s="4" t="inlineStr">
        <is>
          <t>model_components</t>
        </is>
      </c>
      <c r="B15" s="8" t="n"/>
      <c r="D15">
        <f>IF(Facts!A6="","",IF(AND(LOWER(Facts!E6)&lt;&gt;"conflict",OR(LOWER(Facts!E6)="confirmed",Facts!F6&gt;=0.7)),"- "&amp;Facts!C6&amp;": "&amp;Facts!D6,""))</f>
        <v/>
      </c>
    </row>
    <row r="16">
      <c r="B16" s="8" t="n"/>
      <c r="D16">
        <f>IF(Facts!A7="","",IF(AND(LOWER(Facts!E7)&lt;&gt;"conflict",OR(LOWER(Facts!E7)="confirmed",Facts!F7&gt;=0.7)),"- "&amp;Facts!C7&amp;": "&amp;Facts!D7,""))</f>
        <v/>
      </c>
    </row>
    <row r="17">
      <c r="B17" s="8" t="n"/>
      <c r="D17">
        <f>IF(Facts!A8="","",IF(AND(LOWER(Facts!E8)&lt;&gt;"conflict",OR(LOWER(Facts!E8)="confirmed",Facts!F8&gt;=0.7)),"- "&amp;Facts!C8&amp;": "&amp;Facts!D8,""))</f>
        <v/>
      </c>
    </row>
    <row r="18">
      <c r="B18" s="8" t="n"/>
      <c r="D18">
        <f>IF(Facts!A9="","",IF(AND(LOWER(Facts!E9)&lt;&gt;"conflict",OR(LOWER(Facts!E9)="confirmed",Facts!F9&gt;=0.7)),"- "&amp;Facts!C9&amp;": "&amp;Facts!D9,""))</f>
        <v/>
      </c>
    </row>
    <row r="19">
      <c r="B19" s="8" t="n"/>
      <c r="D19">
        <f>IF(Facts!A10="","",IF(AND(LOWER(Facts!E10)&lt;&gt;"conflict",OR(LOWER(Facts!E10)="confirmed",Facts!F10&gt;=0.7)),"- "&amp;Facts!C10&amp;": "&amp;Facts!D10,""))</f>
        <v/>
      </c>
    </row>
    <row r="20">
      <c r="B20" s="8" t="n"/>
      <c r="D20">
        <f>IF(Facts!A11="","",IF(AND(LOWER(Facts!E11)&lt;&gt;"conflict",OR(LOWER(Facts!E11)="confirmed",Facts!F11&gt;=0.7)),"- "&amp;Facts!C11&amp;": "&amp;Facts!D11,""))</f>
        <v/>
      </c>
    </row>
    <row r="21">
      <c r="B21" s="8" t="n"/>
      <c r="D21">
        <f>IF(Facts!A12="","",IF(AND(LOWER(Facts!E12)&lt;&gt;"conflict",OR(LOWER(Facts!E12)="confirmed",Facts!F12&gt;=0.7)),"- "&amp;Facts!C12&amp;": "&amp;Facts!D12,""))</f>
        <v/>
      </c>
    </row>
    <row r="22">
      <c r="B22" s="8" t="n"/>
      <c r="D22">
        <f>IF(Facts!A13="","",IF(AND(LOWER(Facts!E13)&lt;&gt;"conflict",OR(LOWER(Facts!E13)="confirmed",Facts!F13&gt;=0.7)),"- "&amp;Facts!C13&amp;": "&amp;Facts!D13,""))</f>
        <v/>
      </c>
    </row>
    <row r="23">
      <c r="D23">
        <f>IF(Facts!A14="","",IF(AND(LOWER(Facts!E14)&lt;&gt;"conflict",OR(LOWER(Facts!E14)="confirmed",Facts!F14&gt;=0.7)),"- "&amp;Facts!C14&amp;": "&amp;Facts!D14,""))</f>
        <v/>
      </c>
    </row>
    <row r="24">
      <c r="A24" s="4" t="inlineStr">
        <is>
          <t>generated_skills</t>
        </is>
      </c>
      <c r="B24" s="8" t="n"/>
      <c r="D24">
        <f>IF(Facts!A15="","",IF(AND(LOWER(Facts!E15)&lt;&gt;"conflict",OR(LOWER(Facts!E15)="confirmed",Facts!F15&gt;=0.7)),"- "&amp;Facts!C15&amp;": "&amp;Facts!D15,""))</f>
        <v/>
      </c>
    </row>
    <row r="25">
      <c r="B25" s="8" t="n"/>
      <c r="D25">
        <f>IF(Facts!A16="","",IF(AND(LOWER(Facts!E16)&lt;&gt;"conflict",OR(LOWER(Facts!E16)="confirmed",Facts!F16&gt;=0.7)),"- "&amp;Facts!C16&amp;": "&amp;Facts!D16,""))</f>
        <v/>
      </c>
    </row>
    <row r="26">
      <c r="B26" s="8" t="n"/>
      <c r="D26">
        <f>IF(Facts!A17="","",IF(AND(LOWER(Facts!E17)&lt;&gt;"conflict",OR(LOWER(Facts!E17)="confirmed",Facts!F17&gt;=0.7)),"- "&amp;Facts!C17&amp;": "&amp;Facts!D17,""))</f>
        <v/>
      </c>
    </row>
    <row r="27">
      <c r="B27" s="8" t="n"/>
      <c r="D27">
        <f>IF(Facts!A18="","",IF(AND(LOWER(Facts!E18)&lt;&gt;"conflict",OR(LOWER(Facts!E18)="confirmed",Facts!F18&gt;=0.7)),"- "&amp;Facts!C18&amp;": "&amp;Facts!D18,""))</f>
        <v/>
      </c>
    </row>
    <row r="28">
      <c r="B28" s="8" t="n"/>
      <c r="D28">
        <f>IF(Facts!A19="","",IF(AND(LOWER(Facts!E19)&lt;&gt;"conflict",OR(LOWER(Facts!E19)="confirmed",Facts!F19&gt;=0.7)),"- "&amp;Facts!C19&amp;": "&amp;Facts!D19,""))</f>
        <v/>
      </c>
    </row>
    <row r="29">
      <c r="B29" s="8" t="n"/>
      <c r="D29">
        <f>IF(Facts!A20="","",IF(AND(LOWER(Facts!E20)&lt;&gt;"conflict",OR(LOWER(Facts!E20)="confirmed",Facts!F20&gt;=0.7)),"- "&amp;Facts!C20&amp;": "&amp;Facts!D20,""))</f>
        <v/>
      </c>
    </row>
    <row r="30">
      <c r="B30" s="8" t="n"/>
      <c r="D30">
        <f>IF(Facts!A21="","",IF(AND(LOWER(Facts!E21)&lt;&gt;"conflict",OR(LOWER(Facts!E21)="confirmed",Facts!F21&gt;=0.7)),"- "&amp;Facts!C21&amp;": "&amp;Facts!D21,""))</f>
        <v/>
      </c>
    </row>
    <row r="31">
      <c r="B31" s="8" t="n"/>
      <c r="D31">
        <f>IF(Facts!A22="","",IF(AND(LOWER(Facts!E22)&lt;&gt;"conflict",OR(LOWER(Facts!E22)="confirmed",Facts!F22&gt;=0.7)),"- "&amp;Facts!C22&amp;": "&amp;Facts!D22,""))</f>
        <v/>
      </c>
    </row>
    <row r="32">
      <c r="D32">
        <f>IF(Facts!A23="","",IF(AND(LOWER(Facts!E23)&lt;&gt;"conflict",OR(LOWER(Facts!E23)="confirmed",Facts!F23&gt;=0.7)),"- "&amp;Facts!C23&amp;": "&amp;Facts!D23,""))</f>
        <v/>
      </c>
    </row>
    <row r="33">
      <c r="A33" s="4" t="inlineStr">
        <is>
          <t>risks</t>
        </is>
      </c>
      <c r="B33" s="8" t="n"/>
      <c r="D33">
        <f>IF(Facts!A24="","",IF(AND(LOWER(Facts!E24)&lt;&gt;"conflict",OR(LOWER(Facts!E24)="confirmed",Facts!F24&gt;=0.7)),"- "&amp;Facts!C24&amp;": "&amp;Facts!D24,""))</f>
        <v/>
      </c>
    </row>
    <row r="34">
      <c r="B34" s="8" t="n"/>
      <c r="D34">
        <f>IF(Facts!A25="","",IF(AND(LOWER(Facts!E25)&lt;&gt;"conflict",OR(LOWER(Facts!E25)="confirmed",Facts!F25&gt;=0.7)),"- "&amp;Facts!C25&amp;": "&amp;Facts!D25,""))</f>
        <v/>
      </c>
    </row>
    <row r="35">
      <c r="B35" s="8" t="n"/>
      <c r="D35">
        <f>IF(Facts!A26="","",IF(AND(LOWER(Facts!E26)&lt;&gt;"conflict",OR(LOWER(Facts!E26)="confirmed",Facts!F26&gt;=0.7)),"- "&amp;Facts!C26&amp;": "&amp;Facts!D26,""))</f>
        <v/>
      </c>
    </row>
    <row r="36">
      <c r="B36" s="8" t="n"/>
      <c r="D36">
        <f>IF(Facts!A27="","",IF(AND(LOWER(Facts!E27)&lt;&gt;"conflict",OR(LOWER(Facts!E27)="confirmed",Facts!F27&gt;=0.7)),"- "&amp;Facts!C27&amp;": "&amp;Facts!D27,""))</f>
        <v/>
      </c>
    </row>
    <row r="37">
      <c r="B37" s="8" t="n"/>
      <c r="D37">
        <f>IF(Facts!A28="","",IF(AND(LOWER(Facts!E28)&lt;&gt;"conflict",OR(LOWER(Facts!E28)="confirmed",Facts!F28&gt;=0.7)),"- "&amp;Facts!C28&amp;": "&amp;Facts!D28,""))</f>
        <v/>
      </c>
    </row>
    <row r="38">
      <c r="B38" s="8" t="n"/>
      <c r="D38">
        <f>IF(Facts!A29="","",IF(AND(LOWER(Facts!E29)&lt;&gt;"conflict",OR(LOWER(Facts!E29)="confirmed",Facts!F29&gt;=0.7)),"- "&amp;Facts!C29&amp;": "&amp;Facts!D29,""))</f>
        <v/>
      </c>
    </row>
    <row r="39">
      <c r="B39" s="8" t="n"/>
      <c r="D39">
        <f>IF(Facts!A30="","",IF(AND(LOWER(Facts!E30)&lt;&gt;"conflict",OR(LOWER(Facts!E30)="confirmed",Facts!F30&gt;=0.7)),"- "&amp;Facts!C30&amp;": "&amp;Facts!D30,""))</f>
        <v/>
      </c>
    </row>
    <row r="40">
      <c r="B40" s="8" t="n"/>
      <c r="D40">
        <f>IF(Facts!A31="","",IF(AND(LOWER(Facts!E31)&lt;&gt;"conflict",OR(LOWER(Facts!E31)="confirmed",Facts!F31&gt;=0.7)),"- "&amp;Facts!C31&amp;": "&amp;Facts!D31,""))</f>
        <v/>
      </c>
    </row>
    <row r="41">
      <c r="D41">
        <f>IF(Facts!A32="","",IF(AND(LOWER(Facts!E32)&lt;&gt;"conflict",OR(LOWER(Facts!E32)="confirmed",Facts!F32&gt;=0.7)),"- "&amp;Facts!C32&amp;": "&amp;Facts!D32,""))</f>
        <v/>
      </c>
    </row>
    <row r="42">
      <c r="A42" s="4" t="inlineStr">
        <is>
          <t>validation_checks</t>
        </is>
      </c>
      <c r="B42" s="8" t="n"/>
      <c r="D42">
        <f>IF(Facts!A33="","",IF(AND(LOWER(Facts!E33)&lt;&gt;"conflict",OR(LOWER(Facts!E33)="confirmed",Facts!F33&gt;=0.7)),"- "&amp;Facts!C33&amp;": "&amp;Facts!D33,""))</f>
        <v/>
      </c>
    </row>
    <row r="43">
      <c r="B43" s="8" t="n"/>
      <c r="D43">
        <f>IF(Facts!A34="","",IF(AND(LOWER(Facts!E34)&lt;&gt;"conflict",OR(LOWER(Facts!E34)="confirmed",Facts!F34&gt;=0.7)),"- "&amp;Facts!C34&amp;": "&amp;Facts!D34,""))</f>
        <v/>
      </c>
    </row>
    <row r="44">
      <c r="B44" s="8" t="n"/>
      <c r="D44">
        <f>IF(Facts!A35="","",IF(AND(LOWER(Facts!E35)&lt;&gt;"conflict",OR(LOWER(Facts!E35)="confirmed",Facts!F35&gt;=0.7)),"- "&amp;Facts!C35&amp;": "&amp;Facts!D35,""))</f>
        <v/>
      </c>
    </row>
    <row r="45">
      <c r="B45" s="8" t="n"/>
      <c r="D45">
        <f>IF(Facts!A36="","",IF(AND(LOWER(Facts!E36)&lt;&gt;"conflict",OR(LOWER(Facts!E36)="confirmed",Facts!F36&gt;=0.7)),"- "&amp;Facts!C36&amp;": "&amp;Facts!D36,""))</f>
        <v/>
      </c>
    </row>
    <row r="46">
      <c r="B46" s="8" t="n"/>
      <c r="D46">
        <f>IF(Facts!A37="","",IF(AND(LOWER(Facts!E37)&lt;&gt;"conflict",OR(LOWER(Facts!E37)="confirmed",Facts!F37&gt;=0.7)),"- "&amp;Facts!C37&amp;": "&amp;Facts!D37,""))</f>
        <v/>
      </c>
    </row>
    <row r="47">
      <c r="B47" s="8" t="n"/>
      <c r="D47">
        <f>IF(Facts!A38="","",IF(AND(LOWER(Facts!E38)&lt;&gt;"conflict",OR(LOWER(Facts!E38)="confirmed",Facts!F38&gt;=0.7)),"- "&amp;Facts!C38&amp;": "&amp;Facts!D38,""))</f>
        <v/>
      </c>
    </row>
    <row r="48">
      <c r="B48" s="8" t="n"/>
      <c r="D48">
        <f>IF(Facts!A39="","",IF(AND(LOWER(Facts!E39)&lt;&gt;"conflict",OR(LOWER(Facts!E39)="confirmed",Facts!F39&gt;=0.7)),"- "&amp;Facts!C39&amp;": "&amp;Facts!D39,""))</f>
        <v/>
      </c>
    </row>
    <row r="49">
      <c r="B49" s="8" t="n"/>
      <c r="D49">
        <f>IF(Facts!A40="","",IF(AND(LOWER(Facts!E40)&lt;&gt;"conflict",OR(LOWER(Facts!E40)="confirmed",Facts!F40&gt;=0.7)),"- "&amp;Facts!C40&amp;": "&amp;Facts!D40,""))</f>
        <v/>
      </c>
    </row>
    <row r="50">
      <c r="D50">
        <f>IF(Facts!A41="","",IF(AND(LOWER(Facts!E41)&lt;&gt;"conflict",OR(LOWER(Facts!E41)="confirmed",Facts!F41&gt;=0.7)),"- "&amp;Facts!C41&amp;": "&amp;Facts!D41,""))</f>
        <v/>
      </c>
    </row>
    <row r="51">
      <c r="D51">
        <f>IF(Facts!A42="","",IF(AND(LOWER(Facts!E42)&lt;&gt;"conflict",OR(LOWER(Facts!E42)="confirmed",Facts!F42&gt;=0.7)),"- "&amp;Facts!C42&amp;": "&amp;Facts!D42,""))</f>
        <v/>
      </c>
    </row>
    <row r="52">
      <c r="D52">
        <f>IF(Facts!A43="","",IF(AND(LOWER(Facts!E43)&lt;&gt;"conflict",OR(LOWER(Facts!E43)="confirmed",Facts!F43&gt;=0.7)),"- "&amp;Facts!C43&amp;": "&amp;Facts!D43,""))</f>
        <v/>
      </c>
    </row>
    <row r="53">
      <c r="D53">
        <f>IF(Facts!A44="","",IF(AND(LOWER(Facts!E44)&lt;&gt;"conflict",OR(LOWER(Facts!E44)="confirmed",Facts!F44&gt;=0.7)),"- "&amp;Facts!C44&amp;": "&amp;Facts!D44,""))</f>
        <v/>
      </c>
    </row>
    <row r="54">
      <c r="D54">
        <f>IF(Facts!A45="","",IF(AND(LOWER(Facts!E45)&lt;&gt;"conflict",OR(LOWER(Facts!E45)="confirmed",Facts!F45&gt;=0.7)),"- "&amp;Facts!C45&amp;": "&amp;Facts!D45,""))</f>
        <v/>
      </c>
    </row>
    <row r="55">
      <c r="D55">
        <f>IF(Facts!A46="","",IF(AND(LOWER(Facts!E46)&lt;&gt;"conflict",OR(LOWER(Facts!E46)="confirmed",Facts!F46&gt;=0.7)),"- "&amp;Facts!C46&amp;": "&amp;Facts!D46,""))</f>
        <v/>
      </c>
    </row>
    <row r="56">
      <c r="D56">
        <f>IF(Facts!A47="","",IF(AND(LOWER(Facts!E47)&lt;&gt;"conflict",OR(LOWER(Facts!E47)="confirmed",Facts!F47&gt;=0.7)),"- "&amp;Facts!C47&amp;": "&amp;Facts!D47,""))</f>
        <v/>
      </c>
    </row>
    <row r="57">
      <c r="D57">
        <f>IF(Facts!A48="","",IF(AND(LOWER(Facts!E48)&lt;&gt;"conflict",OR(LOWER(Facts!E48)="confirmed",Facts!F48&gt;=0.7)),"- "&amp;Facts!C48&amp;": "&amp;Facts!D48,""))</f>
        <v/>
      </c>
    </row>
    <row r="58">
      <c r="D58">
        <f>IF(Facts!A49="","",IF(AND(LOWER(Facts!E49)&lt;&gt;"conflict",OR(LOWER(Facts!E49)="confirmed",Facts!F49&gt;=0.7)),"- "&amp;Facts!C49&amp;": "&amp;Facts!D49,""))</f>
        <v/>
      </c>
    </row>
    <row r="59">
      <c r="D59">
        <f>IF(Facts!A50="","",IF(AND(LOWER(Facts!E50)&lt;&gt;"conflict",OR(LOWER(Facts!E50)="confirmed",Facts!F50&gt;=0.7)),"- "&amp;Facts!C50&amp;": "&amp;Facts!D50,""))</f>
        <v/>
      </c>
    </row>
    <row r="60">
      <c r="D60">
        <f>IF(Facts!A51="","",IF(AND(LOWER(Facts!E51)&lt;&gt;"conflict",OR(LOWER(Facts!E51)="confirmed",Facts!F51&gt;=0.7)),"- "&amp;Facts!C51&amp;": "&amp;Facts!D51,""))</f>
        <v/>
      </c>
    </row>
    <row r="61">
      <c r="D61">
        <f>IF(Facts!A52="","",IF(AND(LOWER(Facts!E52)&lt;&gt;"conflict",OR(LOWER(Facts!E52)="confirmed",Facts!F52&gt;=0.7)),"- "&amp;Facts!C52&amp;": "&amp;Facts!D52,""))</f>
        <v/>
      </c>
    </row>
    <row r="62">
      <c r="D62">
        <f>IF(Facts!A53="","",IF(AND(LOWER(Facts!E53)&lt;&gt;"conflict",OR(LOWER(Facts!E53)="confirmed",Facts!F53&gt;=0.7)),"- "&amp;Facts!C53&amp;": "&amp;Facts!D53,""))</f>
        <v/>
      </c>
    </row>
    <row r="63">
      <c r="D63">
        <f>IF(Facts!A54="","",IF(AND(LOWER(Facts!E54)&lt;&gt;"conflict",OR(LOWER(Facts!E54)="confirmed",Facts!F54&gt;=0.7)),"- "&amp;Facts!C54&amp;": "&amp;Facts!D54,""))</f>
        <v/>
      </c>
    </row>
    <row r="64">
      <c r="D64">
        <f>IF(Facts!A55="","",IF(AND(LOWER(Facts!E55)&lt;&gt;"conflict",OR(LOWER(Facts!E55)="confirmed",Facts!F55&gt;=0.7)),"- "&amp;Facts!C55&amp;": "&amp;Facts!D55,""))</f>
        <v/>
      </c>
    </row>
    <row r="65">
      <c r="D65">
        <f>IF(Facts!A56="","",IF(AND(LOWER(Facts!E56)&lt;&gt;"conflict",OR(LOWER(Facts!E56)="confirmed",Facts!F56&gt;=0.7)),"- "&amp;Facts!C56&amp;": "&amp;Facts!D56,""))</f>
        <v/>
      </c>
    </row>
    <row r="66">
      <c r="D66">
        <f>IF(Facts!A57="","",IF(AND(LOWER(Facts!E57)&lt;&gt;"conflict",OR(LOWER(Facts!E57)="confirmed",Facts!F57&gt;=0.7)),"- "&amp;Facts!C57&amp;": "&amp;Facts!D57,""))</f>
        <v/>
      </c>
    </row>
    <row r="67">
      <c r="D67">
        <f>IF(Facts!A58="","",IF(AND(LOWER(Facts!E58)&lt;&gt;"conflict",OR(LOWER(Facts!E58)="confirmed",Facts!F58&gt;=0.7)),"- "&amp;Facts!C58&amp;": "&amp;Facts!D58,""))</f>
        <v/>
      </c>
    </row>
    <row r="68">
      <c r="D68">
        <f>IF(Facts!A59="","",IF(AND(LOWER(Facts!E59)&lt;&gt;"conflict",OR(LOWER(Facts!E59)="confirmed",Facts!F59&gt;=0.7)),"- "&amp;Facts!C59&amp;": "&amp;Facts!D59,""))</f>
        <v/>
      </c>
    </row>
    <row r="69">
      <c r="D69">
        <f>IF(Facts!A60="","",IF(AND(LOWER(Facts!E60)&lt;&gt;"conflict",OR(LOWER(Facts!E60)="confirmed",Facts!F60&gt;=0.7)),"- "&amp;Facts!C60&amp;": "&amp;Facts!D60,""))</f>
        <v/>
      </c>
    </row>
    <row r="70">
      <c r="D70">
        <f>IF(Facts!A61="","",IF(AND(LOWER(Facts!E61)&lt;&gt;"conflict",OR(LOWER(Facts!E61)="confirmed",Facts!F61&gt;=0.7)),"- "&amp;Facts!C61&amp;": "&amp;Facts!D61,""))</f>
        <v/>
      </c>
    </row>
    <row r="71">
      <c r="D71">
        <f>IF(Facts!A62="","",IF(AND(LOWER(Facts!E62)&lt;&gt;"conflict",OR(LOWER(Facts!E62)="confirmed",Facts!F62&gt;=0.7)),"- "&amp;Facts!C62&amp;": "&amp;Facts!D62,""))</f>
        <v/>
      </c>
    </row>
    <row r="72">
      <c r="D72">
        <f>IF(Facts!A63="","",IF(AND(LOWER(Facts!E63)&lt;&gt;"conflict",OR(LOWER(Facts!E63)="confirmed",Facts!F63&gt;=0.7)),"- "&amp;Facts!C63&amp;": "&amp;Facts!D63,""))</f>
        <v/>
      </c>
    </row>
    <row r="73">
      <c r="D73">
        <f>IF(Facts!A64="","",IF(AND(LOWER(Facts!E64)&lt;&gt;"conflict",OR(LOWER(Facts!E64)="confirmed",Facts!F64&gt;=0.7)),"- "&amp;Facts!C64&amp;": "&amp;Facts!D64,""))</f>
        <v/>
      </c>
    </row>
    <row r="74">
      <c r="D74">
        <f>IF(SUMPRODUCT((Facts!A5:A64&lt;&gt;"")*((LOWER(Facts!E5:E64)="confirmed")+(Facts!F5:F64&gt;=0.7)&gt;0)*(LOWER(Facts!E5:E64)&lt;&gt;"conflict"))=0,"- No confirmed facts recorded.","")</f>
        <v/>
      </c>
    </row>
    <row r="75">
      <c r="D75">
        <f>""</f>
        <v/>
      </c>
    </row>
    <row r="76">
      <c r="D76">
        <f>"## Remaining Unknowns"</f>
        <v/>
      </c>
    </row>
    <row r="77">
      <c r="D77">
        <f>""</f>
        <v/>
      </c>
    </row>
    <row r="78">
      <c r="D78">
        <f>IF(Facts!A5="","",IF(OR(LOWER(Facts!E5)="conflict",Facts!F5&lt;0.7),"- "&amp;Facts!C5&amp;": "&amp;Facts!D5,""))</f>
        <v/>
      </c>
    </row>
    <row r="79">
      <c r="D79">
        <f>IF(Facts!A6="","",IF(OR(LOWER(Facts!E6)="conflict",Facts!F6&lt;0.7),"- "&amp;Facts!C6&amp;": "&amp;Facts!D6,""))</f>
        <v/>
      </c>
    </row>
    <row r="80">
      <c r="D80">
        <f>IF(Facts!A7="","",IF(OR(LOWER(Facts!E7)="conflict",Facts!F7&lt;0.7),"- "&amp;Facts!C7&amp;": "&amp;Facts!D7,""))</f>
        <v/>
      </c>
    </row>
    <row r="81">
      <c r="D81">
        <f>IF(Facts!A8="","",IF(OR(LOWER(Facts!E8)="conflict",Facts!F8&lt;0.7),"- "&amp;Facts!C8&amp;": "&amp;Facts!D8,""))</f>
        <v/>
      </c>
    </row>
    <row r="82">
      <c r="D82">
        <f>IF(Facts!A9="","",IF(OR(LOWER(Facts!E9)="conflict",Facts!F9&lt;0.7),"- "&amp;Facts!C9&amp;": "&amp;Facts!D9,""))</f>
        <v/>
      </c>
    </row>
    <row r="83">
      <c r="D83">
        <f>IF(Facts!A10="","",IF(OR(LOWER(Facts!E10)="conflict",Facts!F10&lt;0.7),"- "&amp;Facts!C10&amp;": "&amp;Facts!D10,""))</f>
        <v/>
      </c>
    </row>
    <row r="84">
      <c r="D84">
        <f>IF(Facts!A11="","",IF(OR(LOWER(Facts!E11)="conflict",Facts!F11&lt;0.7),"- "&amp;Facts!C11&amp;": "&amp;Facts!D11,""))</f>
        <v/>
      </c>
    </row>
    <row r="85">
      <c r="D85">
        <f>IF(Facts!A12="","",IF(OR(LOWER(Facts!E12)="conflict",Facts!F12&lt;0.7),"- "&amp;Facts!C12&amp;": "&amp;Facts!D12,""))</f>
        <v/>
      </c>
    </row>
    <row r="86">
      <c r="D86">
        <f>IF(Facts!A13="","",IF(OR(LOWER(Facts!E13)="conflict",Facts!F13&lt;0.7),"- "&amp;Facts!C13&amp;": "&amp;Facts!D13,""))</f>
        <v/>
      </c>
    </row>
    <row r="87">
      <c r="D87">
        <f>IF(Facts!A14="","",IF(OR(LOWER(Facts!E14)="conflict",Facts!F14&lt;0.7),"- "&amp;Facts!C14&amp;": "&amp;Facts!D14,""))</f>
        <v/>
      </c>
    </row>
    <row r="88">
      <c r="D88">
        <f>IF(Facts!A15="","",IF(OR(LOWER(Facts!E15)="conflict",Facts!F15&lt;0.7),"- "&amp;Facts!C15&amp;": "&amp;Facts!D15,""))</f>
        <v/>
      </c>
    </row>
    <row r="89">
      <c r="D89">
        <f>IF(Facts!A16="","",IF(OR(LOWER(Facts!E16)="conflict",Facts!F16&lt;0.7),"- "&amp;Facts!C16&amp;": "&amp;Facts!D16,""))</f>
        <v/>
      </c>
    </row>
    <row r="90">
      <c r="D90">
        <f>IF(Facts!A17="","",IF(OR(LOWER(Facts!E17)="conflict",Facts!F17&lt;0.7),"- "&amp;Facts!C17&amp;": "&amp;Facts!D17,""))</f>
        <v/>
      </c>
    </row>
    <row r="91">
      <c r="D91">
        <f>IF(Facts!A18="","",IF(OR(LOWER(Facts!E18)="conflict",Facts!F18&lt;0.7),"- "&amp;Facts!C18&amp;": "&amp;Facts!D18,""))</f>
        <v/>
      </c>
    </row>
    <row r="92">
      <c r="D92">
        <f>IF(Facts!A19="","",IF(OR(LOWER(Facts!E19)="conflict",Facts!F19&lt;0.7),"- "&amp;Facts!C19&amp;": "&amp;Facts!D19,""))</f>
        <v/>
      </c>
    </row>
    <row r="93">
      <c r="D93">
        <f>IF(Facts!A20="","",IF(OR(LOWER(Facts!E20)="conflict",Facts!F20&lt;0.7),"- "&amp;Facts!C20&amp;": "&amp;Facts!D20,""))</f>
        <v/>
      </c>
    </row>
    <row r="94">
      <c r="D94">
        <f>IF(Facts!A21="","",IF(OR(LOWER(Facts!E21)="conflict",Facts!F21&lt;0.7),"- "&amp;Facts!C21&amp;": "&amp;Facts!D21,""))</f>
        <v/>
      </c>
    </row>
    <row r="95">
      <c r="D95">
        <f>IF(Facts!A22="","",IF(OR(LOWER(Facts!E22)="conflict",Facts!F22&lt;0.7),"- "&amp;Facts!C22&amp;": "&amp;Facts!D22,""))</f>
        <v/>
      </c>
    </row>
    <row r="96">
      <c r="D96">
        <f>IF(Facts!A23="","",IF(OR(LOWER(Facts!E23)="conflict",Facts!F23&lt;0.7),"- "&amp;Facts!C23&amp;": "&amp;Facts!D23,""))</f>
        <v/>
      </c>
    </row>
    <row r="97">
      <c r="D97">
        <f>IF(Facts!A24="","",IF(OR(LOWER(Facts!E24)="conflict",Facts!F24&lt;0.7),"- "&amp;Facts!C24&amp;": "&amp;Facts!D24,""))</f>
        <v/>
      </c>
    </row>
    <row r="98">
      <c r="D98">
        <f>IF(Facts!A25="","",IF(OR(LOWER(Facts!E25)="conflict",Facts!F25&lt;0.7),"- "&amp;Facts!C25&amp;": "&amp;Facts!D25,""))</f>
        <v/>
      </c>
    </row>
    <row r="99">
      <c r="D99">
        <f>IF(Facts!A26="","",IF(OR(LOWER(Facts!E26)="conflict",Facts!F26&lt;0.7),"- "&amp;Facts!C26&amp;": "&amp;Facts!D26,""))</f>
        <v/>
      </c>
    </row>
    <row r="100">
      <c r="D100">
        <f>IF(Facts!A27="","",IF(OR(LOWER(Facts!E27)="conflict",Facts!F27&lt;0.7),"- "&amp;Facts!C27&amp;": "&amp;Facts!D27,""))</f>
        <v/>
      </c>
    </row>
    <row r="101">
      <c r="D101">
        <f>IF(Facts!A28="","",IF(OR(LOWER(Facts!E28)="conflict",Facts!F28&lt;0.7),"- "&amp;Facts!C28&amp;": "&amp;Facts!D28,""))</f>
        <v/>
      </c>
    </row>
    <row r="102">
      <c r="D102">
        <f>IF(Facts!A29="","",IF(OR(LOWER(Facts!E29)="conflict",Facts!F29&lt;0.7),"- "&amp;Facts!C29&amp;": "&amp;Facts!D29,""))</f>
        <v/>
      </c>
    </row>
    <row r="103">
      <c r="D103">
        <f>IF(Facts!A30="","",IF(OR(LOWER(Facts!E30)="conflict",Facts!F30&lt;0.7),"- "&amp;Facts!C30&amp;": "&amp;Facts!D30,""))</f>
        <v/>
      </c>
    </row>
    <row r="104">
      <c r="D104">
        <f>IF(Facts!A31="","",IF(OR(LOWER(Facts!E31)="conflict",Facts!F31&lt;0.7),"- "&amp;Facts!C31&amp;": "&amp;Facts!D31,""))</f>
        <v/>
      </c>
    </row>
    <row r="105">
      <c r="D105">
        <f>IF(Facts!A32="","",IF(OR(LOWER(Facts!E32)="conflict",Facts!F32&lt;0.7),"- "&amp;Facts!C32&amp;": "&amp;Facts!D32,""))</f>
        <v/>
      </c>
    </row>
    <row r="106">
      <c r="D106">
        <f>IF(Facts!A33="","",IF(OR(LOWER(Facts!E33)="conflict",Facts!F33&lt;0.7),"- "&amp;Facts!C33&amp;": "&amp;Facts!D33,""))</f>
        <v/>
      </c>
    </row>
    <row r="107">
      <c r="D107">
        <f>IF(Facts!A34="","",IF(OR(LOWER(Facts!E34)="conflict",Facts!F34&lt;0.7),"- "&amp;Facts!C34&amp;": "&amp;Facts!D34,""))</f>
        <v/>
      </c>
    </row>
    <row r="108">
      <c r="D108">
        <f>IF(Facts!A35="","",IF(OR(LOWER(Facts!E35)="conflict",Facts!F35&lt;0.7),"- "&amp;Facts!C35&amp;": "&amp;Facts!D35,""))</f>
        <v/>
      </c>
    </row>
    <row r="109">
      <c r="D109">
        <f>IF(Facts!A36="","",IF(OR(LOWER(Facts!E36)="conflict",Facts!F36&lt;0.7),"- "&amp;Facts!C36&amp;": "&amp;Facts!D36,""))</f>
        <v/>
      </c>
    </row>
    <row r="110">
      <c r="D110">
        <f>IF(Facts!A37="","",IF(OR(LOWER(Facts!E37)="conflict",Facts!F37&lt;0.7),"- "&amp;Facts!C37&amp;": "&amp;Facts!D37,""))</f>
        <v/>
      </c>
    </row>
    <row r="111">
      <c r="D111">
        <f>IF(Facts!A38="","",IF(OR(LOWER(Facts!E38)="conflict",Facts!F38&lt;0.7),"- "&amp;Facts!C38&amp;": "&amp;Facts!D38,""))</f>
        <v/>
      </c>
    </row>
    <row r="112">
      <c r="D112">
        <f>IF(Facts!A39="","",IF(OR(LOWER(Facts!E39)="conflict",Facts!F39&lt;0.7),"- "&amp;Facts!C39&amp;": "&amp;Facts!D39,""))</f>
        <v/>
      </c>
    </row>
    <row r="113">
      <c r="D113">
        <f>IF(Facts!A40="","",IF(OR(LOWER(Facts!E40)="conflict",Facts!F40&lt;0.7),"- "&amp;Facts!C40&amp;": "&amp;Facts!D40,""))</f>
        <v/>
      </c>
    </row>
    <row r="114">
      <c r="D114">
        <f>IF(Facts!A41="","",IF(OR(LOWER(Facts!E41)="conflict",Facts!F41&lt;0.7),"- "&amp;Facts!C41&amp;": "&amp;Facts!D41,""))</f>
        <v/>
      </c>
    </row>
    <row r="115">
      <c r="D115">
        <f>IF(Facts!A42="","",IF(OR(LOWER(Facts!E42)="conflict",Facts!F42&lt;0.7),"- "&amp;Facts!C42&amp;": "&amp;Facts!D42,""))</f>
        <v/>
      </c>
    </row>
    <row r="116">
      <c r="D116">
        <f>IF(Facts!A43="","",IF(OR(LOWER(Facts!E43)="conflict",Facts!F43&lt;0.7),"- "&amp;Facts!C43&amp;": "&amp;Facts!D43,""))</f>
        <v/>
      </c>
    </row>
    <row r="117">
      <c r="D117">
        <f>IF(Facts!A44="","",IF(OR(LOWER(Facts!E44)="conflict",Facts!F44&lt;0.7),"- "&amp;Facts!C44&amp;": "&amp;Facts!D44,""))</f>
        <v/>
      </c>
    </row>
    <row r="118">
      <c r="D118">
        <f>IF(Facts!A45="","",IF(OR(LOWER(Facts!E45)="conflict",Facts!F45&lt;0.7),"- "&amp;Facts!C45&amp;": "&amp;Facts!D45,""))</f>
        <v/>
      </c>
    </row>
    <row r="119">
      <c r="D119">
        <f>IF(Facts!A46="","",IF(OR(LOWER(Facts!E46)="conflict",Facts!F46&lt;0.7),"- "&amp;Facts!C46&amp;": "&amp;Facts!D46,""))</f>
        <v/>
      </c>
    </row>
    <row r="120">
      <c r="D120">
        <f>IF(Facts!A47="","",IF(OR(LOWER(Facts!E47)="conflict",Facts!F47&lt;0.7),"- "&amp;Facts!C47&amp;": "&amp;Facts!D47,""))</f>
        <v/>
      </c>
    </row>
    <row r="121">
      <c r="D121">
        <f>IF(Facts!A48="","",IF(OR(LOWER(Facts!E48)="conflict",Facts!F48&lt;0.7),"- "&amp;Facts!C48&amp;": "&amp;Facts!D48,""))</f>
        <v/>
      </c>
    </row>
    <row r="122">
      <c r="D122">
        <f>IF(Facts!A49="","",IF(OR(LOWER(Facts!E49)="conflict",Facts!F49&lt;0.7),"- "&amp;Facts!C49&amp;": "&amp;Facts!D49,""))</f>
        <v/>
      </c>
    </row>
    <row r="123">
      <c r="D123">
        <f>IF(Facts!A50="","",IF(OR(LOWER(Facts!E50)="conflict",Facts!F50&lt;0.7),"- "&amp;Facts!C50&amp;": "&amp;Facts!D50,""))</f>
        <v/>
      </c>
    </row>
    <row r="124">
      <c r="D124">
        <f>IF(Facts!A51="","",IF(OR(LOWER(Facts!E51)="conflict",Facts!F51&lt;0.7),"- "&amp;Facts!C51&amp;": "&amp;Facts!D51,""))</f>
        <v/>
      </c>
    </row>
    <row r="125">
      <c r="D125">
        <f>IF(Facts!A52="","",IF(OR(LOWER(Facts!E52)="conflict",Facts!F52&lt;0.7),"- "&amp;Facts!C52&amp;": "&amp;Facts!D52,""))</f>
        <v/>
      </c>
    </row>
    <row r="126">
      <c r="D126">
        <f>IF(Facts!A53="","",IF(OR(LOWER(Facts!E53)="conflict",Facts!F53&lt;0.7),"- "&amp;Facts!C53&amp;": "&amp;Facts!D53,""))</f>
        <v/>
      </c>
    </row>
    <row r="127">
      <c r="D127">
        <f>IF(Facts!A54="","",IF(OR(LOWER(Facts!E54)="conflict",Facts!F54&lt;0.7),"- "&amp;Facts!C54&amp;": "&amp;Facts!D54,""))</f>
        <v/>
      </c>
    </row>
    <row r="128">
      <c r="D128">
        <f>IF(Facts!A55="","",IF(OR(LOWER(Facts!E55)="conflict",Facts!F55&lt;0.7),"- "&amp;Facts!C55&amp;": "&amp;Facts!D55,""))</f>
        <v/>
      </c>
    </row>
    <row r="129">
      <c r="D129">
        <f>IF(Facts!A56="","",IF(OR(LOWER(Facts!E56)="conflict",Facts!F56&lt;0.7),"- "&amp;Facts!C56&amp;": "&amp;Facts!D56,""))</f>
        <v/>
      </c>
    </row>
    <row r="130">
      <c r="D130">
        <f>IF(Facts!A57="","",IF(OR(LOWER(Facts!E57)="conflict",Facts!F57&lt;0.7),"- "&amp;Facts!C57&amp;": "&amp;Facts!D57,""))</f>
        <v/>
      </c>
    </row>
    <row r="131">
      <c r="D131">
        <f>IF(Facts!A58="","",IF(OR(LOWER(Facts!E58)="conflict",Facts!F58&lt;0.7),"- "&amp;Facts!C58&amp;": "&amp;Facts!D58,""))</f>
        <v/>
      </c>
    </row>
    <row r="132">
      <c r="D132">
        <f>IF(Facts!A59="","",IF(OR(LOWER(Facts!E59)="conflict",Facts!F59&lt;0.7),"- "&amp;Facts!C59&amp;": "&amp;Facts!D59,""))</f>
        <v/>
      </c>
    </row>
    <row r="133">
      <c r="D133">
        <f>IF(Facts!A60="","",IF(OR(LOWER(Facts!E60)="conflict",Facts!F60&lt;0.7),"- "&amp;Facts!C60&amp;": "&amp;Facts!D60,""))</f>
        <v/>
      </c>
    </row>
    <row r="134">
      <c r="D134">
        <f>IF(Facts!A61="","",IF(OR(LOWER(Facts!E61)="conflict",Facts!F61&lt;0.7),"- "&amp;Facts!C61&amp;": "&amp;Facts!D61,""))</f>
        <v/>
      </c>
    </row>
    <row r="135">
      <c r="D135">
        <f>IF(Facts!A62="","",IF(OR(LOWER(Facts!E62)="conflict",Facts!F62&lt;0.7),"- "&amp;Facts!C62&amp;": "&amp;Facts!D62,""))</f>
        <v/>
      </c>
    </row>
    <row r="136">
      <c r="D136">
        <f>IF(Facts!A63="","",IF(OR(LOWER(Facts!E63)="conflict",Facts!F63&lt;0.7),"- "&amp;Facts!C63&amp;": "&amp;Facts!D63,""))</f>
        <v/>
      </c>
    </row>
    <row r="137">
      <c r="D137">
        <f>IF(Facts!A64="","",IF(OR(LOWER(Facts!E64)="conflict",Facts!F64&lt;0.7),"- "&amp;Facts!C64&amp;": "&amp;Facts!D64,""))</f>
        <v/>
      </c>
    </row>
    <row r="138">
      <c r="D138">
        <f>IF(SUMPRODUCT((Facts!A5:A64&lt;&gt;"")*((LOWER(Facts!E5:E64)="conflict")+(Facts!F5:F64&lt;0.7)&gt;0))=0,"- No architecture-critical unknowns remain.","")</f>
        <v/>
      </c>
    </row>
    <row r="139">
      <c r="D139">
        <f>""</f>
        <v/>
      </c>
    </row>
    <row r="140">
      <c r="D140">
        <f>"## Proposed Connectors"</f>
        <v/>
      </c>
    </row>
    <row r="141">
      <c r="D141">
        <f>""</f>
        <v/>
      </c>
    </row>
    <row r="142">
      <c r="D142">
        <f>IF(B6="","","- "&amp;B6)</f>
        <v/>
      </c>
    </row>
    <row r="143">
      <c r="D143">
        <f>IF(B7="","","- "&amp;B7)</f>
        <v/>
      </c>
    </row>
    <row r="144">
      <c r="D144">
        <f>IF(B8="","","- "&amp;B8)</f>
        <v/>
      </c>
    </row>
    <row r="145">
      <c r="D145">
        <f>IF(B9="","","- "&amp;B9)</f>
        <v/>
      </c>
    </row>
    <row r="146">
      <c r="D146">
        <f>IF(B10="","","- "&amp;B10)</f>
        <v/>
      </c>
    </row>
    <row r="147">
      <c r="D147">
        <f>IF(B11="","","- "&amp;B11)</f>
        <v/>
      </c>
    </row>
    <row r="148">
      <c r="D148">
        <f>IF(B12="","","- "&amp;B12)</f>
        <v/>
      </c>
    </row>
    <row r="149">
      <c r="D149">
        <f>IF(B13="","","- "&amp;B13)</f>
        <v/>
      </c>
    </row>
    <row r="150">
      <c r="D150">
        <f>IF(COUNTA(B6:B13)=0,"- None proposed.","")</f>
        <v/>
      </c>
    </row>
    <row r="151">
      <c r="D151">
        <f>""</f>
        <v/>
      </c>
    </row>
    <row r="152">
      <c r="D152">
        <f>"## Proposed Model Components"</f>
        <v/>
      </c>
    </row>
    <row r="153">
      <c r="D153">
        <f>""</f>
        <v/>
      </c>
    </row>
    <row r="154">
      <c r="D154">
        <f>IF(B15="","","- "&amp;B15)</f>
        <v/>
      </c>
    </row>
    <row r="155">
      <c r="D155">
        <f>IF(B16="","","- "&amp;B16)</f>
        <v/>
      </c>
    </row>
    <row r="156">
      <c r="D156">
        <f>IF(B17="","","- "&amp;B17)</f>
        <v/>
      </c>
    </row>
    <row r="157">
      <c r="D157">
        <f>IF(B18="","","- "&amp;B18)</f>
        <v/>
      </c>
    </row>
    <row r="158">
      <c r="D158">
        <f>IF(B19="","","- "&amp;B19)</f>
        <v/>
      </c>
    </row>
    <row r="159">
      <c r="D159">
        <f>IF(B20="","","- "&amp;B20)</f>
        <v/>
      </c>
    </row>
    <row r="160">
      <c r="D160">
        <f>IF(B21="","","- "&amp;B21)</f>
        <v/>
      </c>
    </row>
    <row r="161">
      <c r="D161">
        <f>IF(B22="","","- "&amp;B22)</f>
        <v/>
      </c>
    </row>
    <row r="162">
      <c r="D162">
        <f>IF(COUNTA(B15:B22)=0,"- None proposed.","")</f>
        <v/>
      </c>
    </row>
    <row r="163">
      <c r="D163">
        <f>""</f>
        <v/>
      </c>
    </row>
    <row r="164">
      <c r="D164">
        <f>"## Proposed Generated Skills"</f>
        <v/>
      </c>
    </row>
    <row r="165">
      <c r="D165">
        <f>""</f>
        <v/>
      </c>
    </row>
    <row r="166">
      <c r="D166">
        <f>IF(B24="","","- "&amp;B24)</f>
        <v/>
      </c>
    </row>
    <row r="167">
      <c r="D167">
        <f>IF(B25="","","- "&amp;B25)</f>
        <v/>
      </c>
    </row>
    <row r="168">
      <c r="D168">
        <f>IF(B26="","","- "&amp;B26)</f>
        <v/>
      </c>
    </row>
    <row r="169">
      <c r="D169">
        <f>IF(B27="","","- "&amp;B27)</f>
        <v/>
      </c>
    </row>
    <row r="170">
      <c r="D170">
        <f>IF(B28="","","- "&amp;B28)</f>
        <v/>
      </c>
    </row>
    <row r="171">
      <c r="D171">
        <f>IF(B29="","","- "&amp;B29)</f>
        <v/>
      </c>
    </row>
    <row r="172">
      <c r="D172">
        <f>IF(B30="","","- "&amp;B30)</f>
        <v/>
      </c>
    </row>
    <row r="173">
      <c r="D173">
        <f>IF(B31="","","- "&amp;B31)</f>
        <v/>
      </c>
    </row>
    <row r="174">
      <c r="D174">
        <f>IF(COUNTA(B24:B31)=0,"- None proposed.","")</f>
        <v/>
      </c>
    </row>
    <row r="175">
      <c r="D175">
        <f>""</f>
        <v/>
      </c>
    </row>
    <row r="176">
      <c r="D176">
        <f>"## Risks And Judgment Areas"</f>
        <v/>
      </c>
    </row>
    <row r="177">
      <c r="D177">
        <f>""</f>
        <v/>
      </c>
    </row>
    <row r="178">
      <c r="D178">
        <f>IF(B33="","","- "&amp;B33)</f>
        <v/>
      </c>
    </row>
    <row r="179">
      <c r="D179">
        <f>IF(B34="","","- "&amp;B34)</f>
        <v/>
      </c>
    </row>
    <row r="180">
      <c r="D180">
        <f>IF(B35="","","- "&amp;B35)</f>
        <v/>
      </c>
    </row>
    <row r="181">
      <c r="D181">
        <f>IF(B36="","","- "&amp;B36)</f>
        <v/>
      </c>
    </row>
    <row r="182">
      <c r="D182">
        <f>IF(B37="","","- "&amp;B37)</f>
        <v/>
      </c>
    </row>
    <row r="183">
      <c r="D183">
        <f>IF(B38="","","- "&amp;B38)</f>
        <v/>
      </c>
    </row>
    <row r="184">
      <c r="D184">
        <f>IF(B39="","","- "&amp;B39)</f>
        <v/>
      </c>
    </row>
    <row r="185">
      <c r="D185">
        <f>IF(B40="","","- "&amp;B40)</f>
        <v/>
      </c>
    </row>
    <row r="186">
      <c r="D186">
        <f>IF(COUNTA(B33:B40)=0,"- No additional risks recorded.","")</f>
        <v/>
      </c>
    </row>
    <row r="187">
      <c r="D187">
        <f>""</f>
        <v/>
      </c>
    </row>
    <row r="188">
      <c r="D188">
        <f>"## Validation Checks"</f>
        <v/>
      </c>
    </row>
    <row r="189">
      <c r="D189">
        <f>""</f>
        <v/>
      </c>
    </row>
    <row r="190">
      <c r="D190">
        <f>IF(B42="","","- "&amp;B42)</f>
        <v/>
      </c>
    </row>
    <row r="191">
      <c r="D191">
        <f>IF(B43="","","- "&amp;B43)</f>
        <v/>
      </c>
    </row>
    <row r="192">
      <c r="D192">
        <f>IF(B44="","","- "&amp;B44)</f>
        <v/>
      </c>
    </row>
    <row r="193">
      <c r="D193">
        <f>IF(B45="","","- "&amp;B45)</f>
        <v/>
      </c>
    </row>
    <row r="194">
      <c r="D194">
        <f>IF(B46="","","- "&amp;B46)</f>
        <v/>
      </c>
    </row>
    <row r="195">
      <c r="D195">
        <f>IF(B47="","","- "&amp;B47)</f>
        <v/>
      </c>
    </row>
    <row r="196">
      <c r="D196">
        <f>IF(B48="","","- "&amp;B48)</f>
        <v/>
      </c>
    </row>
    <row r="197">
      <c r="D197">
        <f>IF(B49="","","- "&amp;B49)</f>
        <v/>
      </c>
    </row>
    <row r="198">
      <c r="D198">
        <f>IF(COUNTA(B42:B49)=0,"- None proposed.","")</f>
        <v/>
      </c>
    </row>
    <row r="199">
      <c r="D199">
        <f>""</f>
        <v/>
      </c>
    </row>
    <row r="200">
      <c r="D200">
        <f>"## Decision"</f>
        <v/>
      </c>
    </row>
    <row r="201">
      <c r="D201">
        <f>""</f>
        <v/>
      </c>
    </row>
    <row r="202">
      <c r="D202">
        <f>"- [ ] Approved to scaffold"</f>
        <v/>
      </c>
    </row>
    <row r="203">
      <c r="D203">
        <f>"- [ ] Revise proposal"</f>
        <v/>
      </c>
    </row>
    <row r="204">
      <c r="D204">
        <f>"- [ ] Stop after business profile"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2026-10-18T16:52:37Z</dcterms:created>
  <dcterms:modified xmlns:dcterms="http://purl.org/dc/terms/" xmlns:xsi="http://www.w3.org/2001/XMLSchema-instance" xsi:type="dcterms:W3CDTF">2026-10-18T16:52:37Z</dcterms:modified>
</cp:coreProperties>
</file>