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SKUs" sheetId="3" state="visible" r:id="rId3"/>
    <sheet xmlns:r="http://schemas.openxmlformats.org/officeDocument/2006/relationships" name="Ranked" sheetId="4" state="visible" r:id="rId4"/>
  </sheets>
  <definedNames>
    <definedName name="pareto_breakpoint">'Ranked'!$E$3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-#,##0.00"/>
    <numFmt numFmtId="165" formatCode="#,##0;[Red]-#,##0"/>
    <numFmt numFmtId="166" formatCode="0.0%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vertical="center" wrapText="1"/>
    </xf>
    <xf numFmtId="0" fontId="3" fillId="3" borderId="1" pivotButton="0" quotePrefix="0" xfId="0"/>
    <xf numFmtId="3" fontId="3" fillId="3" borderId="1" pivotButton="0" quotePrefix="0" xfId="0"/>
    <xf numFmtId="164" fontId="3" fillId="3" borderId="1" pivotButton="0" quotePrefix="0" xfId="0"/>
    <xf numFmtId="165" fontId="0" fillId="0" borderId="1" pivotButton="0" quotePrefix="0" xfId="0"/>
    <xf numFmtId="166" fontId="0" fillId="0" borderId="1" pivotButton="0" quotePrefix="0" xfId="0"/>
    <xf numFmtId="1" fontId="0" fillId="0" borderId="1" pivotButton="0" quotePrefix="0" xfId="0"/>
    <xf numFmtId="166" fontId="3" fillId="3" borderId="1" pivotButton="0" quotePrefix="0" xfId="0"/>
    <xf numFmtId="1" fontId="4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K06 · SKU Profitability &amp; Pareto (no-code kernel)</t>
        </is>
      </c>
    </row>
    <row r="2"/>
    <row r="3">
      <c r="A3" s="2" t="inlineStr">
        <is>
          <t>Replaces openfpa: pyfpa.analysis.sku (Sku, sku_profitability, pareto_breakpoint) and the generated sku-profitability skill.</t>
        </is>
      </c>
    </row>
    <row r="4">
      <c r="A4" s="2" t="inlineStr">
        <is>
          <t>Enter annual units, selling price and unit cost per SKU (up to 300). Revenue = units x price; COGS = units x unit cost; gross profit; gross margin (0 if revenue 0).</t>
        </is>
      </c>
    </row>
    <row r="5">
      <c r="A5" s="2" t="inlineStr">
        <is>
          <t>'Ranked' sorts by gross profit DESC (ties keep input order), adds revenue share and cumulative revenue % (Pareto). pareto_breakpoint = number of SKUs whose cumulative revenue first reaches the threshold (default 80%).</t>
        </is>
      </c>
    </row>
    <row r="6">
      <c r="A6" s="2" t="inlineStr">
        <is>
          <t>Judgment: gross margin here is price minus unit cost only - it excludes marketplace commission (Amazon.in/Flipkart), GST input-credit leakage, returns, freight and fulfilment. Weigh contribution rupees, not just 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  <col width="40" customWidth="1" min="4" max="4"/>
  </cols>
  <sheetData>
    <row r="1">
      <c r="A1" s="1" t="inlineStr">
        <is>
          <t>Checks - OVERALL must be PASS</t>
        </is>
      </c>
    </row>
    <row r="2"/>
    <row r="3">
      <c r="B3" s="3" t="inlineStr">
        <is>
          <t>OVERALL</t>
        </is>
      </c>
      <c r="C3" s="4">
        <f>IF(COUNTIF(C5:C7,"PASS")=COUNT(A5:A7),"PASS","FAIL")</f>
        <v/>
      </c>
      <c r="D3" s="5">
        <f>COUNTIF(C5:C7,"PASS")&amp;" pass / "&amp;COUNTIF(C5:C7,"FAIL")&amp;" fail / "&amp;(COUNT(A5:A7)-COUNTIF(C5:C7,"PASS")-COUNTIF(C5:C7,"FAIL"))&amp;" error"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  <c r="D4" s="6" t="inlineStr">
        <is>
          <t>detail</t>
        </is>
      </c>
    </row>
    <row r="5">
      <c r="A5" t="n">
        <v>1</v>
      </c>
      <c r="B5" t="inlineStr">
        <is>
          <t>units, price, unit_cost &gt;= 0 for every SKU</t>
        </is>
      </c>
      <c r="C5" s="5">
        <f>IF(AND(COUNTIF(SKUs!B5:D304,"&lt;0")=0),"PASS","FAIL")</f>
        <v/>
      </c>
    </row>
    <row r="6">
      <c r="A6" t="n">
        <v>2</v>
      </c>
      <c r="B6" t="inlineStr">
        <is>
          <t>SKU names unique</t>
        </is>
      </c>
      <c r="C6" s="5">
        <f>IF(SUMPRODUCT((SKUs!A5:A304&lt;&gt;"")*(COUNTIF(SKUs!A5:A304,SKUs!A5:A304)&gt;1))=0,"PASS","FAIL")</f>
        <v/>
      </c>
    </row>
    <row r="7">
      <c r="A7" t="n">
        <v>3</v>
      </c>
      <c r="B7" t="inlineStr">
        <is>
          <t>cumulative revenue % ends at 100% (when revenue &gt; 0)</t>
        </is>
      </c>
      <c r="C7" s="5">
        <f>IF(OR(SUM(SKUs!E5:E304)=0,ABS(MAX(Ranked!I6:I305)-1)&lt;1E-9),"PASS","FAIL")</f>
        <v/>
      </c>
    </row>
  </sheetData>
  <conditionalFormatting sqref="C3:C7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4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SKU inputs</t>
        </is>
      </c>
    </row>
    <row r="2"/>
    <row r="3"/>
    <row r="4">
      <c r="A4" s="6" t="inlineStr">
        <is>
          <t>sku name</t>
        </is>
      </c>
      <c r="B4" s="6" t="inlineStr">
        <is>
          <t>units (annual)</t>
        </is>
      </c>
      <c r="C4" s="6" t="inlineStr">
        <is>
          <t>price</t>
        </is>
      </c>
      <c r="D4" s="6" t="inlineStr">
        <is>
          <t>unit_cost</t>
        </is>
      </c>
      <c r="E4" s="6" t="inlineStr">
        <is>
          <t>revenue</t>
        </is>
      </c>
      <c r="F4" s="6" t="inlineStr">
        <is>
          <t>cogs</t>
        </is>
      </c>
      <c r="G4" s="6" t="inlineStr">
        <is>
          <t>gross_profit</t>
        </is>
      </c>
      <c r="H4" s="6" t="inlineStr">
        <is>
          <t>gross_margin</t>
        </is>
      </c>
      <c r="I4" s="6" t="inlineStr">
        <is>
          <t>rank by GP (desc, stable)</t>
        </is>
      </c>
    </row>
    <row r="5">
      <c r="A5" s="7" t="n"/>
      <c r="B5" s="8" t="n"/>
      <c r="C5" s="9" t="n"/>
      <c r="D5" s="9" t="n"/>
      <c r="E5" s="10">
        <f>IF(A5="","",B5*C5)</f>
        <v/>
      </c>
      <c r="F5" s="10">
        <f>IF(A5="","",B5*D5)</f>
        <v/>
      </c>
      <c r="G5" s="10">
        <f>IF(A5="","",E5-F5)</f>
        <v/>
      </c>
      <c r="H5" s="11">
        <f>IF(A5="","",IF(E5=0,0,G5/E5))</f>
        <v/>
      </c>
      <c r="I5" s="12">
        <f>IF(A5="","",COUNTIF($G$5:$G$304,"&gt;"&amp;G5)+COUNTIF($G$5:G5,G5))</f>
        <v/>
      </c>
    </row>
    <row r="6">
      <c r="A6" s="7" t="n"/>
      <c r="B6" s="8" t="n"/>
      <c r="C6" s="9" t="n"/>
      <c r="D6" s="9" t="n"/>
      <c r="E6" s="10">
        <f>IF(A6="","",B6*C6)</f>
        <v/>
      </c>
      <c r="F6" s="10">
        <f>IF(A6="","",B6*D6)</f>
        <v/>
      </c>
      <c r="G6" s="10">
        <f>IF(A6="","",E6-F6)</f>
        <v/>
      </c>
      <c r="H6" s="11">
        <f>IF(A6="","",IF(E6=0,0,G6/E6))</f>
        <v/>
      </c>
      <c r="I6" s="12">
        <f>IF(A6="","",COUNTIF($G$5:$G$304,"&gt;"&amp;G6)+COUNTIF($G$5:G6,G6))</f>
        <v/>
      </c>
    </row>
    <row r="7">
      <c r="A7" s="7" t="n"/>
      <c r="B7" s="8" t="n"/>
      <c r="C7" s="9" t="n"/>
      <c r="D7" s="9" t="n"/>
      <c r="E7" s="10">
        <f>IF(A7="","",B7*C7)</f>
        <v/>
      </c>
      <c r="F7" s="10">
        <f>IF(A7="","",B7*D7)</f>
        <v/>
      </c>
      <c r="G7" s="10">
        <f>IF(A7="","",E7-F7)</f>
        <v/>
      </c>
      <c r="H7" s="11">
        <f>IF(A7="","",IF(E7=0,0,G7/E7))</f>
        <v/>
      </c>
      <c r="I7" s="12">
        <f>IF(A7="","",COUNTIF($G$5:$G$304,"&gt;"&amp;G7)+COUNTIF($G$5:G7,G7))</f>
        <v/>
      </c>
    </row>
    <row r="8">
      <c r="A8" s="7" t="n"/>
      <c r="B8" s="8" t="n"/>
      <c r="C8" s="9" t="n"/>
      <c r="D8" s="9" t="n"/>
      <c r="E8" s="10">
        <f>IF(A8="","",B8*C8)</f>
        <v/>
      </c>
      <c r="F8" s="10">
        <f>IF(A8="","",B8*D8)</f>
        <v/>
      </c>
      <c r="G8" s="10">
        <f>IF(A8="","",E8-F8)</f>
        <v/>
      </c>
      <c r="H8" s="11">
        <f>IF(A8="","",IF(E8=0,0,G8/E8))</f>
        <v/>
      </c>
      <c r="I8" s="12">
        <f>IF(A8="","",COUNTIF($G$5:$G$304,"&gt;"&amp;G8)+COUNTIF($G$5:G8,G8))</f>
        <v/>
      </c>
    </row>
    <row r="9">
      <c r="A9" s="7" t="n"/>
      <c r="B9" s="8" t="n"/>
      <c r="C9" s="9" t="n"/>
      <c r="D9" s="9" t="n"/>
      <c r="E9" s="10">
        <f>IF(A9="","",B9*C9)</f>
        <v/>
      </c>
      <c r="F9" s="10">
        <f>IF(A9="","",B9*D9)</f>
        <v/>
      </c>
      <c r="G9" s="10">
        <f>IF(A9="","",E9-F9)</f>
        <v/>
      </c>
      <c r="H9" s="11">
        <f>IF(A9="","",IF(E9=0,0,G9/E9))</f>
        <v/>
      </c>
      <c r="I9" s="12">
        <f>IF(A9="","",COUNTIF($G$5:$G$304,"&gt;"&amp;G9)+COUNTIF($G$5:G9,G9))</f>
        <v/>
      </c>
    </row>
    <row r="10">
      <c r="A10" s="7" t="n"/>
      <c r="B10" s="8" t="n"/>
      <c r="C10" s="9" t="n"/>
      <c r="D10" s="9" t="n"/>
      <c r="E10" s="10">
        <f>IF(A10="","",B10*C10)</f>
        <v/>
      </c>
      <c r="F10" s="10">
        <f>IF(A10="","",B10*D10)</f>
        <v/>
      </c>
      <c r="G10" s="10">
        <f>IF(A10="","",E10-F10)</f>
        <v/>
      </c>
      <c r="H10" s="11">
        <f>IF(A10="","",IF(E10=0,0,G10/E10))</f>
        <v/>
      </c>
      <c r="I10" s="12">
        <f>IF(A10="","",COUNTIF($G$5:$G$304,"&gt;"&amp;G10)+COUNTIF($G$5:G10,G10))</f>
        <v/>
      </c>
    </row>
    <row r="11">
      <c r="A11" s="7" t="n"/>
      <c r="B11" s="8" t="n"/>
      <c r="C11" s="9" t="n"/>
      <c r="D11" s="9" t="n"/>
      <c r="E11" s="10">
        <f>IF(A11="","",B11*C11)</f>
        <v/>
      </c>
      <c r="F11" s="10">
        <f>IF(A11="","",B11*D11)</f>
        <v/>
      </c>
      <c r="G11" s="10">
        <f>IF(A11="","",E11-F11)</f>
        <v/>
      </c>
      <c r="H11" s="11">
        <f>IF(A11="","",IF(E11=0,0,G11/E11))</f>
        <v/>
      </c>
      <c r="I11" s="12">
        <f>IF(A11="","",COUNTIF($G$5:$G$304,"&gt;"&amp;G11)+COUNTIF($G$5:G11,G11))</f>
        <v/>
      </c>
    </row>
    <row r="12">
      <c r="A12" s="7" t="n"/>
      <c r="B12" s="8" t="n"/>
      <c r="C12" s="9" t="n"/>
      <c r="D12" s="9" t="n"/>
      <c r="E12" s="10">
        <f>IF(A12="","",B12*C12)</f>
        <v/>
      </c>
      <c r="F12" s="10">
        <f>IF(A12="","",B12*D12)</f>
        <v/>
      </c>
      <c r="G12" s="10">
        <f>IF(A12="","",E12-F12)</f>
        <v/>
      </c>
      <c r="H12" s="11">
        <f>IF(A12="","",IF(E12=0,0,G12/E12))</f>
        <v/>
      </c>
      <c r="I12" s="12">
        <f>IF(A12="","",COUNTIF($G$5:$G$304,"&gt;"&amp;G12)+COUNTIF($G$5:G12,G12))</f>
        <v/>
      </c>
    </row>
    <row r="13">
      <c r="A13" s="7" t="n"/>
      <c r="B13" s="8" t="n"/>
      <c r="C13" s="9" t="n"/>
      <c r="D13" s="9" t="n"/>
      <c r="E13" s="10">
        <f>IF(A13="","",B13*C13)</f>
        <v/>
      </c>
      <c r="F13" s="10">
        <f>IF(A13="","",B13*D13)</f>
        <v/>
      </c>
      <c r="G13" s="10">
        <f>IF(A13="","",E13-F13)</f>
        <v/>
      </c>
      <c r="H13" s="11">
        <f>IF(A13="","",IF(E13=0,0,G13/E13))</f>
        <v/>
      </c>
      <c r="I13" s="12">
        <f>IF(A13="","",COUNTIF($G$5:$G$304,"&gt;"&amp;G13)+COUNTIF($G$5:G13,G13))</f>
        <v/>
      </c>
    </row>
    <row r="14">
      <c r="A14" s="7" t="n"/>
      <c r="B14" s="8" t="n"/>
      <c r="C14" s="9" t="n"/>
      <c r="D14" s="9" t="n"/>
      <c r="E14" s="10">
        <f>IF(A14="","",B14*C14)</f>
        <v/>
      </c>
      <c r="F14" s="10">
        <f>IF(A14="","",B14*D14)</f>
        <v/>
      </c>
      <c r="G14" s="10">
        <f>IF(A14="","",E14-F14)</f>
        <v/>
      </c>
      <c r="H14" s="11">
        <f>IF(A14="","",IF(E14=0,0,G14/E14))</f>
        <v/>
      </c>
      <c r="I14" s="12">
        <f>IF(A14="","",COUNTIF($G$5:$G$304,"&gt;"&amp;G14)+COUNTIF($G$5:G14,G14))</f>
        <v/>
      </c>
    </row>
    <row r="15">
      <c r="A15" s="7" t="n"/>
      <c r="B15" s="8" t="n"/>
      <c r="C15" s="9" t="n"/>
      <c r="D15" s="9" t="n"/>
      <c r="E15" s="10">
        <f>IF(A15="","",B15*C15)</f>
        <v/>
      </c>
      <c r="F15" s="10">
        <f>IF(A15="","",B15*D15)</f>
        <v/>
      </c>
      <c r="G15" s="10">
        <f>IF(A15="","",E15-F15)</f>
        <v/>
      </c>
      <c r="H15" s="11">
        <f>IF(A15="","",IF(E15=0,0,G15/E15))</f>
        <v/>
      </c>
      <c r="I15" s="12">
        <f>IF(A15="","",COUNTIF($G$5:$G$304,"&gt;"&amp;G15)+COUNTIF($G$5:G15,G15))</f>
        <v/>
      </c>
    </row>
    <row r="16">
      <c r="A16" s="7" t="n"/>
      <c r="B16" s="8" t="n"/>
      <c r="C16" s="9" t="n"/>
      <c r="D16" s="9" t="n"/>
      <c r="E16" s="10">
        <f>IF(A16="","",B16*C16)</f>
        <v/>
      </c>
      <c r="F16" s="10">
        <f>IF(A16="","",B16*D16)</f>
        <v/>
      </c>
      <c r="G16" s="10">
        <f>IF(A16="","",E16-F16)</f>
        <v/>
      </c>
      <c r="H16" s="11">
        <f>IF(A16="","",IF(E16=0,0,G16/E16))</f>
        <v/>
      </c>
      <c r="I16" s="12">
        <f>IF(A16="","",COUNTIF($G$5:$G$304,"&gt;"&amp;G16)+COUNTIF($G$5:G16,G16))</f>
        <v/>
      </c>
    </row>
    <row r="17">
      <c r="A17" s="7" t="n"/>
      <c r="B17" s="8" t="n"/>
      <c r="C17" s="9" t="n"/>
      <c r="D17" s="9" t="n"/>
      <c r="E17" s="10">
        <f>IF(A17="","",B17*C17)</f>
        <v/>
      </c>
      <c r="F17" s="10">
        <f>IF(A17="","",B17*D17)</f>
        <v/>
      </c>
      <c r="G17" s="10">
        <f>IF(A17="","",E17-F17)</f>
        <v/>
      </c>
      <c r="H17" s="11">
        <f>IF(A17="","",IF(E17=0,0,G17/E17))</f>
        <v/>
      </c>
      <c r="I17" s="12">
        <f>IF(A17="","",COUNTIF($G$5:$G$304,"&gt;"&amp;G17)+COUNTIF($G$5:G17,G17))</f>
        <v/>
      </c>
    </row>
    <row r="18">
      <c r="A18" s="7" t="n"/>
      <c r="B18" s="8" t="n"/>
      <c r="C18" s="9" t="n"/>
      <c r="D18" s="9" t="n"/>
      <c r="E18" s="10">
        <f>IF(A18="","",B18*C18)</f>
        <v/>
      </c>
      <c r="F18" s="10">
        <f>IF(A18="","",B18*D18)</f>
        <v/>
      </c>
      <c r="G18" s="10">
        <f>IF(A18="","",E18-F18)</f>
        <v/>
      </c>
      <c r="H18" s="11">
        <f>IF(A18="","",IF(E18=0,0,G18/E18))</f>
        <v/>
      </c>
      <c r="I18" s="12">
        <f>IF(A18="","",COUNTIF($G$5:$G$304,"&gt;"&amp;G18)+COUNTIF($G$5:G18,G18))</f>
        <v/>
      </c>
    </row>
    <row r="19">
      <c r="A19" s="7" t="n"/>
      <c r="B19" s="8" t="n"/>
      <c r="C19" s="9" t="n"/>
      <c r="D19" s="9" t="n"/>
      <c r="E19" s="10">
        <f>IF(A19="","",B19*C19)</f>
        <v/>
      </c>
      <c r="F19" s="10">
        <f>IF(A19="","",B19*D19)</f>
        <v/>
      </c>
      <c r="G19" s="10">
        <f>IF(A19="","",E19-F19)</f>
        <v/>
      </c>
      <c r="H19" s="11">
        <f>IF(A19="","",IF(E19=0,0,G19/E19))</f>
        <v/>
      </c>
      <c r="I19" s="12">
        <f>IF(A19="","",COUNTIF($G$5:$G$304,"&gt;"&amp;G19)+COUNTIF($G$5:G19,G19))</f>
        <v/>
      </c>
    </row>
    <row r="20">
      <c r="A20" s="7" t="n"/>
      <c r="B20" s="8" t="n"/>
      <c r="C20" s="9" t="n"/>
      <c r="D20" s="9" t="n"/>
      <c r="E20" s="10">
        <f>IF(A20="","",B20*C20)</f>
        <v/>
      </c>
      <c r="F20" s="10">
        <f>IF(A20="","",B20*D20)</f>
        <v/>
      </c>
      <c r="G20" s="10">
        <f>IF(A20="","",E20-F20)</f>
        <v/>
      </c>
      <c r="H20" s="11">
        <f>IF(A20="","",IF(E20=0,0,G20/E20))</f>
        <v/>
      </c>
      <c r="I20" s="12">
        <f>IF(A20="","",COUNTIF($G$5:$G$304,"&gt;"&amp;G20)+COUNTIF($G$5:G20,G20))</f>
        <v/>
      </c>
    </row>
    <row r="21">
      <c r="A21" s="7" t="n"/>
      <c r="B21" s="8" t="n"/>
      <c r="C21" s="9" t="n"/>
      <c r="D21" s="9" t="n"/>
      <c r="E21" s="10">
        <f>IF(A21="","",B21*C21)</f>
        <v/>
      </c>
      <c r="F21" s="10">
        <f>IF(A21="","",B21*D21)</f>
        <v/>
      </c>
      <c r="G21" s="10">
        <f>IF(A21="","",E21-F21)</f>
        <v/>
      </c>
      <c r="H21" s="11">
        <f>IF(A21="","",IF(E21=0,0,G21/E21))</f>
        <v/>
      </c>
      <c r="I21" s="12">
        <f>IF(A21="","",COUNTIF($G$5:$G$304,"&gt;"&amp;G21)+COUNTIF($G$5:G21,G21))</f>
        <v/>
      </c>
    </row>
    <row r="22">
      <c r="A22" s="7" t="n"/>
      <c r="B22" s="8" t="n"/>
      <c r="C22" s="9" t="n"/>
      <c r="D22" s="9" t="n"/>
      <c r="E22" s="10">
        <f>IF(A22="","",B22*C22)</f>
        <v/>
      </c>
      <c r="F22" s="10">
        <f>IF(A22="","",B22*D22)</f>
        <v/>
      </c>
      <c r="G22" s="10">
        <f>IF(A22="","",E22-F22)</f>
        <v/>
      </c>
      <c r="H22" s="11">
        <f>IF(A22="","",IF(E22=0,0,G22/E22))</f>
        <v/>
      </c>
      <c r="I22" s="12">
        <f>IF(A22="","",COUNTIF($G$5:$G$304,"&gt;"&amp;G22)+COUNTIF($G$5:G22,G22))</f>
        <v/>
      </c>
    </row>
    <row r="23">
      <c r="A23" s="7" t="n"/>
      <c r="B23" s="8" t="n"/>
      <c r="C23" s="9" t="n"/>
      <c r="D23" s="9" t="n"/>
      <c r="E23" s="10">
        <f>IF(A23="","",B23*C23)</f>
        <v/>
      </c>
      <c r="F23" s="10">
        <f>IF(A23="","",B23*D23)</f>
        <v/>
      </c>
      <c r="G23" s="10">
        <f>IF(A23="","",E23-F23)</f>
        <v/>
      </c>
      <c r="H23" s="11">
        <f>IF(A23="","",IF(E23=0,0,G23/E23))</f>
        <v/>
      </c>
      <c r="I23" s="12">
        <f>IF(A23="","",COUNTIF($G$5:$G$304,"&gt;"&amp;G23)+COUNTIF($G$5:G23,G23))</f>
        <v/>
      </c>
    </row>
    <row r="24">
      <c r="A24" s="7" t="n"/>
      <c r="B24" s="8" t="n"/>
      <c r="C24" s="9" t="n"/>
      <c r="D24" s="9" t="n"/>
      <c r="E24" s="10">
        <f>IF(A24="","",B24*C24)</f>
        <v/>
      </c>
      <c r="F24" s="10">
        <f>IF(A24="","",B24*D24)</f>
        <v/>
      </c>
      <c r="G24" s="10">
        <f>IF(A24="","",E24-F24)</f>
        <v/>
      </c>
      <c r="H24" s="11">
        <f>IF(A24="","",IF(E24=0,0,G24/E24))</f>
        <v/>
      </c>
      <c r="I24" s="12">
        <f>IF(A24="","",COUNTIF($G$5:$G$304,"&gt;"&amp;G24)+COUNTIF($G$5:G24,G24))</f>
        <v/>
      </c>
    </row>
    <row r="25">
      <c r="A25" s="7" t="n"/>
      <c r="B25" s="8" t="n"/>
      <c r="C25" s="9" t="n"/>
      <c r="D25" s="9" t="n"/>
      <c r="E25" s="10">
        <f>IF(A25="","",B25*C25)</f>
        <v/>
      </c>
      <c r="F25" s="10">
        <f>IF(A25="","",B25*D25)</f>
        <v/>
      </c>
      <c r="G25" s="10">
        <f>IF(A25="","",E25-F25)</f>
        <v/>
      </c>
      <c r="H25" s="11">
        <f>IF(A25="","",IF(E25=0,0,G25/E25))</f>
        <v/>
      </c>
      <c r="I25" s="12">
        <f>IF(A25="","",COUNTIF($G$5:$G$304,"&gt;"&amp;G25)+COUNTIF($G$5:G25,G25))</f>
        <v/>
      </c>
    </row>
    <row r="26">
      <c r="A26" s="7" t="n"/>
      <c r="B26" s="8" t="n"/>
      <c r="C26" s="9" t="n"/>
      <c r="D26" s="9" t="n"/>
      <c r="E26" s="10">
        <f>IF(A26="","",B26*C26)</f>
        <v/>
      </c>
      <c r="F26" s="10">
        <f>IF(A26="","",B26*D26)</f>
        <v/>
      </c>
      <c r="G26" s="10">
        <f>IF(A26="","",E26-F26)</f>
        <v/>
      </c>
      <c r="H26" s="11">
        <f>IF(A26="","",IF(E26=0,0,G26/E26))</f>
        <v/>
      </c>
      <c r="I26" s="12">
        <f>IF(A26="","",COUNTIF($G$5:$G$304,"&gt;"&amp;G26)+COUNTIF($G$5:G26,G26))</f>
        <v/>
      </c>
    </row>
    <row r="27">
      <c r="A27" s="7" t="n"/>
      <c r="B27" s="8" t="n"/>
      <c r="C27" s="9" t="n"/>
      <c r="D27" s="9" t="n"/>
      <c r="E27" s="10">
        <f>IF(A27="","",B27*C27)</f>
        <v/>
      </c>
      <c r="F27" s="10">
        <f>IF(A27="","",B27*D27)</f>
        <v/>
      </c>
      <c r="G27" s="10">
        <f>IF(A27="","",E27-F27)</f>
        <v/>
      </c>
      <c r="H27" s="11">
        <f>IF(A27="","",IF(E27=0,0,G27/E27))</f>
        <v/>
      </c>
      <c r="I27" s="12">
        <f>IF(A27="","",COUNTIF($G$5:$G$304,"&gt;"&amp;G27)+COUNTIF($G$5:G27,G27))</f>
        <v/>
      </c>
    </row>
    <row r="28">
      <c r="A28" s="7" t="n"/>
      <c r="B28" s="8" t="n"/>
      <c r="C28" s="9" t="n"/>
      <c r="D28" s="9" t="n"/>
      <c r="E28" s="10">
        <f>IF(A28="","",B28*C28)</f>
        <v/>
      </c>
      <c r="F28" s="10">
        <f>IF(A28="","",B28*D28)</f>
        <v/>
      </c>
      <c r="G28" s="10">
        <f>IF(A28="","",E28-F28)</f>
        <v/>
      </c>
      <c r="H28" s="11">
        <f>IF(A28="","",IF(E28=0,0,G28/E28))</f>
        <v/>
      </c>
      <c r="I28" s="12">
        <f>IF(A28="","",COUNTIF($G$5:$G$304,"&gt;"&amp;G28)+COUNTIF($G$5:G28,G28))</f>
        <v/>
      </c>
    </row>
    <row r="29">
      <c r="A29" s="7" t="n"/>
      <c r="B29" s="8" t="n"/>
      <c r="C29" s="9" t="n"/>
      <c r="D29" s="9" t="n"/>
      <c r="E29" s="10">
        <f>IF(A29="","",B29*C29)</f>
        <v/>
      </c>
      <c r="F29" s="10">
        <f>IF(A29="","",B29*D29)</f>
        <v/>
      </c>
      <c r="G29" s="10">
        <f>IF(A29="","",E29-F29)</f>
        <v/>
      </c>
      <c r="H29" s="11">
        <f>IF(A29="","",IF(E29=0,0,G29/E29))</f>
        <v/>
      </c>
      <c r="I29" s="12">
        <f>IF(A29="","",COUNTIF($G$5:$G$304,"&gt;"&amp;G29)+COUNTIF($G$5:G29,G29))</f>
        <v/>
      </c>
    </row>
    <row r="30">
      <c r="A30" s="7" t="n"/>
      <c r="B30" s="8" t="n"/>
      <c r="C30" s="9" t="n"/>
      <c r="D30" s="9" t="n"/>
      <c r="E30" s="10">
        <f>IF(A30="","",B30*C30)</f>
        <v/>
      </c>
      <c r="F30" s="10">
        <f>IF(A30="","",B30*D30)</f>
        <v/>
      </c>
      <c r="G30" s="10">
        <f>IF(A30="","",E30-F30)</f>
        <v/>
      </c>
      <c r="H30" s="11">
        <f>IF(A30="","",IF(E30=0,0,G30/E30))</f>
        <v/>
      </c>
      <c r="I30" s="12">
        <f>IF(A30="","",COUNTIF($G$5:$G$304,"&gt;"&amp;G30)+COUNTIF($G$5:G30,G30))</f>
        <v/>
      </c>
    </row>
    <row r="31">
      <c r="A31" s="7" t="n"/>
      <c r="B31" s="8" t="n"/>
      <c r="C31" s="9" t="n"/>
      <c r="D31" s="9" t="n"/>
      <c r="E31" s="10">
        <f>IF(A31="","",B31*C31)</f>
        <v/>
      </c>
      <c r="F31" s="10">
        <f>IF(A31="","",B31*D31)</f>
        <v/>
      </c>
      <c r="G31" s="10">
        <f>IF(A31="","",E31-F31)</f>
        <v/>
      </c>
      <c r="H31" s="11">
        <f>IF(A31="","",IF(E31=0,0,G31/E31))</f>
        <v/>
      </c>
      <c r="I31" s="12">
        <f>IF(A31="","",COUNTIF($G$5:$G$304,"&gt;"&amp;G31)+COUNTIF($G$5:G31,G31))</f>
        <v/>
      </c>
    </row>
    <row r="32">
      <c r="A32" s="7" t="n"/>
      <c r="B32" s="8" t="n"/>
      <c r="C32" s="9" t="n"/>
      <c r="D32" s="9" t="n"/>
      <c r="E32" s="10">
        <f>IF(A32="","",B32*C32)</f>
        <v/>
      </c>
      <c r="F32" s="10">
        <f>IF(A32="","",B32*D32)</f>
        <v/>
      </c>
      <c r="G32" s="10">
        <f>IF(A32="","",E32-F32)</f>
        <v/>
      </c>
      <c r="H32" s="11">
        <f>IF(A32="","",IF(E32=0,0,G32/E32))</f>
        <v/>
      </c>
      <c r="I32" s="12">
        <f>IF(A32="","",COUNTIF($G$5:$G$304,"&gt;"&amp;G32)+COUNTIF($G$5:G32,G32))</f>
        <v/>
      </c>
    </row>
    <row r="33">
      <c r="A33" s="7" t="n"/>
      <c r="B33" s="8" t="n"/>
      <c r="C33" s="9" t="n"/>
      <c r="D33" s="9" t="n"/>
      <c r="E33" s="10">
        <f>IF(A33="","",B33*C33)</f>
        <v/>
      </c>
      <c r="F33" s="10">
        <f>IF(A33="","",B33*D33)</f>
        <v/>
      </c>
      <c r="G33" s="10">
        <f>IF(A33="","",E33-F33)</f>
        <v/>
      </c>
      <c r="H33" s="11">
        <f>IF(A33="","",IF(E33=0,0,G33/E33))</f>
        <v/>
      </c>
      <c r="I33" s="12">
        <f>IF(A33="","",COUNTIF($G$5:$G$304,"&gt;"&amp;G33)+COUNTIF($G$5:G33,G33))</f>
        <v/>
      </c>
    </row>
    <row r="34">
      <c r="A34" s="7" t="n"/>
      <c r="B34" s="8" t="n"/>
      <c r="C34" s="9" t="n"/>
      <c r="D34" s="9" t="n"/>
      <c r="E34" s="10">
        <f>IF(A34="","",B34*C34)</f>
        <v/>
      </c>
      <c r="F34" s="10">
        <f>IF(A34="","",B34*D34)</f>
        <v/>
      </c>
      <c r="G34" s="10">
        <f>IF(A34="","",E34-F34)</f>
        <v/>
      </c>
      <c r="H34" s="11">
        <f>IF(A34="","",IF(E34=0,0,G34/E34))</f>
        <v/>
      </c>
      <c r="I34" s="12">
        <f>IF(A34="","",COUNTIF($G$5:$G$304,"&gt;"&amp;G34)+COUNTIF($G$5:G34,G34))</f>
        <v/>
      </c>
    </row>
    <row r="35">
      <c r="A35" s="7" t="n"/>
      <c r="B35" s="8" t="n"/>
      <c r="C35" s="9" t="n"/>
      <c r="D35" s="9" t="n"/>
      <c r="E35" s="10">
        <f>IF(A35="","",B35*C35)</f>
        <v/>
      </c>
      <c r="F35" s="10">
        <f>IF(A35="","",B35*D35)</f>
        <v/>
      </c>
      <c r="G35" s="10">
        <f>IF(A35="","",E35-F35)</f>
        <v/>
      </c>
      <c r="H35" s="11">
        <f>IF(A35="","",IF(E35=0,0,G35/E35))</f>
        <v/>
      </c>
      <c r="I35" s="12">
        <f>IF(A35="","",COUNTIF($G$5:$G$304,"&gt;"&amp;G35)+COUNTIF($G$5:G35,G35))</f>
        <v/>
      </c>
    </row>
    <row r="36">
      <c r="A36" s="7" t="n"/>
      <c r="B36" s="8" t="n"/>
      <c r="C36" s="9" t="n"/>
      <c r="D36" s="9" t="n"/>
      <c r="E36" s="10">
        <f>IF(A36="","",B36*C36)</f>
        <v/>
      </c>
      <c r="F36" s="10">
        <f>IF(A36="","",B36*D36)</f>
        <v/>
      </c>
      <c r="G36" s="10">
        <f>IF(A36="","",E36-F36)</f>
        <v/>
      </c>
      <c r="H36" s="11">
        <f>IF(A36="","",IF(E36=0,0,G36/E36))</f>
        <v/>
      </c>
      <c r="I36" s="12">
        <f>IF(A36="","",COUNTIF($G$5:$G$304,"&gt;"&amp;G36)+COUNTIF($G$5:G36,G36))</f>
        <v/>
      </c>
    </row>
    <row r="37">
      <c r="A37" s="7" t="n"/>
      <c r="B37" s="8" t="n"/>
      <c r="C37" s="9" t="n"/>
      <c r="D37" s="9" t="n"/>
      <c r="E37" s="10">
        <f>IF(A37="","",B37*C37)</f>
        <v/>
      </c>
      <c r="F37" s="10">
        <f>IF(A37="","",B37*D37)</f>
        <v/>
      </c>
      <c r="G37" s="10">
        <f>IF(A37="","",E37-F37)</f>
        <v/>
      </c>
      <c r="H37" s="11">
        <f>IF(A37="","",IF(E37=0,0,G37/E37))</f>
        <v/>
      </c>
      <c r="I37" s="12">
        <f>IF(A37="","",COUNTIF($G$5:$G$304,"&gt;"&amp;G37)+COUNTIF($G$5:G37,G37))</f>
        <v/>
      </c>
    </row>
    <row r="38">
      <c r="A38" s="7" t="n"/>
      <c r="B38" s="8" t="n"/>
      <c r="C38" s="9" t="n"/>
      <c r="D38" s="9" t="n"/>
      <c r="E38" s="10">
        <f>IF(A38="","",B38*C38)</f>
        <v/>
      </c>
      <c r="F38" s="10">
        <f>IF(A38="","",B38*D38)</f>
        <v/>
      </c>
      <c r="G38" s="10">
        <f>IF(A38="","",E38-F38)</f>
        <v/>
      </c>
      <c r="H38" s="11">
        <f>IF(A38="","",IF(E38=0,0,G38/E38))</f>
        <v/>
      </c>
      <c r="I38" s="12">
        <f>IF(A38="","",COUNTIF($G$5:$G$304,"&gt;"&amp;G38)+COUNTIF($G$5:G38,G38))</f>
        <v/>
      </c>
    </row>
    <row r="39">
      <c r="A39" s="7" t="n"/>
      <c r="B39" s="8" t="n"/>
      <c r="C39" s="9" t="n"/>
      <c r="D39" s="9" t="n"/>
      <c r="E39" s="10">
        <f>IF(A39="","",B39*C39)</f>
        <v/>
      </c>
      <c r="F39" s="10">
        <f>IF(A39="","",B39*D39)</f>
        <v/>
      </c>
      <c r="G39" s="10">
        <f>IF(A39="","",E39-F39)</f>
        <v/>
      </c>
      <c r="H39" s="11">
        <f>IF(A39="","",IF(E39=0,0,G39/E39))</f>
        <v/>
      </c>
      <c r="I39" s="12">
        <f>IF(A39="","",COUNTIF($G$5:$G$304,"&gt;"&amp;G39)+COUNTIF($G$5:G39,G39))</f>
        <v/>
      </c>
    </row>
    <row r="40">
      <c r="A40" s="7" t="n"/>
      <c r="B40" s="8" t="n"/>
      <c r="C40" s="9" t="n"/>
      <c r="D40" s="9" t="n"/>
      <c r="E40" s="10">
        <f>IF(A40="","",B40*C40)</f>
        <v/>
      </c>
      <c r="F40" s="10">
        <f>IF(A40="","",B40*D40)</f>
        <v/>
      </c>
      <c r="G40" s="10">
        <f>IF(A40="","",E40-F40)</f>
        <v/>
      </c>
      <c r="H40" s="11">
        <f>IF(A40="","",IF(E40=0,0,G40/E40))</f>
        <v/>
      </c>
      <c r="I40" s="12">
        <f>IF(A40="","",COUNTIF($G$5:$G$304,"&gt;"&amp;G40)+COUNTIF($G$5:G40,G40))</f>
        <v/>
      </c>
    </row>
    <row r="41">
      <c r="A41" s="7" t="n"/>
      <c r="B41" s="8" t="n"/>
      <c r="C41" s="9" t="n"/>
      <c r="D41" s="9" t="n"/>
      <c r="E41" s="10">
        <f>IF(A41="","",B41*C41)</f>
        <v/>
      </c>
      <c r="F41" s="10">
        <f>IF(A41="","",B41*D41)</f>
        <v/>
      </c>
      <c r="G41" s="10">
        <f>IF(A41="","",E41-F41)</f>
        <v/>
      </c>
      <c r="H41" s="11">
        <f>IF(A41="","",IF(E41=0,0,G41/E41))</f>
        <v/>
      </c>
      <c r="I41" s="12">
        <f>IF(A41="","",COUNTIF($G$5:$G$304,"&gt;"&amp;G41)+COUNTIF($G$5:G41,G41))</f>
        <v/>
      </c>
    </row>
    <row r="42">
      <c r="A42" s="7" t="n"/>
      <c r="B42" s="8" t="n"/>
      <c r="C42" s="9" t="n"/>
      <c r="D42" s="9" t="n"/>
      <c r="E42" s="10">
        <f>IF(A42="","",B42*C42)</f>
        <v/>
      </c>
      <c r="F42" s="10">
        <f>IF(A42="","",B42*D42)</f>
        <v/>
      </c>
      <c r="G42" s="10">
        <f>IF(A42="","",E42-F42)</f>
        <v/>
      </c>
      <c r="H42" s="11">
        <f>IF(A42="","",IF(E42=0,0,G42/E42))</f>
        <v/>
      </c>
      <c r="I42" s="12">
        <f>IF(A42="","",COUNTIF($G$5:$G$304,"&gt;"&amp;G42)+COUNTIF($G$5:G42,G42))</f>
        <v/>
      </c>
    </row>
    <row r="43">
      <c r="A43" s="7" t="n"/>
      <c r="B43" s="8" t="n"/>
      <c r="C43" s="9" t="n"/>
      <c r="D43" s="9" t="n"/>
      <c r="E43" s="10">
        <f>IF(A43="","",B43*C43)</f>
        <v/>
      </c>
      <c r="F43" s="10">
        <f>IF(A43="","",B43*D43)</f>
        <v/>
      </c>
      <c r="G43" s="10">
        <f>IF(A43="","",E43-F43)</f>
        <v/>
      </c>
      <c r="H43" s="11">
        <f>IF(A43="","",IF(E43=0,0,G43/E43))</f>
        <v/>
      </c>
      <c r="I43" s="12">
        <f>IF(A43="","",COUNTIF($G$5:$G$304,"&gt;"&amp;G43)+COUNTIF($G$5:G43,G43))</f>
        <v/>
      </c>
    </row>
    <row r="44">
      <c r="A44" s="7" t="n"/>
      <c r="B44" s="8" t="n"/>
      <c r="C44" s="9" t="n"/>
      <c r="D44" s="9" t="n"/>
      <c r="E44" s="10">
        <f>IF(A44="","",B44*C44)</f>
        <v/>
      </c>
      <c r="F44" s="10">
        <f>IF(A44="","",B44*D44)</f>
        <v/>
      </c>
      <c r="G44" s="10">
        <f>IF(A44="","",E44-F44)</f>
        <v/>
      </c>
      <c r="H44" s="11">
        <f>IF(A44="","",IF(E44=0,0,G44/E44))</f>
        <v/>
      </c>
      <c r="I44" s="12">
        <f>IF(A44="","",COUNTIF($G$5:$G$304,"&gt;"&amp;G44)+COUNTIF($G$5:G44,G44))</f>
        <v/>
      </c>
    </row>
    <row r="45">
      <c r="A45" s="7" t="n"/>
      <c r="B45" s="8" t="n"/>
      <c r="C45" s="9" t="n"/>
      <c r="D45" s="9" t="n"/>
      <c r="E45" s="10">
        <f>IF(A45="","",B45*C45)</f>
        <v/>
      </c>
      <c r="F45" s="10">
        <f>IF(A45="","",B45*D45)</f>
        <v/>
      </c>
      <c r="G45" s="10">
        <f>IF(A45="","",E45-F45)</f>
        <v/>
      </c>
      <c r="H45" s="11">
        <f>IF(A45="","",IF(E45=0,0,G45/E45))</f>
        <v/>
      </c>
      <c r="I45" s="12">
        <f>IF(A45="","",COUNTIF($G$5:$G$304,"&gt;"&amp;G45)+COUNTIF($G$5:G45,G45))</f>
        <v/>
      </c>
    </row>
    <row r="46">
      <c r="A46" s="7" t="n"/>
      <c r="B46" s="8" t="n"/>
      <c r="C46" s="9" t="n"/>
      <c r="D46" s="9" t="n"/>
      <c r="E46" s="10">
        <f>IF(A46="","",B46*C46)</f>
        <v/>
      </c>
      <c r="F46" s="10">
        <f>IF(A46="","",B46*D46)</f>
        <v/>
      </c>
      <c r="G46" s="10">
        <f>IF(A46="","",E46-F46)</f>
        <v/>
      </c>
      <c r="H46" s="11">
        <f>IF(A46="","",IF(E46=0,0,G46/E46))</f>
        <v/>
      </c>
      <c r="I46" s="12">
        <f>IF(A46="","",COUNTIF($G$5:$G$304,"&gt;"&amp;G46)+COUNTIF($G$5:G46,G46))</f>
        <v/>
      </c>
    </row>
    <row r="47">
      <c r="A47" s="7" t="n"/>
      <c r="B47" s="8" t="n"/>
      <c r="C47" s="9" t="n"/>
      <c r="D47" s="9" t="n"/>
      <c r="E47" s="10">
        <f>IF(A47="","",B47*C47)</f>
        <v/>
      </c>
      <c r="F47" s="10">
        <f>IF(A47="","",B47*D47)</f>
        <v/>
      </c>
      <c r="G47" s="10">
        <f>IF(A47="","",E47-F47)</f>
        <v/>
      </c>
      <c r="H47" s="11">
        <f>IF(A47="","",IF(E47=0,0,G47/E47))</f>
        <v/>
      </c>
      <c r="I47" s="12">
        <f>IF(A47="","",COUNTIF($G$5:$G$304,"&gt;"&amp;G47)+COUNTIF($G$5:G47,G47))</f>
        <v/>
      </c>
    </row>
    <row r="48">
      <c r="A48" s="7" t="n"/>
      <c r="B48" s="8" t="n"/>
      <c r="C48" s="9" t="n"/>
      <c r="D48" s="9" t="n"/>
      <c r="E48" s="10">
        <f>IF(A48="","",B48*C48)</f>
        <v/>
      </c>
      <c r="F48" s="10">
        <f>IF(A48="","",B48*D48)</f>
        <v/>
      </c>
      <c r="G48" s="10">
        <f>IF(A48="","",E48-F48)</f>
        <v/>
      </c>
      <c r="H48" s="11">
        <f>IF(A48="","",IF(E48=0,0,G48/E48))</f>
        <v/>
      </c>
      <c r="I48" s="12">
        <f>IF(A48="","",COUNTIF($G$5:$G$304,"&gt;"&amp;G48)+COUNTIF($G$5:G48,G48))</f>
        <v/>
      </c>
    </row>
    <row r="49">
      <c r="A49" s="7" t="n"/>
      <c r="B49" s="8" t="n"/>
      <c r="C49" s="9" t="n"/>
      <c r="D49" s="9" t="n"/>
      <c r="E49" s="10">
        <f>IF(A49="","",B49*C49)</f>
        <v/>
      </c>
      <c r="F49" s="10">
        <f>IF(A49="","",B49*D49)</f>
        <v/>
      </c>
      <c r="G49" s="10">
        <f>IF(A49="","",E49-F49)</f>
        <v/>
      </c>
      <c r="H49" s="11">
        <f>IF(A49="","",IF(E49=0,0,G49/E49))</f>
        <v/>
      </c>
      <c r="I49" s="12">
        <f>IF(A49="","",COUNTIF($G$5:$G$304,"&gt;"&amp;G49)+COUNTIF($G$5:G49,G49))</f>
        <v/>
      </c>
    </row>
    <row r="50">
      <c r="A50" s="7" t="n"/>
      <c r="B50" s="8" t="n"/>
      <c r="C50" s="9" t="n"/>
      <c r="D50" s="9" t="n"/>
      <c r="E50" s="10">
        <f>IF(A50="","",B50*C50)</f>
        <v/>
      </c>
      <c r="F50" s="10">
        <f>IF(A50="","",B50*D50)</f>
        <v/>
      </c>
      <c r="G50" s="10">
        <f>IF(A50="","",E50-F50)</f>
        <v/>
      </c>
      <c r="H50" s="11">
        <f>IF(A50="","",IF(E50=0,0,G50/E50))</f>
        <v/>
      </c>
      <c r="I50" s="12">
        <f>IF(A50="","",COUNTIF($G$5:$G$304,"&gt;"&amp;G50)+COUNTIF($G$5:G50,G50))</f>
        <v/>
      </c>
    </row>
    <row r="51">
      <c r="A51" s="7" t="n"/>
      <c r="B51" s="8" t="n"/>
      <c r="C51" s="9" t="n"/>
      <c r="D51" s="9" t="n"/>
      <c r="E51" s="10">
        <f>IF(A51="","",B51*C51)</f>
        <v/>
      </c>
      <c r="F51" s="10">
        <f>IF(A51="","",B51*D51)</f>
        <v/>
      </c>
      <c r="G51" s="10">
        <f>IF(A51="","",E51-F51)</f>
        <v/>
      </c>
      <c r="H51" s="11">
        <f>IF(A51="","",IF(E51=0,0,G51/E51))</f>
        <v/>
      </c>
      <c r="I51" s="12">
        <f>IF(A51="","",COUNTIF($G$5:$G$304,"&gt;"&amp;G51)+COUNTIF($G$5:G51,G51))</f>
        <v/>
      </c>
    </row>
    <row r="52">
      <c r="A52" s="7" t="n"/>
      <c r="B52" s="8" t="n"/>
      <c r="C52" s="9" t="n"/>
      <c r="D52" s="9" t="n"/>
      <c r="E52" s="10">
        <f>IF(A52="","",B52*C52)</f>
        <v/>
      </c>
      <c r="F52" s="10">
        <f>IF(A52="","",B52*D52)</f>
        <v/>
      </c>
      <c r="G52" s="10">
        <f>IF(A52="","",E52-F52)</f>
        <v/>
      </c>
      <c r="H52" s="11">
        <f>IF(A52="","",IF(E52=0,0,G52/E52))</f>
        <v/>
      </c>
      <c r="I52" s="12">
        <f>IF(A52="","",COUNTIF($G$5:$G$304,"&gt;"&amp;G52)+COUNTIF($G$5:G52,G52))</f>
        <v/>
      </c>
    </row>
    <row r="53">
      <c r="A53" s="7" t="n"/>
      <c r="B53" s="8" t="n"/>
      <c r="C53" s="9" t="n"/>
      <c r="D53" s="9" t="n"/>
      <c r="E53" s="10">
        <f>IF(A53="","",B53*C53)</f>
        <v/>
      </c>
      <c r="F53" s="10">
        <f>IF(A53="","",B53*D53)</f>
        <v/>
      </c>
      <c r="G53" s="10">
        <f>IF(A53="","",E53-F53)</f>
        <v/>
      </c>
      <c r="H53" s="11">
        <f>IF(A53="","",IF(E53=0,0,G53/E53))</f>
        <v/>
      </c>
      <c r="I53" s="12">
        <f>IF(A53="","",COUNTIF($G$5:$G$304,"&gt;"&amp;G53)+COUNTIF($G$5:G53,G53))</f>
        <v/>
      </c>
    </row>
    <row r="54">
      <c r="A54" s="7" t="n"/>
      <c r="B54" s="8" t="n"/>
      <c r="C54" s="9" t="n"/>
      <c r="D54" s="9" t="n"/>
      <c r="E54" s="10">
        <f>IF(A54="","",B54*C54)</f>
        <v/>
      </c>
      <c r="F54" s="10">
        <f>IF(A54="","",B54*D54)</f>
        <v/>
      </c>
      <c r="G54" s="10">
        <f>IF(A54="","",E54-F54)</f>
        <v/>
      </c>
      <c r="H54" s="11">
        <f>IF(A54="","",IF(E54=0,0,G54/E54))</f>
        <v/>
      </c>
      <c r="I54" s="12">
        <f>IF(A54="","",COUNTIF($G$5:$G$304,"&gt;"&amp;G54)+COUNTIF($G$5:G54,G54))</f>
        <v/>
      </c>
    </row>
    <row r="55">
      <c r="A55" s="7" t="n"/>
      <c r="B55" s="8" t="n"/>
      <c r="C55" s="9" t="n"/>
      <c r="D55" s="9" t="n"/>
      <c r="E55" s="10">
        <f>IF(A55="","",B55*C55)</f>
        <v/>
      </c>
      <c r="F55" s="10">
        <f>IF(A55="","",B55*D55)</f>
        <v/>
      </c>
      <c r="G55" s="10">
        <f>IF(A55="","",E55-F55)</f>
        <v/>
      </c>
      <c r="H55" s="11">
        <f>IF(A55="","",IF(E55=0,0,G55/E55))</f>
        <v/>
      </c>
      <c r="I55" s="12">
        <f>IF(A55="","",COUNTIF($G$5:$G$304,"&gt;"&amp;G55)+COUNTIF($G$5:G55,G55))</f>
        <v/>
      </c>
    </row>
    <row r="56">
      <c r="A56" s="7" t="n"/>
      <c r="B56" s="8" t="n"/>
      <c r="C56" s="9" t="n"/>
      <c r="D56" s="9" t="n"/>
      <c r="E56" s="10">
        <f>IF(A56="","",B56*C56)</f>
        <v/>
      </c>
      <c r="F56" s="10">
        <f>IF(A56="","",B56*D56)</f>
        <v/>
      </c>
      <c r="G56" s="10">
        <f>IF(A56="","",E56-F56)</f>
        <v/>
      </c>
      <c r="H56" s="11">
        <f>IF(A56="","",IF(E56=0,0,G56/E56))</f>
        <v/>
      </c>
      <c r="I56" s="12">
        <f>IF(A56="","",COUNTIF($G$5:$G$304,"&gt;"&amp;G56)+COUNTIF($G$5:G56,G56))</f>
        <v/>
      </c>
    </row>
    <row r="57">
      <c r="A57" s="7" t="n"/>
      <c r="B57" s="8" t="n"/>
      <c r="C57" s="9" t="n"/>
      <c r="D57" s="9" t="n"/>
      <c r="E57" s="10">
        <f>IF(A57="","",B57*C57)</f>
        <v/>
      </c>
      <c r="F57" s="10">
        <f>IF(A57="","",B57*D57)</f>
        <v/>
      </c>
      <c r="G57" s="10">
        <f>IF(A57="","",E57-F57)</f>
        <v/>
      </c>
      <c r="H57" s="11">
        <f>IF(A57="","",IF(E57=0,0,G57/E57))</f>
        <v/>
      </c>
      <c r="I57" s="12">
        <f>IF(A57="","",COUNTIF($G$5:$G$304,"&gt;"&amp;G57)+COUNTIF($G$5:G57,G57))</f>
        <v/>
      </c>
    </row>
    <row r="58">
      <c r="A58" s="7" t="n"/>
      <c r="B58" s="8" t="n"/>
      <c r="C58" s="9" t="n"/>
      <c r="D58" s="9" t="n"/>
      <c r="E58" s="10">
        <f>IF(A58="","",B58*C58)</f>
        <v/>
      </c>
      <c r="F58" s="10">
        <f>IF(A58="","",B58*D58)</f>
        <v/>
      </c>
      <c r="G58" s="10">
        <f>IF(A58="","",E58-F58)</f>
        <v/>
      </c>
      <c r="H58" s="11">
        <f>IF(A58="","",IF(E58=0,0,G58/E58))</f>
        <v/>
      </c>
      <c r="I58" s="12">
        <f>IF(A58="","",COUNTIF($G$5:$G$304,"&gt;"&amp;G58)+COUNTIF($G$5:G58,G58))</f>
        <v/>
      </c>
    </row>
    <row r="59">
      <c r="A59" s="7" t="n"/>
      <c r="B59" s="8" t="n"/>
      <c r="C59" s="9" t="n"/>
      <c r="D59" s="9" t="n"/>
      <c r="E59" s="10">
        <f>IF(A59="","",B59*C59)</f>
        <v/>
      </c>
      <c r="F59" s="10">
        <f>IF(A59="","",B59*D59)</f>
        <v/>
      </c>
      <c r="G59" s="10">
        <f>IF(A59="","",E59-F59)</f>
        <v/>
      </c>
      <c r="H59" s="11">
        <f>IF(A59="","",IF(E59=0,0,G59/E59))</f>
        <v/>
      </c>
      <c r="I59" s="12">
        <f>IF(A59="","",COUNTIF($G$5:$G$304,"&gt;"&amp;G59)+COUNTIF($G$5:G59,G59))</f>
        <v/>
      </c>
    </row>
    <row r="60">
      <c r="A60" s="7" t="n"/>
      <c r="B60" s="8" t="n"/>
      <c r="C60" s="9" t="n"/>
      <c r="D60" s="9" t="n"/>
      <c r="E60" s="10">
        <f>IF(A60="","",B60*C60)</f>
        <v/>
      </c>
      <c r="F60" s="10">
        <f>IF(A60="","",B60*D60)</f>
        <v/>
      </c>
      <c r="G60" s="10">
        <f>IF(A60="","",E60-F60)</f>
        <v/>
      </c>
      <c r="H60" s="11">
        <f>IF(A60="","",IF(E60=0,0,G60/E60))</f>
        <v/>
      </c>
      <c r="I60" s="12">
        <f>IF(A60="","",COUNTIF($G$5:$G$304,"&gt;"&amp;G60)+COUNTIF($G$5:G60,G60))</f>
        <v/>
      </c>
    </row>
    <row r="61">
      <c r="A61" s="7" t="n"/>
      <c r="B61" s="8" t="n"/>
      <c r="C61" s="9" t="n"/>
      <c r="D61" s="9" t="n"/>
      <c r="E61" s="10">
        <f>IF(A61="","",B61*C61)</f>
        <v/>
      </c>
      <c r="F61" s="10">
        <f>IF(A61="","",B61*D61)</f>
        <v/>
      </c>
      <c r="G61" s="10">
        <f>IF(A61="","",E61-F61)</f>
        <v/>
      </c>
      <c r="H61" s="11">
        <f>IF(A61="","",IF(E61=0,0,G61/E61))</f>
        <v/>
      </c>
      <c r="I61" s="12">
        <f>IF(A61="","",COUNTIF($G$5:$G$304,"&gt;"&amp;G61)+COUNTIF($G$5:G61,G61))</f>
        <v/>
      </c>
    </row>
    <row r="62">
      <c r="A62" s="7" t="n"/>
      <c r="B62" s="8" t="n"/>
      <c r="C62" s="9" t="n"/>
      <c r="D62" s="9" t="n"/>
      <c r="E62" s="10">
        <f>IF(A62="","",B62*C62)</f>
        <v/>
      </c>
      <c r="F62" s="10">
        <f>IF(A62="","",B62*D62)</f>
        <v/>
      </c>
      <c r="G62" s="10">
        <f>IF(A62="","",E62-F62)</f>
        <v/>
      </c>
      <c r="H62" s="11">
        <f>IF(A62="","",IF(E62=0,0,G62/E62))</f>
        <v/>
      </c>
      <c r="I62" s="12">
        <f>IF(A62="","",COUNTIF($G$5:$G$304,"&gt;"&amp;G62)+COUNTIF($G$5:G62,G62))</f>
        <v/>
      </c>
    </row>
    <row r="63">
      <c r="A63" s="7" t="n"/>
      <c r="B63" s="8" t="n"/>
      <c r="C63" s="9" t="n"/>
      <c r="D63" s="9" t="n"/>
      <c r="E63" s="10">
        <f>IF(A63="","",B63*C63)</f>
        <v/>
      </c>
      <c r="F63" s="10">
        <f>IF(A63="","",B63*D63)</f>
        <v/>
      </c>
      <c r="G63" s="10">
        <f>IF(A63="","",E63-F63)</f>
        <v/>
      </c>
      <c r="H63" s="11">
        <f>IF(A63="","",IF(E63=0,0,G63/E63))</f>
        <v/>
      </c>
      <c r="I63" s="12">
        <f>IF(A63="","",COUNTIF($G$5:$G$304,"&gt;"&amp;G63)+COUNTIF($G$5:G63,G63))</f>
        <v/>
      </c>
    </row>
    <row r="64">
      <c r="A64" s="7" t="n"/>
      <c r="B64" s="8" t="n"/>
      <c r="C64" s="9" t="n"/>
      <c r="D64" s="9" t="n"/>
      <c r="E64" s="10">
        <f>IF(A64="","",B64*C64)</f>
        <v/>
      </c>
      <c r="F64" s="10">
        <f>IF(A64="","",B64*D64)</f>
        <v/>
      </c>
      <c r="G64" s="10">
        <f>IF(A64="","",E64-F64)</f>
        <v/>
      </c>
      <c r="H64" s="11">
        <f>IF(A64="","",IF(E64=0,0,G64/E64))</f>
        <v/>
      </c>
      <c r="I64" s="12">
        <f>IF(A64="","",COUNTIF($G$5:$G$304,"&gt;"&amp;G64)+COUNTIF($G$5:G64,G64))</f>
        <v/>
      </c>
    </row>
    <row r="65">
      <c r="A65" s="7" t="n"/>
      <c r="B65" s="8" t="n"/>
      <c r="C65" s="9" t="n"/>
      <c r="D65" s="9" t="n"/>
      <c r="E65" s="10">
        <f>IF(A65="","",B65*C65)</f>
        <v/>
      </c>
      <c r="F65" s="10">
        <f>IF(A65="","",B65*D65)</f>
        <v/>
      </c>
      <c r="G65" s="10">
        <f>IF(A65="","",E65-F65)</f>
        <v/>
      </c>
      <c r="H65" s="11">
        <f>IF(A65="","",IF(E65=0,0,G65/E65))</f>
        <v/>
      </c>
      <c r="I65" s="12">
        <f>IF(A65="","",COUNTIF($G$5:$G$304,"&gt;"&amp;G65)+COUNTIF($G$5:G65,G65))</f>
        <v/>
      </c>
    </row>
    <row r="66">
      <c r="A66" s="7" t="n"/>
      <c r="B66" s="8" t="n"/>
      <c r="C66" s="9" t="n"/>
      <c r="D66" s="9" t="n"/>
      <c r="E66" s="10">
        <f>IF(A66="","",B66*C66)</f>
        <v/>
      </c>
      <c r="F66" s="10">
        <f>IF(A66="","",B66*D66)</f>
        <v/>
      </c>
      <c r="G66" s="10">
        <f>IF(A66="","",E66-F66)</f>
        <v/>
      </c>
      <c r="H66" s="11">
        <f>IF(A66="","",IF(E66=0,0,G66/E66))</f>
        <v/>
      </c>
      <c r="I66" s="12">
        <f>IF(A66="","",COUNTIF($G$5:$G$304,"&gt;"&amp;G66)+COUNTIF($G$5:G66,G66))</f>
        <v/>
      </c>
    </row>
    <row r="67">
      <c r="A67" s="7" t="n"/>
      <c r="B67" s="8" t="n"/>
      <c r="C67" s="9" t="n"/>
      <c r="D67" s="9" t="n"/>
      <c r="E67" s="10">
        <f>IF(A67="","",B67*C67)</f>
        <v/>
      </c>
      <c r="F67" s="10">
        <f>IF(A67="","",B67*D67)</f>
        <v/>
      </c>
      <c r="G67" s="10">
        <f>IF(A67="","",E67-F67)</f>
        <v/>
      </c>
      <c r="H67" s="11">
        <f>IF(A67="","",IF(E67=0,0,G67/E67))</f>
        <v/>
      </c>
      <c r="I67" s="12">
        <f>IF(A67="","",COUNTIF($G$5:$G$304,"&gt;"&amp;G67)+COUNTIF($G$5:G67,G67))</f>
        <v/>
      </c>
    </row>
    <row r="68">
      <c r="A68" s="7" t="n"/>
      <c r="B68" s="8" t="n"/>
      <c r="C68" s="9" t="n"/>
      <c r="D68" s="9" t="n"/>
      <c r="E68" s="10">
        <f>IF(A68="","",B68*C68)</f>
        <v/>
      </c>
      <c r="F68" s="10">
        <f>IF(A68="","",B68*D68)</f>
        <v/>
      </c>
      <c r="G68" s="10">
        <f>IF(A68="","",E68-F68)</f>
        <v/>
      </c>
      <c r="H68" s="11">
        <f>IF(A68="","",IF(E68=0,0,G68/E68))</f>
        <v/>
      </c>
      <c r="I68" s="12">
        <f>IF(A68="","",COUNTIF($G$5:$G$304,"&gt;"&amp;G68)+COUNTIF($G$5:G68,G68))</f>
        <v/>
      </c>
    </row>
    <row r="69">
      <c r="A69" s="7" t="n"/>
      <c r="B69" s="8" t="n"/>
      <c r="C69" s="9" t="n"/>
      <c r="D69" s="9" t="n"/>
      <c r="E69" s="10">
        <f>IF(A69="","",B69*C69)</f>
        <v/>
      </c>
      <c r="F69" s="10">
        <f>IF(A69="","",B69*D69)</f>
        <v/>
      </c>
      <c r="G69" s="10">
        <f>IF(A69="","",E69-F69)</f>
        <v/>
      </c>
      <c r="H69" s="11">
        <f>IF(A69="","",IF(E69=0,0,G69/E69))</f>
        <v/>
      </c>
      <c r="I69" s="12">
        <f>IF(A69="","",COUNTIF($G$5:$G$304,"&gt;"&amp;G69)+COUNTIF($G$5:G69,G69))</f>
        <v/>
      </c>
    </row>
    <row r="70">
      <c r="A70" s="7" t="n"/>
      <c r="B70" s="8" t="n"/>
      <c r="C70" s="9" t="n"/>
      <c r="D70" s="9" t="n"/>
      <c r="E70" s="10">
        <f>IF(A70="","",B70*C70)</f>
        <v/>
      </c>
      <c r="F70" s="10">
        <f>IF(A70="","",B70*D70)</f>
        <v/>
      </c>
      <c r="G70" s="10">
        <f>IF(A70="","",E70-F70)</f>
        <v/>
      </c>
      <c r="H70" s="11">
        <f>IF(A70="","",IF(E70=0,0,G70/E70))</f>
        <v/>
      </c>
      <c r="I70" s="12">
        <f>IF(A70="","",COUNTIF($G$5:$G$304,"&gt;"&amp;G70)+COUNTIF($G$5:G70,G70))</f>
        <v/>
      </c>
    </row>
    <row r="71">
      <c r="A71" s="7" t="n"/>
      <c r="B71" s="8" t="n"/>
      <c r="C71" s="9" t="n"/>
      <c r="D71" s="9" t="n"/>
      <c r="E71" s="10">
        <f>IF(A71="","",B71*C71)</f>
        <v/>
      </c>
      <c r="F71" s="10">
        <f>IF(A71="","",B71*D71)</f>
        <v/>
      </c>
      <c r="G71" s="10">
        <f>IF(A71="","",E71-F71)</f>
        <v/>
      </c>
      <c r="H71" s="11">
        <f>IF(A71="","",IF(E71=0,0,G71/E71))</f>
        <v/>
      </c>
      <c r="I71" s="12">
        <f>IF(A71="","",COUNTIF($G$5:$G$304,"&gt;"&amp;G71)+COUNTIF($G$5:G71,G71))</f>
        <v/>
      </c>
    </row>
    <row r="72">
      <c r="A72" s="7" t="n"/>
      <c r="B72" s="8" t="n"/>
      <c r="C72" s="9" t="n"/>
      <c r="D72" s="9" t="n"/>
      <c r="E72" s="10">
        <f>IF(A72="","",B72*C72)</f>
        <v/>
      </c>
      <c r="F72" s="10">
        <f>IF(A72="","",B72*D72)</f>
        <v/>
      </c>
      <c r="G72" s="10">
        <f>IF(A72="","",E72-F72)</f>
        <v/>
      </c>
      <c r="H72" s="11">
        <f>IF(A72="","",IF(E72=0,0,G72/E72))</f>
        <v/>
      </c>
      <c r="I72" s="12">
        <f>IF(A72="","",COUNTIF($G$5:$G$304,"&gt;"&amp;G72)+COUNTIF($G$5:G72,G72))</f>
        <v/>
      </c>
    </row>
    <row r="73">
      <c r="A73" s="7" t="n"/>
      <c r="B73" s="8" t="n"/>
      <c r="C73" s="9" t="n"/>
      <c r="D73" s="9" t="n"/>
      <c r="E73" s="10">
        <f>IF(A73="","",B73*C73)</f>
        <v/>
      </c>
      <c r="F73" s="10">
        <f>IF(A73="","",B73*D73)</f>
        <v/>
      </c>
      <c r="G73" s="10">
        <f>IF(A73="","",E73-F73)</f>
        <v/>
      </c>
      <c r="H73" s="11">
        <f>IF(A73="","",IF(E73=0,0,G73/E73))</f>
        <v/>
      </c>
      <c r="I73" s="12">
        <f>IF(A73="","",COUNTIF($G$5:$G$304,"&gt;"&amp;G73)+COUNTIF($G$5:G73,G73))</f>
        <v/>
      </c>
    </row>
    <row r="74">
      <c r="A74" s="7" t="n"/>
      <c r="B74" s="8" t="n"/>
      <c r="C74" s="9" t="n"/>
      <c r="D74" s="9" t="n"/>
      <c r="E74" s="10">
        <f>IF(A74="","",B74*C74)</f>
        <v/>
      </c>
      <c r="F74" s="10">
        <f>IF(A74="","",B74*D74)</f>
        <v/>
      </c>
      <c r="G74" s="10">
        <f>IF(A74="","",E74-F74)</f>
        <v/>
      </c>
      <c r="H74" s="11">
        <f>IF(A74="","",IF(E74=0,0,G74/E74))</f>
        <v/>
      </c>
      <c r="I74" s="12">
        <f>IF(A74="","",COUNTIF($G$5:$G$304,"&gt;"&amp;G74)+COUNTIF($G$5:G74,G74))</f>
        <v/>
      </c>
    </row>
    <row r="75">
      <c r="A75" s="7" t="n"/>
      <c r="B75" s="8" t="n"/>
      <c r="C75" s="9" t="n"/>
      <c r="D75" s="9" t="n"/>
      <c r="E75" s="10">
        <f>IF(A75="","",B75*C75)</f>
        <v/>
      </c>
      <c r="F75" s="10">
        <f>IF(A75="","",B75*D75)</f>
        <v/>
      </c>
      <c r="G75" s="10">
        <f>IF(A75="","",E75-F75)</f>
        <v/>
      </c>
      <c r="H75" s="11">
        <f>IF(A75="","",IF(E75=0,0,G75/E75))</f>
        <v/>
      </c>
      <c r="I75" s="12">
        <f>IF(A75="","",COUNTIF($G$5:$G$304,"&gt;"&amp;G75)+COUNTIF($G$5:G75,G75))</f>
        <v/>
      </c>
    </row>
    <row r="76">
      <c r="A76" s="7" t="n"/>
      <c r="B76" s="8" t="n"/>
      <c r="C76" s="9" t="n"/>
      <c r="D76" s="9" t="n"/>
      <c r="E76" s="10">
        <f>IF(A76="","",B76*C76)</f>
        <v/>
      </c>
      <c r="F76" s="10">
        <f>IF(A76="","",B76*D76)</f>
        <v/>
      </c>
      <c r="G76" s="10">
        <f>IF(A76="","",E76-F76)</f>
        <v/>
      </c>
      <c r="H76" s="11">
        <f>IF(A76="","",IF(E76=0,0,G76/E76))</f>
        <v/>
      </c>
      <c r="I76" s="12">
        <f>IF(A76="","",COUNTIF($G$5:$G$304,"&gt;"&amp;G76)+COUNTIF($G$5:G76,G76))</f>
        <v/>
      </c>
    </row>
    <row r="77">
      <c r="A77" s="7" t="n"/>
      <c r="B77" s="8" t="n"/>
      <c r="C77" s="9" t="n"/>
      <c r="D77" s="9" t="n"/>
      <c r="E77" s="10">
        <f>IF(A77="","",B77*C77)</f>
        <v/>
      </c>
      <c r="F77" s="10">
        <f>IF(A77="","",B77*D77)</f>
        <v/>
      </c>
      <c r="G77" s="10">
        <f>IF(A77="","",E77-F77)</f>
        <v/>
      </c>
      <c r="H77" s="11">
        <f>IF(A77="","",IF(E77=0,0,G77/E77))</f>
        <v/>
      </c>
      <c r="I77" s="12">
        <f>IF(A77="","",COUNTIF($G$5:$G$304,"&gt;"&amp;G77)+COUNTIF($G$5:G77,G77))</f>
        <v/>
      </c>
    </row>
    <row r="78">
      <c r="A78" s="7" t="n"/>
      <c r="B78" s="8" t="n"/>
      <c r="C78" s="9" t="n"/>
      <c r="D78" s="9" t="n"/>
      <c r="E78" s="10">
        <f>IF(A78="","",B78*C78)</f>
        <v/>
      </c>
      <c r="F78" s="10">
        <f>IF(A78="","",B78*D78)</f>
        <v/>
      </c>
      <c r="G78" s="10">
        <f>IF(A78="","",E78-F78)</f>
        <v/>
      </c>
      <c r="H78" s="11">
        <f>IF(A78="","",IF(E78=0,0,G78/E78))</f>
        <v/>
      </c>
      <c r="I78" s="12">
        <f>IF(A78="","",COUNTIF($G$5:$G$304,"&gt;"&amp;G78)+COUNTIF($G$5:G78,G78))</f>
        <v/>
      </c>
    </row>
    <row r="79">
      <c r="A79" s="7" t="n"/>
      <c r="B79" s="8" t="n"/>
      <c r="C79" s="9" t="n"/>
      <c r="D79" s="9" t="n"/>
      <c r="E79" s="10">
        <f>IF(A79="","",B79*C79)</f>
        <v/>
      </c>
      <c r="F79" s="10">
        <f>IF(A79="","",B79*D79)</f>
        <v/>
      </c>
      <c r="G79" s="10">
        <f>IF(A79="","",E79-F79)</f>
        <v/>
      </c>
      <c r="H79" s="11">
        <f>IF(A79="","",IF(E79=0,0,G79/E79))</f>
        <v/>
      </c>
      <c r="I79" s="12">
        <f>IF(A79="","",COUNTIF($G$5:$G$304,"&gt;"&amp;G79)+COUNTIF($G$5:G79,G79))</f>
        <v/>
      </c>
    </row>
    <row r="80">
      <c r="A80" s="7" t="n"/>
      <c r="B80" s="8" t="n"/>
      <c r="C80" s="9" t="n"/>
      <c r="D80" s="9" t="n"/>
      <c r="E80" s="10">
        <f>IF(A80="","",B80*C80)</f>
        <v/>
      </c>
      <c r="F80" s="10">
        <f>IF(A80="","",B80*D80)</f>
        <v/>
      </c>
      <c r="G80" s="10">
        <f>IF(A80="","",E80-F80)</f>
        <v/>
      </c>
      <c r="H80" s="11">
        <f>IF(A80="","",IF(E80=0,0,G80/E80))</f>
        <v/>
      </c>
      <c r="I80" s="12">
        <f>IF(A80="","",COUNTIF($G$5:$G$304,"&gt;"&amp;G80)+COUNTIF($G$5:G80,G80))</f>
        <v/>
      </c>
    </row>
    <row r="81">
      <c r="A81" s="7" t="n"/>
      <c r="B81" s="8" t="n"/>
      <c r="C81" s="9" t="n"/>
      <c r="D81" s="9" t="n"/>
      <c r="E81" s="10">
        <f>IF(A81="","",B81*C81)</f>
        <v/>
      </c>
      <c r="F81" s="10">
        <f>IF(A81="","",B81*D81)</f>
        <v/>
      </c>
      <c r="G81" s="10">
        <f>IF(A81="","",E81-F81)</f>
        <v/>
      </c>
      <c r="H81" s="11">
        <f>IF(A81="","",IF(E81=0,0,G81/E81))</f>
        <v/>
      </c>
      <c r="I81" s="12">
        <f>IF(A81="","",COUNTIF($G$5:$G$304,"&gt;"&amp;G81)+COUNTIF($G$5:G81,G81))</f>
        <v/>
      </c>
    </row>
    <row r="82">
      <c r="A82" s="7" t="n"/>
      <c r="B82" s="8" t="n"/>
      <c r="C82" s="9" t="n"/>
      <c r="D82" s="9" t="n"/>
      <c r="E82" s="10">
        <f>IF(A82="","",B82*C82)</f>
        <v/>
      </c>
      <c r="F82" s="10">
        <f>IF(A82="","",B82*D82)</f>
        <v/>
      </c>
      <c r="G82" s="10">
        <f>IF(A82="","",E82-F82)</f>
        <v/>
      </c>
      <c r="H82" s="11">
        <f>IF(A82="","",IF(E82=0,0,G82/E82))</f>
        <v/>
      </c>
      <c r="I82" s="12">
        <f>IF(A82="","",COUNTIF($G$5:$G$304,"&gt;"&amp;G82)+COUNTIF($G$5:G82,G82))</f>
        <v/>
      </c>
    </row>
    <row r="83">
      <c r="A83" s="7" t="n"/>
      <c r="B83" s="8" t="n"/>
      <c r="C83" s="9" t="n"/>
      <c r="D83" s="9" t="n"/>
      <c r="E83" s="10">
        <f>IF(A83="","",B83*C83)</f>
        <v/>
      </c>
      <c r="F83" s="10">
        <f>IF(A83="","",B83*D83)</f>
        <v/>
      </c>
      <c r="G83" s="10">
        <f>IF(A83="","",E83-F83)</f>
        <v/>
      </c>
      <c r="H83" s="11">
        <f>IF(A83="","",IF(E83=0,0,G83/E83))</f>
        <v/>
      </c>
      <c r="I83" s="12">
        <f>IF(A83="","",COUNTIF($G$5:$G$304,"&gt;"&amp;G83)+COUNTIF($G$5:G83,G83))</f>
        <v/>
      </c>
    </row>
    <row r="84">
      <c r="A84" s="7" t="n"/>
      <c r="B84" s="8" t="n"/>
      <c r="C84" s="9" t="n"/>
      <c r="D84" s="9" t="n"/>
      <c r="E84" s="10">
        <f>IF(A84="","",B84*C84)</f>
        <v/>
      </c>
      <c r="F84" s="10">
        <f>IF(A84="","",B84*D84)</f>
        <v/>
      </c>
      <c r="G84" s="10">
        <f>IF(A84="","",E84-F84)</f>
        <v/>
      </c>
      <c r="H84" s="11">
        <f>IF(A84="","",IF(E84=0,0,G84/E84))</f>
        <v/>
      </c>
      <c r="I84" s="12">
        <f>IF(A84="","",COUNTIF($G$5:$G$304,"&gt;"&amp;G84)+COUNTIF($G$5:G84,G84))</f>
        <v/>
      </c>
    </row>
    <row r="85">
      <c r="A85" s="7" t="n"/>
      <c r="B85" s="8" t="n"/>
      <c r="C85" s="9" t="n"/>
      <c r="D85" s="9" t="n"/>
      <c r="E85" s="10">
        <f>IF(A85="","",B85*C85)</f>
        <v/>
      </c>
      <c r="F85" s="10">
        <f>IF(A85="","",B85*D85)</f>
        <v/>
      </c>
      <c r="G85" s="10">
        <f>IF(A85="","",E85-F85)</f>
        <v/>
      </c>
      <c r="H85" s="11">
        <f>IF(A85="","",IF(E85=0,0,G85/E85))</f>
        <v/>
      </c>
      <c r="I85" s="12">
        <f>IF(A85="","",COUNTIF($G$5:$G$304,"&gt;"&amp;G85)+COUNTIF($G$5:G85,G85))</f>
        <v/>
      </c>
    </row>
    <row r="86">
      <c r="A86" s="7" t="n"/>
      <c r="B86" s="8" t="n"/>
      <c r="C86" s="9" t="n"/>
      <c r="D86" s="9" t="n"/>
      <c r="E86" s="10">
        <f>IF(A86="","",B86*C86)</f>
        <v/>
      </c>
      <c r="F86" s="10">
        <f>IF(A86="","",B86*D86)</f>
        <v/>
      </c>
      <c r="G86" s="10">
        <f>IF(A86="","",E86-F86)</f>
        <v/>
      </c>
      <c r="H86" s="11">
        <f>IF(A86="","",IF(E86=0,0,G86/E86))</f>
        <v/>
      </c>
      <c r="I86" s="12">
        <f>IF(A86="","",COUNTIF($G$5:$G$304,"&gt;"&amp;G86)+COUNTIF($G$5:G86,G86))</f>
        <v/>
      </c>
    </row>
    <row r="87">
      <c r="A87" s="7" t="n"/>
      <c r="B87" s="8" t="n"/>
      <c r="C87" s="9" t="n"/>
      <c r="D87" s="9" t="n"/>
      <c r="E87" s="10">
        <f>IF(A87="","",B87*C87)</f>
        <v/>
      </c>
      <c r="F87" s="10">
        <f>IF(A87="","",B87*D87)</f>
        <v/>
      </c>
      <c r="G87" s="10">
        <f>IF(A87="","",E87-F87)</f>
        <v/>
      </c>
      <c r="H87" s="11">
        <f>IF(A87="","",IF(E87=0,0,G87/E87))</f>
        <v/>
      </c>
      <c r="I87" s="12">
        <f>IF(A87="","",COUNTIF($G$5:$G$304,"&gt;"&amp;G87)+COUNTIF($G$5:G87,G87))</f>
        <v/>
      </c>
    </row>
    <row r="88">
      <c r="A88" s="7" t="n"/>
      <c r="B88" s="8" t="n"/>
      <c r="C88" s="9" t="n"/>
      <c r="D88" s="9" t="n"/>
      <c r="E88" s="10">
        <f>IF(A88="","",B88*C88)</f>
        <v/>
      </c>
      <c r="F88" s="10">
        <f>IF(A88="","",B88*D88)</f>
        <v/>
      </c>
      <c r="G88" s="10">
        <f>IF(A88="","",E88-F88)</f>
        <v/>
      </c>
      <c r="H88" s="11">
        <f>IF(A88="","",IF(E88=0,0,G88/E88))</f>
        <v/>
      </c>
      <c r="I88" s="12">
        <f>IF(A88="","",COUNTIF($G$5:$G$304,"&gt;"&amp;G88)+COUNTIF($G$5:G88,G88))</f>
        <v/>
      </c>
    </row>
    <row r="89">
      <c r="A89" s="7" t="n"/>
      <c r="B89" s="8" t="n"/>
      <c r="C89" s="9" t="n"/>
      <c r="D89" s="9" t="n"/>
      <c r="E89" s="10">
        <f>IF(A89="","",B89*C89)</f>
        <v/>
      </c>
      <c r="F89" s="10">
        <f>IF(A89="","",B89*D89)</f>
        <v/>
      </c>
      <c r="G89" s="10">
        <f>IF(A89="","",E89-F89)</f>
        <v/>
      </c>
      <c r="H89" s="11">
        <f>IF(A89="","",IF(E89=0,0,G89/E89))</f>
        <v/>
      </c>
      <c r="I89" s="12">
        <f>IF(A89="","",COUNTIF($G$5:$G$304,"&gt;"&amp;G89)+COUNTIF($G$5:G89,G89))</f>
        <v/>
      </c>
    </row>
    <row r="90">
      <c r="A90" s="7" t="n"/>
      <c r="B90" s="8" t="n"/>
      <c r="C90" s="9" t="n"/>
      <c r="D90" s="9" t="n"/>
      <c r="E90" s="10">
        <f>IF(A90="","",B90*C90)</f>
        <v/>
      </c>
      <c r="F90" s="10">
        <f>IF(A90="","",B90*D90)</f>
        <v/>
      </c>
      <c r="G90" s="10">
        <f>IF(A90="","",E90-F90)</f>
        <v/>
      </c>
      <c r="H90" s="11">
        <f>IF(A90="","",IF(E90=0,0,G90/E90))</f>
        <v/>
      </c>
      <c r="I90" s="12">
        <f>IF(A90="","",COUNTIF($G$5:$G$304,"&gt;"&amp;G90)+COUNTIF($G$5:G90,G90))</f>
        <v/>
      </c>
    </row>
    <row r="91">
      <c r="A91" s="7" t="n"/>
      <c r="B91" s="8" t="n"/>
      <c r="C91" s="9" t="n"/>
      <c r="D91" s="9" t="n"/>
      <c r="E91" s="10">
        <f>IF(A91="","",B91*C91)</f>
        <v/>
      </c>
      <c r="F91" s="10">
        <f>IF(A91="","",B91*D91)</f>
        <v/>
      </c>
      <c r="G91" s="10">
        <f>IF(A91="","",E91-F91)</f>
        <v/>
      </c>
      <c r="H91" s="11">
        <f>IF(A91="","",IF(E91=0,0,G91/E91))</f>
        <v/>
      </c>
      <c r="I91" s="12">
        <f>IF(A91="","",COUNTIF($G$5:$G$304,"&gt;"&amp;G91)+COUNTIF($G$5:G91,G91))</f>
        <v/>
      </c>
    </row>
    <row r="92">
      <c r="A92" s="7" t="n"/>
      <c r="B92" s="8" t="n"/>
      <c r="C92" s="9" t="n"/>
      <c r="D92" s="9" t="n"/>
      <c r="E92" s="10">
        <f>IF(A92="","",B92*C92)</f>
        <v/>
      </c>
      <c r="F92" s="10">
        <f>IF(A92="","",B92*D92)</f>
        <v/>
      </c>
      <c r="G92" s="10">
        <f>IF(A92="","",E92-F92)</f>
        <v/>
      </c>
      <c r="H92" s="11">
        <f>IF(A92="","",IF(E92=0,0,G92/E92))</f>
        <v/>
      </c>
      <c r="I92" s="12">
        <f>IF(A92="","",COUNTIF($G$5:$G$304,"&gt;"&amp;G92)+COUNTIF($G$5:G92,G92))</f>
        <v/>
      </c>
    </row>
    <row r="93">
      <c r="A93" s="7" t="n"/>
      <c r="B93" s="8" t="n"/>
      <c r="C93" s="9" t="n"/>
      <c r="D93" s="9" t="n"/>
      <c r="E93" s="10">
        <f>IF(A93="","",B93*C93)</f>
        <v/>
      </c>
      <c r="F93" s="10">
        <f>IF(A93="","",B93*D93)</f>
        <v/>
      </c>
      <c r="G93" s="10">
        <f>IF(A93="","",E93-F93)</f>
        <v/>
      </c>
      <c r="H93" s="11">
        <f>IF(A93="","",IF(E93=0,0,G93/E93))</f>
        <v/>
      </c>
      <c r="I93" s="12">
        <f>IF(A93="","",COUNTIF($G$5:$G$304,"&gt;"&amp;G93)+COUNTIF($G$5:G93,G93))</f>
        <v/>
      </c>
    </row>
    <row r="94">
      <c r="A94" s="7" t="n"/>
      <c r="B94" s="8" t="n"/>
      <c r="C94" s="9" t="n"/>
      <c r="D94" s="9" t="n"/>
      <c r="E94" s="10">
        <f>IF(A94="","",B94*C94)</f>
        <v/>
      </c>
      <c r="F94" s="10">
        <f>IF(A94="","",B94*D94)</f>
        <v/>
      </c>
      <c r="G94" s="10">
        <f>IF(A94="","",E94-F94)</f>
        <v/>
      </c>
      <c r="H94" s="11">
        <f>IF(A94="","",IF(E94=0,0,G94/E94))</f>
        <v/>
      </c>
      <c r="I94" s="12">
        <f>IF(A94="","",COUNTIF($G$5:$G$304,"&gt;"&amp;G94)+COUNTIF($G$5:G94,G94))</f>
        <v/>
      </c>
    </row>
    <row r="95">
      <c r="A95" s="7" t="n"/>
      <c r="B95" s="8" t="n"/>
      <c r="C95" s="9" t="n"/>
      <c r="D95" s="9" t="n"/>
      <c r="E95" s="10">
        <f>IF(A95="","",B95*C95)</f>
        <v/>
      </c>
      <c r="F95" s="10">
        <f>IF(A95="","",B95*D95)</f>
        <v/>
      </c>
      <c r="G95" s="10">
        <f>IF(A95="","",E95-F95)</f>
        <v/>
      </c>
      <c r="H95" s="11">
        <f>IF(A95="","",IF(E95=0,0,G95/E95))</f>
        <v/>
      </c>
      <c r="I95" s="12">
        <f>IF(A95="","",COUNTIF($G$5:$G$304,"&gt;"&amp;G95)+COUNTIF($G$5:G95,G95))</f>
        <v/>
      </c>
    </row>
    <row r="96">
      <c r="A96" s="7" t="n"/>
      <c r="B96" s="8" t="n"/>
      <c r="C96" s="9" t="n"/>
      <c r="D96" s="9" t="n"/>
      <c r="E96" s="10">
        <f>IF(A96="","",B96*C96)</f>
        <v/>
      </c>
      <c r="F96" s="10">
        <f>IF(A96="","",B96*D96)</f>
        <v/>
      </c>
      <c r="G96" s="10">
        <f>IF(A96="","",E96-F96)</f>
        <v/>
      </c>
      <c r="H96" s="11">
        <f>IF(A96="","",IF(E96=0,0,G96/E96))</f>
        <v/>
      </c>
      <c r="I96" s="12">
        <f>IF(A96="","",COUNTIF($G$5:$G$304,"&gt;"&amp;G96)+COUNTIF($G$5:G96,G96))</f>
        <v/>
      </c>
    </row>
    <row r="97">
      <c r="A97" s="7" t="n"/>
      <c r="B97" s="8" t="n"/>
      <c r="C97" s="9" t="n"/>
      <c r="D97" s="9" t="n"/>
      <c r="E97" s="10">
        <f>IF(A97="","",B97*C97)</f>
        <v/>
      </c>
      <c r="F97" s="10">
        <f>IF(A97="","",B97*D97)</f>
        <v/>
      </c>
      <c r="G97" s="10">
        <f>IF(A97="","",E97-F97)</f>
        <v/>
      </c>
      <c r="H97" s="11">
        <f>IF(A97="","",IF(E97=0,0,G97/E97))</f>
        <v/>
      </c>
      <c r="I97" s="12">
        <f>IF(A97="","",COUNTIF($G$5:$G$304,"&gt;"&amp;G97)+COUNTIF($G$5:G97,G97))</f>
        <v/>
      </c>
    </row>
    <row r="98">
      <c r="A98" s="7" t="n"/>
      <c r="B98" s="8" t="n"/>
      <c r="C98" s="9" t="n"/>
      <c r="D98" s="9" t="n"/>
      <c r="E98" s="10">
        <f>IF(A98="","",B98*C98)</f>
        <v/>
      </c>
      <c r="F98" s="10">
        <f>IF(A98="","",B98*D98)</f>
        <v/>
      </c>
      <c r="G98" s="10">
        <f>IF(A98="","",E98-F98)</f>
        <v/>
      </c>
      <c r="H98" s="11">
        <f>IF(A98="","",IF(E98=0,0,G98/E98))</f>
        <v/>
      </c>
      <c r="I98" s="12">
        <f>IF(A98="","",COUNTIF($G$5:$G$304,"&gt;"&amp;G98)+COUNTIF($G$5:G98,G98))</f>
        <v/>
      </c>
    </row>
    <row r="99">
      <c r="A99" s="7" t="n"/>
      <c r="B99" s="8" t="n"/>
      <c r="C99" s="9" t="n"/>
      <c r="D99" s="9" t="n"/>
      <c r="E99" s="10">
        <f>IF(A99="","",B99*C99)</f>
        <v/>
      </c>
      <c r="F99" s="10">
        <f>IF(A99="","",B99*D99)</f>
        <v/>
      </c>
      <c r="G99" s="10">
        <f>IF(A99="","",E99-F99)</f>
        <v/>
      </c>
      <c r="H99" s="11">
        <f>IF(A99="","",IF(E99=0,0,G99/E99))</f>
        <v/>
      </c>
      <c r="I99" s="12">
        <f>IF(A99="","",COUNTIF($G$5:$G$304,"&gt;"&amp;G99)+COUNTIF($G$5:G99,G99))</f>
        <v/>
      </c>
    </row>
    <row r="100">
      <c r="A100" s="7" t="n"/>
      <c r="B100" s="8" t="n"/>
      <c r="C100" s="9" t="n"/>
      <c r="D100" s="9" t="n"/>
      <c r="E100" s="10">
        <f>IF(A100="","",B100*C100)</f>
        <v/>
      </c>
      <c r="F100" s="10">
        <f>IF(A100="","",B100*D100)</f>
        <v/>
      </c>
      <c r="G100" s="10">
        <f>IF(A100="","",E100-F100)</f>
        <v/>
      </c>
      <c r="H100" s="11">
        <f>IF(A100="","",IF(E100=0,0,G100/E100))</f>
        <v/>
      </c>
      <c r="I100" s="12">
        <f>IF(A100="","",COUNTIF($G$5:$G$304,"&gt;"&amp;G100)+COUNTIF($G$5:G100,G100))</f>
        <v/>
      </c>
    </row>
    <row r="101">
      <c r="A101" s="7" t="n"/>
      <c r="B101" s="8" t="n"/>
      <c r="C101" s="9" t="n"/>
      <c r="D101" s="9" t="n"/>
      <c r="E101" s="10">
        <f>IF(A101="","",B101*C101)</f>
        <v/>
      </c>
      <c r="F101" s="10">
        <f>IF(A101="","",B101*D101)</f>
        <v/>
      </c>
      <c r="G101" s="10">
        <f>IF(A101="","",E101-F101)</f>
        <v/>
      </c>
      <c r="H101" s="11">
        <f>IF(A101="","",IF(E101=0,0,G101/E101))</f>
        <v/>
      </c>
      <c r="I101" s="12">
        <f>IF(A101="","",COUNTIF($G$5:$G$304,"&gt;"&amp;G101)+COUNTIF($G$5:G101,G101))</f>
        <v/>
      </c>
    </row>
    <row r="102">
      <c r="A102" s="7" t="n"/>
      <c r="B102" s="8" t="n"/>
      <c r="C102" s="9" t="n"/>
      <c r="D102" s="9" t="n"/>
      <c r="E102" s="10">
        <f>IF(A102="","",B102*C102)</f>
        <v/>
      </c>
      <c r="F102" s="10">
        <f>IF(A102="","",B102*D102)</f>
        <v/>
      </c>
      <c r="G102" s="10">
        <f>IF(A102="","",E102-F102)</f>
        <v/>
      </c>
      <c r="H102" s="11">
        <f>IF(A102="","",IF(E102=0,0,G102/E102))</f>
        <v/>
      </c>
      <c r="I102" s="12">
        <f>IF(A102="","",COUNTIF($G$5:$G$304,"&gt;"&amp;G102)+COUNTIF($G$5:G102,G102))</f>
        <v/>
      </c>
    </row>
    <row r="103">
      <c r="A103" s="7" t="n"/>
      <c r="B103" s="8" t="n"/>
      <c r="C103" s="9" t="n"/>
      <c r="D103" s="9" t="n"/>
      <c r="E103" s="10">
        <f>IF(A103="","",B103*C103)</f>
        <v/>
      </c>
      <c r="F103" s="10">
        <f>IF(A103="","",B103*D103)</f>
        <v/>
      </c>
      <c r="G103" s="10">
        <f>IF(A103="","",E103-F103)</f>
        <v/>
      </c>
      <c r="H103" s="11">
        <f>IF(A103="","",IF(E103=0,0,G103/E103))</f>
        <v/>
      </c>
      <c r="I103" s="12">
        <f>IF(A103="","",COUNTIF($G$5:$G$304,"&gt;"&amp;G103)+COUNTIF($G$5:G103,G103))</f>
        <v/>
      </c>
    </row>
    <row r="104">
      <c r="A104" s="7" t="n"/>
      <c r="B104" s="8" t="n"/>
      <c r="C104" s="9" t="n"/>
      <c r="D104" s="9" t="n"/>
      <c r="E104" s="10">
        <f>IF(A104="","",B104*C104)</f>
        <v/>
      </c>
      <c r="F104" s="10">
        <f>IF(A104="","",B104*D104)</f>
        <v/>
      </c>
      <c r="G104" s="10">
        <f>IF(A104="","",E104-F104)</f>
        <v/>
      </c>
      <c r="H104" s="11">
        <f>IF(A104="","",IF(E104=0,0,G104/E104))</f>
        <v/>
      </c>
      <c r="I104" s="12">
        <f>IF(A104="","",COUNTIF($G$5:$G$304,"&gt;"&amp;G104)+COUNTIF($G$5:G104,G104))</f>
        <v/>
      </c>
    </row>
    <row r="105">
      <c r="A105" s="7" t="n"/>
      <c r="B105" s="8" t="n"/>
      <c r="C105" s="9" t="n"/>
      <c r="D105" s="9" t="n"/>
      <c r="E105" s="10">
        <f>IF(A105="","",B105*C105)</f>
        <v/>
      </c>
      <c r="F105" s="10">
        <f>IF(A105="","",B105*D105)</f>
        <v/>
      </c>
      <c r="G105" s="10">
        <f>IF(A105="","",E105-F105)</f>
        <v/>
      </c>
      <c r="H105" s="11">
        <f>IF(A105="","",IF(E105=0,0,G105/E105))</f>
        <v/>
      </c>
      <c r="I105" s="12">
        <f>IF(A105="","",COUNTIF($G$5:$G$304,"&gt;"&amp;G105)+COUNTIF($G$5:G105,G105))</f>
        <v/>
      </c>
    </row>
    <row r="106">
      <c r="A106" s="7" t="n"/>
      <c r="B106" s="8" t="n"/>
      <c r="C106" s="9" t="n"/>
      <c r="D106" s="9" t="n"/>
      <c r="E106" s="10">
        <f>IF(A106="","",B106*C106)</f>
        <v/>
      </c>
      <c r="F106" s="10">
        <f>IF(A106="","",B106*D106)</f>
        <v/>
      </c>
      <c r="G106" s="10">
        <f>IF(A106="","",E106-F106)</f>
        <v/>
      </c>
      <c r="H106" s="11">
        <f>IF(A106="","",IF(E106=0,0,G106/E106))</f>
        <v/>
      </c>
      <c r="I106" s="12">
        <f>IF(A106="","",COUNTIF($G$5:$G$304,"&gt;"&amp;G106)+COUNTIF($G$5:G106,G106))</f>
        <v/>
      </c>
    </row>
    <row r="107">
      <c r="A107" s="7" t="n"/>
      <c r="B107" s="8" t="n"/>
      <c r="C107" s="9" t="n"/>
      <c r="D107" s="9" t="n"/>
      <c r="E107" s="10">
        <f>IF(A107="","",B107*C107)</f>
        <v/>
      </c>
      <c r="F107" s="10">
        <f>IF(A107="","",B107*D107)</f>
        <v/>
      </c>
      <c r="G107" s="10">
        <f>IF(A107="","",E107-F107)</f>
        <v/>
      </c>
      <c r="H107" s="11">
        <f>IF(A107="","",IF(E107=0,0,G107/E107))</f>
        <v/>
      </c>
      <c r="I107" s="12">
        <f>IF(A107="","",COUNTIF($G$5:$G$304,"&gt;"&amp;G107)+COUNTIF($G$5:G107,G107))</f>
        <v/>
      </c>
    </row>
    <row r="108">
      <c r="A108" s="7" t="n"/>
      <c r="B108" s="8" t="n"/>
      <c r="C108" s="9" t="n"/>
      <c r="D108" s="9" t="n"/>
      <c r="E108" s="10">
        <f>IF(A108="","",B108*C108)</f>
        <v/>
      </c>
      <c r="F108" s="10">
        <f>IF(A108="","",B108*D108)</f>
        <v/>
      </c>
      <c r="G108" s="10">
        <f>IF(A108="","",E108-F108)</f>
        <v/>
      </c>
      <c r="H108" s="11">
        <f>IF(A108="","",IF(E108=0,0,G108/E108))</f>
        <v/>
      </c>
      <c r="I108" s="12">
        <f>IF(A108="","",COUNTIF($G$5:$G$304,"&gt;"&amp;G108)+COUNTIF($G$5:G108,G108))</f>
        <v/>
      </c>
    </row>
    <row r="109">
      <c r="A109" s="7" t="n"/>
      <c r="B109" s="8" t="n"/>
      <c r="C109" s="9" t="n"/>
      <c r="D109" s="9" t="n"/>
      <c r="E109" s="10">
        <f>IF(A109="","",B109*C109)</f>
        <v/>
      </c>
      <c r="F109" s="10">
        <f>IF(A109="","",B109*D109)</f>
        <v/>
      </c>
      <c r="G109" s="10">
        <f>IF(A109="","",E109-F109)</f>
        <v/>
      </c>
      <c r="H109" s="11">
        <f>IF(A109="","",IF(E109=0,0,G109/E109))</f>
        <v/>
      </c>
      <c r="I109" s="12">
        <f>IF(A109="","",COUNTIF($G$5:$G$304,"&gt;"&amp;G109)+COUNTIF($G$5:G109,G109))</f>
        <v/>
      </c>
    </row>
    <row r="110">
      <c r="A110" s="7" t="n"/>
      <c r="B110" s="8" t="n"/>
      <c r="C110" s="9" t="n"/>
      <c r="D110" s="9" t="n"/>
      <c r="E110" s="10">
        <f>IF(A110="","",B110*C110)</f>
        <v/>
      </c>
      <c r="F110" s="10">
        <f>IF(A110="","",B110*D110)</f>
        <v/>
      </c>
      <c r="G110" s="10">
        <f>IF(A110="","",E110-F110)</f>
        <v/>
      </c>
      <c r="H110" s="11">
        <f>IF(A110="","",IF(E110=0,0,G110/E110))</f>
        <v/>
      </c>
      <c r="I110" s="12">
        <f>IF(A110="","",COUNTIF($G$5:$G$304,"&gt;"&amp;G110)+COUNTIF($G$5:G110,G110))</f>
        <v/>
      </c>
    </row>
    <row r="111">
      <c r="A111" s="7" t="n"/>
      <c r="B111" s="8" t="n"/>
      <c r="C111" s="9" t="n"/>
      <c r="D111" s="9" t="n"/>
      <c r="E111" s="10">
        <f>IF(A111="","",B111*C111)</f>
        <v/>
      </c>
      <c r="F111" s="10">
        <f>IF(A111="","",B111*D111)</f>
        <v/>
      </c>
      <c r="G111" s="10">
        <f>IF(A111="","",E111-F111)</f>
        <v/>
      </c>
      <c r="H111" s="11">
        <f>IF(A111="","",IF(E111=0,0,G111/E111))</f>
        <v/>
      </c>
      <c r="I111" s="12">
        <f>IF(A111="","",COUNTIF($G$5:$G$304,"&gt;"&amp;G111)+COUNTIF($G$5:G111,G111))</f>
        <v/>
      </c>
    </row>
    <row r="112">
      <c r="A112" s="7" t="n"/>
      <c r="B112" s="8" t="n"/>
      <c r="C112" s="9" t="n"/>
      <c r="D112" s="9" t="n"/>
      <c r="E112" s="10">
        <f>IF(A112="","",B112*C112)</f>
        <v/>
      </c>
      <c r="F112" s="10">
        <f>IF(A112="","",B112*D112)</f>
        <v/>
      </c>
      <c r="G112" s="10">
        <f>IF(A112="","",E112-F112)</f>
        <v/>
      </c>
      <c r="H112" s="11">
        <f>IF(A112="","",IF(E112=0,0,G112/E112))</f>
        <v/>
      </c>
      <c r="I112" s="12">
        <f>IF(A112="","",COUNTIF($G$5:$G$304,"&gt;"&amp;G112)+COUNTIF($G$5:G112,G112))</f>
        <v/>
      </c>
    </row>
    <row r="113">
      <c r="A113" s="7" t="n"/>
      <c r="B113" s="8" t="n"/>
      <c r="C113" s="9" t="n"/>
      <c r="D113" s="9" t="n"/>
      <c r="E113" s="10">
        <f>IF(A113="","",B113*C113)</f>
        <v/>
      </c>
      <c r="F113" s="10">
        <f>IF(A113="","",B113*D113)</f>
        <v/>
      </c>
      <c r="G113" s="10">
        <f>IF(A113="","",E113-F113)</f>
        <v/>
      </c>
      <c r="H113" s="11">
        <f>IF(A113="","",IF(E113=0,0,G113/E113))</f>
        <v/>
      </c>
      <c r="I113" s="12">
        <f>IF(A113="","",COUNTIF($G$5:$G$304,"&gt;"&amp;G113)+COUNTIF($G$5:G113,G113))</f>
        <v/>
      </c>
    </row>
    <row r="114">
      <c r="A114" s="7" t="n"/>
      <c r="B114" s="8" t="n"/>
      <c r="C114" s="9" t="n"/>
      <c r="D114" s="9" t="n"/>
      <c r="E114" s="10">
        <f>IF(A114="","",B114*C114)</f>
        <v/>
      </c>
      <c r="F114" s="10">
        <f>IF(A114="","",B114*D114)</f>
        <v/>
      </c>
      <c r="G114" s="10">
        <f>IF(A114="","",E114-F114)</f>
        <v/>
      </c>
      <c r="H114" s="11">
        <f>IF(A114="","",IF(E114=0,0,G114/E114))</f>
        <v/>
      </c>
      <c r="I114" s="12">
        <f>IF(A114="","",COUNTIF($G$5:$G$304,"&gt;"&amp;G114)+COUNTIF($G$5:G114,G114))</f>
        <v/>
      </c>
    </row>
    <row r="115">
      <c r="A115" s="7" t="n"/>
      <c r="B115" s="8" t="n"/>
      <c r="C115" s="9" t="n"/>
      <c r="D115" s="9" t="n"/>
      <c r="E115" s="10">
        <f>IF(A115="","",B115*C115)</f>
        <v/>
      </c>
      <c r="F115" s="10">
        <f>IF(A115="","",B115*D115)</f>
        <v/>
      </c>
      <c r="G115" s="10">
        <f>IF(A115="","",E115-F115)</f>
        <v/>
      </c>
      <c r="H115" s="11">
        <f>IF(A115="","",IF(E115=0,0,G115/E115))</f>
        <v/>
      </c>
      <c r="I115" s="12">
        <f>IF(A115="","",COUNTIF($G$5:$G$304,"&gt;"&amp;G115)+COUNTIF($G$5:G115,G115))</f>
        <v/>
      </c>
    </row>
    <row r="116">
      <c r="A116" s="7" t="n"/>
      <c r="B116" s="8" t="n"/>
      <c r="C116" s="9" t="n"/>
      <c r="D116" s="9" t="n"/>
      <c r="E116" s="10">
        <f>IF(A116="","",B116*C116)</f>
        <v/>
      </c>
      <c r="F116" s="10">
        <f>IF(A116="","",B116*D116)</f>
        <v/>
      </c>
      <c r="G116" s="10">
        <f>IF(A116="","",E116-F116)</f>
        <v/>
      </c>
      <c r="H116" s="11">
        <f>IF(A116="","",IF(E116=0,0,G116/E116))</f>
        <v/>
      </c>
      <c r="I116" s="12">
        <f>IF(A116="","",COUNTIF($G$5:$G$304,"&gt;"&amp;G116)+COUNTIF($G$5:G116,G116))</f>
        <v/>
      </c>
    </row>
    <row r="117">
      <c r="A117" s="7" t="n"/>
      <c r="B117" s="8" t="n"/>
      <c r="C117" s="9" t="n"/>
      <c r="D117" s="9" t="n"/>
      <c r="E117" s="10">
        <f>IF(A117="","",B117*C117)</f>
        <v/>
      </c>
      <c r="F117" s="10">
        <f>IF(A117="","",B117*D117)</f>
        <v/>
      </c>
      <c r="G117" s="10">
        <f>IF(A117="","",E117-F117)</f>
        <v/>
      </c>
      <c r="H117" s="11">
        <f>IF(A117="","",IF(E117=0,0,G117/E117))</f>
        <v/>
      </c>
      <c r="I117" s="12">
        <f>IF(A117="","",COUNTIF($G$5:$G$304,"&gt;"&amp;G117)+COUNTIF($G$5:G117,G117))</f>
        <v/>
      </c>
    </row>
    <row r="118">
      <c r="A118" s="7" t="n"/>
      <c r="B118" s="8" t="n"/>
      <c r="C118" s="9" t="n"/>
      <c r="D118" s="9" t="n"/>
      <c r="E118" s="10">
        <f>IF(A118="","",B118*C118)</f>
        <v/>
      </c>
      <c r="F118" s="10">
        <f>IF(A118="","",B118*D118)</f>
        <v/>
      </c>
      <c r="G118" s="10">
        <f>IF(A118="","",E118-F118)</f>
        <v/>
      </c>
      <c r="H118" s="11">
        <f>IF(A118="","",IF(E118=0,0,G118/E118))</f>
        <v/>
      </c>
      <c r="I118" s="12">
        <f>IF(A118="","",COUNTIF($G$5:$G$304,"&gt;"&amp;G118)+COUNTIF($G$5:G118,G118))</f>
        <v/>
      </c>
    </row>
    <row r="119">
      <c r="A119" s="7" t="n"/>
      <c r="B119" s="8" t="n"/>
      <c r="C119" s="9" t="n"/>
      <c r="D119" s="9" t="n"/>
      <c r="E119" s="10">
        <f>IF(A119="","",B119*C119)</f>
        <v/>
      </c>
      <c r="F119" s="10">
        <f>IF(A119="","",B119*D119)</f>
        <v/>
      </c>
      <c r="G119" s="10">
        <f>IF(A119="","",E119-F119)</f>
        <v/>
      </c>
      <c r="H119" s="11">
        <f>IF(A119="","",IF(E119=0,0,G119/E119))</f>
        <v/>
      </c>
      <c r="I119" s="12">
        <f>IF(A119="","",COUNTIF($G$5:$G$304,"&gt;"&amp;G119)+COUNTIF($G$5:G119,G119))</f>
        <v/>
      </c>
    </row>
    <row r="120">
      <c r="A120" s="7" t="n"/>
      <c r="B120" s="8" t="n"/>
      <c r="C120" s="9" t="n"/>
      <c r="D120" s="9" t="n"/>
      <c r="E120" s="10">
        <f>IF(A120="","",B120*C120)</f>
        <v/>
      </c>
      <c r="F120" s="10">
        <f>IF(A120="","",B120*D120)</f>
        <v/>
      </c>
      <c r="G120" s="10">
        <f>IF(A120="","",E120-F120)</f>
        <v/>
      </c>
      <c r="H120" s="11">
        <f>IF(A120="","",IF(E120=0,0,G120/E120))</f>
        <v/>
      </c>
      <c r="I120" s="12">
        <f>IF(A120="","",COUNTIF($G$5:$G$304,"&gt;"&amp;G120)+COUNTIF($G$5:G120,G120))</f>
        <v/>
      </c>
    </row>
    <row r="121">
      <c r="A121" s="7" t="n"/>
      <c r="B121" s="8" t="n"/>
      <c r="C121" s="9" t="n"/>
      <c r="D121" s="9" t="n"/>
      <c r="E121" s="10">
        <f>IF(A121="","",B121*C121)</f>
        <v/>
      </c>
      <c r="F121" s="10">
        <f>IF(A121="","",B121*D121)</f>
        <v/>
      </c>
      <c r="G121" s="10">
        <f>IF(A121="","",E121-F121)</f>
        <v/>
      </c>
      <c r="H121" s="11">
        <f>IF(A121="","",IF(E121=0,0,G121/E121))</f>
        <v/>
      </c>
      <c r="I121" s="12">
        <f>IF(A121="","",COUNTIF($G$5:$G$304,"&gt;"&amp;G121)+COUNTIF($G$5:G121,G121))</f>
        <v/>
      </c>
    </row>
    <row r="122">
      <c r="A122" s="7" t="n"/>
      <c r="B122" s="8" t="n"/>
      <c r="C122" s="9" t="n"/>
      <c r="D122" s="9" t="n"/>
      <c r="E122" s="10">
        <f>IF(A122="","",B122*C122)</f>
        <v/>
      </c>
      <c r="F122" s="10">
        <f>IF(A122="","",B122*D122)</f>
        <v/>
      </c>
      <c r="G122" s="10">
        <f>IF(A122="","",E122-F122)</f>
        <v/>
      </c>
      <c r="H122" s="11">
        <f>IF(A122="","",IF(E122=0,0,G122/E122))</f>
        <v/>
      </c>
      <c r="I122" s="12">
        <f>IF(A122="","",COUNTIF($G$5:$G$304,"&gt;"&amp;G122)+COUNTIF($G$5:G122,G122))</f>
        <v/>
      </c>
    </row>
    <row r="123">
      <c r="A123" s="7" t="n"/>
      <c r="B123" s="8" t="n"/>
      <c r="C123" s="9" t="n"/>
      <c r="D123" s="9" t="n"/>
      <c r="E123" s="10">
        <f>IF(A123="","",B123*C123)</f>
        <v/>
      </c>
      <c r="F123" s="10">
        <f>IF(A123="","",B123*D123)</f>
        <v/>
      </c>
      <c r="G123" s="10">
        <f>IF(A123="","",E123-F123)</f>
        <v/>
      </c>
      <c r="H123" s="11">
        <f>IF(A123="","",IF(E123=0,0,G123/E123))</f>
        <v/>
      </c>
      <c r="I123" s="12">
        <f>IF(A123="","",COUNTIF($G$5:$G$304,"&gt;"&amp;G123)+COUNTIF($G$5:G123,G123))</f>
        <v/>
      </c>
    </row>
    <row r="124">
      <c r="A124" s="7" t="n"/>
      <c r="B124" s="8" t="n"/>
      <c r="C124" s="9" t="n"/>
      <c r="D124" s="9" t="n"/>
      <c r="E124" s="10">
        <f>IF(A124="","",B124*C124)</f>
        <v/>
      </c>
      <c r="F124" s="10">
        <f>IF(A124="","",B124*D124)</f>
        <v/>
      </c>
      <c r="G124" s="10">
        <f>IF(A124="","",E124-F124)</f>
        <v/>
      </c>
      <c r="H124" s="11">
        <f>IF(A124="","",IF(E124=0,0,G124/E124))</f>
        <v/>
      </c>
      <c r="I124" s="12">
        <f>IF(A124="","",COUNTIF($G$5:$G$304,"&gt;"&amp;G124)+COUNTIF($G$5:G124,G124))</f>
        <v/>
      </c>
    </row>
    <row r="125">
      <c r="A125" s="7" t="n"/>
      <c r="B125" s="8" t="n"/>
      <c r="C125" s="9" t="n"/>
      <c r="D125" s="9" t="n"/>
      <c r="E125" s="10">
        <f>IF(A125="","",B125*C125)</f>
        <v/>
      </c>
      <c r="F125" s="10">
        <f>IF(A125="","",B125*D125)</f>
        <v/>
      </c>
      <c r="G125" s="10">
        <f>IF(A125="","",E125-F125)</f>
        <v/>
      </c>
      <c r="H125" s="11">
        <f>IF(A125="","",IF(E125=0,0,G125/E125))</f>
        <v/>
      </c>
      <c r="I125" s="12">
        <f>IF(A125="","",COUNTIF($G$5:$G$304,"&gt;"&amp;G125)+COUNTIF($G$5:G125,G125))</f>
        <v/>
      </c>
    </row>
    <row r="126">
      <c r="A126" s="7" t="n"/>
      <c r="B126" s="8" t="n"/>
      <c r="C126" s="9" t="n"/>
      <c r="D126" s="9" t="n"/>
      <c r="E126" s="10">
        <f>IF(A126="","",B126*C126)</f>
        <v/>
      </c>
      <c r="F126" s="10">
        <f>IF(A126="","",B126*D126)</f>
        <v/>
      </c>
      <c r="G126" s="10">
        <f>IF(A126="","",E126-F126)</f>
        <v/>
      </c>
      <c r="H126" s="11">
        <f>IF(A126="","",IF(E126=0,0,G126/E126))</f>
        <v/>
      </c>
      <c r="I126" s="12">
        <f>IF(A126="","",COUNTIF($G$5:$G$304,"&gt;"&amp;G126)+COUNTIF($G$5:G126,G126))</f>
        <v/>
      </c>
    </row>
    <row r="127">
      <c r="A127" s="7" t="n"/>
      <c r="B127" s="8" t="n"/>
      <c r="C127" s="9" t="n"/>
      <c r="D127" s="9" t="n"/>
      <c r="E127" s="10">
        <f>IF(A127="","",B127*C127)</f>
        <v/>
      </c>
      <c r="F127" s="10">
        <f>IF(A127="","",B127*D127)</f>
        <v/>
      </c>
      <c r="G127" s="10">
        <f>IF(A127="","",E127-F127)</f>
        <v/>
      </c>
      <c r="H127" s="11">
        <f>IF(A127="","",IF(E127=0,0,G127/E127))</f>
        <v/>
      </c>
      <c r="I127" s="12">
        <f>IF(A127="","",COUNTIF($G$5:$G$304,"&gt;"&amp;G127)+COUNTIF($G$5:G127,G127))</f>
        <v/>
      </c>
    </row>
    <row r="128">
      <c r="A128" s="7" t="n"/>
      <c r="B128" s="8" t="n"/>
      <c r="C128" s="9" t="n"/>
      <c r="D128" s="9" t="n"/>
      <c r="E128" s="10">
        <f>IF(A128="","",B128*C128)</f>
        <v/>
      </c>
      <c r="F128" s="10">
        <f>IF(A128="","",B128*D128)</f>
        <v/>
      </c>
      <c r="G128" s="10">
        <f>IF(A128="","",E128-F128)</f>
        <v/>
      </c>
      <c r="H128" s="11">
        <f>IF(A128="","",IF(E128=0,0,G128/E128))</f>
        <v/>
      </c>
      <c r="I128" s="12">
        <f>IF(A128="","",COUNTIF($G$5:$G$304,"&gt;"&amp;G128)+COUNTIF($G$5:G128,G128))</f>
        <v/>
      </c>
    </row>
    <row r="129">
      <c r="A129" s="7" t="n"/>
      <c r="B129" s="8" t="n"/>
      <c r="C129" s="9" t="n"/>
      <c r="D129" s="9" t="n"/>
      <c r="E129" s="10">
        <f>IF(A129="","",B129*C129)</f>
        <v/>
      </c>
      <c r="F129" s="10">
        <f>IF(A129="","",B129*D129)</f>
        <v/>
      </c>
      <c r="G129" s="10">
        <f>IF(A129="","",E129-F129)</f>
        <v/>
      </c>
      <c r="H129" s="11">
        <f>IF(A129="","",IF(E129=0,0,G129/E129))</f>
        <v/>
      </c>
      <c r="I129" s="12">
        <f>IF(A129="","",COUNTIF($G$5:$G$304,"&gt;"&amp;G129)+COUNTIF($G$5:G129,G129))</f>
        <v/>
      </c>
    </row>
    <row r="130">
      <c r="A130" s="7" t="n"/>
      <c r="B130" s="8" t="n"/>
      <c r="C130" s="9" t="n"/>
      <c r="D130" s="9" t="n"/>
      <c r="E130" s="10">
        <f>IF(A130="","",B130*C130)</f>
        <v/>
      </c>
      <c r="F130" s="10">
        <f>IF(A130="","",B130*D130)</f>
        <v/>
      </c>
      <c r="G130" s="10">
        <f>IF(A130="","",E130-F130)</f>
        <v/>
      </c>
      <c r="H130" s="11">
        <f>IF(A130="","",IF(E130=0,0,G130/E130))</f>
        <v/>
      </c>
      <c r="I130" s="12">
        <f>IF(A130="","",COUNTIF($G$5:$G$304,"&gt;"&amp;G130)+COUNTIF($G$5:G130,G130))</f>
        <v/>
      </c>
    </row>
    <row r="131">
      <c r="A131" s="7" t="n"/>
      <c r="B131" s="8" t="n"/>
      <c r="C131" s="9" t="n"/>
      <c r="D131" s="9" t="n"/>
      <c r="E131" s="10">
        <f>IF(A131="","",B131*C131)</f>
        <v/>
      </c>
      <c r="F131" s="10">
        <f>IF(A131="","",B131*D131)</f>
        <v/>
      </c>
      <c r="G131" s="10">
        <f>IF(A131="","",E131-F131)</f>
        <v/>
      </c>
      <c r="H131" s="11">
        <f>IF(A131="","",IF(E131=0,0,G131/E131))</f>
        <v/>
      </c>
      <c r="I131" s="12">
        <f>IF(A131="","",COUNTIF($G$5:$G$304,"&gt;"&amp;G131)+COUNTIF($G$5:G131,G131))</f>
        <v/>
      </c>
    </row>
    <row r="132">
      <c r="A132" s="7" t="n"/>
      <c r="B132" s="8" t="n"/>
      <c r="C132" s="9" t="n"/>
      <c r="D132" s="9" t="n"/>
      <c r="E132" s="10">
        <f>IF(A132="","",B132*C132)</f>
        <v/>
      </c>
      <c r="F132" s="10">
        <f>IF(A132="","",B132*D132)</f>
        <v/>
      </c>
      <c r="G132" s="10">
        <f>IF(A132="","",E132-F132)</f>
        <v/>
      </c>
      <c r="H132" s="11">
        <f>IF(A132="","",IF(E132=0,0,G132/E132))</f>
        <v/>
      </c>
      <c r="I132" s="12">
        <f>IF(A132="","",COUNTIF($G$5:$G$304,"&gt;"&amp;G132)+COUNTIF($G$5:G132,G132))</f>
        <v/>
      </c>
    </row>
    <row r="133">
      <c r="A133" s="7" t="n"/>
      <c r="B133" s="8" t="n"/>
      <c r="C133" s="9" t="n"/>
      <c r="D133" s="9" t="n"/>
      <c r="E133" s="10">
        <f>IF(A133="","",B133*C133)</f>
        <v/>
      </c>
      <c r="F133" s="10">
        <f>IF(A133="","",B133*D133)</f>
        <v/>
      </c>
      <c r="G133" s="10">
        <f>IF(A133="","",E133-F133)</f>
        <v/>
      </c>
      <c r="H133" s="11">
        <f>IF(A133="","",IF(E133=0,0,G133/E133))</f>
        <v/>
      </c>
      <c r="I133" s="12">
        <f>IF(A133="","",COUNTIF($G$5:$G$304,"&gt;"&amp;G133)+COUNTIF($G$5:G133,G133))</f>
        <v/>
      </c>
    </row>
    <row r="134">
      <c r="A134" s="7" t="n"/>
      <c r="B134" s="8" t="n"/>
      <c r="C134" s="9" t="n"/>
      <c r="D134" s="9" t="n"/>
      <c r="E134" s="10">
        <f>IF(A134="","",B134*C134)</f>
        <v/>
      </c>
      <c r="F134" s="10">
        <f>IF(A134="","",B134*D134)</f>
        <v/>
      </c>
      <c r="G134" s="10">
        <f>IF(A134="","",E134-F134)</f>
        <v/>
      </c>
      <c r="H134" s="11">
        <f>IF(A134="","",IF(E134=0,0,G134/E134))</f>
        <v/>
      </c>
      <c r="I134" s="12">
        <f>IF(A134="","",COUNTIF($G$5:$G$304,"&gt;"&amp;G134)+COUNTIF($G$5:G134,G134))</f>
        <v/>
      </c>
    </row>
    <row r="135">
      <c r="A135" s="7" t="n"/>
      <c r="B135" s="8" t="n"/>
      <c r="C135" s="9" t="n"/>
      <c r="D135" s="9" t="n"/>
      <c r="E135" s="10">
        <f>IF(A135="","",B135*C135)</f>
        <v/>
      </c>
      <c r="F135" s="10">
        <f>IF(A135="","",B135*D135)</f>
        <v/>
      </c>
      <c r="G135" s="10">
        <f>IF(A135="","",E135-F135)</f>
        <v/>
      </c>
      <c r="H135" s="11">
        <f>IF(A135="","",IF(E135=0,0,G135/E135))</f>
        <v/>
      </c>
      <c r="I135" s="12">
        <f>IF(A135="","",COUNTIF($G$5:$G$304,"&gt;"&amp;G135)+COUNTIF($G$5:G135,G135))</f>
        <v/>
      </c>
    </row>
    <row r="136">
      <c r="A136" s="7" t="n"/>
      <c r="B136" s="8" t="n"/>
      <c r="C136" s="9" t="n"/>
      <c r="D136" s="9" t="n"/>
      <c r="E136" s="10">
        <f>IF(A136="","",B136*C136)</f>
        <v/>
      </c>
      <c r="F136" s="10">
        <f>IF(A136="","",B136*D136)</f>
        <v/>
      </c>
      <c r="G136" s="10">
        <f>IF(A136="","",E136-F136)</f>
        <v/>
      </c>
      <c r="H136" s="11">
        <f>IF(A136="","",IF(E136=0,0,G136/E136))</f>
        <v/>
      </c>
      <c r="I136" s="12">
        <f>IF(A136="","",COUNTIF($G$5:$G$304,"&gt;"&amp;G136)+COUNTIF($G$5:G136,G136))</f>
        <v/>
      </c>
    </row>
    <row r="137">
      <c r="A137" s="7" t="n"/>
      <c r="B137" s="8" t="n"/>
      <c r="C137" s="9" t="n"/>
      <c r="D137" s="9" t="n"/>
      <c r="E137" s="10">
        <f>IF(A137="","",B137*C137)</f>
        <v/>
      </c>
      <c r="F137" s="10">
        <f>IF(A137="","",B137*D137)</f>
        <v/>
      </c>
      <c r="G137" s="10">
        <f>IF(A137="","",E137-F137)</f>
        <v/>
      </c>
      <c r="H137" s="11">
        <f>IF(A137="","",IF(E137=0,0,G137/E137))</f>
        <v/>
      </c>
      <c r="I137" s="12">
        <f>IF(A137="","",COUNTIF($G$5:$G$304,"&gt;"&amp;G137)+COUNTIF($G$5:G137,G137))</f>
        <v/>
      </c>
    </row>
    <row r="138">
      <c r="A138" s="7" t="n"/>
      <c r="B138" s="8" t="n"/>
      <c r="C138" s="9" t="n"/>
      <c r="D138" s="9" t="n"/>
      <c r="E138" s="10">
        <f>IF(A138="","",B138*C138)</f>
        <v/>
      </c>
      <c r="F138" s="10">
        <f>IF(A138="","",B138*D138)</f>
        <v/>
      </c>
      <c r="G138" s="10">
        <f>IF(A138="","",E138-F138)</f>
        <v/>
      </c>
      <c r="H138" s="11">
        <f>IF(A138="","",IF(E138=0,0,G138/E138))</f>
        <v/>
      </c>
      <c r="I138" s="12">
        <f>IF(A138="","",COUNTIF($G$5:$G$304,"&gt;"&amp;G138)+COUNTIF($G$5:G138,G138))</f>
        <v/>
      </c>
    </row>
    <row r="139">
      <c r="A139" s="7" t="n"/>
      <c r="B139" s="8" t="n"/>
      <c r="C139" s="9" t="n"/>
      <c r="D139" s="9" t="n"/>
      <c r="E139" s="10">
        <f>IF(A139="","",B139*C139)</f>
        <v/>
      </c>
      <c r="F139" s="10">
        <f>IF(A139="","",B139*D139)</f>
        <v/>
      </c>
      <c r="G139" s="10">
        <f>IF(A139="","",E139-F139)</f>
        <v/>
      </c>
      <c r="H139" s="11">
        <f>IF(A139="","",IF(E139=0,0,G139/E139))</f>
        <v/>
      </c>
      <c r="I139" s="12">
        <f>IF(A139="","",COUNTIF($G$5:$G$304,"&gt;"&amp;G139)+COUNTIF($G$5:G139,G139))</f>
        <v/>
      </c>
    </row>
    <row r="140">
      <c r="A140" s="7" t="n"/>
      <c r="B140" s="8" t="n"/>
      <c r="C140" s="9" t="n"/>
      <c r="D140" s="9" t="n"/>
      <c r="E140" s="10">
        <f>IF(A140="","",B140*C140)</f>
        <v/>
      </c>
      <c r="F140" s="10">
        <f>IF(A140="","",B140*D140)</f>
        <v/>
      </c>
      <c r="G140" s="10">
        <f>IF(A140="","",E140-F140)</f>
        <v/>
      </c>
      <c r="H140" s="11">
        <f>IF(A140="","",IF(E140=0,0,G140/E140))</f>
        <v/>
      </c>
      <c r="I140" s="12">
        <f>IF(A140="","",COUNTIF($G$5:$G$304,"&gt;"&amp;G140)+COUNTIF($G$5:G140,G140))</f>
        <v/>
      </c>
    </row>
    <row r="141">
      <c r="A141" s="7" t="n"/>
      <c r="B141" s="8" t="n"/>
      <c r="C141" s="9" t="n"/>
      <c r="D141" s="9" t="n"/>
      <c r="E141" s="10">
        <f>IF(A141="","",B141*C141)</f>
        <v/>
      </c>
      <c r="F141" s="10">
        <f>IF(A141="","",B141*D141)</f>
        <v/>
      </c>
      <c r="G141" s="10">
        <f>IF(A141="","",E141-F141)</f>
        <v/>
      </c>
      <c r="H141" s="11">
        <f>IF(A141="","",IF(E141=0,0,G141/E141))</f>
        <v/>
      </c>
      <c r="I141" s="12">
        <f>IF(A141="","",COUNTIF($G$5:$G$304,"&gt;"&amp;G141)+COUNTIF($G$5:G141,G141))</f>
        <v/>
      </c>
    </row>
    <row r="142">
      <c r="A142" s="7" t="n"/>
      <c r="B142" s="8" t="n"/>
      <c r="C142" s="9" t="n"/>
      <c r="D142" s="9" t="n"/>
      <c r="E142" s="10">
        <f>IF(A142="","",B142*C142)</f>
        <v/>
      </c>
      <c r="F142" s="10">
        <f>IF(A142="","",B142*D142)</f>
        <v/>
      </c>
      <c r="G142" s="10">
        <f>IF(A142="","",E142-F142)</f>
        <v/>
      </c>
      <c r="H142" s="11">
        <f>IF(A142="","",IF(E142=0,0,G142/E142))</f>
        <v/>
      </c>
      <c r="I142" s="12">
        <f>IF(A142="","",COUNTIF($G$5:$G$304,"&gt;"&amp;G142)+COUNTIF($G$5:G142,G142))</f>
        <v/>
      </c>
    </row>
    <row r="143">
      <c r="A143" s="7" t="n"/>
      <c r="B143" s="8" t="n"/>
      <c r="C143" s="9" t="n"/>
      <c r="D143" s="9" t="n"/>
      <c r="E143" s="10">
        <f>IF(A143="","",B143*C143)</f>
        <v/>
      </c>
      <c r="F143" s="10">
        <f>IF(A143="","",B143*D143)</f>
        <v/>
      </c>
      <c r="G143" s="10">
        <f>IF(A143="","",E143-F143)</f>
        <v/>
      </c>
      <c r="H143" s="11">
        <f>IF(A143="","",IF(E143=0,0,G143/E143))</f>
        <v/>
      </c>
      <c r="I143" s="12">
        <f>IF(A143="","",COUNTIF($G$5:$G$304,"&gt;"&amp;G143)+COUNTIF($G$5:G143,G143))</f>
        <v/>
      </c>
    </row>
    <row r="144">
      <c r="A144" s="7" t="n"/>
      <c r="B144" s="8" t="n"/>
      <c r="C144" s="9" t="n"/>
      <c r="D144" s="9" t="n"/>
      <c r="E144" s="10">
        <f>IF(A144="","",B144*C144)</f>
        <v/>
      </c>
      <c r="F144" s="10">
        <f>IF(A144="","",B144*D144)</f>
        <v/>
      </c>
      <c r="G144" s="10">
        <f>IF(A144="","",E144-F144)</f>
        <v/>
      </c>
      <c r="H144" s="11">
        <f>IF(A144="","",IF(E144=0,0,G144/E144))</f>
        <v/>
      </c>
      <c r="I144" s="12">
        <f>IF(A144="","",COUNTIF($G$5:$G$304,"&gt;"&amp;G144)+COUNTIF($G$5:G144,G144))</f>
        <v/>
      </c>
    </row>
    <row r="145">
      <c r="A145" s="7" t="n"/>
      <c r="B145" s="8" t="n"/>
      <c r="C145" s="9" t="n"/>
      <c r="D145" s="9" t="n"/>
      <c r="E145" s="10">
        <f>IF(A145="","",B145*C145)</f>
        <v/>
      </c>
      <c r="F145" s="10">
        <f>IF(A145="","",B145*D145)</f>
        <v/>
      </c>
      <c r="G145" s="10">
        <f>IF(A145="","",E145-F145)</f>
        <v/>
      </c>
      <c r="H145" s="11">
        <f>IF(A145="","",IF(E145=0,0,G145/E145))</f>
        <v/>
      </c>
      <c r="I145" s="12">
        <f>IF(A145="","",COUNTIF($G$5:$G$304,"&gt;"&amp;G145)+COUNTIF($G$5:G145,G145))</f>
        <v/>
      </c>
    </row>
    <row r="146">
      <c r="A146" s="7" t="n"/>
      <c r="B146" s="8" t="n"/>
      <c r="C146" s="9" t="n"/>
      <c r="D146" s="9" t="n"/>
      <c r="E146" s="10">
        <f>IF(A146="","",B146*C146)</f>
        <v/>
      </c>
      <c r="F146" s="10">
        <f>IF(A146="","",B146*D146)</f>
        <v/>
      </c>
      <c r="G146" s="10">
        <f>IF(A146="","",E146-F146)</f>
        <v/>
      </c>
      <c r="H146" s="11">
        <f>IF(A146="","",IF(E146=0,0,G146/E146))</f>
        <v/>
      </c>
      <c r="I146" s="12">
        <f>IF(A146="","",COUNTIF($G$5:$G$304,"&gt;"&amp;G146)+COUNTIF($G$5:G146,G146))</f>
        <v/>
      </c>
    </row>
    <row r="147">
      <c r="A147" s="7" t="n"/>
      <c r="B147" s="8" t="n"/>
      <c r="C147" s="9" t="n"/>
      <c r="D147" s="9" t="n"/>
      <c r="E147" s="10">
        <f>IF(A147="","",B147*C147)</f>
        <v/>
      </c>
      <c r="F147" s="10">
        <f>IF(A147="","",B147*D147)</f>
        <v/>
      </c>
      <c r="G147" s="10">
        <f>IF(A147="","",E147-F147)</f>
        <v/>
      </c>
      <c r="H147" s="11">
        <f>IF(A147="","",IF(E147=0,0,G147/E147))</f>
        <v/>
      </c>
      <c r="I147" s="12">
        <f>IF(A147="","",COUNTIF($G$5:$G$304,"&gt;"&amp;G147)+COUNTIF($G$5:G147,G147))</f>
        <v/>
      </c>
    </row>
    <row r="148">
      <c r="A148" s="7" t="n"/>
      <c r="B148" s="8" t="n"/>
      <c r="C148" s="9" t="n"/>
      <c r="D148" s="9" t="n"/>
      <c r="E148" s="10">
        <f>IF(A148="","",B148*C148)</f>
        <v/>
      </c>
      <c r="F148" s="10">
        <f>IF(A148="","",B148*D148)</f>
        <v/>
      </c>
      <c r="G148" s="10">
        <f>IF(A148="","",E148-F148)</f>
        <v/>
      </c>
      <c r="H148" s="11">
        <f>IF(A148="","",IF(E148=0,0,G148/E148))</f>
        <v/>
      </c>
      <c r="I148" s="12">
        <f>IF(A148="","",COUNTIF($G$5:$G$304,"&gt;"&amp;G148)+COUNTIF($G$5:G148,G148))</f>
        <v/>
      </c>
    </row>
    <row r="149">
      <c r="A149" s="7" t="n"/>
      <c r="B149" s="8" t="n"/>
      <c r="C149" s="9" t="n"/>
      <c r="D149" s="9" t="n"/>
      <c r="E149" s="10">
        <f>IF(A149="","",B149*C149)</f>
        <v/>
      </c>
      <c r="F149" s="10">
        <f>IF(A149="","",B149*D149)</f>
        <v/>
      </c>
      <c r="G149" s="10">
        <f>IF(A149="","",E149-F149)</f>
        <v/>
      </c>
      <c r="H149" s="11">
        <f>IF(A149="","",IF(E149=0,0,G149/E149))</f>
        <v/>
      </c>
      <c r="I149" s="12">
        <f>IF(A149="","",COUNTIF($G$5:$G$304,"&gt;"&amp;G149)+COUNTIF($G$5:G149,G149))</f>
        <v/>
      </c>
    </row>
    <row r="150">
      <c r="A150" s="7" t="n"/>
      <c r="B150" s="8" t="n"/>
      <c r="C150" s="9" t="n"/>
      <c r="D150" s="9" t="n"/>
      <c r="E150" s="10">
        <f>IF(A150="","",B150*C150)</f>
        <v/>
      </c>
      <c r="F150" s="10">
        <f>IF(A150="","",B150*D150)</f>
        <v/>
      </c>
      <c r="G150" s="10">
        <f>IF(A150="","",E150-F150)</f>
        <v/>
      </c>
      <c r="H150" s="11">
        <f>IF(A150="","",IF(E150=0,0,G150/E150))</f>
        <v/>
      </c>
      <c r="I150" s="12">
        <f>IF(A150="","",COUNTIF($G$5:$G$304,"&gt;"&amp;G150)+COUNTIF($G$5:G150,G150))</f>
        <v/>
      </c>
    </row>
    <row r="151">
      <c r="A151" s="7" t="n"/>
      <c r="B151" s="8" t="n"/>
      <c r="C151" s="9" t="n"/>
      <c r="D151" s="9" t="n"/>
      <c r="E151" s="10">
        <f>IF(A151="","",B151*C151)</f>
        <v/>
      </c>
      <c r="F151" s="10">
        <f>IF(A151="","",B151*D151)</f>
        <v/>
      </c>
      <c r="G151" s="10">
        <f>IF(A151="","",E151-F151)</f>
        <v/>
      </c>
      <c r="H151" s="11">
        <f>IF(A151="","",IF(E151=0,0,G151/E151))</f>
        <v/>
      </c>
      <c r="I151" s="12">
        <f>IF(A151="","",COUNTIF($G$5:$G$304,"&gt;"&amp;G151)+COUNTIF($G$5:G151,G151))</f>
        <v/>
      </c>
    </row>
    <row r="152">
      <c r="A152" s="7" t="n"/>
      <c r="B152" s="8" t="n"/>
      <c r="C152" s="9" t="n"/>
      <c r="D152" s="9" t="n"/>
      <c r="E152" s="10">
        <f>IF(A152="","",B152*C152)</f>
        <v/>
      </c>
      <c r="F152" s="10">
        <f>IF(A152="","",B152*D152)</f>
        <v/>
      </c>
      <c r="G152" s="10">
        <f>IF(A152="","",E152-F152)</f>
        <v/>
      </c>
      <c r="H152" s="11">
        <f>IF(A152="","",IF(E152=0,0,G152/E152))</f>
        <v/>
      </c>
      <c r="I152" s="12">
        <f>IF(A152="","",COUNTIF($G$5:$G$304,"&gt;"&amp;G152)+COUNTIF($G$5:G152,G152))</f>
        <v/>
      </c>
    </row>
    <row r="153">
      <c r="A153" s="7" t="n"/>
      <c r="B153" s="8" t="n"/>
      <c r="C153" s="9" t="n"/>
      <c r="D153" s="9" t="n"/>
      <c r="E153" s="10">
        <f>IF(A153="","",B153*C153)</f>
        <v/>
      </c>
      <c r="F153" s="10">
        <f>IF(A153="","",B153*D153)</f>
        <v/>
      </c>
      <c r="G153" s="10">
        <f>IF(A153="","",E153-F153)</f>
        <v/>
      </c>
      <c r="H153" s="11">
        <f>IF(A153="","",IF(E153=0,0,G153/E153))</f>
        <v/>
      </c>
      <c r="I153" s="12">
        <f>IF(A153="","",COUNTIF($G$5:$G$304,"&gt;"&amp;G153)+COUNTIF($G$5:G153,G153))</f>
        <v/>
      </c>
    </row>
    <row r="154">
      <c r="A154" s="7" t="n"/>
      <c r="B154" s="8" t="n"/>
      <c r="C154" s="9" t="n"/>
      <c r="D154" s="9" t="n"/>
      <c r="E154" s="10">
        <f>IF(A154="","",B154*C154)</f>
        <v/>
      </c>
      <c r="F154" s="10">
        <f>IF(A154="","",B154*D154)</f>
        <v/>
      </c>
      <c r="G154" s="10">
        <f>IF(A154="","",E154-F154)</f>
        <v/>
      </c>
      <c r="H154" s="11">
        <f>IF(A154="","",IF(E154=0,0,G154/E154))</f>
        <v/>
      </c>
      <c r="I154" s="12">
        <f>IF(A154="","",COUNTIF($G$5:$G$304,"&gt;"&amp;G154)+COUNTIF($G$5:G154,G154))</f>
        <v/>
      </c>
    </row>
    <row r="155">
      <c r="A155" s="7" t="n"/>
      <c r="B155" s="8" t="n"/>
      <c r="C155" s="9" t="n"/>
      <c r="D155" s="9" t="n"/>
      <c r="E155" s="10">
        <f>IF(A155="","",B155*C155)</f>
        <v/>
      </c>
      <c r="F155" s="10">
        <f>IF(A155="","",B155*D155)</f>
        <v/>
      </c>
      <c r="G155" s="10">
        <f>IF(A155="","",E155-F155)</f>
        <v/>
      </c>
      <c r="H155" s="11">
        <f>IF(A155="","",IF(E155=0,0,G155/E155))</f>
        <v/>
      </c>
      <c r="I155" s="12">
        <f>IF(A155="","",COUNTIF($G$5:$G$304,"&gt;"&amp;G155)+COUNTIF($G$5:G155,G155))</f>
        <v/>
      </c>
    </row>
    <row r="156">
      <c r="A156" s="7" t="n"/>
      <c r="B156" s="8" t="n"/>
      <c r="C156" s="9" t="n"/>
      <c r="D156" s="9" t="n"/>
      <c r="E156" s="10">
        <f>IF(A156="","",B156*C156)</f>
        <v/>
      </c>
      <c r="F156" s="10">
        <f>IF(A156="","",B156*D156)</f>
        <v/>
      </c>
      <c r="G156" s="10">
        <f>IF(A156="","",E156-F156)</f>
        <v/>
      </c>
      <c r="H156" s="11">
        <f>IF(A156="","",IF(E156=0,0,G156/E156))</f>
        <v/>
      </c>
      <c r="I156" s="12">
        <f>IF(A156="","",COUNTIF($G$5:$G$304,"&gt;"&amp;G156)+COUNTIF($G$5:G156,G156))</f>
        <v/>
      </c>
    </row>
    <row r="157">
      <c r="A157" s="7" t="n"/>
      <c r="B157" s="8" t="n"/>
      <c r="C157" s="9" t="n"/>
      <c r="D157" s="9" t="n"/>
      <c r="E157" s="10">
        <f>IF(A157="","",B157*C157)</f>
        <v/>
      </c>
      <c r="F157" s="10">
        <f>IF(A157="","",B157*D157)</f>
        <v/>
      </c>
      <c r="G157" s="10">
        <f>IF(A157="","",E157-F157)</f>
        <v/>
      </c>
      <c r="H157" s="11">
        <f>IF(A157="","",IF(E157=0,0,G157/E157))</f>
        <v/>
      </c>
      <c r="I157" s="12">
        <f>IF(A157="","",COUNTIF($G$5:$G$304,"&gt;"&amp;G157)+COUNTIF($G$5:G157,G157))</f>
        <v/>
      </c>
    </row>
    <row r="158">
      <c r="A158" s="7" t="n"/>
      <c r="B158" s="8" t="n"/>
      <c r="C158" s="9" t="n"/>
      <c r="D158" s="9" t="n"/>
      <c r="E158" s="10">
        <f>IF(A158="","",B158*C158)</f>
        <v/>
      </c>
      <c r="F158" s="10">
        <f>IF(A158="","",B158*D158)</f>
        <v/>
      </c>
      <c r="G158" s="10">
        <f>IF(A158="","",E158-F158)</f>
        <v/>
      </c>
      <c r="H158" s="11">
        <f>IF(A158="","",IF(E158=0,0,G158/E158))</f>
        <v/>
      </c>
      <c r="I158" s="12">
        <f>IF(A158="","",COUNTIF($G$5:$G$304,"&gt;"&amp;G158)+COUNTIF($G$5:G158,G158))</f>
        <v/>
      </c>
    </row>
    <row r="159">
      <c r="A159" s="7" t="n"/>
      <c r="B159" s="8" t="n"/>
      <c r="C159" s="9" t="n"/>
      <c r="D159" s="9" t="n"/>
      <c r="E159" s="10">
        <f>IF(A159="","",B159*C159)</f>
        <v/>
      </c>
      <c r="F159" s="10">
        <f>IF(A159="","",B159*D159)</f>
        <v/>
      </c>
      <c r="G159" s="10">
        <f>IF(A159="","",E159-F159)</f>
        <v/>
      </c>
      <c r="H159" s="11">
        <f>IF(A159="","",IF(E159=0,0,G159/E159))</f>
        <v/>
      </c>
      <c r="I159" s="12">
        <f>IF(A159="","",COUNTIF($G$5:$G$304,"&gt;"&amp;G159)+COUNTIF($G$5:G159,G159))</f>
        <v/>
      </c>
    </row>
    <row r="160">
      <c r="A160" s="7" t="n"/>
      <c r="B160" s="8" t="n"/>
      <c r="C160" s="9" t="n"/>
      <c r="D160" s="9" t="n"/>
      <c r="E160" s="10">
        <f>IF(A160="","",B160*C160)</f>
        <v/>
      </c>
      <c r="F160" s="10">
        <f>IF(A160="","",B160*D160)</f>
        <v/>
      </c>
      <c r="G160" s="10">
        <f>IF(A160="","",E160-F160)</f>
        <v/>
      </c>
      <c r="H160" s="11">
        <f>IF(A160="","",IF(E160=0,0,G160/E160))</f>
        <v/>
      </c>
      <c r="I160" s="12">
        <f>IF(A160="","",COUNTIF($G$5:$G$304,"&gt;"&amp;G160)+COUNTIF($G$5:G160,G160))</f>
        <v/>
      </c>
    </row>
    <row r="161">
      <c r="A161" s="7" t="n"/>
      <c r="B161" s="8" t="n"/>
      <c r="C161" s="9" t="n"/>
      <c r="D161" s="9" t="n"/>
      <c r="E161" s="10">
        <f>IF(A161="","",B161*C161)</f>
        <v/>
      </c>
      <c r="F161" s="10">
        <f>IF(A161="","",B161*D161)</f>
        <v/>
      </c>
      <c r="G161" s="10">
        <f>IF(A161="","",E161-F161)</f>
        <v/>
      </c>
      <c r="H161" s="11">
        <f>IF(A161="","",IF(E161=0,0,G161/E161))</f>
        <v/>
      </c>
      <c r="I161" s="12">
        <f>IF(A161="","",COUNTIF($G$5:$G$304,"&gt;"&amp;G161)+COUNTIF($G$5:G161,G161))</f>
        <v/>
      </c>
    </row>
    <row r="162">
      <c r="A162" s="7" t="n"/>
      <c r="B162" s="8" t="n"/>
      <c r="C162" s="9" t="n"/>
      <c r="D162" s="9" t="n"/>
      <c r="E162" s="10">
        <f>IF(A162="","",B162*C162)</f>
        <v/>
      </c>
      <c r="F162" s="10">
        <f>IF(A162="","",B162*D162)</f>
        <v/>
      </c>
      <c r="G162" s="10">
        <f>IF(A162="","",E162-F162)</f>
        <v/>
      </c>
      <c r="H162" s="11">
        <f>IF(A162="","",IF(E162=0,0,G162/E162))</f>
        <v/>
      </c>
      <c r="I162" s="12">
        <f>IF(A162="","",COUNTIF($G$5:$G$304,"&gt;"&amp;G162)+COUNTIF($G$5:G162,G162))</f>
        <v/>
      </c>
    </row>
    <row r="163">
      <c r="A163" s="7" t="n"/>
      <c r="B163" s="8" t="n"/>
      <c r="C163" s="9" t="n"/>
      <c r="D163" s="9" t="n"/>
      <c r="E163" s="10">
        <f>IF(A163="","",B163*C163)</f>
        <v/>
      </c>
      <c r="F163" s="10">
        <f>IF(A163="","",B163*D163)</f>
        <v/>
      </c>
      <c r="G163" s="10">
        <f>IF(A163="","",E163-F163)</f>
        <v/>
      </c>
      <c r="H163" s="11">
        <f>IF(A163="","",IF(E163=0,0,G163/E163))</f>
        <v/>
      </c>
      <c r="I163" s="12">
        <f>IF(A163="","",COUNTIF($G$5:$G$304,"&gt;"&amp;G163)+COUNTIF($G$5:G163,G163))</f>
        <v/>
      </c>
    </row>
    <row r="164">
      <c r="A164" s="7" t="n"/>
      <c r="B164" s="8" t="n"/>
      <c r="C164" s="9" t="n"/>
      <c r="D164" s="9" t="n"/>
      <c r="E164" s="10">
        <f>IF(A164="","",B164*C164)</f>
        <v/>
      </c>
      <c r="F164" s="10">
        <f>IF(A164="","",B164*D164)</f>
        <v/>
      </c>
      <c r="G164" s="10">
        <f>IF(A164="","",E164-F164)</f>
        <v/>
      </c>
      <c r="H164" s="11">
        <f>IF(A164="","",IF(E164=0,0,G164/E164))</f>
        <v/>
      </c>
      <c r="I164" s="12">
        <f>IF(A164="","",COUNTIF($G$5:$G$304,"&gt;"&amp;G164)+COUNTIF($G$5:G164,G164))</f>
        <v/>
      </c>
    </row>
    <row r="165">
      <c r="A165" s="7" t="n"/>
      <c r="B165" s="8" t="n"/>
      <c r="C165" s="9" t="n"/>
      <c r="D165" s="9" t="n"/>
      <c r="E165" s="10">
        <f>IF(A165="","",B165*C165)</f>
        <v/>
      </c>
      <c r="F165" s="10">
        <f>IF(A165="","",B165*D165)</f>
        <v/>
      </c>
      <c r="G165" s="10">
        <f>IF(A165="","",E165-F165)</f>
        <v/>
      </c>
      <c r="H165" s="11">
        <f>IF(A165="","",IF(E165=0,0,G165/E165))</f>
        <v/>
      </c>
      <c r="I165" s="12">
        <f>IF(A165="","",COUNTIF($G$5:$G$304,"&gt;"&amp;G165)+COUNTIF($G$5:G165,G165))</f>
        <v/>
      </c>
    </row>
    <row r="166">
      <c r="A166" s="7" t="n"/>
      <c r="B166" s="8" t="n"/>
      <c r="C166" s="9" t="n"/>
      <c r="D166" s="9" t="n"/>
      <c r="E166" s="10">
        <f>IF(A166="","",B166*C166)</f>
        <v/>
      </c>
      <c r="F166" s="10">
        <f>IF(A166="","",B166*D166)</f>
        <v/>
      </c>
      <c r="G166" s="10">
        <f>IF(A166="","",E166-F166)</f>
        <v/>
      </c>
      <c r="H166" s="11">
        <f>IF(A166="","",IF(E166=0,0,G166/E166))</f>
        <v/>
      </c>
      <c r="I166" s="12">
        <f>IF(A166="","",COUNTIF($G$5:$G$304,"&gt;"&amp;G166)+COUNTIF($G$5:G166,G166))</f>
        <v/>
      </c>
    </row>
    <row r="167">
      <c r="A167" s="7" t="n"/>
      <c r="B167" s="8" t="n"/>
      <c r="C167" s="9" t="n"/>
      <c r="D167" s="9" t="n"/>
      <c r="E167" s="10">
        <f>IF(A167="","",B167*C167)</f>
        <v/>
      </c>
      <c r="F167" s="10">
        <f>IF(A167="","",B167*D167)</f>
        <v/>
      </c>
      <c r="G167" s="10">
        <f>IF(A167="","",E167-F167)</f>
        <v/>
      </c>
      <c r="H167" s="11">
        <f>IF(A167="","",IF(E167=0,0,G167/E167))</f>
        <v/>
      </c>
      <c r="I167" s="12">
        <f>IF(A167="","",COUNTIF($G$5:$G$304,"&gt;"&amp;G167)+COUNTIF($G$5:G167,G167))</f>
        <v/>
      </c>
    </row>
    <row r="168">
      <c r="A168" s="7" t="n"/>
      <c r="B168" s="8" t="n"/>
      <c r="C168" s="9" t="n"/>
      <c r="D168" s="9" t="n"/>
      <c r="E168" s="10">
        <f>IF(A168="","",B168*C168)</f>
        <v/>
      </c>
      <c r="F168" s="10">
        <f>IF(A168="","",B168*D168)</f>
        <v/>
      </c>
      <c r="G168" s="10">
        <f>IF(A168="","",E168-F168)</f>
        <v/>
      </c>
      <c r="H168" s="11">
        <f>IF(A168="","",IF(E168=0,0,G168/E168))</f>
        <v/>
      </c>
      <c r="I168" s="12">
        <f>IF(A168="","",COUNTIF($G$5:$G$304,"&gt;"&amp;G168)+COUNTIF($G$5:G168,G168))</f>
        <v/>
      </c>
    </row>
    <row r="169">
      <c r="A169" s="7" t="n"/>
      <c r="B169" s="8" t="n"/>
      <c r="C169" s="9" t="n"/>
      <c r="D169" s="9" t="n"/>
      <c r="E169" s="10">
        <f>IF(A169="","",B169*C169)</f>
        <v/>
      </c>
      <c r="F169" s="10">
        <f>IF(A169="","",B169*D169)</f>
        <v/>
      </c>
      <c r="G169" s="10">
        <f>IF(A169="","",E169-F169)</f>
        <v/>
      </c>
      <c r="H169" s="11">
        <f>IF(A169="","",IF(E169=0,0,G169/E169))</f>
        <v/>
      </c>
      <c r="I169" s="12">
        <f>IF(A169="","",COUNTIF($G$5:$G$304,"&gt;"&amp;G169)+COUNTIF($G$5:G169,G169))</f>
        <v/>
      </c>
    </row>
    <row r="170">
      <c r="A170" s="7" t="n"/>
      <c r="B170" s="8" t="n"/>
      <c r="C170" s="9" t="n"/>
      <c r="D170" s="9" t="n"/>
      <c r="E170" s="10">
        <f>IF(A170="","",B170*C170)</f>
        <v/>
      </c>
      <c r="F170" s="10">
        <f>IF(A170="","",B170*D170)</f>
        <v/>
      </c>
      <c r="G170" s="10">
        <f>IF(A170="","",E170-F170)</f>
        <v/>
      </c>
      <c r="H170" s="11">
        <f>IF(A170="","",IF(E170=0,0,G170/E170))</f>
        <v/>
      </c>
      <c r="I170" s="12">
        <f>IF(A170="","",COUNTIF($G$5:$G$304,"&gt;"&amp;G170)+COUNTIF($G$5:G170,G170))</f>
        <v/>
      </c>
    </row>
    <row r="171">
      <c r="A171" s="7" t="n"/>
      <c r="B171" s="8" t="n"/>
      <c r="C171" s="9" t="n"/>
      <c r="D171" s="9" t="n"/>
      <c r="E171" s="10">
        <f>IF(A171="","",B171*C171)</f>
        <v/>
      </c>
      <c r="F171" s="10">
        <f>IF(A171="","",B171*D171)</f>
        <v/>
      </c>
      <c r="G171" s="10">
        <f>IF(A171="","",E171-F171)</f>
        <v/>
      </c>
      <c r="H171" s="11">
        <f>IF(A171="","",IF(E171=0,0,G171/E171))</f>
        <v/>
      </c>
      <c r="I171" s="12">
        <f>IF(A171="","",COUNTIF($G$5:$G$304,"&gt;"&amp;G171)+COUNTIF($G$5:G171,G171))</f>
        <v/>
      </c>
    </row>
    <row r="172">
      <c r="A172" s="7" t="n"/>
      <c r="B172" s="8" t="n"/>
      <c r="C172" s="9" t="n"/>
      <c r="D172" s="9" t="n"/>
      <c r="E172" s="10">
        <f>IF(A172="","",B172*C172)</f>
        <v/>
      </c>
      <c r="F172" s="10">
        <f>IF(A172="","",B172*D172)</f>
        <v/>
      </c>
      <c r="G172" s="10">
        <f>IF(A172="","",E172-F172)</f>
        <v/>
      </c>
      <c r="H172" s="11">
        <f>IF(A172="","",IF(E172=0,0,G172/E172))</f>
        <v/>
      </c>
      <c r="I172" s="12">
        <f>IF(A172="","",COUNTIF($G$5:$G$304,"&gt;"&amp;G172)+COUNTIF($G$5:G172,G172))</f>
        <v/>
      </c>
    </row>
    <row r="173">
      <c r="A173" s="7" t="n"/>
      <c r="B173" s="8" t="n"/>
      <c r="C173" s="9" t="n"/>
      <c r="D173" s="9" t="n"/>
      <c r="E173" s="10">
        <f>IF(A173="","",B173*C173)</f>
        <v/>
      </c>
      <c r="F173" s="10">
        <f>IF(A173="","",B173*D173)</f>
        <v/>
      </c>
      <c r="G173" s="10">
        <f>IF(A173="","",E173-F173)</f>
        <v/>
      </c>
      <c r="H173" s="11">
        <f>IF(A173="","",IF(E173=0,0,G173/E173))</f>
        <v/>
      </c>
      <c r="I173" s="12">
        <f>IF(A173="","",COUNTIF($G$5:$G$304,"&gt;"&amp;G173)+COUNTIF($G$5:G173,G173))</f>
        <v/>
      </c>
    </row>
    <row r="174">
      <c r="A174" s="7" t="n"/>
      <c r="B174" s="8" t="n"/>
      <c r="C174" s="9" t="n"/>
      <c r="D174" s="9" t="n"/>
      <c r="E174" s="10">
        <f>IF(A174="","",B174*C174)</f>
        <v/>
      </c>
      <c r="F174" s="10">
        <f>IF(A174="","",B174*D174)</f>
        <v/>
      </c>
      <c r="G174" s="10">
        <f>IF(A174="","",E174-F174)</f>
        <v/>
      </c>
      <c r="H174" s="11">
        <f>IF(A174="","",IF(E174=0,0,G174/E174))</f>
        <v/>
      </c>
      <c r="I174" s="12">
        <f>IF(A174="","",COUNTIF($G$5:$G$304,"&gt;"&amp;G174)+COUNTIF($G$5:G174,G174))</f>
        <v/>
      </c>
    </row>
    <row r="175">
      <c r="A175" s="7" t="n"/>
      <c r="B175" s="8" t="n"/>
      <c r="C175" s="9" t="n"/>
      <c r="D175" s="9" t="n"/>
      <c r="E175" s="10">
        <f>IF(A175="","",B175*C175)</f>
        <v/>
      </c>
      <c r="F175" s="10">
        <f>IF(A175="","",B175*D175)</f>
        <v/>
      </c>
      <c r="G175" s="10">
        <f>IF(A175="","",E175-F175)</f>
        <v/>
      </c>
      <c r="H175" s="11">
        <f>IF(A175="","",IF(E175=0,0,G175/E175))</f>
        <v/>
      </c>
      <c r="I175" s="12">
        <f>IF(A175="","",COUNTIF($G$5:$G$304,"&gt;"&amp;G175)+COUNTIF($G$5:G175,G175))</f>
        <v/>
      </c>
    </row>
    <row r="176">
      <c r="A176" s="7" t="n"/>
      <c r="B176" s="8" t="n"/>
      <c r="C176" s="9" t="n"/>
      <c r="D176" s="9" t="n"/>
      <c r="E176" s="10">
        <f>IF(A176="","",B176*C176)</f>
        <v/>
      </c>
      <c r="F176" s="10">
        <f>IF(A176="","",B176*D176)</f>
        <v/>
      </c>
      <c r="G176" s="10">
        <f>IF(A176="","",E176-F176)</f>
        <v/>
      </c>
      <c r="H176" s="11">
        <f>IF(A176="","",IF(E176=0,0,G176/E176))</f>
        <v/>
      </c>
      <c r="I176" s="12">
        <f>IF(A176="","",COUNTIF($G$5:$G$304,"&gt;"&amp;G176)+COUNTIF($G$5:G176,G176))</f>
        <v/>
      </c>
    </row>
    <row r="177">
      <c r="A177" s="7" t="n"/>
      <c r="B177" s="8" t="n"/>
      <c r="C177" s="9" t="n"/>
      <c r="D177" s="9" t="n"/>
      <c r="E177" s="10">
        <f>IF(A177="","",B177*C177)</f>
        <v/>
      </c>
      <c r="F177" s="10">
        <f>IF(A177="","",B177*D177)</f>
        <v/>
      </c>
      <c r="G177" s="10">
        <f>IF(A177="","",E177-F177)</f>
        <v/>
      </c>
      <c r="H177" s="11">
        <f>IF(A177="","",IF(E177=0,0,G177/E177))</f>
        <v/>
      </c>
      <c r="I177" s="12">
        <f>IF(A177="","",COUNTIF($G$5:$G$304,"&gt;"&amp;G177)+COUNTIF($G$5:G177,G177))</f>
        <v/>
      </c>
    </row>
    <row r="178">
      <c r="A178" s="7" t="n"/>
      <c r="B178" s="8" t="n"/>
      <c r="C178" s="9" t="n"/>
      <c r="D178" s="9" t="n"/>
      <c r="E178" s="10">
        <f>IF(A178="","",B178*C178)</f>
        <v/>
      </c>
      <c r="F178" s="10">
        <f>IF(A178="","",B178*D178)</f>
        <v/>
      </c>
      <c r="G178" s="10">
        <f>IF(A178="","",E178-F178)</f>
        <v/>
      </c>
      <c r="H178" s="11">
        <f>IF(A178="","",IF(E178=0,0,G178/E178))</f>
        <v/>
      </c>
      <c r="I178" s="12">
        <f>IF(A178="","",COUNTIF($G$5:$G$304,"&gt;"&amp;G178)+COUNTIF($G$5:G178,G178))</f>
        <v/>
      </c>
    </row>
    <row r="179">
      <c r="A179" s="7" t="n"/>
      <c r="B179" s="8" t="n"/>
      <c r="C179" s="9" t="n"/>
      <c r="D179" s="9" t="n"/>
      <c r="E179" s="10">
        <f>IF(A179="","",B179*C179)</f>
        <v/>
      </c>
      <c r="F179" s="10">
        <f>IF(A179="","",B179*D179)</f>
        <v/>
      </c>
      <c r="G179" s="10">
        <f>IF(A179="","",E179-F179)</f>
        <v/>
      </c>
      <c r="H179" s="11">
        <f>IF(A179="","",IF(E179=0,0,G179/E179))</f>
        <v/>
      </c>
      <c r="I179" s="12">
        <f>IF(A179="","",COUNTIF($G$5:$G$304,"&gt;"&amp;G179)+COUNTIF($G$5:G179,G179))</f>
        <v/>
      </c>
    </row>
    <row r="180">
      <c r="A180" s="7" t="n"/>
      <c r="B180" s="8" t="n"/>
      <c r="C180" s="9" t="n"/>
      <c r="D180" s="9" t="n"/>
      <c r="E180" s="10">
        <f>IF(A180="","",B180*C180)</f>
        <v/>
      </c>
      <c r="F180" s="10">
        <f>IF(A180="","",B180*D180)</f>
        <v/>
      </c>
      <c r="G180" s="10">
        <f>IF(A180="","",E180-F180)</f>
        <v/>
      </c>
      <c r="H180" s="11">
        <f>IF(A180="","",IF(E180=0,0,G180/E180))</f>
        <v/>
      </c>
      <c r="I180" s="12">
        <f>IF(A180="","",COUNTIF($G$5:$G$304,"&gt;"&amp;G180)+COUNTIF($G$5:G180,G180))</f>
        <v/>
      </c>
    </row>
    <row r="181">
      <c r="A181" s="7" t="n"/>
      <c r="B181" s="8" t="n"/>
      <c r="C181" s="9" t="n"/>
      <c r="D181" s="9" t="n"/>
      <c r="E181" s="10">
        <f>IF(A181="","",B181*C181)</f>
        <v/>
      </c>
      <c r="F181" s="10">
        <f>IF(A181="","",B181*D181)</f>
        <v/>
      </c>
      <c r="G181" s="10">
        <f>IF(A181="","",E181-F181)</f>
        <v/>
      </c>
      <c r="H181" s="11">
        <f>IF(A181="","",IF(E181=0,0,G181/E181))</f>
        <v/>
      </c>
      <c r="I181" s="12">
        <f>IF(A181="","",COUNTIF($G$5:$G$304,"&gt;"&amp;G181)+COUNTIF($G$5:G181,G181))</f>
        <v/>
      </c>
    </row>
    <row r="182">
      <c r="A182" s="7" t="n"/>
      <c r="B182" s="8" t="n"/>
      <c r="C182" s="9" t="n"/>
      <c r="D182" s="9" t="n"/>
      <c r="E182" s="10">
        <f>IF(A182="","",B182*C182)</f>
        <v/>
      </c>
      <c r="F182" s="10">
        <f>IF(A182="","",B182*D182)</f>
        <v/>
      </c>
      <c r="G182" s="10">
        <f>IF(A182="","",E182-F182)</f>
        <v/>
      </c>
      <c r="H182" s="11">
        <f>IF(A182="","",IF(E182=0,0,G182/E182))</f>
        <v/>
      </c>
      <c r="I182" s="12">
        <f>IF(A182="","",COUNTIF($G$5:$G$304,"&gt;"&amp;G182)+COUNTIF($G$5:G182,G182))</f>
        <v/>
      </c>
    </row>
    <row r="183">
      <c r="A183" s="7" t="n"/>
      <c r="B183" s="8" t="n"/>
      <c r="C183" s="9" t="n"/>
      <c r="D183" s="9" t="n"/>
      <c r="E183" s="10">
        <f>IF(A183="","",B183*C183)</f>
        <v/>
      </c>
      <c r="F183" s="10">
        <f>IF(A183="","",B183*D183)</f>
        <v/>
      </c>
      <c r="G183" s="10">
        <f>IF(A183="","",E183-F183)</f>
        <v/>
      </c>
      <c r="H183" s="11">
        <f>IF(A183="","",IF(E183=0,0,G183/E183))</f>
        <v/>
      </c>
      <c r="I183" s="12">
        <f>IF(A183="","",COUNTIF($G$5:$G$304,"&gt;"&amp;G183)+COUNTIF($G$5:G183,G183))</f>
        <v/>
      </c>
    </row>
    <row r="184">
      <c r="A184" s="7" t="n"/>
      <c r="B184" s="8" t="n"/>
      <c r="C184" s="9" t="n"/>
      <c r="D184" s="9" t="n"/>
      <c r="E184" s="10">
        <f>IF(A184="","",B184*C184)</f>
        <v/>
      </c>
      <c r="F184" s="10">
        <f>IF(A184="","",B184*D184)</f>
        <v/>
      </c>
      <c r="G184" s="10">
        <f>IF(A184="","",E184-F184)</f>
        <v/>
      </c>
      <c r="H184" s="11">
        <f>IF(A184="","",IF(E184=0,0,G184/E184))</f>
        <v/>
      </c>
      <c r="I184" s="12">
        <f>IF(A184="","",COUNTIF($G$5:$G$304,"&gt;"&amp;G184)+COUNTIF($G$5:G184,G184))</f>
        <v/>
      </c>
    </row>
    <row r="185">
      <c r="A185" s="7" t="n"/>
      <c r="B185" s="8" t="n"/>
      <c r="C185" s="9" t="n"/>
      <c r="D185" s="9" t="n"/>
      <c r="E185" s="10">
        <f>IF(A185="","",B185*C185)</f>
        <v/>
      </c>
      <c r="F185" s="10">
        <f>IF(A185="","",B185*D185)</f>
        <v/>
      </c>
      <c r="G185" s="10">
        <f>IF(A185="","",E185-F185)</f>
        <v/>
      </c>
      <c r="H185" s="11">
        <f>IF(A185="","",IF(E185=0,0,G185/E185))</f>
        <v/>
      </c>
      <c r="I185" s="12">
        <f>IF(A185="","",COUNTIF($G$5:$G$304,"&gt;"&amp;G185)+COUNTIF($G$5:G185,G185))</f>
        <v/>
      </c>
    </row>
    <row r="186">
      <c r="A186" s="7" t="n"/>
      <c r="B186" s="8" t="n"/>
      <c r="C186" s="9" t="n"/>
      <c r="D186" s="9" t="n"/>
      <c r="E186" s="10">
        <f>IF(A186="","",B186*C186)</f>
        <v/>
      </c>
      <c r="F186" s="10">
        <f>IF(A186="","",B186*D186)</f>
        <v/>
      </c>
      <c r="G186" s="10">
        <f>IF(A186="","",E186-F186)</f>
        <v/>
      </c>
      <c r="H186" s="11">
        <f>IF(A186="","",IF(E186=0,0,G186/E186))</f>
        <v/>
      </c>
      <c r="I186" s="12">
        <f>IF(A186="","",COUNTIF($G$5:$G$304,"&gt;"&amp;G186)+COUNTIF($G$5:G186,G186))</f>
        <v/>
      </c>
    </row>
    <row r="187">
      <c r="A187" s="7" t="n"/>
      <c r="B187" s="8" t="n"/>
      <c r="C187" s="9" t="n"/>
      <c r="D187" s="9" t="n"/>
      <c r="E187" s="10">
        <f>IF(A187="","",B187*C187)</f>
        <v/>
      </c>
      <c r="F187" s="10">
        <f>IF(A187="","",B187*D187)</f>
        <v/>
      </c>
      <c r="G187" s="10">
        <f>IF(A187="","",E187-F187)</f>
        <v/>
      </c>
      <c r="H187" s="11">
        <f>IF(A187="","",IF(E187=0,0,G187/E187))</f>
        <v/>
      </c>
      <c r="I187" s="12">
        <f>IF(A187="","",COUNTIF($G$5:$G$304,"&gt;"&amp;G187)+COUNTIF($G$5:G187,G187))</f>
        <v/>
      </c>
    </row>
    <row r="188">
      <c r="A188" s="7" t="n"/>
      <c r="B188" s="8" t="n"/>
      <c r="C188" s="9" t="n"/>
      <c r="D188" s="9" t="n"/>
      <c r="E188" s="10">
        <f>IF(A188="","",B188*C188)</f>
        <v/>
      </c>
      <c r="F188" s="10">
        <f>IF(A188="","",B188*D188)</f>
        <v/>
      </c>
      <c r="G188" s="10">
        <f>IF(A188="","",E188-F188)</f>
        <v/>
      </c>
      <c r="H188" s="11">
        <f>IF(A188="","",IF(E188=0,0,G188/E188))</f>
        <v/>
      </c>
      <c r="I188" s="12">
        <f>IF(A188="","",COUNTIF($G$5:$G$304,"&gt;"&amp;G188)+COUNTIF($G$5:G188,G188))</f>
        <v/>
      </c>
    </row>
    <row r="189">
      <c r="A189" s="7" t="n"/>
      <c r="B189" s="8" t="n"/>
      <c r="C189" s="9" t="n"/>
      <c r="D189" s="9" t="n"/>
      <c r="E189" s="10">
        <f>IF(A189="","",B189*C189)</f>
        <v/>
      </c>
      <c r="F189" s="10">
        <f>IF(A189="","",B189*D189)</f>
        <v/>
      </c>
      <c r="G189" s="10">
        <f>IF(A189="","",E189-F189)</f>
        <v/>
      </c>
      <c r="H189" s="11">
        <f>IF(A189="","",IF(E189=0,0,G189/E189))</f>
        <v/>
      </c>
      <c r="I189" s="12">
        <f>IF(A189="","",COUNTIF($G$5:$G$304,"&gt;"&amp;G189)+COUNTIF($G$5:G189,G189))</f>
        <v/>
      </c>
    </row>
    <row r="190">
      <c r="A190" s="7" t="n"/>
      <c r="B190" s="8" t="n"/>
      <c r="C190" s="9" t="n"/>
      <c r="D190" s="9" t="n"/>
      <c r="E190" s="10">
        <f>IF(A190="","",B190*C190)</f>
        <v/>
      </c>
      <c r="F190" s="10">
        <f>IF(A190="","",B190*D190)</f>
        <v/>
      </c>
      <c r="G190" s="10">
        <f>IF(A190="","",E190-F190)</f>
        <v/>
      </c>
      <c r="H190" s="11">
        <f>IF(A190="","",IF(E190=0,0,G190/E190))</f>
        <v/>
      </c>
      <c r="I190" s="12">
        <f>IF(A190="","",COUNTIF($G$5:$G$304,"&gt;"&amp;G190)+COUNTIF($G$5:G190,G190))</f>
        <v/>
      </c>
    </row>
    <row r="191">
      <c r="A191" s="7" t="n"/>
      <c r="B191" s="8" t="n"/>
      <c r="C191" s="9" t="n"/>
      <c r="D191" s="9" t="n"/>
      <c r="E191" s="10">
        <f>IF(A191="","",B191*C191)</f>
        <v/>
      </c>
      <c r="F191" s="10">
        <f>IF(A191="","",B191*D191)</f>
        <v/>
      </c>
      <c r="G191" s="10">
        <f>IF(A191="","",E191-F191)</f>
        <v/>
      </c>
      <c r="H191" s="11">
        <f>IF(A191="","",IF(E191=0,0,G191/E191))</f>
        <v/>
      </c>
      <c r="I191" s="12">
        <f>IF(A191="","",COUNTIF($G$5:$G$304,"&gt;"&amp;G191)+COUNTIF($G$5:G191,G191))</f>
        <v/>
      </c>
    </row>
    <row r="192">
      <c r="A192" s="7" t="n"/>
      <c r="B192" s="8" t="n"/>
      <c r="C192" s="9" t="n"/>
      <c r="D192" s="9" t="n"/>
      <c r="E192" s="10">
        <f>IF(A192="","",B192*C192)</f>
        <v/>
      </c>
      <c r="F192" s="10">
        <f>IF(A192="","",B192*D192)</f>
        <v/>
      </c>
      <c r="G192" s="10">
        <f>IF(A192="","",E192-F192)</f>
        <v/>
      </c>
      <c r="H192" s="11">
        <f>IF(A192="","",IF(E192=0,0,G192/E192))</f>
        <v/>
      </c>
      <c r="I192" s="12">
        <f>IF(A192="","",COUNTIF($G$5:$G$304,"&gt;"&amp;G192)+COUNTIF($G$5:G192,G192))</f>
        <v/>
      </c>
    </row>
    <row r="193">
      <c r="A193" s="7" t="n"/>
      <c r="B193" s="8" t="n"/>
      <c r="C193" s="9" t="n"/>
      <c r="D193" s="9" t="n"/>
      <c r="E193" s="10">
        <f>IF(A193="","",B193*C193)</f>
        <v/>
      </c>
      <c r="F193" s="10">
        <f>IF(A193="","",B193*D193)</f>
        <v/>
      </c>
      <c r="G193" s="10">
        <f>IF(A193="","",E193-F193)</f>
        <v/>
      </c>
      <c r="H193" s="11">
        <f>IF(A193="","",IF(E193=0,0,G193/E193))</f>
        <v/>
      </c>
      <c r="I193" s="12">
        <f>IF(A193="","",COUNTIF($G$5:$G$304,"&gt;"&amp;G193)+COUNTIF($G$5:G193,G193))</f>
        <v/>
      </c>
    </row>
    <row r="194">
      <c r="A194" s="7" t="n"/>
      <c r="B194" s="8" t="n"/>
      <c r="C194" s="9" t="n"/>
      <c r="D194" s="9" t="n"/>
      <c r="E194" s="10">
        <f>IF(A194="","",B194*C194)</f>
        <v/>
      </c>
      <c r="F194" s="10">
        <f>IF(A194="","",B194*D194)</f>
        <v/>
      </c>
      <c r="G194" s="10">
        <f>IF(A194="","",E194-F194)</f>
        <v/>
      </c>
      <c r="H194" s="11">
        <f>IF(A194="","",IF(E194=0,0,G194/E194))</f>
        <v/>
      </c>
      <c r="I194" s="12">
        <f>IF(A194="","",COUNTIF($G$5:$G$304,"&gt;"&amp;G194)+COUNTIF($G$5:G194,G194))</f>
        <v/>
      </c>
    </row>
    <row r="195">
      <c r="A195" s="7" t="n"/>
      <c r="B195" s="8" t="n"/>
      <c r="C195" s="9" t="n"/>
      <c r="D195" s="9" t="n"/>
      <c r="E195" s="10">
        <f>IF(A195="","",B195*C195)</f>
        <v/>
      </c>
      <c r="F195" s="10">
        <f>IF(A195="","",B195*D195)</f>
        <v/>
      </c>
      <c r="G195" s="10">
        <f>IF(A195="","",E195-F195)</f>
        <v/>
      </c>
      <c r="H195" s="11">
        <f>IF(A195="","",IF(E195=0,0,G195/E195))</f>
        <v/>
      </c>
      <c r="I195" s="12">
        <f>IF(A195="","",COUNTIF($G$5:$G$304,"&gt;"&amp;G195)+COUNTIF($G$5:G195,G195))</f>
        <v/>
      </c>
    </row>
    <row r="196">
      <c r="A196" s="7" t="n"/>
      <c r="B196" s="8" t="n"/>
      <c r="C196" s="9" t="n"/>
      <c r="D196" s="9" t="n"/>
      <c r="E196" s="10">
        <f>IF(A196="","",B196*C196)</f>
        <v/>
      </c>
      <c r="F196" s="10">
        <f>IF(A196="","",B196*D196)</f>
        <v/>
      </c>
      <c r="G196" s="10">
        <f>IF(A196="","",E196-F196)</f>
        <v/>
      </c>
      <c r="H196" s="11">
        <f>IF(A196="","",IF(E196=0,0,G196/E196))</f>
        <v/>
      </c>
      <c r="I196" s="12">
        <f>IF(A196="","",COUNTIF($G$5:$G$304,"&gt;"&amp;G196)+COUNTIF($G$5:G196,G196))</f>
        <v/>
      </c>
    </row>
    <row r="197">
      <c r="A197" s="7" t="n"/>
      <c r="B197" s="8" t="n"/>
      <c r="C197" s="9" t="n"/>
      <c r="D197" s="9" t="n"/>
      <c r="E197" s="10">
        <f>IF(A197="","",B197*C197)</f>
        <v/>
      </c>
      <c r="F197" s="10">
        <f>IF(A197="","",B197*D197)</f>
        <v/>
      </c>
      <c r="G197" s="10">
        <f>IF(A197="","",E197-F197)</f>
        <v/>
      </c>
      <c r="H197" s="11">
        <f>IF(A197="","",IF(E197=0,0,G197/E197))</f>
        <v/>
      </c>
      <c r="I197" s="12">
        <f>IF(A197="","",COUNTIF($G$5:$G$304,"&gt;"&amp;G197)+COUNTIF($G$5:G197,G197))</f>
        <v/>
      </c>
    </row>
    <row r="198">
      <c r="A198" s="7" t="n"/>
      <c r="B198" s="8" t="n"/>
      <c r="C198" s="9" t="n"/>
      <c r="D198" s="9" t="n"/>
      <c r="E198" s="10">
        <f>IF(A198="","",B198*C198)</f>
        <v/>
      </c>
      <c r="F198" s="10">
        <f>IF(A198="","",B198*D198)</f>
        <v/>
      </c>
      <c r="G198" s="10">
        <f>IF(A198="","",E198-F198)</f>
        <v/>
      </c>
      <c r="H198" s="11">
        <f>IF(A198="","",IF(E198=0,0,G198/E198))</f>
        <v/>
      </c>
      <c r="I198" s="12">
        <f>IF(A198="","",COUNTIF($G$5:$G$304,"&gt;"&amp;G198)+COUNTIF($G$5:G198,G198))</f>
        <v/>
      </c>
    </row>
    <row r="199">
      <c r="A199" s="7" t="n"/>
      <c r="B199" s="8" t="n"/>
      <c r="C199" s="9" t="n"/>
      <c r="D199" s="9" t="n"/>
      <c r="E199" s="10">
        <f>IF(A199="","",B199*C199)</f>
        <v/>
      </c>
      <c r="F199" s="10">
        <f>IF(A199="","",B199*D199)</f>
        <v/>
      </c>
      <c r="G199" s="10">
        <f>IF(A199="","",E199-F199)</f>
        <v/>
      </c>
      <c r="H199" s="11">
        <f>IF(A199="","",IF(E199=0,0,G199/E199))</f>
        <v/>
      </c>
      <c r="I199" s="12">
        <f>IF(A199="","",COUNTIF($G$5:$G$304,"&gt;"&amp;G199)+COUNTIF($G$5:G199,G199))</f>
        <v/>
      </c>
    </row>
    <row r="200">
      <c r="A200" s="7" t="n"/>
      <c r="B200" s="8" t="n"/>
      <c r="C200" s="9" t="n"/>
      <c r="D200" s="9" t="n"/>
      <c r="E200" s="10">
        <f>IF(A200="","",B200*C200)</f>
        <v/>
      </c>
      <c r="F200" s="10">
        <f>IF(A200="","",B200*D200)</f>
        <v/>
      </c>
      <c r="G200" s="10">
        <f>IF(A200="","",E200-F200)</f>
        <v/>
      </c>
      <c r="H200" s="11">
        <f>IF(A200="","",IF(E200=0,0,G200/E200))</f>
        <v/>
      </c>
      <c r="I200" s="12">
        <f>IF(A200="","",COUNTIF($G$5:$G$304,"&gt;"&amp;G200)+COUNTIF($G$5:G200,G200))</f>
        <v/>
      </c>
    </row>
    <row r="201">
      <c r="A201" s="7" t="n"/>
      <c r="B201" s="8" t="n"/>
      <c r="C201" s="9" t="n"/>
      <c r="D201" s="9" t="n"/>
      <c r="E201" s="10">
        <f>IF(A201="","",B201*C201)</f>
        <v/>
      </c>
      <c r="F201" s="10">
        <f>IF(A201="","",B201*D201)</f>
        <v/>
      </c>
      <c r="G201" s="10">
        <f>IF(A201="","",E201-F201)</f>
        <v/>
      </c>
      <c r="H201" s="11">
        <f>IF(A201="","",IF(E201=0,0,G201/E201))</f>
        <v/>
      </c>
      <c r="I201" s="12">
        <f>IF(A201="","",COUNTIF($G$5:$G$304,"&gt;"&amp;G201)+COUNTIF($G$5:G201,G201))</f>
        <v/>
      </c>
    </row>
    <row r="202">
      <c r="A202" s="7" t="n"/>
      <c r="B202" s="8" t="n"/>
      <c r="C202" s="9" t="n"/>
      <c r="D202" s="9" t="n"/>
      <c r="E202" s="10">
        <f>IF(A202="","",B202*C202)</f>
        <v/>
      </c>
      <c r="F202" s="10">
        <f>IF(A202="","",B202*D202)</f>
        <v/>
      </c>
      <c r="G202" s="10">
        <f>IF(A202="","",E202-F202)</f>
        <v/>
      </c>
      <c r="H202" s="11">
        <f>IF(A202="","",IF(E202=0,0,G202/E202))</f>
        <v/>
      </c>
      <c r="I202" s="12">
        <f>IF(A202="","",COUNTIF($G$5:$G$304,"&gt;"&amp;G202)+COUNTIF($G$5:G202,G202))</f>
        <v/>
      </c>
    </row>
    <row r="203">
      <c r="A203" s="7" t="n"/>
      <c r="B203" s="8" t="n"/>
      <c r="C203" s="9" t="n"/>
      <c r="D203" s="9" t="n"/>
      <c r="E203" s="10">
        <f>IF(A203="","",B203*C203)</f>
        <v/>
      </c>
      <c r="F203" s="10">
        <f>IF(A203="","",B203*D203)</f>
        <v/>
      </c>
      <c r="G203" s="10">
        <f>IF(A203="","",E203-F203)</f>
        <v/>
      </c>
      <c r="H203" s="11">
        <f>IF(A203="","",IF(E203=0,0,G203/E203))</f>
        <v/>
      </c>
      <c r="I203" s="12">
        <f>IF(A203="","",COUNTIF($G$5:$G$304,"&gt;"&amp;G203)+COUNTIF($G$5:G203,G203))</f>
        <v/>
      </c>
    </row>
    <row r="204">
      <c r="A204" s="7" t="n"/>
      <c r="B204" s="8" t="n"/>
      <c r="C204" s="9" t="n"/>
      <c r="D204" s="9" t="n"/>
      <c r="E204" s="10">
        <f>IF(A204="","",B204*C204)</f>
        <v/>
      </c>
      <c r="F204" s="10">
        <f>IF(A204="","",B204*D204)</f>
        <v/>
      </c>
      <c r="G204" s="10">
        <f>IF(A204="","",E204-F204)</f>
        <v/>
      </c>
      <c r="H204" s="11">
        <f>IF(A204="","",IF(E204=0,0,G204/E204))</f>
        <v/>
      </c>
      <c r="I204" s="12">
        <f>IF(A204="","",COUNTIF($G$5:$G$304,"&gt;"&amp;G204)+COUNTIF($G$5:G204,G204))</f>
        <v/>
      </c>
    </row>
    <row r="205">
      <c r="A205" s="7" t="n"/>
      <c r="B205" s="8" t="n"/>
      <c r="C205" s="9" t="n"/>
      <c r="D205" s="9" t="n"/>
      <c r="E205" s="10">
        <f>IF(A205="","",B205*C205)</f>
        <v/>
      </c>
      <c r="F205" s="10">
        <f>IF(A205="","",B205*D205)</f>
        <v/>
      </c>
      <c r="G205" s="10">
        <f>IF(A205="","",E205-F205)</f>
        <v/>
      </c>
      <c r="H205" s="11">
        <f>IF(A205="","",IF(E205=0,0,G205/E205))</f>
        <v/>
      </c>
      <c r="I205" s="12">
        <f>IF(A205="","",COUNTIF($G$5:$G$304,"&gt;"&amp;G205)+COUNTIF($G$5:G205,G205))</f>
        <v/>
      </c>
    </row>
    <row r="206">
      <c r="A206" s="7" t="n"/>
      <c r="B206" s="8" t="n"/>
      <c r="C206" s="9" t="n"/>
      <c r="D206" s="9" t="n"/>
      <c r="E206" s="10">
        <f>IF(A206="","",B206*C206)</f>
        <v/>
      </c>
      <c r="F206" s="10">
        <f>IF(A206="","",B206*D206)</f>
        <v/>
      </c>
      <c r="G206" s="10">
        <f>IF(A206="","",E206-F206)</f>
        <v/>
      </c>
      <c r="H206" s="11">
        <f>IF(A206="","",IF(E206=0,0,G206/E206))</f>
        <v/>
      </c>
      <c r="I206" s="12">
        <f>IF(A206="","",COUNTIF($G$5:$G$304,"&gt;"&amp;G206)+COUNTIF($G$5:G206,G206))</f>
        <v/>
      </c>
    </row>
    <row r="207">
      <c r="A207" s="7" t="n"/>
      <c r="B207" s="8" t="n"/>
      <c r="C207" s="9" t="n"/>
      <c r="D207" s="9" t="n"/>
      <c r="E207" s="10">
        <f>IF(A207="","",B207*C207)</f>
        <v/>
      </c>
      <c r="F207" s="10">
        <f>IF(A207="","",B207*D207)</f>
        <v/>
      </c>
      <c r="G207" s="10">
        <f>IF(A207="","",E207-F207)</f>
        <v/>
      </c>
      <c r="H207" s="11">
        <f>IF(A207="","",IF(E207=0,0,G207/E207))</f>
        <v/>
      </c>
      <c r="I207" s="12">
        <f>IF(A207="","",COUNTIF($G$5:$G$304,"&gt;"&amp;G207)+COUNTIF($G$5:G207,G207))</f>
        <v/>
      </c>
    </row>
    <row r="208">
      <c r="A208" s="7" t="n"/>
      <c r="B208" s="8" t="n"/>
      <c r="C208" s="9" t="n"/>
      <c r="D208" s="9" t="n"/>
      <c r="E208" s="10">
        <f>IF(A208="","",B208*C208)</f>
        <v/>
      </c>
      <c r="F208" s="10">
        <f>IF(A208="","",B208*D208)</f>
        <v/>
      </c>
      <c r="G208" s="10">
        <f>IF(A208="","",E208-F208)</f>
        <v/>
      </c>
      <c r="H208" s="11">
        <f>IF(A208="","",IF(E208=0,0,G208/E208))</f>
        <v/>
      </c>
      <c r="I208" s="12">
        <f>IF(A208="","",COUNTIF($G$5:$G$304,"&gt;"&amp;G208)+COUNTIF($G$5:G208,G208))</f>
        <v/>
      </c>
    </row>
    <row r="209">
      <c r="A209" s="7" t="n"/>
      <c r="B209" s="8" t="n"/>
      <c r="C209" s="9" t="n"/>
      <c r="D209" s="9" t="n"/>
      <c r="E209" s="10">
        <f>IF(A209="","",B209*C209)</f>
        <v/>
      </c>
      <c r="F209" s="10">
        <f>IF(A209="","",B209*D209)</f>
        <v/>
      </c>
      <c r="G209" s="10">
        <f>IF(A209="","",E209-F209)</f>
        <v/>
      </c>
      <c r="H209" s="11">
        <f>IF(A209="","",IF(E209=0,0,G209/E209))</f>
        <v/>
      </c>
      <c r="I209" s="12">
        <f>IF(A209="","",COUNTIF($G$5:$G$304,"&gt;"&amp;G209)+COUNTIF($G$5:G209,G209))</f>
        <v/>
      </c>
    </row>
    <row r="210">
      <c r="A210" s="7" t="n"/>
      <c r="B210" s="8" t="n"/>
      <c r="C210" s="9" t="n"/>
      <c r="D210" s="9" t="n"/>
      <c r="E210" s="10">
        <f>IF(A210="","",B210*C210)</f>
        <v/>
      </c>
      <c r="F210" s="10">
        <f>IF(A210="","",B210*D210)</f>
        <v/>
      </c>
      <c r="G210" s="10">
        <f>IF(A210="","",E210-F210)</f>
        <v/>
      </c>
      <c r="H210" s="11">
        <f>IF(A210="","",IF(E210=0,0,G210/E210))</f>
        <v/>
      </c>
      <c r="I210" s="12">
        <f>IF(A210="","",COUNTIF($G$5:$G$304,"&gt;"&amp;G210)+COUNTIF($G$5:G210,G210))</f>
        <v/>
      </c>
    </row>
    <row r="211">
      <c r="A211" s="7" t="n"/>
      <c r="B211" s="8" t="n"/>
      <c r="C211" s="9" t="n"/>
      <c r="D211" s="9" t="n"/>
      <c r="E211" s="10">
        <f>IF(A211="","",B211*C211)</f>
        <v/>
      </c>
      <c r="F211" s="10">
        <f>IF(A211="","",B211*D211)</f>
        <v/>
      </c>
      <c r="G211" s="10">
        <f>IF(A211="","",E211-F211)</f>
        <v/>
      </c>
      <c r="H211" s="11">
        <f>IF(A211="","",IF(E211=0,0,G211/E211))</f>
        <v/>
      </c>
      <c r="I211" s="12">
        <f>IF(A211="","",COUNTIF($G$5:$G$304,"&gt;"&amp;G211)+COUNTIF($G$5:G211,G211))</f>
        <v/>
      </c>
    </row>
    <row r="212">
      <c r="A212" s="7" t="n"/>
      <c r="B212" s="8" t="n"/>
      <c r="C212" s="9" t="n"/>
      <c r="D212" s="9" t="n"/>
      <c r="E212" s="10">
        <f>IF(A212="","",B212*C212)</f>
        <v/>
      </c>
      <c r="F212" s="10">
        <f>IF(A212="","",B212*D212)</f>
        <v/>
      </c>
      <c r="G212" s="10">
        <f>IF(A212="","",E212-F212)</f>
        <v/>
      </c>
      <c r="H212" s="11">
        <f>IF(A212="","",IF(E212=0,0,G212/E212))</f>
        <v/>
      </c>
      <c r="I212" s="12">
        <f>IF(A212="","",COUNTIF($G$5:$G$304,"&gt;"&amp;G212)+COUNTIF($G$5:G212,G212))</f>
        <v/>
      </c>
    </row>
    <row r="213">
      <c r="A213" s="7" t="n"/>
      <c r="B213" s="8" t="n"/>
      <c r="C213" s="9" t="n"/>
      <c r="D213" s="9" t="n"/>
      <c r="E213" s="10">
        <f>IF(A213="","",B213*C213)</f>
        <v/>
      </c>
      <c r="F213" s="10">
        <f>IF(A213="","",B213*D213)</f>
        <v/>
      </c>
      <c r="G213" s="10">
        <f>IF(A213="","",E213-F213)</f>
        <v/>
      </c>
      <c r="H213" s="11">
        <f>IF(A213="","",IF(E213=0,0,G213/E213))</f>
        <v/>
      </c>
      <c r="I213" s="12">
        <f>IF(A213="","",COUNTIF($G$5:$G$304,"&gt;"&amp;G213)+COUNTIF($G$5:G213,G213))</f>
        <v/>
      </c>
    </row>
    <row r="214">
      <c r="A214" s="7" t="n"/>
      <c r="B214" s="8" t="n"/>
      <c r="C214" s="9" t="n"/>
      <c r="D214" s="9" t="n"/>
      <c r="E214" s="10">
        <f>IF(A214="","",B214*C214)</f>
        <v/>
      </c>
      <c r="F214" s="10">
        <f>IF(A214="","",B214*D214)</f>
        <v/>
      </c>
      <c r="G214" s="10">
        <f>IF(A214="","",E214-F214)</f>
        <v/>
      </c>
      <c r="H214" s="11">
        <f>IF(A214="","",IF(E214=0,0,G214/E214))</f>
        <v/>
      </c>
      <c r="I214" s="12">
        <f>IF(A214="","",COUNTIF($G$5:$G$304,"&gt;"&amp;G214)+COUNTIF($G$5:G214,G214))</f>
        <v/>
      </c>
    </row>
    <row r="215">
      <c r="A215" s="7" t="n"/>
      <c r="B215" s="8" t="n"/>
      <c r="C215" s="9" t="n"/>
      <c r="D215" s="9" t="n"/>
      <c r="E215" s="10">
        <f>IF(A215="","",B215*C215)</f>
        <v/>
      </c>
      <c r="F215" s="10">
        <f>IF(A215="","",B215*D215)</f>
        <v/>
      </c>
      <c r="G215" s="10">
        <f>IF(A215="","",E215-F215)</f>
        <v/>
      </c>
      <c r="H215" s="11">
        <f>IF(A215="","",IF(E215=0,0,G215/E215))</f>
        <v/>
      </c>
      <c r="I215" s="12">
        <f>IF(A215="","",COUNTIF($G$5:$G$304,"&gt;"&amp;G215)+COUNTIF($G$5:G215,G215))</f>
        <v/>
      </c>
    </row>
    <row r="216">
      <c r="A216" s="7" t="n"/>
      <c r="B216" s="8" t="n"/>
      <c r="C216" s="9" t="n"/>
      <c r="D216" s="9" t="n"/>
      <c r="E216" s="10">
        <f>IF(A216="","",B216*C216)</f>
        <v/>
      </c>
      <c r="F216" s="10">
        <f>IF(A216="","",B216*D216)</f>
        <v/>
      </c>
      <c r="G216" s="10">
        <f>IF(A216="","",E216-F216)</f>
        <v/>
      </c>
      <c r="H216" s="11">
        <f>IF(A216="","",IF(E216=0,0,G216/E216))</f>
        <v/>
      </c>
      <c r="I216" s="12">
        <f>IF(A216="","",COUNTIF($G$5:$G$304,"&gt;"&amp;G216)+COUNTIF($G$5:G216,G216))</f>
        <v/>
      </c>
    </row>
    <row r="217">
      <c r="A217" s="7" t="n"/>
      <c r="B217" s="8" t="n"/>
      <c r="C217" s="9" t="n"/>
      <c r="D217" s="9" t="n"/>
      <c r="E217" s="10">
        <f>IF(A217="","",B217*C217)</f>
        <v/>
      </c>
      <c r="F217" s="10">
        <f>IF(A217="","",B217*D217)</f>
        <v/>
      </c>
      <c r="G217" s="10">
        <f>IF(A217="","",E217-F217)</f>
        <v/>
      </c>
      <c r="H217" s="11">
        <f>IF(A217="","",IF(E217=0,0,G217/E217))</f>
        <v/>
      </c>
      <c r="I217" s="12">
        <f>IF(A217="","",COUNTIF($G$5:$G$304,"&gt;"&amp;G217)+COUNTIF($G$5:G217,G217))</f>
        <v/>
      </c>
    </row>
    <row r="218">
      <c r="A218" s="7" t="n"/>
      <c r="B218" s="8" t="n"/>
      <c r="C218" s="9" t="n"/>
      <c r="D218" s="9" t="n"/>
      <c r="E218" s="10">
        <f>IF(A218="","",B218*C218)</f>
        <v/>
      </c>
      <c r="F218" s="10">
        <f>IF(A218="","",B218*D218)</f>
        <v/>
      </c>
      <c r="G218" s="10">
        <f>IF(A218="","",E218-F218)</f>
        <v/>
      </c>
      <c r="H218" s="11">
        <f>IF(A218="","",IF(E218=0,0,G218/E218))</f>
        <v/>
      </c>
      <c r="I218" s="12">
        <f>IF(A218="","",COUNTIF($G$5:$G$304,"&gt;"&amp;G218)+COUNTIF($G$5:G218,G218))</f>
        <v/>
      </c>
    </row>
    <row r="219">
      <c r="A219" s="7" t="n"/>
      <c r="B219" s="8" t="n"/>
      <c r="C219" s="9" t="n"/>
      <c r="D219" s="9" t="n"/>
      <c r="E219" s="10">
        <f>IF(A219="","",B219*C219)</f>
        <v/>
      </c>
      <c r="F219" s="10">
        <f>IF(A219="","",B219*D219)</f>
        <v/>
      </c>
      <c r="G219" s="10">
        <f>IF(A219="","",E219-F219)</f>
        <v/>
      </c>
      <c r="H219" s="11">
        <f>IF(A219="","",IF(E219=0,0,G219/E219))</f>
        <v/>
      </c>
      <c r="I219" s="12">
        <f>IF(A219="","",COUNTIF($G$5:$G$304,"&gt;"&amp;G219)+COUNTIF($G$5:G219,G219))</f>
        <v/>
      </c>
    </row>
    <row r="220">
      <c r="A220" s="7" t="n"/>
      <c r="B220" s="8" t="n"/>
      <c r="C220" s="9" t="n"/>
      <c r="D220" s="9" t="n"/>
      <c r="E220" s="10">
        <f>IF(A220="","",B220*C220)</f>
        <v/>
      </c>
      <c r="F220" s="10">
        <f>IF(A220="","",B220*D220)</f>
        <v/>
      </c>
      <c r="G220" s="10">
        <f>IF(A220="","",E220-F220)</f>
        <v/>
      </c>
      <c r="H220" s="11">
        <f>IF(A220="","",IF(E220=0,0,G220/E220))</f>
        <v/>
      </c>
      <c r="I220" s="12">
        <f>IF(A220="","",COUNTIF($G$5:$G$304,"&gt;"&amp;G220)+COUNTIF($G$5:G220,G220))</f>
        <v/>
      </c>
    </row>
    <row r="221">
      <c r="A221" s="7" t="n"/>
      <c r="B221" s="8" t="n"/>
      <c r="C221" s="9" t="n"/>
      <c r="D221" s="9" t="n"/>
      <c r="E221" s="10">
        <f>IF(A221="","",B221*C221)</f>
        <v/>
      </c>
      <c r="F221" s="10">
        <f>IF(A221="","",B221*D221)</f>
        <v/>
      </c>
      <c r="G221" s="10">
        <f>IF(A221="","",E221-F221)</f>
        <v/>
      </c>
      <c r="H221" s="11">
        <f>IF(A221="","",IF(E221=0,0,G221/E221))</f>
        <v/>
      </c>
      <c r="I221" s="12">
        <f>IF(A221="","",COUNTIF($G$5:$G$304,"&gt;"&amp;G221)+COUNTIF($G$5:G221,G221))</f>
        <v/>
      </c>
    </row>
    <row r="222">
      <c r="A222" s="7" t="n"/>
      <c r="B222" s="8" t="n"/>
      <c r="C222" s="9" t="n"/>
      <c r="D222" s="9" t="n"/>
      <c r="E222" s="10">
        <f>IF(A222="","",B222*C222)</f>
        <v/>
      </c>
      <c r="F222" s="10">
        <f>IF(A222="","",B222*D222)</f>
        <v/>
      </c>
      <c r="G222" s="10">
        <f>IF(A222="","",E222-F222)</f>
        <v/>
      </c>
      <c r="H222" s="11">
        <f>IF(A222="","",IF(E222=0,0,G222/E222))</f>
        <v/>
      </c>
      <c r="I222" s="12">
        <f>IF(A222="","",COUNTIF($G$5:$G$304,"&gt;"&amp;G222)+COUNTIF($G$5:G222,G222))</f>
        <v/>
      </c>
    </row>
    <row r="223">
      <c r="A223" s="7" t="n"/>
      <c r="B223" s="8" t="n"/>
      <c r="C223" s="9" t="n"/>
      <c r="D223" s="9" t="n"/>
      <c r="E223" s="10">
        <f>IF(A223="","",B223*C223)</f>
        <v/>
      </c>
      <c r="F223" s="10">
        <f>IF(A223="","",B223*D223)</f>
        <v/>
      </c>
      <c r="G223" s="10">
        <f>IF(A223="","",E223-F223)</f>
        <v/>
      </c>
      <c r="H223" s="11">
        <f>IF(A223="","",IF(E223=0,0,G223/E223))</f>
        <v/>
      </c>
      <c r="I223" s="12">
        <f>IF(A223="","",COUNTIF($G$5:$G$304,"&gt;"&amp;G223)+COUNTIF($G$5:G223,G223))</f>
        <v/>
      </c>
    </row>
    <row r="224">
      <c r="A224" s="7" t="n"/>
      <c r="B224" s="8" t="n"/>
      <c r="C224" s="9" t="n"/>
      <c r="D224" s="9" t="n"/>
      <c r="E224" s="10">
        <f>IF(A224="","",B224*C224)</f>
        <v/>
      </c>
      <c r="F224" s="10">
        <f>IF(A224="","",B224*D224)</f>
        <v/>
      </c>
      <c r="G224" s="10">
        <f>IF(A224="","",E224-F224)</f>
        <v/>
      </c>
      <c r="H224" s="11">
        <f>IF(A224="","",IF(E224=0,0,G224/E224))</f>
        <v/>
      </c>
      <c r="I224" s="12">
        <f>IF(A224="","",COUNTIF($G$5:$G$304,"&gt;"&amp;G224)+COUNTIF($G$5:G224,G224))</f>
        <v/>
      </c>
    </row>
    <row r="225">
      <c r="A225" s="7" t="n"/>
      <c r="B225" s="8" t="n"/>
      <c r="C225" s="9" t="n"/>
      <c r="D225" s="9" t="n"/>
      <c r="E225" s="10">
        <f>IF(A225="","",B225*C225)</f>
        <v/>
      </c>
      <c r="F225" s="10">
        <f>IF(A225="","",B225*D225)</f>
        <v/>
      </c>
      <c r="G225" s="10">
        <f>IF(A225="","",E225-F225)</f>
        <v/>
      </c>
      <c r="H225" s="11">
        <f>IF(A225="","",IF(E225=0,0,G225/E225))</f>
        <v/>
      </c>
      <c r="I225" s="12">
        <f>IF(A225="","",COUNTIF($G$5:$G$304,"&gt;"&amp;G225)+COUNTIF($G$5:G225,G225))</f>
        <v/>
      </c>
    </row>
    <row r="226">
      <c r="A226" s="7" t="n"/>
      <c r="B226" s="8" t="n"/>
      <c r="C226" s="9" t="n"/>
      <c r="D226" s="9" t="n"/>
      <c r="E226" s="10">
        <f>IF(A226="","",B226*C226)</f>
        <v/>
      </c>
      <c r="F226" s="10">
        <f>IF(A226="","",B226*D226)</f>
        <v/>
      </c>
      <c r="G226" s="10">
        <f>IF(A226="","",E226-F226)</f>
        <v/>
      </c>
      <c r="H226" s="11">
        <f>IF(A226="","",IF(E226=0,0,G226/E226))</f>
        <v/>
      </c>
      <c r="I226" s="12">
        <f>IF(A226="","",COUNTIF($G$5:$G$304,"&gt;"&amp;G226)+COUNTIF($G$5:G226,G226))</f>
        <v/>
      </c>
    </row>
    <row r="227">
      <c r="A227" s="7" t="n"/>
      <c r="B227" s="8" t="n"/>
      <c r="C227" s="9" t="n"/>
      <c r="D227" s="9" t="n"/>
      <c r="E227" s="10">
        <f>IF(A227="","",B227*C227)</f>
        <v/>
      </c>
      <c r="F227" s="10">
        <f>IF(A227="","",B227*D227)</f>
        <v/>
      </c>
      <c r="G227" s="10">
        <f>IF(A227="","",E227-F227)</f>
        <v/>
      </c>
      <c r="H227" s="11">
        <f>IF(A227="","",IF(E227=0,0,G227/E227))</f>
        <v/>
      </c>
      <c r="I227" s="12">
        <f>IF(A227="","",COUNTIF($G$5:$G$304,"&gt;"&amp;G227)+COUNTIF($G$5:G227,G227))</f>
        <v/>
      </c>
    </row>
    <row r="228">
      <c r="A228" s="7" t="n"/>
      <c r="B228" s="8" t="n"/>
      <c r="C228" s="9" t="n"/>
      <c r="D228" s="9" t="n"/>
      <c r="E228" s="10">
        <f>IF(A228="","",B228*C228)</f>
        <v/>
      </c>
      <c r="F228" s="10">
        <f>IF(A228="","",B228*D228)</f>
        <v/>
      </c>
      <c r="G228" s="10">
        <f>IF(A228="","",E228-F228)</f>
        <v/>
      </c>
      <c r="H228" s="11">
        <f>IF(A228="","",IF(E228=0,0,G228/E228))</f>
        <v/>
      </c>
      <c r="I228" s="12">
        <f>IF(A228="","",COUNTIF($G$5:$G$304,"&gt;"&amp;G228)+COUNTIF($G$5:G228,G228))</f>
        <v/>
      </c>
    </row>
    <row r="229">
      <c r="A229" s="7" t="n"/>
      <c r="B229" s="8" t="n"/>
      <c r="C229" s="9" t="n"/>
      <c r="D229" s="9" t="n"/>
      <c r="E229" s="10">
        <f>IF(A229="","",B229*C229)</f>
        <v/>
      </c>
      <c r="F229" s="10">
        <f>IF(A229="","",B229*D229)</f>
        <v/>
      </c>
      <c r="G229" s="10">
        <f>IF(A229="","",E229-F229)</f>
        <v/>
      </c>
      <c r="H229" s="11">
        <f>IF(A229="","",IF(E229=0,0,G229/E229))</f>
        <v/>
      </c>
      <c r="I229" s="12">
        <f>IF(A229="","",COUNTIF($G$5:$G$304,"&gt;"&amp;G229)+COUNTIF($G$5:G229,G229))</f>
        <v/>
      </c>
    </row>
    <row r="230">
      <c r="A230" s="7" t="n"/>
      <c r="B230" s="8" t="n"/>
      <c r="C230" s="9" t="n"/>
      <c r="D230" s="9" t="n"/>
      <c r="E230" s="10">
        <f>IF(A230="","",B230*C230)</f>
        <v/>
      </c>
      <c r="F230" s="10">
        <f>IF(A230="","",B230*D230)</f>
        <v/>
      </c>
      <c r="G230" s="10">
        <f>IF(A230="","",E230-F230)</f>
        <v/>
      </c>
      <c r="H230" s="11">
        <f>IF(A230="","",IF(E230=0,0,G230/E230))</f>
        <v/>
      </c>
      <c r="I230" s="12">
        <f>IF(A230="","",COUNTIF($G$5:$G$304,"&gt;"&amp;G230)+COUNTIF($G$5:G230,G230))</f>
        <v/>
      </c>
    </row>
    <row r="231">
      <c r="A231" s="7" t="n"/>
      <c r="B231" s="8" t="n"/>
      <c r="C231" s="9" t="n"/>
      <c r="D231" s="9" t="n"/>
      <c r="E231" s="10">
        <f>IF(A231="","",B231*C231)</f>
        <v/>
      </c>
      <c r="F231" s="10">
        <f>IF(A231="","",B231*D231)</f>
        <v/>
      </c>
      <c r="G231" s="10">
        <f>IF(A231="","",E231-F231)</f>
        <v/>
      </c>
      <c r="H231" s="11">
        <f>IF(A231="","",IF(E231=0,0,G231/E231))</f>
        <v/>
      </c>
      <c r="I231" s="12">
        <f>IF(A231="","",COUNTIF($G$5:$G$304,"&gt;"&amp;G231)+COUNTIF($G$5:G231,G231))</f>
        <v/>
      </c>
    </row>
    <row r="232">
      <c r="A232" s="7" t="n"/>
      <c r="B232" s="8" t="n"/>
      <c r="C232" s="9" t="n"/>
      <c r="D232" s="9" t="n"/>
      <c r="E232" s="10">
        <f>IF(A232="","",B232*C232)</f>
        <v/>
      </c>
      <c r="F232" s="10">
        <f>IF(A232="","",B232*D232)</f>
        <v/>
      </c>
      <c r="G232" s="10">
        <f>IF(A232="","",E232-F232)</f>
        <v/>
      </c>
      <c r="H232" s="11">
        <f>IF(A232="","",IF(E232=0,0,G232/E232))</f>
        <v/>
      </c>
      <c r="I232" s="12">
        <f>IF(A232="","",COUNTIF($G$5:$G$304,"&gt;"&amp;G232)+COUNTIF($G$5:G232,G232))</f>
        <v/>
      </c>
    </row>
    <row r="233">
      <c r="A233" s="7" t="n"/>
      <c r="B233" s="8" t="n"/>
      <c r="C233" s="9" t="n"/>
      <c r="D233" s="9" t="n"/>
      <c r="E233" s="10">
        <f>IF(A233="","",B233*C233)</f>
        <v/>
      </c>
      <c r="F233" s="10">
        <f>IF(A233="","",B233*D233)</f>
        <v/>
      </c>
      <c r="G233" s="10">
        <f>IF(A233="","",E233-F233)</f>
        <v/>
      </c>
      <c r="H233" s="11">
        <f>IF(A233="","",IF(E233=0,0,G233/E233))</f>
        <v/>
      </c>
      <c r="I233" s="12">
        <f>IF(A233="","",COUNTIF($G$5:$G$304,"&gt;"&amp;G233)+COUNTIF($G$5:G233,G233))</f>
        <v/>
      </c>
    </row>
    <row r="234">
      <c r="A234" s="7" t="n"/>
      <c r="B234" s="8" t="n"/>
      <c r="C234" s="9" t="n"/>
      <c r="D234" s="9" t="n"/>
      <c r="E234" s="10">
        <f>IF(A234="","",B234*C234)</f>
        <v/>
      </c>
      <c r="F234" s="10">
        <f>IF(A234="","",B234*D234)</f>
        <v/>
      </c>
      <c r="G234" s="10">
        <f>IF(A234="","",E234-F234)</f>
        <v/>
      </c>
      <c r="H234" s="11">
        <f>IF(A234="","",IF(E234=0,0,G234/E234))</f>
        <v/>
      </c>
      <c r="I234" s="12">
        <f>IF(A234="","",COUNTIF($G$5:$G$304,"&gt;"&amp;G234)+COUNTIF($G$5:G234,G234))</f>
        <v/>
      </c>
    </row>
    <row r="235">
      <c r="A235" s="7" t="n"/>
      <c r="B235" s="8" t="n"/>
      <c r="C235" s="9" t="n"/>
      <c r="D235" s="9" t="n"/>
      <c r="E235" s="10">
        <f>IF(A235="","",B235*C235)</f>
        <v/>
      </c>
      <c r="F235" s="10">
        <f>IF(A235="","",B235*D235)</f>
        <v/>
      </c>
      <c r="G235" s="10">
        <f>IF(A235="","",E235-F235)</f>
        <v/>
      </c>
      <c r="H235" s="11">
        <f>IF(A235="","",IF(E235=0,0,G235/E235))</f>
        <v/>
      </c>
      <c r="I235" s="12">
        <f>IF(A235="","",COUNTIF($G$5:$G$304,"&gt;"&amp;G235)+COUNTIF($G$5:G235,G235))</f>
        <v/>
      </c>
    </row>
    <row r="236">
      <c r="A236" s="7" t="n"/>
      <c r="B236" s="8" t="n"/>
      <c r="C236" s="9" t="n"/>
      <c r="D236" s="9" t="n"/>
      <c r="E236" s="10">
        <f>IF(A236="","",B236*C236)</f>
        <v/>
      </c>
      <c r="F236" s="10">
        <f>IF(A236="","",B236*D236)</f>
        <v/>
      </c>
      <c r="G236" s="10">
        <f>IF(A236="","",E236-F236)</f>
        <v/>
      </c>
      <c r="H236" s="11">
        <f>IF(A236="","",IF(E236=0,0,G236/E236))</f>
        <v/>
      </c>
      <c r="I236" s="12">
        <f>IF(A236="","",COUNTIF($G$5:$G$304,"&gt;"&amp;G236)+COUNTIF($G$5:G236,G236))</f>
        <v/>
      </c>
    </row>
    <row r="237">
      <c r="A237" s="7" t="n"/>
      <c r="B237" s="8" t="n"/>
      <c r="C237" s="9" t="n"/>
      <c r="D237" s="9" t="n"/>
      <c r="E237" s="10">
        <f>IF(A237="","",B237*C237)</f>
        <v/>
      </c>
      <c r="F237" s="10">
        <f>IF(A237="","",B237*D237)</f>
        <v/>
      </c>
      <c r="G237" s="10">
        <f>IF(A237="","",E237-F237)</f>
        <v/>
      </c>
      <c r="H237" s="11">
        <f>IF(A237="","",IF(E237=0,0,G237/E237))</f>
        <v/>
      </c>
      <c r="I237" s="12">
        <f>IF(A237="","",COUNTIF($G$5:$G$304,"&gt;"&amp;G237)+COUNTIF($G$5:G237,G237))</f>
        <v/>
      </c>
    </row>
    <row r="238">
      <c r="A238" s="7" t="n"/>
      <c r="B238" s="8" t="n"/>
      <c r="C238" s="9" t="n"/>
      <c r="D238" s="9" t="n"/>
      <c r="E238" s="10">
        <f>IF(A238="","",B238*C238)</f>
        <v/>
      </c>
      <c r="F238" s="10">
        <f>IF(A238="","",B238*D238)</f>
        <v/>
      </c>
      <c r="G238" s="10">
        <f>IF(A238="","",E238-F238)</f>
        <v/>
      </c>
      <c r="H238" s="11">
        <f>IF(A238="","",IF(E238=0,0,G238/E238))</f>
        <v/>
      </c>
      <c r="I238" s="12">
        <f>IF(A238="","",COUNTIF($G$5:$G$304,"&gt;"&amp;G238)+COUNTIF($G$5:G238,G238))</f>
        <v/>
      </c>
    </row>
    <row r="239">
      <c r="A239" s="7" t="n"/>
      <c r="B239" s="8" t="n"/>
      <c r="C239" s="9" t="n"/>
      <c r="D239" s="9" t="n"/>
      <c r="E239" s="10">
        <f>IF(A239="","",B239*C239)</f>
        <v/>
      </c>
      <c r="F239" s="10">
        <f>IF(A239="","",B239*D239)</f>
        <v/>
      </c>
      <c r="G239" s="10">
        <f>IF(A239="","",E239-F239)</f>
        <v/>
      </c>
      <c r="H239" s="11">
        <f>IF(A239="","",IF(E239=0,0,G239/E239))</f>
        <v/>
      </c>
      <c r="I239" s="12">
        <f>IF(A239="","",COUNTIF($G$5:$G$304,"&gt;"&amp;G239)+COUNTIF($G$5:G239,G239))</f>
        <v/>
      </c>
    </row>
    <row r="240">
      <c r="A240" s="7" t="n"/>
      <c r="B240" s="8" t="n"/>
      <c r="C240" s="9" t="n"/>
      <c r="D240" s="9" t="n"/>
      <c r="E240" s="10">
        <f>IF(A240="","",B240*C240)</f>
        <v/>
      </c>
      <c r="F240" s="10">
        <f>IF(A240="","",B240*D240)</f>
        <v/>
      </c>
      <c r="G240" s="10">
        <f>IF(A240="","",E240-F240)</f>
        <v/>
      </c>
      <c r="H240" s="11">
        <f>IF(A240="","",IF(E240=0,0,G240/E240))</f>
        <v/>
      </c>
      <c r="I240" s="12">
        <f>IF(A240="","",COUNTIF($G$5:$G$304,"&gt;"&amp;G240)+COUNTIF($G$5:G240,G240))</f>
        <v/>
      </c>
    </row>
    <row r="241">
      <c r="A241" s="7" t="n"/>
      <c r="B241" s="8" t="n"/>
      <c r="C241" s="9" t="n"/>
      <c r="D241" s="9" t="n"/>
      <c r="E241" s="10">
        <f>IF(A241="","",B241*C241)</f>
        <v/>
      </c>
      <c r="F241" s="10">
        <f>IF(A241="","",B241*D241)</f>
        <v/>
      </c>
      <c r="G241" s="10">
        <f>IF(A241="","",E241-F241)</f>
        <v/>
      </c>
      <c r="H241" s="11">
        <f>IF(A241="","",IF(E241=0,0,G241/E241))</f>
        <v/>
      </c>
      <c r="I241" s="12">
        <f>IF(A241="","",COUNTIF($G$5:$G$304,"&gt;"&amp;G241)+COUNTIF($G$5:G241,G241))</f>
        <v/>
      </c>
    </row>
    <row r="242">
      <c r="A242" s="7" t="n"/>
      <c r="B242" s="8" t="n"/>
      <c r="C242" s="9" t="n"/>
      <c r="D242" s="9" t="n"/>
      <c r="E242" s="10">
        <f>IF(A242="","",B242*C242)</f>
        <v/>
      </c>
      <c r="F242" s="10">
        <f>IF(A242="","",B242*D242)</f>
        <v/>
      </c>
      <c r="G242" s="10">
        <f>IF(A242="","",E242-F242)</f>
        <v/>
      </c>
      <c r="H242" s="11">
        <f>IF(A242="","",IF(E242=0,0,G242/E242))</f>
        <v/>
      </c>
      <c r="I242" s="12">
        <f>IF(A242="","",COUNTIF($G$5:$G$304,"&gt;"&amp;G242)+COUNTIF($G$5:G242,G242))</f>
        <v/>
      </c>
    </row>
    <row r="243">
      <c r="A243" s="7" t="n"/>
      <c r="B243" s="8" t="n"/>
      <c r="C243" s="9" t="n"/>
      <c r="D243" s="9" t="n"/>
      <c r="E243" s="10">
        <f>IF(A243="","",B243*C243)</f>
        <v/>
      </c>
      <c r="F243" s="10">
        <f>IF(A243="","",B243*D243)</f>
        <v/>
      </c>
      <c r="G243" s="10">
        <f>IF(A243="","",E243-F243)</f>
        <v/>
      </c>
      <c r="H243" s="11">
        <f>IF(A243="","",IF(E243=0,0,G243/E243))</f>
        <v/>
      </c>
      <c r="I243" s="12">
        <f>IF(A243="","",COUNTIF($G$5:$G$304,"&gt;"&amp;G243)+COUNTIF($G$5:G243,G243))</f>
        <v/>
      </c>
    </row>
    <row r="244">
      <c r="A244" s="7" t="n"/>
      <c r="B244" s="8" t="n"/>
      <c r="C244" s="9" t="n"/>
      <c r="D244" s="9" t="n"/>
      <c r="E244" s="10">
        <f>IF(A244="","",B244*C244)</f>
        <v/>
      </c>
      <c r="F244" s="10">
        <f>IF(A244="","",B244*D244)</f>
        <v/>
      </c>
      <c r="G244" s="10">
        <f>IF(A244="","",E244-F244)</f>
        <v/>
      </c>
      <c r="H244" s="11">
        <f>IF(A244="","",IF(E244=0,0,G244/E244))</f>
        <v/>
      </c>
      <c r="I244" s="12">
        <f>IF(A244="","",COUNTIF($G$5:$G$304,"&gt;"&amp;G244)+COUNTIF($G$5:G244,G244))</f>
        <v/>
      </c>
    </row>
    <row r="245">
      <c r="A245" s="7" t="n"/>
      <c r="B245" s="8" t="n"/>
      <c r="C245" s="9" t="n"/>
      <c r="D245" s="9" t="n"/>
      <c r="E245" s="10">
        <f>IF(A245="","",B245*C245)</f>
        <v/>
      </c>
      <c r="F245" s="10">
        <f>IF(A245="","",B245*D245)</f>
        <v/>
      </c>
      <c r="G245" s="10">
        <f>IF(A245="","",E245-F245)</f>
        <v/>
      </c>
      <c r="H245" s="11">
        <f>IF(A245="","",IF(E245=0,0,G245/E245))</f>
        <v/>
      </c>
      <c r="I245" s="12">
        <f>IF(A245="","",COUNTIF($G$5:$G$304,"&gt;"&amp;G245)+COUNTIF($G$5:G245,G245))</f>
        <v/>
      </c>
    </row>
    <row r="246">
      <c r="A246" s="7" t="n"/>
      <c r="B246" s="8" t="n"/>
      <c r="C246" s="9" t="n"/>
      <c r="D246" s="9" t="n"/>
      <c r="E246" s="10">
        <f>IF(A246="","",B246*C246)</f>
        <v/>
      </c>
      <c r="F246" s="10">
        <f>IF(A246="","",B246*D246)</f>
        <v/>
      </c>
      <c r="G246" s="10">
        <f>IF(A246="","",E246-F246)</f>
        <v/>
      </c>
      <c r="H246" s="11">
        <f>IF(A246="","",IF(E246=0,0,G246/E246))</f>
        <v/>
      </c>
      <c r="I246" s="12">
        <f>IF(A246="","",COUNTIF($G$5:$G$304,"&gt;"&amp;G246)+COUNTIF($G$5:G246,G246))</f>
        <v/>
      </c>
    </row>
    <row r="247">
      <c r="A247" s="7" t="n"/>
      <c r="B247" s="8" t="n"/>
      <c r="C247" s="9" t="n"/>
      <c r="D247" s="9" t="n"/>
      <c r="E247" s="10">
        <f>IF(A247="","",B247*C247)</f>
        <v/>
      </c>
      <c r="F247" s="10">
        <f>IF(A247="","",B247*D247)</f>
        <v/>
      </c>
      <c r="G247" s="10">
        <f>IF(A247="","",E247-F247)</f>
        <v/>
      </c>
      <c r="H247" s="11">
        <f>IF(A247="","",IF(E247=0,0,G247/E247))</f>
        <v/>
      </c>
      <c r="I247" s="12">
        <f>IF(A247="","",COUNTIF($G$5:$G$304,"&gt;"&amp;G247)+COUNTIF($G$5:G247,G247))</f>
        <v/>
      </c>
    </row>
    <row r="248">
      <c r="A248" s="7" t="n"/>
      <c r="B248" s="8" t="n"/>
      <c r="C248" s="9" t="n"/>
      <c r="D248" s="9" t="n"/>
      <c r="E248" s="10">
        <f>IF(A248="","",B248*C248)</f>
        <v/>
      </c>
      <c r="F248" s="10">
        <f>IF(A248="","",B248*D248)</f>
        <v/>
      </c>
      <c r="G248" s="10">
        <f>IF(A248="","",E248-F248)</f>
        <v/>
      </c>
      <c r="H248" s="11">
        <f>IF(A248="","",IF(E248=0,0,G248/E248))</f>
        <v/>
      </c>
      <c r="I248" s="12">
        <f>IF(A248="","",COUNTIF($G$5:$G$304,"&gt;"&amp;G248)+COUNTIF($G$5:G248,G248))</f>
        <v/>
      </c>
    </row>
    <row r="249">
      <c r="A249" s="7" t="n"/>
      <c r="B249" s="8" t="n"/>
      <c r="C249" s="9" t="n"/>
      <c r="D249" s="9" t="n"/>
      <c r="E249" s="10">
        <f>IF(A249="","",B249*C249)</f>
        <v/>
      </c>
      <c r="F249" s="10">
        <f>IF(A249="","",B249*D249)</f>
        <v/>
      </c>
      <c r="G249" s="10">
        <f>IF(A249="","",E249-F249)</f>
        <v/>
      </c>
      <c r="H249" s="11">
        <f>IF(A249="","",IF(E249=0,0,G249/E249))</f>
        <v/>
      </c>
      <c r="I249" s="12">
        <f>IF(A249="","",COUNTIF($G$5:$G$304,"&gt;"&amp;G249)+COUNTIF($G$5:G249,G249))</f>
        <v/>
      </c>
    </row>
    <row r="250">
      <c r="A250" s="7" t="n"/>
      <c r="B250" s="8" t="n"/>
      <c r="C250" s="9" t="n"/>
      <c r="D250" s="9" t="n"/>
      <c r="E250" s="10">
        <f>IF(A250="","",B250*C250)</f>
        <v/>
      </c>
      <c r="F250" s="10">
        <f>IF(A250="","",B250*D250)</f>
        <v/>
      </c>
      <c r="G250" s="10">
        <f>IF(A250="","",E250-F250)</f>
        <v/>
      </c>
      <c r="H250" s="11">
        <f>IF(A250="","",IF(E250=0,0,G250/E250))</f>
        <v/>
      </c>
      <c r="I250" s="12">
        <f>IF(A250="","",COUNTIF($G$5:$G$304,"&gt;"&amp;G250)+COUNTIF($G$5:G250,G250))</f>
        <v/>
      </c>
    </row>
    <row r="251">
      <c r="A251" s="7" t="n"/>
      <c r="B251" s="8" t="n"/>
      <c r="C251" s="9" t="n"/>
      <c r="D251" s="9" t="n"/>
      <c r="E251" s="10">
        <f>IF(A251="","",B251*C251)</f>
        <v/>
      </c>
      <c r="F251" s="10">
        <f>IF(A251="","",B251*D251)</f>
        <v/>
      </c>
      <c r="G251" s="10">
        <f>IF(A251="","",E251-F251)</f>
        <v/>
      </c>
      <c r="H251" s="11">
        <f>IF(A251="","",IF(E251=0,0,G251/E251))</f>
        <v/>
      </c>
      <c r="I251" s="12">
        <f>IF(A251="","",COUNTIF($G$5:$G$304,"&gt;"&amp;G251)+COUNTIF($G$5:G251,G251))</f>
        <v/>
      </c>
    </row>
    <row r="252">
      <c r="A252" s="7" t="n"/>
      <c r="B252" s="8" t="n"/>
      <c r="C252" s="9" t="n"/>
      <c r="D252" s="9" t="n"/>
      <c r="E252" s="10">
        <f>IF(A252="","",B252*C252)</f>
        <v/>
      </c>
      <c r="F252" s="10">
        <f>IF(A252="","",B252*D252)</f>
        <v/>
      </c>
      <c r="G252" s="10">
        <f>IF(A252="","",E252-F252)</f>
        <v/>
      </c>
      <c r="H252" s="11">
        <f>IF(A252="","",IF(E252=0,0,G252/E252))</f>
        <v/>
      </c>
      <c r="I252" s="12">
        <f>IF(A252="","",COUNTIF($G$5:$G$304,"&gt;"&amp;G252)+COUNTIF($G$5:G252,G252))</f>
        <v/>
      </c>
    </row>
    <row r="253">
      <c r="A253" s="7" t="n"/>
      <c r="B253" s="8" t="n"/>
      <c r="C253" s="9" t="n"/>
      <c r="D253" s="9" t="n"/>
      <c r="E253" s="10">
        <f>IF(A253="","",B253*C253)</f>
        <v/>
      </c>
      <c r="F253" s="10">
        <f>IF(A253="","",B253*D253)</f>
        <v/>
      </c>
      <c r="G253" s="10">
        <f>IF(A253="","",E253-F253)</f>
        <v/>
      </c>
      <c r="H253" s="11">
        <f>IF(A253="","",IF(E253=0,0,G253/E253))</f>
        <v/>
      </c>
      <c r="I253" s="12">
        <f>IF(A253="","",COUNTIF($G$5:$G$304,"&gt;"&amp;G253)+COUNTIF($G$5:G253,G253))</f>
        <v/>
      </c>
    </row>
    <row r="254">
      <c r="A254" s="7" t="n"/>
      <c r="B254" s="8" t="n"/>
      <c r="C254" s="9" t="n"/>
      <c r="D254" s="9" t="n"/>
      <c r="E254" s="10">
        <f>IF(A254="","",B254*C254)</f>
        <v/>
      </c>
      <c r="F254" s="10">
        <f>IF(A254="","",B254*D254)</f>
        <v/>
      </c>
      <c r="G254" s="10">
        <f>IF(A254="","",E254-F254)</f>
        <v/>
      </c>
      <c r="H254" s="11">
        <f>IF(A254="","",IF(E254=0,0,G254/E254))</f>
        <v/>
      </c>
      <c r="I254" s="12">
        <f>IF(A254="","",COUNTIF($G$5:$G$304,"&gt;"&amp;G254)+COUNTIF($G$5:G254,G254))</f>
        <v/>
      </c>
    </row>
    <row r="255">
      <c r="A255" s="7" t="n"/>
      <c r="B255" s="8" t="n"/>
      <c r="C255" s="9" t="n"/>
      <c r="D255" s="9" t="n"/>
      <c r="E255" s="10">
        <f>IF(A255="","",B255*C255)</f>
        <v/>
      </c>
      <c r="F255" s="10">
        <f>IF(A255="","",B255*D255)</f>
        <v/>
      </c>
      <c r="G255" s="10">
        <f>IF(A255="","",E255-F255)</f>
        <v/>
      </c>
      <c r="H255" s="11">
        <f>IF(A255="","",IF(E255=0,0,G255/E255))</f>
        <v/>
      </c>
      <c r="I255" s="12">
        <f>IF(A255="","",COUNTIF($G$5:$G$304,"&gt;"&amp;G255)+COUNTIF($G$5:G255,G255))</f>
        <v/>
      </c>
    </row>
    <row r="256">
      <c r="A256" s="7" t="n"/>
      <c r="B256" s="8" t="n"/>
      <c r="C256" s="9" t="n"/>
      <c r="D256" s="9" t="n"/>
      <c r="E256" s="10">
        <f>IF(A256="","",B256*C256)</f>
        <v/>
      </c>
      <c r="F256" s="10">
        <f>IF(A256="","",B256*D256)</f>
        <v/>
      </c>
      <c r="G256" s="10">
        <f>IF(A256="","",E256-F256)</f>
        <v/>
      </c>
      <c r="H256" s="11">
        <f>IF(A256="","",IF(E256=0,0,G256/E256))</f>
        <v/>
      </c>
      <c r="I256" s="12">
        <f>IF(A256="","",COUNTIF($G$5:$G$304,"&gt;"&amp;G256)+COUNTIF($G$5:G256,G256))</f>
        <v/>
      </c>
    </row>
    <row r="257">
      <c r="A257" s="7" t="n"/>
      <c r="B257" s="8" t="n"/>
      <c r="C257" s="9" t="n"/>
      <c r="D257" s="9" t="n"/>
      <c r="E257" s="10">
        <f>IF(A257="","",B257*C257)</f>
        <v/>
      </c>
      <c r="F257" s="10">
        <f>IF(A257="","",B257*D257)</f>
        <v/>
      </c>
      <c r="G257" s="10">
        <f>IF(A257="","",E257-F257)</f>
        <v/>
      </c>
      <c r="H257" s="11">
        <f>IF(A257="","",IF(E257=0,0,G257/E257))</f>
        <v/>
      </c>
      <c r="I257" s="12">
        <f>IF(A257="","",COUNTIF($G$5:$G$304,"&gt;"&amp;G257)+COUNTIF($G$5:G257,G257))</f>
        <v/>
      </c>
    </row>
    <row r="258">
      <c r="A258" s="7" t="n"/>
      <c r="B258" s="8" t="n"/>
      <c r="C258" s="9" t="n"/>
      <c r="D258" s="9" t="n"/>
      <c r="E258" s="10">
        <f>IF(A258="","",B258*C258)</f>
        <v/>
      </c>
      <c r="F258" s="10">
        <f>IF(A258="","",B258*D258)</f>
        <v/>
      </c>
      <c r="G258" s="10">
        <f>IF(A258="","",E258-F258)</f>
        <v/>
      </c>
      <c r="H258" s="11">
        <f>IF(A258="","",IF(E258=0,0,G258/E258))</f>
        <v/>
      </c>
      <c r="I258" s="12">
        <f>IF(A258="","",COUNTIF($G$5:$G$304,"&gt;"&amp;G258)+COUNTIF($G$5:G258,G258))</f>
        <v/>
      </c>
    </row>
    <row r="259">
      <c r="A259" s="7" t="n"/>
      <c r="B259" s="8" t="n"/>
      <c r="C259" s="9" t="n"/>
      <c r="D259" s="9" t="n"/>
      <c r="E259" s="10">
        <f>IF(A259="","",B259*C259)</f>
        <v/>
      </c>
      <c r="F259" s="10">
        <f>IF(A259="","",B259*D259)</f>
        <v/>
      </c>
      <c r="G259" s="10">
        <f>IF(A259="","",E259-F259)</f>
        <v/>
      </c>
      <c r="H259" s="11">
        <f>IF(A259="","",IF(E259=0,0,G259/E259))</f>
        <v/>
      </c>
      <c r="I259" s="12">
        <f>IF(A259="","",COUNTIF($G$5:$G$304,"&gt;"&amp;G259)+COUNTIF($G$5:G259,G259))</f>
        <v/>
      </c>
    </row>
    <row r="260">
      <c r="A260" s="7" t="n"/>
      <c r="B260" s="8" t="n"/>
      <c r="C260" s="9" t="n"/>
      <c r="D260" s="9" t="n"/>
      <c r="E260" s="10">
        <f>IF(A260="","",B260*C260)</f>
        <v/>
      </c>
      <c r="F260" s="10">
        <f>IF(A260="","",B260*D260)</f>
        <v/>
      </c>
      <c r="G260" s="10">
        <f>IF(A260="","",E260-F260)</f>
        <v/>
      </c>
      <c r="H260" s="11">
        <f>IF(A260="","",IF(E260=0,0,G260/E260))</f>
        <v/>
      </c>
      <c r="I260" s="12">
        <f>IF(A260="","",COUNTIF($G$5:$G$304,"&gt;"&amp;G260)+COUNTIF($G$5:G260,G260))</f>
        <v/>
      </c>
    </row>
    <row r="261">
      <c r="A261" s="7" t="n"/>
      <c r="B261" s="8" t="n"/>
      <c r="C261" s="9" t="n"/>
      <c r="D261" s="9" t="n"/>
      <c r="E261" s="10">
        <f>IF(A261="","",B261*C261)</f>
        <v/>
      </c>
      <c r="F261" s="10">
        <f>IF(A261="","",B261*D261)</f>
        <v/>
      </c>
      <c r="G261" s="10">
        <f>IF(A261="","",E261-F261)</f>
        <v/>
      </c>
      <c r="H261" s="11">
        <f>IF(A261="","",IF(E261=0,0,G261/E261))</f>
        <v/>
      </c>
      <c r="I261" s="12">
        <f>IF(A261="","",COUNTIF($G$5:$G$304,"&gt;"&amp;G261)+COUNTIF($G$5:G261,G261))</f>
        <v/>
      </c>
    </row>
    <row r="262">
      <c r="A262" s="7" t="n"/>
      <c r="B262" s="8" t="n"/>
      <c r="C262" s="9" t="n"/>
      <c r="D262" s="9" t="n"/>
      <c r="E262" s="10">
        <f>IF(A262="","",B262*C262)</f>
        <v/>
      </c>
      <c r="F262" s="10">
        <f>IF(A262="","",B262*D262)</f>
        <v/>
      </c>
      <c r="G262" s="10">
        <f>IF(A262="","",E262-F262)</f>
        <v/>
      </c>
      <c r="H262" s="11">
        <f>IF(A262="","",IF(E262=0,0,G262/E262))</f>
        <v/>
      </c>
      <c r="I262" s="12">
        <f>IF(A262="","",COUNTIF($G$5:$G$304,"&gt;"&amp;G262)+COUNTIF($G$5:G262,G262))</f>
        <v/>
      </c>
    </row>
    <row r="263">
      <c r="A263" s="7" t="n"/>
      <c r="B263" s="8" t="n"/>
      <c r="C263" s="9" t="n"/>
      <c r="D263" s="9" t="n"/>
      <c r="E263" s="10">
        <f>IF(A263="","",B263*C263)</f>
        <v/>
      </c>
      <c r="F263" s="10">
        <f>IF(A263="","",B263*D263)</f>
        <v/>
      </c>
      <c r="G263" s="10">
        <f>IF(A263="","",E263-F263)</f>
        <v/>
      </c>
      <c r="H263" s="11">
        <f>IF(A263="","",IF(E263=0,0,G263/E263))</f>
        <v/>
      </c>
      <c r="I263" s="12">
        <f>IF(A263="","",COUNTIF($G$5:$G$304,"&gt;"&amp;G263)+COUNTIF($G$5:G263,G263))</f>
        <v/>
      </c>
    </row>
    <row r="264">
      <c r="A264" s="7" t="n"/>
      <c r="B264" s="8" t="n"/>
      <c r="C264" s="9" t="n"/>
      <c r="D264" s="9" t="n"/>
      <c r="E264" s="10">
        <f>IF(A264="","",B264*C264)</f>
        <v/>
      </c>
      <c r="F264" s="10">
        <f>IF(A264="","",B264*D264)</f>
        <v/>
      </c>
      <c r="G264" s="10">
        <f>IF(A264="","",E264-F264)</f>
        <v/>
      </c>
      <c r="H264" s="11">
        <f>IF(A264="","",IF(E264=0,0,G264/E264))</f>
        <v/>
      </c>
      <c r="I264" s="12">
        <f>IF(A264="","",COUNTIF($G$5:$G$304,"&gt;"&amp;G264)+COUNTIF($G$5:G264,G264))</f>
        <v/>
      </c>
    </row>
    <row r="265">
      <c r="A265" s="7" t="n"/>
      <c r="B265" s="8" t="n"/>
      <c r="C265" s="9" t="n"/>
      <c r="D265" s="9" t="n"/>
      <c r="E265" s="10">
        <f>IF(A265="","",B265*C265)</f>
        <v/>
      </c>
      <c r="F265" s="10">
        <f>IF(A265="","",B265*D265)</f>
        <v/>
      </c>
      <c r="G265" s="10">
        <f>IF(A265="","",E265-F265)</f>
        <v/>
      </c>
      <c r="H265" s="11">
        <f>IF(A265="","",IF(E265=0,0,G265/E265))</f>
        <v/>
      </c>
      <c r="I265" s="12">
        <f>IF(A265="","",COUNTIF($G$5:$G$304,"&gt;"&amp;G265)+COUNTIF($G$5:G265,G265))</f>
        <v/>
      </c>
    </row>
    <row r="266">
      <c r="A266" s="7" t="n"/>
      <c r="B266" s="8" t="n"/>
      <c r="C266" s="9" t="n"/>
      <c r="D266" s="9" t="n"/>
      <c r="E266" s="10">
        <f>IF(A266="","",B266*C266)</f>
        <v/>
      </c>
      <c r="F266" s="10">
        <f>IF(A266="","",B266*D266)</f>
        <v/>
      </c>
      <c r="G266" s="10">
        <f>IF(A266="","",E266-F266)</f>
        <v/>
      </c>
      <c r="H266" s="11">
        <f>IF(A266="","",IF(E266=0,0,G266/E266))</f>
        <v/>
      </c>
      <c r="I266" s="12">
        <f>IF(A266="","",COUNTIF($G$5:$G$304,"&gt;"&amp;G266)+COUNTIF($G$5:G266,G266))</f>
        <v/>
      </c>
    </row>
    <row r="267">
      <c r="A267" s="7" t="n"/>
      <c r="B267" s="8" t="n"/>
      <c r="C267" s="9" t="n"/>
      <c r="D267" s="9" t="n"/>
      <c r="E267" s="10">
        <f>IF(A267="","",B267*C267)</f>
        <v/>
      </c>
      <c r="F267" s="10">
        <f>IF(A267="","",B267*D267)</f>
        <v/>
      </c>
      <c r="G267" s="10">
        <f>IF(A267="","",E267-F267)</f>
        <v/>
      </c>
      <c r="H267" s="11">
        <f>IF(A267="","",IF(E267=0,0,G267/E267))</f>
        <v/>
      </c>
      <c r="I267" s="12">
        <f>IF(A267="","",COUNTIF($G$5:$G$304,"&gt;"&amp;G267)+COUNTIF($G$5:G267,G267))</f>
        <v/>
      </c>
    </row>
    <row r="268">
      <c r="A268" s="7" t="n"/>
      <c r="B268" s="8" t="n"/>
      <c r="C268" s="9" t="n"/>
      <c r="D268" s="9" t="n"/>
      <c r="E268" s="10">
        <f>IF(A268="","",B268*C268)</f>
        <v/>
      </c>
      <c r="F268" s="10">
        <f>IF(A268="","",B268*D268)</f>
        <v/>
      </c>
      <c r="G268" s="10">
        <f>IF(A268="","",E268-F268)</f>
        <v/>
      </c>
      <c r="H268" s="11">
        <f>IF(A268="","",IF(E268=0,0,G268/E268))</f>
        <v/>
      </c>
      <c r="I268" s="12">
        <f>IF(A268="","",COUNTIF($G$5:$G$304,"&gt;"&amp;G268)+COUNTIF($G$5:G268,G268))</f>
        <v/>
      </c>
    </row>
    <row r="269">
      <c r="A269" s="7" t="n"/>
      <c r="B269" s="8" t="n"/>
      <c r="C269" s="9" t="n"/>
      <c r="D269" s="9" t="n"/>
      <c r="E269" s="10">
        <f>IF(A269="","",B269*C269)</f>
        <v/>
      </c>
      <c r="F269" s="10">
        <f>IF(A269="","",B269*D269)</f>
        <v/>
      </c>
      <c r="G269" s="10">
        <f>IF(A269="","",E269-F269)</f>
        <v/>
      </c>
      <c r="H269" s="11">
        <f>IF(A269="","",IF(E269=0,0,G269/E269))</f>
        <v/>
      </c>
      <c r="I269" s="12">
        <f>IF(A269="","",COUNTIF($G$5:$G$304,"&gt;"&amp;G269)+COUNTIF($G$5:G269,G269))</f>
        <v/>
      </c>
    </row>
    <row r="270">
      <c r="A270" s="7" t="n"/>
      <c r="B270" s="8" t="n"/>
      <c r="C270" s="9" t="n"/>
      <c r="D270" s="9" t="n"/>
      <c r="E270" s="10">
        <f>IF(A270="","",B270*C270)</f>
        <v/>
      </c>
      <c r="F270" s="10">
        <f>IF(A270="","",B270*D270)</f>
        <v/>
      </c>
      <c r="G270" s="10">
        <f>IF(A270="","",E270-F270)</f>
        <v/>
      </c>
      <c r="H270" s="11">
        <f>IF(A270="","",IF(E270=0,0,G270/E270))</f>
        <v/>
      </c>
      <c r="I270" s="12">
        <f>IF(A270="","",COUNTIF($G$5:$G$304,"&gt;"&amp;G270)+COUNTIF($G$5:G270,G270))</f>
        <v/>
      </c>
    </row>
    <row r="271">
      <c r="A271" s="7" t="n"/>
      <c r="B271" s="8" t="n"/>
      <c r="C271" s="9" t="n"/>
      <c r="D271" s="9" t="n"/>
      <c r="E271" s="10">
        <f>IF(A271="","",B271*C271)</f>
        <v/>
      </c>
      <c r="F271" s="10">
        <f>IF(A271="","",B271*D271)</f>
        <v/>
      </c>
      <c r="G271" s="10">
        <f>IF(A271="","",E271-F271)</f>
        <v/>
      </c>
      <c r="H271" s="11">
        <f>IF(A271="","",IF(E271=0,0,G271/E271))</f>
        <v/>
      </c>
      <c r="I271" s="12">
        <f>IF(A271="","",COUNTIF($G$5:$G$304,"&gt;"&amp;G271)+COUNTIF($G$5:G271,G271))</f>
        <v/>
      </c>
    </row>
    <row r="272">
      <c r="A272" s="7" t="n"/>
      <c r="B272" s="8" t="n"/>
      <c r="C272" s="9" t="n"/>
      <c r="D272" s="9" t="n"/>
      <c r="E272" s="10">
        <f>IF(A272="","",B272*C272)</f>
        <v/>
      </c>
      <c r="F272" s="10">
        <f>IF(A272="","",B272*D272)</f>
        <v/>
      </c>
      <c r="G272" s="10">
        <f>IF(A272="","",E272-F272)</f>
        <v/>
      </c>
      <c r="H272" s="11">
        <f>IF(A272="","",IF(E272=0,0,G272/E272))</f>
        <v/>
      </c>
      <c r="I272" s="12">
        <f>IF(A272="","",COUNTIF($G$5:$G$304,"&gt;"&amp;G272)+COUNTIF($G$5:G272,G272))</f>
        <v/>
      </c>
    </row>
    <row r="273">
      <c r="A273" s="7" t="n"/>
      <c r="B273" s="8" t="n"/>
      <c r="C273" s="9" t="n"/>
      <c r="D273" s="9" t="n"/>
      <c r="E273" s="10">
        <f>IF(A273="","",B273*C273)</f>
        <v/>
      </c>
      <c r="F273" s="10">
        <f>IF(A273="","",B273*D273)</f>
        <v/>
      </c>
      <c r="G273" s="10">
        <f>IF(A273="","",E273-F273)</f>
        <v/>
      </c>
      <c r="H273" s="11">
        <f>IF(A273="","",IF(E273=0,0,G273/E273))</f>
        <v/>
      </c>
      <c r="I273" s="12">
        <f>IF(A273="","",COUNTIF($G$5:$G$304,"&gt;"&amp;G273)+COUNTIF($G$5:G273,G273))</f>
        <v/>
      </c>
    </row>
    <row r="274">
      <c r="A274" s="7" t="n"/>
      <c r="B274" s="8" t="n"/>
      <c r="C274" s="9" t="n"/>
      <c r="D274" s="9" t="n"/>
      <c r="E274" s="10">
        <f>IF(A274="","",B274*C274)</f>
        <v/>
      </c>
      <c r="F274" s="10">
        <f>IF(A274="","",B274*D274)</f>
        <v/>
      </c>
      <c r="G274" s="10">
        <f>IF(A274="","",E274-F274)</f>
        <v/>
      </c>
      <c r="H274" s="11">
        <f>IF(A274="","",IF(E274=0,0,G274/E274))</f>
        <v/>
      </c>
      <c r="I274" s="12">
        <f>IF(A274="","",COUNTIF($G$5:$G$304,"&gt;"&amp;G274)+COUNTIF($G$5:G274,G274))</f>
        <v/>
      </c>
    </row>
    <row r="275">
      <c r="A275" s="7" t="n"/>
      <c r="B275" s="8" t="n"/>
      <c r="C275" s="9" t="n"/>
      <c r="D275" s="9" t="n"/>
      <c r="E275" s="10">
        <f>IF(A275="","",B275*C275)</f>
        <v/>
      </c>
      <c r="F275" s="10">
        <f>IF(A275="","",B275*D275)</f>
        <v/>
      </c>
      <c r="G275" s="10">
        <f>IF(A275="","",E275-F275)</f>
        <v/>
      </c>
      <c r="H275" s="11">
        <f>IF(A275="","",IF(E275=0,0,G275/E275))</f>
        <v/>
      </c>
      <c r="I275" s="12">
        <f>IF(A275="","",COUNTIF($G$5:$G$304,"&gt;"&amp;G275)+COUNTIF($G$5:G275,G275))</f>
        <v/>
      </c>
    </row>
    <row r="276">
      <c r="A276" s="7" t="n"/>
      <c r="B276" s="8" t="n"/>
      <c r="C276" s="9" t="n"/>
      <c r="D276" s="9" t="n"/>
      <c r="E276" s="10">
        <f>IF(A276="","",B276*C276)</f>
        <v/>
      </c>
      <c r="F276" s="10">
        <f>IF(A276="","",B276*D276)</f>
        <v/>
      </c>
      <c r="G276" s="10">
        <f>IF(A276="","",E276-F276)</f>
        <v/>
      </c>
      <c r="H276" s="11">
        <f>IF(A276="","",IF(E276=0,0,G276/E276))</f>
        <v/>
      </c>
      <c r="I276" s="12">
        <f>IF(A276="","",COUNTIF($G$5:$G$304,"&gt;"&amp;G276)+COUNTIF($G$5:G276,G276))</f>
        <v/>
      </c>
    </row>
    <row r="277">
      <c r="A277" s="7" t="n"/>
      <c r="B277" s="8" t="n"/>
      <c r="C277" s="9" t="n"/>
      <c r="D277" s="9" t="n"/>
      <c r="E277" s="10">
        <f>IF(A277="","",B277*C277)</f>
        <v/>
      </c>
      <c r="F277" s="10">
        <f>IF(A277="","",B277*D277)</f>
        <v/>
      </c>
      <c r="G277" s="10">
        <f>IF(A277="","",E277-F277)</f>
        <v/>
      </c>
      <c r="H277" s="11">
        <f>IF(A277="","",IF(E277=0,0,G277/E277))</f>
        <v/>
      </c>
      <c r="I277" s="12">
        <f>IF(A277="","",COUNTIF($G$5:$G$304,"&gt;"&amp;G277)+COUNTIF($G$5:G277,G277))</f>
        <v/>
      </c>
    </row>
    <row r="278">
      <c r="A278" s="7" t="n"/>
      <c r="B278" s="8" t="n"/>
      <c r="C278" s="9" t="n"/>
      <c r="D278" s="9" t="n"/>
      <c r="E278" s="10">
        <f>IF(A278="","",B278*C278)</f>
        <v/>
      </c>
      <c r="F278" s="10">
        <f>IF(A278="","",B278*D278)</f>
        <v/>
      </c>
      <c r="G278" s="10">
        <f>IF(A278="","",E278-F278)</f>
        <v/>
      </c>
      <c r="H278" s="11">
        <f>IF(A278="","",IF(E278=0,0,G278/E278))</f>
        <v/>
      </c>
      <c r="I278" s="12">
        <f>IF(A278="","",COUNTIF($G$5:$G$304,"&gt;"&amp;G278)+COUNTIF($G$5:G278,G278))</f>
        <v/>
      </c>
    </row>
    <row r="279">
      <c r="A279" s="7" t="n"/>
      <c r="B279" s="8" t="n"/>
      <c r="C279" s="9" t="n"/>
      <c r="D279" s="9" t="n"/>
      <c r="E279" s="10">
        <f>IF(A279="","",B279*C279)</f>
        <v/>
      </c>
      <c r="F279" s="10">
        <f>IF(A279="","",B279*D279)</f>
        <v/>
      </c>
      <c r="G279" s="10">
        <f>IF(A279="","",E279-F279)</f>
        <v/>
      </c>
      <c r="H279" s="11">
        <f>IF(A279="","",IF(E279=0,0,G279/E279))</f>
        <v/>
      </c>
      <c r="I279" s="12">
        <f>IF(A279="","",COUNTIF($G$5:$G$304,"&gt;"&amp;G279)+COUNTIF($G$5:G279,G279))</f>
        <v/>
      </c>
    </row>
    <row r="280">
      <c r="A280" s="7" t="n"/>
      <c r="B280" s="8" t="n"/>
      <c r="C280" s="9" t="n"/>
      <c r="D280" s="9" t="n"/>
      <c r="E280" s="10">
        <f>IF(A280="","",B280*C280)</f>
        <v/>
      </c>
      <c r="F280" s="10">
        <f>IF(A280="","",B280*D280)</f>
        <v/>
      </c>
      <c r="G280" s="10">
        <f>IF(A280="","",E280-F280)</f>
        <v/>
      </c>
      <c r="H280" s="11">
        <f>IF(A280="","",IF(E280=0,0,G280/E280))</f>
        <v/>
      </c>
      <c r="I280" s="12">
        <f>IF(A280="","",COUNTIF($G$5:$G$304,"&gt;"&amp;G280)+COUNTIF($G$5:G280,G280))</f>
        <v/>
      </c>
    </row>
    <row r="281">
      <c r="A281" s="7" t="n"/>
      <c r="B281" s="8" t="n"/>
      <c r="C281" s="9" t="n"/>
      <c r="D281" s="9" t="n"/>
      <c r="E281" s="10">
        <f>IF(A281="","",B281*C281)</f>
        <v/>
      </c>
      <c r="F281" s="10">
        <f>IF(A281="","",B281*D281)</f>
        <v/>
      </c>
      <c r="G281" s="10">
        <f>IF(A281="","",E281-F281)</f>
        <v/>
      </c>
      <c r="H281" s="11">
        <f>IF(A281="","",IF(E281=0,0,G281/E281))</f>
        <v/>
      </c>
      <c r="I281" s="12">
        <f>IF(A281="","",COUNTIF($G$5:$G$304,"&gt;"&amp;G281)+COUNTIF($G$5:G281,G281))</f>
        <v/>
      </c>
    </row>
    <row r="282">
      <c r="A282" s="7" t="n"/>
      <c r="B282" s="8" t="n"/>
      <c r="C282" s="9" t="n"/>
      <c r="D282" s="9" t="n"/>
      <c r="E282" s="10">
        <f>IF(A282="","",B282*C282)</f>
        <v/>
      </c>
      <c r="F282" s="10">
        <f>IF(A282="","",B282*D282)</f>
        <v/>
      </c>
      <c r="G282" s="10">
        <f>IF(A282="","",E282-F282)</f>
        <v/>
      </c>
      <c r="H282" s="11">
        <f>IF(A282="","",IF(E282=0,0,G282/E282))</f>
        <v/>
      </c>
      <c r="I282" s="12">
        <f>IF(A282="","",COUNTIF($G$5:$G$304,"&gt;"&amp;G282)+COUNTIF($G$5:G282,G282))</f>
        <v/>
      </c>
    </row>
    <row r="283">
      <c r="A283" s="7" t="n"/>
      <c r="B283" s="8" t="n"/>
      <c r="C283" s="9" t="n"/>
      <c r="D283" s="9" t="n"/>
      <c r="E283" s="10">
        <f>IF(A283="","",B283*C283)</f>
        <v/>
      </c>
      <c r="F283" s="10">
        <f>IF(A283="","",B283*D283)</f>
        <v/>
      </c>
      <c r="G283" s="10">
        <f>IF(A283="","",E283-F283)</f>
        <v/>
      </c>
      <c r="H283" s="11">
        <f>IF(A283="","",IF(E283=0,0,G283/E283))</f>
        <v/>
      </c>
      <c r="I283" s="12">
        <f>IF(A283="","",COUNTIF($G$5:$G$304,"&gt;"&amp;G283)+COUNTIF($G$5:G283,G283))</f>
        <v/>
      </c>
    </row>
    <row r="284">
      <c r="A284" s="7" t="n"/>
      <c r="B284" s="8" t="n"/>
      <c r="C284" s="9" t="n"/>
      <c r="D284" s="9" t="n"/>
      <c r="E284" s="10">
        <f>IF(A284="","",B284*C284)</f>
        <v/>
      </c>
      <c r="F284" s="10">
        <f>IF(A284="","",B284*D284)</f>
        <v/>
      </c>
      <c r="G284" s="10">
        <f>IF(A284="","",E284-F284)</f>
        <v/>
      </c>
      <c r="H284" s="11">
        <f>IF(A284="","",IF(E284=0,0,G284/E284))</f>
        <v/>
      </c>
      <c r="I284" s="12">
        <f>IF(A284="","",COUNTIF($G$5:$G$304,"&gt;"&amp;G284)+COUNTIF($G$5:G284,G284))</f>
        <v/>
      </c>
    </row>
    <row r="285">
      <c r="A285" s="7" t="n"/>
      <c r="B285" s="8" t="n"/>
      <c r="C285" s="9" t="n"/>
      <c r="D285" s="9" t="n"/>
      <c r="E285" s="10">
        <f>IF(A285="","",B285*C285)</f>
        <v/>
      </c>
      <c r="F285" s="10">
        <f>IF(A285="","",B285*D285)</f>
        <v/>
      </c>
      <c r="G285" s="10">
        <f>IF(A285="","",E285-F285)</f>
        <v/>
      </c>
      <c r="H285" s="11">
        <f>IF(A285="","",IF(E285=0,0,G285/E285))</f>
        <v/>
      </c>
      <c r="I285" s="12">
        <f>IF(A285="","",COUNTIF($G$5:$G$304,"&gt;"&amp;G285)+COUNTIF($G$5:G285,G285))</f>
        <v/>
      </c>
    </row>
    <row r="286">
      <c r="A286" s="7" t="n"/>
      <c r="B286" s="8" t="n"/>
      <c r="C286" s="9" t="n"/>
      <c r="D286" s="9" t="n"/>
      <c r="E286" s="10">
        <f>IF(A286="","",B286*C286)</f>
        <v/>
      </c>
      <c r="F286" s="10">
        <f>IF(A286="","",B286*D286)</f>
        <v/>
      </c>
      <c r="G286" s="10">
        <f>IF(A286="","",E286-F286)</f>
        <v/>
      </c>
      <c r="H286" s="11">
        <f>IF(A286="","",IF(E286=0,0,G286/E286))</f>
        <v/>
      </c>
      <c r="I286" s="12">
        <f>IF(A286="","",COUNTIF($G$5:$G$304,"&gt;"&amp;G286)+COUNTIF($G$5:G286,G286))</f>
        <v/>
      </c>
    </row>
    <row r="287">
      <c r="A287" s="7" t="n"/>
      <c r="B287" s="8" t="n"/>
      <c r="C287" s="9" t="n"/>
      <c r="D287" s="9" t="n"/>
      <c r="E287" s="10">
        <f>IF(A287="","",B287*C287)</f>
        <v/>
      </c>
      <c r="F287" s="10">
        <f>IF(A287="","",B287*D287)</f>
        <v/>
      </c>
      <c r="G287" s="10">
        <f>IF(A287="","",E287-F287)</f>
        <v/>
      </c>
      <c r="H287" s="11">
        <f>IF(A287="","",IF(E287=0,0,G287/E287))</f>
        <v/>
      </c>
      <c r="I287" s="12">
        <f>IF(A287="","",COUNTIF($G$5:$G$304,"&gt;"&amp;G287)+COUNTIF($G$5:G287,G287))</f>
        <v/>
      </c>
    </row>
    <row r="288">
      <c r="A288" s="7" t="n"/>
      <c r="B288" s="8" t="n"/>
      <c r="C288" s="9" t="n"/>
      <c r="D288" s="9" t="n"/>
      <c r="E288" s="10">
        <f>IF(A288="","",B288*C288)</f>
        <v/>
      </c>
      <c r="F288" s="10">
        <f>IF(A288="","",B288*D288)</f>
        <v/>
      </c>
      <c r="G288" s="10">
        <f>IF(A288="","",E288-F288)</f>
        <v/>
      </c>
      <c r="H288" s="11">
        <f>IF(A288="","",IF(E288=0,0,G288/E288))</f>
        <v/>
      </c>
      <c r="I288" s="12">
        <f>IF(A288="","",COUNTIF($G$5:$G$304,"&gt;"&amp;G288)+COUNTIF($G$5:G288,G288))</f>
        <v/>
      </c>
    </row>
    <row r="289">
      <c r="A289" s="7" t="n"/>
      <c r="B289" s="8" t="n"/>
      <c r="C289" s="9" t="n"/>
      <c r="D289" s="9" t="n"/>
      <c r="E289" s="10">
        <f>IF(A289="","",B289*C289)</f>
        <v/>
      </c>
      <c r="F289" s="10">
        <f>IF(A289="","",B289*D289)</f>
        <v/>
      </c>
      <c r="G289" s="10">
        <f>IF(A289="","",E289-F289)</f>
        <v/>
      </c>
      <c r="H289" s="11">
        <f>IF(A289="","",IF(E289=0,0,G289/E289))</f>
        <v/>
      </c>
      <c r="I289" s="12">
        <f>IF(A289="","",COUNTIF($G$5:$G$304,"&gt;"&amp;G289)+COUNTIF($G$5:G289,G289))</f>
        <v/>
      </c>
    </row>
    <row r="290">
      <c r="A290" s="7" t="n"/>
      <c r="B290" s="8" t="n"/>
      <c r="C290" s="9" t="n"/>
      <c r="D290" s="9" t="n"/>
      <c r="E290" s="10">
        <f>IF(A290="","",B290*C290)</f>
        <v/>
      </c>
      <c r="F290" s="10">
        <f>IF(A290="","",B290*D290)</f>
        <v/>
      </c>
      <c r="G290" s="10">
        <f>IF(A290="","",E290-F290)</f>
        <v/>
      </c>
      <c r="H290" s="11">
        <f>IF(A290="","",IF(E290=0,0,G290/E290))</f>
        <v/>
      </c>
      <c r="I290" s="12">
        <f>IF(A290="","",COUNTIF($G$5:$G$304,"&gt;"&amp;G290)+COUNTIF($G$5:G290,G290))</f>
        <v/>
      </c>
    </row>
    <row r="291">
      <c r="A291" s="7" t="n"/>
      <c r="B291" s="8" t="n"/>
      <c r="C291" s="9" t="n"/>
      <c r="D291" s="9" t="n"/>
      <c r="E291" s="10">
        <f>IF(A291="","",B291*C291)</f>
        <v/>
      </c>
      <c r="F291" s="10">
        <f>IF(A291="","",B291*D291)</f>
        <v/>
      </c>
      <c r="G291" s="10">
        <f>IF(A291="","",E291-F291)</f>
        <v/>
      </c>
      <c r="H291" s="11">
        <f>IF(A291="","",IF(E291=0,0,G291/E291))</f>
        <v/>
      </c>
      <c r="I291" s="12">
        <f>IF(A291="","",COUNTIF($G$5:$G$304,"&gt;"&amp;G291)+COUNTIF($G$5:G291,G291))</f>
        <v/>
      </c>
    </row>
    <row r="292">
      <c r="A292" s="7" t="n"/>
      <c r="B292" s="8" t="n"/>
      <c r="C292" s="9" t="n"/>
      <c r="D292" s="9" t="n"/>
      <c r="E292" s="10">
        <f>IF(A292="","",B292*C292)</f>
        <v/>
      </c>
      <c r="F292" s="10">
        <f>IF(A292="","",B292*D292)</f>
        <v/>
      </c>
      <c r="G292" s="10">
        <f>IF(A292="","",E292-F292)</f>
        <v/>
      </c>
      <c r="H292" s="11">
        <f>IF(A292="","",IF(E292=0,0,G292/E292))</f>
        <v/>
      </c>
      <c r="I292" s="12">
        <f>IF(A292="","",COUNTIF($G$5:$G$304,"&gt;"&amp;G292)+COUNTIF($G$5:G292,G292))</f>
        <v/>
      </c>
    </row>
    <row r="293">
      <c r="A293" s="7" t="n"/>
      <c r="B293" s="8" t="n"/>
      <c r="C293" s="9" t="n"/>
      <c r="D293" s="9" t="n"/>
      <c r="E293" s="10">
        <f>IF(A293="","",B293*C293)</f>
        <v/>
      </c>
      <c r="F293" s="10">
        <f>IF(A293="","",B293*D293)</f>
        <v/>
      </c>
      <c r="G293" s="10">
        <f>IF(A293="","",E293-F293)</f>
        <v/>
      </c>
      <c r="H293" s="11">
        <f>IF(A293="","",IF(E293=0,0,G293/E293))</f>
        <v/>
      </c>
      <c r="I293" s="12">
        <f>IF(A293="","",COUNTIF($G$5:$G$304,"&gt;"&amp;G293)+COUNTIF($G$5:G293,G293))</f>
        <v/>
      </c>
    </row>
    <row r="294">
      <c r="A294" s="7" t="n"/>
      <c r="B294" s="8" t="n"/>
      <c r="C294" s="9" t="n"/>
      <c r="D294" s="9" t="n"/>
      <c r="E294" s="10">
        <f>IF(A294="","",B294*C294)</f>
        <v/>
      </c>
      <c r="F294" s="10">
        <f>IF(A294="","",B294*D294)</f>
        <v/>
      </c>
      <c r="G294" s="10">
        <f>IF(A294="","",E294-F294)</f>
        <v/>
      </c>
      <c r="H294" s="11">
        <f>IF(A294="","",IF(E294=0,0,G294/E294))</f>
        <v/>
      </c>
      <c r="I294" s="12">
        <f>IF(A294="","",COUNTIF($G$5:$G$304,"&gt;"&amp;G294)+COUNTIF($G$5:G294,G294))</f>
        <v/>
      </c>
    </row>
    <row r="295">
      <c r="A295" s="7" t="n"/>
      <c r="B295" s="8" t="n"/>
      <c r="C295" s="9" t="n"/>
      <c r="D295" s="9" t="n"/>
      <c r="E295" s="10">
        <f>IF(A295="","",B295*C295)</f>
        <v/>
      </c>
      <c r="F295" s="10">
        <f>IF(A295="","",B295*D295)</f>
        <v/>
      </c>
      <c r="G295" s="10">
        <f>IF(A295="","",E295-F295)</f>
        <v/>
      </c>
      <c r="H295" s="11">
        <f>IF(A295="","",IF(E295=0,0,G295/E295))</f>
        <v/>
      </c>
      <c r="I295" s="12">
        <f>IF(A295="","",COUNTIF($G$5:$G$304,"&gt;"&amp;G295)+COUNTIF($G$5:G295,G295))</f>
        <v/>
      </c>
    </row>
    <row r="296">
      <c r="A296" s="7" t="n"/>
      <c r="B296" s="8" t="n"/>
      <c r="C296" s="9" t="n"/>
      <c r="D296" s="9" t="n"/>
      <c r="E296" s="10">
        <f>IF(A296="","",B296*C296)</f>
        <v/>
      </c>
      <c r="F296" s="10">
        <f>IF(A296="","",B296*D296)</f>
        <v/>
      </c>
      <c r="G296" s="10">
        <f>IF(A296="","",E296-F296)</f>
        <v/>
      </c>
      <c r="H296" s="11">
        <f>IF(A296="","",IF(E296=0,0,G296/E296))</f>
        <v/>
      </c>
      <c r="I296" s="12">
        <f>IF(A296="","",COUNTIF($G$5:$G$304,"&gt;"&amp;G296)+COUNTIF($G$5:G296,G296))</f>
        <v/>
      </c>
    </row>
    <row r="297">
      <c r="A297" s="7" t="n"/>
      <c r="B297" s="8" t="n"/>
      <c r="C297" s="9" t="n"/>
      <c r="D297" s="9" t="n"/>
      <c r="E297" s="10">
        <f>IF(A297="","",B297*C297)</f>
        <v/>
      </c>
      <c r="F297" s="10">
        <f>IF(A297="","",B297*D297)</f>
        <v/>
      </c>
      <c r="G297" s="10">
        <f>IF(A297="","",E297-F297)</f>
        <v/>
      </c>
      <c r="H297" s="11">
        <f>IF(A297="","",IF(E297=0,0,G297/E297))</f>
        <v/>
      </c>
      <c r="I297" s="12">
        <f>IF(A297="","",COUNTIF($G$5:$G$304,"&gt;"&amp;G297)+COUNTIF($G$5:G297,G297))</f>
        <v/>
      </c>
    </row>
    <row r="298">
      <c r="A298" s="7" t="n"/>
      <c r="B298" s="8" t="n"/>
      <c r="C298" s="9" t="n"/>
      <c r="D298" s="9" t="n"/>
      <c r="E298" s="10">
        <f>IF(A298="","",B298*C298)</f>
        <v/>
      </c>
      <c r="F298" s="10">
        <f>IF(A298="","",B298*D298)</f>
        <v/>
      </c>
      <c r="G298" s="10">
        <f>IF(A298="","",E298-F298)</f>
        <v/>
      </c>
      <c r="H298" s="11">
        <f>IF(A298="","",IF(E298=0,0,G298/E298))</f>
        <v/>
      </c>
      <c r="I298" s="12">
        <f>IF(A298="","",COUNTIF($G$5:$G$304,"&gt;"&amp;G298)+COUNTIF($G$5:G298,G298))</f>
        <v/>
      </c>
    </row>
    <row r="299">
      <c r="A299" s="7" t="n"/>
      <c r="B299" s="8" t="n"/>
      <c r="C299" s="9" t="n"/>
      <c r="D299" s="9" t="n"/>
      <c r="E299" s="10">
        <f>IF(A299="","",B299*C299)</f>
        <v/>
      </c>
      <c r="F299" s="10">
        <f>IF(A299="","",B299*D299)</f>
        <v/>
      </c>
      <c r="G299" s="10">
        <f>IF(A299="","",E299-F299)</f>
        <v/>
      </c>
      <c r="H299" s="11">
        <f>IF(A299="","",IF(E299=0,0,G299/E299))</f>
        <v/>
      </c>
      <c r="I299" s="12">
        <f>IF(A299="","",COUNTIF($G$5:$G$304,"&gt;"&amp;G299)+COUNTIF($G$5:G299,G299))</f>
        <v/>
      </c>
    </row>
    <row r="300">
      <c r="A300" s="7" t="n"/>
      <c r="B300" s="8" t="n"/>
      <c r="C300" s="9" t="n"/>
      <c r="D300" s="9" t="n"/>
      <c r="E300" s="10">
        <f>IF(A300="","",B300*C300)</f>
        <v/>
      </c>
      <c r="F300" s="10">
        <f>IF(A300="","",B300*D300)</f>
        <v/>
      </c>
      <c r="G300" s="10">
        <f>IF(A300="","",E300-F300)</f>
        <v/>
      </c>
      <c r="H300" s="11">
        <f>IF(A300="","",IF(E300=0,0,G300/E300))</f>
        <v/>
      </c>
      <c r="I300" s="12">
        <f>IF(A300="","",COUNTIF($G$5:$G$304,"&gt;"&amp;G300)+COUNTIF($G$5:G300,G300))</f>
        <v/>
      </c>
    </row>
    <row r="301">
      <c r="A301" s="7" t="n"/>
      <c r="B301" s="8" t="n"/>
      <c r="C301" s="9" t="n"/>
      <c r="D301" s="9" t="n"/>
      <c r="E301" s="10">
        <f>IF(A301="","",B301*C301)</f>
        <v/>
      </c>
      <c r="F301" s="10">
        <f>IF(A301="","",B301*D301)</f>
        <v/>
      </c>
      <c r="G301" s="10">
        <f>IF(A301="","",E301-F301)</f>
        <v/>
      </c>
      <c r="H301" s="11">
        <f>IF(A301="","",IF(E301=0,0,G301/E301))</f>
        <v/>
      </c>
      <c r="I301" s="12">
        <f>IF(A301="","",COUNTIF($G$5:$G$304,"&gt;"&amp;G301)+COUNTIF($G$5:G301,G301))</f>
        <v/>
      </c>
    </row>
    <row r="302">
      <c r="A302" s="7" t="n"/>
      <c r="B302" s="8" t="n"/>
      <c r="C302" s="9" t="n"/>
      <c r="D302" s="9" t="n"/>
      <c r="E302" s="10">
        <f>IF(A302="","",B302*C302)</f>
        <v/>
      </c>
      <c r="F302" s="10">
        <f>IF(A302="","",B302*D302)</f>
        <v/>
      </c>
      <c r="G302" s="10">
        <f>IF(A302="","",E302-F302)</f>
        <v/>
      </c>
      <c r="H302" s="11">
        <f>IF(A302="","",IF(E302=0,0,G302/E302))</f>
        <v/>
      </c>
      <c r="I302" s="12">
        <f>IF(A302="","",COUNTIF($G$5:$G$304,"&gt;"&amp;G302)+COUNTIF($G$5:G302,G302))</f>
        <v/>
      </c>
    </row>
    <row r="303">
      <c r="A303" s="7" t="n"/>
      <c r="B303" s="8" t="n"/>
      <c r="C303" s="9" t="n"/>
      <c r="D303" s="9" t="n"/>
      <c r="E303" s="10">
        <f>IF(A303="","",B303*C303)</f>
        <v/>
      </c>
      <c r="F303" s="10">
        <f>IF(A303="","",B303*D303)</f>
        <v/>
      </c>
      <c r="G303" s="10">
        <f>IF(A303="","",E303-F303)</f>
        <v/>
      </c>
      <c r="H303" s="11">
        <f>IF(A303="","",IF(E303=0,0,G303/E303))</f>
        <v/>
      </c>
      <c r="I303" s="12">
        <f>IF(A303="","",COUNTIF($G$5:$G$304,"&gt;"&amp;G303)+COUNTIF($G$5:G303,G303))</f>
        <v/>
      </c>
    </row>
    <row r="304">
      <c r="A304" s="7" t="n"/>
      <c r="B304" s="8" t="n"/>
      <c r="C304" s="9" t="n"/>
      <c r="D304" s="9" t="n"/>
      <c r="E304" s="10">
        <f>IF(A304="","",B304*C304)</f>
        <v/>
      </c>
      <c r="F304" s="10">
        <f>IF(A304="","",B304*D304)</f>
        <v/>
      </c>
      <c r="G304" s="10">
        <f>IF(A304="","",E304-F304)</f>
        <v/>
      </c>
      <c r="H304" s="11">
        <f>IF(A304="","",IF(E304=0,0,G304/E304))</f>
        <v/>
      </c>
      <c r="I304" s="12">
        <f>IF(A304="","",COUNTIF($G$5:$G$304,"&gt;"&amp;G304)+COUNTIF($G$5:G304,G304))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cols>
    <col width="30" customWidth="1" min="2" max="2"/>
    <col width="22" customWidth="1" min="9" max="9"/>
  </cols>
  <sheetData>
    <row r="1">
      <c r="A1" s="1" t="inlineStr">
        <is>
          <t>Ranked by gross profit (sku_profitability output)</t>
        </is>
      </c>
    </row>
    <row r="2"/>
    <row r="3">
      <c r="A3" t="inlineStr">
        <is>
          <t>Pareto threshold</t>
        </is>
      </c>
      <c r="B3" s="13" t="n">
        <v>0.8</v>
      </c>
      <c r="D3" t="inlineStr">
        <is>
          <t>pareto_breakpoint (SKU count)</t>
        </is>
      </c>
      <c r="E3" s="14">
        <f>IF(COUNT(A6:A305)=0,0,IFERROR(MATCH(1,J6:J305,0),COUNT(A6:A305)))</f>
        <v/>
      </c>
    </row>
    <row r="4"/>
    <row r="5">
      <c r="A5" s="6" t="inlineStr">
        <is>
          <t>rank</t>
        </is>
      </c>
      <c r="B5" s="6" t="inlineStr">
        <is>
          <t>sku</t>
        </is>
      </c>
      <c r="C5" s="6" t="inlineStr">
        <is>
          <t>units</t>
        </is>
      </c>
      <c r="D5" s="6" t="inlineStr">
        <is>
          <t>revenue</t>
        </is>
      </c>
      <c r="E5" s="6" t="inlineStr">
        <is>
          <t>cogs</t>
        </is>
      </c>
      <c r="F5" s="6" t="inlineStr">
        <is>
          <t>gross_profit</t>
        </is>
      </c>
      <c r="G5" s="6" t="inlineStr">
        <is>
          <t>gross_margin</t>
        </is>
      </c>
      <c r="H5" s="6" t="inlineStr">
        <is>
          <t>revenue_share</t>
        </is>
      </c>
      <c r="I5" s="6" t="inlineStr">
        <is>
          <t>cumulative_revenue_pct</t>
        </is>
      </c>
      <c r="J5" s="6" t="inlineStr">
        <is>
          <t>reaches threshold?</t>
        </is>
      </c>
    </row>
    <row r="6">
      <c r="A6" s="5">
        <f>IF(1&gt;COUNT(SKUs!$I$5:$I$304),"",1)</f>
        <v/>
      </c>
      <c r="B6" s="5">
        <f>IF(A6="","",INDEX(SKUs!$A$5:$A$304,MATCH(A6,SKUs!$I$5:$I$304,0)))</f>
        <v/>
      </c>
      <c r="C6" s="15">
        <f>IF(A6="","",INDEX(SKUs!$B$5:$B$304,MATCH(A6,SKUs!$I$5:$I$304,0)))</f>
        <v/>
      </c>
      <c r="D6" s="10">
        <f>IF(A6="","",INDEX(SKUs!$E$5:$E$304,MATCH(A6,SKUs!$I$5:$I$304,0)))</f>
        <v/>
      </c>
      <c r="E6" s="10">
        <f>IF(A6="","",INDEX(SKUs!$F$5:$F$304,MATCH(A6,SKUs!$I$5:$I$304,0)))</f>
        <v/>
      </c>
      <c r="F6" s="10">
        <f>IF(A6="","",INDEX(SKUs!$G$5:$G$304,MATCH(A6,SKUs!$I$5:$I$304,0)))</f>
        <v/>
      </c>
      <c r="G6" s="11">
        <f>IF(A6="","",INDEX(SKUs!$H$5:$H$304,MATCH(A6,SKUs!$I$5:$I$304,0)))</f>
        <v/>
      </c>
      <c r="H6" s="11">
        <f>IF(A6="","",IF(SUM(SKUs!$E$5:$E$304)=0,0,D6/SUM(SKUs!$E$5:$E$304)))</f>
        <v/>
      </c>
      <c r="I6" s="11">
        <f>IF(A6="","",SUM($H$6:H6))</f>
        <v/>
      </c>
      <c r="J6" s="5">
        <f>IF(A6="","",IF(I6&gt;=$B$3,1,0))</f>
        <v/>
      </c>
    </row>
    <row r="7">
      <c r="A7" s="5">
        <f>IF(2&gt;COUNT(SKUs!$I$5:$I$304),"",2)</f>
        <v/>
      </c>
      <c r="B7" s="5">
        <f>IF(A7="","",INDEX(SKUs!$A$5:$A$304,MATCH(A7,SKUs!$I$5:$I$304,0)))</f>
        <v/>
      </c>
      <c r="C7" s="15">
        <f>IF(A7="","",INDEX(SKUs!$B$5:$B$304,MATCH(A7,SKUs!$I$5:$I$304,0)))</f>
        <v/>
      </c>
      <c r="D7" s="10">
        <f>IF(A7="","",INDEX(SKUs!$E$5:$E$304,MATCH(A7,SKUs!$I$5:$I$304,0)))</f>
        <v/>
      </c>
      <c r="E7" s="10">
        <f>IF(A7="","",INDEX(SKUs!$F$5:$F$304,MATCH(A7,SKUs!$I$5:$I$304,0)))</f>
        <v/>
      </c>
      <c r="F7" s="10">
        <f>IF(A7="","",INDEX(SKUs!$G$5:$G$304,MATCH(A7,SKUs!$I$5:$I$304,0)))</f>
        <v/>
      </c>
      <c r="G7" s="11">
        <f>IF(A7="","",INDEX(SKUs!$H$5:$H$304,MATCH(A7,SKUs!$I$5:$I$304,0)))</f>
        <v/>
      </c>
      <c r="H7" s="11">
        <f>IF(A7="","",IF(SUM(SKUs!$E$5:$E$304)=0,0,D7/SUM(SKUs!$E$5:$E$304)))</f>
        <v/>
      </c>
      <c r="I7" s="11">
        <f>IF(A7="","",SUM($H$6:H7))</f>
        <v/>
      </c>
      <c r="J7" s="5">
        <f>IF(A7="","",IF(I7&gt;=$B$3,1,0))</f>
        <v/>
      </c>
    </row>
    <row r="8">
      <c r="A8" s="5">
        <f>IF(3&gt;COUNT(SKUs!$I$5:$I$304),"",3)</f>
        <v/>
      </c>
      <c r="B8" s="5">
        <f>IF(A8="","",INDEX(SKUs!$A$5:$A$304,MATCH(A8,SKUs!$I$5:$I$304,0)))</f>
        <v/>
      </c>
      <c r="C8" s="15">
        <f>IF(A8="","",INDEX(SKUs!$B$5:$B$304,MATCH(A8,SKUs!$I$5:$I$304,0)))</f>
        <v/>
      </c>
      <c r="D8" s="10">
        <f>IF(A8="","",INDEX(SKUs!$E$5:$E$304,MATCH(A8,SKUs!$I$5:$I$304,0)))</f>
        <v/>
      </c>
      <c r="E8" s="10">
        <f>IF(A8="","",INDEX(SKUs!$F$5:$F$304,MATCH(A8,SKUs!$I$5:$I$304,0)))</f>
        <v/>
      </c>
      <c r="F8" s="10">
        <f>IF(A8="","",INDEX(SKUs!$G$5:$G$304,MATCH(A8,SKUs!$I$5:$I$304,0)))</f>
        <v/>
      </c>
      <c r="G8" s="11">
        <f>IF(A8="","",INDEX(SKUs!$H$5:$H$304,MATCH(A8,SKUs!$I$5:$I$304,0)))</f>
        <v/>
      </c>
      <c r="H8" s="11">
        <f>IF(A8="","",IF(SUM(SKUs!$E$5:$E$304)=0,0,D8/SUM(SKUs!$E$5:$E$304)))</f>
        <v/>
      </c>
      <c r="I8" s="11">
        <f>IF(A8="","",SUM($H$6:H8))</f>
        <v/>
      </c>
      <c r="J8" s="5">
        <f>IF(A8="","",IF(I8&gt;=$B$3,1,0))</f>
        <v/>
      </c>
    </row>
    <row r="9">
      <c r="A9" s="5">
        <f>IF(4&gt;COUNT(SKUs!$I$5:$I$304),"",4)</f>
        <v/>
      </c>
      <c r="B9" s="5">
        <f>IF(A9="","",INDEX(SKUs!$A$5:$A$304,MATCH(A9,SKUs!$I$5:$I$304,0)))</f>
        <v/>
      </c>
      <c r="C9" s="15">
        <f>IF(A9="","",INDEX(SKUs!$B$5:$B$304,MATCH(A9,SKUs!$I$5:$I$304,0)))</f>
        <v/>
      </c>
      <c r="D9" s="10">
        <f>IF(A9="","",INDEX(SKUs!$E$5:$E$304,MATCH(A9,SKUs!$I$5:$I$304,0)))</f>
        <v/>
      </c>
      <c r="E9" s="10">
        <f>IF(A9="","",INDEX(SKUs!$F$5:$F$304,MATCH(A9,SKUs!$I$5:$I$304,0)))</f>
        <v/>
      </c>
      <c r="F9" s="10">
        <f>IF(A9="","",INDEX(SKUs!$G$5:$G$304,MATCH(A9,SKUs!$I$5:$I$304,0)))</f>
        <v/>
      </c>
      <c r="G9" s="11">
        <f>IF(A9="","",INDEX(SKUs!$H$5:$H$304,MATCH(A9,SKUs!$I$5:$I$304,0)))</f>
        <v/>
      </c>
      <c r="H9" s="11">
        <f>IF(A9="","",IF(SUM(SKUs!$E$5:$E$304)=0,0,D9/SUM(SKUs!$E$5:$E$304)))</f>
        <v/>
      </c>
      <c r="I9" s="11">
        <f>IF(A9="","",SUM($H$6:H9))</f>
        <v/>
      </c>
      <c r="J9" s="5">
        <f>IF(A9="","",IF(I9&gt;=$B$3,1,0))</f>
        <v/>
      </c>
    </row>
    <row r="10">
      <c r="A10" s="5">
        <f>IF(5&gt;COUNT(SKUs!$I$5:$I$304),"",5)</f>
        <v/>
      </c>
      <c r="B10" s="5">
        <f>IF(A10="","",INDEX(SKUs!$A$5:$A$304,MATCH(A10,SKUs!$I$5:$I$304,0)))</f>
        <v/>
      </c>
      <c r="C10" s="15">
        <f>IF(A10="","",INDEX(SKUs!$B$5:$B$304,MATCH(A10,SKUs!$I$5:$I$304,0)))</f>
        <v/>
      </c>
      <c r="D10" s="10">
        <f>IF(A10="","",INDEX(SKUs!$E$5:$E$304,MATCH(A10,SKUs!$I$5:$I$304,0)))</f>
        <v/>
      </c>
      <c r="E10" s="10">
        <f>IF(A10="","",INDEX(SKUs!$F$5:$F$304,MATCH(A10,SKUs!$I$5:$I$304,0)))</f>
        <v/>
      </c>
      <c r="F10" s="10">
        <f>IF(A10="","",INDEX(SKUs!$G$5:$G$304,MATCH(A10,SKUs!$I$5:$I$304,0)))</f>
        <v/>
      </c>
      <c r="G10" s="11">
        <f>IF(A10="","",INDEX(SKUs!$H$5:$H$304,MATCH(A10,SKUs!$I$5:$I$304,0)))</f>
        <v/>
      </c>
      <c r="H10" s="11">
        <f>IF(A10="","",IF(SUM(SKUs!$E$5:$E$304)=0,0,D10/SUM(SKUs!$E$5:$E$304)))</f>
        <v/>
      </c>
      <c r="I10" s="11">
        <f>IF(A10="","",SUM($H$6:H10))</f>
        <v/>
      </c>
      <c r="J10" s="5">
        <f>IF(A10="","",IF(I10&gt;=$B$3,1,0))</f>
        <v/>
      </c>
    </row>
    <row r="11">
      <c r="A11" s="5">
        <f>IF(6&gt;COUNT(SKUs!$I$5:$I$304),"",6)</f>
        <v/>
      </c>
      <c r="B11" s="5">
        <f>IF(A11="","",INDEX(SKUs!$A$5:$A$304,MATCH(A11,SKUs!$I$5:$I$304,0)))</f>
        <v/>
      </c>
      <c r="C11" s="15">
        <f>IF(A11="","",INDEX(SKUs!$B$5:$B$304,MATCH(A11,SKUs!$I$5:$I$304,0)))</f>
        <v/>
      </c>
      <c r="D11" s="10">
        <f>IF(A11="","",INDEX(SKUs!$E$5:$E$304,MATCH(A11,SKUs!$I$5:$I$304,0)))</f>
        <v/>
      </c>
      <c r="E11" s="10">
        <f>IF(A11="","",INDEX(SKUs!$F$5:$F$304,MATCH(A11,SKUs!$I$5:$I$304,0)))</f>
        <v/>
      </c>
      <c r="F11" s="10">
        <f>IF(A11="","",INDEX(SKUs!$G$5:$G$304,MATCH(A11,SKUs!$I$5:$I$304,0)))</f>
        <v/>
      </c>
      <c r="G11" s="11">
        <f>IF(A11="","",INDEX(SKUs!$H$5:$H$304,MATCH(A11,SKUs!$I$5:$I$304,0)))</f>
        <v/>
      </c>
      <c r="H11" s="11">
        <f>IF(A11="","",IF(SUM(SKUs!$E$5:$E$304)=0,0,D11/SUM(SKUs!$E$5:$E$304)))</f>
        <v/>
      </c>
      <c r="I11" s="11">
        <f>IF(A11="","",SUM($H$6:H11))</f>
        <v/>
      </c>
      <c r="J11" s="5">
        <f>IF(A11="","",IF(I11&gt;=$B$3,1,0))</f>
        <v/>
      </c>
    </row>
    <row r="12">
      <c r="A12" s="5">
        <f>IF(7&gt;COUNT(SKUs!$I$5:$I$304),"",7)</f>
        <v/>
      </c>
      <c r="B12" s="5">
        <f>IF(A12="","",INDEX(SKUs!$A$5:$A$304,MATCH(A12,SKUs!$I$5:$I$304,0)))</f>
        <v/>
      </c>
      <c r="C12" s="15">
        <f>IF(A12="","",INDEX(SKUs!$B$5:$B$304,MATCH(A12,SKUs!$I$5:$I$304,0)))</f>
        <v/>
      </c>
      <c r="D12" s="10">
        <f>IF(A12="","",INDEX(SKUs!$E$5:$E$304,MATCH(A12,SKUs!$I$5:$I$304,0)))</f>
        <v/>
      </c>
      <c r="E12" s="10">
        <f>IF(A12="","",INDEX(SKUs!$F$5:$F$304,MATCH(A12,SKUs!$I$5:$I$304,0)))</f>
        <v/>
      </c>
      <c r="F12" s="10">
        <f>IF(A12="","",INDEX(SKUs!$G$5:$G$304,MATCH(A12,SKUs!$I$5:$I$304,0)))</f>
        <v/>
      </c>
      <c r="G12" s="11">
        <f>IF(A12="","",INDEX(SKUs!$H$5:$H$304,MATCH(A12,SKUs!$I$5:$I$304,0)))</f>
        <v/>
      </c>
      <c r="H12" s="11">
        <f>IF(A12="","",IF(SUM(SKUs!$E$5:$E$304)=0,0,D12/SUM(SKUs!$E$5:$E$304)))</f>
        <v/>
      </c>
      <c r="I12" s="11">
        <f>IF(A12="","",SUM($H$6:H12))</f>
        <v/>
      </c>
      <c r="J12" s="5">
        <f>IF(A12="","",IF(I12&gt;=$B$3,1,0))</f>
        <v/>
      </c>
    </row>
    <row r="13">
      <c r="A13" s="5">
        <f>IF(8&gt;COUNT(SKUs!$I$5:$I$304),"",8)</f>
        <v/>
      </c>
      <c r="B13" s="5">
        <f>IF(A13="","",INDEX(SKUs!$A$5:$A$304,MATCH(A13,SKUs!$I$5:$I$304,0)))</f>
        <v/>
      </c>
      <c r="C13" s="15">
        <f>IF(A13="","",INDEX(SKUs!$B$5:$B$304,MATCH(A13,SKUs!$I$5:$I$304,0)))</f>
        <v/>
      </c>
      <c r="D13" s="10">
        <f>IF(A13="","",INDEX(SKUs!$E$5:$E$304,MATCH(A13,SKUs!$I$5:$I$304,0)))</f>
        <v/>
      </c>
      <c r="E13" s="10">
        <f>IF(A13="","",INDEX(SKUs!$F$5:$F$304,MATCH(A13,SKUs!$I$5:$I$304,0)))</f>
        <v/>
      </c>
      <c r="F13" s="10">
        <f>IF(A13="","",INDEX(SKUs!$G$5:$G$304,MATCH(A13,SKUs!$I$5:$I$304,0)))</f>
        <v/>
      </c>
      <c r="G13" s="11">
        <f>IF(A13="","",INDEX(SKUs!$H$5:$H$304,MATCH(A13,SKUs!$I$5:$I$304,0)))</f>
        <v/>
      </c>
      <c r="H13" s="11">
        <f>IF(A13="","",IF(SUM(SKUs!$E$5:$E$304)=0,0,D13/SUM(SKUs!$E$5:$E$304)))</f>
        <v/>
      </c>
      <c r="I13" s="11">
        <f>IF(A13="","",SUM($H$6:H13))</f>
        <v/>
      </c>
      <c r="J13" s="5">
        <f>IF(A13="","",IF(I13&gt;=$B$3,1,0))</f>
        <v/>
      </c>
    </row>
    <row r="14">
      <c r="A14" s="5">
        <f>IF(9&gt;COUNT(SKUs!$I$5:$I$304),"",9)</f>
        <v/>
      </c>
      <c r="B14" s="5">
        <f>IF(A14="","",INDEX(SKUs!$A$5:$A$304,MATCH(A14,SKUs!$I$5:$I$304,0)))</f>
        <v/>
      </c>
      <c r="C14" s="15">
        <f>IF(A14="","",INDEX(SKUs!$B$5:$B$304,MATCH(A14,SKUs!$I$5:$I$304,0)))</f>
        <v/>
      </c>
      <c r="D14" s="10">
        <f>IF(A14="","",INDEX(SKUs!$E$5:$E$304,MATCH(A14,SKUs!$I$5:$I$304,0)))</f>
        <v/>
      </c>
      <c r="E14" s="10">
        <f>IF(A14="","",INDEX(SKUs!$F$5:$F$304,MATCH(A14,SKUs!$I$5:$I$304,0)))</f>
        <v/>
      </c>
      <c r="F14" s="10">
        <f>IF(A14="","",INDEX(SKUs!$G$5:$G$304,MATCH(A14,SKUs!$I$5:$I$304,0)))</f>
        <v/>
      </c>
      <c r="G14" s="11">
        <f>IF(A14="","",INDEX(SKUs!$H$5:$H$304,MATCH(A14,SKUs!$I$5:$I$304,0)))</f>
        <v/>
      </c>
      <c r="H14" s="11">
        <f>IF(A14="","",IF(SUM(SKUs!$E$5:$E$304)=0,0,D14/SUM(SKUs!$E$5:$E$304)))</f>
        <v/>
      </c>
      <c r="I14" s="11">
        <f>IF(A14="","",SUM($H$6:H14))</f>
        <v/>
      </c>
      <c r="J14" s="5">
        <f>IF(A14="","",IF(I14&gt;=$B$3,1,0))</f>
        <v/>
      </c>
    </row>
    <row r="15">
      <c r="A15" s="5">
        <f>IF(10&gt;COUNT(SKUs!$I$5:$I$304),"",10)</f>
        <v/>
      </c>
      <c r="B15" s="5">
        <f>IF(A15="","",INDEX(SKUs!$A$5:$A$304,MATCH(A15,SKUs!$I$5:$I$304,0)))</f>
        <v/>
      </c>
      <c r="C15" s="15">
        <f>IF(A15="","",INDEX(SKUs!$B$5:$B$304,MATCH(A15,SKUs!$I$5:$I$304,0)))</f>
        <v/>
      </c>
      <c r="D15" s="10">
        <f>IF(A15="","",INDEX(SKUs!$E$5:$E$304,MATCH(A15,SKUs!$I$5:$I$304,0)))</f>
        <v/>
      </c>
      <c r="E15" s="10">
        <f>IF(A15="","",INDEX(SKUs!$F$5:$F$304,MATCH(A15,SKUs!$I$5:$I$304,0)))</f>
        <v/>
      </c>
      <c r="F15" s="10">
        <f>IF(A15="","",INDEX(SKUs!$G$5:$G$304,MATCH(A15,SKUs!$I$5:$I$304,0)))</f>
        <v/>
      </c>
      <c r="G15" s="11">
        <f>IF(A15="","",INDEX(SKUs!$H$5:$H$304,MATCH(A15,SKUs!$I$5:$I$304,0)))</f>
        <v/>
      </c>
      <c r="H15" s="11">
        <f>IF(A15="","",IF(SUM(SKUs!$E$5:$E$304)=0,0,D15/SUM(SKUs!$E$5:$E$304)))</f>
        <v/>
      </c>
      <c r="I15" s="11">
        <f>IF(A15="","",SUM($H$6:H15))</f>
        <v/>
      </c>
      <c r="J15" s="5">
        <f>IF(A15="","",IF(I15&gt;=$B$3,1,0))</f>
        <v/>
      </c>
    </row>
    <row r="16">
      <c r="A16" s="5">
        <f>IF(11&gt;COUNT(SKUs!$I$5:$I$304),"",11)</f>
        <v/>
      </c>
      <c r="B16" s="5">
        <f>IF(A16="","",INDEX(SKUs!$A$5:$A$304,MATCH(A16,SKUs!$I$5:$I$304,0)))</f>
        <v/>
      </c>
      <c r="C16" s="15">
        <f>IF(A16="","",INDEX(SKUs!$B$5:$B$304,MATCH(A16,SKUs!$I$5:$I$304,0)))</f>
        <v/>
      </c>
      <c r="D16" s="10">
        <f>IF(A16="","",INDEX(SKUs!$E$5:$E$304,MATCH(A16,SKUs!$I$5:$I$304,0)))</f>
        <v/>
      </c>
      <c r="E16" s="10">
        <f>IF(A16="","",INDEX(SKUs!$F$5:$F$304,MATCH(A16,SKUs!$I$5:$I$304,0)))</f>
        <v/>
      </c>
      <c r="F16" s="10">
        <f>IF(A16="","",INDEX(SKUs!$G$5:$G$304,MATCH(A16,SKUs!$I$5:$I$304,0)))</f>
        <v/>
      </c>
      <c r="G16" s="11">
        <f>IF(A16="","",INDEX(SKUs!$H$5:$H$304,MATCH(A16,SKUs!$I$5:$I$304,0)))</f>
        <v/>
      </c>
      <c r="H16" s="11">
        <f>IF(A16="","",IF(SUM(SKUs!$E$5:$E$304)=0,0,D16/SUM(SKUs!$E$5:$E$304)))</f>
        <v/>
      </c>
      <c r="I16" s="11">
        <f>IF(A16="","",SUM($H$6:H16))</f>
        <v/>
      </c>
      <c r="J16" s="5">
        <f>IF(A16="","",IF(I16&gt;=$B$3,1,0))</f>
        <v/>
      </c>
    </row>
    <row r="17">
      <c r="A17" s="5">
        <f>IF(12&gt;COUNT(SKUs!$I$5:$I$304),"",12)</f>
        <v/>
      </c>
      <c r="B17" s="5">
        <f>IF(A17="","",INDEX(SKUs!$A$5:$A$304,MATCH(A17,SKUs!$I$5:$I$304,0)))</f>
        <v/>
      </c>
      <c r="C17" s="15">
        <f>IF(A17="","",INDEX(SKUs!$B$5:$B$304,MATCH(A17,SKUs!$I$5:$I$304,0)))</f>
        <v/>
      </c>
      <c r="D17" s="10">
        <f>IF(A17="","",INDEX(SKUs!$E$5:$E$304,MATCH(A17,SKUs!$I$5:$I$304,0)))</f>
        <v/>
      </c>
      <c r="E17" s="10">
        <f>IF(A17="","",INDEX(SKUs!$F$5:$F$304,MATCH(A17,SKUs!$I$5:$I$304,0)))</f>
        <v/>
      </c>
      <c r="F17" s="10">
        <f>IF(A17="","",INDEX(SKUs!$G$5:$G$304,MATCH(A17,SKUs!$I$5:$I$304,0)))</f>
        <v/>
      </c>
      <c r="G17" s="11">
        <f>IF(A17="","",INDEX(SKUs!$H$5:$H$304,MATCH(A17,SKUs!$I$5:$I$304,0)))</f>
        <v/>
      </c>
      <c r="H17" s="11">
        <f>IF(A17="","",IF(SUM(SKUs!$E$5:$E$304)=0,0,D17/SUM(SKUs!$E$5:$E$304)))</f>
        <v/>
      </c>
      <c r="I17" s="11">
        <f>IF(A17="","",SUM($H$6:H17))</f>
        <v/>
      </c>
      <c r="J17" s="5">
        <f>IF(A17="","",IF(I17&gt;=$B$3,1,0))</f>
        <v/>
      </c>
    </row>
    <row r="18">
      <c r="A18" s="5">
        <f>IF(13&gt;COUNT(SKUs!$I$5:$I$304),"",13)</f>
        <v/>
      </c>
      <c r="B18" s="5">
        <f>IF(A18="","",INDEX(SKUs!$A$5:$A$304,MATCH(A18,SKUs!$I$5:$I$304,0)))</f>
        <v/>
      </c>
      <c r="C18" s="15">
        <f>IF(A18="","",INDEX(SKUs!$B$5:$B$304,MATCH(A18,SKUs!$I$5:$I$304,0)))</f>
        <v/>
      </c>
      <c r="D18" s="10">
        <f>IF(A18="","",INDEX(SKUs!$E$5:$E$304,MATCH(A18,SKUs!$I$5:$I$304,0)))</f>
        <v/>
      </c>
      <c r="E18" s="10">
        <f>IF(A18="","",INDEX(SKUs!$F$5:$F$304,MATCH(A18,SKUs!$I$5:$I$304,0)))</f>
        <v/>
      </c>
      <c r="F18" s="10">
        <f>IF(A18="","",INDEX(SKUs!$G$5:$G$304,MATCH(A18,SKUs!$I$5:$I$304,0)))</f>
        <v/>
      </c>
      <c r="G18" s="11">
        <f>IF(A18="","",INDEX(SKUs!$H$5:$H$304,MATCH(A18,SKUs!$I$5:$I$304,0)))</f>
        <v/>
      </c>
      <c r="H18" s="11">
        <f>IF(A18="","",IF(SUM(SKUs!$E$5:$E$304)=0,0,D18/SUM(SKUs!$E$5:$E$304)))</f>
        <v/>
      </c>
      <c r="I18" s="11">
        <f>IF(A18="","",SUM($H$6:H18))</f>
        <v/>
      </c>
      <c r="J18" s="5">
        <f>IF(A18="","",IF(I18&gt;=$B$3,1,0))</f>
        <v/>
      </c>
    </row>
    <row r="19">
      <c r="A19" s="5">
        <f>IF(14&gt;COUNT(SKUs!$I$5:$I$304),"",14)</f>
        <v/>
      </c>
      <c r="B19" s="5">
        <f>IF(A19="","",INDEX(SKUs!$A$5:$A$304,MATCH(A19,SKUs!$I$5:$I$304,0)))</f>
        <v/>
      </c>
      <c r="C19" s="15">
        <f>IF(A19="","",INDEX(SKUs!$B$5:$B$304,MATCH(A19,SKUs!$I$5:$I$304,0)))</f>
        <v/>
      </c>
      <c r="D19" s="10">
        <f>IF(A19="","",INDEX(SKUs!$E$5:$E$304,MATCH(A19,SKUs!$I$5:$I$304,0)))</f>
        <v/>
      </c>
      <c r="E19" s="10">
        <f>IF(A19="","",INDEX(SKUs!$F$5:$F$304,MATCH(A19,SKUs!$I$5:$I$304,0)))</f>
        <v/>
      </c>
      <c r="F19" s="10">
        <f>IF(A19="","",INDEX(SKUs!$G$5:$G$304,MATCH(A19,SKUs!$I$5:$I$304,0)))</f>
        <v/>
      </c>
      <c r="G19" s="11">
        <f>IF(A19="","",INDEX(SKUs!$H$5:$H$304,MATCH(A19,SKUs!$I$5:$I$304,0)))</f>
        <v/>
      </c>
      <c r="H19" s="11">
        <f>IF(A19="","",IF(SUM(SKUs!$E$5:$E$304)=0,0,D19/SUM(SKUs!$E$5:$E$304)))</f>
        <v/>
      </c>
      <c r="I19" s="11">
        <f>IF(A19="","",SUM($H$6:H19))</f>
        <v/>
      </c>
      <c r="J19" s="5">
        <f>IF(A19="","",IF(I19&gt;=$B$3,1,0))</f>
        <v/>
      </c>
    </row>
    <row r="20">
      <c r="A20" s="5">
        <f>IF(15&gt;COUNT(SKUs!$I$5:$I$304),"",15)</f>
        <v/>
      </c>
      <c r="B20" s="5">
        <f>IF(A20="","",INDEX(SKUs!$A$5:$A$304,MATCH(A20,SKUs!$I$5:$I$304,0)))</f>
        <v/>
      </c>
      <c r="C20" s="15">
        <f>IF(A20="","",INDEX(SKUs!$B$5:$B$304,MATCH(A20,SKUs!$I$5:$I$304,0)))</f>
        <v/>
      </c>
      <c r="D20" s="10">
        <f>IF(A20="","",INDEX(SKUs!$E$5:$E$304,MATCH(A20,SKUs!$I$5:$I$304,0)))</f>
        <v/>
      </c>
      <c r="E20" s="10">
        <f>IF(A20="","",INDEX(SKUs!$F$5:$F$304,MATCH(A20,SKUs!$I$5:$I$304,0)))</f>
        <v/>
      </c>
      <c r="F20" s="10">
        <f>IF(A20="","",INDEX(SKUs!$G$5:$G$304,MATCH(A20,SKUs!$I$5:$I$304,0)))</f>
        <v/>
      </c>
      <c r="G20" s="11">
        <f>IF(A20="","",INDEX(SKUs!$H$5:$H$304,MATCH(A20,SKUs!$I$5:$I$304,0)))</f>
        <v/>
      </c>
      <c r="H20" s="11">
        <f>IF(A20="","",IF(SUM(SKUs!$E$5:$E$304)=0,0,D20/SUM(SKUs!$E$5:$E$304)))</f>
        <v/>
      </c>
      <c r="I20" s="11">
        <f>IF(A20="","",SUM($H$6:H20))</f>
        <v/>
      </c>
      <c r="J20" s="5">
        <f>IF(A20="","",IF(I20&gt;=$B$3,1,0))</f>
        <v/>
      </c>
    </row>
    <row r="21">
      <c r="A21" s="5">
        <f>IF(16&gt;COUNT(SKUs!$I$5:$I$304),"",16)</f>
        <v/>
      </c>
      <c r="B21" s="5">
        <f>IF(A21="","",INDEX(SKUs!$A$5:$A$304,MATCH(A21,SKUs!$I$5:$I$304,0)))</f>
        <v/>
      </c>
      <c r="C21" s="15">
        <f>IF(A21="","",INDEX(SKUs!$B$5:$B$304,MATCH(A21,SKUs!$I$5:$I$304,0)))</f>
        <v/>
      </c>
      <c r="D21" s="10">
        <f>IF(A21="","",INDEX(SKUs!$E$5:$E$304,MATCH(A21,SKUs!$I$5:$I$304,0)))</f>
        <v/>
      </c>
      <c r="E21" s="10">
        <f>IF(A21="","",INDEX(SKUs!$F$5:$F$304,MATCH(A21,SKUs!$I$5:$I$304,0)))</f>
        <v/>
      </c>
      <c r="F21" s="10">
        <f>IF(A21="","",INDEX(SKUs!$G$5:$G$304,MATCH(A21,SKUs!$I$5:$I$304,0)))</f>
        <v/>
      </c>
      <c r="G21" s="11">
        <f>IF(A21="","",INDEX(SKUs!$H$5:$H$304,MATCH(A21,SKUs!$I$5:$I$304,0)))</f>
        <v/>
      </c>
      <c r="H21" s="11">
        <f>IF(A21="","",IF(SUM(SKUs!$E$5:$E$304)=0,0,D21/SUM(SKUs!$E$5:$E$304)))</f>
        <v/>
      </c>
      <c r="I21" s="11">
        <f>IF(A21="","",SUM($H$6:H21))</f>
        <v/>
      </c>
      <c r="J21" s="5">
        <f>IF(A21="","",IF(I21&gt;=$B$3,1,0))</f>
        <v/>
      </c>
    </row>
    <row r="22">
      <c r="A22" s="5">
        <f>IF(17&gt;COUNT(SKUs!$I$5:$I$304),"",17)</f>
        <v/>
      </c>
      <c r="B22" s="5">
        <f>IF(A22="","",INDEX(SKUs!$A$5:$A$304,MATCH(A22,SKUs!$I$5:$I$304,0)))</f>
        <v/>
      </c>
      <c r="C22" s="15">
        <f>IF(A22="","",INDEX(SKUs!$B$5:$B$304,MATCH(A22,SKUs!$I$5:$I$304,0)))</f>
        <v/>
      </c>
      <c r="D22" s="10">
        <f>IF(A22="","",INDEX(SKUs!$E$5:$E$304,MATCH(A22,SKUs!$I$5:$I$304,0)))</f>
        <v/>
      </c>
      <c r="E22" s="10">
        <f>IF(A22="","",INDEX(SKUs!$F$5:$F$304,MATCH(A22,SKUs!$I$5:$I$304,0)))</f>
        <v/>
      </c>
      <c r="F22" s="10">
        <f>IF(A22="","",INDEX(SKUs!$G$5:$G$304,MATCH(A22,SKUs!$I$5:$I$304,0)))</f>
        <v/>
      </c>
      <c r="G22" s="11">
        <f>IF(A22="","",INDEX(SKUs!$H$5:$H$304,MATCH(A22,SKUs!$I$5:$I$304,0)))</f>
        <v/>
      </c>
      <c r="H22" s="11">
        <f>IF(A22="","",IF(SUM(SKUs!$E$5:$E$304)=0,0,D22/SUM(SKUs!$E$5:$E$304)))</f>
        <v/>
      </c>
      <c r="I22" s="11">
        <f>IF(A22="","",SUM($H$6:H22))</f>
        <v/>
      </c>
      <c r="J22" s="5">
        <f>IF(A22="","",IF(I22&gt;=$B$3,1,0))</f>
        <v/>
      </c>
    </row>
    <row r="23">
      <c r="A23" s="5">
        <f>IF(18&gt;COUNT(SKUs!$I$5:$I$304),"",18)</f>
        <v/>
      </c>
      <c r="B23" s="5">
        <f>IF(A23="","",INDEX(SKUs!$A$5:$A$304,MATCH(A23,SKUs!$I$5:$I$304,0)))</f>
        <v/>
      </c>
      <c r="C23" s="15">
        <f>IF(A23="","",INDEX(SKUs!$B$5:$B$304,MATCH(A23,SKUs!$I$5:$I$304,0)))</f>
        <v/>
      </c>
      <c r="D23" s="10">
        <f>IF(A23="","",INDEX(SKUs!$E$5:$E$304,MATCH(A23,SKUs!$I$5:$I$304,0)))</f>
        <v/>
      </c>
      <c r="E23" s="10">
        <f>IF(A23="","",INDEX(SKUs!$F$5:$F$304,MATCH(A23,SKUs!$I$5:$I$304,0)))</f>
        <v/>
      </c>
      <c r="F23" s="10">
        <f>IF(A23="","",INDEX(SKUs!$G$5:$G$304,MATCH(A23,SKUs!$I$5:$I$304,0)))</f>
        <v/>
      </c>
      <c r="G23" s="11">
        <f>IF(A23="","",INDEX(SKUs!$H$5:$H$304,MATCH(A23,SKUs!$I$5:$I$304,0)))</f>
        <v/>
      </c>
      <c r="H23" s="11">
        <f>IF(A23="","",IF(SUM(SKUs!$E$5:$E$304)=0,0,D23/SUM(SKUs!$E$5:$E$304)))</f>
        <v/>
      </c>
      <c r="I23" s="11">
        <f>IF(A23="","",SUM($H$6:H23))</f>
        <v/>
      </c>
      <c r="J23" s="5">
        <f>IF(A23="","",IF(I23&gt;=$B$3,1,0))</f>
        <v/>
      </c>
    </row>
    <row r="24">
      <c r="A24" s="5">
        <f>IF(19&gt;COUNT(SKUs!$I$5:$I$304),"",19)</f>
        <v/>
      </c>
      <c r="B24" s="5">
        <f>IF(A24="","",INDEX(SKUs!$A$5:$A$304,MATCH(A24,SKUs!$I$5:$I$304,0)))</f>
        <v/>
      </c>
      <c r="C24" s="15">
        <f>IF(A24="","",INDEX(SKUs!$B$5:$B$304,MATCH(A24,SKUs!$I$5:$I$304,0)))</f>
        <v/>
      </c>
      <c r="D24" s="10">
        <f>IF(A24="","",INDEX(SKUs!$E$5:$E$304,MATCH(A24,SKUs!$I$5:$I$304,0)))</f>
        <v/>
      </c>
      <c r="E24" s="10">
        <f>IF(A24="","",INDEX(SKUs!$F$5:$F$304,MATCH(A24,SKUs!$I$5:$I$304,0)))</f>
        <v/>
      </c>
      <c r="F24" s="10">
        <f>IF(A24="","",INDEX(SKUs!$G$5:$G$304,MATCH(A24,SKUs!$I$5:$I$304,0)))</f>
        <v/>
      </c>
      <c r="G24" s="11">
        <f>IF(A24="","",INDEX(SKUs!$H$5:$H$304,MATCH(A24,SKUs!$I$5:$I$304,0)))</f>
        <v/>
      </c>
      <c r="H24" s="11">
        <f>IF(A24="","",IF(SUM(SKUs!$E$5:$E$304)=0,0,D24/SUM(SKUs!$E$5:$E$304)))</f>
        <v/>
      </c>
      <c r="I24" s="11">
        <f>IF(A24="","",SUM($H$6:H24))</f>
        <v/>
      </c>
      <c r="J24" s="5">
        <f>IF(A24="","",IF(I24&gt;=$B$3,1,0))</f>
        <v/>
      </c>
    </row>
    <row r="25">
      <c r="A25" s="5">
        <f>IF(20&gt;COUNT(SKUs!$I$5:$I$304),"",20)</f>
        <v/>
      </c>
      <c r="B25" s="5">
        <f>IF(A25="","",INDEX(SKUs!$A$5:$A$304,MATCH(A25,SKUs!$I$5:$I$304,0)))</f>
        <v/>
      </c>
      <c r="C25" s="15">
        <f>IF(A25="","",INDEX(SKUs!$B$5:$B$304,MATCH(A25,SKUs!$I$5:$I$304,0)))</f>
        <v/>
      </c>
      <c r="D25" s="10">
        <f>IF(A25="","",INDEX(SKUs!$E$5:$E$304,MATCH(A25,SKUs!$I$5:$I$304,0)))</f>
        <v/>
      </c>
      <c r="E25" s="10">
        <f>IF(A25="","",INDEX(SKUs!$F$5:$F$304,MATCH(A25,SKUs!$I$5:$I$304,0)))</f>
        <v/>
      </c>
      <c r="F25" s="10">
        <f>IF(A25="","",INDEX(SKUs!$G$5:$G$304,MATCH(A25,SKUs!$I$5:$I$304,0)))</f>
        <v/>
      </c>
      <c r="G25" s="11">
        <f>IF(A25="","",INDEX(SKUs!$H$5:$H$304,MATCH(A25,SKUs!$I$5:$I$304,0)))</f>
        <v/>
      </c>
      <c r="H25" s="11">
        <f>IF(A25="","",IF(SUM(SKUs!$E$5:$E$304)=0,0,D25/SUM(SKUs!$E$5:$E$304)))</f>
        <v/>
      </c>
      <c r="I25" s="11">
        <f>IF(A25="","",SUM($H$6:H25))</f>
        <v/>
      </c>
      <c r="J25" s="5">
        <f>IF(A25="","",IF(I25&gt;=$B$3,1,0))</f>
        <v/>
      </c>
    </row>
    <row r="26">
      <c r="A26" s="5">
        <f>IF(21&gt;COUNT(SKUs!$I$5:$I$304),"",21)</f>
        <v/>
      </c>
      <c r="B26" s="5">
        <f>IF(A26="","",INDEX(SKUs!$A$5:$A$304,MATCH(A26,SKUs!$I$5:$I$304,0)))</f>
        <v/>
      </c>
      <c r="C26" s="15">
        <f>IF(A26="","",INDEX(SKUs!$B$5:$B$304,MATCH(A26,SKUs!$I$5:$I$304,0)))</f>
        <v/>
      </c>
      <c r="D26" s="10">
        <f>IF(A26="","",INDEX(SKUs!$E$5:$E$304,MATCH(A26,SKUs!$I$5:$I$304,0)))</f>
        <v/>
      </c>
      <c r="E26" s="10">
        <f>IF(A26="","",INDEX(SKUs!$F$5:$F$304,MATCH(A26,SKUs!$I$5:$I$304,0)))</f>
        <v/>
      </c>
      <c r="F26" s="10">
        <f>IF(A26="","",INDEX(SKUs!$G$5:$G$304,MATCH(A26,SKUs!$I$5:$I$304,0)))</f>
        <v/>
      </c>
      <c r="G26" s="11">
        <f>IF(A26="","",INDEX(SKUs!$H$5:$H$304,MATCH(A26,SKUs!$I$5:$I$304,0)))</f>
        <v/>
      </c>
      <c r="H26" s="11">
        <f>IF(A26="","",IF(SUM(SKUs!$E$5:$E$304)=0,0,D26/SUM(SKUs!$E$5:$E$304)))</f>
        <v/>
      </c>
      <c r="I26" s="11">
        <f>IF(A26="","",SUM($H$6:H26))</f>
        <v/>
      </c>
      <c r="J26" s="5">
        <f>IF(A26="","",IF(I26&gt;=$B$3,1,0))</f>
        <v/>
      </c>
    </row>
    <row r="27">
      <c r="A27" s="5">
        <f>IF(22&gt;COUNT(SKUs!$I$5:$I$304),"",22)</f>
        <v/>
      </c>
      <c r="B27" s="5">
        <f>IF(A27="","",INDEX(SKUs!$A$5:$A$304,MATCH(A27,SKUs!$I$5:$I$304,0)))</f>
        <v/>
      </c>
      <c r="C27" s="15">
        <f>IF(A27="","",INDEX(SKUs!$B$5:$B$304,MATCH(A27,SKUs!$I$5:$I$304,0)))</f>
        <v/>
      </c>
      <c r="D27" s="10">
        <f>IF(A27="","",INDEX(SKUs!$E$5:$E$304,MATCH(A27,SKUs!$I$5:$I$304,0)))</f>
        <v/>
      </c>
      <c r="E27" s="10">
        <f>IF(A27="","",INDEX(SKUs!$F$5:$F$304,MATCH(A27,SKUs!$I$5:$I$304,0)))</f>
        <v/>
      </c>
      <c r="F27" s="10">
        <f>IF(A27="","",INDEX(SKUs!$G$5:$G$304,MATCH(A27,SKUs!$I$5:$I$304,0)))</f>
        <v/>
      </c>
      <c r="G27" s="11">
        <f>IF(A27="","",INDEX(SKUs!$H$5:$H$304,MATCH(A27,SKUs!$I$5:$I$304,0)))</f>
        <v/>
      </c>
      <c r="H27" s="11">
        <f>IF(A27="","",IF(SUM(SKUs!$E$5:$E$304)=0,0,D27/SUM(SKUs!$E$5:$E$304)))</f>
        <v/>
      </c>
      <c r="I27" s="11">
        <f>IF(A27="","",SUM($H$6:H27))</f>
        <v/>
      </c>
      <c r="J27" s="5">
        <f>IF(A27="","",IF(I27&gt;=$B$3,1,0))</f>
        <v/>
      </c>
    </row>
    <row r="28">
      <c r="A28" s="5">
        <f>IF(23&gt;COUNT(SKUs!$I$5:$I$304),"",23)</f>
        <v/>
      </c>
      <c r="B28" s="5">
        <f>IF(A28="","",INDEX(SKUs!$A$5:$A$304,MATCH(A28,SKUs!$I$5:$I$304,0)))</f>
        <v/>
      </c>
      <c r="C28" s="15">
        <f>IF(A28="","",INDEX(SKUs!$B$5:$B$304,MATCH(A28,SKUs!$I$5:$I$304,0)))</f>
        <v/>
      </c>
      <c r="D28" s="10">
        <f>IF(A28="","",INDEX(SKUs!$E$5:$E$304,MATCH(A28,SKUs!$I$5:$I$304,0)))</f>
        <v/>
      </c>
      <c r="E28" s="10">
        <f>IF(A28="","",INDEX(SKUs!$F$5:$F$304,MATCH(A28,SKUs!$I$5:$I$304,0)))</f>
        <v/>
      </c>
      <c r="F28" s="10">
        <f>IF(A28="","",INDEX(SKUs!$G$5:$G$304,MATCH(A28,SKUs!$I$5:$I$304,0)))</f>
        <v/>
      </c>
      <c r="G28" s="11">
        <f>IF(A28="","",INDEX(SKUs!$H$5:$H$304,MATCH(A28,SKUs!$I$5:$I$304,0)))</f>
        <v/>
      </c>
      <c r="H28" s="11">
        <f>IF(A28="","",IF(SUM(SKUs!$E$5:$E$304)=0,0,D28/SUM(SKUs!$E$5:$E$304)))</f>
        <v/>
      </c>
      <c r="I28" s="11">
        <f>IF(A28="","",SUM($H$6:H28))</f>
        <v/>
      </c>
      <c r="J28" s="5">
        <f>IF(A28="","",IF(I28&gt;=$B$3,1,0))</f>
        <v/>
      </c>
    </row>
    <row r="29">
      <c r="A29" s="5">
        <f>IF(24&gt;COUNT(SKUs!$I$5:$I$304),"",24)</f>
        <v/>
      </c>
      <c r="B29" s="5">
        <f>IF(A29="","",INDEX(SKUs!$A$5:$A$304,MATCH(A29,SKUs!$I$5:$I$304,0)))</f>
        <v/>
      </c>
      <c r="C29" s="15">
        <f>IF(A29="","",INDEX(SKUs!$B$5:$B$304,MATCH(A29,SKUs!$I$5:$I$304,0)))</f>
        <v/>
      </c>
      <c r="D29" s="10">
        <f>IF(A29="","",INDEX(SKUs!$E$5:$E$304,MATCH(A29,SKUs!$I$5:$I$304,0)))</f>
        <v/>
      </c>
      <c r="E29" s="10">
        <f>IF(A29="","",INDEX(SKUs!$F$5:$F$304,MATCH(A29,SKUs!$I$5:$I$304,0)))</f>
        <v/>
      </c>
      <c r="F29" s="10">
        <f>IF(A29="","",INDEX(SKUs!$G$5:$G$304,MATCH(A29,SKUs!$I$5:$I$304,0)))</f>
        <v/>
      </c>
      <c r="G29" s="11">
        <f>IF(A29="","",INDEX(SKUs!$H$5:$H$304,MATCH(A29,SKUs!$I$5:$I$304,0)))</f>
        <v/>
      </c>
      <c r="H29" s="11">
        <f>IF(A29="","",IF(SUM(SKUs!$E$5:$E$304)=0,0,D29/SUM(SKUs!$E$5:$E$304)))</f>
        <v/>
      </c>
      <c r="I29" s="11">
        <f>IF(A29="","",SUM($H$6:H29))</f>
        <v/>
      </c>
      <c r="J29" s="5">
        <f>IF(A29="","",IF(I29&gt;=$B$3,1,0))</f>
        <v/>
      </c>
    </row>
    <row r="30">
      <c r="A30" s="5">
        <f>IF(25&gt;COUNT(SKUs!$I$5:$I$304),"",25)</f>
        <v/>
      </c>
      <c r="B30" s="5">
        <f>IF(A30="","",INDEX(SKUs!$A$5:$A$304,MATCH(A30,SKUs!$I$5:$I$304,0)))</f>
        <v/>
      </c>
      <c r="C30" s="15">
        <f>IF(A30="","",INDEX(SKUs!$B$5:$B$304,MATCH(A30,SKUs!$I$5:$I$304,0)))</f>
        <v/>
      </c>
      <c r="D30" s="10">
        <f>IF(A30="","",INDEX(SKUs!$E$5:$E$304,MATCH(A30,SKUs!$I$5:$I$304,0)))</f>
        <v/>
      </c>
      <c r="E30" s="10">
        <f>IF(A30="","",INDEX(SKUs!$F$5:$F$304,MATCH(A30,SKUs!$I$5:$I$304,0)))</f>
        <v/>
      </c>
      <c r="F30" s="10">
        <f>IF(A30="","",INDEX(SKUs!$G$5:$G$304,MATCH(A30,SKUs!$I$5:$I$304,0)))</f>
        <v/>
      </c>
      <c r="G30" s="11">
        <f>IF(A30="","",INDEX(SKUs!$H$5:$H$304,MATCH(A30,SKUs!$I$5:$I$304,0)))</f>
        <v/>
      </c>
      <c r="H30" s="11">
        <f>IF(A30="","",IF(SUM(SKUs!$E$5:$E$304)=0,0,D30/SUM(SKUs!$E$5:$E$304)))</f>
        <v/>
      </c>
      <c r="I30" s="11">
        <f>IF(A30="","",SUM($H$6:H30))</f>
        <v/>
      </c>
      <c r="J30" s="5">
        <f>IF(A30="","",IF(I30&gt;=$B$3,1,0))</f>
        <v/>
      </c>
    </row>
    <row r="31">
      <c r="A31" s="5">
        <f>IF(26&gt;COUNT(SKUs!$I$5:$I$304),"",26)</f>
        <v/>
      </c>
      <c r="B31" s="5">
        <f>IF(A31="","",INDEX(SKUs!$A$5:$A$304,MATCH(A31,SKUs!$I$5:$I$304,0)))</f>
        <v/>
      </c>
      <c r="C31" s="15">
        <f>IF(A31="","",INDEX(SKUs!$B$5:$B$304,MATCH(A31,SKUs!$I$5:$I$304,0)))</f>
        <v/>
      </c>
      <c r="D31" s="10">
        <f>IF(A31="","",INDEX(SKUs!$E$5:$E$304,MATCH(A31,SKUs!$I$5:$I$304,0)))</f>
        <v/>
      </c>
      <c r="E31" s="10">
        <f>IF(A31="","",INDEX(SKUs!$F$5:$F$304,MATCH(A31,SKUs!$I$5:$I$304,0)))</f>
        <v/>
      </c>
      <c r="F31" s="10">
        <f>IF(A31="","",INDEX(SKUs!$G$5:$G$304,MATCH(A31,SKUs!$I$5:$I$304,0)))</f>
        <v/>
      </c>
      <c r="G31" s="11">
        <f>IF(A31="","",INDEX(SKUs!$H$5:$H$304,MATCH(A31,SKUs!$I$5:$I$304,0)))</f>
        <v/>
      </c>
      <c r="H31" s="11">
        <f>IF(A31="","",IF(SUM(SKUs!$E$5:$E$304)=0,0,D31/SUM(SKUs!$E$5:$E$304)))</f>
        <v/>
      </c>
      <c r="I31" s="11">
        <f>IF(A31="","",SUM($H$6:H31))</f>
        <v/>
      </c>
      <c r="J31" s="5">
        <f>IF(A31="","",IF(I31&gt;=$B$3,1,0))</f>
        <v/>
      </c>
    </row>
    <row r="32">
      <c r="A32" s="5">
        <f>IF(27&gt;COUNT(SKUs!$I$5:$I$304),"",27)</f>
        <v/>
      </c>
      <c r="B32" s="5">
        <f>IF(A32="","",INDEX(SKUs!$A$5:$A$304,MATCH(A32,SKUs!$I$5:$I$304,0)))</f>
        <v/>
      </c>
      <c r="C32" s="15">
        <f>IF(A32="","",INDEX(SKUs!$B$5:$B$304,MATCH(A32,SKUs!$I$5:$I$304,0)))</f>
        <v/>
      </c>
      <c r="D32" s="10">
        <f>IF(A32="","",INDEX(SKUs!$E$5:$E$304,MATCH(A32,SKUs!$I$5:$I$304,0)))</f>
        <v/>
      </c>
      <c r="E32" s="10">
        <f>IF(A32="","",INDEX(SKUs!$F$5:$F$304,MATCH(A32,SKUs!$I$5:$I$304,0)))</f>
        <v/>
      </c>
      <c r="F32" s="10">
        <f>IF(A32="","",INDEX(SKUs!$G$5:$G$304,MATCH(A32,SKUs!$I$5:$I$304,0)))</f>
        <v/>
      </c>
      <c r="G32" s="11">
        <f>IF(A32="","",INDEX(SKUs!$H$5:$H$304,MATCH(A32,SKUs!$I$5:$I$304,0)))</f>
        <v/>
      </c>
      <c r="H32" s="11">
        <f>IF(A32="","",IF(SUM(SKUs!$E$5:$E$304)=0,0,D32/SUM(SKUs!$E$5:$E$304)))</f>
        <v/>
      </c>
      <c r="I32" s="11">
        <f>IF(A32="","",SUM($H$6:H32))</f>
        <v/>
      </c>
      <c r="J32" s="5">
        <f>IF(A32="","",IF(I32&gt;=$B$3,1,0))</f>
        <v/>
      </c>
    </row>
    <row r="33">
      <c r="A33" s="5">
        <f>IF(28&gt;COUNT(SKUs!$I$5:$I$304),"",28)</f>
        <v/>
      </c>
      <c r="B33" s="5">
        <f>IF(A33="","",INDEX(SKUs!$A$5:$A$304,MATCH(A33,SKUs!$I$5:$I$304,0)))</f>
        <v/>
      </c>
      <c r="C33" s="15">
        <f>IF(A33="","",INDEX(SKUs!$B$5:$B$304,MATCH(A33,SKUs!$I$5:$I$304,0)))</f>
        <v/>
      </c>
      <c r="D33" s="10">
        <f>IF(A33="","",INDEX(SKUs!$E$5:$E$304,MATCH(A33,SKUs!$I$5:$I$304,0)))</f>
        <v/>
      </c>
      <c r="E33" s="10">
        <f>IF(A33="","",INDEX(SKUs!$F$5:$F$304,MATCH(A33,SKUs!$I$5:$I$304,0)))</f>
        <v/>
      </c>
      <c r="F33" s="10">
        <f>IF(A33="","",INDEX(SKUs!$G$5:$G$304,MATCH(A33,SKUs!$I$5:$I$304,0)))</f>
        <v/>
      </c>
      <c r="G33" s="11">
        <f>IF(A33="","",INDEX(SKUs!$H$5:$H$304,MATCH(A33,SKUs!$I$5:$I$304,0)))</f>
        <v/>
      </c>
      <c r="H33" s="11">
        <f>IF(A33="","",IF(SUM(SKUs!$E$5:$E$304)=0,0,D33/SUM(SKUs!$E$5:$E$304)))</f>
        <v/>
      </c>
      <c r="I33" s="11">
        <f>IF(A33="","",SUM($H$6:H33))</f>
        <v/>
      </c>
      <c r="J33" s="5">
        <f>IF(A33="","",IF(I33&gt;=$B$3,1,0))</f>
        <v/>
      </c>
    </row>
    <row r="34">
      <c r="A34" s="5">
        <f>IF(29&gt;COUNT(SKUs!$I$5:$I$304),"",29)</f>
        <v/>
      </c>
      <c r="B34" s="5">
        <f>IF(A34="","",INDEX(SKUs!$A$5:$A$304,MATCH(A34,SKUs!$I$5:$I$304,0)))</f>
        <v/>
      </c>
      <c r="C34" s="15">
        <f>IF(A34="","",INDEX(SKUs!$B$5:$B$304,MATCH(A34,SKUs!$I$5:$I$304,0)))</f>
        <v/>
      </c>
      <c r="D34" s="10">
        <f>IF(A34="","",INDEX(SKUs!$E$5:$E$304,MATCH(A34,SKUs!$I$5:$I$304,0)))</f>
        <v/>
      </c>
      <c r="E34" s="10">
        <f>IF(A34="","",INDEX(SKUs!$F$5:$F$304,MATCH(A34,SKUs!$I$5:$I$304,0)))</f>
        <v/>
      </c>
      <c r="F34" s="10">
        <f>IF(A34="","",INDEX(SKUs!$G$5:$G$304,MATCH(A34,SKUs!$I$5:$I$304,0)))</f>
        <v/>
      </c>
      <c r="G34" s="11">
        <f>IF(A34="","",INDEX(SKUs!$H$5:$H$304,MATCH(A34,SKUs!$I$5:$I$304,0)))</f>
        <v/>
      </c>
      <c r="H34" s="11">
        <f>IF(A34="","",IF(SUM(SKUs!$E$5:$E$304)=0,0,D34/SUM(SKUs!$E$5:$E$304)))</f>
        <v/>
      </c>
      <c r="I34" s="11">
        <f>IF(A34="","",SUM($H$6:H34))</f>
        <v/>
      </c>
      <c r="J34" s="5">
        <f>IF(A34="","",IF(I34&gt;=$B$3,1,0))</f>
        <v/>
      </c>
    </row>
    <row r="35">
      <c r="A35" s="5">
        <f>IF(30&gt;COUNT(SKUs!$I$5:$I$304),"",30)</f>
        <v/>
      </c>
      <c r="B35" s="5">
        <f>IF(A35="","",INDEX(SKUs!$A$5:$A$304,MATCH(A35,SKUs!$I$5:$I$304,0)))</f>
        <v/>
      </c>
      <c r="C35" s="15">
        <f>IF(A35="","",INDEX(SKUs!$B$5:$B$304,MATCH(A35,SKUs!$I$5:$I$304,0)))</f>
        <v/>
      </c>
      <c r="D35" s="10">
        <f>IF(A35="","",INDEX(SKUs!$E$5:$E$304,MATCH(A35,SKUs!$I$5:$I$304,0)))</f>
        <v/>
      </c>
      <c r="E35" s="10">
        <f>IF(A35="","",INDEX(SKUs!$F$5:$F$304,MATCH(A35,SKUs!$I$5:$I$304,0)))</f>
        <v/>
      </c>
      <c r="F35" s="10">
        <f>IF(A35="","",INDEX(SKUs!$G$5:$G$304,MATCH(A35,SKUs!$I$5:$I$304,0)))</f>
        <v/>
      </c>
      <c r="G35" s="11">
        <f>IF(A35="","",INDEX(SKUs!$H$5:$H$304,MATCH(A35,SKUs!$I$5:$I$304,0)))</f>
        <v/>
      </c>
      <c r="H35" s="11">
        <f>IF(A35="","",IF(SUM(SKUs!$E$5:$E$304)=0,0,D35/SUM(SKUs!$E$5:$E$304)))</f>
        <v/>
      </c>
      <c r="I35" s="11">
        <f>IF(A35="","",SUM($H$6:H35))</f>
        <v/>
      </c>
      <c r="J35" s="5">
        <f>IF(A35="","",IF(I35&gt;=$B$3,1,0))</f>
        <v/>
      </c>
    </row>
    <row r="36">
      <c r="A36" s="5">
        <f>IF(31&gt;COUNT(SKUs!$I$5:$I$304),"",31)</f>
        <v/>
      </c>
      <c r="B36" s="5">
        <f>IF(A36="","",INDEX(SKUs!$A$5:$A$304,MATCH(A36,SKUs!$I$5:$I$304,0)))</f>
        <v/>
      </c>
      <c r="C36" s="15">
        <f>IF(A36="","",INDEX(SKUs!$B$5:$B$304,MATCH(A36,SKUs!$I$5:$I$304,0)))</f>
        <v/>
      </c>
      <c r="D36" s="10">
        <f>IF(A36="","",INDEX(SKUs!$E$5:$E$304,MATCH(A36,SKUs!$I$5:$I$304,0)))</f>
        <v/>
      </c>
      <c r="E36" s="10">
        <f>IF(A36="","",INDEX(SKUs!$F$5:$F$304,MATCH(A36,SKUs!$I$5:$I$304,0)))</f>
        <v/>
      </c>
      <c r="F36" s="10">
        <f>IF(A36="","",INDEX(SKUs!$G$5:$G$304,MATCH(A36,SKUs!$I$5:$I$304,0)))</f>
        <v/>
      </c>
      <c r="G36" s="11">
        <f>IF(A36="","",INDEX(SKUs!$H$5:$H$304,MATCH(A36,SKUs!$I$5:$I$304,0)))</f>
        <v/>
      </c>
      <c r="H36" s="11">
        <f>IF(A36="","",IF(SUM(SKUs!$E$5:$E$304)=0,0,D36/SUM(SKUs!$E$5:$E$304)))</f>
        <v/>
      </c>
      <c r="I36" s="11">
        <f>IF(A36="","",SUM($H$6:H36))</f>
        <v/>
      </c>
      <c r="J36" s="5">
        <f>IF(A36="","",IF(I36&gt;=$B$3,1,0))</f>
        <v/>
      </c>
    </row>
    <row r="37">
      <c r="A37" s="5">
        <f>IF(32&gt;COUNT(SKUs!$I$5:$I$304),"",32)</f>
        <v/>
      </c>
      <c r="B37" s="5">
        <f>IF(A37="","",INDEX(SKUs!$A$5:$A$304,MATCH(A37,SKUs!$I$5:$I$304,0)))</f>
        <v/>
      </c>
      <c r="C37" s="15">
        <f>IF(A37="","",INDEX(SKUs!$B$5:$B$304,MATCH(A37,SKUs!$I$5:$I$304,0)))</f>
        <v/>
      </c>
      <c r="D37" s="10">
        <f>IF(A37="","",INDEX(SKUs!$E$5:$E$304,MATCH(A37,SKUs!$I$5:$I$304,0)))</f>
        <v/>
      </c>
      <c r="E37" s="10">
        <f>IF(A37="","",INDEX(SKUs!$F$5:$F$304,MATCH(A37,SKUs!$I$5:$I$304,0)))</f>
        <v/>
      </c>
      <c r="F37" s="10">
        <f>IF(A37="","",INDEX(SKUs!$G$5:$G$304,MATCH(A37,SKUs!$I$5:$I$304,0)))</f>
        <v/>
      </c>
      <c r="G37" s="11">
        <f>IF(A37="","",INDEX(SKUs!$H$5:$H$304,MATCH(A37,SKUs!$I$5:$I$304,0)))</f>
        <v/>
      </c>
      <c r="H37" s="11">
        <f>IF(A37="","",IF(SUM(SKUs!$E$5:$E$304)=0,0,D37/SUM(SKUs!$E$5:$E$304)))</f>
        <v/>
      </c>
      <c r="I37" s="11">
        <f>IF(A37="","",SUM($H$6:H37))</f>
        <v/>
      </c>
      <c r="J37" s="5">
        <f>IF(A37="","",IF(I37&gt;=$B$3,1,0))</f>
        <v/>
      </c>
    </row>
    <row r="38">
      <c r="A38" s="5">
        <f>IF(33&gt;COUNT(SKUs!$I$5:$I$304),"",33)</f>
        <v/>
      </c>
      <c r="B38" s="5">
        <f>IF(A38="","",INDEX(SKUs!$A$5:$A$304,MATCH(A38,SKUs!$I$5:$I$304,0)))</f>
        <v/>
      </c>
      <c r="C38" s="15">
        <f>IF(A38="","",INDEX(SKUs!$B$5:$B$304,MATCH(A38,SKUs!$I$5:$I$304,0)))</f>
        <v/>
      </c>
      <c r="D38" s="10">
        <f>IF(A38="","",INDEX(SKUs!$E$5:$E$304,MATCH(A38,SKUs!$I$5:$I$304,0)))</f>
        <v/>
      </c>
      <c r="E38" s="10">
        <f>IF(A38="","",INDEX(SKUs!$F$5:$F$304,MATCH(A38,SKUs!$I$5:$I$304,0)))</f>
        <v/>
      </c>
      <c r="F38" s="10">
        <f>IF(A38="","",INDEX(SKUs!$G$5:$G$304,MATCH(A38,SKUs!$I$5:$I$304,0)))</f>
        <v/>
      </c>
      <c r="G38" s="11">
        <f>IF(A38="","",INDEX(SKUs!$H$5:$H$304,MATCH(A38,SKUs!$I$5:$I$304,0)))</f>
        <v/>
      </c>
      <c r="H38" s="11">
        <f>IF(A38="","",IF(SUM(SKUs!$E$5:$E$304)=0,0,D38/SUM(SKUs!$E$5:$E$304)))</f>
        <v/>
      </c>
      <c r="I38" s="11">
        <f>IF(A38="","",SUM($H$6:H38))</f>
        <v/>
      </c>
      <c r="J38" s="5">
        <f>IF(A38="","",IF(I38&gt;=$B$3,1,0))</f>
        <v/>
      </c>
    </row>
    <row r="39">
      <c r="A39" s="5">
        <f>IF(34&gt;COUNT(SKUs!$I$5:$I$304),"",34)</f>
        <v/>
      </c>
      <c r="B39" s="5">
        <f>IF(A39="","",INDEX(SKUs!$A$5:$A$304,MATCH(A39,SKUs!$I$5:$I$304,0)))</f>
        <v/>
      </c>
      <c r="C39" s="15">
        <f>IF(A39="","",INDEX(SKUs!$B$5:$B$304,MATCH(A39,SKUs!$I$5:$I$304,0)))</f>
        <v/>
      </c>
      <c r="D39" s="10">
        <f>IF(A39="","",INDEX(SKUs!$E$5:$E$304,MATCH(A39,SKUs!$I$5:$I$304,0)))</f>
        <v/>
      </c>
      <c r="E39" s="10">
        <f>IF(A39="","",INDEX(SKUs!$F$5:$F$304,MATCH(A39,SKUs!$I$5:$I$304,0)))</f>
        <v/>
      </c>
      <c r="F39" s="10">
        <f>IF(A39="","",INDEX(SKUs!$G$5:$G$304,MATCH(A39,SKUs!$I$5:$I$304,0)))</f>
        <v/>
      </c>
      <c r="G39" s="11">
        <f>IF(A39="","",INDEX(SKUs!$H$5:$H$304,MATCH(A39,SKUs!$I$5:$I$304,0)))</f>
        <v/>
      </c>
      <c r="H39" s="11">
        <f>IF(A39="","",IF(SUM(SKUs!$E$5:$E$304)=0,0,D39/SUM(SKUs!$E$5:$E$304)))</f>
        <v/>
      </c>
      <c r="I39" s="11">
        <f>IF(A39="","",SUM($H$6:H39))</f>
        <v/>
      </c>
      <c r="J39" s="5">
        <f>IF(A39="","",IF(I39&gt;=$B$3,1,0))</f>
        <v/>
      </c>
    </row>
    <row r="40">
      <c r="A40" s="5">
        <f>IF(35&gt;COUNT(SKUs!$I$5:$I$304),"",35)</f>
        <v/>
      </c>
      <c r="B40" s="5">
        <f>IF(A40="","",INDEX(SKUs!$A$5:$A$304,MATCH(A40,SKUs!$I$5:$I$304,0)))</f>
        <v/>
      </c>
      <c r="C40" s="15">
        <f>IF(A40="","",INDEX(SKUs!$B$5:$B$304,MATCH(A40,SKUs!$I$5:$I$304,0)))</f>
        <v/>
      </c>
      <c r="D40" s="10">
        <f>IF(A40="","",INDEX(SKUs!$E$5:$E$304,MATCH(A40,SKUs!$I$5:$I$304,0)))</f>
        <v/>
      </c>
      <c r="E40" s="10">
        <f>IF(A40="","",INDEX(SKUs!$F$5:$F$304,MATCH(A40,SKUs!$I$5:$I$304,0)))</f>
        <v/>
      </c>
      <c r="F40" s="10">
        <f>IF(A40="","",INDEX(SKUs!$G$5:$G$304,MATCH(A40,SKUs!$I$5:$I$304,0)))</f>
        <v/>
      </c>
      <c r="G40" s="11">
        <f>IF(A40="","",INDEX(SKUs!$H$5:$H$304,MATCH(A40,SKUs!$I$5:$I$304,0)))</f>
        <v/>
      </c>
      <c r="H40" s="11">
        <f>IF(A40="","",IF(SUM(SKUs!$E$5:$E$304)=0,0,D40/SUM(SKUs!$E$5:$E$304)))</f>
        <v/>
      </c>
      <c r="I40" s="11">
        <f>IF(A40="","",SUM($H$6:H40))</f>
        <v/>
      </c>
      <c r="J40" s="5">
        <f>IF(A40="","",IF(I40&gt;=$B$3,1,0))</f>
        <v/>
      </c>
    </row>
    <row r="41">
      <c r="A41" s="5">
        <f>IF(36&gt;COUNT(SKUs!$I$5:$I$304),"",36)</f>
        <v/>
      </c>
      <c r="B41" s="5">
        <f>IF(A41="","",INDEX(SKUs!$A$5:$A$304,MATCH(A41,SKUs!$I$5:$I$304,0)))</f>
        <v/>
      </c>
      <c r="C41" s="15">
        <f>IF(A41="","",INDEX(SKUs!$B$5:$B$304,MATCH(A41,SKUs!$I$5:$I$304,0)))</f>
        <v/>
      </c>
      <c r="D41" s="10">
        <f>IF(A41="","",INDEX(SKUs!$E$5:$E$304,MATCH(A41,SKUs!$I$5:$I$304,0)))</f>
        <v/>
      </c>
      <c r="E41" s="10">
        <f>IF(A41="","",INDEX(SKUs!$F$5:$F$304,MATCH(A41,SKUs!$I$5:$I$304,0)))</f>
        <v/>
      </c>
      <c r="F41" s="10">
        <f>IF(A41="","",INDEX(SKUs!$G$5:$G$304,MATCH(A41,SKUs!$I$5:$I$304,0)))</f>
        <v/>
      </c>
      <c r="G41" s="11">
        <f>IF(A41="","",INDEX(SKUs!$H$5:$H$304,MATCH(A41,SKUs!$I$5:$I$304,0)))</f>
        <v/>
      </c>
      <c r="H41" s="11">
        <f>IF(A41="","",IF(SUM(SKUs!$E$5:$E$304)=0,0,D41/SUM(SKUs!$E$5:$E$304)))</f>
        <v/>
      </c>
      <c r="I41" s="11">
        <f>IF(A41="","",SUM($H$6:H41))</f>
        <v/>
      </c>
      <c r="J41" s="5">
        <f>IF(A41="","",IF(I41&gt;=$B$3,1,0))</f>
        <v/>
      </c>
    </row>
    <row r="42">
      <c r="A42" s="5">
        <f>IF(37&gt;COUNT(SKUs!$I$5:$I$304),"",37)</f>
        <v/>
      </c>
      <c r="B42" s="5">
        <f>IF(A42="","",INDEX(SKUs!$A$5:$A$304,MATCH(A42,SKUs!$I$5:$I$304,0)))</f>
        <v/>
      </c>
      <c r="C42" s="15">
        <f>IF(A42="","",INDEX(SKUs!$B$5:$B$304,MATCH(A42,SKUs!$I$5:$I$304,0)))</f>
        <v/>
      </c>
      <c r="D42" s="10">
        <f>IF(A42="","",INDEX(SKUs!$E$5:$E$304,MATCH(A42,SKUs!$I$5:$I$304,0)))</f>
        <v/>
      </c>
      <c r="E42" s="10">
        <f>IF(A42="","",INDEX(SKUs!$F$5:$F$304,MATCH(A42,SKUs!$I$5:$I$304,0)))</f>
        <v/>
      </c>
      <c r="F42" s="10">
        <f>IF(A42="","",INDEX(SKUs!$G$5:$G$304,MATCH(A42,SKUs!$I$5:$I$304,0)))</f>
        <v/>
      </c>
      <c r="G42" s="11">
        <f>IF(A42="","",INDEX(SKUs!$H$5:$H$304,MATCH(A42,SKUs!$I$5:$I$304,0)))</f>
        <v/>
      </c>
      <c r="H42" s="11">
        <f>IF(A42="","",IF(SUM(SKUs!$E$5:$E$304)=0,0,D42/SUM(SKUs!$E$5:$E$304)))</f>
        <v/>
      </c>
      <c r="I42" s="11">
        <f>IF(A42="","",SUM($H$6:H42))</f>
        <v/>
      </c>
      <c r="J42" s="5">
        <f>IF(A42="","",IF(I42&gt;=$B$3,1,0))</f>
        <v/>
      </c>
    </row>
    <row r="43">
      <c r="A43" s="5">
        <f>IF(38&gt;COUNT(SKUs!$I$5:$I$304),"",38)</f>
        <v/>
      </c>
      <c r="B43" s="5">
        <f>IF(A43="","",INDEX(SKUs!$A$5:$A$304,MATCH(A43,SKUs!$I$5:$I$304,0)))</f>
        <v/>
      </c>
      <c r="C43" s="15">
        <f>IF(A43="","",INDEX(SKUs!$B$5:$B$304,MATCH(A43,SKUs!$I$5:$I$304,0)))</f>
        <v/>
      </c>
      <c r="D43" s="10">
        <f>IF(A43="","",INDEX(SKUs!$E$5:$E$304,MATCH(A43,SKUs!$I$5:$I$304,0)))</f>
        <v/>
      </c>
      <c r="E43" s="10">
        <f>IF(A43="","",INDEX(SKUs!$F$5:$F$304,MATCH(A43,SKUs!$I$5:$I$304,0)))</f>
        <v/>
      </c>
      <c r="F43" s="10">
        <f>IF(A43="","",INDEX(SKUs!$G$5:$G$304,MATCH(A43,SKUs!$I$5:$I$304,0)))</f>
        <v/>
      </c>
      <c r="G43" s="11">
        <f>IF(A43="","",INDEX(SKUs!$H$5:$H$304,MATCH(A43,SKUs!$I$5:$I$304,0)))</f>
        <v/>
      </c>
      <c r="H43" s="11">
        <f>IF(A43="","",IF(SUM(SKUs!$E$5:$E$304)=0,0,D43/SUM(SKUs!$E$5:$E$304)))</f>
        <v/>
      </c>
      <c r="I43" s="11">
        <f>IF(A43="","",SUM($H$6:H43))</f>
        <v/>
      </c>
      <c r="J43" s="5">
        <f>IF(A43="","",IF(I43&gt;=$B$3,1,0))</f>
        <v/>
      </c>
    </row>
    <row r="44">
      <c r="A44" s="5">
        <f>IF(39&gt;COUNT(SKUs!$I$5:$I$304),"",39)</f>
        <v/>
      </c>
      <c r="B44" s="5">
        <f>IF(A44="","",INDEX(SKUs!$A$5:$A$304,MATCH(A44,SKUs!$I$5:$I$304,0)))</f>
        <v/>
      </c>
      <c r="C44" s="15">
        <f>IF(A44="","",INDEX(SKUs!$B$5:$B$304,MATCH(A44,SKUs!$I$5:$I$304,0)))</f>
        <v/>
      </c>
      <c r="D44" s="10">
        <f>IF(A44="","",INDEX(SKUs!$E$5:$E$304,MATCH(A44,SKUs!$I$5:$I$304,0)))</f>
        <v/>
      </c>
      <c r="E44" s="10">
        <f>IF(A44="","",INDEX(SKUs!$F$5:$F$304,MATCH(A44,SKUs!$I$5:$I$304,0)))</f>
        <v/>
      </c>
      <c r="F44" s="10">
        <f>IF(A44="","",INDEX(SKUs!$G$5:$G$304,MATCH(A44,SKUs!$I$5:$I$304,0)))</f>
        <v/>
      </c>
      <c r="G44" s="11">
        <f>IF(A44="","",INDEX(SKUs!$H$5:$H$304,MATCH(A44,SKUs!$I$5:$I$304,0)))</f>
        <v/>
      </c>
      <c r="H44" s="11">
        <f>IF(A44="","",IF(SUM(SKUs!$E$5:$E$304)=0,0,D44/SUM(SKUs!$E$5:$E$304)))</f>
        <v/>
      </c>
      <c r="I44" s="11">
        <f>IF(A44="","",SUM($H$6:H44))</f>
        <v/>
      </c>
      <c r="J44" s="5">
        <f>IF(A44="","",IF(I44&gt;=$B$3,1,0))</f>
        <v/>
      </c>
    </row>
    <row r="45">
      <c r="A45" s="5">
        <f>IF(40&gt;COUNT(SKUs!$I$5:$I$304),"",40)</f>
        <v/>
      </c>
      <c r="B45" s="5">
        <f>IF(A45="","",INDEX(SKUs!$A$5:$A$304,MATCH(A45,SKUs!$I$5:$I$304,0)))</f>
        <v/>
      </c>
      <c r="C45" s="15">
        <f>IF(A45="","",INDEX(SKUs!$B$5:$B$304,MATCH(A45,SKUs!$I$5:$I$304,0)))</f>
        <v/>
      </c>
      <c r="D45" s="10">
        <f>IF(A45="","",INDEX(SKUs!$E$5:$E$304,MATCH(A45,SKUs!$I$5:$I$304,0)))</f>
        <v/>
      </c>
      <c r="E45" s="10">
        <f>IF(A45="","",INDEX(SKUs!$F$5:$F$304,MATCH(A45,SKUs!$I$5:$I$304,0)))</f>
        <v/>
      </c>
      <c r="F45" s="10">
        <f>IF(A45="","",INDEX(SKUs!$G$5:$G$304,MATCH(A45,SKUs!$I$5:$I$304,0)))</f>
        <v/>
      </c>
      <c r="G45" s="11">
        <f>IF(A45="","",INDEX(SKUs!$H$5:$H$304,MATCH(A45,SKUs!$I$5:$I$304,0)))</f>
        <v/>
      </c>
      <c r="H45" s="11">
        <f>IF(A45="","",IF(SUM(SKUs!$E$5:$E$304)=0,0,D45/SUM(SKUs!$E$5:$E$304)))</f>
        <v/>
      </c>
      <c r="I45" s="11">
        <f>IF(A45="","",SUM($H$6:H45))</f>
        <v/>
      </c>
      <c r="J45" s="5">
        <f>IF(A45="","",IF(I45&gt;=$B$3,1,0))</f>
        <v/>
      </c>
    </row>
    <row r="46">
      <c r="A46" s="5">
        <f>IF(41&gt;COUNT(SKUs!$I$5:$I$304),"",41)</f>
        <v/>
      </c>
      <c r="B46" s="5">
        <f>IF(A46="","",INDEX(SKUs!$A$5:$A$304,MATCH(A46,SKUs!$I$5:$I$304,0)))</f>
        <v/>
      </c>
      <c r="C46" s="15">
        <f>IF(A46="","",INDEX(SKUs!$B$5:$B$304,MATCH(A46,SKUs!$I$5:$I$304,0)))</f>
        <v/>
      </c>
      <c r="D46" s="10">
        <f>IF(A46="","",INDEX(SKUs!$E$5:$E$304,MATCH(A46,SKUs!$I$5:$I$304,0)))</f>
        <v/>
      </c>
      <c r="E46" s="10">
        <f>IF(A46="","",INDEX(SKUs!$F$5:$F$304,MATCH(A46,SKUs!$I$5:$I$304,0)))</f>
        <v/>
      </c>
      <c r="F46" s="10">
        <f>IF(A46="","",INDEX(SKUs!$G$5:$G$304,MATCH(A46,SKUs!$I$5:$I$304,0)))</f>
        <v/>
      </c>
      <c r="G46" s="11">
        <f>IF(A46="","",INDEX(SKUs!$H$5:$H$304,MATCH(A46,SKUs!$I$5:$I$304,0)))</f>
        <v/>
      </c>
      <c r="H46" s="11">
        <f>IF(A46="","",IF(SUM(SKUs!$E$5:$E$304)=0,0,D46/SUM(SKUs!$E$5:$E$304)))</f>
        <v/>
      </c>
      <c r="I46" s="11">
        <f>IF(A46="","",SUM($H$6:H46))</f>
        <v/>
      </c>
      <c r="J46" s="5">
        <f>IF(A46="","",IF(I46&gt;=$B$3,1,0))</f>
        <v/>
      </c>
    </row>
    <row r="47">
      <c r="A47" s="5">
        <f>IF(42&gt;COUNT(SKUs!$I$5:$I$304),"",42)</f>
        <v/>
      </c>
      <c r="B47" s="5">
        <f>IF(A47="","",INDEX(SKUs!$A$5:$A$304,MATCH(A47,SKUs!$I$5:$I$304,0)))</f>
        <v/>
      </c>
      <c r="C47" s="15">
        <f>IF(A47="","",INDEX(SKUs!$B$5:$B$304,MATCH(A47,SKUs!$I$5:$I$304,0)))</f>
        <v/>
      </c>
      <c r="D47" s="10">
        <f>IF(A47="","",INDEX(SKUs!$E$5:$E$304,MATCH(A47,SKUs!$I$5:$I$304,0)))</f>
        <v/>
      </c>
      <c r="E47" s="10">
        <f>IF(A47="","",INDEX(SKUs!$F$5:$F$304,MATCH(A47,SKUs!$I$5:$I$304,0)))</f>
        <v/>
      </c>
      <c r="F47" s="10">
        <f>IF(A47="","",INDEX(SKUs!$G$5:$G$304,MATCH(A47,SKUs!$I$5:$I$304,0)))</f>
        <v/>
      </c>
      <c r="G47" s="11">
        <f>IF(A47="","",INDEX(SKUs!$H$5:$H$304,MATCH(A47,SKUs!$I$5:$I$304,0)))</f>
        <v/>
      </c>
      <c r="H47" s="11">
        <f>IF(A47="","",IF(SUM(SKUs!$E$5:$E$304)=0,0,D47/SUM(SKUs!$E$5:$E$304)))</f>
        <v/>
      </c>
      <c r="I47" s="11">
        <f>IF(A47="","",SUM($H$6:H47))</f>
        <v/>
      </c>
      <c r="J47" s="5">
        <f>IF(A47="","",IF(I47&gt;=$B$3,1,0))</f>
        <v/>
      </c>
    </row>
    <row r="48">
      <c r="A48" s="5">
        <f>IF(43&gt;COUNT(SKUs!$I$5:$I$304),"",43)</f>
        <v/>
      </c>
      <c r="B48" s="5">
        <f>IF(A48="","",INDEX(SKUs!$A$5:$A$304,MATCH(A48,SKUs!$I$5:$I$304,0)))</f>
        <v/>
      </c>
      <c r="C48" s="15">
        <f>IF(A48="","",INDEX(SKUs!$B$5:$B$304,MATCH(A48,SKUs!$I$5:$I$304,0)))</f>
        <v/>
      </c>
      <c r="D48" s="10">
        <f>IF(A48="","",INDEX(SKUs!$E$5:$E$304,MATCH(A48,SKUs!$I$5:$I$304,0)))</f>
        <v/>
      </c>
      <c r="E48" s="10">
        <f>IF(A48="","",INDEX(SKUs!$F$5:$F$304,MATCH(A48,SKUs!$I$5:$I$304,0)))</f>
        <v/>
      </c>
      <c r="F48" s="10">
        <f>IF(A48="","",INDEX(SKUs!$G$5:$G$304,MATCH(A48,SKUs!$I$5:$I$304,0)))</f>
        <v/>
      </c>
      <c r="G48" s="11">
        <f>IF(A48="","",INDEX(SKUs!$H$5:$H$304,MATCH(A48,SKUs!$I$5:$I$304,0)))</f>
        <v/>
      </c>
      <c r="H48" s="11">
        <f>IF(A48="","",IF(SUM(SKUs!$E$5:$E$304)=0,0,D48/SUM(SKUs!$E$5:$E$304)))</f>
        <v/>
      </c>
      <c r="I48" s="11">
        <f>IF(A48="","",SUM($H$6:H48))</f>
        <v/>
      </c>
      <c r="J48" s="5">
        <f>IF(A48="","",IF(I48&gt;=$B$3,1,0))</f>
        <v/>
      </c>
    </row>
    <row r="49">
      <c r="A49" s="5">
        <f>IF(44&gt;COUNT(SKUs!$I$5:$I$304),"",44)</f>
        <v/>
      </c>
      <c r="B49" s="5">
        <f>IF(A49="","",INDEX(SKUs!$A$5:$A$304,MATCH(A49,SKUs!$I$5:$I$304,0)))</f>
        <v/>
      </c>
      <c r="C49" s="15">
        <f>IF(A49="","",INDEX(SKUs!$B$5:$B$304,MATCH(A49,SKUs!$I$5:$I$304,0)))</f>
        <v/>
      </c>
      <c r="D49" s="10">
        <f>IF(A49="","",INDEX(SKUs!$E$5:$E$304,MATCH(A49,SKUs!$I$5:$I$304,0)))</f>
        <v/>
      </c>
      <c r="E49" s="10">
        <f>IF(A49="","",INDEX(SKUs!$F$5:$F$304,MATCH(A49,SKUs!$I$5:$I$304,0)))</f>
        <v/>
      </c>
      <c r="F49" s="10">
        <f>IF(A49="","",INDEX(SKUs!$G$5:$G$304,MATCH(A49,SKUs!$I$5:$I$304,0)))</f>
        <v/>
      </c>
      <c r="G49" s="11">
        <f>IF(A49="","",INDEX(SKUs!$H$5:$H$304,MATCH(A49,SKUs!$I$5:$I$304,0)))</f>
        <v/>
      </c>
      <c r="H49" s="11">
        <f>IF(A49="","",IF(SUM(SKUs!$E$5:$E$304)=0,0,D49/SUM(SKUs!$E$5:$E$304)))</f>
        <v/>
      </c>
      <c r="I49" s="11">
        <f>IF(A49="","",SUM($H$6:H49))</f>
        <v/>
      </c>
      <c r="J49" s="5">
        <f>IF(A49="","",IF(I49&gt;=$B$3,1,0))</f>
        <v/>
      </c>
    </row>
    <row r="50">
      <c r="A50" s="5">
        <f>IF(45&gt;COUNT(SKUs!$I$5:$I$304),"",45)</f>
        <v/>
      </c>
      <c r="B50" s="5">
        <f>IF(A50="","",INDEX(SKUs!$A$5:$A$304,MATCH(A50,SKUs!$I$5:$I$304,0)))</f>
        <v/>
      </c>
      <c r="C50" s="15">
        <f>IF(A50="","",INDEX(SKUs!$B$5:$B$304,MATCH(A50,SKUs!$I$5:$I$304,0)))</f>
        <v/>
      </c>
      <c r="D50" s="10">
        <f>IF(A50="","",INDEX(SKUs!$E$5:$E$304,MATCH(A50,SKUs!$I$5:$I$304,0)))</f>
        <v/>
      </c>
      <c r="E50" s="10">
        <f>IF(A50="","",INDEX(SKUs!$F$5:$F$304,MATCH(A50,SKUs!$I$5:$I$304,0)))</f>
        <v/>
      </c>
      <c r="F50" s="10">
        <f>IF(A50="","",INDEX(SKUs!$G$5:$G$304,MATCH(A50,SKUs!$I$5:$I$304,0)))</f>
        <v/>
      </c>
      <c r="G50" s="11">
        <f>IF(A50="","",INDEX(SKUs!$H$5:$H$304,MATCH(A50,SKUs!$I$5:$I$304,0)))</f>
        <v/>
      </c>
      <c r="H50" s="11">
        <f>IF(A50="","",IF(SUM(SKUs!$E$5:$E$304)=0,0,D50/SUM(SKUs!$E$5:$E$304)))</f>
        <v/>
      </c>
      <c r="I50" s="11">
        <f>IF(A50="","",SUM($H$6:H50))</f>
        <v/>
      </c>
      <c r="J50" s="5">
        <f>IF(A50="","",IF(I50&gt;=$B$3,1,0))</f>
        <v/>
      </c>
    </row>
    <row r="51">
      <c r="A51" s="5">
        <f>IF(46&gt;COUNT(SKUs!$I$5:$I$304),"",46)</f>
        <v/>
      </c>
      <c r="B51" s="5">
        <f>IF(A51="","",INDEX(SKUs!$A$5:$A$304,MATCH(A51,SKUs!$I$5:$I$304,0)))</f>
        <v/>
      </c>
      <c r="C51" s="15">
        <f>IF(A51="","",INDEX(SKUs!$B$5:$B$304,MATCH(A51,SKUs!$I$5:$I$304,0)))</f>
        <v/>
      </c>
      <c r="D51" s="10">
        <f>IF(A51="","",INDEX(SKUs!$E$5:$E$304,MATCH(A51,SKUs!$I$5:$I$304,0)))</f>
        <v/>
      </c>
      <c r="E51" s="10">
        <f>IF(A51="","",INDEX(SKUs!$F$5:$F$304,MATCH(A51,SKUs!$I$5:$I$304,0)))</f>
        <v/>
      </c>
      <c r="F51" s="10">
        <f>IF(A51="","",INDEX(SKUs!$G$5:$G$304,MATCH(A51,SKUs!$I$5:$I$304,0)))</f>
        <v/>
      </c>
      <c r="G51" s="11">
        <f>IF(A51="","",INDEX(SKUs!$H$5:$H$304,MATCH(A51,SKUs!$I$5:$I$304,0)))</f>
        <v/>
      </c>
      <c r="H51" s="11">
        <f>IF(A51="","",IF(SUM(SKUs!$E$5:$E$304)=0,0,D51/SUM(SKUs!$E$5:$E$304)))</f>
        <v/>
      </c>
      <c r="I51" s="11">
        <f>IF(A51="","",SUM($H$6:H51))</f>
        <v/>
      </c>
      <c r="J51" s="5">
        <f>IF(A51="","",IF(I51&gt;=$B$3,1,0))</f>
        <v/>
      </c>
    </row>
    <row r="52">
      <c r="A52" s="5">
        <f>IF(47&gt;COUNT(SKUs!$I$5:$I$304),"",47)</f>
        <v/>
      </c>
      <c r="B52" s="5">
        <f>IF(A52="","",INDEX(SKUs!$A$5:$A$304,MATCH(A52,SKUs!$I$5:$I$304,0)))</f>
        <v/>
      </c>
      <c r="C52" s="15">
        <f>IF(A52="","",INDEX(SKUs!$B$5:$B$304,MATCH(A52,SKUs!$I$5:$I$304,0)))</f>
        <v/>
      </c>
      <c r="D52" s="10">
        <f>IF(A52="","",INDEX(SKUs!$E$5:$E$304,MATCH(A52,SKUs!$I$5:$I$304,0)))</f>
        <v/>
      </c>
      <c r="E52" s="10">
        <f>IF(A52="","",INDEX(SKUs!$F$5:$F$304,MATCH(A52,SKUs!$I$5:$I$304,0)))</f>
        <v/>
      </c>
      <c r="F52" s="10">
        <f>IF(A52="","",INDEX(SKUs!$G$5:$G$304,MATCH(A52,SKUs!$I$5:$I$304,0)))</f>
        <v/>
      </c>
      <c r="G52" s="11">
        <f>IF(A52="","",INDEX(SKUs!$H$5:$H$304,MATCH(A52,SKUs!$I$5:$I$304,0)))</f>
        <v/>
      </c>
      <c r="H52" s="11">
        <f>IF(A52="","",IF(SUM(SKUs!$E$5:$E$304)=0,0,D52/SUM(SKUs!$E$5:$E$304)))</f>
        <v/>
      </c>
      <c r="I52" s="11">
        <f>IF(A52="","",SUM($H$6:H52))</f>
        <v/>
      </c>
      <c r="J52" s="5">
        <f>IF(A52="","",IF(I52&gt;=$B$3,1,0))</f>
        <v/>
      </c>
    </row>
    <row r="53">
      <c r="A53" s="5">
        <f>IF(48&gt;COUNT(SKUs!$I$5:$I$304),"",48)</f>
        <v/>
      </c>
      <c r="B53" s="5">
        <f>IF(A53="","",INDEX(SKUs!$A$5:$A$304,MATCH(A53,SKUs!$I$5:$I$304,0)))</f>
        <v/>
      </c>
      <c r="C53" s="15">
        <f>IF(A53="","",INDEX(SKUs!$B$5:$B$304,MATCH(A53,SKUs!$I$5:$I$304,0)))</f>
        <v/>
      </c>
      <c r="D53" s="10">
        <f>IF(A53="","",INDEX(SKUs!$E$5:$E$304,MATCH(A53,SKUs!$I$5:$I$304,0)))</f>
        <v/>
      </c>
      <c r="E53" s="10">
        <f>IF(A53="","",INDEX(SKUs!$F$5:$F$304,MATCH(A53,SKUs!$I$5:$I$304,0)))</f>
        <v/>
      </c>
      <c r="F53" s="10">
        <f>IF(A53="","",INDEX(SKUs!$G$5:$G$304,MATCH(A53,SKUs!$I$5:$I$304,0)))</f>
        <v/>
      </c>
      <c r="G53" s="11">
        <f>IF(A53="","",INDEX(SKUs!$H$5:$H$304,MATCH(A53,SKUs!$I$5:$I$304,0)))</f>
        <v/>
      </c>
      <c r="H53" s="11">
        <f>IF(A53="","",IF(SUM(SKUs!$E$5:$E$304)=0,0,D53/SUM(SKUs!$E$5:$E$304)))</f>
        <v/>
      </c>
      <c r="I53" s="11">
        <f>IF(A53="","",SUM($H$6:H53))</f>
        <v/>
      </c>
      <c r="J53" s="5">
        <f>IF(A53="","",IF(I53&gt;=$B$3,1,0))</f>
        <v/>
      </c>
    </row>
    <row r="54">
      <c r="A54" s="5">
        <f>IF(49&gt;COUNT(SKUs!$I$5:$I$304),"",49)</f>
        <v/>
      </c>
      <c r="B54" s="5">
        <f>IF(A54="","",INDEX(SKUs!$A$5:$A$304,MATCH(A54,SKUs!$I$5:$I$304,0)))</f>
        <v/>
      </c>
      <c r="C54" s="15">
        <f>IF(A54="","",INDEX(SKUs!$B$5:$B$304,MATCH(A54,SKUs!$I$5:$I$304,0)))</f>
        <v/>
      </c>
      <c r="D54" s="10">
        <f>IF(A54="","",INDEX(SKUs!$E$5:$E$304,MATCH(A54,SKUs!$I$5:$I$304,0)))</f>
        <v/>
      </c>
      <c r="E54" s="10">
        <f>IF(A54="","",INDEX(SKUs!$F$5:$F$304,MATCH(A54,SKUs!$I$5:$I$304,0)))</f>
        <v/>
      </c>
      <c r="F54" s="10">
        <f>IF(A54="","",INDEX(SKUs!$G$5:$G$304,MATCH(A54,SKUs!$I$5:$I$304,0)))</f>
        <v/>
      </c>
      <c r="G54" s="11">
        <f>IF(A54="","",INDEX(SKUs!$H$5:$H$304,MATCH(A54,SKUs!$I$5:$I$304,0)))</f>
        <v/>
      </c>
      <c r="H54" s="11">
        <f>IF(A54="","",IF(SUM(SKUs!$E$5:$E$304)=0,0,D54/SUM(SKUs!$E$5:$E$304)))</f>
        <v/>
      </c>
      <c r="I54" s="11">
        <f>IF(A54="","",SUM($H$6:H54))</f>
        <v/>
      </c>
      <c r="J54" s="5">
        <f>IF(A54="","",IF(I54&gt;=$B$3,1,0))</f>
        <v/>
      </c>
    </row>
    <row r="55">
      <c r="A55" s="5">
        <f>IF(50&gt;COUNT(SKUs!$I$5:$I$304),"",50)</f>
        <v/>
      </c>
      <c r="B55" s="5">
        <f>IF(A55="","",INDEX(SKUs!$A$5:$A$304,MATCH(A55,SKUs!$I$5:$I$304,0)))</f>
        <v/>
      </c>
      <c r="C55" s="15">
        <f>IF(A55="","",INDEX(SKUs!$B$5:$B$304,MATCH(A55,SKUs!$I$5:$I$304,0)))</f>
        <v/>
      </c>
      <c r="D55" s="10">
        <f>IF(A55="","",INDEX(SKUs!$E$5:$E$304,MATCH(A55,SKUs!$I$5:$I$304,0)))</f>
        <v/>
      </c>
      <c r="E55" s="10">
        <f>IF(A55="","",INDEX(SKUs!$F$5:$F$304,MATCH(A55,SKUs!$I$5:$I$304,0)))</f>
        <v/>
      </c>
      <c r="F55" s="10">
        <f>IF(A55="","",INDEX(SKUs!$G$5:$G$304,MATCH(A55,SKUs!$I$5:$I$304,0)))</f>
        <v/>
      </c>
      <c r="G55" s="11">
        <f>IF(A55="","",INDEX(SKUs!$H$5:$H$304,MATCH(A55,SKUs!$I$5:$I$304,0)))</f>
        <v/>
      </c>
      <c r="H55" s="11">
        <f>IF(A55="","",IF(SUM(SKUs!$E$5:$E$304)=0,0,D55/SUM(SKUs!$E$5:$E$304)))</f>
        <v/>
      </c>
      <c r="I55" s="11">
        <f>IF(A55="","",SUM($H$6:H55))</f>
        <v/>
      </c>
      <c r="J55" s="5">
        <f>IF(A55="","",IF(I55&gt;=$B$3,1,0))</f>
        <v/>
      </c>
    </row>
    <row r="56">
      <c r="A56" s="5">
        <f>IF(51&gt;COUNT(SKUs!$I$5:$I$304),"",51)</f>
        <v/>
      </c>
      <c r="B56" s="5">
        <f>IF(A56="","",INDEX(SKUs!$A$5:$A$304,MATCH(A56,SKUs!$I$5:$I$304,0)))</f>
        <v/>
      </c>
      <c r="C56" s="15">
        <f>IF(A56="","",INDEX(SKUs!$B$5:$B$304,MATCH(A56,SKUs!$I$5:$I$304,0)))</f>
        <v/>
      </c>
      <c r="D56" s="10">
        <f>IF(A56="","",INDEX(SKUs!$E$5:$E$304,MATCH(A56,SKUs!$I$5:$I$304,0)))</f>
        <v/>
      </c>
      <c r="E56" s="10">
        <f>IF(A56="","",INDEX(SKUs!$F$5:$F$304,MATCH(A56,SKUs!$I$5:$I$304,0)))</f>
        <v/>
      </c>
      <c r="F56" s="10">
        <f>IF(A56="","",INDEX(SKUs!$G$5:$G$304,MATCH(A56,SKUs!$I$5:$I$304,0)))</f>
        <v/>
      </c>
      <c r="G56" s="11">
        <f>IF(A56="","",INDEX(SKUs!$H$5:$H$304,MATCH(A56,SKUs!$I$5:$I$304,0)))</f>
        <v/>
      </c>
      <c r="H56" s="11">
        <f>IF(A56="","",IF(SUM(SKUs!$E$5:$E$304)=0,0,D56/SUM(SKUs!$E$5:$E$304)))</f>
        <v/>
      </c>
      <c r="I56" s="11">
        <f>IF(A56="","",SUM($H$6:H56))</f>
        <v/>
      </c>
      <c r="J56" s="5">
        <f>IF(A56="","",IF(I56&gt;=$B$3,1,0))</f>
        <v/>
      </c>
    </row>
    <row r="57">
      <c r="A57" s="5">
        <f>IF(52&gt;COUNT(SKUs!$I$5:$I$304),"",52)</f>
        <v/>
      </c>
      <c r="B57" s="5">
        <f>IF(A57="","",INDEX(SKUs!$A$5:$A$304,MATCH(A57,SKUs!$I$5:$I$304,0)))</f>
        <v/>
      </c>
      <c r="C57" s="15">
        <f>IF(A57="","",INDEX(SKUs!$B$5:$B$304,MATCH(A57,SKUs!$I$5:$I$304,0)))</f>
        <v/>
      </c>
      <c r="D57" s="10">
        <f>IF(A57="","",INDEX(SKUs!$E$5:$E$304,MATCH(A57,SKUs!$I$5:$I$304,0)))</f>
        <v/>
      </c>
      <c r="E57" s="10">
        <f>IF(A57="","",INDEX(SKUs!$F$5:$F$304,MATCH(A57,SKUs!$I$5:$I$304,0)))</f>
        <v/>
      </c>
      <c r="F57" s="10">
        <f>IF(A57="","",INDEX(SKUs!$G$5:$G$304,MATCH(A57,SKUs!$I$5:$I$304,0)))</f>
        <v/>
      </c>
      <c r="G57" s="11">
        <f>IF(A57="","",INDEX(SKUs!$H$5:$H$304,MATCH(A57,SKUs!$I$5:$I$304,0)))</f>
        <v/>
      </c>
      <c r="H57" s="11">
        <f>IF(A57="","",IF(SUM(SKUs!$E$5:$E$304)=0,0,D57/SUM(SKUs!$E$5:$E$304)))</f>
        <v/>
      </c>
      <c r="I57" s="11">
        <f>IF(A57="","",SUM($H$6:H57))</f>
        <v/>
      </c>
      <c r="J57" s="5">
        <f>IF(A57="","",IF(I57&gt;=$B$3,1,0))</f>
        <v/>
      </c>
    </row>
    <row r="58">
      <c r="A58" s="5">
        <f>IF(53&gt;COUNT(SKUs!$I$5:$I$304),"",53)</f>
        <v/>
      </c>
      <c r="B58" s="5">
        <f>IF(A58="","",INDEX(SKUs!$A$5:$A$304,MATCH(A58,SKUs!$I$5:$I$304,0)))</f>
        <v/>
      </c>
      <c r="C58" s="15">
        <f>IF(A58="","",INDEX(SKUs!$B$5:$B$304,MATCH(A58,SKUs!$I$5:$I$304,0)))</f>
        <v/>
      </c>
      <c r="D58" s="10">
        <f>IF(A58="","",INDEX(SKUs!$E$5:$E$304,MATCH(A58,SKUs!$I$5:$I$304,0)))</f>
        <v/>
      </c>
      <c r="E58" s="10">
        <f>IF(A58="","",INDEX(SKUs!$F$5:$F$304,MATCH(A58,SKUs!$I$5:$I$304,0)))</f>
        <v/>
      </c>
      <c r="F58" s="10">
        <f>IF(A58="","",INDEX(SKUs!$G$5:$G$304,MATCH(A58,SKUs!$I$5:$I$304,0)))</f>
        <v/>
      </c>
      <c r="G58" s="11">
        <f>IF(A58="","",INDEX(SKUs!$H$5:$H$304,MATCH(A58,SKUs!$I$5:$I$304,0)))</f>
        <v/>
      </c>
      <c r="H58" s="11">
        <f>IF(A58="","",IF(SUM(SKUs!$E$5:$E$304)=0,0,D58/SUM(SKUs!$E$5:$E$304)))</f>
        <v/>
      </c>
      <c r="I58" s="11">
        <f>IF(A58="","",SUM($H$6:H58))</f>
        <v/>
      </c>
      <c r="J58" s="5">
        <f>IF(A58="","",IF(I58&gt;=$B$3,1,0))</f>
        <v/>
      </c>
    </row>
    <row r="59">
      <c r="A59" s="5">
        <f>IF(54&gt;COUNT(SKUs!$I$5:$I$304),"",54)</f>
        <v/>
      </c>
      <c r="B59" s="5">
        <f>IF(A59="","",INDEX(SKUs!$A$5:$A$304,MATCH(A59,SKUs!$I$5:$I$304,0)))</f>
        <v/>
      </c>
      <c r="C59" s="15">
        <f>IF(A59="","",INDEX(SKUs!$B$5:$B$304,MATCH(A59,SKUs!$I$5:$I$304,0)))</f>
        <v/>
      </c>
      <c r="D59" s="10">
        <f>IF(A59="","",INDEX(SKUs!$E$5:$E$304,MATCH(A59,SKUs!$I$5:$I$304,0)))</f>
        <v/>
      </c>
      <c r="E59" s="10">
        <f>IF(A59="","",INDEX(SKUs!$F$5:$F$304,MATCH(A59,SKUs!$I$5:$I$304,0)))</f>
        <v/>
      </c>
      <c r="F59" s="10">
        <f>IF(A59="","",INDEX(SKUs!$G$5:$G$304,MATCH(A59,SKUs!$I$5:$I$304,0)))</f>
        <v/>
      </c>
      <c r="G59" s="11">
        <f>IF(A59="","",INDEX(SKUs!$H$5:$H$304,MATCH(A59,SKUs!$I$5:$I$304,0)))</f>
        <v/>
      </c>
      <c r="H59" s="11">
        <f>IF(A59="","",IF(SUM(SKUs!$E$5:$E$304)=0,0,D59/SUM(SKUs!$E$5:$E$304)))</f>
        <v/>
      </c>
      <c r="I59" s="11">
        <f>IF(A59="","",SUM($H$6:H59))</f>
        <v/>
      </c>
      <c r="J59" s="5">
        <f>IF(A59="","",IF(I59&gt;=$B$3,1,0))</f>
        <v/>
      </c>
    </row>
    <row r="60">
      <c r="A60" s="5">
        <f>IF(55&gt;COUNT(SKUs!$I$5:$I$304),"",55)</f>
        <v/>
      </c>
      <c r="B60" s="5">
        <f>IF(A60="","",INDEX(SKUs!$A$5:$A$304,MATCH(A60,SKUs!$I$5:$I$304,0)))</f>
        <v/>
      </c>
      <c r="C60" s="15">
        <f>IF(A60="","",INDEX(SKUs!$B$5:$B$304,MATCH(A60,SKUs!$I$5:$I$304,0)))</f>
        <v/>
      </c>
      <c r="D60" s="10">
        <f>IF(A60="","",INDEX(SKUs!$E$5:$E$304,MATCH(A60,SKUs!$I$5:$I$304,0)))</f>
        <v/>
      </c>
      <c r="E60" s="10">
        <f>IF(A60="","",INDEX(SKUs!$F$5:$F$304,MATCH(A60,SKUs!$I$5:$I$304,0)))</f>
        <v/>
      </c>
      <c r="F60" s="10">
        <f>IF(A60="","",INDEX(SKUs!$G$5:$G$304,MATCH(A60,SKUs!$I$5:$I$304,0)))</f>
        <v/>
      </c>
      <c r="G60" s="11">
        <f>IF(A60="","",INDEX(SKUs!$H$5:$H$304,MATCH(A60,SKUs!$I$5:$I$304,0)))</f>
        <v/>
      </c>
      <c r="H60" s="11">
        <f>IF(A60="","",IF(SUM(SKUs!$E$5:$E$304)=0,0,D60/SUM(SKUs!$E$5:$E$304)))</f>
        <v/>
      </c>
      <c r="I60" s="11">
        <f>IF(A60="","",SUM($H$6:H60))</f>
        <v/>
      </c>
      <c r="J60" s="5">
        <f>IF(A60="","",IF(I60&gt;=$B$3,1,0))</f>
        <v/>
      </c>
    </row>
    <row r="61">
      <c r="A61" s="5">
        <f>IF(56&gt;COUNT(SKUs!$I$5:$I$304),"",56)</f>
        <v/>
      </c>
      <c r="B61" s="5">
        <f>IF(A61="","",INDEX(SKUs!$A$5:$A$304,MATCH(A61,SKUs!$I$5:$I$304,0)))</f>
        <v/>
      </c>
      <c r="C61" s="15">
        <f>IF(A61="","",INDEX(SKUs!$B$5:$B$304,MATCH(A61,SKUs!$I$5:$I$304,0)))</f>
        <v/>
      </c>
      <c r="D61" s="10">
        <f>IF(A61="","",INDEX(SKUs!$E$5:$E$304,MATCH(A61,SKUs!$I$5:$I$304,0)))</f>
        <v/>
      </c>
      <c r="E61" s="10">
        <f>IF(A61="","",INDEX(SKUs!$F$5:$F$304,MATCH(A61,SKUs!$I$5:$I$304,0)))</f>
        <v/>
      </c>
      <c r="F61" s="10">
        <f>IF(A61="","",INDEX(SKUs!$G$5:$G$304,MATCH(A61,SKUs!$I$5:$I$304,0)))</f>
        <v/>
      </c>
      <c r="G61" s="11">
        <f>IF(A61="","",INDEX(SKUs!$H$5:$H$304,MATCH(A61,SKUs!$I$5:$I$304,0)))</f>
        <v/>
      </c>
      <c r="H61" s="11">
        <f>IF(A61="","",IF(SUM(SKUs!$E$5:$E$304)=0,0,D61/SUM(SKUs!$E$5:$E$304)))</f>
        <v/>
      </c>
      <c r="I61" s="11">
        <f>IF(A61="","",SUM($H$6:H61))</f>
        <v/>
      </c>
      <c r="J61" s="5">
        <f>IF(A61="","",IF(I61&gt;=$B$3,1,0))</f>
        <v/>
      </c>
    </row>
    <row r="62">
      <c r="A62" s="5">
        <f>IF(57&gt;COUNT(SKUs!$I$5:$I$304),"",57)</f>
        <v/>
      </c>
      <c r="B62" s="5">
        <f>IF(A62="","",INDEX(SKUs!$A$5:$A$304,MATCH(A62,SKUs!$I$5:$I$304,0)))</f>
        <v/>
      </c>
      <c r="C62" s="15">
        <f>IF(A62="","",INDEX(SKUs!$B$5:$B$304,MATCH(A62,SKUs!$I$5:$I$304,0)))</f>
        <v/>
      </c>
      <c r="D62" s="10">
        <f>IF(A62="","",INDEX(SKUs!$E$5:$E$304,MATCH(A62,SKUs!$I$5:$I$304,0)))</f>
        <v/>
      </c>
      <c r="E62" s="10">
        <f>IF(A62="","",INDEX(SKUs!$F$5:$F$304,MATCH(A62,SKUs!$I$5:$I$304,0)))</f>
        <v/>
      </c>
      <c r="F62" s="10">
        <f>IF(A62="","",INDEX(SKUs!$G$5:$G$304,MATCH(A62,SKUs!$I$5:$I$304,0)))</f>
        <v/>
      </c>
      <c r="G62" s="11">
        <f>IF(A62="","",INDEX(SKUs!$H$5:$H$304,MATCH(A62,SKUs!$I$5:$I$304,0)))</f>
        <v/>
      </c>
      <c r="H62" s="11">
        <f>IF(A62="","",IF(SUM(SKUs!$E$5:$E$304)=0,0,D62/SUM(SKUs!$E$5:$E$304)))</f>
        <v/>
      </c>
      <c r="I62" s="11">
        <f>IF(A62="","",SUM($H$6:H62))</f>
        <v/>
      </c>
      <c r="J62" s="5">
        <f>IF(A62="","",IF(I62&gt;=$B$3,1,0))</f>
        <v/>
      </c>
    </row>
    <row r="63">
      <c r="A63" s="5">
        <f>IF(58&gt;COUNT(SKUs!$I$5:$I$304),"",58)</f>
        <v/>
      </c>
      <c r="B63" s="5">
        <f>IF(A63="","",INDEX(SKUs!$A$5:$A$304,MATCH(A63,SKUs!$I$5:$I$304,0)))</f>
        <v/>
      </c>
      <c r="C63" s="15">
        <f>IF(A63="","",INDEX(SKUs!$B$5:$B$304,MATCH(A63,SKUs!$I$5:$I$304,0)))</f>
        <v/>
      </c>
      <c r="D63" s="10">
        <f>IF(A63="","",INDEX(SKUs!$E$5:$E$304,MATCH(A63,SKUs!$I$5:$I$304,0)))</f>
        <v/>
      </c>
      <c r="E63" s="10">
        <f>IF(A63="","",INDEX(SKUs!$F$5:$F$304,MATCH(A63,SKUs!$I$5:$I$304,0)))</f>
        <v/>
      </c>
      <c r="F63" s="10">
        <f>IF(A63="","",INDEX(SKUs!$G$5:$G$304,MATCH(A63,SKUs!$I$5:$I$304,0)))</f>
        <v/>
      </c>
      <c r="G63" s="11">
        <f>IF(A63="","",INDEX(SKUs!$H$5:$H$304,MATCH(A63,SKUs!$I$5:$I$304,0)))</f>
        <v/>
      </c>
      <c r="H63" s="11">
        <f>IF(A63="","",IF(SUM(SKUs!$E$5:$E$304)=0,0,D63/SUM(SKUs!$E$5:$E$304)))</f>
        <v/>
      </c>
      <c r="I63" s="11">
        <f>IF(A63="","",SUM($H$6:H63))</f>
        <v/>
      </c>
      <c r="J63" s="5">
        <f>IF(A63="","",IF(I63&gt;=$B$3,1,0))</f>
        <v/>
      </c>
    </row>
    <row r="64">
      <c r="A64" s="5">
        <f>IF(59&gt;COUNT(SKUs!$I$5:$I$304),"",59)</f>
        <v/>
      </c>
      <c r="B64" s="5">
        <f>IF(A64="","",INDEX(SKUs!$A$5:$A$304,MATCH(A64,SKUs!$I$5:$I$304,0)))</f>
        <v/>
      </c>
      <c r="C64" s="15">
        <f>IF(A64="","",INDEX(SKUs!$B$5:$B$304,MATCH(A64,SKUs!$I$5:$I$304,0)))</f>
        <v/>
      </c>
      <c r="D64" s="10">
        <f>IF(A64="","",INDEX(SKUs!$E$5:$E$304,MATCH(A64,SKUs!$I$5:$I$304,0)))</f>
        <v/>
      </c>
      <c r="E64" s="10">
        <f>IF(A64="","",INDEX(SKUs!$F$5:$F$304,MATCH(A64,SKUs!$I$5:$I$304,0)))</f>
        <v/>
      </c>
      <c r="F64" s="10">
        <f>IF(A64="","",INDEX(SKUs!$G$5:$G$304,MATCH(A64,SKUs!$I$5:$I$304,0)))</f>
        <v/>
      </c>
      <c r="G64" s="11">
        <f>IF(A64="","",INDEX(SKUs!$H$5:$H$304,MATCH(A64,SKUs!$I$5:$I$304,0)))</f>
        <v/>
      </c>
      <c r="H64" s="11">
        <f>IF(A64="","",IF(SUM(SKUs!$E$5:$E$304)=0,0,D64/SUM(SKUs!$E$5:$E$304)))</f>
        <v/>
      </c>
      <c r="I64" s="11">
        <f>IF(A64="","",SUM($H$6:H64))</f>
        <v/>
      </c>
      <c r="J64" s="5">
        <f>IF(A64="","",IF(I64&gt;=$B$3,1,0))</f>
        <v/>
      </c>
    </row>
    <row r="65">
      <c r="A65" s="5">
        <f>IF(60&gt;COUNT(SKUs!$I$5:$I$304),"",60)</f>
        <v/>
      </c>
      <c r="B65" s="5">
        <f>IF(A65="","",INDEX(SKUs!$A$5:$A$304,MATCH(A65,SKUs!$I$5:$I$304,0)))</f>
        <v/>
      </c>
      <c r="C65" s="15">
        <f>IF(A65="","",INDEX(SKUs!$B$5:$B$304,MATCH(A65,SKUs!$I$5:$I$304,0)))</f>
        <v/>
      </c>
      <c r="D65" s="10">
        <f>IF(A65="","",INDEX(SKUs!$E$5:$E$304,MATCH(A65,SKUs!$I$5:$I$304,0)))</f>
        <v/>
      </c>
      <c r="E65" s="10">
        <f>IF(A65="","",INDEX(SKUs!$F$5:$F$304,MATCH(A65,SKUs!$I$5:$I$304,0)))</f>
        <v/>
      </c>
      <c r="F65" s="10">
        <f>IF(A65="","",INDEX(SKUs!$G$5:$G$304,MATCH(A65,SKUs!$I$5:$I$304,0)))</f>
        <v/>
      </c>
      <c r="G65" s="11">
        <f>IF(A65="","",INDEX(SKUs!$H$5:$H$304,MATCH(A65,SKUs!$I$5:$I$304,0)))</f>
        <v/>
      </c>
      <c r="H65" s="11">
        <f>IF(A65="","",IF(SUM(SKUs!$E$5:$E$304)=0,0,D65/SUM(SKUs!$E$5:$E$304)))</f>
        <v/>
      </c>
      <c r="I65" s="11">
        <f>IF(A65="","",SUM($H$6:H65))</f>
        <v/>
      </c>
      <c r="J65" s="5">
        <f>IF(A65="","",IF(I65&gt;=$B$3,1,0))</f>
        <v/>
      </c>
    </row>
    <row r="66">
      <c r="A66" s="5">
        <f>IF(61&gt;COUNT(SKUs!$I$5:$I$304),"",61)</f>
        <v/>
      </c>
      <c r="B66" s="5">
        <f>IF(A66="","",INDEX(SKUs!$A$5:$A$304,MATCH(A66,SKUs!$I$5:$I$304,0)))</f>
        <v/>
      </c>
      <c r="C66" s="15">
        <f>IF(A66="","",INDEX(SKUs!$B$5:$B$304,MATCH(A66,SKUs!$I$5:$I$304,0)))</f>
        <v/>
      </c>
      <c r="D66" s="10">
        <f>IF(A66="","",INDEX(SKUs!$E$5:$E$304,MATCH(A66,SKUs!$I$5:$I$304,0)))</f>
        <v/>
      </c>
      <c r="E66" s="10">
        <f>IF(A66="","",INDEX(SKUs!$F$5:$F$304,MATCH(A66,SKUs!$I$5:$I$304,0)))</f>
        <v/>
      </c>
      <c r="F66" s="10">
        <f>IF(A66="","",INDEX(SKUs!$G$5:$G$304,MATCH(A66,SKUs!$I$5:$I$304,0)))</f>
        <v/>
      </c>
      <c r="G66" s="11">
        <f>IF(A66="","",INDEX(SKUs!$H$5:$H$304,MATCH(A66,SKUs!$I$5:$I$304,0)))</f>
        <v/>
      </c>
      <c r="H66" s="11">
        <f>IF(A66="","",IF(SUM(SKUs!$E$5:$E$304)=0,0,D66/SUM(SKUs!$E$5:$E$304)))</f>
        <v/>
      </c>
      <c r="I66" s="11">
        <f>IF(A66="","",SUM($H$6:H66))</f>
        <v/>
      </c>
      <c r="J66" s="5">
        <f>IF(A66="","",IF(I66&gt;=$B$3,1,0))</f>
        <v/>
      </c>
    </row>
    <row r="67">
      <c r="A67" s="5">
        <f>IF(62&gt;COUNT(SKUs!$I$5:$I$304),"",62)</f>
        <v/>
      </c>
      <c r="B67" s="5">
        <f>IF(A67="","",INDEX(SKUs!$A$5:$A$304,MATCH(A67,SKUs!$I$5:$I$304,0)))</f>
        <v/>
      </c>
      <c r="C67" s="15">
        <f>IF(A67="","",INDEX(SKUs!$B$5:$B$304,MATCH(A67,SKUs!$I$5:$I$304,0)))</f>
        <v/>
      </c>
      <c r="D67" s="10">
        <f>IF(A67="","",INDEX(SKUs!$E$5:$E$304,MATCH(A67,SKUs!$I$5:$I$304,0)))</f>
        <v/>
      </c>
      <c r="E67" s="10">
        <f>IF(A67="","",INDEX(SKUs!$F$5:$F$304,MATCH(A67,SKUs!$I$5:$I$304,0)))</f>
        <v/>
      </c>
      <c r="F67" s="10">
        <f>IF(A67="","",INDEX(SKUs!$G$5:$G$304,MATCH(A67,SKUs!$I$5:$I$304,0)))</f>
        <v/>
      </c>
      <c r="G67" s="11">
        <f>IF(A67="","",INDEX(SKUs!$H$5:$H$304,MATCH(A67,SKUs!$I$5:$I$304,0)))</f>
        <v/>
      </c>
      <c r="H67" s="11">
        <f>IF(A67="","",IF(SUM(SKUs!$E$5:$E$304)=0,0,D67/SUM(SKUs!$E$5:$E$304)))</f>
        <v/>
      </c>
      <c r="I67" s="11">
        <f>IF(A67="","",SUM($H$6:H67))</f>
        <v/>
      </c>
      <c r="J67" s="5">
        <f>IF(A67="","",IF(I67&gt;=$B$3,1,0))</f>
        <v/>
      </c>
    </row>
    <row r="68">
      <c r="A68" s="5">
        <f>IF(63&gt;COUNT(SKUs!$I$5:$I$304),"",63)</f>
        <v/>
      </c>
      <c r="B68" s="5">
        <f>IF(A68="","",INDEX(SKUs!$A$5:$A$304,MATCH(A68,SKUs!$I$5:$I$304,0)))</f>
        <v/>
      </c>
      <c r="C68" s="15">
        <f>IF(A68="","",INDEX(SKUs!$B$5:$B$304,MATCH(A68,SKUs!$I$5:$I$304,0)))</f>
        <v/>
      </c>
      <c r="D68" s="10">
        <f>IF(A68="","",INDEX(SKUs!$E$5:$E$304,MATCH(A68,SKUs!$I$5:$I$304,0)))</f>
        <v/>
      </c>
      <c r="E68" s="10">
        <f>IF(A68="","",INDEX(SKUs!$F$5:$F$304,MATCH(A68,SKUs!$I$5:$I$304,0)))</f>
        <v/>
      </c>
      <c r="F68" s="10">
        <f>IF(A68="","",INDEX(SKUs!$G$5:$G$304,MATCH(A68,SKUs!$I$5:$I$304,0)))</f>
        <v/>
      </c>
      <c r="G68" s="11">
        <f>IF(A68="","",INDEX(SKUs!$H$5:$H$304,MATCH(A68,SKUs!$I$5:$I$304,0)))</f>
        <v/>
      </c>
      <c r="H68" s="11">
        <f>IF(A68="","",IF(SUM(SKUs!$E$5:$E$304)=0,0,D68/SUM(SKUs!$E$5:$E$304)))</f>
        <v/>
      </c>
      <c r="I68" s="11">
        <f>IF(A68="","",SUM($H$6:H68))</f>
        <v/>
      </c>
      <c r="J68" s="5">
        <f>IF(A68="","",IF(I68&gt;=$B$3,1,0))</f>
        <v/>
      </c>
    </row>
    <row r="69">
      <c r="A69" s="5">
        <f>IF(64&gt;COUNT(SKUs!$I$5:$I$304),"",64)</f>
        <v/>
      </c>
      <c r="B69" s="5">
        <f>IF(A69="","",INDEX(SKUs!$A$5:$A$304,MATCH(A69,SKUs!$I$5:$I$304,0)))</f>
        <v/>
      </c>
      <c r="C69" s="15">
        <f>IF(A69="","",INDEX(SKUs!$B$5:$B$304,MATCH(A69,SKUs!$I$5:$I$304,0)))</f>
        <v/>
      </c>
      <c r="D69" s="10">
        <f>IF(A69="","",INDEX(SKUs!$E$5:$E$304,MATCH(A69,SKUs!$I$5:$I$304,0)))</f>
        <v/>
      </c>
      <c r="E69" s="10">
        <f>IF(A69="","",INDEX(SKUs!$F$5:$F$304,MATCH(A69,SKUs!$I$5:$I$304,0)))</f>
        <v/>
      </c>
      <c r="F69" s="10">
        <f>IF(A69="","",INDEX(SKUs!$G$5:$G$304,MATCH(A69,SKUs!$I$5:$I$304,0)))</f>
        <v/>
      </c>
      <c r="G69" s="11">
        <f>IF(A69="","",INDEX(SKUs!$H$5:$H$304,MATCH(A69,SKUs!$I$5:$I$304,0)))</f>
        <v/>
      </c>
      <c r="H69" s="11">
        <f>IF(A69="","",IF(SUM(SKUs!$E$5:$E$304)=0,0,D69/SUM(SKUs!$E$5:$E$304)))</f>
        <v/>
      </c>
      <c r="I69" s="11">
        <f>IF(A69="","",SUM($H$6:H69))</f>
        <v/>
      </c>
      <c r="J69" s="5">
        <f>IF(A69="","",IF(I69&gt;=$B$3,1,0))</f>
        <v/>
      </c>
    </row>
    <row r="70">
      <c r="A70" s="5">
        <f>IF(65&gt;COUNT(SKUs!$I$5:$I$304),"",65)</f>
        <v/>
      </c>
      <c r="B70" s="5">
        <f>IF(A70="","",INDEX(SKUs!$A$5:$A$304,MATCH(A70,SKUs!$I$5:$I$304,0)))</f>
        <v/>
      </c>
      <c r="C70" s="15">
        <f>IF(A70="","",INDEX(SKUs!$B$5:$B$304,MATCH(A70,SKUs!$I$5:$I$304,0)))</f>
        <v/>
      </c>
      <c r="D70" s="10">
        <f>IF(A70="","",INDEX(SKUs!$E$5:$E$304,MATCH(A70,SKUs!$I$5:$I$304,0)))</f>
        <v/>
      </c>
      <c r="E70" s="10">
        <f>IF(A70="","",INDEX(SKUs!$F$5:$F$304,MATCH(A70,SKUs!$I$5:$I$304,0)))</f>
        <v/>
      </c>
      <c r="F70" s="10">
        <f>IF(A70="","",INDEX(SKUs!$G$5:$G$304,MATCH(A70,SKUs!$I$5:$I$304,0)))</f>
        <v/>
      </c>
      <c r="G70" s="11">
        <f>IF(A70="","",INDEX(SKUs!$H$5:$H$304,MATCH(A70,SKUs!$I$5:$I$304,0)))</f>
        <v/>
      </c>
      <c r="H70" s="11">
        <f>IF(A70="","",IF(SUM(SKUs!$E$5:$E$304)=0,0,D70/SUM(SKUs!$E$5:$E$304)))</f>
        <v/>
      </c>
      <c r="I70" s="11">
        <f>IF(A70="","",SUM($H$6:H70))</f>
        <v/>
      </c>
      <c r="J70" s="5">
        <f>IF(A70="","",IF(I70&gt;=$B$3,1,0))</f>
        <v/>
      </c>
    </row>
    <row r="71">
      <c r="A71" s="5">
        <f>IF(66&gt;COUNT(SKUs!$I$5:$I$304),"",66)</f>
        <v/>
      </c>
      <c r="B71" s="5">
        <f>IF(A71="","",INDEX(SKUs!$A$5:$A$304,MATCH(A71,SKUs!$I$5:$I$304,0)))</f>
        <v/>
      </c>
      <c r="C71" s="15">
        <f>IF(A71="","",INDEX(SKUs!$B$5:$B$304,MATCH(A71,SKUs!$I$5:$I$304,0)))</f>
        <v/>
      </c>
      <c r="D71" s="10">
        <f>IF(A71="","",INDEX(SKUs!$E$5:$E$304,MATCH(A71,SKUs!$I$5:$I$304,0)))</f>
        <v/>
      </c>
      <c r="E71" s="10">
        <f>IF(A71="","",INDEX(SKUs!$F$5:$F$304,MATCH(A71,SKUs!$I$5:$I$304,0)))</f>
        <v/>
      </c>
      <c r="F71" s="10">
        <f>IF(A71="","",INDEX(SKUs!$G$5:$G$304,MATCH(A71,SKUs!$I$5:$I$304,0)))</f>
        <v/>
      </c>
      <c r="G71" s="11">
        <f>IF(A71="","",INDEX(SKUs!$H$5:$H$304,MATCH(A71,SKUs!$I$5:$I$304,0)))</f>
        <v/>
      </c>
      <c r="H71" s="11">
        <f>IF(A71="","",IF(SUM(SKUs!$E$5:$E$304)=0,0,D71/SUM(SKUs!$E$5:$E$304)))</f>
        <v/>
      </c>
      <c r="I71" s="11">
        <f>IF(A71="","",SUM($H$6:H71))</f>
        <v/>
      </c>
      <c r="J71" s="5">
        <f>IF(A71="","",IF(I71&gt;=$B$3,1,0))</f>
        <v/>
      </c>
    </row>
    <row r="72">
      <c r="A72" s="5">
        <f>IF(67&gt;COUNT(SKUs!$I$5:$I$304),"",67)</f>
        <v/>
      </c>
      <c r="B72" s="5">
        <f>IF(A72="","",INDEX(SKUs!$A$5:$A$304,MATCH(A72,SKUs!$I$5:$I$304,0)))</f>
        <v/>
      </c>
      <c r="C72" s="15">
        <f>IF(A72="","",INDEX(SKUs!$B$5:$B$304,MATCH(A72,SKUs!$I$5:$I$304,0)))</f>
        <v/>
      </c>
      <c r="D72" s="10">
        <f>IF(A72="","",INDEX(SKUs!$E$5:$E$304,MATCH(A72,SKUs!$I$5:$I$304,0)))</f>
        <v/>
      </c>
      <c r="E72" s="10">
        <f>IF(A72="","",INDEX(SKUs!$F$5:$F$304,MATCH(A72,SKUs!$I$5:$I$304,0)))</f>
        <v/>
      </c>
      <c r="F72" s="10">
        <f>IF(A72="","",INDEX(SKUs!$G$5:$G$304,MATCH(A72,SKUs!$I$5:$I$304,0)))</f>
        <v/>
      </c>
      <c r="G72" s="11">
        <f>IF(A72="","",INDEX(SKUs!$H$5:$H$304,MATCH(A72,SKUs!$I$5:$I$304,0)))</f>
        <v/>
      </c>
      <c r="H72" s="11">
        <f>IF(A72="","",IF(SUM(SKUs!$E$5:$E$304)=0,0,D72/SUM(SKUs!$E$5:$E$304)))</f>
        <v/>
      </c>
      <c r="I72" s="11">
        <f>IF(A72="","",SUM($H$6:H72))</f>
        <v/>
      </c>
      <c r="J72" s="5">
        <f>IF(A72="","",IF(I72&gt;=$B$3,1,0))</f>
        <v/>
      </c>
    </row>
    <row r="73">
      <c r="A73" s="5">
        <f>IF(68&gt;COUNT(SKUs!$I$5:$I$304),"",68)</f>
        <v/>
      </c>
      <c r="B73" s="5">
        <f>IF(A73="","",INDEX(SKUs!$A$5:$A$304,MATCH(A73,SKUs!$I$5:$I$304,0)))</f>
        <v/>
      </c>
      <c r="C73" s="15">
        <f>IF(A73="","",INDEX(SKUs!$B$5:$B$304,MATCH(A73,SKUs!$I$5:$I$304,0)))</f>
        <v/>
      </c>
      <c r="D73" s="10">
        <f>IF(A73="","",INDEX(SKUs!$E$5:$E$304,MATCH(A73,SKUs!$I$5:$I$304,0)))</f>
        <v/>
      </c>
      <c r="E73" s="10">
        <f>IF(A73="","",INDEX(SKUs!$F$5:$F$304,MATCH(A73,SKUs!$I$5:$I$304,0)))</f>
        <v/>
      </c>
      <c r="F73" s="10">
        <f>IF(A73="","",INDEX(SKUs!$G$5:$G$304,MATCH(A73,SKUs!$I$5:$I$304,0)))</f>
        <v/>
      </c>
      <c r="G73" s="11">
        <f>IF(A73="","",INDEX(SKUs!$H$5:$H$304,MATCH(A73,SKUs!$I$5:$I$304,0)))</f>
        <v/>
      </c>
      <c r="H73" s="11">
        <f>IF(A73="","",IF(SUM(SKUs!$E$5:$E$304)=0,0,D73/SUM(SKUs!$E$5:$E$304)))</f>
        <v/>
      </c>
      <c r="I73" s="11">
        <f>IF(A73="","",SUM($H$6:H73))</f>
        <v/>
      </c>
      <c r="J73" s="5">
        <f>IF(A73="","",IF(I73&gt;=$B$3,1,0))</f>
        <v/>
      </c>
    </row>
    <row r="74">
      <c r="A74" s="5">
        <f>IF(69&gt;COUNT(SKUs!$I$5:$I$304),"",69)</f>
        <v/>
      </c>
      <c r="B74" s="5">
        <f>IF(A74="","",INDEX(SKUs!$A$5:$A$304,MATCH(A74,SKUs!$I$5:$I$304,0)))</f>
        <v/>
      </c>
      <c r="C74" s="15">
        <f>IF(A74="","",INDEX(SKUs!$B$5:$B$304,MATCH(A74,SKUs!$I$5:$I$304,0)))</f>
        <v/>
      </c>
      <c r="D74" s="10">
        <f>IF(A74="","",INDEX(SKUs!$E$5:$E$304,MATCH(A74,SKUs!$I$5:$I$304,0)))</f>
        <v/>
      </c>
      <c r="E74" s="10">
        <f>IF(A74="","",INDEX(SKUs!$F$5:$F$304,MATCH(A74,SKUs!$I$5:$I$304,0)))</f>
        <v/>
      </c>
      <c r="F74" s="10">
        <f>IF(A74="","",INDEX(SKUs!$G$5:$G$304,MATCH(A74,SKUs!$I$5:$I$304,0)))</f>
        <v/>
      </c>
      <c r="G74" s="11">
        <f>IF(A74="","",INDEX(SKUs!$H$5:$H$304,MATCH(A74,SKUs!$I$5:$I$304,0)))</f>
        <v/>
      </c>
      <c r="H74" s="11">
        <f>IF(A74="","",IF(SUM(SKUs!$E$5:$E$304)=0,0,D74/SUM(SKUs!$E$5:$E$304)))</f>
        <v/>
      </c>
      <c r="I74" s="11">
        <f>IF(A74="","",SUM($H$6:H74))</f>
        <v/>
      </c>
      <c r="J74" s="5">
        <f>IF(A74="","",IF(I74&gt;=$B$3,1,0))</f>
        <v/>
      </c>
    </row>
    <row r="75">
      <c r="A75" s="5">
        <f>IF(70&gt;COUNT(SKUs!$I$5:$I$304),"",70)</f>
        <v/>
      </c>
      <c r="B75" s="5">
        <f>IF(A75="","",INDEX(SKUs!$A$5:$A$304,MATCH(A75,SKUs!$I$5:$I$304,0)))</f>
        <v/>
      </c>
      <c r="C75" s="15">
        <f>IF(A75="","",INDEX(SKUs!$B$5:$B$304,MATCH(A75,SKUs!$I$5:$I$304,0)))</f>
        <v/>
      </c>
      <c r="D75" s="10">
        <f>IF(A75="","",INDEX(SKUs!$E$5:$E$304,MATCH(A75,SKUs!$I$5:$I$304,0)))</f>
        <v/>
      </c>
      <c r="E75" s="10">
        <f>IF(A75="","",INDEX(SKUs!$F$5:$F$304,MATCH(A75,SKUs!$I$5:$I$304,0)))</f>
        <v/>
      </c>
      <c r="F75" s="10">
        <f>IF(A75="","",INDEX(SKUs!$G$5:$G$304,MATCH(A75,SKUs!$I$5:$I$304,0)))</f>
        <v/>
      </c>
      <c r="G75" s="11">
        <f>IF(A75="","",INDEX(SKUs!$H$5:$H$304,MATCH(A75,SKUs!$I$5:$I$304,0)))</f>
        <v/>
      </c>
      <c r="H75" s="11">
        <f>IF(A75="","",IF(SUM(SKUs!$E$5:$E$304)=0,0,D75/SUM(SKUs!$E$5:$E$304)))</f>
        <v/>
      </c>
      <c r="I75" s="11">
        <f>IF(A75="","",SUM($H$6:H75))</f>
        <v/>
      </c>
      <c r="J75" s="5">
        <f>IF(A75="","",IF(I75&gt;=$B$3,1,0))</f>
        <v/>
      </c>
    </row>
    <row r="76">
      <c r="A76" s="5">
        <f>IF(71&gt;COUNT(SKUs!$I$5:$I$304),"",71)</f>
        <v/>
      </c>
      <c r="B76" s="5">
        <f>IF(A76="","",INDEX(SKUs!$A$5:$A$304,MATCH(A76,SKUs!$I$5:$I$304,0)))</f>
        <v/>
      </c>
      <c r="C76" s="15">
        <f>IF(A76="","",INDEX(SKUs!$B$5:$B$304,MATCH(A76,SKUs!$I$5:$I$304,0)))</f>
        <v/>
      </c>
      <c r="D76" s="10">
        <f>IF(A76="","",INDEX(SKUs!$E$5:$E$304,MATCH(A76,SKUs!$I$5:$I$304,0)))</f>
        <v/>
      </c>
      <c r="E76" s="10">
        <f>IF(A76="","",INDEX(SKUs!$F$5:$F$304,MATCH(A76,SKUs!$I$5:$I$304,0)))</f>
        <v/>
      </c>
      <c r="F76" s="10">
        <f>IF(A76="","",INDEX(SKUs!$G$5:$G$304,MATCH(A76,SKUs!$I$5:$I$304,0)))</f>
        <v/>
      </c>
      <c r="G76" s="11">
        <f>IF(A76="","",INDEX(SKUs!$H$5:$H$304,MATCH(A76,SKUs!$I$5:$I$304,0)))</f>
        <v/>
      </c>
      <c r="H76" s="11">
        <f>IF(A76="","",IF(SUM(SKUs!$E$5:$E$304)=0,0,D76/SUM(SKUs!$E$5:$E$304)))</f>
        <v/>
      </c>
      <c r="I76" s="11">
        <f>IF(A76="","",SUM($H$6:H76))</f>
        <v/>
      </c>
      <c r="J76" s="5">
        <f>IF(A76="","",IF(I76&gt;=$B$3,1,0))</f>
        <v/>
      </c>
    </row>
    <row r="77">
      <c r="A77" s="5">
        <f>IF(72&gt;COUNT(SKUs!$I$5:$I$304),"",72)</f>
        <v/>
      </c>
      <c r="B77" s="5">
        <f>IF(A77="","",INDEX(SKUs!$A$5:$A$304,MATCH(A77,SKUs!$I$5:$I$304,0)))</f>
        <v/>
      </c>
      <c r="C77" s="15">
        <f>IF(A77="","",INDEX(SKUs!$B$5:$B$304,MATCH(A77,SKUs!$I$5:$I$304,0)))</f>
        <v/>
      </c>
      <c r="D77" s="10">
        <f>IF(A77="","",INDEX(SKUs!$E$5:$E$304,MATCH(A77,SKUs!$I$5:$I$304,0)))</f>
        <v/>
      </c>
      <c r="E77" s="10">
        <f>IF(A77="","",INDEX(SKUs!$F$5:$F$304,MATCH(A77,SKUs!$I$5:$I$304,0)))</f>
        <v/>
      </c>
      <c r="F77" s="10">
        <f>IF(A77="","",INDEX(SKUs!$G$5:$G$304,MATCH(A77,SKUs!$I$5:$I$304,0)))</f>
        <v/>
      </c>
      <c r="G77" s="11">
        <f>IF(A77="","",INDEX(SKUs!$H$5:$H$304,MATCH(A77,SKUs!$I$5:$I$304,0)))</f>
        <v/>
      </c>
      <c r="H77" s="11">
        <f>IF(A77="","",IF(SUM(SKUs!$E$5:$E$304)=0,0,D77/SUM(SKUs!$E$5:$E$304)))</f>
        <v/>
      </c>
      <c r="I77" s="11">
        <f>IF(A77="","",SUM($H$6:H77))</f>
        <v/>
      </c>
      <c r="J77" s="5">
        <f>IF(A77="","",IF(I77&gt;=$B$3,1,0))</f>
        <v/>
      </c>
    </row>
    <row r="78">
      <c r="A78" s="5">
        <f>IF(73&gt;COUNT(SKUs!$I$5:$I$304),"",73)</f>
        <v/>
      </c>
      <c r="B78" s="5">
        <f>IF(A78="","",INDEX(SKUs!$A$5:$A$304,MATCH(A78,SKUs!$I$5:$I$304,0)))</f>
        <v/>
      </c>
      <c r="C78" s="15">
        <f>IF(A78="","",INDEX(SKUs!$B$5:$B$304,MATCH(A78,SKUs!$I$5:$I$304,0)))</f>
        <v/>
      </c>
      <c r="D78" s="10">
        <f>IF(A78="","",INDEX(SKUs!$E$5:$E$304,MATCH(A78,SKUs!$I$5:$I$304,0)))</f>
        <v/>
      </c>
      <c r="E78" s="10">
        <f>IF(A78="","",INDEX(SKUs!$F$5:$F$304,MATCH(A78,SKUs!$I$5:$I$304,0)))</f>
        <v/>
      </c>
      <c r="F78" s="10">
        <f>IF(A78="","",INDEX(SKUs!$G$5:$G$304,MATCH(A78,SKUs!$I$5:$I$304,0)))</f>
        <v/>
      </c>
      <c r="G78" s="11">
        <f>IF(A78="","",INDEX(SKUs!$H$5:$H$304,MATCH(A78,SKUs!$I$5:$I$304,0)))</f>
        <v/>
      </c>
      <c r="H78" s="11">
        <f>IF(A78="","",IF(SUM(SKUs!$E$5:$E$304)=0,0,D78/SUM(SKUs!$E$5:$E$304)))</f>
        <v/>
      </c>
      <c r="I78" s="11">
        <f>IF(A78="","",SUM($H$6:H78))</f>
        <v/>
      </c>
      <c r="J78" s="5">
        <f>IF(A78="","",IF(I78&gt;=$B$3,1,0))</f>
        <v/>
      </c>
    </row>
    <row r="79">
      <c r="A79" s="5">
        <f>IF(74&gt;COUNT(SKUs!$I$5:$I$304),"",74)</f>
        <v/>
      </c>
      <c r="B79" s="5">
        <f>IF(A79="","",INDEX(SKUs!$A$5:$A$304,MATCH(A79,SKUs!$I$5:$I$304,0)))</f>
        <v/>
      </c>
      <c r="C79" s="15">
        <f>IF(A79="","",INDEX(SKUs!$B$5:$B$304,MATCH(A79,SKUs!$I$5:$I$304,0)))</f>
        <v/>
      </c>
      <c r="D79" s="10">
        <f>IF(A79="","",INDEX(SKUs!$E$5:$E$304,MATCH(A79,SKUs!$I$5:$I$304,0)))</f>
        <v/>
      </c>
      <c r="E79" s="10">
        <f>IF(A79="","",INDEX(SKUs!$F$5:$F$304,MATCH(A79,SKUs!$I$5:$I$304,0)))</f>
        <v/>
      </c>
      <c r="F79" s="10">
        <f>IF(A79="","",INDEX(SKUs!$G$5:$G$304,MATCH(A79,SKUs!$I$5:$I$304,0)))</f>
        <v/>
      </c>
      <c r="G79" s="11">
        <f>IF(A79="","",INDEX(SKUs!$H$5:$H$304,MATCH(A79,SKUs!$I$5:$I$304,0)))</f>
        <v/>
      </c>
      <c r="H79" s="11">
        <f>IF(A79="","",IF(SUM(SKUs!$E$5:$E$304)=0,0,D79/SUM(SKUs!$E$5:$E$304)))</f>
        <v/>
      </c>
      <c r="I79" s="11">
        <f>IF(A79="","",SUM($H$6:H79))</f>
        <v/>
      </c>
      <c r="J79" s="5">
        <f>IF(A79="","",IF(I79&gt;=$B$3,1,0))</f>
        <v/>
      </c>
    </row>
    <row r="80">
      <c r="A80" s="5">
        <f>IF(75&gt;COUNT(SKUs!$I$5:$I$304),"",75)</f>
        <v/>
      </c>
      <c r="B80" s="5">
        <f>IF(A80="","",INDEX(SKUs!$A$5:$A$304,MATCH(A80,SKUs!$I$5:$I$304,0)))</f>
        <v/>
      </c>
      <c r="C80" s="15">
        <f>IF(A80="","",INDEX(SKUs!$B$5:$B$304,MATCH(A80,SKUs!$I$5:$I$304,0)))</f>
        <v/>
      </c>
      <c r="D80" s="10">
        <f>IF(A80="","",INDEX(SKUs!$E$5:$E$304,MATCH(A80,SKUs!$I$5:$I$304,0)))</f>
        <v/>
      </c>
      <c r="E80" s="10">
        <f>IF(A80="","",INDEX(SKUs!$F$5:$F$304,MATCH(A80,SKUs!$I$5:$I$304,0)))</f>
        <v/>
      </c>
      <c r="F80" s="10">
        <f>IF(A80="","",INDEX(SKUs!$G$5:$G$304,MATCH(A80,SKUs!$I$5:$I$304,0)))</f>
        <v/>
      </c>
      <c r="G80" s="11">
        <f>IF(A80="","",INDEX(SKUs!$H$5:$H$304,MATCH(A80,SKUs!$I$5:$I$304,0)))</f>
        <v/>
      </c>
      <c r="H80" s="11">
        <f>IF(A80="","",IF(SUM(SKUs!$E$5:$E$304)=0,0,D80/SUM(SKUs!$E$5:$E$304)))</f>
        <v/>
      </c>
      <c r="I80" s="11">
        <f>IF(A80="","",SUM($H$6:H80))</f>
        <v/>
      </c>
      <c r="J80" s="5">
        <f>IF(A80="","",IF(I80&gt;=$B$3,1,0))</f>
        <v/>
      </c>
    </row>
    <row r="81">
      <c r="A81" s="5">
        <f>IF(76&gt;COUNT(SKUs!$I$5:$I$304),"",76)</f>
        <v/>
      </c>
      <c r="B81" s="5">
        <f>IF(A81="","",INDEX(SKUs!$A$5:$A$304,MATCH(A81,SKUs!$I$5:$I$304,0)))</f>
        <v/>
      </c>
      <c r="C81" s="15">
        <f>IF(A81="","",INDEX(SKUs!$B$5:$B$304,MATCH(A81,SKUs!$I$5:$I$304,0)))</f>
        <v/>
      </c>
      <c r="D81" s="10">
        <f>IF(A81="","",INDEX(SKUs!$E$5:$E$304,MATCH(A81,SKUs!$I$5:$I$304,0)))</f>
        <v/>
      </c>
      <c r="E81" s="10">
        <f>IF(A81="","",INDEX(SKUs!$F$5:$F$304,MATCH(A81,SKUs!$I$5:$I$304,0)))</f>
        <v/>
      </c>
      <c r="F81" s="10">
        <f>IF(A81="","",INDEX(SKUs!$G$5:$G$304,MATCH(A81,SKUs!$I$5:$I$304,0)))</f>
        <v/>
      </c>
      <c r="G81" s="11">
        <f>IF(A81="","",INDEX(SKUs!$H$5:$H$304,MATCH(A81,SKUs!$I$5:$I$304,0)))</f>
        <v/>
      </c>
      <c r="H81" s="11">
        <f>IF(A81="","",IF(SUM(SKUs!$E$5:$E$304)=0,0,D81/SUM(SKUs!$E$5:$E$304)))</f>
        <v/>
      </c>
      <c r="I81" s="11">
        <f>IF(A81="","",SUM($H$6:H81))</f>
        <v/>
      </c>
      <c r="J81" s="5">
        <f>IF(A81="","",IF(I81&gt;=$B$3,1,0))</f>
        <v/>
      </c>
    </row>
    <row r="82">
      <c r="A82" s="5">
        <f>IF(77&gt;COUNT(SKUs!$I$5:$I$304),"",77)</f>
        <v/>
      </c>
      <c r="B82" s="5">
        <f>IF(A82="","",INDEX(SKUs!$A$5:$A$304,MATCH(A82,SKUs!$I$5:$I$304,0)))</f>
        <v/>
      </c>
      <c r="C82" s="15">
        <f>IF(A82="","",INDEX(SKUs!$B$5:$B$304,MATCH(A82,SKUs!$I$5:$I$304,0)))</f>
        <v/>
      </c>
      <c r="D82" s="10">
        <f>IF(A82="","",INDEX(SKUs!$E$5:$E$304,MATCH(A82,SKUs!$I$5:$I$304,0)))</f>
        <v/>
      </c>
      <c r="E82" s="10">
        <f>IF(A82="","",INDEX(SKUs!$F$5:$F$304,MATCH(A82,SKUs!$I$5:$I$304,0)))</f>
        <v/>
      </c>
      <c r="F82" s="10">
        <f>IF(A82="","",INDEX(SKUs!$G$5:$G$304,MATCH(A82,SKUs!$I$5:$I$304,0)))</f>
        <v/>
      </c>
      <c r="G82" s="11">
        <f>IF(A82="","",INDEX(SKUs!$H$5:$H$304,MATCH(A82,SKUs!$I$5:$I$304,0)))</f>
        <v/>
      </c>
      <c r="H82" s="11">
        <f>IF(A82="","",IF(SUM(SKUs!$E$5:$E$304)=0,0,D82/SUM(SKUs!$E$5:$E$304)))</f>
        <v/>
      </c>
      <c r="I82" s="11">
        <f>IF(A82="","",SUM($H$6:H82))</f>
        <v/>
      </c>
      <c r="J82" s="5">
        <f>IF(A82="","",IF(I82&gt;=$B$3,1,0))</f>
        <v/>
      </c>
    </row>
    <row r="83">
      <c r="A83" s="5">
        <f>IF(78&gt;COUNT(SKUs!$I$5:$I$304),"",78)</f>
        <v/>
      </c>
      <c r="B83" s="5">
        <f>IF(A83="","",INDEX(SKUs!$A$5:$A$304,MATCH(A83,SKUs!$I$5:$I$304,0)))</f>
        <v/>
      </c>
      <c r="C83" s="15">
        <f>IF(A83="","",INDEX(SKUs!$B$5:$B$304,MATCH(A83,SKUs!$I$5:$I$304,0)))</f>
        <v/>
      </c>
      <c r="D83" s="10">
        <f>IF(A83="","",INDEX(SKUs!$E$5:$E$304,MATCH(A83,SKUs!$I$5:$I$304,0)))</f>
        <v/>
      </c>
      <c r="E83" s="10">
        <f>IF(A83="","",INDEX(SKUs!$F$5:$F$304,MATCH(A83,SKUs!$I$5:$I$304,0)))</f>
        <v/>
      </c>
      <c r="F83" s="10">
        <f>IF(A83="","",INDEX(SKUs!$G$5:$G$304,MATCH(A83,SKUs!$I$5:$I$304,0)))</f>
        <v/>
      </c>
      <c r="G83" s="11">
        <f>IF(A83="","",INDEX(SKUs!$H$5:$H$304,MATCH(A83,SKUs!$I$5:$I$304,0)))</f>
        <v/>
      </c>
      <c r="H83" s="11">
        <f>IF(A83="","",IF(SUM(SKUs!$E$5:$E$304)=0,0,D83/SUM(SKUs!$E$5:$E$304)))</f>
        <v/>
      </c>
      <c r="I83" s="11">
        <f>IF(A83="","",SUM($H$6:H83))</f>
        <v/>
      </c>
      <c r="J83" s="5">
        <f>IF(A83="","",IF(I83&gt;=$B$3,1,0))</f>
        <v/>
      </c>
    </row>
    <row r="84">
      <c r="A84" s="5">
        <f>IF(79&gt;COUNT(SKUs!$I$5:$I$304),"",79)</f>
        <v/>
      </c>
      <c r="B84" s="5">
        <f>IF(A84="","",INDEX(SKUs!$A$5:$A$304,MATCH(A84,SKUs!$I$5:$I$304,0)))</f>
        <v/>
      </c>
      <c r="C84" s="15">
        <f>IF(A84="","",INDEX(SKUs!$B$5:$B$304,MATCH(A84,SKUs!$I$5:$I$304,0)))</f>
        <v/>
      </c>
      <c r="D84" s="10">
        <f>IF(A84="","",INDEX(SKUs!$E$5:$E$304,MATCH(A84,SKUs!$I$5:$I$304,0)))</f>
        <v/>
      </c>
      <c r="E84" s="10">
        <f>IF(A84="","",INDEX(SKUs!$F$5:$F$304,MATCH(A84,SKUs!$I$5:$I$304,0)))</f>
        <v/>
      </c>
      <c r="F84" s="10">
        <f>IF(A84="","",INDEX(SKUs!$G$5:$G$304,MATCH(A84,SKUs!$I$5:$I$304,0)))</f>
        <v/>
      </c>
      <c r="G84" s="11">
        <f>IF(A84="","",INDEX(SKUs!$H$5:$H$304,MATCH(A84,SKUs!$I$5:$I$304,0)))</f>
        <v/>
      </c>
      <c r="H84" s="11">
        <f>IF(A84="","",IF(SUM(SKUs!$E$5:$E$304)=0,0,D84/SUM(SKUs!$E$5:$E$304)))</f>
        <v/>
      </c>
      <c r="I84" s="11">
        <f>IF(A84="","",SUM($H$6:H84))</f>
        <v/>
      </c>
      <c r="J84" s="5">
        <f>IF(A84="","",IF(I84&gt;=$B$3,1,0))</f>
        <v/>
      </c>
    </row>
    <row r="85">
      <c r="A85" s="5">
        <f>IF(80&gt;COUNT(SKUs!$I$5:$I$304),"",80)</f>
        <v/>
      </c>
      <c r="B85" s="5">
        <f>IF(A85="","",INDEX(SKUs!$A$5:$A$304,MATCH(A85,SKUs!$I$5:$I$304,0)))</f>
        <v/>
      </c>
      <c r="C85" s="15">
        <f>IF(A85="","",INDEX(SKUs!$B$5:$B$304,MATCH(A85,SKUs!$I$5:$I$304,0)))</f>
        <v/>
      </c>
      <c r="D85" s="10">
        <f>IF(A85="","",INDEX(SKUs!$E$5:$E$304,MATCH(A85,SKUs!$I$5:$I$304,0)))</f>
        <v/>
      </c>
      <c r="E85" s="10">
        <f>IF(A85="","",INDEX(SKUs!$F$5:$F$304,MATCH(A85,SKUs!$I$5:$I$304,0)))</f>
        <v/>
      </c>
      <c r="F85" s="10">
        <f>IF(A85="","",INDEX(SKUs!$G$5:$G$304,MATCH(A85,SKUs!$I$5:$I$304,0)))</f>
        <v/>
      </c>
      <c r="G85" s="11">
        <f>IF(A85="","",INDEX(SKUs!$H$5:$H$304,MATCH(A85,SKUs!$I$5:$I$304,0)))</f>
        <v/>
      </c>
      <c r="H85" s="11">
        <f>IF(A85="","",IF(SUM(SKUs!$E$5:$E$304)=0,0,D85/SUM(SKUs!$E$5:$E$304)))</f>
        <v/>
      </c>
      <c r="I85" s="11">
        <f>IF(A85="","",SUM($H$6:H85))</f>
        <v/>
      </c>
      <c r="J85" s="5">
        <f>IF(A85="","",IF(I85&gt;=$B$3,1,0))</f>
        <v/>
      </c>
    </row>
    <row r="86">
      <c r="A86" s="5">
        <f>IF(81&gt;COUNT(SKUs!$I$5:$I$304),"",81)</f>
        <v/>
      </c>
      <c r="B86" s="5">
        <f>IF(A86="","",INDEX(SKUs!$A$5:$A$304,MATCH(A86,SKUs!$I$5:$I$304,0)))</f>
        <v/>
      </c>
      <c r="C86" s="15">
        <f>IF(A86="","",INDEX(SKUs!$B$5:$B$304,MATCH(A86,SKUs!$I$5:$I$304,0)))</f>
        <v/>
      </c>
      <c r="D86" s="10">
        <f>IF(A86="","",INDEX(SKUs!$E$5:$E$304,MATCH(A86,SKUs!$I$5:$I$304,0)))</f>
        <v/>
      </c>
      <c r="E86" s="10">
        <f>IF(A86="","",INDEX(SKUs!$F$5:$F$304,MATCH(A86,SKUs!$I$5:$I$304,0)))</f>
        <v/>
      </c>
      <c r="F86" s="10">
        <f>IF(A86="","",INDEX(SKUs!$G$5:$G$304,MATCH(A86,SKUs!$I$5:$I$304,0)))</f>
        <v/>
      </c>
      <c r="G86" s="11">
        <f>IF(A86="","",INDEX(SKUs!$H$5:$H$304,MATCH(A86,SKUs!$I$5:$I$304,0)))</f>
        <v/>
      </c>
      <c r="H86" s="11">
        <f>IF(A86="","",IF(SUM(SKUs!$E$5:$E$304)=0,0,D86/SUM(SKUs!$E$5:$E$304)))</f>
        <v/>
      </c>
      <c r="I86" s="11">
        <f>IF(A86="","",SUM($H$6:H86))</f>
        <v/>
      </c>
      <c r="J86" s="5">
        <f>IF(A86="","",IF(I86&gt;=$B$3,1,0))</f>
        <v/>
      </c>
    </row>
    <row r="87">
      <c r="A87" s="5">
        <f>IF(82&gt;COUNT(SKUs!$I$5:$I$304),"",82)</f>
        <v/>
      </c>
      <c r="B87" s="5">
        <f>IF(A87="","",INDEX(SKUs!$A$5:$A$304,MATCH(A87,SKUs!$I$5:$I$304,0)))</f>
        <v/>
      </c>
      <c r="C87" s="15">
        <f>IF(A87="","",INDEX(SKUs!$B$5:$B$304,MATCH(A87,SKUs!$I$5:$I$304,0)))</f>
        <v/>
      </c>
      <c r="D87" s="10">
        <f>IF(A87="","",INDEX(SKUs!$E$5:$E$304,MATCH(A87,SKUs!$I$5:$I$304,0)))</f>
        <v/>
      </c>
      <c r="E87" s="10">
        <f>IF(A87="","",INDEX(SKUs!$F$5:$F$304,MATCH(A87,SKUs!$I$5:$I$304,0)))</f>
        <v/>
      </c>
      <c r="F87" s="10">
        <f>IF(A87="","",INDEX(SKUs!$G$5:$G$304,MATCH(A87,SKUs!$I$5:$I$304,0)))</f>
        <v/>
      </c>
      <c r="G87" s="11">
        <f>IF(A87="","",INDEX(SKUs!$H$5:$H$304,MATCH(A87,SKUs!$I$5:$I$304,0)))</f>
        <v/>
      </c>
      <c r="H87" s="11">
        <f>IF(A87="","",IF(SUM(SKUs!$E$5:$E$304)=0,0,D87/SUM(SKUs!$E$5:$E$304)))</f>
        <v/>
      </c>
      <c r="I87" s="11">
        <f>IF(A87="","",SUM($H$6:H87))</f>
        <v/>
      </c>
      <c r="J87" s="5">
        <f>IF(A87="","",IF(I87&gt;=$B$3,1,0))</f>
        <v/>
      </c>
    </row>
    <row r="88">
      <c r="A88" s="5">
        <f>IF(83&gt;COUNT(SKUs!$I$5:$I$304),"",83)</f>
        <v/>
      </c>
      <c r="B88" s="5">
        <f>IF(A88="","",INDEX(SKUs!$A$5:$A$304,MATCH(A88,SKUs!$I$5:$I$304,0)))</f>
        <v/>
      </c>
      <c r="C88" s="15">
        <f>IF(A88="","",INDEX(SKUs!$B$5:$B$304,MATCH(A88,SKUs!$I$5:$I$304,0)))</f>
        <v/>
      </c>
      <c r="D88" s="10">
        <f>IF(A88="","",INDEX(SKUs!$E$5:$E$304,MATCH(A88,SKUs!$I$5:$I$304,0)))</f>
        <v/>
      </c>
      <c r="E88" s="10">
        <f>IF(A88="","",INDEX(SKUs!$F$5:$F$304,MATCH(A88,SKUs!$I$5:$I$304,0)))</f>
        <v/>
      </c>
      <c r="F88" s="10">
        <f>IF(A88="","",INDEX(SKUs!$G$5:$G$304,MATCH(A88,SKUs!$I$5:$I$304,0)))</f>
        <v/>
      </c>
      <c r="G88" s="11">
        <f>IF(A88="","",INDEX(SKUs!$H$5:$H$304,MATCH(A88,SKUs!$I$5:$I$304,0)))</f>
        <v/>
      </c>
      <c r="H88" s="11">
        <f>IF(A88="","",IF(SUM(SKUs!$E$5:$E$304)=0,0,D88/SUM(SKUs!$E$5:$E$304)))</f>
        <v/>
      </c>
      <c r="I88" s="11">
        <f>IF(A88="","",SUM($H$6:H88))</f>
        <v/>
      </c>
      <c r="J88" s="5">
        <f>IF(A88="","",IF(I88&gt;=$B$3,1,0))</f>
        <v/>
      </c>
    </row>
    <row r="89">
      <c r="A89" s="5">
        <f>IF(84&gt;COUNT(SKUs!$I$5:$I$304),"",84)</f>
        <v/>
      </c>
      <c r="B89" s="5">
        <f>IF(A89="","",INDEX(SKUs!$A$5:$A$304,MATCH(A89,SKUs!$I$5:$I$304,0)))</f>
        <v/>
      </c>
      <c r="C89" s="15">
        <f>IF(A89="","",INDEX(SKUs!$B$5:$B$304,MATCH(A89,SKUs!$I$5:$I$304,0)))</f>
        <v/>
      </c>
      <c r="D89" s="10">
        <f>IF(A89="","",INDEX(SKUs!$E$5:$E$304,MATCH(A89,SKUs!$I$5:$I$304,0)))</f>
        <v/>
      </c>
      <c r="E89" s="10">
        <f>IF(A89="","",INDEX(SKUs!$F$5:$F$304,MATCH(A89,SKUs!$I$5:$I$304,0)))</f>
        <v/>
      </c>
      <c r="F89" s="10">
        <f>IF(A89="","",INDEX(SKUs!$G$5:$G$304,MATCH(A89,SKUs!$I$5:$I$304,0)))</f>
        <v/>
      </c>
      <c r="G89" s="11">
        <f>IF(A89="","",INDEX(SKUs!$H$5:$H$304,MATCH(A89,SKUs!$I$5:$I$304,0)))</f>
        <v/>
      </c>
      <c r="H89" s="11">
        <f>IF(A89="","",IF(SUM(SKUs!$E$5:$E$304)=0,0,D89/SUM(SKUs!$E$5:$E$304)))</f>
        <v/>
      </c>
      <c r="I89" s="11">
        <f>IF(A89="","",SUM($H$6:H89))</f>
        <v/>
      </c>
      <c r="J89" s="5">
        <f>IF(A89="","",IF(I89&gt;=$B$3,1,0))</f>
        <v/>
      </c>
    </row>
    <row r="90">
      <c r="A90" s="5">
        <f>IF(85&gt;COUNT(SKUs!$I$5:$I$304),"",85)</f>
        <v/>
      </c>
      <c r="B90" s="5">
        <f>IF(A90="","",INDEX(SKUs!$A$5:$A$304,MATCH(A90,SKUs!$I$5:$I$304,0)))</f>
        <v/>
      </c>
      <c r="C90" s="15">
        <f>IF(A90="","",INDEX(SKUs!$B$5:$B$304,MATCH(A90,SKUs!$I$5:$I$304,0)))</f>
        <v/>
      </c>
      <c r="D90" s="10">
        <f>IF(A90="","",INDEX(SKUs!$E$5:$E$304,MATCH(A90,SKUs!$I$5:$I$304,0)))</f>
        <v/>
      </c>
      <c r="E90" s="10">
        <f>IF(A90="","",INDEX(SKUs!$F$5:$F$304,MATCH(A90,SKUs!$I$5:$I$304,0)))</f>
        <v/>
      </c>
      <c r="F90" s="10">
        <f>IF(A90="","",INDEX(SKUs!$G$5:$G$304,MATCH(A90,SKUs!$I$5:$I$304,0)))</f>
        <v/>
      </c>
      <c r="G90" s="11">
        <f>IF(A90="","",INDEX(SKUs!$H$5:$H$304,MATCH(A90,SKUs!$I$5:$I$304,0)))</f>
        <v/>
      </c>
      <c r="H90" s="11">
        <f>IF(A90="","",IF(SUM(SKUs!$E$5:$E$304)=0,0,D90/SUM(SKUs!$E$5:$E$304)))</f>
        <v/>
      </c>
      <c r="I90" s="11">
        <f>IF(A90="","",SUM($H$6:H90))</f>
        <v/>
      </c>
      <c r="J90" s="5">
        <f>IF(A90="","",IF(I90&gt;=$B$3,1,0))</f>
        <v/>
      </c>
    </row>
    <row r="91">
      <c r="A91" s="5">
        <f>IF(86&gt;COUNT(SKUs!$I$5:$I$304),"",86)</f>
        <v/>
      </c>
      <c r="B91" s="5">
        <f>IF(A91="","",INDEX(SKUs!$A$5:$A$304,MATCH(A91,SKUs!$I$5:$I$304,0)))</f>
        <v/>
      </c>
      <c r="C91" s="15">
        <f>IF(A91="","",INDEX(SKUs!$B$5:$B$304,MATCH(A91,SKUs!$I$5:$I$304,0)))</f>
        <v/>
      </c>
      <c r="D91" s="10">
        <f>IF(A91="","",INDEX(SKUs!$E$5:$E$304,MATCH(A91,SKUs!$I$5:$I$304,0)))</f>
        <v/>
      </c>
      <c r="E91" s="10">
        <f>IF(A91="","",INDEX(SKUs!$F$5:$F$304,MATCH(A91,SKUs!$I$5:$I$304,0)))</f>
        <v/>
      </c>
      <c r="F91" s="10">
        <f>IF(A91="","",INDEX(SKUs!$G$5:$G$304,MATCH(A91,SKUs!$I$5:$I$304,0)))</f>
        <v/>
      </c>
      <c r="G91" s="11">
        <f>IF(A91="","",INDEX(SKUs!$H$5:$H$304,MATCH(A91,SKUs!$I$5:$I$304,0)))</f>
        <v/>
      </c>
      <c r="H91" s="11">
        <f>IF(A91="","",IF(SUM(SKUs!$E$5:$E$304)=0,0,D91/SUM(SKUs!$E$5:$E$304)))</f>
        <v/>
      </c>
      <c r="I91" s="11">
        <f>IF(A91="","",SUM($H$6:H91))</f>
        <v/>
      </c>
      <c r="J91" s="5">
        <f>IF(A91="","",IF(I91&gt;=$B$3,1,0))</f>
        <v/>
      </c>
    </row>
    <row r="92">
      <c r="A92" s="5">
        <f>IF(87&gt;COUNT(SKUs!$I$5:$I$304),"",87)</f>
        <v/>
      </c>
      <c r="B92" s="5">
        <f>IF(A92="","",INDEX(SKUs!$A$5:$A$304,MATCH(A92,SKUs!$I$5:$I$304,0)))</f>
        <v/>
      </c>
      <c r="C92" s="15">
        <f>IF(A92="","",INDEX(SKUs!$B$5:$B$304,MATCH(A92,SKUs!$I$5:$I$304,0)))</f>
        <v/>
      </c>
      <c r="D92" s="10">
        <f>IF(A92="","",INDEX(SKUs!$E$5:$E$304,MATCH(A92,SKUs!$I$5:$I$304,0)))</f>
        <v/>
      </c>
      <c r="E92" s="10">
        <f>IF(A92="","",INDEX(SKUs!$F$5:$F$304,MATCH(A92,SKUs!$I$5:$I$304,0)))</f>
        <v/>
      </c>
      <c r="F92" s="10">
        <f>IF(A92="","",INDEX(SKUs!$G$5:$G$304,MATCH(A92,SKUs!$I$5:$I$304,0)))</f>
        <v/>
      </c>
      <c r="G92" s="11">
        <f>IF(A92="","",INDEX(SKUs!$H$5:$H$304,MATCH(A92,SKUs!$I$5:$I$304,0)))</f>
        <v/>
      </c>
      <c r="H92" s="11">
        <f>IF(A92="","",IF(SUM(SKUs!$E$5:$E$304)=0,0,D92/SUM(SKUs!$E$5:$E$304)))</f>
        <v/>
      </c>
      <c r="I92" s="11">
        <f>IF(A92="","",SUM($H$6:H92))</f>
        <v/>
      </c>
      <c r="J92" s="5">
        <f>IF(A92="","",IF(I92&gt;=$B$3,1,0))</f>
        <v/>
      </c>
    </row>
    <row r="93">
      <c r="A93" s="5">
        <f>IF(88&gt;COUNT(SKUs!$I$5:$I$304),"",88)</f>
        <v/>
      </c>
      <c r="B93" s="5">
        <f>IF(A93="","",INDEX(SKUs!$A$5:$A$304,MATCH(A93,SKUs!$I$5:$I$304,0)))</f>
        <v/>
      </c>
      <c r="C93" s="15">
        <f>IF(A93="","",INDEX(SKUs!$B$5:$B$304,MATCH(A93,SKUs!$I$5:$I$304,0)))</f>
        <v/>
      </c>
      <c r="D93" s="10">
        <f>IF(A93="","",INDEX(SKUs!$E$5:$E$304,MATCH(A93,SKUs!$I$5:$I$304,0)))</f>
        <v/>
      </c>
      <c r="E93" s="10">
        <f>IF(A93="","",INDEX(SKUs!$F$5:$F$304,MATCH(A93,SKUs!$I$5:$I$304,0)))</f>
        <v/>
      </c>
      <c r="F93" s="10">
        <f>IF(A93="","",INDEX(SKUs!$G$5:$G$304,MATCH(A93,SKUs!$I$5:$I$304,0)))</f>
        <v/>
      </c>
      <c r="G93" s="11">
        <f>IF(A93="","",INDEX(SKUs!$H$5:$H$304,MATCH(A93,SKUs!$I$5:$I$304,0)))</f>
        <v/>
      </c>
      <c r="H93" s="11">
        <f>IF(A93="","",IF(SUM(SKUs!$E$5:$E$304)=0,0,D93/SUM(SKUs!$E$5:$E$304)))</f>
        <v/>
      </c>
      <c r="I93" s="11">
        <f>IF(A93="","",SUM($H$6:H93))</f>
        <v/>
      </c>
      <c r="J93" s="5">
        <f>IF(A93="","",IF(I93&gt;=$B$3,1,0))</f>
        <v/>
      </c>
    </row>
    <row r="94">
      <c r="A94" s="5">
        <f>IF(89&gt;COUNT(SKUs!$I$5:$I$304),"",89)</f>
        <v/>
      </c>
      <c r="B94" s="5">
        <f>IF(A94="","",INDEX(SKUs!$A$5:$A$304,MATCH(A94,SKUs!$I$5:$I$304,0)))</f>
        <v/>
      </c>
      <c r="C94" s="15">
        <f>IF(A94="","",INDEX(SKUs!$B$5:$B$304,MATCH(A94,SKUs!$I$5:$I$304,0)))</f>
        <v/>
      </c>
      <c r="D94" s="10">
        <f>IF(A94="","",INDEX(SKUs!$E$5:$E$304,MATCH(A94,SKUs!$I$5:$I$304,0)))</f>
        <v/>
      </c>
      <c r="E94" s="10">
        <f>IF(A94="","",INDEX(SKUs!$F$5:$F$304,MATCH(A94,SKUs!$I$5:$I$304,0)))</f>
        <v/>
      </c>
      <c r="F94" s="10">
        <f>IF(A94="","",INDEX(SKUs!$G$5:$G$304,MATCH(A94,SKUs!$I$5:$I$304,0)))</f>
        <v/>
      </c>
      <c r="G94" s="11">
        <f>IF(A94="","",INDEX(SKUs!$H$5:$H$304,MATCH(A94,SKUs!$I$5:$I$304,0)))</f>
        <v/>
      </c>
      <c r="H94" s="11">
        <f>IF(A94="","",IF(SUM(SKUs!$E$5:$E$304)=0,0,D94/SUM(SKUs!$E$5:$E$304)))</f>
        <v/>
      </c>
      <c r="I94" s="11">
        <f>IF(A94="","",SUM($H$6:H94))</f>
        <v/>
      </c>
      <c r="J94" s="5">
        <f>IF(A94="","",IF(I94&gt;=$B$3,1,0))</f>
        <v/>
      </c>
    </row>
    <row r="95">
      <c r="A95" s="5">
        <f>IF(90&gt;COUNT(SKUs!$I$5:$I$304),"",90)</f>
        <v/>
      </c>
      <c r="B95" s="5">
        <f>IF(A95="","",INDEX(SKUs!$A$5:$A$304,MATCH(A95,SKUs!$I$5:$I$304,0)))</f>
        <v/>
      </c>
      <c r="C95" s="15">
        <f>IF(A95="","",INDEX(SKUs!$B$5:$B$304,MATCH(A95,SKUs!$I$5:$I$304,0)))</f>
        <v/>
      </c>
      <c r="D95" s="10">
        <f>IF(A95="","",INDEX(SKUs!$E$5:$E$304,MATCH(A95,SKUs!$I$5:$I$304,0)))</f>
        <v/>
      </c>
      <c r="E95" s="10">
        <f>IF(A95="","",INDEX(SKUs!$F$5:$F$304,MATCH(A95,SKUs!$I$5:$I$304,0)))</f>
        <v/>
      </c>
      <c r="F95" s="10">
        <f>IF(A95="","",INDEX(SKUs!$G$5:$G$304,MATCH(A95,SKUs!$I$5:$I$304,0)))</f>
        <v/>
      </c>
      <c r="G95" s="11">
        <f>IF(A95="","",INDEX(SKUs!$H$5:$H$304,MATCH(A95,SKUs!$I$5:$I$304,0)))</f>
        <v/>
      </c>
      <c r="H95" s="11">
        <f>IF(A95="","",IF(SUM(SKUs!$E$5:$E$304)=0,0,D95/SUM(SKUs!$E$5:$E$304)))</f>
        <v/>
      </c>
      <c r="I95" s="11">
        <f>IF(A95="","",SUM($H$6:H95))</f>
        <v/>
      </c>
      <c r="J95" s="5">
        <f>IF(A95="","",IF(I95&gt;=$B$3,1,0))</f>
        <v/>
      </c>
    </row>
    <row r="96">
      <c r="A96" s="5">
        <f>IF(91&gt;COUNT(SKUs!$I$5:$I$304),"",91)</f>
        <v/>
      </c>
      <c r="B96" s="5">
        <f>IF(A96="","",INDEX(SKUs!$A$5:$A$304,MATCH(A96,SKUs!$I$5:$I$304,0)))</f>
        <v/>
      </c>
      <c r="C96" s="15">
        <f>IF(A96="","",INDEX(SKUs!$B$5:$B$304,MATCH(A96,SKUs!$I$5:$I$304,0)))</f>
        <v/>
      </c>
      <c r="D96" s="10">
        <f>IF(A96="","",INDEX(SKUs!$E$5:$E$304,MATCH(A96,SKUs!$I$5:$I$304,0)))</f>
        <v/>
      </c>
      <c r="E96" s="10">
        <f>IF(A96="","",INDEX(SKUs!$F$5:$F$304,MATCH(A96,SKUs!$I$5:$I$304,0)))</f>
        <v/>
      </c>
      <c r="F96" s="10">
        <f>IF(A96="","",INDEX(SKUs!$G$5:$G$304,MATCH(A96,SKUs!$I$5:$I$304,0)))</f>
        <v/>
      </c>
      <c r="G96" s="11">
        <f>IF(A96="","",INDEX(SKUs!$H$5:$H$304,MATCH(A96,SKUs!$I$5:$I$304,0)))</f>
        <v/>
      </c>
      <c r="H96" s="11">
        <f>IF(A96="","",IF(SUM(SKUs!$E$5:$E$304)=0,0,D96/SUM(SKUs!$E$5:$E$304)))</f>
        <v/>
      </c>
      <c r="I96" s="11">
        <f>IF(A96="","",SUM($H$6:H96))</f>
        <v/>
      </c>
      <c r="J96" s="5">
        <f>IF(A96="","",IF(I96&gt;=$B$3,1,0))</f>
        <v/>
      </c>
    </row>
    <row r="97">
      <c r="A97" s="5">
        <f>IF(92&gt;COUNT(SKUs!$I$5:$I$304),"",92)</f>
        <v/>
      </c>
      <c r="B97" s="5">
        <f>IF(A97="","",INDEX(SKUs!$A$5:$A$304,MATCH(A97,SKUs!$I$5:$I$304,0)))</f>
        <v/>
      </c>
      <c r="C97" s="15">
        <f>IF(A97="","",INDEX(SKUs!$B$5:$B$304,MATCH(A97,SKUs!$I$5:$I$304,0)))</f>
        <v/>
      </c>
      <c r="D97" s="10">
        <f>IF(A97="","",INDEX(SKUs!$E$5:$E$304,MATCH(A97,SKUs!$I$5:$I$304,0)))</f>
        <v/>
      </c>
      <c r="E97" s="10">
        <f>IF(A97="","",INDEX(SKUs!$F$5:$F$304,MATCH(A97,SKUs!$I$5:$I$304,0)))</f>
        <v/>
      </c>
      <c r="F97" s="10">
        <f>IF(A97="","",INDEX(SKUs!$G$5:$G$304,MATCH(A97,SKUs!$I$5:$I$304,0)))</f>
        <v/>
      </c>
      <c r="G97" s="11">
        <f>IF(A97="","",INDEX(SKUs!$H$5:$H$304,MATCH(A97,SKUs!$I$5:$I$304,0)))</f>
        <v/>
      </c>
      <c r="H97" s="11">
        <f>IF(A97="","",IF(SUM(SKUs!$E$5:$E$304)=0,0,D97/SUM(SKUs!$E$5:$E$304)))</f>
        <v/>
      </c>
      <c r="I97" s="11">
        <f>IF(A97="","",SUM($H$6:H97))</f>
        <v/>
      </c>
      <c r="J97" s="5">
        <f>IF(A97="","",IF(I97&gt;=$B$3,1,0))</f>
        <v/>
      </c>
    </row>
    <row r="98">
      <c r="A98" s="5">
        <f>IF(93&gt;COUNT(SKUs!$I$5:$I$304),"",93)</f>
        <v/>
      </c>
      <c r="B98" s="5">
        <f>IF(A98="","",INDEX(SKUs!$A$5:$A$304,MATCH(A98,SKUs!$I$5:$I$304,0)))</f>
        <v/>
      </c>
      <c r="C98" s="15">
        <f>IF(A98="","",INDEX(SKUs!$B$5:$B$304,MATCH(A98,SKUs!$I$5:$I$304,0)))</f>
        <v/>
      </c>
      <c r="D98" s="10">
        <f>IF(A98="","",INDEX(SKUs!$E$5:$E$304,MATCH(A98,SKUs!$I$5:$I$304,0)))</f>
        <v/>
      </c>
      <c r="E98" s="10">
        <f>IF(A98="","",INDEX(SKUs!$F$5:$F$304,MATCH(A98,SKUs!$I$5:$I$304,0)))</f>
        <v/>
      </c>
      <c r="F98" s="10">
        <f>IF(A98="","",INDEX(SKUs!$G$5:$G$304,MATCH(A98,SKUs!$I$5:$I$304,0)))</f>
        <v/>
      </c>
      <c r="G98" s="11">
        <f>IF(A98="","",INDEX(SKUs!$H$5:$H$304,MATCH(A98,SKUs!$I$5:$I$304,0)))</f>
        <v/>
      </c>
      <c r="H98" s="11">
        <f>IF(A98="","",IF(SUM(SKUs!$E$5:$E$304)=0,0,D98/SUM(SKUs!$E$5:$E$304)))</f>
        <v/>
      </c>
      <c r="I98" s="11">
        <f>IF(A98="","",SUM($H$6:H98))</f>
        <v/>
      </c>
      <c r="J98" s="5">
        <f>IF(A98="","",IF(I98&gt;=$B$3,1,0))</f>
        <v/>
      </c>
    </row>
    <row r="99">
      <c r="A99" s="5">
        <f>IF(94&gt;COUNT(SKUs!$I$5:$I$304),"",94)</f>
        <v/>
      </c>
      <c r="B99" s="5">
        <f>IF(A99="","",INDEX(SKUs!$A$5:$A$304,MATCH(A99,SKUs!$I$5:$I$304,0)))</f>
        <v/>
      </c>
      <c r="C99" s="15">
        <f>IF(A99="","",INDEX(SKUs!$B$5:$B$304,MATCH(A99,SKUs!$I$5:$I$304,0)))</f>
        <v/>
      </c>
      <c r="D99" s="10">
        <f>IF(A99="","",INDEX(SKUs!$E$5:$E$304,MATCH(A99,SKUs!$I$5:$I$304,0)))</f>
        <v/>
      </c>
      <c r="E99" s="10">
        <f>IF(A99="","",INDEX(SKUs!$F$5:$F$304,MATCH(A99,SKUs!$I$5:$I$304,0)))</f>
        <v/>
      </c>
      <c r="F99" s="10">
        <f>IF(A99="","",INDEX(SKUs!$G$5:$G$304,MATCH(A99,SKUs!$I$5:$I$304,0)))</f>
        <v/>
      </c>
      <c r="G99" s="11">
        <f>IF(A99="","",INDEX(SKUs!$H$5:$H$304,MATCH(A99,SKUs!$I$5:$I$304,0)))</f>
        <v/>
      </c>
      <c r="H99" s="11">
        <f>IF(A99="","",IF(SUM(SKUs!$E$5:$E$304)=0,0,D99/SUM(SKUs!$E$5:$E$304)))</f>
        <v/>
      </c>
      <c r="I99" s="11">
        <f>IF(A99="","",SUM($H$6:H99))</f>
        <v/>
      </c>
      <c r="J99" s="5">
        <f>IF(A99="","",IF(I99&gt;=$B$3,1,0))</f>
        <v/>
      </c>
    </row>
    <row r="100">
      <c r="A100" s="5">
        <f>IF(95&gt;COUNT(SKUs!$I$5:$I$304),"",95)</f>
        <v/>
      </c>
      <c r="B100" s="5">
        <f>IF(A100="","",INDEX(SKUs!$A$5:$A$304,MATCH(A100,SKUs!$I$5:$I$304,0)))</f>
        <v/>
      </c>
      <c r="C100" s="15">
        <f>IF(A100="","",INDEX(SKUs!$B$5:$B$304,MATCH(A100,SKUs!$I$5:$I$304,0)))</f>
        <v/>
      </c>
      <c r="D100" s="10">
        <f>IF(A100="","",INDEX(SKUs!$E$5:$E$304,MATCH(A100,SKUs!$I$5:$I$304,0)))</f>
        <v/>
      </c>
      <c r="E100" s="10">
        <f>IF(A100="","",INDEX(SKUs!$F$5:$F$304,MATCH(A100,SKUs!$I$5:$I$304,0)))</f>
        <v/>
      </c>
      <c r="F100" s="10">
        <f>IF(A100="","",INDEX(SKUs!$G$5:$G$304,MATCH(A100,SKUs!$I$5:$I$304,0)))</f>
        <v/>
      </c>
      <c r="G100" s="11">
        <f>IF(A100="","",INDEX(SKUs!$H$5:$H$304,MATCH(A100,SKUs!$I$5:$I$304,0)))</f>
        <v/>
      </c>
      <c r="H100" s="11">
        <f>IF(A100="","",IF(SUM(SKUs!$E$5:$E$304)=0,0,D100/SUM(SKUs!$E$5:$E$304)))</f>
        <v/>
      </c>
      <c r="I100" s="11">
        <f>IF(A100="","",SUM($H$6:H100))</f>
        <v/>
      </c>
      <c r="J100" s="5">
        <f>IF(A100="","",IF(I100&gt;=$B$3,1,0))</f>
        <v/>
      </c>
    </row>
    <row r="101">
      <c r="A101" s="5">
        <f>IF(96&gt;COUNT(SKUs!$I$5:$I$304),"",96)</f>
        <v/>
      </c>
      <c r="B101" s="5">
        <f>IF(A101="","",INDEX(SKUs!$A$5:$A$304,MATCH(A101,SKUs!$I$5:$I$304,0)))</f>
        <v/>
      </c>
      <c r="C101" s="15">
        <f>IF(A101="","",INDEX(SKUs!$B$5:$B$304,MATCH(A101,SKUs!$I$5:$I$304,0)))</f>
        <v/>
      </c>
      <c r="D101" s="10">
        <f>IF(A101="","",INDEX(SKUs!$E$5:$E$304,MATCH(A101,SKUs!$I$5:$I$304,0)))</f>
        <v/>
      </c>
      <c r="E101" s="10">
        <f>IF(A101="","",INDEX(SKUs!$F$5:$F$304,MATCH(A101,SKUs!$I$5:$I$304,0)))</f>
        <v/>
      </c>
      <c r="F101" s="10">
        <f>IF(A101="","",INDEX(SKUs!$G$5:$G$304,MATCH(A101,SKUs!$I$5:$I$304,0)))</f>
        <v/>
      </c>
      <c r="G101" s="11">
        <f>IF(A101="","",INDEX(SKUs!$H$5:$H$304,MATCH(A101,SKUs!$I$5:$I$304,0)))</f>
        <v/>
      </c>
      <c r="H101" s="11">
        <f>IF(A101="","",IF(SUM(SKUs!$E$5:$E$304)=0,0,D101/SUM(SKUs!$E$5:$E$304)))</f>
        <v/>
      </c>
      <c r="I101" s="11">
        <f>IF(A101="","",SUM($H$6:H101))</f>
        <v/>
      </c>
      <c r="J101" s="5">
        <f>IF(A101="","",IF(I101&gt;=$B$3,1,0))</f>
        <v/>
      </c>
    </row>
    <row r="102">
      <c r="A102" s="5">
        <f>IF(97&gt;COUNT(SKUs!$I$5:$I$304),"",97)</f>
        <v/>
      </c>
      <c r="B102" s="5">
        <f>IF(A102="","",INDEX(SKUs!$A$5:$A$304,MATCH(A102,SKUs!$I$5:$I$304,0)))</f>
        <v/>
      </c>
      <c r="C102" s="15">
        <f>IF(A102="","",INDEX(SKUs!$B$5:$B$304,MATCH(A102,SKUs!$I$5:$I$304,0)))</f>
        <v/>
      </c>
      <c r="D102" s="10">
        <f>IF(A102="","",INDEX(SKUs!$E$5:$E$304,MATCH(A102,SKUs!$I$5:$I$304,0)))</f>
        <v/>
      </c>
      <c r="E102" s="10">
        <f>IF(A102="","",INDEX(SKUs!$F$5:$F$304,MATCH(A102,SKUs!$I$5:$I$304,0)))</f>
        <v/>
      </c>
      <c r="F102" s="10">
        <f>IF(A102="","",INDEX(SKUs!$G$5:$G$304,MATCH(A102,SKUs!$I$5:$I$304,0)))</f>
        <v/>
      </c>
      <c r="G102" s="11">
        <f>IF(A102="","",INDEX(SKUs!$H$5:$H$304,MATCH(A102,SKUs!$I$5:$I$304,0)))</f>
        <v/>
      </c>
      <c r="H102" s="11">
        <f>IF(A102="","",IF(SUM(SKUs!$E$5:$E$304)=0,0,D102/SUM(SKUs!$E$5:$E$304)))</f>
        <v/>
      </c>
      <c r="I102" s="11">
        <f>IF(A102="","",SUM($H$6:H102))</f>
        <v/>
      </c>
      <c r="J102" s="5">
        <f>IF(A102="","",IF(I102&gt;=$B$3,1,0))</f>
        <v/>
      </c>
    </row>
    <row r="103">
      <c r="A103" s="5">
        <f>IF(98&gt;COUNT(SKUs!$I$5:$I$304),"",98)</f>
        <v/>
      </c>
      <c r="B103" s="5">
        <f>IF(A103="","",INDEX(SKUs!$A$5:$A$304,MATCH(A103,SKUs!$I$5:$I$304,0)))</f>
        <v/>
      </c>
      <c r="C103" s="15">
        <f>IF(A103="","",INDEX(SKUs!$B$5:$B$304,MATCH(A103,SKUs!$I$5:$I$304,0)))</f>
        <v/>
      </c>
      <c r="D103" s="10">
        <f>IF(A103="","",INDEX(SKUs!$E$5:$E$304,MATCH(A103,SKUs!$I$5:$I$304,0)))</f>
        <v/>
      </c>
      <c r="E103" s="10">
        <f>IF(A103="","",INDEX(SKUs!$F$5:$F$304,MATCH(A103,SKUs!$I$5:$I$304,0)))</f>
        <v/>
      </c>
      <c r="F103" s="10">
        <f>IF(A103="","",INDEX(SKUs!$G$5:$G$304,MATCH(A103,SKUs!$I$5:$I$304,0)))</f>
        <v/>
      </c>
      <c r="G103" s="11">
        <f>IF(A103="","",INDEX(SKUs!$H$5:$H$304,MATCH(A103,SKUs!$I$5:$I$304,0)))</f>
        <v/>
      </c>
      <c r="H103" s="11">
        <f>IF(A103="","",IF(SUM(SKUs!$E$5:$E$304)=0,0,D103/SUM(SKUs!$E$5:$E$304)))</f>
        <v/>
      </c>
      <c r="I103" s="11">
        <f>IF(A103="","",SUM($H$6:H103))</f>
        <v/>
      </c>
      <c r="J103" s="5">
        <f>IF(A103="","",IF(I103&gt;=$B$3,1,0))</f>
        <v/>
      </c>
    </row>
    <row r="104">
      <c r="A104" s="5">
        <f>IF(99&gt;COUNT(SKUs!$I$5:$I$304),"",99)</f>
        <v/>
      </c>
      <c r="B104" s="5">
        <f>IF(A104="","",INDEX(SKUs!$A$5:$A$304,MATCH(A104,SKUs!$I$5:$I$304,0)))</f>
        <v/>
      </c>
      <c r="C104" s="15">
        <f>IF(A104="","",INDEX(SKUs!$B$5:$B$304,MATCH(A104,SKUs!$I$5:$I$304,0)))</f>
        <v/>
      </c>
      <c r="D104" s="10">
        <f>IF(A104="","",INDEX(SKUs!$E$5:$E$304,MATCH(A104,SKUs!$I$5:$I$304,0)))</f>
        <v/>
      </c>
      <c r="E104" s="10">
        <f>IF(A104="","",INDEX(SKUs!$F$5:$F$304,MATCH(A104,SKUs!$I$5:$I$304,0)))</f>
        <v/>
      </c>
      <c r="F104" s="10">
        <f>IF(A104="","",INDEX(SKUs!$G$5:$G$304,MATCH(A104,SKUs!$I$5:$I$304,0)))</f>
        <v/>
      </c>
      <c r="G104" s="11">
        <f>IF(A104="","",INDEX(SKUs!$H$5:$H$304,MATCH(A104,SKUs!$I$5:$I$304,0)))</f>
        <v/>
      </c>
      <c r="H104" s="11">
        <f>IF(A104="","",IF(SUM(SKUs!$E$5:$E$304)=0,0,D104/SUM(SKUs!$E$5:$E$304)))</f>
        <v/>
      </c>
      <c r="I104" s="11">
        <f>IF(A104="","",SUM($H$6:H104))</f>
        <v/>
      </c>
      <c r="J104" s="5">
        <f>IF(A104="","",IF(I104&gt;=$B$3,1,0))</f>
        <v/>
      </c>
    </row>
    <row r="105">
      <c r="A105" s="5">
        <f>IF(100&gt;COUNT(SKUs!$I$5:$I$304),"",100)</f>
        <v/>
      </c>
      <c r="B105" s="5">
        <f>IF(A105="","",INDEX(SKUs!$A$5:$A$304,MATCH(A105,SKUs!$I$5:$I$304,0)))</f>
        <v/>
      </c>
      <c r="C105" s="15">
        <f>IF(A105="","",INDEX(SKUs!$B$5:$B$304,MATCH(A105,SKUs!$I$5:$I$304,0)))</f>
        <v/>
      </c>
      <c r="D105" s="10">
        <f>IF(A105="","",INDEX(SKUs!$E$5:$E$304,MATCH(A105,SKUs!$I$5:$I$304,0)))</f>
        <v/>
      </c>
      <c r="E105" s="10">
        <f>IF(A105="","",INDEX(SKUs!$F$5:$F$304,MATCH(A105,SKUs!$I$5:$I$304,0)))</f>
        <v/>
      </c>
      <c r="F105" s="10">
        <f>IF(A105="","",INDEX(SKUs!$G$5:$G$304,MATCH(A105,SKUs!$I$5:$I$304,0)))</f>
        <v/>
      </c>
      <c r="G105" s="11">
        <f>IF(A105="","",INDEX(SKUs!$H$5:$H$304,MATCH(A105,SKUs!$I$5:$I$304,0)))</f>
        <v/>
      </c>
      <c r="H105" s="11">
        <f>IF(A105="","",IF(SUM(SKUs!$E$5:$E$304)=0,0,D105/SUM(SKUs!$E$5:$E$304)))</f>
        <v/>
      </c>
      <c r="I105" s="11">
        <f>IF(A105="","",SUM($H$6:H105))</f>
        <v/>
      </c>
      <c r="J105" s="5">
        <f>IF(A105="","",IF(I105&gt;=$B$3,1,0))</f>
        <v/>
      </c>
    </row>
    <row r="106">
      <c r="A106" s="5">
        <f>IF(101&gt;COUNT(SKUs!$I$5:$I$304),"",101)</f>
        <v/>
      </c>
      <c r="B106" s="5">
        <f>IF(A106="","",INDEX(SKUs!$A$5:$A$304,MATCH(A106,SKUs!$I$5:$I$304,0)))</f>
        <v/>
      </c>
      <c r="C106" s="15">
        <f>IF(A106="","",INDEX(SKUs!$B$5:$B$304,MATCH(A106,SKUs!$I$5:$I$304,0)))</f>
        <v/>
      </c>
      <c r="D106" s="10">
        <f>IF(A106="","",INDEX(SKUs!$E$5:$E$304,MATCH(A106,SKUs!$I$5:$I$304,0)))</f>
        <v/>
      </c>
      <c r="E106" s="10">
        <f>IF(A106="","",INDEX(SKUs!$F$5:$F$304,MATCH(A106,SKUs!$I$5:$I$304,0)))</f>
        <v/>
      </c>
      <c r="F106" s="10">
        <f>IF(A106="","",INDEX(SKUs!$G$5:$G$304,MATCH(A106,SKUs!$I$5:$I$304,0)))</f>
        <v/>
      </c>
      <c r="G106" s="11">
        <f>IF(A106="","",INDEX(SKUs!$H$5:$H$304,MATCH(A106,SKUs!$I$5:$I$304,0)))</f>
        <v/>
      </c>
      <c r="H106" s="11">
        <f>IF(A106="","",IF(SUM(SKUs!$E$5:$E$304)=0,0,D106/SUM(SKUs!$E$5:$E$304)))</f>
        <v/>
      </c>
      <c r="I106" s="11">
        <f>IF(A106="","",SUM($H$6:H106))</f>
        <v/>
      </c>
      <c r="J106" s="5">
        <f>IF(A106="","",IF(I106&gt;=$B$3,1,0))</f>
        <v/>
      </c>
    </row>
    <row r="107">
      <c r="A107" s="5">
        <f>IF(102&gt;COUNT(SKUs!$I$5:$I$304),"",102)</f>
        <v/>
      </c>
      <c r="B107" s="5">
        <f>IF(A107="","",INDEX(SKUs!$A$5:$A$304,MATCH(A107,SKUs!$I$5:$I$304,0)))</f>
        <v/>
      </c>
      <c r="C107" s="15">
        <f>IF(A107="","",INDEX(SKUs!$B$5:$B$304,MATCH(A107,SKUs!$I$5:$I$304,0)))</f>
        <v/>
      </c>
      <c r="D107" s="10">
        <f>IF(A107="","",INDEX(SKUs!$E$5:$E$304,MATCH(A107,SKUs!$I$5:$I$304,0)))</f>
        <v/>
      </c>
      <c r="E107" s="10">
        <f>IF(A107="","",INDEX(SKUs!$F$5:$F$304,MATCH(A107,SKUs!$I$5:$I$304,0)))</f>
        <v/>
      </c>
      <c r="F107" s="10">
        <f>IF(A107="","",INDEX(SKUs!$G$5:$G$304,MATCH(A107,SKUs!$I$5:$I$304,0)))</f>
        <v/>
      </c>
      <c r="G107" s="11">
        <f>IF(A107="","",INDEX(SKUs!$H$5:$H$304,MATCH(A107,SKUs!$I$5:$I$304,0)))</f>
        <v/>
      </c>
      <c r="H107" s="11">
        <f>IF(A107="","",IF(SUM(SKUs!$E$5:$E$304)=0,0,D107/SUM(SKUs!$E$5:$E$304)))</f>
        <v/>
      </c>
      <c r="I107" s="11">
        <f>IF(A107="","",SUM($H$6:H107))</f>
        <v/>
      </c>
      <c r="J107" s="5">
        <f>IF(A107="","",IF(I107&gt;=$B$3,1,0))</f>
        <v/>
      </c>
    </row>
    <row r="108">
      <c r="A108" s="5">
        <f>IF(103&gt;COUNT(SKUs!$I$5:$I$304),"",103)</f>
        <v/>
      </c>
      <c r="B108" s="5">
        <f>IF(A108="","",INDEX(SKUs!$A$5:$A$304,MATCH(A108,SKUs!$I$5:$I$304,0)))</f>
        <v/>
      </c>
      <c r="C108" s="15">
        <f>IF(A108="","",INDEX(SKUs!$B$5:$B$304,MATCH(A108,SKUs!$I$5:$I$304,0)))</f>
        <v/>
      </c>
      <c r="D108" s="10">
        <f>IF(A108="","",INDEX(SKUs!$E$5:$E$304,MATCH(A108,SKUs!$I$5:$I$304,0)))</f>
        <v/>
      </c>
      <c r="E108" s="10">
        <f>IF(A108="","",INDEX(SKUs!$F$5:$F$304,MATCH(A108,SKUs!$I$5:$I$304,0)))</f>
        <v/>
      </c>
      <c r="F108" s="10">
        <f>IF(A108="","",INDEX(SKUs!$G$5:$G$304,MATCH(A108,SKUs!$I$5:$I$304,0)))</f>
        <v/>
      </c>
      <c r="G108" s="11">
        <f>IF(A108="","",INDEX(SKUs!$H$5:$H$304,MATCH(A108,SKUs!$I$5:$I$304,0)))</f>
        <v/>
      </c>
      <c r="H108" s="11">
        <f>IF(A108="","",IF(SUM(SKUs!$E$5:$E$304)=0,0,D108/SUM(SKUs!$E$5:$E$304)))</f>
        <v/>
      </c>
      <c r="I108" s="11">
        <f>IF(A108="","",SUM($H$6:H108))</f>
        <v/>
      </c>
      <c r="J108" s="5">
        <f>IF(A108="","",IF(I108&gt;=$B$3,1,0))</f>
        <v/>
      </c>
    </row>
    <row r="109">
      <c r="A109" s="5">
        <f>IF(104&gt;COUNT(SKUs!$I$5:$I$304),"",104)</f>
        <v/>
      </c>
      <c r="B109" s="5">
        <f>IF(A109="","",INDEX(SKUs!$A$5:$A$304,MATCH(A109,SKUs!$I$5:$I$304,0)))</f>
        <v/>
      </c>
      <c r="C109" s="15">
        <f>IF(A109="","",INDEX(SKUs!$B$5:$B$304,MATCH(A109,SKUs!$I$5:$I$304,0)))</f>
        <v/>
      </c>
      <c r="D109" s="10">
        <f>IF(A109="","",INDEX(SKUs!$E$5:$E$304,MATCH(A109,SKUs!$I$5:$I$304,0)))</f>
        <v/>
      </c>
      <c r="E109" s="10">
        <f>IF(A109="","",INDEX(SKUs!$F$5:$F$304,MATCH(A109,SKUs!$I$5:$I$304,0)))</f>
        <v/>
      </c>
      <c r="F109" s="10">
        <f>IF(A109="","",INDEX(SKUs!$G$5:$G$304,MATCH(A109,SKUs!$I$5:$I$304,0)))</f>
        <v/>
      </c>
      <c r="G109" s="11">
        <f>IF(A109="","",INDEX(SKUs!$H$5:$H$304,MATCH(A109,SKUs!$I$5:$I$304,0)))</f>
        <v/>
      </c>
      <c r="H109" s="11">
        <f>IF(A109="","",IF(SUM(SKUs!$E$5:$E$304)=0,0,D109/SUM(SKUs!$E$5:$E$304)))</f>
        <v/>
      </c>
      <c r="I109" s="11">
        <f>IF(A109="","",SUM($H$6:H109))</f>
        <v/>
      </c>
      <c r="J109" s="5">
        <f>IF(A109="","",IF(I109&gt;=$B$3,1,0))</f>
        <v/>
      </c>
    </row>
    <row r="110">
      <c r="A110" s="5">
        <f>IF(105&gt;COUNT(SKUs!$I$5:$I$304),"",105)</f>
        <v/>
      </c>
      <c r="B110" s="5">
        <f>IF(A110="","",INDEX(SKUs!$A$5:$A$304,MATCH(A110,SKUs!$I$5:$I$304,0)))</f>
        <v/>
      </c>
      <c r="C110" s="15">
        <f>IF(A110="","",INDEX(SKUs!$B$5:$B$304,MATCH(A110,SKUs!$I$5:$I$304,0)))</f>
        <v/>
      </c>
      <c r="D110" s="10">
        <f>IF(A110="","",INDEX(SKUs!$E$5:$E$304,MATCH(A110,SKUs!$I$5:$I$304,0)))</f>
        <v/>
      </c>
      <c r="E110" s="10">
        <f>IF(A110="","",INDEX(SKUs!$F$5:$F$304,MATCH(A110,SKUs!$I$5:$I$304,0)))</f>
        <v/>
      </c>
      <c r="F110" s="10">
        <f>IF(A110="","",INDEX(SKUs!$G$5:$G$304,MATCH(A110,SKUs!$I$5:$I$304,0)))</f>
        <v/>
      </c>
      <c r="G110" s="11">
        <f>IF(A110="","",INDEX(SKUs!$H$5:$H$304,MATCH(A110,SKUs!$I$5:$I$304,0)))</f>
        <v/>
      </c>
      <c r="H110" s="11">
        <f>IF(A110="","",IF(SUM(SKUs!$E$5:$E$304)=0,0,D110/SUM(SKUs!$E$5:$E$304)))</f>
        <v/>
      </c>
      <c r="I110" s="11">
        <f>IF(A110="","",SUM($H$6:H110))</f>
        <v/>
      </c>
      <c r="J110" s="5">
        <f>IF(A110="","",IF(I110&gt;=$B$3,1,0))</f>
        <v/>
      </c>
    </row>
    <row r="111">
      <c r="A111" s="5">
        <f>IF(106&gt;COUNT(SKUs!$I$5:$I$304),"",106)</f>
        <v/>
      </c>
      <c r="B111" s="5">
        <f>IF(A111="","",INDEX(SKUs!$A$5:$A$304,MATCH(A111,SKUs!$I$5:$I$304,0)))</f>
        <v/>
      </c>
      <c r="C111" s="15">
        <f>IF(A111="","",INDEX(SKUs!$B$5:$B$304,MATCH(A111,SKUs!$I$5:$I$304,0)))</f>
        <v/>
      </c>
      <c r="D111" s="10">
        <f>IF(A111="","",INDEX(SKUs!$E$5:$E$304,MATCH(A111,SKUs!$I$5:$I$304,0)))</f>
        <v/>
      </c>
      <c r="E111" s="10">
        <f>IF(A111="","",INDEX(SKUs!$F$5:$F$304,MATCH(A111,SKUs!$I$5:$I$304,0)))</f>
        <v/>
      </c>
      <c r="F111" s="10">
        <f>IF(A111="","",INDEX(SKUs!$G$5:$G$304,MATCH(A111,SKUs!$I$5:$I$304,0)))</f>
        <v/>
      </c>
      <c r="G111" s="11">
        <f>IF(A111="","",INDEX(SKUs!$H$5:$H$304,MATCH(A111,SKUs!$I$5:$I$304,0)))</f>
        <v/>
      </c>
      <c r="H111" s="11">
        <f>IF(A111="","",IF(SUM(SKUs!$E$5:$E$304)=0,0,D111/SUM(SKUs!$E$5:$E$304)))</f>
        <v/>
      </c>
      <c r="I111" s="11">
        <f>IF(A111="","",SUM($H$6:H111))</f>
        <v/>
      </c>
      <c r="J111" s="5">
        <f>IF(A111="","",IF(I111&gt;=$B$3,1,0))</f>
        <v/>
      </c>
    </row>
    <row r="112">
      <c r="A112" s="5">
        <f>IF(107&gt;COUNT(SKUs!$I$5:$I$304),"",107)</f>
        <v/>
      </c>
      <c r="B112" s="5">
        <f>IF(A112="","",INDEX(SKUs!$A$5:$A$304,MATCH(A112,SKUs!$I$5:$I$304,0)))</f>
        <v/>
      </c>
      <c r="C112" s="15">
        <f>IF(A112="","",INDEX(SKUs!$B$5:$B$304,MATCH(A112,SKUs!$I$5:$I$304,0)))</f>
        <v/>
      </c>
      <c r="D112" s="10">
        <f>IF(A112="","",INDEX(SKUs!$E$5:$E$304,MATCH(A112,SKUs!$I$5:$I$304,0)))</f>
        <v/>
      </c>
      <c r="E112" s="10">
        <f>IF(A112="","",INDEX(SKUs!$F$5:$F$304,MATCH(A112,SKUs!$I$5:$I$304,0)))</f>
        <v/>
      </c>
      <c r="F112" s="10">
        <f>IF(A112="","",INDEX(SKUs!$G$5:$G$304,MATCH(A112,SKUs!$I$5:$I$304,0)))</f>
        <v/>
      </c>
      <c r="G112" s="11">
        <f>IF(A112="","",INDEX(SKUs!$H$5:$H$304,MATCH(A112,SKUs!$I$5:$I$304,0)))</f>
        <v/>
      </c>
      <c r="H112" s="11">
        <f>IF(A112="","",IF(SUM(SKUs!$E$5:$E$304)=0,0,D112/SUM(SKUs!$E$5:$E$304)))</f>
        <v/>
      </c>
      <c r="I112" s="11">
        <f>IF(A112="","",SUM($H$6:H112))</f>
        <v/>
      </c>
      <c r="J112" s="5">
        <f>IF(A112="","",IF(I112&gt;=$B$3,1,0))</f>
        <v/>
      </c>
    </row>
    <row r="113">
      <c r="A113" s="5">
        <f>IF(108&gt;COUNT(SKUs!$I$5:$I$304),"",108)</f>
        <v/>
      </c>
      <c r="B113" s="5">
        <f>IF(A113="","",INDEX(SKUs!$A$5:$A$304,MATCH(A113,SKUs!$I$5:$I$304,0)))</f>
        <v/>
      </c>
      <c r="C113" s="15">
        <f>IF(A113="","",INDEX(SKUs!$B$5:$B$304,MATCH(A113,SKUs!$I$5:$I$304,0)))</f>
        <v/>
      </c>
      <c r="D113" s="10">
        <f>IF(A113="","",INDEX(SKUs!$E$5:$E$304,MATCH(A113,SKUs!$I$5:$I$304,0)))</f>
        <v/>
      </c>
      <c r="E113" s="10">
        <f>IF(A113="","",INDEX(SKUs!$F$5:$F$304,MATCH(A113,SKUs!$I$5:$I$304,0)))</f>
        <v/>
      </c>
      <c r="F113" s="10">
        <f>IF(A113="","",INDEX(SKUs!$G$5:$G$304,MATCH(A113,SKUs!$I$5:$I$304,0)))</f>
        <v/>
      </c>
      <c r="G113" s="11">
        <f>IF(A113="","",INDEX(SKUs!$H$5:$H$304,MATCH(A113,SKUs!$I$5:$I$304,0)))</f>
        <v/>
      </c>
      <c r="H113" s="11">
        <f>IF(A113="","",IF(SUM(SKUs!$E$5:$E$304)=0,0,D113/SUM(SKUs!$E$5:$E$304)))</f>
        <v/>
      </c>
      <c r="I113" s="11">
        <f>IF(A113="","",SUM($H$6:H113))</f>
        <v/>
      </c>
      <c r="J113" s="5">
        <f>IF(A113="","",IF(I113&gt;=$B$3,1,0))</f>
        <v/>
      </c>
    </row>
    <row r="114">
      <c r="A114" s="5">
        <f>IF(109&gt;COUNT(SKUs!$I$5:$I$304),"",109)</f>
        <v/>
      </c>
      <c r="B114" s="5">
        <f>IF(A114="","",INDEX(SKUs!$A$5:$A$304,MATCH(A114,SKUs!$I$5:$I$304,0)))</f>
        <v/>
      </c>
      <c r="C114" s="15">
        <f>IF(A114="","",INDEX(SKUs!$B$5:$B$304,MATCH(A114,SKUs!$I$5:$I$304,0)))</f>
        <v/>
      </c>
      <c r="D114" s="10">
        <f>IF(A114="","",INDEX(SKUs!$E$5:$E$304,MATCH(A114,SKUs!$I$5:$I$304,0)))</f>
        <v/>
      </c>
      <c r="E114" s="10">
        <f>IF(A114="","",INDEX(SKUs!$F$5:$F$304,MATCH(A114,SKUs!$I$5:$I$304,0)))</f>
        <v/>
      </c>
      <c r="F114" s="10">
        <f>IF(A114="","",INDEX(SKUs!$G$5:$G$304,MATCH(A114,SKUs!$I$5:$I$304,0)))</f>
        <v/>
      </c>
      <c r="G114" s="11">
        <f>IF(A114="","",INDEX(SKUs!$H$5:$H$304,MATCH(A114,SKUs!$I$5:$I$304,0)))</f>
        <v/>
      </c>
      <c r="H114" s="11">
        <f>IF(A114="","",IF(SUM(SKUs!$E$5:$E$304)=0,0,D114/SUM(SKUs!$E$5:$E$304)))</f>
        <v/>
      </c>
      <c r="I114" s="11">
        <f>IF(A114="","",SUM($H$6:H114))</f>
        <v/>
      </c>
      <c r="J114" s="5">
        <f>IF(A114="","",IF(I114&gt;=$B$3,1,0))</f>
        <v/>
      </c>
    </row>
    <row r="115">
      <c r="A115" s="5">
        <f>IF(110&gt;COUNT(SKUs!$I$5:$I$304),"",110)</f>
        <v/>
      </c>
      <c r="B115" s="5">
        <f>IF(A115="","",INDEX(SKUs!$A$5:$A$304,MATCH(A115,SKUs!$I$5:$I$304,0)))</f>
        <v/>
      </c>
      <c r="C115" s="15">
        <f>IF(A115="","",INDEX(SKUs!$B$5:$B$304,MATCH(A115,SKUs!$I$5:$I$304,0)))</f>
        <v/>
      </c>
      <c r="D115" s="10">
        <f>IF(A115="","",INDEX(SKUs!$E$5:$E$304,MATCH(A115,SKUs!$I$5:$I$304,0)))</f>
        <v/>
      </c>
      <c r="E115" s="10">
        <f>IF(A115="","",INDEX(SKUs!$F$5:$F$304,MATCH(A115,SKUs!$I$5:$I$304,0)))</f>
        <v/>
      </c>
      <c r="F115" s="10">
        <f>IF(A115="","",INDEX(SKUs!$G$5:$G$304,MATCH(A115,SKUs!$I$5:$I$304,0)))</f>
        <v/>
      </c>
      <c r="G115" s="11">
        <f>IF(A115="","",INDEX(SKUs!$H$5:$H$304,MATCH(A115,SKUs!$I$5:$I$304,0)))</f>
        <v/>
      </c>
      <c r="H115" s="11">
        <f>IF(A115="","",IF(SUM(SKUs!$E$5:$E$304)=0,0,D115/SUM(SKUs!$E$5:$E$304)))</f>
        <v/>
      </c>
      <c r="I115" s="11">
        <f>IF(A115="","",SUM($H$6:H115))</f>
        <v/>
      </c>
      <c r="J115" s="5">
        <f>IF(A115="","",IF(I115&gt;=$B$3,1,0))</f>
        <v/>
      </c>
    </row>
    <row r="116">
      <c r="A116" s="5">
        <f>IF(111&gt;COUNT(SKUs!$I$5:$I$304),"",111)</f>
        <v/>
      </c>
      <c r="B116" s="5">
        <f>IF(A116="","",INDEX(SKUs!$A$5:$A$304,MATCH(A116,SKUs!$I$5:$I$304,0)))</f>
        <v/>
      </c>
      <c r="C116" s="15">
        <f>IF(A116="","",INDEX(SKUs!$B$5:$B$304,MATCH(A116,SKUs!$I$5:$I$304,0)))</f>
        <v/>
      </c>
      <c r="D116" s="10">
        <f>IF(A116="","",INDEX(SKUs!$E$5:$E$304,MATCH(A116,SKUs!$I$5:$I$304,0)))</f>
        <v/>
      </c>
      <c r="E116" s="10">
        <f>IF(A116="","",INDEX(SKUs!$F$5:$F$304,MATCH(A116,SKUs!$I$5:$I$304,0)))</f>
        <v/>
      </c>
      <c r="F116" s="10">
        <f>IF(A116="","",INDEX(SKUs!$G$5:$G$304,MATCH(A116,SKUs!$I$5:$I$304,0)))</f>
        <v/>
      </c>
      <c r="G116" s="11">
        <f>IF(A116="","",INDEX(SKUs!$H$5:$H$304,MATCH(A116,SKUs!$I$5:$I$304,0)))</f>
        <v/>
      </c>
      <c r="H116" s="11">
        <f>IF(A116="","",IF(SUM(SKUs!$E$5:$E$304)=0,0,D116/SUM(SKUs!$E$5:$E$304)))</f>
        <v/>
      </c>
      <c r="I116" s="11">
        <f>IF(A116="","",SUM($H$6:H116))</f>
        <v/>
      </c>
      <c r="J116" s="5">
        <f>IF(A116="","",IF(I116&gt;=$B$3,1,0))</f>
        <v/>
      </c>
    </row>
    <row r="117">
      <c r="A117" s="5">
        <f>IF(112&gt;COUNT(SKUs!$I$5:$I$304),"",112)</f>
        <v/>
      </c>
      <c r="B117" s="5">
        <f>IF(A117="","",INDEX(SKUs!$A$5:$A$304,MATCH(A117,SKUs!$I$5:$I$304,0)))</f>
        <v/>
      </c>
      <c r="C117" s="15">
        <f>IF(A117="","",INDEX(SKUs!$B$5:$B$304,MATCH(A117,SKUs!$I$5:$I$304,0)))</f>
        <v/>
      </c>
      <c r="D117" s="10">
        <f>IF(A117="","",INDEX(SKUs!$E$5:$E$304,MATCH(A117,SKUs!$I$5:$I$304,0)))</f>
        <v/>
      </c>
      <c r="E117" s="10">
        <f>IF(A117="","",INDEX(SKUs!$F$5:$F$304,MATCH(A117,SKUs!$I$5:$I$304,0)))</f>
        <v/>
      </c>
      <c r="F117" s="10">
        <f>IF(A117="","",INDEX(SKUs!$G$5:$G$304,MATCH(A117,SKUs!$I$5:$I$304,0)))</f>
        <v/>
      </c>
      <c r="G117" s="11">
        <f>IF(A117="","",INDEX(SKUs!$H$5:$H$304,MATCH(A117,SKUs!$I$5:$I$304,0)))</f>
        <v/>
      </c>
      <c r="H117" s="11">
        <f>IF(A117="","",IF(SUM(SKUs!$E$5:$E$304)=0,0,D117/SUM(SKUs!$E$5:$E$304)))</f>
        <v/>
      </c>
      <c r="I117" s="11">
        <f>IF(A117="","",SUM($H$6:H117))</f>
        <v/>
      </c>
      <c r="J117" s="5">
        <f>IF(A117="","",IF(I117&gt;=$B$3,1,0))</f>
        <v/>
      </c>
    </row>
    <row r="118">
      <c r="A118" s="5">
        <f>IF(113&gt;COUNT(SKUs!$I$5:$I$304),"",113)</f>
        <v/>
      </c>
      <c r="B118" s="5">
        <f>IF(A118="","",INDEX(SKUs!$A$5:$A$304,MATCH(A118,SKUs!$I$5:$I$304,0)))</f>
        <v/>
      </c>
      <c r="C118" s="15">
        <f>IF(A118="","",INDEX(SKUs!$B$5:$B$304,MATCH(A118,SKUs!$I$5:$I$304,0)))</f>
        <v/>
      </c>
      <c r="D118" s="10">
        <f>IF(A118="","",INDEX(SKUs!$E$5:$E$304,MATCH(A118,SKUs!$I$5:$I$304,0)))</f>
        <v/>
      </c>
      <c r="E118" s="10">
        <f>IF(A118="","",INDEX(SKUs!$F$5:$F$304,MATCH(A118,SKUs!$I$5:$I$304,0)))</f>
        <v/>
      </c>
      <c r="F118" s="10">
        <f>IF(A118="","",INDEX(SKUs!$G$5:$G$304,MATCH(A118,SKUs!$I$5:$I$304,0)))</f>
        <v/>
      </c>
      <c r="G118" s="11">
        <f>IF(A118="","",INDEX(SKUs!$H$5:$H$304,MATCH(A118,SKUs!$I$5:$I$304,0)))</f>
        <v/>
      </c>
      <c r="H118" s="11">
        <f>IF(A118="","",IF(SUM(SKUs!$E$5:$E$304)=0,0,D118/SUM(SKUs!$E$5:$E$304)))</f>
        <v/>
      </c>
      <c r="I118" s="11">
        <f>IF(A118="","",SUM($H$6:H118))</f>
        <v/>
      </c>
      <c r="J118" s="5">
        <f>IF(A118="","",IF(I118&gt;=$B$3,1,0))</f>
        <v/>
      </c>
    </row>
    <row r="119">
      <c r="A119" s="5">
        <f>IF(114&gt;COUNT(SKUs!$I$5:$I$304),"",114)</f>
        <v/>
      </c>
      <c r="B119" s="5">
        <f>IF(A119="","",INDEX(SKUs!$A$5:$A$304,MATCH(A119,SKUs!$I$5:$I$304,0)))</f>
        <v/>
      </c>
      <c r="C119" s="15">
        <f>IF(A119="","",INDEX(SKUs!$B$5:$B$304,MATCH(A119,SKUs!$I$5:$I$304,0)))</f>
        <v/>
      </c>
      <c r="D119" s="10">
        <f>IF(A119="","",INDEX(SKUs!$E$5:$E$304,MATCH(A119,SKUs!$I$5:$I$304,0)))</f>
        <v/>
      </c>
      <c r="E119" s="10">
        <f>IF(A119="","",INDEX(SKUs!$F$5:$F$304,MATCH(A119,SKUs!$I$5:$I$304,0)))</f>
        <v/>
      </c>
      <c r="F119" s="10">
        <f>IF(A119="","",INDEX(SKUs!$G$5:$G$304,MATCH(A119,SKUs!$I$5:$I$304,0)))</f>
        <v/>
      </c>
      <c r="G119" s="11">
        <f>IF(A119="","",INDEX(SKUs!$H$5:$H$304,MATCH(A119,SKUs!$I$5:$I$304,0)))</f>
        <v/>
      </c>
      <c r="H119" s="11">
        <f>IF(A119="","",IF(SUM(SKUs!$E$5:$E$304)=0,0,D119/SUM(SKUs!$E$5:$E$304)))</f>
        <v/>
      </c>
      <c r="I119" s="11">
        <f>IF(A119="","",SUM($H$6:H119))</f>
        <v/>
      </c>
      <c r="J119" s="5">
        <f>IF(A119="","",IF(I119&gt;=$B$3,1,0))</f>
        <v/>
      </c>
    </row>
    <row r="120">
      <c r="A120" s="5">
        <f>IF(115&gt;COUNT(SKUs!$I$5:$I$304),"",115)</f>
        <v/>
      </c>
      <c r="B120" s="5">
        <f>IF(A120="","",INDEX(SKUs!$A$5:$A$304,MATCH(A120,SKUs!$I$5:$I$304,0)))</f>
        <v/>
      </c>
      <c r="C120" s="15">
        <f>IF(A120="","",INDEX(SKUs!$B$5:$B$304,MATCH(A120,SKUs!$I$5:$I$304,0)))</f>
        <v/>
      </c>
      <c r="D120" s="10">
        <f>IF(A120="","",INDEX(SKUs!$E$5:$E$304,MATCH(A120,SKUs!$I$5:$I$304,0)))</f>
        <v/>
      </c>
      <c r="E120" s="10">
        <f>IF(A120="","",INDEX(SKUs!$F$5:$F$304,MATCH(A120,SKUs!$I$5:$I$304,0)))</f>
        <v/>
      </c>
      <c r="F120" s="10">
        <f>IF(A120="","",INDEX(SKUs!$G$5:$G$304,MATCH(A120,SKUs!$I$5:$I$304,0)))</f>
        <v/>
      </c>
      <c r="G120" s="11">
        <f>IF(A120="","",INDEX(SKUs!$H$5:$H$304,MATCH(A120,SKUs!$I$5:$I$304,0)))</f>
        <v/>
      </c>
      <c r="H120" s="11">
        <f>IF(A120="","",IF(SUM(SKUs!$E$5:$E$304)=0,0,D120/SUM(SKUs!$E$5:$E$304)))</f>
        <v/>
      </c>
      <c r="I120" s="11">
        <f>IF(A120="","",SUM($H$6:H120))</f>
        <v/>
      </c>
      <c r="J120" s="5">
        <f>IF(A120="","",IF(I120&gt;=$B$3,1,0))</f>
        <v/>
      </c>
    </row>
    <row r="121">
      <c r="A121" s="5">
        <f>IF(116&gt;COUNT(SKUs!$I$5:$I$304),"",116)</f>
        <v/>
      </c>
      <c r="B121" s="5">
        <f>IF(A121="","",INDEX(SKUs!$A$5:$A$304,MATCH(A121,SKUs!$I$5:$I$304,0)))</f>
        <v/>
      </c>
      <c r="C121" s="15">
        <f>IF(A121="","",INDEX(SKUs!$B$5:$B$304,MATCH(A121,SKUs!$I$5:$I$304,0)))</f>
        <v/>
      </c>
      <c r="D121" s="10">
        <f>IF(A121="","",INDEX(SKUs!$E$5:$E$304,MATCH(A121,SKUs!$I$5:$I$304,0)))</f>
        <v/>
      </c>
      <c r="E121" s="10">
        <f>IF(A121="","",INDEX(SKUs!$F$5:$F$304,MATCH(A121,SKUs!$I$5:$I$304,0)))</f>
        <v/>
      </c>
      <c r="F121" s="10">
        <f>IF(A121="","",INDEX(SKUs!$G$5:$G$304,MATCH(A121,SKUs!$I$5:$I$304,0)))</f>
        <v/>
      </c>
      <c r="G121" s="11">
        <f>IF(A121="","",INDEX(SKUs!$H$5:$H$304,MATCH(A121,SKUs!$I$5:$I$304,0)))</f>
        <v/>
      </c>
      <c r="H121" s="11">
        <f>IF(A121="","",IF(SUM(SKUs!$E$5:$E$304)=0,0,D121/SUM(SKUs!$E$5:$E$304)))</f>
        <v/>
      </c>
      <c r="I121" s="11">
        <f>IF(A121="","",SUM($H$6:H121))</f>
        <v/>
      </c>
      <c r="J121" s="5">
        <f>IF(A121="","",IF(I121&gt;=$B$3,1,0))</f>
        <v/>
      </c>
    </row>
    <row r="122">
      <c r="A122" s="5">
        <f>IF(117&gt;COUNT(SKUs!$I$5:$I$304),"",117)</f>
        <v/>
      </c>
      <c r="B122" s="5">
        <f>IF(A122="","",INDEX(SKUs!$A$5:$A$304,MATCH(A122,SKUs!$I$5:$I$304,0)))</f>
        <v/>
      </c>
      <c r="C122" s="15">
        <f>IF(A122="","",INDEX(SKUs!$B$5:$B$304,MATCH(A122,SKUs!$I$5:$I$304,0)))</f>
        <v/>
      </c>
      <c r="D122" s="10">
        <f>IF(A122="","",INDEX(SKUs!$E$5:$E$304,MATCH(A122,SKUs!$I$5:$I$304,0)))</f>
        <v/>
      </c>
      <c r="E122" s="10">
        <f>IF(A122="","",INDEX(SKUs!$F$5:$F$304,MATCH(A122,SKUs!$I$5:$I$304,0)))</f>
        <v/>
      </c>
      <c r="F122" s="10">
        <f>IF(A122="","",INDEX(SKUs!$G$5:$G$304,MATCH(A122,SKUs!$I$5:$I$304,0)))</f>
        <v/>
      </c>
      <c r="G122" s="11">
        <f>IF(A122="","",INDEX(SKUs!$H$5:$H$304,MATCH(A122,SKUs!$I$5:$I$304,0)))</f>
        <v/>
      </c>
      <c r="H122" s="11">
        <f>IF(A122="","",IF(SUM(SKUs!$E$5:$E$304)=0,0,D122/SUM(SKUs!$E$5:$E$304)))</f>
        <v/>
      </c>
      <c r="I122" s="11">
        <f>IF(A122="","",SUM($H$6:H122))</f>
        <v/>
      </c>
      <c r="J122" s="5">
        <f>IF(A122="","",IF(I122&gt;=$B$3,1,0))</f>
        <v/>
      </c>
    </row>
    <row r="123">
      <c r="A123" s="5">
        <f>IF(118&gt;COUNT(SKUs!$I$5:$I$304),"",118)</f>
        <v/>
      </c>
      <c r="B123" s="5">
        <f>IF(A123="","",INDEX(SKUs!$A$5:$A$304,MATCH(A123,SKUs!$I$5:$I$304,0)))</f>
        <v/>
      </c>
      <c r="C123" s="15">
        <f>IF(A123="","",INDEX(SKUs!$B$5:$B$304,MATCH(A123,SKUs!$I$5:$I$304,0)))</f>
        <v/>
      </c>
      <c r="D123" s="10">
        <f>IF(A123="","",INDEX(SKUs!$E$5:$E$304,MATCH(A123,SKUs!$I$5:$I$304,0)))</f>
        <v/>
      </c>
      <c r="E123" s="10">
        <f>IF(A123="","",INDEX(SKUs!$F$5:$F$304,MATCH(A123,SKUs!$I$5:$I$304,0)))</f>
        <v/>
      </c>
      <c r="F123" s="10">
        <f>IF(A123="","",INDEX(SKUs!$G$5:$G$304,MATCH(A123,SKUs!$I$5:$I$304,0)))</f>
        <v/>
      </c>
      <c r="G123" s="11">
        <f>IF(A123="","",INDEX(SKUs!$H$5:$H$304,MATCH(A123,SKUs!$I$5:$I$304,0)))</f>
        <v/>
      </c>
      <c r="H123" s="11">
        <f>IF(A123="","",IF(SUM(SKUs!$E$5:$E$304)=0,0,D123/SUM(SKUs!$E$5:$E$304)))</f>
        <v/>
      </c>
      <c r="I123" s="11">
        <f>IF(A123="","",SUM($H$6:H123))</f>
        <v/>
      </c>
      <c r="J123" s="5">
        <f>IF(A123="","",IF(I123&gt;=$B$3,1,0))</f>
        <v/>
      </c>
    </row>
    <row r="124">
      <c r="A124" s="5">
        <f>IF(119&gt;COUNT(SKUs!$I$5:$I$304),"",119)</f>
        <v/>
      </c>
      <c r="B124" s="5">
        <f>IF(A124="","",INDEX(SKUs!$A$5:$A$304,MATCH(A124,SKUs!$I$5:$I$304,0)))</f>
        <v/>
      </c>
      <c r="C124" s="15">
        <f>IF(A124="","",INDEX(SKUs!$B$5:$B$304,MATCH(A124,SKUs!$I$5:$I$304,0)))</f>
        <v/>
      </c>
      <c r="D124" s="10">
        <f>IF(A124="","",INDEX(SKUs!$E$5:$E$304,MATCH(A124,SKUs!$I$5:$I$304,0)))</f>
        <v/>
      </c>
      <c r="E124" s="10">
        <f>IF(A124="","",INDEX(SKUs!$F$5:$F$304,MATCH(A124,SKUs!$I$5:$I$304,0)))</f>
        <v/>
      </c>
      <c r="F124" s="10">
        <f>IF(A124="","",INDEX(SKUs!$G$5:$G$304,MATCH(A124,SKUs!$I$5:$I$304,0)))</f>
        <v/>
      </c>
      <c r="G124" s="11">
        <f>IF(A124="","",INDEX(SKUs!$H$5:$H$304,MATCH(A124,SKUs!$I$5:$I$304,0)))</f>
        <v/>
      </c>
      <c r="H124" s="11">
        <f>IF(A124="","",IF(SUM(SKUs!$E$5:$E$304)=0,0,D124/SUM(SKUs!$E$5:$E$304)))</f>
        <v/>
      </c>
      <c r="I124" s="11">
        <f>IF(A124="","",SUM($H$6:H124))</f>
        <v/>
      </c>
      <c r="J124" s="5">
        <f>IF(A124="","",IF(I124&gt;=$B$3,1,0))</f>
        <v/>
      </c>
    </row>
    <row r="125">
      <c r="A125" s="5">
        <f>IF(120&gt;COUNT(SKUs!$I$5:$I$304),"",120)</f>
        <v/>
      </c>
      <c r="B125" s="5">
        <f>IF(A125="","",INDEX(SKUs!$A$5:$A$304,MATCH(A125,SKUs!$I$5:$I$304,0)))</f>
        <v/>
      </c>
      <c r="C125" s="15">
        <f>IF(A125="","",INDEX(SKUs!$B$5:$B$304,MATCH(A125,SKUs!$I$5:$I$304,0)))</f>
        <v/>
      </c>
      <c r="D125" s="10">
        <f>IF(A125="","",INDEX(SKUs!$E$5:$E$304,MATCH(A125,SKUs!$I$5:$I$304,0)))</f>
        <v/>
      </c>
      <c r="E125" s="10">
        <f>IF(A125="","",INDEX(SKUs!$F$5:$F$304,MATCH(A125,SKUs!$I$5:$I$304,0)))</f>
        <v/>
      </c>
      <c r="F125" s="10">
        <f>IF(A125="","",INDEX(SKUs!$G$5:$G$304,MATCH(A125,SKUs!$I$5:$I$304,0)))</f>
        <v/>
      </c>
      <c r="G125" s="11">
        <f>IF(A125="","",INDEX(SKUs!$H$5:$H$304,MATCH(A125,SKUs!$I$5:$I$304,0)))</f>
        <v/>
      </c>
      <c r="H125" s="11">
        <f>IF(A125="","",IF(SUM(SKUs!$E$5:$E$304)=0,0,D125/SUM(SKUs!$E$5:$E$304)))</f>
        <v/>
      </c>
      <c r="I125" s="11">
        <f>IF(A125="","",SUM($H$6:H125))</f>
        <v/>
      </c>
      <c r="J125" s="5">
        <f>IF(A125="","",IF(I125&gt;=$B$3,1,0))</f>
        <v/>
      </c>
    </row>
    <row r="126">
      <c r="A126" s="5">
        <f>IF(121&gt;COUNT(SKUs!$I$5:$I$304),"",121)</f>
        <v/>
      </c>
      <c r="B126" s="5">
        <f>IF(A126="","",INDEX(SKUs!$A$5:$A$304,MATCH(A126,SKUs!$I$5:$I$304,0)))</f>
        <v/>
      </c>
      <c r="C126" s="15">
        <f>IF(A126="","",INDEX(SKUs!$B$5:$B$304,MATCH(A126,SKUs!$I$5:$I$304,0)))</f>
        <v/>
      </c>
      <c r="D126" s="10">
        <f>IF(A126="","",INDEX(SKUs!$E$5:$E$304,MATCH(A126,SKUs!$I$5:$I$304,0)))</f>
        <v/>
      </c>
      <c r="E126" s="10">
        <f>IF(A126="","",INDEX(SKUs!$F$5:$F$304,MATCH(A126,SKUs!$I$5:$I$304,0)))</f>
        <v/>
      </c>
      <c r="F126" s="10">
        <f>IF(A126="","",INDEX(SKUs!$G$5:$G$304,MATCH(A126,SKUs!$I$5:$I$304,0)))</f>
        <v/>
      </c>
      <c r="G126" s="11">
        <f>IF(A126="","",INDEX(SKUs!$H$5:$H$304,MATCH(A126,SKUs!$I$5:$I$304,0)))</f>
        <v/>
      </c>
      <c r="H126" s="11">
        <f>IF(A126="","",IF(SUM(SKUs!$E$5:$E$304)=0,0,D126/SUM(SKUs!$E$5:$E$304)))</f>
        <v/>
      </c>
      <c r="I126" s="11">
        <f>IF(A126="","",SUM($H$6:H126))</f>
        <v/>
      </c>
      <c r="J126" s="5">
        <f>IF(A126="","",IF(I126&gt;=$B$3,1,0))</f>
        <v/>
      </c>
    </row>
    <row r="127">
      <c r="A127" s="5">
        <f>IF(122&gt;COUNT(SKUs!$I$5:$I$304),"",122)</f>
        <v/>
      </c>
      <c r="B127" s="5">
        <f>IF(A127="","",INDEX(SKUs!$A$5:$A$304,MATCH(A127,SKUs!$I$5:$I$304,0)))</f>
        <v/>
      </c>
      <c r="C127" s="15">
        <f>IF(A127="","",INDEX(SKUs!$B$5:$B$304,MATCH(A127,SKUs!$I$5:$I$304,0)))</f>
        <v/>
      </c>
      <c r="D127" s="10">
        <f>IF(A127="","",INDEX(SKUs!$E$5:$E$304,MATCH(A127,SKUs!$I$5:$I$304,0)))</f>
        <v/>
      </c>
      <c r="E127" s="10">
        <f>IF(A127="","",INDEX(SKUs!$F$5:$F$304,MATCH(A127,SKUs!$I$5:$I$304,0)))</f>
        <v/>
      </c>
      <c r="F127" s="10">
        <f>IF(A127="","",INDEX(SKUs!$G$5:$G$304,MATCH(A127,SKUs!$I$5:$I$304,0)))</f>
        <v/>
      </c>
      <c r="G127" s="11">
        <f>IF(A127="","",INDEX(SKUs!$H$5:$H$304,MATCH(A127,SKUs!$I$5:$I$304,0)))</f>
        <v/>
      </c>
      <c r="H127" s="11">
        <f>IF(A127="","",IF(SUM(SKUs!$E$5:$E$304)=0,0,D127/SUM(SKUs!$E$5:$E$304)))</f>
        <v/>
      </c>
      <c r="I127" s="11">
        <f>IF(A127="","",SUM($H$6:H127))</f>
        <v/>
      </c>
      <c r="J127" s="5">
        <f>IF(A127="","",IF(I127&gt;=$B$3,1,0))</f>
        <v/>
      </c>
    </row>
    <row r="128">
      <c r="A128" s="5">
        <f>IF(123&gt;COUNT(SKUs!$I$5:$I$304),"",123)</f>
        <v/>
      </c>
      <c r="B128" s="5">
        <f>IF(A128="","",INDEX(SKUs!$A$5:$A$304,MATCH(A128,SKUs!$I$5:$I$304,0)))</f>
        <v/>
      </c>
      <c r="C128" s="15">
        <f>IF(A128="","",INDEX(SKUs!$B$5:$B$304,MATCH(A128,SKUs!$I$5:$I$304,0)))</f>
        <v/>
      </c>
      <c r="D128" s="10">
        <f>IF(A128="","",INDEX(SKUs!$E$5:$E$304,MATCH(A128,SKUs!$I$5:$I$304,0)))</f>
        <v/>
      </c>
      <c r="E128" s="10">
        <f>IF(A128="","",INDEX(SKUs!$F$5:$F$304,MATCH(A128,SKUs!$I$5:$I$304,0)))</f>
        <v/>
      </c>
      <c r="F128" s="10">
        <f>IF(A128="","",INDEX(SKUs!$G$5:$G$304,MATCH(A128,SKUs!$I$5:$I$304,0)))</f>
        <v/>
      </c>
      <c r="G128" s="11">
        <f>IF(A128="","",INDEX(SKUs!$H$5:$H$304,MATCH(A128,SKUs!$I$5:$I$304,0)))</f>
        <v/>
      </c>
      <c r="H128" s="11">
        <f>IF(A128="","",IF(SUM(SKUs!$E$5:$E$304)=0,0,D128/SUM(SKUs!$E$5:$E$304)))</f>
        <v/>
      </c>
      <c r="I128" s="11">
        <f>IF(A128="","",SUM($H$6:H128))</f>
        <v/>
      </c>
      <c r="J128" s="5">
        <f>IF(A128="","",IF(I128&gt;=$B$3,1,0))</f>
        <v/>
      </c>
    </row>
    <row r="129">
      <c r="A129" s="5">
        <f>IF(124&gt;COUNT(SKUs!$I$5:$I$304),"",124)</f>
        <v/>
      </c>
      <c r="B129" s="5">
        <f>IF(A129="","",INDEX(SKUs!$A$5:$A$304,MATCH(A129,SKUs!$I$5:$I$304,0)))</f>
        <v/>
      </c>
      <c r="C129" s="15">
        <f>IF(A129="","",INDEX(SKUs!$B$5:$B$304,MATCH(A129,SKUs!$I$5:$I$304,0)))</f>
        <v/>
      </c>
      <c r="D129" s="10">
        <f>IF(A129="","",INDEX(SKUs!$E$5:$E$304,MATCH(A129,SKUs!$I$5:$I$304,0)))</f>
        <v/>
      </c>
      <c r="E129" s="10">
        <f>IF(A129="","",INDEX(SKUs!$F$5:$F$304,MATCH(A129,SKUs!$I$5:$I$304,0)))</f>
        <v/>
      </c>
      <c r="F129" s="10">
        <f>IF(A129="","",INDEX(SKUs!$G$5:$G$304,MATCH(A129,SKUs!$I$5:$I$304,0)))</f>
        <v/>
      </c>
      <c r="G129" s="11">
        <f>IF(A129="","",INDEX(SKUs!$H$5:$H$304,MATCH(A129,SKUs!$I$5:$I$304,0)))</f>
        <v/>
      </c>
      <c r="H129" s="11">
        <f>IF(A129="","",IF(SUM(SKUs!$E$5:$E$304)=0,0,D129/SUM(SKUs!$E$5:$E$304)))</f>
        <v/>
      </c>
      <c r="I129" s="11">
        <f>IF(A129="","",SUM($H$6:H129))</f>
        <v/>
      </c>
      <c r="J129" s="5">
        <f>IF(A129="","",IF(I129&gt;=$B$3,1,0))</f>
        <v/>
      </c>
    </row>
    <row r="130">
      <c r="A130" s="5">
        <f>IF(125&gt;COUNT(SKUs!$I$5:$I$304),"",125)</f>
        <v/>
      </c>
      <c r="B130" s="5">
        <f>IF(A130="","",INDEX(SKUs!$A$5:$A$304,MATCH(A130,SKUs!$I$5:$I$304,0)))</f>
        <v/>
      </c>
      <c r="C130" s="15">
        <f>IF(A130="","",INDEX(SKUs!$B$5:$B$304,MATCH(A130,SKUs!$I$5:$I$304,0)))</f>
        <v/>
      </c>
      <c r="D130" s="10">
        <f>IF(A130="","",INDEX(SKUs!$E$5:$E$304,MATCH(A130,SKUs!$I$5:$I$304,0)))</f>
        <v/>
      </c>
      <c r="E130" s="10">
        <f>IF(A130="","",INDEX(SKUs!$F$5:$F$304,MATCH(A130,SKUs!$I$5:$I$304,0)))</f>
        <v/>
      </c>
      <c r="F130" s="10">
        <f>IF(A130="","",INDEX(SKUs!$G$5:$G$304,MATCH(A130,SKUs!$I$5:$I$304,0)))</f>
        <v/>
      </c>
      <c r="G130" s="11">
        <f>IF(A130="","",INDEX(SKUs!$H$5:$H$304,MATCH(A130,SKUs!$I$5:$I$304,0)))</f>
        <v/>
      </c>
      <c r="H130" s="11">
        <f>IF(A130="","",IF(SUM(SKUs!$E$5:$E$304)=0,0,D130/SUM(SKUs!$E$5:$E$304)))</f>
        <v/>
      </c>
      <c r="I130" s="11">
        <f>IF(A130="","",SUM($H$6:H130))</f>
        <v/>
      </c>
      <c r="J130" s="5">
        <f>IF(A130="","",IF(I130&gt;=$B$3,1,0))</f>
        <v/>
      </c>
    </row>
    <row r="131">
      <c r="A131" s="5">
        <f>IF(126&gt;COUNT(SKUs!$I$5:$I$304),"",126)</f>
        <v/>
      </c>
      <c r="B131" s="5">
        <f>IF(A131="","",INDEX(SKUs!$A$5:$A$304,MATCH(A131,SKUs!$I$5:$I$304,0)))</f>
        <v/>
      </c>
      <c r="C131" s="15">
        <f>IF(A131="","",INDEX(SKUs!$B$5:$B$304,MATCH(A131,SKUs!$I$5:$I$304,0)))</f>
        <v/>
      </c>
      <c r="D131" s="10">
        <f>IF(A131="","",INDEX(SKUs!$E$5:$E$304,MATCH(A131,SKUs!$I$5:$I$304,0)))</f>
        <v/>
      </c>
      <c r="E131" s="10">
        <f>IF(A131="","",INDEX(SKUs!$F$5:$F$304,MATCH(A131,SKUs!$I$5:$I$304,0)))</f>
        <v/>
      </c>
      <c r="F131" s="10">
        <f>IF(A131="","",INDEX(SKUs!$G$5:$G$304,MATCH(A131,SKUs!$I$5:$I$304,0)))</f>
        <v/>
      </c>
      <c r="G131" s="11">
        <f>IF(A131="","",INDEX(SKUs!$H$5:$H$304,MATCH(A131,SKUs!$I$5:$I$304,0)))</f>
        <v/>
      </c>
      <c r="H131" s="11">
        <f>IF(A131="","",IF(SUM(SKUs!$E$5:$E$304)=0,0,D131/SUM(SKUs!$E$5:$E$304)))</f>
        <v/>
      </c>
      <c r="I131" s="11">
        <f>IF(A131="","",SUM($H$6:H131))</f>
        <v/>
      </c>
      <c r="J131" s="5">
        <f>IF(A131="","",IF(I131&gt;=$B$3,1,0))</f>
        <v/>
      </c>
    </row>
    <row r="132">
      <c r="A132" s="5">
        <f>IF(127&gt;COUNT(SKUs!$I$5:$I$304),"",127)</f>
        <v/>
      </c>
      <c r="B132" s="5">
        <f>IF(A132="","",INDEX(SKUs!$A$5:$A$304,MATCH(A132,SKUs!$I$5:$I$304,0)))</f>
        <v/>
      </c>
      <c r="C132" s="15">
        <f>IF(A132="","",INDEX(SKUs!$B$5:$B$304,MATCH(A132,SKUs!$I$5:$I$304,0)))</f>
        <v/>
      </c>
      <c r="D132" s="10">
        <f>IF(A132="","",INDEX(SKUs!$E$5:$E$304,MATCH(A132,SKUs!$I$5:$I$304,0)))</f>
        <v/>
      </c>
      <c r="E132" s="10">
        <f>IF(A132="","",INDEX(SKUs!$F$5:$F$304,MATCH(A132,SKUs!$I$5:$I$304,0)))</f>
        <v/>
      </c>
      <c r="F132" s="10">
        <f>IF(A132="","",INDEX(SKUs!$G$5:$G$304,MATCH(A132,SKUs!$I$5:$I$304,0)))</f>
        <v/>
      </c>
      <c r="G132" s="11">
        <f>IF(A132="","",INDEX(SKUs!$H$5:$H$304,MATCH(A132,SKUs!$I$5:$I$304,0)))</f>
        <v/>
      </c>
      <c r="H132" s="11">
        <f>IF(A132="","",IF(SUM(SKUs!$E$5:$E$304)=0,0,D132/SUM(SKUs!$E$5:$E$304)))</f>
        <v/>
      </c>
      <c r="I132" s="11">
        <f>IF(A132="","",SUM($H$6:H132))</f>
        <v/>
      </c>
      <c r="J132" s="5">
        <f>IF(A132="","",IF(I132&gt;=$B$3,1,0))</f>
        <v/>
      </c>
    </row>
    <row r="133">
      <c r="A133" s="5">
        <f>IF(128&gt;COUNT(SKUs!$I$5:$I$304),"",128)</f>
        <v/>
      </c>
      <c r="B133" s="5">
        <f>IF(A133="","",INDEX(SKUs!$A$5:$A$304,MATCH(A133,SKUs!$I$5:$I$304,0)))</f>
        <v/>
      </c>
      <c r="C133" s="15">
        <f>IF(A133="","",INDEX(SKUs!$B$5:$B$304,MATCH(A133,SKUs!$I$5:$I$304,0)))</f>
        <v/>
      </c>
      <c r="D133" s="10">
        <f>IF(A133="","",INDEX(SKUs!$E$5:$E$304,MATCH(A133,SKUs!$I$5:$I$304,0)))</f>
        <v/>
      </c>
      <c r="E133" s="10">
        <f>IF(A133="","",INDEX(SKUs!$F$5:$F$304,MATCH(A133,SKUs!$I$5:$I$304,0)))</f>
        <v/>
      </c>
      <c r="F133" s="10">
        <f>IF(A133="","",INDEX(SKUs!$G$5:$G$304,MATCH(A133,SKUs!$I$5:$I$304,0)))</f>
        <v/>
      </c>
      <c r="G133" s="11">
        <f>IF(A133="","",INDEX(SKUs!$H$5:$H$304,MATCH(A133,SKUs!$I$5:$I$304,0)))</f>
        <v/>
      </c>
      <c r="H133" s="11">
        <f>IF(A133="","",IF(SUM(SKUs!$E$5:$E$304)=0,0,D133/SUM(SKUs!$E$5:$E$304)))</f>
        <v/>
      </c>
      <c r="I133" s="11">
        <f>IF(A133="","",SUM($H$6:H133))</f>
        <v/>
      </c>
      <c r="J133" s="5">
        <f>IF(A133="","",IF(I133&gt;=$B$3,1,0))</f>
        <v/>
      </c>
    </row>
    <row r="134">
      <c r="A134" s="5">
        <f>IF(129&gt;COUNT(SKUs!$I$5:$I$304),"",129)</f>
        <v/>
      </c>
      <c r="B134" s="5">
        <f>IF(A134="","",INDEX(SKUs!$A$5:$A$304,MATCH(A134,SKUs!$I$5:$I$304,0)))</f>
        <v/>
      </c>
      <c r="C134" s="15">
        <f>IF(A134="","",INDEX(SKUs!$B$5:$B$304,MATCH(A134,SKUs!$I$5:$I$304,0)))</f>
        <v/>
      </c>
      <c r="D134" s="10">
        <f>IF(A134="","",INDEX(SKUs!$E$5:$E$304,MATCH(A134,SKUs!$I$5:$I$304,0)))</f>
        <v/>
      </c>
      <c r="E134" s="10">
        <f>IF(A134="","",INDEX(SKUs!$F$5:$F$304,MATCH(A134,SKUs!$I$5:$I$304,0)))</f>
        <v/>
      </c>
      <c r="F134" s="10">
        <f>IF(A134="","",INDEX(SKUs!$G$5:$G$304,MATCH(A134,SKUs!$I$5:$I$304,0)))</f>
        <v/>
      </c>
      <c r="G134" s="11">
        <f>IF(A134="","",INDEX(SKUs!$H$5:$H$304,MATCH(A134,SKUs!$I$5:$I$304,0)))</f>
        <v/>
      </c>
      <c r="H134" s="11">
        <f>IF(A134="","",IF(SUM(SKUs!$E$5:$E$304)=0,0,D134/SUM(SKUs!$E$5:$E$304)))</f>
        <v/>
      </c>
      <c r="I134" s="11">
        <f>IF(A134="","",SUM($H$6:H134))</f>
        <v/>
      </c>
      <c r="J134" s="5">
        <f>IF(A134="","",IF(I134&gt;=$B$3,1,0))</f>
        <v/>
      </c>
    </row>
    <row r="135">
      <c r="A135" s="5">
        <f>IF(130&gt;COUNT(SKUs!$I$5:$I$304),"",130)</f>
        <v/>
      </c>
      <c r="B135" s="5">
        <f>IF(A135="","",INDEX(SKUs!$A$5:$A$304,MATCH(A135,SKUs!$I$5:$I$304,0)))</f>
        <v/>
      </c>
      <c r="C135" s="15">
        <f>IF(A135="","",INDEX(SKUs!$B$5:$B$304,MATCH(A135,SKUs!$I$5:$I$304,0)))</f>
        <v/>
      </c>
      <c r="D135" s="10">
        <f>IF(A135="","",INDEX(SKUs!$E$5:$E$304,MATCH(A135,SKUs!$I$5:$I$304,0)))</f>
        <v/>
      </c>
      <c r="E135" s="10">
        <f>IF(A135="","",INDEX(SKUs!$F$5:$F$304,MATCH(A135,SKUs!$I$5:$I$304,0)))</f>
        <v/>
      </c>
      <c r="F135" s="10">
        <f>IF(A135="","",INDEX(SKUs!$G$5:$G$304,MATCH(A135,SKUs!$I$5:$I$304,0)))</f>
        <v/>
      </c>
      <c r="G135" s="11">
        <f>IF(A135="","",INDEX(SKUs!$H$5:$H$304,MATCH(A135,SKUs!$I$5:$I$304,0)))</f>
        <v/>
      </c>
      <c r="H135" s="11">
        <f>IF(A135="","",IF(SUM(SKUs!$E$5:$E$304)=0,0,D135/SUM(SKUs!$E$5:$E$304)))</f>
        <v/>
      </c>
      <c r="I135" s="11">
        <f>IF(A135="","",SUM($H$6:H135))</f>
        <v/>
      </c>
      <c r="J135" s="5">
        <f>IF(A135="","",IF(I135&gt;=$B$3,1,0))</f>
        <v/>
      </c>
    </row>
    <row r="136">
      <c r="A136" s="5">
        <f>IF(131&gt;COUNT(SKUs!$I$5:$I$304),"",131)</f>
        <v/>
      </c>
      <c r="B136" s="5">
        <f>IF(A136="","",INDEX(SKUs!$A$5:$A$304,MATCH(A136,SKUs!$I$5:$I$304,0)))</f>
        <v/>
      </c>
      <c r="C136" s="15">
        <f>IF(A136="","",INDEX(SKUs!$B$5:$B$304,MATCH(A136,SKUs!$I$5:$I$304,0)))</f>
        <v/>
      </c>
      <c r="D136" s="10">
        <f>IF(A136="","",INDEX(SKUs!$E$5:$E$304,MATCH(A136,SKUs!$I$5:$I$304,0)))</f>
        <v/>
      </c>
      <c r="E136" s="10">
        <f>IF(A136="","",INDEX(SKUs!$F$5:$F$304,MATCH(A136,SKUs!$I$5:$I$304,0)))</f>
        <v/>
      </c>
      <c r="F136" s="10">
        <f>IF(A136="","",INDEX(SKUs!$G$5:$G$304,MATCH(A136,SKUs!$I$5:$I$304,0)))</f>
        <v/>
      </c>
      <c r="G136" s="11">
        <f>IF(A136="","",INDEX(SKUs!$H$5:$H$304,MATCH(A136,SKUs!$I$5:$I$304,0)))</f>
        <v/>
      </c>
      <c r="H136" s="11">
        <f>IF(A136="","",IF(SUM(SKUs!$E$5:$E$304)=0,0,D136/SUM(SKUs!$E$5:$E$304)))</f>
        <v/>
      </c>
      <c r="I136" s="11">
        <f>IF(A136="","",SUM($H$6:H136))</f>
        <v/>
      </c>
      <c r="J136" s="5">
        <f>IF(A136="","",IF(I136&gt;=$B$3,1,0))</f>
        <v/>
      </c>
    </row>
    <row r="137">
      <c r="A137" s="5">
        <f>IF(132&gt;COUNT(SKUs!$I$5:$I$304),"",132)</f>
        <v/>
      </c>
      <c r="B137" s="5">
        <f>IF(A137="","",INDEX(SKUs!$A$5:$A$304,MATCH(A137,SKUs!$I$5:$I$304,0)))</f>
        <v/>
      </c>
      <c r="C137" s="15">
        <f>IF(A137="","",INDEX(SKUs!$B$5:$B$304,MATCH(A137,SKUs!$I$5:$I$304,0)))</f>
        <v/>
      </c>
      <c r="D137" s="10">
        <f>IF(A137="","",INDEX(SKUs!$E$5:$E$304,MATCH(A137,SKUs!$I$5:$I$304,0)))</f>
        <v/>
      </c>
      <c r="E137" s="10">
        <f>IF(A137="","",INDEX(SKUs!$F$5:$F$304,MATCH(A137,SKUs!$I$5:$I$304,0)))</f>
        <v/>
      </c>
      <c r="F137" s="10">
        <f>IF(A137="","",INDEX(SKUs!$G$5:$G$304,MATCH(A137,SKUs!$I$5:$I$304,0)))</f>
        <v/>
      </c>
      <c r="G137" s="11">
        <f>IF(A137="","",INDEX(SKUs!$H$5:$H$304,MATCH(A137,SKUs!$I$5:$I$304,0)))</f>
        <v/>
      </c>
      <c r="H137" s="11">
        <f>IF(A137="","",IF(SUM(SKUs!$E$5:$E$304)=0,0,D137/SUM(SKUs!$E$5:$E$304)))</f>
        <v/>
      </c>
      <c r="I137" s="11">
        <f>IF(A137="","",SUM($H$6:H137))</f>
        <v/>
      </c>
      <c r="J137" s="5">
        <f>IF(A137="","",IF(I137&gt;=$B$3,1,0))</f>
        <v/>
      </c>
    </row>
    <row r="138">
      <c r="A138" s="5">
        <f>IF(133&gt;COUNT(SKUs!$I$5:$I$304),"",133)</f>
        <v/>
      </c>
      <c r="B138" s="5">
        <f>IF(A138="","",INDEX(SKUs!$A$5:$A$304,MATCH(A138,SKUs!$I$5:$I$304,0)))</f>
        <v/>
      </c>
      <c r="C138" s="15">
        <f>IF(A138="","",INDEX(SKUs!$B$5:$B$304,MATCH(A138,SKUs!$I$5:$I$304,0)))</f>
        <v/>
      </c>
      <c r="D138" s="10">
        <f>IF(A138="","",INDEX(SKUs!$E$5:$E$304,MATCH(A138,SKUs!$I$5:$I$304,0)))</f>
        <v/>
      </c>
      <c r="E138" s="10">
        <f>IF(A138="","",INDEX(SKUs!$F$5:$F$304,MATCH(A138,SKUs!$I$5:$I$304,0)))</f>
        <v/>
      </c>
      <c r="F138" s="10">
        <f>IF(A138="","",INDEX(SKUs!$G$5:$G$304,MATCH(A138,SKUs!$I$5:$I$304,0)))</f>
        <v/>
      </c>
      <c r="G138" s="11">
        <f>IF(A138="","",INDEX(SKUs!$H$5:$H$304,MATCH(A138,SKUs!$I$5:$I$304,0)))</f>
        <v/>
      </c>
      <c r="H138" s="11">
        <f>IF(A138="","",IF(SUM(SKUs!$E$5:$E$304)=0,0,D138/SUM(SKUs!$E$5:$E$304)))</f>
        <v/>
      </c>
      <c r="I138" s="11">
        <f>IF(A138="","",SUM($H$6:H138))</f>
        <v/>
      </c>
      <c r="J138" s="5">
        <f>IF(A138="","",IF(I138&gt;=$B$3,1,0))</f>
        <v/>
      </c>
    </row>
    <row r="139">
      <c r="A139" s="5">
        <f>IF(134&gt;COUNT(SKUs!$I$5:$I$304),"",134)</f>
        <v/>
      </c>
      <c r="B139" s="5">
        <f>IF(A139="","",INDEX(SKUs!$A$5:$A$304,MATCH(A139,SKUs!$I$5:$I$304,0)))</f>
        <v/>
      </c>
      <c r="C139" s="15">
        <f>IF(A139="","",INDEX(SKUs!$B$5:$B$304,MATCH(A139,SKUs!$I$5:$I$304,0)))</f>
        <v/>
      </c>
      <c r="D139" s="10">
        <f>IF(A139="","",INDEX(SKUs!$E$5:$E$304,MATCH(A139,SKUs!$I$5:$I$304,0)))</f>
        <v/>
      </c>
      <c r="E139" s="10">
        <f>IF(A139="","",INDEX(SKUs!$F$5:$F$304,MATCH(A139,SKUs!$I$5:$I$304,0)))</f>
        <v/>
      </c>
      <c r="F139" s="10">
        <f>IF(A139="","",INDEX(SKUs!$G$5:$G$304,MATCH(A139,SKUs!$I$5:$I$304,0)))</f>
        <v/>
      </c>
      <c r="G139" s="11">
        <f>IF(A139="","",INDEX(SKUs!$H$5:$H$304,MATCH(A139,SKUs!$I$5:$I$304,0)))</f>
        <v/>
      </c>
      <c r="H139" s="11">
        <f>IF(A139="","",IF(SUM(SKUs!$E$5:$E$304)=0,0,D139/SUM(SKUs!$E$5:$E$304)))</f>
        <v/>
      </c>
      <c r="I139" s="11">
        <f>IF(A139="","",SUM($H$6:H139))</f>
        <v/>
      </c>
      <c r="J139" s="5">
        <f>IF(A139="","",IF(I139&gt;=$B$3,1,0))</f>
        <v/>
      </c>
    </row>
    <row r="140">
      <c r="A140" s="5">
        <f>IF(135&gt;COUNT(SKUs!$I$5:$I$304),"",135)</f>
        <v/>
      </c>
      <c r="B140" s="5">
        <f>IF(A140="","",INDEX(SKUs!$A$5:$A$304,MATCH(A140,SKUs!$I$5:$I$304,0)))</f>
        <v/>
      </c>
      <c r="C140" s="15">
        <f>IF(A140="","",INDEX(SKUs!$B$5:$B$304,MATCH(A140,SKUs!$I$5:$I$304,0)))</f>
        <v/>
      </c>
      <c r="D140" s="10">
        <f>IF(A140="","",INDEX(SKUs!$E$5:$E$304,MATCH(A140,SKUs!$I$5:$I$304,0)))</f>
        <v/>
      </c>
      <c r="E140" s="10">
        <f>IF(A140="","",INDEX(SKUs!$F$5:$F$304,MATCH(A140,SKUs!$I$5:$I$304,0)))</f>
        <v/>
      </c>
      <c r="F140" s="10">
        <f>IF(A140="","",INDEX(SKUs!$G$5:$G$304,MATCH(A140,SKUs!$I$5:$I$304,0)))</f>
        <v/>
      </c>
      <c r="G140" s="11">
        <f>IF(A140="","",INDEX(SKUs!$H$5:$H$304,MATCH(A140,SKUs!$I$5:$I$304,0)))</f>
        <v/>
      </c>
      <c r="H140" s="11">
        <f>IF(A140="","",IF(SUM(SKUs!$E$5:$E$304)=0,0,D140/SUM(SKUs!$E$5:$E$304)))</f>
        <v/>
      </c>
      <c r="I140" s="11">
        <f>IF(A140="","",SUM($H$6:H140))</f>
        <v/>
      </c>
      <c r="J140" s="5">
        <f>IF(A140="","",IF(I140&gt;=$B$3,1,0))</f>
        <v/>
      </c>
    </row>
    <row r="141">
      <c r="A141" s="5">
        <f>IF(136&gt;COUNT(SKUs!$I$5:$I$304),"",136)</f>
        <v/>
      </c>
      <c r="B141" s="5">
        <f>IF(A141="","",INDEX(SKUs!$A$5:$A$304,MATCH(A141,SKUs!$I$5:$I$304,0)))</f>
        <v/>
      </c>
      <c r="C141" s="15">
        <f>IF(A141="","",INDEX(SKUs!$B$5:$B$304,MATCH(A141,SKUs!$I$5:$I$304,0)))</f>
        <v/>
      </c>
      <c r="D141" s="10">
        <f>IF(A141="","",INDEX(SKUs!$E$5:$E$304,MATCH(A141,SKUs!$I$5:$I$304,0)))</f>
        <v/>
      </c>
      <c r="E141" s="10">
        <f>IF(A141="","",INDEX(SKUs!$F$5:$F$304,MATCH(A141,SKUs!$I$5:$I$304,0)))</f>
        <v/>
      </c>
      <c r="F141" s="10">
        <f>IF(A141="","",INDEX(SKUs!$G$5:$G$304,MATCH(A141,SKUs!$I$5:$I$304,0)))</f>
        <v/>
      </c>
      <c r="G141" s="11">
        <f>IF(A141="","",INDEX(SKUs!$H$5:$H$304,MATCH(A141,SKUs!$I$5:$I$304,0)))</f>
        <v/>
      </c>
      <c r="H141" s="11">
        <f>IF(A141="","",IF(SUM(SKUs!$E$5:$E$304)=0,0,D141/SUM(SKUs!$E$5:$E$304)))</f>
        <v/>
      </c>
      <c r="I141" s="11">
        <f>IF(A141="","",SUM($H$6:H141))</f>
        <v/>
      </c>
      <c r="J141" s="5">
        <f>IF(A141="","",IF(I141&gt;=$B$3,1,0))</f>
        <v/>
      </c>
    </row>
    <row r="142">
      <c r="A142" s="5">
        <f>IF(137&gt;COUNT(SKUs!$I$5:$I$304),"",137)</f>
        <v/>
      </c>
      <c r="B142" s="5">
        <f>IF(A142="","",INDEX(SKUs!$A$5:$A$304,MATCH(A142,SKUs!$I$5:$I$304,0)))</f>
        <v/>
      </c>
      <c r="C142" s="15">
        <f>IF(A142="","",INDEX(SKUs!$B$5:$B$304,MATCH(A142,SKUs!$I$5:$I$304,0)))</f>
        <v/>
      </c>
      <c r="D142" s="10">
        <f>IF(A142="","",INDEX(SKUs!$E$5:$E$304,MATCH(A142,SKUs!$I$5:$I$304,0)))</f>
        <v/>
      </c>
      <c r="E142" s="10">
        <f>IF(A142="","",INDEX(SKUs!$F$5:$F$304,MATCH(A142,SKUs!$I$5:$I$304,0)))</f>
        <v/>
      </c>
      <c r="F142" s="10">
        <f>IF(A142="","",INDEX(SKUs!$G$5:$G$304,MATCH(A142,SKUs!$I$5:$I$304,0)))</f>
        <v/>
      </c>
      <c r="G142" s="11">
        <f>IF(A142="","",INDEX(SKUs!$H$5:$H$304,MATCH(A142,SKUs!$I$5:$I$304,0)))</f>
        <v/>
      </c>
      <c r="H142" s="11">
        <f>IF(A142="","",IF(SUM(SKUs!$E$5:$E$304)=0,0,D142/SUM(SKUs!$E$5:$E$304)))</f>
        <v/>
      </c>
      <c r="I142" s="11">
        <f>IF(A142="","",SUM($H$6:H142))</f>
        <v/>
      </c>
      <c r="J142" s="5">
        <f>IF(A142="","",IF(I142&gt;=$B$3,1,0))</f>
        <v/>
      </c>
    </row>
    <row r="143">
      <c r="A143" s="5">
        <f>IF(138&gt;COUNT(SKUs!$I$5:$I$304),"",138)</f>
        <v/>
      </c>
      <c r="B143" s="5">
        <f>IF(A143="","",INDEX(SKUs!$A$5:$A$304,MATCH(A143,SKUs!$I$5:$I$304,0)))</f>
        <v/>
      </c>
      <c r="C143" s="15">
        <f>IF(A143="","",INDEX(SKUs!$B$5:$B$304,MATCH(A143,SKUs!$I$5:$I$304,0)))</f>
        <v/>
      </c>
      <c r="D143" s="10">
        <f>IF(A143="","",INDEX(SKUs!$E$5:$E$304,MATCH(A143,SKUs!$I$5:$I$304,0)))</f>
        <v/>
      </c>
      <c r="E143" s="10">
        <f>IF(A143="","",INDEX(SKUs!$F$5:$F$304,MATCH(A143,SKUs!$I$5:$I$304,0)))</f>
        <v/>
      </c>
      <c r="F143" s="10">
        <f>IF(A143="","",INDEX(SKUs!$G$5:$G$304,MATCH(A143,SKUs!$I$5:$I$304,0)))</f>
        <v/>
      </c>
      <c r="G143" s="11">
        <f>IF(A143="","",INDEX(SKUs!$H$5:$H$304,MATCH(A143,SKUs!$I$5:$I$304,0)))</f>
        <v/>
      </c>
      <c r="H143" s="11">
        <f>IF(A143="","",IF(SUM(SKUs!$E$5:$E$304)=0,0,D143/SUM(SKUs!$E$5:$E$304)))</f>
        <v/>
      </c>
      <c r="I143" s="11">
        <f>IF(A143="","",SUM($H$6:H143))</f>
        <v/>
      </c>
      <c r="J143" s="5">
        <f>IF(A143="","",IF(I143&gt;=$B$3,1,0))</f>
        <v/>
      </c>
    </row>
    <row r="144">
      <c r="A144" s="5">
        <f>IF(139&gt;COUNT(SKUs!$I$5:$I$304),"",139)</f>
        <v/>
      </c>
      <c r="B144" s="5">
        <f>IF(A144="","",INDEX(SKUs!$A$5:$A$304,MATCH(A144,SKUs!$I$5:$I$304,0)))</f>
        <v/>
      </c>
      <c r="C144" s="15">
        <f>IF(A144="","",INDEX(SKUs!$B$5:$B$304,MATCH(A144,SKUs!$I$5:$I$304,0)))</f>
        <v/>
      </c>
      <c r="D144" s="10">
        <f>IF(A144="","",INDEX(SKUs!$E$5:$E$304,MATCH(A144,SKUs!$I$5:$I$304,0)))</f>
        <v/>
      </c>
      <c r="E144" s="10">
        <f>IF(A144="","",INDEX(SKUs!$F$5:$F$304,MATCH(A144,SKUs!$I$5:$I$304,0)))</f>
        <v/>
      </c>
      <c r="F144" s="10">
        <f>IF(A144="","",INDEX(SKUs!$G$5:$G$304,MATCH(A144,SKUs!$I$5:$I$304,0)))</f>
        <v/>
      </c>
      <c r="G144" s="11">
        <f>IF(A144="","",INDEX(SKUs!$H$5:$H$304,MATCH(A144,SKUs!$I$5:$I$304,0)))</f>
        <v/>
      </c>
      <c r="H144" s="11">
        <f>IF(A144="","",IF(SUM(SKUs!$E$5:$E$304)=0,0,D144/SUM(SKUs!$E$5:$E$304)))</f>
        <v/>
      </c>
      <c r="I144" s="11">
        <f>IF(A144="","",SUM($H$6:H144))</f>
        <v/>
      </c>
      <c r="J144" s="5">
        <f>IF(A144="","",IF(I144&gt;=$B$3,1,0))</f>
        <v/>
      </c>
    </row>
    <row r="145">
      <c r="A145" s="5">
        <f>IF(140&gt;COUNT(SKUs!$I$5:$I$304),"",140)</f>
        <v/>
      </c>
      <c r="B145" s="5">
        <f>IF(A145="","",INDEX(SKUs!$A$5:$A$304,MATCH(A145,SKUs!$I$5:$I$304,0)))</f>
        <v/>
      </c>
      <c r="C145" s="15">
        <f>IF(A145="","",INDEX(SKUs!$B$5:$B$304,MATCH(A145,SKUs!$I$5:$I$304,0)))</f>
        <v/>
      </c>
      <c r="D145" s="10">
        <f>IF(A145="","",INDEX(SKUs!$E$5:$E$304,MATCH(A145,SKUs!$I$5:$I$304,0)))</f>
        <v/>
      </c>
      <c r="E145" s="10">
        <f>IF(A145="","",INDEX(SKUs!$F$5:$F$304,MATCH(A145,SKUs!$I$5:$I$304,0)))</f>
        <v/>
      </c>
      <c r="F145" s="10">
        <f>IF(A145="","",INDEX(SKUs!$G$5:$G$304,MATCH(A145,SKUs!$I$5:$I$304,0)))</f>
        <v/>
      </c>
      <c r="G145" s="11">
        <f>IF(A145="","",INDEX(SKUs!$H$5:$H$304,MATCH(A145,SKUs!$I$5:$I$304,0)))</f>
        <v/>
      </c>
      <c r="H145" s="11">
        <f>IF(A145="","",IF(SUM(SKUs!$E$5:$E$304)=0,0,D145/SUM(SKUs!$E$5:$E$304)))</f>
        <v/>
      </c>
      <c r="I145" s="11">
        <f>IF(A145="","",SUM($H$6:H145))</f>
        <v/>
      </c>
      <c r="J145" s="5">
        <f>IF(A145="","",IF(I145&gt;=$B$3,1,0))</f>
        <v/>
      </c>
    </row>
    <row r="146">
      <c r="A146" s="5">
        <f>IF(141&gt;COUNT(SKUs!$I$5:$I$304),"",141)</f>
        <v/>
      </c>
      <c r="B146" s="5">
        <f>IF(A146="","",INDEX(SKUs!$A$5:$A$304,MATCH(A146,SKUs!$I$5:$I$304,0)))</f>
        <v/>
      </c>
      <c r="C146" s="15">
        <f>IF(A146="","",INDEX(SKUs!$B$5:$B$304,MATCH(A146,SKUs!$I$5:$I$304,0)))</f>
        <v/>
      </c>
      <c r="D146" s="10">
        <f>IF(A146="","",INDEX(SKUs!$E$5:$E$304,MATCH(A146,SKUs!$I$5:$I$304,0)))</f>
        <v/>
      </c>
      <c r="E146" s="10">
        <f>IF(A146="","",INDEX(SKUs!$F$5:$F$304,MATCH(A146,SKUs!$I$5:$I$304,0)))</f>
        <v/>
      </c>
      <c r="F146" s="10">
        <f>IF(A146="","",INDEX(SKUs!$G$5:$G$304,MATCH(A146,SKUs!$I$5:$I$304,0)))</f>
        <v/>
      </c>
      <c r="G146" s="11">
        <f>IF(A146="","",INDEX(SKUs!$H$5:$H$304,MATCH(A146,SKUs!$I$5:$I$304,0)))</f>
        <v/>
      </c>
      <c r="H146" s="11">
        <f>IF(A146="","",IF(SUM(SKUs!$E$5:$E$304)=0,0,D146/SUM(SKUs!$E$5:$E$304)))</f>
        <v/>
      </c>
      <c r="I146" s="11">
        <f>IF(A146="","",SUM($H$6:H146))</f>
        <v/>
      </c>
      <c r="J146" s="5">
        <f>IF(A146="","",IF(I146&gt;=$B$3,1,0))</f>
        <v/>
      </c>
    </row>
    <row r="147">
      <c r="A147" s="5">
        <f>IF(142&gt;COUNT(SKUs!$I$5:$I$304),"",142)</f>
        <v/>
      </c>
      <c r="B147" s="5">
        <f>IF(A147="","",INDEX(SKUs!$A$5:$A$304,MATCH(A147,SKUs!$I$5:$I$304,0)))</f>
        <v/>
      </c>
      <c r="C147" s="15">
        <f>IF(A147="","",INDEX(SKUs!$B$5:$B$304,MATCH(A147,SKUs!$I$5:$I$304,0)))</f>
        <v/>
      </c>
      <c r="D147" s="10">
        <f>IF(A147="","",INDEX(SKUs!$E$5:$E$304,MATCH(A147,SKUs!$I$5:$I$304,0)))</f>
        <v/>
      </c>
      <c r="E147" s="10">
        <f>IF(A147="","",INDEX(SKUs!$F$5:$F$304,MATCH(A147,SKUs!$I$5:$I$304,0)))</f>
        <v/>
      </c>
      <c r="F147" s="10">
        <f>IF(A147="","",INDEX(SKUs!$G$5:$G$304,MATCH(A147,SKUs!$I$5:$I$304,0)))</f>
        <v/>
      </c>
      <c r="G147" s="11">
        <f>IF(A147="","",INDEX(SKUs!$H$5:$H$304,MATCH(A147,SKUs!$I$5:$I$304,0)))</f>
        <v/>
      </c>
      <c r="H147" s="11">
        <f>IF(A147="","",IF(SUM(SKUs!$E$5:$E$304)=0,0,D147/SUM(SKUs!$E$5:$E$304)))</f>
        <v/>
      </c>
      <c r="I147" s="11">
        <f>IF(A147="","",SUM($H$6:H147))</f>
        <v/>
      </c>
      <c r="J147" s="5">
        <f>IF(A147="","",IF(I147&gt;=$B$3,1,0))</f>
        <v/>
      </c>
    </row>
    <row r="148">
      <c r="A148" s="5">
        <f>IF(143&gt;COUNT(SKUs!$I$5:$I$304),"",143)</f>
        <v/>
      </c>
      <c r="B148" s="5">
        <f>IF(A148="","",INDEX(SKUs!$A$5:$A$304,MATCH(A148,SKUs!$I$5:$I$304,0)))</f>
        <v/>
      </c>
      <c r="C148" s="15">
        <f>IF(A148="","",INDEX(SKUs!$B$5:$B$304,MATCH(A148,SKUs!$I$5:$I$304,0)))</f>
        <v/>
      </c>
      <c r="D148" s="10">
        <f>IF(A148="","",INDEX(SKUs!$E$5:$E$304,MATCH(A148,SKUs!$I$5:$I$304,0)))</f>
        <v/>
      </c>
      <c r="E148" s="10">
        <f>IF(A148="","",INDEX(SKUs!$F$5:$F$304,MATCH(A148,SKUs!$I$5:$I$304,0)))</f>
        <v/>
      </c>
      <c r="F148" s="10">
        <f>IF(A148="","",INDEX(SKUs!$G$5:$G$304,MATCH(A148,SKUs!$I$5:$I$304,0)))</f>
        <v/>
      </c>
      <c r="G148" s="11">
        <f>IF(A148="","",INDEX(SKUs!$H$5:$H$304,MATCH(A148,SKUs!$I$5:$I$304,0)))</f>
        <v/>
      </c>
      <c r="H148" s="11">
        <f>IF(A148="","",IF(SUM(SKUs!$E$5:$E$304)=0,0,D148/SUM(SKUs!$E$5:$E$304)))</f>
        <v/>
      </c>
      <c r="I148" s="11">
        <f>IF(A148="","",SUM($H$6:H148))</f>
        <v/>
      </c>
      <c r="J148" s="5">
        <f>IF(A148="","",IF(I148&gt;=$B$3,1,0))</f>
        <v/>
      </c>
    </row>
    <row r="149">
      <c r="A149" s="5">
        <f>IF(144&gt;COUNT(SKUs!$I$5:$I$304),"",144)</f>
        <v/>
      </c>
      <c r="B149" s="5">
        <f>IF(A149="","",INDEX(SKUs!$A$5:$A$304,MATCH(A149,SKUs!$I$5:$I$304,0)))</f>
        <v/>
      </c>
      <c r="C149" s="15">
        <f>IF(A149="","",INDEX(SKUs!$B$5:$B$304,MATCH(A149,SKUs!$I$5:$I$304,0)))</f>
        <v/>
      </c>
      <c r="D149" s="10">
        <f>IF(A149="","",INDEX(SKUs!$E$5:$E$304,MATCH(A149,SKUs!$I$5:$I$304,0)))</f>
        <v/>
      </c>
      <c r="E149" s="10">
        <f>IF(A149="","",INDEX(SKUs!$F$5:$F$304,MATCH(A149,SKUs!$I$5:$I$304,0)))</f>
        <v/>
      </c>
      <c r="F149" s="10">
        <f>IF(A149="","",INDEX(SKUs!$G$5:$G$304,MATCH(A149,SKUs!$I$5:$I$304,0)))</f>
        <v/>
      </c>
      <c r="G149" s="11">
        <f>IF(A149="","",INDEX(SKUs!$H$5:$H$304,MATCH(A149,SKUs!$I$5:$I$304,0)))</f>
        <v/>
      </c>
      <c r="H149" s="11">
        <f>IF(A149="","",IF(SUM(SKUs!$E$5:$E$304)=0,0,D149/SUM(SKUs!$E$5:$E$304)))</f>
        <v/>
      </c>
      <c r="I149" s="11">
        <f>IF(A149="","",SUM($H$6:H149))</f>
        <v/>
      </c>
      <c r="J149" s="5">
        <f>IF(A149="","",IF(I149&gt;=$B$3,1,0))</f>
        <v/>
      </c>
    </row>
    <row r="150">
      <c r="A150" s="5">
        <f>IF(145&gt;COUNT(SKUs!$I$5:$I$304),"",145)</f>
        <v/>
      </c>
      <c r="B150" s="5">
        <f>IF(A150="","",INDEX(SKUs!$A$5:$A$304,MATCH(A150,SKUs!$I$5:$I$304,0)))</f>
        <v/>
      </c>
      <c r="C150" s="15">
        <f>IF(A150="","",INDEX(SKUs!$B$5:$B$304,MATCH(A150,SKUs!$I$5:$I$304,0)))</f>
        <v/>
      </c>
      <c r="D150" s="10">
        <f>IF(A150="","",INDEX(SKUs!$E$5:$E$304,MATCH(A150,SKUs!$I$5:$I$304,0)))</f>
        <v/>
      </c>
      <c r="E150" s="10">
        <f>IF(A150="","",INDEX(SKUs!$F$5:$F$304,MATCH(A150,SKUs!$I$5:$I$304,0)))</f>
        <v/>
      </c>
      <c r="F150" s="10">
        <f>IF(A150="","",INDEX(SKUs!$G$5:$G$304,MATCH(A150,SKUs!$I$5:$I$304,0)))</f>
        <v/>
      </c>
      <c r="G150" s="11">
        <f>IF(A150="","",INDEX(SKUs!$H$5:$H$304,MATCH(A150,SKUs!$I$5:$I$304,0)))</f>
        <v/>
      </c>
      <c r="H150" s="11">
        <f>IF(A150="","",IF(SUM(SKUs!$E$5:$E$304)=0,0,D150/SUM(SKUs!$E$5:$E$304)))</f>
        <v/>
      </c>
      <c r="I150" s="11">
        <f>IF(A150="","",SUM($H$6:H150))</f>
        <v/>
      </c>
      <c r="J150" s="5">
        <f>IF(A150="","",IF(I150&gt;=$B$3,1,0))</f>
        <v/>
      </c>
    </row>
    <row r="151">
      <c r="A151" s="5">
        <f>IF(146&gt;COUNT(SKUs!$I$5:$I$304),"",146)</f>
        <v/>
      </c>
      <c r="B151" s="5">
        <f>IF(A151="","",INDEX(SKUs!$A$5:$A$304,MATCH(A151,SKUs!$I$5:$I$304,0)))</f>
        <v/>
      </c>
      <c r="C151" s="15">
        <f>IF(A151="","",INDEX(SKUs!$B$5:$B$304,MATCH(A151,SKUs!$I$5:$I$304,0)))</f>
        <v/>
      </c>
      <c r="D151" s="10">
        <f>IF(A151="","",INDEX(SKUs!$E$5:$E$304,MATCH(A151,SKUs!$I$5:$I$304,0)))</f>
        <v/>
      </c>
      <c r="E151" s="10">
        <f>IF(A151="","",INDEX(SKUs!$F$5:$F$304,MATCH(A151,SKUs!$I$5:$I$304,0)))</f>
        <v/>
      </c>
      <c r="F151" s="10">
        <f>IF(A151="","",INDEX(SKUs!$G$5:$G$304,MATCH(A151,SKUs!$I$5:$I$304,0)))</f>
        <v/>
      </c>
      <c r="G151" s="11">
        <f>IF(A151="","",INDEX(SKUs!$H$5:$H$304,MATCH(A151,SKUs!$I$5:$I$304,0)))</f>
        <v/>
      </c>
      <c r="H151" s="11">
        <f>IF(A151="","",IF(SUM(SKUs!$E$5:$E$304)=0,0,D151/SUM(SKUs!$E$5:$E$304)))</f>
        <v/>
      </c>
      <c r="I151" s="11">
        <f>IF(A151="","",SUM($H$6:H151))</f>
        <v/>
      </c>
      <c r="J151" s="5">
        <f>IF(A151="","",IF(I151&gt;=$B$3,1,0))</f>
        <v/>
      </c>
    </row>
    <row r="152">
      <c r="A152" s="5">
        <f>IF(147&gt;COUNT(SKUs!$I$5:$I$304),"",147)</f>
        <v/>
      </c>
      <c r="B152" s="5">
        <f>IF(A152="","",INDEX(SKUs!$A$5:$A$304,MATCH(A152,SKUs!$I$5:$I$304,0)))</f>
        <v/>
      </c>
      <c r="C152" s="15">
        <f>IF(A152="","",INDEX(SKUs!$B$5:$B$304,MATCH(A152,SKUs!$I$5:$I$304,0)))</f>
        <v/>
      </c>
      <c r="D152" s="10">
        <f>IF(A152="","",INDEX(SKUs!$E$5:$E$304,MATCH(A152,SKUs!$I$5:$I$304,0)))</f>
        <v/>
      </c>
      <c r="E152" s="10">
        <f>IF(A152="","",INDEX(SKUs!$F$5:$F$304,MATCH(A152,SKUs!$I$5:$I$304,0)))</f>
        <v/>
      </c>
      <c r="F152" s="10">
        <f>IF(A152="","",INDEX(SKUs!$G$5:$G$304,MATCH(A152,SKUs!$I$5:$I$304,0)))</f>
        <v/>
      </c>
      <c r="G152" s="11">
        <f>IF(A152="","",INDEX(SKUs!$H$5:$H$304,MATCH(A152,SKUs!$I$5:$I$304,0)))</f>
        <v/>
      </c>
      <c r="H152" s="11">
        <f>IF(A152="","",IF(SUM(SKUs!$E$5:$E$304)=0,0,D152/SUM(SKUs!$E$5:$E$304)))</f>
        <v/>
      </c>
      <c r="I152" s="11">
        <f>IF(A152="","",SUM($H$6:H152))</f>
        <v/>
      </c>
      <c r="J152" s="5">
        <f>IF(A152="","",IF(I152&gt;=$B$3,1,0))</f>
        <v/>
      </c>
    </row>
    <row r="153">
      <c r="A153" s="5">
        <f>IF(148&gt;COUNT(SKUs!$I$5:$I$304),"",148)</f>
        <v/>
      </c>
      <c r="B153" s="5">
        <f>IF(A153="","",INDEX(SKUs!$A$5:$A$304,MATCH(A153,SKUs!$I$5:$I$304,0)))</f>
        <v/>
      </c>
      <c r="C153" s="15">
        <f>IF(A153="","",INDEX(SKUs!$B$5:$B$304,MATCH(A153,SKUs!$I$5:$I$304,0)))</f>
        <v/>
      </c>
      <c r="D153" s="10">
        <f>IF(A153="","",INDEX(SKUs!$E$5:$E$304,MATCH(A153,SKUs!$I$5:$I$304,0)))</f>
        <v/>
      </c>
      <c r="E153" s="10">
        <f>IF(A153="","",INDEX(SKUs!$F$5:$F$304,MATCH(A153,SKUs!$I$5:$I$304,0)))</f>
        <v/>
      </c>
      <c r="F153" s="10">
        <f>IF(A153="","",INDEX(SKUs!$G$5:$G$304,MATCH(A153,SKUs!$I$5:$I$304,0)))</f>
        <v/>
      </c>
      <c r="G153" s="11">
        <f>IF(A153="","",INDEX(SKUs!$H$5:$H$304,MATCH(A153,SKUs!$I$5:$I$304,0)))</f>
        <v/>
      </c>
      <c r="H153" s="11">
        <f>IF(A153="","",IF(SUM(SKUs!$E$5:$E$304)=0,0,D153/SUM(SKUs!$E$5:$E$304)))</f>
        <v/>
      </c>
      <c r="I153" s="11">
        <f>IF(A153="","",SUM($H$6:H153))</f>
        <v/>
      </c>
      <c r="J153" s="5">
        <f>IF(A153="","",IF(I153&gt;=$B$3,1,0))</f>
        <v/>
      </c>
    </row>
    <row r="154">
      <c r="A154" s="5">
        <f>IF(149&gt;COUNT(SKUs!$I$5:$I$304),"",149)</f>
        <v/>
      </c>
      <c r="B154" s="5">
        <f>IF(A154="","",INDEX(SKUs!$A$5:$A$304,MATCH(A154,SKUs!$I$5:$I$304,0)))</f>
        <v/>
      </c>
      <c r="C154" s="15">
        <f>IF(A154="","",INDEX(SKUs!$B$5:$B$304,MATCH(A154,SKUs!$I$5:$I$304,0)))</f>
        <v/>
      </c>
      <c r="D154" s="10">
        <f>IF(A154="","",INDEX(SKUs!$E$5:$E$304,MATCH(A154,SKUs!$I$5:$I$304,0)))</f>
        <v/>
      </c>
      <c r="E154" s="10">
        <f>IF(A154="","",INDEX(SKUs!$F$5:$F$304,MATCH(A154,SKUs!$I$5:$I$304,0)))</f>
        <v/>
      </c>
      <c r="F154" s="10">
        <f>IF(A154="","",INDEX(SKUs!$G$5:$G$304,MATCH(A154,SKUs!$I$5:$I$304,0)))</f>
        <v/>
      </c>
      <c r="G154" s="11">
        <f>IF(A154="","",INDEX(SKUs!$H$5:$H$304,MATCH(A154,SKUs!$I$5:$I$304,0)))</f>
        <v/>
      </c>
      <c r="H154" s="11">
        <f>IF(A154="","",IF(SUM(SKUs!$E$5:$E$304)=0,0,D154/SUM(SKUs!$E$5:$E$304)))</f>
        <v/>
      </c>
      <c r="I154" s="11">
        <f>IF(A154="","",SUM($H$6:H154))</f>
        <v/>
      </c>
      <c r="J154" s="5">
        <f>IF(A154="","",IF(I154&gt;=$B$3,1,0))</f>
        <v/>
      </c>
    </row>
    <row r="155">
      <c r="A155" s="5">
        <f>IF(150&gt;COUNT(SKUs!$I$5:$I$304),"",150)</f>
        <v/>
      </c>
      <c r="B155" s="5">
        <f>IF(A155="","",INDEX(SKUs!$A$5:$A$304,MATCH(A155,SKUs!$I$5:$I$304,0)))</f>
        <v/>
      </c>
      <c r="C155" s="15">
        <f>IF(A155="","",INDEX(SKUs!$B$5:$B$304,MATCH(A155,SKUs!$I$5:$I$304,0)))</f>
        <v/>
      </c>
      <c r="D155" s="10">
        <f>IF(A155="","",INDEX(SKUs!$E$5:$E$304,MATCH(A155,SKUs!$I$5:$I$304,0)))</f>
        <v/>
      </c>
      <c r="E155" s="10">
        <f>IF(A155="","",INDEX(SKUs!$F$5:$F$304,MATCH(A155,SKUs!$I$5:$I$304,0)))</f>
        <v/>
      </c>
      <c r="F155" s="10">
        <f>IF(A155="","",INDEX(SKUs!$G$5:$G$304,MATCH(A155,SKUs!$I$5:$I$304,0)))</f>
        <v/>
      </c>
      <c r="G155" s="11">
        <f>IF(A155="","",INDEX(SKUs!$H$5:$H$304,MATCH(A155,SKUs!$I$5:$I$304,0)))</f>
        <v/>
      </c>
      <c r="H155" s="11">
        <f>IF(A155="","",IF(SUM(SKUs!$E$5:$E$304)=0,0,D155/SUM(SKUs!$E$5:$E$304)))</f>
        <v/>
      </c>
      <c r="I155" s="11">
        <f>IF(A155="","",SUM($H$6:H155))</f>
        <v/>
      </c>
      <c r="J155" s="5">
        <f>IF(A155="","",IF(I155&gt;=$B$3,1,0))</f>
        <v/>
      </c>
    </row>
    <row r="156">
      <c r="A156" s="5">
        <f>IF(151&gt;COUNT(SKUs!$I$5:$I$304),"",151)</f>
        <v/>
      </c>
      <c r="B156" s="5">
        <f>IF(A156="","",INDEX(SKUs!$A$5:$A$304,MATCH(A156,SKUs!$I$5:$I$304,0)))</f>
        <v/>
      </c>
      <c r="C156" s="15">
        <f>IF(A156="","",INDEX(SKUs!$B$5:$B$304,MATCH(A156,SKUs!$I$5:$I$304,0)))</f>
        <v/>
      </c>
      <c r="D156" s="10">
        <f>IF(A156="","",INDEX(SKUs!$E$5:$E$304,MATCH(A156,SKUs!$I$5:$I$304,0)))</f>
        <v/>
      </c>
      <c r="E156" s="10">
        <f>IF(A156="","",INDEX(SKUs!$F$5:$F$304,MATCH(A156,SKUs!$I$5:$I$304,0)))</f>
        <v/>
      </c>
      <c r="F156" s="10">
        <f>IF(A156="","",INDEX(SKUs!$G$5:$G$304,MATCH(A156,SKUs!$I$5:$I$304,0)))</f>
        <v/>
      </c>
      <c r="G156" s="11">
        <f>IF(A156="","",INDEX(SKUs!$H$5:$H$304,MATCH(A156,SKUs!$I$5:$I$304,0)))</f>
        <v/>
      </c>
      <c r="H156" s="11">
        <f>IF(A156="","",IF(SUM(SKUs!$E$5:$E$304)=0,0,D156/SUM(SKUs!$E$5:$E$304)))</f>
        <v/>
      </c>
      <c r="I156" s="11">
        <f>IF(A156="","",SUM($H$6:H156))</f>
        <v/>
      </c>
      <c r="J156" s="5">
        <f>IF(A156="","",IF(I156&gt;=$B$3,1,0))</f>
        <v/>
      </c>
    </row>
    <row r="157">
      <c r="A157" s="5">
        <f>IF(152&gt;COUNT(SKUs!$I$5:$I$304),"",152)</f>
        <v/>
      </c>
      <c r="B157" s="5">
        <f>IF(A157="","",INDEX(SKUs!$A$5:$A$304,MATCH(A157,SKUs!$I$5:$I$304,0)))</f>
        <v/>
      </c>
      <c r="C157" s="15">
        <f>IF(A157="","",INDEX(SKUs!$B$5:$B$304,MATCH(A157,SKUs!$I$5:$I$304,0)))</f>
        <v/>
      </c>
      <c r="D157" s="10">
        <f>IF(A157="","",INDEX(SKUs!$E$5:$E$304,MATCH(A157,SKUs!$I$5:$I$304,0)))</f>
        <v/>
      </c>
      <c r="E157" s="10">
        <f>IF(A157="","",INDEX(SKUs!$F$5:$F$304,MATCH(A157,SKUs!$I$5:$I$304,0)))</f>
        <v/>
      </c>
      <c r="F157" s="10">
        <f>IF(A157="","",INDEX(SKUs!$G$5:$G$304,MATCH(A157,SKUs!$I$5:$I$304,0)))</f>
        <v/>
      </c>
      <c r="G157" s="11">
        <f>IF(A157="","",INDEX(SKUs!$H$5:$H$304,MATCH(A157,SKUs!$I$5:$I$304,0)))</f>
        <v/>
      </c>
      <c r="H157" s="11">
        <f>IF(A157="","",IF(SUM(SKUs!$E$5:$E$304)=0,0,D157/SUM(SKUs!$E$5:$E$304)))</f>
        <v/>
      </c>
      <c r="I157" s="11">
        <f>IF(A157="","",SUM($H$6:H157))</f>
        <v/>
      </c>
      <c r="J157" s="5">
        <f>IF(A157="","",IF(I157&gt;=$B$3,1,0))</f>
        <v/>
      </c>
    </row>
    <row r="158">
      <c r="A158" s="5">
        <f>IF(153&gt;COUNT(SKUs!$I$5:$I$304),"",153)</f>
        <v/>
      </c>
      <c r="B158" s="5">
        <f>IF(A158="","",INDEX(SKUs!$A$5:$A$304,MATCH(A158,SKUs!$I$5:$I$304,0)))</f>
        <v/>
      </c>
      <c r="C158" s="15">
        <f>IF(A158="","",INDEX(SKUs!$B$5:$B$304,MATCH(A158,SKUs!$I$5:$I$304,0)))</f>
        <v/>
      </c>
      <c r="D158" s="10">
        <f>IF(A158="","",INDEX(SKUs!$E$5:$E$304,MATCH(A158,SKUs!$I$5:$I$304,0)))</f>
        <v/>
      </c>
      <c r="E158" s="10">
        <f>IF(A158="","",INDEX(SKUs!$F$5:$F$304,MATCH(A158,SKUs!$I$5:$I$304,0)))</f>
        <v/>
      </c>
      <c r="F158" s="10">
        <f>IF(A158="","",INDEX(SKUs!$G$5:$G$304,MATCH(A158,SKUs!$I$5:$I$304,0)))</f>
        <v/>
      </c>
      <c r="G158" s="11">
        <f>IF(A158="","",INDEX(SKUs!$H$5:$H$304,MATCH(A158,SKUs!$I$5:$I$304,0)))</f>
        <v/>
      </c>
      <c r="H158" s="11">
        <f>IF(A158="","",IF(SUM(SKUs!$E$5:$E$304)=0,0,D158/SUM(SKUs!$E$5:$E$304)))</f>
        <v/>
      </c>
      <c r="I158" s="11">
        <f>IF(A158="","",SUM($H$6:H158))</f>
        <v/>
      </c>
      <c r="J158" s="5">
        <f>IF(A158="","",IF(I158&gt;=$B$3,1,0))</f>
        <v/>
      </c>
    </row>
    <row r="159">
      <c r="A159" s="5">
        <f>IF(154&gt;COUNT(SKUs!$I$5:$I$304),"",154)</f>
        <v/>
      </c>
      <c r="B159" s="5">
        <f>IF(A159="","",INDEX(SKUs!$A$5:$A$304,MATCH(A159,SKUs!$I$5:$I$304,0)))</f>
        <v/>
      </c>
      <c r="C159" s="15">
        <f>IF(A159="","",INDEX(SKUs!$B$5:$B$304,MATCH(A159,SKUs!$I$5:$I$304,0)))</f>
        <v/>
      </c>
      <c r="D159" s="10">
        <f>IF(A159="","",INDEX(SKUs!$E$5:$E$304,MATCH(A159,SKUs!$I$5:$I$304,0)))</f>
        <v/>
      </c>
      <c r="E159" s="10">
        <f>IF(A159="","",INDEX(SKUs!$F$5:$F$304,MATCH(A159,SKUs!$I$5:$I$304,0)))</f>
        <v/>
      </c>
      <c r="F159" s="10">
        <f>IF(A159="","",INDEX(SKUs!$G$5:$G$304,MATCH(A159,SKUs!$I$5:$I$304,0)))</f>
        <v/>
      </c>
      <c r="G159" s="11">
        <f>IF(A159="","",INDEX(SKUs!$H$5:$H$304,MATCH(A159,SKUs!$I$5:$I$304,0)))</f>
        <v/>
      </c>
      <c r="H159" s="11">
        <f>IF(A159="","",IF(SUM(SKUs!$E$5:$E$304)=0,0,D159/SUM(SKUs!$E$5:$E$304)))</f>
        <v/>
      </c>
      <c r="I159" s="11">
        <f>IF(A159="","",SUM($H$6:H159))</f>
        <v/>
      </c>
      <c r="J159" s="5">
        <f>IF(A159="","",IF(I159&gt;=$B$3,1,0))</f>
        <v/>
      </c>
    </row>
    <row r="160">
      <c r="A160" s="5">
        <f>IF(155&gt;COUNT(SKUs!$I$5:$I$304),"",155)</f>
        <v/>
      </c>
      <c r="B160" s="5">
        <f>IF(A160="","",INDEX(SKUs!$A$5:$A$304,MATCH(A160,SKUs!$I$5:$I$304,0)))</f>
        <v/>
      </c>
      <c r="C160" s="15">
        <f>IF(A160="","",INDEX(SKUs!$B$5:$B$304,MATCH(A160,SKUs!$I$5:$I$304,0)))</f>
        <v/>
      </c>
      <c r="D160" s="10">
        <f>IF(A160="","",INDEX(SKUs!$E$5:$E$304,MATCH(A160,SKUs!$I$5:$I$304,0)))</f>
        <v/>
      </c>
      <c r="E160" s="10">
        <f>IF(A160="","",INDEX(SKUs!$F$5:$F$304,MATCH(A160,SKUs!$I$5:$I$304,0)))</f>
        <v/>
      </c>
      <c r="F160" s="10">
        <f>IF(A160="","",INDEX(SKUs!$G$5:$G$304,MATCH(A160,SKUs!$I$5:$I$304,0)))</f>
        <v/>
      </c>
      <c r="G160" s="11">
        <f>IF(A160="","",INDEX(SKUs!$H$5:$H$304,MATCH(A160,SKUs!$I$5:$I$304,0)))</f>
        <v/>
      </c>
      <c r="H160" s="11">
        <f>IF(A160="","",IF(SUM(SKUs!$E$5:$E$304)=0,0,D160/SUM(SKUs!$E$5:$E$304)))</f>
        <v/>
      </c>
      <c r="I160" s="11">
        <f>IF(A160="","",SUM($H$6:H160))</f>
        <v/>
      </c>
      <c r="J160" s="5">
        <f>IF(A160="","",IF(I160&gt;=$B$3,1,0))</f>
        <v/>
      </c>
    </row>
    <row r="161">
      <c r="A161" s="5">
        <f>IF(156&gt;COUNT(SKUs!$I$5:$I$304),"",156)</f>
        <v/>
      </c>
      <c r="B161" s="5">
        <f>IF(A161="","",INDEX(SKUs!$A$5:$A$304,MATCH(A161,SKUs!$I$5:$I$304,0)))</f>
        <v/>
      </c>
      <c r="C161" s="15">
        <f>IF(A161="","",INDEX(SKUs!$B$5:$B$304,MATCH(A161,SKUs!$I$5:$I$304,0)))</f>
        <v/>
      </c>
      <c r="D161" s="10">
        <f>IF(A161="","",INDEX(SKUs!$E$5:$E$304,MATCH(A161,SKUs!$I$5:$I$304,0)))</f>
        <v/>
      </c>
      <c r="E161" s="10">
        <f>IF(A161="","",INDEX(SKUs!$F$5:$F$304,MATCH(A161,SKUs!$I$5:$I$304,0)))</f>
        <v/>
      </c>
      <c r="F161" s="10">
        <f>IF(A161="","",INDEX(SKUs!$G$5:$G$304,MATCH(A161,SKUs!$I$5:$I$304,0)))</f>
        <v/>
      </c>
      <c r="G161" s="11">
        <f>IF(A161="","",INDEX(SKUs!$H$5:$H$304,MATCH(A161,SKUs!$I$5:$I$304,0)))</f>
        <v/>
      </c>
      <c r="H161" s="11">
        <f>IF(A161="","",IF(SUM(SKUs!$E$5:$E$304)=0,0,D161/SUM(SKUs!$E$5:$E$304)))</f>
        <v/>
      </c>
      <c r="I161" s="11">
        <f>IF(A161="","",SUM($H$6:H161))</f>
        <v/>
      </c>
      <c r="J161" s="5">
        <f>IF(A161="","",IF(I161&gt;=$B$3,1,0))</f>
        <v/>
      </c>
    </row>
    <row r="162">
      <c r="A162" s="5">
        <f>IF(157&gt;COUNT(SKUs!$I$5:$I$304),"",157)</f>
        <v/>
      </c>
      <c r="B162" s="5">
        <f>IF(A162="","",INDEX(SKUs!$A$5:$A$304,MATCH(A162,SKUs!$I$5:$I$304,0)))</f>
        <v/>
      </c>
      <c r="C162" s="15">
        <f>IF(A162="","",INDEX(SKUs!$B$5:$B$304,MATCH(A162,SKUs!$I$5:$I$304,0)))</f>
        <v/>
      </c>
      <c r="D162" s="10">
        <f>IF(A162="","",INDEX(SKUs!$E$5:$E$304,MATCH(A162,SKUs!$I$5:$I$304,0)))</f>
        <v/>
      </c>
      <c r="E162" s="10">
        <f>IF(A162="","",INDEX(SKUs!$F$5:$F$304,MATCH(A162,SKUs!$I$5:$I$304,0)))</f>
        <v/>
      </c>
      <c r="F162" s="10">
        <f>IF(A162="","",INDEX(SKUs!$G$5:$G$304,MATCH(A162,SKUs!$I$5:$I$304,0)))</f>
        <v/>
      </c>
      <c r="G162" s="11">
        <f>IF(A162="","",INDEX(SKUs!$H$5:$H$304,MATCH(A162,SKUs!$I$5:$I$304,0)))</f>
        <v/>
      </c>
      <c r="H162" s="11">
        <f>IF(A162="","",IF(SUM(SKUs!$E$5:$E$304)=0,0,D162/SUM(SKUs!$E$5:$E$304)))</f>
        <v/>
      </c>
      <c r="I162" s="11">
        <f>IF(A162="","",SUM($H$6:H162))</f>
        <v/>
      </c>
      <c r="J162" s="5">
        <f>IF(A162="","",IF(I162&gt;=$B$3,1,0))</f>
        <v/>
      </c>
    </row>
    <row r="163">
      <c r="A163" s="5">
        <f>IF(158&gt;COUNT(SKUs!$I$5:$I$304),"",158)</f>
        <v/>
      </c>
      <c r="B163" s="5">
        <f>IF(A163="","",INDEX(SKUs!$A$5:$A$304,MATCH(A163,SKUs!$I$5:$I$304,0)))</f>
        <v/>
      </c>
      <c r="C163" s="15">
        <f>IF(A163="","",INDEX(SKUs!$B$5:$B$304,MATCH(A163,SKUs!$I$5:$I$304,0)))</f>
        <v/>
      </c>
      <c r="D163" s="10">
        <f>IF(A163="","",INDEX(SKUs!$E$5:$E$304,MATCH(A163,SKUs!$I$5:$I$304,0)))</f>
        <v/>
      </c>
      <c r="E163" s="10">
        <f>IF(A163="","",INDEX(SKUs!$F$5:$F$304,MATCH(A163,SKUs!$I$5:$I$304,0)))</f>
        <v/>
      </c>
      <c r="F163" s="10">
        <f>IF(A163="","",INDEX(SKUs!$G$5:$G$304,MATCH(A163,SKUs!$I$5:$I$304,0)))</f>
        <v/>
      </c>
      <c r="G163" s="11">
        <f>IF(A163="","",INDEX(SKUs!$H$5:$H$304,MATCH(A163,SKUs!$I$5:$I$304,0)))</f>
        <v/>
      </c>
      <c r="H163" s="11">
        <f>IF(A163="","",IF(SUM(SKUs!$E$5:$E$304)=0,0,D163/SUM(SKUs!$E$5:$E$304)))</f>
        <v/>
      </c>
      <c r="I163" s="11">
        <f>IF(A163="","",SUM($H$6:H163))</f>
        <v/>
      </c>
      <c r="J163" s="5">
        <f>IF(A163="","",IF(I163&gt;=$B$3,1,0))</f>
        <v/>
      </c>
    </row>
    <row r="164">
      <c r="A164" s="5">
        <f>IF(159&gt;COUNT(SKUs!$I$5:$I$304),"",159)</f>
        <v/>
      </c>
      <c r="B164" s="5">
        <f>IF(A164="","",INDEX(SKUs!$A$5:$A$304,MATCH(A164,SKUs!$I$5:$I$304,0)))</f>
        <v/>
      </c>
      <c r="C164" s="15">
        <f>IF(A164="","",INDEX(SKUs!$B$5:$B$304,MATCH(A164,SKUs!$I$5:$I$304,0)))</f>
        <v/>
      </c>
      <c r="D164" s="10">
        <f>IF(A164="","",INDEX(SKUs!$E$5:$E$304,MATCH(A164,SKUs!$I$5:$I$304,0)))</f>
        <v/>
      </c>
      <c r="E164" s="10">
        <f>IF(A164="","",INDEX(SKUs!$F$5:$F$304,MATCH(A164,SKUs!$I$5:$I$304,0)))</f>
        <v/>
      </c>
      <c r="F164" s="10">
        <f>IF(A164="","",INDEX(SKUs!$G$5:$G$304,MATCH(A164,SKUs!$I$5:$I$304,0)))</f>
        <v/>
      </c>
      <c r="G164" s="11">
        <f>IF(A164="","",INDEX(SKUs!$H$5:$H$304,MATCH(A164,SKUs!$I$5:$I$304,0)))</f>
        <v/>
      </c>
      <c r="H164" s="11">
        <f>IF(A164="","",IF(SUM(SKUs!$E$5:$E$304)=0,0,D164/SUM(SKUs!$E$5:$E$304)))</f>
        <v/>
      </c>
      <c r="I164" s="11">
        <f>IF(A164="","",SUM($H$6:H164))</f>
        <v/>
      </c>
      <c r="J164" s="5">
        <f>IF(A164="","",IF(I164&gt;=$B$3,1,0))</f>
        <v/>
      </c>
    </row>
    <row r="165">
      <c r="A165" s="5">
        <f>IF(160&gt;COUNT(SKUs!$I$5:$I$304),"",160)</f>
        <v/>
      </c>
      <c r="B165" s="5">
        <f>IF(A165="","",INDEX(SKUs!$A$5:$A$304,MATCH(A165,SKUs!$I$5:$I$304,0)))</f>
        <v/>
      </c>
      <c r="C165" s="15">
        <f>IF(A165="","",INDEX(SKUs!$B$5:$B$304,MATCH(A165,SKUs!$I$5:$I$304,0)))</f>
        <v/>
      </c>
      <c r="D165" s="10">
        <f>IF(A165="","",INDEX(SKUs!$E$5:$E$304,MATCH(A165,SKUs!$I$5:$I$304,0)))</f>
        <v/>
      </c>
      <c r="E165" s="10">
        <f>IF(A165="","",INDEX(SKUs!$F$5:$F$304,MATCH(A165,SKUs!$I$5:$I$304,0)))</f>
        <v/>
      </c>
      <c r="F165" s="10">
        <f>IF(A165="","",INDEX(SKUs!$G$5:$G$304,MATCH(A165,SKUs!$I$5:$I$304,0)))</f>
        <v/>
      </c>
      <c r="G165" s="11">
        <f>IF(A165="","",INDEX(SKUs!$H$5:$H$304,MATCH(A165,SKUs!$I$5:$I$304,0)))</f>
        <v/>
      </c>
      <c r="H165" s="11">
        <f>IF(A165="","",IF(SUM(SKUs!$E$5:$E$304)=0,0,D165/SUM(SKUs!$E$5:$E$304)))</f>
        <v/>
      </c>
      <c r="I165" s="11">
        <f>IF(A165="","",SUM($H$6:H165))</f>
        <v/>
      </c>
      <c r="J165" s="5">
        <f>IF(A165="","",IF(I165&gt;=$B$3,1,0))</f>
        <v/>
      </c>
    </row>
    <row r="166">
      <c r="A166" s="5">
        <f>IF(161&gt;COUNT(SKUs!$I$5:$I$304),"",161)</f>
        <v/>
      </c>
      <c r="B166" s="5">
        <f>IF(A166="","",INDEX(SKUs!$A$5:$A$304,MATCH(A166,SKUs!$I$5:$I$304,0)))</f>
        <v/>
      </c>
      <c r="C166" s="15">
        <f>IF(A166="","",INDEX(SKUs!$B$5:$B$304,MATCH(A166,SKUs!$I$5:$I$304,0)))</f>
        <v/>
      </c>
      <c r="D166" s="10">
        <f>IF(A166="","",INDEX(SKUs!$E$5:$E$304,MATCH(A166,SKUs!$I$5:$I$304,0)))</f>
        <v/>
      </c>
      <c r="E166" s="10">
        <f>IF(A166="","",INDEX(SKUs!$F$5:$F$304,MATCH(A166,SKUs!$I$5:$I$304,0)))</f>
        <v/>
      </c>
      <c r="F166" s="10">
        <f>IF(A166="","",INDEX(SKUs!$G$5:$G$304,MATCH(A166,SKUs!$I$5:$I$304,0)))</f>
        <v/>
      </c>
      <c r="G166" s="11">
        <f>IF(A166="","",INDEX(SKUs!$H$5:$H$304,MATCH(A166,SKUs!$I$5:$I$304,0)))</f>
        <v/>
      </c>
      <c r="H166" s="11">
        <f>IF(A166="","",IF(SUM(SKUs!$E$5:$E$304)=0,0,D166/SUM(SKUs!$E$5:$E$304)))</f>
        <v/>
      </c>
      <c r="I166" s="11">
        <f>IF(A166="","",SUM($H$6:H166))</f>
        <v/>
      </c>
      <c r="J166" s="5">
        <f>IF(A166="","",IF(I166&gt;=$B$3,1,0))</f>
        <v/>
      </c>
    </row>
    <row r="167">
      <c r="A167" s="5">
        <f>IF(162&gt;COUNT(SKUs!$I$5:$I$304),"",162)</f>
        <v/>
      </c>
      <c r="B167" s="5">
        <f>IF(A167="","",INDEX(SKUs!$A$5:$A$304,MATCH(A167,SKUs!$I$5:$I$304,0)))</f>
        <v/>
      </c>
      <c r="C167" s="15">
        <f>IF(A167="","",INDEX(SKUs!$B$5:$B$304,MATCH(A167,SKUs!$I$5:$I$304,0)))</f>
        <v/>
      </c>
      <c r="D167" s="10">
        <f>IF(A167="","",INDEX(SKUs!$E$5:$E$304,MATCH(A167,SKUs!$I$5:$I$304,0)))</f>
        <v/>
      </c>
      <c r="E167" s="10">
        <f>IF(A167="","",INDEX(SKUs!$F$5:$F$304,MATCH(A167,SKUs!$I$5:$I$304,0)))</f>
        <v/>
      </c>
      <c r="F167" s="10">
        <f>IF(A167="","",INDEX(SKUs!$G$5:$G$304,MATCH(A167,SKUs!$I$5:$I$304,0)))</f>
        <v/>
      </c>
      <c r="G167" s="11">
        <f>IF(A167="","",INDEX(SKUs!$H$5:$H$304,MATCH(A167,SKUs!$I$5:$I$304,0)))</f>
        <v/>
      </c>
      <c r="H167" s="11">
        <f>IF(A167="","",IF(SUM(SKUs!$E$5:$E$304)=0,0,D167/SUM(SKUs!$E$5:$E$304)))</f>
        <v/>
      </c>
      <c r="I167" s="11">
        <f>IF(A167="","",SUM($H$6:H167))</f>
        <v/>
      </c>
      <c r="J167" s="5">
        <f>IF(A167="","",IF(I167&gt;=$B$3,1,0))</f>
        <v/>
      </c>
    </row>
    <row r="168">
      <c r="A168" s="5">
        <f>IF(163&gt;COUNT(SKUs!$I$5:$I$304),"",163)</f>
        <v/>
      </c>
      <c r="B168" s="5">
        <f>IF(A168="","",INDEX(SKUs!$A$5:$A$304,MATCH(A168,SKUs!$I$5:$I$304,0)))</f>
        <v/>
      </c>
      <c r="C168" s="15">
        <f>IF(A168="","",INDEX(SKUs!$B$5:$B$304,MATCH(A168,SKUs!$I$5:$I$304,0)))</f>
        <v/>
      </c>
      <c r="D168" s="10">
        <f>IF(A168="","",INDEX(SKUs!$E$5:$E$304,MATCH(A168,SKUs!$I$5:$I$304,0)))</f>
        <v/>
      </c>
      <c r="E168" s="10">
        <f>IF(A168="","",INDEX(SKUs!$F$5:$F$304,MATCH(A168,SKUs!$I$5:$I$304,0)))</f>
        <v/>
      </c>
      <c r="F168" s="10">
        <f>IF(A168="","",INDEX(SKUs!$G$5:$G$304,MATCH(A168,SKUs!$I$5:$I$304,0)))</f>
        <v/>
      </c>
      <c r="G168" s="11">
        <f>IF(A168="","",INDEX(SKUs!$H$5:$H$304,MATCH(A168,SKUs!$I$5:$I$304,0)))</f>
        <v/>
      </c>
      <c r="H168" s="11">
        <f>IF(A168="","",IF(SUM(SKUs!$E$5:$E$304)=0,0,D168/SUM(SKUs!$E$5:$E$304)))</f>
        <v/>
      </c>
      <c r="I168" s="11">
        <f>IF(A168="","",SUM($H$6:H168))</f>
        <v/>
      </c>
      <c r="J168" s="5">
        <f>IF(A168="","",IF(I168&gt;=$B$3,1,0))</f>
        <v/>
      </c>
    </row>
    <row r="169">
      <c r="A169" s="5">
        <f>IF(164&gt;COUNT(SKUs!$I$5:$I$304),"",164)</f>
        <v/>
      </c>
      <c r="B169" s="5">
        <f>IF(A169="","",INDEX(SKUs!$A$5:$A$304,MATCH(A169,SKUs!$I$5:$I$304,0)))</f>
        <v/>
      </c>
      <c r="C169" s="15">
        <f>IF(A169="","",INDEX(SKUs!$B$5:$B$304,MATCH(A169,SKUs!$I$5:$I$304,0)))</f>
        <v/>
      </c>
      <c r="D169" s="10">
        <f>IF(A169="","",INDEX(SKUs!$E$5:$E$304,MATCH(A169,SKUs!$I$5:$I$304,0)))</f>
        <v/>
      </c>
      <c r="E169" s="10">
        <f>IF(A169="","",INDEX(SKUs!$F$5:$F$304,MATCH(A169,SKUs!$I$5:$I$304,0)))</f>
        <v/>
      </c>
      <c r="F169" s="10">
        <f>IF(A169="","",INDEX(SKUs!$G$5:$G$304,MATCH(A169,SKUs!$I$5:$I$304,0)))</f>
        <v/>
      </c>
      <c r="G169" s="11">
        <f>IF(A169="","",INDEX(SKUs!$H$5:$H$304,MATCH(A169,SKUs!$I$5:$I$304,0)))</f>
        <v/>
      </c>
      <c r="H169" s="11">
        <f>IF(A169="","",IF(SUM(SKUs!$E$5:$E$304)=0,0,D169/SUM(SKUs!$E$5:$E$304)))</f>
        <v/>
      </c>
      <c r="I169" s="11">
        <f>IF(A169="","",SUM($H$6:H169))</f>
        <v/>
      </c>
      <c r="J169" s="5">
        <f>IF(A169="","",IF(I169&gt;=$B$3,1,0))</f>
        <v/>
      </c>
    </row>
    <row r="170">
      <c r="A170" s="5">
        <f>IF(165&gt;COUNT(SKUs!$I$5:$I$304),"",165)</f>
        <v/>
      </c>
      <c r="B170" s="5">
        <f>IF(A170="","",INDEX(SKUs!$A$5:$A$304,MATCH(A170,SKUs!$I$5:$I$304,0)))</f>
        <v/>
      </c>
      <c r="C170" s="15">
        <f>IF(A170="","",INDEX(SKUs!$B$5:$B$304,MATCH(A170,SKUs!$I$5:$I$304,0)))</f>
        <v/>
      </c>
      <c r="D170" s="10">
        <f>IF(A170="","",INDEX(SKUs!$E$5:$E$304,MATCH(A170,SKUs!$I$5:$I$304,0)))</f>
        <v/>
      </c>
      <c r="E170" s="10">
        <f>IF(A170="","",INDEX(SKUs!$F$5:$F$304,MATCH(A170,SKUs!$I$5:$I$304,0)))</f>
        <v/>
      </c>
      <c r="F170" s="10">
        <f>IF(A170="","",INDEX(SKUs!$G$5:$G$304,MATCH(A170,SKUs!$I$5:$I$304,0)))</f>
        <v/>
      </c>
      <c r="G170" s="11">
        <f>IF(A170="","",INDEX(SKUs!$H$5:$H$304,MATCH(A170,SKUs!$I$5:$I$304,0)))</f>
        <v/>
      </c>
      <c r="H170" s="11">
        <f>IF(A170="","",IF(SUM(SKUs!$E$5:$E$304)=0,0,D170/SUM(SKUs!$E$5:$E$304)))</f>
        <v/>
      </c>
      <c r="I170" s="11">
        <f>IF(A170="","",SUM($H$6:H170))</f>
        <v/>
      </c>
      <c r="J170" s="5">
        <f>IF(A170="","",IF(I170&gt;=$B$3,1,0))</f>
        <v/>
      </c>
    </row>
    <row r="171">
      <c r="A171" s="5">
        <f>IF(166&gt;COUNT(SKUs!$I$5:$I$304),"",166)</f>
        <v/>
      </c>
      <c r="B171" s="5">
        <f>IF(A171="","",INDEX(SKUs!$A$5:$A$304,MATCH(A171,SKUs!$I$5:$I$304,0)))</f>
        <v/>
      </c>
      <c r="C171" s="15">
        <f>IF(A171="","",INDEX(SKUs!$B$5:$B$304,MATCH(A171,SKUs!$I$5:$I$304,0)))</f>
        <v/>
      </c>
      <c r="D171" s="10">
        <f>IF(A171="","",INDEX(SKUs!$E$5:$E$304,MATCH(A171,SKUs!$I$5:$I$304,0)))</f>
        <v/>
      </c>
      <c r="E171" s="10">
        <f>IF(A171="","",INDEX(SKUs!$F$5:$F$304,MATCH(A171,SKUs!$I$5:$I$304,0)))</f>
        <v/>
      </c>
      <c r="F171" s="10">
        <f>IF(A171="","",INDEX(SKUs!$G$5:$G$304,MATCH(A171,SKUs!$I$5:$I$304,0)))</f>
        <v/>
      </c>
      <c r="G171" s="11">
        <f>IF(A171="","",INDEX(SKUs!$H$5:$H$304,MATCH(A171,SKUs!$I$5:$I$304,0)))</f>
        <v/>
      </c>
      <c r="H171" s="11">
        <f>IF(A171="","",IF(SUM(SKUs!$E$5:$E$304)=0,0,D171/SUM(SKUs!$E$5:$E$304)))</f>
        <v/>
      </c>
      <c r="I171" s="11">
        <f>IF(A171="","",SUM($H$6:H171))</f>
        <v/>
      </c>
      <c r="J171" s="5">
        <f>IF(A171="","",IF(I171&gt;=$B$3,1,0))</f>
        <v/>
      </c>
    </row>
    <row r="172">
      <c r="A172" s="5">
        <f>IF(167&gt;COUNT(SKUs!$I$5:$I$304),"",167)</f>
        <v/>
      </c>
      <c r="B172" s="5">
        <f>IF(A172="","",INDEX(SKUs!$A$5:$A$304,MATCH(A172,SKUs!$I$5:$I$304,0)))</f>
        <v/>
      </c>
      <c r="C172" s="15">
        <f>IF(A172="","",INDEX(SKUs!$B$5:$B$304,MATCH(A172,SKUs!$I$5:$I$304,0)))</f>
        <v/>
      </c>
      <c r="D172" s="10">
        <f>IF(A172="","",INDEX(SKUs!$E$5:$E$304,MATCH(A172,SKUs!$I$5:$I$304,0)))</f>
        <v/>
      </c>
      <c r="E172" s="10">
        <f>IF(A172="","",INDEX(SKUs!$F$5:$F$304,MATCH(A172,SKUs!$I$5:$I$304,0)))</f>
        <v/>
      </c>
      <c r="F172" s="10">
        <f>IF(A172="","",INDEX(SKUs!$G$5:$G$304,MATCH(A172,SKUs!$I$5:$I$304,0)))</f>
        <v/>
      </c>
      <c r="G172" s="11">
        <f>IF(A172="","",INDEX(SKUs!$H$5:$H$304,MATCH(A172,SKUs!$I$5:$I$304,0)))</f>
        <v/>
      </c>
      <c r="H172" s="11">
        <f>IF(A172="","",IF(SUM(SKUs!$E$5:$E$304)=0,0,D172/SUM(SKUs!$E$5:$E$304)))</f>
        <v/>
      </c>
      <c r="I172" s="11">
        <f>IF(A172="","",SUM($H$6:H172))</f>
        <v/>
      </c>
      <c r="J172" s="5">
        <f>IF(A172="","",IF(I172&gt;=$B$3,1,0))</f>
        <v/>
      </c>
    </row>
    <row r="173">
      <c r="A173" s="5">
        <f>IF(168&gt;COUNT(SKUs!$I$5:$I$304),"",168)</f>
        <v/>
      </c>
      <c r="B173" s="5">
        <f>IF(A173="","",INDEX(SKUs!$A$5:$A$304,MATCH(A173,SKUs!$I$5:$I$304,0)))</f>
        <v/>
      </c>
      <c r="C173" s="15">
        <f>IF(A173="","",INDEX(SKUs!$B$5:$B$304,MATCH(A173,SKUs!$I$5:$I$304,0)))</f>
        <v/>
      </c>
      <c r="D173" s="10">
        <f>IF(A173="","",INDEX(SKUs!$E$5:$E$304,MATCH(A173,SKUs!$I$5:$I$304,0)))</f>
        <v/>
      </c>
      <c r="E173" s="10">
        <f>IF(A173="","",INDEX(SKUs!$F$5:$F$304,MATCH(A173,SKUs!$I$5:$I$304,0)))</f>
        <v/>
      </c>
      <c r="F173" s="10">
        <f>IF(A173="","",INDEX(SKUs!$G$5:$G$304,MATCH(A173,SKUs!$I$5:$I$304,0)))</f>
        <v/>
      </c>
      <c r="G173" s="11">
        <f>IF(A173="","",INDEX(SKUs!$H$5:$H$304,MATCH(A173,SKUs!$I$5:$I$304,0)))</f>
        <v/>
      </c>
      <c r="H173" s="11">
        <f>IF(A173="","",IF(SUM(SKUs!$E$5:$E$304)=0,0,D173/SUM(SKUs!$E$5:$E$304)))</f>
        <v/>
      </c>
      <c r="I173" s="11">
        <f>IF(A173="","",SUM($H$6:H173))</f>
        <v/>
      </c>
      <c r="J173" s="5">
        <f>IF(A173="","",IF(I173&gt;=$B$3,1,0))</f>
        <v/>
      </c>
    </row>
    <row r="174">
      <c r="A174" s="5">
        <f>IF(169&gt;COUNT(SKUs!$I$5:$I$304),"",169)</f>
        <v/>
      </c>
      <c r="B174" s="5">
        <f>IF(A174="","",INDEX(SKUs!$A$5:$A$304,MATCH(A174,SKUs!$I$5:$I$304,0)))</f>
        <v/>
      </c>
      <c r="C174" s="15">
        <f>IF(A174="","",INDEX(SKUs!$B$5:$B$304,MATCH(A174,SKUs!$I$5:$I$304,0)))</f>
        <v/>
      </c>
      <c r="D174" s="10">
        <f>IF(A174="","",INDEX(SKUs!$E$5:$E$304,MATCH(A174,SKUs!$I$5:$I$304,0)))</f>
        <v/>
      </c>
      <c r="E174" s="10">
        <f>IF(A174="","",INDEX(SKUs!$F$5:$F$304,MATCH(A174,SKUs!$I$5:$I$304,0)))</f>
        <v/>
      </c>
      <c r="F174" s="10">
        <f>IF(A174="","",INDEX(SKUs!$G$5:$G$304,MATCH(A174,SKUs!$I$5:$I$304,0)))</f>
        <v/>
      </c>
      <c r="G174" s="11">
        <f>IF(A174="","",INDEX(SKUs!$H$5:$H$304,MATCH(A174,SKUs!$I$5:$I$304,0)))</f>
        <v/>
      </c>
      <c r="H174" s="11">
        <f>IF(A174="","",IF(SUM(SKUs!$E$5:$E$304)=0,0,D174/SUM(SKUs!$E$5:$E$304)))</f>
        <v/>
      </c>
      <c r="I174" s="11">
        <f>IF(A174="","",SUM($H$6:H174))</f>
        <v/>
      </c>
      <c r="J174" s="5">
        <f>IF(A174="","",IF(I174&gt;=$B$3,1,0))</f>
        <v/>
      </c>
    </row>
    <row r="175">
      <c r="A175" s="5">
        <f>IF(170&gt;COUNT(SKUs!$I$5:$I$304),"",170)</f>
        <v/>
      </c>
      <c r="B175" s="5">
        <f>IF(A175="","",INDEX(SKUs!$A$5:$A$304,MATCH(A175,SKUs!$I$5:$I$304,0)))</f>
        <v/>
      </c>
      <c r="C175" s="15">
        <f>IF(A175="","",INDEX(SKUs!$B$5:$B$304,MATCH(A175,SKUs!$I$5:$I$304,0)))</f>
        <v/>
      </c>
      <c r="D175" s="10">
        <f>IF(A175="","",INDEX(SKUs!$E$5:$E$304,MATCH(A175,SKUs!$I$5:$I$304,0)))</f>
        <v/>
      </c>
      <c r="E175" s="10">
        <f>IF(A175="","",INDEX(SKUs!$F$5:$F$304,MATCH(A175,SKUs!$I$5:$I$304,0)))</f>
        <v/>
      </c>
      <c r="F175" s="10">
        <f>IF(A175="","",INDEX(SKUs!$G$5:$G$304,MATCH(A175,SKUs!$I$5:$I$304,0)))</f>
        <v/>
      </c>
      <c r="G175" s="11">
        <f>IF(A175="","",INDEX(SKUs!$H$5:$H$304,MATCH(A175,SKUs!$I$5:$I$304,0)))</f>
        <v/>
      </c>
      <c r="H175" s="11">
        <f>IF(A175="","",IF(SUM(SKUs!$E$5:$E$304)=0,0,D175/SUM(SKUs!$E$5:$E$304)))</f>
        <v/>
      </c>
      <c r="I175" s="11">
        <f>IF(A175="","",SUM($H$6:H175))</f>
        <v/>
      </c>
      <c r="J175" s="5">
        <f>IF(A175="","",IF(I175&gt;=$B$3,1,0))</f>
        <v/>
      </c>
    </row>
    <row r="176">
      <c r="A176" s="5">
        <f>IF(171&gt;COUNT(SKUs!$I$5:$I$304),"",171)</f>
        <v/>
      </c>
      <c r="B176" s="5">
        <f>IF(A176="","",INDEX(SKUs!$A$5:$A$304,MATCH(A176,SKUs!$I$5:$I$304,0)))</f>
        <v/>
      </c>
      <c r="C176" s="15">
        <f>IF(A176="","",INDEX(SKUs!$B$5:$B$304,MATCH(A176,SKUs!$I$5:$I$304,0)))</f>
        <v/>
      </c>
      <c r="D176" s="10">
        <f>IF(A176="","",INDEX(SKUs!$E$5:$E$304,MATCH(A176,SKUs!$I$5:$I$304,0)))</f>
        <v/>
      </c>
      <c r="E176" s="10">
        <f>IF(A176="","",INDEX(SKUs!$F$5:$F$304,MATCH(A176,SKUs!$I$5:$I$304,0)))</f>
        <v/>
      </c>
      <c r="F176" s="10">
        <f>IF(A176="","",INDEX(SKUs!$G$5:$G$304,MATCH(A176,SKUs!$I$5:$I$304,0)))</f>
        <v/>
      </c>
      <c r="G176" s="11">
        <f>IF(A176="","",INDEX(SKUs!$H$5:$H$304,MATCH(A176,SKUs!$I$5:$I$304,0)))</f>
        <v/>
      </c>
      <c r="H176" s="11">
        <f>IF(A176="","",IF(SUM(SKUs!$E$5:$E$304)=0,0,D176/SUM(SKUs!$E$5:$E$304)))</f>
        <v/>
      </c>
      <c r="I176" s="11">
        <f>IF(A176="","",SUM($H$6:H176))</f>
        <v/>
      </c>
      <c r="J176" s="5">
        <f>IF(A176="","",IF(I176&gt;=$B$3,1,0))</f>
        <v/>
      </c>
    </row>
    <row r="177">
      <c r="A177" s="5">
        <f>IF(172&gt;COUNT(SKUs!$I$5:$I$304),"",172)</f>
        <v/>
      </c>
      <c r="B177" s="5">
        <f>IF(A177="","",INDEX(SKUs!$A$5:$A$304,MATCH(A177,SKUs!$I$5:$I$304,0)))</f>
        <v/>
      </c>
      <c r="C177" s="15">
        <f>IF(A177="","",INDEX(SKUs!$B$5:$B$304,MATCH(A177,SKUs!$I$5:$I$304,0)))</f>
        <v/>
      </c>
      <c r="D177" s="10">
        <f>IF(A177="","",INDEX(SKUs!$E$5:$E$304,MATCH(A177,SKUs!$I$5:$I$304,0)))</f>
        <v/>
      </c>
      <c r="E177" s="10">
        <f>IF(A177="","",INDEX(SKUs!$F$5:$F$304,MATCH(A177,SKUs!$I$5:$I$304,0)))</f>
        <v/>
      </c>
      <c r="F177" s="10">
        <f>IF(A177="","",INDEX(SKUs!$G$5:$G$304,MATCH(A177,SKUs!$I$5:$I$304,0)))</f>
        <v/>
      </c>
      <c r="G177" s="11">
        <f>IF(A177="","",INDEX(SKUs!$H$5:$H$304,MATCH(A177,SKUs!$I$5:$I$304,0)))</f>
        <v/>
      </c>
      <c r="H177" s="11">
        <f>IF(A177="","",IF(SUM(SKUs!$E$5:$E$304)=0,0,D177/SUM(SKUs!$E$5:$E$304)))</f>
        <v/>
      </c>
      <c r="I177" s="11">
        <f>IF(A177="","",SUM($H$6:H177))</f>
        <v/>
      </c>
      <c r="J177" s="5">
        <f>IF(A177="","",IF(I177&gt;=$B$3,1,0))</f>
        <v/>
      </c>
    </row>
    <row r="178">
      <c r="A178" s="5">
        <f>IF(173&gt;COUNT(SKUs!$I$5:$I$304),"",173)</f>
        <v/>
      </c>
      <c r="B178" s="5">
        <f>IF(A178="","",INDEX(SKUs!$A$5:$A$304,MATCH(A178,SKUs!$I$5:$I$304,0)))</f>
        <v/>
      </c>
      <c r="C178" s="15">
        <f>IF(A178="","",INDEX(SKUs!$B$5:$B$304,MATCH(A178,SKUs!$I$5:$I$304,0)))</f>
        <v/>
      </c>
      <c r="D178" s="10">
        <f>IF(A178="","",INDEX(SKUs!$E$5:$E$304,MATCH(A178,SKUs!$I$5:$I$304,0)))</f>
        <v/>
      </c>
      <c r="E178" s="10">
        <f>IF(A178="","",INDEX(SKUs!$F$5:$F$304,MATCH(A178,SKUs!$I$5:$I$304,0)))</f>
        <v/>
      </c>
      <c r="F178" s="10">
        <f>IF(A178="","",INDEX(SKUs!$G$5:$G$304,MATCH(A178,SKUs!$I$5:$I$304,0)))</f>
        <v/>
      </c>
      <c r="G178" s="11">
        <f>IF(A178="","",INDEX(SKUs!$H$5:$H$304,MATCH(A178,SKUs!$I$5:$I$304,0)))</f>
        <v/>
      </c>
      <c r="H178" s="11">
        <f>IF(A178="","",IF(SUM(SKUs!$E$5:$E$304)=0,0,D178/SUM(SKUs!$E$5:$E$304)))</f>
        <v/>
      </c>
      <c r="I178" s="11">
        <f>IF(A178="","",SUM($H$6:H178))</f>
        <v/>
      </c>
      <c r="J178" s="5">
        <f>IF(A178="","",IF(I178&gt;=$B$3,1,0))</f>
        <v/>
      </c>
    </row>
    <row r="179">
      <c r="A179" s="5">
        <f>IF(174&gt;COUNT(SKUs!$I$5:$I$304),"",174)</f>
        <v/>
      </c>
      <c r="B179" s="5">
        <f>IF(A179="","",INDEX(SKUs!$A$5:$A$304,MATCH(A179,SKUs!$I$5:$I$304,0)))</f>
        <v/>
      </c>
      <c r="C179" s="15">
        <f>IF(A179="","",INDEX(SKUs!$B$5:$B$304,MATCH(A179,SKUs!$I$5:$I$304,0)))</f>
        <v/>
      </c>
      <c r="D179" s="10">
        <f>IF(A179="","",INDEX(SKUs!$E$5:$E$304,MATCH(A179,SKUs!$I$5:$I$304,0)))</f>
        <v/>
      </c>
      <c r="E179" s="10">
        <f>IF(A179="","",INDEX(SKUs!$F$5:$F$304,MATCH(A179,SKUs!$I$5:$I$304,0)))</f>
        <v/>
      </c>
      <c r="F179" s="10">
        <f>IF(A179="","",INDEX(SKUs!$G$5:$G$304,MATCH(A179,SKUs!$I$5:$I$304,0)))</f>
        <v/>
      </c>
      <c r="G179" s="11">
        <f>IF(A179="","",INDEX(SKUs!$H$5:$H$304,MATCH(A179,SKUs!$I$5:$I$304,0)))</f>
        <v/>
      </c>
      <c r="H179" s="11">
        <f>IF(A179="","",IF(SUM(SKUs!$E$5:$E$304)=0,0,D179/SUM(SKUs!$E$5:$E$304)))</f>
        <v/>
      </c>
      <c r="I179" s="11">
        <f>IF(A179="","",SUM($H$6:H179))</f>
        <v/>
      </c>
      <c r="J179" s="5">
        <f>IF(A179="","",IF(I179&gt;=$B$3,1,0))</f>
        <v/>
      </c>
    </row>
    <row r="180">
      <c r="A180" s="5">
        <f>IF(175&gt;COUNT(SKUs!$I$5:$I$304),"",175)</f>
        <v/>
      </c>
      <c r="B180" s="5">
        <f>IF(A180="","",INDEX(SKUs!$A$5:$A$304,MATCH(A180,SKUs!$I$5:$I$304,0)))</f>
        <v/>
      </c>
      <c r="C180" s="15">
        <f>IF(A180="","",INDEX(SKUs!$B$5:$B$304,MATCH(A180,SKUs!$I$5:$I$304,0)))</f>
        <v/>
      </c>
      <c r="D180" s="10">
        <f>IF(A180="","",INDEX(SKUs!$E$5:$E$304,MATCH(A180,SKUs!$I$5:$I$304,0)))</f>
        <v/>
      </c>
      <c r="E180" s="10">
        <f>IF(A180="","",INDEX(SKUs!$F$5:$F$304,MATCH(A180,SKUs!$I$5:$I$304,0)))</f>
        <v/>
      </c>
      <c r="F180" s="10">
        <f>IF(A180="","",INDEX(SKUs!$G$5:$G$304,MATCH(A180,SKUs!$I$5:$I$304,0)))</f>
        <v/>
      </c>
      <c r="G180" s="11">
        <f>IF(A180="","",INDEX(SKUs!$H$5:$H$304,MATCH(A180,SKUs!$I$5:$I$304,0)))</f>
        <v/>
      </c>
      <c r="H180" s="11">
        <f>IF(A180="","",IF(SUM(SKUs!$E$5:$E$304)=0,0,D180/SUM(SKUs!$E$5:$E$304)))</f>
        <v/>
      </c>
      <c r="I180" s="11">
        <f>IF(A180="","",SUM($H$6:H180))</f>
        <v/>
      </c>
      <c r="J180" s="5">
        <f>IF(A180="","",IF(I180&gt;=$B$3,1,0))</f>
        <v/>
      </c>
    </row>
    <row r="181">
      <c r="A181" s="5">
        <f>IF(176&gt;COUNT(SKUs!$I$5:$I$304),"",176)</f>
        <v/>
      </c>
      <c r="B181" s="5">
        <f>IF(A181="","",INDEX(SKUs!$A$5:$A$304,MATCH(A181,SKUs!$I$5:$I$304,0)))</f>
        <v/>
      </c>
      <c r="C181" s="15">
        <f>IF(A181="","",INDEX(SKUs!$B$5:$B$304,MATCH(A181,SKUs!$I$5:$I$304,0)))</f>
        <v/>
      </c>
      <c r="D181" s="10">
        <f>IF(A181="","",INDEX(SKUs!$E$5:$E$304,MATCH(A181,SKUs!$I$5:$I$304,0)))</f>
        <v/>
      </c>
      <c r="E181" s="10">
        <f>IF(A181="","",INDEX(SKUs!$F$5:$F$304,MATCH(A181,SKUs!$I$5:$I$304,0)))</f>
        <v/>
      </c>
      <c r="F181" s="10">
        <f>IF(A181="","",INDEX(SKUs!$G$5:$G$304,MATCH(A181,SKUs!$I$5:$I$304,0)))</f>
        <v/>
      </c>
      <c r="G181" s="11">
        <f>IF(A181="","",INDEX(SKUs!$H$5:$H$304,MATCH(A181,SKUs!$I$5:$I$304,0)))</f>
        <v/>
      </c>
      <c r="H181" s="11">
        <f>IF(A181="","",IF(SUM(SKUs!$E$5:$E$304)=0,0,D181/SUM(SKUs!$E$5:$E$304)))</f>
        <v/>
      </c>
      <c r="I181" s="11">
        <f>IF(A181="","",SUM($H$6:H181))</f>
        <v/>
      </c>
      <c r="J181" s="5">
        <f>IF(A181="","",IF(I181&gt;=$B$3,1,0))</f>
        <v/>
      </c>
    </row>
    <row r="182">
      <c r="A182" s="5">
        <f>IF(177&gt;COUNT(SKUs!$I$5:$I$304),"",177)</f>
        <v/>
      </c>
      <c r="B182" s="5">
        <f>IF(A182="","",INDEX(SKUs!$A$5:$A$304,MATCH(A182,SKUs!$I$5:$I$304,0)))</f>
        <v/>
      </c>
      <c r="C182" s="15">
        <f>IF(A182="","",INDEX(SKUs!$B$5:$B$304,MATCH(A182,SKUs!$I$5:$I$304,0)))</f>
        <v/>
      </c>
      <c r="D182" s="10">
        <f>IF(A182="","",INDEX(SKUs!$E$5:$E$304,MATCH(A182,SKUs!$I$5:$I$304,0)))</f>
        <v/>
      </c>
      <c r="E182" s="10">
        <f>IF(A182="","",INDEX(SKUs!$F$5:$F$304,MATCH(A182,SKUs!$I$5:$I$304,0)))</f>
        <v/>
      </c>
      <c r="F182" s="10">
        <f>IF(A182="","",INDEX(SKUs!$G$5:$G$304,MATCH(A182,SKUs!$I$5:$I$304,0)))</f>
        <v/>
      </c>
      <c r="G182" s="11">
        <f>IF(A182="","",INDEX(SKUs!$H$5:$H$304,MATCH(A182,SKUs!$I$5:$I$304,0)))</f>
        <v/>
      </c>
      <c r="H182" s="11">
        <f>IF(A182="","",IF(SUM(SKUs!$E$5:$E$304)=0,0,D182/SUM(SKUs!$E$5:$E$304)))</f>
        <v/>
      </c>
      <c r="I182" s="11">
        <f>IF(A182="","",SUM($H$6:H182))</f>
        <v/>
      </c>
      <c r="J182" s="5">
        <f>IF(A182="","",IF(I182&gt;=$B$3,1,0))</f>
        <v/>
      </c>
    </row>
    <row r="183">
      <c r="A183" s="5">
        <f>IF(178&gt;COUNT(SKUs!$I$5:$I$304),"",178)</f>
        <v/>
      </c>
      <c r="B183" s="5">
        <f>IF(A183="","",INDEX(SKUs!$A$5:$A$304,MATCH(A183,SKUs!$I$5:$I$304,0)))</f>
        <v/>
      </c>
      <c r="C183" s="15">
        <f>IF(A183="","",INDEX(SKUs!$B$5:$B$304,MATCH(A183,SKUs!$I$5:$I$304,0)))</f>
        <v/>
      </c>
      <c r="D183" s="10">
        <f>IF(A183="","",INDEX(SKUs!$E$5:$E$304,MATCH(A183,SKUs!$I$5:$I$304,0)))</f>
        <v/>
      </c>
      <c r="E183" s="10">
        <f>IF(A183="","",INDEX(SKUs!$F$5:$F$304,MATCH(A183,SKUs!$I$5:$I$304,0)))</f>
        <v/>
      </c>
      <c r="F183" s="10">
        <f>IF(A183="","",INDEX(SKUs!$G$5:$G$304,MATCH(A183,SKUs!$I$5:$I$304,0)))</f>
        <v/>
      </c>
      <c r="G183" s="11">
        <f>IF(A183="","",INDEX(SKUs!$H$5:$H$304,MATCH(A183,SKUs!$I$5:$I$304,0)))</f>
        <v/>
      </c>
      <c r="H183" s="11">
        <f>IF(A183="","",IF(SUM(SKUs!$E$5:$E$304)=0,0,D183/SUM(SKUs!$E$5:$E$304)))</f>
        <v/>
      </c>
      <c r="I183" s="11">
        <f>IF(A183="","",SUM($H$6:H183))</f>
        <v/>
      </c>
      <c r="J183" s="5">
        <f>IF(A183="","",IF(I183&gt;=$B$3,1,0))</f>
        <v/>
      </c>
    </row>
    <row r="184">
      <c r="A184" s="5">
        <f>IF(179&gt;COUNT(SKUs!$I$5:$I$304),"",179)</f>
        <v/>
      </c>
      <c r="B184" s="5">
        <f>IF(A184="","",INDEX(SKUs!$A$5:$A$304,MATCH(A184,SKUs!$I$5:$I$304,0)))</f>
        <v/>
      </c>
      <c r="C184" s="15">
        <f>IF(A184="","",INDEX(SKUs!$B$5:$B$304,MATCH(A184,SKUs!$I$5:$I$304,0)))</f>
        <v/>
      </c>
      <c r="D184" s="10">
        <f>IF(A184="","",INDEX(SKUs!$E$5:$E$304,MATCH(A184,SKUs!$I$5:$I$304,0)))</f>
        <v/>
      </c>
      <c r="E184" s="10">
        <f>IF(A184="","",INDEX(SKUs!$F$5:$F$304,MATCH(A184,SKUs!$I$5:$I$304,0)))</f>
        <v/>
      </c>
      <c r="F184" s="10">
        <f>IF(A184="","",INDEX(SKUs!$G$5:$G$304,MATCH(A184,SKUs!$I$5:$I$304,0)))</f>
        <v/>
      </c>
      <c r="G184" s="11">
        <f>IF(A184="","",INDEX(SKUs!$H$5:$H$304,MATCH(A184,SKUs!$I$5:$I$304,0)))</f>
        <v/>
      </c>
      <c r="H184" s="11">
        <f>IF(A184="","",IF(SUM(SKUs!$E$5:$E$304)=0,0,D184/SUM(SKUs!$E$5:$E$304)))</f>
        <v/>
      </c>
      <c r="I184" s="11">
        <f>IF(A184="","",SUM($H$6:H184))</f>
        <v/>
      </c>
      <c r="J184" s="5">
        <f>IF(A184="","",IF(I184&gt;=$B$3,1,0))</f>
        <v/>
      </c>
    </row>
    <row r="185">
      <c r="A185" s="5">
        <f>IF(180&gt;COUNT(SKUs!$I$5:$I$304),"",180)</f>
        <v/>
      </c>
      <c r="B185" s="5">
        <f>IF(A185="","",INDEX(SKUs!$A$5:$A$304,MATCH(A185,SKUs!$I$5:$I$304,0)))</f>
        <v/>
      </c>
      <c r="C185" s="15">
        <f>IF(A185="","",INDEX(SKUs!$B$5:$B$304,MATCH(A185,SKUs!$I$5:$I$304,0)))</f>
        <v/>
      </c>
      <c r="D185" s="10">
        <f>IF(A185="","",INDEX(SKUs!$E$5:$E$304,MATCH(A185,SKUs!$I$5:$I$304,0)))</f>
        <v/>
      </c>
      <c r="E185" s="10">
        <f>IF(A185="","",INDEX(SKUs!$F$5:$F$304,MATCH(A185,SKUs!$I$5:$I$304,0)))</f>
        <v/>
      </c>
      <c r="F185" s="10">
        <f>IF(A185="","",INDEX(SKUs!$G$5:$G$304,MATCH(A185,SKUs!$I$5:$I$304,0)))</f>
        <v/>
      </c>
      <c r="G185" s="11">
        <f>IF(A185="","",INDEX(SKUs!$H$5:$H$304,MATCH(A185,SKUs!$I$5:$I$304,0)))</f>
        <v/>
      </c>
      <c r="H185" s="11">
        <f>IF(A185="","",IF(SUM(SKUs!$E$5:$E$304)=0,0,D185/SUM(SKUs!$E$5:$E$304)))</f>
        <v/>
      </c>
      <c r="I185" s="11">
        <f>IF(A185="","",SUM($H$6:H185))</f>
        <v/>
      </c>
      <c r="J185" s="5">
        <f>IF(A185="","",IF(I185&gt;=$B$3,1,0))</f>
        <v/>
      </c>
    </row>
    <row r="186">
      <c r="A186" s="5">
        <f>IF(181&gt;COUNT(SKUs!$I$5:$I$304),"",181)</f>
        <v/>
      </c>
      <c r="B186" s="5">
        <f>IF(A186="","",INDEX(SKUs!$A$5:$A$304,MATCH(A186,SKUs!$I$5:$I$304,0)))</f>
        <v/>
      </c>
      <c r="C186" s="15">
        <f>IF(A186="","",INDEX(SKUs!$B$5:$B$304,MATCH(A186,SKUs!$I$5:$I$304,0)))</f>
        <v/>
      </c>
      <c r="D186" s="10">
        <f>IF(A186="","",INDEX(SKUs!$E$5:$E$304,MATCH(A186,SKUs!$I$5:$I$304,0)))</f>
        <v/>
      </c>
      <c r="E186" s="10">
        <f>IF(A186="","",INDEX(SKUs!$F$5:$F$304,MATCH(A186,SKUs!$I$5:$I$304,0)))</f>
        <v/>
      </c>
      <c r="F186" s="10">
        <f>IF(A186="","",INDEX(SKUs!$G$5:$G$304,MATCH(A186,SKUs!$I$5:$I$304,0)))</f>
        <v/>
      </c>
      <c r="G186" s="11">
        <f>IF(A186="","",INDEX(SKUs!$H$5:$H$304,MATCH(A186,SKUs!$I$5:$I$304,0)))</f>
        <v/>
      </c>
      <c r="H186" s="11">
        <f>IF(A186="","",IF(SUM(SKUs!$E$5:$E$304)=0,0,D186/SUM(SKUs!$E$5:$E$304)))</f>
        <v/>
      </c>
      <c r="I186" s="11">
        <f>IF(A186="","",SUM($H$6:H186))</f>
        <v/>
      </c>
      <c r="J186" s="5">
        <f>IF(A186="","",IF(I186&gt;=$B$3,1,0))</f>
        <v/>
      </c>
    </row>
    <row r="187">
      <c r="A187" s="5">
        <f>IF(182&gt;COUNT(SKUs!$I$5:$I$304),"",182)</f>
        <v/>
      </c>
      <c r="B187" s="5">
        <f>IF(A187="","",INDEX(SKUs!$A$5:$A$304,MATCH(A187,SKUs!$I$5:$I$304,0)))</f>
        <v/>
      </c>
      <c r="C187" s="15">
        <f>IF(A187="","",INDEX(SKUs!$B$5:$B$304,MATCH(A187,SKUs!$I$5:$I$304,0)))</f>
        <v/>
      </c>
      <c r="D187" s="10">
        <f>IF(A187="","",INDEX(SKUs!$E$5:$E$304,MATCH(A187,SKUs!$I$5:$I$304,0)))</f>
        <v/>
      </c>
      <c r="E187" s="10">
        <f>IF(A187="","",INDEX(SKUs!$F$5:$F$304,MATCH(A187,SKUs!$I$5:$I$304,0)))</f>
        <v/>
      </c>
      <c r="F187" s="10">
        <f>IF(A187="","",INDEX(SKUs!$G$5:$G$304,MATCH(A187,SKUs!$I$5:$I$304,0)))</f>
        <v/>
      </c>
      <c r="G187" s="11">
        <f>IF(A187="","",INDEX(SKUs!$H$5:$H$304,MATCH(A187,SKUs!$I$5:$I$304,0)))</f>
        <v/>
      </c>
      <c r="H187" s="11">
        <f>IF(A187="","",IF(SUM(SKUs!$E$5:$E$304)=0,0,D187/SUM(SKUs!$E$5:$E$304)))</f>
        <v/>
      </c>
      <c r="I187" s="11">
        <f>IF(A187="","",SUM($H$6:H187))</f>
        <v/>
      </c>
      <c r="J187" s="5">
        <f>IF(A187="","",IF(I187&gt;=$B$3,1,0))</f>
        <v/>
      </c>
    </row>
    <row r="188">
      <c r="A188" s="5">
        <f>IF(183&gt;COUNT(SKUs!$I$5:$I$304),"",183)</f>
        <v/>
      </c>
      <c r="B188" s="5">
        <f>IF(A188="","",INDEX(SKUs!$A$5:$A$304,MATCH(A188,SKUs!$I$5:$I$304,0)))</f>
        <v/>
      </c>
      <c r="C188" s="15">
        <f>IF(A188="","",INDEX(SKUs!$B$5:$B$304,MATCH(A188,SKUs!$I$5:$I$304,0)))</f>
        <v/>
      </c>
      <c r="D188" s="10">
        <f>IF(A188="","",INDEX(SKUs!$E$5:$E$304,MATCH(A188,SKUs!$I$5:$I$304,0)))</f>
        <v/>
      </c>
      <c r="E188" s="10">
        <f>IF(A188="","",INDEX(SKUs!$F$5:$F$304,MATCH(A188,SKUs!$I$5:$I$304,0)))</f>
        <v/>
      </c>
      <c r="F188" s="10">
        <f>IF(A188="","",INDEX(SKUs!$G$5:$G$304,MATCH(A188,SKUs!$I$5:$I$304,0)))</f>
        <v/>
      </c>
      <c r="G188" s="11">
        <f>IF(A188="","",INDEX(SKUs!$H$5:$H$304,MATCH(A188,SKUs!$I$5:$I$304,0)))</f>
        <v/>
      </c>
      <c r="H188" s="11">
        <f>IF(A188="","",IF(SUM(SKUs!$E$5:$E$304)=0,0,D188/SUM(SKUs!$E$5:$E$304)))</f>
        <v/>
      </c>
      <c r="I188" s="11">
        <f>IF(A188="","",SUM($H$6:H188))</f>
        <v/>
      </c>
      <c r="J188" s="5">
        <f>IF(A188="","",IF(I188&gt;=$B$3,1,0))</f>
        <v/>
      </c>
    </row>
    <row r="189">
      <c r="A189" s="5">
        <f>IF(184&gt;COUNT(SKUs!$I$5:$I$304),"",184)</f>
        <v/>
      </c>
      <c r="B189" s="5">
        <f>IF(A189="","",INDEX(SKUs!$A$5:$A$304,MATCH(A189,SKUs!$I$5:$I$304,0)))</f>
        <v/>
      </c>
      <c r="C189" s="15">
        <f>IF(A189="","",INDEX(SKUs!$B$5:$B$304,MATCH(A189,SKUs!$I$5:$I$304,0)))</f>
        <v/>
      </c>
      <c r="D189" s="10">
        <f>IF(A189="","",INDEX(SKUs!$E$5:$E$304,MATCH(A189,SKUs!$I$5:$I$304,0)))</f>
        <v/>
      </c>
      <c r="E189" s="10">
        <f>IF(A189="","",INDEX(SKUs!$F$5:$F$304,MATCH(A189,SKUs!$I$5:$I$304,0)))</f>
        <v/>
      </c>
      <c r="F189" s="10">
        <f>IF(A189="","",INDEX(SKUs!$G$5:$G$304,MATCH(A189,SKUs!$I$5:$I$304,0)))</f>
        <v/>
      </c>
      <c r="G189" s="11">
        <f>IF(A189="","",INDEX(SKUs!$H$5:$H$304,MATCH(A189,SKUs!$I$5:$I$304,0)))</f>
        <v/>
      </c>
      <c r="H189" s="11">
        <f>IF(A189="","",IF(SUM(SKUs!$E$5:$E$304)=0,0,D189/SUM(SKUs!$E$5:$E$304)))</f>
        <v/>
      </c>
      <c r="I189" s="11">
        <f>IF(A189="","",SUM($H$6:H189))</f>
        <v/>
      </c>
      <c r="J189" s="5">
        <f>IF(A189="","",IF(I189&gt;=$B$3,1,0))</f>
        <v/>
      </c>
    </row>
    <row r="190">
      <c r="A190" s="5">
        <f>IF(185&gt;COUNT(SKUs!$I$5:$I$304),"",185)</f>
        <v/>
      </c>
      <c r="B190" s="5">
        <f>IF(A190="","",INDEX(SKUs!$A$5:$A$304,MATCH(A190,SKUs!$I$5:$I$304,0)))</f>
        <v/>
      </c>
      <c r="C190" s="15">
        <f>IF(A190="","",INDEX(SKUs!$B$5:$B$304,MATCH(A190,SKUs!$I$5:$I$304,0)))</f>
        <v/>
      </c>
      <c r="D190" s="10">
        <f>IF(A190="","",INDEX(SKUs!$E$5:$E$304,MATCH(A190,SKUs!$I$5:$I$304,0)))</f>
        <v/>
      </c>
      <c r="E190" s="10">
        <f>IF(A190="","",INDEX(SKUs!$F$5:$F$304,MATCH(A190,SKUs!$I$5:$I$304,0)))</f>
        <v/>
      </c>
      <c r="F190" s="10">
        <f>IF(A190="","",INDEX(SKUs!$G$5:$G$304,MATCH(A190,SKUs!$I$5:$I$304,0)))</f>
        <v/>
      </c>
      <c r="G190" s="11">
        <f>IF(A190="","",INDEX(SKUs!$H$5:$H$304,MATCH(A190,SKUs!$I$5:$I$304,0)))</f>
        <v/>
      </c>
      <c r="H190" s="11">
        <f>IF(A190="","",IF(SUM(SKUs!$E$5:$E$304)=0,0,D190/SUM(SKUs!$E$5:$E$304)))</f>
        <v/>
      </c>
      <c r="I190" s="11">
        <f>IF(A190="","",SUM($H$6:H190))</f>
        <v/>
      </c>
      <c r="J190" s="5">
        <f>IF(A190="","",IF(I190&gt;=$B$3,1,0))</f>
        <v/>
      </c>
    </row>
    <row r="191">
      <c r="A191" s="5">
        <f>IF(186&gt;COUNT(SKUs!$I$5:$I$304),"",186)</f>
        <v/>
      </c>
      <c r="B191" s="5">
        <f>IF(A191="","",INDEX(SKUs!$A$5:$A$304,MATCH(A191,SKUs!$I$5:$I$304,0)))</f>
        <v/>
      </c>
      <c r="C191" s="15">
        <f>IF(A191="","",INDEX(SKUs!$B$5:$B$304,MATCH(A191,SKUs!$I$5:$I$304,0)))</f>
        <v/>
      </c>
      <c r="D191" s="10">
        <f>IF(A191="","",INDEX(SKUs!$E$5:$E$304,MATCH(A191,SKUs!$I$5:$I$304,0)))</f>
        <v/>
      </c>
      <c r="E191" s="10">
        <f>IF(A191="","",INDEX(SKUs!$F$5:$F$304,MATCH(A191,SKUs!$I$5:$I$304,0)))</f>
        <v/>
      </c>
      <c r="F191" s="10">
        <f>IF(A191="","",INDEX(SKUs!$G$5:$G$304,MATCH(A191,SKUs!$I$5:$I$304,0)))</f>
        <v/>
      </c>
      <c r="G191" s="11">
        <f>IF(A191="","",INDEX(SKUs!$H$5:$H$304,MATCH(A191,SKUs!$I$5:$I$304,0)))</f>
        <v/>
      </c>
      <c r="H191" s="11">
        <f>IF(A191="","",IF(SUM(SKUs!$E$5:$E$304)=0,0,D191/SUM(SKUs!$E$5:$E$304)))</f>
        <v/>
      </c>
      <c r="I191" s="11">
        <f>IF(A191="","",SUM($H$6:H191))</f>
        <v/>
      </c>
      <c r="J191" s="5">
        <f>IF(A191="","",IF(I191&gt;=$B$3,1,0))</f>
        <v/>
      </c>
    </row>
    <row r="192">
      <c r="A192" s="5">
        <f>IF(187&gt;COUNT(SKUs!$I$5:$I$304),"",187)</f>
        <v/>
      </c>
      <c r="B192" s="5">
        <f>IF(A192="","",INDEX(SKUs!$A$5:$A$304,MATCH(A192,SKUs!$I$5:$I$304,0)))</f>
        <v/>
      </c>
      <c r="C192" s="15">
        <f>IF(A192="","",INDEX(SKUs!$B$5:$B$304,MATCH(A192,SKUs!$I$5:$I$304,0)))</f>
        <v/>
      </c>
      <c r="D192" s="10">
        <f>IF(A192="","",INDEX(SKUs!$E$5:$E$304,MATCH(A192,SKUs!$I$5:$I$304,0)))</f>
        <v/>
      </c>
      <c r="E192" s="10">
        <f>IF(A192="","",INDEX(SKUs!$F$5:$F$304,MATCH(A192,SKUs!$I$5:$I$304,0)))</f>
        <v/>
      </c>
      <c r="F192" s="10">
        <f>IF(A192="","",INDEX(SKUs!$G$5:$G$304,MATCH(A192,SKUs!$I$5:$I$304,0)))</f>
        <v/>
      </c>
      <c r="G192" s="11">
        <f>IF(A192="","",INDEX(SKUs!$H$5:$H$304,MATCH(A192,SKUs!$I$5:$I$304,0)))</f>
        <v/>
      </c>
      <c r="H192" s="11">
        <f>IF(A192="","",IF(SUM(SKUs!$E$5:$E$304)=0,0,D192/SUM(SKUs!$E$5:$E$304)))</f>
        <v/>
      </c>
      <c r="I192" s="11">
        <f>IF(A192="","",SUM($H$6:H192))</f>
        <v/>
      </c>
      <c r="J192" s="5">
        <f>IF(A192="","",IF(I192&gt;=$B$3,1,0))</f>
        <v/>
      </c>
    </row>
    <row r="193">
      <c r="A193" s="5">
        <f>IF(188&gt;COUNT(SKUs!$I$5:$I$304),"",188)</f>
        <v/>
      </c>
      <c r="B193" s="5">
        <f>IF(A193="","",INDEX(SKUs!$A$5:$A$304,MATCH(A193,SKUs!$I$5:$I$304,0)))</f>
        <v/>
      </c>
      <c r="C193" s="15">
        <f>IF(A193="","",INDEX(SKUs!$B$5:$B$304,MATCH(A193,SKUs!$I$5:$I$304,0)))</f>
        <v/>
      </c>
      <c r="D193" s="10">
        <f>IF(A193="","",INDEX(SKUs!$E$5:$E$304,MATCH(A193,SKUs!$I$5:$I$304,0)))</f>
        <v/>
      </c>
      <c r="E193" s="10">
        <f>IF(A193="","",INDEX(SKUs!$F$5:$F$304,MATCH(A193,SKUs!$I$5:$I$304,0)))</f>
        <v/>
      </c>
      <c r="F193" s="10">
        <f>IF(A193="","",INDEX(SKUs!$G$5:$G$304,MATCH(A193,SKUs!$I$5:$I$304,0)))</f>
        <v/>
      </c>
      <c r="G193" s="11">
        <f>IF(A193="","",INDEX(SKUs!$H$5:$H$304,MATCH(A193,SKUs!$I$5:$I$304,0)))</f>
        <v/>
      </c>
      <c r="H193" s="11">
        <f>IF(A193="","",IF(SUM(SKUs!$E$5:$E$304)=0,0,D193/SUM(SKUs!$E$5:$E$304)))</f>
        <v/>
      </c>
      <c r="I193" s="11">
        <f>IF(A193="","",SUM($H$6:H193))</f>
        <v/>
      </c>
      <c r="J193" s="5">
        <f>IF(A193="","",IF(I193&gt;=$B$3,1,0))</f>
        <v/>
      </c>
    </row>
    <row r="194">
      <c r="A194" s="5">
        <f>IF(189&gt;COUNT(SKUs!$I$5:$I$304),"",189)</f>
        <v/>
      </c>
      <c r="B194" s="5">
        <f>IF(A194="","",INDEX(SKUs!$A$5:$A$304,MATCH(A194,SKUs!$I$5:$I$304,0)))</f>
        <v/>
      </c>
      <c r="C194" s="15">
        <f>IF(A194="","",INDEX(SKUs!$B$5:$B$304,MATCH(A194,SKUs!$I$5:$I$304,0)))</f>
        <v/>
      </c>
      <c r="D194" s="10">
        <f>IF(A194="","",INDEX(SKUs!$E$5:$E$304,MATCH(A194,SKUs!$I$5:$I$304,0)))</f>
        <v/>
      </c>
      <c r="E194" s="10">
        <f>IF(A194="","",INDEX(SKUs!$F$5:$F$304,MATCH(A194,SKUs!$I$5:$I$304,0)))</f>
        <v/>
      </c>
      <c r="F194" s="10">
        <f>IF(A194="","",INDEX(SKUs!$G$5:$G$304,MATCH(A194,SKUs!$I$5:$I$304,0)))</f>
        <v/>
      </c>
      <c r="G194" s="11">
        <f>IF(A194="","",INDEX(SKUs!$H$5:$H$304,MATCH(A194,SKUs!$I$5:$I$304,0)))</f>
        <v/>
      </c>
      <c r="H194" s="11">
        <f>IF(A194="","",IF(SUM(SKUs!$E$5:$E$304)=0,0,D194/SUM(SKUs!$E$5:$E$304)))</f>
        <v/>
      </c>
      <c r="I194" s="11">
        <f>IF(A194="","",SUM($H$6:H194))</f>
        <v/>
      </c>
      <c r="J194" s="5">
        <f>IF(A194="","",IF(I194&gt;=$B$3,1,0))</f>
        <v/>
      </c>
    </row>
    <row r="195">
      <c r="A195" s="5">
        <f>IF(190&gt;COUNT(SKUs!$I$5:$I$304),"",190)</f>
        <v/>
      </c>
      <c r="B195" s="5">
        <f>IF(A195="","",INDEX(SKUs!$A$5:$A$304,MATCH(A195,SKUs!$I$5:$I$304,0)))</f>
        <v/>
      </c>
      <c r="C195" s="15">
        <f>IF(A195="","",INDEX(SKUs!$B$5:$B$304,MATCH(A195,SKUs!$I$5:$I$304,0)))</f>
        <v/>
      </c>
      <c r="D195" s="10">
        <f>IF(A195="","",INDEX(SKUs!$E$5:$E$304,MATCH(A195,SKUs!$I$5:$I$304,0)))</f>
        <v/>
      </c>
      <c r="E195" s="10">
        <f>IF(A195="","",INDEX(SKUs!$F$5:$F$304,MATCH(A195,SKUs!$I$5:$I$304,0)))</f>
        <v/>
      </c>
      <c r="F195" s="10">
        <f>IF(A195="","",INDEX(SKUs!$G$5:$G$304,MATCH(A195,SKUs!$I$5:$I$304,0)))</f>
        <v/>
      </c>
      <c r="G195" s="11">
        <f>IF(A195="","",INDEX(SKUs!$H$5:$H$304,MATCH(A195,SKUs!$I$5:$I$304,0)))</f>
        <v/>
      </c>
      <c r="H195" s="11">
        <f>IF(A195="","",IF(SUM(SKUs!$E$5:$E$304)=0,0,D195/SUM(SKUs!$E$5:$E$304)))</f>
        <v/>
      </c>
      <c r="I195" s="11">
        <f>IF(A195="","",SUM($H$6:H195))</f>
        <v/>
      </c>
      <c r="J195" s="5">
        <f>IF(A195="","",IF(I195&gt;=$B$3,1,0))</f>
        <v/>
      </c>
    </row>
    <row r="196">
      <c r="A196" s="5">
        <f>IF(191&gt;COUNT(SKUs!$I$5:$I$304),"",191)</f>
        <v/>
      </c>
      <c r="B196" s="5">
        <f>IF(A196="","",INDEX(SKUs!$A$5:$A$304,MATCH(A196,SKUs!$I$5:$I$304,0)))</f>
        <v/>
      </c>
      <c r="C196" s="15">
        <f>IF(A196="","",INDEX(SKUs!$B$5:$B$304,MATCH(A196,SKUs!$I$5:$I$304,0)))</f>
        <v/>
      </c>
      <c r="D196" s="10">
        <f>IF(A196="","",INDEX(SKUs!$E$5:$E$304,MATCH(A196,SKUs!$I$5:$I$304,0)))</f>
        <v/>
      </c>
      <c r="E196" s="10">
        <f>IF(A196="","",INDEX(SKUs!$F$5:$F$304,MATCH(A196,SKUs!$I$5:$I$304,0)))</f>
        <v/>
      </c>
      <c r="F196" s="10">
        <f>IF(A196="","",INDEX(SKUs!$G$5:$G$304,MATCH(A196,SKUs!$I$5:$I$304,0)))</f>
        <v/>
      </c>
      <c r="G196" s="11">
        <f>IF(A196="","",INDEX(SKUs!$H$5:$H$304,MATCH(A196,SKUs!$I$5:$I$304,0)))</f>
        <v/>
      </c>
      <c r="H196" s="11">
        <f>IF(A196="","",IF(SUM(SKUs!$E$5:$E$304)=0,0,D196/SUM(SKUs!$E$5:$E$304)))</f>
        <v/>
      </c>
      <c r="I196" s="11">
        <f>IF(A196="","",SUM($H$6:H196))</f>
        <v/>
      </c>
      <c r="J196" s="5">
        <f>IF(A196="","",IF(I196&gt;=$B$3,1,0))</f>
        <v/>
      </c>
    </row>
    <row r="197">
      <c r="A197" s="5">
        <f>IF(192&gt;COUNT(SKUs!$I$5:$I$304),"",192)</f>
        <v/>
      </c>
      <c r="B197" s="5">
        <f>IF(A197="","",INDEX(SKUs!$A$5:$A$304,MATCH(A197,SKUs!$I$5:$I$304,0)))</f>
        <v/>
      </c>
      <c r="C197" s="15">
        <f>IF(A197="","",INDEX(SKUs!$B$5:$B$304,MATCH(A197,SKUs!$I$5:$I$304,0)))</f>
        <v/>
      </c>
      <c r="D197" s="10">
        <f>IF(A197="","",INDEX(SKUs!$E$5:$E$304,MATCH(A197,SKUs!$I$5:$I$304,0)))</f>
        <v/>
      </c>
      <c r="E197" s="10">
        <f>IF(A197="","",INDEX(SKUs!$F$5:$F$304,MATCH(A197,SKUs!$I$5:$I$304,0)))</f>
        <v/>
      </c>
      <c r="F197" s="10">
        <f>IF(A197="","",INDEX(SKUs!$G$5:$G$304,MATCH(A197,SKUs!$I$5:$I$304,0)))</f>
        <v/>
      </c>
      <c r="G197" s="11">
        <f>IF(A197="","",INDEX(SKUs!$H$5:$H$304,MATCH(A197,SKUs!$I$5:$I$304,0)))</f>
        <v/>
      </c>
      <c r="H197" s="11">
        <f>IF(A197="","",IF(SUM(SKUs!$E$5:$E$304)=0,0,D197/SUM(SKUs!$E$5:$E$304)))</f>
        <v/>
      </c>
      <c r="I197" s="11">
        <f>IF(A197="","",SUM($H$6:H197))</f>
        <v/>
      </c>
      <c r="J197" s="5">
        <f>IF(A197="","",IF(I197&gt;=$B$3,1,0))</f>
        <v/>
      </c>
    </row>
    <row r="198">
      <c r="A198" s="5">
        <f>IF(193&gt;COUNT(SKUs!$I$5:$I$304),"",193)</f>
        <v/>
      </c>
      <c r="B198" s="5">
        <f>IF(A198="","",INDEX(SKUs!$A$5:$A$304,MATCH(A198,SKUs!$I$5:$I$304,0)))</f>
        <v/>
      </c>
      <c r="C198" s="15">
        <f>IF(A198="","",INDEX(SKUs!$B$5:$B$304,MATCH(A198,SKUs!$I$5:$I$304,0)))</f>
        <v/>
      </c>
      <c r="D198" s="10">
        <f>IF(A198="","",INDEX(SKUs!$E$5:$E$304,MATCH(A198,SKUs!$I$5:$I$304,0)))</f>
        <v/>
      </c>
      <c r="E198" s="10">
        <f>IF(A198="","",INDEX(SKUs!$F$5:$F$304,MATCH(A198,SKUs!$I$5:$I$304,0)))</f>
        <v/>
      </c>
      <c r="F198" s="10">
        <f>IF(A198="","",INDEX(SKUs!$G$5:$G$304,MATCH(A198,SKUs!$I$5:$I$304,0)))</f>
        <v/>
      </c>
      <c r="G198" s="11">
        <f>IF(A198="","",INDEX(SKUs!$H$5:$H$304,MATCH(A198,SKUs!$I$5:$I$304,0)))</f>
        <v/>
      </c>
      <c r="H198" s="11">
        <f>IF(A198="","",IF(SUM(SKUs!$E$5:$E$304)=0,0,D198/SUM(SKUs!$E$5:$E$304)))</f>
        <v/>
      </c>
      <c r="I198" s="11">
        <f>IF(A198="","",SUM($H$6:H198))</f>
        <v/>
      </c>
      <c r="J198" s="5">
        <f>IF(A198="","",IF(I198&gt;=$B$3,1,0))</f>
        <v/>
      </c>
    </row>
    <row r="199">
      <c r="A199" s="5">
        <f>IF(194&gt;COUNT(SKUs!$I$5:$I$304),"",194)</f>
        <v/>
      </c>
      <c r="B199" s="5">
        <f>IF(A199="","",INDEX(SKUs!$A$5:$A$304,MATCH(A199,SKUs!$I$5:$I$304,0)))</f>
        <v/>
      </c>
      <c r="C199" s="15">
        <f>IF(A199="","",INDEX(SKUs!$B$5:$B$304,MATCH(A199,SKUs!$I$5:$I$304,0)))</f>
        <v/>
      </c>
      <c r="D199" s="10">
        <f>IF(A199="","",INDEX(SKUs!$E$5:$E$304,MATCH(A199,SKUs!$I$5:$I$304,0)))</f>
        <v/>
      </c>
      <c r="E199" s="10">
        <f>IF(A199="","",INDEX(SKUs!$F$5:$F$304,MATCH(A199,SKUs!$I$5:$I$304,0)))</f>
        <v/>
      </c>
      <c r="F199" s="10">
        <f>IF(A199="","",INDEX(SKUs!$G$5:$G$304,MATCH(A199,SKUs!$I$5:$I$304,0)))</f>
        <v/>
      </c>
      <c r="G199" s="11">
        <f>IF(A199="","",INDEX(SKUs!$H$5:$H$304,MATCH(A199,SKUs!$I$5:$I$304,0)))</f>
        <v/>
      </c>
      <c r="H199" s="11">
        <f>IF(A199="","",IF(SUM(SKUs!$E$5:$E$304)=0,0,D199/SUM(SKUs!$E$5:$E$304)))</f>
        <v/>
      </c>
      <c r="I199" s="11">
        <f>IF(A199="","",SUM($H$6:H199))</f>
        <v/>
      </c>
      <c r="J199" s="5">
        <f>IF(A199="","",IF(I199&gt;=$B$3,1,0))</f>
        <v/>
      </c>
    </row>
    <row r="200">
      <c r="A200" s="5">
        <f>IF(195&gt;COUNT(SKUs!$I$5:$I$304),"",195)</f>
        <v/>
      </c>
      <c r="B200" s="5">
        <f>IF(A200="","",INDEX(SKUs!$A$5:$A$304,MATCH(A200,SKUs!$I$5:$I$304,0)))</f>
        <v/>
      </c>
      <c r="C200" s="15">
        <f>IF(A200="","",INDEX(SKUs!$B$5:$B$304,MATCH(A200,SKUs!$I$5:$I$304,0)))</f>
        <v/>
      </c>
      <c r="D200" s="10">
        <f>IF(A200="","",INDEX(SKUs!$E$5:$E$304,MATCH(A200,SKUs!$I$5:$I$304,0)))</f>
        <v/>
      </c>
      <c r="E200" s="10">
        <f>IF(A200="","",INDEX(SKUs!$F$5:$F$304,MATCH(A200,SKUs!$I$5:$I$304,0)))</f>
        <v/>
      </c>
      <c r="F200" s="10">
        <f>IF(A200="","",INDEX(SKUs!$G$5:$G$304,MATCH(A200,SKUs!$I$5:$I$304,0)))</f>
        <v/>
      </c>
      <c r="G200" s="11">
        <f>IF(A200="","",INDEX(SKUs!$H$5:$H$304,MATCH(A200,SKUs!$I$5:$I$304,0)))</f>
        <v/>
      </c>
      <c r="H200" s="11">
        <f>IF(A200="","",IF(SUM(SKUs!$E$5:$E$304)=0,0,D200/SUM(SKUs!$E$5:$E$304)))</f>
        <v/>
      </c>
      <c r="I200" s="11">
        <f>IF(A200="","",SUM($H$6:H200))</f>
        <v/>
      </c>
      <c r="J200" s="5">
        <f>IF(A200="","",IF(I200&gt;=$B$3,1,0))</f>
        <v/>
      </c>
    </row>
    <row r="201">
      <c r="A201" s="5">
        <f>IF(196&gt;COUNT(SKUs!$I$5:$I$304),"",196)</f>
        <v/>
      </c>
      <c r="B201" s="5">
        <f>IF(A201="","",INDEX(SKUs!$A$5:$A$304,MATCH(A201,SKUs!$I$5:$I$304,0)))</f>
        <v/>
      </c>
      <c r="C201" s="15">
        <f>IF(A201="","",INDEX(SKUs!$B$5:$B$304,MATCH(A201,SKUs!$I$5:$I$304,0)))</f>
        <v/>
      </c>
      <c r="D201" s="10">
        <f>IF(A201="","",INDEX(SKUs!$E$5:$E$304,MATCH(A201,SKUs!$I$5:$I$304,0)))</f>
        <v/>
      </c>
      <c r="E201" s="10">
        <f>IF(A201="","",INDEX(SKUs!$F$5:$F$304,MATCH(A201,SKUs!$I$5:$I$304,0)))</f>
        <v/>
      </c>
      <c r="F201" s="10">
        <f>IF(A201="","",INDEX(SKUs!$G$5:$G$304,MATCH(A201,SKUs!$I$5:$I$304,0)))</f>
        <v/>
      </c>
      <c r="G201" s="11">
        <f>IF(A201="","",INDEX(SKUs!$H$5:$H$304,MATCH(A201,SKUs!$I$5:$I$304,0)))</f>
        <v/>
      </c>
      <c r="H201" s="11">
        <f>IF(A201="","",IF(SUM(SKUs!$E$5:$E$304)=0,0,D201/SUM(SKUs!$E$5:$E$304)))</f>
        <v/>
      </c>
      <c r="I201" s="11">
        <f>IF(A201="","",SUM($H$6:H201))</f>
        <v/>
      </c>
      <c r="J201" s="5">
        <f>IF(A201="","",IF(I201&gt;=$B$3,1,0))</f>
        <v/>
      </c>
    </row>
    <row r="202">
      <c r="A202" s="5">
        <f>IF(197&gt;COUNT(SKUs!$I$5:$I$304),"",197)</f>
        <v/>
      </c>
      <c r="B202" s="5">
        <f>IF(A202="","",INDEX(SKUs!$A$5:$A$304,MATCH(A202,SKUs!$I$5:$I$304,0)))</f>
        <v/>
      </c>
      <c r="C202" s="15">
        <f>IF(A202="","",INDEX(SKUs!$B$5:$B$304,MATCH(A202,SKUs!$I$5:$I$304,0)))</f>
        <v/>
      </c>
      <c r="D202" s="10">
        <f>IF(A202="","",INDEX(SKUs!$E$5:$E$304,MATCH(A202,SKUs!$I$5:$I$304,0)))</f>
        <v/>
      </c>
      <c r="E202" s="10">
        <f>IF(A202="","",INDEX(SKUs!$F$5:$F$304,MATCH(A202,SKUs!$I$5:$I$304,0)))</f>
        <v/>
      </c>
      <c r="F202" s="10">
        <f>IF(A202="","",INDEX(SKUs!$G$5:$G$304,MATCH(A202,SKUs!$I$5:$I$304,0)))</f>
        <v/>
      </c>
      <c r="G202" s="11">
        <f>IF(A202="","",INDEX(SKUs!$H$5:$H$304,MATCH(A202,SKUs!$I$5:$I$304,0)))</f>
        <v/>
      </c>
      <c r="H202" s="11">
        <f>IF(A202="","",IF(SUM(SKUs!$E$5:$E$304)=0,0,D202/SUM(SKUs!$E$5:$E$304)))</f>
        <v/>
      </c>
      <c r="I202" s="11">
        <f>IF(A202="","",SUM($H$6:H202))</f>
        <v/>
      </c>
      <c r="J202" s="5">
        <f>IF(A202="","",IF(I202&gt;=$B$3,1,0))</f>
        <v/>
      </c>
    </row>
    <row r="203">
      <c r="A203" s="5">
        <f>IF(198&gt;COUNT(SKUs!$I$5:$I$304),"",198)</f>
        <v/>
      </c>
      <c r="B203" s="5">
        <f>IF(A203="","",INDEX(SKUs!$A$5:$A$304,MATCH(A203,SKUs!$I$5:$I$304,0)))</f>
        <v/>
      </c>
      <c r="C203" s="15">
        <f>IF(A203="","",INDEX(SKUs!$B$5:$B$304,MATCH(A203,SKUs!$I$5:$I$304,0)))</f>
        <v/>
      </c>
      <c r="D203" s="10">
        <f>IF(A203="","",INDEX(SKUs!$E$5:$E$304,MATCH(A203,SKUs!$I$5:$I$304,0)))</f>
        <v/>
      </c>
      <c r="E203" s="10">
        <f>IF(A203="","",INDEX(SKUs!$F$5:$F$304,MATCH(A203,SKUs!$I$5:$I$304,0)))</f>
        <v/>
      </c>
      <c r="F203" s="10">
        <f>IF(A203="","",INDEX(SKUs!$G$5:$G$304,MATCH(A203,SKUs!$I$5:$I$304,0)))</f>
        <v/>
      </c>
      <c r="G203" s="11">
        <f>IF(A203="","",INDEX(SKUs!$H$5:$H$304,MATCH(A203,SKUs!$I$5:$I$304,0)))</f>
        <v/>
      </c>
      <c r="H203" s="11">
        <f>IF(A203="","",IF(SUM(SKUs!$E$5:$E$304)=0,0,D203/SUM(SKUs!$E$5:$E$304)))</f>
        <v/>
      </c>
      <c r="I203" s="11">
        <f>IF(A203="","",SUM($H$6:H203))</f>
        <v/>
      </c>
      <c r="J203" s="5">
        <f>IF(A203="","",IF(I203&gt;=$B$3,1,0))</f>
        <v/>
      </c>
    </row>
    <row r="204">
      <c r="A204" s="5">
        <f>IF(199&gt;COUNT(SKUs!$I$5:$I$304),"",199)</f>
        <v/>
      </c>
      <c r="B204" s="5">
        <f>IF(A204="","",INDEX(SKUs!$A$5:$A$304,MATCH(A204,SKUs!$I$5:$I$304,0)))</f>
        <v/>
      </c>
      <c r="C204" s="15">
        <f>IF(A204="","",INDEX(SKUs!$B$5:$B$304,MATCH(A204,SKUs!$I$5:$I$304,0)))</f>
        <v/>
      </c>
      <c r="D204" s="10">
        <f>IF(A204="","",INDEX(SKUs!$E$5:$E$304,MATCH(A204,SKUs!$I$5:$I$304,0)))</f>
        <v/>
      </c>
      <c r="E204" s="10">
        <f>IF(A204="","",INDEX(SKUs!$F$5:$F$304,MATCH(A204,SKUs!$I$5:$I$304,0)))</f>
        <v/>
      </c>
      <c r="F204" s="10">
        <f>IF(A204="","",INDEX(SKUs!$G$5:$G$304,MATCH(A204,SKUs!$I$5:$I$304,0)))</f>
        <v/>
      </c>
      <c r="G204" s="11">
        <f>IF(A204="","",INDEX(SKUs!$H$5:$H$304,MATCH(A204,SKUs!$I$5:$I$304,0)))</f>
        <v/>
      </c>
      <c r="H204" s="11">
        <f>IF(A204="","",IF(SUM(SKUs!$E$5:$E$304)=0,0,D204/SUM(SKUs!$E$5:$E$304)))</f>
        <v/>
      </c>
      <c r="I204" s="11">
        <f>IF(A204="","",SUM($H$6:H204))</f>
        <v/>
      </c>
      <c r="J204" s="5">
        <f>IF(A204="","",IF(I204&gt;=$B$3,1,0))</f>
        <v/>
      </c>
    </row>
    <row r="205">
      <c r="A205" s="5">
        <f>IF(200&gt;COUNT(SKUs!$I$5:$I$304),"",200)</f>
        <v/>
      </c>
      <c r="B205" s="5">
        <f>IF(A205="","",INDEX(SKUs!$A$5:$A$304,MATCH(A205,SKUs!$I$5:$I$304,0)))</f>
        <v/>
      </c>
      <c r="C205" s="15">
        <f>IF(A205="","",INDEX(SKUs!$B$5:$B$304,MATCH(A205,SKUs!$I$5:$I$304,0)))</f>
        <v/>
      </c>
      <c r="D205" s="10">
        <f>IF(A205="","",INDEX(SKUs!$E$5:$E$304,MATCH(A205,SKUs!$I$5:$I$304,0)))</f>
        <v/>
      </c>
      <c r="E205" s="10">
        <f>IF(A205="","",INDEX(SKUs!$F$5:$F$304,MATCH(A205,SKUs!$I$5:$I$304,0)))</f>
        <v/>
      </c>
      <c r="F205" s="10">
        <f>IF(A205="","",INDEX(SKUs!$G$5:$G$304,MATCH(A205,SKUs!$I$5:$I$304,0)))</f>
        <v/>
      </c>
      <c r="G205" s="11">
        <f>IF(A205="","",INDEX(SKUs!$H$5:$H$304,MATCH(A205,SKUs!$I$5:$I$304,0)))</f>
        <v/>
      </c>
      <c r="H205" s="11">
        <f>IF(A205="","",IF(SUM(SKUs!$E$5:$E$304)=0,0,D205/SUM(SKUs!$E$5:$E$304)))</f>
        <v/>
      </c>
      <c r="I205" s="11">
        <f>IF(A205="","",SUM($H$6:H205))</f>
        <v/>
      </c>
      <c r="J205" s="5">
        <f>IF(A205="","",IF(I205&gt;=$B$3,1,0))</f>
        <v/>
      </c>
    </row>
    <row r="206">
      <c r="A206" s="5">
        <f>IF(201&gt;COUNT(SKUs!$I$5:$I$304),"",201)</f>
        <v/>
      </c>
      <c r="B206" s="5">
        <f>IF(A206="","",INDEX(SKUs!$A$5:$A$304,MATCH(A206,SKUs!$I$5:$I$304,0)))</f>
        <v/>
      </c>
      <c r="C206" s="15">
        <f>IF(A206="","",INDEX(SKUs!$B$5:$B$304,MATCH(A206,SKUs!$I$5:$I$304,0)))</f>
        <v/>
      </c>
      <c r="D206" s="10">
        <f>IF(A206="","",INDEX(SKUs!$E$5:$E$304,MATCH(A206,SKUs!$I$5:$I$304,0)))</f>
        <v/>
      </c>
      <c r="E206" s="10">
        <f>IF(A206="","",INDEX(SKUs!$F$5:$F$304,MATCH(A206,SKUs!$I$5:$I$304,0)))</f>
        <v/>
      </c>
      <c r="F206" s="10">
        <f>IF(A206="","",INDEX(SKUs!$G$5:$G$304,MATCH(A206,SKUs!$I$5:$I$304,0)))</f>
        <v/>
      </c>
      <c r="G206" s="11">
        <f>IF(A206="","",INDEX(SKUs!$H$5:$H$304,MATCH(A206,SKUs!$I$5:$I$304,0)))</f>
        <v/>
      </c>
      <c r="H206" s="11">
        <f>IF(A206="","",IF(SUM(SKUs!$E$5:$E$304)=0,0,D206/SUM(SKUs!$E$5:$E$304)))</f>
        <v/>
      </c>
      <c r="I206" s="11">
        <f>IF(A206="","",SUM($H$6:H206))</f>
        <v/>
      </c>
      <c r="J206" s="5">
        <f>IF(A206="","",IF(I206&gt;=$B$3,1,0))</f>
        <v/>
      </c>
    </row>
    <row r="207">
      <c r="A207" s="5">
        <f>IF(202&gt;COUNT(SKUs!$I$5:$I$304),"",202)</f>
        <v/>
      </c>
      <c r="B207" s="5">
        <f>IF(A207="","",INDEX(SKUs!$A$5:$A$304,MATCH(A207,SKUs!$I$5:$I$304,0)))</f>
        <v/>
      </c>
      <c r="C207" s="15">
        <f>IF(A207="","",INDEX(SKUs!$B$5:$B$304,MATCH(A207,SKUs!$I$5:$I$304,0)))</f>
        <v/>
      </c>
      <c r="D207" s="10">
        <f>IF(A207="","",INDEX(SKUs!$E$5:$E$304,MATCH(A207,SKUs!$I$5:$I$304,0)))</f>
        <v/>
      </c>
      <c r="E207" s="10">
        <f>IF(A207="","",INDEX(SKUs!$F$5:$F$304,MATCH(A207,SKUs!$I$5:$I$304,0)))</f>
        <v/>
      </c>
      <c r="F207" s="10">
        <f>IF(A207="","",INDEX(SKUs!$G$5:$G$304,MATCH(A207,SKUs!$I$5:$I$304,0)))</f>
        <v/>
      </c>
      <c r="G207" s="11">
        <f>IF(A207="","",INDEX(SKUs!$H$5:$H$304,MATCH(A207,SKUs!$I$5:$I$304,0)))</f>
        <v/>
      </c>
      <c r="H207" s="11">
        <f>IF(A207="","",IF(SUM(SKUs!$E$5:$E$304)=0,0,D207/SUM(SKUs!$E$5:$E$304)))</f>
        <v/>
      </c>
      <c r="I207" s="11">
        <f>IF(A207="","",SUM($H$6:H207))</f>
        <v/>
      </c>
      <c r="J207" s="5">
        <f>IF(A207="","",IF(I207&gt;=$B$3,1,0))</f>
        <v/>
      </c>
    </row>
    <row r="208">
      <c r="A208" s="5">
        <f>IF(203&gt;COUNT(SKUs!$I$5:$I$304),"",203)</f>
        <v/>
      </c>
      <c r="B208" s="5">
        <f>IF(A208="","",INDEX(SKUs!$A$5:$A$304,MATCH(A208,SKUs!$I$5:$I$304,0)))</f>
        <v/>
      </c>
      <c r="C208" s="15">
        <f>IF(A208="","",INDEX(SKUs!$B$5:$B$304,MATCH(A208,SKUs!$I$5:$I$304,0)))</f>
        <v/>
      </c>
      <c r="D208" s="10">
        <f>IF(A208="","",INDEX(SKUs!$E$5:$E$304,MATCH(A208,SKUs!$I$5:$I$304,0)))</f>
        <v/>
      </c>
      <c r="E208" s="10">
        <f>IF(A208="","",INDEX(SKUs!$F$5:$F$304,MATCH(A208,SKUs!$I$5:$I$304,0)))</f>
        <v/>
      </c>
      <c r="F208" s="10">
        <f>IF(A208="","",INDEX(SKUs!$G$5:$G$304,MATCH(A208,SKUs!$I$5:$I$304,0)))</f>
        <v/>
      </c>
      <c r="G208" s="11">
        <f>IF(A208="","",INDEX(SKUs!$H$5:$H$304,MATCH(A208,SKUs!$I$5:$I$304,0)))</f>
        <v/>
      </c>
      <c r="H208" s="11">
        <f>IF(A208="","",IF(SUM(SKUs!$E$5:$E$304)=0,0,D208/SUM(SKUs!$E$5:$E$304)))</f>
        <v/>
      </c>
      <c r="I208" s="11">
        <f>IF(A208="","",SUM($H$6:H208))</f>
        <v/>
      </c>
      <c r="J208" s="5">
        <f>IF(A208="","",IF(I208&gt;=$B$3,1,0))</f>
        <v/>
      </c>
    </row>
    <row r="209">
      <c r="A209" s="5">
        <f>IF(204&gt;COUNT(SKUs!$I$5:$I$304),"",204)</f>
        <v/>
      </c>
      <c r="B209" s="5">
        <f>IF(A209="","",INDEX(SKUs!$A$5:$A$304,MATCH(A209,SKUs!$I$5:$I$304,0)))</f>
        <v/>
      </c>
      <c r="C209" s="15">
        <f>IF(A209="","",INDEX(SKUs!$B$5:$B$304,MATCH(A209,SKUs!$I$5:$I$304,0)))</f>
        <v/>
      </c>
      <c r="D209" s="10">
        <f>IF(A209="","",INDEX(SKUs!$E$5:$E$304,MATCH(A209,SKUs!$I$5:$I$304,0)))</f>
        <v/>
      </c>
      <c r="E209" s="10">
        <f>IF(A209="","",INDEX(SKUs!$F$5:$F$304,MATCH(A209,SKUs!$I$5:$I$304,0)))</f>
        <v/>
      </c>
      <c r="F209" s="10">
        <f>IF(A209="","",INDEX(SKUs!$G$5:$G$304,MATCH(A209,SKUs!$I$5:$I$304,0)))</f>
        <v/>
      </c>
      <c r="G209" s="11">
        <f>IF(A209="","",INDEX(SKUs!$H$5:$H$304,MATCH(A209,SKUs!$I$5:$I$304,0)))</f>
        <v/>
      </c>
      <c r="H209" s="11">
        <f>IF(A209="","",IF(SUM(SKUs!$E$5:$E$304)=0,0,D209/SUM(SKUs!$E$5:$E$304)))</f>
        <v/>
      </c>
      <c r="I209" s="11">
        <f>IF(A209="","",SUM($H$6:H209))</f>
        <v/>
      </c>
      <c r="J209" s="5">
        <f>IF(A209="","",IF(I209&gt;=$B$3,1,0))</f>
        <v/>
      </c>
    </row>
    <row r="210">
      <c r="A210" s="5">
        <f>IF(205&gt;COUNT(SKUs!$I$5:$I$304),"",205)</f>
        <v/>
      </c>
      <c r="B210" s="5">
        <f>IF(A210="","",INDEX(SKUs!$A$5:$A$304,MATCH(A210,SKUs!$I$5:$I$304,0)))</f>
        <v/>
      </c>
      <c r="C210" s="15">
        <f>IF(A210="","",INDEX(SKUs!$B$5:$B$304,MATCH(A210,SKUs!$I$5:$I$304,0)))</f>
        <v/>
      </c>
      <c r="D210" s="10">
        <f>IF(A210="","",INDEX(SKUs!$E$5:$E$304,MATCH(A210,SKUs!$I$5:$I$304,0)))</f>
        <v/>
      </c>
      <c r="E210" s="10">
        <f>IF(A210="","",INDEX(SKUs!$F$5:$F$304,MATCH(A210,SKUs!$I$5:$I$304,0)))</f>
        <v/>
      </c>
      <c r="F210" s="10">
        <f>IF(A210="","",INDEX(SKUs!$G$5:$G$304,MATCH(A210,SKUs!$I$5:$I$304,0)))</f>
        <v/>
      </c>
      <c r="G210" s="11">
        <f>IF(A210="","",INDEX(SKUs!$H$5:$H$304,MATCH(A210,SKUs!$I$5:$I$304,0)))</f>
        <v/>
      </c>
      <c r="H210" s="11">
        <f>IF(A210="","",IF(SUM(SKUs!$E$5:$E$304)=0,0,D210/SUM(SKUs!$E$5:$E$304)))</f>
        <v/>
      </c>
      <c r="I210" s="11">
        <f>IF(A210="","",SUM($H$6:H210))</f>
        <v/>
      </c>
      <c r="J210" s="5">
        <f>IF(A210="","",IF(I210&gt;=$B$3,1,0))</f>
        <v/>
      </c>
    </row>
    <row r="211">
      <c r="A211" s="5">
        <f>IF(206&gt;COUNT(SKUs!$I$5:$I$304),"",206)</f>
        <v/>
      </c>
      <c r="B211" s="5">
        <f>IF(A211="","",INDEX(SKUs!$A$5:$A$304,MATCH(A211,SKUs!$I$5:$I$304,0)))</f>
        <v/>
      </c>
      <c r="C211" s="15">
        <f>IF(A211="","",INDEX(SKUs!$B$5:$B$304,MATCH(A211,SKUs!$I$5:$I$304,0)))</f>
        <v/>
      </c>
      <c r="D211" s="10">
        <f>IF(A211="","",INDEX(SKUs!$E$5:$E$304,MATCH(A211,SKUs!$I$5:$I$304,0)))</f>
        <v/>
      </c>
      <c r="E211" s="10">
        <f>IF(A211="","",INDEX(SKUs!$F$5:$F$304,MATCH(A211,SKUs!$I$5:$I$304,0)))</f>
        <v/>
      </c>
      <c r="F211" s="10">
        <f>IF(A211="","",INDEX(SKUs!$G$5:$G$304,MATCH(A211,SKUs!$I$5:$I$304,0)))</f>
        <v/>
      </c>
      <c r="G211" s="11">
        <f>IF(A211="","",INDEX(SKUs!$H$5:$H$304,MATCH(A211,SKUs!$I$5:$I$304,0)))</f>
        <v/>
      </c>
      <c r="H211" s="11">
        <f>IF(A211="","",IF(SUM(SKUs!$E$5:$E$304)=0,0,D211/SUM(SKUs!$E$5:$E$304)))</f>
        <v/>
      </c>
      <c r="I211" s="11">
        <f>IF(A211="","",SUM($H$6:H211))</f>
        <v/>
      </c>
      <c r="J211" s="5">
        <f>IF(A211="","",IF(I211&gt;=$B$3,1,0))</f>
        <v/>
      </c>
    </row>
    <row r="212">
      <c r="A212" s="5">
        <f>IF(207&gt;COUNT(SKUs!$I$5:$I$304),"",207)</f>
        <v/>
      </c>
      <c r="B212" s="5">
        <f>IF(A212="","",INDEX(SKUs!$A$5:$A$304,MATCH(A212,SKUs!$I$5:$I$304,0)))</f>
        <v/>
      </c>
      <c r="C212" s="15">
        <f>IF(A212="","",INDEX(SKUs!$B$5:$B$304,MATCH(A212,SKUs!$I$5:$I$304,0)))</f>
        <v/>
      </c>
      <c r="D212" s="10">
        <f>IF(A212="","",INDEX(SKUs!$E$5:$E$304,MATCH(A212,SKUs!$I$5:$I$304,0)))</f>
        <v/>
      </c>
      <c r="E212" s="10">
        <f>IF(A212="","",INDEX(SKUs!$F$5:$F$304,MATCH(A212,SKUs!$I$5:$I$304,0)))</f>
        <v/>
      </c>
      <c r="F212" s="10">
        <f>IF(A212="","",INDEX(SKUs!$G$5:$G$304,MATCH(A212,SKUs!$I$5:$I$304,0)))</f>
        <v/>
      </c>
      <c r="G212" s="11">
        <f>IF(A212="","",INDEX(SKUs!$H$5:$H$304,MATCH(A212,SKUs!$I$5:$I$304,0)))</f>
        <v/>
      </c>
      <c r="H212" s="11">
        <f>IF(A212="","",IF(SUM(SKUs!$E$5:$E$304)=0,0,D212/SUM(SKUs!$E$5:$E$304)))</f>
        <v/>
      </c>
      <c r="I212" s="11">
        <f>IF(A212="","",SUM($H$6:H212))</f>
        <v/>
      </c>
      <c r="J212" s="5">
        <f>IF(A212="","",IF(I212&gt;=$B$3,1,0))</f>
        <v/>
      </c>
    </row>
    <row r="213">
      <c r="A213" s="5">
        <f>IF(208&gt;COUNT(SKUs!$I$5:$I$304),"",208)</f>
        <v/>
      </c>
      <c r="B213" s="5">
        <f>IF(A213="","",INDEX(SKUs!$A$5:$A$304,MATCH(A213,SKUs!$I$5:$I$304,0)))</f>
        <v/>
      </c>
      <c r="C213" s="15">
        <f>IF(A213="","",INDEX(SKUs!$B$5:$B$304,MATCH(A213,SKUs!$I$5:$I$304,0)))</f>
        <v/>
      </c>
      <c r="D213" s="10">
        <f>IF(A213="","",INDEX(SKUs!$E$5:$E$304,MATCH(A213,SKUs!$I$5:$I$304,0)))</f>
        <v/>
      </c>
      <c r="E213" s="10">
        <f>IF(A213="","",INDEX(SKUs!$F$5:$F$304,MATCH(A213,SKUs!$I$5:$I$304,0)))</f>
        <v/>
      </c>
      <c r="F213" s="10">
        <f>IF(A213="","",INDEX(SKUs!$G$5:$G$304,MATCH(A213,SKUs!$I$5:$I$304,0)))</f>
        <v/>
      </c>
      <c r="G213" s="11">
        <f>IF(A213="","",INDEX(SKUs!$H$5:$H$304,MATCH(A213,SKUs!$I$5:$I$304,0)))</f>
        <v/>
      </c>
      <c r="H213" s="11">
        <f>IF(A213="","",IF(SUM(SKUs!$E$5:$E$304)=0,0,D213/SUM(SKUs!$E$5:$E$304)))</f>
        <v/>
      </c>
      <c r="I213" s="11">
        <f>IF(A213="","",SUM($H$6:H213))</f>
        <v/>
      </c>
      <c r="J213" s="5">
        <f>IF(A213="","",IF(I213&gt;=$B$3,1,0))</f>
        <v/>
      </c>
    </row>
    <row r="214">
      <c r="A214" s="5">
        <f>IF(209&gt;COUNT(SKUs!$I$5:$I$304),"",209)</f>
        <v/>
      </c>
      <c r="B214" s="5">
        <f>IF(A214="","",INDEX(SKUs!$A$5:$A$304,MATCH(A214,SKUs!$I$5:$I$304,0)))</f>
        <v/>
      </c>
      <c r="C214" s="15">
        <f>IF(A214="","",INDEX(SKUs!$B$5:$B$304,MATCH(A214,SKUs!$I$5:$I$304,0)))</f>
        <v/>
      </c>
      <c r="D214" s="10">
        <f>IF(A214="","",INDEX(SKUs!$E$5:$E$304,MATCH(A214,SKUs!$I$5:$I$304,0)))</f>
        <v/>
      </c>
      <c r="E214" s="10">
        <f>IF(A214="","",INDEX(SKUs!$F$5:$F$304,MATCH(A214,SKUs!$I$5:$I$304,0)))</f>
        <v/>
      </c>
      <c r="F214" s="10">
        <f>IF(A214="","",INDEX(SKUs!$G$5:$G$304,MATCH(A214,SKUs!$I$5:$I$304,0)))</f>
        <v/>
      </c>
      <c r="G214" s="11">
        <f>IF(A214="","",INDEX(SKUs!$H$5:$H$304,MATCH(A214,SKUs!$I$5:$I$304,0)))</f>
        <v/>
      </c>
      <c r="H214" s="11">
        <f>IF(A214="","",IF(SUM(SKUs!$E$5:$E$304)=0,0,D214/SUM(SKUs!$E$5:$E$304)))</f>
        <v/>
      </c>
      <c r="I214" s="11">
        <f>IF(A214="","",SUM($H$6:H214))</f>
        <v/>
      </c>
      <c r="J214" s="5">
        <f>IF(A214="","",IF(I214&gt;=$B$3,1,0))</f>
        <v/>
      </c>
    </row>
    <row r="215">
      <c r="A215" s="5">
        <f>IF(210&gt;COUNT(SKUs!$I$5:$I$304),"",210)</f>
        <v/>
      </c>
      <c r="B215" s="5">
        <f>IF(A215="","",INDEX(SKUs!$A$5:$A$304,MATCH(A215,SKUs!$I$5:$I$304,0)))</f>
        <v/>
      </c>
      <c r="C215" s="15">
        <f>IF(A215="","",INDEX(SKUs!$B$5:$B$304,MATCH(A215,SKUs!$I$5:$I$304,0)))</f>
        <v/>
      </c>
      <c r="D215" s="10">
        <f>IF(A215="","",INDEX(SKUs!$E$5:$E$304,MATCH(A215,SKUs!$I$5:$I$304,0)))</f>
        <v/>
      </c>
      <c r="E215" s="10">
        <f>IF(A215="","",INDEX(SKUs!$F$5:$F$304,MATCH(A215,SKUs!$I$5:$I$304,0)))</f>
        <v/>
      </c>
      <c r="F215" s="10">
        <f>IF(A215="","",INDEX(SKUs!$G$5:$G$304,MATCH(A215,SKUs!$I$5:$I$304,0)))</f>
        <v/>
      </c>
      <c r="G215" s="11">
        <f>IF(A215="","",INDEX(SKUs!$H$5:$H$304,MATCH(A215,SKUs!$I$5:$I$304,0)))</f>
        <v/>
      </c>
      <c r="H215" s="11">
        <f>IF(A215="","",IF(SUM(SKUs!$E$5:$E$304)=0,0,D215/SUM(SKUs!$E$5:$E$304)))</f>
        <v/>
      </c>
      <c r="I215" s="11">
        <f>IF(A215="","",SUM($H$6:H215))</f>
        <v/>
      </c>
      <c r="J215" s="5">
        <f>IF(A215="","",IF(I215&gt;=$B$3,1,0))</f>
        <v/>
      </c>
    </row>
    <row r="216">
      <c r="A216" s="5">
        <f>IF(211&gt;COUNT(SKUs!$I$5:$I$304),"",211)</f>
        <v/>
      </c>
      <c r="B216" s="5">
        <f>IF(A216="","",INDEX(SKUs!$A$5:$A$304,MATCH(A216,SKUs!$I$5:$I$304,0)))</f>
        <v/>
      </c>
      <c r="C216" s="15">
        <f>IF(A216="","",INDEX(SKUs!$B$5:$B$304,MATCH(A216,SKUs!$I$5:$I$304,0)))</f>
        <v/>
      </c>
      <c r="D216" s="10">
        <f>IF(A216="","",INDEX(SKUs!$E$5:$E$304,MATCH(A216,SKUs!$I$5:$I$304,0)))</f>
        <v/>
      </c>
      <c r="E216" s="10">
        <f>IF(A216="","",INDEX(SKUs!$F$5:$F$304,MATCH(A216,SKUs!$I$5:$I$304,0)))</f>
        <v/>
      </c>
      <c r="F216" s="10">
        <f>IF(A216="","",INDEX(SKUs!$G$5:$G$304,MATCH(A216,SKUs!$I$5:$I$304,0)))</f>
        <v/>
      </c>
      <c r="G216" s="11">
        <f>IF(A216="","",INDEX(SKUs!$H$5:$H$304,MATCH(A216,SKUs!$I$5:$I$304,0)))</f>
        <v/>
      </c>
      <c r="H216" s="11">
        <f>IF(A216="","",IF(SUM(SKUs!$E$5:$E$304)=0,0,D216/SUM(SKUs!$E$5:$E$304)))</f>
        <v/>
      </c>
      <c r="I216" s="11">
        <f>IF(A216="","",SUM($H$6:H216))</f>
        <v/>
      </c>
      <c r="J216" s="5">
        <f>IF(A216="","",IF(I216&gt;=$B$3,1,0))</f>
        <v/>
      </c>
    </row>
    <row r="217">
      <c r="A217" s="5">
        <f>IF(212&gt;COUNT(SKUs!$I$5:$I$304),"",212)</f>
        <v/>
      </c>
      <c r="B217" s="5">
        <f>IF(A217="","",INDEX(SKUs!$A$5:$A$304,MATCH(A217,SKUs!$I$5:$I$304,0)))</f>
        <v/>
      </c>
      <c r="C217" s="15">
        <f>IF(A217="","",INDEX(SKUs!$B$5:$B$304,MATCH(A217,SKUs!$I$5:$I$304,0)))</f>
        <v/>
      </c>
      <c r="D217" s="10">
        <f>IF(A217="","",INDEX(SKUs!$E$5:$E$304,MATCH(A217,SKUs!$I$5:$I$304,0)))</f>
        <v/>
      </c>
      <c r="E217" s="10">
        <f>IF(A217="","",INDEX(SKUs!$F$5:$F$304,MATCH(A217,SKUs!$I$5:$I$304,0)))</f>
        <v/>
      </c>
      <c r="F217" s="10">
        <f>IF(A217="","",INDEX(SKUs!$G$5:$G$304,MATCH(A217,SKUs!$I$5:$I$304,0)))</f>
        <v/>
      </c>
      <c r="G217" s="11">
        <f>IF(A217="","",INDEX(SKUs!$H$5:$H$304,MATCH(A217,SKUs!$I$5:$I$304,0)))</f>
        <v/>
      </c>
      <c r="H217" s="11">
        <f>IF(A217="","",IF(SUM(SKUs!$E$5:$E$304)=0,0,D217/SUM(SKUs!$E$5:$E$304)))</f>
        <v/>
      </c>
      <c r="I217" s="11">
        <f>IF(A217="","",SUM($H$6:H217))</f>
        <v/>
      </c>
      <c r="J217" s="5">
        <f>IF(A217="","",IF(I217&gt;=$B$3,1,0))</f>
        <v/>
      </c>
    </row>
    <row r="218">
      <c r="A218" s="5">
        <f>IF(213&gt;COUNT(SKUs!$I$5:$I$304),"",213)</f>
        <v/>
      </c>
      <c r="B218" s="5">
        <f>IF(A218="","",INDEX(SKUs!$A$5:$A$304,MATCH(A218,SKUs!$I$5:$I$304,0)))</f>
        <v/>
      </c>
      <c r="C218" s="15">
        <f>IF(A218="","",INDEX(SKUs!$B$5:$B$304,MATCH(A218,SKUs!$I$5:$I$304,0)))</f>
        <v/>
      </c>
      <c r="D218" s="10">
        <f>IF(A218="","",INDEX(SKUs!$E$5:$E$304,MATCH(A218,SKUs!$I$5:$I$304,0)))</f>
        <v/>
      </c>
      <c r="E218" s="10">
        <f>IF(A218="","",INDEX(SKUs!$F$5:$F$304,MATCH(A218,SKUs!$I$5:$I$304,0)))</f>
        <v/>
      </c>
      <c r="F218" s="10">
        <f>IF(A218="","",INDEX(SKUs!$G$5:$G$304,MATCH(A218,SKUs!$I$5:$I$304,0)))</f>
        <v/>
      </c>
      <c r="G218" s="11">
        <f>IF(A218="","",INDEX(SKUs!$H$5:$H$304,MATCH(A218,SKUs!$I$5:$I$304,0)))</f>
        <v/>
      </c>
      <c r="H218" s="11">
        <f>IF(A218="","",IF(SUM(SKUs!$E$5:$E$304)=0,0,D218/SUM(SKUs!$E$5:$E$304)))</f>
        <v/>
      </c>
      <c r="I218" s="11">
        <f>IF(A218="","",SUM($H$6:H218))</f>
        <v/>
      </c>
      <c r="J218" s="5">
        <f>IF(A218="","",IF(I218&gt;=$B$3,1,0))</f>
        <v/>
      </c>
    </row>
    <row r="219">
      <c r="A219" s="5">
        <f>IF(214&gt;COUNT(SKUs!$I$5:$I$304),"",214)</f>
        <v/>
      </c>
      <c r="B219" s="5">
        <f>IF(A219="","",INDEX(SKUs!$A$5:$A$304,MATCH(A219,SKUs!$I$5:$I$304,0)))</f>
        <v/>
      </c>
      <c r="C219" s="15">
        <f>IF(A219="","",INDEX(SKUs!$B$5:$B$304,MATCH(A219,SKUs!$I$5:$I$304,0)))</f>
        <v/>
      </c>
      <c r="D219" s="10">
        <f>IF(A219="","",INDEX(SKUs!$E$5:$E$304,MATCH(A219,SKUs!$I$5:$I$304,0)))</f>
        <v/>
      </c>
      <c r="E219" s="10">
        <f>IF(A219="","",INDEX(SKUs!$F$5:$F$304,MATCH(A219,SKUs!$I$5:$I$304,0)))</f>
        <v/>
      </c>
      <c r="F219" s="10">
        <f>IF(A219="","",INDEX(SKUs!$G$5:$G$304,MATCH(A219,SKUs!$I$5:$I$304,0)))</f>
        <v/>
      </c>
      <c r="G219" s="11">
        <f>IF(A219="","",INDEX(SKUs!$H$5:$H$304,MATCH(A219,SKUs!$I$5:$I$304,0)))</f>
        <v/>
      </c>
      <c r="H219" s="11">
        <f>IF(A219="","",IF(SUM(SKUs!$E$5:$E$304)=0,0,D219/SUM(SKUs!$E$5:$E$304)))</f>
        <v/>
      </c>
      <c r="I219" s="11">
        <f>IF(A219="","",SUM($H$6:H219))</f>
        <v/>
      </c>
      <c r="J219" s="5">
        <f>IF(A219="","",IF(I219&gt;=$B$3,1,0))</f>
        <v/>
      </c>
    </row>
    <row r="220">
      <c r="A220" s="5">
        <f>IF(215&gt;COUNT(SKUs!$I$5:$I$304),"",215)</f>
        <v/>
      </c>
      <c r="B220" s="5">
        <f>IF(A220="","",INDEX(SKUs!$A$5:$A$304,MATCH(A220,SKUs!$I$5:$I$304,0)))</f>
        <v/>
      </c>
      <c r="C220" s="15">
        <f>IF(A220="","",INDEX(SKUs!$B$5:$B$304,MATCH(A220,SKUs!$I$5:$I$304,0)))</f>
        <v/>
      </c>
      <c r="D220" s="10">
        <f>IF(A220="","",INDEX(SKUs!$E$5:$E$304,MATCH(A220,SKUs!$I$5:$I$304,0)))</f>
        <v/>
      </c>
      <c r="E220" s="10">
        <f>IF(A220="","",INDEX(SKUs!$F$5:$F$304,MATCH(A220,SKUs!$I$5:$I$304,0)))</f>
        <v/>
      </c>
      <c r="F220" s="10">
        <f>IF(A220="","",INDEX(SKUs!$G$5:$G$304,MATCH(A220,SKUs!$I$5:$I$304,0)))</f>
        <v/>
      </c>
      <c r="G220" s="11">
        <f>IF(A220="","",INDEX(SKUs!$H$5:$H$304,MATCH(A220,SKUs!$I$5:$I$304,0)))</f>
        <v/>
      </c>
      <c r="H220" s="11">
        <f>IF(A220="","",IF(SUM(SKUs!$E$5:$E$304)=0,0,D220/SUM(SKUs!$E$5:$E$304)))</f>
        <v/>
      </c>
      <c r="I220" s="11">
        <f>IF(A220="","",SUM($H$6:H220))</f>
        <v/>
      </c>
      <c r="J220" s="5">
        <f>IF(A220="","",IF(I220&gt;=$B$3,1,0))</f>
        <v/>
      </c>
    </row>
    <row r="221">
      <c r="A221" s="5">
        <f>IF(216&gt;COUNT(SKUs!$I$5:$I$304),"",216)</f>
        <v/>
      </c>
      <c r="B221" s="5">
        <f>IF(A221="","",INDEX(SKUs!$A$5:$A$304,MATCH(A221,SKUs!$I$5:$I$304,0)))</f>
        <v/>
      </c>
      <c r="C221" s="15">
        <f>IF(A221="","",INDEX(SKUs!$B$5:$B$304,MATCH(A221,SKUs!$I$5:$I$304,0)))</f>
        <v/>
      </c>
      <c r="D221" s="10">
        <f>IF(A221="","",INDEX(SKUs!$E$5:$E$304,MATCH(A221,SKUs!$I$5:$I$304,0)))</f>
        <v/>
      </c>
      <c r="E221" s="10">
        <f>IF(A221="","",INDEX(SKUs!$F$5:$F$304,MATCH(A221,SKUs!$I$5:$I$304,0)))</f>
        <v/>
      </c>
      <c r="F221" s="10">
        <f>IF(A221="","",INDEX(SKUs!$G$5:$G$304,MATCH(A221,SKUs!$I$5:$I$304,0)))</f>
        <v/>
      </c>
      <c r="G221" s="11">
        <f>IF(A221="","",INDEX(SKUs!$H$5:$H$304,MATCH(A221,SKUs!$I$5:$I$304,0)))</f>
        <v/>
      </c>
      <c r="H221" s="11">
        <f>IF(A221="","",IF(SUM(SKUs!$E$5:$E$304)=0,0,D221/SUM(SKUs!$E$5:$E$304)))</f>
        <v/>
      </c>
      <c r="I221" s="11">
        <f>IF(A221="","",SUM($H$6:H221))</f>
        <v/>
      </c>
      <c r="J221" s="5">
        <f>IF(A221="","",IF(I221&gt;=$B$3,1,0))</f>
        <v/>
      </c>
    </row>
    <row r="222">
      <c r="A222" s="5">
        <f>IF(217&gt;COUNT(SKUs!$I$5:$I$304),"",217)</f>
        <v/>
      </c>
      <c r="B222" s="5">
        <f>IF(A222="","",INDEX(SKUs!$A$5:$A$304,MATCH(A222,SKUs!$I$5:$I$304,0)))</f>
        <v/>
      </c>
      <c r="C222" s="15">
        <f>IF(A222="","",INDEX(SKUs!$B$5:$B$304,MATCH(A222,SKUs!$I$5:$I$304,0)))</f>
        <v/>
      </c>
      <c r="D222" s="10">
        <f>IF(A222="","",INDEX(SKUs!$E$5:$E$304,MATCH(A222,SKUs!$I$5:$I$304,0)))</f>
        <v/>
      </c>
      <c r="E222" s="10">
        <f>IF(A222="","",INDEX(SKUs!$F$5:$F$304,MATCH(A222,SKUs!$I$5:$I$304,0)))</f>
        <v/>
      </c>
      <c r="F222" s="10">
        <f>IF(A222="","",INDEX(SKUs!$G$5:$G$304,MATCH(A222,SKUs!$I$5:$I$304,0)))</f>
        <v/>
      </c>
      <c r="G222" s="11">
        <f>IF(A222="","",INDEX(SKUs!$H$5:$H$304,MATCH(A222,SKUs!$I$5:$I$304,0)))</f>
        <v/>
      </c>
      <c r="H222" s="11">
        <f>IF(A222="","",IF(SUM(SKUs!$E$5:$E$304)=0,0,D222/SUM(SKUs!$E$5:$E$304)))</f>
        <v/>
      </c>
      <c r="I222" s="11">
        <f>IF(A222="","",SUM($H$6:H222))</f>
        <v/>
      </c>
      <c r="J222" s="5">
        <f>IF(A222="","",IF(I222&gt;=$B$3,1,0))</f>
        <v/>
      </c>
    </row>
    <row r="223">
      <c r="A223" s="5">
        <f>IF(218&gt;COUNT(SKUs!$I$5:$I$304),"",218)</f>
        <v/>
      </c>
      <c r="B223" s="5">
        <f>IF(A223="","",INDEX(SKUs!$A$5:$A$304,MATCH(A223,SKUs!$I$5:$I$304,0)))</f>
        <v/>
      </c>
      <c r="C223" s="15">
        <f>IF(A223="","",INDEX(SKUs!$B$5:$B$304,MATCH(A223,SKUs!$I$5:$I$304,0)))</f>
        <v/>
      </c>
      <c r="D223" s="10">
        <f>IF(A223="","",INDEX(SKUs!$E$5:$E$304,MATCH(A223,SKUs!$I$5:$I$304,0)))</f>
        <v/>
      </c>
      <c r="E223" s="10">
        <f>IF(A223="","",INDEX(SKUs!$F$5:$F$304,MATCH(A223,SKUs!$I$5:$I$304,0)))</f>
        <v/>
      </c>
      <c r="F223" s="10">
        <f>IF(A223="","",INDEX(SKUs!$G$5:$G$304,MATCH(A223,SKUs!$I$5:$I$304,0)))</f>
        <v/>
      </c>
      <c r="G223" s="11">
        <f>IF(A223="","",INDEX(SKUs!$H$5:$H$304,MATCH(A223,SKUs!$I$5:$I$304,0)))</f>
        <v/>
      </c>
      <c r="H223" s="11">
        <f>IF(A223="","",IF(SUM(SKUs!$E$5:$E$304)=0,0,D223/SUM(SKUs!$E$5:$E$304)))</f>
        <v/>
      </c>
      <c r="I223" s="11">
        <f>IF(A223="","",SUM($H$6:H223))</f>
        <v/>
      </c>
      <c r="J223" s="5">
        <f>IF(A223="","",IF(I223&gt;=$B$3,1,0))</f>
        <v/>
      </c>
    </row>
    <row r="224">
      <c r="A224" s="5">
        <f>IF(219&gt;COUNT(SKUs!$I$5:$I$304),"",219)</f>
        <v/>
      </c>
      <c r="B224" s="5">
        <f>IF(A224="","",INDEX(SKUs!$A$5:$A$304,MATCH(A224,SKUs!$I$5:$I$304,0)))</f>
        <v/>
      </c>
      <c r="C224" s="15">
        <f>IF(A224="","",INDEX(SKUs!$B$5:$B$304,MATCH(A224,SKUs!$I$5:$I$304,0)))</f>
        <v/>
      </c>
      <c r="D224" s="10">
        <f>IF(A224="","",INDEX(SKUs!$E$5:$E$304,MATCH(A224,SKUs!$I$5:$I$304,0)))</f>
        <v/>
      </c>
      <c r="E224" s="10">
        <f>IF(A224="","",INDEX(SKUs!$F$5:$F$304,MATCH(A224,SKUs!$I$5:$I$304,0)))</f>
        <v/>
      </c>
      <c r="F224" s="10">
        <f>IF(A224="","",INDEX(SKUs!$G$5:$G$304,MATCH(A224,SKUs!$I$5:$I$304,0)))</f>
        <v/>
      </c>
      <c r="G224" s="11">
        <f>IF(A224="","",INDEX(SKUs!$H$5:$H$304,MATCH(A224,SKUs!$I$5:$I$304,0)))</f>
        <v/>
      </c>
      <c r="H224" s="11">
        <f>IF(A224="","",IF(SUM(SKUs!$E$5:$E$304)=0,0,D224/SUM(SKUs!$E$5:$E$304)))</f>
        <v/>
      </c>
      <c r="I224" s="11">
        <f>IF(A224="","",SUM($H$6:H224))</f>
        <v/>
      </c>
      <c r="J224" s="5">
        <f>IF(A224="","",IF(I224&gt;=$B$3,1,0))</f>
        <v/>
      </c>
    </row>
    <row r="225">
      <c r="A225" s="5">
        <f>IF(220&gt;COUNT(SKUs!$I$5:$I$304),"",220)</f>
        <v/>
      </c>
      <c r="B225" s="5">
        <f>IF(A225="","",INDEX(SKUs!$A$5:$A$304,MATCH(A225,SKUs!$I$5:$I$304,0)))</f>
        <v/>
      </c>
      <c r="C225" s="15">
        <f>IF(A225="","",INDEX(SKUs!$B$5:$B$304,MATCH(A225,SKUs!$I$5:$I$304,0)))</f>
        <v/>
      </c>
      <c r="D225" s="10">
        <f>IF(A225="","",INDEX(SKUs!$E$5:$E$304,MATCH(A225,SKUs!$I$5:$I$304,0)))</f>
        <v/>
      </c>
      <c r="E225" s="10">
        <f>IF(A225="","",INDEX(SKUs!$F$5:$F$304,MATCH(A225,SKUs!$I$5:$I$304,0)))</f>
        <v/>
      </c>
      <c r="F225" s="10">
        <f>IF(A225="","",INDEX(SKUs!$G$5:$G$304,MATCH(A225,SKUs!$I$5:$I$304,0)))</f>
        <v/>
      </c>
      <c r="G225" s="11">
        <f>IF(A225="","",INDEX(SKUs!$H$5:$H$304,MATCH(A225,SKUs!$I$5:$I$304,0)))</f>
        <v/>
      </c>
      <c r="H225" s="11">
        <f>IF(A225="","",IF(SUM(SKUs!$E$5:$E$304)=0,0,D225/SUM(SKUs!$E$5:$E$304)))</f>
        <v/>
      </c>
      <c r="I225" s="11">
        <f>IF(A225="","",SUM($H$6:H225))</f>
        <v/>
      </c>
      <c r="J225" s="5">
        <f>IF(A225="","",IF(I225&gt;=$B$3,1,0))</f>
        <v/>
      </c>
    </row>
    <row r="226">
      <c r="A226" s="5">
        <f>IF(221&gt;COUNT(SKUs!$I$5:$I$304),"",221)</f>
        <v/>
      </c>
      <c r="B226" s="5">
        <f>IF(A226="","",INDEX(SKUs!$A$5:$A$304,MATCH(A226,SKUs!$I$5:$I$304,0)))</f>
        <v/>
      </c>
      <c r="C226" s="15">
        <f>IF(A226="","",INDEX(SKUs!$B$5:$B$304,MATCH(A226,SKUs!$I$5:$I$304,0)))</f>
        <v/>
      </c>
      <c r="D226" s="10">
        <f>IF(A226="","",INDEX(SKUs!$E$5:$E$304,MATCH(A226,SKUs!$I$5:$I$304,0)))</f>
        <v/>
      </c>
      <c r="E226" s="10">
        <f>IF(A226="","",INDEX(SKUs!$F$5:$F$304,MATCH(A226,SKUs!$I$5:$I$304,0)))</f>
        <v/>
      </c>
      <c r="F226" s="10">
        <f>IF(A226="","",INDEX(SKUs!$G$5:$G$304,MATCH(A226,SKUs!$I$5:$I$304,0)))</f>
        <v/>
      </c>
      <c r="G226" s="11">
        <f>IF(A226="","",INDEX(SKUs!$H$5:$H$304,MATCH(A226,SKUs!$I$5:$I$304,0)))</f>
        <v/>
      </c>
      <c r="H226" s="11">
        <f>IF(A226="","",IF(SUM(SKUs!$E$5:$E$304)=0,0,D226/SUM(SKUs!$E$5:$E$304)))</f>
        <v/>
      </c>
      <c r="I226" s="11">
        <f>IF(A226="","",SUM($H$6:H226))</f>
        <v/>
      </c>
      <c r="J226" s="5">
        <f>IF(A226="","",IF(I226&gt;=$B$3,1,0))</f>
        <v/>
      </c>
    </row>
    <row r="227">
      <c r="A227" s="5">
        <f>IF(222&gt;COUNT(SKUs!$I$5:$I$304),"",222)</f>
        <v/>
      </c>
      <c r="B227" s="5">
        <f>IF(A227="","",INDEX(SKUs!$A$5:$A$304,MATCH(A227,SKUs!$I$5:$I$304,0)))</f>
        <v/>
      </c>
      <c r="C227" s="15">
        <f>IF(A227="","",INDEX(SKUs!$B$5:$B$304,MATCH(A227,SKUs!$I$5:$I$304,0)))</f>
        <v/>
      </c>
      <c r="D227" s="10">
        <f>IF(A227="","",INDEX(SKUs!$E$5:$E$304,MATCH(A227,SKUs!$I$5:$I$304,0)))</f>
        <v/>
      </c>
      <c r="E227" s="10">
        <f>IF(A227="","",INDEX(SKUs!$F$5:$F$304,MATCH(A227,SKUs!$I$5:$I$304,0)))</f>
        <v/>
      </c>
      <c r="F227" s="10">
        <f>IF(A227="","",INDEX(SKUs!$G$5:$G$304,MATCH(A227,SKUs!$I$5:$I$304,0)))</f>
        <v/>
      </c>
      <c r="G227" s="11">
        <f>IF(A227="","",INDEX(SKUs!$H$5:$H$304,MATCH(A227,SKUs!$I$5:$I$304,0)))</f>
        <v/>
      </c>
      <c r="H227" s="11">
        <f>IF(A227="","",IF(SUM(SKUs!$E$5:$E$304)=0,0,D227/SUM(SKUs!$E$5:$E$304)))</f>
        <v/>
      </c>
      <c r="I227" s="11">
        <f>IF(A227="","",SUM($H$6:H227))</f>
        <v/>
      </c>
      <c r="J227" s="5">
        <f>IF(A227="","",IF(I227&gt;=$B$3,1,0))</f>
        <v/>
      </c>
    </row>
    <row r="228">
      <c r="A228" s="5">
        <f>IF(223&gt;COUNT(SKUs!$I$5:$I$304),"",223)</f>
        <v/>
      </c>
      <c r="B228" s="5">
        <f>IF(A228="","",INDEX(SKUs!$A$5:$A$304,MATCH(A228,SKUs!$I$5:$I$304,0)))</f>
        <v/>
      </c>
      <c r="C228" s="15">
        <f>IF(A228="","",INDEX(SKUs!$B$5:$B$304,MATCH(A228,SKUs!$I$5:$I$304,0)))</f>
        <v/>
      </c>
      <c r="D228" s="10">
        <f>IF(A228="","",INDEX(SKUs!$E$5:$E$304,MATCH(A228,SKUs!$I$5:$I$304,0)))</f>
        <v/>
      </c>
      <c r="E228" s="10">
        <f>IF(A228="","",INDEX(SKUs!$F$5:$F$304,MATCH(A228,SKUs!$I$5:$I$304,0)))</f>
        <v/>
      </c>
      <c r="F228" s="10">
        <f>IF(A228="","",INDEX(SKUs!$G$5:$G$304,MATCH(A228,SKUs!$I$5:$I$304,0)))</f>
        <v/>
      </c>
      <c r="G228" s="11">
        <f>IF(A228="","",INDEX(SKUs!$H$5:$H$304,MATCH(A228,SKUs!$I$5:$I$304,0)))</f>
        <v/>
      </c>
      <c r="H228" s="11">
        <f>IF(A228="","",IF(SUM(SKUs!$E$5:$E$304)=0,0,D228/SUM(SKUs!$E$5:$E$304)))</f>
        <v/>
      </c>
      <c r="I228" s="11">
        <f>IF(A228="","",SUM($H$6:H228))</f>
        <v/>
      </c>
      <c r="J228" s="5">
        <f>IF(A228="","",IF(I228&gt;=$B$3,1,0))</f>
        <v/>
      </c>
    </row>
    <row r="229">
      <c r="A229" s="5">
        <f>IF(224&gt;COUNT(SKUs!$I$5:$I$304),"",224)</f>
        <v/>
      </c>
      <c r="B229" s="5">
        <f>IF(A229="","",INDEX(SKUs!$A$5:$A$304,MATCH(A229,SKUs!$I$5:$I$304,0)))</f>
        <v/>
      </c>
      <c r="C229" s="15">
        <f>IF(A229="","",INDEX(SKUs!$B$5:$B$304,MATCH(A229,SKUs!$I$5:$I$304,0)))</f>
        <v/>
      </c>
      <c r="D229" s="10">
        <f>IF(A229="","",INDEX(SKUs!$E$5:$E$304,MATCH(A229,SKUs!$I$5:$I$304,0)))</f>
        <v/>
      </c>
      <c r="E229" s="10">
        <f>IF(A229="","",INDEX(SKUs!$F$5:$F$304,MATCH(A229,SKUs!$I$5:$I$304,0)))</f>
        <v/>
      </c>
      <c r="F229" s="10">
        <f>IF(A229="","",INDEX(SKUs!$G$5:$G$304,MATCH(A229,SKUs!$I$5:$I$304,0)))</f>
        <v/>
      </c>
      <c r="G229" s="11">
        <f>IF(A229="","",INDEX(SKUs!$H$5:$H$304,MATCH(A229,SKUs!$I$5:$I$304,0)))</f>
        <v/>
      </c>
      <c r="H229" s="11">
        <f>IF(A229="","",IF(SUM(SKUs!$E$5:$E$304)=0,0,D229/SUM(SKUs!$E$5:$E$304)))</f>
        <v/>
      </c>
      <c r="I229" s="11">
        <f>IF(A229="","",SUM($H$6:H229))</f>
        <v/>
      </c>
      <c r="J229" s="5">
        <f>IF(A229="","",IF(I229&gt;=$B$3,1,0))</f>
        <v/>
      </c>
    </row>
    <row r="230">
      <c r="A230" s="5">
        <f>IF(225&gt;COUNT(SKUs!$I$5:$I$304),"",225)</f>
        <v/>
      </c>
      <c r="B230" s="5">
        <f>IF(A230="","",INDEX(SKUs!$A$5:$A$304,MATCH(A230,SKUs!$I$5:$I$304,0)))</f>
        <v/>
      </c>
      <c r="C230" s="15">
        <f>IF(A230="","",INDEX(SKUs!$B$5:$B$304,MATCH(A230,SKUs!$I$5:$I$304,0)))</f>
        <v/>
      </c>
      <c r="D230" s="10">
        <f>IF(A230="","",INDEX(SKUs!$E$5:$E$304,MATCH(A230,SKUs!$I$5:$I$304,0)))</f>
        <v/>
      </c>
      <c r="E230" s="10">
        <f>IF(A230="","",INDEX(SKUs!$F$5:$F$304,MATCH(A230,SKUs!$I$5:$I$304,0)))</f>
        <v/>
      </c>
      <c r="F230" s="10">
        <f>IF(A230="","",INDEX(SKUs!$G$5:$G$304,MATCH(A230,SKUs!$I$5:$I$304,0)))</f>
        <v/>
      </c>
      <c r="G230" s="11">
        <f>IF(A230="","",INDEX(SKUs!$H$5:$H$304,MATCH(A230,SKUs!$I$5:$I$304,0)))</f>
        <v/>
      </c>
      <c r="H230" s="11">
        <f>IF(A230="","",IF(SUM(SKUs!$E$5:$E$304)=0,0,D230/SUM(SKUs!$E$5:$E$304)))</f>
        <v/>
      </c>
      <c r="I230" s="11">
        <f>IF(A230="","",SUM($H$6:H230))</f>
        <v/>
      </c>
      <c r="J230" s="5">
        <f>IF(A230="","",IF(I230&gt;=$B$3,1,0))</f>
        <v/>
      </c>
    </row>
    <row r="231">
      <c r="A231" s="5">
        <f>IF(226&gt;COUNT(SKUs!$I$5:$I$304),"",226)</f>
        <v/>
      </c>
      <c r="B231" s="5">
        <f>IF(A231="","",INDEX(SKUs!$A$5:$A$304,MATCH(A231,SKUs!$I$5:$I$304,0)))</f>
        <v/>
      </c>
      <c r="C231" s="15">
        <f>IF(A231="","",INDEX(SKUs!$B$5:$B$304,MATCH(A231,SKUs!$I$5:$I$304,0)))</f>
        <v/>
      </c>
      <c r="D231" s="10">
        <f>IF(A231="","",INDEX(SKUs!$E$5:$E$304,MATCH(A231,SKUs!$I$5:$I$304,0)))</f>
        <v/>
      </c>
      <c r="E231" s="10">
        <f>IF(A231="","",INDEX(SKUs!$F$5:$F$304,MATCH(A231,SKUs!$I$5:$I$304,0)))</f>
        <v/>
      </c>
      <c r="F231" s="10">
        <f>IF(A231="","",INDEX(SKUs!$G$5:$G$304,MATCH(A231,SKUs!$I$5:$I$304,0)))</f>
        <v/>
      </c>
      <c r="G231" s="11">
        <f>IF(A231="","",INDEX(SKUs!$H$5:$H$304,MATCH(A231,SKUs!$I$5:$I$304,0)))</f>
        <v/>
      </c>
      <c r="H231" s="11">
        <f>IF(A231="","",IF(SUM(SKUs!$E$5:$E$304)=0,0,D231/SUM(SKUs!$E$5:$E$304)))</f>
        <v/>
      </c>
      <c r="I231" s="11">
        <f>IF(A231="","",SUM($H$6:H231))</f>
        <v/>
      </c>
      <c r="J231" s="5">
        <f>IF(A231="","",IF(I231&gt;=$B$3,1,0))</f>
        <v/>
      </c>
    </row>
    <row r="232">
      <c r="A232" s="5">
        <f>IF(227&gt;COUNT(SKUs!$I$5:$I$304),"",227)</f>
        <v/>
      </c>
      <c r="B232" s="5">
        <f>IF(A232="","",INDEX(SKUs!$A$5:$A$304,MATCH(A232,SKUs!$I$5:$I$304,0)))</f>
        <v/>
      </c>
      <c r="C232" s="15">
        <f>IF(A232="","",INDEX(SKUs!$B$5:$B$304,MATCH(A232,SKUs!$I$5:$I$304,0)))</f>
        <v/>
      </c>
      <c r="D232" s="10">
        <f>IF(A232="","",INDEX(SKUs!$E$5:$E$304,MATCH(A232,SKUs!$I$5:$I$304,0)))</f>
        <v/>
      </c>
      <c r="E232" s="10">
        <f>IF(A232="","",INDEX(SKUs!$F$5:$F$304,MATCH(A232,SKUs!$I$5:$I$304,0)))</f>
        <v/>
      </c>
      <c r="F232" s="10">
        <f>IF(A232="","",INDEX(SKUs!$G$5:$G$304,MATCH(A232,SKUs!$I$5:$I$304,0)))</f>
        <v/>
      </c>
      <c r="G232" s="11">
        <f>IF(A232="","",INDEX(SKUs!$H$5:$H$304,MATCH(A232,SKUs!$I$5:$I$304,0)))</f>
        <v/>
      </c>
      <c r="H232" s="11">
        <f>IF(A232="","",IF(SUM(SKUs!$E$5:$E$304)=0,0,D232/SUM(SKUs!$E$5:$E$304)))</f>
        <v/>
      </c>
      <c r="I232" s="11">
        <f>IF(A232="","",SUM($H$6:H232))</f>
        <v/>
      </c>
      <c r="J232" s="5">
        <f>IF(A232="","",IF(I232&gt;=$B$3,1,0))</f>
        <v/>
      </c>
    </row>
    <row r="233">
      <c r="A233" s="5">
        <f>IF(228&gt;COUNT(SKUs!$I$5:$I$304),"",228)</f>
        <v/>
      </c>
      <c r="B233" s="5">
        <f>IF(A233="","",INDEX(SKUs!$A$5:$A$304,MATCH(A233,SKUs!$I$5:$I$304,0)))</f>
        <v/>
      </c>
      <c r="C233" s="15">
        <f>IF(A233="","",INDEX(SKUs!$B$5:$B$304,MATCH(A233,SKUs!$I$5:$I$304,0)))</f>
        <v/>
      </c>
      <c r="D233" s="10">
        <f>IF(A233="","",INDEX(SKUs!$E$5:$E$304,MATCH(A233,SKUs!$I$5:$I$304,0)))</f>
        <v/>
      </c>
      <c r="E233" s="10">
        <f>IF(A233="","",INDEX(SKUs!$F$5:$F$304,MATCH(A233,SKUs!$I$5:$I$304,0)))</f>
        <v/>
      </c>
      <c r="F233" s="10">
        <f>IF(A233="","",INDEX(SKUs!$G$5:$G$304,MATCH(A233,SKUs!$I$5:$I$304,0)))</f>
        <v/>
      </c>
      <c r="G233" s="11">
        <f>IF(A233="","",INDEX(SKUs!$H$5:$H$304,MATCH(A233,SKUs!$I$5:$I$304,0)))</f>
        <v/>
      </c>
      <c r="H233" s="11">
        <f>IF(A233="","",IF(SUM(SKUs!$E$5:$E$304)=0,0,D233/SUM(SKUs!$E$5:$E$304)))</f>
        <v/>
      </c>
      <c r="I233" s="11">
        <f>IF(A233="","",SUM($H$6:H233))</f>
        <v/>
      </c>
      <c r="J233" s="5">
        <f>IF(A233="","",IF(I233&gt;=$B$3,1,0))</f>
        <v/>
      </c>
    </row>
    <row r="234">
      <c r="A234" s="5">
        <f>IF(229&gt;COUNT(SKUs!$I$5:$I$304),"",229)</f>
        <v/>
      </c>
      <c r="B234" s="5">
        <f>IF(A234="","",INDEX(SKUs!$A$5:$A$304,MATCH(A234,SKUs!$I$5:$I$304,0)))</f>
        <v/>
      </c>
      <c r="C234" s="15">
        <f>IF(A234="","",INDEX(SKUs!$B$5:$B$304,MATCH(A234,SKUs!$I$5:$I$304,0)))</f>
        <v/>
      </c>
      <c r="D234" s="10">
        <f>IF(A234="","",INDEX(SKUs!$E$5:$E$304,MATCH(A234,SKUs!$I$5:$I$304,0)))</f>
        <v/>
      </c>
      <c r="E234" s="10">
        <f>IF(A234="","",INDEX(SKUs!$F$5:$F$304,MATCH(A234,SKUs!$I$5:$I$304,0)))</f>
        <v/>
      </c>
      <c r="F234" s="10">
        <f>IF(A234="","",INDEX(SKUs!$G$5:$G$304,MATCH(A234,SKUs!$I$5:$I$304,0)))</f>
        <v/>
      </c>
      <c r="G234" s="11">
        <f>IF(A234="","",INDEX(SKUs!$H$5:$H$304,MATCH(A234,SKUs!$I$5:$I$304,0)))</f>
        <v/>
      </c>
      <c r="H234" s="11">
        <f>IF(A234="","",IF(SUM(SKUs!$E$5:$E$304)=0,0,D234/SUM(SKUs!$E$5:$E$304)))</f>
        <v/>
      </c>
      <c r="I234" s="11">
        <f>IF(A234="","",SUM($H$6:H234))</f>
        <v/>
      </c>
      <c r="J234" s="5">
        <f>IF(A234="","",IF(I234&gt;=$B$3,1,0))</f>
        <v/>
      </c>
    </row>
    <row r="235">
      <c r="A235" s="5">
        <f>IF(230&gt;COUNT(SKUs!$I$5:$I$304),"",230)</f>
        <v/>
      </c>
      <c r="B235" s="5">
        <f>IF(A235="","",INDEX(SKUs!$A$5:$A$304,MATCH(A235,SKUs!$I$5:$I$304,0)))</f>
        <v/>
      </c>
      <c r="C235" s="15">
        <f>IF(A235="","",INDEX(SKUs!$B$5:$B$304,MATCH(A235,SKUs!$I$5:$I$304,0)))</f>
        <v/>
      </c>
      <c r="D235" s="10">
        <f>IF(A235="","",INDEX(SKUs!$E$5:$E$304,MATCH(A235,SKUs!$I$5:$I$304,0)))</f>
        <v/>
      </c>
      <c r="E235" s="10">
        <f>IF(A235="","",INDEX(SKUs!$F$5:$F$304,MATCH(A235,SKUs!$I$5:$I$304,0)))</f>
        <v/>
      </c>
      <c r="F235" s="10">
        <f>IF(A235="","",INDEX(SKUs!$G$5:$G$304,MATCH(A235,SKUs!$I$5:$I$304,0)))</f>
        <v/>
      </c>
      <c r="G235" s="11">
        <f>IF(A235="","",INDEX(SKUs!$H$5:$H$304,MATCH(A235,SKUs!$I$5:$I$304,0)))</f>
        <v/>
      </c>
      <c r="H235" s="11">
        <f>IF(A235="","",IF(SUM(SKUs!$E$5:$E$304)=0,0,D235/SUM(SKUs!$E$5:$E$304)))</f>
        <v/>
      </c>
      <c r="I235" s="11">
        <f>IF(A235="","",SUM($H$6:H235))</f>
        <v/>
      </c>
      <c r="J235" s="5">
        <f>IF(A235="","",IF(I235&gt;=$B$3,1,0))</f>
        <v/>
      </c>
    </row>
    <row r="236">
      <c r="A236" s="5">
        <f>IF(231&gt;COUNT(SKUs!$I$5:$I$304),"",231)</f>
        <v/>
      </c>
      <c r="B236" s="5">
        <f>IF(A236="","",INDEX(SKUs!$A$5:$A$304,MATCH(A236,SKUs!$I$5:$I$304,0)))</f>
        <v/>
      </c>
      <c r="C236" s="15">
        <f>IF(A236="","",INDEX(SKUs!$B$5:$B$304,MATCH(A236,SKUs!$I$5:$I$304,0)))</f>
        <v/>
      </c>
      <c r="D236" s="10">
        <f>IF(A236="","",INDEX(SKUs!$E$5:$E$304,MATCH(A236,SKUs!$I$5:$I$304,0)))</f>
        <v/>
      </c>
      <c r="E236" s="10">
        <f>IF(A236="","",INDEX(SKUs!$F$5:$F$304,MATCH(A236,SKUs!$I$5:$I$304,0)))</f>
        <v/>
      </c>
      <c r="F236" s="10">
        <f>IF(A236="","",INDEX(SKUs!$G$5:$G$304,MATCH(A236,SKUs!$I$5:$I$304,0)))</f>
        <v/>
      </c>
      <c r="G236" s="11">
        <f>IF(A236="","",INDEX(SKUs!$H$5:$H$304,MATCH(A236,SKUs!$I$5:$I$304,0)))</f>
        <v/>
      </c>
      <c r="H236" s="11">
        <f>IF(A236="","",IF(SUM(SKUs!$E$5:$E$304)=0,0,D236/SUM(SKUs!$E$5:$E$304)))</f>
        <v/>
      </c>
      <c r="I236" s="11">
        <f>IF(A236="","",SUM($H$6:H236))</f>
        <v/>
      </c>
      <c r="J236" s="5">
        <f>IF(A236="","",IF(I236&gt;=$B$3,1,0))</f>
        <v/>
      </c>
    </row>
    <row r="237">
      <c r="A237" s="5">
        <f>IF(232&gt;COUNT(SKUs!$I$5:$I$304),"",232)</f>
        <v/>
      </c>
      <c r="B237" s="5">
        <f>IF(A237="","",INDEX(SKUs!$A$5:$A$304,MATCH(A237,SKUs!$I$5:$I$304,0)))</f>
        <v/>
      </c>
      <c r="C237" s="15">
        <f>IF(A237="","",INDEX(SKUs!$B$5:$B$304,MATCH(A237,SKUs!$I$5:$I$304,0)))</f>
        <v/>
      </c>
      <c r="D237" s="10">
        <f>IF(A237="","",INDEX(SKUs!$E$5:$E$304,MATCH(A237,SKUs!$I$5:$I$304,0)))</f>
        <v/>
      </c>
      <c r="E237" s="10">
        <f>IF(A237="","",INDEX(SKUs!$F$5:$F$304,MATCH(A237,SKUs!$I$5:$I$304,0)))</f>
        <v/>
      </c>
      <c r="F237" s="10">
        <f>IF(A237="","",INDEX(SKUs!$G$5:$G$304,MATCH(A237,SKUs!$I$5:$I$304,0)))</f>
        <v/>
      </c>
      <c r="G237" s="11">
        <f>IF(A237="","",INDEX(SKUs!$H$5:$H$304,MATCH(A237,SKUs!$I$5:$I$304,0)))</f>
        <v/>
      </c>
      <c r="H237" s="11">
        <f>IF(A237="","",IF(SUM(SKUs!$E$5:$E$304)=0,0,D237/SUM(SKUs!$E$5:$E$304)))</f>
        <v/>
      </c>
      <c r="I237" s="11">
        <f>IF(A237="","",SUM($H$6:H237))</f>
        <v/>
      </c>
      <c r="J237" s="5">
        <f>IF(A237="","",IF(I237&gt;=$B$3,1,0))</f>
        <v/>
      </c>
    </row>
    <row r="238">
      <c r="A238" s="5">
        <f>IF(233&gt;COUNT(SKUs!$I$5:$I$304),"",233)</f>
        <v/>
      </c>
      <c r="B238" s="5">
        <f>IF(A238="","",INDEX(SKUs!$A$5:$A$304,MATCH(A238,SKUs!$I$5:$I$304,0)))</f>
        <v/>
      </c>
      <c r="C238" s="15">
        <f>IF(A238="","",INDEX(SKUs!$B$5:$B$304,MATCH(A238,SKUs!$I$5:$I$304,0)))</f>
        <v/>
      </c>
      <c r="D238" s="10">
        <f>IF(A238="","",INDEX(SKUs!$E$5:$E$304,MATCH(A238,SKUs!$I$5:$I$304,0)))</f>
        <v/>
      </c>
      <c r="E238" s="10">
        <f>IF(A238="","",INDEX(SKUs!$F$5:$F$304,MATCH(A238,SKUs!$I$5:$I$304,0)))</f>
        <v/>
      </c>
      <c r="F238" s="10">
        <f>IF(A238="","",INDEX(SKUs!$G$5:$G$304,MATCH(A238,SKUs!$I$5:$I$304,0)))</f>
        <v/>
      </c>
      <c r="G238" s="11">
        <f>IF(A238="","",INDEX(SKUs!$H$5:$H$304,MATCH(A238,SKUs!$I$5:$I$304,0)))</f>
        <v/>
      </c>
      <c r="H238" s="11">
        <f>IF(A238="","",IF(SUM(SKUs!$E$5:$E$304)=0,0,D238/SUM(SKUs!$E$5:$E$304)))</f>
        <v/>
      </c>
      <c r="I238" s="11">
        <f>IF(A238="","",SUM($H$6:H238))</f>
        <v/>
      </c>
      <c r="J238" s="5">
        <f>IF(A238="","",IF(I238&gt;=$B$3,1,0))</f>
        <v/>
      </c>
    </row>
    <row r="239">
      <c r="A239" s="5">
        <f>IF(234&gt;COUNT(SKUs!$I$5:$I$304),"",234)</f>
        <v/>
      </c>
      <c r="B239" s="5">
        <f>IF(A239="","",INDEX(SKUs!$A$5:$A$304,MATCH(A239,SKUs!$I$5:$I$304,0)))</f>
        <v/>
      </c>
      <c r="C239" s="15">
        <f>IF(A239="","",INDEX(SKUs!$B$5:$B$304,MATCH(A239,SKUs!$I$5:$I$304,0)))</f>
        <v/>
      </c>
      <c r="D239" s="10">
        <f>IF(A239="","",INDEX(SKUs!$E$5:$E$304,MATCH(A239,SKUs!$I$5:$I$304,0)))</f>
        <v/>
      </c>
      <c r="E239" s="10">
        <f>IF(A239="","",INDEX(SKUs!$F$5:$F$304,MATCH(A239,SKUs!$I$5:$I$304,0)))</f>
        <v/>
      </c>
      <c r="F239" s="10">
        <f>IF(A239="","",INDEX(SKUs!$G$5:$G$304,MATCH(A239,SKUs!$I$5:$I$304,0)))</f>
        <v/>
      </c>
      <c r="G239" s="11">
        <f>IF(A239="","",INDEX(SKUs!$H$5:$H$304,MATCH(A239,SKUs!$I$5:$I$304,0)))</f>
        <v/>
      </c>
      <c r="H239" s="11">
        <f>IF(A239="","",IF(SUM(SKUs!$E$5:$E$304)=0,0,D239/SUM(SKUs!$E$5:$E$304)))</f>
        <v/>
      </c>
      <c r="I239" s="11">
        <f>IF(A239="","",SUM($H$6:H239))</f>
        <v/>
      </c>
      <c r="J239" s="5">
        <f>IF(A239="","",IF(I239&gt;=$B$3,1,0))</f>
        <v/>
      </c>
    </row>
    <row r="240">
      <c r="A240" s="5">
        <f>IF(235&gt;COUNT(SKUs!$I$5:$I$304),"",235)</f>
        <v/>
      </c>
      <c r="B240" s="5">
        <f>IF(A240="","",INDEX(SKUs!$A$5:$A$304,MATCH(A240,SKUs!$I$5:$I$304,0)))</f>
        <v/>
      </c>
      <c r="C240" s="15">
        <f>IF(A240="","",INDEX(SKUs!$B$5:$B$304,MATCH(A240,SKUs!$I$5:$I$304,0)))</f>
        <v/>
      </c>
      <c r="D240" s="10">
        <f>IF(A240="","",INDEX(SKUs!$E$5:$E$304,MATCH(A240,SKUs!$I$5:$I$304,0)))</f>
        <v/>
      </c>
      <c r="E240" s="10">
        <f>IF(A240="","",INDEX(SKUs!$F$5:$F$304,MATCH(A240,SKUs!$I$5:$I$304,0)))</f>
        <v/>
      </c>
      <c r="F240" s="10">
        <f>IF(A240="","",INDEX(SKUs!$G$5:$G$304,MATCH(A240,SKUs!$I$5:$I$304,0)))</f>
        <v/>
      </c>
      <c r="G240" s="11">
        <f>IF(A240="","",INDEX(SKUs!$H$5:$H$304,MATCH(A240,SKUs!$I$5:$I$304,0)))</f>
        <v/>
      </c>
      <c r="H240" s="11">
        <f>IF(A240="","",IF(SUM(SKUs!$E$5:$E$304)=0,0,D240/SUM(SKUs!$E$5:$E$304)))</f>
        <v/>
      </c>
      <c r="I240" s="11">
        <f>IF(A240="","",SUM($H$6:H240))</f>
        <v/>
      </c>
      <c r="J240" s="5">
        <f>IF(A240="","",IF(I240&gt;=$B$3,1,0))</f>
        <v/>
      </c>
    </row>
    <row r="241">
      <c r="A241" s="5">
        <f>IF(236&gt;COUNT(SKUs!$I$5:$I$304),"",236)</f>
        <v/>
      </c>
      <c r="B241" s="5">
        <f>IF(A241="","",INDEX(SKUs!$A$5:$A$304,MATCH(A241,SKUs!$I$5:$I$304,0)))</f>
        <v/>
      </c>
      <c r="C241" s="15">
        <f>IF(A241="","",INDEX(SKUs!$B$5:$B$304,MATCH(A241,SKUs!$I$5:$I$304,0)))</f>
        <v/>
      </c>
      <c r="D241" s="10">
        <f>IF(A241="","",INDEX(SKUs!$E$5:$E$304,MATCH(A241,SKUs!$I$5:$I$304,0)))</f>
        <v/>
      </c>
      <c r="E241" s="10">
        <f>IF(A241="","",INDEX(SKUs!$F$5:$F$304,MATCH(A241,SKUs!$I$5:$I$304,0)))</f>
        <v/>
      </c>
      <c r="F241" s="10">
        <f>IF(A241="","",INDEX(SKUs!$G$5:$G$304,MATCH(A241,SKUs!$I$5:$I$304,0)))</f>
        <v/>
      </c>
      <c r="G241" s="11">
        <f>IF(A241="","",INDEX(SKUs!$H$5:$H$304,MATCH(A241,SKUs!$I$5:$I$304,0)))</f>
        <v/>
      </c>
      <c r="H241" s="11">
        <f>IF(A241="","",IF(SUM(SKUs!$E$5:$E$304)=0,0,D241/SUM(SKUs!$E$5:$E$304)))</f>
        <v/>
      </c>
      <c r="I241" s="11">
        <f>IF(A241="","",SUM($H$6:H241))</f>
        <v/>
      </c>
      <c r="J241" s="5">
        <f>IF(A241="","",IF(I241&gt;=$B$3,1,0))</f>
        <v/>
      </c>
    </row>
    <row r="242">
      <c r="A242" s="5">
        <f>IF(237&gt;COUNT(SKUs!$I$5:$I$304),"",237)</f>
        <v/>
      </c>
      <c r="B242" s="5">
        <f>IF(A242="","",INDEX(SKUs!$A$5:$A$304,MATCH(A242,SKUs!$I$5:$I$304,0)))</f>
        <v/>
      </c>
      <c r="C242" s="15">
        <f>IF(A242="","",INDEX(SKUs!$B$5:$B$304,MATCH(A242,SKUs!$I$5:$I$304,0)))</f>
        <v/>
      </c>
      <c r="D242" s="10">
        <f>IF(A242="","",INDEX(SKUs!$E$5:$E$304,MATCH(A242,SKUs!$I$5:$I$304,0)))</f>
        <v/>
      </c>
      <c r="E242" s="10">
        <f>IF(A242="","",INDEX(SKUs!$F$5:$F$304,MATCH(A242,SKUs!$I$5:$I$304,0)))</f>
        <v/>
      </c>
      <c r="F242" s="10">
        <f>IF(A242="","",INDEX(SKUs!$G$5:$G$304,MATCH(A242,SKUs!$I$5:$I$304,0)))</f>
        <v/>
      </c>
      <c r="G242" s="11">
        <f>IF(A242="","",INDEX(SKUs!$H$5:$H$304,MATCH(A242,SKUs!$I$5:$I$304,0)))</f>
        <v/>
      </c>
      <c r="H242" s="11">
        <f>IF(A242="","",IF(SUM(SKUs!$E$5:$E$304)=0,0,D242/SUM(SKUs!$E$5:$E$304)))</f>
        <v/>
      </c>
      <c r="I242" s="11">
        <f>IF(A242="","",SUM($H$6:H242))</f>
        <v/>
      </c>
      <c r="J242" s="5">
        <f>IF(A242="","",IF(I242&gt;=$B$3,1,0))</f>
        <v/>
      </c>
    </row>
    <row r="243">
      <c r="A243" s="5">
        <f>IF(238&gt;COUNT(SKUs!$I$5:$I$304),"",238)</f>
        <v/>
      </c>
      <c r="B243" s="5">
        <f>IF(A243="","",INDEX(SKUs!$A$5:$A$304,MATCH(A243,SKUs!$I$5:$I$304,0)))</f>
        <v/>
      </c>
      <c r="C243" s="15">
        <f>IF(A243="","",INDEX(SKUs!$B$5:$B$304,MATCH(A243,SKUs!$I$5:$I$304,0)))</f>
        <v/>
      </c>
      <c r="D243" s="10">
        <f>IF(A243="","",INDEX(SKUs!$E$5:$E$304,MATCH(A243,SKUs!$I$5:$I$304,0)))</f>
        <v/>
      </c>
      <c r="E243" s="10">
        <f>IF(A243="","",INDEX(SKUs!$F$5:$F$304,MATCH(A243,SKUs!$I$5:$I$304,0)))</f>
        <v/>
      </c>
      <c r="F243" s="10">
        <f>IF(A243="","",INDEX(SKUs!$G$5:$G$304,MATCH(A243,SKUs!$I$5:$I$304,0)))</f>
        <v/>
      </c>
      <c r="G243" s="11">
        <f>IF(A243="","",INDEX(SKUs!$H$5:$H$304,MATCH(A243,SKUs!$I$5:$I$304,0)))</f>
        <v/>
      </c>
      <c r="H243" s="11">
        <f>IF(A243="","",IF(SUM(SKUs!$E$5:$E$304)=0,0,D243/SUM(SKUs!$E$5:$E$304)))</f>
        <v/>
      </c>
      <c r="I243" s="11">
        <f>IF(A243="","",SUM($H$6:H243))</f>
        <v/>
      </c>
      <c r="J243" s="5">
        <f>IF(A243="","",IF(I243&gt;=$B$3,1,0))</f>
        <v/>
      </c>
    </row>
    <row r="244">
      <c r="A244" s="5">
        <f>IF(239&gt;COUNT(SKUs!$I$5:$I$304),"",239)</f>
        <v/>
      </c>
      <c r="B244" s="5">
        <f>IF(A244="","",INDEX(SKUs!$A$5:$A$304,MATCH(A244,SKUs!$I$5:$I$304,0)))</f>
        <v/>
      </c>
      <c r="C244" s="15">
        <f>IF(A244="","",INDEX(SKUs!$B$5:$B$304,MATCH(A244,SKUs!$I$5:$I$304,0)))</f>
        <v/>
      </c>
      <c r="D244" s="10">
        <f>IF(A244="","",INDEX(SKUs!$E$5:$E$304,MATCH(A244,SKUs!$I$5:$I$304,0)))</f>
        <v/>
      </c>
      <c r="E244" s="10">
        <f>IF(A244="","",INDEX(SKUs!$F$5:$F$304,MATCH(A244,SKUs!$I$5:$I$304,0)))</f>
        <v/>
      </c>
      <c r="F244" s="10">
        <f>IF(A244="","",INDEX(SKUs!$G$5:$G$304,MATCH(A244,SKUs!$I$5:$I$304,0)))</f>
        <v/>
      </c>
      <c r="G244" s="11">
        <f>IF(A244="","",INDEX(SKUs!$H$5:$H$304,MATCH(A244,SKUs!$I$5:$I$304,0)))</f>
        <v/>
      </c>
      <c r="H244" s="11">
        <f>IF(A244="","",IF(SUM(SKUs!$E$5:$E$304)=0,0,D244/SUM(SKUs!$E$5:$E$304)))</f>
        <v/>
      </c>
      <c r="I244" s="11">
        <f>IF(A244="","",SUM($H$6:H244))</f>
        <v/>
      </c>
      <c r="J244" s="5">
        <f>IF(A244="","",IF(I244&gt;=$B$3,1,0))</f>
        <v/>
      </c>
    </row>
    <row r="245">
      <c r="A245" s="5">
        <f>IF(240&gt;COUNT(SKUs!$I$5:$I$304),"",240)</f>
        <v/>
      </c>
      <c r="B245" s="5">
        <f>IF(A245="","",INDEX(SKUs!$A$5:$A$304,MATCH(A245,SKUs!$I$5:$I$304,0)))</f>
        <v/>
      </c>
      <c r="C245" s="15">
        <f>IF(A245="","",INDEX(SKUs!$B$5:$B$304,MATCH(A245,SKUs!$I$5:$I$304,0)))</f>
        <v/>
      </c>
      <c r="D245" s="10">
        <f>IF(A245="","",INDEX(SKUs!$E$5:$E$304,MATCH(A245,SKUs!$I$5:$I$304,0)))</f>
        <v/>
      </c>
      <c r="E245" s="10">
        <f>IF(A245="","",INDEX(SKUs!$F$5:$F$304,MATCH(A245,SKUs!$I$5:$I$304,0)))</f>
        <v/>
      </c>
      <c r="F245" s="10">
        <f>IF(A245="","",INDEX(SKUs!$G$5:$G$304,MATCH(A245,SKUs!$I$5:$I$304,0)))</f>
        <v/>
      </c>
      <c r="G245" s="11">
        <f>IF(A245="","",INDEX(SKUs!$H$5:$H$304,MATCH(A245,SKUs!$I$5:$I$304,0)))</f>
        <v/>
      </c>
      <c r="H245" s="11">
        <f>IF(A245="","",IF(SUM(SKUs!$E$5:$E$304)=0,0,D245/SUM(SKUs!$E$5:$E$304)))</f>
        <v/>
      </c>
      <c r="I245" s="11">
        <f>IF(A245="","",SUM($H$6:H245))</f>
        <v/>
      </c>
      <c r="J245" s="5">
        <f>IF(A245="","",IF(I245&gt;=$B$3,1,0))</f>
        <v/>
      </c>
    </row>
    <row r="246">
      <c r="A246" s="5">
        <f>IF(241&gt;COUNT(SKUs!$I$5:$I$304),"",241)</f>
        <v/>
      </c>
      <c r="B246" s="5">
        <f>IF(A246="","",INDEX(SKUs!$A$5:$A$304,MATCH(A246,SKUs!$I$5:$I$304,0)))</f>
        <v/>
      </c>
      <c r="C246" s="15">
        <f>IF(A246="","",INDEX(SKUs!$B$5:$B$304,MATCH(A246,SKUs!$I$5:$I$304,0)))</f>
        <v/>
      </c>
      <c r="D246" s="10">
        <f>IF(A246="","",INDEX(SKUs!$E$5:$E$304,MATCH(A246,SKUs!$I$5:$I$304,0)))</f>
        <v/>
      </c>
      <c r="E246" s="10">
        <f>IF(A246="","",INDEX(SKUs!$F$5:$F$304,MATCH(A246,SKUs!$I$5:$I$304,0)))</f>
        <v/>
      </c>
      <c r="F246" s="10">
        <f>IF(A246="","",INDEX(SKUs!$G$5:$G$304,MATCH(A246,SKUs!$I$5:$I$304,0)))</f>
        <v/>
      </c>
      <c r="G246" s="11">
        <f>IF(A246="","",INDEX(SKUs!$H$5:$H$304,MATCH(A246,SKUs!$I$5:$I$304,0)))</f>
        <v/>
      </c>
      <c r="H246" s="11">
        <f>IF(A246="","",IF(SUM(SKUs!$E$5:$E$304)=0,0,D246/SUM(SKUs!$E$5:$E$304)))</f>
        <v/>
      </c>
      <c r="I246" s="11">
        <f>IF(A246="","",SUM($H$6:H246))</f>
        <v/>
      </c>
      <c r="J246" s="5">
        <f>IF(A246="","",IF(I246&gt;=$B$3,1,0))</f>
        <v/>
      </c>
    </row>
    <row r="247">
      <c r="A247" s="5">
        <f>IF(242&gt;COUNT(SKUs!$I$5:$I$304),"",242)</f>
        <v/>
      </c>
      <c r="B247" s="5">
        <f>IF(A247="","",INDEX(SKUs!$A$5:$A$304,MATCH(A247,SKUs!$I$5:$I$304,0)))</f>
        <v/>
      </c>
      <c r="C247" s="15">
        <f>IF(A247="","",INDEX(SKUs!$B$5:$B$304,MATCH(A247,SKUs!$I$5:$I$304,0)))</f>
        <v/>
      </c>
      <c r="D247" s="10">
        <f>IF(A247="","",INDEX(SKUs!$E$5:$E$304,MATCH(A247,SKUs!$I$5:$I$304,0)))</f>
        <v/>
      </c>
      <c r="E247" s="10">
        <f>IF(A247="","",INDEX(SKUs!$F$5:$F$304,MATCH(A247,SKUs!$I$5:$I$304,0)))</f>
        <v/>
      </c>
      <c r="F247" s="10">
        <f>IF(A247="","",INDEX(SKUs!$G$5:$G$304,MATCH(A247,SKUs!$I$5:$I$304,0)))</f>
        <v/>
      </c>
      <c r="G247" s="11">
        <f>IF(A247="","",INDEX(SKUs!$H$5:$H$304,MATCH(A247,SKUs!$I$5:$I$304,0)))</f>
        <v/>
      </c>
      <c r="H247" s="11">
        <f>IF(A247="","",IF(SUM(SKUs!$E$5:$E$304)=0,0,D247/SUM(SKUs!$E$5:$E$304)))</f>
        <v/>
      </c>
      <c r="I247" s="11">
        <f>IF(A247="","",SUM($H$6:H247))</f>
        <v/>
      </c>
      <c r="J247" s="5">
        <f>IF(A247="","",IF(I247&gt;=$B$3,1,0))</f>
        <v/>
      </c>
    </row>
    <row r="248">
      <c r="A248" s="5">
        <f>IF(243&gt;COUNT(SKUs!$I$5:$I$304),"",243)</f>
        <v/>
      </c>
      <c r="B248" s="5">
        <f>IF(A248="","",INDEX(SKUs!$A$5:$A$304,MATCH(A248,SKUs!$I$5:$I$304,0)))</f>
        <v/>
      </c>
      <c r="C248" s="15">
        <f>IF(A248="","",INDEX(SKUs!$B$5:$B$304,MATCH(A248,SKUs!$I$5:$I$304,0)))</f>
        <v/>
      </c>
      <c r="D248" s="10">
        <f>IF(A248="","",INDEX(SKUs!$E$5:$E$304,MATCH(A248,SKUs!$I$5:$I$304,0)))</f>
        <v/>
      </c>
      <c r="E248" s="10">
        <f>IF(A248="","",INDEX(SKUs!$F$5:$F$304,MATCH(A248,SKUs!$I$5:$I$304,0)))</f>
        <v/>
      </c>
      <c r="F248" s="10">
        <f>IF(A248="","",INDEX(SKUs!$G$5:$G$304,MATCH(A248,SKUs!$I$5:$I$304,0)))</f>
        <v/>
      </c>
      <c r="G248" s="11">
        <f>IF(A248="","",INDEX(SKUs!$H$5:$H$304,MATCH(A248,SKUs!$I$5:$I$304,0)))</f>
        <v/>
      </c>
      <c r="H248" s="11">
        <f>IF(A248="","",IF(SUM(SKUs!$E$5:$E$304)=0,0,D248/SUM(SKUs!$E$5:$E$304)))</f>
        <v/>
      </c>
      <c r="I248" s="11">
        <f>IF(A248="","",SUM($H$6:H248))</f>
        <v/>
      </c>
      <c r="J248" s="5">
        <f>IF(A248="","",IF(I248&gt;=$B$3,1,0))</f>
        <v/>
      </c>
    </row>
    <row r="249">
      <c r="A249" s="5">
        <f>IF(244&gt;COUNT(SKUs!$I$5:$I$304),"",244)</f>
        <v/>
      </c>
      <c r="B249" s="5">
        <f>IF(A249="","",INDEX(SKUs!$A$5:$A$304,MATCH(A249,SKUs!$I$5:$I$304,0)))</f>
        <v/>
      </c>
      <c r="C249" s="15">
        <f>IF(A249="","",INDEX(SKUs!$B$5:$B$304,MATCH(A249,SKUs!$I$5:$I$304,0)))</f>
        <v/>
      </c>
      <c r="D249" s="10">
        <f>IF(A249="","",INDEX(SKUs!$E$5:$E$304,MATCH(A249,SKUs!$I$5:$I$304,0)))</f>
        <v/>
      </c>
      <c r="E249" s="10">
        <f>IF(A249="","",INDEX(SKUs!$F$5:$F$304,MATCH(A249,SKUs!$I$5:$I$304,0)))</f>
        <v/>
      </c>
      <c r="F249" s="10">
        <f>IF(A249="","",INDEX(SKUs!$G$5:$G$304,MATCH(A249,SKUs!$I$5:$I$304,0)))</f>
        <v/>
      </c>
      <c r="G249" s="11">
        <f>IF(A249="","",INDEX(SKUs!$H$5:$H$304,MATCH(A249,SKUs!$I$5:$I$304,0)))</f>
        <v/>
      </c>
      <c r="H249" s="11">
        <f>IF(A249="","",IF(SUM(SKUs!$E$5:$E$304)=0,0,D249/SUM(SKUs!$E$5:$E$304)))</f>
        <v/>
      </c>
      <c r="I249" s="11">
        <f>IF(A249="","",SUM($H$6:H249))</f>
        <v/>
      </c>
      <c r="J249" s="5">
        <f>IF(A249="","",IF(I249&gt;=$B$3,1,0))</f>
        <v/>
      </c>
    </row>
    <row r="250">
      <c r="A250" s="5">
        <f>IF(245&gt;COUNT(SKUs!$I$5:$I$304),"",245)</f>
        <v/>
      </c>
      <c r="B250" s="5">
        <f>IF(A250="","",INDEX(SKUs!$A$5:$A$304,MATCH(A250,SKUs!$I$5:$I$304,0)))</f>
        <v/>
      </c>
      <c r="C250" s="15">
        <f>IF(A250="","",INDEX(SKUs!$B$5:$B$304,MATCH(A250,SKUs!$I$5:$I$304,0)))</f>
        <v/>
      </c>
      <c r="D250" s="10">
        <f>IF(A250="","",INDEX(SKUs!$E$5:$E$304,MATCH(A250,SKUs!$I$5:$I$304,0)))</f>
        <v/>
      </c>
      <c r="E250" s="10">
        <f>IF(A250="","",INDEX(SKUs!$F$5:$F$304,MATCH(A250,SKUs!$I$5:$I$304,0)))</f>
        <v/>
      </c>
      <c r="F250" s="10">
        <f>IF(A250="","",INDEX(SKUs!$G$5:$G$304,MATCH(A250,SKUs!$I$5:$I$304,0)))</f>
        <v/>
      </c>
      <c r="G250" s="11">
        <f>IF(A250="","",INDEX(SKUs!$H$5:$H$304,MATCH(A250,SKUs!$I$5:$I$304,0)))</f>
        <v/>
      </c>
      <c r="H250" s="11">
        <f>IF(A250="","",IF(SUM(SKUs!$E$5:$E$304)=0,0,D250/SUM(SKUs!$E$5:$E$304)))</f>
        <v/>
      </c>
      <c r="I250" s="11">
        <f>IF(A250="","",SUM($H$6:H250))</f>
        <v/>
      </c>
      <c r="J250" s="5">
        <f>IF(A250="","",IF(I250&gt;=$B$3,1,0))</f>
        <v/>
      </c>
    </row>
    <row r="251">
      <c r="A251" s="5">
        <f>IF(246&gt;COUNT(SKUs!$I$5:$I$304),"",246)</f>
        <v/>
      </c>
      <c r="B251" s="5">
        <f>IF(A251="","",INDEX(SKUs!$A$5:$A$304,MATCH(A251,SKUs!$I$5:$I$304,0)))</f>
        <v/>
      </c>
      <c r="C251" s="15">
        <f>IF(A251="","",INDEX(SKUs!$B$5:$B$304,MATCH(A251,SKUs!$I$5:$I$304,0)))</f>
        <v/>
      </c>
      <c r="D251" s="10">
        <f>IF(A251="","",INDEX(SKUs!$E$5:$E$304,MATCH(A251,SKUs!$I$5:$I$304,0)))</f>
        <v/>
      </c>
      <c r="E251" s="10">
        <f>IF(A251="","",INDEX(SKUs!$F$5:$F$304,MATCH(A251,SKUs!$I$5:$I$304,0)))</f>
        <v/>
      </c>
      <c r="F251" s="10">
        <f>IF(A251="","",INDEX(SKUs!$G$5:$G$304,MATCH(A251,SKUs!$I$5:$I$304,0)))</f>
        <v/>
      </c>
      <c r="G251" s="11">
        <f>IF(A251="","",INDEX(SKUs!$H$5:$H$304,MATCH(A251,SKUs!$I$5:$I$304,0)))</f>
        <v/>
      </c>
      <c r="H251" s="11">
        <f>IF(A251="","",IF(SUM(SKUs!$E$5:$E$304)=0,0,D251/SUM(SKUs!$E$5:$E$304)))</f>
        <v/>
      </c>
      <c r="I251" s="11">
        <f>IF(A251="","",SUM($H$6:H251))</f>
        <v/>
      </c>
      <c r="J251" s="5">
        <f>IF(A251="","",IF(I251&gt;=$B$3,1,0))</f>
        <v/>
      </c>
    </row>
    <row r="252">
      <c r="A252" s="5">
        <f>IF(247&gt;COUNT(SKUs!$I$5:$I$304),"",247)</f>
        <v/>
      </c>
      <c r="B252" s="5">
        <f>IF(A252="","",INDEX(SKUs!$A$5:$A$304,MATCH(A252,SKUs!$I$5:$I$304,0)))</f>
        <v/>
      </c>
      <c r="C252" s="15">
        <f>IF(A252="","",INDEX(SKUs!$B$5:$B$304,MATCH(A252,SKUs!$I$5:$I$304,0)))</f>
        <v/>
      </c>
      <c r="D252" s="10">
        <f>IF(A252="","",INDEX(SKUs!$E$5:$E$304,MATCH(A252,SKUs!$I$5:$I$304,0)))</f>
        <v/>
      </c>
      <c r="E252" s="10">
        <f>IF(A252="","",INDEX(SKUs!$F$5:$F$304,MATCH(A252,SKUs!$I$5:$I$304,0)))</f>
        <v/>
      </c>
      <c r="F252" s="10">
        <f>IF(A252="","",INDEX(SKUs!$G$5:$G$304,MATCH(A252,SKUs!$I$5:$I$304,0)))</f>
        <v/>
      </c>
      <c r="G252" s="11">
        <f>IF(A252="","",INDEX(SKUs!$H$5:$H$304,MATCH(A252,SKUs!$I$5:$I$304,0)))</f>
        <v/>
      </c>
      <c r="H252" s="11">
        <f>IF(A252="","",IF(SUM(SKUs!$E$5:$E$304)=0,0,D252/SUM(SKUs!$E$5:$E$304)))</f>
        <v/>
      </c>
      <c r="I252" s="11">
        <f>IF(A252="","",SUM($H$6:H252))</f>
        <v/>
      </c>
      <c r="J252" s="5">
        <f>IF(A252="","",IF(I252&gt;=$B$3,1,0))</f>
        <v/>
      </c>
    </row>
    <row r="253">
      <c r="A253" s="5">
        <f>IF(248&gt;COUNT(SKUs!$I$5:$I$304),"",248)</f>
        <v/>
      </c>
      <c r="B253" s="5">
        <f>IF(A253="","",INDEX(SKUs!$A$5:$A$304,MATCH(A253,SKUs!$I$5:$I$304,0)))</f>
        <v/>
      </c>
      <c r="C253" s="15">
        <f>IF(A253="","",INDEX(SKUs!$B$5:$B$304,MATCH(A253,SKUs!$I$5:$I$304,0)))</f>
        <v/>
      </c>
      <c r="D253" s="10">
        <f>IF(A253="","",INDEX(SKUs!$E$5:$E$304,MATCH(A253,SKUs!$I$5:$I$304,0)))</f>
        <v/>
      </c>
      <c r="E253" s="10">
        <f>IF(A253="","",INDEX(SKUs!$F$5:$F$304,MATCH(A253,SKUs!$I$5:$I$304,0)))</f>
        <v/>
      </c>
      <c r="F253" s="10">
        <f>IF(A253="","",INDEX(SKUs!$G$5:$G$304,MATCH(A253,SKUs!$I$5:$I$304,0)))</f>
        <v/>
      </c>
      <c r="G253" s="11">
        <f>IF(A253="","",INDEX(SKUs!$H$5:$H$304,MATCH(A253,SKUs!$I$5:$I$304,0)))</f>
        <v/>
      </c>
      <c r="H253" s="11">
        <f>IF(A253="","",IF(SUM(SKUs!$E$5:$E$304)=0,0,D253/SUM(SKUs!$E$5:$E$304)))</f>
        <v/>
      </c>
      <c r="I253" s="11">
        <f>IF(A253="","",SUM($H$6:H253))</f>
        <v/>
      </c>
      <c r="J253" s="5">
        <f>IF(A253="","",IF(I253&gt;=$B$3,1,0))</f>
        <v/>
      </c>
    </row>
    <row r="254">
      <c r="A254" s="5">
        <f>IF(249&gt;COUNT(SKUs!$I$5:$I$304),"",249)</f>
        <v/>
      </c>
      <c r="B254" s="5">
        <f>IF(A254="","",INDEX(SKUs!$A$5:$A$304,MATCH(A254,SKUs!$I$5:$I$304,0)))</f>
        <v/>
      </c>
      <c r="C254" s="15">
        <f>IF(A254="","",INDEX(SKUs!$B$5:$B$304,MATCH(A254,SKUs!$I$5:$I$304,0)))</f>
        <v/>
      </c>
      <c r="D254" s="10">
        <f>IF(A254="","",INDEX(SKUs!$E$5:$E$304,MATCH(A254,SKUs!$I$5:$I$304,0)))</f>
        <v/>
      </c>
      <c r="E254" s="10">
        <f>IF(A254="","",INDEX(SKUs!$F$5:$F$304,MATCH(A254,SKUs!$I$5:$I$304,0)))</f>
        <v/>
      </c>
      <c r="F254" s="10">
        <f>IF(A254="","",INDEX(SKUs!$G$5:$G$304,MATCH(A254,SKUs!$I$5:$I$304,0)))</f>
        <v/>
      </c>
      <c r="G254" s="11">
        <f>IF(A254="","",INDEX(SKUs!$H$5:$H$304,MATCH(A254,SKUs!$I$5:$I$304,0)))</f>
        <v/>
      </c>
      <c r="H254" s="11">
        <f>IF(A254="","",IF(SUM(SKUs!$E$5:$E$304)=0,0,D254/SUM(SKUs!$E$5:$E$304)))</f>
        <v/>
      </c>
      <c r="I254" s="11">
        <f>IF(A254="","",SUM($H$6:H254))</f>
        <v/>
      </c>
      <c r="J254" s="5">
        <f>IF(A254="","",IF(I254&gt;=$B$3,1,0))</f>
        <v/>
      </c>
    </row>
    <row r="255">
      <c r="A255" s="5">
        <f>IF(250&gt;COUNT(SKUs!$I$5:$I$304),"",250)</f>
        <v/>
      </c>
      <c r="B255" s="5">
        <f>IF(A255="","",INDEX(SKUs!$A$5:$A$304,MATCH(A255,SKUs!$I$5:$I$304,0)))</f>
        <v/>
      </c>
      <c r="C255" s="15">
        <f>IF(A255="","",INDEX(SKUs!$B$5:$B$304,MATCH(A255,SKUs!$I$5:$I$304,0)))</f>
        <v/>
      </c>
      <c r="D255" s="10">
        <f>IF(A255="","",INDEX(SKUs!$E$5:$E$304,MATCH(A255,SKUs!$I$5:$I$304,0)))</f>
        <v/>
      </c>
      <c r="E255" s="10">
        <f>IF(A255="","",INDEX(SKUs!$F$5:$F$304,MATCH(A255,SKUs!$I$5:$I$304,0)))</f>
        <v/>
      </c>
      <c r="F255" s="10">
        <f>IF(A255="","",INDEX(SKUs!$G$5:$G$304,MATCH(A255,SKUs!$I$5:$I$304,0)))</f>
        <v/>
      </c>
      <c r="G255" s="11">
        <f>IF(A255="","",INDEX(SKUs!$H$5:$H$304,MATCH(A255,SKUs!$I$5:$I$304,0)))</f>
        <v/>
      </c>
      <c r="H255" s="11">
        <f>IF(A255="","",IF(SUM(SKUs!$E$5:$E$304)=0,0,D255/SUM(SKUs!$E$5:$E$304)))</f>
        <v/>
      </c>
      <c r="I255" s="11">
        <f>IF(A255="","",SUM($H$6:H255))</f>
        <v/>
      </c>
      <c r="J255" s="5">
        <f>IF(A255="","",IF(I255&gt;=$B$3,1,0))</f>
        <v/>
      </c>
    </row>
    <row r="256">
      <c r="A256" s="5">
        <f>IF(251&gt;COUNT(SKUs!$I$5:$I$304),"",251)</f>
        <v/>
      </c>
      <c r="B256" s="5">
        <f>IF(A256="","",INDEX(SKUs!$A$5:$A$304,MATCH(A256,SKUs!$I$5:$I$304,0)))</f>
        <v/>
      </c>
      <c r="C256" s="15">
        <f>IF(A256="","",INDEX(SKUs!$B$5:$B$304,MATCH(A256,SKUs!$I$5:$I$304,0)))</f>
        <v/>
      </c>
      <c r="D256" s="10">
        <f>IF(A256="","",INDEX(SKUs!$E$5:$E$304,MATCH(A256,SKUs!$I$5:$I$304,0)))</f>
        <v/>
      </c>
      <c r="E256" s="10">
        <f>IF(A256="","",INDEX(SKUs!$F$5:$F$304,MATCH(A256,SKUs!$I$5:$I$304,0)))</f>
        <v/>
      </c>
      <c r="F256" s="10">
        <f>IF(A256="","",INDEX(SKUs!$G$5:$G$304,MATCH(A256,SKUs!$I$5:$I$304,0)))</f>
        <v/>
      </c>
      <c r="G256" s="11">
        <f>IF(A256="","",INDEX(SKUs!$H$5:$H$304,MATCH(A256,SKUs!$I$5:$I$304,0)))</f>
        <v/>
      </c>
      <c r="H256" s="11">
        <f>IF(A256="","",IF(SUM(SKUs!$E$5:$E$304)=0,0,D256/SUM(SKUs!$E$5:$E$304)))</f>
        <v/>
      </c>
      <c r="I256" s="11">
        <f>IF(A256="","",SUM($H$6:H256))</f>
        <v/>
      </c>
      <c r="J256" s="5">
        <f>IF(A256="","",IF(I256&gt;=$B$3,1,0))</f>
        <v/>
      </c>
    </row>
    <row r="257">
      <c r="A257" s="5">
        <f>IF(252&gt;COUNT(SKUs!$I$5:$I$304),"",252)</f>
        <v/>
      </c>
      <c r="B257" s="5">
        <f>IF(A257="","",INDEX(SKUs!$A$5:$A$304,MATCH(A257,SKUs!$I$5:$I$304,0)))</f>
        <v/>
      </c>
      <c r="C257" s="15">
        <f>IF(A257="","",INDEX(SKUs!$B$5:$B$304,MATCH(A257,SKUs!$I$5:$I$304,0)))</f>
        <v/>
      </c>
      <c r="D257" s="10">
        <f>IF(A257="","",INDEX(SKUs!$E$5:$E$304,MATCH(A257,SKUs!$I$5:$I$304,0)))</f>
        <v/>
      </c>
      <c r="E257" s="10">
        <f>IF(A257="","",INDEX(SKUs!$F$5:$F$304,MATCH(A257,SKUs!$I$5:$I$304,0)))</f>
        <v/>
      </c>
      <c r="F257" s="10">
        <f>IF(A257="","",INDEX(SKUs!$G$5:$G$304,MATCH(A257,SKUs!$I$5:$I$304,0)))</f>
        <v/>
      </c>
      <c r="G257" s="11">
        <f>IF(A257="","",INDEX(SKUs!$H$5:$H$304,MATCH(A257,SKUs!$I$5:$I$304,0)))</f>
        <v/>
      </c>
      <c r="H257" s="11">
        <f>IF(A257="","",IF(SUM(SKUs!$E$5:$E$304)=0,0,D257/SUM(SKUs!$E$5:$E$304)))</f>
        <v/>
      </c>
      <c r="I257" s="11">
        <f>IF(A257="","",SUM($H$6:H257))</f>
        <v/>
      </c>
      <c r="J257" s="5">
        <f>IF(A257="","",IF(I257&gt;=$B$3,1,0))</f>
        <v/>
      </c>
    </row>
    <row r="258">
      <c r="A258" s="5">
        <f>IF(253&gt;COUNT(SKUs!$I$5:$I$304),"",253)</f>
        <v/>
      </c>
      <c r="B258" s="5">
        <f>IF(A258="","",INDEX(SKUs!$A$5:$A$304,MATCH(A258,SKUs!$I$5:$I$304,0)))</f>
        <v/>
      </c>
      <c r="C258" s="15">
        <f>IF(A258="","",INDEX(SKUs!$B$5:$B$304,MATCH(A258,SKUs!$I$5:$I$304,0)))</f>
        <v/>
      </c>
      <c r="D258" s="10">
        <f>IF(A258="","",INDEX(SKUs!$E$5:$E$304,MATCH(A258,SKUs!$I$5:$I$304,0)))</f>
        <v/>
      </c>
      <c r="E258" s="10">
        <f>IF(A258="","",INDEX(SKUs!$F$5:$F$304,MATCH(A258,SKUs!$I$5:$I$304,0)))</f>
        <v/>
      </c>
      <c r="F258" s="10">
        <f>IF(A258="","",INDEX(SKUs!$G$5:$G$304,MATCH(A258,SKUs!$I$5:$I$304,0)))</f>
        <v/>
      </c>
      <c r="G258" s="11">
        <f>IF(A258="","",INDEX(SKUs!$H$5:$H$304,MATCH(A258,SKUs!$I$5:$I$304,0)))</f>
        <v/>
      </c>
      <c r="H258" s="11">
        <f>IF(A258="","",IF(SUM(SKUs!$E$5:$E$304)=0,0,D258/SUM(SKUs!$E$5:$E$304)))</f>
        <v/>
      </c>
      <c r="I258" s="11">
        <f>IF(A258="","",SUM($H$6:H258))</f>
        <v/>
      </c>
      <c r="J258" s="5">
        <f>IF(A258="","",IF(I258&gt;=$B$3,1,0))</f>
        <v/>
      </c>
    </row>
    <row r="259">
      <c r="A259" s="5">
        <f>IF(254&gt;COUNT(SKUs!$I$5:$I$304),"",254)</f>
        <v/>
      </c>
      <c r="B259" s="5">
        <f>IF(A259="","",INDEX(SKUs!$A$5:$A$304,MATCH(A259,SKUs!$I$5:$I$304,0)))</f>
        <v/>
      </c>
      <c r="C259" s="15">
        <f>IF(A259="","",INDEX(SKUs!$B$5:$B$304,MATCH(A259,SKUs!$I$5:$I$304,0)))</f>
        <v/>
      </c>
      <c r="D259" s="10">
        <f>IF(A259="","",INDEX(SKUs!$E$5:$E$304,MATCH(A259,SKUs!$I$5:$I$304,0)))</f>
        <v/>
      </c>
      <c r="E259" s="10">
        <f>IF(A259="","",INDEX(SKUs!$F$5:$F$304,MATCH(A259,SKUs!$I$5:$I$304,0)))</f>
        <v/>
      </c>
      <c r="F259" s="10">
        <f>IF(A259="","",INDEX(SKUs!$G$5:$G$304,MATCH(A259,SKUs!$I$5:$I$304,0)))</f>
        <v/>
      </c>
      <c r="G259" s="11">
        <f>IF(A259="","",INDEX(SKUs!$H$5:$H$304,MATCH(A259,SKUs!$I$5:$I$304,0)))</f>
        <v/>
      </c>
      <c r="H259" s="11">
        <f>IF(A259="","",IF(SUM(SKUs!$E$5:$E$304)=0,0,D259/SUM(SKUs!$E$5:$E$304)))</f>
        <v/>
      </c>
      <c r="I259" s="11">
        <f>IF(A259="","",SUM($H$6:H259))</f>
        <v/>
      </c>
      <c r="J259" s="5">
        <f>IF(A259="","",IF(I259&gt;=$B$3,1,0))</f>
        <v/>
      </c>
    </row>
    <row r="260">
      <c r="A260" s="5">
        <f>IF(255&gt;COUNT(SKUs!$I$5:$I$304),"",255)</f>
        <v/>
      </c>
      <c r="B260" s="5">
        <f>IF(A260="","",INDEX(SKUs!$A$5:$A$304,MATCH(A260,SKUs!$I$5:$I$304,0)))</f>
        <v/>
      </c>
      <c r="C260" s="15">
        <f>IF(A260="","",INDEX(SKUs!$B$5:$B$304,MATCH(A260,SKUs!$I$5:$I$304,0)))</f>
        <v/>
      </c>
      <c r="D260" s="10">
        <f>IF(A260="","",INDEX(SKUs!$E$5:$E$304,MATCH(A260,SKUs!$I$5:$I$304,0)))</f>
        <v/>
      </c>
      <c r="E260" s="10">
        <f>IF(A260="","",INDEX(SKUs!$F$5:$F$304,MATCH(A260,SKUs!$I$5:$I$304,0)))</f>
        <v/>
      </c>
      <c r="F260" s="10">
        <f>IF(A260="","",INDEX(SKUs!$G$5:$G$304,MATCH(A260,SKUs!$I$5:$I$304,0)))</f>
        <v/>
      </c>
      <c r="G260" s="11">
        <f>IF(A260="","",INDEX(SKUs!$H$5:$H$304,MATCH(A260,SKUs!$I$5:$I$304,0)))</f>
        <v/>
      </c>
      <c r="H260" s="11">
        <f>IF(A260="","",IF(SUM(SKUs!$E$5:$E$304)=0,0,D260/SUM(SKUs!$E$5:$E$304)))</f>
        <v/>
      </c>
      <c r="I260" s="11">
        <f>IF(A260="","",SUM($H$6:H260))</f>
        <v/>
      </c>
      <c r="J260" s="5">
        <f>IF(A260="","",IF(I260&gt;=$B$3,1,0))</f>
        <v/>
      </c>
    </row>
    <row r="261">
      <c r="A261" s="5">
        <f>IF(256&gt;COUNT(SKUs!$I$5:$I$304),"",256)</f>
        <v/>
      </c>
      <c r="B261" s="5">
        <f>IF(A261="","",INDEX(SKUs!$A$5:$A$304,MATCH(A261,SKUs!$I$5:$I$304,0)))</f>
        <v/>
      </c>
      <c r="C261" s="15">
        <f>IF(A261="","",INDEX(SKUs!$B$5:$B$304,MATCH(A261,SKUs!$I$5:$I$304,0)))</f>
        <v/>
      </c>
      <c r="D261" s="10">
        <f>IF(A261="","",INDEX(SKUs!$E$5:$E$304,MATCH(A261,SKUs!$I$5:$I$304,0)))</f>
        <v/>
      </c>
      <c r="E261" s="10">
        <f>IF(A261="","",INDEX(SKUs!$F$5:$F$304,MATCH(A261,SKUs!$I$5:$I$304,0)))</f>
        <v/>
      </c>
      <c r="F261" s="10">
        <f>IF(A261="","",INDEX(SKUs!$G$5:$G$304,MATCH(A261,SKUs!$I$5:$I$304,0)))</f>
        <v/>
      </c>
      <c r="G261" s="11">
        <f>IF(A261="","",INDEX(SKUs!$H$5:$H$304,MATCH(A261,SKUs!$I$5:$I$304,0)))</f>
        <v/>
      </c>
      <c r="H261" s="11">
        <f>IF(A261="","",IF(SUM(SKUs!$E$5:$E$304)=0,0,D261/SUM(SKUs!$E$5:$E$304)))</f>
        <v/>
      </c>
      <c r="I261" s="11">
        <f>IF(A261="","",SUM($H$6:H261))</f>
        <v/>
      </c>
      <c r="J261" s="5">
        <f>IF(A261="","",IF(I261&gt;=$B$3,1,0))</f>
        <v/>
      </c>
    </row>
    <row r="262">
      <c r="A262" s="5">
        <f>IF(257&gt;COUNT(SKUs!$I$5:$I$304),"",257)</f>
        <v/>
      </c>
      <c r="B262" s="5">
        <f>IF(A262="","",INDEX(SKUs!$A$5:$A$304,MATCH(A262,SKUs!$I$5:$I$304,0)))</f>
        <v/>
      </c>
      <c r="C262" s="15">
        <f>IF(A262="","",INDEX(SKUs!$B$5:$B$304,MATCH(A262,SKUs!$I$5:$I$304,0)))</f>
        <v/>
      </c>
      <c r="D262" s="10">
        <f>IF(A262="","",INDEX(SKUs!$E$5:$E$304,MATCH(A262,SKUs!$I$5:$I$304,0)))</f>
        <v/>
      </c>
      <c r="E262" s="10">
        <f>IF(A262="","",INDEX(SKUs!$F$5:$F$304,MATCH(A262,SKUs!$I$5:$I$304,0)))</f>
        <v/>
      </c>
      <c r="F262" s="10">
        <f>IF(A262="","",INDEX(SKUs!$G$5:$G$304,MATCH(A262,SKUs!$I$5:$I$304,0)))</f>
        <v/>
      </c>
      <c r="G262" s="11">
        <f>IF(A262="","",INDEX(SKUs!$H$5:$H$304,MATCH(A262,SKUs!$I$5:$I$304,0)))</f>
        <v/>
      </c>
      <c r="H262" s="11">
        <f>IF(A262="","",IF(SUM(SKUs!$E$5:$E$304)=0,0,D262/SUM(SKUs!$E$5:$E$304)))</f>
        <v/>
      </c>
      <c r="I262" s="11">
        <f>IF(A262="","",SUM($H$6:H262))</f>
        <v/>
      </c>
      <c r="J262" s="5">
        <f>IF(A262="","",IF(I262&gt;=$B$3,1,0))</f>
        <v/>
      </c>
    </row>
    <row r="263">
      <c r="A263" s="5">
        <f>IF(258&gt;COUNT(SKUs!$I$5:$I$304),"",258)</f>
        <v/>
      </c>
      <c r="B263" s="5">
        <f>IF(A263="","",INDEX(SKUs!$A$5:$A$304,MATCH(A263,SKUs!$I$5:$I$304,0)))</f>
        <v/>
      </c>
      <c r="C263" s="15">
        <f>IF(A263="","",INDEX(SKUs!$B$5:$B$304,MATCH(A263,SKUs!$I$5:$I$304,0)))</f>
        <v/>
      </c>
      <c r="D263" s="10">
        <f>IF(A263="","",INDEX(SKUs!$E$5:$E$304,MATCH(A263,SKUs!$I$5:$I$304,0)))</f>
        <v/>
      </c>
      <c r="E263" s="10">
        <f>IF(A263="","",INDEX(SKUs!$F$5:$F$304,MATCH(A263,SKUs!$I$5:$I$304,0)))</f>
        <v/>
      </c>
      <c r="F263" s="10">
        <f>IF(A263="","",INDEX(SKUs!$G$5:$G$304,MATCH(A263,SKUs!$I$5:$I$304,0)))</f>
        <v/>
      </c>
      <c r="G263" s="11">
        <f>IF(A263="","",INDEX(SKUs!$H$5:$H$304,MATCH(A263,SKUs!$I$5:$I$304,0)))</f>
        <v/>
      </c>
      <c r="H263" s="11">
        <f>IF(A263="","",IF(SUM(SKUs!$E$5:$E$304)=0,0,D263/SUM(SKUs!$E$5:$E$304)))</f>
        <v/>
      </c>
      <c r="I263" s="11">
        <f>IF(A263="","",SUM($H$6:H263))</f>
        <v/>
      </c>
      <c r="J263" s="5">
        <f>IF(A263="","",IF(I263&gt;=$B$3,1,0))</f>
        <v/>
      </c>
    </row>
    <row r="264">
      <c r="A264" s="5">
        <f>IF(259&gt;COUNT(SKUs!$I$5:$I$304),"",259)</f>
        <v/>
      </c>
      <c r="B264" s="5">
        <f>IF(A264="","",INDEX(SKUs!$A$5:$A$304,MATCH(A264,SKUs!$I$5:$I$304,0)))</f>
        <v/>
      </c>
      <c r="C264" s="15">
        <f>IF(A264="","",INDEX(SKUs!$B$5:$B$304,MATCH(A264,SKUs!$I$5:$I$304,0)))</f>
        <v/>
      </c>
      <c r="D264" s="10">
        <f>IF(A264="","",INDEX(SKUs!$E$5:$E$304,MATCH(A264,SKUs!$I$5:$I$304,0)))</f>
        <v/>
      </c>
      <c r="E264" s="10">
        <f>IF(A264="","",INDEX(SKUs!$F$5:$F$304,MATCH(A264,SKUs!$I$5:$I$304,0)))</f>
        <v/>
      </c>
      <c r="F264" s="10">
        <f>IF(A264="","",INDEX(SKUs!$G$5:$G$304,MATCH(A264,SKUs!$I$5:$I$304,0)))</f>
        <v/>
      </c>
      <c r="G264" s="11">
        <f>IF(A264="","",INDEX(SKUs!$H$5:$H$304,MATCH(A264,SKUs!$I$5:$I$304,0)))</f>
        <v/>
      </c>
      <c r="H264" s="11">
        <f>IF(A264="","",IF(SUM(SKUs!$E$5:$E$304)=0,0,D264/SUM(SKUs!$E$5:$E$304)))</f>
        <v/>
      </c>
      <c r="I264" s="11">
        <f>IF(A264="","",SUM($H$6:H264))</f>
        <v/>
      </c>
      <c r="J264" s="5">
        <f>IF(A264="","",IF(I264&gt;=$B$3,1,0))</f>
        <v/>
      </c>
    </row>
    <row r="265">
      <c r="A265" s="5">
        <f>IF(260&gt;COUNT(SKUs!$I$5:$I$304),"",260)</f>
        <v/>
      </c>
      <c r="B265" s="5">
        <f>IF(A265="","",INDEX(SKUs!$A$5:$A$304,MATCH(A265,SKUs!$I$5:$I$304,0)))</f>
        <v/>
      </c>
      <c r="C265" s="15">
        <f>IF(A265="","",INDEX(SKUs!$B$5:$B$304,MATCH(A265,SKUs!$I$5:$I$304,0)))</f>
        <v/>
      </c>
      <c r="D265" s="10">
        <f>IF(A265="","",INDEX(SKUs!$E$5:$E$304,MATCH(A265,SKUs!$I$5:$I$304,0)))</f>
        <v/>
      </c>
      <c r="E265" s="10">
        <f>IF(A265="","",INDEX(SKUs!$F$5:$F$304,MATCH(A265,SKUs!$I$5:$I$304,0)))</f>
        <v/>
      </c>
      <c r="F265" s="10">
        <f>IF(A265="","",INDEX(SKUs!$G$5:$G$304,MATCH(A265,SKUs!$I$5:$I$304,0)))</f>
        <v/>
      </c>
      <c r="G265" s="11">
        <f>IF(A265="","",INDEX(SKUs!$H$5:$H$304,MATCH(A265,SKUs!$I$5:$I$304,0)))</f>
        <v/>
      </c>
      <c r="H265" s="11">
        <f>IF(A265="","",IF(SUM(SKUs!$E$5:$E$304)=0,0,D265/SUM(SKUs!$E$5:$E$304)))</f>
        <v/>
      </c>
      <c r="I265" s="11">
        <f>IF(A265="","",SUM($H$6:H265))</f>
        <v/>
      </c>
      <c r="J265" s="5">
        <f>IF(A265="","",IF(I265&gt;=$B$3,1,0))</f>
        <v/>
      </c>
    </row>
    <row r="266">
      <c r="A266" s="5">
        <f>IF(261&gt;COUNT(SKUs!$I$5:$I$304),"",261)</f>
        <v/>
      </c>
      <c r="B266" s="5">
        <f>IF(A266="","",INDEX(SKUs!$A$5:$A$304,MATCH(A266,SKUs!$I$5:$I$304,0)))</f>
        <v/>
      </c>
      <c r="C266" s="15">
        <f>IF(A266="","",INDEX(SKUs!$B$5:$B$304,MATCH(A266,SKUs!$I$5:$I$304,0)))</f>
        <v/>
      </c>
      <c r="D266" s="10">
        <f>IF(A266="","",INDEX(SKUs!$E$5:$E$304,MATCH(A266,SKUs!$I$5:$I$304,0)))</f>
        <v/>
      </c>
      <c r="E266" s="10">
        <f>IF(A266="","",INDEX(SKUs!$F$5:$F$304,MATCH(A266,SKUs!$I$5:$I$304,0)))</f>
        <v/>
      </c>
      <c r="F266" s="10">
        <f>IF(A266="","",INDEX(SKUs!$G$5:$G$304,MATCH(A266,SKUs!$I$5:$I$304,0)))</f>
        <v/>
      </c>
      <c r="G266" s="11">
        <f>IF(A266="","",INDEX(SKUs!$H$5:$H$304,MATCH(A266,SKUs!$I$5:$I$304,0)))</f>
        <v/>
      </c>
      <c r="H266" s="11">
        <f>IF(A266="","",IF(SUM(SKUs!$E$5:$E$304)=0,0,D266/SUM(SKUs!$E$5:$E$304)))</f>
        <v/>
      </c>
      <c r="I266" s="11">
        <f>IF(A266="","",SUM($H$6:H266))</f>
        <v/>
      </c>
      <c r="J266" s="5">
        <f>IF(A266="","",IF(I266&gt;=$B$3,1,0))</f>
        <v/>
      </c>
    </row>
    <row r="267">
      <c r="A267" s="5">
        <f>IF(262&gt;COUNT(SKUs!$I$5:$I$304),"",262)</f>
        <v/>
      </c>
      <c r="B267" s="5">
        <f>IF(A267="","",INDEX(SKUs!$A$5:$A$304,MATCH(A267,SKUs!$I$5:$I$304,0)))</f>
        <v/>
      </c>
      <c r="C267" s="15">
        <f>IF(A267="","",INDEX(SKUs!$B$5:$B$304,MATCH(A267,SKUs!$I$5:$I$304,0)))</f>
        <v/>
      </c>
      <c r="D267" s="10">
        <f>IF(A267="","",INDEX(SKUs!$E$5:$E$304,MATCH(A267,SKUs!$I$5:$I$304,0)))</f>
        <v/>
      </c>
      <c r="E267" s="10">
        <f>IF(A267="","",INDEX(SKUs!$F$5:$F$304,MATCH(A267,SKUs!$I$5:$I$304,0)))</f>
        <v/>
      </c>
      <c r="F267" s="10">
        <f>IF(A267="","",INDEX(SKUs!$G$5:$G$304,MATCH(A267,SKUs!$I$5:$I$304,0)))</f>
        <v/>
      </c>
      <c r="G267" s="11">
        <f>IF(A267="","",INDEX(SKUs!$H$5:$H$304,MATCH(A267,SKUs!$I$5:$I$304,0)))</f>
        <v/>
      </c>
      <c r="H267" s="11">
        <f>IF(A267="","",IF(SUM(SKUs!$E$5:$E$304)=0,0,D267/SUM(SKUs!$E$5:$E$304)))</f>
        <v/>
      </c>
      <c r="I267" s="11">
        <f>IF(A267="","",SUM($H$6:H267))</f>
        <v/>
      </c>
      <c r="J267" s="5">
        <f>IF(A267="","",IF(I267&gt;=$B$3,1,0))</f>
        <v/>
      </c>
    </row>
    <row r="268">
      <c r="A268" s="5">
        <f>IF(263&gt;COUNT(SKUs!$I$5:$I$304),"",263)</f>
        <v/>
      </c>
      <c r="B268" s="5">
        <f>IF(A268="","",INDEX(SKUs!$A$5:$A$304,MATCH(A268,SKUs!$I$5:$I$304,0)))</f>
        <v/>
      </c>
      <c r="C268" s="15">
        <f>IF(A268="","",INDEX(SKUs!$B$5:$B$304,MATCH(A268,SKUs!$I$5:$I$304,0)))</f>
        <v/>
      </c>
      <c r="D268" s="10">
        <f>IF(A268="","",INDEX(SKUs!$E$5:$E$304,MATCH(A268,SKUs!$I$5:$I$304,0)))</f>
        <v/>
      </c>
      <c r="E268" s="10">
        <f>IF(A268="","",INDEX(SKUs!$F$5:$F$304,MATCH(A268,SKUs!$I$5:$I$304,0)))</f>
        <v/>
      </c>
      <c r="F268" s="10">
        <f>IF(A268="","",INDEX(SKUs!$G$5:$G$304,MATCH(A268,SKUs!$I$5:$I$304,0)))</f>
        <v/>
      </c>
      <c r="G268" s="11">
        <f>IF(A268="","",INDEX(SKUs!$H$5:$H$304,MATCH(A268,SKUs!$I$5:$I$304,0)))</f>
        <v/>
      </c>
      <c r="H268" s="11">
        <f>IF(A268="","",IF(SUM(SKUs!$E$5:$E$304)=0,0,D268/SUM(SKUs!$E$5:$E$304)))</f>
        <v/>
      </c>
      <c r="I268" s="11">
        <f>IF(A268="","",SUM($H$6:H268))</f>
        <v/>
      </c>
      <c r="J268" s="5">
        <f>IF(A268="","",IF(I268&gt;=$B$3,1,0))</f>
        <v/>
      </c>
    </row>
    <row r="269">
      <c r="A269" s="5">
        <f>IF(264&gt;COUNT(SKUs!$I$5:$I$304),"",264)</f>
        <v/>
      </c>
      <c r="B269" s="5">
        <f>IF(A269="","",INDEX(SKUs!$A$5:$A$304,MATCH(A269,SKUs!$I$5:$I$304,0)))</f>
        <v/>
      </c>
      <c r="C269" s="15">
        <f>IF(A269="","",INDEX(SKUs!$B$5:$B$304,MATCH(A269,SKUs!$I$5:$I$304,0)))</f>
        <v/>
      </c>
      <c r="D269" s="10">
        <f>IF(A269="","",INDEX(SKUs!$E$5:$E$304,MATCH(A269,SKUs!$I$5:$I$304,0)))</f>
        <v/>
      </c>
      <c r="E269" s="10">
        <f>IF(A269="","",INDEX(SKUs!$F$5:$F$304,MATCH(A269,SKUs!$I$5:$I$304,0)))</f>
        <v/>
      </c>
      <c r="F269" s="10">
        <f>IF(A269="","",INDEX(SKUs!$G$5:$G$304,MATCH(A269,SKUs!$I$5:$I$304,0)))</f>
        <v/>
      </c>
      <c r="G269" s="11">
        <f>IF(A269="","",INDEX(SKUs!$H$5:$H$304,MATCH(A269,SKUs!$I$5:$I$304,0)))</f>
        <v/>
      </c>
      <c r="H269" s="11">
        <f>IF(A269="","",IF(SUM(SKUs!$E$5:$E$304)=0,0,D269/SUM(SKUs!$E$5:$E$304)))</f>
        <v/>
      </c>
      <c r="I269" s="11">
        <f>IF(A269="","",SUM($H$6:H269))</f>
        <v/>
      </c>
      <c r="J269" s="5">
        <f>IF(A269="","",IF(I269&gt;=$B$3,1,0))</f>
        <v/>
      </c>
    </row>
    <row r="270">
      <c r="A270" s="5">
        <f>IF(265&gt;COUNT(SKUs!$I$5:$I$304),"",265)</f>
        <v/>
      </c>
      <c r="B270" s="5">
        <f>IF(A270="","",INDEX(SKUs!$A$5:$A$304,MATCH(A270,SKUs!$I$5:$I$304,0)))</f>
        <v/>
      </c>
      <c r="C270" s="15">
        <f>IF(A270="","",INDEX(SKUs!$B$5:$B$304,MATCH(A270,SKUs!$I$5:$I$304,0)))</f>
        <v/>
      </c>
      <c r="D270" s="10">
        <f>IF(A270="","",INDEX(SKUs!$E$5:$E$304,MATCH(A270,SKUs!$I$5:$I$304,0)))</f>
        <v/>
      </c>
      <c r="E270" s="10">
        <f>IF(A270="","",INDEX(SKUs!$F$5:$F$304,MATCH(A270,SKUs!$I$5:$I$304,0)))</f>
        <v/>
      </c>
      <c r="F270" s="10">
        <f>IF(A270="","",INDEX(SKUs!$G$5:$G$304,MATCH(A270,SKUs!$I$5:$I$304,0)))</f>
        <v/>
      </c>
      <c r="G270" s="11">
        <f>IF(A270="","",INDEX(SKUs!$H$5:$H$304,MATCH(A270,SKUs!$I$5:$I$304,0)))</f>
        <v/>
      </c>
      <c r="H270" s="11">
        <f>IF(A270="","",IF(SUM(SKUs!$E$5:$E$304)=0,0,D270/SUM(SKUs!$E$5:$E$304)))</f>
        <v/>
      </c>
      <c r="I270" s="11">
        <f>IF(A270="","",SUM($H$6:H270))</f>
        <v/>
      </c>
      <c r="J270" s="5">
        <f>IF(A270="","",IF(I270&gt;=$B$3,1,0))</f>
        <v/>
      </c>
    </row>
    <row r="271">
      <c r="A271" s="5">
        <f>IF(266&gt;COUNT(SKUs!$I$5:$I$304),"",266)</f>
        <v/>
      </c>
      <c r="B271" s="5">
        <f>IF(A271="","",INDEX(SKUs!$A$5:$A$304,MATCH(A271,SKUs!$I$5:$I$304,0)))</f>
        <v/>
      </c>
      <c r="C271" s="15">
        <f>IF(A271="","",INDEX(SKUs!$B$5:$B$304,MATCH(A271,SKUs!$I$5:$I$304,0)))</f>
        <v/>
      </c>
      <c r="D271" s="10">
        <f>IF(A271="","",INDEX(SKUs!$E$5:$E$304,MATCH(A271,SKUs!$I$5:$I$304,0)))</f>
        <v/>
      </c>
      <c r="E271" s="10">
        <f>IF(A271="","",INDEX(SKUs!$F$5:$F$304,MATCH(A271,SKUs!$I$5:$I$304,0)))</f>
        <v/>
      </c>
      <c r="F271" s="10">
        <f>IF(A271="","",INDEX(SKUs!$G$5:$G$304,MATCH(A271,SKUs!$I$5:$I$304,0)))</f>
        <v/>
      </c>
      <c r="G271" s="11">
        <f>IF(A271="","",INDEX(SKUs!$H$5:$H$304,MATCH(A271,SKUs!$I$5:$I$304,0)))</f>
        <v/>
      </c>
      <c r="H271" s="11">
        <f>IF(A271="","",IF(SUM(SKUs!$E$5:$E$304)=0,0,D271/SUM(SKUs!$E$5:$E$304)))</f>
        <v/>
      </c>
      <c r="I271" s="11">
        <f>IF(A271="","",SUM($H$6:H271))</f>
        <v/>
      </c>
      <c r="J271" s="5">
        <f>IF(A271="","",IF(I271&gt;=$B$3,1,0))</f>
        <v/>
      </c>
    </row>
    <row r="272">
      <c r="A272" s="5">
        <f>IF(267&gt;COUNT(SKUs!$I$5:$I$304),"",267)</f>
        <v/>
      </c>
      <c r="B272" s="5">
        <f>IF(A272="","",INDEX(SKUs!$A$5:$A$304,MATCH(A272,SKUs!$I$5:$I$304,0)))</f>
        <v/>
      </c>
      <c r="C272" s="15">
        <f>IF(A272="","",INDEX(SKUs!$B$5:$B$304,MATCH(A272,SKUs!$I$5:$I$304,0)))</f>
        <v/>
      </c>
      <c r="D272" s="10">
        <f>IF(A272="","",INDEX(SKUs!$E$5:$E$304,MATCH(A272,SKUs!$I$5:$I$304,0)))</f>
        <v/>
      </c>
      <c r="E272" s="10">
        <f>IF(A272="","",INDEX(SKUs!$F$5:$F$304,MATCH(A272,SKUs!$I$5:$I$304,0)))</f>
        <v/>
      </c>
      <c r="F272" s="10">
        <f>IF(A272="","",INDEX(SKUs!$G$5:$G$304,MATCH(A272,SKUs!$I$5:$I$304,0)))</f>
        <v/>
      </c>
      <c r="G272" s="11">
        <f>IF(A272="","",INDEX(SKUs!$H$5:$H$304,MATCH(A272,SKUs!$I$5:$I$304,0)))</f>
        <v/>
      </c>
      <c r="H272" s="11">
        <f>IF(A272="","",IF(SUM(SKUs!$E$5:$E$304)=0,0,D272/SUM(SKUs!$E$5:$E$304)))</f>
        <v/>
      </c>
      <c r="I272" s="11">
        <f>IF(A272="","",SUM($H$6:H272))</f>
        <v/>
      </c>
      <c r="J272" s="5">
        <f>IF(A272="","",IF(I272&gt;=$B$3,1,0))</f>
        <v/>
      </c>
    </row>
    <row r="273">
      <c r="A273" s="5">
        <f>IF(268&gt;COUNT(SKUs!$I$5:$I$304),"",268)</f>
        <v/>
      </c>
      <c r="B273" s="5">
        <f>IF(A273="","",INDEX(SKUs!$A$5:$A$304,MATCH(A273,SKUs!$I$5:$I$304,0)))</f>
        <v/>
      </c>
      <c r="C273" s="15">
        <f>IF(A273="","",INDEX(SKUs!$B$5:$B$304,MATCH(A273,SKUs!$I$5:$I$304,0)))</f>
        <v/>
      </c>
      <c r="D273" s="10">
        <f>IF(A273="","",INDEX(SKUs!$E$5:$E$304,MATCH(A273,SKUs!$I$5:$I$304,0)))</f>
        <v/>
      </c>
      <c r="E273" s="10">
        <f>IF(A273="","",INDEX(SKUs!$F$5:$F$304,MATCH(A273,SKUs!$I$5:$I$304,0)))</f>
        <v/>
      </c>
      <c r="F273" s="10">
        <f>IF(A273="","",INDEX(SKUs!$G$5:$G$304,MATCH(A273,SKUs!$I$5:$I$304,0)))</f>
        <v/>
      </c>
      <c r="G273" s="11">
        <f>IF(A273="","",INDEX(SKUs!$H$5:$H$304,MATCH(A273,SKUs!$I$5:$I$304,0)))</f>
        <v/>
      </c>
      <c r="H273" s="11">
        <f>IF(A273="","",IF(SUM(SKUs!$E$5:$E$304)=0,0,D273/SUM(SKUs!$E$5:$E$304)))</f>
        <v/>
      </c>
      <c r="I273" s="11">
        <f>IF(A273="","",SUM($H$6:H273))</f>
        <v/>
      </c>
      <c r="J273" s="5">
        <f>IF(A273="","",IF(I273&gt;=$B$3,1,0))</f>
        <v/>
      </c>
    </row>
    <row r="274">
      <c r="A274" s="5">
        <f>IF(269&gt;COUNT(SKUs!$I$5:$I$304),"",269)</f>
        <v/>
      </c>
      <c r="B274" s="5">
        <f>IF(A274="","",INDEX(SKUs!$A$5:$A$304,MATCH(A274,SKUs!$I$5:$I$304,0)))</f>
        <v/>
      </c>
      <c r="C274" s="15">
        <f>IF(A274="","",INDEX(SKUs!$B$5:$B$304,MATCH(A274,SKUs!$I$5:$I$304,0)))</f>
        <v/>
      </c>
      <c r="D274" s="10">
        <f>IF(A274="","",INDEX(SKUs!$E$5:$E$304,MATCH(A274,SKUs!$I$5:$I$304,0)))</f>
        <v/>
      </c>
      <c r="E274" s="10">
        <f>IF(A274="","",INDEX(SKUs!$F$5:$F$304,MATCH(A274,SKUs!$I$5:$I$304,0)))</f>
        <v/>
      </c>
      <c r="F274" s="10">
        <f>IF(A274="","",INDEX(SKUs!$G$5:$G$304,MATCH(A274,SKUs!$I$5:$I$304,0)))</f>
        <v/>
      </c>
      <c r="G274" s="11">
        <f>IF(A274="","",INDEX(SKUs!$H$5:$H$304,MATCH(A274,SKUs!$I$5:$I$304,0)))</f>
        <v/>
      </c>
      <c r="H274" s="11">
        <f>IF(A274="","",IF(SUM(SKUs!$E$5:$E$304)=0,0,D274/SUM(SKUs!$E$5:$E$304)))</f>
        <v/>
      </c>
      <c r="I274" s="11">
        <f>IF(A274="","",SUM($H$6:H274))</f>
        <v/>
      </c>
      <c r="J274" s="5">
        <f>IF(A274="","",IF(I274&gt;=$B$3,1,0))</f>
        <v/>
      </c>
    </row>
    <row r="275">
      <c r="A275" s="5">
        <f>IF(270&gt;COUNT(SKUs!$I$5:$I$304),"",270)</f>
        <v/>
      </c>
      <c r="B275" s="5">
        <f>IF(A275="","",INDEX(SKUs!$A$5:$A$304,MATCH(A275,SKUs!$I$5:$I$304,0)))</f>
        <v/>
      </c>
      <c r="C275" s="15">
        <f>IF(A275="","",INDEX(SKUs!$B$5:$B$304,MATCH(A275,SKUs!$I$5:$I$304,0)))</f>
        <v/>
      </c>
      <c r="D275" s="10">
        <f>IF(A275="","",INDEX(SKUs!$E$5:$E$304,MATCH(A275,SKUs!$I$5:$I$304,0)))</f>
        <v/>
      </c>
      <c r="E275" s="10">
        <f>IF(A275="","",INDEX(SKUs!$F$5:$F$304,MATCH(A275,SKUs!$I$5:$I$304,0)))</f>
        <v/>
      </c>
      <c r="F275" s="10">
        <f>IF(A275="","",INDEX(SKUs!$G$5:$G$304,MATCH(A275,SKUs!$I$5:$I$304,0)))</f>
        <v/>
      </c>
      <c r="G275" s="11">
        <f>IF(A275="","",INDEX(SKUs!$H$5:$H$304,MATCH(A275,SKUs!$I$5:$I$304,0)))</f>
        <v/>
      </c>
      <c r="H275" s="11">
        <f>IF(A275="","",IF(SUM(SKUs!$E$5:$E$304)=0,0,D275/SUM(SKUs!$E$5:$E$304)))</f>
        <v/>
      </c>
      <c r="I275" s="11">
        <f>IF(A275="","",SUM($H$6:H275))</f>
        <v/>
      </c>
      <c r="J275" s="5">
        <f>IF(A275="","",IF(I275&gt;=$B$3,1,0))</f>
        <v/>
      </c>
    </row>
    <row r="276">
      <c r="A276" s="5">
        <f>IF(271&gt;COUNT(SKUs!$I$5:$I$304),"",271)</f>
        <v/>
      </c>
      <c r="B276" s="5">
        <f>IF(A276="","",INDEX(SKUs!$A$5:$A$304,MATCH(A276,SKUs!$I$5:$I$304,0)))</f>
        <v/>
      </c>
      <c r="C276" s="15">
        <f>IF(A276="","",INDEX(SKUs!$B$5:$B$304,MATCH(A276,SKUs!$I$5:$I$304,0)))</f>
        <v/>
      </c>
      <c r="D276" s="10">
        <f>IF(A276="","",INDEX(SKUs!$E$5:$E$304,MATCH(A276,SKUs!$I$5:$I$304,0)))</f>
        <v/>
      </c>
      <c r="E276" s="10">
        <f>IF(A276="","",INDEX(SKUs!$F$5:$F$304,MATCH(A276,SKUs!$I$5:$I$304,0)))</f>
        <v/>
      </c>
      <c r="F276" s="10">
        <f>IF(A276="","",INDEX(SKUs!$G$5:$G$304,MATCH(A276,SKUs!$I$5:$I$304,0)))</f>
        <v/>
      </c>
      <c r="G276" s="11">
        <f>IF(A276="","",INDEX(SKUs!$H$5:$H$304,MATCH(A276,SKUs!$I$5:$I$304,0)))</f>
        <v/>
      </c>
      <c r="H276" s="11">
        <f>IF(A276="","",IF(SUM(SKUs!$E$5:$E$304)=0,0,D276/SUM(SKUs!$E$5:$E$304)))</f>
        <v/>
      </c>
      <c r="I276" s="11">
        <f>IF(A276="","",SUM($H$6:H276))</f>
        <v/>
      </c>
      <c r="J276" s="5">
        <f>IF(A276="","",IF(I276&gt;=$B$3,1,0))</f>
        <v/>
      </c>
    </row>
    <row r="277">
      <c r="A277" s="5">
        <f>IF(272&gt;COUNT(SKUs!$I$5:$I$304),"",272)</f>
        <v/>
      </c>
      <c r="B277" s="5">
        <f>IF(A277="","",INDEX(SKUs!$A$5:$A$304,MATCH(A277,SKUs!$I$5:$I$304,0)))</f>
        <v/>
      </c>
      <c r="C277" s="15">
        <f>IF(A277="","",INDEX(SKUs!$B$5:$B$304,MATCH(A277,SKUs!$I$5:$I$304,0)))</f>
        <v/>
      </c>
      <c r="D277" s="10">
        <f>IF(A277="","",INDEX(SKUs!$E$5:$E$304,MATCH(A277,SKUs!$I$5:$I$304,0)))</f>
        <v/>
      </c>
      <c r="E277" s="10">
        <f>IF(A277="","",INDEX(SKUs!$F$5:$F$304,MATCH(A277,SKUs!$I$5:$I$304,0)))</f>
        <v/>
      </c>
      <c r="F277" s="10">
        <f>IF(A277="","",INDEX(SKUs!$G$5:$G$304,MATCH(A277,SKUs!$I$5:$I$304,0)))</f>
        <v/>
      </c>
      <c r="G277" s="11">
        <f>IF(A277="","",INDEX(SKUs!$H$5:$H$304,MATCH(A277,SKUs!$I$5:$I$304,0)))</f>
        <v/>
      </c>
      <c r="H277" s="11">
        <f>IF(A277="","",IF(SUM(SKUs!$E$5:$E$304)=0,0,D277/SUM(SKUs!$E$5:$E$304)))</f>
        <v/>
      </c>
      <c r="I277" s="11">
        <f>IF(A277="","",SUM($H$6:H277))</f>
        <v/>
      </c>
      <c r="J277" s="5">
        <f>IF(A277="","",IF(I277&gt;=$B$3,1,0))</f>
        <v/>
      </c>
    </row>
    <row r="278">
      <c r="A278" s="5">
        <f>IF(273&gt;COUNT(SKUs!$I$5:$I$304),"",273)</f>
        <v/>
      </c>
      <c r="B278" s="5">
        <f>IF(A278="","",INDEX(SKUs!$A$5:$A$304,MATCH(A278,SKUs!$I$5:$I$304,0)))</f>
        <v/>
      </c>
      <c r="C278" s="15">
        <f>IF(A278="","",INDEX(SKUs!$B$5:$B$304,MATCH(A278,SKUs!$I$5:$I$304,0)))</f>
        <v/>
      </c>
      <c r="D278" s="10">
        <f>IF(A278="","",INDEX(SKUs!$E$5:$E$304,MATCH(A278,SKUs!$I$5:$I$304,0)))</f>
        <v/>
      </c>
      <c r="E278" s="10">
        <f>IF(A278="","",INDEX(SKUs!$F$5:$F$304,MATCH(A278,SKUs!$I$5:$I$304,0)))</f>
        <v/>
      </c>
      <c r="F278" s="10">
        <f>IF(A278="","",INDEX(SKUs!$G$5:$G$304,MATCH(A278,SKUs!$I$5:$I$304,0)))</f>
        <v/>
      </c>
      <c r="G278" s="11">
        <f>IF(A278="","",INDEX(SKUs!$H$5:$H$304,MATCH(A278,SKUs!$I$5:$I$304,0)))</f>
        <v/>
      </c>
      <c r="H278" s="11">
        <f>IF(A278="","",IF(SUM(SKUs!$E$5:$E$304)=0,0,D278/SUM(SKUs!$E$5:$E$304)))</f>
        <v/>
      </c>
      <c r="I278" s="11">
        <f>IF(A278="","",SUM($H$6:H278))</f>
        <v/>
      </c>
      <c r="J278" s="5">
        <f>IF(A278="","",IF(I278&gt;=$B$3,1,0))</f>
        <v/>
      </c>
    </row>
    <row r="279">
      <c r="A279" s="5">
        <f>IF(274&gt;COUNT(SKUs!$I$5:$I$304),"",274)</f>
        <v/>
      </c>
      <c r="B279" s="5">
        <f>IF(A279="","",INDEX(SKUs!$A$5:$A$304,MATCH(A279,SKUs!$I$5:$I$304,0)))</f>
        <v/>
      </c>
      <c r="C279" s="15">
        <f>IF(A279="","",INDEX(SKUs!$B$5:$B$304,MATCH(A279,SKUs!$I$5:$I$304,0)))</f>
        <v/>
      </c>
      <c r="D279" s="10">
        <f>IF(A279="","",INDEX(SKUs!$E$5:$E$304,MATCH(A279,SKUs!$I$5:$I$304,0)))</f>
        <v/>
      </c>
      <c r="E279" s="10">
        <f>IF(A279="","",INDEX(SKUs!$F$5:$F$304,MATCH(A279,SKUs!$I$5:$I$304,0)))</f>
        <v/>
      </c>
      <c r="F279" s="10">
        <f>IF(A279="","",INDEX(SKUs!$G$5:$G$304,MATCH(A279,SKUs!$I$5:$I$304,0)))</f>
        <v/>
      </c>
      <c r="G279" s="11">
        <f>IF(A279="","",INDEX(SKUs!$H$5:$H$304,MATCH(A279,SKUs!$I$5:$I$304,0)))</f>
        <v/>
      </c>
      <c r="H279" s="11">
        <f>IF(A279="","",IF(SUM(SKUs!$E$5:$E$304)=0,0,D279/SUM(SKUs!$E$5:$E$304)))</f>
        <v/>
      </c>
      <c r="I279" s="11">
        <f>IF(A279="","",SUM($H$6:H279))</f>
        <v/>
      </c>
      <c r="J279" s="5">
        <f>IF(A279="","",IF(I279&gt;=$B$3,1,0))</f>
        <v/>
      </c>
    </row>
    <row r="280">
      <c r="A280" s="5">
        <f>IF(275&gt;COUNT(SKUs!$I$5:$I$304),"",275)</f>
        <v/>
      </c>
      <c r="B280" s="5">
        <f>IF(A280="","",INDEX(SKUs!$A$5:$A$304,MATCH(A280,SKUs!$I$5:$I$304,0)))</f>
        <v/>
      </c>
      <c r="C280" s="15">
        <f>IF(A280="","",INDEX(SKUs!$B$5:$B$304,MATCH(A280,SKUs!$I$5:$I$304,0)))</f>
        <v/>
      </c>
      <c r="D280" s="10">
        <f>IF(A280="","",INDEX(SKUs!$E$5:$E$304,MATCH(A280,SKUs!$I$5:$I$304,0)))</f>
        <v/>
      </c>
      <c r="E280" s="10">
        <f>IF(A280="","",INDEX(SKUs!$F$5:$F$304,MATCH(A280,SKUs!$I$5:$I$304,0)))</f>
        <v/>
      </c>
      <c r="F280" s="10">
        <f>IF(A280="","",INDEX(SKUs!$G$5:$G$304,MATCH(A280,SKUs!$I$5:$I$304,0)))</f>
        <v/>
      </c>
      <c r="G280" s="11">
        <f>IF(A280="","",INDEX(SKUs!$H$5:$H$304,MATCH(A280,SKUs!$I$5:$I$304,0)))</f>
        <v/>
      </c>
      <c r="H280" s="11">
        <f>IF(A280="","",IF(SUM(SKUs!$E$5:$E$304)=0,0,D280/SUM(SKUs!$E$5:$E$304)))</f>
        <v/>
      </c>
      <c r="I280" s="11">
        <f>IF(A280="","",SUM($H$6:H280))</f>
        <v/>
      </c>
      <c r="J280" s="5">
        <f>IF(A280="","",IF(I280&gt;=$B$3,1,0))</f>
        <v/>
      </c>
    </row>
    <row r="281">
      <c r="A281" s="5">
        <f>IF(276&gt;COUNT(SKUs!$I$5:$I$304),"",276)</f>
        <v/>
      </c>
      <c r="B281" s="5">
        <f>IF(A281="","",INDEX(SKUs!$A$5:$A$304,MATCH(A281,SKUs!$I$5:$I$304,0)))</f>
        <v/>
      </c>
      <c r="C281" s="15">
        <f>IF(A281="","",INDEX(SKUs!$B$5:$B$304,MATCH(A281,SKUs!$I$5:$I$304,0)))</f>
        <v/>
      </c>
      <c r="D281" s="10">
        <f>IF(A281="","",INDEX(SKUs!$E$5:$E$304,MATCH(A281,SKUs!$I$5:$I$304,0)))</f>
        <v/>
      </c>
      <c r="E281" s="10">
        <f>IF(A281="","",INDEX(SKUs!$F$5:$F$304,MATCH(A281,SKUs!$I$5:$I$304,0)))</f>
        <v/>
      </c>
      <c r="F281" s="10">
        <f>IF(A281="","",INDEX(SKUs!$G$5:$G$304,MATCH(A281,SKUs!$I$5:$I$304,0)))</f>
        <v/>
      </c>
      <c r="G281" s="11">
        <f>IF(A281="","",INDEX(SKUs!$H$5:$H$304,MATCH(A281,SKUs!$I$5:$I$304,0)))</f>
        <v/>
      </c>
      <c r="H281" s="11">
        <f>IF(A281="","",IF(SUM(SKUs!$E$5:$E$304)=0,0,D281/SUM(SKUs!$E$5:$E$304)))</f>
        <v/>
      </c>
      <c r="I281" s="11">
        <f>IF(A281="","",SUM($H$6:H281))</f>
        <v/>
      </c>
      <c r="J281" s="5">
        <f>IF(A281="","",IF(I281&gt;=$B$3,1,0))</f>
        <v/>
      </c>
    </row>
    <row r="282">
      <c r="A282" s="5">
        <f>IF(277&gt;COUNT(SKUs!$I$5:$I$304),"",277)</f>
        <v/>
      </c>
      <c r="B282" s="5">
        <f>IF(A282="","",INDEX(SKUs!$A$5:$A$304,MATCH(A282,SKUs!$I$5:$I$304,0)))</f>
        <v/>
      </c>
      <c r="C282" s="15">
        <f>IF(A282="","",INDEX(SKUs!$B$5:$B$304,MATCH(A282,SKUs!$I$5:$I$304,0)))</f>
        <v/>
      </c>
      <c r="D282" s="10">
        <f>IF(A282="","",INDEX(SKUs!$E$5:$E$304,MATCH(A282,SKUs!$I$5:$I$304,0)))</f>
        <v/>
      </c>
      <c r="E282" s="10">
        <f>IF(A282="","",INDEX(SKUs!$F$5:$F$304,MATCH(A282,SKUs!$I$5:$I$304,0)))</f>
        <v/>
      </c>
      <c r="F282" s="10">
        <f>IF(A282="","",INDEX(SKUs!$G$5:$G$304,MATCH(A282,SKUs!$I$5:$I$304,0)))</f>
        <v/>
      </c>
      <c r="G282" s="11">
        <f>IF(A282="","",INDEX(SKUs!$H$5:$H$304,MATCH(A282,SKUs!$I$5:$I$304,0)))</f>
        <v/>
      </c>
      <c r="H282" s="11">
        <f>IF(A282="","",IF(SUM(SKUs!$E$5:$E$304)=0,0,D282/SUM(SKUs!$E$5:$E$304)))</f>
        <v/>
      </c>
      <c r="I282" s="11">
        <f>IF(A282="","",SUM($H$6:H282))</f>
        <v/>
      </c>
      <c r="J282" s="5">
        <f>IF(A282="","",IF(I282&gt;=$B$3,1,0))</f>
        <v/>
      </c>
    </row>
    <row r="283">
      <c r="A283" s="5">
        <f>IF(278&gt;COUNT(SKUs!$I$5:$I$304),"",278)</f>
        <v/>
      </c>
      <c r="B283" s="5">
        <f>IF(A283="","",INDEX(SKUs!$A$5:$A$304,MATCH(A283,SKUs!$I$5:$I$304,0)))</f>
        <v/>
      </c>
      <c r="C283" s="15">
        <f>IF(A283="","",INDEX(SKUs!$B$5:$B$304,MATCH(A283,SKUs!$I$5:$I$304,0)))</f>
        <v/>
      </c>
      <c r="D283" s="10">
        <f>IF(A283="","",INDEX(SKUs!$E$5:$E$304,MATCH(A283,SKUs!$I$5:$I$304,0)))</f>
        <v/>
      </c>
      <c r="E283" s="10">
        <f>IF(A283="","",INDEX(SKUs!$F$5:$F$304,MATCH(A283,SKUs!$I$5:$I$304,0)))</f>
        <v/>
      </c>
      <c r="F283" s="10">
        <f>IF(A283="","",INDEX(SKUs!$G$5:$G$304,MATCH(A283,SKUs!$I$5:$I$304,0)))</f>
        <v/>
      </c>
      <c r="G283" s="11">
        <f>IF(A283="","",INDEX(SKUs!$H$5:$H$304,MATCH(A283,SKUs!$I$5:$I$304,0)))</f>
        <v/>
      </c>
      <c r="H283" s="11">
        <f>IF(A283="","",IF(SUM(SKUs!$E$5:$E$304)=0,0,D283/SUM(SKUs!$E$5:$E$304)))</f>
        <v/>
      </c>
      <c r="I283" s="11">
        <f>IF(A283="","",SUM($H$6:H283))</f>
        <v/>
      </c>
      <c r="J283" s="5">
        <f>IF(A283="","",IF(I283&gt;=$B$3,1,0))</f>
        <v/>
      </c>
    </row>
    <row r="284">
      <c r="A284" s="5">
        <f>IF(279&gt;COUNT(SKUs!$I$5:$I$304),"",279)</f>
        <v/>
      </c>
      <c r="B284" s="5">
        <f>IF(A284="","",INDEX(SKUs!$A$5:$A$304,MATCH(A284,SKUs!$I$5:$I$304,0)))</f>
        <v/>
      </c>
      <c r="C284" s="15">
        <f>IF(A284="","",INDEX(SKUs!$B$5:$B$304,MATCH(A284,SKUs!$I$5:$I$304,0)))</f>
        <v/>
      </c>
      <c r="D284" s="10">
        <f>IF(A284="","",INDEX(SKUs!$E$5:$E$304,MATCH(A284,SKUs!$I$5:$I$304,0)))</f>
        <v/>
      </c>
      <c r="E284" s="10">
        <f>IF(A284="","",INDEX(SKUs!$F$5:$F$304,MATCH(A284,SKUs!$I$5:$I$304,0)))</f>
        <v/>
      </c>
      <c r="F284" s="10">
        <f>IF(A284="","",INDEX(SKUs!$G$5:$G$304,MATCH(A284,SKUs!$I$5:$I$304,0)))</f>
        <v/>
      </c>
      <c r="G284" s="11">
        <f>IF(A284="","",INDEX(SKUs!$H$5:$H$304,MATCH(A284,SKUs!$I$5:$I$304,0)))</f>
        <v/>
      </c>
      <c r="H284" s="11">
        <f>IF(A284="","",IF(SUM(SKUs!$E$5:$E$304)=0,0,D284/SUM(SKUs!$E$5:$E$304)))</f>
        <v/>
      </c>
      <c r="I284" s="11">
        <f>IF(A284="","",SUM($H$6:H284))</f>
        <v/>
      </c>
      <c r="J284" s="5">
        <f>IF(A284="","",IF(I284&gt;=$B$3,1,0))</f>
        <v/>
      </c>
    </row>
    <row r="285">
      <c r="A285" s="5">
        <f>IF(280&gt;COUNT(SKUs!$I$5:$I$304),"",280)</f>
        <v/>
      </c>
      <c r="B285" s="5">
        <f>IF(A285="","",INDEX(SKUs!$A$5:$A$304,MATCH(A285,SKUs!$I$5:$I$304,0)))</f>
        <v/>
      </c>
      <c r="C285" s="15">
        <f>IF(A285="","",INDEX(SKUs!$B$5:$B$304,MATCH(A285,SKUs!$I$5:$I$304,0)))</f>
        <v/>
      </c>
      <c r="D285" s="10">
        <f>IF(A285="","",INDEX(SKUs!$E$5:$E$304,MATCH(A285,SKUs!$I$5:$I$304,0)))</f>
        <v/>
      </c>
      <c r="E285" s="10">
        <f>IF(A285="","",INDEX(SKUs!$F$5:$F$304,MATCH(A285,SKUs!$I$5:$I$304,0)))</f>
        <v/>
      </c>
      <c r="F285" s="10">
        <f>IF(A285="","",INDEX(SKUs!$G$5:$G$304,MATCH(A285,SKUs!$I$5:$I$304,0)))</f>
        <v/>
      </c>
      <c r="G285" s="11">
        <f>IF(A285="","",INDEX(SKUs!$H$5:$H$304,MATCH(A285,SKUs!$I$5:$I$304,0)))</f>
        <v/>
      </c>
      <c r="H285" s="11">
        <f>IF(A285="","",IF(SUM(SKUs!$E$5:$E$304)=0,0,D285/SUM(SKUs!$E$5:$E$304)))</f>
        <v/>
      </c>
      <c r="I285" s="11">
        <f>IF(A285="","",SUM($H$6:H285))</f>
        <v/>
      </c>
      <c r="J285" s="5">
        <f>IF(A285="","",IF(I285&gt;=$B$3,1,0))</f>
        <v/>
      </c>
    </row>
    <row r="286">
      <c r="A286" s="5">
        <f>IF(281&gt;COUNT(SKUs!$I$5:$I$304),"",281)</f>
        <v/>
      </c>
      <c r="B286" s="5">
        <f>IF(A286="","",INDEX(SKUs!$A$5:$A$304,MATCH(A286,SKUs!$I$5:$I$304,0)))</f>
        <v/>
      </c>
      <c r="C286" s="15">
        <f>IF(A286="","",INDEX(SKUs!$B$5:$B$304,MATCH(A286,SKUs!$I$5:$I$304,0)))</f>
        <v/>
      </c>
      <c r="D286" s="10">
        <f>IF(A286="","",INDEX(SKUs!$E$5:$E$304,MATCH(A286,SKUs!$I$5:$I$304,0)))</f>
        <v/>
      </c>
      <c r="E286" s="10">
        <f>IF(A286="","",INDEX(SKUs!$F$5:$F$304,MATCH(A286,SKUs!$I$5:$I$304,0)))</f>
        <v/>
      </c>
      <c r="F286" s="10">
        <f>IF(A286="","",INDEX(SKUs!$G$5:$G$304,MATCH(A286,SKUs!$I$5:$I$304,0)))</f>
        <v/>
      </c>
      <c r="G286" s="11">
        <f>IF(A286="","",INDEX(SKUs!$H$5:$H$304,MATCH(A286,SKUs!$I$5:$I$304,0)))</f>
        <v/>
      </c>
      <c r="H286" s="11">
        <f>IF(A286="","",IF(SUM(SKUs!$E$5:$E$304)=0,0,D286/SUM(SKUs!$E$5:$E$304)))</f>
        <v/>
      </c>
      <c r="I286" s="11">
        <f>IF(A286="","",SUM($H$6:H286))</f>
        <v/>
      </c>
      <c r="J286" s="5">
        <f>IF(A286="","",IF(I286&gt;=$B$3,1,0))</f>
        <v/>
      </c>
    </row>
    <row r="287">
      <c r="A287" s="5">
        <f>IF(282&gt;COUNT(SKUs!$I$5:$I$304),"",282)</f>
        <v/>
      </c>
      <c r="B287" s="5">
        <f>IF(A287="","",INDEX(SKUs!$A$5:$A$304,MATCH(A287,SKUs!$I$5:$I$304,0)))</f>
        <v/>
      </c>
      <c r="C287" s="15">
        <f>IF(A287="","",INDEX(SKUs!$B$5:$B$304,MATCH(A287,SKUs!$I$5:$I$304,0)))</f>
        <v/>
      </c>
      <c r="D287" s="10">
        <f>IF(A287="","",INDEX(SKUs!$E$5:$E$304,MATCH(A287,SKUs!$I$5:$I$304,0)))</f>
        <v/>
      </c>
      <c r="E287" s="10">
        <f>IF(A287="","",INDEX(SKUs!$F$5:$F$304,MATCH(A287,SKUs!$I$5:$I$304,0)))</f>
        <v/>
      </c>
      <c r="F287" s="10">
        <f>IF(A287="","",INDEX(SKUs!$G$5:$G$304,MATCH(A287,SKUs!$I$5:$I$304,0)))</f>
        <v/>
      </c>
      <c r="G287" s="11">
        <f>IF(A287="","",INDEX(SKUs!$H$5:$H$304,MATCH(A287,SKUs!$I$5:$I$304,0)))</f>
        <v/>
      </c>
      <c r="H287" s="11">
        <f>IF(A287="","",IF(SUM(SKUs!$E$5:$E$304)=0,0,D287/SUM(SKUs!$E$5:$E$304)))</f>
        <v/>
      </c>
      <c r="I287" s="11">
        <f>IF(A287="","",SUM($H$6:H287))</f>
        <v/>
      </c>
      <c r="J287" s="5">
        <f>IF(A287="","",IF(I287&gt;=$B$3,1,0))</f>
        <v/>
      </c>
    </row>
    <row r="288">
      <c r="A288" s="5">
        <f>IF(283&gt;COUNT(SKUs!$I$5:$I$304),"",283)</f>
        <v/>
      </c>
      <c r="B288" s="5">
        <f>IF(A288="","",INDEX(SKUs!$A$5:$A$304,MATCH(A288,SKUs!$I$5:$I$304,0)))</f>
        <v/>
      </c>
      <c r="C288" s="15">
        <f>IF(A288="","",INDEX(SKUs!$B$5:$B$304,MATCH(A288,SKUs!$I$5:$I$304,0)))</f>
        <v/>
      </c>
      <c r="D288" s="10">
        <f>IF(A288="","",INDEX(SKUs!$E$5:$E$304,MATCH(A288,SKUs!$I$5:$I$304,0)))</f>
        <v/>
      </c>
      <c r="E288" s="10">
        <f>IF(A288="","",INDEX(SKUs!$F$5:$F$304,MATCH(A288,SKUs!$I$5:$I$304,0)))</f>
        <v/>
      </c>
      <c r="F288" s="10">
        <f>IF(A288="","",INDEX(SKUs!$G$5:$G$304,MATCH(A288,SKUs!$I$5:$I$304,0)))</f>
        <v/>
      </c>
      <c r="G288" s="11">
        <f>IF(A288="","",INDEX(SKUs!$H$5:$H$304,MATCH(A288,SKUs!$I$5:$I$304,0)))</f>
        <v/>
      </c>
      <c r="H288" s="11">
        <f>IF(A288="","",IF(SUM(SKUs!$E$5:$E$304)=0,0,D288/SUM(SKUs!$E$5:$E$304)))</f>
        <v/>
      </c>
      <c r="I288" s="11">
        <f>IF(A288="","",SUM($H$6:H288))</f>
        <v/>
      </c>
      <c r="J288" s="5">
        <f>IF(A288="","",IF(I288&gt;=$B$3,1,0))</f>
        <v/>
      </c>
    </row>
    <row r="289">
      <c r="A289" s="5">
        <f>IF(284&gt;COUNT(SKUs!$I$5:$I$304),"",284)</f>
        <v/>
      </c>
      <c r="B289" s="5">
        <f>IF(A289="","",INDEX(SKUs!$A$5:$A$304,MATCH(A289,SKUs!$I$5:$I$304,0)))</f>
        <v/>
      </c>
      <c r="C289" s="15">
        <f>IF(A289="","",INDEX(SKUs!$B$5:$B$304,MATCH(A289,SKUs!$I$5:$I$304,0)))</f>
        <v/>
      </c>
      <c r="D289" s="10">
        <f>IF(A289="","",INDEX(SKUs!$E$5:$E$304,MATCH(A289,SKUs!$I$5:$I$304,0)))</f>
        <v/>
      </c>
      <c r="E289" s="10">
        <f>IF(A289="","",INDEX(SKUs!$F$5:$F$304,MATCH(A289,SKUs!$I$5:$I$304,0)))</f>
        <v/>
      </c>
      <c r="F289" s="10">
        <f>IF(A289="","",INDEX(SKUs!$G$5:$G$304,MATCH(A289,SKUs!$I$5:$I$304,0)))</f>
        <v/>
      </c>
      <c r="G289" s="11">
        <f>IF(A289="","",INDEX(SKUs!$H$5:$H$304,MATCH(A289,SKUs!$I$5:$I$304,0)))</f>
        <v/>
      </c>
      <c r="H289" s="11">
        <f>IF(A289="","",IF(SUM(SKUs!$E$5:$E$304)=0,0,D289/SUM(SKUs!$E$5:$E$304)))</f>
        <v/>
      </c>
      <c r="I289" s="11">
        <f>IF(A289="","",SUM($H$6:H289))</f>
        <v/>
      </c>
      <c r="J289" s="5">
        <f>IF(A289="","",IF(I289&gt;=$B$3,1,0))</f>
        <v/>
      </c>
    </row>
    <row r="290">
      <c r="A290" s="5">
        <f>IF(285&gt;COUNT(SKUs!$I$5:$I$304),"",285)</f>
        <v/>
      </c>
      <c r="B290" s="5">
        <f>IF(A290="","",INDEX(SKUs!$A$5:$A$304,MATCH(A290,SKUs!$I$5:$I$304,0)))</f>
        <v/>
      </c>
      <c r="C290" s="15">
        <f>IF(A290="","",INDEX(SKUs!$B$5:$B$304,MATCH(A290,SKUs!$I$5:$I$304,0)))</f>
        <v/>
      </c>
      <c r="D290" s="10">
        <f>IF(A290="","",INDEX(SKUs!$E$5:$E$304,MATCH(A290,SKUs!$I$5:$I$304,0)))</f>
        <v/>
      </c>
      <c r="E290" s="10">
        <f>IF(A290="","",INDEX(SKUs!$F$5:$F$304,MATCH(A290,SKUs!$I$5:$I$304,0)))</f>
        <v/>
      </c>
      <c r="F290" s="10">
        <f>IF(A290="","",INDEX(SKUs!$G$5:$G$304,MATCH(A290,SKUs!$I$5:$I$304,0)))</f>
        <v/>
      </c>
      <c r="G290" s="11">
        <f>IF(A290="","",INDEX(SKUs!$H$5:$H$304,MATCH(A290,SKUs!$I$5:$I$304,0)))</f>
        <v/>
      </c>
      <c r="H290" s="11">
        <f>IF(A290="","",IF(SUM(SKUs!$E$5:$E$304)=0,0,D290/SUM(SKUs!$E$5:$E$304)))</f>
        <v/>
      </c>
      <c r="I290" s="11">
        <f>IF(A290="","",SUM($H$6:H290))</f>
        <v/>
      </c>
      <c r="J290" s="5">
        <f>IF(A290="","",IF(I290&gt;=$B$3,1,0))</f>
        <v/>
      </c>
    </row>
    <row r="291">
      <c r="A291" s="5">
        <f>IF(286&gt;COUNT(SKUs!$I$5:$I$304),"",286)</f>
        <v/>
      </c>
      <c r="B291" s="5">
        <f>IF(A291="","",INDEX(SKUs!$A$5:$A$304,MATCH(A291,SKUs!$I$5:$I$304,0)))</f>
        <v/>
      </c>
      <c r="C291" s="15">
        <f>IF(A291="","",INDEX(SKUs!$B$5:$B$304,MATCH(A291,SKUs!$I$5:$I$304,0)))</f>
        <v/>
      </c>
      <c r="D291" s="10">
        <f>IF(A291="","",INDEX(SKUs!$E$5:$E$304,MATCH(A291,SKUs!$I$5:$I$304,0)))</f>
        <v/>
      </c>
      <c r="E291" s="10">
        <f>IF(A291="","",INDEX(SKUs!$F$5:$F$304,MATCH(A291,SKUs!$I$5:$I$304,0)))</f>
        <v/>
      </c>
      <c r="F291" s="10">
        <f>IF(A291="","",INDEX(SKUs!$G$5:$G$304,MATCH(A291,SKUs!$I$5:$I$304,0)))</f>
        <v/>
      </c>
      <c r="G291" s="11">
        <f>IF(A291="","",INDEX(SKUs!$H$5:$H$304,MATCH(A291,SKUs!$I$5:$I$304,0)))</f>
        <v/>
      </c>
      <c r="H291" s="11">
        <f>IF(A291="","",IF(SUM(SKUs!$E$5:$E$304)=0,0,D291/SUM(SKUs!$E$5:$E$304)))</f>
        <v/>
      </c>
      <c r="I291" s="11">
        <f>IF(A291="","",SUM($H$6:H291))</f>
        <v/>
      </c>
      <c r="J291" s="5">
        <f>IF(A291="","",IF(I291&gt;=$B$3,1,0))</f>
        <v/>
      </c>
    </row>
    <row r="292">
      <c r="A292" s="5">
        <f>IF(287&gt;COUNT(SKUs!$I$5:$I$304),"",287)</f>
        <v/>
      </c>
      <c r="B292" s="5">
        <f>IF(A292="","",INDEX(SKUs!$A$5:$A$304,MATCH(A292,SKUs!$I$5:$I$304,0)))</f>
        <v/>
      </c>
      <c r="C292" s="15">
        <f>IF(A292="","",INDEX(SKUs!$B$5:$B$304,MATCH(A292,SKUs!$I$5:$I$304,0)))</f>
        <v/>
      </c>
      <c r="D292" s="10">
        <f>IF(A292="","",INDEX(SKUs!$E$5:$E$304,MATCH(A292,SKUs!$I$5:$I$304,0)))</f>
        <v/>
      </c>
      <c r="E292" s="10">
        <f>IF(A292="","",INDEX(SKUs!$F$5:$F$304,MATCH(A292,SKUs!$I$5:$I$304,0)))</f>
        <v/>
      </c>
      <c r="F292" s="10">
        <f>IF(A292="","",INDEX(SKUs!$G$5:$G$304,MATCH(A292,SKUs!$I$5:$I$304,0)))</f>
        <v/>
      </c>
      <c r="G292" s="11">
        <f>IF(A292="","",INDEX(SKUs!$H$5:$H$304,MATCH(A292,SKUs!$I$5:$I$304,0)))</f>
        <v/>
      </c>
      <c r="H292" s="11">
        <f>IF(A292="","",IF(SUM(SKUs!$E$5:$E$304)=0,0,D292/SUM(SKUs!$E$5:$E$304)))</f>
        <v/>
      </c>
      <c r="I292" s="11">
        <f>IF(A292="","",SUM($H$6:H292))</f>
        <v/>
      </c>
      <c r="J292" s="5">
        <f>IF(A292="","",IF(I292&gt;=$B$3,1,0))</f>
        <v/>
      </c>
    </row>
    <row r="293">
      <c r="A293" s="5">
        <f>IF(288&gt;COUNT(SKUs!$I$5:$I$304),"",288)</f>
        <v/>
      </c>
      <c r="B293" s="5">
        <f>IF(A293="","",INDEX(SKUs!$A$5:$A$304,MATCH(A293,SKUs!$I$5:$I$304,0)))</f>
        <v/>
      </c>
      <c r="C293" s="15">
        <f>IF(A293="","",INDEX(SKUs!$B$5:$B$304,MATCH(A293,SKUs!$I$5:$I$304,0)))</f>
        <v/>
      </c>
      <c r="D293" s="10">
        <f>IF(A293="","",INDEX(SKUs!$E$5:$E$304,MATCH(A293,SKUs!$I$5:$I$304,0)))</f>
        <v/>
      </c>
      <c r="E293" s="10">
        <f>IF(A293="","",INDEX(SKUs!$F$5:$F$304,MATCH(A293,SKUs!$I$5:$I$304,0)))</f>
        <v/>
      </c>
      <c r="F293" s="10">
        <f>IF(A293="","",INDEX(SKUs!$G$5:$G$304,MATCH(A293,SKUs!$I$5:$I$304,0)))</f>
        <v/>
      </c>
      <c r="G293" s="11">
        <f>IF(A293="","",INDEX(SKUs!$H$5:$H$304,MATCH(A293,SKUs!$I$5:$I$304,0)))</f>
        <v/>
      </c>
      <c r="H293" s="11">
        <f>IF(A293="","",IF(SUM(SKUs!$E$5:$E$304)=0,0,D293/SUM(SKUs!$E$5:$E$304)))</f>
        <v/>
      </c>
      <c r="I293" s="11">
        <f>IF(A293="","",SUM($H$6:H293))</f>
        <v/>
      </c>
      <c r="J293" s="5">
        <f>IF(A293="","",IF(I293&gt;=$B$3,1,0))</f>
        <v/>
      </c>
    </row>
    <row r="294">
      <c r="A294" s="5">
        <f>IF(289&gt;COUNT(SKUs!$I$5:$I$304),"",289)</f>
        <v/>
      </c>
      <c r="B294" s="5">
        <f>IF(A294="","",INDEX(SKUs!$A$5:$A$304,MATCH(A294,SKUs!$I$5:$I$304,0)))</f>
        <v/>
      </c>
      <c r="C294" s="15">
        <f>IF(A294="","",INDEX(SKUs!$B$5:$B$304,MATCH(A294,SKUs!$I$5:$I$304,0)))</f>
        <v/>
      </c>
      <c r="D294" s="10">
        <f>IF(A294="","",INDEX(SKUs!$E$5:$E$304,MATCH(A294,SKUs!$I$5:$I$304,0)))</f>
        <v/>
      </c>
      <c r="E294" s="10">
        <f>IF(A294="","",INDEX(SKUs!$F$5:$F$304,MATCH(A294,SKUs!$I$5:$I$304,0)))</f>
        <v/>
      </c>
      <c r="F294" s="10">
        <f>IF(A294="","",INDEX(SKUs!$G$5:$G$304,MATCH(A294,SKUs!$I$5:$I$304,0)))</f>
        <v/>
      </c>
      <c r="G294" s="11">
        <f>IF(A294="","",INDEX(SKUs!$H$5:$H$304,MATCH(A294,SKUs!$I$5:$I$304,0)))</f>
        <v/>
      </c>
      <c r="H294" s="11">
        <f>IF(A294="","",IF(SUM(SKUs!$E$5:$E$304)=0,0,D294/SUM(SKUs!$E$5:$E$304)))</f>
        <v/>
      </c>
      <c r="I294" s="11">
        <f>IF(A294="","",SUM($H$6:H294))</f>
        <v/>
      </c>
      <c r="J294" s="5">
        <f>IF(A294="","",IF(I294&gt;=$B$3,1,0))</f>
        <v/>
      </c>
    </row>
    <row r="295">
      <c r="A295" s="5">
        <f>IF(290&gt;COUNT(SKUs!$I$5:$I$304),"",290)</f>
        <v/>
      </c>
      <c r="B295" s="5">
        <f>IF(A295="","",INDEX(SKUs!$A$5:$A$304,MATCH(A295,SKUs!$I$5:$I$304,0)))</f>
        <v/>
      </c>
      <c r="C295" s="15">
        <f>IF(A295="","",INDEX(SKUs!$B$5:$B$304,MATCH(A295,SKUs!$I$5:$I$304,0)))</f>
        <v/>
      </c>
      <c r="D295" s="10">
        <f>IF(A295="","",INDEX(SKUs!$E$5:$E$304,MATCH(A295,SKUs!$I$5:$I$304,0)))</f>
        <v/>
      </c>
      <c r="E295" s="10">
        <f>IF(A295="","",INDEX(SKUs!$F$5:$F$304,MATCH(A295,SKUs!$I$5:$I$304,0)))</f>
        <v/>
      </c>
      <c r="F295" s="10">
        <f>IF(A295="","",INDEX(SKUs!$G$5:$G$304,MATCH(A295,SKUs!$I$5:$I$304,0)))</f>
        <v/>
      </c>
      <c r="G295" s="11">
        <f>IF(A295="","",INDEX(SKUs!$H$5:$H$304,MATCH(A295,SKUs!$I$5:$I$304,0)))</f>
        <v/>
      </c>
      <c r="H295" s="11">
        <f>IF(A295="","",IF(SUM(SKUs!$E$5:$E$304)=0,0,D295/SUM(SKUs!$E$5:$E$304)))</f>
        <v/>
      </c>
      <c r="I295" s="11">
        <f>IF(A295="","",SUM($H$6:H295))</f>
        <v/>
      </c>
      <c r="J295" s="5">
        <f>IF(A295="","",IF(I295&gt;=$B$3,1,0))</f>
        <v/>
      </c>
    </row>
    <row r="296">
      <c r="A296" s="5">
        <f>IF(291&gt;COUNT(SKUs!$I$5:$I$304),"",291)</f>
        <v/>
      </c>
      <c r="B296" s="5">
        <f>IF(A296="","",INDEX(SKUs!$A$5:$A$304,MATCH(A296,SKUs!$I$5:$I$304,0)))</f>
        <v/>
      </c>
      <c r="C296" s="15">
        <f>IF(A296="","",INDEX(SKUs!$B$5:$B$304,MATCH(A296,SKUs!$I$5:$I$304,0)))</f>
        <v/>
      </c>
      <c r="D296" s="10">
        <f>IF(A296="","",INDEX(SKUs!$E$5:$E$304,MATCH(A296,SKUs!$I$5:$I$304,0)))</f>
        <v/>
      </c>
      <c r="E296" s="10">
        <f>IF(A296="","",INDEX(SKUs!$F$5:$F$304,MATCH(A296,SKUs!$I$5:$I$304,0)))</f>
        <v/>
      </c>
      <c r="F296" s="10">
        <f>IF(A296="","",INDEX(SKUs!$G$5:$G$304,MATCH(A296,SKUs!$I$5:$I$304,0)))</f>
        <v/>
      </c>
      <c r="G296" s="11">
        <f>IF(A296="","",INDEX(SKUs!$H$5:$H$304,MATCH(A296,SKUs!$I$5:$I$304,0)))</f>
        <v/>
      </c>
      <c r="H296" s="11">
        <f>IF(A296="","",IF(SUM(SKUs!$E$5:$E$304)=0,0,D296/SUM(SKUs!$E$5:$E$304)))</f>
        <v/>
      </c>
      <c r="I296" s="11">
        <f>IF(A296="","",SUM($H$6:H296))</f>
        <v/>
      </c>
      <c r="J296" s="5">
        <f>IF(A296="","",IF(I296&gt;=$B$3,1,0))</f>
        <v/>
      </c>
    </row>
    <row r="297">
      <c r="A297" s="5">
        <f>IF(292&gt;COUNT(SKUs!$I$5:$I$304),"",292)</f>
        <v/>
      </c>
      <c r="B297" s="5">
        <f>IF(A297="","",INDEX(SKUs!$A$5:$A$304,MATCH(A297,SKUs!$I$5:$I$304,0)))</f>
        <v/>
      </c>
      <c r="C297" s="15">
        <f>IF(A297="","",INDEX(SKUs!$B$5:$B$304,MATCH(A297,SKUs!$I$5:$I$304,0)))</f>
        <v/>
      </c>
      <c r="D297" s="10">
        <f>IF(A297="","",INDEX(SKUs!$E$5:$E$304,MATCH(A297,SKUs!$I$5:$I$304,0)))</f>
        <v/>
      </c>
      <c r="E297" s="10">
        <f>IF(A297="","",INDEX(SKUs!$F$5:$F$304,MATCH(A297,SKUs!$I$5:$I$304,0)))</f>
        <v/>
      </c>
      <c r="F297" s="10">
        <f>IF(A297="","",INDEX(SKUs!$G$5:$G$304,MATCH(A297,SKUs!$I$5:$I$304,0)))</f>
        <v/>
      </c>
      <c r="G297" s="11">
        <f>IF(A297="","",INDEX(SKUs!$H$5:$H$304,MATCH(A297,SKUs!$I$5:$I$304,0)))</f>
        <v/>
      </c>
      <c r="H297" s="11">
        <f>IF(A297="","",IF(SUM(SKUs!$E$5:$E$304)=0,0,D297/SUM(SKUs!$E$5:$E$304)))</f>
        <v/>
      </c>
      <c r="I297" s="11">
        <f>IF(A297="","",SUM($H$6:H297))</f>
        <v/>
      </c>
      <c r="J297" s="5">
        <f>IF(A297="","",IF(I297&gt;=$B$3,1,0))</f>
        <v/>
      </c>
    </row>
    <row r="298">
      <c r="A298" s="5">
        <f>IF(293&gt;COUNT(SKUs!$I$5:$I$304),"",293)</f>
        <v/>
      </c>
      <c r="B298" s="5">
        <f>IF(A298="","",INDEX(SKUs!$A$5:$A$304,MATCH(A298,SKUs!$I$5:$I$304,0)))</f>
        <v/>
      </c>
      <c r="C298" s="15">
        <f>IF(A298="","",INDEX(SKUs!$B$5:$B$304,MATCH(A298,SKUs!$I$5:$I$304,0)))</f>
        <v/>
      </c>
      <c r="D298" s="10">
        <f>IF(A298="","",INDEX(SKUs!$E$5:$E$304,MATCH(A298,SKUs!$I$5:$I$304,0)))</f>
        <v/>
      </c>
      <c r="E298" s="10">
        <f>IF(A298="","",INDEX(SKUs!$F$5:$F$304,MATCH(A298,SKUs!$I$5:$I$304,0)))</f>
        <v/>
      </c>
      <c r="F298" s="10">
        <f>IF(A298="","",INDEX(SKUs!$G$5:$G$304,MATCH(A298,SKUs!$I$5:$I$304,0)))</f>
        <v/>
      </c>
      <c r="G298" s="11">
        <f>IF(A298="","",INDEX(SKUs!$H$5:$H$304,MATCH(A298,SKUs!$I$5:$I$304,0)))</f>
        <v/>
      </c>
      <c r="H298" s="11">
        <f>IF(A298="","",IF(SUM(SKUs!$E$5:$E$304)=0,0,D298/SUM(SKUs!$E$5:$E$304)))</f>
        <v/>
      </c>
      <c r="I298" s="11">
        <f>IF(A298="","",SUM($H$6:H298))</f>
        <v/>
      </c>
      <c r="J298" s="5">
        <f>IF(A298="","",IF(I298&gt;=$B$3,1,0))</f>
        <v/>
      </c>
    </row>
    <row r="299">
      <c r="A299" s="5">
        <f>IF(294&gt;COUNT(SKUs!$I$5:$I$304),"",294)</f>
        <v/>
      </c>
      <c r="B299" s="5">
        <f>IF(A299="","",INDEX(SKUs!$A$5:$A$304,MATCH(A299,SKUs!$I$5:$I$304,0)))</f>
        <v/>
      </c>
      <c r="C299" s="15">
        <f>IF(A299="","",INDEX(SKUs!$B$5:$B$304,MATCH(A299,SKUs!$I$5:$I$304,0)))</f>
        <v/>
      </c>
      <c r="D299" s="10">
        <f>IF(A299="","",INDEX(SKUs!$E$5:$E$304,MATCH(A299,SKUs!$I$5:$I$304,0)))</f>
        <v/>
      </c>
      <c r="E299" s="10">
        <f>IF(A299="","",INDEX(SKUs!$F$5:$F$304,MATCH(A299,SKUs!$I$5:$I$304,0)))</f>
        <v/>
      </c>
      <c r="F299" s="10">
        <f>IF(A299="","",INDEX(SKUs!$G$5:$G$304,MATCH(A299,SKUs!$I$5:$I$304,0)))</f>
        <v/>
      </c>
      <c r="G299" s="11">
        <f>IF(A299="","",INDEX(SKUs!$H$5:$H$304,MATCH(A299,SKUs!$I$5:$I$304,0)))</f>
        <v/>
      </c>
      <c r="H299" s="11">
        <f>IF(A299="","",IF(SUM(SKUs!$E$5:$E$304)=0,0,D299/SUM(SKUs!$E$5:$E$304)))</f>
        <v/>
      </c>
      <c r="I299" s="11">
        <f>IF(A299="","",SUM($H$6:H299))</f>
        <v/>
      </c>
      <c r="J299" s="5">
        <f>IF(A299="","",IF(I299&gt;=$B$3,1,0))</f>
        <v/>
      </c>
    </row>
    <row r="300">
      <c r="A300" s="5">
        <f>IF(295&gt;COUNT(SKUs!$I$5:$I$304),"",295)</f>
        <v/>
      </c>
      <c r="B300" s="5">
        <f>IF(A300="","",INDEX(SKUs!$A$5:$A$304,MATCH(A300,SKUs!$I$5:$I$304,0)))</f>
        <v/>
      </c>
      <c r="C300" s="15">
        <f>IF(A300="","",INDEX(SKUs!$B$5:$B$304,MATCH(A300,SKUs!$I$5:$I$304,0)))</f>
        <v/>
      </c>
      <c r="D300" s="10">
        <f>IF(A300="","",INDEX(SKUs!$E$5:$E$304,MATCH(A300,SKUs!$I$5:$I$304,0)))</f>
        <v/>
      </c>
      <c r="E300" s="10">
        <f>IF(A300="","",INDEX(SKUs!$F$5:$F$304,MATCH(A300,SKUs!$I$5:$I$304,0)))</f>
        <v/>
      </c>
      <c r="F300" s="10">
        <f>IF(A300="","",INDEX(SKUs!$G$5:$G$304,MATCH(A300,SKUs!$I$5:$I$304,0)))</f>
        <v/>
      </c>
      <c r="G300" s="11">
        <f>IF(A300="","",INDEX(SKUs!$H$5:$H$304,MATCH(A300,SKUs!$I$5:$I$304,0)))</f>
        <v/>
      </c>
      <c r="H300" s="11">
        <f>IF(A300="","",IF(SUM(SKUs!$E$5:$E$304)=0,0,D300/SUM(SKUs!$E$5:$E$304)))</f>
        <v/>
      </c>
      <c r="I300" s="11">
        <f>IF(A300="","",SUM($H$6:H300))</f>
        <v/>
      </c>
      <c r="J300" s="5">
        <f>IF(A300="","",IF(I300&gt;=$B$3,1,0))</f>
        <v/>
      </c>
    </row>
    <row r="301">
      <c r="A301" s="5">
        <f>IF(296&gt;COUNT(SKUs!$I$5:$I$304),"",296)</f>
        <v/>
      </c>
      <c r="B301" s="5">
        <f>IF(A301="","",INDEX(SKUs!$A$5:$A$304,MATCH(A301,SKUs!$I$5:$I$304,0)))</f>
        <v/>
      </c>
      <c r="C301" s="15">
        <f>IF(A301="","",INDEX(SKUs!$B$5:$B$304,MATCH(A301,SKUs!$I$5:$I$304,0)))</f>
        <v/>
      </c>
      <c r="D301" s="10">
        <f>IF(A301="","",INDEX(SKUs!$E$5:$E$304,MATCH(A301,SKUs!$I$5:$I$304,0)))</f>
        <v/>
      </c>
      <c r="E301" s="10">
        <f>IF(A301="","",INDEX(SKUs!$F$5:$F$304,MATCH(A301,SKUs!$I$5:$I$304,0)))</f>
        <v/>
      </c>
      <c r="F301" s="10">
        <f>IF(A301="","",INDEX(SKUs!$G$5:$G$304,MATCH(A301,SKUs!$I$5:$I$304,0)))</f>
        <v/>
      </c>
      <c r="G301" s="11">
        <f>IF(A301="","",INDEX(SKUs!$H$5:$H$304,MATCH(A301,SKUs!$I$5:$I$304,0)))</f>
        <v/>
      </c>
      <c r="H301" s="11">
        <f>IF(A301="","",IF(SUM(SKUs!$E$5:$E$304)=0,0,D301/SUM(SKUs!$E$5:$E$304)))</f>
        <v/>
      </c>
      <c r="I301" s="11">
        <f>IF(A301="","",SUM($H$6:H301))</f>
        <v/>
      </c>
      <c r="J301" s="5">
        <f>IF(A301="","",IF(I301&gt;=$B$3,1,0))</f>
        <v/>
      </c>
    </row>
    <row r="302">
      <c r="A302" s="5">
        <f>IF(297&gt;COUNT(SKUs!$I$5:$I$304),"",297)</f>
        <v/>
      </c>
      <c r="B302" s="5">
        <f>IF(A302="","",INDEX(SKUs!$A$5:$A$304,MATCH(A302,SKUs!$I$5:$I$304,0)))</f>
        <v/>
      </c>
      <c r="C302" s="15">
        <f>IF(A302="","",INDEX(SKUs!$B$5:$B$304,MATCH(A302,SKUs!$I$5:$I$304,0)))</f>
        <v/>
      </c>
      <c r="D302" s="10">
        <f>IF(A302="","",INDEX(SKUs!$E$5:$E$304,MATCH(A302,SKUs!$I$5:$I$304,0)))</f>
        <v/>
      </c>
      <c r="E302" s="10">
        <f>IF(A302="","",INDEX(SKUs!$F$5:$F$304,MATCH(A302,SKUs!$I$5:$I$304,0)))</f>
        <v/>
      </c>
      <c r="F302" s="10">
        <f>IF(A302="","",INDEX(SKUs!$G$5:$G$304,MATCH(A302,SKUs!$I$5:$I$304,0)))</f>
        <v/>
      </c>
      <c r="G302" s="11">
        <f>IF(A302="","",INDEX(SKUs!$H$5:$H$304,MATCH(A302,SKUs!$I$5:$I$304,0)))</f>
        <v/>
      </c>
      <c r="H302" s="11">
        <f>IF(A302="","",IF(SUM(SKUs!$E$5:$E$304)=0,0,D302/SUM(SKUs!$E$5:$E$304)))</f>
        <v/>
      </c>
      <c r="I302" s="11">
        <f>IF(A302="","",SUM($H$6:H302))</f>
        <v/>
      </c>
      <c r="J302" s="5">
        <f>IF(A302="","",IF(I302&gt;=$B$3,1,0))</f>
        <v/>
      </c>
    </row>
    <row r="303">
      <c r="A303" s="5">
        <f>IF(298&gt;COUNT(SKUs!$I$5:$I$304),"",298)</f>
        <v/>
      </c>
      <c r="B303" s="5">
        <f>IF(A303="","",INDEX(SKUs!$A$5:$A$304,MATCH(A303,SKUs!$I$5:$I$304,0)))</f>
        <v/>
      </c>
      <c r="C303" s="15">
        <f>IF(A303="","",INDEX(SKUs!$B$5:$B$304,MATCH(A303,SKUs!$I$5:$I$304,0)))</f>
        <v/>
      </c>
      <c r="D303" s="10">
        <f>IF(A303="","",INDEX(SKUs!$E$5:$E$304,MATCH(A303,SKUs!$I$5:$I$304,0)))</f>
        <v/>
      </c>
      <c r="E303" s="10">
        <f>IF(A303="","",INDEX(SKUs!$F$5:$F$304,MATCH(A303,SKUs!$I$5:$I$304,0)))</f>
        <v/>
      </c>
      <c r="F303" s="10">
        <f>IF(A303="","",INDEX(SKUs!$G$5:$G$304,MATCH(A303,SKUs!$I$5:$I$304,0)))</f>
        <v/>
      </c>
      <c r="G303" s="11">
        <f>IF(A303="","",INDEX(SKUs!$H$5:$H$304,MATCH(A303,SKUs!$I$5:$I$304,0)))</f>
        <v/>
      </c>
      <c r="H303" s="11">
        <f>IF(A303="","",IF(SUM(SKUs!$E$5:$E$304)=0,0,D303/SUM(SKUs!$E$5:$E$304)))</f>
        <v/>
      </c>
      <c r="I303" s="11">
        <f>IF(A303="","",SUM($H$6:H303))</f>
        <v/>
      </c>
      <c r="J303" s="5">
        <f>IF(A303="","",IF(I303&gt;=$B$3,1,0))</f>
        <v/>
      </c>
    </row>
    <row r="304">
      <c r="A304" s="5">
        <f>IF(299&gt;COUNT(SKUs!$I$5:$I$304),"",299)</f>
        <v/>
      </c>
      <c r="B304" s="5">
        <f>IF(A304="","",INDEX(SKUs!$A$5:$A$304,MATCH(A304,SKUs!$I$5:$I$304,0)))</f>
        <v/>
      </c>
      <c r="C304" s="15">
        <f>IF(A304="","",INDEX(SKUs!$B$5:$B$304,MATCH(A304,SKUs!$I$5:$I$304,0)))</f>
        <v/>
      </c>
      <c r="D304" s="10">
        <f>IF(A304="","",INDEX(SKUs!$E$5:$E$304,MATCH(A304,SKUs!$I$5:$I$304,0)))</f>
        <v/>
      </c>
      <c r="E304" s="10">
        <f>IF(A304="","",INDEX(SKUs!$F$5:$F$304,MATCH(A304,SKUs!$I$5:$I$304,0)))</f>
        <v/>
      </c>
      <c r="F304" s="10">
        <f>IF(A304="","",INDEX(SKUs!$G$5:$G$304,MATCH(A304,SKUs!$I$5:$I$304,0)))</f>
        <v/>
      </c>
      <c r="G304" s="11">
        <f>IF(A304="","",INDEX(SKUs!$H$5:$H$304,MATCH(A304,SKUs!$I$5:$I$304,0)))</f>
        <v/>
      </c>
      <c r="H304" s="11">
        <f>IF(A304="","",IF(SUM(SKUs!$E$5:$E$304)=0,0,D304/SUM(SKUs!$E$5:$E$304)))</f>
        <v/>
      </c>
      <c r="I304" s="11">
        <f>IF(A304="","",SUM($H$6:H304))</f>
        <v/>
      </c>
      <c r="J304" s="5">
        <f>IF(A304="","",IF(I304&gt;=$B$3,1,0))</f>
        <v/>
      </c>
    </row>
    <row r="305">
      <c r="A305" s="5">
        <f>IF(300&gt;COUNT(SKUs!$I$5:$I$304),"",300)</f>
        <v/>
      </c>
      <c r="B305" s="5">
        <f>IF(A305="","",INDEX(SKUs!$A$5:$A$304,MATCH(A305,SKUs!$I$5:$I$304,0)))</f>
        <v/>
      </c>
      <c r="C305" s="15">
        <f>IF(A305="","",INDEX(SKUs!$B$5:$B$304,MATCH(A305,SKUs!$I$5:$I$304,0)))</f>
        <v/>
      </c>
      <c r="D305" s="10">
        <f>IF(A305="","",INDEX(SKUs!$E$5:$E$304,MATCH(A305,SKUs!$I$5:$I$304,0)))</f>
        <v/>
      </c>
      <c r="E305" s="10">
        <f>IF(A305="","",INDEX(SKUs!$F$5:$F$304,MATCH(A305,SKUs!$I$5:$I$304,0)))</f>
        <v/>
      </c>
      <c r="F305" s="10">
        <f>IF(A305="","",INDEX(SKUs!$G$5:$G$304,MATCH(A305,SKUs!$I$5:$I$304,0)))</f>
        <v/>
      </c>
      <c r="G305" s="11">
        <f>IF(A305="","",INDEX(SKUs!$H$5:$H$304,MATCH(A305,SKUs!$I$5:$I$304,0)))</f>
        <v/>
      </c>
      <c r="H305" s="11">
        <f>IF(A305="","",IF(SUM(SKUs!$E$5:$E$304)=0,0,D305/SUM(SKUs!$E$5:$E$304)))</f>
        <v/>
      </c>
      <c r="I305" s="11">
        <f>IF(A305="","",SUM($H$6:H305))</f>
        <v/>
      </c>
      <c r="J305" s="5">
        <f>IF(A305="","",IF(I305&gt;=$B$3,1,0))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2026-10-18T16:52:33Z</dcterms:created>
  <dcterms:modified xmlns:dcterms="http://purl.org/dc/terms/" xmlns:xsi="http://www.w3.org/2001/XMLSchema-instance" xsi:type="dcterms:W3CDTF">2026-10-18T16:52:33Z</dcterms:modified>
</cp:coreProperties>
</file>