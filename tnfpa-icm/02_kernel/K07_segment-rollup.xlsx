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ToChannels" sheetId="4" state="visible" r:id="rId4"/>
    <sheet xmlns:r="http://schemas.openxmlformats.org/officeDocument/2006/relationships" name="SegmentForecast" sheetId="5" state="visible" r:id="rId5"/>
  </sheets>
  <definedNames>
    <definedName name="seg_total_sales">'Segments'!$B$18</definedName>
    <definedName name="seg_total_ebitda">'Segments'!$E$18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000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10" fontId="3" fillId="3" borderId="1" pivotButton="0" quotePrefix="0" xfId="0"/>
    <xf numFmtId="164" fontId="0" fillId="0" borderId="1" pivotButton="0" quotePrefix="0" xfId="0"/>
    <xf numFmtId="164" fontId="4" fillId="0" borderId="1" pivotButton="0" quotePrefix="0" xfId="0"/>
    <xf numFmtId="10" fontId="4" fillId="0" borderId="1" pivotButton="0" quotePrefix="0" xfId="0"/>
    <xf numFmtId="166" fontId="3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K07 · Segment P&amp;L, Roll-up &amp; Segment Forecast (no-code kernel)</t>
        </is>
      </c>
    </row>
    <row r="2"/>
    <row r="3">
      <c r="A3" s="2" t="inlineStr">
        <is>
          <t>Replaces openfpa: pyfpa.analysis.segments (Segment, segment_pnl, roll_up_segments, segments_to_channels) and the generated segment-rollup skill.</t>
        </is>
      </c>
    </row>
    <row r="4">
      <c r="A4" s="2" t="inlineStr">
        <is>
          <t>Segment = net sales + Adjusted-EBITDA margin (+ annual growth). Adjusted EBITDA = net sales x margin. Consolidated margin is RECOMPUTED from totals (revenue-weighted), never averaged.</t>
        </is>
      </c>
    </row>
    <row r="5">
      <c r="A5" s="2" t="inlineStr">
        <is>
          <t>segments_to_channels: each segment becomes a K01 revenue channel with flat seasonality (1 x 12), its own growth, and the CONSOLIDATED blended cogs_pct (segment COGS is usually not disclosed - Ind AS 108 / ASU 2023-07 style). Copy the 'ToChannels' block into K01 Assumptions.</t>
        </is>
      </c>
    </row>
    <row r="6">
      <c r="A6" s="2" t="inlineStr">
        <is>
          <t>SegmentForecast applies per-year growth and margin assumptions (the _grow step used in the Fox Factory example) for up to 5 forecast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3" t="inlineStr">
        <is>
          <t>OVERALL</t>
        </is>
      </c>
      <c r="C3" s="4">
        <f>IF(COUNTIF(C5:C8,"PASS")=COUNT(A5:A8),"PASS","FAIL")</f>
        <v/>
      </c>
      <c r="D3" s="5">
        <f>COUNTIF(C5:C8,"PASS")&amp;" pass / "&amp;COUNTIF(C5:C8,"FAIL")&amp;" fail / "&amp;(COUNT(A5:A8)-COUNTIF(C5:C8,"PASS")-COUNTIF(C5:C8,"FAIL"))&amp;" error"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segment net_sales &gt;= 0</t>
        </is>
      </c>
      <c r="C5" s="5">
        <f>IF(COUNTIF(Segments!B5:B16,"&lt;0")=0,"PASS","FAIL")</f>
        <v/>
      </c>
    </row>
    <row r="6">
      <c r="A6" t="n">
        <v>2</v>
      </c>
      <c r="B6" t="inlineStr">
        <is>
          <t>segment names unique</t>
        </is>
      </c>
      <c r="C6" s="5">
        <f>IF(SUMPRODUCT((Segments!A5:A16&lt;&gt;"")*(COUNTIF(Segments!A5:A16,Segments!A5:A16)&gt;1))=0,"PASS","FAIL")</f>
        <v/>
      </c>
    </row>
    <row r="7">
      <c r="A7" t="n">
        <v>3</v>
      </c>
      <c r="B7" t="inlineStr">
        <is>
          <t>channel block sums back to consolidated net sales</t>
        </is>
      </c>
      <c r="C7" s="5">
        <f>IF(ABS(SUM(ToChannels!B5:B16)-Segments!$B$18)&lt;0.005,"PASS","FAIL")</f>
        <v/>
      </c>
    </row>
    <row r="8">
      <c r="A8" t="n">
        <v>4</v>
      </c>
      <c r="B8" t="inlineStr">
        <is>
          <t>blended cogs_pct within 0..1</t>
        </is>
      </c>
      <c r="C8" s="5">
        <f>IF(AND(Segments!B20&gt;=0,Segments!B20&lt;=1),"PASS","FAIL")</f>
        <v/>
      </c>
    </row>
  </sheetData>
  <conditionalFormatting sqref="C3:C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Segments (segment_pnl + roll_up_segments)</t>
        </is>
      </c>
    </row>
    <row r="2"/>
    <row r="3"/>
    <row r="4">
      <c r="A4" s="6" t="inlineStr">
        <is>
          <t>segment</t>
        </is>
      </c>
      <c r="B4" s="6" t="inlineStr">
        <is>
          <t>net_sales</t>
        </is>
      </c>
      <c r="C4" s="6" t="inlineStr">
        <is>
          <t>growth_rate</t>
        </is>
      </c>
      <c r="D4" s="6" t="inlineStr">
        <is>
          <t>ebitda_margin</t>
        </is>
      </c>
      <c r="E4" s="6" t="inlineStr">
        <is>
          <t>adjusted_ebitda</t>
        </is>
      </c>
    </row>
    <row r="5">
      <c r="A5" s="7" t="n"/>
      <c r="B5" s="8" t="n"/>
      <c r="C5" s="9" t="n"/>
      <c r="D5" s="10" t="n"/>
      <c r="E5" s="11">
        <f>IF(A5="","",B5*D5)</f>
        <v/>
      </c>
    </row>
    <row r="6">
      <c r="A6" s="7" t="n"/>
      <c r="B6" s="8" t="n"/>
      <c r="C6" s="9" t="n"/>
      <c r="D6" s="10" t="n"/>
      <c r="E6" s="11">
        <f>IF(A6="","",B6*D6)</f>
        <v/>
      </c>
    </row>
    <row r="7">
      <c r="A7" s="7" t="n"/>
      <c r="B7" s="8" t="n"/>
      <c r="C7" s="9" t="n"/>
      <c r="D7" s="10" t="n"/>
      <c r="E7" s="11">
        <f>IF(A7="","",B7*D7)</f>
        <v/>
      </c>
    </row>
    <row r="8">
      <c r="A8" s="7" t="n"/>
      <c r="B8" s="8" t="n"/>
      <c r="C8" s="9" t="n"/>
      <c r="D8" s="10" t="n"/>
      <c r="E8" s="11">
        <f>IF(A8="","",B8*D8)</f>
        <v/>
      </c>
    </row>
    <row r="9">
      <c r="A9" s="7" t="n"/>
      <c r="B9" s="8" t="n"/>
      <c r="C9" s="9" t="n"/>
      <c r="D9" s="10" t="n"/>
      <c r="E9" s="11">
        <f>IF(A9="","",B9*D9)</f>
        <v/>
      </c>
    </row>
    <row r="10">
      <c r="A10" s="7" t="n"/>
      <c r="B10" s="8" t="n"/>
      <c r="C10" s="9" t="n"/>
      <c r="D10" s="10" t="n"/>
      <c r="E10" s="11">
        <f>IF(A10="","",B10*D10)</f>
        <v/>
      </c>
    </row>
    <row r="11">
      <c r="A11" s="7" t="n"/>
      <c r="B11" s="8" t="n"/>
      <c r="C11" s="9" t="n"/>
      <c r="D11" s="10" t="n"/>
      <c r="E11" s="11">
        <f>IF(A11="","",B11*D11)</f>
        <v/>
      </c>
    </row>
    <row r="12">
      <c r="A12" s="7" t="n"/>
      <c r="B12" s="8" t="n"/>
      <c r="C12" s="9" t="n"/>
      <c r="D12" s="10" t="n"/>
      <c r="E12" s="11">
        <f>IF(A12="","",B12*D12)</f>
        <v/>
      </c>
    </row>
    <row r="13">
      <c r="A13" s="7" t="n"/>
      <c r="B13" s="8" t="n"/>
      <c r="C13" s="9" t="n"/>
      <c r="D13" s="10" t="n"/>
      <c r="E13" s="11">
        <f>IF(A13="","",B13*D13)</f>
        <v/>
      </c>
    </row>
    <row r="14">
      <c r="A14" s="7" t="n"/>
      <c r="B14" s="8" t="n"/>
      <c r="C14" s="9" t="n"/>
      <c r="D14" s="10" t="n"/>
      <c r="E14" s="11">
        <f>IF(A14="","",B14*D14)</f>
        <v/>
      </c>
    </row>
    <row r="15">
      <c r="A15" s="7" t="n"/>
      <c r="B15" s="8" t="n"/>
      <c r="C15" s="9" t="n"/>
      <c r="D15" s="10" t="n"/>
      <c r="E15" s="11">
        <f>IF(A15="","",B15*D15)</f>
        <v/>
      </c>
    </row>
    <row r="16">
      <c r="A16" s="7" t="n"/>
      <c r="B16" s="8" t="n"/>
      <c r="C16" s="9" t="n"/>
      <c r="D16" s="10" t="n"/>
      <c r="E16" s="11">
        <f>IF(A16="","",B16*D16)</f>
        <v/>
      </c>
    </row>
    <row r="17"/>
    <row r="18">
      <c r="A18" s="3" t="inlineStr">
        <is>
          <t>TOTAL</t>
        </is>
      </c>
      <c r="B18" s="12">
        <f>SUM(B5:B16)</f>
        <v/>
      </c>
      <c r="D18" s="13">
        <f>IF(B18=0,0,E18/B18)</f>
        <v/>
      </c>
      <c r="E18" s="12">
        <f>SUM(E5:E16)</f>
        <v/>
      </c>
    </row>
    <row r="19"/>
    <row r="20">
      <c r="A20" t="inlineStr">
        <is>
          <t>blended consolidated cogs_pct</t>
        </is>
      </c>
      <c r="B20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segments_to_channels - paste into K01 Assumptions channel rows</t>
        </is>
      </c>
    </row>
    <row r="2"/>
    <row r="3"/>
    <row r="4">
      <c r="A4" s="6" t="inlineStr">
        <is>
          <t>channel name</t>
        </is>
      </c>
      <c r="B4" s="6" t="inlineStr">
        <is>
          <t>annual_revenue</t>
        </is>
      </c>
      <c r="C4" s="6" t="inlineStr">
        <is>
          <t>growth_rate</t>
        </is>
      </c>
      <c r="D4" s="6" t="inlineStr">
        <is>
          <t>cogs_pct</t>
        </is>
      </c>
      <c r="E4" s="6" t="inlineStr">
        <is>
          <t>season 1</t>
        </is>
      </c>
      <c r="F4" s="6" t="inlineStr">
        <is>
          <t>season 2</t>
        </is>
      </c>
      <c r="G4" s="6" t="inlineStr">
        <is>
          <t>season 3</t>
        </is>
      </c>
      <c r="H4" s="6" t="inlineStr">
        <is>
          <t>season 4</t>
        </is>
      </c>
      <c r="I4" s="6" t="inlineStr">
        <is>
          <t>season 5</t>
        </is>
      </c>
      <c r="J4" s="6" t="inlineStr">
        <is>
          <t>season 6</t>
        </is>
      </c>
      <c r="K4" s="6" t="inlineStr">
        <is>
          <t>season 7</t>
        </is>
      </c>
      <c r="L4" s="6" t="inlineStr">
        <is>
          <t>season 8</t>
        </is>
      </c>
      <c r="M4" s="6" t="inlineStr">
        <is>
          <t>season 9</t>
        </is>
      </c>
      <c r="N4" s="6" t="inlineStr">
        <is>
          <t>season 10</t>
        </is>
      </c>
      <c r="O4" s="6" t="inlineStr">
        <is>
          <t>season 11</t>
        </is>
      </c>
      <c r="P4" s="6" t="inlineStr">
        <is>
          <t>season 12</t>
        </is>
      </c>
    </row>
    <row r="5">
      <c r="A5" s="5">
        <f>IF(Segments!A5="","",Segments!A5)</f>
        <v/>
      </c>
      <c r="B5" s="11">
        <f>IF(A5="","",Segments!B5)</f>
        <v/>
      </c>
      <c r="C5" s="15">
        <f>IF(A5="","",Segments!C5)</f>
        <v/>
      </c>
      <c r="D5" s="16">
        <f>IF(A5="","",Segments!$B$20)</f>
        <v/>
      </c>
      <c r="E5" s="5">
        <f>IF(A5="","",1)</f>
        <v/>
      </c>
      <c r="F5" s="5">
        <f>IF(A5="","",1)</f>
        <v/>
      </c>
      <c r="G5" s="5">
        <f>IF(A5="","",1)</f>
        <v/>
      </c>
      <c r="H5" s="5">
        <f>IF(A5="","",1)</f>
        <v/>
      </c>
      <c r="I5" s="5">
        <f>IF(A5="","",1)</f>
        <v/>
      </c>
      <c r="J5" s="5">
        <f>IF(A5="","",1)</f>
        <v/>
      </c>
      <c r="K5" s="5">
        <f>IF(A5="","",1)</f>
        <v/>
      </c>
      <c r="L5" s="5">
        <f>IF(A5="","",1)</f>
        <v/>
      </c>
      <c r="M5" s="5">
        <f>IF(A5="","",1)</f>
        <v/>
      </c>
      <c r="N5" s="5">
        <f>IF(A5="","",1)</f>
        <v/>
      </c>
      <c r="O5" s="5">
        <f>IF(A5="","",1)</f>
        <v/>
      </c>
      <c r="P5" s="5">
        <f>IF(A5="","",1)</f>
        <v/>
      </c>
    </row>
    <row r="6">
      <c r="A6" s="5">
        <f>IF(Segments!A6="","",Segments!A6)</f>
        <v/>
      </c>
      <c r="B6" s="11">
        <f>IF(A6="","",Segments!B6)</f>
        <v/>
      </c>
      <c r="C6" s="15">
        <f>IF(A6="","",Segments!C6)</f>
        <v/>
      </c>
      <c r="D6" s="16">
        <f>IF(A6="","",Segments!$B$20)</f>
        <v/>
      </c>
      <c r="E6" s="5">
        <f>IF(A6="","",1)</f>
        <v/>
      </c>
      <c r="F6" s="5">
        <f>IF(A6="","",1)</f>
        <v/>
      </c>
      <c r="G6" s="5">
        <f>IF(A6="","",1)</f>
        <v/>
      </c>
      <c r="H6" s="5">
        <f>IF(A6="","",1)</f>
        <v/>
      </c>
      <c r="I6" s="5">
        <f>IF(A6="","",1)</f>
        <v/>
      </c>
      <c r="J6" s="5">
        <f>IF(A6="","",1)</f>
        <v/>
      </c>
      <c r="K6" s="5">
        <f>IF(A6="","",1)</f>
        <v/>
      </c>
      <c r="L6" s="5">
        <f>IF(A6="","",1)</f>
        <v/>
      </c>
      <c r="M6" s="5">
        <f>IF(A6="","",1)</f>
        <v/>
      </c>
      <c r="N6" s="5">
        <f>IF(A6="","",1)</f>
        <v/>
      </c>
      <c r="O6" s="5">
        <f>IF(A6="","",1)</f>
        <v/>
      </c>
      <c r="P6" s="5">
        <f>IF(A6="","",1)</f>
        <v/>
      </c>
    </row>
    <row r="7">
      <c r="A7" s="5">
        <f>IF(Segments!A7="","",Segments!A7)</f>
        <v/>
      </c>
      <c r="B7" s="11">
        <f>IF(A7="","",Segments!B7)</f>
        <v/>
      </c>
      <c r="C7" s="15">
        <f>IF(A7="","",Segments!C7)</f>
        <v/>
      </c>
      <c r="D7" s="16">
        <f>IF(A7="","",Segments!$B$20)</f>
        <v/>
      </c>
      <c r="E7" s="5">
        <f>IF(A7="","",1)</f>
        <v/>
      </c>
      <c r="F7" s="5">
        <f>IF(A7="","",1)</f>
        <v/>
      </c>
      <c r="G7" s="5">
        <f>IF(A7="","",1)</f>
        <v/>
      </c>
      <c r="H7" s="5">
        <f>IF(A7="","",1)</f>
        <v/>
      </c>
      <c r="I7" s="5">
        <f>IF(A7="","",1)</f>
        <v/>
      </c>
      <c r="J7" s="5">
        <f>IF(A7="","",1)</f>
        <v/>
      </c>
      <c r="K7" s="5">
        <f>IF(A7="","",1)</f>
        <v/>
      </c>
      <c r="L7" s="5">
        <f>IF(A7="","",1)</f>
        <v/>
      </c>
      <c r="M7" s="5">
        <f>IF(A7="","",1)</f>
        <v/>
      </c>
      <c r="N7" s="5">
        <f>IF(A7="","",1)</f>
        <v/>
      </c>
      <c r="O7" s="5">
        <f>IF(A7="","",1)</f>
        <v/>
      </c>
      <c r="P7" s="5">
        <f>IF(A7="","",1)</f>
        <v/>
      </c>
    </row>
    <row r="8">
      <c r="A8" s="5">
        <f>IF(Segments!A8="","",Segments!A8)</f>
        <v/>
      </c>
      <c r="B8" s="11">
        <f>IF(A8="","",Segments!B8)</f>
        <v/>
      </c>
      <c r="C8" s="15">
        <f>IF(A8="","",Segments!C8)</f>
        <v/>
      </c>
      <c r="D8" s="16">
        <f>IF(A8="","",Segments!$B$20)</f>
        <v/>
      </c>
      <c r="E8" s="5">
        <f>IF(A8="","",1)</f>
        <v/>
      </c>
      <c r="F8" s="5">
        <f>IF(A8="","",1)</f>
        <v/>
      </c>
      <c r="G8" s="5">
        <f>IF(A8="","",1)</f>
        <v/>
      </c>
      <c r="H8" s="5">
        <f>IF(A8="","",1)</f>
        <v/>
      </c>
      <c r="I8" s="5">
        <f>IF(A8="","",1)</f>
        <v/>
      </c>
      <c r="J8" s="5">
        <f>IF(A8="","",1)</f>
        <v/>
      </c>
      <c r="K8" s="5">
        <f>IF(A8="","",1)</f>
        <v/>
      </c>
      <c r="L8" s="5">
        <f>IF(A8="","",1)</f>
        <v/>
      </c>
      <c r="M8" s="5">
        <f>IF(A8="","",1)</f>
        <v/>
      </c>
      <c r="N8" s="5">
        <f>IF(A8="","",1)</f>
        <v/>
      </c>
      <c r="O8" s="5">
        <f>IF(A8="","",1)</f>
        <v/>
      </c>
      <c r="P8" s="5">
        <f>IF(A8="","",1)</f>
        <v/>
      </c>
    </row>
    <row r="9">
      <c r="A9" s="5">
        <f>IF(Segments!A9="","",Segments!A9)</f>
        <v/>
      </c>
      <c r="B9" s="11">
        <f>IF(A9="","",Segments!B9)</f>
        <v/>
      </c>
      <c r="C9" s="15">
        <f>IF(A9="","",Segments!C9)</f>
        <v/>
      </c>
      <c r="D9" s="16">
        <f>IF(A9="","",Segments!$B$20)</f>
        <v/>
      </c>
      <c r="E9" s="5">
        <f>IF(A9="","",1)</f>
        <v/>
      </c>
      <c r="F9" s="5">
        <f>IF(A9="","",1)</f>
        <v/>
      </c>
      <c r="G9" s="5">
        <f>IF(A9="","",1)</f>
        <v/>
      </c>
      <c r="H9" s="5">
        <f>IF(A9="","",1)</f>
        <v/>
      </c>
      <c r="I9" s="5">
        <f>IF(A9="","",1)</f>
        <v/>
      </c>
      <c r="J9" s="5">
        <f>IF(A9="","",1)</f>
        <v/>
      </c>
      <c r="K9" s="5">
        <f>IF(A9="","",1)</f>
        <v/>
      </c>
      <c r="L9" s="5">
        <f>IF(A9="","",1)</f>
        <v/>
      </c>
      <c r="M9" s="5">
        <f>IF(A9="","",1)</f>
        <v/>
      </c>
      <c r="N9" s="5">
        <f>IF(A9="","",1)</f>
        <v/>
      </c>
      <c r="O9" s="5">
        <f>IF(A9="","",1)</f>
        <v/>
      </c>
      <c r="P9" s="5">
        <f>IF(A9="","",1)</f>
        <v/>
      </c>
    </row>
    <row r="10">
      <c r="A10" s="5">
        <f>IF(Segments!A10="","",Segments!A10)</f>
        <v/>
      </c>
      <c r="B10" s="11">
        <f>IF(A10="","",Segments!B10)</f>
        <v/>
      </c>
      <c r="C10" s="15">
        <f>IF(A10="","",Segments!C10)</f>
        <v/>
      </c>
      <c r="D10" s="16">
        <f>IF(A10="","",Segments!$B$20)</f>
        <v/>
      </c>
      <c r="E10" s="5">
        <f>IF(A10="","",1)</f>
        <v/>
      </c>
      <c r="F10" s="5">
        <f>IF(A10="","",1)</f>
        <v/>
      </c>
      <c r="G10" s="5">
        <f>IF(A10="","",1)</f>
        <v/>
      </c>
      <c r="H10" s="5">
        <f>IF(A10="","",1)</f>
        <v/>
      </c>
      <c r="I10" s="5">
        <f>IF(A10="","",1)</f>
        <v/>
      </c>
      <c r="J10" s="5">
        <f>IF(A10="","",1)</f>
        <v/>
      </c>
      <c r="K10" s="5">
        <f>IF(A10="","",1)</f>
        <v/>
      </c>
      <c r="L10" s="5">
        <f>IF(A10="","",1)</f>
        <v/>
      </c>
      <c r="M10" s="5">
        <f>IF(A10="","",1)</f>
        <v/>
      </c>
      <c r="N10" s="5">
        <f>IF(A10="","",1)</f>
        <v/>
      </c>
      <c r="O10" s="5">
        <f>IF(A10="","",1)</f>
        <v/>
      </c>
      <c r="P10" s="5">
        <f>IF(A10="","",1)</f>
        <v/>
      </c>
    </row>
    <row r="11">
      <c r="A11" s="5">
        <f>IF(Segments!A11="","",Segments!A11)</f>
        <v/>
      </c>
      <c r="B11" s="11">
        <f>IF(A11="","",Segments!B11)</f>
        <v/>
      </c>
      <c r="C11" s="15">
        <f>IF(A11="","",Segments!C11)</f>
        <v/>
      </c>
      <c r="D11" s="16">
        <f>IF(A11="","",Segments!$B$20)</f>
        <v/>
      </c>
      <c r="E11" s="5">
        <f>IF(A11="","",1)</f>
        <v/>
      </c>
      <c r="F11" s="5">
        <f>IF(A11="","",1)</f>
        <v/>
      </c>
      <c r="G11" s="5">
        <f>IF(A11="","",1)</f>
        <v/>
      </c>
      <c r="H11" s="5">
        <f>IF(A11="","",1)</f>
        <v/>
      </c>
      <c r="I11" s="5">
        <f>IF(A11="","",1)</f>
        <v/>
      </c>
      <c r="J11" s="5">
        <f>IF(A11="","",1)</f>
        <v/>
      </c>
      <c r="K11" s="5">
        <f>IF(A11="","",1)</f>
        <v/>
      </c>
      <c r="L11" s="5">
        <f>IF(A11="","",1)</f>
        <v/>
      </c>
      <c r="M11" s="5">
        <f>IF(A11="","",1)</f>
        <v/>
      </c>
      <c r="N11" s="5">
        <f>IF(A11="","",1)</f>
        <v/>
      </c>
      <c r="O11" s="5">
        <f>IF(A11="","",1)</f>
        <v/>
      </c>
      <c r="P11" s="5">
        <f>IF(A11="","",1)</f>
        <v/>
      </c>
    </row>
    <row r="12">
      <c r="A12" s="5">
        <f>IF(Segments!A12="","",Segments!A12)</f>
        <v/>
      </c>
      <c r="B12" s="11">
        <f>IF(A12="","",Segments!B12)</f>
        <v/>
      </c>
      <c r="C12" s="15">
        <f>IF(A12="","",Segments!C12)</f>
        <v/>
      </c>
      <c r="D12" s="16">
        <f>IF(A12="","",Segments!$B$20)</f>
        <v/>
      </c>
      <c r="E12" s="5">
        <f>IF(A12="","",1)</f>
        <v/>
      </c>
      <c r="F12" s="5">
        <f>IF(A12="","",1)</f>
        <v/>
      </c>
      <c r="G12" s="5">
        <f>IF(A12="","",1)</f>
        <v/>
      </c>
      <c r="H12" s="5">
        <f>IF(A12="","",1)</f>
        <v/>
      </c>
      <c r="I12" s="5">
        <f>IF(A12="","",1)</f>
        <v/>
      </c>
      <c r="J12" s="5">
        <f>IF(A12="","",1)</f>
        <v/>
      </c>
      <c r="K12" s="5">
        <f>IF(A12="","",1)</f>
        <v/>
      </c>
      <c r="L12" s="5">
        <f>IF(A12="","",1)</f>
        <v/>
      </c>
      <c r="M12" s="5">
        <f>IF(A12="","",1)</f>
        <v/>
      </c>
      <c r="N12" s="5">
        <f>IF(A12="","",1)</f>
        <v/>
      </c>
      <c r="O12" s="5">
        <f>IF(A12="","",1)</f>
        <v/>
      </c>
      <c r="P12" s="5">
        <f>IF(A12="","",1)</f>
        <v/>
      </c>
    </row>
    <row r="13">
      <c r="A13" s="5">
        <f>IF(Segments!A13="","",Segments!A13)</f>
        <v/>
      </c>
      <c r="B13" s="11">
        <f>IF(A13="","",Segments!B13)</f>
        <v/>
      </c>
      <c r="C13" s="15">
        <f>IF(A13="","",Segments!C13)</f>
        <v/>
      </c>
      <c r="D13" s="16">
        <f>IF(A13="","",Segments!$B$20)</f>
        <v/>
      </c>
      <c r="E13" s="5">
        <f>IF(A13="","",1)</f>
        <v/>
      </c>
      <c r="F13" s="5">
        <f>IF(A13="","",1)</f>
        <v/>
      </c>
      <c r="G13" s="5">
        <f>IF(A13="","",1)</f>
        <v/>
      </c>
      <c r="H13" s="5">
        <f>IF(A13="","",1)</f>
        <v/>
      </c>
      <c r="I13" s="5">
        <f>IF(A13="","",1)</f>
        <v/>
      </c>
      <c r="J13" s="5">
        <f>IF(A13="","",1)</f>
        <v/>
      </c>
      <c r="K13" s="5">
        <f>IF(A13="","",1)</f>
        <v/>
      </c>
      <c r="L13" s="5">
        <f>IF(A13="","",1)</f>
        <v/>
      </c>
      <c r="M13" s="5">
        <f>IF(A13="","",1)</f>
        <v/>
      </c>
      <c r="N13" s="5">
        <f>IF(A13="","",1)</f>
        <v/>
      </c>
      <c r="O13" s="5">
        <f>IF(A13="","",1)</f>
        <v/>
      </c>
      <c r="P13" s="5">
        <f>IF(A13="","",1)</f>
        <v/>
      </c>
    </row>
    <row r="14">
      <c r="A14" s="5">
        <f>IF(Segments!A14="","",Segments!A14)</f>
        <v/>
      </c>
      <c r="B14" s="11">
        <f>IF(A14="","",Segments!B14)</f>
        <v/>
      </c>
      <c r="C14" s="15">
        <f>IF(A14="","",Segments!C14)</f>
        <v/>
      </c>
      <c r="D14" s="16">
        <f>IF(A14="","",Segments!$B$20)</f>
        <v/>
      </c>
      <c r="E14" s="5">
        <f>IF(A14="","",1)</f>
        <v/>
      </c>
      <c r="F14" s="5">
        <f>IF(A14="","",1)</f>
        <v/>
      </c>
      <c r="G14" s="5">
        <f>IF(A14="","",1)</f>
        <v/>
      </c>
      <c r="H14" s="5">
        <f>IF(A14="","",1)</f>
        <v/>
      </c>
      <c r="I14" s="5">
        <f>IF(A14="","",1)</f>
        <v/>
      </c>
      <c r="J14" s="5">
        <f>IF(A14="","",1)</f>
        <v/>
      </c>
      <c r="K14" s="5">
        <f>IF(A14="","",1)</f>
        <v/>
      </c>
      <c r="L14" s="5">
        <f>IF(A14="","",1)</f>
        <v/>
      </c>
      <c r="M14" s="5">
        <f>IF(A14="","",1)</f>
        <v/>
      </c>
      <c r="N14" s="5">
        <f>IF(A14="","",1)</f>
        <v/>
      </c>
      <c r="O14" s="5">
        <f>IF(A14="","",1)</f>
        <v/>
      </c>
      <c r="P14" s="5">
        <f>IF(A14="","",1)</f>
        <v/>
      </c>
    </row>
    <row r="15">
      <c r="A15" s="5">
        <f>IF(Segments!A15="","",Segments!A15)</f>
        <v/>
      </c>
      <c r="B15" s="11">
        <f>IF(A15="","",Segments!B15)</f>
        <v/>
      </c>
      <c r="C15" s="15">
        <f>IF(A15="","",Segments!C15)</f>
        <v/>
      </c>
      <c r="D15" s="16">
        <f>IF(A15="","",Segments!$B$20)</f>
        <v/>
      </c>
      <c r="E15" s="5">
        <f>IF(A15="","",1)</f>
        <v/>
      </c>
      <c r="F15" s="5">
        <f>IF(A15="","",1)</f>
        <v/>
      </c>
      <c r="G15" s="5">
        <f>IF(A15="","",1)</f>
        <v/>
      </c>
      <c r="H15" s="5">
        <f>IF(A15="","",1)</f>
        <v/>
      </c>
      <c r="I15" s="5">
        <f>IF(A15="","",1)</f>
        <v/>
      </c>
      <c r="J15" s="5">
        <f>IF(A15="","",1)</f>
        <v/>
      </c>
      <c r="K15" s="5">
        <f>IF(A15="","",1)</f>
        <v/>
      </c>
      <c r="L15" s="5">
        <f>IF(A15="","",1)</f>
        <v/>
      </c>
      <c r="M15" s="5">
        <f>IF(A15="","",1)</f>
        <v/>
      </c>
      <c r="N15" s="5">
        <f>IF(A15="","",1)</f>
        <v/>
      </c>
      <c r="O15" s="5">
        <f>IF(A15="","",1)</f>
        <v/>
      </c>
      <c r="P15" s="5">
        <f>IF(A15="","",1)</f>
        <v/>
      </c>
    </row>
    <row r="16">
      <c r="A16" s="5">
        <f>IF(Segments!A16="","",Segments!A16)</f>
        <v/>
      </c>
      <c r="B16" s="11">
        <f>IF(A16="","",Segments!B16)</f>
        <v/>
      </c>
      <c r="C16" s="15">
        <f>IF(A16="","",Segments!C16)</f>
        <v/>
      </c>
      <c r="D16" s="16">
        <f>IF(A16="","",Segments!$B$20)</f>
        <v/>
      </c>
      <c r="E16" s="5">
        <f>IF(A16="","",1)</f>
        <v/>
      </c>
      <c r="F16" s="5">
        <f>IF(A16="","",1)</f>
        <v/>
      </c>
      <c r="G16" s="5">
        <f>IF(A16="","",1)</f>
        <v/>
      </c>
      <c r="H16" s="5">
        <f>IF(A16="","",1)</f>
        <v/>
      </c>
      <c r="I16" s="5">
        <f>IF(A16="","",1)</f>
        <v/>
      </c>
      <c r="J16" s="5">
        <f>IF(A16="","",1)</f>
        <v/>
      </c>
      <c r="K16" s="5">
        <f>IF(A16="","",1)</f>
        <v/>
      </c>
      <c r="L16" s="5">
        <f>IF(A16="","",1)</f>
        <v/>
      </c>
      <c r="M16" s="5">
        <f>IF(A16="","",1)</f>
        <v/>
      </c>
      <c r="N16" s="5">
        <f>IF(A16="","",1)</f>
        <v/>
      </c>
      <c r="O16" s="5">
        <f>IF(A16="","",1)</f>
        <v/>
      </c>
      <c r="P16" s="5">
        <f>IF(A16="","",1)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 forecast: year-by-year growth and margin assumptions (_grow)</t>
        </is>
      </c>
    </row>
    <row r="2"/>
    <row r="3">
      <c r="A3" t="inlineStr">
        <is>
          <t>year labels -&gt;</t>
        </is>
      </c>
      <c r="C3" s="7" t="n"/>
      <c r="G3" s="7" t="n"/>
      <c r="K3" s="7" t="n"/>
      <c r="O3" s="7" t="n"/>
      <c r="S3" s="7" t="n"/>
    </row>
    <row r="4">
      <c r="A4" s="6" t="inlineStr">
        <is>
          <t>segment</t>
        </is>
      </c>
      <c r="B4" s="6" t="inlineStr">
        <is>
          <t>base net_sales</t>
        </is>
      </c>
      <c r="C4" s="6" t="inlineStr">
        <is>
          <t>Y1 growth</t>
        </is>
      </c>
      <c r="D4" s="6" t="inlineStr">
        <is>
          <t>Y1 margin</t>
        </is>
      </c>
      <c r="E4" s="6" t="inlineStr">
        <is>
          <t>Y1 net_sales</t>
        </is>
      </c>
      <c r="F4" s="6" t="inlineStr">
        <is>
          <t>Y1 adj EBITDA</t>
        </is>
      </c>
      <c r="G4" s="6" t="inlineStr">
        <is>
          <t>Y2 growth</t>
        </is>
      </c>
      <c r="H4" s="6" t="inlineStr">
        <is>
          <t>Y2 margin</t>
        </is>
      </c>
      <c r="I4" s="6" t="inlineStr">
        <is>
          <t>Y2 net_sales</t>
        </is>
      </c>
      <c r="J4" s="6" t="inlineStr">
        <is>
          <t>Y2 adj EBITDA</t>
        </is>
      </c>
      <c r="K4" s="6" t="inlineStr">
        <is>
          <t>Y3 growth</t>
        </is>
      </c>
      <c r="L4" s="6" t="inlineStr">
        <is>
          <t>Y3 margin</t>
        </is>
      </c>
      <c r="M4" s="6" t="inlineStr">
        <is>
          <t>Y3 net_sales</t>
        </is>
      </c>
      <c r="N4" s="6" t="inlineStr">
        <is>
          <t>Y3 adj EBITDA</t>
        </is>
      </c>
      <c r="O4" s="6" t="inlineStr">
        <is>
          <t>Y4 growth</t>
        </is>
      </c>
      <c r="P4" s="6" t="inlineStr">
        <is>
          <t>Y4 margin</t>
        </is>
      </c>
      <c r="Q4" s="6" t="inlineStr">
        <is>
          <t>Y4 net_sales</t>
        </is>
      </c>
      <c r="R4" s="6" t="inlineStr">
        <is>
          <t>Y4 adj EBITDA</t>
        </is>
      </c>
      <c r="S4" s="6" t="inlineStr">
        <is>
          <t>Y5 growth</t>
        </is>
      </c>
      <c r="T4" s="6" t="inlineStr">
        <is>
          <t>Y5 margin</t>
        </is>
      </c>
      <c r="U4" s="6" t="inlineStr">
        <is>
          <t>Y5 net_sales</t>
        </is>
      </c>
      <c r="V4" s="6" t="inlineStr">
        <is>
          <t>Y5 adj EBITDA</t>
        </is>
      </c>
    </row>
    <row r="5">
      <c r="A5" s="5">
        <f>IF(Segments!A5="","",Segments!A5)</f>
        <v/>
      </c>
      <c r="B5" s="11">
        <f>IF(A5="","",Segments!B5)</f>
        <v/>
      </c>
      <c r="C5" s="9" t="n"/>
      <c r="D5" s="10" t="n"/>
      <c r="E5" s="11">
        <f>IF(OR(A5="",C5=""),"",B5*(1+C5))</f>
        <v/>
      </c>
      <c r="F5" s="11">
        <f>IF(E5="","",E5*D5)</f>
        <v/>
      </c>
      <c r="G5" s="9" t="n"/>
      <c r="H5" s="10" t="n"/>
      <c r="I5" s="11">
        <f>IF(OR(A5="",G5=""),"",E5*(1+G5))</f>
        <v/>
      </c>
      <c r="J5" s="11">
        <f>IF(I5="","",I5*H5)</f>
        <v/>
      </c>
      <c r="K5" s="9" t="n"/>
      <c r="L5" s="10" t="n"/>
      <c r="M5" s="11">
        <f>IF(OR(A5="",K5=""),"",I5*(1+K5))</f>
        <v/>
      </c>
      <c r="N5" s="11">
        <f>IF(M5="","",M5*L5)</f>
        <v/>
      </c>
      <c r="O5" s="9" t="n"/>
      <c r="P5" s="10" t="n"/>
      <c r="Q5" s="11">
        <f>IF(OR(A5="",O5=""),"",M5*(1+O5))</f>
        <v/>
      </c>
      <c r="R5" s="11">
        <f>IF(Q5="","",Q5*P5)</f>
        <v/>
      </c>
      <c r="S5" s="9" t="n"/>
      <c r="T5" s="10" t="n"/>
      <c r="U5" s="11">
        <f>IF(OR(A5="",S5=""),"",Q5*(1+S5))</f>
        <v/>
      </c>
      <c r="V5" s="11">
        <f>IF(U5="","",U5*T5)</f>
        <v/>
      </c>
    </row>
    <row r="6">
      <c r="A6" s="5">
        <f>IF(Segments!A6="","",Segments!A6)</f>
        <v/>
      </c>
      <c r="B6" s="11">
        <f>IF(A6="","",Segments!B6)</f>
        <v/>
      </c>
      <c r="C6" s="9" t="n"/>
      <c r="D6" s="10" t="n"/>
      <c r="E6" s="11">
        <f>IF(OR(A6="",C6=""),"",B6*(1+C6))</f>
        <v/>
      </c>
      <c r="F6" s="11">
        <f>IF(E6="","",E6*D6)</f>
        <v/>
      </c>
      <c r="G6" s="9" t="n"/>
      <c r="H6" s="10" t="n"/>
      <c r="I6" s="11">
        <f>IF(OR(A6="",G6=""),"",E6*(1+G6))</f>
        <v/>
      </c>
      <c r="J6" s="11">
        <f>IF(I6="","",I6*H6)</f>
        <v/>
      </c>
      <c r="K6" s="9" t="n"/>
      <c r="L6" s="10" t="n"/>
      <c r="M6" s="11">
        <f>IF(OR(A6="",K6=""),"",I6*(1+K6))</f>
        <v/>
      </c>
      <c r="N6" s="11">
        <f>IF(M6="","",M6*L6)</f>
        <v/>
      </c>
      <c r="O6" s="9" t="n"/>
      <c r="P6" s="10" t="n"/>
      <c r="Q6" s="11">
        <f>IF(OR(A6="",O6=""),"",M6*(1+O6))</f>
        <v/>
      </c>
      <c r="R6" s="11">
        <f>IF(Q6="","",Q6*P6)</f>
        <v/>
      </c>
      <c r="S6" s="9" t="n"/>
      <c r="T6" s="10" t="n"/>
      <c r="U6" s="11">
        <f>IF(OR(A6="",S6=""),"",Q6*(1+S6))</f>
        <v/>
      </c>
      <c r="V6" s="11">
        <f>IF(U6="","",U6*T6)</f>
        <v/>
      </c>
    </row>
    <row r="7">
      <c r="A7" s="5">
        <f>IF(Segments!A7="","",Segments!A7)</f>
        <v/>
      </c>
      <c r="B7" s="11">
        <f>IF(A7="","",Segments!B7)</f>
        <v/>
      </c>
      <c r="C7" s="9" t="n"/>
      <c r="D7" s="10" t="n"/>
      <c r="E7" s="11">
        <f>IF(OR(A7="",C7=""),"",B7*(1+C7))</f>
        <v/>
      </c>
      <c r="F7" s="11">
        <f>IF(E7="","",E7*D7)</f>
        <v/>
      </c>
      <c r="G7" s="9" t="n"/>
      <c r="H7" s="10" t="n"/>
      <c r="I7" s="11">
        <f>IF(OR(A7="",G7=""),"",E7*(1+G7))</f>
        <v/>
      </c>
      <c r="J7" s="11">
        <f>IF(I7="","",I7*H7)</f>
        <v/>
      </c>
      <c r="K7" s="9" t="n"/>
      <c r="L7" s="10" t="n"/>
      <c r="M7" s="11">
        <f>IF(OR(A7="",K7=""),"",I7*(1+K7))</f>
        <v/>
      </c>
      <c r="N7" s="11">
        <f>IF(M7="","",M7*L7)</f>
        <v/>
      </c>
      <c r="O7" s="9" t="n"/>
      <c r="P7" s="10" t="n"/>
      <c r="Q7" s="11">
        <f>IF(OR(A7="",O7=""),"",M7*(1+O7))</f>
        <v/>
      </c>
      <c r="R7" s="11">
        <f>IF(Q7="","",Q7*P7)</f>
        <v/>
      </c>
      <c r="S7" s="9" t="n"/>
      <c r="T7" s="10" t="n"/>
      <c r="U7" s="11">
        <f>IF(OR(A7="",S7=""),"",Q7*(1+S7))</f>
        <v/>
      </c>
      <c r="V7" s="11">
        <f>IF(U7="","",U7*T7)</f>
        <v/>
      </c>
    </row>
    <row r="8">
      <c r="A8" s="5">
        <f>IF(Segments!A8="","",Segments!A8)</f>
        <v/>
      </c>
      <c r="B8" s="11">
        <f>IF(A8="","",Segments!B8)</f>
        <v/>
      </c>
      <c r="C8" s="9" t="n"/>
      <c r="D8" s="10" t="n"/>
      <c r="E8" s="11">
        <f>IF(OR(A8="",C8=""),"",B8*(1+C8))</f>
        <v/>
      </c>
      <c r="F8" s="11">
        <f>IF(E8="","",E8*D8)</f>
        <v/>
      </c>
      <c r="G8" s="9" t="n"/>
      <c r="H8" s="10" t="n"/>
      <c r="I8" s="11">
        <f>IF(OR(A8="",G8=""),"",E8*(1+G8))</f>
        <v/>
      </c>
      <c r="J8" s="11">
        <f>IF(I8="","",I8*H8)</f>
        <v/>
      </c>
      <c r="K8" s="9" t="n"/>
      <c r="L8" s="10" t="n"/>
      <c r="M8" s="11">
        <f>IF(OR(A8="",K8=""),"",I8*(1+K8))</f>
        <v/>
      </c>
      <c r="N8" s="11">
        <f>IF(M8="","",M8*L8)</f>
        <v/>
      </c>
      <c r="O8" s="9" t="n"/>
      <c r="P8" s="10" t="n"/>
      <c r="Q8" s="11">
        <f>IF(OR(A8="",O8=""),"",M8*(1+O8))</f>
        <v/>
      </c>
      <c r="R8" s="11">
        <f>IF(Q8="","",Q8*P8)</f>
        <v/>
      </c>
      <c r="S8" s="9" t="n"/>
      <c r="T8" s="10" t="n"/>
      <c r="U8" s="11">
        <f>IF(OR(A8="",S8=""),"",Q8*(1+S8))</f>
        <v/>
      </c>
      <c r="V8" s="11">
        <f>IF(U8="","",U8*T8)</f>
        <v/>
      </c>
    </row>
    <row r="9">
      <c r="A9" s="5">
        <f>IF(Segments!A9="","",Segments!A9)</f>
        <v/>
      </c>
      <c r="B9" s="11">
        <f>IF(A9="","",Segments!B9)</f>
        <v/>
      </c>
      <c r="C9" s="9" t="n"/>
      <c r="D9" s="10" t="n"/>
      <c r="E9" s="11">
        <f>IF(OR(A9="",C9=""),"",B9*(1+C9))</f>
        <v/>
      </c>
      <c r="F9" s="11">
        <f>IF(E9="","",E9*D9)</f>
        <v/>
      </c>
      <c r="G9" s="9" t="n"/>
      <c r="H9" s="10" t="n"/>
      <c r="I9" s="11">
        <f>IF(OR(A9="",G9=""),"",E9*(1+G9))</f>
        <v/>
      </c>
      <c r="J9" s="11">
        <f>IF(I9="","",I9*H9)</f>
        <v/>
      </c>
      <c r="K9" s="9" t="n"/>
      <c r="L9" s="10" t="n"/>
      <c r="M9" s="11">
        <f>IF(OR(A9="",K9=""),"",I9*(1+K9))</f>
        <v/>
      </c>
      <c r="N9" s="11">
        <f>IF(M9="","",M9*L9)</f>
        <v/>
      </c>
      <c r="O9" s="9" t="n"/>
      <c r="P9" s="10" t="n"/>
      <c r="Q9" s="11">
        <f>IF(OR(A9="",O9=""),"",M9*(1+O9))</f>
        <v/>
      </c>
      <c r="R9" s="11">
        <f>IF(Q9="","",Q9*P9)</f>
        <v/>
      </c>
      <c r="S9" s="9" t="n"/>
      <c r="T9" s="10" t="n"/>
      <c r="U9" s="11">
        <f>IF(OR(A9="",S9=""),"",Q9*(1+S9))</f>
        <v/>
      </c>
      <c r="V9" s="11">
        <f>IF(U9="","",U9*T9)</f>
        <v/>
      </c>
    </row>
    <row r="10">
      <c r="A10" s="5">
        <f>IF(Segments!A10="","",Segments!A10)</f>
        <v/>
      </c>
      <c r="B10" s="11">
        <f>IF(A10="","",Segments!B10)</f>
        <v/>
      </c>
      <c r="C10" s="9" t="n"/>
      <c r="D10" s="10" t="n"/>
      <c r="E10" s="11">
        <f>IF(OR(A10="",C10=""),"",B10*(1+C10))</f>
        <v/>
      </c>
      <c r="F10" s="11">
        <f>IF(E10="","",E10*D10)</f>
        <v/>
      </c>
      <c r="G10" s="9" t="n"/>
      <c r="H10" s="10" t="n"/>
      <c r="I10" s="11">
        <f>IF(OR(A10="",G10=""),"",E10*(1+G10))</f>
        <v/>
      </c>
      <c r="J10" s="11">
        <f>IF(I10="","",I10*H10)</f>
        <v/>
      </c>
      <c r="K10" s="9" t="n"/>
      <c r="L10" s="10" t="n"/>
      <c r="M10" s="11">
        <f>IF(OR(A10="",K10=""),"",I10*(1+K10))</f>
        <v/>
      </c>
      <c r="N10" s="11">
        <f>IF(M10="","",M10*L10)</f>
        <v/>
      </c>
      <c r="O10" s="9" t="n"/>
      <c r="P10" s="10" t="n"/>
      <c r="Q10" s="11">
        <f>IF(OR(A10="",O10=""),"",M10*(1+O10))</f>
        <v/>
      </c>
      <c r="R10" s="11">
        <f>IF(Q10="","",Q10*P10)</f>
        <v/>
      </c>
      <c r="S10" s="9" t="n"/>
      <c r="T10" s="10" t="n"/>
      <c r="U10" s="11">
        <f>IF(OR(A10="",S10=""),"",Q10*(1+S10))</f>
        <v/>
      </c>
      <c r="V10" s="11">
        <f>IF(U10="","",U10*T10)</f>
        <v/>
      </c>
    </row>
    <row r="11">
      <c r="A11" s="5">
        <f>IF(Segments!A11="","",Segments!A11)</f>
        <v/>
      </c>
      <c r="B11" s="11">
        <f>IF(A11="","",Segments!B11)</f>
        <v/>
      </c>
      <c r="C11" s="9" t="n"/>
      <c r="D11" s="10" t="n"/>
      <c r="E11" s="11">
        <f>IF(OR(A11="",C11=""),"",B11*(1+C11))</f>
        <v/>
      </c>
      <c r="F11" s="11">
        <f>IF(E11="","",E11*D11)</f>
        <v/>
      </c>
      <c r="G11" s="9" t="n"/>
      <c r="H11" s="10" t="n"/>
      <c r="I11" s="11">
        <f>IF(OR(A11="",G11=""),"",E11*(1+G11))</f>
        <v/>
      </c>
      <c r="J11" s="11">
        <f>IF(I11="","",I11*H11)</f>
        <v/>
      </c>
      <c r="K11" s="9" t="n"/>
      <c r="L11" s="10" t="n"/>
      <c r="M11" s="11">
        <f>IF(OR(A11="",K11=""),"",I11*(1+K11))</f>
        <v/>
      </c>
      <c r="N11" s="11">
        <f>IF(M11="","",M11*L11)</f>
        <v/>
      </c>
      <c r="O11" s="9" t="n"/>
      <c r="P11" s="10" t="n"/>
      <c r="Q11" s="11">
        <f>IF(OR(A11="",O11=""),"",M11*(1+O11))</f>
        <v/>
      </c>
      <c r="R11" s="11">
        <f>IF(Q11="","",Q11*P11)</f>
        <v/>
      </c>
      <c r="S11" s="9" t="n"/>
      <c r="T11" s="10" t="n"/>
      <c r="U11" s="11">
        <f>IF(OR(A11="",S11=""),"",Q11*(1+S11))</f>
        <v/>
      </c>
      <c r="V11" s="11">
        <f>IF(U11="","",U11*T11)</f>
        <v/>
      </c>
    </row>
    <row r="12">
      <c r="A12" s="5">
        <f>IF(Segments!A12="","",Segments!A12)</f>
        <v/>
      </c>
      <c r="B12" s="11">
        <f>IF(A12="","",Segments!B12)</f>
        <v/>
      </c>
      <c r="C12" s="9" t="n"/>
      <c r="D12" s="10" t="n"/>
      <c r="E12" s="11">
        <f>IF(OR(A12="",C12=""),"",B12*(1+C12))</f>
        <v/>
      </c>
      <c r="F12" s="11">
        <f>IF(E12="","",E12*D12)</f>
        <v/>
      </c>
      <c r="G12" s="9" t="n"/>
      <c r="H12" s="10" t="n"/>
      <c r="I12" s="11">
        <f>IF(OR(A12="",G12=""),"",E12*(1+G12))</f>
        <v/>
      </c>
      <c r="J12" s="11">
        <f>IF(I12="","",I12*H12)</f>
        <v/>
      </c>
      <c r="K12" s="9" t="n"/>
      <c r="L12" s="10" t="n"/>
      <c r="M12" s="11">
        <f>IF(OR(A12="",K12=""),"",I12*(1+K12))</f>
        <v/>
      </c>
      <c r="N12" s="11">
        <f>IF(M12="","",M12*L12)</f>
        <v/>
      </c>
      <c r="O12" s="9" t="n"/>
      <c r="P12" s="10" t="n"/>
      <c r="Q12" s="11">
        <f>IF(OR(A12="",O12=""),"",M12*(1+O12))</f>
        <v/>
      </c>
      <c r="R12" s="11">
        <f>IF(Q12="","",Q12*P12)</f>
        <v/>
      </c>
      <c r="S12" s="9" t="n"/>
      <c r="T12" s="10" t="n"/>
      <c r="U12" s="11">
        <f>IF(OR(A12="",S12=""),"",Q12*(1+S12))</f>
        <v/>
      </c>
      <c r="V12" s="11">
        <f>IF(U12="","",U12*T12)</f>
        <v/>
      </c>
    </row>
    <row r="13">
      <c r="A13" s="5">
        <f>IF(Segments!A13="","",Segments!A13)</f>
        <v/>
      </c>
      <c r="B13" s="11">
        <f>IF(A13="","",Segments!B13)</f>
        <v/>
      </c>
      <c r="C13" s="9" t="n"/>
      <c r="D13" s="10" t="n"/>
      <c r="E13" s="11">
        <f>IF(OR(A13="",C13=""),"",B13*(1+C13))</f>
        <v/>
      </c>
      <c r="F13" s="11">
        <f>IF(E13="","",E13*D13)</f>
        <v/>
      </c>
      <c r="G13" s="9" t="n"/>
      <c r="H13" s="10" t="n"/>
      <c r="I13" s="11">
        <f>IF(OR(A13="",G13=""),"",E13*(1+G13))</f>
        <v/>
      </c>
      <c r="J13" s="11">
        <f>IF(I13="","",I13*H13)</f>
        <v/>
      </c>
      <c r="K13" s="9" t="n"/>
      <c r="L13" s="10" t="n"/>
      <c r="M13" s="11">
        <f>IF(OR(A13="",K13=""),"",I13*(1+K13))</f>
        <v/>
      </c>
      <c r="N13" s="11">
        <f>IF(M13="","",M13*L13)</f>
        <v/>
      </c>
      <c r="O13" s="9" t="n"/>
      <c r="P13" s="10" t="n"/>
      <c r="Q13" s="11">
        <f>IF(OR(A13="",O13=""),"",M13*(1+O13))</f>
        <v/>
      </c>
      <c r="R13" s="11">
        <f>IF(Q13="","",Q13*P13)</f>
        <v/>
      </c>
      <c r="S13" s="9" t="n"/>
      <c r="T13" s="10" t="n"/>
      <c r="U13" s="11">
        <f>IF(OR(A13="",S13=""),"",Q13*(1+S13))</f>
        <v/>
      </c>
      <c r="V13" s="11">
        <f>IF(U13="","",U13*T13)</f>
        <v/>
      </c>
    </row>
    <row r="14">
      <c r="A14" s="5">
        <f>IF(Segments!A14="","",Segments!A14)</f>
        <v/>
      </c>
      <c r="B14" s="11">
        <f>IF(A14="","",Segments!B14)</f>
        <v/>
      </c>
      <c r="C14" s="9" t="n"/>
      <c r="D14" s="10" t="n"/>
      <c r="E14" s="11">
        <f>IF(OR(A14="",C14=""),"",B14*(1+C14))</f>
        <v/>
      </c>
      <c r="F14" s="11">
        <f>IF(E14="","",E14*D14)</f>
        <v/>
      </c>
      <c r="G14" s="9" t="n"/>
      <c r="H14" s="10" t="n"/>
      <c r="I14" s="11">
        <f>IF(OR(A14="",G14=""),"",E14*(1+G14))</f>
        <v/>
      </c>
      <c r="J14" s="11">
        <f>IF(I14="","",I14*H14)</f>
        <v/>
      </c>
      <c r="K14" s="9" t="n"/>
      <c r="L14" s="10" t="n"/>
      <c r="M14" s="11">
        <f>IF(OR(A14="",K14=""),"",I14*(1+K14))</f>
        <v/>
      </c>
      <c r="N14" s="11">
        <f>IF(M14="","",M14*L14)</f>
        <v/>
      </c>
      <c r="O14" s="9" t="n"/>
      <c r="P14" s="10" t="n"/>
      <c r="Q14" s="11">
        <f>IF(OR(A14="",O14=""),"",M14*(1+O14))</f>
        <v/>
      </c>
      <c r="R14" s="11">
        <f>IF(Q14="","",Q14*P14)</f>
        <v/>
      </c>
      <c r="S14" s="9" t="n"/>
      <c r="T14" s="10" t="n"/>
      <c r="U14" s="11">
        <f>IF(OR(A14="",S14=""),"",Q14*(1+S14))</f>
        <v/>
      </c>
      <c r="V14" s="11">
        <f>IF(U14="","",U14*T14)</f>
        <v/>
      </c>
    </row>
    <row r="15">
      <c r="A15" s="5">
        <f>IF(Segments!A15="","",Segments!A15)</f>
        <v/>
      </c>
      <c r="B15" s="11">
        <f>IF(A15="","",Segments!B15)</f>
        <v/>
      </c>
      <c r="C15" s="9" t="n"/>
      <c r="D15" s="10" t="n"/>
      <c r="E15" s="11">
        <f>IF(OR(A15="",C15=""),"",B15*(1+C15))</f>
        <v/>
      </c>
      <c r="F15" s="11">
        <f>IF(E15="","",E15*D15)</f>
        <v/>
      </c>
      <c r="G15" s="9" t="n"/>
      <c r="H15" s="10" t="n"/>
      <c r="I15" s="11">
        <f>IF(OR(A15="",G15=""),"",E15*(1+G15))</f>
        <v/>
      </c>
      <c r="J15" s="11">
        <f>IF(I15="","",I15*H15)</f>
        <v/>
      </c>
      <c r="K15" s="9" t="n"/>
      <c r="L15" s="10" t="n"/>
      <c r="M15" s="11">
        <f>IF(OR(A15="",K15=""),"",I15*(1+K15))</f>
        <v/>
      </c>
      <c r="N15" s="11">
        <f>IF(M15="","",M15*L15)</f>
        <v/>
      </c>
      <c r="O15" s="9" t="n"/>
      <c r="P15" s="10" t="n"/>
      <c r="Q15" s="11">
        <f>IF(OR(A15="",O15=""),"",M15*(1+O15))</f>
        <v/>
      </c>
      <c r="R15" s="11">
        <f>IF(Q15="","",Q15*P15)</f>
        <v/>
      </c>
      <c r="S15" s="9" t="n"/>
      <c r="T15" s="10" t="n"/>
      <c r="U15" s="11">
        <f>IF(OR(A15="",S15=""),"",Q15*(1+S15))</f>
        <v/>
      </c>
      <c r="V15" s="11">
        <f>IF(U15="","",U15*T15)</f>
        <v/>
      </c>
    </row>
    <row r="16">
      <c r="A16" s="5">
        <f>IF(Segments!A16="","",Segments!A16)</f>
        <v/>
      </c>
      <c r="B16" s="11">
        <f>IF(A16="","",Segments!B16)</f>
        <v/>
      </c>
      <c r="C16" s="9" t="n"/>
      <c r="D16" s="10" t="n"/>
      <c r="E16" s="11">
        <f>IF(OR(A16="",C16=""),"",B16*(1+C16))</f>
        <v/>
      </c>
      <c r="F16" s="11">
        <f>IF(E16="","",E16*D16)</f>
        <v/>
      </c>
      <c r="G16" s="9" t="n"/>
      <c r="H16" s="10" t="n"/>
      <c r="I16" s="11">
        <f>IF(OR(A16="",G16=""),"",E16*(1+G16))</f>
        <v/>
      </c>
      <c r="J16" s="11">
        <f>IF(I16="","",I16*H16)</f>
        <v/>
      </c>
      <c r="K16" s="9" t="n"/>
      <c r="L16" s="10" t="n"/>
      <c r="M16" s="11">
        <f>IF(OR(A16="",K16=""),"",I16*(1+K16))</f>
        <v/>
      </c>
      <c r="N16" s="11">
        <f>IF(M16="","",M16*L16)</f>
        <v/>
      </c>
      <c r="O16" s="9" t="n"/>
      <c r="P16" s="10" t="n"/>
      <c r="Q16" s="11">
        <f>IF(OR(A16="",O16=""),"",M16*(1+O16))</f>
        <v/>
      </c>
      <c r="R16" s="11">
        <f>IF(Q16="","",Q16*P16)</f>
        <v/>
      </c>
      <c r="S16" s="9" t="n"/>
      <c r="T16" s="10" t="n"/>
      <c r="U16" s="11">
        <f>IF(OR(A16="",S16=""),"",Q16*(1+S16))</f>
        <v/>
      </c>
      <c r="V16" s="11">
        <f>IF(U16="","",U16*T16)</f>
        <v/>
      </c>
    </row>
    <row r="17"/>
    <row r="18">
      <c r="A18" s="3" t="inlineStr">
        <is>
          <t>TOTAL</t>
        </is>
      </c>
      <c r="E18" s="12">
        <f>SUM(E5:E16)</f>
        <v/>
      </c>
      <c r="F18" s="12">
        <f>SUM(F5:F16)</f>
        <v/>
      </c>
      <c r="I18" s="12">
        <f>SUM(I5:I16)</f>
        <v/>
      </c>
      <c r="J18" s="12">
        <f>SUM(J5:J16)</f>
        <v/>
      </c>
      <c r="M18" s="12">
        <f>SUM(M5:M16)</f>
        <v/>
      </c>
      <c r="N18" s="12">
        <f>SUM(N5:N16)</f>
        <v/>
      </c>
      <c r="Q18" s="12">
        <f>SUM(Q5:Q16)</f>
        <v/>
      </c>
      <c r="R18" s="12">
        <f>SUM(R5:R16)</f>
        <v/>
      </c>
      <c r="U18" s="12">
        <f>SUM(U5:U16)</f>
        <v/>
      </c>
      <c r="V18" s="12">
        <f>SUM(V5:V16)</f>
        <v/>
      </c>
    </row>
    <row r="19">
      <c r="A19" t="inlineStr">
        <is>
          <t>consolidated margin (recomputed)</t>
        </is>
      </c>
      <c r="F19" s="17">
        <f>IF(N(E18)=0,"",F18/E18)</f>
        <v/>
      </c>
      <c r="J19" s="17">
        <f>IF(N(I18)=0,"",J18/I18)</f>
        <v/>
      </c>
      <c r="N19" s="17">
        <f>IF(N(M18)=0,"",N18/M18)</f>
        <v/>
      </c>
      <c r="R19" s="17">
        <f>IF(N(Q18)=0,"",R18/Q18)</f>
        <v/>
      </c>
      <c r="V19" s="17">
        <f>IF(N(U18)=0,"",V18/U18)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2026-10-18T16:52:34Z</dcterms:created>
  <dcterms:modified xmlns:dcterms="http://purl.org/dc/terms/" xmlns:xsi="http://www.w3.org/2001/XMLSchema-instance" xsi:type="dcterms:W3CDTF">2026-10-18T16:52:34Z</dcterms:modified>
</cp:coreProperties>
</file>