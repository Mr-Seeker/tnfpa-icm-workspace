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Task" sheetId="3" state="visible" r:id="rId3"/>
    <sheet xmlns:r="http://schemas.openxmlformats.org/officeDocument/2006/relationships" name="Index" sheetId="4" state="visible" r:id="rId4"/>
    <sheet xmlns:r="http://schemas.openxmlformats.org/officeDocument/2006/relationships" name="Pa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color rgb="001F4E9E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vertical="center" wrapText="1"/>
    </xf>
    <xf numFmtId="0" fontId="2" fillId="2" borderId="1" pivotButton="0" quotePrefix="0" xfId="0"/>
    <xf numFmtId="1" fontId="2" fillId="2" borderId="1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K11 · Memory Index &amp; Task Context Pack (no-code kernel)</t>
        </is>
      </c>
    </row>
    <row r="2"/>
    <row r="3">
      <c r="A3" s="2" t="inlineStr">
        <is>
          <t>Replaces openfpa: pyfpa.memory.retrieval (build_memory_index, search_memory, build_context_pack) and CLI context-pack.</t>
        </is>
      </c>
    </row>
    <row r="4">
      <c r="A4" s="2" t="inlineStr">
        <is>
          <t>Index = memory/index.csv: one row per canonical memory file (path relative to memory/, category = first folder or file stem, title = first '# ' heading or the stem in Title Case, keywords = the unique lowercase words [a-z0-9_-, 2+ chars] of the path, title, headings and frontmatter values). index.csv and context-pack.md are never indexed. The index is derived - rebuild it, never treat it as truth.</t>
        </is>
      </c>
    </row>
    <row r="5">
      <c r="A5" s="2" t="inlineStr">
        <is>
          <t>Task tokens: split the task sentence into the same kind of lowercase words (one per cell, up to 12, duplicates removed).</t>
        </is>
      </c>
    </row>
    <row r="6">
      <c r="A6" s="2" t="inlineStr">
        <is>
          <t>Score = (task tokens found in the entry) / (task tokens) + 0.5 x (task tokens found in the title) + 0.25 x (task tokens found in the path). Entries with zero overlap are dropped. Ties break by path ascending. Default limit 8; optional category filter.</t>
        </is>
      </c>
    </row>
    <row r="7">
      <c r="A7" s="2" t="inlineStr">
        <is>
          <t>'Pack' renders memory/context-pack.md (a TEMPORARY retrieval output; canonical memory stays in the linked files).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  <col width="40" customWidth="1" min="4" max="4"/>
  </cols>
  <sheetData>
    <row r="1">
      <c r="A1" s="1" t="inlineStr">
        <is>
          <t>Checks - OVERALL must be PASS</t>
        </is>
      </c>
    </row>
    <row r="2"/>
    <row r="3">
      <c r="B3" s="3" t="inlineStr">
        <is>
          <t>OVERALL</t>
        </is>
      </c>
      <c r="C3" s="4">
        <f>IF(COUNTIF(C5:C7,"PASS")=COUNT(A5:A7),"PASS","FAIL")</f>
        <v/>
      </c>
      <c r="D3" s="5">
        <f>COUNTIF(C5:C7,"PASS")&amp;" pass / "&amp;COUNTIF(C5:C7,"FAIL")&amp;" fail / "&amp;(COUNT(A5:A7)-COUNTIF(C5:C7,"PASS")-COUNTIF(C5:C7,"FAIL"))&amp;" error"</f>
        <v/>
      </c>
    </row>
    <row r="4">
      <c r="A4" s="6" t="inlineStr">
        <is>
          <t>#</t>
        </is>
      </c>
      <c r="B4" s="6" t="inlineStr">
        <is>
          <t>check</t>
        </is>
      </c>
      <c r="C4" s="6" t="inlineStr">
        <is>
          <t>result</t>
        </is>
      </c>
      <c r="D4" s="6" t="inlineStr">
        <is>
          <t>detail</t>
        </is>
      </c>
    </row>
    <row r="5">
      <c r="A5" t="n">
        <v>1</v>
      </c>
      <c r="B5" t="inlineStr">
        <is>
          <t>at least one task token</t>
        </is>
      </c>
      <c r="C5" s="5">
        <f>IF(Task!B21&gt;0,"PASS","FAIL")</f>
        <v/>
      </c>
      <c r="D5" s="5">
        <f>Task!B21</f>
        <v/>
      </c>
    </row>
    <row r="6">
      <c r="A6" t="n">
        <v>2</v>
      </c>
      <c r="B6" t="inlineStr">
        <is>
          <t>index paths unique</t>
        </is>
      </c>
      <c r="C6" s="5">
        <f>IF(SUMPRODUCT((Index!A5:A404&lt;&gt;"")*(COUNTIF(Index!A5:A404,Index!A5:A404)&gt;1))=0,"PASS","FAIL")</f>
        <v/>
      </c>
    </row>
    <row r="7">
      <c r="A7" t="n">
        <v>3</v>
      </c>
      <c r="B7" t="inlineStr">
        <is>
          <t>limit &gt;= 1</t>
        </is>
      </c>
      <c r="C7" s="5">
        <f>IF(Task!B4&gt;=1,"PASS","FAIL")</f>
        <v/>
      </c>
    </row>
  </sheetData>
  <conditionalFormatting sqref="C3:C7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</cols>
  <sheetData>
    <row r="1">
      <c r="A1" s="1" t="inlineStr">
        <is>
          <t>Task</t>
        </is>
      </c>
    </row>
    <row r="2"/>
    <row r="3">
      <c r="A3" t="inlineStr">
        <is>
          <t>task (sentence)</t>
        </is>
      </c>
      <c r="B3" s="7" t="n"/>
    </row>
    <row r="4">
      <c r="A4" t="inlineStr">
        <is>
          <t>limit</t>
        </is>
      </c>
      <c r="B4" s="8" t="n">
        <v>8</v>
      </c>
    </row>
    <row r="5">
      <c r="A5" t="inlineStr">
        <is>
          <t>category filter (blank = all; up to 4)</t>
        </is>
      </c>
      <c r="B5" s="7" t="n"/>
      <c r="C5" s="7" t="n"/>
      <c r="D5" s="7" t="n"/>
      <c r="E5" s="7" t="n"/>
    </row>
    <row r="6"/>
    <row r="7">
      <c r="A7" s="6" t="inlineStr">
        <is>
          <t>task token (lowercase word)</t>
        </is>
      </c>
    </row>
    <row r="8">
      <c r="A8" s="7" t="n"/>
    </row>
    <row r="9">
      <c r="A9" s="7" t="n"/>
    </row>
    <row r="10">
      <c r="A10" s="7" t="n"/>
    </row>
    <row r="11">
      <c r="A11" s="7" t="n"/>
    </row>
    <row r="12">
      <c r="A12" s="7" t="n"/>
    </row>
    <row r="13">
      <c r="A13" s="7" t="n"/>
    </row>
    <row r="14">
      <c r="A14" s="7" t="n"/>
    </row>
    <row r="15">
      <c r="A15" s="7" t="n"/>
    </row>
    <row r="16">
      <c r="A16" s="7" t="n"/>
    </row>
    <row r="17">
      <c r="A17" s="7" t="n"/>
    </row>
    <row r="18">
      <c r="A18" s="7" t="n"/>
    </row>
    <row r="19">
      <c r="A19" s="7" t="n"/>
    </row>
    <row r="20"/>
    <row r="21">
      <c r="A21" t="inlineStr">
        <is>
          <t>token count</t>
        </is>
      </c>
      <c r="B21" s="9">
        <f>SUMPRODUCT((A8:A19&lt;&gt;"")*1)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6" customWidth="1" min="2" max="2"/>
    <col width="34" customWidth="1" min="3" max="3"/>
    <col width="60" customWidth="1" min="4" max="4"/>
  </cols>
  <sheetData>
    <row r="1">
      <c r="A1" s="1" t="inlineStr">
        <is>
          <t>Index (paste memory/index.csv)</t>
        </is>
      </c>
    </row>
    <row r="2"/>
    <row r="3"/>
    <row r="4">
      <c r="A4" s="6" t="inlineStr">
        <is>
          <t>path</t>
        </is>
      </c>
      <c r="B4" s="6" t="inlineStr">
        <is>
          <t>category</t>
        </is>
      </c>
      <c r="C4" s="6" t="inlineStr">
        <is>
          <t>title</t>
        </is>
      </c>
      <c r="D4" s="6" t="inlineStr">
        <is>
          <t>keywords (space separated)</t>
        </is>
      </c>
      <c r="E4" s="6" t="inlineStr">
        <is>
          <t>allowed?</t>
        </is>
      </c>
      <c r="F4" s="6" t="inlineStr">
        <is>
          <t>overlap</t>
        </is>
      </c>
      <c r="G4" s="6" t="inlineStr">
        <is>
          <t>title hits</t>
        </is>
      </c>
      <c r="H4" s="6" t="inlineStr">
        <is>
          <t>path hits</t>
        </is>
      </c>
      <c r="I4" s="6" t="inlineStr">
        <is>
          <t>score</t>
        </is>
      </c>
      <c r="J4" s="6" t="inlineStr">
        <is>
          <t>rank key</t>
        </is>
      </c>
      <c r="K4" s="6" t="inlineStr">
        <is>
          <t>rank</t>
        </is>
      </c>
    </row>
    <row r="5">
      <c r="A5" s="7" t="n"/>
      <c r="B5" s="7" t="n"/>
      <c r="C5" s="7" t="n"/>
      <c r="D5" s="7" t="n"/>
      <c r="E5" s="5">
        <f>IF(A5="",0,IF(COUNTA(Task!$B$5:$E$5)=0,1,IF(COUNTIF(Task!$B$5:$E$5,B5)&gt;0,1,0)))</f>
        <v/>
      </c>
      <c r="F5" s="9">
        <f>IF(E5=0,0,IF(Task!$A$8="",0,IF(ISNUMBER(SEARCH(" "&amp;Task!$A$8&amp;" "," "&amp;LOWER(D5&amp;" "&amp;C5&amp;" "&amp;LOWER(SUBSTITUTE(SUBSTITUTE(SUBSTITUTE(SUBSTITUTE(A5,"/"," "),"."," "),"\"," "),"_"," ")))&amp;" ")),1,0))+IF(Task!$A$9="",0,IF(ISNUMBER(SEARCH(" "&amp;Task!$A$9&amp;" "," "&amp;LOWER(D5&amp;" "&amp;C5&amp;" "&amp;LOWER(SUBSTITUTE(SUBSTITUTE(SUBSTITUTE(SUBSTITUTE(A5,"/"," "),"."," "),"\"," "),"_"," ")))&amp;" ")),1,0))+IF(Task!$A$10="",0,IF(ISNUMBER(SEARCH(" "&amp;Task!$A$10&amp;" "," "&amp;LOWER(D5&amp;" "&amp;C5&amp;" "&amp;LOWER(SUBSTITUTE(SUBSTITUTE(SUBSTITUTE(SUBSTITUTE(A5,"/"," "),"."," "),"\"," "),"_"," ")))&amp;" ")),1,0))+IF(Task!$A$11="",0,IF(ISNUMBER(SEARCH(" "&amp;Task!$A$11&amp;" "," "&amp;LOWER(D5&amp;" "&amp;C5&amp;" "&amp;LOWER(SUBSTITUTE(SUBSTITUTE(SUBSTITUTE(SUBSTITUTE(A5,"/"," "),"."," "),"\"," "),"_"," ")))&amp;" ")),1,0))+IF(Task!$A$12="",0,IF(ISNUMBER(SEARCH(" "&amp;Task!$A$12&amp;" "," "&amp;LOWER(D5&amp;" "&amp;C5&amp;" "&amp;LOWER(SUBSTITUTE(SUBSTITUTE(SUBSTITUTE(SUBSTITUTE(A5,"/"," "),"."," "),"\"," "),"_"," ")))&amp;" ")),1,0))+IF(Task!$A$13="",0,IF(ISNUMBER(SEARCH(" "&amp;Task!$A$13&amp;" "," "&amp;LOWER(D5&amp;" "&amp;C5&amp;" "&amp;LOWER(SUBSTITUTE(SUBSTITUTE(SUBSTITUTE(SUBSTITUTE(A5,"/"," "),"."," "),"\"," "),"_"," ")))&amp;" ")),1,0))+IF(Task!$A$14="",0,IF(ISNUMBER(SEARCH(" "&amp;Task!$A$14&amp;" "," "&amp;LOWER(D5&amp;" "&amp;C5&amp;" "&amp;LOWER(SUBSTITUTE(SUBSTITUTE(SUBSTITUTE(SUBSTITUTE(A5,"/"," "),"."," "),"\"," "),"_"," ")))&amp;" ")),1,0))+IF(Task!$A$15="",0,IF(ISNUMBER(SEARCH(" "&amp;Task!$A$15&amp;" "," "&amp;LOWER(D5&amp;" "&amp;C5&amp;" "&amp;LOWER(SUBSTITUTE(SUBSTITUTE(SUBSTITUTE(SUBSTITUTE(A5,"/"," "),"."," "),"\"," "),"_"," ")))&amp;" ")),1,0))+IF(Task!$A$16="",0,IF(ISNUMBER(SEARCH(" "&amp;Task!$A$16&amp;" "," "&amp;LOWER(D5&amp;" "&amp;C5&amp;" "&amp;LOWER(SUBSTITUTE(SUBSTITUTE(SUBSTITUTE(SUBSTITUTE(A5,"/"," "),"."," "),"\"," "),"_"," ")))&amp;" ")),1,0))+IF(Task!$A$17="",0,IF(ISNUMBER(SEARCH(" "&amp;Task!$A$17&amp;" "," "&amp;LOWER(D5&amp;" "&amp;C5&amp;" "&amp;LOWER(SUBSTITUTE(SUBSTITUTE(SUBSTITUTE(SUBSTITUTE(A5,"/"," "),"."," "),"\"," "),"_"," ")))&amp;" ")),1,0))+IF(Task!$A$18="",0,IF(ISNUMBER(SEARCH(" "&amp;Task!$A$18&amp;" "," "&amp;LOWER(D5&amp;" "&amp;C5&amp;" "&amp;LOWER(SUBSTITUTE(SUBSTITUTE(SUBSTITUTE(SUBSTITUTE(A5,"/"," "),"."," "),"\"," "),"_"," ")))&amp;" ")),1,0))+IF(Task!$A$19="",0,IF(ISNUMBER(SEARCH(" "&amp;Task!$A$19&amp;" "," "&amp;LOWER(D5&amp;" "&amp;C5&amp;" "&amp;LOWER(SUBSTITUTE(SUBSTITUTE(SUBSTITUTE(SUBSTITUTE(A5,"/"," "),"."," "),"\"," "),"_"," ")))&amp;" ")),1,0)))</f>
        <v/>
      </c>
      <c r="G5" s="9">
        <f>IF(E5=0,0,IF(Task!$A$8="",0,IF(ISNUMBER(SEARCH(" "&amp;Task!$A$8&amp;" "," "&amp;LOWER(C5)&amp;" ")),1,0))+IF(Task!$A$9="",0,IF(ISNUMBER(SEARCH(" "&amp;Task!$A$9&amp;" "," "&amp;LOWER(C5)&amp;" ")),1,0))+IF(Task!$A$10="",0,IF(ISNUMBER(SEARCH(" "&amp;Task!$A$10&amp;" "," "&amp;LOWER(C5)&amp;" ")),1,0))+IF(Task!$A$11="",0,IF(ISNUMBER(SEARCH(" "&amp;Task!$A$11&amp;" "," "&amp;LOWER(C5)&amp;" ")),1,0))+IF(Task!$A$12="",0,IF(ISNUMBER(SEARCH(" "&amp;Task!$A$12&amp;" "," "&amp;LOWER(C5)&amp;" ")),1,0))+IF(Task!$A$13="",0,IF(ISNUMBER(SEARCH(" "&amp;Task!$A$13&amp;" "," "&amp;LOWER(C5)&amp;" ")),1,0))+IF(Task!$A$14="",0,IF(ISNUMBER(SEARCH(" "&amp;Task!$A$14&amp;" "," "&amp;LOWER(C5)&amp;" ")),1,0))+IF(Task!$A$15="",0,IF(ISNUMBER(SEARCH(" "&amp;Task!$A$15&amp;" "," "&amp;LOWER(C5)&amp;" ")),1,0))+IF(Task!$A$16="",0,IF(ISNUMBER(SEARCH(" "&amp;Task!$A$16&amp;" "," "&amp;LOWER(C5)&amp;" ")),1,0))+IF(Task!$A$17="",0,IF(ISNUMBER(SEARCH(" "&amp;Task!$A$17&amp;" "," "&amp;LOWER(C5)&amp;" ")),1,0))+IF(Task!$A$18="",0,IF(ISNUMBER(SEARCH(" "&amp;Task!$A$18&amp;" "," "&amp;LOWER(C5)&amp;" ")),1,0))+IF(Task!$A$19="",0,IF(ISNUMBER(SEARCH(" "&amp;Task!$A$19&amp;" "," "&amp;LOWER(C5)&amp;" ")),1,0)))</f>
        <v/>
      </c>
      <c r="H5" s="9">
        <f>IF(E5=0,0,IF(Task!$A$8="",0,IF(ISNUMBER(SEARCH(" "&amp;Task!$A$8&amp;" "," "&amp;LOWER(SUBSTITUTE(SUBSTITUTE(SUBSTITUTE(SUBSTITUTE(A5,"/"," "),"."," "),"\"," "),"_"," "))&amp;" ")),1,0))+IF(Task!$A$9="",0,IF(ISNUMBER(SEARCH(" "&amp;Task!$A$9&amp;" "," "&amp;LOWER(SUBSTITUTE(SUBSTITUTE(SUBSTITUTE(SUBSTITUTE(A5,"/"," "),"."," "),"\"," "),"_"," "))&amp;" ")),1,0))+IF(Task!$A$10="",0,IF(ISNUMBER(SEARCH(" "&amp;Task!$A$10&amp;" "," "&amp;LOWER(SUBSTITUTE(SUBSTITUTE(SUBSTITUTE(SUBSTITUTE(A5,"/"," "),"."," "),"\"," "),"_"," "))&amp;" ")),1,0))+IF(Task!$A$11="",0,IF(ISNUMBER(SEARCH(" "&amp;Task!$A$11&amp;" "," "&amp;LOWER(SUBSTITUTE(SUBSTITUTE(SUBSTITUTE(SUBSTITUTE(A5,"/"," "),"."," "),"\"," "),"_"," "))&amp;" ")),1,0))+IF(Task!$A$12="",0,IF(ISNUMBER(SEARCH(" "&amp;Task!$A$12&amp;" "," "&amp;LOWER(SUBSTITUTE(SUBSTITUTE(SUBSTITUTE(SUBSTITUTE(A5,"/"," "),"."," "),"\"," "),"_"," "))&amp;" ")),1,0))+IF(Task!$A$13="",0,IF(ISNUMBER(SEARCH(" "&amp;Task!$A$13&amp;" "," "&amp;LOWER(SUBSTITUTE(SUBSTITUTE(SUBSTITUTE(SUBSTITUTE(A5,"/"," "),"."," "),"\"," "),"_"," "))&amp;" ")),1,0))+IF(Task!$A$14="",0,IF(ISNUMBER(SEARCH(" "&amp;Task!$A$14&amp;" "," "&amp;LOWER(SUBSTITUTE(SUBSTITUTE(SUBSTITUTE(SUBSTITUTE(A5,"/"," "),"."," "),"\"," "),"_"," "))&amp;" ")),1,0))+IF(Task!$A$15="",0,IF(ISNUMBER(SEARCH(" "&amp;Task!$A$15&amp;" "," "&amp;LOWER(SUBSTITUTE(SUBSTITUTE(SUBSTITUTE(SUBSTITUTE(A5,"/"," "),"."," "),"\"," "),"_"," "))&amp;" ")),1,0))+IF(Task!$A$16="",0,IF(ISNUMBER(SEARCH(" "&amp;Task!$A$16&amp;" "," "&amp;LOWER(SUBSTITUTE(SUBSTITUTE(SUBSTITUTE(SUBSTITUTE(A5,"/"," "),"."," "),"\"," "),"_"," "))&amp;" ")),1,0))+IF(Task!$A$17="",0,IF(ISNUMBER(SEARCH(" "&amp;Task!$A$17&amp;" "," "&amp;LOWER(SUBSTITUTE(SUBSTITUTE(SUBSTITUTE(SUBSTITUTE(A5,"/"," "),"."," "),"\"," "),"_"," "))&amp;" ")),1,0))+IF(Task!$A$18="",0,IF(ISNUMBER(SEARCH(" "&amp;Task!$A$18&amp;" "," "&amp;LOWER(SUBSTITUTE(SUBSTITUTE(SUBSTITUTE(SUBSTITUTE(A5,"/"," "),"."," "),"\"," "),"_"," "))&amp;" ")),1,0))+IF(Task!$A$19="",0,IF(ISNUMBER(SEARCH(" "&amp;Task!$A$19&amp;" "," "&amp;LOWER(SUBSTITUTE(SUBSTITUTE(SUBSTITUTE(SUBSTITUTE(A5,"/"," "),"."," "),"\"," "),"_"," "))&amp;" ")),1,0)))</f>
        <v/>
      </c>
      <c r="I5" s="10">
        <f>IF(OR(E5=0,F5=0,Task!$B$21=0),"",F5/Task!$B$21+0.5*G5+0.25*H5)</f>
        <v/>
      </c>
      <c r="J5" s="5">
        <f>IF(I5="","",I5-ROW()/1000000)</f>
        <v/>
      </c>
      <c r="K5" s="9">
        <f>IF(J5="","",COUNTIF($J$5:$J$404,"&gt;"&amp;J5)+1)</f>
        <v/>
      </c>
    </row>
    <row r="6">
      <c r="A6" s="7" t="n"/>
      <c r="B6" s="7" t="n"/>
      <c r="C6" s="7" t="n"/>
      <c r="D6" s="7" t="n"/>
      <c r="E6" s="5">
        <f>IF(A6="",0,IF(COUNTA(Task!$B$5:$E$5)=0,1,IF(COUNTIF(Task!$B$5:$E$5,B6)&gt;0,1,0)))</f>
        <v/>
      </c>
      <c r="F6" s="9">
        <f>IF(E6=0,0,IF(Task!$A$8="",0,IF(ISNUMBER(SEARCH(" "&amp;Task!$A$8&amp;" "," "&amp;LOWER(D6&amp;" "&amp;C6&amp;" "&amp;LOWER(SUBSTITUTE(SUBSTITUTE(SUBSTITUTE(SUBSTITUTE(A6,"/"," "),"."," "),"\"," "),"_"," ")))&amp;" ")),1,0))+IF(Task!$A$9="",0,IF(ISNUMBER(SEARCH(" "&amp;Task!$A$9&amp;" "," "&amp;LOWER(D6&amp;" "&amp;C6&amp;" "&amp;LOWER(SUBSTITUTE(SUBSTITUTE(SUBSTITUTE(SUBSTITUTE(A6,"/"," "),"."," "),"\"," "),"_"," ")))&amp;" ")),1,0))+IF(Task!$A$10="",0,IF(ISNUMBER(SEARCH(" "&amp;Task!$A$10&amp;" "," "&amp;LOWER(D6&amp;" "&amp;C6&amp;" "&amp;LOWER(SUBSTITUTE(SUBSTITUTE(SUBSTITUTE(SUBSTITUTE(A6,"/"," "),"."," "),"\"," "),"_"," ")))&amp;" ")),1,0))+IF(Task!$A$11="",0,IF(ISNUMBER(SEARCH(" "&amp;Task!$A$11&amp;" "," "&amp;LOWER(D6&amp;" "&amp;C6&amp;" "&amp;LOWER(SUBSTITUTE(SUBSTITUTE(SUBSTITUTE(SUBSTITUTE(A6,"/"," "),"."," "),"\"," "),"_"," ")))&amp;" ")),1,0))+IF(Task!$A$12="",0,IF(ISNUMBER(SEARCH(" "&amp;Task!$A$12&amp;" "," "&amp;LOWER(D6&amp;" "&amp;C6&amp;" "&amp;LOWER(SUBSTITUTE(SUBSTITUTE(SUBSTITUTE(SUBSTITUTE(A6,"/"," "),"."," "),"\"," "),"_"," ")))&amp;" ")),1,0))+IF(Task!$A$13="",0,IF(ISNUMBER(SEARCH(" "&amp;Task!$A$13&amp;" "," "&amp;LOWER(D6&amp;" "&amp;C6&amp;" "&amp;LOWER(SUBSTITUTE(SUBSTITUTE(SUBSTITUTE(SUBSTITUTE(A6,"/"," "),"."," "),"\"," "),"_"," ")))&amp;" ")),1,0))+IF(Task!$A$14="",0,IF(ISNUMBER(SEARCH(" "&amp;Task!$A$14&amp;" "," "&amp;LOWER(D6&amp;" "&amp;C6&amp;" "&amp;LOWER(SUBSTITUTE(SUBSTITUTE(SUBSTITUTE(SUBSTITUTE(A6,"/"," "),"."," "),"\"," "),"_"," ")))&amp;" ")),1,0))+IF(Task!$A$15="",0,IF(ISNUMBER(SEARCH(" "&amp;Task!$A$15&amp;" "," "&amp;LOWER(D6&amp;" "&amp;C6&amp;" "&amp;LOWER(SUBSTITUTE(SUBSTITUTE(SUBSTITUTE(SUBSTITUTE(A6,"/"," "),"."," "),"\"," "),"_"," ")))&amp;" ")),1,0))+IF(Task!$A$16="",0,IF(ISNUMBER(SEARCH(" "&amp;Task!$A$16&amp;" "," "&amp;LOWER(D6&amp;" "&amp;C6&amp;" "&amp;LOWER(SUBSTITUTE(SUBSTITUTE(SUBSTITUTE(SUBSTITUTE(A6,"/"," "),"."," "),"\"," "),"_"," ")))&amp;" ")),1,0))+IF(Task!$A$17="",0,IF(ISNUMBER(SEARCH(" "&amp;Task!$A$17&amp;" "," "&amp;LOWER(D6&amp;" "&amp;C6&amp;" "&amp;LOWER(SUBSTITUTE(SUBSTITUTE(SUBSTITUTE(SUBSTITUTE(A6,"/"," "),"."," "),"\"," "),"_"," ")))&amp;" ")),1,0))+IF(Task!$A$18="",0,IF(ISNUMBER(SEARCH(" "&amp;Task!$A$18&amp;" "," "&amp;LOWER(D6&amp;" "&amp;C6&amp;" "&amp;LOWER(SUBSTITUTE(SUBSTITUTE(SUBSTITUTE(SUBSTITUTE(A6,"/"," "),"."," "),"\"," "),"_"," ")))&amp;" ")),1,0))+IF(Task!$A$19="",0,IF(ISNUMBER(SEARCH(" "&amp;Task!$A$19&amp;" "," "&amp;LOWER(D6&amp;" "&amp;C6&amp;" "&amp;LOWER(SUBSTITUTE(SUBSTITUTE(SUBSTITUTE(SUBSTITUTE(A6,"/"," "),"."," "),"\"," "),"_"," ")))&amp;" ")),1,0)))</f>
        <v/>
      </c>
      <c r="G6" s="9">
        <f>IF(E6=0,0,IF(Task!$A$8="",0,IF(ISNUMBER(SEARCH(" "&amp;Task!$A$8&amp;" "," "&amp;LOWER(C6)&amp;" ")),1,0))+IF(Task!$A$9="",0,IF(ISNUMBER(SEARCH(" "&amp;Task!$A$9&amp;" "," "&amp;LOWER(C6)&amp;" ")),1,0))+IF(Task!$A$10="",0,IF(ISNUMBER(SEARCH(" "&amp;Task!$A$10&amp;" "," "&amp;LOWER(C6)&amp;" ")),1,0))+IF(Task!$A$11="",0,IF(ISNUMBER(SEARCH(" "&amp;Task!$A$11&amp;" "," "&amp;LOWER(C6)&amp;" ")),1,0))+IF(Task!$A$12="",0,IF(ISNUMBER(SEARCH(" "&amp;Task!$A$12&amp;" "," "&amp;LOWER(C6)&amp;" ")),1,0))+IF(Task!$A$13="",0,IF(ISNUMBER(SEARCH(" "&amp;Task!$A$13&amp;" "," "&amp;LOWER(C6)&amp;" ")),1,0))+IF(Task!$A$14="",0,IF(ISNUMBER(SEARCH(" "&amp;Task!$A$14&amp;" "," "&amp;LOWER(C6)&amp;" ")),1,0))+IF(Task!$A$15="",0,IF(ISNUMBER(SEARCH(" "&amp;Task!$A$15&amp;" "," "&amp;LOWER(C6)&amp;" ")),1,0))+IF(Task!$A$16="",0,IF(ISNUMBER(SEARCH(" "&amp;Task!$A$16&amp;" "," "&amp;LOWER(C6)&amp;" ")),1,0))+IF(Task!$A$17="",0,IF(ISNUMBER(SEARCH(" "&amp;Task!$A$17&amp;" "," "&amp;LOWER(C6)&amp;" ")),1,0))+IF(Task!$A$18="",0,IF(ISNUMBER(SEARCH(" "&amp;Task!$A$18&amp;" "," "&amp;LOWER(C6)&amp;" ")),1,0))+IF(Task!$A$19="",0,IF(ISNUMBER(SEARCH(" "&amp;Task!$A$19&amp;" "," "&amp;LOWER(C6)&amp;" ")),1,0)))</f>
        <v/>
      </c>
      <c r="H6" s="9">
        <f>IF(E6=0,0,IF(Task!$A$8="",0,IF(ISNUMBER(SEARCH(" "&amp;Task!$A$8&amp;" "," "&amp;LOWER(SUBSTITUTE(SUBSTITUTE(SUBSTITUTE(SUBSTITUTE(A6,"/"," "),"."," "),"\"," "),"_"," "))&amp;" ")),1,0))+IF(Task!$A$9="",0,IF(ISNUMBER(SEARCH(" "&amp;Task!$A$9&amp;" "," "&amp;LOWER(SUBSTITUTE(SUBSTITUTE(SUBSTITUTE(SUBSTITUTE(A6,"/"," "),"."," "),"\"," "),"_"," "))&amp;" ")),1,0))+IF(Task!$A$10="",0,IF(ISNUMBER(SEARCH(" "&amp;Task!$A$10&amp;" "," "&amp;LOWER(SUBSTITUTE(SUBSTITUTE(SUBSTITUTE(SUBSTITUTE(A6,"/"," "),"."," "),"\"," "),"_"," "))&amp;" ")),1,0))+IF(Task!$A$11="",0,IF(ISNUMBER(SEARCH(" "&amp;Task!$A$11&amp;" "," "&amp;LOWER(SUBSTITUTE(SUBSTITUTE(SUBSTITUTE(SUBSTITUTE(A6,"/"," "),"."," "),"\"," "),"_"," "))&amp;" ")),1,0))+IF(Task!$A$12="",0,IF(ISNUMBER(SEARCH(" "&amp;Task!$A$12&amp;" "," "&amp;LOWER(SUBSTITUTE(SUBSTITUTE(SUBSTITUTE(SUBSTITUTE(A6,"/"," "),"."," "),"\"," "),"_"," "))&amp;" ")),1,0))+IF(Task!$A$13="",0,IF(ISNUMBER(SEARCH(" "&amp;Task!$A$13&amp;" "," "&amp;LOWER(SUBSTITUTE(SUBSTITUTE(SUBSTITUTE(SUBSTITUTE(A6,"/"," "),"."," "),"\"," "),"_"," "))&amp;" ")),1,0))+IF(Task!$A$14="",0,IF(ISNUMBER(SEARCH(" "&amp;Task!$A$14&amp;" "," "&amp;LOWER(SUBSTITUTE(SUBSTITUTE(SUBSTITUTE(SUBSTITUTE(A6,"/"," "),"."," "),"\"," "),"_"," "))&amp;" ")),1,0))+IF(Task!$A$15="",0,IF(ISNUMBER(SEARCH(" "&amp;Task!$A$15&amp;" "," "&amp;LOWER(SUBSTITUTE(SUBSTITUTE(SUBSTITUTE(SUBSTITUTE(A6,"/"," "),"."," "),"\"," "),"_"," "))&amp;" ")),1,0))+IF(Task!$A$16="",0,IF(ISNUMBER(SEARCH(" "&amp;Task!$A$16&amp;" "," "&amp;LOWER(SUBSTITUTE(SUBSTITUTE(SUBSTITUTE(SUBSTITUTE(A6,"/"," "),"."," "),"\"," "),"_"," "))&amp;" ")),1,0))+IF(Task!$A$17="",0,IF(ISNUMBER(SEARCH(" "&amp;Task!$A$17&amp;" "," "&amp;LOWER(SUBSTITUTE(SUBSTITUTE(SUBSTITUTE(SUBSTITUTE(A6,"/"," "),"."," "),"\"," "),"_"," "))&amp;" ")),1,0))+IF(Task!$A$18="",0,IF(ISNUMBER(SEARCH(" "&amp;Task!$A$18&amp;" "," "&amp;LOWER(SUBSTITUTE(SUBSTITUTE(SUBSTITUTE(SUBSTITUTE(A6,"/"," "),"."," "),"\"," "),"_"," "))&amp;" ")),1,0))+IF(Task!$A$19="",0,IF(ISNUMBER(SEARCH(" "&amp;Task!$A$19&amp;" "," "&amp;LOWER(SUBSTITUTE(SUBSTITUTE(SUBSTITUTE(SUBSTITUTE(A6,"/"," "),"."," "),"\"," "),"_"," "))&amp;" ")),1,0)))</f>
        <v/>
      </c>
      <c r="I6" s="10">
        <f>IF(OR(E6=0,F6=0,Task!$B$21=0),"",F6/Task!$B$21+0.5*G6+0.25*H6)</f>
        <v/>
      </c>
      <c r="J6" s="5">
        <f>IF(I6="","",I6-ROW()/1000000)</f>
        <v/>
      </c>
      <c r="K6" s="9">
        <f>IF(J6="","",COUNTIF($J$5:$J$404,"&gt;"&amp;J6)+1)</f>
        <v/>
      </c>
    </row>
    <row r="7">
      <c r="A7" s="7" t="n"/>
      <c r="B7" s="7" t="n"/>
      <c r="C7" s="7" t="n"/>
      <c r="D7" s="7" t="n"/>
      <c r="E7" s="5">
        <f>IF(A7="",0,IF(COUNTA(Task!$B$5:$E$5)=0,1,IF(COUNTIF(Task!$B$5:$E$5,B7)&gt;0,1,0)))</f>
        <v/>
      </c>
      <c r="F7" s="9">
        <f>IF(E7=0,0,IF(Task!$A$8="",0,IF(ISNUMBER(SEARCH(" "&amp;Task!$A$8&amp;" "," "&amp;LOWER(D7&amp;" "&amp;C7&amp;" "&amp;LOWER(SUBSTITUTE(SUBSTITUTE(SUBSTITUTE(SUBSTITUTE(A7,"/"," "),"."," "),"\"," "),"_"," ")))&amp;" ")),1,0))+IF(Task!$A$9="",0,IF(ISNUMBER(SEARCH(" "&amp;Task!$A$9&amp;" "," "&amp;LOWER(D7&amp;" "&amp;C7&amp;" "&amp;LOWER(SUBSTITUTE(SUBSTITUTE(SUBSTITUTE(SUBSTITUTE(A7,"/"," "),"."," "),"\"," "),"_"," ")))&amp;" ")),1,0))+IF(Task!$A$10="",0,IF(ISNUMBER(SEARCH(" "&amp;Task!$A$10&amp;" "," "&amp;LOWER(D7&amp;" "&amp;C7&amp;" "&amp;LOWER(SUBSTITUTE(SUBSTITUTE(SUBSTITUTE(SUBSTITUTE(A7,"/"," "),"."," "),"\"," "),"_"," ")))&amp;" ")),1,0))+IF(Task!$A$11="",0,IF(ISNUMBER(SEARCH(" "&amp;Task!$A$11&amp;" "," "&amp;LOWER(D7&amp;" "&amp;C7&amp;" "&amp;LOWER(SUBSTITUTE(SUBSTITUTE(SUBSTITUTE(SUBSTITUTE(A7,"/"," "),"."," "),"\"," "),"_"," ")))&amp;" ")),1,0))+IF(Task!$A$12="",0,IF(ISNUMBER(SEARCH(" "&amp;Task!$A$12&amp;" "," "&amp;LOWER(D7&amp;" "&amp;C7&amp;" "&amp;LOWER(SUBSTITUTE(SUBSTITUTE(SUBSTITUTE(SUBSTITUTE(A7,"/"," "),"."," "),"\"," "),"_"," ")))&amp;" ")),1,0))+IF(Task!$A$13="",0,IF(ISNUMBER(SEARCH(" "&amp;Task!$A$13&amp;" "," "&amp;LOWER(D7&amp;" "&amp;C7&amp;" "&amp;LOWER(SUBSTITUTE(SUBSTITUTE(SUBSTITUTE(SUBSTITUTE(A7,"/"," "),"."," "),"\"," "),"_"," ")))&amp;" ")),1,0))+IF(Task!$A$14="",0,IF(ISNUMBER(SEARCH(" "&amp;Task!$A$14&amp;" "," "&amp;LOWER(D7&amp;" "&amp;C7&amp;" "&amp;LOWER(SUBSTITUTE(SUBSTITUTE(SUBSTITUTE(SUBSTITUTE(A7,"/"," "),"."," "),"\"," "),"_"," ")))&amp;" ")),1,0))+IF(Task!$A$15="",0,IF(ISNUMBER(SEARCH(" "&amp;Task!$A$15&amp;" "," "&amp;LOWER(D7&amp;" "&amp;C7&amp;" "&amp;LOWER(SUBSTITUTE(SUBSTITUTE(SUBSTITUTE(SUBSTITUTE(A7,"/"," "),"."," "),"\"," "),"_"," ")))&amp;" ")),1,0))+IF(Task!$A$16="",0,IF(ISNUMBER(SEARCH(" "&amp;Task!$A$16&amp;" "," "&amp;LOWER(D7&amp;" "&amp;C7&amp;" "&amp;LOWER(SUBSTITUTE(SUBSTITUTE(SUBSTITUTE(SUBSTITUTE(A7,"/"," "),"."," "),"\"," "),"_"," ")))&amp;" ")),1,0))+IF(Task!$A$17="",0,IF(ISNUMBER(SEARCH(" "&amp;Task!$A$17&amp;" "," "&amp;LOWER(D7&amp;" "&amp;C7&amp;" "&amp;LOWER(SUBSTITUTE(SUBSTITUTE(SUBSTITUTE(SUBSTITUTE(A7,"/"," "),"."," "),"\"," "),"_"," ")))&amp;" ")),1,0))+IF(Task!$A$18="",0,IF(ISNUMBER(SEARCH(" "&amp;Task!$A$18&amp;" "," "&amp;LOWER(D7&amp;" "&amp;C7&amp;" "&amp;LOWER(SUBSTITUTE(SUBSTITUTE(SUBSTITUTE(SUBSTITUTE(A7,"/"," "),"."," "),"\"," "),"_"," ")))&amp;" ")),1,0))+IF(Task!$A$19="",0,IF(ISNUMBER(SEARCH(" "&amp;Task!$A$19&amp;" "," "&amp;LOWER(D7&amp;" "&amp;C7&amp;" "&amp;LOWER(SUBSTITUTE(SUBSTITUTE(SUBSTITUTE(SUBSTITUTE(A7,"/"," "),"."," "),"\"," "),"_"," ")))&amp;" ")),1,0)))</f>
        <v/>
      </c>
      <c r="G7" s="9">
        <f>IF(E7=0,0,IF(Task!$A$8="",0,IF(ISNUMBER(SEARCH(" "&amp;Task!$A$8&amp;" "," "&amp;LOWER(C7)&amp;" ")),1,0))+IF(Task!$A$9="",0,IF(ISNUMBER(SEARCH(" "&amp;Task!$A$9&amp;" "," "&amp;LOWER(C7)&amp;" ")),1,0))+IF(Task!$A$10="",0,IF(ISNUMBER(SEARCH(" "&amp;Task!$A$10&amp;" "," "&amp;LOWER(C7)&amp;" ")),1,0))+IF(Task!$A$11="",0,IF(ISNUMBER(SEARCH(" "&amp;Task!$A$11&amp;" "," "&amp;LOWER(C7)&amp;" ")),1,0))+IF(Task!$A$12="",0,IF(ISNUMBER(SEARCH(" "&amp;Task!$A$12&amp;" "," "&amp;LOWER(C7)&amp;" ")),1,0))+IF(Task!$A$13="",0,IF(ISNUMBER(SEARCH(" "&amp;Task!$A$13&amp;" "," "&amp;LOWER(C7)&amp;" ")),1,0))+IF(Task!$A$14="",0,IF(ISNUMBER(SEARCH(" "&amp;Task!$A$14&amp;" "," "&amp;LOWER(C7)&amp;" ")),1,0))+IF(Task!$A$15="",0,IF(ISNUMBER(SEARCH(" "&amp;Task!$A$15&amp;" "," "&amp;LOWER(C7)&amp;" ")),1,0))+IF(Task!$A$16="",0,IF(ISNUMBER(SEARCH(" "&amp;Task!$A$16&amp;" "," "&amp;LOWER(C7)&amp;" ")),1,0))+IF(Task!$A$17="",0,IF(ISNUMBER(SEARCH(" "&amp;Task!$A$17&amp;" "," "&amp;LOWER(C7)&amp;" ")),1,0))+IF(Task!$A$18="",0,IF(ISNUMBER(SEARCH(" "&amp;Task!$A$18&amp;" "," "&amp;LOWER(C7)&amp;" ")),1,0))+IF(Task!$A$19="",0,IF(ISNUMBER(SEARCH(" "&amp;Task!$A$19&amp;" "," "&amp;LOWER(C7)&amp;" ")),1,0)))</f>
        <v/>
      </c>
      <c r="H7" s="9">
        <f>IF(E7=0,0,IF(Task!$A$8="",0,IF(ISNUMBER(SEARCH(" "&amp;Task!$A$8&amp;" "," "&amp;LOWER(SUBSTITUTE(SUBSTITUTE(SUBSTITUTE(SUBSTITUTE(A7,"/"," "),"."," "),"\"," "),"_"," "))&amp;" ")),1,0))+IF(Task!$A$9="",0,IF(ISNUMBER(SEARCH(" "&amp;Task!$A$9&amp;" "," "&amp;LOWER(SUBSTITUTE(SUBSTITUTE(SUBSTITUTE(SUBSTITUTE(A7,"/"," "),"."," "),"\"," "),"_"," "))&amp;" ")),1,0))+IF(Task!$A$10="",0,IF(ISNUMBER(SEARCH(" "&amp;Task!$A$10&amp;" "," "&amp;LOWER(SUBSTITUTE(SUBSTITUTE(SUBSTITUTE(SUBSTITUTE(A7,"/"," "),"."," "),"\"," "),"_"," "))&amp;" ")),1,0))+IF(Task!$A$11="",0,IF(ISNUMBER(SEARCH(" "&amp;Task!$A$11&amp;" "," "&amp;LOWER(SUBSTITUTE(SUBSTITUTE(SUBSTITUTE(SUBSTITUTE(A7,"/"," "),"."," "),"\"," "),"_"," "))&amp;" ")),1,0))+IF(Task!$A$12="",0,IF(ISNUMBER(SEARCH(" "&amp;Task!$A$12&amp;" "," "&amp;LOWER(SUBSTITUTE(SUBSTITUTE(SUBSTITUTE(SUBSTITUTE(A7,"/"," "),"."," "),"\"," "),"_"," "))&amp;" ")),1,0))+IF(Task!$A$13="",0,IF(ISNUMBER(SEARCH(" "&amp;Task!$A$13&amp;" "," "&amp;LOWER(SUBSTITUTE(SUBSTITUTE(SUBSTITUTE(SUBSTITUTE(A7,"/"," "),"."," "),"\"," "),"_"," "))&amp;" ")),1,0))+IF(Task!$A$14="",0,IF(ISNUMBER(SEARCH(" "&amp;Task!$A$14&amp;" "," "&amp;LOWER(SUBSTITUTE(SUBSTITUTE(SUBSTITUTE(SUBSTITUTE(A7,"/"," "),"."," "),"\"," "),"_"," "))&amp;" ")),1,0))+IF(Task!$A$15="",0,IF(ISNUMBER(SEARCH(" "&amp;Task!$A$15&amp;" "," "&amp;LOWER(SUBSTITUTE(SUBSTITUTE(SUBSTITUTE(SUBSTITUTE(A7,"/"," "),"."," "),"\"," "),"_"," "))&amp;" ")),1,0))+IF(Task!$A$16="",0,IF(ISNUMBER(SEARCH(" "&amp;Task!$A$16&amp;" "," "&amp;LOWER(SUBSTITUTE(SUBSTITUTE(SUBSTITUTE(SUBSTITUTE(A7,"/"," "),"."," "),"\"," "),"_"," "))&amp;" ")),1,0))+IF(Task!$A$17="",0,IF(ISNUMBER(SEARCH(" "&amp;Task!$A$17&amp;" "," "&amp;LOWER(SUBSTITUTE(SUBSTITUTE(SUBSTITUTE(SUBSTITUTE(A7,"/"," "),"."," "),"\"," "),"_"," "))&amp;" ")),1,0))+IF(Task!$A$18="",0,IF(ISNUMBER(SEARCH(" "&amp;Task!$A$18&amp;" "," "&amp;LOWER(SUBSTITUTE(SUBSTITUTE(SUBSTITUTE(SUBSTITUTE(A7,"/"," "),"."," "),"\"," "),"_"," "))&amp;" ")),1,0))+IF(Task!$A$19="",0,IF(ISNUMBER(SEARCH(" "&amp;Task!$A$19&amp;" "," "&amp;LOWER(SUBSTITUTE(SUBSTITUTE(SUBSTITUTE(SUBSTITUTE(A7,"/"," "),"."," "),"\"," "),"_"," "))&amp;" ")),1,0)))</f>
        <v/>
      </c>
      <c r="I7" s="10">
        <f>IF(OR(E7=0,F7=0,Task!$B$21=0),"",F7/Task!$B$21+0.5*G7+0.25*H7)</f>
        <v/>
      </c>
      <c r="J7" s="5">
        <f>IF(I7="","",I7-ROW()/1000000)</f>
        <v/>
      </c>
      <c r="K7" s="9">
        <f>IF(J7="","",COUNTIF($J$5:$J$404,"&gt;"&amp;J7)+1)</f>
        <v/>
      </c>
    </row>
    <row r="8">
      <c r="A8" s="7" t="n"/>
      <c r="B8" s="7" t="n"/>
      <c r="C8" s="7" t="n"/>
      <c r="D8" s="7" t="n"/>
      <c r="E8" s="5">
        <f>IF(A8="",0,IF(COUNTA(Task!$B$5:$E$5)=0,1,IF(COUNTIF(Task!$B$5:$E$5,B8)&gt;0,1,0)))</f>
        <v/>
      </c>
      <c r="F8" s="9">
        <f>IF(E8=0,0,IF(Task!$A$8="",0,IF(ISNUMBER(SEARCH(" "&amp;Task!$A$8&amp;" "," "&amp;LOWER(D8&amp;" "&amp;C8&amp;" "&amp;LOWER(SUBSTITUTE(SUBSTITUTE(SUBSTITUTE(SUBSTITUTE(A8,"/"," "),"."," "),"\"," "),"_"," ")))&amp;" ")),1,0))+IF(Task!$A$9="",0,IF(ISNUMBER(SEARCH(" "&amp;Task!$A$9&amp;" "," "&amp;LOWER(D8&amp;" "&amp;C8&amp;" "&amp;LOWER(SUBSTITUTE(SUBSTITUTE(SUBSTITUTE(SUBSTITUTE(A8,"/"," "),"."," "),"\"," "),"_"," ")))&amp;" ")),1,0))+IF(Task!$A$10="",0,IF(ISNUMBER(SEARCH(" "&amp;Task!$A$10&amp;" "," "&amp;LOWER(D8&amp;" "&amp;C8&amp;" "&amp;LOWER(SUBSTITUTE(SUBSTITUTE(SUBSTITUTE(SUBSTITUTE(A8,"/"," "),"."," "),"\"," "),"_"," ")))&amp;" ")),1,0))+IF(Task!$A$11="",0,IF(ISNUMBER(SEARCH(" "&amp;Task!$A$11&amp;" "," "&amp;LOWER(D8&amp;" "&amp;C8&amp;" "&amp;LOWER(SUBSTITUTE(SUBSTITUTE(SUBSTITUTE(SUBSTITUTE(A8,"/"," "),"."," "),"\"," "),"_"," ")))&amp;" ")),1,0))+IF(Task!$A$12="",0,IF(ISNUMBER(SEARCH(" "&amp;Task!$A$12&amp;" "," "&amp;LOWER(D8&amp;" "&amp;C8&amp;" "&amp;LOWER(SUBSTITUTE(SUBSTITUTE(SUBSTITUTE(SUBSTITUTE(A8,"/"," "),"."," "),"\"," "),"_"," ")))&amp;" ")),1,0))+IF(Task!$A$13="",0,IF(ISNUMBER(SEARCH(" "&amp;Task!$A$13&amp;" "," "&amp;LOWER(D8&amp;" "&amp;C8&amp;" "&amp;LOWER(SUBSTITUTE(SUBSTITUTE(SUBSTITUTE(SUBSTITUTE(A8,"/"," "),"."," "),"\"," "),"_"," ")))&amp;" ")),1,0))+IF(Task!$A$14="",0,IF(ISNUMBER(SEARCH(" "&amp;Task!$A$14&amp;" "," "&amp;LOWER(D8&amp;" "&amp;C8&amp;" "&amp;LOWER(SUBSTITUTE(SUBSTITUTE(SUBSTITUTE(SUBSTITUTE(A8,"/"," "),"."," "),"\"," "),"_"," ")))&amp;" ")),1,0))+IF(Task!$A$15="",0,IF(ISNUMBER(SEARCH(" "&amp;Task!$A$15&amp;" "," "&amp;LOWER(D8&amp;" "&amp;C8&amp;" "&amp;LOWER(SUBSTITUTE(SUBSTITUTE(SUBSTITUTE(SUBSTITUTE(A8,"/"," "),"."," "),"\"," "),"_"," ")))&amp;" ")),1,0))+IF(Task!$A$16="",0,IF(ISNUMBER(SEARCH(" "&amp;Task!$A$16&amp;" "," "&amp;LOWER(D8&amp;" "&amp;C8&amp;" "&amp;LOWER(SUBSTITUTE(SUBSTITUTE(SUBSTITUTE(SUBSTITUTE(A8,"/"," "),"."," "),"\"," "),"_"," ")))&amp;" ")),1,0))+IF(Task!$A$17="",0,IF(ISNUMBER(SEARCH(" "&amp;Task!$A$17&amp;" "," "&amp;LOWER(D8&amp;" "&amp;C8&amp;" "&amp;LOWER(SUBSTITUTE(SUBSTITUTE(SUBSTITUTE(SUBSTITUTE(A8,"/"," "),"."," "),"\"," "),"_"," ")))&amp;" ")),1,0))+IF(Task!$A$18="",0,IF(ISNUMBER(SEARCH(" "&amp;Task!$A$18&amp;" "," "&amp;LOWER(D8&amp;" "&amp;C8&amp;" "&amp;LOWER(SUBSTITUTE(SUBSTITUTE(SUBSTITUTE(SUBSTITUTE(A8,"/"," "),"."," "),"\"," "),"_"," ")))&amp;" ")),1,0))+IF(Task!$A$19="",0,IF(ISNUMBER(SEARCH(" "&amp;Task!$A$19&amp;" "," "&amp;LOWER(D8&amp;" "&amp;C8&amp;" "&amp;LOWER(SUBSTITUTE(SUBSTITUTE(SUBSTITUTE(SUBSTITUTE(A8,"/"," "),"."," "),"\"," "),"_"," ")))&amp;" ")),1,0)))</f>
        <v/>
      </c>
      <c r="G8" s="9">
        <f>IF(E8=0,0,IF(Task!$A$8="",0,IF(ISNUMBER(SEARCH(" "&amp;Task!$A$8&amp;" "," "&amp;LOWER(C8)&amp;" ")),1,0))+IF(Task!$A$9="",0,IF(ISNUMBER(SEARCH(" "&amp;Task!$A$9&amp;" "," "&amp;LOWER(C8)&amp;" ")),1,0))+IF(Task!$A$10="",0,IF(ISNUMBER(SEARCH(" "&amp;Task!$A$10&amp;" "," "&amp;LOWER(C8)&amp;" ")),1,0))+IF(Task!$A$11="",0,IF(ISNUMBER(SEARCH(" "&amp;Task!$A$11&amp;" "," "&amp;LOWER(C8)&amp;" ")),1,0))+IF(Task!$A$12="",0,IF(ISNUMBER(SEARCH(" "&amp;Task!$A$12&amp;" "," "&amp;LOWER(C8)&amp;" ")),1,0))+IF(Task!$A$13="",0,IF(ISNUMBER(SEARCH(" "&amp;Task!$A$13&amp;" "," "&amp;LOWER(C8)&amp;" ")),1,0))+IF(Task!$A$14="",0,IF(ISNUMBER(SEARCH(" "&amp;Task!$A$14&amp;" "," "&amp;LOWER(C8)&amp;" ")),1,0))+IF(Task!$A$15="",0,IF(ISNUMBER(SEARCH(" "&amp;Task!$A$15&amp;" "," "&amp;LOWER(C8)&amp;" ")),1,0))+IF(Task!$A$16="",0,IF(ISNUMBER(SEARCH(" "&amp;Task!$A$16&amp;" "," "&amp;LOWER(C8)&amp;" ")),1,0))+IF(Task!$A$17="",0,IF(ISNUMBER(SEARCH(" "&amp;Task!$A$17&amp;" "," "&amp;LOWER(C8)&amp;" ")),1,0))+IF(Task!$A$18="",0,IF(ISNUMBER(SEARCH(" "&amp;Task!$A$18&amp;" "," "&amp;LOWER(C8)&amp;" ")),1,0))+IF(Task!$A$19="",0,IF(ISNUMBER(SEARCH(" "&amp;Task!$A$19&amp;" "," "&amp;LOWER(C8)&amp;" ")),1,0)))</f>
        <v/>
      </c>
      <c r="H8" s="9">
        <f>IF(E8=0,0,IF(Task!$A$8="",0,IF(ISNUMBER(SEARCH(" "&amp;Task!$A$8&amp;" "," "&amp;LOWER(SUBSTITUTE(SUBSTITUTE(SUBSTITUTE(SUBSTITUTE(A8,"/"," "),"."," "),"\"," "),"_"," "))&amp;" ")),1,0))+IF(Task!$A$9="",0,IF(ISNUMBER(SEARCH(" "&amp;Task!$A$9&amp;" "," "&amp;LOWER(SUBSTITUTE(SUBSTITUTE(SUBSTITUTE(SUBSTITUTE(A8,"/"," "),"."," "),"\"," "),"_"," "))&amp;" ")),1,0))+IF(Task!$A$10="",0,IF(ISNUMBER(SEARCH(" "&amp;Task!$A$10&amp;" "," "&amp;LOWER(SUBSTITUTE(SUBSTITUTE(SUBSTITUTE(SUBSTITUTE(A8,"/"," "),"."," "),"\"," "),"_"," "))&amp;" ")),1,0))+IF(Task!$A$11="",0,IF(ISNUMBER(SEARCH(" "&amp;Task!$A$11&amp;" "," "&amp;LOWER(SUBSTITUTE(SUBSTITUTE(SUBSTITUTE(SUBSTITUTE(A8,"/"," "),"."," "),"\"," "),"_"," "))&amp;" ")),1,0))+IF(Task!$A$12="",0,IF(ISNUMBER(SEARCH(" "&amp;Task!$A$12&amp;" "," "&amp;LOWER(SUBSTITUTE(SUBSTITUTE(SUBSTITUTE(SUBSTITUTE(A8,"/"," "),"."," "),"\"," "),"_"," "))&amp;" ")),1,0))+IF(Task!$A$13="",0,IF(ISNUMBER(SEARCH(" "&amp;Task!$A$13&amp;" "," "&amp;LOWER(SUBSTITUTE(SUBSTITUTE(SUBSTITUTE(SUBSTITUTE(A8,"/"," "),"."," "),"\"," "),"_"," "))&amp;" ")),1,0))+IF(Task!$A$14="",0,IF(ISNUMBER(SEARCH(" "&amp;Task!$A$14&amp;" "," "&amp;LOWER(SUBSTITUTE(SUBSTITUTE(SUBSTITUTE(SUBSTITUTE(A8,"/"," "),"."," "),"\"," "),"_"," "))&amp;" ")),1,0))+IF(Task!$A$15="",0,IF(ISNUMBER(SEARCH(" "&amp;Task!$A$15&amp;" "," "&amp;LOWER(SUBSTITUTE(SUBSTITUTE(SUBSTITUTE(SUBSTITUTE(A8,"/"," "),"."," "),"\"," "),"_"," "))&amp;" ")),1,0))+IF(Task!$A$16="",0,IF(ISNUMBER(SEARCH(" "&amp;Task!$A$16&amp;" "," "&amp;LOWER(SUBSTITUTE(SUBSTITUTE(SUBSTITUTE(SUBSTITUTE(A8,"/"," "),"."," "),"\"," "),"_"," "))&amp;" ")),1,0))+IF(Task!$A$17="",0,IF(ISNUMBER(SEARCH(" "&amp;Task!$A$17&amp;" "," "&amp;LOWER(SUBSTITUTE(SUBSTITUTE(SUBSTITUTE(SUBSTITUTE(A8,"/"," "),"."," "),"\"," "),"_"," "))&amp;" ")),1,0))+IF(Task!$A$18="",0,IF(ISNUMBER(SEARCH(" "&amp;Task!$A$18&amp;" "," "&amp;LOWER(SUBSTITUTE(SUBSTITUTE(SUBSTITUTE(SUBSTITUTE(A8,"/"," "),"."," "),"\"," "),"_"," "))&amp;" ")),1,0))+IF(Task!$A$19="",0,IF(ISNUMBER(SEARCH(" "&amp;Task!$A$19&amp;" "," "&amp;LOWER(SUBSTITUTE(SUBSTITUTE(SUBSTITUTE(SUBSTITUTE(A8,"/"," "),"."," "),"\"," "),"_"," "))&amp;" ")),1,0)))</f>
        <v/>
      </c>
      <c r="I8" s="10">
        <f>IF(OR(E8=0,F8=0,Task!$B$21=0),"",F8/Task!$B$21+0.5*G8+0.25*H8)</f>
        <v/>
      </c>
      <c r="J8" s="5">
        <f>IF(I8="","",I8-ROW()/1000000)</f>
        <v/>
      </c>
      <c r="K8" s="9">
        <f>IF(J8="","",COUNTIF($J$5:$J$404,"&gt;"&amp;J8)+1)</f>
        <v/>
      </c>
    </row>
    <row r="9">
      <c r="A9" s="7" t="n"/>
      <c r="B9" s="7" t="n"/>
      <c r="C9" s="7" t="n"/>
      <c r="D9" s="7" t="n"/>
      <c r="E9" s="5">
        <f>IF(A9="",0,IF(COUNTA(Task!$B$5:$E$5)=0,1,IF(COUNTIF(Task!$B$5:$E$5,B9)&gt;0,1,0)))</f>
        <v/>
      </c>
      <c r="F9" s="9">
        <f>IF(E9=0,0,IF(Task!$A$8="",0,IF(ISNUMBER(SEARCH(" "&amp;Task!$A$8&amp;" "," "&amp;LOWER(D9&amp;" "&amp;C9&amp;" "&amp;LOWER(SUBSTITUTE(SUBSTITUTE(SUBSTITUTE(SUBSTITUTE(A9,"/"," "),"."," "),"\"," "),"_"," ")))&amp;" ")),1,0))+IF(Task!$A$9="",0,IF(ISNUMBER(SEARCH(" "&amp;Task!$A$9&amp;" "," "&amp;LOWER(D9&amp;" "&amp;C9&amp;" "&amp;LOWER(SUBSTITUTE(SUBSTITUTE(SUBSTITUTE(SUBSTITUTE(A9,"/"," "),"."," "),"\"," "),"_"," ")))&amp;" ")),1,0))+IF(Task!$A$10="",0,IF(ISNUMBER(SEARCH(" "&amp;Task!$A$10&amp;" "," "&amp;LOWER(D9&amp;" "&amp;C9&amp;" "&amp;LOWER(SUBSTITUTE(SUBSTITUTE(SUBSTITUTE(SUBSTITUTE(A9,"/"," "),"."," "),"\"," "),"_"," ")))&amp;" ")),1,0))+IF(Task!$A$11="",0,IF(ISNUMBER(SEARCH(" "&amp;Task!$A$11&amp;" "," "&amp;LOWER(D9&amp;" "&amp;C9&amp;" "&amp;LOWER(SUBSTITUTE(SUBSTITUTE(SUBSTITUTE(SUBSTITUTE(A9,"/"," "),"."," "),"\"," "),"_"," ")))&amp;" ")),1,0))+IF(Task!$A$12="",0,IF(ISNUMBER(SEARCH(" "&amp;Task!$A$12&amp;" "," "&amp;LOWER(D9&amp;" "&amp;C9&amp;" "&amp;LOWER(SUBSTITUTE(SUBSTITUTE(SUBSTITUTE(SUBSTITUTE(A9,"/"," "),"."," "),"\"," "),"_"," ")))&amp;" ")),1,0))+IF(Task!$A$13="",0,IF(ISNUMBER(SEARCH(" "&amp;Task!$A$13&amp;" "," "&amp;LOWER(D9&amp;" "&amp;C9&amp;" "&amp;LOWER(SUBSTITUTE(SUBSTITUTE(SUBSTITUTE(SUBSTITUTE(A9,"/"," "),"."," "),"\"," "),"_"," ")))&amp;" ")),1,0))+IF(Task!$A$14="",0,IF(ISNUMBER(SEARCH(" "&amp;Task!$A$14&amp;" "," "&amp;LOWER(D9&amp;" "&amp;C9&amp;" "&amp;LOWER(SUBSTITUTE(SUBSTITUTE(SUBSTITUTE(SUBSTITUTE(A9,"/"," "),"."," "),"\"," "),"_"," ")))&amp;" ")),1,0))+IF(Task!$A$15="",0,IF(ISNUMBER(SEARCH(" "&amp;Task!$A$15&amp;" "," "&amp;LOWER(D9&amp;" "&amp;C9&amp;" "&amp;LOWER(SUBSTITUTE(SUBSTITUTE(SUBSTITUTE(SUBSTITUTE(A9,"/"," "),"."," "),"\"," "),"_"," ")))&amp;" ")),1,0))+IF(Task!$A$16="",0,IF(ISNUMBER(SEARCH(" "&amp;Task!$A$16&amp;" "," "&amp;LOWER(D9&amp;" "&amp;C9&amp;" "&amp;LOWER(SUBSTITUTE(SUBSTITUTE(SUBSTITUTE(SUBSTITUTE(A9,"/"," "),"."," "),"\"," "),"_"," ")))&amp;" ")),1,0))+IF(Task!$A$17="",0,IF(ISNUMBER(SEARCH(" "&amp;Task!$A$17&amp;" "," "&amp;LOWER(D9&amp;" "&amp;C9&amp;" "&amp;LOWER(SUBSTITUTE(SUBSTITUTE(SUBSTITUTE(SUBSTITUTE(A9,"/"," "),"."," "),"\"," "),"_"," ")))&amp;" ")),1,0))+IF(Task!$A$18="",0,IF(ISNUMBER(SEARCH(" "&amp;Task!$A$18&amp;" "," "&amp;LOWER(D9&amp;" "&amp;C9&amp;" "&amp;LOWER(SUBSTITUTE(SUBSTITUTE(SUBSTITUTE(SUBSTITUTE(A9,"/"," "),"."," "),"\"," "),"_"," ")))&amp;" ")),1,0))+IF(Task!$A$19="",0,IF(ISNUMBER(SEARCH(" "&amp;Task!$A$19&amp;" "," "&amp;LOWER(D9&amp;" "&amp;C9&amp;" "&amp;LOWER(SUBSTITUTE(SUBSTITUTE(SUBSTITUTE(SUBSTITUTE(A9,"/"," "),"."," "),"\"," "),"_"," ")))&amp;" ")),1,0)))</f>
        <v/>
      </c>
      <c r="G9" s="9">
        <f>IF(E9=0,0,IF(Task!$A$8="",0,IF(ISNUMBER(SEARCH(" "&amp;Task!$A$8&amp;" "," "&amp;LOWER(C9)&amp;" ")),1,0))+IF(Task!$A$9="",0,IF(ISNUMBER(SEARCH(" "&amp;Task!$A$9&amp;" "," "&amp;LOWER(C9)&amp;" ")),1,0))+IF(Task!$A$10="",0,IF(ISNUMBER(SEARCH(" "&amp;Task!$A$10&amp;" "," "&amp;LOWER(C9)&amp;" ")),1,0))+IF(Task!$A$11="",0,IF(ISNUMBER(SEARCH(" "&amp;Task!$A$11&amp;" "," "&amp;LOWER(C9)&amp;" ")),1,0))+IF(Task!$A$12="",0,IF(ISNUMBER(SEARCH(" "&amp;Task!$A$12&amp;" "," "&amp;LOWER(C9)&amp;" ")),1,0))+IF(Task!$A$13="",0,IF(ISNUMBER(SEARCH(" "&amp;Task!$A$13&amp;" "," "&amp;LOWER(C9)&amp;" ")),1,0))+IF(Task!$A$14="",0,IF(ISNUMBER(SEARCH(" "&amp;Task!$A$14&amp;" "," "&amp;LOWER(C9)&amp;" ")),1,0))+IF(Task!$A$15="",0,IF(ISNUMBER(SEARCH(" "&amp;Task!$A$15&amp;" "," "&amp;LOWER(C9)&amp;" ")),1,0))+IF(Task!$A$16="",0,IF(ISNUMBER(SEARCH(" "&amp;Task!$A$16&amp;" "," "&amp;LOWER(C9)&amp;" ")),1,0))+IF(Task!$A$17="",0,IF(ISNUMBER(SEARCH(" "&amp;Task!$A$17&amp;" "," "&amp;LOWER(C9)&amp;" ")),1,0))+IF(Task!$A$18="",0,IF(ISNUMBER(SEARCH(" "&amp;Task!$A$18&amp;" "," "&amp;LOWER(C9)&amp;" ")),1,0))+IF(Task!$A$19="",0,IF(ISNUMBER(SEARCH(" "&amp;Task!$A$19&amp;" "," "&amp;LOWER(C9)&amp;" ")),1,0)))</f>
        <v/>
      </c>
      <c r="H9" s="9">
        <f>IF(E9=0,0,IF(Task!$A$8="",0,IF(ISNUMBER(SEARCH(" "&amp;Task!$A$8&amp;" "," "&amp;LOWER(SUBSTITUTE(SUBSTITUTE(SUBSTITUTE(SUBSTITUTE(A9,"/"," "),"."," "),"\"," "),"_"," "))&amp;" ")),1,0))+IF(Task!$A$9="",0,IF(ISNUMBER(SEARCH(" "&amp;Task!$A$9&amp;" "," "&amp;LOWER(SUBSTITUTE(SUBSTITUTE(SUBSTITUTE(SUBSTITUTE(A9,"/"," "),"."," "),"\"," "),"_"," "))&amp;" ")),1,0))+IF(Task!$A$10="",0,IF(ISNUMBER(SEARCH(" "&amp;Task!$A$10&amp;" "," "&amp;LOWER(SUBSTITUTE(SUBSTITUTE(SUBSTITUTE(SUBSTITUTE(A9,"/"," "),"."," "),"\"," "),"_"," "))&amp;" ")),1,0))+IF(Task!$A$11="",0,IF(ISNUMBER(SEARCH(" "&amp;Task!$A$11&amp;" "," "&amp;LOWER(SUBSTITUTE(SUBSTITUTE(SUBSTITUTE(SUBSTITUTE(A9,"/"," "),"."," "),"\"," "),"_"," "))&amp;" ")),1,0))+IF(Task!$A$12="",0,IF(ISNUMBER(SEARCH(" "&amp;Task!$A$12&amp;" "," "&amp;LOWER(SUBSTITUTE(SUBSTITUTE(SUBSTITUTE(SUBSTITUTE(A9,"/"," "),"."," "),"\"," "),"_"," "))&amp;" ")),1,0))+IF(Task!$A$13="",0,IF(ISNUMBER(SEARCH(" "&amp;Task!$A$13&amp;" "," "&amp;LOWER(SUBSTITUTE(SUBSTITUTE(SUBSTITUTE(SUBSTITUTE(A9,"/"," "),"."," "),"\"," "),"_"," "))&amp;" ")),1,0))+IF(Task!$A$14="",0,IF(ISNUMBER(SEARCH(" "&amp;Task!$A$14&amp;" "," "&amp;LOWER(SUBSTITUTE(SUBSTITUTE(SUBSTITUTE(SUBSTITUTE(A9,"/"," "),"."," "),"\"," "),"_"," "))&amp;" ")),1,0))+IF(Task!$A$15="",0,IF(ISNUMBER(SEARCH(" "&amp;Task!$A$15&amp;" "," "&amp;LOWER(SUBSTITUTE(SUBSTITUTE(SUBSTITUTE(SUBSTITUTE(A9,"/"," "),"."," "),"\"," "),"_"," "))&amp;" ")),1,0))+IF(Task!$A$16="",0,IF(ISNUMBER(SEARCH(" "&amp;Task!$A$16&amp;" "," "&amp;LOWER(SUBSTITUTE(SUBSTITUTE(SUBSTITUTE(SUBSTITUTE(A9,"/"," "),"."," "),"\"," "),"_"," "))&amp;" ")),1,0))+IF(Task!$A$17="",0,IF(ISNUMBER(SEARCH(" "&amp;Task!$A$17&amp;" "," "&amp;LOWER(SUBSTITUTE(SUBSTITUTE(SUBSTITUTE(SUBSTITUTE(A9,"/"," "),"."," "),"\"," "),"_"," "))&amp;" ")),1,0))+IF(Task!$A$18="",0,IF(ISNUMBER(SEARCH(" "&amp;Task!$A$18&amp;" "," "&amp;LOWER(SUBSTITUTE(SUBSTITUTE(SUBSTITUTE(SUBSTITUTE(A9,"/"," "),"."," "),"\"," "),"_"," "))&amp;" ")),1,0))+IF(Task!$A$19="",0,IF(ISNUMBER(SEARCH(" "&amp;Task!$A$19&amp;" "," "&amp;LOWER(SUBSTITUTE(SUBSTITUTE(SUBSTITUTE(SUBSTITUTE(A9,"/"," "),"."," "),"\"," "),"_"," "))&amp;" ")),1,0)))</f>
        <v/>
      </c>
      <c r="I9" s="10">
        <f>IF(OR(E9=0,F9=0,Task!$B$21=0),"",F9/Task!$B$21+0.5*G9+0.25*H9)</f>
        <v/>
      </c>
      <c r="J9" s="5">
        <f>IF(I9="","",I9-ROW()/1000000)</f>
        <v/>
      </c>
      <c r="K9" s="9">
        <f>IF(J9="","",COUNTIF($J$5:$J$404,"&gt;"&amp;J9)+1)</f>
        <v/>
      </c>
    </row>
    <row r="10">
      <c r="A10" s="7" t="n"/>
      <c r="B10" s="7" t="n"/>
      <c r="C10" s="7" t="n"/>
      <c r="D10" s="7" t="n"/>
      <c r="E10" s="5">
        <f>IF(A10="",0,IF(COUNTA(Task!$B$5:$E$5)=0,1,IF(COUNTIF(Task!$B$5:$E$5,B10)&gt;0,1,0)))</f>
        <v/>
      </c>
      <c r="F10" s="9">
        <f>IF(E10=0,0,IF(Task!$A$8="",0,IF(ISNUMBER(SEARCH(" "&amp;Task!$A$8&amp;" "," "&amp;LOWER(D10&amp;" "&amp;C10&amp;" "&amp;LOWER(SUBSTITUTE(SUBSTITUTE(SUBSTITUTE(SUBSTITUTE(A10,"/"," "),"."," "),"\"," "),"_"," ")))&amp;" ")),1,0))+IF(Task!$A$9="",0,IF(ISNUMBER(SEARCH(" "&amp;Task!$A$9&amp;" "," "&amp;LOWER(D10&amp;" "&amp;C10&amp;" "&amp;LOWER(SUBSTITUTE(SUBSTITUTE(SUBSTITUTE(SUBSTITUTE(A10,"/"," "),"."," "),"\"," "),"_"," ")))&amp;" ")),1,0))+IF(Task!$A$10="",0,IF(ISNUMBER(SEARCH(" "&amp;Task!$A$10&amp;" "," "&amp;LOWER(D10&amp;" "&amp;C10&amp;" "&amp;LOWER(SUBSTITUTE(SUBSTITUTE(SUBSTITUTE(SUBSTITUTE(A10,"/"," "),"."," "),"\"," "),"_"," ")))&amp;" ")),1,0))+IF(Task!$A$11="",0,IF(ISNUMBER(SEARCH(" "&amp;Task!$A$11&amp;" "," "&amp;LOWER(D10&amp;" "&amp;C10&amp;" "&amp;LOWER(SUBSTITUTE(SUBSTITUTE(SUBSTITUTE(SUBSTITUTE(A10,"/"," "),"."," "),"\"," "),"_"," ")))&amp;" ")),1,0))+IF(Task!$A$12="",0,IF(ISNUMBER(SEARCH(" "&amp;Task!$A$12&amp;" "," "&amp;LOWER(D10&amp;" "&amp;C10&amp;" "&amp;LOWER(SUBSTITUTE(SUBSTITUTE(SUBSTITUTE(SUBSTITUTE(A10,"/"," "),"."," "),"\"," "),"_"," ")))&amp;" ")),1,0))+IF(Task!$A$13="",0,IF(ISNUMBER(SEARCH(" "&amp;Task!$A$13&amp;" "," "&amp;LOWER(D10&amp;" "&amp;C10&amp;" "&amp;LOWER(SUBSTITUTE(SUBSTITUTE(SUBSTITUTE(SUBSTITUTE(A10,"/"," "),"."," "),"\"," "),"_"," ")))&amp;" ")),1,0))+IF(Task!$A$14="",0,IF(ISNUMBER(SEARCH(" "&amp;Task!$A$14&amp;" "," "&amp;LOWER(D10&amp;" "&amp;C10&amp;" "&amp;LOWER(SUBSTITUTE(SUBSTITUTE(SUBSTITUTE(SUBSTITUTE(A10,"/"," "),"."," "),"\"," "),"_"," ")))&amp;" ")),1,0))+IF(Task!$A$15="",0,IF(ISNUMBER(SEARCH(" "&amp;Task!$A$15&amp;" "," "&amp;LOWER(D10&amp;" "&amp;C10&amp;" "&amp;LOWER(SUBSTITUTE(SUBSTITUTE(SUBSTITUTE(SUBSTITUTE(A10,"/"," "),"."," "),"\"," "),"_"," ")))&amp;" ")),1,0))+IF(Task!$A$16="",0,IF(ISNUMBER(SEARCH(" "&amp;Task!$A$16&amp;" "," "&amp;LOWER(D10&amp;" "&amp;C10&amp;" "&amp;LOWER(SUBSTITUTE(SUBSTITUTE(SUBSTITUTE(SUBSTITUTE(A10,"/"," "),"."," "),"\"," "),"_"," ")))&amp;" ")),1,0))+IF(Task!$A$17="",0,IF(ISNUMBER(SEARCH(" "&amp;Task!$A$17&amp;" "," "&amp;LOWER(D10&amp;" "&amp;C10&amp;" "&amp;LOWER(SUBSTITUTE(SUBSTITUTE(SUBSTITUTE(SUBSTITUTE(A10,"/"," "),"."," "),"\"," "),"_"," ")))&amp;" ")),1,0))+IF(Task!$A$18="",0,IF(ISNUMBER(SEARCH(" "&amp;Task!$A$18&amp;" "," "&amp;LOWER(D10&amp;" "&amp;C10&amp;" "&amp;LOWER(SUBSTITUTE(SUBSTITUTE(SUBSTITUTE(SUBSTITUTE(A10,"/"," "),"."," "),"\"," "),"_"," ")))&amp;" ")),1,0))+IF(Task!$A$19="",0,IF(ISNUMBER(SEARCH(" "&amp;Task!$A$19&amp;" "," "&amp;LOWER(D10&amp;" "&amp;C10&amp;" "&amp;LOWER(SUBSTITUTE(SUBSTITUTE(SUBSTITUTE(SUBSTITUTE(A10,"/"," "),"."," "),"\"," "),"_"," ")))&amp;" ")),1,0)))</f>
        <v/>
      </c>
      <c r="G10" s="9">
        <f>IF(E10=0,0,IF(Task!$A$8="",0,IF(ISNUMBER(SEARCH(" "&amp;Task!$A$8&amp;" "," "&amp;LOWER(C10)&amp;" ")),1,0))+IF(Task!$A$9="",0,IF(ISNUMBER(SEARCH(" "&amp;Task!$A$9&amp;" "," "&amp;LOWER(C10)&amp;" ")),1,0))+IF(Task!$A$10="",0,IF(ISNUMBER(SEARCH(" "&amp;Task!$A$10&amp;" "," "&amp;LOWER(C10)&amp;" ")),1,0))+IF(Task!$A$11="",0,IF(ISNUMBER(SEARCH(" "&amp;Task!$A$11&amp;" "," "&amp;LOWER(C10)&amp;" ")),1,0))+IF(Task!$A$12="",0,IF(ISNUMBER(SEARCH(" "&amp;Task!$A$12&amp;" "," "&amp;LOWER(C10)&amp;" ")),1,0))+IF(Task!$A$13="",0,IF(ISNUMBER(SEARCH(" "&amp;Task!$A$13&amp;" "," "&amp;LOWER(C10)&amp;" ")),1,0))+IF(Task!$A$14="",0,IF(ISNUMBER(SEARCH(" "&amp;Task!$A$14&amp;" "," "&amp;LOWER(C10)&amp;" ")),1,0))+IF(Task!$A$15="",0,IF(ISNUMBER(SEARCH(" "&amp;Task!$A$15&amp;" "," "&amp;LOWER(C10)&amp;" ")),1,0))+IF(Task!$A$16="",0,IF(ISNUMBER(SEARCH(" "&amp;Task!$A$16&amp;" "," "&amp;LOWER(C10)&amp;" ")),1,0))+IF(Task!$A$17="",0,IF(ISNUMBER(SEARCH(" "&amp;Task!$A$17&amp;" "," "&amp;LOWER(C10)&amp;" ")),1,0))+IF(Task!$A$18="",0,IF(ISNUMBER(SEARCH(" "&amp;Task!$A$18&amp;" "," "&amp;LOWER(C10)&amp;" ")),1,0))+IF(Task!$A$19="",0,IF(ISNUMBER(SEARCH(" "&amp;Task!$A$19&amp;" "," "&amp;LOWER(C10)&amp;" ")),1,0)))</f>
        <v/>
      </c>
      <c r="H10" s="9">
        <f>IF(E10=0,0,IF(Task!$A$8="",0,IF(ISNUMBER(SEARCH(" "&amp;Task!$A$8&amp;" "," "&amp;LOWER(SUBSTITUTE(SUBSTITUTE(SUBSTITUTE(SUBSTITUTE(A10,"/"," "),"."," "),"\"," "),"_"," "))&amp;" ")),1,0))+IF(Task!$A$9="",0,IF(ISNUMBER(SEARCH(" "&amp;Task!$A$9&amp;" "," "&amp;LOWER(SUBSTITUTE(SUBSTITUTE(SUBSTITUTE(SUBSTITUTE(A10,"/"," "),"."," "),"\"," "),"_"," "))&amp;" ")),1,0))+IF(Task!$A$10="",0,IF(ISNUMBER(SEARCH(" "&amp;Task!$A$10&amp;" "," "&amp;LOWER(SUBSTITUTE(SUBSTITUTE(SUBSTITUTE(SUBSTITUTE(A10,"/"," "),"."," "),"\"," "),"_"," "))&amp;" ")),1,0))+IF(Task!$A$11="",0,IF(ISNUMBER(SEARCH(" "&amp;Task!$A$11&amp;" "," "&amp;LOWER(SUBSTITUTE(SUBSTITUTE(SUBSTITUTE(SUBSTITUTE(A10,"/"," "),"."," "),"\"," "),"_"," "))&amp;" ")),1,0))+IF(Task!$A$12="",0,IF(ISNUMBER(SEARCH(" "&amp;Task!$A$12&amp;" "," "&amp;LOWER(SUBSTITUTE(SUBSTITUTE(SUBSTITUTE(SUBSTITUTE(A10,"/"," "),"."," "),"\"," "),"_"," "))&amp;" ")),1,0))+IF(Task!$A$13="",0,IF(ISNUMBER(SEARCH(" "&amp;Task!$A$13&amp;" "," "&amp;LOWER(SUBSTITUTE(SUBSTITUTE(SUBSTITUTE(SUBSTITUTE(A10,"/"," "),"."," "),"\"," "),"_"," "))&amp;" ")),1,0))+IF(Task!$A$14="",0,IF(ISNUMBER(SEARCH(" "&amp;Task!$A$14&amp;" "," "&amp;LOWER(SUBSTITUTE(SUBSTITUTE(SUBSTITUTE(SUBSTITUTE(A10,"/"," "),"."," "),"\"," "),"_"," "))&amp;" ")),1,0))+IF(Task!$A$15="",0,IF(ISNUMBER(SEARCH(" "&amp;Task!$A$15&amp;" "," "&amp;LOWER(SUBSTITUTE(SUBSTITUTE(SUBSTITUTE(SUBSTITUTE(A10,"/"," "),"."," "),"\"," "),"_"," "))&amp;" ")),1,0))+IF(Task!$A$16="",0,IF(ISNUMBER(SEARCH(" "&amp;Task!$A$16&amp;" "," "&amp;LOWER(SUBSTITUTE(SUBSTITUTE(SUBSTITUTE(SUBSTITUTE(A10,"/"," "),"."," "),"\"," "),"_"," "))&amp;" ")),1,0))+IF(Task!$A$17="",0,IF(ISNUMBER(SEARCH(" "&amp;Task!$A$17&amp;" "," "&amp;LOWER(SUBSTITUTE(SUBSTITUTE(SUBSTITUTE(SUBSTITUTE(A10,"/"," "),"."," "),"\"," "),"_"," "))&amp;" ")),1,0))+IF(Task!$A$18="",0,IF(ISNUMBER(SEARCH(" "&amp;Task!$A$18&amp;" "," "&amp;LOWER(SUBSTITUTE(SUBSTITUTE(SUBSTITUTE(SUBSTITUTE(A10,"/"," "),"."," "),"\"," "),"_"," "))&amp;" ")),1,0))+IF(Task!$A$19="",0,IF(ISNUMBER(SEARCH(" "&amp;Task!$A$19&amp;" "," "&amp;LOWER(SUBSTITUTE(SUBSTITUTE(SUBSTITUTE(SUBSTITUTE(A10,"/"," "),"."," "),"\"," "),"_"," "))&amp;" ")),1,0)))</f>
        <v/>
      </c>
      <c r="I10" s="10">
        <f>IF(OR(E10=0,F10=0,Task!$B$21=0),"",F10/Task!$B$21+0.5*G10+0.25*H10)</f>
        <v/>
      </c>
      <c r="J10" s="5">
        <f>IF(I10="","",I10-ROW()/1000000)</f>
        <v/>
      </c>
      <c r="K10" s="9">
        <f>IF(J10="","",COUNTIF($J$5:$J$404,"&gt;"&amp;J10)+1)</f>
        <v/>
      </c>
    </row>
    <row r="11">
      <c r="A11" s="7" t="n"/>
      <c r="B11" s="7" t="n"/>
      <c r="C11" s="7" t="n"/>
      <c r="D11" s="7" t="n"/>
      <c r="E11" s="5">
        <f>IF(A11="",0,IF(COUNTA(Task!$B$5:$E$5)=0,1,IF(COUNTIF(Task!$B$5:$E$5,B11)&gt;0,1,0)))</f>
        <v/>
      </c>
      <c r="F11" s="9">
        <f>IF(E11=0,0,IF(Task!$A$8="",0,IF(ISNUMBER(SEARCH(" "&amp;Task!$A$8&amp;" "," "&amp;LOWER(D11&amp;" "&amp;C11&amp;" "&amp;LOWER(SUBSTITUTE(SUBSTITUTE(SUBSTITUTE(SUBSTITUTE(A11,"/"," "),"."," "),"\"," "),"_"," ")))&amp;" ")),1,0))+IF(Task!$A$9="",0,IF(ISNUMBER(SEARCH(" "&amp;Task!$A$9&amp;" "," "&amp;LOWER(D11&amp;" "&amp;C11&amp;" "&amp;LOWER(SUBSTITUTE(SUBSTITUTE(SUBSTITUTE(SUBSTITUTE(A11,"/"," "),"."," "),"\"," "),"_"," ")))&amp;" ")),1,0))+IF(Task!$A$10="",0,IF(ISNUMBER(SEARCH(" "&amp;Task!$A$10&amp;" "," "&amp;LOWER(D11&amp;" "&amp;C11&amp;" "&amp;LOWER(SUBSTITUTE(SUBSTITUTE(SUBSTITUTE(SUBSTITUTE(A11,"/"," "),"."," "),"\"," "),"_"," ")))&amp;" ")),1,0))+IF(Task!$A$11="",0,IF(ISNUMBER(SEARCH(" "&amp;Task!$A$11&amp;" "," "&amp;LOWER(D11&amp;" "&amp;C11&amp;" "&amp;LOWER(SUBSTITUTE(SUBSTITUTE(SUBSTITUTE(SUBSTITUTE(A11,"/"," "),"."," "),"\"," "),"_"," ")))&amp;" ")),1,0))+IF(Task!$A$12="",0,IF(ISNUMBER(SEARCH(" "&amp;Task!$A$12&amp;" "," "&amp;LOWER(D11&amp;" "&amp;C11&amp;" "&amp;LOWER(SUBSTITUTE(SUBSTITUTE(SUBSTITUTE(SUBSTITUTE(A11,"/"," "),"."," "),"\"," "),"_"," ")))&amp;" ")),1,0))+IF(Task!$A$13="",0,IF(ISNUMBER(SEARCH(" "&amp;Task!$A$13&amp;" "," "&amp;LOWER(D11&amp;" "&amp;C11&amp;" "&amp;LOWER(SUBSTITUTE(SUBSTITUTE(SUBSTITUTE(SUBSTITUTE(A11,"/"," "),"."," "),"\"," "),"_"," ")))&amp;" ")),1,0))+IF(Task!$A$14="",0,IF(ISNUMBER(SEARCH(" "&amp;Task!$A$14&amp;" "," "&amp;LOWER(D11&amp;" "&amp;C11&amp;" "&amp;LOWER(SUBSTITUTE(SUBSTITUTE(SUBSTITUTE(SUBSTITUTE(A11,"/"," "),"."," "),"\"," "),"_"," ")))&amp;" ")),1,0))+IF(Task!$A$15="",0,IF(ISNUMBER(SEARCH(" "&amp;Task!$A$15&amp;" "," "&amp;LOWER(D11&amp;" "&amp;C11&amp;" "&amp;LOWER(SUBSTITUTE(SUBSTITUTE(SUBSTITUTE(SUBSTITUTE(A11,"/"," "),"."," "),"\"," "),"_"," ")))&amp;" ")),1,0))+IF(Task!$A$16="",0,IF(ISNUMBER(SEARCH(" "&amp;Task!$A$16&amp;" "," "&amp;LOWER(D11&amp;" "&amp;C11&amp;" "&amp;LOWER(SUBSTITUTE(SUBSTITUTE(SUBSTITUTE(SUBSTITUTE(A11,"/"," "),"."," "),"\"," "),"_"," ")))&amp;" ")),1,0))+IF(Task!$A$17="",0,IF(ISNUMBER(SEARCH(" "&amp;Task!$A$17&amp;" "," "&amp;LOWER(D11&amp;" "&amp;C11&amp;" "&amp;LOWER(SUBSTITUTE(SUBSTITUTE(SUBSTITUTE(SUBSTITUTE(A11,"/"," "),"."," "),"\"," "),"_"," ")))&amp;" ")),1,0))+IF(Task!$A$18="",0,IF(ISNUMBER(SEARCH(" "&amp;Task!$A$18&amp;" "," "&amp;LOWER(D11&amp;" "&amp;C11&amp;" "&amp;LOWER(SUBSTITUTE(SUBSTITUTE(SUBSTITUTE(SUBSTITUTE(A11,"/"," "),"."," "),"\"," "),"_"," ")))&amp;" ")),1,0))+IF(Task!$A$19="",0,IF(ISNUMBER(SEARCH(" "&amp;Task!$A$19&amp;" "," "&amp;LOWER(D11&amp;" "&amp;C11&amp;" "&amp;LOWER(SUBSTITUTE(SUBSTITUTE(SUBSTITUTE(SUBSTITUTE(A11,"/"," "),"."," "),"\"," "),"_"," ")))&amp;" ")),1,0)))</f>
        <v/>
      </c>
      <c r="G11" s="9">
        <f>IF(E11=0,0,IF(Task!$A$8="",0,IF(ISNUMBER(SEARCH(" "&amp;Task!$A$8&amp;" "," "&amp;LOWER(C11)&amp;" ")),1,0))+IF(Task!$A$9="",0,IF(ISNUMBER(SEARCH(" "&amp;Task!$A$9&amp;" "," "&amp;LOWER(C11)&amp;" ")),1,0))+IF(Task!$A$10="",0,IF(ISNUMBER(SEARCH(" "&amp;Task!$A$10&amp;" "," "&amp;LOWER(C11)&amp;" ")),1,0))+IF(Task!$A$11="",0,IF(ISNUMBER(SEARCH(" "&amp;Task!$A$11&amp;" "," "&amp;LOWER(C11)&amp;" ")),1,0))+IF(Task!$A$12="",0,IF(ISNUMBER(SEARCH(" "&amp;Task!$A$12&amp;" "," "&amp;LOWER(C11)&amp;" ")),1,0))+IF(Task!$A$13="",0,IF(ISNUMBER(SEARCH(" "&amp;Task!$A$13&amp;" "," "&amp;LOWER(C11)&amp;" ")),1,0))+IF(Task!$A$14="",0,IF(ISNUMBER(SEARCH(" "&amp;Task!$A$14&amp;" "," "&amp;LOWER(C11)&amp;" ")),1,0))+IF(Task!$A$15="",0,IF(ISNUMBER(SEARCH(" "&amp;Task!$A$15&amp;" "," "&amp;LOWER(C11)&amp;" ")),1,0))+IF(Task!$A$16="",0,IF(ISNUMBER(SEARCH(" "&amp;Task!$A$16&amp;" "," "&amp;LOWER(C11)&amp;" ")),1,0))+IF(Task!$A$17="",0,IF(ISNUMBER(SEARCH(" "&amp;Task!$A$17&amp;" "," "&amp;LOWER(C11)&amp;" ")),1,0))+IF(Task!$A$18="",0,IF(ISNUMBER(SEARCH(" "&amp;Task!$A$18&amp;" "," "&amp;LOWER(C11)&amp;" ")),1,0))+IF(Task!$A$19="",0,IF(ISNUMBER(SEARCH(" "&amp;Task!$A$19&amp;" "," "&amp;LOWER(C11)&amp;" ")),1,0)))</f>
        <v/>
      </c>
      <c r="H11" s="9">
        <f>IF(E11=0,0,IF(Task!$A$8="",0,IF(ISNUMBER(SEARCH(" "&amp;Task!$A$8&amp;" "," "&amp;LOWER(SUBSTITUTE(SUBSTITUTE(SUBSTITUTE(SUBSTITUTE(A11,"/"," "),"."," "),"\"," "),"_"," "))&amp;" ")),1,0))+IF(Task!$A$9="",0,IF(ISNUMBER(SEARCH(" "&amp;Task!$A$9&amp;" "," "&amp;LOWER(SUBSTITUTE(SUBSTITUTE(SUBSTITUTE(SUBSTITUTE(A11,"/"," "),"."," "),"\"," "),"_"," "))&amp;" ")),1,0))+IF(Task!$A$10="",0,IF(ISNUMBER(SEARCH(" "&amp;Task!$A$10&amp;" "," "&amp;LOWER(SUBSTITUTE(SUBSTITUTE(SUBSTITUTE(SUBSTITUTE(A11,"/"," "),"."," "),"\"," "),"_"," "))&amp;" ")),1,0))+IF(Task!$A$11="",0,IF(ISNUMBER(SEARCH(" "&amp;Task!$A$11&amp;" "," "&amp;LOWER(SUBSTITUTE(SUBSTITUTE(SUBSTITUTE(SUBSTITUTE(A11,"/"," "),"."," "),"\"," "),"_"," "))&amp;" ")),1,0))+IF(Task!$A$12="",0,IF(ISNUMBER(SEARCH(" "&amp;Task!$A$12&amp;" "," "&amp;LOWER(SUBSTITUTE(SUBSTITUTE(SUBSTITUTE(SUBSTITUTE(A11,"/"," "),"."," "),"\"," "),"_"," "))&amp;" ")),1,0))+IF(Task!$A$13="",0,IF(ISNUMBER(SEARCH(" "&amp;Task!$A$13&amp;" "," "&amp;LOWER(SUBSTITUTE(SUBSTITUTE(SUBSTITUTE(SUBSTITUTE(A11,"/"," "),"."," "),"\"," "),"_"," "))&amp;" ")),1,0))+IF(Task!$A$14="",0,IF(ISNUMBER(SEARCH(" "&amp;Task!$A$14&amp;" "," "&amp;LOWER(SUBSTITUTE(SUBSTITUTE(SUBSTITUTE(SUBSTITUTE(A11,"/"," "),"."," "),"\"," "),"_"," "))&amp;" ")),1,0))+IF(Task!$A$15="",0,IF(ISNUMBER(SEARCH(" "&amp;Task!$A$15&amp;" "," "&amp;LOWER(SUBSTITUTE(SUBSTITUTE(SUBSTITUTE(SUBSTITUTE(A11,"/"," "),"."," "),"\"," "),"_"," "))&amp;" ")),1,0))+IF(Task!$A$16="",0,IF(ISNUMBER(SEARCH(" "&amp;Task!$A$16&amp;" "," "&amp;LOWER(SUBSTITUTE(SUBSTITUTE(SUBSTITUTE(SUBSTITUTE(A11,"/"," "),"."," "),"\"," "),"_"," "))&amp;" ")),1,0))+IF(Task!$A$17="",0,IF(ISNUMBER(SEARCH(" "&amp;Task!$A$17&amp;" "," "&amp;LOWER(SUBSTITUTE(SUBSTITUTE(SUBSTITUTE(SUBSTITUTE(A11,"/"," "),"."," "),"\"," "),"_"," "))&amp;" ")),1,0))+IF(Task!$A$18="",0,IF(ISNUMBER(SEARCH(" "&amp;Task!$A$18&amp;" "," "&amp;LOWER(SUBSTITUTE(SUBSTITUTE(SUBSTITUTE(SUBSTITUTE(A11,"/"," "),"."," "),"\"," "),"_"," "))&amp;" ")),1,0))+IF(Task!$A$19="",0,IF(ISNUMBER(SEARCH(" "&amp;Task!$A$19&amp;" "," "&amp;LOWER(SUBSTITUTE(SUBSTITUTE(SUBSTITUTE(SUBSTITUTE(A11,"/"," "),"."," "),"\"," "),"_"," "))&amp;" ")),1,0)))</f>
        <v/>
      </c>
      <c r="I11" s="10">
        <f>IF(OR(E11=0,F11=0,Task!$B$21=0),"",F11/Task!$B$21+0.5*G11+0.25*H11)</f>
        <v/>
      </c>
      <c r="J11" s="5">
        <f>IF(I11="","",I11-ROW()/1000000)</f>
        <v/>
      </c>
      <c r="K11" s="9">
        <f>IF(J11="","",COUNTIF($J$5:$J$404,"&gt;"&amp;J11)+1)</f>
        <v/>
      </c>
    </row>
    <row r="12">
      <c r="A12" s="7" t="n"/>
      <c r="B12" s="7" t="n"/>
      <c r="C12" s="7" t="n"/>
      <c r="D12" s="7" t="n"/>
      <c r="E12" s="5">
        <f>IF(A12="",0,IF(COUNTA(Task!$B$5:$E$5)=0,1,IF(COUNTIF(Task!$B$5:$E$5,B12)&gt;0,1,0)))</f>
        <v/>
      </c>
      <c r="F12" s="9">
        <f>IF(E12=0,0,IF(Task!$A$8="",0,IF(ISNUMBER(SEARCH(" "&amp;Task!$A$8&amp;" "," "&amp;LOWER(D12&amp;" "&amp;C12&amp;" "&amp;LOWER(SUBSTITUTE(SUBSTITUTE(SUBSTITUTE(SUBSTITUTE(A12,"/"," "),"."," "),"\"," "),"_"," ")))&amp;" ")),1,0))+IF(Task!$A$9="",0,IF(ISNUMBER(SEARCH(" "&amp;Task!$A$9&amp;" "," "&amp;LOWER(D12&amp;" "&amp;C12&amp;" "&amp;LOWER(SUBSTITUTE(SUBSTITUTE(SUBSTITUTE(SUBSTITUTE(A12,"/"," "),"."," "),"\"," "),"_"," ")))&amp;" ")),1,0))+IF(Task!$A$10="",0,IF(ISNUMBER(SEARCH(" "&amp;Task!$A$10&amp;" "," "&amp;LOWER(D12&amp;" "&amp;C12&amp;" "&amp;LOWER(SUBSTITUTE(SUBSTITUTE(SUBSTITUTE(SUBSTITUTE(A12,"/"," "),"."," "),"\"," "),"_"," ")))&amp;" ")),1,0))+IF(Task!$A$11="",0,IF(ISNUMBER(SEARCH(" "&amp;Task!$A$11&amp;" "," "&amp;LOWER(D12&amp;" "&amp;C12&amp;" "&amp;LOWER(SUBSTITUTE(SUBSTITUTE(SUBSTITUTE(SUBSTITUTE(A12,"/"," "),"."," "),"\"," "),"_"," ")))&amp;" ")),1,0))+IF(Task!$A$12="",0,IF(ISNUMBER(SEARCH(" "&amp;Task!$A$12&amp;" "," "&amp;LOWER(D12&amp;" "&amp;C12&amp;" "&amp;LOWER(SUBSTITUTE(SUBSTITUTE(SUBSTITUTE(SUBSTITUTE(A12,"/"," "),"."," "),"\"," "),"_"," ")))&amp;" ")),1,0))+IF(Task!$A$13="",0,IF(ISNUMBER(SEARCH(" "&amp;Task!$A$13&amp;" "," "&amp;LOWER(D12&amp;" "&amp;C12&amp;" "&amp;LOWER(SUBSTITUTE(SUBSTITUTE(SUBSTITUTE(SUBSTITUTE(A12,"/"," "),"."," "),"\"," "),"_"," ")))&amp;" ")),1,0))+IF(Task!$A$14="",0,IF(ISNUMBER(SEARCH(" "&amp;Task!$A$14&amp;" "," "&amp;LOWER(D12&amp;" "&amp;C12&amp;" "&amp;LOWER(SUBSTITUTE(SUBSTITUTE(SUBSTITUTE(SUBSTITUTE(A12,"/"," "),"."," "),"\"," "),"_"," ")))&amp;" ")),1,0))+IF(Task!$A$15="",0,IF(ISNUMBER(SEARCH(" "&amp;Task!$A$15&amp;" "," "&amp;LOWER(D12&amp;" "&amp;C12&amp;" "&amp;LOWER(SUBSTITUTE(SUBSTITUTE(SUBSTITUTE(SUBSTITUTE(A12,"/"," "),"."," "),"\"," "),"_"," ")))&amp;" ")),1,0))+IF(Task!$A$16="",0,IF(ISNUMBER(SEARCH(" "&amp;Task!$A$16&amp;" "," "&amp;LOWER(D12&amp;" "&amp;C12&amp;" "&amp;LOWER(SUBSTITUTE(SUBSTITUTE(SUBSTITUTE(SUBSTITUTE(A12,"/"," "),"."," "),"\"," "),"_"," ")))&amp;" ")),1,0))+IF(Task!$A$17="",0,IF(ISNUMBER(SEARCH(" "&amp;Task!$A$17&amp;" "," "&amp;LOWER(D12&amp;" "&amp;C12&amp;" "&amp;LOWER(SUBSTITUTE(SUBSTITUTE(SUBSTITUTE(SUBSTITUTE(A12,"/"," "),"."," "),"\"," "),"_"," ")))&amp;" ")),1,0))+IF(Task!$A$18="",0,IF(ISNUMBER(SEARCH(" "&amp;Task!$A$18&amp;" "," "&amp;LOWER(D12&amp;" "&amp;C12&amp;" "&amp;LOWER(SUBSTITUTE(SUBSTITUTE(SUBSTITUTE(SUBSTITUTE(A12,"/"," "),"."," "),"\"," "),"_"," ")))&amp;" ")),1,0))+IF(Task!$A$19="",0,IF(ISNUMBER(SEARCH(" "&amp;Task!$A$19&amp;" "," "&amp;LOWER(D12&amp;" "&amp;C12&amp;" "&amp;LOWER(SUBSTITUTE(SUBSTITUTE(SUBSTITUTE(SUBSTITUTE(A12,"/"," "),"."," "),"\"," "),"_"," ")))&amp;" ")),1,0)))</f>
        <v/>
      </c>
      <c r="G12" s="9">
        <f>IF(E12=0,0,IF(Task!$A$8="",0,IF(ISNUMBER(SEARCH(" "&amp;Task!$A$8&amp;" "," "&amp;LOWER(C12)&amp;" ")),1,0))+IF(Task!$A$9="",0,IF(ISNUMBER(SEARCH(" "&amp;Task!$A$9&amp;" "," "&amp;LOWER(C12)&amp;" ")),1,0))+IF(Task!$A$10="",0,IF(ISNUMBER(SEARCH(" "&amp;Task!$A$10&amp;" "," "&amp;LOWER(C12)&amp;" ")),1,0))+IF(Task!$A$11="",0,IF(ISNUMBER(SEARCH(" "&amp;Task!$A$11&amp;" "," "&amp;LOWER(C12)&amp;" ")),1,0))+IF(Task!$A$12="",0,IF(ISNUMBER(SEARCH(" "&amp;Task!$A$12&amp;" "," "&amp;LOWER(C12)&amp;" ")),1,0))+IF(Task!$A$13="",0,IF(ISNUMBER(SEARCH(" "&amp;Task!$A$13&amp;" "," "&amp;LOWER(C12)&amp;" ")),1,0))+IF(Task!$A$14="",0,IF(ISNUMBER(SEARCH(" "&amp;Task!$A$14&amp;" "," "&amp;LOWER(C12)&amp;" ")),1,0))+IF(Task!$A$15="",0,IF(ISNUMBER(SEARCH(" "&amp;Task!$A$15&amp;" "," "&amp;LOWER(C12)&amp;" ")),1,0))+IF(Task!$A$16="",0,IF(ISNUMBER(SEARCH(" "&amp;Task!$A$16&amp;" "," "&amp;LOWER(C12)&amp;" ")),1,0))+IF(Task!$A$17="",0,IF(ISNUMBER(SEARCH(" "&amp;Task!$A$17&amp;" "," "&amp;LOWER(C12)&amp;" ")),1,0))+IF(Task!$A$18="",0,IF(ISNUMBER(SEARCH(" "&amp;Task!$A$18&amp;" "," "&amp;LOWER(C12)&amp;" ")),1,0))+IF(Task!$A$19="",0,IF(ISNUMBER(SEARCH(" "&amp;Task!$A$19&amp;" "," "&amp;LOWER(C12)&amp;" ")),1,0)))</f>
        <v/>
      </c>
      <c r="H12" s="9">
        <f>IF(E12=0,0,IF(Task!$A$8="",0,IF(ISNUMBER(SEARCH(" "&amp;Task!$A$8&amp;" "," "&amp;LOWER(SUBSTITUTE(SUBSTITUTE(SUBSTITUTE(SUBSTITUTE(A12,"/"," "),"."," "),"\"," "),"_"," "))&amp;" ")),1,0))+IF(Task!$A$9="",0,IF(ISNUMBER(SEARCH(" "&amp;Task!$A$9&amp;" "," "&amp;LOWER(SUBSTITUTE(SUBSTITUTE(SUBSTITUTE(SUBSTITUTE(A12,"/"," "),"."," "),"\"," "),"_"," "))&amp;" ")),1,0))+IF(Task!$A$10="",0,IF(ISNUMBER(SEARCH(" "&amp;Task!$A$10&amp;" "," "&amp;LOWER(SUBSTITUTE(SUBSTITUTE(SUBSTITUTE(SUBSTITUTE(A12,"/"," "),"."," "),"\"," "),"_"," "))&amp;" ")),1,0))+IF(Task!$A$11="",0,IF(ISNUMBER(SEARCH(" "&amp;Task!$A$11&amp;" "," "&amp;LOWER(SUBSTITUTE(SUBSTITUTE(SUBSTITUTE(SUBSTITUTE(A12,"/"," "),"."," "),"\"," "),"_"," "))&amp;" ")),1,0))+IF(Task!$A$12="",0,IF(ISNUMBER(SEARCH(" "&amp;Task!$A$12&amp;" "," "&amp;LOWER(SUBSTITUTE(SUBSTITUTE(SUBSTITUTE(SUBSTITUTE(A12,"/"," "),"."," "),"\"," "),"_"," "))&amp;" ")),1,0))+IF(Task!$A$13="",0,IF(ISNUMBER(SEARCH(" "&amp;Task!$A$13&amp;" "," "&amp;LOWER(SUBSTITUTE(SUBSTITUTE(SUBSTITUTE(SUBSTITUTE(A12,"/"," "),"."," "),"\"," "),"_"," "))&amp;" ")),1,0))+IF(Task!$A$14="",0,IF(ISNUMBER(SEARCH(" "&amp;Task!$A$14&amp;" "," "&amp;LOWER(SUBSTITUTE(SUBSTITUTE(SUBSTITUTE(SUBSTITUTE(A12,"/"," "),"."," "),"\"," "),"_"," "))&amp;" ")),1,0))+IF(Task!$A$15="",0,IF(ISNUMBER(SEARCH(" "&amp;Task!$A$15&amp;" "," "&amp;LOWER(SUBSTITUTE(SUBSTITUTE(SUBSTITUTE(SUBSTITUTE(A12,"/"," "),"."," "),"\"," "),"_"," "))&amp;" ")),1,0))+IF(Task!$A$16="",0,IF(ISNUMBER(SEARCH(" "&amp;Task!$A$16&amp;" "," "&amp;LOWER(SUBSTITUTE(SUBSTITUTE(SUBSTITUTE(SUBSTITUTE(A12,"/"," "),"."," "),"\"," "),"_"," "))&amp;" ")),1,0))+IF(Task!$A$17="",0,IF(ISNUMBER(SEARCH(" "&amp;Task!$A$17&amp;" "," "&amp;LOWER(SUBSTITUTE(SUBSTITUTE(SUBSTITUTE(SUBSTITUTE(A12,"/"," "),"."," "),"\"," "),"_"," "))&amp;" ")),1,0))+IF(Task!$A$18="",0,IF(ISNUMBER(SEARCH(" "&amp;Task!$A$18&amp;" "," "&amp;LOWER(SUBSTITUTE(SUBSTITUTE(SUBSTITUTE(SUBSTITUTE(A12,"/"," "),"."," "),"\"," "),"_"," "))&amp;" ")),1,0))+IF(Task!$A$19="",0,IF(ISNUMBER(SEARCH(" "&amp;Task!$A$19&amp;" "," "&amp;LOWER(SUBSTITUTE(SUBSTITUTE(SUBSTITUTE(SUBSTITUTE(A12,"/"," "),"."," "),"\"," "),"_"," "))&amp;" ")),1,0)))</f>
        <v/>
      </c>
      <c r="I12" s="10">
        <f>IF(OR(E12=0,F12=0,Task!$B$21=0),"",F12/Task!$B$21+0.5*G12+0.25*H12)</f>
        <v/>
      </c>
      <c r="J12" s="5">
        <f>IF(I12="","",I12-ROW()/1000000)</f>
        <v/>
      </c>
      <c r="K12" s="9">
        <f>IF(J12="","",COUNTIF($J$5:$J$404,"&gt;"&amp;J12)+1)</f>
        <v/>
      </c>
    </row>
    <row r="13">
      <c r="A13" s="7" t="n"/>
      <c r="B13" s="7" t="n"/>
      <c r="C13" s="7" t="n"/>
      <c r="D13" s="7" t="n"/>
      <c r="E13" s="5">
        <f>IF(A13="",0,IF(COUNTA(Task!$B$5:$E$5)=0,1,IF(COUNTIF(Task!$B$5:$E$5,B13)&gt;0,1,0)))</f>
        <v/>
      </c>
      <c r="F13" s="9">
        <f>IF(E13=0,0,IF(Task!$A$8="",0,IF(ISNUMBER(SEARCH(" "&amp;Task!$A$8&amp;" "," "&amp;LOWER(D13&amp;" "&amp;C13&amp;" "&amp;LOWER(SUBSTITUTE(SUBSTITUTE(SUBSTITUTE(SUBSTITUTE(A13,"/"," "),"."," "),"\"," "),"_"," ")))&amp;" ")),1,0))+IF(Task!$A$9="",0,IF(ISNUMBER(SEARCH(" "&amp;Task!$A$9&amp;" "," "&amp;LOWER(D13&amp;" "&amp;C13&amp;" "&amp;LOWER(SUBSTITUTE(SUBSTITUTE(SUBSTITUTE(SUBSTITUTE(A13,"/"," "),"."," "),"\"," "),"_"," ")))&amp;" ")),1,0))+IF(Task!$A$10="",0,IF(ISNUMBER(SEARCH(" "&amp;Task!$A$10&amp;" "," "&amp;LOWER(D13&amp;" "&amp;C13&amp;" "&amp;LOWER(SUBSTITUTE(SUBSTITUTE(SUBSTITUTE(SUBSTITUTE(A13,"/"," "),"."," "),"\"," "),"_"," ")))&amp;" ")),1,0))+IF(Task!$A$11="",0,IF(ISNUMBER(SEARCH(" "&amp;Task!$A$11&amp;" "," "&amp;LOWER(D13&amp;" "&amp;C13&amp;" "&amp;LOWER(SUBSTITUTE(SUBSTITUTE(SUBSTITUTE(SUBSTITUTE(A13,"/"," "),"."," "),"\"," "),"_"," ")))&amp;" ")),1,0))+IF(Task!$A$12="",0,IF(ISNUMBER(SEARCH(" "&amp;Task!$A$12&amp;" "," "&amp;LOWER(D13&amp;" "&amp;C13&amp;" "&amp;LOWER(SUBSTITUTE(SUBSTITUTE(SUBSTITUTE(SUBSTITUTE(A13,"/"," "),"."," "),"\"," "),"_"," ")))&amp;" ")),1,0))+IF(Task!$A$13="",0,IF(ISNUMBER(SEARCH(" "&amp;Task!$A$13&amp;" "," "&amp;LOWER(D13&amp;" "&amp;C13&amp;" "&amp;LOWER(SUBSTITUTE(SUBSTITUTE(SUBSTITUTE(SUBSTITUTE(A13,"/"," "),"."," "),"\"," "),"_"," ")))&amp;" ")),1,0))+IF(Task!$A$14="",0,IF(ISNUMBER(SEARCH(" "&amp;Task!$A$14&amp;" "," "&amp;LOWER(D13&amp;" "&amp;C13&amp;" "&amp;LOWER(SUBSTITUTE(SUBSTITUTE(SUBSTITUTE(SUBSTITUTE(A13,"/"," "),"."," "),"\"," "),"_"," ")))&amp;" ")),1,0))+IF(Task!$A$15="",0,IF(ISNUMBER(SEARCH(" "&amp;Task!$A$15&amp;" "," "&amp;LOWER(D13&amp;" "&amp;C13&amp;" "&amp;LOWER(SUBSTITUTE(SUBSTITUTE(SUBSTITUTE(SUBSTITUTE(A13,"/"," "),"."," "),"\"," "),"_"," ")))&amp;" ")),1,0))+IF(Task!$A$16="",0,IF(ISNUMBER(SEARCH(" "&amp;Task!$A$16&amp;" "," "&amp;LOWER(D13&amp;" "&amp;C13&amp;" "&amp;LOWER(SUBSTITUTE(SUBSTITUTE(SUBSTITUTE(SUBSTITUTE(A13,"/"," "),"."," "),"\"," "),"_"," ")))&amp;" ")),1,0))+IF(Task!$A$17="",0,IF(ISNUMBER(SEARCH(" "&amp;Task!$A$17&amp;" "," "&amp;LOWER(D13&amp;" "&amp;C13&amp;" "&amp;LOWER(SUBSTITUTE(SUBSTITUTE(SUBSTITUTE(SUBSTITUTE(A13,"/"," "),"."," "),"\"," "),"_"," ")))&amp;" ")),1,0))+IF(Task!$A$18="",0,IF(ISNUMBER(SEARCH(" "&amp;Task!$A$18&amp;" "," "&amp;LOWER(D13&amp;" "&amp;C13&amp;" "&amp;LOWER(SUBSTITUTE(SUBSTITUTE(SUBSTITUTE(SUBSTITUTE(A13,"/"," "),"."," "),"\"," "),"_"," ")))&amp;" ")),1,0))+IF(Task!$A$19="",0,IF(ISNUMBER(SEARCH(" "&amp;Task!$A$19&amp;" "," "&amp;LOWER(D13&amp;" "&amp;C13&amp;" "&amp;LOWER(SUBSTITUTE(SUBSTITUTE(SUBSTITUTE(SUBSTITUTE(A13,"/"," "),"."," "),"\"," "),"_"," ")))&amp;" ")),1,0)))</f>
        <v/>
      </c>
      <c r="G13" s="9">
        <f>IF(E13=0,0,IF(Task!$A$8="",0,IF(ISNUMBER(SEARCH(" "&amp;Task!$A$8&amp;" "," "&amp;LOWER(C13)&amp;" ")),1,0))+IF(Task!$A$9="",0,IF(ISNUMBER(SEARCH(" "&amp;Task!$A$9&amp;" "," "&amp;LOWER(C13)&amp;" ")),1,0))+IF(Task!$A$10="",0,IF(ISNUMBER(SEARCH(" "&amp;Task!$A$10&amp;" "," "&amp;LOWER(C13)&amp;" ")),1,0))+IF(Task!$A$11="",0,IF(ISNUMBER(SEARCH(" "&amp;Task!$A$11&amp;" "," "&amp;LOWER(C13)&amp;" ")),1,0))+IF(Task!$A$12="",0,IF(ISNUMBER(SEARCH(" "&amp;Task!$A$12&amp;" "," "&amp;LOWER(C13)&amp;" ")),1,0))+IF(Task!$A$13="",0,IF(ISNUMBER(SEARCH(" "&amp;Task!$A$13&amp;" "," "&amp;LOWER(C13)&amp;" ")),1,0))+IF(Task!$A$14="",0,IF(ISNUMBER(SEARCH(" "&amp;Task!$A$14&amp;" "," "&amp;LOWER(C13)&amp;" ")),1,0))+IF(Task!$A$15="",0,IF(ISNUMBER(SEARCH(" "&amp;Task!$A$15&amp;" "," "&amp;LOWER(C13)&amp;" ")),1,0))+IF(Task!$A$16="",0,IF(ISNUMBER(SEARCH(" "&amp;Task!$A$16&amp;" "," "&amp;LOWER(C13)&amp;" ")),1,0))+IF(Task!$A$17="",0,IF(ISNUMBER(SEARCH(" "&amp;Task!$A$17&amp;" "," "&amp;LOWER(C13)&amp;" ")),1,0))+IF(Task!$A$18="",0,IF(ISNUMBER(SEARCH(" "&amp;Task!$A$18&amp;" "," "&amp;LOWER(C13)&amp;" ")),1,0))+IF(Task!$A$19="",0,IF(ISNUMBER(SEARCH(" "&amp;Task!$A$19&amp;" "," "&amp;LOWER(C13)&amp;" ")),1,0)))</f>
        <v/>
      </c>
      <c r="H13" s="9">
        <f>IF(E13=0,0,IF(Task!$A$8="",0,IF(ISNUMBER(SEARCH(" "&amp;Task!$A$8&amp;" "," "&amp;LOWER(SUBSTITUTE(SUBSTITUTE(SUBSTITUTE(SUBSTITUTE(A13,"/"," "),"."," "),"\"," "),"_"," "))&amp;" ")),1,0))+IF(Task!$A$9="",0,IF(ISNUMBER(SEARCH(" "&amp;Task!$A$9&amp;" "," "&amp;LOWER(SUBSTITUTE(SUBSTITUTE(SUBSTITUTE(SUBSTITUTE(A13,"/"," "),"."," "),"\"," "),"_"," "))&amp;" ")),1,0))+IF(Task!$A$10="",0,IF(ISNUMBER(SEARCH(" "&amp;Task!$A$10&amp;" "," "&amp;LOWER(SUBSTITUTE(SUBSTITUTE(SUBSTITUTE(SUBSTITUTE(A13,"/"," "),"."," "),"\"," "),"_"," "))&amp;" ")),1,0))+IF(Task!$A$11="",0,IF(ISNUMBER(SEARCH(" "&amp;Task!$A$11&amp;" "," "&amp;LOWER(SUBSTITUTE(SUBSTITUTE(SUBSTITUTE(SUBSTITUTE(A13,"/"," "),"."," "),"\"," "),"_"," "))&amp;" ")),1,0))+IF(Task!$A$12="",0,IF(ISNUMBER(SEARCH(" "&amp;Task!$A$12&amp;" "," "&amp;LOWER(SUBSTITUTE(SUBSTITUTE(SUBSTITUTE(SUBSTITUTE(A13,"/"," "),"."," "),"\"," "),"_"," "))&amp;" ")),1,0))+IF(Task!$A$13="",0,IF(ISNUMBER(SEARCH(" "&amp;Task!$A$13&amp;" "," "&amp;LOWER(SUBSTITUTE(SUBSTITUTE(SUBSTITUTE(SUBSTITUTE(A13,"/"," "),"."," "),"\"," "),"_"," "))&amp;" ")),1,0))+IF(Task!$A$14="",0,IF(ISNUMBER(SEARCH(" "&amp;Task!$A$14&amp;" "," "&amp;LOWER(SUBSTITUTE(SUBSTITUTE(SUBSTITUTE(SUBSTITUTE(A13,"/"," "),"."," "),"\"," "),"_"," "))&amp;" ")),1,0))+IF(Task!$A$15="",0,IF(ISNUMBER(SEARCH(" "&amp;Task!$A$15&amp;" "," "&amp;LOWER(SUBSTITUTE(SUBSTITUTE(SUBSTITUTE(SUBSTITUTE(A13,"/"," "),"."," "),"\"," "),"_"," "))&amp;" ")),1,0))+IF(Task!$A$16="",0,IF(ISNUMBER(SEARCH(" "&amp;Task!$A$16&amp;" "," "&amp;LOWER(SUBSTITUTE(SUBSTITUTE(SUBSTITUTE(SUBSTITUTE(A13,"/"," "),"."," "),"\"," "),"_"," "))&amp;" ")),1,0))+IF(Task!$A$17="",0,IF(ISNUMBER(SEARCH(" "&amp;Task!$A$17&amp;" "," "&amp;LOWER(SUBSTITUTE(SUBSTITUTE(SUBSTITUTE(SUBSTITUTE(A13,"/"," "),"."," "),"\"," "),"_"," "))&amp;" ")),1,0))+IF(Task!$A$18="",0,IF(ISNUMBER(SEARCH(" "&amp;Task!$A$18&amp;" "," "&amp;LOWER(SUBSTITUTE(SUBSTITUTE(SUBSTITUTE(SUBSTITUTE(A13,"/"," "),"."," "),"\"," "),"_"," "))&amp;" ")),1,0))+IF(Task!$A$19="",0,IF(ISNUMBER(SEARCH(" "&amp;Task!$A$19&amp;" "," "&amp;LOWER(SUBSTITUTE(SUBSTITUTE(SUBSTITUTE(SUBSTITUTE(A13,"/"," "),"."," "),"\"," "),"_"," "))&amp;" ")),1,0)))</f>
        <v/>
      </c>
      <c r="I13" s="10">
        <f>IF(OR(E13=0,F13=0,Task!$B$21=0),"",F13/Task!$B$21+0.5*G13+0.25*H13)</f>
        <v/>
      </c>
      <c r="J13" s="5">
        <f>IF(I13="","",I13-ROW()/1000000)</f>
        <v/>
      </c>
      <c r="K13" s="9">
        <f>IF(J13="","",COUNTIF($J$5:$J$404,"&gt;"&amp;J13)+1)</f>
        <v/>
      </c>
    </row>
    <row r="14">
      <c r="A14" s="7" t="n"/>
      <c r="B14" s="7" t="n"/>
      <c r="C14" s="7" t="n"/>
      <c r="D14" s="7" t="n"/>
      <c r="E14" s="5">
        <f>IF(A14="",0,IF(COUNTA(Task!$B$5:$E$5)=0,1,IF(COUNTIF(Task!$B$5:$E$5,B14)&gt;0,1,0)))</f>
        <v/>
      </c>
      <c r="F14" s="9">
        <f>IF(E14=0,0,IF(Task!$A$8="",0,IF(ISNUMBER(SEARCH(" "&amp;Task!$A$8&amp;" "," "&amp;LOWER(D14&amp;" "&amp;C14&amp;" "&amp;LOWER(SUBSTITUTE(SUBSTITUTE(SUBSTITUTE(SUBSTITUTE(A14,"/"," "),"."," "),"\"," "),"_"," ")))&amp;" ")),1,0))+IF(Task!$A$9="",0,IF(ISNUMBER(SEARCH(" "&amp;Task!$A$9&amp;" "," "&amp;LOWER(D14&amp;" "&amp;C14&amp;" "&amp;LOWER(SUBSTITUTE(SUBSTITUTE(SUBSTITUTE(SUBSTITUTE(A14,"/"," "),"."," "),"\"," "),"_"," ")))&amp;" ")),1,0))+IF(Task!$A$10="",0,IF(ISNUMBER(SEARCH(" "&amp;Task!$A$10&amp;" "," "&amp;LOWER(D14&amp;" "&amp;C14&amp;" "&amp;LOWER(SUBSTITUTE(SUBSTITUTE(SUBSTITUTE(SUBSTITUTE(A14,"/"," "),"."," "),"\"," "),"_"," ")))&amp;" ")),1,0))+IF(Task!$A$11="",0,IF(ISNUMBER(SEARCH(" "&amp;Task!$A$11&amp;" "," "&amp;LOWER(D14&amp;" "&amp;C14&amp;" "&amp;LOWER(SUBSTITUTE(SUBSTITUTE(SUBSTITUTE(SUBSTITUTE(A14,"/"," "),"."," "),"\"," "),"_"," ")))&amp;" ")),1,0))+IF(Task!$A$12="",0,IF(ISNUMBER(SEARCH(" "&amp;Task!$A$12&amp;" "," "&amp;LOWER(D14&amp;" "&amp;C14&amp;" "&amp;LOWER(SUBSTITUTE(SUBSTITUTE(SUBSTITUTE(SUBSTITUTE(A14,"/"," "),"."," "),"\"," "),"_"," ")))&amp;" ")),1,0))+IF(Task!$A$13="",0,IF(ISNUMBER(SEARCH(" "&amp;Task!$A$13&amp;" "," "&amp;LOWER(D14&amp;" "&amp;C14&amp;" "&amp;LOWER(SUBSTITUTE(SUBSTITUTE(SUBSTITUTE(SUBSTITUTE(A14,"/"," "),"."," "),"\"," "),"_"," ")))&amp;" ")),1,0))+IF(Task!$A$14="",0,IF(ISNUMBER(SEARCH(" "&amp;Task!$A$14&amp;" "," "&amp;LOWER(D14&amp;" "&amp;C14&amp;" "&amp;LOWER(SUBSTITUTE(SUBSTITUTE(SUBSTITUTE(SUBSTITUTE(A14,"/"," "),"."," "),"\"," "),"_"," ")))&amp;" ")),1,0))+IF(Task!$A$15="",0,IF(ISNUMBER(SEARCH(" "&amp;Task!$A$15&amp;" "," "&amp;LOWER(D14&amp;" "&amp;C14&amp;" "&amp;LOWER(SUBSTITUTE(SUBSTITUTE(SUBSTITUTE(SUBSTITUTE(A14,"/"," "),"."," "),"\"," "),"_"," ")))&amp;" ")),1,0))+IF(Task!$A$16="",0,IF(ISNUMBER(SEARCH(" "&amp;Task!$A$16&amp;" "," "&amp;LOWER(D14&amp;" "&amp;C14&amp;" "&amp;LOWER(SUBSTITUTE(SUBSTITUTE(SUBSTITUTE(SUBSTITUTE(A14,"/"," "),"."," "),"\"," "),"_"," ")))&amp;" ")),1,0))+IF(Task!$A$17="",0,IF(ISNUMBER(SEARCH(" "&amp;Task!$A$17&amp;" "," "&amp;LOWER(D14&amp;" "&amp;C14&amp;" "&amp;LOWER(SUBSTITUTE(SUBSTITUTE(SUBSTITUTE(SUBSTITUTE(A14,"/"," "),"."," "),"\"," "),"_"," ")))&amp;" ")),1,0))+IF(Task!$A$18="",0,IF(ISNUMBER(SEARCH(" "&amp;Task!$A$18&amp;" "," "&amp;LOWER(D14&amp;" "&amp;C14&amp;" "&amp;LOWER(SUBSTITUTE(SUBSTITUTE(SUBSTITUTE(SUBSTITUTE(A14,"/"," "),"."," "),"\"," "),"_"," ")))&amp;" ")),1,0))+IF(Task!$A$19="",0,IF(ISNUMBER(SEARCH(" "&amp;Task!$A$19&amp;" "," "&amp;LOWER(D14&amp;" "&amp;C14&amp;" "&amp;LOWER(SUBSTITUTE(SUBSTITUTE(SUBSTITUTE(SUBSTITUTE(A14,"/"," "),"."," "),"\"," "),"_"," ")))&amp;" ")),1,0)))</f>
        <v/>
      </c>
      <c r="G14" s="9">
        <f>IF(E14=0,0,IF(Task!$A$8="",0,IF(ISNUMBER(SEARCH(" "&amp;Task!$A$8&amp;" "," "&amp;LOWER(C14)&amp;" ")),1,0))+IF(Task!$A$9="",0,IF(ISNUMBER(SEARCH(" "&amp;Task!$A$9&amp;" "," "&amp;LOWER(C14)&amp;" ")),1,0))+IF(Task!$A$10="",0,IF(ISNUMBER(SEARCH(" "&amp;Task!$A$10&amp;" "," "&amp;LOWER(C14)&amp;" ")),1,0))+IF(Task!$A$11="",0,IF(ISNUMBER(SEARCH(" "&amp;Task!$A$11&amp;" "," "&amp;LOWER(C14)&amp;" ")),1,0))+IF(Task!$A$12="",0,IF(ISNUMBER(SEARCH(" "&amp;Task!$A$12&amp;" "," "&amp;LOWER(C14)&amp;" ")),1,0))+IF(Task!$A$13="",0,IF(ISNUMBER(SEARCH(" "&amp;Task!$A$13&amp;" "," "&amp;LOWER(C14)&amp;" ")),1,0))+IF(Task!$A$14="",0,IF(ISNUMBER(SEARCH(" "&amp;Task!$A$14&amp;" "," "&amp;LOWER(C14)&amp;" ")),1,0))+IF(Task!$A$15="",0,IF(ISNUMBER(SEARCH(" "&amp;Task!$A$15&amp;" "," "&amp;LOWER(C14)&amp;" ")),1,0))+IF(Task!$A$16="",0,IF(ISNUMBER(SEARCH(" "&amp;Task!$A$16&amp;" "," "&amp;LOWER(C14)&amp;" ")),1,0))+IF(Task!$A$17="",0,IF(ISNUMBER(SEARCH(" "&amp;Task!$A$17&amp;" "," "&amp;LOWER(C14)&amp;" ")),1,0))+IF(Task!$A$18="",0,IF(ISNUMBER(SEARCH(" "&amp;Task!$A$18&amp;" "," "&amp;LOWER(C14)&amp;" ")),1,0))+IF(Task!$A$19="",0,IF(ISNUMBER(SEARCH(" "&amp;Task!$A$19&amp;" "," "&amp;LOWER(C14)&amp;" ")),1,0)))</f>
        <v/>
      </c>
      <c r="H14" s="9">
        <f>IF(E14=0,0,IF(Task!$A$8="",0,IF(ISNUMBER(SEARCH(" "&amp;Task!$A$8&amp;" "," "&amp;LOWER(SUBSTITUTE(SUBSTITUTE(SUBSTITUTE(SUBSTITUTE(A14,"/"," "),"."," "),"\"," "),"_"," "))&amp;" ")),1,0))+IF(Task!$A$9="",0,IF(ISNUMBER(SEARCH(" "&amp;Task!$A$9&amp;" "," "&amp;LOWER(SUBSTITUTE(SUBSTITUTE(SUBSTITUTE(SUBSTITUTE(A14,"/"," "),"."," "),"\"," "),"_"," "))&amp;" ")),1,0))+IF(Task!$A$10="",0,IF(ISNUMBER(SEARCH(" "&amp;Task!$A$10&amp;" "," "&amp;LOWER(SUBSTITUTE(SUBSTITUTE(SUBSTITUTE(SUBSTITUTE(A14,"/"," "),"."," "),"\"," "),"_"," "))&amp;" ")),1,0))+IF(Task!$A$11="",0,IF(ISNUMBER(SEARCH(" "&amp;Task!$A$11&amp;" "," "&amp;LOWER(SUBSTITUTE(SUBSTITUTE(SUBSTITUTE(SUBSTITUTE(A14,"/"," "),"."," "),"\"," "),"_"," "))&amp;" ")),1,0))+IF(Task!$A$12="",0,IF(ISNUMBER(SEARCH(" "&amp;Task!$A$12&amp;" "," "&amp;LOWER(SUBSTITUTE(SUBSTITUTE(SUBSTITUTE(SUBSTITUTE(A14,"/"," "),"."," "),"\"," "),"_"," "))&amp;" ")),1,0))+IF(Task!$A$13="",0,IF(ISNUMBER(SEARCH(" "&amp;Task!$A$13&amp;" "," "&amp;LOWER(SUBSTITUTE(SUBSTITUTE(SUBSTITUTE(SUBSTITUTE(A14,"/"," "),"."," "),"\"," "),"_"," "))&amp;" ")),1,0))+IF(Task!$A$14="",0,IF(ISNUMBER(SEARCH(" "&amp;Task!$A$14&amp;" "," "&amp;LOWER(SUBSTITUTE(SUBSTITUTE(SUBSTITUTE(SUBSTITUTE(A14,"/"," "),"."," "),"\"," "),"_"," "))&amp;" ")),1,0))+IF(Task!$A$15="",0,IF(ISNUMBER(SEARCH(" "&amp;Task!$A$15&amp;" "," "&amp;LOWER(SUBSTITUTE(SUBSTITUTE(SUBSTITUTE(SUBSTITUTE(A14,"/"," "),"."," "),"\"," "),"_"," "))&amp;" ")),1,0))+IF(Task!$A$16="",0,IF(ISNUMBER(SEARCH(" "&amp;Task!$A$16&amp;" "," "&amp;LOWER(SUBSTITUTE(SUBSTITUTE(SUBSTITUTE(SUBSTITUTE(A14,"/"," "),"."," "),"\"," "),"_"," "))&amp;" ")),1,0))+IF(Task!$A$17="",0,IF(ISNUMBER(SEARCH(" "&amp;Task!$A$17&amp;" "," "&amp;LOWER(SUBSTITUTE(SUBSTITUTE(SUBSTITUTE(SUBSTITUTE(A14,"/"," "),"."," "),"\"," "),"_"," "))&amp;" ")),1,0))+IF(Task!$A$18="",0,IF(ISNUMBER(SEARCH(" "&amp;Task!$A$18&amp;" "," "&amp;LOWER(SUBSTITUTE(SUBSTITUTE(SUBSTITUTE(SUBSTITUTE(A14,"/"," "),"."," "),"\"," "),"_"," "))&amp;" ")),1,0))+IF(Task!$A$19="",0,IF(ISNUMBER(SEARCH(" "&amp;Task!$A$19&amp;" "," "&amp;LOWER(SUBSTITUTE(SUBSTITUTE(SUBSTITUTE(SUBSTITUTE(A14,"/"," "),"."," "),"\"," "),"_"," "))&amp;" ")),1,0)))</f>
        <v/>
      </c>
      <c r="I14" s="10">
        <f>IF(OR(E14=0,F14=0,Task!$B$21=0),"",F14/Task!$B$21+0.5*G14+0.25*H14)</f>
        <v/>
      </c>
      <c r="J14" s="5">
        <f>IF(I14="","",I14-ROW()/1000000)</f>
        <v/>
      </c>
      <c r="K14" s="9">
        <f>IF(J14="","",COUNTIF($J$5:$J$404,"&gt;"&amp;J14)+1)</f>
        <v/>
      </c>
    </row>
    <row r="15">
      <c r="A15" s="7" t="n"/>
      <c r="B15" s="7" t="n"/>
      <c r="C15" s="7" t="n"/>
      <c r="D15" s="7" t="n"/>
      <c r="E15" s="5">
        <f>IF(A15="",0,IF(COUNTA(Task!$B$5:$E$5)=0,1,IF(COUNTIF(Task!$B$5:$E$5,B15)&gt;0,1,0)))</f>
        <v/>
      </c>
      <c r="F15" s="9">
        <f>IF(E15=0,0,IF(Task!$A$8="",0,IF(ISNUMBER(SEARCH(" "&amp;Task!$A$8&amp;" "," "&amp;LOWER(D15&amp;" "&amp;C15&amp;" "&amp;LOWER(SUBSTITUTE(SUBSTITUTE(SUBSTITUTE(SUBSTITUTE(A15,"/"," "),"."," "),"\"," "),"_"," ")))&amp;" ")),1,0))+IF(Task!$A$9="",0,IF(ISNUMBER(SEARCH(" "&amp;Task!$A$9&amp;" "," "&amp;LOWER(D15&amp;" "&amp;C15&amp;" "&amp;LOWER(SUBSTITUTE(SUBSTITUTE(SUBSTITUTE(SUBSTITUTE(A15,"/"," "),"."," "),"\"," "),"_"," ")))&amp;" ")),1,0))+IF(Task!$A$10="",0,IF(ISNUMBER(SEARCH(" "&amp;Task!$A$10&amp;" "," "&amp;LOWER(D15&amp;" "&amp;C15&amp;" "&amp;LOWER(SUBSTITUTE(SUBSTITUTE(SUBSTITUTE(SUBSTITUTE(A15,"/"," "),"."," "),"\"," "),"_"," ")))&amp;" ")),1,0))+IF(Task!$A$11="",0,IF(ISNUMBER(SEARCH(" "&amp;Task!$A$11&amp;" "," "&amp;LOWER(D15&amp;" "&amp;C15&amp;" "&amp;LOWER(SUBSTITUTE(SUBSTITUTE(SUBSTITUTE(SUBSTITUTE(A15,"/"," "),"."," "),"\"," "),"_"," ")))&amp;" ")),1,0))+IF(Task!$A$12="",0,IF(ISNUMBER(SEARCH(" "&amp;Task!$A$12&amp;" "," "&amp;LOWER(D15&amp;" "&amp;C15&amp;" "&amp;LOWER(SUBSTITUTE(SUBSTITUTE(SUBSTITUTE(SUBSTITUTE(A15,"/"," "),"."," "),"\"," "),"_"," ")))&amp;" ")),1,0))+IF(Task!$A$13="",0,IF(ISNUMBER(SEARCH(" "&amp;Task!$A$13&amp;" "," "&amp;LOWER(D15&amp;" "&amp;C15&amp;" "&amp;LOWER(SUBSTITUTE(SUBSTITUTE(SUBSTITUTE(SUBSTITUTE(A15,"/"," "),"."," "),"\"," "),"_"," ")))&amp;" ")),1,0))+IF(Task!$A$14="",0,IF(ISNUMBER(SEARCH(" "&amp;Task!$A$14&amp;" "," "&amp;LOWER(D15&amp;" "&amp;C15&amp;" "&amp;LOWER(SUBSTITUTE(SUBSTITUTE(SUBSTITUTE(SUBSTITUTE(A15,"/"," "),"."," "),"\"," "),"_"," ")))&amp;" ")),1,0))+IF(Task!$A$15="",0,IF(ISNUMBER(SEARCH(" "&amp;Task!$A$15&amp;" "," "&amp;LOWER(D15&amp;" "&amp;C15&amp;" "&amp;LOWER(SUBSTITUTE(SUBSTITUTE(SUBSTITUTE(SUBSTITUTE(A15,"/"," "),"."," "),"\"," "),"_"," ")))&amp;" ")),1,0))+IF(Task!$A$16="",0,IF(ISNUMBER(SEARCH(" "&amp;Task!$A$16&amp;" "," "&amp;LOWER(D15&amp;" "&amp;C15&amp;" "&amp;LOWER(SUBSTITUTE(SUBSTITUTE(SUBSTITUTE(SUBSTITUTE(A15,"/"," "),"."," "),"\"," "),"_"," ")))&amp;" ")),1,0))+IF(Task!$A$17="",0,IF(ISNUMBER(SEARCH(" "&amp;Task!$A$17&amp;" "," "&amp;LOWER(D15&amp;" "&amp;C15&amp;" "&amp;LOWER(SUBSTITUTE(SUBSTITUTE(SUBSTITUTE(SUBSTITUTE(A15,"/"," "),"."," "),"\"," "),"_"," ")))&amp;" ")),1,0))+IF(Task!$A$18="",0,IF(ISNUMBER(SEARCH(" "&amp;Task!$A$18&amp;" "," "&amp;LOWER(D15&amp;" "&amp;C15&amp;" "&amp;LOWER(SUBSTITUTE(SUBSTITUTE(SUBSTITUTE(SUBSTITUTE(A15,"/"," "),"."," "),"\"," "),"_"," ")))&amp;" ")),1,0))+IF(Task!$A$19="",0,IF(ISNUMBER(SEARCH(" "&amp;Task!$A$19&amp;" "," "&amp;LOWER(D15&amp;" "&amp;C15&amp;" "&amp;LOWER(SUBSTITUTE(SUBSTITUTE(SUBSTITUTE(SUBSTITUTE(A15,"/"," "),"."," "),"\"," "),"_"," ")))&amp;" ")),1,0)))</f>
        <v/>
      </c>
      <c r="G15" s="9">
        <f>IF(E15=0,0,IF(Task!$A$8="",0,IF(ISNUMBER(SEARCH(" "&amp;Task!$A$8&amp;" "," "&amp;LOWER(C15)&amp;" ")),1,0))+IF(Task!$A$9="",0,IF(ISNUMBER(SEARCH(" "&amp;Task!$A$9&amp;" "," "&amp;LOWER(C15)&amp;" ")),1,0))+IF(Task!$A$10="",0,IF(ISNUMBER(SEARCH(" "&amp;Task!$A$10&amp;" "," "&amp;LOWER(C15)&amp;" ")),1,0))+IF(Task!$A$11="",0,IF(ISNUMBER(SEARCH(" "&amp;Task!$A$11&amp;" "," "&amp;LOWER(C15)&amp;" ")),1,0))+IF(Task!$A$12="",0,IF(ISNUMBER(SEARCH(" "&amp;Task!$A$12&amp;" "," "&amp;LOWER(C15)&amp;" ")),1,0))+IF(Task!$A$13="",0,IF(ISNUMBER(SEARCH(" "&amp;Task!$A$13&amp;" "," "&amp;LOWER(C15)&amp;" ")),1,0))+IF(Task!$A$14="",0,IF(ISNUMBER(SEARCH(" "&amp;Task!$A$14&amp;" "," "&amp;LOWER(C15)&amp;" ")),1,0))+IF(Task!$A$15="",0,IF(ISNUMBER(SEARCH(" "&amp;Task!$A$15&amp;" "," "&amp;LOWER(C15)&amp;" ")),1,0))+IF(Task!$A$16="",0,IF(ISNUMBER(SEARCH(" "&amp;Task!$A$16&amp;" "," "&amp;LOWER(C15)&amp;" ")),1,0))+IF(Task!$A$17="",0,IF(ISNUMBER(SEARCH(" "&amp;Task!$A$17&amp;" "," "&amp;LOWER(C15)&amp;" ")),1,0))+IF(Task!$A$18="",0,IF(ISNUMBER(SEARCH(" "&amp;Task!$A$18&amp;" "," "&amp;LOWER(C15)&amp;" ")),1,0))+IF(Task!$A$19="",0,IF(ISNUMBER(SEARCH(" "&amp;Task!$A$19&amp;" "," "&amp;LOWER(C15)&amp;" ")),1,0)))</f>
        <v/>
      </c>
      <c r="H15" s="9">
        <f>IF(E15=0,0,IF(Task!$A$8="",0,IF(ISNUMBER(SEARCH(" "&amp;Task!$A$8&amp;" "," "&amp;LOWER(SUBSTITUTE(SUBSTITUTE(SUBSTITUTE(SUBSTITUTE(A15,"/"," "),"."," "),"\"," "),"_"," "))&amp;" ")),1,0))+IF(Task!$A$9="",0,IF(ISNUMBER(SEARCH(" "&amp;Task!$A$9&amp;" "," "&amp;LOWER(SUBSTITUTE(SUBSTITUTE(SUBSTITUTE(SUBSTITUTE(A15,"/"," "),"."," "),"\"," "),"_"," "))&amp;" ")),1,0))+IF(Task!$A$10="",0,IF(ISNUMBER(SEARCH(" "&amp;Task!$A$10&amp;" "," "&amp;LOWER(SUBSTITUTE(SUBSTITUTE(SUBSTITUTE(SUBSTITUTE(A15,"/"," "),"."," "),"\"," "),"_"," "))&amp;" ")),1,0))+IF(Task!$A$11="",0,IF(ISNUMBER(SEARCH(" "&amp;Task!$A$11&amp;" "," "&amp;LOWER(SUBSTITUTE(SUBSTITUTE(SUBSTITUTE(SUBSTITUTE(A15,"/"," "),"."," "),"\"," "),"_"," "))&amp;" ")),1,0))+IF(Task!$A$12="",0,IF(ISNUMBER(SEARCH(" "&amp;Task!$A$12&amp;" "," "&amp;LOWER(SUBSTITUTE(SUBSTITUTE(SUBSTITUTE(SUBSTITUTE(A15,"/"," "),"."," "),"\"," "),"_"," "))&amp;" ")),1,0))+IF(Task!$A$13="",0,IF(ISNUMBER(SEARCH(" "&amp;Task!$A$13&amp;" "," "&amp;LOWER(SUBSTITUTE(SUBSTITUTE(SUBSTITUTE(SUBSTITUTE(A15,"/"," "),"."," "),"\"," "),"_"," "))&amp;" ")),1,0))+IF(Task!$A$14="",0,IF(ISNUMBER(SEARCH(" "&amp;Task!$A$14&amp;" "," "&amp;LOWER(SUBSTITUTE(SUBSTITUTE(SUBSTITUTE(SUBSTITUTE(A15,"/"," "),"."," "),"\"," "),"_"," "))&amp;" ")),1,0))+IF(Task!$A$15="",0,IF(ISNUMBER(SEARCH(" "&amp;Task!$A$15&amp;" "," "&amp;LOWER(SUBSTITUTE(SUBSTITUTE(SUBSTITUTE(SUBSTITUTE(A15,"/"," "),"."," "),"\"," "),"_"," "))&amp;" ")),1,0))+IF(Task!$A$16="",0,IF(ISNUMBER(SEARCH(" "&amp;Task!$A$16&amp;" "," "&amp;LOWER(SUBSTITUTE(SUBSTITUTE(SUBSTITUTE(SUBSTITUTE(A15,"/"," "),"."," "),"\"," "),"_"," "))&amp;" ")),1,0))+IF(Task!$A$17="",0,IF(ISNUMBER(SEARCH(" "&amp;Task!$A$17&amp;" "," "&amp;LOWER(SUBSTITUTE(SUBSTITUTE(SUBSTITUTE(SUBSTITUTE(A15,"/"," "),"."," "),"\"," "),"_"," "))&amp;" ")),1,0))+IF(Task!$A$18="",0,IF(ISNUMBER(SEARCH(" "&amp;Task!$A$18&amp;" "," "&amp;LOWER(SUBSTITUTE(SUBSTITUTE(SUBSTITUTE(SUBSTITUTE(A15,"/"," "),"."," "),"\"," "),"_"," "))&amp;" ")),1,0))+IF(Task!$A$19="",0,IF(ISNUMBER(SEARCH(" "&amp;Task!$A$19&amp;" "," "&amp;LOWER(SUBSTITUTE(SUBSTITUTE(SUBSTITUTE(SUBSTITUTE(A15,"/"," "),"."," "),"\"," "),"_"," "))&amp;" ")),1,0)))</f>
        <v/>
      </c>
      <c r="I15" s="10">
        <f>IF(OR(E15=0,F15=0,Task!$B$21=0),"",F15/Task!$B$21+0.5*G15+0.25*H15)</f>
        <v/>
      </c>
      <c r="J15" s="5">
        <f>IF(I15="","",I15-ROW()/1000000)</f>
        <v/>
      </c>
      <c r="K15" s="9">
        <f>IF(J15="","",COUNTIF($J$5:$J$404,"&gt;"&amp;J15)+1)</f>
        <v/>
      </c>
    </row>
    <row r="16">
      <c r="A16" s="7" t="n"/>
      <c r="B16" s="7" t="n"/>
      <c r="C16" s="7" t="n"/>
      <c r="D16" s="7" t="n"/>
      <c r="E16" s="5">
        <f>IF(A16="",0,IF(COUNTA(Task!$B$5:$E$5)=0,1,IF(COUNTIF(Task!$B$5:$E$5,B16)&gt;0,1,0)))</f>
        <v/>
      </c>
      <c r="F16" s="9">
        <f>IF(E16=0,0,IF(Task!$A$8="",0,IF(ISNUMBER(SEARCH(" "&amp;Task!$A$8&amp;" "," "&amp;LOWER(D16&amp;" "&amp;C16&amp;" "&amp;LOWER(SUBSTITUTE(SUBSTITUTE(SUBSTITUTE(SUBSTITUTE(A16,"/"," "),"."," "),"\"," "),"_"," ")))&amp;" ")),1,0))+IF(Task!$A$9="",0,IF(ISNUMBER(SEARCH(" "&amp;Task!$A$9&amp;" "," "&amp;LOWER(D16&amp;" "&amp;C16&amp;" "&amp;LOWER(SUBSTITUTE(SUBSTITUTE(SUBSTITUTE(SUBSTITUTE(A16,"/"," "),"."," "),"\"," "),"_"," ")))&amp;" ")),1,0))+IF(Task!$A$10="",0,IF(ISNUMBER(SEARCH(" "&amp;Task!$A$10&amp;" "," "&amp;LOWER(D16&amp;" "&amp;C16&amp;" "&amp;LOWER(SUBSTITUTE(SUBSTITUTE(SUBSTITUTE(SUBSTITUTE(A16,"/"," "),"."," "),"\"," "),"_"," ")))&amp;" ")),1,0))+IF(Task!$A$11="",0,IF(ISNUMBER(SEARCH(" "&amp;Task!$A$11&amp;" "," "&amp;LOWER(D16&amp;" "&amp;C16&amp;" "&amp;LOWER(SUBSTITUTE(SUBSTITUTE(SUBSTITUTE(SUBSTITUTE(A16,"/"," "),"."," "),"\"," "),"_"," ")))&amp;" ")),1,0))+IF(Task!$A$12="",0,IF(ISNUMBER(SEARCH(" "&amp;Task!$A$12&amp;" "," "&amp;LOWER(D16&amp;" "&amp;C16&amp;" "&amp;LOWER(SUBSTITUTE(SUBSTITUTE(SUBSTITUTE(SUBSTITUTE(A16,"/"," "),"."," "),"\"," "),"_"," ")))&amp;" ")),1,0))+IF(Task!$A$13="",0,IF(ISNUMBER(SEARCH(" "&amp;Task!$A$13&amp;" "," "&amp;LOWER(D16&amp;" "&amp;C16&amp;" "&amp;LOWER(SUBSTITUTE(SUBSTITUTE(SUBSTITUTE(SUBSTITUTE(A16,"/"," "),"."," "),"\"," "),"_"," ")))&amp;" ")),1,0))+IF(Task!$A$14="",0,IF(ISNUMBER(SEARCH(" "&amp;Task!$A$14&amp;" "," "&amp;LOWER(D16&amp;" "&amp;C16&amp;" "&amp;LOWER(SUBSTITUTE(SUBSTITUTE(SUBSTITUTE(SUBSTITUTE(A16,"/"," "),"."," "),"\"," "),"_"," ")))&amp;" ")),1,0))+IF(Task!$A$15="",0,IF(ISNUMBER(SEARCH(" "&amp;Task!$A$15&amp;" "," "&amp;LOWER(D16&amp;" "&amp;C16&amp;" "&amp;LOWER(SUBSTITUTE(SUBSTITUTE(SUBSTITUTE(SUBSTITUTE(A16,"/"," "),"."," "),"\"," "),"_"," ")))&amp;" ")),1,0))+IF(Task!$A$16="",0,IF(ISNUMBER(SEARCH(" "&amp;Task!$A$16&amp;" "," "&amp;LOWER(D16&amp;" "&amp;C16&amp;" "&amp;LOWER(SUBSTITUTE(SUBSTITUTE(SUBSTITUTE(SUBSTITUTE(A16,"/"," "),"."," "),"\"," "),"_"," ")))&amp;" ")),1,0))+IF(Task!$A$17="",0,IF(ISNUMBER(SEARCH(" "&amp;Task!$A$17&amp;" "," "&amp;LOWER(D16&amp;" "&amp;C16&amp;" "&amp;LOWER(SUBSTITUTE(SUBSTITUTE(SUBSTITUTE(SUBSTITUTE(A16,"/"," "),"."," "),"\"," "),"_"," ")))&amp;" ")),1,0))+IF(Task!$A$18="",0,IF(ISNUMBER(SEARCH(" "&amp;Task!$A$18&amp;" "," "&amp;LOWER(D16&amp;" "&amp;C16&amp;" "&amp;LOWER(SUBSTITUTE(SUBSTITUTE(SUBSTITUTE(SUBSTITUTE(A16,"/"," "),"."," "),"\"," "),"_"," ")))&amp;" ")),1,0))+IF(Task!$A$19="",0,IF(ISNUMBER(SEARCH(" "&amp;Task!$A$19&amp;" "," "&amp;LOWER(D16&amp;" "&amp;C16&amp;" "&amp;LOWER(SUBSTITUTE(SUBSTITUTE(SUBSTITUTE(SUBSTITUTE(A16,"/"," "),"."," "),"\"," "),"_"," ")))&amp;" ")),1,0)))</f>
        <v/>
      </c>
      <c r="G16" s="9">
        <f>IF(E16=0,0,IF(Task!$A$8="",0,IF(ISNUMBER(SEARCH(" "&amp;Task!$A$8&amp;" "," "&amp;LOWER(C16)&amp;" ")),1,0))+IF(Task!$A$9="",0,IF(ISNUMBER(SEARCH(" "&amp;Task!$A$9&amp;" "," "&amp;LOWER(C16)&amp;" ")),1,0))+IF(Task!$A$10="",0,IF(ISNUMBER(SEARCH(" "&amp;Task!$A$10&amp;" "," "&amp;LOWER(C16)&amp;" ")),1,0))+IF(Task!$A$11="",0,IF(ISNUMBER(SEARCH(" "&amp;Task!$A$11&amp;" "," "&amp;LOWER(C16)&amp;" ")),1,0))+IF(Task!$A$12="",0,IF(ISNUMBER(SEARCH(" "&amp;Task!$A$12&amp;" "," "&amp;LOWER(C16)&amp;" ")),1,0))+IF(Task!$A$13="",0,IF(ISNUMBER(SEARCH(" "&amp;Task!$A$13&amp;" "," "&amp;LOWER(C16)&amp;" ")),1,0))+IF(Task!$A$14="",0,IF(ISNUMBER(SEARCH(" "&amp;Task!$A$14&amp;" "," "&amp;LOWER(C16)&amp;" ")),1,0))+IF(Task!$A$15="",0,IF(ISNUMBER(SEARCH(" "&amp;Task!$A$15&amp;" "," "&amp;LOWER(C16)&amp;" ")),1,0))+IF(Task!$A$16="",0,IF(ISNUMBER(SEARCH(" "&amp;Task!$A$16&amp;" "," "&amp;LOWER(C16)&amp;" ")),1,0))+IF(Task!$A$17="",0,IF(ISNUMBER(SEARCH(" "&amp;Task!$A$17&amp;" "," "&amp;LOWER(C16)&amp;" ")),1,0))+IF(Task!$A$18="",0,IF(ISNUMBER(SEARCH(" "&amp;Task!$A$18&amp;" "," "&amp;LOWER(C16)&amp;" ")),1,0))+IF(Task!$A$19="",0,IF(ISNUMBER(SEARCH(" "&amp;Task!$A$19&amp;" "," "&amp;LOWER(C16)&amp;" ")),1,0)))</f>
        <v/>
      </c>
      <c r="H16" s="9">
        <f>IF(E16=0,0,IF(Task!$A$8="",0,IF(ISNUMBER(SEARCH(" "&amp;Task!$A$8&amp;" "," "&amp;LOWER(SUBSTITUTE(SUBSTITUTE(SUBSTITUTE(SUBSTITUTE(A16,"/"," "),"."," "),"\"," "),"_"," "))&amp;" ")),1,0))+IF(Task!$A$9="",0,IF(ISNUMBER(SEARCH(" "&amp;Task!$A$9&amp;" "," "&amp;LOWER(SUBSTITUTE(SUBSTITUTE(SUBSTITUTE(SUBSTITUTE(A16,"/"," "),"."," "),"\"," "),"_"," "))&amp;" ")),1,0))+IF(Task!$A$10="",0,IF(ISNUMBER(SEARCH(" "&amp;Task!$A$10&amp;" "," "&amp;LOWER(SUBSTITUTE(SUBSTITUTE(SUBSTITUTE(SUBSTITUTE(A16,"/"," "),"."," "),"\"," "),"_"," "))&amp;" ")),1,0))+IF(Task!$A$11="",0,IF(ISNUMBER(SEARCH(" "&amp;Task!$A$11&amp;" "," "&amp;LOWER(SUBSTITUTE(SUBSTITUTE(SUBSTITUTE(SUBSTITUTE(A16,"/"," "),"."," "),"\"," "),"_"," "))&amp;" ")),1,0))+IF(Task!$A$12="",0,IF(ISNUMBER(SEARCH(" "&amp;Task!$A$12&amp;" "," "&amp;LOWER(SUBSTITUTE(SUBSTITUTE(SUBSTITUTE(SUBSTITUTE(A16,"/"," "),"."," "),"\"," "),"_"," "))&amp;" ")),1,0))+IF(Task!$A$13="",0,IF(ISNUMBER(SEARCH(" "&amp;Task!$A$13&amp;" "," "&amp;LOWER(SUBSTITUTE(SUBSTITUTE(SUBSTITUTE(SUBSTITUTE(A16,"/"," "),"."," "),"\"," "),"_"," "))&amp;" ")),1,0))+IF(Task!$A$14="",0,IF(ISNUMBER(SEARCH(" "&amp;Task!$A$14&amp;" "," "&amp;LOWER(SUBSTITUTE(SUBSTITUTE(SUBSTITUTE(SUBSTITUTE(A16,"/"," "),"."," "),"\"," "),"_"," "))&amp;" ")),1,0))+IF(Task!$A$15="",0,IF(ISNUMBER(SEARCH(" "&amp;Task!$A$15&amp;" "," "&amp;LOWER(SUBSTITUTE(SUBSTITUTE(SUBSTITUTE(SUBSTITUTE(A16,"/"," "),"."," "),"\"," "),"_"," "))&amp;" ")),1,0))+IF(Task!$A$16="",0,IF(ISNUMBER(SEARCH(" "&amp;Task!$A$16&amp;" "," "&amp;LOWER(SUBSTITUTE(SUBSTITUTE(SUBSTITUTE(SUBSTITUTE(A16,"/"," "),"."," "),"\"," "),"_"," "))&amp;" ")),1,0))+IF(Task!$A$17="",0,IF(ISNUMBER(SEARCH(" "&amp;Task!$A$17&amp;" "," "&amp;LOWER(SUBSTITUTE(SUBSTITUTE(SUBSTITUTE(SUBSTITUTE(A16,"/"," "),"."," "),"\"," "),"_"," "))&amp;" ")),1,0))+IF(Task!$A$18="",0,IF(ISNUMBER(SEARCH(" "&amp;Task!$A$18&amp;" "," "&amp;LOWER(SUBSTITUTE(SUBSTITUTE(SUBSTITUTE(SUBSTITUTE(A16,"/"," "),"."," "),"\"," "),"_"," "))&amp;" ")),1,0))+IF(Task!$A$19="",0,IF(ISNUMBER(SEARCH(" "&amp;Task!$A$19&amp;" "," "&amp;LOWER(SUBSTITUTE(SUBSTITUTE(SUBSTITUTE(SUBSTITUTE(A16,"/"," "),"."," "),"\"," "),"_"," "))&amp;" ")),1,0)))</f>
        <v/>
      </c>
      <c r="I16" s="10">
        <f>IF(OR(E16=0,F16=0,Task!$B$21=0),"",F16/Task!$B$21+0.5*G16+0.25*H16)</f>
        <v/>
      </c>
      <c r="J16" s="5">
        <f>IF(I16="","",I16-ROW()/1000000)</f>
        <v/>
      </c>
      <c r="K16" s="9">
        <f>IF(J16="","",COUNTIF($J$5:$J$404,"&gt;"&amp;J16)+1)</f>
        <v/>
      </c>
    </row>
    <row r="17">
      <c r="A17" s="7" t="n"/>
      <c r="B17" s="7" t="n"/>
      <c r="C17" s="7" t="n"/>
      <c r="D17" s="7" t="n"/>
      <c r="E17" s="5">
        <f>IF(A17="",0,IF(COUNTA(Task!$B$5:$E$5)=0,1,IF(COUNTIF(Task!$B$5:$E$5,B17)&gt;0,1,0)))</f>
        <v/>
      </c>
      <c r="F17" s="9">
        <f>IF(E17=0,0,IF(Task!$A$8="",0,IF(ISNUMBER(SEARCH(" "&amp;Task!$A$8&amp;" "," "&amp;LOWER(D17&amp;" "&amp;C17&amp;" "&amp;LOWER(SUBSTITUTE(SUBSTITUTE(SUBSTITUTE(SUBSTITUTE(A17,"/"," "),"."," "),"\"," "),"_"," ")))&amp;" ")),1,0))+IF(Task!$A$9="",0,IF(ISNUMBER(SEARCH(" "&amp;Task!$A$9&amp;" "," "&amp;LOWER(D17&amp;" "&amp;C17&amp;" "&amp;LOWER(SUBSTITUTE(SUBSTITUTE(SUBSTITUTE(SUBSTITUTE(A17,"/"," "),"."," "),"\"," "),"_"," ")))&amp;" ")),1,0))+IF(Task!$A$10="",0,IF(ISNUMBER(SEARCH(" "&amp;Task!$A$10&amp;" "," "&amp;LOWER(D17&amp;" "&amp;C17&amp;" "&amp;LOWER(SUBSTITUTE(SUBSTITUTE(SUBSTITUTE(SUBSTITUTE(A17,"/"," "),"."," "),"\"," "),"_"," ")))&amp;" ")),1,0))+IF(Task!$A$11="",0,IF(ISNUMBER(SEARCH(" "&amp;Task!$A$11&amp;" "," "&amp;LOWER(D17&amp;" "&amp;C17&amp;" "&amp;LOWER(SUBSTITUTE(SUBSTITUTE(SUBSTITUTE(SUBSTITUTE(A17,"/"," "),"."," "),"\"," "),"_"," ")))&amp;" ")),1,0))+IF(Task!$A$12="",0,IF(ISNUMBER(SEARCH(" "&amp;Task!$A$12&amp;" "," "&amp;LOWER(D17&amp;" "&amp;C17&amp;" "&amp;LOWER(SUBSTITUTE(SUBSTITUTE(SUBSTITUTE(SUBSTITUTE(A17,"/"," "),"."," "),"\"," "),"_"," ")))&amp;" ")),1,0))+IF(Task!$A$13="",0,IF(ISNUMBER(SEARCH(" "&amp;Task!$A$13&amp;" "," "&amp;LOWER(D17&amp;" "&amp;C17&amp;" "&amp;LOWER(SUBSTITUTE(SUBSTITUTE(SUBSTITUTE(SUBSTITUTE(A17,"/"," "),"."," "),"\"," "),"_"," ")))&amp;" ")),1,0))+IF(Task!$A$14="",0,IF(ISNUMBER(SEARCH(" "&amp;Task!$A$14&amp;" "," "&amp;LOWER(D17&amp;" "&amp;C17&amp;" "&amp;LOWER(SUBSTITUTE(SUBSTITUTE(SUBSTITUTE(SUBSTITUTE(A17,"/"," "),"."," "),"\"," "),"_"," ")))&amp;" ")),1,0))+IF(Task!$A$15="",0,IF(ISNUMBER(SEARCH(" "&amp;Task!$A$15&amp;" "," "&amp;LOWER(D17&amp;" "&amp;C17&amp;" "&amp;LOWER(SUBSTITUTE(SUBSTITUTE(SUBSTITUTE(SUBSTITUTE(A17,"/"," "),"."," "),"\"," "),"_"," ")))&amp;" ")),1,0))+IF(Task!$A$16="",0,IF(ISNUMBER(SEARCH(" "&amp;Task!$A$16&amp;" "," "&amp;LOWER(D17&amp;" "&amp;C17&amp;" "&amp;LOWER(SUBSTITUTE(SUBSTITUTE(SUBSTITUTE(SUBSTITUTE(A17,"/"," "),"."," "),"\"," "),"_"," ")))&amp;" ")),1,0))+IF(Task!$A$17="",0,IF(ISNUMBER(SEARCH(" "&amp;Task!$A$17&amp;" "," "&amp;LOWER(D17&amp;" "&amp;C17&amp;" "&amp;LOWER(SUBSTITUTE(SUBSTITUTE(SUBSTITUTE(SUBSTITUTE(A17,"/"," "),"."," "),"\"," "),"_"," ")))&amp;" ")),1,0))+IF(Task!$A$18="",0,IF(ISNUMBER(SEARCH(" "&amp;Task!$A$18&amp;" "," "&amp;LOWER(D17&amp;" "&amp;C17&amp;" "&amp;LOWER(SUBSTITUTE(SUBSTITUTE(SUBSTITUTE(SUBSTITUTE(A17,"/"," "),"."," "),"\"," "),"_"," ")))&amp;" ")),1,0))+IF(Task!$A$19="",0,IF(ISNUMBER(SEARCH(" "&amp;Task!$A$19&amp;" "," "&amp;LOWER(D17&amp;" "&amp;C17&amp;" "&amp;LOWER(SUBSTITUTE(SUBSTITUTE(SUBSTITUTE(SUBSTITUTE(A17,"/"," "),"."," "),"\"," "),"_"," ")))&amp;" ")),1,0)))</f>
        <v/>
      </c>
      <c r="G17" s="9">
        <f>IF(E17=0,0,IF(Task!$A$8="",0,IF(ISNUMBER(SEARCH(" "&amp;Task!$A$8&amp;" "," "&amp;LOWER(C17)&amp;" ")),1,0))+IF(Task!$A$9="",0,IF(ISNUMBER(SEARCH(" "&amp;Task!$A$9&amp;" "," "&amp;LOWER(C17)&amp;" ")),1,0))+IF(Task!$A$10="",0,IF(ISNUMBER(SEARCH(" "&amp;Task!$A$10&amp;" "," "&amp;LOWER(C17)&amp;" ")),1,0))+IF(Task!$A$11="",0,IF(ISNUMBER(SEARCH(" "&amp;Task!$A$11&amp;" "," "&amp;LOWER(C17)&amp;" ")),1,0))+IF(Task!$A$12="",0,IF(ISNUMBER(SEARCH(" "&amp;Task!$A$12&amp;" "," "&amp;LOWER(C17)&amp;" ")),1,0))+IF(Task!$A$13="",0,IF(ISNUMBER(SEARCH(" "&amp;Task!$A$13&amp;" "," "&amp;LOWER(C17)&amp;" ")),1,0))+IF(Task!$A$14="",0,IF(ISNUMBER(SEARCH(" "&amp;Task!$A$14&amp;" "," "&amp;LOWER(C17)&amp;" ")),1,0))+IF(Task!$A$15="",0,IF(ISNUMBER(SEARCH(" "&amp;Task!$A$15&amp;" "," "&amp;LOWER(C17)&amp;" ")),1,0))+IF(Task!$A$16="",0,IF(ISNUMBER(SEARCH(" "&amp;Task!$A$16&amp;" "," "&amp;LOWER(C17)&amp;" ")),1,0))+IF(Task!$A$17="",0,IF(ISNUMBER(SEARCH(" "&amp;Task!$A$17&amp;" "," "&amp;LOWER(C17)&amp;" ")),1,0))+IF(Task!$A$18="",0,IF(ISNUMBER(SEARCH(" "&amp;Task!$A$18&amp;" "," "&amp;LOWER(C17)&amp;" ")),1,0))+IF(Task!$A$19="",0,IF(ISNUMBER(SEARCH(" "&amp;Task!$A$19&amp;" "," "&amp;LOWER(C17)&amp;" ")),1,0)))</f>
        <v/>
      </c>
      <c r="H17" s="9">
        <f>IF(E17=0,0,IF(Task!$A$8="",0,IF(ISNUMBER(SEARCH(" "&amp;Task!$A$8&amp;" "," "&amp;LOWER(SUBSTITUTE(SUBSTITUTE(SUBSTITUTE(SUBSTITUTE(A17,"/"," "),"."," "),"\"," "),"_"," "))&amp;" ")),1,0))+IF(Task!$A$9="",0,IF(ISNUMBER(SEARCH(" "&amp;Task!$A$9&amp;" "," "&amp;LOWER(SUBSTITUTE(SUBSTITUTE(SUBSTITUTE(SUBSTITUTE(A17,"/"," "),"."," "),"\"," "),"_"," "))&amp;" ")),1,0))+IF(Task!$A$10="",0,IF(ISNUMBER(SEARCH(" "&amp;Task!$A$10&amp;" "," "&amp;LOWER(SUBSTITUTE(SUBSTITUTE(SUBSTITUTE(SUBSTITUTE(A17,"/"," "),"."," "),"\"," "),"_"," "))&amp;" ")),1,0))+IF(Task!$A$11="",0,IF(ISNUMBER(SEARCH(" "&amp;Task!$A$11&amp;" "," "&amp;LOWER(SUBSTITUTE(SUBSTITUTE(SUBSTITUTE(SUBSTITUTE(A17,"/"," "),"."," "),"\"," "),"_"," "))&amp;" ")),1,0))+IF(Task!$A$12="",0,IF(ISNUMBER(SEARCH(" "&amp;Task!$A$12&amp;" "," "&amp;LOWER(SUBSTITUTE(SUBSTITUTE(SUBSTITUTE(SUBSTITUTE(A17,"/"," "),"."," "),"\"," "),"_"," "))&amp;" ")),1,0))+IF(Task!$A$13="",0,IF(ISNUMBER(SEARCH(" "&amp;Task!$A$13&amp;" "," "&amp;LOWER(SUBSTITUTE(SUBSTITUTE(SUBSTITUTE(SUBSTITUTE(A17,"/"," "),"."," "),"\"," "),"_"," "))&amp;" ")),1,0))+IF(Task!$A$14="",0,IF(ISNUMBER(SEARCH(" "&amp;Task!$A$14&amp;" "," "&amp;LOWER(SUBSTITUTE(SUBSTITUTE(SUBSTITUTE(SUBSTITUTE(A17,"/"," "),"."," "),"\"," "),"_"," "))&amp;" ")),1,0))+IF(Task!$A$15="",0,IF(ISNUMBER(SEARCH(" "&amp;Task!$A$15&amp;" "," "&amp;LOWER(SUBSTITUTE(SUBSTITUTE(SUBSTITUTE(SUBSTITUTE(A17,"/"," "),"."," "),"\"," "),"_"," "))&amp;" ")),1,0))+IF(Task!$A$16="",0,IF(ISNUMBER(SEARCH(" "&amp;Task!$A$16&amp;" "," "&amp;LOWER(SUBSTITUTE(SUBSTITUTE(SUBSTITUTE(SUBSTITUTE(A17,"/"," "),"."," "),"\"," "),"_"," "))&amp;" ")),1,0))+IF(Task!$A$17="",0,IF(ISNUMBER(SEARCH(" "&amp;Task!$A$17&amp;" "," "&amp;LOWER(SUBSTITUTE(SUBSTITUTE(SUBSTITUTE(SUBSTITUTE(A17,"/"," "),"."," "),"\"," "),"_"," "))&amp;" ")),1,0))+IF(Task!$A$18="",0,IF(ISNUMBER(SEARCH(" "&amp;Task!$A$18&amp;" "," "&amp;LOWER(SUBSTITUTE(SUBSTITUTE(SUBSTITUTE(SUBSTITUTE(A17,"/"," "),"."," "),"\"," "),"_"," "))&amp;" ")),1,0))+IF(Task!$A$19="",0,IF(ISNUMBER(SEARCH(" "&amp;Task!$A$19&amp;" "," "&amp;LOWER(SUBSTITUTE(SUBSTITUTE(SUBSTITUTE(SUBSTITUTE(A17,"/"," "),"."," "),"\"," "),"_"," "))&amp;" ")),1,0)))</f>
        <v/>
      </c>
      <c r="I17" s="10">
        <f>IF(OR(E17=0,F17=0,Task!$B$21=0),"",F17/Task!$B$21+0.5*G17+0.25*H17)</f>
        <v/>
      </c>
      <c r="J17" s="5">
        <f>IF(I17="","",I17-ROW()/1000000)</f>
        <v/>
      </c>
      <c r="K17" s="9">
        <f>IF(J17="","",COUNTIF($J$5:$J$404,"&gt;"&amp;J17)+1)</f>
        <v/>
      </c>
    </row>
    <row r="18">
      <c r="A18" s="7" t="n"/>
      <c r="B18" s="7" t="n"/>
      <c r="C18" s="7" t="n"/>
      <c r="D18" s="7" t="n"/>
      <c r="E18" s="5">
        <f>IF(A18="",0,IF(COUNTA(Task!$B$5:$E$5)=0,1,IF(COUNTIF(Task!$B$5:$E$5,B18)&gt;0,1,0)))</f>
        <v/>
      </c>
      <c r="F18" s="9">
        <f>IF(E18=0,0,IF(Task!$A$8="",0,IF(ISNUMBER(SEARCH(" "&amp;Task!$A$8&amp;" "," "&amp;LOWER(D18&amp;" "&amp;C18&amp;" "&amp;LOWER(SUBSTITUTE(SUBSTITUTE(SUBSTITUTE(SUBSTITUTE(A18,"/"," "),"."," "),"\"," "),"_"," ")))&amp;" ")),1,0))+IF(Task!$A$9="",0,IF(ISNUMBER(SEARCH(" "&amp;Task!$A$9&amp;" "," "&amp;LOWER(D18&amp;" "&amp;C18&amp;" "&amp;LOWER(SUBSTITUTE(SUBSTITUTE(SUBSTITUTE(SUBSTITUTE(A18,"/"," "),"."," "),"\"," "),"_"," ")))&amp;" ")),1,0))+IF(Task!$A$10="",0,IF(ISNUMBER(SEARCH(" "&amp;Task!$A$10&amp;" "," "&amp;LOWER(D18&amp;" "&amp;C18&amp;" "&amp;LOWER(SUBSTITUTE(SUBSTITUTE(SUBSTITUTE(SUBSTITUTE(A18,"/"," "),"."," "),"\"," "),"_"," ")))&amp;" ")),1,0))+IF(Task!$A$11="",0,IF(ISNUMBER(SEARCH(" "&amp;Task!$A$11&amp;" "," "&amp;LOWER(D18&amp;" "&amp;C18&amp;" "&amp;LOWER(SUBSTITUTE(SUBSTITUTE(SUBSTITUTE(SUBSTITUTE(A18,"/"," "),"."," "),"\"," "),"_"," ")))&amp;" ")),1,0))+IF(Task!$A$12="",0,IF(ISNUMBER(SEARCH(" "&amp;Task!$A$12&amp;" "," "&amp;LOWER(D18&amp;" "&amp;C18&amp;" "&amp;LOWER(SUBSTITUTE(SUBSTITUTE(SUBSTITUTE(SUBSTITUTE(A18,"/"," "),"."," "),"\"," "),"_"," ")))&amp;" ")),1,0))+IF(Task!$A$13="",0,IF(ISNUMBER(SEARCH(" "&amp;Task!$A$13&amp;" "," "&amp;LOWER(D18&amp;" "&amp;C18&amp;" "&amp;LOWER(SUBSTITUTE(SUBSTITUTE(SUBSTITUTE(SUBSTITUTE(A18,"/"," "),"."," "),"\"," "),"_"," ")))&amp;" ")),1,0))+IF(Task!$A$14="",0,IF(ISNUMBER(SEARCH(" "&amp;Task!$A$14&amp;" "," "&amp;LOWER(D18&amp;" "&amp;C18&amp;" "&amp;LOWER(SUBSTITUTE(SUBSTITUTE(SUBSTITUTE(SUBSTITUTE(A18,"/"," "),"."," "),"\"," "),"_"," ")))&amp;" ")),1,0))+IF(Task!$A$15="",0,IF(ISNUMBER(SEARCH(" "&amp;Task!$A$15&amp;" "," "&amp;LOWER(D18&amp;" "&amp;C18&amp;" "&amp;LOWER(SUBSTITUTE(SUBSTITUTE(SUBSTITUTE(SUBSTITUTE(A18,"/"," "),"."," "),"\"," "),"_"," ")))&amp;" ")),1,0))+IF(Task!$A$16="",0,IF(ISNUMBER(SEARCH(" "&amp;Task!$A$16&amp;" "," "&amp;LOWER(D18&amp;" "&amp;C18&amp;" "&amp;LOWER(SUBSTITUTE(SUBSTITUTE(SUBSTITUTE(SUBSTITUTE(A18,"/"," "),"."," "),"\"," "),"_"," ")))&amp;" ")),1,0))+IF(Task!$A$17="",0,IF(ISNUMBER(SEARCH(" "&amp;Task!$A$17&amp;" "," "&amp;LOWER(D18&amp;" "&amp;C18&amp;" "&amp;LOWER(SUBSTITUTE(SUBSTITUTE(SUBSTITUTE(SUBSTITUTE(A18,"/"," "),"."," "),"\"," "),"_"," ")))&amp;" ")),1,0))+IF(Task!$A$18="",0,IF(ISNUMBER(SEARCH(" "&amp;Task!$A$18&amp;" "," "&amp;LOWER(D18&amp;" "&amp;C18&amp;" "&amp;LOWER(SUBSTITUTE(SUBSTITUTE(SUBSTITUTE(SUBSTITUTE(A18,"/"," "),"."," "),"\"," "),"_"," ")))&amp;" ")),1,0))+IF(Task!$A$19="",0,IF(ISNUMBER(SEARCH(" "&amp;Task!$A$19&amp;" "," "&amp;LOWER(D18&amp;" "&amp;C18&amp;" "&amp;LOWER(SUBSTITUTE(SUBSTITUTE(SUBSTITUTE(SUBSTITUTE(A18,"/"," "),"."," "),"\"," "),"_"," ")))&amp;" ")),1,0)))</f>
        <v/>
      </c>
      <c r="G18" s="9">
        <f>IF(E18=0,0,IF(Task!$A$8="",0,IF(ISNUMBER(SEARCH(" "&amp;Task!$A$8&amp;" "," "&amp;LOWER(C18)&amp;" ")),1,0))+IF(Task!$A$9="",0,IF(ISNUMBER(SEARCH(" "&amp;Task!$A$9&amp;" "," "&amp;LOWER(C18)&amp;" ")),1,0))+IF(Task!$A$10="",0,IF(ISNUMBER(SEARCH(" "&amp;Task!$A$10&amp;" "," "&amp;LOWER(C18)&amp;" ")),1,0))+IF(Task!$A$11="",0,IF(ISNUMBER(SEARCH(" "&amp;Task!$A$11&amp;" "," "&amp;LOWER(C18)&amp;" ")),1,0))+IF(Task!$A$12="",0,IF(ISNUMBER(SEARCH(" "&amp;Task!$A$12&amp;" "," "&amp;LOWER(C18)&amp;" ")),1,0))+IF(Task!$A$13="",0,IF(ISNUMBER(SEARCH(" "&amp;Task!$A$13&amp;" "," "&amp;LOWER(C18)&amp;" ")),1,0))+IF(Task!$A$14="",0,IF(ISNUMBER(SEARCH(" "&amp;Task!$A$14&amp;" "," "&amp;LOWER(C18)&amp;" ")),1,0))+IF(Task!$A$15="",0,IF(ISNUMBER(SEARCH(" "&amp;Task!$A$15&amp;" "," "&amp;LOWER(C18)&amp;" ")),1,0))+IF(Task!$A$16="",0,IF(ISNUMBER(SEARCH(" "&amp;Task!$A$16&amp;" "," "&amp;LOWER(C18)&amp;" ")),1,0))+IF(Task!$A$17="",0,IF(ISNUMBER(SEARCH(" "&amp;Task!$A$17&amp;" "," "&amp;LOWER(C18)&amp;" ")),1,0))+IF(Task!$A$18="",0,IF(ISNUMBER(SEARCH(" "&amp;Task!$A$18&amp;" "," "&amp;LOWER(C18)&amp;" ")),1,0))+IF(Task!$A$19="",0,IF(ISNUMBER(SEARCH(" "&amp;Task!$A$19&amp;" "," "&amp;LOWER(C18)&amp;" ")),1,0)))</f>
        <v/>
      </c>
      <c r="H18" s="9">
        <f>IF(E18=0,0,IF(Task!$A$8="",0,IF(ISNUMBER(SEARCH(" "&amp;Task!$A$8&amp;" "," "&amp;LOWER(SUBSTITUTE(SUBSTITUTE(SUBSTITUTE(SUBSTITUTE(A18,"/"," "),"."," "),"\"," "),"_"," "))&amp;" ")),1,0))+IF(Task!$A$9="",0,IF(ISNUMBER(SEARCH(" "&amp;Task!$A$9&amp;" "," "&amp;LOWER(SUBSTITUTE(SUBSTITUTE(SUBSTITUTE(SUBSTITUTE(A18,"/"," "),"."," "),"\"," "),"_"," "))&amp;" ")),1,0))+IF(Task!$A$10="",0,IF(ISNUMBER(SEARCH(" "&amp;Task!$A$10&amp;" "," "&amp;LOWER(SUBSTITUTE(SUBSTITUTE(SUBSTITUTE(SUBSTITUTE(A18,"/"," "),"."," "),"\"," "),"_"," "))&amp;" ")),1,0))+IF(Task!$A$11="",0,IF(ISNUMBER(SEARCH(" "&amp;Task!$A$11&amp;" "," "&amp;LOWER(SUBSTITUTE(SUBSTITUTE(SUBSTITUTE(SUBSTITUTE(A18,"/"," "),"."," "),"\"," "),"_"," "))&amp;" ")),1,0))+IF(Task!$A$12="",0,IF(ISNUMBER(SEARCH(" "&amp;Task!$A$12&amp;" "," "&amp;LOWER(SUBSTITUTE(SUBSTITUTE(SUBSTITUTE(SUBSTITUTE(A18,"/"," "),"."," "),"\"," "),"_"," "))&amp;" ")),1,0))+IF(Task!$A$13="",0,IF(ISNUMBER(SEARCH(" "&amp;Task!$A$13&amp;" "," "&amp;LOWER(SUBSTITUTE(SUBSTITUTE(SUBSTITUTE(SUBSTITUTE(A18,"/"," "),"."," "),"\"," "),"_"," "))&amp;" ")),1,0))+IF(Task!$A$14="",0,IF(ISNUMBER(SEARCH(" "&amp;Task!$A$14&amp;" "," "&amp;LOWER(SUBSTITUTE(SUBSTITUTE(SUBSTITUTE(SUBSTITUTE(A18,"/"," "),"."," "),"\"," "),"_"," "))&amp;" ")),1,0))+IF(Task!$A$15="",0,IF(ISNUMBER(SEARCH(" "&amp;Task!$A$15&amp;" "," "&amp;LOWER(SUBSTITUTE(SUBSTITUTE(SUBSTITUTE(SUBSTITUTE(A18,"/"," "),"."," "),"\"," "),"_"," "))&amp;" ")),1,0))+IF(Task!$A$16="",0,IF(ISNUMBER(SEARCH(" "&amp;Task!$A$16&amp;" "," "&amp;LOWER(SUBSTITUTE(SUBSTITUTE(SUBSTITUTE(SUBSTITUTE(A18,"/"," "),"."," "),"\"," "),"_"," "))&amp;" ")),1,0))+IF(Task!$A$17="",0,IF(ISNUMBER(SEARCH(" "&amp;Task!$A$17&amp;" "," "&amp;LOWER(SUBSTITUTE(SUBSTITUTE(SUBSTITUTE(SUBSTITUTE(A18,"/"," "),"."," "),"\"," "),"_"," "))&amp;" ")),1,0))+IF(Task!$A$18="",0,IF(ISNUMBER(SEARCH(" "&amp;Task!$A$18&amp;" "," "&amp;LOWER(SUBSTITUTE(SUBSTITUTE(SUBSTITUTE(SUBSTITUTE(A18,"/"," "),"."," "),"\"," "),"_"," "))&amp;" ")),1,0))+IF(Task!$A$19="",0,IF(ISNUMBER(SEARCH(" "&amp;Task!$A$19&amp;" "," "&amp;LOWER(SUBSTITUTE(SUBSTITUTE(SUBSTITUTE(SUBSTITUTE(A18,"/"," "),"."," "),"\"," "),"_"," "))&amp;" ")),1,0)))</f>
        <v/>
      </c>
      <c r="I18" s="10">
        <f>IF(OR(E18=0,F18=0,Task!$B$21=0),"",F18/Task!$B$21+0.5*G18+0.25*H18)</f>
        <v/>
      </c>
      <c r="J18" s="5">
        <f>IF(I18="","",I18-ROW()/1000000)</f>
        <v/>
      </c>
      <c r="K18" s="9">
        <f>IF(J18="","",COUNTIF($J$5:$J$404,"&gt;"&amp;J18)+1)</f>
        <v/>
      </c>
    </row>
    <row r="19">
      <c r="A19" s="7" t="n"/>
      <c r="B19" s="7" t="n"/>
      <c r="C19" s="7" t="n"/>
      <c r="D19" s="7" t="n"/>
      <c r="E19" s="5">
        <f>IF(A19="",0,IF(COUNTA(Task!$B$5:$E$5)=0,1,IF(COUNTIF(Task!$B$5:$E$5,B19)&gt;0,1,0)))</f>
        <v/>
      </c>
      <c r="F19" s="9">
        <f>IF(E19=0,0,IF(Task!$A$8="",0,IF(ISNUMBER(SEARCH(" "&amp;Task!$A$8&amp;" "," "&amp;LOWER(D19&amp;" "&amp;C19&amp;" "&amp;LOWER(SUBSTITUTE(SUBSTITUTE(SUBSTITUTE(SUBSTITUTE(A19,"/"," "),"."," "),"\"," "),"_"," ")))&amp;" ")),1,0))+IF(Task!$A$9="",0,IF(ISNUMBER(SEARCH(" "&amp;Task!$A$9&amp;" "," "&amp;LOWER(D19&amp;" "&amp;C19&amp;" "&amp;LOWER(SUBSTITUTE(SUBSTITUTE(SUBSTITUTE(SUBSTITUTE(A19,"/"," "),"."," "),"\"," "),"_"," ")))&amp;" ")),1,0))+IF(Task!$A$10="",0,IF(ISNUMBER(SEARCH(" "&amp;Task!$A$10&amp;" "," "&amp;LOWER(D19&amp;" "&amp;C19&amp;" "&amp;LOWER(SUBSTITUTE(SUBSTITUTE(SUBSTITUTE(SUBSTITUTE(A19,"/"," "),"."," "),"\"," "),"_"," ")))&amp;" ")),1,0))+IF(Task!$A$11="",0,IF(ISNUMBER(SEARCH(" "&amp;Task!$A$11&amp;" "," "&amp;LOWER(D19&amp;" "&amp;C19&amp;" "&amp;LOWER(SUBSTITUTE(SUBSTITUTE(SUBSTITUTE(SUBSTITUTE(A19,"/"," "),"."," "),"\"," "),"_"," ")))&amp;" ")),1,0))+IF(Task!$A$12="",0,IF(ISNUMBER(SEARCH(" "&amp;Task!$A$12&amp;" "," "&amp;LOWER(D19&amp;" "&amp;C19&amp;" "&amp;LOWER(SUBSTITUTE(SUBSTITUTE(SUBSTITUTE(SUBSTITUTE(A19,"/"," "),"."," "),"\"," "),"_"," ")))&amp;" ")),1,0))+IF(Task!$A$13="",0,IF(ISNUMBER(SEARCH(" "&amp;Task!$A$13&amp;" "," "&amp;LOWER(D19&amp;" "&amp;C19&amp;" "&amp;LOWER(SUBSTITUTE(SUBSTITUTE(SUBSTITUTE(SUBSTITUTE(A19,"/"," "),"."," "),"\"," "),"_"," ")))&amp;" ")),1,0))+IF(Task!$A$14="",0,IF(ISNUMBER(SEARCH(" "&amp;Task!$A$14&amp;" "," "&amp;LOWER(D19&amp;" "&amp;C19&amp;" "&amp;LOWER(SUBSTITUTE(SUBSTITUTE(SUBSTITUTE(SUBSTITUTE(A19,"/"," "),"."," "),"\"," "),"_"," ")))&amp;" ")),1,0))+IF(Task!$A$15="",0,IF(ISNUMBER(SEARCH(" "&amp;Task!$A$15&amp;" "," "&amp;LOWER(D19&amp;" "&amp;C19&amp;" "&amp;LOWER(SUBSTITUTE(SUBSTITUTE(SUBSTITUTE(SUBSTITUTE(A19,"/"," "),"."," "),"\"," "),"_"," ")))&amp;" ")),1,0))+IF(Task!$A$16="",0,IF(ISNUMBER(SEARCH(" "&amp;Task!$A$16&amp;" "," "&amp;LOWER(D19&amp;" "&amp;C19&amp;" "&amp;LOWER(SUBSTITUTE(SUBSTITUTE(SUBSTITUTE(SUBSTITUTE(A19,"/"," "),"."," "),"\"," "),"_"," ")))&amp;" ")),1,0))+IF(Task!$A$17="",0,IF(ISNUMBER(SEARCH(" "&amp;Task!$A$17&amp;" "," "&amp;LOWER(D19&amp;" "&amp;C19&amp;" "&amp;LOWER(SUBSTITUTE(SUBSTITUTE(SUBSTITUTE(SUBSTITUTE(A19,"/"," "),"."," "),"\"," "),"_"," ")))&amp;" ")),1,0))+IF(Task!$A$18="",0,IF(ISNUMBER(SEARCH(" "&amp;Task!$A$18&amp;" "," "&amp;LOWER(D19&amp;" "&amp;C19&amp;" "&amp;LOWER(SUBSTITUTE(SUBSTITUTE(SUBSTITUTE(SUBSTITUTE(A19,"/"," "),"."," "),"\"," "),"_"," ")))&amp;" ")),1,0))+IF(Task!$A$19="",0,IF(ISNUMBER(SEARCH(" "&amp;Task!$A$19&amp;" "," "&amp;LOWER(D19&amp;" "&amp;C19&amp;" "&amp;LOWER(SUBSTITUTE(SUBSTITUTE(SUBSTITUTE(SUBSTITUTE(A19,"/"," "),"."," "),"\"," "),"_"," ")))&amp;" ")),1,0)))</f>
        <v/>
      </c>
      <c r="G19" s="9">
        <f>IF(E19=0,0,IF(Task!$A$8="",0,IF(ISNUMBER(SEARCH(" "&amp;Task!$A$8&amp;" "," "&amp;LOWER(C19)&amp;" ")),1,0))+IF(Task!$A$9="",0,IF(ISNUMBER(SEARCH(" "&amp;Task!$A$9&amp;" "," "&amp;LOWER(C19)&amp;" ")),1,0))+IF(Task!$A$10="",0,IF(ISNUMBER(SEARCH(" "&amp;Task!$A$10&amp;" "," "&amp;LOWER(C19)&amp;" ")),1,0))+IF(Task!$A$11="",0,IF(ISNUMBER(SEARCH(" "&amp;Task!$A$11&amp;" "," "&amp;LOWER(C19)&amp;" ")),1,0))+IF(Task!$A$12="",0,IF(ISNUMBER(SEARCH(" "&amp;Task!$A$12&amp;" "," "&amp;LOWER(C19)&amp;" ")),1,0))+IF(Task!$A$13="",0,IF(ISNUMBER(SEARCH(" "&amp;Task!$A$13&amp;" "," "&amp;LOWER(C19)&amp;" ")),1,0))+IF(Task!$A$14="",0,IF(ISNUMBER(SEARCH(" "&amp;Task!$A$14&amp;" "," "&amp;LOWER(C19)&amp;" ")),1,0))+IF(Task!$A$15="",0,IF(ISNUMBER(SEARCH(" "&amp;Task!$A$15&amp;" "," "&amp;LOWER(C19)&amp;" ")),1,0))+IF(Task!$A$16="",0,IF(ISNUMBER(SEARCH(" "&amp;Task!$A$16&amp;" "," "&amp;LOWER(C19)&amp;" ")),1,0))+IF(Task!$A$17="",0,IF(ISNUMBER(SEARCH(" "&amp;Task!$A$17&amp;" "," "&amp;LOWER(C19)&amp;" ")),1,0))+IF(Task!$A$18="",0,IF(ISNUMBER(SEARCH(" "&amp;Task!$A$18&amp;" "," "&amp;LOWER(C19)&amp;" ")),1,0))+IF(Task!$A$19="",0,IF(ISNUMBER(SEARCH(" "&amp;Task!$A$19&amp;" "," "&amp;LOWER(C19)&amp;" ")),1,0)))</f>
        <v/>
      </c>
      <c r="H19" s="9">
        <f>IF(E19=0,0,IF(Task!$A$8="",0,IF(ISNUMBER(SEARCH(" "&amp;Task!$A$8&amp;" "," "&amp;LOWER(SUBSTITUTE(SUBSTITUTE(SUBSTITUTE(SUBSTITUTE(A19,"/"," "),"."," "),"\"," "),"_"," "))&amp;" ")),1,0))+IF(Task!$A$9="",0,IF(ISNUMBER(SEARCH(" "&amp;Task!$A$9&amp;" "," "&amp;LOWER(SUBSTITUTE(SUBSTITUTE(SUBSTITUTE(SUBSTITUTE(A19,"/"," "),"."," "),"\"," "),"_"," "))&amp;" ")),1,0))+IF(Task!$A$10="",0,IF(ISNUMBER(SEARCH(" "&amp;Task!$A$10&amp;" "," "&amp;LOWER(SUBSTITUTE(SUBSTITUTE(SUBSTITUTE(SUBSTITUTE(A19,"/"," "),"."," "),"\"," "),"_"," "))&amp;" ")),1,0))+IF(Task!$A$11="",0,IF(ISNUMBER(SEARCH(" "&amp;Task!$A$11&amp;" "," "&amp;LOWER(SUBSTITUTE(SUBSTITUTE(SUBSTITUTE(SUBSTITUTE(A19,"/"," "),"."," "),"\"," "),"_"," "))&amp;" ")),1,0))+IF(Task!$A$12="",0,IF(ISNUMBER(SEARCH(" "&amp;Task!$A$12&amp;" "," "&amp;LOWER(SUBSTITUTE(SUBSTITUTE(SUBSTITUTE(SUBSTITUTE(A19,"/"," "),"."," "),"\"," "),"_"," "))&amp;" ")),1,0))+IF(Task!$A$13="",0,IF(ISNUMBER(SEARCH(" "&amp;Task!$A$13&amp;" "," "&amp;LOWER(SUBSTITUTE(SUBSTITUTE(SUBSTITUTE(SUBSTITUTE(A19,"/"," "),"."," "),"\"," "),"_"," "))&amp;" ")),1,0))+IF(Task!$A$14="",0,IF(ISNUMBER(SEARCH(" "&amp;Task!$A$14&amp;" "," "&amp;LOWER(SUBSTITUTE(SUBSTITUTE(SUBSTITUTE(SUBSTITUTE(A19,"/"," "),"."," "),"\"," "),"_"," "))&amp;" ")),1,0))+IF(Task!$A$15="",0,IF(ISNUMBER(SEARCH(" "&amp;Task!$A$15&amp;" "," "&amp;LOWER(SUBSTITUTE(SUBSTITUTE(SUBSTITUTE(SUBSTITUTE(A19,"/"," "),"."," "),"\"," "),"_"," "))&amp;" ")),1,0))+IF(Task!$A$16="",0,IF(ISNUMBER(SEARCH(" "&amp;Task!$A$16&amp;" "," "&amp;LOWER(SUBSTITUTE(SUBSTITUTE(SUBSTITUTE(SUBSTITUTE(A19,"/"," "),"."," "),"\"," "),"_"," "))&amp;" ")),1,0))+IF(Task!$A$17="",0,IF(ISNUMBER(SEARCH(" "&amp;Task!$A$17&amp;" "," "&amp;LOWER(SUBSTITUTE(SUBSTITUTE(SUBSTITUTE(SUBSTITUTE(A19,"/"," "),"."," "),"\"," "),"_"," "))&amp;" ")),1,0))+IF(Task!$A$18="",0,IF(ISNUMBER(SEARCH(" "&amp;Task!$A$18&amp;" "," "&amp;LOWER(SUBSTITUTE(SUBSTITUTE(SUBSTITUTE(SUBSTITUTE(A19,"/"," "),"."," "),"\"," "),"_"," "))&amp;" ")),1,0))+IF(Task!$A$19="",0,IF(ISNUMBER(SEARCH(" "&amp;Task!$A$19&amp;" "," "&amp;LOWER(SUBSTITUTE(SUBSTITUTE(SUBSTITUTE(SUBSTITUTE(A19,"/"," "),"."," "),"\"," "),"_"," "))&amp;" ")),1,0)))</f>
        <v/>
      </c>
      <c r="I19" s="10">
        <f>IF(OR(E19=0,F19=0,Task!$B$21=0),"",F19/Task!$B$21+0.5*G19+0.25*H19)</f>
        <v/>
      </c>
      <c r="J19" s="5">
        <f>IF(I19="","",I19-ROW()/1000000)</f>
        <v/>
      </c>
      <c r="K19" s="9">
        <f>IF(J19="","",COUNTIF($J$5:$J$404,"&gt;"&amp;J19)+1)</f>
        <v/>
      </c>
    </row>
    <row r="20">
      <c r="A20" s="7" t="n"/>
      <c r="B20" s="7" t="n"/>
      <c r="C20" s="7" t="n"/>
      <c r="D20" s="7" t="n"/>
      <c r="E20" s="5">
        <f>IF(A20="",0,IF(COUNTA(Task!$B$5:$E$5)=0,1,IF(COUNTIF(Task!$B$5:$E$5,B20)&gt;0,1,0)))</f>
        <v/>
      </c>
      <c r="F20" s="9">
        <f>IF(E20=0,0,IF(Task!$A$8="",0,IF(ISNUMBER(SEARCH(" "&amp;Task!$A$8&amp;" "," "&amp;LOWER(D20&amp;" "&amp;C20&amp;" "&amp;LOWER(SUBSTITUTE(SUBSTITUTE(SUBSTITUTE(SUBSTITUTE(A20,"/"," "),"."," "),"\"," "),"_"," ")))&amp;" ")),1,0))+IF(Task!$A$9="",0,IF(ISNUMBER(SEARCH(" "&amp;Task!$A$9&amp;" "," "&amp;LOWER(D20&amp;" "&amp;C20&amp;" "&amp;LOWER(SUBSTITUTE(SUBSTITUTE(SUBSTITUTE(SUBSTITUTE(A20,"/"," "),"."," "),"\"," "),"_"," ")))&amp;" ")),1,0))+IF(Task!$A$10="",0,IF(ISNUMBER(SEARCH(" "&amp;Task!$A$10&amp;" "," "&amp;LOWER(D20&amp;" "&amp;C20&amp;" "&amp;LOWER(SUBSTITUTE(SUBSTITUTE(SUBSTITUTE(SUBSTITUTE(A20,"/"," "),"."," "),"\"," "),"_"," ")))&amp;" ")),1,0))+IF(Task!$A$11="",0,IF(ISNUMBER(SEARCH(" "&amp;Task!$A$11&amp;" "," "&amp;LOWER(D20&amp;" "&amp;C20&amp;" "&amp;LOWER(SUBSTITUTE(SUBSTITUTE(SUBSTITUTE(SUBSTITUTE(A20,"/"," "),"."," "),"\"," "),"_"," ")))&amp;" ")),1,0))+IF(Task!$A$12="",0,IF(ISNUMBER(SEARCH(" "&amp;Task!$A$12&amp;" "," "&amp;LOWER(D20&amp;" "&amp;C20&amp;" "&amp;LOWER(SUBSTITUTE(SUBSTITUTE(SUBSTITUTE(SUBSTITUTE(A20,"/"," "),"."," "),"\"," "),"_"," ")))&amp;" ")),1,0))+IF(Task!$A$13="",0,IF(ISNUMBER(SEARCH(" "&amp;Task!$A$13&amp;" "," "&amp;LOWER(D20&amp;" "&amp;C20&amp;" "&amp;LOWER(SUBSTITUTE(SUBSTITUTE(SUBSTITUTE(SUBSTITUTE(A20,"/"," "),"."," "),"\"," "),"_"," ")))&amp;" ")),1,0))+IF(Task!$A$14="",0,IF(ISNUMBER(SEARCH(" "&amp;Task!$A$14&amp;" "," "&amp;LOWER(D20&amp;" "&amp;C20&amp;" "&amp;LOWER(SUBSTITUTE(SUBSTITUTE(SUBSTITUTE(SUBSTITUTE(A20,"/"," "),"."," "),"\"," "),"_"," ")))&amp;" ")),1,0))+IF(Task!$A$15="",0,IF(ISNUMBER(SEARCH(" "&amp;Task!$A$15&amp;" "," "&amp;LOWER(D20&amp;" "&amp;C20&amp;" "&amp;LOWER(SUBSTITUTE(SUBSTITUTE(SUBSTITUTE(SUBSTITUTE(A20,"/"," "),"."," "),"\"," "),"_"," ")))&amp;" ")),1,0))+IF(Task!$A$16="",0,IF(ISNUMBER(SEARCH(" "&amp;Task!$A$16&amp;" "," "&amp;LOWER(D20&amp;" "&amp;C20&amp;" "&amp;LOWER(SUBSTITUTE(SUBSTITUTE(SUBSTITUTE(SUBSTITUTE(A20,"/"," "),"."," "),"\"," "),"_"," ")))&amp;" ")),1,0))+IF(Task!$A$17="",0,IF(ISNUMBER(SEARCH(" "&amp;Task!$A$17&amp;" "," "&amp;LOWER(D20&amp;" "&amp;C20&amp;" "&amp;LOWER(SUBSTITUTE(SUBSTITUTE(SUBSTITUTE(SUBSTITUTE(A20,"/"," "),"."," "),"\"," "),"_"," ")))&amp;" ")),1,0))+IF(Task!$A$18="",0,IF(ISNUMBER(SEARCH(" "&amp;Task!$A$18&amp;" "," "&amp;LOWER(D20&amp;" "&amp;C20&amp;" "&amp;LOWER(SUBSTITUTE(SUBSTITUTE(SUBSTITUTE(SUBSTITUTE(A20,"/"," "),"."," "),"\"," "),"_"," ")))&amp;" ")),1,0))+IF(Task!$A$19="",0,IF(ISNUMBER(SEARCH(" "&amp;Task!$A$19&amp;" "," "&amp;LOWER(D20&amp;" "&amp;C20&amp;" "&amp;LOWER(SUBSTITUTE(SUBSTITUTE(SUBSTITUTE(SUBSTITUTE(A20,"/"," "),"."," "),"\"," "),"_"," ")))&amp;" ")),1,0)))</f>
        <v/>
      </c>
      <c r="G20" s="9">
        <f>IF(E20=0,0,IF(Task!$A$8="",0,IF(ISNUMBER(SEARCH(" "&amp;Task!$A$8&amp;" "," "&amp;LOWER(C20)&amp;" ")),1,0))+IF(Task!$A$9="",0,IF(ISNUMBER(SEARCH(" "&amp;Task!$A$9&amp;" "," "&amp;LOWER(C20)&amp;" ")),1,0))+IF(Task!$A$10="",0,IF(ISNUMBER(SEARCH(" "&amp;Task!$A$10&amp;" "," "&amp;LOWER(C20)&amp;" ")),1,0))+IF(Task!$A$11="",0,IF(ISNUMBER(SEARCH(" "&amp;Task!$A$11&amp;" "," "&amp;LOWER(C20)&amp;" ")),1,0))+IF(Task!$A$12="",0,IF(ISNUMBER(SEARCH(" "&amp;Task!$A$12&amp;" "," "&amp;LOWER(C20)&amp;" ")),1,0))+IF(Task!$A$13="",0,IF(ISNUMBER(SEARCH(" "&amp;Task!$A$13&amp;" "," "&amp;LOWER(C20)&amp;" ")),1,0))+IF(Task!$A$14="",0,IF(ISNUMBER(SEARCH(" "&amp;Task!$A$14&amp;" "," "&amp;LOWER(C20)&amp;" ")),1,0))+IF(Task!$A$15="",0,IF(ISNUMBER(SEARCH(" "&amp;Task!$A$15&amp;" "," "&amp;LOWER(C20)&amp;" ")),1,0))+IF(Task!$A$16="",0,IF(ISNUMBER(SEARCH(" "&amp;Task!$A$16&amp;" "," "&amp;LOWER(C20)&amp;" ")),1,0))+IF(Task!$A$17="",0,IF(ISNUMBER(SEARCH(" "&amp;Task!$A$17&amp;" "," "&amp;LOWER(C20)&amp;" ")),1,0))+IF(Task!$A$18="",0,IF(ISNUMBER(SEARCH(" "&amp;Task!$A$18&amp;" "," "&amp;LOWER(C20)&amp;" ")),1,0))+IF(Task!$A$19="",0,IF(ISNUMBER(SEARCH(" "&amp;Task!$A$19&amp;" "," "&amp;LOWER(C20)&amp;" ")),1,0)))</f>
        <v/>
      </c>
      <c r="H20" s="9">
        <f>IF(E20=0,0,IF(Task!$A$8="",0,IF(ISNUMBER(SEARCH(" "&amp;Task!$A$8&amp;" "," "&amp;LOWER(SUBSTITUTE(SUBSTITUTE(SUBSTITUTE(SUBSTITUTE(A20,"/"," "),"."," "),"\"," "),"_"," "))&amp;" ")),1,0))+IF(Task!$A$9="",0,IF(ISNUMBER(SEARCH(" "&amp;Task!$A$9&amp;" "," "&amp;LOWER(SUBSTITUTE(SUBSTITUTE(SUBSTITUTE(SUBSTITUTE(A20,"/"," "),"."," "),"\"," "),"_"," "))&amp;" ")),1,0))+IF(Task!$A$10="",0,IF(ISNUMBER(SEARCH(" "&amp;Task!$A$10&amp;" "," "&amp;LOWER(SUBSTITUTE(SUBSTITUTE(SUBSTITUTE(SUBSTITUTE(A20,"/"," "),"."," "),"\"," "),"_"," "))&amp;" ")),1,0))+IF(Task!$A$11="",0,IF(ISNUMBER(SEARCH(" "&amp;Task!$A$11&amp;" "," "&amp;LOWER(SUBSTITUTE(SUBSTITUTE(SUBSTITUTE(SUBSTITUTE(A20,"/"," "),"."," "),"\"," "),"_"," "))&amp;" ")),1,0))+IF(Task!$A$12="",0,IF(ISNUMBER(SEARCH(" "&amp;Task!$A$12&amp;" "," "&amp;LOWER(SUBSTITUTE(SUBSTITUTE(SUBSTITUTE(SUBSTITUTE(A20,"/"," "),"."," "),"\"," "),"_"," "))&amp;" ")),1,0))+IF(Task!$A$13="",0,IF(ISNUMBER(SEARCH(" "&amp;Task!$A$13&amp;" "," "&amp;LOWER(SUBSTITUTE(SUBSTITUTE(SUBSTITUTE(SUBSTITUTE(A20,"/"," "),"."," "),"\"," "),"_"," "))&amp;" ")),1,0))+IF(Task!$A$14="",0,IF(ISNUMBER(SEARCH(" "&amp;Task!$A$14&amp;" "," "&amp;LOWER(SUBSTITUTE(SUBSTITUTE(SUBSTITUTE(SUBSTITUTE(A20,"/"," "),"."," "),"\"," "),"_"," "))&amp;" ")),1,0))+IF(Task!$A$15="",0,IF(ISNUMBER(SEARCH(" "&amp;Task!$A$15&amp;" "," "&amp;LOWER(SUBSTITUTE(SUBSTITUTE(SUBSTITUTE(SUBSTITUTE(A20,"/"," "),"."," "),"\"," "),"_"," "))&amp;" ")),1,0))+IF(Task!$A$16="",0,IF(ISNUMBER(SEARCH(" "&amp;Task!$A$16&amp;" "," "&amp;LOWER(SUBSTITUTE(SUBSTITUTE(SUBSTITUTE(SUBSTITUTE(A20,"/"," "),"."," "),"\"," "),"_"," "))&amp;" ")),1,0))+IF(Task!$A$17="",0,IF(ISNUMBER(SEARCH(" "&amp;Task!$A$17&amp;" "," "&amp;LOWER(SUBSTITUTE(SUBSTITUTE(SUBSTITUTE(SUBSTITUTE(A20,"/"," "),"."," "),"\"," "),"_"," "))&amp;" ")),1,0))+IF(Task!$A$18="",0,IF(ISNUMBER(SEARCH(" "&amp;Task!$A$18&amp;" "," "&amp;LOWER(SUBSTITUTE(SUBSTITUTE(SUBSTITUTE(SUBSTITUTE(A20,"/"," "),"."," "),"\"," "),"_"," "))&amp;" ")),1,0))+IF(Task!$A$19="",0,IF(ISNUMBER(SEARCH(" "&amp;Task!$A$19&amp;" "," "&amp;LOWER(SUBSTITUTE(SUBSTITUTE(SUBSTITUTE(SUBSTITUTE(A20,"/"," "),"."," "),"\"," "),"_"," "))&amp;" ")),1,0)))</f>
        <v/>
      </c>
      <c r="I20" s="10">
        <f>IF(OR(E20=0,F20=0,Task!$B$21=0),"",F20/Task!$B$21+0.5*G20+0.25*H20)</f>
        <v/>
      </c>
      <c r="J20" s="5">
        <f>IF(I20="","",I20-ROW()/1000000)</f>
        <v/>
      </c>
      <c r="K20" s="9">
        <f>IF(J20="","",COUNTIF($J$5:$J$404,"&gt;"&amp;J20)+1)</f>
        <v/>
      </c>
    </row>
    <row r="21">
      <c r="A21" s="7" t="n"/>
      <c r="B21" s="7" t="n"/>
      <c r="C21" s="7" t="n"/>
      <c r="D21" s="7" t="n"/>
      <c r="E21" s="5">
        <f>IF(A21="",0,IF(COUNTA(Task!$B$5:$E$5)=0,1,IF(COUNTIF(Task!$B$5:$E$5,B21)&gt;0,1,0)))</f>
        <v/>
      </c>
      <c r="F21" s="9">
        <f>IF(E21=0,0,IF(Task!$A$8="",0,IF(ISNUMBER(SEARCH(" "&amp;Task!$A$8&amp;" "," "&amp;LOWER(D21&amp;" "&amp;C21&amp;" "&amp;LOWER(SUBSTITUTE(SUBSTITUTE(SUBSTITUTE(SUBSTITUTE(A21,"/"," "),"."," "),"\"," "),"_"," ")))&amp;" ")),1,0))+IF(Task!$A$9="",0,IF(ISNUMBER(SEARCH(" "&amp;Task!$A$9&amp;" "," "&amp;LOWER(D21&amp;" "&amp;C21&amp;" "&amp;LOWER(SUBSTITUTE(SUBSTITUTE(SUBSTITUTE(SUBSTITUTE(A21,"/"," "),"."," "),"\"," "),"_"," ")))&amp;" ")),1,0))+IF(Task!$A$10="",0,IF(ISNUMBER(SEARCH(" "&amp;Task!$A$10&amp;" "," "&amp;LOWER(D21&amp;" "&amp;C21&amp;" "&amp;LOWER(SUBSTITUTE(SUBSTITUTE(SUBSTITUTE(SUBSTITUTE(A21,"/"," "),"."," "),"\"," "),"_"," ")))&amp;" ")),1,0))+IF(Task!$A$11="",0,IF(ISNUMBER(SEARCH(" "&amp;Task!$A$11&amp;" "," "&amp;LOWER(D21&amp;" "&amp;C21&amp;" "&amp;LOWER(SUBSTITUTE(SUBSTITUTE(SUBSTITUTE(SUBSTITUTE(A21,"/"," "),"."," "),"\"," "),"_"," ")))&amp;" ")),1,0))+IF(Task!$A$12="",0,IF(ISNUMBER(SEARCH(" "&amp;Task!$A$12&amp;" "," "&amp;LOWER(D21&amp;" "&amp;C21&amp;" "&amp;LOWER(SUBSTITUTE(SUBSTITUTE(SUBSTITUTE(SUBSTITUTE(A21,"/"," "),"."," "),"\"," "),"_"," ")))&amp;" ")),1,0))+IF(Task!$A$13="",0,IF(ISNUMBER(SEARCH(" "&amp;Task!$A$13&amp;" "," "&amp;LOWER(D21&amp;" "&amp;C21&amp;" "&amp;LOWER(SUBSTITUTE(SUBSTITUTE(SUBSTITUTE(SUBSTITUTE(A21,"/"," "),"."," "),"\"," "),"_"," ")))&amp;" ")),1,0))+IF(Task!$A$14="",0,IF(ISNUMBER(SEARCH(" "&amp;Task!$A$14&amp;" "," "&amp;LOWER(D21&amp;" "&amp;C21&amp;" "&amp;LOWER(SUBSTITUTE(SUBSTITUTE(SUBSTITUTE(SUBSTITUTE(A21,"/"," "),"."," "),"\"," "),"_"," ")))&amp;" ")),1,0))+IF(Task!$A$15="",0,IF(ISNUMBER(SEARCH(" "&amp;Task!$A$15&amp;" "," "&amp;LOWER(D21&amp;" "&amp;C21&amp;" "&amp;LOWER(SUBSTITUTE(SUBSTITUTE(SUBSTITUTE(SUBSTITUTE(A21,"/"," "),"."," "),"\"," "),"_"," ")))&amp;" ")),1,0))+IF(Task!$A$16="",0,IF(ISNUMBER(SEARCH(" "&amp;Task!$A$16&amp;" "," "&amp;LOWER(D21&amp;" "&amp;C21&amp;" "&amp;LOWER(SUBSTITUTE(SUBSTITUTE(SUBSTITUTE(SUBSTITUTE(A21,"/"," "),"."," "),"\"," "),"_"," ")))&amp;" ")),1,0))+IF(Task!$A$17="",0,IF(ISNUMBER(SEARCH(" "&amp;Task!$A$17&amp;" "," "&amp;LOWER(D21&amp;" "&amp;C21&amp;" "&amp;LOWER(SUBSTITUTE(SUBSTITUTE(SUBSTITUTE(SUBSTITUTE(A21,"/"," "),"."," "),"\"," "),"_"," ")))&amp;" ")),1,0))+IF(Task!$A$18="",0,IF(ISNUMBER(SEARCH(" "&amp;Task!$A$18&amp;" "," "&amp;LOWER(D21&amp;" "&amp;C21&amp;" "&amp;LOWER(SUBSTITUTE(SUBSTITUTE(SUBSTITUTE(SUBSTITUTE(A21,"/"," "),"."," "),"\"," "),"_"," ")))&amp;" ")),1,0))+IF(Task!$A$19="",0,IF(ISNUMBER(SEARCH(" "&amp;Task!$A$19&amp;" "," "&amp;LOWER(D21&amp;" "&amp;C21&amp;" "&amp;LOWER(SUBSTITUTE(SUBSTITUTE(SUBSTITUTE(SUBSTITUTE(A21,"/"," "),"."," "),"\"," "),"_"," ")))&amp;" ")),1,0)))</f>
        <v/>
      </c>
      <c r="G21" s="9">
        <f>IF(E21=0,0,IF(Task!$A$8="",0,IF(ISNUMBER(SEARCH(" "&amp;Task!$A$8&amp;" "," "&amp;LOWER(C21)&amp;" ")),1,0))+IF(Task!$A$9="",0,IF(ISNUMBER(SEARCH(" "&amp;Task!$A$9&amp;" "," "&amp;LOWER(C21)&amp;" ")),1,0))+IF(Task!$A$10="",0,IF(ISNUMBER(SEARCH(" "&amp;Task!$A$10&amp;" "," "&amp;LOWER(C21)&amp;" ")),1,0))+IF(Task!$A$11="",0,IF(ISNUMBER(SEARCH(" "&amp;Task!$A$11&amp;" "," "&amp;LOWER(C21)&amp;" ")),1,0))+IF(Task!$A$12="",0,IF(ISNUMBER(SEARCH(" "&amp;Task!$A$12&amp;" "," "&amp;LOWER(C21)&amp;" ")),1,0))+IF(Task!$A$13="",0,IF(ISNUMBER(SEARCH(" "&amp;Task!$A$13&amp;" "," "&amp;LOWER(C21)&amp;" ")),1,0))+IF(Task!$A$14="",0,IF(ISNUMBER(SEARCH(" "&amp;Task!$A$14&amp;" "," "&amp;LOWER(C21)&amp;" ")),1,0))+IF(Task!$A$15="",0,IF(ISNUMBER(SEARCH(" "&amp;Task!$A$15&amp;" "," "&amp;LOWER(C21)&amp;" ")),1,0))+IF(Task!$A$16="",0,IF(ISNUMBER(SEARCH(" "&amp;Task!$A$16&amp;" "," "&amp;LOWER(C21)&amp;" ")),1,0))+IF(Task!$A$17="",0,IF(ISNUMBER(SEARCH(" "&amp;Task!$A$17&amp;" "," "&amp;LOWER(C21)&amp;" ")),1,0))+IF(Task!$A$18="",0,IF(ISNUMBER(SEARCH(" "&amp;Task!$A$18&amp;" "," "&amp;LOWER(C21)&amp;" ")),1,0))+IF(Task!$A$19="",0,IF(ISNUMBER(SEARCH(" "&amp;Task!$A$19&amp;" "," "&amp;LOWER(C21)&amp;" ")),1,0)))</f>
        <v/>
      </c>
      <c r="H21" s="9">
        <f>IF(E21=0,0,IF(Task!$A$8="",0,IF(ISNUMBER(SEARCH(" "&amp;Task!$A$8&amp;" "," "&amp;LOWER(SUBSTITUTE(SUBSTITUTE(SUBSTITUTE(SUBSTITUTE(A21,"/"," "),"."," "),"\"," "),"_"," "))&amp;" ")),1,0))+IF(Task!$A$9="",0,IF(ISNUMBER(SEARCH(" "&amp;Task!$A$9&amp;" "," "&amp;LOWER(SUBSTITUTE(SUBSTITUTE(SUBSTITUTE(SUBSTITUTE(A21,"/"," "),"."," "),"\"," "),"_"," "))&amp;" ")),1,0))+IF(Task!$A$10="",0,IF(ISNUMBER(SEARCH(" "&amp;Task!$A$10&amp;" "," "&amp;LOWER(SUBSTITUTE(SUBSTITUTE(SUBSTITUTE(SUBSTITUTE(A21,"/"," "),"."," "),"\"," "),"_"," "))&amp;" ")),1,0))+IF(Task!$A$11="",0,IF(ISNUMBER(SEARCH(" "&amp;Task!$A$11&amp;" "," "&amp;LOWER(SUBSTITUTE(SUBSTITUTE(SUBSTITUTE(SUBSTITUTE(A21,"/"," "),"."," "),"\"," "),"_"," "))&amp;" ")),1,0))+IF(Task!$A$12="",0,IF(ISNUMBER(SEARCH(" "&amp;Task!$A$12&amp;" "," "&amp;LOWER(SUBSTITUTE(SUBSTITUTE(SUBSTITUTE(SUBSTITUTE(A21,"/"," "),"."," "),"\"," "),"_"," "))&amp;" ")),1,0))+IF(Task!$A$13="",0,IF(ISNUMBER(SEARCH(" "&amp;Task!$A$13&amp;" "," "&amp;LOWER(SUBSTITUTE(SUBSTITUTE(SUBSTITUTE(SUBSTITUTE(A21,"/"," "),"."," "),"\"," "),"_"," "))&amp;" ")),1,0))+IF(Task!$A$14="",0,IF(ISNUMBER(SEARCH(" "&amp;Task!$A$14&amp;" "," "&amp;LOWER(SUBSTITUTE(SUBSTITUTE(SUBSTITUTE(SUBSTITUTE(A21,"/"," "),"."," "),"\"," "),"_"," "))&amp;" ")),1,0))+IF(Task!$A$15="",0,IF(ISNUMBER(SEARCH(" "&amp;Task!$A$15&amp;" "," "&amp;LOWER(SUBSTITUTE(SUBSTITUTE(SUBSTITUTE(SUBSTITUTE(A21,"/"," "),"."," "),"\"," "),"_"," "))&amp;" ")),1,0))+IF(Task!$A$16="",0,IF(ISNUMBER(SEARCH(" "&amp;Task!$A$16&amp;" "," "&amp;LOWER(SUBSTITUTE(SUBSTITUTE(SUBSTITUTE(SUBSTITUTE(A21,"/"," "),"."," "),"\"," "),"_"," "))&amp;" ")),1,0))+IF(Task!$A$17="",0,IF(ISNUMBER(SEARCH(" "&amp;Task!$A$17&amp;" "," "&amp;LOWER(SUBSTITUTE(SUBSTITUTE(SUBSTITUTE(SUBSTITUTE(A21,"/"," "),"."," "),"\"," "),"_"," "))&amp;" ")),1,0))+IF(Task!$A$18="",0,IF(ISNUMBER(SEARCH(" "&amp;Task!$A$18&amp;" "," "&amp;LOWER(SUBSTITUTE(SUBSTITUTE(SUBSTITUTE(SUBSTITUTE(A21,"/"," "),"."," "),"\"," "),"_"," "))&amp;" ")),1,0))+IF(Task!$A$19="",0,IF(ISNUMBER(SEARCH(" "&amp;Task!$A$19&amp;" "," "&amp;LOWER(SUBSTITUTE(SUBSTITUTE(SUBSTITUTE(SUBSTITUTE(A21,"/"," "),"."," "),"\"," "),"_"," "))&amp;" ")),1,0)))</f>
        <v/>
      </c>
      <c r="I21" s="10">
        <f>IF(OR(E21=0,F21=0,Task!$B$21=0),"",F21/Task!$B$21+0.5*G21+0.25*H21)</f>
        <v/>
      </c>
      <c r="J21" s="5">
        <f>IF(I21="","",I21-ROW()/1000000)</f>
        <v/>
      </c>
      <c r="K21" s="9">
        <f>IF(J21="","",COUNTIF($J$5:$J$404,"&gt;"&amp;J21)+1)</f>
        <v/>
      </c>
    </row>
    <row r="22">
      <c r="A22" s="7" t="n"/>
      <c r="B22" s="7" t="n"/>
      <c r="C22" s="7" t="n"/>
      <c r="D22" s="7" t="n"/>
      <c r="E22" s="5">
        <f>IF(A22="",0,IF(COUNTA(Task!$B$5:$E$5)=0,1,IF(COUNTIF(Task!$B$5:$E$5,B22)&gt;0,1,0)))</f>
        <v/>
      </c>
      <c r="F22" s="9">
        <f>IF(E22=0,0,IF(Task!$A$8="",0,IF(ISNUMBER(SEARCH(" "&amp;Task!$A$8&amp;" "," "&amp;LOWER(D22&amp;" "&amp;C22&amp;" "&amp;LOWER(SUBSTITUTE(SUBSTITUTE(SUBSTITUTE(SUBSTITUTE(A22,"/"," "),"."," "),"\"," "),"_"," ")))&amp;" ")),1,0))+IF(Task!$A$9="",0,IF(ISNUMBER(SEARCH(" "&amp;Task!$A$9&amp;" "," "&amp;LOWER(D22&amp;" "&amp;C22&amp;" "&amp;LOWER(SUBSTITUTE(SUBSTITUTE(SUBSTITUTE(SUBSTITUTE(A22,"/"," "),"."," "),"\"," "),"_"," ")))&amp;" ")),1,0))+IF(Task!$A$10="",0,IF(ISNUMBER(SEARCH(" "&amp;Task!$A$10&amp;" "," "&amp;LOWER(D22&amp;" "&amp;C22&amp;" "&amp;LOWER(SUBSTITUTE(SUBSTITUTE(SUBSTITUTE(SUBSTITUTE(A22,"/"," "),"."," "),"\"," "),"_"," ")))&amp;" ")),1,0))+IF(Task!$A$11="",0,IF(ISNUMBER(SEARCH(" "&amp;Task!$A$11&amp;" "," "&amp;LOWER(D22&amp;" "&amp;C22&amp;" "&amp;LOWER(SUBSTITUTE(SUBSTITUTE(SUBSTITUTE(SUBSTITUTE(A22,"/"," "),"."," "),"\"," "),"_"," ")))&amp;" ")),1,0))+IF(Task!$A$12="",0,IF(ISNUMBER(SEARCH(" "&amp;Task!$A$12&amp;" "," "&amp;LOWER(D22&amp;" "&amp;C22&amp;" "&amp;LOWER(SUBSTITUTE(SUBSTITUTE(SUBSTITUTE(SUBSTITUTE(A22,"/"," "),"."," "),"\"," "),"_"," ")))&amp;" ")),1,0))+IF(Task!$A$13="",0,IF(ISNUMBER(SEARCH(" "&amp;Task!$A$13&amp;" "," "&amp;LOWER(D22&amp;" "&amp;C22&amp;" "&amp;LOWER(SUBSTITUTE(SUBSTITUTE(SUBSTITUTE(SUBSTITUTE(A22,"/"," "),"."," "),"\"," "),"_"," ")))&amp;" ")),1,0))+IF(Task!$A$14="",0,IF(ISNUMBER(SEARCH(" "&amp;Task!$A$14&amp;" "," "&amp;LOWER(D22&amp;" "&amp;C22&amp;" "&amp;LOWER(SUBSTITUTE(SUBSTITUTE(SUBSTITUTE(SUBSTITUTE(A22,"/"," "),"."," "),"\"," "),"_"," ")))&amp;" ")),1,0))+IF(Task!$A$15="",0,IF(ISNUMBER(SEARCH(" "&amp;Task!$A$15&amp;" "," "&amp;LOWER(D22&amp;" "&amp;C22&amp;" "&amp;LOWER(SUBSTITUTE(SUBSTITUTE(SUBSTITUTE(SUBSTITUTE(A22,"/"," "),"."," "),"\"," "),"_"," ")))&amp;" ")),1,0))+IF(Task!$A$16="",0,IF(ISNUMBER(SEARCH(" "&amp;Task!$A$16&amp;" "," "&amp;LOWER(D22&amp;" "&amp;C22&amp;" "&amp;LOWER(SUBSTITUTE(SUBSTITUTE(SUBSTITUTE(SUBSTITUTE(A22,"/"," "),"."," "),"\"," "),"_"," ")))&amp;" ")),1,0))+IF(Task!$A$17="",0,IF(ISNUMBER(SEARCH(" "&amp;Task!$A$17&amp;" "," "&amp;LOWER(D22&amp;" "&amp;C22&amp;" "&amp;LOWER(SUBSTITUTE(SUBSTITUTE(SUBSTITUTE(SUBSTITUTE(A22,"/"," "),"."," "),"\"," "),"_"," ")))&amp;" ")),1,0))+IF(Task!$A$18="",0,IF(ISNUMBER(SEARCH(" "&amp;Task!$A$18&amp;" "," "&amp;LOWER(D22&amp;" "&amp;C22&amp;" "&amp;LOWER(SUBSTITUTE(SUBSTITUTE(SUBSTITUTE(SUBSTITUTE(A22,"/"," "),"."," "),"\"," "),"_"," ")))&amp;" ")),1,0))+IF(Task!$A$19="",0,IF(ISNUMBER(SEARCH(" "&amp;Task!$A$19&amp;" "," "&amp;LOWER(D22&amp;" "&amp;C22&amp;" "&amp;LOWER(SUBSTITUTE(SUBSTITUTE(SUBSTITUTE(SUBSTITUTE(A22,"/"," "),"."," "),"\"," "),"_"," ")))&amp;" ")),1,0)))</f>
        <v/>
      </c>
      <c r="G22" s="9">
        <f>IF(E22=0,0,IF(Task!$A$8="",0,IF(ISNUMBER(SEARCH(" "&amp;Task!$A$8&amp;" "," "&amp;LOWER(C22)&amp;" ")),1,0))+IF(Task!$A$9="",0,IF(ISNUMBER(SEARCH(" "&amp;Task!$A$9&amp;" "," "&amp;LOWER(C22)&amp;" ")),1,0))+IF(Task!$A$10="",0,IF(ISNUMBER(SEARCH(" "&amp;Task!$A$10&amp;" "," "&amp;LOWER(C22)&amp;" ")),1,0))+IF(Task!$A$11="",0,IF(ISNUMBER(SEARCH(" "&amp;Task!$A$11&amp;" "," "&amp;LOWER(C22)&amp;" ")),1,0))+IF(Task!$A$12="",0,IF(ISNUMBER(SEARCH(" "&amp;Task!$A$12&amp;" "," "&amp;LOWER(C22)&amp;" ")),1,0))+IF(Task!$A$13="",0,IF(ISNUMBER(SEARCH(" "&amp;Task!$A$13&amp;" "," "&amp;LOWER(C22)&amp;" ")),1,0))+IF(Task!$A$14="",0,IF(ISNUMBER(SEARCH(" "&amp;Task!$A$14&amp;" "," "&amp;LOWER(C22)&amp;" ")),1,0))+IF(Task!$A$15="",0,IF(ISNUMBER(SEARCH(" "&amp;Task!$A$15&amp;" "," "&amp;LOWER(C22)&amp;" ")),1,0))+IF(Task!$A$16="",0,IF(ISNUMBER(SEARCH(" "&amp;Task!$A$16&amp;" "," "&amp;LOWER(C22)&amp;" ")),1,0))+IF(Task!$A$17="",0,IF(ISNUMBER(SEARCH(" "&amp;Task!$A$17&amp;" "," "&amp;LOWER(C22)&amp;" ")),1,0))+IF(Task!$A$18="",0,IF(ISNUMBER(SEARCH(" "&amp;Task!$A$18&amp;" "," "&amp;LOWER(C22)&amp;" ")),1,0))+IF(Task!$A$19="",0,IF(ISNUMBER(SEARCH(" "&amp;Task!$A$19&amp;" "," "&amp;LOWER(C22)&amp;" ")),1,0)))</f>
        <v/>
      </c>
      <c r="H22" s="9">
        <f>IF(E22=0,0,IF(Task!$A$8="",0,IF(ISNUMBER(SEARCH(" "&amp;Task!$A$8&amp;" "," "&amp;LOWER(SUBSTITUTE(SUBSTITUTE(SUBSTITUTE(SUBSTITUTE(A22,"/"," "),"."," "),"\"," "),"_"," "))&amp;" ")),1,0))+IF(Task!$A$9="",0,IF(ISNUMBER(SEARCH(" "&amp;Task!$A$9&amp;" "," "&amp;LOWER(SUBSTITUTE(SUBSTITUTE(SUBSTITUTE(SUBSTITUTE(A22,"/"," "),"."," "),"\"," "),"_"," "))&amp;" ")),1,0))+IF(Task!$A$10="",0,IF(ISNUMBER(SEARCH(" "&amp;Task!$A$10&amp;" "," "&amp;LOWER(SUBSTITUTE(SUBSTITUTE(SUBSTITUTE(SUBSTITUTE(A22,"/"," "),"."," "),"\"," "),"_"," "))&amp;" ")),1,0))+IF(Task!$A$11="",0,IF(ISNUMBER(SEARCH(" "&amp;Task!$A$11&amp;" "," "&amp;LOWER(SUBSTITUTE(SUBSTITUTE(SUBSTITUTE(SUBSTITUTE(A22,"/"," "),"."," "),"\"," "),"_"," "))&amp;" ")),1,0))+IF(Task!$A$12="",0,IF(ISNUMBER(SEARCH(" "&amp;Task!$A$12&amp;" "," "&amp;LOWER(SUBSTITUTE(SUBSTITUTE(SUBSTITUTE(SUBSTITUTE(A22,"/"," "),"."," "),"\"," "),"_"," "))&amp;" ")),1,0))+IF(Task!$A$13="",0,IF(ISNUMBER(SEARCH(" "&amp;Task!$A$13&amp;" "," "&amp;LOWER(SUBSTITUTE(SUBSTITUTE(SUBSTITUTE(SUBSTITUTE(A22,"/"," "),"."," "),"\"," "),"_"," "))&amp;" ")),1,0))+IF(Task!$A$14="",0,IF(ISNUMBER(SEARCH(" "&amp;Task!$A$14&amp;" "," "&amp;LOWER(SUBSTITUTE(SUBSTITUTE(SUBSTITUTE(SUBSTITUTE(A22,"/"," "),"."," "),"\"," "),"_"," "))&amp;" ")),1,0))+IF(Task!$A$15="",0,IF(ISNUMBER(SEARCH(" "&amp;Task!$A$15&amp;" "," "&amp;LOWER(SUBSTITUTE(SUBSTITUTE(SUBSTITUTE(SUBSTITUTE(A22,"/"," "),"."," "),"\"," "),"_"," "))&amp;" ")),1,0))+IF(Task!$A$16="",0,IF(ISNUMBER(SEARCH(" "&amp;Task!$A$16&amp;" "," "&amp;LOWER(SUBSTITUTE(SUBSTITUTE(SUBSTITUTE(SUBSTITUTE(A22,"/"," "),"."," "),"\"," "),"_"," "))&amp;" ")),1,0))+IF(Task!$A$17="",0,IF(ISNUMBER(SEARCH(" "&amp;Task!$A$17&amp;" "," "&amp;LOWER(SUBSTITUTE(SUBSTITUTE(SUBSTITUTE(SUBSTITUTE(A22,"/"," "),"."," "),"\"," "),"_"," "))&amp;" ")),1,0))+IF(Task!$A$18="",0,IF(ISNUMBER(SEARCH(" "&amp;Task!$A$18&amp;" "," "&amp;LOWER(SUBSTITUTE(SUBSTITUTE(SUBSTITUTE(SUBSTITUTE(A22,"/"," "),"."," "),"\"," "),"_"," "))&amp;" ")),1,0))+IF(Task!$A$19="",0,IF(ISNUMBER(SEARCH(" "&amp;Task!$A$19&amp;" "," "&amp;LOWER(SUBSTITUTE(SUBSTITUTE(SUBSTITUTE(SUBSTITUTE(A22,"/"," "),"."," "),"\"," "),"_"," "))&amp;" ")),1,0)))</f>
        <v/>
      </c>
      <c r="I22" s="10">
        <f>IF(OR(E22=0,F22=0,Task!$B$21=0),"",F22/Task!$B$21+0.5*G22+0.25*H22)</f>
        <v/>
      </c>
      <c r="J22" s="5">
        <f>IF(I22="","",I22-ROW()/1000000)</f>
        <v/>
      </c>
      <c r="K22" s="9">
        <f>IF(J22="","",COUNTIF($J$5:$J$404,"&gt;"&amp;J22)+1)</f>
        <v/>
      </c>
    </row>
    <row r="23">
      <c r="A23" s="7" t="n"/>
      <c r="B23" s="7" t="n"/>
      <c r="C23" s="7" t="n"/>
      <c r="D23" s="7" t="n"/>
      <c r="E23" s="5">
        <f>IF(A23="",0,IF(COUNTA(Task!$B$5:$E$5)=0,1,IF(COUNTIF(Task!$B$5:$E$5,B23)&gt;0,1,0)))</f>
        <v/>
      </c>
      <c r="F23" s="9">
        <f>IF(E23=0,0,IF(Task!$A$8="",0,IF(ISNUMBER(SEARCH(" "&amp;Task!$A$8&amp;" "," "&amp;LOWER(D23&amp;" "&amp;C23&amp;" "&amp;LOWER(SUBSTITUTE(SUBSTITUTE(SUBSTITUTE(SUBSTITUTE(A23,"/"," "),"."," "),"\"," "),"_"," ")))&amp;" ")),1,0))+IF(Task!$A$9="",0,IF(ISNUMBER(SEARCH(" "&amp;Task!$A$9&amp;" "," "&amp;LOWER(D23&amp;" "&amp;C23&amp;" "&amp;LOWER(SUBSTITUTE(SUBSTITUTE(SUBSTITUTE(SUBSTITUTE(A23,"/"," "),"."," "),"\"," "),"_"," ")))&amp;" ")),1,0))+IF(Task!$A$10="",0,IF(ISNUMBER(SEARCH(" "&amp;Task!$A$10&amp;" "," "&amp;LOWER(D23&amp;" "&amp;C23&amp;" "&amp;LOWER(SUBSTITUTE(SUBSTITUTE(SUBSTITUTE(SUBSTITUTE(A23,"/"," "),"."," "),"\"," "),"_"," ")))&amp;" ")),1,0))+IF(Task!$A$11="",0,IF(ISNUMBER(SEARCH(" "&amp;Task!$A$11&amp;" "," "&amp;LOWER(D23&amp;" "&amp;C23&amp;" "&amp;LOWER(SUBSTITUTE(SUBSTITUTE(SUBSTITUTE(SUBSTITUTE(A23,"/"," "),"."," "),"\"," "),"_"," ")))&amp;" ")),1,0))+IF(Task!$A$12="",0,IF(ISNUMBER(SEARCH(" "&amp;Task!$A$12&amp;" "," "&amp;LOWER(D23&amp;" "&amp;C23&amp;" "&amp;LOWER(SUBSTITUTE(SUBSTITUTE(SUBSTITUTE(SUBSTITUTE(A23,"/"," "),"."," "),"\"," "),"_"," ")))&amp;" ")),1,0))+IF(Task!$A$13="",0,IF(ISNUMBER(SEARCH(" "&amp;Task!$A$13&amp;" "," "&amp;LOWER(D23&amp;" "&amp;C23&amp;" "&amp;LOWER(SUBSTITUTE(SUBSTITUTE(SUBSTITUTE(SUBSTITUTE(A23,"/"," "),"."," "),"\"," "),"_"," ")))&amp;" ")),1,0))+IF(Task!$A$14="",0,IF(ISNUMBER(SEARCH(" "&amp;Task!$A$14&amp;" "," "&amp;LOWER(D23&amp;" "&amp;C23&amp;" "&amp;LOWER(SUBSTITUTE(SUBSTITUTE(SUBSTITUTE(SUBSTITUTE(A23,"/"," "),"."," "),"\"," "),"_"," ")))&amp;" ")),1,0))+IF(Task!$A$15="",0,IF(ISNUMBER(SEARCH(" "&amp;Task!$A$15&amp;" "," "&amp;LOWER(D23&amp;" "&amp;C23&amp;" "&amp;LOWER(SUBSTITUTE(SUBSTITUTE(SUBSTITUTE(SUBSTITUTE(A23,"/"," "),"."," "),"\"," "),"_"," ")))&amp;" ")),1,0))+IF(Task!$A$16="",0,IF(ISNUMBER(SEARCH(" "&amp;Task!$A$16&amp;" "," "&amp;LOWER(D23&amp;" "&amp;C23&amp;" "&amp;LOWER(SUBSTITUTE(SUBSTITUTE(SUBSTITUTE(SUBSTITUTE(A23,"/"," "),"."," "),"\"," "),"_"," ")))&amp;" ")),1,0))+IF(Task!$A$17="",0,IF(ISNUMBER(SEARCH(" "&amp;Task!$A$17&amp;" "," "&amp;LOWER(D23&amp;" "&amp;C23&amp;" "&amp;LOWER(SUBSTITUTE(SUBSTITUTE(SUBSTITUTE(SUBSTITUTE(A23,"/"," "),"."," "),"\"," "),"_"," ")))&amp;" ")),1,0))+IF(Task!$A$18="",0,IF(ISNUMBER(SEARCH(" "&amp;Task!$A$18&amp;" "," "&amp;LOWER(D23&amp;" "&amp;C23&amp;" "&amp;LOWER(SUBSTITUTE(SUBSTITUTE(SUBSTITUTE(SUBSTITUTE(A23,"/"," "),"."," "),"\"," "),"_"," ")))&amp;" ")),1,0))+IF(Task!$A$19="",0,IF(ISNUMBER(SEARCH(" "&amp;Task!$A$19&amp;" "," "&amp;LOWER(D23&amp;" "&amp;C23&amp;" "&amp;LOWER(SUBSTITUTE(SUBSTITUTE(SUBSTITUTE(SUBSTITUTE(A23,"/"," "),"."," "),"\"," "),"_"," ")))&amp;" ")),1,0)))</f>
        <v/>
      </c>
      <c r="G23" s="9">
        <f>IF(E23=0,0,IF(Task!$A$8="",0,IF(ISNUMBER(SEARCH(" "&amp;Task!$A$8&amp;" "," "&amp;LOWER(C23)&amp;" ")),1,0))+IF(Task!$A$9="",0,IF(ISNUMBER(SEARCH(" "&amp;Task!$A$9&amp;" "," "&amp;LOWER(C23)&amp;" ")),1,0))+IF(Task!$A$10="",0,IF(ISNUMBER(SEARCH(" "&amp;Task!$A$10&amp;" "," "&amp;LOWER(C23)&amp;" ")),1,0))+IF(Task!$A$11="",0,IF(ISNUMBER(SEARCH(" "&amp;Task!$A$11&amp;" "," "&amp;LOWER(C23)&amp;" ")),1,0))+IF(Task!$A$12="",0,IF(ISNUMBER(SEARCH(" "&amp;Task!$A$12&amp;" "," "&amp;LOWER(C23)&amp;" ")),1,0))+IF(Task!$A$13="",0,IF(ISNUMBER(SEARCH(" "&amp;Task!$A$13&amp;" "," "&amp;LOWER(C23)&amp;" ")),1,0))+IF(Task!$A$14="",0,IF(ISNUMBER(SEARCH(" "&amp;Task!$A$14&amp;" "," "&amp;LOWER(C23)&amp;" ")),1,0))+IF(Task!$A$15="",0,IF(ISNUMBER(SEARCH(" "&amp;Task!$A$15&amp;" "," "&amp;LOWER(C23)&amp;" ")),1,0))+IF(Task!$A$16="",0,IF(ISNUMBER(SEARCH(" "&amp;Task!$A$16&amp;" "," "&amp;LOWER(C23)&amp;" ")),1,0))+IF(Task!$A$17="",0,IF(ISNUMBER(SEARCH(" "&amp;Task!$A$17&amp;" "," "&amp;LOWER(C23)&amp;" ")),1,0))+IF(Task!$A$18="",0,IF(ISNUMBER(SEARCH(" "&amp;Task!$A$18&amp;" "," "&amp;LOWER(C23)&amp;" ")),1,0))+IF(Task!$A$19="",0,IF(ISNUMBER(SEARCH(" "&amp;Task!$A$19&amp;" "," "&amp;LOWER(C23)&amp;" ")),1,0)))</f>
        <v/>
      </c>
      <c r="H23" s="9">
        <f>IF(E23=0,0,IF(Task!$A$8="",0,IF(ISNUMBER(SEARCH(" "&amp;Task!$A$8&amp;" "," "&amp;LOWER(SUBSTITUTE(SUBSTITUTE(SUBSTITUTE(SUBSTITUTE(A23,"/"," "),"."," "),"\"," "),"_"," "))&amp;" ")),1,0))+IF(Task!$A$9="",0,IF(ISNUMBER(SEARCH(" "&amp;Task!$A$9&amp;" "," "&amp;LOWER(SUBSTITUTE(SUBSTITUTE(SUBSTITUTE(SUBSTITUTE(A23,"/"," "),"."," "),"\"," "),"_"," "))&amp;" ")),1,0))+IF(Task!$A$10="",0,IF(ISNUMBER(SEARCH(" "&amp;Task!$A$10&amp;" "," "&amp;LOWER(SUBSTITUTE(SUBSTITUTE(SUBSTITUTE(SUBSTITUTE(A23,"/"," "),"."," "),"\"," "),"_"," "))&amp;" ")),1,0))+IF(Task!$A$11="",0,IF(ISNUMBER(SEARCH(" "&amp;Task!$A$11&amp;" "," "&amp;LOWER(SUBSTITUTE(SUBSTITUTE(SUBSTITUTE(SUBSTITUTE(A23,"/"," "),"."," "),"\"," "),"_"," "))&amp;" ")),1,0))+IF(Task!$A$12="",0,IF(ISNUMBER(SEARCH(" "&amp;Task!$A$12&amp;" "," "&amp;LOWER(SUBSTITUTE(SUBSTITUTE(SUBSTITUTE(SUBSTITUTE(A23,"/"," "),"."," "),"\"," "),"_"," "))&amp;" ")),1,0))+IF(Task!$A$13="",0,IF(ISNUMBER(SEARCH(" "&amp;Task!$A$13&amp;" "," "&amp;LOWER(SUBSTITUTE(SUBSTITUTE(SUBSTITUTE(SUBSTITUTE(A23,"/"," "),"."," "),"\"," "),"_"," "))&amp;" ")),1,0))+IF(Task!$A$14="",0,IF(ISNUMBER(SEARCH(" "&amp;Task!$A$14&amp;" "," "&amp;LOWER(SUBSTITUTE(SUBSTITUTE(SUBSTITUTE(SUBSTITUTE(A23,"/"," "),"."," "),"\"," "),"_"," "))&amp;" ")),1,0))+IF(Task!$A$15="",0,IF(ISNUMBER(SEARCH(" "&amp;Task!$A$15&amp;" "," "&amp;LOWER(SUBSTITUTE(SUBSTITUTE(SUBSTITUTE(SUBSTITUTE(A23,"/"," "),"."," "),"\"," "),"_"," "))&amp;" ")),1,0))+IF(Task!$A$16="",0,IF(ISNUMBER(SEARCH(" "&amp;Task!$A$16&amp;" "," "&amp;LOWER(SUBSTITUTE(SUBSTITUTE(SUBSTITUTE(SUBSTITUTE(A23,"/"," "),"."," "),"\"," "),"_"," "))&amp;" ")),1,0))+IF(Task!$A$17="",0,IF(ISNUMBER(SEARCH(" "&amp;Task!$A$17&amp;" "," "&amp;LOWER(SUBSTITUTE(SUBSTITUTE(SUBSTITUTE(SUBSTITUTE(A23,"/"," "),"."," "),"\"," "),"_"," "))&amp;" ")),1,0))+IF(Task!$A$18="",0,IF(ISNUMBER(SEARCH(" "&amp;Task!$A$18&amp;" "," "&amp;LOWER(SUBSTITUTE(SUBSTITUTE(SUBSTITUTE(SUBSTITUTE(A23,"/"," "),"."," "),"\"," "),"_"," "))&amp;" ")),1,0))+IF(Task!$A$19="",0,IF(ISNUMBER(SEARCH(" "&amp;Task!$A$19&amp;" "," "&amp;LOWER(SUBSTITUTE(SUBSTITUTE(SUBSTITUTE(SUBSTITUTE(A23,"/"," "),"."," "),"\"," "),"_"," "))&amp;" ")),1,0)))</f>
        <v/>
      </c>
      <c r="I23" s="10">
        <f>IF(OR(E23=0,F23=0,Task!$B$21=0),"",F23/Task!$B$21+0.5*G23+0.25*H23)</f>
        <v/>
      </c>
      <c r="J23" s="5">
        <f>IF(I23="","",I23-ROW()/1000000)</f>
        <v/>
      </c>
      <c r="K23" s="9">
        <f>IF(J23="","",COUNTIF($J$5:$J$404,"&gt;"&amp;J23)+1)</f>
        <v/>
      </c>
    </row>
    <row r="24">
      <c r="A24" s="7" t="n"/>
      <c r="B24" s="7" t="n"/>
      <c r="C24" s="7" t="n"/>
      <c r="D24" s="7" t="n"/>
      <c r="E24" s="5">
        <f>IF(A24="",0,IF(COUNTA(Task!$B$5:$E$5)=0,1,IF(COUNTIF(Task!$B$5:$E$5,B24)&gt;0,1,0)))</f>
        <v/>
      </c>
      <c r="F24" s="9">
        <f>IF(E24=0,0,IF(Task!$A$8="",0,IF(ISNUMBER(SEARCH(" "&amp;Task!$A$8&amp;" "," "&amp;LOWER(D24&amp;" "&amp;C24&amp;" "&amp;LOWER(SUBSTITUTE(SUBSTITUTE(SUBSTITUTE(SUBSTITUTE(A24,"/"," "),"."," "),"\"," "),"_"," ")))&amp;" ")),1,0))+IF(Task!$A$9="",0,IF(ISNUMBER(SEARCH(" "&amp;Task!$A$9&amp;" "," "&amp;LOWER(D24&amp;" "&amp;C24&amp;" "&amp;LOWER(SUBSTITUTE(SUBSTITUTE(SUBSTITUTE(SUBSTITUTE(A24,"/"," "),"."," "),"\"," "),"_"," ")))&amp;" ")),1,0))+IF(Task!$A$10="",0,IF(ISNUMBER(SEARCH(" "&amp;Task!$A$10&amp;" "," "&amp;LOWER(D24&amp;" "&amp;C24&amp;" "&amp;LOWER(SUBSTITUTE(SUBSTITUTE(SUBSTITUTE(SUBSTITUTE(A24,"/"," "),"."," "),"\"," "),"_"," ")))&amp;" ")),1,0))+IF(Task!$A$11="",0,IF(ISNUMBER(SEARCH(" "&amp;Task!$A$11&amp;" "," "&amp;LOWER(D24&amp;" "&amp;C24&amp;" "&amp;LOWER(SUBSTITUTE(SUBSTITUTE(SUBSTITUTE(SUBSTITUTE(A24,"/"," "),"."," "),"\"," "),"_"," ")))&amp;" ")),1,0))+IF(Task!$A$12="",0,IF(ISNUMBER(SEARCH(" "&amp;Task!$A$12&amp;" "," "&amp;LOWER(D24&amp;" "&amp;C24&amp;" "&amp;LOWER(SUBSTITUTE(SUBSTITUTE(SUBSTITUTE(SUBSTITUTE(A24,"/"," "),"."," "),"\"," "),"_"," ")))&amp;" ")),1,0))+IF(Task!$A$13="",0,IF(ISNUMBER(SEARCH(" "&amp;Task!$A$13&amp;" "," "&amp;LOWER(D24&amp;" "&amp;C24&amp;" "&amp;LOWER(SUBSTITUTE(SUBSTITUTE(SUBSTITUTE(SUBSTITUTE(A24,"/"," "),"."," "),"\"," "),"_"," ")))&amp;" ")),1,0))+IF(Task!$A$14="",0,IF(ISNUMBER(SEARCH(" "&amp;Task!$A$14&amp;" "," "&amp;LOWER(D24&amp;" "&amp;C24&amp;" "&amp;LOWER(SUBSTITUTE(SUBSTITUTE(SUBSTITUTE(SUBSTITUTE(A24,"/"," "),"."," "),"\"," "),"_"," ")))&amp;" ")),1,0))+IF(Task!$A$15="",0,IF(ISNUMBER(SEARCH(" "&amp;Task!$A$15&amp;" "," "&amp;LOWER(D24&amp;" "&amp;C24&amp;" "&amp;LOWER(SUBSTITUTE(SUBSTITUTE(SUBSTITUTE(SUBSTITUTE(A24,"/"," "),"."," "),"\"," "),"_"," ")))&amp;" ")),1,0))+IF(Task!$A$16="",0,IF(ISNUMBER(SEARCH(" "&amp;Task!$A$16&amp;" "," "&amp;LOWER(D24&amp;" "&amp;C24&amp;" "&amp;LOWER(SUBSTITUTE(SUBSTITUTE(SUBSTITUTE(SUBSTITUTE(A24,"/"," "),"."," "),"\"," "),"_"," ")))&amp;" ")),1,0))+IF(Task!$A$17="",0,IF(ISNUMBER(SEARCH(" "&amp;Task!$A$17&amp;" "," "&amp;LOWER(D24&amp;" "&amp;C24&amp;" "&amp;LOWER(SUBSTITUTE(SUBSTITUTE(SUBSTITUTE(SUBSTITUTE(A24,"/"," "),"."," "),"\"," "),"_"," ")))&amp;" ")),1,0))+IF(Task!$A$18="",0,IF(ISNUMBER(SEARCH(" "&amp;Task!$A$18&amp;" "," "&amp;LOWER(D24&amp;" "&amp;C24&amp;" "&amp;LOWER(SUBSTITUTE(SUBSTITUTE(SUBSTITUTE(SUBSTITUTE(A24,"/"," "),"."," "),"\"," "),"_"," ")))&amp;" ")),1,0))+IF(Task!$A$19="",0,IF(ISNUMBER(SEARCH(" "&amp;Task!$A$19&amp;" "," "&amp;LOWER(D24&amp;" "&amp;C24&amp;" "&amp;LOWER(SUBSTITUTE(SUBSTITUTE(SUBSTITUTE(SUBSTITUTE(A24,"/"," "),"."," "),"\"," "),"_"," ")))&amp;" ")),1,0)))</f>
        <v/>
      </c>
      <c r="G24" s="9">
        <f>IF(E24=0,0,IF(Task!$A$8="",0,IF(ISNUMBER(SEARCH(" "&amp;Task!$A$8&amp;" "," "&amp;LOWER(C24)&amp;" ")),1,0))+IF(Task!$A$9="",0,IF(ISNUMBER(SEARCH(" "&amp;Task!$A$9&amp;" "," "&amp;LOWER(C24)&amp;" ")),1,0))+IF(Task!$A$10="",0,IF(ISNUMBER(SEARCH(" "&amp;Task!$A$10&amp;" "," "&amp;LOWER(C24)&amp;" ")),1,0))+IF(Task!$A$11="",0,IF(ISNUMBER(SEARCH(" "&amp;Task!$A$11&amp;" "," "&amp;LOWER(C24)&amp;" ")),1,0))+IF(Task!$A$12="",0,IF(ISNUMBER(SEARCH(" "&amp;Task!$A$12&amp;" "," "&amp;LOWER(C24)&amp;" ")),1,0))+IF(Task!$A$13="",0,IF(ISNUMBER(SEARCH(" "&amp;Task!$A$13&amp;" "," "&amp;LOWER(C24)&amp;" ")),1,0))+IF(Task!$A$14="",0,IF(ISNUMBER(SEARCH(" "&amp;Task!$A$14&amp;" "," "&amp;LOWER(C24)&amp;" ")),1,0))+IF(Task!$A$15="",0,IF(ISNUMBER(SEARCH(" "&amp;Task!$A$15&amp;" "," "&amp;LOWER(C24)&amp;" ")),1,0))+IF(Task!$A$16="",0,IF(ISNUMBER(SEARCH(" "&amp;Task!$A$16&amp;" "," "&amp;LOWER(C24)&amp;" ")),1,0))+IF(Task!$A$17="",0,IF(ISNUMBER(SEARCH(" "&amp;Task!$A$17&amp;" "," "&amp;LOWER(C24)&amp;" ")),1,0))+IF(Task!$A$18="",0,IF(ISNUMBER(SEARCH(" "&amp;Task!$A$18&amp;" "," "&amp;LOWER(C24)&amp;" ")),1,0))+IF(Task!$A$19="",0,IF(ISNUMBER(SEARCH(" "&amp;Task!$A$19&amp;" "," "&amp;LOWER(C24)&amp;" ")),1,0)))</f>
        <v/>
      </c>
      <c r="H24" s="9">
        <f>IF(E24=0,0,IF(Task!$A$8="",0,IF(ISNUMBER(SEARCH(" "&amp;Task!$A$8&amp;" "," "&amp;LOWER(SUBSTITUTE(SUBSTITUTE(SUBSTITUTE(SUBSTITUTE(A24,"/"," "),"."," "),"\"," "),"_"," "))&amp;" ")),1,0))+IF(Task!$A$9="",0,IF(ISNUMBER(SEARCH(" "&amp;Task!$A$9&amp;" "," "&amp;LOWER(SUBSTITUTE(SUBSTITUTE(SUBSTITUTE(SUBSTITUTE(A24,"/"," "),"."," "),"\"," "),"_"," "))&amp;" ")),1,0))+IF(Task!$A$10="",0,IF(ISNUMBER(SEARCH(" "&amp;Task!$A$10&amp;" "," "&amp;LOWER(SUBSTITUTE(SUBSTITUTE(SUBSTITUTE(SUBSTITUTE(A24,"/"," "),"."," "),"\"," "),"_"," "))&amp;" ")),1,0))+IF(Task!$A$11="",0,IF(ISNUMBER(SEARCH(" "&amp;Task!$A$11&amp;" "," "&amp;LOWER(SUBSTITUTE(SUBSTITUTE(SUBSTITUTE(SUBSTITUTE(A24,"/"," "),"."," "),"\"," "),"_"," "))&amp;" ")),1,0))+IF(Task!$A$12="",0,IF(ISNUMBER(SEARCH(" "&amp;Task!$A$12&amp;" "," "&amp;LOWER(SUBSTITUTE(SUBSTITUTE(SUBSTITUTE(SUBSTITUTE(A24,"/"," "),"."," "),"\"," "),"_"," "))&amp;" ")),1,0))+IF(Task!$A$13="",0,IF(ISNUMBER(SEARCH(" "&amp;Task!$A$13&amp;" "," "&amp;LOWER(SUBSTITUTE(SUBSTITUTE(SUBSTITUTE(SUBSTITUTE(A24,"/"," "),"."," "),"\"," "),"_"," "))&amp;" ")),1,0))+IF(Task!$A$14="",0,IF(ISNUMBER(SEARCH(" "&amp;Task!$A$14&amp;" "," "&amp;LOWER(SUBSTITUTE(SUBSTITUTE(SUBSTITUTE(SUBSTITUTE(A24,"/"," "),"."," "),"\"," "),"_"," "))&amp;" ")),1,0))+IF(Task!$A$15="",0,IF(ISNUMBER(SEARCH(" "&amp;Task!$A$15&amp;" "," "&amp;LOWER(SUBSTITUTE(SUBSTITUTE(SUBSTITUTE(SUBSTITUTE(A24,"/"," "),"."," "),"\"," "),"_"," "))&amp;" ")),1,0))+IF(Task!$A$16="",0,IF(ISNUMBER(SEARCH(" "&amp;Task!$A$16&amp;" "," "&amp;LOWER(SUBSTITUTE(SUBSTITUTE(SUBSTITUTE(SUBSTITUTE(A24,"/"," "),"."," "),"\"," "),"_"," "))&amp;" ")),1,0))+IF(Task!$A$17="",0,IF(ISNUMBER(SEARCH(" "&amp;Task!$A$17&amp;" "," "&amp;LOWER(SUBSTITUTE(SUBSTITUTE(SUBSTITUTE(SUBSTITUTE(A24,"/"," "),"."," "),"\"," "),"_"," "))&amp;" ")),1,0))+IF(Task!$A$18="",0,IF(ISNUMBER(SEARCH(" "&amp;Task!$A$18&amp;" "," "&amp;LOWER(SUBSTITUTE(SUBSTITUTE(SUBSTITUTE(SUBSTITUTE(A24,"/"," "),"."," "),"\"," "),"_"," "))&amp;" ")),1,0))+IF(Task!$A$19="",0,IF(ISNUMBER(SEARCH(" "&amp;Task!$A$19&amp;" "," "&amp;LOWER(SUBSTITUTE(SUBSTITUTE(SUBSTITUTE(SUBSTITUTE(A24,"/"," "),"."," "),"\"," "),"_"," "))&amp;" ")),1,0)))</f>
        <v/>
      </c>
      <c r="I24" s="10">
        <f>IF(OR(E24=0,F24=0,Task!$B$21=0),"",F24/Task!$B$21+0.5*G24+0.25*H24)</f>
        <v/>
      </c>
      <c r="J24" s="5">
        <f>IF(I24="","",I24-ROW()/1000000)</f>
        <v/>
      </c>
      <c r="K24" s="9">
        <f>IF(J24="","",COUNTIF($J$5:$J$404,"&gt;"&amp;J24)+1)</f>
        <v/>
      </c>
    </row>
    <row r="25">
      <c r="A25" s="7" t="n"/>
      <c r="B25" s="7" t="n"/>
      <c r="C25" s="7" t="n"/>
      <c r="D25" s="7" t="n"/>
      <c r="E25" s="5">
        <f>IF(A25="",0,IF(COUNTA(Task!$B$5:$E$5)=0,1,IF(COUNTIF(Task!$B$5:$E$5,B25)&gt;0,1,0)))</f>
        <v/>
      </c>
      <c r="F25" s="9">
        <f>IF(E25=0,0,IF(Task!$A$8="",0,IF(ISNUMBER(SEARCH(" "&amp;Task!$A$8&amp;" "," "&amp;LOWER(D25&amp;" "&amp;C25&amp;" "&amp;LOWER(SUBSTITUTE(SUBSTITUTE(SUBSTITUTE(SUBSTITUTE(A25,"/"," "),"."," "),"\"," "),"_"," ")))&amp;" ")),1,0))+IF(Task!$A$9="",0,IF(ISNUMBER(SEARCH(" "&amp;Task!$A$9&amp;" "," "&amp;LOWER(D25&amp;" "&amp;C25&amp;" "&amp;LOWER(SUBSTITUTE(SUBSTITUTE(SUBSTITUTE(SUBSTITUTE(A25,"/"," "),"."," "),"\"," "),"_"," ")))&amp;" ")),1,0))+IF(Task!$A$10="",0,IF(ISNUMBER(SEARCH(" "&amp;Task!$A$10&amp;" "," "&amp;LOWER(D25&amp;" "&amp;C25&amp;" "&amp;LOWER(SUBSTITUTE(SUBSTITUTE(SUBSTITUTE(SUBSTITUTE(A25,"/"," "),"."," "),"\"," "),"_"," ")))&amp;" ")),1,0))+IF(Task!$A$11="",0,IF(ISNUMBER(SEARCH(" "&amp;Task!$A$11&amp;" "," "&amp;LOWER(D25&amp;" "&amp;C25&amp;" "&amp;LOWER(SUBSTITUTE(SUBSTITUTE(SUBSTITUTE(SUBSTITUTE(A25,"/"," "),"."," "),"\"," "),"_"," ")))&amp;" ")),1,0))+IF(Task!$A$12="",0,IF(ISNUMBER(SEARCH(" "&amp;Task!$A$12&amp;" "," "&amp;LOWER(D25&amp;" "&amp;C25&amp;" "&amp;LOWER(SUBSTITUTE(SUBSTITUTE(SUBSTITUTE(SUBSTITUTE(A25,"/"," "),"."," "),"\"," "),"_"," ")))&amp;" ")),1,0))+IF(Task!$A$13="",0,IF(ISNUMBER(SEARCH(" "&amp;Task!$A$13&amp;" "," "&amp;LOWER(D25&amp;" "&amp;C25&amp;" "&amp;LOWER(SUBSTITUTE(SUBSTITUTE(SUBSTITUTE(SUBSTITUTE(A25,"/"," "),"."," "),"\"," "),"_"," ")))&amp;" ")),1,0))+IF(Task!$A$14="",0,IF(ISNUMBER(SEARCH(" "&amp;Task!$A$14&amp;" "," "&amp;LOWER(D25&amp;" "&amp;C25&amp;" "&amp;LOWER(SUBSTITUTE(SUBSTITUTE(SUBSTITUTE(SUBSTITUTE(A25,"/"," "),"."," "),"\"," "),"_"," ")))&amp;" ")),1,0))+IF(Task!$A$15="",0,IF(ISNUMBER(SEARCH(" "&amp;Task!$A$15&amp;" "," "&amp;LOWER(D25&amp;" "&amp;C25&amp;" "&amp;LOWER(SUBSTITUTE(SUBSTITUTE(SUBSTITUTE(SUBSTITUTE(A25,"/"," "),"."," "),"\"," "),"_"," ")))&amp;" ")),1,0))+IF(Task!$A$16="",0,IF(ISNUMBER(SEARCH(" "&amp;Task!$A$16&amp;" "," "&amp;LOWER(D25&amp;" "&amp;C25&amp;" "&amp;LOWER(SUBSTITUTE(SUBSTITUTE(SUBSTITUTE(SUBSTITUTE(A25,"/"," "),"."," "),"\"," "),"_"," ")))&amp;" ")),1,0))+IF(Task!$A$17="",0,IF(ISNUMBER(SEARCH(" "&amp;Task!$A$17&amp;" "," "&amp;LOWER(D25&amp;" "&amp;C25&amp;" "&amp;LOWER(SUBSTITUTE(SUBSTITUTE(SUBSTITUTE(SUBSTITUTE(A25,"/"," "),"."," "),"\"," "),"_"," ")))&amp;" ")),1,0))+IF(Task!$A$18="",0,IF(ISNUMBER(SEARCH(" "&amp;Task!$A$18&amp;" "," "&amp;LOWER(D25&amp;" "&amp;C25&amp;" "&amp;LOWER(SUBSTITUTE(SUBSTITUTE(SUBSTITUTE(SUBSTITUTE(A25,"/"," "),"."," "),"\"," "),"_"," ")))&amp;" ")),1,0))+IF(Task!$A$19="",0,IF(ISNUMBER(SEARCH(" "&amp;Task!$A$19&amp;" "," "&amp;LOWER(D25&amp;" "&amp;C25&amp;" "&amp;LOWER(SUBSTITUTE(SUBSTITUTE(SUBSTITUTE(SUBSTITUTE(A25,"/"," "),"."," "),"\"," "),"_"," ")))&amp;" ")),1,0)))</f>
        <v/>
      </c>
      <c r="G25" s="9">
        <f>IF(E25=0,0,IF(Task!$A$8="",0,IF(ISNUMBER(SEARCH(" "&amp;Task!$A$8&amp;" "," "&amp;LOWER(C25)&amp;" ")),1,0))+IF(Task!$A$9="",0,IF(ISNUMBER(SEARCH(" "&amp;Task!$A$9&amp;" "," "&amp;LOWER(C25)&amp;" ")),1,0))+IF(Task!$A$10="",0,IF(ISNUMBER(SEARCH(" "&amp;Task!$A$10&amp;" "," "&amp;LOWER(C25)&amp;" ")),1,0))+IF(Task!$A$11="",0,IF(ISNUMBER(SEARCH(" "&amp;Task!$A$11&amp;" "," "&amp;LOWER(C25)&amp;" ")),1,0))+IF(Task!$A$12="",0,IF(ISNUMBER(SEARCH(" "&amp;Task!$A$12&amp;" "," "&amp;LOWER(C25)&amp;" ")),1,0))+IF(Task!$A$13="",0,IF(ISNUMBER(SEARCH(" "&amp;Task!$A$13&amp;" "," "&amp;LOWER(C25)&amp;" ")),1,0))+IF(Task!$A$14="",0,IF(ISNUMBER(SEARCH(" "&amp;Task!$A$14&amp;" "," "&amp;LOWER(C25)&amp;" ")),1,0))+IF(Task!$A$15="",0,IF(ISNUMBER(SEARCH(" "&amp;Task!$A$15&amp;" "," "&amp;LOWER(C25)&amp;" ")),1,0))+IF(Task!$A$16="",0,IF(ISNUMBER(SEARCH(" "&amp;Task!$A$16&amp;" "," "&amp;LOWER(C25)&amp;" ")),1,0))+IF(Task!$A$17="",0,IF(ISNUMBER(SEARCH(" "&amp;Task!$A$17&amp;" "," "&amp;LOWER(C25)&amp;" ")),1,0))+IF(Task!$A$18="",0,IF(ISNUMBER(SEARCH(" "&amp;Task!$A$18&amp;" "," "&amp;LOWER(C25)&amp;" ")),1,0))+IF(Task!$A$19="",0,IF(ISNUMBER(SEARCH(" "&amp;Task!$A$19&amp;" "," "&amp;LOWER(C25)&amp;" ")),1,0)))</f>
        <v/>
      </c>
      <c r="H25" s="9">
        <f>IF(E25=0,0,IF(Task!$A$8="",0,IF(ISNUMBER(SEARCH(" "&amp;Task!$A$8&amp;" "," "&amp;LOWER(SUBSTITUTE(SUBSTITUTE(SUBSTITUTE(SUBSTITUTE(A25,"/"," "),"."," "),"\"," "),"_"," "))&amp;" ")),1,0))+IF(Task!$A$9="",0,IF(ISNUMBER(SEARCH(" "&amp;Task!$A$9&amp;" "," "&amp;LOWER(SUBSTITUTE(SUBSTITUTE(SUBSTITUTE(SUBSTITUTE(A25,"/"," "),"."," "),"\"," "),"_"," "))&amp;" ")),1,0))+IF(Task!$A$10="",0,IF(ISNUMBER(SEARCH(" "&amp;Task!$A$10&amp;" "," "&amp;LOWER(SUBSTITUTE(SUBSTITUTE(SUBSTITUTE(SUBSTITUTE(A25,"/"," "),"."," "),"\"," "),"_"," "))&amp;" ")),1,0))+IF(Task!$A$11="",0,IF(ISNUMBER(SEARCH(" "&amp;Task!$A$11&amp;" "," "&amp;LOWER(SUBSTITUTE(SUBSTITUTE(SUBSTITUTE(SUBSTITUTE(A25,"/"," "),"."," "),"\"," "),"_"," "))&amp;" ")),1,0))+IF(Task!$A$12="",0,IF(ISNUMBER(SEARCH(" "&amp;Task!$A$12&amp;" "," "&amp;LOWER(SUBSTITUTE(SUBSTITUTE(SUBSTITUTE(SUBSTITUTE(A25,"/"," "),"."," "),"\"," "),"_"," "))&amp;" ")),1,0))+IF(Task!$A$13="",0,IF(ISNUMBER(SEARCH(" "&amp;Task!$A$13&amp;" "," "&amp;LOWER(SUBSTITUTE(SUBSTITUTE(SUBSTITUTE(SUBSTITUTE(A25,"/"," "),"."," "),"\"," "),"_"," "))&amp;" ")),1,0))+IF(Task!$A$14="",0,IF(ISNUMBER(SEARCH(" "&amp;Task!$A$14&amp;" "," "&amp;LOWER(SUBSTITUTE(SUBSTITUTE(SUBSTITUTE(SUBSTITUTE(A25,"/"," "),"."," "),"\"," "),"_"," "))&amp;" ")),1,0))+IF(Task!$A$15="",0,IF(ISNUMBER(SEARCH(" "&amp;Task!$A$15&amp;" "," "&amp;LOWER(SUBSTITUTE(SUBSTITUTE(SUBSTITUTE(SUBSTITUTE(A25,"/"," "),"."," "),"\"," "),"_"," "))&amp;" ")),1,0))+IF(Task!$A$16="",0,IF(ISNUMBER(SEARCH(" "&amp;Task!$A$16&amp;" "," "&amp;LOWER(SUBSTITUTE(SUBSTITUTE(SUBSTITUTE(SUBSTITUTE(A25,"/"," "),"."," "),"\"," "),"_"," "))&amp;" ")),1,0))+IF(Task!$A$17="",0,IF(ISNUMBER(SEARCH(" "&amp;Task!$A$17&amp;" "," "&amp;LOWER(SUBSTITUTE(SUBSTITUTE(SUBSTITUTE(SUBSTITUTE(A25,"/"," "),"."," "),"\"," "),"_"," "))&amp;" ")),1,0))+IF(Task!$A$18="",0,IF(ISNUMBER(SEARCH(" "&amp;Task!$A$18&amp;" "," "&amp;LOWER(SUBSTITUTE(SUBSTITUTE(SUBSTITUTE(SUBSTITUTE(A25,"/"," "),"."," "),"\"," "),"_"," "))&amp;" ")),1,0))+IF(Task!$A$19="",0,IF(ISNUMBER(SEARCH(" "&amp;Task!$A$19&amp;" "," "&amp;LOWER(SUBSTITUTE(SUBSTITUTE(SUBSTITUTE(SUBSTITUTE(A25,"/"," "),"."," "),"\"," "),"_"," "))&amp;" ")),1,0)))</f>
        <v/>
      </c>
      <c r="I25" s="10">
        <f>IF(OR(E25=0,F25=0,Task!$B$21=0),"",F25/Task!$B$21+0.5*G25+0.25*H25)</f>
        <v/>
      </c>
      <c r="J25" s="5">
        <f>IF(I25="","",I25-ROW()/1000000)</f>
        <v/>
      </c>
      <c r="K25" s="9">
        <f>IF(J25="","",COUNTIF($J$5:$J$404,"&gt;"&amp;J25)+1)</f>
        <v/>
      </c>
    </row>
    <row r="26">
      <c r="A26" s="7" t="n"/>
      <c r="B26" s="7" t="n"/>
      <c r="C26" s="7" t="n"/>
      <c r="D26" s="7" t="n"/>
      <c r="E26" s="5">
        <f>IF(A26="",0,IF(COUNTA(Task!$B$5:$E$5)=0,1,IF(COUNTIF(Task!$B$5:$E$5,B26)&gt;0,1,0)))</f>
        <v/>
      </c>
      <c r="F26" s="9">
        <f>IF(E26=0,0,IF(Task!$A$8="",0,IF(ISNUMBER(SEARCH(" "&amp;Task!$A$8&amp;" "," "&amp;LOWER(D26&amp;" "&amp;C26&amp;" "&amp;LOWER(SUBSTITUTE(SUBSTITUTE(SUBSTITUTE(SUBSTITUTE(A26,"/"," "),"."," "),"\"," "),"_"," ")))&amp;" ")),1,0))+IF(Task!$A$9="",0,IF(ISNUMBER(SEARCH(" "&amp;Task!$A$9&amp;" "," "&amp;LOWER(D26&amp;" "&amp;C26&amp;" "&amp;LOWER(SUBSTITUTE(SUBSTITUTE(SUBSTITUTE(SUBSTITUTE(A26,"/"," "),"."," "),"\"," "),"_"," ")))&amp;" ")),1,0))+IF(Task!$A$10="",0,IF(ISNUMBER(SEARCH(" "&amp;Task!$A$10&amp;" "," "&amp;LOWER(D26&amp;" "&amp;C26&amp;" "&amp;LOWER(SUBSTITUTE(SUBSTITUTE(SUBSTITUTE(SUBSTITUTE(A26,"/"," "),"."," "),"\"," "),"_"," ")))&amp;" ")),1,0))+IF(Task!$A$11="",0,IF(ISNUMBER(SEARCH(" "&amp;Task!$A$11&amp;" "," "&amp;LOWER(D26&amp;" "&amp;C26&amp;" "&amp;LOWER(SUBSTITUTE(SUBSTITUTE(SUBSTITUTE(SUBSTITUTE(A26,"/"," "),"."," "),"\"," "),"_"," ")))&amp;" ")),1,0))+IF(Task!$A$12="",0,IF(ISNUMBER(SEARCH(" "&amp;Task!$A$12&amp;" "," "&amp;LOWER(D26&amp;" "&amp;C26&amp;" "&amp;LOWER(SUBSTITUTE(SUBSTITUTE(SUBSTITUTE(SUBSTITUTE(A26,"/"," "),"."," "),"\"," "),"_"," ")))&amp;" ")),1,0))+IF(Task!$A$13="",0,IF(ISNUMBER(SEARCH(" "&amp;Task!$A$13&amp;" "," "&amp;LOWER(D26&amp;" "&amp;C26&amp;" "&amp;LOWER(SUBSTITUTE(SUBSTITUTE(SUBSTITUTE(SUBSTITUTE(A26,"/"," "),"."," "),"\"," "),"_"," ")))&amp;" ")),1,0))+IF(Task!$A$14="",0,IF(ISNUMBER(SEARCH(" "&amp;Task!$A$14&amp;" "," "&amp;LOWER(D26&amp;" "&amp;C26&amp;" "&amp;LOWER(SUBSTITUTE(SUBSTITUTE(SUBSTITUTE(SUBSTITUTE(A26,"/"," "),"."," "),"\"," "),"_"," ")))&amp;" ")),1,0))+IF(Task!$A$15="",0,IF(ISNUMBER(SEARCH(" "&amp;Task!$A$15&amp;" "," "&amp;LOWER(D26&amp;" "&amp;C26&amp;" "&amp;LOWER(SUBSTITUTE(SUBSTITUTE(SUBSTITUTE(SUBSTITUTE(A26,"/"," "),"."," "),"\"," "),"_"," ")))&amp;" ")),1,0))+IF(Task!$A$16="",0,IF(ISNUMBER(SEARCH(" "&amp;Task!$A$16&amp;" "," "&amp;LOWER(D26&amp;" "&amp;C26&amp;" "&amp;LOWER(SUBSTITUTE(SUBSTITUTE(SUBSTITUTE(SUBSTITUTE(A26,"/"," "),"."," "),"\"," "),"_"," ")))&amp;" ")),1,0))+IF(Task!$A$17="",0,IF(ISNUMBER(SEARCH(" "&amp;Task!$A$17&amp;" "," "&amp;LOWER(D26&amp;" "&amp;C26&amp;" "&amp;LOWER(SUBSTITUTE(SUBSTITUTE(SUBSTITUTE(SUBSTITUTE(A26,"/"," "),"."," "),"\"," "),"_"," ")))&amp;" ")),1,0))+IF(Task!$A$18="",0,IF(ISNUMBER(SEARCH(" "&amp;Task!$A$18&amp;" "," "&amp;LOWER(D26&amp;" "&amp;C26&amp;" "&amp;LOWER(SUBSTITUTE(SUBSTITUTE(SUBSTITUTE(SUBSTITUTE(A26,"/"," "),"."," "),"\"," "),"_"," ")))&amp;" ")),1,0))+IF(Task!$A$19="",0,IF(ISNUMBER(SEARCH(" "&amp;Task!$A$19&amp;" "," "&amp;LOWER(D26&amp;" "&amp;C26&amp;" "&amp;LOWER(SUBSTITUTE(SUBSTITUTE(SUBSTITUTE(SUBSTITUTE(A26,"/"," "),"."," "),"\"," "),"_"," ")))&amp;" ")),1,0)))</f>
        <v/>
      </c>
      <c r="G26" s="9">
        <f>IF(E26=0,0,IF(Task!$A$8="",0,IF(ISNUMBER(SEARCH(" "&amp;Task!$A$8&amp;" "," "&amp;LOWER(C26)&amp;" ")),1,0))+IF(Task!$A$9="",0,IF(ISNUMBER(SEARCH(" "&amp;Task!$A$9&amp;" "," "&amp;LOWER(C26)&amp;" ")),1,0))+IF(Task!$A$10="",0,IF(ISNUMBER(SEARCH(" "&amp;Task!$A$10&amp;" "," "&amp;LOWER(C26)&amp;" ")),1,0))+IF(Task!$A$11="",0,IF(ISNUMBER(SEARCH(" "&amp;Task!$A$11&amp;" "," "&amp;LOWER(C26)&amp;" ")),1,0))+IF(Task!$A$12="",0,IF(ISNUMBER(SEARCH(" "&amp;Task!$A$12&amp;" "," "&amp;LOWER(C26)&amp;" ")),1,0))+IF(Task!$A$13="",0,IF(ISNUMBER(SEARCH(" "&amp;Task!$A$13&amp;" "," "&amp;LOWER(C26)&amp;" ")),1,0))+IF(Task!$A$14="",0,IF(ISNUMBER(SEARCH(" "&amp;Task!$A$14&amp;" "," "&amp;LOWER(C26)&amp;" ")),1,0))+IF(Task!$A$15="",0,IF(ISNUMBER(SEARCH(" "&amp;Task!$A$15&amp;" "," "&amp;LOWER(C26)&amp;" ")),1,0))+IF(Task!$A$16="",0,IF(ISNUMBER(SEARCH(" "&amp;Task!$A$16&amp;" "," "&amp;LOWER(C26)&amp;" ")),1,0))+IF(Task!$A$17="",0,IF(ISNUMBER(SEARCH(" "&amp;Task!$A$17&amp;" "," "&amp;LOWER(C26)&amp;" ")),1,0))+IF(Task!$A$18="",0,IF(ISNUMBER(SEARCH(" "&amp;Task!$A$18&amp;" "," "&amp;LOWER(C26)&amp;" ")),1,0))+IF(Task!$A$19="",0,IF(ISNUMBER(SEARCH(" "&amp;Task!$A$19&amp;" "," "&amp;LOWER(C26)&amp;" ")),1,0)))</f>
        <v/>
      </c>
      <c r="H26" s="9">
        <f>IF(E26=0,0,IF(Task!$A$8="",0,IF(ISNUMBER(SEARCH(" "&amp;Task!$A$8&amp;" "," "&amp;LOWER(SUBSTITUTE(SUBSTITUTE(SUBSTITUTE(SUBSTITUTE(A26,"/"," "),"."," "),"\"," "),"_"," "))&amp;" ")),1,0))+IF(Task!$A$9="",0,IF(ISNUMBER(SEARCH(" "&amp;Task!$A$9&amp;" "," "&amp;LOWER(SUBSTITUTE(SUBSTITUTE(SUBSTITUTE(SUBSTITUTE(A26,"/"," "),"."," "),"\"," "),"_"," "))&amp;" ")),1,0))+IF(Task!$A$10="",0,IF(ISNUMBER(SEARCH(" "&amp;Task!$A$10&amp;" "," "&amp;LOWER(SUBSTITUTE(SUBSTITUTE(SUBSTITUTE(SUBSTITUTE(A26,"/"," "),"."," "),"\"," "),"_"," "))&amp;" ")),1,0))+IF(Task!$A$11="",0,IF(ISNUMBER(SEARCH(" "&amp;Task!$A$11&amp;" "," "&amp;LOWER(SUBSTITUTE(SUBSTITUTE(SUBSTITUTE(SUBSTITUTE(A26,"/"," "),"."," "),"\"," "),"_"," "))&amp;" ")),1,0))+IF(Task!$A$12="",0,IF(ISNUMBER(SEARCH(" "&amp;Task!$A$12&amp;" "," "&amp;LOWER(SUBSTITUTE(SUBSTITUTE(SUBSTITUTE(SUBSTITUTE(A26,"/"," "),"."," "),"\"," "),"_"," "))&amp;" ")),1,0))+IF(Task!$A$13="",0,IF(ISNUMBER(SEARCH(" "&amp;Task!$A$13&amp;" "," "&amp;LOWER(SUBSTITUTE(SUBSTITUTE(SUBSTITUTE(SUBSTITUTE(A26,"/"," "),"."," "),"\"," "),"_"," "))&amp;" ")),1,0))+IF(Task!$A$14="",0,IF(ISNUMBER(SEARCH(" "&amp;Task!$A$14&amp;" "," "&amp;LOWER(SUBSTITUTE(SUBSTITUTE(SUBSTITUTE(SUBSTITUTE(A26,"/"," "),"."," "),"\"," "),"_"," "))&amp;" ")),1,0))+IF(Task!$A$15="",0,IF(ISNUMBER(SEARCH(" "&amp;Task!$A$15&amp;" "," "&amp;LOWER(SUBSTITUTE(SUBSTITUTE(SUBSTITUTE(SUBSTITUTE(A26,"/"," "),"."," "),"\"," "),"_"," "))&amp;" ")),1,0))+IF(Task!$A$16="",0,IF(ISNUMBER(SEARCH(" "&amp;Task!$A$16&amp;" "," "&amp;LOWER(SUBSTITUTE(SUBSTITUTE(SUBSTITUTE(SUBSTITUTE(A26,"/"," "),"."," "),"\"," "),"_"," "))&amp;" ")),1,0))+IF(Task!$A$17="",0,IF(ISNUMBER(SEARCH(" "&amp;Task!$A$17&amp;" "," "&amp;LOWER(SUBSTITUTE(SUBSTITUTE(SUBSTITUTE(SUBSTITUTE(A26,"/"," "),"."," "),"\"," "),"_"," "))&amp;" ")),1,0))+IF(Task!$A$18="",0,IF(ISNUMBER(SEARCH(" "&amp;Task!$A$18&amp;" "," "&amp;LOWER(SUBSTITUTE(SUBSTITUTE(SUBSTITUTE(SUBSTITUTE(A26,"/"," "),"."," "),"\"," "),"_"," "))&amp;" ")),1,0))+IF(Task!$A$19="",0,IF(ISNUMBER(SEARCH(" "&amp;Task!$A$19&amp;" "," "&amp;LOWER(SUBSTITUTE(SUBSTITUTE(SUBSTITUTE(SUBSTITUTE(A26,"/"," "),"."," "),"\"," "),"_"," "))&amp;" ")),1,0)))</f>
        <v/>
      </c>
      <c r="I26" s="10">
        <f>IF(OR(E26=0,F26=0,Task!$B$21=0),"",F26/Task!$B$21+0.5*G26+0.25*H26)</f>
        <v/>
      </c>
      <c r="J26" s="5">
        <f>IF(I26="","",I26-ROW()/1000000)</f>
        <v/>
      </c>
      <c r="K26" s="9">
        <f>IF(J26="","",COUNTIF($J$5:$J$404,"&gt;"&amp;J26)+1)</f>
        <v/>
      </c>
    </row>
    <row r="27">
      <c r="A27" s="7" t="n"/>
      <c r="B27" s="7" t="n"/>
      <c r="C27" s="7" t="n"/>
      <c r="D27" s="7" t="n"/>
      <c r="E27" s="5">
        <f>IF(A27="",0,IF(COUNTA(Task!$B$5:$E$5)=0,1,IF(COUNTIF(Task!$B$5:$E$5,B27)&gt;0,1,0)))</f>
        <v/>
      </c>
      <c r="F27" s="9">
        <f>IF(E27=0,0,IF(Task!$A$8="",0,IF(ISNUMBER(SEARCH(" "&amp;Task!$A$8&amp;" "," "&amp;LOWER(D27&amp;" "&amp;C27&amp;" "&amp;LOWER(SUBSTITUTE(SUBSTITUTE(SUBSTITUTE(SUBSTITUTE(A27,"/"," "),"."," "),"\"," "),"_"," ")))&amp;" ")),1,0))+IF(Task!$A$9="",0,IF(ISNUMBER(SEARCH(" "&amp;Task!$A$9&amp;" "," "&amp;LOWER(D27&amp;" "&amp;C27&amp;" "&amp;LOWER(SUBSTITUTE(SUBSTITUTE(SUBSTITUTE(SUBSTITUTE(A27,"/"," "),"."," "),"\"," "),"_"," ")))&amp;" ")),1,0))+IF(Task!$A$10="",0,IF(ISNUMBER(SEARCH(" "&amp;Task!$A$10&amp;" "," "&amp;LOWER(D27&amp;" "&amp;C27&amp;" "&amp;LOWER(SUBSTITUTE(SUBSTITUTE(SUBSTITUTE(SUBSTITUTE(A27,"/"," "),"."," "),"\"," "),"_"," ")))&amp;" ")),1,0))+IF(Task!$A$11="",0,IF(ISNUMBER(SEARCH(" "&amp;Task!$A$11&amp;" "," "&amp;LOWER(D27&amp;" "&amp;C27&amp;" "&amp;LOWER(SUBSTITUTE(SUBSTITUTE(SUBSTITUTE(SUBSTITUTE(A27,"/"," "),"."," "),"\"," "),"_"," ")))&amp;" ")),1,0))+IF(Task!$A$12="",0,IF(ISNUMBER(SEARCH(" "&amp;Task!$A$12&amp;" "," "&amp;LOWER(D27&amp;" "&amp;C27&amp;" "&amp;LOWER(SUBSTITUTE(SUBSTITUTE(SUBSTITUTE(SUBSTITUTE(A27,"/"," "),"."," "),"\"," "),"_"," ")))&amp;" ")),1,0))+IF(Task!$A$13="",0,IF(ISNUMBER(SEARCH(" "&amp;Task!$A$13&amp;" "," "&amp;LOWER(D27&amp;" "&amp;C27&amp;" "&amp;LOWER(SUBSTITUTE(SUBSTITUTE(SUBSTITUTE(SUBSTITUTE(A27,"/"," "),"."," "),"\"," "),"_"," ")))&amp;" ")),1,0))+IF(Task!$A$14="",0,IF(ISNUMBER(SEARCH(" "&amp;Task!$A$14&amp;" "," "&amp;LOWER(D27&amp;" "&amp;C27&amp;" "&amp;LOWER(SUBSTITUTE(SUBSTITUTE(SUBSTITUTE(SUBSTITUTE(A27,"/"," "),"."," "),"\"," "),"_"," ")))&amp;" ")),1,0))+IF(Task!$A$15="",0,IF(ISNUMBER(SEARCH(" "&amp;Task!$A$15&amp;" "," "&amp;LOWER(D27&amp;" "&amp;C27&amp;" "&amp;LOWER(SUBSTITUTE(SUBSTITUTE(SUBSTITUTE(SUBSTITUTE(A27,"/"," "),"."," "),"\"," "),"_"," ")))&amp;" ")),1,0))+IF(Task!$A$16="",0,IF(ISNUMBER(SEARCH(" "&amp;Task!$A$16&amp;" "," "&amp;LOWER(D27&amp;" "&amp;C27&amp;" "&amp;LOWER(SUBSTITUTE(SUBSTITUTE(SUBSTITUTE(SUBSTITUTE(A27,"/"," "),"."," "),"\"," "),"_"," ")))&amp;" ")),1,0))+IF(Task!$A$17="",0,IF(ISNUMBER(SEARCH(" "&amp;Task!$A$17&amp;" "," "&amp;LOWER(D27&amp;" "&amp;C27&amp;" "&amp;LOWER(SUBSTITUTE(SUBSTITUTE(SUBSTITUTE(SUBSTITUTE(A27,"/"," "),"."," "),"\"," "),"_"," ")))&amp;" ")),1,0))+IF(Task!$A$18="",0,IF(ISNUMBER(SEARCH(" "&amp;Task!$A$18&amp;" "," "&amp;LOWER(D27&amp;" "&amp;C27&amp;" "&amp;LOWER(SUBSTITUTE(SUBSTITUTE(SUBSTITUTE(SUBSTITUTE(A27,"/"," "),"."," "),"\"," "),"_"," ")))&amp;" ")),1,0))+IF(Task!$A$19="",0,IF(ISNUMBER(SEARCH(" "&amp;Task!$A$19&amp;" "," "&amp;LOWER(D27&amp;" "&amp;C27&amp;" "&amp;LOWER(SUBSTITUTE(SUBSTITUTE(SUBSTITUTE(SUBSTITUTE(A27,"/"," "),"."," "),"\"," "),"_"," ")))&amp;" ")),1,0)))</f>
        <v/>
      </c>
      <c r="G27" s="9">
        <f>IF(E27=0,0,IF(Task!$A$8="",0,IF(ISNUMBER(SEARCH(" "&amp;Task!$A$8&amp;" "," "&amp;LOWER(C27)&amp;" ")),1,0))+IF(Task!$A$9="",0,IF(ISNUMBER(SEARCH(" "&amp;Task!$A$9&amp;" "," "&amp;LOWER(C27)&amp;" ")),1,0))+IF(Task!$A$10="",0,IF(ISNUMBER(SEARCH(" "&amp;Task!$A$10&amp;" "," "&amp;LOWER(C27)&amp;" ")),1,0))+IF(Task!$A$11="",0,IF(ISNUMBER(SEARCH(" "&amp;Task!$A$11&amp;" "," "&amp;LOWER(C27)&amp;" ")),1,0))+IF(Task!$A$12="",0,IF(ISNUMBER(SEARCH(" "&amp;Task!$A$12&amp;" "," "&amp;LOWER(C27)&amp;" ")),1,0))+IF(Task!$A$13="",0,IF(ISNUMBER(SEARCH(" "&amp;Task!$A$13&amp;" "," "&amp;LOWER(C27)&amp;" ")),1,0))+IF(Task!$A$14="",0,IF(ISNUMBER(SEARCH(" "&amp;Task!$A$14&amp;" "," "&amp;LOWER(C27)&amp;" ")),1,0))+IF(Task!$A$15="",0,IF(ISNUMBER(SEARCH(" "&amp;Task!$A$15&amp;" "," "&amp;LOWER(C27)&amp;" ")),1,0))+IF(Task!$A$16="",0,IF(ISNUMBER(SEARCH(" "&amp;Task!$A$16&amp;" "," "&amp;LOWER(C27)&amp;" ")),1,0))+IF(Task!$A$17="",0,IF(ISNUMBER(SEARCH(" "&amp;Task!$A$17&amp;" "," "&amp;LOWER(C27)&amp;" ")),1,0))+IF(Task!$A$18="",0,IF(ISNUMBER(SEARCH(" "&amp;Task!$A$18&amp;" "," "&amp;LOWER(C27)&amp;" ")),1,0))+IF(Task!$A$19="",0,IF(ISNUMBER(SEARCH(" "&amp;Task!$A$19&amp;" "," "&amp;LOWER(C27)&amp;" ")),1,0)))</f>
        <v/>
      </c>
      <c r="H27" s="9">
        <f>IF(E27=0,0,IF(Task!$A$8="",0,IF(ISNUMBER(SEARCH(" "&amp;Task!$A$8&amp;" "," "&amp;LOWER(SUBSTITUTE(SUBSTITUTE(SUBSTITUTE(SUBSTITUTE(A27,"/"," "),"."," "),"\"," "),"_"," "))&amp;" ")),1,0))+IF(Task!$A$9="",0,IF(ISNUMBER(SEARCH(" "&amp;Task!$A$9&amp;" "," "&amp;LOWER(SUBSTITUTE(SUBSTITUTE(SUBSTITUTE(SUBSTITUTE(A27,"/"," "),"."," "),"\"," "),"_"," "))&amp;" ")),1,0))+IF(Task!$A$10="",0,IF(ISNUMBER(SEARCH(" "&amp;Task!$A$10&amp;" "," "&amp;LOWER(SUBSTITUTE(SUBSTITUTE(SUBSTITUTE(SUBSTITUTE(A27,"/"," "),"."," "),"\"," "),"_"," "))&amp;" ")),1,0))+IF(Task!$A$11="",0,IF(ISNUMBER(SEARCH(" "&amp;Task!$A$11&amp;" "," "&amp;LOWER(SUBSTITUTE(SUBSTITUTE(SUBSTITUTE(SUBSTITUTE(A27,"/"," "),"."," "),"\"," "),"_"," "))&amp;" ")),1,0))+IF(Task!$A$12="",0,IF(ISNUMBER(SEARCH(" "&amp;Task!$A$12&amp;" "," "&amp;LOWER(SUBSTITUTE(SUBSTITUTE(SUBSTITUTE(SUBSTITUTE(A27,"/"," "),"."," "),"\"," "),"_"," "))&amp;" ")),1,0))+IF(Task!$A$13="",0,IF(ISNUMBER(SEARCH(" "&amp;Task!$A$13&amp;" "," "&amp;LOWER(SUBSTITUTE(SUBSTITUTE(SUBSTITUTE(SUBSTITUTE(A27,"/"," "),"."," "),"\"," "),"_"," "))&amp;" ")),1,0))+IF(Task!$A$14="",0,IF(ISNUMBER(SEARCH(" "&amp;Task!$A$14&amp;" "," "&amp;LOWER(SUBSTITUTE(SUBSTITUTE(SUBSTITUTE(SUBSTITUTE(A27,"/"," "),"."," "),"\"," "),"_"," "))&amp;" ")),1,0))+IF(Task!$A$15="",0,IF(ISNUMBER(SEARCH(" "&amp;Task!$A$15&amp;" "," "&amp;LOWER(SUBSTITUTE(SUBSTITUTE(SUBSTITUTE(SUBSTITUTE(A27,"/"," "),"."," "),"\"," "),"_"," "))&amp;" ")),1,0))+IF(Task!$A$16="",0,IF(ISNUMBER(SEARCH(" "&amp;Task!$A$16&amp;" "," "&amp;LOWER(SUBSTITUTE(SUBSTITUTE(SUBSTITUTE(SUBSTITUTE(A27,"/"," "),"."," "),"\"," "),"_"," "))&amp;" ")),1,0))+IF(Task!$A$17="",0,IF(ISNUMBER(SEARCH(" "&amp;Task!$A$17&amp;" "," "&amp;LOWER(SUBSTITUTE(SUBSTITUTE(SUBSTITUTE(SUBSTITUTE(A27,"/"," "),"."," "),"\"," "),"_"," "))&amp;" ")),1,0))+IF(Task!$A$18="",0,IF(ISNUMBER(SEARCH(" "&amp;Task!$A$18&amp;" "," "&amp;LOWER(SUBSTITUTE(SUBSTITUTE(SUBSTITUTE(SUBSTITUTE(A27,"/"," "),"."," "),"\"," "),"_"," "))&amp;" ")),1,0))+IF(Task!$A$19="",0,IF(ISNUMBER(SEARCH(" "&amp;Task!$A$19&amp;" "," "&amp;LOWER(SUBSTITUTE(SUBSTITUTE(SUBSTITUTE(SUBSTITUTE(A27,"/"," "),"."," "),"\"," "),"_"," "))&amp;" ")),1,0)))</f>
        <v/>
      </c>
      <c r="I27" s="10">
        <f>IF(OR(E27=0,F27=0,Task!$B$21=0),"",F27/Task!$B$21+0.5*G27+0.25*H27)</f>
        <v/>
      </c>
      <c r="J27" s="5">
        <f>IF(I27="","",I27-ROW()/1000000)</f>
        <v/>
      </c>
      <c r="K27" s="9">
        <f>IF(J27="","",COUNTIF($J$5:$J$404,"&gt;"&amp;J27)+1)</f>
        <v/>
      </c>
    </row>
    <row r="28">
      <c r="A28" s="7" t="n"/>
      <c r="B28" s="7" t="n"/>
      <c r="C28" s="7" t="n"/>
      <c r="D28" s="7" t="n"/>
      <c r="E28" s="5">
        <f>IF(A28="",0,IF(COUNTA(Task!$B$5:$E$5)=0,1,IF(COUNTIF(Task!$B$5:$E$5,B28)&gt;0,1,0)))</f>
        <v/>
      </c>
      <c r="F28" s="9">
        <f>IF(E28=0,0,IF(Task!$A$8="",0,IF(ISNUMBER(SEARCH(" "&amp;Task!$A$8&amp;" "," "&amp;LOWER(D28&amp;" "&amp;C28&amp;" "&amp;LOWER(SUBSTITUTE(SUBSTITUTE(SUBSTITUTE(SUBSTITUTE(A28,"/"," "),"."," "),"\"," "),"_"," ")))&amp;" ")),1,0))+IF(Task!$A$9="",0,IF(ISNUMBER(SEARCH(" "&amp;Task!$A$9&amp;" "," "&amp;LOWER(D28&amp;" "&amp;C28&amp;" "&amp;LOWER(SUBSTITUTE(SUBSTITUTE(SUBSTITUTE(SUBSTITUTE(A28,"/"," "),"."," "),"\"," "),"_"," ")))&amp;" ")),1,0))+IF(Task!$A$10="",0,IF(ISNUMBER(SEARCH(" "&amp;Task!$A$10&amp;" "," "&amp;LOWER(D28&amp;" "&amp;C28&amp;" "&amp;LOWER(SUBSTITUTE(SUBSTITUTE(SUBSTITUTE(SUBSTITUTE(A28,"/"," "),"."," "),"\"," "),"_"," ")))&amp;" ")),1,0))+IF(Task!$A$11="",0,IF(ISNUMBER(SEARCH(" "&amp;Task!$A$11&amp;" "," "&amp;LOWER(D28&amp;" "&amp;C28&amp;" "&amp;LOWER(SUBSTITUTE(SUBSTITUTE(SUBSTITUTE(SUBSTITUTE(A28,"/"," "),"."," "),"\"," "),"_"," ")))&amp;" ")),1,0))+IF(Task!$A$12="",0,IF(ISNUMBER(SEARCH(" "&amp;Task!$A$12&amp;" "," "&amp;LOWER(D28&amp;" "&amp;C28&amp;" "&amp;LOWER(SUBSTITUTE(SUBSTITUTE(SUBSTITUTE(SUBSTITUTE(A28,"/"," "),"."," "),"\"," "),"_"," ")))&amp;" ")),1,0))+IF(Task!$A$13="",0,IF(ISNUMBER(SEARCH(" "&amp;Task!$A$13&amp;" "," "&amp;LOWER(D28&amp;" "&amp;C28&amp;" "&amp;LOWER(SUBSTITUTE(SUBSTITUTE(SUBSTITUTE(SUBSTITUTE(A28,"/"," "),"."," "),"\"," "),"_"," ")))&amp;" ")),1,0))+IF(Task!$A$14="",0,IF(ISNUMBER(SEARCH(" "&amp;Task!$A$14&amp;" "," "&amp;LOWER(D28&amp;" "&amp;C28&amp;" "&amp;LOWER(SUBSTITUTE(SUBSTITUTE(SUBSTITUTE(SUBSTITUTE(A28,"/"," "),"."," "),"\"," "),"_"," ")))&amp;" ")),1,0))+IF(Task!$A$15="",0,IF(ISNUMBER(SEARCH(" "&amp;Task!$A$15&amp;" "," "&amp;LOWER(D28&amp;" "&amp;C28&amp;" "&amp;LOWER(SUBSTITUTE(SUBSTITUTE(SUBSTITUTE(SUBSTITUTE(A28,"/"," "),"."," "),"\"," "),"_"," ")))&amp;" ")),1,0))+IF(Task!$A$16="",0,IF(ISNUMBER(SEARCH(" "&amp;Task!$A$16&amp;" "," "&amp;LOWER(D28&amp;" "&amp;C28&amp;" "&amp;LOWER(SUBSTITUTE(SUBSTITUTE(SUBSTITUTE(SUBSTITUTE(A28,"/"," "),"."," "),"\"," "),"_"," ")))&amp;" ")),1,0))+IF(Task!$A$17="",0,IF(ISNUMBER(SEARCH(" "&amp;Task!$A$17&amp;" "," "&amp;LOWER(D28&amp;" "&amp;C28&amp;" "&amp;LOWER(SUBSTITUTE(SUBSTITUTE(SUBSTITUTE(SUBSTITUTE(A28,"/"," "),"."," "),"\"," "),"_"," ")))&amp;" ")),1,0))+IF(Task!$A$18="",0,IF(ISNUMBER(SEARCH(" "&amp;Task!$A$18&amp;" "," "&amp;LOWER(D28&amp;" "&amp;C28&amp;" "&amp;LOWER(SUBSTITUTE(SUBSTITUTE(SUBSTITUTE(SUBSTITUTE(A28,"/"," "),"."," "),"\"," "),"_"," ")))&amp;" ")),1,0))+IF(Task!$A$19="",0,IF(ISNUMBER(SEARCH(" "&amp;Task!$A$19&amp;" "," "&amp;LOWER(D28&amp;" "&amp;C28&amp;" "&amp;LOWER(SUBSTITUTE(SUBSTITUTE(SUBSTITUTE(SUBSTITUTE(A28,"/"," "),"."," "),"\"," "),"_"," ")))&amp;" ")),1,0)))</f>
        <v/>
      </c>
      <c r="G28" s="9">
        <f>IF(E28=0,0,IF(Task!$A$8="",0,IF(ISNUMBER(SEARCH(" "&amp;Task!$A$8&amp;" "," "&amp;LOWER(C28)&amp;" ")),1,0))+IF(Task!$A$9="",0,IF(ISNUMBER(SEARCH(" "&amp;Task!$A$9&amp;" "," "&amp;LOWER(C28)&amp;" ")),1,0))+IF(Task!$A$10="",0,IF(ISNUMBER(SEARCH(" "&amp;Task!$A$10&amp;" "," "&amp;LOWER(C28)&amp;" ")),1,0))+IF(Task!$A$11="",0,IF(ISNUMBER(SEARCH(" "&amp;Task!$A$11&amp;" "," "&amp;LOWER(C28)&amp;" ")),1,0))+IF(Task!$A$12="",0,IF(ISNUMBER(SEARCH(" "&amp;Task!$A$12&amp;" "," "&amp;LOWER(C28)&amp;" ")),1,0))+IF(Task!$A$13="",0,IF(ISNUMBER(SEARCH(" "&amp;Task!$A$13&amp;" "," "&amp;LOWER(C28)&amp;" ")),1,0))+IF(Task!$A$14="",0,IF(ISNUMBER(SEARCH(" "&amp;Task!$A$14&amp;" "," "&amp;LOWER(C28)&amp;" ")),1,0))+IF(Task!$A$15="",0,IF(ISNUMBER(SEARCH(" "&amp;Task!$A$15&amp;" "," "&amp;LOWER(C28)&amp;" ")),1,0))+IF(Task!$A$16="",0,IF(ISNUMBER(SEARCH(" "&amp;Task!$A$16&amp;" "," "&amp;LOWER(C28)&amp;" ")),1,0))+IF(Task!$A$17="",0,IF(ISNUMBER(SEARCH(" "&amp;Task!$A$17&amp;" "," "&amp;LOWER(C28)&amp;" ")),1,0))+IF(Task!$A$18="",0,IF(ISNUMBER(SEARCH(" "&amp;Task!$A$18&amp;" "," "&amp;LOWER(C28)&amp;" ")),1,0))+IF(Task!$A$19="",0,IF(ISNUMBER(SEARCH(" "&amp;Task!$A$19&amp;" "," "&amp;LOWER(C28)&amp;" ")),1,0)))</f>
        <v/>
      </c>
      <c r="H28" s="9">
        <f>IF(E28=0,0,IF(Task!$A$8="",0,IF(ISNUMBER(SEARCH(" "&amp;Task!$A$8&amp;" "," "&amp;LOWER(SUBSTITUTE(SUBSTITUTE(SUBSTITUTE(SUBSTITUTE(A28,"/"," "),"."," "),"\"," "),"_"," "))&amp;" ")),1,0))+IF(Task!$A$9="",0,IF(ISNUMBER(SEARCH(" "&amp;Task!$A$9&amp;" "," "&amp;LOWER(SUBSTITUTE(SUBSTITUTE(SUBSTITUTE(SUBSTITUTE(A28,"/"," "),"."," "),"\"," "),"_"," "))&amp;" ")),1,0))+IF(Task!$A$10="",0,IF(ISNUMBER(SEARCH(" "&amp;Task!$A$10&amp;" "," "&amp;LOWER(SUBSTITUTE(SUBSTITUTE(SUBSTITUTE(SUBSTITUTE(A28,"/"," "),"."," "),"\"," "),"_"," "))&amp;" ")),1,0))+IF(Task!$A$11="",0,IF(ISNUMBER(SEARCH(" "&amp;Task!$A$11&amp;" "," "&amp;LOWER(SUBSTITUTE(SUBSTITUTE(SUBSTITUTE(SUBSTITUTE(A28,"/"," "),"."," "),"\"," "),"_"," "))&amp;" ")),1,0))+IF(Task!$A$12="",0,IF(ISNUMBER(SEARCH(" "&amp;Task!$A$12&amp;" "," "&amp;LOWER(SUBSTITUTE(SUBSTITUTE(SUBSTITUTE(SUBSTITUTE(A28,"/"," "),"."," "),"\"," "),"_"," "))&amp;" ")),1,0))+IF(Task!$A$13="",0,IF(ISNUMBER(SEARCH(" "&amp;Task!$A$13&amp;" "," "&amp;LOWER(SUBSTITUTE(SUBSTITUTE(SUBSTITUTE(SUBSTITUTE(A28,"/"," "),"."," "),"\"," "),"_"," "))&amp;" ")),1,0))+IF(Task!$A$14="",0,IF(ISNUMBER(SEARCH(" "&amp;Task!$A$14&amp;" "," "&amp;LOWER(SUBSTITUTE(SUBSTITUTE(SUBSTITUTE(SUBSTITUTE(A28,"/"," "),"."," "),"\"," "),"_"," "))&amp;" ")),1,0))+IF(Task!$A$15="",0,IF(ISNUMBER(SEARCH(" "&amp;Task!$A$15&amp;" "," "&amp;LOWER(SUBSTITUTE(SUBSTITUTE(SUBSTITUTE(SUBSTITUTE(A28,"/"," "),"."," "),"\"," "),"_"," "))&amp;" ")),1,0))+IF(Task!$A$16="",0,IF(ISNUMBER(SEARCH(" "&amp;Task!$A$16&amp;" "," "&amp;LOWER(SUBSTITUTE(SUBSTITUTE(SUBSTITUTE(SUBSTITUTE(A28,"/"," "),"."," "),"\"," "),"_"," "))&amp;" ")),1,0))+IF(Task!$A$17="",0,IF(ISNUMBER(SEARCH(" "&amp;Task!$A$17&amp;" "," "&amp;LOWER(SUBSTITUTE(SUBSTITUTE(SUBSTITUTE(SUBSTITUTE(A28,"/"," "),"."," "),"\"," "),"_"," "))&amp;" ")),1,0))+IF(Task!$A$18="",0,IF(ISNUMBER(SEARCH(" "&amp;Task!$A$18&amp;" "," "&amp;LOWER(SUBSTITUTE(SUBSTITUTE(SUBSTITUTE(SUBSTITUTE(A28,"/"," "),"."," "),"\"," "),"_"," "))&amp;" ")),1,0))+IF(Task!$A$19="",0,IF(ISNUMBER(SEARCH(" "&amp;Task!$A$19&amp;" "," "&amp;LOWER(SUBSTITUTE(SUBSTITUTE(SUBSTITUTE(SUBSTITUTE(A28,"/"," "),"."," "),"\"," "),"_"," "))&amp;" ")),1,0)))</f>
        <v/>
      </c>
      <c r="I28" s="10">
        <f>IF(OR(E28=0,F28=0,Task!$B$21=0),"",F28/Task!$B$21+0.5*G28+0.25*H28)</f>
        <v/>
      </c>
      <c r="J28" s="5">
        <f>IF(I28="","",I28-ROW()/1000000)</f>
        <v/>
      </c>
      <c r="K28" s="9">
        <f>IF(J28="","",COUNTIF($J$5:$J$404,"&gt;"&amp;J28)+1)</f>
        <v/>
      </c>
    </row>
    <row r="29">
      <c r="A29" s="7" t="n"/>
      <c r="B29" s="7" t="n"/>
      <c r="C29" s="7" t="n"/>
      <c r="D29" s="7" t="n"/>
      <c r="E29" s="5">
        <f>IF(A29="",0,IF(COUNTA(Task!$B$5:$E$5)=0,1,IF(COUNTIF(Task!$B$5:$E$5,B29)&gt;0,1,0)))</f>
        <v/>
      </c>
      <c r="F29" s="9">
        <f>IF(E29=0,0,IF(Task!$A$8="",0,IF(ISNUMBER(SEARCH(" "&amp;Task!$A$8&amp;" "," "&amp;LOWER(D29&amp;" "&amp;C29&amp;" "&amp;LOWER(SUBSTITUTE(SUBSTITUTE(SUBSTITUTE(SUBSTITUTE(A29,"/"," "),"."," "),"\"," "),"_"," ")))&amp;" ")),1,0))+IF(Task!$A$9="",0,IF(ISNUMBER(SEARCH(" "&amp;Task!$A$9&amp;" "," "&amp;LOWER(D29&amp;" "&amp;C29&amp;" "&amp;LOWER(SUBSTITUTE(SUBSTITUTE(SUBSTITUTE(SUBSTITUTE(A29,"/"," "),"."," "),"\"," "),"_"," ")))&amp;" ")),1,0))+IF(Task!$A$10="",0,IF(ISNUMBER(SEARCH(" "&amp;Task!$A$10&amp;" "," "&amp;LOWER(D29&amp;" "&amp;C29&amp;" "&amp;LOWER(SUBSTITUTE(SUBSTITUTE(SUBSTITUTE(SUBSTITUTE(A29,"/"," "),"."," "),"\"," "),"_"," ")))&amp;" ")),1,0))+IF(Task!$A$11="",0,IF(ISNUMBER(SEARCH(" "&amp;Task!$A$11&amp;" "," "&amp;LOWER(D29&amp;" "&amp;C29&amp;" "&amp;LOWER(SUBSTITUTE(SUBSTITUTE(SUBSTITUTE(SUBSTITUTE(A29,"/"," "),"."," "),"\"," "),"_"," ")))&amp;" ")),1,0))+IF(Task!$A$12="",0,IF(ISNUMBER(SEARCH(" "&amp;Task!$A$12&amp;" "," "&amp;LOWER(D29&amp;" "&amp;C29&amp;" "&amp;LOWER(SUBSTITUTE(SUBSTITUTE(SUBSTITUTE(SUBSTITUTE(A29,"/"," "),"."," "),"\"," "),"_"," ")))&amp;" ")),1,0))+IF(Task!$A$13="",0,IF(ISNUMBER(SEARCH(" "&amp;Task!$A$13&amp;" "," "&amp;LOWER(D29&amp;" "&amp;C29&amp;" "&amp;LOWER(SUBSTITUTE(SUBSTITUTE(SUBSTITUTE(SUBSTITUTE(A29,"/"," "),"."," "),"\"," "),"_"," ")))&amp;" ")),1,0))+IF(Task!$A$14="",0,IF(ISNUMBER(SEARCH(" "&amp;Task!$A$14&amp;" "," "&amp;LOWER(D29&amp;" "&amp;C29&amp;" "&amp;LOWER(SUBSTITUTE(SUBSTITUTE(SUBSTITUTE(SUBSTITUTE(A29,"/"," "),"."," "),"\"," "),"_"," ")))&amp;" ")),1,0))+IF(Task!$A$15="",0,IF(ISNUMBER(SEARCH(" "&amp;Task!$A$15&amp;" "," "&amp;LOWER(D29&amp;" "&amp;C29&amp;" "&amp;LOWER(SUBSTITUTE(SUBSTITUTE(SUBSTITUTE(SUBSTITUTE(A29,"/"," "),"."," "),"\"," "),"_"," ")))&amp;" ")),1,0))+IF(Task!$A$16="",0,IF(ISNUMBER(SEARCH(" "&amp;Task!$A$16&amp;" "," "&amp;LOWER(D29&amp;" "&amp;C29&amp;" "&amp;LOWER(SUBSTITUTE(SUBSTITUTE(SUBSTITUTE(SUBSTITUTE(A29,"/"," "),"."," "),"\"," "),"_"," ")))&amp;" ")),1,0))+IF(Task!$A$17="",0,IF(ISNUMBER(SEARCH(" "&amp;Task!$A$17&amp;" "," "&amp;LOWER(D29&amp;" "&amp;C29&amp;" "&amp;LOWER(SUBSTITUTE(SUBSTITUTE(SUBSTITUTE(SUBSTITUTE(A29,"/"," "),"."," "),"\"," "),"_"," ")))&amp;" ")),1,0))+IF(Task!$A$18="",0,IF(ISNUMBER(SEARCH(" "&amp;Task!$A$18&amp;" "," "&amp;LOWER(D29&amp;" "&amp;C29&amp;" "&amp;LOWER(SUBSTITUTE(SUBSTITUTE(SUBSTITUTE(SUBSTITUTE(A29,"/"," "),"."," "),"\"," "),"_"," ")))&amp;" ")),1,0))+IF(Task!$A$19="",0,IF(ISNUMBER(SEARCH(" "&amp;Task!$A$19&amp;" "," "&amp;LOWER(D29&amp;" "&amp;C29&amp;" "&amp;LOWER(SUBSTITUTE(SUBSTITUTE(SUBSTITUTE(SUBSTITUTE(A29,"/"," "),"."," "),"\"," "),"_"," ")))&amp;" ")),1,0)))</f>
        <v/>
      </c>
      <c r="G29" s="9">
        <f>IF(E29=0,0,IF(Task!$A$8="",0,IF(ISNUMBER(SEARCH(" "&amp;Task!$A$8&amp;" "," "&amp;LOWER(C29)&amp;" ")),1,0))+IF(Task!$A$9="",0,IF(ISNUMBER(SEARCH(" "&amp;Task!$A$9&amp;" "," "&amp;LOWER(C29)&amp;" ")),1,0))+IF(Task!$A$10="",0,IF(ISNUMBER(SEARCH(" "&amp;Task!$A$10&amp;" "," "&amp;LOWER(C29)&amp;" ")),1,0))+IF(Task!$A$11="",0,IF(ISNUMBER(SEARCH(" "&amp;Task!$A$11&amp;" "," "&amp;LOWER(C29)&amp;" ")),1,0))+IF(Task!$A$12="",0,IF(ISNUMBER(SEARCH(" "&amp;Task!$A$12&amp;" "," "&amp;LOWER(C29)&amp;" ")),1,0))+IF(Task!$A$13="",0,IF(ISNUMBER(SEARCH(" "&amp;Task!$A$13&amp;" "," "&amp;LOWER(C29)&amp;" ")),1,0))+IF(Task!$A$14="",0,IF(ISNUMBER(SEARCH(" "&amp;Task!$A$14&amp;" "," "&amp;LOWER(C29)&amp;" ")),1,0))+IF(Task!$A$15="",0,IF(ISNUMBER(SEARCH(" "&amp;Task!$A$15&amp;" "," "&amp;LOWER(C29)&amp;" ")),1,0))+IF(Task!$A$16="",0,IF(ISNUMBER(SEARCH(" "&amp;Task!$A$16&amp;" "," "&amp;LOWER(C29)&amp;" ")),1,0))+IF(Task!$A$17="",0,IF(ISNUMBER(SEARCH(" "&amp;Task!$A$17&amp;" "," "&amp;LOWER(C29)&amp;" ")),1,0))+IF(Task!$A$18="",0,IF(ISNUMBER(SEARCH(" "&amp;Task!$A$18&amp;" "," "&amp;LOWER(C29)&amp;" ")),1,0))+IF(Task!$A$19="",0,IF(ISNUMBER(SEARCH(" "&amp;Task!$A$19&amp;" "," "&amp;LOWER(C29)&amp;" ")),1,0)))</f>
        <v/>
      </c>
      <c r="H29" s="9">
        <f>IF(E29=0,0,IF(Task!$A$8="",0,IF(ISNUMBER(SEARCH(" "&amp;Task!$A$8&amp;" "," "&amp;LOWER(SUBSTITUTE(SUBSTITUTE(SUBSTITUTE(SUBSTITUTE(A29,"/"," "),"."," "),"\"," "),"_"," "))&amp;" ")),1,0))+IF(Task!$A$9="",0,IF(ISNUMBER(SEARCH(" "&amp;Task!$A$9&amp;" "," "&amp;LOWER(SUBSTITUTE(SUBSTITUTE(SUBSTITUTE(SUBSTITUTE(A29,"/"," "),"."," "),"\"," "),"_"," "))&amp;" ")),1,0))+IF(Task!$A$10="",0,IF(ISNUMBER(SEARCH(" "&amp;Task!$A$10&amp;" "," "&amp;LOWER(SUBSTITUTE(SUBSTITUTE(SUBSTITUTE(SUBSTITUTE(A29,"/"," "),"."," "),"\"," "),"_"," "))&amp;" ")),1,0))+IF(Task!$A$11="",0,IF(ISNUMBER(SEARCH(" "&amp;Task!$A$11&amp;" "," "&amp;LOWER(SUBSTITUTE(SUBSTITUTE(SUBSTITUTE(SUBSTITUTE(A29,"/"," "),"."," "),"\"," "),"_"," "))&amp;" ")),1,0))+IF(Task!$A$12="",0,IF(ISNUMBER(SEARCH(" "&amp;Task!$A$12&amp;" "," "&amp;LOWER(SUBSTITUTE(SUBSTITUTE(SUBSTITUTE(SUBSTITUTE(A29,"/"," "),"."," "),"\"," "),"_"," "))&amp;" ")),1,0))+IF(Task!$A$13="",0,IF(ISNUMBER(SEARCH(" "&amp;Task!$A$13&amp;" "," "&amp;LOWER(SUBSTITUTE(SUBSTITUTE(SUBSTITUTE(SUBSTITUTE(A29,"/"," "),"."," "),"\"," "),"_"," "))&amp;" ")),1,0))+IF(Task!$A$14="",0,IF(ISNUMBER(SEARCH(" "&amp;Task!$A$14&amp;" "," "&amp;LOWER(SUBSTITUTE(SUBSTITUTE(SUBSTITUTE(SUBSTITUTE(A29,"/"," "),"."," "),"\"," "),"_"," "))&amp;" ")),1,0))+IF(Task!$A$15="",0,IF(ISNUMBER(SEARCH(" "&amp;Task!$A$15&amp;" "," "&amp;LOWER(SUBSTITUTE(SUBSTITUTE(SUBSTITUTE(SUBSTITUTE(A29,"/"," "),"."," "),"\"," "),"_"," "))&amp;" ")),1,0))+IF(Task!$A$16="",0,IF(ISNUMBER(SEARCH(" "&amp;Task!$A$16&amp;" "," "&amp;LOWER(SUBSTITUTE(SUBSTITUTE(SUBSTITUTE(SUBSTITUTE(A29,"/"," "),"."," "),"\"," "),"_"," "))&amp;" ")),1,0))+IF(Task!$A$17="",0,IF(ISNUMBER(SEARCH(" "&amp;Task!$A$17&amp;" "," "&amp;LOWER(SUBSTITUTE(SUBSTITUTE(SUBSTITUTE(SUBSTITUTE(A29,"/"," "),"."," "),"\"," "),"_"," "))&amp;" ")),1,0))+IF(Task!$A$18="",0,IF(ISNUMBER(SEARCH(" "&amp;Task!$A$18&amp;" "," "&amp;LOWER(SUBSTITUTE(SUBSTITUTE(SUBSTITUTE(SUBSTITUTE(A29,"/"," "),"."," "),"\"," "),"_"," "))&amp;" ")),1,0))+IF(Task!$A$19="",0,IF(ISNUMBER(SEARCH(" "&amp;Task!$A$19&amp;" "," "&amp;LOWER(SUBSTITUTE(SUBSTITUTE(SUBSTITUTE(SUBSTITUTE(A29,"/"," "),"."," "),"\"," "),"_"," "))&amp;" ")),1,0)))</f>
        <v/>
      </c>
      <c r="I29" s="10">
        <f>IF(OR(E29=0,F29=0,Task!$B$21=0),"",F29/Task!$B$21+0.5*G29+0.25*H29)</f>
        <v/>
      </c>
      <c r="J29" s="5">
        <f>IF(I29="","",I29-ROW()/1000000)</f>
        <v/>
      </c>
      <c r="K29" s="9">
        <f>IF(J29="","",COUNTIF($J$5:$J$404,"&gt;"&amp;J29)+1)</f>
        <v/>
      </c>
    </row>
    <row r="30">
      <c r="A30" s="7" t="n"/>
      <c r="B30" s="7" t="n"/>
      <c r="C30" s="7" t="n"/>
      <c r="D30" s="7" t="n"/>
      <c r="E30" s="5">
        <f>IF(A30="",0,IF(COUNTA(Task!$B$5:$E$5)=0,1,IF(COUNTIF(Task!$B$5:$E$5,B30)&gt;0,1,0)))</f>
        <v/>
      </c>
      <c r="F30" s="9">
        <f>IF(E30=0,0,IF(Task!$A$8="",0,IF(ISNUMBER(SEARCH(" "&amp;Task!$A$8&amp;" "," "&amp;LOWER(D30&amp;" "&amp;C30&amp;" "&amp;LOWER(SUBSTITUTE(SUBSTITUTE(SUBSTITUTE(SUBSTITUTE(A30,"/"," "),"."," "),"\"," "),"_"," ")))&amp;" ")),1,0))+IF(Task!$A$9="",0,IF(ISNUMBER(SEARCH(" "&amp;Task!$A$9&amp;" "," "&amp;LOWER(D30&amp;" "&amp;C30&amp;" "&amp;LOWER(SUBSTITUTE(SUBSTITUTE(SUBSTITUTE(SUBSTITUTE(A30,"/"," "),"."," "),"\"," "),"_"," ")))&amp;" ")),1,0))+IF(Task!$A$10="",0,IF(ISNUMBER(SEARCH(" "&amp;Task!$A$10&amp;" "," "&amp;LOWER(D30&amp;" "&amp;C30&amp;" "&amp;LOWER(SUBSTITUTE(SUBSTITUTE(SUBSTITUTE(SUBSTITUTE(A30,"/"," "),"."," "),"\"," "),"_"," ")))&amp;" ")),1,0))+IF(Task!$A$11="",0,IF(ISNUMBER(SEARCH(" "&amp;Task!$A$11&amp;" "," "&amp;LOWER(D30&amp;" "&amp;C30&amp;" "&amp;LOWER(SUBSTITUTE(SUBSTITUTE(SUBSTITUTE(SUBSTITUTE(A30,"/"," "),"."," "),"\"," "),"_"," ")))&amp;" ")),1,0))+IF(Task!$A$12="",0,IF(ISNUMBER(SEARCH(" "&amp;Task!$A$12&amp;" "," "&amp;LOWER(D30&amp;" "&amp;C30&amp;" "&amp;LOWER(SUBSTITUTE(SUBSTITUTE(SUBSTITUTE(SUBSTITUTE(A30,"/"," "),"."," "),"\"," "),"_"," ")))&amp;" ")),1,0))+IF(Task!$A$13="",0,IF(ISNUMBER(SEARCH(" "&amp;Task!$A$13&amp;" "," "&amp;LOWER(D30&amp;" "&amp;C30&amp;" "&amp;LOWER(SUBSTITUTE(SUBSTITUTE(SUBSTITUTE(SUBSTITUTE(A30,"/"," "),"."," "),"\"," "),"_"," ")))&amp;" ")),1,0))+IF(Task!$A$14="",0,IF(ISNUMBER(SEARCH(" "&amp;Task!$A$14&amp;" "," "&amp;LOWER(D30&amp;" "&amp;C30&amp;" "&amp;LOWER(SUBSTITUTE(SUBSTITUTE(SUBSTITUTE(SUBSTITUTE(A30,"/"," "),"."," "),"\"," "),"_"," ")))&amp;" ")),1,0))+IF(Task!$A$15="",0,IF(ISNUMBER(SEARCH(" "&amp;Task!$A$15&amp;" "," "&amp;LOWER(D30&amp;" "&amp;C30&amp;" "&amp;LOWER(SUBSTITUTE(SUBSTITUTE(SUBSTITUTE(SUBSTITUTE(A30,"/"," "),"."," "),"\"," "),"_"," ")))&amp;" ")),1,0))+IF(Task!$A$16="",0,IF(ISNUMBER(SEARCH(" "&amp;Task!$A$16&amp;" "," "&amp;LOWER(D30&amp;" "&amp;C30&amp;" "&amp;LOWER(SUBSTITUTE(SUBSTITUTE(SUBSTITUTE(SUBSTITUTE(A30,"/"," "),"."," "),"\"," "),"_"," ")))&amp;" ")),1,0))+IF(Task!$A$17="",0,IF(ISNUMBER(SEARCH(" "&amp;Task!$A$17&amp;" "," "&amp;LOWER(D30&amp;" "&amp;C30&amp;" "&amp;LOWER(SUBSTITUTE(SUBSTITUTE(SUBSTITUTE(SUBSTITUTE(A30,"/"," "),"."," "),"\"," "),"_"," ")))&amp;" ")),1,0))+IF(Task!$A$18="",0,IF(ISNUMBER(SEARCH(" "&amp;Task!$A$18&amp;" "," "&amp;LOWER(D30&amp;" "&amp;C30&amp;" "&amp;LOWER(SUBSTITUTE(SUBSTITUTE(SUBSTITUTE(SUBSTITUTE(A30,"/"," "),"."," "),"\"," "),"_"," ")))&amp;" ")),1,0))+IF(Task!$A$19="",0,IF(ISNUMBER(SEARCH(" "&amp;Task!$A$19&amp;" "," "&amp;LOWER(D30&amp;" "&amp;C30&amp;" "&amp;LOWER(SUBSTITUTE(SUBSTITUTE(SUBSTITUTE(SUBSTITUTE(A30,"/"," "),"."," "),"\"," "),"_"," ")))&amp;" ")),1,0)))</f>
        <v/>
      </c>
      <c r="G30" s="9">
        <f>IF(E30=0,0,IF(Task!$A$8="",0,IF(ISNUMBER(SEARCH(" "&amp;Task!$A$8&amp;" "," "&amp;LOWER(C30)&amp;" ")),1,0))+IF(Task!$A$9="",0,IF(ISNUMBER(SEARCH(" "&amp;Task!$A$9&amp;" "," "&amp;LOWER(C30)&amp;" ")),1,0))+IF(Task!$A$10="",0,IF(ISNUMBER(SEARCH(" "&amp;Task!$A$10&amp;" "," "&amp;LOWER(C30)&amp;" ")),1,0))+IF(Task!$A$11="",0,IF(ISNUMBER(SEARCH(" "&amp;Task!$A$11&amp;" "," "&amp;LOWER(C30)&amp;" ")),1,0))+IF(Task!$A$12="",0,IF(ISNUMBER(SEARCH(" "&amp;Task!$A$12&amp;" "," "&amp;LOWER(C30)&amp;" ")),1,0))+IF(Task!$A$13="",0,IF(ISNUMBER(SEARCH(" "&amp;Task!$A$13&amp;" "," "&amp;LOWER(C30)&amp;" ")),1,0))+IF(Task!$A$14="",0,IF(ISNUMBER(SEARCH(" "&amp;Task!$A$14&amp;" "," "&amp;LOWER(C30)&amp;" ")),1,0))+IF(Task!$A$15="",0,IF(ISNUMBER(SEARCH(" "&amp;Task!$A$15&amp;" "," "&amp;LOWER(C30)&amp;" ")),1,0))+IF(Task!$A$16="",0,IF(ISNUMBER(SEARCH(" "&amp;Task!$A$16&amp;" "," "&amp;LOWER(C30)&amp;" ")),1,0))+IF(Task!$A$17="",0,IF(ISNUMBER(SEARCH(" "&amp;Task!$A$17&amp;" "," "&amp;LOWER(C30)&amp;" ")),1,0))+IF(Task!$A$18="",0,IF(ISNUMBER(SEARCH(" "&amp;Task!$A$18&amp;" "," "&amp;LOWER(C30)&amp;" ")),1,0))+IF(Task!$A$19="",0,IF(ISNUMBER(SEARCH(" "&amp;Task!$A$19&amp;" "," "&amp;LOWER(C30)&amp;" ")),1,0)))</f>
        <v/>
      </c>
      <c r="H30" s="9">
        <f>IF(E30=0,0,IF(Task!$A$8="",0,IF(ISNUMBER(SEARCH(" "&amp;Task!$A$8&amp;" "," "&amp;LOWER(SUBSTITUTE(SUBSTITUTE(SUBSTITUTE(SUBSTITUTE(A30,"/"," "),"."," "),"\"," "),"_"," "))&amp;" ")),1,0))+IF(Task!$A$9="",0,IF(ISNUMBER(SEARCH(" "&amp;Task!$A$9&amp;" "," "&amp;LOWER(SUBSTITUTE(SUBSTITUTE(SUBSTITUTE(SUBSTITUTE(A30,"/"," "),"."," "),"\"," "),"_"," "))&amp;" ")),1,0))+IF(Task!$A$10="",0,IF(ISNUMBER(SEARCH(" "&amp;Task!$A$10&amp;" "," "&amp;LOWER(SUBSTITUTE(SUBSTITUTE(SUBSTITUTE(SUBSTITUTE(A30,"/"," "),"."," "),"\"," "),"_"," "))&amp;" ")),1,0))+IF(Task!$A$11="",0,IF(ISNUMBER(SEARCH(" "&amp;Task!$A$11&amp;" "," "&amp;LOWER(SUBSTITUTE(SUBSTITUTE(SUBSTITUTE(SUBSTITUTE(A30,"/"," "),"."," "),"\"," "),"_"," "))&amp;" ")),1,0))+IF(Task!$A$12="",0,IF(ISNUMBER(SEARCH(" "&amp;Task!$A$12&amp;" "," "&amp;LOWER(SUBSTITUTE(SUBSTITUTE(SUBSTITUTE(SUBSTITUTE(A30,"/"," "),"."," "),"\"," "),"_"," "))&amp;" ")),1,0))+IF(Task!$A$13="",0,IF(ISNUMBER(SEARCH(" "&amp;Task!$A$13&amp;" "," "&amp;LOWER(SUBSTITUTE(SUBSTITUTE(SUBSTITUTE(SUBSTITUTE(A30,"/"," "),"."," "),"\"," "),"_"," "))&amp;" ")),1,0))+IF(Task!$A$14="",0,IF(ISNUMBER(SEARCH(" "&amp;Task!$A$14&amp;" "," "&amp;LOWER(SUBSTITUTE(SUBSTITUTE(SUBSTITUTE(SUBSTITUTE(A30,"/"," "),"."," "),"\"," "),"_"," "))&amp;" ")),1,0))+IF(Task!$A$15="",0,IF(ISNUMBER(SEARCH(" "&amp;Task!$A$15&amp;" "," "&amp;LOWER(SUBSTITUTE(SUBSTITUTE(SUBSTITUTE(SUBSTITUTE(A30,"/"," "),"."," "),"\"," "),"_"," "))&amp;" ")),1,0))+IF(Task!$A$16="",0,IF(ISNUMBER(SEARCH(" "&amp;Task!$A$16&amp;" "," "&amp;LOWER(SUBSTITUTE(SUBSTITUTE(SUBSTITUTE(SUBSTITUTE(A30,"/"," "),"."," "),"\"," "),"_"," "))&amp;" ")),1,0))+IF(Task!$A$17="",0,IF(ISNUMBER(SEARCH(" "&amp;Task!$A$17&amp;" "," "&amp;LOWER(SUBSTITUTE(SUBSTITUTE(SUBSTITUTE(SUBSTITUTE(A30,"/"," "),"."," "),"\"," "),"_"," "))&amp;" ")),1,0))+IF(Task!$A$18="",0,IF(ISNUMBER(SEARCH(" "&amp;Task!$A$18&amp;" "," "&amp;LOWER(SUBSTITUTE(SUBSTITUTE(SUBSTITUTE(SUBSTITUTE(A30,"/"," "),"."," "),"\"," "),"_"," "))&amp;" ")),1,0))+IF(Task!$A$19="",0,IF(ISNUMBER(SEARCH(" "&amp;Task!$A$19&amp;" "," "&amp;LOWER(SUBSTITUTE(SUBSTITUTE(SUBSTITUTE(SUBSTITUTE(A30,"/"," "),"."," "),"\"," "),"_"," "))&amp;" ")),1,0)))</f>
        <v/>
      </c>
      <c r="I30" s="10">
        <f>IF(OR(E30=0,F30=0,Task!$B$21=0),"",F30/Task!$B$21+0.5*G30+0.25*H30)</f>
        <v/>
      </c>
      <c r="J30" s="5">
        <f>IF(I30="","",I30-ROW()/1000000)</f>
        <v/>
      </c>
      <c r="K30" s="9">
        <f>IF(J30="","",COUNTIF($J$5:$J$404,"&gt;"&amp;J30)+1)</f>
        <v/>
      </c>
    </row>
    <row r="31">
      <c r="A31" s="7" t="n"/>
      <c r="B31" s="7" t="n"/>
      <c r="C31" s="7" t="n"/>
      <c r="D31" s="7" t="n"/>
      <c r="E31" s="5">
        <f>IF(A31="",0,IF(COUNTA(Task!$B$5:$E$5)=0,1,IF(COUNTIF(Task!$B$5:$E$5,B31)&gt;0,1,0)))</f>
        <v/>
      </c>
      <c r="F31" s="9">
        <f>IF(E31=0,0,IF(Task!$A$8="",0,IF(ISNUMBER(SEARCH(" "&amp;Task!$A$8&amp;" "," "&amp;LOWER(D31&amp;" "&amp;C31&amp;" "&amp;LOWER(SUBSTITUTE(SUBSTITUTE(SUBSTITUTE(SUBSTITUTE(A31,"/"," "),"."," "),"\"," "),"_"," ")))&amp;" ")),1,0))+IF(Task!$A$9="",0,IF(ISNUMBER(SEARCH(" "&amp;Task!$A$9&amp;" "," "&amp;LOWER(D31&amp;" "&amp;C31&amp;" "&amp;LOWER(SUBSTITUTE(SUBSTITUTE(SUBSTITUTE(SUBSTITUTE(A31,"/"," "),"."," "),"\"," "),"_"," ")))&amp;" ")),1,0))+IF(Task!$A$10="",0,IF(ISNUMBER(SEARCH(" "&amp;Task!$A$10&amp;" "," "&amp;LOWER(D31&amp;" "&amp;C31&amp;" "&amp;LOWER(SUBSTITUTE(SUBSTITUTE(SUBSTITUTE(SUBSTITUTE(A31,"/"," "),"."," "),"\"," "),"_"," ")))&amp;" ")),1,0))+IF(Task!$A$11="",0,IF(ISNUMBER(SEARCH(" "&amp;Task!$A$11&amp;" "," "&amp;LOWER(D31&amp;" "&amp;C31&amp;" "&amp;LOWER(SUBSTITUTE(SUBSTITUTE(SUBSTITUTE(SUBSTITUTE(A31,"/"," "),"."," "),"\"," "),"_"," ")))&amp;" ")),1,0))+IF(Task!$A$12="",0,IF(ISNUMBER(SEARCH(" "&amp;Task!$A$12&amp;" "," "&amp;LOWER(D31&amp;" "&amp;C31&amp;" "&amp;LOWER(SUBSTITUTE(SUBSTITUTE(SUBSTITUTE(SUBSTITUTE(A31,"/"," "),"."," "),"\"," "),"_"," ")))&amp;" ")),1,0))+IF(Task!$A$13="",0,IF(ISNUMBER(SEARCH(" "&amp;Task!$A$13&amp;" "," "&amp;LOWER(D31&amp;" "&amp;C31&amp;" "&amp;LOWER(SUBSTITUTE(SUBSTITUTE(SUBSTITUTE(SUBSTITUTE(A31,"/"," "),"."," "),"\"," "),"_"," ")))&amp;" ")),1,0))+IF(Task!$A$14="",0,IF(ISNUMBER(SEARCH(" "&amp;Task!$A$14&amp;" "," "&amp;LOWER(D31&amp;" "&amp;C31&amp;" "&amp;LOWER(SUBSTITUTE(SUBSTITUTE(SUBSTITUTE(SUBSTITUTE(A31,"/"," "),"."," "),"\"," "),"_"," ")))&amp;" ")),1,0))+IF(Task!$A$15="",0,IF(ISNUMBER(SEARCH(" "&amp;Task!$A$15&amp;" "," "&amp;LOWER(D31&amp;" "&amp;C31&amp;" "&amp;LOWER(SUBSTITUTE(SUBSTITUTE(SUBSTITUTE(SUBSTITUTE(A31,"/"," "),"."," "),"\"," "),"_"," ")))&amp;" ")),1,0))+IF(Task!$A$16="",0,IF(ISNUMBER(SEARCH(" "&amp;Task!$A$16&amp;" "," "&amp;LOWER(D31&amp;" "&amp;C31&amp;" "&amp;LOWER(SUBSTITUTE(SUBSTITUTE(SUBSTITUTE(SUBSTITUTE(A31,"/"," "),"."," "),"\"," "),"_"," ")))&amp;" ")),1,0))+IF(Task!$A$17="",0,IF(ISNUMBER(SEARCH(" "&amp;Task!$A$17&amp;" "," "&amp;LOWER(D31&amp;" "&amp;C31&amp;" "&amp;LOWER(SUBSTITUTE(SUBSTITUTE(SUBSTITUTE(SUBSTITUTE(A31,"/"," "),"."," "),"\"," "),"_"," ")))&amp;" ")),1,0))+IF(Task!$A$18="",0,IF(ISNUMBER(SEARCH(" "&amp;Task!$A$18&amp;" "," "&amp;LOWER(D31&amp;" "&amp;C31&amp;" "&amp;LOWER(SUBSTITUTE(SUBSTITUTE(SUBSTITUTE(SUBSTITUTE(A31,"/"," "),"."," "),"\"," "),"_"," ")))&amp;" ")),1,0))+IF(Task!$A$19="",0,IF(ISNUMBER(SEARCH(" "&amp;Task!$A$19&amp;" "," "&amp;LOWER(D31&amp;" "&amp;C31&amp;" "&amp;LOWER(SUBSTITUTE(SUBSTITUTE(SUBSTITUTE(SUBSTITUTE(A31,"/"," "),"."," "),"\"," "),"_"," ")))&amp;" ")),1,0)))</f>
        <v/>
      </c>
      <c r="G31" s="9">
        <f>IF(E31=0,0,IF(Task!$A$8="",0,IF(ISNUMBER(SEARCH(" "&amp;Task!$A$8&amp;" "," "&amp;LOWER(C31)&amp;" ")),1,0))+IF(Task!$A$9="",0,IF(ISNUMBER(SEARCH(" "&amp;Task!$A$9&amp;" "," "&amp;LOWER(C31)&amp;" ")),1,0))+IF(Task!$A$10="",0,IF(ISNUMBER(SEARCH(" "&amp;Task!$A$10&amp;" "," "&amp;LOWER(C31)&amp;" ")),1,0))+IF(Task!$A$11="",0,IF(ISNUMBER(SEARCH(" "&amp;Task!$A$11&amp;" "," "&amp;LOWER(C31)&amp;" ")),1,0))+IF(Task!$A$12="",0,IF(ISNUMBER(SEARCH(" "&amp;Task!$A$12&amp;" "," "&amp;LOWER(C31)&amp;" ")),1,0))+IF(Task!$A$13="",0,IF(ISNUMBER(SEARCH(" "&amp;Task!$A$13&amp;" "," "&amp;LOWER(C31)&amp;" ")),1,0))+IF(Task!$A$14="",0,IF(ISNUMBER(SEARCH(" "&amp;Task!$A$14&amp;" "," "&amp;LOWER(C31)&amp;" ")),1,0))+IF(Task!$A$15="",0,IF(ISNUMBER(SEARCH(" "&amp;Task!$A$15&amp;" "," "&amp;LOWER(C31)&amp;" ")),1,0))+IF(Task!$A$16="",0,IF(ISNUMBER(SEARCH(" "&amp;Task!$A$16&amp;" "," "&amp;LOWER(C31)&amp;" ")),1,0))+IF(Task!$A$17="",0,IF(ISNUMBER(SEARCH(" "&amp;Task!$A$17&amp;" "," "&amp;LOWER(C31)&amp;" ")),1,0))+IF(Task!$A$18="",0,IF(ISNUMBER(SEARCH(" "&amp;Task!$A$18&amp;" "," "&amp;LOWER(C31)&amp;" ")),1,0))+IF(Task!$A$19="",0,IF(ISNUMBER(SEARCH(" "&amp;Task!$A$19&amp;" "," "&amp;LOWER(C31)&amp;" ")),1,0)))</f>
        <v/>
      </c>
      <c r="H31" s="9">
        <f>IF(E31=0,0,IF(Task!$A$8="",0,IF(ISNUMBER(SEARCH(" "&amp;Task!$A$8&amp;" "," "&amp;LOWER(SUBSTITUTE(SUBSTITUTE(SUBSTITUTE(SUBSTITUTE(A31,"/"," "),"."," "),"\"," "),"_"," "))&amp;" ")),1,0))+IF(Task!$A$9="",0,IF(ISNUMBER(SEARCH(" "&amp;Task!$A$9&amp;" "," "&amp;LOWER(SUBSTITUTE(SUBSTITUTE(SUBSTITUTE(SUBSTITUTE(A31,"/"," "),"."," "),"\"," "),"_"," "))&amp;" ")),1,0))+IF(Task!$A$10="",0,IF(ISNUMBER(SEARCH(" "&amp;Task!$A$10&amp;" "," "&amp;LOWER(SUBSTITUTE(SUBSTITUTE(SUBSTITUTE(SUBSTITUTE(A31,"/"," "),"."," "),"\"," "),"_"," "))&amp;" ")),1,0))+IF(Task!$A$11="",0,IF(ISNUMBER(SEARCH(" "&amp;Task!$A$11&amp;" "," "&amp;LOWER(SUBSTITUTE(SUBSTITUTE(SUBSTITUTE(SUBSTITUTE(A31,"/"," "),"."," "),"\"," "),"_"," "))&amp;" ")),1,0))+IF(Task!$A$12="",0,IF(ISNUMBER(SEARCH(" "&amp;Task!$A$12&amp;" "," "&amp;LOWER(SUBSTITUTE(SUBSTITUTE(SUBSTITUTE(SUBSTITUTE(A31,"/"," "),"."," "),"\"," "),"_"," "))&amp;" ")),1,0))+IF(Task!$A$13="",0,IF(ISNUMBER(SEARCH(" "&amp;Task!$A$13&amp;" "," "&amp;LOWER(SUBSTITUTE(SUBSTITUTE(SUBSTITUTE(SUBSTITUTE(A31,"/"," "),"."," "),"\"," "),"_"," "))&amp;" ")),1,0))+IF(Task!$A$14="",0,IF(ISNUMBER(SEARCH(" "&amp;Task!$A$14&amp;" "," "&amp;LOWER(SUBSTITUTE(SUBSTITUTE(SUBSTITUTE(SUBSTITUTE(A31,"/"," "),"."," "),"\"," "),"_"," "))&amp;" ")),1,0))+IF(Task!$A$15="",0,IF(ISNUMBER(SEARCH(" "&amp;Task!$A$15&amp;" "," "&amp;LOWER(SUBSTITUTE(SUBSTITUTE(SUBSTITUTE(SUBSTITUTE(A31,"/"," "),"."," "),"\"," "),"_"," "))&amp;" ")),1,0))+IF(Task!$A$16="",0,IF(ISNUMBER(SEARCH(" "&amp;Task!$A$16&amp;" "," "&amp;LOWER(SUBSTITUTE(SUBSTITUTE(SUBSTITUTE(SUBSTITUTE(A31,"/"," "),"."," "),"\"," "),"_"," "))&amp;" ")),1,0))+IF(Task!$A$17="",0,IF(ISNUMBER(SEARCH(" "&amp;Task!$A$17&amp;" "," "&amp;LOWER(SUBSTITUTE(SUBSTITUTE(SUBSTITUTE(SUBSTITUTE(A31,"/"," "),"."," "),"\"," "),"_"," "))&amp;" ")),1,0))+IF(Task!$A$18="",0,IF(ISNUMBER(SEARCH(" "&amp;Task!$A$18&amp;" "," "&amp;LOWER(SUBSTITUTE(SUBSTITUTE(SUBSTITUTE(SUBSTITUTE(A31,"/"," "),"."," "),"\"," "),"_"," "))&amp;" ")),1,0))+IF(Task!$A$19="",0,IF(ISNUMBER(SEARCH(" "&amp;Task!$A$19&amp;" "," "&amp;LOWER(SUBSTITUTE(SUBSTITUTE(SUBSTITUTE(SUBSTITUTE(A31,"/"," "),"."," "),"\"," "),"_"," "))&amp;" ")),1,0)))</f>
        <v/>
      </c>
      <c r="I31" s="10">
        <f>IF(OR(E31=0,F31=0,Task!$B$21=0),"",F31/Task!$B$21+0.5*G31+0.25*H31)</f>
        <v/>
      </c>
      <c r="J31" s="5">
        <f>IF(I31="","",I31-ROW()/1000000)</f>
        <v/>
      </c>
      <c r="K31" s="9">
        <f>IF(J31="","",COUNTIF($J$5:$J$404,"&gt;"&amp;J31)+1)</f>
        <v/>
      </c>
    </row>
    <row r="32">
      <c r="A32" s="7" t="n"/>
      <c r="B32" s="7" t="n"/>
      <c r="C32" s="7" t="n"/>
      <c r="D32" s="7" t="n"/>
      <c r="E32" s="5">
        <f>IF(A32="",0,IF(COUNTA(Task!$B$5:$E$5)=0,1,IF(COUNTIF(Task!$B$5:$E$5,B32)&gt;0,1,0)))</f>
        <v/>
      </c>
      <c r="F32" s="9">
        <f>IF(E32=0,0,IF(Task!$A$8="",0,IF(ISNUMBER(SEARCH(" "&amp;Task!$A$8&amp;" "," "&amp;LOWER(D32&amp;" "&amp;C32&amp;" "&amp;LOWER(SUBSTITUTE(SUBSTITUTE(SUBSTITUTE(SUBSTITUTE(A32,"/"," "),"."," "),"\"," "),"_"," ")))&amp;" ")),1,0))+IF(Task!$A$9="",0,IF(ISNUMBER(SEARCH(" "&amp;Task!$A$9&amp;" "," "&amp;LOWER(D32&amp;" "&amp;C32&amp;" "&amp;LOWER(SUBSTITUTE(SUBSTITUTE(SUBSTITUTE(SUBSTITUTE(A32,"/"," "),"."," "),"\"," "),"_"," ")))&amp;" ")),1,0))+IF(Task!$A$10="",0,IF(ISNUMBER(SEARCH(" "&amp;Task!$A$10&amp;" "," "&amp;LOWER(D32&amp;" "&amp;C32&amp;" "&amp;LOWER(SUBSTITUTE(SUBSTITUTE(SUBSTITUTE(SUBSTITUTE(A32,"/"," "),"."," "),"\"," "),"_"," ")))&amp;" ")),1,0))+IF(Task!$A$11="",0,IF(ISNUMBER(SEARCH(" "&amp;Task!$A$11&amp;" "," "&amp;LOWER(D32&amp;" "&amp;C32&amp;" "&amp;LOWER(SUBSTITUTE(SUBSTITUTE(SUBSTITUTE(SUBSTITUTE(A32,"/"," "),"."," "),"\"," "),"_"," ")))&amp;" ")),1,0))+IF(Task!$A$12="",0,IF(ISNUMBER(SEARCH(" "&amp;Task!$A$12&amp;" "," "&amp;LOWER(D32&amp;" "&amp;C32&amp;" "&amp;LOWER(SUBSTITUTE(SUBSTITUTE(SUBSTITUTE(SUBSTITUTE(A32,"/"," "),"."," "),"\"," "),"_"," ")))&amp;" ")),1,0))+IF(Task!$A$13="",0,IF(ISNUMBER(SEARCH(" "&amp;Task!$A$13&amp;" "," "&amp;LOWER(D32&amp;" "&amp;C32&amp;" "&amp;LOWER(SUBSTITUTE(SUBSTITUTE(SUBSTITUTE(SUBSTITUTE(A32,"/"," "),"."," "),"\"," "),"_"," ")))&amp;" ")),1,0))+IF(Task!$A$14="",0,IF(ISNUMBER(SEARCH(" "&amp;Task!$A$14&amp;" "," "&amp;LOWER(D32&amp;" "&amp;C32&amp;" "&amp;LOWER(SUBSTITUTE(SUBSTITUTE(SUBSTITUTE(SUBSTITUTE(A32,"/"," "),"."," "),"\"," "),"_"," ")))&amp;" ")),1,0))+IF(Task!$A$15="",0,IF(ISNUMBER(SEARCH(" "&amp;Task!$A$15&amp;" "," "&amp;LOWER(D32&amp;" "&amp;C32&amp;" "&amp;LOWER(SUBSTITUTE(SUBSTITUTE(SUBSTITUTE(SUBSTITUTE(A32,"/"," "),"."," "),"\"," "),"_"," ")))&amp;" ")),1,0))+IF(Task!$A$16="",0,IF(ISNUMBER(SEARCH(" "&amp;Task!$A$16&amp;" "," "&amp;LOWER(D32&amp;" "&amp;C32&amp;" "&amp;LOWER(SUBSTITUTE(SUBSTITUTE(SUBSTITUTE(SUBSTITUTE(A32,"/"," "),"."," "),"\"," "),"_"," ")))&amp;" ")),1,0))+IF(Task!$A$17="",0,IF(ISNUMBER(SEARCH(" "&amp;Task!$A$17&amp;" "," "&amp;LOWER(D32&amp;" "&amp;C32&amp;" "&amp;LOWER(SUBSTITUTE(SUBSTITUTE(SUBSTITUTE(SUBSTITUTE(A32,"/"," "),"."," "),"\"," "),"_"," ")))&amp;" ")),1,0))+IF(Task!$A$18="",0,IF(ISNUMBER(SEARCH(" "&amp;Task!$A$18&amp;" "," "&amp;LOWER(D32&amp;" "&amp;C32&amp;" "&amp;LOWER(SUBSTITUTE(SUBSTITUTE(SUBSTITUTE(SUBSTITUTE(A32,"/"," "),"."," "),"\"," "),"_"," ")))&amp;" ")),1,0))+IF(Task!$A$19="",0,IF(ISNUMBER(SEARCH(" "&amp;Task!$A$19&amp;" "," "&amp;LOWER(D32&amp;" "&amp;C32&amp;" "&amp;LOWER(SUBSTITUTE(SUBSTITUTE(SUBSTITUTE(SUBSTITUTE(A32,"/"," "),"."," "),"\"," "),"_"," ")))&amp;" ")),1,0)))</f>
        <v/>
      </c>
      <c r="G32" s="9">
        <f>IF(E32=0,0,IF(Task!$A$8="",0,IF(ISNUMBER(SEARCH(" "&amp;Task!$A$8&amp;" "," "&amp;LOWER(C32)&amp;" ")),1,0))+IF(Task!$A$9="",0,IF(ISNUMBER(SEARCH(" "&amp;Task!$A$9&amp;" "," "&amp;LOWER(C32)&amp;" ")),1,0))+IF(Task!$A$10="",0,IF(ISNUMBER(SEARCH(" "&amp;Task!$A$10&amp;" "," "&amp;LOWER(C32)&amp;" ")),1,0))+IF(Task!$A$11="",0,IF(ISNUMBER(SEARCH(" "&amp;Task!$A$11&amp;" "," "&amp;LOWER(C32)&amp;" ")),1,0))+IF(Task!$A$12="",0,IF(ISNUMBER(SEARCH(" "&amp;Task!$A$12&amp;" "," "&amp;LOWER(C32)&amp;" ")),1,0))+IF(Task!$A$13="",0,IF(ISNUMBER(SEARCH(" "&amp;Task!$A$13&amp;" "," "&amp;LOWER(C32)&amp;" ")),1,0))+IF(Task!$A$14="",0,IF(ISNUMBER(SEARCH(" "&amp;Task!$A$14&amp;" "," "&amp;LOWER(C32)&amp;" ")),1,0))+IF(Task!$A$15="",0,IF(ISNUMBER(SEARCH(" "&amp;Task!$A$15&amp;" "," "&amp;LOWER(C32)&amp;" ")),1,0))+IF(Task!$A$16="",0,IF(ISNUMBER(SEARCH(" "&amp;Task!$A$16&amp;" "," "&amp;LOWER(C32)&amp;" ")),1,0))+IF(Task!$A$17="",0,IF(ISNUMBER(SEARCH(" "&amp;Task!$A$17&amp;" "," "&amp;LOWER(C32)&amp;" ")),1,0))+IF(Task!$A$18="",0,IF(ISNUMBER(SEARCH(" "&amp;Task!$A$18&amp;" "," "&amp;LOWER(C32)&amp;" ")),1,0))+IF(Task!$A$19="",0,IF(ISNUMBER(SEARCH(" "&amp;Task!$A$19&amp;" "," "&amp;LOWER(C32)&amp;" ")),1,0)))</f>
        <v/>
      </c>
      <c r="H32" s="9">
        <f>IF(E32=0,0,IF(Task!$A$8="",0,IF(ISNUMBER(SEARCH(" "&amp;Task!$A$8&amp;" "," "&amp;LOWER(SUBSTITUTE(SUBSTITUTE(SUBSTITUTE(SUBSTITUTE(A32,"/"," "),"."," "),"\"," "),"_"," "))&amp;" ")),1,0))+IF(Task!$A$9="",0,IF(ISNUMBER(SEARCH(" "&amp;Task!$A$9&amp;" "," "&amp;LOWER(SUBSTITUTE(SUBSTITUTE(SUBSTITUTE(SUBSTITUTE(A32,"/"," "),"."," "),"\"," "),"_"," "))&amp;" ")),1,0))+IF(Task!$A$10="",0,IF(ISNUMBER(SEARCH(" "&amp;Task!$A$10&amp;" "," "&amp;LOWER(SUBSTITUTE(SUBSTITUTE(SUBSTITUTE(SUBSTITUTE(A32,"/"," "),"."," "),"\"," "),"_"," "))&amp;" ")),1,0))+IF(Task!$A$11="",0,IF(ISNUMBER(SEARCH(" "&amp;Task!$A$11&amp;" "," "&amp;LOWER(SUBSTITUTE(SUBSTITUTE(SUBSTITUTE(SUBSTITUTE(A32,"/"," "),"."," "),"\"," "),"_"," "))&amp;" ")),1,0))+IF(Task!$A$12="",0,IF(ISNUMBER(SEARCH(" "&amp;Task!$A$12&amp;" "," "&amp;LOWER(SUBSTITUTE(SUBSTITUTE(SUBSTITUTE(SUBSTITUTE(A32,"/"," "),"."," "),"\"," "),"_"," "))&amp;" ")),1,0))+IF(Task!$A$13="",0,IF(ISNUMBER(SEARCH(" "&amp;Task!$A$13&amp;" "," "&amp;LOWER(SUBSTITUTE(SUBSTITUTE(SUBSTITUTE(SUBSTITUTE(A32,"/"," "),"."," "),"\"," "),"_"," "))&amp;" ")),1,0))+IF(Task!$A$14="",0,IF(ISNUMBER(SEARCH(" "&amp;Task!$A$14&amp;" "," "&amp;LOWER(SUBSTITUTE(SUBSTITUTE(SUBSTITUTE(SUBSTITUTE(A32,"/"," "),"."," "),"\"," "),"_"," "))&amp;" ")),1,0))+IF(Task!$A$15="",0,IF(ISNUMBER(SEARCH(" "&amp;Task!$A$15&amp;" "," "&amp;LOWER(SUBSTITUTE(SUBSTITUTE(SUBSTITUTE(SUBSTITUTE(A32,"/"," "),"."," "),"\"," "),"_"," "))&amp;" ")),1,0))+IF(Task!$A$16="",0,IF(ISNUMBER(SEARCH(" "&amp;Task!$A$16&amp;" "," "&amp;LOWER(SUBSTITUTE(SUBSTITUTE(SUBSTITUTE(SUBSTITUTE(A32,"/"," "),"."," "),"\"," "),"_"," "))&amp;" ")),1,0))+IF(Task!$A$17="",0,IF(ISNUMBER(SEARCH(" "&amp;Task!$A$17&amp;" "," "&amp;LOWER(SUBSTITUTE(SUBSTITUTE(SUBSTITUTE(SUBSTITUTE(A32,"/"," "),"."," "),"\"," "),"_"," "))&amp;" ")),1,0))+IF(Task!$A$18="",0,IF(ISNUMBER(SEARCH(" "&amp;Task!$A$18&amp;" "," "&amp;LOWER(SUBSTITUTE(SUBSTITUTE(SUBSTITUTE(SUBSTITUTE(A32,"/"," "),"."," "),"\"," "),"_"," "))&amp;" ")),1,0))+IF(Task!$A$19="",0,IF(ISNUMBER(SEARCH(" "&amp;Task!$A$19&amp;" "," "&amp;LOWER(SUBSTITUTE(SUBSTITUTE(SUBSTITUTE(SUBSTITUTE(A32,"/"," "),"."," "),"\"," "),"_"," "))&amp;" ")),1,0)))</f>
        <v/>
      </c>
      <c r="I32" s="10">
        <f>IF(OR(E32=0,F32=0,Task!$B$21=0),"",F32/Task!$B$21+0.5*G32+0.25*H32)</f>
        <v/>
      </c>
      <c r="J32" s="5">
        <f>IF(I32="","",I32-ROW()/1000000)</f>
        <v/>
      </c>
      <c r="K32" s="9">
        <f>IF(J32="","",COUNTIF($J$5:$J$404,"&gt;"&amp;J32)+1)</f>
        <v/>
      </c>
    </row>
    <row r="33">
      <c r="A33" s="7" t="n"/>
      <c r="B33" s="7" t="n"/>
      <c r="C33" s="7" t="n"/>
      <c r="D33" s="7" t="n"/>
      <c r="E33" s="5">
        <f>IF(A33="",0,IF(COUNTA(Task!$B$5:$E$5)=0,1,IF(COUNTIF(Task!$B$5:$E$5,B33)&gt;0,1,0)))</f>
        <v/>
      </c>
      <c r="F33" s="9">
        <f>IF(E33=0,0,IF(Task!$A$8="",0,IF(ISNUMBER(SEARCH(" "&amp;Task!$A$8&amp;" "," "&amp;LOWER(D33&amp;" "&amp;C33&amp;" "&amp;LOWER(SUBSTITUTE(SUBSTITUTE(SUBSTITUTE(SUBSTITUTE(A33,"/"," "),"."," "),"\"," "),"_"," ")))&amp;" ")),1,0))+IF(Task!$A$9="",0,IF(ISNUMBER(SEARCH(" "&amp;Task!$A$9&amp;" "," "&amp;LOWER(D33&amp;" "&amp;C33&amp;" "&amp;LOWER(SUBSTITUTE(SUBSTITUTE(SUBSTITUTE(SUBSTITUTE(A33,"/"," "),"."," "),"\"," "),"_"," ")))&amp;" ")),1,0))+IF(Task!$A$10="",0,IF(ISNUMBER(SEARCH(" "&amp;Task!$A$10&amp;" "," "&amp;LOWER(D33&amp;" "&amp;C33&amp;" "&amp;LOWER(SUBSTITUTE(SUBSTITUTE(SUBSTITUTE(SUBSTITUTE(A33,"/"," "),"."," "),"\"," "),"_"," ")))&amp;" ")),1,0))+IF(Task!$A$11="",0,IF(ISNUMBER(SEARCH(" "&amp;Task!$A$11&amp;" "," "&amp;LOWER(D33&amp;" "&amp;C33&amp;" "&amp;LOWER(SUBSTITUTE(SUBSTITUTE(SUBSTITUTE(SUBSTITUTE(A33,"/"," "),"."," "),"\"," "),"_"," ")))&amp;" ")),1,0))+IF(Task!$A$12="",0,IF(ISNUMBER(SEARCH(" "&amp;Task!$A$12&amp;" "," "&amp;LOWER(D33&amp;" "&amp;C33&amp;" "&amp;LOWER(SUBSTITUTE(SUBSTITUTE(SUBSTITUTE(SUBSTITUTE(A33,"/"," "),"."," "),"\"," "),"_"," ")))&amp;" ")),1,0))+IF(Task!$A$13="",0,IF(ISNUMBER(SEARCH(" "&amp;Task!$A$13&amp;" "," "&amp;LOWER(D33&amp;" "&amp;C33&amp;" "&amp;LOWER(SUBSTITUTE(SUBSTITUTE(SUBSTITUTE(SUBSTITUTE(A33,"/"," "),"."," "),"\"," "),"_"," ")))&amp;" ")),1,0))+IF(Task!$A$14="",0,IF(ISNUMBER(SEARCH(" "&amp;Task!$A$14&amp;" "," "&amp;LOWER(D33&amp;" "&amp;C33&amp;" "&amp;LOWER(SUBSTITUTE(SUBSTITUTE(SUBSTITUTE(SUBSTITUTE(A33,"/"," "),"."," "),"\"," "),"_"," ")))&amp;" ")),1,0))+IF(Task!$A$15="",0,IF(ISNUMBER(SEARCH(" "&amp;Task!$A$15&amp;" "," "&amp;LOWER(D33&amp;" "&amp;C33&amp;" "&amp;LOWER(SUBSTITUTE(SUBSTITUTE(SUBSTITUTE(SUBSTITUTE(A33,"/"," "),"."," "),"\"," "),"_"," ")))&amp;" ")),1,0))+IF(Task!$A$16="",0,IF(ISNUMBER(SEARCH(" "&amp;Task!$A$16&amp;" "," "&amp;LOWER(D33&amp;" "&amp;C33&amp;" "&amp;LOWER(SUBSTITUTE(SUBSTITUTE(SUBSTITUTE(SUBSTITUTE(A33,"/"," "),"."," "),"\"," "),"_"," ")))&amp;" ")),1,0))+IF(Task!$A$17="",0,IF(ISNUMBER(SEARCH(" "&amp;Task!$A$17&amp;" "," "&amp;LOWER(D33&amp;" "&amp;C33&amp;" "&amp;LOWER(SUBSTITUTE(SUBSTITUTE(SUBSTITUTE(SUBSTITUTE(A33,"/"," "),"."," "),"\"," "),"_"," ")))&amp;" ")),1,0))+IF(Task!$A$18="",0,IF(ISNUMBER(SEARCH(" "&amp;Task!$A$18&amp;" "," "&amp;LOWER(D33&amp;" "&amp;C33&amp;" "&amp;LOWER(SUBSTITUTE(SUBSTITUTE(SUBSTITUTE(SUBSTITUTE(A33,"/"," "),"."," "),"\"," "),"_"," ")))&amp;" ")),1,0))+IF(Task!$A$19="",0,IF(ISNUMBER(SEARCH(" "&amp;Task!$A$19&amp;" "," "&amp;LOWER(D33&amp;" "&amp;C33&amp;" "&amp;LOWER(SUBSTITUTE(SUBSTITUTE(SUBSTITUTE(SUBSTITUTE(A33,"/"," "),"."," "),"\"," "),"_"," ")))&amp;" ")),1,0)))</f>
        <v/>
      </c>
      <c r="G33" s="9">
        <f>IF(E33=0,0,IF(Task!$A$8="",0,IF(ISNUMBER(SEARCH(" "&amp;Task!$A$8&amp;" "," "&amp;LOWER(C33)&amp;" ")),1,0))+IF(Task!$A$9="",0,IF(ISNUMBER(SEARCH(" "&amp;Task!$A$9&amp;" "," "&amp;LOWER(C33)&amp;" ")),1,0))+IF(Task!$A$10="",0,IF(ISNUMBER(SEARCH(" "&amp;Task!$A$10&amp;" "," "&amp;LOWER(C33)&amp;" ")),1,0))+IF(Task!$A$11="",0,IF(ISNUMBER(SEARCH(" "&amp;Task!$A$11&amp;" "," "&amp;LOWER(C33)&amp;" ")),1,0))+IF(Task!$A$12="",0,IF(ISNUMBER(SEARCH(" "&amp;Task!$A$12&amp;" "," "&amp;LOWER(C33)&amp;" ")),1,0))+IF(Task!$A$13="",0,IF(ISNUMBER(SEARCH(" "&amp;Task!$A$13&amp;" "," "&amp;LOWER(C33)&amp;" ")),1,0))+IF(Task!$A$14="",0,IF(ISNUMBER(SEARCH(" "&amp;Task!$A$14&amp;" "," "&amp;LOWER(C33)&amp;" ")),1,0))+IF(Task!$A$15="",0,IF(ISNUMBER(SEARCH(" "&amp;Task!$A$15&amp;" "," "&amp;LOWER(C33)&amp;" ")),1,0))+IF(Task!$A$16="",0,IF(ISNUMBER(SEARCH(" "&amp;Task!$A$16&amp;" "," "&amp;LOWER(C33)&amp;" ")),1,0))+IF(Task!$A$17="",0,IF(ISNUMBER(SEARCH(" "&amp;Task!$A$17&amp;" "," "&amp;LOWER(C33)&amp;" ")),1,0))+IF(Task!$A$18="",0,IF(ISNUMBER(SEARCH(" "&amp;Task!$A$18&amp;" "," "&amp;LOWER(C33)&amp;" ")),1,0))+IF(Task!$A$19="",0,IF(ISNUMBER(SEARCH(" "&amp;Task!$A$19&amp;" "," "&amp;LOWER(C33)&amp;" ")),1,0)))</f>
        <v/>
      </c>
      <c r="H33" s="9">
        <f>IF(E33=0,0,IF(Task!$A$8="",0,IF(ISNUMBER(SEARCH(" "&amp;Task!$A$8&amp;" "," "&amp;LOWER(SUBSTITUTE(SUBSTITUTE(SUBSTITUTE(SUBSTITUTE(A33,"/"," "),"."," "),"\"," "),"_"," "))&amp;" ")),1,0))+IF(Task!$A$9="",0,IF(ISNUMBER(SEARCH(" "&amp;Task!$A$9&amp;" "," "&amp;LOWER(SUBSTITUTE(SUBSTITUTE(SUBSTITUTE(SUBSTITUTE(A33,"/"," "),"."," "),"\"," "),"_"," "))&amp;" ")),1,0))+IF(Task!$A$10="",0,IF(ISNUMBER(SEARCH(" "&amp;Task!$A$10&amp;" "," "&amp;LOWER(SUBSTITUTE(SUBSTITUTE(SUBSTITUTE(SUBSTITUTE(A33,"/"," "),"."," "),"\"," "),"_"," "))&amp;" ")),1,0))+IF(Task!$A$11="",0,IF(ISNUMBER(SEARCH(" "&amp;Task!$A$11&amp;" "," "&amp;LOWER(SUBSTITUTE(SUBSTITUTE(SUBSTITUTE(SUBSTITUTE(A33,"/"," "),"."," "),"\"," "),"_"," "))&amp;" ")),1,0))+IF(Task!$A$12="",0,IF(ISNUMBER(SEARCH(" "&amp;Task!$A$12&amp;" "," "&amp;LOWER(SUBSTITUTE(SUBSTITUTE(SUBSTITUTE(SUBSTITUTE(A33,"/"," "),"."," "),"\"," "),"_"," "))&amp;" ")),1,0))+IF(Task!$A$13="",0,IF(ISNUMBER(SEARCH(" "&amp;Task!$A$13&amp;" "," "&amp;LOWER(SUBSTITUTE(SUBSTITUTE(SUBSTITUTE(SUBSTITUTE(A33,"/"," "),"."," "),"\"," "),"_"," "))&amp;" ")),1,0))+IF(Task!$A$14="",0,IF(ISNUMBER(SEARCH(" "&amp;Task!$A$14&amp;" "," "&amp;LOWER(SUBSTITUTE(SUBSTITUTE(SUBSTITUTE(SUBSTITUTE(A33,"/"," "),"."," "),"\"," "),"_"," "))&amp;" ")),1,0))+IF(Task!$A$15="",0,IF(ISNUMBER(SEARCH(" "&amp;Task!$A$15&amp;" "," "&amp;LOWER(SUBSTITUTE(SUBSTITUTE(SUBSTITUTE(SUBSTITUTE(A33,"/"," "),"."," "),"\"," "),"_"," "))&amp;" ")),1,0))+IF(Task!$A$16="",0,IF(ISNUMBER(SEARCH(" "&amp;Task!$A$16&amp;" "," "&amp;LOWER(SUBSTITUTE(SUBSTITUTE(SUBSTITUTE(SUBSTITUTE(A33,"/"," "),"."," "),"\"," "),"_"," "))&amp;" ")),1,0))+IF(Task!$A$17="",0,IF(ISNUMBER(SEARCH(" "&amp;Task!$A$17&amp;" "," "&amp;LOWER(SUBSTITUTE(SUBSTITUTE(SUBSTITUTE(SUBSTITUTE(A33,"/"," "),"."," "),"\"," "),"_"," "))&amp;" ")),1,0))+IF(Task!$A$18="",0,IF(ISNUMBER(SEARCH(" "&amp;Task!$A$18&amp;" "," "&amp;LOWER(SUBSTITUTE(SUBSTITUTE(SUBSTITUTE(SUBSTITUTE(A33,"/"," "),"."," "),"\"," "),"_"," "))&amp;" ")),1,0))+IF(Task!$A$19="",0,IF(ISNUMBER(SEARCH(" "&amp;Task!$A$19&amp;" "," "&amp;LOWER(SUBSTITUTE(SUBSTITUTE(SUBSTITUTE(SUBSTITUTE(A33,"/"," "),"."," "),"\"," "),"_"," "))&amp;" ")),1,0)))</f>
        <v/>
      </c>
      <c r="I33" s="10">
        <f>IF(OR(E33=0,F33=0,Task!$B$21=0),"",F33/Task!$B$21+0.5*G33+0.25*H33)</f>
        <v/>
      </c>
      <c r="J33" s="5">
        <f>IF(I33="","",I33-ROW()/1000000)</f>
        <v/>
      </c>
      <c r="K33" s="9">
        <f>IF(J33="","",COUNTIF($J$5:$J$404,"&gt;"&amp;J33)+1)</f>
        <v/>
      </c>
    </row>
    <row r="34">
      <c r="A34" s="7" t="n"/>
      <c r="B34" s="7" t="n"/>
      <c r="C34" s="7" t="n"/>
      <c r="D34" s="7" t="n"/>
      <c r="E34" s="5">
        <f>IF(A34="",0,IF(COUNTA(Task!$B$5:$E$5)=0,1,IF(COUNTIF(Task!$B$5:$E$5,B34)&gt;0,1,0)))</f>
        <v/>
      </c>
      <c r="F34" s="9">
        <f>IF(E34=0,0,IF(Task!$A$8="",0,IF(ISNUMBER(SEARCH(" "&amp;Task!$A$8&amp;" "," "&amp;LOWER(D34&amp;" "&amp;C34&amp;" "&amp;LOWER(SUBSTITUTE(SUBSTITUTE(SUBSTITUTE(SUBSTITUTE(A34,"/"," "),"."," "),"\"," "),"_"," ")))&amp;" ")),1,0))+IF(Task!$A$9="",0,IF(ISNUMBER(SEARCH(" "&amp;Task!$A$9&amp;" "," "&amp;LOWER(D34&amp;" "&amp;C34&amp;" "&amp;LOWER(SUBSTITUTE(SUBSTITUTE(SUBSTITUTE(SUBSTITUTE(A34,"/"," "),"."," "),"\"," "),"_"," ")))&amp;" ")),1,0))+IF(Task!$A$10="",0,IF(ISNUMBER(SEARCH(" "&amp;Task!$A$10&amp;" "," "&amp;LOWER(D34&amp;" "&amp;C34&amp;" "&amp;LOWER(SUBSTITUTE(SUBSTITUTE(SUBSTITUTE(SUBSTITUTE(A34,"/"," "),"."," "),"\"," "),"_"," ")))&amp;" ")),1,0))+IF(Task!$A$11="",0,IF(ISNUMBER(SEARCH(" "&amp;Task!$A$11&amp;" "," "&amp;LOWER(D34&amp;" "&amp;C34&amp;" "&amp;LOWER(SUBSTITUTE(SUBSTITUTE(SUBSTITUTE(SUBSTITUTE(A34,"/"," "),"."," "),"\"," "),"_"," ")))&amp;" ")),1,0))+IF(Task!$A$12="",0,IF(ISNUMBER(SEARCH(" "&amp;Task!$A$12&amp;" "," "&amp;LOWER(D34&amp;" "&amp;C34&amp;" "&amp;LOWER(SUBSTITUTE(SUBSTITUTE(SUBSTITUTE(SUBSTITUTE(A34,"/"," "),"."," "),"\"," "),"_"," ")))&amp;" ")),1,0))+IF(Task!$A$13="",0,IF(ISNUMBER(SEARCH(" "&amp;Task!$A$13&amp;" "," "&amp;LOWER(D34&amp;" "&amp;C34&amp;" "&amp;LOWER(SUBSTITUTE(SUBSTITUTE(SUBSTITUTE(SUBSTITUTE(A34,"/"," "),"."," "),"\"," "),"_"," ")))&amp;" ")),1,0))+IF(Task!$A$14="",0,IF(ISNUMBER(SEARCH(" "&amp;Task!$A$14&amp;" "," "&amp;LOWER(D34&amp;" "&amp;C34&amp;" "&amp;LOWER(SUBSTITUTE(SUBSTITUTE(SUBSTITUTE(SUBSTITUTE(A34,"/"," "),"."," "),"\"," "),"_"," ")))&amp;" ")),1,0))+IF(Task!$A$15="",0,IF(ISNUMBER(SEARCH(" "&amp;Task!$A$15&amp;" "," "&amp;LOWER(D34&amp;" "&amp;C34&amp;" "&amp;LOWER(SUBSTITUTE(SUBSTITUTE(SUBSTITUTE(SUBSTITUTE(A34,"/"," "),"."," "),"\"," "),"_"," ")))&amp;" ")),1,0))+IF(Task!$A$16="",0,IF(ISNUMBER(SEARCH(" "&amp;Task!$A$16&amp;" "," "&amp;LOWER(D34&amp;" "&amp;C34&amp;" "&amp;LOWER(SUBSTITUTE(SUBSTITUTE(SUBSTITUTE(SUBSTITUTE(A34,"/"," "),"."," "),"\"," "),"_"," ")))&amp;" ")),1,0))+IF(Task!$A$17="",0,IF(ISNUMBER(SEARCH(" "&amp;Task!$A$17&amp;" "," "&amp;LOWER(D34&amp;" "&amp;C34&amp;" "&amp;LOWER(SUBSTITUTE(SUBSTITUTE(SUBSTITUTE(SUBSTITUTE(A34,"/"," "),"."," "),"\"," "),"_"," ")))&amp;" ")),1,0))+IF(Task!$A$18="",0,IF(ISNUMBER(SEARCH(" "&amp;Task!$A$18&amp;" "," "&amp;LOWER(D34&amp;" "&amp;C34&amp;" "&amp;LOWER(SUBSTITUTE(SUBSTITUTE(SUBSTITUTE(SUBSTITUTE(A34,"/"," "),"."," "),"\"," "),"_"," ")))&amp;" ")),1,0))+IF(Task!$A$19="",0,IF(ISNUMBER(SEARCH(" "&amp;Task!$A$19&amp;" "," "&amp;LOWER(D34&amp;" "&amp;C34&amp;" "&amp;LOWER(SUBSTITUTE(SUBSTITUTE(SUBSTITUTE(SUBSTITUTE(A34,"/"," "),"."," "),"\"," "),"_"," ")))&amp;" ")),1,0)))</f>
        <v/>
      </c>
      <c r="G34" s="9">
        <f>IF(E34=0,0,IF(Task!$A$8="",0,IF(ISNUMBER(SEARCH(" "&amp;Task!$A$8&amp;" "," "&amp;LOWER(C34)&amp;" ")),1,0))+IF(Task!$A$9="",0,IF(ISNUMBER(SEARCH(" "&amp;Task!$A$9&amp;" "," "&amp;LOWER(C34)&amp;" ")),1,0))+IF(Task!$A$10="",0,IF(ISNUMBER(SEARCH(" "&amp;Task!$A$10&amp;" "," "&amp;LOWER(C34)&amp;" ")),1,0))+IF(Task!$A$11="",0,IF(ISNUMBER(SEARCH(" "&amp;Task!$A$11&amp;" "," "&amp;LOWER(C34)&amp;" ")),1,0))+IF(Task!$A$12="",0,IF(ISNUMBER(SEARCH(" "&amp;Task!$A$12&amp;" "," "&amp;LOWER(C34)&amp;" ")),1,0))+IF(Task!$A$13="",0,IF(ISNUMBER(SEARCH(" "&amp;Task!$A$13&amp;" "," "&amp;LOWER(C34)&amp;" ")),1,0))+IF(Task!$A$14="",0,IF(ISNUMBER(SEARCH(" "&amp;Task!$A$14&amp;" "," "&amp;LOWER(C34)&amp;" ")),1,0))+IF(Task!$A$15="",0,IF(ISNUMBER(SEARCH(" "&amp;Task!$A$15&amp;" "," "&amp;LOWER(C34)&amp;" ")),1,0))+IF(Task!$A$16="",0,IF(ISNUMBER(SEARCH(" "&amp;Task!$A$16&amp;" "," "&amp;LOWER(C34)&amp;" ")),1,0))+IF(Task!$A$17="",0,IF(ISNUMBER(SEARCH(" "&amp;Task!$A$17&amp;" "," "&amp;LOWER(C34)&amp;" ")),1,0))+IF(Task!$A$18="",0,IF(ISNUMBER(SEARCH(" "&amp;Task!$A$18&amp;" "," "&amp;LOWER(C34)&amp;" ")),1,0))+IF(Task!$A$19="",0,IF(ISNUMBER(SEARCH(" "&amp;Task!$A$19&amp;" "," "&amp;LOWER(C34)&amp;" ")),1,0)))</f>
        <v/>
      </c>
      <c r="H34" s="9">
        <f>IF(E34=0,0,IF(Task!$A$8="",0,IF(ISNUMBER(SEARCH(" "&amp;Task!$A$8&amp;" "," "&amp;LOWER(SUBSTITUTE(SUBSTITUTE(SUBSTITUTE(SUBSTITUTE(A34,"/"," "),"."," "),"\"," "),"_"," "))&amp;" ")),1,0))+IF(Task!$A$9="",0,IF(ISNUMBER(SEARCH(" "&amp;Task!$A$9&amp;" "," "&amp;LOWER(SUBSTITUTE(SUBSTITUTE(SUBSTITUTE(SUBSTITUTE(A34,"/"," "),"."," "),"\"," "),"_"," "))&amp;" ")),1,0))+IF(Task!$A$10="",0,IF(ISNUMBER(SEARCH(" "&amp;Task!$A$10&amp;" "," "&amp;LOWER(SUBSTITUTE(SUBSTITUTE(SUBSTITUTE(SUBSTITUTE(A34,"/"," "),"."," "),"\"," "),"_"," "))&amp;" ")),1,0))+IF(Task!$A$11="",0,IF(ISNUMBER(SEARCH(" "&amp;Task!$A$11&amp;" "," "&amp;LOWER(SUBSTITUTE(SUBSTITUTE(SUBSTITUTE(SUBSTITUTE(A34,"/"," "),"."," "),"\"," "),"_"," "))&amp;" ")),1,0))+IF(Task!$A$12="",0,IF(ISNUMBER(SEARCH(" "&amp;Task!$A$12&amp;" "," "&amp;LOWER(SUBSTITUTE(SUBSTITUTE(SUBSTITUTE(SUBSTITUTE(A34,"/"," "),"."," "),"\"," "),"_"," "))&amp;" ")),1,0))+IF(Task!$A$13="",0,IF(ISNUMBER(SEARCH(" "&amp;Task!$A$13&amp;" "," "&amp;LOWER(SUBSTITUTE(SUBSTITUTE(SUBSTITUTE(SUBSTITUTE(A34,"/"," "),"."," "),"\"," "),"_"," "))&amp;" ")),1,0))+IF(Task!$A$14="",0,IF(ISNUMBER(SEARCH(" "&amp;Task!$A$14&amp;" "," "&amp;LOWER(SUBSTITUTE(SUBSTITUTE(SUBSTITUTE(SUBSTITUTE(A34,"/"," "),"."," "),"\"," "),"_"," "))&amp;" ")),1,0))+IF(Task!$A$15="",0,IF(ISNUMBER(SEARCH(" "&amp;Task!$A$15&amp;" "," "&amp;LOWER(SUBSTITUTE(SUBSTITUTE(SUBSTITUTE(SUBSTITUTE(A34,"/"," "),"."," "),"\"," "),"_"," "))&amp;" ")),1,0))+IF(Task!$A$16="",0,IF(ISNUMBER(SEARCH(" "&amp;Task!$A$16&amp;" "," "&amp;LOWER(SUBSTITUTE(SUBSTITUTE(SUBSTITUTE(SUBSTITUTE(A34,"/"," "),"."," "),"\"," "),"_"," "))&amp;" ")),1,0))+IF(Task!$A$17="",0,IF(ISNUMBER(SEARCH(" "&amp;Task!$A$17&amp;" "," "&amp;LOWER(SUBSTITUTE(SUBSTITUTE(SUBSTITUTE(SUBSTITUTE(A34,"/"," "),"."," "),"\"," "),"_"," "))&amp;" ")),1,0))+IF(Task!$A$18="",0,IF(ISNUMBER(SEARCH(" "&amp;Task!$A$18&amp;" "," "&amp;LOWER(SUBSTITUTE(SUBSTITUTE(SUBSTITUTE(SUBSTITUTE(A34,"/"," "),"."," "),"\"," "),"_"," "))&amp;" ")),1,0))+IF(Task!$A$19="",0,IF(ISNUMBER(SEARCH(" "&amp;Task!$A$19&amp;" "," "&amp;LOWER(SUBSTITUTE(SUBSTITUTE(SUBSTITUTE(SUBSTITUTE(A34,"/"," "),"."," "),"\"," "),"_"," "))&amp;" ")),1,0)))</f>
        <v/>
      </c>
      <c r="I34" s="10">
        <f>IF(OR(E34=0,F34=0,Task!$B$21=0),"",F34/Task!$B$21+0.5*G34+0.25*H34)</f>
        <v/>
      </c>
      <c r="J34" s="5">
        <f>IF(I34="","",I34-ROW()/1000000)</f>
        <v/>
      </c>
      <c r="K34" s="9">
        <f>IF(J34="","",COUNTIF($J$5:$J$404,"&gt;"&amp;J34)+1)</f>
        <v/>
      </c>
    </row>
    <row r="35">
      <c r="A35" s="7" t="n"/>
      <c r="B35" s="7" t="n"/>
      <c r="C35" s="7" t="n"/>
      <c r="D35" s="7" t="n"/>
      <c r="E35" s="5">
        <f>IF(A35="",0,IF(COUNTA(Task!$B$5:$E$5)=0,1,IF(COUNTIF(Task!$B$5:$E$5,B35)&gt;0,1,0)))</f>
        <v/>
      </c>
      <c r="F35" s="9">
        <f>IF(E35=0,0,IF(Task!$A$8="",0,IF(ISNUMBER(SEARCH(" "&amp;Task!$A$8&amp;" "," "&amp;LOWER(D35&amp;" "&amp;C35&amp;" "&amp;LOWER(SUBSTITUTE(SUBSTITUTE(SUBSTITUTE(SUBSTITUTE(A35,"/"," "),"."," "),"\"," "),"_"," ")))&amp;" ")),1,0))+IF(Task!$A$9="",0,IF(ISNUMBER(SEARCH(" "&amp;Task!$A$9&amp;" "," "&amp;LOWER(D35&amp;" "&amp;C35&amp;" "&amp;LOWER(SUBSTITUTE(SUBSTITUTE(SUBSTITUTE(SUBSTITUTE(A35,"/"," "),"."," "),"\"," "),"_"," ")))&amp;" ")),1,0))+IF(Task!$A$10="",0,IF(ISNUMBER(SEARCH(" "&amp;Task!$A$10&amp;" "," "&amp;LOWER(D35&amp;" "&amp;C35&amp;" "&amp;LOWER(SUBSTITUTE(SUBSTITUTE(SUBSTITUTE(SUBSTITUTE(A35,"/"," "),"."," "),"\"," "),"_"," ")))&amp;" ")),1,0))+IF(Task!$A$11="",0,IF(ISNUMBER(SEARCH(" "&amp;Task!$A$11&amp;" "," "&amp;LOWER(D35&amp;" "&amp;C35&amp;" "&amp;LOWER(SUBSTITUTE(SUBSTITUTE(SUBSTITUTE(SUBSTITUTE(A35,"/"," "),"."," "),"\"," "),"_"," ")))&amp;" ")),1,0))+IF(Task!$A$12="",0,IF(ISNUMBER(SEARCH(" "&amp;Task!$A$12&amp;" "," "&amp;LOWER(D35&amp;" "&amp;C35&amp;" "&amp;LOWER(SUBSTITUTE(SUBSTITUTE(SUBSTITUTE(SUBSTITUTE(A35,"/"," "),"."," "),"\"," "),"_"," ")))&amp;" ")),1,0))+IF(Task!$A$13="",0,IF(ISNUMBER(SEARCH(" "&amp;Task!$A$13&amp;" "," "&amp;LOWER(D35&amp;" "&amp;C35&amp;" "&amp;LOWER(SUBSTITUTE(SUBSTITUTE(SUBSTITUTE(SUBSTITUTE(A35,"/"," "),"."," "),"\"," "),"_"," ")))&amp;" ")),1,0))+IF(Task!$A$14="",0,IF(ISNUMBER(SEARCH(" "&amp;Task!$A$14&amp;" "," "&amp;LOWER(D35&amp;" "&amp;C35&amp;" "&amp;LOWER(SUBSTITUTE(SUBSTITUTE(SUBSTITUTE(SUBSTITUTE(A35,"/"," "),"."," "),"\"," "),"_"," ")))&amp;" ")),1,0))+IF(Task!$A$15="",0,IF(ISNUMBER(SEARCH(" "&amp;Task!$A$15&amp;" "," "&amp;LOWER(D35&amp;" "&amp;C35&amp;" "&amp;LOWER(SUBSTITUTE(SUBSTITUTE(SUBSTITUTE(SUBSTITUTE(A35,"/"," "),"."," "),"\"," "),"_"," ")))&amp;" ")),1,0))+IF(Task!$A$16="",0,IF(ISNUMBER(SEARCH(" "&amp;Task!$A$16&amp;" "," "&amp;LOWER(D35&amp;" "&amp;C35&amp;" "&amp;LOWER(SUBSTITUTE(SUBSTITUTE(SUBSTITUTE(SUBSTITUTE(A35,"/"," "),"."," "),"\"," "),"_"," ")))&amp;" ")),1,0))+IF(Task!$A$17="",0,IF(ISNUMBER(SEARCH(" "&amp;Task!$A$17&amp;" "," "&amp;LOWER(D35&amp;" "&amp;C35&amp;" "&amp;LOWER(SUBSTITUTE(SUBSTITUTE(SUBSTITUTE(SUBSTITUTE(A35,"/"," "),"."," "),"\"," "),"_"," ")))&amp;" ")),1,0))+IF(Task!$A$18="",0,IF(ISNUMBER(SEARCH(" "&amp;Task!$A$18&amp;" "," "&amp;LOWER(D35&amp;" "&amp;C35&amp;" "&amp;LOWER(SUBSTITUTE(SUBSTITUTE(SUBSTITUTE(SUBSTITUTE(A35,"/"," "),"."," "),"\"," "),"_"," ")))&amp;" ")),1,0))+IF(Task!$A$19="",0,IF(ISNUMBER(SEARCH(" "&amp;Task!$A$19&amp;" "," "&amp;LOWER(D35&amp;" "&amp;C35&amp;" "&amp;LOWER(SUBSTITUTE(SUBSTITUTE(SUBSTITUTE(SUBSTITUTE(A35,"/"," "),"."," "),"\"," "),"_"," ")))&amp;" ")),1,0)))</f>
        <v/>
      </c>
      <c r="G35" s="9">
        <f>IF(E35=0,0,IF(Task!$A$8="",0,IF(ISNUMBER(SEARCH(" "&amp;Task!$A$8&amp;" "," "&amp;LOWER(C35)&amp;" ")),1,0))+IF(Task!$A$9="",0,IF(ISNUMBER(SEARCH(" "&amp;Task!$A$9&amp;" "," "&amp;LOWER(C35)&amp;" ")),1,0))+IF(Task!$A$10="",0,IF(ISNUMBER(SEARCH(" "&amp;Task!$A$10&amp;" "," "&amp;LOWER(C35)&amp;" ")),1,0))+IF(Task!$A$11="",0,IF(ISNUMBER(SEARCH(" "&amp;Task!$A$11&amp;" "," "&amp;LOWER(C35)&amp;" ")),1,0))+IF(Task!$A$12="",0,IF(ISNUMBER(SEARCH(" "&amp;Task!$A$12&amp;" "," "&amp;LOWER(C35)&amp;" ")),1,0))+IF(Task!$A$13="",0,IF(ISNUMBER(SEARCH(" "&amp;Task!$A$13&amp;" "," "&amp;LOWER(C35)&amp;" ")),1,0))+IF(Task!$A$14="",0,IF(ISNUMBER(SEARCH(" "&amp;Task!$A$14&amp;" "," "&amp;LOWER(C35)&amp;" ")),1,0))+IF(Task!$A$15="",0,IF(ISNUMBER(SEARCH(" "&amp;Task!$A$15&amp;" "," "&amp;LOWER(C35)&amp;" ")),1,0))+IF(Task!$A$16="",0,IF(ISNUMBER(SEARCH(" "&amp;Task!$A$16&amp;" "," "&amp;LOWER(C35)&amp;" ")),1,0))+IF(Task!$A$17="",0,IF(ISNUMBER(SEARCH(" "&amp;Task!$A$17&amp;" "," "&amp;LOWER(C35)&amp;" ")),1,0))+IF(Task!$A$18="",0,IF(ISNUMBER(SEARCH(" "&amp;Task!$A$18&amp;" "," "&amp;LOWER(C35)&amp;" ")),1,0))+IF(Task!$A$19="",0,IF(ISNUMBER(SEARCH(" "&amp;Task!$A$19&amp;" "," "&amp;LOWER(C35)&amp;" ")),1,0)))</f>
        <v/>
      </c>
      <c r="H35" s="9">
        <f>IF(E35=0,0,IF(Task!$A$8="",0,IF(ISNUMBER(SEARCH(" "&amp;Task!$A$8&amp;" "," "&amp;LOWER(SUBSTITUTE(SUBSTITUTE(SUBSTITUTE(SUBSTITUTE(A35,"/"," "),"."," "),"\"," "),"_"," "))&amp;" ")),1,0))+IF(Task!$A$9="",0,IF(ISNUMBER(SEARCH(" "&amp;Task!$A$9&amp;" "," "&amp;LOWER(SUBSTITUTE(SUBSTITUTE(SUBSTITUTE(SUBSTITUTE(A35,"/"," "),"."," "),"\"," "),"_"," "))&amp;" ")),1,0))+IF(Task!$A$10="",0,IF(ISNUMBER(SEARCH(" "&amp;Task!$A$10&amp;" "," "&amp;LOWER(SUBSTITUTE(SUBSTITUTE(SUBSTITUTE(SUBSTITUTE(A35,"/"," "),"."," "),"\"," "),"_"," "))&amp;" ")),1,0))+IF(Task!$A$11="",0,IF(ISNUMBER(SEARCH(" "&amp;Task!$A$11&amp;" "," "&amp;LOWER(SUBSTITUTE(SUBSTITUTE(SUBSTITUTE(SUBSTITUTE(A35,"/"," "),"."," "),"\"," "),"_"," "))&amp;" ")),1,0))+IF(Task!$A$12="",0,IF(ISNUMBER(SEARCH(" "&amp;Task!$A$12&amp;" "," "&amp;LOWER(SUBSTITUTE(SUBSTITUTE(SUBSTITUTE(SUBSTITUTE(A35,"/"," "),"."," "),"\"," "),"_"," "))&amp;" ")),1,0))+IF(Task!$A$13="",0,IF(ISNUMBER(SEARCH(" "&amp;Task!$A$13&amp;" "," "&amp;LOWER(SUBSTITUTE(SUBSTITUTE(SUBSTITUTE(SUBSTITUTE(A35,"/"," "),"."," "),"\"," "),"_"," "))&amp;" ")),1,0))+IF(Task!$A$14="",0,IF(ISNUMBER(SEARCH(" "&amp;Task!$A$14&amp;" "," "&amp;LOWER(SUBSTITUTE(SUBSTITUTE(SUBSTITUTE(SUBSTITUTE(A35,"/"," "),"."," "),"\"," "),"_"," "))&amp;" ")),1,0))+IF(Task!$A$15="",0,IF(ISNUMBER(SEARCH(" "&amp;Task!$A$15&amp;" "," "&amp;LOWER(SUBSTITUTE(SUBSTITUTE(SUBSTITUTE(SUBSTITUTE(A35,"/"," "),"."," "),"\"," "),"_"," "))&amp;" ")),1,0))+IF(Task!$A$16="",0,IF(ISNUMBER(SEARCH(" "&amp;Task!$A$16&amp;" "," "&amp;LOWER(SUBSTITUTE(SUBSTITUTE(SUBSTITUTE(SUBSTITUTE(A35,"/"," "),"."," "),"\"," "),"_"," "))&amp;" ")),1,0))+IF(Task!$A$17="",0,IF(ISNUMBER(SEARCH(" "&amp;Task!$A$17&amp;" "," "&amp;LOWER(SUBSTITUTE(SUBSTITUTE(SUBSTITUTE(SUBSTITUTE(A35,"/"," "),"."," "),"\"," "),"_"," "))&amp;" ")),1,0))+IF(Task!$A$18="",0,IF(ISNUMBER(SEARCH(" "&amp;Task!$A$18&amp;" "," "&amp;LOWER(SUBSTITUTE(SUBSTITUTE(SUBSTITUTE(SUBSTITUTE(A35,"/"," "),"."," "),"\"," "),"_"," "))&amp;" ")),1,0))+IF(Task!$A$19="",0,IF(ISNUMBER(SEARCH(" "&amp;Task!$A$19&amp;" "," "&amp;LOWER(SUBSTITUTE(SUBSTITUTE(SUBSTITUTE(SUBSTITUTE(A35,"/"," "),"."," "),"\"," "),"_"," "))&amp;" ")),1,0)))</f>
        <v/>
      </c>
      <c r="I35" s="10">
        <f>IF(OR(E35=0,F35=0,Task!$B$21=0),"",F35/Task!$B$21+0.5*G35+0.25*H35)</f>
        <v/>
      </c>
      <c r="J35" s="5">
        <f>IF(I35="","",I35-ROW()/1000000)</f>
        <v/>
      </c>
      <c r="K35" s="9">
        <f>IF(J35="","",COUNTIF($J$5:$J$404,"&gt;"&amp;J35)+1)</f>
        <v/>
      </c>
    </row>
    <row r="36">
      <c r="A36" s="7" t="n"/>
      <c r="B36" s="7" t="n"/>
      <c r="C36" s="7" t="n"/>
      <c r="D36" s="7" t="n"/>
      <c r="E36" s="5">
        <f>IF(A36="",0,IF(COUNTA(Task!$B$5:$E$5)=0,1,IF(COUNTIF(Task!$B$5:$E$5,B36)&gt;0,1,0)))</f>
        <v/>
      </c>
      <c r="F36" s="9">
        <f>IF(E36=0,0,IF(Task!$A$8="",0,IF(ISNUMBER(SEARCH(" "&amp;Task!$A$8&amp;" "," "&amp;LOWER(D36&amp;" "&amp;C36&amp;" "&amp;LOWER(SUBSTITUTE(SUBSTITUTE(SUBSTITUTE(SUBSTITUTE(A36,"/"," "),"."," "),"\"," "),"_"," ")))&amp;" ")),1,0))+IF(Task!$A$9="",0,IF(ISNUMBER(SEARCH(" "&amp;Task!$A$9&amp;" "," "&amp;LOWER(D36&amp;" "&amp;C36&amp;" "&amp;LOWER(SUBSTITUTE(SUBSTITUTE(SUBSTITUTE(SUBSTITUTE(A36,"/"," "),"."," "),"\"," "),"_"," ")))&amp;" ")),1,0))+IF(Task!$A$10="",0,IF(ISNUMBER(SEARCH(" "&amp;Task!$A$10&amp;" "," "&amp;LOWER(D36&amp;" "&amp;C36&amp;" "&amp;LOWER(SUBSTITUTE(SUBSTITUTE(SUBSTITUTE(SUBSTITUTE(A36,"/"," "),"."," "),"\"," "),"_"," ")))&amp;" ")),1,0))+IF(Task!$A$11="",0,IF(ISNUMBER(SEARCH(" "&amp;Task!$A$11&amp;" "," "&amp;LOWER(D36&amp;" "&amp;C36&amp;" "&amp;LOWER(SUBSTITUTE(SUBSTITUTE(SUBSTITUTE(SUBSTITUTE(A36,"/"," "),"."," "),"\"," "),"_"," ")))&amp;" ")),1,0))+IF(Task!$A$12="",0,IF(ISNUMBER(SEARCH(" "&amp;Task!$A$12&amp;" "," "&amp;LOWER(D36&amp;" "&amp;C36&amp;" "&amp;LOWER(SUBSTITUTE(SUBSTITUTE(SUBSTITUTE(SUBSTITUTE(A36,"/"," "),"."," "),"\"," "),"_"," ")))&amp;" ")),1,0))+IF(Task!$A$13="",0,IF(ISNUMBER(SEARCH(" "&amp;Task!$A$13&amp;" "," "&amp;LOWER(D36&amp;" "&amp;C36&amp;" "&amp;LOWER(SUBSTITUTE(SUBSTITUTE(SUBSTITUTE(SUBSTITUTE(A36,"/"," "),"."," "),"\"," "),"_"," ")))&amp;" ")),1,0))+IF(Task!$A$14="",0,IF(ISNUMBER(SEARCH(" "&amp;Task!$A$14&amp;" "," "&amp;LOWER(D36&amp;" "&amp;C36&amp;" "&amp;LOWER(SUBSTITUTE(SUBSTITUTE(SUBSTITUTE(SUBSTITUTE(A36,"/"," "),"."," "),"\"," "),"_"," ")))&amp;" ")),1,0))+IF(Task!$A$15="",0,IF(ISNUMBER(SEARCH(" "&amp;Task!$A$15&amp;" "," "&amp;LOWER(D36&amp;" "&amp;C36&amp;" "&amp;LOWER(SUBSTITUTE(SUBSTITUTE(SUBSTITUTE(SUBSTITUTE(A36,"/"," "),"."," "),"\"," "),"_"," ")))&amp;" ")),1,0))+IF(Task!$A$16="",0,IF(ISNUMBER(SEARCH(" "&amp;Task!$A$16&amp;" "," "&amp;LOWER(D36&amp;" "&amp;C36&amp;" "&amp;LOWER(SUBSTITUTE(SUBSTITUTE(SUBSTITUTE(SUBSTITUTE(A36,"/"," "),"."," "),"\"," "),"_"," ")))&amp;" ")),1,0))+IF(Task!$A$17="",0,IF(ISNUMBER(SEARCH(" "&amp;Task!$A$17&amp;" "," "&amp;LOWER(D36&amp;" "&amp;C36&amp;" "&amp;LOWER(SUBSTITUTE(SUBSTITUTE(SUBSTITUTE(SUBSTITUTE(A36,"/"," "),"."," "),"\"," "),"_"," ")))&amp;" ")),1,0))+IF(Task!$A$18="",0,IF(ISNUMBER(SEARCH(" "&amp;Task!$A$18&amp;" "," "&amp;LOWER(D36&amp;" "&amp;C36&amp;" "&amp;LOWER(SUBSTITUTE(SUBSTITUTE(SUBSTITUTE(SUBSTITUTE(A36,"/"," "),"."," "),"\"," "),"_"," ")))&amp;" ")),1,0))+IF(Task!$A$19="",0,IF(ISNUMBER(SEARCH(" "&amp;Task!$A$19&amp;" "," "&amp;LOWER(D36&amp;" "&amp;C36&amp;" "&amp;LOWER(SUBSTITUTE(SUBSTITUTE(SUBSTITUTE(SUBSTITUTE(A36,"/"," "),"."," "),"\"," "),"_"," ")))&amp;" ")),1,0)))</f>
        <v/>
      </c>
      <c r="G36" s="9">
        <f>IF(E36=0,0,IF(Task!$A$8="",0,IF(ISNUMBER(SEARCH(" "&amp;Task!$A$8&amp;" "," "&amp;LOWER(C36)&amp;" ")),1,0))+IF(Task!$A$9="",0,IF(ISNUMBER(SEARCH(" "&amp;Task!$A$9&amp;" "," "&amp;LOWER(C36)&amp;" ")),1,0))+IF(Task!$A$10="",0,IF(ISNUMBER(SEARCH(" "&amp;Task!$A$10&amp;" "," "&amp;LOWER(C36)&amp;" ")),1,0))+IF(Task!$A$11="",0,IF(ISNUMBER(SEARCH(" "&amp;Task!$A$11&amp;" "," "&amp;LOWER(C36)&amp;" ")),1,0))+IF(Task!$A$12="",0,IF(ISNUMBER(SEARCH(" "&amp;Task!$A$12&amp;" "," "&amp;LOWER(C36)&amp;" ")),1,0))+IF(Task!$A$13="",0,IF(ISNUMBER(SEARCH(" "&amp;Task!$A$13&amp;" "," "&amp;LOWER(C36)&amp;" ")),1,0))+IF(Task!$A$14="",0,IF(ISNUMBER(SEARCH(" "&amp;Task!$A$14&amp;" "," "&amp;LOWER(C36)&amp;" ")),1,0))+IF(Task!$A$15="",0,IF(ISNUMBER(SEARCH(" "&amp;Task!$A$15&amp;" "," "&amp;LOWER(C36)&amp;" ")),1,0))+IF(Task!$A$16="",0,IF(ISNUMBER(SEARCH(" "&amp;Task!$A$16&amp;" "," "&amp;LOWER(C36)&amp;" ")),1,0))+IF(Task!$A$17="",0,IF(ISNUMBER(SEARCH(" "&amp;Task!$A$17&amp;" "," "&amp;LOWER(C36)&amp;" ")),1,0))+IF(Task!$A$18="",0,IF(ISNUMBER(SEARCH(" "&amp;Task!$A$18&amp;" "," "&amp;LOWER(C36)&amp;" ")),1,0))+IF(Task!$A$19="",0,IF(ISNUMBER(SEARCH(" "&amp;Task!$A$19&amp;" "," "&amp;LOWER(C36)&amp;" ")),1,0)))</f>
        <v/>
      </c>
      <c r="H36" s="9">
        <f>IF(E36=0,0,IF(Task!$A$8="",0,IF(ISNUMBER(SEARCH(" "&amp;Task!$A$8&amp;" "," "&amp;LOWER(SUBSTITUTE(SUBSTITUTE(SUBSTITUTE(SUBSTITUTE(A36,"/"," "),"."," "),"\"," "),"_"," "))&amp;" ")),1,0))+IF(Task!$A$9="",0,IF(ISNUMBER(SEARCH(" "&amp;Task!$A$9&amp;" "," "&amp;LOWER(SUBSTITUTE(SUBSTITUTE(SUBSTITUTE(SUBSTITUTE(A36,"/"," "),"."," "),"\"," "),"_"," "))&amp;" ")),1,0))+IF(Task!$A$10="",0,IF(ISNUMBER(SEARCH(" "&amp;Task!$A$10&amp;" "," "&amp;LOWER(SUBSTITUTE(SUBSTITUTE(SUBSTITUTE(SUBSTITUTE(A36,"/"," "),"."," "),"\"," "),"_"," "))&amp;" ")),1,0))+IF(Task!$A$11="",0,IF(ISNUMBER(SEARCH(" "&amp;Task!$A$11&amp;" "," "&amp;LOWER(SUBSTITUTE(SUBSTITUTE(SUBSTITUTE(SUBSTITUTE(A36,"/"," "),"."," "),"\"," "),"_"," "))&amp;" ")),1,0))+IF(Task!$A$12="",0,IF(ISNUMBER(SEARCH(" "&amp;Task!$A$12&amp;" "," "&amp;LOWER(SUBSTITUTE(SUBSTITUTE(SUBSTITUTE(SUBSTITUTE(A36,"/"," "),"."," "),"\"," "),"_"," "))&amp;" ")),1,0))+IF(Task!$A$13="",0,IF(ISNUMBER(SEARCH(" "&amp;Task!$A$13&amp;" "," "&amp;LOWER(SUBSTITUTE(SUBSTITUTE(SUBSTITUTE(SUBSTITUTE(A36,"/"," "),"."," "),"\"," "),"_"," "))&amp;" ")),1,0))+IF(Task!$A$14="",0,IF(ISNUMBER(SEARCH(" "&amp;Task!$A$14&amp;" "," "&amp;LOWER(SUBSTITUTE(SUBSTITUTE(SUBSTITUTE(SUBSTITUTE(A36,"/"," "),"."," "),"\"," "),"_"," "))&amp;" ")),1,0))+IF(Task!$A$15="",0,IF(ISNUMBER(SEARCH(" "&amp;Task!$A$15&amp;" "," "&amp;LOWER(SUBSTITUTE(SUBSTITUTE(SUBSTITUTE(SUBSTITUTE(A36,"/"," "),"."," "),"\"," "),"_"," "))&amp;" ")),1,0))+IF(Task!$A$16="",0,IF(ISNUMBER(SEARCH(" "&amp;Task!$A$16&amp;" "," "&amp;LOWER(SUBSTITUTE(SUBSTITUTE(SUBSTITUTE(SUBSTITUTE(A36,"/"," "),"."," "),"\"," "),"_"," "))&amp;" ")),1,0))+IF(Task!$A$17="",0,IF(ISNUMBER(SEARCH(" "&amp;Task!$A$17&amp;" "," "&amp;LOWER(SUBSTITUTE(SUBSTITUTE(SUBSTITUTE(SUBSTITUTE(A36,"/"," "),"."," "),"\"," "),"_"," "))&amp;" ")),1,0))+IF(Task!$A$18="",0,IF(ISNUMBER(SEARCH(" "&amp;Task!$A$18&amp;" "," "&amp;LOWER(SUBSTITUTE(SUBSTITUTE(SUBSTITUTE(SUBSTITUTE(A36,"/"," "),"."," "),"\"," "),"_"," "))&amp;" ")),1,0))+IF(Task!$A$19="",0,IF(ISNUMBER(SEARCH(" "&amp;Task!$A$19&amp;" "," "&amp;LOWER(SUBSTITUTE(SUBSTITUTE(SUBSTITUTE(SUBSTITUTE(A36,"/"," "),"."," "),"\"," "),"_"," "))&amp;" ")),1,0)))</f>
        <v/>
      </c>
      <c r="I36" s="10">
        <f>IF(OR(E36=0,F36=0,Task!$B$21=0),"",F36/Task!$B$21+0.5*G36+0.25*H36)</f>
        <v/>
      </c>
      <c r="J36" s="5">
        <f>IF(I36="","",I36-ROW()/1000000)</f>
        <v/>
      </c>
      <c r="K36" s="9">
        <f>IF(J36="","",COUNTIF($J$5:$J$404,"&gt;"&amp;J36)+1)</f>
        <v/>
      </c>
    </row>
    <row r="37">
      <c r="A37" s="7" t="n"/>
      <c r="B37" s="7" t="n"/>
      <c r="C37" s="7" t="n"/>
      <c r="D37" s="7" t="n"/>
      <c r="E37" s="5">
        <f>IF(A37="",0,IF(COUNTA(Task!$B$5:$E$5)=0,1,IF(COUNTIF(Task!$B$5:$E$5,B37)&gt;0,1,0)))</f>
        <v/>
      </c>
      <c r="F37" s="9">
        <f>IF(E37=0,0,IF(Task!$A$8="",0,IF(ISNUMBER(SEARCH(" "&amp;Task!$A$8&amp;" "," "&amp;LOWER(D37&amp;" "&amp;C37&amp;" "&amp;LOWER(SUBSTITUTE(SUBSTITUTE(SUBSTITUTE(SUBSTITUTE(A37,"/"," "),"."," "),"\"," "),"_"," ")))&amp;" ")),1,0))+IF(Task!$A$9="",0,IF(ISNUMBER(SEARCH(" "&amp;Task!$A$9&amp;" "," "&amp;LOWER(D37&amp;" "&amp;C37&amp;" "&amp;LOWER(SUBSTITUTE(SUBSTITUTE(SUBSTITUTE(SUBSTITUTE(A37,"/"," "),"."," "),"\"," "),"_"," ")))&amp;" ")),1,0))+IF(Task!$A$10="",0,IF(ISNUMBER(SEARCH(" "&amp;Task!$A$10&amp;" "," "&amp;LOWER(D37&amp;" "&amp;C37&amp;" "&amp;LOWER(SUBSTITUTE(SUBSTITUTE(SUBSTITUTE(SUBSTITUTE(A37,"/"," "),"."," "),"\"," "),"_"," ")))&amp;" ")),1,0))+IF(Task!$A$11="",0,IF(ISNUMBER(SEARCH(" "&amp;Task!$A$11&amp;" "," "&amp;LOWER(D37&amp;" "&amp;C37&amp;" "&amp;LOWER(SUBSTITUTE(SUBSTITUTE(SUBSTITUTE(SUBSTITUTE(A37,"/"," "),"."," "),"\"," "),"_"," ")))&amp;" ")),1,0))+IF(Task!$A$12="",0,IF(ISNUMBER(SEARCH(" "&amp;Task!$A$12&amp;" "," "&amp;LOWER(D37&amp;" "&amp;C37&amp;" "&amp;LOWER(SUBSTITUTE(SUBSTITUTE(SUBSTITUTE(SUBSTITUTE(A37,"/"," "),"."," "),"\"," "),"_"," ")))&amp;" ")),1,0))+IF(Task!$A$13="",0,IF(ISNUMBER(SEARCH(" "&amp;Task!$A$13&amp;" "," "&amp;LOWER(D37&amp;" "&amp;C37&amp;" "&amp;LOWER(SUBSTITUTE(SUBSTITUTE(SUBSTITUTE(SUBSTITUTE(A37,"/"," "),"."," "),"\"," "),"_"," ")))&amp;" ")),1,0))+IF(Task!$A$14="",0,IF(ISNUMBER(SEARCH(" "&amp;Task!$A$14&amp;" "," "&amp;LOWER(D37&amp;" "&amp;C37&amp;" "&amp;LOWER(SUBSTITUTE(SUBSTITUTE(SUBSTITUTE(SUBSTITUTE(A37,"/"," "),"."," "),"\"," "),"_"," ")))&amp;" ")),1,0))+IF(Task!$A$15="",0,IF(ISNUMBER(SEARCH(" "&amp;Task!$A$15&amp;" "," "&amp;LOWER(D37&amp;" "&amp;C37&amp;" "&amp;LOWER(SUBSTITUTE(SUBSTITUTE(SUBSTITUTE(SUBSTITUTE(A37,"/"," "),"."," "),"\"," "),"_"," ")))&amp;" ")),1,0))+IF(Task!$A$16="",0,IF(ISNUMBER(SEARCH(" "&amp;Task!$A$16&amp;" "," "&amp;LOWER(D37&amp;" "&amp;C37&amp;" "&amp;LOWER(SUBSTITUTE(SUBSTITUTE(SUBSTITUTE(SUBSTITUTE(A37,"/"," "),"."," "),"\"," "),"_"," ")))&amp;" ")),1,0))+IF(Task!$A$17="",0,IF(ISNUMBER(SEARCH(" "&amp;Task!$A$17&amp;" "," "&amp;LOWER(D37&amp;" "&amp;C37&amp;" "&amp;LOWER(SUBSTITUTE(SUBSTITUTE(SUBSTITUTE(SUBSTITUTE(A37,"/"," "),"."," "),"\"," "),"_"," ")))&amp;" ")),1,0))+IF(Task!$A$18="",0,IF(ISNUMBER(SEARCH(" "&amp;Task!$A$18&amp;" "," "&amp;LOWER(D37&amp;" "&amp;C37&amp;" "&amp;LOWER(SUBSTITUTE(SUBSTITUTE(SUBSTITUTE(SUBSTITUTE(A37,"/"," "),"."," "),"\"," "),"_"," ")))&amp;" ")),1,0))+IF(Task!$A$19="",0,IF(ISNUMBER(SEARCH(" "&amp;Task!$A$19&amp;" "," "&amp;LOWER(D37&amp;" "&amp;C37&amp;" "&amp;LOWER(SUBSTITUTE(SUBSTITUTE(SUBSTITUTE(SUBSTITUTE(A37,"/"," "),"."," "),"\"," "),"_"," ")))&amp;" ")),1,0)))</f>
        <v/>
      </c>
      <c r="G37" s="9">
        <f>IF(E37=0,0,IF(Task!$A$8="",0,IF(ISNUMBER(SEARCH(" "&amp;Task!$A$8&amp;" "," "&amp;LOWER(C37)&amp;" ")),1,0))+IF(Task!$A$9="",0,IF(ISNUMBER(SEARCH(" "&amp;Task!$A$9&amp;" "," "&amp;LOWER(C37)&amp;" ")),1,0))+IF(Task!$A$10="",0,IF(ISNUMBER(SEARCH(" "&amp;Task!$A$10&amp;" "," "&amp;LOWER(C37)&amp;" ")),1,0))+IF(Task!$A$11="",0,IF(ISNUMBER(SEARCH(" "&amp;Task!$A$11&amp;" "," "&amp;LOWER(C37)&amp;" ")),1,0))+IF(Task!$A$12="",0,IF(ISNUMBER(SEARCH(" "&amp;Task!$A$12&amp;" "," "&amp;LOWER(C37)&amp;" ")),1,0))+IF(Task!$A$13="",0,IF(ISNUMBER(SEARCH(" "&amp;Task!$A$13&amp;" "," "&amp;LOWER(C37)&amp;" ")),1,0))+IF(Task!$A$14="",0,IF(ISNUMBER(SEARCH(" "&amp;Task!$A$14&amp;" "," "&amp;LOWER(C37)&amp;" ")),1,0))+IF(Task!$A$15="",0,IF(ISNUMBER(SEARCH(" "&amp;Task!$A$15&amp;" "," "&amp;LOWER(C37)&amp;" ")),1,0))+IF(Task!$A$16="",0,IF(ISNUMBER(SEARCH(" "&amp;Task!$A$16&amp;" "," "&amp;LOWER(C37)&amp;" ")),1,0))+IF(Task!$A$17="",0,IF(ISNUMBER(SEARCH(" "&amp;Task!$A$17&amp;" "," "&amp;LOWER(C37)&amp;" ")),1,0))+IF(Task!$A$18="",0,IF(ISNUMBER(SEARCH(" "&amp;Task!$A$18&amp;" "," "&amp;LOWER(C37)&amp;" ")),1,0))+IF(Task!$A$19="",0,IF(ISNUMBER(SEARCH(" "&amp;Task!$A$19&amp;" "," "&amp;LOWER(C37)&amp;" ")),1,0)))</f>
        <v/>
      </c>
      <c r="H37" s="9">
        <f>IF(E37=0,0,IF(Task!$A$8="",0,IF(ISNUMBER(SEARCH(" "&amp;Task!$A$8&amp;" "," "&amp;LOWER(SUBSTITUTE(SUBSTITUTE(SUBSTITUTE(SUBSTITUTE(A37,"/"," "),"."," "),"\"," "),"_"," "))&amp;" ")),1,0))+IF(Task!$A$9="",0,IF(ISNUMBER(SEARCH(" "&amp;Task!$A$9&amp;" "," "&amp;LOWER(SUBSTITUTE(SUBSTITUTE(SUBSTITUTE(SUBSTITUTE(A37,"/"," "),"."," "),"\"," "),"_"," "))&amp;" ")),1,0))+IF(Task!$A$10="",0,IF(ISNUMBER(SEARCH(" "&amp;Task!$A$10&amp;" "," "&amp;LOWER(SUBSTITUTE(SUBSTITUTE(SUBSTITUTE(SUBSTITUTE(A37,"/"," "),"."," "),"\"," "),"_"," "))&amp;" ")),1,0))+IF(Task!$A$11="",0,IF(ISNUMBER(SEARCH(" "&amp;Task!$A$11&amp;" "," "&amp;LOWER(SUBSTITUTE(SUBSTITUTE(SUBSTITUTE(SUBSTITUTE(A37,"/"," "),"."," "),"\"," "),"_"," "))&amp;" ")),1,0))+IF(Task!$A$12="",0,IF(ISNUMBER(SEARCH(" "&amp;Task!$A$12&amp;" "," "&amp;LOWER(SUBSTITUTE(SUBSTITUTE(SUBSTITUTE(SUBSTITUTE(A37,"/"," "),"."," "),"\"," "),"_"," "))&amp;" ")),1,0))+IF(Task!$A$13="",0,IF(ISNUMBER(SEARCH(" "&amp;Task!$A$13&amp;" "," "&amp;LOWER(SUBSTITUTE(SUBSTITUTE(SUBSTITUTE(SUBSTITUTE(A37,"/"," "),"."," "),"\"," "),"_"," "))&amp;" ")),1,0))+IF(Task!$A$14="",0,IF(ISNUMBER(SEARCH(" "&amp;Task!$A$14&amp;" "," "&amp;LOWER(SUBSTITUTE(SUBSTITUTE(SUBSTITUTE(SUBSTITUTE(A37,"/"," "),"."," "),"\"," "),"_"," "))&amp;" ")),1,0))+IF(Task!$A$15="",0,IF(ISNUMBER(SEARCH(" "&amp;Task!$A$15&amp;" "," "&amp;LOWER(SUBSTITUTE(SUBSTITUTE(SUBSTITUTE(SUBSTITUTE(A37,"/"," "),"."," "),"\"," "),"_"," "))&amp;" ")),1,0))+IF(Task!$A$16="",0,IF(ISNUMBER(SEARCH(" "&amp;Task!$A$16&amp;" "," "&amp;LOWER(SUBSTITUTE(SUBSTITUTE(SUBSTITUTE(SUBSTITUTE(A37,"/"," "),"."," "),"\"," "),"_"," "))&amp;" ")),1,0))+IF(Task!$A$17="",0,IF(ISNUMBER(SEARCH(" "&amp;Task!$A$17&amp;" "," "&amp;LOWER(SUBSTITUTE(SUBSTITUTE(SUBSTITUTE(SUBSTITUTE(A37,"/"," "),"."," "),"\"," "),"_"," "))&amp;" ")),1,0))+IF(Task!$A$18="",0,IF(ISNUMBER(SEARCH(" "&amp;Task!$A$18&amp;" "," "&amp;LOWER(SUBSTITUTE(SUBSTITUTE(SUBSTITUTE(SUBSTITUTE(A37,"/"," "),"."," "),"\"," "),"_"," "))&amp;" ")),1,0))+IF(Task!$A$19="",0,IF(ISNUMBER(SEARCH(" "&amp;Task!$A$19&amp;" "," "&amp;LOWER(SUBSTITUTE(SUBSTITUTE(SUBSTITUTE(SUBSTITUTE(A37,"/"," "),"."," "),"\"," "),"_"," "))&amp;" ")),1,0)))</f>
        <v/>
      </c>
      <c r="I37" s="10">
        <f>IF(OR(E37=0,F37=0,Task!$B$21=0),"",F37/Task!$B$21+0.5*G37+0.25*H37)</f>
        <v/>
      </c>
      <c r="J37" s="5">
        <f>IF(I37="","",I37-ROW()/1000000)</f>
        <v/>
      </c>
      <c r="K37" s="9">
        <f>IF(J37="","",COUNTIF($J$5:$J$404,"&gt;"&amp;J37)+1)</f>
        <v/>
      </c>
    </row>
    <row r="38">
      <c r="A38" s="7" t="n"/>
      <c r="B38" s="7" t="n"/>
      <c r="C38" s="7" t="n"/>
      <c r="D38" s="7" t="n"/>
      <c r="E38" s="5">
        <f>IF(A38="",0,IF(COUNTA(Task!$B$5:$E$5)=0,1,IF(COUNTIF(Task!$B$5:$E$5,B38)&gt;0,1,0)))</f>
        <v/>
      </c>
      <c r="F38" s="9">
        <f>IF(E38=0,0,IF(Task!$A$8="",0,IF(ISNUMBER(SEARCH(" "&amp;Task!$A$8&amp;" "," "&amp;LOWER(D38&amp;" "&amp;C38&amp;" "&amp;LOWER(SUBSTITUTE(SUBSTITUTE(SUBSTITUTE(SUBSTITUTE(A38,"/"," "),"."," "),"\"," "),"_"," ")))&amp;" ")),1,0))+IF(Task!$A$9="",0,IF(ISNUMBER(SEARCH(" "&amp;Task!$A$9&amp;" "," "&amp;LOWER(D38&amp;" "&amp;C38&amp;" "&amp;LOWER(SUBSTITUTE(SUBSTITUTE(SUBSTITUTE(SUBSTITUTE(A38,"/"," "),"."," "),"\"," "),"_"," ")))&amp;" ")),1,0))+IF(Task!$A$10="",0,IF(ISNUMBER(SEARCH(" "&amp;Task!$A$10&amp;" "," "&amp;LOWER(D38&amp;" "&amp;C38&amp;" "&amp;LOWER(SUBSTITUTE(SUBSTITUTE(SUBSTITUTE(SUBSTITUTE(A38,"/"," "),"."," "),"\"," "),"_"," ")))&amp;" ")),1,0))+IF(Task!$A$11="",0,IF(ISNUMBER(SEARCH(" "&amp;Task!$A$11&amp;" "," "&amp;LOWER(D38&amp;" "&amp;C38&amp;" "&amp;LOWER(SUBSTITUTE(SUBSTITUTE(SUBSTITUTE(SUBSTITUTE(A38,"/"," "),"."," "),"\"," "),"_"," ")))&amp;" ")),1,0))+IF(Task!$A$12="",0,IF(ISNUMBER(SEARCH(" "&amp;Task!$A$12&amp;" "," "&amp;LOWER(D38&amp;" "&amp;C38&amp;" "&amp;LOWER(SUBSTITUTE(SUBSTITUTE(SUBSTITUTE(SUBSTITUTE(A38,"/"," "),"."," "),"\"," "),"_"," ")))&amp;" ")),1,0))+IF(Task!$A$13="",0,IF(ISNUMBER(SEARCH(" "&amp;Task!$A$13&amp;" "," "&amp;LOWER(D38&amp;" "&amp;C38&amp;" "&amp;LOWER(SUBSTITUTE(SUBSTITUTE(SUBSTITUTE(SUBSTITUTE(A38,"/"," "),"."," "),"\"," "),"_"," ")))&amp;" ")),1,0))+IF(Task!$A$14="",0,IF(ISNUMBER(SEARCH(" "&amp;Task!$A$14&amp;" "," "&amp;LOWER(D38&amp;" "&amp;C38&amp;" "&amp;LOWER(SUBSTITUTE(SUBSTITUTE(SUBSTITUTE(SUBSTITUTE(A38,"/"," "),"."," "),"\"," "),"_"," ")))&amp;" ")),1,0))+IF(Task!$A$15="",0,IF(ISNUMBER(SEARCH(" "&amp;Task!$A$15&amp;" "," "&amp;LOWER(D38&amp;" "&amp;C38&amp;" "&amp;LOWER(SUBSTITUTE(SUBSTITUTE(SUBSTITUTE(SUBSTITUTE(A38,"/"," "),"."," "),"\"," "),"_"," ")))&amp;" ")),1,0))+IF(Task!$A$16="",0,IF(ISNUMBER(SEARCH(" "&amp;Task!$A$16&amp;" "," "&amp;LOWER(D38&amp;" "&amp;C38&amp;" "&amp;LOWER(SUBSTITUTE(SUBSTITUTE(SUBSTITUTE(SUBSTITUTE(A38,"/"," "),"."," "),"\"," "),"_"," ")))&amp;" ")),1,0))+IF(Task!$A$17="",0,IF(ISNUMBER(SEARCH(" "&amp;Task!$A$17&amp;" "," "&amp;LOWER(D38&amp;" "&amp;C38&amp;" "&amp;LOWER(SUBSTITUTE(SUBSTITUTE(SUBSTITUTE(SUBSTITUTE(A38,"/"," "),"."," "),"\"," "),"_"," ")))&amp;" ")),1,0))+IF(Task!$A$18="",0,IF(ISNUMBER(SEARCH(" "&amp;Task!$A$18&amp;" "," "&amp;LOWER(D38&amp;" "&amp;C38&amp;" "&amp;LOWER(SUBSTITUTE(SUBSTITUTE(SUBSTITUTE(SUBSTITUTE(A38,"/"," "),"."," "),"\"," "),"_"," ")))&amp;" ")),1,0))+IF(Task!$A$19="",0,IF(ISNUMBER(SEARCH(" "&amp;Task!$A$19&amp;" "," "&amp;LOWER(D38&amp;" "&amp;C38&amp;" "&amp;LOWER(SUBSTITUTE(SUBSTITUTE(SUBSTITUTE(SUBSTITUTE(A38,"/"," "),"."," "),"\"," "),"_"," ")))&amp;" ")),1,0)))</f>
        <v/>
      </c>
      <c r="G38" s="9">
        <f>IF(E38=0,0,IF(Task!$A$8="",0,IF(ISNUMBER(SEARCH(" "&amp;Task!$A$8&amp;" "," "&amp;LOWER(C38)&amp;" ")),1,0))+IF(Task!$A$9="",0,IF(ISNUMBER(SEARCH(" "&amp;Task!$A$9&amp;" "," "&amp;LOWER(C38)&amp;" ")),1,0))+IF(Task!$A$10="",0,IF(ISNUMBER(SEARCH(" "&amp;Task!$A$10&amp;" "," "&amp;LOWER(C38)&amp;" ")),1,0))+IF(Task!$A$11="",0,IF(ISNUMBER(SEARCH(" "&amp;Task!$A$11&amp;" "," "&amp;LOWER(C38)&amp;" ")),1,0))+IF(Task!$A$12="",0,IF(ISNUMBER(SEARCH(" "&amp;Task!$A$12&amp;" "," "&amp;LOWER(C38)&amp;" ")),1,0))+IF(Task!$A$13="",0,IF(ISNUMBER(SEARCH(" "&amp;Task!$A$13&amp;" "," "&amp;LOWER(C38)&amp;" ")),1,0))+IF(Task!$A$14="",0,IF(ISNUMBER(SEARCH(" "&amp;Task!$A$14&amp;" "," "&amp;LOWER(C38)&amp;" ")),1,0))+IF(Task!$A$15="",0,IF(ISNUMBER(SEARCH(" "&amp;Task!$A$15&amp;" "," "&amp;LOWER(C38)&amp;" ")),1,0))+IF(Task!$A$16="",0,IF(ISNUMBER(SEARCH(" "&amp;Task!$A$16&amp;" "," "&amp;LOWER(C38)&amp;" ")),1,0))+IF(Task!$A$17="",0,IF(ISNUMBER(SEARCH(" "&amp;Task!$A$17&amp;" "," "&amp;LOWER(C38)&amp;" ")),1,0))+IF(Task!$A$18="",0,IF(ISNUMBER(SEARCH(" "&amp;Task!$A$18&amp;" "," "&amp;LOWER(C38)&amp;" ")),1,0))+IF(Task!$A$19="",0,IF(ISNUMBER(SEARCH(" "&amp;Task!$A$19&amp;" "," "&amp;LOWER(C38)&amp;" ")),1,0)))</f>
        <v/>
      </c>
      <c r="H38" s="9">
        <f>IF(E38=0,0,IF(Task!$A$8="",0,IF(ISNUMBER(SEARCH(" "&amp;Task!$A$8&amp;" "," "&amp;LOWER(SUBSTITUTE(SUBSTITUTE(SUBSTITUTE(SUBSTITUTE(A38,"/"," "),"."," "),"\"," "),"_"," "))&amp;" ")),1,0))+IF(Task!$A$9="",0,IF(ISNUMBER(SEARCH(" "&amp;Task!$A$9&amp;" "," "&amp;LOWER(SUBSTITUTE(SUBSTITUTE(SUBSTITUTE(SUBSTITUTE(A38,"/"," "),"."," "),"\"," "),"_"," "))&amp;" ")),1,0))+IF(Task!$A$10="",0,IF(ISNUMBER(SEARCH(" "&amp;Task!$A$10&amp;" "," "&amp;LOWER(SUBSTITUTE(SUBSTITUTE(SUBSTITUTE(SUBSTITUTE(A38,"/"," "),"."," "),"\"," "),"_"," "))&amp;" ")),1,0))+IF(Task!$A$11="",0,IF(ISNUMBER(SEARCH(" "&amp;Task!$A$11&amp;" "," "&amp;LOWER(SUBSTITUTE(SUBSTITUTE(SUBSTITUTE(SUBSTITUTE(A38,"/"," "),"."," "),"\"," "),"_"," "))&amp;" ")),1,0))+IF(Task!$A$12="",0,IF(ISNUMBER(SEARCH(" "&amp;Task!$A$12&amp;" "," "&amp;LOWER(SUBSTITUTE(SUBSTITUTE(SUBSTITUTE(SUBSTITUTE(A38,"/"," "),"."," "),"\"," "),"_"," "))&amp;" ")),1,0))+IF(Task!$A$13="",0,IF(ISNUMBER(SEARCH(" "&amp;Task!$A$13&amp;" "," "&amp;LOWER(SUBSTITUTE(SUBSTITUTE(SUBSTITUTE(SUBSTITUTE(A38,"/"," "),"."," "),"\"," "),"_"," "))&amp;" ")),1,0))+IF(Task!$A$14="",0,IF(ISNUMBER(SEARCH(" "&amp;Task!$A$14&amp;" "," "&amp;LOWER(SUBSTITUTE(SUBSTITUTE(SUBSTITUTE(SUBSTITUTE(A38,"/"," "),"."," "),"\"," "),"_"," "))&amp;" ")),1,0))+IF(Task!$A$15="",0,IF(ISNUMBER(SEARCH(" "&amp;Task!$A$15&amp;" "," "&amp;LOWER(SUBSTITUTE(SUBSTITUTE(SUBSTITUTE(SUBSTITUTE(A38,"/"," "),"."," "),"\"," "),"_"," "))&amp;" ")),1,0))+IF(Task!$A$16="",0,IF(ISNUMBER(SEARCH(" "&amp;Task!$A$16&amp;" "," "&amp;LOWER(SUBSTITUTE(SUBSTITUTE(SUBSTITUTE(SUBSTITUTE(A38,"/"," "),"."," "),"\"," "),"_"," "))&amp;" ")),1,0))+IF(Task!$A$17="",0,IF(ISNUMBER(SEARCH(" "&amp;Task!$A$17&amp;" "," "&amp;LOWER(SUBSTITUTE(SUBSTITUTE(SUBSTITUTE(SUBSTITUTE(A38,"/"," "),"."," "),"\"," "),"_"," "))&amp;" ")),1,0))+IF(Task!$A$18="",0,IF(ISNUMBER(SEARCH(" "&amp;Task!$A$18&amp;" "," "&amp;LOWER(SUBSTITUTE(SUBSTITUTE(SUBSTITUTE(SUBSTITUTE(A38,"/"," "),"."," "),"\"," "),"_"," "))&amp;" ")),1,0))+IF(Task!$A$19="",0,IF(ISNUMBER(SEARCH(" "&amp;Task!$A$19&amp;" "," "&amp;LOWER(SUBSTITUTE(SUBSTITUTE(SUBSTITUTE(SUBSTITUTE(A38,"/"," "),"."," "),"\"," "),"_"," "))&amp;" ")),1,0)))</f>
        <v/>
      </c>
      <c r="I38" s="10">
        <f>IF(OR(E38=0,F38=0,Task!$B$21=0),"",F38/Task!$B$21+0.5*G38+0.25*H38)</f>
        <v/>
      </c>
      <c r="J38" s="5">
        <f>IF(I38="","",I38-ROW()/1000000)</f>
        <v/>
      </c>
      <c r="K38" s="9">
        <f>IF(J38="","",COUNTIF($J$5:$J$404,"&gt;"&amp;J38)+1)</f>
        <v/>
      </c>
    </row>
    <row r="39">
      <c r="A39" s="7" t="n"/>
      <c r="B39" s="7" t="n"/>
      <c r="C39" s="7" t="n"/>
      <c r="D39" s="7" t="n"/>
      <c r="E39" s="5">
        <f>IF(A39="",0,IF(COUNTA(Task!$B$5:$E$5)=0,1,IF(COUNTIF(Task!$B$5:$E$5,B39)&gt;0,1,0)))</f>
        <v/>
      </c>
      <c r="F39" s="9">
        <f>IF(E39=0,0,IF(Task!$A$8="",0,IF(ISNUMBER(SEARCH(" "&amp;Task!$A$8&amp;" "," "&amp;LOWER(D39&amp;" "&amp;C39&amp;" "&amp;LOWER(SUBSTITUTE(SUBSTITUTE(SUBSTITUTE(SUBSTITUTE(A39,"/"," "),"."," "),"\"," "),"_"," ")))&amp;" ")),1,0))+IF(Task!$A$9="",0,IF(ISNUMBER(SEARCH(" "&amp;Task!$A$9&amp;" "," "&amp;LOWER(D39&amp;" "&amp;C39&amp;" "&amp;LOWER(SUBSTITUTE(SUBSTITUTE(SUBSTITUTE(SUBSTITUTE(A39,"/"," "),"."," "),"\"," "),"_"," ")))&amp;" ")),1,0))+IF(Task!$A$10="",0,IF(ISNUMBER(SEARCH(" "&amp;Task!$A$10&amp;" "," "&amp;LOWER(D39&amp;" "&amp;C39&amp;" "&amp;LOWER(SUBSTITUTE(SUBSTITUTE(SUBSTITUTE(SUBSTITUTE(A39,"/"," "),"."," "),"\"," "),"_"," ")))&amp;" ")),1,0))+IF(Task!$A$11="",0,IF(ISNUMBER(SEARCH(" "&amp;Task!$A$11&amp;" "," "&amp;LOWER(D39&amp;" "&amp;C39&amp;" "&amp;LOWER(SUBSTITUTE(SUBSTITUTE(SUBSTITUTE(SUBSTITUTE(A39,"/"," "),"."," "),"\"," "),"_"," ")))&amp;" ")),1,0))+IF(Task!$A$12="",0,IF(ISNUMBER(SEARCH(" "&amp;Task!$A$12&amp;" "," "&amp;LOWER(D39&amp;" "&amp;C39&amp;" "&amp;LOWER(SUBSTITUTE(SUBSTITUTE(SUBSTITUTE(SUBSTITUTE(A39,"/"," "),"."," "),"\"," "),"_"," ")))&amp;" ")),1,0))+IF(Task!$A$13="",0,IF(ISNUMBER(SEARCH(" "&amp;Task!$A$13&amp;" "," "&amp;LOWER(D39&amp;" "&amp;C39&amp;" "&amp;LOWER(SUBSTITUTE(SUBSTITUTE(SUBSTITUTE(SUBSTITUTE(A39,"/"," "),"."," "),"\"," "),"_"," ")))&amp;" ")),1,0))+IF(Task!$A$14="",0,IF(ISNUMBER(SEARCH(" "&amp;Task!$A$14&amp;" "," "&amp;LOWER(D39&amp;" "&amp;C39&amp;" "&amp;LOWER(SUBSTITUTE(SUBSTITUTE(SUBSTITUTE(SUBSTITUTE(A39,"/"," "),"."," "),"\"," "),"_"," ")))&amp;" ")),1,0))+IF(Task!$A$15="",0,IF(ISNUMBER(SEARCH(" "&amp;Task!$A$15&amp;" "," "&amp;LOWER(D39&amp;" "&amp;C39&amp;" "&amp;LOWER(SUBSTITUTE(SUBSTITUTE(SUBSTITUTE(SUBSTITUTE(A39,"/"," "),"."," "),"\"," "),"_"," ")))&amp;" ")),1,0))+IF(Task!$A$16="",0,IF(ISNUMBER(SEARCH(" "&amp;Task!$A$16&amp;" "," "&amp;LOWER(D39&amp;" "&amp;C39&amp;" "&amp;LOWER(SUBSTITUTE(SUBSTITUTE(SUBSTITUTE(SUBSTITUTE(A39,"/"," "),"."," "),"\"," "),"_"," ")))&amp;" ")),1,0))+IF(Task!$A$17="",0,IF(ISNUMBER(SEARCH(" "&amp;Task!$A$17&amp;" "," "&amp;LOWER(D39&amp;" "&amp;C39&amp;" "&amp;LOWER(SUBSTITUTE(SUBSTITUTE(SUBSTITUTE(SUBSTITUTE(A39,"/"," "),"."," "),"\"," "),"_"," ")))&amp;" ")),1,0))+IF(Task!$A$18="",0,IF(ISNUMBER(SEARCH(" "&amp;Task!$A$18&amp;" "," "&amp;LOWER(D39&amp;" "&amp;C39&amp;" "&amp;LOWER(SUBSTITUTE(SUBSTITUTE(SUBSTITUTE(SUBSTITUTE(A39,"/"," "),"."," "),"\"," "),"_"," ")))&amp;" ")),1,0))+IF(Task!$A$19="",0,IF(ISNUMBER(SEARCH(" "&amp;Task!$A$19&amp;" "," "&amp;LOWER(D39&amp;" "&amp;C39&amp;" "&amp;LOWER(SUBSTITUTE(SUBSTITUTE(SUBSTITUTE(SUBSTITUTE(A39,"/"," "),"."," "),"\"," "),"_"," ")))&amp;" ")),1,0)))</f>
        <v/>
      </c>
      <c r="G39" s="9">
        <f>IF(E39=0,0,IF(Task!$A$8="",0,IF(ISNUMBER(SEARCH(" "&amp;Task!$A$8&amp;" "," "&amp;LOWER(C39)&amp;" ")),1,0))+IF(Task!$A$9="",0,IF(ISNUMBER(SEARCH(" "&amp;Task!$A$9&amp;" "," "&amp;LOWER(C39)&amp;" ")),1,0))+IF(Task!$A$10="",0,IF(ISNUMBER(SEARCH(" "&amp;Task!$A$10&amp;" "," "&amp;LOWER(C39)&amp;" ")),1,0))+IF(Task!$A$11="",0,IF(ISNUMBER(SEARCH(" "&amp;Task!$A$11&amp;" "," "&amp;LOWER(C39)&amp;" ")),1,0))+IF(Task!$A$12="",0,IF(ISNUMBER(SEARCH(" "&amp;Task!$A$12&amp;" "," "&amp;LOWER(C39)&amp;" ")),1,0))+IF(Task!$A$13="",0,IF(ISNUMBER(SEARCH(" "&amp;Task!$A$13&amp;" "," "&amp;LOWER(C39)&amp;" ")),1,0))+IF(Task!$A$14="",0,IF(ISNUMBER(SEARCH(" "&amp;Task!$A$14&amp;" "," "&amp;LOWER(C39)&amp;" ")),1,0))+IF(Task!$A$15="",0,IF(ISNUMBER(SEARCH(" "&amp;Task!$A$15&amp;" "," "&amp;LOWER(C39)&amp;" ")),1,0))+IF(Task!$A$16="",0,IF(ISNUMBER(SEARCH(" "&amp;Task!$A$16&amp;" "," "&amp;LOWER(C39)&amp;" ")),1,0))+IF(Task!$A$17="",0,IF(ISNUMBER(SEARCH(" "&amp;Task!$A$17&amp;" "," "&amp;LOWER(C39)&amp;" ")),1,0))+IF(Task!$A$18="",0,IF(ISNUMBER(SEARCH(" "&amp;Task!$A$18&amp;" "," "&amp;LOWER(C39)&amp;" ")),1,0))+IF(Task!$A$19="",0,IF(ISNUMBER(SEARCH(" "&amp;Task!$A$19&amp;" "," "&amp;LOWER(C39)&amp;" ")),1,0)))</f>
        <v/>
      </c>
      <c r="H39" s="9">
        <f>IF(E39=0,0,IF(Task!$A$8="",0,IF(ISNUMBER(SEARCH(" "&amp;Task!$A$8&amp;" "," "&amp;LOWER(SUBSTITUTE(SUBSTITUTE(SUBSTITUTE(SUBSTITUTE(A39,"/"," "),"."," "),"\"," "),"_"," "))&amp;" ")),1,0))+IF(Task!$A$9="",0,IF(ISNUMBER(SEARCH(" "&amp;Task!$A$9&amp;" "," "&amp;LOWER(SUBSTITUTE(SUBSTITUTE(SUBSTITUTE(SUBSTITUTE(A39,"/"," "),"."," "),"\"," "),"_"," "))&amp;" ")),1,0))+IF(Task!$A$10="",0,IF(ISNUMBER(SEARCH(" "&amp;Task!$A$10&amp;" "," "&amp;LOWER(SUBSTITUTE(SUBSTITUTE(SUBSTITUTE(SUBSTITUTE(A39,"/"," "),"."," "),"\"," "),"_"," "))&amp;" ")),1,0))+IF(Task!$A$11="",0,IF(ISNUMBER(SEARCH(" "&amp;Task!$A$11&amp;" "," "&amp;LOWER(SUBSTITUTE(SUBSTITUTE(SUBSTITUTE(SUBSTITUTE(A39,"/"," "),"."," "),"\"," "),"_"," "))&amp;" ")),1,0))+IF(Task!$A$12="",0,IF(ISNUMBER(SEARCH(" "&amp;Task!$A$12&amp;" "," "&amp;LOWER(SUBSTITUTE(SUBSTITUTE(SUBSTITUTE(SUBSTITUTE(A39,"/"," "),"."," "),"\"," "),"_"," "))&amp;" ")),1,0))+IF(Task!$A$13="",0,IF(ISNUMBER(SEARCH(" "&amp;Task!$A$13&amp;" "," "&amp;LOWER(SUBSTITUTE(SUBSTITUTE(SUBSTITUTE(SUBSTITUTE(A39,"/"," "),"."," "),"\"," "),"_"," "))&amp;" ")),1,0))+IF(Task!$A$14="",0,IF(ISNUMBER(SEARCH(" "&amp;Task!$A$14&amp;" "," "&amp;LOWER(SUBSTITUTE(SUBSTITUTE(SUBSTITUTE(SUBSTITUTE(A39,"/"," "),"."," "),"\"," "),"_"," "))&amp;" ")),1,0))+IF(Task!$A$15="",0,IF(ISNUMBER(SEARCH(" "&amp;Task!$A$15&amp;" "," "&amp;LOWER(SUBSTITUTE(SUBSTITUTE(SUBSTITUTE(SUBSTITUTE(A39,"/"," "),"."," "),"\"," "),"_"," "))&amp;" ")),1,0))+IF(Task!$A$16="",0,IF(ISNUMBER(SEARCH(" "&amp;Task!$A$16&amp;" "," "&amp;LOWER(SUBSTITUTE(SUBSTITUTE(SUBSTITUTE(SUBSTITUTE(A39,"/"," "),"."," "),"\"," "),"_"," "))&amp;" ")),1,0))+IF(Task!$A$17="",0,IF(ISNUMBER(SEARCH(" "&amp;Task!$A$17&amp;" "," "&amp;LOWER(SUBSTITUTE(SUBSTITUTE(SUBSTITUTE(SUBSTITUTE(A39,"/"," "),"."," "),"\"," "),"_"," "))&amp;" ")),1,0))+IF(Task!$A$18="",0,IF(ISNUMBER(SEARCH(" "&amp;Task!$A$18&amp;" "," "&amp;LOWER(SUBSTITUTE(SUBSTITUTE(SUBSTITUTE(SUBSTITUTE(A39,"/"," "),"."," "),"\"," "),"_"," "))&amp;" ")),1,0))+IF(Task!$A$19="",0,IF(ISNUMBER(SEARCH(" "&amp;Task!$A$19&amp;" "," "&amp;LOWER(SUBSTITUTE(SUBSTITUTE(SUBSTITUTE(SUBSTITUTE(A39,"/"," "),"."," "),"\"," "),"_"," "))&amp;" ")),1,0)))</f>
        <v/>
      </c>
      <c r="I39" s="10">
        <f>IF(OR(E39=0,F39=0,Task!$B$21=0),"",F39/Task!$B$21+0.5*G39+0.25*H39)</f>
        <v/>
      </c>
      <c r="J39" s="5">
        <f>IF(I39="","",I39-ROW()/1000000)</f>
        <v/>
      </c>
      <c r="K39" s="9">
        <f>IF(J39="","",COUNTIF($J$5:$J$404,"&gt;"&amp;J39)+1)</f>
        <v/>
      </c>
    </row>
    <row r="40">
      <c r="A40" s="7" t="n"/>
      <c r="B40" s="7" t="n"/>
      <c r="C40" s="7" t="n"/>
      <c r="D40" s="7" t="n"/>
      <c r="E40" s="5">
        <f>IF(A40="",0,IF(COUNTA(Task!$B$5:$E$5)=0,1,IF(COUNTIF(Task!$B$5:$E$5,B40)&gt;0,1,0)))</f>
        <v/>
      </c>
      <c r="F40" s="9">
        <f>IF(E40=0,0,IF(Task!$A$8="",0,IF(ISNUMBER(SEARCH(" "&amp;Task!$A$8&amp;" "," "&amp;LOWER(D40&amp;" "&amp;C40&amp;" "&amp;LOWER(SUBSTITUTE(SUBSTITUTE(SUBSTITUTE(SUBSTITUTE(A40,"/"," "),"."," "),"\"," "),"_"," ")))&amp;" ")),1,0))+IF(Task!$A$9="",0,IF(ISNUMBER(SEARCH(" "&amp;Task!$A$9&amp;" "," "&amp;LOWER(D40&amp;" "&amp;C40&amp;" "&amp;LOWER(SUBSTITUTE(SUBSTITUTE(SUBSTITUTE(SUBSTITUTE(A40,"/"," "),"."," "),"\"," "),"_"," ")))&amp;" ")),1,0))+IF(Task!$A$10="",0,IF(ISNUMBER(SEARCH(" "&amp;Task!$A$10&amp;" "," "&amp;LOWER(D40&amp;" "&amp;C40&amp;" "&amp;LOWER(SUBSTITUTE(SUBSTITUTE(SUBSTITUTE(SUBSTITUTE(A40,"/"," "),"."," "),"\"," "),"_"," ")))&amp;" ")),1,0))+IF(Task!$A$11="",0,IF(ISNUMBER(SEARCH(" "&amp;Task!$A$11&amp;" "," "&amp;LOWER(D40&amp;" "&amp;C40&amp;" "&amp;LOWER(SUBSTITUTE(SUBSTITUTE(SUBSTITUTE(SUBSTITUTE(A40,"/"," "),"."," "),"\"," "),"_"," ")))&amp;" ")),1,0))+IF(Task!$A$12="",0,IF(ISNUMBER(SEARCH(" "&amp;Task!$A$12&amp;" "," "&amp;LOWER(D40&amp;" "&amp;C40&amp;" "&amp;LOWER(SUBSTITUTE(SUBSTITUTE(SUBSTITUTE(SUBSTITUTE(A40,"/"," "),"."," "),"\"," "),"_"," ")))&amp;" ")),1,0))+IF(Task!$A$13="",0,IF(ISNUMBER(SEARCH(" "&amp;Task!$A$13&amp;" "," "&amp;LOWER(D40&amp;" "&amp;C40&amp;" "&amp;LOWER(SUBSTITUTE(SUBSTITUTE(SUBSTITUTE(SUBSTITUTE(A40,"/"," "),"."," "),"\"," "),"_"," ")))&amp;" ")),1,0))+IF(Task!$A$14="",0,IF(ISNUMBER(SEARCH(" "&amp;Task!$A$14&amp;" "," "&amp;LOWER(D40&amp;" "&amp;C40&amp;" "&amp;LOWER(SUBSTITUTE(SUBSTITUTE(SUBSTITUTE(SUBSTITUTE(A40,"/"," "),"."," "),"\"," "),"_"," ")))&amp;" ")),1,0))+IF(Task!$A$15="",0,IF(ISNUMBER(SEARCH(" "&amp;Task!$A$15&amp;" "," "&amp;LOWER(D40&amp;" "&amp;C40&amp;" "&amp;LOWER(SUBSTITUTE(SUBSTITUTE(SUBSTITUTE(SUBSTITUTE(A40,"/"," "),"."," "),"\"," "),"_"," ")))&amp;" ")),1,0))+IF(Task!$A$16="",0,IF(ISNUMBER(SEARCH(" "&amp;Task!$A$16&amp;" "," "&amp;LOWER(D40&amp;" "&amp;C40&amp;" "&amp;LOWER(SUBSTITUTE(SUBSTITUTE(SUBSTITUTE(SUBSTITUTE(A40,"/"," "),"."," "),"\"," "),"_"," ")))&amp;" ")),1,0))+IF(Task!$A$17="",0,IF(ISNUMBER(SEARCH(" "&amp;Task!$A$17&amp;" "," "&amp;LOWER(D40&amp;" "&amp;C40&amp;" "&amp;LOWER(SUBSTITUTE(SUBSTITUTE(SUBSTITUTE(SUBSTITUTE(A40,"/"," "),"."," "),"\"," "),"_"," ")))&amp;" ")),1,0))+IF(Task!$A$18="",0,IF(ISNUMBER(SEARCH(" "&amp;Task!$A$18&amp;" "," "&amp;LOWER(D40&amp;" "&amp;C40&amp;" "&amp;LOWER(SUBSTITUTE(SUBSTITUTE(SUBSTITUTE(SUBSTITUTE(A40,"/"," "),"."," "),"\"," "),"_"," ")))&amp;" ")),1,0))+IF(Task!$A$19="",0,IF(ISNUMBER(SEARCH(" "&amp;Task!$A$19&amp;" "," "&amp;LOWER(D40&amp;" "&amp;C40&amp;" "&amp;LOWER(SUBSTITUTE(SUBSTITUTE(SUBSTITUTE(SUBSTITUTE(A40,"/"," "),"."," "),"\"," "),"_"," ")))&amp;" ")),1,0)))</f>
        <v/>
      </c>
      <c r="G40" s="9">
        <f>IF(E40=0,0,IF(Task!$A$8="",0,IF(ISNUMBER(SEARCH(" "&amp;Task!$A$8&amp;" "," "&amp;LOWER(C40)&amp;" ")),1,0))+IF(Task!$A$9="",0,IF(ISNUMBER(SEARCH(" "&amp;Task!$A$9&amp;" "," "&amp;LOWER(C40)&amp;" ")),1,0))+IF(Task!$A$10="",0,IF(ISNUMBER(SEARCH(" "&amp;Task!$A$10&amp;" "," "&amp;LOWER(C40)&amp;" ")),1,0))+IF(Task!$A$11="",0,IF(ISNUMBER(SEARCH(" "&amp;Task!$A$11&amp;" "," "&amp;LOWER(C40)&amp;" ")),1,0))+IF(Task!$A$12="",0,IF(ISNUMBER(SEARCH(" "&amp;Task!$A$12&amp;" "," "&amp;LOWER(C40)&amp;" ")),1,0))+IF(Task!$A$13="",0,IF(ISNUMBER(SEARCH(" "&amp;Task!$A$13&amp;" "," "&amp;LOWER(C40)&amp;" ")),1,0))+IF(Task!$A$14="",0,IF(ISNUMBER(SEARCH(" "&amp;Task!$A$14&amp;" "," "&amp;LOWER(C40)&amp;" ")),1,0))+IF(Task!$A$15="",0,IF(ISNUMBER(SEARCH(" "&amp;Task!$A$15&amp;" "," "&amp;LOWER(C40)&amp;" ")),1,0))+IF(Task!$A$16="",0,IF(ISNUMBER(SEARCH(" "&amp;Task!$A$16&amp;" "," "&amp;LOWER(C40)&amp;" ")),1,0))+IF(Task!$A$17="",0,IF(ISNUMBER(SEARCH(" "&amp;Task!$A$17&amp;" "," "&amp;LOWER(C40)&amp;" ")),1,0))+IF(Task!$A$18="",0,IF(ISNUMBER(SEARCH(" "&amp;Task!$A$18&amp;" "," "&amp;LOWER(C40)&amp;" ")),1,0))+IF(Task!$A$19="",0,IF(ISNUMBER(SEARCH(" "&amp;Task!$A$19&amp;" "," "&amp;LOWER(C40)&amp;" ")),1,0)))</f>
        <v/>
      </c>
      <c r="H40" s="9">
        <f>IF(E40=0,0,IF(Task!$A$8="",0,IF(ISNUMBER(SEARCH(" "&amp;Task!$A$8&amp;" "," "&amp;LOWER(SUBSTITUTE(SUBSTITUTE(SUBSTITUTE(SUBSTITUTE(A40,"/"," "),"."," "),"\"," "),"_"," "))&amp;" ")),1,0))+IF(Task!$A$9="",0,IF(ISNUMBER(SEARCH(" "&amp;Task!$A$9&amp;" "," "&amp;LOWER(SUBSTITUTE(SUBSTITUTE(SUBSTITUTE(SUBSTITUTE(A40,"/"," "),"."," "),"\"," "),"_"," "))&amp;" ")),1,0))+IF(Task!$A$10="",0,IF(ISNUMBER(SEARCH(" "&amp;Task!$A$10&amp;" "," "&amp;LOWER(SUBSTITUTE(SUBSTITUTE(SUBSTITUTE(SUBSTITUTE(A40,"/"," "),"."," "),"\"," "),"_"," "))&amp;" ")),1,0))+IF(Task!$A$11="",0,IF(ISNUMBER(SEARCH(" "&amp;Task!$A$11&amp;" "," "&amp;LOWER(SUBSTITUTE(SUBSTITUTE(SUBSTITUTE(SUBSTITUTE(A40,"/"," "),"."," "),"\"," "),"_"," "))&amp;" ")),1,0))+IF(Task!$A$12="",0,IF(ISNUMBER(SEARCH(" "&amp;Task!$A$12&amp;" "," "&amp;LOWER(SUBSTITUTE(SUBSTITUTE(SUBSTITUTE(SUBSTITUTE(A40,"/"," "),"."," "),"\"," "),"_"," "))&amp;" ")),1,0))+IF(Task!$A$13="",0,IF(ISNUMBER(SEARCH(" "&amp;Task!$A$13&amp;" "," "&amp;LOWER(SUBSTITUTE(SUBSTITUTE(SUBSTITUTE(SUBSTITUTE(A40,"/"," "),"."," "),"\"," "),"_"," "))&amp;" ")),1,0))+IF(Task!$A$14="",0,IF(ISNUMBER(SEARCH(" "&amp;Task!$A$14&amp;" "," "&amp;LOWER(SUBSTITUTE(SUBSTITUTE(SUBSTITUTE(SUBSTITUTE(A40,"/"," "),"."," "),"\"," "),"_"," "))&amp;" ")),1,0))+IF(Task!$A$15="",0,IF(ISNUMBER(SEARCH(" "&amp;Task!$A$15&amp;" "," "&amp;LOWER(SUBSTITUTE(SUBSTITUTE(SUBSTITUTE(SUBSTITUTE(A40,"/"," "),"."," "),"\"," "),"_"," "))&amp;" ")),1,0))+IF(Task!$A$16="",0,IF(ISNUMBER(SEARCH(" "&amp;Task!$A$16&amp;" "," "&amp;LOWER(SUBSTITUTE(SUBSTITUTE(SUBSTITUTE(SUBSTITUTE(A40,"/"," "),"."," "),"\"," "),"_"," "))&amp;" ")),1,0))+IF(Task!$A$17="",0,IF(ISNUMBER(SEARCH(" "&amp;Task!$A$17&amp;" "," "&amp;LOWER(SUBSTITUTE(SUBSTITUTE(SUBSTITUTE(SUBSTITUTE(A40,"/"," "),"."," "),"\"," "),"_"," "))&amp;" ")),1,0))+IF(Task!$A$18="",0,IF(ISNUMBER(SEARCH(" "&amp;Task!$A$18&amp;" "," "&amp;LOWER(SUBSTITUTE(SUBSTITUTE(SUBSTITUTE(SUBSTITUTE(A40,"/"," "),"."," "),"\"," "),"_"," "))&amp;" ")),1,0))+IF(Task!$A$19="",0,IF(ISNUMBER(SEARCH(" "&amp;Task!$A$19&amp;" "," "&amp;LOWER(SUBSTITUTE(SUBSTITUTE(SUBSTITUTE(SUBSTITUTE(A40,"/"," "),"."," "),"\"," "),"_"," "))&amp;" ")),1,0)))</f>
        <v/>
      </c>
      <c r="I40" s="10">
        <f>IF(OR(E40=0,F40=0,Task!$B$21=0),"",F40/Task!$B$21+0.5*G40+0.25*H40)</f>
        <v/>
      </c>
      <c r="J40" s="5">
        <f>IF(I40="","",I40-ROW()/1000000)</f>
        <v/>
      </c>
      <c r="K40" s="9">
        <f>IF(J40="","",COUNTIF($J$5:$J$404,"&gt;"&amp;J40)+1)</f>
        <v/>
      </c>
    </row>
    <row r="41">
      <c r="A41" s="7" t="n"/>
      <c r="B41" s="7" t="n"/>
      <c r="C41" s="7" t="n"/>
      <c r="D41" s="7" t="n"/>
      <c r="E41" s="5">
        <f>IF(A41="",0,IF(COUNTA(Task!$B$5:$E$5)=0,1,IF(COUNTIF(Task!$B$5:$E$5,B41)&gt;0,1,0)))</f>
        <v/>
      </c>
      <c r="F41" s="9">
        <f>IF(E41=0,0,IF(Task!$A$8="",0,IF(ISNUMBER(SEARCH(" "&amp;Task!$A$8&amp;" "," "&amp;LOWER(D41&amp;" "&amp;C41&amp;" "&amp;LOWER(SUBSTITUTE(SUBSTITUTE(SUBSTITUTE(SUBSTITUTE(A41,"/"," "),"."," "),"\"," "),"_"," ")))&amp;" ")),1,0))+IF(Task!$A$9="",0,IF(ISNUMBER(SEARCH(" "&amp;Task!$A$9&amp;" "," "&amp;LOWER(D41&amp;" "&amp;C41&amp;" "&amp;LOWER(SUBSTITUTE(SUBSTITUTE(SUBSTITUTE(SUBSTITUTE(A41,"/"," "),"."," "),"\"," "),"_"," ")))&amp;" ")),1,0))+IF(Task!$A$10="",0,IF(ISNUMBER(SEARCH(" "&amp;Task!$A$10&amp;" "," "&amp;LOWER(D41&amp;" "&amp;C41&amp;" "&amp;LOWER(SUBSTITUTE(SUBSTITUTE(SUBSTITUTE(SUBSTITUTE(A41,"/"," "),"."," "),"\"," "),"_"," ")))&amp;" ")),1,0))+IF(Task!$A$11="",0,IF(ISNUMBER(SEARCH(" "&amp;Task!$A$11&amp;" "," "&amp;LOWER(D41&amp;" "&amp;C41&amp;" "&amp;LOWER(SUBSTITUTE(SUBSTITUTE(SUBSTITUTE(SUBSTITUTE(A41,"/"," "),"."," "),"\"," "),"_"," ")))&amp;" ")),1,0))+IF(Task!$A$12="",0,IF(ISNUMBER(SEARCH(" "&amp;Task!$A$12&amp;" "," "&amp;LOWER(D41&amp;" "&amp;C41&amp;" "&amp;LOWER(SUBSTITUTE(SUBSTITUTE(SUBSTITUTE(SUBSTITUTE(A41,"/"," "),"."," "),"\"," "),"_"," ")))&amp;" ")),1,0))+IF(Task!$A$13="",0,IF(ISNUMBER(SEARCH(" "&amp;Task!$A$13&amp;" "," "&amp;LOWER(D41&amp;" "&amp;C41&amp;" "&amp;LOWER(SUBSTITUTE(SUBSTITUTE(SUBSTITUTE(SUBSTITUTE(A41,"/"," "),"."," "),"\"," "),"_"," ")))&amp;" ")),1,0))+IF(Task!$A$14="",0,IF(ISNUMBER(SEARCH(" "&amp;Task!$A$14&amp;" "," "&amp;LOWER(D41&amp;" "&amp;C41&amp;" "&amp;LOWER(SUBSTITUTE(SUBSTITUTE(SUBSTITUTE(SUBSTITUTE(A41,"/"," "),"."," "),"\"," "),"_"," ")))&amp;" ")),1,0))+IF(Task!$A$15="",0,IF(ISNUMBER(SEARCH(" "&amp;Task!$A$15&amp;" "," "&amp;LOWER(D41&amp;" "&amp;C41&amp;" "&amp;LOWER(SUBSTITUTE(SUBSTITUTE(SUBSTITUTE(SUBSTITUTE(A41,"/"," "),"."," "),"\"," "),"_"," ")))&amp;" ")),1,0))+IF(Task!$A$16="",0,IF(ISNUMBER(SEARCH(" "&amp;Task!$A$16&amp;" "," "&amp;LOWER(D41&amp;" "&amp;C41&amp;" "&amp;LOWER(SUBSTITUTE(SUBSTITUTE(SUBSTITUTE(SUBSTITUTE(A41,"/"," "),"."," "),"\"," "),"_"," ")))&amp;" ")),1,0))+IF(Task!$A$17="",0,IF(ISNUMBER(SEARCH(" "&amp;Task!$A$17&amp;" "," "&amp;LOWER(D41&amp;" "&amp;C41&amp;" "&amp;LOWER(SUBSTITUTE(SUBSTITUTE(SUBSTITUTE(SUBSTITUTE(A41,"/"," "),"."," "),"\"," "),"_"," ")))&amp;" ")),1,0))+IF(Task!$A$18="",0,IF(ISNUMBER(SEARCH(" "&amp;Task!$A$18&amp;" "," "&amp;LOWER(D41&amp;" "&amp;C41&amp;" "&amp;LOWER(SUBSTITUTE(SUBSTITUTE(SUBSTITUTE(SUBSTITUTE(A41,"/"," "),"."," "),"\"," "),"_"," ")))&amp;" ")),1,0))+IF(Task!$A$19="",0,IF(ISNUMBER(SEARCH(" "&amp;Task!$A$19&amp;" "," "&amp;LOWER(D41&amp;" "&amp;C41&amp;" "&amp;LOWER(SUBSTITUTE(SUBSTITUTE(SUBSTITUTE(SUBSTITUTE(A41,"/"," "),"."," "),"\"," "),"_"," ")))&amp;" ")),1,0)))</f>
        <v/>
      </c>
      <c r="G41" s="9">
        <f>IF(E41=0,0,IF(Task!$A$8="",0,IF(ISNUMBER(SEARCH(" "&amp;Task!$A$8&amp;" "," "&amp;LOWER(C41)&amp;" ")),1,0))+IF(Task!$A$9="",0,IF(ISNUMBER(SEARCH(" "&amp;Task!$A$9&amp;" "," "&amp;LOWER(C41)&amp;" ")),1,0))+IF(Task!$A$10="",0,IF(ISNUMBER(SEARCH(" "&amp;Task!$A$10&amp;" "," "&amp;LOWER(C41)&amp;" ")),1,0))+IF(Task!$A$11="",0,IF(ISNUMBER(SEARCH(" "&amp;Task!$A$11&amp;" "," "&amp;LOWER(C41)&amp;" ")),1,0))+IF(Task!$A$12="",0,IF(ISNUMBER(SEARCH(" "&amp;Task!$A$12&amp;" "," "&amp;LOWER(C41)&amp;" ")),1,0))+IF(Task!$A$13="",0,IF(ISNUMBER(SEARCH(" "&amp;Task!$A$13&amp;" "," "&amp;LOWER(C41)&amp;" ")),1,0))+IF(Task!$A$14="",0,IF(ISNUMBER(SEARCH(" "&amp;Task!$A$14&amp;" "," "&amp;LOWER(C41)&amp;" ")),1,0))+IF(Task!$A$15="",0,IF(ISNUMBER(SEARCH(" "&amp;Task!$A$15&amp;" "," "&amp;LOWER(C41)&amp;" ")),1,0))+IF(Task!$A$16="",0,IF(ISNUMBER(SEARCH(" "&amp;Task!$A$16&amp;" "," "&amp;LOWER(C41)&amp;" ")),1,0))+IF(Task!$A$17="",0,IF(ISNUMBER(SEARCH(" "&amp;Task!$A$17&amp;" "," "&amp;LOWER(C41)&amp;" ")),1,0))+IF(Task!$A$18="",0,IF(ISNUMBER(SEARCH(" "&amp;Task!$A$18&amp;" "," "&amp;LOWER(C41)&amp;" ")),1,0))+IF(Task!$A$19="",0,IF(ISNUMBER(SEARCH(" "&amp;Task!$A$19&amp;" "," "&amp;LOWER(C41)&amp;" ")),1,0)))</f>
        <v/>
      </c>
      <c r="H41" s="9">
        <f>IF(E41=0,0,IF(Task!$A$8="",0,IF(ISNUMBER(SEARCH(" "&amp;Task!$A$8&amp;" "," "&amp;LOWER(SUBSTITUTE(SUBSTITUTE(SUBSTITUTE(SUBSTITUTE(A41,"/"," "),"."," "),"\"," "),"_"," "))&amp;" ")),1,0))+IF(Task!$A$9="",0,IF(ISNUMBER(SEARCH(" "&amp;Task!$A$9&amp;" "," "&amp;LOWER(SUBSTITUTE(SUBSTITUTE(SUBSTITUTE(SUBSTITUTE(A41,"/"," "),"."," "),"\"," "),"_"," "))&amp;" ")),1,0))+IF(Task!$A$10="",0,IF(ISNUMBER(SEARCH(" "&amp;Task!$A$10&amp;" "," "&amp;LOWER(SUBSTITUTE(SUBSTITUTE(SUBSTITUTE(SUBSTITUTE(A41,"/"," "),"."," "),"\"," "),"_"," "))&amp;" ")),1,0))+IF(Task!$A$11="",0,IF(ISNUMBER(SEARCH(" "&amp;Task!$A$11&amp;" "," "&amp;LOWER(SUBSTITUTE(SUBSTITUTE(SUBSTITUTE(SUBSTITUTE(A41,"/"," "),"."," "),"\"," "),"_"," "))&amp;" ")),1,0))+IF(Task!$A$12="",0,IF(ISNUMBER(SEARCH(" "&amp;Task!$A$12&amp;" "," "&amp;LOWER(SUBSTITUTE(SUBSTITUTE(SUBSTITUTE(SUBSTITUTE(A41,"/"," "),"."," "),"\"," "),"_"," "))&amp;" ")),1,0))+IF(Task!$A$13="",0,IF(ISNUMBER(SEARCH(" "&amp;Task!$A$13&amp;" "," "&amp;LOWER(SUBSTITUTE(SUBSTITUTE(SUBSTITUTE(SUBSTITUTE(A41,"/"," "),"."," "),"\"," "),"_"," "))&amp;" ")),1,0))+IF(Task!$A$14="",0,IF(ISNUMBER(SEARCH(" "&amp;Task!$A$14&amp;" "," "&amp;LOWER(SUBSTITUTE(SUBSTITUTE(SUBSTITUTE(SUBSTITUTE(A41,"/"," "),"."," "),"\"," "),"_"," "))&amp;" ")),1,0))+IF(Task!$A$15="",0,IF(ISNUMBER(SEARCH(" "&amp;Task!$A$15&amp;" "," "&amp;LOWER(SUBSTITUTE(SUBSTITUTE(SUBSTITUTE(SUBSTITUTE(A41,"/"," "),"."," "),"\"," "),"_"," "))&amp;" ")),1,0))+IF(Task!$A$16="",0,IF(ISNUMBER(SEARCH(" "&amp;Task!$A$16&amp;" "," "&amp;LOWER(SUBSTITUTE(SUBSTITUTE(SUBSTITUTE(SUBSTITUTE(A41,"/"," "),"."," "),"\"," "),"_"," "))&amp;" ")),1,0))+IF(Task!$A$17="",0,IF(ISNUMBER(SEARCH(" "&amp;Task!$A$17&amp;" "," "&amp;LOWER(SUBSTITUTE(SUBSTITUTE(SUBSTITUTE(SUBSTITUTE(A41,"/"," "),"."," "),"\"," "),"_"," "))&amp;" ")),1,0))+IF(Task!$A$18="",0,IF(ISNUMBER(SEARCH(" "&amp;Task!$A$18&amp;" "," "&amp;LOWER(SUBSTITUTE(SUBSTITUTE(SUBSTITUTE(SUBSTITUTE(A41,"/"," "),"."," "),"\"," "),"_"," "))&amp;" ")),1,0))+IF(Task!$A$19="",0,IF(ISNUMBER(SEARCH(" "&amp;Task!$A$19&amp;" "," "&amp;LOWER(SUBSTITUTE(SUBSTITUTE(SUBSTITUTE(SUBSTITUTE(A41,"/"," "),"."," "),"\"," "),"_"," "))&amp;" ")),1,0)))</f>
        <v/>
      </c>
      <c r="I41" s="10">
        <f>IF(OR(E41=0,F41=0,Task!$B$21=0),"",F41/Task!$B$21+0.5*G41+0.25*H41)</f>
        <v/>
      </c>
      <c r="J41" s="5">
        <f>IF(I41="","",I41-ROW()/1000000)</f>
        <v/>
      </c>
      <c r="K41" s="9">
        <f>IF(J41="","",COUNTIF($J$5:$J$404,"&gt;"&amp;J41)+1)</f>
        <v/>
      </c>
    </row>
    <row r="42">
      <c r="A42" s="7" t="n"/>
      <c r="B42" s="7" t="n"/>
      <c r="C42" s="7" t="n"/>
      <c r="D42" s="7" t="n"/>
      <c r="E42" s="5">
        <f>IF(A42="",0,IF(COUNTA(Task!$B$5:$E$5)=0,1,IF(COUNTIF(Task!$B$5:$E$5,B42)&gt;0,1,0)))</f>
        <v/>
      </c>
      <c r="F42" s="9">
        <f>IF(E42=0,0,IF(Task!$A$8="",0,IF(ISNUMBER(SEARCH(" "&amp;Task!$A$8&amp;" "," "&amp;LOWER(D42&amp;" "&amp;C42&amp;" "&amp;LOWER(SUBSTITUTE(SUBSTITUTE(SUBSTITUTE(SUBSTITUTE(A42,"/"," "),"."," "),"\"," "),"_"," ")))&amp;" ")),1,0))+IF(Task!$A$9="",0,IF(ISNUMBER(SEARCH(" "&amp;Task!$A$9&amp;" "," "&amp;LOWER(D42&amp;" "&amp;C42&amp;" "&amp;LOWER(SUBSTITUTE(SUBSTITUTE(SUBSTITUTE(SUBSTITUTE(A42,"/"," "),"."," "),"\"," "),"_"," ")))&amp;" ")),1,0))+IF(Task!$A$10="",0,IF(ISNUMBER(SEARCH(" "&amp;Task!$A$10&amp;" "," "&amp;LOWER(D42&amp;" "&amp;C42&amp;" "&amp;LOWER(SUBSTITUTE(SUBSTITUTE(SUBSTITUTE(SUBSTITUTE(A42,"/"," "),"."," "),"\"," "),"_"," ")))&amp;" ")),1,0))+IF(Task!$A$11="",0,IF(ISNUMBER(SEARCH(" "&amp;Task!$A$11&amp;" "," "&amp;LOWER(D42&amp;" "&amp;C42&amp;" "&amp;LOWER(SUBSTITUTE(SUBSTITUTE(SUBSTITUTE(SUBSTITUTE(A42,"/"," "),"."," "),"\"," "),"_"," ")))&amp;" ")),1,0))+IF(Task!$A$12="",0,IF(ISNUMBER(SEARCH(" "&amp;Task!$A$12&amp;" "," "&amp;LOWER(D42&amp;" "&amp;C42&amp;" "&amp;LOWER(SUBSTITUTE(SUBSTITUTE(SUBSTITUTE(SUBSTITUTE(A42,"/"," "),"."," "),"\"," "),"_"," ")))&amp;" ")),1,0))+IF(Task!$A$13="",0,IF(ISNUMBER(SEARCH(" "&amp;Task!$A$13&amp;" "," "&amp;LOWER(D42&amp;" "&amp;C42&amp;" "&amp;LOWER(SUBSTITUTE(SUBSTITUTE(SUBSTITUTE(SUBSTITUTE(A42,"/"," "),"."," "),"\"," "),"_"," ")))&amp;" ")),1,0))+IF(Task!$A$14="",0,IF(ISNUMBER(SEARCH(" "&amp;Task!$A$14&amp;" "," "&amp;LOWER(D42&amp;" "&amp;C42&amp;" "&amp;LOWER(SUBSTITUTE(SUBSTITUTE(SUBSTITUTE(SUBSTITUTE(A42,"/"," "),"."," "),"\"," "),"_"," ")))&amp;" ")),1,0))+IF(Task!$A$15="",0,IF(ISNUMBER(SEARCH(" "&amp;Task!$A$15&amp;" "," "&amp;LOWER(D42&amp;" "&amp;C42&amp;" "&amp;LOWER(SUBSTITUTE(SUBSTITUTE(SUBSTITUTE(SUBSTITUTE(A42,"/"," "),"."," "),"\"," "),"_"," ")))&amp;" ")),1,0))+IF(Task!$A$16="",0,IF(ISNUMBER(SEARCH(" "&amp;Task!$A$16&amp;" "," "&amp;LOWER(D42&amp;" "&amp;C42&amp;" "&amp;LOWER(SUBSTITUTE(SUBSTITUTE(SUBSTITUTE(SUBSTITUTE(A42,"/"," "),"."," "),"\"," "),"_"," ")))&amp;" ")),1,0))+IF(Task!$A$17="",0,IF(ISNUMBER(SEARCH(" "&amp;Task!$A$17&amp;" "," "&amp;LOWER(D42&amp;" "&amp;C42&amp;" "&amp;LOWER(SUBSTITUTE(SUBSTITUTE(SUBSTITUTE(SUBSTITUTE(A42,"/"," "),"."," "),"\"," "),"_"," ")))&amp;" ")),1,0))+IF(Task!$A$18="",0,IF(ISNUMBER(SEARCH(" "&amp;Task!$A$18&amp;" "," "&amp;LOWER(D42&amp;" "&amp;C42&amp;" "&amp;LOWER(SUBSTITUTE(SUBSTITUTE(SUBSTITUTE(SUBSTITUTE(A42,"/"," "),"."," "),"\"," "),"_"," ")))&amp;" ")),1,0))+IF(Task!$A$19="",0,IF(ISNUMBER(SEARCH(" "&amp;Task!$A$19&amp;" "," "&amp;LOWER(D42&amp;" "&amp;C42&amp;" "&amp;LOWER(SUBSTITUTE(SUBSTITUTE(SUBSTITUTE(SUBSTITUTE(A42,"/"," "),"."," "),"\"," "),"_"," ")))&amp;" ")),1,0)))</f>
        <v/>
      </c>
      <c r="G42" s="9">
        <f>IF(E42=0,0,IF(Task!$A$8="",0,IF(ISNUMBER(SEARCH(" "&amp;Task!$A$8&amp;" "," "&amp;LOWER(C42)&amp;" ")),1,0))+IF(Task!$A$9="",0,IF(ISNUMBER(SEARCH(" "&amp;Task!$A$9&amp;" "," "&amp;LOWER(C42)&amp;" ")),1,0))+IF(Task!$A$10="",0,IF(ISNUMBER(SEARCH(" "&amp;Task!$A$10&amp;" "," "&amp;LOWER(C42)&amp;" ")),1,0))+IF(Task!$A$11="",0,IF(ISNUMBER(SEARCH(" "&amp;Task!$A$11&amp;" "," "&amp;LOWER(C42)&amp;" ")),1,0))+IF(Task!$A$12="",0,IF(ISNUMBER(SEARCH(" "&amp;Task!$A$12&amp;" "," "&amp;LOWER(C42)&amp;" ")),1,0))+IF(Task!$A$13="",0,IF(ISNUMBER(SEARCH(" "&amp;Task!$A$13&amp;" "," "&amp;LOWER(C42)&amp;" ")),1,0))+IF(Task!$A$14="",0,IF(ISNUMBER(SEARCH(" "&amp;Task!$A$14&amp;" "," "&amp;LOWER(C42)&amp;" ")),1,0))+IF(Task!$A$15="",0,IF(ISNUMBER(SEARCH(" "&amp;Task!$A$15&amp;" "," "&amp;LOWER(C42)&amp;" ")),1,0))+IF(Task!$A$16="",0,IF(ISNUMBER(SEARCH(" "&amp;Task!$A$16&amp;" "," "&amp;LOWER(C42)&amp;" ")),1,0))+IF(Task!$A$17="",0,IF(ISNUMBER(SEARCH(" "&amp;Task!$A$17&amp;" "," "&amp;LOWER(C42)&amp;" ")),1,0))+IF(Task!$A$18="",0,IF(ISNUMBER(SEARCH(" "&amp;Task!$A$18&amp;" "," "&amp;LOWER(C42)&amp;" ")),1,0))+IF(Task!$A$19="",0,IF(ISNUMBER(SEARCH(" "&amp;Task!$A$19&amp;" "," "&amp;LOWER(C42)&amp;" ")),1,0)))</f>
        <v/>
      </c>
      <c r="H42" s="9">
        <f>IF(E42=0,0,IF(Task!$A$8="",0,IF(ISNUMBER(SEARCH(" "&amp;Task!$A$8&amp;" "," "&amp;LOWER(SUBSTITUTE(SUBSTITUTE(SUBSTITUTE(SUBSTITUTE(A42,"/"," "),"."," "),"\"," "),"_"," "))&amp;" ")),1,0))+IF(Task!$A$9="",0,IF(ISNUMBER(SEARCH(" "&amp;Task!$A$9&amp;" "," "&amp;LOWER(SUBSTITUTE(SUBSTITUTE(SUBSTITUTE(SUBSTITUTE(A42,"/"," "),"."," "),"\"," "),"_"," "))&amp;" ")),1,0))+IF(Task!$A$10="",0,IF(ISNUMBER(SEARCH(" "&amp;Task!$A$10&amp;" "," "&amp;LOWER(SUBSTITUTE(SUBSTITUTE(SUBSTITUTE(SUBSTITUTE(A42,"/"," "),"."," "),"\"," "),"_"," "))&amp;" ")),1,0))+IF(Task!$A$11="",0,IF(ISNUMBER(SEARCH(" "&amp;Task!$A$11&amp;" "," "&amp;LOWER(SUBSTITUTE(SUBSTITUTE(SUBSTITUTE(SUBSTITUTE(A42,"/"," "),"."," "),"\"," "),"_"," "))&amp;" ")),1,0))+IF(Task!$A$12="",0,IF(ISNUMBER(SEARCH(" "&amp;Task!$A$12&amp;" "," "&amp;LOWER(SUBSTITUTE(SUBSTITUTE(SUBSTITUTE(SUBSTITUTE(A42,"/"," "),"."," "),"\"," "),"_"," "))&amp;" ")),1,0))+IF(Task!$A$13="",0,IF(ISNUMBER(SEARCH(" "&amp;Task!$A$13&amp;" "," "&amp;LOWER(SUBSTITUTE(SUBSTITUTE(SUBSTITUTE(SUBSTITUTE(A42,"/"," "),"."," "),"\"," "),"_"," "))&amp;" ")),1,0))+IF(Task!$A$14="",0,IF(ISNUMBER(SEARCH(" "&amp;Task!$A$14&amp;" "," "&amp;LOWER(SUBSTITUTE(SUBSTITUTE(SUBSTITUTE(SUBSTITUTE(A42,"/"," "),"."," "),"\"," "),"_"," "))&amp;" ")),1,0))+IF(Task!$A$15="",0,IF(ISNUMBER(SEARCH(" "&amp;Task!$A$15&amp;" "," "&amp;LOWER(SUBSTITUTE(SUBSTITUTE(SUBSTITUTE(SUBSTITUTE(A42,"/"," "),"."," "),"\"," "),"_"," "))&amp;" ")),1,0))+IF(Task!$A$16="",0,IF(ISNUMBER(SEARCH(" "&amp;Task!$A$16&amp;" "," "&amp;LOWER(SUBSTITUTE(SUBSTITUTE(SUBSTITUTE(SUBSTITUTE(A42,"/"," "),"."," "),"\"," "),"_"," "))&amp;" ")),1,0))+IF(Task!$A$17="",0,IF(ISNUMBER(SEARCH(" "&amp;Task!$A$17&amp;" "," "&amp;LOWER(SUBSTITUTE(SUBSTITUTE(SUBSTITUTE(SUBSTITUTE(A42,"/"," "),"."," "),"\"," "),"_"," "))&amp;" ")),1,0))+IF(Task!$A$18="",0,IF(ISNUMBER(SEARCH(" "&amp;Task!$A$18&amp;" "," "&amp;LOWER(SUBSTITUTE(SUBSTITUTE(SUBSTITUTE(SUBSTITUTE(A42,"/"," "),"."," "),"\"," "),"_"," "))&amp;" ")),1,0))+IF(Task!$A$19="",0,IF(ISNUMBER(SEARCH(" "&amp;Task!$A$19&amp;" "," "&amp;LOWER(SUBSTITUTE(SUBSTITUTE(SUBSTITUTE(SUBSTITUTE(A42,"/"," "),"."," "),"\"," "),"_"," "))&amp;" ")),1,0)))</f>
        <v/>
      </c>
      <c r="I42" s="10">
        <f>IF(OR(E42=0,F42=0,Task!$B$21=0),"",F42/Task!$B$21+0.5*G42+0.25*H42)</f>
        <v/>
      </c>
      <c r="J42" s="5">
        <f>IF(I42="","",I42-ROW()/1000000)</f>
        <v/>
      </c>
      <c r="K42" s="9">
        <f>IF(J42="","",COUNTIF($J$5:$J$404,"&gt;"&amp;J42)+1)</f>
        <v/>
      </c>
    </row>
    <row r="43">
      <c r="A43" s="7" t="n"/>
      <c r="B43" s="7" t="n"/>
      <c r="C43" s="7" t="n"/>
      <c r="D43" s="7" t="n"/>
      <c r="E43" s="5">
        <f>IF(A43="",0,IF(COUNTA(Task!$B$5:$E$5)=0,1,IF(COUNTIF(Task!$B$5:$E$5,B43)&gt;0,1,0)))</f>
        <v/>
      </c>
      <c r="F43" s="9">
        <f>IF(E43=0,0,IF(Task!$A$8="",0,IF(ISNUMBER(SEARCH(" "&amp;Task!$A$8&amp;" "," "&amp;LOWER(D43&amp;" "&amp;C43&amp;" "&amp;LOWER(SUBSTITUTE(SUBSTITUTE(SUBSTITUTE(SUBSTITUTE(A43,"/"," "),"."," "),"\"," "),"_"," ")))&amp;" ")),1,0))+IF(Task!$A$9="",0,IF(ISNUMBER(SEARCH(" "&amp;Task!$A$9&amp;" "," "&amp;LOWER(D43&amp;" "&amp;C43&amp;" "&amp;LOWER(SUBSTITUTE(SUBSTITUTE(SUBSTITUTE(SUBSTITUTE(A43,"/"," "),"."," "),"\"," "),"_"," ")))&amp;" ")),1,0))+IF(Task!$A$10="",0,IF(ISNUMBER(SEARCH(" "&amp;Task!$A$10&amp;" "," "&amp;LOWER(D43&amp;" "&amp;C43&amp;" "&amp;LOWER(SUBSTITUTE(SUBSTITUTE(SUBSTITUTE(SUBSTITUTE(A43,"/"," "),"."," "),"\"," "),"_"," ")))&amp;" ")),1,0))+IF(Task!$A$11="",0,IF(ISNUMBER(SEARCH(" "&amp;Task!$A$11&amp;" "," "&amp;LOWER(D43&amp;" "&amp;C43&amp;" "&amp;LOWER(SUBSTITUTE(SUBSTITUTE(SUBSTITUTE(SUBSTITUTE(A43,"/"," "),"."," "),"\"," "),"_"," ")))&amp;" ")),1,0))+IF(Task!$A$12="",0,IF(ISNUMBER(SEARCH(" "&amp;Task!$A$12&amp;" "," "&amp;LOWER(D43&amp;" "&amp;C43&amp;" "&amp;LOWER(SUBSTITUTE(SUBSTITUTE(SUBSTITUTE(SUBSTITUTE(A43,"/"," "),"."," "),"\"," "),"_"," ")))&amp;" ")),1,0))+IF(Task!$A$13="",0,IF(ISNUMBER(SEARCH(" "&amp;Task!$A$13&amp;" "," "&amp;LOWER(D43&amp;" "&amp;C43&amp;" "&amp;LOWER(SUBSTITUTE(SUBSTITUTE(SUBSTITUTE(SUBSTITUTE(A43,"/"," "),"."," "),"\"," "),"_"," ")))&amp;" ")),1,0))+IF(Task!$A$14="",0,IF(ISNUMBER(SEARCH(" "&amp;Task!$A$14&amp;" "," "&amp;LOWER(D43&amp;" "&amp;C43&amp;" "&amp;LOWER(SUBSTITUTE(SUBSTITUTE(SUBSTITUTE(SUBSTITUTE(A43,"/"," "),"."," "),"\"," "),"_"," ")))&amp;" ")),1,0))+IF(Task!$A$15="",0,IF(ISNUMBER(SEARCH(" "&amp;Task!$A$15&amp;" "," "&amp;LOWER(D43&amp;" "&amp;C43&amp;" "&amp;LOWER(SUBSTITUTE(SUBSTITUTE(SUBSTITUTE(SUBSTITUTE(A43,"/"," "),"."," "),"\"," "),"_"," ")))&amp;" ")),1,0))+IF(Task!$A$16="",0,IF(ISNUMBER(SEARCH(" "&amp;Task!$A$16&amp;" "," "&amp;LOWER(D43&amp;" "&amp;C43&amp;" "&amp;LOWER(SUBSTITUTE(SUBSTITUTE(SUBSTITUTE(SUBSTITUTE(A43,"/"," "),"."," "),"\"," "),"_"," ")))&amp;" ")),1,0))+IF(Task!$A$17="",0,IF(ISNUMBER(SEARCH(" "&amp;Task!$A$17&amp;" "," "&amp;LOWER(D43&amp;" "&amp;C43&amp;" "&amp;LOWER(SUBSTITUTE(SUBSTITUTE(SUBSTITUTE(SUBSTITUTE(A43,"/"," "),"."," "),"\"," "),"_"," ")))&amp;" ")),1,0))+IF(Task!$A$18="",0,IF(ISNUMBER(SEARCH(" "&amp;Task!$A$18&amp;" "," "&amp;LOWER(D43&amp;" "&amp;C43&amp;" "&amp;LOWER(SUBSTITUTE(SUBSTITUTE(SUBSTITUTE(SUBSTITUTE(A43,"/"," "),"."," "),"\"," "),"_"," ")))&amp;" ")),1,0))+IF(Task!$A$19="",0,IF(ISNUMBER(SEARCH(" "&amp;Task!$A$19&amp;" "," "&amp;LOWER(D43&amp;" "&amp;C43&amp;" "&amp;LOWER(SUBSTITUTE(SUBSTITUTE(SUBSTITUTE(SUBSTITUTE(A43,"/"," "),"."," "),"\"," "),"_"," ")))&amp;" ")),1,0)))</f>
        <v/>
      </c>
      <c r="G43" s="9">
        <f>IF(E43=0,0,IF(Task!$A$8="",0,IF(ISNUMBER(SEARCH(" "&amp;Task!$A$8&amp;" "," "&amp;LOWER(C43)&amp;" ")),1,0))+IF(Task!$A$9="",0,IF(ISNUMBER(SEARCH(" "&amp;Task!$A$9&amp;" "," "&amp;LOWER(C43)&amp;" ")),1,0))+IF(Task!$A$10="",0,IF(ISNUMBER(SEARCH(" "&amp;Task!$A$10&amp;" "," "&amp;LOWER(C43)&amp;" ")),1,0))+IF(Task!$A$11="",0,IF(ISNUMBER(SEARCH(" "&amp;Task!$A$11&amp;" "," "&amp;LOWER(C43)&amp;" ")),1,0))+IF(Task!$A$12="",0,IF(ISNUMBER(SEARCH(" "&amp;Task!$A$12&amp;" "," "&amp;LOWER(C43)&amp;" ")),1,0))+IF(Task!$A$13="",0,IF(ISNUMBER(SEARCH(" "&amp;Task!$A$13&amp;" "," "&amp;LOWER(C43)&amp;" ")),1,0))+IF(Task!$A$14="",0,IF(ISNUMBER(SEARCH(" "&amp;Task!$A$14&amp;" "," "&amp;LOWER(C43)&amp;" ")),1,0))+IF(Task!$A$15="",0,IF(ISNUMBER(SEARCH(" "&amp;Task!$A$15&amp;" "," "&amp;LOWER(C43)&amp;" ")),1,0))+IF(Task!$A$16="",0,IF(ISNUMBER(SEARCH(" "&amp;Task!$A$16&amp;" "," "&amp;LOWER(C43)&amp;" ")),1,0))+IF(Task!$A$17="",0,IF(ISNUMBER(SEARCH(" "&amp;Task!$A$17&amp;" "," "&amp;LOWER(C43)&amp;" ")),1,0))+IF(Task!$A$18="",0,IF(ISNUMBER(SEARCH(" "&amp;Task!$A$18&amp;" "," "&amp;LOWER(C43)&amp;" ")),1,0))+IF(Task!$A$19="",0,IF(ISNUMBER(SEARCH(" "&amp;Task!$A$19&amp;" "," "&amp;LOWER(C43)&amp;" ")),1,0)))</f>
        <v/>
      </c>
      <c r="H43" s="9">
        <f>IF(E43=0,0,IF(Task!$A$8="",0,IF(ISNUMBER(SEARCH(" "&amp;Task!$A$8&amp;" "," "&amp;LOWER(SUBSTITUTE(SUBSTITUTE(SUBSTITUTE(SUBSTITUTE(A43,"/"," "),"."," "),"\"," "),"_"," "))&amp;" ")),1,0))+IF(Task!$A$9="",0,IF(ISNUMBER(SEARCH(" "&amp;Task!$A$9&amp;" "," "&amp;LOWER(SUBSTITUTE(SUBSTITUTE(SUBSTITUTE(SUBSTITUTE(A43,"/"," "),"."," "),"\"," "),"_"," "))&amp;" ")),1,0))+IF(Task!$A$10="",0,IF(ISNUMBER(SEARCH(" "&amp;Task!$A$10&amp;" "," "&amp;LOWER(SUBSTITUTE(SUBSTITUTE(SUBSTITUTE(SUBSTITUTE(A43,"/"," "),"."," "),"\"," "),"_"," "))&amp;" ")),1,0))+IF(Task!$A$11="",0,IF(ISNUMBER(SEARCH(" "&amp;Task!$A$11&amp;" "," "&amp;LOWER(SUBSTITUTE(SUBSTITUTE(SUBSTITUTE(SUBSTITUTE(A43,"/"," "),"."," "),"\"," "),"_"," "))&amp;" ")),1,0))+IF(Task!$A$12="",0,IF(ISNUMBER(SEARCH(" "&amp;Task!$A$12&amp;" "," "&amp;LOWER(SUBSTITUTE(SUBSTITUTE(SUBSTITUTE(SUBSTITUTE(A43,"/"," "),"."," "),"\"," "),"_"," "))&amp;" ")),1,0))+IF(Task!$A$13="",0,IF(ISNUMBER(SEARCH(" "&amp;Task!$A$13&amp;" "," "&amp;LOWER(SUBSTITUTE(SUBSTITUTE(SUBSTITUTE(SUBSTITUTE(A43,"/"," "),"."," "),"\"," "),"_"," "))&amp;" ")),1,0))+IF(Task!$A$14="",0,IF(ISNUMBER(SEARCH(" "&amp;Task!$A$14&amp;" "," "&amp;LOWER(SUBSTITUTE(SUBSTITUTE(SUBSTITUTE(SUBSTITUTE(A43,"/"," "),"."," "),"\"," "),"_"," "))&amp;" ")),1,0))+IF(Task!$A$15="",0,IF(ISNUMBER(SEARCH(" "&amp;Task!$A$15&amp;" "," "&amp;LOWER(SUBSTITUTE(SUBSTITUTE(SUBSTITUTE(SUBSTITUTE(A43,"/"," "),"."," "),"\"," "),"_"," "))&amp;" ")),1,0))+IF(Task!$A$16="",0,IF(ISNUMBER(SEARCH(" "&amp;Task!$A$16&amp;" "," "&amp;LOWER(SUBSTITUTE(SUBSTITUTE(SUBSTITUTE(SUBSTITUTE(A43,"/"," "),"."," "),"\"," "),"_"," "))&amp;" ")),1,0))+IF(Task!$A$17="",0,IF(ISNUMBER(SEARCH(" "&amp;Task!$A$17&amp;" "," "&amp;LOWER(SUBSTITUTE(SUBSTITUTE(SUBSTITUTE(SUBSTITUTE(A43,"/"," "),"."," "),"\"," "),"_"," "))&amp;" ")),1,0))+IF(Task!$A$18="",0,IF(ISNUMBER(SEARCH(" "&amp;Task!$A$18&amp;" "," "&amp;LOWER(SUBSTITUTE(SUBSTITUTE(SUBSTITUTE(SUBSTITUTE(A43,"/"," "),"."," "),"\"," "),"_"," "))&amp;" ")),1,0))+IF(Task!$A$19="",0,IF(ISNUMBER(SEARCH(" "&amp;Task!$A$19&amp;" "," "&amp;LOWER(SUBSTITUTE(SUBSTITUTE(SUBSTITUTE(SUBSTITUTE(A43,"/"," "),"."," "),"\"," "),"_"," "))&amp;" ")),1,0)))</f>
        <v/>
      </c>
      <c r="I43" s="10">
        <f>IF(OR(E43=0,F43=0,Task!$B$21=0),"",F43/Task!$B$21+0.5*G43+0.25*H43)</f>
        <v/>
      </c>
      <c r="J43" s="5">
        <f>IF(I43="","",I43-ROW()/1000000)</f>
        <v/>
      </c>
      <c r="K43" s="9">
        <f>IF(J43="","",COUNTIF($J$5:$J$404,"&gt;"&amp;J43)+1)</f>
        <v/>
      </c>
    </row>
    <row r="44">
      <c r="A44" s="7" t="n"/>
      <c r="B44" s="7" t="n"/>
      <c r="C44" s="7" t="n"/>
      <c r="D44" s="7" t="n"/>
      <c r="E44" s="5">
        <f>IF(A44="",0,IF(COUNTA(Task!$B$5:$E$5)=0,1,IF(COUNTIF(Task!$B$5:$E$5,B44)&gt;0,1,0)))</f>
        <v/>
      </c>
      <c r="F44" s="9">
        <f>IF(E44=0,0,IF(Task!$A$8="",0,IF(ISNUMBER(SEARCH(" "&amp;Task!$A$8&amp;" "," "&amp;LOWER(D44&amp;" "&amp;C44&amp;" "&amp;LOWER(SUBSTITUTE(SUBSTITUTE(SUBSTITUTE(SUBSTITUTE(A44,"/"," "),"."," "),"\"," "),"_"," ")))&amp;" ")),1,0))+IF(Task!$A$9="",0,IF(ISNUMBER(SEARCH(" "&amp;Task!$A$9&amp;" "," "&amp;LOWER(D44&amp;" "&amp;C44&amp;" "&amp;LOWER(SUBSTITUTE(SUBSTITUTE(SUBSTITUTE(SUBSTITUTE(A44,"/"," "),"."," "),"\"," "),"_"," ")))&amp;" ")),1,0))+IF(Task!$A$10="",0,IF(ISNUMBER(SEARCH(" "&amp;Task!$A$10&amp;" "," "&amp;LOWER(D44&amp;" "&amp;C44&amp;" "&amp;LOWER(SUBSTITUTE(SUBSTITUTE(SUBSTITUTE(SUBSTITUTE(A44,"/"," "),"."," "),"\"," "),"_"," ")))&amp;" ")),1,0))+IF(Task!$A$11="",0,IF(ISNUMBER(SEARCH(" "&amp;Task!$A$11&amp;" "," "&amp;LOWER(D44&amp;" "&amp;C44&amp;" "&amp;LOWER(SUBSTITUTE(SUBSTITUTE(SUBSTITUTE(SUBSTITUTE(A44,"/"," "),"."," "),"\"," "),"_"," ")))&amp;" ")),1,0))+IF(Task!$A$12="",0,IF(ISNUMBER(SEARCH(" "&amp;Task!$A$12&amp;" "," "&amp;LOWER(D44&amp;" "&amp;C44&amp;" "&amp;LOWER(SUBSTITUTE(SUBSTITUTE(SUBSTITUTE(SUBSTITUTE(A44,"/"," "),"."," "),"\"," "),"_"," ")))&amp;" ")),1,0))+IF(Task!$A$13="",0,IF(ISNUMBER(SEARCH(" "&amp;Task!$A$13&amp;" "," "&amp;LOWER(D44&amp;" "&amp;C44&amp;" "&amp;LOWER(SUBSTITUTE(SUBSTITUTE(SUBSTITUTE(SUBSTITUTE(A44,"/"," "),"."," "),"\"," "),"_"," ")))&amp;" ")),1,0))+IF(Task!$A$14="",0,IF(ISNUMBER(SEARCH(" "&amp;Task!$A$14&amp;" "," "&amp;LOWER(D44&amp;" "&amp;C44&amp;" "&amp;LOWER(SUBSTITUTE(SUBSTITUTE(SUBSTITUTE(SUBSTITUTE(A44,"/"," "),"."," "),"\"," "),"_"," ")))&amp;" ")),1,0))+IF(Task!$A$15="",0,IF(ISNUMBER(SEARCH(" "&amp;Task!$A$15&amp;" "," "&amp;LOWER(D44&amp;" "&amp;C44&amp;" "&amp;LOWER(SUBSTITUTE(SUBSTITUTE(SUBSTITUTE(SUBSTITUTE(A44,"/"," "),"."," "),"\"," "),"_"," ")))&amp;" ")),1,0))+IF(Task!$A$16="",0,IF(ISNUMBER(SEARCH(" "&amp;Task!$A$16&amp;" "," "&amp;LOWER(D44&amp;" "&amp;C44&amp;" "&amp;LOWER(SUBSTITUTE(SUBSTITUTE(SUBSTITUTE(SUBSTITUTE(A44,"/"," "),"."," "),"\"," "),"_"," ")))&amp;" ")),1,0))+IF(Task!$A$17="",0,IF(ISNUMBER(SEARCH(" "&amp;Task!$A$17&amp;" "," "&amp;LOWER(D44&amp;" "&amp;C44&amp;" "&amp;LOWER(SUBSTITUTE(SUBSTITUTE(SUBSTITUTE(SUBSTITUTE(A44,"/"," "),"."," "),"\"," "),"_"," ")))&amp;" ")),1,0))+IF(Task!$A$18="",0,IF(ISNUMBER(SEARCH(" "&amp;Task!$A$18&amp;" "," "&amp;LOWER(D44&amp;" "&amp;C44&amp;" "&amp;LOWER(SUBSTITUTE(SUBSTITUTE(SUBSTITUTE(SUBSTITUTE(A44,"/"," "),"."," "),"\"," "),"_"," ")))&amp;" ")),1,0))+IF(Task!$A$19="",0,IF(ISNUMBER(SEARCH(" "&amp;Task!$A$19&amp;" "," "&amp;LOWER(D44&amp;" "&amp;C44&amp;" "&amp;LOWER(SUBSTITUTE(SUBSTITUTE(SUBSTITUTE(SUBSTITUTE(A44,"/"," "),"."," "),"\"," "),"_"," ")))&amp;" ")),1,0)))</f>
        <v/>
      </c>
      <c r="G44" s="9">
        <f>IF(E44=0,0,IF(Task!$A$8="",0,IF(ISNUMBER(SEARCH(" "&amp;Task!$A$8&amp;" "," "&amp;LOWER(C44)&amp;" ")),1,0))+IF(Task!$A$9="",0,IF(ISNUMBER(SEARCH(" "&amp;Task!$A$9&amp;" "," "&amp;LOWER(C44)&amp;" ")),1,0))+IF(Task!$A$10="",0,IF(ISNUMBER(SEARCH(" "&amp;Task!$A$10&amp;" "," "&amp;LOWER(C44)&amp;" ")),1,0))+IF(Task!$A$11="",0,IF(ISNUMBER(SEARCH(" "&amp;Task!$A$11&amp;" "," "&amp;LOWER(C44)&amp;" ")),1,0))+IF(Task!$A$12="",0,IF(ISNUMBER(SEARCH(" "&amp;Task!$A$12&amp;" "," "&amp;LOWER(C44)&amp;" ")),1,0))+IF(Task!$A$13="",0,IF(ISNUMBER(SEARCH(" "&amp;Task!$A$13&amp;" "," "&amp;LOWER(C44)&amp;" ")),1,0))+IF(Task!$A$14="",0,IF(ISNUMBER(SEARCH(" "&amp;Task!$A$14&amp;" "," "&amp;LOWER(C44)&amp;" ")),1,0))+IF(Task!$A$15="",0,IF(ISNUMBER(SEARCH(" "&amp;Task!$A$15&amp;" "," "&amp;LOWER(C44)&amp;" ")),1,0))+IF(Task!$A$16="",0,IF(ISNUMBER(SEARCH(" "&amp;Task!$A$16&amp;" "," "&amp;LOWER(C44)&amp;" ")),1,0))+IF(Task!$A$17="",0,IF(ISNUMBER(SEARCH(" "&amp;Task!$A$17&amp;" "," "&amp;LOWER(C44)&amp;" ")),1,0))+IF(Task!$A$18="",0,IF(ISNUMBER(SEARCH(" "&amp;Task!$A$18&amp;" "," "&amp;LOWER(C44)&amp;" ")),1,0))+IF(Task!$A$19="",0,IF(ISNUMBER(SEARCH(" "&amp;Task!$A$19&amp;" "," "&amp;LOWER(C44)&amp;" ")),1,0)))</f>
        <v/>
      </c>
      <c r="H44" s="9">
        <f>IF(E44=0,0,IF(Task!$A$8="",0,IF(ISNUMBER(SEARCH(" "&amp;Task!$A$8&amp;" "," "&amp;LOWER(SUBSTITUTE(SUBSTITUTE(SUBSTITUTE(SUBSTITUTE(A44,"/"," "),"."," "),"\"," "),"_"," "))&amp;" ")),1,0))+IF(Task!$A$9="",0,IF(ISNUMBER(SEARCH(" "&amp;Task!$A$9&amp;" "," "&amp;LOWER(SUBSTITUTE(SUBSTITUTE(SUBSTITUTE(SUBSTITUTE(A44,"/"," "),"."," "),"\"," "),"_"," "))&amp;" ")),1,0))+IF(Task!$A$10="",0,IF(ISNUMBER(SEARCH(" "&amp;Task!$A$10&amp;" "," "&amp;LOWER(SUBSTITUTE(SUBSTITUTE(SUBSTITUTE(SUBSTITUTE(A44,"/"," "),"."," "),"\"," "),"_"," "))&amp;" ")),1,0))+IF(Task!$A$11="",0,IF(ISNUMBER(SEARCH(" "&amp;Task!$A$11&amp;" "," "&amp;LOWER(SUBSTITUTE(SUBSTITUTE(SUBSTITUTE(SUBSTITUTE(A44,"/"," "),"."," "),"\"," "),"_"," "))&amp;" ")),1,0))+IF(Task!$A$12="",0,IF(ISNUMBER(SEARCH(" "&amp;Task!$A$12&amp;" "," "&amp;LOWER(SUBSTITUTE(SUBSTITUTE(SUBSTITUTE(SUBSTITUTE(A44,"/"," "),"."," "),"\"," "),"_"," "))&amp;" ")),1,0))+IF(Task!$A$13="",0,IF(ISNUMBER(SEARCH(" "&amp;Task!$A$13&amp;" "," "&amp;LOWER(SUBSTITUTE(SUBSTITUTE(SUBSTITUTE(SUBSTITUTE(A44,"/"," "),"."," "),"\"," "),"_"," "))&amp;" ")),1,0))+IF(Task!$A$14="",0,IF(ISNUMBER(SEARCH(" "&amp;Task!$A$14&amp;" "," "&amp;LOWER(SUBSTITUTE(SUBSTITUTE(SUBSTITUTE(SUBSTITUTE(A44,"/"," "),"."," "),"\"," "),"_"," "))&amp;" ")),1,0))+IF(Task!$A$15="",0,IF(ISNUMBER(SEARCH(" "&amp;Task!$A$15&amp;" "," "&amp;LOWER(SUBSTITUTE(SUBSTITUTE(SUBSTITUTE(SUBSTITUTE(A44,"/"," "),"."," "),"\"," "),"_"," "))&amp;" ")),1,0))+IF(Task!$A$16="",0,IF(ISNUMBER(SEARCH(" "&amp;Task!$A$16&amp;" "," "&amp;LOWER(SUBSTITUTE(SUBSTITUTE(SUBSTITUTE(SUBSTITUTE(A44,"/"," "),"."," "),"\"," "),"_"," "))&amp;" ")),1,0))+IF(Task!$A$17="",0,IF(ISNUMBER(SEARCH(" "&amp;Task!$A$17&amp;" "," "&amp;LOWER(SUBSTITUTE(SUBSTITUTE(SUBSTITUTE(SUBSTITUTE(A44,"/"," "),"."," "),"\"," "),"_"," "))&amp;" ")),1,0))+IF(Task!$A$18="",0,IF(ISNUMBER(SEARCH(" "&amp;Task!$A$18&amp;" "," "&amp;LOWER(SUBSTITUTE(SUBSTITUTE(SUBSTITUTE(SUBSTITUTE(A44,"/"," "),"."," "),"\"," "),"_"," "))&amp;" ")),1,0))+IF(Task!$A$19="",0,IF(ISNUMBER(SEARCH(" "&amp;Task!$A$19&amp;" "," "&amp;LOWER(SUBSTITUTE(SUBSTITUTE(SUBSTITUTE(SUBSTITUTE(A44,"/"," "),"."," "),"\"," "),"_"," "))&amp;" ")),1,0)))</f>
        <v/>
      </c>
      <c r="I44" s="10">
        <f>IF(OR(E44=0,F44=0,Task!$B$21=0),"",F44/Task!$B$21+0.5*G44+0.25*H44)</f>
        <v/>
      </c>
      <c r="J44" s="5">
        <f>IF(I44="","",I44-ROW()/1000000)</f>
        <v/>
      </c>
      <c r="K44" s="9">
        <f>IF(J44="","",COUNTIF($J$5:$J$404,"&gt;"&amp;J44)+1)</f>
        <v/>
      </c>
    </row>
    <row r="45">
      <c r="A45" s="7" t="n"/>
      <c r="B45" s="7" t="n"/>
      <c r="C45" s="7" t="n"/>
      <c r="D45" s="7" t="n"/>
      <c r="E45" s="5">
        <f>IF(A45="",0,IF(COUNTA(Task!$B$5:$E$5)=0,1,IF(COUNTIF(Task!$B$5:$E$5,B45)&gt;0,1,0)))</f>
        <v/>
      </c>
      <c r="F45" s="9">
        <f>IF(E45=0,0,IF(Task!$A$8="",0,IF(ISNUMBER(SEARCH(" "&amp;Task!$A$8&amp;" "," "&amp;LOWER(D45&amp;" "&amp;C45&amp;" "&amp;LOWER(SUBSTITUTE(SUBSTITUTE(SUBSTITUTE(SUBSTITUTE(A45,"/"," "),"."," "),"\"," "),"_"," ")))&amp;" ")),1,0))+IF(Task!$A$9="",0,IF(ISNUMBER(SEARCH(" "&amp;Task!$A$9&amp;" "," "&amp;LOWER(D45&amp;" "&amp;C45&amp;" "&amp;LOWER(SUBSTITUTE(SUBSTITUTE(SUBSTITUTE(SUBSTITUTE(A45,"/"," "),"."," "),"\"," "),"_"," ")))&amp;" ")),1,0))+IF(Task!$A$10="",0,IF(ISNUMBER(SEARCH(" "&amp;Task!$A$10&amp;" "," "&amp;LOWER(D45&amp;" "&amp;C45&amp;" "&amp;LOWER(SUBSTITUTE(SUBSTITUTE(SUBSTITUTE(SUBSTITUTE(A45,"/"," "),"."," "),"\"," "),"_"," ")))&amp;" ")),1,0))+IF(Task!$A$11="",0,IF(ISNUMBER(SEARCH(" "&amp;Task!$A$11&amp;" "," "&amp;LOWER(D45&amp;" "&amp;C45&amp;" "&amp;LOWER(SUBSTITUTE(SUBSTITUTE(SUBSTITUTE(SUBSTITUTE(A45,"/"," "),"."," "),"\"," "),"_"," ")))&amp;" ")),1,0))+IF(Task!$A$12="",0,IF(ISNUMBER(SEARCH(" "&amp;Task!$A$12&amp;" "," "&amp;LOWER(D45&amp;" "&amp;C45&amp;" "&amp;LOWER(SUBSTITUTE(SUBSTITUTE(SUBSTITUTE(SUBSTITUTE(A45,"/"," "),"."," "),"\"," "),"_"," ")))&amp;" ")),1,0))+IF(Task!$A$13="",0,IF(ISNUMBER(SEARCH(" "&amp;Task!$A$13&amp;" "," "&amp;LOWER(D45&amp;" "&amp;C45&amp;" "&amp;LOWER(SUBSTITUTE(SUBSTITUTE(SUBSTITUTE(SUBSTITUTE(A45,"/"," "),"."," "),"\"," "),"_"," ")))&amp;" ")),1,0))+IF(Task!$A$14="",0,IF(ISNUMBER(SEARCH(" "&amp;Task!$A$14&amp;" "," "&amp;LOWER(D45&amp;" "&amp;C45&amp;" "&amp;LOWER(SUBSTITUTE(SUBSTITUTE(SUBSTITUTE(SUBSTITUTE(A45,"/"," "),"."," "),"\"," "),"_"," ")))&amp;" ")),1,0))+IF(Task!$A$15="",0,IF(ISNUMBER(SEARCH(" "&amp;Task!$A$15&amp;" "," "&amp;LOWER(D45&amp;" "&amp;C45&amp;" "&amp;LOWER(SUBSTITUTE(SUBSTITUTE(SUBSTITUTE(SUBSTITUTE(A45,"/"," "),"."," "),"\"," "),"_"," ")))&amp;" ")),1,0))+IF(Task!$A$16="",0,IF(ISNUMBER(SEARCH(" "&amp;Task!$A$16&amp;" "," "&amp;LOWER(D45&amp;" "&amp;C45&amp;" "&amp;LOWER(SUBSTITUTE(SUBSTITUTE(SUBSTITUTE(SUBSTITUTE(A45,"/"," "),"."," "),"\"," "),"_"," ")))&amp;" ")),1,0))+IF(Task!$A$17="",0,IF(ISNUMBER(SEARCH(" "&amp;Task!$A$17&amp;" "," "&amp;LOWER(D45&amp;" "&amp;C45&amp;" "&amp;LOWER(SUBSTITUTE(SUBSTITUTE(SUBSTITUTE(SUBSTITUTE(A45,"/"," "),"."," "),"\"," "),"_"," ")))&amp;" ")),1,0))+IF(Task!$A$18="",0,IF(ISNUMBER(SEARCH(" "&amp;Task!$A$18&amp;" "," "&amp;LOWER(D45&amp;" "&amp;C45&amp;" "&amp;LOWER(SUBSTITUTE(SUBSTITUTE(SUBSTITUTE(SUBSTITUTE(A45,"/"," "),"."," "),"\"," "),"_"," ")))&amp;" ")),1,0))+IF(Task!$A$19="",0,IF(ISNUMBER(SEARCH(" "&amp;Task!$A$19&amp;" "," "&amp;LOWER(D45&amp;" "&amp;C45&amp;" "&amp;LOWER(SUBSTITUTE(SUBSTITUTE(SUBSTITUTE(SUBSTITUTE(A45,"/"," "),"."," "),"\"," "),"_"," ")))&amp;" ")),1,0)))</f>
        <v/>
      </c>
      <c r="G45" s="9">
        <f>IF(E45=0,0,IF(Task!$A$8="",0,IF(ISNUMBER(SEARCH(" "&amp;Task!$A$8&amp;" "," "&amp;LOWER(C45)&amp;" ")),1,0))+IF(Task!$A$9="",0,IF(ISNUMBER(SEARCH(" "&amp;Task!$A$9&amp;" "," "&amp;LOWER(C45)&amp;" ")),1,0))+IF(Task!$A$10="",0,IF(ISNUMBER(SEARCH(" "&amp;Task!$A$10&amp;" "," "&amp;LOWER(C45)&amp;" ")),1,0))+IF(Task!$A$11="",0,IF(ISNUMBER(SEARCH(" "&amp;Task!$A$11&amp;" "," "&amp;LOWER(C45)&amp;" ")),1,0))+IF(Task!$A$12="",0,IF(ISNUMBER(SEARCH(" "&amp;Task!$A$12&amp;" "," "&amp;LOWER(C45)&amp;" ")),1,0))+IF(Task!$A$13="",0,IF(ISNUMBER(SEARCH(" "&amp;Task!$A$13&amp;" "," "&amp;LOWER(C45)&amp;" ")),1,0))+IF(Task!$A$14="",0,IF(ISNUMBER(SEARCH(" "&amp;Task!$A$14&amp;" "," "&amp;LOWER(C45)&amp;" ")),1,0))+IF(Task!$A$15="",0,IF(ISNUMBER(SEARCH(" "&amp;Task!$A$15&amp;" "," "&amp;LOWER(C45)&amp;" ")),1,0))+IF(Task!$A$16="",0,IF(ISNUMBER(SEARCH(" "&amp;Task!$A$16&amp;" "," "&amp;LOWER(C45)&amp;" ")),1,0))+IF(Task!$A$17="",0,IF(ISNUMBER(SEARCH(" "&amp;Task!$A$17&amp;" "," "&amp;LOWER(C45)&amp;" ")),1,0))+IF(Task!$A$18="",0,IF(ISNUMBER(SEARCH(" "&amp;Task!$A$18&amp;" "," "&amp;LOWER(C45)&amp;" ")),1,0))+IF(Task!$A$19="",0,IF(ISNUMBER(SEARCH(" "&amp;Task!$A$19&amp;" "," "&amp;LOWER(C45)&amp;" ")),1,0)))</f>
        <v/>
      </c>
      <c r="H45" s="9">
        <f>IF(E45=0,0,IF(Task!$A$8="",0,IF(ISNUMBER(SEARCH(" "&amp;Task!$A$8&amp;" "," "&amp;LOWER(SUBSTITUTE(SUBSTITUTE(SUBSTITUTE(SUBSTITUTE(A45,"/"," "),"."," "),"\"," "),"_"," "))&amp;" ")),1,0))+IF(Task!$A$9="",0,IF(ISNUMBER(SEARCH(" "&amp;Task!$A$9&amp;" "," "&amp;LOWER(SUBSTITUTE(SUBSTITUTE(SUBSTITUTE(SUBSTITUTE(A45,"/"," "),"."," "),"\"," "),"_"," "))&amp;" ")),1,0))+IF(Task!$A$10="",0,IF(ISNUMBER(SEARCH(" "&amp;Task!$A$10&amp;" "," "&amp;LOWER(SUBSTITUTE(SUBSTITUTE(SUBSTITUTE(SUBSTITUTE(A45,"/"," "),"."," "),"\"," "),"_"," "))&amp;" ")),1,0))+IF(Task!$A$11="",0,IF(ISNUMBER(SEARCH(" "&amp;Task!$A$11&amp;" "," "&amp;LOWER(SUBSTITUTE(SUBSTITUTE(SUBSTITUTE(SUBSTITUTE(A45,"/"," "),"."," "),"\"," "),"_"," "))&amp;" ")),1,0))+IF(Task!$A$12="",0,IF(ISNUMBER(SEARCH(" "&amp;Task!$A$12&amp;" "," "&amp;LOWER(SUBSTITUTE(SUBSTITUTE(SUBSTITUTE(SUBSTITUTE(A45,"/"," "),"."," "),"\"," "),"_"," "))&amp;" ")),1,0))+IF(Task!$A$13="",0,IF(ISNUMBER(SEARCH(" "&amp;Task!$A$13&amp;" "," "&amp;LOWER(SUBSTITUTE(SUBSTITUTE(SUBSTITUTE(SUBSTITUTE(A45,"/"," "),"."," "),"\"," "),"_"," "))&amp;" ")),1,0))+IF(Task!$A$14="",0,IF(ISNUMBER(SEARCH(" "&amp;Task!$A$14&amp;" "," "&amp;LOWER(SUBSTITUTE(SUBSTITUTE(SUBSTITUTE(SUBSTITUTE(A45,"/"," "),"."," "),"\"," "),"_"," "))&amp;" ")),1,0))+IF(Task!$A$15="",0,IF(ISNUMBER(SEARCH(" "&amp;Task!$A$15&amp;" "," "&amp;LOWER(SUBSTITUTE(SUBSTITUTE(SUBSTITUTE(SUBSTITUTE(A45,"/"," "),"."," "),"\"," "),"_"," "))&amp;" ")),1,0))+IF(Task!$A$16="",0,IF(ISNUMBER(SEARCH(" "&amp;Task!$A$16&amp;" "," "&amp;LOWER(SUBSTITUTE(SUBSTITUTE(SUBSTITUTE(SUBSTITUTE(A45,"/"," "),"."," "),"\"," "),"_"," "))&amp;" ")),1,0))+IF(Task!$A$17="",0,IF(ISNUMBER(SEARCH(" "&amp;Task!$A$17&amp;" "," "&amp;LOWER(SUBSTITUTE(SUBSTITUTE(SUBSTITUTE(SUBSTITUTE(A45,"/"," "),"."," "),"\"," "),"_"," "))&amp;" ")),1,0))+IF(Task!$A$18="",0,IF(ISNUMBER(SEARCH(" "&amp;Task!$A$18&amp;" "," "&amp;LOWER(SUBSTITUTE(SUBSTITUTE(SUBSTITUTE(SUBSTITUTE(A45,"/"," "),"."," "),"\"," "),"_"," "))&amp;" ")),1,0))+IF(Task!$A$19="",0,IF(ISNUMBER(SEARCH(" "&amp;Task!$A$19&amp;" "," "&amp;LOWER(SUBSTITUTE(SUBSTITUTE(SUBSTITUTE(SUBSTITUTE(A45,"/"," "),"."," "),"\"," "),"_"," "))&amp;" ")),1,0)))</f>
        <v/>
      </c>
      <c r="I45" s="10">
        <f>IF(OR(E45=0,F45=0,Task!$B$21=0),"",F45/Task!$B$21+0.5*G45+0.25*H45)</f>
        <v/>
      </c>
      <c r="J45" s="5">
        <f>IF(I45="","",I45-ROW()/1000000)</f>
        <v/>
      </c>
      <c r="K45" s="9">
        <f>IF(J45="","",COUNTIF($J$5:$J$404,"&gt;"&amp;J45)+1)</f>
        <v/>
      </c>
    </row>
    <row r="46">
      <c r="A46" s="7" t="n"/>
      <c r="B46" s="7" t="n"/>
      <c r="C46" s="7" t="n"/>
      <c r="D46" s="7" t="n"/>
      <c r="E46" s="5">
        <f>IF(A46="",0,IF(COUNTA(Task!$B$5:$E$5)=0,1,IF(COUNTIF(Task!$B$5:$E$5,B46)&gt;0,1,0)))</f>
        <v/>
      </c>
      <c r="F46" s="9">
        <f>IF(E46=0,0,IF(Task!$A$8="",0,IF(ISNUMBER(SEARCH(" "&amp;Task!$A$8&amp;" "," "&amp;LOWER(D46&amp;" "&amp;C46&amp;" "&amp;LOWER(SUBSTITUTE(SUBSTITUTE(SUBSTITUTE(SUBSTITUTE(A46,"/"," "),"."," "),"\"," "),"_"," ")))&amp;" ")),1,0))+IF(Task!$A$9="",0,IF(ISNUMBER(SEARCH(" "&amp;Task!$A$9&amp;" "," "&amp;LOWER(D46&amp;" "&amp;C46&amp;" "&amp;LOWER(SUBSTITUTE(SUBSTITUTE(SUBSTITUTE(SUBSTITUTE(A46,"/"," "),"."," "),"\"," "),"_"," ")))&amp;" ")),1,0))+IF(Task!$A$10="",0,IF(ISNUMBER(SEARCH(" "&amp;Task!$A$10&amp;" "," "&amp;LOWER(D46&amp;" "&amp;C46&amp;" "&amp;LOWER(SUBSTITUTE(SUBSTITUTE(SUBSTITUTE(SUBSTITUTE(A46,"/"," "),"."," "),"\"," "),"_"," ")))&amp;" ")),1,0))+IF(Task!$A$11="",0,IF(ISNUMBER(SEARCH(" "&amp;Task!$A$11&amp;" "," "&amp;LOWER(D46&amp;" "&amp;C46&amp;" "&amp;LOWER(SUBSTITUTE(SUBSTITUTE(SUBSTITUTE(SUBSTITUTE(A46,"/"," "),"."," "),"\"," "),"_"," ")))&amp;" ")),1,0))+IF(Task!$A$12="",0,IF(ISNUMBER(SEARCH(" "&amp;Task!$A$12&amp;" "," "&amp;LOWER(D46&amp;" "&amp;C46&amp;" "&amp;LOWER(SUBSTITUTE(SUBSTITUTE(SUBSTITUTE(SUBSTITUTE(A46,"/"," "),"."," "),"\"," "),"_"," ")))&amp;" ")),1,0))+IF(Task!$A$13="",0,IF(ISNUMBER(SEARCH(" "&amp;Task!$A$13&amp;" "," "&amp;LOWER(D46&amp;" "&amp;C46&amp;" "&amp;LOWER(SUBSTITUTE(SUBSTITUTE(SUBSTITUTE(SUBSTITUTE(A46,"/"," "),"."," "),"\"," "),"_"," ")))&amp;" ")),1,0))+IF(Task!$A$14="",0,IF(ISNUMBER(SEARCH(" "&amp;Task!$A$14&amp;" "," "&amp;LOWER(D46&amp;" "&amp;C46&amp;" "&amp;LOWER(SUBSTITUTE(SUBSTITUTE(SUBSTITUTE(SUBSTITUTE(A46,"/"," "),"."," "),"\"," "),"_"," ")))&amp;" ")),1,0))+IF(Task!$A$15="",0,IF(ISNUMBER(SEARCH(" "&amp;Task!$A$15&amp;" "," "&amp;LOWER(D46&amp;" "&amp;C46&amp;" "&amp;LOWER(SUBSTITUTE(SUBSTITUTE(SUBSTITUTE(SUBSTITUTE(A46,"/"," "),"."," "),"\"," "),"_"," ")))&amp;" ")),1,0))+IF(Task!$A$16="",0,IF(ISNUMBER(SEARCH(" "&amp;Task!$A$16&amp;" "," "&amp;LOWER(D46&amp;" "&amp;C46&amp;" "&amp;LOWER(SUBSTITUTE(SUBSTITUTE(SUBSTITUTE(SUBSTITUTE(A46,"/"," "),"."," "),"\"," "),"_"," ")))&amp;" ")),1,0))+IF(Task!$A$17="",0,IF(ISNUMBER(SEARCH(" "&amp;Task!$A$17&amp;" "," "&amp;LOWER(D46&amp;" "&amp;C46&amp;" "&amp;LOWER(SUBSTITUTE(SUBSTITUTE(SUBSTITUTE(SUBSTITUTE(A46,"/"," "),"."," "),"\"," "),"_"," ")))&amp;" ")),1,0))+IF(Task!$A$18="",0,IF(ISNUMBER(SEARCH(" "&amp;Task!$A$18&amp;" "," "&amp;LOWER(D46&amp;" "&amp;C46&amp;" "&amp;LOWER(SUBSTITUTE(SUBSTITUTE(SUBSTITUTE(SUBSTITUTE(A46,"/"," "),"."," "),"\"," "),"_"," ")))&amp;" ")),1,0))+IF(Task!$A$19="",0,IF(ISNUMBER(SEARCH(" "&amp;Task!$A$19&amp;" "," "&amp;LOWER(D46&amp;" "&amp;C46&amp;" "&amp;LOWER(SUBSTITUTE(SUBSTITUTE(SUBSTITUTE(SUBSTITUTE(A46,"/"," "),"."," "),"\"," "),"_"," ")))&amp;" ")),1,0)))</f>
        <v/>
      </c>
      <c r="G46" s="9">
        <f>IF(E46=0,0,IF(Task!$A$8="",0,IF(ISNUMBER(SEARCH(" "&amp;Task!$A$8&amp;" "," "&amp;LOWER(C46)&amp;" ")),1,0))+IF(Task!$A$9="",0,IF(ISNUMBER(SEARCH(" "&amp;Task!$A$9&amp;" "," "&amp;LOWER(C46)&amp;" ")),1,0))+IF(Task!$A$10="",0,IF(ISNUMBER(SEARCH(" "&amp;Task!$A$10&amp;" "," "&amp;LOWER(C46)&amp;" ")),1,0))+IF(Task!$A$11="",0,IF(ISNUMBER(SEARCH(" "&amp;Task!$A$11&amp;" "," "&amp;LOWER(C46)&amp;" ")),1,0))+IF(Task!$A$12="",0,IF(ISNUMBER(SEARCH(" "&amp;Task!$A$12&amp;" "," "&amp;LOWER(C46)&amp;" ")),1,0))+IF(Task!$A$13="",0,IF(ISNUMBER(SEARCH(" "&amp;Task!$A$13&amp;" "," "&amp;LOWER(C46)&amp;" ")),1,0))+IF(Task!$A$14="",0,IF(ISNUMBER(SEARCH(" "&amp;Task!$A$14&amp;" "," "&amp;LOWER(C46)&amp;" ")),1,0))+IF(Task!$A$15="",0,IF(ISNUMBER(SEARCH(" "&amp;Task!$A$15&amp;" "," "&amp;LOWER(C46)&amp;" ")),1,0))+IF(Task!$A$16="",0,IF(ISNUMBER(SEARCH(" "&amp;Task!$A$16&amp;" "," "&amp;LOWER(C46)&amp;" ")),1,0))+IF(Task!$A$17="",0,IF(ISNUMBER(SEARCH(" "&amp;Task!$A$17&amp;" "," "&amp;LOWER(C46)&amp;" ")),1,0))+IF(Task!$A$18="",0,IF(ISNUMBER(SEARCH(" "&amp;Task!$A$18&amp;" "," "&amp;LOWER(C46)&amp;" ")),1,0))+IF(Task!$A$19="",0,IF(ISNUMBER(SEARCH(" "&amp;Task!$A$19&amp;" "," "&amp;LOWER(C46)&amp;" ")),1,0)))</f>
        <v/>
      </c>
      <c r="H46" s="9">
        <f>IF(E46=0,0,IF(Task!$A$8="",0,IF(ISNUMBER(SEARCH(" "&amp;Task!$A$8&amp;" "," "&amp;LOWER(SUBSTITUTE(SUBSTITUTE(SUBSTITUTE(SUBSTITUTE(A46,"/"," "),"."," "),"\"," "),"_"," "))&amp;" ")),1,0))+IF(Task!$A$9="",0,IF(ISNUMBER(SEARCH(" "&amp;Task!$A$9&amp;" "," "&amp;LOWER(SUBSTITUTE(SUBSTITUTE(SUBSTITUTE(SUBSTITUTE(A46,"/"," "),"."," "),"\"," "),"_"," "))&amp;" ")),1,0))+IF(Task!$A$10="",0,IF(ISNUMBER(SEARCH(" "&amp;Task!$A$10&amp;" "," "&amp;LOWER(SUBSTITUTE(SUBSTITUTE(SUBSTITUTE(SUBSTITUTE(A46,"/"," "),"."," "),"\"," "),"_"," "))&amp;" ")),1,0))+IF(Task!$A$11="",0,IF(ISNUMBER(SEARCH(" "&amp;Task!$A$11&amp;" "," "&amp;LOWER(SUBSTITUTE(SUBSTITUTE(SUBSTITUTE(SUBSTITUTE(A46,"/"," "),"."," "),"\"," "),"_"," "))&amp;" ")),1,0))+IF(Task!$A$12="",0,IF(ISNUMBER(SEARCH(" "&amp;Task!$A$12&amp;" "," "&amp;LOWER(SUBSTITUTE(SUBSTITUTE(SUBSTITUTE(SUBSTITUTE(A46,"/"," "),"."," "),"\"," "),"_"," "))&amp;" ")),1,0))+IF(Task!$A$13="",0,IF(ISNUMBER(SEARCH(" "&amp;Task!$A$13&amp;" "," "&amp;LOWER(SUBSTITUTE(SUBSTITUTE(SUBSTITUTE(SUBSTITUTE(A46,"/"," "),"."," "),"\"," "),"_"," "))&amp;" ")),1,0))+IF(Task!$A$14="",0,IF(ISNUMBER(SEARCH(" "&amp;Task!$A$14&amp;" "," "&amp;LOWER(SUBSTITUTE(SUBSTITUTE(SUBSTITUTE(SUBSTITUTE(A46,"/"," "),"."," "),"\"," "),"_"," "))&amp;" ")),1,0))+IF(Task!$A$15="",0,IF(ISNUMBER(SEARCH(" "&amp;Task!$A$15&amp;" "," "&amp;LOWER(SUBSTITUTE(SUBSTITUTE(SUBSTITUTE(SUBSTITUTE(A46,"/"," "),"."," "),"\"," "),"_"," "))&amp;" ")),1,0))+IF(Task!$A$16="",0,IF(ISNUMBER(SEARCH(" "&amp;Task!$A$16&amp;" "," "&amp;LOWER(SUBSTITUTE(SUBSTITUTE(SUBSTITUTE(SUBSTITUTE(A46,"/"," "),"."," "),"\"," "),"_"," "))&amp;" ")),1,0))+IF(Task!$A$17="",0,IF(ISNUMBER(SEARCH(" "&amp;Task!$A$17&amp;" "," "&amp;LOWER(SUBSTITUTE(SUBSTITUTE(SUBSTITUTE(SUBSTITUTE(A46,"/"," "),"."," "),"\"," "),"_"," "))&amp;" ")),1,0))+IF(Task!$A$18="",0,IF(ISNUMBER(SEARCH(" "&amp;Task!$A$18&amp;" "," "&amp;LOWER(SUBSTITUTE(SUBSTITUTE(SUBSTITUTE(SUBSTITUTE(A46,"/"," "),"."," "),"\"," "),"_"," "))&amp;" ")),1,0))+IF(Task!$A$19="",0,IF(ISNUMBER(SEARCH(" "&amp;Task!$A$19&amp;" "," "&amp;LOWER(SUBSTITUTE(SUBSTITUTE(SUBSTITUTE(SUBSTITUTE(A46,"/"," "),"."," "),"\"," "),"_"," "))&amp;" ")),1,0)))</f>
        <v/>
      </c>
      <c r="I46" s="10">
        <f>IF(OR(E46=0,F46=0,Task!$B$21=0),"",F46/Task!$B$21+0.5*G46+0.25*H46)</f>
        <v/>
      </c>
      <c r="J46" s="5">
        <f>IF(I46="","",I46-ROW()/1000000)</f>
        <v/>
      </c>
      <c r="K46" s="9">
        <f>IF(J46="","",COUNTIF($J$5:$J$404,"&gt;"&amp;J46)+1)</f>
        <v/>
      </c>
    </row>
    <row r="47">
      <c r="A47" s="7" t="n"/>
      <c r="B47" s="7" t="n"/>
      <c r="C47" s="7" t="n"/>
      <c r="D47" s="7" t="n"/>
      <c r="E47" s="5">
        <f>IF(A47="",0,IF(COUNTA(Task!$B$5:$E$5)=0,1,IF(COUNTIF(Task!$B$5:$E$5,B47)&gt;0,1,0)))</f>
        <v/>
      </c>
      <c r="F47" s="9">
        <f>IF(E47=0,0,IF(Task!$A$8="",0,IF(ISNUMBER(SEARCH(" "&amp;Task!$A$8&amp;" "," "&amp;LOWER(D47&amp;" "&amp;C47&amp;" "&amp;LOWER(SUBSTITUTE(SUBSTITUTE(SUBSTITUTE(SUBSTITUTE(A47,"/"," "),"."," "),"\"," "),"_"," ")))&amp;" ")),1,0))+IF(Task!$A$9="",0,IF(ISNUMBER(SEARCH(" "&amp;Task!$A$9&amp;" "," "&amp;LOWER(D47&amp;" "&amp;C47&amp;" "&amp;LOWER(SUBSTITUTE(SUBSTITUTE(SUBSTITUTE(SUBSTITUTE(A47,"/"," "),"."," "),"\"," "),"_"," ")))&amp;" ")),1,0))+IF(Task!$A$10="",0,IF(ISNUMBER(SEARCH(" "&amp;Task!$A$10&amp;" "," "&amp;LOWER(D47&amp;" "&amp;C47&amp;" "&amp;LOWER(SUBSTITUTE(SUBSTITUTE(SUBSTITUTE(SUBSTITUTE(A47,"/"," "),"."," "),"\"," "),"_"," ")))&amp;" ")),1,0))+IF(Task!$A$11="",0,IF(ISNUMBER(SEARCH(" "&amp;Task!$A$11&amp;" "," "&amp;LOWER(D47&amp;" "&amp;C47&amp;" "&amp;LOWER(SUBSTITUTE(SUBSTITUTE(SUBSTITUTE(SUBSTITUTE(A47,"/"," "),"."," "),"\"," "),"_"," ")))&amp;" ")),1,0))+IF(Task!$A$12="",0,IF(ISNUMBER(SEARCH(" "&amp;Task!$A$12&amp;" "," "&amp;LOWER(D47&amp;" "&amp;C47&amp;" "&amp;LOWER(SUBSTITUTE(SUBSTITUTE(SUBSTITUTE(SUBSTITUTE(A47,"/"," "),"."," "),"\"," "),"_"," ")))&amp;" ")),1,0))+IF(Task!$A$13="",0,IF(ISNUMBER(SEARCH(" "&amp;Task!$A$13&amp;" "," "&amp;LOWER(D47&amp;" "&amp;C47&amp;" "&amp;LOWER(SUBSTITUTE(SUBSTITUTE(SUBSTITUTE(SUBSTITUTE(A47,"/"," "),"."," "),"\"," "),"_"," ")))&amp;" ")),1,0))+IF(Task!$A$14="",0,IF(ISNUMBER(SEARCH(" "&amp;Task!$A$14&amp;" "," "&amp;LOWER(D47&amp;" "&amp;C47&amp;" "&amp;LOWER(SUBSTITUTE(SUBSTITUTE(SUBSTITUTE(SUBSTITUTE(A47,"/"," "),"."," "),"\"," "),"_"," ")))&amp;" ")),1,0))+IF(Task!$A$15="",0,IF(ISNUMBER(SEARCH(" "&amp;Task!$A$15&amp;" "," "&amp;LOWER(D47&amp;" "&amp;C47&amp;" "&amp;LOWER(SUBSTITUTE(SUBSTITUTE(SUBSTITUTE(SUBSTITUTE(A47,"/"," "),"."," "),"\"," "),"_"," ")))&amp;" ")),1,0))+IF(Task!$A$16="",0,IF(ISNUMBER(SEARCH(" "&amp;Task!$A$16&amp;" "," "&amp;LOWER(D47&amp;" "&amp;C47&amp;" "&amp;LOWER(SUBSTITUTE(SUBSTITUTE(SUBSTITUTE(SUBSTITUTE(A47,"/"," "),"."," "),"\"," "),"_"," ")))&amp;" ")),1,0))+IF(Task!$A$17="",0,IF(ISNUMBER(SEARCH(" "&amp;Task!$A$17&amp;" "," "&amp;LOWER(D47&amp;" "&amp;C47&amp;" "&amp;LOWER(SUBSTITUTE(SUBSTITUTE(SUBSTITUTE(SUBSTITUTE(A47,"/"," "),"."," "),"\"," "),"_"," ")))&amp;" ")),1,0))+IF(Task!$A$18="",0,IF(ISNUMBER(SEARCH(" "&amp;Task!$A$18&amp;" "," "&amp;LOWER(D47&amp;" "&amp;C47&amp;" "&amp;LOWER(SUBSTITUTE(SUBSTITUTE(SUBSTITUTE(SUBSTITUTE(A47,"/"," "),"."," "),"\"," "),"_"," ")))&amp;" ")),1,0))+IF(Task!$A$19="",0,IF(ISNUMBER(SEARCH(" "&amp;Task!$A$19&amp;" "," "&amp;LOWER(D47&amp;" "&amp;C47&amp;" "&amp;LOWER(SUBSTITUTE(SUBSTITUTE(SUBSTITUTE(SUBSTITUTE(A47,"/"," "),"."," "),"\"," "),"_"," ")))&amp;" ")),1,0)))</f>
        <v/>
      </c>
      <c r="G47" s="9">
        <f>IF(E47=0,0,IF(Task!$A$8="",0,IF(ISNUMBER(SEARCH(" "&amp;Task!$A$8&amp;" "," "&amp;LOWER(C47)&amp;" ")),1,0))+IF(Task!$A$9="",0,IF(ISNUMBER(SEARCH(" "&amp;Task!$A$9&amp;" "," "&amp;LOWER(C47)&amp;" ")),1,0))+IF(Task!$A$10="",0,IF(ISNUMBER(SEARCH(" "&amp;Task!$A$10&amp;" "," "&amp;LOWER(C47)&amp;" ")),1,0))+IF(Task!$A$11="",0,IF(ISNUMBER(SEARCH(" "&amp;Task!$A$11&amp;" "," "&amp;LOWER(C47)&amp;" ")),1,0))+IF(Task!$A$12="",0,IF(ISNUMBER(SEARCH(" "&amp;Task!$A$12&amp;" "," "&amp;LOWER(C47)&amp;" ")),1,0))+IF(Task!$A$13="",0,IF(ISNUMBER(SEARCH(" "&amp;Task!$A$13&amp;" "," "&amp;LOWER(C47)&amp;" ")),1,0))+IF(Task!$A$14="",0,IF(ISNUMBER(SEARCH(" "&amp;Task!$A$14&amp;" "," "&amp;LOWER(C47)&amp;" ")),1,0))+IF(Task!$A$15="",0,IF(ISNUMBER(SEARCH(" "&amp;Task!$A$15&amp;" "," "&amp;LOWER(C47)&amp;" ")),1,0))+IF(Task!$A$16="",0,IF(ISNUMBER(SEARCH(" "&amp;Task!$A$16&amp;" "," "&amp;LOWER(C47)&amp;" ")),1,0))+IF(Task!$A$17="",0,IF(ISNUMBER(SEARCH(" "&amp;Task!$A$17&amp;" "," "&amp;LOWER(C47)&amp;" ")),1,0))+IF(Task!$A$18="",0,IF(ISNUMBER(SEARCH(" "&amp;Task!$A$18&amp;" "," "&amp;LOWER(C47)&amp;" ")),1,0))+IF(Task!$A$19="",0,IF(ISNUMBER(SEARCH(" "&amp;Task!$A$19&amp;" "," "&amp;LOWER(C47)&amp;" ")),1,0)))</f>
        <v/>
      </c>
      <c r="H47" s="9">
        <f>IF(E47=0,0,IF(Task!$A$8="",0,IF(ISNUMBER(SEARCH(" "&amp;Task!$A$8&amp;" "," "&amp;LOWER(SUBSTITUTE(SUBSTITUTE(SUBSTITUTE(SUBSTITUTE(A47,"/"," "),"."," "),"\"," "),"_"," "))&amp;" ")),1,0))+IF(Task!$A$9="",0,IF(ISNUMBER(SEARCH(" "&amp;Task!$A$9&amp;" "," "&amp;LOWER(SUBSTITUTE(SUBSTITUTE(SUBSTITUTE(SUBSTITUTE(A47,"/"," "),"."," "),"\"," "),"_"," "))&amp;" ")),1,0))+IF(Task!$A$10="",0,IF(ISNUMBER(SEARCH(" "&amp;Task!$A$10&amp;" "," "&amp;LOWER(SUBSTITUTE(SUBSTITUTE(SUBSTITUTE(SUBSTITUTE(A47,"/"," "),"."," "),"\"," "),"_"," "))&amp;" ")),1,0))+IF(Task!$A$11="",0,IF(ISNUMBER(SEARCH(" "&amp;Task!$A$11&amp;" "," "&amp;LOWER(SUBSTITUTE(SUBSTITUTE(SUBSTITUTE(SUBSTITUTE(A47,"/"," "),"."," "),"\"," "),"_"," "))&amp;" ")),1,0))+IF(Task!$A$12="",0,IF(ISNUMBER(SEARCH(" "&amp;Task!$A$12&amp;" "," "&amp;LOWER(SUBSTITUTE(SUBSTITUTE(SUBSTITUTE(SUBSTITUTE(A47,"/"," "),"."," "),"\"," "),"_"," "))&amp;" ")),1,0))+IF(Task!$A$13="",0,IF(ISNUMBER(SEARCH(" "&amp;Task!$A$13&amp;" "," "&amp;LOWER(SUBSTITUTE(SUBSTITUTE(SUBSTITUTE(SUBSTITUTE(A47,"/"," "),"."," "),"\"," "),"_"," "))&amp;" ")),1,0))+IF(Task!$A$14="",0,IF(ISNUMBER(SEARCH(" "&amp;Task!$A$14&amp;" "," "&amp;LOWER(SUBSTITUTE(SUBSTITUTE(SUBSTITUTE(SUBSTITUTE(A47,"/"," "),"."," "),"\"," "),"_"," "))&amp;" ")),1,0))+IF(Task!$A$15="",0,IF(ISNUMBER(SEARCH(" "&amp;Task!$A$15&amp;" "," "&amp;LOWER(SUBSTITUTE(SUBSTITUTE(SUBSTITUTE(SUBSTITUTE(A47,"/"," "),"."," "),"\"," "),"_"," "))&amp;" ")),1,0))+IF(Task!$A$16="",0,IF(ISNUMBER(SEARCH(" "&amp;Task!$A$16&amp;" "," "&amp;LOWER(SUBSTITUTE(SUBSTITUTE(SUBSTITUTE(SUBSTITUTE(A47,"/"," "),"."," "),"\"," "),"_"," "))&amp;" ")),1,0))+IF(Task!$A$17="",0,IF(ISNUMBER(SEARCH(" "&amp;Task!$A$17&amp;" "," "&amp;LOWER(SUBSTITUTE(SUBSTITUTE(SUBSTITUTE(SUBSTITUTE(A47,"/"," "),"."," "),"\"," "),"_"," "))&amp;" ")),1,0))+IF(Task!$A$18="",0,IF(ISNUMBER(SEARCH(" "&amp;Task!$A$18&amp;" "," "&amp;LOWER(SUBSTITUTE(SUBSTITUTE(SUBSTITUTE(SUBSTITUTE(A47,"/"," "),"."," "),"\"," "),"_"," "))&amp;" ")),1,0))+IF(Task!$A$19="",0,IF(ISNUMBER(SEARCH(" "&amp;Task!$A$19&amp;" "," "&amp;LOWER(SUBSTITUTE(SUBSTITUTE(SUBSTITUTE(SUBSTITUTE(A47,"/"," "),"."," "),"\"," "),"_"," "))&amp;" ")),1,0)))</f>
        <v/>
      </c>
      <c r="I47" s="10">
        <f>IF(OR(E47=0,F47=0,Task!$B$21=0),"",F47/Task!$B$21+0.5*G47+0.25*H47)</f>
        <v/>
      </c>
      <c r="J47" s="5">
        <f>IF(I47="","",I47-ROW()/1000000)</f>
        <v/>
      </c>
      <c r="K47" s="9">
        <f>IF(J47="","",COUNTIF($J$5:$J$404,"&gt;"&amp;J47)+1)</f>
        <v/>
      </c>
    </row>
    <row r="48">
      <c r="A48" s="7" t="n"/>
      <c r="B48" s="7" t="n"/>
      <c r="C48" s="7" t="n"/>
      <c r="D48" s="7" t="n"/>
      <c r="E48" s="5">
        <f>IF(A48="",0,IF(COUNTA(Task!$B$5:$E$5)=0,1,IF(COUNTIF(Task!$B$5:$E$5,B48)&gt;0,1,0)))</f>
        <v/>
      </c>
      <c r="F48" s="9">
        <f>IF(E48=0,0,IF(Task!$A$8="",0,IF(ISNUMBER(SEARCH(" "&amp;Task!$A$8&amp;" "," "&amp;LOWER(D48&amp;" "&amp;C48&amp;" "&amp;LOWER(SUBSTITUTE(SUBSTITUTE(SUBSTITUTE(SUBSTITUTE(A48,"/"," "),"."," "),"\"," "),"_"," ")))&amp;" ")),1,0))+IF(Task!$A$9="",0,IF(ISNUMBER(SEARCH(" "&amp;Task!$A$9&amp;" "," "&amp;LOWER(D48&amp;" "&amp;C48&amp;" "&amp;LOWER(SUBSTITUTE(SUBSTITUTE(SUBSTITUTE(SUBSTITUTE(A48,"/"," "),"."," "),"\"," "),"_"," ")))&amp;" ")),1,0))+IF(Task!$A$10="",0,IF(ISNUMBER(SEARCH(" "&amp;Task!$A$10&amp;" "," "&amp;LOWER(D48&amp;" "&amp;C48&amp;" "&amp;LOWER(SUBSTITUTE(SUBSTITUTE(SUBSTITUTE(SUBSTITUTE(A48,"/"," "),"."," "),"\"," "),"_"," ")))&amp;" ")),1,0))+IF(Task!$A$11="",0,IF(ISNUMBER(SEARCH(" "&amp;Task!$A$11&amp;" "," "&amp;LOWER(D48&amp;" "&amp;C48&amp;" "&amp;LOWER(SUBSTITUTE(SUBSTITUTE(SUBSTITUTE(SUBSTITUTE(A48,"/"," "),"."," "),"\"," "),"_"," ")))&amp;" ")),1,0))+IF(Task!$A$12="",0,IF(ISNUMBER(SEARCH(" "&amp;Task!$A$12&amp;" "," "&amp;LOWER(D48&amp;" "&amp;C48&amp;" "&amp;LOWER(SUBSTITUTE(SUBSTITUTE(SUBSTITUTE(SUBSTITUTE(A48,"/"," "),"."," "),"\"," "),"_"," ")))&amp;" ")),1,0))+IF(Task!$A$13="",0,IF(ISNUMBER(SEARCH(" "&amp;Task!$A$13&amp;" "," "&amp;LOWER(D48&amp;" "&amp;C48&amp;" "&amp;LOWER(SUBSTITUTE(SUBSTITUTE(SUBSTITUTE(SUBSTITUTE(A48,"/"," "),"."," "),"\"," "),"_"," ")))&amp;" ")),1,0))+IF(Task!$A$14="",0,IF(ISNUMBER(SEARCH(" "&amp;Task!$A$14&amp;" "," "&amp;LOWER(D48&amp;" "&amp;C48&amp;" "&amp;LOWER(SUBSTITUTE(SUBSTITUTE(SUBSTITUTE(SUBSTITUTE(A48,"/"," "),"."," "),"\"," "),"_"," ")))&amp;" ")),1,0))+IF(Task!$A$15="",0,IF(ISNUMBER(SEARCH(" "&amp;Task!$A$15&amp;" "," "&amp;LOWER(D48&amp;" "&amp;C48&amp;" "&amp;LOWER(SUBSTITUTE(SUBSTITUTE(SUBSTITUTE(SUBSTITUTE(A48,"/"," "),"."," "),"\"," "),"_"," ")))&amp;" ")),1,0))+IF(Task!$A$16="",0,IF(ISNUMBER(SEARCH(" "&amp;Task!$A$16&amp;" "," "&amp;LOWER(D48&amp;" "&amp;C48&amp;" "&amp;LOWER(SUBSTITUTE(SUBSTITUTE(SUBSTITUTE(SUBSTITUTE(A48,"/"," "),"."," "),"\"," "),"_"," ")))&amp;" ")),1,0))+IF(Task!$A$17="",0,IF(ISNUMBER(SEARCH(" "&amp;Task!$A$17&amp;" "," "&amp;LOWER(D48&amp;" "&amp;C48&amp;" "&amp;LOWER(SUBSTITUTE(SUBSTITUTE(SUBSTITUTE(SUBSTITUTE(A48,"/"," "),"."," "),"\"," "),"_"," ")))&amp;" ")),1,0))+IF(Task!$A$18="",0,IF(ISNUMBER(SEARCH(" "&amp;Task!$A$18&amp;" "," "&amp;LOWER(D48&amp;" "&amp;C48&amp;" "&amp;LOWER(SUBSTITUTE(SUBSTITUTE(SUBSTITUTE(SUBSTITUTE(A48,"/"," "),"."," "),"\"," "),"_"," ")))&amp;" ")),1,0))+IF(Task!$A$19="",0,IF(ISNUMBER(SEARCH(" "&amp;Task!$A$19&amp;" "," "&amp;LOWER(D48&amp;" "&amp;C48&amp;" "&amp;LOWER(SUBSTITUTE(SUBSTITUTE(SUBSTITUTE(SUBSTITUTE(A48,"/"," "),"."," "),"\"," "),"_"," ")))&amp;" ")),1,0)))</f>
        <v/>
      </c>
      <c r="G48" s="9">
        <f>IF(E48=0,0,IF(Task!$A$8="",0,IF(ISNUMBER(SEARCH(" "&amp;Task!$A$8&amp;" "," "&amp;LOWER(C48)&amp;" ")),1,0))+IF(Task!$A$9="",0,IF(ISNUMBER(SEARCH(" "&amp;Task!$A$9&amp;" "," "&amp;LOWER(C48)&amp;" ")),1,0))+IF(Task!$A$10="",0,IF(ISNUMBER(SEARCH(" "&amp;Task!$A$10&amp;" "," "&amp;LOWER(C48)&amp;" ")),1,0))+IF(Task!$A$11="",0,IF(ISNUMBER(SEARCH(" "&amp;Task!$A$11&amp;" "," "&amp;LOWER(C48)&amp;" ")),1,0))+IF(Task!$A$12="",0,IF(ISNUMBER(SEARCH(" "&amp;Task!$A$12&amp;" "," "&amp;LOWER(C48)&amp;" ")),1,0))+IF(Task!$A$13="",0,IF(ISNUMBER(SEARCH(" "&amp;Task!$A$13&amp;" "," "&amp;LOWER(C48)&amp;" ")),1,0))+IF(Task!$A$14="",0,IF(ISNUMBER(SEARCH(" "&amp;Task!$A$14&amp;" "," "&amp;LOWER(C48)&amp;" ")),1,0))+IF(Task!$A$15="",0,IF(ISNUMBER(SEARCH(" "&amp;Task!$A$15&amp;" "," "&amp;LOWER(C48)&amp;" ")),1,0))+IF(Task!$A$16="",0,IF(ISNUMBER(SEARCH(" "&amp;Task!$A$16&amp;" "," "&amp;LOWER(C48)&amp;" ")),1,0))+IF(Task!$A$17="",0,IF(ISNUMBER(SEARCH(" "&amp;Task!$A$17&amp;" "," "&amp;LOWER(C48)&amp;" ")),1,0))+IF(Task!$A$18="",0,IF(ISNUMBER(SEARCH(" "&amp;Task!$A$18&amp;" "," "&amp;LOWER(C48)&amp;" ")),1,0))+IF(Task!$A$19="",0,IF(ISNUMBER(SEARCH(" "&amp;Task!$A$19&amp;" "," "&amp;LOWER(C48)&amp;" ")),1,0)))</f>
        <v/>
      </c>
      <c r="H48" s="9">
        <f>IF(E48=0,0,IF(Task!$A$8="",0,IF(ISNUMBER(SEARCH(" "&amp;Task!$A$8&amp;" "," "&amp;LOWER(SUBSTITUTE(SUBSTITUTE(SUBSTITUTE(SUBSTITUTE(A48,"/"," "),"."," "),"\"," "),"_"," "))&amp;" ")),1,0))+IF(Task!$A$9="",0,IF(ISNUMBER(SEARCH(" "&amp;Task!$A$9&amp;" "," "&amp;LOWER(SUBSTITUTE(SUBSTITUTE(SUBSTITUTE(SUBSTITUTE(A48,"/"," "),"."," "),"\"," "),"_"," "))&amp;" ")),1,0))+IF(Task!$A$10="",0,IF(ISNUMBER(SEARCH(" "&amp;Task!$A$10&amp;" "," "&amp;LOWER(SUBSTITUTE(SUBSTITUTE(SUBSTITUTE(SUBSTITUTE(A48,"/"," "),"."," "),"\"," "),"_"," "))&amp;" ")),1,0))+IF(Task!$A$11="",0,IF(ISNUMBER(SEARCH(" "&amp;Task!$A$11&amp;" "," "&amp;LOWER(SUBSTITUTE(SUBSTITUTE(SUBSTITUTE(SUBSTITUTE(A48,"/"," "),"."," "),"\"," "),"_"," "))&amp;" ")),1,0))+IF(Task!$A$12="",0,IF(ISNUMBER(SEARCH(" "&amp;Task!$A$12&amp;" "," "&amp;LOWER(SUBSTITUTE(SUBSTITUTE(SUBSTITUTE(SUBSTITUTE(A48,"/"," "),"."," "),"\"," "),"_"," "))&amp;" ")),1,0))+IF(Task!$A$13="",0,IF(ISNUMBER(SEARCH(" "&amp;Task!$A$13&amp;" "," "&amp;LOWER(SUBSTITUTE(SUBSTITUTE(SUBSTITUTE(SUBSTITUTE(A48,"/"," "),"."," "),"\"," "),"_"," "))&amp;" ")),1,0))+IF(Task!$A$14="",0,IF(ISNUMBER(SEARCH(" "&amp;Task!$A$14&amp;" "," "&amp;LOWER(SUBSTITUTE(SUBSTITUTE(SUBSTITUTE(SUBSTITUTE(A48,"/"," "),"."," "),"\"," "),"_"," "))&amp;" ")),1,0))+IF(Task!$A$15="",0,IF(ISNUMBER(SEARCH(" "&amp;Task!$A$15&amp;" "," "&amp;LOWER(SUBSTITUTE(SUBSTITUTE(SUBSTITUTE(SUBSTITUTE(A48,"/"," "),"."," "),"\"," "),"_"," "))&amp;" ")),1,0))+IF(Task!$A$16="",0,IF(ISNUMBER(SEARCH(" "&amp;Task!$A$16&amp;" "," "&amp;LOWER(SUBSTITUTE(SUBSTITUTE(SUBSTITUTE(SUBSTITUTE(A48,"/"," "),"."," "),"\"," "),"_"," "))&amp;" ")),1,0))+IF(Task!$A$17="",0,IF(ISNUMBER(SEARCH(" "&amp;Task!$A$17&amp;" "," "&amp;LOWER(SUBSTITUTE(SUBSTITUTE(SUBSTITUTE(SUBSTITUTE(A48,"/"," "),"."," "),"\"," "),"_"," "))&amp;" ")),1,0))+IF(Task!$A$18="",0,IF(ISNUMBER(SEARCH(" "&amp;Task!$A$18&amp;" "," "&amp;LOWER(SUBSTITUTE(SUBSTITUTE(SUBSTITUTE(SUBSTITUTE(A48,"/"," "),"."," "),"\"," "),"_"," "))&amp;" ")),1,0))+IF(Task!$A$19="",0,IF(ISNUMBER(SEARCH(" "&amp;Task!$A$19&amp;" "," "&amp;LOWER(SUBSTITUTE(SUBSTITUTE(SUBSTITUTE(SUBSTITUTE(A48,"/"," "),"."," "),"\"," "),"_"," "))&amp;" ")),1,0)))</f>
        <v/>
      </c>
      <c r="I48" s="10">
        <f>IF(OR(E48=0,F48=0,Task!$B$21=0),"",F48/Task!$B$21+0.5*G48+0.25*H48)</f>
        <v/>
      </c>
      <c r="J48" s="5">
        <f>IF(I48="","",I48-ROW()/1000000)</f>
        <v/>
      </c>
      <c r="K48" s="9">
        <f>IF(J48="","",COUNTIF($J$5:$J$404,"&gt;"&amp;J48)+1)</f>
        <v/>
      </c>
    </row>
    <row r="49">
      <c r="A49" s="7" t="n"/>
      <c r="B49" s="7" t="n"/>
      <c r="C49" s="7" t="n"/>
      <c r="D49" s="7" t="n"/>
      <c r="E49" s="5">
        <f>IF(A49="",0,IF(COUNTA(Task!$B$5:$E$5)=0,1,IF(COUNTIF(Task!$B$5:$E$5,B49)&gt;0,1,0)))</f>
        <v/>
      </c>
      <c r="F49" s="9">
        <f>IF(E49=0,0,IF(Task!$A$8="",0,IF(ISNUMBER(SEARCH(" "&amp;Task!$A$8&amp;" "," "&amp;LOWER(D49&amp;" "&amp;C49&amp;" "&amp;LOWER(SUBSTITUTE(SUBSTITUTE(SUBSTITUTE(SUBSTITUTE(A49,"/"," "),"."," "),"\"," "),"_"," ")))&amp;" ")),1,0))+IF(Task!$A$9="",0,IF(ISNUMBER(SEARCH(" "&amp;Task!$A$9&amp;" "," "&amp;LOWER(D49&amp;" "&amp;C49&amp;" "&amp;LOWER(SUBSTITUTE(SUBSTITUTE(SUBSTITUTE(SUBSTITUTE(A49,"/"," "),"."," "),"\"," "),"_"," ")))&amp;" ")),1,0))+IF(Task!$A$10="",0,IF(ISNUMBER(SEARCH(" "&amp;Task!$A$10&amp;" "," "&amp;LOWER(D49&amp;" "&amp;C49&amp;" "&amp;LOWER(SUBSTITUTE(SUBSTITUTE(SUBSTITUTE(SUBSTITUTE(A49,"/"," "),"."," "),"\"," "),"_"," ")))&amp;" ")),1,0))+IF(Task!$A$11="",0,IF(ISNUMBER(SEARCH(" "&amp;Task!$A$11&amp;" "," "&amp;LOWER(D49&amp;" "&amp;C49&amp;" "&amp;LOWER(SUBSTITUTE(SUBSTITUTE(SUBSTITUTE(SUBSTITUTE(A49,"/"," "),"."," "),"\"," "),"_"," ")))&amp;" ")),1,0))+IF(Task!$A$12="",0,IF(ISNUMBER(SEARCH(" "&amp;Task!$A$12&amp;" "," "&amp;LOWER(D49&amp;" "&amp;C49&amp;" "&amp;LOWER(SUBSTITUTE(SUBSTITUTE(SUBSTITUTE(SUBSTITUTE(A49,"/"," "),"."," "),"\"," "),"_"," ")))&amp;" ")),1,0))+IF(Task!$A$13="",0,IF(ISNUMBER(SEARCH(" "&amp;Task!$A$13&amp;" "," "&amp;LOWER(D49&amp;" "&amp;C49&amp;" "&amp;LOWER(SUBSTITUTE(SUBSTITUTE(SUBSTITUTE(SUBSTITUTE(A49,"/"," "),"."," "),"\"," "),"_"," ")))&amp;" ")),1,0))+IF(Task!$A$14="",0,IF(ISNUMBER(SEARCH(" "&amp;Task!$A$14&amp;" "," "&amp;LOWER(D49&amp;" "&amp;C49&amp;" "&amp;LOWER(SUBSTITUTE(SUBSTITUTE(SUBSTITUTE(SUBSTITUTE(A49,"/"," "),"."," "),"\"," "),"_"," ")))&amp;" ")),1,0))+IF(Task!$A$15="",0,IF(ISNUMBER(SEARCH(" "&amp;Task!$A$15&amp;" "," "&amp;LOWER(D49&amp;" "&amp;C49&amp;" "&amp;LOWER(SUBSTITUTE(SUBSTITUTE(SUBSTITUTE(SUBSTITUTE(A49,"/"," "),"."," "),"\"," "),"_"," ")))&amp;" ")),1,0))+IF(Task!$A$16="",0,IF(ISNUMBER(SEARCH(" "&amp;Task!$A$16&amp;" "," "&amp;LOWER(D49&amp;" "&amp;C49&amp;" "&amp;LOWER(SUBSTITUTE(SUBSTITUTE(SUBSTITUTE(SUBSTITUTE(A49,"/"," "),"."," "),"\"," "),"_"," ")))&amp;" ")),1,0))+IF(Task!$A$17="",0,IF(ISNUMBER(SEARCH(" "&amp;Task!$A$17&amp;" "," "&amp;LOWER(D49&amp;" "&amp;C49&amp;" "&amp;LOWER(SUBSTITUTE(SUBSTITUTE(SUBSTITUTE(SUBSTITUTE(A49,"/"," "),"."," "),"\"," "),"_"," ")))&amp;" ")),1,0))+IF(Task!$A$18="",0,IF(ISNUMBER(SEARCH(" "&amp;Task!$A$18&amp;" "," "&amp;LOWER(D49&amp;" "&amp;C49&amp;" "&amp;LOWER(SUBSTITUTE(SUBSTITUTE(SUBSTITUTE(SUBSTITUTE(A49,"/"," "),"."," "),"\"," "),"_"," ")))&amp;" ")),1,0))+IF(Task!$A$19="",0,IF(ISNUMBER(SEARCH(" "&amp;Task!$A$19&amp;" "," "&amp;LOWER(D49&amp;" "&amp;C49&amp;" "&amp;LOWER(SUBSTITUTE(SUBSTITUTE(SUBSTITUTE(SUBSTITUTE(A49,"/"," "),"."," "),"\"," "),"_"," ")))&amp;" ")),1,0)))</f>
        <v/>
      </c>
      <c r="G49" s="9">
        <f>IF(E49=0,0,IF(Task!$A$8="",0,IF(ISNUMBER(SEARCH(" "&amp;Task!$A$8&amp;" "," "&amp;LOWER(C49)&amp;" ")),1,0))+IF(Task!$A$9="",0,IF(ISNUMBER(SEARCH(" "&amp;Task!$A$9&amp;" "," "&amp;LOWER(C49)&amp;" ")),1,0))+IF(Task!$A$10="",0,IF(ISNUMBER(SEARCH(" "&amp;Task!$A$10&amp;" "," "&amp;LOWER(C49)&amp;" ")),1,0))+IF(Task!$A$11="",0,IF(ISNUMBER(SEARCH(" "&amp;Task!$A$11&amp;" "," "&amp;LOWER(C49)&amp;" ")),1,0))+IF(Task!$A$12="",0,IF(ISNUMBER(SEARCH(" "&amp;Task!$A$12&amp;" "," "&amp;LOWER(C49)&amp;" ")),1,0))+IF(Task!$A$13="",0,IF(ISNUMBER(SEARCH(" "&amp;Task!$A$13&amp;" "," "&amp;LOWER(C49)&amp;" ")),1,0))+IF(Task!$A$14="",0,IF(ISNUMBER(SEARCH(" "&amp;Task!$A$14&amp;" "," "&amp;LOWER(C49)&amp;" ")),1,0))+IF(Task!$A$15="",0,IF(ISNUMBER(SEARCH(" "&amp;Task!$A$15&amp;" "," "&amp;LOWER(C49)&amp;" ")),1,0))+IF(Task!$A$16="",0,IF(ISNUMBER(SEARCH(" "&amp;Task!$A$16&amp;" "," "&amp;LOWER(C49)&amp;" ")),1,0))+IF(Task!$A$17="",0,IF(ISNUMBER(SEARCH(" "&amp;Task!$A$17&amp;" "," "&amp;LOWER(C49)&amp;" ")),1,0))+IF(Task!$A$18="",0,IF(ISNUMBER(SEARCH(" "&amp;Task!$A$18&amp;" "," "&amp;LOWER(C49)&amp;" ")),1,0))+IF(Task!$A$19="",0,IF(ISNUMBER(SEARCH(" "&amp;Task!$A$19&amp;" "," "&amp;LOWER(C49)&amp;" ")),1,0)))</f>
        <v/>
      </c>
      <c r="H49" s="9">
        <f>IF(E49=0,0,IF(Task!$A$8="",0,IF(ISNUMBER(SEARCH(" "&amp;Task!$A$8&amp;" "," "&amp;LOWER(SUBSTITUTE(SUBSTITUTE(SUBSTITUTE(SUBSTITUTE(A49,"/"," "),"."," "),"\"," "),"_"," "))&amp;" ")),1,0))+IF(Task!$A$9="",0,IF(ISNUMBER(SEARCH(" "&amp;Task!$A$9&amp;" "," "&amp;LOWER(SUBSTITUTE(SUBSTITUTE(SUBSTITUTE(SUBSTITUTE(A49,"/"," "),"."," "),"\"," "),"_"," "))&amp;" ")),1,0))+IF(Task!$A$10="",0,IF(ISNUMBER(SEARCH(" "&amp;Task!$A$10&amp;" "," "&amp;LOWER(SUBSTITUTE(SUBSTITUTE(SUBSTITUTE(SUBSTITUTE(A49,"/"," "),"."," "),"\"," "),"_"," "))&amp;" ")),1,0))+IF(Task!$A$11="",0,IF(ISNUMBER(SEARCH(" "&amp;Task!$A$11&amp;" "," "&amp;LOWER(SUBSTITUTE(SUBSTITUTE(SUBSTITUTE(SUBSTITUTE(A49,"/"," "),"."," "),"\"," "),"_"," "))&amp;" ")),1,0))+IF(Task!$A$12="",0,IF(ISNUMBER(SEARCH(" "&amp;Task!$A$12&amp;" "," "&amp;LOWER(SUBSTITUTE(SUBSTITUTE(SUBSTITUTE(SUBSTITUTE(A49,"/"," "),"."," "),"\"," "),"_"," "))&amp;" ")),1,0))+IF(Task!$A$13="",0,IF(ISNUMBER(SEARCH(" "&amp;Task!$A$13&amp;" "," "&amp;LOWER(SUBSTITUTE(SUBSTITUTE(SUBSTITUTE(SUBSTITUTE(A49,"/"," "),"."," "),"\"," "),"_"," "))&amp;" ")),1,0))+IF(Task!$A$14="",0,IF(ISNUMBER(SEARCH(" "&amp;Task!$A$14&amp;" "," "&amp;LOWER(SUBSTITUTE(SUBSTITUTE(SUBSTITUTE(SUBSTITUTE(A49,"/"," "),"."," "),"\"," "),"_"," "))&amp;" ")),1,0))+IF(Task!$A$15="",0,IF(ISNUMBER(SEARCH(" "&amp;Task!$A$15&amp;" "," "&amp;LOWER(SUBSTITUTE(SUBSTITUTE(SUBSTITUTE(SUBSTITUTE(A49,"/"," "),"."," "),"\"," "),"_"," "))&amp;" ")),1,0))+IF(Task!$A$16="",0,IF(ISNUMBER(SEARCH(" "&amp;Task!$A$16&amp;" "," "&amp;LOWER(SUBSTITUTE(SUBSTITUTE(SUBSTITUTE(SUBSTITUTE(A49,"/"," "),"."," "),"\"," "),"_"," "))&amp;" ")),1,0))+IF(Task!$A$17="",0,IF(ISNUMBER(SEARCH(" "&amp;Task!$A$17&amp;" "," "&amp;LOWER(SUBSTITUTE(SUBSTITUTE(SUBSTITUTE(SUBSTITUTE(A49,"/"," "),"."," "),"\"," "),"_"," "))&amp;" ")),1,0))+IF(Task!$A$18="",0,IF(ISNUMBER(SEARCH(" "&amp;Task!$A$18&amp;" "," "&amp;LOWER(SUBSTITUTE(SUBSTITUTE(SUBSTITUTE(SUBSTITUTE(A49,"/"," "),"."," "),"\"," "),"_"," "))&amp;" ")),1,0))+IF(Task!$A$19="",0,IF(ISNUMBER(SEARCH(" "&amp;Task!$A$19&amp;" "," "&amp;LOWER(SUBSTITUTE(SUBSTITUTE(SUBSTITUTE(SUBSTITUTE(A49,"/"," "),"."," "),"\"," "),"_"," "))&amp;" ")),1,0)))</f>
        <v/>
      </c>
      <c r="I49" s="10">
        <f>IF(OR(E49=0,F49=0,Task!$B$21=0),"",F49/Task!$B$21+0.5*G49+0.25*H49)</f>
        <v/>
      </c>
      <c r="J49" s="5">
        <f>IF(I49="","",I49-ROW()/1000000)</f>
        <v/>
      </c>
      <c r="K49" s="9">
        <f>IF(J49="","",COUNTIF($J$5:$J$404,"&gt;"&amp;J49)+1)</f>
        <v/>
      </c>
    </row>
    <row r="50">
      <c r="A50" s="7" t="n"/>
      <c r="B50" s="7" t="n"/>
      <c r="C50" s="7" t="n"/>
      <c r="D50" s="7" t="n"/>
      <c r="E50" s="5">
        <f>IF(A50="",0,IF(COUNTA(Task!$B$5:$E$5)=0,1,IF(COUNTIF(Task!$B$5:$E$5,B50)&gt;0,1,0)))</f>
        <v/>
      </c>
      <c r="F50" s="9">
        <f>IF(E50=0,0,IF(Task!$A$8="",0,IF(ISNUMBER(SEARCH(" "&amp;Task!$A$8&amp;" "," "&amp;LOWER(D50&amp;" "&amp;C50&amp;" "&amp;LOWER(SUBSTITUTE(SUBSTITUTE(SUBSTITUTE(SUBSTITUTE(A50,"/"," "),"."," "),"\"," "),"_"," ")))&amp;" ")),1,0))+IF(Task!$A$9="",0,IF(ISNUMBER(SEARCH(" "&amp;Task!$A$9&amp;" "," "&amp;LOWER(D50&amp;" "&amp;C50&amp;" "&amp;LOWER(SUBSTITUTE(SUBSTITUTE(SUBSTITUTE(SUBSTITUTE(A50,"/"," "),"."," "),"\"," "),"_"," ")))&amp;" ")),1,0))+IF(Task!$A$10="",0,IF(ISNUMBER(SEARCH(" "&amp;Task!$A$10&amp;" "," "&amp;LOWER(D50&amp;" "&amp;C50&amp;" "&amp;LOWER(SUBSTITUTE(SUBSTITUTE(SUBSTITUTE(SUBSTITUTE(A50,"/"," "),"."," "),"\"," "),"_"," ")))&amp;" ")),1,0))+IF(Task!$A$11="",0,IF(ISNUMBER(SEARCH(" "&amp;Task!$A$11&amp;" "," "&amp;LOWER(D50&amp;" "&amp;C50&amp;" "&amp;LOWER(SUBSTITUTE(SUBSTITUTE(SUBSTITUTE(SUBSTITUTE(A50,"/"," "),"."," "),"\"," "),"_"," ")))&amp;" ")),1,0))+IF(Task!$A$12="",0,IF(ISNUMBER(SEARCH(" "&amp;Task!$A$12&amp;" "," "&amp;LOWER(D50&amp;" "&amp;C50&amp;" "&amp;LOWER(SUBSTITUTE(SUBSTITUTE(SUBSTITUTE(SUBSTITUTE(A50,"/"," "),"."," "),"\"," "),"_"," ")))&amp;" ")),1,0))+IF(Task!$A$13="",0,IF(ISNUMBER(SEARCH(" "&amp;Task!$A$13&amp;" "," "&amp;LOWER(D50&amp;" "&amp;C50&amp;" "&amp;LOWER(SUBSTITUTE(SUBSTITUTE(SUBSTITUTE(SUBSTITUTE(A50,"/"," "),"."," "),"\"," "),"_"," ")))&amp;" ")),1,0))+IF(Task!$A$14="",0,IF(ISNUMBER(SEARCH(" "&amp;Task!$A$14&amp;" "," "&amp;LOWER(D50&amp;" "&amp;C50&amp;" "&amp;LOWER(SUBSTITUTE(SUBSTITUTE(SUBSTITUTE(SUBSTITUTE(A50,"/"," "),"."," "),"\"," "),"_"," ")))&amp;" ")),1,0))+IF(Task!$A$15="",0,IF(ISNUMBER(SEARCH(" "&amp;Task!$A$15&amp;" "," "&amp;LOWER(D50&amp;" "&amp;C50&amp;" "&amp;LOWER(SUBSTITUTE(SUBSTITUTE(SUBSTITUTE(SUBSTITUTE(A50,"/"," "),"."," "),"\"," "),"_"," ")))&amp;" ")),1,0))+IF(Task!$A$16="",0,IF(ISNUMBER(SEARCH(" "&amp;Task!$A$16&amp;" "," "&amp;LOWER(D50&amp;" "&amp;C50&amp;" "&amp;LOWER(SUBSTITUTE(SUBSTITUTE(SUBSTITUTE(SUBSTITUTE(A50,"/"," "),"."," "),"\"," "),"_"," ")))&amp;" ")),1,0))+IF(Task!$A$17="",0,IF(ISNUMBER(SEARCH(" "&amp;Task!$A$17&amp;" "," "&amp;LOWER(D50&amp;" "&amp;C50&amp;" "&amp;LOWER(SUBSTITUTE(SUBSTITUTE(SUBSTITUTE(SUBSTITUTE(A50,"/"," "),"."," "),"\"," "),"_"," ")))&amp;" ")),1,0))+IF(Task!$A$18="",0,IF(ISNUMBER(SEARCH(" "&amp;Task!$A$18&amp;" "," "&amp;LOWER(D50&amp;" "&amp;C50&amp;" "&amp;LOWER(SUBSTITUTE(SUBSTITUTE(SUBSTITUTE(SUBSTITUTE(A50,"/"," "),"."," "),"\"," "),"_"," ")))&amp;" ")),1,0))+IF(Task!$A$19="",0,IF(ISNUMBER(SEARCH(" "&amp;Task!$A$19&amp;" "," "&amp;LOWER(D50&amp;" "&amp;C50&amp;" "&amp;LOWER(SUBSTITUTE(SUBSTITUTE(SUBSTITUTE(SUBSTITUTE(A50,"/"," "),"."," "),"\"," "),"_"," ")))&amp;" ")),1,0)))</f>
        <v/>
      </c>
      <c r="G50" s="9">
        <f>IF(E50=0,0,IF(Task!$A$8="",0,IF(ISNUMBER(SEARCH(" "&amp;Task!$A$8&amp;" "," "&amp;LOWER(C50)&amp;" ")),1,0))+IF(Task!$A$9="",0,IF(ISNUMBER(SEARCH(" "&amp;Task!$A$9&amp;" "," "&amp;LOWER(C50)&amp;" ")),1,0))+IF(Task!$A$10="",0,IF(ISNUMBER(SEARCH(" "&amp;Task!$A$10&amp;" "," "&amp;LOWER(C50)&amp;" ")),1,0))+IF(Task!$A$11="",0,IF(ISNUMBER(SEARCH(" "&amp;Task!$A$11&amp;" "," "&amp;LOWER(C50)&amp;" ")),1,0))+IF(Task!$A$12="",0,IF(ISNUMBER(SEARCH(" "&amp;Task!$A$12&amp;" "," "&amp;LOWER(C50)&amp;" ")),1,0))+IF(Task!$A$13="",0,IF(ISNUMBER(SEARCH(" "&amp;Task!$A$13&amp;" "," "&amp;LOWER(C50)&amp;" ")),1,0))+IF(Task!$A$14="",0,IF(ISNUMBER(SEARCH(" "&amp;Task!$A$14&amp;" "," "&amp;LOWER(C50)&amp;" ")),1,0))+IF(Task!$A$15="",0,IF(ISNUMBER(SEARCH(" "&amp;Task!$A$15&amp;" "," "&amp;LOWER(C50)&amp;" ")),1,0))+IF(Task!$A$16="",0,IF(ISNUMBER(SEARCH(" "&amp;Task!$A$16&amp;" "," "&amp;LOWER(C50)&amp;" ")),1,0))+IF(Task!$A$17="",0,IF(ISNUMBER(SEARCH(" "&amp;Task!$A$17&amp;" "," "&amp;LOWER(C50)&amp;" ")),1,0))+IF(Task!$A$18="",0,IF(ISNUMBER(SEARCH(" "&amp;Task!$A$18&amp;" "," "&amp;LOWER(C50)&amp;" ")),1,0))+IF(Task!$A$19="",0,IF(ISNUMBER(SEARCH(" "&amp;Task!$A$19&amp;" "," "&amp;LOWER(C50)&amp;" ")),1,0)))</f>
        <v/>
      </c>
      <c r="H50" s="9">
        <f>IF(E50=0,0,IF(Task!$A$8="",0,IF(ISNUMBER(SEARCH(" "&amp;Task!$A$8&amp;" "," "&amp;LOWER(SUBSTITUTE(SUBSTITUTE(SUBSTITUTE(SUBSTITUTE(A50,"/"," "),"."," "),"\"," "),"_"," "))&amp;" ")),1,0))+IF(Task!$A$9="",0,IF(ISNUMBER(SEARCH(" "&amp;Task!$A$9&amp;" "," "&amp;LOWER(SUBSTITUTE(SUBSTITUTE(SUBSTITUTE(SUBSTITUTE(A50,"/"," "),"."," "),"\"," "),"_"," "))&amp;" ")),1,0))+IF(Task!$A$10="",0,IF(ISNUMBER(SEARCH(" "&amp;Task!$A$10&amp;" "," "&amp;LOWER(SUBSTITUTE(SUBSTITUTE(SUBSTITUTE(SUBSTITUTE(A50,"/"," "),"."," "),"\"," "),"_"," "))&amp;" ")),1,0))+IF(Task!$A$11="",0,IF(ISNUMBER(SEARCH(" "&amp;Task!$A$11&amp;" "," "&amp;LOWER(SUBSTITUTE(SUBSTITUTE(SUBSTITUTE(SUBSTITUTE(A50,"/"," "),"."," "),"\"," "),"_"," "))&amp;" ")),1,0))+IF(Task!$A$12="",0,IF(ISNUMBER(SEARCH(" "&amp;Task!$A$12&amp;" "," "&amp;LOWER(SUBSTITUTE(SUBSTITUTE(SUBSTITUTE(SUBSTITUTE(A50,"/"," "),"."," "),"\"," "),"_"," "))&amp;" ")),1,0))+IF(Task!$A$13="",0,IF(ISNUMBER(SEARCH(" "&amp;Task!$A$13&amp;" "," "&amp;LOWER(SUBSTITUTE(SUBSTITUTE(SUBSTITUTE(SUBSTITUTE(A50,"/"," "),"."," "),"\"," "),"_"," "))&amp;" ")),1,0))+IF(Task!$A$14="",0,IF(ISNUMBER(SEARCH(" "&amp;Task!$A$14&amp;" "," "&amp;LOWER(SUBSTITUTE(SUBSTITUTE(SUBSTITUTE(SUBSTITUTE(A50,"/"," "),"."," "),"\"," "),"_"," "))&amp;" ")),1,0))+IF(Task!$A$15="",0,IF(ISNUMBER(SEARCH(" "&amp;Task!$A$15&amp;" "," "&amp;LOWER(SUBSTITUTE(SUBSTITUTE(SUBSTITUTE(SUBSTITUTE(A50,"/"," "),"."," "),"\"," "),"_"," "))&amp;" ")),1,0))+IF(Task!$A$16="",0,IF(ISNUMBER(SEARCH(" "&amp;Task!$A$16&amp;" "," "&amp;LOWER(SUBSTITUTE(SUBSTITUTE(SUBSTITUTE(SUBSTITUTE(A50,"/"," "),"."," "),"\"," "),"_"," "))&amp;" ")),1,0))+IF(Task!$A$17="",0,IF(ISNUMBER(SEARCH(" "&amp;Task!$A$17&amp;" "," "&amp;LOWER(SUBSTITUTE(SUBSTITUTE(SUBSTITUTE(SUBSTITUTE(A50,"/"," "),"."," "),"\"," "),"_"," "))&amp;" ")),1,0))+IF(Task!$A$18="",0,IF(ISNUMBER(SEARCH(" "&amp;Task!$A$18&amp;" "," "&amp;LOWER(SUBSTITUTE(SUBSTITUTE(SUBSTITUTE(SUBSTITUTE(A50,"/"," "),"."," "),"\"," "),"_"," "))&amp;" ")),1,0))+IF(Task!$A$19="",0,IF(ISNUMBER(SEARCH(" "&amp;Task!$A$19&amp;" "," "&amp;LOWER(SUBSTITUTE(SUBSTITUTE(SUBSTITUTE(SUBSTITUTE(A50,"/"," "),"."," "),"\"," "),"_"," "))&amp;" ")),1,0)))</f>
        <v/>
      </c>
      <c r="I50" s="10">
        <f>IF(OR(E50=0,F50=0,Task!$B$21=0),"",F50/Task!$B$21+0.5*G50+0.25*H50)</f>
        <v/>
      </c>
      <c r="J50" s="5">
        <f>IF(I50="","",I50-ROW()/1000000)</f>
        <v/>
      </c>
      <c r="K50" s="9">
        <f>IF(J50="","",COUNTIF($J$5:$J$404,"&gt;"&amp;J50)+1)</f>
        <v/>
      </c>
    </row>
    <row r="51">
      <c r="A51" s="7" t="n"/>
      <c r="B51" s="7" t="n"/>
      <c r="C51" s="7" t="n"/>
      <c r="D51" s="7" t="n"/>
      <c r="E51" s="5">
        <f>IF(A51="",0,IF(COUNTA(Task!$B$5:$E$5)=0,1,IF(COUNTIF(Task!$B$5:$E$5,B51)&gt;0,1,0)))</f>
        <v/>
      </c>
      <c r="F51" s="9">
        <f>IF(E51=0,0,IF(Task!$A$8="",0,IF(ISNUMBER(SEARCH(" "&amp;Task!$A$8&amp;" "," "&amp;LOWER(D51&amp;" "&amp;C51&amp;" "&amp;LOWER(SUBSTITUTE(SUBSTITUTE(SUBSTITUTE(SUBSTITUTE(A51,"/"," "),"."," "),"\"," "),"_"," ")))&amp;" ")),1,0))+IF(Task!$A$9="",0,IF(ISNUMBER(SEARCH(" "&amp;Task!$A$9&amp;" "," "&amp;LOWER(D51&amp;" "&amp;C51&amp;" "&amp;LOWER(SUBSTITUTE(SUBSTITUTE(SUBSTITUTE(SUBSTITUTE(A51,"/"," "),"."," "),"\"," "),"_"," ")))&amp;" ")),1,0))+IF(Task!$A$10="",0,IF(ISNUMBER(SEARCH(" "&amp;Task!$A$10&amp;" "," "&amp;LOWER(D51&amp;" "&amp;C51&amp;" "&amp;LOWER(SUBSTITUTE(SUBSTITUTE(SUBSTITUTE(SUBSTITUTE(A51,"/"," "),"."," "),"\"," "),"_"," ")))&amp;" ")),1,0))+IF(Task!$A$11="",0,IF(ISNUMBER(SEARCH(" "&amp;Task!$A$11&amp;" "," "&amp;LOWER(D51&amp;" "&amp;C51&amp;" "&amp;LOWER(SUBSTITUTE(SUBSTITUTE(SUBSTITUTE(SUBSTITUTE(A51,"/"," "),"."," "),"\"," "),"_"," ")))&amp;" ")),1,0))+IF(Task!$A$12="",0,IF(ISNUMBER(SEARCH(" "&amp;Task!$A$12&amp;" "," "&amp;LOWER(D51&amp;" "&amp;C51&amp;" "&amp;LOWER(SUBSTITUTE(SUBSTITUTE(SUBSTITUTE(SUBSTITUTE(A51,"/"," "),"."," "),"\"," "),"_"," ")))&amp;" ")),1,0))+IF(Task!$A$13="",0,IF(ISNUMBER(SEARCH(" "&amp;Task!$A$13&amp;" "," "&amp;LOWER(D51&amp;" "&amp;C51&amp;" "&amp;LOWER(SUBSTITUTE(SUBSTITUTE(SUBSTITUTE(SUBSTITUTE(A51,"/"," "),"."," "),"\"," "),"_"," ")))&amp;" ")),1,0))+IF(Task!$A$14="",0,IF(ISNUMBER(SEARCH(" "&amp;Task!$A$14&amp;" "," "&amp;LOWER(D51&amp;" "&amp;C51&amp;" "&amp;LOWER(SUBSTITUTE(SUBSTITUTE(SUBSTITUTE(SUBSTITUTE(A51,"/"," "),"."," "),"\"," "),"_"," ")))&amp;" ")),1,0))+IF(Task!$A$15="",0,IF(ISNUMBER(SEARCH(" "&amp;Task!$A$15&amp;" "," "&amp;LOWER(D51&amp;" "&amp;C51&amp;" "&amp;LOWER(SUBSTITUTE(SUBSTITUTE(SUBSTITUTE(SUBSTITUTE(A51,"/"," "),"."," "),"\"," "),"_"," ")))&amp;" ")),1,0))+IF(Task!$A$16="",0,IF(ISNUMBER(SEARCH(" "&amp;Task!$A$16&amp;" "," "&amp;LOWER(D51&amp;" "&amp;C51&amp;" "&amp;LOWER(SUBSTITUTE(SUBSTITUTE(SUBSTITUTE(SUBSTITUTE(A51,"/"," "),"."," "),"\"," "),"_"," ")))&amp;" ")),1,0))+IF(Task!$A$17="",0,IF(ISNUMBER(SEARCH(" "&amp;Task!$A$17&amp;" "," "&amp;LOWER(D51&amp;" "&amp;C51&amp;" "&amp;LOWER(SUBSTITUTE(SUBSTITUTE(SUBSTITUTE(SUBSTITUTE(A51,"/"," "),"."," "),"\"," "),"_"," ")))&amp;" ")),1,0))+IF(Task!$A$18="",0,IF(ISNUMBER(SEARCH(" "&amp;Task!$A$18&amp;" "," "&amp;LOWER(D51&amp;" "&amp;C51&amp;" "&amp;LOWER(SUBSTITUTE(SUBSTITUTE(SUBSTITUTE(SUBSTITUTE(A51,"/"," "),"."," "),"\"," "),"_"," ")))&amp;" ")),1,0))+IF(Task!$A$19="",0,IF(ISNUMBER(SEARCH(" "&amp;Task!$A$19&amp;" "," "&amp;LOWER(D51&amp;" "&amp;C51&amp;" "&amp;LOWER(SUBSTITUTE(SUBSTITUTE(SUBSTITUTE(SUBSTITUTE(A51,"/"," "),"."," "),"\"," "),"_"," ")))&amp;" ")),1,0)))</f>
        <v/>
      </c>
      <c r="G51" s="9">
        <f>IF(E51=0,0,IF(Task!$A$8="",0,IF(ISNUMBER(SEARCH(" "&amp;Task!$A$8&amp;" "," "&amp;LOWER(C51)&amp;" ")),1,0))+IF(Task!$A$9="",0,IF(ISNUMBER(SEARCH(" "&amp;Task!$A$9&amp;" "," "&amp;LOWER(C51)&amp;" ")),1,0))+IF(Task!$A$10="",0,IF(ISNUMBER(SEARCH(" "&amp;Task!$A$10&amp;" "," "&amp;LOWER(C51)&amp;" ")),1,0))+IF(Task!$A$11="",0,IF(ISNUMBER(SEARCH(" "&amp;Task!$A$11&amp;" "," "&amp;LOWER(C51)&amp;" ")),1,0))+IF(Task!$A$12="",0,IF(ISNUMBER(SEARCH(" "&amp;Task!$A$12&amp;" "," "&amp;LOWER(C51)&amp;" ")),1,0))+IF(Task!$A$13="",0,IF(ISNUMBER(SEARCH(" "&amp;Task!$A$13&amp;" "," "&amp;LOWER(C51)&amp;" ")),1,0))+IF(Task!$A$14="",0,IF(ISNUMBER(SEARCH(" "&amp;Task!$A$14&amp;" "," "&amp;LOWER(C51)&amp;" ")),1,0))+IF(Task!$A$15="",0,IF(ISNUMBER(SEARCH(" "&amp;Task!$A$15&amp;" "," "&amp;LOWER(C51)&amp;" ")),1,0))+IF(Task!$A$16="",0,IF(ISNUMBER(SEARCH(" "&amp;Task!$A$16&amp;" "," "&amp;LOWER(C51)&amp;" ")),1,0))+IF(Task!$A$17="",0,IF(ISNUMBER(SEARCH(" "&amp;Task!$A$17&amp;" "," "&amp;LOWER(C51)&amp;" ")),1,0))+IF(Task!$A$18="",0,IF(ISNUMBER(SEARCH(" "&amp;Task!$A$18&amp;" "," "&amp;LOWER(C51)&amp;" ")),1,0))+IF(Task!$A$19="",0,IF(ISNUMBER(SEARCH(" "&amp;Task!$A$19&amp;" "," "&amp;LOWER(C51)&amp;" ")),1,0)))</f>
        <v/>
      </c>
      <c r="H51" s="9">
        <f>IF(E51=0,0,IF(Task!$A$8="",0,IF(ISNUMBER(SEARCH(" "&amp;Task!$A$8&amp;" "," "&amp;LOWER(SUBSTITUTE(SUBSTITUTE(SUBSTITUTE(SUBSTITUTE(A51,"/"," "),"."," "),"\"," "),"_"," "))&amp;" ")),1,0))+IF(Task!$A$9="",0,IF(ISNUMBER(SEARCH(" "&amp;Task!$A$9&amp;" "," "&amp;LOWER(SUBSTITUTE(SUBSTITUTE(SUBSTITUTE(SUBSTITUTE(A51,"/"," "),"."," "),"\"," "),"_"," "))&amp;" ")),1,0))+IF(Task!$A$10="",0,IF(ISNUMBER(SEARCH(" "&amp;Task!$A$10&amp;" "," "&amp;LOWER(SUBSTITUTE(SUBSTITUTE(SUBSTITUTE(SUBSTITUTE(A51,"/"," "),"."," "),"\"," "),"_"," "))&amp;" ")),1,0))+IF(Task!$A$11="",0,IF(ISNUMBER(SEARCH(" "&amp;Task!$A$11&amp;" "," "&amp;LOWER(SUBSTITUTE(SUBSTITUTE(SUBSTITUTE(SUBSTITUTE(A51,"/"," "),"."," "),"\"," "),"_"," "))&amp;" ")),1,0))+IF(Task!$A$12="",0,IF(ISNUMBER(SEARCH(" "&amp;Task!$A$12&amp;" "," "&amp;LOWER(SUBSTITUTE(SUBSTITUTE(SUBSTITUTE(SUBSTITUTE(A51,"/"," "),"."," "),"\"," "),"_"," "))&amp;" ")),1,0))+IF(Task!$A$13="",0,IF(ISNUMBER(SEARCH(" "&amp;Task!$A$13&amp;" "," "&amp;LOWER(SUBSTITUTE(SUBSTITUTE(SUBSTITUTE(SUBSTITUTE(A51,"/"," "),"."," "),"\"," "),"_"," "))&amp;" ")),1,0))+IF(Task!$A$14="",0,IF(ISNUMBER(SEARCH(" "&amp;Task!$A$14&amp;" "," "&amp;LOWER(SUBSTITUTE(SUBSTITUTE(SUBSTITUTE(SUBSTITUTE(A51,"/"," "),"."," "),"\"," "),"_"," "))&amp;" ")),1,0))+IF(Task!$A$15="",0,IF(ISNUMBER(SEARCH(" "&amp;Task!$A$15&amp;" "," "&amp;LOWER(SUBSTITUTE(SUBSTITUTE(SUBSTITUTE(SUBSTITUTE(A51,"/"," "),"."," "),"\"," "),"_"," "))&amp;" ")),1,0))+IF(Task!$A$16="",0,IF(ISNUMBER(SEARCH(" "&amp;Task!$A$16&amp;" "," "&amp;LOWER(SUBSTITUTE(SUBSTITUTE(SUBSTITUTE(SUBSTITUTE(A51,"/"," "),"."," "),"\"," "),"_"," "))&amp;" ")),1,0))+IF(Task!$A$17="",0,IF(ISNUMBER(SEARCH(" "&amp;Task!$A$17&amp;" "," "&amp;LOWER(SUBSTITUTE(SUBSTITUTE(SUBSTITUTE(SUBSTITUTE(A51,"/"," "),"."," "),"\"," "),"_"," "))&amp;" ")),1,0))+IF(Task!$A$18="",0,IF(ISNUMBER(SEARCH(" "&amp;Task!$A$18&amp;" "," "&amp;LOWER(SUBSTITUTE(SUBSTITUTE(SUBSTITUTE(SUBSTITUTE(A51,"/"," "),"."," "),"\"," "),"_"," "))&amp;" ")),1,0))+IF(Task!$A$19="",0,IF(ISNUMBER(SEARCH(" "&amp;Task!$A$19&amp;" "," "&amp;LOWER(SUBSTITUTE(SUBSTITUTE(SUBSTITUTE(SUBSTITUTE(A51,"/"," "),"."," "),"\"," "),"_"," "))&amp;" ")),1,0)))</f>
        <v/>
      </c>
      <c r="I51" s="10">
        <f>IF(OR(E51=0,F51=0,Task!$B$21=0),"",F51/Task!$B$21+0.5*G51+0.25*H51)</f>
        <v/>
      </c>
      <c r="J51" s="5">
        <f>IF(I51="","",I51-ROW()/1000000)</f>
        <v/>
      </c>
      <c r="K51" s="9">
        <f>IF(J51="","",COUNTIF($J$5:$J$404,"&gt;"&amp;J51)+1)</f>
        <v/>
      </c>
    </row>
    <row r="52">
      <c r="A52" s="7" t="n"/>
      <c r="B52" s="7" t="n"/>
      <c r="C52" s="7" t="n"/>
      <c r="D52" s="7" t="n"/>
      <c r="E52" s="5">
        <f>IF(A52="",0,IF(COUNTA(Task!$B$5:$E$5)=0,1,IF(COUNTIF(Task!$B$5:$E$5,B52)&gt;0,1,0)))</f>
        <v/>
      </c>
      <c r="F52" s="9">
        <f>IF(E52=0,0,IF(Task!$A$8="",0,IF(ISNUMBER(SEARCH(" "&amp;Task!$A$8&amp;" "," "&amp;LOWER(D52&amp;" "&amp;C52&amp;" "&amp;LOWER(SUBSTITUTE(SUBSTITUTE(SUBSTITUTE(SUBSTITUTE(A52,"/"," "),"."," "),"\"," "),"_"," ")))&amp;" ")),1,0))+IF(Task!$A$9="",0,IF(ISNUMBER(SEARCH(" "&amp;Task!$A$9&amp;" "," "&amp;LOWER(D52&amp;" "&amp;C52&amp;" "&amp;LOWER(SUBSTITUTE(SUBSTITUTE(SUBSTITUTE(SUBSTITUTE(A52,"/"," "),"."," "),"\"," "),"_"," ")))&amp;" ")),1,0))+IF(Task!$A$10="",0,IF(ISNUMBER(SEARCH(" "&amp;Task!$A$10&amp;" "," "&amp;LOWER(D52&amp;" "&amp;C52&amp;" "&amp;LOWER(SUBSTITUTE(SUBSTITUTE(SUBSTITUTE(SUBSTITUTE(A52,"/"," "),"."," "),"\"," "),"_"," ")))&amp;" ")),1,0))+IF(Task!$A$11="",0,IF(ISNUMBER(SEARCH(" "&amp;Task!$A$11&amp;" "," "&amp;LOWER(D52&amp;" "&amp;C52&amp;" "&amp;LOWER(SUBSTITUTE(SUBSTITUTE(SUBSTITUTE(SUBSTITUTE(A52,"/"," "),"."," "),"\"," "),"_"," ")))&amp;" ")),1,0))+IF(Task!$A$12="",0,IF(ISNUMBER(SEARCH(" "&amp;Task!$A$12&amp;" "," "&amp;LOWER(D52&amp;" "&amp;C52&amp;" "&amp;LOWER(SUBSTITUTE(SUBSTITUTE(SUBSTITUTE(SUBSTITUTE(A52,"/"," "),"."," "),"\"," "),"_"," ")))&amp;" ")),1,0))+IF(Task!$A$13="",0,IF(ISNUMBER(SEARCH(" "&amp;Task!$A$13&amp;" "," "&amp;LOWER(D52&amp;" "&amp;C52&amp;" "&amp;LOWER(SUBSTITUTE(SUBSTITUTE(SUBSTITUTE(SUBSTITUTE(A52,"/"," "),"."," "),"\"," "),"_"," ")))&amp;" ")),1,0))+IF(Task!$A$14="",0,IF(ISNUMBER(SEARCH(" "&amp;Task!$A$14&amp;" "," "&amp;LOWER(D52&amp;" "&amp;C52&amp;" "&amp;LOWER(SUBSTITUTE(SUBSTITUTE(SUBSTITUTE(SUBSTITUTE(A52,"/"," "),"."," "),"\"," "),"_"," ")))&amp;" ")),1,0))+IF(Task!$A$15="",0,IF(ISNUMBER(SEARCH(" "&amp;Task!$A$15&amp;" "," "&amp;LOWER(D52&amp;" "&amp;C52&amp;" "&amp;LOWER(SUBSTITUTE(SUBSTITUTE(SUBSTITUTE(SUBSTITUTE(A52,"/"," "),"."," "),"\"," "),"_"," ")))&amp;" ")),1,0))+IF(Task!$A$16="",0,IF(ISNUMBER(SEARCH(" "&amp;Task!$A$16&amp;" "," "&amp;LOWER(D52&amp;" "&amp;C52&amp;" "&amp;LOWER(SUBSTITUTE(SUBSTITUTE(SUBSTITUTE(SUBSTITUTE(A52,"/"," "),"."," "),"\"," "),"_"," ")))&amp;" ")),1,0))+IF(Task!$A$17="",0,IF(ISNUMBER(SEARCH(" "&amp;Task!$A$17&amp;" "," "&amp;LOWER(D52&amp;" "&amp;C52&amp;" "&amp;LOWER(SUBSTITUTE(SUBSTITUTE(SUBSTITUTE(SUBSTITUTE(A52,"/"," "),"."," "),"\"," "),"_"," ")))&amp;" ")),1,0))+IF(Task!$A$18="",0,IF(ISNUMBER(SEARCH(" "&amp;Task!$A$18&amp;" "," "&amp;LOWER(D52&amp;" "&amp;C52&amp;" "&amp;LOWER(SUBSTITUTE(SUBSTITUTE(SUBSTITUTE(SUBSTITUTE(A52,"/"," "),"."," "),"\"," "),"_"," ")))&amp;" ")),1,0))+IF(Task!$A$19="",0,IF(ISNUMBER(SEARCH(" "&amp;Task!$A$19&amp;" "," "&amp;LOWER(D52&amp;" "&amp;C52&amp;" "&amp;LOWER(SUBSTITUTE(SUBSTITUTE(SUBSTITUTE(SUBSTITUTE(A52,"/"," "),"."," "),"\"," "),"_"," ")))&amp;" ")),1,0)))</f>
        <v/>
      </c>
      <c r="G52" s="9">
        <f>IF(E52=0,0,IF(Task!$A$8="",0,IF(ISNUMBER(SEARCH(" "&amp;Task!$A$8&amp;" "," "&amp;LOWER(C52)&amp;" ")),1,0))+IF(Task!$A$9="",0,IF(ISNUMBER(SEARCH(" "&amp;Task!$A$9&amp;" "," "&amp;LOWER(C52)&amp;" ")),1,0))+IF(Task!$A$10="",0,IF(ISNUMBER(SEARCH(" "&amp;Task!$A$10&amp;" "," "&amp;LOWER(C52)&amp;" ")),1,0))+IF(Task!$A$11="",0,IF(ISNUMBER(SEARCH(" "&amp;Task!$A$11&amp;" "," "&amp;LOWER(C52)&amp;" ")),1,0))+IF(Task!$A$12="",0,IF(ISNUMBER(SEARCH(" "&amp;Task!$A$12&amp;" "," "&amp;LOWER(C52)&amp;" ")),1,0))+IF(Task!$A$13="",0,IF(ISNUMBER(SEARCH(" "&amp;Task!$A$13&amp;" "," "&amp;LOWER(C52)&amp;" ")),1,0))+IF(Task!$A$14="",0,IF(ISNUMBER(SEARCH(" "&amp;Task!$A$14&amp;" "," "&amp;LOWER(C52)&amp;" ")),1,0))+IF(Task!$A$15="",0,IF(ISNUMBER(SEARCH(" "&amp;Task!$A$15&amp;" "," "&amp;LOWER(C52)&amp;" ")),1,0))+IF(Task!$A$16="",0,IF(ISNUMBER(SEARCH(" "&amp;Task!$A$16&amp;" "," "&amp;LOWER(C52)&amp;" ")),1,0))+IF(Task!$A$17="",0,IF(ISNUMBER(SEARCH(" "&amp;Task!$A$17&amp;" "," "&amp;LOWER(C52)&amp;" ")),1,0))+IF(Task!$A$18="",0,IF(ISNUMBER(SEARCH(" "&amp;Task!$A$18&amp;" "," "&amp;LOWER(C52)&amp;" ")),1,0))+IF(Task!$A$19="",0,IF(ISNUMBER(SEARCH(" "&amp;Task!$A$19&amp;" "," "&amp;LOWER(C52)&amp;" ")),1,0)))</f>
        <v/>
      </c>
      <c r="H52" s="9">
        <f>IF(E52=0,0,IF(Task!$A$8="",0,IF(ISNUMBER(SEARCH(" "&amp;Task!$A$8&amp;" "," "&amp;LOWER(SUBSTITUTE(SUBSTITUTE(SUBSTITUTE(SUBSTITUTE(A52,"/"," "),"."," "),"\"," "),"_"," "))&amp;" ")),1,0))+IF(Task!$A$9="",0,IF(ISNUMBER(SEARCH(" "&amp;Task!$A$9&amp;" "," "&amp;LOWER(SUBSTITUTE(SUBSTITUTE(SUBSTITUTE(SUBSTITUTE(A52,"/"," "),"."," "),"\"," "),"_"," "))&amp;" ")),1,0))+IF(Task!$A$10="",0,IF(ISNUMBER(SEARCH(" "&amp;Task!$A$10&amp;" "," "&amp;LOWER(SUBSTITUTE(SUBSTITUTE(SUBSTITUTE(SUBSTITUTE(A52,"/"," "),"."," "),"\"," "),"_"," "))&amp;" ")),1,0))+IF(Task!$A$11="",0,IF(ISNUMBER(SEARCH(" "&amp;Task!$A$11&amp;" "," "&amp;LOWER(SUBSTITUTE(SUBSTITUTE(SUBSTITUTE(SUBSTITUTE(A52,"/"," "),"."," "),"\"," "),"_"," "))&amp;" ")),1,0))+IF(Task!$A$12="",0,IF(ISNUMBER(SEARCH(" "&amp;Task!$A$12&amp;" "," "&amp;LOWER(SUBSTITUTE(SUBSTITUTE(SUBSTITUTE(SUBSTITUTE(A52,"/"," "),"."," "),"\"," "),"_"," "))&amp;" ")),1,0))+IF(Task!$A$13="",0,IF(ISNUMBER(SEARCH(" "&amp;Task!$A$13&amp;" "," "&amp;LOWER(SUBSTITUTE(SUBSTITUTE(SUBSTITUTE(SUBSTITUTE(A52,"/"," "),"."," "),"\"," "),"_"," "))&amp;" ")),1,0))+IF(Task!$A$14="",0,IF(ISNUMBER(SEARCH(" "&amp;Task!$A$14&amp;" "," "&amp;LOWER(SUBSTITUTE(SUBSTITUTE(SUBSTITUTE(SUBSTITUTE(A52,"/"," "),"."," "),"\"," "),"_"," "))&amp;" ")),1,0))+IF(Task!$A$15="",0,IF(ISNUMBER(SEARCH(" "&amp;Task!$A$15&amp;" "," "&amp;LOWER(SUBSTITUTE(SUBSTITUTE(SUBSTITUTE(SUBSTITUTE(A52,"/"," "),"."," "),"\"," "),"_"," "))&amp;" ")),1,0))+IF(Task!$A$16="",0,IF(ISNUMBER(SEARCH(" "&amp;Task!$A$16&amp;" "," "&amp;LOWER(SUBSTITUTE(SUBSTITUTE(SUBSTITUTE(SUBSTITUTE(A52,"/"," "),"."," "),"\"," "),"_"," "))&amp;" ")),1,0))+IF(Task!$A$17="",0,IF(ISNUMBER(SEARCH(" "&amp;Task!$A$17&amp;" "," "&amp;LOWER(SUBSTITUTE(SUBSTITUTE(SUBSTITUTE(SUBSTITUTE(A52,"/"," "),"."," "),"\"," "),"_"," "))&amp;" ")),1,0))+IF(Task!$A$18="",0,IF(ISNUMBER(SEARCH(" "&amp;Task!$A$18&amp;" "," "&amp;LOWER(SUBSTITUTE(SUBSTITUTE(SUBSTITUTE(SUBSTITUTE(A52,"/"," "),"."," "),"\"," "),"_"," "))&amp;" ")),1,0))+IF(Task!$A$19="",0,IF(ISNUMBER(SEARCH(" "&amp;Task!$A$19&amp;" "," "&amp;LOWER(SUBSTITUTE(SUBSTITUTE(SUBSTITUTE(SUBSTITUTE(A52,"/"," "),"."," "),"\"," "),"_"," "))&amp;" ")),1,0)))</f>
        <v/>
      </c>
      <c r="I52" s="10">
        <f>IF(OR(E52=0,F52=0,Task!$B$21=0),"",F52/Task!$B$21+0.5*G52+0.25*H52)</f>
        <v/>
      </c>
      <c r="J52" s="5">
        <f>IF(I52="","",I52-ROW()/1000000)</f>
        <v/>
      </c>
      <c r="K52" s="9">
        <f>IF(J52="","",COUNTIF($J$5:$J$404,"&gt;"&amp;J52)+1)</f>
        <v/>
      </c>
    </row>
    <row r="53">
      <c r="A53" s="7" t="n"/>
      <c r="B53" s="7" t="n"/>
      <c r="C53" s="7" t="n"/>
      <c r="D53" s="7" t="n"/>
      <c r="E53" s="5">
        <f>IF(A53="",0,IF(COUNTA(Task!$B$5:$E$5)=0,1,IF(COUNTIF(Task!$B$5:$E$5,B53)&gt;0,1,0)))</f>
        <v/>
      </c>
      <c r="F53" s="9">
        <f>IF(E53=0,0,IF(Task!$A$8="",0,IF(ISNUMBER(SEARCH(" "&amp;Task!$A$8&amp;" "," "&amp;LOWER(D53&amp;" "&amp;C53&amp;" "&amp;LOWER(SUBSTITUTE(SUBSTITUTE(SUBSTITUTE(SUBSTITUTE(A53,"/"," "),"."," "),"\"," "),"_"," ")))&amp;" ")),1,0))+IF(Task!$A$9="",0,IF(ISNUMBER(SEARCH(" "&amp;Task!$A$9&amp;" "," "&amp;LOWER(D53&amp;" "&amp;C53&amp;" "&amp;LOWER(SUBSTITUTE(SUBSTITUTE(SUBSTITUTE(SUBSTITUTE(A53,"/"," "),"."," "),"\"," "),"_"," ")))&amp;" ")),1,0))+IF(Task!$A$10="",0,IF(ISNUMBER(SEARCH(" "&amp;Task!$A$10&amp;" "," "&amp;LOWER(D53&amp;" "&amp;C53&amp;" "&amp;LOWER(SUBSTITUTE(SUBSTITUTE(SUBSTITUTE(SUBSTITUTE(A53,"/"," "),"."," "),"\"," "),"_"," ")))&amp;" ")),1,0))+IF(Task!$A$11="",0,IF(ISNUMBER(SEARCH(" "&amp;Task!$A$11&amp;" "," "&amp;LOWER(D53&amp;" "&amp;C53&amp;" "&amp;LOWER(SUBSTITUTE(SUBSTITUTE(SUBSTITUTE(SUBSTITUTE(A53,"/"," "),"."," "),"\"," "),"_"," ")))&amp;" ")),1,0))+IF(Task!$A$12="",0,IF(ISNUMBER(SEARCH(" "&amp;Task!$A$12&amp;" "," "&amp;LOWER(D53&amp;" "&amp;C53&amp;" "&amp;LOWER(SUBSTITUTE(SUBSTITUTE(SUBSTITUTE(SUBSTITUTE(A53,"/"," "),"."," "),"\"," "),"_"," ")))&amp;" ")),1,0))+IF(Task!$A$13="",0,IF(ISNUMBER(SEARCH(" "&amp;Task!$A$13&amp;" "," "&amp;LOWER(D53&amp;" "&amp;C53&amp;" "&amp;LOWER(SUBSTITUTE(SUBSTITUTE(SUBSTITUTE(SUBSTITUTE(A53,"/"," "),"."," "),"\"," "),"_"," ")))&amp;" ")),1,0))+IF(Task!$A$14="",0,IF(ISNUMBER(SEARCH(" "&amp;Task!$A$14&amp;" "," "&amp;LOWER(D53&amp;" "&amp;C53&amp;" "&amp;LOWER(SUBSTITUTE(SUBSTITUTE(SUBSTITUTE(SUBSTITUTE(A53,"/"," "),"."," "),"\"," "),"_"," ")))&amp;" ")),1,0))+IF(Task!$A$15="",0,IF(ISNUMBER(SEARCH(" "&amp;Task!$A$15&amp;" "," "&amp;LOWER(D53&amp;" "&amp;C53&amp;" "&amp;LOWER(SUBSTITUTE(SUBSTITUTE(SUBSTITUTE(SUBSTITUTE(A53,"/"," "),"."," "),"\"," "),"_"," ")))&amp;" ")),1,0))+IF(Task!$A$16="",0,IF(ISNUMBER(SEARCH(" "&amp;Task!$A$16&amp;" "," "&amp;LOWER(D53&amp;" "&amp;C53&amp;" "&amp;LOWER(SUBSTITUTE(SUBSTITUTE(SUBSTITUTE(SUBSTITUTE(A53,"/"," "),"."," "),"\"," "),"_"," ")))&amp;" ")),1,0))+IF(Task!$A$17="",0,IF(ISNUMBER(SEARCH(" "&amp;Task!$A$17&amp;" "," "&amp;LOWER(D53&amp;" "&amp;C53&amp;" "&amp;LOWER(SUBSTITUTE(SUBSTITUTE(SUBSTITUTE(SUBSTITUTE(A53,"/"," "),"."," "),"\"," "),"_"," ")))&amp;" ")),1,0))+IF(Task!$A$18="",0,IF(ISNUMBER(SEARCH(" "&amp;Task!$A$18&amp;" "," "&amp;LOWER(D53&amp;" "&amp;C53&amp;" "&amp;LOWER(SUBSTITUTE(SUBSTITUTE(SUBSTITUTE(SUBSTITUTE(A53,"/"," "),"."," "),"\"," "),"_"," ")))&amp;" ")),1,0))+IF(Task!$A$19="",0,IF(ISNUMBER(SEARCH(" "&amp;Task!$A$19&amp;" "," "&amp;LOWER(D53&amp;" "&amp;C53&amp;" "&amp;LOWER(SUBSTITUTE(SUBSTITUTE(SUBSTITUTE(SUBSTITUTE(A53,"/"," "),"."," "),"\"," "),"_"," ")))&amp;" ")),1,0)))</f>
        <v/>
      </c>
      <c r="G53" s="9">
        <f>IF(E53=0,0,IF(Task!$A$8="",0,IF(ISNUMBER(SEARCH(" "&amp;Task!$A$8&amp;" "," "&amp;LOWER(C53)&amp;" ")),1,0))+IF(Task!$A$9="",0,IF(ISNUMBER(SEARCH(" "&amp;Task!$A$9&amp;" "," "&amp;LOWER(C53)&amp;" ")),1,0))+IF(Task!$A$10="",0,IF(ISNUMBER(SEARCH(" "&amp;Task!$A$10&amp;" "," "&amp;LOWER(C53)&amp;" ")),1,0))+IF(Task!$A$11="",0,IF(ISNUMBER(SEARCH(" "&amp;Task!$A$11&amp;" "," "&amp;LOWER(C53)&amp;" ")),1,0))+IF(Task!$A$12="",0,IF(ISNUMBER(SEARCH(" "&amp;Task!$A$12&amp;" "," "&amp;LOWER(C53)&amp;" ")),1,0))+IF(Task!$A$13="",0,IF(ISNUMBER(SEARCH(" "&amp;Task!$A$13&amp;" "," "&amp;LOWER(C53)&amp;" ")),1,0))+IF(Task!$A$14="",0,IF(ISNUMBER(SEARCH(" "&amp;Task!$A$14&amp;" "," "&amp;LOWER(C53)&amp;" ")),1,0))+IF(Task!$A$15="",0,IF(ISNUMBER(SEARCH(" "&amp;Task!$A$15&amp;" "," "&amp;LOWER(C53)&amp;" ")),1,0))+IF(Task!$A$16="",0,IF(ISNUMBER(SEARCH(" "&amp;Task!$A$16&amp;" "," "&amp;LOWER(C53)&amp;" ")),1,0))+IF(Task!$A$17="",0,IF(ISNUMBER(SEARCH(" "&amp;Task!$A$17&amp;" "," "&amp;LOWER(C53)&amp;" ")),1,0))+IF(Task!$A$18="",0,IF(ISNUMBER(SEARCH(" "&amp;Task!$A$18&amp;" "," "&amp;LOWER(C53)&amp;" ")),1,0))+IF(Task!$A$19="",0,IF(ISNUMBER(SEARCH(" "&amp;Task!$A$19&amp;" "," "&amp;LOWER(C53)&amp;" ")),1,0)))</f>
        <v/>
      </c>
      <c r="H53" s="9">
        <f>IF(E53=0,0,IF(Task!$A$8="",0,IF(ISNUMBER(SEARCH(" "&amp;Task!$A$8&amp;" "," "&amp;LOWER(SUBSTITUTE(SUBSTITUTE(SUBSTITUTE(SUBSTITUTE(A53,"/"," "),"."," "),"\"," "),"_"," "))&amp;" ")),1,0))+IF(Task!$A$9="",0,IF(ISNUMBER(SEARCH(" "&amp;Task!$A$9&amp;" "," "&amp;LOWER(SUBSTITUTE(SUBSTITUTE(SUBSTITUTE(SUBSTITUTE(A53,"/"," "),"."," "),"\"," "),"_"," "))&amp;" ")),1,0))+IF(Task!$A$10="",0,IF(ISNUMBER(SEARCH(" "&amp;Task!$A$10&amp;" "," "&amp;LOWER(SUBSTITUTE(SUBSTITUTE(SUBSTITUTE(SUBSTITUTE(A53,"/"," "),"."," "),"\"," "),"_"," "))&amp;" ")),1,0))+IF(Task!$A$11="",0,IF(ISNUMBER(SEARCH(" "&amp;Task!$A$11&amp;" "," "&amp;LOWER(SUBSTITUTE(SUBSTITUTE(SUBSTITUTE(SUBSTITUTE(A53,"/"," "),"."," "),"\"," "),"_"," "))&amp;" ")),1,0))+IF(Task!$A$12="",0,IF(ISNUMBER(SEARCH(" "&amp;Task!$A$12&amp;" "," "&amp;LOWER(SUBSTITUTE(SUBSTITUTE(SUBSTITUTE(SUBSTITUTE(A53,"/"," "),"."," "),"\"," "),"_"," "))&amp;" ")),1,0))+IF(Task!$A$13="",0,IF(ISNUMBER(SEARCH(" "&amp;Task!$A$13&amp;" "," "&amp;LOWER(SUBSTITUTE(SUBSTITUTE(SUBSTITUTE(SUBSTITUTE(A53,"/"," "),"."," "),"\"," "),"_"," "))&amp;" ")),1,0))+IF(Task!$A$14="",0,IF(ISNUMBER(SEARCH(" "&amp;Task!$A$14&amp;" "," "&amp;LOWER(SUBSTITUTE(SUBSTITUTE(SUBSTITUTE(SUBSTITUTE(A53,"/"," "),"."," "),"\"," "),"_"," "))&amp;" ")),1,0))+IF(Task!$A$15="",0,IF(ISNUMBER(SEARCH(" "&amp;Task!$A$15&amp;" "," "&amp;LOWER(SUBSTITUTE(SUBSTITUTE(SUBSTITUTE(SUBSTITUTE(A53,"/"," "),"."," "),"\"," "),"_"," "))&amp;" ")),1,0))+IF(Task!$A$16="",0,IF(ISNUMBER(SEARCH(" "&amp;Task!$A$16&amp;" "," "&amp;LOWER(SUBSTITUTE(SUBSTITUTE(SUBSTITUTE(SUBSTITUTE(A53,"/"," "),"."," "),"\"," "),"_"," "))&amp;" ")),1,0))+IF(Task!$A$17="",0,IF(ISNUMBER(SEARCH(" "&amp;Task!$A$17&amp;" "," "&amp;LOWER(SUBSTITUTE(SUBSTITUTE(SUBSTITUTE(SUBSTITUTE(A53,"/"," "),"."," "),"\"," "),"_"," "))&amp;" ")),1,0))+IF(Task!$A$18="",0,IF(ISNUMBER(SEARCH(" "&amp;Task!$A$18&amp;" "," "&amp;LOWER(SUBSTITUTE(SUBSTITUTE(SUBSTITUTE(SUBSTITUTE(A53,"/"," "),"."," "),"\"," "),"_"," "))&amp;" ")),1,0))+IF(Task!$A$19="",0,IF(ISNUMBER(SEARCH(" "&amp;Task!$A$19&amp;" "," "&amp;LOWER(SUBSTITUTE(SUBSTITUTE(SUBSTITUTE(SUBSTITUTE(A53,"/"," "),"."," "),"\"," "),"_"," "))&amp;" ")),1,0)))</f>
        <v/>
      </c>
      <c r="I53" s="10">
        <f>IF(OR(E53=0,F53=0,Task!$B$21=0),"",F53/Task!$B$21+0.5*G53+0.25*H53)</f>
        <v/>
      </c>
      <c r="J53" s="5">
        <f>IF(I53="","",I53-ROW()/1000000)</f>
        <v/>
      </c>
      <c r="K53" s="9">
        <f>IF(J53="","",COUNTIF($J$5:$J$404,"&gt;"&amp;J53)+1)</f>
        <v/>
      </c>
    </row>
    <row r="54">
      <c r="A54" s="7" t="n"/>
      <c r="B54" s="7" t="n"/>
      <c r="C54" s="7" t="n"/>
      <c r="D54" s="7" t="n"/>
      <c r="E54" s="5">
        <f>IF(A54="",0,IF(COUNTA(Task!$B$5:$E$5)=0,1,IF(COUNTIF(Task!$B$5:$E$5,B54)&gt;0,1,0)))</f>
        <v/>
      </c>
      <c r="F54" s="9">
        <f>IF(E54=0,0,IF(Task!$A$8="",0,IF(ISNUMBER(SEARCH(" "&amp;Task!$A$8&amp;" "," "&amp;LOWER(D54&amp;" "&amp;C54&amp;" "&amp;LOWER(SUBSTITUTE(SUBSTITUTE(SUBSTITUTE(SUBSTITUTE(A54,"/"," "),"."," "),"\"," "),"_"," ")))&amp;" ")),1,0))+IF(Task!$A$9="",0,IF(ISNUMBER(SEARCH(" "&amp;Task!$A$9&amp;" "," "&amp;LOWER(D54&amp;" "&amp;C54&amp;" "&amp;LOWER(SUBSTITUTE(SUBSTITUTE(SUBSTITUTE(SUBSTITUTE(A54,"/"," "),"."," "),"\"," "),"_"," ")))&amp;" ")),1,0))+IF(Task!$A$10="",0,IF(ISNUMBER(SEARCH(" "&amp;Task!$A$10&amp;" "," "&amp;LOWER(D54&amp;" "&amp;C54&amp;" "&amp;LOWER(SUBSTITUTE(SUBSTITUTE(SUBSTITUTE(SUBSTITUTE(A54,"/"," "),"."," "),"\"," "),"_"," ")))&amp;" ")),1,0))+IF(Task!$A$11="",0,IF(ISNUMBER(SEARCH(" "&amp;Task!$A$11&amp;" "," "&amp;LOWER(D54&amp;" "&amp;C54&amp;" "&amp;LOWER(SUBSTITUTE(SUBSTITUTE(SUBSTITUTE(SUBSTITUTE(A54,"/"," "),"."," "),"\"," "),"_"," ")))&amp;" ")),1,0))+IF(Task!$A$12="",0,IF(ISNUMBER(SEARCH(" "&amp;Task!$A$12&amp;" "," "&amp;LOWER(D54&amp;" "&amp;C54&amp;" "&amp;LOWER(SUBSTITUTE(SUBSTITUTE(SUBSTITUTE(SUBSTITUTE(A54,"/"," "),"."," "),"\"," "),"_"," ")))&amp;" ")),1,0))+IF(Task!$A$13="",0,IF(ISNUMBER(SEARCH(" "&amp;Task!$A$13&amp;" "," "&amp;LOWER(D54&amp;" "&amp;C54&amp;" "&amp;LOWER(SUBSTITUTE(SUBSTITUTE(SUBSTITUTE(SUBSTITUTE(A54,"/"," "),"."," "),"\"," "),"_"," ")))&amp;" ")),1,0))+IF(Task!$A$14="",0,IF(ISNUMBER(SEARCH(" "&amp;Task!$A$14&amp;" "," "&amp;LOWER(D54&amp;" "&amp;C54&amp;" "&amp;LOWER(SUBSTITUTE(SUBSTITUTE(SUBSTITUTE(SUBSTITUTE(A54,"/"," "),"."," "),"\"," "),"_"," ")))&amp;" ")),1,0))+IF(Task!$A$15="",0,IF(ISNUMBER(SEARCH(" "&amp;Task!$A$15&amp;" "," "&amp;LOWER(D54&amp;" "&amp;C54&amp;" "&amp;LOWER(SUBSTITUTE(SUBSTITUTE(SUBSTITUTE(SUBSTITUTE(A54,"/"," "),"."," "),"\"," "),"_"," ")))&amp;" ")),1,0))+IF(Task!$A$16="",0,IF(ISNUMBER(SEARCH(" "&amp;Task!$A$16&amp;" "," "&amp;LOWER(D54&amp;" "&amp;C54&amp;" "&amp;LOWER(SUBSTITUTE(SUBSTITUTE(SUBSTITUTE(SUBSTITUTE(A54,"/"," "),"."," "),"\"," "),"_"," ")))&amp;" ")),1,0))+IF(Task!$A$17="",0,IF(ISNUMBER(SEARCH(" "&amp;Task!$A$17&amp;" "," "&amp;LOWER(D54&amp;" "&amp;C54&amp;" "&amp;LOWER(SUBSTITUTE(SUBSTITUTE(SUBSTITUTE(SUBSTITUTE(A54,"/"," "),"."," "),"\"," "),"_"," ")))&amp;" ")),1,0))+IF(Task!$A$18="",0,IF(ISNUMBER(SEARCH(" "&amp;Task!$A$18&amp;" "," "&amp;LOWER(D54&amp;" "&amp;C54&amp;" "&amp;LOWER(SUBSTITUTE(SUBSTITUTE(SUBSTITUTE(SUBSTITUTE(A54,"/"," "),"."," "),"\"," "),"_"," ")))&amp;" ")),1,0))+IF(Task!$A$19="",0,IF(ISNUMBER(SEARCH(" "&amp;Task!$A$19&amp;" "," "&amp;LOWER(D54&amp;" "&amp;C54&amp;" "&amp;LOWER(SUBSTITUTE(SUBSTITUTE(SUBSTITUTE(SUBSTITUTE(A54,"/"," "),"."," "),"\"," "),"_"," ")))&amp;" ")),1,0)))</f>
        <v/>
      </c>
      <c r="G54" s="9">
        <f>IF(E54=0,0,IF(Task!$A$8="",0,IF(ISNUMBER(SEARCH(" "&amp;Task!$A$8&amp;" "," "&amp;LOWER(C54)&amp;" ")),1,0))+IF(Task!$A$9="",0,IF(ISNUMBER(SEARCH(" "&amp;Task!$A$9&amp;" "," "&amp;LOWER(C54)&amp;" ")),1,0))+IF(Task!$A$10="",0,IF(ISNUMBER(SEARCH(" "&amp;Task!$A$10&amp;" "," "&amp;LOWER(C54)&amp;" ")),1,0))+IF(Task!$A$11="",0,IF(ISNUMBER(SEARCH(" "&amp;Task!$A$11&amp;" "," "&amp;LOWER(C54)&amp;" ")),1,0))+IF(Task!$A$12="",0,IF(ISNUMBER(SEARCH(" "&amp;Task!$A$12&amp;" "," "&amp;LOWER(C54)&amp;" ")),1,0))+IF(Task!$A$13="",0,IF(ISNUMBER(SEARCH(" "&amp;Task!$A$13&amp;" "," "&amp;LOWER(C54)&amp;" ")),1,0))+IF(Task!$A$14="",0,IF(ISNUMBER(SEARCH(" "&amp;Task!$A$14&amp;" "," "&amp;LOWER(C54)&amp;" ")),1,0))+IF(Task!$A$15="",0,IF(ISNUMBER(SEARCH(" "&amp;Task!$A$15&amp;" "," "&amp;LOWER(C54)&amp;" ")),1,0))+IF(Task!$A$16="",0,IF(ISNUMBER(SEARCH(" "&amp;Task!$A$16&amp;" "," "&amp;LOWER(C54)&amp;" ")),1,0))+IF(Task!$A$17="",0,IF(ISNUMBER(SEARCH(" "&amp;Task!$A$17&amp;" "," "&amp;LOWER(C54)&amp;" ")),1,0))+IF(Task!$A$18="",0,IF(ISNUMBER(SEARCH(" "&amp;Task!$A$18&amp;" "," "&amp;LOWER(C54)&amp;" ")),1,0))+IF(Task!$A$19="",0,IF(ISNUMBER(SEARCH(" "&amp;Task!$A$19&amp;" "," "&amp;LOWER(C54)&amp;" ")),1,0)))</f>
        <v/>
      </c>
      <c r="H54" s="9">
        <f>IF(E54=0,0,IF(Task!$A$8="",0,IF(ISNUMBER(SEARCH(" "&amp;Task!$A$8&amp;" "," "&amp;LOWER(SUBSTITUTE(SUBSTITUTE(SUBSTITUTE(SUBSTITUTE(A54,"/"," "),"."," "),"\"," "),"_"," "))&amp;" ")),1,0))+IF(Task!$A$9="",0,IF(ISNUMBER(SEARCH(" "&amp;Task!$A$9&amp;" "," "&amp;LOWER(SUBSTITUTE(SUBSTITUTE(SUBSTITUTE(SUBSTITUTE(A54,"/"," "),"."," "),"\"," "),"_"," "))&amp;" ")),1,0))+IF(Task!$A$10="",0,IF(ISNUMBER(SEARCH(" "&amp;Task!$A$10&amp;" "," "&amp;LOWER(SUBSTITUTE(SUBSTITUTE(SUBSTITUTE(SUBSTITUTE(A54,"/"," "),"."," "),"\"," "),"_"," "))&amp;" ")),1,0))+IF(Task!$A$11="",0,IF(ISNUMBER(SEARCH(" "&amp;Task!$A$11&amp;" "," "&amp;LOWER(SUBSTITUTE(SUBSTITUTE(SUBSTITUTE(SUBSTITUTE(A54,"/"," "),"."," "),"\"," "),"_"," "))&amp;" ")),1,0))+IF(Task!$A$12="",0,IF(ISNUMBER(SEARCH(" "&amp;Task!$A$12&amp;" "," "&amp;LOWER(SUBSTITUTE(SUBSTITUTE(SUBSTITUTE(SUBSTITUTE(A54,"/"," "),"."," "),"\"," "),"_"," "))&amp;" ")),1,0))+IF(Task!$A$13="",0,IF(ISNUMBER(SEARCH(" "&amp;Task!$A$13&amp;" "," "&amp;LOWER(SUBSTITUTE(SUBSTITUTE(SUBSTITUTE(SUBSTITUTE(A54,"/"," "),"."," "),"\"," "),"_"," "))&amp;" ")),1,0))+IF(Task!$A$14="",0,IF(ISNUMBER(SEARCH(" "&amp;Task!$A$14&amp;" "," "&amp;LOWER(SUBSTITUTE(SUBSTITUTE(SUBSTITUTE(SUBSTITUTE(A54,"/"," "),"."," "),"\"," "),"_"," "))&amp;" ")),1,0))+IF(Task!$A$15="",0,IF(ISNUMBER(SEARCH(" "&amp;Task!$A$15&amp;" "," "&amp;LOWER(SUBSTITUTE(SUBSTITUTE(SUBSTITUTE(SUBSTITUTE(A54,"/"," "),"."," "),"\"," "),"_"," "))&amp;" ")),1,0))+IF(Task!$A$16="",0,IF(ISNUMBER(SEARCH(" "&amp;Task!$A$16&amp;" "," "&amp;LOWER(SUBSTITUTE(SUBSTITUTE(SUBSTITUTE(SUBSTITUTE(A54,"/"," "),"."," "),"\"," "),"_"," "))&amp;" ")),1,0))+IF(Task!$A$17="",0,IF(ISNUMBER(SEARCH(" "&amp;Task!$A$17&amp;" "," "&amp;LOWER(SUBSTITUTE(SUBSTITUTE(SUBSTITUTE(SUBSTITUTE(A54,"/"," "),"."," "),"\"," "),"_"," "))&amp;" ")),1,0))+IF(Task!$A$18="",0,IF(ISNUMBER(SEARCH(" "&amp;Task!$A$18&amp;" "," "&amp;LOWER(SUBSTITUTE(SUBSTITUTE(SUBSTITUTE(SUBSTITUTE(A54,"/"," "),"."," "),"\"," "),"_"," "))&amp;" ")),1,0))+IF(Task!$A$19="",0,IF(ISNUMBER(SEARCH(" "&amp;Task!$A$19&amp;" "," "&amp;LOWER(SUBSTITUTE(SUBSTITUTE(SUBSTITUTE(SUBSTITUTE(A54,"/"," "),"."," "),"\"," "),"_"," "))&amp;" ")),1,0)))</f>
        <v/>
      </c>
      <c r="I54" s="10">
        <f>IF(OR(E54=0,F54=0,Task!$B$21=0),"",F54/Task!$B$21+0.5*G54+0.25*H54)</f>
        <v/>
      </c>
      <c r="J54" s="5">
        <f>IF(I54="","",I54-ROW()/1000000)</f>
        <v/>
      </c>
      <c r="K54" s="9">
        <f>IF(J54="","",COUNTIF($J$5:$J$404,"&gt;"&amp;J54)+1)</f>
        <v/>
      </c>
    </row>
    <row r="55">
      <c r="A55" s="7" t="n"/>
      <c r="B55" s="7" t="n"/>
      <c r="C55" s="7" t="n"/>
      <c r="D55" s="7" t="n"/>
      <c r="E55" s="5">
        <f>IF(A55="",0,IF(COUNTA(Task!$B$5:$E$5)=0,1,IF(COUNTIF(Task!$B$5:$E$5,B55)&gt;0,1,0)))</f>
        <v/>
      </c>
      <c r="F55" s="9">
        <f>IF(E55=0,0,IF(Task!$A$8="",0,IF(ISNUMBER(SEARCH(" "&amp;Task!$A$8&amp;" "," "&amp;LOWER(D55&amp;" "&amp;C55&amp;" "&amp;LOWER(SUBSTITUTE(SUBSTITUTE(SUBSTITUTE(SUBSTITUTE(A55,"/"," "),"."," "),"\"," "),"_"," ")))&amp;" ")),1,0))+IF(Task!$A$9="",0,IF(ISNUMBER(SEARCH(" "&amp;Task!$A$9&amp;" "," "&amp;LOWER(D55&amp;" "&amp;C55&amp;" "&amp;LOWER(SUBSTITUTE(SUBSTITUTE(SUBSTITUTE(SUBSTITUTE(A55,"/"," "),"."," "),"\"," "),"_"," ")))&amp;" ")),1,0))+IF(Task!$A$10="",0,IF(ISNUMBER(SEARCH(" "&amp;Task!$A$10&amp;" "," "&amp;LOWER(D55&amp;" "&amp;C55&amp;" "&amp;LOWER(SUBSTITUTE(SUBSTITUTE(SUBSTITUTE(SUBSTITUTE(A55,"/"," "),"."," "),"\"," "),"_"," ")))&amp;" ")),1,0))+IF(Task!$A$11="",0,IF(ISNUMBER(SEARCH(" "&amp;Task!$A$11&amp;" "," "&amp;LOWER(D55&amp;" "&amp;C55&amp;" "&amp;LOWER(SUBSTITUTE(SUBSTITUTE(SUBSTITUTE(SUBSTITUTE(A55,"/"," "),"."," "),"\"," "),"_"," ")))&amp;" ")),1,0))+IF(Task!$A$12="",0,IF(ISNUMBER(SEARCH(" "&amp;Task!$A$12&amp;" "," "&amp;LOWER(D55&amp;" "&amp;C55&amp;" "&amp;LOWER(SUBSTITUTE(SUBSTITUTE(SUBSTITUTE(SUBSTITUTE(A55,"/"," "),"."," "),"\"," "),"_"," ")))&amp;" ")),1,0))+IF(Task!$A$13="",0,IF(ISNUMBER(SEARCH(" "&amp;Task!$A$13&amp;" "," "&amp;LOWER(D55&amp;" "&amp;C55&amp;" "&amp;LOWER(SUBSTITUTE(SUBSTITUTE(SUBSTITUTE(SUBSTITUTE(A55,"/"," "),"."," "),"\"," "),"_"," ")))&amp;" ")),1,0))+IF(Task!$A$14="",0,IF(ISNUMBER(SEARCH(" "&amp;Task!$A$14&amp;" "," "&amp;LOWER(D55&amp;" "&amp;C55&amp;" "&amp;LOWER(SUBSTITUTE(SUBSTITUTE(SUBSTITUTE(SUBSTITUTE(A55,"/"," "),"."," "),"\"," "),"_"," ")))&amp;" ")),1,0))+IF(Task!$A$15="",0,IF(ISNUMBER(SEARCH(" "&amp;Task!$A$15&amp;" "," "&amp;LOWER(D55&amp;" "&amp;C55&amp;" "&amp;LOWER(SUBSTITUTE(SUBSTITUTE(SUBSTITUTE(SUBSTITUTE(A55,"/"," "),"."," "),"\"," "),"_"," ")))&amp;" ")),1,0))+IF(Task!$A$16="",0,IF(ISNUMBER(SEARCH(" "&amp;Task!$A$16&amp;" "," "&amp;LOWER(D55&amp;" "&amp;C55&amp;" "&amp;LOWER(SUBSTITUTE(SUBSTITUTE(SUBSTITUTE(SUBSTITUTE(A55,"/"," "),"."," "),"\"," "),"_"," ")))&amp;" ")),1,0))+IF(Task!$A$17="",0,IF(ISNUMBER(SEARCH(" "&amp;Task!$A$17&amp;" "," "&amp;LOWER(D55&amp;" "&amp;C55&amp;" "&amp;LOWER(SUBSTITUTE(SUBSTITUTE(SUBSTITUTE(SUBSTITUTE(A55,"/"," "),"."," "),"\"," "),"_"," ")))&amp;" ")),1,0))+IF(Task!$A$18="",0,IF(ISNUMBER(SEARCH(" "&amp;Task!$A$18&amp;" "," "&amp;LOWER(D55&amp;" "&amp;C55&amp;" "&amp;LOWER(SUBSTITUTE(SUBSTITUTE(SUBSTITUTE(SUBSTITUTE(A55,"/"," "),"."," "),"\"," "),"_"," ")))&amp;" ")),1,0))+IF(Task!$A$19="",0,IF(ISNUMBER(SEARCH(" "&amp;Task!$A$19&amp;" "," "&amp;LOWER(D55&amp;" "&amp;C55&amp;" "&amp;LOWER(SUBSTITUTE(SUBSTITUTE(SUBSTITUTE(SUBSTITUTE(A55,"/"," "),"."," "),"\"," "),"_"," ")))&amp;" ")),1,0)))</f>
        <v/>
      </c>
      <c r="G55" s="9">
        <f>IF(E55=0,0,IF(Task!$A$8="",0,IF(ISNUMBER(SEARCH(" "&amp;Task!$A$8&amp;" "," "&amp;LOWER(C55)&amp;" ")),1,0))+IF(Task!$A$9="",0,IF(ISNUMBER(SEARCH(" "&amp;Task!$A$9&amp;" "," "&amp;LOWER(C55)&amp;" ")),1,0))+IF(Task!$A$10="",0,IF(ISNUMBER(SEARCH(" "&amp;Task!$A$10&amp;" "," "&amp;LOWER(C55)&amp;" ")),1,0))+IF(Task!$A$11="",0,IF(ISNUMBER(SEARCH(" "&amp;Task!$A$11&amp;" "," "&amp;LOWER(C55)&amp;" ")),1,0))+IF(Task!$A$12="",0,IF(ISNUMBER(SEARCH(" "&amp;Task!$A$12&amp;" "," "&amp;LOWER(C55)&amp;" ")),1,0))+IF(Task!$A$13="",0,IF(ISNUMBER(SEARCH(" "&amp;Task!$A$13&amp;" "," "&amp;LOWER(C55)&amp;" ")),1,0))+IF(Task!$A$14="",0,IF(ISNUMBER(SEARCH(" "&amp;Task!$A$14&amp;" "," "&amp;LOWER(C55)&amp;" ")),1,0))+IF(Task!$A$15="",0,IF(ISNUMBER(SEARCH(" "&amp;Task!$A$15&amp;" "," "&amp;LOWER(C55)&amp;" ")),1,0))+IF(Task!$A$16="",0,IF(ISNUMBER(SEARCH(" "&amp;Task!$A$16&amp;" "," "&amp;LOWER(C55)&amp;" ")),1,0))+IF(Task!$A$17="",0,IF(ISNUMBER(SEARCH(" "&amp;Task!$A$17&amp;" "," "&amp;LOWER(C55)&amp;" ")),1,0))+IF(Task!$A$18="",0,IF(ISNUMBER(SEARCH(" "&amp;Task!$A$18&amp;" "," "&amp;LOWER(C55)&amp;" ")),1,0))+IF(Task!$A$19="",0,IF(ISNUMBER(SEARCH(" "&amp;Task!$A$19&amp;" "," "&amp;LOWER(C55)&amp;" ")),1,0)))</f>
        <v/>
      </c>
      <c r="H55" s="9">
        <f>IF(E55=0,0,IF(Task!$A$8="",0,IF(ISNUMBER(SEARCH(" "&amp;Task!$A$8&amp;" "," "&amp;LOWER(SUBSTITUTE(SUBSTITUTE(SUBSTITUTE(SUBSTITUTE(A55,"/"," "),"."," "),"\"," "),"_"," "))&amp;" ")),1,0))+IF(Task!$A$9="",0,IF(ISNUMBER(SEARCH(" "&amp;Task!$A$9&amp;" "," "&amp;LOWER(SUBSTITUTE(SUBSTITUTE(SUBSTITUTE(SUBSTITUTE(A55,"/"," "),"."," "),"\"," "),"_"," "))&amp;" ")),1,0))+IF(Task!$A$10="",0,IF(ISNUMBER(SEARCH(" "&amp;Task!$A$10&amp;" "," "&amp;LOWER(SUBSTITUTE(SUBSTITUTE(SUBSTITUTE(SUBSTITUTE(A55,"/"," "),"."," "),"\"," "),"_"," "))&amp;" ")),1,0))+IF(Task!$A$11="",0,IF(ISNUMBER(SEARCH(" "&amp;Task!$A$11&amp;" "," "&amp;LOWER(SUBSTITUTE(SUBSTITUTE(SUBSTITUTE(SUBSTITUTE(A55,"/"," "),"."," "),"\"," "),"_"," "))&amp;" ")),1,0))+IF(Task!$A$12="",0,IF(ISNUMBER(SEARCH(" "&amp;Task!$A$12&amp;" "," "&amp;LOWER(SUBSTITUTE(SUBSTITUTE(SUBSTITUTE(SUBSTITUTE(A55,"/"," "),"."," "),"\"," "),"_"," "))&amp;" ")),1,0))+IF(Task!$A$13="",0,IF(ISNUMBER(SEARCH(" "&amp;Task!$A$13&amp;" "," "&amp;LOWER(SUBSTITUTE(SUBSTITUTE(SUBSTITUTE(SUBSTITUTE(A55,"/"," "),"."," "),"\"," "),"_"," "))&amp;" ")),1,0))+IF(Task!$A$14="",0,IF(ISNUMBER(SEARCH(" "&amp;Task!$A$14&amp;" "," "&amp;LOWER(SUBSTITUTE(SUBSTITUTE(SUBSTITUTE(SUBSTITUTE(A55,"/"," "),"."," "),"\"," "),"_"," "))&amp;" ")),1,0))+IF(Task!$A$15="",0,IF(ISNUMBER(SEARCH(" "&amp;Task!$A$15&amp;" "," "&amp;LOWER(SUBSTITUTE(SUBSTITUTE(SUBSTITUTE(SUBSTITUTE(A55,"/"," "),"."," "),"\"," "),"_"," "))&amp;" ")),1,0))+IF(Task!$A$16="",0,IF(ISNUMBER(SEARCH(" "&amp;Task!$A$16&amp;" "," "&amp;LOWER(SUBSTITUTE(SUBSTITUTE(SUBSTITUTE(SUBSTITUTE(A55,"/"," "),"."," "),"\"," "),"_"," "))&amp;" ")),1,0))+IF(Task!$A$17="",0,IF(ISNUMBER(SEARCH(" "&amp;Task!$A$17&amp;" "," "&amp;LOWER(SUBSTITUTE(SUBSTITUTE(SUBSTITUTE(SUBSTITUTE(A55,"/"," "),"."," "),"\"," "),"_"," "))&amp;" ")),1,0))+IF(Task!$A$18="",0,IF(ISNUMBER(SEARCH(" "&amp;Task!$A$18&amp;" "," "&amp;LOWER(SUBSTITUTE(SUBSTITUTE(SUBSTITUTE(SUBSTITUTE(A55,"/"," "),"."," "),"\"," "),"_"," "))&amp;" ")),1,0))+IF(Task!$A$19="",0,IF(ISNUMBER(SEARCH(" "&amp;Task!$A$19&amp;" "," "&amp;LOWER(SUBSTITUTE(SUBSTITUTE(SUBSTITUTE(SUBSTITUTE(A55,"/"," "),"."," "),"\"," "),"_"," "))&amp;" ")),1,0)))</f>
        <v/>
      </c>
      <c r="I55" s="10">
        <f>IF(OR(E55=0,F55=0,Task!$B$21=0),"",F55/Task!$B$21+0.5*G55+0.25*H55)</f>
        <v/>
      </c>
      <c r="J55" s="5">
        <f>IF(I55="","",I55-ROW()/1000000)</f>
        <v/>
      </c>
      <c r="K55" s="9">
        <f>IF(J55="","",COUNTIF($J$5:$J$404,"&gt;"&amp;J55)+1)</f>
        <v/>
      </c>
    </row>
    <row r="56">
      <c r="A56" s="7" t="n"/>
      <c r="B56" s="7" t="n"/>
      <c r="C56" s="7" t="n"/>
      <c r="D56" s="7" t="n"/>
      <c r="E56" s="5">
        <f>IF(A56="",0,IF(COUNTA(Task!$B$5:$E$5)=0,1,IF(COUNTIF(Task!$B$5:$E$5,B56)&gt;0,1,0)))</f>
        <v/>
      </c>
      <c r="F56" s="9">
        <f>IF(E56=0,0,IF(Task!$A$8="",0,IF(ISNUMBER(SEARCH(" "&amp;Task!$A$8&amp;" "," "&amp;LOWER(D56&amp;" "&amp;C56&amp;" "&amp;LOWER(SUBSTITUTE(SUBSTITUTE(SUBSTITUTE(SUBSTITUTE(A56,"/"," "),"."," "),"\"," "),"_"," ")))&amp;" ")),1,0))+IF(Task!$A$9="",0,IF(ISNUMBER(SEARCH(" "&amp;Task!$A$9&amp;" "," "&amp;LOWER(D56&amp;" "&amp;C56&amp;" "&amp;LOWER(SUBSTITUTE(SUBSTITUTE(SUBSTITUTE(SUBSTITUTE(A56,"/"," "),"."," "),"\"," "),"_"," ")))&amp;" ")),1,0))+IF(Task!$A$10="",0,IF(ISNUMBER(SEARCH(" "&amp;Task!$A$10&amp;" "," "&amp;LOWER(D56&amp;" "&amp;C56&amp;" "&amp;LOWER(SUBSTITUTE(SUBSTITUTE(SUBSTITUTE(SUBSTITUTE(A56,"/"," "),"."," "),"\"," "),"_"," ")))&amp;" ")),1,0))+IF(Task!$A$11="",0,IF(ISNUMBER(SEARCH(" "&amp;Task!$A$11&amp;" "," "&amp;LOWER(D56&amp;" "&amp;C56&amp;" "&amp;LOWER(SUBSTITUTE(SUBSTITUTE(SUBSTITUTE(SUBSTITUTE(A56,"/"," "),"."," "),"\"," "),"_"," ")))&amp;" ")),1,0))+IF(Task!$A$12="",0,IF(ISNUMBER(SEARCH(" "&amp;Task!$A$12&amp;" "," "&amp;LOWER(D56&amp;" "&amp;C56&amp;" "&amp;LOWER(SUBSTITUTE(SUBSTITUTE(SUBSTITUTE(SUBSTITUTE(A56,"/"," "),"."," "),"\"," "),"_"," ")))&amp;" ")),1,0))+IF(Task!$A$13="",0,IF(ISNUMBER(SEARCH(" "&amp;Task!$A$13&amp;" "," "&amp;LOWER(D56&amp;" "&amp;C56&amp;" "&amp;LOWER(SUBSTITUTE(SUBSTITUTE(SUBSTITUTE(SUBSTITUTE(A56,"/"," "),"."," "),"\"," "),"_"," ")))&amp;" ")),1,0))+IF(Task!$A$14="",0,IF(ISNUMBER(SEARCH(" "&amp;Task!$A$14&amp;" "," "&amp;LOWER(D56&amp;" "&amp;C56&amp;" "&amp;LOWER(SUBSTITUTE(SUBSTITUTE(SUBSTITUTE(SUBSTITUTE(A56,"/"," "),"."," "),"\"," "),"_"," ")))&amp;" ")),1,0))+IF(Task!$A$15="",0,IF(ISNUMBER(SEARCH(" "&amp;Task!$A$15&amp;" "," "&amp;LOWER(D56&amp;" "&amp;C56&amp;" "&amp;LOWER(SUBSTITUTE(SUBSTITUTE(SUBSTITUTE(SUBSTITUTE(A56,"/"," "),"."," "),"\"," "),"_"," ")))&amp;" ")),1,0))+IF(Task!$A$16="",0,IF(ISNUMBER(SEARCH(" "&amp;Task!$A$16&amp;" "," "&amp;LOWER(D56&amp;" "&amp;C56&amp;" "&amp;LOWER(SUBSTITUTE(SUBSTITUTE(SUBSTITUTE(SUBSTITUTE(A56,"/"," "),"."," "),"\"," "),"_"," ")))&amp;" ")),1,0))+IF(Task!$A$17="",0,IF(ISNUMBER(SEARCH(" "&amp;Task!$A$17&amp;" "," "&amp;LOWER(D56&amp;" "&amp;C56&amp;" "&amp;LOWER(SUBSTITUTE(SUBSTITUTE(SUBSTITUTE(SUBSTITUTE(A56,"/"," "),"."," "),"\"," "),"_"," ")))&amp;" ")),1,0))+IF(Task!$A$18="",0,IF(ISNUMBER(SEARCH(" "&amp;Task!$A$18&amp;" "," "&amp;LOWER(D56&amp;" "&amp;C56&amp;" "&amp;LOWER(SUBSTITUTE(SUBSTITUTE(SUBSTITUTE(SUBSTITUTE(A56,"/"," "),"."," "),"\"," "),"_"," ")))&amp;" ")),1,0))+IF(Task!$A$19="",0,IF(ISNUMBER(SEARCH(" "&amp;Task!$A$19&amp;" "," "&amp;LOWER(D56&amp;" "&amp;C56&amp;" "&amp;LOWER(SUBSTITUTE(SUBSTITUTE(SUBSTITUTE(SUBSTITUTE(A56,"/"," "),"."," "),"\"," "),"_"," ")))&amp;" ")),1,0)))</f>
        <v/>
      </c>
      <c r="G56" s="9">
        <f>IF(E56=0,0,IF(Task!$A$8="",0,IF(ISNUMBER(SEARCH(" "&amp;Task!$A$8&amp;" "," "&amp;LOWER(C56)&amp;" ")),1,0))+IF(Task!$A$9="",0,IF(ISNUMBER(SEARCH(" "&amp;Task!$A$9&amp;" "," "&amp;LOWER(C56)&amp;" ")),1,0))+IF(Task!$A$10="",0,IF(ISNUMBER(SEARCH(" "&amp;Task!$A$10&amp;" "," "&amp;LOWER(C56)&amp;" ")),1,0))+IF(Task!$A$11="",0,IF(ISNUMBER(SEARCH(" "&amp;Task!$A$11&amp;" "," "&amp;LOWER(C56)&amp;" ")),1,0))+IF(Task!$A$12="",0,IF(ISNUMBER(SEARCH(" "&amp;Task!$A$12&amp;" "," "&amp;LOWER(C56)&amp;" ")),1,0))+IF(Task!$A$13="",0,IF(ISNUMBER(SEARCH(" "&amp;Task!$A$13&amp;" "," "&amp;LOWER(C56)&amp;" ")),1,0))+IF(Task!$A$14="",0,IF(ISNUMBER(SEARCH(" "&amp;Task!$A$14&amp;" "," "&amp;LOWER(C56)&amp;" ")),1,0))+IF(Task!$A$15="",0,IF(ISNUMBER(SEARCH(" "&amp;Task!$A$15&amp;" "," "&amp;LOWER(C56)&amp;" ")),1,0))+IF(Task!$A$16="",0,IF(ISNUMBER(SEARCH(" "&amp;Task!$A$16&amp;" "," "&amp;LOWER(C56)&amp;" ")),1,0))+IF(Task!$A$17="",0,IF(ISNUMBER(SEARCH(" "&amp;Task!$A$17&amp;" "," "&amp;LOWER(C56)&amp;" ")),1,0))+IF(Task!$A$18="",0,IF(ISNUMBER(SEARCH(" "&amp;Task!$A$18&amp;" "," "&amp;LOWER(C56)&amp;" ")),1,0))+IF(Task!$A$19="",0,IF(ISNUMBER(SEARCH(" "&amp;Task!$A$19&amp;" "," "&amp;LOWER(C56)&amp;" ")),1,0)))</f>
        <v/>
      </c>
      <c r="H56" s="9">
        <f>IF(E56=0,0,IF(Task!$A$8="",0,IF(ISNUMBER(SEARCH(" "&amp;Task!$A$8&amp;" "," "&amp;LOWER(SUBSTITUTE(SUBSTITUTE(SUBSTITUTE(SUBSTITUTE(A56,"/"," "),"."," "),"\"," "),"_"," "))&amp;" ")),1,0))+IF(Task!$A$9="",0,IF(ISNUMBER(SEARCH(" "&amp;Task!$A$9&amp;" "," "&amp;LOWER(SUBSTITUTE(SUBSTITUTE(SUBSTITUTE(SUBSTITUTE(A56,"/"," "),"."," "),"\"," "),"_"," "))&amp;" ")),1,0))+IF(Task!$A$10="",0,IF(ISNUMBER(SEARCH(" "&amp;Task!$A$10&amp;" "," "&amp;LOWER(SUBSTITUTE(SUBSTITUTE(SUBSTITUTE(SUBSTITUTE(A56,"/"," "),"."," "),"\"," "),"_"," "))&amp;" ")),1,0))+IF(Task!$A$11="",0,IF(ISNUMBER(SEARCH(" "&amp;Task!$A$11&amp;" "," "&amp;LOWER(SUBSTITUTE(SUBSTITUTE(SUBSTITUTE(SUBSTITUTE(A56,"/"," "),"."," "),"\"," "),"_"," "))&amp;" ")),1,0))+IF(Task!$A$12="",0,IF(ISNUMBER(SEARCH(" "&amp;Task!$A$12&amp;" "," "&amp;LOWER(SUBSTITUTE(SUBSTITUTE(SUBSTITUTE(SUBSTITUTE(A56,"/"," "),"."," "),"\"," "),"_"," "))&amp;" ")),1,0))+IF(Task!$A$13="",0,IF(ISNUMBER(SEARCH(" "&amp;Task!$A$13&amp;" "," "&amp;LOWER(SUBSTITUTE(SUBSTITUTE(SUBSTITUTE(SUBSTITUTE(A56,"/"," "),"."," "),"\"," "),"_"," "))&amp;" ")),1,0))+IF(Task!$A$14="",0,IF(ISNUMBER(SEARCH(" "&amp;Task!$A$14&amp;" "," "&amp;LOWER(SUBSTITUTE(SUBSTITUTE(SUBSTITUTE(SUBSTITUTE(A56,"/"," "),"."," "),"\"," "),"_"," "))&amp;" ")),1,0))+IF(Task!$A$15="",0,IF(ISNUMBER(SEARCH(" "&amp;Task!$A$15&amp;" "," "&amp;LOWER(SUBSTITUTE(SUBSTITUTE(SUBSTITUTE(SUBSTITUTE(A56,"/"," "),"."," "),"\"," "),"_"," "))&amp;" ")),1,0))+IF(Task!$A$16="",0,IF(ISNUMBER(SEARCH(" "&amp;Task!$A$16&amp;" "," "&amp;LOWER(SUBSTITUTE(SUBSTITUTE(SUBSTITUTE(SUBSTITUTE(A56,"/"," "),"."," "),"\"," "),"_"," "))&amp;" ")),1,0))+IF(Task!$A$17="",0,IF(ISNUMBER(SEARCH(" "&amp;Task!$A$17&amp;" "," "&amp;LOWER(SUBSTITUTE(SUBSTITUTE(SUBSTITUTE(SUBSTITUTE(A56,"/"," "),"."," "),"\"," "),"_"," "))&amp;" ")),1,0))+IF(Task!$A$18="",0,IF(ISNUMBER(SEARCH(" "&amp;Task!$A$18&amp;" "," "&amp;LOWER(SUBSTITUTE(SUBSTITUTE(SUBSTITUTE(SUBSTITUTE(A56,"/"," "),"."," "),"\"," "),"_"," "))&amp;" ")),1,0))+IF(Task!$A$19="",0,IF(ISNUMBER(SEARCH(" "&amp;Task!$A$19&amp;" "," "&amp;LOWER(SUBSTITUTE(SUBSTITUTE(SUBSTITUTE(SUBSTITUTE(A56,"/"," "),"."," "),"\"," "),"_"," "))&amp;" ")),1,0)))</f>
        <v/>
      </c>
      <c r="I56" s="10">
        <f>IF(OR(E56=0,F56=0,Task!$B$21=0),"",F56/Task!$B$21+0.5*G56+0.25*H56)</f>
        <v/>
      </c>
      <c r="J56" s="5">
        <f>IF(I56="","",I56-ROW()/1000000)</f>
        <v/>
      </c>
      <c r="K56" s="9">
        <f>IF(J56="","",COUNTIF($J$5:$J$404,"&gt;"&amp;J56)+1)</f>
        <v/>
      </c>
    </row>
    <row r="57">
      <c r="A57" s="7" t="n"/>
      <c r="B57" s="7" t="n"/>
      <c r="C57" s="7" t="n"/>
      <c r="D57" s="7" t="n"/>
      <c r="E57" s="5">
        <f>IF(A57="",0,IF(COUNTA(Task!$B$5:$E$5)=0,1,IF(COUNTIF(Task!$B$5:$E$5,B57)&gt;0,1,0)))</f>
        <v/>
      </c>
      <c r="F57" s="9">
        <f>IF(E57=0,0,IF(Task!$A$8="",0,IF(ISNUMBER(SEARCH(" "&amp;Task!$A$8&amp;" "," "&amp;LOWER(D57&amp;" "&amp;C57&amp;" "&amp;LOWER(SUBSTITUTE(SUBSTITUTE(SUBSTITUTE(SUBSTITUTE(A57,"/"," "),"."," "),"\"," "),"_"," ")))&amp;" ")),1,0))+IF(Task!$A$9="",0,IF(ISNUMBER(SEARCH(" "&amp;Task!$A$9&amp;" "," "&amp;LOWER(D57&amp;" "&amp;C57&amp;" "&amp;LOWER(SUBSTITUTE(SUBSTITUTE(SUBSTITUTE(SUBSTITUTE(A57,"/"," "),"."," "),"\"," "),"_"," ")))&amp;" ")),1,0))+IF(Task!$A$10="",0,IF(ISNUMBER(SEARCH(" "&amp;Task!$A$10&amp;" "," "&amp;LOWER(D57&amp;" "&amp;C57&amp;" "&amp;LOWER(SUBSTITUTE(SUBSTITUTE(SUBSTITUTE(SUBSTITUTE(A57,"/"," "),"."," "),"\"," "),"_"," ")))&amp;" ")),1,0))+IF(Task!$A$11="",0,IF(ISNUMBER(SEARCH(" "&amp;Task!$A$11&amp;" "," "&amp;LOWER(D57&amp;" "&amp;C57&amp;" "&amp;LOWER(SUBSTITUTE(SUBSTITUTE(SUBSTITUTE(SUBSTITUTE(A57,"/"," "),"."," "),"\"," "),"_"," ")))&amp;" ")),1,0))+IF(Task!$A$12="",0,IF(ISNUMBER(SEARCH(" "&amp;Task!$A$12&amp;" "," "&amp;LOWER(D57&amp;" "&amp;C57&amp;" "&amp;LOWER(SUBSTITUTE(SUBSTITUTE(SUBSTITUTE(SUBSTITUTE(A57,"/"," "),"."," "),"\"," "),"_"," ")))&amp;" ")),1,0))+IF(Task!$A$13="",0,IF(ISNUMBER(SEARCH(" "&amp;Task!$A$13&amp;" "," "&amp;LOWER(D57&amp;" "&amp;C57&amp;" "&amp;LOWER(SUBSTITUTE(SUBSTITUTE(SUBSTITUTE(SUBSTITUTE(A57,"/"," "),"."," "),"\"," "),"_"," ")))&amp;" ")),1,0))+IF(Task!$A$14="",0,IF(ISNUMBER(SEARCH(" "&amp;Task!$A$14&amp;" "," "&amp;LOWER(D57&amp;" "&amp;C57&amp;" "&amp;LOWER(SUBSTITUTE(SUBSTITUTE(SUBSTITUTE(SUBSTITUTE(A57,"/"," "),"."," "),"\"," "),"_"," ")))&amp;" ")),1,0))+IF(Task!$A$15="",0,IF(ISNUMBER(SEARCH(" "&amp;Task!$A$15&amp;" "," "&amp;LOWER(D57&amp;" "&amp;C57&amp;" "&amp;LOWER(SUBSTITUTE(SUBSTITUTE(SUBSTITUTE(SUBSTITUTE(A57,"/"," "),"."," "),"\"," "),"_"," ")))&amp;" ")),1,0))+IF(Task!$A$16="",0,IF(ISNUMBER(SEARCH(" "&amp;Task!$A$16&amp;" "," "&amp;LOWER(D57&amp;" "&amp;C57&amp;" "&amp;LOWER(SUBSTITUTE(SUBSTITUTE(SUBSTITUTE(SUBSTITUTE(A57,"/"," "),"."," "),"\"," "),"_"," ")))&amp;" ")),1,0))+IF(Task!$A$17="",0,IF(ISNUMBER(SEARCH(" "&amp;Task!$A$17&amp;" "," "&amp;LOWER(D57&amp;" "&amp;C57&amp;" "&amp;LOWER(SUBSTITUTE(SUBSTITUTE(SUBSTITUTE(SUBSTITUTE(A57,"/"," "),"."," "),"\"," "),"_"," ")))&amp;" ")),1,0))+IF(Task!$A$18="",0,IF(ISNUMBER(SEARCH(" "&amp;Task!$A$18&amp;" "," "&amp;LOWER(D57&amp;" "&amp;C57&amp;" "&amp;LOWER(SUBSTITUTE(SUBSTITUTE(SUBSTITUTE(SUBSTITUTE(A57,"/"," "),"."," "),"\"," "),"_"," ")))&amp;" ")),1,0))+IF(Task!$A$19="",0,IF(ISNUMBER(SEARCH(" "&amp;Task!$A$19&amp;" "," "&amp;LOWER(D57&amp;" "&amp;C57&amp;" "&amp;LOWER(SUBSTITUTE(SUBSTITUTE(SUBSTITUTE(SUBSTITUTE(A57,"/"," "),"."," "),"\"," "),"_"," ")))&amp;" ")),1,0)))</f>
        <v/>
      </c>
      <c r="G57" s="9">
        <f>IF(E57=0,0,IF(Task!$A$8="",0,IF(ISNUMBER(SEARCH(" "&amp;Task!$A$8&amp;" "," "&amp;LOWER(C57)&amp;" ")),1,0))+IF(Task!$A$9="",0,IF(ISNUMBER(SEARCH(" "&amp;Task!$A$9&amp;" "," "&amp;LOWER(C57)&amp;" ")),1,0))+IF(Task!$A$10="",0,IF(ISNUMBER(SEARCH(" "&amp;Task!$A$10&amp;" "," "&amp;LOWER(C57)&amp;" ")),1,0))+IF(Task!$A$11="",0,IF(ISNUMBER(SEARCH(" "&amp;Task!$A$11&amp;" "," "&amp;LOWER(C57)&amp;" ")),1,0))+IF(Task!$A$12="",0,IF(ISNUMBER(SEARCH(" "&amp;Task!$A$12&amp;" "," "&amp;LOWER(C57)&amp;" ")),1,0))+IF(Task!$A$13="",0,IF(ISNUMBER(SEARCH(" "&amp;Task!$A$13&amp;" "," "&amp;LOWER(C57)&amp;" ")),1,0))+IF(Task!$A$14="",0,IF(ISNUMBER(SEARCH(" "&amp;Task!$A$14&amp;" "," "&amp;LOWER(C57)&amp;" ")),1,0))+IF(Task!$A$15="",0,IF(ISNUMBER(SEARCH(" "&amp;Task!$A$15&amp;" "," "&amp;LOWER(C57)&amp;" ")),1,0))+IF(Task!$A$16="",0,IF(ISNUMBER(SEARCH(" "&amp;Task!$A$16&amp;" "," "&amp;LOWER(C57)&amp;" ")),1,0))+IF(Task!$A$17="",0,IF(ISNUMBER(SEARCH(" "&amp;Task!$A$17&amp;" "," "&amp;LOWER(C57)&amp;" ")),1,0))+IF(Task!$A$18="",0,IF(ISNUMBER(SEARCH(" "&amp;Task!$A$18&amp;" "," "&amp;LOWER(C57)&amp;" ")),1,0))+IF(Task!$A$19="",0,IF(ISNUMBER(SEARCH(" "&amp;Task!$A$19&amp;" "," "&amp;LOWER(C57)&amp;" ")),1,0)))</f>
        <v/>
      </c>
      <c r="H57" s="9">
        <f>IF(E57=0,0,IF(Task!$A$8="",0,IF(ISNUMBER(SEARCH(" "&amp;Task!$A$8&amp;" "," "&amp;LOWER(SUBSTITUTE(SUBSTITUTE(SUBSTITUTE(SUBSTITUTE(A57,"/"," "),"."," "),"\"," "),"_"," "))&amp;" ")),1,0))+IF(Task!$A$9="",0,IF(ISNUMBER(SEARCH(" "&amp;Task!$A$9&amp;" "," "&amp;LOWER(SUBSTITUTE(SUBSTITUTE(SUBSTITUTE(SUBSTITUTE(A57,"/"," "),"."," "),"\"," "),"_"," "))&amp;" ")),1,0))+IF(Task!$A$10="",0,IF(ISNUMBER(SEARCH(" "&amp;Task!$A$10&amp;" "," "&amp;LOWER(SUBSTITUTE(SUBSTITUTE(SUBSTITUTE(SUBSTITUTE(A57,"/"," "),"."," "),"\"," "),"_"," "))&amp;" ")),1,0))+IF(Task!$A$11="",0,IF(ISNUMBER(SEARCH(" "&amp;Task!$A$11&amp;" "," "&amp;LOWER(SUBSTITUTE(SUBSTITUTE(SUBSTITUTE(SUBSTITUTE(A57,"/"," "),"."," "),"\"," "),"_"," "))&amp;" ")),1,0))+IF(Task!$A$12="",0,IF(ISNUMBER(SEARCH(" "&amp;Task!$A$12&amp;" "," "&amp;LOWER(SUBSTITUTE(SUBSTITUTE(SUBSTITUTE(SUBSTITUTE(A57,"/"," "),"."," "),"\"," "),"_"," "))&amp;" ")),1,0))+IF(Task!$A$13="",0,IF(ISNUMBER(SEARCH(" "&amp;Task!$A$13&amp;" "," "&amp;LOWER(SUBSTITUTE(SUBSTITUTE(SUBSTITUTE(SUBSTITUTE(A57,"/"," "),"."," "),"\"," "),"_"," "))&amp;" ")),1,0))+IF(Task!$A$14="",0,IF(ISNUMBER(SEARCH(" "&amp;Task!$A$14&amp;" "," "&amp;LOWER(SUBSTITUTE(SUBSTITUTE(SUBSTITUTE(SUBSTITUTE(A57,"/"," "),"."," "),"\"," "),"_"," "))&amp;" ")),1,0))+IF(Task!$A$15="",0,IF(ISNUMBER(SEARCH(" "&amp;Task!$A$15&amp;" "," "&amp;LOWER(SUBSTITUTE(SUBSTITUTE(SUBSTITUTE(SUBSTITUTE(A57,"/"," "),"."," "),"\"," "),"_"," "))&amp;" ")),1,0))+IF(Task!$A$16="",0,IF(ISNUMBER(SEARCH(" "&amp;Task!$A$16&amp;" "," "&amp;LOWER(SUBSTITUTE(SUBSTITUTE(SUBSTITUTE(SUBSTITUTE(A57,"/"," "),"."," "),"\"," "),"_"," "))&amp;" ")),1,0))+IF(Task!$A$17="",0,IF(ISNUMBER(SEARCH(" "&amp;Task!$A$17&amp;" "," "&amp;LOWER(SUBSTITUTE(SUBSTITUTE(SUBSTITUTE(SUBSTITUTE(A57,"/"," "),"."," "),"\"," "),"_"," "))&amp;" ")),1,0))+IF(Task!$A$18="",0,IF(ISNUMBER(SEARCH(" "&amp;Task!$A$18&amp;" "," "&amp;LOWER(SUBSTITUTE(SUBSTITUTE(SUBSTITUTE(SUBSTITUTE(A57,"/"," "),"."," "),"\"," "),"_"," "))&amp;" ")),1,0))+IF(Task!$A$19="",0,IF(ISNUMBER(SEARCH(" "&amp;Task!$A$19&amp;" "," "&amp;LOWER(SUBSTITUTE(SUBSTITUTE(SUBSTITUTE(SUBSTITUTE(A57,"/"," "),"."," "),"\"," "),"_"," "))&amp;" ")),1,0)))</f>
        <v/>
      </c>
      <c r="I57" s="10">
        <f>IF(OR(E57=0,F57=0,Task!$B$21=0),"",F57/Task!$B$21+0.5*G57+0.25*H57)</f>
        <v/>
      </c>
      <c r="J57" s="5">
        <f>IF(I57="","",I57-ROW()/1000000)</f>
        <v/>
      </c>
      <c r="K57" s="9">
        <f>IF(J57="","",COUNTIF($J$5:$J$404,"&gt;"&amp;J57)+1)</f>
        <v/>
      </c>
    </row>
    <row r="58">
      <c r="A58" s="7" t="n"/>
      <c r="B58" s="7" t="n"/>
      <c r="C58" s="7" t="n"/>
      <c r="D58" s="7" t="n"/>
      <c r="E58" s="5">
        <f>IF(A58="",0,IF(COUNTA(Task!$B$5:$E$5)=0,1,IF(COUNTIF(Task!$B$5:$E$5,B58)&gt;0,1,0)))</f>
        <v/>
      </c>
      <c r="F58" s="9">
        <f>IF(E58=0,0,IF(Task!$A$8="",0,IF(ISNUMBER(SEARCH(" "&amp;Task!$A$8&amp;" "," "&amp;LOWER(D58&amp;" "&amp;C58&amp;" "&amp;LOWER(SUBSTITUTE(SUBSTITUTE(SUBSTITUTE(SUBSTITUTE(A58,"/"," "),"."," "),"\"," "),"_"," ")))&amp;" ")),1,0))+IF(Task!$A$9="",0,IF(ISNUMBER(SEARCH(" "&amp;Task!$A$9&amp;" "," "&amp;LOWER(D58&amp;" "&amp;C58&amp;" "&amp;LOWER(SUBSTITUTE(SUBSTITUTE(SUBSTITUTE(SUBSTITUTE(A58,"/"," "),"."," "),"\"," "),"_"," ")))&amp;" ")),1,0))+IF(Task!$A$10="",0,IF(ISNUMBER(SEARCH(" "&amp;Task!$A$10&amp;" "," "&amp;LOWER(D58&amp;" "&amp;C58&amp;" "&amp;LOWER(SUBSTITUTE(SUBSTITUTE(SUBSTITUTE(SUBSTITUTE(A58,"/"," "),"."," "),"\"," "),"_"," ")))&amp;" ")),1,0))+IF(Task!$A$11="",0,IF(ISNUMBER(SEARCH(" "&amp;Task!$A$11&amp;" "," "&amp;LOWER(D58&amp;" "&amp;C58&amp;" "&amp;LOWER(SUBSTITUTE(SUBSTITUTE(SUBSTITUTE(SUBSTITUTE(A58,"/"," "),"."," "),"\"," "),"_"," ")))&amp;" ")),1,0))+IF(Task!$A$12="",0,IF(ISNUMBER(SEARCH(" "&amp;Task!$A$12&amp;" "," "&amp;LOWER(D58&amp;" "&amp;C58&amp;" "&amp;LOWER(SUBSTITUTE(SUBSTITUTE(SUBSTITUTE(SUBSTITUTE(A58,"/"," "),"."," "),"\"," "),"_"," ")))&amp;" ")),1,0))+IF(Task!$A$13="",0,IF(ISNUMBER(SEARCH(" "&amp;Task!$A$13&amp;" "," "&amp;LOWER(D58&amp;" "&amp;C58&amp;" "&amp;LOWER(SUBSTITUTE(SUBSTITUTE(SUBSTITUTE(SUBSTITUTE(A58,"/"," "),"."," "),"\"," "),"_"," ")))&amp;" ")),1,0))+IF(Task!$A$14="",0,IF(ISNUMBER(SEARCH(" "&amp;Task!$A$14&amp;" "," "&amp;LOWER(D58&amp;" "&amp;C58&amp;" "&amp;LOWER(SUBSTITUTE(SUBSTITUTE(SUBSTITUTE(SUBSTITUTE(A58,"/"," "),"."," "),"\"," "),"_"," ")))&amp;" ")),1,0))+IF(Task!$A$15="",0,IF(ISNUMBER(SEARCH(" "&amp;Task!$A$15&amp;" "," "&amp;LOWER(D58&amp;" "&amp;C58&amp;" "&amp;LOWER(SUBSTITUTE(SUBSTITUTE(SUBSTITUTE(SUBSTITUTE(A58,"/"," "),"."," "),"\"," "),"_"," ")))&amp;" ")),1,0))+IF(Task!$A$16="",0,IF(ISNUMBER(SEARCH(" "&amp;Task!$A$16&amp;" "," "&amp;LOWER(D58&amp;" "&amp;C58&amp;" "&amp;LOWER(SUBSTITUTE(SUBSTITUTE(SUBSTITUTE(SUBSTITUTE(A58,"/"," "),"."," "),"\"," "),"_"," ")))&amp;" ")),1,0))+IF(Task!$A$17="",0,IF(ISNUMBER(SEARCH(" "&amp;Task!$A$17&amp;" "," "&amp;LOWER(D58&amp;" "&amp;C58&amp;" "&amp;LOWER(SUBSTITUTE(SUBSTITUTE(SUBSTITUTE(SUBSTITUTE(A58,"/"," "),"."," "),"\"," "),"_"," ")))&amp;" ")),1,0))+IF(Task!$A$18="",0,IF(ISNUMBER(SEARCH(" "&amp;Task!$A$18&amp;" "," "&amp;LOWER(D58&amp;" "&amp;C58&amp;" "&amp;LOWER(SUBSTITUTE(SUBSTITUTE(SUBSTITUTE(SUBSTITUTE(A58,"/"," "),"."," "),"\"," "),"_"," ")))&amp;" ")),1,0))+IF(Task!$A$19="",0,IF(ISNUMBER(SEARCH(" "&amp;Task!$A$19&amp;" "," "&amp;LOWER(D58&amp;" "&amp;C58&amp;" "&amp;LOWER(SUBSTITUTE(SUBSTITUTE(SUBSTITUTE(SUBSTITUTE(A58,"/"," "),"."," "),"\"," "),"_"," ")))&amp;" ")),1,0)))</f>
        <v/>
      </c>
      <c r="G58" s="9">
        <f>IF(E58=0,0,IF(Task!$A$8="",0,IF(ISNUMBER(SEARCH(" "&amp;Task!$A$8&amp;" "," "&amp;LOWER(C58)&amp;" ")),1,0))+IF(Task!$A$9="",0,IF(ISNUMBER(SEARCH(" "&amp;Task!$A$9&amp;" "," "&amp;LOWER(C58)&amp;" ")),1,0))+IF(Task!$A$10="",0,IF(ISNUMBER(SEARCH(" "&amp;Task!$A$10&amp;" "," "&amp;LOWER(C58)&amp;" ")),1,0))+IF(Task!$A$11="",0,IF(ISNUMBER(SEARCH(" "&amp;Task!$A$11&amp;" "," "&amp;LOWER(C58)&amp;" ")),1,0))+IF(Task!$A$12="",0,IF(ISNUMBER(SEARCH(" "&amp;Task!$A$12&amp;" "," "&amp;LOWER(C58)&amp;" ")),1,0))+IF(Task!$A$13="",0,IF(ISNUMBER(SEARCH(" "&amp;Task!$A$13&amp;" "," "&amp;LOWER(C58)&amp;" ")),1,0))+IF(Task!$A$14="",0,IF(ISNUMBER(SEARCH(" "&amp;Task!$A$14&amp;" "," "&amp;LOWER(C58)&amp;" ")),1,0))+IF(Task!$A$15="",0,IF(ISNUMBER(SEARCH(" "&amp;Task!$A$15&amp;" "," "&amp;LOWER(C58)&amp;" ")),1,0))+IF(Task!$A$16="",0,IF(ISNUMBER(SEARCH(" "&amp;Task!$A$16&amp;" "," "&amp;LOWER(C58)&amp;" ")),1,0))+IF(Task!$A$17="",0,IF(ISNUMBER(SEARCH(" "&amp;Task!$A$17&amp;" "," "&amp;LOWER(C58)&amp;" ")),1,0))+IF(Task!$A$18="",0,IF(ISNUMBER(SEARCH(" "&amp;Task!$A$18&amp;" "," "&amp;LOWER(C58)&amp;" ")),1,0))+IF(Task!$A$19="",0,IF(ISNUMBER(SEARCH(" "&amp;Task!$A$19&amp;" "," "&amp;LOWER(C58)&amp;" ")),1,0)))</f>
        <v/>
      </c>
      <c r="H58" s="9">
        <f>IF(E58=0,0,IF(Task!$A$8="",0,IF(ISNUMBER(SEARCH(" "&amp;Task!$A$8&amp;" "," "&amp;LOWER(SUBSTITUTE(SUBSTITUTE(SUBSTITUTE(SUBSTITUTE(A58,"/"," "),"."," "),"\"," "),"_"," "))&amp;" ")),1,0))+IF(Task!$A$9="",0,IF(ISNUMBER(SEARCH(" "&amp;Task!$A$9&amp;" "," "&amp;LOWER(SUBSTITUTE(SUBSTITUTE(SUBSTITUTE(SUBSTITUTE(A58,"/"," "),"."," "),"\"," "),"_"," "))&amp;" ")),1,0))+IF(Task!$A$10="",0,IF(ISNUMBER(SEARCH(" "&amp;Task!$A$10&amp;" "," "&amp;LOWER(SUBSTITUTE(SUBSTITUTE(SUBSTITUTE(SUBSTITUTE(A58,"/"," "),"."," "),"\"," "),"_"," "))&amp;" ")),1,0))+IF(Task!$A$11="",0,IF(ISNUMBER(SEARCH(" "&amp;Task!$A$11&amp;" "," "&amp;LOWER(SUBSTITUTE(SUBSTITUTE(SUBSTITUTE(SUBSTITUTE(A58,"/"," "),"."," "),"\"," "),"_"," "))&amp;" ")),1,0))+IF(Task!$A$12="",0,IF(ISNUMBER(SEARCH(" "&amp;Task!$A$12&amp;" "," "&amp;LOWER(SUBSTITUTE(SUBSTITUTE(SUBSTITUTE(SUBSTITUTE(A58,"/"," "),"."," "),"\"," "),"_"," "))&amp;" ")),1,0))+IF(Task!$A$13="",0,IF(ISNUMBER(SEARCH(" "&amp;Task!$A$13&amp;" "," "&amp;LOWER(SUBSTITUTE(SUBSTITUTE(SUBSTITUTE(SUBSTITUTE(A58,"/"," "),"."," "),"\"," "),"_"," "))&amp;" ")),1,0))+IF(Task!$A$14="",0,IF(ISNUMBER(SEARCH(" "&amp;Task!$A$14&amp;" "," "&amp;LOWER(SUBSTITUTE(SUBSTITUTE(SUBSTITUTE(SUBSTITUTE(A58,"/"," "),"."," "),"\"," "),"_"," "))&amp;" ")),1,0))+IF(Task!$A$15="",0,IF(ISNUMBER(SEARCH(" "&amp;Task!$A$15&amp;" "," "&amp;LOWER(SUBSTITUTE(SUBSTITUTE(SUBSTITUTE(SUBSTITUTE(A58,"/"," "),"."," "),"\"," "),"_"," "))&amp;" ")),1,0))+IF(Task!$A$16="",0,IF(ISNUMBER(SEARCH(" "&amp;Task!$A$16&amp;" "," "&amp;LOWER(SUBSTITUTE(SUBSTITUTE(SUBSTITUTE(SUBSTITUTE(A58,"/"," "),"."," "),"\"," "),"_"," "))&amp;" ")),1,0))+IF(Task!$A$17="",0,IF(ISNUMBER(SEARCH(" "&amp;Task!$A$17&amp;" "," "&amp;LOWER(SUBSTITUTE(SUBSTITUTE(SUBSTITUTE(SUBSTITUTE(A58,"/"," "),"."," "),"\"," "),"_"," "))&amp;" ")),1,0))+IF(Task!$A$18="",0,IF(ISNUMBER(SEARCH(" "&amp;Task!$A$18&amp;" "," "&amp;LOWER(SUBSTITUTE(SUBSTITUTE(SUBSTITUTE(SUBSTITUTE(A58,"/"," "),"."," "),"\"," "),"_"," "))&amp;" ")),1,0))+IF(Task!$A$19="",0,IF(ISNUMBER(SEARCH(" "&amp;Task!$A$19&amp;" "," "&amp;LOWER(SUBSTITUTE(SUBSTITUTE(SUBSTITUTE(SUBSTITUTE(A58,"/"," "),"."," "),"\"," "),"_"," "))&amp;" ")),1,0)))</f>
        <v/>
      </c>
      <c r="I58" s="10">
        <f>IF(OR(E58=0,F58=0,Task!$B$21=0),"",F58/Task!$B$21+0.5*G58+0.25*H58)</f>
        <v/>
      </c>
      <c r="J58" s="5">
        <f>IF(I58="","",I58-ROW()/1000000)</f>
        <v/>
      </c>
      <c r="K58" s="9">
        <f>IF(J58="","",COUNTIF($J$5:$J$404,"&gt;"&amp;J58)+1)</f>
        <v/>
      </c>
    </row>
    <row r="59">
      <c r="A59" s="7" t="n"/>
      <c r="B59" s="7" t="n"/>
      <c r="C59" s="7" t="n"/>
      <c r="D59" s="7" t="n"/>
      <c r="E59" s="5">
        <f>IF(A59="",0,IF(COUNTA(Task!$B$5:$E$5)=0,1,IF(COUNTIF(Task!$B$5:$E$5,B59)&gt;0,1,0)))</f>
        <v/>
      </c>
      <c r="F59" s="9">
        <f>IF(E59=0,0,IF(Task!$A$8="",0,IF(ISNUMBER(SEARCH(" "&amp;Task!$A$8&amp;" "," "&amp;LOWER(D59&amp;" "&amp;C59&amp;" "&amp;LOWER(SUBSTITUTE(SUBSTITUTE(SUBSTITUTE(SUBSTITUTE(A59,"/"," "),"."," "),"\"," "),"_"," ")))&amp;" ")),1,0))+IF(Task!$A$9="",0,IF(ISNUMBER(SEARCH(" "&amp;Task!$A$9&amp;" "," "&amp;LOWER(D59&amp;" "&amp;C59&amp;" "&amp;LOWER(SUBSTITUTE(SUBSTITUTE(SUBSTITUTE(SUBSTITUTE(A59,"/"," "),"."," "),"\"," "),"_"," ")))&amp;" ")),1,0))+IF(Task!$A$10="",0,IF(ISNUMBER(SEARCH(" "&amp;Task!$A$10&amp;" "," "&amp;LOWER(D59&amp;" "&amp;C59&amp;" "&amp;LOWER(SUBSTITUTE(SUBSTITUTE(SUBSTITUTE(SUBSTITUTE(A59,"/"," "),"."," "),"\"," "),"_"," ")))&amp;" ")),1,0))+IF(Task!$A$11="",0,IF(ISNUMBER(SEARCH(" "&amp;Task!$A$11&amp;" "," "&amp;LOWER(D59&amp;" "&amp;C59&amp;" "&amp;LOWER(SUBSTITUTE(SUBSTITUTE(SUBSTITUTE(SUBSTITUTE(A59,"/"," "),"."," "),"\"," "),"_"," ")))&amp;" ")),1,0))+IF(Task!$A$12="",0,IF(ISNUMBER(SEARCH(" "&amp;Task!$A$12&amp;" "," "&amp;LOWER(D59&amp;" "&amp;C59&amp;" "&amp;LOWER(SUBSTITUTE(SUBSTITUTE(SUBSTITUTE(SUBSTITUTE(A59,"/"," "),"."," "),"\"," "),"_"," ")))&amp;" ")),1,0))+IF(Task!$A$13="",0,IF(ISNUMBER(SEARCH(" "&amp;Task!$A$13&amp;" "," "&amp;LOWER(D59&amp;" "&amp;C59&amp;" "&amp;LOWER(SUBSTITUTE(SUBSTITUTE(SUBSTITUTE(SUBSTITUTE(A59,"/"," "),"."," "),"\"," "),"_"," ")))&amp;" ")),1,0))+IF(Task!$A$14="",0,IF(ISNUMBER(SEARCH(" "&amp;Task!$A$14&amp;" "," "&amp;LOWER(D59&amp;" "&amp;C59&amp;" "&amp;LOWER(SUBSTITUTE(SUBSTITUTE(SUBSTITUTE(SUBSTITUTE(A59,"/"," "),"."," "),"\"," "),"_"," ")))&amp;" ")),1,0))+IF(Task!$A$15="",0,IF(ISNUMBER(SEARCH(" "&amp;Task!$A$15&amp;" "," "&amp;LOWER(D59&amp;" "&amp;C59&amp;" "&amp;LOWER(SUBSTITUTE(SUBSTITUTE(SUBSTITUTE(SUBSTITUTE(A59,"/"," "),"."," "),"\"," "),"_"," ")))&amp;" ")),1,0))+IF(Task!$A$16="",0,IF(ISNUMBER(SEARCH(" "&amp;Task!$A$16&amp;" "," "&amp;LOWER(D59&amp;" "&amp;C59&amp;" "&amp;LOWER(SUBSTITUTE(SUBSTITUTE(SUBSTITUTE(SUBSTITUTE(A59,"/"," "),"."," "),"\"," "),"_"," ")))&amp;" ")),1,0))+IF(Task!$A$17="",0,IF(ISNUMBER(SEARCH(" "&amp;Task!$A$17&amp;" "," "&amp;LOWER(D59&amp;" "&amp;C59&amp;" "&amp;LOWER(SUBSTITUTE(SUBSTITUTE(SUBSTITUTE(SUBSTITUTE(A59,"/"," "),"."," "),"\"," "),"_"," ")))&amp;" ")),1,0))+IF(Task!$A$18="",0,IF(ISNUMBER(SEARCH(" "&amp;Task!$A$18&amp;" "," "&amp;LOWER(D59&amp;" "&amp;C59&amp;" "&amp;LOWER(SUBSTITUTE(SUBSTITUTE(SUBSTITUTE(SUBSTITUTE(A59,"/"," "),"."," "),"\"," "),"_"," ")))&amp;" ")),1,0))+IF(Task!$A$19="",0,IF(ISNUMBER(SEARCH(" "&amp;Task!$A$19&amp;" "," "&amp;LOWER(D59&amp;" "&amp;C59&amp;" "&amp;LOWER(SUBSTITUTE(SUBSTITUTE(SUBSTITUTE(SUBSTITUTE(A59,"/"," "),"."," "),"\"," "),"_"," ")))&amp;" ")),1,0)))</f>
        <v/>
      </c>
      <c r="G59" s="9">
        <f>IF(E59=0,0,IF(Task!$A$8="",0,IF(ISNUMBER(SEARCH(" "&amp;Task!$A$8&amp;" "," "&amp;LOWER(C59)&amp;" ")),1,0))+IF(Task!$A$9="",0,IF(ISNUMBER(SEARCH(" "&amp;Task!$A$9&amp;" "," "&amp;LOWER(C59)&amp;" ")),1,0))+IF(Task!$A$10="",0,IF(ISNUMBER(SEARCH(" "&amp;Task!$A$10&amp;" "," "&amp;LOWER(C59)&amp;" ")),1,0))+IF(Task!$A$11="",0,IF(ISNUMBER(SEARCH(" "&amp;Task!$A$11&amp;" "," "&amp;LOWER(C59)&amp;" ")),1,0))+IF(Task!$A$12="",0,IF(ISNUMBER(SEARCH(" "&amp;Task!$A$12&amp;" "," "&amp;LOWER(C59)&amp;" ")),1,0))+IF(Task!$A$13="",0,IF(ISNUMBER(SEARCH(" "&amp;Task!$A$13&amp;" "," "&amp;LOWER(C59)&amp;" ")),1,0))+IF(Task!$A$14="",0,IF(ISNUMBER(SEARCH(" "&amp;Task!$A$14&amp;" "," "&amp;LOWER(C59)&amp;" ")),1,0))+IF(Task!$A$15="",0,IF(ISNUMBER(SEARCH(" "&amp;Task!$A$15&amp;" "," "&amp;LOWER(C59)&amp;" ")),1,0))+IF(Task!$A$16="",0,IF(ISNUMBER(SEARCH(" "&amp;Task!$A$16&amp;" "," "&amp;LOWER(C59)&amp;" ")),1,0))+IF(Task!$A$17="",0,IF(ISNUMBER(SEARCH(" "&amp;Task!$A$17&amp;" "," "&amp;LOWER(C59)&amp;" ")),1,0))+IF(Task!$A$18="",0,IF(ISNUMBER(SEARCH(" "&amp;Task!$A$18&amp;" "," "&amp;LOWER(C59)&amp;" ")),1,0))+IF(Task!$A$19="",0,IF(ISNUMBER(SEARCH(" "&amp;Task!$A$19&amp;" "," "&amp;LOWER(C59)&amp;" ")),1,0)))</f>
        <v/>
      </c>
      <c r="H59" s="9">
        <f>IF(E59=0,0,IF(Task!$A$8="",0,IF(ISNUMBER(SEARCH(" "&amp;Task!$A$8&amp;" "," "&amp;LOWER(SUBSTITUTE(SUBSTITUTE(SUBSTITUTE(SUBSTITUTE(A59,"/"," "),"."," "),"\"," "),"_"," "))&amp;" ")),1,0))+IF(Task!$A$9="",0,IF(ISNUMBER(SEARCH(" "&amp;Task!$A$9&amp;" "," "&amp;LOWER(SUBSTITUTE(SUBSTITUTE(SUBSTITUTE(SUBSTITUTE(A59,"/"," "),"."," "),"\"," "),"_"," "))&amp;" ")),1,0))+IF(Task!$A$10="",0,IF(ISNUMBER(SEARCH(" "&amp;Task!$A$10&amp;" "," "&amp;LOWER(SUBSTITUTE(SUBSTITUTE(SUBSTITUTE(SUBSTITUTE(A59,"/"," "),"."," "),"\"," "),"_"," "))&amp;" ")),1,0))+IF(Task!$A$11="",0,IF(ISNUMBER(SEARCH(" "&amp;Task!$A$11&amp;" "," "&amp;LOWER(SUBSTITUTE(SUBSTITUTE(SUBSTITUTE(SUBSTITUTE(A59,"/"," "),"."," "),"\"," "),"_"," "))&amp;" ")),1,0))+IF(Task!$A$12="",0,IF(ISNUMBER(SEARCH(" "&amp;Task!$A$12&amp;" "," "&amp;LOWER(SUBSTITUTE(SUBSTITUTE(SUBSTITUTE(SUBSTITUTE(A59,"/"," "),"."," "),"\"," "),"_"," "))&amp;" ")),1,0))+IF(Task!$A$13="",0,IF(ISNUMBER(SEARCH(" "&amp;Task!$A$13&amp;" "," "&amp;LOWER(SUBSTITUTE(SUBSTITUTE(SUBSTITUTE(SUBSTITUTE(A59,"/"," "),"."," "),"\"," "),"_"," "))&amp;" ")),1,0))+IF(Task!$A$14="",0,IF(ISNUMBER(SEARCH(" "&amp;Task!$A$14&amp;" "," "&amp;LOWER(SUBSTITUTE(SUBSTITUTE(SUBSTITUTE(SUBSTITUTE(A59,"/"," "),"."," "),"\"," "),"_"," "))&amp;" ")),1,0))+IF(Task!$A$15="",0,IF(ISNUMBER(SEARCH(" "&amp;Task!$A$15&amp;" "," "&amp;LOWER(SUBSTITUTE(SUBSTITUTE(SUBSTITUTE(SUBSTITUTE(A59,"/"," "),"."," "),"\"," "),"_"," "))&amp;" ")),1,0))+IF(Task!$A$16="",0,IF(ISNUMBER(SEARCH(" "&amp;Task!$A$16&amp;" "," "&amp;LOWER(SUBSTITUTE(SUBSTITUTE(SUBSTITUTE(SUBSTITUTE(A59,"/"," "),"."," "),"\"," "),"_"," "))&amp;" ")),1,0))+IF(Task!$A$17="",0,IF(ISNUMBER(SEARCH(" "&amp;Task!$A$17&amp;" "," "&amp;LOWER(SUBSTITUTE(SUBSTITUTE(SUBSTITUTE(SUBSTITUTE(A59,"/"," "),"."," "),"\"," "),"_"," "))&amp;" ")),1,0))+IF(Task!$A$18="",0,IF(ISNUMBER(SEARCH(" "&amp;Task!$A$18&amp;" "," "&amp;LOWER(SUBSTITUTE(SUBSTITUTE(SUBSTITUTE(SUBSTITUTE(A59,"/"," "),"."," "),"\"," "),"_"," "))&amp;" ")),1,0))+IF(Task!$A$19="",0,IF(ISNUMBER(SEARCH(" "&amp;Task!$A$19&amp;" "," "&amp;LOWER(SUBSTITUTE(SUBSTITUTE(SUBSTITUTE(SUBSTITUTE(A59,"/"," "),"."," "),"\"," "),"_"," "))&amp;" ")),1,0)))</f>
        <v/>
      </c>
      <c r="I59" s="10">
        <f>IF(OR(E59=0,F59=0,Task!$B$21=0),"",F59/Task!$B$21+0.5*G59+0.25*H59)</f>
        <v/>
      </c>
      <c r="J59" s="5">
        <f>IF(I59="","",I59-ROW()/1000000)</f>
        <v/>
      </c>
      <c r="K59" s="9">
        <f>IF(J59="","",COUNTIF($J$5:$J$404,"&gt;"&amp;J59)+1)</f>
        <v/>
      </c>
    </row>
    <row r="60">
      <c r="A60" s="7" t="n"/>
      <c r="B60" s="7" t="n"/>
      <c r="C60" s="7" t="n"/>
      <c r="D60" s="7" t="n"/>
      <c r="E60" s="5">
        <f>IF(A60="",0,IF(COUNTA(Task!$B$5:$E$5)=0,1,IF(COUNTIF(Task!$B$5:$E$5,B60)&gt;0,1,0)))</f>
        <v/>
      </c>
      <c r="F60" s="9">
        <f>IF(E60=0,0,IF(Task!$A$8="",0,IF(ISNUMBER(SEARCH(" "&amp;Task!$A$8&amp;" "," "&amp;LOWER(D60&amp;" "&amp;C60&amp;" "&amp;LOWER(SUBSTITUTE(SUBSTITUTE(SUBSTITUTE(SUBSTITUTE(A60,"/"," "),"."," "),"\"," "),"_"," ")))&amp;" ")),1,0))+IF(Task!$A$9="",0,IF(ISNUMBER(SEARCH(" "&amp;Task!$A$9&amp;" "," "&amp;LOWER(D60&amp;" "&amp;C60&amp;" "&amp;LOWER(SUBSTITUTE(SUBSTITUTE(SUBSTITUTE(SUBSTITUTE(A60,"/"," "),"."," "),"\"," "),"_"," ")))&amp;" ")),1,0))+IF(Task!$A$10="",0,IF(ISNUMBER(SEARCH(" "&amp;Task!$A$10&amp;" "," "&amp;LOWER(D60&amp;" "&amp;C60&amp;" "&amp;LOWER(SUBSTITUTE(SUBSTITUTE(SUBSTITUTE(SUBSTITUTE(A60,"/"," "),"."," "),"\"," "),"_"," ")))&amp;" ")),1,0))+IF(Task!$A$11="",0,IF(ISNUMBER(SEARCH(" "&amp;Task!$A$11&amp;" "," "&amp;LOWER(D60&amp;" "&amp;C60&amp;" "&amp;LOWER(SUBSTITUTE(SUBSTITUTE(SUBSTITUTE(SUBSTITUTE(A60,"/"," "),"."," "),"\"," "),"_"," ")))&amp;" ")),1,0))+IF(Task!$A$12="",0,IF(ISNUMBER(SEARCH(" "&amp;Task!$A$12&amp;" "," "&amp;LOWER(D60&amp;" "&amp;C60&amp;" "&amp;LOWER(SUBSTITUTE(SUBSTITUTE(SUBSTITUTE(SUBSTITUTE(A60,"/"," "),"."," "),"\"," "),"_"," ")))&amp;" ")),1,0))+IF(Task!$A$13="",0,IF(ISNUMBER(SEARCH(" "&amp;Task!$A$13&amp;" "," "&amp;LOWER(D60&amp;" "&amp;C60&amp;" "&amp;LOWER(SUBSTITUTE(SUBSTITUTE(SUBSTITUTE(SUBSTITUTE(A60,"/"," "),"."," "),"\"," "),"_"," ")))&amp;" ")),1,0))+IF(Task!$A$14="",0,IF(ISNUMBER(SEARCH(" "&amp;Task!$A$14&amp;" "," "&amp;LOWER(D60&amp;" "&amp;C60&amp;" "&amp;LOWER(SUBSTITUTE(SUBSTITUTE(SUBSTITUTE(SUBSTITUTE(A60,"/"," "),"."," "),"\"," "),"_"," ")))&amp;" ")),1,0))+IF(Task!$A$15="",0,IF(ISNUMBER(SEARCH(" "&amp;Task!$A$15&amp;" "," "&amp;LOWER(D60&amp;" "&amp;C60&amp;" "&amp;LOWER(SUBSTITUTE(SUBSTITUTE(SUBSTITUTE(SUBSTITUTE(A60,"/"," "),"."," "),"\"," "),"_"," ")))&amp;" ")),1,0))+IF(Task!$A$16="",0,IF(ISNUMBER(SEARCH(" "&amp;Task!$A$16&amp;" "," "&amp;LOWER(D60&amp;" "&amp;C60&amp;" "&amp;LOWER(SUBSTITUTE(SUBSTITUTE(SUBSTITUTE(SUBSTITUTE(A60,"/"," "),"."," "),"\"," "),"_"," ")))&amp;" ")),1,0))+IF(Task!$A$17="",0,IF(ISNUMBER(SEARCH(" "&amp;Task!$A$17&amp;" "," "&amp;LOWER(D60&amp;" "&amp;C60&amp;" "&amp;LOWER(SUBSTITUTE(SUBSTITUTE(SUBSTITUTE(SUBSTITUTE(A60,"/"," "),"."," "),"\"," "),"_"," ")))&amp;" ")),1,0))+IF(Task!$A$18="",0,IF(ISNUMBER(SEARCH(" "&amp;Task!$A$18&amp;" "," "&amp;LOWER(D60&amp;" "&amp;C60&amp;" "&amp;LOWER(SUBSTITUTE(SUBSTITUTE(SUBSTITUTE(SUBSTITUTE(A60,"/"," "),"."," "),"\"," "),"_"," ")))&amp;" ")),1,0))+IF(Task!$A$19="",0,IF(ISNUMBER(SEARCH(" "&amp;Task!$A$19&amp;" "," "&amp;LOWER(D60&amp;" "&amp;C60&amp;" "&amp;LOWER(SUBSTITUTE(SUBSTITUTE(SUBSTITUTE(SUBSTITUTE(A60,"/"," "),"."," "),"\"," "),"_"," ")))&amp;" ")),1,0)))</f>
        <v/>
      </c>
      <c r="G60" s="9">
        <f>IF(E60=0,0,IF(Task!$A$8="",0,IF(ISNUMBER(SEARCH(" "&amp;Task!$A$8&amp;" "," "&amp;LOWER(C60)&amp;" ")),1,0))+IF(Task!$A$9="",0,IF(ISNUMBER(SEARCH(" "&amp;Task!$A$9&amp;" "," "&amp;LOWER(C60)&amp;" ")),1,0))+IF(Task!$A$10="",0,IF(ISNUMBER(SEARCH(" "&amp;Task!$A$10&amp;" "," "&amp;LOWER(C60)&amp;" ")),1,0))+IF(Task!$A$11="",0,IF(ISNUMBER(SEARCH(" "&amp;Task!$A$11&amp;" "," "&amp;LOWER(C60)&amp;" ")),1,0))+IF(Task!$A$12="",0,IF(ISNUMBER(SEARCH(" "&amp;Task!$A$12&amp;" "," "&amp;LOWER(C60)&amp;" ")),1,0))+IF(Task!$A$13="",0,IF(ISNUMBER(SEARCH(" "&amp;Task!$A$13&amp;" "," "&amp;LOWER(C60)&amp;" ")),1,0))+IF(Task!$A$14="",0,IF(ISNUMBER(SEARCH(" "&amp;Task!$A$14&amp;" "," "&amp;LOWER(C60)&amp;" ")),1,0))+IF(Task!$A$15="",0,IF(ISNUMBER(SEARCH(" "&amp;Task!$A$15&amp;" "," "&amp;LOWER(C60)&amp;" ")),1,0))+IF(Task!$A$16="",0,IF(ISNUMBER(SEARCH(" "&amp;Task!$A$16&amp;" "," "&amp;LOWER(C60)&amp;" ")),1,0))+IF(Task!$A$17="",0,IF(ISNUMBER(SEARCH(" "&amp;Task!$A$17&amp;" "," "&amp;LOWER(C60)&amp;" ")),1,0))+IF(Task!$A$18="",0,IF(ISNUMBER(SEARCH(" "&amp;Task!$A$18&amp;" "," "&amp;LOWER(C60)&amp;" ")),1,0))+IF(Task!$A$19="",0,IF(ISNUMBER(SEARCH(" "&amp;Task!$A$19&amp;" "," "&amp;LOWER(C60)&amp;" ")),1,0)))</f>
        <v/>
      </c>
      <c r="H60" s="9">
        <f>IF(E60=0,0,IF(Task!$A$8="",0,IF(ISNUMBER(SEARCH(" "&amp;Task!$A$8&amp;" "," "&amp;LOWER(SUBSTITUTE(SUBSTITUTE(SUBSTITUTE(SUBSTITUTE(A60,"/"," "),"."," "),"\"," "),"_"," "))&amp;" ")),1,0))+IF(Task!$A$9="",0,IF(ISNUMBER(SEARCH(" "&amp;Task!$A$9&amp;" "," "&amp;LOWER(SUBSTITUTE(SUBSTITUTE(SUBSTITUTE(SUBSTITUTE(A60,"/"," "),"."," "),"\"," "),"_"," "))&amp;" ")),1,0))+IF(Task!$A$10="",0,IF(ISNUMBER(SEARCH(" "&amp;Task!$A$10&amp;" "," "&amp;LOWER(SUBSTITUTE(SUBSTITUTE(SUBSTITUTE(SUBSTITUTE(A60,"/"," "),"."," "),"\"," "),"_"," "))&amp;" ")),1,0))+IF(Task!$A$11="",0,IF(ISNUMBER(SEARCH(" "&amp;Task!$A$11&amp;" "," "&amp;LOWER(SUBSTITUTE(SUBSTITUTE(SUBSTITUTE(SUBSTITUTE(A60,"/"," "),"."," "),"\"," "),"_"," "))&amp;" ")),1,0))+IF(Task!$A$12="",0,IF(ISNUMBER(SEARCH(" "&amp;Task!$A$12&amp;" "," "&amp;LOWER(SUBSTITUTE(SUBSTITUTE(SUBSTITUTE(SUBSTITUTE(A60,"/"," "),"."," "),"\"," "),"_"," "))&amp;" ")),1,0))+IF(Task!$A$13="",0,IF(ISNUMBER(SEARCH(" "&amp;Task!$A$13&amp;" "," "&amp;LOWER(SUBSTITUTE(SUBSTITUTE(SUBSTITUTE(SUBSTITUTE(A60,"/"," "),"."," "),"\"," "),"_"," "))&amp;" ")),1,0))+IF(Task!$A$14="",0,IF(ISNUMBER(SEARCH(" "&amp;Task!$A$14&amp;" "," "&amp;LOWER(SUBSTITUTE(SUBSTITUTE(SUBSTITUTE(SUBSTITUTE(A60,"/"," "),"."," "),"\"," "),"_"," "))&amp;" ")),1,0))+IF(Task!$A$15="",0,IF(ISNUMBER(SEARCH(" "&amp;Task!$A$15&amp;" "," "&amp;LOWER(SUBSTITUTE(SUBSTITUTE(SUBSTITUTE(SUBSTITUTE(A60,"/"," "),"."," "),"\"," "),"_"," "))&amp;" ")),1,0))+IF(Task!$A$16="",0,IF(ISNUMBER(SEARCH(" "&amp;Task!$A$16&amp;" "," "&amp;LOWER(SUBSTITUTE(SUBSTITUTE(SUBSTITUTE(SUBSTITUTE(A60,"/"," "),"."," "),"\"," "),"_"," "))&amp;" ")),1,0))+IF(Task!$A$17="",0,IF(ISNUMBER(SEARCH(" "&amp;Task!$A$17&amp;" "," "&amp;LOWER(SUBSTITUTE(SUBSTITUTE(SUBSTITUTE(SUBSTITUTE(A60,"/"," "),"."," "),"\"," "),"_"," "))&amp;" ")),1,0))+IF(Task!$A$18="",0,IF(ISNUMBER(SEARCH(" "&amp;Task!$A$18&amp;" "," "&amp;LOWER(SUBSTITUTE(SUBSTITUTE(SUBSTITUTE(SUBSTITUTE(A60,"/"," "),"."," "),"\"," "),"_"," "))&amp;" ")),1,0))+IF(Task!$A$19="",0,IF(ISNUMBER(SEARCH(" "&amp;Task!$A$19&amp;" "," "&amp;LOWER(SUBSTITUTE(SUBSTITUTE(SUBSTITUTE(SUBSTITUTE(A60,"/"," "),"."," "),"\"," "),"_"," "))&amp;" ")),1,0)))</f>
        <v/>
      </c>
      <c r="I60" s="10">
        <f>IF(OR(E60=0,F60=0,Task!$B$21=0),"",F60/Task!$B$21+0.5*G60+0.25*H60)</f>
        <v/>
      </c>
      <c r="J60" s="5">
        <f>IF(I60="","",I60-ROW()/1000000)</f>
        <v/>
      </c>
      <c r="K60" s="9">
        <f>IF(J60="","",COUNTIF($J$5:$J$404,"&gt;"&amp;J60)+1)</f>
        <v/>
      </c>
    </row>
    <row r="61">
      <c r="A61" s="7" t="n"/>
      <c r="B61" s="7" t="n"/>
      <c r="C61" s="7" t="n"/>
      <c r="D61" s="7" t="n"/>
      <c r="E61" s="5">
        <f>IF(A61="",0,IF(COUNTA(Task!$B$5:$E$5)=0,1,IF(COUNTIF(Task!$B$5:$E$5,B61)&gt;0,1,0)))</f>
        <v/>
      </c>
      <c r="F61" s="9">
        <f>IF(E61=0,0,IF(Task!$A$8="",0,IF(ISNUMBER(SEARCH(" "&amp;Task!$A$8&amp;" "," "&amp;LOWER(D61&amp;" "&amp;C61&amp;" "&amp;LOWER(SUBSTITUTE(SUBSTITUTE(SUBSTITUTE(SUBSTITUTE(A61,"/"," "),"."," "),"\"," "),"_"," ")))&amp;" ")),1,0))+IF(Task!$A$9="",0,IF(ISNUMBER(SEARCH(" "&amp;Task!$A$9&amp;" "," "&amp;LOWER(D61&amp;" "&amp;C61&amp;" "&amp;LOWER(SUBSTITUTE(SUBSTITUTE(SUBSTITUTE(SUBSTITUTE(A61,"/"," "),"."," "),"\"," "),"_"," ")))&amp;" ")),1,0))+IF(Task!$A$10="",0,IF(ISNUMBER(SEARCH(" "&amp;Task!$A$10&amp;" "," "&amp;LOWER(D61&amp;" "&amp;C61&amp;" "&amp;LOWER(SUBSTITUTE(SUBSTITUTE(SUBSTITUTE(SUBSTITUTE(A61,"/"," "),"."," "),"\"," "),"_"," ")))&amp;" ")),1,0))+IF(Task!$A$11="",0,IF(ISNUMBER(SEARCH(" "&amp;Task!$A$11&amp;" "," "&amp;LOWER(D61&amp;" "&amp;C61&amp;" "&amp;LOWER(SUBSTITUTE(SUBSTITUTE(SUBSTITUTE(SUBSTITUTE(A61,"/"," "),"."," "),"\"," "),"_"," ")))&amp;" ")),1,0))+IF(Task!$A$12="",0,IF(ISNUMBER(SEARCH(" "&amp;Task!$A$12&amp;" "," "&amp;LOWER(D61&amp;" "&amp;C61&amp;" "&amp;LOWER(SUBSTITUTE(SUBSTITUTE(SUBSTITUTE(SUBSTITUTE(A61,"/"," "),"."," "),"\"," "),"_"," ")))&amp;" ")),1,0))+IF(Task!$A$13="",0,IF(ISNUMBER(SEARCH(" "&amp;Task!$A$13&amp;" "," "&amp;LOWER(D61&amp;" "&amp;C61&amp;" "&amp;LOWER(SUBSTITUTE(SUBSTITUTE(SUBSTITUTE(SUBSTITUTE(A61,"/"," "),"."," "),"\"," "),"_"," ")))&amp;" ")),1,0))+IF(Task!$A$14="",0,IF(ISNUMBER(SEARCH(" "&amp;Task!$A$14&amp;" "," "&amp;LOWER(D61&amp;" "&amp;C61&amp;" "&amp;LOWER(SUBSTITUTE(SUBSTITUTE(SUBSTITUTE(SUBSTITUTE(A61,"/"," "),"."," "),"\"," "),"_"," ")))&amp;" ")),1,0))+IF(Task!$A$15="",0,IF(ISNUMBER(SEARCH(" "&amp;Task!$A$15&amp;" "," "&amp;LOWER(D61&amp;" "&amp;C61&amp;" "&amp;LOWER(SUBSTITUTE(SUBSTITUTE(SUBSTITUTE(SUBSTITUTE(A61,"/"," "),"."," "),"\"," "),"_"," ")))&amp;" ")),1,0))+IF(Task!$A$16="",0,IF(ISNUMBER(SEARCH(" "&amp;Task!$A$16&amp;" "," "&amp;LOWER(D61&amp;" "&amp;C61&amp;" "&amp;LOWER(SUBSTITUTE(SUBSTITUTE(SUBSTITUTE(SUBSTITUTE(A61,"/"," "),"."," "),"\"," "),"_"," ")))&amp;" ")),1,0))+IF(Task!$A$17="",0,IF(ISNUMBER(SEARCH(" "&amp;Task!$A$17&amp;" "," "&amp;LOWER(D61&amp;" "&amp;C61&amp;" "&amp;LOWER(SUBSTITUTE(SUBSTITUTE(SUBSTITUTE(SUBSTITUTE(A61,"/"," "),"."," "),"\"," "),"_"," ")))&amp;" ")),1,0))+IF(Task!$A$18="",0,IF(ISNUMBER(SEARCH(" "&amp;Task!$A$18&amp;" "," "&amp;LOWER(D61&amp;" "&amp;C61&amp;" "&amp;LOWER(SUBSTITUTE(SUBSTITUTE(SUBSTITUTE(SUBSTITUTE(A61,"/"," "),"."," "),"\"," "),"_"," ")))&amp;" ")),1,0))+IF(Task!$A$19="",0,IF(ISNUMBER(SEARCH(" "&amp;Task!$A$19&amp;" "," "&amp;LOWER(D61&amp;" "&amp;C61&amp;" "&amp;LOWER(SUBSTITUTE(SUBSTITUTE(SUBSTITUTE(SUBSTITUTE(A61,"/"," "),"."," "),"\"," "),"_"," ")))&amp;" ")),1,0)))</f>
        <v/>
      </c>
      <c r="G61" s="9">
        <f>IF(E61=0,0,IF(Task!$A$8="",0,IF(ISNUMBER(SEARCH(" "&amp;Task!$A$8&amp;" "," "&amp;LOWER(C61)&amp;" ")),1,0))+IF(Task!$A$9="",0,IF(ISNUMBER(SEARCH(" "&amp;Task!$A$9&amp;" "," "&amp;LOWER(C61)&amp;" ")),1,0))+IF(Task!$A$10="",0,IF(ISNUMBER(SEARCH(" "&amp;Task!$A$10&amp;" "," "&amp;LOWER(C61)&amp;" ")),1,0))+IF(Task!$A$11="",0,IF(ISNUMBER(SEARCH(" "&amp;Task!$A$11&amp;" "," "&amp;LOWER(C61)&amp;" ")),1,0))+IF(Task!$A$12="",0,IF(ISNUMBER(SEARCH(" "&amp;Task!$A$12&amp;" "," "&amp;LOWER(C61)&amp;" ")),1,0))+IF(Task!$A$13="",0,IF(ISNUMBER(SEARCH(" "&amp;Task!$A$13&amp;" "," "&amp;LOWER(C61)&amp;" ")),1,0))+IF(Task!$A$14="",0,IF(ISNUMBER(SEARCH(" "&amp;Task!$A$14&amp;" "," "&amp;LOWER(C61)&amp;" ")),1,0))+IF(Task!$A$15="",0,IF(ISNUMBER(SEARCH(" "&amp;Task!$A$15&amp;" "," "&amp;LOWER(C61)&amp;" ")),1,0))+IF(Task!$A$16="",0,IF(ISNUMBER(SEARCH(" "&amp;Task!$A$16&amp;" "," "&amp;LOWER(C61)&amp;" ")),1,0))+IF(Task!$A$17="",0,IF(ISNUMBER(SEARCH(" "&amp;Task!$A$17&amp;" "," "&amp;LOWER(C61)&amp;" ")),1,0))+IF(Task!$A$18="",0,IF(ISNUMBER(SEARCH(" "&amp;Task!$A$18&amp;" "," "&amp;LOWER(C61)&amp;" ")),1,0))+IF(Task!$A$19="",0,IF(ISNUMBER(SEARCH(" "&amp;Task!$A$19&amp;" "," "&amp;LOWER(C61)&amp;" ")),1,0)))</f>
        <v/>
      </c>
      <c r="H61" s="9">
        <f>IF(E61=0,0,IF(Task!$A$8="",0,IF(ISNUMBER(SEARCH(" "&amp;Task!$A$8&amp;" "," "&amp;LOWER(SUBSTITUTE(SUBSTITUTE(SUBSTITUTE(SUBSTITUTE(A61,"/"," "),"."," "),"\"," "),"_"," "))&amp;" ")),1,0))+IF(Task!$A$9="",0,IF(ISNUMBER(SEARCH(" "&amp;Task!$A$9&amp;" "," "&amp;LOWER(SUBSTITUTE(SUBSTITUTE(SUBSTITUTE(SUBSTITUTE(A61,"/"," "),"."," "),"\"," "),"_"," "))&amp;" ")),1,0))+IF(Task!$A$10="",0,IF(ISNUMBER(SEARCH(" "&amp;Task!$A$10&amp;" "," "&amp;LOWER(SUBSTITUTE(SUBSTITUTE(SUBSTITUTE(SUBSTITUTE(A61,"/"," "),"."," "),"\"," "),"_"," "))&amp;" ")),1,0))+IF(Task!$A$11="",0,IF(ISNUMBER(SEARCH(" "&amp;Task!$A$11&amp;" "," "&amp;LOWER(SUBSTITUTE(SUBSTITUTE(SUBSTITUTE(SUBSTITUTE(A61,"/"," "),"."," "),"\"," "),"_"," "))&amp;" ")),1,0))+IF(Task!$A$12="",0,IF(ISNUMBER(SEARCH(" "&amp;Task!$A$12&amp;" "," "&amp;LOWER(SUBSTITUTE(SUBSTITUTE(SUBSTITUTE(SUBSTITUTE(A61,"/"," "),"."," "),"\"," "),"_"," "))&amp;" ")),1,0))+IF(Task!$A$13="",0,IF(ISNUMBER(SEARCH(" "&amp;Task!$A$13&amp;" "," "&amp;LOWER(SUBSTITUTE(SUBSTITUTE(SUBSTITUTE(SUBSTITUTE(A61,"/"," "),"."," "),"\"," "),"_"," "))&amp;" ")),1,0))+IF(Task!$A$14="",0,IF(ISNUMBER(SEARCH(" "&amp;Task!$A$14&amp;" "," "&amp;LOWER(SUBSTITUTE(SUBSTITUTE(SUBSTITUTE(SUBSTITUTE(A61,"/"," "),"."," "),"\"," "),"_"," "))&amp;" ")),1,0))+IF(Task!$A$15="",0,IF(ISNUMBER(SEARCH(" "&amp;Task!$A$15&amp;" "," "&amp;LOWER(SUBSTITUTE(SUBSTITUTE(SUBSTITUTE(SUBSTITUTE(A61,"/"," "),"."," "),"\"," "),"_"," "))&amp;" ")),1,0))+IF(Task!$A$16="",0,IF(ISNUMBER(SEARCH(" "&amp;Task!$A$16&amp;" "," "&amp;LOWER(SUBSTITUTE(SUBSTITUTE(SUBSTITUTE(SUBSTITUTE(A61,"/"," "),"."," "),"\"," "),"_"," "))&amp;" ")),1,0))+IF(Task!$A$17="",0,IF(ISNUMBER(SEARCH(" "&amp;Task!$A$17&amp;" "," "&amp;LOWER(SUBSTITUTE(SUBSTITUTE(SUBSTITUTE(SUBSTITUTE(A61,"/"," "),"."," "),"\"," "),"_"," "))&amp;" ")),1,0))+IF(Task!$A$18="",0,IF(ISNUMBER(SEARCH(" "&amp;Task!$A$18&amp;" "," "&amp;LOWER(SUBSTITUTE(SUBSTITUTE(SUBSTITUTE(SUBSTITUTE(A61,"/"," "),"."," "),"\"," "),"_"," "))&amp;" ")),1,0))+IF(Task!$A$19="",0,IF(ISNUMBER(SEARCH(" "&amp;Task!$A$19&amp;" "," "&amp;LOWER(SUBSTITUTE(SUBSTITUTE(SUBSTITUTE(SUBSTITUTE(A61,"/"," "),"."," "),"\"," "),"_"," "))&amp;" ")),1,0)))</f>
        <v/>
      </c>
      <c r="I61" s="10">
        <f>IF(OR(E61=0,F61=0,Task!$B$21=0),"",F61/Task!$B$21+0.5*G61+0.25*H61)</f>
        <v/>
      </c>
      <c r="J61" s="5">
        <f>IF(I61="","",I61-ROW()/1000000)</f>
        <v/>
      </c>
      <c r="K61" s="9">
        <f>IF(J61="","",COUNTIF($J$5:$J$404,"&gt;"&amp;J61)+1)</f>
        <v/>
      </c>
    </row>
    <row r="62">
      <c r="A62" s="7" t="n"/>
      <c r="B62" s="7" t="n"/>
      <c r="C62" s="7" t="n"/>
      <c r="D62" s="7" t="n"/>
      <c r="E62" s="5">
        <f>IF(A62="",0,IF(COUNTA(Task!$B$5:$E$5)=0,1,IF(COUNTIF(Task!$B$5:$E$5,B62)&gt;0,1,0)))</f>
        <v/>
      </c>
      <c r="F62" s="9">
        <f>IF(E62=0,0,IF(Task!$A$8="",0,IF(ISNUMBER(SEARCH(" "&amp;Task!$A$8&amp;" "," "&amp;LOWER(D62&amp;" "&amp;C62&amp;" "&amp;LOWER(SUBSTITUTE(SUBSTITUTE(SUBSTITUTE(SUBSTITUTE(A62,"/"," "),"."," "),"\"," "),"_"," ")))&amp;" ")),1,0))+IF(Task!$A$9="",0,IF(ISNUMBER(SEARCH(" "&amp;Task!$A$9&amp;" "," "&amp;LOWER(D62&amp;" "&amp;C62&amp;" "&amp;LOWER(SUBSTITUTE(SUBSTITUTE(SUBSTITUTE(SUBSTITUTE(A62,"/"," "),"."," "),"\"," "),"_"," ")))&amp;" ")),1,0))+IF(Task!$A$10="",0,IF(ISNUMBER(SEARCH(" "&amp;Task!$A$10&amp;" "," "&amp;LOWER(D62&amp;" "&amp;C62&amp;" "&amp;LOWER(SUBSTITUTE(SUBSTITUTE(SUBSTITUTE(SUBSTITUTE(A62,"/"," "),"."," "),"\"," "),"_"," ")))&amp;" ")),1,0))+IF(Task!$A$11="",0,IF(ISNUMBER(SEARCH(" "&amp;Task!$A$11&amp;" "," "&amp;LOWER(D62&amp;" "&amp;C62&amp;" "&amp;LOWER(SUBSTITUTE(SUBSTITUTE(SUBSTITUTE(SUBSTITUTE(A62,"/"," "),"."," "),"\"," "),"_"," ")))&amp;" ")),1,0))+IF(Task!$A$12="",0,IF(ISNUMBER(SEARCH(" "&amp;Task!$A$12&amp;" "," "&amp;LOWER(D62&amp;" "&amp;C62&amp;" "&amp;LOWER(SUBSTITUTE(SUBSTITUTE(SUBSTITUTE(SUBSTITUTE(A62,"/"," "),"."," "),"\"," "),"_"," ")))&amp;" ")),1,0))+IF(Task!$A$13="",0,IF(ISNUMBER(SEARCH(" "&amp;Task!$A$13&amp;" "," "&amp;LOWER(D62&amp;" "&amp;C62&amp;" "&amp;LOWER(SUBSTITUTE(SUBSTITUTE(SUBSTITUTE(SUBSTITUTE(A62,"/"," "),"."," "),"\"," "),"_"," ")))&amp;" ")),1,0))+IF(Task!$A$14="",0,IF(ISNUMBER(SEARCH(" "&amp;Task!$A$14&amp;" "," "&amp;LOWER(D62&amp;" "&amp;C62&amp;" "&amp;LOWER(SUBSTITUTE(SUBSTITUTE(SUBSTITUTE(SUBSTITUTE(A62,"/"," "),"."," "),"\"," "),"_"," ")))&amp;" ")),1,0))+IF(Task!$A$15="",0,IF(ISNUMBER(SEARCH(" "&amp;Task!$A$15&amp;" "," "&amp;LOWER(D62&amp;" "&amp;C62&amp;" "&amp;LOWER(SUBSTITUTE(SUBSTITUTE(SUBSTITUTE(SUBSTITUTE(A62,"/"," "),"."," "),"\"," "),"_"," ")))&amp;" ")),1,0))+IF(Task!$A$16="",0,IF(ISNUMBER(SEARCH(" "&amp;Task!$A$16&amp;" "," "&amp;LOWER(D62&amp;" "&amp;C62&amp;" "&amp;LOWER(SUBSTITUTE(SUBSTITUTE(SUBSTITUTE(SUBSTITUTE(A62,"/"," "),"."," "),"\"," "),"_"," ")))&amp;" ")),1,0))+IF(Task!$A$17="",0,IF(ISNUMBER(SEARCH(" "&amp;Task!$A$17&amp;" "," "&amp;LOWER(D62&amp;" "&amp;C62&amp;" "&amp;LOWER(SUBSTITUTE(SUBSTITUTE(SUBSTITUTE(SUBSTITUTE(A62,"/"," "),"."," "),"\"," "),"_"," ")))&amp;" ")),1,0))+IF(Task!$A$18="",0,IF(ISNUMBER(SEARCH(" "&amp;Task!$A$18&amp;" "," "&amp;LOWER(D62&amp;" "&amp;C62&amp;" "&amp;LOWER(SUBSTITUTE(SUBSTITUTE(SUBSTITUTE(SUBSTITUTE(A62,"/"," "),"."," "),"\"," "),"_"," ")))&amp;" ")),1,0))+IF(Task!$A$19="",0,IF(ISNUMBER(SEARCH(" "&amp;Task!$A$19&amp;" "," "&amp;LOWER(D62&amp;" "&amp;C62&amp;" "&amp;LOWER(SUBSTITUTE(SUBSTITUTE(SUBSTITUTE(SUBSTITUTE(A62,"/"," "),"."," "),"\"," "),"_"," ")))&amp;" ")),1,0)))</f>
        <v/>
      </c>
      <c r="G62" s="9">
        <f>IF(E62=0,0,IF(Task!$A$8="",0,IF(ISNUMBER(SEARCH(" "&amp;Task!$A$8&amp;" "," "&amp;LOWER(C62)&amp;" ")),1,0))+IF(Task!$A$9="",0,IF(ISNUMBER(SEARCH(" "&amp;Task!$A$9&amp;" "," "&amp;LOWER(C62)&amp;" ")),1,0))+IF(Task!$A$10="",0,IF(ISNUMBER(SEARCH(" "&amp;Task!$A$10&amp;" "," "&amp;LOWER(C62)&amp;" ")),1,0))+IF(Task!$A$11="",0,IF(ISNUMBER(SEARCH(" "&amp;Task!$A$11&amp;" "," "&amp;LOWER(C62)&amp;" ")),1,0))+IF(Task!$A$12="",0,IF(ISNUMBER(SEARCH(" "&amp;Task!$A$12&amp;" "," "&amp;LOWER(C62)&amp;" ")),1,0))+IF(Task!$A$13="",0,IF(ISNUMBER(SEARCH(" "&amp;Task!$A$13&amp;" "," "&amp;LOWER(C62)&amp;" ")),1,0))+IF(Task!$A$14="",0,IF(ISNUMBER(SEARCH(" "&amp;Task!$A$14&amp;" "," "&amp;LOWER(C62)&amp;" ")),1,0))+IF(Task!$A$15="",0,IF(ISNUMBER(SEARCH(" "&amp;Task!$A$15&amp;" "," "&amp;LOWER(C62)&amp;" ")),1,0))+IF(Task!$A$16="",0,IF(ISNUMBER(SEARCH(" "&amp;Task!$A$16&amp;" "," "&amp;LOWER(C62)&amp;" ")),1,0))+IF(Task!$A$17="",0,IF(ISNUMBER(SEARCH(" "&amp;Task!$A$17&amp;" "," "&amp;LOWER(C62)&amp;" ")),1,0))+IF(Task!$A$18="",0,IF(ISNUMBER(SEARCH(" "&amp;Task!$A$18&amp;" "," "&amp;LOWER(C62)&amp;" ")),1,0))+IF(Task!$A$19="",0,IF(ISNUMBER(SEARCH(" "&amp;Task!$A$19&amp;" "," "&amp;LOWER(C62)&amp;" ")),1,0)))</f>
        <v/>
      </c>
      <c r="H62" s="9">
        <f>IF(E62=0,0,IF(Task!$A$8="",0,IF(ISNUMBER(SEARCH(" "&amp;Task!$A$8&amp;" "," "&amp;LOWER(SUBSTITUTE(SUBSTITUTE(SUBSTITUTE(SUBSTITUTE(A62,"/"," "),"."," "),"\"," "),"_"," "))&amp;" ")),1,0))+IF(Task!$A$9="",0,IF(ISNUMBER(SEARCH(" "&amp;Task!$A$9&amp;" "," "&amp;LOWER(SUBSTITUTE(SUBSTITUTE(SUBSTITUTE(SUBSTITUTE(A62,"/"," "),"."," "),"\"," "),"_"," "))&amp;" ")),1,0))+IF(Task!$A$10="",0,IF(ISNUMBER(SEARCH(" "&amp;Task!$A$10&amp;" "," "&amp;LOWER(SUBSTITUTE(SUBSTITUTE(SUBSTITUTE(SUBSTITUTE(A62,"/"," "),"."," "),"\"," "),"_"," "))&amp;" ")),1,0))+IF(Task!$A$11="",0,IF(ISNUMBER(SEARCH(" "&amp;Task!$A$11&amp;" "," "&amp;LOWER(SUBSTITUTE(SUBSTITUTE(SUBSTITUTE(SUBSTITUTE(A62,"/"," "),"."," "),"\"," "),"_"," "))&amp;" ")),1,0))+IF(Task!$A$12="",0,IF(ISNUMBER(SEARCH(" "&amp;Task!$A$12&amp;" "," "&amp;LOWER(SUBSTITUTE(SUBSTITUTE(SUBSTITUTE(SUBSTITUTE(A62,"/"," "),"."," "),"\"," "),"_"," "))&amp;" ")),1,0))+IF(Task!$A$13="",0,IF(ISNUMBER(SEARCH(" "&amp;Task!$A$13&amp;" "," "&amp;LOWER(SUBSTITUTE(SUBSTITUTE(SUBSTITUTE(SUBSTITUTE(A62,"/"," "),"."," "),"\"," "),"_"," "))&amp;" ")),1,0))+IF(Task!$A$14="",0,IF(ISNUMBER(SEARCH(" "&amp;Task!$A$14&amp;" "," "&amp;LOWER(SUBSTITUTE(SUBSTITUTE(SUBSTITUTE(SUBSTITUTE(A62,"/"," "),"."," "),"\"," "),"_"," "))&amp;" ")),1,0))+IF(Task!$A$15="",0,IF(ISNUMBER(SEARCH(" "&amp;Task!$A$15&amp;" "," "&amp;LOWER(SUBSTITUTE(SUBSTITUTE(SUBSTITUTE(SUBSTITUTE(A62,"/"," "),"."," "),"\"," "),"_"," "))&amp;" ")),1,0))+IF(Task!$A$16="",0,IF(ISNUMBER(SEARCH(" "&amp;Task!$A$16&amp;" "," "&amp;LOWER(SUBSTITUTE(SUBSTITUTE(SUBSTITUTE(SUBSTITUTE(A62,"/"," "),"."," "),"\"," "),"_"," "))&amp;" ")),1,0))+IF(Task!$A$17="",0,IF(ISNUMBER(SEARCH(" "&amp;Task!$A$17&amp;" "," "&amp;LOWER(SUBSTITUTE(SUBSTITUTE(SUBSTITUTE(SUBSTITUTE(A62,"/"," "),"."," "),"\"," "),"_"," "))&amp;" ")),1,0))+IF(Task!$A$18="",0,IF(ISNUMBER(SEARCH(" "&amp;Task!$A$18&amp;" "," "&amp;LOWER(SUBSTITUTE(SUBSTITUTE(SUBSTITUTE(SUBSTITUTE(A62,"/"," "),"."," "),"\"," "),"_"," "))&amp;" ")),1,0))+IF(Task!$A$19="",0,IF(ISNUMBER(SEARCH(" "&amp;Task!$A$19&amp;" "," "&amp;LOWER(SUBSTITUTE(SUBSTITUTE(SUBSTITUTE(SUBSTITUTE(A62,"/"," "),"."," "),"\"," "),"_"," "))&amp;" ")),1,0)))</f>
        <v/>
      </c>
      <c r="I62" s="10">
        <f>IF(OR(E62=0,F62=0,Task!$B$21=0),"",F62/Task!$B$21+0.5*G62+0.25*H62)</f>
        <v/>
      </c>
      <c r="J62" s="5">
        <f>IF(I62="","",I62-ROW()/1000000)</f>
        <v/>
      </c>
      <c r="K62" s="9">
        <f>IF(J62="","",COUNTIF($J$5:$J$404,"&gt;"&amp;J62)+1)</f>
        <v/>
      </c>
    </row>
    <row r="63">
      <c r="A63" s="7" t="n"/>
      <c r="B63" s="7" t="n"/>
      <c r="C63" s="7" t="n"/>
      <c r="D63" s="7" t="n"/>
      <c r="E63" s="5">
        <f>IF(A63="",0,IF(COUNTA(Task!$B$5:$E$5)=0,1,IF(COUNTIF(Task!$B$5:$E$5,B63)&gt;0,1,0)))</f>
        <v/>
      </c>
      <c r="F63" s="9">
        <f>IF(E63=0,0,IF(Task!$A$8="",0,IF(ISNUMBER(SEARCH(" "&amp;Task!$A$8&amp;" "," "&amp;LOWER(D63&amp;" "&amp;C63&amp;" "&amp;LOWER(SUBSTITUTE(SUBSTITUTE(SUBSTITUTE(SUBSTITUTE(A63,"/"," "),"."," "),"\"," "),"_"," ")))&amp;" ")),1,0))+IF(Task!$A$9="",0,IF(ISNUMBER(SEARCH(" "&amp;Task!$A$9&amp;" "," "&amp;LOWER(D63&amp;" "&amp;C63&amp;" "&amp;LOWER(SUBSTITUTE(SUBSTITUTE(SUBSTITUTE(SUBSTITUTE(A63,"/"," "),"."," "),"\"," "),"_"," ")))&amp;" ")),1,0))+IF(Task!$A$10="",0,IF(ISNUMBER(SEARCH(" "&amp;Task!$A$10&amp;" "," "&amp;LOWER(D63&amp;" "&amp;C63&amp;" "&amp;LOWER(SUBSTITUTE(SUBSTITUTE(SUBSTITUTE(SUBSTITUTE(A63,"/"," "),"."," "),"\"," "),"_"," ")))&amp;" ")),1,0))+IF(Task!$A$11="",0,IF(ISNUMBER(SEARCH(" "&amp;Task!$A$11&amp;" "," "&amp;LOWER(D63&amp;" "&amp;C63&amp;" "&amp;LOWER(SUBSTITUTE(SUBSTITUTE(SUBSTITUTE(SUBSTITUTE(A63,"/"," "),"."," "),"\"," "),"_"," ")))&amp;" ")),1,0))+IF(Task!$A$12="",0,IF(ISNUMBER(SEARCH(" "&amp;Task!$A$12&amp;" "," "&amp;LOWER(D63&amp;" "&amp;C63&amp;" "&amp;LOWER(SUBSTITUTE(SUBSTITUTE(SUBSTITUTE(SUBSTITUTE(A63,"/"," "),"."," "),"\"," "),"_"," ")))&amp;" ")),1,0))+IF(Task!$A$13="",0,IF(ISNUMBER(SEARCH(" "&amp;Task!$A$13&amp;" "," "&amp;LOWER(D63&amp;" "&amp;C63&amp;" "&amp;LOWER(SUBSTITUTE(SUBSTITUTE(SUBSTITUTE(SUBSTITUTE(A63,"/"," "),"."," "),"\"," "),"_"," ")))&amp;" ")),1,0))+IF(Task!$A$14="",0,IF(ISNUMBER(SEARCH(" "&amp;Task!$A$14&amp;" "," "&amp;LOWER(D63&amp;" "&amp;C63&amp;" "&amp;LOWER(SUBSTITUTE(SUBSTITUTE(SUBSTITUTE(SUBSTITUTE(A63,"/"," "),"."," "),"\"," "),"_"," ")))&amp;" ")),1,0))+IF(Task!$A$15="",0,IF(ISNUMBER(SEARCH(" "&amp;Task!$A$15&amp;" "," "&amp;LOWER(D63&amp;" "&amp;C63&amp;" "&amp;LOWER(SUBSTITUTE(SUBSTITUTE(SUBSTITUTE(SUBSTITUTE(A63,"/"," "),"."," "),"\"," "),"_"," ")))&amp;" ")),1,0))+IF(Task!$A$16="",0,IF(ISNUMBER(SEARCH(" "&amp;Task!$A$16&amp;" "," "&amp;LOWER(D63&amp;" "&amp;C63&amp;" "&amp;LOWER(SUBSTITUTE(SUBSTITUTE(SUBSTITUTE(SUBSTITUTE(A63,"/"," "),"."," "),"\"," "),"_"," ")))&amp;" ")),1,0))+IF(Task!$A$17="",0,IF(ISNUMBER(SEARCH(" "&amp;Task!$A$17&amp;" "," "&amp;LOWER(D63&amp;" "&amp;C63&amp;" "&amp;LOWER(SUBSTITUTE(SUBSTITUTE(SUBSTITUTE(SUBSTITUTE(A63,"/"," "),"."," "),"\"," "),"_"," ")))&amp;" ")),1,0))+IF(Task!$A$18="",0,IF(ISNUMBER(SEARCH(" "&amp;Task!$A$18&amp;" "," "&amp;LOWER(D63&amp;" "&amp;C63&amp;" "&amp;LOWER(SUBSTITUTE(SUBSTITUTE(SUBSTITUTE(SUBSTITUTE(A63,"/"," "),"."," "),"\"," "),"_"," ")))&amp;" ")),1,0))+IF(Task!$A$19="",0,IF(ISNUMBER(SEARCH(" "&amp;Task!$A$19&amp;" "," "&amp;LOWER(D63&amp;" "&amp;C63&amp;" "&amp;LOWER(SUBSTITUTE(SUBSTITUTE(SUBSTITUTE(SUBSTITUTE(A63,"/"," "),"."," "),"\"," "),"_"," ")))&amp;" ")),1,0)))</f>
        <v/>
      </c>
      <c r="G63" s="9">
        <f>IF(E63=0,0,IF(Task!$A$8="",0,IF(ISNUMBER(SEARCH(" "&amp;Task!$A$8&amp;" "," "&amp;LOWER(C63)&amp;" ")),1,0))+IF(Task!$A$9="",0,IF(ISNUMBER(SEARCH(" "&amp;Task!$A$9&amp;" "," "&amp;LOWER(C63)&amp;" ")),1,0))+IF(Task!$A$10="",0,IF(ISNUMBER(SEARCH(" "&amp;Task!$A$10&amp;" "," "&amp;LOWER(C63)&amp;" ")),1,0))+IF(Task!$A$11="",0,IF(ISNUMBER(SEARCH(" "&amp;Task!$A$11&amp;" "," "&amp;LOWER(C63)&amp;" ")),1,0))+IF(Task!$A$12="",0,IF(ISNUMBER(SEARCH(" "&amp;Task!$A$12&amp;" "," "&amp;LOWER(C63)&amp;" ")),1,0))+IF(Task!$A$13="",0,IF(ISNUMBER(SEARCH(" "&amp;Task!$A$13&amp;" "," "&amp;LOWER(C63)&amp;" ")),1,0))+IF(Task!$A$14="",0,IF(ISNUMBER(SEARCH(" "&amp;Task!$A$14&amp;" "," "&amp;LOWER(C63)&amp;" ")),1,0))+IF(Task!$A$15="",0,IF(ISNUMBER(SEARCH(" "&amp;Task!$A$15&amp;" "," "&amp;LOWER(C63)&amp;" ")),1,0))+IF(Task!$A$16="",0,IF(ISNUMBER(SEARCH(" "&amp;Task!$A$16&amp;" "," "&amp;LOWER(C63)&amp;" ")),1,0))+IF(Task!$A$17="",0,IF(ISNUMBER(SEARCH(" "&amp;Task!$A$17&amp;" "," "&amp;LOWER(C63)&amp;" ")),1,0))+IF(Task!$A$18="",0,IF(ISNUMBER(SEARCH(" "&amp;Task!$A$18&amp;" "," "&amp;LOWER(C63)&amp;" ")),1,0))+IF(Task!$A$19="",0,IF(ISNUMBER(SEARCH(" "&amp;Task!$A$19&amp;" "," "&amp;LOWER(C63)&amp;" ")),1,0)))</f>
        <v/>
      </c>
      <c r="H63" s="9">
        <f>IF(E63=0,0,IF(Task!$A$8="",0,IF(ISNUMBER(SEARCH(" "&amp;Task!$A$8&amp;" "," "&amp;LOWER(SUBSTITUTE(SUBSTITUTE(SUBSTITUTE(SUBSTITUTE(A63,"/"," "),"."," "),"\"," "),"_"," "))&amp;" ")),1,0))+IF(Task!$A$9="",0,IF(ISNUMBER(SEARCH(" "&amp;Task!$A$9&amp;" "," "&amp;LOWER(SUBSTITUTE(SUBSTITUTE(SUBSTITUTE(SUBSTITUTE(A63,"/"," "),"."," "),"\"," "),"_"," "))&amp;" ")),1,0))+IF(Task!$A$10="",0,IF(ISNUMBER(SEARCH(" "&amp;Task!$A$10&amp;" "," "&amp;LOWER(SUBSTITUTE(SUBSTITUTE(SUBSTITUTE(SUBSTITUTE(A63,"/"," "),"."," "),"\"," "),"_"," "))&amp;" ")),1,0))+IF(Task!$A$11="",0,IF(ISNUMBER(SEARCH(" "&amp;Task!$A$11&amp;" "," "&amp;LOWER(SUBSTITUTE(SUBSTITUTE(SUBSTITUTE(SUBSTITUTE(A63,"/"," "),"."," "),"\"," "),"_"," "))&amp;" ")),1,0))+IF(Task!$A$12="",0,IF(ISNUMBER(SEARCH(" "&amp;Task!$A$12&amp;" "," "&amp;LOWER(SUBSTITUTE(SUBSTITUTE(SUBSTITUTE(SUBSTITUTE(A63,"/"," "),"."," "),"\"," "),"_"," "))&amp;" ")),1,0))+IF(Task!$A$13="",0,IF(ISNUMBER(SEARCH(" "&amp;Task!$A$13&amp;" "," "&amp;LOWER(SUBSTITUTE(SUBSTITUTE(SUBSTITUTE(SUBSTITUTE(A63,"/"," "),"."," "),"\"," "),"_"," "))&amp;" ")),1,0))+IF(Task!$A$14="",0,IF(ISNUMBER(SEARCH(" "&amp;Task!$A$14&amp;" "," "&amp;LOWER(SUBSTITUTE(SUBSTITUTE(SUBSTITUTE(SUBSTITUTE(A63,"/"," "),"."," "),"\"," "),"_"," "))&amp;" ")),1,0))+IF(Task!$A$15="",0,IF(ISNUMBER(SEARCH(" "&amp;Task!$A$15&amp;" "," "&amp;LOWER(SUBSTITUTE(SUBSTITUTE(SUBSTITUTE(SUBSTITUTE(A63,"/"," "),"."," "),"\"," "),"_"," "))&amp;" ")),1,0))+IF(Task!$A$16="",0,IF(ISNUMBER(SEARCH(" "&amp;Task!$A$16&amp;" "," "&amp;LOWER(SUBSTITUTE(SUBSTITUTE(SUBSTITUTE(SUBSTITUTE(A63,"/"," "),"."," "),"\"," "),"_"," "))&amp;" ")),1,0))+IF(Task!$A$17="",0,IF(ISNUMBER(SEARCH(" "&amp;Task!$A$17&amp;" "," "&amp;LOWER(SUBSTITUTE(SUBSTITUTE(SUBSTITUTE(SUBSTITUTE(A63,"/"," "),"."," "),"\"," "),"_"," "))&amp;" ")),1,0))+IF(Task!$A$18="",0,IF(ISNUMBER(SEARCH(" "&amp;Task!$A$18&amp;" "," "&amp;LOWER(SUBSTITUTE(SUBSTITUTE(SUBSTITUTE(SUBSTITUTE(A63,"/"," "),"."," "),"\"," "),"_"," "))&amp;" ")),1,0))+IF(Task!$A$19="",0,IF(ISNUMBER(SEARCH(" "&amp;Task!$A$19&amp;" "," "&amp;LOWER(SUBSTITUTE(SUBSTITUTE(SUBSTITUTE(SUBSTITUTE(A63,"/"," "),"."," "),"\"," "),"_"," "))&amp;" ")),1,0)))</f>
        <v/>
      </c>
      <c r="I63" s="10">
        <f>IF(OR(E63=0,F63=0,Task!$B$21=0),"",F63/Task!$B$21+0.5*G63+0.25*H63)</f>
        <v/>
      </c>
      <c r="J63" s="5">
        <f>IF(I63="","",I63-ROW()/1000000)</f>
        <v/>
      </c>
      <c r="K63" s="9">
        <f>IF(J63="","",COUNTIF($J$5:$J$404,"&gt;"&amp;J63)+1)</f>
        <v/>
      </c>
    </row>
    <row r="64">
      <c r="A64" s="7" t="n"/>
      <c r="B64" s="7" t="n"/>
      <c r="C64" s="7" t="n"/>
      <c r="D64" s="7" t="n"/>
      <c r="E64" s="5">
        <f>IF(A64="",0,IF(COUNTA(Task!$B$5:$E$5)=0,1,IF(COUNTIF(Task!$B$5:$E$5,B64)&gt;0,1,0)))</f>
        <v/>
      </c>
      <c r="F64" s="9">
        <f>IF(E64=0,0,IF(Task!$A$8="",0,IF(ISNUMBER(SEARCH(" "&amp;Task!$A$8&amp;" "," "&amp;LOWER(D64&amp;" "&amp;C64&amp;" "&amp;LOWER(SUBSTITUTE(SUBSTITUTE(SUBSTITUTE(SUBSTITUTE(A64,"/"," "),"."," "),"\"," "),"_"," ")))&amp;" ")),1,0))+IF(Task!$A$9="",0,IF(ISNUMBER(SEARCH(" "&amp;Task!$A$9&amp;" "," "&amp;LOWER(D64&amp;" "&amp;C64&amp;" "&amp;LOWER(SUBSTITUTE(SUBSTITUTE(SUBSTITUTE(SUBSTITUTE(A64,"/"," "),"."," "),"\"," "),"_"," ")))&amp;" ")),1,0))+IF(Task!$A$10="",0,IF(ISNUMBER(SEARCH(" "&amp;Task!$A$10&amp;" "," "&amp;LOWER(D64&amp;" "&amp;C64&amp;" "&amp;LOWER(SUBSTITUTE(SUBSTITUTE(SUBSTITUTE(SUBSTITUTE(A64,"/"," "),"."," "),"\"," "),"_"," ")))&amp;" ")),1,0))+IF(Task!$A$11="",0,IF(ISNUMBER(SEARCH(" "&amp;Task!$A$11&amp;" "," "&amp;LOWER(D64&amp;" "&amp;C64&amp;" "&amp;LOWER(SUBSTITUTE(SUBSTITUTE(SUBSTITUTE(SUBSTITUTE(A64,"/"," "),"."," "),"\"," "),"_"," ")))&amp;" ")),1,0))+IF(Task!$A$12="",0,IF(ISNUMBER(SEARCH(" "&amp;Task!$A$12&amp;" "," "&amp;LOWER(D64&amp;" "&amp;C64&amp;" "&amp;LOWER(SUBSTITUTE(SUBSTITUTE(SUBSTITUTE(SUBSTITUTE(A64,"/"," "),"."," "),"\"," "),"_"," ")))&amp;" ")),1,0))+IF(Task!$A$13="",0,IF(ISNUMBER(SEARCH(" "&amp;Task!$A$13&amp;" "," "&amp;LOWER(D64&amp;" "&amp;C64&amp;" "&amp;LOWER(SUBSTITUTE(SUBSTITUTE(SUBSTITUTE(SUBSTITUTE(A64,"/"," "),"."," "),"\"," "),"_"," ")))&amp;" ")),1,0))+IF(Task!$A$14="",0,IF(ISNUMBER(SEARCH(" "&amp;Task!$A$14&amp;" "," "&amp;LOWER(D64&amp;" "&amp;C64&amp;" "&amp;LOWER(SUBSTITUTE(SUBSTITUTE(SUBSTITUTE(SUBSTITUTE(A64,"/"," "),"."," "),"\"," "),"_"," ")))&amp;" ")),1,0))+IF(Task!$A$15="",0,IF(ISNUMBER(SEARCH(" "&amp;Task!$A$15&amp;" "," "&amp;LOWER(D64&amp;" "&amp;C64&amp;" "&amp;LOWER(SUBSTITUTE(SUBSTITUTE(SUBSTITUTE(SUBSTITUTE(A64,"/"," "),"."," "),"\"," "),"_"," ")))&amp;" ")),1,0))+IF(Task!$A$16="",0,IF(ISNUMBER(SEARCH(" "&amp;Task!$A$16&amp;" "," "&amp;LOWER(D64&amp;" "&amp;C64&amp;" "&amp;LOWER(SUBSTITUTE(SUBSTITUTE(SUBSTITUTE(SUBSTITUTE(A64,"/"," "),"."," "),"\"," "),"_"," ")))&amp;" ")),1,0))+IF(Task!$A$17="",0,IF(ISNUMBER(SEARCH(" "&amp;Task!$A$17&amp;" "," "&amp;LOWER(D64&amp;" "&amp;C64&amp;" "&amp;LOWER(SUBSTITUTE(SUBSTITUTE(SUBSTITUTE(SUBSTITUTE(A64,"/"," "),"."," "),"\"," "),"_"," ")))&amp;" ")),1,0))+IF(Task!$A$18="",0,IF(ISNUMBER(SEARCH(" "&amp;Task!$A$18&amp;" "," "&amp;LOWER(D64&amp;" "&amp;C64&amp;" "&amp;LOWER(SUBSTITUTE(SUBSTITUTE(SUBSTITUTE(SUBSTITUTE(A64,"/"," "),"."," "),"\"," "),"_"," ")))&amp;" ")),1,0))+IF(Task!$A$19="",0,IF(ISNUMBER(SEARCH(" "&amp;Task!$A$19&amp;" "," "&amp;LOWER(D64&amp;" "&amp;C64&amp;" "&amp;LOWER(SUBSTITUTE(SUBSTITUTE(SUBSTITUTE(SUBSTITUTE(A64,"/"," "),"."," "),"\"," "),"_"," ")))&amp;" ")),1,0)))</f>
        <v/>
      </c>
      <c r="G64" s="9">
        <f>IF(E64=0,0,IF(Task!$A$8="",0,IF(ISNUMBER(SEARCH(" "&amp;Task!$A$8&amp;" "," "&amp;LOWER(C64)&amp;" ")),1,0))+IF(Task!$A$9="",0,IF(ISNUMBER(SEARCH(" "&amp;Task!$A$9&amp;" "," "&amp;LOWER(C64)&amp;" ")),1,0))+IF(Task!$A$10="",0,IF(ISNUMBER(SEARCH(" "&amp;Task!$A$10&amp;" "," "&amp;LOWER(C64)&amp;" ")),1,0))+IF(Task!$A$11="",0,IF(ISNUMBER(SEARCH(" "&amp;Task!$A$11&amp;" "," "&amp;LOWER(C64)&amp;" ")),1,0))+IF(Task!$A$12="",0,IF(ISNUMBER(SEARCH(" "&amp;Task!$A$12&amp;" "," "&amp;LOWER(C64)&amp;" ")),1,0))+IF(Task!$A$13="",0,IF(ISNUMBER(SEARCH(" "&amp;Task!$A$13&amp;" "," "&amp;LOWER(C64)&amp;" ")),1,0))+IF(Task!$A$14="",0,IF(ISNUMBER(SEARCH(" "&amp;Task!$A$14&amp;" "," "&amp;LOWER(C64)&amp;" ")),1,0))+IF(Task!$A$15="",0,IF(ISNUMBER(SEARCH(" "&amp;Task!$A$15&amp;" "," "&amp;LOWER(C64)&amp;" ")),1,0))+IF(Task!$A$16="",0,IF(ISNUMBER(SEARCH(" "&amp;Task!$A$16&amp;" "," "&amp;LOWER(C64)&amp;" ")),1,0))+IF(Task!$A$17="",0,IF(ISNUMBER(SEARCH(" "&amp;Task!$A$17&amp;" "," "&amp;LOWER(C64)&amp;" ")),1,0))+IF(Task!$A$18="",0,IF(ISNUMBER(SEARCH(" "&amp;Task!$A$18&amp;" "," "&amp;LOWER(C64)&amp;" ")),1,0))+IF(Task!$A$19="",0,IF(ISNUMBER(SEARCH(" "&amp;Task!$A$19&amp;" "," "&amp;LOWER(C64)&amp;" ")),1,0)))</f>
        <v/>
      </c>
      <c r="H64" s="9">
        <f>IF(E64=0,0,IF(Task!$A$8="",0,IF(ISNUMBER(SEARCH(" "&amp;Task!$A$8&amp;" "," "&amp;LOWER(SUBSTITUTE(SUBSTITUTE(SUBSTITUTE(SUBSTITUTE(A64,"/"," "),"."," "),"\"," "),"_"," "))&amp;" ")),1,0))+IF(Task!$A$9="",0,IF(ISNUMBER(SEARCH(" "&amp;Task!$A$9&amp;" "," "&amp;LOWER(SUBSTITUTE(SUBSTITUTE(SUBSTITUTE(SUBSTITUTE(A64,"/"," "),"."," "),"\"," "),"_"," "))&amp;" ")),1,0))+IF(Task!$A$10="",0,IF(ISNUMBER(SEARCH(" "&amp;Task!$A$10&amp;" "," "&amp;LOWER(SUBSTITUTE(SUBSTITUTE(SUBSTITUTE(SUBSTITUTE(A64,"/"," "),"."," "),"\"," "),"_"," "))&amp;" ")),1,0))+IF(Task!$A$11="",0,IF(ISNUMBER(SEARCH(" "&amp;Task!$A$11&amp;" "," "&amp;LOWER(SUBSTITUTE(SUBSTITUTE(SUBSTITUTE(SUBSTITUTE(A64,"/"," "),"."," "),"\"," "),"_"," "))&amp;" ")),1,0))+IF(Task!$A$12="",0,IF(ISNUMBER(SEARCH(" "&amp;Task!$A$12&amp;" "," "&amp;LOWER(SUBSTITUTE(SUBSTITUTE(SUBSTITUTE(SUBSTITUTE(A64,"/"," "),"."," "),"\"," "),"_"," "))&amp;" ")),1,0))+IF(Task!$A$13="",0,IF(ISNUMBER(SEARCH(" "&amp;Task!$A$13&amp;" "," "&amp;LOWER(SUBSTITUTE(SUBSTITUTE(SUBSTITUTE(SUBSTITUTE(A64,"/"," "),"."," "),"\"," "),"_"," "))&amp;" ")),1,0))+IF(Task!$A$14="",0,IF(ISNUMBER(SEARCH(" "&amp;Task!$A$14&amp;" "," "&amp;LOWER(SUBSTITUTE(SUBSTITUTE(SUBSTITUTE(SUBSTITUTE(A64,"/"," "),"."," "),"\"," "),"_"," "))&amp;" ")),1,0))+IF(Task!$A$15="",0,IF(ISNUMBER(SEARCH(" "&amp;Task!$A$15&amp;" "," "&amp;LOWER(SUBSTITUTE(SUBSTITUTE(SUBSTITUTE(SUBSTITUTE(A64,"/"," "),"."," "),"\"," "),"_"," "))&amp;" ")),1,0))+IF(Task!$A$16="",0,IF(ISNUMBER(SEARCH(" "&amp;Task!$A$16&amp;" "," "&amp;LOWER(SUBSTITUTE(SUBSTITUTE(SUBSTITUTE(SUBSTITUTE(A64,"/"," "),"."," "),"\"," "),"_"," "))&amp;" ")),1,0))+IF(Task!$A$17="",0,IF(ISNUMBER(SEARCH(" "&amp;Task!$A$17&amp;" "," "&amp;LOWER(SUBSTITUTE(SUBSTITUTE(SUBSTITUTE(SUBSTITUTE(A64,"/"," "),"."," "),"\"," "),"_"," "))&amp;" ")),1,0))+IF(Task!$A$18="",0,IF(ISNUMBER(SEARCH(" "&amp;Task!$A$18&amp;" "," "&amp;LOWER(SUBSTITUTE(SUBSTITUTE(SUBSTITUTE(SUBSTITUTE(A64,"/"," "),"."," "),"\"," "),"_"," "))&amp;" ")),1,0))+IF(Task!$A$19="",0,IF(ISNUMBER(SEARCH(" "&amp;Task!$A$19&amp;" "," "&amp;LOWER(SUBSTITUTE(SUBSTITUTE(SUBSTITUTE(SUBSTITUTE(A64,"/"," "),"."," "),"\"," "),"_"," "))&amp;" ")),1,0)))</f>
        <v/>
      </c>
      <c r="I64" s="10">
        <f>IF(OR(E64=0,F64=0,Task!$B$21=0),"",F64/Task!$B$21+0.5*G64+0.25*H64)</f>
        <v/>
      </c>
      <c r="J64" s="5">
        <f>IF(I64="","",I64-ROW()/1000000)</f>
        <v/>
      </c>
      <c r="K64" s="9">
        <f>IF(J64="","",COUNTIF($J$5:$J$404,"&gt;"&amp;J64)+1)</f>
        <v/>
      </c>
    </row>
    <row r="65">
      <c r="A65" s="7" t="n"/>
      <c r="B65" s="7" t="n"/>
      <c r="C65" s="7" t="n"/>
      <c r="D65" s="7" t="n"/>
      <c r="E65" s="5">
        <f>IF(A65="",0,IF(COUNTA(Task!$B$5:$E$5)=0,1,IF(COUNTIF(Task!$B$5:$E$5,B65)&gt;0,1,0)))</f>
        <v/>
      </c>
      <c r="F65" s="9">
        <f>IF(E65=0,0,IF(Task!$A$8="",0,IF(ISNUMBER(SEARCH(" "&amp;Task!$A$8&amp;" "," "&amp;LOWER(D65&amp;" "&amp;C65&amp;" "&amp;LOWER(SUBSTITUTE(SUBSTITUTE(SUBSTITUTE(SUBSTITUTE(A65,"/"," "),"."," "),"\"," "),"_"," ")))&amp;" ")),1,0))+IF(Task!$A$9="",0,IF(ISNUMBER(SEARCH(" "&amp;Task!$A$9&amp;" "," "&amp;LOWER(D65&amp;" "&amp;C65&amp;" "&amp;LOWER(SUBSTITUTE(SUBSTITUTE(SUBSTITUTE(SUBSTITUTE(A65,"/"," "),"."," "),"\"," "),"_"," ")))&amp;" ")),1,0))+IF(Task!$A$10="",0,IF(ISNUMBER(SEARCH(" "&amp;Task!$A$10&amp;" "," "&amp;LOWER(D65&amp;" "&amp;C65&amp;" "&amp;LOWER(SUBSTITUTE(SUBSTITUTE(SUBSTITUTE(SUBSTITUTE(A65,"/"," "),"."," "),"\"," "),"_"," ")))&amp;" ")),1,0))+IF(Task!$A$11="",0,IF(ISNUMBER(SEARCH(" "&amp;Task!$A$11&amp;" "," "&amp;LOWER(D65&amp;" "&amp;C65&amp;" "&amp;LOWER(SUBSTITUTE(SUBSTITUTE(SUBSTITUTE(SUBSTITUTE(A65,"/"," "),"."," "),"\"," "),"_"," ")))&amp;" ")),1,0))+IF(Task!$A$12="",0,IF(ISNUMBER(SEARCH(" "&amp;Task!$A$12&amp;" "," "&amp;LOWER(D65&amp;" "&amp;C65&amp;" "&amp;LOWER(SUBSTITUTE(SUBSTITUTE(SUBSTITUTE(SUBSTITUTE(A65,"/"," "),"."," "),"\"," "),"_"," ")))&amp;" ")),1,0))+IF(Task!$A$13="",0,IF(ISNUMBER(SEARCH(" "&amp;Task!$A$13&amp;" "," "&amp;LOWER(D65&amp;" "&amp;C65&amp;" "&amp;LOWER(SUBSTITUTE(SUBSTITUTE(SUBSTITUTE(SUBSTITUTE(A65,"/"," "),"."," "),"\"," "),"_"," ")))&amp;" ")),1,0))+IF(Task!$A$14="",0,IF(ISNUMBER(SEARCH(" "&amp;Task!$A$14&amp;" "," "&amp;LOWER(D65&amp;" "&amp;C65&amp;" "&amp;LOWER(SUBSTITUTE(SUBSTITUTE(SUBSTITUTE(SUBSTITUTE(A65,"/"," "),"."," "),"\"," "),"_"," ")))&amp;" ")),1,0))+IF(Task!$A$15="",0,IF(ISNUMBER(SEARCH(" "&amp;Task!$A$15&amp;" "," "&amp;LOWER(D65&amp;" "&amp;C65&amp;" "&amp;LOWER(SUBSTITUTE(SUBSTITUTE(SUBSTITUTE(SUBSTITUTE(A65,"/"," "),"."," "),"\"," "),"_"," ")))&amp;" ")),1,0))+IF(Task!$A$16="",0,IF(ISNUMBER(SEARCH(" "&amp;Task!$A$16&amp;" "," "&amp;LOWER(D65&amp;" "&amp;C65&amp;" "&amp;LOWER(SUBSTITUTE(SUBSTITUTE(SUBSTITUTE(SUBSTITUTE(A65,"/"," "),"."," "),"\"," "),"_"," ")))&amp;" ")),1,0))+IF(Task!$A$17="",0,IF(ISNUMBER(SEARCH(" "&amp;Task!$A$17&amp;" "," "&amp;LOWER(D65&amp;" "&amp;C65&amp;" "&amp;LOWER(SUBSTITUTE(SUBSTITUTE(SUBSTITUTE(SUBSTITUTE(A65,"/"," "),"."," "),"\"," "),"_"," ")))&amp;" ")),1,0))+IF(Task!$A$18="",0,IF(ISNUMBER(SEARCH(" "&amp;Task!$A$18&amp;" "," "&amp;LOWER(D65&amp;" "&amp;C65&amp;" "&amp;LOWER(SUBSTITUTE(SUBSTITUTE(SUBSTITUTE(SUBSTITUTE(A65,"/"," "),"."," "),"\"," "),"_"," ")))&amp;" ")),1,0))+IF(Task!$A$19="",0,IF(ISNUMBER(SEARCH(" "&amp;Task!$A$19&amp;" "," "&amp;LOWER(D65&amp;" "&amp;C65&amp;" "&amp;LOWER(SUBSTITUTE(SUBSTITUTE(SUBSTITUTE(SUBSTITUTE(A65,"/"," "),"."," "),"\"," "),"_"," ")))&amp;" ")),1,0)))</f>
        <v/>
      </c>
      <c r="G65" s="9">
        <f>IF(E65=0,0,IF(Task!$A$8="",0,IF(ISNUMBER(SEARCH(" "&amp;Task!$A$8&amp;" "," "&amp;LOWER(C65)&amp;" ")),1,0))+IF(Task!$A$9="",0,IF(ISNUMBER(SEARCH(" "&amp;Task!$A$9&amp;" "," "&amp;LOWER(C65)&amp;" ")),1,0))+IF(Task!$A$10="",0,IF(ISNUMBER(SEARCH(" "&amp;Task!$A$10&amp;" "," "&amp;LOWER(C65)&amp;" ")),1,0))+IF(Task!$A$11="",0,IF(ISNUMBER(SEARCH(" "&amp;Task!$A$11&amp;" "," "&amp;LOWER(C65)&amp;" ")),1,0))+IF(Task!$A$12="",0,IF(ISNUMBER(SEARCH(" "&amp;Task!$A$12&amp;" "," "&amp;LOWER(C65)&amp;" ")),1,0))+IF(Task!$A$13="",0,IF(ISNUMBER(SEARCH(" "&amp;Task!$A$13&amp;" "," "&amp;LOWER(C65)&amp;" ")),1,0))+IF(Task!$A$14="",0,IF(ISNUMBER(SEARCH(" "&amp;Task!$A$14&amp;" "," "&amp;LOWER(C65)&amp;" ")),1,0))+IF(Task!$A$15="",0,IF(ISNUMBER(SEARCH(" "&amp;Task!$A$15&amp;" "," "&amp;LOWER(C65)&amp;" ")),1,0))+IF(Task!$A$16="",0,IF(ISNUMBER(SEARCH(" "&amp;Task!$A$16&amp;" "," "&amp;LOWER(C65)&amp;" ")),1,0))+IF(Task!$A$17="",0,IF(ISNUMBER(SEARCH(" "&amp;Task!$A$17&amp;" "," "&amp;LOWER(C65)&amp;" ")),1,0))+IF(Task!$A$18="",0,IF(ISNUMBER(SEARCH(" "&amp;Task!$A$18&amp;" "," "&amp;LOWER(C65)&amp;" ")),1,0))+IF(Task!$A$19="",0,IF(ISNUMBER(SEARCH(" "&amp;Task!$A$19&amp;" "," "&amp;LOWER(C65)&amp;" ")),1,0)))</f>
        <v/>
      </c>
      <c r="H65" s="9">
        <f>IF(E65=0,0,IF(Task!$A$8="",0,IF(ISNUMBER(SEARCH(" "&amp;Task!$A$8&amp;" "," "&amp;LOWER(SUBSTITUTE(SUBSTITUTE(SUBSTITUTE(SUBSTITUTE(A65,"/"," "),"."," "),"\"," "),"_"," "))&amp;" ")),1,0))+IF(Task!$A$9="",0,IF(ISNUMBER(SEARCH(" "&amp;Task!$A$9&amp;" "," "&amp;LOWER(SUBSTITUTE(SUBSTITUTE(SUBSTITUTE(SUBSTITUTE(A65,"/"," "),"."," "),"\"," "),"_"," "))&amp;" ")),1,0))+IF(Task!$A$10="",0,IF(ISNUMBER(SEARCH(" "&amp;Task!$A$10&amp;" "," "&amp;LOWER(SUBSTITUTE(SUBSTITUTE(SUBSTITUTE(SUBSTITUTE(A65,"/"," "),"."," "),"\"," "),"_"," "))&amp;" ")),1,0))+IF(Task!$A$11="",0,IF(ISNUMBER(SEARCH(" "&amp;Task!$A$11&amp;" "," "&amp;LOWER(SUBSTITUTE(SUBSTITUTE(SUBSTITUTE(SUBSTITUTE(A65,"/"," "),"."," "),"\"," "),"_"," "))&amp;" ")),1,0))+IF(Task!$A$12="",0,IF(ISNUMBER(SEARCH(" "&amp;Task!$A$12&amp;" "," "&amp;LOWER(SUBSTITUTE(SUBSTITUTE(SUBSTITUTE(SUBSTITUTE(A65,"/"," "),"."," "),"\"," "),"_"," "))&amp;" ")),1,0))+IF(Task!$A$13="",0,IF(ISNUMBER(SEARCH(" "&amp;Task!$A$13&amp;" "," "&amp;LOWER(SUBSTITUTE(SUBSTITUTE(SUBSTITUTE(SUBSTITUTE(A65,"/"," "),"."," "),"\"," "),"_"," "))&amp;" ")),1,0))+IF(Task!$A$14="",0,IF(ISNUMBER(SEARCH(" "&amp;Task!$A$14&amp;" "," "&amp;LOWER(SUBSTITUTE(SUBSTITUTE(SUBSTITUTE(SUBSTITUTE(A65,"/"," "),"."," "),"\"," "),"_"," "))&amp;" ")),1,0))+IF(Task!$A$15="",0,IF(ISNUMBER(SEARCH(" "&amp;Task!$A$15&amp;" "," "&amp;LOWER(SUBSTITUTE(SUBSTITUTE(SUBSTITUTE(SUBSTITUTE(A65,"/"," "),"."," "),"\"," "),"_"," "))&amp;" ")),1,0))+IF(Task!$A$16="",0,IF(ISNUMBER(SEARCH(" "&amp;Task!$A$16&amp;" "," "&amp;LOWER(SUBSTITUTE(SUBSTITUTE(SUBSTITUTE(SUBSTITUTE(A65,"/"," "),"."," "),"\"," "),"_"," "))&amp;" ")),1,0))+IF(Task!$A$17="",0,IF(ISNUMBER(SEARCH(" "&amp;Task!$A$17&amp;" "," "&amp;LOWER(SUBSTITUTE(SUBSTITUTE(SUBSTITUTE(SUBSTITUTE(A65,"/"," "),"."," "),"\"," "),"_"," "))&amp;" ")),1,0))+IF(Task!$A$18="",0,IF(ISNUMBER(SEARCH(" "&amp;Task!$A$18&amp;" "," "&amp;LOWER(SUBSTITUTE(SUBSTITUTE(SUBSTITUTE(SUBSTITUTE(A65,"/"," "),"."," "),"\"," "),"_"," "))&amp;" ")),1,0))+IF(Task!$A$19="",0,IF(ISNUMBER(SEARCH(" "&amp;Task!$A$19&amp;" "," "&amp;LOWER(SUBSTITUTE(SUBSTITUTE(SUBSTITUTE(SUBSTITUTE(A65,"/"," "),"."," "),"\"," "),"_"," "))&amp;" ")),1,0)))</f>
        <v/>
      </c>
      <c r="I65" s="10">
        <f>IF(OR(E65=0,F65=0,Task!$B$21=0),"",F65/Task!$B$21+0.5*G65+0.25*H65)</f>
        <v/>
      </c>
      <c r="J65" s="5">
        <f>IF(I65="","",I65-ROW()/1000000)</f>
        <v/>
      </c>
      <c r="K65" s="9">
        <f>IF(J65="","",COUNTIF($J$5:$J$404,"&gt;"&amp;J65)+1)</f>
        <v/>
      </c>
    </row>
    <row r="66">
      <c r="A66" s="7" t="n"/>
      <c r="B66" s="7" t="n"/>
      <c r="C66" s="7" t="n"/>
      <c r="D66" s="7" t="n"/>
      <c r="E66" s="5">
        <f>IF(A66="",0,IF(COUNTA(Task!$B$5:$E$5)=0,1,IF(COUNTIF(Task!$B$5:$E$5,B66)&gt;0,1,0)))</f>
        <v/>
      </c>
      <c r="F66" s="9">
        <f>IF(E66=0,0,IF(Task!$A$8="",0,IF(ISNUMBER(SEARCH(" "&amp;Task!$A$8&amp;" "," "&amp;LOWER(D66&amp;" "&amp;C66&amp;" "&amp;LOWER(SUBSTITUTE(SUBSTITUTE(SUBSTITUTE(SUBSTITUTE(A66,"/"," "),"."," "),"\"," "),"_"," ")))&amp;" ")),1,0))+IF(Task!$A$9="",0,IF(ISNUMBER(SEARCH(" "&amp;Task!$A$9&amp;" "," "&amp;LOWER(D66&amp;" "&amp;C66&amp;" "&amp;LOWER(SUBSTITUTE(SUBSTITUTE(SUBSTITUTE(SUBSTITUTE(A66,"/"," "),"."," "),"\"," "),"_"," ")))&amp;" ")),1,0))+IF(Task!$A$10="",0,IF(ISNUMBER(SEARCH(" "&amp;Task!$A$10&amp;" "," "&amp;LOWER(D66&amp;" "&amp;C66&amp;" "&amp;LOWER(SUBSTITUTE(SUBSTITUTE(SUBSTITUTE(SUBSTITUTE(A66,"/"," "),"."," "),"\"," "),"_"," ")))&amp;" ")),1,0))+IF(Task!$A$11="",0,IF(ISNUMBER(SEARCH(" "&amp;Task!$A$11&amp;" "," "&amp;LOWER(D66&amp;" "&amp;C66&amp;" "&amp;LOWER(SUBSTITUTE(SUBSTITUTE(SUBSTITUTE(SUBSTITUTE(A66,"/"," "),"."," "),"\"," "),"_"," ")))&amp;" ")),1,0))+IF(Task!$A$12="",0,IF(ISNUMBER(SEARCH(" "&amp;Task!$A$12&amp;" "," "&amp;LOWER(D66&amp;" "&amp;C66&amp;" "&amp;LOWER(SUBSTITUTE(SUBSTITUTE(SUBSTITUTE(SUBSTITUTE(A66,"/"," "),"."," "),"\"," "),"_"," ")))&amp;" ")),1,0))+IF(Task!$A$13="",0,IF(ISNUMBER(SEARCH(" "&amp;Task!$A$13&amp;" "," "&amp;LOWER(D66&amp;" "&amp;C66&amp;" "&amp;LOWER(SUBSTITUTE(SUBSTITUTE(SUBSTITUTE(SUBSTITUTE(A66,"/"," "),"."," "),"\"," "),"_"," ")))&amp;" ")),1,0))+IF(Task!$A$14="",0,IF(ISNUMBER(SEARCH(" "&amp;Task!$A$14&amp;" "," "&amp;LOWER(D66&amp;" "&amp;C66&amp;" "&amp;LOWER(SUBSTITUTE(SUBSTITUTE(SUBSTITUTE(SUBSTITUTE(A66,"/"," "),"."," "),"\"," "),"_"," ")))&amp;" ")),1,0))+IF(Task!$A$15="",0,IF(ISNUMBER(SEARCH(" "&amp;Task!$A$15&amp;" "," "&amp;LOWER(D66&amp;" "&amp;C66&amp;" "&amp;LOWER(SUBSTITUTE(SUBSTITUTE(SUBSTITUTE(SUBSTITUTE(A66,"/"," "),"."," "),"\"," "),"_"," ")))&amp;" ")),1,0))+IF(Task!$A$16="",0,IF(ISNUMBER(SEARCH(" "&amp;Task!$A$16&amp;" "," "&amp;LOWER(D66&amp;" "&amp;C66&amp;" "&amp;LOWER(SUBSTITUTE(SUBSTITUTE(SUBSTITUTE(SUBSTITUTE(A66,"/"," "),"."," "),"\"," "),"_"," ")))&amp;" ")),1,0))+IF(Task!$A$17="",0,IF(ISNUMBER(SEARCH(" "&amp;Task!$A$17&amp;" "," "&amp;LOWER(D66&amp;" "&amp;C66&amp;" "&amp;LOWER(SUBSTITUTE(SUBSTITUTE(SUBSTITUTE(SUBSTITUTE(A66,"/"," "),"."," "),"\"," "),"_"," ")))&amp;" ")),1,0))+IF(Task!$A$18="",0,IF(ISNUMBER(SEARCH(" "&amp;Task!$A$18&amp;" "," "&amp;LOWER(D66&amp;" "&amp;C66&amp;" "&amp;LOWER(SUBSTITUTE(SUBSTITUTE(SUBSTITUTE(SUBSTITUTE(A66,"/"," "),"."," "),"\"," "),"_"," ")))&amp;" ")),1,0))+IF(Task!$A$19="",0,IF(ISNUMBER(SEARCH(" "&amp;Task!$A$19&amp;" "," "&amp;LOWER(D66&amp;" "&amp;C66&amp;" "&amp;LOWER(SUBSTITUTE(SUBSTITUTE(SUBSTITUTE(SUBSTITUTE(A66,"/"," "),"."," "),"\"," "),"_"," ")))&amp;" ")),1,0)))</f>
        <v/>
      </c>
      <c r="G66" s="9">
        <f>IF(E66=0,0,IF(Task!$A$8="",0,IF(ISNUMBER(SEARCH(" "&amp;Task!$A$8&amp;" "," "&amp;LOWER(C66)&amp;" ")),1,0))+IF(Task!$A$9="",0,IF(ISNUMBER(SEARCH(" "&amp;Task!$A$9&amp;" "," "&amp;LOWER(C66)&amp;" ")),1,0))+IF(Task!$A$10="",0,IF(ISNUMBER(SEARCH(" "&amp;Task!$A$10&amp;" "," "&amp;LOWER(C66)&amp;" ")),1,0))+IF(Task!$A$11="",0,IF(ISNUMBER(SEARCH(" "&amp;Task!$A$11&amp;" "," "&amp;LOWER(C66)&amp;" ")),1,0))+IF(Task!$A$12="",0,IF(ISNUMBER(SEARCH(" "&amp;Task!$A$12&amp;" "," "&amp;LOWER(C66)&amp;" ")),1,0))+IF(Task!$A$13="",0,IF(ISNUMBER(SEARCH(" "&amp;Task!$A$13&amp;" "," "&amp;LOWER(C66)&amp;" ")),1,0))+IF(Task!$A$14="",0,IF(ISNUMBER(SEARCH(" "&amp;Task!$A$14&amp;" "," "&amp;LOWER(C66)&amp;" ")),1,0))+IF(Task!$A$15="",0,IF(ISNUMBER(SEARCH(" "&amp;Task!$A$15&amp;" "," "&amp;LOWER(C66)&amp;" ")),1,0))+IF(Task!$A$16="",0,IF(ISNUMBER(SEARCH(" "&amp;Task!$A$16&amp;" "," "&amp;LOWER(C66)&amp;" ")),1,0))+IF(Task!$A$17="",0,IF(ISNUMBER(SEARCH(" "&amp;Task!$A$17&amp;" "," "&amp;LOWER(C66)&amp;" ")),1,0))+IF(Task!$A$18="",0,IF(ISNUMBER(SEARCH(" "&amp;Task!$A$18&amp;" "," "&amp;LOWER(C66)&amp;" ")),1,0))+IF(Task!$A$19="",0,IF(ISNUMBER(SEARCH(" "&amp;Task!$A$19&amp;" "," "&amp;LOWER(C66)&amp;" ")),1,0)))</f>
        <v/>
      </c>
      <c r="H66" s="9">
        <f>IF(E66=0,0,IF(Task!$A$8="",0,IF(ISNUMBER(SEARCH(" "&amp;Task!$A$8&amp;" "," "&amp;LOWER(SUBSTITUTE(SUBSTITUTE(SUBSTITUTE(SUBSTITUTE(A66,"/"," "),"."," "),"\"," "),"_"," "))&amp;" ")),1,0))+IF(Task!$A$9="",0,IF(ISNUMBER(SEARCH(" "&amp;Task!$A$9&amp;" "," "&amp;LOWER(SUBSTITUTE(SUBSTITUTE(SUBSTITUTE(SUBSTITUTE(A66,"/"," "),"."," "),"\"," "),"_"," "))&amp;" ")),1,0))+IF(Task!$A$10="",0,IF(ISNUMBER(SEARCH(" "&amp;Task!$A$10&amp;" "," "&amp;LOWER(SUBSTITUTE(SUBSTITUTE(SUBSTITUTE(SUBSTITUTE(A66,"/"," "),"."," "),"\"," "),"_"," "))&amp;" ")),1,0))+IF(Task!$A$11="",0,IF(ISNUMBER(SEARCH(" "&amp;Task!$A$11&amp;" "," "&amp;LOWER(SUBSTITUTE(SUBSTITUTE(SUBSTITUTE(SUBSTITUTE(A66,"/"," "),"."," "),"\"," "),"_"," "))&amp;" ")),1,0))+IF(Task!$A$12="",0,IF(ISNUMBER(SEARCH(" "&amp;Task!$A$12&amp;" "," "&amp;LOWER(SUBSTITUTE(SUBSTITUTE(SUBSTITUTE(SUBSTITUTE(A66,"/"," "),"."," "),"\"," "),"_"," "))&amp;" ")),1,0))+IF(Task!$A$13="",0,IF(ISNUMBER(SEARCH(" "&amp;Task!$A$13&amp;" "," "&amp;LOWER(SUBSTITUTE(SUBSTITUTE(SUBSTITUTE(SUBSTITUTE(A66,"/"," "),"."," "),"\"," "),"_"," "))&amp;" ")),1,0))+IF(Task!$A$14="",0,IF(ISNUMBER(SEARCH(" "&amp;Task!$A$14&amp;" "," "&amp;LOWER(SUBSTITUTE(SUBSTITUTE(SUBSTITUTE(SUBSTITUTE(A66,"/"," "),"."," "),"\"," "),"_"," "))&amp;" ")),1,0))+IF(Task!$A$15="",0,IF(ISNUMBER(SEARCH(" "&amp;Task!$A$15&amp;" "," "&amp;LOWER(SUBSTITUTE(SUBSTITUTE(SUBSTITUTE(SUBSTITUTE(A66,"/"," "),"."," "),"\"," "),"_"," "))&amp;" ")),1,0))+IF(Task!$A$16="",0,IF(ISNUMBER(SEARCH(" "&amp;Task!$A$16&amp;" "," "&amp;LOWER(SUBSTITUTE(SUBSTITUTE(SUBSTITUTE(SUBSTITUTE(A66,"/"," "),"."," "),"\"," "),"_"," "))&amp;" ")),1,0))+IF(Task!$A$17="",0,IF(ISNUMBER(SEARCH(" "&amp;Task!$A$17&amp;" "," "&amp;LOWER(SUBSTITUTE(SUBSTITUTE(SUBSTITUTE(SUBSTITUTE(A66,"/"," "),"."," "),"\"," "),"_"," "))&amp;" ")),1,0))+IF(Task!$A$18="",0,IF(ISNUMBER(SEARCH(" "&amp;Task!$A$18&amp;" "," "&amp;LOWER(SUBSTITUTE(SUBSTITUTE(SUBSTITUTE(SUBSTITUTE(A66,"/"," "),"."," "),"\"," "),"_"," "))&amp;" ")),1,0))+IF(Task!$A$19="",0,IF(ISNUMBER(SEARCH(" "&amp;Task!$A$19&amp;" "," "&amp;LOWER(SUBSTITUTE(SUBSTITUTE(SUBSTITUTE(SUBSTITUTE(A66,"/"," "),"."," "),"\"," "),"_"," "))&amp;" ")),1,0)))</f>
        <v/>
      </c>
      <c r="I66" s="10">
        <f>IF(OR(E66=0,F66=0,Task!$B$21=0),"",F66/Task!$B$21+0.5*G66+0.25*H66)</f>
        <v/>
      </c>
      <c r="J66" s="5">
        <f>IF(I66="","",I66-ROW()/1000000)</f>
        <v/>
      </c>
      <c r="K66" s="9">
        <f>IF(J66="","",COUNTIF($J$5:$J$404,"&gt;"&amp;J66)+1)</f>
        <v/>
      </c>
    </row>
    <row r="67">
      <c r="A67" s="7" t="n"/>
      <c r="B67" s="7" t="n"/>
      <c r="C67" s="7" t="n"/>
      <c r="D67" s="7" t="n"/>
      <c r="E67" s="5">
        <f>IF(A67="",0,IF(COUNTA(Task!$B$5:$E$5)=0,1,IF(COUNTIF(Task!$B$5:$E$5,B67)&gt;0,1,0)))</f>
        <v/>
      </c>
      <c r="F67" s="9">
        <f>IF(E67=0,0,IF(Task!$A$8="",0,IF(ISNUMBER(SEARCH(" "&amp;Task!$A$8&amp;" "," "&amp;LOWER(D67&amp;" "&amp;C67&amp;" "&amp;LOWER(SUBSTITUTE(SUBSTITUTE(SUBSTITUTE(SUBSTITUTE(A67,"/"," "),"."," "),"\"," "),"_"," ")))&amp;" ")),1,0))+IF(Task!$A$9="",0,IF(ISNUMBER(SEARCH(" "&amp;Task!$A$9&amp;" "," "&amp;LOWER(D67&amp;" "&amp;C67&amp;" "&amp;LOWER(SUBSTITUTE(SUBSTITUTE(SUBSTITUTE(SUBSTITUTE(A67,"/"," "),"."," "),"\"," "),"_"," ")))&amp;" ")),1,0))+IF(Task!$A$10="",0,IF(ISNUMBER(SEARCH(" "&amp;Task!$A$10&amp;" "," "&amp;LOWER(D67&amp;" "&amp;C67&amp;" "&amp;LOWER(SUBSTITUTE(SUBSTITUTE(SUBSTITUTE(SUBSTITUTE(A67,"/"," "),"."," "),"\"," "),"_"," ")))&amp;" ")),1,0))+IF(Task!$A$11="",0,IF(ISNUMBER(SEARCH(" "&amp;Task!$A$11&amp;" "," "&amp;LOWER(D67&amp;" "&amp;C67&amp;" "&amp;LOWER(SUBSTITUTE(SUBSTITUTE(SUBSTITUTE(SUBSTITUTE(A67,"/"," "),"."," "),"\"," "),"_"," ")))&amp;" ")),1,0))+IF(Task!$A$12="",0,IF(ISNUMBER(SEARCH(" "&amp;Task!$A$12&amp;" "," "&amp;LOWER(D67&amp;" "&amp;C67&amp;" "&amp;LOWER(SUBSTITUTE(SUBSTITUTE(SUBSTITUTE(SUBSTITUTE(A67,"/"," "),"."," "),"\"," "),"_"," ")))&amp;" ")),1,0))+IF(Task!$A$13="",0,IF(ISNUMBER(SEARCH(" "&amp;Task!$A$13&amp;" "," "&amp;LOWER(D67&amp;" "&amp;C67&amp;" "&amp;LOWER(SUBSTITUTE(SUBSTITUTE(SUBSTITUTE(SUBSTITUTE(A67,"/"," "),"."," "),"\"," "),"_"," ")))&amp;" ")),1,0))+IF(Task!$A$14="",0,IF(ISNUMBER(SEARCH(" "&amp;Task!$A$14&amp;" "," "&amp;LOWER(D67&amp;" "&amp;C67&amp;" "&amp;LOWER(SUBSTITUTE(SUBSTITUTE(SUBSTITUTE(SUBSTITUTE(A67,"/"," "),"."," "),"\"," "),"_"," ")))&amp;" ")),1,0))+IF(Task!$A$15="",0,IF(ISNUMBER(SEARCH(" "&amp;Task!$A$15&amp;" "," "&amp;LOWER(D67&amp;" "&amp;C67&amp;" "&amp;LOWER(SUBSTITUTE(SUBSTITUTE(SUBSTITUTE(SUBSTITUTE(A67,"/"," "),"."," "),"\"," "),"_"," ")))&amp;" ")),1,0))+IF(Task!$A$16="",0,IF(ISNUMBER(SEARCH(" "&amp;Task!$A$16&amp;" "," "&amp;LOWER(D67&amp;" "&amp;C67&amp;" "&amp;LOWER(SUBSTITUTE(SUBSTITUTE(SUBSTITUTE(SUBSTITUTE(A67,"/"," "),"."," "),"\"," "),"_"," ")))&amp;" ")),1,0))+IF(Task!$A$17="",0,IF(ISNUMBER(SEARCH(" "&amp;Task!$A$17&amp;" "," "&amp;LOWER(D67&amp;" "&amp;C67&amp;" "&amp;LOWER(SUBSTITUTE(SUBSTITUTE(SUBSTITUTE(SUBSTITUTE(A67,"/"," "),"."," "),"\"," "),"_"," ")))&amp;" ")),1,0))+IF(Task!$A$18="",0,IF(ISNUMBER(SEARCH(" "&amp;Task!$A$18&amp;" "," "&amp;LOWER(D67&amp;" "&amp;C67&amp;" "&amp;LOWER(SUBSTITUTE(SUBSTITUTE(SUBSTITUTE(SUBSTITUTE(A67,"/"," "),"."," "),"\"," "),"_"," ")))&amp;" ")),1,0))+IF(Task!$A$19="",0,IF(ISNUMBER(SEARCH(" "&amp;Task!$A$19&amp;" "," "&amp;LOWER(D67&amp;" "&amp;C67&amp;" "&amp;LOWER(SUBSTITUTE(SUBSTITUTE(SUBSTITUTE(SUBSTITUTE(A67,"/"," "),"."," "),"\"," "),"_"," ")))&amp;" ")),1,0)))</f>
        <v/>
      </c>
      <c r="G67" s="9">
        <f>IF(E67=0,0,IF(Task!$A$8="",0,IF(ISNUMBER(SEARCH(" "&amp;Task!$A$8&amp;" "," "&amp;LOWER(C67)&amp;" ")),1,0))+IF(Task!$A$9="",0,IF(ISNUMBER(SEARCH(" "&amp;Task!$A$9&amp;" "," "&amp;LOWER(C67)&amp;" ")),1,0))+IF(Task!$A$10="",0,IF(ISNUMBER(SEARCH(" "&amp;Task!$A$10&amp;" "," "&amp;LOWER(C67)&amp;" ")),1,0))+IF(Task!$A$11="",0,IF(ISNUMBER(SEARCH(" "&amp;Task!$A$11&amp;" "," "&amp;LOWER(C67)&amp;" ")),1,0))+IF(Task!$A$12="",0,IF(ISNUMBER(SEARCH(" "&amp;Task!$A$12&amp;" "," "&amp;LOWER(C67)&amp;" ")),1,0))+IF(Task!$A$13="",0,IF(ISNUMBER(SEARCH(" "&amp;Task!$A$13&amp;" "," "&amp;LOWER(C67)&amp;" ")),1,0))+IF(Task!$A$14="",0,IF(ISNUMBER(SEARCH(" "&amp;Task!$A$14&amp;" "," "&amp;LOWER(C67)&amp;" ")),1,0))+IF(Task!$A$15="",0,IF(ISNUMBER(SEARCH(" "&amp;Task!$A$15&amp;" "," "&amp;LOWER(C67)&amp;" ")),1,0))+IF(Task!$A$16="",0,IF(ISNUMBER(SEARCH(" "&amp;Task!$A$16&amp;" "," "&amp;LOWER(C67)&amp;" ")),1,0))+IF(Task!$A$17="",0,IF(ISNUMBER(SEARCH(" "&amp;Task!$A$17&amp;" "," "&amp;LOWER(C67)&amp;" ")),1,0))+IF(Task!$A$18="",0,IF(ISNUMBER(SEARCH(" "&amp;Task!$A$18&amp;" "," "&amp;LOWER(C67)&amp;" ")),1,0))+IF(Task!$A$19="",0,IF(ISNUMBER(SEARCH(" "&amp;Task!$A$19&amp;" "," "&amp;LOWER(C67)&amp;" ")),1,0)))</f>
        <v/>
      </c>
      <c r="H67" s="9">
        <f>IF(E67=0,0,IF(Task!$A$8="",0,IF(ISNUMBER(SEARCH(" "&amp;Task!$A$8&amp;" "," "&amp;LOWER(SUBSTITUTE(SUBSTITUTE(SUBSTITUTE(SUBSTITUTE(A67,"/"," "),"."," "),"\"," "),"_"," "))&amp;" ")),1,0))+IF(Task!$A$9="",0,IF(ISNUMBER(SEARCH(" "&amp;Task!$A$9&amp;" "," "&amp;LOWER(SUBSTITUTE(SUBSTITUTE(SUBSTITUTE(SUBSTITUTE(A67,"/"," "),"."," "),"\"," "),"_"," "))&amp;" ")),1,0))+IF(Task!$A$10="",0,IF(ISNUMBER(SEARCH(" "&amp;Task!$A$10&amp;" "," "&amp;LOWER(SUBSTITUTE(SUBSTITUTE(SUBSTITUTE(SUBSTITUTE(A67,"/"," "),"."," "),"\"," "),"_"," "))&amp;" ")),1,0))+IF(Task!$A$11="",0,IF(ISNUMBER(SEARCH(" "&amp;Task!$A$11&amp;" "," "&amp;LOWER(SUBSTITUTE(SUBSTITUTE(SUBSTITUTE(SUBSTITUTE(A67,"/"," "),"."," "),"\"," "),"_"," "))&amp;" ")),1,0))+IF(Task!$A$12="",0,IF(ISNUMBER(SEARCH(" "&amp;Task!$A$12&amp;" "," "&amp;LOWER(SUBSTITUTE(SUBSTITUTE(SUBSTITUTE(SUBSTITUTE(A67,"/"," "),"."," "),"\"," "),"_"," "))&amp;" ")),1,0))+IF(Task!$A$13="",0,IF(ISNUMBER(SEARCH(" "&amp;Task!$A$13&amp;" "," "&amp;LOWER(SUBSTITUTE(SUBSTITUTE(SUBSTITUTE(SUBSTITUTE(A67,"/"," "),"."," "),"\"," "),"_"," "))&amp;" ")),1,0))+IF(Task!$A$14="",0,IF(ISNUMBER(SEARCH(" "&amp;Task!$A$14&amp;" "," "&amp;LOWER(SUBSTITUTE(SUBSTITUTE(SUBSTITUTE(SUBSTITUTE(A67,"/"," "),"."," "),"\"," "),"_"," "))&amp;" ")),1,0))+IF(Task!$A$15="",0,IF(ISNUMBER(SEARCH(" "&amp;Task!$A$15&amp;" "," "&amp;LOWER(SUBSTITUTE(SUBSTITUTE(SUBSTITUTE(SUBSTITUTE(A67,"/"," "),"."," "),"\"," "),"_"," "))&amp;" ")),1,0))+IF(Task!$A$16="",0,IF(ISNUMBER(SEARCH(" "&amp;Task!$A$16&amp;" "," "&amp;LOWER(SUBSTITUTE(SUBSTITUTE(SUBSTITUTE(SUBSTITUTE(A67,"/"," "),"."," "),"\"," "),"_"," "))&amp;" ")),1,0))+IF(Task!$A$17="",0,IF(ISNUMBER(SEARCH(" "&amp;Task!$A$17&amp;" "," "&amp;LOWER(SUBSTITUTE(SUBSTITUTE(SUBSTITUTE(SUBSTITUTE(A67,"/"," "),"."," "),"\"," "),"_"," "))&amp;" ")),1,0))+IF(Task!$A$18="",0,IF(ISNUMBER(SEARCH(" "&amp;Task!$A$18&amp;" "," "&amp;LOWER(SUBSTITUTE(SUBSTITUTE(SUBSTITUTE(SUBSTITUTE(A67,"/"," "),"."," "),"\"," "),"_"," "))&amp;" ")),1,0))+IF(Task!$A$19="",0,IF(ISNUMBER(SEARCH(" "&amp;Task!$A$19&amp;" "," "&amp;LOWER(SUBSTITUTE(SUBSTITUTE(SUBSTITUTE(SUBSTITUTE(A67,"/"," "),"."," "),"\"," "),"_"," "))&amp;" ")),1,0)))</f>
        <v/>
      </c>
      <c r="I67" s="10">
        <f>IF(OR(E67=0,F67=0,Task!$B$21=0),"",F67/Task!$B$21+0.5*G67+0.25*H67)</f>
        <v/>
      </c>
      <c r="J67" s="5">
        <f>IF(I67="","",I67-ROW()/1000000)</f>
        <v/>
      </c>
      <c r="K67" s="9">
        <f>IF(J67="","",COUNTIF($J$5:$J$404,"&gt;"&amp;J67)+1)</f>
        <v/>
      </c>
    </row>
    <row r="68">
      <c r="A68" s="7" t="n"/>
      <c r="B68" s="7" t="n"/>
      <c r="C68" s="7" t="n"/>
      <c r="D68" s="7" t="n"/>
      <c r="E68" s="5">
        <f>IF(A68="",0,IF(COUNTA(Task!$B$5:$E$5)=0,1,IF(COUNTIF(Task!$B$5:$E$5,B68)&gt;0,1,0)))</f>
        <v/>
      </c>
      <c r="F68" s="9">
        <f>IF(E68=0,0,IF(Task!$A$8="",0,IF(ISNUMBER(SEARCH(" "&amp;Task!$A$8&amp;" "," "&amp;LOWER(D68&amp;" "&amp;C68&amp;" "&amp;LOWER(SUBSTITUTE(SUBSTITUTE(SUBSTITUTE(SUBSTITUTE(A68,"/"," "),"."," "),"\"," "),"_"," ")))&amp;" ")),1,0))+IF(Task!$A$9="",0,IF(ISNUMBER(SEARCH(" "&amp;Task!$A$9&amp;" "," "&amp;LOWER(D68&amp;" "&amp;C68&amp;" "&amp;LOWER(SUBSTITUTE(SUBSTITUTE(SUBSTITUTE(SUBSTITUTE(A68,"/"," "),"."," "),"\"," "),"_"," ")))&amp;" ")),1,0))+IF(Task!$A$10="",0,IF(ISNUMBER(SEARCH(" "&amp;Task!$A$10&amp;" "," "&amp;LOWER(D68&amp;" "&amp;C68&amp;" "&amp;LOWER(SUBSTITUTE(SUBSTITUTE(SUBSTITUTE(SUBSTITUTE(A68,"/"," "),"."," "),"\"," "),"_"," ")))&amp;" ")),1,0))+IF(Task!$A$11="",0,IF(ISNUMBER(SEARCH(" "&amp;Task!$A$11&amp;" "," "&amp;LOWER(D68&amp;" "&amp;C68&amp;" "&amp;LOWER(SUBSTITUTE(SUBSTITUTE(SUBSTITUTE(SUBSTITUTE(A68,"/"," "),"."," "),"\"," "),"_"," ")))&amp;" ")),1,0))+IF(Task!$A$12="",0,IF(ISNUMBER(SEARCH(" "&amp;Task!$A$12&amp;" "," "&amp;LOWER(D68&amp;" "&amp;C68&amp;" "&amp;LOWER(SUBSTITUTE(SUBSTITUTE(SUBSTITUTE(SUBSTITUTE(A68,"/"," "),"."," "),"\"," "),"_"," ")))&amp;" ")),1,0))+IF(Task!$A$13="",0,IF(ISNUMBER(SEARCH(" "&amp;Task!$A$13&amp;" "," "&amp;LOWER(D68&amp;" "&amp;C68&amp;" "&amp;LOWER(SUBSTITUTE(SUBSTITUTE(SUBSTITUTE(SUBSTITUTE(A68,"/"," "),"."," "),"\"," "),"_"," ")))&amp;" ")),1,0))+IF(Task!$A$14="",0,IF(ISNUMBER(SEARCH(" "&amp;Task!$A$14&amp;" "," "&amp;LOWER(D68&amp;" "&amp;C68&amp;" "&amp;LOWER(SUBSTITUTE(SUBSTITUTE(SUBSTITUTE(SUBSTITUTE(A68,"/"," "),"."," "),"\"," "),"_"," ")))&amp;" ")),1,0))+IF(Task!$A$15="",0,IF(ISNUMBER(SEARCH(" "&amp;Task!$A$15&amp;" "," "&amp;LOWER(D68&amp;" "&amp;C68&amp;" "&amp;LOWER(SUBSTITUTE(SUBSTITUTE(SUBSTITUTE(SUBSTITUTE(A68,"/"," "),"."," "),"\"," "),"_"," ")))&amp;" ")),1,0))+IF(Task!$A$16="",0,IF(ISNUMBER(SEARCH(" "&amp;Task!$A$16&amp;" "," "&amp;LOWER(D68&amp;" "&amp;C68&amp;" "&amp;LOWER(SUBSTITUTE(SUBSTITUTE(SUBSTITUTE(SUBSTITUTE(A68,"/"," "),"."," "),"\"," "),"_"," ")))&amp;" ")),1,0))+IF(Task!$A$17="",0,IF(ISNUMBER(SEARCH(" "&amp;Task!$A$17&amp;" "," "&amp;LOWER(D68&amp;" "&amp;C68&amp;" "&amp;LOWER(SUBSTITUTE(SUBSTITUTE(SUBSTITUTE(SUBSTITUTE(A68,"/"," "),"."," "),"\"," "),"_"," ")))&amp;" ")),1,0))+IF(Task!$A$18="",0,IF(ISNUMBER(SEARCH(" "&amp;Task!$A$18&amp;" "," "&amp;LOWER(D68&amp;" "&amp;C68&amp;" "&amp;LOWER(SUBSTITUTE(SUBSTITUTE(SUBSTITUTE(SUBSTITUTE(A68,"/"," "),"."," "),"\"," "),"_"," ")))&amp;" ")),1,0))+IF(Task!$A$19="",0,IF(ISNUMBER(SEARCH(" "&amp;Task!$A$19&amp;" "," "&amp;LOWER(D68&amp;" "&amp;C68&amp;" "&amp;LOWER(SUBSTITUTE(SUBSTITUTE(SUBSTITUTE(SUBSTITUTE(A68,"/"," "),"."," "),"\"," "),"_"," ")))&amp;" ")),1,0)))</f>
        <v/>
      </c>
      <c r="G68" s="9">
        <f>IF(E68=0,0,IF(Task!$A$8="",0,IF(ISNUMBER(SEARCH(" "&amp;Task!$A$8&amp;" "," "&amp;LOWER(C68)&amp;" ")),1,0))+IF(Task!$A$9="",0,IF(ISNUMBER(SEARCH(" "&amp;Task!$A$9&amp;" "," "&amp;LOWER(C68)&amp;" ")),1,0))+IF(Task!$A$10="",0,IF(ISNUMBER(SEARCH(" "&amp;Task!$A$10&amp;" "," "&amp;LOWER(C68)&amp;" ")),1,0))+IF(Task!$A$11="",0,IF(ISNUMBER(SEARCH(" "&amp;Task!$A$11&amp;" "," "&amp;LOWER(C68)&amp;" ")),1,0))+IF(Task!$A$12="",0,IF(ISNUMBER(SEARCH(" "&amp;Task!$A$12&amp;" "," "&amp;LOWER(C68)&amp;" ")),1,0))+IF(Task!$A$13="",0,IF(ISNUMBER(SEARCH(" "&amp;Task!$A$13&amp;" "," "&amp;LOWER(C68)&amp;" ")),1,0))+IF(Task!$A$14="",0,IF(ISNUMBER(SEARCH(" "&amp;Task!$A$14&amp;" "," "&amp;LOWER(C68)&amp;" ")),1,0))+IF(Task!$A$15="",0,IF(ISNUMBER(SEARCH(" "&amp;Task!$A$15&amp;" "," "&amp;LOWER(C68)&amp;" ")),1,0))+IF(Task!$A$16="",0,IF(ISNUMBER(SEARCH(" "&amp;Task!$A$16&amp;" "," "&amp;LOWER(C68)&amp;" ")),1,0))+IF(Task!$A$17="",0,IF(ISNUMBER(SEARCH(" "&amp;Task!$A$17&amp;" "," "&amp;LOWER(C68)&amp;" ")),1,0))+IF(Task!$A$18="",0,IF(ISNUMBER(SEARCH(" "&amp;Task!$A$18&amp;" "," "&amp;LOWER(C68)&amp;" ")),1,0))+IF(Task!$A$19="",0,IF(ISNUMBER(SEARCH(" "&amp;Task!$A$19&amp;" "," "&amp;LOWER(C68)&amp;" ")),1,0)))</f>
        <v/>
      </c>
      <c r="H68" s="9">
        <f>IF(E68=0,0,IF(Task!$A$8="",0,IF(ISNUMBER(SEARCH(" "&amp;Task!$A$8&amp;" "," "&amp;LOWER(SUBSTITUTE(SUBSTITUTE(SUBSTITUTE(SUBSTITUTE(A68,"/"," "),"."," "),"\"," "),"_"," "))&amp;" ")),1,0))+IF(Task!$A$9="",0,IF(ISNUMBER(SEARCH(" "&amp;Task!$A$9&amp;" "," "&amp;LOWER(SUBSTITUTE(SUBSTITUTE(SUBSTITUTE(SUBSTITUTE(A68,"/"," "),"."," "),"\"," "),"_"," "))&amp;" ")),1,0))+IF(Task!$A$10="",0,IF(ISNUMBER(SEARCH(" "&amp;Task!$A$10&amp;" "," "&amp;LOWER(SUBSTITUTE(SUBSTITUTE(SUBSTITUTE(SUBSTITUTE(A68,"/"," "),"."," "),"\"," "),"_"," "))&amp;" ")),1,0))+IF(Task!$A$11="",0,IF(ISNUMBER(SEARCH(" "&amp;Task!$A$11&amp;" "," "&amp;LOWER(SUBSTITUTE(SUBSTITUTE(SUBSTITUTE(SUBSTITUTE(A68,"/"," "),"."," "),"\"," "),"_"," "))&amp;" ")),1,0))+IF(Task!$A$12="",0,IF(ISNUMBER(SEARCH(" "&amp;Task!$A$12&amp;" "," "&amp;LOWER(SUBSTITUTE(SUBSTITUTE(SUBSTITUTE(SUBSTITUTE(A68,"/"," "),"."," "),"\"," "),"_"," "))&amp;" ")),1,0))+IF(Task!$A$13="",0,IF(ISNUMBER(SEARCH(" "&amp;Task!$A$13&amp;" "," "&amp;LOWER(SUBSTITUTE(SUBSTITUTE(SUBSTITUTE(SUBSTITUTE(A68,"/"," "),"."," "),"\"," "),"_"," "))&amp;" ")),1,0))+IF(Task!$A$14="",0,IF(ISNUMBER(SEARCH(" "&amp;Task!$A$14&amp;" "," "&amp;LOWER(SUBSTITUTE(SUBSTITUTE(SUBSTITUTE(SUBSTITUTE(A68,"/"," "),"."," "),"\"," "),"_"," "))&amp;" ")),1,0))+IF(Task!$A$15="",0,IF(ISNUMBER(SEARCH(" "&amp;Task!$A$15&amp;" "," "&amp;LOWER(SUBSTITUTE(SUBSTITUTE(SUBSTITUTE(SUBSTITUTE(A68,"/"," "),"."," "),"\"," "),"_"," "))&amp;" ")),1,0))+IF(Task!$A$16="",0,IF(ISNUMBER(SEARCH(" "&amp;Task!$A$16&amp;" "," "&amp;LOWER(SUBSTITUTE(SUBSTITUTE(SUBSTITUTE(SUBSTITUTE(A68,"/"," "),"."," "),"\"," "),"_"," "))&amp;" ")),1,0))+IF(Task!$A$17="",0,IF(ISNUMBER(SEARCH(" "&amp;Task!$A$17&amp;" "," "&amp;LOWER(SUBSTITUTE(SUBSTITUTE(SUBSTITUTE(SUBSTITUTE(A68,"/"," "),"."," "),"\"," "),"_"," "))&amp;" ")),1,0))+IF(Task!$A$18="",0,IF(ISNUMBER(SEARCH(" "&amp;Task!$A$18&amp;" "," "&amp;LOWER(SUBSTITUTE(SUBSTITUTE(SUBSTITUTE(SUBSTITUTE(A68,"/"," "),"."," "),"\"," "),"_"," "))&amp;" ")),1,0))+IF(Task!$A$19="",0,IF(ISNUMBER(SEARCH(" "&amp;Task!$A$19&amp;" "," "&amp;LOWER(SUBSTITUTE(SUBSTITUTE(SUBSTITUTE(SUBSTITUTE(A68,"/"," "),"."," "),"\"," "),"_"," "))&amp;" ")),1,0)))</f>
        <v/>
      </c>
      <c r="I68" s="10">
        <f>IF(OR(E68=0,F68=0,Task!$B$21=0),"",F68/Task!$B$21+0.5*G68+0.25*H68)</f>
        <v/>
      </c>
      <c r="J68" s="5">
        <f>IF(I68="","",I68-ROW()/1000000)</f>
        <v/>
      </c>
      <c r="K68" s="9">
        <f>IF(J68="","",COUNTIF($J$5:$J$404,"&gt;"&amp;J68)+1)</f>
        <v/>
      </c>
    </row>
    <row r="69">
      <c r="A69" s="7" t="n"/>
      <c r="B69" s="7" t="n"/>
      <c r="C69" s="7" t="n"/>
      <c r="D69" s="7" t="n"/>
      <c r="E69" s="5">
        <f>IF(A69="",0,IF(COUNTA(Task!$B$5:$E$5)=0,1,IF(COUNTIF(Task!$B$5:$E$5,B69)&gt;0,1,0)))</f>
        <v/>
      </c>
      <c r="F69" s="9">
        <f>IF(E69=0,0,IF(Task!$A$8="",0,IF(ISNUMBER(SEARCH(" "&amp;Task!$A$8&amp;" "," "&amp;LOWER(D69&amp;" "&amp;C69&amp;" "&amp;LOWER(SUBSTITUTE(SUBSTITUTE(SUBSTITUTE(SUBSTITUTE(A69,"/"," "),"."," "),"\"," "),"_"," ")))&amp;" ")),1,0))+IF(Task!$A$9="",0,IF(ISNUMBER(SEARCH(" "&amp;Task!$A$9&amp;" "," "&amp;LOWER(D69&amp;" "&amp;C69&amp;" "&amp;LOWER(SUBSTITUTE(SUBSTITUTE(SUBSTITUTE(SUBSTITUTE(A69,"/"," "),"."," "),"\"," "),"_"," ")))&amp;" ")),1,0))+IF(Task!$A$10="",0,IF(ISNUMBER(SEARCH(" "&amp;Task!$A$10&amp;" "," "&amp;LOWER(D69&amp;" "&amp;C69&amp;" "&amp;LOWER(SUBSTITUTE(SUBSTITUTE(SUBSTITUTE(SUBSTITUTE(A69,"/"," "),"."," "),"\"," "),"_"," ")))&amp;" ")),1,0))+IF(Task!$A$11="",0,IF(ISNUMBER(SEARCH(" "&amp;Task!$A$11&amp;" "," "&amp;LOWER(D69&amp;" "&amp;C69&amp;" "&amp;LOWER(SUBSTITUTE(SUBSTITUTE(SUBSTITUTE(SUBSTITUTE(A69,"/"," "),"."," "),"\"," "),"_"," ")))&amp;" ")),1,0))+IF(Task!$A$12="",0,IF(ISNUMBER(SEARCH(" "&amp;Task!$A$12&amp;" "," "&amp;LOWER(D69&amp;" "&amp;C69&amp;" "&amp;LOWER(SUBSTITUTE(SUBSTITUTE(SUBSTITUTE(SUBSTITUTE(A69,"/"," "),"."," "),"\"," "),"_"," ")))&amp;" ")),1,0))+IF(Task!$A$13="",0,IF(ISNUMBER(SEARCH(" "&amp;Task!$A$13&amp;" "," "&amp;LOWER(D69&amp;" "&amp;C69&amp;" "&amp;LOWER(SUBSTITUTE(SUBSTITUTE(SUBSTITUTE(SUBSTITUTE(A69,"/"," "),"."," "),"\"," "),"_"," ")))&amp;" ")),1,0))+IF(Task!$A$14="",0,IF(ISNUMBER(SEARCH(" "&amp;Task!$A$14&amp;" "," "&amp;LOWER(D69&amp;" "&amp;C69&amp;" "&amp;LOWER(SUBSTITUTE(SUBSTITUTE(SUBSTITUTE(SUBSTITUTE(A69,"/"," "),"."," "),"\"," "),"_"," ")))&amp;" ")),1,0))+IF(Task!$A$15="",0,IF(ISNUMBER(SEARCH(" "&amp;Task!$A$15&amp;" "," "&amp;LOWER(D69&amp;" "&amp;C69&amp;" "&amp;LOWER(SUBSTITUTE(SUBSTITUTE(SUBSTITUTE(SUBSTITUTE(A69,"/"," "),"."," "),"\"," "),"_"," ")))&amp;" ")),1,0))+IF(Task!$A$16="",0,IF(ISNUMBER(SEARCH(" "&amp;Task!$A$16&amp;" "," "&amp;LOWER(D69&amp;" "&amp;C69&amp;" "&amp;LOWER(SUBSTITUTE(SUBSTITUTE(SUBSTITUTE(SUBSTITUTE(A69,"/"," "),"."," "),"\"," "),"_"," ")))&amp;" ")),1,0))+IF(Task!$A$17="",0,IF(ISNUMBER(SEARCH(" "&amp;Task!$A$17&amp;" "," "&amp;LOWER(D69&amp;" "&amp;C69&amp;" "&amp;LOWER(SUBSTITUTE(SUBSTITUTE(SUBSTITUTE(SUBSTITUTE(A69,"/"," "),"."," "),"\"," "),"_"," ")))&amp;" ")),1,0))+IF(Task!$A$18="",0,IF(ISNUMBER(SEARCH(" "&amp;Task!$A$18&amp;" "," "&amp;LOWER(D69&amp;" "&amp;C69&amp;" "&amp;LOWER(SUBSTITUTE(SUBSTITUTE(SUBSTITUTE(SUBSTITUTE(A69,"/"," "),"."," "),"\"," "),"_"," ")))&amp;" ")),1,0))+IF(Task!$A$19="",0,IF(ISNUMBER(SEARCH(" "&amp;Task!$A$19&amp;" "," "&amp;LOWER(D69&amp;" "&amp;C69&amp;" "&amp;LOWER(SUBSTITUTE(SUBSTITUTE(SUBSTITUTE(SUBSTITUTE(A69,"/"," "),"."," "),"\"," "),"_"," ")))&amp;" ")),1,0)))</f>
        <v/>
      </c>
      <c r="G69" s="9">
        <f>IF(E69=0,0,IF(Task!$A$8="",0,IF(ISNUMBER(SEARCH(" "&amp;Task!$A$8&amp;" "," "&amp;LOWER(C69)&amp;" ")),1,0))+IF(Task!$A$9="",0,IF(ISNUMBER(SEARCH(" "&amp;Task!$A$9&amp;" "," "&amp;LOWER(C69)&amp;" ")),1,0))+IF(Task!$A$10="",0,IF(ISNUMBER(SEARCH(" "&amp;Task!$A$10&amp;" "," "&amp;LOWER(C69)&amp;" ")),1,0))+IF(Task!$A$11="",0,IF(ISNUMBER(SEARCH(" "&amp;Task!$A$11&amp;" "," "&amp;LOWER(C69)&amp;" ")),1,0))+IF(Task!$A$12="",0,IF(ISNUMBER(SEARCH(" "&amp;Task!$A$12&amp;" "," "&amp;LOWER(C69)&amp;" ")),1,0))+IF(Task!$A$13="",0,IF(ISNUMBER(SEARCH(" "&amp;Task!$A$13&amp;" "," "&amp;LOWER(C69)&amp;" ")),1,0))+IF(Task!$A$14="",0,IF(ISNUMBER(SEARCH(" "&amp;Task!$A$14&amp;" "," "&amp;LOWER(C69)&amp;" ")),1,0))+IF(Task!$A$15="",0,IF(ISNUMBER(SEARCH(" "&amp;Task!$A$15&amp;" "," "&amp;LOWER(C69)&amp;" ")),1,0))+IF(Task!$A$16="",0,IF(ISNUMBER(SEARCH(" "&amp;Task!$A$16&amp;" "," "&amp;LOWER(C69)&amp;" ")),1,0))+IF(Task!$A$17="",0,IF(ISNUMBER(SEARCH(" "&amp;Task!$A$17&amp;" "," "&amp;LOWER(C69)&amp;" ")),1,0))+IF(Task!$A$18="",0,IF(ISNUMBER(SEARCH(" "&amp;Task!$A$18&amp;" "," "&amp;LOWER(C69)&amp;" ")),1,0))+IF(Task!$A$19="",0,IF(ISNUMBER(SEARCH(" "&amp;Task!$A$19&amp;" "," "&amp;LOWER(C69)&amp;" ")),1,0)))</f>
        <v/>
      </c>
      <c r="H69" s="9">
        <f>IF(E69=0,0,IF(Task!$A$8="",0,IF(ISNUMBER(SEARCH(" "&amp;Task!$A$8&amp;" "," "&amp;LOWER(SUBSTITUTE(SUBSTITUTE(SUBSTITUTE(SUBSTITUTE(A69,"/"," "),"."," "),"\"," "),"_"," "))&amp;" ")),1,0))+IF(Task!$A$9="",0,IF(ISNUMBER(SEARCH(" "&amp;Task!$A$9&amp;" "," "&amp;LOWER(SUBSTITUTE(SUBSTITUTE(SUBSTITUTE(SUBSTITUTE(A69,"/"," "),"."," "),"\"," "),"_"," "))&amp;" ")),1,0))+IF(Task!$A$10="",0,IF(ISNUMBER(SEARCH(" "&amp;Task!$A$10&amp;" "," "&amp;LOWER(SUBSTITUTE(SUBSTITUTE(SUBSTITUTE(SUBSTITUTE(A69,"/"," "),"."," "),"\"," "),"_"," "))&amp;" ")),1,0))+IF(Task!$A$11="",0,IF(ISNUMBER(SEARCH(" "&amp;Task!$A$11&amp;" "," "&amp;LOWER(SUBSTITUTE(SUBSTITUTE(SUBSTITUTE(SUBSTITUTE(A69,"/"," "),"."," "),"\"," "),"_"," "))&amp;" ")),1,0))+IF(Task!$A$12="",0,IF(ISNUMBER(SEARCH(" "&amp;Task!$A$12&amp;" "," "&amp;LOWER(SUBSTITUTE(SUBSTITUTE(SUBSTITUTE(SUBSTITUTE(A69,"/"," "),"."," "),"\"," "),"_"," "))&amp;" ")),1,0))+IF(Task!$A$13="",0,IF(ISNUMBER(SEARCH(" "&amp;Task!$A$13&amp;" "," "&amp;LOWER(SUBSTITUTE(SUBSTITUTE(SUBSTITUTE(SUBSTITUTE(A69,"/"," "),"."," "),"\"," "),"_"," "))&amp;" ")),1,0))+IF(Task!$A$14="",0,IF(ISNUMBER(SEARCH(" "&amp;Task!$A$14&amp;" "," "&amp;LOWER(SUBSTITUTE(SUBSTITUTE(SUBSTITUTE(SUBSTITUTE(A69,"/"," "),"."," "),"\"," "),"_"," "))&amp;" ")),1,0))+IF(Task!$A$15="",0,IF(ISNUMBER(SEARCH(" "&amp;Task!$A$15&amp;" "," "&amp;LOWER(SUBSTITUTE(SUBSTITUTE(SUBSTITUTE(SUBSTITUTE(A69,"/"," "),"."," "),"\"," "),"_"," "))&amp;" ")),1,0))+IF(Task!$A$16="",0,IF(ISNUMBER(SEARCH(" "&amp;Task!$A$16&amp;" "," "&amp;LOWER(SUBSTITUTE(SUBSTITUTE(SUBSTITUTE(SUBSTITUTE(A69,"/"," "),"."," "),"\"," "),"_"," "))&amp;" ")),1,0))+IF(Task!$A$17="",0,IF(ISNUMBER(SEARCH(" "&amp;Task!$A$17&amp;" "," "&amp;LOWER(SUBSTITUTE(SUBSTITUTE(SUBSTITUTE(SUBSTITUTE(A69,"/"," "),"."," "),"\"," "),"_"," "))&amp;" ")),1,0))+IF(Task!$A$18="",0,IF(ISNUMBER(SEARCH(" "&amp;Task!$A$18&amp;" "," "&amp;LOWER(SUBSTITUTE(SUBSTITUTE(SUBSTITUTE(SUBSTITUTE(A69,"/"," "),"."," "),"\"," "),"_"," "))&amp;" ")),1,0))+IF(Task!$A$19="",0,IF(ISNUMBER(SEARCH(" "&amp;Task!$A$19&amp;" "," "&amp;LOWER(SUBSTITUTE(SUBSTITUTE(SUBSTITUTE(SUBSTITUTE(A69,"/"," "),"."," "),"\"," "),"_"," "))&amp;" ")),1,0)))</f>
        <v/>
      </c>
      <c r="I69" s="10">
        <f>IF(OR(E69=0,F69=0,Task!$B$21=0),"",F69/Task!$B$21+0.5*G69+0.25*H69)</f>
        <v/>
      </c>
      <c r="J69" s="5">
        <f>IF(I69="","",I69-ROW()/1000000)</f>
        <v/>
      </c>
      <c r="K69" s="9">
        <f>IF(J69="","",COUNTIF($J$5:$J$404,"&gt;"&amp;J69)+1)</f>
        <v/>
      </c>
    </row>
    <row r="70">
      <c r="A70" s="7" t="n"/>
      <c r="B70" s="7" t="n"/>
      <c r="C70" s="7" t="n"/>
      <c r="D70" s="7" t="n"/>
      <c r="E70" s="5">
        <f>IF(A70="",0,IF(COUNTA(Task!$B$5:$E$5)=0,1,IF(COUNTIF(Task!$B$5:$E$5,B70)&gt;0,1,0)))</f>
        <v/>
      </c>
      <c r="F70" s="9">
        <f>IF(E70=0,0,IF(Task!$A$8="",0,IF(ISNUMBER(SEARCH(" "&amp;Task!$A$8&amp;" "," "&amp;LOWER(D70&amp;" "&amp;C70&amp;" "&amp;LOWER(SUBSTITUTE(SUBSTITUTE(SUBSTITUTE(SUBSTITUTE(A70,"/"," "),"."," "),"\"," "),"_"," ")))&amp;" ")),1,0))+IF(Task!$A$9="",0,IF(ISNUMBER(SEARCH(" "&amp;Task!$A$9&amp;" "," "&amp;LOWER(D70&amp;" "&amp;C70&amp;" "&amp;LOWER(SUBSTITUTE(SUBSTITUTE(SUBSTITUTE(SUBSTITUTE(A70,"/"," "),"."," "),"\"," "),"_"," ")))&amp;" ")),1,0))+IF(Task!$A$10="",0,IF(ISNUMBER(SEARCH(" "&amp;Task!$A$10&amp;" "," "&amp;LOWER(D70&amp;" "&amp;C70&amp;" "&amp;LOWER(SUBSTITUTE(SUBSTITUTE(SUBSTITUTE(SUBSTITUTE(A70,"/"," "),"."," "),"\"," "),"_"," ")))&amp;" ")),1,0))+IF(Task!$A$11="",0,IF(ISNUMBER(SEARCH(" "&amp;Task!$A$11&amp;" "," "&amp;LOWER(D70&amp;" "&amp;C70&amp;" "&amp;LOWER(SUBSTITUTE(SUBSTITUTE(SUBSTITUTE(SUBSTITUTE(A70,"/"," "),"."," "),"\"," "),"_"," ")))&amp;" ")),1,0))+IF(Task!$A$12="",0,IF(ISNUMBER(SEARCH(" "&amp;Task!$A$12&amp;" "," "&amp;LOWER(D70&amp;" "&amp;C70&amp;" "&amp;LOWER(SUBSTITUTE(SUBSTITUTE(SUBSTITUTE(SUBSTITUTE(A70,"/"," "),"."," "),"\"," "),"_"," ")))&amp;" ")),1,0))+IF(Task!$A$13="",0,IF(ISNUMBER(SEARCH(" "&amp;Task!$A$13&amp;" "," "&amp;LOWER(D70&amp;" "&amp;C70&amp;" "&amp;LOWER(SUBSTITUTE(SUBSTITUTE(SUBSTITUTE(SUBSTITUTE(A70,"/"," "),"."," "),"\"," "),"_"," ")))&amp;" ")),1,0))+IF(Task!$A$14="",0,IF(ISNUMBER(SEARCH(" "&amp;Task!$A$14&amp;" "," "&amp;LOWER(D70&amp;" "&amp;C70&amp;" "&amp;LOWER(SUBSTITUTE(SUBSTITUTE(SUBSTITUTE(SUBSTITUTE(A70,"/"," "),"."," "),"\"," "),"_"," ")))&amp;" ")),1,0))+IF(Task!$A$15="",0,IF(ISNUMBER(SEARCH(" "&amp;Task!$A$15&amp;" "," "&amp;LOWER(D70&amp;" "&amp;C70&amp;" "&amp;LOWER(SUBSTITUTE(SUBSTITUTE(SUBSTITUTE(SUBSTITUTE(A70,"/"," "),"."," "),"\"," "),"_"," ")))&amp;" ")),1,0))+IF(Task!$A$16="",0,IF(ISNUMBER(SEARCH(" "&amp;Task!$A$16&amp;" "," "&amp;LOWER(D70&amp;" "&amp;C70&amp;" "&amp;LOWER(SUBSTITUTE(SUBSTITUTE(SUBSTITUTE(SUBSTITUTE(A70,"/"," "),"."," "),"\"," "),"_"," ")))&amp;" ")),1,0))+IF(Task!$A$17="",0,IF(ISNUMBER(SEARCH(" "&amp;Task!$A$17&amp;" "," "&amp;LOWER(D70&amp;" "&amp;C70&amp;" "&amp;LOWER(SUBSTITUTE(SUBSTITUTE(SUBSTITUTE(SUBSTITUTE(A70,"/"," "),"."," "),"\"," "),"_"," ")))&amp;" ")),1,0))+IF(Task!$A$18="",0,IF(ISNUMBER(SEARCH(" "&amp;Task!$A$18&amp;" "," "&amp;LOWER(D70&amp;" "&amp;C70&amp;" "&amp;LOWER(SUBSTITUTE(SUBSTITUTE(SUBSTITUTE(SUBSTITUTE(A70,"/"," "),"."," "),"\"," "),"_"," ")))&amp;" ")),1,0))+IF(Task!$A$19="",0,IF(ISNUMBER(SEARCH(" "&amp;Task!$A$19&amp;" "," "&amp;LOWER(D70&amp;" "&amp;C70&amp;" "&amp;LOWER(SUBSTITUTE(SUBSTITUTE(SUBSTITUTE(SUBSTITUTE(A70,"/"," "),"."," "),"\"," "),"_"," ")))&amp;" ")),1,0)))</f>
        <v/>
      </c>
      <c r="G70" s="9">
        <f>IF(E70=0,0,IF(Task!$A$8="",0,IF(ISNUMBER(SEARCH(" "&amp;Task!$A$8&amp;" "," "&amp;LOWER(C70)&amp;" ")),1,0))+IF(Task!$A$9="",0,IF(ISNUMBER(SEARCH(" "&amp;Task!$A$9&amp;" "," "&amp;LOWER(C70)&amp;" ")),1,0))+IF(Task!$A$10="",0,IF(ISNUMBER(SEARCH(" "&amp;Task!$A$10&amp;" "," "&amp;LOWER(C70)&amp;" ")),1,0))+IF(Task!$A$11="",0,IF(ISNUMBER(SEARCH(" "&amp;Task!$A$11&amp;" "," "&amp;LOWER(C70)&amp;" ")),1,0))+IF(Task!$A$12="",0,IF(ISNUMBER(SEARCH(" "&amp;Task!$A$12&amp;" "," "&amp;LOWER(C70)&amp;" ")),1,0))+IF(Task!$A$13="",0,IF(ISNUMBER(SEARCH(" "&amp;Task!$A$13&amp;" "," "&amp;LOWER(C70)&amp;" ")),1,0))+IF(Task!$A$14="",0,IF(ISNUMBER(SEARCH(" "&amp;Task!$A$14&amp;" "," "&amp;LOWER(C70)&amp;" ")),1,0))+IF(Task!$A$15="",0,IF(ISNUMBER(SEARCH(" "&amp;Task!$A$15&amp;" "," "&amp;LOWER(C70)&amp;" ")),1,0))+IF(Task!$A$16="",0,IF(ISNUMBER(SEARCH(" "&amp;Task!$A$16&amp;" "," "&amp;LOWER(C70)&amp;" ")),1,0))+IF(Task!$A$17="",0,IF(ISNUMBER(SEARCH(" "&amp;Task!$A$17&amp;" "," "&amp;LOWER(C70)&amp;" ")),1,0))+IF(Task!$A$18="",0,IF(ISNUMBER(SEARCH(" "&amp;Task!$A$18&amp;" "," "&amp;LOWER(C70)&amp;" ")),1,0))+IF(Task!$A$19="",0,IF(ISNUMBER(SEARCH(" "&amp;Task!$A$19&amp;" "," "&amp;LOWER(C70)&amp;" ")),1,0)))</f>
        <v/>
      </c>
      <c r="H70" s="9">
        <f>IF(E70=0,0,IF(Task!$A$8="",0,IF(ISNUMBER(SEARCH(" "&amp;Task!$A$8&amp;" "," "&amp;LOWER(SUBSTITUTE(SUBSTITUTE(SUBSTITUTE(SUBSTITUTE(A70,"/"," "),"."," "),"\"," "),"_"," "))&amp;" ")),1,0))+IF(Task!$A$9="",0,IF(ISNUMBER(SEARCH(" "&amp;Task!$A$9&amp;" "," "&amp;LOWER(SUBSTITUTE(SUBSTITUTE(SUBSTITUTE(SUBSTITUTE(A70,"/"," "),"."," "),"\"," "),"_"," "))&amp;" ")),1,0))+IF(Task!$A$10="",0,IF(ISNUMBER(SEARCH(" "&amp;Task!$A$10&amp;" "," "&amp;LOWER(SUBSTITUTE(SUBSTITUTE(SUBSTITUTE(SUBSTITUTE(A70,"/"," "),"."," "),"\"," "),"_"," "))&amp;" ")),1,0))+IF(Task!$A$11="",0,IF(ISNUMBER(SEARCH(" "&amp;Task!$A$11&amp;" "," "&amp;LOWER(SUBSTITUTE(SUBSTITUTE(SUBSTITUTE(SUBSTITUTE(A70,"/"," "),"."," "),"\"," "),"_"," "))&amp;" ")),1,0))+IF(Task!$A$12="",0,IF(ISNUMBER(SEARCH(" "&amp;Task!$A$12&amp;" "," "&amp;LOWER(SUBSTITUTE(SUBSTITUTE(SUBSTITUTE(SUBSTITUTE(A70,"/"," "),"."," "),"\"," "),"_"," "))&amp;" ")),1,0))+IF(Task!$A$13="",0,IF(ISNUMBER(SEARCH(" "&amp;Task!$A$13&amp;" "," "&amp;LOWER(SUBSTITUTE(SUBSTITUTE(SUBSTITUTE(SUBSTITUTE(A70,"/"," "),"."," "),"\"," "),"_"," "))&amp;" ")),1,0))+IF(Task!$A$14="",0,IF(ISNUMBER(SEARCH(" "&amp;Task!$A$14&amp;" "," "&amp;LOWER(SUBSTITUTE(SUBSTITUTE(SUBSTITUTE(SUBSTITUTE(A70,"/"," "),"."," "),"\"," "),"_"," "))&amp;" ")),1,0))+IF(Task!$A$15="",0,IF(ISNUMBER(SEARCH(" "&amp;Task!$A$15&amp;" "," "&amp;LOWER(SUBSTITUTE(SUBSTITUTE(SUBSTITUTE(SUBSTITUTE(A70,"/"," "),"."," "),"\"," "),"_"," "))&amp;" ")),1,0))+IF(Task!$A$16="",0,IF(ISNUMBER(SEARCH(" "&amp;Task!$A$16&amp;" "," "&amp;LOWER(SUBSTITUTE(SUBSTITUTE(SUBSTITUTE(SUBSTITUTE(A70,"/"," "),"."," "),"\"," "),"_"," "))&amp;" ")),1,0))+IF(Task!$A$17="",0,IF(ISNUMBER(SEARCH(" "&amp;Task!$A$17&amp;" "," "&amp;LOWER(SUBSTITUTE(SUBSTITUTE(SUBSTITUTE(SUBSTITUTE(A70,"/"," "),"."," "),"\"," "),"_"," "))&amp;" ")),1,0))+IF(Task!$A$18="",0,IF(ISNUMBER(SEARCH(" "&amp;Task!$A$18&amp;" "," "&amp;LOWER(SUBSTITUTE(SUBSTITUTE(SUBSTITUTE(SUBSTITUTE(A70,"/"," "),"."," "),"\"," "),"_"," "))&amp;" ")),1,0))+IF(Task!$A$19="",0,IF(ISNUMBER(SEARCH(" "&amp;Task!$A$19&amp;" "," "&amp;LOWER(SUBSTITUTE(SUBSTITUTE(SUBSTITUTE(SUBSTITUTE(A70,"/"," "),"."," "),"\"," "),"_"," "))&amp;" ")),1,0)))</f>
        <v/>
      </c>
      <c r="I70" s="10">
        <f>IF(OR(E70=0,F70=0,Task!$B$21=0),"",F70/Task!$B$21+0.5*G70+0.25*H70)</f>
        <v/>
      </c>
      <c r="J70" s="5">
        <f>IF(I70="","",I70-ROW()/1000000)</f>
        <v/>
      </c>
      <c r="K70" s="9">
        <f>IF(J70="","",COUNTIF($J$5:$J$404,"&gt;"&amp;J70)+1)</f>
        <v/>
      </c>
    </row>
    <row r="71">
      <c r="A71" s="7" t="n"/>
      <c r="B71" s="7" t="n"/>
      <c r="C71" s="7" t="n"/>
      <c r="D71" s="7" t="n"/>
      <c r="E71" s="5">
        <f>IF(A71="",0,IF(COUNTA(Task!$B$5:$E$5)=0,1,IF(COUNTIF(Task!$B$5:$E$5,B71)&gt;0,1,0)))</f>
        <v/>
      </c>
      <c r="F71" s="9">
        <f>IF(E71=0,0,IF(Task!$A$8="",0,IF(ISNUMBER(SEARCH(" "&amp;Task!$A$8&amp;" "," "&amp;LOWER(D71&amp;" "&amp;C71&amp;" "&amp;LOWER(SUBSTITUTE(SUBSTITUTE(SUBSTITUTE(SUBSTITUTE(A71,"/"," "),"."," "),"\"," "),"_"," ")))&amp;" ")),1,0))+IF(Task!$A$9="",0,IF(ISNUMBER(SEARCH(" "&amp;Task!$A$9&amp;" "," "&amp;LOWER(D71&amp;" "&amp;C71&amp;" "&amp;LOWER(SUBSTITUTE(SUBSTITUTE(SUBSTITUTE(SUBSTITUTE(A71,"/"," "),"."," "),"\"," "),"_"," ")))&amp;" ")),1,0))+IF(Task!$A$10="",0,IF(ISNUMBER(SEARCH(" "&amp;Task!$A$10&amp;" "," "&amp;LOWER(D71&amp;" "&amp;C71&amp;" "&amp;LOWER(SUBSTITUTE(SUBSTITUTE(SUBSTITUTE(SUBSTITUTE(A71,"/"," "),"."," "),"\"," "),"_"," ")))&amp;" ")),1,0))+IF(Task!$A$11="",0,IF(ISNUMBER(SEARCH(" "&amp;Task!$A$11&amp;" "," "&amp;LOWER(D71&amp;" "&amp;C71&amp;" "&amp;LOWER(SUBSTITUTE(SUBSTITUTE(SUBSTITUTE(SUBSTITUTE(A71,"/"," "),"."," "),"\"," "),"_"," ")))&amp;" ")),1,0))+IF(Task!$A$12="",0,IF(ISNUMBER(SEARCH(" "&amp;Task!$A$12&amp;" "," "&amp;LOWER(D71&amp;" "&amp;C71&amp;" "&amp;LOWER(SUBSTITUTE(SUBSTITUTE(SUBSTITUTE(SUBSTITUTE(A71,"/"," "),"."," "),"\"," "),"_"," ")))&amp;" ")),1,0))+IF(Task!$A$13="",0,IF(ISNUMBER(SEARCH(" "&amp;Task!$A$13&amp;" "," "&amp;LOWER(D71&amp;" "&amp;C71&amp;" "&amp;LOWER(SUBSTITUTE(SUBSTITUTE(SUBSTITUTE(SUBSTITUTE(A71,"/"," "),"."," "),"\"," "),"_"," ")))&amp;" ")),1,0))+IF(Task!$A$14="",0,IF(ISNUMBER(SEARCH(" "&amp;Task!$A$14&amp;" "," "&amp;LOWER(D71&amp;" "&amp;C71&amp;" "&amp;LOWER(SUBSTITUTE(SUBSTITUTE(SUBSTITUTE(SUBSTITUTE(A71,"/"," "),"."," "),"\"," "),"_"," ")))&amp;" ")),1,0))+IF(Task!$A$15="",0,IF(ISNUMBER(SEARCH(" "&amp;Task!$A$15&amp;" "," "&amp;LOWER(D71&amp;" "&amp;C71&amp;" "&amp;LOWER(SUBSTITUTE(SUBSTITUTE(SUBSTITUTE(SUBSTITUTE(A71,"/"," "),"."," "),"\"," "),"_"," ")))&amp;" ")),1,0))+IF(Task!$A$16="",0,IF(ISNUMBER(SEARCH(" "&amp;Task!$A$16&amp;" "," "&amp;LOWER(D71&amp;" "&amp;C71&amp;" "&amp;LOWER(SUBSTITUTE(SUBSTITUTE(SUBSTITUTE(SUBSTITUTE(A71,"/"," "),"."," "),"\"," "),"_"," ")))&amp;" ")),1,0))+IF(Task!$A$17="",0,IF(ISNUMBER(SEARCH(" "&amp;Task!$A$17&amp;" "," "&amp;LOWER(D71&amp;" "&amp;C71&amp;" "&amp;LOWER(SUBSTITUTE(SUBSTITUTE(SUBSTITUTE(SUBSTITUTE(A71,"/"," "),"."," "),"\"," "),"_"," ")))&amp;" ")),1,0))+IF(Task!$A$18="",0,IF(ISNUMBER(SEARCH(" "&amp;Task!$A$18&amp;" "," "&amp;LOWER(D71&amp;" "&amp;C71&amp;" "&amp;LOWER(SUBSTITUTE(SUBSTITUTE(SUBSTITUTE(SUBSTITUTE(A71,"/"," "),"."," "),"\"," "),"_"," ")))&amp;" ")),1,0))+IF(Task!$A$19="",0,IF(ISNUMBER(SEARCH(" "&amp;Task!$A$19&amp;" "," "&amp;LOWER(D71&amp;" "&amp;C71&amp;" "&amp;LOWER(SUBSTITUTE(SUBSTITUTE(SUBSTITUTE(SUBSTITUTE(A71,"/"," "),"."," "),"\"," "),"_"," ")))&amp;" ")),1,0)))</f>
        <v/>
      </c>
      <c r="G71" s="9">
        <f>IF(E71=0,0,IF(Task!$A$8="",0,IF(ISNUMBER(SEARCH(" "&amp;Task!$A$8&amp;" "," "&amp;LOWER(C71)&amp;" ")),1,0))+IF(Task!$A$9="",0,IF(ISNUMBER(SEARCH(" "&amp;Task!$A$9&amp;" "," "&amp;LOWER(C71)&amp;" ")),1,0))+IF(Task!$A$10="",0,IF(ISNUMBER(SEARCH(" "&amp;Task!$A$10&amp;" "," "&amp;LOWER(C71)&amp;" ")),1,0))+IF(Task!$A$11="",0,IF(ISNUMBER(SEARCH(" "&amp;Task!$A$11&amp;" "," "&amp;LOWER(C71)&amp;" ")),1,0))+IF(Task!$A$12="",0,IF(ISNUMBER(SEARCH(" "&amp;Task!$A$12&amp;" "," "&amp;LOWER(C71)&amp;" ")),1,0))+IF(Task!$A$13="",0,IF(ISNUMBER(SEARCH(" "&amp;Task!$A$13&amp;" "," "&amp;LOWER(C71)&amp;" ")),1,0))+IF(Task!$A$14="",0,IF(ISNUMBER(SEARCH(" "&amp;Task!$A$14&amp;" "," "&amp;LOWER(C71)&amp;" ")),1,0))+IF(Task!$A$15="",0,IF(ISNUMBER(SEARCH(" "&amp;Task!$A$15&amp;" "," "&amp;LOWER(C71)&amp;" ")),1,0))+IF(Task!$A$16="",0,IF(ISNUMBER(SEARCH(" "&amp;Task!$A$16&amp;" "," "&amp;LOWER(C71)&amp;" ")),1,0))+IF(Task!$A$17="",0,IF(ISNUMBER(SEARCH(" "&amp;Task!$A$17&amp;" "," "&amp;LOWER(C71)&amp;" ")),1,0))+IF(Task!$A$18="",0,IF(ISNUMBER(SEARCH(" "&amp;Task!$A$18&amp;" "," "&amp;LOWER(C71)&amp;" ")),1,0))+IF(Task!$A$19="",0,IF(ISNUMBER(SEARCH(" "&amp;Task!$A$19&amp;" "," "&amp;LOWER(C71)&amp;" ")),1,0)))</f>
        <v/>
      </c>
      <c r="H71" s="9">
        <f>IF(E71=0,0,IF(Task!$A$8="",0,IF(ISNUMBER(SEARCH(" "&amp;Task!$A$8&amp;" "," "&amp;LOWER(SUBSTITUTE(SUBSTITUTE(SUBSTITUTE(SUBSTITUTE(A71,"/"," "),"."," "),"\"," "),"_"," "))&amp;" ")),1,0))+IF(Task!$A$9="",0,IF(ISNUMBER(SEARCH(" "&amp;Task!$A$9&amp;" "," "&amp;LOWER(SUBSTITUTE(SUBSTITUTE(SUBSTITUTE(SUBSTITUTE(A71,"/"," "),"."," "),"\"," "),"_"," "))&amp;" ")),1,0))+IF(Task!$A$10="",0,IF(ISNUMBER(SEARCH(" "&amp;Task!$A$10&amp;" "," "&amp;LOWER(SUBSTITUTE(SUBSTITUTE(SUBSTITUTE(SUBSTITUTE(A71,"/"," "),"."," "),"\"," "),"_"," "))&amp;" ")),1,0))+IF(Task!$A$11="",0,IF(ISNUMBER(SEARCH(" "&amp;Task!$A$11&amp;" "," "&amp;LOWER(SUBSTITUTE(SUBSTITUTE(SUBSTITUTE(SUBSTITUTE(A71,"/"," "),"."," "),"\"," "),"_"," "))&amp;" ")),1,0))+IF(Task!$A$12="",0,IF(ISNUMBER(SEARCH(" "&amp;Task!$A$12&amp;" "," "&amp;LOWER(SUBSTITUTE(SUBSTITUTE(SUBSTITUTE(SUBSTITUTE(A71,"/"," "),"."," "),"\"," "),"_"," "))&amp;" ")),1,0))+IF(Task!$A$13="",0,IF(ISNUMBER(SEARCH(" "&amp;Task!$A$13&amp;" "," "&amp;LOWER(SUBSTITUTE(SUBSTITUTE(SUBSTITUTE(SUBSTITUTE(A71,"/"," "),"."," "),"\"," "),"_"," "))&amp;" ")),1,0))+IF(Task!$A$14="",0,IF(ISNUMBER(SEARCH(" "&amp;Task!$A$14&amp;" "," "&amp;LOWER(SUBSTITUTE(SUBSTITUTE(SUBSTITUTE(SUBSTITUTE(A71,"/"," "),"."," "),"\"," "),"_"," "))&amp;" ")),1,0))+IF(Task!$A$15="",0,IF(ISNUMBER(SEARCH(" "&amp;Task!$A$15&amp;" "," "&amp;LOWER(SUBSTITUTE(SUBSTITUTE(SUBSTITUTE(SUBSTITUTE(A71,"/"," "),"."," "),"\"," "),"_"," "))&amp;" ")),1,0))+IF(Task!$A$16="",0,IF(ISNUMBER(SEARCH(" "&amp;Task!$A$16&amp;" "," "&amp;LOWER(SUBSTITUTE(SUBSTITUTE(SUBSTITUTE(SUBSTITUTE(A71,"/"," "),"."," "),"\"," "),"_"," "))&amp;" ")),1,0))+IF(Task!$A$17="",0,IF(ISNUMBER(SEARCH(" "&amp;Task!$A$17&amp;" "," "&amp;LOWER(SUBSTITUTE(SUBSTITUTE(SUBSTITUTE(SUBSTITUTE(A71,"/"," "),"."," "),"\"," "),"_"," "))&amp;" ")),1,0))+IF(Task!$A$18="",0,IF(ISNUMBER(SEARCH(" "&amp;Task!$A$18&amp;" "," "&amp;LOWER(SUBSTITUTE(SUBSTITUTE(SUBSTITUTE(SUBSTITUTE(A71,"/"," "),"."," "),"\"," "),"_"," "))&amp;" ")),1,0))+IF(Task!$A$19="",0,IF(ISNUMBER(SEARCH(" "&amp;Task!$A$19&amp;" "," "&amp;LOWER(SUBSTITUTE(SUBSTITUTE(SUBSTITUTE(SUBSTITUTE(A71,"/"," "),"."," "),"\"," "),"_"," "))&amp;" ")),1,0)))</f>
        <v/>
      </c>
      <c r="I71" s="10">
        <f>IF(OR(E71=0,F71=0,Task!$B$21=0),"",F71/Task!$B$21+0.5*G71+0.25*H71)</f>
        <v/>
      </c>
      <c r="J71" s="5">
        <f>IF(I71="","",I71-ROW()/1000000)</f>
        <v/>
      </c>
      <c r="K71" s="9">
        <f>IF(J71="","",COUNTIF($J$5:$J$404,"&gt;"&amp;J71)+1)</f>
        <v/>
      </c>
    </row>
    <row r="72">
      <c r="A72" s="7" t="n"/>
      <c r="B72" s="7" t="n"/>
      <c r="C72" s="7" t="n"/>
      <c r="D72" s="7" t="n"/>
      <c r="E72" s="5">
        <f>IF(A72="",0,IF(COUNTA(Task!$B$5:$E$5)=0,1,IF(COUNTIF(Task!$B$5:$E$5,B72)&gt;0,1,0)))</f>
        <v/>
      </c>
      <c r="F72" s="9">
        <f>IF(E72=0,0,IF(Task!$A$8="",0,IF(ISNUMBER(SEARCH(" "&amp;Task!$A$8&amp;" "," "&amp;LOWER(D72&amp;" "&amp;C72&amp;" "&amp;LOWER(SUBSTITUTE(SUBSTITUTE(SUBSTITUTE(SUBSTITUTE(A72,"/"," "),"."," "),"\"," "),"_"," ")))&amp;" ")),1,0))+IF(Task!$A$9="",0,IF(ISNUMBER(SEARCH(" "&amp;Task!$A$9&amp;" "," "&amp;LOWER(D72&amp;" "&amp;C72&amp;" "&amp;LOWER(SUBSTITUTE(SUBSTITUTE(SUBSTITUTE(SUBSTITUTE(A72,"/"," "),"."," "),"\"," "),"_"," ")))&amp;" ")),1,0))+IF(Task!$A$10="",0,IF(ISNUMBER(SEARCH(" "&amp;Task!$A$10&amp;" "," "&amp;LOWER(D72&amp;" "&amp;C72&amp;" "&amp;LOWER(SUBSTITUTE(SUBSTITUTE(SUBSTITUTE(SUBSTITUTE(A72,"/"," "),"."," "),"\"," "),"_"," ")))&amp;" ")),1,0))+IF(Task!$A$11="",0,IF(ISNUMBER(SEARCH(" "&amp;Task!$A$11&amp;" "," "&amp;LOWER(D72&amp;" "&amp;C72&amp;" "&amp;LOWER(SUBSTITUTE(SUBSTITUTE(SUBSTITUTE(SUBSTITUTE(A72,"/"," "),"."," "),"\"," "),"_"," ")))&amp;" ")),1,0))+IF(Task!$A$12="",0,IF(ISNUMBER(SEARCH(" "&amp;Task!$A$12&amp;" "," "&amp;LOWER(D72&amp;" "&amp;C72&amp;" "&amp;LOWER(SUBSTITUTE(SUBSTITUTE(SUBSTITUTE(SUBSTITUTE(A72,"/"," "),"."," "),"\"," "),"_"," ")))&amp;" ")),1,0))+IF(Task!$A$13="",0,IF(ISNUMBER(SEARCH(" "&amp;Task!$A$13&amp;" "," "&amp;LOWER(D72&amp;" "&amp;C72&amp;" "&amp;LOWER(SUBSTITUTE(SUBSTITUTE(SUBSTITUTE(SUBSTITUTE(A72,"/"," "),"."," "),"\"," "),"_"," ")))&amp;" ")),1,0))+IF(Task!$A$14="",0,IF(ISNUMBER(SEARCH(" "&amp;Task!$A$14&amp;" "," "&amp;LOWER(D72&amp;" "&amp;C72&amp;" "&amp;LOWER(SUBSTITUTE(SUBSTITUTE(SUBSTITUTE(SUBSTITUTE(A72,"/"," "),"."," "),"\"," "),"_"," ")))&amp;" ")),1,0))+IF(Task!$A$15="",0,IF(ISNUMBER(SEARCH(" "&amp;Task!$A$15&amp;" "," "&amp;LOWER(D72&amp;" "&amp;C72&amp;" "&amp;LOWER(SUBSTITUTE(SUBSTITUTE(SUBSTITUTE(SUBSTITUTE(A72,"/"," "),"."," "),"\"," "),"_"," ")))&amp;" ")),1,0))+IF(Task!$A$16="",0,IF(ISNUMBER(SEARCH(" "&amp;Task!$A$16&amp;" "," "&amp;LOWER(D72&amp;" "&amp;C72&amp;" "&amp;LOWER(SUBSTITUTE(SUBSTITUTE(SUBSTITUTE(SUBSTITUTE(A72,"/"," "),"."," "),"\"," "),"_"," ")))&amp;" ")),1,0))+IF(Task!$A$17="",0,IF(ISNUMBER(SEARCH(" "&amp;Task!$A$17&amp;" "," "&amp;LOWER(D72&amp;" "&amp;C72&amp;" "&amp;LOWER(SUBSTITUTE(SUBSTITUTE(SUBSTITUTE(SUBSTITUTE(A72,"/"," "),"."," "),"\"," "),"_"," ")))&amp;" ")),1,0))+IF(Task!$A$18="",0,IF(ISNUMBER(SEARCH(" "&amp;Task!$A$18&amp;" "," "&amp;LOWER(D72&amp;" "&amp;C72&amp;" "&amp;LOWER(SUBSTITUTE(SUBSTITUTE(SUBSTITUTE(SUBSTITUTE(A72,"/"," "),"."," "),"\"," "),"_"," ")))&amp;" ")),1,0))+IF(Task!$A$19="",0,IF(ISNUMBER(SEARCH(" "&amp;Task!$A$19&amp;" "," "&amp;LOWER(D72&amp;" "&amp;C72&amp;" "&amp;LOWER(SUBSTITUTE(SUBSTITUTE(SUBSTITUTE(SUBSTITUTE(A72,"/"," "),"."," "),"\"," "),"_"," ")))&amp;" ")),1,0)))</f>
        <v/>
      </c>
      <c r="G72" s="9">
        <f>IF(E72=0,0,IF(Task!$A$8="",0,IF(ISNUMBER(SEARCH(" "&amp;Task!$A$8&amp;" "," "&amp;LOWER(C72)&amp;" ")),1,0))+IF(Task!$A$9="",0,IF(ISNUMBER(SEARCH(" "&amp;Task!$A$9&amp;" "," "&amp;LOWER(C72)&amp;" ")),1,0))+IF(Task!$A$10="",0,IF(ISNUMBER(SEARCH(" "&amp;Task!$A$10&amp;" "," "&amp;LOWER(C72)&amp;" ")),1,0))+IF(Task!$A$11="",0,IF(ISNUMBER(SEARCH(" "&amp;Task!$A$11&amp;" "," "&amp;LOWER(C72)&amp;" ")),1,0))+IF(Task!$A$12="",0,IF(ISNUMBER(SEARCH(" "&amp;Task!$A$12&amp;" "," "&amp;LOWER(C72)&amp;" ")),1,0))+IF(Task!$A$13="",0,IF(ISNUMBER(SEARCH(" "&amp;Task!$A$13&amp;" "," "&amp;LOWER(C72)&amp;" ")),1,0))+IF(Task!$A$14="",0,IF(ISNUMBER(SEARCH(" "&amp;Task!$A$14&amp;" "," "&amp;LOWER(C72)&amp;" ")),1,0))+IF(Task!$A$15="",0,IF(ISNUMBER(SEARCH(" "&amp;Task!$A$15&amp;" "," "&amp;LOWER(C72)&amp;" ")),1,0))+IF(Task!$A$16="",0,IF(ISNUMBER(SEARCH(" "&amp;Task!$A$16&amp;" "," "&amp;LOWER(C72)&amp;" ")),1,0))+IF(Task!$A$17="",0,IF(ISNUMBER(SEARCH(" "&amp;Task!$A$17&amp;" "," "&amp;LOWER(C72)&amp;" ")),1,0))+IF(Task!$A$18="",0,IF(ISNUMBER(SEARCH(" "&amp;Task!$A$18&amp;" "," "&amp;LOWER(C72)&amp;" ")),1,0))+IF(Task!$A$19="",0,IF(ISNUMBER(SEARCH(" "&amp;Task!$A$19&amp;" "," "&amp;LOWER(C72)&amp;" ")),1,0)))</f>
        <v/>
      </c>
      <c r="H72" s="9">
        <f>IF(E72=0,0,IF(Task!$A$8="",0,IF(ISNUMBER(SEARCH(" "&amp;Task!$A$8&amp;" "," "&amp;LOWER(SUBSTITUTE(SUBSTITUTE(SUBSTITUTE(SUBSTITUTE(A72,"/"," "),"."," "),"\"," "),"_"," "))&amp;" ")),1,0))+IF(Task!$A$9="",0,IF(ISNUMBER(SEARCH(" "&amp;Task!$A$9&amp;" "," "&amp;LOWER(SUBSTITUTE(SUBSTITUTE(SUBSTITUTE(SUBSTITUTE(A72,"/"," "),"."," "),"\"," "),"_"," "))&amp;" ")),1,0))+IF(Task!$A$10="",0,IF(ISNUMBER(SEARCH(" "&amp;Task!$A$10&amp;" "," "&amp;LOWER(SUBSTITUTE(SUBSTITUTE(SUBSTITUTE(SUBSTITUTE(A72,"/"," "),"."," "),"\"," "),"_"," "))&amp;" ")),1,0))+IF(Task!$A$11="",0,IF(ISNUMBER(SEARCH(" "&amp;Task!$A$11&amp;" "," "&amp;LOWER(SUBSTITUTE(SUBSTITUTE(SUBSTITUTE(SUBSTITUTE(A72,"/"," "),"."," "),"\"," "),"_"," "))&amp;" ")),1,0))+IF(Task!$A$12="",0,IF(ISNUMBER(SEARCH(" "&amp;Task!$A$12&amp;" "," "&amp;LOWER(SUBSTITUTE(SUBSTITUTE(SUBSTITUTE(SUBSTITUTE(A72,"/"," "),"."," "),"\"," "),"_"," "))&amp;" ")),1,0))+IF(Task!$A$13="",0,IF(ISNUMBER(SEARCH(" "&amp;Task!$A$13&amp;" "," "&amp;LOWER(SUBSTITUTE(SUBSTITUTE(SUBSTITUTE(SUBSTITUTE(A72,"/"," "),"."," "),"\"," "),"_"," "))&amp;" ")),1,0))+IF(Task!$A$14="",0,IF(ISNUMBER(SEARCH(" "&amp;Task!$A$14&amp;" "," "&amp;LOWER(SUBSTITUTE(SUBSTITUTE(SUBSTITUTE(SUBSTITUTE(A72,"/"," "),"."," "),"\"," "),"_"," "))&amp;" ")),1,0))+IF(Task!$A$15="",0,IF(ISNUMBER(SEARCH(" "&amp;Task!$A$15&amp;" "," "&amp;LOWER(SUBSTITUTE(SUBSTITUTE(SUBSTITUTE(SUBSTITUTE(A72,"/"," "),"."," "),"\"," "),"_"," "))&amp;" ")),1,0))+IF(Task!$A$16="",0,IF(ISNUMBER(SEARCH(" "&amp;Task!$A$16&amp;" "," "&amp;LOWER(SUBSTITUTE(SUBSTITUTE(SUBSTITUTE(SUBSTITUTE(A72,"/"," "),"."," "),"\"," "),"_"," "))&amp;" ")),1,0))+IF(Task!$A$17="",0,IF(ISNUMBER(SEARCH(" "&amp;Task!$A$17&amp;" "," "&amp;LOWER(SUBSTITUTE(SUBSTITUTE(SUBSTITUTE(SUBSTITUTE(A72,"/"," "),"."," "),"\"," "),"_"," "))&amp;" ")),1,0))+IF(Task!$A$18="",0,IF(ISNUMBER(SEARCH(" "&amp;Task!$A$18&amp;" "," "&amp;LOWER(SUBSTITUTE(SUBSTITUTE(SUBSTITUTE(SUBSTITUTE(A72,"/"," "),"."," "),"\"," "),"_"," "))&amp;" ")),1,0))+IF(Task!$A$19="",0,IF(ISNUMBER(SEARCH(" "&amp;Task!$A$19&amp;" "," "&amp;LOWER(SUBSTITUTE(SUBSTITUTE(SUBSTITUTE(SUBSTITUTE(A72,"/"," "),"."," "),"\"," "),"_"," "))&amp;" ")),1,0)))</f>
        <v/>
      </c>
      <c r="I72" s="10">
        <f>IF(OR(E72=0,F72=0,Task!$B$21=0),"",F72/Task!$B$21+0.5*G72+0.25*H72)</f>
        <v/>
      </c>
      <c r="J72" s="5">
        <f>IF(I72="","",I72-ROW()/1000000)</f>
        <v/>
      </c>
      <c r="K72" s="9">
        <f>IF(J72="","",COUNTIF($J$5:$J$404,"&gt;"&amp;J72)+1)</f>
        <v/>
      </c>
    </row>
    <row r="73">
      <c r="A73" s="7" t="n"/>
      <c r="B73" s="7" t="n"/>
      <c r="C73" s="7" t="n"/>
      <c r="D73" s="7" t="n"/>
      <c r="E73" s="5">
        <f>IF(A73="",0,IF(COUNTA(Task!$B$5:$E$5)=0,1,IF(COUNTIF(Task!$B$5:$E$5,B73)&gt;0,1,0)))</f>
        <v/>
      </c>
      <c r="F73" s="9">
        <f>IF(E73=0,0,IF(Task!$A$8="",0,IF(ISNUMBER(SEARCH(" "&amp;Task!$A$8&amp;" "," "&amp;LOWER(D73&amp;" "&amp;C73&amp;" "&amp;LOWER(SUBSTITUTE(SUBSTITUTE(SUBSTITUTE(SUBSTITUTE(A73,"/"," "),"."," "),"\"," "),"_"," ")))&amp;" ")),1,0))+IF(Task!$A$9="",0,IF(ISNUMBER(SEARCH(" "&amp;Task!$A$9&amp;" "," "&amp;LOWER(D73&amp;" "&amp;C73&amp;" "&amp;LOWER(SUBSTITUTE(SUBSTITUTE(SUBSTITUTE(SUBSTITUTE(A73,"/"," "),"."," "),"\"," "),"_"," ")))&amp;" ")),1,0))+IF(Task!$A$10="",0,IF(ISNUMBER(SEARCH(" "&amp;Task!$A$10&amp;" "," "&amp;LOWER(D73&amp;" "&amp;C73&amp;" "&amp;LOWER(SUBSTITUTE(SUBSTITUTE(SUBSTITUTE(SUBSTITUTE(A73,"/"," "),"."," "),"\"," "),"_"," ")))&amp;" ")),1,0))+IF(Task!$A$11="",0,IF(ISNUMBER(SEARCH(" "&amp;Task!$A$11&amp;" "," "&amp;LOWER(D73&amp;" "&amp;C73&amp;" "&amp;LOWER(SUBSTITUTE(SUBSTITUTE(SUBSTITUTE(SUBSTITUTE(A73,"/"," "),"."," "),"\"," "),"_"," ")))&amp;" ")),1,0))+IF(Task!$A$12="",0,IF(ISNUMBER(SEARCH(" "&amp;Task!$A$12&amp;" "," "&amp;LOWER(D73&amp;" "&amp;C73&amp;" "&amp;LOWER(SUBSTITUTE(SUBSTITUTE(SUBSTITUTE(SUBSTITUTE(A73,"/"," "),"."," "),"\"," "),"_"," ")))&amp;" ")),1,0))+IF(Task!$A$13="",0,IF(ISNUMBER(SEARCH(" "&amp;Task!$A$13&amp;" "," "&amp;LOWER(D73&amp;" "&amp;C73&amp;" "&amp;LOWER(SUBSTITUTE(SUBSTITUTE(SUBSTITUTE(SUBSTITUTE(A73,"/"," "),"."," "),"\"," "),"_"," ")))&amp;" ")),1,0))+IF(Task!$A$14="",0,IF(ISNUMBER(SEARCH(" "&amp;Task!$A$14&amp;" "," "&amp;LOWER(D73&amp;" "&amp;C73&amp;" "&amp;LOWER(SUBSTITUTE(SUBSTITUTE(SUBSTITUTE(SUBSTITUTE(A73,"/"," "),"."," "),"\"," "),"_"," ")))&amp;" ")),1,0))+IF(Task!$A$15="",0,IF(ISNUMBER(SEARCH(" "&amp;Task!$A$15&amp;" "," "&amp;LOWER(D73&amp;" "&amp;C73&amp;" "&amp;LOWER(SUBSTITUTE(SUBSTITUTE(SUBSTITUTE(SUBSTITUTE(A73,"/"," "),"."," "),"\"," "),"_"," ")))&amp;" ")),1,0))+IF(Task!$A$16="",0,IF(ISNUMBER(SEARCH(" "&amp;Task!$A$16&amp;" "," "&amp;LOWER(D73&amp;" "&amp;C73&amp;" "&amp;LOWER(SUBSTITUTE(SUBSTITUTE(SUBSTITUTE(SUBSTITUTE(A73,"/"," "),"."," "),"\"," "),"_"," ")))&amp;" ")),1,0))+IF(Task!$A$17="",0,IF(ISNUMBER(SEARCH(" "&amp;Task!$A$17&amp;" "," "&amp;LOWER(D73&amp;" "&amp;C73&amp;" "&amp;LOWER(SUBSTITUTE(SUBSTITUTE(SUBSTITUTE(SUBSTITUTE(A73,"/"," "),"."," "),"\"," "),"_"," ")))&amp;" ")),1,0))+IF(Task!$A$18="",0,IF(ISNUMBER(SEARCH(" "&amp;Task!$A$18&amp;" "," "&amp;LOWER(D73&amp;" "&amp;C73&amp;" "&amp;LOWER(SUBSTITUTE(SUBSTITUTE(SUBSTITUTE(SUBSTITUTE(A73,"/"," "),"."," "),"\"," "),"_"," ")))&amp;" ")),1,0))+IF(Task!$A$19="",0,IF(ISNUMBER(SEARCH(" "&amp;Task!$A$19&amp;" "," "&amp;LOWER(D73&amp;" "&amp;C73&amp;" "&amp;LOWER(SUBSTITUTE(SUBSTITUTE(SUBSTITUTE(SUBSTITUTE(A73,"/"," "),"."," "),"\"," "),"_"," ")))&amp;" ")),1,0)))</f>
        <v/>
      </c>
      <c r="G73" s="9">
        <f>IF(E73=0,0,IF(Task!$A$8="",0,IF(ISNUMBER(SEARCH(" "&amp;Task!$A$8&amp;" "," "&amp;LOWER(C73)&amp;" ")),1,0))+IF(Task!$A$9="",0,IF(ISNUMBER(SEARCH(" "&amp;Task!$A$9&amp;" "," "&amp;LOWER(C73)&amp;" ")),1,0))+IF(Task!$A$10="",0,IF(ISNUMBER(SEARCH(" "&amp;Task!$A$10&amp;" "," "&amp;LOWER(C73)&amp;" ")),1,0))+IF(Task!$A$11="",0,IF(ISNUMBER(SEARCH(" "&amp;Task!$A$11&amp;" "," "&amp;LOWER(C73)&amp;" ")),1,0))+IF(Task!$A$12="",0,IF(ISNUMBER(SEARCH(" "&amp;Task!$A$12&amp;" "," "&amp;LOWER(C73)&amp;" ")),1,0))+IF(Task!$A$13="",0,IF(ISNUMBER(SEARCH(" "&amp;Task!$A$13&amp;" "," "&amp;LOWER(C73)&amp;" ")),1,0))+IF(Task!$A$14="",0,IF(ISNUMBER(SEARCH(" "&amp;Task!$A$14&amp;" "," "&amp;LOWER(C73)&amp;" ")),1,0))+IF(Task!$A$15="",0,IF(ISNUMBER(SEARCH(" "&amp;Task!$A$15&amp;" "," "&amp;LOWER(C73)&amp;" ")),1,0))+IF(Task!$A$16="",0,IF(ISNUMBER(SEARCH(" "&amp;Task!$A$16&amp;" "," "&amp;LOWER(C73)&amp;" ")),1,0))+IF(Task!$A$17="",0,IF(ISNUMBER(SEARCH(" "&amp;Task!$A$17&amp;" "," "&amp;LOWER(C73)&amp;" ")),1,0))+IF(Task!$A$18="",0,IF(ISNUMBER(SEARCH(" "&amp;Task!$A$18&amp;" "," "&amp;LOWER(C73)&amp;" ")),1,0))+IF(Task!$A$19="",0,IF(ISNUMBER(SEARCH(" "&amp;Task!$A$19&amp;" "," "&amp;LOWER(C73)&amp;" ")),1,0)))</f>
        <v/>
      </c>
      <c r="H73" s="9">
        <f>IF(E73=0,0,IF(Task!$A$8="",0,IF(ISNUMBER(SEARCH(" "&amp;Task!$A$8&amp;" "," "&amp;LOWER(SUBSTITUTE(SUBSTITUTE(SUBSTITUTE(SUBSTITUTE(A73,"/"," "),"."," "),"\"," "),"_"," "))&amp;" ")),1,0))+IF(Task!$A$9="",0,IF(ISNUMBER(SEARCH(" "&amp;Task!$A$9&amp;" "," "&amp;LOWER(SUBSTITUTE(SUBSTITUTE(SUBSTITUTE(SUBSTITUTE(A73,"/"," "),"."," "),"\"," "),"_"," "))&amp;" ")),1,0))+IF(Task!$A$10="",0,IF(ISNUMBER(SEARCH(" "&amp;Task!$A$10&amp;" "," "&amp;LOWER(SUBSTITUTE(SUBSTITUTE(SUBSTITUTE(SUBSTITUTE(A73,"/"," "),"."," "),"\"," "),"_"," "))&amp;" ")),1,0))+IF(Task!$A$11="",0,IF(ISNUMBER(SEARCH(" "&amp;Task!$A$11&amp;" "," "&amp;LOWER(SUBSTITUTE(SUBSTITUTE(SUBSTITUTE(SUBSTITUTE(A73,"/"," "),"."," "),"\"," "),"_"," "))&amp;" ")),1,0))+IF(Task!$A$12="",0,IF(ISNUMBER(SEARCH(" "&amp;Task!$A$12&amp;" "," "&amp;LOWER(SUBSTITUTE(SUBSTITUTE(SUBSTITUTE(SUBSTITUTE(A73,"/"," "),"."," "),"\"," "),"_"," "))&amp;" ")),1,0))+IF(Task!$A$13="",0,IF(ISNUMBER(SEARCH(" "&amp;Task!$A$13&amp;" "," "&amp;LOWER(SUBSTITUTE(SUBSTITUTE(SUBSTITUTE(SUBSTITUTE(A73,"/"," "),"."," "),"\"," "),"_"," "))&amp;" ")),1,0))+IF(Task!$A$14="",0,IF(ISNUMBER(SEARCH(" "&amp;Task!$A$14&amp;" "," "&amp;LOWER(SUBSTITUTE(SUBSTITUTE(SUBSTITUTE(SUBSTITUTE(A73,"/"," "),"."," "),"\"," "),"_"," "))&amp;" ")),1,0))+IF(Task!$A$15="",0,IF(ISNUMBER(SEARCH(" "&amp;Task!$A$15&amp;" "," "&amp;LOWER(SUBSTITUTE(SUBSTITUTE(SUBSTITUTE(SUBSTITUTE(A73,"/"," "),"."," "),"\"," "),"_"," "))&amp;" ")),1,0))+IF(Task!$A$16="",0,IF(ISNUMBER(SEARCH(" "&amp;Task!$A$16&amp;" "," "&amp;LOWER(SUBSTITUTE(SUBSTITUTE(SUBSTITUTE(SUBSTITUTE(A73,"/"," "),"."," "),"\"," "),"_"," "))&amp;" ")),1,0))+IF(Task!$A$17="",0,IF(ISNUMBER(SEARCH(" "&amp;Task!$A$17&amp;" "," "&amp;LOWER(SUBSTITUTE(SUBSTITUTE(SUBSTITUTE(SUBSTITUTE(A73,"/"," "),"."," "),"\"," "),"_"," "))&amp;" ")),1,0))+IF(Task!$A$18="",0,IF(ISNUMBER(SEARCH(" "&amp;Task!$A$18&amp;" "," "&amp;LOWER(SUBSTITUTE(SUBSTITUTE(SUBSTITUTE(SUBSTITUTE(A73,"/"," "),"."," "),"\"," "),"_"," "))&amp;" ")),1,0))+IF(Task!$A$19="",0,IF(ISNUMBER(SEARCH(" "&amp;Task!$A$19&amp;" "," "&amp;LOWER(SUBSTITUTE(SUBSTITUTE(SUBSTITUTE(SUBSTITUTE(A73,"/"," "),"."," "),"\"," "),"_"," "))&amp;" ")),1,0)))</f>
        <v/>
      </c>
      <c r="I73" s="10">
        <f>IF(OR(E73=0,F73=0,Task!$B$21=0),"",F73/Task!$B$21+0.5*G73+0.25*H73)</f>
        <v/>
      </c>
      <c r="J73" s="5">
        <f>IF(I73="","",I73-ROW()/1000000)</f>
        <v/>
      </c>
      <c r="K73" s="9">
        <f>IF(J73="","",COUNTIF($J$5:$J$404,"&gt;"&amp;J73)+1)</f>
        <v/>
      </c>
    </row>
    <row r="74">
      <c r="A74" s="7" t="n"/>
      <c r="B74" s="7" t="n"/>
      <c r="C74" s="7" t="n"/>
      <c r="D74" s="7" t="n"/>
      <c r="E74" s="5">
        <f>IF(A74="",0,IF(COUNTA(Task!$B$5:$E$5)=0,1,IF(COUNTIF(Task!$B$5:$E$5,B74)&gt;0,1,0)))</f>
        <v/>
      </c>
      <c r="F74" s="9">
        <f>IF(E74=0,0,IF(Task!$A$8="",0,IF(ISNUMBER(SEARCH(" "&amp;Task!$A$8&amp;" "," "&amp;LOWER(D74&amp;" "&amp;C74&amp;" "&amp;LOWER(SUBSTITUTE(SUBSTITUTE(SUBSTITUTE(SUBSTITUTE(A74,"/"," "),"."," "),"\"," "),"_"," ")))&amp;" ")),1,0))+IF(Task!$A$9="",0,IF(ISNUMBER(SEARCH(" "&amp;Task!$A$9&amp;" "," "&amp;LOWER(D74&amp;" "&amp;C74&amp;" "&amp;LOWER(SUBSTITUTE(SUBSTITUTE(SUBSTITUTE(SUBSTITUTE(A74,"/"," "),"."," "),"\"," "),"_"," ")))&amp;" ")),1,0))+IF(Task!$A$10="",0,IF(ISNUMBER(SEARCH(" "&amp;Task!$A$10&amp;" "," "&amp;LOWER(D74&amp;" "&amp;C74&amp;" "&amp;LOWER(SUBSTITUTE(SUBSTITUTE(SUBSTITUTE(SUBSTITUTE(A74,"/"," "),"."," "),"\"," "),"_"," ")))&amp;" ")),1,0))+IF(Task!$A$11="",0,IF(ISNUMBER(SEARCH(" "&amp;Task!$A$11&amp;" "," "&amp;LOWER(D74&amp;" "&amp;C74&amp;" "&amp;LOWER(SUBSTITUTE(SUBSTITUTE(SUBSTITUTE(SUBSTITUTE(A74,"/"," "),"."," "),"\"," "),"_"," ")))&amp;" ")),1,0))+IF(Task!$A$12="",0,IF(ISNUMBER(SEARCH(" "&amp;Task!$A$12&amp;" "," "&amp;LOWER(D74&amp;" "&amp;C74&amp;" "&amp;LOWER(SUBSTITUTE(SUBSTITUTE(SUBSTITUTE(SUBSTITUTE(A74,"/"," "),"."," "),"\"," "),"_"," ")))&amp;" ")),1,0))+IF(Task!$A$13="",0,IF(ISNUMBER(SEARCH(" "&amp;Task!$A$13&amp;" "," "&amp;LOWER(D74&amp;" "&amp;C74&amp;" "&amp;LOWER(SUBSTITUTE(SUBSTITUTE(SUBSTITUTE(SUBSTITUTE(A74,"/"," "),"."," "),"\"," "),"_"," ")))&amp;" ")),1,0))+IF(Task!$A$14="",0,IF(ISNUMBER(SEARCH(" "&amp;Task!$A$14&amp;" "," "&amp;LOWER(D74&amp;" "&amp;C74&amp;" "&amp;LOWER(SUBSTITUTE(SUBSTITUTE(SUBSTITUTE(SUBSTITUTE(A74,"/"," "),"."," "),"\"," "),"_"," ")))&amp;" ")),1,0))+IF(Task!$A$15="",0,IF(ISNUMBER(SEARCH(" "&amp;Task!$A$15&amp;" "," "&amp;LOWER(D74&amp;" "&amp;C74&amp;" "&amp;LOWER(SUBSTITUTE(SUBSTITUTE(SUBSTITUTE(SUBSTITUTE(A74,"/"," "),"."," "),"\"," "),"_"," ")))&amp;" ")),1,0))+IF(Task!$A$16="",0,IF(ISNUMBER(SEARCH(" "&amp;Task!$A$16&amp;" "," "&amp;LOWER(D74&amp;" "&amp;C74&amp;" "&amp;LOWER(SUBSTITUTE(SUBSTITUTE(SUBSTITUTE(SUBSTITUTE(A74,"/"," "),"."," "),"\"," "),"_"," ")))&amp;" ")),1,0))+IF(Task!$A$17="",0,IF(ISNUMBER(SEARCH(" "&amp;Task!$A$17&amp;" "," "&amp;LOWER(D74&amp;" "&amp;C74&amp;" "&amp;LOWER(SUBSTITUTE(SUBSTITUTE(SUBSTITUTE(SUBSTITUTE(A74,"/"," "),"."," "),"\"," "),"_"," ")))&amp;" ")),1,0))+IF(Task!$A$18="",0,IF(ISNUMBER(SEARCH(" "&amp;Task!$A$18&amp;" "," "&amp;LOWER(D74&amp;" "&amp;C74&amp;" "&amp;LOWER(SUBSTITUTE(SUBSTITUTE(SUBSTITUTE(SUBSTITUTE(A74,"/"," "),"."," "),"\"," "),"_"," ")))&amp;" ")),1,0))+IF(Task!$A$19="",0,IF(ISNUMBER(SEARCH(" "&amp;Task!$A$19&amp;" "," "&amp;LOWER(D74&amp;" "&amp;C74&amp;" "&amp;LOWER(SUBSTITUTE(SUBSTITUTE(SUBSTITUTE(SUBSTITUTE(A74,"/"," "),"."," "),"\"," "),"_"," ")))&amp;" ")),1,0)))</f>
        <v/>
      </c>
      <c r="G74" s="9">
        <f>IF(E74=0,0,IF(Task!$A$8="",0,IF(ISNUMBER(SEARCH(" "&amp;Task!$A$8&amp;" "," "&amp;LOWER(C74)&amp;" ")),1,0))+IF(Task!$A$9="",0,IF(ISNUMBER(SEARCH(" "&amp;Task!$A$9&amp;" "," "&amp;LOWER(C74)&amp;" ")),1,0))+IF(Task!$A$10="",0,IF(ISNUMBER(SEARCH(" "&amp;Task!$A$10&amp;" "," "&amp;LOWER(C74)&amp;" ")),1,0))+IF(Task!$A$11="",0,IF(ISNUMBER(SEARCH(" "&amp;Task!$A$11&amp;" "," "&amp;LOWER(C74)&amp;" ")),1,0))+IF(Task!$A$12="",0,IF(ISNUMBER(SEARCH(" "&amp;Task!$A$12&amp;" "," "&amp;LOWER(C74)&amp;" ")),1,0))+IF(Task!$A$13="",0,IF(ISNUMBER(SEARCH(" "&amp;Task!$A$13&amp;" "," "&amp;LOWER(C74)&amp;" ")),1,0))+IF(Task!$A$14="",0,IF(ISNUMBER(SEARCH(" "&amp;Task!$A$14&amp;" "," "&amp;LOWER(C74)&amp;" ")),1,0))+IF(Task!$A$15="",0,IF(ISNUMBER(SEARCH(" "&amp;Task!$A$15&amp;" "," "&amp;LOWER(C74)&amp;" ")),1,0))+IF(Task!$A$16="",0,IF(ISNUMBER(SEARCH(" "&amp;Task!$A$16&amp;" "," "&amp;LOWER(C74)&amp;" ")),1,0))+IF(Task!$A$17="",0,IF(ISNUMBER(SEARCH(" "&amp;Task!$A$17&amp;" "," "&amp;LOWER(C74)&amp;" ")),1,0))+IF(Task!$A$18="",0,IF(ISNUMBER(SEARCH(" "&amp;Task!$A$18&amp;" "," "&amp;LOWER(C74)&amp;" ")),1,0))+IF(Task!$A$19="",0,IF(ISNUMBER(SEARCH(" "&amp;Task!$A$19&amp;" "," "&amp;LOWER(C74)&amp;" ")),1,0)))</f>
        <v/>
      </c>
      <c r="H74" s="9">
        <f>IF(E74=0,0,IF(Task!$A$8="",0,IF(ISNUMBER(SEARCH(" "&amp;Task!$A$8&amp;" "," "&amp;LOWER(SUBSTITUTE(SUBSTITUTE(SUBSTITUTE(SUBSTITUTE(A74,"/"," "),"."," "),"\"," "),"_"," "))&amp;" ")),1,0))+IF(Task!$A$9="",0,IF(ISNUMBER(SEARCH(" "&amp;Task!$A$9&amp;" "," "&amp;LOWER(SUBSTITUTE(SUBSTITUTE(SUBSTITUTE(SUBSTITUTE(A74,"/"," "),"."," "),"\"," "),"_"," "))&amp;" ")),1,0))+IF(Task!$A$10="",0,IF(ISNUMBER(SEARCH(" "&amp;Task!$A$10&amp;" "," "&amp;LOWER(SUBSTITUTE(SUBSTITUTE(SUBSTITUTE(SUBSTITUTE(A74,"/"," "),"."," "),"\"," "),"_"," "))&amp;" ")),1,0))+IF(Task!$A$11="",0,IF(ISNUMBER(SEARCH(" "&amp;Task!$A$11&amp;" "," "&amp;LOWER(SUBSTITUTE(SUBSTITUTE(SUBSTITUTE(SUBSTITUTE(A74,"/"," "),"."," "),"\"," "),"_"," "))&amp;" ")),1,0))+IF(Task!$A$12="",0,IF(ISNUMBER(SEARCH(" "&amp;Task!$A$12&amp;" "," "&amp;LOWER(SUBSTITUTE(SUBSTITUTE(SUBSTITUTE(SUBSTITUTE(A74,"/"," "),"."," "),"\"," "),"_"," "))&amp;" ")),1,0))+IF(Task!$A$13="",0,IF(ISNUMBER(SEARCH(" "&amp;Task!$A$13&amp;" "," "&amp;LOWER(SUBSTITUTE(SUBSTITUTE(SUBSTITUTE(SUBSTITUTE(A74,"/"," "),"."," "),"\"," "),"_"," "))&amp;" ")),1,0))+IF(Task!$A$14="",0,IF(ISNUMBER(SEARCH(" "&amp;Task!$A$14&amp;" "," "&amp;LOWER(SUBSTITUTE(SUBSTITUTE(SUBSTITUTE(SUBSTITUTE(A74,"/"," "),"."," "),"\"," "),"_"," "))&amp;" ")),1,0))+IF(Task!$A$15="",0,IF(ISNUMBER(SEARCH(" "&amp;Task!$A$15&amp;" "," "&amp;LOWER(SUBSTITUTE(SUBSTITUTE(SUBSTITUTE(SUBSTITUTE(A74,"/"," "),"."," "),"\"," "),"_"," "))&amp;" ")),1,0))+IF(Task!$A$16="",0,IF(ISNUMBER(SEARCH(" "&amp;Task!$A$16&amp;" "," "&amp;LOWER(SUBSTITUTE(SUBSTITUTE(SUBSTITUTE(SUBSTITUTE(A74,"/"," "),"."," "),"\"," "),"_"," "))&amp;" ")),1,0))+IF(Task!$A$17="",0,IF(ISNUMBER(SEARCH(" "&amp;Task!$A$17&amp;" "," "&amp;LOWER(SUBSTITUTE(SUBSTITUTE(SUBSTITUTE(SUBSTITUTE(A74,"/"," "),"."," "),"\"," "),"_"," "))&amp;" ")),1,0))+IF(Task!$A$18="",0,IF(ISNUMBER(SEARCH(" "&amp;Task!$A$18&amp;" "," "&amp;LOWER(SUBSTITUTE(SUBSTITUTE(SUBSTITUTE(SUBSTITUTE(A74,"/"," "),"."," "),"\"," "),"_"," "))&amp;" ")),1,0))+IF(Task!$A$19="",0,IF(ISNUMBER(SEARCH(" "&amp;Task!$A$19&amp;" "," "&amp;LOWER(SUBSTITUTE(SUBSTITUTE(SUBSTITUTE(SUBSTITUTE(A74,"/"," "),"."," "),"\"," "),"_"," "))&amp;" ")),1,0)))</f>
        <v/>
      </c>
      <c r="I74" s="10">
        <f>IF(OR(E74=0,F74=0,Task!$B$21=0),"",F74/Task!$B$21+0.5*G74+0.25*H74)</f>
        <v/>
      </c>
      <c r="J74" s="5">
        <f>IF(I74="","",I74-ROW()/1000000)</f>
        <v/>
      </c>
      <c r="K74" s="9">
        <f>IF(J74="","",COUNTIF($J$5:$J$404,"&gt;"&amp;J74)+1)</f>
        <v/>
      </c>
    </row>
    <row r="75">
      <c r="A75" s="7" t="n"/>
      <c r="B75" s="7" t="n"/>
      <c r="C75" s="7" t="n"/>
      <c r="D75" s="7" t="n"/>
      <c r="E75" s="5">
        <f>IF(A75="",0,IF(COUNTA(Task!$B$5:$E$5)=0,1,IF(COUNTIF(Task!$B$5:$E$5,B75)&gt;0,1,0)))</f>
        <v/>
      </c>
      <c r="F75" s="9">
        <f>IF(E75=0,0,IF(Task!$A$8="",0,IF(ISNUMBER(SEARCH(" "&amp;Task!$A$8&amp;" "," "&amp;LOWER(D75&amp;" "&amp;C75&amp;" "&amp;LOWER(SUBSTITUTE(SUBSTITUTE(SUBSTITUTE(SUBSTITUTE(A75,"/"," "),"."," "),"\"," "),"_"," ")))&amp;" ")),1,0))+IF(Task!$A$9="",0,IF(ISNUMBER(SEARCH(" "&amp;Task!$A$9&amp;" "," "&amp;LOWER(D75&amp;" "&amp;C75&amp;" "&amp;LOWER(SUBSTITUTE(SUBSTITUTE(SUBSTITUTE(SUBSTITUTE(A75,"/"," "),"."," "),"\"," "),"_"," ")))&amp;" ")),1,0))+IF(Task!$A$10="",0,IF(ISNUMBER(SEARCH(" "&amp;Task!$A$10&amp;" "," "&amp;LOWER(D75&amp;" "&amp;C75&amp;" "&amp;LOWER(SUBSTITUTE(SUBSTITUTE(SUBSTITUTE(SUBSTITUTE(A75,"/"," "),"."," "),"\"," "),"_"," ")))&amp;" ")),1,0))+IF(Task!$A$11="",0,IF(ISNUMBER(SEARCH(" "&amp;Task!$A$11&amp;" "," "&amp;LOWER(D75&amp;" "&amp;C75&amp;" "&amp;LOWER(SUBSTITUTE(SUBSTITUTE(SUBSTITUTE(SUBSTITUTE(A75,"/"," "),"."," "),"\"," "),"_"," ")))&amp;" ")),1,0))+IF(Task!$A$12="",0,IF(ISNUMBER(SEARCH(" "&amp;Task!$A$12&amp;" "," "&amp;LOWER(D75&amp;" "&amp;C75&amp;" "&amp;LOWER(SUBSTITUTE(SUBSTITUTE(SUBSTITUTE(SUBSTITUTE(A75,"/"," "),"."," "),"\"," "),"_"," ")))&amp;" ")),1,0))+IF(Task!$A$13="",0,IF(ISNUMBER(SEARCH(" "&amp;Task!$A$13&amp;" "," "&amp;LOWER(D75&amp;" "&amp;C75&amp;" "&amp;LOWER(SUBSTITUTE(SUBSTITUTE(SUBSTITUTE(SUBSTITUTE(A75,"/"," "),"."," "),"\"," "),"_"," ")))&amp;" ")),1,0))+IF(Task!$A$14="",0,IF(ISNUMBER(SEARCH(" "&amp;Task!$A$14&amp;" "," "&amp;LOWER(D75&amp;" "&amp;C75&amp;" "&amp;LOWER(SUBSTITUTE(SUBSTITUTE(SUBSTITUTE(SUBSTITUTE(A75,"/"," "),"."," "),"\"," "),"_"," ")))&amp;" ")),1,0))+IF(Task!$A$15="",0,IF(ISNUMBER(SEARCH(" "&amp;Task!$A$15&amp;" "," "&amp;LOWER(D75&amp;" "&amp;C75&amp;" "&amp;LOWER(SUBSTITUTE(SUBSTITUTE(SUBSTITUTE(SUBSTITUTE(A75,"/"," "),"."," "),"\"," "),"_"," ")))&amp;" ")),1,0))+IF(Task!$A$16="",0,IF(ISNUMBER(SEARCH(" "&amp;Task!$A$16&amp;" "," "&amp;LOWER(D75&amp;" "&amp;C75&amp;" "&amp;LOWER(SUBSTITUTE(SUBSTITUTE(SUBSTITUTE(SUBSTITUTE(A75,"/"," "),"."," "),"\"," "),"_"," ")))&amp;" ")),1,0))+IF(Task!$A$17="",0,IF(ISNUMBER(SEARCH(" "&amp;Task!$A$17&amp;" "," "&amp;LOWER(D75&amp;" "&amp;C75&amp;" "&amp;LOWER(SUBSTITUTE(SUBSTITUTE(SUBSTITUTE(SUBSTITUTE(A75,"/"," "),"."," "),"\"," "),"_"," ")))&amp;" ")),1,0))+IF(Task!$A$18="",0,IF(ISNUMBER(SEARCH(" "&amp;Task!$A$18&amp;" "," "&amp;LOWER(D75&amp;" "&amp;C75&amp;" "&amp;LOWER(SUBSTITUTE(SUBSTITUTE(SUBSTITUTE(SUBSTITUTE(A75,"/"," "),"."," "),"\"," "),"_"," ")))&amp;" ")),1,0))+IF(Task!$A$19="",0,IF(ISNUMBER(SEARCH(" "&amp;Task!$A$19&amp;" "," "&amp;LOWER(D75&amp;" "&amp;C75&amp;" "&amp;LOWER(SUBSTITUTE(SUBSTITUTE(SUBSTITUTE(SUBSTITUTE(A75,"/"," "),"."," "),"\"," "),"_"," ")))&amp;" ")),1,0)))</f>
        <v/>
      </c>
      <c r="G75" s="9">
        <f>IF(E75=0,0,IF(Task!$A$8="",0,IF(ISNUMBER(SEARCH(" "&amp;Task!$A$8&amp;" "," "&amp;LOWER(C75)&amp;" ")),1,0))+IF(Task!$A$9="",0,IF(ISNUMBER(SEARCH(" "&amp;Task!$A$9&amp;" "," "&amp;LOWER(C75)&amp;" ")),1,0))+IF(Task!$A$10="",0,IF(ISNUMBER(SEARCH(" "&amp;Task!$A$10&amp;" "," "&amp;LOWER(C75)&amp;" ")),1,0))+IF(Task!$A$11="",0,IF(ISNUMBER(SEARCH(" "&amp;Task!$A$11&amp;" "," "&amp;LOWER(C75)&amp;" ")),1,0))+IF(Task!$A$12="",0,IF(ISNUMBER(SEARCH(" "&amp;Task!$A$12&amp;" "," "&amp;LOWER(C75)&amp;" ")),1,0))+IF(Task!$A$13="",0,IF(ISNUMBER(SEARCH(" "&amp;Task!$A$13&amp;" "," "&amp;LOWER(C75)&amp;" ")),1,0))+IF(Task!$A$14="",0,IF(ISNUMBER(SEARCH(" "&amp;Task!$A$14&amp;" "," "&amp;LOWER(C75)&amp;" ")),1,0))+IF(Task!$A$15="",0,IF(ISNUMBER(SEARCH(" "&amp;Task!$A$15&amp;" "," "&amp;LOWER(C75)&amp;" ")),1,0))+IF(Task!$A$16="",0,IF(ISNUMBER(SEARCH(" "&amp;Task!$A$16&amp;" "," "&amp;LOWER(C75)&amp;" ")),1,0))+IF(Task!$A$17="",0,IF(ISNUMBER(SEARCH(" "&amp;Task!$A$17&amp;" "," "&amp;LOWER(C75)&amp;" ")),1,0))+IF(Task!$A$18="",0,IF(ISNUMBER(SEARCH(" "&amp;Task!$A$18&amp;" "," "&amp;LOWER(C75)&amp;" ")),1,0))+IF(Task!$A$19="",0,IF(ISNUMBER(SEARCH(" "&amp;Task!$A$19&amp;" "," "&amp;LOWER(C75)&amp;" ")),1,0)))</f>
        <v/>
      </c>
      <c r="H75" s="9">
        <f>IF(E75=0,0,IF(Task!$A$8="",0,IF(ISNUMBER(SEARCH(" "&amp;Task!$A$8&amp;" "," "&amp;LOWER(SUBSTITUTE(SUBSTITUTE(SUBSTITUTE(SUBSTITUTE(A75,"/"," "),"."," "),"\"," "),"_"," "))&amp;" ")),1,0))+IF(Task!$A$9="",0,IF(ISNUMBER(SEARCH(" "&amp;Task!$A$9&amp;" "," "&amp;LOWER(SUBSTITUTE(SUBSTITUTE(SUBSTITUTE(SUBSTITUTE(A75,"/"," "),"."," "),"\"," "),"_"," "))&amp;" ")),1,0))+IF(Task!$A$10="",0,IF(ISNUMBER(SEARCH(" "&amp;Task!$A$10&amp;" "," "&amp;LOWER(SUBSTITUTE(SUBSTITUTE(SUBSTITUTE(SUBSTITUTE(A75,"/"," "),"."," "),"\"," "),"_"," "))&amp;" ")),1,0))+IF(Task!$A$11="",0,IF(ISNUMBER(SEARCH(" "&amp;Task!$A$11&amp;" "," "&amp;LOWER(SUBSTITUTE(SUBSTITUTE(SUBSTITUTE(SUBSTITUTE(A75,"/"," "),"."," "),"\"," "),"_"," "))&amp;" ")),1,0))+IF(Task!$A$12="",0,IF(ISNUMBER(SEARCH(" "&amp;Task!$A$12&amp;" "," "&amp;LOWER(SUBSTITUTE(SUBSTITUTE(SUBSTITUTE(SUBSTITUTE(A75,"/"," "),"."," "),"\"," "),"_"," "))&amp;" ")),1,0))+IF(Task!$A$13="",0,IF(ISNUMBER(SEARCH(" "&amp;Task!$A$13&amp;" "," "&amp;LOWER(SUBSTITUTE(SUBSTITUTE(SUBSTITUTE(SUBSTITUTE(A75,"/"," "),"."," "),"\"," "),"_"," "))&amp;" ")),1,0))+IF(Task!$A$14="",0,IF(ISNUMBER(SEARCH(" "&amp;Task!$A$14&amp;" "," "&amp;LOWER(SUBSTITUTE(SUBSTITUTE(SUBSTITUTE(SUBSTITUTE(A75,"/"," "),"."," "),"\"," "),"_"," "))&amp;" ")),1,0))+IF(Task!$A$15="",0,IF(ISNUMBER(SEARCH(" "&amp;Task!$A$15&amp;" "," "&amp;LOWER(SUBSTITUTE(SUBSTITUTE(SUBSTITUTE(SUBSTITUTE(A75,"/"," "),"."," "),"\"," "),"_"," "))&amp;" ")),1,0))+IF(Task!$A$16="",0,IF(ISNUMBER(SEARCH(" "&amp;Task!$A$16&amp;" "," "&amp;LOWER(SUBSTITUTE(SUBSTITUTE(SUBSTITUTE(SUBSTITUTE(A75,"/"," "),"."," "),"\"," "),"_"," "))&amp;" ")),1,0))+IF(Task!$A$17="",0,IF(ISNUMBER(SEARCH(" "&amp;Task!$A$17&amp;" "," "&amp;LOWER(SUBSTITUTE(SUBSTITUTE(SUBSTITUTE(SUBSTITUTE(A75,"/"," "),"."," "),"\"," "),"_"," "))&amp;" ")),1,0))+IF(Task!$A$18="",0,IF(ISNUMBER(SEARCH(" "&amp;Task!$A$18&amp;" "," "&amp;LOWER(SUBSTITUTE(SUBSTITUTE(SUBSTITUTE(SUBSTITUTE(A75,"/"," "),"."," "),"\"," "),"_"," "))&amp;" ")),1,0))+IF(Task!$A$19="",0,IF(ISNUMBER(SEARCH(" "&amp;Task!$A$19&amp;" "," "&amp;LOWER(SUBSTITUTE(SUBSTITUTE(SUBSTITUTE(SUBSTITUTE(A75,"/"," "),"."," "),"\"," "),"_"," "))&amp;" ")),1,0)))</f>
        <v/>
      </c>
      <c r="I75" s="10">
        <f>IF(OR(E75=0,F75=0,Task!$B$21=0),"",F75/Task!$B$21+0.5*G75+0.25*H75)</f>
        <v/>
      </c>
      <c r="J75" s="5">
        <f>IF(I75="","",I75-ROW()/1000000)</f>
        <v/>
      </c>
      <c r="K75" s="9">
        <f>IF(J75="","",COUNTIF($J$5:$J$404,"&gt;"&amp;J75)+1)</f>
        <v/>
      </c>
    </row>
    <row r="76">
      <c r="A76" s="7" t="n"/>
      <c r="B76" s="7" t="n"/>
      <c r="C76" s="7" t="n"/>
      <c r="D76" s="7" t="n"/>
      <c r="E76" s="5">
        <f>IF(A76="",0,IF(COUNTA(Task!$B$5:$E$5)=0,1,IF(COUNTIF(Task!$B$5:$E$5,B76)&gt;0,1,0)))</f>
        <v/>
      </c>
      <c r="F76" s="9">
        <f>IF(E76=0,0,IF(Task!$A$8="",0,IF(ISNUMBER(SEARCH(" "&amp;Task!$A$8&amp;" "," "&amp;LOWER(D76&amp;" "&amp;C76&amp;" "&amp;LOWER(SUBSTITUTE(SUBSTITUTE(SUBSTITUTE(SUBSTITUTE(A76,"/"," "),"."," "),"\"," "),"_"," ")))&amp;" ")),1,0))+IF(Task!$A$9="",0,IF(ISNUMBER(SEARCH(" "&amp;Task!$A$9&amp;" "," "&amp;LOWER(D76&amp;" "&amp;C76&amp;" "&amp;LOWER(SUBSTITUTE(SUBSTITUTE(SUBSTITUTE(SUBSTITUTE(A76,"/"," "),"."," "),"\"," "),"_"," ")))&amp;" ")),1,0))+IF(Task!$A$10="",0,IF(ISNUMBER(SEARCH(" "&amp;Task!$A$10&amp;" "," "&amp;LOWER(D76&amp;" "&amp;C76&amp;" "&amp;LOWER(SUBSTITUTE(SUBSTITUTE(SUBSTITUTE(SUBSTITUTE(A76,"/"," "),"."," "),"\"," "),"_"," ")))&amp;" ")),1,0))+IF(Task!$A$11="",0,IF(ISNUMBER(SEARCH(" "&amp;Task!$A$11&amp;" "," "&amp;LOWER(D76&amp;" "&amp;C76&amp;" "&amp;LOWER(SUBSTITUTE(SUBSTITUTE(SUBSTITUTE(SUBSTITUTE(A76,"/"," "),"."," "),"\"," "),"_"," ")))&amp;" ")),1,0))+IF(Task!$A$12="",0,IF(ISNUMBER(SEARCH(" "&amp;Task!$A$12&amp;" "," "&amp;LOWER(D76&amp;" "&amp;C76&amp;" "&amp;LOWER(SUBSTITUTE(SUBSTITUTE(SUBSTITUTE(SUBSTITUTE(A76,"/"," "),"."," "),"\"," "),"_"," ")))&amp;" ")),1,0))+IF(Task!$A$13="",0,IF(ISNUMBER(SEARCH(" "&amp;Task!$A$13&amp;" "," "&amp;LOWER(D76&amp;" "&amp;C76&amp;" "&amp;LOWER(SUBSTITUTE(SUBSTITUTE(SUBSTITUTE(SUBSTITUTE(A76,"/"," "),"."," "),"\"," "),"_"," ")))&amp;" ")),1,0))+IF(Task!$A$14="",0,IF(ISNUMBER(SEARCH(" "&amp;Task!$A$14&amp;" "," "&amp;LOWER(D76&amp;" "&amp;C76&amp;" "&amp;LOWER(SUBSTITUTE(SUBSTITUTE(SUBSTITUTE(SUBSTITUTE(A76,"/"," "),"."," "),"\"," "),"_"," ")))&amp;" ")),1,0))+IF(Task!$A$15="",0,IF(ISNUMBER(SEARCH(" "&amp;Task!$A$15&amp;" "," "&amp;LOWER(D76&amp;" "&amp;C76&amp;" "&amp;LOWER(SUBSTITUTE(SUBSTITUTE(SUBSTITUTE(SUBSTITUTE(A76,"/"," "),"."," "),"\"," "),"_"," ")))&amp;" ")),1,0))+IF(Task!$A$16="",0,IF(ISNUMBER(SEARCH(" "&amp;Task!$A$16&amp;" "," "&amp;LOWER(D76&amp;" "&amp;C76&amp;" "&amp;LOWER(SUBSTITUTE(SUBSTITUTE(SUBSTITUTE(SUBSTITUTE(A76,"/"," "),"."," "),"\"," "),"_"," ")))&amp;" ")),1,0))+IF(Task!$A$17="",0,IF(ISNUMBER(SEARCH(" "&amp;Task!$A$17&amp;" "," "&amp;LOWER(D76&amp;" "&amp;C76&amp;" "&amp;LOWER(SUBSTITUTE(SUBSTITUTE(SUBSTITUTE(SUBSTITUTE(A76,"/"," "),"."," "),"\"," "),"_"," ")))&amp;" ")),1,0))+IF(Task!$A$18="",0,IF(ISNUMBER(SEARCH(" "&amp;Task!$A$18&amp;" "," "&amp;LOWER(D76&amp;" "&amp;C76&amp;" "&amp;LOWER(SUBSTITUTE(SUBSTITUTE(SUBSTITUTE(SUBSTITUTE(A76,"/"," "),"."," "),"\"," "),"_"," ")))&amp;" ")),1,0))+IF(Task!$A$19="",0,IF(ISNUMBER(SEARCH(" "&amp;Task!$A$19&amp;" "," "&amp;LOWER(D76&amp;" "&amp;C76&amp;" "&amp;LOWER(SUBSTITUTE(SUBSTITUTE(SUBSTITUTE(SUBSTITUTE(A76,"/"," "),"."," "),"\"," "),"_"," ")))&amp;" ")),1,0)))</f>
        <v/>
      </c>
      <c r="G76" s="9">
        <f>IF(E76=0,0,IF(Task!$A$8="",0,IF(ISNUMBER(SEARCH(" "&amp;Task!$A$8&amp;" "," "&amp;LOWER(C76)&amp;" ")),1,0))+IF(Task!$A$9="",0,IF(ISNUMBER(SEARCH(" "&amp;Task!$A$9&amp;" "," "&amp;LOWER(C76)&amp;" ")),1,0))+IF(Task!$A$10="",0,IF(ISNUMBER(SEARCH(" "&amp;Task!$A$10&amp;" "," "&amp;LOWER(C76)&amp;" ")),1,0))+IF(Task!$A$11="",0,IF(ISNUMBER(SEARCH(" "&amp;Task!$A$11&amp;" "," "&amp;LOWER(C76)&amp;" ")),1,0))+IF(Task!$A$12="",0,IF(ISNUMBER(SEARCH(" "&amp;Task!$A$12&amp;" "," "&amp;LOWER(C76)&amp;" ")),1,0))+IF(Task!$A$13="",0,IF(ISNUMBER(SEARCH(" "&amp;Task!$A$13&amp;" "," "&amp;LOWER(C76)&amp;" ")),1,0))+IF(Task!$A$14="",0,IF(ISNUMBER(SEARCH(" "&amp;Task!$A$14&amp;" "," "&amp;LOWER(C76)&amp;" ")),1,0))+IF(Task!$A$15="",0,IF(ISNUMBER(SEARCH(" "&amp;Task!$A$15&amp;" "," "&amp;LOWER(C76)&amp;" ")),1,0))+IF(Task!$A$16="",0,IF(ISNUMBER(SEARCH(" "&amp;Task!$A$16&amp;" "," "&amp;LOWER(C76)&amp;" ")),1,0))+IF(Task!$A$17="",0,IF(ISNUMBER(SEARCH(" "&amp;Task!$A$17&amp;" "," "&amp;LOWER(C76)&amp;" ")),1,0))+IF(Task!$A$18="",0,IF(ISNUMBER(SEARCH(" "&amp;Task!$A$18&amp;" "," "&amp;LOWER(C76)&amp;" ")),1,0))+IF(Task!$A$19="",0,IF(ISNUMBER(SEARCH(" "&amp;Task!$A$19&amp;" "," "&amp;LOWER(C76)&amp;" ")),1,0)))</f>
        <v/>
      </c>
      <c r="H76" s="9">
        <f>IF(E76=0,0,IF(Task!$A$8="",0,IF(ISNUMBER(SEARCH(" "&amp;Task!$A$8&amp;" "," "&amp;LOWER(SUBSTITUTE(SUBSTITUTE(SUBSTITUTE(SUBSTITUTE(A76,"/"," "),"."," "),"\"," "),"_"," "))&amp;" ")),1,0))+IF(Task!$A$9="",0,IF(ISNUMBER(SEARCH(" "&amp;Task!$A$9&amp;" "," "&amp;LOWER(SUBSTITUTE(SUBSTITUTE(SUBSTITUTE(SUBSTITUTE(A76,"/"," "),"."," "),"\"," "),"_"," "))&amp;" ")),1,0))+IF(Task!$A$10="",0,IF(ISNUMBER(SEARCH(" "&amp;Task!$A$10&amp;" "," "&amp;LOWER(SUBSTITUTE(SUBSTITUTE(SUBSTITUTE(SUBSTITUTE(A76,"/"," "),"."," "),"\"," "),"_"," "))&amp;" ")),1,0))+IF(Task!$A$11="",0,IF(ISNUMBER(SEARCH(" "&amp;Task!$A$11&amp;" "," "&amp;LOWER(SUBSTITUTE(SUBSTITUTE(SUBSTITUTE(SUBSTITUTE(A76,"/"," "),"."," "),"\"," "),"_"," "))&amp;" ")),1,0))+IF(Task!$A$12="",0,IF(ISNUMBER(SEARCH(" "&amp;Task!$A$12&amp;" "," "&amp;LOWER(SUBSTITUTE(SUBSTITUTE(SUBSTITUTE(SUBSTITUTE(A76,"/"," "),"."," "),"\"," "),"_"," "))&amp;" ")),1,0))+IF(Task!$A$13="",0,IF(ISNUMBER(SEARCH(" "&amp;Task!$A$13&amp;" "," "&amp;LOWER(SUBSTITUTE(SUBSTITUTE(SUBSTITUTE(SUBSTITUTE(A76,"/"," "),"."," "),"\"," "),"_"," "))&amp;" ")),1,0))+IF(Task!$A$14="",0,IF(ISNUMBER(SEARCH(" "&amp;Task!$A$14&amp;" "," "&amp;LOWER(SUBSTITUTE(SUBSTITUTE(SUBSTITUTE(SUBSTITUTE(A76,"/"," "),"."," "),"\"," "),"_"," "))&amp;" ")),1,0))+IF(Task!$A$15="",0,IF(ISNUMBER(SEARCH(" "&amp;Task!$A$15&amp;" "," "&amp;LOWER(SUBSTITUTE(SUBSTITUTE(SUBSTITUTE(SUBSTITUTE(A76,"/"," "),"."," "),"\"," "),"_"," "))&amp;" ")),1,0))+IF(Task!$A$16="",0,IF(ISNUMBER(SEARCH(" "&amp;Task!$A$16&amp;" "," "&amp;LOWER(SUBSTITUTE(SUBSTITUTE(SUBSTITUTE(SUBSTITUTE(A76,"/"," "),"."," "),"\"," "),"_"," "))&amp;" ")),1,0))+IF(Task!$A$17="",0,IF(ISNUMBER(SEARCH(" "&amp;Task!$A$17&amp;" "," "&amp;LOWER(SUBSTITUTE(SUBSTITUTE(SUBSTITUTE(SUBSTITUTE(A76,"/"," "),"."," "),"\"," "),"_"," "))&amp;" ")),1,0))+IF(Task!$A$18="",0,IF(ISNUMBER(SEARCH(" "&amp;Task!$A$18&amp;" "," "&amp;LOWER(SUBSTITUTE(SUBSTITUTE(SUBSTITUTE(SUBSTITUTE(A76,"/"," "),"."," "),"\"," "),"_"," "))&amp;" ")),1,0))+IF(Task!$A$19="",0,IF(ISNUMBER(SEARCH(" "&amp;Task!$A$19&amp;" "," "&amp;LOWER(SUBSTITUTE(SUBSTITUTE(SUBSTITUTE(SUBSTITUTE(A76,"/"," "),"."," "),"\"," "),"_"," "))&amp;" ")),1,0)))</f>
        <v/>
      </c>
      <c r="I76" s="10">
        <f>IF(OR(E76=0,F76=0,Task!$B$21=0),"",F76/Task!$B$21+0.5*G76+0.25*H76)</f>
        <v/>
      </c>
      <c r="J76" s="5">
        <f>IF(I76="","",I76-ROW()/1000000)</f>
        <v/>
      </c>
      <c r="K76" s="9">
        <f>IF(J76="","",COUNTIF($J$5:$J$404,"&gt;"&amp;J76)+1)</f>
        <v/>
      </c>
    </row>
    <row r="77">
      <c r="A77" s="7" t="n"/>
      <c r="B77" s="7" t="n"/>
      <c r="C77" s="7" t="n"/>
      <c r="D77" s="7" t="n"/>
      <c r="E77" s="5">
        <f>IF(A77="",0,IF(COUNTA(Task!$B$5:$E$5)=0,1,IF(COUNTIF(Task!$B$5:$E$5,B77)&gt;0,1,0)))</f>
        <v/>
      </c>
      <c r="F77" s="9">
        <f>IF(E77=0,0,IF(Task!$A$8="",0,IF(ISNUMBER(SEARCH(" "&amp;Task!$A$8&amp;" "," "&amp;LOWER(D77&amp;" "&amp;C77&amp;" "&amp;LOWER(SUBSTITUTE(SUBSTITUTE(SUBSTITUTE(SUBSTITUTE(A77,"/"," "),"."," "),"\"," "),"_"," ")))&amp;" ")),1,0))+IF(Task!$A$9="",0,IF(ISNUMBER(SEARCH(" "&amp;Task!$A$9&amp;" "," "&amp;LOWER(D77&amp;" "&amp;C77&amp;" "&amp;LOWER(SUBSTITUTE(SUBSTITUTE(SUBSTITUTE(SUBSTITUTE(A77,"/"," "),"."," "),"\"," "),"_"," ")))&amp;" ")),1,0))+IF(Task!$A$10="",0,IF(ISNUMBER(SEARCH(" "&amp;Task!$A$10&amp;" "," "&amp;LOWER(D77&amp;" "&amp;C77&amp;" "&amp;LOWER(SUBSTITUTE(SUBSTITUTE(SUBSTITUTE(SUBSTITUTE(A77,"/"," "),"."," "),"\"," "),"_"," ")))&amp;" ")),1,0))+IF(Task!$A$11="",0,IF(ISNUMBER(SEARCH(" "&amp;Task!$A$11&amp;" "," "&amp;LOWER(D77&amp;" "&amp;C77&amp;" "&amp;LOWER(SUBSTITUTE(SUBSTITUTE(SUBSTITUTE(SUBSTITUTE(A77,"/"," "),"."," "),"\"," "),"_"," ")))&amp;" ")),1,0))+IF(Task!$A$12="",0,IF(ISNUMBER(SEARCH(" "&amp;Task!$A$12&amp;" "," "&amp;LOWER(D77&amp;" "&amp;C77&amp;" "&amp;LOWER(SUBSTITUTE(SUBSTITUTE(SUBSTITUTE(SUBSTITUTE(A77,"/"," "),"."," "),"\"," "),"_"," ")))&amp;" ")),1,0))+IF(Task!$A$13="",0,IF(ISNUMBER(SEARCH(" "&amp;Task!$A$13&amp;" "," "&amp;LOWER(D77&amp;" "&amp;C77&amp;" "&amp;LOWER(SUBSTITUTE(SUBSTITUTE(SUBSTITUTE(SUBSTITUTE(A77,"/"," "),"."," "),"\"," "),"_"," ")))&amp;" ")),1,0))+IF(Task!$A$14="",0,IF(ISNUMBER(SEARCH(" "&amp;Task!$A$14&amp;" "," "&amp;LOWER(D77&amp;" "&amp;C77&amp;" "&amp;LOWER(SUBSTITUTE(SUBSTITUTE(SUBSTITUTE(SUBSTITUTE(A77,"/"," "),"."," "),"\"," "),"_"," ")))&amp;" ")),1,0))+IF(Task!$A$15="",0,IF(ISNUMBER(SEARCH(" "&amp;Task!$A$15&amp;" "," "&amp;LOWER(D77&amp;" "&amp;C77&amp;" "&amp;LOWER(SUBSTITUTE(SUBSTITUTE(SUBSTITUTE(SUBSTITUTE(A77,"/"," "),"."," "),"\"," "),"_"," ")))&amp;" ")),1,0))+IF(Task!$A$16="",0,IF(ISNUMBER(SEARCH(" "&amp;Task!$A$16&amp;" "," "&amp;LOWER(D77&amp;" "&amp;C77&amp;" "&amp;LOWER(SUBSTITUTE(SUBSTITUTE(SUBSTITUTE(SUBSTITUTE(A77,"/"," "),"."," "),"\"," "),"_"," ")))&amp;" ")),1,0))+IF(Task!$A$17="",0,IF(ISNUMBER(SEARCH(" "&amp;Task!$A$17&amp;" "," "&amp;LOWER(D77&amp;" "&amp;C77&amp;" "&amp;LOWER(SUBSTITUTE(SUBSTITUTE(SUBSTITUTE(SUBSTITUTE(A77,"/"," "),"."," "),"\"," "),"_"," ")))&amp;" ")),1,0))+IF(Task!$A$18="",0,IF(ISNUMBER(SEARCH(" "&amp;Task!$A$18&amp;" "," "&amp;LOWER(D77&amp;" "&amp;C77&amp;" "&amp;LOWER(SUBSTITUTE(SUBSTITUTE(SUBSTITUTE(SUBSTITUTE(A77,"/"," "),"."," "),"\"," "),"_"," ")))&amp;" ")),1,0))+IF(Task!$A$19="",0,IF(ISNUMBER(SEARCH(" "&amp;Task!$A$19&amp;" "," "&amp;LOWER(D77&amp;" "&amp;C77&amp;" "&amp;LOWER(SUBSTITUTE(SUBSTITUTE(SUBSTITUTE(SUBSTITUTE(A77,"/"," "),"."," "),"\"," "),"_"," ")))&amp;" ")),1,0)))</f>
        <v/>
      </c>
      <c r="G77" s="9">
        <f>IF(E77=0,0,IF(Task!$A$8="",0,IF(ISNUMBER(SEARCH(" "&amp;Task!$A$8&amp;" "," "&amp;LOWER(C77)&amp;" ")),1,0))+IF(Task!$A$9="",0,IF(ISNUMBER(SEARCH(" "&amp;Task!$A$9&amp;" "," "&amp;LOWER(C77)&amp;" ")),1,0))+IF(Task!$A$10="",0,IF(ISNUMBER(SEARCH(" "&amp;Task!$A$10&amp;" "," "&amp;LOWER(C77)&amp;" ")),1,0))+IF(Task!$A$11="",0,IF(ISNUMBER(SEARCH(" "&amp;Task!$A$11&amp;" "," "&amp;LOWER(C77)&amp;" ")),1,0))+IF(Task!$A$12="",0,IF(ISNUMBER(SEARCH(" "&amp;Task!$A$12&amp;" "," "&amp;LOWER(C77)&amp;" ")),1,0))+IF(Task!$A$13="",0,IF(ISNUMBER(SEARCH(" "&amp;Task!$A$13&amp;" "," "&amp;LOWER(C77)&amp;" ")),1,0))+IF(Task!$A$14="",0,IF(ISNUMBER(SEARCH(" "&amp;Task!$A$14&amp;" "," "&amp;LOWER(C77)&amp;" ")),1,0))+IF(Task!$A$15="",0,IF(ISNUMBER(SEARCH(" "&amp;Task!$A$15&amp;" "," "&amp;LOWER(C77)&amp;" ")),1,0))+IF(Task!$A$16="",0,IF(ISNUMBER(SEARCH(" "&amp;Task!$A$16&amp;" "," "&amp;LOWER(C77)&amp;" ")),1,0))+IF(Task!$A$17="",0,IF(ISNUMBER(SEARCH(" "&amp;Task!$A$17&amp;" "," "&amp;LOWER(C77)&amp;" ")),1,0))+IF(Task!$A$18="",0,IF(ISNUMBER(SEARCH(" "&amp;Task!$A$18&amp;" "," "&amp;LOWER(C77)&amp;" ")),1,0))+IF(Task!$A$19="",0,IF(ISNUMBER(SEARCH(" "&amp;Task!$A$19&amp;" "," "&amp;LOWER(C77)&amp;" ")),1,0)))</f>
        <v/>
      </c>
      <c r="H77" s="9">
        <f>IF(E77=0,0,IF(Task!$A$8="",0,IF(ISNUMBER(SEARCH(" "&amp;Task!$A$8&amp;" "," "&amp;LOWER(SUBSTITUTE(SUBSTITUTE(SUBSTITUTE(SUBSTITUTE(A77,"/"," "),"."," "),"\"," "),"_"," "))&amp;" ")),1,0))+IF(Task!$A$9="",0,IF(ISNUMBER(SEARCH(" "&amp;Task!$A$9&amp;" "," "&amp;LOWER(SUBSTITUTE(SUBSTITUTE(SUBSTITUTE(SUBSTITUTE(A77,"/"," "),"."," "),"\"," "),"_"," "))&amp;" ")),1,0))+IF(Task!$A$10="",0,IF(ISNUMBER(SEARCH(" "&amp;Task!$A$10&amp;" "," "&amp;LOWER(SUBSTITUTE(SUBSTITUTE(SUBSTITUTE(SUBSTITUTE(A77,"/"," "),"."," "),"\"," "),"_"," "))&amp;" ")),1,0))+IF(Task!$A$11="",0,IF(ISNUMBER(SEARCH(" "&amp;Task!$A$11&amp;" "," "&amp;LOWER(SUBSTITUTE(SUBSTITUTE(SUBSTITUTE(SUBSTITUTE(A77,"/"," "),"."," "),"\"," "),"_"," "))&amp;" ")),1,0))+IF(Task!$A$12="",0,IF(ISNUMBER(SEARCH(" "&amp;Task!$A$12&amp;" "," "&amp;LOWER(SUBSTITUTE(SUBSTITUTE(SUBSTITUTE(SUBSTITUTE(A77,"/"," "),"."," "),"\"," "),"_"," "))&amp;" ")),1,0))+IF(Task!$A$13="",0,IF(ISNUMBER(SEARCH(" "&amp;Task!$A$13&amp;" "," "&amp;LOWER(SUBSTITUTE(SUBSTITUTE(SUBSTITUTE(SUBSTITUTE(A77,"/"," "),"."," "),"\"," "),"_"," "))&amp;" ")),1,0))+IF(Task!$A$14="",0,IF(ISNUMBER(SEARCH(" "&amp;Task!$A$14&amp;" "," "&amp;LOWER(SUBSTITUTE(SUBSTITUTE(SUBSTITUTE(SUBSTITUTE(A77,"/"," "),"."," "),"\"," "),"_"," "))&amp;" ")),1,0))+IF(Task!$A$15="",0,IF(ISNUMBER(SEARCH(" "&amp;Task!$A$15&amp;" "," "&amp;LOWER(SUBSTITUTE(SUBSTITUTE(SUBSTITUTE(SUBSTITUTE(A77,"/"," "),"."," "),"\"," "),"_"," "))&amp;" ")),1,0))+IF(Task!$A$16="",0,IF(ISNUMBER(SEARCH(" "&amp;Task!$A$16&amp;" "," "&amp;LOWER(SUBSTITUTE(SUBSTITUTE(SUBSTITUTE(SUBSTITUTE(A77,"/"," "),"."," "),"\"," "),"_"," "))&amp;" ")),1,0))+IF(Task!$A$17="",0,IF(ISNUMBER(SEARCH(" "&amp;Task!$A$17&amp;" "," "&amp;LOWER(SUBSTITUTE(SUBSTITUTE(SUBSTITUTE(SUBSTITUTE(A77,"/"," "),"."," "),"\"," "),"_"," "))&amp;" ")),1,0))+IF(Task!$A$18="",0,IF(ISNUMBER(SEARCH(" "&amp;Task!$A$18&amp;" "," "&amp;LOWER(SUBSTITUTE(SUBSTITUTE(SUBSTITUTE(SUBSTITUTE(A77,"/"," "),"."," "),"\"," "),"_"," "))&amp;" ")),1,0))+IF(Task!$A$19="",0,IF(ISNUMBER(SEARCH(" "&amp;Task!$A$19&amp;" "," "&amp;LOWER(SUBSTITUTE(SUBSTITUTE(SUBSTITUTE(SUBSTITUTE(A77,"/"," "),"."," "),"\"," "),"_"," "))&amp;" ")),1,0)))</f>
        <v/>
      </c>
      <c r="I77" s="10">
        <f>IF(OR(E77=0,F77=0,Task!$B$21=0),"",F77/Task!$B$21+0.5*G77+0.25*H77)</f>
        <v/>
      </c>
      <c r="J77" s="5">
        <f>IF(I77="","",I77-ROW()/1000000)</f>
        <v/>
      </c>
      <c r="K77" s="9">
        <f>IF(J77="","",COUNTIF($J$5:$J$404,"&gt;"&amp;J77)+1)</f>
        <v/>
      </c>
    </row>
    <row r="78">
      <c r="A78" s="7" t="n"/>
      <c r="B78" s="7" t="n"/>
      <c r="C78" s="7" t="n"/>
      <c r="D78" s="7" t="n"/>
      <c r="E78" s="5">
        <f>IF(A78="",0,IF(COUNTA(Task!$B$5:$E$5)=0,1,IF(COUNTIF(Task!$B$5:$E$5,B78)&gt;0,1,0)))</f>
        <v/>
      </c>
      <c r="F78" s="9">
        <f>IF(E78=0,0,IF(Task!$A$8="",0,IF(ISNUMBER(SEARCH(" "&amp;Task!$A$8&amp;" "," "&amp;LOWER(D78&amp;" "&amp;C78&amp;" "&amp;LOWER(SUBSTITUTE(SUBSTITUTE(SUBSTITUTE(SUBSTITUTE(A78,"/"," "),"."," "),"\"," "),"_"," ")))&amp;" ")),1,0))+IF(Task!$A$9="",0,IF(ISNUMBER(SEARCH(" "&amp;Task!$A$9&amp;" "," "&amp;LOWER(D78&amp;" "&amp;C78&amp;" "&amp;LOWER(SUBSTITUTE(SUBSTITUTE(SUBSTITUTE(SUBSTITUTE(A78,"/"," "),"."," "),"\"," "),"_"," ")))&amp;" ")),1,0))+IF(Task!$A$10="",0,IF(ISNUMBER(SEARCH(" "&amp;Task!$A$10&amp;" "," "&amp;LOWER(D78&amp;" "&amp;C78&amp;" "&amp;LOWER(SUBSTITUTE(SUBSTITUTE(SUBSTITUTE(SUBSTITUTE(A78,"/"," "),"."," "),"\"," "),"_"," ")))&amp;" ")),1,0))+IF(Task!$A$11="",0,IF(ISNUMBER(SEARCH(" "&amp;Task!$A$11&amp;" "," "&amp;LOWER(D78&amp;" "&amp;C78&amp;" "&amp;LOWER(SUBSTITUTE(SUBSTITUTE(SUBSTITUTE(SUBSTITUTE(A78,"/"," "),"."," "),"\"," "),"_"," ")))&amp;" ")),1,0))+IF(Task!$A$12="",0,IF(ISNUMBER(SEARCH(" "&amp;Task!$A$12&amp;" "," "&amp;LOWER(D78&amp;" "&amp;C78&amp;" "&amp;LOWER(SUBSTITUTE(SUBSTITUTE(SUBSTITUTE(SUBSTITUTE(A78,"/"," "),"."," "),"\"," "),"_"," ")))&amp;" ")),1,0))+IF(Task!$A$13="",0,IF(ISNUMBER(SEARCH(" "&amp;Task!$A$13&amp;" "," "&amp;LOWER(D78&amp;" "&amp;C78&amp;" "&amp;LOWER(SUBSTITUTE(SUBSTITUTE(SUBSTITUTE(SUBSTITUTE(A78,"/"," "),"."," "),"\"," "),"_"," ")))&amp;" ")),1,0))+IF(Task!$A$14="",0,IF(ISNUMBER(SEARCH(" "&amp;Task!$A$14&amp;" "," "&amp;LOWER(D78&amp;" "&amp;C78&amp;" "&amp;LOWER(SUBSTITUTE(SUBSTITUTE(SUBSTITUTE(SUBSTITUTE(A78,"/"," "),"."," "),"\"," "),"_"," ")))&amp;" ")),1,0))+IF(Task!$A$15="",0,IF(ISNUMBER(SEARCH(" "&amp;Task!$A$15&amp;" "," "&amp;LOWER(D78&amp;" "&amp;C78&amp;" "&amp;LOWER(SUBSTITUTE(SUBSTITUTE(SUBSTITUTE(SUBSTITUTE(A78,"/"," "),"."," "),"\"," "),"_"," ")))&amp;" ")),1,0))+IF(Task!$A$16="",0,IF(ISNUMBER(SEARCH(" "&amp;Task!$A$16&amp;" "," "&amp;LOWER(D78&amp;" "&amp;C78&amp;" "&amp;LOWER(SUBSTITUTE(SUBSTITUTE(SUBSTITUTE(SUBSTITUTE(A78,"/"," "),"."," "),"\"," "),"_"," ")))&amp;" ")),1,0))+IF(Task!$A$17="",0,IF(ISNUMBER(SEARCH(" "&amp;Task!$A$17&amp;" "," "&amp;LOWER(D78&amp;" "&amp;C78&amp;" "&amp;LOWER(SUBSTITUTE(SUBSTITUTE(SUBSTITUTE(SUBSTITUTE(A78,"/"," "),"."," "),"\"," "),"_"," ")))&amp;" ")),1,0))+IF(Task!$A$18="",0,IF(ISNUMBER(SEARCH(" "&amp;Task!$A$18&amp;" "," "&amp;LOWER(D78&amp;" "&amp;C78&amp;" "&amp;LOWER(SUBSTITUTE(SUBSTITUTE(SUBSTITUTE(SUBSTITUTE(A78,"/"," "),"."," "),"\"," "),"_"," ")))&amp;" ")),1,0))+IF(Task!$A$19="",0,IF(ISNUMBER(SEARCH(" "&amp;Task!$A$19&amp;" "," "&amp;LOWER(D78&amp;" "&amp;C78&amp;" "&amp;LOWER(SUBSTITUTE(SUBSTITUTE(SUBSTITUTE(SUBSTITUTE(A78,"/"," "),"."," "),"\"," "),"_"," ")))&amp;" ")),1,0)))</f>
        <v/>
      </c>
      <c r="G78" s="9">
        <f>IF(E78=0,0,IF(Task!$A$8="",0,IF(ISNUMBER(SEARCH(" "&amp;Task!$A$8&amp;" "," "&amp;LOWER(C78)&amp;" ")),1,0))+IF(Task!$A$9="",0,IF(ISNUMBER(SEARCH(" "&amp;Task!$A$9&amp;" "," "&amp;LOWER(C78)&amp;" ")),1,0))+IF(Task!$A$10="",0,IF(ISNUMBER(SEARCH(" "&amp;Task!$A$10&amp;" "," "&amp;LOWER(C78)&amp;" ")),1,0))+IF(Task!$A$11="",0,IF(ISNUMBER(SEARCH(" "&amp;Task!$A$11&amp;" "," "&amp;LOWER(C78)&amp;" ")),1,0))+IF(Task!$A$12="",0,IF(ISNUMBER(SEARCH(" "&amp;Task!$A$12&amp;" "," "&amp;LOWER(C78)&amp;" ")),1,0))+IF(Task!$A$13="",0,IF(ISNUMBER(SEARCH(" "&amp;Task!$A$13&amp;" "," "&amp;LOWER(C78)&amp;" ")),1,0))+IF(Task!$A$14="",0,IF(ISNUMBER(SEARCH(" "&amp;Task!$A$14&amp;" "," "&amp;LOWER(C78)&amp;" ")),1,0))+IF(Task!$A$15="",0,IF(ISNUMBER(SEARCH(" "&amp;Task!$A$15&amp;" "," "&amp;LOWER(C78)&amp;" ")),1,0))+IF(Task!$A$16="",0,IF(ISNUMBER(SEARCH(" "&amp;Task!$A$16&amp;" "," "&amp;LOWER(C78)&amp;" ")),1,0))+IF(Task!$A$17="",0,IF(ISNUMBER(SEARCH(" "&amp;Task!$A$17&amp;" "," "&amp;LOWER(C78)&amp;" ")),1,0))+IF(Task!$A$18="",0,IF(ISNUMBER(SEARCH(" "&amp;Task!$A$18&amp;" "," "&amp;LOWER(C78)&amp;" ")),1,0))+IF(Task!$A$19="",0,IF(ISNUMBER(SEARCH(" "&amp;Task!$A$19&amp;" "," "&amp;LOWER(C78)&amp;" ")),1,0)))</f>
        <v/>
      </c>
      <c r="H78" s="9">
        <f>IF(E78=0,0,IF(Task!$A$8="",0,IF(ISNUMBER(SEARCH(" "&amp;Task!$A$8&amp;" "," "&amp;LOWER(SUBSTITUTE(SUBSTITUTE(SUBSTITUTE(SUBSTITUTE(A78,"/"," "),"."," "),"\"," "),"_"," "))&amp;" ")),1,0))+IF(Task!$A$9="",0,IF(ISNUMBER(SEARCH(" "&amp;Task!$A$9&amp;" "," "&amp;LOWER(SUBSTITUTE(SUBSTITUTE(SUBSTITUTE(SUBSTITUTE(A78,"/"," "),"."," "),"\"," "),"_"," "))&amp;" ")),1,0))+IF(Task!$A$10="",0,IF(ISNUMBER(SEARCH(" "&amp;Task!$A$10&amp;" "," "&amp;LOWER(SUBSTITUTE(SUBSTITUTE(SUBSTITUTE(SUBSTITUTE(A78,"/"," "),"."," "),"\"," "),"_"," "))&amp;" ")),1,0))+IF(Task!$A$11="",0,IF(ISNUMBER(SEARCH(" "&amp;Task!$A$11&amp;" "," "&amp;LOWER(SUBSTITUTE(SUBSTITUTE(SUBSTITUTE(SUBSTITUTE(A78,"/"," "),"."," "),"\"," "),"_"," "))&amp;" ")),1,0))+IF(Task!$A$12="",0,IF(ISNUMBER(SEARCH(" "&amp;Task!$A$12&amp;" "," "&amp;LOWER(SUBSTITUTE(SUBSTITUTE(SUBSTITUTE(SUBSTITUTE(A78,"/"," "),"."," "),"\"," "),"_"," "))&amp;" ")),1,0))+IF(Task!$A$13="",0,IF(ISNUMBER(SEARCH(" "&amp;Task!$A$13&amp;" "," "&amp;LOWER(SUBSTITUTE(SUBSTITUTE(SUBSTITUTE(SUBSTITUTE(A78,"/"," "),"."," "),"\"," "),"_"," "))&amp;" ")),1,0))+IF(Task!$A$14="",0,IF(ISNUMBER(SEARCH(" "&amp;Task!$A$14&amp;" "," "&amp;LOWER(SUBSTITUTE(SUBSTITUTE(SUBSTITUTE(SUBSTITUTE(A78,"/"," "),"."," "),"\"," "),"_"," "))&amp;" ")),1,0))+IF(Task!$A$15="",0,IF(ISNUMBER(SEARCH(" "&amp;Task!$A$15&amp;" "," "&amp;LOWER(SUBSTITUTE(SUBSTITUTE(SUBSTITUTE(SUBSTITUTE(A78,"/"," "),"."," "),"\"," "),"_"," "))&amp;" ")),1,0))+IF(Task!$A$16="",0,IF(ISNUMBER(SEARCH(" "&amp;Task!$A$16&amp;" "," "&amp;LOWER(SUBSTITUTE(SUBSTITUTE(SUBSTITUTE(SUBSTITUTE(A78,"/"," "),"."," "),"\"," "),"_"," "))&amp;" ")),1,0))+IF(Task!$A$17="",0,IF(ISNUMBER(SEARCH(" "&amp;Task!$A$17&amp;" "," "&amp;LOWER(SUBSTITUTE(SUBSTITUTE(SUBSTITUTE(SUBSTITUTE(A78,"/"," "),"."," "),"\"," "),"_"," "))&amp;" ")),1,0))+IF(Task!$A$18="",0,IF(ISNUMBER(SEARCH(" "&amp;Task!$A$18&amp;" "," "&amp;LOWER(SUBSTITUTE(SUBSTITUTE(SUBSTITUTE(SUBSTITUTE(A78,"/"," "),"."," "),"\"," "),"_"," "))&amp;" ")),1,0))+IF(Task!$A$19="",0,IF(ISNUMBER(SEARCH(" "&amp;Task!$A$19&amp;" "," "&amp;LOWER(SUBSTITUTE(SUBSTITUTE(SUBSTITUTE(SUBSTITUTE(A78,"/"," "),"."," "),"\"," "),"_"," "))&amp;" ")),1,0)))</f>
        <v/>
      </c>
      <c r="I78" s="10">
        <f>IF(OR(E78=0,F78=0,Task!$B$21=0),"",F78/Task!$B$21+0.5*G78+0.25*H78)</f>
        <v/>
      </c>
      <c r="J78" s="5">
        <f>IF(I78="","",I78-ROW()/1000000)</f>
        <v/>
      </c>
      <c r="K78" s="9">
        <f>IF(J78="","",COUNTIF($J$5:$J$404,"&gt;"&amp;J78)+1)</f>
        <v/>
      </c>
    </row>
    <row r="79">
      <c r="A79" s="7" t="n"/>
      <c r="B79" s="7" t="n"/>
      <c r="C79" s="7" t="n"/>
      <c r="D79" s="7" t="n"/>
      <c r="E79" s="5">
        <f>IF(A79="",0,IF(COUNTA(Task!$B$5:$E$5)=0,1,IF(COUNTIF(Task!$B$5:$E$5,B79)&gt;0,1,0)))</f>
        <v/>
      </c>
      <c r="F79" s="9">
        <f>IF(E79=0,0,IF(Task!$A$8="",0,IF(ISNUMBER(SEARCH(" "&amp;Task!$A$8&amp;" "," "&amp;LOWER(D79&amp;" "&amp;C79&amp;" "&amp;LOWER(SUBSTITUTE(SUBSTITUTE(SUBSTITUTE(SUBSTITUTE(A79,"/"," "),"."," "),"\"," "),"_"," ")))&amp;" ")),1,0))+IF(Task!$A$9="",0,IF(ISNUMBER(SEARCH(" "&amp;Task!$A$9&amp;" "," "&amp;LOWER(D79&amp;" "&amp;C79&amp;" "&amp;LOWER(SUBSTITUTE(SUBSTITUTE(SUBSTITUTE(SUBSTITUTE(A79,"/"," "),"."," "),"\"," "),"_"," ")))&amp;" ")),1,0))+IF(Task!$A$10="",0,IF(ISNUMBER(SEARCH(" "&amp;Task!$A$10&amp;" "," "&amp;LOWER(D79&amp;" "&amp;C79&amp;" "&amp;LOWER(SUBSTITUTE(SUBSTITUTE(SUBSTITUTE(SUBSTITUTE(A79,"/"," "),"."," "),"\"," "),"_"," ")))&amp;" ")),1,0))+IF(Task!$A$11="",0,IF(ISNUMBER(SEARCH(" "&amp;Task!$A$11&amp;" "," "&amp;LOWER(D79&amp;" "&amp;C79&amp;" "&amp;LOWER(SUBSTITUTE(SUBSTITUTE(SUBSTITUTE(SUBSTITUTE(A79,"/"," "),"."," "),"\"," "),"_"," ")))&amp;" ")),1,0))+IF(Task!$A$12="",0,IF(ISNUMBER(SEARCH(" "&amp;Task!$A$12&amp;" "," "&amp;LOWER(D79&amp;" "&amp;C79&amp;" "&amp;LOWER(SUBSTITUTE(SUBSTITUTE(SUBSTITUTE(SUBSTITUTE(A79,"/"," "),"."," "),"\"," "),"_"," ")))&amp;" ")),1,0))+IF(Task!$A$13="",0,IF(ISNUMBER(SEARCH(" "&amp;Task!$A$13&amp;" "," "&amp;LOWER(D79&amp;" "&amp;C79&amp;" "&amp;LOWER(SUBSTITUTE(SUBSTITUTE(SUBSTITUTE(SUBSTITUTE(A79,"/"," "),"."," "),"\"," "),"_"," ")))&amp;" ")),1,0))+IF(Task!$A$14="",0,IF(ISNUMBER(SEARCH(" "&amp;Task!$A$14&amp;" "," "&amp;LOWER(D79&amp;" "&amp;C79&amp;" "&amp;LOWER(SUBSTITUTE(SUBSTITUTE(SUBSTITUTE(SUBSTITUTE(A79,"/"," "),"."," "),"\"," "),"_"," ")))&amp;" ")),1,0))+IF(Task!$A$15="",0,IF(ISNUMBER(SEARCH(" "&amp;Task!$A$15&amp;" "," "&amp;LOWER(D79&amp;" "&amp;C79&amp;" "&amp;LOWER(SUBSTITUTE(SUBSTITUTE(SUBSTITUTE(SUBSTITUTE(A79,"/"," "),"."," "),"\"," "),"_"," ")))&amp;" ")),1,0))+IF(Task!$A$16="",0,IF(ISNUMBER(SEARCH(" "&amp;Task!$A$16&amp;" "," "&amp;LOWER(D79&amp;" "&amp;C79&amp;" "&amp;LOWER(SUBSTITUTE(SUBSTITUTE(SUBSTITUTE(SUBSTITUTE(A79,"/"," "),"."," "),"\"," "),"_"," ")))&amp;" ")),1,0))+IF(Task!$A$17="",0,IF(ISNUMBER(SEARCH(" "&amp;Task!$A$17&amp;" "," "&amp;LOWER(D79&amp;" "&amp;C79&amp;" "&amp;LOWER(SUBSTITUTE(SUBSTITUTE(SUBSTITUTE(SUBSTITUTE(A79,"/"," "),"."," "),"\"," "),"_"," ")))&amp;" ")),1,0))+IF(Task!$A$18="",0,IF(ISNUMBER(SEARCH(" "&amp;Task!$A$18&amp;" "," "&amp;LOWER(D79&amp;" "&amp;C79&amp;" "&amp;LOWER(SUBSTITUTE(SUBSTITUTE(SUBSTITUTE(SUBSTITUTE(A79,"/"," "),"."," "),"\"," "),"_"," ")))&amp;" ")),1,0))+IF(Task!$A$19="",0,IF(ISNUMBER(SEARCH(" "&amp;Task!$A$19&amp;" "," "&amp;LOWER(D79&amp;" "&amp;C79&amp;" "&amp;LOWER(SUBSTITUTE(SUBSTITUTE(SUBSTITUTE(SUBSTITUTE(A79,"/"," "),"."," "),"\"," "),"_"," ")))&amp;" ")),1,0)))</f>
        <v/>
      </c>
      <c r="G79" s="9">
        <f>IF(E79=0,0,IF(Task!$A$8="",0,IF(ISNUMBER(SEARCH(" "&amp;Task!$A$8&amp;" "," "&amp;LOWER(C79)&amp;" ")),1,0))+IF(Task!$A$9="",0,IF(ISNUMBER(SEARCH(" "&amp;Task!$A$9&amp;" "," "&amp;LOWER(C79)&amp;" ")),1,0))+IF(Task!$A$10="",0,IF(ISNUMBER(SEARCH(" "&amp;Task!$A$10&amp;" "," "&amp;LOWER(C79)&amp;" ")),1,0))+IF(Task!$A$11="",0,IF(ISNUMBER(SEARCH(" "&amp;Task!$A$11&amp;" "," "&amp;LOWER(C79)&amp;" ")),1,0))+IF(Task!$A$12="",0,IF(ISNUMBER(SEARCH(" "&amp;Task!$A$12&amp;" "," "&amp;LOWER(C79)&amp;" ")),1,0))+IF(Task!$A$13="",0,IF(ISNUMBER(SEARCH(" "&amp;Task!$A$13&amp;" "," "&amp;LOWER(C79)&amp;" ")),1,0))+IF(Task!$A$14="",0,IF(ISNUMBER(SEARCH(" "&amp;Task!$A$14&amp;" "," "&amp;LOWER(C79)&amp;" ")),1,0))+IF(Task!$A$15="",0,IF(ISNUMBER(SEARCH(" "&amp;Task!$A$15&amp;" "," "&amp;LOWER(C79)&amp;" ")),1,0))+IF(Task!$A$16="",0,IF(ISNUMBER(SEARCH(" "&amp;Task!$A$16&amp;" "," "&amp;LOWER(C79)&amp;" ")),1,0))+IF(Task!$A$17="",0,IF(ISNUMBER(SEARCH(" "&amp;Task!$A$17&amp;" "," "&amp;LOWER(C79)&amp;" ")),1,0))+IF(Task!$A$18="",0,IF(ISNUMBER(SEARCH(" "&amp;Task!$A$18&amp;" "," "&amp;LOWER(C79)&amp;" ")),1,0))+IF(Task!$A$19="",0,IF(ISNUMBER(SEARCH(" "&amp;Task!$A$19&amp;" "," "&amp;LOWER(C79)&amp;" ")),1,0)))</f>
        <v/>
      </c>
      <c r="H79" s="9">
        <f>IF(E79=0,0,IF(Task!$A$8="",0,IF(ISNUMBER(SEARCH(" "&amp;Task!$A$8&amp;" "," "&amp;LOWER(SUBSTITUTE(SUBSTITUTE(SUBSTITUTE(SUBSTITUTE(A79,"/"," "),"."," "),"\"," "),"_"," "))&amp;" ")),1,0))+IF(Task!$A$9="",0,IF(ISNUMBER(SEARCH(" "&amp;Task!$A$9&amp;" "," "&amp;LOWER(SUBSTITUTE(SUBSTITUTE(SUBSTITUTE(SUBSTITUTE(A79,"/"," "),"."," "),"\"," "),"_"," "))&amp;" ")),1,0))+IF(Task!$A$10="",0,IF(ISNUMBER(SEARCH(" "&amp;Task!$A$10&amp;" "," "&amp;LOWER(SUBSTITUTE(SUBSTITUTE(SUBSTITUTE(SUBSTITUTE(A79,"/"," "),"."," "),"\"," "),"_"," "))&amp;" ")),1,0))+IF(Task!$A$11="",0,IF(ISNUMBER(SEARCH(" "&amp;Task!$A$11&amp;" "," "&amp;LOWER(SUBSTITUTE(SUBSTITUTE(SUBSTITUTE(SUBSTITUTE(A79,"/"," "),"."," "),"\"," "),"_"," "))&amp;" ")),1,0))+IF(Task!$A$12="",0,IF(ISNUMBER(SEARCH(" "&amp;Task!$A$12&amp;" "," "&amp;LOWER(SUBSTITUTE(SUBSTITUTE(SUBSTITUTE(SUBSTITUTE(A79,"/"," "),"."," "),"\"," "),"_"," "))&amp;" ")),1,0))+IF(Task!$A$13="",0,IF(ISNUMBER(SEARCH(" "&amp;Task!$A$13&amp;" "," "&amp;LOWER(SUBSTITUTE(SUBSTITUTE(SUBSTITUTE(SUBSTITUTE(A79,"/"," "),"."," "),"\"," "),"_"," "))&amp;" ")),1,0))+IF(Task!$A$14="",0,IF(ISNUMBER(SEARCH(" "&amp;Task!$A$14&amp;" "," "&amp;LOWER(SUBSTITUTE(SUBSTITUTE(SUBSTITUTE(SUBSTITUTE(A79,"/"," "),"."," "),"\"," "),"_"," "))&amp;" ")),1,0))+IF(Task!$A$15="",0,IF(ISNUMBER(SEARCH(" "&amp;Task!$A$15&amp;" "," "&amp;LOWER(SUBSTITUTE(SUBSTITUTE(SUBSTITUTE(SUBSTITUTE(A79,"/"," "),"."," "),"\"," "),"_"," "))&amp;" ")),1,0))+IF(Task!$A$16="",0,IF(ISNUMBER(SEARCH(" "&amp;Task!$A$16&amp;" "," "&amp;LOWER(SUBSTITUTE(SUBSTITUTE(SUBSTITUTE(SUBSTITUTE(A79,"/"," "),"."," "),"\"," "),"_"," "))&amp;" ")),1,0))+IF(Task!$A$17="",0,IF(ISNUMBER(SEARCH(" "&amp;Task!$A$17&amp;" "," "&amp;LOWER(SUBSTITUTE(SUBSTITUTE(SUBSTITUTE(SUBSTITUTE(A79,"/"," "),"."," "),"\"," "),"_"," "))&amp;" ")),1,0))+IF(Task!$A$18="",0,IF(ISNUMBER(SEARCH(" "&amp;Task!$A$18&amp;" "," "&amp;LOWER(SUBSTITUTE(SUBSTITUTE(SUBSTITUTE(SUBSTITUTE(A79,"/"," "),"."," "),"\"," "),"_"," "))&amp;" ")),1,0))+IF(Task!$A$19="",0,IF(ISNUMBER(SEARCH(" "&amp;Task!$A$19&amp;" "," "&amp;LOWER(SUBSTITUTE(SUBSTITUTE(SUBSTITUTE(SUBSTITUTE(A79,"/"," "),"."," "),"\"," "),"_"," "))&amp;" ")),1,0)))</f>
        <v/>
      </c>
      <c r="I79" s="10">
        <f>IF(OR(E79=0,F79=0,Task!$B$21=0),"",F79/Task!$B$21+0.5*G79+0.25*H79)</f>
        <v/>
      </c>
      <c r="J79" s="5">
        <f>IF(I79="","",I79-ROW()/1000000)</f>
        <v/>
      </c>
      <c r="K79" s="9">
        <f>IF(J79="","",COUNTIF($J$5:$J$404,"&gt;"&amp;J79)+1)</f>
        <v/>
      </c>
    </row>
    <row r="80">
      <c r="A80" s="7" t="n"/>
      <c r="B80" s="7" t="n"/>
      <c r="C80" s="7" t="n"/>
      <c r="D80" s="7" t="n"/>
      <c r="E80" s="5">
        <f>IF(A80="",0,IF(COUNTA(Task!$B$5:$E$5)=0,1,IF(COUNTIF(Task!$B$5:$E$5,B80)&gt;0,1,0)))</f>
        <v/>
      </c>
      <c r="F80" s="9">
        <f>IF(E80=0,0,IF(Task!$A$8="",0,IF(ISNUMBER(SEARCH(" "&amp;Task!$A$8&amp;" "," "&amp;LOWER(D80&amp;" "&amp;C80&amp;" "&amp;LOWER(SUBSTITUTE(SUBSTITUTE(SUBSTITUTE(SUBSTITUTE(A80,"/"," "),"."," "),"\"," "),"_"," ")))&amp;" ")),1,0))+IF(Task!$A$9="",0,IF(ISNUMBER(SEARCH(" "&amp;Task!$A$9&amp;" "," "&amp;LOWER(D80&amp;" "&amp;C80&amp;" "&amp;LOWER(SUBSTITUTE(SUBSTITUTE(SUBSTITUTE(SUBSTITUTE(A80,"/"," "),"."," "),"\"," "),"_"," ")))&amp;" ")),1,0))+IF(Task!$A$10="",0,IF(ISNUMBER(SEARCH(" "&amp;Task!$A$10&amp;" "," "&amp;LOWER(D80&amp;" "&amp;C80&amp;" "&amp;LOWER(SUBSTITUTE(SUBSTITUTE(SUBSTITUTE(SUBSTITUTE(A80,"/"," "),"."," "),"\"," "),"_"," ")))&amp;" ")),1,0))+IF(Task!$A$11="",0,IF(ISNUMBER(SEARCH(" "&amp;Task!$A$11&amp;" "," "&amp;LOWER(D80&amp;" "&amp;C80&amp;" "&amp;LOWER(SUBSTITUTE(SUBSTITUTE(SUBSTITUTE(SUBSTITUTE(A80,"/"," "),"."," "),"\"," "),"_"," ")))&amp;" ")),1,0))+IF(Task!$A$12="",0,IF(ISNUMBER(SEARCH(" "&amp;Task!$A$12&amp;" "," "&amp;LOWER(D80&amp;" "&amp;C80&amp;" "&amp;LOWER(SUBSTITUTE(SUBSTITUTE(SUBSTITUTE(SUBSTITUTE(A80,"/"," "),"."," "),"\"," "),"_"," ")))&amp;" ")),1,0))+IF(Task!$A$13="",0,IF(ISNUMBER(SEARCH(" "&amp;Task!$A$13&amp;" "," "&amp;LOWER(D80&amp;" "&amp;C80&amp;" "&amp;LOWER(SUBSTITUTE(SUBSTITUTE(SUBSTITUTE(SUBSTITUTE(A80,"/"," "),"."," "),"\"," "),"_"," ")))&amp;" ")),1,0))+IF(Task!$A$14="",0,IF(ISNUMBER(SEARCH(" "&amp;Task!$A$14&amp;" "," "&amp;LOWER(D80&amp;" "&amp;C80&amp;" "&amp;LOWER(SUBSTITUTE(SUBSTITUTE(SUBSTITUTE(SUBSTITUTE(A80,"/"," "),"."," "),"\"," "),"_"," ")))&amp;" ")),1,0))+IF(Task!$A$15="",0,IF(ISNUMBER(SEARCH(" "&amp;Task!$A$15&amp;" "," "&amp;LOWER(D80&amp;" "&amp;C80&amp;" "&amp;LOWER(SUBSTITUTE(SUBSTITUTE(SUBSTITUTE(SUBSTITUTE(A80,"/"," "),"."," "),"\"," "),"_"," ")))&amp;" ")),1,0))+IF(Task!$A$16="",0,IF(ISNUMBER(SEARCH(" "&amp;Task!$A$16&amp;" "," "&amp;LOWER(D80&amp;" "&amp;C80&amp;" "&amp;LOWER(SUBSTITUTE(SUBSTITUTE(SUBSTITUTE(SUBSTITUTE(A80,"/"," "),"."," "),"\"," "),"_"," ")))&amp;" ")),1,0))+IF(Task!$A$17="",0,IF(ISNUMBER(SEARCH(" "&amp;Task!$A$17&amp;" "," "&amp;LOWER(D80&amp;" "&amp;C80&amp;" "&amp;LOWER(SUBSTITUTE(SUBSTITUTE(SUBSTITUTE(SUBSTITUTE(A80,"/"," "),"."," "),"\"," "),"_"," ")))&amp;" ")),1,0))+IF(Task!$A$18="",0,IF(ISNUMBER(SEARCH(" "&amp;Task!$A$18&amp;" "," "&amp;LOWER(D80&amp;" "&amp;C80&amp;" "&amp;LOWER(SUBSTITUTE(SUBSTITUTE(SUBSTITUTE(SUBSTITUTE(A80,"/"," "),"."," "),"\"," "),"_"," ")))&amp;" ")),1,0))+IF(Task!$A$19="",0,IF(ISNUMBER(SEARCH(" "&amp;Task!$A$19&amp;" "," "&amp;LOWER(D80&amp;" "&amp;C80&amp;" "&amp;LOWER(SUBSTITUTE(SUBSTITUTE(SUBSTITUTE(SUBSTITUTE(A80,"/"," "),"."," "),"\"," "),"_"," ")))&amp;" ")),1,0)))</f>
        <v/>
      </c>
      <c r="G80" s="9">
        <f>IF(E80=0,0,IF(Task!$A$8="",0,IF(ISNUMBER(SEARCH(" "&amp;Task!$A$8&amp;" "," "&amp;LOWER(C80)&amp;" ")),1,0))+IF(Task!$A$9="",0,IF(ISNUMBER(SEARCH(" "&amp;Task!$A$9&amp;" "," "&amp;LOWER(C80)&amp;" ")),1,0))+IF(Task!$A$10="",0,IF(ISNUMBER(SEARCH(" "&amp;Task!$A$10&amp;" "," "&amp;LOWER(C80)&amp;" ")),1,0))+IF(Task!$A$11="",0,IF(ISNUMBER(SEARCH(" "&amp;Task!$A$11&amp;" "," "&amp;LOWER(C80)&amp;" ")),1,0))+IF(Task!$A$12="",0,IF(ISNUMBER(SEARCH(" "&amp;Task!$A$12&amp;" "," "&amp;LOWER(C80)&amp;" ")),1,0))+IF(Task!$A$13="",0,IF(ISNUMBER(SEARCH(" "&amp;Task!$A$13&amp;" "," "&amp;LOWER(C80)&amp;" ")),1,0))+IF(Task!$A$14="",0,IF(ISNUMBER(SEARCH(" "&amp;Task!$A$14&amp;" "," "&amp;LOWER(C80)&amp;" ")),1,0))+IF(Task!$A$15="",0,IF(ISNUMBER(SEARCH(" "&amp;Task!$A$15&amp;" "," "&amp;LOWER(C80)&amp;" ")),1,0))+IF(Task!$A$16="",0,IF(ISNUMBER(SEARCH(" "&amp;Task!$A$16&amp;" "," "&amp;LOWER(C80)&amp;" ")),1,0))+IF(Task!$A$17="",0,IF(ISNUMBER(SEARCH(" "&amp;Task!$A$17&amp;" "," "&amp;LOWER(C80)&amp;" ")),1,0))+IF(Task!$A$18="",0,IF(ISNUMBER(SEARCH(" "&amp;Task!$A$18&amp;" "," "&amp;LOWER(C80)&amp;" ")),1,0))+IF(Task!$A$19="",0,IF(ISNUMBER(SEARCH(" "&amp;Task!$A$19&amp;" "," "&amp;LOWER(C80)&amp;" ")),1,0)))</f>
        <v/>
      </c>
      <c r="H80" s="9">
        <f>IF(E80=0,0,IF(Task!$A$8="",0,IF(ISNUMBER(SEARCH(" "&amp;Task!$A$8&amp;" "," "&amp;LOWER(SUBSTITUTE(SUBSTITUTE(SUBSTITUTE(SUBSTITUTE(A80,"/"," "),"."," "),"\"," "),"_"," "))&amp;" ")),1,0))+IF(Task!$A$9="",0,IF(ISNUMBER(SEARCH(" "&amp;Task!$A$9&amp;" "," "&amp;LOWER(SUBSTITUTE(SUBSTITUTE(SUBSTITUTE(SUBSTITUTE(A80,"/"," "),"."," "),"\"," "),"_"," "))&amp;" ")),1,0))+IF(Task!$A$10="",0,IF(ISNUMBER(SEARCH(" "&amp;Task!$A$10&amp;" "," "&amp;LOWER(SUBSTITUTE(SUBSTITUTE(SUBSTITUTE(SUBSTITUTE(A80,"/"," "),"."," "),"\"," "),"_"," "))&amp;" ")),1,0))+IF(Task!$A$11="",0,IF(ISNUMBER(SEARCH(" "&amp;Task!$A$11&amp;" "," "&amp;LOWER(SUBSTITUTE(SUBSTITUTE(SUBSTITUTE(SUBSTITUTE(A80,"/"," "),"."," "),"\"," "),"_"," "))&amp;" ")),1,0))+IF(Task!$A$12="",0,IF(ISNUMBER(SEARCH(" "&amp;Task!$A$12&amp;" "," "&amp;LOWER(SUBSTITUTE(SUBSTITUTE(SUBSTITUTE(SUBSTITUTE(A80,"/"," "),"."," "),"\"," "),"_"," "))&amp;" ")),1,0))+IF(Task!$A$13="",0,IF(ISNUMBER(SEARCH(" "&amp;Task!$A$13&amp;" "," "&amp;LOWER(SUBSTITUTE(SUBSTITUTE(SUBSTITUTE(SUBSTITUTE(A80,"/"," "),"."," "),"\"," "),"_"," "))&amp;" ")),1,0))+IF(Task!$A$14="",0,IF(ISNUMBER(SEARCH(" "&amp;Task!$A$14&amp;" "," "&amp;LOWER(SUBSTITUTE(SUBSTITUTE(SUBSTITUTE(SUBSTITUTE(A80,"/"," "),"."," "),"\"," "),"_"," "))&amp;" ")),1,0))+IF(Task!$A$15="",0,IF(ISNUMBER(SEARCH(" "&amp;Task!$A$15&amp;" "," "&amp;LOWER(SUBSTITUTE(SUBSTITUTE(SUBSTITUTE(SUBSTITUTE(A80,"/"," "),"."," "),"\"," "),"_"," "))&amp;" ")),1,0))+IF(Task!$A$16="",0,IF(ISNUMBER(SEARCH(" "&amp;Task!$A$16&amp;" "," "&amp;LOWER(SUBSTITUTE(SUBSTITUTE(SUBSTITUTE(SUBSTITUTE(A80,"/"," "),"."," "),"\"," "),"_"," "))&amp;" ")),1,0))+IF(Task!$A$17="",0,IF(ISNUMBER(SEARCH(" "&amp;Task!$A$17&amp;" "," "&amp;LOWER(SUBSTITUTE(SUBSTITUTE(SUBSTITUTE(SUBSTITUTE(A80,"/"," "),"."," "),"\"," "),"_"," "))&amp;" ")),1,0))+IF(Task!$A$18="",0,IF(ISNUMBER(SEARCH(" "&amp;Task!$A$18&amp;" "," "&amp;LOWER(SUBSTITUTE(SUBSTITUTE(SUBSTITUTE(SUBSTITUTE(A80,"/"," "),"."," "),"\"," "),"_"," "))&amp;" ")),1,0))+IF(Task!$A$19="",0,IF(ISNUMBER(SEARCH(" "&amp;Task!$A$19&amp;" "," "&amp;LOWER(SUBSTITUTE(SUBSTITUTE(SUBSTITUTE(SUBSTITUTE(A80,"/"," "),"."," "),"\"," "),"_"," "))&amp;" ")),1,0)))</f>
        <v/>
      </c>
      <c r="I80" s="10">
        <f>IF(OR(E80=0,F80=0,Task!$B$21=0),"",F80/Task!$B$21+0.5*G80+0.25*H80)</f>
        <v/>
      </c>
      <c r="J80" s="5">
        <f>IF(I80="","",I80-ROW()/1000000)</f>
        <v/>
      </c>
      <c r="K80" s="9">
        <f>IF(J80="","",COUNTIF($J$5:$J$404,"&gt;"&amp;J80)+1)</f>
        <v/>
      </c>
    </row>
    <row r="81">
      <c r="A81" s="7" t="n"/>
      <c r="B81" s="7" t="n"/>
      <c r="C81" s="7" t="n"/>
      <c r="D81" s="7" t="n"/>
      <c r="E81" s="5">
        <f>IF(A81="",0,IF(COUNTA(Task!$B$5:$E$5)=0,1,IF(COUNTIF(Task!$B$5:$E$5,B81)&gt;0,1,0)))</f>
        <v/>
      </c>
      <c r="F81" s="9">
        <f>IF(E81=0,0,IF(Task!$A$8="",0,IF(ISNUMBER(SEARCH(" "&amp;Task!$A$8&amp;" "," "&amp;LOWER(D81&amp;" "&amp;C81&amp;" "&amp;LOWER(SUBSTITUTE(SUBSTITUTE(SUBSTITUTE(SUBSTITUTE(A81,"/"," "),"."," "),"\"," "),"_"," ")))&amp;" ")),1,0))+IF(Task!$A$9="",0,IF(ISNUMBER(SEARCH(" "&amp;Task!$A$9&amp;" "," "&amp;LOWER(D81&amp;" "&amp;C81&amp;" "&amp;LOWER(SUBSTITUTE(SUBSTITUTE(SUBSTITUTE(SUBSTITUTE(A81,"/"," "),"."," "),"\"," "),"_"," ")))&amp;" ")),1,0))+IF(Task!$A$10="",0,IF(ISNUMBER(SEARCH(" "&amp;Task!$A$10&amp;" "," "&amp;LOWER(D81&amp;" "&amp;C81&amp;" "&amp;LOWER(SUBSTITUTE(SUBSTITUTE(SUBSTITUTE(SUBSTITUTE(A81,"/"," "),"."," "),"\"," "),"_"," ")))&amp;" ")),1,0))+IF(Task!$A$11="",0,IF(ISNUMBER(SEARCH(" "&amp;Task!$A$11&amp;" "," "&amp;LOWER(D81&amp;" "&amp;C81&amp;" "&amp;LOWER(SUBSTITUTE(SUBSTITUTE(SUBSTITUTE(SUBSTITUTE(A81,"/"," "),"."," "),"\"," "),"_"," ")))&amp;" ")),1,0))+IF(Task!$A$12="",0,IF(ISNUMBER(SEARCH(" "&amp;Task!$A$12&amp;" "," "&amp;LOWER(D81&amp;" "&amp;C81&amp;" "&amp;LOWER(SUBSTITUTE(SUBSTITUTE(SUBSTITUTE(SUBSTITUTE(A81,"/"," "),"."," "),"\"," "),"_"," ")))&amp;" ")),1,0))+IF(Task!$A$13="",0,IF(ISNUMBER(SEARCH(" "&amp;Task!$A$13&amp;" "," "&amp;LOWER(D81&amp;" "&amp;C81&amp;" "&amp;LOWER(SUBSTITUTE(SUBSTITUTE(SUBSTITUTE(SUBSTITUTE(A81,"/"," "),"."," "),"\"," "),"_"," ")))&amp;" ")),1,0))+IF(Task!$A$14="",0,IF(ISNUMBER(SEARCH(" "&amp;Task!$A$14&amp;" "," "&amp;LOWER(D81&amp;" "&amp;C81&amp;" "&amp;LOWER(SUBSTITUTE(SUBSTITUTE(SUBSTITUTE(SUBSTITUTE(A81,"/"," "),"."," "),"\"," "),"_"," ")))&amp;" ")),1,0))+IF(Task!$A$15="",0,IF(ISNUMBER(SEARCH(" "&amp;Task!$A$15&amp;" "," "&amp;LOWER(D81&amp;" "&amp;C81&amp;" "&amp;LOWER(SUBSTITUTE(SUBSTITUTE(SUBSTITUTE(SUBSTITUTE(A81,"/"," "),"."," "),"\"," "),"_"," ")))&amp;" ")),1,0))+IF(Task!$A$16="",0,IF(ISNUMBER(SEARCH(" "&amp;Task!$A$16&amp;" "," "&amp;LOWER(D81&amp;" "&amp;C81&amp;" "&amp;LOWER(SUBSTITUTE(SUBSTITUTE(SUBSTITUTE(SUBSTITUTE(A81,"/"," "),"."," "),"\"," "),"_"," ")))&amp;" ")),1,0))+IF(Task!$A$17="",0,IF(ISNUMBER(SEARCH(" "&amp;Task!$A$17&amp;" "," "&amp;LOWER(D81&amp;" "&amp;C81&amp;" "&amp;LOWER(SUBSTITUTE(SUBSTITUTE(SUBSTITUTE(SUBSTITUTE(A81,"/"," "),"."," "),"\"," "),"_"," ")))&amp;" ")),1,0))+IF(Task!$A$18="",0,IF(ISNUMBER(SEARCH(" "&amp;Task!$A$18&amp;" "," "&amp;LOWER(D81&amp;" "&amp;C81&amp;" "&amp;LOWER(SUBSTITUTE(SUBSTITUTE(SUBSTITUTE(SUBSTITUTE(A81,"/"," "),"."," "),"\"," "),"_"," ")))&amp;" ")),1,0))+IF(Task!$A$19="",0,IF(ISNUMBER(SEARCH(" "&amp;Task!$A$19&amp;" "," "&amp;LOWER(D81&amp;" "&amp;C81&amp;" "&amp;LOWER(SUBSTITUTE(SUBSTITUTE(SUBSTITUTE(SUBSTITUTE(A81,"/"," "),"."," "),"\"," "),"_"," ")))&amp;" ")),1,0)))</f>
        <v/>
      </c>
      <c r="G81" s="9">
        <f>IF(E81=0,0,IF(Task!$A$8="",0,IF(ISNUMBER(SEARCH(" "&amp;Task!$A$8&amp;" "," "&amp;LOWER(C81)&amp;" ")),1,0))+IF(Task!$A$9="",0,IF(ISNUMBER(SEARCH(" "&amp;Task!$A$9&amp;" "," "&amp;LOWER(C81)&amp;" ")),1,0))+IF(Task!$A$10="",0,IF(ISNUMBER(SEARCH(" "&amp;Task!$A$10&amp;" "," "&amp;LOWER(C81)&amp;" ")),1,0))+IF(Task!$A$11="",0,IF(ISNUMBER(SEARCH(" "&amp;Task!$A$11&amp;" "," "&amp;LOWER(C81)&amp;" ")),1,0))+IF(Task!$A$12="",0,IF(ISNUMBER(SEARCH(" "&amp;Task!$A$12&amp;" "," "&amp;LOWER(C81)&amp;" ")),1,0))+IF(Task!$A$13="",0,IF(ISNUMBER(SEARCH(" "&amp;Task!$A$13&amp;" "," "&amp;LOWER(C81)&amp;" ")),1,0))+IF(Task!$A$14="",0,IF(ISNUMBER(SEARCH(" "&amp;Task!$A$14&amp;" "," "&amp;LOWER(C81)&amp;" ")),1,0))+IF(Task!$A$15="",0,IF(ISNUMBER(SEARCH(" "&amp;Task!$A$15&amp;" "," "&amp;LOWER(C81)&amp;" ")),1,0))+IF(Task!$A$16="",0,IF(ISNUMBER(SEARCH(" "&amp;Task!$A$16&amp;" "," "&amp;LOWER(C81)&amp;" ")),1,0))+IF(Task!$A$17="",0,IF(ISNUMBER(SEARCH(" "&amp;Task!$A$17&amp;" "," "&amp;LOWER(C81)&amp;" ")),1,0))+IF(Task!$A$18="",0,IF(ISNUMBER(SEARCH(" "&amp;Task!$A$18&amp;" "," "&amp;LOWER(C81)&amp;" ")),1,0))+IF(Task!$A$19="",0,IF(ISNUMBER(SEARCH(" "&amp;Task!$A$19&amp;" "," "&amp;LOWER(C81)&amp;" ")),1,0)))</f>
        <v/>
      </c>
      <c r="H81" s="9">
        <f>IF(E81=0,0,IF(Task!$A$8="",0,IF(ISNUMBER(SEARCH(" "&amp;Task!$A$8&amp;" "," "&amp;LOWER(SUBSTITUTE(SUBSTITUTE(SUBSTITUTE(SUBSTITUTE(A81,"/"," "),"."," "),"\"," "),"_"," "))&amp;" ")),1,0))+IF(Task!$A$9="",0,IF(ISNUMBER(SEARCH(" "&amp;Task!$A$9&amp;" "," "&amp;LOWER(SUBSTITUTE(SUBSTITUTE(SUBSTITUTE(SUBSTITUTE(A81,"/"," "),"."," "),"\"," "),"_"," "))&amp;" ")),1,0))+IF(Task!$A$10="",0,IF(ISNUMBER(SEARCH(" "&amp;Task!$A$10&amp;" "," "&amp;LOWER(SUBSTITUTE(SUBSTITUTE(SUBSTITUTE(SUBSTITUTE(A81,"/"," "),"."," "),"\"," "),"_"," "))&amp;" ")),1,0))+IF(Task!$A$11="",0,IF(ISNUMBER(SEARCH(" "&amp;Task!$A$11&amp;" "," "&amp;LOWER(SUBSTITUTE(SUBSTITUTE(SUBSTITUTE(SUBSTITUTE(A81,"/"," "),"."," "),"\"," "),"_"," "))&amp;" ")),1,0))+IF(Task!$A$12="",0,IF(ISNUMBER(SEARCH(" "&amp;Task!$A$12&amp;" "," "&amp;LOWER(SUBSTITUTE(SUBSTITUTE(SUBSTITUTE(SUBSTITUTE(A81,"/"," "),"."," "),"\"," "),"_"," "))&amp;" ")),1,0))+IF(Task!$A$13="",0,IF(ISNUMBER(SEARCH(" "&amp;Task!$A$13&amp;" "," "&amp;LOWER(SUBSTITUTE(SUBSTITUTE(SUBSTITUTE(SUBSTITUTE(A81,"/"," "),"."," "),"\"," "),"_"," "))&amp;" ")),1,0))+IF(Task!$A$14="",0,IF(ISNUMBER(SEARCH(" "&amp;Task!$A$14&amp;" "," "&amp;LOWER(SUBSTITUTE(SUBSTITUTE(SUBSTITUTE(SUBSTITUTE(A81,"/"," "),"."," "),"\"," "),"_"," "))&amp;" ")),1,0))+IF(Task!$A$15="",0,IF(ISNUMBER(SEARCH(" "&amp;Task!$A$15&amp;" "," "&amp;LOWER(SUBSTITUTE(SUBSTITUTE(SUBSTITUTE(SUBSTITUTE(A81,"/"," "),"."," "),"\"," "),"_"," "))&amp;" ")),1,0))+IF(Task!$A$16="",0,IF(ISNUMBER(SEARCH(" "&amp;Task!$A$16&amp;" "," "&amp;LOWER(SUBSTITUTE(SUBSTITUTE(SUBSTITUTE(SUBSTITUTE(A81,"/"," "),"."," "),"\"," "),"_"," "))&amp;" ")),1,0))+IF(Task!$A$17="",0,IF(ISNUMBER(SEARCH(" "&amp;Task!$A$17&amp;" "," "&amp;LOWER(SUBSTITUTE(SUBSTITUTE(SUBSTITUTE(SUBSTITUTE(A81,"/"," "),"."," "),"\"," "),"_"," "))&amp;" ")),1,0))+IF(Task!$A$18="",0,IF(ISNUMBER(SEARCH(" "&amp;Task!$A$18&amp;" "," "&amp;LOWER(SUBSTITUTE(SUBSTITUTE(SUBSTITUTE(SUBSTITUTE(A81,"/"," "),"."," "),"\"," "),"_"," "))&amp;" ")),1,0))+IF(Task!$A$19="",0,IF(ISNUMBER(SEARCH(" "&amp;Task!$A$19&amp;" "," "&amp;LOWER(SUBSTITUTE(SUBSTITUTE(SUBSTITUTE(SUBSTITUTE(A81,"/"," "),"."," "),"\"," "),"_"," "))&amp;" ")),1,0)))</f>
        <v/>
      </c>
      <c r="I81" s="10">
        <f>IF(OR(E81=0,F81=0,Task!$B$21=0),"",F81/Task!$B$21+0.5*G81+0.25*H81)</f>
        <v/>
      </c>
      <c r="J81" s="5">
        <f>IF(I81="","",I81-ROW()/1000000)</f>
        <v/>
      </c>
      <c r="K81" s="9">
        <f>IF(J81="","",COUNTIF($J$5:$J$404,"&gt;"&amp;J81)+1)</f>
        <v/>
      </c>
    </row>
    <row r="82">
      <c r="A82" s="7" t="n"/>
      <c r="B82" s="7" t="n"/>
      <c r="C82" s="7" t="n"/>
      <c r="D82" s="7" t="n"/>
      <c r="E82" s="5">
        <f>IF(A82="",0,IF(COUNTA(Task!$B$5:$E$5)=0,1,IF(COUNTIF(Task!$B$5:$E$5,B82)&gt;0,1,0)))</f>
        <v/>
      </c>
      <c r="F82" s="9">
        <f>IF(E82=0,0,IF(Task!$A$8="",0,IF(ISNUMBER(SEARCH(" "&amp;Task!$A$8&amp;" "," "&amp;LOWER(D82&amp;" "&amp;C82&amp;" "&amp;LOWER(SUBSTITUTE(SUBSTITUTE(SUBSTITUTE(SUBSTITUTE(A82,"/"," "),"."," "),"\"," "),"_"," ")))&amp;" ")),1,0))+IF(Task!$A$9="",0,IF(ISNUMBER(SEARCH(" "&amp;Task!$A$9&amp;" "," "&amp;LOWER(D82&amp;" "&amp;C82&amp;" "&amp;LOWER(SUBSTITUTE(SUBSTITUTE(SUBSTITUTE(SUBSTITUTE(A82,"/"," "),"."," "),"\"," "),"_"," ")))&amp;" ")),1,0))+IF(Task!$A$10="",0,IF(ISNUMBER(SEARCH(" "&amp;Task!$A$10&amp;" "," "&amp;LOWER(D82&amp;" "&amp;C82&amp;" "&amp;LOWER(SUBSTITUTE(SUBSTITUTE(SUBSTITUTE(SUBSTITUTE(A82,"/"," "),"."," "),"\"," "),"_"," ")))&amp;" ")),1,0))+IF(Task!$A$11="",0,IF(ISNUMBER(SEARCH(" "&amp;Task!$A$11&amp;" "," "&amp;LOWER(D82&amp;" "&amp;C82&amp;" "&amp;LOWER(SUBSTITUTE(SUBSTITUTE(SUBSTITUTE(SUBSTITUTE(A82,"/"," "),"."," "),"\"," "),"_"," ")))&amp;" ")),1,0))+IF(Task!$A$12="",0,IF(ISNUMBER(SEARCH(" "&amp;Task!$A$12&amp;" "," "&amp;LOWER(D82&amp;" "&amp;C82&amp;" "&amp;LOWER(SUBSTITUTE(SUBSTITUTE(SUBSTITUTE(SUBSTITUTE(A82,"/"," "),"."," "),"\"," "),"_"," ")))&amp;" ")),1,0))+IF(Task!$A$13="",0,IF(ISNUMBER(SEARCH(" "&amp;Task!$A$13&amp;" "," "&amp;LOWER(D82&amp;" "&amp;C82&amp;" "&amp;LOWER(SUBSTITUTE(SUBSTITUTE(SUBSTITUTE(SUBSTITUTE(A82,"/"," "),"."," "),"\"," "),"_"," ")))&amp;" ")),1,0))+IF(Task!$A$14="",0,IF(ISNUMBER(SEARCH(" "&amp;Task!$A$14&amp;" "," "&amp;LOWER(D82&amp;" "&amp;C82&amp;" "&amp;LOWER(SUBSTITUTE(SUBSTITUTE(SUBSTITUTE(SUBSTITUTE(A82,"/"," "),"."," "),"\"," "),"_"," ")))&amp;" ")),1,0))+IF(Task!$A$15="",0,IF(ISNUMBER(SEARCH(" "&amp;Task!$A$15&amp;" "," "&amp;LOWER(D82&amp;" "&amp;C82&amp;" "&amp;LOWER(SUBSTITUTE(SUBSTITUTE(SUBSTITUTE(SUBSTITUTE(A82,"/"," "),"."," "),"\"," "),"_"," ")))&amp;" ")),1,0))+IF(Task!$A$16="",0,IF(ISNUMBER(SEARCH(" "&amp;Task!$A$16&amp;" "," "&amp;LOWER(D82&amp;" "&amp;C82&amp;" "&amp;LOWER(SUBSTITUTE(SUBSTITUTE(SUBSTITUTE(SUBSTITUTE(A82,"/"," "),"."," "),"\"," "),"_"," ")))&amp;" ")),1,0))+IF(Task!$A$17="",0,IF(ISNUMBER(SEARCH(" "&amp;Task!$A$17&amp;" "," "&amp;LOWER(D82&amp;" "&amp;C82&amp;" "&amp;LOWER(SUBSTITUTE(SUBSTITUTE(SUBSTITUTE(SUBSTITUTE(A82,"/"," "),"."," "),"\"," "),"_"," ")))&amp;" ")),1,0))+IF(Task!$A$18="",0,IF(ISNUMBER(SEARCH(" "&amp;Task!$A$18&amp;" "," "&amp;LOWER(D82&amp;" "&amp;C82&amp;" "&amp;LOWER(SUBSTITUTE(SUBSTITUTE(SUBSTITUTE(SUBSTITUTE(A82,"/"," "),"."," "),"\"," "),"_"," ")))&amp;" ")),1,0))+IF(Task!$A$19="",0,IF(ISNUMBER(SEARCH(" "&amp;Task!$A$19&amp;" "," "&amp;LOWER(D82&amp;" "&amp;C82&amp;" "&amp;LOWER(SUBSTITUTE(SUBSTITUTE(SUBSTITUTE(SUBSTITUTE(A82,"/"," "),"."," "),"\"," "),"_"," ")))&amp;" ")),1,0)))</f>
        <v/>
      </c>
      <c r="G82" s="9">
        <f>IF(E82=0,0,IF(Task!$A$8="",0,IF(ISNUMBER(SEARCH(" "&amp;Task!$A$8&amp;" "," "&amp;LOWER(C82)&amp;" ")),1,0))+IF(Task!$A$9="",0,IF(ISNUMBER(SEARCH(" "&amp;Task!$A$9&amp;" "," "&amp;LOWER(C82)&amp;" ")),1,0))+IF(Task!$A$10="",0,IF(ISNUMBER(SEARCH(" "&amp;Task!$A$10&amp;" "," "&amp;LOWER(C82)&amp;" ")),1,0))+IF(Task!$A$11="",0,IF(ISNUMBER(SEARCH(" "&amp;Task!$A$11&amp;" "," "&amp;LOWER(C82)&amp;" ")),1,0))+IF(Task!$A$12="",0,IF(ISNUMBER(SEARCH(" "&amp;Task!$A$12&amp;" "," "&amp;LOWER(C82)&amp;" ")),1,0))+IF(Task!$A$13="",0,IF(ISNUMBER(SEARCH(" "&amp;Task!$A$13&amp;" "," "&amp;LOWER(C82)&amp;" ")),1,0))+IF(Task!$A$14="",0,IF(ISNUMBER(SEARCH(" "&amp;Task!$A$14&amp;" "," "&amp;LOWER(C82)&amp;" ")),1,0))+IF(Task!$A$15="",0,IF(ISNUMBER(SEARCH(" "&amp;Task!$A$15&amp;" "," "&amp;LOWER(C82)&amp;" ")),1,0))+IF(Task!$A$16="",0,IF(ISNUMBER(SEARCH(" "&amp;Task!$A$16&amp;" "," "&amp;LOWER(C82)&amp;" ")),1,0))+IF(Task!$A$17="",0,IF(ISNUMBER(SEARCH(" "&amp;Task!$A$17&amp;" "," "&amp;LOWER(C82)&amp;" ")),1,0))+IF(Task!$A$18="",0,IF(ISNUMBER(SEARCH(" "&amp;Task!$A$18&amp;" "," "&amp;LOWER(C82)&amp;" ")),1,0))+IF(Task!$A$19="",0,IF(ISNUMBER(SEARCH(" "&amp;Task!$A$19&amp;" "," "&amp;LOWER(C82)&amp;" ")),1,0)))</f>
        <v/>
      </c>
      <c r="H82" s="9">
        <f>IF(E82=0,0,IF(Task!$A$8="",0,IF(ISNUMBER(SEARCH(" "&amp;Task!$A$8&amp;" "," "&amp;LOWER(SUBSTITUTE(SUBSTITUTE(SUBSTITUTE(SUBSTITUTE(A82,"/"," "),"."," "),"\"," "),"_"," "))&amp;" ")),1,0))+IF(Task!$A$9="",0,IF(ISNUMBER(SEARCH(" "&amp;Task!$A$9&amp;" "," "&amp;LOWER(SUBSTITUTE(SUBSTITUTE(SUBSTITUTE(SUBSTITUTE(A82,"/"," "),"."," "),"\"," "),"_"," "))&amp;" ")),1,0))+IF(Task!$A$10="",0,IF(ISNUMBER(SEARCH(" "&amp;Task!$A$10&amp;" "," "&amp;LOWER(SUBSTITUTE(SUBSTITUTE(SUBSTITUTE(SUBSTITUTE(A82,"/"," "),"."," "),"\"," "),"_"," "))&amp;" ")),1,0))+IF(Task!$A$11="",0,IF(ISNUMBER(SEARCH(" "&amp;Task!$A$11&amp;" "," "&amp;LOWER(SUBSTITUTE(SUBSTITUTE(SUBSTITUTE(SUBSTITUTE(A82,"/"," "),"."," "),"\"," "),"_"," "))&amp;" ")),1,0))+IF(Task!$A$12="",0,IF(ISNUMBER(SEARCH(" "&amp;Task!$A$12&amp;" "," "&amp;LOWER(SUBSTITUTE(SUBSTITUTE(SUBSTITUTE(SUBSTITUTE(A82,"/"," "),"."," "),"\"," "),"_"," "))&amp;" ")),1,0))+IF(Task!$A$13="",0,IF(ISNUMBER(SEARCH(" "&amp;Task!$A$13&amp;" "," "&amp;LOWER(SUBSTITUTE(SUBSTITUTE(SUBSTITUTE(SUBSTITUTE(A82,"/"," "),"."," "),"\"," "),"_"," "))&amp;" ")),1,0))+IF(Task!$A$14="",0,IF(ISNUMBER(SEARCH(" "&amp;Task!$A$14&amp;" "," "&amp;LOWER(SUBSTITUTE(SUBSTITUTE(SUBSTITUTE(SUBSTITUTE(A82,"/"," "),"."," "),"\"," "),"_"," "))&amp;" ")),1,0))+IF(Task!$A$15="",0,IF(ISNUMBER(SEARCH(" "&amp;Task!$A$15&amp;" "," "&amp;LOWER(SUBSTITUTE(SUBSTITUTE(SUBSTITUTE(SUBSTITUTE(A82,"/"," "),"."," "),"\"," "),"_"," "))&amp;" ")),1,0))+IF(Task!$A$16="",0,IF(ISNUMBER(SEARCH(" "&amp;Task!$A$16&amp;" "," "&amp;LOWER(SUBSTITUTE(SUBSTITUTE(SUBSTITUTE(SUBSTITUTE(A82,"/"," "),"."," "),"\"," "),"_"," "))&amp;" ")),1,0))+IF(Task!$A$17="",0,IF(ISNUMBER(SEARCH(" "&amp;Task!$A$17&amp;" "," "&amp;LOWER(SUBSTITUTE(SUBSTITUTE(SUBSTITUTE(SUBSTITUTE(A82,"/"," "),"."," "),"\"," "),"_"," "))&amp;" ")),1,0))+IF(Task!$A$18="",0,IF(ISNUMBER(SEARCH(" "&amp;Task!$A$18&amp;" "," "&amp;LOWER(SUBSTITUTE(SUBSTITUTE(SUBSTITUTE(SUBSTITUTE(A82,"/"," "),"."," "),"\"," "),"_"," "))&amp;" ")),1,0))+IF(Task!$A$19="",0,IF(ISNUMBER(SEARCH(" "&amp;Task!$A$19&amp;" "," "&amp;LOWER(SUBSTITUTE(SUBSTITUTE(SUBSTITUTE(SUBSTITUTE(A82,"/"," "),"."," "),"\"," "),"_"," "))&amp;" ")),1,0)))</f>
        <v/>
      </c>
      <c r="I82" s="10">
        <f>IF(OR(E82=0,F82=0,Task!$B$21=0),"",F82/Task!$B$21+0.5*G82+0.25*H82)</f>
        <v/>
      </c>
      <c r="J82" s="5">
        <f>IF(I82="","",I82-ROW()/1000000)</f>
        <v/>
      </c>
      <c r="K82" s="9">
        <f>IF(J82="","",COUNTIF($J$5:$J$404,"&gt;"&amp;J82)+1)</f>
        <v/>
      </c>
    </row>
    <row r="83">
      <c r="A83" s="7" t="n"/>
      <c r="B83" s="7" t="n"/>
      <c r="C83" s="7" t="n"/>
      <c r="D83" s="7" t="n"/>
      <c r="E83" s="5">
        <f>IF(A83="",0,IF(COUNTA(Task!$B$5:$E$5)=0,1,IF(COUNTIF(Task!$B$5:$E$5,B83)&gt;0,1,0)))</f>
        <v/>
      </c>
      <c r="F83" s="9">
        <f>IF(E83=0,0,IF(Task!$A$8="",0,IF(ISNUMBER(SEARCH(" "&amp;Task!$A$8&amp;" "," "&amp;LOWER(D83&amp;" "&amp;C83&amp;" "&amp;LOWER(SUBSTITUTE(SUBSTITUTE(SUBSTITUTE(SUBSTITUTE(A83,"/"," "),"."," "),"\"," "),"_"," ")))&amp;" ")),1,0))+IF(Task!$A$9="",0,IF(ISNUMBER(SEARCH(" "&amp;Task!$A$9&amp;" "," "&amp;LOWER(D83&amp;" "&amp;C83&amp;" "&amp;LOWER(SUBSTITUTE(SUBSTITUTE(SUBSTITUTE(SUBSTITUTE(A83,"/"," "),"."," "),"\"," "),"_"," ")))&amp;" ")),1,0))+IF(Task!$A$10="",0,IF(ISNUMBER(SEARCH(" "&amp;Task!$A$10&amp;" "," "&amp;LOWER(D83&amp;" "&amp;C83&amp;" "&amp;LOWER(SUBSTITUTE(SUBSTITUTE(SUBSTITUTE(SUBSTITUTE(A83,"/"," "),"."," "),"\"," "),"_"," ")))&amp;" ")),1,0))+IF(Task!$A$11="",0,IF(ISNUMBER(SEARCH(" "&amp;Task!$A$11&amp;" "," "&amp;LOWER(D83&amp;" "&amp;C83&amp;" "&amp;LOWER(SUBSTITUTE(SUBSTITUTE(SUBSTITUTE(SUBSTITUTE(A83,"/"," "),"."," "),"\"," "),"_"," ")))&amp;" ")),1,0))+IF(Task!$A$12="",0,IF(ISNUMBER(SEARCH(" "&amp;Task!$A$12&amp;" "," "&amp;LOWER(D83&amp;" "&amp;C83&amp;" "&amp;LOWER(SUBSTITUTE(SUBSTITUTE(SUBSTITUTE(SUBSTITUTE(A83,"/"," "),"."," "),"\"," "),"_"," ")))&amp;" ")),1,0))+IF(Task!$A$13="",0,IF(ISNUMBER(SEARCH(" "&amp;Task!$A$13&amp;" "," "&amp;LOWER(D83&amp;" "&amp;C83&amp;" "&amp;LOWER(SUBSTITUTE(SUBSTITUTE(SUBSTITUTE(SUBSTITUTE(A83,"/"," "),"."," "),"\"," "),"_"," ")))&amp;" ")),1,0))+IF(Task!$A$14="",0,IF(ISNUMBER(SEARCH(" "&amp;Task!$A$14&amp;" "," "&amp;LOWER(D83&amp;" "&amp;C83&amp;" "&amp;LOWER(SUBSTITUTE(SUBSTITUTE(SUBSTITUTE(SUBSTITUTE(A83,"/"," "),"."," "),"\"," "),"_"," ")))&amp;" ")),1,0))+IF(Task!$A$15="",0,IF(ISNUMBER(SEARCH(" "&amp;Task!$A$15&amp;" "," "&amp;LOWER(D83&amp;" "&amp;C83&amp;" "&amp;LOWER(SUBSTITUTE(SUBSTITUTE(SUBSTITUTE(SUBSTITUTE(A83,"/"," "),"."," "),"\"," "),"_"," ")))&amp;" ")),1,0))+IF(Task!$A$16="",0,IF(ISNUMBER(SEARCH(" "&amp;Task!$A$16&amp;" "," "&amp;LOWER(D83&amp;" "&amp;C83&amp;" "&amp;LOWER(SUBSTITUTE(SUBSTITUTE(SUBSTITUTE(SUBSTITUTE(A83,"/"," "),"."," "),"\"," "),"_"," ")))&amp;" ")),1,0))+IF(Task!$A$17="",0,IF(ISNUMBER(SEARCH(" "&amp;Task!$A$17&amp;" "," "&amp;LOWER(D83&amp;" "&amp;C83&amp;" "&amp;LOWER(SUBSTITUTE(SUBSTITUTE(SUBSTITUTE(SUBSTITUTE(A83,"/"," "),"."," "),"\"," "),"_"," ")))&amp;" ")),1,0))+IF(Task!$A$18="",0,IF(ISNUMBER(SEARCH(" "&amp;Task!$A$18&amp;" "," "&amp;LOWER(D83&amp;" "&amp;C83&amp;" "&amp;LOWER(SUBSTITUTE(SUBSTITUTE(SUBSTITUTE(SUBSTITUTE(A83,"/"," "),"."," "),"\"," "),"_"," ")))&amp;" ")),1,0))+IF(Task!$A$19="",0,IF(ISNUMBER(SEARCH(" "&amp;Task!$A$19&amp;" "," "&amp;LOWER(D83&amp;" "&amp;C83&amp;" "&amp;LOWER(SUBSTITUTE(SUBSTITUTE(SUBSTITUTE(SUBSTITUTE(A83,"/"," "),"."," "),"\"," "),"_"," ")))&amp;" ")),1,0)))</f>
        <v/>
      </c>
      <c r="G83" s="9">
        <f>IF(E83=0,0,IF(Task!$A$8="",0,IF(ISNUMBER(SEARCH(" "&amp;Task!$A$8&amp;" "," "&amp;LOWER(C83)&amp;" ")),1,0))+IF(Task!$A$9="",0,IF(ISNUMBER(SEARCH(" "&amp;Task!$A$9&amp;" "," "&amp;LOWER(C83)&amp;" ")),1,0))+IF(Task!$A$10="",0,IF(ISNUMBER(SEARCH(" "&amp;Task!$A$10&amp;" "," "&amp;LOWER(C83)&amp;" ")),1,0))+IF(Task!$A$11="",0,IF(ISNUMBER(SEARCH(" "&amp;Task!$A$11&amp;" "," "&amp;LOWER(C83)&amp;" ")),1,0))+IF(Task!$A$12="",0,IF(ISNUMBER(SEARCH(" "&amp;Task!$A$12&amp;" "," "&amp;LOWER(C83)&amp;" ")),1,0))+IF(Task!$A$13="",0,IF(ISNUMBER(SEARCH(" "&amp;Task!$A$13&amp;" "," "&amp;LOWER(C83)&amp;" ")),1,0))+IF(Task!$A$14="",0,IF(ISNUMBER(SEARCH(" "&amp;Task!$A$14&amp;" "," "&amp;LOWER(C83)&amp;" ")),1,0))+IF(Task!$A$15="",0,IF(ISNUMBER(SEARCH(" "&amp;Task!$A$15&amp;" "," "&amp;LOWER(C83)&amp;" ")),1,0))+IF(Task!$A$16="",0,IF(ISNUMBER(SEARCH(" "&amp;Task!$A$16&amp;" "," "&amp;LOWER(C83)&amp;" ")),1,0))+IF(Task!$A$17="",0,IF(ISNUMBER(SEARCH(" "&amp;Task!$A$17&amp;" "," "&amp;LOWER(C83)&amp;" ")),1,0))+IF(Task!$A$18="",0,IF(ISNUMBER(SEARCH(" "&amp;Task!$A$18&amp;" "," "&amp;LOWER(C83)&amp;" ")),1,0))+IF(Task!$A$19="",0,IF(ISNUMBER(SEARCH(" "&amp;Task!$A$19&amp;" "," "&amp;LOWER(C83)&amp;" ")),1,0)))</f>
        <v/>
      </c>
      <c r="H83" s="9">
        <f>IF(E83=0,0,IF(Task!$A$8="",0,IF(ISNUMBER(SEARCH(" "&amp;Task!$A$8&amp;" "," "&amp;LOWER(SUBSTITUTE(SUBSTITUTE(SUBSTITUTE(SUBSTITUTE(A83,"/"," "),"."," "),"\"," "),"_"," "))&amp;" ")),1,0))+IF(Task!$A$9="",0,IF(ISNUMBER(SEARCH(" "&amp;Task!$A$9&amp;" "," "&amp;LOWER(SUBSTITUTE(SUBSTITUTE(SUBSTITUTE(SUBSTITUTE(A83,"/"," "),"."," "),"\"," "),"_"," "))&amp;" ")),1,0))+IF(Task!$A$10="",0,IF(ISNUMBER(SEARCH(" "&amp;Task!$A$10&amp;" "," "&amp;LOWER(SUBSTITUTE(SUBSTITUTE(SUBSTITUTE(SUBSTITUTE(A83,"/"," "),"."," "),"\"," "),"_"," "))&amp;" ")),1,0))+IF(Task!$A$11="",0,IF(ISNUMBER(SEARCH(" "&amp;Task!$A$11&amp;" "," "&amp;LOWER(SUBSTITUTE(SUBSTITUTE(SUBSTITUTE(SUBSTITUTE(A83,"/"," "),"."," "),"\"," "),"_"," "))&amp;" ")),1,0))+IF(Task!$A$12="",0,IF(ISNUMBER(SEARCH(" "&amp;Task!$A$12&amp;" "," "&amp;LOWER(SUBSTITUTE(SUBSTITUTE(SUBSTITUTE(SUBSTITUTE(A83,"/"," "),"."," "),"\"," "),"_"," "))&amp;" ")),1,0))+IF(Task!$A$13="",0,IF(ISNUMBER(SEARCH(" "&amp;Task!$A$13&amp;" "," "&amp;LOWER(SUBSTITUTE(SUBSTITUTE(SUBSTITUTE(SUBSTITUTE(A83,"/"," "),"."," "),"\"," "),"_"," "))&amp;" ")),1,0))+IF(Task!$A$14="",0,IF(ISNUMBER(SEARCH(" "&amp;Task!$A$14&amp;" "," "&amp;LOWER(SUBSTITUTE(SUBSTITUTE(SUBSTITUTE(SUBSTITUTE(A83,"/"," "),"."," "),"\"," "),"_"," "))&amp;" ")),1,0))+IF(Task!$A$15="",0,IF(ISNUMBER(SEARCH(" "&amp;Task!$A$15&amp;" "," "&amp;LOWER(SUBSTITUTE(SUBSTITUTE(SUBSTITUTE(SUBSTITUTE(A83,"/"," "),"."," "),"\"," "),"_"," "))&amp;" ")),1,0))+IF(Task!$A$16="",0,IF(ISNUMBER(SEARCH(" "&amp;Task!$A$16&amp;" "," "&amp;LOWER(SUBSTITUTE(SUBSTITUTE(SUBSTITUTE(SUBSTITUTE(A83,"/"," "),"."," "),"\"," "),"_"," "))&amp;" ")),1,0))+IF(Task!$A$17="",0,IF(ISNUMBER(SEARCH(" "&amp;Task!$A$17&amp;" "," "&amp;LOWER(SUBSTITUTE(SUBSTITUTE(SUBSTITUTE(SUBSTITUTE(A83,"/"," "),"."," "),"\"," "),"_"," "))&amp;" ")),1,0))+IF(Task!$A$18="",0,IF(ISNUMBER(SEARCH(" "&amp;Task!$A$18&amp;" "," "&amp;LOWER(SUBSTITUTE(SUBSTITUTE(SUBSTITUTE(SUBSTITUTE(A83,"/"," "),"."," "),"\"," "),"_"," "))&amp;" ")),1,0))+IF(Task!$A$19="",0,IF(ISNUMBER(SEARCH(" "&amp;Task!$A$19&amp;" "," "&amp;LOWER(SUBSTITUTE(SUBSTITUTE(SUBSTITUTE(SUBSTITUTE(A83,"/"," "),"."," "),"\"," "),"_"," "))&amp;" ")),1,0)))</f>
        <v/>
      </c>
      <c r="I83" s="10">
        <f>IF(OR(E83=0,F83=0,Task!$B$21=0),"",F83/Task!$B$21+0.5*G83+0.25*H83)</f>
        <v/>
      </c>
      <c r="J83" s="5">
        <f>IF(I83="","",I83-ROW()/1000000)</f>
        <v/>
      </c>
      <c r="K83" s="9">
        <f>IF(J83="","",COUNTIF($J$5:$J$404,"&gt;"&amp;J83)+1)</f>
        <v/>
      </c>
    </row>
    <row r="84">
      <c r="A84" s="7" t="n"/>
      <c r="B84" s="7" t="n"/>
      <c r="C84" s="7" t="n"/>
      <c r="D84" s="7" t="n"/>
      <c r="E84" s="5">
        <f>IF(A84="",0,IF(COUNTA(Task!$B$5:$E$5)=0,1,IF(COUNTIF(Task!$B$5:$E$5,B84)&gt;0,1,0)))</f>
        <v/>
      </c>
      <c r="F84" s="9">
        <f>IF(E84=0,0,IF(Task!$A$8="",0,IF(ISNUMBER(SEARCH(" "&amp;Task!$A$8&amp;" "," "&amp;LOWER(D84&amp;" "&amp;C84&amp;" "&amp;LOWER(SUBSTITUTE(SUBSTITUTE(SUBSTITUTE(SUBSTITUTE(A84,"/"," "),"."," "),"\"," "),"_"," ")))&amp;" ")),1,0))+IF(Task!$A$9="",0,IF(ISNUMBER(SEARCH(" "&amp;Task!$A$9&amp;" "," "&amp;LOWER(D84&amp;" "&amp;C84&amp;" "&amp;LOWER(SUBSTITUTE(SUBSTITUTE(SUBSTITUTE(SUBSTITUTE(A84,"/"," "),"."," "),"\"," "),"_"," ")))&amp;" ")),1,0))+IF(Task!$A$10="",0,IF(ISNUMBER(SEARCH(" "&amp;Task!$A$10&amp;" "," "&amp;LOWER(D84&amp;" "&amp;C84&amp;" "&amp;LOWER(SUBSTITUTE(SUBSTITUTE(SUBSTITUTE(SUBSTITUTE(A84,"/"," "),"."," "),"\"," "),"_"," ")))&amp;" ")),1,0))+IF(Task!$A$11="",0,IF(ISNUMBER(SEARCH(" "&amp;Task!$A$11&amp;" "," "&amp;LOWER(D84&amp;" "&amp;C84&amp;" "&amp;LOWER(SUBSTITUTE(SUBSTITUTE(SUBSTITUTE(SUBSTITUTE(A84,"/"," "),"."," "),"\"," "),"_"," ")))&amp;" ")),1,0))+IF(Task!$A$12="",0,IF(ISNUMBER(SEARCH(" "&amp;Task!$A$12&amp;" "," "&amp;LOWER(D84&amp;" "&amp;C84&amp;" "&amp;LOWER(SUBSTITUTE(SUBSTITUTE(SUBSTITUTE(SUBSTITUTE(A84,"/"," "),"."," "),"\"," "),"_"," ")))&amp;" ")),1,0))+IF(Task!$A$13="",0,IF(ISNUMBER(SEARCH(" "&amp;Task!$A$13&amp;" "," "&amp;LOWER(D84&amp;" "&amp;C84&amp;" "&amp;LOWER(SUBSTITUTE(SUBSTITUTE(SUBSTITUTE(SUBSTITUTE(A84,"/"," "),"."," "),"\"," "),"_"," ")))&amp;" ")),1,0))+IF(Task!$A$14="",0,IF(ISNUMBER(SEARCH(" "&amp;Task!$A$14&amp;" "," "&amp;LOWER(D84&amp;" "&amp;C84&amp;" "&amp;LOWER(SUBSTITUTE(SUBSTITUTE(SUBSTITUTE(SUBSTITUTE(A84,"/"," "),"."," "),"\"," "),"_"," ")))&amp;" ")),1,0))+IF(Task!$A$15="",0,IF(ISNUMBER(SEARCH(" "&amp;Task!$A$15&amp;" "," "&amp;LOWER(D84&amp;" "&amp;C84&amp;" "&amp;LOWER(SUBSTITUTE(SUBSTITUTE(SUBSTITUTE(SUBSTITUTE(A84,"/"," "),"."," "),"\"," "),"_"," ")))&amp;" ")),1,0))+IF(Task!$A$16="",0,IF(ISNUMBER(SEARCH(" "&amp;Task!$A$16&amp;" "," "&amp;LOWER(D84&amp;" "&amp;C84&amp;" "&amp;LOWER(SUBSTITUTE(SUBSTITUTE(SUBSTITUTE(SUBSTITUTE(A84,"/"," "),"."," "),"\"," "),"_"," ")))&amp;" ")),1,0))+IF(Task!$A$17="",0,IF(ISNUMBER(SEARCH(" "&amp;Task!$A$17&amp;" "," "&amp;LOWER(D84&amp;" "&amp;C84&amp;" "&amp;LOWER(SUBSTITUTE(SUBSTITUTE(SUBSTITUTE(SUBSTITUTE(A84,"/"," "),"."," "),"\"," "),"_"," ")))&amp;" ")),1,0))+IF(Task!$A$18="",0,IF(ISNUMBER(SEARCH(" "&amp;Task!$A$18&amp;" "," "&amp;LOWER(D84&amp;" "&amp;C84&amp;" "&amp;LOWER(SUBSTITUTE(SUBSTITUTE(SUBSTITUTE(SUBSTITUTE(A84,"/"," "),"."," "),"\"," "),"_"," ")))&amp;" ")),1,0))+IF(Task!$A$19="",0,IF(ISNUMBER(SEARCH(" "&amp;Task!$A$19&amp;" "," "&amp;LOWER(D84&amp;" "&amp;C84&amp;" "&amp;LOWER(SUBSTITUTE(SUBSTITUTE(SUBSTITUTE(SUBSTITUTE(A84,"/"," "),"."," "),"\"," "),"_"," ")))&amp;" ")),1,0)))</f>
        <v/>
      </c>
      <c r="G84" s="9">
        <f>IF(E84=0,0,IF(Task!$A$8="",0,IF(ISNUMBER(SEARCH(" "&amp;Task!$A$8&amp;" "," "&amp;LOWER(C84)&amp;" ")),1,0))+IF(Task!$A$9="",0,IF(ISNUMBER(SEARCH(" "&amp;Task!$A$9&amp;" "," "&amp;LOWER(C84)&amp;" ")),1,0))+IF(Task!$A$10="",0,IF(ISNUMBER(SEARCH(" "&amp;Task!$A$10&amp;" "," "&amp;LOWER(C84)&amp;" ")),1,0))+IF(Task!$A$11="",0,IF(ISNUMBER(SEARCH(" "&amp;Task!$A$11&amp;" "," "&amp;LOWER(C84)&amp;" ")),1,0))+IF(Task!$A$12="",0,IF(ISNUMBER(SEARCH(" "&amp;Task!$A$12&amp;" "," "&amp;LOWER(C84)&amp;" ")),1,0))+IF(Task!$A$13="",0,IF(ISNUMBER(SEARCH(" "&amp;Task!$A$13&amp;" "," "&amp;LOWER(C84)&amp;" ")),1,0))+IF(Task!$A$14="",0,IF(ISNUMBER(SEARCH(" "&amp;Task!$A$14&amp;" "," "&amp;LOWER(C84)&amp;" ")),1,0))+IF(Task!$A$15="",0,IF(ISNUMBER(SEARCH(" "&amp;Task!$A$15&amp;" "," "&amp;LOWER(C84)&amp;" ")),1,0))+IF(Task!$A$16="",0,IF(ISNUMBER(SEARCH(" "&amp;Task!$A$16&amp;" "," "&amp;LOWER(C84)&amp;" ")),1,0))+IF(Task!$A$17="",0,IF(ISNUMBER(SEARCH(" "&amp;Task!$A$17&amp;" "," "&amp;LOWER(C84)&amp;" ")),1,0))+IF(Task!$A$18="",0,IF(ISNUMBER(SEARCH(" "&amp;Task!$A$18&amp;" "," "&amp;LOWER(C84)&amp;" ")),1,0))+IF(Task!$A$19="",0,IF(ISNUMBER(SEARCH(" "&amp;Task!$A$19&amp;" "," "&amp;LOWER(C84)&amp;" ")),1,0)))</f>
        <v/>
      </c>
      <c r="H84" s="9">
        <f>IF(E84=0,0,IF(Task!$A$8="",0,IF(ISNUMBER(SEARCH(" "&amp;Task!$A$8&amp;" "," "&amp;LOWER(SUBSTITUTE(SUBSTITUTE(SUBSTITUTE(SUBSTITUTE(A84,"/"," "),"."," "),"\"," "),"_"," "))&amp;" ")),1,0))+IF(Task!$A$9="",0,IF(ISNUMBER(SEARCH(" "&amp;Task!$A$9&amp;" "," "&amp;LOWER(SUBSTITUTE(SUBSTITUTE(SUBSTITUTE(SUBSTITUTE(A84,"/"," "),"."," "),"\"," "),"_"," "))&amp;" ")),1,0))+IF(Task!$A$10="",0,IF(ISNUMBER(SEARCH(" "&amp;Task!$A$10&amp;" "," "&amp;LOWER(SUBSTITUTE(SUBSTITUTE(SUBSTITUTE(SUBSTITUTE(A84,"/"," "),"."," "),"\"," "),"_"," "))&amp;" ")),1,0))+IF(Task!$A$11="",0,IF(ISNUMBER(SEARCH(" "&amp;Task!$A$11&amp;" "," "&amp;LOWER(SUBSTITUTE(SUBSTITUTE(SUBSTITUTE(SUBSTITUTE(A84,"/"," "),"."," "),"\"," "),"_"," "))&amp;" ")),1,0))+IF(Task!$A$12="",0,IF(ISNUMBER(SEARCH(" "&amp;Task!$A$12&amp;" "," "&amp;LOWER(SUBSTITUTE(SUBSTITUTE(SUBSTITUTE(SUBSTITUTE(A84,"/"," "),"."," "),"\"," "),"_"," "))&amp;" ")),1,0))+IF(Task!$A$13="",0,IF(ISNUMBER(SEARCH(" "&amp;Task!$A$13&amp;" "," "&amp;LOWER(SUBSTITUTE(SUBSTITUTE(SUBSTITUTE(SUBSTITUTE(A84,"/"," "),"."," "),"\"," "),"_"," "))&amp;" ")),1,0))+IF(Task!$A$14="",0,IF(ISNUMBER(SEARCH(" "&amp;Task!$A$14&amp;" "," "&amp;LOWER(SUBSTITUTE(SUBSTITUTE(SUBSTITUTE(SUBSTITUTE(A84,"/"," "),"."," "),"\"," "),"_"," "))&amp;" ")),1,0))+IF(Task!$A$15="",0,IF(ISNUMBER(SEARCH(" "&amp;Task!$A$15&amp;" "," "&amp;LOWER(SUBSTITUTE(SUBSTITUTE(SUBSTITUTE(SUBSTITUTE(A84,"/"," "),"."," "),"\"," "),"_"," "))&amp;" ")),1,0))+IF(Task!$A$16="",0,IF(ISNUMBER(SEARCH(" "&amp;Task!$A$16&amp;" "," "&amp;LOWER(SUBSTITUTE(SUBSTITUTE(SUBSTITUTE(SUBSTITUTE(A84,"/"," "),"."," "),"\"," "),"_"," "))&amp;" ")),1,0))+IF(Task!$A$17="",0,IF(ISNUMBER(SEARCH(" "&amp;Task!$A$17&amp;" "," "&amp;LOWER(SUBSTITUTE(SUBSTITUTE(SUBSTITUTE(SUBSTITUTE(A84,"/"," "),"."," "),"\"," "),"_"," "))&amp;" ")),1,0))+IF(Task!$A$18="",0,IF(ISNUMBER(SEARCH(" "&amp;Task!$A$18&amp;" "," "&amp;LOWER(SUBSTITUTE(SUBSTITUTE(SUBSTITUTE(SUBSTITUTE(A84,"/"," "),"."," "),"\"," "),"_"," "))&amp;" ")),1,0))+IF(Task!$A$19="",0,IF(ISNUMBER(SEARCH(" "&amp;Task!$A$19&amp;" "," "&amp;LOWER(SUBSTITUTE(SUBSTITUTE(SUBSTITUTE(SUBSTITUTE(A84,"/"," "),"."," "),"\"," "),"_"," "))&amp;" ")),1,0)))</f>
        <v/>
      </c>
      <c r="I84" s="10">
        <f>IF(OR(E84=0,F84=0,Task!$B$21=0),"",F84/Task!$B$21+0.5*G84+0.25*H84)</f>
        <v/>
      </c>
      <c r="J84" s="5">
        <f>IF(I84="","",I84-ROW()/1000000)</f>
        <v/>
      </c>
      <c r="K84" s="9">
        <f>IF(J84="","",COUNTIF($J$5:$J$404,"&gt;"&amp;J84)+1)</f>
        <v/>
      </c>
    </row>
    <row r="85">
      <c r="A85" s="7" t="n"/>
      <c r="B85" s="7" t="n"/>
      <c r="C85" s="7" t="n"/>
      <c r="D85" s="7" t="n"/>
      <c r="E85" s="5">
        <f>IF(A85="",0,IF(COUNTA(Task!$B$5:$E$5)=0,1,IF(COUNTIF(Task!$B$5:$E$5,B85)&gt;0,1,0)))</f>
        <v/>
      </c>
      <c r="F85" s="9">
        <f>IF(E85=0,0,IF(Task!$A$8="",0,IF(ISNUMBER(SEARCH(" "&amp;Task!$A$8&amp;" "," "&amp;LOWER(D85&amp;" "&amp;C85&amp;" "&amp;LOWER(SUBSTITUTE(SUBSTITUTE(SUBSTITUTE(SUBSTITUTE(A85,"/"," "),"."," "),"\"," "),"_"," ")))&amp;" ")),1,0))+IF(Task!$A$9="",0,IF(ISNUMBER(SEARCH(" "&amp;Task!$A$9&amp;" "," "&amp;LOWER(D85&amp;" "&amp;C85&amp;" "&amp;LOWER(SUBSTITUTE(SUBSTITUTE(SUBSTITUTE(SUBSTITUTE(A85,"/"," "),"."," "),"\"," "),"_"," ")))&amp;" ")),1,0))+IF(Task!$A$10="",0,IF(ISNUMBER(SEARCH(" "&amp;Task!$A$10&amp;" "," "&amp;LOWER(D85&amp;" "&amp;C85&amp;" "&amp;LOWER(SUBSTITUTE(SUBSTITUTE(SUBSTITUTE(SUBSTITUTE(A85,"/"," "),"."," "),"\"," "),"_"," ")))&amp;" ")),1,0))+IF(Task!$A$11="",0,IF(ISNUMBER(SEARCH(" "&amp;Task!$A$11&amp;" "," "&amp;LOWER(D85&amp;" "&amp;C85&amp;" "&amp;LOWER(SUBSTITUTE(SUBSTITUTE(SUBSTITUTE(SUBSTITUTE(A85,"/"," "),"."," "),"\"," "),"_"," ")))&amp;" ")),1,0))+IF(Task!$A$12="",0,IF(ISNUMBER(SEARCH(" "&amp;Task!$A$12&amp;" "," "&amp;LOWER(D85&amp;" "&amp;C85&amp;" "&amp;LOWER(SUBSTITUTE(SUBSTITUTE(SUBSTITUTE(SUBSTITUTE(A85,"/"," "),"."," "),"\"," "),"_"," ")))&amp;" ")),1,0))+IF(Task!$A$13="",0,IF(ISNUMBER(SEARCH(" "&amp;Task!$A$13&amp;" "," "&amp;LOWER(D85&amp;" "&amp;C85&amp;" "&amp;LOWER(SUBSTITUTE(SUBSTITUTE(SUBSTITUTE(SUBSTITUTE(A85,"/"," "),"."," "),"\"," "),"_"," ")))&amp;" ")),1,0))+IF(Task!$A$14="",0,IF(ISNUMBER(SEARCH(" "&amp;Task!$A$14&amp;" "," "&amp;LOWER(D85&amp;" "&amp;C85&amp;" "&amp;LOWER(SUBSTITUTE(SUBSTITUTE(SUBSTITUTE(SUBSTITUTE(A85,"/"," "),"."," "),"\"," "),"_"," ")))&amp;" ")),1,0))+IF(Task!$A$15="",0,IF(ISNUMBER(SEARCH(" "&amp;Task!$A$15&amp;" "," "&amp;LOWER(D85&amp;" "&amp;C85&amp;" "&amp;LOWER(SUBSTITUTE(SUBSTITUTE(SUBSTITUTE(SUBSTITUTE(A85,"/"," "),"."," "),"\"," "),"_"," ")))&amp;" ")),1,0))+IF(Task!$A$16="",0,IF(ISNUMBER(SEARCH(" "&amp;Task!$A$16&amp;" "," "&amp;LOWER(D85&amp;" "&amp;C85&amp;" "&amp;LOWER(SUBSTITUTE(SUBSTITUTE(SUBSTITUTE(SUBSTITUTE(A85,"/"," "),"."," "),"\"," "),"_"," ")))&amp;" ")),1,0))+IF(Task!$A$17="",0,IF(ISNUMBER(SEARCH(" "&amp;Task!$A$17&amp;" "," "&amp;LOWER(D85&amp;" "&amp;C85&amp;" "&amp;LOWER(SUBSTITUTE(SUBSTITUTE(SUBSTITUTE(SUBSTITUTE(A85,"/"," "),"."," "),"\"," "),"_"," ")))&amp;" ")),1,0))+IF(Task!$A$18="",0,IF(ISNUMBER(SEARCH(" "&amp;Task!$A$18&amp;" "," "&amp;LOWER(D85&amp;" "&amp;C85&amp;" "&amp;LOWER(SUBSTITUTE(SUBSTITUTE(SUBSTITUTE(SUBSTITUTE(A85,"/"," "),"."," "),"\"," "),"_"," ")))&amp;" ")),1,0))+IF(Task!$A$19="",0,IF(ISNUMBER(SEARCH(" "&amp;Task!$A$19&amp;" "," "&amp;LOWER(D85&amp;" "&amp;C85&amp;" "&amp;LOWER(SUBSTITUTE(SUBSTITUTE(SUBSTITUTE(SUBSTITUTE(A85,"/"," "),"."," "),"\"," "),"_"," ")))&amp;" ")),1,0)))</f>
        <v/>
      </c>
      <c r="G85" s="9">
        <f>IF(E85=0,0,IF(Task!$A$8="",0,IF(ISNUMBER(SEARCH(" "&amp;Task!$A$8&amp;" "," "&amp;LOWER(C85)&amp;" ")),1,0))+IF(Task!$A$9="",0,IF(ISNUMBER(SEARCH(" "&amp;Task!$A$9&amp;" "," "&amp;LOWER(C85)&amp;" ")),1,0))+IF(Task!$A$10="",0,IF(ISNUMBER(SEARCH(" "&amp;Task!$A$10&amp;" "," "&amp;LOWER(C85)&amp;" ")),1,0))+IF(Task!$A$11="",0,IF(ISNUMBER(SEARCH(" "&amp;Task!$A$11&amp;" "," "&amp;LOWER(C85)&amp;" ")),1,0))+IF(Task!$A$12="",0,IF(ISNUMBER(SEARCH(" "&amp;Task!$A$12&amp;" "," "&amp;LOWER(C85)&amp;" ")),1,0))+IF(Task!$A$13="",0,IF(ISNUMBER(SEARCH(" "&amp;Task!$A$13&amp;" "," "&amp;LOWER(C85)&amp;" ")),1,0))+IF(Task!$A$14="",0,IF(ISNUMBER(SEARCH(" "&amp;Task!$A$14&amp;" "," "&amp;LOWER(C85)&amp;" ")),1,0))+IF(Task!$A$15="",0,IF(ISNUMBER(SEARCH(" "&amp;Task!$A$15&amp;" "," "&amp;LOWER(C85)&amp;" ")),1,0))+IF(Task!$A$16="",0,IF(ISNUMBER(SEARCH(" "&amp;Task!$A$16&amp;" "," "&amp;LOWER(C85)&amp;" ")),1,0))+IF(Task!$A$17="",0,IF(ISNUMBER(SEARCH(" "&amp;Task!$A$17&amp;" "," "&amp;LOWER(C85)&amp;" ")),1,0))+IF(Task!$A$18="",0,IF(ISNUMBER(SEARCH(" "&amp;Task!$A$18&amp;" "," "&amp;LOWER(C85)&amp;" ")),1,0))+IF(Task!$A$19="",0,IF(ISNUMBER(SEARCH(" "&amp;Task!$A$19&amp;" "," "&amp;LOWER(C85)&amp;" ")),1,0)))</f>
        <v/>
      </c>
      <c r="H85" s="9">
        <f>IF(E85=0,0,IF(Task!$A$8="",0,IF(ISNUMBER(SEARCH(" "&amp;Task!$A$8&amp;" "," "&amp;LOWER(SUBSTITUTE(SUBSTITUTE(SUBSTITUTE(SUBSTITUTE(A85,"/"," "),"."," "),"\"," "),"_"," "))&amp;" ")),1,0))+IF(Task!$A$9="",0,IF(ISNUMBER(SEARCH(" "&amp;Task!$A$9&amp;" "," "&amp;LOWER(SUBSTITUTE(SUBSTITUTE(SUBSTITUTE(SUBSTITUTE(A85,"/"," "),"."," "),"\"," "),"_"," "))&amp;" ")),1,0))+IF(Task!$A$10="",0,IF(ISNUMBER(SEARCH(" "&amp;Task!$A$10&amp;" "," "&amp;LOWER(SUBSTITUTE(SUBSTITUTE(SUBSTITUTE(SUBSTITUTE(A85,"/"," "),"."," "),"\"," "),"_"," "))&amp;" ")),1,0))+IF(Task!$A$11="",0,IF(ISNUMBER(SEARCH(" "&amp;Task!$A$11&amp;" "," "&amp;LOWER(SUBSTITUTE(SUBSTITUTE(SUBSTITUTE(SUBSTITUTE(A85,"/"," "),"."," "),"\"," "),"_"," "))&amp;" ")),1,0))+IF(Task!$A$12="",0,IF(ISNUMBER(SEARCH(" "&amp;Task!$A$12&amp;" "," "&amp;LOWER(SUBSTITUTE(SUBSTITUTE(SUBSTITUTE(SUBSTITUTE(A85,"/"," "),"."," "),"\"," "),"_"," "))&amp;" ")),1,0))+IF(Task!$A$13="",0,IF(ISNUMBER(SEARCH(" "&amp;Task!$A$13&amp;" "," "&amp;LOWER(SUBSTITUTE(SUBSTITUTE(SUBSTITUTE(SUBSTITUTE(A85,"/"," "),"."," "),"\"," "),"_"," "))&amp;" ")),1,0))+IF(Task!$A$14="",0,IF(ISNUMBER(SEARCH(" "&amp;Task!$A$14&amp;" "," "&amp;LOWER(SUBSTITUTE(SUBSTITUTE(SUBSTITUTE(SUBSTITUTE(A85,"/"," "),"."," "),"\"," "),"_"," "))&amp;" ")),1,0))+IF(Task!$A$15="",0,IF(ISNUMBER(SEARCH(" "&amp;Task!$A$15&amp;" "," "&amp;LOWER(SUBSTITUTE(SUBSTITUTE(SUBSTITUTE(SUBSTITUTE(A85,"/"," "),"."," "),"\"," "),"_"," "))&amp;" ")),1,0))+IF(Task!$A$16="",0,IF(ISNUMBER(SEARCH(" "&amp;Task!$A$16&amp;" "," "&amp;LOWER(SUBSTITUTE(SUBSTITUTE(SUBSTITUTE(SUBSTITUTE(A85,"/"," "),"."," "),"\"," "),"_"," "))&amp;" ")),1,0))+IF(Task!$A$17="",0,IF(ISNUMBER(SEARCH(" "&amp;Task!$A$17&amp;" "," "&amp;LOWER(SUBSTITUTE(SUBSTITUTE(SUBSTITUTE(SUBSTITUTE(A85,"/"," "),"."," "),"\"," "),"_"," "))&amp;" ")),1,0))+IF(Task!$A$18="",0,IF(ISNUMBER(SEARCH(" "&amp;Task!$A$18&amp;" "," "&amp;LOWER(SUBSTITUTE(SUBSTITUTE(SUBSTITUTE(SUBSTITUTE(A85,"/"," "),"."," "),"\"," "),"_"," "))&amp;" ")),1,0))+IF(Task!$A$19="",0,IF(ISNUMBER(SEARCH(" "&amp;Task!$A$19&amp;" "," "&amp;LOWER(SUBSTITUTE(SUBSTITUTE(SUBSTITUTE(SUBSTITUTE(A85,"/"," "),"."," "),"\"," "),"_"," "))&amp;" ")),1,0)))</f>
        <v/>
      </c>
      <c r="I85" s="10">
        <f>IF(OR(E85=0,F85=0,Task!$B$21=0),"",F85/Task!$B$21+0.5*G85+0.25*H85)</f>
        <v/>
      </c>
      <c r="J85" s="5">
        <f>IF(I85="","",I85-ROW()/1000000)</f>
        <v/>
      </c>
      <c r="K85" s="9">
        <f>IF(J85="","",COUNTIF($J$5:$J$404,"&gt;"&amp;J85)+1)</f>
        <v/>
      </c>
    </row>
    <row r="86">
      <c r="A86" s="7" t="n"/>
      <c r="B86" s="7" t="n"/>
      <c r="C86" s="7" t="n"/>
      <c r="D86" s="7" t="n"/>
      <c r="E86" s="5">
        <f>IF(A86="",0,IF(COUNTA(Task!$B$5:$E$5)=0,1,IF(COUNTIF(Task!$B$5:$E$5,B86)&gt;0,1,0)))</f>
        <v/>
      </c>
      <c r="F86" s="9">
        <f>IF(E86=0,0,IF(Task!$A$8="",0,IF(ISNUMBER(SEARCH(" "&amp;Task!$A$8&amp;" "," "&amp;LOWER(D86&amp;" "&amp;C86&amp;" "&amp;LOWER(SUBSTITUTE(SUBSTITUTE(SUBSTITUTE(SUBSTITUTE(A86,"/"," "),"."," "),"\"," "),"_"," ")))&amp;" ")),1,0))+IF(Task!$A$9="",0,IF(ISNUMBER(SEARCH(" "&amp;Task!$A$9&amp;" "," "&amp;LOWER(D86&amp;" "&amp;C86&amp;" "&amp;LOWER(SUBSTITUTE(SUBSTITUTE(SUBSTITUTE(SUBSTITUTE(A86,"/"," "),"."," "),"\"," "),"_"," ")))&amp;" ")),1,0))+IF(Task!$A$10="",0,IF(ISNUMBER(SEARCH(" "&amp;Task!$A$10&amp;" "," "&amp;LOWER(D86&amp;" "&amp;C86&amp;" "&amp;LOWER(SUBSTITUTE(SUBSTITUTE(SUBSTITUTE(SUBSTITUTE(A86,"/"," "),"."," "),"\"," "),"_"," ")))&amp;" ")),1,0))+IF(Task!$A$11="",0,IF(ISNUMBER(SEARCH(" "&amp;Task!$A$11&amp;" "," "&amp;LOWER(D86&amp;" "&amp;C86&amp;" "&amp;LOWER(SUBSTITUTE(SUBSTITUTE(SUBSTITUTE(SUBSTITUTE(A86,"/"," "),"."," "),"\"," "),"_"," ")))&amp;" ")),1,0))+IF(Task!$A$12="",0,IF(ISNUMBER(SEARCH(" "&amp;Task!$A$12&amp;" "," "&amp;LOWER(D86&amp;" "&amp;C86&amp;" "&amp;LOWER(SUBSTITUTE(SUBSTITUTE(SUBSTITUTE(SUBSTITUTE(A86,"/"," "),"."," "),"\"," "),"_"," ")))&amp;" ")),1,0))+IF(Task!$A$13="",0,IF(ISNUMBER(SEARCH(" "&amp;Task!$A$13&amp;" "," "&amp;LOWER(D86&amp;" "&amp;C86&amp;" "&amp;LOWER(SUBSTITUTE(SUBSTITUTE(SUBSTITUTE(SUBSTITUTE(A86,"/"," "),"."," "),"\"," "),"_"," ")))&amp;" ")),1,0))+IF(Task!$A$14="",0,IF(ISNUMBER(SEARCH(" "&amp;Task!$A$14&amp;" "," "&amp;LOWER(D86&amp;" "&amp;C86&amp;" "&amp;LOWER(SUBSTITUTE(SUBSTITUTE(SUBSTITUTE(SUBSTITUTE(A86,"/"," "),"."," "),"\"," "),"_"," ")))&amp;" ")),1,0))+IF(Task!$A$15="",0,IF(ISNUMBER(SEARCH(" "&amp;Task!$A$15&amp;" "," "&amp;LOWER(D86&amp;" "&amp;C86&amp;" "&amp;LOWER(SUBSTITUTE(SUBSTITUTE(SUBSTITUTE(SUBSTITUTE(A86,"/"," "),"."," "),"\"," "),"_"," ")))&amp;" ")),1,0))+IF(Task!$A$16="",0,IF(ISNUMBER(SEARCH(" "&amp;Task!$A$16&amp;" "," "&amp;LOWER(D86&amp;" "&amp;C86&amp;" "&amp;LOWER(SUBSTITUTE(SUBSTITUTE(SUBSTITUTE(SUBSTITUTE(A86,"/"," "),"."," "),"\"," "),"_"," ")))&amp;" ")),1,0))+IF(Task!$A$17="",0,IF(ISNUMBER(SEARCH(" "&amp;Task!$A$17&amp;" "," "&amp;LOWER(D86&amp;" "&amp;C86&amp;" "&amp;LOWER(SUBSTITUTE(SUBSTITUTE(SUBSTITUTE(SUBSTITUTE(A86,"/"," "),"."," "),"\"," "),"_"," ")))&amp;" ")),1,0))+IF(Task!$A$18="",0,IF(ISNUMBER(SEARCH(" "&amp;Task!$A$18&amp;" "," "&amp;LOWER(D86&amp;" "&amp;C86&amp;" "&amp;LOWER(SUBSTITUTE(SUBSTITUTE(SUBSTITUTE(SUBSTITUTE(A86,"/"," "),"."," "),"\"," "),"_"," ")))&amp;" ")),1,0))+IF(Task!$A$19="",0,IF(ISNUMBER(SEARCH(" "&amp;Task!$A$19&amp;" "," "&amp;LOWER(D86&amp;" "&amp;C86&amp;" "&amp;LOWER(SUBSTITUTE(SUBSTITUTE(SUBSTITUTE(SUBSTITUTE(A86,"/"," "),"."," "),"\"," "),"_"," ")))&amp;" ")),1,0)))</f>
        <v/>
      </c>
      <c r="G86" s="9">
        <f>IF(E86=0,0,IF(Task!$A$8="",0,IF(ISNUMBER(SEARCH(" "&amp;Task!$A$8&amp;" "," "&amp;LOWER(C86)&amp;" ")),1,0))+IF(Task!$A$9="",0,IF(ISNUMBER(SEARCH(" "&amp;Task!$A$9&amp;" "," "&amp;LOWER(C86)&amp;" ")),1,0))+IF(Task!$A$10="",0,IF(ISNUMBER(SEARCH(" "&amp;Task!$A$10&amp;" "," "&amp;LOWER(C86)&amp;" ")),1,0))+IF(Task!$A$11="",0,IF(ISNUMBER(SEARCH(" "&amp;Task!$A$11&amp;" "," "&amp;LOWER(C86)&amp;" ")),1,0))+IF(Task!$A$12="",0,IF(ISNUMBER(SEARCH(" "&amp;Task!$A$12&amp;" "," "&amp;LOWER(C86)&amp;" ")),1,0))+IF(Task!$A$13="",0,IF(ISNUMBER(SEARCH(" "&amp;Task!$A$13&amp;" "," "&amp;LOWER(C86)&amp;" ")),1,0))+IF(Task!$A$14="",0,IF(ISNUMBER(SEARCH(" "&amp;Task!$A$14&amp;" "," "&amp;LOWER(C86)&amp;" ")),1,0))+IF(Task!$A$15="",0,IF(ISNUMBER(SEARCH(" "&amp;Task!$A$15&amp;" "," "&amp;LOWER(C86)&amp;" ")),1,0))+IF(Task!$A$16="",0,IF(ISNUMBER(SEARCH(" "&amp;Task!$A$16&amp;" "," "&amp;LOWER(C86)&amp;" ")),1,0))+IF(Task!$A$17="",0,IF(ISNUMBER(SEARCH(" "&amp;Task!$A$17&amp;" "," "&amp;LOWER(C86)&amp;" ")),1,0))+IF(Task!$A$18="",0,IF(ISNUMBER(SEARCH(" "&amp;Task!$A$18&amp;" "," "&amp;LOWER(C86)&amp;" ")),1,0))+IF(Task!$A$19="",0,IF(ISNUMBER(SEARCH(" "&amp;Task!$A$19&amp;" "," "&amp;LOWER(C86)&amp;" ")),1,0)))</f>
        <v/>
      </c>
      <c r="H86" s="9">
        <f>IF(E86=0,0,IF(Task!$A$8="",0,IF(ISNUMBER(SEARCH(" "&amp;Task!$A$8&amp;" "," "&amp;LOWER(SUBSTITUTE(SUBSTITUTE(SUBSTITUTE(SUBSTITUTE(A86,"/"," "),"."," "),"\"," "),"_"," "))&amp;" ")),1,0))+IF(Task!$A$9="",0,IF(ISNUMBER(SEARCH(" "&amp;Task!$A$9&amp;" "," "&amp;LOWER(SUBSTITUTE(SUBSTITUTE(SUBSTITUTE(SUBSTITUTE(A86,"/"," "),"."," "),"\"," "),"_"," "))&amp;" ")),1,0))+IF(Task!$A$10="",0,IF(ISNUMBER(SEARCH(" "&amp;Task!$A$10&amp;" "," "&amp;LOWER(SUBSTITUTE(SUBSTITUTE(SUBSTITUTE(SUBSTITUTE(A86,"/"," "),"."," "),"\"," "),"_"," "))&amp;" ")),1,0))+IF(Task!$A$11="",0,IF(ISNUMBER(SEARCH(" "&amp;Task!$A$11&amp;" "," "&amp;LOWER(SUBSTITUTE(SUBSTITUTE(SUBSTITUTE(SUBSTITUTE(A86,"/"," "),"."," "),"\"," "),"_"," "))&amp;" ")),1,0))+IF(Task!$A$12="",0,IF(ISNUMBER(SEARCH(" "&amp;Task!$A$12&amp;" "," "&amp;LOWER(SUBSTITUTE(SUBSTITUTE(SUBSTITUTE(SUBSTITUTE(A86,"/"," "),"."," "),"\"," "),"_"," "))&amp;" ")),1,0))+IF(Task!$A$13="",0,IF(ISNUMBER(SEARCH(" "&amp;Task!$A$13&amp;" "," "&amp;LOWER(SUBSTITUTE(SUBSTITUTE(SUBSTITUTE(SUBSTITUTE(A86,"/"," "),"."," "),"\"," "),"_"," "))&amp;" ")),1,0))+IF(Task!$A$14="",0,IF(ISNUMBER(SEARCH(" "&amp;Task!$A$14&amp;" "," "&amp;LOWER(SUBSTITUTE(SUBSTITUTE(SUBSTITUTE(SUBSTITUTE(A86,"/"," "),"."," "),"\"," "),"_"," "))&amp;" ")),1,0))+IF(Task!$A$15="",0,IF(ISNUMBER(SEARCH(" "&amp;Task!$A$15&amp;" "," "&amp;LOWER(SUBSTITUTE(SUBSTITUTE(SUBSTITUTE(SUBSTITUTE(A86,"/"," "),"."," "),"\"," "),"_"," "))&amp;" ")),1,0))+IF(Task!$A$16="",0,IF(ISNUMBER(SEARCH(" "&amp;Task!$A$16&amp;" "," "&amp;LOWER(SUBSTITUTE(SUBSTITUTE(SUBSTITUTE(SUBSTITUTE(A86,"/"," "),"."," "),"\"," "),"_"," "))&amp;" ")),1,0))+IF(Task!$A$17="",0,IF(ISNUMBER(SEARCH(" "&amp;Task!$A$17&amp;" "," "&amp;LOWER(SUBSTITUTE(SUBSTITUTE(SUBSTITUTE(SUBSTITUTE(A86,"/"," "),"."," "),"\"," "),"_"," "))&amp;" ")),1,0))+IF(Task!$A$18="",0,IF(ISNUMBER(SEARCH(" "&amp;Task!$A$18&amp;" "," "&amp;LOWER(SUBSTITUTE(SUBSTITUTE(SUBSTITUTE(SUBSTITUTE(A86,"/"," "),"."," "),"\"," "),"_"," "))&amp;" ")),1,0))+IF(Task!$A$19="",0,IF(ISNUMBER(SEARCH(" "&amp;Task!$A$19&amp;" "," "&amp;LOWER(SUBSTITUTE(SUBSTITUTE(SUBSTITUTE(SUBSTITUTE(A86,"/"," "),"."," "),"\"," "),"_"," "))&amp;" ")),1,0)))</f>
        <v/>
      </c>
      <c r="I86" s="10">
        <f>IF(OR(E86=0,F86=0,Task!$B$21=0),"",F86/Task!$B$21+0.5*G86+0.25*H86)</f>
        <v/>
      </c>
      <c r="J86" s="5">
        <f>IF(I86="","",I86-ROW()/1000000)</f>
        <v/>
      </c>
      <c r="K86" s="9">
        <f>IF(J86="","",COUNTIF($J$5:$J$404,"&gt;"&amp;J86)+1)</f>
        <v/>
      </c>
    </row>
    <row r="87">
      <c r="A87" s="7" t="n"/>
      <c r="B87" s="7" t="n"/>
      <c r="C87" s="7" t="n"/>
      <c r="D87" s="7" t="n"/>
      <c r="E87" s="5">
        <f>IF(A87="",0,IF(COUNTA(Task!$B$5:$E$5)=0,1,IF(COUNTIF(Task!$B$5:$E$5,B87)&gt;0,1,0)))</f>
        <v/>
      </c>
      <c r="F87" s="9">
        <f>IF(E87=0,0,IF(Task!$A$8="",0,IF(ISNUMBER(SEARCH(" "&amp;Task!$A$8&amp;" "," "&amp;LOWER(D87&amp;" "&amp;C87&amp;" "&amp;LOWER(SUBSTITUTE(SUBSTITUTE(SUBSTITUTE(SUBSTITUTE(A87,"/"," "),"."," "),"\"," "),"_"," ")))&amp;" ")),1,0))+IF(Task!$A$9="",0,IF(ISNUMBER(SEARCH(" "&amp;Task!$A$9&amp;" "," "&amp;LOWER(D87&amp;" "&amp;C87&amp;" "&amp;LOWER(SUBSTITUTE(SUBSTITUTE(SUBSTITUTE(SUBSTITUTE(A87,"/"," "),"."," "),"\"," "),"_"," ")))&amp;" ")),1,0))+IF(Task!$A$10="",0,IF(ISNUMBER(SEARCH(" "&amp;Task!$A$10&amp;" "," "&amp;LOWER(D87&amp;" "&amp;C87&amp;" "&amp;LOWER(SUBSTITUTE(SUBSTITUTE(SUBSTITUTE(SUBSTITUTE(A87,"/"," "),"."," "),"\"," "),"_"," ")))&amp;" ")),1,0))+IF(Task!$A$11="",0,IF(ISNUMBER(SEARCH(" "&amp;Task!$A$11&amp;" "," "&amp;LOWER(D87&amp;" "&amp;C87&amp;" "&amp;LOWER(SUBSTITUTE(SUBSTITUTE(SUBSTITUTE(SUBSTITUTE(A87,"/"," "),"."," "),"\"," "),"_"," ")))&amp;" ")),1,0))+IF(Task!$A$12="",0,IF(ISNUMBER(SEARCH(" "&amp;Task!$A$12&amp;" "," "&amp;LOWER(D87&amp;" "&amp;C87&amp;" "&amp;LOWER(SUBSTITUTE(SUBSTITUTE(SUBSTITUTE(SUBSTITUTE(A87,"/"," "),"."," "),"\"," "),"_"," ")))&amp;" ")),1,0))+IF(Task!$A$13="",0,IF(ISNUMBER(SEARCH(" "&amp;Task!$A$13&amp;" "," "&amp;LOWER(D87&amp;" "&amp;C87&amp;" "&amp;LOWER(SUBSTITUTE(SUBSTITUTE(SUBSTITUTE(SUBSTITUTE(A87,"/"," "),"."," "),"\"," "),"_"," ")))&amp;" ")),1,0))+IF(Task!$A$14="",0,IF(ISNUMBER(SEARCH(" "&amp;Task!$A$14&amp;" "," "&amp;LOWER(D87&amp;" "&amp;C87&amp;" "&amp;LOWER(SUBSTITUTE(SUBSTITUTE(SUBSTITUTE(SUBSTITUTE(A87,"/"," "),"."," "),"\"," "),"_"," ")))&amp;" ")),1,0))+IF(Task!$A$15="",0,IF(ISNUMBER(SEARCH(" "&amp;Task!$A$15&amp;" "," "&amp;LOWER(D87&amp;" "&amp;C87&amp;" "&amp;LOWER(SUBSTITUTE(SUBSTITUTE(SUBSTITUTE(SUBSTITUTE(A87,"/"," "),"."," "),"\"," "),"_"," ")))&amp;" ")),1,0))+IF(Task!$A$16="",0,IF(ISNUMBER(SEARCH(" "&amp;Task!$A$16&amp;" "," "&amp;LOWER(D87&amp;" "&amp;C87&amp;" "&amp;LOWER(SUBSTITUTE(SUBSTITUTE(SUBSTITUTE(SUBSTITUTE(A87,"/"," "),"."," "),"\"," "),"_"," ")))&amp;" ")),1,0))+IF(Task!$A$17="",0,IF(ISNUMBER(SEARCH(" "&amp;Task!$A$17&amp;" "," "&amp;LOWER(D87&amp;" "&amp;C87&amp;" "&amp;LOWER(SUBSTITUTE(SUBSTITUTE(SUBSTITUTE(SUBSTITUTE(A87,"/"," "),"."," "),"\"," "),"_"," ")))&amp;" ")),1,0))+IF(Task!$A$18="",0,IF(ISNUMBER(SEARCH(" "&amp;Task!$A$18&amp;" "," "&amp;LOWER(D87&amp;" "&amp;C87&amp;" "&amp;LOWER(SUBSTITUTE(SUBSTITUTE(SUBSTITUTE(SUBSTITUTE(A87,"/"," "),"."," "),"\"," "),"_"," ")))&amp;" ")),1,0))+IF(Task!$A$19="",0,IF(ISNUMBER(SEARCH(" "&amp;Task!$A$19&amp;" "," "&amp;LOWER(D87&amp;" "&amp;C87&amp;" "&amp;LOWER(SUBSTITUTE(SUBSTITUTE(SUBSTITUTE(SUBSTITUTE(A87,"/"," "),"."," "),"\"," "),"_"," ")))&amp;" ")),1,0)))</f>
        <v/>
      </c>
      <c r="G87" s="9">
        <f>IF(E87=0,0,IF(Task!$A$8="",0,IF(ISNUMBER(SEARCH(" "&amp;Task!$A$8&amp;" "," "&amp;LOWER(C87)&amp;" ")),1,0))+IF(Task!$A$9="",0,IF(ISNUMBER(SEARCH(" "&amp;Task!$A$9&amp;" "," "&amp;LOWER(C87)&amp;" ")),1,0))+IF(Task!$A$10="",0,IF(ISNUMBER(SEARCH(" "&amp;Task!$A$10&amp;" "," "&amp;LOWER(C87)&amp;" ")),1,0))+IF(Task!$A$11="",0,IF(ISNUMBER(SEARCH(" "&amp;Task!$A$11&amp;" "," "&amp;LOWER(C87)&amp;" ")),1,0))+IF(Task!$A$12="",0,IF(ISNUMBER(SEARCH(" "&amp;Task!$A$12&amp;" "," "&amp;LOWER(C87)&amp;" ")),1,0))+IF(Task!$A$13="",0,IF(ISNUMBER(SEARCH(" "&amp;Task!$A$13&amp;" "," "&amp;LOWER(C87)&amp;" ")),1,0))+IF(Task!$A$14="",0,IF(ISNUMBER(SEARCH(" "&amp;Task!$A$14&amp;" "," "&amp;LOWER(C87)&amp;" ")),1,0))+IF(Task!$A$15="",0,IF(ISNUMBER(SEARCH(" "&amp;Task!$A$15&amp;" "," "&amp;LOWER(C87)&amp;" ")),1,0))+IF(Task!$A$16="",0,IF(ISNUMBER(SEARCH(" "&amp;Task!$A$16&amp;" "," "&amp;LOWER(C87)&amp;" ")),1,0))+IF(Task!$A$17="",0,IF(ISNUMBER(SEARCH(" "&amp;Task!$A$17&amp;" "," "&amp;LOWER(C87)&amp;" ")),1,0))+IF(Task!$A$18="",0,IF(ISNUMBER(SEARCH(" "&amp;Task!$A$18&amp;" "," "&amp;LOWER(C87)&amp;" ")),1,0))+IF(Task!$A$19="",0,IF(ISNUMBER(SEARCH(" "&amp;Task!$A$19&amp;" "," "&amp;LOWER(C87)&amp;" ")),1,0)))</f>
        <v/>
      </c>
      <c r="H87" s="9">
        <f>IF(E87=0,0,IF(Task!$A$8="",0,IF(ISNUMBER(SEARCH(" "&amp;Task!$A$8&amp;" "," "&amp;LOWER(SUBSTITUTE(SUBSTITUTE(SUBSTITUTE(SUBSTITUTE(A87,"/"," "),"."," "),"\"," "),"_"," "))&amp;" ")),1,0))+IF(Task!$A$9="",0,IF(ISNUMBER(SEARCH(" "&amp;Task!$A$9&amp;" "," "&amp;LOWER(SUBSTITUTE(SUBSTITUTE(SUBSTITUTE(SUBSTITUTE(A87,"/"," "),"."," "),"\"," "),"_"," "))&amp;" ")),1,0))+IF(Task!$A$10="",0,IF(ISNUMBER(SEARCH(" "&amp;Task!$A$10&amp;" "," "&amp;LOWER(SUBSTITUTE(SUBSTITUTE(SUBSTITUTE(SUBSTITUTE(A87,"/"," "),"."," "),"\"," "),"_"," "))&amp;" ")),1,0))+IF(Task!$A$11="",0,IF(ISNUMBER(SEARCH(" "&amp;Task!$A$11&amp;" "," "&amp;LOWER(SUBSTITUTE(SUBSTITUTE(SUBSTITUTE(SUBSTITUTE(A87,"/"," "),"."," "),"\"," "),"_"," "))&amp;" ")),1,0))+IF(Task!$A$12="",0,IF(ISNUMBER(SEARCH(" "&amp;Task!$A$12&amp;" "," "&amp;LOWER(SUBSTITUTE(SUBSTITUTE(SUBSTITUTE(SUBSTITUTE(A87,"/"," "),"."," "),"\"," "),"_"," "))&amp;" ")),1,0))+IF(Task!$A$13="",0,IF(ISNUMBER(SEARCH(" "&amp;Task!$A$13&amp;" "," "&amp;LOWER(SUBSTITUTE(SUBSTITUTE(SUBSTITUTE(SUBSTITUTE(A87,"/"," "),"."," "),"\"," "),"_"," "))&amp;" ")),1,0))+IF(Task!$A$14="",0,IF(ISNUMBER(SEARCH(" "&amp;Task!$A$14&amp;" "," "&amp;LOWER(SUBSTITUTE(SUBSTITUTE(SUBSTITUTE(SUBSTITUTE(A87,"/"," "),"."," "),"\"," "),"_"," "))&amp;" ")),1,0))+IF(Task!$A$15="",0,IF(ISNUMBER(SEARCH(" "&amp;Task!$A$15&amp;" "," "&amp;LOWER(SUBSTITUTE(SUBSTITUTE(SUBSTITUTE(SUBSTITUTE(A87,"/"," "),"."," "),"\"," "),"_"," "))&amp;" ")),1,0))+IF(Task!$A$16="",0,IF(ISNUMBER(SEARCH(" "&amp;Task!$A$16&amp;" "," "&amp;LOWER(SUBSTITUTE(SUBSTITUTE(SUBSTITUTE(SUBSTITUTE(A87,"/"," "),"."," "),"\"," "),"_"," "))&amp;" ")),1,0))+IF(Task!$A$17="",0,IF(ISNUMBER(SEARCH(" "&amp;Task!$A$17&amp;" "," "&amp;LOWER(SUBSTITUTE(SUBSTITUTE(SUBSTITUTE(SUBSTITUTE(A87,"/"," "),"."," "),"\"," "),"_"," "))&amp;" ")),1,0))+IF(Task!$A$18="",0,IF(ISNUMBER(SEARCH(" "&amp;Task!$A$18&amp;" "," "&amp;LOWER(SUBSTITUTE(SUBSTITUTE(SUBSTITUTE(SUBSTITUTE(A87,"/"," "),"."," "),"\"," "),"_"," "))&amp;" ")),1,0))+IF(Task!$A$19="",0,IF(ISNUMBER(SEARCH(" "&amp;Task!$A$19&amp;" "," "&amp;LOWER(SUBSTITUTE(SUBSTITUTE(SUBSTITUTE(SUBSTITUTE(A87,"/"," "),"."," "),"\"," "),"_"," "))&amp;" ")),1,0)))</f>
        <v/>
      </c>
      <c r="I87" s="10">
        <f>IF(OR(E87=0,F87=0,Task!$B$21=0),"",F87/Task!$B$21+0.5*G87+0.25*H87)</f>
        <v/>
      </c>
      <c r="J87" s="5">
        <f>IF(I87="","",I87-ROW()/1000000)</f>
        <v/>
      </c>
      <c r="K87" s="9">
        <f>IF(J87="","",COUNTIF($J$5:$J$404,"&gt;"&amp;J87)+1)</f>
        <v/>
      </c>
    </row>
    <row r="88">
      <c r="A88" s="7" t="n"/>
      <c r="B88" s="7" t="n"/>
      <c r="C88" s="7" t="n"/>
      <c r="D88" s="7" t="n"/>
      <c r="E88" s="5">
        <f>IF(A88="",0,IF(COUNTA(Task!$B$5:$E$5)=0,1,IF(COUNTIF(Task!$B$5:$E$5,B88)&gt;0,1,0)))</f>
        <v/>
      </c>
      <c r="F88" s="9">
        <f>IF(E88=0,0,IF(Task!$A$8="",0,IF(ISNUMBER(SEARCH(" "&amp;Task!$A$8&amp;" "," "&amp;LOWER(D88&amp;" "&amp;C88&amp;" "&amp;LOWER(SUBSTITUTE(SUBSTITUTE(SUBSTITUTE(SUBSTITUTE(A88,"/"," "),"."," "),"\"," "),"_"," ")))&amp;" ")),1,0))+IF(Task!$A$9="",0,IF(ISNUMBER(SEARCH(" "&amp;Task!$A$9&amp;" "," "&amp;LOWER(D88&amp;" "&amp;C88&amp;" "&amp;LOWER(SUBSTITUTE(SUBSTITUTE(SUBSTITUTE(SUBSTITUTE(A88,"/"," "),"."," "),"\"," "),"_"," ")))&amp;" ")),1,0))+IF(Task!$A$10="",0,IF(ISNUMBER(SEARCH(" "&amp;Task!$A$10&amp;" "," "&amp;LOWER(D88&amp;" "&amp;C88&amp;" "&amp;LOWER(SUBSTITUTE(SUBSTITUTE(SUBSTITUTE(SUBSTITUTE(A88,"/"," "),"."," "),"\"," "),"_"," ")))&amp;" ")),1,0))+IF(Task!$A$11="",0,IF(ISNUMBER(SEARCH(" "&amp;Task!$A$11&amp;" "," "&amp;LOWER(D88&amp;" "&amp;C88&amp;" "&amp;LOWER(SUBSTITUTE(SUBSTITUTE(SUBSTITUTE(SUBSTITUTE(A88,"/"," "),"."," "),"\"," "),"_"," ")))&amp;" ")),1,0))+IF(Task!$A$12="",0,IF(ISNUMBER(SEARCH(" "&amp;Task!$A$12&amp;" "," "&amp;LOWER(D88&amp;" "&amp;C88&amp;" "&amp;LOWER(SUBSTITUTE(SUBSTITUTE(SUBSTITUTE(SUBSTITUTE(A88,"/"," "),"."," "),"\"," "),"_"," ")))&amp;" ")),1,0))+IF(Task!$A$13="",0,IF(ISNUMBER(SEARCH(" "&amp;Task!$A$13&amp;" "," "&amp;LOWER(D88&amp;" "&amp;C88&amp;" "&amp;LOWER(SUBSTITUTE(SUBSTITUTE(SUBSTITUTE(SUBSTITUTE(A88,"/"," "),"."," "),"\"," "),"_"," ")))&amp;" ")),1,0))+IF(Task!$A$14="",0,IF(ISNUMBER(SEARCH(" "&amp;Task!$A$14&amp;" "," "&amp;LOWER(D88&amp;" "&amp;C88&amp;" "&amp;LOWER(SUBSTITUTE(SUBSTITUTE(SUBSTITUTE(SUBSTITUTE(A88,"/"," "),"."," "),"\"," "),"_"," ")))&amp;" ")),1,0))+IF(Task!$A$15="",0,IF(ISNUMBER(SEARCH(" "&amp;Task!$A$15&amp;" "," "&amp;LOWER(D88&amp;" "&amp;C88&amp;" "&amp;LOWER(SUBSTITUTE(SUBSTITUTE(SUBSTITUTE(SUBSTITUTE(A88,"/"," "),"."," "),"\"," "),"_"," ")))&amp;" ")),1,0))+IF(Task!$A$16="",0,IF(ISNUMBER(SEARCH(" "&amp;Task!$A$16&amp;" "," "&amp;LOWER(D88&amp;" "&amp;C88&amp;" "&amp;LOWER(SUBSTITUTE(SUBSTITUTE(SUBSTITUTE(SUBSTITUTE(A88,"/"," "),"."," "),"\"," "),"_"," ")))&amp;" ")),1,0))+IF(Task!$A$17="",0,IF(ISNUMBER(SEARCH(" "&amp;Task!$A$17&amp;" "," "&amp;LOWER(D88&amp;" "&amp;C88&amp;" "&amp;LOWER(SUBSTITUTE(SUBSTITUTE(SUBSTITUTE(SUBSTITUTE(A88,"/"," "),"."," "),"\"," "),"_"," ")))&amp;" ")),1,0))+IF(Task!$A$18="",0,IF(ISNUMBER(SEARCH(" "&amp;Task!$A$18&amp;" "," "&amp;LOWER(D88&amp;" "&amp;C88&amp;" "&amp;LOWER(SUBSTITUTE(SUBSTITUTE(SUBSTITUTE(SUBSTITUTE(A88,"/"," "),"."," "),"\"," "),"_"," ")))&amp;" ")),1,0))+IF(Task!$A$19="",0,IF(ISNUMBER(SEARCH(" "&amp;Task!$A$19&amp;" "," "&amp;LOWER(D88&amp;" "&amp;C88&amp;" "&amp;LOWER(SUBSTITUTE(SUBSTITUTE(SUBSTITUTE(SUBSTITUTE(A88,"/"," "),"."," "),"\"," "),"_"," ")))&amp;" ")),1,0)))</f>
        <v/>
      </c>
      <c r="G88" s="9">
        <f>IF(E88=0,0,IF(Task!$A$8="",0,IF(ISNUMBER(SEARCH(" "&amp;Task!$A$8&amp;" "," "&amp;LOWER(C88)&amp;" ")),1,0))+IF(Task!$A$9="",0,IF(ISNUMBER(SEARCH(" "&amp;Task!$A$9&amp;" "," "&amp;LOWER(C88)&amp;" ")),1,0))+IF(Task!$A$10="",0,IF(ISNUMBER(SEARCH(" "&amp;Task!$A$10&amp;" "," "&amp;LOWER(C88)&amp;" ")),1,0))+IF(Task!$A$11="",0,IF(ISNUMBER(SEARCH(" "&amp;Task!$A$11&amp;" "," "&amp;LOWER(C88)&amp;" ")),1,0))+IF(Task!$A$12="",0,IF(ISNUMBER(SEARCH(" "&amp;Task!$A$12&amp;" "," "&amp;LOWER(C88)&amp;" ")),1,0))+IF(Task!$A$13="",0,IF(ISNUMBER(SEARCH(" "&amp;Task!$A$13&amp;" "," "&amp;LOWER(C88)&amp;" ")),1,0))+IF(Task!$A$14="",0,IF(ISNUMBER(SEARCH(" "&amp;Task!$A$14&amp;" "," "&amp;LOWER(C88)&amp;" ")),1,0))+IF(Task!$A$15="",0,IF(ISNUMBER(SEARCH(" "&amp;Task!$A$15&amp;" "," "&amp;LOWER(C88)&amp;" ")),1,0))+IF(Task!$A$16="",0,IF(ISNUMBER(SEARCH(" "&amp;Task!$A$16&amp;" "," "&amp;LOWER(C88)&amp;" ")),1,0))+IF(Task!$A$17="",0,IF(ISNUMBER(SEARCH(" "&amp;Task!$A$17&amp;" "," "&amp;LOWER(C88)&amp;" ")),1,0))+IF(Task!$A$18="",0,IF(ISNUMBER(SEARCH(" "&amp;Task!$A$18&amp;" "," "&amp;LOWER(C88)&amp;" ")),1,0))+IF(Task!$A$19="",0,IF(ISNUMBER(SEARCH(" "&amp;Task!$A$19&amp;" "," "&amp;LOWER(C88)&amp;" ")),1,0)))</f>
        <v/>
      </c>
      <c r="H88" s="9">
        <f>IF(E88=0,0,IF(Task!$A$8="",0,IF(ISNUMBER(SEARCH(" "&amp;Task!$A$8&amp;" "," "&amp;LOWER(SUBSTITUTE(SUBSTITUTE(SUBSTITUTE(SUBSTITUTE(A88,"/"," "),"."," "),"\"," "),"_"," "))&amp;" ")),1,0))+IF(Task!$A$9="",0,IF(ISNUMBER(SEARCH(" "&amp;Task!$A$9&amp;" "," "&amp;LOWER(SUBSTITUTE(SUBSTITUTE(SUBSTITUTE(SUBSTITUTE(A88,"/"," "),"."," "),"\"," "),"_"," "))&amp;" ")),1,0))+IF(Task!$A$10="",0,IF(ISNUMBER(SEARCH(" "&amp;Task!$A$10&amp;" "," "&amp;LOWER(SUBSTITUTE(SUBSTITUTE(SUBSTITUTE(SUBSTITUTE(A88,"/"," "),"."," "),"\"," "),"_"," "))&amp;" ")),1,0))+IF(Task!$A$11="",0,IF(ISNUMBER(SEARCH(" "&amp;Task!$A$11&amp;" "," "&amp;LOWER(SUBSTITUTE(SUBSTITUTE(SUBSTITUTE(SUBSTITUTE(A88,"/"," "),"."," "),"\"," "),"_"," "))&amp;" ")),1,0))+IF(Task!$A$12="",0,IF(ISNUMBER(SEARCH(" "&amp;Task!$A$12&amp;" "," "&amp;LOWER(SUBSTITUTE(SUBSTITUTE(SUBSTITUTE(SUBSTITUTE(A88,"/"," "),"."," "),"\"," "),"_"," "))&amp;" ")),1,0))+IF(Task!$A$13="",0,IF(ISNUMBER(SEARCH(" "&amp;Task!$A$13&amp;" "," "&amp;LOWER(SUBSTITUTE(SUBSTITUTE(SUBSTITUTE(SUBSTITUTE(A88,"/"," "),"."," "),"\"," "),"_"," "))&amp;" ")),1,0))+IF(Task!$A$14="",0,IF(ISNUMBER(SEARCH(" "&amp;Task!$A$14&amp;" "," "&amp;LOWER(SUBSTITUTE(SUBSTITUTE(SUBSTITUTE(SUBSTITUTE(A88,"/"," "),"."," "),"\"," "),"_"," "))&amp;" ")),1,0))+IF(Task!$A$15="",0,IF(ISNUMBER(SEARCH(" "&amp;Task!$A$15&amp;" "," "&amp;LOWER(SUBSTITUTE(SUBSTITUTE(SUBSTITUTE(SUBSTITUTE(A88,"/"," "),"."," "),"\"," "),"_"," "))&amp;" ")),1,0))+IF(Task!$A$16="",0,IF(ISNUMBER(SEARCH(" "&amp;Task!$A$16&amp;" "," "&amp;LOWER(SUBSTITUTE(SUBSTITUTE(SUBSTITUTE(SUBSTITUTE(A88,"/"," "),"."," "),"\"," "),"_"," "))&amp;" ")),1,0))+IF(Task!$A$17="",0,IF(ISNUMBER(SEARCH(" "&amp;Task!$A$17&amp;" "," "&amp;LOWER(SUBSTITUTE(SUBSTITUTE(SUBSTITUTE(SUBSTITUTE(A88,"/"," "),"."," "),"\"," "),"_"," "))&amp;" ")),1,0))+IF(Task!$A$18="",0,IF(ISNUMBER(SEARCH(" "&amp;Task!$A$18&amp;" "," "&amp;LOWER(SUBSTITUTE(SUBSTITUTE(SUBSTITUTE(SUBSTITUTE(A88,"/"," "),"."," "),"\"," "),"_"," "))&amp;" ")),1,0))+IF(Task!$A$19="",0,IF(ISNUMBER(SEARCH(" "&amp;Task!$A$19&amp;" "," "&amp;LOWER(SUBSTITUTE(SUBSTITUTE(SUBSTITUTE(SUBSTITUTE(A88,"/"," "),"."," "),"\"," "),"_"," "))&amp;" ")),1,0)))</f>
        <v/>
      </c>
      <c r="I88" s="10">
        <f>IF(OR(E88=0,F88=0,Task!$B$21=0),"",F88/Task!$B$21+0.5*G88+0.25*H88)</f>
        <v/>
      </c>
      <c r="J88" s="5">
        <f>IF(I88="","",I88-ROW()/1000000)</f>
        <v/>
      </c>
      <c r="K88" s="9">
        <f>IF(J88="","",COUNTIF($J$5:$J$404,"&gt;"&amp;J88)+1)</f>
        <v/>
      </c>
    </row>
    <row r="89">
      <c r="A89" s="7" t="n"/>
      <c r="B89" s="7" t="n"/>
      <c r="C89" s="7" t="n"/>
      <c r="D89" s="7" t="n"/>
      <c r="E89" s="5">
        <f>IF(A89="",0,IF(COUNTA(Task!$B$5:$E$5)=0,1,IF(COUNTIF(Task!$B$5:$E$5,B89)&gt;0,1,0)))</f>
        <v/>
      </c>
      <c r="F89" s="9">
        <f>IF(E89=0,0,IF(Task!$A$8="",0,IF(ISNUMBER(SEARCH(" "&amp;Task!$A$8&amp;" "," "&amp;LOWER(D89&amp;" "&amp;C89&amp;" "&amp;LOWER(SUBSTITUTE(SUBSTITUTE(SUBSTITUTE(SUBSTITUTE(A89,"/"," "),"."," "),"\"," "),"_"," ")))&amp;" ")),1,0))+IF(Task!$A$9="",0,IF(ISNUMBER(SEARCH(" "&amp;Task!$A$9&amp;" "," "&amp;LOWER(D89&amp;" "&amp;C89&amp;" "&amp;LOWER(SUBSTITUTE(SUBSTITUTE(SUBSTITUTE(SUBSTITUTE(A89,"/"," "),"."," "),"\"," "),"_"," ")))&amp;" ")),1,0))+IF(Task!$A$10="",0,IF(ISNUMBER(SEARCH(" "&amp;Task!$A$10&amp;" "," "&amp;LOWER(D89&amp;" "&amp;C89&amp;" "&amp;LOWER(SUBSTITUTE(SUBSTITUTE(SUBSTITUTE(SUBSTITUTE(A89,"/"," "),"."," "),"\"," "),"_"," ")))&amp;" ")),1,0))+IF(Task!$A$11="",0,IF(ISNUMBER(SEARCH(" "&amp;Task!$A$11&amp;" "," "&amp;LOWER(D89&amp;" "&amp;C89&amp;" "&amp;LOWER(SUBSTITUTE(SUBSTITUTE(SUBSTITUTE(SUBSTITUTE(A89,"/"," "),"."," "),"\"," "),"_"," ")))&amp;" ")),1,0))+IF(Task!$A$12="",0,IF(ISNUMBER(SEARCH(" "&amp;Task!$A$12&amp;" "," "&amp;LOWER(D89&amp;" "&amp;C89&amp;" "&amp;LOWER(SUBSTITUTE(SUBSTITUTE(SUBSTITUTE(SUBSTITUTE(A89,"/"," "),"."," "),"\"," "),"_"," ")))&amp;" ")),1,0))+IF(Task!$A$13="",0,IF(ISNUMBER(SEARCH(" "&amp;Task!$A$13&amp;" "," "&amp;LOWER(D89&amp;" "&amp;C89&amp;" "&amp;LOWER(SUBSTITUTE(SUBSTITUTE(SUBSTITUTE(SUBSTITUTE(A89,"/"," "),"."," "),"\"," "),"_"," ")))&amp;" ")),1,0))+IF(Task!$A$14="",0,IF(ISNUMBER(SEARCH(" "&amp;Task!$A$14&amp;" "," "&amp;LOWER(D89&amp;" "&amp;C89&amp;" "&amp;LOWER(SUBSTITUTE(SUBSTITUTE(SUBSTITUTE(SUBSTITUTE(A89,"/"," "),"."," "),"\"," "),"_"," ")))&amp;" ")),1,0))+IF(Task!$A$15="",0,IF(ISNUMBER(SEARCH(" "&amp;Task!$A$15&amp;" "," "&amp;LOWER(D89&amp;" "&amp;C89&amp;" "&amp;LOWER(SUBSTITUTE(SUBSTITUTE(SUBSTITUTE(SUBSTITUTE(A89,"/"," "),"."," "),"\"," "),"_"," ")))&amp;" ")),1,0))+IF(Task!$A$16="",0,IF(ISNUMBER(SEARCH(" "&amp;Task!$A$16&amp;" "," "&amp;LOWER(D89&amp;" "&amp;C89&amp;" "&amp;LOWER(SUBSTITUTE(SUBSTITUTE(SUBSTITUTE(SUBSTITUTE(A89,"/"," "),"."," "),"\"," "),"_"," ")))&amp;" ")),1,0))+IF(Task!$A$17="",0,IF(ISNUMBER(SEARCH(" "&amp;Task!$A$17&amp;" "," "&amp;LOWER(D89&amp;" "&amp;C89&amp;" "&amp;LOWER(SUBSTITUTE(SUBSTITUTE(SUBSTITUTE(SUBSTITUTE(A89,"/"," "),"."," "),"\"," "),"_"," ")))&amp;" ")),1,0))+IF(Task!$A$18="",0,IF(ISNUMBER(SEARCH(" "&amp;Task!$A$18&amp;" "," "&amp;LOWER(D89&amp;" "&amp;C89&amp;" "&amp;LOWER(SUBSTITUTE(SUBSTITUTE(SUBSTITUTE(SUBSTITUTE(A89,"/"," "),"."," "),"\"," "),"_"," ")))&amp;" ")),1,0))+IF(Task!$A$19="",0,IF(ISNUMBER(SEARCH(" "&amp;Task!$A$19&amp;" "," "&amp;LOWER(D89&amp;" "&amp;C89&amp;" "&amp;LOWER(SUBSTITUTE(SUBSTITUTE(SUBSTITUTE(SUBSTITUTE(A89,"/"," "),"."," "),"\"," "),"_"," ")))&amp;" ")),1,0)))</f>
        <v/>
      </c>
      <c r="G89" s="9">
        <f>IF(E89=0,0,IF(Task!$A$8="",0,IF(ISNUMBER(SEARCH(" "&amp;Task!$A$8&amp;" "," "&amp;LOWER(C89)&amp;" ")),1,0))+IF(Task!$A$9="",0,IF(ISNUMBER(SEARCH(" "&amp;Task!$A$9&amp;" "," "&amp;LOWER(C89)&amp;" ")),1,0))+IF(Task!$A$10="",0,IF(ISNUMBER(SEARCH(" "&amp;Task!$A$10&amp;" "," "&amp;LOWER(C89)&amp;" ")),1,0))+IF(Task!$A$11="",0,IF(ISNUMBER(SEARCH(" "&amp;Task!$A$11&amp;" "," "&amp;LOWER(C89)&amp;" ")),1,0))+IF(Task!$A$12="",0,IF(ISNUMBER(SEARCH(" "&amp;Task!$A$12&amp;" "," "&amp;LOWER(C89)&amp;" ")),1,0))+IF(Task!$A$13="",0,IF(ISNUMBER(SEARCH(" "&amp;Task!$A$13&amp;" "," "&amp;LOWER(C89)&amp;" ")),1,0))+IF(Task!$A$14="",0,IF(ISNUMBER(SEARCH(" "&amp;Task!$A$14&amp;" "," "&amp;LOWER(C89)&amp;" ")),1,0))+IF(Task!$A$15="",0,IF(ISNUMBER(SEARCH(" "&amp;Task!$A$15&amp;" "," "&amp;LOWER(C89)&amp;" ")),1,0))+IF(Task!$A$16="",0,IF(ISNUMBER(SEARCH(" "&amp;Task!$A$16&amp;" "," "&amp;LOWER(C89)&amp;" ")),1,0))+IF(Task!$A$17="",0,IF(ISNUMBER(SEARCH(" "&amp;Task!$A$17&amp;" "," "&amp;LOWER(C89)&amp;" ")),1,0))+IF(Task!$A$18="",0,IF(ISNUMBER(SEARCH(" "&amp;Task!$A$18&amp;" "," "&amp;LOWER(C89)&amp;" ")),1,0))+IF(Task!$A$19="",0,IF(ISNUMBER(SEARCH(" "&amp;Task!$A$19&amp;" "," "&amp;LOWER(C89)&amp;" ")),1,0)))</f>
        <v/>
      </c>
      <c r="H89" s="9">
        <f>IF(E89=0,0,IF(Task!$A$8="",0,IF(ISNUMBER(SEARCH(" "&amp;Task!$A$8&amp;" "," "&amp;LOWER(SUBSTITUTE(SUBSTITUTE(SUBSTITUTE(SUBSTITUTE(A89,"/"," "),"."," "),"\"," "),"_"," "))&amp;" ")),1,0))+IF(Task!$A$9="",0,IF(ISNUMBER(SEARCH(" "&amp;Task!$A$9&amp;" "," "&amp;LOWER(SUBSTITUTE(SUBSTITUTE(SUBSTITUTE(SUBSTITUTE(A89,"/"," "),"."," "),"\"," "),"_"," "))&amp;" ")),1,0))+IF(Task!$A$10="",0,IF(ISNUMBER(SEARCH(" "&amp;Task!$A$10&amp;" "," "&amp;LOWER(SUBSTITUTE(SUBSTITUTE(SUBSTITUTE(SUBSTITUTE(A89,"/"," "),"."," "),"\"," "),"_"," "))&amp;" ")),1,0))+IF(Task!$A$11="",0,IF(ISNUMBER(SEARCH(" "&amp;Task!$A$11&amp;" "," "&amp;LOWER(SUBSTITUTE(SUBSTITUTE(SUBSTITUTE(SUBSTITUTE(A89,"/"," "),"."," "),"\"," "),"_"," "))&amp;" ")),1,0))+IF(Task!$A$12="",0,IF(ISNUMBER(SEARCH(" "&amp;Task!$A$12&amp;" "," "&amp;LOWER(SUBSTITUTE(SUBSTITUTE(SUBSTITUTE(SUBSTITUTE(A89,"/"," "),"."," "),"\"," "),"_"," "))&amp;" ")),1,0))+IF(Task!$A$13="",0,IF(ISNUMBER(SEARCH(" "&amp;Task!$A$13&amp;" "," "&amp;LOWER(SUBSTITUTE(SUBSTITUTE(SUBSTITUTE(SUBSTITUTE(A89,"/"," "),"."," "),"\"," "),"_"," "))&amp;" ")),1,0))+IF(Task!$A$14="",0,IF(ISNUMBER(SEARCH(" "&amp;Task!$A$14&amp;" "," "&amp;LOWER(SUBSTITUTE(SUBSTITUTE(SUBSTITUTE(SUBSTITUTE(A89,"/"," "),"."," "),"\"," "),"_"," "))&amp;" ")),1,0))+IF(Task!$A$15="",0,IF(ISNUMBER(SEARCH(" "&amp;Task!$A$15&amp;" "," "&amp;LOWER(SUBSTITUTE(SUBSTITUTE(SUBSTITUTE(SUBSTITUTE(A89,"/"," "),"."," "),"\"," "),"_"," "))&amp;" ")),1,0))+IF(Task!$A$16="",0,IF(ISNUMBER(SEARCH(" "&amp;Task!$A$16&amp;" "," "&amp;LOWER(SUBSTITUTE(SUBSTITUTE(SUBSTITUTE(SUBSTITUTE(A89,"/"," "),"."," "),"\"," "),"_"," "))&amp;" ")),1,0))+IF(Task!$A$17="",0,IF(ISNUMBER(SEARCH(" "&amp;Task!$A$17&amp;" "," "&amp;LOWER(SUBSTITUTE(SUBSTITUTE(SUBSTITUTE(SUBSTITUTE(A89,"/"," "),"."," "),"\"," "),"_"," "))&amp;" ")),1,0))+IF(Task!$A$18="",0,IF(ISNUMBER(SEARCH(" "&amp;Task!$A$18&amp;" "," "&amp;LOWER(SUBSTITUTE(SUBSTITUTE(SUBSTITUTE(SUBSTITUTE(A89,"/"," "),"."," "),"\"," "),"_"," "))&amp;" ")),1,0))+IF(Task!$A$19="",0,IF(ISNUMBER(SEARCH(" "&amp;Task!$A$19&amp;" "," "&amp;LOWER(SUBSTITUTE(SUBSTITUTE(SUBSTITUTE(SUBSTITUTE(A89,"/"," "),"."," "),"\"," "),"_"," "))&amp;" ")),1,0)))</f>
        <v/>
      </c>
      <c r="I89" s="10">
        <f>IF(OR(E89=0,F89=0,Task!$B$21=0),"",F89/Task!$B$21+0.5*G89+0.25*H89)</f>
        <v/>
      </c>
      <c r="J89" s="5">
        <f>IF(I89="","",I89-ROW()/1000000)</f>
        <v/>
      </c>
      <c r="K89" s="9">
        <f>IF(J89="","",COUNTIF($J$5:$J$404,"&gt;"&amp;J89)+1)</f>
        <v/>
      </c>
    </row>
    <row r="90">
      <c r="A90" s="7" t="n"/>
      <c r="B90" s="7" t="n"/>
      <c r="C90" s="7" t="n"/>
      <c r="D90" s="7" t="n"/>
      <c r="E90" s="5">
        <f>IF(A90="",0,IF(COUNTA(Task!$B$5:$E$5)=0,1,IF(COUNTIF(Task!$B$5:$E$5,B90)&gt;0,1,0)))</f>
        <v/>
      </c>
      <c r="F90" s="9">
        <f>IF(E90=0,0,IF(Task!$A$8="",0,IF(ISNUMBER(SEARCH(" "&amp;Task!$A$8&amp;" "," "&amp;LOWER(D90&amp;" "&amp;C90&amp;" "&amp;LOWER(SUBSTITUTE(SUBSTITUTE(SUBSTITUTE(SUBSTITUTE(A90,"/"," "),"."," "),"\"," "),"_"," ")))&amp;" ")),1,0))+IF(Task!$A$9="",0,IF(ISNUMBER(SEARCH(" "&amp;Task!$A$9&amp;" "," "&amp;LOWER(D90&amp;" "&amp;C90&amp;" "&amp;LOWER(SUBSTITUTE(SUBSTITUTE(SUBSTITUTE(SUBSTITUTE(A90,"/"," "),"."," "),"\"," "),"_"," ")))&amp;" ")),1,0))+IF(Task!$A$10="",0,IF(ISNUMBER(SEARCH(" "&amp;Task!$A$10&amp;" "," "&amp;LOWER(D90&amp;" "&amp;C90&amp;" "&amp;LOWER(SUBSTITUTE(SUBSTITUTE(SUBSTITUTE(SUBSTITUTE(A90,"/"," "),"."," "),"\"," "),"_"," ")))&amp;" ")),1,0))+IF(Task!$A$11="",0,IF(ISNUMBER(SEARCH(" "&amp;Task!$A$11&amp;" "," "&amp;LOWER(D90&amp;" "&amp;C90&amp;" "&amp;LOWER(SUBSTITUTE(SUBSTITUTE(SUBSTITUTE(SUBSTITUTE(A90,"/"," "),"."," "),"\"," "),"_"," ")))&amp;" ")),1,0))+IF(Task!$A$12="",0,IF(ISNUMBER(SEARCH(" "&amp;Task!$A$12&amp;" "," "&amp;LOWER(D90&amp;" "&amp;C90&amp;" "&amp;LOWER(SUBSTITUTE(SUBSTITUTE(SUBSTITUTE(SUBSTITUTE(A90,"/"," "),"."," "),"\"," "),"_"," ")))&amp;" ")),1,0))+IF(Task!$A$13="",0,IF(ISNUMBER(SEARCH(" "&amp;Task!$A$13&amp;" "," "&amp;LOWER(D90&amp;" "&amp;C90&amp;" "&amp;LOWER(SUBSTITUTE(SUBSTITUTE(SUBSTITUTE(SUBSTITUTE(A90,"/"," "),"."," "),"\"," "),"_"," ")))&amp;" ")),1,0))+IF(Task!$A$14="",0,IF(ISNUMBER(SEARCH(" "&amp;Task!$A$14&amp;" "," "&amp;LOWER(D90&amp;" "&amp;C90&amp;" "&amp;LOWER(SUBSTITUTE(SUBSTITUTE(SUBSTITUTE(SUBSTITUTE(A90,"/"," "),"."," "),"\"," "),"_"," ")))&amp;" ")),1,0))+IF(Task!$A$15="",0,IF(ISNUMBER(SEARCH(" "&amp;Task!$A$15&amp;" "," "&amp;LOWER(D90&amp;" "&amp;C90&amp;" "&amp;LOWER(SUBSTITUTE(SUBSTITUTE(SUBSTITUTE(SUBSTITUTE(A90,"/"," "),"."," "),"\"," "),"_"," ")))&amp;" ")),1,0))+IF(Task!$A$16="",0,IF(ISNUMBER(SEARCH(" "&amp;Task!$A$16&amp;" "," "&amp;LOWER(D90&amp;" "&amp;C90&amp;" "&amp;LOWER(SUBSTITUTE(SUBSTITUTE(SUBSTITUTE(SUBSTITUTE(A90,"/"," "),"."," "),"\"," "),"_"," ")))&amp;" ")),1,0))+IF(Task!$A$17="",0,IF(ISNUMBER(SEARCH(" "&amp;Task!$A$17&amp;" "," "&amp;LOWER(D90&amp;" "&amp;C90&amp;" "&amp;LOWER(SUBSTITUTE(SUBSTITUTE(SUBSTITUTE(SUBSTITUTE(A90,"/"," "),"."," "),"\"," "),"_"," ")))&amp;" ")),1,0))+IF(Task!$A$18="",0,IF(ISNUMBER(SEARCH(" "&amp;Task!$A$18&amp;" "," "&amp;LOWER(D90&amp;" "&amp;C90&amp;" "&amp;LOWER(SUBSTITUTE(SUBSTITUTE(SUBSTITUTE(SUBSTITUTE(A90,"/"," "),"."," "),"\"," "),"_"," ")))&amp;" ")),1,0))+IF(Task!$A$19="",0,IF(ISNUMBER(SEARCH(" "&amp;Task!$A$19&amp;" "," "&amp;LOWER(D90&amp;" "&amp;C90&amp;" "&amp;LOWER(SUBSTITUTE(SUBSTITUTE(SUBSTITUTE(SUBSTITUTE(A90,"/"," "),"."," "),"\"," "),"_"," ")))&amp;" ")),1,0)))</f>
        <v/>
      </c>
      <c r="G90" s="9">
        <f>IF(E90=0,0,IF(Task!$A$8="",0,IF(ISNUMBER(SEARCH(" "&amp;Task!$A$8&amp;" "," "&amp;LOWER(C90)&amp;" ")),1,0))+IF(Task!$A$9="",0,IF(ISNUMBER(SEARCH(" "&amp;Task!$A$9&amp;" "," "&amp;LOWER(C90)&amp;" ")),1,0))+IF(Task!$A$10="",0,IF(ISNUMBER(SEARCH(" "&amp;Task!$A$10&amp;" "," "&amp;LOWER(C90)&amp;" ")),1,0))+IF(Task!$A$11="",0,IF(ISNUMBER(SEARCH(" "&amp;Task!$A$11&amp;" "," "&amp;LOWER(C90)&amp;" ")),1,0))+IF(Task!$A$12="",0,IF(ISNUMBER(SEARCH(" "&amp;Task!$A$12&amp;" "," "&amp;LOWER(C90)&amp;" ")),1,0))+IF(Task!$A$13="",0,IF(ISNUMBER(SEARCH(" "&amp;Task!$A$13&amp;" "," "&amp;LOWER(C90)&amp;" ")),1,0))+IF(Task!$A$14="",0,IF(ISNUMBER(SEARCH(" "&amp;Task!$A$14&amp;" "," "&amp;LOWER(C90)&amp;" ")),1,0))+IF(Task!$A$15="",0,IF(ISNUMBER(SEARCH(" "&amp;Task!$A$15&amp;" "," "&amp;LOWER(C90)&amp;" ")),1,0))+IF(Task!$A$16="",0,IF(ISNUMBER(SEARCH(" "&amp;Task!$A$16&amp;" "," "&amp;LOWER(C90)&amp;" ")),1,0))+IF(Task!$A$17="",0,IF(ISNUMBER(SEARCH(" "&amp;Task!$A$17&amp;" "," "&amp;LOWER(C90)&amp;" ")),1,0))+IF(Task!$A$18="",0,IF(ISNUMBER(SEARCH(" "&amp;Task!$A$18&amp;" "," "&amp;LOWER(C90)&amp;" ")),1,0))+IF(Task!$A$19="",0,IF(ISNUMBER(SEARCH(" "&amp;Task!$A$19&amp;" "," "&amp;LOWER(C90)&amp;" ")),1,0)))</f>
        <v/>
      </c>
      <c r="H90" s="9">
        <f>IF(E90=0,0,IF(Task!$A$8="",0,IF(ISNUMBER(SEARCH(" "&amp;Task!$A$8&amp;" "," "&amp;LOWER(SUBSTITUTE(SUBSTITUTE(SUBSTITUTE(SUBSTITUTE(A90,"/"," "),"."," "),"\"," "),"_"," "))&amp;" ")),1,0))+IF(Task!$A$9="",0,IF(ISNUMBER(SEARCH(" "&amp;Task!$A$9&amp;" "," "&amp;LOWER(SUBSTITUTE(SUBSTITUTE(SUBSTITUTE(SUBSTITUTE(A90,"/"," "),"."," "),"\"," "),"_"," "))&amp;" ")),1,0))+IF(Task!$A$10="",0,IF(ISNUMBER(SEARCH(" "&amp;Task!$A$10&amp;" "," "&amp;LOWER(SUBSTITUTE(SUBSTITUTE(SUBSTITUTE(SUBSTITUTE(A90,"/"," "),"."," "),"\"," "),"_"," "))&amp;" ")),1,0))+IF(Task!$A$11="",0,IF(ISNUMBER(SEARCH(" "&amp;Task!$A$11&amp;" "," "&amp;LOWER(SUBSTITUTE(SUBSTITUTE(SUBSTITUTE(SUBSTITUTE(A90,"/"," "),"."," "),"\"," "),"_"," "))&amp;" ")),1,0))+IF(Task!$A$12="",0,IF(ISNUMBER(SEARCH(" "&amp;Task!$A$12&amp;" "," "&amp;LOWER(SUBSTITUTE(SUBSTITUTE(SUBSTITUTE(SUBSTITUTE(A90,"/"," "),"."," "),"\"," "),"_"," "))&amp;" ")),1,0))+IF(Task!$A$13="",0,IF(ISNUMBER(SEARCH(" "&amp;Task!$A$13&amp;" "," "&amp;LOWER(SUBSTITUTE(SUBSTITUTE(SUBSTITUTE(SUBSTITUTE(A90,"/"," "),"."," "),"\"," "),"_"," "))&amp;" ")),1,0))+IF(Task!$A$14="",0,IF(ISNUMBER(SEARCH(" "&amp;Task!$A$14&amp;" "," "&amp;LOWER(SUBSTITUTE(SUBSTITUTE(SUBSTITUTE(SUBSTITUTE(A90,"/"," "),"."," "),"\"," "),"_"," "))&amp;" ")),1,0))+IF(Task!$A$15="",0,IF(ISNUMBER(SEARCH(" "&amp;Task!$A$15&amp;" "," "&amp;LOWER(SUBSTITUTE(SUBSTITUTE(SUBSTITUTE(SUBSTITUTE(A90,"/"," "),"."," "),"\"," "),"_"," "))&amp;" ")),1,0))+IF(Task!$A$16="",0,IF(ISNUMBER(SEARCH(" "&amp;Task!$A$16&amp;" "," "&amp;LOWER(SUBSTITUTE(SUBSTITUTE(SUBSTITUTE(SUBSTITUTE(A90,"/"," "),"."," "),"\"," "),"_"," "))&amp;" ")),1,0))+IF(Task!$A$17="",0,IF(ISNUMBER(SEARCH(" "&amp;Task!$A$17&amp;" "," "&amp;LOWER(SUBSTITUTE(SUBSTITUTE(SUBSTITUTE(SUBSTITUTE(A90,"/"," "),"."," "),"\"," "),"_"," "))&amp;" ")),1,0))+IF(Task!$A$18="",0,IF(ISNUMBER(SEARCH(" "&amp;Task!$A$18&amp;" "," "&amp;LOWER(SUBSTITUTE(SUBSTITUTE(SUBSTITUTE(SUBSTITUTE(A90,"/"," "),"."," "),"\"," "),"_"," "))&amp;" ")),1,0))+IF(Task!$A$19="",0,IF(ISNUMBER(SEARCH(" "&amp;Task!$A$19&amp;" "," "&amp;LOWER(SUBSTITUTE(SUBSTITUTE(SUBSTITUTE(SUBSTITUTE(A90,"/"," "),"."," "),"\"," "),"_"," "))&amp;" ")),1,0)))</f>
        <v/>
      </c>
      <c r="I90" s="10">
        <f>IF(OR(E90=0,F90=0,Task!$B$21=0),"",F90/Task!$B$21+0.5*G90+0.25*H90)</f>
        <v/>
      </c>
      <c r="J90" s="5">
        <f>IF(I90="","",I90-ROW()/1000000)</f>
        <v/>
      </c>
      <c r="K90" s="9">
        <f>IF(J90="","",COUNTIF($J$5:$J$404,"&gt;"&amp;J90)+1)</f>
        <v/>
      </c>
    </row>
    <row r="91">
      <c r="A91" s="7" t="n"/>
      <c r="B91" s="7" t="n"/>
      <c r="C91" s="7" t="n"/>
      <c r="D91" s="7" t="n"/>
      <c r="E91" s="5">
        <f>IF(A91="",0,IF(COUNTA(Task!$B$5:$E$5)=0,1,IF(COUNTIF(Task!$B$5:$E$5,B91)&gt;0,1,0)))</f>
        <v/>
      </c>
      <c r="F91" s="9">
        <f>IF(E91=0,0,IF(Task!$A$8="",0,IF(ISNUMBER(SEARCH(" "&amp;Task!$A$8&amp;" "," "&amp;LOWER(D91&amp;" "&amp;C91&amp;" "&amp;LOWER(SUBSTITUTE(SUBSTITUTE(SUBSTITUTE(SUBSTITUTE(A91,"/"," "),"."," "),"\"," "),"_"," ")))&amp;" ")),1,0))+IF(Task!$A$9="",0,IF(ISNUMBER(SEARCH(" "&amp;Task!$A$9&amp;" "," "&amp;LOWER(D91&amp;" "&amp;C91&amp;" "&amp;LOWER(SUBSTITUTE(SUBSTITUTE(SUBSTITUTE(SUBSTITUTE(A91,"/"," "),"."," "),"\"," "),"_"," ")))&amp;" ")),1,0))+IF(Task!$A$10="",0,IF(ISNUMBER(SEARCH(" "&amp;Task!$A$10&amp;" "," "&amp;LOWER(D91&amp;" "&amp;C91&amp;" "&amp;LOWER(SUBSTITUTE(SUBSTITUTE(SUBSTITUTE(SUBSTITUTE(A91,"/"," "),"."," "),"\"," "),"_"," ")))&amp;" ")),1,0))+IF(Task!$A$11="",0,IF(ISNUMBER(SEARCH(" "&amp;Task!$A$11&amp;" "," "&amp;LOWER(D91&amp;" "&amp;C91&amp;" "&amp;LOWER(SUBSTITUTE(SUBSTITUTE(SUBSTITUTE(SUBSTITUTE(A91,"/"," "),"."," "),"\"," "),"_"," ")))&amp;" ")),1,0))+IF(Task!$A$12="",0,IF(ISNUMBER(SEARCH(" "&amp;Task!$A$12&amp;" "," "&amp;LOWER(D91&amp;" "&amp;C91&amp;" "&amp;LOWER(SUBSTITUTE(SUBSTITUTE(SUBSTITUTE(SUBSTITUTE(A91,"/"," "),"."," "),"\"," "),"_"," ")))&amp;" ")),1,0))+IF(Task!$A$13="",0,IF(ISNUMBER(SEARCH(" "&amp;Task!$A$13&amp;" "," "&amp;LOWER(D91&amp;" "&amp;C91&amp;" "&amp;LOWER(SUBSTITUTE(SUBSTITUTE(SUBSTITUTE(SUBSTITUTE(A91,"/"," "),"."," "),"\"," "),"_"," ")))&amp;" ")),1,0))+IF(Task!$A$14="",0,IF(ISNUMBER(SEARCH(" "&amp;Task!$A$14&amp;" "," "&amp;LOWER(D91&amp;" "&amp;C91&amp;" "&amp;LOWER(SUBSTITUTE(SUBSTITUTE(SUBSTITUTE(SUBSTITUTE(A91,"/"," "),"."," "),"\"," "),"_"," ")))&amp;" ")),1,0))+IF(Task!$A$15="",0,IF(ISNUMBER(SEARCH(" "&amp;Task!$A$15&amp;" "," "&amp;LOWER(D91&amp;" "&amp;C91&amp;" "&amp;LOWER(SUBSTITUTE(SUBSTITUTE(SUBSTITUTE(SUBSTITUTE(A91,"/"," "),"."," "),"\"," "),"_"," ")))&amp;" ")),1,0))+IF(Task!$A$16="",0,IF(ISNUMBER(SEARCH(" "&amp;Task!$A$16&amp;" "," "&amp;LOWER(D91&amp;" "&amp;C91&amp;" "&amp;LOWER(SUBSTITUTE(SUBSTITUTE(SUBSTITUTE(SUBSTITUTE(A91,"/"," "),"."," "),"\"," "),"_"," ")))&amp;" ")),1,0))+IF(Task!$A$17="",0,IF(ISNUMBER(SEARCH(" "&amp;Task!$A$17&amp;" "," "&amp;LOWER(D91&amp;" "&amp;C91&amp;" "&amp;LOWER(SUBSTITUTE(SUBSTITUTE(SUBSTITUTE(SUBSTITUTE(A91,"/"," "),"."," "),"\"," "),"_"," ")))&amp;" ")),1,0))+IF(Task!$A$18="",0,IF(ISNUMBER(SEARCH(" "&amp;Task!$A$18&amp;" "," "&amp;LOWER(D91&amp;" "&amp;C91&amp;" "&amp;LOWER(SUBSTITUTE(SUBSTITUTE(SUBSTITUTE(SUBSTITUTE(A91,"/"," "),"."," "),"\"," "),"_"," ")))&amp;" ")),1,0))+IF(Task!$A$19="",0,IF(ISNUMBER(SEARCH(" "&amp;Task!$A$19&amp;" "," "&amp;LOWER(D91&amp;" "&amp;C91&amp;" "&amp;LOWER(SUBSTITUTE(SUBSTITUTE(SUBSTITUTE(SUBSTITUTE(A91,"/"," "),"."," "),"\"," "),"_"," ")))&amp;" ")),1,0)))</f>
        <v/>
      </c>
      <c r="G91" s="9">
        <f>IF(E91=0,0,IF(Task!$A$8="",0,IF(ISNUMBER(SEARCH(" "&amp;Task!$A$8&amp;" "," "&amp;LOWER(C91)&amp;" ")),1,0))+IF(Task!$A$9="",0,IF(ISNUMBER(SEARCH(" "&amp;Task!$A$9&amp;" "," "&amp;LOWER(C91)&amp;" ")),1,0))+IF(Task!$A$10="",0,IF(ISNUMBER(SEARCH(" "&amp;Task!$A$10&amp;" "," "&amp;LOWER(C91)&amp;" ")),1,0))+IF(Task!$A$11="",0,IF(ISNUMBER(SEARCH(" "&amp;Task!$A$11&amp;" "," "&amp;LOWER(C91)&amp;" ")),1,0))+IF(Task!$A$12="",0,IF(ISNUMBER(SEARCH(" "&amp;Task!$A$12&amp;" "," "&amp;LOWER(C91)&amp;" ")),1,0))+IF(Task!$A$13="",0,IF(ISNUMBER(SEARCH(" "&amp;Task!$A$13&amp;" "," "&amp;LOWER(C91)&amp;" ")),1,0))+IF(Task!$A$14="",0,IF(ISNUMBER(SEARCH(" "&amp;Task!$A$14&amp;" "," "&amp;LOWER(C91)&amp;" ")),1,0))+IF(Task!$A$15="",0,IF(ISNUMBER(SEARCH(" "&amp;Task!$A$15&amp;" "," "&amp;LOWER(C91)&amp;" ")),1,0))+IF(Task!$A$16="",0,IF(ISNUMBER(SEARCH(" "&amp;Task!$A$16&amp;" "," "&amp;LOWER(C91)&amp;" ")),1,0))+IF(Task!$A$17="",0,IF(ISNUMBER(SEARCH(" "&amp;Task!$A$17&amp;" "," "&amp;LOWER(C91)&amp;" ")),1,0))+IF(Task!$A$18="",0,IF(ISNUMBER(SEARCH(" "&amp;Task!$A$18&amp;" "," "&amp;LOWER(C91)&amp;" ")),1,0))+IF(Task!$A$19="",0,IF(ISNUMBER(SEARCH(" "&amp;Task!$A$19&amp;" "," "&amp;LOWER(C91)&amp;" ")),1,0)))</f>
        <v/>
      </c>
      <c r="H91" s="9">
        <f>IF(E91=0,0,IF(Task!$A$8="",0,IF(ISNUMBER(SEARCH(" "&amp;Task!$A$8&amp;" "," "&amp;LOWER(SUBSTITUTE(SUBSTITUTE(SUBSTITUTE(SUBSTITUTE(A91,"/"," "),"."," "),"\"," "),"_"," "))&amp;" ")),1,0))+IF(Task!$A$9="",0,IF(ISNUMBER(SEARCH(" "&amp;Task!$A$9&amp;" "," "&amp;LOWER(SUBSTITUTE(SUBSTITUTE(SUBSTITUTE(SUBSTITUTE(A91,"/"," "),"."," "),"\"," "),"_"," "))&amp;" ")),1,0))+IF(Task!$A$10="",0,IF(ISNUMBER(SEARCH(" "&amp;Task!$A$10&amp;" "," "&amp;LOWER(SUBSTITUTE(SUBSTITUTE(SUBSTITUTE(SUBSTITUTE(A91,"/"," "),"."," "),"\"," "),"_"," "))&amp;" ")),1,0))+IF(Task!$A$11="",0,IF(ISNUMBER(SEARCH(" "&amp;Task!$A$11&amp;" "," "&amp;LOWER(SUBSTITUTE(SUBSTITUTE(SUBSTITUTE(SUBSTITUTE(A91,"/"," "),"."," "),"\"," "),"_"," "))&amp;" ")),1,0))+IF(Task!$A$12="",0,IF(ISNUMBER(SEARCH(" "&amp;Task!$A$12&amp;" "," "&amp;LOWER(SUBSTITUTE(SUBSTITUTE(SUBSTITUTE(SUBSTITUTE(A91,"/"," "),"."," "),"\"," "),"_"," "))&amp;" ")),1,0))+IF(Task!$A$13="",0,IF(ISNUMBER(SEARCH(" "&amp;Task!$A$13&amp;" "," "&amp;LOWER(SUBSTITUTE(SUBSTITUTE(SUBSTITUTE(SUBSTITUTE(A91,"/"," "),"."," "),"\"," "),"_"," "))&amp;" ")),1,0))+IF(Task!$A$14="",0,IF(ISNUMBER(SEARCH(" "&amp;Task!$A$14&amp;" "," "&amp;LOWER(SUBSTITUTE(SUBSTITUTE(SUBSTITUTE(SUBSTITUTE(A91,"/"," "),"."," "),"\"," "),"_"," "))&amp;" ")),1,0))+IF(Task!$A$15="",0,IF(ISNUMBER(SEARCH(" "&amp;Task!$A$15&amp;" "," "&amp;LOWER(SUBSTITUTE(SUBSTITUTE(SUBSTITUTE(SUBSTITUTE(A91,"/"," "),"."," "),"\"," "),"_"," "))&amp;" ")),1,0))+IF(Task!$A$16="",0,IF(ISNUMBER(SEARCH(" "&amp;Task!$A$16&amp;" "," "&amp;LOWER(SUBSTITUTE(SUBSTITUTE(SUBSTITUTE(SUBSTITUTE(A91,"/"," "),"."," "),"\"," "),"_"," "))&amp;" ")),1,0))+IF(Task!$A$17="",0,IF(ISNUMBER(SEARCH(" "&amp;Task!$A$17&amp;" "," "&amp;LOWER(SUBSTITUTE(SUBSTITUTE(SUBSTITUTE(SUBSTITUTE(A91,"/"," "),"."," "),"\"," "),"_"," "))&amp;" ")),1,0))+IF(Task!$A$18="",0,IF(ISNUMBER(SEARCH(" "&amp;Task!$A$18&amp;" "," "&amp;LOWER(SUBSTITUTE(SUBSTITUTE(SUBSTITUTE(SUBSTITUTE(A91,"/"," "),"."," "),"\"," "),"_"," "))&amp;" ")),1,0))+IF(Task!$A$19="",0,IF(ISNUMBER(SEARCH(" "&amp;Task!$A$19&amp;" "," "&amp;LOWER(SUBSTITUTE(SUBSTITUTE(SUBSTITUTE(SUBSTITUTE(A91,"/"," "),"."," "),"\"," "),"_"," "))&amp;" ")),1,0)))</f>
        <v/>
      </c>
      <c r="I91" s="10">
        <f>IF(OR(E91=0,F91=0,Task!$B$21=0),"",F91/Task!$B$21+0.5*G91+0.25*H91)</f>
        <v/>
      </c>
      <c r="J91" s="5">
        <f>IF(I91="","",I91-ROW()/1000000)</f>
        <v/>
      </c>
      <c r="K91" s="9">
        <f>IF(J91="","",COUNTIF($J$5:$J$404,"&gt;"&amp;J91)+1)</f>
        <v/>
      </c>
    </row>
    <row r="92">
      <c r="A92" s="7" t="n"/>
      <c r="B92" s="7" t="n"/>
      <c r="C92" s="7" t="n"/>
      <c r="D92" s="7" t="n"/>
      <c r="E92" s="5">
        <f>IF(A92="",0,IF(COUNTA(Task!$B$5:$E$5)=0,1,IF(COUNTIF(Task!$B$5:$E$5,B92)&gt;0,1,0)))</f>
        <v/>
      </c>
      <c r="F92" s="9">
        <f>IF(E92=0,0,IF(Task!$A$8="",0,IF(ISNUMBER(SEARCH(" "&amp;Task!$A$8&amp;" "," "&amp;LOWER(D92&amp;" "&amp;C92&amp;" "&amp;LOWER(SUBSTITUTE(SUBSTITUTE(SUBSTITUTE(SUBSTITUTE(A92,"/"," "),"."," "),"\"," "),"_"," ")))&amp;" ")),1,0))+IF(Task!$A$9="",0,IF(ISNUMBER(SEARCH(" "&amp;Task!$A$9&amp;" "," "&amp;LOWER(D92&amp;" "&amp;C92&amp;" "&amp;LOWER(SUBSTITUTE(SUBSTITUTE(SUBSTITUTE(SUBSTITUTE(A92,"/"," "),"."," "),"\"," "),"_"," ")))&amp;" ")),1,0))+IF(Task!$A$10="",0,IF(ISNUMBER(SEARCH(" "&amp;Task!$A$10&amp;" "," "&amp;LOWER(D92&amp;" "&amp;C92&amp;" "&amp;LOWER(SUBSTITUTE(SUBSTITUTE(SUBSTITUTE(SUBSTITUTE(A92,"/"," "),"."," "),"\"," "),"_"," ")))&amp;" ")),1,0))+IF(Task!$A$11="",0,IF(ISNUMBER(SEARCH(" "&amp;Task!$A$11&amp;" "," "&amp;LOWER(D92&amp;" "&amp;C92&amp;" "&amp;LOWER(SUBSTITUTE(SUBSTITUTE(SUBSTITUTE(SUBSTITUTE(A92,"/"," "),"."," "),"\"," "),"_"," ")))&amp;" ")),1,0))+IF(Task!$A$12="",0,IF(ISNUMBER(SEARCH(" "&amp;Task!$A$12&amp;" "," "&amp;LOWER(D92&amp;" "&amp;C92&amp;" "&amp;LOWER(SUBSTITUTE(SUBSTITUTE(SUBSTITUTE(SUBSTITUTE(A92,"/"," "),"."," "),"\"," "),"_"," ")))&amp;" ")),1,0))+IF(Task!$A$13="",0,IF(ISNUMBER(SEARCH(" "&amp;Task!$A$13&amp;" "," "&amp;LOWER(D92&amp;" "&amp;C92&amp;" "&amp;LOWER(SUBSTITUTE(SUBSTITUTE(SUBSTITUTE(SUBSTITUTE(A92,"/"," "),"."," "),"\"," "),"_"," ")))&amp;" ")),1,0))+IF(Task!$A$14="",0,IF(ISNUMBER(SEARCH(" "&amp;Task!$A$14&amp;" "," "&amp;LOWER(D92&amp;" "&amp;C92&amp;" "&amp;LOWER(SUBSTITUTE(SUBSTITUTE(SUBSTITUTE(SUBSTITUTE(A92,"/"," "),"."," "),"\"," "),"_"," ")))&amp;" ")),1,0))+IF(Task!$A$15="",0,IF(ISNUMBER(SEARCH(" "&amp;Task!$A$15&amp;" "," "&amp;LOWER(D92&amp;" "&amp;C92&amp;" "&amp;LOWER(SUBSTITUTE(SUBSTITUTE(SUBSTITUTE(SUBSTITUTE(A92,"/"," "),"."," "),"\"," "),"_"," ")))&amp;" ")),1,0))+IF(Task!$A$16="",0,IF(ISNUMBER(SEARCH(" "&amp;Task!$A$16&amp;" "," "&amp;LOWER(D92&amp;" "&amp;C92&amp;" "&amp;LOWER(SUBSTITUTE(SUBSTITUTE(SUBSTITUTE(SUBSTITUTE(A92,"/"," "),"."," "),"\"," "),"_"," ")))&amp;" ")),1,0))+IF(Task!$A$17="",0,IF(ISNUMBER(SEARCH(" "&amp;Task!$A$17&amp;" "," "&amp;LOWER(D92&amp;" "&amp;C92&amp;" "&amp;LOWER(SUBSTITUTE(SUBSTITUTE(SUBSTITUTE(SUBSTITUTE(A92,"/"," "),"."," "),"\"," "),"_"," ")))&amp;" ")),1,0))+IF(Task!$A$18="",0,IF(ISNUMBER(SEARCH(" "&amp;Task!$A$18&amp;" "," "&amp;LOWER(D92&amp;" "&amp;C92&amp;" "&amp;LOWER(SUBSTITUTE(SUBSTITUTE(SUBSTITUTE(SUBSTITUTE(A92,"/"," "),"."," "),"\"," "),"_"," ")))&amp;" ")),1,0))+IF(Task!$A$19="",0,IF(ISNUMBER(SEARCH(" "&amp;Task!$A$19&amp;" "," "&amp;LOWER(D92&amp;" "&amp;C92&amp;" "&amp;LOWER(SUBSTITUTE(SUBSTITUTE(SUBSTITUTE(SUBSTITUTE(A92,"/"," "),"."," "),"\"," "),"_"," ")))&amp;" ")),1,0)))</f>
        <v/>
      </c>
      <c r="G92" s="9">
        <f>IF(E92=0,0,IF(Task!$A$8="",0,IF(ISNUMBER(SEARCH(" "&amp;Task!$A$8&amp;" "," "&amp;LOWER(C92)&amp;" ")),1,0))+IF(Task!$A$9="",0,IF(ISNUMBER(SEARCH(" "&amp;Task!$A$9&amp;" "," "&amp;LOWER(C92)&amp;" ")),1,0))+IF(Task!$A$10="",0,IF(ISNUMBER(SEARCH(" "&amp;Task!$A$10&amp;" "," "&amp;LOWER(C92)&amp;" ")),1,0))+IF(Task!$A$11="",0,IF(ISNUMBER(SEARCH(" "&amp;Task!$A$11&amp;" "," "&amp;LOWER(C92)&amp;" ")),1,0))+IF(Task!$A$12="",0,IF(ISNUMBER(SEARCH(" "&amp;Task!$A$12&amp;" "," "&amp;LOWER(C92)&amp;" ")),1,0))+IF(Task!$A$13="",0,IF(ISNUMBER(SEARCH(" "&amp;Task!$A$13&amp;" "," "&amp;LOWER(C92)&amp;" ")),1,0))+IF(Task!$A$14="",0,IF(ISNUMBER(SEARCH(" "&amp;Task!$A$14&amp;" "," "&amp;LOWER(C92)&amp;" ")),1,0))+IF(Task!$A$15="",0,IF(ISNUMBER(SEARCH(" "&amp;Task!$A$15&amp;" "," "&amp;LOWER(C92)&amp;" ")),1,0))+IF(Task!$A$16="",0,IF(ISNUMBER(SEARCH(" "&amp;Task!$A$16&amp;" "," "&amp;LOWER(C92)&amp;" ")),1,0))+IF(Task!$A$17="",0,IF(ISNUMBER(SEARCH(" "&amp;Task!$A$17&amp;" "," "&amp;LOWER(C92)&amp;" ")),1,0))+IF(Task!$A$18="",0,IF(ISNUMBER(SEARCH(" "&amp;Task!$A$18&amp;" "," "&amp;LOWER(C92)&amp;" ")),1,0))+IF(Task!$A$19="",0,IF(ISNUMBER(SEARCH(" "&amp;Task!$A$19&amp;" "," "&amp;LOWER(C92)&amp;" ")),1,0)))</f>
        <v/>
      </c>
      <c r="H92" s="9">
        <f>IF(E92=0,0,IF(Task!$A$8="",0,IF(ISNUMBER(SEARCH(" "&amp;Task!$A$8&amp;" "," "&amp;LOWER(SUBSTITUTE(SUBSTITUTE(SUBSTITUTE(SUBSTITUTE(A92,"/"," "),"."," "),"\"," "),"_"," "))&amp;" ")),1,0))+IF(Task!$A$9="",0,IF(ISNUMBER(SEARCH(" "&amp;Task!$A$9&amp;" "," "&amp;LOWER(SUBSTITUTE(SUBSTITUTE(SUBSTITUTE(SUBSTITUTE(A92,"/"," "),"."," "),"\"," "),"_"," "))&amp;" ")),1,0))+IF(Task!$A$10="",0,IF(ISNUMBER(SEARCH(" "&amp;Task!$A$10&amp;" "," "&amp;LOWER(SUBSTITUTE(SUBSTITUTE(SUBSTITUTE(SUBSTITUTE(A92,"/"," "),"."," "),"\"," "),"_"," "))&amp;" ")),1,0))+IF(Task!$A$11="",0,IF(ISNUMBER(SEARCH(" "&amp;Task!$A$11&amp;" "," "&amp;LOWER(SUBSTITUTE(SUBSTITUTE(SUBSTITUTE(SUBSTITUTE(A92,"/"," "),"."," "),"\"," "),"_"," "))&amp;" ")),1,0))+IF(Task!$A$12="",0,IF(ISNUMBER(SEARCH(" "&amp;Task!$A$12&amp;" "," "&amp;LOWER(SUBSTITUTE(SUBSTITUTE(SUBSTITUTE(SUBSTITUTE(A92,"/"," "),"."," "),"\"," "),"_"," "))&amp;" ")),1,0))+IF(Task!$A$13="",0,IF(ISNUMBER(SEARCH(" "&amp;Task!$A$13&amp;" "," "&amp;LOWER(SUBSTITUTE(SUBSTITUTE(SUBSTITUTE(SUBSTITUTE(A92,"/"," "),"."," "),"\"," "),"_"," "))&amp;" ")),1,0))+IF(Task!$A$14="",0,IF(ISNUMBER(SEARCH(" "&amp;Task!$A$14&amp;" "," "&amp;LOWER(SUBSTITUTE(SUBSTITUTE(SUBSTITUTE(SUBSTITUTE(A92,"/"," "),"."," "),"\"," "),"_"," "))&amp;" ")),1,0))+IF(Task!$A$15="",0,IF(ISNUMBER(SEARCH(" "&amp;Task!$A$15&amp;" "," "&amp;LOWER(SUBSTITUTE(SUBSTITUTE(SUBSTITUTE(SUBSTITUTE(A92,"/"," "),"."," "),"\"," "),"_"," "))&amp;" ")),1,0))+IF(Task!$A$16="",0,IF(ISNUMBER(SEARCH(" "&amp;Task!$A$16&amp;" "," "&amp;LOWER(SUBSTITUTE(SUBSTITUTE(SUBSTITUTE(SUBSTITUTE(A92,"/"," "),"."," "),"\"," "),"_"," "))&amp;" ")),1,0))+IF(Task!$A$17="",0,IF(ISNUMBER(SEARCH(" "&amp;Task!$A$17&amp;" "," "&amp;LOWER(SUBSTITUTE(SUBSTITUTE(SUBSTITUTE(SUBSTITUTE(A92,"/"," "),"."," "),"\"," "),"_"," "))&amp;" ")),1,0))+IF(Task!$A$18="",0,IF(ISNUMBER(SEARCH(" "&amp;Task!$A$18&amp;" "," "&amp;LOWER(SUBSTITUTE(SUBSTITUTE(SUBSTITUTE(SUBSTITUTE(A92,"/"," "),"."," "),"\"," "),"_"," "))&amp;" ")),1,0))+IF(Task!$A$19="",0,IF(ISNUMBER(SEARCH(" "&amp;Task!$A$19&amp;" "," "&amp;LOWER(SUBSTITUTE(SUBSTITUTE(SUBSTITUTE(SUBSTITUTE(A92,"/"," "),"."," "),"\"," "),"_"," "))&amp;" ")),1,0)))</f>
        <v/>
      </c>
      <c r="I92" s="10">
        <f>IF(OR(E92=0,F92=0,Task!$B$21=0),"",F92/Task!$B$21+0.5*G92+0.25*H92)</f>
        <v/>
      </c>
      <c r="J92" s="5">
        <f>IF(I92="","",I92-ROW()/1000000)</f>
        <v/>
      </c>
      <c r="K92" s="9">
        <f>IF(J92="","",COUNTIF($J$5:$J$404,"&gt;"&amp;J92)+1)</f>
        <v/>
      </c>
    </row>
    <row r="93">
      <c r="A93" s="7" t="n"/>
      <c r="B93" s="7" t="n"/>
      <c r="C93" s="7" t="n"/>
      <c r="D93" s="7" t="n"/>
      <c r="E93" s="5">
        <f>IF(A93="",0,IF(COUNTA(Task!$B$5:$E$5)=0,1,IF(COUNTIF(Task!$B$5:$E$5,B93)&gt;0,1,0)))</f>
        <v/>
      </c>
      <c r="F93" s="9">
        <f>IF(E93=0,0,IF(Task!$A$8="",0,IF(ISNUMBER(SEARCH(" "&amp;Task!$A$8&amp;" "," "&amp;LOWER(D93&amp;" "&amp;C93&amp;" "&amp;LOWER(SUBSTITUTE(SUBSTITUTE(SUBSTITUTE(SUBSTITUTE(A93,"/"," "),"."," "),"\"," "),"_"," ")))&amp;" ")),1,0))+IF(Task!$A$9="",0,IF(ISNUMBER(SEARCH(" "&amp;Task!$A$9&amp;" "," "&amp;LOWER(D93&amp;" "&amp;C93&amp;" "&amp;LOWER(SUBSTITUTE(SUBSTITUTE(SUBSTITUTE(SUBSTITUTE(A93,"/"," "),"."," "),"\"," "),"_"," ")))&amp;" ")),1,0))+IF(Task!$A$10="",0,IF(ISNUMBER(SEARCH(" "&amp;Task!$A$10&amp;" "," "&amp;LOWER(D93&amp;" "&amp;C93&amp;" "&amp;LOWER(SUBSTITUTE(SUBSTITUTE(SUBSTITUTE(SUBSTITUTE(A93,"/"," "),"."," "),"\"," "),"_"," ")))&amp;" ")),1,0))+IF(Task!$A$11="",0,IF(ISNUMBER(SEARCH(" "&amp;Task!$A$11&amp;" "," "&amp;LOWER(D93&amp;" "&amp;C93&amp;" "&amp;LOWER(SUBSTITUTE(SUBSTITUTE(SUBSTITUTE(SUBSTITUTE(A93,"/"," "),"."," "),"\"," "),"_"," ")))&amp;" ")),1,0))+IF(Task!$A$12="",0,IF(ISNUMBER(SEARCH(" "&amp;Task!$A$12&amp;" "," "&amp;LOWER(D93&amp;" "&amp;C93&amp;" "&amp;LOWER(SUBSTITUTE(SUBSTITUTE(SUBSTITUTE(SUBSTITUTE(A93,"/"," "),"."," "),"\"," "),"_"," ")))&amp;" ")),1,0))+IF(Task!$A$13="",0,IF(ISNUMBER(SEARCH(" "&amp;Task!$A$13&amp;" "," "&amp;LOWER(D93&amp;" "&amp;C93&amp;" "&amp;LOWER(SUBSTITUTE(SUBSTITUTE(SUBSTITUTE(SUBSTITUTE(A93,"/"," "),"."," "),"\"," "),"_"," ")))&amp;" ")),1,0))+IF(Task!$A$14="",0,IF(ISNUMBER(SEARCH(" "&amp;Task!$A$14&amp;" "," "&amp;LOWER(D93&amp;" "&amp;C93&amp;" "&amp;LOWER(SUBSTITUTE(SUBSTITUTE(SUBSTITUTE(SUBSTITUTE(A93,"/"," "),"."," "),"\"," "),"_"," ")))&amp;" ")),1,0))+IF(Task!$A$15="",0,IF(ISNUMBER(SEARCH(" "&amp;Task!$A$15&amp;" "," "&amp;LOWER(D93&amp;" "&amp;C93&amp;" "&amp;LOWER(SUBSTITUTE(SUBSTITUTE(SUBSTITUTE(SUBSTITUTE(A93,"/"," "),"."," "),"\"," "),"_"," ")))&amp;" ")),1,0))+IF(Task!$A$16="",0,IF(ISNUMBER(SEARCH(" "&amp;Task!$A$16&amp;" "," "&amp;LOWER(D93&amp;" "&amp;C93&amp;" "&amp;LOWER(SUBSTITUTE(SUBSTITUTE(SUBSTITUTE(SUBSTITUTE(A93,"/"," "),"."," "),"\"," "),"_"," ")))&amp;" ")),1,0))+IF(Task!$A$17="",0,IF(ISNUMBER(SEARCH(" "&amp;Task!$A$17&amp;" "," "&amp;LOWER(D93&amp;" "&amp;C93&amp;" "&amp;LOWER(SUBSTITUTE(SUBSTITUTE(SUBSTITUTE(SUBSTITUTE(A93,"/"," "),"."," "),"\"," "),"_"," ")))&amp;" ")),1,0))+IF(Task!$A$18="",0,IF(ISNUMBER(SEARCH(" "&amp;Task!$A$18&amp;" "," "&amp;LOWER(D93&amp;" "&amp;C93&amp;" "&amp;LOWER(SUBSTITUTE(SUBSTITUTE(SUBSTITUTE(SUBSTITUTE(A93,"/"," "),"."," "),"\"," "),"_"," ")))&amp;" ")),1,0))+IF(Task!$A$19="",0,IF(ISNUMBER(SEARCH(" "&amp;Task!$A$19&amp;" "," "&amp;LOWER(D93&amp;" "&amp;C93&amp;" "&amp;LOWER(SUBSTITUTE(SUBSTITUTE(SUBSTITUTE(SUBSTITUTE(A93,"/"," "),"."," "),"\"," "),"_"," ")))&amp;" ")),1,0)))</f>
        <v/>
      </c>
      <c r="G93" s="9">
        <f>IF(E93=0,0,IF(Task!$A$8="",0,IF(ISNUMBER(SEARCH(" "&amp;Task!$A$8&amp;" "," "&amp;LOWER(C93)&amp;" ")),1,0))+IF(Task!$A$9="",0,IF(ISNUMBER(SEARCH(" "&amp;Task!$A$9&amp;" "," "&amp;LOWER(C93)&amp;" ")),1,0))+IF(Task!$A$10="",0,IF(ISNUMBER(SEARCH(" "&amp;Task!$A$10&amp;" "," "&amp;LOWER(C93)&amp;" ")),1,0))+IF(Task!$A$11="",0,IF(ISNUMBER(SEARCH(" "&amp;Task!$A$11&amp;" "," "&amp;LOWER(C93)&amp;" ")),1,0))+IF(Task!$A$12="",0,IF(ISNUMBER(SEARCH(" "&amp;Task!$A$12&amp;" "," "&amp;LOWER(C93)&amp;" ")),1,0))+IF(Task!$A$13="",0,IF(ISNUMBER(SEARCH(" "&amp;Task!$A$13&amp;" "," "&amp;LOWER(C93)&amp;" ")),1,0))+IF(Task!$A$14="",0,IF(ISNUMBER(SEARCH(" "&amp;Task!$A$14&amp;" "," "&amp;LOWER(C93)&amp;" ")),1,0))+IF(Task!$A$15="",0,IF(ISNUMBER(SEARCH(" "&amp;Task!$A$15&amp;" "," "&amp;LOWER(C93)&amp;" ")),1,0))+IF(Task!$A$16="",0,IF(ISNUMBER(SEARCH(" "&amp;Task!$A$16&amp;" "," "&amp;LOWER(C93)&amp;" ")),1,0))+IF(Task!$A$17="",0,IF(ISNUMBER(SEARCH(" "&amp;Task!$A$17&amp;" "," "&amp;LOWER(C93)&amp;" ")),1,0))+IF(Task!$A$18="",0,IF(ISNUMBER(SEARCH(" "&amp;Task!$A$18&amp;" "," "&amp;LOWER(C93)&amp;" ")),1,0))+IF(Task!$A$19="",0,IF(ISNUMBER(SEARCH(" "&amp;Task!$A$19&amp;" "," "&amp;LOWER(C93)&amp;" ")),1,0)))</f>
        <v/>
      </c>
      <c r="H93" s="9">
        <f>IF(E93=0,0,IF(Task!$A$8="",0,IF(ISNUMBER(SEARCH(" "&amp;Task!$A$8&amp;" "," "&amp;LOWER(SUBSTITUTE(SUBSTITUTE(SUBSTITUTE(SUBSTITUTE(A93,"/"," "),"."," "),"\"," "),"_"," "))&amp;" ")),1,0))+IF(Task!$A$9="",0,IF(ISNUMBER(SEARCH(" "&amp;Task!$A$9&amp;" "," "&amp;LOWER(SUBSTITUTE(SUBSTITUTE(SUBSTITUTE(SUBSTITUTE(A93,"/"," "),"."," "),"\"," "),"_"," "))&amp;" ")),1,0))+IF(Task!$A$10="",0,IF(ISNUMBER(SEARCH(" "&amp;Task!$A$10&amp;" "," "&amp;LOWER(SUBSTITUTE(SUBSTITUTE(SUBSTITUTE(SUBSTITUTE(A93,"/"," "),"."," "),"\"," "),"_"," "))&amp;" ")),1,0))+IF(Task!$A$11="",0,IF(ISNUMBER(SEARCH(" "&amp;Task!$A$11&amp;" "," "&amp;LOWER(SUBSTITUTE(SUBSTITUTE(SUBSTITUTE(SUBSTITUTE(A93,"/"," "),"."," "),"\"," "),"_"," "))&amp;" ")),1,0))+IF(Task!$A$12="",0,IF(ISNUMBER(SEARCH(" "&amp;Task!$A$12&amp;" "," "&amp;LOWER(SUBSTITUTE(SUBSTITUTE(SUBSTITUTE(SUBSTITUTE(A93,"/"," "),"."," "),"\"," "),"_"," "))&amp;" ")),1,0))+IF(Task!$A$13="",0,IF(ISNUMBER(SEARCH(" "&amp;Task!$A$13&amp;" "," "&amp;LOWER(SUBSTITUTE(SUBSTITUTE(SUBSTITUTE(SUBSTITUTE(A93,"/"," "),"."," "),"\"," "),"_"," "))&amp;" ")),1,0))+IF(Task!$A$14="",0,IF(ISNUMBER(SEARCH(" "&amp;Task!$A$14&amp;" "," "&amp;LOWER(SUBSTITUTE(SUBSTITUTE(SUBSTITUTE(SUBSTITUTE(A93,"/"," "),"."," "),"\"," "),"_"," "))&amp;" ")),1,0))+IF(Task!$A$15="",0,IF(ISNUMBER(SEARCH(" "&amp;Task!$A$15&amp;" "," "&amp;LOWER(SUBSTITUTE(SUBSTITUTE(SUBSTITUTE(SUBSTITUTE(A93,"/"," "),"."," "),"\"," "),"_"," "))&amp;" ")),1,0))+IF(Task!$A$16="",0,IF(ISNUMBER(SEARCH(" "&amp;Task!$A$16&amp;" "," "&amp;LOWER(SUBSTITUTE(SUBSTITUTE(SUBSTITUTE(SUBSTITUTE(A93,"/"," "),"."," "),"\"," "),"_"," "))&amp;" ")),1,0))+IF(Task!$A$17="",0,IF(ISNUMBER(SEARCH(" "&amp;Task!$A$17&amp;" "," "&amp;LOWER(SUBSTITUTE(SUBSTITUTE(SUBSTITUTE(SUBSTITUTE(A93,"/"," "),"."," "),"\"," "),"_"," "))&amp;" ")),1,0))+IF(Task!$A$18="",0,IF(ISNUMBER(SEARCH(" "&amp;Task!$A$18&amp;" "," "&amp;LOWER(SUBSTITUTE(SUBSTITUTE(SUBSTITUTE(SUBSTITUTE(A93,"/"," "),"."," "),"\"," "),"_"," "))&amp;" ")),1,0))+IF(Task!$A$19="",0,IF(ISNUMBER(SEARCH(" "&amp;Task!$A$19&amp;" "," "&amp;LOWER(SUBSTITUTE(SUBSTITUTE(SUBSTITUTE(SUBSTITUTE(A93,"/"," "),"."," "),"\"," "),"_"," "))&amp;" ")),1,0)))</f>
        <v/>
      </c>
      <c r="I93" s="10">
        <f>IF(OR(E93=0,F93=0,Task!$B$21=0),"",F93/Task!$B$21+0.5*G93+0.25*H93)</f>
        <v/>
      </c>
      <c r="J93" s="5">
        <f>IF(I93="","",I93-ROW()/1000000)</f>
        <v/>
      </c>
      <c r="K93" s="9">
        <f>IF(J93="","",COUNTIF($J$5:$J$404,"&gt;"&amp;J93)+1)</f>
        <v/>
      </c>
    </row>
    <row r="94">
      <c r="A94" s="7" t="n"/>
      <c r="B94" s="7" t="n"/>
      <c r="C94" s="7" t="n"/>
      <c r="D94" s="7" t="n"/>
      <c r="E94" s="5">
        <f>IF(A94="",0,IF(COUNTA(Task!$B$5:$E$5)=0,1,IF(COUNTIF(Task!$B$5:$E$5,B94)&gt;0,1,0)))</f>
        <v/>
      </c>
      <c r="F94" s="9">
        <f>IF(E94=0,0,IF(Task!$A$8="",0,IF(ISNUMBER(SEARCH(" "&amp;Task!$A$8&amp;" "," "&amp;LOWER(D94&amp;" "&amp;C94&amp;" "&amp;LOWER(SUBSTITUTE(SUBSTITUTE(SUBSTITUTE(SUBSTITUTE(A94,"/"," "),"."," "),"\"," "),"_"," ")))&amp;" ")),1,0))+IF(Task!$A$9="",0,IF(ISNUMBER(SEARCH(" "&amp;Task!$A$9&amp;" "," "&amp;LOWER(D94&amp;" "&amp;C94&amp;" "&amp;LOWER(SUBSTITUTE(SUBSTITUTE(SUBSTITUTE(SUBSTITUTE(A94,"/"," "),"."," "),"\"," "),"_"," ")))&amp;" ")),1,0))+IF(Task!$A$10="",0,IF(ISNUMBER(SEARCH(" "&amp;Task!$A$10&amp;" "," "&amp;LOWER(D94&amp;" "&amp;C94&amp;" "&amp;LOWER(SUBSTITUTE(SUBSTITUTE(SUBSTITUTE(SUBSTITUTE(A94,"/"," "),"."," "),"\"," "),"_"," ")))&amp;" ")),1,0))+IF(Task!$A$11="",0,IF(ISNUMBER(SEARCH(" "&amp;Task!$A$11&amp;" "," "&amp;LOWER(D94&amp;" "&amp;C94&amp;" "&amp;LOWER(SUBSTITUTE(SUBSTITUTE(SUBSTITUTE(SUBSTITUTE(A94,"/"," "),"."," "),"\"," "),"_"," ")))&amp;" ")),1,0))+IF(Task!$A$12="",0,IF(ISNUMBER(SEARCH(" "&amp;Task!$A$12&amp;" "," "&amp;LOWER(D94&amp;" "&amp;C94&amp;" "&amp;LOWER(SUBSTITUTE(SUBSTITUTE(SUBSTITUTE(SUBSTITUTE(A94,"/"," "),"."," "),"\"," "),"_"," ")))&amp;" ")),1,0))+IF(Task!$A$13="",0,IF(ISNUMBER(SEARCH(" "&amp;Task!$A$13&amp;" "," "&amp;LOWER(D94&amp;" "&amp;C94&amp;" "&amp;LOWER(SUBSTITUTE(SUBSTITUTE(SUBSTITUTE(SUBSTITUTE(A94,"/"," "),"."," "),"\"," "),"_"," ")))&amp;" ")),1,0))+IF(Task!$A$14="",0,IF(ISNUMBER(SEARCH(" "&amp;Task!$A$14&amp;" "," "&amp;LOWER(D94&amp;" "&amp;C94&amp;" "&amp;LOWER(SUBSTITUTE(SUBSTITUTE(SUBSTITUTE(SUBSTITUTE(A94,"/"," "),"."," "),"\"," "),"_"," ")))&amp;" ")),1,0))+IF(Task!$A$15="",0,IF(ISNUMBER(SEARCH(" "&amp;Task!$A$15&amp;" "," "&amp;LOWER(D94&amp;" "&amp;C94&amp;" "&amp;LOWER(SUBSTITUTE(SUBSTITUTE(SUBSTITUTE(SUBSTITUTE(A94,"/"," "),"."," "),"\"," "),"_"," ")))&amp;" ")),1,0))+IF(Task!$A$16="",0,IF(ISNUMBER(SEARCH(" "&amp;Task!$A$16&amp;" "," "&amp;LOWER(D94&amp;" "&amp;C94&amp;" "&amp;LOWER(SUBSTITUTE(SUBSTITUTE(SUBSTITUTE(SUBSTITUTE(A94,"/"," "),"."," "),"\"," "),"_"," ")))&amp;" ")),1,0))+IF(Task!$A$17="",0,IF(ISNUMBER(SEARCH(" "&amp;Task!$A$17&amp;" "," "&amp;LOWER(D94&amp;" "&amp;C94&amp;" "&amp;LOWER(SUBSTITUTE(SUBSTITUTE(SUBSTITUTE(SUBSTITUTE(A94,"/"," "),"."," "),"\"," "),"_"," ")))&amp;" ")),1,0))+IF(Task!$A$18="",0,IF(ISNUMBER(SEARCH(" "&amp;Task!$A$18&amp;" "," "&amp;LOWER(D94&amp;" "&amp;C94&amp;" "&amp;LOWER(SUBSTITUTE(SUBSTITUTE(SUBSTITUTE(SUBSTITUTE(A94,"/"," "),"."," "),"\"," "),"_"," ")))&amp;" ")),1,0))+IF(Task!$A$19="",0,IF(ISNUMBER(SEARCH(" "&amp;Task!$A$19&amp;" "," "&amp;LOWER(D94&amp;" "&amp;C94&amp;" "&amp;LOWER(SUBSTITUTE(SUBSTITUTE(SUBSTITUTE(SUBSTITUTE(A94,"/"," "),"."," "),"\"," "),"_"," ")))&amp;" ")),1,0)))</f>
        <v/>
      </c>
      <c r="G94" s="9">
        <f>IF(E94=0,0,IF(Task!$A$8="",0,IF(ISNUMBER(SEARCH(" "&amp;Task!$A$8&amp;" "," "&amp;LOWER(C94)&amp;" ")),1,0))+IF(Task!$A$9="",0,IF(ISNUMBER(SEARCH(" "&amp;Task!$A$9&amp;" "," "&amp;LOWER(C94)&amp;" ")),1,0))+IF(Task!$A$10="",0,IF(ISNUMBER(SEARCH(" "&amp;Task!$A$10&amp;" "," "&amp;LOWER(C94)&amp;" ")),1,0))+IF(Task!$A$11="",0,IF(ISNUMBER(SEARCH(" "&amp;Task!$A$11&amp;" "," "&amp;LOWER(C94)&amp;" ")),1,0))+IF(Task!$A$12="",0,IF(ISNUMBER(SEARCH(" "&amp;Task!$A$12&amp;" "," "&amp;LOWER(C94)&amp;" ")),1,0))+IF(Task!$A$13="",0,IF(ISNUMBER(SEARCH(" "&amp;Task!$A$13&amp;" "," "&amp;LOWER(C94)&amp;" ")),1,0))+IF(Task!$A$14="",0,IF(ISNUMBER(SEARCH(" "&amp;Task!$A$14&amp;" "," "&amp;LOWER(C94)&amp;" ")),1,0))+IF(Task!$A$15="",0,IF(ISNUMBER(SEARCH(" "&amp;Task!$A$15&amp;" "," "&amp;LOWER(C94)&amp;" ")),1,0))+IF(Task!$A$16="",0,IF(ISNUMBER(SEARCH(" "&amp;Task!$A$16&amp;" "," "&amp;LOWER(C94)&amp;" ")),1,0))+IF(Task!$A$17="",0,IF(ISNUMBER(SEARCH(" "&amp;Task!$A$17&amp;" "," "&amp;LOWER(C94)&amp;" ")),1,0))+IF(Task!$A$18="",0,IF(ISNUMBER(SEARCH(" "&amp;Task!$A$18&amp;" "," "&amp;LOWER(C94)&amp;" ")),1,0))+IF(Task!$A$19="",0,IF(ISNUMBER(SEARCH(" "&amp;Task!$A$19&amp;" "," "&amp;LOWER(C94)&amp;" ")),1,0)))</f>
        <v/>
      </c>
      <c r="H94" s="9">
        <f>IF(E94=0,0,IF(Task!$A$8="",0,IF(ISNUMBER(SEARCH(" "&amp;Task!$A$8&amp;" "," "&amp;LOWER(SUBSTITUTE(SUBSTITUTE(SUBSTITUTE(SUBSTITUTE(A94,"/"," "),"."," "),"\"," "),"_"," "))&amp;" ")),1,0))+IF(Task!$A$9="",0,IF(ISNUMBER(SEARCH(" "&amp;Task!$A$9&amp;" "," "&amp;LOWER(SUBSTITUTE(SUBSTITUTE(SUBSTITUTE(SUBSTITUTE(A94,"/"," "),"."," "),"\"," "),"_"," "))&amp;" ")),1,0))+IF(Task!$A$10="",0,IF(ISNUMBER(SEARCH(" "&amp;Task!$A$10&amp;" "," "&amp;LOWER(SUBSTITUTE(SUBSTITUTE(SUBSTITUTE(SUBSTITUTE(A94,"/"," "),"."," "),"\"," "),"_"," "))&amp;" ")),1,0))+IF(Task!$A$11="",0,IF(ISNUMBER(SEARCH(" "&amp;Task!$A$11&amp;" "," "&amp;LOWER(SUBSTITUTE(SUBSTITUTE(SUBSTITUTE(SUBSTITUTE(A94,"/"," "),"."," "),"\"," "),"_"," "))&amp;" ")),1,0))+IF(Task!$A$12="",0,IF(ISNUMBER(SEARCH(" "&amp;Task!$A$12&amp;" "," "&amp;LOWER(SUBSTITUTE(SUBSTITUTE(SUBSTITUTE(SUBSTITUTE(A94,"/"," "),"."," "),"\"," "),"_"," "))&amp;" ")),1,0))+IF(Task!$A$13="",0,IF(ISNUMBER(SEARCH(" "&amp;Task!$A$13&amp;" "," "&amp;LOWER(SUBSTITUTE(SUBSTITUTE(SUBSTITUTE(SUBSTITUTE(A94,"/"," "),"."," "),"\"," "),"_"," "))&amp;" ")),1,0))+IF(Task!$A$14="",0,IF(ISNUMBER(SEARCH(" "&amp;Task!$A$14&amp;" "," "&amp;LOWER(SUBSTITUTE(SUBSTITUTE(SUBSTITUTE(SUBSTITUTE(A94,"/"," "),"."," "),"\"," "),"_"," "))&amp;" ")),1,0))+IF(Task!$A$15="",0,IF(ISNUMBER(SEARCH(" "&amp;Task!$A$15&amp;" "," "&amp;LOWER(SUBSTITUTE(SUBSTITUTE(SUBSTITUTE(SUBSTITUTE(A94,"/"," "),"."," "),"\"," "),"_"," "))&amp;" ")),1,0))+IF(Task!$A$16="",0,IF(ISNUMBER(SEARCH(" "&amp;Task!$A$16&amp;" "," "&amp;LOWER(SUBSTITUTE(SUBSTITUTE(SUBSTITUTE(SUBSTITUTE(A94,"/"," "),"."," "),"\"," "),"_"," "))&amp;" ")),1,0))+IF(Task!$A$17="",0,IF(ISNUMBER(SEARCH(" "&amp;Task!$A$17&amp;" "," "&amp;LOWER(SUBSTITUTE(SUBSTITUTE(SUBSTITUTE(SUBSTITUTE(A94,"/"," "),"."," "),"\"," "),"_"," "))&amp;" ")),1,0))+IF(Task!$A$18="",0,IF(ISNUMBER(SEARCH(" "&amp;Task!$A$18&amp;" "," "&amp;LOWER(SUBSTITUTE(SUBSTITUTE(SUBSTITUTE(SUBSTITUTE(A94,"/"," "),"."," "),"\"," "),"_"," "))&amp;" ")),1,0))+IF(Task!$A$19="",0,IF(ISNUMBER(SEARCH(" "&amp;Task!$A$19&amp;" "," "&amp;LOWER(SUBSTITUTE(SUBSTITUTE(SUBSTITUTE(SUBSTITUTE(A94,"/"," "),"."," "),"\"," "),"_"," "))&amp;" ")),1,0)))</f>
        <v/>
      </c>
      <c r="I94" s="10">
        <f>IF(OR(E94=0,F94=0,Task!$B$21=0),"",F94/Task!$B$21+0.5*G94+0.25*H94)</f>
        <v/>
      </c>
      <c r="J94" s="5">
        <f>IF(I94="","",I94-ROW()/1000000)</f>
        <v/>
      </c>
      <c r="K94" s="9">
        <f>IF(J94="","",COUNTIF($J$5:$J$404,"&gt;"&amp;J94)+1)</f>
        <v/>
      </c>
    </row>
    <row r="95">
      <c r="A95" s="7" t="n"/>
      <c r="B95" s="7" t="n"/>
      <c r="C95" s="7" t="n"/>
      <c r="D95" s="7" t="n"/>
      <c r="E95" s="5">
        <f>IF(A95="",0,IF(COUNTA(Task!$B$5:$E$5)=0,1,IF(COUNTIF(Task!$B$5:$E$5,B95)&gt;0,1,0)))</f>
        <v/>
      </c>
      <c r="F95" s="9">
        <f>IF(E95=0,0,IF(Task!$A$8="",0,IF(ISNUMBER(SEARCH(" "&amp;Task!$A$8&amp;" "," "&amp;LOWER(D95&amp;" "&amp;C95&amp;" "&amp;LOWER(SUBSTITUTE(SUBSTITUTE(SUBSTITUTE(SUBSTITUTE(A95,"/"," "),"."," "),"\"," "),"_"," ")))&amp;" ")),1,0))+IF(Task!$A$9="",0,IF(ISNUMBER(SEARCH(" "&amp;Task!$A$9&amp;" "," "&amp;LOWER(D95&amp;" "&amp;C95&amp;" "&amp;LOWER(SUBSTITUTE(SUBSTITUTE(SUBSTITUTE(SUBSTITUTE(A95,"/"," "),"."," "),"\"," "),"_"," ")))&amp;" ")),1,0))+IF(Task!$A$10="",0,IF(ISNUMBER(SEARCH(" "&amp;Task!$A$10&amp;" "," "&amp;LOWER(D95&amp;" "&amp;C95&amp;" "&amp;LOWER(SUBSTITUTE(SUBSTITUTE(SUBSTITUTE(SUBSTITUTE(A95,"/"," "),"."," "),"\"," "),"_"," ")))&amp;" ")),1,0))+IF(Task!$A$11="",0,IF(ISNUMBER(SEARCH(" "&amp;Task!$A$11&amp;" "," "&amp;LOWER(D95&amp;" "&amp;C95&amp;" "&amp;LOWER(SUBSTITUTE(SUBSTITUTE(SUBSTITUTE(SUBSTITUTE(A95,"/"," "),"."," "),"\"," "),"_"," ")))&amp;" ")),1,0))+IF(Task!$A$12="",0,IF(ISNUMBER(SEARCH(" "&amp;Task!$A$12&amp;" "," "&amp;LOWER(D95&amp;" "&amp;C95&amp;" "&amp;LOWER(SUBSTITUTE(SUBSTITUTE(SUBSTITUTE(SUBSTITUTE(A95,"/"," "),"."," "),"\"," "),"_"," ")))&amp;" ")),1,0))+IF(Task!$A$13="",0,IF(ISNUMBER(SEARCH(" "&amp;Task!$A$13&amp;" "," "&amp;LOWER(D95&amp;" "&amp;C95&amp;" "&amp;LOWER(SUBSTITUTE(SUBSTITUTE(SUBSTITUTE(SUBSTITUTE(A95,"/"," "),"."," "),"\"," "),"_"," ")))&amp;" ")),1,0))+IF(Task!$A$14="",0,IF(ISNUMBER(SEARCH(" "&amp;Task!$A$14&amp;" "," "&amp;LOWER(D95&amp;" "&amp;C95&amp;" "&amp;LOWER(SUBSTITUTE(SUBSTITUTE(SUBSTITUTE(SUBSTITUTE(A95,"/"," "),"."," "),"\"," "),"_"," ")))&amp;" ")),1,0))+IF(Task!$A$15="",0,IF(ISNUMBER(SEARCH(" "&amp;Task!$A$15&amp;" "," "&amp;LOWER(D95&amp;" "&amp;C95&amp;" "&amp;LOWER(SUBSTITUTE(SUBSTITUTE(SUBSTITUTE(SUBSTITUTE(A95,"/"," "),"."," "),"\"," "),"_"," ")))&amp;" ")),1,0))+IF(Task!$A$16="",0,IF(ISNUMBER(SEARCH(" "&amp;Task!$A$16&amp;" "," "&amp;LOWER(D95&amp;" "&amp;C95&amp;" "&amp;LOWER(SUBSTITUTE(SUBSTITUTE(SUBSTITUTE(SUBSTITUTE(A95,"/"," "),"."," "),"\"," "),"_"," ")))&amp;" ")),1,0))+IF(Task!$A$17="",0,IF(ISNUMBER(SEARCH(" "&amp;Task!$A$17&amp;" "," "&amp;LOWER(D95&amp;" "&amp;C95&amp;" "&amp;LOWER(SUBSTITUTE(SUBSTITUTE(SUBSTITUTE(SUBSTITUTE(A95,"/"," "),"."," "),"\"," "),"_"," ")))&amp;" ")),1,0))+IF(Task!$A$18="",0,IF(ISNUMBER(SEARCH(" "&amp;Task!$A$18&amp;" "," "&amp;LOWER(D95&amp;" "&amp;C95&amp;" "&amp;LOWER(SUBSTITUTE(SUBSTITUTE(SUBSTITUTE(SUBSTITUTE(A95,"/"," "),"."," "),"\"," "),"_"," ")))&amp;" ")),1,0))+IF(Task!$A$19="",0,IF(ISNUMBER(SEARCH(" "&amp;Task!$A$19&amp;" "," "&amp;LOWER(D95&amp;" "&amp;C95&amp;" "&amp;LOWER(SUBSTITUTE(SUBSTITUTE(SUBSTITUTE(SUBSTITUTE(A95,"/"," "),"."," "),"\"," "),"_"," ")))&amp;" ")),1,0)))</f>
        <v/>
      </c>
      <c r="G95" s="9">
        <f>IF(E95=0,0,IF(Task!$A$8="",0,IF(ISNUMBER(SEARCH(" "&amp;Task!$A$8&amp;" "," "&amp;LOWER(C95)&amp;" ")),1,0))+IF(Task!$A$9="",0,IF(ISNUMBER(SEARCH(" "&amp;Task!$A$9&amp;" "," "&amp;LOWER(C95)&amp;" ")),1,0))+IF(Task!$A$10="",0,IF(ISNUMBER(SEARCH(" "&amp;Task!$A$10&amp;" "," "&amp;LOWER(C95)&amp;" ")),1,0))+IF(Task!$A$11="",0,IF(ISNUMBER(SEARCH(" "&amp;Task!$A$11&amp;" "," "&amp;LOWER(C95)&amp;" ")),1,0))+IF(Task!$A$12="",0,IF(ISNUMBER(SEARCH(" "&amp;Task!$A$12&amp;" "," "&amp;LOWER(C95)&amp;" ")),1,0))+IF(Task!$A$13="",0,IF(ISNUMBER(SEARCH(" "&amp;Task!$A$13&amp;" "," "&amp;LOWER(C95)&amp;" ")),1,0))+IF(Task!$A$14="",0,IF(ISNUMBER(SEARCH(" "&amp;Task!$A$14&amp;" "," "&amp;LOWER(C95)&amp;" ")),1,0))+IF(Task!$A$15="",0,IF(ISNUMBER(SEARCH(" "&amp;Task!$A$15&amp;" "," "&amp;LOWER(C95)&amp;" ")),1,0))+IF(Task!$A$16="",0,IF(ISNUMBER(SEARCH(" "&amp;Task!$A$16&amp;" "," "&amp;LOWER(C95)&amp;" ")),1,0))+IF(Task!$A$17="",0,IF(ISNUMBER(SEARCH(" "&amp;Task!$A$17&amp;" "," "&amp;LOWER(C95)&amp;" ")),1,0))+IF(Task!$A$18="",0,IF(ISNUMBER(SEARCH(" "&amp;Task!$A$18&amp;" "," "&amp;LOWER(C95)&amp;" ")),1,0))+IF(Task!$A$19="",0,IF(ISNUMBER(SEARCH(" "&amp;Task!$A$19&amp;" "," "&amp;LOWER(C95)&amp;" ")),1,0)))</f>
        <v/>
      </c>
      <c r="H95" s="9">
        <f>IF(E95=0,0,IF(Task!$A$8="",0,IF(ISNUMBER(SEARCH(" "&amp;Task!$A$8&amp;" "," "&amp;LOWER(SUBSTITUTE(SUBSTITUTE(SUBSTITUTE(SUBSTITUTE(A95,"/"," "),"."," "),"\"," "),"_"," "))&amp;" ")),1,0))+IF(Task!$A$9="",0,IF(ISNUMBER(SEARCH(" "&amp;Task!$A$9&amp;" "," "&amp;LOWER(SUBSTITUTE(SUBSTITUTE(SUBSTITUTE(SUBSTITUTE(A95,"/"," "),"."," "),"\"," "),"_"," "))&amp;" ")),1,0))+IF(Task!$A$10="",0,IF(ISNUMBER(SEARCH(" "&amp;Task!$A$10&amp;" "," "&amp;LOWER(SUBSTITUTE(SUBSTITUTE(SUBSTITUTE(SUBSTITUTE(A95,"/"," "),"."," "),"\"," "),"_"," "))&amp;" ")),1,0))+IF(Task!$A$11="",0,IF(ISNUMBER(SEARCH(" "&amp;Task!$A$11&amp;" "," "&amp;LOWER(SUBSTITUTE(SUBSTITUTE(SUBSTITUTE(SUBSTITUTE(A95,"/"," "),"."," "),"\"," "),"_"," "))&amp;" ")),1,0))+IF(Task!$A$12="",0,IF(ISNUMBER(SEARCH(" "&amp;Task!$A$12&amp;" "," "&amp;LOWER(SUBSTITUTE(SUBSTITUTE(SUBSTITUTE(SUBSTITUTE(A95,"/"," "),"."," "),"\"," "),"_"," "))&amp;" ")),1,0))+IF(Task!$A$13="",0,IF(ISNUMBER(SEARCH(" "&amp;Task!$A$13&amp;" "," "&amp;LOWER(SUBSTITUTE(SUBSTITUTE(SUBSTITUTE(SUBSTITUTE(A95,"/"," "),"."," "),"\"," "),"_"," "))&amp;" ")),1,0))+IF(Task!$A$14="",0,IF(ISNUMBER(SEARCH(" "&amp;Task!$A$14&amp;" "," "&amp;LOWER(SUBSTITUTE(SUBSTITUTE(SUBSTITUTE(SUBSTITUTE(A95,"/"," "),"."," "),"\"," "),"_"," "))&amp;" ")),1,0))+IF(Task!$A$15="",0,IF(ISNUMBER(SEARCH(" "&amp;Task!$A$15&amp;" "," "&amp;LOWER(SUBSTITUTE(SUBSTITUTE(SUBSTITUTE(SUBSTITUTE(A95,"/"," "),"."," "),"\"," "),"_"," "))&amp;" ")),1,0))+IF(Task!$A$16="",0,IF(ISNUMBER(SEARCH(" "&amp;Task!$A$16&amp;" "," "&amp;LOWER(SUBSTITUTE(SUBSTITUTE(SUBSTITUTE(SUBSTITUTE(A95,"/"," "),"."," "),"\"," "),"_"," "))&amp;" ")),1,0))+IF(Task!$A$17="",0,IF(ISNUMBER(SEARCH(" "&amp;Task!$A$17&amp;" "," "&amp;LOWER(SUBSTITUTE(SUBSTITUTE(SUBSTITUTE(SUBSTITUTE(A95,"/"," "),"."," "),"\"," "),"_"," "))&amp;" ")),1,0))+IF(Task!$A$18="",0,IF(ISNUMBER(SEARCH(" "&amp;Task!$A$18&amp;" "," "&amp;LOWER(SUBSTITUTE(SUBSTITUTE(SUBSTITUTE(SUBSTITUTE(A95,"/"," "),"."," "),"\"," "),"_"," "))&amp;" ")),1,0))+IF(Task!$A$19="",0,IF(ISNUMBER(SEARCH(" "&amp;Task!$A$19&amp;" "," "&amp;LOWER(SUBSTITUTE(SUBSTITUTE(SUBSTITUTE(SUBSTITUTE(A95,"/"," "),"."," "),"\"," "),"_"," "))&amp;" ")),1,0)))</f>
        <v/>
      </c>
      <c r="I95" s="10">
        <f>IF(OR(E95=0,F95=0,Task!$B$21=0),"",F95/Task!$B$21+0.5*G95+0.25*H95)</f>
        <v/>
      </c>
      <c r="J95" s="5">
        <f>IF(I95="","",I95-ROW()/1000000)</f>
        <v/>
      </c>
      <c r="K95" s="9">
        <f>IF(J95="","",COUNTIF($J$5:$J$404,"&gt;"&amp;J95)+1)</f>
        <v/>
      </c>
    </row>
    <row r="96">
      <c r="A96" s="7" t="n"/>
      <c r="B96" s="7" t="n"/>
      <c r="C96" s="7" t="n"/>
      <c r="D96" s="7" t="n"/>
      <c r="E96" s="5">
        <f>IF(A96="",0,IF(COUNTA(Task!$B$5:$E$5)=0,1,IF(COUNTIF(Task!$B$5:$E$5,B96)&gt;0,1,0)))</f>
        <v/>
      </c>
      <c r="F96" s="9">
        <f>IF(E96=0,0,IF(Task!$A$8="",0,IF(ISNUMBER(SEARCH(" "&amp;Task!$A$8&amp;" "," "&amp;LOWER(D96&amp;" "&amp;C96&amp;" "&amp;LOWER(SUBSTITUTE(SUBSTITUTE(SUBSTITUTE(SUBSTITUTE(A96,"/"," "),"."," "),"\"," "),"_"," ")))&amp;" ")),1,0))+IF(Task!$A$9="",0,IF(ISNUMBER(SEARCH(" "&amp;Task!$A$9&amp;" "," "&amp;LOWER(D96&amp;" "&amp;C96&amp;" "&amp;LOWER(SUBSTITUTE(SUBSTITUTE(SUBSTITUTE(SUBSTITUTE(A96,"/"," "),"."," "),"\"," "),"_"," ")))&amp;" ")),1,0))+IF(Task!$A$10="",0,IF(ISNUMBER(SEARCH(" "&amp;Task!$A$10&amp;" "," "&amp;LOWER(D96&amp;" "&amp;C96&amp;" "&amp;LOWER(SUBSTITUTE(SUBSTITUTE(SUBSTITUTE(SUBSTITUTE(A96,"/"," "),"."," "),"\"," "),"_"," ")))&amp;" ")),1,0))+IF(Task!$A$11="",0,IF(ISNUMBER(SEARCH(" "&amp;Task!$A$11&amp;" "," "&amp;LOWER(D96&amp;" "&amp;C96&amp;" "&amp;LOWER(SUBSTITUTE(SUBSTITUTE(SUBSTITUTE(SUBSTITUTE(A96,"/"," "),"."," "),"\"," "),"_"," ")))&amp;" ")),1,0))+IF(Task!$A$12="",0,IF(ISNUMBER(SEARCH(" "&amp;Task!$A$12&amp;" "," "&amp;LOWER(D96&amp;" "&amp;C96&amp;" "&amp;LOWER(SUBSTITUTE(SUBSTITUTE(SUBSTITUTE(SUBSTITUTE(A96,"/"," "),"."," "),"\"," "),"_"," ")))&amp;" ")),1,0))+IF(Task!$A$13="",0,IF(ISNUMBER(SEARCH(" "&amp;Task!$A$13&amp;" "," "&amp;LOWER(D96&amp;" "&amp;C96&amp;" "&amp;LOWER(SUBSTITUTE(SUBSTITUTE(SUBSTITUTE(SUBSTITUTE(A96,"/"," "),"."," "),"\"," "),"_"," ")))&amp;" ")),1,0))+IF(Task!$A$14="",0,IF(ISNUMBER(SEARCH(" "&amp;Task!$A$14&amp;" "," "&amp;LOWER(D96&amp;" "&amp;C96&amp;" "&amp;LOWER(SUBSTITUTE(SUBSTITUTE(SUBSTITUTE(SUBSTITUTE(A96,"/"," "),"."," "),"\"," "),"_"," ")))&amp;" ")),1,0))+IF(Task!$A$15="",0,IF(ISNUMBER(SEARCH(" "&amp;Task!$A$15&amp;" "," "&amp;LOWER(D96&amp;" "&amp;C96&amp;" "&amp;LOWER(SUBSTITUTE(SUBSTITUTE(SUBSTITUTE(SUBSTITUTE(A96,"/"," "),"."," "),"\"," "),"_"," ")))&amp;" ")),1,0))+IF(Task!$A$16="",0,IF(ISNUMBER(SEARCH(" "&amp;Task!$A$16&amp;" "," "&amp;LOWER(D96&amp;" "&amp;C96&amp;" "&amp;LOWER(SUBSTITUTE(SUBSTITUTE(SUBSTITUTE(SUBSTITUTE(A96,"/"," "),"."," "),"\"," "),"_"," ")))&amp;" ")),1,0))+IF(Task!$A$17="",0,IF(ISNUMBER(SEARCH(" "&amp;Task!$A$17&amp;" "," "&amp;LOWER(D96&amp;" "&amp;C96&amp;" "&amp;LOWER(SUBSTITUTE(SUBSTITUTE(SUBSTITUTE(SUBSTITUTE(A96,"/"," "),"."," "),"\"," "),"_"," ")))&amp;" ")),1,0))+IF(Task!$A$18="",0,IF(ISNUMBER(SEARCH(" "&amp;Task!$A$18&amp;" "," "&amp;LOWER(D96&amp;" "&amp;C96&amp;" "&amp;LOWER(SUBSTITUTE(SUBSTITUTE(SUBSTITUTE(SUBSTITUTE(A96,"/"," "),"."," "),"\"," "),"_"," ")))&amp;" ")),1,0))+IF(Task!$A$19="",0,IF(ISNUMBER(SEARCH(" "&amp;Task!$A$19&amp;" "," "&amp;LOWER(D96&amp;" "&amp;C96&amp;" "&amp;LOWER(SUBSTITUTE(SUBSTITUTE(SUBSTITUTE(SUBSTITUTE(A96,"/"," "),"."," "),"\"," "),"_"," ")))&amp;" ")),1,0)))</f>
        <v/>
      </c>
      <c r="G96" s="9">
        <f>IF(E96=0,0,IF(Task!$A$8="",0,IF(ISNUMBER(SEARCH(" "&amp;Task!$A$8&amp;" "," "&amp;LOWER(C96)&amp;" ")),1,0))+IF(Task!$A$9="",0,IF(ISNUMBER(SEARCH(" "&amp;Task!$A$9&amp;" "," "&amp;LOWER(C96)&amp;" ")),1,0))+IF(Task!$A$10="",0,IF(ISNUMBER(SEARCH(" "&amp;Task!$A$10&amp;" "," "&amp;LOWER(C96)&amp;" ")),1,0))+IF(Task!$A$11="",0,IF(ISNUMBER(SEARCH(" "&amp;Task!$A$11&amp;" "," "&amp;LOWER(C96)&amp;" ")),1,0))+IF(Task!$A$12="",0,IF(ISNUMBER(SEARCH(" "&amp;Task!$A$12&amp;" "," "&amp;LOWER(C96)&amp;" ")),1,0))+IF(Task!$A$13="",0,IF(ISNUMBER(SEARCH(" "&amp;Task!$A$13&amp;" "," "&amp;LOWER(C96)&amp;" ")),1,0))+IF(Task!$A$14="",0,IF(ISNUMBER(SEARCH(" "&amp;Task!$A$14&amp;" "," "&amp;LOWER(C96)&amp;" ")),1,0))+IF(Task!$A$15="",0,IF(ISNUMBER(SEARCH(" "&amp;Task!$A$15&amp;" "," "&amp;LOWER(C96)&amp;" ")),1,0))+IF(Task!$A$16="",0,IF(ISNUMBER(SEARCH(" "&amp;Task!$A$16&amp;" "," "&amp;LOWER(C96)&amp;" ")),1,0))+IF(Task!$A$17="",0,IF(ISNUMBER(SEARCH(" "&amp;Task!$A$17&amp;" "," "&amp;LOWER(C96)&amp;" ")),1,0))+IF(Task!$A$18="",0,IF(ISNUMBER(SEARCH(" "&amp;Task!$A$18&amp;" "," "&amp;LOWER(C96)&amp;" ")),1,0))+IF(Task!$A$19="",0,IF(ISNUMBER(SEARCH(" "&amp;Task!$A$19&amp;" "," "&amp;LOWER(C96)&amp;" ")),1,0)))</f>
        <v/>
      </c>
      <c r="H96" s="9">
        <f>IF(E96=0,0,IF(Task!$A$8="",0,IF(ISNUMBER(SEARCH(" "&amp;Task!$A$8&amp;" "," "&amp;LOWER(SUBSTITUTE(SUBSTITUTE(SUBSTITUTE(SUBSTITUTE(A96,"/"," "),"."," "),"\"," "),"_"," "))&amp;" ")),1,0))+IF(Task!$A$9="",0,IF(ISNUMBER(SEARCH(" "&amp;Task!$A$9&amp;" "," "&amp;LOWER(SUBSTITUTE(SUBSTITUTE(SUBSTITUTE(SUBSTITUTE(A96,"/"," "),"."," "),"\"," "),"_"," "))&amp;" ")),1,0))+IF(Task!$A$10="",0,IF(ISNUMBER(SEARCH(" "&amp;Task!$A$10&amp;" "," "&amp;LOWER(SUBSTITUTE(SUBSTITUTE(SUBSTITUTE(SUBSTITUTE(A96,"/"," "),"."," "),"\"," "),"_"," "))&amp;" ")),1,0))+IF(Task!$A$11="",0,IF(ISNUMBER(SEARCH(" "&amp;Task!$A$11&amp;" "," "&amp;LOWER(SUBSTITUTE(SUBSTITUTE(SUBSTITUTE(SUBSTITUTE(A96,"/"," "),"."," "),"\"," "),"_"," "))&amp;" ")),1,0))+IF(Task!$A$12="",0,IF(ISNUMBER(SEARCH(" "&amp;Task!$A$12&amp;" "," "&amp;LOWER(SUBSTITUTE(SUBSTITUTE(SUBSTITUTE(SUBSTITUTE(A96,"/"," "),"."," "),"\"," "),"_"," "))&amp;" ")),1,0))+IF(Task!$A$13="",0,IF(ISNUMBER(SEARCH(" "&amp;Task!$A$13&amp;" "," "&amp;LOWER(SUBSTITUTE(SUBSTITUTE(SUBSTITUTE(SUBSTITUTE(A96,"/"," "),"."," "),"\"," "),"_"," "))&amp;" ")),1,0))+IF(Task!$A$14="",0,IF(ISNUMBER(SEARCH(" "&amp;Task!$A$14&amp;" "," "&amp;LOWER(SUBSTITUTE(SUBSTITUTE(SUBSTITUTE(SUBSTITUTE(A96,"/"," "),"."," "),"\"," "),"_"," "))&amp;" ")),1,0))+IF(Task!$A$15="",0,IF(ISNUMBER(SEARCH(" "&amp;Task!$A$15&amp;" "," "&amp;LOWER(SUBSTITUTE(SUBSTITUTE(SUBSTITUTE(SUBSTITUTE(A96,"/"," "),"."," "),"\"," "),"_"," "))&amp;" ")),1,0))+IF(Task!$A$16="",0,IF(ISNUMBER(SEARCH(" "&amp;Task!$A$16&amp;" "," "&amp;LOWER(SUBSTITUTE(SUBSTITUTE(SUBSTITUTE(SUBSTITUTE(A96,"/"," "),"."," "),"\"," "),"_"," "))&amp;" ")),1,0))+IF(Task!$A$17="",0,IF(ISNUMBER(SEARCH(" "&amp;Task!$A$17&amp;" "," "&amp;LOWER(SUBSTITUTE(SUBSTITUTE(SUBSTITUTE(SUBSTITUTE(A96,"/"," "),"."," "),"\"," "),"_"," "))&amp;" ")),1,0))+IF(Task!$A$18="",0,IF(ISNUMBER(SEARCH(" "&amp;Task!$A$18&amp;" "," "&amp;LOWER(SUBSTITUTE(SUBSTITUTE(SUBSTITUTE(SUBSTITUTE(A96,"/"," "),"."," "),"\"," "),"_"," "))&amp;" ")),1,0))+IF(Task!$A$19="",0,IF(ISNUMBER(SEARCH(" "&amp;Task!$A$19&amp;" "," "&amp;LOWER(SUBSTITUTE(SUBSTITUTE(SUBSTITUTE(SUBSTITUTE(A96,"/"," "),"."," "),"\"," "),"_"," "))&amp;" ")),1,0)))</f>
        <v/>
      </c>
      <c r="I96" s="10">
        <f>IF(OR(E96=0,F96=0,Task!$B$21=0),"",F96/Task!$B$21+0.5*G96+0.25*H96)</f>
        <v/>
      </c>
      <c r="J96" s="5">
        <f>IF(I96="","",I96-ROW()/1000000)</f>
        <v/>
      </c>
      <c r="K96" s="9">
        <f>IF(J96="","",COUNTIF($J$5:$J$404,"&gt;"&amp;J96)+1)</f>
        <v/>
      </c>
    </row>
    <row r="97">
      <c r="A97" s="7" t="n"/>
      <c r="B97" s="7" t="n"/>
      <c r="C97" s="7" t="n"/>
      <c r="D97" s="7" t="n"/>
      <c r="E97" s="5">
        <f>IF(A97="",0,IF(COUNTA(Task!$B$5:$E$5)=0,1,IF(COUNTIF(Task!$B$5:$E$5,B97)&gt;0,1,0)))</f>
        <v/>
      </c>
      <c r="F97" s="9">
        <f>IF(E97=0,0,IF(Task!$A$8="",0,IF(ISNUMBER(SEARCH(" "&amp;Task!$A$8&amp;" "," "&amp;LOWER(D97&amp;" "&amp;C97&amp;" "&amp;LOWER(SUBSTITUTE(SUBSTITUTE(SUBSTITUTE(SUBSTITUTE(A97,"/"," "),"."," "),"\"," "),"_"," ")))&amp;" ")),1,0))+IF(Task!$A$9="",0,IF(ISNUMBER(SEARCH(" "&amp;Task!$A$9&amp;" "," "&amp;LOWER(D97&amp;" "&amp;C97&amp;" "&amp;LOWER(SUBSTITUTE(SUBSTITUTE(SUBSTITUTE(SUBSTITUTE(A97,"/"," "),"."," "),"\"," "),"_"," ")))&amp;" ")),1,0))+IF(Task!$A$10="",0,IF(ISNUMBER(SEARCH(" "&amp;Task!$A$10&amp;" "," "&amp;LOWER(D97&amp;" "&amp;C97&amp;" "&amp;LOWER(SUBSTITUTE(SUBSTITUTE(SUBSTITUTE(SUBSTITUTE(A97,"/"," "),"."," "),"\"," "),"_"," ")))&amp;" ")),1,0))+IF(Task!$A$11="",0,IF(ISNUMBER(SEARCH(" "&amp;Task!$A$11&amp;" "," "&amp;LOWER(D97&amp;" "&amp;C97&amp;" "&amp;LOWER(SUBSTITUTE(SUBSTITUTE(SUBSTITUTE(SUBSTITUTE(A97,"/"," "),"."," "),"\"," "),"_"," ")))&amp;" ")),1,0))+IF(Task!$A$12="",0,IF(ISNUMBER(SEARCH(" "&amp;Task!$A$12&amp;" "," "&amp;LOWER(D97&amp;" "&amp;C97&amp;" "&amp;LOWER(SUBSTITUTE(SUBSTITUTE(SUBSTITUTE(SUBSTITUTE(A97,"/"," "),"."," "),"\"," "),"_"," ")))&amp;" ")),1,0))+IF(Task!$A$13="",0,IF(ISNUMBER(SEARCH(" "&amp;Task!$A$13&amp;" "," "&amp;LOWER(D97&amp;" "&amp;C97&amp;" "&amp;LOWER(SUBSTITUTE(SUBSTITUTE(SUBSTITUTE(SUBSTITUTE(A97,"/"," "),"."," "),"\"," "),"_"," ")))&amp;" ")),1,0))+IF(Task!$A$14="",0,IF(ISNUMBER(SEARCH(" "&amp;Task!$A$14&amp;" "," "&amp;LOWER(D97&amp;" "&amp;C97&amp;" "&amp;LOWER(SUBSTITUTE(SUBSTITUTE(SUBSTITUTE(SUBSTITUTE(A97,"/"," "),"."," "),"\"," "),"_"," ")))&amp;" ")),1,0))+IF(Task!$A$15="",0,IF(ISNUMBER(SEARCH(" "&amp;Task!$A$15&amp;" "," "&amp;LOWER(D97&amp;" "&amp;C97&amp;" "&amp;LOWER(SUBSTITUTE(SUBSTITUTE(SUBSTITUTE(SUBSTITUTE(A97,"/"," "),"."," "),"\"," "),"_"," ")))&amp;" ")),1,0))+IF(Task!$A$16="",0,IF(ISNUMBER(SEARCH(" "&amp;Task!$A$16&amp;" "," "&amp;LOWER(D97&amp;" "&amp;C97&amp;" "&amp;LOWER(SUBSTITUTE(SUBSTITUTE(SUBSTITUTE(SUBSTITUTE(A97,"/"," "),"."," "),"\"," "),"_"," ")))&amp;" ")),1,0))+IF(Task!$A$17="",0,IF(ISNUMBER(SEARCH(" "&amp;Task!$A$17&amp;" "," "&amp;LOWER(D97&amp;" "&amp;C97&amp;" "&amp;LOWER(SUBSTITUTE(SUBSTITUTE(SUBSTITUTE(SUBSTITUTE(A97,"/"," "),"."," "),"\"," "),"_"," ")))&amp;" ")),1,0))+IF(Task!$A$18="",0,IF(ISNUMBER(SEARCH(" "&amp;Task!$A$18&amp;" "," "&amp;LOWER(D97&amp;" "&amp;C97&amp;" "&amp;LOWER(SUBSTITUTE(SUBSTITUTE(SUBSTITUTE(SUBSTITUTE(A97,"/"," "),"."," "),"\"," "),"_"," ")))&amp;" ")),1,0))+IF(Task!$A$19="",0,IF(ISNUMBER(SEARCH(" "&amp;Task!$A$19&amp;" "," "&amp;LOWER(D97&amp;" "&amp;C97&amp;" "&amp;LOWER(SUBSTITUTE(SUBSTITUTE(SUBSTITUTE(SUBSTITUTE(A97,"/"," "),"."," "),"\"," "),"_"," ")))&amp;" ")),1,0)))</f>
        <v/>
      </c>
      <c r="G97" s="9">
        <f>IF(E97=0,0,IF(Task!$A$8="",0,IF(ISNUMBER(SEARCH(" "&amp;Task!$A$8&amp;" "," "&amp;LOWER(C97)&amp;" ")),1,0))+IF(Task!$A$9="",0,IF(ISNUMBER(SEARCH(" "&amp;Task!$A$9&amp;" "," "&amp;LOWER(C97)&amp;" ")),1,0))+IF(Task!$A$10="",0,IF(ISNUMBER(SEARCH(" "&amp;Task!$A$10&amp;" "," "&amp;LOWER(C97)&amp;" ")),1,0))+IF(Task!$A$11="",0,IF(ISNUMBER(SEARCH(" "&amp;Task!$A$11&amp;" "," "&amp;LOWER(C97)&amp;" ")),1,0))+IF(Task!$A$12="",0,IF(ISNUMBER(SEARCH(" "&amp;Task!$A$12&amp;" "," "&amp;LOWER(C97)&amp;" ")),1,0))+IF(Task!$A$13="",0,IF(ISNUMBER(SEARCH(" "&amp;Task!$A$13&amp;" "," "&amp;LOWER(C97)&amp;" ")),1,0))+IF(Task!$A$14="",0,IF(ISNUMBER(SEARCH(" "&amp;Task!$A$14&amp;" "," "&amp;LOWER(C97)&amp;" ")),1,0))+IF(Task!$A$15="",0,IF(ISNUMBER(SEARCH(" "&amp;Task!$A$15&amp;" "," "&amp;LOWER(C97)&amp;" ")),1,0))+IF(Task!$A$16="",0,IF(ISNUMBER(SEARCH(" "&amp;Task!$A$16&amp;" "," "&amp;LOWER(C97)&amp;" ")),1,0))+IF(Task!$A$17="",0,IF(ISNUMBER(SEARCH(" "&amp;Task!$A$17&amp;" "," "&amp;LOWER(C97)&amp;" ")),1,0))+IF(Task!$A$18="",0,IF(ISNUMBER(SEARCH(" "&amp;Task!$A$18&amp;" "," "&amp;LOWER(C97)&amp;" ")),1,0))+IF(Task!$A$19="",0,IF(ISNUMBER(SEARCH(" "&amp;Task!$A$19&amp;" "," "&amp;LOWER(C97)&amp;" ")),1,0)))</f>
        <v/>
      </c>
      <c r="H97" s="9">
        <f>IF(E97=0,0,IF(Task!$A$8="",0,IF(ISNUMBER(SEARCH(" "&amp;Task!$A$8&amp;" "," "&amp;LOWER(SUBSTITUTE(SUBSTITUTE(SUBSTITUTE(SUBSTITUTE(A97,"/"," "),"."," "),"\"," "),"_"," "))&amp;" ")),1,0))+IF(Task!$A$9="",0,IF(ISNUMBER(SEARCH(" "&amp;Task!$A$9&amp;" "," "&amp;LOWER(SUBSTITUTE(SUBSTITUTE(SUBSTITUTE(SUBSTITUTE(A97,"/"," "),"."," "),"\"," "),"_"," "))&amp;" ")),1,0))+IF(Task!$A$10="",0,IF(ISNUMBER(SEARCH(" "&amp;Task!$A$10&amp;" "," "&amp;LOWER(SUBSTITUTE(SUBSTITUTE(SUBSTITUTE(SUBSTITUTE(A97,"/"," "),"."," "),"\"," "),"_"," "))&amp;" ")),1,0))+IF(Task!$A$11="",0,IF(ISNUMBER(SEARCH(" "&amp;Task!$A$11&amp;" "," "&amp;LOWER(SUBSTITUTE(SUBSTITUTE(SUBSTITUTE(SUBSTITUTE(A97,"/"," "),"."," "),"\"," "),"_"," "))&amp;" ")),1,0))+IF(Task!$A$12="",0,IF(ISNUMBER(SEARCH(" "&amp;Task!$A$12&amp;" "," "&amp;LOWER(SUBSTITUTE(SUBSTITUTE(SUBSTITUTE(SUBSTITUTE(A97,"/"," "),"."," "),"\"," "),"_"," "))&amp;" ")),1,0))+IF(Task!$A$13="",0,IF(ISNUMBER(SEARCH(" "&amp;Task!$A$13&amp;" "," "&amp;LOWER(SUBSTITUTE(SUBSTITUTE(SUBSTITUTE(SUBSTITUTE(A97,"/"," "),"."," "),"\"," "),"_"," "))&amp;" ")),1,0))+IF(Task!$A$14="",0,IF(ISNUMBER(SEARCH(" "&amp;Task!$A$14&amp;" "," "&amp;LOWER(SUBSTITUTE(SUBSTITUTE(SUBSTITUTE(SUBSTITUTE(A97,"/"," "),"."," "),"\"," "),"_"," "))&amp;" ")),1,0))+IF(Task!$A$15="",0,IF(ISNUMBER(SEARCH(" "&amp;Task!$A$15&amp;" "," "&amp;LOWER(SUBSTITUTE(SUBSTITUTE(SUBSTITUTE(SUBSTITUTE(A97,"/"," "),"."," "),"\"," "),"_"," "))&amp;" ")),1,0))+IF(Task!$A$16="",0,IF(ISNUMBER(SEARCH(" "&amp;Task!$A$16&amp;" "," "&amp;LOWER(SUBSTITUTE(SUBSTITUTE(SUBSTITUTE(SUBSTITUTE(A97,"/"," "),"."," "),"\"," "),"_"," "))&amp;" ")),1,0))+IF(Task!$A$17="",0,IF(ISNUMBER(SEARCH(" "&amp;Task!$A$17&amp;" "," "&amp;LOWER(SUBSTITUTE(SUBSTITUTE(SUBSTITUTE(SUBSTITUTE(A97,"/"," "),"."," "),"\"," "),"_"," "))&amp;" ")),1,0))+IF(Task!$A$18="",0,IF(ISNUMBER(SEARCH(" "&amp;Task!$A$18&amp;" "," "&amp;LOWER(SUBSTITUTE(SUBSTITUTE(SUBSTITUTE(SUBSTITUTE(A97,"/"," "),"."," "),"\"," "),"_"," "))&amp;" ")),1,0))+IF(Task!$A$19="",0,IF(ISNUMBER(SEARCH(" "&amp;Task!$A$19&amp;" "," "&amp;LOWER(SUBSTITUTE(SUBSTITUTE(SUBSTITUTE(SUBSTITUTE(A97,"/"," "),"."," "),"\"," "),"_"," "))&amp;" ")),1,0)))</f>
        <v/>
      </c>
      <c r="I97" s="10">
        <f>IF(OR(E97=0,F97=0,Task!$B$21=0),"",F97/Task!$B$21+0.5*G97+0.25*H97)</f>
        <v/>
      </c>
      <c r="J97" s="5">
        <f>IF(I97="","",I97-ROW()/1000000)</f>
        <v/>
      </c>
      <c r="K97" s="9">
        <f>IF(J97="","",COUNTIF($J$5:$J$404,"&gt;"&amp;J97)+1)</f>
        <v/>
      </c>
    </row>
    <row r="98">
      <c r="A98" s="7" t="n"/>
      <c r="B98" s="7" t="n"/>
      <c r="C98" s="7" t="n"/>
      <c r="D98" s="7" t="n"/>
      <c r="E98" s="5">
        <f>IF(A98="",0,IF(COUNTA(Task!$B$5:$E$5)=0,1,IF(COUNTIF(Task!$B$5:$E$5,B98)&gt;0,1,0)))</f>
        <v/>
      </c>
      <c r="F98" s="9">
        <f>IF(E98=0,0,IF(Task!$A$8="",0,IF(ISNUMBER(SEARCH(" "&amp;Task!$A$8&amp;" "," "&amp;LOWER(D98&amp;" "&amp;C98&amp;" "&amp;LOWER(SUBSTITUTE(SUBSTITUTE(SUBSTITUTE(SUBSTITUTE(A98,"/"," "),"."," "),"\"," "),"_"," ")))&amp;" ")),1,0))+IF(Task!$A$9="",0,IF(ISNUMBER(SEARCH(" "&amp;Task!$A$9&amp;" "," "&amp;LOWER(D98&amp;" "&amp;C98&amp;" "&amp;LOWER(SUBSTITUTE(SUBSTITUTE(SUBSTITUTE(SUBSTITUTE(A98,"/"," "),"."," "),"\"," "),"_"," ")))&amp;" ")),1,0))+IF(Task!$A$10="",0,IF(ISNUMBER(SEARCH(" "&amp;Task!$A$10&amp;" "," "&amp;LOWER(D98&amp;" "&amp;C98&amp;" "&amp;LOWER(SUBSTITUTE(SUBSTITUTE(SUBSTITUTE(SUBSTITUTE(A98,"/"," "),"."," "),"\"," "),"_"," ")))&amp;" ")),1,0))+IF(Task!$A$11="",0,IF(ISNUMBER(SEARCH(" "&amp;Task!$A$11&amp;" "," "&amp;LOWER(D98&amp;" "&amp;C98&amp;" "&amp;LOWER(SUBSTITUTE(SUBSTITUTE(SUBSTITUTE(SUBSTITUTE(A98,"/"," "),"."," "),"\"," "),"_"," ")))&amp;" ")),1,0))+IF(Task!$A$12="",0,IF(ISNUMBER(SEARCH(" "&amp;Task!$A$12&amp;" "," "&amp;LOWER(D98&amp;" "&amp;C98&amp;" "&amp;LOWER(SUBSTITUTE(SUBSTITUTE(SUBSTITUTE(SUBSTITUTE(A98,"/"," "),"."," "),"\"," "),"_"," ")))&amp;" ")),1,0))+IF(Task!$A$13="",0,IF(ISNUMBER(SEARCH(" "&amp;Task!$A$13&amp;" "," "&amp;LOWER(D98&amp;" "&amp;C98&amp;" "&amp;LOWER(SUBSTITUTE(SUBSTITUTE(SUBSTITUTE(SUBSTITUTE(A98,"/"," "),"."," "),"\"," "),"_"," ")))&amp;" ")),1,0))+IF(Task!$A$14="",0,IF(ISNUMBER(SEARCH(" "&amp;Task!$A$14&amp;" "," "&amp;LOWER(D98&amp;" "&amp;C98&amp;" "&amp;LOWER(SUBSTITUTE(SUBSTITUTE(SUBSTITUTE(SUBSTITUTE(A98,"/"," "),"."," "),"\"," "),"_"," ")))&amp;" ")),1,0))+IF(Task!$A$15="",0,IF(ISNUMBER(SEARCH(" "&amp;Task!$A$15&amp;" "," "&amp;LOWER(D98&amp;" "&amp;C98&amp;" "&amp;LOWER(SUBSTITUTE(SUBSTITUTE(SUBSTITUTE(SUBSTITUTE(A98,"/"," "),"."," "),"\"," "),"_"," ")))&amp;" ")),1,0))+IF(Task!$A$16="",0,IF(ISNUMBER(SEARCH(" "&amp;Task!$A$16&amp;" "," "&amp;LOWER(D98&amp;" "&amp;C98&amp;" "&amp;LOWER(SUBSTITUTE(SUBSTITUTE(SUBSTITUTE(SUBSTITUTE(A98,"/"," "),"."," "),"\"," "),"_"," ")))&amp;" ")),1,0))+IF(Task!$A$17="",0,IF(ISNUMBER(SEARCH(" "&amp;Task!$A$17&amp;" "," "&amp;LOWER(D98&amp;" "&amp;C98&amp;" "&amp;LOWER(SUBSTITUTE(SUBSTITUTE(SUBSTITUTE(SUBSTITUTE(A98,"/"," "),"."," "),"\"," "),"_"," ")))&amp;" ")),1,0))+IF(Task!$A$18="",0,IF(ISNUMBER(SEARCH(" "&amp;Task!$A$18&amp;" "," "&amp;LOWER(D98&amp;" "&amp;C98&amp;" "&amp;LOWER(SUBSTITUTE(SUBSTITUTE(SUBSTITUTE(SUBSTITUTE(A98,"/"," "),"."," "),"\"," "),"_"," ")))&amp;" ")),1,0))+IF(Task!$A$19="",0,IF(ISNUMBER(SEARCH(" "&amp;Task!$A$19&amp;" "," "&amp;LOWER(D98&amp;" "&amp;C98&amp;" "&amp;LOWER(SUBSTITUTE(SUBSTITUTE(SUBSTITUTE(SUBSTITUTE(A98,"/"," "),"."," "),"\"," "),"_"," ")))&amp;" ")),1,0)))</f>
        <v/>
      </c>
      <c r="G98" s="9">
        <f>IF(E98=0,0,IF(Task!$A$8="",0,IF(ISNUMBER(SEARCH(" "&amp;Task!$A$8&amp;" "," "&amp;LOWER(C98)&amp;" ")),1,0))+IF(Task!$A$9="",0,IF(ISNUMBER(SEARCH(" "&amp;Task!$A$9&amp;" "," "&amp;LOWER(C98)&amp;" ")),1,0))+IF(Task!$A$10="",0,IF(ISNUMBER(SEARCH(" "&amp;Task!$A$10&amp;" "," "&amp;LOWER(C98)&amp;" ")),1,0))+IF(Task!$A$11="",0,IF(ISNUMBER(SEARCH(" "&amp;Task!$A$11&amp;" "," "&amp;LOWER(C98)&amp;" ")),1,0))+IF(Task!$A$12="",0,IF(ISNUMBER(SEARCH(" "&amp;Task!$A$12&amp;" "," "&amp;LOWER(C98)&amp;" ")),1,0))+IF(Task!$A$13="",0,IF(ISNUMBER(SEARCH(" "&amp;Task!$A$13&amp;" "," "&amp;LOWER(C98)&amp;" ")),1,0))+IF(Task!$A$14="",0,IF(ISNUMBER(SEARCH(" "&amp;Task!$A$14&amp;" "," "&amp;LOWER(C98)&amp;" ")),1,0))+IF(Task!$A$15="",0,IF(ISNUMBER(SEARCH(" "&amp;Task!$A$15&amp;" "," "&amp;LOWER(C98)&amp;" ")),1,0))+IF(Task!$A$16="",0,IF(ISNUMBER(SEARCH(" "&amp;Task!$A$16&amp;" "," "&amp;LOWER(C98)&amp;" ")),1,0))+IF(Task!$A$17="",0,IF(ISNUMBER(SEARCH(" "&amp;Task!$A$17&amp;" "," "&amp;LOWER(C98)&amp;" ")),1,0))+IF(Task!$A$18="",0,IF(ISNUMBER(SEARCH(" "&amp;Task!$A$18&amp;" "," "&amp;LOWER(C98)&amp;" ")),1,0))+IF(Task!$A$19="",0,IF(ISNUMBER(SEARCH(" "&amp;Task!$A$19&amp;" "," "&amp;LOWER(C98)&amp;" ")),1,0)))</f>
        <v/>
      </c>
      <c r="H98" s="9">
        <f>IF(E98=0,0,IF(Task!$A$8="",0,IF(ISNUMBER(SEARCH(" "&amp;Task!$A$8&amp;" "," "&amp;LOWER(SUBSTITUTE(SUBSTITUTE(SUBSTITUTE(SUBSTITUTE(A98,"/"," "),"."," "),"\"," "),"_"," "))&amp;" ")),1,0))+IF(Task!$A$9="",0,IF(ISNUMBER(SEARCH(" "&amp;Task!$A$9&amp;" "," "&amp;LOWER(SUBSTITUTE(SUBSTITUTE(SUBSTITUTE(SUBSTITUTE(A98,"/"," "),"."," "),"\"," "),"_"," "))&amp;" ")),1,0))+IF(Task!$A$10="",0,IF(ISNUMBER(SEARCH(" "&amp;Task!$A$10&amp;" "," "&amp;LOWER(SUBSTITUTE(SUBSTITUTE(SUBSTITUTE(SUBSTITUTE(A98,"/"," "),"."," "),"\"," "),"_"," "))&amp;" ")),1,0))+IF(Task!$A$11="",0,IF(ISNUMBER(SEARCH(" "&amp;Task!$A$11&amp;" "," "&amp;LOWER(SUBSTITUTE(SUBSTITUTE(SUBSTITUTE(SUBSTITUTE(A98,"/"," "),"."," "),"\"," "),"_"," "))&amp;" ")),1,0))+IF(Task!$A$12="",0,IF(ISNUMBER(SEARCH(" "&amp;Task!$A$12&amp;" "," "&amp;LOWER(SUBSTITUTE(SUBSTITUTE(SUBSTITUTE(SUBSTITUTE(A98,"/"," "),"."," "),"\"," "),"_"," "))&amp;" ")),1,0))+IF(Task!$A$13="",0,IF(ISNUMBER(SEARCH(" "&amp;Task!$A$13&amp;" "," "&amp;LOWER(SUBSTITUTE(SUBSTITUTE(SUBSTITUTE(SUBSTITUTE(A98,"/"," "),"."," "),"\"," "),"_"," "))&amp;" ")),1,0))+IF(Task!$A$14="",0,IF(ISNUMBER(SEARCH(" "&amp;Task!$A$14&amp;" "," "&amp;LOWER(SUBSTITUTE(SUBSTITUTE(SUBSTITUTE(SUBSTITUTE(A98,"/"," "),"."," "),"\"," "),"_"," "))&amp;" ")),1,0))+IF(Task!$A$15="",0,IF(ISNUMBER(SEARCH(" "&amp;Task!$A$15&amp;" "," "&amp;LOWER(SUBSTITUTE(SUBSTITUTE(SUBSTITUTE(SUBSTITUTE(A98,"/"," "),"."," "),"\"," "),"_"," "))&amp;" ")),1,0))+IF(Task!$A$16="",0,IF(ISNUMBER(SEARCH(" "&amp;Task!$A$16&amp;" "," "&amp;LOWER(SUBSTITUTE(SUBSTITUTE(SUBSTITUTE(SUBSTITUTE(A98,"/"," "),"."," "),"\"," "),"_"," "))&amp;" ")),1,0))+IF(Task!$A$17="",0,IF(ISNUMBER(SEARCH(" "&amp;Task!$A$17&amp;" "," "&amp;LOWER(SUBSTITUTE(SUBSTITUTE(SUBSTITUTE(SUBSTITUTE(A98,"/"," "),"."," "),"\"," "),"_"," "))&amp;" ")),1,0))+IF(Task!$A$18="",0,IF(ISNUMBER(SEARCH(" "&amp;Task!$A$18&amp;" "," "&amp;LOWER(SUBSTITUTE(SUBSTITUTE(SUBSTITUTE(SUBSTITUTE(A98,"/"," "),"."," "),"\"," "),"_"," "))&amp;" ")),1,0))+IF(Task!$A$19="",0,IF(ISNUMBER(SEARCH(" "&amp;Task!$A$19&amp;" "," "&amp;LOWER(SUBSTITUTE(SUBSTITUTE(SUBSTITUTE(SUBSTITUTE(A98,"/"," "),"."," "),"\"," "),"_"," "))&amp;" ")),1,0)))</f>
        <v/>
      </c>
      <c r="I98" s="10">
        <f>IF(OR(E98=0,F98=0,Task!$B$21=0),"",F98/Task!$B$21+0.5*G98+0.25*H98)</f>
        <v/>
      </c>
      <c r="J98" s="5">
        <f>IF(I98="","",I98-ROW()/1000000)</f>
        <v/>
      </c>
      <c r="K98" s="9">
        <f>IF(J98="","",COUNTIF($J$5:$J$404,"&gt;"&amp;J98)+1)</f>
        <v/>
      </c>
    </row>
    <row r="99">
      <c r="A99" s="7" t="n"/>
      <c r="B99" s="7" t="n"/>
      <c r="C99" s="7" t="n"/>
      <c r="D99" s="7" t="n"/>
      <c r="E99" s="5">
        <f>IF(A99="",0,IF(COUNTA(Task!$B$5:$E$5)=0,1,IF(COUNTIF(Task!$B$5:$E$5,B99)&gt;0,1,0)))</f>
        <v/>
      </c>
      <c r="F99" s="9">
        <f>IF(E99=0,0,IF(Task!$A$8="",0,IF(ISNUMBER(SEARCH(" "&amp;Task!$A$8&amp;" "," "&amp;LOWER(D99&amp;" "&amp;C99&amp;" "&amp;LOWER(SUBSTITUTE(SUBSTITUTE(SUBSTITUTE(SUBSTITUTE(A99,"/"," "),"."," "),"\"," "),"_"," ")))&amp;" ")),1,0))+IF(Task!$A$9="",0,IF(ISNUMBER(SEARCH(" "&amp;Task!$A$9&amp;" "," "&amp;LOWER(D99&amp;" "&amp;C99&amp;" "&amp;LOWER(SUBSTITUTE(SUBSTITUTE(SUBSTITUTE(SUBSTITUTE(A99,"/"," "),"."," "),"\"," "),"_"," ")))&amp;" ")),1,0))+IF(Task!$A$10="",0,IF(ISNUMBER(SEARCH(" "&amp;Task!$A$10&amp;" "," "&amp;LOWER(D99&amp;" "&amp;C99&amp;" "&amp;LOWER(SUBSTITUTE(SUBSTITUTE(SUBSTITUTE(SUBSTITUTE(A99,"/"," "),"."," "),"\"," "),"_"," ")))&amp;" ")),1,0))+IF(Task!$A$11="",0,IF(ISNUMBER(SEARCH(" "&amp;Task!$A$11&amp;" "," "&amp;LOWER(D99&amp;" "&amp;C99&amp;" "&amp;LOWER(SUBSTITUTE(SUBSTITUTE(SUBSTITUTE(SUBSTITUTE(A99,"/"," "),"."," "),"\"," "),"_"," ")))&amp;" ")),1,0))+IF(Task!$A$12="",0,IF(ISNUMBER(SEARCH(" "&amp;Task!$A$12&amp;" "," "&amp;LOWER(D99&amp;" "&amp;C99&amp;" "&amp;LOWER(SUBSTITUTE(SUBSTITUTE(SUBSTITUTE(SUBSTITUTE(A99,"/"," "),"."," "),"\"," "),"_"," ")))&amp;" ")),1,0))+IF(Task!$A$13="",0,IF(ISNUMBER(SEARCH(" "&amp;Task!$A$13&amp;" "," "&amp;LOWER(D99&amp;" "&amp;C99&amp;" "&amp;LOWER(SUBSTITUTE(SUBSTITUTE(SUBSTITUTE(SUBSTITUTE(A99,"/"," "),"."," "),"\"," "),"_"," ")))&amp;" ")),1,0))+IF(Task!$A$14="",0,IF(ISNUMBER(SEARCH(" "&amp;Task!$A$14&amp;" "," "&amp;LOWER(D99&amp;" "&amp;C99&amp;" "&amp;LOWER(SUBSTITUTE(SUBSTITUTE(SUBSTITUTE(SUBSTITUTE(A99,"/"," "),"."," "),"\"," "),"_"," ")))&amp;" ")),1,0))+IF(Task!$A$15="",0,IF(ISNUMBER(SEARCH(" "&amp;Task!$A$15&amp;" "," "&amp;LOWER(D99&amp;" "&amp;C99&amp;" "&amp;LOWER(SUBSTITUTE(SUBSTITUTE(SUBSTITUTE(SUBSTITUTE(A99,"/"," "),"."," "),"\"," "),"_"," ")))&amp;" ")),1,0))+IF(Task!$A$16="",0,IF(ISNUMBER(SEARCH(" "&amp;Task!$A$16&amp;" "," "&amp;LOWER(D99&amp;" "&amp;C99&amp;" "&amp;LOWER(SUBSTITUTE(SUBSTITUTE(SUBSTITUTE(SUBSTITUTE(A99,"/"," "),"."," "),"\"," "),"_"," ")))&amp;" ")),1,0))+IF(Task!$A$17="",0,IF(ISNUMBER(SEARCH(" "&amp;Task!$A$17&amp;" "," "&amp;LOWER(D99&amp;" "&amp;C99&amp;" "&amp;LOWER(SUBSTITUTE(SUBSTITUTE(SUBSTITUTE(SUBSTITUTE(A99,"/"," "),"."," "),"\"," "),"_"," ")))&amp;" ")),1,0))+IF(Task!$A$18="",0,IF(ISNUMBER(SEARCH(" "&amp;Task!$A$18&amp;" "," "&amp;LOWER(D99&amp;" "&amp;C99&amp;" "&amp;LOWER(SUBSTITUTE(SUBSTITUTE(SUBSTITUTE(SUBSTITUTE(A99,"/"," "),"."," "),"\"," "),"_"," ")))&amp;" ")),1,0))+IF(Task!$A$19="",0,IF(ISNUMBER(SEARCH(" "&amp;Task!$A$19&amp;" "," "&amp;LOWER(D99&amp;" "&amp;C99&amp;" "&amp;LOWER(SUBSTITUTE(SUBSTITUTE(SUBSTITUTE(SUBSTITUTE(A99,"/"," "),"."," "),"\"," "),"_"," ")))&amp;" ")),1,0)))</f>
        <v/>
      </c>
      <c r="G99" s="9">
        <f>IF(E99=0,0,IF(Task!$A$8="",0,IF(ISNUMBER(SEARCH(" "&amp;Task!$A$8&amp;" "," "&amp;LOWER(C99)&amp;" ")),1,0))+IF(Task!$A$9="",0,IF(ISNUMBER(SEARCH(" "&amp;Task!$A$9&amp;" "," "&amp;LOWER(C99)&amp;" ")),1,0))+IF(Task!$A$10="",0,IF(ISNUMBER(SEARCH(" "&amp;Task!$A$10&amp;" "," "&amp;LOWER(C99)&amp;" ")),1,0))+IF(Task!$A$11="",0,IF(ISNUMBER(SEARCH(" "&amp;Task!$A$11&amp;" "," "&amp;LOWER(C99)&amp;" ")),1,0))+IF(Task!$A$12="",0,IF(ISNUMBER(SEARCH(" "&amp;Task!$A$12&amp;" "," "&amp;LOWER(C99)&amp;" ")),1,0))+IF(Task!$A$13="",0,IF(ISNUMBER(SEARCH(" "&amp;Task!$A$13&amp;" "," "&amp;LOWER(C99)&amp;" ")),1,0))+IF(Task!$A$14="",0,IF(ISNUMBER(SEARCH(" "&amp;Task!$A$14&amp;" "," "&amp;LOWER(C99)&amp;" ")),1,0))+IF(Task!$A$15="",0,IF(ISNUMBER(SEARCH(" "&amp;Task!$A$15&amp;" "," "&amp;LOWER(C99)&amp;" ")),1,0))+IF(Task!$A$16="",0,IF(ISNUMBER(SEARCH(" "&amp;Task!$A$16&amp;" "," "&amp;LOWER(C99)&amp;" ")),1,0))+IF(Task!$A$17="",0,IF(ISNUMBER(SEARCH(" "&amp;Task!$A$17&amp;" "," "&amp;LOWER(C99)&amp;" ")),1,0))+IF(Task!$A$18="",0,IF(ISNUMBER(SEARCH(" "&amp;Task!$A$18&amp;" "," "&amp;LOWER(C99)&amp;" ")),1,0))+IF(Task!$A$19="",0,IF(ISNUMBER(SEARCH(" "&amp;Task!$A$19&amp;" "," "&amp;LOWER(C99)&amp;" ")),1,0)))</f>
        <v/>
      </c>
      <c r="H99" s="9">
        <f>IF(E99=0,0,IF(Task!$A$8="",0,IF(ISNUMBER(SEARCH(" "&amp;Task!$A$8&amp;" "," "&amp;LOWER(SUBSTITUTE(SUBSTITUTE(SUBSTITUTE(SUBSTITUTE(A99,"/"," "),"."," "),"\"," "),"_"," "))&amp;" ")),1,0))+IF(Task!$A$9="",0,IF(ISNUMBER(SEARCH(" "&amp;Task!$A$9&amp;" "," "&amp;LOWER(SUBSTITUTE(SUBSTITUTE(SUBSTITUTE(SUBSTITUTE(A99,"/"," "),"."," "),"\"," "),"_"," "))&amp;" ")),1,0))+IF(Task!$A$10="",0,IF(ISNUMBER(SEARCH(" "&amp;Task!$A$10&amp;" "," "&amp;LOWER(SUBSTITUTE(SUBSTITUTE(SUBSTITUTE(SUBSTITUTE(A99,"/"," "),"."," "),"\"," "),"_"," "))&amp;" ")),1,0))+IF(Task!$A$11="",0,IF(ISNUMBER(SEARCH(" "&amp;Task!$A$11&amp;" "," "&amp;LOWER(SUBSTITUTE(SUBSTITUTE(SUBSTITUTE(SUBSTITUTE(A99,"/"," "),"."," "),"\"," "),"_"," "))&amp;" ")),1,0))+IF(Task!$A$12="",0,IF(ISNUMBER(SEARCH(" "&amp;Task!$A$12&amp;" "," "&amp;LOWER(SUBSTITUTE(SUBSTITUTE(SUBSTITUTE(SUBSTITUTE(A99,"/"," "),"."," "),"\"," "),"_"," "))&amp;" ")),1,0))+IF(Task!$A$13="",0,IF(ISNUMBER(SEARCH(" "&amp;Task!$A$13&amp;" "," "&amp;LOWER(SUBSTITUTE(SUBSTITUTE(SUBSTITUTE(SUBSTITUTE(A99,"/"," "),"."," "),"\"," "),"_"," "))&amp;" ")),1,0))+IF(Task!$A$14="",0,IF(ISNUMBER(SEARCH(" "&amp;Task!$A$14&amp;" "," "&amp;LOWER(SUBSTITUTE(SUBSTITUTE(SUBSTITUTE(SUBSTITUTE(A99,"/"," "),"."," "),"\"," "),"_"," "))&amp;" ")),1,0))+IF(Task!$A$15="",0,IF(ISNUMBER(SEARCH(" "&amp;Task!$A$15&amp;" "," "&amp;LOWER(SUBSTITUTE(SUBSTITUTE(SUBSTITUTE(SUBSTITUTE(A99,"/"," "),"."," "),"\"," "),"_"," "))&amp;" ")),1,0))+IF(Task!$A$16="",0,IF(ISNUMBER(SEARCH(" "&amp;Task!$A$16&amp;" "," "&amp;LOWER(SUBSTITUTE(SUBSTITUTE(SUBSTITUTE(SUBSTITUTE(A99,"/"," "),"."," "),"\"," "),"_"," "))&amp;" ")),1,0))+IF(Task!$A$17="",0,IF(ISNUMBER(SEARCH(" "&amp;Task!$A$17&amp;" "," "&amp;LOWER(SUBSTITUTE(SUBSTITUTE(SUBSTITUTE(SUBSTITUTE(A99,"/"," "),"."," "),"\"," "),"_"," "))&amp;" ")),1,0))+IF(Task!$A$18="",0,IF(ISNUMBER(SEARCH(" "&amp;Task!$A$18&amp;" "," "&amp;LOWER(SUBSTITUTE(SUBSTITUTE(SUBSTITUTE(SUBSTITUTE(A99,"/"," "),"."," "),"\"," "),"_"," "))&amp;" ")),1,0))+IF(Task!$A$19="",0,IF(ISNUMBER(SEARCH(" "&amp;Task!$A$19&amp;" "," "&amp;LOWER(SUBSTITUTE(SUBSTITUTE(SUBSTITUTE(SUBSTITUTE(A99,"/"," "),"."," "),"\"," "),"_"," "))&amp;" ")),1,0)))</f>
        <v/>
      </c>
      <c r="I99" s="10">
        <f>IF(OR(E99=0,F99=0,Task!$B$21=0),"",F99/Task!$B$21+0.5*G99+0.25*H99)</f>
        <v/>
      </c>
      <c r="J99" s="5">
        <f>IF(I99="","",I99-ROW()/1000000)</f>
        <v/>
      </c>
      <c r="K99" s="9">
        <f>IF(J99="","",COUNTIF($J$5:$J$404,"&gt;"&amp;J99)+1)</f>
        <v/>
      </c>
    </row>
    <row r="100">
      <c r="A100" s="7" t="n"/>
      <c r="B100" s="7" t="n"/>
      <c r="C100" s="7" t="n"/>
      <c r="D100" s="7" t="n"/>
      <c r="E100" s="5">
        <f>IF(A100="",0,IF(COUNTA(Task!$B$5:$E$5)=0,1,IF(COUNTIF(Task!$B$5:$E$5,B100)&gt;0,1,0)))</f>
        <v/>
      </c>
      <c r="F100" s="9">
        <f>IF(E100=0,0,IF(Task!$A$8="",0,IF(ISNUMBER(SEARCH(" "&amp;Task!$A$8&amp;" "," "&amp;LOWER(D100&amp;" "&amp;C100&amp;" "&amp;LOWER(SUBSTITUTE(SUBSTITUTE(SUBSTITUTE(SUBSTITUTE(A100,"/"," "),"."," "),"\"," "),"_"," ")))&amp;" ")),1,0))+IF(Task!$A$9="",0,IF(ISNUMBER(SEARCH(" "&amp;Task!$A$9&amp;" "," "&amp;LOWER(D100&amp;" "&amp;C100&amp;" "&amp;LOWER(SUBSTITUTE(SUBSTITUTE(SUBSTITUTE(SUBSTITUTE(A100,"/"," "),"."," "),"\"," "),"_"," ")))&amp;" ")),1,0))+IF(Task!$A$10="",0,IF(ISNUMBER(SEARCH(" "&amp;Task!$A$10&amp;" "," "&amp;LOWER(D100&amp;" "&amp;C100&amp;" "&amp;LOWER(SUBSTITUTE(SUBSTITUTE(SUBSTITUTE(SUBSTITUTE(A100,"/"," "),"."," "),"\"," "),"_"," ")))&amp;" ")),1,0))+IF(Task!$A$11="",0,IF(ISNUMBER(SEARCH(" "&amp;Task!$A$11&amp;" "," "&amp;LOWER(D100&amp;" "&amp;C100&amp;" "&amp;LOWER(SUBSTITUTE(SUBSTITUTE(SUBSTITUTE(SUBSTITUTE(A100,"/"," "),"."," "),"\"," "),"_"," ")))&amp;" ")),1,0))+IF(Task!$A$12="",0,IF(ISNUMBER(SEARCH(" "&amp;Task!$A$12&amp;" "," "&amp;LOWER(D100&amp;" "&amp;C100&amp;" "&amp;LOWER(SUBSTITUTE(SUBSTITUTE(SUBSTITUTE(SUBSTITUTE(A100,"/"," "),"."," "),"\"," "),"_"," ")))&amp;" ")),1,0))+IF(Task!$A$13="",0,IF(ISNUMBER(SEARCH(" "&amp;Task!$A$13&amp;" "," "&amp;LOWER(D100&amp;" "&amp;C100&amp;" "&amp;LOWER(SUBSTITUTE(SUBSTITUTE(SUBSTITUTE(SUBSTITUTE(A100,"/"," "),"."," "),"\"," "),"_"," ")))&amp;" ")),1,0))+IF(Task!$A$14="",0,IF(ISNUMBER(SEARCH(" "&amp;Task!$A$14&amp;" "," "&amp;LOWER(D100&amp;" "&amp;C100&amp;" "&amp;LOWER(SUBSTITUTE(SUBSTITUTE(SUBSTITUTE(SUBSTITUTE(A100,"/"," "),"."," "),"\"," "),"_"," ")))&amp;" ")),1,0))+IF(Task!$A$15="",0,IF(ISNUMBER(SEARCH(" "&amp;Task!$A$15&amp;" "," "&amp;LOWER(D100&amp;" "&amp;C100&amp;" "&amp;LOWER(SUBSTITUTE(SUBSTITUTE(SUBSTITUTE(SUBSTITUTE(A100,"/"," "),"."," "),"\"," "),"_"," ")))&amp;" ")),1,0))+IF(Task!$A$16="",0,IF(ISNUMBER(SEARCH(" "&amp;Task!$A$16&amp;" "," "&amp;LOWER(D100&amp;" "&amp;C100&amp;" "&amp;LOWER(SUBSTITUTE(SUBSTITUTE(SUBSTITUTE(SUBSTITUTE(A100,"/"," "),"."," "),"\"," "),"_"," ")))&amp;" ")),1,0))+IF(Task!$A$17="",0,IF(ISNUMBER(SEARCH(" "&amp;Task!$A$17&amp;" "," "&amp;LOWER(D100&amp;" "&amp;C100&amp;" "&amp;LOWER(SUBSTITUTE(SUBSTITUTE(SUBSTITUTE(SUBSTITUTE(A100,"/"," "),"."," "),"\"," "),"_"," ")))&amp;" ")),1,0))+IF(Task!$A$18="",0,IF(ISNUMBER(SEARCH(" "&amp;Task!$A$18&amp;" "," "&amp;LOWER(D100&amp;" "&amp;C100&amp;" "&amp;LOWER(SUBSTITUTE(SUBSTITUTE(SUBSTITUTE(SUBSTITUTE(A100,"/"," "),"."," "),"\"," "),"_"," ")))&amp;" ")),1,0))+IF(Task!$A$19="",0,IF(ISNUMBER(SEARCH(" "&amp;Task!$A$19&amp;" "," "&amp;LOWER(D100&amp;" "&amp;C100&amp;" "&amp;LOWER(SUBSTITUTE(SUBSTITUTE(SUBSTITUTE(SUBSTITUTE(A100,"/"," "),"."," "),"\"," "),"_"," ")))&amp;" ")),1,0)))</f>
        <v/>
      </c>
      <c r="G100" s="9">
        <f>IF(E100=0,0,IF(Task!$A$8="",0,IF(ISNUMBER(SEARCH(" "&amp;Task!$A$8&amp;" "," "&amp;LOWER(C100)&amp;" ")),1,0))+IF(Task!$A$9="",0,IF(ISNUMBER(SEARCH(" "&amp;Task!$A$9&amp;" "," "&amp;LOWER(C100)&amp;" ")),1,0))+IF(Task!$A$10="",0,IF(ISNUMBER(SEARCH(" "&amp;Task!$A$10&amp;" "," "&amp;LOWER(C100)&amp;" ")),1,0))+IF(Task!$A$11="",0,IF(ISNUMBER(SEARCH(" "&amp;Task!$A$11&amp;" "," "&amp;LOWER(C100)&amp;" ")),1,0))+IF(Task!$A$12="",0,IF(ISNUMBER(SEARCH(" "&amp;Task!$A$12&amp;" "," "&amp;LOWER(C100)&amp;" ")),1,0))+IF(Task!$A$13="",0,IF(ISNUMBER(SEARCH(" "&amp;Task!$A$13&amp;" "," "&amp;LOWER(C100)&amp;" ")),1,0))+IF(Task!$A$14="",0,IF(ISNUMBER(SEARCH(" "&amp;Task!$A$14&amp;" "," "&amp;LOWER(C100)&amp;" ")),1,0))+IF(Task!$A$15="",0,IF(ISNUMBER(SEARCH(" "&amp;Task!$A$15&amp;" "," "&amp;LOWER(C100)&amp;" ")),1,0))+IF(Task!$A$16="",0,IF(ISNUMBER(SEARCH(" "&amp;Task!$A$16&amp;" "," "&amp;LOWER(C100)&amp;" ")),1,0))+IF(Task!$A$17="",0,IF(ISNUMBER(SEARCH(" "&amp;Task!$A$17&amp;" "," "&amp;LOWER(C100)&amp;" ")),1,0))+IF(Task!$A$18="",0,IF(ISNUMBER(SEARCH(" "&amp;Task!$A$18&amp;" "," "&amp;LOWER(C100)&amp;" ")),1,0))+IF(Task!$A$19="",0,IF(ISNUMBER(SEARCH(" "&amp;Task!$A$19&amp;" "," "&amp;LOWER(C100)&amp;" ")),1,0)))</f>
        <v/>
      </c>
      <c r="H100" s="9">
        <f>IF(E100=0,0,IF(Task!$A$8="",0,IF(ISNUMBER(SEARCH(" "&amp;Task!$A$8&amp;" "," "&amp;LOWER(SUBSTITUTE(SUBSTITUTE(SUBSTITUTE(SUBSTITUTE(A100,"/"," "),"."," "),"\"," "),"_"," "))&amp;" ")),1,0))+IF(Task!$A$9="",0,IF(ISNUMBER(SEARCH(" "&amp;Task!$A$9&amp;" "," "&amp;LOWER(SUBSTITUTE(SUBSTITUTE(SUBSTITUTE(SUBSTITUTE(A100,"/"," "),"."," "),"\"," "),"_"," "))&amp;" ")),1,0))+IF(Task!$A$10="",0,IF(ISNUMBER(SEARCH(" "&amp;Task!$A$10&amp;" "," "&amp;LOWER(SUBSTITUTE(SUBSTITUTE(SUBSTITUTE(SUBSTITUTE(A100,"/"," "),"."," "),"\"," "),"_"," "))&amp;" ")),1,0))+IF(Task!$A$11="",0,IF(ISNUMBER(SEARCH(" "&amp;Task!$A$11&amp;" "," "&amp;LOWER(SUBSTITUTE(SUBSTITUTE(SUBSTITUTE(SUBSTITUTE(A100,"/"," "),"."," "),"\"," "),"_"," "))&amp;" ")),1,0))+IF(Task!$A$12="",0,IF(ISNUMBER(SEARCH(" "&amp;Task!$A$12&amp;" "," "&amp;LOWER(SUBSTITUTE(SUBSTITUTE(SUBSTITUTE(SUBSTITUTE(A100,"/"," "),"."," "),"\"," "),"_"," "))&amp;" ")),1,0))+IF(Task!$A$13="",0,IF(ISNUMBER(SEARCH(" "&amp;Task!$A$13&amp;" "," "&amp;LOWER(SUBSTITUTE(SUBSTITUTE(SUBSTITUTE(SUBSTITUTE(A100,"/"," "),"."," "),"\"," "),"_"," "))&amp;" ")),1,0))+IF(Task!$A$14="",0,IF(ISNUMBER(SEARCH(" "&amp;Task!$A$14&amp;" "," "&amp;LOWER(SUBSTITUTE(SUBSTITUTE(SUBSTITUTE(SUBSTITUTE(A100,"/"," "),"."," "),"\"," "),"_"," "))&amp;" ")),1,0))+IF(Task!$A$15="",0,IF(ISNUMBER(SEARCH(" "&amp;Task!$A$15&amp;" "," "&amp;LOWER(SUBSTITUTE(SUBSTITUTE(SUBSTITUTE(SUBSTITUTE(A100,"/"," "),"."," "),"\"," "),"_"," "))&amp;" ")),1,0))+IF(Task!$A$16="",0,IF(ISNUMBER(SEARCH(" "&amp;Task!$A$16&amp;" "," "&amp;LOWER(SUBSTITUTE(SUBSTITUTE(SUBSTITUTE(SUBSTITUTE(A100,"/"," "),"."," "),"\"," "),"_"," "))&amp;" ")),1,0))+IF(Task!$A$17="",0,IF(ISNUMBER(SEARCH(" "&amp;Task!$A$17&amp;" "," "&amp;LOWER(SUBSTITUTE(SUBSTITUTE(SUBSTITUTE(SUBSTITUTE(A100,"/"," "),"."," "),"\"," "),"_"," "))&amp;" ")),1,0))+IF(Task!$A$18="",0,IF(ISNUMBER(SEARCH(" "&amp;Task!$A$18&amp;" "," "&amp;LOWER(SUBSTITUTE(SUBSTITUTE(SUBSTITUTE(SUBSTITUTE(A100,"/"," "),"."," "),"\"," "),"_"," "))&amp;" ")),1,0))+IF(Task!$A$19="",0,IF(ISNUMBER(SEARCH(" "&amp;Task!$A$19&amp;" "," "&amp;LOWER(SUBSTITUTE(SUBSTITUTE(SUBSTITUTE(SUBSTITUTE(A100,"/"," "),"."," "),"\"," "),"_"," "))&amp;" ")),1,0)))</f>
        <v/>
      </c>
      <c r="I100" s="10">
        <f>IF(OR(E100=0,F100=0,Task!$B$21=0),"",F100/Task!$B$21+0.5*G100+0.25*H100)</f>
        <v/>
      </c>
      <c r="J100" s="5">
        <f>IF(I100="","",I100-ROW()/1000000)</f>
        <v/>
      </c>
      <c r="K100" s="9">
        <f>IF(J100="","",COUNTIF($J$5:$J$404,"&gt;"&amp;J100)+1)</f>
        <v/>
      </c>
    </row>
    <row r="101">
      <c r="A101" s="7" t="n"/>
      <c r="B101" s="7" t="n"/>
      <c r="C101" s="7" t="n"/>
      <c r="D101" s="7" t="n"/>
      <c r="E101" s="5">
        <f>IF(A101="",0,IF(COUNTA(Task!$B$5:$E$5)=0,1,IF(COUNTIF(Task!$B$5:$E$5,B101)&gt;0,1,0)))</f>
        <v/>
      </c>
      <c r="F101" s="9">
        <f>IF(E101=0,0,IF(Task!$A$8="",0,IF(ISNUMBER(SEARCH(" "&amp;Task!$A$8&amp;" "," "&amp;LOWER(D101&amp;" "&amp;C101&amp;" "&amp;LOWER(SUBSTITUTE(SUBSTITUTE(SUBSTITUTE(SUBSTITUTE(A101,"/"," "),"."," "),"\"," "),"_"," ")))&amp;" ")),1,0))+IF(Task!$A$9="",0,IF(ISNUMBER(SEARCH(" "&amp;Task!$A$9&amp;" "," "&amp;LOWER(D101&amp;" "&amp;C101&amp;" "&amp;LOWER(SUBSTITUTE(SUBSTITUTE(SUBSTITUTE(SUBSTITUTE(A101,"/"," "),"."," "),"\"," "),"_"," ")))&amp;" ")),1,0))+IF(Task!$A$10="",0,IF(ISNUMBER(SEARCH(" "&amp;Task!$A$10&amp;" "," "&amp;LOWER(D101&amp;" "&amp;C101&amp;" "&amp;LOWER(SUBSTITUTE(SUBSTITUTE(SUBSTITUTE(SUBSTITUTE(A101,"/"," "),"."," "),"\"," "),"_"," ")))&amp;" ")),1,0))+IF(Task!$A$11="",0,IF(ISNUMBER(SEARCH(" "&amp;Task!$A$11&amp;" "," "&amp;LOWER(D101&amp;" "&amp;C101&amp;" "&amp;LOWER(SUBSTITUTE(SUBSTITUTE(SUBSTITUTE(SUBSTITUTE(A101,"/"," "),"."," "),"\"," "),"_"," ")))&amp;" ")),1,0))+IF(Task!$A$12="",0,IF(ISNUMBER(SEARCH(" "&amp;Task!$A$12&amp;" "," "&amp;LOWER(D101&amp;" "&amp;C101&amp;" "&amp;LOWER(SUBSTITUTE(SUBSTITUTE(SUBSTITUTE(SUBSTITUTE(A101,"/"," "),"."," "),"\"," "),"_"," ")))&amp;" ")),1,0))+IF(Task!$A$13="",0,IF(ISNUMBER(SEARCH(" "&amp;Task!$A$13&amp;" "," "&amp;LOWER(D101&amp;" "&amp;C101&amp;" "&amp;LOWER(SUBSTITUTE(SUBSTITUTE(SUBSTITUTE(SUBSTITUTE(A101,"/"," "),"."," "),"\"," "),"_"," ")))&amp;" ")),1,0))+IF(Task!$A$14="",0,IF(ISNUMBER(SEARCH(" "&amp;Task!$A$14&amp;" "," "&amp;LOWER(D101&amp;" "&amp;C101&amp;" "&amp;LOWER(SUBSTITUTE(SUBSTITUTE(SUBSTITUTE(SUBSTITUTE(A101,"/"," "),"."," "),"\"," "),"_"," ")))&amp;" ")),1,0))+IF(Task!$A$15="",0,IF(ISNUMBER(SEARCH(" "&amp;Task!$A$15&amp;" "," "&amp;LOWER(D101&amp;" "&amp;C101&amp;" "&amp;LOWER(SUBSTITUTE(SUBSTITUTE(SUBSTITUTE(SUBSTITUTE(A101,"/"," "),"."," "),"\"," "),"_"," ")))&amp;" ")),1,0))+IF(Task!$A$16="",0,IF(ISNUMBER(SEARCH(" "&amp;Task!$A$16&amp;" "," "&amp;LOWER(D101&amp;" "&amp;C101&amp;" "&amp;LOWER(SUBSTITUTE(SUBSTITUTE(SUBSTITUTE(SUBSTITUTE(A101,"/"," "),"."," "),"\"," "),"_"," ")))&amp;" ")),1,0))+IF(Task!$A$17="",0,IF(ISNUMBER(SEARCH(" "&amp;Task!$A$17&amp;" "," "&amp;LOWER(D101&amp;" "&amp;C101&amp;" "&amp;LOWER(SUBSTITUTE(SUBSTITUTE(SUBSTITUTE(SUBSTITUTE(A101,"/"," "),"."," "),"\"," "),"_"," ")))&amp;" ")),1,0))+IF(Task!$A$18="",0,IF(ISNUMBER(SEARCH(" "&amp;Task!$A$18&amp;" "," "&amp;LOWER(D101&amp;" "&amp;C101&amp;" "&amp;LOWER(SUBSTITUTE(SUBSTITUTE(SUBSTITUTE(SUBSTITUTE(A101,"/"," "),"."," "),"\"," "),"_"," ")))&amp;" ")),1,0))+IF(Task!$A$19="",0,IF(ISNUMBER(SEARCH(" "&amp;Task!$A$19&amp;" "," "&amp;LOWER(D101&amp;" "&amp;C101&amp;" "&amp;LOWER(SUBSTITUTE(SUBSTITUTE(SUBSTITUTE(SUBSTITUTE(A101,"/"," "),"."," "),"\"," "),"_"," ")))&amp;" ")),1,0)))</f>
        <v/>
      </c>
      <c r="G101" s="9">
        <f>IF(E101=0,0,IF(Task!$A$8="",0,IF(ISNUMBER(SEARCH(" "&amp;Task!$A$8&amp;" "," "&amp;LOWER(C101)&amp;" ")),1,0))+IF(Task!$A$9="",0,IF(ISNUMBER(SEARCH(" "&amp;Task!$A$9&amp;" "," "&amp;LOWER(C101)&amp;" ")),1,0))+IF(Task!$A$10="",0,IF(ISNUMBER(SEARCH(" "&amp;Task!$A$10&amp;" "," "&amp;LOWER(C101)&amp;" ")),1,0))+IF(Task!$A$11="",0,IF(ISNUMBER(SEARCH(" "&amp;Task!$A$11&amp;" "," "&amp;LOWER(C101)&amp;" ")),1,0))+IF(Task!$A$12="",0,IF(ISNUMBER(SEARCH(" "&amp;Task!$A$12&amp;" "," "&amp;LOWER(C101)&amp;" ")),1,0))+IF(Task!$A$13="",0,IF(ISNUMBER(SEARCH(" "&amp;Task!$A$13&amp;" "," "&amp;LOWER(C101)&amp;" ")),1,0))+IF(Task!$A$14="",0,IF(ISNUMBER(SEARCH(" "&amp;Task!$A$14&amp;" "," "&amp;LOWER(C101)&amp;" ")),1,0))+IF(Task!$A$15="",0,IF(ISNUMBER(SEARCH(" "&amp;Task!$A$15&amp;" "," "&amp;LOWER(C101)&amp;" ")),1,0))+IF(Task!$A$16="",0,IF(ISNUMBER(SEARCH(" "&amp;Task!$A$16&amp;" "," "&amp;LOWER(C101)&amp;" ")),1,0))+IF(Task!$A$17="",0,IF(ISNUMBER(SEARCH(" "&amp;Task!$A$17&amp;" "," "&amp;LOWER(C101)&amp;" ")),1,0))+IF(Task!$A$18="",0,IF(ISNUMBER(SEARCH(" "&amp;Task!$A$18&amp;" "," "&amp;LOWER(C101)&amp;" ")),1,0))+IF(Task!$A$19="",0,IF(ISNUMBER(SEARCH(" "&amp;Task!$A$19&amp;" "," "&amp;LOWER(C101)&amp;" ")),1,0)))</f>
        <v/>
      </c>
      <c r="H101" s="9">
        <f>IF(E101=0,0,IF(Task!$A$8="",0,IF(ISNUMBER(SEARCH(" "&amp;Task!$A$8&amp;" "," "&amp;LOWER(SUBSTITUTE(SUBSTITUTE(SUBSTITUTE(SUBSTITUTE(A101,"/"," "),"."," "),"\"," "),"_"," "))&amp;" ")),1,0))+IF(Task!$A$9="",0,IF(ISNUMBER(SEARCH(" "&amp;Task!$A$9&amp;" "," "&amp;LOWER(SUBSTITUTE(SUBSTITUTE(SUBSTITUTE(SUBSTITUTE(A101,"/"," "),"."," "),"\"," "),"_"," "))&amp;" ")),1,0))+IF(Task!$A$10="",0,IF(ISNUMBER(SEARCH(" "&amp;Task!$A$10&amp;" "," "&amp;LOWER(SUBSTITUTE(SUBSTITUTE(SUBSTITUTE(SUBSTITUTE(A101,"/"," "),"."," "),"\"," "),"_"," "))&amp;" ")),1,0))+IF(Task!$A$11="",0,IF(ISNUMBER(SEARCH(" "&amp;Task!$A$11&amp;" "," "&amp;LOWER(SUBSTITUTE(SUBSTITUTE(SUBSTITUTE(SUBSTITUTE(A101,"/"," "),"."," "),"\"," "),"_"," "))&amp;" ")),1,0))+IF(Task!$A$12="",0,IF(ISNUMBER(SEARCH(" "&amp;Task!$A$12&amp;" "," "&amp;LOWER(SUBSTITUTE(SUBSTITUTE(SUBSTITUTE(SUBSTITUTE(A101,"/"," "),"."," "),"\"," "),"_"," "))&amp;" ")),1,0))+IF(Task!$A$13="",0,IF(ISNUMBER(SEARCH(" "&amp;Task!$A$13&amp;" "," "&amp;LOWER(SUBSTITUTE(SUBSTITUTE(SUBSTITUTE(SUBSTITUTE(A101,"/"," "),"."," "),"\"," "),"_"," "))&amp;" ")),1,0))+IF(Task!$A$14="",0,IF(ISNUMBER(SEARCH(" "&amp;Task!$A$14&amp;" "," "&amp;LOWER(SUBSTITUTE(SUBSTITUTE(SUBSTITUTE(SUBSTITUTE(A101,"/"," "),"."," "),"\"," "),"_"," "))&amp;" ")),1,0))+IF(Task!$A$15="",0,IF(ISNUMBER(SEARCH(" "&amp;Task!$A$15&amp;" "," "&amp;LOWER(SUBSTITUTE(SUBSTITUTE(SUBSTITUTE(SUBSTITUTE(A101,"/"," "),"."," "),"\"," "),"_"," "))&amp;" ")),1,0))+IF(Task!$A$16="",0,IF(ISNUMBER(SEARCH(" "&amp;Task!$A$16&amp;" "," "&amp;LOWER(SUBSTITUTE(SUBSTITUTE(SUBSTITUTE(SUBSTITUTE(A101,"/"," "),"."," "),"\"," "),"_"," "))&amp;" ")),1,0))+IF(Task!$A$17="",0,IF(ISNUMBER(SEARCH(" "&amp;Task!$A$17&amp;" "," "&amp;LOWER(SUBSTITUTE(SUBSTITUTE(SUBSTITUTE(SUBSTITUTE(A101,"/"," "),"."," "),"\"," "),"_"," "))&amp;" ")),1,0))+IF(Task!$A$18="",0,IF(ISNUMBER(SEARCH(" "&amp;Task!$A$18&amp;" "," "&amp;LOWER(SUBSTITUTE(SUBSTITUTE(SUBSTITUTE(SUBSTITUTE(A101,"/"," "),"."," "),"\"," "),"_"," "))&amp;" ")),1,0))+IF(Task!$A$19="",0,IF(ISNUMBER(SEARCH(" "&amp;Task!$A$19&amp;" "," "&amp;LOWER(SUBSTITUTE(SUBSTITUTE(SUBSTITUTE(SUBSTITUTE(A101,"/"," "),"."," "),"\"," "),"_"," "))&amp;" ")),1,0)))</f>
        <v/>
      </c>
      <c r="I101" s="10">
        <f>IF(OR(E101=0,F101=0,Task!$B$21=0),"",F101/Task!$B$21+0.5*G101+0.25*H101)</f>
        <v/>
      </c>
      <c r="J101" s="5">
        <f>IF(I101="","",I101-ROW()/1000000)</f>
        <v/>
      </c>
      <c r="K101" s="9">
        <f>IF(J101="","",COUNTIF($J$5:$J$404,"&gt;"&amp;J101)+1)</f>
        <v/>
      </c>
    </row>
    <row r="102">
      <c r="A102" s="7" t="n"/>
      <c r="B102" s="7" t="n"/>
      <c r="C102" s="7" t="n"/>
      <c r="D102" s="7" t="n"/>
      <c r="E102" s="5">
        <f>IF(A102="",0,IF(COUNTA(Task!$B$5:$E$5)=0,1,IF(COUNTIF(Task!$B$5:$E$5,B102)&gt;0,1,0)))</f>
        <v/>
      </c>
      <c r="F102" s="9">
        <f>IF(E102=0,0,IF(Task!$A$8="",0,IF(ISNUMBER(SEARCH(" "&amp;Task!$A$8&amp;" "," "&amp;LOWER(D102&amp;" "&amp;C102&amp;" "&amp;LOWER(SUBSTITUTE(SUBSTITUTE(SUBSTITUTE(SUBSTITUTE(A102,"/"," "),"."," "),"\"," "),"_"," ")))&amp;" ")),1,0))+IF(Task!$A$9="",0,IF(ISNUMBER(SEARCH(" "&amp;Task!$A$9&amp;" "," "&amp;LOWER(D102&amp;" "&amp;C102&amp;" "&amp;LOWER(SUBSTITUTE(SUBSTITUTE(SUBSTITUTE(SUBSTITUTE(A102,"/"," "),"."," "),"\"," "),"_"," ")))&amp;" ")),1,0))+IF(Task!$A$10="",0,IF(ISNUMBER(SEARCH(" "&amp;Task!$A$10&amp;" "," "&amp;LOWER(D102&amp;" "&amp;C102&amp;" "&amp;LOWER(SUBSTITUTE(SUBSTITUTE(SUBSTITUTE(SUBSTITUTE(A102,"/"," "),"."," "),"\"," "),"_"," ")))&amp;" ")),1,0))+IF(Task!$A$11="",0,IF(ISNUMBER(SEARCH(" "&amp;Task!$A$11&amp;" "," "&amp;LOWER(D102&amp;" "&amp;C102&amp;" "&amp;LOWER(SUBSTITUTE(SUBSTITUTE(SUBSTITUTE(SUBSTITUTE(A102,"/"," "),"."," "),"\"," "),"_"," ")))&amp;" ")),1,0))+IF(Task!$A$12="",0,IF(ISNUMBER(SEARCH(" "&amp;Task!$A$12&amp;" "," "&amp;LOWER(D102&amp;" "&amp;C102&amp;" "&amp;LOWER(SUBSTITUTE(SUBSTITUTE(SUBSTITUTE(SUBSTITUTE(A102,"/"," "),"."," "),"\"," "),"_"," ")))&amp;" ")),1,0))+IF(Task!$A$13="",0,IF(ISNUMBER(SEARCH(" "&amp;Task!$A$13&amp;" "," "&amp;LOWER(D102&amp;" "&amp;C102&amp;" "&amp;LOWER(SUBSTITUTE(SUBSTITUTE(SUBSTITUTE(SUBSTITUTE(A102,"/"," "),"."," "),"\"," "),"_"," ")))&amp;" ")),1,0))+IF(Task!$A$14="",0,IF(ISNUMBER(SEARCH(" "&amp;Task!$A$14&amp;" "," "&amp;LOWER(D102&amp;" "&amp;C102&amp;" "&amp;LOWER(SUBSTITUTE(SUBSTITUTE(SUBSTITUTE(SUBSTITUTE(A102,"/"," "),"."," "),"\"," "),"_"," ")))&amp;" ")),1,0))+IF(Task!$A$15="",0,IF(ISNUMBER(SEARCH(" "&amp;Task!$A$15&amp;" "," "&amp;LOWER(D102&amp;" "&amp;C102&amp;" "&amp;LOWER(SUBSTITUTE(SUBSTITUTE(SUBSTITUTE(SUBSTITUTE(A102,"/"," "),"."," "),"\"," "),"_"," ")))&amp;" ")),1,0))+IF(Task!$A$16="",0,IF(ISNUMBER(SEARCH(" "&amp;Task!$A$16&amp;" "," "&amp;LOWER(D102&amp;" "&amp;C102&amp;" "&amp;LOWER(SUBSTITUTE(SUBSTITUTE(SUBSTITUTE(SUBSTITUTE(A102,"/"," "),"."," "),"\"," "),"_"," ")))&amp;" ")),1,0))+IF(Task!$A$17="",0,IF(ISNUMBER(SEARCH(" "&amp;Task!$A$17&amp;" "," "&amp;LOWER(D102&amp;" "&amp;C102&amp;" "&amp;LOWER(SUBSTITUTE(SUBSTITUTE(SUBSTITUTE(SUBSTITUTE(A102,"/"," "),"."," "),"\"," "),"_"," ")))&amp;" ")),1,0))+IF(Task!$A$18="",0,IF(ISNUMBER(SEARCH(" "&amp;Task!$A$18&amp;" "," "&amp;LOWER(D102&amp;" "&amp;C102&amp;" "&amp;LOWER(SUBSTITUTE(SUBSTITUTE(SUBSTITUTE(SUBSTITUTE(A102,"/"," "),"."," "),"\"," "),"_"," ")))&amp;" ")),1,0))+IF(Task!$A$19="",0,IF(ISNUMBER(SEARCH(" "&amp;Task!$A$19&amp;" "," "&amp;LOWER(D102&amp;" "&amp;C102&amp;" "&amp;LOWER(SUBSTITUTE(SUBSTITUTE(SUBSTITUTE(SUBSTITUTE(A102,"/"," "),"."," "),"\"," "),"_"," ")))&amp;" ")),1,0)))</f>
        <v/>
      </c>
      <c r="G102" s="9">
        <f>IF(E102=0,0,IF(Task!$A$8="",0,IF(ISNUMBER(SEARCH(" "&amp;Task!$A$8&amp;" "," "&amp;LOWER(C102)&amp;" ")),1,0))+IF(Task!$A$9="",0,IF(ISNUMBER(SEARCH(" "&amp;Task!$A$9&amp;" "," "&amp;LOWER(C102)&amp;" ")),1,0))+IF(Task!$A$10="",0,IF(ISNUMBER(SEARCH(" "&amp;Task!$A$10&amp;" "," "&amp;LOWER(C102)&amp;" ")),1,0))+IF(Task!$A$11="",0,IF(ISNUMBER(SEARCH(" "&amp;Task!$A$11&amp;" "," "&amp;LOWER(C102)&amp;" ")),1,0))+IF(Task!$A$12="",0,IF(ISNUMBER(SEARCH(" "&amp;Task!$A$12&amp;" "," "&amp;LOWER(C102)&amp;" ")),1,0))+IF(Task!$A$13="",0,IF(ISNUMBER(SEARCH(" "&amp;Task!$A$13&amp;" "," "&amp;LOWER(C102)&amp;" ")),1,0))+IF(Task!$A$14="",0,IF(ISNUMBER(SEARCH(" "&amp;Task!$A$14&amp;" "," "&amp;LOWER(C102)&amp;" ")),1,0))+IF(Task!$A$15="",0,IF(ISNUMBER(SEARCH(" "&amp;Task!$A$15&amp;" "," "&amp;LOWER(C102)&amp;" ")),1,0))+IF(Task!$A$16="",0,IF(ISNUMBER(SEARCH(" "&amp;Task!$A$16&amp;" "," "&amp;LOWER(C102)&amp;" ")),1,0))+IF(Task!$A$17="",0,IF(ISNUMBER(SEARCH(" "&amp;Task!$A$17&amp;" "," "&amp;LOWER(C102)&amp;" ")),1,0))+IF(Task!$A$18="",0,IF(ISNUMBER(SEARCH(" "&amp;Task!$A$18&amp;" "," "&amp;LOWER(C102)&amp;" ")),1,0))+IF(Task!$A$19="",0,IF(ISNUMBER(SEARCH(" "&amp;Task!$A$19&amp;" "," "&amp;LOWER(C102)&amp;" ")),1,0)))</f>
        <v/>
      </c>
      <c r="H102" s="9">
        <f>IF(E102=0,0,IF(Task!$A$8="",0,IF(ISNUMBER(SEARCH(" "&amp;Task!$A$8&amp;" "," "&amp;LOWER(SUBSTITUTE(SUBSTITUTE(SUBSTITUTE(SUBSTITUTE(A102,"/"," "),"."," "),"\"," "),"_"," "))&amp;" ")),1,0))+IF(Task!$A$9="",0,IF(ISNUMBER(SEARCH(" "&amp;Task!$A$9&amp;" "," "&amp;LOWER(SUBSTITUTE(SUBSTITUTE(SUBSTITUTE(SUBSTITUTE(A102,"/"," "),"."," "),"\"," "),"_"," "))&amp;" ")),1,0))+IF(Task!$A$10="",0,IF(ISNUMBER(SEARCH(" "&amp;Task!$A$10&amp;" "," "&amp;LOWER(SUBSTITUTE(SUBSTITUTE(SUBSTITUTE(SUBSTITUTE(A102,"/"," "),"."," "),"\"," "),"_"," "))&amp;" ")),1,0))+IF(Task!$A$11="",0,IF(ISNUMBER(SEARCH(" "&amp;Task!$A$11&amp;" "," "&amp;LOWER(SUBSTITUTE(SUBSTITUTE(SUBSTITUTE(SUBSTITUTE(A102,"/"," "),"."," "),"\"," "),"_"," "))&amp;" ")),1,0))+IF(Task!$A$12="",0,IF(ISNUMBER(SEARCH(" "&amp;Task!$A$12&amp;" "," "&amp;LOWER(SUBSTITUTE(SUBSTITUTE(SUBSTITUTE(SUBSTITUTE(A102,"/"," "),"."," "),"\"," "),"_"," "))&amp;" ")),1,0))+IF(Task!$A$13="",0,IF(ISNUMBER(SEARCH(" "&amp;Task!$A$13&amp;" "," "&amp;LOWER(SUBSTITUTE(SUBSTITUTE(SUBSTITUTE(SUBSTITUTE(A102,"/"," "),"."," "),"\"," "),"_"," "))&amp;" ")),1,0))+IF(Task!$A$14="",0,IF(ISNUMBER(SEARCH(" "&amp;Task!$A$14&amp;" "," "&amp;LOWER(SUBSTITUTE(SUBSTITUTE(SUBSTITUTE(SUBSTITUTE(A102,"/"," "),"."," "),"\"," "),"_"," "))&amp;" ")),1,0))+IF(Task!$A$15="",0,IF(ISNUMBER(SEARCH(" "&amp;Task!$A$15&amp;" "," "&amp;LOWER(SUBSTITUTE(SUBSTITUTE(SUBSTITUTE(SUBSTITUTE(A102,"/"," "),"."," "),"\"," "),"_"," "))&amp;" ")),1,0))+IF(Task!$A$16="",0,IF(ISNUMBER(SEARCH(" "&amp;Task!$A$16&amp;" "," "&amp;LOWER(SUBSTITUTE(SUBSTITUTE(SUBSTITUTE(SUBSTITUTE(A102,"/"," "),"."," "),"\"," "),"_"," "))&amp;" ")),1,0))+IF(Task!$A$17="",0,IF(ISNUMBER(SEARCH(" "&amp;Task!$A$17&amp;" "," "&amp;LOWER(SUBSTITUTE(SUBSTITUTE(SUBSTITUTE(SUBSTITUTE(A102,"/"," "),"."," "),"\"," "),"_"," "))&amp;" ")),1,0))+IF(Task!$A$18="",0,IF(ISNUMBER(SEARCH(" "&amp;Task!$A$18&amp;" "," "&amp;LOWER(SUBSTITUTE(SUBSTITUTE(SUBSTITUTE(SUBSTITUTE(A102,"/"," "),"."," "),"\"," "),"_"," "))&amp;" ")),1,0))+IF(Task!$A$19="",0,IF(ISNUMBER(SEARCH(" "&amp;Task!$A$19&amp;" "," "&amp;LOWER(SUBSTITUTE(SUBSTITUTE(SUBSTITUTE(SUBSTITUTE(A102,"/"," "),"."," "),"\"," "),"_"," "))&amp;" ")),1,0)))</f>
        <v/>
      </c>
      <c r="I102" s="10">
        <f>IF(OR(E102=0,F102=0,Task!$B$21=0),"",F102/Task!$B$21+0.5*G102+0.25*H102)</f>
        <v/>
      </c>
      <c r="J102" s="5">
        <f>IF(I102="","",I102-ROW()/1000000)</f>
        <v/>
      </c>
      <c r="K102" s="9">
        <f>IF(J102="","",COUNTIF($J$5:$J$404,"&gt;"&amp;J102)+1)</f>
        <v/>
      </c>
    </row>
    <row r="103">
      <c r="A103" s="7" t="n"/>
      <c r="B103" s="7" t="n"/>
      <c r="C103" s="7" t="n"/>
      <c r="D103" s="7" t="n"/>
      <c r="E103" s="5">
        <f>IF(A103="",0,IF(COUNTA(Task!$B$5:$E$5)=0,1,IF(COUNTIF(Task!$B$5:$E$5,B103)&gt;0,1,0)))</f>
        <v/>
      </c>
      <c r="F103" s="9">
        <f>IF(E103=0,0,IF(Task!$A$8="",0,IF(ISNUMBER(SEARCH(" "&amp;Task!$A$8&amp;" "," "&amp;LOWER(D103&amp;" "&amp;C103&amp;" "&amp;LOWER(SUBSTITUTE(SUBSTITUTE(SUBSTITUTE(SUBSTITUTE(A103,"/"," "),"."," "),"\"," "),"_"," ")))&amp;" ")),1,0))+IF(Task!$A$9="",0,IF(ISNUMBER(SEARCH(" "&amp;Task!$A$9&amp;" "," "&amp;LOWER(D103&amp;" "&amp;C103&amp;" "&amp;LOWER(SUBSTITUTE(SUBSTITUTE(SUBSTITUTE(SUBSTITUTE(A103,"/"," "),"."," "),"\"," "),"_"," ")))&amp;" ")),1,0))+IF(Task!$A$10="",0,IF(ISNUMBER(SEARCH(" "&amp;Task!$A$10&amp;" "," "&amp;LOWER(D103&amp;" "&amp;C103&amp;" "&amp;LOWER(SUBSTITUTE(SUBSTITUTE(SUBSTITUTE(SUBSTITUTE(A103,"/"," "),"."," "),"\"," "),"_"," ")))&amp;" ")),1,0))+IF(Task!$A$11="",0,IF(ISNUMBER(SEARCH(" "&amp;Task!$A$11&amp;" "," "&amp;LOWER(D103&amp;" "&amp;C103&amp;" "&amp;LOWER(SUBSTITUTE(SUBSTITUTE(SUBSTITUTE(SUBSTITUTE(A103,"/"," "),"."," "),"\"," "),"_"," ")))&amp;" ")),1,0))+IF(Task!$A$12="",0,IF(ISNUMBER(SEARCH(" "&amp;Task!$A$12&amp;" "," "&amp;LOWER(D103&amp;" "&amp;C103&amp;" "&amp;LOWER(SUBSTITUTE(SUBSTITUTE(SUBSTITUTE(SUBSTITUTE(A103,"/"," "),"."," "),"\"," "),"_"," ")))&amp;" ")),1,0))+IF(Task!$A$13="",0,IF(ISNUMBER(SEARCH(" "&amp;Task!$A$13&amp;" "," "&amp;LOWER(D103&amp;" "&amp;C103&amp;" "&amp;LOWER(SUBSTITUTE(SUBSTITUTE(SUBSTITUTE(SUBSTITUTE(A103,"/"," "),"."," "),"\"," "),"_"," ")))&amp;" ")),1,0))+IF(Task!$A$14="",0,IF(ISNUMBER(SEARCH(" "&amp;Task!$A$14&amp;" "," "&amp;LOWER(D103&amp;" "&amp;C103&amp;" "&amp;LOWER(SUBSTITUTE(SUBSTITUTE(SUBSTITUTE(SUBSTITUTE(A103,"/"," "),"."," "),"\"," "),"_"," ")))&amp;" ")),1,0))+IF(Task!$A$15="",0,IF(ISNUMBER(SEARCH(" "&amp;Task!$A$15&amp;" "," "&amp;LOWER(D103&amp;" "&amp;C103&amp;" "&amp;LOWER(SUBSTITUTE(SUBSTITUTE(SUBSTITUTE(SUBSTITUTE(A103,"/"," "),"."," "),"\"," "),"_"," ")))&amp;" ")),1,0))+IF(Task!$A$16="",0,IF(ISNUMBER(SEARCH(" "&amp;Task!$A$16&amp;" "," "&amp;LOWER(D103&amp;" "&amp;C103&amp;" "&amp;LOWER(SUBSTITUTE(SUBSTITUTE(SUBSTITUTE(SUBSTITUTE(A103,"/"," "),"."," "),"\"," "),"_"," ")))&amp;" ")),1,0))+IF(Task!$A$17="",0,IF(ISNUMBER(SEARCH(" "&amp;Task!$A$17&amp;" "," "&amp;LOWER(D103&amp;" "&amp;C103&amp;" "&amp;LOWER(SUBSTITUTE(SUBSTITUTE(SUBSTITUTE(SUBSTITUTE(A103,"/"," "),"."," "),"\"," "),"_"," ")))&amp;" ")),1,0))+IF(Task!$A$18="",0,IF(ISNUMBER(SEARCH(" "&amp;Task!$A$18&amp;" "," "&amp;LOWER(D103&amp;" "&amp;C103&amp;" "&amp;LOWER(SUBSTITUTE(SUBSTITUTE(SUBSTITUTE(SUBSTITUTE(A103,"/"," "),"."," "),"\"," "),"_"," ")))&amp;" ")),1,0))+IF(Task!$A$19="",0,IF(ISNUMBER(SEARCH(" "&amp;Task!$A$19&amp;" "," "&amp;LOWER(D103&amp;" "&amp;C103&amp;" "&amp;LOWER(SUBSTITUTE(SUBSTITUTE(SUBSTITUTE(SUBSTITUTE(A103,"/"," "),"."," "),"\"," "),"_"," ")))&amp;" ")),1,0)))</f>
        <v/>
      </c>
      <c r="G103" s="9">
        <f>IF(E103=0,0,IF(Task!$A$8="",0,IF(ISNUMBER(SEARCH(" "&amp;Task!$A$8&amp;" "," "&amp;LOWER(C103)&amp;" ")),1,0))+IF(Task!$A$9="",0,IF(ISNUMBER(SEARCH(" "&amp;Task!$A$9&amp;" "," "&amp;LOWER(C103)&amp;" ")),1,0))+IF(Task!$A$10="",0,IF(ISNUMBER(SEARCH(" "&amp;Task!$A$10&amp;" "," "&amp;LOWER(C103)&amp;" ")),1,0))+IF(Task!$A$11="",0,IF(ISNUMBER(SEARCH(" "&amp;Task!$A$11&amp;" "," "&amp;LOWER(C103)&amp;" ")),1,0))+IF(Task!$A$12="",0,IF(ISNUMBER(SEARCH(" "&amp;Task!$A$12&amp;" "," "&amp;LOWER(C103)&amp;" ")),1,0))+IF(Task!$A$13="",0,IF(ISNUMBER(SEARCH(" "&amp;Task!$A$13&amp;" "," "&amp;LOWER(C103)&amp;" ")),1,0))+IF(Task!$A$14="",0,IF(ISNUMBER(SEARCH(" "&amp;Task!$A$14&amp;" "," "&amp;LOWER(C103)&amp;" ")),1,0))+IF(Task!$A$15="",0,IF(ISNUMBER(SEARCH(" "&amp;Task!$A$15&amp;" "," "&amp;LOWER(C103)&amp;" ")),1,0))+IF(Task!$A$16="",0,IF(ISNUMBER(SEARCH(" "&amp;Task!$A$16&amp;" "," "&amp;LOWER(C103)&amp;" ")),1,0))+IF(Task!$A$17="",0,IF(ISNUMBER(SEARCH(" "&amp;Task!$A$17&amp;" "," "&amp;LOWER(C103)&amp;" ")),1,0))+IF(Task!$A$18="",0,IF(ISNUMBER(SEARCH(" "&amp;Task!$A$18&amp;" "," "&amp;LOWER(C103)&amp;" ")),1,0))+IF(Task!$A$19="",0,IF(ISNUMBER(SEARCH(" "&amp;Task!$A$19&amp;" "," "&amp;LOWER(C103)&amp;" ")),1,0)))</f>
        <v/>
      </c>
      <c r="H103" s="9">
        <f>IF(E103=0,0,IF(Task!$A$8="",0,IF(ISNUMBER(SEARCH(" "&amp;Task!$A$8&amp;" "," "&amp;LOWER(SUBSTITUTE(SUBSTITUTE(SUBSTITUTE(SUBSTITUTE(A103,"/"," "),"."," "),"\"," "),"_"," "))&amp;" ")),1,0))+IF(Task!$A$9="",0,IF(ISNUMBER(SEARCH(" "&amp;Task!$A$9&amp;" "," "&amp;LOWER(SUBSTITUTE(SUBSTITUTE(SUBSTITUTE(SUBSTITUTE(A103,"/"," "),"."," "),"\"," "),"_"," "))&amp;" ")),1,0))+IF(Task!$A$10="",0,IF(ISNUMBER(SEARCH(" "&amp;Task!$A$10&amp;" "," "&amp;LOWER(SUBSTITUTE(SUBSTITUTE(SUBSTITUTE(SUBSTITUTE(A103,"/"," "),"."," "),"\"," "),"_"," "))&amp;" ")),1,0))+IF(Task!$A$11="",0,IF(ISNUMBER(SEARCH(" "&amp;Task!$A$11&amp;" "," "&amp;LOWER(SUBSTITUTE(SUBSTITUTE(SUBSTITUTE(SUBSTITUTE(A103,"/"," "),"."," "),"\"," "),"_"," "))&amp;" ")),1,0))+IF(Task!$A$12="",0,IF(ISNUMBER(SEARCH(" "&amp;Task!$A$12&amp;" "," "&amp;LOWER(SUBSTITUTE(SUBSTITUTE(SUBSTITUTE(SUBSTITUTE(A103,"/"," "),"."," "),"\"," "),"_"," "))&amp;" ")),1,0))+IF(Task!$A$13="",0,IF(ISNUMBER(SEARCH(" "&amp;Task!$A$13&amp;" "," "&amp;LOWER(SUBSTITUTE(SUBSTITUTE(SUBSTITUTE(SUBSTITUTE(A103,"/"," "),"."," "),"\"," "),"_"," "))&amp;" ")),1,0))+IF(Task!$A$14="",0,IF(ISNUMBER(SEARCH(" "&amp;Task!$A$14&amp;" "," "&amp;LOWER(SUBSTITUTE(SUBSTITUTE(SUBSTITUTE(SUBSTITUTE(A103,"/"," "),"."," "),"\"," "),"_"," "))&amp;" ")),1,0))+IF(Task!$A$15="",0,IF(ISNUMBER(SEARCH(" "&amp;Task!$A$15&amp;" "," "&amp;LOWER(SUBSTITUTE(SUBSTITUTE(SUBSTITUTE(SUBSTITUTE(A103,"/"," "),"."," "),"\"," "),"_"," "))&amp;" ")),1,0))+IF(Task!$A$16="",0,IF(ISNUMBER(SEARCH(" "&amp;Task!$A$16&amp;" "," "&amp;LOWER(SUBSTITUTE(SUBSTITUTE(SUBSTITUTE(SUBSTITUTE(A103,"/"," "),"."," "),"\"," "),"_"," "))&amp;" ")),1,0))+IF(Task!$A$17="",0,IF(ISNUMBER(SEARCH(" "&amp;Task!$A$17&amp;" "," "&amp;LOWER(SUBSTITUTE(SUBSTITUTE(SUBSTITUTE(SUBSTITUTE(A103,"/"," "),"."," "),"\"," "),"_"," "))&amp;" ")),1,0))+IF(Task!$A$18="",0,IF(ISNUMBER(SEARCH(" "&amp;Task!$A$18&amp;" "," "&amp;LOWER(SUBSTITUTE(SUBSTITUTE(SUBSTITUTE(SUBSTITUTE(A103,"/"," "),"."," "),"\"," "),"_"," "))&amp;" ")),1,0))+IF(Task!$A$19="",0,IF(ISNUMBER(SEARCH(" "&amp;Task!$A$19&amp;" "," "&amp;LOWER(SUBSTITUTE(SUBSTITUTE(SUBSTITUTE(SUBSTITUTE(A103,"/"," "),"."," "),"\"," "),"_"," "))&amp;" ")),1,0)))</f>
        <v/>
      </c>
      <c r="I103" s="10">
        <f>IF(OR(E103=0,F103=0,Task!$B$21=0),"",F103/Task!$B$21+0.5*G103+0.25*H103)</f>
        <v/>
      </c>
      <c r="J103" s="5">
        <f>IF(I103="","",I103-ROW()/1000000)</f>
        <v/>
      </c>
      <c r="K103" s="9">
        <f>IF(J103="","",COUNTIF($J$5:$J$404,"&gt;"&amp;J103)+1)</f>
        <v/>
      </c>
    </row>
    <row r="104">
      <c r="A104" s="7" t="n"/>
      <c r="B104" s="7" t="n"/>
      <c r="C104" s="7" t="n"/>
      <c r="D104" s="7" t="n"/>
      <c r="E104" s="5">
        <f>IF(A104="",0,IF(COUNTA(Task!$B$5:$E$5)=0,1,IF(COUNTIF(Task!$B$5:$E$5,B104)&gt;0,1,0)))</f>
        <v/>
      </c>
      <c r="F104" s="9">
        <f>IF(E104=0,0,IF(Task!$A$8="",0,IF(ISNUMBER(SEARCH(" "&amp;Task!$A$8&amp;" "," "&amp;LOWER(D104&amp;" "&amp;C104&amp;" "&amp;LOWER(SUBSTITUTE(SUBSTITUTE(SUBSTITUTE(SUBSTITUTE(A104,"/"," "),"."," "),"\"," "),"_"," ")))&amp;" ")),1,0))+IF(Task!$A$9="",0,IF(ISNUMBER(SEARCH(" "&amp;Task!$A$9&amp;" "," "&amp;LOWER(D104&amp;" "&amp;C104&amp;" "&amp;LOWER(SUBSTITUTE(SUBSTITUTE(SUBSTITUTE(SUBSTITUTE(A104,"/"," "),"."," "),"\"," "),"_"," ")))&amp;" ")),1,0))+IF(Task!$A$10="",0,IF(ISNUMBER(SEARCH(" "&amp;Task!$A$10&amp;" "," "&amp;LOWER(D104&amp;" "&amp;C104&amp;" "&amp;LOWER(SUBSTITUTE(SUBSTITUTE(SUBSTITUTE(SUBSTITUTE(A104,"/"," "),"."," "),"\"," "),"_"," ")))&amp;" ")),1,0))+IF(Task!$A$11="",0,IF(ISNUMBER(SEARCH(" "&amp;Task!$A$11&amp;" "," "&amp;LOWER(D104&amp;" "&amp;C104&amp;" "&amp;LOWER(SUBSTITUTE(SUBSTITUTE(SUBSTITUTE(SUBSTITUTE(A104,"/"," "),"."," "),"\"," "),"_"," ")))&amp;" ")),1,0))+IF(Task!$A$12="",0,IF(ISNUMBER(SEARCH(" "&amp;Task!$A$12&amp;" "," "&amp;LOWER(D104&amp;" "&amp;C104&amp;" "&amp;LOWER(SUBSTITUTE(SUBSTITUTE(SUBSTITUTE(SUBSTITUTE(A104,"/"," "),"."," "),"\"," "),"_"," ")))&amp;" ")),1,0))+IF(Task!$A$13="",0,IF(ISNUMBER(SEARCH(" "&amp;Task!$A$13&amp;" "," "&amp;LOWER(D104&amp;" "&amp;C104&amp;" "&amp;LOWER(SUBSTITUTE(SUBSTITUTE(SUBSTITUTE(SUBSTITUTE(A104,"/"," "),"."," "),"\"," "),"_"," ")))&amp;" ")),1,0))+IF(Task!$A$14="",0,IF(ISNUMBER(SEARCH(" "&amp;Task!$A$14&amp;" "," "&amp;LOWER(D104&amp;" "&amp;C104&amp;" "&amp;LOWER(SUBSTITUTE(SUBSTITUTE(SUBSTITUTE(SUBSTITUTE(A104,"/"," "),"."," "),"\"," "),"_"," ")))&amp;" ")),1,0))+IF(Task!$A$15="",0,IF(ISNUMBER(SEARCH(" "&amp;Task!$A$15&amp;" "," "&amp;LOWER(D104&amp;" "&amp;C104&amp;" "&amp;LOWER(SUBSTITUTE(SUBSTITUTE(SUBSTITUTE(SUBSTITUTE(A104,"/"," "),"."," "),"\"," "),"_"," ")))&amp;" ")),1,0))+IF(Task!$A$16="",0,IF(ISNUMBER(SEARCH(" "&amp;Task!$A$16&amp;" "," "&amp;LOWER(D104&amp;" "&amp;C104&amp;" "&amp;LOWER(SUBSTITUTE(SUBSTITUTE(SUBSTITUTE(SUBSTITUTE(A104,"/"," "),"."," "),"\"," "),"_"," ")))&amp;" ")),1,0))+IF(Task!$A$17="",0,IF(ISNUMBER(SEARCH(" "&amp;Task!$A$17&amp;" "," "&amp;LOWER(D104&amp;" "&amp;C104&amp;" "&amp;LOWER(SUBSTITUTE(SUBSTITUTE(SUBSTITUTE(SUBSTITUTE(A104,"/"," "),"."," "),"\"," "),"_"," ")))&amp;" ")),1,0))+IF(Task!$A$18="",0,IF(ISNUMBER(SEARCH(" "&amp;Task!$A$18&amp;" "," "&amp;LOWER(D104&amp;" "&amp;C104&amp;" "&amp;LOWER(SUBSTITUTE(SUBSTITUTE(SUBSTITUTE(SUBSTITUTE(A104,"/"," "),"."," "),"\"," "),"_"," ")))&amp;" ")),1,0))+IF(Task!$A$19="",0,IF(ISNUMBER(SEARCH(" "&amp;Task!$A$19&amp;" "," "&amp;LOWER(D104&amp;" "&amp;C104&amp;" "&amp;LOWER(SUBSTITUTE(SUBSTITUTE(SUBSTITUTE(SUBSTITUTE(A104,"/"," "),"."," "),"\"," "),"_"," ")))&amp;" ")),1,0)))</f>
        <v/>
      </c>
      <c r="G104" s="9">
        <f>IF(E104=0,0,IF(Task!$A$8="",0,IF(ISNUMBER(SEARCH(" "&amp;Task!$A$8&amp;" "," "&amp;LOWER(C104)&amp;" ")),1,0))+IF(Task!$A$9="",0,IF(ISNUMBER(SEARCH(" "&amp;Task!$A$9&amp;" "," "&amp;LOWER(C104)&amp;" ")),1,0))+IF(Task!$A$10="",0,IF(ISNUMBER(SEARCH(" "&amp;Task!$A$10&amp;" "," "&amp;LOWER(C104)&amp;" ")),1,0))+IF(Task!$A$11="",0,IF(ISNUMBER(SEARCH(" "&amp;Task!$A$11&amp;" "," "&amp;LOWER(C104)&amp;" ")),1,0))+IF(Task!$A$12="",0,IF(ISNUMBER(SEARCH(" "&amp;Task!$A$12&amp;" "," "&amp;LOWER(C104)&amp;" ")),1,0))+IF(Task!$A$13="",0,IF(ISNUMBER(SEARCH(" "&amp;Task!$A$13&amp;" "," "&amp;LOWER(C104)&amp;" ")),1,0))+IF(Task!$A$14="",0,IF(ISNUMBER(SEARCH(" "&amp;Task!$A$14&amp;" "," "&amp;LOWER(C104)&amp;" ")),1,0))+IF(Task!$A$15="",0,IF(ISNUMBER(SEARCH(" "&amp;Task!$A$15&amp;" "," "&amp;LOWER(C104)&amp;" ")),1,0))+IF(Task!$A$16="",0,IF(ISNUMBER(SEARCH(" "&amp;Task!$A$16&amp;" "," "&amp;LOWER(C104)&amp;" ")),1,0))+IF(Task!$A$17="",0,IF(ISNUMBER(SEARCH(" "&amp;Task!$A$17&amp;" "," "&amp;LOWER(C104)&amp;" ")),1,0))+IF(Task!$A$18="",0,IF(ISNUMBER(SEARCH(" "&amp;Task!$A$18&amp;" "," "&amp;LOWER(C104)&amp;" ")),1,0))+IF(Task!$A$19="",0,IF(ISNUMBER(SEARCH(" "&amp;Task!$A$19&amp;" "," "&amp;LOWER(C104)&amp;" ")),1,0)))</f>
        <v/>
      </c>
      <c r="H104" s="9">
        <f>IF(E104=0,0,IF(Task!$A$8="",0,IF(ISNUMBER(SEARCH(" "&amp;Task!$A$8&amp;" "," "&amp;LOWER(SUBSTITUTE(SUBSTITUTE(SUBSTITUTE(SUBSTITUTE(A104,"/"," "),"."," "),"\"," "),"_"," "))&amp;" ")),1,0))+IF(Task!$A$9="",0,IF(ISNUMBER(SEARCH(" "&amp;Task!$A$9&amp;" "," "&amp;LOWER(SUBSTITUTE(SUBSTITUTE(SUBSTITUTE(SUBSTITUTE(A104,"/"," "),"."," "),"\"," "),"_"," "))&amp;" ")),1,0))+IF(Task!$A$10="",0,IF(ISNUMBER(SEARCH(" "&amp;Task!$A$10&amp;" "," "&amp;LOWER(SUBSTITUTE(SUBSTITUTE(SUBSTITUTE(SUBSTITUTE(A104,"/"," "),"."," "),"\"," "),"_"," "))&amp;" ")),1,0))+IF(Task!$A$11="",0,IF(ISNUMBER(SEARCH(" "&amp;Task!$A$11&amp;" "," "&amp;LOWER(SUBSTITUTE(SUBSTITUTE(SUBSTITUTE(SUBSTITUTE(A104,"/"," "),"."," "),"\"," "),"_"," "))&amp;" ")),1,0))+IF(Task!$A$12="",0,IF(ISNUMBER(SEARCH(" "&amp;Task!$A$12&amp;" "," "&amp;LOWER(SUBSTITUTE(SUBSTITUTE(SUBSTITUTE(SUBSTITUTE(A104,"/"," "),"."," "),"\"," "),"_"," "))&amp;" ")),1,0))+IF(Task!$A$13="",0,IF(ISNUMBER(SEARCH(" "&amp;Task!$A$13&amp;" "," "&amp;LOWER(SUBSTITUTE(SUBSTITUTE(SUBSTITUTE(SUBSTITUTE(A104,"/"," "),"."," "),"\"," "),"_"," "))&amp;" ")),1,0))+IF(Task!$A$14="",0,IF(ISNUMBER(SEARCH(" "&amp;Task!$A$14&amp;" "," "&amp;LOWER(SUBSTITUTE(SUBSTITUTE(SUBSTITUTE(SUBSTITUTE(A104,"/"," "),"."," "),"\"," "),"_"," "))&amp;" ")),1,0))+IF(Task!$A$15="",0,IF(ISNUMBER(SEARCH(" "&amp;Task!$A$15&amp;" "," "&amp;LOWER(SUBSTITUTE(SUBSTITUTE(SUBSTITUTE(SUBSTITUTE(A104,"/"," "),"."," "),"\"," "),"_"," "))&amp;" ")),1,0))+IF(Task!$A$16="",0,IF(ISNUMBER(SEARCH(" "&amp;Task!$A$16&amp;" "," "&amp;LOWER(SUBSTITUTE(SUBSTITUTE(SUBSTITUTE(SUBSTITUTE(A104,"/"," "),"."," "),"\"," "),"_"," "))&amp;" ")),1,0))+IF(Task!$A$17="",0,IF(ISNUMBER(SEARCH(" "&amp;Task!$A$17&amp;" "," "&amp;LOWER(SUBSTITUTE(SUBSTITUTE(SUBSTITUTE(SUBSTITUTE(A104,"/"," "),"."," "),"\"," "),"_"," "))&amp;" ")),1,0))+IF(Task!$A$18="",0,IF(ISNUMBER(SEARCH(" "&amp;Task!$A$18&amp;" "," "&amp;LOWER(SUBSTITUTE(SUBSTITUTE(SUBSTITUTE(SUBSTITUTE(A104,"/"," "),"."," "),"\"," "),"_"," "))&amp;" ")),1,0))+IF(Task!$A$19="",0,IF(ISNUMBER(SEARCH(" "&amp;Task!$A$19&amp;" "," "&amp;LOWER(SUBSTITUTE(SUBSTITUTE(SUBSTITUTE(SUBSTITUTE(A104,"/"," "),"."," "),"\"," "),"_"," "))&amp;" ")),1,0)))</f>
        <v/>
      </c>
      <c r="I104" s="10">
        <f>IF(OR(E104=0,F104=0,Task!$B$21=0),"",F104/Task!$B$21+0.5*G104+0.25*H104)</f>
        <v/>
      </c>
      <c r="J104" s="5">
        <f>IF(I104="","",I104-ROW()/1000000)</f>
        <v/>
      </c>
      <c r="K104" s="9">
        <f>IF(J104="","",COUNTIF($J$5:$J$404,"&gt;"&amp;J104)+1)</f>
        <v/>
      </c>
    </row>
    <row r="105">
      <c r="A105" s="7" t="n"/>
      <c r="B105" s="7" t="n"/>
      <c r="C105" s="7" t="n"/>
      <c r="D105" s="7" t="n"/>
      <c r="E105" s="5">
        <f>IF(A105="",0,IF(COUNTA(Task!$B$5:$E$5)=0,1,IF(COUNTIF(Task!$B$5:$E$5,B105)&gt;0,1,0)))</f>
        <v/>
      </c>
      <c r="F105" s="9">
        <f>IF(E105=0,0,IF(Task!$A$8="",0,IF(ISNUMBER(SEARCH(" "&amp;Task!$A$8&amp;" "," "&amp;LOWER(D105&amp;" "&amp;C105&amp;" "&amp;LOWER(SUBSTITUTE(SUBSTITUTE(SUBSTITUTE(SUBSTITUTE(A105,"/"," "),"."," "),"\"," "),"_"," ")))&amp;" ")),1,0))+IF(Task!$A$9="",0,IF(ISNUMBER(SEARCH(" "&amp;Task!$A$9&amp;" "," "&amp;LOWER(D105&amp;" "&amp;C105&amp;" "&amp;LOWER(SUBSTITUTE(SUBSTITUTE(SUBSTITUTE(SUBSTITUTE(A105,"/"," "),"."," "),"\"," "),"_"," ")))&amp;" ")),1,0))+IF(Task!$A$10="",0,IF(ISNUMBER(SEARCH(" "&amp;Task!$A$10&amp;" "," "&amp;LOWER(D105&amp;" "&amp;C105&amp;" "&amp;LOWER(SUBSTITUTE(SUBSTITUTE(SUBSTITUTE(SUBSTITUTE(A105,"/"," "),"."," "),"\"," "),"_"," ")))&amp;" ")),1,0))+IF(Task!$A$11="",0,IF(ISNUMBER(SEARCH(" "&amp;Task!$A$11&amp;" "," "&amp;LOWER(D105&amp;" "&amp;C105&amp;" "&amp;LOWER(SUBSTITUTE(SUBSTITUTE(SUBSTITUTE(SUBSTITUTE(A105,"/"," "),"."," "),"\"," "),"_"," ")))&amp;" ")),1,0))+IF(Task!$A$12="",0,IF(ISNUMBER(SEARCH(" "&amp;Task!$A$12&amp;" "," "&amp;LOWER(D105&amp;" "&amp;C105&amp;" "&amp;LOWER(SUBSTITUTE(SUBSTITUTE(SUBSTITUTE(SUBSTITUTE(A105,"/"," "),"."," "),"\"," "),"_"," ")))&amp;" ")),1,0))+IF(Task!$A$13="",0,IF(ISNUMBER(SEARCH(" "&amp;Task!$A$13&amp;" "," "&amp;LOWER(D105&amp;" "&amp;C105&amp;" "&amp;LOWER(SUBSTITUTE(SUBSTITUTE(SUBSTITUTE(SUBSTITUTE(A105,"/"," "),"."," "),"\"," "),"_"," ")))&amp;" ")),1,0))+IF(Task!$A$14="",0,IF(ISNUMBER(SEARCH(" "&amp;Task!$A$14&amp;" "," "&amp;LOWER(D105&amp;" "&amp;C105&amp;" "&amp;LOWER(SUBSTITUTE(SUBSTITUTE(SUBSTITUTE(SUBSTITUTE(A105,"/"," "),"."," "),"\"," "),"_"," ")))&amp;" ")),1,0))+IF(Task!$A$15="",0,IF(ISNUMBER(SEARCH(" "&amp;Task!$A$15&amp;" "," "&amp;LOWER(D105&amp;" "&amp;C105&amp;" "&amp;LOWER(SUBSTITUTE(SUBSTITUTE(SUBSTITUTE(SUBSTITUTE(A105,"/"," "),"."," "),"\"," "),"_"," ")))&amp;" ")),1,0))+IF(Task!$A$16="",0,IF(ISNUMBER(SEARCH(" "&amp;Task!$A$16&amp;" "," "&amp;LOWER(D105&amp;" "&amp;C105&amp;" "&amp;LOWER(SUBSTITUTE(SUBSTITUTE(SUBSTITUTE(SUBSTITUTE(A105,"/"," "),"."," "),"\"," "),"_"," ")))&amp;" ")),1,0))+IF(Task!$A$17="",0,IF(ISNUMBER(SEARCH(" "&amp;Task!$A$17&amp;" "," "&amp;LOWER(D105&amp;" "&amp;C105&amp;" "&amp;LOWER(SUBSTITUTE(SUBSTITUTE(SUBSTITUTE(SUBSTITUTE(A105,"/"," "),"."," "),"\"," "),"_"," ")))&amp;" ")),1,0))+IF(Task!$A$18="",0,IF(ISNUMBER(SEARCH(" "&amp;Task!$A$18&amp;" "," "&amp;LOWER(D105&amp;" "&amp;C105&amp;" "&amp;LOWER(SUBSTITUTE(SUBSTITUTE(SUBSTITUTE(SUBSTITUTE(A105,"/"," "),"."," "),"\"," "),"_"," ")))&amp;" ")),1,0))+IF(Task!$A$19="",0,IF(ISNUMBER(SEARCH(" "&amp;Task!$A$19&amp;" "," "&amp;LOWER(D105&amp;" "&amp;C105&amp;" "&amp;LOWER(SUBSTITUTE(SUBSTITUTE(SUBSTITUTE(SUBSTITUTE(A105,"/"," "),"."," "),"\"," "),"_"," ")))&amp;" ")),1,0)))</f>
        <v/>
      </c>
      <c r="G105" s="9">
        <f>IF(E105=0,0,IF(Task!$A$8="",0,IF(ISNUMBER(SEARCH(" "&amp;Task!$A$8&amp;" "," "&amp;LOWER(C105)&amp;" ")),1,0))+IF(Task!$A$9="",0,IF(ISNUMBER(SEARCH(" "&amp;Task!$A$9&amp;" "," "&amp;LOWER(C105)&amp;" ")),1,0))+IF(Task!$A$10="",0,IF(ISNUMBER(SEARCH(" "&amp;Task!$A$10&amp;" "," "&amp;LOWER(C105)&amp;" ")),1,0))+IF(Task!$A$11="",0,IF(ISNUMBER(SEARCH(" "&amp;Task!$A$11&amp;" "," "&amp;LOWER(C105)&amp;" ")),1,0))+IF(Task!$A$12="",0,IF(ISNUMBER(SEARCH(" "&amp;Task!$A$12&amp;" "," "&amp;LOWER(C105)&amp;" ")),1,0))+IF(Task!$A$13="",0,IF(ISNUMBER(SEARCH(" "&amp;Task!$A$13&amp;" "," "&amp;LOWER(C105)&amp;" ")),1,0))+IF(Task!$A$14="",0,IF(ISNUMBER(SEARCH(" "&amp;Task!$A$14&amp;" "," "&amp;LOWER(C105)&amp;" ")),1,0))+IF(Task!$A$15="",0,IF(ISNUMBER(SEARCH(" "&amp;Task!$A$15&amp;" "," "&amp;LOWER(C105)&amp;" ")),1,0))+IF(Task!$A$16="",0,IF(ISNUMBER(SEARCH(" "&amp;Task!$A$16&amp;" "," "&amp;LOWER(C105)&amp;" ")),1,0))+IF(Task!$A$17="",0,IF(ISNUMBER(SEARCH(" "&amp;Task!$A$17&amp;" "," "&amp;LOWER(C105)&amp;" ")),1,0))+IF(Task!$A$18="",0,IF(ISNUMBER(SEARCH(" "&amp;Task!$A$18&amp;" "," "&amp;LOWER(C105)&amp;" ")),1,0))+IF(Task!$A$19="",0,IF(ISNUMBER(SEARCH(" "&amp;Task!$A$19&amp;" "," "&amp;LOWER(C105)&amp;" ")),1,0)))</f>
        <v/>
      </c>
      <c r="H105" s="9">
        <f>IF(E105=0,0,IF(Task!$A$8="",0,IF(ISNUMBER(SEARCH(" "&amp;Task!$A$8&amp;" "," "&amp;LOWER(SUBSTITUTE(SUBSTITUTE(SUBSTITUTE(SUBSTITUTE(A105,"/"," "),"."," "),"\"," "),"_"," "))&amp;" ")),1,0))+IF(Task!$A$9="",0,IF(ISNUMBER(SEARCH(" "&amp;Task!$A$9&amp;" "," "&amp;LOWER(SUBSTITUTE(SUBSTITUTE(SUBSTITUTE(SUBSTITUTE(A105,"/"," "),"."," "),"\"," "),"_"," "))&amp;" ")),1,0))+IF(Task!$A$10="",0,IF(ISNUMBER(SEARCH(" "&amp;Task!$A$10&amp;" "," "&amp;LOWER(SUBSTITUTE(SUBSTITUTE(SUBSTITUTE(SUBSTITUTE(A105,"/"," "),"."," "),"\"," "),"_"," "))&amp;" ")),1,0))+IF(Task!$A$11="",0,IF(ISNUMBER(SEARCH(" "&amp;Task!$A$11&amp;" "," "&amp;LOWER(SUBSTITUTE(SUBSTITUTE(SUBSTITUTE(SUBSTITUTE(A105,"/"," "),"."," "),"\"," "),"_"," "))&amp;" ")),1,0))+IF(Task!$A$12="",0,IF(ISNUMBER(SEARCH(" "&amp;Task!$A$12&amp;" "," "&amp;LOWER(SUBSTITUTE(SUBSTITUTE(SUBSTITUTE(SUBSTITUTE(A105,"/"," "),"."," "),"\"," "),"_"," "))&amp;" ")),1,0))+IF(Task!$A$13="",0,IF(ISNUMBER(SEARCH(" "&amp;Task!$A$13&amp;" "," "&amp;LOWER(SUBSTITUTE(SUBSTITUTE(SUBSTITUTE(SUBSTITUTE(A105,"/"," "),"."," "),"\"," "),"_"," "))&amp;" ")),1,0))+IF(Task!$A$14="",0,IF(ISNUMBER(SEARCH(" "&amp;Task!$A$14&amp;" "," "&amp;LOWER(SUBSTITUTE(SUBSTITUTE(SUBSTITUTE(SUBSTITUTE(A105,"/"," "),"."," "),"\"," "),"_"," "))&amp;" ")),1,0))+IF(Task!$A$15="",0,IF(ISNUMBER(SEARCH(" "&amp;Task!$A$15&amp;" "," "&amp;LOWER(SUBSTITUTE(SUBSTITUTE(SUBSTITUTE(SUBSTITUTE(A105,"/"," "),"."," "),"\"," "),"_"," "))&amp;" ")),1,0))+IF(Task!$A$16="",0,IF(ISNUMBER(SEARCH(" "&amp;Task!$A$16&amp;" "," "&amp;LOWER(SUBSTITUTE(SUBSTITUTE(SUBSTITUTE(SUBSTITUTE(A105,"/"," "),"."," "),"\"," "),"_"," "))&amp;" ")),1,0))+IF(Task!$A$17="",0,IF(ISNUMBER(SEARCH(" "&amp;Task!$A$17&amp;" "," "&amp;LOWER(SUBSTITUTE(SUBSTITUTE(SUBSTITUTE(SUBSTITUTE(A105,"/"," "),"."," "),"\"," "),"_"," "))&amp;" ")),1,0))+IF(Task!$A$18="",0,IF(ISNUMBER(SEARCH(" "&amp;Task!$A$18&amp;" "," "&amp;LOWER(SUBSTITUTE(SUBSTITUTE(SUBSTITUTE(SUBSTITUTE(A105,"/"," "),"."," "),"\"," "),"_"," "))&amp;" ")),1,0))+IF(Task!$A$19="",0,IF(ISNUMBER(SEARCH(" "&amp;Task!$A$19&amp;" "," "&amp;LOWER(SUBSTITUTE(SUBSTITUTE(SUBSTITUTE(SUBSTITUTE(A105,"/"," "),"."," "),"\"," "),"_"," "))&amp;" ")),1,0)))</f>
        <v/>
      </c>
      <c r="I105" s="10">
        <f>IF(OR(E105=0,F105=0,Task!$B$21=0),"",F105/Task!$B$21+0.5*G105+0.25*H105)</f>
        <v/>
      </c>
      <c r="J105" s="5">
        <f>IF(I105="","",I105-ROW()/1000000)</f>
        <v/>
      </c>
      <c r="K105" s="9">
        <f>IF(J105="","",COUNTIF($J$5:$J$404,"&gt;"&amp;J105)+1)</f>
        <v/>
      </c>
    </row>
    <row r="106">
      <c r="A106" s="7" t="n"/>
      <c r="B106" s="7" t="n"/>
      <c r="C106" s="7" t="n"/>
      <c r="D106" s="7" t="n"/>
      <c r="E106" s="5">
        <f>IF(A106="",0,IF(COUNTA(Task!$B$5:$E$5)=0,1,IF(COUNTIF(Task!$B$5:$E$5,B106)&gt;0,1,0)))</f>
        <v/>
      </c>
      <c r="F106" s="9">
        <f>IF(E106=0,0,IF(Task!$A$8="",0,IF(ISNUMBER(SEARCH(" "&amp;Task!$A$8&amp;" "," "&amp;LOWER(D106&amp;" "&amp;C106&amp;" "&amp;LOWER(SUBSTITUTE(SUBSTITUTE(SUBSTITUTE(SUBSTITUTE(A106,"/"," "),"."," "),"\"," "),"_"," ")))&amp;" ")),1,0))+IF(Task!$A$9="",0,IF(ISNUMBER(SEARCH(" "&amp;Task!$A$9&amp;" "," "&amp;LOWER(D106&amp;" "&amp;C106&amp;" "&amp;LOWER(SUBSTITUTE(SUBSTITUTE(SUBSTITUTE(SUBSTITUTE(A106,"/"," "),"."," "),"\"," "),"_"," ")))&amp;" ")),1,0))+IF(Task!$A$10="",0,IF(ISNUMBER(SEARCH(" "&amp;Task!$A$10&amp;" "," "&amp;LOWER(D106&amp;" "&amp;C106&amp;" "&amp;LOWER(SUBSTITUTE(SUBSTITUTE(SUBSTITUTE(SUBSTITUTE(A106,"/"," "),"."," "),"\"," "),"_"," ")))&amp;" ")),1,0))+IF(Task!$A$11="",0,IF(ISNUMBER(SEARCH(" "&amp;Task!$A$11&amp;" "," "&amp;LOWER(D106&amp;" "&amp;C106&amp;" "&amp;LOWER(SUBSTITUTE(SUBSTITUTE(SUBSTITUTE(SUBSTITUTE(A106,"/"," "),"."," "),"\"," "),"_"," ")))&amp;" ")),1,0))+IF(Task!$A$12="",0,IF(ISNUMBER(SEARCH(" "&amp;Task!$A$12&amp;" "," "&amp;LOWER(D106&amp;" "&amp;C106&amp;" "&amp;LOWER(SUBSTITUTE(SUBSTITUTE(SUBSTITUTE(SUBSTITUTE(A106,"/"," "),"."," "),"\"," "),"_"," ")))&amp;" ")),1,0))+IF(Task!$A$13="",0,IF(ISNUMBER(SEARCH(" "&amp;Task!$A$13&amp;" "," "&amp;LOWER(D106&amp;" "&amp;C106&amp;" "&amp;LOWER(SUBSTITUTE(SUBSTITUTE(SUBSTITUTE(SUBSTITUTE(A106,"/"," "),"."," "),"\"," "),"_"," ")))&amp;" ")),1,0))+IF(Task!$A$14="",0,IF(ISNUMBER(SEARCH(" "&amp;Task!$A$14&amp;" "," "&amp;LOWER(D106&amp;" "&amp;C106&amp;" "&amp;LOWER(SUBSTITUTE(SUBSTITUTE(SUBSTITUTE(SUBSTITUTE(A106,"/"," "),"."," "),"\"," "),"_"," ")))&amp;" ")),1,0))+IF(Task!$A$15="",0,IF(ISNUMBER(SEARCH(" "&amp;Task!$A$15&amp;" "," "&amp;LOWER(D106&amp;" "&amp;C106&amp;" "&amp;LOWER(SUBSTITUTE(SUBSTITUTE(SUBSTITUTE(SUBSTITUTE(A106,"/"," "),"."," "),"\"," "),"_"," ")))&amp;" ")),1,0))+IF(Task!$A$16="",0,IF(ISNUMBER(SEARCH(" "&amp;Task!$A$16&amp;" "," "&amp;LOWER(D106&amp;" "&amp;C106&amp;" "&amp;LOWER(SUBSTITUTE(SUBSTITUTE(SUBSTITUTE(SUBSTITUTE(A106,"/"," "),"."," "),"\"," "),"_"," ")))&amp;" ")),1,0))+IF(Task!$A$17="",0,IF(ISNUMBER(SEARCH(" "&amp;Task!$A$17&amp;" "," "&amp;LOWER(D106&amp;" "&amp;C106&amp;" "&amp;LOWER(SUBSTITUTE(SUBSTITUTE(SUBSTITUTE(SUBSTITUTE(A106,"/"," "),"."," "),"\"," "),"_"," ")))&amp;" ")),1,0))+IF(Task!$A$18="",0,IF(ISNUMBER(SEARCH(" "&amp;Task!$A$18&amp;" "," "&amp;LOWER(D106&amp;" "&amp;C106&amp;" "&amp;LOWER(SUBSTITUTE(SUBSTITUTE(SUBSTITUTE(SUBSTITUTE(A106,"/"," "),"."," "),"\"," "),"_"," ")))&amp;" ")),1,0))+IF(Task!$A$19="",0,IF(ISNUMBER(SEARCH(" "&amp;Task!$A$19&amp;" "," "&amp;LOWER(D106&amp;" "&amp;C106&amp;" "&amp;LOWER(SUBSTITUTE(SUBSTITUTE(SUBSTITUTE(SUBSTITUTE(A106,"/"," "),"."," "),"\"," "),"_"," ")))&amp;" ")),1,0)))</f>
        <v/>
      </c>
      <c r="G106" s="9">
        <f>IF(E106=0,0,IF(Task!$A$8="",0,IF(ISNUMBER(SEARCH(" "&amp;Task!$A$8&amp;" "," "&amp;LOWER(C106)&amp;" ")),1,0))+IF(Task!$A$9="",0,IF(ISNUMBER(SEARCH(" "&amp;Task!$A$9&amp;" "," "&amp;LOWER(C106)&amp;" ")),1,0))+IF(Task!$A$10="",0,IF(ISNUMBER(SEARCH(" "&amp;Task!$A$10&amp;" "," "&amp;LOWER(C106)&amp;" ")),1,0))+IF(Task!$A$11="",0,IF(ISNUMBER(SEARCH(" "&amp;Task!$A$11&amp;" "," "&amp;LOWER(C106)&amp;" ")),1,0))+IF(Task!$A$12="",0,IF(ISNUMBER(SEARCH(" "&amp;Task!$A$12&amp;" "," "&amp;LOWER(C106)&amp;" ")),1,0))+IF(Task!$A$13="",0,IF(ISNUMBER(SEARCH(" "&amp;Task!$A$13&amp;" "," "&amp;LOWER(C106)&amp;" ")),1,0))+IF(Task!$A$14="",0,IF(ISNUMBER(SEARCH(" "&amp;Task!$A$14&amp;" "," "&amp;LOWER(C106)&amp;" ")),1,0))+IF(Task!$A$15="",0,IF(ISNUMBER(SEARCH(" "&amp;Task!$A$15&amp;" "," "&amp;LOWER(C106)&amp;" ")),1,0))+IF(Task!$A$16="",0,IF(ISNUMBER(SEARCH(" "&amp;Task!$A$16&amp;" "," "&amp;LOWER(C106)&amp;" ")),1,0))+IF(Task!$A$17="",0,IF(ISNUMBER(SEARCH(" "&amp;Task!$A$17&amp;" "," "&amp;LOWER(C106)&amp;" ")),1,0))+IF(Task!$A$18="",0,IF(ISNUMBER(SEARCH(" "&amp;Task!$A$18&amp;" "," "&amp;LOWER(C106)&amp;" ")),1,0))+IF(Task!$A$19="",0,IF(ISNUMBER(SEARCH(" "&amp;Task!$A$19&amp;" "," "&amp;LOWER(C106)&amp;" ")),1,0)))</f>
        <v/>
      </c>
      <c r="H106" s="9">
        <f>IF(E106=0,0,IF(Task!$A$8="",0,IF(ISNUMBER(SEARCH(" "&amp;Task!$A$8&amp;" "," "&amp;LOWER(SUBSTITUTE(SUBSTITUTE(SUBSTITUTE(SUBSTITUTE(A106,"/"," "),"."," "),"\"," "),"_"," "))&amp;" ")),1,0))+IF(Task!$A$9="",0,IF(ISNUMBER(SEARCH(" "&amp;Task!$A$9&amp;" "," "&amp;LOWER(SUBSTITUTE(SUBSTITUTE(SUBSTITUTE(SUBSTITUTE(A106,"/"," "),"."," "),"\"," "),"_"," "))&amp;" ")),1,0))+IF(Task!$A$10="",0,IF(ISNUMBER(SEARCH(" "&amp;Task!$A$10&amp;" "," "&amp;LOWER(SUBSTITUTE(SUBSTITUTE(SUBSTITUTE(SUBSTITUTE(A106,"/"," "),"."," "),"\"," "),"_"," "))&amp;" ")),1,0))+IF(Task!$A$11="",0,IF(ISNUMBER(SEARCH(" "&amp;Task!$A$11&amp;" "," "&amp;LOWER(SUBSTITUTE(SUBSTITUTE(SUBSTITUTE(SUBSTITUTE(A106,"/"," "),"."," "),"\"," "),"_"," "))&amp;" ")),1,0))+IF(Task!$A$12="",0,IF(ISNUMBER(SEARCH(" "&amp;Task!$A$12&amp;" "," "&amp;LOWER(SUBSTITUTE(SUBSTITUTE(SUBSTITUTE(SUBSTITUTE(A106,"/"," "),"."," "),"\"," "),"_"," "))&amp;" ")),1,0))+IF(Task!$A$13="",0,IF(ISNUMBER(SEARCH(" "&amp;Task!$A$13&amp;" "," "&amp;LOWER(SUBSTITUTE(SUBSTITUTE(SUBSTITUTE(SUBSTITUTE(A106,"/"," "),"."," "),"\"," "),"_"," "))&amp;" ")),1,0))+IF(Task!$A$14="",0,IF(ISNUMBER(SEARCH(" "&amp;Task!$A$14&amp;" "," "&amp;LOWER(SUBSTITUTE(SUBSTITUTE(SUBSTITUTE(SUBSTITUTE(A106,"/"," "),"."," "),"\"," "),"_"," "))&amp;" ")),1,0))+IF(Task!$A$15="",0,IF(ISNUMBER(SEARCH(" "&amp;Task!$A$15&amp;" "," "&amp;LOWER(SUBSTITUTE(SUBSTITUTE(SUBSTITUTE(SUBSTITUTE(A106,"/"," "),"."," "),"\"," "),"_"," "))&amp;" ")),1,0))+IF(Task!$A$16="",0,IF(ISNUMBER(SEARCH(" "&amp;Task!$A$16&amp;" "," "&amp;LOWER(SUBSTITUTE(SUBSTITUTE(SUBSTITUTE(SUBSTITUTE(A106,"/"," "),"."," "),"\"," "),"_"," "))&amp;" ")),1,0))+IF(Task!$A$17="",0,IF(ISNUMBER(SEARCH(" "&amp;Task!$A$17&amp;" "," "&amp;LOWER(SUBSTITUTE(SUBSTITUTE(SUBSTITUTE(SUBSTITUTE(A106,"/"," "),"."," "),"\"," "),"_"," "))&amp;" ")),1,0))+IF(Task!$A$18="",0,IF(ISNUMBER(SEARCH(" "&amp;Task!$A$18&amp;" "," "&amp;LOWER(SUBSTITUTE(SUBSTITUTE(SUBSTITUTE(SUBSTITUTE(A106,"/"," "),"."," "),"\"," "),"_"," "))&amp;" ")),1,0))+IF(Task!$A$19="",0,IF(ISNUMBER(SEARCH(" "&amp;Task!$A$19&amp;" "," "&amp;LOWER(SUBSTITUTE(SUBSTITUTE(SUBSTITUTE(SUBSTITUTE(A106,"/"," "),"."," "),"\"," "),"_"," "))&amp;" ")),1,0)))</f>
        <v/>
      </c>
      <c r="I106" s="10">
        <f>IF(OR(E106=0,F106=0,Task!$B$21=0),"",F106/Task!$B$21+0.5*G106+0.25*H106)</f>
        <v/>
      </c>
      <c r="J106" s="5">
        <f>IF(I106="","",I106-ROW()/1000000)</f>
        <v/>
      </c>
      <c r="K106" s="9">
        <f>IF(J106="","",COUNTIF($J$5:$J$404,"&gt;"&amp;J106)+1)</f>
        <v/>
      </c>
    </row>
    <row r="107">
      <c r="A107" s="7" t="n"/>
      <c r="B107" s="7" t="n"/>
      <c r="C107" s="7" t="n"/>
      <c r="D107" s="7" t="n"/>
      <c r="E107" s="5">
        <f>IF(A107="",0,IF(COUNTA(Task!$B$5:$E$5)=0,1,IF(COUNTIF(Task!$B$5:$E$5,B107)&gt;0,1,0)))</f>
        <v/>
      </c>
      <c r="F107" s="9">
        <f>IF(E107=0,0,IF(Task!$A$8="",0,IF(ISNUMBER(SEARCH(" "&amp;Task!$A$8&amp;" "," "&amp;LOWER(D107&amp;" "&amp;C107&amp;" "&amp;LOWER(SUBSTITUTE(SUBSTITUTE(SUBSTITUTE(SUBSTITUTE(A107,"/"," "),"."," "),"\"," "),"_"," ")))&amp;" ")),1,0))+IF(Task!$A$9="",0,IF(ISNUMBER(SEARCH(" "&amp;Task!$A$9&amp;" "," "&amp;LOWER(D107&amp;" "&amp;C107&amp;" "&amp;LOWER(SUBSTITUTE(SUBSTITUTE(SUBSTITUTE(SUBSTITUTE(A107,"/"," "),"."," "),"\"," "),"_"," ")))&amp;" ")),1,0))+IF(Task!$A$10="",0,IF(ISNUMBER(SEARCH(" "&amp;Task!$A$10&amp;" "," "&amp;LOWER(D107&amp;" "&amp;C107&amp;" "&amp;LOWER(SUBSTITUTE(SUBSTITUTE(SUBSTITUTE(SUBSTITUTE(A107,"/"," "),"."," "),"\"," "),"_"," ")))&amp;" ")),1,0))+IF(Task!$A$11="",0,IF(ISNUMBER(SEARCH(" "&amp;Task!$A$11&amp;" "," "&amp;LOWER(D107&amp;" "&amp;C107&amp;" "&amp;LOWER(SUBSTITUTE(SUBSTITUTE(SUBSTITUTE(SUBSTITUTE(A107,"/"," "),"."," "),"\"," "),"_"," ")))&amp;" ")),1,0))+IF(Task!$A$12="",0,IF(ISNUMBER(SEARCH(" "&amp;Task!$A$12&amp;" "," "&amp;LOWER(D107&amp;" "&amp;C107&amp;" "&amp;LOWER(SUBSTITUTE(SUBSTITUTE(SUBSTITUTE(SUBSTITUTE(A107,"/"," "),"."," "),"\"," "),"_"," ")))&amp;" ")),1,0))+IF(Task!$A$13="",0,IF(ISNUMBER(SEARCH(" "&amp;Task!$A$13&amp;" "," "&amp;LOWER(D107&amp;" "&amp;C107&amp;" "&amp;LOWER(SUBSTITUTE(SUBSTITUTE(SUBSTITUTE(SUBSTITUTE(A107,"/"," "),"."," "),"\"," "),"_"," ")))&amp;" ")),1,0))+IF(Task!$A$14="",0,IF(ISNUMBER(SEARCH(" "&amp;Task!$A$14&amp;" "," "&amp;LOWER(D107&amp;" "&amp;C107&amp;" "&amp;LOWER(SUBSTITUTE(SUBSTITUTE(SUBSTITUTE(SUBSTITUTE(A107,"/"," "),"."," "),"\"," "),"_"," ")))&amp;" ")),1,0))+IF(Task!$A$15="",0,IF(ISNUMBER(SEARCH(" "&amp;Task!$A$15&amp;" "," "&amp;LOWER(D107&amp;" "&amp;C107&amp;" "&amp;LOWER(SUBSTITUTE(SUBSTITUTE(SUBSTITUTE(SUBSTITUTE(A107,"/"," "),"."," "),"\"," "),"_"," ")))&amp;" ")),1,0))+IF(Task!$A$16="",0,IF(ISNUMBER(SEARCH(" "&amp;Task!$A$16&amp;" "," "&amp;LOWER(D107&amp;" "&amp;C107&amp;" "&amp;LOWER(SUBSTITUTE(SUBSTITUTE(SUBSTITUTE(SUBSTITUTE(A107,"/"," "),"."," "),"\"," "),"_"," ")))&amp;" ")),1,0))+IF(Task!$A$17="",0,IF(ISNUMBER(SEARCH(" "&amp;Task!$A$17&amp;" "," "&amp;LOWER(D107&amp;" "&amp;C107&amp;" "&amp;LOWER(SUBSTITUTE(SUBSTITUTE(SUBSTITUTE(SUBSTITUTE(A107,"/"," "),"."," "),"\"," "),"_"," ")))&amp;" ")),1,0))+IF(Task!$A$18="",0,IF(ISNUMBER(SEARCH(" "&amp;Task!$A$18&amp;" "," "&amp;LOWER(D107&amp;" "&amp;C107&amp;" "&amp;LOWER(SUBSTITUTE(SUBSTITUTE(SUBSTITUTE(SUBSTITUTE(A107,"/"," "),"."," "),"\"," "),"_"," ")))&amp;" ")),1,0))+IF(Task!$A$19="",0,IF(ISNUMBER(SEARCH(" "&amp;Task!$A$19&amp;" "," "&amp;LOWER(D107&amp;" "&amp;C107&amp;" "&amp;LOWER(SUBSTITUTE(SUBSTITUTE(SUBSTITUTE(SUBSTITUTE(A107,"/"," "),"."," "),"\"," "),"_"," ")))&amp;" ")),1,0)))</f>
        <v/>
      </c>
      <c r="G107" s="9">
        <f>IF(E107=0,0,IF(Task!$A$8="",0,IF(ISNUMBER(SEARCH(" "&amp;Task!$A$8&amp;" "," "&amp;LOWER(C107)&amp;" ")),1,0))+IF(Task!$A$9="",0,IF(ISNUMBER(SEARCH(" "&amp;Task!$A$9&amp;" "," "&amp;LOWER(C107)&amp;" ")),1,0))+IF(Task!$A$10="",0,IF(ISNUMBER(SEARCH(" "&amp;Task!$A$10&amp;" "," "&amp;LOWER(C107)&amp;" ")),1,0))+IF(Task!$A$11="",0,IF(ISNUMBER(SEARCH(" "&amp;Task!$A$11&amp;" "," "&amp;LOWER(C107)&amp;" ")),1,0))+IF(Task!$A$12="",0,IF(ISNUMBER(SEARCH(" "&amp;Task!$A$12&amp;" "," "&amp;LOWER(C107)&amp;" ")),1,0))+IF(Task!$A$13="",0,IF(ISNUMBER(SEARCH(" "&amp;Task!$A$13&amp;" "," "&amp;LOWER(C107)&amp;" ")),1,0))+IF(Task!$A$14="",0,IF(ISNUMBER(SEARCH(" "&amp;Task!$A$14&amp;" "," "&amp;LOWER(C107)&amp;" ")),1,0))+IF(Task!$A$15="",0,IF(ISNUMBER(SEARCH(" "&amp;Task!$A$15&amp;" "," "&amp;LOWER(C107)&amp;" ")),1,0))+IF(Task!$A$16="",0,IF(ISNUMBER(SEARCH(" "&amp;Task!$A$16&amp;" "," "&amp;LOWER(C107)&amp;" ")),1,0))+IF(Task!$A$17="",0,IF(ISNUMBER(SEARCH(" "&amp;Task!$A$17&amp;" "," "&amp;LOWER(C107)&amp;" ")),1,0))+IF(Task!$A$18="",0,IF(ISNUMBER(SEARCH(" "&amp;Task!$A$18&amp;" "," "&amp;LOWER(C107)&amp;" ")),1,0))+IF(Task!$A$19="",0,IF(ISNUMBER(SEARCH(" "&amp;Task!$A$19&amp;" "," "&amp;LOWER(C107)&amp;" ")),1,0)))</f>
        <v/>
      </c>
      <c r="H107" s="9">
        <f>IF(E107=0,0,IF(Task!$A$8="",0,IF(ISNUMBER(SEARCH(" "&amp;Task!$A$8&amp;" "," "&amp;LOWER(SUBSTITUTE(SUBSTITUTE(SUBSTITUTE(SUBSTITUTE(A107,"/"," "),"."," "),"\"," "),"_"," "))&amp;" ")),1,0))+IF(Task!$A$9="",0,IF(ISNUMBER(SEARCH(" "&amp;Task!$A$9&amp;" "," "&amp;LOWER(SUBSTITUTE(SUBSTITUTE(SUBSTITUTE(SUBSTITUTE(A107,"/"," "),"."," "),"\"," "),"_"," "))&amp;" ")),1,0))+IF(Task!$A$10="",0,IF(ISNUMBER(SEARCH(" "&amp;Task!$A$10&amp;" "," "&amp;LOWER(SUBSTITUTE(SUBSTITUTE(SUBSTITUTE(SUBSTITUTE(A107,"/"," "),"."," "),"\"," "),"_"," "))&amp;" ")),1,0))+IF(Task!$A$11="",0,IF(ISNUMBER(SEARCH(" "&amp;Task!$A$11&amp;" "," "&amp;LOWER(SUBSTITUTE(SUBSTITUTE(SUBSTITUTE(SUBSTITUTE(A107,"/"," "),"."," "),"\"," "),"_"," "))&amp;" ")),1,0))+IF(Task!$A$12="",0,IF(ISNUMBER(SEARCH(" "&amp;Task!$A$12&amp;" "," "&amp;LOWER(SUBSTITUTE(SUBSTITUTE(SUBSTITUTE(SUBSTITUTE(A107,"/"," "),"."," "),"\"," "),"_"," "))&amp;" ")),1,0))+IF(Task!$A$13="",0,IF(ISNUMBER(SEARCH(" "&amp;Task!$A$13&amp;" "," "&amp;LOWER(SUBSTITUTE(SUBSTITUTE(SUBSTITUTE(SUBSTITUTE(A107,"/"," "),"."," "),"\"," "),"_"," "))&amp;" ")),1,0))+IF(Task!$A$14="",0,IF(ISNUMBER(SEARCH(" "&amp;Task!$A$14&amp;" "," "&amp;LOWER(SUBSTITUTE(SUBSTITUTE(SUBSTITUTE(SUBSTITUTE(A107,"/"," "),"."," "),"\"," "),"_"," "))&amp;" ")),1,0))+IF(Task!$A$15="",0,IF(ISNUMBER(SEARCH(" "&amp;Task!$A$15&amp;" "," "&amp;LOWER(SUBSTITUTE(SUBSTITUTE(SUBSTITUTE(SUBSTITUTE(A107,"/"," "),"."," "),"\"," "),"_"," "))&amp;" ")),1,0))+IF(Task!$A$16="",0,IF(ISNUMBER(SEARCH(" "&amp;Task!$A$16&amp;" "," "&amp;LOWER(SUBSTITUTE(SUBSTITUTE(SUBSTITUTE(SUBSTITUTE(A107,"/"," "),"."," "),"\"," "),"_"," "))&amp;" ")),1,0))+IF(Task!$A$17="",0,IF(ISNUMBER(SEARCH(" "&amp;Task!$A$17&amp;" "," "&amp;LOWER(SUBSTITUTE(SUBSTITUTE(SUBSTITUTE(SUBSTITUTE(A107,"/"," "),"."," "),"\"," "),"_"," "))&amp;" ")),1,0))+IF(Task!$A$18="",0,IF(ISNUMBER(SEARCH(" "&amp;Task!$A$18&amp;" "," "&amp;LOWER(SUBSTITUTE(SUBSTITUTE(SUBSTITUTE(SUBSTITUTE(A107,"/"," "),"."," "),"\"," "),"_"," "))&amp;" ")),1,0))+IF(Task!$A$19="",0,IF(ISNUMBER(SEARCH(" "&amp;Task!$A$19&amp;" "," "&amp;LOWER(SUBSTITUTE(SUBSTITUTE(SUBSTITUTE(SUBSTITUTE(A107,"/"," "),"."," "),"\"," "),"_"," "))&amp;" ")),1,0)))</f>
        <v/>
      </c>
      <c r="I107" s="10">
        <f>IF(OR(E107=0,F107=0,Task!$B$21=0),"",F107/Task!$B$21+0.5*G107+0.25*H107)</f>
        <v/>
      </c>
      <c r="J107" s="5">
        <f>IF(I107="","",I107-ROW()/1000000)</f>
        <v/>
      </c>
      <c r="K107" s="9">
        <f>IF(J107="","",COUNTIF($J$5:$J$404,"&gt;"&amp;J107)+1)</f>
        <v/>
      </c>
    </row>
    <row r="108">
      <c r="A108" s="7" t="n"/>
      <c r="B108" s="7" t="n"/>
      <c r="C108" s="7" t="n"/>
      <c r="D108" s="7" t="n"/>
      <c r="E108" s="5">
        <f>IF(A108="",0,IF(COUNTA(Task!$B$5:$E$5)=0,1,IF(COUNTIF(Task!$B$5:$E$5,B108)&gt;0,1,0)))</f>
        <v/>
      </c>
      <c r="F108" s="9">
        <f>IF(E108=0,0,IF(Task!$A$8="",0,IF(ISNUMBER(SEARCH(" "&amp;Task!$A$8&amp;" "," "&amp;LOWER(D108&amp;" "&amp;C108&amp;" "&amp;LOWER(SUBSTITUTE(SUBSTITUTE(SUBSTITUTE(SUBSTITUTE(A108,"/"," "),"."," "),"\"," "),"_"," ")))&amp;" ")),1,0))+IF(Task!$A$9="",0,IF(ISNUMBER(SEARCH(" "&amp;Task!$A$9&amp;" "," "&amp;LOWER(D108&amp;" "&amp;C108&amp;" "&amp;LOWER(SUBSTITUTE(SUBSTITUTE(SUBSTITUTE(SUBSTITUTE(A108,"/"," "),"."," "),"\"," "),"_"," ")))&amp;" ")),1,0))+IF(Task!$A$10="",0,IF(ISNUMBER(SEARCH(" "&amp;Task!$A$10&amp;" "," "&amp;LOWER(D108&amp;" "&amp;C108&amp;" "&amp;LOWER(SUBSTITUTE(SUBSTITUTE(SUBSTITUTE(SUBSTITUTE(A108,"/"," "),"."," "),"\"," "),"_"," ")))&amp;" ")),1,0))+IF(Task!$A$11="",0,IF(ISNUMBER(SEARCH(" "&amp;Task!$A$11&amp;" "," "&amp;LOWER(D108&amp;" "&amp;C108&amp;" "&amp;LOWER(SUBSTITUTE(SUBSTITUTE(SUBSTITUTE(SUBSTITUTE(A108,"/"," "),"."," "),"\"," "),"_"," ")))&amp;" ")),1,0))+IF(Task!$A$12="",0,IF(ISNUMBER(SEARCH(" "&amp;Task!$A$12&amp;" "," "&amp;LOWER(D108&amp;" "&amp;C108&amp;" "&amp;LOWER(SUBSTITUTE(SUBSTITUTE(SUBSTITUTE(SUBSTITUTE(A108,"/"," "),"."," "),"\"," "),"_"," ")))&amp;" ")),1,0))+IF(Task!$A$13="",0,IF(ISNUMBER(SEARCH(" "&amp;Task!$A$13&amp;" "," "&amp;LOWER(D108&amp;" "&amp;C108&amp;" "&amp;LOWER(SUBSTITUTE(SUBSTITUTE(SUBSTITUTE(SUBSTITUTE(A108,"/"," "),"."," "),"\"," "),"_"," ")))&amp;" ")),1,0))+IF(Task!$A$14="",0,IF(ISNUMBER(SEARCH(" "&amp;Task!$A$14&amp;" "," "&amp;LOWER(D108&amp;" "&amp;C108&amp;" "&amp;LOWER(SUBSTITUTE(SUBSTITUTE(SUBSTITUTE(SUBSTITUTE(A108,"/"," "),"."," "),"\"," "),"_"," ")))&amp;" ")),1,0))+IF(Task!$A$15="",0,IF(ISNUMBER(SEARCH(" "&amp;Task!$A$15&amp;" "," "&amp;LOWER(D108&amp;" "&amp;C108&amp;" "&amp;LOWER(SUBSTITUTE(SUBSTITUTE(SUBSTITUTE(SUBSTITUTE(A108,"/"," "),"."," "),"\"," "),"_"," ")))&amp;" ")),1,0))+IF(Task!$A$16="",0,IF(ISNUMBER(SEARCH(" "&amp;Task!$A$16&amp;" "," "&amp;LOWER(D108&amp;" "&amp;C108&amp;" "&amp;LOWER(SUBSTITUTE(SUBSTITUTE(SUBSTITUTE(SUBSTITUTE(A108,"/"," "),"."," "),"\"," "),"_"," ")))&amp;" ")),1,0))+IF(Task!$A$17="",0,IF(ISNUMBER(SEARCH(" "&amp;Task!$A$17&amp;" "," "&amp;LOWER(D108&amp;" "&amp;C108&amp;" "&amp;LOWER(SUBSTITUTE(SUBSTITUTE(SUBSTITUTE(SUBSTITUTE(A108,"/"," "),"."," "),"\"," "),"_"," ")))&amp;" ")),1,0))+IF(Task!$A$18="",0,IF(ISNUMBER(SEARCH(" "&amp;Task!$A$18&amp;" "," "&amp;LOWER(D108&amp;" "&amp;C108&amp;" "&amp;LOWER(SUBSTITUTE(SUBSTITUTE(SUBSTITUTE(SUBSTITUTE(A108,"/"," "),"."," "),"\"," "),"_"," ")))&amp;" ")),1,0))+IF(Task!$A$19="",0,IF(ISNUMBER(SEARCH(" "&amp;Task!$A$19&amp;" "," "&amp;LOWER(D108&amp;" "&amp;C108&amp;" "&amp;LOWER(SUBSTITUTE(SUBSTITUTE(SUBSTITUTE(SUBSTITUTE(A108,"/"," "),"."," "),"\"," "),"_"," ")))&amp;" ")),1,0)))</f>
        <v/>
      </c>
      <c r="G108" s="9">
        <f>IF(E108=0,0,IF(Task!$A$8="",0,IF(ISNUMBER(SEARCH(" "&amp;Task!$A$8&amp;" "," "&amp;LOWER(C108)&amp;" ")),1,0))+IF(Task!$A$9="",0,IF(ISNUMBER(SEARCH(" "&amp;Task!$A$9&amp;" "," "&amp;LOWER(C108)&amp;" ")),1,0))+IF(Task!$A$10="",0,IF(ISNUMBER(SEARCH(" "&amp;Task!$A$10&amp;" "," "&amp;LOWER(C108)&amp;" ")),1,0))+IF(Task!$A$11="",0,IF(ISNUMBER(SEARCH(" "&amp;Task!$A$11&amp;" "," "&amp;LOWER(C108)&amp;" ")),1,0))+IF(Task!$A$12="",0,IF(ISNUMBER(SEARCH(" "&amp;Task!$A$12&amp;" "," "&amp;LOWER(C108)&amp;" ")),1,0))+IF(Task!$A$13="",0,IF(ISNUMBER(SEARCH(" "&amp;Task!$A$13&amp;" "," "&amp;LOWER(C108)&amp;" ")),1,0))+IF(Task!$A$14="",0,IF(ISNUMBER(SEARCH(" "&amp;Task!$A$14&amp;" "," "&amp;LOWER(C108)&amp;" ")),1,0))+IF(Task!$A$15="",0,IF(ISNUMBER(SEARCH(" "&amp;Task!$A$15&amp;" "," "&amp;LOWER(C108)&amp;" ")),1,0))+IF(Task!$A$16="",0,IF(ISNUMBER(SEARCH(" "&amp;Task!$A$16&amp;" "," "&amp;LOWER(C108)&amp;" ")),1,0))+IF(Task!$A$17="",0,IF(ISNUMBER(SEARCH(" "&amp;Task!$A$17&amp;" "," "&amp;LOWER(C108)&amp;" ")),1,0))+IF(Task!$A$18="",0,IF(ISNUMBER(SEARCH(" "&amp;Task!$A$18&amp;" "," "&amp;LOWER(C108)&amp;" ")),1,0))+IF(Task!$A$19="",0,IF(ISNUMBER(SEARCH(" "&amp;Task!$A$19&amp;" "," "&amp;LOWER(C108)&amp;" ")),1,0)))</f>
        <v/>
      </c>
      <c r="H108" s="9">
        <f>IF(E108=0,0,IF(Task!$A$8="",0,IF(ISNUMBER(SEARCH(" "&amp;Task!$A$8&amp;" "," "&amp;LOWER(SUBSTITUTE(SUBSTITUTE(SUBSTITUTE(SUBSTITUTE(A108,"/"," "),"."," "),"\"," "),"_"," "))&amp;" ")),1,0))+IF(Task!$A$9="",0,IF(ISNUMBER(SEARCH(" "&amp;Task!$A$9&amp;" "," "&amp;LOWER(SUBSTITUTE(SUBSTITUTE(SUBSTITUTE(SUBSTITUTE(A108,"/"," "),"."," "),"\"," "),"_"," "))&amp;" ")),1,0))+IF(Task!$A$10="",0,IF(ISNUMBER(SEARCH(" "&amp;Task!$A$10&amp;" "," "&amp;LOWER(SUBSTITUTE(SUBSTITUTE(SUBSTITUTE(SUBSTITUTE(A108,"/"," "),"."," "),"\"," "),"_"," "))&amp;" ")),1,0))+IF(Task!$A$11="",0,IF(ISNUMBER(SEARCH(" "&amp;Task!$A$11&amp;" "," "&amp;LOWER(SUBSTITUTE(SUBSTITUTE(SUBSTITUTE(SUBSTITUTE(A108,"/"," "),"."," "),"\"," "),"_"," "))&amp;" ")),1,0))+IF(Task!$A$12="",0,IF(ISNUMBER(SEARCH(" "&amp;Task!$A$12&amp;" "," "&amp;LOWER(SUBSTITUTE(SUBSTITUTE(SUBSTITUTE(SUBSTITUTE(A108,"/"," "),"."," "),"\"," "),"_"," "))&amp;" ")),1,0))+IF(Task!$A$13="",0,IF(ISNUMBER(SEARCH(" "&amp;Task!$A$13&amp;" "," "&amp;LOWER(SUBSTITUTE(SUBSTITUTE(SUBSTITUTE(SUBSTITUTE(A108,"/"," "),"."," "),"\"," "),"_"," "))&amp;" ")),1,0))+IF(Task!$A$14="",0,IF(ISNUMBER(SEARCH(" "&amp;Task!$A$14&amp;" "," "&amp;LOWER(SUBSTITUTE(SUBSTITUTE(SUBSTITUTE(SUBSTITUTE(A108,"/"," "),"."," "),"\"," "),"_"," "))&amp;" ")),1,0))+IF(Task!$A$15="",0,IF(ISNUMBER(SEARCH(" "&amp;Task!$A$15&amp;" "," "&amp;LOWER(SUBSTITUTE(SUBSTITUTE(SUBSTITUTE(SUBSTITUTE(A108,"/"," "),"."," "),"\"," "),"_"," "))&amp;" ")),1,0))+IF(Task!$A$16="",0,IF(ISNUMBER(SEARCH(" "&amp;Task!$A$16&amp;" "," "&amp;LOWER(SUBSTITUTE(SUBSTITUTE(SUBSTITUTE(SUBSTITUTE(A108,"/"," "),"."," "),"\"," "),"_"," "))&amp;" ")),1,0))+IF(Task!$A$17="",0,IF(ISNUMBER(SEARCH(" "&amp;Task!$A$17&amp;" "," "&amp;LOWER(SUBSTITUTE(SUBSTITUTE(SUBSTITUTE(SUBSTITUTE(A108,"/"," "),"."," "),"\"," "),"_"," "))&amp;" ")),1,0))+IF(Task!$A$18="",0,IF(ISNUMBER(SEARCH(" "&amp;Task!$A$18&amp;" "," "&amp;LOWER(SUBSTITUTE(SUBSTITUTE(SUBSTITUTE(SUBSTITUTE(A108,"/"," "),"."," "),"\"," "),"_"," "))&amp;" ")),1,0))+IF(Task!$A$19="",0,IF(ISNUMBER(SEARCH(" "&amp;Task!$A$19&amp;" "," "&amp;LOWER(SUBSTITUTE(SUBSTITUTE(SUBSTITUTE(SUBSTITUTE(A108,"/"," "),"."," "),"\"," "),"_"," "))&amp;" ")),1,0)))</f>
        <v/>
      </c>
      <c r="I108" s="10">
        <f>IF(OR(E108=0,F108=0,Task!$B$21=0),"",F108/Task!$B$21+0.5*G108+0.25*H108)</f>
        <v/>
      </c>
      <c r="J108" s="5">
        <f>IF(I108="","",I108-ROW()/1000000)</f>
        <v/>
      </c>
      <c r="K108" s="9">
        <f>IF(J108="","",COUNTIF($J$5:$J$404,"&gt;"&amp;J108)+1)</f>
        <v/>
      </c>
    </row>
    <row r="109">
      <c r="A109" s="7" t="n"/>
      <c r="B109" s="7" t="n"/>
      <c r="C109" s="7" t="n"/>
      <c r="D109" s="7" t="n"/>
      <c r="E109" s="5">
        <f>IF(A109="",0,IF(COUNTA(Task!$B$5:$E$5)=0,1,IF(COUNTIF(Task!$B$5:$E$5,B109)&gt;0,1,0)))</f>
        <v/>
      </c>
      <c r="F109" s="9">
        <f>IF(E109=0,0,IF(Task!$A$8="",0,IF(ISNUMBER(SEARCH(" "&amp;Task!$A$8&amp;" "," "&amp;LOWER(D109&amp;" "&amp;C109&amp;" "&amp;LOWER(SUBSTITUTE(SUBSTITUTE(SUBSTITUTE(SUBSTITUTE(A109,"/"," "),"."," "),"\"," "),"_"," ")))&amp;" ")),1,0))+IF(Task!$A$9="",0,IF(ISNUMBER(SEARCH(" "&amp;Task!$A$9&amp;" "," "&amp;LOWER(D109&amp;" "&amp;C109&amp;" "&amp;LOWER(SUBSTITUTE(SUBSTITUTE(SUBSTITUTE(SUBSTITUTE(A109,"/"," "),"."," "),"\"," "),"_"," ")))&amp;" ")),1,0))+IF(Task!$A$10="",0,IF(ISNUMBER(SEARCH(" "&amp;Task!$A$10&amp;" "," "&amp;LOWER(D109&amp;" "&amp;C109&amp;" "&amp;LOWER(SUBSTITUTE(SUBSTITUTE(SUBSTITUTE(SUBSTITUTE(A109,"/"," "),"."," "),"\"," "),"_"," ")))&amp;" ")),1,0))+IF(Task!$A$11="",0,IF(ISNUMBER(SEARCH(" "&amp;Task!$A$11&amp;" "," "&amp;LOWER(D109&amp;" "&amp;C109&amp;" "&amp;LOWER(SUBSTITUTE(SUBSTITUTE(SUBSTITUTE(SUBSTITUTE(A109,"/"," "),"."," "),"\"," "),"_"," ")))&amp;" ")),1,0))+IF(Task!$A$12="",0,IF(ISNUMBER(SEARCH(" "&amp;Task!$A$12&amp;" "," "&amp;LOWER(D109&amp;" "&amp;C109&amp;" "&amp;LOWER(SUBSTITUTE(SUBSTITUTE(SUBSTITUTE(SUBSTITUTE(A109,"/"," "),"."," "),"\"," "),"_"," ")))&amp;" ")),1,0))+IF(Task!$A$13="",0,IF(ISNUMBER(SEARCH(" "&amp;Task!$A$13&amp;" "," "&amp;LOWER(D109&amp;" "&amp;C109&amp;" "&amp;LOWER(SUBSTITUTE(SUBSTITUTE(SUBSTITUTE(SUBSTITUTE(A109,"/"," "),"."," "),"\"," "),"_"," ")))&amp;" ")),1,0))+IF(Task!$A$14="",0,IF(ISNUMBER(SEARCH(" "&amp;Task!$A$14&amp;" "," "&amp;LOWER(D109&amp;" "&amp;C109&amp;" "&amp;LOWER(SUBSTITUTE(SUBSTITUTE(SUBSTITUTE(SUBSTITUTE(A109,"/"," "),"."," "),"\"," "),"_"," ")))&amp;" ")),1,0))+IF(Task!$A$15="",0,IF(ISNUMBER(SEARCH(" "&amp;Task!$A$15&amp;" "," "&amp;LOWER(D109&amp;" "&amp;C109&amp;" "&amp;LOWER(SUBSTITUTE(SUBSTITUTE(SUBSTITUTE(SUBSTITUTE(A109,"/"," "),"."," "),"\"," "),"_"," ")))&amp;" ")),1,0))+IF(Task!$A$16="",0,IF(ISNUMBER(SEARCH(" "&amp;Task!$A$16&amp;" "," "&amp;LOWER(D109&amp;" "&amp;C109&amp;" "&amp;LOWER(SUBSTITUTE(SUBSTITUTE(SUBSTITUTE(SUBSTITUTE(A109,"/"," "),"."," "),"\"," "),"_"," ")))&amp;" ")),1,0))+IF(Task!$A$17="",0,IF(ISNUMBER(SEARCH(" "&amp;Task!$A$17&amp;" "," "&amp;LOWER(D109&amp;" "&amp;C109&amp;" "&amp;LOWER(SUBSTITUTE(SUBSTITUTE(SUBSTITUTE(SUBSTITUTE(A109,"/"," "),"."," "),"\"," "),"_"," ")))&amp;" ")),1,0))+IF(Task!$A$18="",0,IF(ISNUMBER(SEARCH(" "&amp;Task!$A$18&amp;" "," "&amp;LOWER(D109&amp;" "&amp;C109&amp;" "&amp;LOWER(SUBSTITUTE(SUBSTITUTE(SUBSTITUTE(SUBSTITUTE(A109,"/"," "),"."," "),"\"," "),"_"," ")))&amp;" ")),1,0))+IF(Task!$A$19="",0,IF(ISNUMBER(SEARCH(" "&amp;Task!$A$19&amp;" "," "&amp;LOWER(D109&amp;" "&amp;C109&amp;" "&amp;LOWER(SUBSTITUTE(SUBSTITUTE(SUBSTITUTE(SUBSTITUTE(A109,"/"," "),"."," "),"\"," "),"_"," ")))&amp;" ")),1,0)))</f>
        <v/>
      </c>
      <c r="G109" s="9">
        <f>IF(E109=0,0,IF(Task!$A$8="",0,IF(ISNUMBER(SEARCH(" "&amp;Task!$A$8&amp;" "," "&amp;LOWER(C109)&amp;" ")),1,0))+IF(Task!$A$9="",0,IF(ISNUMBER(SEARCH(" "&amp;Task!$A$9&amp;" "," "&amp;LOWER(C109)&amp;" ")),1,0))+IF(Task!$A$10="",0,IF(ISNUMBER(SEARCH(" "&amp;Task!$A$10&amp;" "," "&amp;LOWER(C109)&amp;" ")),1,0))+IF(Task!$A$11="",0,IF(ISNUMBER(SEARCH(" "&amp;Task!$A$11&amp;" "," "&amp;LOWER(C109)&amp;" ")),1,0))+IF(Task!$A$12="",0,IF(ISNUMBER(SEARCH(" "&amp;Task!$A$12&amp;" "," "&amp;LOWER(C109)&amp;" ")),1,0))+IF(Task!$A$13="",0,IF(ISNUMBER(SEARCH(" "&amp;Task!$A$13&amp;" "," "&amp;LOWER(C109)&amp;" ")),1,0))+IF(Task!$A$14="",0,IF(ISNUMBER(SEARCH(" "&amp;Task!$A$14&amp;" "," "&amp;LOWER(C109)&amp;" ")),1,0))+IF(Task!$A$15="",0,IF(ISNUMBER(SEARCH(" "&amp;Task!$A$15&amp;" "," "&amp;LOWER(C109)&amp;" ")),1,0))+IF(Task!$A$16="",0,IF(ISNUMBER(SEARCH(" "&amp;Task!$A$16&amp;" "," "&amp;LOWER(C109)&amp;" ")),1,0))+IF(Task!$A$17="",0,IF(ISNUMBER(SEARCH(" "&amp;Task!$A$17&amp;" "," "&amp;LOWER(C109)&amp;" ")),1,0))+IF(Task!$A$18="",0,IF(ISNUMBER(SEARCH(" "&amp;Task!$A$18&amp;" "," "&amp;LOWER(C109)&amp;" ")),1,0))+IF(Task!$A$19="",0,IF(ISNUMBER(SEARCH(" "&amp;Task!$A$19&amp;" "," "&amp;LOWER(C109)&amp;" ")),1,0)))</f>
        <v/>
      </c>
      <c r="H109" s="9">
        <f>IF(E109=0,0,IF(Task!$A$8="",0,IF(ISNUMBER(SEARCH(" "&amp;Task!$A$8&amp;" "," "&amp;LOWER(SUBSTITUTE(SUBSTITUTE(SUBSTITUTE(SUBSTITUTE(A109,"/"," "),"."," "),"\"," "),"_"," "))&amp;" ")),1,0))+IF(Task!$A$9="",0,IF(ISNUMBER(SEARCH(" "&amp;Task!$A$9&amp;" "," "&amp;LOWER(SUBSTITUTE(SUBSTITUTE(SUBSTITUTE(SUBSTITUTE(A109,"/"," "),"."," "),"\"," "),"_"," "))&amp;" ")),1,0))+IF(Task!$A$10="",0,IF(ISNUMBER(SEARCH(" "&amp;Task!$A$10&amp;" "," "&amp;LOWER(SUBSTITUTE(SUBSTITUTE(SUBSTITUTE(SUBSTITUTE(A109,"/"," "),"."," "),"\"," "),"_"," "))&amp;" ")),1,0))+IF(Task!$A$11="",0,IF(ISNUMBER(SEARCH(" "&amp;Task!$A$11&amp;" "," "&amp;LOWER(SUBSTITUTE(SUBSTITUTE(SUBSTITUTE(SUBSTITUTE(A109,"/"," "),"."," "),"\"," "),"_"," "))&amp;" ")),1,0))+IF(Task!$A$12="",0,IF(ISNUMBER(SEARCH(" "&amp;Task!$A$12&amp;" "," "&amp;LOWER(SUBSTITUTE(SUBSTITUTE(SUBSTITUTE(SUBSTITUTE(A109,"/"," "),"."," "),"\"," "),"_"," "))&amp;" ")),1,0))+IF(Task!$A$13="",0,IF(ISNUMBER(SEARCH(" "&amp;Task!$A$13&amp;" "," "&amp;LOWER(SUBSTITUTE(SUBSTITUTE(SUBSTITUTE(SUBSTITUTE(A109,"/"," "),"."," "),"\"," "),"_"," "))&amp;" ")),1,0))+IF(Task!$A$14="",0,IF(ISNUMBER(SEARCH(" "&amp;Task!$A$14&amp;" "," "&amp;LOWER(SUBSTITUTE(SUBSTITUTE(SUBSTITUTE(SUBSTITUTE(A109,"/"," "),"."," "),"\"," "),"_"," "))&amp;" ")),1,0))+IF(Task!$A$15="",0,IF(ISNUMBER(SEARCH(" "&amp;Task!$A$15&amp;" "," "&amp;LOWER(SUBSTITUTE(SUBSTITUTE(SUBSTITUTE(SUBSTITUTE(A109,"/"," "),"."," "),"\"," "),"_"," "))&amp;" ")),1,0))+IF(Task!$A$16="",0,IF(ISNUMBER(SEARCH(" "&amp;Task!$A$16&amp;" "," "&amp;LOWER(SUBSTITUTE(SUBSTITUTE(SUBSTITUTE(SUBSTITUTE(A109,"/"," "),"."," "),"\"," "),"_"," "))&amp;" ")),1,0))+IF(Task!$A$17="",0,IF(ISNUMBER(SEARCH(" "&amp;Task!$A$17&amp;" "," "&amp;LOWER(SUBSTITUTE(SUBSTITUTE(SUBSTITUTE(SUBSTITUTE(A109,"/"," "),"."," "),"\"," "),"_"," "))&amp;" ")),1,0))+IF(Task!$A$18="",0,IF(ISNUMBER(SEARCH(" "&amp;Task!$A$18&amp;" "," "&amp;LOWER(SUBSTITUTE(SUBSTITUTE(SUBSTITUTE(SUBSTITUTE(A109,"/"," "),"."," "),"\"," "),"_"," "))&amp;" ")),1,0))+IF(Task!$A$19="",0,IF(ISNUMBER(SEARCH(" "&amp;Task!$A$19&amp;" "," "&amp;LOWER(SUBSTITUTE(SUBSTITUTE(SUBSTITUTE(SUBSTITUTE(A109,"/"," "),"."," "),"\"," "),"_"," "))&amp;" ")),1,0)))</f>
        <v/>
      </c>
      <c r="I109" s="10">
        <f>IF(OR(E109=0,F109=0,Task!$B$21=0),"",F109/Task!$B$21+0.5*G109+0.25*H109)</f>
        <v/>
      </c>
      <c r="J109" s="5">
        <f>IF(I109="","",I109-ROW()/1000000)</f>
        <v/>
      </c>
      <c r="K109" s="9">
        <f>IF(J109="","",COUNTIF($J$5:$J$404,"&gt;"&amp;J109)+1)</f>
        <v/>
      </c>
    </row>
    <row r="110">
      <c r="A110" s="7" t="n"/>
      <c r="B110" s="7" t="n"/>
      <c r="C110" s="7" t="n"/>
      <c r="D110" s="7" t="n"/>
      <c r="E110" s="5">
        <f>IF(A110="",0,IF(COUNTA(Task!$B$5:$E$5)=0,1,IF(COUNTIF(Task!$B$5:$E$5,B110)&gt;0,1,0)))</f>
        <v/>
      </c>
      <c r="F110" s="9">
        <f>IF(E110=0,0,IF(Task!$A$8="",0,IF(ISNUMBER(SEARCH(" "&amp;Task!$A$8&amp;" "," "&amp;LOWER(D110&amp;" "&amp;C110&amp;" "&amp;LOWER(SUBSTITUTE(SUBSTITUTE(SUBSTITUTE(SUBSTITUTE(A110,"/"," "),"."," "),"\"," "),"_"," ")))&amp;" ")),1,0))+IF(Task!$A$9="",0,IF(ISNUMBER(SEARCH(" "&amp;Task!$A$9&amp;" "," "&amp;LOWER(D110&amp;" "&amp;C110&amp;" "&amp;LOWER(SUBSTITUTE(SUBSTITUTE(SUBSTITUTE(SUBSTITUTE(A110,"/"," "),"."," "),"\"," "),"_"," ")))&amp;" ")),1,0))+IF(Task!$A$10="",0,IF(ISNUMBER(SEARCH(" "&amp;Task!$A$10&amp;" "," "&amp;LOWER(D110&amp;" "&amp;C110&amp;" "&amp;LOWER(SUBSTITUTE(SUBSTITUTE(SUBSTITUTE(SUBSTITUTE(A110,"/"," "),"."," "),"\"," "),"_"," ")))&amp;" ")),1,0))+IF(Task!$A$11="",0,IF(ISNUMBER(SEARCH(" "&amp;Task!$A$11&amp;" "," "&amp;LOWER(D110&amp;" "&amp;C110&amp;" "&amp;LOWER(SUBSTITUTE(SUBSTITUTE(SUBSTITUTE(SUBSTITUTE(A110,"/"," "),"."," "),"\"," "),"_"," ")))&amp;" ")),1,0))+IF(Task!$A$12="",0,IF(ISNUMBER(SEARCH(" "&amp;Task!$A$12&amp;" "," "&amp;LOWER(D110&amp;" "&amp;C110&amp;" "&amp;LOWER(SUBSTITUTE(SUBSTITUTE(SUBSTITUTE(SUBSTITUTE(A110,"/"," "),"."," "),"\"," "),"_"," ")))&amp;" ")),1,0))+IF(Task!$A$13="",0,IF(ISNUMBER(SEARCH(" "&amp;Task!$A$13&amp;" "," "&amp;LOWER(D110&amp;" "&amp;C110&amp;" "&amp;LOWER(SUBSTITUTE(SUBSTITUTE(SUBSTITUTE(SUBSTITUTE(A110,"/"," "),"."," "),"\"," "),"_"," ")))&amp;" ")),1,0))+IF(Task!$A$14="",0,IF(ISNUMBER(SEARCH(" "&amp;Task!$A$14&amp;" "," "&amp;LOWER(D110&amp;" "&amp;C110&amp;" "&amp;LOWER(SUBSTITUTE(SUBSTITUTE(SUBSTITUTE(SUBSTITUTE(A110,"/"," "),"."," "),"\"," "),"_"," ")))&amp;" ")),1,0))+IF(Task!$A$15="",0,IF(ISNUMBER(SEARCH(" "&amp;Task!$A$15&amp;" "," "&amp;LOWER(D110&amp;" "&amp;C110&amp;" "&amp;LOWER(SUBSTITUTE(SUBSTITUTE(SUBSTITUTE(SUBSTITUTE(A110,"/"," "),"."," "),"\"," "),"_"," ")))&amp;" ")),1,0))+IF(Task!$A$16="",0,IF(ISNUMBER(SEARCH(" "&amp;Task!$A$16&amp;" "," "&amp;LOWER(D110&amp;" "&amp;C110&amp;" "&amp;LOWER(SUBSTITUTE(SUBSTITUTE(SUBSTITUTE(SUBSTITUTE(A110,"/"," "),"."," "),"\"," "),"_"," ")))&amp;" ")),1,0))+IF(Task!$A$17="",0,IF(ISNUMBER(SEARCH(" "&amp;Task!$A$17&amp;" "," "&amp;LOWER(D110&amp;" "&amp;C110&amp;" "&amp;LOWER(SUBSTITUTE(SUBSTITUTE(SUBSTITUTE(SUBSTITUTE(A110,"/"," "),"."," "),"\"," "),"_"," ")))&amp;" ")),1,0))+IF(Task!$A$18="",0,IF(ISNUMBER(SEARCH(" "&amp;Task!$A$18&amp;" "," "&amp;LOWER(D110&amp;" "&amp;C110&amp;" "&amp;LOWER(SUBSTITUTE(SUBSTITUTE(SUBSTITUTE(SUBSTITUTE(A110,"/"," "),"."," "),"\"," "),"_"," ")))&amp;" ")),1,0))+IF(Task!$A$19="",0,IF(ISNUMBER(SEARCH(" "&amp;Task!$A$19&amp;" "," "&amp;LOWER(D110&amp;" "&amp;C110&amp;" "&amp;LOWER(SUBSTITUTE(SUBSTITUTE(SUBSTITUTE(SUBSTITUTE(A110,"/"," "),"."," "),"\"," "),"_"," ")))&amp;" ")),1,0)))</f>
        <v/>
      </c>
      <c r="G110" s="9">
        <f>IF(E110=0,0,IF(Task!$A$8="",0,IF(ISNUMBER(SEARCH(" "&amp;Task!$A$8&amp;" "," "&amp;LOWER(C110)&amp;" ")),1,0))+IF(Task!$A$9="",0,IF(ISNUMBER(SEARCH(" "&amp;Task!$A$9&amp;" "," "&amp;LOWER(C110)&amp;" ")),1,0))+IF(Task!$A$10="",0,IF(ISNUMBER(SEARCH(" "&amp;Task!$A$10&amp;" "," "&amp;LOWER(C110)&amp;" ")),1,0))+IF(Task!$A$11="",0,IF(ISNUMBER(SEARCH(" "&amp;Task!$A$11&amp;" "," "&amp;LOWER(C110)&amp;" ")),1,0))+IF(Task!$A$12="",0,IF(ISNUMBER(SEARCH(" "&amp;Task!$A$12&amp;" "," "&amp;LOWER(C110)&amp;" ")),1,0))+IF(Task!$A$13="",0,IF(ISNUMBER(SEARCH(" "&amp;Task!$A$13&amp;" "," "&amp;LOWER(C110)&amp;" ")),1,0))+IF(Task!$A$14="",0,IF(ISNUMBER(SEARCH(" "&amp;Task!$A$14&amp;" "," "&amp;LOWER(C110)&amp;" ")),1,0))+IF(Task!$A$15="",0,IF(ISNUMBER(SEARCH(" "&amp;Task!$A$15&amp;" "," "&amp;LOWER(C110)&amp;" ")),1,0))+IF(Task!$A$16="",0,IF(ISNUMBER(SEARCH(" "&amp;Task!$A$16&amp;" "," "&amp;LOWER(C110)&amp;" ")),1,0))+IF(Task!$A$17="",0,IF(ISNUMBER(SEARCH(" "&amp;Task!$A$17&amp;" "," "&amp;LOWER(C110)&amp;" ")),1,0))+IF(Task!$A$18="",0,IF(ISNUMBER(SEARCH(" "&amp;Task!$A$18&amp;" "," "&amp;LOWER(C110)&amp;" ")),1,0))+IF(Task!$A$19="",0,IF(ISNUMBER(SEARCH(" "&amp;Task!$A$19&amp;" "," "&amp;LOWER(C110)&amp;" ")),1,0)))</f>
        <v/>
      </c>
      <c r="H110" s="9">
        <f>IF(E110=0,0,IF(Task!$A$8="",0,IF(ISNUMBER(SEARCH(" "&amp;Task!$A$8&amp;" "," "&amp;LOWER(SUBSTITUTE(SUBSTITUTE(SUBSTITUTE(SUBSTITUTE(A110,"/"," "),"."," "),"\"," "),"_"," "))&amp;" ")),1,0))+IF(Task!$A$9="",0,IF(ISNUMBER(SEARCH(" "&amp;Task!$A$9&amp;" "," "&amp;LOWER(SUBSTITUTE(SUBSTITUTE(SUBSTITUTE(SUBSTITUTE(A110,"/"," "),"."," "),"\"," "),"_"," "))&amp;" ")),1,0))+IF(Task!$A$10="",0,IF(ISNUMBER(SEARCH(" "&amp;Task!$A$10&amp;" "," "&amp;LOWER(SUBSTITUTE(SUBSTITUTE(SUBSTITUTE(SUBSTITUTE(A110,"/"," "),"."," "),"\"," "),"_"," "))&amp;" ")),1,0))+IF(Task!$A$11="",0,IF(ISNUMBER(SEARCH(" "&amp;Task!$A$11&amp;" "," "&amp;LOWER(SUBSTITUTE(SUBSTITUTE(SUBSTITUTE(SUBSTITUTE(A110,"/"," "),"."," "),"\"," "),"_"," "))&amp;" ")),1,0))+IF(Task!$A$12="",0,IF(ISNUMBER(SEARCH(" "&amp;Task!$A$12&amp;" "," "&amp;LOWER(SUBSTITUTE(SUBSTITUTE(SUBSTITUTE(SUBSTITUTE(A110,"/"," "),"."," "),"\"," "),"_"," "))&amp;" ")),1,0))+IF(Task!$A$13="",0,IF(ISNUMBER(SEARCH(" "&amp;Task!$A$13&amp;" "," "&amp;LOWER(SUBSTITUTE(SUBSTITUTE(SUBSTITUTE(SUBSTITUTE(A110,"/"," "),"."," "),"\"," "),"_"," "))&amp;" ")),1,0))+IF(Task!$A$14="",0,IF(ISNUMBER(SEARCH(" "&amp;Task!$A$14&amp;" "," "&amp;LOWER(SUBSTITUTE(SUBSTITUTE(SUBSTITUTE(SUBSTITUTE(A110,"/"," "),"."," "),"\"," "),"_"," "))&amp;" ")),1,0))+IF(Task!$A$15="",0,IF(ISNUMBER(SEARCH(" "&amp;Task!$A$15&amp;" "," "&amp;LOWER(SUBSTITUTE(SUBSTITUTE(SUBSTITUTE(SUBSTITUTE(A110,"/"," "),"."," "),"\"," "),"_"," "))&amp;" ")),1,0))+IF(Task!$A$16="",0,IF(ISNUMBER(SEARCH(" "&amp;Task!$A$16&amp;" "," "&amp;LOWER(SUBSTITUTE(SUBSTITUTE(SUBSTITUTE(SUBSTITUTE(A110,"/"," "),"."," "),"\"," "),"_"," "))&amp;" ")),1,0))+IF(Task!$A$17="",0,IF(ISNUMBER(SEARCH(" "&amp;Task!$A$17&amp;" "," "&amp;LOWER(SUBSTITUTE(SUBSTITUTE(SUBSTITUTE(SUBSTITUTE(A110,"/"," "),"."," "),"\"," "),"_"," "))&amp;" ")),1,0))+IF(Task!$A$18="",0,IF(ISNUMBER(SEARCH(" "&amp;Task!$A$18&amp;" "," "&amp;LOWER(SUBSTITUTE(SUBSTITUTE(SUBSTITUTE(SUBSTITUTE(A110,"/"," "),"."," "),"\"," "),"_"," "))&amp;" ")),1,0))+IF(Task!$A$19="",0,IF(ISNUMBER(SEARCH(" "&amp;Task!$A$19&amp;" "," "&amp;LOWER(SUBSTITUTE(SUBSTITUTE(SUBSTITUTE(SUBSTITUTE(A110,"/"," "),"."," "),"\"," "),"_"," "))&amp;" ")),1,0)))</f>
        <v/>
      </c>
      <c r="I110" s="10">
        <f>IF(OR(E110=0,F110=0,Task!$B$21=0),"",F110/Task!$B$21+0.5*G110+0.25*H110)</f>
        <v/>
      </c>
      <c r="J110" s="5">
        <f>IF(I110="","",I110-ROW()/1000000)</f>
        <v/>
      </c>
      <c r="K110" s="9">
        <f>IF(J110="","",COUNTIF($J$5:$J$404,"&gt;"&amp;J110)+1)</f>
        <v/>
      </c>
    </row>
    <row r="111">
      <c r="A111" s="7" t="n"/>
      <c r="B111" s="7" t="n"/>
      <c r="C111" s="7" t="n"/>
      <c r="D111" s="7" t="n"/>
      <c r="E111" s="5">
        <f>IF(A111="",0,IF(COUNTA(Task!$B$5:$E$5)=0,1,IF(COUNTIF(Task!$B$5:$E$5,B111)&gt;0,1,0)))</f>
        <v/>
      </c>
      <c r="F111" s="9">
        <f>IF(E111=0,0,IF(Task!$A$8="",0,IF(ISNUMBER(SEARCH(" "&amp;Task!$A$8&amp;" "," "&amp;LOWER(D111&amp;" "&amp;C111&amp;" "&amp;LOWER(SUBSTITUTE(SUBSTITUTE(SUBSTITUTE(SUBSTITUTE(A111,"/"," "),"."," "),"\"," "),"_"," ")))&amp;" ")),1,0))+IF(Task!$A$9="",0,IF(ISNUMBER(SEARCH(" "&amp;Task!$A$9&amp;" "," "&amp;LOWER(D111&amp;" "&amp;C111&amp;" "&amp;LOWER(SUBSTITUTE(SUBSTITUTE(SUBSTITUTE(SUBSTITUTE(A111,"/"," "),"."," "),"\"," "),"_"," ")))&amp;" ")),1,0))+IF(Task!$A$10="",0,IF(ISNUMBER(SEARCH(" "&amp;Task!$A$10&amp;" "," "&amp;LOWER(D111&amp;" "&amp;C111&amp;" "&amp;LOWER(SUBSTITUTE(SUBSTITUTE(SUBSTITUTE(SUBSTITUTE(A111,"/"," "),"."," "),"\"," "),"_"," ")))&amp;" ")),1,0))+IF(Task!$A$11="",0,IF(ISNUMBER(SEARCH(" "&amp;Task!$A$11&amp;" "," "&amp;LOWER(D111&amp;" "&amp;C111&amp;" "&amp;LOWER(SUBSTITUTE(SUBSTITUTE(SUBSTITUTE(SUBSTITUTE(A111,"/"," "),"."," "),"\"," "),"_"," ")))&amp;" ")),1,0))+IF(Task!$A$12="",0,IF(ISNUMBER(SEARCH(" "&amp;Task!$A$12&amp;" "," "&amp;LOWER(D111&amp;" "&amp;C111&amp;" "&amp;LOWER(SUBSTITUTE(SUBSTITUTE(SUBSTITUTE(SUBSTITUTE(A111,"/"," "),"."," "),"\"," "),"_"," ")))&amp;" ")),1,0))+IF(Task!$A$13="",0,IF(ISNUMBER(SEARCH(" "&amp;Task!$A$13&amp;" "," "&amp;LOWER(D111&amp;" "&amp;C111&amp;" "&amp;LOWER(SUBSTITUTE(SUBSTITUTE(SUBSTITUTE(SUBSTITUTE(A111,"/"," "),"."," "),"\"," "),"_"," ")))&amp;" ")),1,0))+IF(Task!$A$14="",0,IF(ISNUMBER(SEARCH(" "&amp;Task!$A$14&amp;" "," "&amp;LOWER(D111&amp;" "&amp;C111&amp;" "&amp;LOWER(SUBSTITUTE(SUBSTITUTE(SUBSTITUTE(SUBSTITUTE(A111,"/"," "),"."," "),"\"," "),"_"," ")))&amp;" ")),1,0))+IF(Task!$A$15="",0,IF(ISNUMBER(SEARCH(" "&amp;Task!$A$15&amp;" "," "&amp;LOWER(D111&amp;" "&amp;C111&amp;" "&amp;LOWER(SUBSTITUTE(SUBSTITUTE(SUBSTITUTE(SUBSTITUTE(A111,"/"," "),"."," "),"\"," "),"_"," ")))&amp;" ")),1,0))+IF(Task!$A$16="",0,IF(ISNUMBER(SEARCH(" "&amp;Task!$A$16&amp;" "," "&amp;LOWER(D111&amp;" "&amp;C111&amp;" "&amp;LOWER(SUBSTITUTE(SUBSTITUTE(SUBSTITUTE(SUBSTITUTE(A111,"/"," "),"."," "),"\"," "),"_"," ")))&amp;" ")),1,0))+IF(Task!$A$17="",0,IF(ISNUMBER(SEARCH(" "&amp;Task!$A$17&amp;" "," "&amp;LOWER(D111&amp;" "&amp;C111&amp;" "&amp;LOWER(SUBSTITUTE(SUBSTITUTE(SUBSTITUTE(SUBSTITUTE(A111,"/"," "),"."," "),"\"," "),"_"," ")))&amp;" ")),1,0))+IF(Task!$A$18="",0,IF(ISNUMBER(SEARCH(" "&amp;Task!$A$18&amp;" "," "&amp;LOWER(D111&amp;" "&amp;C111&amp;" "&amp;LOWER(SUBSTITUTE(SUBSTITUTE(SUBSTITUTE(SUBSTITUTE(A111,"/"," "),"."," "),"\"," "),"_"," ")))&amp;" ")),1,0))+IF(Task!$A$19="",0,IF(ISNUMBER(SEARCH(" "&amp;Task!$A$19&amp;" "," "&amp;LOWER(D111&amp;" "&amp;C111&amp;" "&amp;LOWER(SUBSTITUTE(SUBSTITUTE(SUBSTITUTE(SUBSTITUTE(A111,"/"," "),"."," "),"\"," "),"_"," ")))&amp;" ")),1,0)))</f>
        <v/>
      </c>
      <c r="G111" s="9">
        <f>IF(E111=0,0,IF(Task!$A$8="",0,IF(ISNUMBER(SEARCH(" "&amp;Task!$A$8&amp;" "," "&amp;LOWER(C111)&amp;" ")),1,0))+IF(Task!$A$9="",0,IF(ISNUMBER(SEARCH(" "&amp;Task!$A$9&amp;" "," "&amp;LOWER(C111)&amp;" ")),1,0))+IF(Task!$A$10="",0,IF(ISNUMBER(SEARCH(" "&amp;Task!$A$10&amp;" "," "&amp;LOWER(C111)&amp;" ")),1,0))+IF(Task!$A$11="",0,IF(ISNUMBER(SEARCH(" "&amp;Task!$A$11&amp;" "," "&amp;LOWER(C111)&amp;" ")),1,0))+IF(Task!$A$12="",0,IF(ISNUMBER(SEARCH(" "&amp;Task!$A$12&amp;" "," "&amp;LOWER(C111)&amp;" ")),1,0))+IF(Task!$A$13="",0,IF(ISNUMBER(SEARCH(" "&amp;Task!$A$13&amp;" "," "&amp;LOWER(C111)&amp;" ")),1,0))+IF(Task!$A$14="",0,IF(ISNUMBER(SEARCH(" "&amp;Task!$A$14&amp;" "," "&amp;LOWER(C111)&amp;" ")),1,0))+IF(Task!$A$15="",0,IF(ISNUMBER(SEARCH(" "&amp;Task!$A$15&amp;" "," "&amp;LOWER(C111)&amp;" ")),1,0))+IF(Task!$A$16="",0,IF(ISNUMBER(SEARCH(" "&amp;Task!$A$16&amp;" "," "&amp;LOWER(C111)&amp;" ")),1,0))+IF(Task!$A$17="",0,IF(ISNUMBER(SEARCH(" "&amp;Task!$A$17&amp;" "," "&amp;LOWER(C111)&amp;" ")),1,0))+IF(Task!$A$18="",0,IF(ISNUMBER(SEARCH(" "&amp;Task!$A$18&amp;" "," "&amp;LOWER(C111)&amp;" ")),1,0))+IF(Task!$A$19="",0,IF(ISNUMBER(SEARCH(" "&amp;Task!$A$19&amp;" "," "&amp;LOWER(C111)&amp;" ")),1,0)))</f>
        <v/>
      </c>
      <c r="H111" s="9">
        <f>IF(E111=0,0,IF(Task!$A$8="",0,IF(ISNUMBER(SEARCH(" "&amp;Task!$A$8&amp;" "," "&amp;LOWER(SUBSTITUTE(SUBSTITUTE(SUBSTITUTE(SUBSTITUTE(A111,"/"," "),"."," "),"\"," "),"_"," "))&amp;" ")),1,0))+IF(Task!$A$9="",0,IF(ISNUMBER(SEARCH(" "&amp;Task!$A$9&amp;" "," "&amp;LOWER(SUBSTITUTE(SUBSTITUTE(SUBSTITUTE(SUBSTITUTE(A111,"/"," "),"."," "),"\"," "),"_"," "))&amp;" ")),1,0))+IF(Task!$A$10="",0,IF(ISNUMBER(SEARCH(" "&amp;Task!$A$10&amp;" "," "&amp;LOWER(SUBSTITUTE(SUBSTITUTE(SUBSTITUTE(SUBSTITUTE(A111,"/"," "),"."," "),"\"," "),"_"," "))&amp;" ")),1,0))+IF(Task!$A$11="",0,IF(ISNUMBER(SEARCH(" "&amp;Task!$A$11&amp;" "," "&amp;LOWER(SUBSTITUTE(SUBSTITUTE(SUBSTITUTE(SUBSTITUTE(A111,"/"," "),"."," "),"\"," "),"_"," "))&amp;" ")),1,0))+IF(Task!$A$12="",0,IF(ISNUMBER(SEARCH(" "&amp;Task!$A$12&amp;" "," "&amp;LOWER(SUBSTITUTE(SUBSTITUTE(SUBSTITUTE(SUBSTITUTE(A111,"/"," "),"."," "),"\"," "),"_"," "))&amp;" ")),1,0))+IF(Task!$A$13="",0,IF(ISNUMBER(SEARCH(" "&amp;Task!$A$13&amp;" "," "&amp;LOWER(SUBSTITUTE(SUBSTITUTE(SUBSTITUTE(SUBSTITUTE(A111,"/"," "),"."," "),"\"," "),"_"," "))&amp;" ")),1,0))+IF(Task!$A$14="",0,IF(ISNUMBER(SEARCH(" "&amp;Task!$A$14&amp;" "," "&amp;LOWER(SUBSTITUTE(SUBSTITUTE(SUBSTITUTE(SUBSTITUTE(A111,"/"," "),"."," "),"\"," "),"_"," "))&amp;" ")),1,0))+IF(Task!$A$15="",0,IF(ISNUMBER(SEARCH(" "&amp;Task!$A$15&amp;" "," "&amp;LOWER(SUBSTITUTE(SUBSTITUTE(SUBSTITUTE(SUBSTITUTE(A111,"/"," "),"."," "),"\"," "),"_"," "))&amp;" ")),1,0))+IF(Task!$A$16="",0,IF(ISNUMBER(SEARCH(" "&amp;Task!$A$16&amp;" "," "&amp;LOWER(SUBSTITUTE(SUBSTITUTE(SUBSTITUTE(SUBSTITUTE(A111,"/"," "),"."," "),"\"," "),"_"," "))&amp;" ")),1,0))+IF(Task!$A$17="",0,IF(ISNUMBER(SEARCH(" "&amp;Task!$A$17&amp;" "," "&amp;LOWER(SUBSTITUTE(SUBSTITUTE(SUBSTITUTE(SUBSTITUTE(A111,"/"," "),"."," "),"\"," "),"_"," "))&amp;" ")),1,0))+IF(Task!$A$18="",0,IF(ISNUMBER(SEARCH(" "&amp;Task!$A$18&amp;" "," "&amp;LOWER(SUBSTITUTE(SUBSTITUTE(SUBSTITUTE(SUBSTITUTE(A111,"/"," "),"."," "),"\"," "),"_"," "))&amp;" ")),1,0))+IF(Task!$A$19="",0,IF(ISNUMBER(SEARCH(" "&amp;Task!$A$19&amp;" "," "&amp;LOWER(SUBSTITUTE(SUBSTITUTE(SUBSTITUTE(SUBSTITUTE(A111,"/"," "),"."," "),"\"," "),"_"," "))&amp;" ")),1,0)))</f>
        <v/>
      </c>
      <c r="I111" s="10">
        <f>IF(OR(E111=0,F111=0,Task!$B$21=0),"",F111/Task!$B$21+0.5*G111+0.25*H111)</f>
        <v/>
      </c>
      <c r="J111" s="5">
        <f>IF(I111="","",I111-ROW()/1000000)</f>
        <v/>
      </c>
      <c r="K111" s="9">
        <f>IF(J111="","",COUNTIF($J$5:$J$404,"&gt;"&amp;J111)+1)</f>
        <v/>
      </c>
    </row>
    <row r="112">
      <c r="A112" s="7" t="n"/>
      <c r="B112" s="7" t="n"/>
      <c r="C112" s="7" t="n"/>
      <c r="D112" s="7" t="n"/>
      <c r="E112" s="5">
        <f>IF(A112="",0,IF(COUNTA(Task!$B$5:$E$5)=0,1,IF(COUNTIF(Task!$B$5:$E$5,B112)&gt;0,1,0)))</f>
        <v/>
      </c>
      <c r="F112" s="9">
        <f>IF(E112=0,0,IF(Task!$A$8="",0,IF(ISNUMBER(SEARCH(" "&amp;Task!$A$8&amp;" "," "&amp;LOWER(D112&amp;" "&amp;C112&amp;" "&amp;LOWER(SUBSTITUTE(SUBSTITUTE(SUBSTITUTE(SUBSTITUTE(A112,"/"," "),"."," "),"\"," "),"_"," ")))&amp;" ")),1,0))+IF(Task!$A$9="",0,IF(ISNUMBER(SEARCH(" "&amp;Task!$A$9&amp;" "," "&amp;LOWER(D112&amp;" "&amp;C112&amp;" "&amp;LOWER(SUBSTITUTE(SUBSTITUTE(SUBSTITUTE(SUBSTITUTE(A112,"/"," "),"."," "),"\"," "),"_"," ")))&amp;" ")),1,0))+IF(Task!$A$10="",0,IF(ISNUMBER(SEARCH(" "&amp;Task!$A$10&amp;" "," "&amp;LOWER(D112&amp;" "&amp;C112&amp;" "&amp;LOWER(SUBSTITUTE(SUBSTITUTE(SUBSTITUTE(SUBSTITUTE(A112,"/"," "),"."," "),"\"," "),"_"," ")))&amp;" ")),1,0))+IF(Task!$A$11="",0,IF(ISNUMBER(SEARCH(" "&amp;Task!$A$11&amp;" "," "&amp;LOWER(D112&amp;" "&amp;C112&amp;" "&amp;LOWER(SUBSTITUTE(SUBSTITUTE(SUBSTITUTE(SUBSTITUTE(A112,"/"," "),"."," "),"\"," "),"_"," ")))&amp;" ")),1,0))+IF(Task!$A$12="",0,IF(ISNUMBER(SEARCH(" "&amp;Task!$A$12&amp;" "," "&amp;LOWER(D112&amp;" "&amp;C112&amp;" "&amp;LOWER(SUBSTITUTE(SUBSTITUTE(SUBSTITUTE(SUBSTITUTE(A112,"/"," "),"."," "),"\"," "),"_"," ")))&amp;" ")),1,0))+IF(Task!$A$13="",0,IF(ISNUMBER(SEARCH(" "&amp;Task!$A$13&amp;" "," "&amp;LOWER(D112&amp;" "&amp;C112&amp;" "&amp;LOWER(SUBSTITUTE(SUBSTITUTE(SUBSTITUTE(SUBSTITUTE(A112,"/"," "),"."," "),"\"," "),"_"," ")))&amp;" ")),1,0))+IF(Task!$A$14="",0,IF(ISNUMBER(SEARCH(" "&amp;Task!$A$14&amp;" "," "&amp;LOWER(D112&amp;" "&amp;C112&amp;" "&amp;LOWER(SUBSTITUTE(SUBSTITUTE(SUBSTITUTE(SUBSTITUTE(A112,"/"," "),"."," "),"\"," "),"_"," ")))&amp;" ")),1,0))+IF(Task!$A$15="",0,IF(ISNUMBER(SEARCH(" "&amp;Task!$A$15&amp;" "," "&amp;LOWER(D112&amp;" "&amp;C112&amp;" "&amp;LOWER(SUBSTITUTE(SUBSTITUTE(SUBSTITUTE(SUBSTITUTE(A112,"/"," "),"."," "),"\"," "),"_"," ")))&amp;" ")),1,0))+IF(Task!$A$16="",0,IF(ISNUMBER(SEARCH(" "&amp;Task!$A$16&amp;" "," "&amp;LOWER(D112&amp;" "&amp;C112&amp;" "&amp;LOWER(SUBSTITUTE(SUBSTITUTE(SUBSTITUTE(SUBSTITUTE(A112,"/"," "),"."," "),"\"," "),"_"," ")))&amp;" ")),1,0))+IF(Task!$A$17="",0,IF(ISNUMBER(SEARCH(" "&amp;Task!$A$17&amp;" "," "&amp;LOWER(D112&amp;" "&amp;C112&amp;" "&amp;LOWER(SUBSTITUTE(SUBSTITUTE(SUBSTITUTE(SUBSTITUTE(A112,"/"," "),"."," "),"\"," "),"_"," ")))&amp;" ")),1,0))+IF(Task!$A$18="",0,IF(ISNUMBER(SEARCH(" "&amp;Task!$A$18&amp;" "," "&amp;LOWER(D112&amp;" "&amp;C112&amp;" "&amp;LOWER(SUBSTITUTE(SUBSTITUTE(SUBSTITUTE(SUBSTITUTE(A112,"/"," "),"."," "),"\"," "),"_"," ")))&amp;" ")),1,0))+IF(Task!$A$19="",0,IF(ISNUMBER(SEARCH(" "&amp;Task!$A$19&amp;" "," "&amp;LOWER(D112&amp;" "&amp;C112&amp;" "&amp;LOWER(SUBSTITUTE(SUBSTITUTE(SUBSTITUTE(SUBSTITUTE(A112,"/"," "),"."," "),"\"," "),"_"," ")))&amp;" ")),1,0)))</f>
        <v/>
      </c>
      <c r="G112" s="9">
        <f>IF(E112=0,0,IF(Task!$A$8="",0,IF(ISNUMBER(SEARCH(" "&amp;Task!$A$8&amp;" "," "&amp;LOWER(C112)&amp;" ")),1,0))+IF(Task!$A$9="",0,IF(ISNUMBER(SEARCH(" "&amp;Task!$A$9&amp;" "," "&amp;LOWER(C112)&amp;" ")),1,0))+IF(Task!$A$10="",0,IF(ISNUMBER(SEARCH(" "&amp;Task!$A$10&amp;" "," "&amp;LOWER(C112)&amp;" ")),1,0))+IF(Task!$A$11="",0,IF(ISNUMBER(SEARCH(" "&amp;Task!$A$11&amp;" "," "&amp;LOWER(C112)&amp;" ")),1,0))+IF(Task!$A$12="",0,IF(ISNUMBER(SEARCH(" "&amp;Task!$A$12&amp;" "," "&amp;LOWER(C112)&amp;" ")),1,0))+IF(Task!$A$13="",0,IF(ISNUMBER(SEARCH(" "&amp;Task!$A$13&amp;" "," "&amp;LOWER(C112)&amp;" ")),1,0))+IF(Task!$A$14="",0,IF(ISNUMBER(SEARCH(" "&amp;Task!$A$14&amp;" "," "&amp;LOWER(C112)&amp;" ")),1,0))+IF(Task!$A$15="",0,IF(ISNUMBER(SEARCH(" "&amp;Task!$A$15&amp;" "," "&amp;LOWER(C112)&amp;" ")),1,0))+IF(Task!$A$16="",0,IF(ISNUMBER(SEARCH(" "&amp;Task!$A$16&amp;" "," "&amp;LOWER(C112)&amp;" ")),1,0))+IF(Task!$A$17="",0,IF(ISNUMBER(SEARCH(" "&amp;Task!$A$17&amp;" "," "&amp;LOWER(C112)&amp;" ")),1,0))+IF(Task!$A$18="",0,IF(ISNUMBER(SEARCH(" "&amp;Task!$A$18&amp;" "," "&amp;LOWER(C112)&amp;" ")),1,0))+IF(Task!$A$19="",0,IF(ISNUMBER(SEARCH(" "&amp;Task!$A$19&amp;" "," "&amp;LOWER(C112)&amp;" ")),1,0)))</f>
        <v/>
      </c>
      <c r="H112" s="9">
        <f>IF(E112=0,0,IF(Task!$A$8="",0,IF(ISNUMBER(SEARCH(" "&amp;Task!$A$8&amp;" "," "&amp;LOWER(SUBSTITUTE(SUBSTITUTE(SUBSTITUTE(SUBSTITUTE(A112,"/"," "),"."," "),"\"," "),"_"," "))&amp;" ")),1,0))+IF(Task!$A$9="",0,IF(ISNUMBER(SEARCH(" "&amp;Task!$A$9&amp;" "," "&amp;LOWER(SUBSTITUTE(SUBSTITUTE(SUBSTITUTE(SUBSTITUTE(A112,"/"," "),"."," "),"\"," "),"_"," "))&amp;" ")),1,0))+IF(Task!$A$10="",0,IF(ISNUMBER(SEARCH(" "&amp;Task!$A$10&amp;" "," "&amp;LOWER(SUBSTITUTE(SUBSTITUTE(SUBSTITUTE(SUBSTITUTE(A112,"/"," "),"."," "),"\"," "),"_"," "))&amp;" ")),1,0))+IF(Task!$A$11="",0,IF(ISNUMBER(SEARCH(" "&amp;Task!$A$11&amp;" "," "&amp;LOWER(SUBSTITUTE(SUBSTITUTE(SUBSTITUTE(SUBSTITUTE(A112,"/"," "),"."," "),"\"," "),"_"," "))&amp;" ")),1,0))+IF(Task!$A$12="",0,IF(ISNUMBER(SEARCH(" "&amp;Task!$A$12&amp;" "," "&amp;LOWER(SUBSTITUTE(SUBSTITUTE(SUBSTITUTE(SUBSTITUTE(A112,"/"," "),"."," "),"\"," "),"_"," "))&amp;" ")),1,0))+IF(Task!$A$13="",0,IF(ISNUMBER(SEARCH(" "&amp;Task!$A$13&amp;" "," "&amp;LOWER(SUBSTITUTE(SUBSTITUTE(SUBSTITUTE(SUBSTITUTE(A112,"/"," "),"."," "),"\"," "),"_"," "))&amp;" ")),1,0))+IF(Task!$A$14="",0,IF(ISNUMBER(SEARCH(" "&amp;Task!$A$14&amp;" "," "&amp;LOWER(SUBSTITUTE(SUBSTITUTE(SUBSTITUTE(SUBSTITUTE(A112,"/"," "),"."," "),"\"," "),"_"," "))&amp;" ")),1,0))+IF(Task!$A$15="",0,IF(ISNUMBER(SEARCH(" "&amp;Task!$A$15&amp;" "," "&amp;LOWER(SUBSTITUTE(SUBSTITUTE(SUBSTITUTE(SUBSTITUTE(A112,"/"," "),"."," "),"\"," "),"_"," "))&amp;" ")),1,0))+IF(Task!$A$16="",0,IF(ISNUMBER(SEARCH(" "&amp;Task!$A$16&amp;" "," "&amp;LOWER(SUBSTITUTE(SUBSTITUTE(SUBSTITUTE(SUBSTITUTE(A112,"/"," "),"."," "),"\"," "),"_"," "))&amp;" ")),1,0))+IF(Task!$A$17="",0,IF(ISNUMBER(SEARCH(" "&amp;Task!$A$17&amp;" "," "&amp;LOWER(SUBSTITUTE(SUBSTITUTE(SUBSTITUTE(SUBSTITUTE(A112,"/"," "),"."," "),"\"," "),"_"," "))&amp;" ")),1,0))+IF(Task!$A$18="",0,IF(ISNUMBER(SEARCH(" "&amp;Task!$A$18&amp;" "," "&amp;LOWER(SUBSTITUTE(SUBSTITUTE(SUBSTITUTE(SUBSTITUTE(A112,"/"," "),"."," "),"\"," "),"_"," "))&amp;" ")),1,0))+IF(Task!$A$19="",0,IF(ISNUMBER(SEARCH(" "&amp;Task!$A$19&amp;" "," "&amp;LOWER(SUBSTITUTE(SUBSTITUTE(SUBSTITUTE(SUBSTITUTE(A112,"/"," "),"."," "),"\"," "),"_"," "))&amp;" ")),1,0)))</f>
        <v/>
      </c>
      <c r="I112" s="10">
        <f>IF(OR(E112=0,F112=0,Task!$B$21=0),"",F112/Task!$B$21+0.5*G112+0.25*H112)</f>
        <v/>
      </c>
      <c r="J112" s="5">
        <f>IF(I112="","",I112-ROW()/1000000)</f>
        <v/>
      </c>
      <c r="K112" s="9">
        <f>IF(J112="","",COUNTIF($J$5:$J$404,"&gt;"&amp;J112)+1)</f>
        <v/>
      </c>
    </row>
    <row r="113">
      <c r="A113" s="7" t="n"/>
      <c r="B113" s="7" t="n"/>
      <c r="C113" s="7" t="n"/>
      <c r="D113" s="7" t="n"/>
      <c r="E113" s="5">
        <f>IF(A113="",0,IF(COUNTA(Task!$B$5:$E$5)=0,1,IF(COUNTIF(Task!$B$5:$E$5,B113)&gt;0,1,0)))</f>
        <v/>
      </c>
      <c r="F113" s="9">
        <f>IF(E113=0,0,IF(Task!$A$8="",0,IF(ISNUMBER(SEARCH(" "&amp;Task!$A$8&amp;" "," "&amp;LOWER(D113&amp;" "&amp;C113&amp;" "&amp;LOWER(SUBSTITUTE(SUBSTITUTE(SUBSTITUTE(SUBSTITUTE(A113,"/"," "),"."," "),"\"," "),"_"," ")))&amp;" ")),1,0))+IF(Task!$A$9="",0,IF(ISNUMBER(SEARCH(" "&amp;Task!$A$9&amp;" "," "&amp;LOWER(D113&amp;" "&amp;C113&amp;" "&amp;LOWER(SUBSTITUTE(SUBSTITUTE(SUBSTITUTE(SUBSTITUTE(A113,"/"," "),"."," "),"\"," "),"_"," ")))&amp;" ")),1,0))+IF(Task!$A$10="",0,IF(ISNUMBER(SEARCH(" "&amp;Task!$A$10&amp;" "," "&amp;LOWER(D113&amp;" "&amp;C113&amp;" "&amp;LOWER(SUBSTITUTE(SUBSTITUTE(SUBSTITUTE(SUBSTITUTE(A113,"/"," "),"."," "),"\"," "),"_"," ")))&amp;" ")),1,0))+IF(Task!$A$11="",0,IF(ISNUMBER(SEARCH(" "&amp;Task!$A$11&amp;" "," "&amp;LOWER(D113&amp;" "&amp;C113&amp;" "&amp;LOWER(SUBSTITUTE(SUBSTITUTE(SUBSTITUTE(SUBSTITUTE(A113,"/"," "),"."," "),"\"," "),"_"," ")))&amp;" ")),1,0))+IF(Task!$A$12="",0,IF(ISNUMBER(SEARCH(" "&amp;Task!$A$12&amp;" "," "&amp;LOWER(D113&amp;" "&amp;C113&amp;" "&amp;LOWER(SUBSTITUTE(SUBSTITUTE(SUBSTITUTE(SUBSTITUTE(A113,"/"," "),"."," "),"\"," "),"_"," ")))&amp;" ")),1,0))+IF(Task!$A$13="",0,IF(ISNUMBER(SEARCH(" "&amp;Task!$A$13&amp;" "," "&amp;LOWER(D113&amp;" "&amp;C113&amp;" "&amp;LOWER(SUBSTITUTE(SUBSTITUTE(SUBSTITUTE(SUBSTITUTE(A113,"/"," "),"."," "),"\"," "),"_"," ")))&amp;" ")),1,0))+IF(Task!$A$14="",0,IF(ISNUMBER(SEARCH(" "&amp;Task!$A$14&amp;" "," "&amp;LOWER(D113&amp;" "&amp;C113&amp;" "&amp;LOWER(SUBSTITUTE(SUBSTITUTE(SUBSTITUTE(SUBSTITUTE(A113,"/"," "),"."," "),"\"," "),"_"," ")))&amp;" ")),1,0))+IF(Task!$A$15="",0,IF(ISNUMBER(SEARCH(" "&amp;Task!$A$15&amp;" "," "&amp;LOWER(D113&amp;" "&amp;C113&amp;" "&amp;LOWER(SUBSTITUTE(SUBSTITUTE(SUBSTITUTE(SUBSTITUTE(A113,"/"," "),"."," "),"\"," "),"_"," ")))&amp;" ")),1,0))+IF(Task!$A$16="",0,IF(ISNUMBER(SEARCH(" "&amp;Task!$A$16&amp;" "," "&amp;LOWER(D113&amp;" "&amp;C113&amp;" "&amp;LOWER(SUBSTITUTE(SUBSTITUTE(SUBSTITUTE(SUBSTITUTE(A113,"/"," "),"."," "),"\"," "),"_"," ")))&amp;" ")),1,0))+IF(Task!$A$17="",0,IF(ISNUMBER(SEARCH(" "&amp;Task!$A$17&amp;" "," "&amp;LOWER(D113&amp;" "&amp;C113&amp;" "&amp;LOWER(SUBSTITUTE(SUBSTITUTE(SUBSTITUTE(SUBSTITUTE(A113,"/"," "),"."," "),"\"," "),"_"," ")))&amp;" ")),1,0))+IF(Task!$A$18="",0,IF(ISNUMBER(SEARCH(" "&amp;Task!$A$18&amp;" "," "&amp;LOWER(D113&amp;" "&amp;C113&amp;" "&amp;LOWER(SUBSTITUTE(SUBSTITUTE(SUBSTITUTE(SUBSTITUTE(A113,"/"," "),"."," "),"\"," "),"_"," ")))&amp;" ")),1,0))+IF(Task!$A$19="",0,IF(ISNUMBER(SEARCH(" "&amp;Task!$A$19&amp;" "," "&amp;LOWER(D113&amp;" "&amp;C113&amp;" "&amp;LOWER(SUBSTITUTE(SUBSTITUTE(SUBSTITUTE(SUBSTITUTE(A113,"/"," "),"."," "),"\"," "),"_"," ")))&amp;" ")),1,0)))</f>
        <v/>
      </c>
      <c r="G113" s="9">
        <f>IF(E113=0,0,IF(Task!$A$8="",0,IF(ISNUMBER(SEARCH(" "&amp;Task!$A$8&amp;" "," "&amp;LOWER(C113)&amp;" ")),1,0))+IF(Task!$A$9="",0,IF(ISNUMBER(SEARCH(" "&amp;Task!$A$9&amp;" "," "&amp;LOWER(C113)&amp;" ")),1,0))+IF(Task!$A$10="",0,IF(ISNUMBER(SEARCH(" "&amp;Task!$A$10&amp;" "," "&amp;LOWER(C113)&amp;" ")),1,0))+IF(Task!$A$11="",0,IF(ISNUMBER(SEARCH(" "&amp;Task!$A$11&amp;" "," "&amp;LOWER(C113)&amp;" ")),1,0))+IF(Task!$A$12="",0,IF(ISNUMBER(SEARCH(" "&amp;Task!$A$12&amp;" "," "&amp;LOWER(C113)&amp;" ")),1,0))+IF(Task!$A$13="",0,IF(ISNUMBER(SEARCH(" "&amp;Task!$A$13&amp;" "," "&amp;LOWER(C113)&amp;" ")),1,0))+IF(Task!$A$14="",0,IF(ISNUMBER(SEARCH(" "&amp;Task!$A$14&amp;" "," "&amp;LOWER(C113)&amp;" ")),1,0))+IF(Task!$A$15="",0,IF(ISNUMBER(SEARCH(" "&amp;Task!$A$15&amp;" "," "&amp;LOWER(C113)&amp;" ")),1,0))+IF(Task!$A$16="",0,IF(ISNUMBER(SEARCH(" "&amp;Task!$A$16&amp;" "," "&amp;LOWER(C113)&amp;" ")),1,0))+IF(Task!$A$17="",0,IF(ISNUMBER(SEARCH(" "&amp;Task!$A$17&amp;" "," "&amp;LOWER(C113)&amp;" ")),1,0))+IF(Task!$A$18="",0,IF(ISNUMBER(SEARCH(" "&amp;Task!$A$18&amp;" "," "&amp;LOWER(C113)&amp;" ")),1,0))+IF(Task!$A$19="",0,IF(ISNUMBER(SEARCH(" "&amp;Task!$A$19&amp;" "," "&amp;LOWER(C113)&amp;" ")),1,0)))</f>
        <v/>
      </c>
      <c r="H113" s="9">
        <f>IF(E113=0,0,IF(Task!$A$8="",0,IF(ISNUMBER(SEARCH(" "&amp;Task!$A$8&amp;" "," "&amp;LOWER(SUBSTITUTE(SUBSTITUTE(SUBSTITUTE(SUBSTITUTE(A113,"/"," "),"."," "),"\"," "),"_"," "))&amp;" ")),1,0))+IF(Task!$A$9="",0,IF(ISNUMBER(SEARCH(" "&amp;Task!$A$9&amp;" "," "&amp;LOWER(SUBSTITUTE(SUBSTITUTE(SUBSTITUTE(SUBSTITUTE(A113,"/"," "),"."," "),"\"," "),"_"," "))&amp;" ")),1,0))+IF(Task!$A$10="",0,IF(ISNUMBER(SEARCH(" "&amp;Task!$A$10&amp;" "," "&amp;LOWER(SUBSTITUTE(SUBSTITUTE(SUBSTITUTE(SUBSTITUTE(A113,"/"," "),"."," "),"\"," "),"_"," "))&amp;" ")),1,0))+IF(Task!$A$11="",0,IF(ISNUMBER(SEARCH(" "&amp;Task!$A$11&amp;" "," "&amp;LOWER(SUBSTITUTE(SUBSTITUTE(SUBSTITUTE(SUBSTITUTE(A113,"/"," "),"."," "),"\"," "),"_"," "))&amp;" ")),1,0))+IF(Task!$A$12="",0,IF(ISNUMBER(SEARCH(" "&amp;Task!$A$12&amp;" "," "&amp;LOWER(SUBSTITUTE(SUBSTITUTE(SUBSTITUTE(SUBSTITUTE(A113,"/"," "),"."," "),"\"," "),"_"," "))&amp;" ")),1,0))+IF(Task!$A$13="",0,IF(ISNUMBER(SEARCH(" "&amp;Task!$A$13&amp;" "," "&amp;LOWER(SUBSTITUTE(SUBSTITUTE(SUBSTITUTE(SUBSTITUTE(A113,"/"," "),"."," "),"\"," "),"_"," "))&amp;" ")),1,0))+IF(Task!$A$14="",0,IF(ISNUMBER(SEARCH(" "&amp;Task!$A$14&amp;" "," "&amp;LOWER(SUBSTITUTE(SUBSTITUTE(SUBSTITUTE(SUBSTITUTE(A113,"/"," "),"."," "),"\"," "),"_"," "))&amp;" ")),1,0))+IF(Task!$A$15="",0,IF(ISNUMBER(SEARCH(" "&amp;Task!$A$15&amp;" "," "&amp;LOWER(SUBSTITUTE(SUBSTITUTE(SUBSTITUTE(SUBSTITUTE(A113,"/"," "),"."," "),"\"," "),"_"," "))&amp;" ")),1,0))+IF(Task!$A$16="",0,IF(ISNUMBER(SEARCH(" "&amp;Task!$A$16&amp;" "," "&amp;LOWER(SUBSTITUTE(SUBSTITUTE(SUBSTITUTE(SUBSTITUTE(A113,"/"," "),"."," "),"\"," "),"_"," "))&amp;" ")),1,0))+IF(Task!$A$17="",0,IF(ISNUMBER(SEARCH(" "&amp;Task!$A$17&amp;" "," "&amp;LOWER(SUBSTITUTE(SUBSTITUTE(SUBSTITUTE(SUBSTITUTE(A113,"/"," "),"."," "),"\"," "),"_"," "))&amp;" ")),1,0))+IF(Task!$A$18="",0,IF(ISNUMBER(SEARCH(" "&amp;Task!$A$18&amp;" "," "&amp;LOWER(SUBSTITUTE(SUBSTITUTE(SUBSTITUTE(SUBSTITUTE(A113,"/"," "),"."," "),"\"," "),"_"," "))&amp;" ")),1,0))+IF(Task!$A$19="",0,IF(ISNUMBER(SEARCH(" "&amp;Task!$A$19&amp;" "," "&amp;LOWER(SUBSTITUTE(SUBSTITUTE(SUBSTITUTE(SUBSTITUTE(A113,"/"," "),"."," "),"\"," "),"_"," "))&amp;" ")),1,0)))</f>
        <v/>
      </c>
      <c r="I113" s="10">
        <f>IF(OR(E113=0,F113=0,Task!$B$21=0),"",F113/Task!$B$21+0.5*G113+0.25*H113)</f>
        <v/>
      </c>
      <c r="J113" s="5">
        <f>IF(I113="","",I113-ROW()/1000000)</f>
        <v/>
      </c>
      <c r="K113" s="9">
        <f>IF(J113="","",COUNTIF($J$5:$J$404,"&gt;"&amp;J113)+1)</f>
        <v/>
      </c>
    </row>
    <row r="114">
      <c r="A114" s="7" t="n"/>
      <c r="B114" s="7" t="n"/>
      <c r="C114" s="7" t="n"/>
      <c r="D114" s="7" t="n"/>
      <c r="E114" s="5">
        <f>IF(A114="",0,IF(COUNTA(Task!$B$5:$E$5)=0,1,IF(COUNTIF(Task!$B$5:$E$5,B114)&gt;0,1,0)))</f>
        <v/>
      </c>
      <c r="F114" s="9">
        <f>IF(E114=0,0,IF(Task!$A$8="",0,IF(ISNUMBER(SEARCH(" "&amp;Task!$A$8&amp;" "," "&amp;LOWER(D114&amp;" "&amp;C114&amp;" "&amp;LOWER(SUBSTITUTE(SUBSTITUTE(SUBSTITUTE(SUBSTITUTE(A114,"/"," "),"."," "),"\"," "),"_"," ")))&amp;" ")),1,0))+IF(Task!$A$9="",0,IF(ISNUMBER(SEARCH(" "&amp;Task!$A$9&amp;" "," "&amp;LOWER(D114&amp;" "&amp;C114&amp;" "&amp;LOWER(SUBSTITUTE(SUBSTITUTE(SUBSTITUTE(SUBSTITUTE(A114,"/"," "),"."," "),"\"," "),"_"," ")))&amp;" ")),1,0))+IF(Task!$A$10="",0,IF(ISNUMBER(SEARCH(" "&amp;Task!$A$10&amp;" "," "&amp;LOWER(D114&amp;" "&amp;C114&amp;" "&amp;LOWER(SUBSTITUTE(SUBSTITUTE(SUBSTITUTE(SUBSTITUTE(A114,"/"," "),"."," "),"\"," "),"_"," ")))&amp;" ")),1,0))+IF(Task!$A$11="",0,IF(ISNUMBER(SEARCH(" "&amp;Task!$A$11&amp;" "," "&amp;LOWER(D114&amp;" "&amp;C114&amp;" "&amp;LOWER(SUBSTITUTE(SUBSTITUTE(SUBSTITUTE(SUBSTITUTE(A114,"/"," "),"."," "),"\"," "),"_"," ")))&amp;" ")),1,0))+IF(Task!$A$12="",0,IF(ISNUMBER(SEARCH(" "&amp;Task!$A$12&amp;" "," "&amp;LOWER(D114&amp;" "&amp;C114&amp;" "&amp;LOWER(SUBSTITUTE(SUBSTITUTE(SUBSTITUTE(SUBSTITUTE(A114,"/"," "),"."," "),"\"," "),"_"," ")))&amp;" ")),1,0))+IF(Task!$A$13="",0,IF(ISNUMBER(SEARCH(" "&amp;Task!$A$13&amp;" "," "&amp;LOWER(D114&amp;" "&amp;C114&amp;" "&amp;LOWER(SUBSTITUTE(SUBSTITUTE(SUBSTITUTE(SUBSTITUTE(A114,"/"," "),"."," "),"\"," "),"_"," ")))&amp;" ")),1,0))+IF(Task!$A$14="",0,IF(ISNUMBER(SEARCH(" "&amp;Task!$A$14&amp;" "," "&amp;LOWER(D114&amp;" "&amp;C114&amp;" "&amp;LOWER(SUBSTITUTE(SUBSTITUTE(SUBSTITUTE(SUBSTITUTE(A114,"/"," "),"."," "),"\"," "),"_"," ")))&amp;" ")),1,0))+IF(Task!$A$15="",0,IF(ISNUMBER(SEARCH(" "&amp;Task!$A$15&amp;" "," "&amp;LOWER(D114&amp;" "&amp;C114&amp;" "&amp;LOWER(SUBSTITUTE(SUBSTITUTE(SUBSTITUTE(SUBSTITUTE(A114,"/"," "),"."," "),"\"," "),"_"," ")))&amp;" ")),1,0))+IF(Task!$A$16="",0,IF(ISNUMBER(SEARCH(" "&amp;Task!$A$16&amp;" "," "&amp;LOWER(D114&amp;" "&amp;C114&amp;" "&amp;LOWER(SUBSTITUTE(SUBSTITUTE(SUBSTITUTE(SUBSTITUTE(A114,"/"," "),"."," "),"\"," "),"_"," ")))&amp;" ")),1,0))+IF(Task!$A$17="",0,IF(ISNUMBER(SEARCH(" "&amp;Task!$A$17&amp;" "," "&amp;LOWER(D114&amp;" "&amp;C114&amp;" "&amp;LOWER(SUBSTITUTE(SUBSTITUTE(SUBSTITUTE(SUBSTITUTE(A114,"/"," "),"."," "),"\"," "),"_"," ")))&amp;" ")),1,0))+IF(Task!$A$18="",0,IF(ISNUMBER(SEARCH(" "&amp;Task!$A$18&amp;" "," "&amp;LOWER(D114&amp;" "&amp;C114&amp;" "&amp;LOWER(SUBSTITUTE(SUBSTITUTE(SUBSTITUTE(SUBSTITUTE(A114,"/"," "),"."," "),"\"," "),"_"," ")))&amp;" ")),1,0))+IF(Task!$A$19="",0,IF(ISNUMBER(SEARCH(" "&amp;Task!$A$19&amp;" "," "&amp;LOWER(D114&amp;" "&amp;C114&amp;" "&amp;LOWER(SUBSTITUTE(SUBSTITUTE(SUBSTITUTE(SUBSTITUTE(A114,"/"," "),"."," "),"\"," "),"_"," ")))&amp;" ")),1,0)))</f>
        <v/>
      </c>
      <c r="G114" s="9">
        <f>IF(E114=0,0,IF(Task!$A$8="",0,IF(ISNUMBER(SEARCH(" "&amp;Task!$A$8&amp;" "," "&amp;LOWER(C114)&amp;" ")),1,0))+IF(Task!$A$9="",0,IF(ISNUMBER(SEARCH(" "&amp;Task!$A$9&amp;" "," "&amp;LOWER(C114)&amp;" ")),1,0))+IF(Task!$A$10="",0,IF(ISNUMBER(SEARCH(" "&amp;Task!$A$10&amp;" "," "&amp;LOWER(C114)&amp;" ")),1,0))+IF(Task!$A$11="",0,IF(ISNUMBER(SEARCH(" "&amp;Task!$A$11&amp;" "," "&amp;LOWER(C114)&amp;" ")),1,0))+IF(Task!$A$12="",0,IF(ISNUMBER(SEARCH(" "&amp;Task!$A$12&amp;" "," "&amp;LOWER(C114)&amp;" ")),1,0))+IF(Task!$A$13="",0,IF(ISNUMBER(SEARCH(" "&amp;Task!$A$13&amp;" "," "&amp;LOWER(C114)&amp;" ")),1,0))+IF(Task!$A$14="",0,IF(ISNUMBER(SEARCH(" "&amp;Task!$A$14&amp;" "," "&amp;LOWER(C114)&amp;" ")),1,0))+IF(Task!$A$15="",0,IF(ISNUMBER(SEARCH(" "&amp;Task!$A$15&amp;" "," "&amp;LOWER(C114)&amp;" ")),1,0))+IF(Task!$A$16="",0,IF(ISNUMBER(SEARCH(" "&amp;Task!$A$16&amp;" "," "&amp;LOWER(C114)&amp;" ")),1,0))+IF(Task!$A$17="",0,IF(ISNUMBER(SEARCH(" "&amp;Task!$A$17&amp;" "," "&amp;LOWER(C114)&amp;" ")),1,0))+IF(Task!$A$18="",0,IF(ISNUMBER(SEARCH(" "&amp;Task!$A$18&amp;" "," "&amp;LOWER(C114)&amp;" ")),1,0))+IF(Task!$A$19="",0,IF(ISNUMBER(SEARCH(" "&amp;Task!$A$19&amp;" "," "&amp;LOWER(C114)&amp;" ")),1,0)))</f>
        <v/>
      </c>
      <c r="H114" s="9">
        <f>IF(E114=0,0,IF(Task!$A$8="",0,IF(ISNUMBER(SEARCH(" "&amp;Task!$A$8&amp;" "," "&amp;LOWER(SUBSTITUTE(SUBSTITUTE(SUBSTITUTE(SUBSTITUTE(A114,"/"," "),"."," "),"\"," "),"_"," "))&amp;" ")),1,0))+IF(Task!$A$9="",0,IF(ISNUMBER(SEARCH(" "&amp;Task!$A$9&amp;" "," "&amp;LOWER(SUBSTITUTE(SUBSTITUTE(SUBSTITUTE(SUBSTITUTE(A114,"/"," "),"."," "),"\"," "),"_"," "))&amp;" ")),1,0))+IF(Task!$A$10="",0,IF(ISNUMBER(SEARCH(" "&amp;Task!$A$10&amp;" "," "&amp;LOWER(SUBSTITUTE(SUBSTITUTE(SUBSTITUTE(SUBSTITUTE(A114,"/"," "),"."," "),"\"," "),"_"," "))&amp;" ")),1,0))+IF(Task!$A$11="",0,IF(ISNUMBER(SEARCH(" "&amp;Task!$A$11&amp;" "," "&amp;LOWER(SUBSTITUTE(SUBSTITUTE(SUBSTITUTE(SUBSTITUTE(A114,"/"," "),"."," "),"\"," "),"_"," "))&amp;" ")),1,0))+IF(Task!$A$12="",0,IF(ISNUMBER(SEARCH(" "&amp;Task!$A$12&amp;" "," "&amp;LOWER(SUBSTITUTE(SUBSTITUTE(SUBSTITUTE(SUBSTITUTE(A114,"/"," "),"."," "),"\"," "),"_"," "))&amp;" ")),1,0))+IF(Task!$A$13="",0,IF(ISNUMBER(SEARCH(" "&amp;Task!$A$13&amp;" "," "&amp;LOWER(SUBSTITUTE(SUBSTITUTE(SUBSTITUTE(SUBSTITUTE(A114,"/"," "),"."," "),"\"," "),"_"," "))&amp;" ")),1,0))+IF(Task!$A$14="",0,IF(ISNUMBER(SEARCH(" "&amp;Task!$A$14&amp;" "," "&amp;LOWER(SUBSTITUTE(SUBSTITUTE(SUBSTITUTE(SUBSTITUTE(A114,"/"," "),"."," "),"\"," "),"_"," "))&amp;" ")),1,0))+IF(Task!$A$15="",0,IF(ISNUMBER(SEARCH(" "&amp;Task!$A$15&amp;" "," "&amp;LOWER(SUBSTITUTE(SUBSTITUTE(SUBSTITUTE(SUBSTITUTE(A114,"/"," "),"."," "),"\"," "),"_"," "))&amp;" ")),1,0))+IF(Task!$A$16="",0,IF(ISNUMBER(SEARCH(" "&amp;Task!$A$16&amp;" "," "&amp;LOWER(SUBSTITUTE(SUBSTITUTE(SUBSTITUTE(SUBSTITUTE(A114,"/"," "),"."," "),"\"," "),"_"," "))&amp;" ")),1,0))+IF(Task!$A$17="",0,IF(ISNUMBER(SEARCH(" "&amp;Task!$A$17&amp;" "," "&amp;LOWER(SUBSTITUTE(SUBSTITUTE(SUBSTITUTE(SUBSTITUTE(A114,"/"," "),"."," "),"\"," "),"_"," "))&amp;" ")),1,0))+IF(Task!$A$18="",0,IF(ISNUMBER(SEARCH(" "&amp;Task!$A$18&amp;" "," "&amp;LOWER(SUBSTITUTE(SUBSTITUTE(SUBSTITUTE(SUBSTITUTE(A114,"/"," "),"."," "),"\"," "),"_"," "))&amp;" ")),1,0))+IF(Task!$A$19="",0,IF(ISNUMBER(SEARCH(" "&amp;Task!$A$19&amp;" "," "&amp;LOWER(SUBSTITUTE(SUBSTITUTE(SUBSTITUTE(SUBSTITUTE(A114,"/"," "),"."," "),"\"," "),"_"," "))&amp;" ")),1,0)))</f>
        <v/>
      </c>
      <c r="I114" s="10">
        <f>IF(OR(E114=0,F114=0,Task!$B$21=0),"",F114/Task!$B$21+0.5*G114+0.25*H114)</f>
        <v/>
      </c>
      <c r="J114" s="5">
        <f>IF(I114="","",I114-ROW()/1000000)</f>
        <v/>
      </c>
      <c r="K114" s="9">
        <f>IF(J114="","",COUNTIF($J$5:$J$404,"&gt;"&amp;J114)+1)</f>
        <v/>
      </c>
    </row>
    <row r="115">
      <c r="A115" s="7" t="n"/>
      <c r="B115" s="7" t="n"/>
      <c r="C115" s="7" t="n"/>
      <c r="D115" s="7" t="n"/>
      <c r="E115" s="5">
        <f>IF(A115="",0,IF(COUNTA(Task!$B$5:$E$5)=0,1,IF(COUNTIF(Task!$B$5:$E$5,B115)&gt;0,1,0)))</f>
        <v/>
      </c>
      <c r="F115" s="9">
        <f>IF(E115=0,0,IF(Task!$A$8="",0,IF(ISNUMBER(SEARCH(" "&amp;Task!$A$8&amp;" "," "&amp;LOWER(D115&amp;" "&amp;C115&amp;" "&amp;LOWER(SUBSTITUTE(SUBSTITUTE(SUBSTITUTE(SUBSTITUTE(A115,"/"," "),"."," "),"\"," "),"_"," ")))&amp;" ")),1,0))+IF(Task!$A$9="",0,IF(ISNUMBER(SEARCH(" "&amp;Task!$A$9&amp;" "," "&amp;LOWER(D115&amp;" "&amp;C115&amp;" "&amp;LOWER(SUBSTITUTE(SUBSTITUTE(SUBSTITUTE(SUBSTITUTE(A115,"/"," "),"."," "),"\"," "),"_"," ")))&amp;" ")),1,0))+IF(Task!$A$10="",0,IF(ISNUMBER(SEARCH(" "&amp;Task!$A$10&amp;" "," "&amp;LOWER(D115&amp;" "&amp;C115&amp;" "&amp;LOWER(SUBSTITUTE(SUBSTITUTE(SUBSTITUTE(SUBSTITUTE(A115,"/"," "),"."," "),"\"," "),"_"," ")))&amp;" ")),1,0))+IF(Task!$A$11="",0,IF(ISNUMBER(SEARCH(" "&amp;Task!$A$11&amp;" "," "&amp;LOWER(D115&amp;" "&amp;C115&amp;" "&amp;LOWER(SUBSTITUTE(SUBSTITUTE(SUBSTITUTE(SUBSTITUTE(A115,"/"," "),"."," "),"\"," "),"_"," ")))&amp;" ")),1,0))+IF(Task!$A$12="",0,IF(ISNUMBER(SEARCH(" "&amp;Task!$A$12&amp;" "," "&amp;LOWER(D115&amp;" "&amp;C115&amp;" "&amp;LOWER(SUBSTITUTE(SUBSTITUTE(SUBSTITUTE(SUBSTITUTE(A115,"/"," "),"."," "),"\"," "),"_"," ")))&amp;" ")),1,0))+IF(Task!$A$13="",0,IF(ISNUMBER(SEARCH(" "&amp;Task!$A$13&amp;" "," "&amp;LOWER(D115&amp;" "&amp;C115&amp;" "&amp;LOWER(SUBSTITUTE(SUBSTITUTE(SUBSTITUTE(SUBSTITUTE(A115,"/"," "),"."," "),"\"," "),"_"," ")))&amp;" ")),1,0))+IF(Task!$A$14="",0,IF(ISNUMBER(SEARCH(" "&amp;Task!$A$14&amp;" "," "&amp;LOWER(D115&amp;" "&amp;C115&amp;" "&amp;LOWER(SUBSTITUTE(SUBSTITUTE(SUBSTITUTE(SUBSTITUTE(A115,"/"," "),"."," "),"\"," "),"_"," ")))&amp;" ")),1,0))+IF(Task!$A$15="",0,IF(ISNUMBER(SEARCH(" "&amp;Task!$A$15&amp;" "," "&amp;LOWER(D115&amp;" "&amp;C115&amp;" "&amp;LOWER(SUBSTITUTE(SUBSTITUTE(SUBSTITUTE(SUBSTITUTE(A115,"/"," "),"."," "),"\"," "),"_"," ")))&amp;" ")),1,0))+IF(Task!$A$16="",0,IF(ISNUMBER(SEARCH(" "&amp;Task!$A$16&amp;" "," "&amp;LOWER(D115&amp;" "&amp;C115&amp;" "&amp;LOWER(SUBSTITUTE(SUBSTITUTE(SUBSTITUTE(SUBSTITUTE(A115,"/"," "),"."," "),"\"," "),"_"," ")))&amp;" ")),1,0))+IF(Task!$A$17="",0,IF(ISNUMBER(SEARCH(" "&amp;Task!$A$17&amp;" "," "&amp;LOWER(D115&amp;" "&amp;C115&amp;" "&amp;LOWER(SUBSTITUTE(SUBSTITUTE(SUBSTITUTE(SUBSTITUTE(A115,"/"," "),"."," "),"\"," "),"_"," ")))&amp;" ")),1,0))+IF(Task!$A$18="",0,IF(ISNUMBER(SEARCH(" "&amp;Task!$A$18&amp;" "," "&amp;LOWER(D115&amp;" "&amp;C115&amp;" "&amp;LOWER(SUBSTITUTE(SUBSTITUTE(SUBSTITUTE(SUBSTITUTE(A115,"/"," "),"."," "),"\"," "),"_"," ")))&amp;" ")),1,0))+IF(Task!$A$19="",0,IF(ISNUMBER(SEARCH(" "&amp;Task!$A$19&amp;" "," "&amp;LOWER(D115&amp;" "&amp;C115&amp;" "&amp;LOWER(SUBSTITUTE(SUBSTITUTE(SUBSTITUTE(SUBSTITUTE(A115,"/"," "),"."," "),"\"," "),"_"," ")))&amp;" ")),1,0)))</f>
        <v/>
      </c>
      <c r="G115" s="9">
        <f>IF(E115=0,0,IF(Task!$A$8="",0,IF(ISNUMBER(SEARCH(" "&amp;Task!$A$8&amp;" "," "&amp;LOWER(C115)&amp;" ")),1,0))+IF(Task!$A$9="",0,IF(ISNUMBER(SEARCH(" "&amp;Task!$A$9&amp;" "," "&amp;LOWER(C115)&amp;" ")),1,0))+IF(Task!$A$10="",0,IF(ISNUMBER(SEARCH(" "&amp;Task!$A$10&amp;" "," "&amp;LOWER(C115)&amp;" ")),1,0))+IF(Task!$A$11="",0,IF(ISNUMBER(SEARCH(" "&amp;Task!$A$11&amp;" "," "&amp;LOWER(C115)&amp;" ")),1,0))+IF(Task!$A$12="",0,IF(ISNUMBER(SEARCH(" "&amp;Task!$A$12&amp;" "," "&amp;LOWER(C115)&amp;" ")),1,0))+IF(Task!$A$13="",0,IF(ISNUMBER(SEARCH(" "&amp;Task!$A$13&amp;" "," "&amp;LOWER(C115)&amp;" ")),1,0))+IF(Task!$A$14="",0,IF(ISNUMBER(SEARCH(" "&amp;Task!$A$14&amp;" "," "&amp;LOWER(C115)&amp;" ")),1,0))+IF(Task!$A$15="",0,IF(ISNUMBER(SEARCH(" "&amp;Task!$A$15&amp;" "," "&amp;LOWER(C115)&amp;" ")),1,0))+IF(Task!$A$16="",0,IF(ISNUMBER(SEARCH(" "&amp;Task!$A$16&amp;" "," "&amp;LOWER(C115)&amp;" ")),1,0))+IF(Task!$A$17="",0,IF(ISNUMBER(SEARCH(" "&amp;Task!$A$17&amp;" "," "&amp;LOWER(C115)&amp;" ")),1,0))+IF(Task!$A$18="",0,IF(ISNUMBER(SEARCH(" "&amp;Task!$A$18&amp;" "," "&amp;LOWER(C115)&amp;" ")),1,0))+IF(Task!$A$19="",0,IF(ISNUMBER(SEARCH(" "&amp;Task!$A$19&amp;" "," "&amp;LOWER(C115)&amp;" ")),1,0)))</f>
        <v/>
      </c>
      <c r="H115" s="9">
        <f>IF(E115=0,0,IF(Task!$A$8="",0,IF(ISNUMBER(SEARCH(" "&amp;Task!$A$8&amp;" "," "&amp;LOWER(SUBSTITUTE(SUBSTITUTE(SUBSTITUTE(SUBSTITUTE(A115,"/"," "),"."," "),"\"," "),"_"," "))&amp;" ")),1,0))+IF(Task!$A$9="",0,IF(ISNUMBER(SEARCH(" "&amp;Task!$A$9&amp;" "," "&amp;LOWER(SUBSTITUTE(SUBSTITUTE(SUBSTITUTE(SUBSTITUTE(A115,"/"," "),"."," "),"\"," "),"_"," "))&amp;" ")),1,0))+IF(Task!$A$10="",0,IF(ISNUMBER(SEARCH(" "&amp;Task!$A$10&amp;" "," "&amp;LOWER(SUBSTITUTE(SUBSTITUTE(SUBSTITUTE(SUBSTITUTE(A115,"/"," "),"."," "),"\"," "),"_"," "))&amp;" ")),1,0))+IF(Task!$A$11="",0,IF(ISNUMBER(SEARCH(" "&amp;Task!$A$11&amp;" "," "&amp;LOWER(SUBSTITUTE(SUBSTITUTE(SUBSTITUTE(SUBSTITUTE(A115,"/"," "),"."," "),"\"," "),"_"," "))&amp;" ")),1,0))+IF(Task!$A$12="",0,IF(ISNUMBER(SEARCH(" "&amp;Task!$A$12&amp;" "," "&amp;LOWER(SUBSTITUTE(SUBSTITUTE(SUBSTITUTE(SUBSTITUTE(A115,"/"," "),"."," "),"\"," "),"_"," "))&amp;" ")),1,0))+IF(Task!$A$13="",0,IF(ISNUMBER(SEARCH(" "&amp;Task!$A$13&amp;" "," "&amp;LOWER(SUBSTITUTE(SUBSTITUTE(SUBSTITUTE(SUBSTITUTE(A115,"/"," "),"."," "),"\"," "),"_"," "))&amp;" ")),1,0))+IF(Task!$A$14="",0,IF(ISNUMBER(SEARCH(" "&amp;Task!$A$14&amp;" "," "&amp;LOWER(SUBSTITUTE(SUBSTITUTE(SUBSTITUTE(SUBSTITUTE(A115,"/"," "),"."," "),"\"," "),"_"," "))&amp;" ")),1,0))+IF(Task!$A$15="",0,IF(ISNUMBER(SEARCH(" "&amp;Task!$A$15&amp;" "," "&amp;LOWER(SUBSTITUTE(SUBSTITUTE(SUBSTITUTE(SUBSTITUTE(A115,"/"," "),"."," "),"\"," "),"_"," "))&amp;" ")),1,0))+IF(Task!$A$16="",0,IF(ISNUMBER(SEARCH(" "&amp;Task!$A$16&amp;" "," "&amp;LOWER(SUBSTITUTE(SUBSTITUTE(SUBSTITUTE(SUBSTITUTE(A115,"/"," "),"."," "),"\"," "),"_"," "))&amp;" ")),1,0))+IF(Task!$A$17="",0,IF(ISNUMBER(SEARCH(" "&amp;Task!$A$17&amp;" "," "&amp;LOWER(SUBSTITUTE(SUBSTITUTE(SUBSTITUTE(SUBSTITUTE(A115,"/"," "),"."," "),"\"," "),"_"," "))&amp;" ")),1,0))+IF(Task!$A$18="",0,IF(ISNUMBER(SEARCH(" "&amp;Task!$A$18&amp;" "," "&amp;LOWER(SUBSTITUTE(SUBSTITUTE(SUBSTITUTE(SUBSTITUTE(A115,"/"," "),"."," "),"\"," "),"_"," "))&amp;" ")),1,0))+IF(Task!$A$19="",0,IF(ISNUMBER(SEARCH(" "&amp;Task!$A$19&amp;" "," "&amp;LOWER(SUBSTITUTE(SUBSTITUTE(SUBSTITUTE(SUBSTITUTE(A115,"/"," "),"."," "),"\"," "),"_"," "))&amp;" ")),1,0)))</f>
        <v/>
      </c>
      <c r="I115" s="10">
        <f>IF(OR(E115=0,F115=0,Task!$B$21=0),"",F115/Task!$B$21+0.5*G115+0.25*H115)</f>
        <v/>
      </c>
      <c r="J115" s="5">
        <f>IF(I115="","",I115-ROW()/1000000)</f>
        <v/>
      </c>
      <c r="K115" s="9">
        <f>IF(J115="","",COUNTIF($J$5:$J$404,"&gt;"&amp;J115)+1)</f>
        <v/>
      </c>
    </row>
    <row r="116">
      <c r="A116" s="7" t="n"/>
      <c r="B116" s="7" t="n"/>
      <c r="C116" s="7" t="n"/>
      <c r="D116" s="7" t="n"/>
      <c r="E116" s="5">
        <f>IF(A116="",0,IF(COUNTA(Task!$B$5:$E$5)=0,1,IF(COUNTIF(Task!$B$5:$E$5,B116)&gt;0,1,0)))</f>
        <v/>
      </c>
      <c r="F116" s="9">
        <f>IF(E116=0,0,IF(Task!$A$8="",0,IF(ISNUMBER(SEARCH(" "&amp;Task!$A$8&amp;" "," "&amp;LOWER(D116&amp;" "&amp;C116&amp;" "&amp;LOWER(SUBSTITUTE(SUBSTITUTE(SUBSTITUTE(SUBSTITUTE(A116,"/"," "),"."," "),"\"," "),"_"," ")))&amp;" ")),1,0))+IF(Task!$A$9="",0,IF(ISNUMBER(SEARCH(" "&amp;Task!$A$9&amp;" "," "&amp;LOWER(D116&amp;" "&amp;C116&amp;" "&amp;LOWER(SUBSTITUTE(SUBSTITUTE(SUBSTITUTE(SUBSTITUTE(A116,"/"," "),"."," "),"\"," "),"_"," ")))&amp;" ")),1,0))+IF(Task!$A$10="",0,IF(ISNUMBER(SEARCH(" "&amp;Task!$A$10&amp;" "," "&amp;LOWER(D116&amp;" "&amp;C116&amp;" "&amp;LOWER(SUBSTITUTE(SUBSTITUTE(SUBSTITUTE(SUBSTITUTE(A116,"/"," "),"."," "),"\"," "),"_"," ")))&amp;" ")),1,0))+IF(Task!$A$11="",0,IF(ISNUMBER(SEARCH(" "&amp;Task!$A$11&amp;" "," "&amp;LOWER(D116&amp;" "&amp;C116&amp;" "&amp;LOWER(SUBSTITUTE(SUBSTITUTE(SUBSTITUTE(SUBSTITUTE(A116,"/"," "),"."," "),"\"," "),"_"," ")))&amp;" ")),1,0))+IF(Task!$A$12="",0,IF(ISNUMBER(SEARCH(" "&amp;Task!$A$12&amp;" "," "&amp;LOWER(D116&amp;" "&amp;C116&amp;" "&amp;LOWER(SUBSTITUTE(SUBSTITUTE(SUBSTITUTE(SUBSTITUTE(A116,"/"," "),"."," "),"\"," "),"_"," ")))&amp;" ")),1,0))+IF(Task!$A$13="",0,IF(ISNUMBER(SEARCH(" "&amp;Task!$A$13&amp;" "," "&amp;LOWER(D116&amp;" "&amp;C116&amp;" "&amp;LOWER(SUBSTITUTE(SUBSTITUTE(SUBSTITUTE(SUBSTITUTE(A116,"/"," "),"."," "),"\"," "),"_"," ")))&amp;" ")),1,0))+IF(Task!$A$14="",0,IF(ISNUMBER(SEARCH(" "&amp;Task!$A$14&amp;" "," "&amp;LOWER(D116&amp;" "&amp;C116&amp;" "&amp;LOWER(SUBSTITUTE(SUBSTITUTE(SUBSTITUTE(SUBSTITUTE(A116,"/"," "),"."," "),"\"," "),"_"," ")))&amp;" ")),1,0))+IF(Task!$A$15="",0,IF(ISNUMBER(SEARCH(" "&amp;Task!$A$15&amp;" "," "&amp;LOWER(D116&amp;" "&amp;C116&amp;" "&amp;LOWER(SUBSTITUTE(SUBSTITUTE(SUBSTITUTE(SUBSTITUTE(A116,"/"," "),"."," "),"\"," "),"_"," ")))&amp;" ")),1,0))+IF(Task!$A$16="",0,IF(ISNUMBER(SEARCH(" "&amp;Task!$A$16&amp;" "," "&amp;LOWER(D116&amp;" "&amp;C116&amp;" "&amp;LOWER(SUBSTITUTE(SUBSTITUTE(SUBSTITUTE(SUBSTITUTE(A116,"/"," "),"."," "),"\"," "),"_"," ")))&amp;" ")),1,0))+IF(Task!$A$17="",0,IF(ISNUMBER(SEARCH(" "&amp;Task!$A$17&amp;" "," "&amp;LOWER(D116&amp;" "&amp;C116&amp;" "&amp;LOWER(SUBSTITUTE(SUBSTITUTE(SUBSTITUTE(SUBSTITUTE(A116,"/"," "),"."," "),"\"," "),"_"," ")))&amp;" ")),1,0))+IF(Task!$A$18="",0,IF(ISNUMBER(SEARCH(" "&amp;Task!$A$18&amp;" "," "&amp;LOWER(D116&amp;" "&amp;C116&amp;" "&amp;LOWER(SUBSTITUTE(SUBSTITUTE(SUBSTITUTE(SUBSTITUTE(A116,"/"," "),"."," "),"\"," "),"_"," ")))&amp;" ")),1,0))+IF(Task!$A$19="",0,IF(ISNUMBER(SEARCH(" "&amp;Task!$A$19&amp;" "," "&amp;LOWER(D116&amp;" "&amp;C116&amp;" "&amp;LOWER(SUBSTITUTE(SUBSTITUTE(SUBSTITUTE(SUBSTITUTE(A116,"/"," "),"."," "),"\"," "),"_"," ")))&amp;" ")),1,0)))</f>
        <v/>
      </c>
      <c r="G116" s="9">
        <f>IF(E116=0,0,IF(Task!$A$8="",0,IF(ISNUMBER(SEARCH(" "&amp;Task!$A$8&amp;" "," "&amp;LOWER(C116)&amp;" ")),1,0))+IF(Task!$A$9="",0,IF(ISNUMBER(SEARCH(" "&amp;Task!$A$9&amp;" "," "&amp;LOWER(C116)&amp;" ")),1,0))+IF(Task!$A$10="",0,IF(ISNUMBER(SEARCH(" "&amp;Task!$A$10&amp;" "," "&amp;LOWER(C116)&amp;" ")),1,0))+IF(Task!$A$11="",0,IF(ISNUMBER(SEARCH(" "&amp;Task!$A$11&amp;" "," "&amp;LOWER(C116)&amp;" ")),1,0))+IF(Task!$A$12="",0,IF(ISNUMBER(SEARCH(" "&amp;Task!$A$12&amp;" "," "&amp;LOWER(C116)&amp;" ")),1,0))+IF(Task!$A$13="",0,IF(ISNUMBER(SEARCH(" "&amp;Task!$A$13&amp;" "," "&amp;LOWER(C116)&amp;" ")),1,0))+IF(Task!$A$14="",0,IF(ISNUMBER(SEARCH(" "&amp;Task!$A$14&amp;" "," "&amp;LOWER(C116)&amp;" ")),1,0))+IF(Task!$A$15="",0,IF(ISNUMBER(SEARCH(" "&amp;Task!$A$15&amp;" "," "&amp;LOWER(C116)&amp;" ")),1,0))+IF(Task!$A$16="",0,IF(ISNUMBER(SEARCH(" "&amp;Task!$A$16&amp;" "," "&amp;LOWER(C116)&amp;" ")),1,0))+IF(Task!$A$17="",0,IF(ISNUMBER(SEARCH(" "&amp;Task!$A$17&amp;" "," "&amp;LOWER(C116)&amp;" ")),1,0))+IF(Task!$A$18="",0,IF(ISNUMBER(SEARCH(" "&amp;Task!$A$18&amp;" "," "&amp;LOWER(C116)&amp;" ")),1,0))+IF(Task!$A$19="",0,IF(ISNUMBER(SEARCH(" "&amp;Task!$A$19&amp;" "," "&amp;LOWER(C116)&amp;" ")),1,0)))</f>
        <v/>
      </c>
      <c r="H116" s="9">
        <f>IF(E116=0,0,IF(Task!$A$8="",0,IF(ISNUMBER(SEARCH(" "&amp;Task!$A$8&amp;" "," "&amp;LOWER(SUBSTITUTE(SUBSTITUTE(SUBSTITUTE(SUBSTITUTE(A116,"/"," "),"."," "),"\"," "),"_"," "))&amp;" ")),1,0))+IF(Task!$A$9="",0,IF(ISNUMBER(SEARCH(" "&amp;Task!$A$9&amp;" "," "&amp;LOWER(SUBSTITUTE(SUBSTITUTE(SUBSTITUTE(SUBSTITUTE(A116,"/"," "),"."," "),"\"," "),"_"," "))&amp;" ")),1,0))+IF(Task!$A$10="",0,IF(ISNUMBER(SEARCH(" "&amp;Task!$A$10&amp;" "," "&amp;LOWER(SUBSTITUTE(SUBSTITUTE(SUBSTITUTE(SUBSTITUTE(A116,"/"," "),"."," "),"\"," "),"_"," "))&amp;" ")),1,0))+IF(Task!$A$11="",0,IF(ISNUMBER(SEARCH(" "&amp;Task!$A$11&amp;" "," "&amp;LOWER(SUBSTITUTE(SUBSTITUTE(SUBSTITUTE(SUBSTITUTE(A116,"/"," "),"."," "),"\"," "),"_"," "))&amp;" ")),1,0))+IF(Task!$A$12="",0,IF(ISNUMBER(SEARCH(" "&amp;Task!$A$12&amp;" "," "&amp;LOWER(SUBSTITUTE(SUBSTITUTE(SUBSTITUTE(SUBSTITUTE(A116,"/"," "),"."," "),"\"," "),"_"," "))&amp;" ")),1,0))+IF(Task!$A$13="",0,IF(ISNUMBER(SEARCH(" "&amp;Task!$A$13&amp;" "," "&amp;LOWER(SUBSTITUTE(SUBSTITUTE(SUBSTITUTE(SUBSTITUTE(A116,"/"," "),"."," "),"\"," "),"_"," "))&amp;" ")),1,0))+IF(Task!$A$14="",0,IF(ISNUMBER(SEARCH(" "&amp;Task!$A$14&amp;" "," "&amp;LOWER(SUBSTITUTE(SUBSTITUTE(SUBSTITUTE(SUBSTITUTE(A116,"/"," "),"."," "),"\"," "),"_"," "))&amp;" ")),1,0))+IF(Task!$A$15="",0,IF(ISNUMBER(SEARCH(" "&amp;Task!$A$15&amp;" "," "&amp;LOWER(SUBSTITUTE(SUBSTITUTE(SUBSTITUTE(SUBSTITUTE(A116,"/"," "),"."," "),"\"," "),"_"," "))&amp;" ")),1,0))+IF(Task!$A$16="",0,IF(ISNUMBER(SEARCH(" "&amp;Task!$A$16&amp;" "," "&amp;LOWER(SUBSTITUTE(SUBSTITUTE(SUBSTITUTE(SUBSTITUTE(A116,"/"," "),"."," "),"\"," "),"_"," "))&amp;" ")),1,0))+IF(Task!$A$17="",0,IF(ISNUMBER(SEARCH(" "&amp;Task!$A$17&amp;" "," "&amp;LOWER(SUBSTITUTE(SUBSTITUTE(SUBSTITUTE(SUBSTITUTE(A116,"/"," "),"."," "),"\"," "),"_"," "))&amp;" ")),1,0))+IF(Task!$A$18="",0,IF(ISNUMBER(SEARCH(" "&amp;Task!$A$18&amp;" "," "&amp;LOWER(SUBSTITUTE(SUBSTITUTE(SUBSTITUTE(SUBSTITUTE(A116,"/"," "),"."," "),"\"," "),"_"," "))&amp;" ")),1,0))+IF(Task!$A$19="",0,IF(ISNUMBER(SEARCH(" "&amp;Task!$A$19&amp;" "," "&amp;LOWER(SUBSTITUTE(SUBSTITUTE(SUBSTITUTE(SUBSTITUTE(A116,"/"," "),"."," "),"\"," "),"_"," "))&amp;" ")),1,0)))</f>
        <v/>
      </c>
      <c r="I116" s="10">
        <f>IF(OR(E116=0,F116=0,Task!$B$21=0),"",F116/Task!$B$21+0.5*G116+0.25*H116)</f>
        <v/>
      </c>
      <c r="J116" s="5">
        <f>IF(I116="","",I116-ROW()/1000000)</f>
        <v/>
      </c>
      <c r="K116" s="9">
        <f>IF(J116="","",COUNTIF($J$5:$J$404,"&gt;"&amp;J116)+1)</f>
        <v/>
      </c>
    </row>
    <row r="117">
      <c r="A117" s="7" t="n"/>
      <c r="B117" s="7" t="n"/>
      <c r="C117" s="7" t="n"/>
      <c r="D117" s="7" t="n"/>
      <c r="E117" s="5">
        <f>IF(A117="",0,IF(COUNTA(Task!$B$5:$E$5)=0,1,IF(COUNTIF(Task!$B$5:$E$5,B117)&gt;0,1,0)))</f>
        <v/>
      </c>
      <c r="F117" s="9">
        <f>IF(E117=0,0,IF(Task!$A$8="",0,IF(ISNUMBER(SEARCH(" "&amp;Task!$A$8&amp;" "," "&amp;LOWER(D117&amp;" "&amp;C117&amp;" "&amp;LOWER(SUBSTITUTE(SUBSTITUTE(SUBSTITUTE(SUBSTITUTE(A117,"/"," "),"."," "),"\"," "),"_"," ")))&amp;" ")),1,0))+IF(Task!$A$9="",0,IF(ISNUMBER(SEARCH(" "&amp;Task!$A$9&amp;" "," "&amp;LOWER(D117&amp;" "&amp;C117&amp;" "&amp;LOWER(SUBSTITUTE(SUBSTITUTE(SUBSTITUTE(SUBSTITUTE(A117,"/"," "),"."," "),"\"," "),"_"," ")))&amp;" ")),1,0))+IF(Task!$A$10="",0,IF(ISNUMBER(SEARCH(" "&amp;Task!$A$10&amp;" "," "&amp;LOWER(D117&amp;" "&amp;C117&amp;" "&amp;LOWER(SUBSTITUTE(SUBSTITUTE(SUBSTITUTE(SUBSTITUTE(A117,"/"," "),"."," "),"\"," "),"_"," ")))&amp;" ")),1,0))+IF(Task!$A$11="",0,IF(ISNUMBER(SEARCH(" "&amp;Task!$A$11&amp;" "," "&amp;LOWER(D117&amp;" "&amp;C117&amp;" "&amp;LOWER(SUBSTITUTE(SUBSTITUTE(SUBSTITUTE(SUBSTITUTE(A117,"/"," "),"."," "),"\"," "),"_"," ")))&amp;" ")),1,0))+IF(Task!$A$12="",0,IF(ISNUMBER(SEARCH(" "&amp;Task!$A$12&amp;" "," "&amp;LOWER(D117&amp;" "&amp;C117&amp;" "&amp;LOWER(SUBSTITUTE(SUBSTITUTE(SUBSTITUTE(SUBSTITUTE(A117,"/"," "),"."," "),"\"," "),"_"," ")))&amp;" ")),1,0))+IF(Task!$A$13="",0,IF(ISNUMBER(SEARCH(" "&amp;Task!$A$13&amp;" "," "&amp;LOWER(D117&amp;" "&amp;C117&amp;" "&amp;LOWER(SUBSTITUTE(SUBSTITUTE(SUBSTITUTE(SUBSTITUTE(A117,"/"," "),"."," "),"\"," "),"_"," ")))&amp;" ")),1,0))+IF(Task!$A$14="",0,IF(ISNUMBER(SEARCH(" "&amp;Task!$A$14&amp;" "," "&amp;LOWER(D117&amp;" "&amp;C117&amp;" "&amp;LOWER(SUBSTITUTE(SUBSTITUTE(SUBSTITUTE(SUBSTITUTE(A117,"/"," "),"."," "),"\"," "),"_"," ")))&amp;" ")),1,0))+IF(Task!$A$15="",0,IF(ISNUMBER(SEARCH(" "&amp;Task!$A$15&amp;" "," "&amp;LOWER(D117&amp;" "&amp;C117&amp;" "&amp;LOWER(SUBSTITUTE(SUBSTITUTE(SUBSTITUTE(SUBSTITUTE(A117,"/"," "),"."," "),"\"," "),"_"," ")))&amp;" ")),1,0))+IF(Task!$A$16="",0,IF(ISNUMBER(SEARCH(" "&amp;Task!$A$16&amp;" "," "&amp;LOWER(D117&amp;" "&amp;C117&amp;" "&amp;LOWER(SUBSTITUTE(SUBSTITUTE(SUBSTITUTE(SUBSTITUTE(A117,"/"," "),"."," "),"\"," "),"_"," ")))&amp;" ")),1,0))+IF(Task!$A$17="",0,IF(ISNUMBER(SEARCH(" "&amp;Task!$A$17&amp;" "," "&amp;LOWER(D117&amp;" "&amp;C117&amp;" "&amp;LOWER(SUBSTITUTE(SUBSTITUTE(SUBSTITUTE(SUBSTITUTE(A117,"/"," "),"."," "),"\"," "),"_"," ")))&amp;" ")),1,0))+IF(Task!$A$18="",0,IF(ISNUMBER(SEARCH(" "&amp;Task!$A$18&amp;" "," "&amp;LOWER(D117&amp;" "&amp;C117&amp;" "&amp;LOWER(SUBSTITUTE(SUBSTITUTE(SUBSTITUTE(SUBSTITUTE(A117,"/"," "),"."," "),"\"," "),"_"," ")))&amp;" ")),1,0))+IF(Task!$A$19="",0,IF(ISNUMBER(SEARCH(" "&amp;Task!$A$19&amp;" "," "&amp;LOWER(D117&amp;" "&amp;C117&amp;" "&amp;LOWER(SUBSTITUTE(SUBSTITUTE(SUBSTITUTE(SUBSTITUTE(A117,"/"," "),"."," "),"\"," "),"_"," ")))&amp;" ")),1,0)))</f>
        <v/>
      </c>
      <c r="G117" s="9">
        <f>IF(E117=0,0,IF(Task!$A$8="",0,IF(ISNUMBER(SEARCH(" "&amp;Task!$A$8&amp;" "," "&amp;LOWER(C117)&amp;" ")),1,0))+IF(Task!$A$9="",0,IF(ISNUMBER(SEARCH(" "&amp;Task!$A$9&amp;" "," "&amp;LOWER(C117)&amp;" ")),1,0))+IF(Task!$A$10="",0,IF(ISNUMBER(SEARCH(" "&amp;Task!$A$10&amp;" "," "&amp;LOWER(C117)&amp;" ")),1,0))+IF(Task!$A$11="",0,IF(ISNUMBER(SEARCH(" "&amp;Task!$A$11&amp;" "," "&amp;LOWER(C117)&amp;" ")),1,0))+IF(Task!$A$12="",0,IF(ISNUMBER(SEARCH(" "&amp;Task!$A$12&amp;" "," "&amp;LOWER(C117)&amp;" ")),1,0))+IF(Task!$A$13="",0,IF(ISNUMBER(SEARCH(" "&amp;Task!$A$13&amp;" "," "&amp;LOWER(C117)&amp;" ")),1,0))+IF(Task!$A$14="",0,IF(ISNUMBER(SEARCH(" "&amp;Task!$A$14&amp;" "," "&amp;LOWER(C117)&amp;" ")),1,0))+IF(Task!$A$15="",0,IF(ISNUMBER(SEARCH(" "&amp;Task!$A$15&amp;" "," "&amp;LOWER(C117)&amp;" ")),1,0))+IF(Task!$A$16="",0,IF(ISNUMBER(SEARCH(" "&amp;Task!$A$16&amp;" "," "&amp;LOWER(C117)&amp;" ")),1,0))+IF(Task!$A$17="",0,IF(ISNUMBER(SEARCH(" "&amp;Task!$A$17&amp;" "," "&amp;LOWER(C117)&amp;" ")),1,0))+IF(Task!$A$18="",0,IF(ISNUMBER(SEARCH(" "&amp;Task!$A$18&amp;" "," "&amp;LOWER(C117)&amp;" ")),1,0))+IF(Task!$A$19="",0,IF(ISNUMBER(SEARCH(" "&amp;Task!$A$19&amp;" "," "&amp;LOWER(C117)&amp;" ")),1,0)))</f>
        <v/>
      </c>
      <c r="H117" s="9">
        <f>IF(E117=0,0,IF(Task!$A$8="",0,IF(ISNUMBER(SEARCH(" "&amp;Task!$A$8&amp;" "," "&amp;LOWER(SUBSTITUTE(SUBSTITUTE(SUBSTITUTE(SUBSTITUTE(A117,"/"," "),"."," "),"\"," "),"_"," "))&amp;" ")),1,0))+IF(Task!$A$9="",0,IF(ISNUMBER(SEARCH(" "&amp;Task!$A$9&amp;" "," "&amp;LOWER(SUBSTITUTE(SUBSTITUTE(SUBSTITUTE(SUBSTITUTE(A117,"/"," "),"."," "),"\"," "),"_"," "))&amp;" ")),1,0))+IF(Task!$A$10="",0,IF(ISNUMBER(SEARCH(" "&amp;Task!$A$10&amp;" "," "&amp;LOWER(SUBSTITUTE(SUBSTITUTE(SUBSTITUTE(SUBSTITUTE(A117,"/"," "),"."," "),"\"," "),"_"," "))&amp;" ")),1,0))+IF(Task!$A$11="",0,IF(ISNUMBER(SEARCH(" "&amp;Task!$A$11&amp;" "," "&amp;LOWER(SUBSTITUTE(SUBSTITUTE(SUBSTITUTE(SUBSTITUTE(A117,"/"," "),"."," "),"\"," "),"_"," "))&amp;" ")),1,0))+IF(Task!$A$12="",0,IF(ISNUMBER(SEARCH(" "&amp;Task!$A$12&amp;" "," "&amp;LOWER(SUBSTITUTE(SUBSTITUTE(SUBSTITUTE(SUBSTITUTE(A117,"/"," "),"."," "),"\"," "),"_"," "))&amp;" ")),1,0))+IF(Task!$A$13="",0,IF(ISNUMBER(SEARCH(" "&amp;Task!$A$13&amp;" "," "&amp;LOWER(SUBSTITUTE(SUBSTITUTE(SUBSTITUTE(SUBSTITUTE(A117,"/"," "),"."," "),"\"," "),"_"," "))&amp;" ")),1,0))+IF(Task!$A$14="",0,IF(ISNUMBER(SEARCH(" "&amp;Task!$A$14&amp;" "," "&amp;LOWER(SUBSTITUTE(SUBSTITUTE(SUBSTITUTE(SUBSTITUTE(A117,"/"," "),"."," "),"\"," "),"_"," "))&amp;" ")),1,0))+IF(Task!$A$15="",0,IF(ISNUMBER(SEARCH(" "&amp;Task!$A$15&amp;" "," "&amp;LOWER(SUBSTITUTE(SUBSTITUTE(SUBSTITUTE(SUBSTITUTE(A117,"/"," "),"."," "),"\"," "),"_"," "))&amp;" ")),1,0))+IF(Task!$A$16="",0,IF(ISNUMBER(SEARCH(" "&amp;Task!$A$16&amp;" "," "&amp;LOWER(SUBSTITUTE(SUBSTITUTE(SUBSTITUTE(SUBSTITUTE(A117,"/"," "),"."," "),"\"," "),"_"," "))&amp;" ")),1,0))+IF(Task!$A$17="",0,IF(ISNUMBER(SEARCH(" "&amp;Task!$A$17&amp;" "," "&amp;LOWER(SUBSTITUTE(SUBSTITUTE(SUBSTITUTE(SUBSTITUTE(A117,"/"," "),"."," "),"\"," "),"_"," "))&amp;" ")),1,0))+IF(Task!$A$18="",0,IF(ISNUMBER(SEARCH(" "&amp;Task!$A$18&amp;" "," "&amp;LOWER(SUBSTITUTE(SUBSTITUTE(SUBSTITUTE(SUBSTITUTE(A117,"/"," "),"."," "),"\"," "),"_"," "))&amp;" ")),1,0))+IF(Task!$A$19="",0,IF(ISNUMBER(SEARCH(" "&amp;Task!$A$19&amp;" "," "&amp;LOWER(SUBSTITUTE(SUBSTITUTE(SUBSTITUTE(SUBSTITUTE(A117,"/"," "),"."," "),"\"," "),"_"," "))&amp;" ")),1,0)))</f>
        <v/>
      </c>
      <c r="I117" s="10">
        <f>IF(OR(E117=0,F117=0,Task!$B$21=0),"",F117/Task!$B$21+0.5*G117+0.25*H117)</f>
        <v/>
      </c>
      <c r="J117" s="5">
        <f>IF(I117="","",I117-ROW()/1000000)</f>
        <v/>
      </c>
      <c r="K117" s="9">
        <f>IF(J117="","",COUNTIF($J$5:$J$404,"&gt;"&amp;J117)+1)</f>
        <v/>
      </c>
    </row>
    <row r="118">
      <c r="A118" s="7" t="n"/>
      <c r="B118" s="7" t="n"/>
      <c r="C118" s="7" t="n"/>
      <c r="D118" s="7" t="n"/>
      <c r="E118" s="5">
        <f>IF(A118="",0,IF(COUNTA(Task!$B$5:$E$5)=0,1,IF(COUNTIF(Task!$B$5:$E$5,B118)&gt;0,1,0)))</f>
        <v/>
      </c>
      <c r="F118" s="9">
        <f>IF(E118=0,0,IF(Task!$A$8="",0,IF(ISNUMBER(SEARCH(" "&amp;Task!$A$8&amp;" "," "&amp;LOWER(D118&amp;" "&amp;C118&amp;" "&amp;LOWER(SUBSTITUTE(SUBSTITUTE(SUBSTITUTE(SUBSTITUTE(A118,"/"," "),"."," "),"\"," "),"_"," ")))&amp;" ")),1,0))+IF(Task!$A$9="",0,IF(ISNUMBER(SEARCH(" "&amp;Task!$A$9&amp;" "," "&amp;LOWER(D118&amp;" "&amp;C118&amp;" "&amp;LOWER(SUBSTITUTE(SUBSTITUTE(SUBSTITUTE(SUBSTITUTE(A118,"/"," "),"."," "),"\"," "),"_"," ")))&amp;" ")),1,0))+IF(Task!$A$10="",0,IF(ISNUMBER(SEARCH(" "&amp;Task!$A$10&amp;" "," "&amp;LOWER(D118&amp;" "&amp;C118&amp;" "&amp;LOWER(SUBSTITUTE(SUBSTITUTE(SUBSTITUTE(SUBSTITUTE(A118,"/"," "),"."," "),"\"," "),"_"," ")))&amp;" ")),1,0))+IF(Task!$A$11="",0,IF(ISNUMBER(SEARCH(" "&amp;Task!$A$11&amp;" "," "&amp;LOWER(D118&amp;" "&amp;C118&amp;" "&amp;LOWER(SUBSTITUTE(SUBSTITUTE(SUBSTITUTE(SUBSTITUTE(A118,"/"," "),"."," "),"\"," "),"_"," ")))&amp;" ")),1,0))+IF(Task!$A$12="",0,IF(ISNUMBER(SEARCH(" "&amp;Task!$A$12&amp;" "," "&amp;LOWER(D118&amp;" "&amp;C118&amp;" "&amp;LOWER(SUBSTITUTE(SUBSTITUTE(SUBSTITUTE(SUBSTITUTE(A118,"/"," "),"."," "),"\"," "),"_"," ")))&amp;" ")),1,0))+IF(Task!$A$13="",0,IF(ISNUMBER(SEARCH(" "&amp;Task!$A$13&amp;" "," "&amp;LOWER(D118&amp;" "&amp;C118&amp;" "&amp;LOWER(SUBSTITUTE(SUBSTITUTE(SUBSTITUTE(SUBSTITUTE(A118,"/"," "),"."," "),"\"," "),"_"," ")))&amp;" ")),1,0))+IF(Task!$A$14="",0,IF(ISNUMBER(SEARCH(" "&amp;Task!$A$14&amp;" "," "&amp;LOWER(D118&amp;" "&amp;C118&amp;" "&amp;LOWER(SUBSTITUTE(SUBSTITUTE(SUBSTITUTE(SUBSTITUTE(A118,"/"," "),"."," "),"\"," "),"_"," ")))&amp;" ")),1,0))+IF(Task!$A$15="",0,IF(ISNUMBER(SEARCH(" "&amp;Task!$A$15&amp;" "," "&amp;LOWER(D118&amp;" "&amp;C118&amp;" "&amp;LOWER(SUBSTITUTE(SUBSTITUTE(SUBSTITUTE(SUBSTITUTE(A118,"/"," "),"."," "),"\"," "),"_"," ")))&amp;" ")),1,0))+IF(Task!$A$16="",0,IF(ISNUMBER(SEARCH(" "&amp;Task!$A$16&amp;" "," "&amp;LOWER(D118&amp;" "&amp;C118&amp;" "&amp;LOWER(SUBSTITUTE(SUBSTITUTE(SUBSTITUTE(SUBSTITUTE(A118,"/"," "),"."," "),"\"," "),"_"," ")))&amp;" ")),1,0))+IF(Task!$A$17="",0,IF(ISNUMBER(SEARCH(" "&amp;Task!$A$17&amp;" "," "&amp;LOWER(D118&amp;" "&amp;C118&amp;" "&amp;LOWER(SUBSTITUTE(SUBSTITUTE(SUBSTITUTE(SUBSTITUTE(A118,"/"," "),"."," "),"\"," "),"_"," ")))&amp;" ")),1,0))+IF(Task!$A$18="",0,IF(ISNUMBER(SEARCH(" "&amp;Task!$A$18&amp;" "," "&amp;LOWER(D118&amp;" "&amp;C118&amp;" "&amp;LOWER(SUBSTITUTE(SUBSTITUTE(SUBSTITUTE(SUBSTITUTE(A118,"/"," "),"."," "),"\"," "),"_"," ")))&amp;" ")),1,0))+IF(Task!$A$19="",0,IF(ISNUMBER(SEARCH(" "&amp;Task!$A$19&amp;" "," "&amp;LOWER(D118&amp;" "&amp;C118&amp;" "&amp;LOWER(SUBSTITUTE(SUBSTITUTE(SUBSTITUTE(SUBSTITUTE(A118,"/"," "),"."," "),"\"," "),"_"," ")))&amp;" ")),1,0)))</f>
        <v/>
      </c>
      <c r="G118" s="9">
        <f>IF(E118=0,0,IF(Task!$A$8="",0,IF(ISNUMBER(SEARCH(" "&amp;Task!$A$8&amp;" "," "&amp;LOWER(C118)&amp;" ")),1,0))+IF(Task!$A$9="",0,IF(ISNUMBER(SEARCH(" "&amp;Task!$A$9&amp;" "," "&amp;LOWER(C118)&amp;" ")),1,0))+IF(Task!$A$10="",0,IF(ISNUMBER(SEARCH(" "&amp;Task!$A$10&amp;" "," "&amp;LOWER(C118)&amp;" ")),1,0))+IF(Task!$A$11="",0,IF(ISNUMBER(SEARCH(" "&amp;Task!$A$11&amp;" "," "&amp;LOWER(C118)&amp;" ")),1,0))+IF(Task!$A$12="",0,IF(ISNUMBER(SEARCH(" "&amp;Task!$A$12&amp;" "," "&amp;LOWER(C118)&amp;" ")),1,0))+IF(Task!$A$13="",0,IF(ISNUMBER(SEARCH(" "&amp;Task!$A$13&amp;" "," "&amp;LOWER(C118)&amp;" ")),1,0))+IF(Task!$A$14="",0,IF(ISNUMBER(SEARCH(" "&amp;Task!$A$14&amp;" "," "&amp;LOWER(C118)&amp;" ")),1,0))+IF(Task!$A$15="",0,IF(ISNUMBER(SEARCH(" "&amp;Task!$A$15&amp;" "," "&amp;LOWER(C118)&amp;" ")),1,0))+IF(Task!$A$16="",0,IF(ISNUMBER(SEARCH(" "&amp;Task!$A$16&amp;" "," "&amp;LOWER(C118)&amp;" ")),1,0))+IF(Task!$A$17="",0,IF(ISNUMBER(SEARCH(" "&amp;Task!$A$17&amp;" "," "&amp;LOWER(C118)&amp;" ")),1,0))+IF(Task!$A$18="",0,IF(ISNUMBER(SEARCH(" "&amp;Task!$A$18&amp;" "," "&amp;LOWER(C118)&amp;" ")),1,0))+IF(Task!$A$19="",0,IF(ISNUMBER(SEARCH(" "&amp;Task!$A$19&amp;" "," "&amp;LOWER(C118)&amp;" ")),1,0)))</f>
        <v/>
      </c>
      <c r="H118" s="9">
        <f>IF(E118=0,0,IF(Task!$A$8="",0,IF(ISNUMBER(SEARCH(" "&amp;Task!$A$8&amp;" "," "&amp;LOWER(SUBSTITUTE(SUBSTITUTE(SUBSTITUTE(SUBSTITUTE(A118,"/"," "),"."," "),"\"," "),"_"," "))&amp;" ")),1,0))+IF(Task!$A$9="",0,IF(ISNUMBER(SEARCH(" "&amp;Task!$A$9&amp;" "," "&amp;LOWER(SUBSTITUTE(SUBSTITUTE(SUBSTITUTE(SUBSTITUTE(A118,"/"," "),"."," "),"\"," "),"_"," "))&amp;" ")),1,0))+IF(Task!$A$10="",0,IF(ISNUMBER(SEARCH(" "&amp;Task!$A$10&amp;" "," "&amp;LOWER(SUBSTITUTE(SUBSTITUTE(SUBSTITUTE(SUBSTITUTE(A118,"/"," "),"."," "),"\"," "),"_"," "))&amp;" ")),1,0))+IF(Task!$A$11="",0,IF(ISNUMBER(SEARCH(" "&amp;Task!$A$11&amp;" "," "&amp;LOWER(SUBSTITUTE(SUBSTITUTE(SUBSTITUTE(SUBSTITUTE(A118,"/"," "),"."," "),"\"," "),"_"," "))&amp;" ")),1,0))+IF(Task!$A$12="",0,IF(ISNUMBER(SEARCH(" "&amp;Task!$A$12&amp;" "," "&amp;LOWER(SUBSTITUTE(SUBSTITUTE(SUBSTITUTE(SUBSTITUTE(A118,"/"," "),"."," "),"\"," "),"_"," "))&amp;" ")),1,0))+IF(Task!$A$13="",0,IF(ISNUMBER(SEARCH(" "&amp;Task!$A$13&amp;" "," "&amp;LOWER(SUBSTITUTE(SUBSTITUTE(SUBSTITUTE(SUBSTITUTE(A118,"/"," "),"."," "),"\"," "),"_"," "))&amp;" ")),1,0))+IF(Task!$A$14="",0,IF(ISNUMBER(SEARCH(" "&amp;Task!$A$14&amp;" "," "&amp;LOWER(SUBSTITUTE(SUBSTITUTE(SUBSTITUTE(SUBSTITUTE(A118,"/"," "),"."," "),"\"," "),"_"," "))&amp;" ")),1,0))+IF(Task!$A$15="",0,IF(ISNUMBER(SEARCH(" "&amp;Task!$A$15&amp;" "," "&amp;LOWER(SUBSTITUTE(SUBSTITUTE(SUBSTITUTE(SUBSTITUTE(A118,"/"," "),"."," "),"\"," "),"_"," "))&amp;" ")),1,0))+IF(Task!$A$16="",0,IF(ISNUMBER(SEARCH(" "&amp;Task!$A$16&amp;" "," "&amp;LOWER(SUBSTITUTE(SUBSTITUTE(SUBSTITUTE(SUBSTITUTE(A118,"/"," "),"."," "),"\"," "),"_"," "))&amp;" ")),1,0))+IF(Task!$A$17="",0,IF(ISNUMBER(SEARCH(" "&amp;Task!$A$17&amp;" "," "&amp;LOWER(SUBSTITUTE(SUBSTITUTE(SUBSTITUTE(SUBSTITUTE(A118,"/"," "),"."," "),"\"," "),"_"," "))&amp;" ")),1,0))+IF(Task!$A$18="",0,IF(ISNUMBER(SEARCH(" "&amp;Task!$A$18&amp;" "," "&amp;LOWER(SUBSTITUTE(SUBSTITUTE(SUBSTITUTE(SUBSTITUTE(A118,"/"," "),"."," "),"\"," "),"_"," "))&amp;" ")),1,0))+IF(Task!$A$19="",0,IF(ISNUMBER(SEARCH(" "&amp;Task!$A$19&amp;" "," "&amp;LOWER(SUBSTITUTE(SUBSTITUTE(SUBSTITUTE(SUBSTITUTE(A118,"/"," "),"."," "),"\"," "),"_"," "))&amp;" ")),1,0)))</f>
        <v/>
      </c>
      <c r="I118" s="10">
        <f>IF(OR(E118=0,F118=0,Task!$B$21=0),"",F118/Task!$B$21+0.5*G118+0.25*H118)</f>
        <v/>
      </c>
      <c r="J118" s="5">
        <f>IF(I118="","",I118-ROW()/1000000)</f>
        <v/>
      </c>
      <c r="K118" s="9">
        <f>IF(J118="","",COUNTIF($J$5:$J$404,"&gt;"&amp;J118)+1)</f>
        <v/>
      </c>
    </row>
    <row r="119">
      <c r="A119" s="7" t="n"/>
      <c r="B119" s="7" t="n"/>
      <c r="C119" s="7" t="n"/>
      <c r="D119" s="7" t="n"/>
      <c r="E119" s="5">
        <f>IF(A119="",0,IF(COUNTA(Task!$B$5:$E$5)=0,1,IF(COUNTIF(Task!$B$5:$E$5,B119)&gt;0,1,0)))</f>
        <v/>
      </c>
      <c r="F119" s="9">
        <f>IF(E119=0,0,IF(Task!$A$8="",0,IF(ISNUMBER(SEARCH(" "&amp;Task!$A$8&amp;" "," "&amp;LOWER(D119&amp;" "&amp;C119&amp;" "&amp;LOWER(SUBSTITUTE(SUBSTITUTE(SUBSTITUTE(SUBSTITUTE(A119,"/"," "),"."," "),"\"," "),"_"," ")))&amp;" ")),1,0))+IF(Task!$A$9="",0,IF(ISNUMBER(SEARCH(" "&amp;Task!$A$9&amp;" "," "&amp;LOWER(D119&amp;" "&amp;C119&amp;" "&amp;LOWER(SUBSTITUTE(SUBSTITUTE(SUBSTITUTE(SUBSTITUTE(A119,"/"," "),"."," "),"\"," "),"_"," ")))&amp;" ")),1,0))+IF(Task!$A$10="",0,IF(ISNUMBER(SEARCH(" "&amp;Task!$A$10&amp;" "," "&amp;LOWER(D119&amp;" "&amp;C119&amp;" "&amp;LOWER(SUBSTITUTE(SUBSTITUTE(SUBSTITUTE(SUBSTITUTE(A119,"/"," "),"."," "),"\"," "),"_"," ")))&amp;" ")),1,0))+IF(Task!$A$11="",0,IF(ISNUMBER(SEARCH(" "&amp;Task!$A$11&amp;" "," "&amp;LOWER(D119&amp;" "&amp;C119&amp;" "&amp;LOWER(SUBSTITUTE(SUBSTITUTE(SUBSTITUTE(SUBSTITUTE(A119,"/"," "),"."," "),"\"," "),"_"," ")))&amp;" ")),1,0))+IF(Task!$A$12="",0,IF(ISNUMBER(SEARCH(" "&amp;Task!$A$12&amp;" "," "&amp;LOWER(D119&amp;" "&amp;C119&amp;" "&amp;LOWER(SUBSTITUTE(SUBSTITUTE(SUBSTITUTE(SUBSTITUTE(A119,"/"," "),"."," "),"\"," "),"_"," ")))&amp;" ")),1,0))+IF(Task!$A$13="",0,IF(ISNUMBER(SEARCH(" "&amp;Task!$A$13&amp;" "," "&amp;LOWER(D119&amp;" "&amp;C119&amp;" "&amp;LOWER(SUBSTITUTE(SUBSTITUTE(SUBSTITUTE(SUBSTITUTE(A119,"/"," "),"."," "),"\"," "),"_"," ")))&amp;" ")),1,0))+IF(Task!$A$14="",0,IF(ISNUMBER(SEARCH(" "&amp;Task!$A$14&amp;" "," "&amp;LOWER(D119&amp;" "&amp;C119&amp;" "&amp;LOWER(SUBSTITUTE(SUBSTITUTE(SUBSTITUTE(SUBSTITUTE(A119,"/"," "),"."," "),"\"," "),"_"," ")))&amp;" ")),1,0))+IF(Task!$A$15="",0,IF(ISNUMBER(SEARCH(" "&amp;Task!$A$15&amp;" "," "&amp;LOWER(D119&amp;" "&amp;C119&amp;" "&amp;LOWER(SUBSTITUTE(SUBSTITUTE(SUBSTITUTE(SUBSTITUTE(A119,"/"," "),"."," "),"\"," "),"_"," ")))&amp;" ")),1,0))+IF(Task!$A$16="",0,IF(ISNUMBER(SEARCH(" "&amp;Task!$A$16&amp;" "," "&amp;LOWER(D119&amp;" "&amp;C119&amp;" "&amp;LOWER(SUBSTITUTE(SUBSTITUTE(SUBSTITUTE(SUBSTITUTE(A119,"/"," "),"."," "),"\"," "),"_"," ")))&amp;" ")),1,0))+IF(Task!$A$17="",0,IF(ISNUMBER(SEARCH(" "&amp;Task!$A$17&amp;" "," "&amp;LOWER(D119&amp;" "&amp;C119&amp;" "&amp;LOWER(SUBSTITUTE(SUBSTITUTE(SUBSTITUTE(SUBSTITUTE(A119,"/"," "),"."," "),"\"," "),"_"," ")))&amp;" ")),1,0))+IF(Task!$A$18="",0,IF(ISNUMBER(SEARCH(" "&amp;Task!$A$18&amp;" "," "&amp;LOWER(D119&amp;" "&amp;C119&amp;" "&amp;LOWER(SUBSTITUTE(SUBSTITUTE(SUBSTITUTE(SUBSTITUTE(A119,"/"," "),"."," "),"\"," "),"_"," ")))&amp;" ")),1,0))+IF(Task!$A$19="",0,IF(ISNUMBER(SEARCH(" "&amp;Task!$A$19&amp;" "," "&amp;LOWER(D119&amp;" "&amp;C119&amp;" "&amp;LOWER(SUBSTITUTE(SUBSTITUTE(SUBSTITUTE(SUBSTITUTE(A119,"/"," "),"."," "),"\"," "),"_"," ")))&amp;" ")),1,0)))</f>
        <v/>
      </c>
      <c r="G119" s="9">
        <f>IF(E119=0,0,IF(Task!$A$8="",0,IF(ISNUMBER(SEARCH(" "&amp;Task!$A$8&amp;" "," "&amp;LOWER(C119)&amp;" ")),1,0))+IF(Task!$A$9="",0,IF(ISNUMBER(SEARCH(" "&amp;Task!$A$9&amp;" "," "&amp;LOWER(C119)&amp;" ")),1,0))+IF(Task!$A$10="",0,IF(ISNUMBER(SEARCH(" "&amp;Task!$A$10&amp;" "," "&amp;LOWER(C119)&amp;" ")),1,0))+IF(Task!$A$11="",0,IF(ISNUMBER(SEARCH(" "&amp;Task!$A$11&amp;" "," "&amp;LOWER(C119)&amp;" ")),1,0))+IF(Task!$A$12="",0,IF(ISNUMBER(SEARCH(" "&amp;Task!$A$12&amp;" "," "&amp;LOWER(C119)&amp;" ")),1,0))+IF(Task!$A$13="",0,IF(ISNUMBER(SEARCH(" "&amp;Task!$A$13&amp;" "," "&amp;LOWER(C119)&amp;" ")),1,0))+IF(Task!$A$14="",0,IF(ISNUMBER(SEARCH(" "&amp;Task!$A$14&amp;" "," "&amp;LOWER(C119)&amp;" ")),1,0))+IF(Task!$A$15="",0,IF(ISNUMBER(SEARCH(" "&amp;Task!$A$15&amp;" "," "&amp;LOWER(C119)&amp;" ")),1,0))+IF(Task!$A$16="",0,IF(ISNUMBER(SEARCH(" "&amp;Task!$A$16&amp;" "," "&amp;LOWER(C119)&amp;" ")),1,0))+IF(Task!$A$17="",0,IF(ISNUMBER(SEARCH(" "&amp;Task!$A$17&amp;" "," "&amp;LOWER(C119)&amp;" ")),1,0))+IF(Task!$A$18="",0,IF(ISNUMBER(SEARCH(" "&amp;Task!$A$18&amp;" "," "&amp;LOWER(C119)&amp;" ")),1,0))+IF(Task!$A$19="",0,IF(ISNUMBER(SEARCH(" "&amp;Task!$A$19&amp;" "," "&amp;LOWER(C119)&amp;" ")),1,0)))</f>
        <v/>
      </c>
      <c r="H119" s="9">
        <f>IF(E119=0,0,IF(Task!$A$8="",0,IF(ISNUMBER(SEARCH(" "&amp;Task!$A$8&amp;" "," "&amp;LOWER(SUBSTITUTE(SUBSTITUTE(SUBSTITUTE(SUBSTITUTE(A119,"/"," "),"."," "),"\"," "),"_"," "))&amp;" ")),1,0))+IF(Task!$A$9="",0,IF(ISNUMBER(SEARCH(" "&amp;Task!$A$9&amp;" "," "&amp;LOWER(SUBSTITUTE(SUBSTITUTE(SUBSTITUTE(SUBSTITUTE(A119,"/"," "),"."," "),"\"," "),"_"," "))&amp;" ")),1,0))+IF(Task!$A$10="",0,IF(ISNUMBER(SEARCH(" "&amp;Task!$A$10&amp;" "," "&amp;LOWER(SUBSTITUTE(SUBSTITUTE(SUBSTITUTE(SUBSTITUTE(A119,"/"," "),"."," "),"\"," "),"_"," "))&amp;" ")),1,0))+IF(Task!$A$11="",0,IF(ISNUMBER(SEARCH(" "&amp;Task!$A$11&amp;" "," "&amp;LOWER(SUBSTITUTE(SUBSTITUTE(SUBSTITUTE(SUBSTITUTE(A119,"/"," "),"."," "),"\"," "),"_"," "))&amp;" ")),1,0))+IF(Task!$A$12="",0,IF(ISNUMBER(SEARCH(" "&amp;Task!$A$12&amp;" "," "&amp;LOWER(SUBSTITUTE(SUBSTITUTE(SUBSTITUTE(SUBSTITUTE(A119,"/"," "),"."," "),"\"," "),"_"," "))&amp;" ")),1,0))+IF(Task!$A$13="",0,IF(ISNUMBER(SEARCH(" "&amp;Task!$A$13&amp;" "," "&amp;LOWER(SUBSTITUTE(SUBSTITUTE(SUBSTITUTE(SUBSTITUTE(A119,"/"," "),"."," "),"\"," "),"_"," "))&amp;" ")),1,0))+IF(Task!$A$14="",0,IF(ISNUMBER(SEARCH(" "&amp;Task!$A$14&amp;" "," "&amp;LOWER(SUBSTITUTE(SUBSTITUTE(SUBSTITUTE(SUBSTITUTE(A119,"/"," "),"."," "),"\"," "),"_"," "))&amp;" ")),1,0))+IF(Task!$A$15="",0,IF(ISNUMBER(SEARCH(" "&amp;Task!$A$15&amp;" "," "&amp;LOWER(SUBSTITUTE(SUBSTITUTE(SUBSTITUTE(SUBSTITUTE(A119,"/"," "),"."," "),"\"," "),"_"," "))&amp;" ")),1,0))+IF(Task!$A$16="",0,IF(ISNUMBER(SEARCH(" "&amp;Task!$A$16&amp;" "," "&amp;LOWER(SUBSTITUTE(SUBSTITUTE(SUBSTITUTE(SUBSTITUTE(A119,"/"," "),"."," "),"\"," "),"_"," "))&amp;" ")),1,0))+IF(Task!$A$17="",0,IF(ISNUMBER(SEARCH(" "&amp;Task!$A$17&amp;" "," "&amp;LOWER(SUBSTITUTE(SUBSTITUTE(SUBSTITUTE(SUBSTITUTE(A119,"/"," "),"."," "),"\"," "),"_"," "))&amp;" ")),1,0))+IF(Task!$A$18="",0,IF(ISNUMBER(SEARCH(" "&amp;Task!$A$18&amp;" "," "&amp;LOWER(SUBSTITUTE(SUBSTITUTE(SUBSTITUTE(SUBSTITUTE(A119,"/"," "),"."," "),"\"," "),"_"," "))&amp;" ")),1,0))+IF(Task!$A$19="",0,IF(ISNUMBER(SEARCH(" "&amp;Task!$A$19&amp;" "," "&amp;LOWER(SUBSTITUTE(SUBSTITUTE(SUBSTITUTE(SUBSTITUTE(A119,"/"," "),"."," "),"\"," "),"_"," "))&amp;" ")),1,0)))</f>
        <v/>
      </c>
      <c r="I119" s="10">
        <f>IF(OR(E119=0,F119=0,Task!$B$21=0),"",F119/Task!$B$21+0.5*G119+0.25*H119)</f>
        <v/>
      </c>
      <c r="J119" s="5">
        <f>IF(I119="","",I119-ROW()/1000000)</f>
        <v/>
      </c>
      <c r="K119" s="9">
        <f>IF(J119="","",COUNTIF($J$5:$J$404,"&gt;"&amp;J119)+1)</f>
        <v/>
      </c>
    </row>
    <row r="120">
      <c r="A120" s="7" t="n"/>
      <c r="B120" s="7" t="n"/>
      <c r="C120" s="7" t="n"/>
      <c r="D120" s="7" t="n"/>
      <c r="E120" s="5">
        <f>IF(A120="",0,IF(COUNTA(Task!$B$5:$E$5)=0,1,IF(COUNTIF(Task!$B$5:$E$5,B120)&gt;0,1,0)))</f>
        <v/>
      </c>
      <c r="F120" s="9">
        <f>IF(E120=0,0,IF(Task!$A$8="",0,IF(ISNUMBER(SEARCH(" "&amp;Task!$A$8&amp;" "," "&amp;LOWER(D120&amp;" "&amp;C120&amp;" "&amp;LOWER(SUBSTITUTE(SUBSTITUTE(SUBSTITUTE(SUBSTITUTE(A120,"/"," "),"."," "),"\"," "),"_"," ")))&amp;" ")),1,0))+IF(Task!$A$9="",0,IF(ISNUMBER(SEARCH(" "&amp;Task!$A$9&amp;" "," "&amp;LOWER(D120&amp;" "&amp;C120&amp;" "&amp;LOWER(SUBSTITUTE(SUBSTITUTE(SUBSTITUTE(SUBSTITUTE(A120,"/"," "),"."," "),"\"," "),"_"," ")))&amp;" ")),1,0))+IF(Task!$A$10="",0,IF(ISNUMBER(SEARCH(" "&amp;Task!$A$10&amp;" "," "&amp;LOWER(D120&amp;" "&amp;C120&amp;" "&amp;LOWER(SUBSTITUTE(SUBSTITUTE(SUBSTITUTE(SUBSTITUTE(A120,"/"," "),"."," "),"\"," "),"_"," ")))&amp;" ")),1,0))+IF(Task!$A$11="",0,IF(ISNUMBER(SEARCH(" "&amp;Task!$A$11&amp;" "," "&amp;LOWER(D120&amp;" "&amp;C120&amp;" "&amp;LOWER(SUBSTITUTE(SUBSTITUTE(SUBSTITUTE(SUBSTITUTE(A120,"/"," "),"."," "),"\"," "),"_"," ")))&amp;" ")),1,0))+IF(Task!$A$12="",0,IF(ISNUMBER(SEARCH(" "&amp;Task!$A$12&amp;" "," "&amp;LOWER(D120&amp;" "&amp;C120&amp;" "&amp;LOWER(SUBSTITUTE(SUBSTITUTE(SUBSTITUTE(SUBSTITUTE(A120,"/"," "),"."," "),"\"," "),"_"," ")))&amp;" ")),1,0))+IF(Task!$A$13="",0,IF(ISNUMBER(SEARCH(" "&amp;Task!$A$13&amp;" "," "&amp;LOWER(D120&amp;" "&amp;C120&amp;" "&amp;LOWER(SUBSTITUTE(SUBSTITUTE(SUBSTITUTE(SUBSTITUTE(A120,"/"," "),"."," "),"\"," "),"_"," ")))&amp;" ")),1,0))+IF(Task!$A$14="",0,IF(ISNUMBER(SEARCH(" "&amp;Task!$A$14&amp;" "," "&amp;LOWER(D120&amp;" "&amp;C120&amp;" "&amp;LOWER(SUBSTITUTE(SUBSTITUTE(SUBSTITUTE(SUBSTITUTE(A120,"/"," "),"."," "),"\"," "),"_"," ")))&amp;" ")),1,0))+IF(Task!$A$15="",0,IF(ISNUMBER(SEARCH(" "&amp;Task!$A$15&amp;" "," "&amp;LOWER(D120&amp;" "&amp;C120&amp;" "&amp;LOWER(SUBSTITUTE(SUBSTITUTE(SUBSTITUTE(SUBSTITUTE(A120,"/"," "),"."," "),"\"," "),"_"," ")))&amp;" ")),1,0))+IF(Task!$A$16="",0,IF(ISNUMBER(SEARCH(" "&amp;Task!$A$16&amp;" "," "&amp;LOWER(D120&amp;" "&amp;C120&amp;" "&amp;LOWER(SUBSTITUTE(SUBSTITUTE(SUBSTITUTE(SUBSTITUTE(A120,"/"," "),"."," "),"\"," "),"_"," ")))&amp;" ")),1,0))+IF(Task!$A$17="",0,IF(ISNUMBER(SEARCH(" "&amp;Task!$A$17&amp;" "," "&amp;LOWER(D120&amp;" "&amp;C120&amp;" "&amp;LOWER(SUBSTITUTE(SUBSTITUTE(SUBSTITUTE(SUBSTITUTE(A120,"/"," "),"."," "),"\"," "),"_"," ")))&amp;" ")),1,0))+IF(Task!$A$18="",0,IF(ISNUMBER(SEARCH(" "&amp;Task!$A$18&amp;" "," "&amp;LOWER(D120&amp;" "&amp;C120&amp;" "&amp;LOWER(SUBSTITUTE(SUBSTITUTE(SUBSTITUTE(SUBSTITUTE(A120,"/"," "),"."," "),"\"," "),"_"," ")))&amp;" ")),1,0))+IF(Task!$A$19="",0,IF(ISNUMBER(SEARCH(" "&amp;Task!$A$19&amp;" "," "&amp;LOWER(D120&amp;" "&amp;C120&amp;" "&amp;LOWER(SUBSTITUTE(SUBSTITUTE(SUBSTITUTE(SUBSTITUTE(A120,"/"," "),"."," "),"\"," "),"_"," ")))&amp;" ")),1,0)))</f>
        <v/>
      </c>
      <c r="G120" s="9">
        <f>IF(E120=0,0,IF(Task!$A$8="",0,IF(ISNUMBER(SEARCH(" "&amp;Task!$A$8&amp;" "," "&amp;LOWER(C120)&amp;" ")),1,0))+IF(Task!$A$9="",0,IF(ISNUMBER(SEARCH(" "&amp;Task!$A$9&amp;" "," "&amp;LOWER(C120)&amp;" ")),1,0))+IF(Task!$A$10="",0,IF(ISNUMBER(SEARCH(" "&amp;Task!$A$10&amp;" "," "&amp;LOWER(C120)&amp;" ")),1,0))+IF(Task!$A$11="",0,IF(ISNUMBER(SEARCH(" "&amp;Task!$A$11&amp;" "," "&amp;LOWER(C120)&amp;" ")),1,0))+IF(Task!$A$12="",0,IF(ISNUMBER(SEARCH(" "&amp;Task!$A$12&amp;" "," "&amp;LOWER(C120)&amp;" ")),1,0))+IF(Task!$A$13="",0,IF(ISNUMBER(SEARCH(" "&amp;Task!$A$13&amp;" "," "&amp;LOWER(C120)&amp;" ")),1,0))+IF(Task!$A$14="",0,IF(ISNUMBER(SEARCH(" "&amp;Task!$A$14&amp;" "," "&amp;LOWER(C120)&amp;" ")),1,0))+IF(Task!$A$15="",0,IF(ISNUMBER(SEARCH(" "&amp;Task!$A$15&amp;" "," "&amp;LOWER(C120)&amp;" ")),1,0))+IF(Task!$A$16="",0,IF(ISNUMBER(SEARCH(" "&amp;Task!$A$16&amp;" "," "&amp;LOWER(C120)&amp;" ")),1,0))+IF(Task!$A$17="",0,IF(ISNUMBER(SEARCH(" "&amp;Task!$A$17&amp;" "," "&amp;LOWER(C120)&amp;" ")),1,0))+IF(Task!$A$18="",0,IF(ISNUMBER(SEARCH(" "&amp;Task!$A$18&amp;" "," "&amp;LOWER(C120)&amp;" ")),1,0))+IF(Task!$A$19="",0,IF(ISNUMBER(SEARCH(" "&amp;Task!$A$19&amp;" "," "&amp;LOWER(C120)&amp;" ")),1,0)))</f>
        <v/>
      </c>
      <c r="H120" s="9">
        <f>IF(E120=0,0,IF(Task!$A$8="",0,IF(ISNUMBER(SEARCH(" "&amp;Task!$A$8&amp;" "," "&amp;LOWER(SUBSTITUTE(SUBSTITUTE(SUBSTITUTE(SUBSTITUTE(A120,"/"," "),"."," "),"\"," "),"_"," "))&amp;" ")),1,0))+IF(Task!$A$9="",0,IF(ISNUMBER(SEARCH(" "&amp;Task!$A$9&amp;" "," "&amp;LOWER(SUBSTITUTE(SUBSTITUTE(SUBSTITUTE(SUBSTITUTE(A120,"/"," "),"."," "),"\"," "),"_"," "))&amp;" ")),1,0))+IF(Task!$A$10="",0,IF(ISNUMBER(SEARCH(" "&amp;Task!$A$10&amp;" "," "&amp;LOWER(SUBSTITUTE(SUBSTITUTE(SUBSTITUTE(SUBSTITUTE(A120,"/"," "),"."," "),"\"," "),"_"," "))&amp;" ")),1,0))+IF(Task!$A$11="",0,IF(ISNUMBER(SEARCH(" "&amp;Task!$A$11&amp;" "," "&amp;LOWER(SUBSTITUTE(SUBSTITUTE(SUBSTITUTE(SUBSTITUTE(A120,"/"," "),"."," "),"\"," "),"_"," "))&amp;" ")),1,0))+IF(Task!$A$12="",0,IF(ISNUMBER(SEARCH(" "&amp;Task!$A$12&amp;" "," "&amp;LOWER(SUBSTITUTE(SUBSTITUTE(SUBSTITUTE(SUBSTITUTE(A120,"/"," "),"."," "),"\"," "),"_"," "))&amp;" ")),1,0))+IF(Task!$A$13="",0,IF(ISNUMBER(SEARCH(" "&amp;Task!$A$13&amp;" "," "&amp;LOWER(SUBSTITUTE(SUBSTITUTE(SUBSTITUTE(SUBSTITUTE(A120,"/"," "),"."," "),"\"," "),"_"," "))&amp;" ")),1,0))+IF(Task!$A$14="",0,IF(ISNUMBER(SEARCH(" "&amp;Task!$A$14&amp;" "," "&amp;LOWER(SUBSTITUTE(SUBSTITUTE(SUBSTITUTE(SUBSTITUTE(A120,"/"," "),"."," "),"\"," "),"_"," "))&amp;" ")),1,0))+IF(Task!$A$15="",0,IF(ISNUMBER(SEARCH(" "&amp;Task!$A$15&amp;" "," "&amp;LOWER(SUBSTITUTE(SUBSTITUTE(SUBSTITUTE(SUBSTITUTE(A120,"/"," "),"."," "),"\"," "),"_"," "))&amp;" ")),1,0))+IF(Task!$A$16="",0,IF(ISNUMBER(SEARCH(" "&amp;Task!$A$16&amp;" "," "&amp;LOWER(SUBSTITUTE(SUBSTITUTE(SUBSTITUTE(SUBSTITUTE(A120,"/"," "),"."," "),"\"," "),"_"," "))&amp;" ")),1,0))+IF(Task!$A$17="",0,IF(ISNUMBER(SEARCH(" "&amp;Task!$A$17&amp;" "," "&amp;LOWER(SUBSTITUTE(SUBSTITUTE(SUBSTITUTE(SUBSTITUTE(A120,"/"," "),"."," "),"\"," "),"_"," "))&amp;" ")),1,0))+IF(Task!$A$18="",0,IF(ISNUMBER(SEARCH(" "&amp;Task!$A$18&amp;" "," "&amp;LOWER(SUBSTITUTE(SUBSTITUTE(SUBSTITUTE(SUBSTITUTE(A120,"/"," "),"."," "),"\"," "),"_"," "))&amp;" ")),1,0))+IF(Task!$A$19="",0,IF(ISNUMBER(SEARCH(" "&amp;Task!$A$19&amp;" "," "&amp;LOWER(SUBSTITUTE(SUBSTITUTE(SUBSTITUTE(SUBSTITUTE(A120,"/"," "),"."," "),"\"," "),"_"," "))&amp;" ")),1,0)))</f>
        <v/>
      </c>
      <c r="I120" s="10">
        <f>IF(OR(E120=0,F120=0,Task!$B$21=0),"",F120/Task!$B$21+0.5*G120+0.25*H120)</f>
        <v/>
      </c>
      <c r="J120" s="5">
        <f>IF(I120="","",I120-ROW()/1000000)</f>
        <v/>
      </c>
      <c r="K120" s="9">
        <f>IF(J120="","",COUNTIF($J$5:$J$404,"&gt;"&amp;J120)+1)</f>
        <v/>
      </c>
    </row>
    <row r="121">
      <c r="A121" s="7" t="n"/>
      <c r="B121" s="7" t="n"/>
      <c r="C121" s="7" t="n"/>
      <c r="D121" s="7" t="n"/>
      <c r="E121" s="5">
        <f>IF(A121="",0,IF(COUNTA(Task!$B$5:$E$5)=0,1,IF(COUNTIF(Task!$B$5:$E$5,B121)&gt;0,1,0)))</f>
        <v/>
      </c>
      <c r="F121" s="9">
        <f>IF(E121=0,0,IF(Task!$A$8="",0,IF(ISNUMBER(SEARCH(" "&amp;Task!$A$8&amp;" "," "&amp;LOWER(D121&amp;" "&amp;C121&amp;" "&amp;LOWER(SUBSTITUTE(SUBSTITUTE(SUBSTITUTE(SUBSTITUTE(A121,"/"," "),"."," "),"\"," "),"_"," ")))&amp;" ")),1,0))+IF(Task!$A$9="",0,IF(ISNUMBER(SEARCH(" "&amp;Task!$A$9&amp;" "," "&amp;LOWER(D121&amp;" "&amp;C121&amp;" "&amp;LOWER(SUBSTITUTE(SUBSTITUTE(SUBSTITUTE(SUBSTITUTE(A121,"/"," "),"."," "),"\"," "),"_"," ")))&amp;" ")),1,0))+IF(Task!$A$10="",0,IF(ISNUMBER(SEARCH(" "&amp;Task!$A$10&amp;" "," "&amp;LOWER(D121&amp;" "&amp;C121&amp;" "&amp;LOWER(SUBSTITUTE(SUBSTITUTE(SUBSTITUTE(SUBSTITUTE(A121,"/"," "),"."," "),"\"," "),"_"," ")))&amp;" ")),1,0))+IF(Task!$A$11="",0,IF(ISNUMBER(SEARCH(" "&amp;Task!$A$11&amp;" "," "&amp;LOWER(D121&amp;" "&amp;C121&amp;" "&amp;LOWER(SUBSTITUTE(SUBSTITUTE(SUBSTITUTE(SUBSTITUTE(A121,"/"," "),"."," "),"\"," "),"_"," ")))&amp;" ")),1,0))+IF(Task!$A$12="",0,IF(ISNUMBER(SEARCH(" "&amp;Task!$A$12&amp;" "," "&amp;LOWER(D121&amp;" "&amp;C121&amp;" "&amp;LOWER(SUBSTITUTE(SUBSTITUTE(SUBSTITUTE(SUBSTITUTE(A121,"/"," "),"."," "),"\"," "),"_"," ")))&amp;" ")),1,0))+IF(Task!$A$13="",0,IF(ISNUMBER(SEARCH(" "&amp;Task!$A$13&amp;" "," "&amp;LOWER(D121&amp;" "&amp;C121&amp;" "&amp;LOWER(SUBSTITUTE(SUBSTITUTE(SUBSTITUTE(SUBSTITUTE(A121,"/"," "),"."," "),"\"," "),"_"," ")))&amp;" ")),1,0))+IF(Task!$A$14="",0,IF(ISNUMBER(SEARCH(" "&amp;Task!$A$14&amp;" "," "&amp;LOWER(D121&amp;" "&amp;C121&amp;" "&amp;LOWER(SUBSTITUTE(SUBSTITUTE(SUBSTITUTE(SUBSTITUTE(A121,"/"," "),"."," "),"\"," "),"_"," ")))&amp;" ")),1,0))+IF(Task!$A$15="",0,IF(ISNUMBER(SEARCH(" "&amp;Task!$A$15&amp;" "," "&amp;LOWER(D121&amp;" "&amp;C121&amp;" "&amp;LOWER(SUBSTITUTE(SUBSTITUTE(SUBSTITUTE(SUBSTITUTE(A121,"/"," "),"."," "),"\"," "),"_"," ")))&amp;" ")),1,0))+IF(Task!$A$16="",0,IF(ISNUMBER(SEARCH(" "&amp;Task!$A$16&amp;" "," "&amp;LOWER(D121&amp;" "&amp;C121&amp;" "&amp;LOWER(SUBSTITUTE(SUBSTITUTE(SUBSTITUTE(SUBSTITUTE(A121,"/"," "),"."," "),"\"," "),"_"," ")))&amp;" ")),1,0))+IF(Task!$A$17="",0,IF(ISNUMBER(SEARCH(" "&amp;Task!$A$17&amp;" "," "&amp;LOWER(D121&amp;" "&amp;C121&amp;" "&amp;LOWER(SUBSTITUTE(SUBSTITUTE(SUBSTITUTE(SUBSTITUTE(A121,"/"," "),"."," "),"\"," "),"_"," ")))&amp;" ")),1,0))+IF(Task!$A$18="",0,IF(ISNUMBER(SEARCH(" "&amp;Task!$A$18&amp;" "," "&amp;LOWER(D121&amp;" "&amp;C121&amp;" "&amp;LOWER(SUBSTITUTE(SUBSTITUTE(SUBSTITUTE(SUBSTITUTE(A121,"/"," "),"."," "),"\"," "),"_"," ")))&amp;" ")),1,0))+IF(Task!$A$19="",0,IF(ISNUMBER(SEARCH(" "&amp;Task!$A$19&amp;" "," "&amp;LOWER(D121&amp;" "&amp;C121&amp;" "&amp;LOWER(SUBSTITUTE(SUBSTITUTE(SUBSTITUTE(SUBSTITUTE(A121,"/"," "),"."," "),"\"," "),"_"," ")))&amp;" ")),1,0)))</f>
        <v/>
      </c>
      <c r="G121" s="9">
        <f>IF(E121=0,0,IF(Task!$A$8="",0,IF(ISNUMBER(SEARCH(" "&amp;Task!$A$8&amp;" "," "&amp;LOWER(C121)&amp;" ")),1,0))+IF(Task!$A$9="",0,IF(ISNUMBER(SEARCH(" "&amp;Task!$A$9&amp;" "," "&amp;LOWER(C121)&amp;" ")),1,0))+IF(Task!$A$10="",0,IF(ISNUMBER(SEARCH(" "&amp;Task!$A$10&amp;" "," "&amp;LOWER(C121)&amp;" ")),1,0))+IF(Task!$A$11="",0,IF(ISNUMBER(SEARCH(" "&amp;Task!$A$11&amp;" "," "&amp;LOWER(C121)&amp;" ")),1,0))+IF(Task!$A$12="",0,IF(ISNUMBER(SEARCH(" "&amp;Task!$A$12&amp;" "," "&amp;LOWER(C121)&amp;" ")),1,0))+IF(Task!$A$13="",0,IF(ISNUMBER(SEARCH(" "&amp;Task!$A$13&amp;" "," "&amp;LOWER(C121)&amp;" ")),1,0))+IF(Task!$A$14="",0,IF(ISNUMBER(SEARCH(" "&amp;Task!$A$14&amp;" "," "&amp;LOWER(C121)&amp;" ")),1,0))+IF(Task!$A$15="",0,IF(ISNUMBER(SEARCH(" "&amp;Task!$A$15&amp;" "," "&amp;LOWER(C121)&amp;" ")),1,0))+IF(Task!$A$16="",0,IF(ISNUMBER(SEARCH(" "&amp;Task!$A$16&amp;" "," "&amp;LOWER(C121)&amp;" ")),1,0))+IF(Task!$A$17="",0,IF(ISNUMBER(SEARCH(" "&amp;Task!$A$17&amp;" "," "&amp;LOWER(C121)&amp;" ")),1,0))+IF(Task!$A$18="",0,IF(ISNUMBER(SEARCH(" "&amp;Task!$A$18&amp;" "," "&amp;LOWER(C121)&amp;" ")),1,0))+IF(Task!$A$19="",0,IF(ISNUMBER(SEARCH(" "&amp;Task!$A$19&amp;" "," "&amp;LOWER(C121)&amp;" ")),1,0)))</f>
        <v/>
      </c>
      <c r="H121" s="9">
        <f>IF(E121=0,0,IF(Task!$A$8="",0,IF(ISNUMBER(SEARCH(" "&amp;Task!$A$8&amp;" "," "&amp;LOWER(SUBSTITUTE(SUBSTITUTE(SUBSTITUTE(SUBSTITUTE(A121,"/"," "),"."," "),"\"," "),"_"," "))&amp;" ")),1,0))+IF(Task!$A$9="",0,IF(ISNUMBER(SEARCH(" "&amp;Task!$A$9&amp;" "," "&amp;LOWER(SUBSTITUTE(SUBSTITUTE(SUBSTITUTE(SUBSTITUTE(A121,"/"," "),"."," "),"\"," "),"_"," "))&amp;" ")),1,0))+IF(Task!$A$10="",0,IF(ISNUMBER(SEARCH(" "&amp;Task!$A$10&amp;" "," "&amp;LOWER(SUBSTITUTE(SUBSTITUTE(SUBSTITUTE(SUBSTITUTE(A121,"/"," "),"."," "),"\"," "),"_"," "))&amp;" ")),1,0))+IF(Task!$A$11="",0,IF(ISNUMBER(SEARCH(" "&amp;Task!$A$11&amp;" "," "&amp;LOWER(SUBSTITUTE(SUBSTITUTE(SUBSTITUTE(SUBSTITUTE(A121,"/"," "),"."," "),"\"," "),"_"," "))&amp;" ")),1,0))+IF(Task!$A$12="",0,IF(ISNUMBER(SEARCH(" "&amp;Task!$A$12&amp;" "," "&amp;LOWER(SUBSTITUTE(SUBSTITUTE(SUBSTITUTE(SUBSTITUTE(A121,"/"," "),"."," "),"\"," "),"_"," "))&amp;" ")),1,0))+IF(Task!$A$13="",0,IF(ISNUMBER(SEARCH(" "&amp;Task!$A$13&amp;" "," "&amp;LOWER(SUBSTITUTE(SUBSTITUTE(SUBSTITUTE(SUBSTITUTE(A121,"/"," "),"."," "),"\"," "),"_"," "))&amp;" ")),1,0))+IF(Task!$A$14="",0,IF(ISNUMBER(SEARCH(" "&amp;Task!$A$14&amp;" "," "&amp;LOWER(SUBSTITUTE(SUBSTITUTE(SUBSTITUTE(SUBSTITUTE(A121,"/"," "),"."," "),"\"," "),"_"," "))&amp;" ")),1,0))+IF(Task!$A$15="",0,IF(ISNUMBER(SEARCH(" "&amp;Task!$A$15&amp;" "," "&amp;LOWER(SUBSTITUTE(SUBSTITUTE(SUBSTITUTE(SUBSTITUTE(A121,"/"," "),"."," "),"\"," "),"_"," "))&amp;" ")),1,0))+IF(Task!$A$16="",0,IF(ISNUMBER(SEARCH(" "&amp;Task!$A$16&amp;" "," "&amp;LOWER(SUBSTITUTE(SUBSTITUTE(SUBSTITUTE(SUBSTITUTE(A121,"/"," "),"."," "),"\"," "),"_"," "))&amp;" ")),1,0))+IF(Task!$A$17="",0,IF(ISNUMBER(SEARCH(" "&amp;Task!$A$17&amp;" "," "&amp;LOWER(SUBSTITUTE(SUBSTITUTE(SUBSTITUTE(SUBSTITUTE(A121,"/"," "),"."," "),"\"," "),"_"," "))&amp;" ")),1,0))+IF(Task!$A$18="",0,IF(ISNUMBER(SEARCH(" "&amp;Task!$A$18&amp;" "," "&amp;LOWER(SUBSTITUTE(SUBSTITUTE(SUBSTITUTE(SUBSTITUTE(A121,"/"," "),"."," "),"\"," "),"_"," "))&amp;" ")),1,0))+IF(Task!$A$19="",0,IF(ISNUMBER(SEARCH(" "&amp;Task!$A$19&amp;" "," "&amp;LOWER(SUBSTITUTE(SUBSTITUTE(SUBSTITUTE(SUBSTITUTE(A121,"/"," "),"."," "),"\"," "),"_"," "))&amp;" ")),1,0)))</f>
        <v/>
      </c>
      <c r="I121" s="10">
        <f>IF(OR(E121=0,F121=0,Task!$B$21=0),"",F121/Task!$B$21+0.5*G121+0.25*H121)</f>
        <v/>
      </c>
      <c r="J121" s="5">
        <f>IF(I121="","",I121-ROW()/1000000)</f>
        <v/>
      </c>
      <c r="K121" s="9">
        <f>IF(J121="","",COUNTIF($J$5:$J$404,"&gt;"&amp;J121)+1)</f>
        <v/>
      </c>
    </row>
    <row r="122">
      <c r="A122" s="7" t="n"/>
      <c r="B122" s="7" t="n"/>
      <c r="C122" s="7" t="n"/>
      <c r="D122" s="7" t="n"/>
      <c r="E122" s="5">
        <f>IF(A122="",0,IF(COUNTA(Task!$B$5:$E$5)=0,1,IF(COUNTIF(Task!$B$5:$E$5,B122)&gt;0,1,0)))</f>
        <v/>
      </c>
      <c r="F122" s="9">
        <f>IF(E122=0,0,IF(Task!$A$8="",0,IF(ISNUMBER(SEARCH(" "&amp;Task!$A$8&amp;" "," "&amp;LOWER(D122&amp;" "&amp;C122&amp;" "&amp;LOWER(SUBSTITUTE(SUBSTITUTE(SUBSTITUTE(SUBSTITUTE(A122,"/"," "),"."," "),"\"," "),"_"," ")))&amp;" ")),1,0))+IF(Task!$A$9="",0,IF(ISNUMBER(SEARCH(" "&amp;Task!$A$9&amp;" "," "&amp;LOWER(D122&amp;" "&amp;C122&amp;" "&amp;LOWER(SUBSTITUTE(SUBSTITUTE(SUBSTITUTE(SUBSTITUTE(A122,"/"," "),"."," "),"\"," "),"_"," ")))&amp;" ")),1,0))+IF(Task!$A$10="",0,IF(ISNUMBER(SEARCH(" "&amp;Task!$A$10&amp;" "," "&amp;LOWER(D122&amp;" "&amp;C122&amp;" "&amp;LOWER(SUBSTITUTE(SUBSTITUTE(SUBSTITUTE(SUBSTITUTE(A122,"/"," "),"."," "),"\"," "),"_"," ")))&amp;" ")),1,0))+IF(Task!$A$11="",0,IF(ISNUMBER(SEARCH(" "&amp;Task!$A$11&amp;" "," "&amp;LOWER(D122&amp;" "&amp;C122&amp;" "&amp;LOWER(SUBSTITUTE(SUBSTITUTE(SUBSTITUTE(SUBSTITUTE(A122,"/"," "),"."," "),"\"," "),"_"," ")))&amp;" ")),1,0))+IF(Task!$A$12="",0,IF(ISNUMBER(SEARCH(" "&amp;Task!$A$12&amp;" "," "&amp;LOWER(D122&amp;" "&amp;C122&amp;" "&amp;LOWER(SUBSTITUTE(SUBSTITUTE(SUBSTITUTE(SUBSTITUTE(A122,"/"," "),"."," "),"\"," "),"_"," ")))&amp;" ")),1,0))+IF(Task!$A$13="",0,IF(ISNUMBER(SEARCH(" "&amp;Task!$A$13&amp;" "," "&amp;LOWER(D122&amp;" "&amp;C122&amp;" "&amp;LOWER(SUBSTITUTE(SUBSTITUTE(SUBSTITUTE(SUBSTITUTE(A122,"/"," "),"."," "),"\"," "),"_"," ")))&amp;" ")),1,0))+IF(Task!$A$14="",0,IF(ISNUMBER(SEARCH(" "&amp;Task!$A$14&amp;" "," "&amp;LOWER(D122&amp;" "&amp;C122&amp;" "&amp;LOWER(SUBSTITUTE(SUBSTITUTE(SUBSTITUTE(SUBSTITUTE(A122,"/"," "),"."," "),"\"," "),"_"," ")))&amp;" ")),1,0))+IF(Task!$A$15="",0,IF(ISNUMBER(SEARCH(" "&amp;Task!$A$15&amp;" "," "&amp;LOWER(D122&amp;" "&amp;C122&amp;" "&amp;LOWER(SUBSTITUTE(SUBSTITUTE(SUBSTITUTE(SUBSTITUTE(A122,"/"," "),"."," "),"\"," "),"_"," ")))&amp;" ")),1,0))+IF(Task!$A$16="",0,IF(ISNUMBER(SEARCH(" "&amp;Task!$A$16&amp;" "," "&amp;LOWER(D122&amp;" "&amp;C122&amp;" "&amp;LOWER(SUBSTITUTE(SUBSTITUTE(SUBSTITUTE(SUBSTITUTE(A122,"/"," "),"."," "),"\"," "),"_"," ")))&amp;" ")),1,0))+IF(Task!$A$17="",0,IF(ISNUMBER(SEARCH(" "&amp;Task!$A$17&amp;" "," "&amp;LOWER(D122&amp;" "&amp;C122&amp;" "&amp;LOWER(SUBSTITUTE(SUBSTITUTE(SUBSTITUTE(SUBSTITUTE(A122,"/"," "),"."," "),"\"," "),"_"," ")))&amp;" ")),1,0))+IF(Task!$A$18="",0,IF(ISNUMBER(SEARCH(" "&amp;Task!$A$18&amp;" "," "&amp;LOWER(D122&amp;" "&amp;C122&amp;" "&amp;LOWER(SUBSTITUTE(SUBSTITUTE(SUBSTITUTE(SUBSTITUTE(A122,"/"," "),"."," "),"\"," "),"_"," ")))&amp;" ")),1,0))+IF(Task!$A$19="",0,IF(ISNUMBER(SEARCH(" "&amp;Task!$A$19&amp;" "," "&amp;LOWER(D122&amp;" "&amp;C122&amp;" "&amp;LOWER(SUBSTITUTE(SUBSTITUTE(SUBSTITUTE(SUBSTITUTE(A122,"/"," "),"."," "),"\"," "),"_"," ")))&amp;" ")),1,0)))</f>
        <v/>
      </c>
      <c r="G122" s="9">
        <f>IF(E122=0,0,IF(Task!$A$8="",0,IF(ISNUMBER(SEARCH(" "&amp;Task!$A$8&amp;" "," "&amp;LOWER(C122)&amp;" ")),1,0))+IF(Task!$A$9="",0,IF(ISNUMBER(SEARCH(" "&amp;Task!$A$9&amp;" "," "&amp;LOWER(C122)&amp;" ")),1,0))+IF(Task!$A$10="",0,IF(ISNUMBER(SEARCH(" "&amp;Task!$A$10&amp;" "," "&amp;LOWER(C122)&amp;" ")),1,0))+IF(Task!$A$11="",0,IF(ISNUMBER(SEARCH(" "&amp;Task!$A$11&amp;" "," "&amp;LOWER(C122)&amp;" ")),1,0))+IF(Task!$A$12="",0,IF(ISNUMBER(SEARCH(" "&amp;Task!$A$12&amp;" "," "&amp;LOWER(C122)&amp;" ")),1,0))+IF(Task!$A$13="",0,IF(ISNUMBER(SEARCH(" "&amp;Task!$A$13&amp;" "," "&amp;LOWER(C122)&amp;" ")),1,0))+IF(Task!$A$14="",0,IF(ISNUMBER(SEARCH(" "&amp;Task!$A$14&amp;" "," "&amp;LOWER(C122)&amp;" ")),1,0))+IF(Task!$A$15="",0,IF(ISNUMBER(SEARCH(" "&amp;Task!$A$15&amp;" "," "&amp;LOWER(C122)&amp;" ")),1,0))+IF(Task!$A$16="",0,IF(ISNUMBER(SEARCH(" "&amp;Task!$A$16&amp;" "," "&amp;LOWER(C122)&amp;" ")),1,0))+IF(Task!$A$17="",0,IF(ISNUMBER(SEARCH(" "&amp;Task!$A$17&amp;" "," "&amp;LOWER(C122)&amp;" ")),1,0))+IF(Task!$A$18="",0,IF(ISNUMBER(SEARCH(" "&amp;Task!$A$18&amp;" "," "&amp;LOWER(C122)&amp;" ")),1,0))+IF(Task!$A$19="",0,IF(ISNUMBER(SEARCH(" "&amp;Task!$A$19&amp;" "," "&amp;LOWER(C122)&amp;" ")),1,0)))</f>
        <v/>
      </c>
      <c r="H122" s="9">
        <f>IF(E122=0,0,IF(Task!$A$8="",0,IF(ISNUMBER(SEARCH(" "&amp;Task!$A$8&amp;" "," "&amp;LOWER(SUBSTITUTE(SUBSTITUTE(SUBSTITUTE(SUBSTITUTE(A122,"/"," "),"."," "),"\"," "),"_"," "))&amp;" ")),1,0))+IF(Task!$A$9="",0,IF(ISNUMBER(SEARCH(" "&amp;Task!$A$9&amp;" "," "&amp;LOWER(SUBSTITUTE(SUBSTITUTE(SUBSTITUTE(SUBSTITUTE(A122,"/"," "),"."," "),"\"," "),"_"," "))&amp;" ")),1,0))+IF(Task!$A$10="",0,IF(ISNUMBER(SEARCH(" "&amp;Task!$A$10&amp;" "," "&amp;LOWER(SUBSTITUTE(SUBSTITUTE(SUBSTITUTE(SUBSTITUTE(A122,"/"," "),"."," "),"\"," "),"_"," "))&amp;" ")),1,0))+IF(Task!$A$11="",0,IF(ISNUMBER(SEARCH(" "&amp;Task!$A$11&amp;" "," "&amp;LOWER(SUBSTITUTE(SUBSTITUTE(SUBSTITUTE(SUBSTITUTE(A122,"/"," "),"."," "),"\"," "),"_"," "))&amp;" ")),1,0))+IF(Task!$A$12="",0,IF(ISNUMBER(SEARCH(" "&amp;Task!$A$12&amp;" "," "&amp;LOWER(SUBSTITUTE(SUBSTITUTE(SUBSTITUTE(SUBSTITUTE(A122,"/"," "),"."," "),"\"," "),"_"," "))&amp;" ")),1,0))+IF(Task!$A$13="",0,IF(ISNUMBER(SEARCH(" "&amp;Task!$A$13&amp;" "," "&amp;LOWER(SUBSTITUTE(SUBSTITUTE(SUBSTITUTE(SUBSTITUTE(A122,"/"," "),"."," "),"\"," "),"_"," "))&amp;" ")),1,0))+IF(Task!$A$14="",0,IF(ISNUMBER(SEARCH(" "&amp;Task!$A$14&amp;" "," "&amp;LOWER(SUBSTITUTE(SUBSTITUTE(SUBSTITUTE(SUBSTITUTE(A122,"/"," "),"."," "),"\"," "),"_"," "))&amp;" ")),1,0))+IF(Task!$A$15="",0,IF(ISNUMBER(SEARCH(" "&amp;Task!$A$15&amp;" "," "&amp;LOWER(SUBSTITUTE(SUBSTITUTE(SUBSTITUTE(SUBSTITUTE(A122,"/"," "),"."," "),"\"," "),"_"," "))&amp;" ")),1,0))+IF(Task!$A$16="",0,IF(ISNUMBER(SEARCH(" "&amp;Task!$A$16&amp;" "," "&amp;LOWER(SUBSTITUTE(SUBSTITUTE(SUBSTITUTE(SUBSTITUTE(A122,"/"," "),"."," "),"\"," "),"_"," "))&amp;" ")),1,0))+IF(Task!$A$17="",0,IF(ISNUMBER(SEARCH(" "&amp;Task!$A$17&amp;" "," "&amp;LOWER(SUBSTITUTE(SUBSTITUTE(SUBSTITUTE(SUBSTITUTE(A122,"/"," "),"."," "),"\"," "),"_"," "))&amp;" ")),1,0))+IF(Task!$A$18="",0,IF(ISNUMBER(SEARCH(" "&amp;Task!$A$18&amp;" "," "&amp;LOWER(SUBSTITUTE(SUBSTITUTE(SUBSTITUTE(SUBSTITUTE(A122,"/"," "),"."," "),"\"," "),"_"," "))&amp;" ")),1,0))+IF(Task!$A$19="",0,IF(ISNUMBER(SEARCH(" "&amp;Task!$A$19&amp;" "," "&amp;LOWER(SUBSTITUTE(SUBSTITUTE(SUBSTITUTE(SUBSTITUTE(A122,"/"," "),"."," "),"\"," "),"_"," "))&amp;" ")),1,0)))</f>
        <v/>
      </c>
      <c r="I122" s="10">
        <f>IF(OR(E122=0,F122=0,Task!$B$21=0),"",F122/Task!$B$21+0.5*G122+0.25*H122)</f>
        <v/>
      </c>
      <c r="J122" s="5">
        <f>IF(I122="","",I122-ROW()/1000000)</f>
        <v/>
      </c>
      <c r="K122" s="9">
        <f>IF(J122="","",COUNTIF($J$5:$J$404,"&gt;"&amp;J122)+1)</f>
        <v/>
      </c>
    </row>
    <row r="123">
      <c r="A123" s="7" t="n"/>
      <c r="B123" s="7" t="n"/>
      <c r="C123" s="7" t="n"/>
      <c r="D123" s="7" t="n"/>
      <c r="E123" s="5">
        <f>IF(A123="",0,IF(COUNTA(Task!$B$5:$E$5)=0,1,IF(COUNTIF(Task!$B$5:$E$5,B123)&gt;0,1,0)))</f>
        <v/>
      </c>
      <c r="F123" s="9">
        <f>IF(E123=0,0,IF(Task!$A$8="",0,IF(ISNUMBER(SEARCH(" "&amp;Task!$A$8&amp;" "," "&amp;LOWER(D123&amp;" "&amp;C123&amp;" "&amp;LOWER(SUBSTITUTE(SUBSTITUTE(SUBSTITUTE(SUBSTITUTE(A123,"/"," "),"."," "),"\"," "),"_"," ")))&amp;" ")),1,0))+IF(Task!$A$9="",0,IF(ISNUMBER(SEARCH(" "&amp;Task!$A$9&amp;" "," "&amp;LOWER(D123&amp;" "&amp;C123&amp;" "&amp;LOWER(SUBSTITUTE(SUBSTITUTE(SUBSTITUTE(SUBSTITUTE(A123,"/"," "),"."," "),"\"," "),"_"," ")))&amp;" ")),1,0))+IF(Task!$A$10="",0,IF(ISNUMBER(SEARCH(" "&amp;Task!$A$10&amp;" "," "&amp;LOWER(D123&amp;" "&amp;C123&amp;" "&amp;LOWER(SUBSTITUTE(SUBSTITUTE(SUBSTITUTE(SUBSTITUTE(A123,"/"," "),"."," "),"\"," "),"_"," ")))&amp;" ")),1,0))+IF(Task!$A$11="",0,IF(ISNUMBER(SEARCH(" "&amp;Task!$A$11&amp;" "," "&amp;LOWER(D123&amp;" "&amp;C123&amp;" "&amp;LOWER(SUBSTITUTE(SUBSTITUTE(SUBSTITUTE(SUBSTITUTE(A123,"/"," "),"."," "),"\"," "),"_"," ")))&amp;" ")),1,0))+IF(Task!$A$12="",0,IF(ISNUMBER(SEARCH(" "&amp;Task!$A$12&amp;" "," "&amp;LOWER(D123&amp;" "&amp;C123&amp;" "&amp;LOWER(SUBSTITUTE(SUBSTITUTE(SUBSTITUTE(SUBSTITUTE(A123,"/"," "),"."," "),"\"," "),"_"," ")))&amp;" ")),1,0))+IF(Task!$A$13="",0,IF(ISNUMBER(SEARCH(" "&amp;Task!$A$13&amp;" "," "&amp;LOWER(D123&amp;" "&amp;C123&amp;" "&amp;LOWER(SUBSTITUTE(SUBSTITUTE(SUBSTITUTE(SUBSTITUTE(A123,"/"," "),"."," "),"\"," "),"_"," ")))&amp;" ")),1,0))+IF(Task!$A$14="",0,IF(ISNUMBER(SEARCH(" "&amp;Task!$A$14&amp;" "," "&amp;LOWER(D123&amp;" "&amp;C123&amp;" "&amp;LOWER(SUBSTITUTE(SUBSTITUTE(SUBSTITUTE(SUBSTITUTE(A123,"/"," "),"."," "),"\"," "),"_"," ")))&amp;" ")),1,0))+IF(Task!$A$15="",0,IF(ISNUMBER(SEARCH(" "&amp;Task!$A$15&amp;" "," "&amp;LOWER(D123&amp;" "&amp;C123&amp;" "&amp;LOWER(SUBSTITUTE(SUBSTITUTE(SUBSTITUTE(SUBSTITUTE(A123,"/"," "),"."," "),"\"," "),"_"," ")))&amp;" ")),1,0))+IF(Task!$A$16="",0,IF(ISNUMBER(SEARCH(" "&amp;Task!$A$16&amp;" "," "&amp;LOWER(D123&amp;" "&amp;C123&amp;" "&amp;LOWER(SUBSTITUTE(SUBSTITUTE(SUBSTITUTE(SUBSTITUTE(A123,"/"," "),"."," "),"\"," "),"_"," ")))&amp;" ")),1,0))+IF(Task!$A$17="",0,IF(ISNUMBER(SEARCH(" "&amp;Task!$A$17&amp;" "," "&amp;LOWER(D123&amp;" "&amp;C123&amp;" "&amp;LOWER(SUBSTITUTE(SUBSTITUTE(SUBSTITUTE(SUBSTITUTE(A123,"/"," "),"."," "),"\"," "),"_"," ")))&amp;" ")),1,0))+IF(Task!$A$18="",0,IF(ISNUMBER(SEARCH(" "&amp;Task!$A$18&amp;" "," "&amp;LOWER(D123&amp;" "&amp;C123&amp;" "&amp;LOWER(SUBSTITUTE(SUBSTITUTE(SUBSTITUTE(SUBSTITUTE(A123,"/"," "),"."," "),"\"," "),"_"," ")))&amp;" ")),1,0))+IF(Task!$A$19="",0,IF(ISNUMBER(SEARCH(" "&amp;Task!$A$19&amp;" "," "&amp;LOWER(D123&amp;" "&amp;C123&amp;" "&amp;LOWER(SUBSTITUTE(SUBSTITUTE(SUBSTITUTE(SUBSTITUTE(A123,"/"," "),"."," "),"\"," "),"_"," ")))&amp;" ")),1,0)))</f>
        <v/>
      </c>
      <c r="G123" s="9">
        <f>IF(E123=0,0,IF(Task!$A$8="",0,IF(ISNUMBER(SEARCH(" "&amp;Task!$A$8&amp;" "," "&amp;LOWER(C123)&amp;" ")),1,0))+IF(Task!$A$9="",0,IF(ISNUMBER(SEARCH(" "&amp;Task!$A$9&amp;" "," "&amp;LOWER(C123)&amp;" ")),1,0))+IF(Task!$A$10="",0,IF(ISNUMBER(SEARCH(" "&amp;Task!$A$10&amp;" "," "&amp;LOWER(C123)&amp;" ")),1,0))+IF(Task!$A$11="",0,IF(ISNUMBER(SEARCH(" "&amp;Task!$A$11&amp;" "," "&amp;LOWER(C123)&amp;" ")),1,0))+IF(Task!$A$12="",0,IF(ISNUMBER(SEARCH(" "&amp;Task!$A$12&amp;" "," "&amp;LOWER(C123)&amp;" ")),1,0))+IF(Task!$A$13="",0,IF(ISNUMBER(SEARCH(" "&amp;Task!$A$13&amp;" "," "&amp;LOWER(C123)&amp;" ")),1,0))+IF(Task!$A$14="",0,IF(ISNUMBER(SEARCH(" "&amp;Task!$A$14&amp;" "," "&amp;LOWER(C123)&amp;" ")),1,0))+IF(Task!$A$15="",0,IF(ISNUMBER(SEARCH(" "&amp;Task!$A$15&amp;" "," "&amp;LOWER(C123)&amp;" ")),1,0))+IF(Task!$A$16="",0,IF(ISNUMBER(SEARCH(" "&amp;Task!$A$16&amp;" "," "&amp;LOWER(C123)&amp;" ")),1,0))+IF(Task!$A$17="",0,IF(ISNUMBER(SEARCH(" "&amp;Task!$A$17&amp;" "," "&amp;LOWER(C123)&amp;" ")),1,0))+IF(Task!$A$18="",0,IF(ISNUMBER(SEARCH(" "&amp;Task!$A$18&amp;" "," "&amp;LOWER(C123)&amp;" ")),1,0))+IF(Task!$A$19="",0,IF(ISNUMBER(SEARCH(" "&amp;Task!$A$19&amp;" "," "&amp;LOWER(C123)&amp;" ")),1,0)))</f>
        <v/>
      </c>
      <c r="H123" s="9">
        <f>IF(E123=0,0,IF(Task!$A$8="",0,IF(ISNUMBER(SEARCH(" "&amp;Task!$A$8&amp;" "," "&amp;LOWER(SUBSTITUTE(SUBSTITUTE(SUBSTITUTE(SUBSTITUTE(A123,"/"," "),"."," "),"\"," "),"_"," "))&amp;" ")),1,0))+IF(Task!$A$9="",0,IF(ISNUMBER(SEARCH(" "&amp;Task!$A$9&amp;" "," "&amp;LOWER(SUBSTITUTE(SUBSTITUTE(SUBSTITUTE(SUBSTITUTE(A123,"/"," "),"."," "),"\"," "),"_"," "))&amp;" ")),1,0))+IF(Task!$A$10="",0,IF(ISNUMBER(SEARCH(" "&amp;Task!$A$10&amp;" "," "&amp;LOWER(SUBSTITUTE(SUBSTITUTE(SUBSTITUTE(SUBSTITUTE(A123,"/"," "),"."," "),"\"," "),"_"," "))&amp;" ")),1,0))+IF(Task!$A$11="",0,IF(ISNUMBER(SEARCH(" "&amp;Task!$A$11&amp;" "," "&amp;LOWER(SUBSTITUTE(SUBSTITUTE(SUBSTITUTE(SUBSTITUTE(A123,"/"," "),"."," "),"\"," "),"_"," "))&amp;" ")),1,0))+IF(Task!$A$12="",0,IF(ISNUMBER(SEARCH(" "&amp;Task!$A$12&amp;" "," "&amp;LOWER(SUBSTITUTE(SUBSTITUTE(SUBSTITUTE(SUBSTITUTE(A123,"/"," "),"."," "),"\"," "),"_"," "))&amp;" ")),1,0))+IF(Task!$A$13="",0,IF(ISNUMBER(SEARCH(" "&amp;Task!$A$13&amp;" "," "&amp;LOWER(SUBSTITUTE(SUBSTITUTE(SUBSTITUTE(SUBSTITUTE(A123,"/"," "),"."," "),"\"," "),"_"," "))&amp;" ")),1,0))+IF(Task!$A$14="",0,IF(ISNUMBER(SEARCH(" "&amp;Task!$A$14&amp;" "," "&amp;LOWER(SUBSTITUTE(SUBSTITUTE(SUBSTITUTE(SUBSTITUTE(A123,"/"," "),"."," "),"\"," "),"_"," "))&amp;" ")),1,0))+IF(Task!$A$15="",0,IF(ISNUMBER(SEARCH(" "&amp;Task!$A$15&amp;" "," "&amp;LOWER(SUBSTITUTE(SUBSTITUTE(SUBSTITUTE(SUBSTITUTE(A123,"/"," "),"."," "),"\"," "),"_"," "))&amp;" ")),1,0))+IF(Task!$A$16="",0,IF(ISNUMBER(SEARCH(" "&amp;Task!$A$16&amp;" "," "&amp;LOWER(SUBSTITUTE(SUBSTITUTE(SUBSTITUTE(SUBSTITUTE(A123,"/"," "),"."," "),"\"," "),"_"," "))&amp;" ")),1,0))+IF(Task!$A$17="",0,IF(ISNUMBER(SEARCH(" "&amp;Task!$A$17&amp;" "," "&amp;LOWER(SUBSTITUTE(SUBSTITUTE(SUBSTITUTE(SUBSTITUTE(A123,"/"," "),"."," "),"\"," "),"_"," "))&amp;" ")),1,0))+IF(Task!$A$18="",0,IF(ISNUMBER(SEARCH(" "&amp;Task!$A$18&amp;" "," "&amp;LOWER(SUBSTITUTE(SUBSTITUTE(SUBSTITUTE(SUBSTITUTE(A123,"/"," "),"."," "),"\"," "),"_"," "))&amp;" ")),1,0))+IF(Task!$A$19="",0,IF(ISNUMBER(SEARCH(" "&amp;Task!$A$19&amp;" "," "&amp;LOWER(SUBSTITUTE(SUBSTITUTE(SUBSTITUTE(SUBSTITUTE(A123,"/"," "),"."," "),"\"," "),"_"," "))&amp;" ")),1,0)))</f>
        <v/>
      </c>
      <c r="I123" s="10">
        <f>IF(OR(E123=0,F123=0,Task!$B$21=0),"",F123/Task!$B$21+0.5*G123+0.25*H123)</f>
        <v/>
      </c>
      <c r="J123" s="5">
        <f>IF(I123="","",I123-ROW()/1000000)</f>
        <v/>
      </c>
      <c r="K123" s="9">
        <f>IF(J123="","",COUNTIF($J$5:$J$404,"&gt;"&amp;J123)+1)</f>
        <v/>
      </c>
    </row>
    <row r="124">
      <c r="A124" s="7" t="n"/>
      <c r="B124" s="7" t="n"/>
      <c r="C124" s="7" t="n"/>
      <c r="D124" s="7" t="n"/>
      <c r="E124" s="5">
        <f>IF(A124="",0,IF(COUNTA(Task!$B$5:$E$5)=0,1,IF(COUNTIF(Task!$B$5:$E$5,B124)&gt;0,1,0)))</f>
        <v/>
      </c>
      <c r="F124" s="9">
        <f>IF(E124=0,0,IF(Task!$A$8="",0,IF(ISNUMBER(SEARCH(" "&amp;Task!$A$8&amp;" "," "&amp;LOWER(D124&amp;" "&amp;C124&amp;" "&amp;LOWER(SUBSTITUTE(SUBSTITUTE(SUBSTITUTE(SUBSTITUTE(A124,"/"," "),"."," "),"\"," "),"_"," ")))&amp;" ")),1,0))+IF(Task!$A$9="",0,IF(ISNUMBER(SEARCH(" "&amp;Task!$A$9&amp;" "," "&amp;LOWER(D124&amp;" "&amp;C124&amp;" "&amp;LOWER(SUBSTITUTE(SUBSTITUTE(SUBSTITUTE(SUBSTITUTE(A124,"/"," "),"."," "),"\"," "),"_"," ")))&amp;" ")),1,0))+IF(Task!$A$10="",0,IF(ISNUMBER(SEARCH(" "&amp;Task!$A$10&amp;" "," "&amp;LOWER(D124&amp;" "&amp;C124&amp;" "&amp;LOWER(SUBSTITUTE(SUBSTITUTE(SUBSTITUTE(SUBSTITUTE(A124,"/"," "),"."," "),"\"," "),"_"," ")))&amp;" ")),1,0))+IF(Task!$A$11="",0,IF(ISNUMBER(SEARCH(" "&amp;Task!$A$11&amp;" "," "&amp;LOWER(D124&amp;" "&amp;C124&amp;" "&amp;LOWER(SUBSTITUTE(SUBSTITUTE(SUBSTITUTE(SUBSTITUTE(A124,"/"," "),"."," "),"\"," "),"_"," ")))&amp;" ")),1,0))+IF(Task!$A$12="",0,IF(ISNUMBER(SEARCH(" "&amp;Task!$A$12&amp;" "," "&amp;LOWER(D124&amp;" "&amp;C124&amp;" "&amp;LOWER(SUBSTITUTE(SUBSTITUTE(SUBSTITUTE(SUBSTITUTE(A124,"/"," "),"."," "),"\"," "),"_"," ")))&amp;" ")),1,0))+IF(Task!$A$13="",0,IF(ISNUMBER(SEARCH(" "&amp;Task!$A$13&amp;" "," "&amp;LOWER(D124&amp;" "&amp;C124&amp;" "&amp;LOWER(SUBSTITUTE(SUBSTITUTE(SUBSTITUTE(SUBSTITUTE(A124,"/"," "),"."," "),"\"," "),"_"," ")))&amp;" ")),1,0))+IF(Task!$A$14="",0,IF(ISNUMBER(SEARCH(" "&amp;Task!$A$14&amp;" "," "&amp;LOWER(D124&amp;" "&amp;C124&amp;" "&amp;LOWER(SUBSTITUTE(SUBSTITUTE(SUBSTITUTE(SUBSTITUTE(A124,"/"," "),"."," "),"\"," "),"_"," ")))&amp;" ")),1,0))+IF(Task!$A$15="",0,IF(ISNUMBER(SEARCH(" "&amp;Task!$A$15&amp;" "," "&amp;LOWER(D124&amp;" "&amp;C124&amp;" "&amp;LOWER(SUBSTITUTE(SUBSTITUTE(SUBSTITUTE(SUBSTITUTE(A124,"/"," "),"."," "),"\"," "),"_"," ")))&amp;" ")),1,0))+IF(Task!$A$16="",0,IF(ISNUMBER(SEARCH(" "&amp;Task!$A$16&amp;" "," "&amp;LOWER(D124&amp;" "&amp;C124&amp;" "&amp;LOWER(SUBSTITUTE(SUBSTITUTE(SUBSTITUTE(SUBSTITUTE(A124,"/"," "),"."," "),"\"," "),"_"," ")))&amp;" ")),1,0))+IF(Task!$A$17="",0,IF(ISNUMBER(SEARCH(" "&amp;Task!$A$17&amp;" "," "&amp;LOWER(D124&amp;" "&amp;C124&amp;" "&amp;LOWER(SUBSTITUTE(SUBSTITUTE(SUBSTITUTE(SUBSTITUTE(A124,"/"," "),"."," "),"\"," "),"_"," ")))&amp;" ")),1,0))+IF(Task!$A$18="",0,IF(ISNUMBER(SEARCH(" "&amp;Task!$A$18&amp;" "," "&amp;LOWER(D124&amp;" "&amp;C124&amp;" "&amp;LOWER(SUBSTITUTE(SUBSTITUTE(SUBSTITUTE(SUBSTITUTE(A124,"/"," "),"."," "),"\"," "),"_"," ")))&amp;" ")),1,0))+IF(Task!$A$19="",0,IF(ISNUMBER(SEARCH(" "&amp;Task!$A$19&amp;" "," "&amp;LOWER(D124&amp;" "&amp;C124&amp;" "&amp;LOWER(SUBSTITUTE(SUBSTITUTE(SUBSTITUTE(SUBSTITUTE(A124,"/"," "),"."," "),"\"," "),"_"," ")))&amp;" ")),1,0)))</f>
        <v/>
      </c>
      <c r="G124" s="9">
        <f>IF(E124=0,0,IF(Task!$A$8="",0,IF(ISNUMBER(SEARCH(" "&amp;Task!$A$8&amp;" "," "&amp;LOWER(C124)&amp;" ")),1,0))+IF(Task!$A$9="",0,IF(ISNUMBER(SEARCH(" "&amp;Task!$A$9&amp;" "," "&amp;LOWER(C124)&amp;" ")),1,0))+IF(Task!$A$10="",0,IF(ISNUMBER(SEARCH(" "&amp;Task!$A$10&amp;" "," "&amp;LOWER(C124)&amp;" ")),1,0))+IF(Task!$A$11="",0,IF(ISNUMBER(SEARCH(" "&amp;Task!$A$11&amp;" "," "&amp;LOWER(C124)&amp;" ")),1,0))+IF(Task!$A$12="",0,IF(ISNUMBER(SEARCH(" "&amp;Task!$A$12&amp;" "," "&amp;LOWER(C124)&amp;" ")),1,0))+IF(Task!$A$13="",0,IF(ISNUMBER(SEARCH(" "&amp;Task!$A$13&amp;" "," "&amp;LOWER(C124)&amp;" ")),1,0))+IF(Task!$A$14="",0,IF(ISNUMBER(SEARCH(" "&amp;Task!$A$14&amp;" "," "&amp;LOWER(C124)&amp;" ")),1,0))+IF(Task!$A$15="",0,IF(ISNUMBER(SEARCH(" "&amp;Task!$A$15&amp;" "," "&amp;LOWER(C124)&amp;" ")),1,0))+IF(Task!$A$16="",0,IF(ISNUMBER(SEARCH(" "&amp;Task!$A$16&amp;" "," "&amp;LOWER(C124)&amp;" ")),1,0))+IF(Task!$A$17="",0,IF(ISNUMBER(SEARCH(" "&amp;Task!$A$17&amp;" "," "&amp;LOWER(C124)&amp;" ")),1,0))+IF(Task!$A$18="",0,IF(ISNUMBER(SEARCH(" "&amp;Task!$A$18&amp;" "," "&amp;LOWER(C124)&amp;" ")),1,0))+IF(Task!$A$19="",0,IF(ISNUMBER(SEARCH(" "&amp;Task!$A$19&amp;" "," "&amp;LOWER(C124)&amp;" ")),1,0)))</f>
        <v/>
      </c>
      <c r="H124" s="9">
        <f>IF(E124=0,0,IF(Task!$A$8="",0,IF(ISNUMBER(SEARCH(" "&amp;Task!$A$8&amp;" "," "&amp;LOWER(SUBSTITUTE(SUBSTITUTE(SUBSTITUTE(SUBSTITUTE(A124,"/"," "),"."," "),"\"," "),"_"," "))&amp;" ")),1,0))+IF(Task!$A$9="",0,IF(ISNUMBER(SEARCH(" "&amp;Task!$A$9&amp;" "," "&amp;LOWER(SUBSTITUTE(SUBSTITUTE(SUBSTITUTE(SUBSTITUTE(A124,"/"," "),"."," "),"\"," "),"_"," "))&amp;" ")),1,0))+IF(Task!$A$10="",0,IF(ISNUMBER(SEARCH(" "&amp;Task!$A$10&amp;" "," "&amp;LOWER(SUBSTITUTE(SUBSTITUTE(SUBSTITUTE(SUBSTITUTE(A124,"/"," "),"."," "),"\"," "),"_"," "))&amp;" ")),1,0))+IF(Task!$A$11="",0,IF(ISNUMBER(SEARCH(" "&amp;Task!$A$11&amp;" "," "&amp;LOWER(SUBSTITUTE(SUBSTITUTE(SUBSTITUTE(SUBSTITUTE(A124,"/"," "),"."," "),"\"," "),"_"," "))&amp;" ")),1,0))+IF(Task!$A$12="",0,IF(ISNUMBER(SEARCH(" "&amp;Task!$A$12&amp;" "," "&amp;LOWER(SUBSTITUTE(SUBSTITUTE(SUBSTITUTE(SUBSTITUTE(A124,"/"," "),"."," "),"\"," "),"_"," "))&amp;" ")),1,0))+IF(Task!$A$13="",0,IF(ISNUMBER(SEARCH(" "&amp;Task!$A$13&amp;" "," "&amp;LOWER(SUBSTITUTE(SUBSTITUTE(SUBSTITUTE(SUBSTITUTE(A124,"/"," "),"."," "),"\"," "),"_"," "))&amp;" ")),1,0))+IF(Task!$A$14="",0,IF(ISNUMBER(SEARCH(" "&amp;Task!$A$14&amp;" "," "&amp;LOWER(SUBSTITUTE(SUBSTITUTE(SUBSTITUTE(SUBSTITUTE(A124,"/"," "),"."," "),"\"," "),"_"," "))&amp;" ")),1,0))+IF(Task!$A$15="",0,IF(ISNUMBER(SEARCH(" "&amp;Task!$A$15&amp;" "," "&amp;LOWER(SUBSTITUTE(SUBSTITUTE(SUBSTITUTE(SUBSTITUTE(A124,"/"," "),"."," "),"\"," "),"_"," "))&amp;" ")),1,0))+IF(Task!$A$16="",0,IF(ISNUMBER(SEARCH(" "&amp;Task!$A$16&amp;" "," "&amp;LOWER(SUBSTITUTE(SUBSTITUTE(SUBSTITUTE(SUBSTITUTE(A124,"/"," "),"."," "),"\"," "),"_"," "))&amp;" ")),1,0))+IF(Task!$A$17="",0,IF(ISNUMBER(SEARCH(" "&amp;Task!$A$17&amp;" "," "&amp;LOWER(SUBSTITUTE(SUBSTITUTE(SUBSTITUTE(SUBSTITUTE(A124,"/"," "),"."," "),"\"," "),"_"," "))&amp;" ")),1,0))+IF(Task!$A$18="",0,IF(ISNUMBER(SEARCH(" "&amp;Task!$A$18&amp;" "," "&amp;LOWER(SUBSTITUTE(SUBSTITUTE(SUBSTITUTE(SUBSTITUTE(A124,"/"," "),"."," "),"\"," "),"_"," "))&amp;" ")),1,0))+IF(Task!$A$19="",0,IF(ISNUMBER(SEARCH(" "&amp;Task!$A$19&amp;" "," "&amp;LOWER(SUBSTITUTE(SUBSTITUTE(SUBSTITUTE(SUBSTITUTE(A124,"/"," "),"."," "),"\"," "),"_"," "))&amp;" ")),1,0)))</f>
        <v/>
      </c>
      <c r="I124" s="10">
        <f>IF(OR(E124=0,F124=0,Task!$B$21=0),"",F124/Task!$B$21+0.5*G124+0.25*H124)</f>
        <v/>
      </c>
      <c r="J124" s="5">
        <f>IF(I124="","",I124-ROW()/1000000)</f>
        <v/>
      </c>
      <c r="K124" s="9">
        <f>IF(J124="","",COUNTIF($J$5:$J$404,"&gt;"&amp;J124)+1)</f>
        <v/>
      </c>
    </row>
    <row r="125">
      <c r="A125" s="7" t="n"/>
      <c r="B125" s="7" t="n"/>
      <c r="C125" s="7" t="n"/>
      <c r="D125" s="7" t="n"/>
      <c r="E125" s="5">
        <f>IF(A125="",0,IF(COUNTA(Task!$B$5:$E$5)=0,1,IF(COUNTIF(Task!$B$5:$E$5,B125)&gt;0,1,0)))</f>
        <v/>
      </c>
      <c r="F125" s="9">
        <f>IF(E125=0,0,IF(Task!$A$8="",0,IF(ISNUMBER(SEARCH(" "&amp;Task!$A$8&amp;" "," "&amp;LOWER(D125&amp;" "&amp;C125&amp;" "&amp;LOWER(SUBSTITUTE(SUBSTITUTE(SUBSTITUTE(SUBSTITUTE(A125,"/"," "),"."," "),"\"," "),"_"," ")))&amp;" ")),1,0))+IF(Task!$A$9="",0,IF(ISNUMBER(SEARCH(" "&amp;Task!$A$9&amp;" "," "&amp;LOWER(D125&amp;" "&amp;C125&amp;" "&amp;LOWER(SUBSTITUTE(SUBSTITUTE(SUBSTITUTE(SUBSTITUTE(A125,"/"," "),"."," "),"\"," "),"_"," ")))&amp;" ")),1,0))+IF(Task!$A$10="",0,IF(ISNUMBER(SEARCH(" "&amp;Task!$A$10&amp;" "," "&amp;LOWER(D125&amp;" "&amp;C125&amp;" "&amp;LOWER(SUBSTITUTE(SUBSTITUTE(SUBSTITUTE(SUBSTITUTE(A125,"/"," "),"."," "),"\"," "),"_"," ")))&amp;" ")),1,0))+IF(Task!$A$11="",0,IF(ISNUMBER(SEARCH(" "&amp;Task!$A$11&amp;" "," "&amp;LOWER(D125&amp;" "&amp;C125&amp;" "&amp;LOWER(SUBSTITUTE(SUBSTITUTE(SUBSTITUTE(SUBSTITUTE(A125,"/"," "),"."," "),"\"," "),"_"," ")))&amp;" ")),1,0))+IF(Task!$A$12="",0,IF(ISNUMBER(SEARCH(" "&amp;Task!$A$12&amp;" "," "&amp;LOWER(D125&amp;" "&amp;C125&amp;" "&amp;LOWER(SUBSTITUTE(SUBSTITUTE(SUBSTITUTE(SUBSTITUTE(A125,"/"," "),"."," "),"\"," "),"_"," ")))&amp;" ")),1,0))+IF(Task!$A$13="",0,IF(ISNUMBER(SEARCH(" "&amp;Task!$A$13&amp;" "," "&amp;LOWER(D125&amp;" "&amp;C125&amp;" "&amp;LOWER(SUBSTITUTE(SUBSTITUTE(SUBSTITUTE(SUBSTITUTE(A125,"/"," "),"."," "),"\"," "),"_"," ")))&amp;" ")),1,0))+IF(Task!$A$14="",0,IF(ISNUMBER(SEARCH(" "&amp;Task!$A$14&amp;" "," "&amp;LOWER(D125&amp;" "&amp;C125&amp;" "&amp;LOWER(SUBSTITUTE(SUBSTITUTE(SUBSTITUTE(SUBSTITUTE(A125,"/"," "),"."," "),"\"," "),"_"," ")))&amp;" ")),1,0))+IF(Task!$A$15="",0,IF(ISNUMBER(SEARCH(" "&amp;Task!$A$15&amp;" "," "&amp;LOWER(D125&amp;" "&amp;C125&amp;" "&amp;LOWER(SUBSTITUTE(SUBSTITUTE(SUBSTITUTE(SUBSTITUTE(A125,"/"," "),"."," "),"\"," "),"_"," ")))&amp;" ")),1,0))+IF(Task!$A$16="",0,IF(ISNUMBER(SEARCH(" "&amp;Task!$A$16&amp;" "," "&amp;LOWER(D125&amp;" "&amp;C125&amp;" "&amp;LOWER(SUBSTITUTE(SUBSTITUTE(SUBSTITUTE(SUBSTITUTE(A125,"/"," "),"."," "),"\"," "),"_"," ")))&amp;" ")),1,0))+IF(Task!$A$17="",0,IF(ISNUMBER(SEARCH(" "&amp;Task!$A$17&amp;" "," "&amp;LOWER(D125&amp;" "&amp;C125&amp;" "&amp;LOWER(SUBSTITUTE(SUBSTITUTE(SUBSTITUTE(SUBSTITUTE(A125,"/"," "),"."," "),"\"," "),"_"," ")))&amp;" ")),1,0))+IF(Task!$A$18="",0,IF(ISNUMBER(SEARCH(" "&amp;Task!$A$18&amp;" "," "&amp;LOWER(D125&amp;" "&amp;C125&amp;" "&amp;LOWER(SUBSTITUTE(SUBSTITUTE(SUBSTITUTE(SUBSTITUTE(A125,"/"," "),"."," "),"\"," "),"_"," ")))&amp;" ")),1,0))+IF(Task!$A$19="",0,IF(ISNUMBER(SEARCH(" "&amp;Task!$A$19&amp;" "," "&amp;LOWER(D125&amp;" "&amp;C125&amp;" "&amp;LOWER(SUBSTITUTE(SUBSTITUTE(SUBSTITUTE(SUBSTITUTE(A125,"/"," "),"."," "),"\"," "),"_"," ")))&amp;" ")),1,0)))</f>
        <v/>
      </c>
      <c r="G125" s="9">
        <f>IF(E125=0,0,IF(Task!$A$8="",0,IF(ISNUMBER(SEARCH(" "&amp;Task!$A$8&amp;" "," "&amp;LOWER(C125)&amp;" ")),1,0))+IF(Task!$A$9="",0,IF(ISNUMBER(SEARCH(" "&amp;Task!$A$9&amp;" "," "&amp;LOWER(C125)&amp;" ")),1,0))+IF(Task!$A$10="",0,IF(ISNUMBER(SEARCH(" "&amp;Task!$A$10&amp;" "," "&amp;LOWER(C125)&amp;" ")),1,0))+IF(Task!$A$11="",0,IF(ISNUMBER(SEARCH(" "&amp;Task!$A$11&amp;" "," "&amp;LOWER(C125)&amp;" ")),1,0))+IF(Task!$A$12="",0,IF(ISNUMBER(SEARCH(" "&amp;Task!$A$12&amp;" "," "&amp;LOWER(C125)&amp;" ")),1,0))+IF(Task!$A$13="",0,IF(ISNUMBER(SEARCH(" "&amp;Task!$A$13&amp;" "," "&amp;LOWER(C125)&amp;" ")),1,0))+IF(Task!$A$14="",0,IF(ISNUMBER(SEARCH(" "&amp;Task!$A$14&amp;" "," "&amp;LOWER(C125)&amp;" ")),1,0))+IF(Task!$A$15="",0,IF(ISNUMBER(SEARCH(" "&amp;Task!$A$15&amp;" "," "&amp;LOWER(C125)&amp;" ")),1,0))+IF(Task!$A$16="",0,IF(ISNUMBER(SEARCH(" "&amp;Task!$A$16&amp;" "," "&amp;LOWER(C125)&amp;" ")),1,0))+IF(Task!$A$17="",0,IF(ISNUMBER(SEARCH(" "&amp;Task!$A$17&amp;" "," "&amp;LOWER(C125)&amp;" ")),1,0))+IF(Task!$A$18="",0,IF(ISNUMBER(SEARCH(" "&amp;Task!$A$18&amp;" "," "&amp;LOWER(C125)&amp;" ")),1,0))+IF(Task!$A$19="",0,IF(ISNUMBER(SEARCH(" "&amp;Task!$A$19&amp;" "," "&amp;LOWER(C125)&amp;" ")),1,0)))</f>
        <v/>
      </c>
      <c r="H125" s="9">
        <f>IF(E125=0,0,IF(Task!$A$8="",0,IF(ISNUMBER(SEARCH(" "&amp;Task!$A$8&amp;" "," "&amp;LOWER(SUBSTITUTE(SUBSTITUTE(SUBSTITUTE(SUBSTITUTE(A125,"/"," "),"."," "),"\"," "),"_"," "))&amp;" ")),1,0))+IF(Task!$A$9="",0,IF(ISNUMBER(SEARCH(" "&amp;Task!$A$9&amp;" "," "&amp;LOWER(SUBSTITUTE(SUBSTITUTE(SUBSTITUTE(SUBSTITUTE(A125,"/"," "),"."," "),"\"," "),"_"," "))&amp;" ")),1,0))+IF(Task!$A$10="",0,IF(ISNUMBER(SEARCH(" "&amp;Task!$A$10&amp;" "," "&amp;LOWER(SUBSTITUTE(SUBSTITUTE(SUBSTITUTE(SUBSTITUTE(A125,"/"," "),"."," "),"\"," "),"_"," "))&amp;" ")),1,0))+IF(Task!$A$11="",0,IF(ISNUMBER(SEARCH(" "&amp;Task!$A$11&amp;" "," "&amp;LOWER(SUBSTITUTE(SUBSTITUTE(SUBSTITUTE(SUBSTITUTE(A125,"/"," "),"."," "),"\"," "),"_"," "))&amp;" ")),1,0))+IF(Task!$A$12="",0,IF(ISNUMBER(SEARCH(" "&amp;Task!$A$12&amp;" "," "&amp;LOWER(SUBSTITUTE(SUBSTITUTE(SUBSTITUTE(SUBSTITUTE(A125,"/"," "),"."," "),"\"," "),"_"," "))&amp;" ")),1,0))+IF(Task!$A$13="",0,IF(ISNUMBER(SEARCH(" "&amp;Task!$A$13&amp;" "," "&amp;LOWER(SUBSTITUTE(SUBSTITUTE(SUBSTITUTE(SUBSTITUTE(A125,"/"," "),"."," "),"\"," "),"_"," "))&amp;" ")),1,0))+IF(Task!$A$14="",0,IF(ISNUMBER(SEARCH(" "&amp;Task!$A$14&amp;" "," "&amp;LOWER(SUBSTITUTE(SUBSTITUTE(SUBSTITUTE(SUBSTITUTE(A125,"/"," "),"."," "),"\"," "),"_"," "))&amp;" ")),1,0))+IF(Task!$A$15="",0,IF(ISNUMBER(SEARCH(" "&amp;Task!$A$15&amp;" "," "&amp;LOWER(SUBSTITUTE(SUBSTITUTE(SUBSTITUTE(SUBSTITUTE(A125,"/"," "),"."," "),"\"," "),"_"," "))&amp;" ")),1,0))+IF(Task!$A$16="",0,IF(ISNUMBER(SEARCH(" "&amp;Task!$A$16&amp;" "," "&amp;LOWER(SUBSTITUTE(SUBSTITUTE(SUBSTITUTE(SUBSTITUTE(A125,"/"," "),"."," "),"\"," "),"_"," "))&amp;" ")),1,0))+IF(Task!$A$17="",0,IF(ISNUMBER(SEARCH(" "&amp;Task!$A$17&amp;" "," "&amp;LOWER(SUBSTITUTE(SUBSTITUTE(SUBSTITUTE(SUBSTITUTE(A125,"/"," "),"."," "),"\"," "),"_"," "))&amp;" ")),1,0))+IF(Task!$A$18="",0,IF(ISNUMBER(SEARCH(" "&amp;Task!$A$18&amp;" "," "&amp;LOWER(SUBSTITUTE(SUBSTITUTE(SUBSTITUTE(SUBSTITUTE(A125,"/"," "),"."," "),"\"," "),"_"," "))&amp;" ")),1,0))+IF(Task!$A$19="",0,IF(ISNUMBER(SEARCH(" "&amp;Task!$A$19&amp;" "," "&amp;LOWER(SUBSTITUTE(SUBSTITUTE(SUBSTITUTE(SUBSTITUTE(A125,"/"," "),"."," "),"\"," "),"_"," "))&amp;" ")),1,0)))</f>
        <v/>
      </c>
      <c r="I125" s="10">
        <f>IF(OR(E125=0,F125=0,Task!$B$21=0),"",F125/Task!$B$21+0.5*G125+0.25*H125)</f>
        <v/>
      </c>
      <c r="J125" s="5">
        <f>IF(I125="","",I125-ROW()/1000000)</f>
        <v/>
      </c>
      <c r="K125" s="9">
        <f>IF(J125="","",COUNTIF($J$5:$J$404,"&gt;"&amp;J125)+1)</f>
        <v/>
      </c>
    </row>
    <row r="126">
      <c r="A126" s="7" t="n"/>
      <c r="B126" s="7" t="n"/>
      <c r="C126" s="7" t="n"/>
      <c r="D126" s="7" t="n"/>
      <c r="E126" s="5">
        <f>IF(A126="",0,IF(COUNTA(Task!$B$5:$E$5)=0,1,IF(COUNTIF(Task!$B$5:$E$5,B126)&gt;0,1,0)))</f>
        <v/>
      </c>
      <c r="F126" s="9">
        <f>IF(E126=0,0,IF(Task!$A$8="",0,IF(ISNUMBER(SEARCH(" "&amp;Task!$A$8&amp;" "," "&amp;LOWER(D126&amp;" "&amp;C126&amp;" "&amp;LOWER(SUBSTITUTE(SUBSTITUTE(SUBSTITUTE(SUBSTITUTE(A126,"/"," "),"."," "),"\"," "),"_"," ")))&amp;" ")),1,0))+IF(Task!$A$9="",0,IF(ISNUMBER(SEARCH(" "&amp;Task!$A$9&amp;" "," "&amp;LOWER(D126&amp;" "&amp;C126&amp;" "&amp;LOWER(SUBSTITUTE(SUBSTITUTE(SUBSTITUTE(SUBSTITUTE(A126,"/"," "),"."," "),"\"," "),"_"," ")))&amp;" ")),1,0))+IF(Task!$A$10="",0,IF(ISNUMBER(SEARCH(" "&amp;Task!$A$10&amp;" "," "&amp;LOWER(D126&amp;" "&amp;C126&amp;" "&amp;LOWER(SUBSTITUTE(SUBSTITUTE(SUBSTITUTE(SUBSTITUTE(A126,"/"," "),"."," "),"\"," "),"_"," ")))&amp;" ")),1,0))+IF(Task!$A$11="",0,IF(ISNUMBER(SEARCH(" "&amp;Task!$A$11&amp;" "," "&amp;LOWER(D126&amp;" "&amp;C126&amp;" "&amp;LOWER(SUBSTITUTE(SUBSTITUTE(SUBSTITUTE(SUBSTITUTE(A126,"/"," "),"."," "),"\"," "),"_"," ")))&amp;" ")),1,0))+IF(Task!$A$12="",0,IF(ISNUMBER(SEARCH(" "&amp;Task!$A$12&amp;" "," "&amp;LOWER(D126&amp;" "&amp;C126&amp;" "&amp;LOWER(SUBSTITUTE(SUBSTITUTE(SUBSTITUTE(SUBSTITUTE(A126,"/"," "),"."," "),"\"," "),"_"," ")))&amp;" ")),1,0))+IF(Task!$A$13="",0,IF(ISNUMBER(SEARCH(" "&amp;Task!$A$13&amp;" "," "&amp;LOWER(D126&amp;" "&amp;C126&amp;" "&amp;LOWER(SUBSTITUTE(SUBSTITUTE(SUBSTITUTE(SUBSTITUTE(A126,"/"," "),"."," "),"\"," "),"_"," ")))&amp;" ")),1,0))+IF(Task!$A$14="",0,IF(ISNUMBER(SEARCH(" "&amp;Task!$A$14&amp;" "," "&amp;LOWER(D126&amp;" "&amp;C126&amp;" "&amp;LOWER(SUBSTITUTE(SUBSTITUTE(SUBSTITUTE(SUBSTITUTE(A126,"/"," "),"."," "),"\"," "),"_"," ")))&amp;" ")),1,0))+IF(Task!$A$15="",0,IF(ISNUMBER(SEARCH(" "&amp;Task!$A$15&amp;" "," "&amp;LOWER(D126&amp;" "&amp;C126&amp;" "&amp;LOWER(SUBSTITUTE(SUBSTITUTE(SUBSTITUTE(SUBSTITUTE(A126,"/"," "),"."," "),"\"," "),"_"," ")))&amp;" ")),1,0))+IF(Task!$A$16="",0,IF(ISNUMBER(SEARCH(" "&amp;Task!$A$16&amp;" "," "&amp;LOWER(D126&amp;" "&amp;C126&amp;" "&amp;LOWER(SUBSTITUTE(SUBSTITUTE(SUBSTITUTE(SUBSTITUTE(A126,"/"," "),"."," "),"\"," "),"_"," ")))&amp;" ")),1,0))+IF(Task!$A$17="",0,IF(ISNUMBER(SEARCH(" "&amp;Task!$A$17&amp;" "," "&amp;LOWER(D126&amp;" "&amp;C126&amp;" "&amp;LOWER(SUBSTITUTE(SUBSTITUTE(SUBSTITUTE(SUBSTITUTE(A126,"/"," "),"."," "),"\"," "),"_"," ")))&amp;" ")),1,0))+IF(Task!$A$18="",0,IF(ISNUMBER(SEARCH(" "&amp;Task!$A$18&amp;" "," "&amp;LOWER(D126&amp;" "&amp;C126&amp;" "&amp;LOWER(SUBSTITUTE(SUBSTITUTE(SUBSTITUTE(SUBSTITUTE(A126,"/"," "),"."," "),"\"," "),"_"," ")))&amp;" ")),1,0))+IF(Task!$A$19="",0,IF(ISNUMBER(SEARCH(" "&amp;Task!$A$19&amp;" "," "&amp;LOWER(D126&amp;" "&amp;C126&amp;" "&amp;LOWER(SUBSTITUTE(SUBSTITUTE(SUBSTITUTE(SUBSTITUTE(A126,"/"," "),"."," "),"\"," "),"_"," ")))&amp;" ")),1,0)))</f>
        <v/>
      </c>
      <c r="G126" s="9">
        <f>IF(E126=0,0,IF(Task!$A$8="",0,IF(ISNUMBER(SEARCH(" "&amp;Task!$A$8&amp;" "," "&amp;LOWER(C126)&amp;" ")),1,0))+IF(Task!$A$9="",0,IF(ISNUMBER(SEARCH(" "&amp;Task!$A$9&amp;" "," "&amp;LOWER(C126)&amp;" ")),1,0))+IF(Task!$A$10="",0,IF(ISNUMBER(SEARCH(" "&amp;Task!$A$10&amp;" "," "&amp;LOWER(C126)&amp;" ")),1,0))+IF(Task!$A$11="",0,IF(ISNUMBER(SEARCH(" "&amp;Task!$A$11&amp;" "," "&amp;LOWER(C126)&amp;" ")),1,0))+IF(Task!$A$12="",0,IF(ISNUMBER(SEARCH(" "&amp;Task!$A$12&amp;" "," "&amp;LOWER(C126)&amp;" ")),1,0))+IF(Task!$A$13="",0,IF(ISNUMBER(SEARCH(" "&amp;Task!$A$13&amp;" "," "&amp;LOWER(C126)&amp;" ")),1,0))+IF(Task!$A$14="",0,IF(ISNUMBER(SEARCH(" "&amp;Task!$A$14&amp;" "," "&amp;LOWER(C126)&amp;" ")),1,0))+IF(Task!$A$15="",0,IF(ISNUMBER(SEARCH(" "&amp;Task!$A$15&amp;" "," "&amp;LOWER(C126)&amp;" ")),1,0))+IF(Task!$A$16="",0,IF(ISNUMBER(SEARCH(" "&amp;Task!$A$16&amp;" "," "&amp;LOWER(C126)&amp;" ")),1,0))+IF(Task!$A$17="",0,IF(ISNUMBER(SEARCH(" "&amp;Task!$A$17&amp;" "," "&amp;LOWER(C126)&amp;" ")),1,0))+IF(Task!$A$18="",0,IF(ISNUMBER(SEARCH(" "&amp;Task!$A$18&amp;" "," "&amp;LOWER(C126)&amp;" ")),1,0))+IF(Task!$A$19="",0,IF(ISNUMBER(SEARCH(" "&amp;Task!$A$19&amp;" "," "&amp;LOWER(C126)&amp;" ")),1,0)))</f>
        <v/>
      </c>
      <c r="H126" s="9">
        <f>IF(E126=0,0,IF(Task!$A$8="",0,IF(ISNUMBER(SEARCH(" "&amp;Task!$A$8&amp;" "," "&amp;LOWER(SUBSTITUTE(SUBSTITUTE(SUBSTITUTE(SUBSTITUTE(A126,"/"," "),"."," "),"\"," "),"_"," "))&amp;" ")),1,0))+IF(Task!$A$9="",0,IF(ISNUMBER(SEARCH(" "&amp;Task!$A$9&amp;" "," "&amp;LOWER(SUBSTITUTE(SUBSTITUTE(SUBSTITUTE(SUBSTITUTE(A126,"/"," "),"."," "),"\"," "),"_"," "))&amp;" ")),1,0))+IF(Task!$A$10="",0,IF(ISNUMBER(SEARCH(" "&amp;Task!$A$10&amp;" "," "&amp;LOWER(SUBSTITUTE(SUBSTITUTE(SUBSTITUTE(SUBSTITUTE(A126,"/"," "),"."," "),"\"," "),"_"," "))&amp;" ")),1,0))+IF(Task!$A$11="",0,IF(ISNUMBER(SEARCH(" "&amp;Task!$A$11&amp;" "," "&amp;LOWER(SUBSTITUTE(SUBSTITUTE(SUBSTITUTE(SUBSTITUTE(A126,"/"," "),"."," "),"\"," "),"_"," "))&amp;" ")),1,0))+IF(Task!$A$12="",0,IF(ISNUMBER(SEARCH(" "&amp;Task!$A$12&amp;" "," "&amp;LOWER(SUBSTITUTE(SUBSTITUTE(SUBSTITUTE(SUBSTITUTE(A126,"/"," "),"."," "),"\"," "),"_"," "))&amp;" ")),1,0))+IF(Task!$A$13="",0,IF(ISNUMBER(SEARCH(" "&amp;Task!$A$13&amp;" "," "&amp;LOWER(SUBSTITUTE(SUBSTITUTE(SUBSTITUTE(SUBSTITUTE(A126,"/"," "),"."," "),"\"," "),"_"," "))&amp;" ")),1,0))+IF(Task!$A$14="",0,IF(ISNUMBER(SEARCH(" "&amp;Task!$A$14&amp;" "," "&amp;LOWER(SUBSTITUTE(SUBSTITUTE(SUBSTITUTE(SUBSTITUTE(A126,"/"," "),"."," "),"\"," "),"_"," "))&amp;" ")),1,0))+IF(Task!$A$15="",0,IF(ISNUMBER(SEARCH(" "&amp;Task!$A$15&amp;" "," "&amp;LOWER(SUBSTITUTE(SUBSTITUTE(SUBSTITUTE(SUBSTITUTE(A126,"/"," "),"."," "),"\"," "),"_"," "))&amp;" ")),1,0))+IF(Task!$A$16="",0,IF(ISNUMBER(SEARCH(" "&amp;Task!$A$16&amp;" "," "&amp;LOWER(SUBSTITUTE(SUBSTITUTE(SUBSTITUTE(SUBSTITUTE(A126,"/"," "),"."," "),"\"," "),"_"," "))&amp;" ")),1,0))+IF(Task!$A$17="",0,IF(ISNUMBER(SEARCH(" "&amp;Task!$A$17&amp;" "," "&amp;LOWER(SUBSTITUTE(SUBSTITUTE(SUBSTITUTE(SUBSTITUTE(A126,"/"," "),"."," "),"\"," "),"_"," "))&amp;" ")),1,0))+IF(Task!$A$18="",0,IF(ISNUMBER(SEARCH(" "&amp;Task!$A$18&amp;" "," "&amp;LOWER(SUBSTITUTE(SUBSTITUTE(SUBSTITUTE(SUBSTITUTE(A126,"/"," "),"."," "),"\"," "),"_"," "))&amp;" ")),1,0))+IF(Task!$A$19="",0,IF(ISNUMBER(SEARCH(" "&amp;Task!$A$19&amp;" "," "&amp;LOWER(SUBSTITUTE(SUBSTITUTE(SUBSTITUTE(SUBSTITUTE(A126,"/"," "),"."," "),"\"," "),"_"," "))&amp;" ")),1,0)))</f>
        <v/>
      </c>
      <c r="I126" s="10">
        <f>IF(OR(E126=0,F126=0,Task!$B$21=0),"",F126/Task!$B$21+0.5*G126+0.25*H126)</f>
        <v/>
      </c>
      <c r="J126" s="5">
        <f>IF(I126="","",I126-ROW()/1000000)</f>
        <v/>
      </c>
      <c r="K126" s="9">
        <f>IF(J126="","",COUNTIF($J$5:$J$404,"&gt;"&amp;J126)+1)</f>
        <v/>
      </c>
    </row>
    <row r="127">
      <c r="A127" s="7" t="n"/>
      <c r="B127" s="7" t="n"/>
      <c r="C127" s="7" t="n"/>
      <c r="D127" s="7" t="n"/>
      <c r="E127" s="5">
        <f>IF(A127="",0,IF(COUNTA(Task!$B$5:$E$5)=0,1,IF(COUNTIF(Task!$B$5:$E$5,B127)&gt;0,1,0)))</f>
        <v/>
      </c>
      <c r="F127" s="9">
        <f>IF(E127=0,0,IF(Task!$A$8="",0,IF(ISNUMBER(SEARCH(" "&amp;Task!$A$8&amp;" "," "&amp;LOWER(D127&amp;" "&amp;C127&amp;" "&amp;LOWER(SUBSTITUTE(SUBSTITUTE(SUBSTITUTE(SUBSTITUTE(A127,"/"," "),"."," "),"\"," "),"_"," ")))&amp;" ")),1,0))+IF(Task!$A$9="",0,IF(ISNUMBER(SEARCH(" "&amp;Task!$A$9&amp;" "," "&amp;LOWER(D127&amp;" "&amp;C127&amp;" "&amp;LOWER(SUBSTITUTE(SUBSTITUTE(SUBSTITUTE(SUBSTITUTE(A127,"/"," "),"."," "),"\"," "),"_"," ")))&amp;" ")),1,0))+IF(Task!$A$10="",0,IF(ISNUMBER(SEARCH(" "&amp;Task!$A$10&amp;" "," "&amp;LOWER(D127&amp;" "&amp;C127&amp;" "&amp;LOWER(SUBSTITUTE(SUBSTITUTE(SUBSTITUTE(SUBSTITUTE(A127,"/"," "),"."," "),"\"," "),"_"," ")))&amp;" ")),1,0))+IF(Task!$A$11="",0,IF(ISNUMBER(SEARCH(" "&amp;Task!$A$11&amp;" "," "&amp;LOWER(D127&amp;" "&amp;C127&amp;" "&amp;LOWER(SUBSTITUTE(SUBSTITUTE(SUBSTITUTE(SUBSTITUTE(A127,"/"," "),"."," "),"\"," "),"_"," ")))&amp;" ")),1,0))+IF(Task!$A$12="",0,IF(ISNUMBER(SEARCH(" "&amp;Task!$A$12&amp;" "," "&amp;LOWER(D127&amp;" "&amp;C127&amp;" "&amp;LOWER(SUBSTITUTE(SUBSTITUTE(SUBSTITUTE(SUBSTITUTE(A127,"/"," "),"."," "),"\"," "),"_"," ")))&amp;" ")),1,0))+IF(Task!$A$13="",0,IF(ISNUMBER(SEARCH(" "&amp;Task!$A$13&amp;" "," "&amp;LOWER(D127&amp;" "&amp;C127&amp;" "&amp;LOWER(SUBSTITUTE(SUBSTITUTE(SUBSTITUTE(SUBSTITUTE(A127,"/"," "),"."," "),"\"," "),"_"," ")))&amp;" ")),1,0))+IF(Task!$A$14="",0,IF(ISNUMBER(SEARCH(" "&amp;Task!$A$14&amp;" "," "&amp;LOWER(D127&amp;" "&amp;C127&amp;" "&amp;LOWER(SUBSTITUTE(SUBSTITUTE(SUBSTITUTE(SUBSTITUTE(A127,"/"," "),"."," "),"\"," "),"_"," ")))&amp;" ")),1,0))+IF(Task!$A$15="",0,IF(ISNUMBER(SEARCH(" "&amp;Task!$A$15&amp;" "," "&amp;LOWER(D127&amp;" "&amp;C127&amp;" "&amp;LOWER(SUBSTITUTE(SUBSTITUTE(SUBSTITUTE(SUBSTITUTE(A127,"/"," "),"."," "),"\"," "),"_"," ")))&amp;" ")),1,0))+IF(Task!$A$16="",0,IF(ISNUMBER(SEARCH(" "&amp;Task!$A$16&amp;" "," "&amp;LOWER(D127&amp;" "&amp;C127&amp;" "&amp;LOWER(SUBSTITUTE(SUBSTITUTE(SUBSTITUTE(SUBSTITUTE(A127,"/"," "),"."," "),"\"," "),"_"," ")))&amp;" ")),1,0))+IF(Task!$A$17="",0,IF(ISNUMBER(SEARCH(" "&amp;Task!$A$17&amp;" "," "&amp;LOWER(D127&amp;" "&amp;C127&amp;" "&amp;LOWER(SUBSTITUTE(SUBSTITUTE(SUBSTITUTE(SUBSTITUTE(A127,"/"," "),"."," "),"\"," "),"_"," ")))&amp;" ")),1,0))+IF(Task!$A$18="",0,IF(ISNUMBER(SEARCH(" "&amp;Task!$A$18&amp;" "," "&amp;LOWER(D127&amp;" "&amp;C127&amp;" "&amp;LOWER(SUBSTITUTE(SUBSTITUTE(SUBSTITUTE(SUBSTITUTE(A127,"/"," "),"."," "),"\"," "),"_"," ")))&amp;" ")),1,0))+IF(Task!$A$19="",0,IF(ISNUMBER(SEARCH(" "&amp;Task!$A$19&amp;" "," "&amp;LOWER(D127&amp;" "&amp;C127&amp;" "&amp;LOWER(SUBSTITUTE(SUBSTITUTE(SUBSTITUTE(SUBSTITUTE(A127,"/"," "),"."," "),"\"," "),"_"," ")))&amp;" ")),1,0)))</f>
        <v/>
      </c>
      <c r="G127" s="9">
        <f>IF(E127=0,0,IF(Task!$A$8="",0,IF(ISNUMBER(SEARCH(" "&amp;Task!$A$8&amp;" "," "&amp;LOWER(C127)&amp;" ")),1,0))+IF(Task!$A$9="",0,IF(ISNUMBER(SEARCH(" "&amp;Task!$A$9&amp;" "," "&amp;LOWER(C127)&amp;" ")),1,0))+IF(Task!$A$10="",0,IF(ISNUMBER(SEARCH(" "&amp;Task!$A$10&amp;" "," "&amp;LOWER(C127)&amp;" ")),1,0))+IF(Task!$A$11="",0,IF(ISNUMBER(SEARCH(" "&amp;Task!$A$11&amp;" "," "&amp;LOWER(C127)&amp;" ")),1,0))+IF(Task!$A$12="",0,IF(ISNUMBER(SEARCH(" "&amp;Task!$A$12&amp;" "," "&amp;LOWER(C127)&amp;" ")),1,0))+IF(Task!$A$13="",0,IF(ISNUMBER(SEARCH(" "&amp;Task!$A$13&amp;" "," "&amp;LOWER(C127)&amp;" ")),1,0))+IF(Task!$A$14="",0,IF(ISNUMBER(SEARCH(" "&amp;Task!$A$14&amp;" "," "&amp;LOWER(C127)&amp;" ")),1,0))+IF(Task!$A$15="",0,IF(ISNUMBER(SEARCH(" "&amp;Task!$A$15&amp;" "," "&amp;LOWER(C127)&amp;" ")),1,0))+IF(Task!$A$16="",0,IF(ISNUMBER(SEARCH(" "&amp;Task!$A$16&amp;" "," "&amp;LOWER(C127)&amp;" ")),1,0))+IF(Task!$A$17="",0,IF(ISNUMBER(SEARCH(" "&amp;Task!$A$17&amp;" "," "&amp;LOWER(C127)&amp;" ")),1,0))+IF(Task!$A$18="",0,IF(ISNUMBER(SEARCH(" "&amp;Task!$A$18&amp;" "," "&amp;LOWER(C127)&amp;" ")),1,0))+IF(Task!$A$19="",0,IF(ISNUMBER(SEARCH(" "&amp;Task!$A$19&amp;" "," "&amp;LOWER(C127)&amp;" ")),1,0)))</f>
        <v/>
      </c>
      <c r="H127" s="9">
        <f>IF(E127=0,0,IF(Task!$A$8="",0,IF(ISNUMBER(SEARCH(" "&amp;Task!$A$8&amp;" "," "&amp;LOWER(SUBSTITUTE(SUBSTITUTE(SUBSTITUTE(SUBSTITUTE(A127,"/"," "),"."," "),"\"," "),"_"," "))&amp;" ")),1,0))+IF(Task!$A$9="",0,IF(ISNUMBER(SEARCH(" "&amp;Task!$A$9&amp;" "," "&amp;LOWER(SUBSTITUTE(SUBSTITUTE(SUBSTITUTE(SUBSTITUTE(A127,"/"," "),"."," "),"\"," "),"_"," "))&amp;" ")),1,0))+IF(Task!$A$10="",0,IF(ISNUMBER(SEARCH(" "&amp;Task!$A$10&amp;" "," "&amp;LOWER(SUBSTITUTE(SUBSTITUTE(SUBSTITUTE(SUBSTITUTE(A127,"/"," "),"."," "),"\"," "),"_"," "))&amp;" ")),1,0))+IF(Task!$A$11="",0,IF(ISNUMBER(SEARCH(" "&amp;Task!$A$11&amp;" "," "&amp;LOWER(SUBSTITUTE(SUBSTITUTE(SUBSTITUTE(SUBSTITUTE(A127,"/"," "),"."," "),"\"," "),"_"," "))&amp;" ")),1,0))+IF(Task!$A$12="",0,IF(ISNUMBER(SEARCH(" "&amp;Task!$A$12&amp;" "," "&amp;LOWER(SUBSTITUTE(SUBSTITUTE(SUBSTITUTE(SUBSTITUTE(A127,"/"," "),"."," "),"\"," "),"_"," "))&amp;" ")),1,0))+IF(Task!$A$13="",0,IF(ISNUMBER(SEARCH(" "&amp;Task!$A$13&amp;" "," "&amp;LOWER(SUBSTITUTE(SUBSTITUTE(SUBSTITUTE(SUBSTITUTE(A127,"/"," "),"."," "),"\"," "),"_"," "))&amp;" ")),1,0))+IF(Task!$A$14="",0,IF(ISNUMBER(SEARCH(" "&amp;Task!$A$14&amp;" "," "&amp;LOWER(SUBSTITUTE(SUBSTITUTE(SUBSTITUTE(SUBSTITUTE(A127,"/"," "),"."," "),"\"," "),"_"," "))&amp;" ")),1,0))+IF(Task!$A$15="",0,IF(ISNUMBER(SEARCH(" "&amp;Task!$A$15&amp;" "," "&amp;LOWER(SUBSTITUTE(SUBSTITUTE(SUBSTITUTE(SUBSTITUTE(A127,"/"," "),"."," "),"\"," "),"_"," "))&amp;" ")),1,0))+IF(Task!$A$16="",0,IF(ISNUMBER(SEARCH(" "&amp;Task!$A$16&amp;" "," "&amp;LOWER(SUBSTITUTE(SUBSTITUTE(SUBSTITUTE(SUBSTITUTE(A127,"/"," "),"."," "),"\"," "),"_"," "))&amp;" ")),1,0))+IF(Task!$A$17="",0,IF(ISNUMBER(SEARCH(" "&amp;Task!$A$17&amp;" "," "&amp;LOWER(SUBSTITUTE(SUBSTITUTE(SUBSTITUTE(SUBSTITUTE(A127,"/"," "),"."," "),"\"," "),"_"," "))&amp;" ")),1,0))+IF(Task!$A$18="",0,IF(ISNUMBER(SEARCH(" "&amp;Task!$A$18&amp;" "," "&amp;LOWER(SUBSTITUTE(SUBSTITUTE(SUBSTITUTE(SUBSTITUTE(A127,"/"," "),"."," "),"\"," "),"_"," "))&amp;" ")),1,0))+IF(Task!$A$19="",0,IF(ISNUMBER(SEARCH(" "&amp;Task!$A$19&amp;" "," "&amp;LOWER(SUBSTITUTE(SUBSTITUTE(SUBSTITUTE(SUBSTITUTE(A127,"/"," "),"."," "),"\"," "),"_"," "))&amp;" ")),1,0)))</f>
        <v/>
      </c>
      <c r="I127" s="10">
        <f>IF(OR(E127=0,F127=0,Task!$B$21=0),"",F127/Task!$B$21+0.5*G127+0.25*H127)</f>
        <v/>
      </c>
      <c r="J127" s="5">
        <f>IF(I127="","",I127-ROW()/1000000)</f>
        <v/>
      </c>
      <c r="K127" s="9">
        <f>IF(J127="","",COUNTIF($J$5:$J$404,"&gt;"&amp;J127)+1)</f>
        <v/>
      </c>
    </row>
    <row r="128">
      <c r="A128" s="7" t="n"/>
      <c r="B128" s="7" t="n"/>
      <c r="C128" s="7" t="n"/>
      <c r="D128" s="7" t="n"/>
      <c r="E128" s="5">
        <f>IF(A128="",0,IF(COUNTA(Task!$B$5:$E$5)=0,1,IF(COUNTIF(Task!$B$5:$E$5,B128)&gt;0,1,0)))</f>
        <v/>
      </c>
      <c r="F128" s="9">
        <f>IF(E128=0,0,IF(Task!$A$8="",0,IF(ISNUMBER(SEARCH(" "&amp;Task!$A$8&amp;" "," "&amp;LOWER(D128&amp;" "&amp;C128&amp;" "&amp;LOWER(SUBSTITUTE(SUBSTITUTE(SUBSTITUTE(SUBSTITUTE(A128,"/"," "),"."," "),"\"," "),"_"," ")))&amp;" ")),1,0))+IF(Task!$A$9="",0,IF(ISNUMBER(SEARCH(" "&amp;Task!$A$9&amp;" "," "&amp;LOWER(D128&amp;" "&amp;C128&amp;" "&amp;LOWER(SUBSTITUTE(SUBSTITUTE(SUBSTITUTE(SUBSTITUTE(A128,"/"," "),"."," "),"\"," "),"_"," ")))&amp;" ")),1,0))+IF(Task!$A$10="",0,IF(ISNUMBER(SEARCH(" "&amp;Task!$A$10&amp;" "," "&amp;LOWER(D128&amp;" "&amp;C128&amp;" "&amp;LOWER(SUBSTITUTE(SUBSTITUTE(SUBSTITUTE(SUBSTITUTE(A128,"/"," "),"."," "),"\"," "),"_"," ")))&amp;" ")),1,0))+IF(Task!$A$11="",0,IF(ISNUMBER(SEARCH(" "&amp;Task!$A$11&amp;" "," "&amp;LOWER(D128&amp;" "&amp;C128&amp;" "&amp;LOWER(SUBSTITUTE(SUBSTITUTE(SUBSTITUTE(SUBSTITUTE(A128,"/"," "),"."," "),"\"," "),"_"," ")))&amp;" ")),1,0))+IF(Task!$A$12="",0,IF(ISNUMBER(SEARCH(" "&amp;Task!$A$12&amp;" "," "&amp;LOWER(D128&amp;" "&amp;C128&amp;" "&amp;LOWER(SUBSTITUTE(SUBSTITUTE(SUBSTITUTE(SUBSTITUTE(A128,"/"," "),"."," "),"\"," "),"_"," ")))&amp;" ")),1,0))+IF(Task!$A$13="",0,IF(ISNUMBER(SEARCH(" "&amp;Task!$A$13&amp;" "," "&amp;LOWER(D128&amp;" "&amp;C128&amp;" "&amp;LOWER(SUBSTITUTE(SUBSTITUTE(SUBSTITUTE(SUBSTITUTE(A128,"/"," "),"."," "),"\"," "),"_"," ")))&amp;" ")),1,0))+IF(Task!$A$14="",0,IF(ISNUMBER(SEARCH(" "&amp;Task!$A$14&amp;" "," "&amp;LOWER(D128&amp;" "&amp;C128&amp;" "&amp;LOWER(SUBSTITUTE(SUBSTITUTE(SUBSTITUTE(SUBSTITUTE(A128,"/"," "),"."," "),"\"," "),"_"," ")))&amp;" ")),1,0))+IF(Task!$A$15="",0,IF(ISNUMBER(SEARCH(" "&amp;Task!$A$15&amp;" "," "&amp;LOWER(D128&amp;" "&amp;C128&amp;" "&amp;LOWER(SUBSTITUTE(SUBSTITUTE(SUBSTITUTE(SUBSTITUTE(A128,"/"," "),"."," "),"\"," "),"_"," ")))&amp;" ")),1,0))+IF(Task!$A$16="",0,IF(ISNUMBER(SEARCH(" "&amp;Task!$A$16&amp;" "," "&amp;LOWER(D128&amp;" "&amp;C128&amp;" "&amp;LOWER(SUBSTITUTE(SUBSTITUTE(SUBSTITUTE(SUBSTITUTE(A128,"/"," "),"."," "),"\"," "),"_"," ")))&amp;" ")),1,0))+IF(Task!$A$17="",0,IF(ISNUMBER(SEARCH(" "&amp;Task!$A$17&amp;" "," "&amp;LOWER(D128&amp;" "&amp;C128&amp;" "&amp;LOWER(SUBSTITUTE(SUBSTITUTE(SUBSTITUTE(SUBSTITUTE(A128,"/"," "),"."," "),"\"," "),"_"," ")))&amp;" ")),1,0))+IF(Task!$A$18="",0,IF(ISNUMBER(SEARCH(" "&amp;Task!$A$18&amp;" "," "&amp;LOWER(D128&amp;" "&amp;C128&amp;" "&amp;LOWER(SUBSTITUTE(SUBSTITUTE(SUBSTITUTE(SUBSTITUTE(A128,"/"," "),"."," "),"\"," "),"_"," ")))&amp;" ")),1,0))+IF(Task!$A$19="",0,IF(ISNUMBER(SEARCH(" "&amp;Task!$A$19&amp;" "," "&amp;LOWER(D128&amp;" "&amp;C128&amp;" "&amp;LOWER(SUBSTITUTE(SUBSTITUTE(SUBSTITUTE(SUBSTITUTE(A128,"/"," "),"."," "),"\"," "),"_"," ")))&amp;" ")),1,0)))</f>
        <v/>
      </c>
      <c r="G128" s="9">
        <f>IF(E128=0,0,IF(Task!$A$8="",0,IF(ISNUMBER(SEARCH(" "&amp;Task!$A$8&amp;" "," "&amp;LOWER(C128)&amp;" ")),1,0))+IF(Task!$A$9="",0,IF(ISNUMBER(SEARCH(" "&amp;Task!$A$9&amp;" "," "&amp;LOWER(C128)&amp;" ")),1,0))+IF(Task!$A$10="",0,IF(ISNUMBER(SEARCH(" "&amp;Task!$A$10&amp;" "," "&amp;LOWER(C128)&amp;" ")),1,0))+IF(Task!$A$11="",0,IF(ISNUMBER(SEARCH(" "&amp;Task!$A$11&amp;" "," "&amp;LOWER(C128)&amp;" ")),1,0))+IF(Task!$A$12="",0,IF(ISNUMBER(SEARCH(" "&amp;Task!$A$12&amp;" "," "&amp;LOWER(C128)&amp;" ")),1,0))+IF(Task!$A$13="",0,IF(ISNUMBER(SEARCH(" "&amp;Task!$A$13&amp;" "," "&amp;LOWER(C128)&amp;" ")),1,0))+IF(Task!$A$14="",0,IF(ISNUMBER(SEARCH(" "&amp;Task!$A$14&amp;" "," "&amp;LOWER(C128)&amp;" ")),1,0))+IF(Task!$A$15="",0,IF(ISNUMBER(SEARCH(" "&amp;Task!$A$15&amp;" "," "&amp;LOWER(C128)&amp;" ")),1,0))+IF(Task!$A$16="",0,IF(ISNUMBER(SEARCH(" "&amp;Task!$A$16&amp;" "," "&amp;LOWER(C128)&amp;" ")),1,0))+IF(Task!$A$17="",0,IF(ISNUMBER(SEARCH(" "&amp;Task!$A$17&amp;" "," "&amp;LOWER(C128)&amp;" ")),1,0))+IF(Task!$A$18="",0,IF(ISNUMBER(SEARCH(" "&amp;Task!$A$18&amp;" "," "&amp;LOWER(C128)&amp;" ")),1,0))+IF(Task!$A$19="",0,IF(ISNUMBER(SEARCH(" "&amp;Task!$A$19&amp;" "," "&amp;LOWER(C128)&amp;" ")),1,0)))</f>
        <v/>
      </c>
      <c r="H128" s="9">
        <f>IF(E128=0,0,IF(Task!$A$8="",0,IF(ISNUMBER(SEARCH(" "&amp;Task!$A$8&amp;" "," "&amp;LOWER(SUBSTITUTE(SUBSTITUTE(SUBSTITUTE(SUBSTITUTE(A128,"/"," "),"."," "),"\"," "),"_"," "))&amp;" ")),1,0))+IF(Task!$A$9="",0,IF(ISNUMBER(SEARCH(" "&amp;Task!$A$9&amp;" "," "&amp;LOWER(SUBSTITUTE(SUBSTITUTE(SUBSTITUTE(SUBSTITUTE(A128,"/"," "),"."," "),"\"," "),"_"," "))&amp;" ")),1,0))+IF(Task!$A$10="",0,IF(ISNUMBER(SEARCH(" "&amp;Task!$A$10&amp;" "," "&amp;LOWER(SUBSTITUTE(SUBSTITUTE(SUBSTITUTE(SUBSTITUTE(A128,"/"," "),"."," "),"\"," "),"_"," "))&amp;" ")),1,0))+IF(Task!$A$11="",0,IF(ISNUMBER(SEARCH(" "&amp;Task!$A$11&amp;" "," "&amp;LOWER(SUBSTITUTE(SUBSTITUTE(SUBSTITUTE(SUBSTITUTE(A128,"/"," "),"."," "),"\"," "),"_"," "))&amp;" ")),1,0))+IF(Task!$A$12="",0,IF(ISNUMBER(SEARCH(" "&amp;Task!$A$12&amp;" "," "&amp;LOWER(SUBSTITUTE(SUBSTITUTE(SUBSTITUTE(SUBSTITUTE(A128,"/"," "),"."," "),"\"," "),"_"," "))&amp;" ")),1,0))+IF(Task!$A$13="",0,IF(ISNUMBER(SEARCH(" "&amp;Task!$A$13&amp;" "," "&amp;LOWER(SUBSTITUTE(SUBSTITUTE(SUBSTITUTE(SUBSTITUTE(A128,"/"," "),"."," "),"\"," "),"_"," "))&amp;" ")),1,0))+IF(Task!$A$14="",0,IF(ISNUMBER(SEARCH(" "&amp;Task!$A$14&amp;" "," "&amp;LOWER(SUBSTITUTE(SUBSTITUTE(SUBSTITUTE(SUBSTITUTE(A128,"/"," "),"."," "),"\"," "),"_"," "))&amp;" ")),1,0))+IF(Task!$A$15="",0,IF(ISNUMBER(SEARCH(" "&amp;Task!$A$15&amp;" "," "&amp;LOWER(SUBSTITUTE(SUBSTITUTE(SUBSTITUTE(SUBSTITUTE(A128,"/"," "),"."," "),"\"," "),"_"," "))&amp;" ")),1,0))+IF(Task!$A$16="",0,IF(ISNUMBER(SEARCH(" "&amp;Task!$A$16&amp;" "," "&amp;LOWER(SUBSTITUTE(SUBSTITUTE(SUBSTITUTE(SUBSTITUTE(A128,"/"," "),"."," "),"\"," "),"_"," "))&amp;" ")),1,0))+IF(Task!$A$17="",0,IF(ISNUMBER(SEARCH(" "&amp;Task!$A$17&amp;" "," "&amp;LOWER(SUBSTITUTE(SUBSTITUTE(SUBSTITUTE(SUBSTITUTE(A128,"/"," "),"."," "),"\"," "),"_"," "))&amp;" ")),1,0))+IF(Task!$A$18="",0,IF(ISNUMBER(SEARCH(" "&amp;Task!$A$18&amp;" "," "&amp;LOWER(SUBSTITUTE(SUBSTITUTE(SUBSTITUTE(SUBSTITUTE(A128,"/"," "),"."," "),"\"," "),"_"," "))&amp;" ")),1,0))+IF(Task!$A$19="",0,IF(ISNUMBER(SEARCH(" "&amp;Task!$A$19&amp;" "," "&amp;LOWER(SUBSTITUTE(SUBSTITUTE(SUBSTITUTE(SUBSTITUTE(A128,"/"," "),"."," "),"\"," "),"_"," "))&amp;" ")),1,0)))</f>
        <v/>
      </c>
      <c r="I128" s="10">
        <f>IF(OR(E128=0,F128=0,Task!$B$21=0),"",F128/Task!$B$21+0.5*G128+0.25*H128)</f>
        <v/>
      </c>
      <c r="J128" s="5">
        <f>IF(I128="","",I128-ROW()/1000000)</f>
        <v/>
      </c>
      <c r="K128" s="9">
        <f>IF(J128="","",COUNTIF($J$5:$J$404,"&gt;"&amp;J128)+1)</f>
        <v/>
      </c>
    </row>
    <row r="129">
      <c r="A129" s="7" t="n"/>
      <c r="B129" s="7" t="n"/>
      <c r="C129" s="7" t="n"/>
      <c r="D129" s="7" t="n"/>
      <c r="E129" s="5">
        <f>IF(A129="",0,IF(COUNTA(Task!$B$5:$E$5)=0,1,IF(COUNTIF(Task!$B$5:$E$5,B129)&gt;0,1,0)))</f>
        <v/>
      </c>
      <c r="F129" s="9">
        <f>IF(E129=0,0,IF(Task!$A$8="",0,IF(ISNUMBER(SEARCH(" "&amp;Task!$A$8&amp;" "," "&amp;LOWER(D129&amp;" "&amp;C129&amp;" "&amp;LOWER(SUBSTITUTE(SUBSTITUTE(SUBSTITUTE(SUBSTITUTE(A129,"/"," "),"."," "),"\"," "),"_"," ")))&amp;" ")),1,0))+IF(Task!$A$9="",0,IF(ISNUMBER(SEARCH(" "&amp;Task!$A$9&amp;" "," "&amp;LOWER(D129&amp;" "&amp;C129&amp;" "&amp;LOWER(SUBSTITUTE(SUBSTITUTE(SUBSTITUTE(SUBSTITUTE(A129,"/"," "),"."," "),"\"," "),"_"," ")))&amp;" ")),1,0))+IF(Task!$A$10="",0,IF(ISNUMBER(SEARCH(" "&amp;Task!$A$10&amp;" "," "&amp;LOWER(D129&amp;" "&amp;C129&amp;" "&amp;LOWER(SUBSTITUTE(SUBSTITUTE(SUBSTITUTE(SUBSTITUTE(A129,"/"," "),"."," "),"\"," "),"_"," ")))&amp;" ")),1,0))+IF(Task!$A$11="",0,IF(ISNUMBER(SEARCH(" "&amp;Task!$A$11&amp;" "," "&amp;LOWER(D129&amp;" "&amp;C129&amp;" "&amp;LOWER(SUBSTITUTE(SUBSTITUTE(SUBSTITUTE(SUBSTITUTE(A129,"/"," "),"."," "),"\"," "),"_"," ")))&amp;" ")),1,0))+IF(Task!$A$12="",0,IF(ISNUMBER(SEARCH(" "&amp;Task!$A$12&amp;" "," "&amp;LOWER(D129&amp;" "&amp;C129&amp;" "&amp;LOWER(SUBSTITUTE(SUBSTITUTE(SUBSTITUTE(SUBSTITUTE(A129,"/"," "),"."," "),"\"," "),"_"," ")))&amp;" ")),1,0))+IF(Task!$A$13="",0,IF(ISNUMBER(SEARCH(" "&amp;Task!$A$13&amp;" "," "&amp;LOWER(D129&amp;" "&amp;C129&amp;" "&amp;LOWER(SUBSTITUTE(SUBSTITUTE(SUBSTITUTE(SUBSTITUTE(A129,"/"," "),"."," "),"\"," "),"_"," ")))&amp;" ")),1,0))+IF(Task!$A$14="",0,IF(ISNUMBER(SEARCH(" "&amp;Task!$A$14&amp;" "," "&amp;LOWER(D129&amp;" "&amp;C129&amp;" "&amp;LOWER(SUBSTITUTE(SUBSTITUTE(SUBSTITUTE(SUBSTITUTE(A129,"/"," "),"."," "),"\"," "),"_"," ")))&amp;" ")),1,0))+IF(Task!$A$15="",0,IF(ISNUMBER(SEARCH(" "&amp;Task!$A$15&amp;" "," "&amp;LOWER(D129&amp;" "&amp;C129&amp;" "&amp;LOWER(SUBSTITUTE(SUBSTITUTE(SUBSTITUTE(SUBSTITUTE(A129,"/"," "),"."," "),"\"," "),"_"," ")))&amp;" ")),1,0))+IF(Task!$A$16="",0,IF(ISNUMBER(SEARCH(" "&amp;Task!$A$16&amp;" "," "&amp;LOWER(D129&amp;" "&amp;C129&amp;" "&amp;LOWER(SUBSTITUTE(SUBSTITUTE(SUBSTITUTE(SUBSTITUTE(A129,"/"," "),"."," "),"\"," "),"_"," ")))&amp;" ")),1,0))+IF(Task!$A$17="",0,IF(ISNUMBER(SEARCH(" "&amp;Task!$A$17&amp;" "," "&amp;LOWER(D129&amp;" "&amp;C129&amp;" "&amp;LOWER(SUBSTITUTE(SUBSTITUTE(SUBSTITUTE(SUBSTITUTE(A129,"/"," "),"."," "),"\"," "),"_"," ")))&amp;" ")),1,0))+IF(Task!$A$18="",0,IF(ISNUMBER(SEARCH(" "&amp;Task!$A$18&amp;" "," "&amp;LOWER(D129&amp;" "&amp;C129&amp;" "&amp;LOWER(SUBSTITUTE(SUBSTITUTE(SUBSTITUTE(SUBSTITUTE(A129,"/"," "),"."," "),"\"," "),"_"," ")))&amp;" ")),1,0))+IF(Task!$A$19="",0,IF(ISNUMBER(SEARCH(" "&amp;Task!$A$19&amp;" "," "&amp;LOWER(D129&amp;" "&amp;C129&amp;" "&amp;LOWER(SUBSTITUTE(SUBSTITUTE(SUBSTITUTE(SUBSTITUTE(A129,"/"," "),"."," "),"\"," "),"_"," ")))&amp;" ")),1,0)))</f>
        <v/>
      </c>
      <c r="G129" s="9">
        <f>IF(E129=0,0,IF(Task!$A$8="",0,IF(ISNUMBER(SEARCH(" "&amp;Task!$A$8&amp;" "," "&amp;LOWER(C129)&amp;" ")),1,0))+IF(Task!$A$9="",0,IF(ISNUMBER(SEARCH(" "&amp;Task!$A$9&amp;" "," "&amp;LOWER(C129)&amp;" ")),1,0))+IF(Task!$A$10="",0,IF(ISNUMBER(SEARCH(" "&amp;Task!$A$10&amp;" "," "&amp;LOWER(C129)&amp;" ")),1,0))+IF(Task!$A$11="",0,IF(ISNUMBER(SEARCH(" "&amp;Task!$A$11&amp;" "," "&amp;LOWER(C129)&amp;" ")),1,0))+IF(Task!$A$12="",0,IF(ISNUMBER(SEARCH(" "&amp;Task!$A$12&amp;" "," "&amp;LOWER(C129)&amp;" ")),1,0))+IF(Task!$A$13="",0,IF(ISNUMBER(SEARCH(" "&amp;Task!$A$13&amp;" "," "&amp;LOWER(C129)&amp;" ")),1,0))+IF(Task!$A$14="",0,IF(ISNUMBER(SEARCH(" "&amp;Task!$A$14&amp;" "," "&amp;LOWER(C129)&amp;" ")),1,0))+IF(Task!$A$15="",0,IF(ISNUMBER(SEARCH(" "&amp;Task!$A$15&amp;" "," "&amp;LOWER(C129)&amp;" ")),1,0))+IF(Task!$A$16="",0,IF(ISNUMBER(SEARCH(" "&amp;Task!$A$16&amp;" "," "&amp;LOWER(C129)&amp;" ")),1,0))+IF(Task!$A$17="",0,IF(ISNUMBER(SEARCH(" "&amp;Task!$A$17&amp;" "," "&amp;LOWER(C129)&amp;" ")),1,0))+IF(Task!$A$18="",0,IF(ISNUMBER(SEARCH(" "&amp;Task!$A$18&amp;" "," "&amp;LOWER(C129)&amp;" ")),1,0))+IF(Task!$A$19="",0,IF(ISNUMBER(SEARCH(" "&amp;Task!$A$19&amp;" "," "&amp;LOWER(C129)&amp;" ")),1,0)))</f>
        <v/>
      </c>
      <c r="H129" s="9">
        <f>IF(E129=0,0,IF(Task!$A$8="",0,IF(ISNUMBER(SEARCH(" "&amp;Task!$A$8&amp;" "," "&amp;LOWER(SUBSTITUTE(SUBSTITUTE(SUBSTITUTE(SUBSTITUTE(A129,"/"," "),"."," "),"\"," "),"_"," "))&amp;" ")),1,0))+IF(Task!$A$9="",0,IF(ISNUMBER(SEARCH(" "&amp;Task!$A$9&amp;" "," "&amp;LOWER(SUBSTITUTE(SUBSTITUTE(SUBSTITUTE(SUBSTITUTE(A129,"/"," "),"."," "),"\"," "),"_"," "))&amp;" ")),1,0))+IF(Task!$A$10="",0,IF(ISNUMBER(SEARCH(" "&amp;Task!$A$10&amp;" "," "&amp;LOWER(SUBSTITUTE(SUBSTITUTE(SUBSTITUTE(SUBSTITUTE(A129,"/"," "),"."," "),"\"," "),"_"," "))&amp;" ")),1,0))+IF(Task!$A$11="",0,IF(ISNUMBER(SEARCH(" "&amp;Task!$A$11&amp;" "," "&amp;LOWER(SUBSTITUTE(SUBSTITUTE(SUBSTITUTE(SUBSTITUTE(A129,"/"," "),"."," "),"\"," "),"_"," "))&amp;" ")),1,0))+IF(Task!$A$12="",0,IF(ISNUMBER(SEARCH(" "&amp;Task!$A$12&amp;" "," "&amp;LOWER(SUBSTITUTE(SUBSTITUTE(SUBSTITUTE(SUBSTITUTE(A129,"/"," "),"."," "),"\"," "),"_"," "))&amp;" ")),1,0))+IF(Task!$A$13="",0,IF(ISNUMBER(SEARCH(" "&amp;Task!$A$13&amp;" "," "&amp;LOWER(SUBSTITUTE(SUBSTITUTE(SUBSTITUTE(SUBSTITUTE(A129,"/"," "),"."," "),"\"," "),"_"," "))&amp;" ")),1,0))+IF(Task!$A$14="",0,IF(ISNUMBER(SEARCH(" "&amp;Task!$A$14&amp;" "," "&amp;LOWER(SUBSTITUTE(SUBSTITUTE(SUBSTITUTE(SUBSTITUTE(A129,"/"," "),"."," "),"\"," "),"_"," "))&amp;" ")),1,0))+IF(Task!$A$15="",0,IF(ISNUMBER(SEARCH(" "&amp;Task!$A$15&amp;" "," "&amp;LOWER(SUBSTITUTE(SUBSTITUTE(SUBSTITUTE(SUBSTITUTE(A129,"/"," "),"."," "),"\"," "),"_"," "))&amp;" ")),1,0))+IF(Task!$A$16="",0,IF(ISNUMBER(SEARCH(" "&amp;Task!$A$16&amp;" "," "&amp;LOWER(SUBSTITUTE(SUBSTITUTE(SUBSTITUTE(SUBSTITUTE(A129,"/"," "),"."," "),"\"," "),"_"," "))&amp;" ")),1,0))+IF(Task!$A$17="",0,IF(ISNUMBER(SEARCH(" "&amp;Task!$A$17&amp;" "," "&amp;LOWER(SUBSTITUTE(SUBSTITUTE(SUBSTITUTE(SUBSTITUTE(A129,"/"," "),"."," "),"\"," "),"_"," "))&amp;" ")),1,0))+IF(Task!$A$18="",0,IF(ISNUMBER(SEARCH(" "&amp;Task!$A$18&amp;" "," "&amp;LOWER(SUBSTITUTE(SUBSTITUTE(SUBSTITUTE(SUBSTITUTE(A129,"/"," "),"."," "),"\"," "),"_"," "))&amp;" ")),1,0))+IF(Task!$A$19="",0,IF(ISNUMBER(SEARCH(" "&amp;Task!$A$19&amp;" "," "&amp;LOWER(SUBSTITUTE(SUBSTITUTE(SUBSTITUTE(SUBSTITUTE(A129,"/"," "),"."," "),"\"," "),"_"," "))&amp;" ")),1,0)))</f>
        <v/>
      </c>
      <c r="I129" s="10">
        <f>IF(OR(E129=0,F129=0,Task!$B$21=0),"",F129/Task!$B$21+0.5*G129+0.25*H129)</f>
        <v/>
      </c>
      <c r="J129" s="5">
        <f>IF(I129="","",I129-ROW()/1000000)</f>
        <v/>
      </c>
      <c r="K129" s="9">
        <f>IF(J129="","",COUNTIF($J$5:$J$404,"&gt;"&amp;J129)+1)</f>
        <v/>
      </c>
    </row>
    <row r="130">
      <c r="A130" s="7" t="n"/>
      <c r="B130" s="7" t="n"/>
      <c r="C130" s="7" t="n"/>
      <c r="D130" s="7" t="n"/>
      <c r="E130" s="5">
        <f>IF(A130="",0,IF(COUNTA(Task!$B$5:$E$5)=0,1,IF(COUNTIF(Task!$B$5:$E$5,B130)&gt;0,1,0)))</f>
        <v/>
      </c>
      <c r="F130" s="9">
        <f>IF(E130=0,0,IF(Task!$A$8="",0,IF(ISNUMBER(SEARCH(" "&amp;Task!$A$8&amp;" "," "&amp;LOWER(D130&amp;" "&amp;C130&amp;" "&amp;LOWER(SUBSTITUTE(SUBSTITUTE(SUBSTITUTE(SUBSTITUTE(A130,"/"," "),"."," "),"\"," "),"_"," ")))&amp;" ")),1,0))+IF(Task!$A$9="",0,IF(ISNUMBER(SEARCH(" "&amp;Task!$A$9&amp;" "," "&amp;LOWER(D130&amp;" "&amp;C130&amp;" "&amp;LOWER(SUBSTITUTE(SUBSTITUTE(SUBSTITUTE(SUBSTITUTE(A130,"/"," "),"."," "),"\"," "),"_"," ")))&amp;" ")),1,0))+IF(Task!$A$10="",0,IF(ISNUMBER(SEARCH(" "&amp;Task!$A$10&amp;" "," "&amp;LOWER(D130&amp;" "&amp;C130&amp;" "&amp;LOWER(SUBSTITUTE(SUBSTITUTE(SUBSTITUTE(SUBSTITUTE(A130,"/"," "),"."," "),"\"," "),"_"," ")))&amp;" ")),1,0))+IF(Task!$A$11="",0,IF(ISNUMBER(SEARCH(" "&amp;Task!$A$11&amp;" "," "&amp;LOWER(D130&amp;" "&amp;C130&amp;" "&amp;LOWER(SUBSTITUTE(SUBSTITUTE(SUBSTITUTE(SUBSTITUTE(A130,"/"," "),"."," "),"\"," "),"_"," ")))&amp;" ")),1,0))+IF(Task!$A$12="",0,IF(ISNUMBER(SEARCH(" "&amp;Task!$A$12&amp;" "," "&amp;LOWER(D130&amp;" "&amp;C130&amp;" "&amp;LOWER(SUBSTITUTE(SUBSTITUTE(SUBSTITUTE(SUBSTITUTE(A130,"/"," "),"."," "),"\"," "),"_"," ")))&amp;" ")),1,0))+IF(Task!$A$13="",0,IF(ISNUMBER(SEARCH(" "&amp;Task!$A$13&amp;" "," "&amp;LOWER(D130&amp;" "&amp;C130&amp;" "&amp;LOWER(SUBSTITUTE(SUBSTITUTE(SUBSTITUTE(SUBSTITUTE(A130,"/"," "),"."," "),"\"," "),"_"," ")))&amp;" ")),1,0))+IF(Task!$A$14="",0,IF(ISNUMBER(SEARCH(" "&amp;Task!$A$14&amp;" "," "&amp;LOWER(D130&amp;" "&amp;C130&amp;" "&amp;LOWER(SUBSTITUTE(SUBSTITUTE(SUBSTITUTE(SUBSTITUTE(A130,"/"," "),"."," "),"\"," "),"_"," ")))&amp;" ")),1,0))+IF(Task!$A$15="",0,IF(ISNUMBER(SEARCH(" "&amp;Task!$A$15&amp;" "," "&amp;LOWER(D130&amp;" "&amp;C130&amp;" "&amp;LOWER(SUBSTITUTE(SUBSTITUTE(SUBSTITUTE(SUBSTITUTE(A130,"/"," "),"."," "),"\"," "),"_"," ")))&amp;" ")),1,0))+IF(Task!$A$16="",0,IF(ISNUMBER(SEARCH(" "&amp;Task!$A$16&amp;" "," "&amp;LOWER(D130&amp;" "&amp;C130&amp;" "&amp;LOWER(SUBSTITUTE(SUBSTITUTE(SUBSTITUTE(SUBSTITUTE(A130,"/"," "),"."," "),"\"," "),"_"," ")))&amp;" ")),1,0))+IF(Task!$A$17="",0,IF(ISNUMBER(SEARCH(" "&amp;Task!$A$17&amp;" "," "&amp;LOWER(D130&amp;" "&amp;C130&amp;" "&amp;LOWER(SUBSTITUTE(SUBSTITUTE(SUBSTITUTE(SUBSTITUTE(A130,"/"," "),"."," "),"\"," "),"_"," ")))&amp;" ")),1,0))+IF(Task!$A$18="",0,IF(ISNUMBER(SEARCH(" "&amp;Task!$A$18&amp;" "," "&amp;LOWER(D130&amp;" "&amp;C130&amp;" "&amp;LOWER(SUBSTITUTE(SUBSTITUTE(SUBSTITUTE(SUBSTITUTE(A130,"/"," "),"."," "),"\"," "),"_"," ")))&amp;" ")),1,0))+IF(Task!$A$19="",0,IF(ISNUMBER(SEARCH(" "&amp;Task!$A$19&amp;" "," "&amp;LOWER(D130&amp;" "&amp;C130&amp;" "&amp;LOWER(SUBSTITUTE(SUBSTITUTE(SUBSTITUTE(SUBSTITUTE(A130,"/"," "),"."," "),"\"," "),"_"," ")))&amp;" ")),1,0)))</f>
        <v/>
      </c>
      <c r="G130" s="9">
        <f>IF(E130=0,0,IF(Task!$A$8="",0,IF(ISNUMBER(SEARCH(" "&amp;Task!$A$8&amp;" "," "&amp;LOWER(C130)&amp;" ")),1,0))+IF(Task!$A$9="",0,IF(ISNUMBER(SEARCH(" "&amp;Task!$A$9&amp;" "," "&amp;LOWER(C130)&amp;" ")),1,0))+IF(Task!$A$10="",0,IF(ISNUMBER(SEARCH(" "&amp;Task!$A$10&amp;" "," "&amp;LOWER(C130)&amp;" ")),1,0))+IF(Task!$A$11="",0,IF(ISNUMBER(SEARCH(" "&amp;Task!$A$11&amp;" "," "&amp;LOWER(C130)&amp;" ")),1,0))+IF(Task!$A$12="",0,IF(ISNUMBER(SEARCH(" "&amp;Task!$A$12&amp;" "," "&amp;LOWER(C130)&amp;" ")),1,0))+IF(Task!$A$13="",0,IF(ISNUMBER(SEARCH(" "&amp;Task!$A$13&amp;" "," "&amp;LOWER(C130)&amp;" ")),1,0))+IF(Task!$A$14="",0,IF(ISNUMBER(SEARCH(" "&amp;Task!$A$14&amp;" "," "&amp;LOWER(C130)&amp;" ")),1,0))+IF(Task!$A$15="",0,IF(ISNUMBER(SEARCH(" "&amp;Task!$A$15&amp;" "," "&amp;LOWER(C130)&amp;" ")),1,0))+IF(Task!$A$16="",0,IF(ISNUMBER(SEARCH(" "&amp;Task!$A$16&amp;" "," "&amp;LOWER(C130)&amp;" ")),1,0))+IF(Task!$A$17="",0,IF(ISNUMBER(SEARCH(" "&amp;Task!$A$17&amp;" "," "&amp;LOWER(C130)&amp;" ")),1,0))+IF(Task!$A$18="",0,IF(ISNUMBER(SEARCH(" "&amp;Task!$A$18&amp;" "," "&amp;LOWER(C130)&amp;" ")),1,0))+IF(Task!$A$19="",0,IF(ISNUMBER(SEARCH(" "&amp;Task!$A$19&amp;" "," "&amp;LOWER(C130)&amp;" ")),1,0)))</f>
        <v/>
      </c>
      <c r="H130" s="9">
        <f>IF(E130=0,0,IF(Task!$A$8="",0,IF(ISNUMBER(SEARCH(" "&amp;Task!$A$8&amp;" "," "&amp;LOWER(SUBSTITUTE(SUBSTITUTE(SUBSTITUTE(SUBSTITUTE(A130,"/"," "),"."," "),"\"," "),"_"," "))&amp;" ")),1,0))+IF(Task!$A$9="",0,IF(ISNUMBER(SEARCH(" "&amp;Task!$A$9&amp;" "," "&amp;LOWER(SUBSTITUTE(SUBSTITUTE(SUBSTITUTE(SUBSTITUTE(A130,"/"," "),"."," "),"\"," "),"_"," "))&amp;" ")),1,0))+IF(Task!$A$10="",0,IF(ISNUMBER(SEARCH(" "&amp;Task!$A$10&amp;" "," "&amp;LOWER(SUBSTITUTE(SUBSTITUTE(SUBSTITUTE(SUBSTITUTE(A130,"/"," "),"."," "),"\"," "),"_"," "))&amp;" ")),1,0))+IF(Task!$A$11="",0,IF(ISNUMBER(SEARCH(" "&amp;Task!$A$11&amp;" "," "&amp;LOWER(SUBSTITUTE(SUBSTITUTE(SUBSTITUTE(SUBSTITUTE(A130,"/"," "),"."," "),"\"," "),"_"," "))&amp;" ")),1,0))+IF(Task!$A$12="",0,IF(ISNUMBER(SEARCH(" "&amp;Task!$A$12&amp;" "," "&amp;LOWER(SUBSTITUTE(SUBSTITUTE(SUBSTITUTE(SUBSTITUTE(A130,"/"," "),"."," "),"\"," "),"_"," "))&amp;" ")),1,0))+IF(Task!$A$13="",0,IF(ISNUMBER(SEARCH(" "&amp;Task!$A$13&amp;" "," "&amp;LOWER(SUBSTITUTE(SUBSTITUTE(SUBSTITUTE(SUBSTITUTE(A130,"/"," "),"."," "),"\"," "),"_"," "))&amp;" ")),1,0))+IF(Task!$A$14="",0,IF(ISNUMBER(SEARCH(" "&amp;Task!$A$14&amp;" "," "&amp;LOWER(SUBSTITUTE(SUBSTITUTE(SUBSTITUTE(SUBSTITUTE(A130,"/"," "),"."," "),"\"," "),"_"," "))&amp;" ")),1,0))+IF(Task!$A$15="",0,IF(ISNUMBER(SEARCH(" "&amp;Task!$A$15&amp;" "," "&amp;LOWER(SUBSTITUTE(SUBSTITUTE(SUBSTITUTE(SUBSTITUTE(A130,"/"," "),"."," "),"\"," "),"_"," "))&amp;" ")),1,0))+IF(Task!$A$16="",0,IF(ISNUMBER(SEARCH(" "&amp;Task!$A$16&amp;" "," "&amp;LOWER(SUBSTITUTE(SUBSTITUTE(SUBSTITUTE(SUBSTITUTE(A130,"/"," "),"."," "),"\"," "),"_"," "))&amp;" ")),1,0))+IF(Task!$A$17="",0,IF(ISNUMBER(SEARCH(" "&amp;Task!$A$17&amp;" "," "&amp;LOWER(SUBSTITUTE(SUBSTITUTE(SUBSTITUTE(SUBSTITUTE(A130,"/"," "),"."," "),"\"," "),"_"," "))&amp;" ")),1,0))+IF(Task!$A$18="",0,IF(ISNUMBER(SEARCH(" "&amp;Task!$A$18&amp;" "," "&amp;LOWER(SUBSTITUTE(SUBSTITUTE(SUBSTITUTE(SUBSTITUTE(A130,"/"," "),"."," "),"\"," "),"_"," "))&amp;" ")),1,0))+IF(Task!$A$19="",0,IF(ISNUMBER(SEARCH(" "&amp;Task!$A$19&amp;" "," "&amp;LOWER(SUBSTITUTE(SUBSTITUTE(SUBSTITUTE(SUBSTITUTE(A130,"/"," "),"."," "),"\"," "),"_"," "))&amp;" ")),1,0)))</f>
        <v/>
      </c>
      <c r="I130" s="10">
        <f>IF(OR(E130=0,F130=0,Task!$B$21=0),"",F130/Task!$B$21+0.5*G130+0.25*H130)</f>
        <v/>
      </c>
      <c r="J130" s="5">
        <f>IF(I130="","",I130-ROW()/1000000)</f>
        <v/>
      </c>
      <c r="K130" s="9">
        <f>IF(J130="","",COUNTIF($J$5:$J$404,"&gt;"&amp;J130)+1)</f>
        <v/>
      </c>
    </row>
    <row r="131">
      <c r="A131" s="7" t="n"/>
      <c r="B131" s="7" t="n"/>
      <c r="C131" s="7" t="n"/>
      <c r="D131" s="7" t="n"/>
      <c r="E131" s="5">
        <f>IF(A131="",0,IF(COUNTA(Task!$B$5:$E$5)=0,1,IF(COUNTIF(Task!$B$5:$E$5,B131)&gt;0,1,0)))</f>
        <v/>
      </c>
      <c r="F131" s="9">
        <f>IF(E131=0,0,IF(Task!$A$8="",0,IF(ISNUMBER(SEARCH(" "&amp;Task!$A$8&amp;" "," "&amp;LOWER(D131&amp;" "&amp;C131&amp;" "&amp;LOWER(SUBSTITUTE(SUBSTITUTE(SUBSTITUTE(SUBSTITUTE(A131,"/"," "),"."," "),"\"," "),"_"," ")))&amp;" ")),1,0))+IF(Task!$A$9="",0,IF(ISNUMBER(SEARCH(" "&amp;Task!$A$9&amp;" "," "&amp;LOWER(D131&amp;" "&amp;C131&amp;" "&amp;LOWER(SUBSTITUTE(SUBSTITUTE(SUBSTITUTE(SUBSTITUTE(A131,"/"," "),"."," "),"\"," "),"_"," ")))&amp;" ")),1,0))+IF(Task!$A$10="",0,IF(ISNUMBER(SEARCH(" "&amp;Task!$A$10&amp;" "," "&amp;LOWER(D131&amp;" "&amp;C131&amp;" "&amp;LOWER(SUBSTITUTE(SUBSTITUTE(SUBSTITUTE(SUBSTITUTE(A131,"/"," "),"."," "),"\"," "),"_"," ")))&amp;" ")),1,0))+IF(Task!$A$11="",0,IF(ISNUMBER(SEARCH(" "&amp;Task!$A$11&amp;" "," "&amp;LOWER(D131&amp;" "&amp;C131&amp;" "&amp;LOWER(SUBSTITUTE(SUBSTITUTE(SUBSTITUTE(SUBSTITUTE(A131,"/"," "),"."," "),"\"," "),"_"," ")))&amp;" ")),1,0))+IF(Task!$A$12="",0,IF(ISNUMBER(SEARCH(" "&amp;Task!$A$12&amp;" "," "&amp;LOWER(D131&amp;" "&amp;C131&amp;" "&amp;LOWER(SUBSTITUTE(SUBSTITUTE(SUBSTITUTE(SUBSTITUTE(A131,"/"," "),"."," "),"\"," "),"_"," ")))&amp;" ")),1,0))+IF(Task!$A$13="",0,IF(ISNUMBER(SEARCH(" "&amp;Task!$A$13&amp;" "," "&amp;LOWER(D131&amp;" "&amp;C131&amp;" "&amp;LOWER(SUBSTITUTE(SUBSTITUTE(SUBSTITUTE(SUBSTITUTE(A131,"/"," "),"."," "),"\"," "),"_"," ")))&amp;" ")),1,0))+IF(Task!$A$14="",0,IF(ISNUMBER(SEARCH(" "&amp;Task!$A$14&amp;" "," "&amp;LOWER(D131&amp;" "&amp;C131&amp;" "&amp;LOWER(SUBSTITUTE(SUBSTITUTE(SUBSTITUTE(SUBSTITUTE(A131,"/"," "),"."," "),"\"," "),"_"," ")))&amp;" ")),1,0))+IF(Task!$A$15="",0,IF(ISNUMBER(SEARCH(" "&amp;Task!$A$15&amp;" "," "&amp;LOWER(D131&amp;" "&amp;C131&amp;" "&amp;LOWER(SUBSTITUTE(SUBSTITUTE(SUBSTITUTE(SUBSTITUTE(A131,"/"," "),"."," "),"\"," "),"_"," ")))&amp;" ")),1,0))+IF(Task!$A$16="",0,IF(ISNUMBER(SEARCH(" "&amp;Task!$A$16&amp;" "," "&amp;LOWER(D131&amp;" "&amp;C131&amp;" "&amp;LOWER(SUBSTITUTE(SUBSTITUTE(SUBSTITUTE(SUBSTITUTE(A131,"/"," "),"."," "),"\"," "),"_"," ")))&amp;" ")),1,0))+IF(Task!$A$17="",0,IF(ISNUMBER(SEARCH(" "&amp;Task!$A$17&amp;" "," "&amp;LOWER(D131&amp;" "&amp;C131&amp;" "&amp;LOWER(SUBSTITUTE(SUBSTITUTE(SUBSTITUTE(SUBSTITUTE(A131,"/"," "),"."," "),"\"," "),"_"," ")))&amp;" ")),1,0))+IF(Task!$A$18="",0,IF(ISNUMBER(SEARCH(" "&amp;Task!$A$18&amp;" "," "&amp;LOWER(D131&amp;" "&amp;C131&amp;" "&amp;LOWER(SUBSTITUTE(SUBSTITUTE(SUBSTITUTE(SUBSTITUTE(A131,"/"," "),"."," "),"\"," "),"_"," ")))&amp;" ")),1,0))+IF(Task!$A$19="",0,IF(ISNUMBER(SEARCH(" "&amp;Task!$A$19&amp;" "," "&amp;LOWER(D131&amp;" "&amp;C131&amp;" "&amp;LOWER(SUBSTITUTE(SUBSTITUTE(SUBSTITUTE(SUBSTITUTE(A131,"/"," "),"."," "),"\"," "),"_"," ")))&amp;" ")),1,0)))</f>
        <v/>
      </c>
      <c r="G131" s="9">
        <f>IF(E131=0,0,IF(Task!$A$8="",0,IF(ISNUMBER(SEARCH(" "&amp;Task!$A$8&amp;" "," "&amp;LOWER(C131)&amp;" ")),1,0))+IF(Task!$A$9="",0,IF(ISNUMBER(SEARCH(" "&amp;Task!$A$9&amp;" "," "&amp;LOWER(C131)&amp;" ")),1,0))+IF(Task!$A$10="",0,IF(ISNUMBER(SEARCH(" "&amp;Task!$A$10&amp;" "," "&amp;LOWER(C131)&amp;" ")),1,0))+IF(Task!$A$11="",0,IF(ISNUMBER(SEARCH(" "&amp;Task!$A$11&amp;" "," "&amp;LOWER(C131)&amp;" ")),1,0))+IF(Task!$A$12="",0,IF(ISNUMBER(SEARCH(" "&amp;Task!$A$12&amp;" "," "&amp;LOWER(C131)&amp;" ")),1,0))+IF(Task!$A$13="",0,IF(ISNUMBER(SEARCH(" "&amp;Task!$A$13&amp;" "," "&amp;LOWER(C131)&amp;" ")),1,0))+IF(Task!$A$14="",0,IF(ISNUMBER(SEARCH(" "&amp;Task!$A$14&amp;" "," "&amp;LOWER(C131)&amp;" ")),1,0))+IF(Task!$A$15="",0,IF(ISNUMBER(SEARCH(" "&amp;Task!$A$15&amp;" "," "&amp;LOWER(C131)&amp;" ")),1,0))+IF(Task!$A$16="",0,IF(ISNUMBER(SEARCH(" "&amp;Task!$A$16&amp;" "," "&amp;LOWER(C131)&amp;" ")),1,0))+IF(Task!$A$17="",0,IF(ISNUMBER(SEARCH(" "&amp;Task!$A$17&amp;" "," "&amp;LOWER(C131)&amp;" ")),1,0))+IF(Task!$A$18="",0,IF(ISNUMBER(SEARCH(" "&amp;Task!$A$18&amp;" "," "&amp;LOWER(C131)&amp;" ")),1,0))+IF(Task!$A$19="",0,IF(ISNUMBER(SEARCH(" "&amp;Task!$A$19&amp;" "," "&amp;LOWER(C131)&amp;" ")),1,0)))</f>
        <v/>
      </c>
      <c r="H131" s="9">
        <f>IF(E131=0,0,IF(Task!$A$8="",0,IF(ISNUMBER(SEARCH(" "&amp;Task!$A$8&amp;" "," "&amp;LOWER(SUBSTITUTE(SUBSTITUTE(SUBSTITUTE(SUBSTITUTE(A131,"/"," "),"."," "),"\"," "),"_"," "))&amp;" ")),1,0))+IF(Task!$A$9="",0,IF(ISNUMBER(SEARCH(" "&amp;Task!$A$9&amp;" "," "&amp;LOWER(SUBSTITUTE(SUBSTITUTE(SUBSTITUTE(SUBSTITUTE(A131,"/"," "),"."," "),"\"," "),"_"," "))&amp;" ")),1,0))+IF(Task!$A$10="",0,IF(ISNUMBER(SEARCH(" "&amp;Task!$A$10&amp;" "," "&amp;LOWER(SUBSTITUTE(SUBSTITUTE(SUBSTITUTE(SUBSTITUTE(A131,"/"," "),"."," "),"\"," "),"_"," "))&amp;" ")),1,0))+IF(Task!$A$11="",0,IF(ISNUMBER(SEARCH(" "&amp;Task!$A$11&amp;" "," "&amp;LOWER(SUBSTITUTE(SUBSTITUTE(SUBSTITUTE(SUBSTITUTE(A131,"/"," "),"."," "),"\"," "),"_"," "))&amp;" ")),1,0))+IF(Task!$A$12="",0,IF(ISNUMBER(SEARCH(" "&amp;Task!$A$12&amp;" "," "&amp;LOWER(SUBSTITUTE(SUBSTITUTE(SUBSTITUTE(SUBSTITUTE(A131,"/"," "),"."," "),"\"," "),"_"," "))&amp;" ")),1,0))+IF(Task!$A$13="",0,IF(ISNUMBER(SEARCH(" "&amp;Task!$A$13&amp;" "," "&amp;LOWER(SUBSTITUTE(SUBSTITUTE(SUBSTITUTE(SUBSTITUTE(A131,"/"," "),"."," "),"\"," "),"_"," "))&amp;" ")),1,0))+IF(Task!$A$14="",0,IF(ISNUMBER(SEARCH(" "&amp;Task!$A$14&amp;" "," "&amp;LOWER(SUBSTITUTE(SUBSTITUTE(SUBSTITUTE(SUBSTITUTE(A131,"/"," "),"."," "),"\"," "),"_"," "))&amp;" ")),1,0))+IF(Task!$A$15="",0,IF(ISNUMBER(SEARCH(" "&amp;Task!$A$15&amp;" "," "&amp;LOWER(SUBSTITUTE(SUBSTITUTE(SUBSTITUTE(SUBSTITUTE(A131,"/"," "),"."," "),"\"," "),"_"," "))&amp;" ")),1,0))+IF(Task!$A$16="",0,IF(ISNUMBER(SEARCH(" "&amp;Task!$A$16&amp;" "," "&amp;LOWER(SUBSTITUTE(SUBSTITUTE(SUBSTITUTE(SUBSTITUTE(A131,"/"," "),"."," "),"\"," "),"_"," "))&amp;" ")),1,0))+IF(Task!$A$17="",0,IF(ISNUMBER(SEARCH(" "&amp;Task!$A$17&amp;" "," "&amp;LOWER(SUBSTITUTE(SUBSTITUTE(SUBSTITUTE(SUBSTITUTE(A131,"/"," "),"."," "),"\"," "),"_"," "))&amp;" ")),1,0))+IF(Task!$A$18="",0,IF(ISNUMBER(SEARCH(" "&amp;Task!$A$18&amp;" "," "&amp;LOWER(SUBSTITUTE(SUBSTITUTE(SUBSTITUTE(SUBSTITUTE(A131,"/"," "),"."," "),"\"," "),"_"," "))&amp;" ")),1,0))+IF(Task!$A$19="",0,IF(ISNUMBER(SEARCH(" "&amp;Task!$A$19&amp;" "," "&amp;LOWER(SUBSTITUTE(SUBSTITUTE(SUBSTITUTE(SUBSTITUTE(A131,"/"," "),"."," "),"\"," "),"_"," "))&amp;" ")),1,0)))</f>
        <v/>
      </c>
      <c r="I131" s="10">
        <f>IF(OR(E131=0,F131=0,Task!$B$21=0),"",F131/Task!$B$21+0.5*G131+0.25*H131)</f>
        <v/>
      </c>
      <c r="J131" s="5">
        <f>IF(I131="","",I131-ROW()/1000000)</f>
        <v/>
      </c>
      <c r="K131" s="9">
        <f>IF(J131="","",COUNTIF($J$5:$J$404,"&gt;"&amp;J131)+1)</f>
        <v/>
      </c>
    </row>
    <row r="132">
      <c r="A132" s="7" t="n"/>
      <c r="B132" s="7" t="n"/>
      <c r="C132" s="7" t="n"/>
      <c r="D132" s="7" t="n"/>
      <c r="E132" s="5">
        <f>IF(A132="",0,IF(COUNTA(Task!$B$5:$E$5)=0,1,IF(COUNTIF(Task!$B$5:$E$5,B132)&gt;0,1,0)))</f>
        <v/>
      </c>
      <c r="F132" s="9">
        <f>IF(E132=0,0,IF(Task!$A$8="",0,IF(ISNUMBER(SEARCH(" "&amp;Task!$A$8&amp;" "," "&amp;LOWER(D132&amp;" "&amp;C132&amp;" "&amp;LOWER(SUBSTITUTE(SUBSTITUTE(SUBSTITUTE(SUBSTITUTE(A132,"/"," "),"."," "),"\"," "),"_"," ")))&amp;" ")),1,0))+IF(Task!$A$9="",0,IF(ISNUMBER(SEARCH(" "&amp;Task!$A$9&amp;" "," "&amp;LOWER(D132&amp;" "&amp;C132&amp;" "&amp;LOWER(SUBSTITUTE(SUBSTITUTE(SUBSTITUTE(SUBSTITUTE(A132,"/"," "),"."," "),"\"," "),"_"," ")))&amp;" ")),1,0))+IF(Task!$A$10="",0,IF(ISNUMBER(SEARCH(" "&amp;Task!$A$10&amp;" "," "&amp;LOWER(D132&amp;" "&amp;C132&amp;" "&amp;LOWER(SUBSTITUTE(SUBSTITUTE(SUBSTITUTE(SUBSTITUTE(A132,"/"," "),"."," "),"\"," "),"_"," ")))&amp;" ")),1,0))+IF(Task!$A$11="",0,IF(ISNUMBER(SEARCH(" "&amp;Task!$A$11&amp;" "," "&amp;LOWER(D132&amp;" "&amp;C132&amp;" "&amp;LOWER(SUBSTITUTE(SUBSTITUTE(SUBSTITUTE(SUBSTITUTE(A132,"/"," "),"."," "),"\"," "),"_"," ")))&amp;" ")),1,0))+IF(Task!$A$12="",0,IF(ISNUMBER(SEARCH(" "&amp;Task!$A$12&amp;" "," "&amp;LOWER(D132&amp;" "&amp;C132&amp;" "&amp;LOWER(SUBSTITUTE(SUBSTITUTE(SUBSTITUTE(SUBSTITUTE(A132,"/"," "),"."," "),"\"," "),"_"," ")))&amp;" ")),1,0))+IF(Task!$A$13="",0,IF(ISNUMBER(SEARCH(" "&amp;Task!$A$13&amp;" "," "&amp;LOWER(D132&amp;" "&amp;C132&amp;" "&amp;LOWER(SUBSTITUTE(SUBSTITUTE(SUBSTITUTE(SUBSTITUTE(A132,"/"," "),"."," "),"\"," "),"_"," ")))&amp;" ")),1,0))+IF(Task!$A$14="",0,IF(ISNUMBER(SEARCH(" "&amp;Task!$A$14&amp;" "," "&amp;LOWER(D132&amp;" "&amp;C132&amp;" "&amp;LOWER(SUBSTITUTE(SUBSTITUTE(SUBSTITUTE(SUBSTITUTE(A132,"/"," "),"."," "),"\"," "),"_"," ")))&amp;" ")),1,0))+IF(Task!$A$15="",0,IF(ISNUMBER(SEARCH(" "&amp;Task!$A$15&amp;" "," "&amp;LOWER(D132&amp;" "&amp;C132&amp;" "&amp;LOWER(SUBSTITUTE(SUBSTITUTE(SUBSTITUTE(SUBSTITUTE(A132,"/"," "),"."," "),"\"," "),"_"," ")))&amp;" ")),1,0))+IF(Task!$A$16="",0,IF(ISNUMBER(SEARCH(" "&amp;Task!$A$16&amp;" "," "&amp;LOWER(D132&amp;" "&amp;C132&amp;" "&amp;LOWER(SUBSTITUTE(SUBSTITUTE(SUBSTITUTE(SUBSTITUTE(A132,"/"," "),"."," "),"\"," "),"_"," ")))&amp;" ")),1,0))+IF(Task!$A$17="",0,IF(ISNUMBER(SEARCH(" "&amp;Task!$A$17&amp;" "," "&amp;LOWER(D132&amp;" "&amp;C132&amp;" "&amp;LOWER(SUBSTITUTE(SUBSTITUTE(SUBSTITUTE(SUBSTITUTE(A132,"/"," "),"."," "),"\"," "),"_"," ")))&amp;" ")),1,0))+IF(Task!$A$18="",0,IF(ISNUMBER(SEARCH(" "&amp;Task!$A$18&amp;" "," "&amp;LOWER(D132&amp;" "&amp;C132&amp;" "&amp;LOWER(SUBSTITUTE(SUBSTITUTE(SUBSTITUTE(SUBSTITUTE(A132,"/"," "),"."," "),"\"," "),"_"," ")))&amp;" ")),1,0))+IF(Task!$A$19="",0,IF(ISNUMBER(SEARCH(" "&amp;Task!$A$19&amp;" "," "&amp;LOWER(D132&amp;" "&amp;C132&amp;" "&amp;LOWER(SUBSTITUTE(SUBSTITUTE(SUBSTITUTE(SUBSTITUTE(A132,"/"," "),"."," "),"\"," "),"_"," ")))&amp;" ")),1,0)))</f>
        <v/>
      </c>
      <c r="G132" s="9">
        <f>IF(E132=0,0,IF(Task!$A$8="",0,IF(ISNUMBER(SEARCH(" "&amp;Task!$A$8&amp;" "," "&amp;LOWER(C132)&amp;" ")),1,0))+IF(Task!$A$9="",0,IF(ISNUMBER(SEARCH(" "&amp;Task!$A$9&amp;" "," "&amp;LOWER(C132)&amp;" ")),1,0))+IF(Task!$A$10="",0,IF(ISNUMBER(SEARCH(" "&amp;Task!$A$10&amp;" "," "&amp;LOWER(C132)&amp;" ")),1,0))+IF(Task!$A$11="",0,IF(ISNUMBER(SEARCH(" "&amp;Task!$A$11&amp;" "," "&amp;LOWER(C132)&amp;" ")),1,0))+IF(Task!$A$12="",0,IF(ISNUMBER(SEARCH(" "&amp;Task!$A$12&amp;" "," "&amp;LOWER(C132)&amp;" ")),1,0))+IF(Task!$A$13="",0,IF(ISNUMBER(SEARCH(" "&amp;Task!$A$13&amp;" "," "&amp;LOWER(C132)&amp;" ")),1,0))+IF(Task!$A$14="",0,IF(ISNUMBER(SEARCH(" "&amp;Task!$A$14&amp;" "," "&amp;LOWER(C132)&amp;" ")),1,0))+IF(Task!$A$15="",0,IF(ISNUMBER(SEARCH(" "&amp;Task!$A$15&amp;" "," "&amp;LOWER(C132)&amp;" ")),1,0))+IF(Task!$A$16="",0,IF(ISNUMBER(SEARCH(" "&amp;Task!$A$16&amp;" "," "&amp;LOWER(C132)&amp;" ")),1,0))+IF(Task!$A$17="",0,IF(ISNUMBER(SEARCH(" "&amp;Task!$A$17&amp;" "," "&amp;LOWER(C132)&amp;" ")),1,0))+IF(Task!$A$18="",0,IF(ISNUMBER(SEARCH(" "&amp;Task!$A$18&amp;" "," "&amp;LOWER(C132)&amp;" ")),1,0))+IF(Task!$A$19="",0,IF(ISNUMBER(SEARCH(" "&amp;Task!$A$19&amp;" "," "&amp;LOWER(C132)&amp;" ")),1,0)))</f>
        <v/>
      </c>
      <c r="H132" s="9">
        <f>IF(E132=0,0,IF(Task!$A$8="",0,IF(ISNUMBER(SEARCH(" "&amp;Task!$A$8&amp;" "," "&amp;LOWER(SUBSTITUTE(SUBSTITUTE(SUBSTITUTE(SUBSTITUTE(A132,"/"," "),"."," "),"\"," "),"_"," "))&amp;" ")),1,0))+IF(Task!$A$9="",0,IF(ISNUMBER(SEARCH(" "&amp;Task!$A$9&amp;" "," "&amp;LOWER(SUBSTITUTE(SUBSTITUTE(SUBSTITUTE(SUBSTITUTE(A132,"/"," "),"."," "),"\"," "),"_"," "))&amp;" ")),1,0))+IF(Task!$A$10="",0,IF(ISNUMBER(SEARCH(" "&amp;Task!$A$10&amp;" "," "&amp;LOWER(SUBSTITUTE(SUBSTITUTE(SUBSTITUTE(SUBSTITUTE(A132,"/"," "),"."," "),"\"," "),"_"," "))&amp;" ")),1,0))+IF(Task!$A$11="",0,IF(ISNUMBER(SEARCH(" "&amp;Task!$A$11&amp;" "," "&amp;LOWER(SUBSTITUTE(SUBSTITUTE(SUBSTITUTE(SUBSTITUTE(A132,"/"," "),"."," "),"\"," "),"_"," "))&amp;" ")),1,0))+IF(Task!$A$12="",0,IF(ISNUMBER(SEARCH(" "&amp;Task!$A$12&amp;" "," "&amp;LOWER(SUBSTITUTE(SUBSTITUTE(SUBSTITUTE(SUBSTITUTE(A132,"/"," "),"."," "),"\"," "),"_"," "))&amp;" ")),1,0))+IF(Task!$A$13="",0,IF(ISNUMBER(SEARCH(" "&amp;Task!$A$13&amp;" "," "&amp;LOWER(SUBSTITUTE(SUBSTITUTE(SUBSTITUTE(SUBSTITUTE(A132,"/"," "),"."," "),"\"," "),"_"," "))&amp;" ")),1,0))+IF(Task!$A$14="",0,IF(ISNUMBER(SEARCH(" "&amp;Task!$A$14&amp;" "," "&amp;LOWER(SUBSTITUTE(SUBSTITUTE(SUBSTITUTE(SUBSTITUTE(A132,"/"," "),"."," "),"\"," "),"_"," "))&amp;" ")),1,0))+IF(Task!$A$15="",0,IF(ISNUMBER(SEARCH(" "&amp;Task!$A$15&amp;" "," "&amp;LOWER(SUBSTITUTE(SUBSTITUTE(SUBSTITUTE(SUBSTITUTE(A132,"/"," "),"."," "),"\"," "),"_"," "))&amp;" ")),1,0))+IF(Task!$A$16="",0,IF(ISNUMBER(SEARCH(" "&amp;Task!$A$16&amp;" "," "&amp;LOWER(SUBSTITUTE(SUBSTITUTE(SUBSTITUTE(SUBSTITUTE(A132,"/"," "),"."," "),"\"," "),"_"," "))&amp;" ")),1,0))+IF(Task!$A$17="",0,IF(ISNUMBER(SEARCH(" "&amp;Task!$A$17&amp;" "," "&amp;LOWER(SUBSTITUTE(SUBSTITUTE(SUBSTITUTE(SUBSTITUTE(A132,"/"," "),"."," "),"\"," "),"_"," "))&amp;" ")),1,0))+IF(Task!$A$18="",0,IF(ISNUMBER(SEARCH(" "&amp;Task!$A$18&amp;" "," "&amp;LOWER(SUBSTITUTE(SUBSTITUTE(SUBSTITUTE(SUBSTITUTE(A132,"/"," "),"."," "),"\"," "),"_"," "))&amp;" ")),1,0))+IF(Task!$A$19="",0,IF(ISNUMBER(SEARCH(" "&amp;Task!$A$19&amp;" "," "&amp;LOWER(SUBSTITUTE(SUBSTITUTE(SUBSTITUTE(SUBSTITUTE(A132,"/"," "),"."," "),"\"," "),"_"," "))&amp;" ")),1,0)))</f>
        <v/>
      </c>
      <c r="I132" s="10">
        <f>IF(OR(E132=0,F132=0,Task!$B$21=0),"",F132/Task!$B$21+0.5*G132+0.25*H132)</f>
        <v/>
      </c>
      <c r="J132" s="5">
        <f>IF(I132="","",I132-ROW()/1000000)</f>
        <v/>
      </c>
      <c r="K132" s="9">
        <f>IF(J132="","",COUNTIF($J$5:$J$404,"&gt;"&amp;J132)+1)</f>
        <v/>
      </c>
    </row>
    <row r="133">
      <c r="A133" s="7" t="n"/>
      <c r="B133" s="7" t="n"/>
      <c r="C133" s="7" t="n"/>
      <c r="D133" s="7" t="n"/>
      <c r="E133" s="5">
        <f>IF(A133="",0,IF(COUNTA(Task!$B$5:$E$5)=0,1,IF(COUNTIF(Task!$B$5:$E$5,B133)&gt;0,1,0)))</f>
        <v/>
      </c>
      <c r="F133" s="9">
        <f>IF(E133=0,0,IF(Task!$A$8="",0,IF(ISNUMBER(SEARCH(" "&amp;Task!$A$8&amp;" "," "&amp;LOWER(D133&amp;" "&amp;C133&amp;" "&amp;LOWER(SUBSTITUTE(SUBSTITUTE(SUBSTITUTE(SUBSTITUTE(A133,"/"," "),"."," "),"\"," "),"_"," ")))&amp;" ")),1,0))+IF(Task!$A$9="",0,IF(ISNUMBER(SEARCH(" "&amp;Task!$A$9&amp;" "," "&amp;LOWER(D133&amp;" "&amp;C133&amp;" "&amp;LOWER(SUBSTITUTE(SUBSTITUTE(SUBSTITUTE(SUBSTITUTE(A133,"/"," "),"."," "),"\"," "),"_"," ")))&amp;" ")),1,0))+IF(Task!$A$10="",0,IF(ISNUMBER(SEARCH(" "&amp;Task!$A$10&amp;" "," "&amp;LOWER(D133&amp;" "&amp;C133&amp;" "&amp;LOWER(SUBSTITUTE(SUBSTITUTE(SUBSTITUTE(SUBSTITUTE(A133,"/"," "),"."," "),"\"," "),"_"," ")))&amp;" ")),1,0))+IF(Task!$A$11="",0,IF(ISNUMBER(SEARCH(" "&amp;Task!$A$11&amp;" "," "&amp;LOWER(D133&amp;" "&amp;C133&amp;" "&amp;LOWER(SUBSTITUTE(SUBSTITUTE(SUBSTITUTE(SUBSTITUTE(A133,"/"," "),"."," "),"\"," "),"_"," ")))&amp;" ")),1,0))+IF(Task!$A$12="",0,IF(ISNUMBER(SEARCH(" "&amp;Task!$A$12&amp;" "," "&amp;LOWER(D133&amp;" "&amp;C133&amp;" "&amp;LOWER(SUBSTITUTE(SUBSTITUTE(SUBSTITUTE(SUBSTITUTE(A133,"/"," "),"."," "),"\"," "),"_"," ")))&amp;" ")),1,0))+IF(Task!$A$13="",0,IF(ISNUMBER(SEARCH(" "&amp;Task!$A$13&amp;" "," "&amp;LOWER(D133&amp;" "&amp;C133&amp;" "&amp;LOWER(SUBSTITUTE(SUBSTITUTE(SUBSTITUTE(SUBSTITUTE(A133,"/"," "),"."," "),"\"," "),"_"," ")))&amp;" ")),1,0))+IF(Task!$A$14="",0,IF(ISNUMBER(SEARCH(" "&amp;Task!$A$14&amp;" "," "&amp;LOWER(D133&amp;" "&amp;C133&amp;" "&amp;LOWER(SUBSTITUTE(SUBSTITUTE(SUBSTITUTE(SUBSTITUTE(A133,"/"," "),"."," "),"\"," "),"_"," ")))&amp;" ")),1,0))+IF(Task!$A$15="",0,IF(ISNUMBER(SEARCH(" "&amp;Task!$A$15&amp;" "," "&amp;LOWER(D133&amp;" "&amp;C133&amp;" "&amp;LOWER(SUBSTITUTE(SUBSTITUTE(SUBSTITUTE(SUBSTITUTE(A133,"/"," "),"."," "),"\"," "),"_"," ")))&amp;" ")),1,0))+IF(Task!$A$16="",0,IF(ISNUMBER(SEARCH(" "&amp;Task!$A$16&amp;" "," "&amp;LOWER(D133&amp;" "&amp;C133&amp;" "&amp;LOWER(SUBSTITUTE(SUBSTITUTE(SUBSTITUTE(SUBSTITUTE(A133,"/"," "),"."," "),"\"," "),"_"," ")))&amp;" ")),1,0))+IF(Task!$A$17="",0,IF(ISNUMBER(SEARCH(" "&amp;Task!$A$17&amp;" "," "&amp;LOWER(D133&amp;" "&amp;C133&amp;" "&amp;LOWER(SUBSTITUTE(SUBSTITUTE(SUBSTITUTE(SUBSTITUTE(A133,"/"," "),"."," "),"\"," "),"_"," ")))&amp;" ")),1,0))+IF(Task!$A$18="",0,IF(ISNUMBER(SEARCH(" "&amp;Task!$A$18&amp;" "," "&amp;LOWER(D133&amp;" "&amp;C133&amp;" "&amp;LOWER(SUBSTITUTE(SUBSTITUTE(SUBSTITUTE(SUBSTITUTE(A133,"/"," "),"."," "),"\"," "),"_"," ")))&amp;" ")),1,0))+IF(Task!$A$19="",0,IF(ISNUMBER(SEARCH(" "&amp;Task!$A$19&amp;" "," "&amp;LOWER(D133&amp;" "&amp;C133&amp;" "&amp;LOWER(SUBSTITUTE(SUBSTITUTE(SUBSTITUTE(SUBSTITUTE(A133,"/"," "),"."," "),"\"," "),"_"," ")))&amp;" ")),1,0)))</f>
        <v/>
      </c>
      <c r="G133" s="9">
        <f>IF(E133=0,0,IF(Task!$A$8="",0,IF(ISNUMBER(SEARCH(" "&amp;Task!$A$8&amp;" "," "&amp;LOWER(C133)&amp;" ")),1,0))+IF(Task!$A$9="",0,IF(ISNUMBER(SEARCH(" "&amp;Task!$A$9&amp;" "," "&amp;LOWER(C133)&amp;" ")),1,0))+IF(Task!$A$10="",0,IF(ISNUMBER(SEARCH(" "&amp;Task!$A$10&amp;" "," "&amp;LOWER(C133)&amp;" ")),1,0))+IF(Task!$A$11="",0,IF(ISNUMBER(SEARCH(" "&amp;Task!$A$11&amp;" "," "&amp;LOWER(C133)&amp;" ")),1,0))+IF(Task!$A$12="",0,IF(ISNUMBER(SEARCH(" "&amp;Task!$A$12&amp;" "," "&amp;LOWER(C133)&amp;" ")),1,0))+IF(Task!$A$13="",0,IF(ISNUMBER(SEARCH(" "&amp;Task!$A$13&amp;" "," "&amp;LOWER(C133)&amp;" ")),1,0))+IF(Task!$A$14="",0,IF(ISNUMBER(SEARCH(" "&amp;Task!$A$14&amp;" "," "&amp;LOWER(C133)&amp;" ")),1,0))+IF(Task!$A$15="",0,IF(ISNUMBER(SEARCH(" "&amp;Task!$A$15&amp;" "," "&amp;LOWER(C133)&amp;" ")),1,0))+IF(Task!$A$16="",0,IF(ISNUMBER(SEARCH(" "&amp;Task!$A$16&amp;" "," "&amp;LOWER(C133)&amp;" ")),1,0))+IF(Task!$A$17="",0,IF(ISNUMBER(SEARCH(" "&amp;Task!$A$17&amp;" "," "&amp;LOWER(C133)&amp;" ")),1,0))+IF(Task!$A$18="",0,IF(ISNUMBER(SEARCH(" "&amp;Task!$A$18&amp;" "," "&amp;LOWER(C133)&amp;" ")),1,0))+IF(Task!$A$19="",0,IF(ISNUMBER(SEARCH(" "&amp;Task!$A$19&amp;" "," "&amp;LOWER(C133)&amp;" ")),1,0)))</f>
        <v/>
      </c>
      <c r="H133" s="9">
        <f>IF(E133=0,0,IF(Task!$A$8="",0,IF(ISNUMBER(SEARCH(" "&amp;Task!$A$8&amp;" "," "&amp;LOWER(SUBSTITUTE(SUBSTITUTE(SUBSTITUTE(SUBSTITUTE(A133,"/"," "),"."," "),"\"," "),"_"," "))&amp;" ")),1,0))+IF(Task!$A$9="",0,IF(ISNUMBER(SEARCH(" "&amp;Task!$A$9&amp;" "," "&amp;LOWER(SUBSTITUTE(SUBSTITUTE(SUBSTITUTE(SUBSTITUTE(A133,"/"," "),"."," "),"\"," "),"_"," "))&amp;" ")),1,0))+IF(Task!$A$10="",0,IF(ISNUMBER(SEARCH(" "&amp;Task!$A$10&amp;" "," "&amp;LOWER(SUBSTITUTE(SUBSTITUTE(SUBSTITUTE(SUBSTITUTE(A133,"/"," "),"."," "),"\"," "),"_"," "))&amp;" ")),1,0))+IF(Task!$A$11="",0,IF(ISNUMBER(SEARCH(" "&amp;Task!$A$11&amp;" "," "&amp;LOWER(SUBSTITUTE(SUBSTITUTE(SUBSTITUTE(SUBSTITUTE(A133,"/"," "),"."," "),"\"," "),"_"," "))&amp;" ")),1,0))+IF(Task!$A$12="",0,IF(ISNUMBER(SEARCH(" "&amp;Task!$A$12&amp;" "," "&amp;LOWER(SUBSTITUTE(SUBSTITUTE(SUBSTITUTE(SUBSTITUTE(A133,"/"," "),"."," "),"\"," "),"_"," "))&amp;" ")),1,0))+IF(Task!$A$13="",0,IF(ISNUMBER(SEARCH(" "&amp;Task!$A$13&amp;" "," "&amp;LOWER(SUBSTITUTE(SUBSTITUTE(SUBSTITUTE(SUBSTITUTE(A133,"/"," "),"."," "),"\"," "),"_"," "))&amp;" ")),1,0))+IF(Task!$A$14="",0,IF(ISNUMBER(SEARCH(" "&amp;Task!$A$14&amp;" "," "&amp;LOWER(SUBSTITUTE(SUBSTITUTE(SUBSTITUTE(SUBSTITUTE(A133,"/"," "),"."," "),"\"," "),"_"," "))&amp;" ")),1,0))+IF(Task!$A$15="",0,IF(ISNUMBER(SEARCH(" "&amp;Task!$A$15&amp;" "," "&amp;LOWER(SUBSTITUTE(SUBSTITUTE(SUBSTITUTE(SUBSTITUTE(A133,"/"," "),"."," "),"\"," "),"_"," "))&amp;" ")),1,0))+IF(Task!$A$16="",0,IF(ISNUMBER(SEARCH(" "&amp;Task!$A$16&amp;" "," "&amp;LOWER(SUBSTITUTE(SUBSTITUTE(SUBSTITUTE(SUBSTITUTE(A133,"/"," "),"."," "),"\"," "),"_"," "))&amp;" ")),1,0))+IF(Task!$A$17="",0,IF(ISNUMBER(SEARCH(" "&amp;Task!$A$17&amp;" "," "&amp;LOWER(SUBSTITUTE(SUBSTITUTE(SUBSTITUTE(SUBSTITUTE(A133,"/"," "),"."," "),"\"," "),"_"," "))&amp;" ")),1,0))+IF(Task!$A$18="",0,IF(ISNUMBER(SEARCH(" "&amp;Task!$A$18&amp;" "," "&amp;LOWER(SUBSTITUTE(SUBSTITUTE(SUBSTITUTE(SUBSTITUTE(A133,"/"," "),"."," "),"\"," "),"_"," "))&amp;" ")),1,0))+IF(Task!$A$19="",0,IF(ISNUMBER(SEARCH(" "&amp;Task!$A$19&amp;" "," "&amp;LOWER(SUBSTITUTE(SUBSTITUTE(SUBSTITUTE(SUBSTITUTE(A133,"/"," "),"."," "),"\"," "),"_"," "))&amp;" ")),1,0)))</f>
        <v/>
      </c>
      <c r="I133" s="10">
        <f>IF(OR(E133=0,F133=0,Task!$B$21=0),"",F133/Task!$B$21+0.5*G133+0.25*H133)</f>
        <v/>
      </c>
      <c r="J133" s="5">
        <f>IF(I133="","",I133-ROW()/1000000)</f>
        <v/>
      </c>
      <c r="K133" s="9">
        <f>IF(J133="","",COUNTIF($J$5:$J$404,"&gt;"&amp;J133)+1)</f>
        <v/>
      </c>
    </row>
    <row r="134">
      <c r="A134" s="7" t="n"/>
      <c r="B134" s="7" t="n"/>
      <c r="C134" s="7" t="n"/>
      <c r="D134" s="7" t="n"/>
      <c r="E134" s="5">
        <f>IF(A134="",0,IF(COUNTA(Task!$B$5:$E$5)=0,1,IF(COUNTIF(Task!$B$5:$E$5,B134)&gt;0,1,0)))</f>
        <v/>
      </c>
      <c r="F134" s="9">
        <f>IF(E134=0,0,IF(Task!$A$8="",0,IF(ISNUMBER(SEARCH(" "&amp;Task!$A$8&amp;" "," "&amp;LOWER(D134&amp;" "&amp;C134&amp;" "&amp;LOWER(SUBSTITUTE(SUBSTITUTE(SUBSTITUTE(SUBSTITUTE(A134,"/"," "),"."," "),"\"," "),"_"," ")))&amp;" ")),1,0))+IF(Task!$A$9="",0,IF(ISNUMBER(SEARCH(" "&amp;Task!$A$9&amp;" "," "&amp;LOWER(D134&amp;" "&amp;C134&amp;" "&amp;LOWER(SUBSTITUTE(SUBSTITUTE(SUBSTITUTE(SUBSTITUTE(A134,"/"," "),"."," "),"\"," "),"_"," ")))&amp;" ")),1,0))+IF(Task!$A$10="",0,IF(ISNUMBER(SEARCH(" "&amp;Task!$A$10&amp;" "," "&amp;LOWER(D134&amp;" "&amp;C134&amp;" "&amp;LOWER(SUBSTITUTE(SUBSTITUTE(SUBSTITUTE(SUBSTITUTE(A134,"/"," "),"."," "),"\"," "),"_"," ")))&amp;" ")),1,0))+IF(Task!$A$11="",0,IF(ISNUMBER(SEARCH(" "&amp;Task!$A$11&amp;" "," "&amp;LOWER(D134&amp;" "&amp;C134&amp;" "&amp;LOWER(SUBSTITUTE(SUBSTITUTE(SUBSTITUTE(SUBSTITUTE(A134,"/"," "),"."," "),"\"," "),"_"," ")))&amp;" ")),1,0))+IF(Task!$A$12="",0,IF(ISNUMBER(SEARCH(" "&amp;Task!$A$12&amp;" "," "&amp;LOWER(D134&amp;" "&amp;C134&amp;" "&amp;LOWER(SUBSTITUTE(SUBSTITUTE(SUBSTITUTE(SUBSTITUTE(A134,"/"," "),"."," "),"\"," "),"_"," ")))&amp;" ")),1,0))+IF(Task!$A$13="",0,IF(ISNUMBER(SEARCH(" "&amp;Task!$A$13&amp;" "," "&amp;LOWER(D134&amp;" "&amp;C134&amp;" "&amp;LOWER(SUBSTITUTE(SUBSTITUTE(SUBSTITUTE(SUBSTITUTE(A134,"/"," "),"."," "),"\"," "),"_"," ")))&amp;" ")),1,0))+IF(Task!$A$14="",0,IF(ISNUMBER(SEARCH(" "&amp;Task!$A$14&amp;" "," "&amp;LOWER(D134&amp;" "&amp;C134&amp;" "&amp;LOWER(SUBSTITUTE(SUBSTITUTE(SUBSTITUTE(SUBSTITUTE(A134,"/"," "),"."," "),"\"," "),"_"," ")))&amp;" ")),1,0))+IF(Task!$A$15="",0,IF(ISNUMBER(SEARCH(" "&amp;Task!$A$15&amp;" "," "&amp;LOWER(D134&amp;" "&amp;C134&amp;" "&amp;LOWER(SUBSTITUTE(SUBSTITUTE(SUBSTITUTE(SUBSTITUTE(A134,"/"," "),"."," "),"\"," "),"_"," ")))&amp;" ")),1,0))+IF(Task!$A$16="",0,IF(ISNUMBER(SEARCH(" "&amp;Task!$A$16&amp;" "," "&amp;LOWER(D134&amp;" "&amp;C134&amp;" "&amp;LOWER(SUBSTITUTE(SUBSTITUTE(SUBSTITUTE(SUBSTITUTE(A134,"/"," "),"."," "),"\"," "),"_"," ")))&amp;" ")),1,0))+IF(Task!$A$17="",0,IF(ISNUMBER(SEARCH(" "&amp;Task!$A$17&amp;" "," "&amp;LOWER(D134&amp;" "&amp;C134&amp;" "&amp;LOWER(SUBSTITUTE(SUBSTITUTE(SUBSTITUTE(SUBSTITUTE(A134,"/"," "),"."," "),"\"," "),"_"," ")))&amp;" ")),1,0))+IF(Task!$A$18="",0,IF(ISNUMBER(SEARCH(" "&amp;Task!$A$18&amp;" "," "&amp;LOWER(D134&amp;" "&amp;C134&amp;" "&amp;LOWER(SUBSTITUTE(SUBSTITUTE(SUBSTITUTE(SUBSTITUTE(A134,"/"," "),"."," "),"\"," "),"_"," ")))&amp;" ")),1,0))+IF(Task!$A$19="",0,IF(ISNUMBER(SEARCH(" "&amp;Task!$A$19&amp;" "," "&amp;LOWER(D134&amp;" "&amp;C134&amp;" "&amp;LOWER(SUBSTITUTE(SUBSTITUTE(SUBSTITUTE(SUBSTITUTE(A134,"/"," "),"."," "),"\"," "),"_"," ")))&amp;" ")),1,0)))</f>
        <v/>
      </c>
      <c r="G134" s="9">
        <f>IF(E134=0,0,IF(Task!$A$8="",0,IF(ISNUMBER(SEARCH(" "&amp;Task!$A$8&amp;" "," "&amp;LOWER(C134)&amp;" ")),1,0))+IF(Task!$A$9="",0,IF(ISNUMBER(SEARCH(" "&amp;Task!$A$9&amp;" "," "&amp;LOWER(C134)&amp;" ")),1,0))+IF(Task!$A$10="",0,IF(ISNUMBER(SEARCH(" "&amp;Task!$A$10&amp;" "," "&amp;LOWER(C134)&amp;" ")),1,0))+IF(Task!$A$11="",0,IF(ISNUMBER(SEARCH(" "&amp;Task!$A$11&amp;" "," "&amp;LOWER(C134)&amp;" ")),1,0))+IF(Task!$A$12="",0,IF(ISNUMBER(SEARCH(" "&amp;Task!$A$12&amp;" "," "&amp;LOWER(C134)&amp;" ")),1,0))+IF(Task!$A$13="",0,IF(ISNUMBER(SEARCH(" "&amp;Task!$A$13&amp;" "," "&amp;LOWER(C134)&amp;" ")),1,0))+IF(Task!$A$14="",0,IF(ISNUMBER(SEARCH(" "&amp;Task!$A$14&amp;" "," "&amp;LOWER(C134)&amp;" ")),1,0))+IF(Task!$A$15="",0,IF(ISNUMBER(SEARCH(" "&amp;Task!$A$15&amp;" "," "&amp;LOWER(C134)&amp;" ")),1,0))+IF(Task!$A$16="",0,IF(ISNUMBER(SEARCH(" "&amp;Task!$A$16&amp;" "," "&amp;LOWER(C134)&amp;" ")),1,0))+IF(Task!$A$17="",0,IF(ISNUMBER(SEARCH(" "&amp;Task!$A$17&amp;" "," "&amp;LOWER(C134)&amp;" ")),1,0))+IF(Task!$A$18="",0,IF(ISNUMBER(SEARCH(" "&amp;Task!$A$18&amp;" "," "&amp;LOWER(C134)&amp;" ")),1,0))+IF(Task!$A$19="",0,IF(ISNUMBER(SEARCH(" "&amp;Task!$A$19&amp;" "," "&amp;LOWER(C134)&amp;" ")),1,0)))</f>
        <v/>
      </c>
      <c r="H134" s="9">
        <f>IF(E134=0,0,IF(Task!$A$8="",0,IF(ISNUMBER(SEARCH(" "&amp;Task!$A$8&amp;" "," "&amp;LOWER(SUBSTITUTE(SUBSTITUTE(SUBSTITUTE(SUBSTITUTE(A134,"/"," "),"."," "),"\"," "),"_"," "))&amp;" ")),1,0))+IF(Task!$A$9="",0,IF(ISNUMBER(SEARCH(" "&amp;Task!$A$9&amp;" "," "&amp;LOWER(SUBSTITUTE(SUBSTITUTE(SUBSTITUTE(SUBSTITUTE(A134,"/"," "),"."," "),"\"," "),"_"," "))&amp;" ")),1,0))+IF(Task!$A$10="",0,IF(ISNUMBER(SEARCH(" "&amp;Task!$A$10&amp;" "," "&amp;LOWER(SUBSTITUTE(SUBSTITUTE(SUBSTITUTE(SUBSTITUTE(A134,"/"," "),"."," "),"\"," "),"_"," "))&amp;" ")),1,0))+IF(Task!$A$11="",0,IF(ISNUMBER(SEARCH(" "&amp;Task!$A$11&amp;" "," "&amp;LOWER(SUBSTITUTE(SUBSTITUTE(SUBSTITUTE(SUBSTITUTE(A134,"/"," "),"."," "),"\"," "),"_"," "))&amp;" ")),1,0))+IF(Task!$A$12="",0,IF(ISNUMBER(SEARCH(" "&amp;Task!$A$12&amp;" "," "&amp;LOWER(SUBSTITUTE(SUBSTITUTE(SUBSTITUTE(SUBSTITUTE(A134,"/"," "),"."," "),"\"," "),"_"," "))&amp;" ")),1,0))+IF(Task!$A$13="",0,IF(ISNUMBER(SEARCH(" "&amp;Task!$A$13&amp;" "," "&amp;LOWER(SUBSTITUTE(SUBSTITUTE(SUBSTITUTE(SUBSTITUTE(A134,"/"," "),"."," "),"\"," "),"_"," "))&amp;" ")),1,0))+IF(Task!$A$14="",0,IF(ISNUMBER(SEARCH(" "&amp;Task!$A$14&amp;" "," "&amp;LOWER(SUBSTITUTE(SUBSTITUTE(SUBSTITUTE(SUBSTITUTE(A134,"/"," "),"."," "),"\"," "),"_"," "))&amp;" ")),1,0))+IF(Task!$A$15="",0,IF(ISNUMBER(SEARCH(" "&amp;Task!$A$15&amp;" "," "&amp;LOWER(SUBSTITUTE(SUBSTITUTE(SUBSTITUTE(SUBSTITUTE(A134,"/"," "),"."," "),"\"," "),"_"," "))&amp;" ")),1,0))+IF(Task!$A$16="",0,IF(ISNUMBER(SEARCH(" "&amp;Task!$A$16&amp;" "," "&amp;LOWER(SUBSTITUTE(SUBSTITUTE(SUBSTITUTE(SUBSTITUTE(A134,"/"," "),"."," "),"\"," "),"_"," "))&amp;" ")),1,0))+IF(Task!$A$17="",0,IF(ISNUMBER(SEARCH(" "&amp;Task!$A$17&amp;" "," "&amp;LOWER(SUBSTITUTE(SUBSTITUTE(SUBSTITUTE(SUBSTITUTE(A134,"/"," "),"."," "),"\"," "),"_"," "))&amp;" ")),1,0))+IF(Task!$A$18="",0,IF(ISNUMBER(SEARCH(" "&amp;Task!$A$18&amp;" "," "&amp;LOWER(SUBSTITUTE(SUBSTITUTE(SUBSTITUTE(SUBSTITUTE(A134,"/"," "),"."," "),"\"," "),"_"," "))&amp;" ")),1,0))+IF(Task!$A$19="",0,IF(ISNUMBER(SEARCH(" "&amp;Task!$A$19&amp;" "," "&amp;LOWER(SUBSTITUTE(SUBSTITUTE(SUBSTITUTE(SUBSTITUTE(A134,"/"," "),"."," "),"\"," "),"_"," "))&amp;" ")),1,0)))</f>
        <v/>
      </c>
      <c r="I134" s="10">
        <f>IF(OR(E134=0,F134=0,Task!$B$21=0),"",F134/Task!$B$21+0.5*G134+0.25*H134)</f>
        <v/>
      </c>
      <c r="J134" s="5">
        <f>IF(I134="","",I134-ROW()/1000000)</f>
        <v/>
      </c>
      <c r="K134" s="9">
        <f>IF(J134="","",COUNTIF($J$5:$J$404,"&gt;"&amp;J134)+1)</f>
        <v/>
      </c>
    </row>
    <row r="135">
      <c r="A135" s="7" t="n"/>
      <c r="B135" s="7" t="n"/>
      <c r="C135" s="7" t="n"/>
      <c r="D135" s="7" t="n"/>
      <c r="E135" s="5">
        <f>IF(A135="",0,IF(COUNTA(Task!$B$5:$E$5)=0,1,IF(COUNTIF(Task!$B$5:$E$5,B135)&gt;0,1,0)))</f>
        <v/>
      </c>
      <c r="F135" s="9">
        <f>IF(E135=0,0,IF(Task!$A$8="",0,IF(ISNUMBER(SEARCH(" "&amp;Task!$A$8&amp;" "," "&amp;LOWER(D135&amp;" "&amp;C135&amp;" "&amp;LOWER(SUBSTITUTE(SUBSTITUTE(SUBSTITUTE(SUBSTITUTE(A135,"/"," "),"."," "),"\"," "),"_"," ")))&amp;" ")),1,0))+IF(Task!$A$9="",0,IF(ISNUMBER(SEARCH(" "&amp;Task!$A$9&amp;" "," "&amp;LOWER(D135&amp;" "&amp;C135&amp;" "&amp;LOWER(SUBSTITUTE(SUBSTITUTE(SUBSTITUTE(SUBSTITUTE(A135,"/"," "),"."," "),"\"," "),"_"," ")))&amp;" ")),1,0))+IF(Task!$A$10="",0,IF(ISNUMBER(SEARCH(" "&amp;Task!$A$10&amp;" "," "&amp;LOWER(D135&amp;" "&amp;C135&amp;" "&amp;LOWER(SUBSTITUTE(SUBSTITUTE(SUBSTITUTE(SUBSTITUTE(A135,"/"," "),"."," "),"\"," "),"_"," ")))&amp;" ")),1,0))+IF(Task!$A$11="",0,IF(ISNUMBER(SEARCH(" "&amp;Task!$A$11&amp;" "," "&amp;LOWER(D135&amp;" "&amp;C135&amp;" "&amp;LOWER(SUBSTITUTE(SUBSTITUTE(SUBSTITUTE(SUBSTITUTE(A135,"/"," "),"."," "),"\"," "),"_"," ")))&amp;" ")),1,0))+IF(Task!$A$12="",0,IF(ISNUMBER(SEARCH(" "&amp;Task!$A$12&amp;" "," "&amp;LOWER(D135&amp;" "&amp;C135&amp;" "&amp;LOWER(SUBSTITUTE(SUBSTITUTE(SUBSTITUTE(SUBSTITUTE(A135,"/"," "),"."," "),"\"," "),"_"," ")))&amp;" ")),1,0))+IF(Task!$A$13="",0,IF(ISNUMBER(SEARCH(" "&amp;Task!$A$13&amp;" "," "&amp;LOWER(D135&amp;" "&amp;C135&amp;" "&amp;LOWER(SUBSTITUTE(SUBSTITUTE(SUBSTITUTE(SUBSTITUTE(A135,"/"," "),"."," "),"\"," "),"_"," ")))&amp;" ")),1,0))+IF(Task!$A$14="",0,IF(ISNUMBER(SEARCH(" "&amp;Task!$A$14&amp;" "," "&amp;LOWER(D135&amp;" "&amp;C135&amp;" "&amp;LOWER(SUBSTITUTE(SUBSTITUTE(SUBSTITUTE(SUBSTITUTE(A135,"/"," "),"."," "),"\"," "),"_"," ")))&amp;" ")),1,0))+IF(Task!$A$15="",0,IF(ISNUMBER(SEARCH(" "&amp;Task!$A$15&amp;" "," "&amp;LOWER(D135&amp;" "&amp;C135&amp;" "&amp;LOWER(SUBSTITUTE(SUBSTITUTE(SUBSTITUTE(SUBSTITUTE(A135,"/"," "),"."," "),"\"," "),"_"," ")))&amp;" ")),1,0))+IF(Task!$A$16="",0,IF(ISNUMBER(SEARCH(" "&amp;Task!$A$16&amp;" "," "&amp;LOWER(D135&amp;" "&amp;C135&amp;" "&amp;LOWER(SUBSTITUTE(SUBSTITUTE(SUBSTITUTE(SUBSTITUTE(A135,"/"," "),"."," "),"\"," "),"_"," ")))&amp;" ")),1,0))+IF(Task!$A$17="",0,IF(ISNUMBER(SEARCH(" "&amp;Task!$A$17&amp;" "," "&amp;LOWER(D135&amp;" "&amp;C135&amp;" "&amp;LOWER(SUBSTITUTE(SUBSTITUTE(SUBSTITUTE(SUBSTITUTE(A135,"/"," "),"."," "),"\"," "),"_"," ")))&amp;" ")),1,0))+IF(Task!$A$18="",0,IF(ISNUMBER(SEARCH(" "&amp;Task!$A$18&amp;" "," "&amp;LOWER(D135&amp;" "&amp;C135&amp;" "&amp;LOWER(SUBSTITUTE(SUBSTITUTE(SUBSTITUTE(SUBSTITUTE(A135,"/"," "),"."," "),"\"," "),"_"," ")))&amp;" ")),1,0))+IF(Task!$A$19="",0,IF(ISNUMBER(SEARCH(" "&amp;Task!$A$19&amp;" "," "&amp;LOWER(D135&amp;" "&amp;C135&amp;" "&amp;LOWER(SUBSTITUTE(SUBSTITUTE(SUBSTITUTE(SUBSTITUTE(A135,"/"," "),"."," "),"\"," "),"_"," ")))&amp;" ")),1,0)))</f>
        <v/>
      </c>
      <c r="G135" s="9">
        <f>IF(E135=0,0,IF(Task!$A$8="",0,IF(ISNUMBER(SEARCH(" "&amp;Task!$A$8&amp;" "," "&amp;LOWER(C135)&amp;" ")),1,0))+IF(Task!$A$9="",0,IF(ISNUMBER(SEARCH(" "&amp;Task!$A$9&amp;" "," "&amp;LOWER(C135)&amp;" ")),1,0))+IF(Task!$A$10="",0,IF(ISNUMBER(SEARCH(" "&amp;Task!$A$10&amp;" "," "&amp;LOWER(C135)&amp;" ")),1,0))+IF(Task!$A$11="",0,IF(ISNUMBER(SEARCH(" "&amp;Task!$A$11&amp;" "," "&amp;LOWER(C135)&amp;" ")),1,0))+IF(Task!$A$12="",0,IF(ISNUMBER(SEARCH(" "&amp;Task!$A$12&amp;" "," "&amp;LOWER(C135)&amp;" ")),1,0))+IF(Task!$A$13="",0,IF(ISNUMBER(SEARCH(" "&amp;Task!$A$13&amp;" "," "&amp;LOWER(C135)&amp;" ")),1,0))+IF(Task!$A$14="",0,IF(ISNUMBER(SEARCH(" "&amp;Task!$A$14&amp;" "," "&amp;LOWER(C135)&amp;" ")),1,0))+IF(Task!$A$15="",0,IF(ISNUMBER(SEARCH(" "&amp;Task!$A$15&amp;" "," "&amp;LOWER(C135)&amp;" ")),1,0))+IF(Task!$A$16="",0,IF(ISNUMBER(SEARCH(" "&amp;Task!$A$16&amp;" "," "&amp;LOWER(C135)&amp;" ")),1,0))+IF(Task!$A$17="",0,IF(ISNUMBER(SEARCH(" "&amp;Task!$A$17&amp;" "," "&amp;LOWER(C135)&amp;" ")),1,0))+IF(Task!$A$18="",0,IF(ISNUMBER(SEARCH(" "&amp;Task!$A$18&amp;" "," "&amp;LOWER(C135)&amp;" ")),1,0))+IF(Task!$A$19="",0,IF(ISNUMBER(SEARCH(" "&amp;Task!$A$19&amp;" "," "&amp;LOWER(C135)&amp;" ")),1,0)))</f>
        <v/>
      </c>
      <c r="H135" s="9">
        <f>IF(E135=0,0,IF(Task!$A$8="",0,IF(ISNUMBER(SEARCH(" "&amp;Task!$A$8&amp;" "," "&amp;LOWER(SUBSTITUTE(SUBSTITUTE(SUBSTITUTE(SUBSTITUTE(A135,"/"," "),"."," "),"\"," "),"_"," "))&amp;" ")),1,0))+IF(Task!$A$9="",0,IF(ISNUMBER(SEARCH(" "&amp;Task!$A$9&amp;" "," "&amp;LOWER(SUBSTITUTE(SUBSTITUTE(SUBSTITUTE(SUBSTITUTE(A135,"/"," "),"."," "),"\"," "),"_"," "))&amp;" ")),1,0))+IF(Task!$A$10="",0,IF(ISNUMBER(SEARCH(" "&amp;Task!$A$10&amp;" "," "&amp;LOWER(SUBSTITUTE(SUBSTITUTE(SUBSTITUTE(SUBSTITUTE(A135,"/"," "),"."," "),"\"," "),"_"," "))&amp;" ")),1,0))+IF(Task!$A$11="",0,IF(ISNUMBER(SEARCH(" "&amp;Task!$A$11&amp;" "," "&amp;LOWER(SUBSTITUTE(SUBSTITUTE(SUBSTITUTE(SUBSTITUTE(A135,"/"," "),"."," "),"\"," "),"_"," "))&amp;" ")),1,0))+IF(Task!$A$12="",0,IF(ISNUMBER(SEARCH(" "&amp;Task!$A$12&amp;" "," "&amp;LOWER(SUBSTITUTE(SUBSTITUTE(SUBSTITUTE(SUBSTITUTE(A135,"/"," "),"."," "),"\"," "),"_"," "))&amp;" ")),1,0))+IF(Task!$A$13="",0,IF(ISNUMBER(SEARCH(" "&amp;Task!$A$13&amp;" "," "&amp;LOWER(SUBSTITUTE(SUBSTITUTE(SUBSTITUTE(SUBSTITUTE(A135,"/"," "),"."," "),"\"," "),"_"," "))&amp;" ")),1,0))+IF(Task!$A$14="",0,IF(ISNUMBER(SEARCH(" "&amp;Task!$A$14&amp;" "," "&amp;LOWER(SUBSTITUTE(SUBSTITUTE(SUBSTITUTE(SUBSTITUTE(A135,"/"," "),"."," "),"\"," "),"_"," "))&amp;" ")),1,0))+IF(Task!$A$15="",0,IF(ISNUMBER(SEARCH(" "&amp;Task!$A$15&amp;" "," "&amp;LOWER(SUBSTITUTE(SUBSTITUTE(SUBSTITUTE(SUBSTITUTE(A135,"/"," "),"."," "),"\"," "),"_"," "))&amp;" ")),1,0))+IF(Task!$A$16="",0,IF(ISNUMBER(SEARCH(" "&amp;Task!$A$16&amp;" "," "&amp;LOWER(SUBSTITUTE(SUBSTITUTE(SUBSTITUTE(SUBSTITUTE(A135,"/"," "),"."," "),"\"," "),"_"," "))&amp;" ")),1,0))+IF(Task!$A$17="",0,IF(ISNUMBER(SEARCH(" "&amp;Task!$A$17&amp;" "," "&amp;LOWER(SUBSTITUTE(SUBSTITUTE(SUBSTITUTE(SUBSTITUTE(A135,"/"," "),"."," "),"\"," "),"_"," "))&amp;" ")),1,0))+IF(Task!$A$18="",0,IF(ISNUMBER(SEARCH(" "&amp;Task!$A$18&amp;" "," "&amp;LOWER(SUBSTITUTE(SUBSTITUTE(SUBSTITUTE(SUBSTITUTE(A135,"/"," "),"."," "),"\"," "),"_"," "))&amp;" ")),1,0))+IF(Task!$A$19="",0,IF(ISNUMBER(SEARCH(" "&amp;Task!$A$19&amp;" "," "&amp;LOWER(SUBSTITUTE(SUBSTITUTE(SUBSTITUTE(SUBSTITUTE(A135,"/"," "),"."," "),"\"," "),"_"," "))&amp;" ")),1,0)))</f>
        <v/>
      </c>
      <c r="I135" s="10">
        <f>IF(OR(E135=0,F135=0,Task!$B$21=0),"",F135/Task!$B$21+0.5*G135+0.25*H135)</f>
        <v/>
      </c>
      <c r="J135" s="5">
        <f>IF(I135="","",I135-ROW()/1000000)</f>
        <v/>
      </c>
      <c r="K135" s="9">
        <f>IF(J135="","",COUNTIF($J$5:$J$404,"&gt;"&amp;J135)+1)</f>
        <v/>
      </c>
    </row>
    <row r="136">
      <c r="A136" s="7" t="n"/>
      <c r="B136" s="7" t="n"/>
      <c r="C136" s="7" t="n"/>
      <c r="D136" s="7" t="n"/>
      <c r="E136" s="5">
        <f>IF(A136="",0,IF(COUNTA(Task!$B$5:$E$5)=0,1,IF(COUNTIF(Task!$B$5:$E$5,B136)&gt;0,1,0)))</f>
        <v/>
      </c>
      <c r="F136" s="9">
        <f>IF(E136=0,0,IF(Task!$A$8="",0,IF(ISNUMBER(SEARCH(" "&amp;Task!$A$8&amp;" "," "&amp;LOWER(D136&amp;" "&amp;C136&amp;" "&amp;LOWER(SUBSTITUTE(SUBSTITUTE(SUBSTITUTE(SUBSTITUTE(A136,"/"," "),"."," "),"\"," "),"_"," ")))&amp;" ")),1,0))+IF(Task!$A$9="",0,IF(ISNUMBER(SEARCH(" "&amp;Task!$A$9&amp;" "," "&amp;LOWER(D136&amp;" "&amp;C136&amp;" "&amp;LOWER(SUBSTITUTE(SUBSTITUTE(SUBSTITUTE(SUBSTITUTE(A136,"/"," "),"."," "),"\"," "),"_"," ")))&amp;" ")),1,0))+IF(Task!$A$10="",0,IF(ISNUMBER(SEARCH(" "&amp;Task!$A$10&amp;" "," "&amp;LOWER(D136&amp;" "&amp;C136&amp;" "&amp;LOWER(SUBSTITUTE(SUBSTITUTE(SUBSTITUTE(SUBSTITUTE(A136,"/"," "),"."," "),"\"," "),"_"," ")))&amp;" ")),1,0))+IF(Task!$A$11="",0,IF(ISNUMBER(SEARCH(" "&amp;Task!$A$11&amp;" "," "&amp;LOWER(D136&amp;" "&amp;C136&amp;" "&amp;LOWER(SUBSTITUTE(SUBSTITUTE(SUBSTITUTE(SUBSTITUTE(A136,"/"," "),"."," "),"\"," "),"_"," ")))&amp;" ")),1,0))+IF(Task!$A$12="",0,IF(ISNUMBER(SEARCH(" "&amp;Task!$A$12&amp;" "," "&amp;LOWER(D136&amp;" "&amp;C136&amp;" "&amp;LOWER(SUBSTITUTE(SUBSTITUTE(SUBSTITUTE(SUBSTITUTE(A136,"/"," "),"."," "),"\"," "),"_"," ")))&amp;" ")),1,0))+IF(Task!$A$13="",0,IF(ISNUMBER(SEARCH(" "&amp;Task!$A$13&amp;" "," "&amp;LOWER(D136&amp;" "&amp;C136&amp;" "&amp;LOWER(SUBSTITUTE(SUBSTITUTE(SUBSTITUTE(SUBSTITUTE(A136,"/"," "),"."," "),"\"," "),"_"," ")))&amp;" ")),1,0))+IF(Task!$A$14="",0,IF(ISNUMBER(SEARCH(" "&amp;Task!$A$14&amp;" "," "&amp;LOWER(D136&amp;" "&amp;C136&amp;" "&amp;LOWER(SUBSTITUTE(SUBSTITUTE(SUBSTITUTE(SUBSTITUTE(A136,"/"," "),"."," "),"\"," "),"_"," ")))&amp;" ")),1,0))+IF(Task!$A$15="",0,IF(ISNUMBER(SEARCH(" "&amp;Task!$A$15&amp;" "," "&amp;LOWER(D136&amp;" "&amp;C136&amp;" "&amp;LOWER(SUBSTITUTE(SUBSTITUTE(SUBSTITUTE(SUBSTITUTE(A136,"/"," "),"."," "),"\"," "),"_"," ")))&amp;" ")),1,0))+IF(Task!$A$16="",0,IF(ISNUMBER(SEARCH(" "&amp;Task!$A$16&amp;" "," "&amp;LOWER(D136&amp;" "&amp;C136&amp;" "&amp;LOWER(SUBSTITUTE(SUBSTITUTE(SUBSTITUTE(SUBSTITUTE(A136,"/"," "),"."," "),"\"," "),"_"," ")))&amp;" ")),1,0))+IF(Task!$A$17="",0,IF(ISNUMBER(SEARCH(" "&amp;Task!$A$17&amp;" "," "&amp;LOWER(D136&amp;" "&amp;C136&amp;" "&amp;LOWER(SUBSTITUTE(SUBSTITUTE(SUBSTITUTE(SUBSTITUTE(A136,"/"," "),"."," "),"\"," "),"_"," ")))&amp;" ")),1,0))+IF(Task!$A$18="",0,IF(ISNUMBER(SEARCH(" "&amp;Task!$A$18&amp;" "," "&amp;LOWER(D136&amp;" "&amp;C136&amp;" "&amp;LOWER(SUBSTITUTE(SUBSTITUTE(SUBSTITUTE(SUBSTITUTE(A136,"/"," "),"."," "),"\"," "),"_"," ")))&amp;" ")),1,0))+IF(Task!$A$19="",0,IF(ISNUMBER(SEARCH(" "&amp;Task!$A$19&amp;" "," "&amp;LOWER(D136&amp;" "&amp;C136&amp;" "&amp;LOWER(SUBSTITUTE(SUBSTITUTE(SUBSTITUTE(SUBSTITUTE(A136,"/"," "),"."," "),"\"," "),"_"," ")))&amp;" ")),1,0)))</f>
        <v/>
      </c>
      <c r="G136" s="9">
        <f>IF(E136=0,0,IF(Task!$A$8="",0,IF(ISNUMBER(SEARCH(" "&amp;Task!$A$8&amp;" "," "&amp;LOWER(C136)&amp;" ")),1,0))+IF(Task!$A$9="",0,IF(ISNUMBER(SEARCH(" "&amp;Task!$A$9&amp;" "," "&amp;LOWER(C136)&amp;" ")),1,0))+IF(Task!$A$10="",0,IF(ISNUMBER(SEARCH(" "&amp;Task!$A$10&amp;" "," "&amp;LOWER(C136)&amp;" ")),1,0))+IF(Task!$A$11="",0,IF(ISNUMBER(SEARCH(" "&amp;Task!$A$11&amp;" "," "&amp;LOWER(C136)&amp;" ")),1,0))+IF(Task!$A$12="",0,IF(ISNUMBER(SEARCH(" "&amp;Task!$A$12&amp;" "," "&amp;LOWER(C136)&amp;" ")),1,0))+IF(Task!$A$13="",0,IF(ISNUMBER(SEARCH(" "&amp;Task!$A$13&amp;" "," "&amp;LOWER(C136)&amp;" ")),1,0))+IF(Task!$A$14="",0,IF(ISNUMBER(SEARCH(" "&amp;Task!$A$14&amp;" "," "&amp;LOWER(C136)&amp;" ")),1,0))+IF(Task!$A$15="",0,IF(ISNUMBER(SEARCH(" "&amp;Task!$A$15&amp;" "," "&amp;LOWER(C136)&amp;" ")),1,0))+IF(Task!$A$16="",0,IF(ISNUMBER(SEARCH(" "&amp;Task!$A$16&amp;" "," "&amp;LOWER(C136)&amp;" ")),1,0))+IF(Task!$A$17="",0,IF(ISNUMBER(SEARCH(" "&amp;Task!$A$17&amp;" "," "&amp;LOWER(C136)&amp;" ")),1,0))+IF(Task!$A$18="",0,IF(ISNUMBER(SEARCH(" "&amp;Task!$A$18&amp;" "," "&amp;LOWER(C136)&amp;" ")),1,0))+IF(Task!$A$19="",0,IF(ISNUMBER(SEARCH(" "&amp;Task!$A$19&amp;" "," "&amp;LOWER(C136)&amp;" ")),1,0)))</f>
        <v/>
      </c>
      <c r="H136" s="9">
        <f>IF(E136=0,0,IF(Task!$A$8="",0,IF(ISNUMBER(SEARCH(" "&amp;Task!$A$8&amp;" "," "&amp;LOWER(SUBSTITUTE(SUBSTITUTE(SUBSTITUTE(SUBSTITUTE(A136,"/"," "),"."," "),"\"," "),"_"," "))&amp;" ")),1,0))+IF(Task!$A$9="",0,IF(ISNUMBER(SEARCH(" "&amp;Task!$A$9&amp;" "," "&amp;LOWER(SUBSTITUTE(SUBSTITUTE(SUBSTITUTE(SUBSTITUTE(A136,"/"," "),"."," "),"\"," "),"_"," "))&amp;" ")),1,0))+IF(Task!$A$10="",0,IF(ISNUMBER(SEARCH(" "&amp;Task!$A$10&amp;" "," "&amp;LOWER(SUBSTITUTE(SUBSTITUTE(SUBSTITUTE(SUBSTITUTE(A136,"/"," "),"."," "),"\"," "),"_"," "))&amp;" ")),1,0))+IF(Task!$A$11="",0,IF(ISNUMBER(SEARCH(" "&amp;Task!$A$11&amp;" "," "&amp;LOWER(SUBSTITUTE(SUBSTITUTE(SUBSTITUTE(SUBSTITUTE(A136,"/"," "),"."," "),"\"," "),"_"," "))&amp;" ")),1,0))+IF(Task!$A$12="",0,IF(ISNUMBER(SEARCH(" "&amp;Task!$A$12&amp;" "," "&amp;LOWER(SUBSTITUTE(SUBSTITUTE(SUBSTITUTE(SUBSTITUTE(A136,"/"," "),"."," "),"\"," "),"_"," "))&amp;" ")),1,0))+IF(Task!$A$13="",0,IF(ISNUMBER(SEARCH(" "&amp;Task!$A$13&amp;" "," "&amp;LOWER(SUBSTITUTE(SUBSTITUTE(SUBSTITUTE(SUBSTITUTE(A136,"/"," "),"."," "),"\"," "),"_"," "))&amp;" ")),1,0))+IF(Task!$A$14="",0,IF(ISNUMBER(SEARCH(" "&amp;Task!$A$14&amp;" "," "&amp;LOWER(SUBSTITUTE(SUBSTITUTE(SUBSTITUTE(SUBSTITUTE(A136,"/"," "),"."," "),"\"," "),"_"," "))&amp;" ")),1,0))+IF(Task!$A$15="",0,IF(ISNUMBER(SEARCH(" "&amp;Task!$A$15&amp;" "," "&amp;LOWER(SUBSTITUTE(SUBSTITUTE(SUBSTITUTE(SUBSTITUTE(A136,"/"," "),"."," "),"\"," "),"_"," "))&amp;" ")),1,0))+IF(Task!$A$16="",0,IF(ISNUMBER(SEARCH(" "&amp;Task!$A$16&amp;" "," "&amp;LOWER(SUBSTITUTE(SUBSTITUTE(SUBSTITUTE(SUBSTITUTE(A136,"/"," "),"."," "),"\"," "),"_"," "))&amp;" ")),1,0))+IF(Task!$A$17="",0,IF(ISNUMBER(SEARCH(" "&amp;Task!$A$17&amp;" "," "&amp;LOWER(SUBSTITUTE(SUBSTITUTE(SUBSTITUTE(SUBSTITUTE(A136,"/"," "),"."," "),"\"," "),"_"," "))&amp;" ")),1,0))+IF(Task!$A$18="",0,IF(ISNUMBER(SEARCH(" "&amp;Task!$A$18&amp;" "," "&amp;LOWER(SUBSTITUTE(SUBSTITUTE(SUBSTITUTE(SUBSTITUTE(A136,"/"," "),"."," "),"\"," "),"_"," "))&amp;" ")),1,0))+IF(Task!$A$19="",0,IF(ISNUMBER(SEARCH(" "&amp;Task!$A$19&amp;" "," "&amp;LOWER(SUBSTITUTE(SUBSTITUTE(SUBSTITUTE(SUBSTITUTE(A136,"/"," "),"."," "),"\"," "),"_"," "))&amp;" ")),1,0)))</f>
        <v/>
      </c>
      <c r="I136" s="10">
        <f>IF(OR(E136=0,F136=0,Task!$B$21=0),"",F136/Task!$B$21+0.5*G136+0.25*H136)</f>
        <v/>
      </c>
      <c r="J136" s="5">
        <f>IF(I136="","",I136-ROW()/1000000)</f>
        <v/>
      </c>
      <c r="K136" s="9">
        <f>IF(J136="","",COUNTIF($J$5:$J$404,"&gt;"&amp;J136)+1)</f>
        <v/>
      </c>
    </row>
    <row r="137">
      <c r="A137" s="7" t="n"/>
      <c r="B137" s="7" t="n"/>
      <c r="C137" s="7" t="n"/>
      <c r="D137" s="7" t="n"/>
      <c r="E137" s="5">
        <f>IF(A137="",0,IF(COUNTA(Task!$B$5:$E$5)=0,1,IF(COUNTIF(Task!$B$5:$E$5,B137)&gt;0,1,0)))</f>
        <v/>
      </c>
      <c r="F137" s="9">
        <f>IF(E137=0,0,IF(Task!$A$8="",0,IF(ISNUMBER(SEARCH(" "&amp;Task!$A$8&amp;" "," "&amp;LOWER(D137&amp;" "&amp;C137&amp;" "&amp;LOWER(SUBSTITUTE(SUBSTITUTE(SUBSTITUTE(SUBSTITUTE(A137,"/"," "),"."," "),"\"," "),"_"," ")))&amp;" ")),1,0))+IF(Task!$A$9="",0,IF(ISNUMBER(SEARCH(" "&amp;Task!$A$9&amp;" "," "&amp;LOWER(D137&amp;" "&amp;C137&amp;" "&amp;LOWER(SUBSTITUTE(SUBSTITUTE(SUBSTITUTE(SUBSTITUTE(A137,"/"," "),"."," "),"\"," "),"_"," ")))&amp;" ")),1,0))+IF(Task!$A$10="",0,IF(ISNUMBER(SEARCH(" "&amp;Task!$A$10&amp;" "," "&amp;LOWER(D137&amp;" "&amp;C137&amp;" "&amp;LOWER(SUBSTITUTE(SUBSTITUTE(SUBSTITUTE(SUBSTITUTE(A137,"/"," "),"."," "),"\"," "),"_"," ")))&amp;" ")),1,0))+IF(Task!$A$11="",0,IF(ISNUMBER(SEARCH(" "&amp;Task!$A$11&amp;" "," "&amp;LOWER(D137&amp;" "&amp;C137&amp;" "&amp;LOWER(SUBSTITUTE(SUBSTITUTE(SUBSTITUTE(SUBSTITUTE(A137,"/"," "),"."," "),"\"," "),"_"," ")))&amp;" ")),1,0))+IF(Task!$A$12="",0,IF(ISNUMBER(SEARCH(" "&amp;Task!$A$12&amp;" "," "&amp;LOWER(D137&amp;" "&amp;C137&amp;" "&amp;LOWER(SUBSTITUTE(SUBSTITUTE(SUBSTITUTE(SUBSTITUTE(A137,"/"," "),"."," "),"\"," "),"_"," ")))&amp;" ")),1,0))+IF(Task!$A$13="",0,IF(ISNUMBER(SEARCH(" "&amp;Task!$A$13&amp;" "," "&amp;LOWER(D137&amp;" "&amp;C137&amp;" "&amp;LOWER(SUBSTITUTE(SUBSTITUTE(SUBSTITUTE(SUBSTITUTE(A137,"/"," "),"."," "),"\"," "),"_"," ")))&amp;" ")),1,0))+IF(Task!$A$14="",0,IF(ISNUMBER(SEARCH(" "&amp;Task!$A$14&amp;" "," "&amp;LOWER(D137&amp;" "&amp;C137&amp;" "&amp;LOWER(SUBSTITUTE(SUBSTITUTE(SUBSTITUTE(SUBSTITUTE(A137,"/"," "),"."," "),"\"," "),"_"," ")))&amp;" ")),1,0))+IF(Task!$A$15="",0,IF(ISNUMBER(SEARCH(" "&amp;Task!$A$15&amp;" "," "&amp;LOWER(D137&amp;" "&amp;C137&amp;" "&amp;LOWER(SUBSTITUTE(SUBSTITUTE(SUBSTITUTE(SUBSTITUTE(A137,"/"," "),"."," "),"\"," "),"_"," ")))&amp;" ")),1,0))+IF(Task!$A$16="",0,IF(ISNUMBER(SEARCH(" "&amp;Task!$A$16&amp;" "," "&amp;LOWER(D137&amp;" "&amp;C137&amp;" "&amp;LOWER(SUBSTITUTE(SUBSTITUTE(SUBSTITUTE(SUBSTITUTE(A137,"/"," "),"."," "),"\"," "),"_"," ")))&amp;" ")),1,0))+IF(Task!$A$17="",0,IF(ISNUMBER(SEARCH(" "&amp;Task!$A$17&amp;" "," "&amp;LOWER(D137&amp;" "&amp;C137&amp;" "&amp;LOWER(SUBSTITUTE(SUBSTITUTE(SUBSTITUTE(SUBSTITUTE(A137,"/"," "),"."," "),"\"," "),"_"," ")))&amp;" ")),1,0))+IF(Task!$A$18="",0,IF(ISNUMBER(SEARCH(" "&amp;Task!$A$18&amp;" "," "&amp;LOWER(D137&amp;" "&amp;C137&amp;" "&amp;LOWER(SUBSTITUTE(SUBSTITUTE(SUBSTITUTE(SUBSTITUTE(A137,"/"," "),"."," "),"\"," "),"_"," ")))&amp;" ")),1,0))+IF(Task!$A$19="",0,IF(ISNUMBER(SEARCH(" "&amp;Task!$A$19&amp;" "," "&amp;LOWER(D137&amp;" "&amp;C137&amp;" "&amp;LOWER(SUBSTITUTE(SUBSTITUTE(SUBSTITUTE(SUBSTITUTE(A137,"/"," "),"."," "),"\"," "),"_"," ")))&amp;" ")),1,0)))</f>
        <v/>
      </c>
      <c r="G137" s="9">
        <f>IF(E137=0,0,IF(Task!$A$8="",0,IF(ISNUMBER(SEARCH(" "&amp;Task!$A$8&amp;" "," "&amp;LOWER(C137)&amp;" ")),1,0))+IF(Task!$A$9="",0,IF(ISNUMBER(SEARCH(" "&amp;Task!$A$9&amp;" "," "&amp;LOWER(C137)&amp;" ")),1,0))+IF(Task!$A$10="",0,IF(ISNUMBER(SEARCH(" "&amp;Task!$A$10&amp;" "," "&amp;LOWER(C137)&amp;" ")),1,0))+IF(Task!$A$11="",0,IF(ISNUMBER(SEARCH(" "&amp;Task!$A$11&amp;" "," "&amp;LOWER(C137)&amp;" ")),1,0))+IF(Task!$A$12="",0,IF(ISNUMBER(SEARCH(" "&amp;Task!$A$12&amp;" "," "&amp;LOWER(C137)&amp;" ")),1,0))+IF(Task!$A$13="",0,IF(ISNUMBER(SEARCH(" "&amp;Task!$A$13&amp;" "," "&amp;LOWER(C137)&amp;" ")),1,0))+IF(Task!$A$14="",0,IF(ISNUMBER(SEARCH(" "&amp;Task!$A$14&amp;" "," "&amp;LOWER(C137)&amp;" ")),1,0))+IF(Task!$A$15="",0,IF(ISNUMBER(SEARCH(" "&amp;Task!$A$15&amp;" "," "&amp;LOWER(C137)&amp;" ")),1,0))+IF(Task!$A$16="",0,IF(ISNUMBER(SEARCH(" "&amp;Task!$A$16&amp;" "," "&amp;LOWER(C137)&amp;" ")),1,0))+IF(Task!$A$17="",0,IF(ISNUMBER(SEARCH(" "&amp;Task!$A$17&amp;" "," "&amp;LOWER(C137)&amp;" ")),1,0))+IF(Task!$A$18="",0,IF(ISNUMBER(SEARCH(" "&amp;Task!$A$18&amp;" "," "&amp;LOWER(C137)&amp;" ")),1,0))+IF(Task!$A$19="",0,IF(ISNUMBER(SEARCH(" "&amp;Task!$A$19&amp;" "," "&amp;LOWER(C137)&amp;" ")),1,0)))</f>
        <v/>
      </c>
      <c r="H137" s="9">
        <f>IF(E137=0,0,IF(Task!$A$8="",0,IF(ISNUMBER(SEARCH(" "&amp;Task!$A$8&amp;" "," "&amp;LOWER(SUBSTITUTE(SUBSTITUTE(SUBSTITUTE(SUBSTITUTE(A137,"/"," "),"."," "),"\"," "),"_"," "))&amp;" ")),1,0))+IF(Task!$A$9="",0,IF(ISNUMBER(SEARCH(" "&amp;Task!$A$9&amp;" "," "&amp;LOWER(SUBSTITUTE(SUBSTITUTE(SUBSTITUTE(SUBSTITUTE(A137,"/"," "),"."," "),"\"," "),"_"," "))&amp;" ")),1,0))+IF(Task!$A$10="",0,IF(ISNUMBER(SEARCH(" "&amp;Task!$A$10&amp;" "," "&amp;LOWER(SUBSTITUTE(SUBSTITUTE(SUBSTITUTE(SUBSTITUTE(A137,"/"," "),"."," "),"\"," "),"_"," "))&amp;" ")),1,0))+IF(Task!$A$11="",0,IF(ISNUMBER(SEARCH(" "&amp;Task!$A$11&amp;" "," "&amp;LOWER(SUBSTITUTE(SUBSTITUTE(SUBSTITUTE(SUBSTITUTE(A137,"/"," "),"."," "),"\"," "),"_"," "))&amp;" ")),1,0))+IF(Task!$A$12="",0,IF(ISNUMBER(SEARCH(" "&amp;Task!$A$12&amp;" "," "&amp;LOWER(SUBSTITUTE(SUBSTITUTE(SUBSTITUTE(SUBSTITUTE(A137,"/"," "),"."," "),"\"," "),"_"," "))&amp;" ")),1,0))+IF(Task!$A$13="",0,IF(ISNUMBER(SEARCH(" "&amp;Task!$A$13&amp;" "," "&amp;LOWER(SUBSTITUTE(SUBSTITUTE(SUBSTITUTE(SUBSTITUTE(A137,"/"," "),"."," "),"\"," "),"_"," "))&amp;" ")),1,0))+IF(Task!$A$14="",0,IF(ISNUMBER(SEARCH(" "&amp;Task!$A$14&amp;" "," "&amp;LOWER(SUBSTITUTE(SUBSTITUTE(SUBSTITUTE(SUBSTITUTE(A137,"/"," "),"."," "),"\"," "),"_"," "))&amp;" ")),1,0))+IF(Task!$A$15="",0,IF(ISNUMBER(SEARCH(" "&amp;Task!$A$15&amp;" "," "&amp;LOWER(SUBSTITUTE(SUBSTITUTE(SUBSTITUTE(SUBSTITUTE(A137,"/"," "),"."," "),"\"," "),"_"," "))&amp;" ")),1,0))+IF(Task!$A$16="",0,IF(ISNUMBER(SEARCH(" "&amp;Task!$A$16&amp;" "," "&amp;LOWER(SUBSTITUTE(SUBSTITUTE(SUBSTITUTE(SUBSTITUTE(A137,"/"," "),"."," "),"\"," "),"_"," "))&amp;" ")),1,0))+IF(Task!$A$17="",0,IF(ISNUMBER(SEARCH(" "&amp;Task!$A$17&amp;" "," "&amp;LOWER(SUBSTITUTE(SUBSTITUTE(SUBSTITUTE(SUBSTITUTE(A137,"/"," "),"."," "),"\"," "),"_"," "))&amp;" ")),1,0))+IF(Task!$A$18="",0,IF(ISNUMBER(SEARCH(" "&amp;Task!$A$18&amp;" "," "&amp;LOWER(SUBSTITUTE(SUBSTITUTE(SUBSTITUTE(SUBSTITUTE(A137,"/"," "),"."," "),"\"," "),"_"," "))&amp;" ")),1,0))+IF(Task!$A$19="",0,IF(ISNUMBER(SEARCH(" "&amp;Task!$A$19&amp;" "," "&amp;LOWER(SUBSTITUTE(SUBSTITUTE(SUBSTITUTE(SUBSTITUTE(A137,"/"," "),"."," "),"\"," "),"_"," "))&amp;" ")),1,0)))</f>
        <v/>
      </c>
      <c r="I137" s="10">
        <f>IF(OR(E137=0,F137=0,Task!$B$21=0),"",F137/Task!$B$21+0.5*G137+0.25*H137)</f>
        <v/>
      </c>
      <c r="J137" s="5">
        <f>IF(I137="","",I137-ROW()/1000000)</f>
        <v/>
      </c>
      <c r="K137" s="9">
        <f>IF(J137="","",COUNTIF($J$5:$J$404,"&gt;"&amp;J137)+1)</f>
        <v/>
      </c>
    </row>
    <row r="138">
      <c r="A138" s="7" t="n"/>
      <c r="B138" s="7" t="n"/>
      <c r="C138" s="7" t="n"/>
      <c r="D138" s="7" t="n"/>
      <c r="E138" s="5">
        <f>IF(A138="",0,IF(COUNTA(Task!$B$5:$E$5)=0,1,IF(COUNTIF(Task!$B$5:$E$5,B138)&gt;0,1,0)))</f>
        <v/>
      </c>
      <c r="F138" s="9">
        <f>IF(E138=0,0,IF(Task!$A$8="",0,IF(ISNUMBER(SEARCH(" "&amp;Task!$A$8&amp;" "," "&amp;LOWER(D138&amp;" "&amp;C138&amp;" "&amp;LOWER(SUBSTITUTE(SUBSTITUTE(SUBSTITUTE(SUBSTITUTE(A138,"/"," "),"."," "),"\"," "),"_"," ")))&amp;" ")),1,0))+IF(Task!$A$9="",0,IF(ISNUMBER(SEARCH(" "&amp;Task!$A$9&amp;" "," "&amp;LOWER(D138&amp;" "&amp;C138&amp;" "&amp;LOWER(SUBSTITUTE(SUBSTITUTE(SUBSTITUTE(SUBSTITUTE(A138,"/"," "),"."," "),"\"," "),"_"," ")))&amp;" ")),1,0))+IF(Task!$A$10="",0,IF(ISNUMBER(SEARCH(" "&amp;Task!$A$10&amp;" "," "&amp;LOWER(D138&amp;" "&amp;C138&amp;" "&amp;LOWER(SUBSTITUTE(SUBSTITUTE(SUBSTITUTE(SUBSTITUTE(A138,"/"," "),"."," "),"\"," "),"_"," ")))&amp;" ")),1,0))+IF(Task!$A$11="",0,IF(ISNUMBER(SEARCH(" "&amp;Task!$A$11&amp;" "," "&amp;LOWER(D138&amp;" "&amp;C138&amp;" "&amp;LOWER(SUBSTITUTE(SUBSTITUTE(SUBSTITUTE(SUBSTITUTE(A138,"/"," "),"."," "),"\"," "),"_"," ")))&amp;" ")),1,0))+IF(Task!$A$12="",0,IF(ISNUMBER(SEARCH(" "&amp;Task!$A$12&amp;" "," "&amp;LOWER(D138&amp;" "&amp;C138&amp;" "&amp;LOWER(SUBSTITUTE(SUBSTITUTE(SUBSTITUTE(SUBSTITUTE(A138,"/"," "),"."," "),"\"," "),"_"," ")))&amp;" ")),1,0))+IF(Task!$A$13="",0,IF(ISNUMBER(SEARCH(" "&amp;Task!$A$13&amp;" "," "&amp;LOWER(D138&amp;" "&amp;C138&amp;" "&amp;LOWER(SUBSTITUTE(SUBSTITUTE(SUBSTITUTE(SUBSTITUTE(A138,"/"," "),"."," "),"\"," "),"_"," ")))&amp;" ")),1,0))+IF(Task!$A$14="",0,IF(ISNUMBER(SEARCH(" "&amp;Task!$A$14&amp;" "," "&amp;LOWER(D138&amp;" "&amp;C138&amp;" "&amp;LOWER(SUBSTITUTE(SUBSTITUTE(SUBSTITUTE(SUBSTITUTE(A138,"/"," "),"."," "),"\"," "),"_"," ")))&amp;" ")),1,0))+IF(Task!$A$15="",0,IF(ISNUMBER(SEARCH(" "&amp;Task!$A$15&amp;" "," "&amp;LOWER(D138&amp;" "&amp;C138&amp;" "&amp;LOWER(SUBSTITUTE(SUBSTITUTE(SUBSTITUTE(SUBSTITUTE(A138,"/"," "),"."," "),"\"," "),"_"," ")))&amp;" ")),1,0))+IF(Task!$A$16="",0,IF(ISNUMBER(SEARCH(" "&amp;Task!$A$16&amp;" "," "&amp;LOWER(D138&amp;" "&amp;C138&amp;" "&amp;LOWER(SUBSTITUTE(SUBSTITUTE(SUBSTITUTE(SUBSTITUTE(A138,"/"," "),"."," "),"\"," "),"_"," ")))&amp;" ")),1,0))+IF(Task!$A$17="",0,IF(ISNUMBER(SEARCH(" "&amp;Task!$A$17&amp;" "," "&amp;LOWER(D138&amp;" "&amp;C138&amp;" "&amp;LOWER(SUBSTITUTE(SUBSTITUTE(SUBSTITUTE(SUBSTITUTE(A138,"/"," "),"."," "),"\"," "),"_"," ")))&amp;" ")),1,0))+IF(Task!$A$18="",0,IF(ISNUMBER(SEARCH(" "&amp;Task!$A$18&amp;" "," "&amp;LOWER(D138&amp;" "&amp;C138&amp;" "&amp;LOWER(SUBSTITUTE(SUBSTITUTE(SUBSTITUTE(SUBSTITUTE(A138,"/"," "),"."," "),"\"," "),"_"," ")))&amp;" ")),1,0))+IF(Task!$A$19="",0,IF(ISNUMBER(SEARCH(" "&amp;Task!$A$19&amp;" "," "&amp;LOWER(D138&amp;" "&amp;C138&amp;" "&amp;LOWER(SUBSTITUTE(SUBSTITUTE(SUBSTITUTE(SUBSTITUTE(A138,"/"," "),"."," "),"\"," "),"_"," ")))&amp;" ")),1,0)))</f>
        <v/>
      </c>
      <c r="G138" s="9">
        <f>IF(E138=0,0,IF(Task!$A$8="",0,IF(ISNUMBER(SEARCH(" "&amp;Task!$A$8&amp;" "," "&amp;LOWER(C138)&amp;" ")),1,0))+IF(Task!$A$9="",0,IF(ISNUMBER(SEARCH(" "&amp;Task!$A$9&amp;" "," "&amp;LOWER(C138)&amp;" ")),1,0))+IF(Task!$A$10="",0,IF(ISNUMBER(SEARCH(" "&amp;Task!$A$10&amp;" "," "&amp;LOWER(C138)&amp;" ")),1,0))+IF(Task!$A$11="",0,IF(ISNUMBER(SEARCH(" "&amp;Task!$A$11&amp;" "," "&amp;LOWER(C138)&amp;" ")),1,0))+IF(Task!$A$12="",0,IF(ISNUMBER(SEARCH(" "&amp;Task!$A$12&amp;" "," "&amp;LOWER(C138)&amp;" ")),1,0))+IF(Task!$A$13="",0,IF(ISNUMBER(SEARCH(" "&amp;Task!$A$13&amp;" "," "&amp;LOWER(C138)&amp;" ")),1,0))+IF(Task!$A$14="",0,IF(ISNUMBER(SEARCH(" "&amp;Task!$A$14&amp;" "," "&amp;LOWER(C138)&amp;" ")),1,0))+IF(Task!$A$15="",0,IF(ISNUMBER(SEARCH(" "&amp;Task!$A$15&amp;" "," "&amp;LOWER(C138)&amp;" ")),1,0))+IF(Task!$A$16="",0,IF(ISNUMBER(SEARCH(" "&amp;Task!$A$16&amp;" "," "&amp;LOWER(C138)&amp;" ")),1,0))+IF(Task!$A$17="",0,IF(ISNUMBER(SEARCH(" "&amp;Task!$A$17&amp;" "," "&amp;LOWER(C138)&amp;" ")),1,0))+IF(Task!$A$18="",0,IF(ISNUMBER(SEARCH(" "&amp;Task!$A$18&amp;" "," "&amp;LOWER(C138)&amp;" ")),1,0))+IF(Task!$A$19="",0,IF(ISNUMBER(SEARCH(" "&amp;Task!$A$19&amp;" "," "&amp;LOWER(C138)&amp;" ")),1,0)))</f>
        <v/>
      </c>
      <c r="H138" s="9">
        <f>IF(E138=0,0,IF(Task!$A$8="",0,IF(ISNUMBER(SEARCH(" "&amp;Task!$A$8&amp;" "," "&amp;LOWER(SUBSTITUTE(SUBSTITUTE(SUBSTITUTE(SUBSTITUTE(A138,"/"," "),"."," "),"\"," "),"_"," "))&amp;" ")),1,0))+IF(Task!$A$9="",0,IF(ISNUMBER(SEARCH(" "&amp;Task!$A$9&amp;" "," "&amp;LOWER(SUBSTITUTE(SUBSTITUTE(SUBSTITUTE(SUBSTITUTE(A138,"/"," "),"."," "),"\"," "),"_"," "))&amp;" ")),1,0))+IF(Task!$A$10="",0,IF(ISNUMBER(SEARCH(" "&amp;Task!$A$10&amp;" "," "&amp;LOWER(SUBSTITUTE(SUBSTITUTE(SUBSTITUTE(SUBSTITUTE(A138,"/"," "),"."," "),"\"," "),"_"," "))&amp;" ")),1,0))+IF(Task!$A$11="",0,IF(ISNUMBER(SEARCH(" "&amp;Task!$A$11&amp;" "," "&amp;LOWER(SUBSTITUTE(SUBSTITUTE(SUBSTITUTE(SUBSTITUTE(A138,"/"," "),"."," "),"\"," "),"_"," "))&amp;" ")),1,0))+IF(Task!$A$12="",0,IF(ISNUMBER(SEARCH(" "&amp;Task!$A$12&amp;" "," "&amp;LOWER(SUBSTITUTE(SUBSTITUTE(SUBSTITUTE(SUBSTITUTE(A138,"/"," "),"."," "),"\"," "),"_"," "))&amp;" ")),1,0))+IF(Task!$A$13="",0,IF(ISNUMBER(SEARCH(" "&amp;Task!$A$13&amp;" "," "&amp;LOWER(SUBSTITUTE(SUBSTITUTE(SUBSTITUTE(SUBSTITUTE(A138,"/"," "),"."," "),"\"," "),"_"," "))&amp;" ")),1,0))+IF(Task!$A$14="",0,IF(ISNUMBER(SEARCH(" "&amp;Task!$A$14&amp;" "," "&amp;LOWER(SUBSTITUTE(SUBSTITUTE(SUBSTITUTE(SUBSTITUTE(A138,"/"," "),"."," "),"\"," "),"_"," "))&amp;" ")),1,0))+IF(Task!$A$15="",0,IF(ISNUMBER(SEARCH(" "&amp;Task!$A$15&amp;" "," "&amp;LOWER(SUBSTITUTE(SUBSTITUTE(SUBSTITUTE(SUBSTITUTE(A138,"/"," "),"."," "),"\"," "),"_"," "))&amp;" ")),1,0))+IF(Task!$A$16="",0,IF(ISNUMBER(SEARCH(" "&amp;Task!$A$16&amp;" "," "&amp;LOWER(SUBSTITUTE(SUBSTITUTE(SUBSTITUTE(SUBSTITUTE(A138,"/"," "),"."," "),"\"," "),"_"," "))&amp;" ")),1,0))+IF(Task!$A$17="",0,IF(ISNUMBER(SEARCH(" "&amp;Task!$A$17&amp;" "," "&amp;LOWER(SUBSTITUTE(SUBSTITUTE(SUBSTITUTE(SUBSTITUTE(A138,"/"," "),"."," "),"\"," "),"_"," "))&amp;" ")),1,0))+IF(Task!$A$18="",0,IF(ISNUMBER(SEARCH(" "&amp;Task!$A$18&amp;" "," "&amp;LOWER(SUBSTITUTE(SUBSTITUTE(SUBSTITUTE(SUBSTITUTE(A138,"/"," "),"."," "),"\"," "),"_"," "))&amp;" ")),1,0))+IF(Task!$A$19="",0,IF(ISNUMBER(SEARCH(" "&amp;Task!$A$19&amp;" "," "&amp;LOWER(SUBSTITUTE(SUBSTITUTE(SUBSTITUTE(SUBSTITUTE(A138,"/"," "),"."," "),"\"," "),"_"," "))&amp;" ")),1,0)))</f>
        <v/>
      </c>
      <c r="I138" s="10">
        <f>IF(OR(E138=0,F138=0,Task!$B$21=0),"",F138/Task!$B$21+0.5*G138+0.25*H138)</f>
        <v/>
      </c>
      <c r="J138" s="5">
        <f>IF(I138="","",I138-ROW()/1000000)</f>
        <v/>
      </c>
      <c r="K138" s="9">
        <f>IF(J138="","",COUNTIF($J$5:$J$404,"&gt;"&amp;J138)+1)</f>
        <v/>
      </c>
    </row>
    <row r="139">
      <c r="A139" s="7" t="n"/>
      <c r="B139" s="7" t="n"/>
      <c r="C139" s="7" t="n"/>
      <c r="D139" s="7" t="n"/>
      <c r="E139" s="5">
        <f>IF(A139="",0,IF(COUNTA(Task!$B$5:$E$5)=0,1,IF(COUNTIF(Task!$B$5:$E$5,B139)&gt;0,1,0)))</f>
        <v/>
      </c>
      <c r="F139" s="9">
        <f>IF(E139=0,0,IF(Task!$A$8="",0,IF(ISNUMBER(SEARCH(" "&amp;Task!$A$8&amp;" "," "&amp;LOWER(D139&amp;" "&amp;C139&amp;" "&amp;LOWER(SUBSTITUTE(SUBSTITUTE(SUBSTITUTE(SUBSTITUTE(A139,"/"," "),"."," "),"\"," "),"_"," ")))&amp;" ")),1,0))+IF(Task!$A$9="",0,IF(ISNUMBER(SEARCH(" "&amp;Task!$A$9&amp;" "," "&amp;LOWER(D139&amp;" "&amp;C139&amp;" "&amp;LOWER(SUBSTITUTE(SUBSTITUTE(SUBSTITUTE(SUBSTITUTE(A139,"/"," "),"."," "),"\"," "),"_"," ")))&amp;" ")),1,0))+IF(Task!$A$10="",0,IF(ISNUMBER(SEARCH(" "&amp;Task!$A$10&amp;" "," "&amp;LOWER(D139&amp;" "&amp;C139&amp;" "&amp;LOWER(SUBSTITUTE(SUBSTITUTE(SUBSTITUTE(SUBSTITUTE(A139,"/"," "),"."," "),"\"," "),"_"," ")))&amp;" ")),1,0))+IF(Task!$A$11="",0,IF(ISNUMBER(SEARCH(" "&amp;Task!$A$11&amp;" "," "&amp;LOWER(D139&amp;" "&amp;C139&amp;" "&amp;LOWER(SUBSTITUTE(SUBSTITUTE(SUBSTITUTE(SUBSTITUTE(A139,"/"," "),"."," "),"\"," "),"_"," ")))&amp;" ")),1,0))+IF(Task!$A$12="",0,IF(ISNUMBER(SEARCH(" "&amp;Task!$A$12&amp;" "," "&amp;LOWER(D139&amp;" "&amp;C139&amp;" "&amp;LOWER(SUBSTITUTE(SUBSTITUTE(SUBSTITUTE(SUBSTITUTE(A139,"/"," "),"."," "),"\"," "),"_"," ")))&amp;" ")),1,0))+IF(Task!$A$13="",0,IF(ISNUMBER(SEARCH(" "&amp;Task!$A$13&amp;" "," "&amp;LOWER(D139&amp;" "&amp;C139&amp;" "&amp;LOWER(SUBSTITUTE(SUBSTITUTE(SUBSTITUTE(SUBSTITUTE(A139,"/"," "),"."," "),"\"," "),"_"," ")))&amp;" ")),1,0))+IF(Task!$A$14="",0,IF(ISNUMBER(SEARCH(" "&amp;Task!$A$14&amp;" "," "&amp;LOWER(D139&amp;" "&amp;C139&amp;" "&amp;LOWER(SUBSTITUTE(SUBSTITUTE(SUBSTITUTE(SUBSTITUTE(A139,"/"," "),"."," "),"\"," "),"_"," ")))&amp;" ")),1,0))+IF(Task!$A$15="",0,IF(ISNUMBER(SEARCH(" "&amp;Task!$A$15&amp;" "," "&amp;LOWER(D139&amp;" "&amp;C139&amp;" "&amp;LOWER(SUBSTITUTE(SUBSTITUTE(SUBSTITUTE(SUBSTITUTE(A139,"/"," "),"."," "),"\"," "),"_"," ")))&amp;" ")),1,0))+IF(Task!$A$16="",0,IF(ISNUMBER(SEARCH(" "&amp;Task!$A$16&amp;" "," "&amp;LOWER(D139&amp;" "&amp;C139&amp;" "&amp;LOWER(SUBSTITUTE(SUBSTITUTE(SUBSTITUTE(SUBSTITUTE(A139,"/"," "),"."," "),"\"," "),"_"," ")))&amp;" ")),1,0))+IF(Task!$A$17="",0,IF(ISNUMBER(SEARCH(" "&amp;Task!$A$17&amp;" "," "&amp;LOWER(D139&amp;" "&amp;C139&amp;" "&amp;LOWER(SUBSTITUTE(SUBSTITUTE(SUBSTITUTE(SUBSTITUTE(A139,"/"," "),"."," "),"\"," "),"_"," ")))&amp;" ")),1,0))+IF(Task!$A$18="",0,IF(ISNUMBER(SEARCH(" "&amp;Task!$A$18&amp;" "," "&amp;LOWER(D139&amp;" "&amp;C139&amp;" "&amp;LOWER(SUBSTITUTE(SUBSTITUTE(SUBSTITUTE(SUBSTITUTE(A139,"/"," "),"."," "),"\"," "),"_"," ")))&amp;" ")),1,0))+IF(Task!$A$19="",0,IF(ISNUMBER(SEARCH(" "&amp;Task!$A$19&amp;" "," "&amp;LOWER(D139&amp;" "&amp;C139&amp;" "&amp;LOWER(SUBSTITUTE(SUBSTITUTE(SUBSTITUTE(SUBSTITUTE(A139,"/"," "),"."," "),"\"," "),"_"," ")))&amp;" ")),1,0)))</f>
        <v/>
      </c>
      <c r="G139" s="9">
        <f>IF(E139=0,0,IF(Task!$A$8="",0,IF(ISNUMBER(SEARCH(" "&amp;Task!$A$8&amp;" "," "&amp;LOWER(C139)&amp;" ")),1,0))+IF(Task!$A$9="",0,IF(ISNUMBER(SEARCH(" "&amp;Task!$A$9&amp;" "," "&amp;LOWER(C139)&amp;" ")),1,0))+IF(Task!$A$10="",0,IF(ISNUMBER(SEARCH(" "&amp;Task!$A$10&amp;" "," "&amp;LOWER(C139)&amp;" ")),1,0))+IF(Task!$A$11="",0,IF(ISNUMBER(SEARCH(" "&amp;Task!$A$11&amp;" "," "&amp;LOWER(C139)&amp;" ")),1,0))+IF(Task!$A$12="",0,IF(ISNUMBER(SEARCH(" "&amp;Task!$A$12&amp;" "," "&amp;LOWER(C139)&amp;" ")),1,0))+IF(Task!$A$13="",0,IF(ISNUMBER(SEARCH(" "&amp;Task!$A$13&amp;" "," "&amp;LOWER(C139)&amp;" ")),1,0))+IF(Task!$A$14="",0,IF(ISNUMBER(SEARCH(" "&amp;Task!$A$14&amp;" "," "&amp;LOWER(C139)&amp;" ")),1,0))+IF(Task!$A$15="",0,IF(ISNUMBER(SEARCH(" "&amp;Task!$A$15&amp;" "," "&amp;LOWER(C139)&amp;" ")),1,0))+IF(Task!$A$16="",0,IF(ISNUMBER(SEARCH(" "&amp;Task!$A$16&amp;" "," "&amp;LOWER(C139)&amp;" ")),1,0))+IF(Task!$A$17="",0,IF(ISNUMBER(SEARCH(" "&amp;Task!$A$17&amp;" "," "&amp;LOWER(C139)&amp;" ")),1,0))+IF(Task!$A$18="",0,IF(ISNUMBER(SEARCH(" "&amp;Task!$A$18&amp;" "," "&amp;LOWER(C139)&amp;" ")),1,0))+IF(Task!$A$19="",0,IF(ISNUMBER(SEARCH(" "&amp;Task!$A$19&amp;" "," "&amp;LOWER(C139)&amp;" ")),1,0)))</f>
        <v/>
      </c>
      <c r="H139" s="9">
        <f>IF(E139=0,0,IF(Task!$A$8="",0,IF(ISNUMBER(SEARCH(" "&amp;Task!$A$8&amp;" "," "&amp;LOWER(SUBSTITUTE(SUBSTITUTE(SUBSTITUTE(SUBSTITUTE(A139,"/"," "),"."," "),"\"," "),"_"," "))&amp;" ")),1,0))+IF(Task!$A$9="",0,IF(ISNUMBER(SEARCH(" "&amp;Task!$A$9&amp;" "," "&amp;LOWER(SUBSTITUTE(SUBSTITUTE(SUBSTITUTE(SUBSTITUTE(A139,"/"," "),"."," "),"\"," "),"_"," "))&amp;" ")),1,0))+IF(Task!$A$10="",0,IF(ISNUMBER(SEARCH(" "&amp;Task!$A$10&amp;" "," "&amp;LOWER(SUBSTITUTE(SUBSTITUTE(SUBSTITUTE(SUBSTITUTE(A139,"/"," "),"."," "),"\"," "),"_"," "))&amp;" ")),1,0))+IF(Task!$A$11="",0,IF(ISNUMBER(SEARCH(" "&amp;Task!$A$11&amp;" "," "&amp;LOWER(SUBSTITUTE(SUBSTITUTE(SUBSTITUTE(SUBSTITUTE(A139,"/"," "),"."," "),"\"," "),"_"," "))&amp;" ")),1,0))+IF(Task!$A$12="",0,IF(ISNUMBER(SEARCH(" "&amp;Task!$A$12&amp;" "," "&amp;LOWER(SUBSTITUTE(SUBSTITUTE(SUBSTITUTE(SUBSTITUTE(A139,"/"," "),"."," "),"\"," "),"_"," "))&amp;" ")),1,0))+IF(Task!$A$13="",0,IF(ISNUMBER(SEARCH(" "&amp;Task!$A$13&amp;" "," "&amp;LOWER(SUBSTITUTE(SUBSTITUTE(SUBSTITUTE(SUBSTITUTE(A139,"/"," "),"."," "),"\"," "),"_"," "))&amp;" ")),1,0))+IF(Task!$A$14="",0,IF(ISNUMBER(SEARCH(" "&amp;Task!$A$14&amp;" "," "&amp;LOWER(SUBSTITUTE(SUBSTITUTE(SUBSTITUTE(SUBSTITUTE(A139,"/"," "),"."," "),"\"," "),"_"," "))&amp;" ")),1,0))+IF(Task!$A$15="",0,IF(ISNUMBER(SEARCH(" "&amp;Task!$A$15&amp;" "," "&amp;LOWER(SUBSTITUTE(SUBSTITUTE(SUBSTITUTE(SUBSTITUTE(A139,"/"," "),"."," "),"\"," "),"_"," "))&amp;" ")),1,0))+IF(Task!$A$16="",0,IF(ISNUMBER(SEARCH(" "&amp;Task!$A$16&amp;" "," "&amp;LOWER(SUBSTITUTE(SUBSTITUTE(SUBSTITUTE(SUBSTITUTE(A139,"/"," "),"."," "),"\"," "),"_"," "))&amp;" ")),1,0))+IF(Task!$A$17="",0,IF(ISNUMBER(SEARCH(" "&amp;Task!$A$17&amp;" "," "&amp;LOWER(SUBSTITUTE(SUBSTITUTE(SUBSTITUTE(SUBSTITUTE(A139,"/"," "),"."," "),"\"," "),"_"," "))&amp;" ")),1,0))+IF(Task!$A$18="",0,IF(ISNUMBER(SEARCH(" "&amp;Task!$A$18&amp;" "," "&amp;LOWER(SUBSTITUTE(SUBSTITUTE(SUBSTITUTE(SUBSTITUTE(A139,"/"," "),"."," "),"\"," "),"_"," "))&amp;" ")),1,0))+IF(Task!$A$19="",0,IF(ISNUMBER(SEARCH(" "&amp;Task!$A$19&amp;" "," "&amp;LOWER(SUBSTITUTE(SUBSTITUTE(SUBSTITUTE(SUBSTITUTE(A139,"/"," "),"."," "),"\"," "),"_"," "))&amp;" ")),1,0)))</f>
        <v/>
      </c>
      <c r="I139" s="10">
        <f>IF(OR(E139=0,F139=0,Task!$B$21=0),"",F139/Task!$B$21+0.5*G139+0.25*H139)</f>
        <v/>
      </c>
      <c r="J139" s="5">
        <f>IF(I139="","",I139-ROW()/1000000)</f>
        <v/>
      </c>
      <c r="K139" s="9">
        <f>IF(J139="","",COUNTIF($J$5:$J$404,"&gt;"&amp;J139)+1)</f>
        <v/>
      </c>
    </row>
    <row r="140">
      <c r="A140" s="7" t="n"/>
      <c r="B140" s="7" t="n"/>
      <c r="C140" s="7" t="n"/>
      <c r="D140" s="7" t="n"/>
      <c r="E140" s="5">
        <f>IF(A140="",0,IF(COUNTA(Task!$B$5:$E$5)=0,1,IF(COUNTIF(Task!$B$5:$E$5,B140)&gt;0,1,0)))</f>
        <v/>
      </c>
      <c r="F140" s="9">
        <f>IF(E140=0,0,IF(Task!$A$8="",0,IF(ISNUMBER(SEARCH(" "&amp;Task!$A$8&amp;" "," "&amp;LOWER(D140&amp;" "&amp;C140&amp;" "&amp;LOWER(SUBSTITUTE(SUBSTITUTE(SUBSTITUTE(SUBSTITUTE(A140,"/"," "),"."," "),"\"," "),"_"," ")))&amp;" ")),1,0))+IF(Task!$A$9="",0,IF(ISNUMBER(SEARCH(" "&amp;Task!$A$9&amp;" "," "&amp;LOWER(D140&amp;" "&amp;C140&amp;" "&amp;LOWER(SUBSTITUTE(SUBSTITUTE(SUBSTITUTE(SUBSTITUTE(A140,"/"," "),"."," "),"\"," "),"_"," ")))&amp;" ")),1,0))+IF(Task!$A$10="",0,IF(ISNUMBER(SEARCH(" "&amp;Task!$A$10&amp;" "," "&amp;LOWER(D140&amp;" "&amp;C140&amp;" "&amp;LOWER(SUBSTITUTE(SUBSTITUTE(SUBSTITUTE(SUBSTITUTE(A140,"/"," "),"."," "),"\"," "),"_"," ")))&amp;" ")),1,0))+IF(Task!$A$11="",0,IF(ISNUMBER(SEARCH(" "&amp;Task!$A$11&amp;" "," "&amp;LOWER(D140&amp;" "&amp;C140&amp;" "&amp;LOWER(SUBSTITUTE(SUBSTITUTE(SUBSTITUTE(SUBSTITUTE(A140,"/"," "),"."," "),"\"," "),"_"," ")))&amp;" ")),1,0))+IF(Task!$A$12="",0,IF(ISNUMBER(SEARCH(" "&amp;Task!$A$12&amp;" "," "&amp;LOWER(D140&amp;" "&amp;C140&amp;" "&amp;LOWER(SUBSTITUTE(SUBSTITUTE(SUBSTITUTE(SUBSTITUTE(A140,"/"," "),"."," "),"\"," "),"_"," ")))&amp;" ")),1,0))+IF(Task!$A$13="",0,IF(ISNUMBER(SEARCH(" "&amp;Task!$A$13&amp;" "," "&amp;LOWER(D140&amp;" "&amp;C140&amp;" "&amp;LOWER(SUBSTITUTE(SUBSTITUTE(SUBSTITUTE(SUBSTITUTE(A140,"/"," "),"."," "),"\"," "),"_"," ")))&amp;" ")),1,0))+IF(Task!$A$14="",0,IF(ISNUMBER(SEARCH(" "&amp;Task!$A$14&amp;" "," "&amp;LOWER(D140&amp;" "&amp;C140&amp;" "&amp;LOWER(SUBSTITUTE(SUBSTITUTE(SUBSTITUTE(SUBSTITUTE(A140,"/"," "),"."," "),"\"," "),"_"," ")))&amp;" ")),1,0))+IF(Task!$A$15="",0,IF(ISNUMBER(SEARCH(" "&amp;Task!$A$15&amp;" "," "&amp;LOWER(D140&amp;" "&amp;C140&amp;" "&amp;LOWER(SUBSTITUTE(SUBSTITUTE(SUBSTITUTE(SUBSTITUTE(A140,"/"," "),"."," "),"\"," "),"_"," ")))&amp;" ")),1,0))+IF(Task!$A$16="",0,IF(ISNUMBER(SEARCH(" "&amp;Task!$A$16&amp;" "," "&amp;LOWER(D140&amp;" "&amp;C140&amp;" "&amp;LOWER(SUBSTITUTE(SUBSTITUTE(SUBSTITUTE(SUBSTITUTE(A140,"/"," "),"."," "),"\"," "),"_"," ")))&amp;" ")),1,0))+IF(Task!$A$17="",0,IF(ISNUMBER(SEARCH(" "&amp;Task!$A$17&amp;" "," "&amp;LOWER(D140&amp;" "&amp;C140&amp;" "&amp;LOWER(SUBSTITUTE(SUBSTITUTE(SUBSTITUTE(SUBSTITUTE(A140,"/"," "),"."," "),"\"," "),"_"," ")))&amp;" ")),1,0))+IF(Task!$A$18="",0,IF(ISNUMBER(SEARCH(" "&amp;Task!$A$18&amp;" "," "&amp;LOWER(D140&amp;" "&amp;C140&amp;" "&amp;LOWER(SUBSTITUTE(SUBSTITUTE(SUBSTITUTE(SUBSTITUTE(A140,"/"," "),"."," "),"\"," "),"_"," ")))&amp;" ")),1,0))+IF(Task!$A$19="",0,IF(ISNUMBER(SEARCH(" "&amp;Task!$A$19&amp;" "," "&amp;LOWER(D140&amp;" "&amp;C140&amp;" "&amp;LOWER(SUBSTITUTE(SUBSTITUTE(SUBSTITUTE(SUBSTITUTE(A140,"/"," "),"."," "),"\"," "),"_"," ")))&amp;" ")),1,0)))</f>
        <v/>
      </c>
      <c r="G140" s="9">
        <f>IF(E140=0,0,IF(Task!$A$8="",0,IF(ISNUMBER(SEARCH(" "&amp;Task!$A$8&amp;" "," "&amp;LOWER(C140)&amp;" ")),1,0))+IF(Task!$A$9="",0,IF(ISNUMBER(SEARCH(" "&amp;Task!$A$9&amp;" "," "&amp;LOWER(C140)&amp;" ")),1,0))+IF(Task!$A$10="",0,IF(ISNUMBER(SEARCH(" "&amp;Task!$A$10&amp;" "," "&amp;LOWER(C140)&amp;" ")),1,0))+IF(Task!$A$11="",0,IF(ISNUMBER(SEARCH(" "&amp;Task!$A$11&amp;" "," "&amp;LOWER(C140)&amp;" ")),1,0))+IF(Task!$A$12="",0,IF(ISNUMBER(SEARCH(" "&amp;Task!$A$12&amp;" "," "&amp;LOWER(C140)&amp;" ")),1,0))+IF(Task!$A$13="",0,IF(ISNUMBER(SEARCH(" "&amp;Task!$A$13&amp;" "," "&amp;LOWER(C140)&amp;" ")),1,0))+IF(Task!$A$14="",0,IF(ISNUMBER(SEARCH(" "&amp;Task!$A$14&amp;" "," "&amp;LOWER(C140)&amp;" ")),1,0))+IF(Task!$A$15="",0,IF(ISNUMBER(SEARCH(" "&amp;Task!$A$15&amp;" "," "&amp;LOWER(C140)&amp;" ")),1,0))+IF(Task!$A$16="",0,IF(ISNUMBER(SEARCH(" "&amp;Task!$A$16&amp;" "," "&amp;LOWER(C140)&amp;" ")),1,0))+IF(Task!$A$17="",0,IF(ISNUMBER(SEARCH(" "&amp;Task!$A$17&amp;" "," "&amp;LOWER(C140)&amp;" ")),1,0))+IF(Task!$A$18="",0,IF(ISNUMBER(SEARCH(" "&amp;Task!$A$18&amp;" "," "&amp;LOWER(C140)&amp;" ")),1,0))+IF(Task!$A$19="",0,IF(ISNUMBER(SEARCH(" "&amp;Task!$A$19&amp;" "," "&amp;LOWER(C140)&amp;" ")),1,0)))</f>
        <v/>
      </c>
      <c r="H140" s="9">
        <f>IF(E140=0,0,IF(Task!$A$8="",0,IF(ISNUMBER(SEARCH(" "&amp;Task!$A$8&amp;" "," "&amp;LOWER(SUBSTITUTE(SUBSTITUTE(SUBSTITUTE(SUBSTITUTE(A140,"/"," "),"."," "),"\"," "),"_"," "))&amp;" ")),1,0))+IF(Task!$A$9="",0,IF(ISNUMBER(SEARCH(" "&amp;Task!$A$9&amp;" "," "&amp;LOWER(SUBSTITUTE(SUBSTITUTE(SUBSTITUTE(SUBSTITUTE(A140,"/"," "),"."," "),"\"," "),"_"," "))&amp;" ")),1,0))+IF(Task!$A$10="",0,IF(ISNUMBER(SEARCH(" "&amp;Task!$A$10&amp;" "," "&amp;LOWER(SUBSTITUTE(SUBSTITUTE(SUBSTITUTE(SUBSTITUTE(A140,"/"," "),"."," "),"\"," "),"_"," "))&amp;" ")),1,0))+IF(Task!$A$11="",0,IF(ISNUMBER(SEARCH(" "&amp;Task!$A$11&amp;" "," "&amp;LOWER(SUBSTITUTE(SUBSTITUTE(SUBSTITUTE(SUBSTITUTE(A140,"/"," "),"."," "),"\"," "),"_"," "))&amp;" ")),1,0))+IF(Task!$A$12="",0,IF(ISNUMBER(SEARCH(" "&amp;Task!$A$12&amp;" "," "&amp;LOWER(SUBSTITUTE(SUBSTITUTE(SUBSTITUTE(SUBSTITUTE(A140,"/"," "),"."," "),"\"," "),"_"," "))&amp;" ")),1,0))+IF(Task!$A$13="",0,IF(ISNUMBER(SEARCH(" "&amp;Task!$A$13&amp;" "," "&amp;LOWER(SUBSTITUTE(SUBSTITUTE(SUBSTITUTE(SUBSTITUTE(A140,"/"," "),"."," "),"\"," "),"_"," "))&amp;" ")),1,0))+IF(Task!$A$14="",0,IF(ISNUMBER(SEARCH(" "&amp;Task!$A$14&amp;" "," "&amp;LOWER(SUBSTITUTE(SUBSTITUTE(SUBSTITUTE(SUBSTITUTE(A140,"/"," "),"."," "),"\"," "),"_"," "))&amp;" ")),1,0))+IF(Task!$A$15="",0,IF(ISNUMBER(SEARCH(" "&amp;Task!$A$15&amp;" "," "&amp;LOWER(SUBSTITUTE(SUBSTITUTE(SUBSTITUTE(SUBSTITUTE(A140,"/"," "),"."," "),"\"," "),"_"," "))&amp;" ")),1,0))+IF(Task!$A$16="",0,IF(ISNUMBER(SEARCH(" "&amp;Task!$A$16&amp;" "," "&amp;LOWER(SUBSTITUTE(SUBSTITUTE(SUBSTITUTE(SUBSTITUTE(A140,"/"," "),"."," "),"\"," "),"_"," "))&amp;" ")),1,0))+IF(Task!$A$17="",0,IF(ISNUMBER(SEARCH(" "&amp;Task!$A$17&amp;" "," "&amp;LOWER(SUBSTITUTE(SUBSTITUTE(SUBSTITUTE(SUBSTITUTE(A140,"/"," "),"."," "),"\"," "),"_"," "))&amp;" ")),1,0))+IF(Task!$A$18="",0,IF(ISNUMBER(SEARCH(" "&amp;Task!$A$18&amp;" "," "&amp;LOWER(SUBSTITUTE(SUBSTITUTE(SUBSTITUTE(SUBSTITUTE(A140,"/"," "),"."," "),"\"," "),"_"," "))&amp;" ")),1,0))+IF(Task!$A$19="",0,IF(ISNUMBER(SEARCH(" "&amp;Task!$A$19&amp;" "," "&amp;LOWER(SUBSTITUTE(SUBSTITUTE(SUBSTITUTE(SUBSTITUTE(A140,"/"," "),"."," "),"\"," "),"_"," "))&amp;" ")),1,0)))</f>
        <v/>
      </c>
      <c r="I140" s="10">
        <f>IF(OR(E140=0,F140=0,Task!$B$21=0),"",F140/Task!$B$21+0.5*G140+0.25*H140)</f>
        <v/>
      </c>
      <c r="J140" s="5">
        <f>IF(I140="","",I140-ROW()/1000000)</f>
        <v/>
      </c>
      <c r="K140" s="9">
        <f>IF(J140="","",COUNTIF($J$5:$J$404,"&gt;"&amp;J140)+1)</f>
        <v/>
      </c>
    </row>
    <row r="141">
      <c r="A141" s="7" t="n"/>
      <c r="B141" s="7" t="n"/>
      <c r="C141" s="7" t="n"/>
      <c r="D141" s="7" t="n"/>
      <c r="E141" s="5">
        <f>IF(A141="",0,IF(COUNTA(Task!$B$5:$E$5)=0,1,IF(COUNTIF(Task!$B$5:$E$5,B141)&gt;0,1,0)))</f>
        <v/>
      </c>
      <c r="F141" s="9">
        <f>IF(E141=0,0,IF(Task!$A$8="",0,IF(ISNUMBER(SEARCH(" "&amp;Task!$A$8&amp;" "," "&amp;LOWER(D141&amp;" "&amp;C141&amp;" "&amp;LOWER(SUBSTITUTE(SUBSTITUTE(SUBSTITUTE(SUBSTITUTE(A141,"/"," "),"."," "),"\"," "),"_"," ")))&amp;" ")),1,0))+IF(Task!$A$9="",0,IF(ISNUMBER(SEARCH(" "&amp;Task!$A$9&amp;" "," "&amp;LOWER(D141&amp;" "&amp;C141&amp;" "&amp;LOWER(SUBSTITUTE(SUBSTITUTE(SUBSTITUTE(SUBSTITUTE(A141,"/"," "),"."," "),"\"," "),"_"," ")))&amp;" ")),1,0))+IF(Task!$A$10="",0,IF(ISNUMBER(SEARCH(" "&amp;Task!$A$10&amp;" "," "&amp;LOWER(D141&amp;" "&amp;C141&amp;" "&amp;LOWER(SUBSTITUTE(SUBSTITUTE(SUBSTITUTE(SUBSTITUTE(A141,"/"," "),"."," "),"\"," "),"_"," ")))&amp;" ")),1,0))+IF(Task!$A$11="",0,IF(ISNUMBER(SEARCH(" "&amp;Task!$A$11&amp;" "," "&amp;LOWER(D141&amp;" "&amp;C141&amp;" "&amp;LOWER(SUBSTITUTE(SUBSTITUTE(SUBSTITUTE(SUBSTITUTE(A141,"/"," "),"."," "),"\"," "),"_"," ")))&amp;" ")),1,0))+IF(Task!$A$12="",0,IF(ISNUMBER(SEARCH(" "&amp;Task!$A$12&amp;" "," "&amp;LOWER(D141&amp;" "&amp;C141&amp;" "&amp;LOWER(SUBSTITUTE(SUBSTITUTE(SUBSTITUTE(SUBSTITUTE(A141,"/"," "),"."," "),"\"," "),"_"," ")))&amp;" ")),1,0))+IF(Task!$A$13="",0,IF(ISNUMBER(SEARCH(" "&amp;Task!$A$13&amp;" "," "&amp;LOWER(D141&amp;" "&amp;C141&amp;" "&amp;LOWER(SUBSTITUTE(SUBSTITUTE(SUBSTITUTE(SUBSTITUTE(A141,"/"," "),"."," "),"\"," "),"_"," ")))&amp;" ")),1,0))+IF(Task!$A$14="",0,IF(ISNUMBER(SEARCH(" "&amp;Task!$A$14&amp;" "," "&amp;LOWER(D141&amp;" "&amp;C141&amp;" "&amp;LOWER(SUBSTITUTE(SUBSTITUTE(SUBSTITUTE(SUBSTITUTE(A141,"/"," "),"."," "),"\"," "),"_"," ")))&amp;" ")),1,0))+IF(Task!$A$15="",0,IF(ISNUMBER(SEARCH(" "&amp;Task!$A$15&amp;" "," "&amp;LOWER(D141&amp;" "&amp;C141&amp;" "&amp;LOWER(SUBSTITUTE(SUBSTITUTE(SUBSTITUTE(SUBSTITUTE(A141,"/"," "),"."," "),"\"," "),"_"," ")))&amp;" ")),1,0))+IF(Task!$A$16="",0,IF(ISNUMBER(SEARCH(" "&amp;Task!$A$16&amp;" "," "&amp;LOWER(D141&amp;" "&amp;C141&amp;" "&amp;LOWER(SUBSTITUTE(SUBSTITUTE(SUBSTITUTE(SUBSTITUTE(A141,"/"," "),"."," "),"\"," "),"_"," ")))&amp;" ")),1,0))+IF(Task!$A$17="",0,IF(ISNUMBER(SEARCH(" "&amp;Task!$A$17&amp;" "," "&amp;LOWER(D141&amp;" "&amp;C141&amp;" "&amp;LOWER(SUBSTITUTE(SUBSTITUTE(SUBSTITUTE(SUBSTITUTE(A141,"/"," "),"."," "),"\"," "),"_"," ")))&amp;" ")),1,0))+IF(Task!$A$18="",0,IF(ISNUMBER(SEARCH(" "&amp;Task!$A$18&amp;" "," "&amp;LOWER(D141&amp;" "&amp;C141&amp;" "&amp;LOWER(SUBSTITUTE(SUBSTITUTE(SUBSTITUTE(SUBSTITUTE(A141,"/"," "),"."," "),"\"," "),"_"," ")))&amp;" ")),1,0))+IF(Task!$A$19="",0,IF(ISNUMBER(SEARCH(" "&amp;Task!$A$19&amp;" "," "&amp;LOWER(D141&amp;" "&amp;C141&amp;" "&amp;LOWER(SUBSTITUTE(SUBSTITUTE(SUBSTITUTE(SUBSTITUTE(A141,"/"," "),"."," "),"\"," "),"_"," ")))&amp;" ")),1,0)))</f>
        <v/>
      </c>
      <c r="G141" s="9">
        <f>IF(E141=0,0,IF(Task!$A$8="",0,IF(ISNUMBER(SEARCH(" "&amp;Task!$A$8&amp;" "," "&amp;LOWER(C141)&amp;" ")),1,0))+IF(Task!$A$9="",0,IF(ISNUMBER(SEARCH(" "&amp;Task!$A$9&amp;" "," "&amp;LOWER(C141)&amp;" ")),1,0))+IF(Task!$A$10="",0,IF(ISNUMBER(SEARCH(" "&amp;Task!$A$10&amp;" "," "&amp;LOWER(C141)&amp;" ")),1,0))+IF(Task!$A$11="",0,IF(ISNUMBER(SEARCH(" "&amp;Task!$A$11&amp;" "," "&amp;LOWER(C141)&amp;" ")),1,0))+IF(Task!$A$12="",0,IF(ISNUMBER(SEARCH(" "&amp;Task!$A$12&amp;" "," "&amp;LOWER(C141)&amp;" ")),1,0))+IF(Task!$A$13="",0,IF(ISNUMBER(SEARCH(" "&amp;Task!$A$13&amp;" "," "&amp;LOWER(C141)&amp;" ")),1,0))+IF(Task!$A$14="",0,IF(ISNUMBER(SEARCH(" "&amp;Task!$A$14&amp;" "," "&amp;LOWER(C141)&amp;" ")),1,0))+IF(Task!$A$15="",0,IF(ISNUMBER(SEARCH(" "&amp;Task!$A$15&amp;" "," "&amp;LOWER(C141)&amp;" ")),1,0))+IF(Task!$A$16="",0,IF(ISNUMBER(SEARCH(" "&amp;Task!$A$16&amp;" "," "&amp;LOWER(C141)&amp;" ")),1,0))+IF(Task!$A$17="",0,IF(ISNUMBER(SEARCH(" "&amp;Task!$A$17&amp;" "," "&amp;LOWER(C141)&amp;" ")),1,0))+IF(Task!$A$18="",0,IF(ISNUMBER(SEARCH(" "&amp;Task!$A$18&amp;" "," "&amp;LOWER(C141)&amp;" ")),1,0))+IF(Task!$A$19="",0,IF(ISNUMBER(SEARCH(" "&amp;Task!$A$19&amp;" "," "&amp;LOWER(C141)&amp;" ")),1,0)))</f>
        <v/>
      </c>
      <c r="H141" s="9">
        <f>IF(E141=0,0,IF(Task!$A$8="",0,IF(ISNUMBER(SEARCH(" "&amp;Task!$A$8&amp;" "," "&amp;LOWER(SUBSTITUTE(SUBSTITUTE(SUBSTITUTE(SUBSTITUTE(A141,"/"," "),"."," "),"\"," "),"_"," "))&amp;" ")),1,0))+IF(Task!$A$9="",0,IF(ISNUMBER(SEARCH(" "&amp;Task!$A$9&amp;" "," "&amp;LOWER(SUBSTITUTE(SUBSTITUTE(SUBSTITUTE(SUBSTITUTE(A141,"/"," "),"."," "),"\"," "),"_"," "))&amp;" ")),1,0))+IF(Task!$A$10="",0,IF(ISNUMBER(SEARCH(" "&amp;Task!$A$10&amp;" "," "&amp;LOWER(SUBSTITUTE(SUBSTITUTE(SUBSTITUTE(SUBSTITUTE(A141,"/"," "),"."," "),"\"," "),"_"," "))&amp;" ")),1,0))+IF(Task!$A$11="",0,IF(ISNUMBER(SEARCH(" "&amp;Task!$A$11&amp;" "," "&amp;LOWER(SUBSTITUTE(SUBSTITUTE(SUBSTITUTE(SUBSTITUTE(A141,"/"," "),"."," "),"\"," "),"_"," "))&amp;" ")),1,0))+IF(Task!$A$12="",0,IF(ISNUMBER(SEARCH(" "&amp;Task!$A$12&amp;" "," "&amp;LOWER(SUBSTITUTE(SUBSTITUTE(SUBSTITUTE(SUBSTITUTE(A141,"/"," "),"."," "),"\"," "),"_"," "))&amp;" ")),1,0))+IF(Task!$A$13="",0,IF(ISNUMBER(SEARCH(" "&amp;Task!$A$13&amp;" "," "&amp;LOWER(SUBSTITUTE(SUBSTITUTE(SUBSTITUTE(SUBSTITUTE(A141,"/"," "),"."," "),"\"," "),"_"," "))&amp;" ")),1,0))+IF(Task!$A$14="",0,IF(ISNUMBER(SEARCH(" "&amp;Task!$A$14&amp;" "," "&amp;LOWER(SUBSTITUTE(SUBSTITUTE(SUBSTITUTE(SUBSTITUTE(A141,"/"," "),"."," "),"\"," "),"_"," "))&amp;" ")),1,0))+IF(Task!$A$15="",0,IF(ISNUMBER(SEARCH(" "&amp;Task!$A$15&amp;" "," "&amp;LOWER(SUBSTITUTE(SUBSTITUTE(SUBSTITUTE(SUBSTITUTE(A141,"/"," "),"."," "),"\"," "),"_"," "))&amp;" ")),1,0))+IF(Task!$A$16="",0,IF(ISNUMBER(SEARCH(" "&amp;Task!$A$16&amp;" "," "&amp;LOWER(SUBSTITUTE(SUBSTITUTE(SUBSTITUTE(SUBSTITUTE(A141,"/"," "),"."," "),"\"," "),"_"," "))&amp;" ")),1,0))+IF(Task!$A$17="",0,IF(ISNUMBER(SEARCH(" "&amp;Task!$A$17&amp;" "," "&amp;LOWER(SUBSTITUTE(SUBSTITUTE(SUBSTITUTE(SUBSTITUTE(A141,"/"," "),"."," "),"\"," "),"_"," "))&amp;" ")),1,0))+IF(Task!$A$18="",0,IF(ISNUMBER(SEARCH(" "&amp;Task!$A$18&amp;" "," "&amp;LOWER(SUBSTITUTE(SUBSTITUTE(SUBSTITUTE(SUBSTITUTE(A141,"/"," "),"."," "),"\"," "),"_"," "))&amp;" ")),1,0))+IF(Task!$A$19="",0,IF(ISNUMBER(SEARCH(" "&amp;Task!$A$19&amp;" "," "&amp;LOWER(SUBSTITUTE(SUBSTITUTE(SUBSTITUTE(SUBSTITUTE(A141,"/"," "),"."," "),"\"," "),"_"," "))&amp;" ")),1,0)))</f>
        <v/>
      </c>
      <c r="I141" s="10">
        <f>IF(OR(E141=0,F141=0,Task!$B$21=0),"",F141/Task!$B$21+0.5*G141+0.25*H141)</f>
        <v/>
      </c>
      <c r="J141" s="5">
        <f>IF(I141="","",I141-ROW()/1000000)</f>
        <v/>
      </c>
      <c r="K141" s="9">
        <f>IF(J141="","",COUNTIF($J$5:$J$404,"&gt;"&amp;J141)+1)</f>
        <v/>
      </c>
    </row>
    <row r="142">
      <c r="A142" s="7" t="n"/>
      <c r="B142" s="7" t="n"/>
      <c r="C142" s="7" t="n"/>
      <c r="D142" s="7" t="n"/>
      <c r="E142" s="5">
        <f>IF(A142="",0,IF(COUNTA(Task!$B$5:$E$5)=0,1,IF(COUNTIF(Task!$B$5:$E$5,B142)&gt;0,1,0)))</f>
        <v/>
      </c>
      <c r="F142" s="9">
        <f>IF(E142=0,0,IF(Task!$A$8="",0,IF(ISNUMBER(SEARCH(" "&amp;Task!$A$8&amp;" "," "&amp;LOWER(D142&amp;" "&amp;C142&amp;" "&amp;LOWER(SUBSTITUTE(SUBSTITUTE(SUBSTITUTE(SUBSTITUTE(A142,"/"," "),"."," "),"\"," "),"_"," ")))&amp;" ")),1,0))+IF(Task!$A$9="",0,IF(ISNUMBER(SEARCH(" "&amp;Task!$A$9&amp;" "," "&amp;LOWER(D142&amp;" "&amp;C142&amp;" "&amp;LOWER(SUBSTITUTE(SUBSTITUTE(SUBSTITUTE(SUBSTITUTE(A142,"/"," "),"."," "),"\"," "),"_"," ")))&amp;" ")),1,0))+IF(Task!$A$10="",0,IF(ISNUMBER(SEARCH(" "&amp;Task!$A$10&amp;" "," "&amp;LOWER(D142&amp;" "&amp;C142&amp;" "&amp;LOWER(SUBSTITUTE(SUBSTITUTE(SUBSTITUTE(SUBSTITUTE(A142,"/"," "),"."," "),"\"," "),"_"," ")))&amp;" ")),1,0))+IF(Task!$A$11="",0,IF(ISNUMBER(SEARCH(" "&amp;Task!$A$11&amp;" "," "&amp;LOWER(D142&amp;" "&amp;C142&amp;" "&amp;LOWER(SUBSTITUTE(SUBSTITUTE(SUBSTITUTE(SUBSTITUTE(A142,"/"," "),"."," "),"\"," "),"_"," ")))&amp;" ")),1,0))+IF(Task!$A$12="",0,IF(ISNUMBER(SEARCH(" "&amp;Task!$A$12&amp;" "," "&amp;LOWER(D142&amp;" "&amp;C142&amp;" "&amp;LOWER(SUBSTITUTE(SUBSTITUTE(SUBSTITUTE(SUBSTITUTE(A142,"/"," "),"."," "),"\"," "),"_"," ")))&amp;" ")),1,0))+IF(Task!$A$13="",0,IF(ISNUMBER(SEARCH(" "&amp;Task!$A$13&amp;" "," "&amp;LOWER(D142&amp;" "&amp;C142&amp;" "&amp;LOWER(SUBSTITUTE(SUBSTITUTE(SUBSTITUTE(SUBSTITUTE(A142,"/"," "),"."," "),"\"," "),"_"," ")))&amp;" ")),1,0))+IF(Task!$A$14="",0,IF(ISNUMBER(SEARCH(" "&amp;Task!$A$14&amp;" "," "&amp;LOWER(D142&amp;" "&amp;C142&amp;" "&amp;LOWER(SUBSTITUTE(SUBSTITUTE(SUBSTITUTE(SUBSTITUTE(A142,"/"," "),"."," "),"\"," "),"_"," ")))&amp;" ")),1,0))+IF(Task!$A$15="",0,IF(ISNUMBER(SEARCH(" "&amp;Task!$A$15&amp;" "," "&amp;LOWER(D142&amp;" "&amp;C142&amp;" "&amp;LOWER(SUBSTITUTE(SUBSTITUTE(SUBSTITUTE(SUBSTITUTE(A142,"/"," "),"."," "),"\"," "),"_"," ")))&amp;" ")),1,0))+IF(Task!$A$16="",0,IF(ISNUMBER(SEARCH(" "&amp;Task!$A$16&amp;" "," "&amp;LOWER(D142&amp;" "&amp;C142&amp;" "&amp;LOWER(SUBSTITUTE(SUBSTITUTE(SUBSTITUTE(SUBSTITUTE(A142,"/"," "),"."," "),"\"," "),"_"," ")))&amp;" ")),1,0))+IF(Task!$A$17="",0,IF(ISNUMBER(SEARCH(" "&amp;Task!$A$17&amp;" "," "&amp;LOWER(D142&amp;" "&amp;C142&amp;" "&amp;LOWER(SUBSTITUTE(SUBSTITUTE(SUBSTITUTE(SUBSTITUTE(A142,"/"," "),"."," "),"\"," "),"_"," ")))&amp;" ")),1,0))+IF(Task!$A$18="",0,IF(ISNUMBER(SEARCH(" "&amp;Task!$A$18&amp;" "," "&amp;LOWER(D142&amp;" "&amp;C142&amp;" "&amp;LOWER(SUBSTITUTE(SUBSTITUTE(SUBSTITUTE(SUBSTITUTE(A142,"/"," "),"."," "),"\"," "),"_"," ")))&amp;" ")),1,0))+IF(Task!$A$19="",0,IF(ISNUMBER(SEARCH(" "&amp;Task!$A$19&amp;" "," "&amp;LOWER(D142&amp;" "&amp;C142&amp;" "&amp;LOWER(SUBSTITUTE(SUBSTITUTE(SUBSTITUTE(SUBSTITUTE(A142,"/"," "),"."," "),"\"," "),"_"," ")))&amp;" ")),1,0)))</f>
        <v/>
      </c>
      <c r="G142" s="9">
        <f>IF(E142=0,0,IF(Task!$A$8="",0,IF(ISNUMBER(SEARCH(" "&amp;Task!$A$8&amp;" "," "&amp;LOWER(C142)&amp;" ")),1,0))+IF(Task!$A$9="",0,IF(ISNUMBER(SEARCH(" "&amp;Task!$A$9&amp;" "," "&amp;LOWER(C142)&amp;" ")),1,0))+IF(Task!$A$10="",0,IF(ISNUMBER(SEARCH(" "&amp;Task!$A$10&amp;" "," "&amp;LOWER(C142)&amp;" ")),1,0))+IF(Task!$A$11="",0,IF(ISNUMBER(SEARCH(" "&amp;Task!$A$11&amp;" "," "&amp;LOWER(C142)&amp;" ")),1,0))+IF(Task!$A$12="",0,IF(ISNUMBER(SEARCH(" "&amp;Task!$A$12&amp;" "," "&amp;LOWER(C142)&amp;" ")),1,0))+IF(Task!$A$13="",0,IF(ISNUMBER(SEARCH(" "&amp;Task!$A$13&amp;" "," "&amp;LOWER(C142)&amp;" ")),1,0))+IF(Task!$A$14="",0,IF(ISNUMBER(SEARCH(" "&amp;Task!$A$14&amp;" "," "&amp;LOWER(C142)&amp;" ")),1,0))+IF(Task!$A$15="",0,IF(ISNUMBER(SEARCH(" "&amp;Task!$A$15&amp;" "," "&amp;LOWER(C142)&amp;" ")),1,0))+IF(Task!$A$16="",0,IF(ISNUMBER(SEARCH(" "&amp;Task!$A$16&amp;" "," "&amp;LOWER(C142)&amp;" ")),1,0))+IF(Task!$A$17="",0,IF(ISNUMBER(SEARCH(" "&amp;Task!$A$17&amp;" "," "&amp;LOWER(C142)&amp;" ")),1,0))+IF(Task!$A$18="",0,IF(ISNUMBER(SEARCH(" "&amp;Task!$A$18&amp;" "," "&amp;LOWER(C142)&amp;" ")),1,0))+IF(Task!$A$19="",0,IF(ISNUMBER(SEARCH(" "&amp;Task!$A$19&amp;" "," "&amp;LOWER(C142)&amp;" ")),1,0)))</f>
        <v/>
      </c>
      <c r="H142" s="9">
        <f>IF(E142=0,0,IF(Task!$A$8="",0,IF(ISNUMBER(SEARCH(" "&amp;Task!$A$8&amp;" "," "&amp;LOWER(SUBSTITUTE(SUBSTITUTE(SUBSTITUTE(SUBSTITUTE(A142,"/"," "),"."," "),"\"," "),"_"," "))&amp;" ")),1,0))+IF(Task!$A$9="",0,IF(ISNUMBER(SEARCH(" "&amp;Task!$A$9&amp;" "," "&amp;LOWER(SUBSTITUTE(SUBSTITUTE(SUBSTITUTE(SUBSTITUTE(A142,"/"," "),"."," "),"\"," "),"_"," "))&amp;" ")),1,0))+IF(Task!$A$10="",0,IF(ISNUMBER(SEARCH(" "&amp;Task!$A$10&amp;" "," "&amp;LOWER(SUBSTITUTE(SUBSTITUTE(SUBSTITUTE(SUBSTITUTE(A142,"/"," "),"."," "),"\"," "),"_"," "))&amp;" ")),1,0))+IF(Task!$A$11="",0,IF(ISNUMBER(SEARCH(" "&amp;Task!$A$11&amp;" "," "&amp;LOWER(SUBSTITUTE(SUBSTITUTE(SUBSTITUTE(SUBSTITUTE(A142,"/"," "),"."," "),"\"," "),"_"," "))&amp;" ")),1,0))+IF(Task!$A$12="",0,IF(ISNUMBER(SEARCH(" "&amp;Task!$A$12&amp;" "," "&amp;LOWER(SUBSTITUTE(SUBSTITUTE(SUBSTITUTE(SUBSTITUTE(A142,"/"," "),"."," "),"\"," "),"_"," "))&amp;" ")),1,0))+IF(Task!$A$13="",0,IF(ISNUMBER(SEARCH(" "&amp;Task!$A$13&amp;" "," "&amp;LOWER(SUBSTITUTE(SUBSTITUTE(SUBSTITUTE(SUBSTITUTE(A142,"/"," "),"."," "),"\"," "),"_"," "))&amp;" ")),1,0))+IF(Task!$A$14="",0,IF(ISNUMBER(SEARCH(" "&amp;Task!$A$14&amp;" "," "&amp;LOWER(SUBSTITUTE(SUBSTITUTE(SUBSTITUTE(SUBSTITUTE(A142,"/"," "),"."," "),"\"," "),"_"," "))&amp;" ")),1,0))+IF(Task!$A$15="",0,IF(ISNUMBER(SEARCH(" "&amp;Task!$A$15&amp;" "," "&amp;LOWER(SUBSTITUTE(SUBSTITUTE(SUBSTITUTE(SUBSTITUTE(A142,"/"," "),"."," "),"\"," "),"_"," "))&amp;" ")),1,0))+IF(Task!$A$16="",0,IF(ISNUMBER(SEARCH(" "&amp;Task!$A$16&amp;" "," "&amp;LOWER(SUBSTITUTE(SUBSTITUTE(SUBSTITUTE(SUBSTITUTE(A142,"/"," "),"."," "),"\"," "),"_"," "))&amp;" ")),1,0))+IF(Task!$A$17="",0,IF(ISNUMBER(SEARCH(" "&amp;Task!$A$17&amp;" "," "&amp;LOWER(SUBSTITUTE(SUBSTITUTE(SUBSTITUTE(SUBSTITUTE(A142,"/"," "),"."," "),"\"," "),"_"," "))&amp;" ")),1,0))+IF(Task!$A$18="",0,IF(ISNUMBER(SEARCH(" "&amp;Task!$A$18&amp;" "," "&amp;LOWER(SUBSTITUTE(SUBSTITUTE(SUBSTITUTE(SUBSTITUTE(A142,"/"," "),"."," "),"\"," "),"_"," "))&amp;" ")),1,0))+IF(Task!$A$19="",0,IF(ISNUMBER(SEARCH(" "&amp;Task!$A$19&amp;" "," "&amp;LOWER(SUBSTITUTE(SUBSTITUTE(SUBSTITUTE(SUBSTITUTE(A142,"/"," "),"."," "),"\"," "),"_"," "))&amp;" ")),1,0)))</f>
        <v/>
      </c>
      <c r="I142" s="10">
        <f>IF(OR(E142=0,F142=0,Task!$B$21=0),"",F142/Task!$B$21+0.5*G142+0.25*H142)</f>
        <v/>
      </c>
      <c r="J142" s="5">
        <f>IF(I142="","",I142-ROW()/1000000)</f>
        <v/>
      </c>
      <c r="K142" s="9">
        <f>IF(J142="","",COUNTIF($J$5:$J$404,"&gt;"&amp;J142)+1)</f>
        <v/>
      </c>
    </row>
    <row r="143">
      <c r="A143" s="7" t="n"/>
      <c r="B143" s="7" t="n"/>
      <c r="C143" s="7" t="n"/>
      <c r="D143" s="7" t="n"/>
      <c r="E143" s="5">
        <f>IF(A143="",0,IF(COUNTA(Task!$B$5:$E$5)=0,1,IF(COUNTIF(Task!$B$5:$E$5,B143)&gt;0,1,0)))</f>
        <v/>
      </c>
      <c r="F143" s="9">
        <f>IF(E143=0,0,IF(Task!$A$8="",0,IF(ISNUMBER(SEARCH(" "&amp;Task!$A$8&amp;" "," "&amp;LOWER(D143&amp;" "&amp;C143&amp;" "&amp;LOWER(SUBSTITUTE(SUBSTITUTE(SUBSTITUTE(SUBSTITUTE(A143,"/"," "),"."," "),"\"," "),"_"," ")))&amp;" ")),1,0))+IF(Task!$A$9="",0,IF(ISNUMBER(SEARCH(" "&amp;Task!$A$9&amp;" "," "&amp;LOWER(D143&amp;" "&amp;C143&amp;" "&amp;LOWER(SUBSTITUTE(SUBSTITUTE(SUBSTITUTE(SUBSTITUTE(A143,"/"," "),"."," "),"\"," "),"_"," ")))&amp;" ")),1,0))+IF(Task!$A$10="",0,IF(ISNUMBER(SEARCH(" "&amp;Task!$A$10&amp;" "," "&amp;LOWER(D143&amp;" "&amp;C143&amp;" "&amp;LOWER(SUBSTITUTE(SUBSTITUTE(SUBSTITUTE(SUBSTITUTE(A143,"/"," "),"."," "),"\"," "),"_"," ")))&amp;" ")),1,0))+IF(Task!$A$11="",0,IF(ISNUMBER(SEARCH(" "&amp;Task!$A$11&amp;" "," "&amp;LOWER(D143&amp;" "&amp;C143&amp;" "&amp;LOWER(SUBSTITUTE(SUBSTITUTE(SUBSTITUTE(SUBSTITUTE(A143,"/"," "),"."," "),"\"," "),"_"," ")))&amp;" ")),1,0))+IF(Task!$A$12="",0,IF(ISNUMBER(SEARCH(" "&amp;Task!$A$12&amp;" "," "&amp;LOWER(D143&amp;" "&amp;C143&amp;" "&amp;LOWER(SUBSTITUTE(SUBSTITUTE(SUBSTITUTE(SUBSTITUTE(A143,"/"," "),"."," "),"\"," "),"_"," ")))&amp;" ")),1,0))+IF(Task!$A$13="",0,IF(ISNUMBER(SEARCH(" "&amp;Task!$A$13&amp;" "," "&amp;LOWER(D143&amp;" "&amp;C143&amp;" "&amp;LOWER(SUBSTITUTE(SUBSTITUTE(SUBSTITUTE(SUBSTITUTE(A143,"/"," "),"."," "),"\"," "),"_"," ")))&amp;" ")),1,0))+IF(Task!$A$14="",0,IF(ISNUMBER(SEARCH(" "&amp;Task!$A$14&amp;" "," "&amp;LOWER(D143&amp;" "&amp;C143&amp;" "&amp;LOWER(SUBSTITUTE(SUBSTITUTE(SUBSTITUTE(SUBSTITUTE(A143,"/"," "),"."," "),"\"," "),"_"," ")))&amp;" ")),1,0))+IF(Task!$A$15="",0,IF(ISNUMBER(SEARCH(" "&amp;Task!$A$15&amp;" "," "&amp;LOWER(D143&amp;" "&amp;C143&amp;" "&amp;LOWER(SUBSTITUTE(SUBSTITUTE(SUBSTITUTE(SUBSTITUTE(A143,"/"," "),"."," "),"\"," "),"_"," ")))&amp;" ")),1,0))+IF(Task!$A$16="",0,IF(ISNUMBER(SEARCH(" "&amp;Task!$A$16&amp;" "," "&amp;LOWER(D143&amp;" "&amp;C143&amp;" "&amp;LOWER(SUBSTITUTE(SUBSTITUTE(SUBSTITUTE(SUBSTITUTE(A143,"/"," "),"."," "),"\"," "),"_"," ")))&amp;" ")),1,0))+IF(Task!$A$17="",0,IF(ISNUMBER(SEARCH(" "&amp;Task!$A$17&amp;" "," "&amp;LOWER(D143&amp;" "&amp;C143&amp;" "&amp;LOWER(SUBSTITUTE(SUBSTITUTE(SUBSTITUTE(SUBSTITUTE(A143,"/"," "),"."," "),"\"," "),"_"," ")))&amp;" ")),1,0))+IF(Task!$A$18="",0,IF(ISNUMBER(SEARCH(" "&amp;Task!$A$18&amp;" "," "&amp;LOWER(D143&amp;" "&amp;C143&amp;" "&amp;LOWER(SUBSTITUTE(SUBSTITUTE(SUBSTITUTE(SUBSTITUTE(A143,"/"," "),"."," "),"\"," "),"_"," ")))&amp;" ")),1,0))+IF(Task!$A$19="",0,IF(ISNUMBER(SEARCH(" "&amp;Task!$A$19&amp;" "," "&amp;LOWER(D143&amp;" "&amp;C143&amp;" "&amp;LOWER(SUBSTITUTE(SUBSTITUTE(SUBSTITUTE(SUBSTITUTE(A143,"/"," "),"."," "),"\"," "),"_"," ")))&amp;" ")),1,0)))</f>
        <v/>
      </c>
      <c r="G143" s="9">
        <f>IF(E143=0,0,IF(Task!$A$8="",0,IF(ISNUMBER(SEARCH(" "&amp;Task!$A$8&amp;" "," "&amp;LOWER(C143)&amp;" ")),1,0))+IF(Task!$A$9="",0,IF(ISNUMBER(SEARCH(" "&amp;Task!$A$9&amp;" "," "&amp;LOWER(C143)&amp;" ")),1,0))+IF(Task!$A$10="",0,IF(ISNUMBER(SEARCH(" "&amp;Task!$A$10&amp;" "," "&amp;LOWER(C143)&amp;" ")),1,0))+IF(Task!$A$11="",0,IF(ISNUMBER(SEARCH(" "&amp;Task!$A$11&amp;" "," "&amp;LOWER(C143)&amp;" ")),1,0))+IF(Task!$A$12="",0,IF(ISNUMBER(SEARCH(" "&amp;Task!$A$12&amp;" "," "&amp;LOWER(C143)&amp;" ")),1,0))+IF(Task!$A$13="",0,IF(ISNUMBER(SEARCH(" "&amp;Task!$A$13&amp;" "," "&amp;LOWER(C143)&amp;" ")),1,0))+IF(Task!$A$14="",0,IF(ISNUMBER(SEARCH(" "&amp;Task!$A$14&amp;" "," "&amp;LOWER(C143)&amp;" ")),1,0))+IF(Task!$A$15="",0,IF(ISNUMBER(SEARCH(" "&amp;Task!$A$15&amp;" "," "&amp;LOWER(C143)&amp;" ")),1,0))+IF(Task!$A$16="",0,IF(ISNUMBER(SEARCH(" "&amp;Task!$A$16&amp;" "," "&amp;LOWER(C143)&amp;" ")),1,0))+IF(Task!$A$17="",0,IF(ISNUMBER(SEARCH(" "&amp;Task!$A$17&amp;" "," "&amp;LOWER(C143)&amp;" ")),1,0))+IF(Task!$A$18="",0,IF(ISNUMBER(SEARCH(" "&amp;Task!$A$18&amp;" "," "&amp;LOWER(C143)&amp;" ")),1,0))+IF(Task!$A$19="",0,IF(ISNUMBER(SEARCH(" "&amp;Task!$A$19&amp;" "," "&amp;LOWER(C143)&amp;" ")),1,0)))</f>
        <v/>
      </c>
      <c r="H143" s="9">
        <f>IF(E143=0,0,IF(Task!$A$8="",0,IF(ISNUMBER(SEARCH(" "&amp;Task!$A$8&amp;" "," "&amp;LOWER(SUBSTITUTE(SUBSTITUTE(SUBSTITUTE(SUBSTITUTE(A143,"/"," "),"."," "),"\"," "),"_"," "))&amp;" ")),1,0))+IF(Task!$A$9="",0,IF(ISNUMBER(SEARCH(" "&amp;Task!$A$9&amp;" "," "&amp;LOWER(SUBSTITUTE(SUBSTITUTE(SUBSTITUTE(SUBSTITUTE(A143,"/"," "),"."," "),"\"," "),"_"," "))&amp;" ")),1,0))+IF(Task!$A$10="",0,IF(ISNUMBER(SEARCH(" "&amp;Task!$A$10&amp;" "," "&amp;LOWER(SUBSTITUTE(SUBSTITUTE(SUBSTITUTE(SUBSTITUTE(A143,"/"," "),"."," "),"\"," "),"_"," "))&amp;" ")),1,0))+IF(Task!$A$11="",0,IF(ISNUMBER(SEARCH(" "&amp;Task!$A$11&amp;" "," "&amp;LOWER(SUBSTITUTE(SUBSTITUTE(SUBSTITUTE(SUBSTITUTE(A143,"/"," "),"."," "),"\"," "),"_"," "))&amp;" ")),1,0))+IF(Task!$A$12="",0,IF(ISNUMBER(SEARCH(" "&amp;Task!$A$12&amp;" "," "&amp;LOWER(SUBSTITUTE(SUBSTITUTE(SUBSTITUTE(SUBSTITUTE(A143,"/"," "),"."," "),"\"," "),"_"," "))&amp;" ")),1,0))+IF(Task!$A$13="",0,IF(ISNUMBER(SEARCH(" "&amp;Task!$A$13&amp;" "," "&amp;LOWER(SUBSTITUTE(SUBSTITUTE(SUBSTITUTE(SUBSTITUTE(A143,"/"," "),"."," "),"\"," "),"_"," "))&amp;" ")),1,0))+IF(Task!$A$14="",0,IF(ISNUMBER(SEARCH(" "&amp;Task!$A$14&amp;" "," "&amp;LOWER(SUBSTITUTE(SUBSTITUTE(SUBSTITUTE(SUBSTITUTE(A143,"/"," "),"."," "),"\"," "),"_"," "))&amp;" ")),1,0))+IF(Task!$A$15="",0,IF(ISNUMBER(SEARCH(" "&amp;Task!$A$15&amp;" "," "&amp;LOWER(SUBSTITUTE(SUBSTITUTE(SUBSTITUTE(SUBSTITUTE(A143,"/"," "),"."," "),"\"," "),"_"," "))&amp;" ")),1,0))+IF(Task!$A$16="",0,IF(ISNUMBER(SEARCH(" "&amp;Task!$A$16&amp;" "," "&amp;LOWER(SUBSTITUTE(SUBSTITUTE(SUBSTITUTE(SUBSTITUTE(A143,"/"," "),"."," "),"\"," "),"_"," "))&amp;" ")),1,0))+IF(Task!$A$17="",0,IF(ISNUMBER(SEARCH(" "&amp;Task!$A$17&amp;" "," "&amp;LOWER(SUBSTITUTE(SUBSTITUTE(SUBSTITUTE(SUBSTITUTE(A143,"/"," "),"."," "),"\"," "),"_"," "))&amp;" ")),1,0))+IF(Task!$A$18="",0,IF(ISNUMBER(SEARCH(" "&amp;Task!$A$18&amp;" "," "&amp;LOWER(SUBSTITUTE(SUBSTITUTE(SUBSTITUTE(SUBSTITUTE(A143,"/"," "),"."," "),"\"," "),"_"," "))&amp;" ")),1,0))+IF(Task!$A$19="",0,IF(ISNUMBER(SEARCH(" "&amp;Task!$A$19&amp;" "," "&amp;LOWER(SUBSTITUTE(SUBSTITUTE(SUBSTITUTE(SUBSTITUTE(A143,"/"," "),"."," "),"\"," "),"_"," "))&amp;" ")),1,0)))</f>
        <v/>
      </c>
      <c r="I143" s="10">
        <f>IF(OR(E143=0,F143=0,Task!$B$21=0),"",F143/Task!$B$21+0.5*G143+0.25*H143)</f>
        <v/>
      </c>
      <c r="J143" s="5">
        <f>IF(I143="","",I143-ROW()/1000000)</f>
        <v/>
      </c>
      <c r="K143" s="9">
        <f>IF(J143="","",COUNTIF($J$5:$J$404,"&gt;"&amp;J143)+1)</f>
        <v/>
      </c>
    </row>
    <row r="144">
      <c r="A144" s="7" t="n"/>
      <c r="B144" s="7" t="n"/>
      <c r="C144" s="7" t="n"/>
      <c r="D144" s="7" t="n"/>
      <c r="E144" s="5">
        <f>IF(A144="",0,IF(COUNTA(Task!$B$5:$E$5)=0,1,IF(COUNTIF(Task!$B$5:$E$5,B144)&gt;0,1,0)))</f>
        <v/>
      </c>
      <c r="F144" s="9">
        <f>IF(E144=0,0,IF(Task!$A$8="",0,IF(ISNUMBER(SEARCH(" "&amp;Task!$A$8&amp;" "," "&amp;LOWER(D144&amp;" "&amp;C144&amp;" "&amp;LOWER(SUBSTITUTE(SUBSTITUTE(SUBSTITUTE(SUBSTITUTE(A144,"/"," "),"."," "),"\"," "),"_"," ")))&amp;" ")),1,0))+IF(Task!$A$9="",0,IF(ISNUMBER(SEARCH(" "&amp;Task!$A$9&amp;" "," "&amp;LOWER(D144&amp;" "&amp;C144&amp;" "&amp;LOWER(SUBSTITUTE(SUBSTITUTE(SUBSTITUTE(SUBSTITUTE(A144,"/"," "),"."," "),"\"," "),"_"," ")))&amp;" ")),1,0))+IF(Task!$A$10="",0,IF(ISNUMBER(SEARCH(" "&amp;Task!$A$10&amp;" "," "&amp;LOWER(D144&amp;" "&amp;C144&amp;" "&amp;LOWER(SUBSTITUTE(SUBSTITUTE(SUBSTITUTE(SUBSTITUTE(A144,"/"," "),"."," "),"\"," "),"_"," ")))&amp;" ")),1,0))+IF(Task!$A$11="",0,IF(ISNUMBER(SEARCH(" "&amp;Task!$A$11&amp;" "," "&amp;LOWER(D144&amp;" "&amp;C144&amp;" "&amp;LOWER(SUBSTITUTE(SUBSTITUTE(SUBSTITUTE(SUBSTITUTE(A144,"/"," "),"."," "),"\"," "),"_"," ")))&amp;" ")),1,0))+IF(Task!$A$12="",0,IF(ISNUMBER(SEARCH(" "&amp;Task!$A$12&amp;" "," "&amp;LOWER(D144&amp;" "&amp;C144&amp;" "&amp;LOWER(SUBSTITUTE(SUBSTITUTE(SUBSTITUTE(SUBSTITUTE(A144,"/"," "),"."," "),"\"," "),"_"," ")))&amp;" ")),1,0))+IF(Task!$A$13="",0,IF(ISNUMBER(SEARCH(" "&amp;Task!$A$13&amp;" "," "&amp;LOWER(D144&amp;" "&amp;C144&amp;" "&amp;LOWER(SUBSTITUTE(SUBSTITUTE(SUBSTITUTE(SUBSTITUTE(A144,"/"," "),"."," "),"\"," "),"_"," ")))&amp;" ")),1,0))+IF(Task!$A$14="",0,IF(ISNUMBER(SEARCH(" "&amp;Task!$A$14&amp;" "," "&amp;LOWER(D144&amp;" "&amp;C144&amp;" "&amp;LOWER(SUBSTITUTE(SUBSTITUTE(SUBSTITUTE(SUBSTITUTE(A144,"/"," "),"."," "),"\"," "),"_"," ")))&amp;" ")),1,0))+IF(Task!$A$15="",0,IF(ISNUMBER(SEARCH(" "&amp;Task!$A$15&amp;" "," "&amp;LOWER(D144&amp;" "&amp;C144&amp;" "&amp;LOWER(SUBSTITUTE(SUBSTITUTE(SUBSTITUTE(SUBSTITUTE(A144,"/"," "),"."," "),"\"," "),"_"," ")))&amp;" ")),1,0))+IF(Task!$A$16="",0,IF(ISNUMBER(SEARCH(" "&amp;Task!$A$16&amp;" "," "&amp;LOWER(D144&amp;" "&amp;C144&amp;" "&amp;LOWER(SUBSTITUTE(SUBSTITUTE(SUBSTITUTE(SUBSTITUTE(A144,"/"," "),"."," "),"\"," "),"_"," ")))&amp;" ")),1,0))+IF(Task!$A$17="",0,IF(ISNUMBER(SEARCH(" "&amp;Task!$A$17&amp;" "," "&amp;LOWER(D144&amp;" "&amp;C144&amp;" "&amp;LOWER(SUBSTITUTE(SUBSTITUTE(SUBSTITUTE(SUBSTITUTE(A144,"/"," "),"."," "),"\"," "),"_"," ")))&amp;" ")),1,0))+IF(Task!$A$18="",0,IF(ISNUMBER(SEARCH(" "&amp;Task!$A$18&amp;" "," "&amp;LOWER(D144&amp;" "&amp;C144&amp;" "&amp;LOWER(SUBSTITUTE(SUBSTITUTE(SUBSTITUTE(SUBSTITUTE(A144,"/"," "),"."," "),"\"," "),"_"," ")))&amp;" ")),1,0))+IF(Task!$A$19="",0,IF(ISNUMBER(SEARCH(" "&amp;Task!$A$19&amp;" "," "&amp;LOWER(D144&amp;" "&amp;C144&amp;" "&amp;LOWER(SUBSTITUTE(SUBSTITUTE(SUBSTITUTE(SUBSTITUTE(A144,"/"," "),"."," "),"\"," "),"_"," ")))&amp;" ")),1,0)))</f>
        <v/>
      </c>
      <c r="G144" s="9">
        <f>IF(E144=0,0,IF(Task!$A$8="",0,IF(ISNUMBER(SEARCH(" "&amp;Task!$A$8&amp;" "," "&amp;LOWER(C144)&amp;" ")),1,0))+IF(Task!$A$9="",0,IF(ISNUMBER(SEARCH(" "&amp;Task!$A$9&amp;" "," "&amp;LOWER(C144)&amp;" ")),1,0))+IF(Task!$A$10="",0,IF(ISNUMBER(SEARCH(" "&amp;Task!$A$10&amp;" "," "&amp;LOWER(C144)&amp;" ")),1,0))+IF(Task!$A$11="",0,IF(ISNUMBER(SEARCH(" "&amp;Task!$A$11&amp;" "," "&amp;LOWER(C144)&amp;" ")),1,0))+IF(Task!$A$12="",0,IF(ISNUMBER(SEARCH(" "&amp;Task!$A$12&amp;" "," "&amp;LOWER(C144)&amp;" ")),1,0))+IF(Task!$A$13="",0,IF(ISNUMBER(SEARCH(" "&amp;Task!$A$13&amp;" "," "&amp;LOWER(C144)&amp;" ")),1,0))+IF(Task!$A$14="",0,IF(ISNUMBER(SEARCH(" "&amp;Task!$A$14&amp;" "," "&amp;LOWER(C144)&amp;" ")),1,0))+IF(Task!$A$15="",0,IF(ISNUMBER(SEARCH(" "&amp;Task!$A$15&amp;" "," "&amp;LOWER(C144)&amp;" ")),1,0))+IF(Task!$A$16="",0,IF(ISNUMBER(SEARCH(" "&amp;Task!$A$16&amp;" "," "&amp;LOWER(C144)&amp;" ")),1,0))+IF(Task!$A$17="",0,IF(ISNUMBER(SEARCH(" "&amp;Task!$A$17&amp;" "," "&amp;LOWER(C144)&amp;" ")),1,0))+IF(Task!$A$18="",0,IF(ISNUMBER(SEARCH(" "&amp;Task!$A$18&amp;" "," "&amp;LOWER(C144)&amp;" ")),1,0))+IF(Task!$A$19="",0,IF(ISNUMBER(SEARCH(" "&amp;Task!$A$19&amp;" "," "&amp;LOWER(C144)&amp;" ")),1,0)))</f>
        <v/>
      </c>
      <c r="H144" s="9">
        <f>IF(E144=0,0,IF(Task!$A$8="",0,IF(ISNUMBER(SEARCH(" "&amp;Task!$A$8&amp;" "," "&amp;LOWER(SUBSTITUTE(SUBSTITUTE(SUBSTITUTE(SUBSTITUTE(A144,"/"," "),"."," "),"\"," "),"_"," "))&amp;" ")),1,0))+IF(Task!$A$9="",0,IF(ISNUMBER(SEARCH(" "&amp;Task!$A$9&amp;" "," "&amp;LOWER(SUBSTITUTE(SUBSTITUTE(SUBSTITUTE(SUBSTITUTE(A144,"/"," "),"."," "),"\"," "),"_"," "))&amp;" ")),1,0))+IF(Task!$A$10="",0,IF(ISNUMBER(SEARCH(" "&amp;Task!$A$10&amp;" "," "&amp;LOWER(SUBSTITUTE(SUBSTITUTE(SUBSTITUTE(SUBSTITUTE(A144,"/"," "),"."," "),"\"," "),"_"," "))&amp;" ")),1,0))+IF(Task!$A$11="",0,IF(ISNUMBER(SEARCH(" "&amp;Task!$A$11&amp;" "," "&amp;LOWER(SUBSTITUTE(SUBSTITUTE(SUBSTITUTE(SUBSTITUTE(A144,"/"," "),"."," "),"\"," "),"_"," "))&amp;" ")),1,0))+IF(Task!$A$12="",0,IF(ISNUMBER(SEARCH(" "&amp;Task!$A$12&amp;" "," "&amp;LOWER(SUBSTITUTE(SUBSTITUTE(SUBSTITUTE(SUBSTITUTE(A144,"/"," "),"."," "),"\"," "),"_"," "))&amp;" ")),1,0))+IF(Task!$A$13="",0,IF(ISNUMBER(SEARCH(" "&amp;Task!$A$13&amp;" "," "&amp;LOWER(SUBSTITUTE(SUBSTITUTE(SUBSTITUTE(SUBSTITUTE(A144,"/"," "),"."," "),"\"," "),"_"," "))&amp;" ")),1,0))+IF(Task!$A$14="",0,IF(ISNUMBER(SEARCH(" "&amp;Task!$A$14&amp;" "," "&amp;LOWER(SUBSTITUTE(SUBSTITUTE(SUBSTITUTE(SUBSTITUTE(A144,"/"," "),"."," "),"\"," "),"_"," "))&amp;" ")),1,0))+IF(Task!$A$15="",0,IF(ISNUMBER(SEARCH(" "&amp;Task!$A$15&amp;" "," "&amp;LOWER(SUBSTITUTE(SUBSTITUTE(SUBSTITUTE(SUBSTITUTE(A144,"/"," "),"."," "),"\"," "),"_"," "))&amp;" ")),1,0))+IF(Task!$A$16="",0,IF(ISNUMBER(SEARCH(" "&amp;Task!$A$16&amp;" "," "&amp;LOWER(SUBSTITUTE(SUBSTITUTE(SUBSTITUTE(SUBSTITUTE(A144,"/"," "),"."," "),"\"," "),"_"," "))&amp;" ")),1,0))+IF(Task!$A$17="",0,IF(ISNUMBER(SEARCH(" "&amp;Task!$A$17&amp;" "," "&amp;LOWER(SUBSTITUTE(SUBSTITUTE(SUBSTITUTE(SUBSTITUTE(A144,"/"," "),"."," "),"\"," "),"_"," "))&amp;" ")),1,0))+IF(Task!$A$18="",0,IF(ISNUMBER(SEARCH(" "&amp;Task!$A$18&amp;" "," "&amp;LOWER(SUBSTITUTE(SUBSTITUTE(SUBSTITUTE(SUBSTITUTE(A144,"/"," "),"."," "),"\"," "),"_"," "))&amp;" ")),1,0))+IF(Task!$A$19="",0,IF(ISNUMBER(SEARCH(" "&amp;Task!$A$19&amp;" "," "&amp;LOWER(SUBSTITUTE(SUBSTITUTE(SUBSTITUTE(SUBSTITUTE(A144,"/"," "),"."," "),"\"," "),"_"," "))&amp;" ")),1,0)))</f>
        <v/>
      </c>
      <c r="I144" s="10">
        <f>IF(OR(E144=0,F144=0,Task!$B$21=0),"",F144/Task!$B$21+0.5*G144+0.25*H144)</f>
        <v/>
      </c>
      <c r="J144" s="5">
        <f>IF(I144="","",I144-ROW()/1000000)</f>
        <v/>
      </c>
      <c r="K144" s="9">
        <f>IF(J144="","",COUNTIF($J$5:$J$404,"&gt;"&amp;J144)+1)</f>
        <v/>
      </c>
    </row>
    <row r="145">
      <c r="A145" s="7" t="n"/>
      <c r="B145" s="7" t="n"/>
      <c r="C145" s="7" t="n"/>
      <c r="D145" s="7" t="n"/>
      <c r="E145" s="5">
        <f>IF(A145="",0,IF(COUNTA(Task!$B$5:$E$5)=0,1,IF(COUNTIF(Task!$B$5:$E$5,B145)&gt;0,1,0)))</f>
        <v/>
      </c>
      <c r="F145" s="9">
        <f>IF(E145=0,0,IF(Task!$A$8="",0,IF(ISNUMBER(SEARCH(" "&amp;Task!$A$8&amp;" "," "&amp;LOWER(D145&amp;" "&amp;C145&amp;" "&amp;LOWER(SUBSTITUTE(SUBSTITUTE(SUBSTITUTE(SUBSTITUTE(A145,"/"," "),"."," "),"\"," "),"_"," ")))&amp;" ")),1,0))+IF(Task!$A$9="",0,IF(ISNUMBER(SEARCH(" "&amp;Task!$A$9&amp;" "," "&amp;LOWER(D145&amp;" "&amp;C145&amp;" "&amp;LOWER(SUBSTITUTE(SUBSTITUTE(SUBSTITUTE(SUBSTITUTE(A145,"/"," "),"."," "),"\"," "),"_"," ")))&amp;" ")),1,0))+IF(Task!$A$10="",0,IF(ISNUMBER(SEARCH(" "&amp;Task!$A$10&amp;" "," "&amp;LOWER(D145&amp;" "&amp;C145&amp;" "&amp;LOWER(SUBSTITUTE(SUBSTITUTE(SUBSTITUTE(SUBSTITUTE(A145,"/"," "),"."," "),"\"," "),"_"," ")))&amp;" ")),1,0))+IF(Task!$A$11="",0,IF(ISNUMBER(SEARCH(" "&amp;Task!$A$11&amp;" "," "&amp;LOWER(D145&amp;" "&amp;C145&amp;" "&amp;LOWER(SUBSTITUTE(SUBSTITUTE(SUBSTITUTE(SUBSTITUTE(A145,"/"," "),"."," "),"\"," "),"_"," ")))&amp;" ")),1,0))+IF(Task!$A$12="",0,IF(ISNUMBER(SEARCH(" "&amp;Task!$A$12&amp;" "," "&amp;LOWER(D145&amp;" "&amp;C145&amp;" "&amp;LOWER(SUBSTITUTE(SUBSTITUTE(SUBSTITUTE(SUBSTITUTE(A145,"/"," "),"."," "),"\"," "),"_"," ")))&amp;" ")),1,0))+IF(Task!$A$13="",0,IF(ISNUMBER(SEARCH(" "&amp;Task!$A$13&amp;" "," "&amp;LOWER(D145&amp;" "&amp;C145&amp;" "&amp;LOWER(SUBSTITUTE(SUBSTITUTE(SUBSTITUTE(SUBSTITUTE(A145,"/"," "),"."," "),"\"," "),"_"," ")))&amp;" ")),1,0))+IF(Task!$A$14="",0,IF(ISNUMBER(SEARCH(" "&amp;Task!$A$14&amp;" "," "&amp;LOWER(D145&amp;" "&amp;C145&amp;" "&amp;LOWER(SUBSTITUTE(SUBSTITUTE(SUBSTITUTE(SUBSTITUTE(A145,"/"," "),"."," "),"\"," "),"_"," ")))&amp;" ")),1,0))+IF(Task!$A$15="",0,IF(ISNUMBER(SEARCH(" "&amp;Task!$A$15&amp;" "," "&amp;LOWER(D145&amp;" "&amp;C145&amp;" "&amp;LOWER(SUBSTITUTE(SUBSTITUTE(SUBSTITUTE(SUBSTITUTE(A145,"/"," "),"."," "),"\"," "),"_"," ")))&amp;" ")),1,0))+IF(Task!$A$16="",0,IF(ISNUMBER(SEARCH(" "&amp;Task!$A$16&amp;" "," "&amp;LOWER(D145&amp;" "&amp;C145&amp;" "&amp;LOWER(SUBSTITUTE(SUBSTITUTE(SUBSTITUTE(SUBSTITUTE(A145,"/"," "),"."," "),"\"," "),"_"," ")))&amp;" ")),1,0))+IF(Task!$A$17="",0,IF(ISNUMBER(SEARCH(" "&amp;Task!$A$17&amp;" "," "&amp;LOWER(D145&amp;" "&amp;C145&amp;" "&amp;LOWER(SUBSTITUTE(SUBSTITUTE(SUBSTITUTE(SUBSTITUTE(A145,"/"," "),"."," "),"\"," "),"_"," ")))&amp;" ")),1,0))+IF(Task!$A$18="",0,IF(ISNUMBER(SEARCH(" "&amp;Task!$A$18&amp;" "," "&amp;LOWER(D145&amp;" "&amp;C145&amp;" "&amp;LOWER(SUBSTITUTE(SUBSTITUTE(SUBSTITUTE(SUBSTITUTE(A145,"/"," "),"."," "),"\"," "),"_"," ")))&amp;" ")),1,0))+IF(Task!$A$19="",0,IF(ISNUMBER(SEARCH(" "&amp;Task!$A$19&amp;" "," "&amp;LOWER(D145&amp;" "&amp;C145&amp;" "&amp;LOWER(SUBSTITUTE(SUBSTITUTE(SUBSTITUTE(SUBSTITUTE(A145,"/"," "),"."," "),"\"," "),"_"," ")))&amp;" ")),1,0)))</f>
        <v/>
      </c>
      <c r="G145" s="9">
        <f>IF(E145=0,0,IF(Task!$A$8="",0,IF(ISNUMBER(SEARCH(" "&amp;Task!$A$8&amp;" "," "&amp;LOWER(C145)&amp;" ")),1,0))+IF(Task!$A$9="",0,IF(ISNUMBER(SEARCH(" "&amp;Task!$A$9&amp;" "," "&amp;LOWER(C145)&amp;" ")),1,0))+IF(Task!$A$10="",0,IF(ISNUMBER(SEARCH(" "&amp;Task!$A$10&amp;" "," "&amp;LOWER(C145)&amp;" ")),1,0))+IF(Task!$A$11="",0,IF(ISNUMBER(SEARCH(" "&amp;Task!$A$11&amp;" "," "&amp;LOWER(C145)&amp;" ")),1,0))+IF(Task!$A$12="",0,IF(ISNUMBER(SEARCH(" "&amp;Task!$A$12&amp;" "," "&amp;LOWER(C145)&amp;" ")),1,0))+IF(Task!$A$13="",0,IF(ISNUMBER(SEARCH(" "&amp;Task!$A$13&amp;" "," "&amp;LOWER(C145)&amp;" ")),1,0))+IF(Task!$A$14="",0,IF(ISNUMBER(SEARCH(" "&amp;Task!$A$14&amp;" "," "&amp;LOWER(C145)&amp;" ")),1,0))+IF(Task!$A$15="",0,IF(ISNUMBER(SEARCH(" "&amp;Task!$A$15&amp;" "," "&amp;LOWER(C145)&amp;" ")),1,0))+IF(Task!$A$16="",0,IF(ISNUMBER(SEARCH(" "&amp;Task!$A$16&amp;" "," "&amp;LOWER(C145)&amp;" ")),1,0))+IF(Task!$A$17="",0,IF(ISNUMBER(SEARCH(" "&amp;Task!$A$17&amp;" "," "&amp;LOWER(C145)&amp;" ")),1,0))+IF(Task!$A$18="",0,IF(ISNUMBER(SEARCH(" "&amp;Task!$A$18&amp;" "," "&amp;LOWER(C145)&amp;" ")),1,0))+IF(Task!$A$19="",0,IF(ISNUMBER(SEARCH(" "&amp;Task!$A$19&amp;" "," "&amp;LOWER(C145)&amp;" ")),1,0)))</f>
        <v/>
      </c>
      <c r="H145" s="9">
        <f>IF(E145=0,0,IF(Task!$A$8="",0,IF(ISNUMBER(SEARCH(" "&amp;Task!$A$8&amp;" "," "&amp;LOWER(SUBSTITUTE(SUBSTITUTE(SUBSTITUTE(SUBSTITUTE(A145,"/"," "),"."," "),"\"," "),"_"," "))&amp;" ")),1,0))+IF(Task!$A$9="",0,IF(ISNUMBER(SEARCH(" "&amp;Task!$A$9&amp;" "," "&amp;LOWER(SUBSTITUTE(SUBSTITUTE(SUBSTITUTE(SUBSTITUTE(A145,"/"," "),"."," "),"\"," "),"_"," "))&amp;" ")),1,0))+IF(Task!$A$10="",0,IF(ISNUMBER(SEARCH(" "&amp;Task!$A$10&amp;" "," "&amp;LOWER(SUBSTITUTE(SUBSTITUTE(SUBSTITUTE(SUBSTITUTE(A145,"/"," "),"."," "),"\"," "),"_"," "))&amp;" ")),1,0))+IF(Task!$A$11="",0,IF(ISNUMBER(SEARCH(" "&amp;Task!$A$11&amp;" "," "&amp;LOWER(SUBSTITUTE(SUBSTITUTE(SUBSTITUTE(SUBSTITUTE(A145,"/"," "),"."," "),"\"," "),"_"," "))&amp;" ")),1,0))+IF(Task!$A$12="",0,IF(ISNUMBER(SEARCH(" "&amp;Task!$A$12&amp;" "," "&amp;LOWER(SUBSTITUTE(SUBSTITUTE(SUBSTITUTE(SUBSTITUTE(A145,"/"," "),"."," "),"\"," "),"_"," "))&amp;" ")),1,0))+IF(Task!$A$13="",0,IF(ISNUMBER(SEARCH(" "&amp;Task!$A$13&amp;" "," "&amp;LOWER(SUBSTITUTE(SUBSTITUTE(SUBSTITUTE(SUBSTITUTE(A145,"/"," "),"."," "),"\"," "),"_"," "))&amp;" ")),1,0))+IF(Task!$A$14="",0,IF(ISNUMBER(SEARCH(" "&amp;Task!$A$14&amp;" "," "&amp;LOWER(SUBSTITUTE(SUBSTITUTE(SUBSTITUTE(SUBSTITUTE(A145,"/"," "),"."," "),"\"," "),"_"," "))&amp;" ")),1,0))+IF(Task!$A$15="",0,IF(ISNUMBER(SEARCH(" "&amp;Task!$A$15&amp;" "," "&amp;LOWER(SUBSTITUTE(SUBSTITUTE(SUBSTITUTE(SUBSTITUTE(A145,"/"," "),"."," "),"\"," "),"_"," "))&amp;" ")),1,0))+IF(Task!$A$16="",0,IF(ISNUMBER(SEARCH(" "&amp;Task!$A$16&amp;" "," "&amp;LOWER(SUBSTITUTE(SUBSTITUTE(SUBSTITUTE(SUBSTITUTE(A145,"/"," "),"."," "),"\"," "),"_"," "))&amp;" ")),1,0))+IF(Task!$A$17="",0,IF(ISNUMBER(SEARCH(" "&amp;Task!$A$17&amp;" "," "&amp;LOWER(SUBSTITUTE(SUBSTITUTE(SUBSTITUTE(SUBSTITUTE(A145,"/"," "),"."," "),"\"," "),"_"," "))&amp;" ")),1,0))+IF(Task!$A$18="",0,IF(ISNUMBER(SEARCH(" "&amp;Task!$A$18&amp;" "," "&amp;LOWER(SUBSTITUTE(SUBSTITUTE(SUBSTITUTE(SUBSTITUTE(A145,"/"," "),"."," "),"\"," "),"_"," "))&amp;" ")),1,0))+IF(Task!$A$19="",0,IF(ISNUMBER(SEARCH(" "&amp;Task!$A$19&amp;" "," "&amp;LOWER(SUBSTITUTE(SUBSTITUTE(SUBSTITUTE(SUBSTITUTE(A145,"/"," "),"."," "),"\"," "),"_"," "))&amp;" ")),1,0)))</f>
        <v/>
      </c>
      <c r="I145" s="10">
        <f>IF(OR(E145=0,F145=0,Task!$B$21=0),"",F145/Task!$B$21+0.5*G145+0.25*H145)</f>
        <v/>
      </c>
      <c r="J145" s="5">
        <f>IF(I145="","",I145-ROW()/1000000)</f>
        <v/>
      </c>
      <c r="K145" s="9">
        <f>IF(J145="","",COUNTIF($J$5:$J$404,"&gt;"&amp;J145)+1)</f>
        <v/>
      </c>
    </row>
    <row r="146">
      <c r="A146" s="7" t="n"/>
      <c r="B146" s="7" t="n"/>
      <c r="C146" s="7" t="n"/>
      <c r="D146" s="7" t="n"/>
      <c r="E146" s="5">
        <f>IF(A146="",0,IF(COUNTA(Task!$B$5:$E$5)=0,1,IF(COUNTIF(Task!$B$5:$E$5,B146)&gt;0,1,0)))</f>
        <v/>
      </c>
      <c r="F146" s="9">
        <f>IF(E146=0,0,IF(Task!$A$8="",0,IF(ISNUMBER(SEARCH(" "&amp;Task!$A$8&amp;" "," "&amp;LOWER(D146&amp;" "&amp;C146&amp;" "&amp;LOWER(SUBSTITUTE(SUBSTITUTE(SUBSTITUTE(SUBSTITUTE(A146,"/"," "),"."," "),"\"," "),"_"," ")))&amp;" ")),1,0))+IF(Task!$A$9="",0,IF(ISNUMBER(SEARCH(" "&amp;Task!$A$9&amp;" "," "&amp;LOWER(D146&amp;" "&amp;C146&amp;" "&amp;LOWER(SUBSTITUTE(SUBSTITUTE(SUBSTITUTE(SUBSTITUTE(A146,"/"," "),"."," "),"\"," "),"_"," ")))&amp;" ")),1,0))+IF(Task!$A$10="",0,IF(ISNUMBER(SEARCH(" "&amp;Task!$A$10&amp;" "," "&amp;LOWER(D146&amp;" "&amp;C146&amp;" "&amp;LOWER(SUBSTITUTE(SUBSTITUTE(SUBSTITUTE(SUBSTITUTE(A146,"/"," "),"."," "),"\"," "),"_"," ")))&amp;" ")),1,0))+IF(Task!$A$11="",0,IF(ISNUMBER(SEARCH(" "&amp;Task!$A$11&amp;" "," "&amp;LOWER(D146&amp;" "&amp;C146&amp;" "&amp;LOWER(SUBSTITUTE(SUBSTITUTE(SUBSTITUTE(SUBSTITUTE(A146,"/"," "),"."," "),"\"," "),"_"," ")))&amp;" ")),1,0))+IF(Task!$A$12="",0,IF(ISNUMBER(SEARCH(" "&amp;Task!$A$12&amp;" "," "&amp;LOWER(D146&amp;" "&amp;C146&amp;" "&amp;LOWER(SUBSTITUTE(SUBSTITUTE(SUBSTITUTE(SUBSTITUTE(A146,"/"," "),"."," "),"\"," "),"_"," ")))&amp;" ")),1,0))+IF(Task!$A$13="",0,IF(ISNUMBER(SEARCH(" "&amp;Task!$A$13&amp;" "," "&amp;LOWER(D146&amp;" "&amp;C146&amp;" "&amp;LOWER(SUBSTITUTE(SUBSTITUTE(SUBSTITUTE(SUBSTITUTE(A146,"/"," "),"."," "),"\"," "),"_"," ")))&amp;" ")),1,0))+IF(Task!$A$14="",0,IF(ISNUMBER(SEARCH(" "&amp;Task!$A$14&amp;" "," "&amp;LOWER(D146&amp;" "&amp;C146&amp;" "&amp;LOWER(SUBSTITUTE(SUBSTITUTE(SUBSTITUTE(SUBSTITUTE(A146,"/"," "),"."," "),"\"," "),"_"," ")))&amp;" ")),1,0))+IF(Task!$A$15="",0,IF(ISNUMBER(SEARCH(" "&amp;Task!$A$15&amp;" "," "&amp;LOWER(D146&amp;" "&amp;C146&amp;" "&amp;LOWER(SUBSTITUTE(SUBSTITUTE(SUBSTITUTE(SUBSTITUTE(A146,"/"," "),"."," "),"\"," "),"_"," ")))&amp;" ")),1,0))+IF(Task!$A$16="",0,IF(ISNUMBER(SEARCH(" "&amp;Task!$A$16&amp;" "," "&amp;LOWER(D146&amp;" "&amp;C146&amp;" "&amp;LOWER(SUBSTITUTE(SUBSTITUTE(SUBSTITUTE(SUBSTITUTE(A146,"/"," "),"."," "),"\"," "),"_"," ")))&amp;" ")),1,0))+IF(Task!$A$17="",0,IF(ISNUMBER(SEARCH(" "&amp;Task!$A$17&amp;" "," "&amp;LOWER(D146&amp;" "&amp;C146&amp;" "&amp;LOWER(SUBSTITUTE(SUBSTITUTE(SUBSTITUTE(SUBSTITUTE(A146,"/"," "),"."," "),"\"," "),"_"," ")))&amp;" ")),1,0))+IF(Task!$A$18="",0,IF(ISNUMBER(SEARCH(" "&amp;Task!$A$18&amp;" "," "&amp;LOWER(D146&amp;" "&amp;C146&amp;" "&amp;LOWER(SUBSTITUTE(SUBSTITUTE(SUBSTITUTE(SUBSTITUTE(A146,"/"," "),"."," "),"\"," "),"_"," ")))&amp;" ")),1,0))+IF(Task!$A$19="",0,IF(ISNUMBER(SEARCH(" "&amp;Task!$A$19&amp;" "," "&amp;LOWER(D146&amp;" "&amp;C146&amp;" "&amp;LOWER(SUBSTITUTE(SUBSTITUTE(SUBSTITUTE(SUBSTITUTE(A146,"/"," "),"."," "),"\"," "),"_"," ")))&amp;" ")),1,0)))</f>
        <v/>
      </c>
      <c r="G146" s="9">
        <f>IF(E146=0,0,IF(Task!$A$8="",0,IF(ISNUMBER(SEARCH(" "&amp;Task!$A$8&amp;" "," "&amp;LOWER(C146)&amp;" ")),1,0))+IF(Task!$A$9="",0,IF(ISNUMBER(SEARCH(" "&amp;Task!$A$9&amp;" "," "&amp;LOWER(C146)&amp;" ")),1,0))+IF(Task!$A$10="",0,IF(ISNUMBER(SEARCH(" "&amp;Task!$A$10&amp;" "," "&amp;LOWER(C146)&amp;" ")),1,0))+IF(Task!$A$11="",0,IF(ISNUMBER(SEARCH(" "&amp;Task!$A$11&amp;" "," "&amp;LOWER(C146)&amp;" ")),1,0))+IF(Task!$A$12="",0,IF(ISNUMBER(SEARCH(" "&amp;Task!$A$12&amp;" "," "&amp;LOWER(C146)&amp;" ")),1,0))+IF(Task!$A$13="",0,IF(ISNUMBER(SEARCH(" "&amp;Task!$A$13&amp;" "," "&amp;LOWER(C146)&amp;" ")),1,0))+IF(Task!$A$14="",0,IF(ISNUMBER(SEARCH(" "&amp;Task!$A$14&amp;" "," "&amp;LOWER(C146)&amp;" ")),1,0))+IF(Task!$A$15="",0,IF(ISNUMBER(SEARCH(" "&amp;Task!$A$15&amp;" "," "&amp;LOWER(C146)&amp;" ")),1,0))+IF(Task!$A$16="",0,IF(ISNUMBER(SEARCH(" "&amp;Task!$A$16&amp;" "," "&amp;LOWER(C146)&amp;" ")),1,0))+IF(Task!$A$17="",0,IF(ISNUMBER(SEARCH(" "&amp;Task!$A$17&amp;" "," "&amp;LOWER(C146)&amp;" ")),1,0))+IF(Task!$A$18="",0,IF(ISNUMBER(SEARCH(" "&amp;Task!$A$18&amp;" "," "&amp;LOWER(C146)&amp;" ")),1,0))+IF(Task!$A$19="",0,IF(ISNUMBER(SEARCH(" "&amp;Task!$A$19&amp;" "," "&amp;LOWER(C146)&amp;" ")),1,0)))</f>
        <v/>
      </c>
      <c r="H146" s="9">
        <f>IF(E146=0,0,IF(Task!$A$8="",0,IF(ISNUMBER(SEARCH(" "&amp;Task!$A$8&amp;" "," "&amp;LOWER(SUBSTITUTE(SUBSTITUTE(SUBSTITUTE(SUBSTITUTE(A146,"/"," "),"."," "),"\"," "),"_"," "))&amp;" ")),1,0))+IF(Task!$A$9="",0,IF(ISNUMBER(SEARCH(" "&amp;Task!$A$9&amp;" "," "&amp;LOWER(SUBSTITUTE(SUBSTITUTE(SUBSTITUTE(SUBSTITUTE(A146,"/"," "),"."," "),"\"," "),"_"," "))&amp;" ")),1,0))+IF(Task!$A$10="",0,IF(ISNUMBER(SEARCH(" "&amp;Task!$A$10&amp;" "," "&amp;LOWER(SUBSTITUTE(SUBSTITUTE(SUBSTITUTE(SUBSTITUTE(A146,"/"," "),"."," "),"\"," "),"_"," "))&amp;" ")),1,0))+IF(Task!$A$11="",0,IF(ISNUMBER(SEARCH(" "&amp;Task!$A$11&amp;" "," "&amp;LOWER(SUBSTITUTE(SUBSTITUTE(SUBSTITUTE(SUBSTITUTE(A146,"/"," "),"."," "),"\"," "),"_"," "))&amp;" ")),1,0))+IF(Task!$A$12="",0,IF(ISNUMBER(SEARCH(" "&amp;Task!$A$12&amp;" "," "&amp;LOWER(SUBSTITUTE(SUBSTITUTE(SUBSTITUTE(SUBSTITUTE(A146,"/"," "),"."," "),"\"," "),"_"," "))&amp;" ")),1,0))+IF(Task!$A$13="",0,IF(ISNUMBER(SEARCH(" "&amp;Task!$A$13&amp;" "," "&amp;LOWER(SUBSTITUTE(SUBSTITUTE(SUBSTITUTE(SUBSTITUTE(A146,"/"," "),"."," "),"\"," "),"_"," "))&amp;" ")),1,0))+IF(Task!$A$14="",0,IF(ISNUMBER(SEARCH(" "&amp;Task!$A$14&amp;" "," "&amp;LOWER(SUBSTITUTE(SUBSTITUTE(SUBSTITUTE(SUBSTITUTE(A146,"/"," "),"."," "),"\"," "),"_"," "))&amp;" ")),1,0))+IF(Task!$A$15="",0,IF(ISNUMBER(SEARCH(" "&amp;Task!$A$15&amp;" "," "&amp;LOWER(SUBSTITUTE(SUBSTITUTE(SUBSTITUTE(SUBSTITUTE(A146,"/"," "),"."," "),"\"," "),"_"," "))&amp;" ")),1,0))+IF(Task!$A$16="",0,IF(ISNUMBER(SEARCH(" "&amp;Task!$A$16&amp;" "," "&amp;LOWER(SUBSTITUTE(SUBSTITUTE(SUBSTITUTE(SUBSTITUTE(A146,"/"," "),"."," "),"\"," "),"_"," "))&amp;" ")),1,0))+IF(Task!$A$17="",0,IF(ISNUMBER(SEARCH(" "&amp;Task!$A$17&amp;" "," "&amp;LOWER(SUBSTITUTE(SUBSTITUTE(SUBSTITUTE(SUBSTITUTE(A146,"/"," "),"."," "),"\"," "),"_"," "))&amp;" ")),1,0))+IF(Task!$A$18="",0,IF(ISNUMBER(SEARCH(" "&amp;Task!$A$18&amp;" "," "&amp;LOWER(SUBSTITUTE(SUBSTITUTE(SUBSTITUTE(SUBSTITUTE(A146,"/"," "),"."," "),"\"," "),"_"," "))&amp;" ")),1,0))+IF(Task!$A$19="",0,IF(ISNUMBER(SEARCH(" "&amp;Task!$A$19&amp;" "," "&amp;LOWER(SUBSTITUTE(SUBSTITUTE(SUBSTITUTE(SUBSTITUTE(A146,"/"," "),"."," "),"\"," "),"_"," "))&amp;" ")),1,0)))</f>
        <v/>
      </c>
      <c r="I146" s="10">
        <f>IF(OR(E146=0,F146=0,Task!$B$21=0),"",F146/Task!$B$21+0.5*G146+0.25*H146)</f>
        <v/>
      </c>
      <c r="J146" s="5">
        <f>IF(I146="","",I146-ROW()/1000000)</f>
        <v/>
      </c>
      <c r="K146" s="9">
        <f>IF(J146="","",COUNTIF($J$5:$J$404,"&gt;"&amp;J146)+1)</f>
        <v/>
      </c>
    </row>
    <row r="147">
      <c r="A147" s="7" t="n"/>
      <c r="B147" s="7" t="n"/>
      <c r="C147" s="7" t="n"/>
      <c r="D147" s="7" t="n"/>
      <c r="E147" s="5">
        <f>IF(A147="",0,IF(COUNTA(Task!$B$5:$E$5)=0,1,IF(COUNTIF(Task!$B$5:$E$5,B147)&gt;0,1,0)))</f>
        <v/>
      </c>
      <c r="F147" s="9">
        <f>IF(E147=0,0,IF(Task!$A$8="",0,IF(ISNUMBER(SEARCH(" "&amp;Task!$A$8&amp;" "," "&amp;LOWER(D147&amp;" "&amp;C147&amp;" "&amp;LOWER(SUBSTITUTE(SUBSTITUTE(SUBSTITUTE(SUBSTITUTE(A147,"/"," "),"."," "),"\"," "),"_"," ")))&amp;" ")),1,0))+IF(Task!$A$9="",0,IF(ISNUMBER(SEARCH(" "&amp;Task!$A$9&amp;" "," "&amp;LOWER(D147&amp;" "&amp;C147&amp;" "&amp;LOWER(SUBSTITUTE(SUBSTITUTE(SUBSTITUTE(SUBSTITUTE(A147,"/"," "),"."," "),"\"," "),"_"," ")))&amp;" ")),1,0))+IF(Task!$A$10="",0,IF(ISNUMBER(SEARCH(" "&amp;Task!$A$10&amp;" "," "&amp;LOWER(D147&amp;" "&amp;C147&amp;" "&amp;LOWER(SUBSTITUTE(SUBSTITUTE(SUBSTITUTE(SUBSTITUTE(A147,"/"," "),"."," "),"\"," "),"_"," ")))&amp;" ")),1,0))+IF(Task!$A$11="",0,IF(ISNUMBER(SEARCH(" "&amp;Task!$A$11&amp;" "," "&amp;LOWER(D147&amp;" "&amp;C147&amp;" "&amp;LOWER(SUBSTITUTE(SUBSTITUTE(SUBSTITUTE(SUBSTITUTE(A147,"/"," "),"."," "),"\"," "),"_"," ")))&amp;" ")),1,0))+IF(Task!$A$12="",0,IF(ISNUMBER(SEARCH(" "&amp;Task!$A$12&amp;" "," "&amp;LOWER(D147&amp;" "&amp;C147&amp;" "&amp;LOWER(SUBSTITUTE(SUBSTITUTE(SUBSTITUTE(SUBSTITUTE(A147,"/"," "),"."," "),"\"," "),"_"," ")))&amp;" ")),1,0))+IF(Task!$A$13="",0,IF(ISNUMBER(SEARCH(" "&amp;Task!$A$13&amp;" "," "&amp;LOWER(D147&amp;" "&amp;C147&amp;" "&amp;LOWER(SUBSTITUTE(SUBSTITUTE(SUBSTITUTE(SUBSTITUTE(A147,"/"," "),"."," "),"\"," "),"_"," ")))&amp;" ")),1,0))+IF(Task!$A$14="",0,IF(ISNUMBER(SEARCH(" "&amp;Task!$A$14&amp;" "," "&amp;LOWER(D147&amp;" "&amp;C147&amp;" "&amp;LOWER(SUBSTITUTE(SUBSTITUTE(SUBSTITUTE(SUBSTITUTE(A147,"/"," "),"."," "),"\"," "),"_"," ")))&amp;" ")),1,0))+IF(Task!$A$15="",0,IF(ISNUMBER(SEARCH(" "&amp;Task!$A$15&amp;" "," "&amp;LOWER(D147&amp;" "&amp;C147&amp;" "&amp;LOWER(SUBSTITUTE(SUBSTITUTE(SUBSTITUTE(SUBSTITUTE(A147,"/"," "),"."," "),"\"," "),"_"," ")))&amp;" ")),1,0))+IF(Task!$A$16="",0,IF(ISNUMBER(SEARCH(" "&amp;Task!$A$16&amp;" "," "&amp;LOWER(D147&amp;" "&amp;C147&amp;" "&amp;LOWER(SUBSTITUTE(SUBSTITUTE(SUBSTITUTE(SUBSTITUTE(A147,"/"," "),"."," "),"\"," "),"_"," ")))&amp;" ")),1,0))+IF(Task!$A$17="",0,IF(ISNUMBER(SEARCH(" "&amp;Task!$A$17&amp;" "," "&amp;LOWER(D147&amp;" "&amp;C147&amp;" "&amp;LOWER(SUBSTITUTE(SUBSTITUTE(SUBSTITUTE(SUBSTITUTE(A147,"/"," "),"."," "),"\"," "),"_"," ")))&amp;" ")),1,0))+IF(Task!$A$18="",0,IF(ISNUMBER(SEARCH(" "&amp;Task!$A$18&amp;" "," "&amp;LOWER(D147&amp;" "&amp;C147&amp;" "&amp;LOWER(SUBSTITUTE(SUBSTITUTE(SUBSTITUTE(SUBSTITUTE(A147,"/"," "),"."," "),"\"," "),"_"," ")))&amp;" ")),1,0))+IF(Task!$A$19="",0,IF(ISNUMBER(SEARCH(" "&amp;Task!$A$19&amp;" "," "&amp;LOWER(D147&amp;" "&amp;C147&amp;" "&amp;LOWER(SUBSTITUTE(SUBSTITUTE(SUBSTITUTE(SUBSTITUTE(A147,"/"," "),"."," "),"\"," "),"_"," ")))&amp;" ")),1,0)))</f>
        <v/>
      </c>
      <c r="G147" s="9">
        <f>IF(E147=0,0,IF(Task!$A$8="",0,IF(ISNUMBER(SEARCH(" "&amp;Task!$A$8&amp;" "," "&amp;LOWER(C147)&amp;" ")),1,0))+IF(Task!$A$9="",0,IF(ISNUMBER(SEARCH(" "&amp;Task!$A$9&amp;" "," "&amp;LOWER(C147)&amp;" ")),1,0))+IF(Task!$A$10="",0,IF(ISNUMBER(SEARCH(" "&amp;Task!$A$10&amp;" "," "&amp;LOWER(C147)&amp;" ")),1,0))+IF(Task!$A$11="",0,IF(ISNUMBER(SEARCH(" "&amp;Task!$A$11&amp;" "," "&amp;LOWER(C147)&amp;" ")),1,0))+IF(Task!$A$12="",0,IF(ISNUMBER(SEARCH(" "&amp;Task!$A$12&amp;" "," "&amp;LOWER(C147)&amp;" ")),1,0))+IF(Task!$A$13="",0,IF(ISNUMBER(SEARCH(" "&amp;Task!$A$13&amp;" "," "&amp;LOWER(C147)&amp;" ")),1,0))+IF(Task!$A$14="",0,IF(ISNUMBER(SEARCH(" "&amp;Task!$A$14&amp;" "," "&amp;LOWER(C147)&amp;" ")),1,0))+IF(Task!$A$15="",0,IF(ISNUMBER(SEARCH(" "&amp;Task!$A$15&amp;" "," "&amp;LOWER(C147)&amp;" ")),1,0))+IF(Task!$A$16="",0,IF(ISNUMBER(SEARCH(" "&amp;Task!$A$16&amp;" "," "&amp;LOWER(C147)&amp;" ")),1,0))+IF(Task!$A$17="",0,IF(ISNUMBER(SEARCH(" "&amp;Task!$A$17&amp;" "," "&amp;LOWER(C147)&amp;" ")),1,0))+IF(Task!$A$18="",0,IF(ISNUMBER(SEARCH(" "&amp;Task!$A$18&amp;" "," "&amp;LOWER(C147)&amp;" ")),1,0))+IF(Task!$A$19="",0,IF(ISNUMBER(SEARCH(" "&amp;Task!$A$19&amp;" "," "&amp;LOWER(C147)&amp;" ")),1,0)))</f>
        <v/>
      </c>
      <c r="H147" s="9">
        <f>IF(E147=0,0,IF(Task!$A$8="",0,IF(ISNUMBER(SEARCH(" "&amp;Task!$A$8&amp;" "," "&amp;LOWER(SUBSTITUTE(SUBSTITUTE(SUBSTITUTE(SUBSTITUTE(A147,"/"," "),"."," "),"\"," "),"_"," "))&amp;" ")),1,0))+IF(Task!$A$9="",0,IF(ISNUMBER(SEARCH(" "&amp;Task!$A$9&amp;" "," "&amp;LOWER(SUBSTITUTE(SUBSTITUTE(SUBSTITUTE(SUBSTITUTE(A147,"/"," "),"."," "),"\"," "),"_"," "))&amp;" ")),1,0))+IF(Task!$A$10="",0,IF(ISNUMBER(SEARCH(" "&amp;Task!$A$10&amp;" "," "&amp;LOWER(SUBSTITUTE(SUBSTITUTE(SUBSTITUTE(SUBSTITUTE(A147,"/"," "),"."," "),"\"," "),"_"," "))&amp;" ")),1,0))+IF(Task!$A$11="",0,IF(ISNUMBER(SEARCH(" "&amp;Task!$A$11&amp;" "," "&amp;LOWER(SUBSTITUTE(SUBSTITUTE(SUBSTITUTE(SUBSTITUTE(A147,"/"," "),"."," "),"\"," "),"_"," "))&amp;" ")),1,0))+IF(Task!$A$12="",0,IF(ISNUMBER(SEARCH(" "&amp;Task!$A$12&amp;" "," "&amp;LOWER(SUBSTITUTE(SUBSTITUTE(SUBSTITUTE(SUBSTITUTE(A147,"/"," "),"."," "),"\"," "),"_"," "))&amp;" ")),1,0))+IF(Task!$A$13="",0,IF(ISNUMBER(SEARCH(" "&amp;Task!$A$13&amp;" "," "&amp;LOWER(SUBSTITUTE(SUBSTITUTE(SUBSTITUTE(SUBSTITUTE(A147,"/"," "),"."," "),"\"," "),"_"," "))&amp;" ")),1,0))+IF(Task!$A$14="",0,IF(ISNUMBER(SEARCH(" "&amp;Task!$A$14&amp;" "," "&amp;LOWER(SUBSTITUTE(SUBSTITUTE(SUBSTITUTE(SUBSTITUTE(A147,"/"," "),"."," "),"\"," "),"_"," "))&amp;" ")),1,0))+IF(Task!$A$15="",0,IF(ISNUMBER(SEARCH(" "&amp;Task!$A$15&amp;" "," "&amp;LOWER(SUBSTITUTE(SUBSTITUTE(SUBSTITUTE(SUBSTITUTE(A147,"/"," "),"."," "),"\"," "),"_"," "))&amp;" ")),1,0))+IF(Task!$A$16="",0,IF(ISNUMBER(SEARCH(" "&amp;Task!$A$16&amp;" "," "&amp;LOWER(SUBSTITUTE(SUBSTITUTE(SUBSTITUTE(SUBSTITUTE(A147,"/"," "),"."," "),"\"," "),"_"," "))&amp;" ")),1,0))+IF(Task!$A$17="",0,IF(ISNUMBER(SEARCH(" "&amp;Task!$A$17&amp;" "," "&amp;LOWER(SUBSTITUTE(SUBSTITUTE(SUBSTITUTE(SUBSTITUTE(A147,"/"," "),"."," "),"\"," "),"_"," "))&amp;" ")),1,0))+IF(Task!$A$18="",0,IF(ISNUMBER(SEARCH(" "&amp;Task!$A$18&amp;" "," "&amp;LOWER(SUBSTITUTE(SUBSTITUTE(SUBSTITUTE(SUBSTITUTE(A147,"/"," "),"."," "),"\"," "),"_"," "))&amp;" ")),1,0))+IF(Task!$A$19="",0,IF(ISNUMBER(SEARCH(" "&amp;Task!$A$19&amp;" "," "&amp;LOWER(SUBSTITUTE(SUBSTITUTE(SUBSTITUTE(SUBSTITUTE(A147,"/"," "),"."," "),"\"," "),"_"," "))&amp;" ")),1,0)))</f>
        <v/>
      </c>
      <c r="I147" s="10">
        <f>IF(OR(E147=0,F147=0,Task!$B$21=0),"",F147/Task!$B$21+0.5*G147+0.25*H147)</f>
        <v/>
      </c>
      <c r="J147" s="5">
        <f>IF(I147="","",I147-ROW()/1000000)</f>
        <v/>
      </c>
      <c r="K147" s="9">
        <f>IF(J147="","",COUNTIF($J$5:$J$404,"&gt;"&amp;J147)+1)</f>
        <v/>
      </c>
    </row>
    <row r="148">
      <c r="A148" s="7" t="n"/>
      <c r="B148" s="7" t="n"/>
      <c r="C148" s="7" t="n"/>
      <c r="D148" s="7" t="n"/>
      <c r="E148" s="5">
        <f>IF(A148="",0,IF(COUNTA(Task!$B$5:$E$5)=0,1,IF(COUNTIF(Task!$B$5:$E$5,B148)&gt;0,1,0)))</f>
        <v/>
      </c>
      <c r="F148" s="9">
        <f>IF(E148=0,0,IF(Task!$A$8="",0,IF(ISNUMBER(SEARCH(" "&amp;Task!$A$8&amp;" "," "&amp;LOWER(D148&amp;" "&amp;C148&amp;" "&amp;LOWER(SUBSTITUTE(SUBSTITUTE(SUBSTITUTE(SUBSTITUTE(A148,"/"," "),"."," "),"\"," "),"_"," ")))&amp;" ")),1,0))+IF(Task!$A$9="",0,IF(ISNUMBER(SEARCH(" "&amp;Task!$A$9&amp;" "," "&amp;LOWER(D148&amp;" "&amp;C148&amp;" "&amp;LOWER(SUBSTITUTE(SUBSTITUTE(SUBSTITUTE(SUBSTITUTE(A148,"/"," "),"."," "),"\"," "),"_"," ")))&amp;" ")),1,0))+IF(Task!$A$10="",0,IF(ISNUMBER(SEARCH(" "&amp;Task!$A$10&amp;" "," "&amp;LOWER(D148&amp;" "&amp;C148&amp;" "&amp;LOWER(SUBSTITUTE(SUBSTITUTE(SUBSTITUTE(SUBSTITUTE(A148,"/"," "),"."," "),"\"," "),"_"," ")))&amp;" ")),1,0))+IF(Task!$A$11="",0,IF(ISNUMBER(SEARCH(" "&amp;Task!$A$11&amp;" "," "&amp;LOWER(D148&amp;" "&amp;C148&amp;" "&amp;LOWER(SUBSTITUTE(SUBSTITUTE(SUBSTITUTE(SUBSTITUTE(A148,"/"," "),"."," "),"\"," "),"_"," ")))&amp;" ")),1,0))+IF(Task!$A$12="",0,IF(ISNUMBER(SEARCH(" "&amp;Task!$A$12&amp;" "," "&amp;LOWER(D148&amp;" "&amp;C148&amp;" "&amp;LOWER(SUBSTITUTE(SUBSTITUTE(SUBSTITUTE(SUBSTITUTE(A148,"/"," "),"."," "),"\"," "),"_"," ")))&amp;" ")),1,0))+IF(Task!$A$13="",0,IF(ISNUMBER(SEARCH(" "&amp;Task!$A$13&amp;" "," "&amp;LOWER(D148&amp;" "&amp;C148&amp;" "&amp;LOWER(SUBSTITUTE(SUBSTITUTE(SUBSTITUTE(SUBSTITUTE(A148,"/"," "),"."," "),"\"," "),"_"," ")))&amp;" ")),1,0))+IF(Task!$A$14="",0,IF(ISNUMBER(SEARCH(" "&amp;Task!$A$14&amp;" "," "&amp;LOWER(D148&amp;" "&amp;C148&amp;" "&amp;LOWER(SUBSTITUTE(SUBSTITUTE(SUBSTITUTE(SUBSTITUTE(A148,"/"," "),"."," "),"\"," "),"_"," ")))&amp;" ")),1,0))+IF(Task!$A$15="",0,IF(ISNUMBER(SEARCH(" "&amp;Task!$A$15&amp;" "," "&amp;LOWER(D148&amp;" "&amp;C148&amp;" "&amp;LOWER(SUBSTITUTE(SUBSTITUTE(SUBSTITUTE(SUBSTITUTE(A148,"/"," "),"."," "),"\"," "),"_"," ")))&amp;" ")),1,0))+IF(Task!$A$16="",0,IF(ISNUMBER(SEARCH(" "&amp;Task!$A$16&amp;" "," "&amp;LOWER(D148&amp;" "&amp;C148&amp;" "&amp;LOWER(SUBSTITUTE(SUBSTITUTE(SUBSTITUTE(SUBSTITUTE(A148,"/"," "),"."," "),"\"," "),"_"," ")))&amp;" ")),1,0))+IF(Task!$A$17="",0,IF(ISNUMBER(SEARCH(" "&amp;Task!$A$17&amp;" "," "&amp;LOWER(D148&amp;" "&amp;C148&amp;" "&amp;LOWER(SUBSTITUTE(SUBSTITUTE(SUBSTITUTE(SUBSTITUTE(A148,"/"," "),"."," "),"\"," "),"_"," ")))&amp;" ")),1,0))+IF(Task!$A$18="",0,IF(ISNUMBER(SEARCH(" "&amp;Task!$A$18&amp;" "," "&amp;LOWER(D148&amp;" "&amp;C148&amp;" "&amp;LOWER(SUBSTITUTE(SUBSTITUTE(SUBSTITUTE(SUBSTITUTE(A148,"/"," "),"."," "),"\"," "),"_"," ")))&amp;" ")),1,0))+IF(Task!$A$19="",0,IF(ISNUMBER(SEARCH(" "&amp;Task!$A$19&amp;" "," "&amp;LOWER(D148&amp;" "&amp;C148&amp;" "&amp;LOWER(SUBSTITUTE(SUBSTITUTE(SUBSTITUTE(SUBSTITUTE(A148,"/"," "),"."," "),"\"," "),"_"," ")))&amp;" ")),1,0)))</f>
        <v/>
      </c>
      <c r="G148" s="9">
        <f>IF(E148=0,0,IF(Task!$A$8="",0,IF(ISNUMBER(SEARCH(" "&amp;Task!$A$8&amp;" "," "&amp;LOWER(C148)&amp;" ")),1,0))+IF(Task!$A$9="",0,IF(ISNUMBER(SEARCH(" "&amp;Task!$A$9&amp;" "," "&amp;LOWER(C148)&amp;" ")),1,0))+IF(Task!$A$10="",0,IF(ISNUMBER(SEARCH(" "&amp;Task!$A$10&amp;" "," "&amp;LOWER(C148)&amp;" ")),1,0))+IF(Task!$A$11="",0,IF(ISNUMBER(SEARCH(" "&amp;Task!$A$11&amp;" "," "&amp;LOWER(C148)&amp;" ")),1,0))+IF(Task!$A$12="",0,IF(ISNUMBER(SEARCH(" "&amp;Task!$A$12&amp;" "," "&amp;LOWER(C148)&amp;" ")),1,0))+IF(Task!$A$13="",0,IF(ISNUMBER(SEARCH(" "&amp;Task!$A$13&amp;" "," "&amp;LOWER(C148)&amp;" ")),1,0))+IF(Task!$A$14="",0,IF(ISNUMBER(SEARCH(" "&amp;Task!$A$14&amp;" "," "&amp;LOWER(C148)&amp;" ")),1,0))+IF(Task!$A$15="",0,IF(ISNUMBER(SEARCH(" "&amp;Task!$A$15&amp;" "," "&amp;LOWER(C148)&amp;" ")),1,0))+IF(Task!$A$16="",0,IF(ISNUMBER(SEARCH(" "&amp;Task!$A$16&amp;" "," "&amp;LOWER(C148)&amp;" ")),1,0))+IF(Task!$A$17="",0,IF(ISNUMBER(SEARCH(" "&amp;Task!$A$17&amp;" "," "&amp;LOWER(C148)&amp;" ")),1,0))+IF(Task!$A$18="",0,IF(ISNUMBER(SEARCH(" "&amp;Task!$A$18&amp;" "," "&amp;LOWER(C148)&amp;" ")),1,0))+IF(Task!$A$19="",0,IF(ISNUMBER(SEARCH(" "&amp;Task!$A$19&amp;" "," "&amp;LOWER(C148)&amp;" ")),1,0)))</f>
        <v/>
      </c>
      <c r="H148" s="9">
        <f>IF(E148=0,0,IF(Task!$A$8="",0,IF(ISNUMBER(SEARCH(" "&amp;Task!$A$8&amp;" "," "&amp;LOWER(SUBSTITUTE(SUBSTITUTE(SUBSTITUTE(SUBSTITUTE(A148,"/"," "),"."," "),"\"," "),"_"," "))&amp;" ")),1,0))+IF(Task!$A$9="",0,IF(ISNUMBER(SEARCH(" "&amp;Task!$A$9&amp;" "," "&amp;LOWER(SUBSTITUTE(SUBSTITUTE(SUBSTITUTE(SUBSTITUTE(A148,"/"," "),"."," "),"\"," "),"_"," "))&amp;" ")),1,0))+IF(Task!$A$10="",0,IF(ISNUMBER(SEARCH(" "&amp;Task!$A$10&amp;" "," "&amp;LOWER(SUBSTITUTE(SUBSTITUTE(SUBSTITUTE(SUBSTITUTE(A148,"/"," "),"."," "),"\"," "),"_"," "))&amp;" ")),1,0))+IF(Task!$A$11="",0,IF(ISNUMBER(SEARCH(" "&amp;Task!$A$11&amp;" "," "&amp;LOWER(SUBSTITUTE(SUBSTITUTE(SUBSTITUTE(SUBSTITUTE(A148,"/"," "),"."," "),"\"," "),"_"," "))&amp;" ")),1,0))+IF(Task!$A$12="",0,IF(ISNUMBER(SEARCH(" "&amp;Task!$A$12&amp;" "," "&amp;LOWER(SUBSTITUTE(SUBSTITUTE(SUBSTITUTE(SUBSTITUTE(A148,"/"," "),"."," "),"\"," "),"_"," "))&amp;" ")),1,0))+IF(Task!$A$13="",0,IF(ISNUMBER(SEARCH(" "&amp;Task!$A$13&amp;" "," "&amp;LOWER(SUBSTITUTE(SUBSTITUTE(SUBSTITUTE(SUBSTITUTE(A148,"/"," "),"."," "),"\"," "),"_"," "))&amp;" ")),1,0))+IF(Task!$A$14="",0,IF(ISNUMBER(SEARCH(" "&amp;Task!$A$14&amp;" "," "&amp;LOWER(SUBSTITUTE(SUBSTITUTE(SUBSTITUTE(SUBSTITUTE(A148,"/"," "),"."," "),"\"," "),"_"," "))&amp;" ")),1,0))+IF(Task!$A$15="",0,IF(ISNUMBER(SEARCH(" "&amp;Task!$A$15&amp;" "," "&amp;LOWER(SUBSTITUTE(SUBSTITUTE(SUBSTITUTE(SUBSTITUTE(A148,"/"," "),"."," "),"\"," "),"_"," "))&amp;" ")),1,0))+IF(Task!$A$16="",0,IF(ISNUMBER(SEARCH(" "&amp;Task!$A$16&amp;" "," "&amp;LOWER(SUBSTITUTE(SUBSTITUTE(SUBSTITUTE(SUBSTITUTE(A148,"/"," "),"."," "),"\"," "),"_"," "))&amp;" ")),1,0))+IF(Task!$A$17="",0,IF(ISNUMBER(SEARCH(" "&amp;Task!$A$17&amp;" "," "&amp;LOWER(SUBSTITUTE(SUBSTITUTE(SUBSTITUTE(SUBSTITUTE(A148,"/"," "),"."," "),"\"," "),"_"," "))&amp;" ")),1,0))+IF(Task!$A$18="",0,IF(ISNUMBER(SEARCH(" "&amp;Task!$A$18&amp;" "," "&amp;LOWER(SUBSTITUTE(SUBSTITUTE(SUBSTITUTE(SUBSTITUTE(A148,"/"," "),"."," "),"\"," "),"_"," "))&amp;" ")),1,0))+IF(Task!$A$19="",0,IF(ISNUMBER(SEARCH(" "&amp;Task!$A$19&amp;" "," "&amp;LOWER(SUBSTITUTE(SUBSTITUTE(SUBSTITUTE(SUBSTITUTE(A148,"/"," "),"."," "),"\"," "),"_"," "))&amp;" ")),1,0)))</f>
        <v/>
      </c>
      <c r="I148" s="10">
        <f>IF(OR(E148=0,F148=0,Task!$B$21=0),"",F148/Task!$B$21+0.5*G148+0.25*H148)</f>
        <v/>
      </c>
      <c r="J148" s="5">
        <f>IF(I148="","",I148-ROW()/1000000)</f>
        <v/>
      </c>
      <c r="K148" s="9">
        <f>IF(J148="","",COUNTIF($J$5:$J$404,"&gt;"&amp;J148)+1)</f>
        <v/>
      </c>
    </row>
    <row r="149">
      <c r="A149" s="7" t="n"/>
      <c r="B149" s="7" t="n"/>
      <c r="C149" s="7" t="n"/>
      <c r="D149" s="7" t="n"/>
      <c r="E149" s="5">
        <f>IF(A149="",0,IF(COUNTA(Task!$B$5:$E$5)=0,1,IF(COUNTIF(Task!$B$5:$E$5,B149)&gt;0,1,0)))</f>
        <v/>
      </c>
      <c r="F149" s="9">
        <f>IF(E149=0,0,IF(Task!$A$8="",0,IF(ISNUMBER(SEARCH(" "&amp;Task!$A$8&amp;" "," "&amp;LOWER(D149&amp;" "&amp;C149&amp;" "&amp;LOWER(SUBSTITUTE(SUBSTITUTE(SUBSTITUTE(SUBSTITUTE(A149,"/"," "),"."," "),"\"," "),"_"," ")))&amp;" ")),1,0))+IF(Task!$A$9="",0,IF(ISNUMBER(SEARCH(" "&amp;Task!$A$9&amp;" "," "&amp;LOWER(D149&amp;" "&amp;C149&amp;" "&amp;LOWER(SUBSTITUTE(SUBSTITUTE(SUBSTITUTE(SUBSTITUTE(A149,"/"," "),"."," "),"\"," "),"_"," ")))&amp;" ")),1,0))+IF(Task!$A$10="",0,IF(ISNUMBER(SEARCH(" "&amp;Task!$A$10&amp;" "," "&amp;LOWER(D149&amp;" "&amp;C149&amp;" "&amp;LOWER(SUBSTITUTE(SUBSTITUTE(SUBSTITUTE(SUBSTITUTE(A149,"/"," "),"."," "),"\"," "),"_"," ")))&amp;" ")),1,0))+IF(Task!$A$11="",0,IF(ISNUMBER(SEARCH(" "&amp;Task!$A$11&amp;" "," "&amp;LOWER(D149&amp;" "&amp;C149&amp;" "&amp;LOWER(SUBSTITUTE(SUBSTITUTE(SUBSTITUTE(SUBSTITUTE(A149,"/"," "),"."," "),"\"," "),"_"," ")))&amp;" ")),1,0))+IF(Task!$A$12="",0,IF(ISNUMBER(SEARCH(" "&amp;Task!$A$12&amp;" "," "&amp;LOWER(D149&amp;" "&amp;C149&amp;" "&amp;LOWER(SUBSTITUTE(SUBSTITUTE(SUBSTITUTE(SUBSTITUTE(A149,"/"," "),"."," "),"\"," "),"_"," ")))&amp;" ")),1,0))+IF(Task!$A$13="",0,IF(ISNUMBER(SEARCH(" "&amp;Task!$A$13&amp;" "," "&amp;LOWER(D149&amp;" "&amp;C149&amp;" "&amp;LOWER(SUBSTITUTE(SUBSTITUTE(SUBSTITUTE(SUBSTITUTE(A149,"/"," "),"."," "),"\"," "),"_"," ")))&amp;" ")),1,0))+IF(Task!$A$14="",0,IF(ISNUMBER(SEARCH(" "&amp;Task!$A$14&amp;" "," "&amp;LOWER(D149&amp;" "&amp;C149&amp;" "&amp;LOWER(SUBSTITUTE(SUBSTITUTE(SUBSTITUTE(SUBSTITUTE(A149,"/"," "),"."," "),"\"," "),"_"," ")))&amp;" ")),1,0))+IF(Task!$A$15="",0,IF(ISNUMBER(SEARCH(" "&amp;Task!$A$15&amp;" "," "&amp;LOWER(D149&amp;" "&amp;C149&amp;" "&amp;LOWER(SUBSTITUTE(SUBSTITUTE(SUBSTITUTE(SUBSTITUTE(A149,"/"," "),"."," "),"\"," "),"_"," ")))&amp;" ")),1,0))+IF(Task!$A$16="",0,IF(ISNUMBER(SEARCH(" "&amp;Task!$A$16&amp;" "," "&amp;LOWER(D149&amp;" "&amp;C149&amp;" "&amp;LOWER(SUBSTITUTE(SUBSTITUTE(SUBSTITUTE(SUBSTITUTE(A149,"/"," "),"."," "),"\"," "),"_"," ")))&amp;" ")),1,0))+IF(Task!$A$17="",0,IF(ISNUMBER(SEARCH(" "&amp;Task!$A$17&amp;" "," "&amp;LOWER(D149&amp;" "&amp;C149&amp;" "&amp;LOWER(SUBSTITUTE(SUBSTITUTE(SUBSTITUTE(SUBSTITUTE(A149,"/"," "),"."," "),"\"," "),"_"," ")))&amp;" ")),1,0))+IF(Task!$A$18="",0,IF(ISNUMBER(SEARCH(" "&amp;Task!$A$18&amp;" "," "&amp;LOWER(D149&amp;" "&amp;C149&amp;" "&amp;LOWER(SUBSTITUTE(SUBSTITUTE(SUBSTITUTE(SUBSTITUTE(A149,"/"," "),"."," "),"\"," "),"_"," ")))&amp;" ")),1,0))+IF(Task!$A$19="",0,IF(ISNUMBER(SEARCH(" "&amp;Task!$A$19&amp;" "," "&amp;LOWER(D149&amp;" "&amp;C149&amp;" "&amp;LOWER(SUBSTITUTE(SUBSTITUTE(SUBSTITUTE(SUBSTITUTE(A149,"/"," "),"."," "),"\"," "),"_"," ")))&amp;" ")),1,0)))</f>
        <v/>
      </c>
      <c r="G149" s="9">
        <f>IF(E149=0,0,IF(Task!$A$8="",0,IF(ISNUMBER(SEARCH(" "&amp;Task!$A$8&amp;" "," "&amp;LOWER(C149)&amp;" ")),1,0))+IF(Task!$A$9="",0,IF(ISNUMBER(SEARCH(" "&amp;Task!$A$9&amp;" "," "&amp;LOWER(C149)&amp;" ")),1,0))+IF(Task!$A$10="",0,IF(ISNUMBER(SEARCH(" "&amp;Task!$A$10&amp;" "," "&amp;LOWER(C149)&amp;" ")),1,0))+IF(Task!$A$11="",0,IF(ISNUMBER(SEARCH(" "&amp;Task!$A$11&amp;" "," "&amp;LOWER(C149)&amp;" ")),1,0))+IF(Task!$A$12="",0,IF(ISNUMBER(SEARCH(" "&amp;Task!$A$12&amp;" "," "&amp;LOWER(C149)&amp;" ")),1,0))+IF(Task!$A$13="",0,IF(ISNUMBER(SEARCH(" "&amp;Task!$A$13&amp;" "," "&amp;LOWER(C149)&amp;" ")),1,0))+IF(Task!$A$14="",0,IF(ISNUMBER(SEARCH(" "&amp;Task!$A$14&amp;" "," "&amp;LOWER(C149)&amp;" ")),1,0))+IF(Task!$A$15="",0,IF(ISNUMBER(SEARCH(" "&amp;Task!$A$15&amp;" "," "&amp;LOWER(C149)&amp;" ")),1,0))+IF(Task!$A$16="",0,IF(ISNUMBER(SEARCH(" "&amp;Task!$A$16&amp;" "," "&amp;LOWER(C149)&amp;" ")),1,0))+IF(Task!$A$17="",0,IF(ISNUMBER(SEARCH(" "&amp;Task!$A$17&amp;" "," "&amp;LOWER(C149)&amp;" ")),1,0))+IF(Task!$A$18="",0,IF(ISNUMBER(SEARCH(" "&amp;Task!$A$18&amp;" "," "&amp;LOWER(C149)&amp;" ")),1,0))+IF(Task!$A$19="",0,IF(ISNUMBER(SEARCH(" "&amp;Task!$A$19&amp;" "," "&amp;LOWER(C149)&amp;" ")),1,0)))</f>
        <v/>
      </c>
      <c r="H149" s="9">
        <f>IF(E149=0,0,IF(Task!$A$8="",0,IF(ISNUMBER(SEARCH(" "&amp;Task!$A$8&amp;" "," "&amp;LOWER(SUBSTITUTE(SUBSTITUTE(SUBSTITUTE(SUBSTITUTE(A149,"/"," "),"."," "),"\"," "),"_"," "))&amp;" ")),1,0))+IF(Task!$A$9="",0,IF(ISNUMBER(SEARCH(" "&amp;Task!$A$9&amp;" "," "&amp;LOWER(SUBSTITUTE(SUBSTITUTE(SUBSTITUTE(SUBSTITUTE(A149,"/"," "),"."," "),"\"," "),"_"," "))&amp;" ")),1,0))+IF(Task!$A$10="",0,IF(ISNUMBER(SEARCH(" "&amp;Task!$A$10&amp;" "," "&amp;LOWER(SUBSTITUTE(SUBSTITUTE(SUBSTITUTE(SUBSTITUTE(A149,"/"," "),"."," "),"\"," "),"_"," "))&amp;" ")),1,0))+IF(Task!$A$11="",0,IF(ISNUMBER(SEARCH(" "&amp;Task!$A$11&amp;" "," "&amp;LOWER(SUBSTITUTE(SUBSTITUTE(SUBSTITUTE(SUBSTITUTE(A149,"/"," "),"."," "),"\"," "),"_"," "))&amp;" ")),1,0))+IF(Task!$A$12="",0,IF(ISNUMBER(SEARCH(" "&amp;Task!$A$12&amp;" "," "&amp;LOWER(SUBSTITUTE(SUBSTITUTE(SUBSTITUTE(SUBSTITUTE(A149,"/"," "),"."," "),"\"," "),"_"," "))&amp;" ")),1,0))+IF(Task!$A$13="",0,IF(ISNUMBER(SEARCH(" "&amp;Task!$A$13&amp;" "," "&amp;LOWER(SUBSTITUTE(SUBSTITUTE(SUBSTITUTE(SUBSTITUTE(A149,"/"," "),"."," "),"\"," "),"_"," "))&amp;" ")),1,0))+IF(Task!$A$14="",0,IF(ISNUMBER(SEARCH(" "&amp;Task!$A$14&amp;" "," "&amp;LOWER(SUBSTITUTE(SUBSTITUTE(SUBSTITUTE(SUBSTITUTE(A149,"/"," "),"."," "),"\"," "),"_"," "))&amp;" ")),1,0))+IF(Task!$A$15="",0,IF(ISNUMBER(SEARCH(" "&amp;Task!$A$15&amp;" "," "&amp;LOWER(SUBSTITUTE(SUBSTITUTE(SUBSTITUTE(SUBSTITUTE(A149,"/"," "),"."," "),"\"," "),"_"," "))&amp;" ")),1,0))+IF(Task!$A$16="",0,IF(ISNUMBER(SEARCH(" "&amp;Task!$A$16&amp;" "," "&amp;LOWER(SUBSTITUTE(SUBSTITUTE(SUBSTITUTE(SUBSTITUTE(A149,"/"," "),"."," "),"\"," "),"_"," "))&amp;" ")),1,0))+IF(Task!$A$17="",0,IF(ISNUMBER(SEARCH(" "&amp;Task!$A$17&amp;" "," "&amp;LOWER(SUBSTITUTE(SUBSTITUTE(SUBSTITUTE(SUBSTITUTE(A149,"/"," "),"."," "),"\"," "),"_"," "))&amp;" ")),1,0))+IF(Task!$A$18="",0,IF(ISNUMBER(SEARCH(" "&amp;Task!$A$18&amp;" "," "&amp;LOWER(SUBSTITUTE(SUBSTITUTE(SUBSTITUTE(SUBSTITUTE(A149,"/"," "),"."," "),"\"," "),"_"," "))&amp;" ")),1,0))+IF(Task!$A$19="",0,IF(ISNUMBER(SEARCH(" "&amp;Task!$A$19&amp;" "," "&amp;LOWER(SUBSTITUTE(SUBSTITUTE(SUBSTITUTE(SUBSTITUTE(A149,"/"," "),"."," "),"\"," "),"_"," "))&amp;" ")),1,0)))</f>
        <v/>
      </c>
      <c r="I149" s="10">
        <f>IF(OR(E149=0,F149=0,Task!$B$21=0),"",F149/Task!$B$21+0.5*G149+0.25*H149)</f>
        <v/>
      </c>
      <c r="J149" s="5">
        <f>IF(I149="","",I149-ROW()/1000000)</f>
        <v/>
      </c>
      <c r="K149" s="9">
        <f>IF(J149="","",COUNTIF($J$5:$J$404,"&gt;"&amp;J149)+1)</f>
        <v/>
      </c>
    </row>
    <row r="150">
      <c r="A150" s="7" t="n"/>
      <c r="B150" s="7" t="n"/>
      <c r="C150" s="7" t="n"/>
      <c r="D150" s="7" t="n"/>
      <c r="E150" s="5">
        <f>IF(A150="",0,IF(COUNTA(Task!$B$5:$E$5)=0,1,IF(COUNTIF(Task!$B$5:$E$5,B150)&gt;0,1,0)))</f>
        <v/>
      </c>
      <c r="F150" s="9">
        <f>IF(E150=0,0,IF(Task!$A$8="",0,IF(ISNUMBER(SEARCH(" "&amp;Task!$A$8&amp;" "," "&amp;LOWER(D150&amp;" "&amp;C150&amp;" "&amp;LOWER(SUBSTITUTE(SUBSTITUTE(SUBSTITUTE(SUBSTITUTE(A150,"/"," "),"."," "),"\"," "),"_"," ")))&amp;" ")),1,0))+IF(Task!$A$9="",0,IF(ISNUMBER(SEARCH(" "&amp;Task!$A$9&amp;" "," "&amp;LOWER(D150&amp;" "&amp;C150&amp;" "&amp;LOWER(SUBSTITUTE(SUBSTITUTE(SUBSTITUTE(SUBSTITUTE(A150,"/"," "),"."," "),"\"," "),"_"," ")))&amp;" ")),1,0))+IF(Task!$A$10="",0,IF(ISNUMBER(SEARCH(" "&amp;Task!$A$10&amp;" "," "&amp;LOWER(D150&amp;" "&amp;C150&amp;" "&amp;LOWER(SUBSTITUTE(SUBSTITUTE(SUBSTITUTE(SUBSTITUTE(A150,"/"," "),"."," "),"\"," "),"_"," ")))&amp;" ")),1,0))+IF(Task!$A$11="",0,IF(ISNUMBER(SEARCH(" "&amp;Task!$A$11&amp;" "," "&amp;LOWER(D150&amp;" "&amp;C150&amp;" "&amp;LOWER(SUBSTITUTE(SUBSTITUTE(SUBSTITUTE(SUBSTITUTE(A150,"/"," "),"."," "),"\"," "),"_"," ")))&amp;" ")),1,0))+IF(Task!$A$12="",0,IF(ISNUMBER(SEARCH(" "&amp;Task!$A$12&amp;" "," "&amp;LOWER(D150&amp;" "&amp;C150&amp;" "&amp;LOWER(SUBSTITUTE(SUBSTITUTE(SUBSTITUTE(SUBSTITUTE(A150,"/"," "),"."," "),"\"," "),"_"," ")))&amp;" ")),1,0))+IF(Task!$A$13="",0,IF(ISNUMBER(SEARCH(" "&amp;Task!$A$13&amp;" "," "&amp;LOWER(D150&amp;" "&amp;C150&amp;" "&amp;LOWER(SUBSTITUTE(SUBSTITUTE(SUBSTITUTE(SUBSTITUTE(A150,"/"," "),"."," "),"\"," "),"_"," ")))&amp;" ")),1,0))+IF(Task!$A$14="",0,IF(ISNUMBER(SEARCH(" "&amp;Task!$A$14&amp;" "," "&amp;LOWER(D150&amp;" "&amp;C150&amp;" "&amp;LOWER(SUBSTITUTE(SUBSTITUTE(SUBSTITUTE(SUBSTITUTE(A150,"/"," "),"."," "),"\"," "),"_"," ")))&amp;" ")),1,0))+IF(Task!$A$15="",0,IF(ISNUMBER(SEARCH(" "&amp;Task!$A$15&amp;" "," "&amp;LOWER(D150&amp;" "&amp;C150&amp;" "&amp;LOWER(SUBSTITUTE(SUBSTITUTE(SUBSTITUTE(SUBSTITUTE(A150,"/"," "),"."," "),"\"," "),"_"," ")))&amp;" ")),1,0))+IF(Task!$A$16="",0,IF(ISNUMBER(SEARCH(" "&amp;Task!$A$16&amp;" "," "&amp;LOWER(D150&amp;" "&amp;C150&amp;" "&amp;LOWER(SUBSTITUTE(SUBSTITUTE(SUBSTITUTE(SUBSTITUTE(A150,"/"," "),"."," "),"\"," "),"_"," ")))&amp;" ")),1,0))+IF(Task!$A$17="",0,IF(ISNUMBER(SEARCH(" "&amp;Task!$A$17&amp;" "," "&amp;LOWER(D150&amp;" "&amp;C150&amp;" "&amp;LOWER(SUBSTITUTE(SUBSTITUTE(SUBSTITUTE(SUBSTITUTE(A150,"/"," "),"."," "),"\"," "),"_"," ")))&amp;" ")),1,0))+IF(Task!$A$18="",0,IF(ISNUMBER(SEARCH(" "&amp;Task!$A$18&amp;" "," "&amp;LOWER(D150&amp;" "&amp;C150&amp;" "&amp;LOWER(SUBSTITUTE(SUBSTITUTE(SUBSTITUTE(SUBSTITUTE(A150,"/"," "),"."," "),"\"," "),"_"," ")))&amp;" ")),1,0))+IF(Task!$A$19="",0,IF(ISNUMBER(SEARCH(" "&amp;Task!$A$19&amp;" "," "&amp;LOWER(D150&amp;" "&amp;C150&amp;" "&amp;LOWER(SUBSTITUTE(SUBSTITUTE(SUBSTITUTE(SUBSTITUTE(A150,"/"," "),"."," "),"\"," "),"_"," ")))&amp;" ")),1,0)))</f>
        <v/>
      </c>
      <c r="G150" s="9">
        <f>IF(E150=0,0,IF(Task!$A$8="",0,IF(ISNUMBER(SEARCH(" "&amp;Task!$A$8&amp;" "," "&amp;LOWER(C150)&amp;" ")),1,0))+IF(Task!$A$9="",0,IF(ISNUMBER(SEARCH(" "&amp;Task!$A$9&amp;" "," "&amp;LOWER(C150)&amp;" ")),1,0))+IF(Task!$A$10="",0,IF(ISNUMBER(SEARCH(" "&amp;Task!$A$10&amp;" "," "&amp;LOWER(C150)&amp;" ")),1,0))+IF(Task!$A$11="",0,IF(ISNUMBER(SEARCH(" "&amp;Task!$A$11&amp;" "," "&amp;LOWER(C150)&amp;" ")),1,0))+IF(Task!$A$12="",0,IF(ISNUMBER(SEARCH(" "&amp;Task!$A$12&amp;" "," "&amp;LOWER(C150)&amp;" ")),1,0))+IF(Task!$A$13="",0,IF(ISNUMBER(SEARCH(" "&amp;Task!$A$13&amp;" "," "&amp;LOWER(C150)&amp;" ")),1,0))+IF(Task!$A$14="",0,IF(ISNUMBER(SEARCH(" "&amp;Task!$A$14&amp;" "," "&amp;LOWER(C150)&amp;" ")),1,0))+IF(Task!$A$15="",0,IF(ISNUMBER(SEARCH(" "&amp;Task!$A$15&amp;" "," "&amp;LOWER(C150)&amp;" ")),1,0))+IF(Task!$A$16="",0,IF(ISNUMBER(SEARCH(" "&amp;Task!$A$16&amp;" "," "&amp;LOWER(C150)&amp;" ")),1,0))+IF(Task!$A$17="",0,IF(ISNUMBER(SEARCH(" "&amp;Task!$A$17&amp;" "," "&amp;LOWER(C150)&amp;" ")),1,0))+IF(Task!$A$18="",0,IF(ISNUMBER(SEARCH(" "&amp;Task!$A$18&amp;" "," "&amp;LOWER(C150)&amp;" ")),1,0))+IF(Task!$A$19="",0,IF(ISNUMBER(SEARCH(" "&amp;Task!$A$19&amp;" "," "&amp;LOWER(C150)&amp;" ")),1,0)))</f>
        <v/>
      </c>
      <c r="H150" s="9">
        <f>IF(E150=0,0,IF(Task!$A$8="",0,IF(ISNUMBER(SEARCH(" "&amp;Task!$A$8&amp;" "," "&amp;LOWER(SUBSTITUTE(SUBSTITUTE(SUBSTITUTE(SUBSTITUTE(A150,"/"," "),"."," "),"\"," "),"_"," "))&amp;" ")),1,0))+IF(Task!$A$9="",0,IF(ISNUMBER(SEARCH(" "&amp;Task!$A$9&amp;" "," "&amp;LOWER(SUBSTITUTE(SUBSTITUTE(SUBSTITUTE(SUBSTITUTE(A150,"/"," "),"."," "),"\"," "),"_"," "))&amp;" ")),1,0))+IF(Task!$A$10="",0,IF(ISNUMBER(SEARCH(" "&amp;Task!$A$10&amp;" "," "&amp;LOWER(SUBSTITUTE(SUBSTITUTE(SUBSTITUTE(SUBSTITUTE(A150,"/"," "),"."," "),"\"," "),"_"," "))&amp;" ")),1,0))+IF(Task!$A$11="",0,IF(ISNUMBER(SEARCH(" "&amp;Task!$A$11&amp;" "," "&amp;LOWER(SUBSTITUTE(SUBSTITUTE(SUBSTITUTE(SUBSTITUTE(A150,"/"," "),"."," "),"\"," "),"_"," "))&amp;" ")),1,0))+IF(Task!$A$12="",0,IF(ISNUMBER(SEARCH(" "&amp;Task!$A$12&amp;" "," "&amp;LOWER(SUBSTITUTE(SUBSTITUTE(SUBSTITUTE(SUBSTITUTE(A150,"/"," "),"."," "),"\"," "),"_"," "))&amp;" ")),1,0))+IF(Task!$A$13="",0,IF(ISNUMBER(SEARCH(" "&amp;Task!$A$13&amp;" "," "&amp;LOWER(SUBSTITUTE(SUBSTITUTE(SUBSTITUTE(SUBSTITUTE(A150,"/"," "),"."," "),"\"," "),"_"," "))&amp;" ")),1,0))+IF(Task!$A$14="",0,IF(ISNUMBER(SEARCH(" "&amp;Task!$A$14&amp;" "," "&amp;LOWER(SUBSTITUTE(SUBSTITUTE(SUBSTITUTE(SUBSTITUTE(A150,"/"," "),"."," "),"\"," "),"_"," "))&amp;" ")),1,0))+IF(Task!$A$15="",0,IF(ISNUMBER(SEARCH(" "&amp;Task!$A$15&amp;" "," "&amp;LOWER(SUBSTITUTE(SUBSTITUTE(SUBSTITUTE(SUBSTITUTE(A150,"/"," "),"."," "),"\"," "),"_"," "))&amp;" ")),1,0))+IF(Task!$A$16="",0,IF(ISNUMBER(SEARCH(" "&amp;Task!$A$16&amp;" "," "&amp;LOWER(SUBSTITUTE(SUBSTITUTE(SUBSTITUTE(SUBSTITUTE(A150,"/"," "),"."," "),"\"," "),"_"," "))&amp;" ")),1,0))+IF(Task!$A$17="",0,IF(ISNUMBER(SEARCH(" "&amp;Task!$A$17&amp;" "," "&amp;LOWER(SUBSTITUTE(SUBSTITUTE(SUBSTITUTE(SUBSTITUTE(A150,"/"," "),"."," "),"\"," "),"_"," "))&amp;" ")),1,0))+IF(Task!$A$18="",0,IF(ISNUMBER(SEARCH(" "&amp;Task!$A$18&amp;" "," "&amp;LOWER(SUBSTITUTE(SUBSTITUTE(SUBSTITUTE(SUBSTITUTE(A150,"/"," "),"."," "),"\"," "),"_"," "))&amp;" ")),1,0))+IF(Task!$A$19="",0,IF(ISNUMBER(SEARCH(" "&amp;Task!$A$19&amp;" "," "&amp;LOWER(SUBSTITUTE(SUBSTITUTE(SUBSTITUTE(SUBSTITUTE(A150,"/"," "),"."," "),"\"," "),"_"," "))&amp;" ")),1,0)))</f>
        <v/>
      </c>
      <c r="I150" s="10">
        <f>IF(OR(E150=0,F150=0,Task!$B$21=0),"",F150/Task!$B$21+0.5*G150+0.25*H150)</f>
        <v/>
      </c>
      <c r="J150" s="5">
        <f>IF(I150="","",I150-ROW()/1000000)</f>
        <v/>
      </c>
      <c r="K150" s="9">
        <f>IF(J150="","",COUNTIF($J$5:$J$404,"&gt;"&amp;J150)+1)</f>
        <v/>
      </c>
    </row>
    <row r="151">
      <c r="A151" s="7" t="n"/>
      <c r="B151" s="7" t="n"/>
      <c r="C151" s="7" t="n"/>
      <c r="D151" s="7" t="n"/>
      <c r="E151" s="5">
        <f>IF(A151="",0,IF(COUNTA(Task!$B$5:$E$5)=0,1,IF(COUNTIF(Task!$B$5:$E$5,B151)&gt;0,1,0)))</f>
        <v/>
      </c>
      <c r="F151" s="9">
        <f>IF(E151=0,0,IF(Task!$A$8="",0,IF(ISNUMBER(SEARCH(" "&amp;Task!$A$8&amp;" "," "&amp;LOWER(D151&amp;" "&amp;C151&amp;" "&amp;LOWER(SUBSTITUTE(SUBSTITUTE(SUBSTITUTE(SUBSTITUTE(A151,"/"," "),"."," "),"\"," "),"_"," ")))&amp;" ")),1,0))+IF(Task!$A$9="",0,IF(ISNUMBER(SEARCH(" "&amp;Task!$A$9&amp;" "," "&amp;LOWER(D151&amp;" "&amp;C151&amp;" "&amp;LOWER(SUBSTITUTE(SUBSTITUTE(SUBSTITUTE(SUBSTITUTE(A151,"/"," "),"."," "),"\"," "),"_"," ")))&amp;" ")),1,0))+IF(Task!$A$10="",0,IF(ISNUMBER(SEARCH(" "&amp;Task!$A$10&amp;" "," "&amp;LOWER(D151&amp;" "&amp;C151&amp;" "&amp;LOWER(SUBSTITUTE(SUBSTITUTE(SUBSTITUTE(SUBSTITUTE(A151,"/"," "),"."," "),"\"," "),"_"," ")))&amp;" ")),1,0))+IF(Task!$A$11="",0,IF(ISNUMBER(SEARCH(" "&amp;Task!$A$11&amp;" "," "&amp;LOWER(D151&amp;" "&amp;C151&amp;" "&amp;LOWER(SUBSTITUTE(SUBSTITUTE(SUBSTITUTE(SUBSTITUTE(A151,"/"," "),"."," "),"\"," "),"_"," ")))&amp;" ")),1,0))+IF(Task!$A$12="",0,IF(ISNUMBER(SEARCH(" "&amp;Task!$A$12&amp;" "," "&amp;LOWER(D151&amp;" "&amp;C151&amp;" "&amp;LOWER(SUBSTITUTE(SUBSTITUTE(SUBSTITUTE(SUBSTITUTE(A151,"/"," "),"."," "),"\"," "),"_"," ")))&amp;" ")),1,0))+IF(Task!$A$13="",0,IF(ISNUMBER(SEARCH(" "&amp;Task!$A$13&amp;" "," "&amp;LOWER(D151&amp;" "&amp;C151&amp;" "&amp;LOWER(SUBSTITUTE(SUBSTITUTE(SUBSTITUTE(SUBSTITUTE(A151,"/"," "),"."," "),"\"," "),"_"," ")))&amp;" ")),1,0))+IF(Task!$A$14="",0,IF(ISNUMBER(SEARCH(" "&amp;Task!$A$14&amp;" "," "&amp;LOWER(D151&amp;" "&amp;C151&amp;" "&amp;LOWER(SUBSTITUTE(SUBSTITUTE(SUBSTITUTE(SUBSTITUTE(A151,"/"," "),"."," "),"\"," "),"_"," ")))&amp;" ")),1,0))+IF(Task!$A$15="",0,IF(ISNUMBER(SEARCH(" "&amp;Task!$A$15&amp;" "," "&amp;LOWER(D151&amp;" "&amp;C151&amp;" "&amp;LOWER(SUBSTITUTE(SUBSTITUTE(SUBSTITUTE(SUBSTITUTE(A151,"/"," "),"."," "),"\"," "),"_"," ")))&amp;" ")),1,0))+IF(Task!$A$16="",0,IF(ISNUMBER(SEARCH(" "&amp;Task!$A$16&amp;" "," "&amp;LOWER(D151&amp;" "&amp;C151&amp;" "&amp;LOWER(SUBSTITUTE(SUBSTITUTE(SUBSTITUTE(SUBSTITUTE(A151,"/"," "),"."," "),"\"," "),"_"," ")))&amp;" ")),1,0))+IF(Task!$A$17="",0,IF(ISNUMBER(SEARCH(" "&amp;Task!$A$17&amp;" "," "&amp;LOWER(D151&amp;" "&amp;C151&amp;" "&amp;LOWER(SUBSTITUTE(SUBSTITUTE(SUBSTITUTE(SUBSTITUTE(A151,"/"," "),"."," "),"\"," "),"_"," ")))&amp;" ")),1,0))+IF(Task!$A$18="",0,IF(ISNUMBER(SEARCH(" "&amp;Task!$A$18&amp;" "," "&amp;LOWER(D151&amp;" "&amp;C151&amp;" "&amp;LOWER(SUBSTITUTE(SUBSTITUTE(SUBSTITUTE(SUBSTITUTE(A151,"/"," "),"."," "),"\"," "),"_"," ")))&amp;" ")),1,0))+IF(Task!$A$19="",0,IF(ISNUMBER(SEARCH(" "&amp;Task!$A$19&amp;" "," "&amp;LOWER(D151&amp;" "&amp;C151&amp;" "&amp;LOWER(SUBSTITUTE(SUBSTITUTE(SUBSTITUTE(SUBSTITUTE(A151,"/"," "),"."," "),"\"," "),"_"," ")))&amp;" ")),1,0)))</f>
        <v/>
      </c>
      <c r="G151" s="9">
        <f>IF(E151=0,0,IF(Task!$A$8="",0,IF(ISNUMBER(SEARCH(" "&amp;Task!$A$8&amp;" "," "&amp;LOWER(C151)&amp;" ")),1,0))+IF(Task!$A$9="",0,IF(ISNUMBER(SEARCH(" "&amp;Task!$A$9&amp;" "," "&amp;LOWER(C151)&amp;" ")),1,0))+IF(Task!$A$10="",0,IF(ISNUMBER(SEARCH(" "&amp;Task!$A$10&amp;" "," "&amp;LOWER(C151)&amp;" ")),1,0))+IF(Task!$A$11="",0,IF(ISNUMBER(SEARCH(" "&amp;Task!$A$11&amp;" "," "&amp;LOWER(C151)&amp;" ")),1,0))+IF(Task!$A$12="",0,IF(ISNUMBER(SEARCH(" "&amp;Task!$A$12&amp;" "," "&amp;LOWER(C151)&amp;" ")),1,0))+IF(Task!$A$13="",0,IF(ISNUMBER(SEARCH(" "&amp;Task!$A$13&amp;" "," "&amp;LOWER(C151)&amp;" ")),1,0))+IF(Task!$A$14="",0,IF(ISNUMBER(SEARCH(" "&amp;Task!$A$14&amp;" "," "&amp;LOWER(C151)&amp;" ")),1,0))+IF(Task!$A$15="",0,IF(ISNUMBER(SEARCH(" "&amp;Task!$A$15&amp;" "," "&amp;LOWER(C151)&amp;" ")),1,0))+IF(Task!$A$16="",0,IF(ISNUMBER(SEARCH(" "&amp;Task!$A$16&amp;" "," "&amp;LOWER(C151)&amp;" ")),1,0))+IF(Task!$A$17="",0,IF(ISNUMBER(SEARCH(" "&amp;Task!$A$17&amp;" "," "&amp;LOWER(C151)&amp;" ")),1,0))+IF(Task!$A$18="",0,IF(ISNUMBER(SEARCH(" "&amp;Task!$A$18&amp;" "," "&amp;LOWER(C151)&amp;" ")),1,0))+IF(Task!$A$19="",0,IF(ISNUMBER(SEARCH(" "&amp;Task!$A$19&amp;" "," "&amp;LOWER(C151)&amp;" ")),1,0)))</f>
        <v/>
      </c>
      <c r="H151" s="9">
        <f>IF(E151=0,0,IF(Task!$A$8="",0,IF(ISNUMBER(SEARCH(" "&amp;Task!$A$8&amp;" "," "&amp;LOWER(SUBSTITUTE(SUBSTITUTE(SUBSTITUTE(SUBSTITUTE(A151,"/"," "),"."," "),"\"," "),"_"," "))&amp;" ")),1,0))+IF(Task!$A$9="",0,IF(ISNUMBER(SEARCH(" "&amp;Task!$A$9&amp;" "," "&amp;LOWER(SUBSTITUTE(SUBSTITUTE(SUBSTITUTE(SUBSTITUTE(A151,"/"," "),"."," "),"\"," "),"_"," "))&amp;" ")),1,0))+IF(Task!$A$10="",0,IF(ISNUMBER(SEARCH(" "&amp;Task!$A$10&amp;" "," "&amp;LOWER(SUBSTITUTE(SUBSTITUTE(SUBSTITUTE(SUBSTITUTE(A151,"/"," "),"."," "),"\"," "),"_"," "))&amp;" ")),1,0))+IF(Task!$A$11="",0,IF(ISNUMBER(SEARCH(" "&amp;Task!$A$11&amp;" "," "&amp;LOWER(SUBSTITUTE(SUBSTITUTE(SUBSTITUTE(SUBSTITUTE(A151,"/"," "),"."," "),"\"," "),"_"," "))&amp;" ")),1,0))+IF(Task!$A$12="",0,IF(ISNUMBER(SEARCH(" "&amp;Task!$A$12&amp;" "," "&amp;LOWER(SUBSTITUTE(SUBSTITUTE(SUBSTITUTE(SUBSTITUTE(A151,"/"," "),"."," "),"\"," "),"_"," "))&amp;" ")),1,0))+IF(Task!$A$13="",0,IF(ISNUMBER(SEARCH(" "&amp;Task!$A$13&amp;" "," "&amp;LOWER(SUBSTITUTE(SUBSTITUTE(SUBSTITUTE(SUBSTITUTE(A151,"/"," "),"."," "),"\"," "),"_"," "))&amp;" ")),1,0))+IF(Task!$A$14="",0,IF(ISNUMBER(SEARCH(" "&amp;Task!$A$14&amp;" "," "&amp;LOWER(SUBSTITUTE(SUBSTITUTE(SUBSTITUTE(SUBSTITUTE(A151,"/"," "),"."," "),"\"," "),"_"," "))&amp;" ")),1,0))+IF(Task!$A$15="",0,IF(ISNUMBER(SEARCH(" "&amp;Task!$A$15&amp;" "," "&amp;LOWER(SUBSTITUTE(SUBSTITUTE(SUBSTITUTE(SUBSTITUTE(A151,"/"," "),"."," "),"\"," "),"_"," "))&amp;" ")),1,0))+IF(Task!$A$16="",0,IF(ISNUMBER(SEARCH(" "&amp;Task!$A$16&amp;" "," "&amp;LOWER(SUBSTITUTE(SUBSTITUTE(SUBSTITUTE(SUBSTITUTE(A151,"/"," "),"."," "),"\"," "),"_"," "))&amp;" ")),1,0))+IF(Task!$A$17="",0,IF(ISNUMBER(SEARCH(" "&amp;Task!$A$17&amp;" "," "&amp;LOWER(SUBSTITUTE(SUBSTITUTE(SUBSTITUTE(SUBSTITUTE(A151,"/"," "),"."," "),"\"," "),"_"," "))&amp;" ")),1,0))+IF(Task!$A$18="",0,IF(ISNUMBER(SEARCH(" "&amp;Task!$A$18&amp;" "," "&amp;LOWER(SUBSTITUTE(SUBSTITUTE(SUBSTITUTE(SUBSTITUTE(A151,"/"," "),"."," "),"\"," "),"_"," "))&amp;" ")),1,0))+IF(Task!$A$19="",0,IF(ISNUMBER(SEARCH(" "&amp;Task!$A$19&amp;" "," "&amp;LOWER(SUBSTITUTE(SUBSTITUTE(SUBSTITUTE(SUBSTITUTE(A151,"/"," "),"."," "),"\"," "),"_"," "))&amp;" ")),1,0)))</f>
        <v/>
      </c>
      <c r="I151" s="10">
        <f>IF(OR(E151=0,F151=0,Task!$B$21=0),"",F151/Task!$B$21+0.5*G151+0.25*H151)</f>
        <v/>
      </c>
      <c r="J151" s="5">
        <f>IF(I151="","",I151-ROW()/1000000)</f>
        <v/>
      </c>
      <c r="K151" s="9">
        <f>IF(J151="","",COUNTIF($J$5:$J$404,"&gt;"&amp;J151)+1)</f>
        <v/>
      </c>
    </row>
    <row r="152">
      <c r="A152" s="7" t="n"/>
      <c r="B152" s="7" t="n"/>
      <c r="C152" s="7" t="n"/>
      <c r="D152" s="7" t="n"/>
      <c r="E152" s="5">
        <f>IF(A152="",0,IF(COUNTA(Task!$B$5:$E$5)=0,1,IF(COUNTIF(Task!$B$5:$E$5,B152)&gt;0,1,0)))</f>
        <v/>
      </c>
      <c r="F152" s="9">
        <f>IF(E152=0,0,IF(Task!$A$8="",0,IF(ISNUMBER(SEARCH(" "&amp;Task!$A$8&amp;" "," "&amp;LOWER(D152&amp;" "&amp;C152&amp;" "&amp;LOWER(SUBSTITUTE(SUBSTITUTE(SUBSTITUTE(SUBSTITUTE(A152,"/"," "),"."," "),"\"," "),"_"," ")))&amp;" ")),1,0))+IF(Task!$A$9="",0,IF(ISNUMBER(SEARCH(" "&amp;Task!$A$9&amp;" "," "&amp;LOWER(D152&amp;" "&amp;C152&amp;" "&amp;LOWER(SUBSTITUTE(SUBSTITUTE(SUBSTITUTE(SUBSTITUTE(A152,"/"," "),"."," "),"\"," "),"_"," ")))&amp;" ")),1,0))+IF(Task!$A$10="",0,IF(ISNUMBER(SEARCH(" "&amp;Task!$A$10&amp;" "," "&amp;LOWER(D152&amp;" "&amp;C152&amp;" "&amp;LOWER(SUBSTITUTE(SUBSTITUTE(SUBSTITUTE(SUBSTITUTE(A152,"/"," "),"."," "),"\"," "),"_"," ")))&amp;" ")),1,0))+IF(Task!$A$11="",0,IF(ISNUMBER(SEARCH(" "&amp;Task!$A$11&amp;" "," "&amp;LOWER(D152&amp;" "&amp;C152&amp;" "&amp;LOWER(SUBSTITUTE(SUBSTITUTE(SUBSTITUTE(SUBSTITUTE(A152,"/"," "),"."," "),"\"," "),"_"," ")))&amp;" ")),1,0))+IF(Task!$A$12="",0,IF(ISNUMBER(SEARCH(" "&amp;Task!$A$12&amp;" "," "&amp;LOWER(D152&amp;" "&amp;C152&amp;" "&amp;LOWER(SUBSTITUTE(SUBSTITUTE(SUBSTITUTE(SUBSTITUTE(A152,"/"," "),"."," "),"\"," "),"_"," ")))&amp;" ")),1,0))+IF(Task!$A$13="",0,IF(ISNUMBER(SEARCH(" "&amp;Task!$A$13&amp;" "," "&amp;LOWER(D152&amp;" "&amp;C152&amp;" "&amp;LOWER(SUBSTITUTE(SUBSTITUTE(SUBSTITUTE(SUBSTITUTE(A152,"/"," "),"."," "),"\"," "),"_"," ")))&amp;" ")),1,0))+IF(Task!$A$14="",0,IF(ISNUMBER(SEARCH(" "&amp;Task!$A$14&amp;" "," "&amp;LOWER(D152&amp;" "&amp;C152&amp;" "&amp;LOWER(SUBSTITUTE(SUBSTITUTE(SUBSTITUTE(SUBSTITUTE(A152,"/"," "),"."," "),"\"," "),"_"," ")))&amp;" ")),1,0))+IF(Task!$A$15="",0,IF(ISNUMBER(SEARCH(" "&amp;Task!$A$15&amp;" "," "&amp;LOWER(D152&amp;" "&amp;C152&amp;" "&amp;LOWER(SUBSTITUTE(SUBSTITUTE(SUBSTITUTE(SUBSTITUTE(A152,"/"," "),"."," "),"\"," "),"_"," ")))&amp;" ")),1,0))+IF(Task!$A$16="",0,IF(ISNUMBER(SEARCH(" "&amp;Task!$A$16&amp;" "," "&amp;LOWER(D152&amp;" "&amp;C152&amp;" "&amp;LOWER(SUBSTITUTE(SUBSTITUTE(SUBSTITUTE(SUBSTITUTE(A152,"/"," "),"."," "),"\"," "),"_"," ")))&amp;" ")),1,0))+IF(Task!$A$17="",0,IF(ISNUMBER(SEARCH(" "&amp;Task!$A$17&amp;" "," "&amp;LOWER(D152&amp;" "&amp;C152&amp;" "&amp;LOWER(SUBSTITUTE(SUBSTITUTE(SUBSTITUTE(SUBSTITUTE(A152,"/"," "),"."," "),"\"," "),"_"," ")))&amp;" ")),1,0))+IF(Task!$A$18="",0,IF(ISNUMBER(SEARCH(" "&amp;Task!$A$18&amp;" "," "&amp;LOWER(D152&amp;" "&amp;C152&amp;" "&amp;LOWER(SUBSTITUTE(SUBSTITUTE(SUBSTITUTE(SUBSTITUTE(A152,"/"," "),"."," "),"\"," "),"_"," ")))&amp;" ")),1,0))+IF(Task!$A$19="",0,IF(ISNUMBER(SEARCH(" "&amp;Task!$A$19&amp;" "," "&amp;LOWER(D152&amp;" "&amp;C152&amp;" "&amp;LOWER(SUBSTITUTE(SUBSTITUTE(SUBSTITUTE(SUBSTITUTE(A152,"/"," "),"."," "),"\"," "),"_"," ")))&amp;" ")),1,0)))</f>
        <v/>
      </c>
      <c r="G152" s="9">
        <f>IF(E152=0,0,IF(Task!$A$8="",0,IF(ISNUMBER(SEARCH(" "&amp;Task!$A$8&amp;" "," "&amp;LOWER(C152)&amp;" ")),1,0))+IF(Task!$A$9="",0,IF(ISNUMBER(SEARCH(" "&amp;Task!$A$9&amp;" "," "&amp;LOWER(C152)&amp;" ")),1,0))+IF(Task!$A$10="",0,IF(ISNUMBER(SEARCH(" "&amp;Task!$A$10&amp;" "," "&amp;LOWER(C152)&amp;" ")),1,0))+IF(Task!$A$11="",0,IF(ISNUMBER(SEARCH(" "&amp;Task!$A$11&amp;" "," "&amp;LOWER(C152)&amp;" ")),1,0))+IF(Task!$A$12="",0,IF(ISNUMBER(SEARCH(" "&amp;Task!$A$12&amp;" "," "&amp;LOWER(C152)&amp;" ")),1,0))+IF(Task!$A$13="",0,IF(ISNUMBER(SEARCH(" "&amp;Task!$A$13&amp;" "," "&amp;LOWER(C152)&amp;" ")),1,0))+IF(Task!$A$14="",0,IF(ISNUMBER(SEARCH(" "&amp;Task!$A$14&amp;" "," "&amp;LOWER(C152)&amp;" ")),1,0))+IF(Task!$A$15="",0,IF(ISNUMBER(SEARCH(" "&amp;Task!$A$15&amp;" "," "&amp;LOWER(C152)&amp;" ")),1,0))+IF(Task!$A$16="",0,IF(ISNUMBER(SEARCH(" "&amp;Task!$A$16&amp;" "," "&amp;LOWER(C152)&amp;" ")),1,0))+IF(Task!$A$17="",0,IF(ISNUMBER(SEARCH(" "&amp;Task!$A$17&amp;" "," "&amp;LOWER(C152)&amp;" ")),1,0))+IF(Task!$A$18="",0,IF(ISNUMBER(SEARCH(" "&amp;Task!$A$18&amp;" "," "&amp;LOWER(C152)&amp;" ")),1,0))+IF(Task!$A$19="",0,IF(ISNUMBER(SEARCH(" "&amp;Task!$A$19&amp;" "," "&amp;LOWER(C152)&amp;" ")),1,0)))</f>
        <v/>
      </c>
      <c r="H152" s="9">
        <f>IF(E152=0,0,IF(Task!$A$8="",0,IF(ISNUMBER(SEARCH(" "&amp;Task!$A$8&amp;" "," "&amp;LOWER(SUBSTITUTE(SUBSTITUTE(SUBSTITUTE(SUBSTITUTE(A152,"/"," "),"."," "),"\"," "),"_"," "))&amp;" ")),1,0))+IF(Task!$A$9="",0,IF(ISNUMBER(SEARCH(" "&amp;Task!$A$9&amp;" "," "&amp;LOWER(SUBSTITUTE(SUBSTITUTE(SUBSTITUTE(SUBSTITUTE(A152,"/"," "),"."," "),"\"," "),"_"," "))&amp;" ")),1,0))+IF(Task!$A$10="",0,IF(ISNUMBER(SEARCH(" "&amp;Task!$A$10&amp;" "," "&amp;LOWER(SUBSTITUTE(SUBSTITUTE(SUBSTITUTE(SUBSTITUTE(A152,"/"," "),"."," "),"\"," "),"_"," "))&amp;" ")),1,0))+IF(Task!$A$11="",0,IF(ISNUMBER(SEARCH(" "&amp;Task!$A$11&amp;" "," "&amp;LOWER(SUBSTITUTE(SUBSTITUTE(SUBSTITUTE(SUBSTITUTE(A152,"/"," "),"."," "),"\"," "),"_"," "))&amp;" ")),1,0))+IF(Task!$A$12="",0,IF(ISNUMBER(SEARCH(" "&amp;Task!$A$12&amp;" "," "&amp;LOWER(SUBSTITUTE(SUBSTITUTE(SUBSTITUTE(SUBSTITUTE(A152,"/"," "),"."," "),"\"," "),"_"," "))&amp;" ")),1,0))+IF(Task!$A$13="",0,IF(ISNUMBER(SEARCH(" "&amp;Task!$A$13&amp;" "," "&amp;LOWER(SUBSTITUTE(SUBSTITUTE(SUBSTITUTE(SUBSTITUTE(A152,"/"," "),"."," "),"\"," "),"_"," "))&amp;" ")),1,0))+IF(Task!$A$14="",0,IF(ISNUMBER(SEARCH(" "&amp;Task!$A$14&amp;" "," "&amp;LOWER(SUBSTITUTE(SUBSTITUTE(SUBSTITUTE(SUBSTITUTE(A152,"/"," "),"."," "),"\"," "),"_"," "))&amp;" ")),1,0))+IF(Task!$A$15="",0,IF(ISNUMBER(SEARCH(" "&amp;Task!$A$15&amp;" "," "&amp;LOWER(SUBSTITUTE(SUBSTITUTE(SUBSTITUTE(SUBSTITUTE(A152,"/"," "),"."," "),"\"," "),"_"," "))&amp;" ")),1,0))+IF(Task!$A$16="",0,IF(ISNUMBER(SEARCH(" "&amp;Task!$A$16&amp;" "," "&amp;LOWER(SUBSTITUTE(SUBSTITUTE(SUBSTITUTE(SUBSTITUTE(A152,"/"," "),"."," "),"\"," "),"_"," "))&amp;" ")),1,0))+IF(Task!$A$17="",0,IF(ISNUMBER(SEARCH(" "&amp;Task!$A$17&amp;" "," "&amp;LOWER(SUBSTITUTE(SUBSTITUTE(SUBSTITUTE(SUBSTITUTE(A152,"/"," "),"."," "),"\"," "),"_"," "))&amp;" ")),1,0))+IF(Task!$A$18="",0,IF(ISNUMBER(SEARCH(" "&amp;Task!$A$18&amp;" "," "&amp;LOWER(SUBSTITUTE(SUBSTITUTE(SUBSTITUTE(SUBSTITUTE(A152,"/"," "),"."," "),"\"," "),"_"," "))&amp;" ")),1,0))+IF(Task!$A$19="",0,IF(ISNUMBER(SEARCH(" "&amp;Task!$A$19&amp;" "," "&amp;LOWER(SUBSTITUTE(SUBSTITUTE(SUBSTITUTE(SUBSTITUTE(A152,"/"," "),"."," "),"\"," "),"_"," "))&amp;" ")),1,0)))</f>
        <v/>
      </c>
      <c r="I152" s="10">
        <f>IF(OR(E152=0,F152=0,Task!$B$21=0),"",F152/Task!$B$21+0.5*G152+0.25*H152)</f>
        <v/>
      </c>
      <c r="J152" s="5">
        <f>IF(I152="","",I152-ROW()/1000000)</f>
        <v/>
      </c>
      <c r="K152" s="9">
        <f>IF(J152="","",COUNTIF($J$5:$J$404,"&gt;"&amp;J152)+1)</f>
        <v/>
      </c>
    </row>
    <row r="153">
      <c r="A153" s="7" t="n"/>
      <c r="B153" s="7" t="n"/>
      <c r="C153" s="7" t="n"/>
      <c r="D153" s="7" t="n"/>
      <c r="E153" s="5">
        <f>IF(A153="",0,IF(COUNTA(Task!$B$5:$E$5)=0,1,IF(COUNTIF(Task!$B$5:$E$5,B153)&gt;0,1,0)))</f>
        <v/>
      </c>
      <c r="F153" s="9">
        <f>IF(E153=0,0,IF(Task!$A$8="",0,IF(ISNUMBER(SEARCH(" "&amp;Task!$A$8&amp;" "," "&amp;LOWER(D153&amp;" "&amp;C153&amp;" "&amp;LOWER(SUBSTITUTE(SUBSTITUTE(SUBSTITUTE(SUBSTITUTE(A153,"/"," "),"."," "),"\"," "),"_"," ")))&amp;" ")),1,0))+IF(Task!$A$9="",0,IF(ISNUMBER(SEARCH(" "&amp;Task!$A$9&amp;" "," "&amp;LOWER(D153&amp;" "&amp;C153&amp;" "&amp;LOWER(SUBSTITUTE(SUBSTITUTE(SUBSTITUTE(SUBSTITUTE(A153,"/"," "),"."," "),"\"," "),"_"," ")))&amp;" ")),1,0))+IF(Task!$A$10="",0,IF(ISNUMBER(SEARCH(" "&amp;Task!$A$10&amp;" "," "&amp;LOWER(D153&amp;" "&amp;C153&amp;" "&amp;LOWER(SUBSTITUTE(SUBSTITUTE(SUBSTITUTE(SUBSTITUTE(A153,"/"," "),"."," "),"\"," "),"_"," ")))&amp;" ")),1,0))+IF(Task!$A$11="",0,IF(ISNUMBER(SEARCH(" "&amp;Task!$A$11&amp;" "," "&amp;LOWER(D153&amp;" "&amp;C153&amp;" "&amp;LOWER(SUBSTITUTE(SUBSTITUTE(SUBSTITUTE(SUBSTITUTE(A153,"/"," "),"."," "),"\"," "),"_"," ")))&amp;" ")),1,0))+IF(Task!$A$12="",0,IF(ISNUMBER(SEARCH(" "&amp;Task!$A$12&amp;" "," "&amp;LOWER(D153&amp;" "&amp;C153&amp;" "&amp;LOWER(SUBSTITUTE(SUBSTITUTE(SUBSTITUTE(SUBSTITUTE(A153,"/"," "),"."," "),"\"," "),"_"," ")))&amp;" ")),1,0))+IF(Task!$A$13="",0,IF(ISNUMBER(SEARCH(" "&amp;Task!$A$13&amp;" "," "&amp;LOWER(D153&amp;" "&amp;C153&amp;" "&amp;LOWER(SUBSTITUTE(SUBSTITUTE(SUBSTITUTE(SUBSTITUTE(A153,"/"," "),"."," "),"\"," "),"_"," ")))&amp;" ")),1,0))+IF(Task!$A$14="",0,IF(ISNUMBER(SEARCH(" "&amp;Task!$A$14&amp;" "," "&amp;LOWER(D153&amp;" "&amp;C153&amp;" "&amp;LOWER(SUBSTITUTE(SUBSTITUTE(SUBSTITUTE(SUBSTITUTE(A153,"/"," "),"."," "),"\"," "),"_"," ")))&amp;" ")),1,0))+IF(Task!$A$15="",0,IF(ISNUMBER(SEARCH(" "&amp;Task!$A$15&amp;" "," "&amp;LOWER(D153&amp;" "&amp;C153&amp;" "&amp;LOWER(SUBSTITUTE(SUBSTITUTE(SUBSTITUTE(SUBSTITUTE(A153,"/"," "),"."," "),"\"," "),"_"," ")))&amp;" ")),1,0))+IF(Task!$A$16="",0,IF(ISNUMBER(SEARCH(" "&amp;Task!$A$16&amp;" "," "&amp;LOWER(D153&amp;" "&amp;C153&amp;" "&amp;LOWER(SUBSTITUTE(SUBSTITUTE(SUBSTITUTE(SUBSTITUTE(A153,"/"," "),"."," "),"\"," "),"_"," ")))&amp;" ")),1,0))+IF(Task!$A$17="",0,IF(ISNUMBER(SEARCH(" "&amp;Task!$A$17&amp;" "," "&amp;LOWER(D153&amp;" "&amp;C153&amp;" "&amp;LOWER(SUBSTITUTE(SUBSTITUTE(SUBSTITUTE(SUBSTITUTE(A153,"/"," "),"."," "),"\"," "),"_"," ")))&amp;" ")),1,0))+IF(Task!$A$18="",0,IF(ISNUMBER(SEARCH(" "&amp;Task!$A$18&amp;" "," "&amp;LOWER(D153&amp;" "&amp;C153&amp;" "&amp;LOWER(SUBSTITUTE(SUBSTITUTE(SUBSTITUTE(SUBSTITUTE(A153,"/"," "),"."," "),"\"," "),"_"," ")))&amp;" ")),1,0))+IF(Task!$A$19="",0,IF(ISNUMBER(SEARCH(" "&amp;Task!$A$19&amp;" "," "&amp;LOWER(D153&amp;" "&amp;C153&amp;" "&amp;LOWER(SUBSTITUTE(SUBSTITUTE(SUBSTITUTE(SUBSTITUTE(A153,"/"," "),"."," "),"\"," "),"_"," ")))&amp;" ")),1,0)))</f>
        <v/>
      </c>
      <c r="G153" s="9">
        <f>IF(E153=0,0,IF(Task!$A$8="",0,IF(ISNUMBER(SEARCH(" "&amp;Task!$A$8&amp;" "," "&amp;LOWER(C153)&amp;" ")),1,0))+IF(Task!$A$9="",0,IF(ISNUMBER(SEARCH(" "&amp;Task!$A$9&amp;" "," "&amp;LOWER(C153)&amp;" ")),1,0))+IF(Task!$A$10="",0,IF(ISNUMBER(SEARCH(" "&amp;Task!$A$10&amp;" "," "&amp;LOWER(C153)&amp;" ")),1,0))+IF(Task!$A$11="",0,IF(ISNUMBER(SEARCH(" "&amp;Task!$A$11&amp;" "," "&amp;LOWER(C153)&amp;" ")),1,0))+IF(Task!$A$12="",0,IF(ISNUMBER(SEARCH(" "&amp;Task!$A$12&amp;" "," "&amp;LOWER(C153)&amp;" ")),1,0))+IF(Task!$A$13="",0,IF(ISNUMBER(SEARCH(" "&amp;Task!$A$13&amp;" "," "&amp;LOWER(C153)&amp;" ")),1,0))+IF(Task!$A$14="",0,IF(ISNUMBER(SEARCH(" "&amp;Task!$A$14&amp;" "," "&amp;LOWER(C153)&amp;" ")),1,0))+IF(Task!$A$15="",0,IF(ISNUMBER(SEARCH(" "&amp;Task!$A$15&amp;" "," "&amp;LOWER(C153)&amp;" ")),1,0))+IF(Task!$A$16="",0,IF(ISNUMBER(SEARCH(" "&amp;Task!$A$16&amp;" "," "&amp;LOWER(C153)&amp;" ")),1,0))+IF(Task!$A$17="",0,IF(ISNUMBER(SEARCH(" "&amp;Task!$A$17&amp;" "," "&amp;LOWER(C153)&amp;" ")),1,0))+IF(Task!$A$18="",0,IF(ISNUMBER(SEARCH(" "&amp;Task!$A$18&amp;" "," "&amp;LOWER(C153)&amp;" ")),1,0))+IF(Task!$A$19="",0,IF(ISNUMBER(SEARCH(" "&amp;Task!$A$19&amp;" "," "&amp;LOWER(C153)&amp;" ")),1,0)))</f>
        <v/>
      </c>
      <c r="H153" s="9">
        <f>IF(E153=0,0,IF(Task!$A$8="",0,IF(ISNUMBER(SEARCH(" "&amp;Task!$A$8&amp;" "," "&amp;LOWER(SUBSTITUTE(SUBSTITUTE(SUBSTITUTE(SUBSTITUTE(A153,"/"," "),"."," "),"\"," "),"_"," "))&amp;" ")),1,0))+IF(Task!$A$9="",0,IF(ISNUMBER(SEARCH(" "&amp;Task!$A$9&amp;" "," "&amp;LOWER(SUBSTITUTE(SUBSTITUTE(SUBSTITUTE(SUBSTITUTE(A153,"/"," "),"."," "),"\"," "),"_"," "))&amp;" ")),1,0))+IF(Task!$A$10="",0,IF(ISNUMBER(SEARCH(" "&amp;Task!$A$10&amp;" "," "&amp;LOWER(SUBSTITUTE(SUBSTITUTE(SUBSTITUTE(SUBSTITUTE(A153,"/"," "),"."," "),"\"," "),"_"," "))&amp;" ")),1,0))+IF(Task!$A$11="",0,IF(ISNUMBER(SEARCH(" "&amp;Task!$A$11&amp;" "," "&amp;LOWER(SUBSTITUTE(SUBSTITUTE(SUBSTITUTE(SUBSTITUTE(A153,"/"," "),"."," "),"\"," "),"_"," "))&amp;" ")),1,0))+IF(Task!$A$12="",0,IF(ISNUMBER(SEARCH(" "&amp;Task!$A$12&amp;" "," "&amp;LOWER(SUBSTITUTE(SUBSTITUTE(SUBSTITUTE(SUBSTITUTE(A153,"/"," "),"."," "),"\"," "),"_"," "))&amp;" ")),1,0))+IF(Task!$A$13="",0,IF(ISNUMBER(SEARCH(" "&amp;Task!$A$13&amp;" "," "&amp;LOWER(SUBSTITUTE(SUBSTITUTE(SUBSTITUTE(SUBSTITUTE(A153,"/"," "),"."," "),"\"," "),"_"," "))&amp;" ")),1,0))+IF(Task!$A$14="",0,IF(ISNUMBER(SEARCH(" "&amp;Task!$A$14&amp;" "," "&amp;LOWER(SUBSTITUTE(SUBSTITUTE(SUBSTITUTE(SUBSTITUTE(A153,"/"," "),"."," "),"\"," "),"_"," "))&amp;" ")),1,0))+IF(Task!$A$15="",0,IF(ISNUMBER(SEARCH(" "&amp;Task!$A$15&amp;" "," "&amp;LOWER(SUBSTITUTE(SUBSTITUTE(SUBSTITUTE(SUBSTITUTE(A153,"/"," "),"."," "),"\"," "),"_"," "))&amp;" ")),1,0))+IF(Task!$A$16="",0,IF(ISNUMBER(SEARCH(" "&amp;Task!$A$16&amp;" "," "&amp;LOWER(SUBSTITUTE(SUBSTITUTE(SUBSTITUTE(SUBSTITUTE(A153,"/"," "),"."," "),"\"," "),"_"," "))&amp;" ")),1,0))+IF(Task!$A$17="",0,IF(ISNUMBER(SEARCH(" "&amp;Task!$A$17&amp;" "," "&amp;LOWER(SUBSTITUTE(SUBSTITUTE(SUBSTITUTE(SUBSTITUTE(A153,"/"," "),"."," "),"\"," "),"_"," "))&amp;" ")),1,0))+IF(Task!$A$18="",0,IF(ISNUMBER(SEARCH(" "&amp;Task!$A$18&amp;" "," "&amp;LOWER(SUBSTITUTE(SUBSTITUTE(SUBSTITUTE(SUBSTITUTE(A153,"/"," "),"."," "),"\"," "),"_"," "))&amp;" ")),1,0))+IF(Task!$A$19="",0,IF(ISNUMBER(SEARCH(" "&amp;Task!$A$19&amp;" "," "&amp;LOWER(SUBSTITUTE(SUBSTITUTE(SUBSTITUTE(SUBSTITUTE(A153,"/"," "),"."," "),"\"," "),"_"," "))&amp;" ")),1,0)))</f>
        <v/>
      </c>
      <c r="I153" s="10">
        <f>IF(OR(E153=0,F153=0,Task!$B$21=0),"",F153/Task!$B$21+0.5*G153+0.25*H153)</f>
        <v/>
      </c>
      <c r="J153" s="5">
        <f>IF(I153="","",I153-ROW()/1000000)</f>
        <v/>
      </c>
      <c r="K153" s="9">
        <f>IF(J153="","",COUNTIF($J$5:$J$404,"&gt;"&amp;J153)+1)</f>
        <v/>
      </c>
    </row>
    <row r="154">
      <c r="A154" s="7" t="n"/>
      <c r="B154" s="7" t="n"/>
      <c r="C154" s="7" t="n"/>
      <c r="D154" s="7" t="n"/>
      <c r="E154" s="5">
        <f>IF(A154="",0,IF(COUNTA(Task!$B$5:$E$5)=0,1,IF(COUNTIF(Task!$B$5:$E$5,B154)&gt;0,1,0)))</f>
        <v/>
      </c>
      <c r="F154" s="9">
        <f>IF(E154=0,0,IF(Task!$A$8="",0,IF(ISNUMBER(SEARCH(" "&amp;Task!$A$8&amp;" "," "&amp;LOWER(D154&amp;" "&amp;C154&amp;" "&amp;LOWER(SUBSTITUTE(SUBSTITUTE(SUBSTITUTE(SUBSTITUTE(A154,"/"," "),"."," "),"\"," "),"_"," ")))&amp;" ")),1,0))+IF(Task!$A$9="",0,IF(ISNUMBER(SEARCH(" "&amp;Task!$A$9&amp;" "," "&amp;LOWER(D154&amp;" "&amp;C154&amp;" "&amp;LOWER(SUBSTITUTE(SUBSTITUTE(SUBSTITUTE(SUBSTITUTE(A154,"/"," "),"."," "),"\"," "),"_"," ")))&amp;" ")),1,0))+IF(Task!$A$10="",0,IF(ISNUMBER(SEARCH(" "&amp;Task!$A$10&amp;" "," "&amp;LOWER(D154&amp;" "&amp;C154&amp;" "&amp;LOWER(SUBSTITUTE(SUBSTITUTE(SUBSTITUTE(SUBSTITUTE(A154,"/"," "),"."," "),"\"," "),"_"," ")))&amp;" ")),1,0))+IF(Task!$A$11="",0,IF(ISNUMBER(SEARCH(" "&amp;Task!$A$11&amp;" "," "&amp;LOWER(D154&amp;" "&amp;C154&amp;" "&amp;LOWER(SUBSTITUTE(SUBSTITUTE(SUBSTITUTE(SUBSTITUTE(A154,"/"," "),"."," "),"\"," "),"_"," ")))&amp;" ")),1,0))+IF(Task!$A$12="",0,IF(ISNUMBER(SEARCH(" "&amp;Task!$A$12&amp;" "," "&amp;LOWER(D154&amp;" "&amp;C154&amp;" "&amp;LOWER(SUBSTITUTE(SUBSTITUTE(SUBSTITUTE(SUBSTITUTE(A154,"/"," "),"."," "),"\"," "),"_"," ")))&amp;" ")),1,0))+IF(Task!$A$13="",0,IF(ISNUMBER(SEARCH(" "&amp;Task!$A$13&amp;" "," "&amp;LOWER(D154&amp;" "&amp;C154&amp;" "&amp;LOWER(SUBSTITUTE(SUBSTITUTE(SUBSTITUTE(SUBSTITUTE(A154,"/"," "),"."," "),"\"," "),"_"," ")))&amp;" ")),1,0))+IF(Task!$A$14="",0,IF(ISNUMBER(SEARCH(" "&amp;Task!$A$14&amp;" "," "&amp;LOWER(D154&amp;" "&amp;C154&amp;" "&amp;LOWER(SUBSTITUTE(SUBSTITUTE(SUBSTITUTE(SUBSTITUTE(A154,"/"," "),"."," "),"\"," "),"_"," ")))&amp;" ")),1,0))+IF(Task!$A$15="",0,IF(ISNUMBER(SEARCH(" "&amp;Task!$A$15&amp;" "," "&amp;LOWER(D154&amp;" "&amp;C154&amp;" "&amp;LOWER(SUBSTITUTE(SUBSTITUTE(SUBSTITUTE(SUBSTITUTE(A154,"/"," "),"."," "),"\"," "),"_"," ")))&amp;" ")),1,0))+IF(Task!$A$16="",0,IF(ISNUMBER(SEARCH(" "&amp;Task!$A$16&amp;" "," "&amp;LOWER(D154&amp;" "&amp;C154&amp;" "&amp;LOWER(SUBSTITUTE(SUBSTITUTE(SUBSTITUTE(SUBSTITUTE(A154,"/"," "),"."," "),"\"," "),"_"," ")))&amp;" ")),1,0))+IF(Task!$A$17="",0,IF(ISNUMBER(SEARCH(" "&amp;Task!$A$17&amp;" "," "&amp;LOWER(D154&amp;" "&amp;C154&amp;" "&amp;LOWER(SUBSTITUTE(SUBSTITUTE(SUBSTITUTE(SUBSTITUTE(A154,"/"," "),"."," "),"\"," "),"_"," ")))&amp;" ")),1,0))+IF(Task!$A$18="",0,IF(ISNUMBER(SEARCH(" "&amp;Task!$A$18&amp;" "," "&amp;LOWER(D154&amp;" "&amp;C154&amp;" "&amp;LOWER(SUBSTITUTE(SUBSTITUTE(SUBSTITUTE(SUBSTITUTE(A154,"/"," "),"."," "),"\"," "),"_"," ")))&amp;" ")),1,0))+IF(Task!$A$19="",0,IF(ISNUMBER(SEARCH(" "&amp;Task!$A$19&amp;" "," "&amp;LOWER(D154&amp;" "&amp;C154&amp;" "&amp;LOWER(SUBSTITUTE(SUBSTITUTE(SUBSTITUTE(SUBSTITUTE(A154,"/"," "),"."," "),"\"," "),"_"," ")))&amp;" ")),1,0)))</f>
        <v/>
      </c>
      <c r="G154" s="9">
        <f>IF(E154=0,0,IF(Task!$A$8="",0,IF(ISNUMBER(SEARCH(" "&amp;Task!$A$8&amp;" "," "&amp;LOWER(C154)&amp;" ")),1,0))+IF(Task!$A$9="",0,IF(ISNUMBER(SEARCH(" "&amp;Task!$A$9&amp;" "," "&amp;LOWER(C154)&amp;" ")),1,0))+IF(Task!$A$10="",0,IF(ISNUMBER(SEARCH(" "&amp;Task!$A$10&amp;" "," "&amp;LOWER(C154)&amp;" ")),1,0))+IF(Task!$A$11="",0,IF(ISNUMBER(SEARCH(" "&amp;Task!$A$11&amp;" "," "&amp;LOWER(C154)&amp;" ")),1,0))+IF(Task!$A$12="",0,IF(ISNUMBER(SEARCH(" "&amp;Task!$A$12&amp;" "," "&amp;LOWER(C154)&amp;" ")),1,0))+IF(Task!$A$13="",0,IF(ISNUMBER(SEARCH(" "&amp;Task!$A$13&amp;" "," "&amp;LOWER(C154)&amp;" ")),1,0))+IF(Task!$A$14="",0,IF(ISNUMBER(SEARCH(" "&amp;Task!$A$14&amp;" "," "&amp;LOWER(C154)&amp;" ")),1,0))+IF(Task!$A$15="",0,IF(ISNUMBER(SEARCH(" "&amp;Task!$A$15&amp;" "," "&amp;LOWER(C154)&amp;" ")),1,0))+IF(Task!$A$16="",0,IF(ISNUMBER(SEARCH(" "&amp;Task!$A$16&amp;" "," "&amp;LOWER(C154)&amp;" ")),1,0))+IF(Task!$A$17="",0,IF(ISNUMBER(SEARCH(" "&amp;Task!$A$17&amp;" "," "&amp;LOWER(C154)&amp;" ")),1,0))+IF(Task!$A$18="",0,IF(ISNUMBER(SEARCH(" "&amp;Task!$A$18&amp;" "," "&amp;LOWER(C154)&amp;" ")),1,0))+IF(Task!$A$19="",0,IF(ISNUMBER(SEARCH(" "&amp;Task!$A$19&amp;" "," "&amp;LOWER(C154)&amp;" ")),1,0)))</f>
        <v/>
      </c>
      <c r="H154" s="9">
        <f>IF(E154=0,0,IF(Task!$A$8="",0,IF(ISNUMBER(SEARCH(" "&amp;Task!$A$8&amp;" "," "&amp;LOWER(SUBSTITUTE(SUBSTITUTE(SUBSTITUTE(SUBSTITUTE(A154,"/"," "),"."," "),"\"," "),"_"," "))&amp;" ")),1,0))+IF(Task!$A$9="",0,IF(ISNUMBER(SEARCH(" "&amp;Task!$A$9&amp;" "," "&amp;LOWER(SUBSTITUTE(SUBSTITUTE(SUBSTITUTE(SUBSTITUTE(A154,"/"," "),"."," "),"\"," "),"_"," "))&amp;" ")),1,0))+IF(Task!$A$10="",0,IF(ISNUMBER(SEARCH(" "&amp;Task!$A$10&amp;" "," "&amp;LOWER(SUBSTITUTE(SUBSTITUTE(SUBSTITUTE(SUBSTITUTE(A154,"/"," "),"."," "),"\"," "),"_"," "))&amp;" ")),1,0))+IF(Task!$A$11="",0,IF(ISNUMBER(SEARCH(" "&amp;Task!$A$11&amp;" "," "&amp;LOWER(SUBSTITUTE(SUBSTITUTE(SUBSTITUTE(SUBSTITUTE(A154,"/"," "),"."," "),"\"," "),"_"," "))&amp;" ")),1,0))+IF(Task!$A$12="",0,IF(ISNUMBER(SEARCH(" "&amp;Task!$A$12&amp;" "," "&amp;LOWER(SUBSTITUTE(SUBSTITUTE(SUBSTITUTE(SUBSTITUTE(A154,"/"," "),"."," "),"\"," "),"_"," "))&amp;" ")),1,0))+IF(Task!$A$13="",0,IF(ISNUMBER(SEARCH(" "&amp;Task!$A$13&amp;" "," "&amp;LOWER(SUBSTITUTE(SUBSTITUTE(SUBSTITUTE(SUBSTITUTE(A154,"/"," "),"."," "),"\"," "),"_"," "))&amp;" ")),1,0))+IF(Task!$A$14="",0,IF(ISNUMBER(SEARCH(" "&amp;Task!$A$14&amp;" "," "&amp;LOWER(SUBSTITUTE(SUBSTITUTE(SUBSTITUTE(SUBSTITUTE(A154,"/"," "),"."," "),"\"," "),"_"," "))&amp;" ")),1,0))+IF(Task!$A$15="",0,IF(ISNUMBER(SEARCH(" "&amp;Task!$A$15&amp;" "," "&amp;LOWER(SUBSTITUTE(SUBSTITUTE(SUBSTITUTE(SUBSTITUTE(A154,"/"," "),"."," "),"\"," "),"_"," "))&amp;" ")),1,0))+IF(Task!$A$16="",0,IF(ISNUMBER(SEARCH(" "&amp;Task!$A$16&amp;" "," "&amp;LOWER(SUBSTITUTE(SUBSTITUTE(SUBSTITUTE(SUBSTITUTE(A154,"/"," "),"."," "),"\"," "),"_"," "))&amp;" ")),1,0))+IF(Task!$A$17="",0,IF(ISNUMBER(SEARCH(" "&amp;Task!$A$17&amp;" "," "&amp;LOWER(SUBSTITUTE(SUBSTITUTE(SUBSTITUTE(SUBSTITUTE(A154,"/"," "),"."," "),"\"," "),"_"," "))&amp;" ")),1,0))+IF(Task!$A$18="",0,IF(ISNUMBER(SEARCH(" "&amp;Task!$A$18&amp;" "," "&amp;LOWER(SUBSTITUTE(SUBSTITUTE(SUBSTITUTE(SUBSTITUTE(A154,"/"," "),"."," "),"\"," "),"_"," "))&amp;" ")),1,0))+IF(Task!$A$19="",0,IF(ISNUMBER(SEARCH(" "&amp;Task!$A$19&amp;" "," "&amp;LOWER(SUBSTITUTE(SUBSTITUTE(SUBSTITUTE(SUBSTITUTE(A154,"/"," "),"."," "),"\"," "),"_"," "))&amp;" ")),1,0)))</f>
        <v/>
      </c>
      <c r="I154" s="10">
        <f>IF(OR(E154=0,F154=0,Task!$B$21=0),"",F154/Task!$B$21+0.5*G154+0.25*H154)</f>
        <v/>
      </c>
      <c r="J154" s="5">
        <f>IF(I154="","",I154-ROW()/1000000)</f>
        <v/>
      </c>
      <c r="K154" s="9">
        <f>IF(J154="","",COUNTIF($J$5:$J$404,"&gt;"&amp;J154)+1)</f>
        <v/>
      </c>
    </row>
    <row r="155">
      <c r="A155" s="7" t="n"/>
      <c r="B155" s="7" t="n"/>
      <c r="C155" s="7" t="n"/>
      <c r="D155" s="7" t="n"/>
      <c r="E155" s="5">
        <f>IF(A155="",0,IF(COUNTA(Task!$B$5:$E$5)=0,1,IF(COUNTIF(Task!$B$5:$E$5,B155)&gt;0,1,0)))</f>
        <v/>
      </c>
      <c r="F155" s="9">
        <f>IF(E155=0,0,IF(Task!$A$8="",0,IF(ISNUMBER(SEARCH(" "&amp;Task!$A$8&amp;" "," "&amp;LOWER(D155&amp;" "&amp;C155&amp;" "&amp;LOWER(SUBSTITUTE(SUBSTITUTE(SUBSTITUTE(SUBSTITUTE(A155,"/"," "),"."," "),"\"," "),"_"," ")))&amp;" ")),1,0))+IF(Task!$A$9="",0,IF(ISNUMBER(SEARCH(" "&amp;Task!$A$9&amp;" "," "&amp;LOWER(D155&amp;" "&amp;C155&amp;" "&amp;LOWER(SUBSTITUTE(SUBSTITUTE(SUBSTITUTE(SUBSTITUTE(A155,"/"," "),"."," "),"\"," "),"_"," ")))&amp;" ")),1,0))+IF(Task!$A$10="",0,IF(ISNUMBER(SEARCH(" "&amp;Task!$A$10&amp;" "," "&amp;LOWER(D155&amp;" "&amp;C155&amp;" "&amp;LOWER(SUBSTITUTE(SUBSTITUTE(SUBSTITUTE(SUBSTITUTE(A155,"/"," "),"."," "),"\"," "),"_"," ")))&amp;" ")),1,0))+IF(Task!$A$11="",0,IF(ISNUMBER(SEARCH(" "&amp;Task!$A$11&amp;" "," "&amp;LOWER(D155&amp;" "&amp;C155&amp;" "&amp;LOWER(SUBSTITUTE(SUBSTITUTE(SUBSTITUTE(SUBSTITUTE(A155,"/"," "),"."," "),"\"," "),"_"," ")))&amp;" ")),1,0))+IF(Task!$A$12="",0,IF(ISNUMBER(SEARCH(" "&amp;Task!$A$12&amp;" "," "&amp;LOWER(D155&amp;" "&amp;C155&amp;" "&amp;LOWER(SUBSTITUTE(SUBSTITUTE(SUBSTITUTE(SUBSTITUTE(A155,"/"," "),"."," "),"\"," "),"_"," ")))&amp;" ")),1,0))+IF(Task!$A$13="",0,IF(ISNUMBER(SEARCH(" "&amp;Task!$A$13&amp;" "," "&amp;LOWER(D155&amp;" "&amp;C155&amp;" "&amp;LOWER(SUBSTITUTE(SUBSTITUTE(SUBSTITUTE(SUBSTITUTE(A155,"/"," "),"."," "),"\"," "),"_"," ")))&amp;" ")),1,0))+IF(Task!$A$14="",0,IF(ISNUMBER(SEARCH(" "&amp;Task!$A$14&amp;" "," "&amp;LOWER(D155&amp;" "&amp;C155&amp;" "&amp;LOWER(SUBSTITUTE(SUBSTITUTE(SUBSTITUTE(SUBSTITUTE(A155,"/"," "),"."," "),"\"," "),"_"," ")))&amp;" ")),1,0))+IF(Task!$A$15="",0,IF(ISNUMBER(SEARCH(" "&amp;Task!$A$15&amp;" "," "&amp;LOWER(D155&amp;" "&amp;C155&amp;" "&amp;LOWER(SUBSTITUTE(SUBSTITUTE(SUBSTITUTE(SUBSTITUTE(A155,"/"," "),"."," "),"\"," "),"_"," ")))&amp;" ")),1,0))+IF(Task!$A$16="",0,IF(ISNUMBER(SEARCH(" "&amp;Task!$A$16&amp;" "," "&amp;LOWER(D155&amp;" "&amp;C155&amp;" "&amp;LOWER(SUBSTITUTE(SUBSTITUTE(SUBSTITUTE(SUBSTITUTE(A155,"/"," "),"."," "),"\"," "),"_"," ")))&amp;" ")),1,0))+IF(Task!$A$17="",0,IF(ISNUMBER(SEARCH(" "&amp;Task!$A$17&amp;" "," "&amp;LOWER(D155&amp;" "&amp;C155&amp;" "&amp;LOWER(SUBSTITUTE(SUBSTITUTE(SUBSTITUTE(SUBSTITUTE(A155,"/"," "),"."," "),"\"," "),"_"," ")))&amp;" ")),1,0))+IF(Task!$A$18="",0,IF(ISNUMBER(SEARCH(" "&amp;Task!$A$18&amp;" "," "&amp;LOWER(D155&amp;" "&amp;C155&amp;" "&amp;LOWER(SUBSTITUTE(SUBSTITUTE(SUBSTITUTE(SUBSTITUTE(A155,"/"," "),"."," "),"\"," "),"_"," ")))&amp;" ")),1,0))+IF(Task!$A$19="",0,IF(ISNUMBER(SEARCH(" "&amp;Task!$A$19&amp;" "," "&amp;LOWER(D155&amp;" "&amp;C155&amp;" "&amp;LOWER(SUBSTITUTE(SUBSTITUTE(SUBSTITUTE(SUBSTITUTE(A155,"/"," "),"."," "),"\"," "),"_"," ")))&amp;" ")),1,0)))</f>
        <v/>
      </c>
      <c r="G155" s="9">
        <f>IF(E155=0,0,IF(Task!$A$8="",0,IF(ISNUMBER(SEARCH(" "&amp;Task!$A$8&amp;" "," "&amp;LOWER(C155)&amp;" ")),1,0))+IF(Task!$A$9="",0,IF(ISNUMBER(SEARCH(" "&amp;Task!$A$9&amp;" "," "&amp;LOWER(C155)&amp;" ")),1,0))+IF(Task!$A$10="",0,IF(ISNUMBER(SEARCH(" "&amp;Task!$A$10&amp;" "," "&amp;LOWER(C155)&amp;" ")),1,0))+IF(Task!$A$11="",0,IF(ISNUMBER(SEARCH(" "&amp;Task!$A$11&amp;" "," "&amp;LOWER(C155)&amp;" ")),1,0))+IF(Task!$A$12="",0,IF(ISNUMBER(SEARCH(" "&amp;Task!$A$12&amp;" "," "&amp;LOWER(C155)&amp;" ")),1,0))+IF(Task!$A$13="",0,IF(ISNUMBER(SEARCH(" "&amp;Task!$A$13&amp;" "," "&amp;LOWER(C155)&amp;" ")),1,0))+IF(Task!$A$14="",0,IF(ISNUMBER(SEARCH(" "&amp;Task!$A$14&amp;" "," "&amp;LOWER(C155)&amp;" ")),1,0))+IF(Task!$A$15="",0,IF(ISNUMBER(SEARCH(" "&amp;Task!$A$15&amp;" "," "&amp;LOWER(C155)&amp;" ")),1,0))+IF(Task!$A$16="",0,IF(ISNUMBER(SEARCH(" "&amp;Task!$A$16&amp;" "," "&amp;LOWER(C155)&amp;" ")),1,0))+IF(Task!$A$17="",0,IF(ISNUMBER(SEARCH(" "&amp;Task!$A$17&amp;" "," "&amp;LOWER(C155)&amp;" ")),1,0))+IF(Task!$A$18="",0,IF(ISNUMBER(SEARCH(" "&amp;Task!$A$18&amp;" "," "&amp;LOWER(C155)&amp;" ")),1,0))+IF(Task!$A$19="",0,IF(ISNUMBER(SEARCH(" "&amp;Task!$A$19&amp;" "," "&amp;LOWER(C155)&amp;" ")),1,0)))</f>
        <v/>
      </c>
      <c r="H155" s="9">
        <f>IF(E155=0,0,IF(Task!$A$8="",0,IF(ISNUMBER(SEARCH(" "&amp;Task!$A$8&amp;" "," "&amp;LOWER(SUBSTITUTE(SUBSTITUTE(SUBSTITUTE(SUBSTITUTE(A155,"/"," "),"."," "),"\"," "),"_"," "))&amp;" ")),1,0))+IF(Task!$A$9="",0,IF(ISNUMBER(SEARCH(" "&amp;Task!$A$9&amp;" "," "&amp;LOWER(SUBSTITUTE(SUBSTITUTE(SUBSTITUTE(SUBSTITUTE(A155,"/"," "),"."," "),"\"," "),"_"," "))&amp;" ")),1,0))+IF(Task!$A$10="",0,IF(ISNUMBER(SEARCH(" "&amp;Task!$A$10&amp;" "," "&amp;LOWER(SUBSTITUTE(SUBSTITUTE(SUBSTITUTE(SUBSTITUTE(A155,"/"," "),"."," "),"\"," "),"_"," "))&amp;" ")),1,0))+IF(Task!$A$11="",0,IF(ISNUMBER(SEARCH(" "&amp;Task!$A$11&amp;" "," "&amp;LOWER(SUBSTITUTE(SUBSTITUTE(SUBSTITUTE(SUBSTITUTE(A155,"/"," "),"."," "),"\"," "),"_"," "))&amp;" ")),1,0))+IF(Task!$A$12="",0,IF(ISNUMBER(SEARCH(" "&amp;Task!$A$12&amp;" "," "&amp;LOWER(SUBSTITUTE(SUBSTITUTE(SUBSTITUTE(SUBSTITUTE(A155,"/"," "),"."," "),"\"," "),"_"," "))&amp;" ")),1,0))+IF(Task!$A$13="",0,IF(ISNUMBER(SEARCH(" "&amp;Task!$A$13&amp;" "," "&amp;LOWER(SUBSTITUTE(SUBSTITUTE(SUBSTITUTE(SUBSTITUTE(A155,"/"," "),"."," "),"\"," "),"_"," "))&amp;" ")),1,0))+IF(Task!$A$14="",0,IF(ISNUMBER(SEARCH(" "&amp;Task!$A$14&amp;" "," "&amp;LOWER(SUBSTITUTE(SUBSTITUTE(SUBSTITUTE(SUBSTITUTE(A155,"/"," "),"."," "),"\"," "),"_"," "))&amp;" ")),1,0))+IF(Task!$A$15="",0,IF(ISNUMBER(SEARCH(" "&amp;Task!$A$15&amp;" "," "&amp;LOWER(SUBSTITUTE(SUBSTITUTE(SUBSTITUTE(SUBSTITUTE(A155,"/"," "),"."," "),"\"," "),"_"," "))&amp;" ")),1,0))+IF(Task!$A$16="",0,IF(ISNUMBER(SEARCH(" "&amp;Task!$A$16&amp;" "," "&amp;LOWER(SUBSTITUTE(SUBSTITUTE(SUBSTITUTE(SUBSTITUTE(A155,"/"," "),"."," "),"\"," "),"_"," "))&amp;" ")),1,0))+IF(Task!$A$17="",0,IF(ISNUMBER(SEARCH(" "&amp;Task!$A$17&amp;" "," "&amp;LOWER(SUBSTITUTE(SUBSTITUTE(SUBSTITUTE(SUBSTITUTE(A155,"/"," "),"."," "),"\"," "),"_"," "))&amp;" ")),1,0))+IF(Task!$A$18="",0,IF(ISNUMBER(SEARCH(" "&amp;Task!$A$18&amp;" "," "&amp;LOWER(SUBSTITUTE(SUBSTITUTE(SUBSTITUTE(SUBSTITUTE(A155,"/"," "),"."," "),"\"," "),"_"," "))&amp;" ")),1,0))+IF(Task!$A$19="",0,IF(ISNUMBER(SEARCH(" "&amp;Task!$A$19&amp;" "," "&amp;LOWER(SUBSTITUTE(SUBSTITUTE(SUBSTITUTE(SUBSTITUTE(A155,"/"," "),"."," "),"\"," "),"_"," "))&amp;" ")),1,0)))</f>
        <v/>
      </c>
      <c r="I155" s="10">
        <f>IF(OR(E155=0,F155=0,Task!$B$21=0),"",F155/Task!$B$21+0.5*G155+0.25*H155)</f>
        <v/>
      </c>
      <c r="J155" s="5">
        <f>IF(I155="","",I155-ROW()/1000000)</f>
        <v/>
      </c>
      <c r="K155" s="9">
        <f>IF(J155="","",COUNTIF($J$5:$J$404,"&gt;"&amp;J155)+1)</f>
        <v/>
      </c>
    </row>
    <row r="156">
      <c r="A156" s="7" t="n"/>
      <c r="B156" s="7" t="n"/>
      <c r="C156" s="7" t="n"/>
      <c r="D156" s="7" t="n"/>
      <c r="E156" s="5">
        <f>IF(A156="",0,IF(COUNTA(Task!$B$5:$E$5)=0,1,IF(COUNTIF(Task!$B$5:$E$5,B156)&gt;0,1,0)))</f>
        <v/>
      </c>
      <c r="F156" s="9">
        <f>IF(E156=0,0,IF(Task!$A$8="",0,IF(ISNUMBER(SEARCH(" "&amp;Task!$A$8&amp;" "," "&amp;LOWER(D156&amp;" "&amp;C156&amp;" "&amp;LOWER(SUBSTITUTE(SUBSTITUTE(SUBSTITUTE(SUBSTITUTE(A156,"/"," "),"."," "),"\"," "),"_"," ")))&amp;" ")),1,0))+IF(Task!$A$9="",0,IF(ISNUMBER(SEARCH(" "&amp;Task!$A$9&amp;" "," "&amp;LOWER(D156&amp;" "&amp;C156&amp;" "&amp;LOWER(SUBSTITUTE(SUBSTITUTE(SUBSTITUTE(SUBSTITUTE(A156,"/"," "),"."," "),"\"," "),"_"," ")))&amp;" ")),1,0))+IF(Task!$A$10="",0,IF(ISNUMBER(SEARCH(" "&amp;Task!$A$10&amp;" "," "&amp;LOWER(D156&amp;" "&amp;C156&amp;" "&amp;LOWER(SUBSTITUTE(SUBSTITUTE(SUBSTITUTE(SUBSTITUTE(A156,"/"," "),"."," "),"\"," "),"_"," ")))&amp;" ")),1,0))+IF(Task!$A$11="",0,IF(ISNUMBER(SEARCH(" "&amp;Task!$A$11&amp;" "," "&amp;LOWER(D156&amp;" "&amp;C156&amp;" "&amp;LOWER(SUBSTITUTE(SUBSTITUTE(SUBSTITUTE(SUBSTITUTE(A156,"/"," "),"."," "),"\"," "),"_"," ")))&amp;" ")),1,0))+IF(Task!$A$12="",0,IF(ISNUMBER(SEARCH(" "&amp;Task!$A$12&amp;" "," "&amp;LOWER(D156&amp;" "&amp;C156&amp;" "&amp;LOWER(SUBSTITUTE(SUBSTITUTE(SUBSTITUTE(SUBSTITUTE(A156,"/"," "),"."," "),"\"," "),"_"," ")))&amp;" ")),1,0))+IF(Task!$A$13="",0,IF(ISNUMBER(SEARCH(" "&amp;Task!$A$13&amp;" "," "&amp;LOWER(D156&amp;" "&amp;C156&amp;" "&amp;LOWER(SUBSTITUTE(SUBSTITUTE(SUBSTITUTE(SUBSTITUTE(A156,"/"," "),"."," "),"\"," "),"_"," ")))&amp;" ")),1,0))+IF(Task!$A$14="",0,IF(ISNUMBER(SEARCH(" "&amp;Task!$A$14&amp;" "," "&amp;LOWER(D156&amp;" "&amp;C156&amp;" "&amp;LOWER(SUBSTITUTE(SUBSTITUTE(SUBSTITUTE(SUBSTITUTE(A156,"/"," "),"."," "),"\"," "),"_"," ")))&amp;" ")),1,0))+IF(Task!$A$15="",0,IF(ISNUMBER(SEARCH(" "&amp;Task!$A$15&amp;" "," "&amp;LOWER(D156&amp;" "&amp;C156&amp;" "&amp;LOWER(SUBSTITUTE(SUBSTITUTE(SUBSTITUTE(SUBSTITUTE(A156,"/"," "),"."," "),"\"," "),"_"," ")))&amp;" ")),1,0))+IF(Task!$A$16="",0,IF(ISNUMBER(SEARCH(" "&amp;Task!$A$16&amp;" "," "&amp;LOWER(D156&amp;" "&amp;C156&amp;" "&amp;LOWER(SUBSTITUTE(SUBSTITUTE(SUBSTITUTE(SUBSTITUTE(A156,"/"," "),"."," "),"\"," "),"_"," ")))&amp;" ")),1,0))+IF(Task!$A$17="",0,IF(ISNUMBER(SEARCH(" "&amp;Task!$A$17&amp;" "," "&amp;LOWER(D156&amp;" "&amp;C156&amp;" "&amp;LOWER(SUBSTITUTE(SUBSTITUTE(SUBSTITUTE(SUBSTITUTE(A156,"/"," "),"."," "),"\"," "),"_"," ")))&amp;" ")),1,0))+IF(Task!$A$18="",0,IF(ISNUMBER(SEARCH(" "&amp;Task!$A$18&amp;" "," "&amp;LOWER(D156&amp;" "&amp;C156&amp;" "&amp;LOWER(SUBSTITUTE(SUBSTITUTE(SUBSTITUTE(SUBSTITUTE(A156,"/"," "),"."," "),"\"," "),"_"," ")))&amp;" ")),1,0))+IF(Task!$A$19="",0,IF(ISNUMBER(SEARCH(" "&amp;Task!$A$19&amp;" "," "&amp;LOWER(D156&amp;" "&amp;C156&amp;" "&amp;LOWER(SUBSTITUTE(SUBSTITUTE(SUBSTITUTE(SUBSTITUTE(A156,"/"," "),"."," "),"\"," "),"_"," ")))&amp;" ")),1,0)))</f>
        <v/>
      </c>
      <c r="G156" s="9">
        <f>IF(E156=0,0,IF(Task!$A$8="",0,IF(ISNUMBER(SEARCH(" "&amp;Task!$A$8&amp;" "," "&amp;LOWER(C156)&amp;" ")),1,0))+IF(Task!$A$9="",0,IF(ISNUMBER(SEARCH(" "&amp;Task!$A$9&amp;" "," "&amp;LOWER(C156)&amp;" ")),1,0))+IF(Task!$A$10="",0,IF(ISNUMBER(SEARCH(" "&amp;Task!$A$10&amp;" "," "&amp;LOWER(C156)&amp;" ")),1,0))+IF(Task!$A$11="",0,IF(ISNUMBER(SEARCH(" "&amp;Task!$A$11&amp;" "," "&amp;LOWER(C156)&amp;" ")),1,0))+IF(Task!$A$12="",0,IF(ISNUMBER(SEARCH(" "&amp;Task!$A$12&amp;" "," "&amp;LOWER(C156)&amp;" ")),1,0))+IF(Task!$A$13="",0,IF(ISNUMBER(SEARCH(" "&amp;Task!$A$13&amp;" "," "&amp;LOWER(C156)&amp;" ")),1,0))+IF(Task!$A$14="",0,IF(ISNUMBER(SEARCH(" "&amp;Task!$A$14&amp;" "," "&amp;LOWER(C156)&amp;" ")),1,0))+IF(Task!$A$15="",0,IF(ISNUMBER(SEARCH(" "&amp;Task!$A$15&amp;" "," "&amp;LOWER(C156)&amp;" ")),1,0))+IF(Task!$A$16="",0,IF(ISNUMBER(SEARCH(" "&amp;Task!$A$16&amp;" "," "&amp;LOWER(C156)&amp;" ")),1,0))+IF(Task!$A$17="",0,IF(ISNUMBER(SEARCH(" "&amp;Task!$A$17&amp;" "," "&amp;LOWER(C156)&amp;" ")),1,0))+IF(Task!$A$18="",0,IF(ISNUMBER(SEARCH(" "&amp;Task!$A$18&amp;" "," "&amp;LOWER(C156)&amp;" ")),1,0))+IF(Task!$A$19="",0,IF(ISNUMBER(SEARCH(" "&amp;Task!$A$19&amp;" "," "&amp;LOWER(C156)&amp;" ")),1,0)))</f>
        <v/>
      </c>
      <c r="H156" s="9">
        <f>IF(E156=0,0,IF(Task!$A$8="",0,IF(ISNUMBER(SEARCH(" "&amp;Task!$A$8&amp;" "," "&amp;LOWER(SUBSTITUTE(SUBSTITUTE(SUBSTITUTE(SUBSTITUTE(A156,"/"," "),"."," "),"\"," "),"_"," "))&amp;" ")),1,0))+IF(Task!$A$9="",0,IF(ISNUMBER(SEARCH(" "&amp;Task!$A$9&amp;" "," "&amp;LOWER(SUBSTITUTE(SUBSTITUTE(SUBSTITUTE(SUBSTITUTE(A156,"/"," "),"."," "),"\"," "),"_"," "))&amp;" ")),1,0))+IF(Task!$A$10="",0,IF(ISNUMBER(SEARCH(" "&amp;Task!$A$10&amp;" "," "&amp;LOWER(SUBSTITUTE(SUBSTITUTE(SUBSTITUTE(SUBSTITUTE(A156,"/"," "),"."," "),"\"," "),"_"," "))&amp;" ")),1,0))+IF(Task!$A$11="",0,IF(ISNUMBER(SEARCH(" "&amp;Task!$A$11&amp;" "," "&amp;LOWER(SUBSTITUTE(SUBSTITUTE(SUBSTITUTE(SUBSTITUTE(A156,"/"," "),"."," "),"\"," "),"_"," "))&amp;" ")),1,0))+IF(Task!$A$12="",0,IF(ISNUMBER(SEARCH(" "&amp;Task!$A$12&amp;" "," "&amp;LOWER(SUBSTITUTE(SUBSTITUTE(SUBSTITUTE(SUBSTITUTE(A156,"/"," "),"."," "),"\"," "),"_"," "))&amp;" ")),1,0))+IF(Task!$A$13="",0,IF(ISNUMBER(SEARCH(" "&amp;Task!$A$13&amp;" "," "&amp;LOWER(SUBSTITUTE(SUBSTITUTE(SUBSTITUTE(SUBSTITUTE(A156,"/"," "),"."," "),"\"," "),"_"," "))&amp;" ")),1,0))+IF(Task!$A$14="",0,IF(ISNUMBER(SEARCH(" "&amp;Task!$A$14&amp;" "," "&amp;LOWER(SUBSTITUTE(SUBSTITUTE(SUBSTITUTE(SUBSTITUTE(A156,"/"," "),"."," "),"\"," "),"_"," "))&amp;" ")),1,0))+IF(Task!$A$15="",0,IF(ISNUMBER(SEARCH(" "&amp;Task!$A$15&amp;" "," "&amp;LOWER(SUBSTITUTE(SUBSTITUTE(SUBSTITUTE(SUBSTITUTE(A156,"/"," "),"."," "),"\"," "),"_"," "))&amp;" ")),1,0))+IF(Task!$A$16="",0,IF(ISNUMBER(SEARCH(" "&amp;Task!$A$16&amp;" "," "&amp;LOWER(SUBSTITUTE(SUBSTITUTE(SUBSTITUTE(SUBSTITUTE(A156,"/"," "),"."," "),"\"," "),"_"," "))&amp;" ")),1,0))+IF(Task!$A$17="",0,IF(ISNUMBER(SEARCH(" "&amp;Task!$A$17&amp;" "," "&amp;LOWER(SUBSTITUTE(SUBSTITUTE(SUBSTITUTE(SUBSTITUTE(A156,"/"," "),"."," "),"\"," "),"_"," "))&amp;" ")),1,0))+IF(Task!$A$18="",0,IF(ISNUMBER(SEARCH(" "&amp;Task!$A$18&amp;" "," "&amp;LOWER(SUBSTITUTE(SUBSTITUTE(SUBSTITUTE(SUBSTITUTE(A156,"/"," "),"."," "),"\"," "),"_"," "))&amp;" ")),1,0))+IF(Task!$A$19="",0,IF(ISNUMBER(SEARCH(" "&amp;Task!$A$19&amp;" "," "&amp;LOWER(SUBSTITUTE(SUBSTITUTE(SUBSTITUTE(SUBSTITUTE(A156,"/"," "),"."," "),"\"," "),"_"," "))&amp;" ")),1,0)))</f>
        <v/>
      </c>
      <c r="I156" s="10">
        <f>IF(OR(E156=0,F156=0,Task!$B$21=0),"",F156/Task!$B$21+0.5*G156+0.25*H156)</f>
        <v/>
      </c>
      <c r="J156" s="5">
        <f>IF(I156="","",I156-ROW()/1000000)</f>
        <v/>
      </c>
      <c r="K156" s="9">
        <f>IF(J156="","",COUNTIF($J$5:$J$404,"&gt;"&amp;J156)+1)</f>
        <v/>
      </c>
    </row>
    <row r="157">
      <c r="A157" s="7" t="n"/>
      <c r="B157" s="7" t="n"/>
      <c r="C157" s="7" t="n"/>
      <c r="D157" s="7" t="n"/>
      <c r="E157" s="5">
        <f>IF(A157="",0,IF(COUNTA(Task!$B$5:$E$5)=0,1,IF(COUNTIF(Task!$B$5:$E$5,B157)&gt;0,1,0)))</f>
        <v/>
      </c>
      <c r="F157" s="9">
        <f>IF(E157=0,0,IF(Task!$A$8="",0,IF(ISNUMBER(SEARCH(" "&amp;Task!$A$8&amp;" "," "&amp;LOWER(D157&amp;" "&amp;C157&amp;" "&amp;LOWER(SUBSTITUTE(SUBSTITUTE(SUBSTITUTE(SUBSTITUTE(A157,"/"," "),"."," "),"\"," "),"_"," ")))&amp;" ")),1,0))+IF(Task!$A$9="",0,IF(ISNUMBER(SEARCH(" "&amp;Task!$A$9&amp;" "," "&amp;LOWER(D157&amp;" "&amp;C157&amp;" "&amp;LOWER(SUBSTITUTE(SUBSTITUTE(SUBSTITUTE(SUBSTITUTE(A157,"/"," "),"."," "),"\"," "),"_"," ")))&amp;" ")),1,0))+IF(Task!$A$10="",0,IF(ISNUMBER(SEARCH(" "&amp;Task!$A$10&amp;" "," "&amp;LOWER(D157&amp;" "&amp;C157&amp;" "&amp;LOWER(SUBSTITUTE(SUBSTITUTE(SUBSTITUTE(SUBSTITUTE(A157,"/"," "),"."," "),"\"," "),"_"," ")))&amp;" ")),1,0))+IF(Task!$A$11="",0,IF(ISNUMBER(SEARCH(" "&amp;Task!$A$11&amp;" "," "&amp;LOWER(D157&amp;" "&amp;C157&amp;" "&amp;LOWER(SUBSTITUTE(SUBSTITUTE(SUBSTITUTE(SUBSTITUTE(A157,"/"," "),"."," "),"\"," "),"_"," ")))&amp;" ")),1,0))+IF(Task!$A$12="",0,IF(ISNUMBER(SEARCH(" "&amp;Task!$A$12&amp;" "," "&amp;LOWER(D157&amp;" "&amp;C157&amp;" "&amp;LOWER(SUBSTITUTE(SUBSTITUTE(SUBSTITUTE(SUBSTITUTE(A157,"/"," "),"."," "),"\"," "),"_"," ")))&amp;" ")),1,0))+IF(Task!$A$13="",0,IF(ISNUMBER(SEARCH(" "&amp;Task!$A$13&amp;" "," "&amp;LOWER(D157&amp;" "&amp;C157&amp;" "&amp;LOWER(SUBSTITUTE(SUBSTITUTE(SUBSTITUTE(SUBSTITUTE(A157,"/"," "),"."," "),"\"," "),"_"," ")))&amp;" ")),1,0))+IF(Task!$A$14="",0,IF(ISNUMBER(SEARCH(" "&amp;Task!$A$14&amp;" "," "&amp;LOWER(D157&amp;" "&amp;C157&amp;" "&amp;LOWER(SUBSTITUTE(SUBSTITUTE(SUBSTITUTE(SUBSTITUTE(A157,"/"," "),"."," "),"\"," "),"_"," ")))&amp;" ")),1,0))+IF(Task!$A$15="",0,IF(ISNUMBER(SEARCH(" "&amp;Task!$A$15&amp;" "," "&amp;LOWER(D157&amp;" "&amp;C157&amp;" "&amp;LOWER(SUBSTITUTE(SUBSTITUTE(SUBSTITUTE(SUBSTITUTE(A157,"/"," "),"."," "),"\"," "),"_"," ")))&amp;" ")),1,0))+IF(Task!$A$16="",0,IF(ISNUMBER(SEARCH(" "&amp;Task!$A$16&amp;" "," "&amp;LOWER(D157&amp;" "&amp;C157&amp;" "&amp;LOWER(SUBSTITUTE(SUBSTITUTE(SUBSTITUTE(SUBSTITUTE(A157,"/"," "),"."," "),"\"," "),"_"," ")))&amp;" ")),1,0))+IF(Task!$A$17="",0,IF(ISNUMBER(SEARCH(" "&amp;Task!$A$17&amp;" "," "&amp;LOWER(D157&amp;" "&amp;C157&amp;" "&amp;LOWER(SUBSTITUTE(SUBSTITUTE(SUBSTITUTE(SUBSTITUTE(A157,"/"," "),"."," "),"\"," "),"_"," ")))&amp;" ")),1,0))+IF(Task!$A$18="",0,IF(ISNUMBER(SEARCH(" "&amp;Task!$A$18&amp;" "," "&amp;LOWER(D157&amp;" "&amp;C157&amp;" "&amp;LOWER(SUBSTITUTE(SUBSTITUTE(SUBSTITUTE(SUBSTITUTE(A157,"/"," "),"."," "),"\"," "),"_"," ")))&amp;" ")),1,0))+IF(Task!$A$19="",0,IF(ISNUMBER(SEARCH(" "&amp;Task!$A$19&amp;" "," "&amp;LOWER(D157&amp;" "&amp;C157&amp;" "&amp;LOWER(SUBSTITUTE(SUBSTITUTE(SUBSTITUTE(SUBSTITUTE(A157,"/"," "),"."," "),"\"," "),"_"," ")))&amp;" ")),1,0)))</f>
        <v/>
      </c>
      <c r="G157" s="9">
        <f>IF(E157=0,0,IF(Task!$A$8="",0,IF(ISNUMBER(SEARCH(" "&amp;Task!$A$8&amp;" "," "&amp;LOWER(C157)&amp;" ")),1,0))+IF(Task!$A$9="",0,IF(ISNUMBER(SEARCH(" "&amp;Task!$A$9&amp;" "," "&amp;LOWER(C157)&amp;" ")),1,0))+IF(Task!$A$10="",0,IF(ISNUMBER(SEARCH(" "&amp;Task!$A$10&amp;" "," "&amp;LOWER(C157)&amp;" ")),1,0))+IF(Task!$A$11="",0,IF(ISNUMBER(SEARCH(" "&amp;Task!$A$11&amp;" "," "&amp;LOWER(C157)&amp;" ")),1,0))+IF(Task!$A$12="",0,IF(ISNUMBER(SEARCH(" "&amp;Task!$A$12&amp;" "," "&amp;LOWER(C157)&amp;" ")),1,0))+IF(Task!$A$13="",0,IF(ISNUMBER(SEARCH(" "&amp;Task!$A$13&amp;" "," "&amp;LOWER(C157)&amp;" ")),1,0))+IF(Task!$A$14="",0,IF(ISNUMBER(SEARCH(" "&amp;Task!$A$14&amp;" "," "&amp;LOWER(C157)&amp;" ")),1,0))+IF(Task!$A$15="",0,IF(ISNUMBER(SEARCH(" "&amp;Task!$A$15&amp;" "," "&amp;LOWER(C157)&amp;" ")),1,0))+IF(Task!$A$16="",0,IF(ISNUMBER(SEARCH(" "&amp;Task!$A$16&amp;" "," "&amp;LOWER(C157)&amp;" ")),1,0))+IF(Task!$A$17="",0,IF(ISNUMBER(SEARCH(" "&amp;Task!$A$17&amp;" "," "&amp;LOWER(C157)&amp;" ")),1,0))+IF(Task!$A$18="",0,IF(ISNUMBER(SEARCH(" "&amp;Task!$A$18&amp;" "," "&amp;LOWER(C157)&amp;" ")),1,0))+IF(Task!$A$19="",0,IF(ISNUMBER(SEARCH(" "&amp;Task!$A$19&amp;" "," "&amp;LOWER(C157)&amp;" ")),1,0)))</f>
        <v/>
      </c>
      <c r="H157" s="9">
        <f>IF(E157=0,0,IF(Task!$A$8="",0,IF(ISNUMBER(SEARCH(" "&amp;Task!$A$8&amp;" "," "&amp;LOWER(SUBSTITUTE(SUBSTITUTE(SUBSTITUTE(SUBSTITUTE(A157,"/"," "),"."," "),"\"," "),"_"," "))&amp;" ")),1,0))+IF(Task!$A$9="",0,IF(ISNUMBER(SEARCH(" "&amp;Task!$A$9&amp;" "," "&amp;LOWER(SUBSTITUTE(SUBSTITUTE(SUBSTITUTE(SUBSTITUTE(A157,"/"," "),"."," "),"\"," "),"_"," "))&amp;" ")),1,0))+IF(Task!$A$10="",0,IF(ISNUMBER(SEARCH(" "&amp;Task!$A$10&amp;" "," "&amp;LOWER(SUBSTITUTE(SUBSTITUTE(SUBSTITUTE(SUBSTITUTE(A157,"/"," "),"."," "),"\"," "),"_"," "))&amp;" ")),1,0))+IF(Task!$A$11="",0,IF(ISNUMBER(SEARCH(" "&amp;Task!$A$11&amp;" "," "&amp;LOWER(SUBSTITUTE(SUBSTITUTE(SUBSTITUTE(SUBSTITUTE(A157,"/"," "),"."," "),"\"," "),"_"," "))&amp;" ")),1,0))+IF(Task!$A$12="",0,IF(ISNUMBER(SEARCH(" "&amp;Task!$A$12&amp;" "," "&amp;LOWER(SUBSTITUTE(SUBSTITUTE(SUBSTITUTE(SUBSTITUTE(A157,"/"," "),"."," "),"\"," "),"_"," "))&amp;" ")),1,0))+IF(Task!$A$13="",0,IF(ISNUMBER(SEARCH(" "&amp;Task!$A$13&amp;" "," "&amp;LOWER(SUBSTITUTE(SUBSTITUTE(SUBSTITUTE(SUBSTITUTE(A157,"/"," "),"."," "),"\"," "),"_"," "))&amp;" ")),1,0))+IF(Task!$A$14="",0,IF(ISNUMBER(SEARCH(" "&amp;Task!$A$14&amp;" "," "&amp;LOWER(SUBSTITUTE(SUBSTITUTE(SUBSTITUTE(SUBSTITUTE(A157,"/"," "),"."," "),"\"," "),"_"," "))&amp;" ")),1,0))+IF(Task!$A$15="",0,IF(ISNUMBER(SEARCH(" "&amp;Task!$A$15&amp;" "," "&amp;LOWER(SUBSTITUTE(SUBSTITUTE(SUBSTITUTE(SUBSTITUTE(A157,"/"," "),"."," "),"\"," "),"_"," "))&amp;" ")),1,0))+IF(Task!$A$16="",0,IF(ISNUMBER(SEARCH(" "&amp;Task!$A$16&amp;" "," "&amp;LOWER(SUBSTITUTE(SUBSTITUTE(SUBSTITUTE(SUBSTITUTE(A157,"/"," "),"."," "),"\"," "),"_"," "))&amp;" ")),1,0))+IF(Task!$A$17="",0,IF(ISNUMBER(SEARCH(" "&amp;Task!$A$17&amp;" "," "&amp;LOWER(SUBSTITUTE(SUBSTITUTE(SUBSTITUTE(SUBSTITUTE(A157,"/"," "),"."," "),"\"," "),"_"," "))&amp;" ")),1,0))+IF(Task!$A$18="",0,IF(ISNUMBER(SEARCH(" "&amp;Task!$A$18&amp;" "," "&amp;LOWER(SUBSTITUTE(SUBSTITUTE(SUBSTITUTE(SUBSTITUTE(A157,"/"," "),"."," "),"\"," "),"_"," "))&amp;" ")),1,0))+IF(Task!$A$19="",0,IF(ISNUMBER(SEARCH(" "&amp;Task!$A$19&amp;" "," "&amp;LOWER(SUBSTITUTE(SUBSTITUTE(SUBSTITUTE(SUBSTITUTE(A157,"/"," "),"."," "),"\"," "),"_"," "))&amp;" ")),1,0)))</f>
        <v/>
      </c>
      <c r="I157" s="10">
        <f>IF(OR(E157=0,F157=0,Task!$B$21=0),"",F157/Task!$B$21+0.5*G157+0.25*H157)</f>
        <v/>
      </c>
      <c r="J157" s="5">
        <f>IF(I157="","",I157-ROW()/1000000)</f>
        <v/>
      </c>
      <c r="K157" s="9">
        <f>IF(J157="","",COUNTIF($J$5:$J$404,"&gt;"&amp;J157)+1)</f>
        <v/>
      </c>
    </row>
    <row r="158">
      <c r="A158" s="7" t="n"/>
      <c r="B158" s="7" t="n"/>
      <c r="C158" s="7" t="n"/>
      <c r="D158" s="7" t="n"/>
      <c r="E158" s="5">
        <f>IF(A158="",0,IF(COUNTA(Task!$B$5:$E$5)=0,1,IF(COUNTIF(Task!$B$5:$E$5,B158)&gt;0,1,0)))</f>
        <v/>
      </c>
      <c r="F158" s="9">
        <f>IF(E158=0,0,IF(Task!$A$8="",0,IF(ISNUMBER(SEARCH(" "&amp;Task!$A$8&amp;" "," "&amp;LOWER(D158&amp;" "&amp;C158&amp;" "&amp;LOWER(SUBSTITUTE(SUBSTITUTE(SUBSTITUTE(SUBSTITUTE(A158,"/"," "),"."," "),"\"," "),"_"," ")))&amp;" ")),1,0))+IF(Task!$A$9="",0,IF(ISNUMBER(SEARCH(" "&amp;Task!$A$9&amp;" "," "&amp;LOWER(D158&amp;" "&amp;C158&amp;" "&amp;LOWER(SUBSTITUTE(SUBSTITUTE(SUBSTITUTE(SUBSTITUTE(A158,"/"," "),"."," "),"\"," "),"_"," ")))&amp;" ")),1,0))+IF(Task!$A$10="",0,IF(ISNUMBER(SEARCH(" "&amp;Task!$A$10&amp;" "," "&amp;LOWER(D158&amp;" "&amp;C158&amp;" "&amp;LOWER(SUBSTITUTE(SUBSTITUTE(SUBSTITUTE(SUBSTITUTE(A158,"/"," "),"."," "),"\"," "),"_"," ")))&amp;" ")),1,0))+IF(Task!$A$11="",0,IF(ISNUMBER(SEARCH(" "&amp;Task!$A$11&amp;" "," "&amp;LOWER(D158&amp;" "&amp;C158&amp;" "&amp;LOWER(SUBSTITUTE(SUBSTITUTE(SUBSTITUTE(SUBSTITUTE(A158,"/"," "),"."," "),"\"," "),"_"," ")))&amp;" ")),1,0))+IF(Task!$A$12="",0,IF(ISNUMBER(SEARCH(" "&amp;Task!$A$12&amp;" "," "&amp;LOWER(D158&amp;" "&amp;C158&amp;" "&amp;LOWER(SUBSTITUTE(SUBSTITUTE(SUBSTITUTE(SUBSTITUTE(A158,"/"," "),"."," "),"\"," "),"_"," ")))&amp;" ")),1,0))+IF(Task!$A$13="",0,IF(ISNUMBER(SEARCH(" "&amp;Task!$A$13&amp;" "," "&amp;LOWER(D158&amp;" "&amp;C158&amp;" "&amp;LOWER(SUBSTITUTE(SUBSTITUTE(SUBSTITUTE(SUBSTITUTE(A158,"/"," "),"."," "),"\"," "),"_"," ")))&amp;" ")),1,0))+IF(Task!$A$14="",0,IF(ISNUMBER(SEARCH(" "&amp;Task!$A$14&amp;" "," "&amp;LOWER(D158&amp;" "&amp;C158&amp;" "&amp;LOWER(SUBSTITUTE(SUBSTITUTE(SUBSTITUTE(SUBSTITUTE(A158,"/"," "),"."," "),"\"," "),"_"," ")))&amp;" ")),1,0))+IF(Task!$A$15="",0,IF(ISNUMBER(SEARCH(" "&amp;Task!$A$15&amp;" "," "&amp;LOWER(D158&amp;" "&amp;C158&amp;" "&amp;LOWER(SUBSTITUTE(SUBSTITUTE(SUBSTITUTE(SUBSTITUTE(A158,"/"," "),"."," "),"\"," "),"_"," ")))&amp;" ")),1,0))+IF(Task!$A$16="",0,IF(ISNUMBER(SEARCH(" "&amp;Task!$A$16&amp;" "," "&amp;LOWER(D158&amp;" "&amp;C158&amp;" "&amp;LOWER(SUBSTITUTE(SUBSTITUTE(SUBSTITUTE(SUBSTITUTE(A158,"/"," "),"."," "),"\"," "),"_"," ")))&amp;" ")),1,0))+IF(Task!$A$17="",0,IF(ISNUMBER(SEARCH(" "&amp;Task!$A$17&amp;" "," "&amp;LOWER(D158&amp;" "&amp;C158&amp;" "&amp;LOWER(SUBSTITUTE(SUBSTITUTE(SUBSTITUTE(SUBSTITUTE(A158,"/"," "),"."," "),"\"," "),"_"," ")))&amp;" ")),1,0))+IF(Task!$A$18="",0,IF(ISNUMBER(SEARCH(" "&amp;Task!$A$18&amp;" "," "&amp;LOWER(D158&amp;" "&amp;C158&amp;" "&amp;LOWER(SUBSTITUTE(SUBSTITUTE(SUBSTITUTE(SUBSTITUTE(A158,"/"," "),"."," "),"\"," "),"_"," ")))&amp;" ")),1,0))+IF(Task!$A$19="",0,IF(ISNUMBER(SEARCH(" "&amp;Task!$A$19&amp;" "," "&amp;LOWER(D158&amp;" "&amp;C158&amp;" "&amp;LOWER(SUBSTITUTE(SUBSTITUTE(SUBSTITUTE(SUBSTITUTE(A158,"/"," "),"."," "),"\"," "),"_"," ")))&amp;" ")),1,0)))</f>
        <v/>
      </c>
      <c r="G158" s="9">
        <f>IF(E158=0,0,IF(Task!$A$8="",0,IF(ISNUMBER(SEARCH(" "&amp;Task!$A$8&amp;" "," "&amp;LOWER(C158)&amp;" ")),1,0))+IF(Task!$A$9="",0,IF(ISNUMBER(SEARCH(" "&amp;Task!$A$9&amp;" "," "&amp;LOWER(C158)&amp;" ")),1,0))+IF(Task!$A$10="",0,IF(ISNUMBER(SEARCH(" "&amp;Task!$A$10&amp;" "," "&amp;LOWER(C158)&amp;" ")),1,0))+IF(Task!$A$11="",0,IF(ISNUMBER(SEARCH(" "&amp;Task!$A$11&amp;" "," "&amp;LOWER(C158)&amp;" ")),1,0))+IF(Task!$A$12="",0,IF(ISNUMBER(SEARCH(" "&amp;Task!$A$12&amp;" "," "&amp;LOWER(C158)&amp;" ")),1,0))+IF(Task!$A$13="",0,IF(ISNUMBER(SEARCH(" "&amp;Task!$A$13&amp;" "," "&amp;LOWER(C158)&amp;" ")),1,0))+IF(Task!$A$14="",0,IF(ISNUMBER(SEARCH(" "&amp;Task!$A$14&amp;" "," "&amp;LOWER(C158)&amp;" ")),1,0))+IF(Task!$A$15="",0,IF(ISNUMBER(SEARCH(" "&amp;Task!$A$15&amp;" "," "&amp;LOWER(C158)&amp;" ")),1,0))+IF(Task!$A$16="",0,IF(ISNUMBER(SEARCH(" "&amp;Task!$A$16&amp;" "," "&amp;LOWER(C158)&amp;" ")),1,0))+IF(Task!$A$17="",0,IF(ISNUMBER(SEARCH(" "&amp;Task!$A$17&amp;" "," "&amp;LOWER(C158)&amp;" ")),1,0))+IF(Task!$A$18="",0,IF(ISNUMBER(SEARCH(" "&amp;Task!$A$18&amp;" "," "&amp;LOWER(C158)&amp;" ")),1,0))+IF(Task!$A$19="",0,IF(ISNUMBER(SEARCH(" "&amp;Task!$A$19&amp;" "," "&amp;LOWER(C158)&amp;" ")),1,0)))</f>
        <v/>
      </c>
      <c r="H158" s="9">
        <f>IF(E158=0,0,IF(Task!$A$8="",0,IF(ISNUMBER(SEARCH(" "&amp;Task!$A$8&amp;" "," "&amp;LOWER(SUBSTITUTE(SUBSTITUTE(SUBSTITUTE(SUBSTITUTE(A158,"/"," "),"."," "),"\"," "),"_"," "))&amp;" ")),1,0))+IF(Task!$A$9="",0,IF(ISNUMBER(SEARCH(" "&amp;Task!$A$9&amp;" "," "&amp;LOWER(SUBSTITUTE(SUBSTITUTE(SUBSTITUTE(SUBSTITUTE(A158,"/"," "),"."," "),"\"," "),"_"," "))&amp;" ")),1,0))+IF(Task!$A$10="",0,IF(ISNUMBER(SEARCH(" "&amp;Task!$A$10&amp;" "," "&amp;LOWER(SUBSTITUTE(SUBSTITUTE(SUBSTITUTE(SUBSTITUTE(A158,"/"," "),"."," "),"\"," "),"_"," "))&amp;" ")),1,0))+IF(Task!$A$11="",0,IF(ISNUMBER(SEARCH(" "&amp;Task!$A$11&amp;" "," "&amp;LOWER(SUBSTITUTE(SUBSTITUTE(SUBSTITUTE(SUBSTITUTE(A158,"/"," "),"."," "),"\"," "),"_"," "))&amp;" ")),1,0))+IF(Task!$A$12="",0,IF(ISNUMBER(SEARCH(" "&amp;Task!$A$12&amp;" "," "&amp;LOWER(SUBSTITUTE(SUBSTITUTE(SUBSTITUTE(SUBSTITUTE(A158,"/"," "),"."," "),"\"," "),"_"," "))&amp;" ")),1,0))+IF(Task!$A$13="",0,IF(ISNUMBER(SEARCH(" "&amp;Task!$A$13&amp;" "," "&amp;LOWER(SUBSTITUTE(SUBSTITUTE(SUBSTITUTE(SUBSTITUTE(A158,"/"," "),"."," "),"\"," "),"_"," "))&amp;" ")),1,0))+IF(Task!$A$14="",0,IF(ISNUMBER(SEARCH(" "&amp;Task!$A$14&amp;" "," "&amp;LOWER(SUBSTITUTE(SUBSTITUTE(SUBSTITUTE(SUBSTITUTE(A158,"/"," "),"."," "),"\"," "),"_"," "))&amp;" ")),1,0))+IF(Task!$A$15="",0,IF(ISNUMBER(SEARCH(" "&amp;Task!$A$15&amp;" "," "&amp;LOWER(SUBSTITUTE(SUBSTITUTE(SUBSTITUTE(SUBSTITUTE(A158,"/"," "),"."," "),"\"," "),"_"," "))&amp;" ")),1,0))+IF(Task!$A$16="",0,IF(ISNUMBER(SEARCH(" "&amp;Task!$A$16&amp;" "," "&amp;LOWER(SUBSTITUTE(SUBSTITUTE(SUBSTITUTE(SUBSTITUTE(A158,"/"," "),"."," "),"\"," "),"_"," "))&amp;" ")),1,0))+IF(Task!$A$17="",0,IF(ISNUMBER(SEARCH(" "&amp;Task!$A$17&amp;" "," "&amp;LOWER(SUBSTITUTE(SUBSTITUTE(SUBSTITUTE(SUBSTITUTE(A158,"/"," "),"."," "),"\"," "),"_"," "))&amp;" ")),1,0))+IF(Task!$A$18="",0,IF(ISNUMBER(SEARCH(" "&amp;Task!$A$18&amp;" "," "&amp;LOWER(SUBSTITUTE(SUBSTITUTE(SUBSTITUTE(SUBSTITUTE(A158,"/"," "),"."," "),"\"," "),"_"," "))&amp;" ")),1,0))+IF(Task!$A$19="",0,IF(ISNUMBER(SEARCH(" "&amp;Task!$A$19&amp;" "," "&amp;LOWER(SUBSTITUTE(SUBSTITUTE(SUBSTITUTE(SUBSTITUTE(A158,"/"," "),"."," "),"\"," "),"_"," "))&amp;" ")),1,0)))</f>
        <v/>
      </c>
      <c r="I158" s="10">
        <f>IF(OR(E158=0,F158=0,Task!$B$21=0),"",F158/Task!$B$21+0.5*G158+0.25*H158)</f>
        <v/>
      </c>
      <c r="J158" s="5">
        <f>IF(I158="","",I158-ROW()/1000000)</f>
        <v/>
      </c>
      <c r="K158" s="9">
        <f>IF(J158="","",COUNTIF($J$5:$J$404,"&gt;"&amp;J158)+1)</f>
        <v/>
      </c>
    </row>
    <row r="159">
      <c r="A159" s="7" t="n"/>
      <c r="B159" s="7" t="n"/>
      <c r="C159" s="7" t="n"/>
      <c r="D159" s="7" t="n"/>
      <c r="E159" s="5">
        <f>IF(A159="",0,IF(COUNTA(Task!$B$5:$E$5)=0,1,IF(COUNTIF(Task!$B$5:$E$5,B159)&gt;0,1,0)))</f>
        <v/>
      </c>
      <c r="F159" s="9">
        <f>IF(E159=0,0,IF(Task!$A$8="",0,IF(ISNUMBER(SEARCH(" "&amp;Task!$A$8&amp;" "," "&amp;LOWER(D159&amp;" "&amp;C159&amp;" "&amp;LOWER(SUBSTITUTE(SUBSTITUTE(SUBSTITUTE(SUBSTITUTE(A159,"/"," "),"."," "),"\"," "),"_"," ")))&amp;" ")),1,0))+IF(Task!$A$9="",0,IF(ISNUMBER(SEARCH(" "&amp;Task!$A$9&amp;" "," "&amp;LOWER(D159&amp;" "&amp;C159&amp;" "&amp;LOWER(SUBSTITUTE(SUBSTITUTE(SUBSTITUTE(SUBSTITUTE(A159,"/"," "),"."," "),"\"," "),"_"," ")))&amp;" ")),1,0))+IF(Task!$A$10="",0,IF(ISNUMBER(SEARCH(" "&amp;Task!$A$10&amp;" "," "&amp;LOWER(D159&amp;" "&amp;C159&amp;" "&amp;LOWER(SUBSTITUTE(SUBSTITUTE(SUBSTITUTE(SUBSTITUTE(A159,"/"," "),"."," "),"\"," "),"_"," ")))&amp;" ")),1,0))+IF(Task!$A$11="",0,IF(ISNUMBER(SEARCH(" "&amp;Task!$A$11&amp;" "," "&amp;LOWER(D159&amp;" "&amp;C159&amp;" "&amp;LOWER(SUBSTITUTE(SUBSTITUTE(SUBSTITUTE(SUBSTITUTE(A159,"/"," "),"."," "),"\"," "),"_"," ")))&amp;" ")),1,0))+IF(Task!$A$12="",0,IF(ISNUMBER(SEARCH(" "&amp;Task!$A$12&amp;" "," "&amp;LOWER(D159&amp;" "&amp;C159&amp;" "&amp;LOWER(SUBSTITUTE(SUBSTITUTE(SUBSTITUTE(SUBSTITUTE(A159,"/"," "),"."," "),"\"," "),"_"," ")))&amp;" ")),1,0))+IF(Task!$A$13="",0,IF(ISNUMBER(SEARCH(" "&amp;Task!$A$13&amp;" "," "&amp;LOWER(D159&amp;" "&amp;C159&amp;" "&amp;LOWER(SUBSTITUTE(SUBSTITUTE(SUBSTITUTE(SUBSTITUTE(A159,"/"," "),"."," "),"\"," "),"_"," ")))&amp;" ")),1,0))+IF(Task!$A$14="",0,IF(ISNUMBER(SEARCH(" "&amp;Task!$A$14&amp;" "," "&amp;LOWER(D159&amp;" "&amp;C159&amp;" "&amp;LOWER(SUBSTITUTE(SUBSTITUTE(SUBSTITUTE(SUBSTITUTE(A159,"/"," "),"."," "),"\"," "),"_"," ")))&amp;" ")),1,0))+IF(Task!$A$15="",0,IF(ISNUMBER(SEARCH(" "&amp;Task!$A$15&amp;" "," "&amp;LOWER(D159&amp;" "&amp;C159&amp;" "&amp;LOWER(SUBSTITUTE(SUBSTITUTE(SUBSTITUTE(SUBSTITUTE(A159,"/"," "),"."," "),"\"," "),"_"," ")))&amp;" ")),1,0))+IF(Task!$A$16="",0,IF(ISNUMBER(SEARCH(" "&amp;Task!$A$16&amp;" "," "&amp;LOWER(D159&amp;" "&amp;C159&amp;" "&amp;LOWER(SUBSTITUTE(SUBSTITUTE(SUBSTITUTE(SUBSTITUTE(A159,"/"," "),"."," "),"\"," "),"_"," ")))&amp;" ")),1,0))+IF(Task!$A$17="",0,IF(ISNUMBER(SEARCH(" "&amp;Task!$A$17&amp;" "," "&amp;LOWER(D159&amp;" "&amp;C159&amp;" "&amp;LOWER(SUBSTITUTE(SUBSTITUTE(SUBSTITUTE(SUBSTITUTE(A159,"/"," "),"."," "),"\"," "),"_"," ")))&amp;" ")),1,0))+IF(Task!$A$18="",0,IF(ISNUMBER(SEARCH(" "&amp;Task!$A$18&amp;" "," "&amp;LOWER(D159&amp;" "&amp;C159&amp;" "&amp;LOWER(SUBSTITUTE(SUBSTITUTE(SUBSTITUTE(SUBSTITUTE(A159,"/"," "),"."," "),"\"," "),"_"," ")))&amp;" ")),1,0))+IF(Task!$A$19="",0,IF(ISNUMBER(SEARCH(" "&amp;Task!$A$19&amp;" "," "&amp;LOWER(D159&amp;" "&amp;C159&amp;" "&amp;LOWER(SUBSTITUTE(SUBSTITUTE(SUBSTITUTE(SUBSTITUTE(A159,"/"," "),"."," "),"\"," "),"_"," ")))&amp;" ")),1,0)))</f>
        <v/>
      </c>
      <c r="G159" s="9">
        <f>IF(E159=0,0,IF(Task!$A$8="",0,IF(ISNUMBER(SEARCH(" "&amp;Task!$A$8&amp;" "," "&amp;LOWER(C159)&amp;" ")),1,0))+IF(Task!$A$9="",0,IF(ISNUMBER(SEARCH(" "&amp;Task!$A$9&amp;" "," "&amp;LOWER(C159)&amp;" ")),1,0))+IF(Task!$A$10="",0,IF(ISNUMBER(SEARCH(" "&amp;Task!$A$10&amp;" "," "&amp;LOWER(C159)&amp;" ")),1,0))+IF(Task!$A$11="",0,IF(ISNUMBER(SEARCH(" "&amp;Task!$A$11&amp;" "," "&amp;LOWER(C159)&amp;" ")),1,0))+IF(Task!$A$12="",0,IF(ISNUMBER(SEARCH(" "&amp;Task!$A$12&amp;" "," "&amp;LOWER(C159)&amp;" ")),1,0))+IF(Task!$A$13="",0,IF(ISNUMBER(SEARCH(" "&amp;Task!$A$13&amp;" "," "&amp;LOWER(C159)&amp;" ")),1,0))+IF(Task!$A$14="",0,IF(ISNUMBER(SEARCH(" "&amp;Task!$A$14&amp;" "," "&amp;LOWER(C159)&amp;" ")),1,0))+IF(Task!$A$15="",0,IF(ISNUMBER(SEARCH(" "&amp;Task!$A$15&amp;" "," "&amp;LOWER(C159)&amp;" ")),1,0))+IF(Task!$A$16="",0,IF(ISNUMBER(SEARCH(" "&amp;Task!$A$16&amp;" "," "&amp;LOWER(C159)&amp;" ")),1,0))+IF(Task!$A$17="",0,IF(ISNUMBER(SEARCH(" "&amp;Task!$A$17&amp;" "," "&amp;LOWER(C159)&amp;" ")),1,0))+IF(Task!$A$18="",0,IF(ISNUMBER(SEARCH(" "&amp;Task!$A$18&amp;" "," "&amp;LOWER(C159)&amp;" ")),1,0))+IF(Task!$A$19="",0,IF(ISNUMBER(SEARCH(" "&amp;Task!$A$19&amp;" "," "&amp;LOWER(C159)&amp;" ")),1,0)))</f>
        <v/>
      </c>
      <c r="H159" s="9">
        <f>IF(E159=0,0,IF(Task!$A$8="",0,IF(ISNUMBER(SEARCH(" "&amp;Task!$A$8&amp;" "," "&amp;LOWER(SUBSTITUTE(SUBSTITUTE(SUBSTITUTE(SUBSTITUTE(A159,"/"," "),"."," "),"\"," "),"_"," "))&amp;" ")),1,0))+IF(Task!$A$9="",0,IF(ISNUMBER(SEARCH(" "&amp;Task!$A$9&amp;" "," "&amp;LOWER(SUBSTITUTE(SUBSTITUTE(SUBSTITUTE(SUBSTITUTE(A159,"/"," "),"."," "),"\"," "),"_"," "))&amp;" ")),1,0))+IF(Task!$A$10="",0,IF(ISNUMBER(SEARCH(" "&amp;Task!$A$10&amp;" "," "&amp;LOWER(SUBSTITUTE(SUBSTITUTE(SUBSTITUTE(SUBSTITUTE(A159,"/"," "),"."," "),"\"," "),"_"," "))&amp;" ")),1,0))+IF(Task!$A$11="",0,IF(ISNUMBER(SEARCH(" "&amp;Task!$A$11&amp;" "," "&amp;LOWER(SUBSTITUTE(SUBSTITUTE(SUBSTITUTE(SUBSTITUTE(A159,"/"," "),"."," "),"\"," "),"_"," "))&amp;" ")),1,0))+IF(Task!$A$12="",0,IF(ISNUMBER(SEARCH(" "&amp;Task!$A$12&amp;" "," "&amp;LOWER(SUBSTITUTE(SUBSTITUTE(SUBSTITUTE(SUBSTITUTE(A159,"/"," "),"."," "),"\"," "),"_"," "))&amp;" ")),1,0))+IF(Task!$A$13="",0,IF(ISNUMBER(SEARCH(" "&amp;Task!$A$13&amp;" "," "&amp;LOWER(SUBSTITUTE(SUBSTITUTE(SUBSTITUTE(SUBSTITUTE(A159,"/"," "),"."," "),"\"," "),"_"," "))&amp;" ")),1,0))+IF(Task!$A$14="",0,IF(ISNUMBER(SEARCH(" "&amp;Task!$A$14&amp;" "," "&amp;LOWER(SUBSTITUTE(SUBSTITUTE(SUBSTITUTE(SUBSTITUTE(A159,"/"," "),"."," "),"\"," "),"_"," "))&amp;" ")),1,0))+IF(Task!$A$15="",0,IF(ISNUMBER(SEARCH(" "&amp;Task!$A$15&amp;" "," "&amp;LOWER(SUBSTITUTE(SUBSTITUTE(SUBSTITUTE(SUBSTITUTE(A159,"/"," "),"."," "),"\"," "),"_"," "))&amp;" ")),1,0))+IF(Task!$A$16="",0,IF(ISNUMBER(SEARCH(" "&amp;Task!$A$16&amp;" "," "&amp;LOWER(SUBSTITUTE(SUBSTITUTE(SUBSTITUTE(SUBSTITUTE(A159,"/"," "),"."," "),"\"," "),"_"," "))&amp;" ")),1,0))+IF(Task!$A$17="",0,IF(ISNUMBER(SEARCH(" "&amp;Task!$A$17&amp;" "," "&amp;LOWER(SUBSTITUTE(SUBSTITUTE(SUBSTITUTE(SUBSTITUTE(A159,"/"," "),"."," "),"\"," "),"_"," "))&amp;" ")),1,0))+IF(Task!$A$18="",0,IF(ISNUMBER(SEARCH(" "&amp;Task!$A$18&amp;" "," "&amp;LOWER(SUBSTITUTE(SUBSTITUTE(SUBSTITUTE(SUBSTITUTE(A159,"/"," "),"."," "),"\"," "),"_"," "))&amp;" ")),1,0))+IF(Task!$A$19="",0,IF(ISNUMBER(SEARCH(" "&amp;Task!$A$19&amp;" "," "&amp;LOWER(SUBSTITUTE(SUBSTITUTE(SUBSTITUTE(SUBSTITUTE(A159,"/"," "),"."," "),"\"," "),"_"," "))&amp;" ")),1,0)))</f>
        <v/>
      </c>
      <c r="I159" s="10">
        <f>IF(OR(E159=0,F159=0,Task!$B$21=0),"",F159/Task!$B$21+0.5*G159+0.25*H159)</f>
        <v/>
      </c>
      <c r="J159" s="5">
        <f>IF(I159="","",I159-ROW()/1000000)</f>
        <v/>
      </c>
      <c r="K159" s="9">
        <f>IF(J159="","",COUNTIF($J$5:$J$404,"&gt;"&amp;J159)+1)</f>
        <v/>
      </c>
    </row>
    <row r="160">
      <c r="A160" s="7" t="n"/>
      <c r="B160" s="7" t="n"/>
      <c r="C160" s="7" t="n"/>
      <c r="D160" s="7" t="n"/>
      <c r="E160" s="5">
        <f>IF(A160="",0,IF(COUNTA(Task!$B$5:$E$5)=0,1,IF(COUNTIF(Task!$B$5:$E$5,B160)&gt;0,1,0)))</f>
        <v/>
      </c>
      <c r="F160" s="9">
        <f>IF(E160=0,0,IF(Task!$A$8="",0,IF(ISNUMBER(SEARCH(" "&amp;Task!$A$8&amp;" "," "&amp;LOWER(D160&amp;" "&amp;C160&amp;" "&amp;LOWER(SUBSTITUTE(SUBSTITUTE(SUBSTITUTE(SUBSTITUTE(A160,"/"," "),"."," "),"\"," "),"_"," ")))&amp;" ")),1,0))+IF(Task!$A$9="",0,IF(ISNUMBER(SEARCH(" "&amp;Task!$A$9&amp;" "," "&amp;LOWER(D160&amp;" "&amp;C160&amp;" "&amp;LOWER(SUBSTITUTE(SUBSTITUTE(SUBSTITUTE(SUBSTITUTE(A160,"/"," "),"."," "),"\"," "),"_"," ")))&amp;" ")),1,0))+IF(Task!$A$10="",0,IF(ISNUMBER(SEARCH(" "&amp;Task!$A$10&amp;" "," "&amp;LOWER(D160&amp;" "&amp;C160&amp;" "&amp;LOWER(SUBSTITUTE(SUBSTITUTE(SUBSTITUTE(SUBSTITUTE(A160,"/"," "),"."," "),"\"," "),"_"," ")))&amp;" ")),1,0))+IF(Task!$A$11="",0,IF(ISNUMBER(SEARCH(" "&amp;Task!$A$11&amp;" "," "&amp;LOWER(D160&amp;" "&amp;C160&amp;" "&amp;LOWER(SUBSTITUTE(SUBSTITUTE(SUBSTITUTE(SUBSTITUTE(A160,"/"," "),"."," "),"\"," "),"_"," ")))&amp;" ")),1,0))+IF(Task!$A$12="",0,IF(ISNUMBER(SEARCH(" "&amp;Task!$A$12&amp;" "," "&amp;LOWER(D160&amp;" "&amp;C160&amp;" "&amp;LOWER(SUBSTITUTE(SUBSTITUTE(SUBSTITUTE(SUBSTITUTE(A160,"/"," "),"."," "),"\"," "),"_"," ")))&amp;" ")),1,0))+IF(Task!$A$13="",0,IF(ISNUMBER(SEARCH(" "&amp;Task!$A$13&amp;" "," "&amp;LOWER(D160&amp;" "&amp;C160&amp;" "&amp;LOWER(SUBSTITUTE(SUBSTITUTE(SUBSTITUTE(SUBSTITUTE(A160,"/"," "),"."," "),"\"," "),"_"," ")))&amp;" ")),1,0))+IF(Task!$A$14="",0,IF(ISNUMBER(SEARCH(" "&amp;Task!$A$14&amp;" "," "&amp;LOWER(D160&amp;" "&amp;C160&amp;" "&amp;LOWER(SUBSTITUTE(SUBSTITUTE(SUBSTITUTE(SUBSTITUTE(A160,"/"," "),"."," "),"\"," "),"_"," ")))&amp;" ")),1,0))+IF(Task!$A$15="",0,IF(ISNUMBER(SEARCH(" "&amp;Task!$A$15&amp;" "," "&amp;LOWER(D160&amp;" "&amp;C160&amp;" "&amp;LOWER(SUBSTITUTE(SUBSTITUTE(SUBSTITUTE(SUBSTITUTE(A160,"/"," "),"."," "),"\"," "),"_"," ")))&amp;" ")),1,0))+IF(Task!$A$16="",0,IF(ISNUMBER(SEARCH(" "&amp;Task!$A$16&amp;" "," "&amp;LOWER(D160&amp;" "&amp;C160&amp;" "&amp;LOWER(SUBSTITUTE(SUBSTITUTE(SUBSTITUTE(SUBSTITUTE(A160,"/"," "),"."," "),"\"," "),"_"," ")))&amp;" ")),1,0))+IF(Task!$A$17="",0,IF(ISNUMBER(SEARCH(" "&amp;Task!$A$17&amp;" "," "&amp;LOWER(D160&amp;" "&amp;C160&amp;" "&amp;LOWER(SUBSTITUTE(SUBSTITUTE(SUBSTITUTE(SUBSTITUTE(A160,"/"," "),"."," "),"\"," "),"_"," ")))&amp;" ")),1,0))+IF(Task!$A$18="",0,IF(ISNUMBER(SEARCH(" "&amp;Task!$A$18&amp;" "," "&amp;LOWER(D160&amp;" "&amp;C160&amp;" "&amp;LOWER(SUBSTITUTE(SUBSTITUTE(SUBSTITUTE(SUBSTITUTE(A160,"/"," "),"."," "),"\"," "),"_"," ")))&amp;" ")),1,0))+IF(Task!$A$19="",0,IF(ISNUMBER(SEARCH(" "&amp;Task!$A$19&amp;" "," "&amp;LOWER(D160&amp;" "&amp;C160&amp;" "&amp;LOWER(SUBSTITUTE(SUBSTITUTE(SUBSTITUTE(SUBSTITUTE(A160,"/"," "),"."," "),"\"," "),"_"," ")))&amp;" ")),1,0)))</f>
        <v/>
      </c>
      <c r="G160" s="9">
        <f>IF(E160=0,0,IF(Task!$A$8="",0,IF(ISNUMBER(SEARCH(" "&amp;Task!$A$8&amp;" "," "&amp;LOWER(C160)&amp;" ")),1,0))+IF(Task!$A$9="",0,IF(ISNUMBER(SEARCH(" "&amp;Task!$A$9&amp;" "," "&amp;LOWER(C160)&amp;" ")),1,0))+IF(Task!$A$10="",0,IF(ISNUMBER(SEARCH(" "&amp;Task!$A$10&amp;" "," "&amp;LOWER(C160)&amp;" ")),1,0))+IF(Task!$A$11="",0,IF(ISNUMBER(SEARCH(" "&amp;Task!$A$11&amp;" "," "&amp;LOWER(C160)&amp;" ")),1,0))+IF(Task!$A$12="",0,IF(ISNUMBER(SEARCH(" "&amp;Task!$A$12&amp;" "," "&amp;LOWER(C160)&amp;" ")),1,0))+IF(Task!$A$13="",0,IF(ISNUMBER(SEARCH(" "&amp;Task!$A$13&amp;" "," "&amp;LOWER(C160)&amp;" ")),1,0))+IF(Task!$A$14="",0,IF(ISNUMBER(SEARCH(" "&amp;Task!$A$14&amp;" "," "&amp;LOWER(C160)&amp;" ")),1,0))+IF(Task!$A$15="",0,IF(ISNUMBER(SEARCH(" "&amp;Task!$A$15&amp;" "," "&amp;LOWER(C160)&amp;" ")),1,0))+IF(Task!$A$16="",0,IF(ISNUMBER(SEARCH(" "&amp;Task!$A$16&amp;" "," "&amp;LOWER(C160)&amp;" ")),1,0))+IF(Task!$A$17="",0,IF(ISNUMBER(SEARCH(" "&amp;Task!$A$17&amp;" "," "&amp;LOWER(C160)&amp;" ")),1,0))+IF(Task!$A$18="",0,IF(ISNUMBER(SEARCH(" "&amp;Task!$A$18&amp;" "," "&amp;LOWER(C160)&amp;" ")),1,0))+IF(Task!$A$19="",0,IF(ISNUMBER(SEARCH(" "&amp;Task!$A$19&amp;" "," "&amp;LOWER(C160)&amp;" ")),1,0)))</f>
        <v/>
      </c>
      <c r="H160" s="9">
        <f>IF(E160=0,0,IF(Task!$A$8="",0,IF(ISNUMBER(SEARCH(" "&amp;Task!$A$8&amp;" "," "&amp;LOWER(SUBSTITUTE(SUBSTITUTE(SUBSTITUTE(SUBSTITUTE(A160,"/"," "),"."," "),"\"," "),"_"," "))&amp;" ")),1,0))+IF(Task!$A$9="",0,IF(ISNUMBER(SEARCH(" "&amp;Task!$A$9&amp;" "," "&amp;LOWER(SUBSTITUTE(SUBSTITUTE(SUBSTITUTE(SUBSTITUTE(A160,"/"," "),"."," "),"\"," "),"_"," "))&amp;" ")),1,0))+IF(Task!$A$10="",0,IF(ISNUMBER(SEARCH(" "&amp;Task!$A$10&amp;" "," "&amp;LOWER(SUBSTITUTE(SUBSTITUTE(SUBSTITUTE(SUBSTITUTE(A160,"/"," "),"."," "),"\"," "),"_"," "))&amp;" ")),1,0))+IF(Task!$A$11="",0,IF(ISNUMBER(SEARCH(" "&amp;Task!$A$11&amp;" "," "&amp;LOWER(SUBSTITUTE(SUBSTITUTE(SUBSTITUTE(SUBSTITUTE(A160,"/"," "),"."," "),"\"," "),"_"," "))&amp;" ")),1,0))+IF(Task!$A$12="",0,IF(ISNUMBER(SEARCH(" "&amp;Task!$A$12&amp;" "," "&amp;LOWER(SUBSTITUTE(SUBSTITUTE(SUBSTITUTE(SUBSTITUTE(A160,"/"," "),"."," "),"\"," "),"_"," "))&amp;" ")),1,0))+IF(Task!$A$13="",0,IF(ISNUMBER(SEARCH(" "&amp;Task!$A$13&amp;" "," "&amp;LOWER(SUBSTITUTE(SUBSTITUTE(SUBSTITUTE(SUBSTITUTE(A160,"/"," "),"."," "),"\"," "),"_"," "))&amp;" ")),1,0))+IF(Task!$A$14="",0,IF(ISNUMBER(SEARCH(" "&amp;Task!$A$14&amp;" "," "&amp;LOWER(SUBSTITUTE(SUBSTITUTE(SUBSTITUTE(SUBSTITUTE(A160,"/"," "),"."," "),"\"," "),"_"," "))&amp;" ")),1,0))+IF(Task!$A$15="",0,IF(ISNUMBER(SEARCH(" "&amp;Task!$A$15&amp;" "," "&amp;LOWER(SUBSTITUTE(SUBSTITUTE(SUBSTITUTE(SUBSTITUTE(A160,"/"," "),"."," "),"\"," "),"_"," "))&amp;" ")),1,0))+IF(Task!$A$16="",0,IF(ISNUMBER(SEARCH(" "&amp;Task!$A$16&amp;" "," "&amp;LOWER(SUBSTITUTE(SUBSTITUTE(SUBSTITUTE(SUBSTITUTE(A160,"/"," "),"."," "),"\"," "),"_"," "))&amp;" ")),1,0))+IF(Task!$A$17="",0,IF(ISNUMBER(SEARCH(" "&amp;Task!$A$17&amp;" "," "&amp;LOWER(SUBSTITUTE(SUBSTITUTE(SUBSTITUTE(SUBSTITUTE(A160,"/"," "),"."," "),"\"," "),"_"," "))&amp;" ")),1,0))+IF(Task!$A$18="",0,IF(ISNUMBER(SEARCH(" "&amp;Task!$A$18&amp;" "," "&amp;LOWER(SUBSTITUTE(SUBSTITUTE(SUBSTITUTE(SUBSTITUTE(A160,"/"," "),"."," "),"\"," "),"_"," "))&amp;" ")),1,0))+IF(Task!$A$19="",0,IF(ISNUMBER(SEARCH(" "&amp;Task!$A$19&amp;" "," "&amp;LOWER(SUBSTITUTE(SUBSTITUTE(SUBSTITUTE(SUBSTITUTE(A160,"/"," "),"."," "),"\"," "),"_"," "))&amp;" ")),1,0)))</f>
        <v/>
      </c>
      <c r="I160" s="10">
        <f>IF(OR(E160=0,F160=0,Task!$B$21=0),"",F160/Task!$B$21+0.5*G160+0.25*H160)</f>
        <v/>
      </c>
      <c r="J160" s="5">
        <f>IF(I160="","",I160-ROW()/1000000)</f>
        <v/>
      </c>
      <c r="K160" s="9">
        <f>IF(J160="","",COUNTIF($J$5:$J$404,"&gt;"&amp;J160)+1)</f>
        <v/>
      </c>
    </row>
    <row r="161">
      <c r="A161" s="7" t="n"/>
      <c r="B161" s="7" t="n"/>
      <c r="C161" s="7" t="n"/>
      <c r="D161" s="7" t="n"/>
      <c r="E161" s="5">
        <f>IF(A161="",0,IF(COUNTA(Task!$B$5:$E$5)=0,1,IF(COUNTIF(Task!$B$5:$E$5,B161)&gt;0,1,0)))</f>
        <v/>
      </c>
      <c r="F161" s="9">
        <f>IF(E161=0,0,IF(Task!$A$8="",0,IF(ISNUMBER(SEARCH(" "&amp;Task!$A$8&amp;" "," "&amp;LOWER(D161&amp;" "&amp;C161&amp;" "&amp;LOWER(SUBSTITUTE(SUBSTITUTE(SUBSTITUTE(SUBSTITUTE(A161,"/"," "),"."," "),"\"," "),"_"," ")))&amp;" ")),1,0))+IF(Task!$A$9="",0,IF(ISNUMBER(SEARCH(" "&amp;Task!$A$9&amp;" "," "&amp;LOWER(D161&amp;" "&amp;C161&amp;" "&amp;LOWER(SUBSTITUTE(SUBSTITUTE(SUBSTITUTE(SUBSTITUTE(A161,"/"," "),"."," "),"\"," "),"_"," ")))&amp;" ")),1,0))+IF(Task!$A$10="",0,IF(ISNUMBER(SEARCH(" "&amp;Task!$A$10&amp;" "," "&amp;LOWER(D161&amp;" "&amp;C161&amp;" "&amp;LOWER(SUBSTITUTE(SUBSTITUTE(SUBSTITUTE(SUBSTITUTE(A161,"/"," "),"."," "),"\"," "),"_"," ")))&amp;" ")),1,0))+IF(Task!$A$11="",0,IF(ISNUMBER(SEARCH(" "&amp;Task!$A$11&amp;" "," "&amp;LOWER(D161&amp;" "&amp;C161&amp;" "&amp;LOWER(SUBSTITUTE(SUBSTITUTE(SUBSTITUTE(SUBSTITUTE(A161,"/"," "),"."," "),"\"," "),"_"," ")))&amp;" ")),1,0))+IF(Task!$A$12="",0,IF(ISNUMBER(SEARCH(" "&amp;Task!$A$12&amp;" "," "&amp;LOWER(D161&amp;" "&amp;C161&amp;" "&amp;LOWER(SUBSTITUTE(SUBSTITUTE(SUBSTITUTE(SUBSTITUTE(A161,"/"," "),"."," "),"\"," "),"_"," ")))&amp;" ")),1,0))+IF(Task!$A$13="",0,IF(ISNUMBER(SEARCH(" "&amp;Task!$A$13&amp;" "," "&amp;LOWER(D161&amp;" "&amp;C161&amp;" "&amp;LOWER(SUBSTITUTE(SUBSTITUTE(SUBSTITUTE(SUBSTITUTE(A161,"/"," "),"."," "),"\"," "),"_"," ")))&amp;" ")),1,0))+IF(Task!$A$14="",0,IF(ISNUMBER(SEARCH(" "&amp;Task!$A$14&amp;" "," "&amp;LOWER(D161&amp;" "&amp;C161&amp;" "&amp;LOWER(SUBSTITUTE(SUBSTITUTE(SUBSTITUTE(SUBSTITUTE(A161,"/"," "),"."," "),"\"," "),"_"," ")))&amp;" ")),1,0))+IF(Task!$A$15="",0,IF(ISNUMBER(SEARCH(" "&amp;Task!$A$15&amp;" "," "&amp;LOWER(D161&amp;" "&amp;C161&amp;" "&amp;LOWER(SUBSTITUTE(SUBSTITUTE(SUBSTITUTE(SUBSTITUTE(A161,"/"," "),"."," "),"\"," "),"_"," ")))&amp;" ")),1,0))+IF(Task!$A$16="",0,IF(ISNUMBER(SEARCH(" "&amp;Task!$A$16&amp;" "," "&amp;LOWER(D161&amp;" "&amp;C161&amp;" "&amp;LOWER(SUBSTITUTE(SUBSTITUTE(SUBSTITUTE(SUBSTITUTE(A161,"/"," "),"."," "),"\"," "),"_"," ")))&amp;" ")),1,0))+IF(Task!$A$17="",0,IF(ISNUMBER(SEARCH(" "&amp;Task!$A$17&amp;" "," "&amp;LOWER(D161&amp;" "&amp;C161&amp;" "&amp;LOWER(SUBSTITUTE(SUBSTITUTE(SUBSTITUTE(SUBSTITUTE(A161,"/"," "),"."," "),"\"," "),"_"," ")))&amp;" ")),1,0))+IF(Task!$A$18="",0,IF(ISNUMBER(SEARCH(" "&amp;Task!$A$18&amp;" "," "&amp;LOWER(D161&amp;" "&amp;C161&amp;" "&amp;LOWER(SUBSTITUTE(SUBSTITUTE(SUBSTITUTE(SUBSTITUTE(A161,"/"," "),"."," "),"\"," "),"_"," ")))&amp;" ")),1,0))+IF(Task!$A$19="",0,IF(ISNUMBER(SEARCH(" "&amp;Task!$A$19&amp;" "," "&amp;LOWER(D161&amp;" "&amp;C161&amp;" "&amp;LOWER(SUBSTITUTE(SUBSTITUTE(SUBSTITUTE(SUBSTITUTE(A161,"/"," "),"."," "),"\"," "),"_"," ")))&amp;" ")),1,0)))</f>
        <v/>
      </c>
      <c r="G161" s="9">
        <f>IF(E161=0,0,IF(Task!$A$8="",0,IF(ISNUMBER(SEARCH(" "&amp;Task!$A$8&amp;" "," "&amp;LOWER(C161)&amp;" ")),1,0))+IF(Task!$A$9="",0,IF(ISNUMBER(SEARCH(" "&amp;Task!$A$9&amp;" "," "&amp;LOWER(C161)&amp;" ")),1,0))+IF(Task!$A$10="",0,IF(ISNUMBER(SEARCH(" "&amp;Task!$A$10&amp;" "," "&amp;LOWER(C161)&amp;" ")),1,0))+IF(Task!$A$11="",0,IF(ISNUMBER(SEARCH(" "&amp;Task!$A$11&amp;" "," "&amp;LOWER(C161)&amp;" ")),1,0))+IF(Task!$A$12="",0,IF(ISNUMBER(SEARCH(" "&amp;Task!$A$12&amp;" "," "&amp;LOWER(C161)&amp;" ")),1,0))+IF(Task!$A$13="",0,IF(ISNUMBER(SEARCH(" "&amp;Task!$A$13&amp;" "," "&amp;LOWER(C161)&amp;" ")),1,0))+IF(Task!$A$14="",0,IF(ISNUMBER(SEARCH(" "&amp;Task!$A$14&amp;" "," "&amp;LOWER(C161)&amp;" ")),1,0))+IF(Task!$A$15="",0,IF(ISNUMBER(SEARCH(" "&amp;Task!$A$15&amp;" "," "&amp;LOWER(C161)&amp;" ")),1,0))+IF(Task!$A$16="",0,IF(ISNUMBER(SEARCH(" "&amp;Task!$A$16&amp;" "," "&amp;LOWER(C161)&amp;" ")),1,0))+IF(Task!$A$17="",0,IF(ISNUMBER(SEARCH(" "&amp;Task!$A$17&amp;" "," "&amp;LOWER(C161)&amp;" ")),1,0))+IF(Task!$A$18="",0,IF(ISNUMBER(SEARCH(" "&amp;Task!$A$18&amp;" "," "&amp;LOWER(C161)&amp;" ")),1,0))+IF(Task!$A$19="",0,IF(ISNUMBER(SEARCH(" "&amp;Task!$A$19&amp;" "," "&amp;LOWER(C161)&amp;" ")),1,0)))</f>
        <v/>
      </c>
      <c r="H161" s="9">
        <f>IF(E161=0,0,IF(Task!$A$8="",0,IF(ISNUMBER(SEARCH(" "&amp;Task!$A$8&amp;" "," "&amp;LOWER(SUBSTITUTE(SUBSTITUTE(SUBSTITUTE(SUBSTITUTE(A161,"/"," "),"."," "),"\"," "),"_"," "))&amp;" ")),1,0))+IF(Task!$A$9="",0,IF(ISNUMBER(SEARCH(" "&amp;Task!$A$9&amp;" "," "&amp;LOWER(SUBSTITUTE(SUBSTITUTE(SUBSTITUTE(SUBSTITUTE(A161,"/"," "),"."," "),"\"," "),"_"," "))&amp;" ")),1,0))+IF(Task!$A$10="",0,IF(ISNUMBER(SEARCH(" "&amp;Task!$A$10&amp;" "," "&amp;LOWER(SUBSTITUTE(SUBSTITUTE(SUBSTITUTE(SUBSTITUTE(A161,"/"," "),"."," "),"\"," "),"_"," "))&amp;" ")),1,0))+IF(Task!$A$11="",0,IF(ISNUMBER(SEARCH(" "&amp;Task!$A$11&amp;" "," "&amp;LOWER(SUBSTITUTE(SUBSTITUTE(SUBSTITUTE(SUBSTITUTE(A161,"/"," "),"."," "),"\"," "),"_"," "))&amp;" ")),1,0))+IF(Task!$A$12="",0,IF(ISNUMBER(SEARCH(" "&amp;Task!$A$12&amp;" "," "&amp;LOWER(SUBSTITUTE(SUBSTITUTE(SUBSTITUTE(SUBSTITUTE(A161,"/"," "),"."," "),"\"," "),"_"," "))&amp;" ")),1,0))+IF(Task!$A$13="",0,IF(ISNUMBER(SEARCH(" "&amp;Task!$A$13&amp;" "," "&amp;LOWER(SUBSTITUTE(SUBSTITUTE(SUBSTITUTE(SUBSTITUTE(A161,"/"," "),"."," "),"\"," "),"_"," "))&amp;" ")),1,0))+IF(Task!$A$14="",0,IF(ISNUMBER(SEARCH(" "&amp;Task!$A$14&amp;" "," "&amp;LOWER(SUBSTITUTE(SUBSTITUTE(SUBSTITUTE(SUBSTITUTE(A161,"/"," "),"."," "),"\"," "),"_"," "))&amp;" ")),1,0))+IF(Task!$A$15="",0,IF(ISNUMBER(SEARCH(" "&amp;Task!$A$15&amp;" "," "&amp;LOWER(SUBSTITUTE(SUBSTITUTE(SUBSTITUTE(SUBSTITUTE(A161,"/"," "),"."," "),"\"," "),"_"," "))&amp;" ")),1,0))+IF(Task!$A$16="",0,IF(ISNUMBER(SEARCH(" "&amp;Task!$A$16&amp;" "," "&amp;LOWER(SUBSTITUTE(SUBSTITUTE(SUBSTITUTE(SUBSTITUTE(A161,"/"," "),"."," "),"\"," "),"_"," "))&amp;" ")),1,0))+IF(Task!$A$17="",0,IF(ISNUMBER(SEARCH(" "&amp;Task!$A$17&amp;" "," "&amp;LOWER(SUBSTITUTE(SUBSTITUTE(SUBSTITUTE(SUBSTITUTE(A161,"/"," "),"."," "),"\"," "),"_"," "))&amp;" ")),1,0))+IF(Task!$A$18="",0,IF(ISNUMBER(SEARCH(" "&amp;Task!$A$18&amp;" "," "&amp;LOWER(SUBSTITUTE(SUBSTITUTE(SUBSTITUTE(SUBSTITUTE(A161,"/"," "),"."," "),"\"," "),"_"," "))&amp;" ")),1,0))+IF(Task!$A$19="",0,IF(ISNUMBER(SEARCH(" "&amp;Task!$A$19&amp;" "," "&amp;LOWER(SUBSTITUTE(SUBSTITUTE(SUBSTITUTE(SUBSTITUTE(A161,"/"," "),"."," "),"\"," "),"_"," "))&amp;" ")),1,0)))</f>
        <v/>
      </c>
      <c r="I161" s="10">
        <f>IF(OR(E161=0,F161=0,Task!$B$21=0),"",F161/Task!$B$21+0.5*G161+0.25*H161)</f>
        <v/>
      </c>
      <c r="J161" s="5">
        <f>IF(I161="","",I161-ROW()/1000000)</f>
        <v/>
      </c>
      <c r="K161" s="9">
        <f>IF(J161="","",COUNTIF($J$5:$J$404,"&gt;"&amp;J161)+1)</f>
        <v/>
      </c>
    </row>
    <row r="162">
      <c r="A162" s="7" t="n"/>
      <c r="B162" s="7" t="n"/>
      <c r="C162" s="7" t="n"/>
      <c r="D162" s="7" t="n"/>
      <c r="E162" s="5">
        <f>IF(A162="",0,IF(COUNTA(Task!$B$5:$E$5)=0,1,IF(COUNTIF(Task!$B$5:$E$5,B162)&gt;0,1,0)))</f>
        <v/>
      </c>
      <c r="F162" s="9">
        <f>IF(E162=0,0,IF(Task!$A$8="",0,IF(ISNUMBER(SEARCH(" "&amp;Task!$A$8&amp;" "," "&amp;LOWER(D162&amp;" "&amp;C162&amp;" "&amp;LOWER(SUBSTITUTE(SUBSTITUTE(SUBSTITUTE(SUBSTITUTE(A162,"/"," "),"."," "),"\"," "),"_"," ")))&amp;" ")),1,0))+IF(Task!$A$9="",0,IF(ISNUMBER(SEARCH(" "&amp;Task!$A$9&amp;" "," "&amp;LOWER(D162&amp;" "&amp;C162&amp;" "&amp;LOWER(SUBSTITUTE(SUBSTITUTE(SUBSTITUTE(SUBSTITUTE(A162,"/"," "),"."," "),"\"," "),"_"," ")))&amp;" ")),1,0))+IF(Task!$A$10="",0,IF(ISNUMBER(SEARCH(" "&amp;Task!$A$10&amp;" "," "&amp;LOWER(D162&amp;" "&amp;C162&amp;" "&amp;LOWER(SUBSTITUTE(SUBSTITUTE(SUBSTITUTE(SUBSTITUTE(A162,"/"," "),"."," "),"\"," "),"_"," ")))&amp;" ")),1,0))+IF(Task!$A$11="",0,IF(ISNUMBER(SEARCH(" "&amp;Task!$A$11&amp;" "," "&amp;LOWER(D162&amp;" "&amp;C162&amp;" "&amp;LOWER(SUBSTITUTE(SUBSTITUTE(SUBSTITUTE(SUBSTITUTE(A162,"/"," "),"."," "),"\"," "),"_"," ")))&amp;" ")),1,0))+IF(Task!$A$12="",0,IF(ISNUMBER(SEARCH(" "&amp;Task!$A$12&amp;" "," "&amp;LOWER(D162&amp;" "&amp;C162&amp;" "&amp;LOWER(SUBSTITUTE(SUBSTITUTE(SUBSTITUTE(SUBSTITUTE(A162,"/"," "),"."," "),"\"," "),"_"," ")))&amp;" ")),1,0))+IF(Task!$A$13="",0,IF(ISNUMBER(SEARCH(" "&amp;Task!$A$13&amp;" "," "&amp;LOWER(D162&amp;" "&amp;C162&amp;" "&amp;LOWER(SUBSTITUTE(SUBSTITUTE(SUBSTITUTE(SUBSTITUTE(A162,"/"," "),"."," "),"\"," "),"_"," ")))&amp;" ")),1,0))+IF(Task!$A$14="",0,IF(ISNUMBER(SEARCH(" "&amp;Task!$A$14&amp;" "," "&amp;LOWER(D162&amp;" "&amp;C162&amp;" "&amp;LOWER(SUBSTITUTE(SUBSTITUTE(SUBSTITUTE(SUBSTITUTE(A162,"/"," "),"."," "),"\"," "),"_"," ")))&amp;" ")),1,0))+IF(Task!$A$15="",0,IF(ISNUMBER(SEARCH(" "&amp;Task!$A$15&amp;" "," "&amp;LOWER(D162&amp;" "&amp;C162&amp;" "&amp;LOWER(SUBSTITUTE(SUBSTITUTE(SUBSTITUTE(SUBSTITUTE(A162,"/"," "),"."," "),"\"," "),"_"," ")))&amp;" ")),1,0))+IF(Task!$A$16="",0,IF(ISNUMBER(SEARCH(" "&amp;Task!$A$16&amp;" "," "&amp;LOWER(D162&amp;" "&amp;C162&amp;" "&amp;LOWER(SUBSTITUTE(SUBSTITUTE(SUBSTITUTE(SUBSTITUTE(A162,"/"," "),"."," "),"\"," "),"_"," ")))&amp;" ")),1,0))+IF(Task!$A$17="",0,IF(ISNUMBER(SEARCH(" "&amp;Task!$A$17&amp;" "," "&amp;LOWER(D162&amp;" "&amp;C162&amp;" "&amp;LOWER(SUBSTITUTE(SUBSTITUTE(SUBSTITUTE(SUBSTITUTE(A162,"/"," "),"."," "),"\"," "),"_"," ")))&amp;" ")),1,0))+IF(Task!$A$18="",0,IF(ISNUMBER(SEARCH(" "&amp;Task!$A$18&amp;" "," "&amp;LOWER(D162&amp;" "&amp;C162&amp;" "&amp;LOWER(SUBSTITUTE(SUBSTITUTE(SUBSTITUTE(SUBSTITUTE(A162,"/"," "),"."," "),"\"," "),"_"," ")))&amp;" ")),1,0))+IF(Task!$A$19="",0,IF(ISNUMBER(SEARCH(" "&amp;Task!$A$19&amp;" "," "&amp;LOWER(D162&amp;" "&amp;C162&amp;" "&amp;LOWER(SUBSTITUTE(SUBSTITUTE(SUBSTITUTE(SUBSTITUTE(A162,"/"," "),"."," "),"\"," "),"_"," ")))&amp;" ")),1,0)))</f>
        <v/>
      </c>
      <c r="G162" s="9">
        <f>IF(E162=0,0,IF(Task!$A$8="",0,IF(ISNUMBER(SEARCH(" "&amp;Task!$A$8&amp;" "," "&amp;LOWER(C162)&amp;" ")),1,0))+IF(Task!$A$9="",0,IF(ISNUMBER(SEARCH(" "&amp;Task!$A$9&amp;" "," "&amp;LOWER(C162)&amp;" ")),1,0))+IF(Task!$A$10="",0,IF(ISNUMBER(SEARCH(" "&amp;Task!$A$10&amp;" "," "&amp;LOWER(C162)&amp;" ")),1,0))+IF(Task!$A$11="",0,IF(ISNUMBER(SEARCH(" "&amp;Task!$A$11&amp;" "," "&amp;LOWER(C162)&amp;" ")),1,0))+IF(Task!$A$12="",0,IF(ISNUMBER(SEARCH(" "&amp;Task!$A$12&amp;" "," "&amp;LOWER(C162)&amp;" ")),1,0))+IF(Task!$A$13="",0,IF(ISNUMBER(SEARCH(" "&amp;Task!$A$13&amp;" "," "&amp;LOWER(C162)&amp;" ")),1,0))+IF(Task!$A$14="",0,IF(ISNUMBER(SEARCH(" "&amp;Task!$A$14&amp;" "," "&amp;LOWER(C162)&amp;" ")),1,0))+IF(Task!$A$15="",0,IF(ISNUMBER(SEARCH(" "&amp;Task!$A$15&amp;" "," "&amp;LOWER(C162)&amp;" ")),1,0))+IF(Task!$A$16="",0,IF(ISNUMBER(SEARCH(" "&amp;Task!$A$16&amp;" "," "&amp;LOWER(C162)&amp;" ")),1,0))+IF(Task!$A$17="",0,IF(ISNUMBER(SEARCH(" "&amp;Task!$A$17&amp;" "," "&amp;LOWER(C162)&amp;" ")),1,0))+IF(Task!$A$18="",0,IF(ISNUMBER(SEARCH(" "&amp;Task!$A$18&amp;" "," "&amp;LOWER(C162)&amp;" ")),1,0))+IF(Task!$A$19="",0,IF(ISNUMBER(SEARCH(" "&amp;Task!$A$19&amp;" "," "&amp;LOWER(C162)&amp;" ")),1,0)))</f>
        <v/>
      </c>
      <c r="H162" s="9">
        <f>IF(E162=0,0,IF(Task!$A$8="",0,IF(ISNUMBER(SEARCH(" "&amp;Task!$A$8&amp;" "," "&amp;LOWER(SUBSTITUTE(SUBSTITUTE(SUBSTITUTE(SUBSTITUTE(A162,"/"," "),"."," "),"\"," "),"_"," "))&amp;" ")),1,0))+IF(Task!$A$9="",0,IF(ISNUMBER(SEARCH(" "&amp;Task!$A$9&amp;" "," "&amp;LOWER(SUBSTITUTE(SUBSTITUTE(SUBSTITUTE(SUBSTITUTE(A162,"/"," "),"."," "),"\"," "),"_"," "))&amp;" ")),1,0))+IF(Task!$A$10="",0,IF(ISNUMBER(SEARCH(" "&amp;Task!$A$10&amp;" "," "&amp;LOWER(SUBSTITUTE(SUBSTITUTE(SUBSTITUTE(SUBSTITUTE(A162,"/"," "),"."," "),"\"," "),"_"," "))&amp;" ")),1,0))+IF(Task!$A$11="",0,IF(ISNUMBER(SEARCH(" "&amp;Task!$A$11&amp;" "," "&amp;LOWER(SUBSTITUTE(SUBSTITUTE(SUBSTITUTE(SUBSTITUTE(A162,"/"," "),"."," "),"\"," "),"_"," "))&amp;" ")),1,0))+IF(Task!$A$12="",0,IF(ISNUMBER(SEARCH(" "&amp;Task!$A$12&amp;" "," "&amp;LOWER(SUBSTITUTE(SUBSTITUTE(SUBSTITUTE(SUBSTITUTE(A162,"/"," "),"."," "),"\"," "),"_"," "))&amp;" ")),1,0))+IF(Task!$A$13="",0,IF(ISNUMBER(SEARCH(" "&amp;Task!$A$13&amp;" "," "&amp;LOWER(SUBSTITUTE(SUBSTITUTE(SUBSTITUTE(SUBSTITUTE(A162,"/"," "),"."," "),"\"," "),"_"," "))&amp;" ")),1,0))+IF(Task!$A$14="",0,IF(ISNUMBER(SEARCH(" "&amp;Task!$A$14&amp;" "," "&amp;LOWER(SUBSTITUTE(SUBSTITUTE(SUBSTITUTE(SUBSTITUTE(A162,"/"," "),"."," "),"\"," "),"_"," "))&amp;" ")),1,0))+IF(Task!$A$15="",0,IF(ISNUMBER(SEARCH(" "&amp;Task!$A$15&amp;" "," "&amp;LOWER(SUBSTITUTE(SUBSTITUTE(SUBSTITUTE(SUBSTITUTE(A162,"/"," "),"."," "),"\"," "),"_"," "))&amp;" ")),1,0))+IF(Task!$A$16="",0,IF(ISNUMBER(SEARCH(" "&amp;Task!$A$16&amp;" "," "&amp;LOWER(SUBSTITUTE(SUBSTITUTE(SUBSTITUTE(SUBSTITUTE(A162,"/"," "),"."," "),"\"," "),"_"," "))&amp;" ")),1,0))+IF(Task!$A$17="",0,IF(ISNUMBER(SEARCH(" "&amp;Task!$A$17&amp;" "," "&amp;LOWER(SUBSTITUTE(SUBSTITUTE(SUBSTITUTE(SUBSTITUTE(A162,"/"," "),"."," "),"\"," "),"_"," "))&amp;" ")),1,0))+IF(Task!$A$18="",0,IF(ISNUMBER(SEARCH(" "&amp;Task!$A$18&amp;" "," "&amp;LOWER(SUBSTITUTE(SUBSTITUTE(SUBSTITUTE(SUBSTITUTE(A162,"/"," "),"."," "),"\"," "),"_"," "))&amp;" ")),1,0))+IF(Task!$A$19="",0,IF(ISNUMBER(SEARCH(" "&amp;Task!$A$19&amp;" "," "&amp;LOWER(SUBSTITUTE(SUBSTITUTE(SUBSTITUTE(SUBSTITUTE(A162,"/"," "),"."," "),"\"," "),"_"," "))&amp;" ")),1,0)))</f>
        <v/>
      </c>
      <c r="I162" s="10">
        <f>IF(OR(E162=0,F162=0,Task!$B$21=0),"",F162/Task!$B$21+0.5*G162+0.25*H162)</f>
        <v/>
      </c>
      <c r="J162" s="5">
        <f>IF(I162="","",I162-ROW()/1000000)</f>
        <v/>
      </c>
      <c r="K162" s="9">
        <f>IF(J162="","",COUNTIF($J$5:$J$404,"&gt;"&amp;J162)+1)</f>
        <v/>
      </c>
    </row>
    <row r="163">
      <c r="A163" s="7" t="n"/>
      <c r="B163" s="7" t="n"/>
      <c r="C163" s="7" t="n"/>
      <c r="D163" s="7" t="n"/>
      <c r="E163" s="5">
        <f>IF(A163="",0,IF(COUNTA(Task!$B$5:$E$5)=0,1,IF(COUNTIF(Task!$B$5:$E$5,B163)&gt;0,1,0)))</f>
        <v/>
      </c>
      <c r="F163" s="9">
        <f>IF(E163=0,0,IF(Task!$A$8="",0,IF(ISNUMBER(SEARCH(" "&amp;Task!$A$8&amp;" "," "&amp;LOWER(D163&amp;" "&amp;C163&amp;" "&amp;LOWER(SUBSTITUTE(SUBSTITUTE(SUBSTITUTE(SUBSTITUTE(A163,"/"," "),"."," "),"\"," "),"_"," ")))&amp;" ")),1,0))+IF(Task!$A$9="",0,IF(ISNUMBER(SEARCH(" "&amp;Task!$A$9&amp;" "," "&amp;LOWER(D163&amp;" "&amp;C163&amp;" "&amp;LOWER(SUBSTITUTE(SUBSTITUTE(SUBSTITUTE(SUBSTITUTE(A163,"/"," "),"."," "),"\"," "),"_"," ")))&amp;" ")),1,0))+IF(Task!$A$10="",0,IF(ISNUMBER(SEARCH(" "&amp;Task!$A$10&amp;" "," "&amp;LOWER(D163&amp;" "&amp;C163&amp;" "&amp;LOWER(SUBSTITUTE(SUBSTITUTE(SUBSTITUTE(SUBSTITUTE(A163,"/"," "),"."," "),"\"," "),"_"," ")))&amp;" ")),1,0))+IF(Task!$A$11="",0,IF(ISNUMBER(SEARCH(" "&amp;Task!$A$11&amp;" "," "&amp;LOWER(D163&amp;" "&amp;C163&amp;" "&amp;LOWER(SUBSTITUTE(SUBSTITUTE(SUBSTITUTE(SUBSTITUTE(A163,"/"," "),"."," "),"\"," "),"_"," ")))&amp;" ")),1,0))+IF(Task!$A$12="",0,IF(ISNUMBER(SEARCH(" "&amp;Task!$A$12&amp;" "," "&amp;LOWER(D163&amp;" "&amp;C163&amp;" "&amp;LOWER(SUBSTITUTE(SUBSTITUTE(SUBSTITUTE(SUBSTITUTE(A163,"/"," "),"."," "),"\"," "),"_"," ")))&amp;" ")),1,0))+IF(Task!$A$13="",0,IF(ISNUMBER(SEARCH(" "&amp;Task!$A$13&amp;" "," "&amp;LOWER(D163&amp;" "&amp;C163&amp;" "&amp;LOWER(SUBSTITUTE(SUBSTITUTE(SUBSTITUTE(SUBSTITUTE(A163,"/"," "),"."," "),"\"," "),"_"," ")))&amp;" ")),1,0))+IF(Task!$A$14="",0,IF(ISNUMBER(SEARCH(" "&amp;Task!$A$14&amp;" "," "&amp;LOWER(D163&amp;" "&amp;C163&amp;" "&amp;LOWER(SUBSTITUTE(SUBSTITUTE(SUBSTITUTE(SUBSTITUTE(A163,"/"," "),"."," "),"\"," "),"_"," ")))&amp;" ")),1,0))+IF(Task!$A$15="",0,IF(ISNUMBER(SEARCH(" "&amp;Task!$A$15&amp;" "," "&amp;LOWER(D163&amp;" "&amp;C163&amp;" "&amp;LOWER(SUBSTITUTE(SUBSTITUTE(SUBSTITUTE(SUBSTITUTE(A163,"/"," "),"."," "),"\"," "),"_"," ")))&amp;" ")),1,0))+IF(Task!$A$16="",0,IF(ISNUMBER(SEARCH(" "&amp;Task!$A$16&amp;" "," "&amp;LOWER(D163&amp;" "&amp;C163&amp;" "&amp;LOWER(SUBSTITUTE(SUBSTITUTE(SUBSTITUTE(SUBSTITUTE(A163,"/"," "),"."," "),"\"," "),"_"," ")))&amp;" ")),1,0))+IF(Task!$A$17="",0,IF(ISNUMBER(SEARCH(" "&amp;Task!$A$17&amp;" "," "&amp;LOWER(D163&amp;" "&amp;C163&amp;" "&amp;LOWER(SUBSTITUTE(SUBSTITUTE(SUBSTITUTE(SUBSTITUTE(A163,"/"," "),"."," "),"\"," "),"_"," ")))&amp;" ")),1,0))+IF(Task!$A$18="",0,IF(ISNUMBER(SEARCH(" "&amp;Task!$A$18&amp;" "," "&amp;LOWER(D163&amp;" "&amp;C163&amp;" "&amp;LOWER(SUBSTITUTE(SUBSTITUTE(SUBSTITUTE(SUBSTITUTE(A163,"/"," "),"."," "),"\"," "),"_"," ")))&amp;" ")),1,0))+IF(Task!$A$19="",0,IF(ISNUMBER(SEARCH(" "&amp;Task!$A$19&amp;" "," "&amp;LOWER(D163&amp;" "&amp;C163&amp;" "&amp;LOWER(SUBSTITUTE(SUBSTITUTE(SUBSTITUTE(SUBSTITUTE(A163,"/"," "),"."," "),"\"," "),"_"," ")))&amp;" ")),1,0)))</f>
        <v/>
      </c>
      <c r="G163" s="9">
        <f>IF(E163=0,0,IF(Task!$A$8="",0,IF(ISNUMBER(SEARCH(" "&amp;Task!$A$8&amp;" "," "&amp;LOWER(C163)&amp;" ")),1,0))+IF(Task!$A$9="",0,IF(ISNUMBER(SEARCH(" "&amp;Task!$A$9&amp;" "," "&amp;LOWER(C163)&amp;" ")),1,0))+IF(Task!$A$10="",0,IF(ISNUMBER(SEARCH(" "&amp;Task!$A$10&amp;" "," "&amp;LOWER(C163)&amp;" ")),1,0))+IF(Task!$A$11="",0,IF(ISNUMBER(SEARCH(" "&amp;Task!$A$11&amp;" "," "&amp;LOWER(C163)&amp;" ")),1,0))+IF(Task!$A$12="",0,IF(ISNUMBER(SEARCH(" "&amp;Task!$A$12&amp;" "," "&amp;LOWER(C163)&amp;" ")),1,0))+IF(Task!$A$13="",0,IF(ISNUMBER(SEARCH(" "&amp;Task!$A$13&amp;" "," "&amp;LOWER(C163)&amp;" ")),1,0))+IF(Task!$A$14="",0,IF(ISNUMBER(SEARCH(" "&amp;Task!$A$14&amp;" "," "&amp;LOWER(C163)&amp;" ")),1,0))+IF(Task!$A$15="",0,IF(ISNUMBER(SEARCH(" "&amp;Task!$A$15&amp;" "," "&amp;LOWER(C163)&amp;" ")),1,0))+IF(Task!$A$16="",0,IF(ISNUMBER(SEARCH(" "&amp;Task!$A$16&amp;" "," "&amp;LOWER(C163)&amp;" ")),1,0))+IF(Task!$A$17="",0,IF(ISNUMBER(SEARCH(" "&amp;Task!$A$17&amp;" "," "&amp;LOWER(C163)&amp;" ")),1,0))+IF(Task!$A$18="",0,IF(ISNUMBER(SEARCH(" "&amp;Task!$A$18&amp;" "," "&amp;LOWER(C163)&amp;" ")),1,0))+IF(Task!$A$19="",0,IF(ISNUMBER(SEARCH(" "&amp;Task!$A$19&amp;" "," "&amp;LOWER(C163)&amp;" ")),1,0)))</f>
        <v/>
      </c>
      <c r="H163" s="9">
        <f>IF(E163=0,0,IF(Task!$A$8="",0,IF(ISNUMBER(SEARCH(" "&amp;Task!$A$8&amp;" "," "&amp;LOWER(SUBSTITUTE(SUBSTITUTE(SUBSTITUTE(SUBSTITUTE(A163,"/"," "),"."," "),"\"," "),"_"," "))&amp;" ")),1,0))+IF(Task!$A$9="",0,IF(ISNUMBER(SEARCH(" "&amp;Task!$A$9&amp;" "," "&amp;LOWER(SUBSTITUTE(SUBSTITUTE(SUBSTITUTE(SUBSTITUTE(A163,"/"," "),"."," "),"\"," "),"_"," "))&amp;" ")),1,0))+IF(Task!$A$10="",0,IF(ISNUMBER(SEARCH(" "&amp;Task!$A$10&amp;" "," "&amp;LOWER(SUBSTITUTE(SUBSTITUTE(SUBSTITUTE(SUBSTITUTE(A163,"/"," "),"."," "),"\"," "),"_"," "))&amp;" ")),1,0))+IF(Task!$A$11="",0,IF(ISNUMBER(SEARCH(" "&amp;Task!$A$11&amp;" "," "&amp;LOWER(SUBSTITUTE(SUBSTITUTE(SUBSTITUTE(SUBSTITUTE(A163,"/"," "),"."," "),"\"," "),"_"," "))&amp;" ")),1,0))+IF(Task!$A$12="",0,IF(ISNUMBER(SEARCH(" "&amp;Task!$A$12&amp;" "," "&amp;LOWER(SUBSTITUTE(SUBSTITUTE(SUBSTITUTE(SUBSTITUTE(A163,"/"," "),"."," "),"\"," "),"_"," "))&amp;" ")),1,0))+IF(Task!$A$13="",0,IF(ISNUMBER(SEARCH(" "&amp;Task!$A$13&amp;" "," "&amp;LOWER(SUBSTITUTE(SUBSTITUTE(SUBSTITUTE(SUBSTITUTE(A163,"/"," "),"."," "),"\"," "),"_"," "))&amp;" ")),1,0))+IF(Task!$A$14="",0,IF(ISNUMBER(SEARCH(" "&amp;Task!$A$14&amp;" "," "&amp;LOWER(SUBSTITUTE(SUBSTITUTE(SUBSTITUTE(SUBSTITUTE(A163,"/"," "),"."," "),"\"," "),"_"," "))&amp;" ")),1,0))+IF(Task!$A$15="",0,IF(ISNUMBER(SEARCH(" "&amp;Task!$A$15&amp;" "," "&amp;LOWER(SUBSTITUTE(SUBSTITUTE(SUBSTITUTE(SUBSTITUTE(A163,"/"," "),"."," "),"\"," "),"_"," "))&amp;" ")),1,0))+IF(Task!$A$16="",0,IF(ISNUMBER(SEARCH(" "&amp;Task!$A$16&amp;" "," "&amp;LOWER(SUBSTITUTE(SUBSTITUTE(SUBSTITUTE(SUBSTITUTE(A163,"/"," "),"."," "),"\"," "),"_"," "))&amp;" ")),1,0))+IF(Task!$A$17="",0,IF(ISNUMBER(SEARCH(" "&amp;Task!$A$17&amp;" "," "&amp;LOWER(SUBSTITUTE(SUBSTITUTE(SUBSTITUTE(SUBSTITUTE(A163,"/"," "),"."," "),"\"," "),"_"," "))&amp;" ")),1,0))+IF(Task!$A$18="",0,IF(ISNUMBER(SEARCH(" "&amp;Task!$A$18&amp;" "," "&amp;LOWER(SUBSTITUTE(SUBSTITUTE(SUBSTITUTE(SUBSTITUTE(A163,"/"," "),"."," "),"\"," "),"_"," "))&amp;" ")),1,0))+IF(Task!$A$19="",0,IF(ISNUMBER(SEARCH(" "&amp;Task!$A$19&amp;" "," "&amp;LOWER(SUBSTITUTE(SUBSTITUTE(SUBSTITUTE(SUBSTITUTE(A163,"/"," "),"."," "),"\"," "),"_"," "))&amp;" ")),1,0)))</f>
        <v/>
      </c>
      <c r="I163" s="10">
        <f>IF(OR(E163=0,F163=0,Task!$B$21=0),"",F163/Task!$B$21+0.5*G163+0.25*H163)</f>
        <v/>
      </c>
      <c r="J163" s="5">
        <f>IF(I163="","",I163-ROW()/1000000)</f>
        <v/>
      </c>
      <c r="K163" s="9">
        <f>IF(J163="","",COUNTIF($J$5:$J$404,"&gt;"&amp;J163)+1)</f>
        <v/>
      </c>
    </row>
    <row r="164">
      <c r="A164" s="7" t="n"/>
      <c r="B164" s="7" t="n"/>
      <c r="C164" s="7" t="n"/>
      <c r="D164" s="7" t="n"/>
      <c r="E164" s="5">
        <f>IF(A164="",0,IF(COUNTA(Task!$B$5:$E$5)=0,1,IF(COUNTIF(Task!$B$5:$E$5,B164)&gt;0,1,0)))</f>
        <v/>
      </c>
      <c r="F164" s="9">
        <f>IF(E164=0,0,IF(Task!$A$8="",0,IF(ISNUMBER(SEARCH(" "&amp;Task!$A$8&amp;" "," "&amp;LOWER(D164&amp;" "&amp;C164&amp;" "&amp;LOWER(SUBSTITUTE(SUBSTITUTE(SUBSTITUTE(SUBSTITUTE(A164,"/"," "),"."," "),"\"," "),"_"," ")))&amp;" ")),1,0))+IF(Task!$A$9="",0,IF(ISNUMBER(SEARCH(" "&amp;Task!$A$9&amp;" "," "&amp;LOWER(D164&amp;" "&amp;C164&amp;" "&amp;LOWER(SUBSTITUTE(SUBSTITUTE(SUBSTITUTE(SUBSTITUTE(A164,"/"," "),"."," "),"\"," "),"_"," ")))&amp;" ")),1,0))+IF(Task!$A$10="",0,IF(ISNUMBER(SEARCH(" "&amp;Task!$A$10&amp;" "," "&amp;LOWER(D164&amp;" "&amp;C164&amp;" "&amp;LOWER(SUBSTITUTE(SUBSTITUTE(SUBSTITUTE(SUBSTITUTE(A164,"/"," "),"."," "),"\"," "),"_"," ")))&amp;" ")),1,0))+IF(Task!$A$11="",0,IF(ISNUMBER(SEARCH(" "&amp;Task!$A$11&amp;" "," "&amp;LOWER(D164&amp;" "&amp;C164&amp;" "&amp;LOWER(SUBSTITUTE(SUBSTITUTE(SUBSTITUTE(SUBSTITUTE(A164,"/"," "),"."," "),"\"," "),"_"," ")))&amp;" ")),1,0))+IF(Task!$A$12="",0,IF(ISNUMBER(SEARCH(" "&amp;Task!$A$12&amp;" "," "&amp;LOWER(D164&amp;" "&amp;C164&amp;" "&amp;LOWER(SUBSTITUTE(SUBSTITUTE(SUBSTITUTE(SUBSTITUTE(A164,"/"," "),"."," "),"\"," "),"_"," ")))&amp;" ")),1,0))+IF(Task!$A$13="",0,IF(ISNUMBER(SEARCH(" "&amp;Task!$A$13&amp;" "," "&amp;LOWER(D164&amp;" "&amp;C164&amp;" "&amp;LOWER(SUBSTITUTE(SUBSTITUTE(SUBSTITUTE(SUBSTITUTE(A164,"/"," "),"."," "),"\"," "),"_"," ")))&amp;" ")),1,0))+IF(Task!$A$14="",0,IF(ISNUMBER(SEARCH(" "&amp;Task!$A$14&amp;" "," "&amp;LOWER(D164&amp;" "&amp;C164&amp;" "&amp;LOWER(SUBSTITUTE(SUBSTITUTE(SUBSTITUTE(SUBSTITUTE(A164,"/"," "),"."," "),"\"," "),"_"," ")))&amp;" ")),1,0))+IF(Task!$A$15="",0,IF(ISNUMBER(SEARCH(" "&amp;Task!$A$15&amp;" "," "&amp;LOWER(D164&amp;" "&amp;C164&amp;" "&amp;LOWER(SUBSTITUTE(SUBSTITUTE(SUBSTITUTE(SUBSTITUTE(A164,"/"," "),"."," "),"\"," "),"_"," ")))&amp;" ")),1,0))+IF(Task!$A$16="",0,IF(ISNUMBER(SEARCH(" "&amp;Task!$A$16&amp;" "," "&amp;LOWER(D164&amp;" "&amp;C164&amp;" "&amp;LOWER(SUBSTITUTE(SUBSTITUTE(SUBSTITUTE(SUBSTITUTE(A164,"/"," "),"."," "),"\"," "),"_"," ")))&amp;" ")),1,0))+IF(Task!$A$17="",0,IF(ISNUMBER(SEARCH(" "&amp;Task!$A$17&amp;" "," "&amp;LOWER(D164&amp;" "&amp;C164&amp;" "&amp;LOWER(SUBSTITUTE(SUBSTITUTE(SUBSTITUTE(SUBSTITUTE(A164,"/"," "),"."," "),"\"," "),"_"," ")))&amp;" ")),1,0))+IF(Task!$A$18="",0,IF(ISNUMBER(SEARCH(" "&amp;Task!$A$18&amp;" "," "&amp;LOWER(D164&amp;" "&amp;C164&amp;" "&amp;LOWER(SUBSTITUTE(SUBSTITUTE(SUBSTITUTE(SUBSTITUTE(A164,"/"," "),"."," "),"\"," "),"_"," ")))&amp;" ")),1,0))+IF(Task!$A$19="",0,IF(ISNUMBER(SEARCH(" "&amp;Task!$A$19&amp;" "," "&amp;LOWER(D164&amp;" "&amp;C164&amp;" "&amp;LOWER(SUBSTITUTE(SUBSTITUTE(SUBSTITUTE(SUBSTITUTE(A164,"/"," "),"."," "),"\"," "),"_"," ")))&amp;" ")),1,0)))</f>
        <v/>
      </c>
      <c r="G164" s="9">
        <f>IF(E164=0,0,IF(Task!$A$8="",0,IF(ISNUMBER(SEARCH(" "&amp;Task!$A$8&amp;" "," "&amp;LOWER(C164)&amp;" ")),1,0))+IF(Task!$A$9="",0,IF(ISNUMBER(SEARCH(" "&amp;Task!$A$9&amp;" "," "&amp;LOWER(C164)&amp;" ")),1,0))+IF(Task!$A$10="",0,IF(ISNUMBER(SEARCH(" "&amp;Task!$A$10&amp;" "," "&amp;LOWER(C164)&amp;" ")),1,0))+IF(Task!$A$11="",0,IF(ISNUMBER(SEARCH(" "&amp;Task!$A$11&amp;" "," "&amp;LOWER(C164)&amp;" ")),1,0))+IF(Task!$A$12="",0,IF(ISNUMBER(SEARCH(" "&amp;Task!$A$12&amp;" "," "&amp;LOWER(C164)&amp;" ")),1,0))+IF(Task!$A$13="",0,IF(ISNUMBER(SEARCH(" "&amp;Task!$A$13&amp;" "," "&amp;LOWER(C164)&amp;" ")),1,0))+IF(Task!$A$14="",0,IF(ISNUMBER(SEARCH(" "&amp;Task!$A$14&amp;" "," "&amp;LOWER(C164)&amp;" ")),1,0))+IF(Task!$A$15="",0,IF(ISNUMBER(SEARCH(" "&amp;Task!$A$15&amp;" "," "&amp;LOWER(C164)&amp;" ")),1,0))+IF(Task!$A$16="",0,IF(ISNUMBER(SEARCH(" "&amp;Task!$A$16&amp;" "," "&amp;LOWER(C164)&amp;" ")),1,0))+IF(Task!$A$17="",0,IF(ISNUMBER(SEARCH(" "&amp;Task!$A$17&amp;" "," "&amp;LOWER(C164)&amp;" ")),1,0))+IF(Task!$A$18="",0,IF(ISNUMBER(SEARCH(" "&amp;Task!$A$18&amp;" "," "&amp;LOWER(C164)&amp;" ")),1,0))+IF(Task!$A$19="",0,IF(ISNUMBER(SEARCH(" "&amp;Task!$A$19&amp;" "," "&amp;LOWER(C164)&amp;" ")),1,0)))</f>
        <v/>
      </c>
      <c r="H164" s="9">
        <f>IF(E164=0,0,IF(Task!$A$8="",0,IF(ISNUMBER(SEARCH(" "&amp;Task!$A$8&amp;" "," "&amp;LOWER(SUBSTITUTE(SUBSTITUTE(SUBSTITUTE(SUBSTITUTE(A164,"/"," "),"."," "),"\"," "),"_"," "))&amp;" ")),1,0))+IF(Task!$A$9="",0,IF(ISNUMBER(SEARCH(" "&amp;Task!$A$9&amp;" "," "&amp;LOWER(SUBSTITUTE(SUBSTITUTE(SUBSTITUTE(SUBSTITUTE(A164,"/"," "),"."," "),"\"," "),"_"," "))&amp;" ")),1,0))+IF(Task!$A$10="",0,IF(ISNUMBER(SEARCH(" "&amp;Task!$A$10&amp;" "," "&amp;LOWER(SUBSTITUTE(SUBSTITUTE(SUBSTITUTE(SUBSTITUTE(A164,"/"," "),"."," "),"\"," "),"_"," "))&amp;" ")),1,0))+IF(Task!$A$11="",0,IF(ISNUMBER(SEARCH(" "&amp;Task!$A$11&amp;" "," "&amp;LOWER(SUBSTITUTE(SUBSTITUTE(SUBSTITUTE(SUBSTITUTE(A164,"/"," "),"."," "),"\"," "),"_"," "))&amp;" ")),1,0))+IF(Task!$A$12="",0,IF(ISNUMBER(SEARCH(" "&amp;Task!$A$12&amp;" "," "&amp;LOWER(SUBSTITUTE(SUBSTITUTE(SUBSTITUTE(SUBSTITUTE(A164,"/"," "),"."," "),"\"," "),"_"," "))&amp;" ")),1,0))+IF(Task!$A$13="",0,IF(ISNUMBER(SEARCH(" "&amp;Task!$A$13&amp;" "," "&amp;LOWER(SUBSTITUTE(SUBSTITUTE(SUBSTITUTE(SUBSTITUTE(A164,"/"," "),"."," "),"\"," "),"_"," "))&amp;" ")),1,0))+IF(Task!$A$14="",0,IF(ISNUMBER(SEARCH(" "&amp;Task!$A$14&amp;" "," "&amp;LOWER(SUBSTITUTE(SUBSTITUTE(SUBSTITUTE(SUBSTITUTE(A164,"/"," "),"."," "),"\"," "),"_"," "))&amp;" ")),1,0))+IF(Task!$A$15="",0,IF(ISNUMBER(SEARCH(" "&amp;Task!$A$15&amp;" "," "&amp;LOWER(SUBSTITUTE(SUBSTITUTE(SUBSTITUTE(SUBSTITUTE(A164,"/"," "),"."," "),"\"," "),"_"," "))&amp;" ")),1,0))+IF(Task!$A$16="",0,IF(ISNUMBER(SEARCH(" "&amp;Task!$A$16&amp;" "," "&amp;LOWER(SUBSTITUTE(SUBSTITUTE(SUBSTITUTE(SUBSTITUTE(A164,"/"," "),"."," "),"\"," "),"_"," "))&amp;" ")),1,0))+IF(Task!$A$17="",0,IF(ISNUMBER(SEARCH(" "&amp;Task!$A$17&amp;" "," "&amp;LOWER(SUBSTITUTE(SUBSTITUTE(SUBSTITUTE(SUBSTITUTE(A164,"/"," "),"."," "),"\"," "),"_"," "))&amp;" ")),1,0))+IF(Task!$A$18="",0,IF(ISNUMBER(SEARCH(" "&amp;Task!$A$18&amp;" "," "&amp;LOWER(SUBSTITUTE(SUBSTITUTE(SUBSTITUTE(SUBSTITUTE(A164,"/"," "),"."," "),"\"," "),"_"," "))&amp;" ")),1,0))+IF(Task!$A$19="",0,IF(ISNUMBER(SEARCH(" "&amp;Task!$A$19&amp;" "," "&amp;LOWER(SUBSTITUTE(SUBSTITUTE(SUBSTITUTE(SUBSTITUTE(A164,"/"," "),"."," "),"\"," "),"_"," "))&amp;" ")),1,0)))</f>
        <v/>
      </c>
      <c r="I164" s="10">
        <f>IF(OR(E164=0,F164=0,Task!$B$21=0),"",F164/Task!$B$21+0.5*G164+0.25*H164)</f>
        <v/>
      </c>
      <c r="J164" s="5">
        <f>IF(I164="","",I164-ROW()/1000000)</f>
        <v/>
      </c>
      <c r="K164" s="9">
        <f>IF(J164="","",COUNTIF($J$5:$J$404,"&gt;"&amp;J164)+1)</f>
        <v/>
      </c>
    </row>
    <row r="165">
      <c r="A165" s="7" t="n"/>
      <c r="B165" s="7" t="n"/>
      <c r="C165" s="7" t="n"/>
      <c r="D165" s="7" t="n"/>
      <c r="E165" s="5">
        <f>IF(A165="",0,IF(COUNTA(Task!$B$5:$E$5)=0,1,IF(COUNTIF(Task!$B$5:$E$5,B165)&gt;0,1,0)))</f>
        <v/>
      </c>
      <c r="F165" s="9">
        <f>IF(E165=0,0,IF(Task!$A$8="",0,IF(ISNUMBER(SEARCH(" "&amp;Task!$A$8&amp;" "," "&amp;LOWER(D165&amp;" "&amp;C165&amp;" "&amp;LOWER(SUBSTITUTE(SUBSTITUTE(SUBSTITUTE(SUBSTITUTE(A165,"/"," "),"."," "),"\"," "),"_"," ")))&amp;" ")),1,0))+IF(Task!$A$9="",0,IF(ISNUMBER(SEARCH(" "&amp;Task!$A$9&amp;" "," "&amp;LOWER(D165&amp;" "&amp;C165&amp;" "&amp;LOWER(SUBSTITUTE(SUBSTITUTE(SUBSTITUTE(SUBSTITUTE(A165,"/"," "),"."," "),"\"," "),"_"," ")))&amp;" ")),1,0))+IF(Task!$A$10="",0,IF(ISNUMBER(SEARCH(" "&amp;Task!$A$10&amp;" "," "&amp;LOWER(D165&amp;" "&amp;C165&amp;" "&amp;LOWER(SUBSTITUTE(SUBSTITUTE(SUBSTITUTE(SUBSTITUTE(A165,"/"," "),"."," "),"\"," "),"_"," ")))&amp;" ")),1,0))+IF(Task!$A$11="",0,IF(ISNUMBER(SEARCH(" "&amp;Task!$A$11&amp;" "," "&amp;LOWER(D165&amp;" "&amp;C165&amp;" "&amp;LOWER(SUBSTITUTE(SUBSTITUTE(SUBSTITUTE(SUBSTITUTE(A165,"/"," "),"."," "),"\"," "),"_"," ")))&amp;" ")),1,0))+IF(Task!$A$12="",0,IF(ISNUMBER(SEARCH(" "&amp;Task!$A$12&amp;" "," "&amp;LOWER(D165&amp;" "&amp;C165&amp;" "&amp;LOWER(SUBSTITUTE(SUBSTITUTE(SUBSTITUTE(SUBSTITUTE(A165,"/"," "),"."," "),"\"," "),"_"," ")))&amp;" ")),1,0))+IF(Task!$A$13="",0,IF(ISNUMBER(SEARCH(" "&amp;Task!$A$13&amp;" "," "&amp;LOWER(D165&amp;" "&amp;C165&amp;" "&amp;LOWER(SUBSTITUTE(SUBSTITUTE(SUBSTITUTE(SUBSTITUTE(A165,"/"," "),"."," "),"\"," "),"_"," ")))&amp;" ")),1,0))+IF(Task!$A$14="",0,IF(ISNUMBER(SEARCH(" "&amp;Task!$A$14&amp;" "," "&amp;LOWER(D165&amp;" "&amp;C165&amp;" "&amp;LOWER(SUBSTITUTE(SUBSTITUTE(SUBSTITUTE(SUBSTITUTE(A165,"/"," "),"."," "),"\"," "),"_"," ")))&amp;" ")),1,0))+IF(Task!$A$15="",0,IF(ISNUMBER(SEARCH(" "&amp;Task!$A$15&amp;" "," "&amp;LOWER(D165&amp;" "&amp;C165&amp;" "&amp;LOWER(SUBSTITUTE(SUBSTITUTE(SUBSTITUTE(SUBSTITUTE(A165,"/"," "),"."," "),"\"," "),"_"," ")))&amp;" ")),1,0))+IF(Task!$A$16="",0,IF(ISNUMBER(SEARCH(" "&amp;Task!$A$16&amp;" "," "&amp;LOWER(D165&amp;" "&amp;C165&amp;" "&amp;LOWER(SUBSTITUTE(SUBSTITUTE(SUBSTITUTE(SUBSTITUTE(A165,"/"," "),"."," "),"\"," "),"_"," ")))&amp;" ")),1,0))+IF(Task!$A$17="",0,IF(ISNUMBER(SEARCH(" "&amp;Task!$A$17&amp;" "," "&amp;LOWER(D165&amp;" "&amp;C165&amp;" "&amp;LOWER(SUBSTITUTE(SUBSTITUTE(SUBSTITUTE(SUBSTITUTE(A165,"/"," "),"."," "),"\"," "),"_"," ")))&amp;" ")),1,0))+IF(Task!$A$18="",0,IF(ISNUMBER(SEARCH(" "&amp;Task!$A$18&amp;" "," "&amp;LOWER(D165&amp;" "&amp;C165&amp;" "&amp;LOWER(SUBSTITUTE(SUBSTITUTE(SUBSTITUTE(SUBSTITUTE(A165,"/"," "),"."," "),"\"," "),"_"," ")))&amp;" ")),1,0))+IF(Task!$A$19="",0,IF(ISNUMBER(SEARCH(" "&amp;Task!$A$19&amp;" "," "&amp;LOWER(D165&amp;" "&amp;C165&amp;" "&amp;LOWER(SUBSTITUTE(SUBSTITUTE(SUBSTITUTE(SUBSTITUTE(A165,"/"," "),"."," "),"\"," "),"_"," ")))&amp;" ")),1,0)))</f>
        <v/>
      </c>
      <c r="G165" s="9">
        <f>IF(E165=0,0,IF(Task!$A$8="",0,IF(ISNUMBER(SEARCH(" "&amp;Task!$A$8&amp;" "," "&amp;LOWER(C165)&amp;" ")),1,0))+IF(Task!$A$9="",0,IF(ISNUMBER(SEARCH(" "&amp;Task!$A$9&amp;" "," "&amp;LOWER(C165)&amp;" ")),1,0))+IF(Task!$A$10="",0,IF(ISNUMBER(SEARCH(" "&amp;Task!$A$10&amp;" "," "&amp;LOWER(C165)&amp;" ")),1,0))+IF(Task!$A$11="",0,IF(ISNUMBER(SEARCH(" "&amp;Task!$A$11&amp;" "," "&amp;LOWER(C165)&amp;" ")),1,0))+IF(Task!$A$12="",0,IF(ISNUMBER(SEARCH(" "&amp;Task!$A$12&amp;" "," "&amp;LOWER(C165)&amp;" ")),1,0))+IF(Task!$A$13="",0,IF(ISNUMBER(SEARCH(" "&amp;Task!$A$13&amp;" "," "&amp;LOWER(C165)&amp;" ")),1,0))+IF(Task!$A$14="",0,IF(ISNUMBER(SEARCH(" "&amp;Task!$A$14&amp;" "," "&amp;LOWER(C165)&amp;" ")),1,0))+IF(Task!$A$15="",0,IF(ISNUMBER(SEARCH(" "&amp;Task!$A$15&amp;" "," "&amp;LOWER(C165)&amp;" ")),1,0))+IF(Task!$A$16="",0,IF(ISNUMBER(SEARCH(" "&amp;Task!$A$16&amp;" "," "&amp;LOWER(C165)&amp;" ")),1,0))+IF(Task!$A$17="",0,IF(ISNUMBER(SEARCH(" "&amp;Task!$A$17&amp;" "," "&amp;LOWER(C165)&amp;" ")),1,0))+IF(Task!$A$18="",0,IF(ISNUMBER(SEARCH(" "&amp;Task!$A$18&amp;" "," "&amp;LOWER(C165)&amp;" ")),1,0))+IF(Task!$A$19="",0,IF(ISNUMBER(SEARCH(" "&amp;Task!$A$19&amp;" "," "&amp;LOWER(C165)&amp;" ")),1,0)))</f>
        <v/>
      </c>
      <c r="H165" s="9">
        <f>IF(E165=0,0,IF(Task!$A$8="",0,IF(ISNUMBER(SEARCH(" "&amp;Task!$A$8&amp;" "," "&amp;LOWER(SUBSTITUTE(SUBSTITUTE(SUBSTITUTE(SUBSTITUTE(A165,"/"," "),"."," "),"\"," "),"_"," "))&amp;" ")),1,0))+IF(Task!$A$9="",0,IF(ISNUMBER(SEARCH(" "&amp;Task!$A$9&amp;" "," "&amp;LOWER(SUBSTITUTE(SUBSTITUTE(SUBSTITUTE(SUBSTITUTE(A165,"/"," "),"."," "),"\"," "),"_"," "))&amp;" ")),1,0))+IF(Task!$A$10="",0,IF(ISNUMBER(SEARCH(" "&amp;Task!$A$10&amp;" "," "&amp;LOWER(SUBSTITUTE(SUBSTITUTE(SUBSTITUTE(SUBSTITUTE(A165,"/"," "),"."," "),"\"," "),"_"," "))&amp;" ")),1,0))+IF(Task!$A$11="",0,IF(ISNUMBER(SEARCH(" "&amp;Task!$A$11&amp;" "," "&amp;LOWER(SUBSTITUTE(SUBSTITUTE(SUBSTITUTE(SUBSTITUTE(A165,"/"," "),"."," "),"\"," "),"_"," "))&amp;" ")),1,0))+IF(Task!$A$12="",0,IF(ISNUMBER(SEARCH(" "&amp;Task!$A$12&amp;" "," "&amp;LOWER(SUBSTITUTE(SUBSTITUTE(SUBSTITUTE(SUBSTITUTE(A165,"/"," "),"."," "),"\"," "),"_"," "))&amp;" ")),1,0))+IF(Task!$A$13="",0,IF(ISNUMBER(SEARCH(" "&amp;Task!$A$13&amp;" "," "&amp;LOWER(SUBSTITUTE(SUBSTITUTE(SUBSTITUTE(SUBSTITUTE(A165,"/"," "),"."," "),"\"," "),"_"," "))&amp;" ")),1,0))+IF(Task!$A$14="",0,IF(ISNUMBER(SEARCH(" "&amp;Task!$A$14&amp;" "," "&amp;LOWER(SUBSTITUTE(SUBSTITUTE(SUBSTITUTE(SUBSTITUTE(A165,"/"," "),"."," "),"\"," "),"_"," "))&amp;" ")),1,0))+IF(Task!$A$15="",0,IF(ISNUMBER(SEARCH(" "&amp;Task!$A$15&amp;" "," "&amp;LOWER(SUBSTITUTE(SUBSTITUTE(SUBSTITUTE(SUBSTITUTE(A165,"/"," "),"."," "),"\"," "),"_"," "))&amp;" ")),1,0))+IF(Task!$A$16="",0,IF(ISNUMBER(SEARCH(" "&amp;Task!$A$16&amp;" "," "&amp;LOWER(SUBSTITUTE(SUBSTITUTE(SUBSTITUTE(SUBSTITUTE(A165,"/"," "),"."," "),"\"," "),"_"," "))&amp;" ")),1,0))+IF(Task!$A$17="",0,IF(ISNUMBER(SEARCH(" "&amp;Task!$A$17&amp;" "," "&amp;LOWER(SUBSTITUTE(SUBSTITUTE(SUBSTITUTE(SUBSTITUTE(A165,"/"," "),"."," "),"\"," "),"_"," "))&amp;" ")),1,0))+IF(Task!$A$18="",0,IF(ISNUMBER(SEARCH(" "&amp;Task!$A$18&amp;" "," "&amp;LOWER(SUBSTITUTE(SUBSTITUTE(SUBSTITUTE(SUBSTITUTE(A165,"/"," "),"."," "),"\"," "),"_"," "))&amp;" ")),1,0))+IF(Task!$A$19="",0,IF(ISNUMBER(SEARCH(" "&amp;Task!$A$19&amp;" "," "&amp;LOWER(SUBSTITUTE(SUBSTITUTE(SUBSTITUTE(SUBSTITUTE(A165,"/"," "),"."," "),"\"," "),"_"," "))&amp;" ")),1,0)))</f>
        <v/>
      </c>
      <c r="I165" s="10">
        <f>IF(OR(E165=0,F165=0,Task!$B$21=0),"",F165/Task!$B$21+0.5*G165+0.25*H165)</f>
        <v/>
      </c>
      <c r="J165" s="5">
        <f>IF(I165="","",I165-ROW()/1000000)</f>
        <v/>
      </c>
      <c r="K165" s="9">
        <f>IF(J165="","",COUNTIF($J$5:$J$404,"&gt;"&amp;J165)+1)</f>
        <v/>
      </c>
    </row>
    <row r="166">
      <c r="A166" s="7" t="n"/>
      <c r="B166" s="7" t="n"/>
      <c r="C166" s="7" t="n"/>
      <c r="D166" s="7" t="n"/>
      <c r="E166" s="5">
        <f>IF(A166="",0,IF(COUNTA(Task!$B$5:$E$5)=0,1,IF(COUNTIF(Task!$B$5:$E$5,B166)&gt;0,1,0)))</f>
        <v/>
      </c>
      <c r="F166" s="9">
        <f>IF(E166=0,0,IF(Task!$A$8="",0,IF(ISNUMBER(SEARCH(" "&amp;Task!$A$8&amp;" "," "&amp;LOWER(D166&amp;" "&amp;C166&amp;" "&amp;LOWER(SUBSTITUTE(SUBSTITUTE(SUBSTITUTE(SUBSTITUTE(A166,"/"," "),"."," "),"\"," "),"_"," ")))&amp;" ")),1,0))+IF(Task!$A$9="",0,IF(ISNUMBER(SEARCH(" "&amp;Task!$A$9&amp;" "," "&amp;LOWER(D166&amp;" "&amp;C166&amp;" "&amp;LOWER(SUBSTITUTE(SUBSTITUTE(SUBSTITUTE(SUBSTITUTE(A166,"/"," "),"."," "),"\"," "),"_"," ")))&amp;" ")),1,0))+IF(Task!$A$10="",0,IF(ISNUMBER(SEARCH(" "&amp;Task!$A$10&amp;" "," "&amp;LOWER(D166&amp;" "&amp;C166&amp;" "&amp;LOWER(SUBSTITUTE(SUBSTITUTE(SUBSTITUTE(SUBSTITUTE(A166,"/"," "),"."," "),"\"," "),"_"," ")))&amp;" ")),1,0))+IF(Task!$A$11="",0,IF(ISNUMBER(SEARCH(" "&amp;Task!$A$11&amp;" "," "&amp;LOWER(D166&amp;" "&amp;C166&amp;" "&amp;LOWER(SUBSTITUTE(SUBSTITUTE(SUBSTITUTE(SUBSTITUTE(A166,"/"," "),"."," "),"\"," "),"_"," ")))&amp;" ")),1,0))+IF(Task!$A$12="",0,IF(ISNUMBER(SEARCH(" "&amp;Task!$A$12&amp;" "," "&amp;LOWER(D166&amp;" "&amp;C166&amp;" "&amp;LOWER(SUBSTITUTE(SUBSTITUTE(SUBSTITUTE(SUBSTITUTE(A166,"/"," "),"."," "),"\"," "),"_"," ")))&amp;" ")),1,0))+IF(Task!$A$13="",0,IF(ISNUMBER(SEARCH(" "&amp;Task!$A$13&amp;" "," "&amp;LOWER(D166&amp;" "&amp;C166&amp;" "&amp;LOWER(SUBSTITUTE(SUBSTITUTE(SUBSTITUTE(SUBSTITUTE(A166,"/"," "),"."," "),"\"," "),"_"," ")))&amp;" ")),1,0))+IF(Task!$A$14="",0,IF(ISNUMBER(SEARCH(" "&amp;Task!$A$14&amp;" "," "&amp;LOWER(D166&amp;" "&amp;C166&amp;" "&amp;LOWER(SUBSTITUTE(SUBSTITUTE(SUBSTITUTE(SUBSTITUTE(A166,"/"," "),"."," "),"\"," "),"_"," ")))&amp;" ")),1,0))+IF(Task!$A$15="",0,IF(ISNUMBER(SEARCH(" "&amp;Task!$A$15&amp;" "," "&amp;LOWER(D166&amp;" "&amp;C166&amp;" "&amp;LOWER(SUBSTITUTE(SUBSTITUTE(SUBSTITUTE(SUBSTITUTE(A166,"/"," "),"."," "),"\"," "),"_"," ")))&amp;" ")),1,0))+IF(Task!$A$16="",0,IF(ISNUMBER(SEARCH(" "&amp;Task!$A$16&amp;" "," "&amp;LOWER(D166&amp;" "&amp;C166&amp;" "&amp;LOWER(SUBSTITUTE(SUBSTITUTE(SUBSTITUTE(SUBSTITUTE(A166,"/"," "),"."," "),"\"," "),"_"," ")))&amp;" ")),1,0))+IF(Task!$A$17="",0,IF(ISNUMBER(SEARCH(" "&amp;Task!$A$17&amp;" "," "&amp;LOWER(D166&amp;" "&amp;C166&amp;" "&amp;LOWER(SUBSTITUTE(SUBSTITUTE(SUBSTITUTE(SUBSTITUTE(A166,"/"," "),"."," "),"\"," "),"_"," ")))&amp;" ")),1,0))+IF(Task!$A$18="",0,IF(ISNUMBER(SEARCH(" "&amp;Task!$A$18&amp;" "," "&amp;LOWER(D166&amp;" "&amp;C166&amp;" "&amp;LOWER(SUBSTITUTE(SUBSTITUTE(SUBSTITUTE(SUBSTITUTE(A166,"/"," "),"."," "),"\"," "),"_"," ")))&amp;" ")),1,0))+IF(Task!$A$19="",0,IF(ISNUMBER(SEARCH(" "&amp;Task!$A$19&amp;" "," "&amp;LOWER(D166&amp;" "&amp;C166&amp;" "&amp;LOWER(SUBSTITUTE(SUBSTITUTE(SUBSTITUTE(SUBSTITUTE(A166,"/"," "),"."," "),"\"," "),"_"," ")))&amp;" ")),1,0)))</f>
        <v/>
      </c>
      <c r="G166" s="9">
        <f>IF(E166=0,0,IF(Task!$A$8="",0,IF(ISNUMBER(SEARCH(" "&amp;Task!$A$8&amp;" "," "&amp;LOWER(C166)&amp;" ")),1,0))+IF(Task!$A$9="",0,IF(ISNUMBER(SEARCH(" "&amp;Task!$A$9&amp;" "," "&amp;LOWER(C166)&amp;" ")),1,0))+IF(Task!$A$10="",0,IF(ISNUMBER(SEARCH(" "&amp;Task!$A$10&amp;" "," "&amp;LOWER(C166)&amp;" ")),1,0))+IF(Task!$A$11="",0,IF(ISNUMBER(SEARCH(" "&amp;Task!$A$11&amp;" "," "&amp;LOWER(C166)&amp;" ")),1,0))+IF(Task!$A$12="",0,IF(ISNUMBER(SEARCH(" "&amp;Task!$A$12&amp;" "," "&amp;LOWER(C166)&amp;" ")),1,0))+IF(Task!$A$13="",0,IF(ISNUMBER(SEARCH(" "&amp;Task!$A$13&amp;" "," "&amp;LOWER(C166)&amp;" ")),1,0))+IF(Task!$A$14="",0,IF(ISNUMBER(SEARCH(" "&amp;Task!$A$14&amp;" "," "&amp;LOWER(C166)&amp;" ")),1,0))+IF(Task!$A$15="",0,IF(ISNUMBER(SEARCH(" "&amp;Task!$A$15&amp;" "," "&amp;LOWER(C166)&amp;" ")),1,0))+IF(Task!$A$16="",0,IF(ISNUMBER(SEARCH(" "&amp;Task!$A$16&amp;" "," "&amp;LOWER(C166)&amp;" ")),1,0))+IF(Task!$A$17="",0,IF(ISNUMBER(SEARCH(" "&amp;Task!$A$17&amp;" "," "&amp;LOWER(C166)&amp;" ")),1,0))+IF(Task!$A$18="",0,IF(ISNUMBER(SEARCH(" "&amp;Task!$A$18&amp;" "," "&amp;LOWER(C166)&amp;" ")),1,0))+IF(Task!$A$19="",0,IF(ISNUMBER(SEARCH(" "&amp;Task!$A$19&amp;" "," "&amp;LOWER(C166)&amp;" ")),1,0)))</f>
        <v/>
      </c>
      <c r="H166" s="9">
        <f>IF(E166=0,0,IF(Task!$A$8="",0,IF(ISNUMBER(SEARCH(" "&amp;Task!$A$8&amp;" "," "&amp;LOWER(SUBSTITUTE(SUBSTITUTE(SUBSTITUTE(SUBSTITUTE(A166,"/"," "),"."," "),"\"," "),"_"," "))&amp;" ")),1,0))+IF(Task!$A$9="",0,IF(ISNUMBER(SEARCH(" "&amp;Task!$A$9&amp;" "," "&amp;LOWER(SUBSTITUTE(SUBSTITUTE(SUBSTITUTE(SUBSTITUTE(A166,"/"," "),"."," "),"\"," "),"_"," "))&amp;" ")),1,0))+IF(Task!$A$10="",0,IF(ISNUMBER(SEARCH(" "&amp;Task!$A$10&amp;" "," "&amp;LOWER(SUBSTITUTE(SUBSTITUTE(SUBSTITUTE(SUBSTITUTE(A166,"/"," "),"."," "),"\"," "),"_"," "))&amp;" ")),1,0))+IF(Task!$A$11="",0,IF(ISNUMBER(SEARCH(" "&amp;Task!$A$11&amp;" "," "&amp;LOWER(SUBSTITUTE(SUBSTITUTE(SUBSTITUTE(SUBSTITUTE(A166,"/"," "),"."," "),"\"," "),"_"," "))&amp;" ")),1,0))+IF(Task!$A$12="",0,IF(ISNUMBER(SEARCH(" "&amp;Task!$A$12&amp;" "," "&amp;LOWER(SUBSTITUTE(SUBSTITUTE(SUBSTITUTE(SUBSTITUTE(A166,"/"," "),"."," "),"\"," "),"_"," "))&amp;" ")),1,0))+IF(Task!$A$13="",0,IF(ISNUMBER(SEARCH(" "&amp;Task!$A$13&amp;" "," "&amp;LOWER(SUBSTITUTE(SUBSTITUTE(SUBSTITUTE(SUBSTITUTE(A166,"/"," "),"."," "),"\"," "),"_"," "))&amp;" ")),1,0))+IF(Task!$A$14="",0,IF(ISNUMBER(SEARCH(" "&amp;Task!$A$14&amp;" "," "&amp;LOWER(SUBSTITUTE(SUBSTITUTE(SUBSTITUTE(SUBSTITUTE(A166,"/"," "),"."," "),"\"," "),"_"," "))&amp;" ")),1,0))+IF(Task!$A$15="",0,IF(ISNUMBER(SEARCH(" "&amp;Task!$A$15&amp;" "," "&amp;LOWER(SUBSTITUTE(SUBSTITUTE(SUBSTITUTE(SUBSTITUTE(A166,"/"," "),"."," "),"\"," "),"_"," "))&amp;" ")),1,0))+IF(Task!$A$16="",0,IF(ISNUMBER(SEARCH(" "&amp;Task!$A$16&amp;" "," "&amp;LOWER(SUBSTITUTE(SUBSTITUTE(SUBSTITUTE(SUBSTITUTE(A166,"/"," "),"."," "),"\"," "),"_"," "))&amp;" ")),1,0))+IF(Task!$A$17="",0,IF(ISNUMBER(SEARCH(" "&amp;Task!$A$17&amp;" "," "&amp;LOWER(SUBSTITUTE(SUBSTITUTE(SUBSTITUTE(SUBSTITUTE(A166,"/"," "),"."," "),"\"," "),"_"," "))&amp;" ")),1,0))+IF(Task!$A$18="",0,IF(ISNUMBER(SEARCH(" "&amp;Task!$A$18&amp;" "," "&amp;LOWER(SUBSTITUTE(SUBSTITUTE(SUBSTITUTE(SUBSTITUTE(A166,"/"," "),"."," "),"\"," "),"_"," "))&amp;" ")),1,0))+IF(Task!$A$19="",0,IF(ISNUMBER(SEARCH(" "&amp;Task!$A$19&amp;" "," "&amp;LOWER(SUBSTITUTE(SUBSTITUTE(SUBSTITUTE(SUBSTITUTE(A166,"/"," "),"."," "),"\"," "),"_"," "))&amp;" ")),1,0)))</f>
        <v/>
      </c>
      <c r="I166" s="10">
        <f>IF(OR(E166=0,F166=0,Task!$B$21=0),"",F166/Task!$B$21+0.5*G166+0.25*H166)</f>
        <v/>
      </c>
      <c r="J166" s="5">
        <f>IF(I166="","",I166-ROW()/1000000)</f>
        <v/>
      </c>
      <c r="K166" s="9">
        <f>IF(J166="","",COUNTIF($J$5:$J$404,"&gt;"&amp;J166)+1)</f>
        <v/>
      </c>
    </row>
    <row r="167">
      <c r="A167" s="7" t="n"/>
      <c r="B167" s="7" t="n"/>
      <c r="C167" s="7" t="n"/>
      <c r="D167" s="7" t="n"/>
      <c r="E167" s="5">
        <f>IF(A167="",0,IF(COUNTA(Task!$B$5:$E$5)=0,1,IF(COUNTIF(Task!$B$5:$E$5,B167)&gt;0,1,0)))</f>
        <v/>
      </c>
      <c r="F167" s="9">
        <f>IF(E167=0,0,IF(Task!$A$8="",0,IF(ISNUMBER(SEARCH(" "&amp;Task!$A$8&amp;" "," "&amp;LOWER(D167&amp;" "&amp;C167&amp;" "&amp;LOWER(SUBSTITUTE(SUBSTITUTE(SUBSTITUTE(SUBSTITUTE(A167,"/"," "),"."," "),"\"," "),"_"," ")))&amp;" ")),1,0))+IF(Task!$A$9="",0,IF(ISNUMBER(SEARCH(" "&amp;Task!$A$9&amp;" "," "&amp;LOWER(D167&amp;" "&amp;C167&amp;" "&amp;LOWER(SUBSTITUTE(SUBSTITUTE(SUBSTITUTE(SUBSTITUTE(A167,"/"," "),"."," "),"\"," "),"_"," ")))&amp;" ")),1,0))+IF(Task!$A$10="",0,IF(ISNUMBER(SEARCH(" "&amp;Task!$A$10&amp;" "," "&amp;LOWER(D167&amp;" "&amp;C167&amp;" "&amp;LOWER(SUBSTITUTE(SUBSTITUTE(SUBSTITUTE(SUBSTITUTE(A167,"/"," "),"."," "),"\"," "),"_"," ")))&amp;" ")),1,0))+IF(Task!$A$11="",0,IF(ISNUMBER(SEARCH(" "&amp;Task!$A$11&amp;" "," "&amp;LOWER(D167&amp;" "&amp;C167&amp;" "&amp;LOWER(SUBSTITUTE(SUBSTITUTE(SUBSTITUTE(SUBSTITUTE(A167,"/"," "),"."," "),"\"," "),"_"," ")))&amp;" ")),1,0))+IF(Task!$A$12="",0,IF(ISNUMBER(SEARCH(" "&amp;Task!$A$12&amp;" "," "&amp;LOWER(D167&amp;" "&amp;C167&amp;" "&amp;LOWER(SUBSTITUTE(SUBSTITUTE(SUBSTITUTE(SUBSTITUTE(A167,"/"," "),"."," "),"\"," "),"_"," ")))&amp;" ")),1,0))+IF(Task!$A$13="",0,IF(ISNUMBER(SEARCH(" "&amp;Task!$A$13&amp;" "," "&amp;LOWER(D167&amp;" "&amp;C167&amp;" "&amp;LOWER(SUBSTITUTE(SUBSTITUTE(SUBSTITUTE(SUBSTITUTE(A167,"/"," "),"."," "),"\"," "),"_"," ")))&amp;" ")),1,0))+IF(Task!$A$14="",0,IF(ISNUMBER(SEARCH(" "&amp;Task!$A$14&amp;" "," "&amp;LOWER(D167&amp;" "&amp;C167&amp;" "&amp;LOWER(SUBSTITUTE(SUBSTITUTE(SUBSTITUTE(SUBSTITUTE(A167,"/"," "),"."," "),"\"," "),"_"," ")))&amp;" ")),1,0))+IF(Task!$A$15="",0,IF(ISNUMBER(SEARCH(" "&amp;Task!$A$15&amp;" "," "&amp;LOWER(D167&amp;" "&amp;C167&amp;" "&amp;LOWER(SUBSTITUTE(SUBSTITUTE(SUBSTITUTE(SUBSTITUTE(A167,"/"," "),"."," "),"\"," "),"_"," ")))&amp;" ")),1,0))+IF(Task!$A$16="",0,IF(ISNUMBER(SEARCH(" "&amp;Task!$A$16&amp;" "," "&amp;LOWER(D167&amp;" "&amp;C167&amp;" "&amp;LOWER(SUBSTITUTE(SUBSTITUTE(SUBSTITUTE(SUBSTITUTE(A167,"/"," "),"."," "),"\"," "),"_"," ")))&amp;" ")),1,0))+IF(Task!$A$17="",0,IF(ISNUMBER(SEARCH(" "&amp;Task!$A$17&amp;" "," "&amp;LOWER(D167&amp;" "&amp;C167&amp;" "&amp;LOWER(SUBSTITUTE(SUBSTITUTE(SUBSTITUTE(SUBSTITUTE(A167,"/"," "),"."," "),"\"," "),"_"," ")))&amp;" ")),1,0))+IF(Task!$A$18="",0,IF(ISNUMBER(SEARCH(" "&amp;Task!$A$18&amp;" "," "&amp;LOWER(D167&amp;" "&amp;C167&amp;" "&amp;LOWER(SUBSTITUTE(SUBSTITUTE(SUBSTITUTE(SUBSTITUTE(A167,"/"," "),"."," "),"\"," "),"_"," ")))&amp;" ")),1,0))+IF(Task!$A$19="",0,IF(ISNUMBER(SEARCH(" "&amp;Task!$A$19&amp;" "," "&amp;LOWER(D167&amp;" "&amp;C167&amp;" "&amp;LOWER(SUBSTITUTE(SUBSTITUTE(SUBSTITUTE(SUBSTITUTE(A167,"/"," "),"."," "),"\"," "),"_"," ")))&amp;" ")),1,0)))</f>
        <v/>
      </c>
      <c r="G167" s="9">
        <f>IF(E167=0,0,IF(Task!$A$8="",0,IF(ISNUMBER(SEARCH(" "&amp;Task!$A$8&amp;" "," "&amp;LOWER(C167)&amp;" ")),1,0))+IF(Task!$A$9="",0,IF(ISNUMBER(SEARCH(" "&amp;Task!$A$9&amp;" "," "&amp;LOWER(C167)&amp;" ")),1,0))+IF(Task!$A$10="",0,IF(ISNUMBER(SEARCH(" "&amp;Task!$A$10&amp;" "," "&amp;LOWER(C167)&amp;" ")),1,0))+IF(Task!$A$11="",0,IF(ISNUMBER(SEARCH(" "&amp;Task!$A$11&amp;" "," "&amp;LOWER(C167)&amp;" ")),1,0))+IF(Task!$A$12="",0,IF(ISNUMBER(SEARCH(" "&amp;Task!$A$12&amp;" "," "&amp;LOWER(C167)&amp;" ")),1,0))+IF(Task!$A$13="",0,IF(ISNUMBER(SEARCH(" "&amp;Task!$A$13&amp;" "," "&amp;LOWER(C167)&amp;" ")),1,0))+IF(Task!$A$14="",0,IF(ISNUMBER(SEARCH(" "&amp;Task!$A$14&amp;" "," "&amp;LOWER(C167)&amp;" ")),1,0))+IF(Task!$A$15="",0,IF(ISNUMBER(SEARCH(" "&amp;Task!$A$15&amp;" "," "&amp;LOWER(C167)&amp;" ")),1,0))+IF(Task!$A$16="",0,IF(ISNUMBER(SEARCH(" "&amp;Task!$A$16&amp;" "," "&amp;LOWER(C167)&amp;" ")),1,0))+IF(Task!$A$17="",0,IF(ISNUMBER(SEARCH(" "&amp;Task!$A$17&amp;" "," "&amp;LOWER(C167)&amp;" ")),1,0))+IF(Task!$A$18="",0,IF(ISNUMBER(SEARCH(" "&amp;Task!$A$18&amp;" "," "&amp;LOWER(C167)&amp;" ")),1,0))+IF(Task!$A$19="",0,IF(ISNUMBER(SEARCH(" "&amp;Task!$A$19&amp;" "," "&amp;LOWER(C167)&amp;" ")),1,0)))</f>
        <v/>
      </c>
      <c r="H167" s="9">
        <f>IF(E167=0,0,IF(Task!$A$8="",0,IF(ISNUMBER(SEARCH(" "&amp;Task!$A$8&amp;" "," "&amp;LOWER(SUBSTITUTE(SUBSTITUTE(SUBSTITUTE(SUBSTITUTE(A167,"/"," "),"."," "),"\"," "),"_"," "))&amp;" ")),1,0))+IF(Task!$A$9="",0,IF(ISNUMBER(SEARCH(" "&amp;Task!$A$9&amp;" "," "&amp;LOWER(SUBSTITUTE(SUBSTITUTE(SUBSTITUTE(SUBSTITUTE(A167,"/"," "),"."," "),"\"," "),"_"," "))&amp;" ")),1,0))+IF(Task!$A$10="",0,IF(ISNUMBER(SEARCH(" "&amp;Task!$A$10&amp;" "," "&amp;LOWER(SUBSTITUTE(SUBSTITUTE(SUBSTITUTE(SUBSTITUTE(A167,"/"," "),"."," "),"\"," "),"_"," "))&amp;" ")),1,0))+IF(Task!$A$11="",0,IF(ISNUMBER(SEARCH(" "&amp;Task!$A$11&amp;" "," "&amp;LOWER(SUBSTITUTE(SUBSTITUTE(SUBSTITUTE(SUBSTITUTE(A167,"/"," "),"."," "),"\"," "),"_"," "))&amp;" ")),1,0))+IF(Task!$A$12="",0,IF(ISNUMBER(SEARCH(" "&amp;Task!$A$12&amp;" "," "&amp;LOWER(SUBSTITUTE(SUBSTITUTE(SUBSTITUTE(SUBSTITUTE(A167,"/"," "),"."," "),"\"," "),"_"," "))&amp;" ")),1,0))+IF(Task!$A$13="",0,IF(ISNUMBER(SEARCH(" "&amp;Task!$A$13&amp;" "," "&amp;LOWER(SUBSTITUTE(SUBSTITUTE(SUBSTITUTE(SUBSTITUTE(A167,"/"," "),"."," "),"\"," "),"_"," "))&amp;" ")),1,0))+IF(Task!$A$14="",0,IF(ISNUMBER(SEARCH(" "&amp;Task!$A$14&amp;" "," "&amp;LOWER(SUBSTITUTE(SUBSTITUTE(SUBSTITUTE(SUBSTITUTE(A167,"/"," "),"."," "),"\"," "),"_"," "))&amp;" ")),1,0))+IF(Task!$A$15="",0,IF(ISNUMBER(SEARCH(" "&amp;Task!$A$15&amp;" "," "&amp;LOWER(SUBSTITUTE(SUBSTITUTE(SUBSTITUTE(SUBSTITUTE(A167,"/"," "),"."," "),"\"," "),"_"," "))&amp;" ")),1,0))+IF(Task!$A$16="",0,IF(ISNUMBER(SEARCH(" "&amp;Task!$A$16&amp;" "," "&amp;LOWER(SUBSTITUTE(SUBSTITUTE(SUBSTITUTE(SUBSTITUTE(A167,"/"," "),"."," "),"\"," "),"_"," "))&amp;" ")),1,0))+IF(Task!$A$17="",0,IF(ISNUMBER(SEARCH(" "&amp;Task!$A$17&amp;" "," "&amp;LOWER(SUBSTITUTE(SUBSTITUTE(SUBSTITUTE(SUBSTITUTE(A167,"/"," "),"."," "),"\"," "),"_"," "))&amp;" ")),1,0))+IF(Task!$A$18="",0,IF(ISNUMBER(SEARCH(" "&amp;Task!$A$18&amp;" "," "&amp;LOWER(SUBSTITUTE(SUBSTITUTE(SUBSTITUTE(SUBSTITUTE(A167,"/"," "),"."," "),"\"," "),"_"," "))&amp;" ")),1,0))+IF(Task!$A$19="",0,IF(ISNUMBER(SEARCH(" "&amp;Task!$A$19&amp;" "," "&amp;LOWER(SUBSTITUTE(SUBSTITUTE(SUBSTITUTE(SUBSTITUTE(A167,"/"," "),"."," "),"\"," "),"_"," "))&amp;" ")),1,0)))</f>
        <v/>
      </c>
      <c r="I167" s="10">
        <f>IF(OR(E167=0,F167=0,Task!$B$21=0),"",F167/Task!$B$21+0.5*G167+0.25*H167)</f>
        <v/>
      </c>
      <c r="J167" s="5">
        <f>IF(I167="","",I167-ROW()/1000000)</f>
        <v/>
      </c>
      <c r="K167" s="9">
        <f>IF(J167="","",COUNTIF($J$5:$J$404,"&gt;"&amp;J167)+1)</f>
        <v/>
      </c>
    </row>
    <row r="168">
      <c r="A168" s="7" t="n"/>
      <c r="B168" s="7" t="n"/>
      <c r="C168" s="7" t="n"/>
      <c r="D168" s="7" t="n"/>
      <c r="E168" s="5">
        <f>IF(A168="",0,IF(COUNTA(Task!$B$5:$E$5)=0,1,IF(COUNTIF(Task!$B$5:$E$5,B168)&gt;0,1,0)))</f>
        <v/>
      </c>
      <c r="F168" s="9">
        <f>IF(E168=0,0,IF(Task!$A$8="",0,IF(ISNUMBER(SEARCH(" "&amp;Task!$A$8&amp;" "," "&amp;LOWER(D168&amp;" "&amp;C168&amp;" "&amp;LOWER(SUBSTITUTE(SUBSTITUTE(SUBSTITUTE(SUBSTITUTE(A168,"/"," "),"."," "),"\"," "),"_"," ")))&amp;" ")),1,0))+IF(Task!$A$9="",0,IF(ISNUMBER(SEARCH(" "&amp;Task!$A$9&amp;" "," "&amp;LOWER(D168&amp;" "&amp;C168&amp;" "&amp;LOWER(SUBSTITUTE(SUBSTITUTE(SUBSTITUTE(SUBSTITUTE(A168,"/"," "),"."," "),"\"," "),"_"," ")))&amp;" ")),1,0))+IF(Task!$A$10="",0,IF(ISNUMBER(SEARCH(" "&amp;Task!$A$10&amp;" "," "&amp;LOWER(D168&amp;" "&amp;C168&amp;" "&amp;LOWER(SUBSTITUTE(SUBSTITUTE(SUBSTITUTE(SUBSTITUTE(A168,"/"," "),"."," "),"\"," "),"_"," ")))&amp;" ")),1,0))+IF(Task!$A$11="",0,IF(ISNUMBER(SEARCH(" "&amp;Task!$A$11&amp;" "," "&amp;LOWER(D168&amp;" "&amp;C168&amp;" "&amp;LOWER(SUBSTITUTE(SUBSTITUTE(SUBSTITUTE(SUBSTITUTE(A168,"/"," "),"."," "),"\"," "),"_"," ")))&amp;" ")),1,0))+IF(Task!$A$12="",0,IF(ISNUMBER(SEARCH(" "&amp;Task!$A$12&amp;" "," "&amp;LOWER(D168&amp;" "&amp;C168&amp;" "&amp;LOWER(SUBSTITUTE(SUBSTITUTE(SUBSTITUTE(SUBSTITUTE(A168,"/"," "),"."," "),"\"," "),"_"," ")))&amp;" ")),1,0))+IF(Task!$A$13="",0,IF(ISNUMBER(SEARCH(" "&amp;Task!$A$13&amp;" "," "&amp;LOWER(D168&amp;" "&amp;C168&amp;" "&amp;LOWER(SUBSTITUTE(SUBSTITUTE(SUBSTITUTE(SUBSTITUTE(A168,"/"," "),"."," "),"\"," "),"_"," ")))&amp;" ")),1,0))+IF(Task!$A$14="",0,IF(ISNUMBER(SEARCH(" "&amp;Task!$A$14&amp;" "," "&amp;LOWER(D168&amp;" "&amp;C168&amp;" "&amp;LOWER(SUBSTITUTE(SUBSTITUTE(SUBSTITUTE(SUBSTITUTE(A168,"/"," "),"."," "),"\"," "),"_"," ")))&amp;" ")),1,0))+IF(Task!$A$15="",0,IF(ISNUMBER(SEARCH(" "&amp;Task!$A$15&amp;" "," "&amp;LOWER(D168&amp;" "&amp;C168&amp;" "&amp;LOWER(SUBSTITUTE(SUBSTITUTE(SUBSTITUTE(SUBSTITUTE(A168,"/"," "),"."," "),"\"," "),"_"," ")))&amp;" ")),1,0))+IF(Task!$A$16="",0,IF(ISNUMBER(SEARCH(" "&amp;Task!$A$16&amp;" "," "&amp;LOWER(D168&amp;" "&amp;C168&amp;" "&amp;LOWER(SUBSTITUTE(SUBSTITUTE(SUBSTITUTE(SUBSTITUTE(A168,"/"," "),"."," "),"\"," "),"_"," ")))&amp;" ")),1,0))+IF(Task!$A$17="",0,IF(ISNUMBER(SEARCH(" "&amp;Task!$A$17&amp;" "," "&amp;LOWER(D168&amp;" "&amp;C168&amp;" "&amp;LOWER(SUBSTITUTE(SUBSTITUTE(SUBSTITUTE(SUBSTITUTE(A168,"/"," "),"."," "),"\"," "),"_"," ")))&amp;" ")),1,0))+IF(Task!$A$18="",0,IF(ISNUMBER(SEARCH(" "&amp;Task!$A$18&amp;" "," "&amp;LOWER(D168&amp;" "&amp;C168&amp;" "&amp;LOWER(SUBSTITUTE(SUBSTITUTE(SUBSTITUTE(SUBSTITUTE(A168,"/"," "),"."," "),"\"," "),"_"," ")))&amp;" ")),1,0))+IF(Task!$A$19="",0,IF(ISNUMBER(SEARCH(" "&amp;Task!$A$19&amp;" "," "&amp;LOWER(D168&amp;" "&amp;C168&amp;" "&amp;LOWER(SUBSTITUTE(SUBSTITUTE(SUBSTITUTE(SUBSTITUTE(A168,"/"," "),"."," "),"\"," "),"_"," ")))&amp;" ")),1,0)))</f>
        <v/>
      </c>
      <c r="G168" s="9">
        <f>IF(E168=0,0,IF(Task!$A$8="",0,IF(ISNUMBER(SEARCH(" "&amp;Task!$A$8&amp;" "," "&amp;LOWER(C168)&amp;" ")),1,0))+IF(Task!$A$9="",0,IF(ISNUMBER(SEARCH(" "&amp;Task!$A$9&amp;" "," "&amp;LOWER(C168)&amp;" ")),1,0))+IF(Task!$A$10="",0,IF(ISNUMBER(SEARCH(" "&amp;Task!$A$10&amp;" "," "&amp;LOWER(C168)&amp;" ")),1,0))+IF(Task!$A$11="",0,IF(ISNUMBER(SEARCH(" "&amp;Task!$A$11&amp;" "," "&amp;LOWER(C168)&amp;" ")),1,0))+IF(Task!$A$12="",0,IF(ISNUMBER(SEARCH(" "&amp;Task!$A$12&amp;" "," "&amp;LOWER(C168)&amp;" ")),1,0))+IF(Task!$A$13="",0,IF(ISNUMBER(SEARCH(" "&amp;Task!$A$13&amp;" "," "&amp;LOWER(C168)&amp;" ")),1,0))+IF(Task!$A$14="",0,IF(ISNUMBER(SEARCH(" "&amp;Task!$A$14&amp;" "," "&amp;LOWER(C168)&amp;" ")),1,0))+IF(Task!$A$15="",0,IF(ISNUMBER(SEARCH(" "&amp;Task!$A$15&amp;" "," "&amp;LOWER(C168)&amp;" ")),1,0))+IF(Task!$A$16="",0,IF(ISNUMBER(SEARCH(" "&amp;Task!$A$16&amp;" "," "&amp;LOWER(C168)&amp;" ")),1,0))+IF(Task!$A$17="",0,IF(ISNUMBER(SEARCH(" "&amp;Task!$A$17&amp;" "," "&amp;LOWER(C168)&amp;" ")),1,0))+IF(Task!$A$18="",0,IF(ISNUMBER(SEARCH(" "&amp;Task!$A$18&amp;" "," "&amp;LOWER(C168)&amp;" ")),1,0))+IF(Task!$A$19="",0,IF(ISNUMBER(SEARCH(" "&amp;Task!$A$19&amp;" "," "&amp;LOWER(C168)&amp;" ")),1,0)))</f>
        <v/>
      </c>
      <c r="H168" s="9">
        <f>IF(E168=0,0,IF(Task!$A$8="",0,IF(ISNUMBER(SEARCH(" "&amp;Task!$A$8&amp;" "," "&amp;LOWER(SUBSTITUTE(SUBSTITUTE(SUBSTITUTE(SUBSTITUTE(A168,"/"," "),"."," "),"\"," "),"_"," "))&amp;" ")),1,0))+IF(Task!$A$9="",0,IF(ISNUMBER(SEARCH(" "&amp;Task!$A$9&amp;" "," "&amp;LOWER(SUBSTITUTE(SUBSTITUTE(SUBSTITUTE(SUBSTITUTE(A168,"/"," "),"."," "),"\"," "),"_"," "))&amp;" ")),1,0))+IF(Task!$A$10="",0,IF(ISNUMBER(SEARCH(" "&amp;Task!$A$10&amp;" "," "&amp;LOWER(SUBSTITUTE(SUBSTITUTE(SUBSTITUTE(SUBSTITUTE(A168,"/"," "),"."," "),"\"," "),"_"," "))&amp;" ")),1,0))+IF(Task!$A$11="",0,IF(ISNUMBER(SEARCH(" "&amp;Task!$A$11&amp;" "," "&amp;LOWER(SUBSTITUTE(SUBSTITUTE(SUBSTITUTE(SUBSTITUTE(A168,"/"," "),"."," "),"\"," "),"_"," "))&amp;" ")),1,0))+IF(Task!$A$12="",0,IF(ISNUMBER(SEARCH(" "&amp;Task!$A$12&amp;" "," "&amp;LOWER(SUBSTITUTE(SUBSTITUTE(SUBSTITUTE(SUBSTITUTE(A168,"/"," "),"."," "),"\"," "),"_"," "))&amp;" ")),1,0))+IF(Task!$A$13="",0,IF(ISNUMBER(SEARCH(" "&amp;Task!$A$13&amp;" "," "&amp;LOWER(SUBSTITUTE(SUBSTITUTE(SUBSTITUTE(SUBSTITUTE(A168,"/"," "),"."," "),"\"," "),"_"," "))&amp;" ")),1,0))+IF(Task!$A$14="",0,IF(ISNUMBER(SEARCH(" "&amp;Task!$A$14&amp;" "," "&amp;LOWER(SUBSTITUTE(SUBSTITUTE(SUBSTITUTE(SUBSTITUTE(A168,"/"," "),"."," "),"\"," "),"_"," "))&amp;" ")),1,0))+IF(Task!$A$15="",0,IF(ISNUMBER(SEARCH(" "&amp;Task!$A$15&amp;" "," "&amp;LOWER(SUBSTITUTE(SUBSTITUTE(SUBSTITUTE(SUBSTITUTE(A168,"/"," "),"."," "),"\"," "),"_"," "))&amp;" ")),1,0))+IF(Task!$A$16="",0,IF(ISNUMBER(SEARCH(" "&amp;Task!$A$16&amp;" "," "&amp;LOWER(SUBSTITUTE(SUBSTITUTE(SUBSTITUTE(SUBSTITUTE(A168,"/"," "),"."," "),"\"," "),"_"," "))&amp;" ")),1,0))+IF(Task!$A$17="",0,IF(ISNUMBER(SEARCH(" "&amp;Task!$A$17&amp;" "," "&amp;LOWER(SUBSTITUTE(SUBSTITUTE(SUBSTITUTE(SUBSTITUTE(A168,"/"," "),"."," "),"\"," "),"_"," "))&amp;" ")),1,0))+IF(Task!$A$18="",0,IF(ISNUMBER(SEARCH(" "&amp;Task!$A$18&amp;" "," "&amp;LOWER(SUBSTITUTE(SUBSTITUTE(SUBSTITUTE(SUBSTITUTE(A168,"/"," "),"."," "),"\"," "),"_"," "))&amp;" ")),1,0))+IF(Task!$A$19="",0,IF(ISNUMBER(SEARCH(" "&amp;Task!$A$19&amp;" "," "&amp;LOWER(SUBSTITUTE(SUBSTITUTE(SUBSTITUTE(SUBSTITUTE(A168,"/"," "),"."," "),"\"," "),"_"," "))&amp;" ")),1,0)))</f>
        <v/>
      </c>
      <c r="I168" s="10">
        <f>IF(OR(E168=0,F168=0,Task!$B$21=0),"",F168/Task!$B$21+0.5*G168+0.25*H168)</f>
        <v/>
      </c>
      <c r="J168" s="5">
        <f>IF(I168="","",I168-ROW()/1000000)</f>
        <v/>
      </c>
      <c r="K168" s="9">
        <f>IF(J168="","",COUNTIF($J$5:$J$404,"&gt;"&amp;J168)+1)</f>
        <v/>
      </c>
    </row>
    <row r="169">
      <c r="A169" s="7" t="n"/>
      <c r="B169" s="7" t="n"/>
      <c r="C169" s="7" t="n"/>
      <c r="D169" s="7" t="n"/>
      <c r="E169" s="5">
        <f>IF(A169="",0,IF(COUNTA(Task!$B$5:$E$5)=0,1,IF(COUNTIF(Task!$B$5:$E$5,B169)&gt;0,1,0)))</f>
        <v/>
      </c>
      <c r="F169" s="9">
        <f>IF(E169=0,0,IF(Task!$A$8="",0,IF(ISNUMBER(SEARCH(" "&amp;Task!$A$8&amp;" "," "&amp;LOWER(D169&amp;" "&amp;C169&amp;" "&amp;LOWER(SUBSTITUTE(SUBSTITUTE(SUBSTITUTE(SUBSTITUTE(A169,"/"," "),"."," "),"\"," "),"_"," ")))&amp;" ")),1,0))+IF(Task!$A$9="",0,IF(ISNUMBER(SEARCH(" "&amp;Task!$A$9&amp;" "," "&amp;LOWER(D169&amp;" "&amp;C169&amp;" "&amp;LOWER(SUBSTITUTE(SUBSTITUTE(SUBSTITUTE(SUBSTITUTE(A169,"/"," "),"."," "),"\"," "),"_"," ")))&amp;" ")),1,0))+IF(Task!$A$10="",0,IF(ISNUMBER(SEARCH(" "&amp;Task!$A$10&amp;" "," "&amp;LOWER(D169&amp;" "&amp;C169&amp;" "&amp;LOWER(SUBSTITUTE(SUBSTITUTE(SUBSTITUTE(SUBSTITUTE(A169,"/"," "),"."," "),"\"," "),"_"," ")))&amp;" ")),1,0))+IF(Task!$A$11="",0,IF(ISNUMBER(SEARCH(" "&amp;Task!$A$11&amp;" "," "&amp;LOWER(D169&amp;" "&amp;C169&amp;" "&amp;LOWER(SUBSTITUTE(SUBSTITUTE(SUBSTITUTE(SUBSTITUTE(A169,"/"," "),"."," "),"\"," "),"_"," ")))&amp;" ")),1,0))+IF(Task!$A$12="",0,IF(ISNUMBER(SEARCH(" "&amp;Task!$A$12&amp;" "," "&amp;LOWER(D169&amp;" "&amp;C169&amp;" "&amp;LOWER(SUBSTITUTE(SUBSTITUTE(SUBSTITUTE(SUBSTITUTE(A169,"/"," "),"."," "),"\"," "),"_"," ")))&amp;" ")),1,0))+IF(Task!$A$13="",0,IF(ISNUMBER(SEARCH(" "&amp;Task!$A$13&amp;" "," "&amp;LOWER(D169&amp;" "&amp;C169&amp;" "&amp;LOWER(SUBSTITUTE(SUBSTITUTE(SUBSTITUTE(SUBSTITUTE(A169,"/"," "),"."," "),"\"," "),"_"," ")))&amp;" ")),1,0))+IF(Task!$A$14="",0,IF(ISNUMBER(SEARCH(" "&amp;Task!$A$14&amp;" "," "&amp;LOWER(D169&amp;" "&amp;C169&amp;" "&amp;LOWER(SUBSTITUTE(SUBSTITUTE(SUBSTITUTE(SUBSTITUTE(A169,"/"," "),"."," "),"\"," "),"_"," ")))&amp;" ")),1,0))+IF(Task!$A$15="",0,IF(ISNUMBER(SEARCH(" "&amp;Task!$A$15&amp;" "," "&amp;LOWER(D169&amp;" "&amp;C169&amp;" "&amp;LOWER(SUBSTITUTE(SUBSTITUTE(SUBSTITUTE(SUBSTITUTE(A169,"/"," "),"."," "),"\"," "),"_"," ")))&amp;" ")),1,0))+IF(Task!$A$16="",0,IF(ISNUMBER(SEARCH(" "&amp;Task!$A$16&amp;" "," "&amp;LOWER(D169&amp;" "&amp;C169&amp;" "&amp;LOWER(SUBSTITUTE(SUBSTITUTE(SUBSTITUTE(SUBSTITUTE(A169,"/"," "),"."," "),"\"," "),"_"," ")))&amp;" ")),1,0))+IF(Task!$A$17="",0,IF(ISNUMBER(SEARCH(" "&amp;Task!$A$17&amp;" "," "&amp;LOWER(D169&amp;" "&amp;C169&amp;" "&amp;LOWER(SUBSTITUTE(SUBSTITUTE(SUBSTITUTE(SUBSTITUTE(A169,"/"," "),"."," "),"\"," "),"_"," ")))&amp;" ")),1,0))+IF(Task!$A$18="",0,IF(ISNUMBER(SEARCH(" "&amp;Task!$A$18&amp;" "," "&amp;LOWER(D169&amp;" "&amp;C169&amp;" "&amp;LOWER(SUBSTITUTE(SUBSTITUTE(SUBSTITUTE(SUBSTITUTE(A169,"/"," "),"."," "),"\"," "),"_"," ")))&amp;" ")),1,0))+IF(Task!$A$19="",0,IF(ISNUMBER(SEARCH(" "&amp;Task!$A$19&amp;" "," "&amp;LOWER(D169&amp;" "&amp;C169&amp;" "&amp;LOWER(SUBSTITUTE(SUBSTITUTE(SUBSTITUTE(SUBSTITUTE(A169,"/"," "),"."," "),"\"," "),"_"," ")))&amp;" ")),1,0)))</f>
        <v/>
      </c>
      <c r="G169" s="9">
        <f>IF(E169=0,0,IF(Task!$A$8="",0,IF(ISNUMBER(SEARCH(" "&amp;Task!$A$8&amp;" "," "&amp;LOWER(C169)&amp;" ")),1,0))+IF(Task!$A$9="",0,IF(ISNUMBER(SEARCH(" "&amp;Task!$A$9&amp;" "," "&amp;LOWER(C169)&amp;" ")),1,0))+IF(Task!$A$10="",0,IF(ISNUMBER(SEARCH(" "&amp;Task!$A$10&amp;" "," "&amp;LOWER(C169)&amp;" ")),1,0))+IF(Task!$A$11="",0,IF(ISNUMBER(SEARCH(" "&amp;Task!$A$11&amp;" "," "&amp;LOWER(C169)&amp;" ")),1,0))+IF(Task!$A$12="",0,IF(ISNUMBER(SEARCH(" "&amp;Task!$A$12&amp;" "," "&amp;LOWER(C169)&amp;" ")),1,0))+IF(Task!$A$13="",0,IF(ISNUMBER(SEARCH(" "&amp;Task!$A$13&amp;" "," "&amp;LOWER(C169)&amp;" ")),1,0))+IF(Task!$A$14="",0,IF(ISNUMBER(SEARCH(" "&amp;Task!$A$14&amp;" "," "&amp;LOWER(C169)&amp;" ")),1,0))+IF(Task!$A$15="",0,IF(ISNUMBER(SEARCH(" "&amp;Task!$A$15&amp;" "," "&amp;LOWER(C169)&amp;" ")),1,0))+IF(Task!$A$16="",0,IF(ISNUMBER(SEARCH(" "&amp;Task!$A$16&amp;" "," "&amp;LOWER(C169)&amp;" ")),1,0))+IF(Task!$A$17="",0,IF(ISNUMBER(SEARCH(" "&amp;Task!$A$17&amp;" "," "&amp;LOWER(C169)&amp;" ")),1,0))+IF(Task!$A$18="",0,IF(ISNUMBER(SEARCH(" "&amp;Task!$A$18&amp;" "," "&amp;LOWER(C169)&amp;" ")),1,0))+IF(Task!$A$19="",0,IF(ISNUMBER(SEARCH(" "&amp;Task!$A$19&amp;" "," "&amp;LOWER(C169)&amp;" ")),1,0)))</f>
        <v/>
      </c>
      <c r="H169" s="9">
        <f>IF(E169=0,0,IF(Task!$A$8="",0,IF(ISNUMBER(SEARCH(" "&amp;Task!$A$8&amp;" "," "&amp;LOWER(SUBSTITUTE(SUBSTITUTE(SUBSTITUTE(SUBSTITUTE(A169,"/"," "),"."," "),"\"," "),"_"," "))&amp;" ")),1,0))+IF(Task!$A$9="",0,IF(ISNUMBER(SEARCH(" "&amp;Task!$A$9&amp;" "," "&amp;LOWER(SUBSTITUTE(SUBSTITUTE(SUBSTITUTE(SUBSTITUTE(A169,"/"," "),"."," "),"\"," "),"_"," "))&amp;" ")),1,0))+IF(Task!$A$10="",0,IF(ISNUMBER(SEARCH(" "&amp;Task!$A$10&amp;" "," "&amp;LOWER(SUBSTITUTE(SUBSTITUTE(SUBSTITUTE(SUBSTITUTE(A169,"/"," "),"."," "),"\"," "),"_"," "))&amp;" ")),1,0))+IF(Task!$A$11="",0,IF(ISNUMBER(SEARCH(" "&amp;Task!$A$11&amp;" "," "&amp;LOWER(SUBSTITUTE(SUBSTITUTE(SUBSTITUTE(SUBSTITUTE(A169,"/"," "),"."," "),"\"," "),"_"," "))&amp;" ")),1,0))+IF(Task!$A$12="",0,IF(ISNUMBER(SEARCH(" "&amp;Task!$A$12&amp;" "," "&amp;LOWER(SUBSTITUTE(SUBSTITUTE(SUBSTITUTE(SUBSTITUTE(A169,"/"," "),"."," "),"\"," "),"_"," "))&amp;" ")),1,0))+IF(Task!$A$13="",0,IF(ISNUMBER(SEARCH(" "&amp;Task!$A$13&amp;" "," "&amp;LOWER(SUBSTITUTE(SUBSTITUTE(SUBSTITUTE(SUBSTITUTE(A169,"/"," "),"."," "),"\"," "),"_"," "))&amp;" ")),1,0))+IF(Task!$A$14="",0,IF(ISNUMBER(SEARCH(" "&amp;Task!$A$14&amp;" "," "&amp;LOWER(SUBSTITUTE(SUBSTITUTE(SUBSTITUTE(SUBSTITUTE(A169,"/"," "),"."," "),"\"," "),"_"," "))&amp;" ")),1,0))+IF(Task!$A$15="",0,IF(ISNUMBER(SEARCH(" "&amp;Task!$A$15&amp;" "," "&amp;LOWER(SUBSTITUTE(SUBSTITUTE(SUBSTITUTE(SUBSTITUTE(A169,"/"," "),"."," "),"\"," "),"_"," "))&amp;" ")),1,0))+IF(Task!$A$16="",0,IF(ISNUMBER(SEARCH(" "&amp;Task!$A$16&amp;" "," "&amp;LOWER(SUBSTITUTE(SUBSTITUTE(SUBSTITUTE(SUBSTITUTE(A169,"/"," "),"."," "),"\"," "),"_"," "))&amp;" ")),1,0))+IF(Task!$A$17="",0,IF(ISNUMBER(SEARCH(" "&amp;Task!$A$17&amp;" "," "&amp;LOWER(SUBSTITUTE(SUBSTITUTE(SUBSTITUTE(SUBSTITUTE(A169,"/"," "),"."," "),"\"," "),"_"," "))&amp;" ")),1,0))+IF(Task!$A$18="",0,IF(ISNUMBER(SEARCH(" "&amp;Task!$A$18&amp;" "," "&amp;LOWER(SUBSTITUTE(SUBSTITUTE(SUBSTITUTE(SUBSTITUTE(A169,"/"," "),"."," "),"\"," "),"_"," "))&amp;" ")),1,0))+IF(Task!$A$19="",0,IF(ISNUMBER(SEARCH(" "&amp;Task!$A$19&amp;" "," "&amp;LOWER(SUBSTITUTE(SUBSTITUTE(SUBSTITUTE(SUBSTITUTE(A169,"/"," "),"."," "),"\"," "),"_"," "))&amp;" ")),1,0)))</f>
        <v/>
      </c>
      <c r="I169" s="10">
        <f>IF(OR(E169=0,F169=0,Task!$B$21=0),"",F169/Task!$B$21+0.5*G169+0.25*H169)</f>
        <v/>
      </c>
      <c r="J169" s="5">
        <f>IF(I169="","",I169-ROW()/1000000)</f>
        <v/>
      </c>
      <c r="K169" s="9">
        <f>IF(J169="","",COUNTIF($J$5:$J$404,"&gt;"&amp;J169)+1)</f>
        <v/>
      </c>
    </row>
    <row r="170">
      <c r="A170" s="7" t="n"/>
      <c r="B170" s="7" t="n"/>
      <c r="C170" s="7" t="n"/>
      <c r="D170" s="7" t="n"/>
      <c r="E170" s="5">
        <f>IF(A170="",0,IF(COUNTA(Task!$B$5:$E$5)=0,1,IF(COUNTIF(Task!$B$5:$E$5,B170)&gt;0,1,0)))</f>
        <v/>
      </c>
      <c r="F170" s="9">
        <f>IF(E170=0,0,IF(Task!$A$8="",0,IF(ISNUMBER(SEARCH(" "&amp;Task!$A$8&amp;" "," "&amp;LOWER(D170&amp;" "&amp;C170&amp;" "&amp;LOWER(SUBSTITUTE(SUBSTITUTE(SUBSTITUTE(SUBSTITUTE(A170,"/"," "),"."," "),"\"," "),"_"," ")))&amp;" ")),1,0))+IF(Task!$A$9="",0,IF(ISNUMBER(SEARCH(" "&amp;Task!$A$9&amp;" "," "&amp;LOWER(D170&amp;" "&amp;C170&amp;" "&amp;LOWER(SUBSTITUTE(SUBSTITUTE(SUBSTITUTE(SUBSTITUTE(A170,"/"," "),"."," "),"\"," "),"_"," ")))&amp;" ")),1,0))+IF(Task!$A$10="",0,IF(ISNUMBER(SEARCH(" "&amp;Task!$A$10&amp;" "," "&amp;LOWER(D170&amp;" "&amp;C170&amp;" "&amp;LOWER(SUBSTITUTE(SUBSTITUTE(SUBSTITUTE(SUBSTITUTE(A170,"/"," "),"."," "),"\"," "),"_"," ")))&amp;" ")),1,0))+IF(Task!$A$11="",0,IF(ISNUMBER(SEARCH(" "&amp;Task!$A$11&amp;" "," "&amp;LOWER(D170&amp;" "&amp;C170&amp;" "&amp;LOWER(SUBSTITUTE(SUBSTITUTE(SUBSTITUTE(SUBSTITUTE(A170,"/"," "),"."," "),"\"," "),"_"," ")))&amp;" ")),1,0))+IF(Task!$A$12="",0,IF(ISNUMBER(SEARCH(" "&amp;Task!$A$12&amp;" "," "&amp;LOWER(D170&amp;" "&amp;C170&amp;" "&amp;LOWER(SUBSTITUTE(SUBSTITUTE(SUBSTITUTE(SUBSTITUTE(A170,"/"," "),"."," "),"\"," "),"_"," ")))&amp;" ")),1,0))+IF(Task!$A$13="",0,IF(ISNUMBER(SEARCH(" "&amp;Task!$A$13&amp;" "," "&amp;LOWER(D170&amp;" "&amp;C170&amp;" "&amp;LOWER(SUBSTITUTE(SUBSTITUTE(SUBSTITUTE(SUBSTITUTE(A170,"/"," "),"."," "),"\"," "),"_"," ")))&amp;" ")),1,0))+IF(Task!$A$14="",0,IF(ISNUMBER(SEARCH(" "&amp;Task!$A$14&amp;" "," "&amp;LOWER(D170&amp;" "&amp;C170&amp;" "&amp;LOWER(SUBSTITUTE(SUBSTITUTE(SUBSTITUTE(SUBSTITUTE(A170,"/"," "),"."," "),"\"," "),"_"," ")))&amp;" ")),1,0))+IF(Task!$A$15="",0,IF(ISNUMBER(SEARCH(" "&amp;Task!$A$15&amp;" "," "&amp;LOWER(D170&amp;" "&amp;C170&amp;" "&amp;LOWER(SUBSTITUTE(SUBSTITUTE(SUBSTITUTE(SUBSTITUTE(A170,"/"," "),"."," "),"\"," "),"_"," ")))&amp;" ")),1,0))+IF(Task!$A$16="",0,IF(ISNUMBER(SEARCH(" "&amp;Task!$A$16&amp;" "," "&amp;LOWER(D170&amp;" "&amp;C170&amp;" "&amp;LOWER(SUBSTITUTE(SUBSTITUTE(SUBSTITUTE(SUBSTITUTE(A170,"/"," "),"."," "),"\"," "),"_"," ")))&amp;" ")),1,0))+IF(Task!$A$17="",0,IF(ISNUMBER(SEARCH(" "&amp;Task!$A$17&amp;" "," "&amp;LOWER(D170&amp;" "&amp;C170&amp;" "&amp;LOWER(SUBSTITUTE(SUBSTITUTE(SUBSTITUTE(SUBSTITUTE(A170,"/"," "),"."," "),"\"," "),"_"," ")))&amp;" ")),1,0))+IF(Task!$A$18="",0,IF(ISNUMBER(SEARCH(" "&amp;Task!$A$18&amp;" "," "&amp;LOWER(D170&amp;" "&amp;C170&amp;" "&amp;LOWER(SUBSTITUTE(SUBSTITUTE(SUBSTITUTE(SUBSTITUTE(A170,"/"," "),"."," "),"\"," "),"_"," ")))&amp;" ")),1,0))+IF(Task!$A$19="",0,IF(ISNUMBER(SEARCH(" "&amp;Task!$A$19&amp;" "," "&amp;LOWER(D170&amp;" "&amp;C170&amp;" "&amp;LOWER(SUBSTITUTE(SUBSTITUTE(SUBSTITUTE(SUBSTITUTE(A170,"/"," "),"."," "),"\"," "),"_"," ")))&amp;" ")),1,0)))</f>
        <v/>
      </c>
      <c r="G170" s="9">
        <f>IF(E170=0,0,IF(Task!$A$8="",0,IF(ISNUMBER(SEARCH(" "&amp;Task!$A$8&amp;" "," "&amp;LOWER(C170)&amp;" ")),1,0))+IF(Task!$A$9="",0,IF(ISNUMBER(SEARCH(" "&amp;Task!$A$9&amp;" "," "&amp;LOWER(C170)&amp;" ")),1,0))+IF(Task!$A$10="",0,IF(ISNUMBER(SEARCH(" "&amp;Task!$A$10&amp;" "," "&amp;LOWER(C170)&amp;" ")),1,0))+IF(Task!$A$11="",0,IF(ISNUMBER(SEARCH(" "&amp;Task!$A$11&amp;" "," "&amp;LOWER(C170)&amp;" ")),1,0))+IF(Task!$A$12="",0,IF(ISNUMBER(SEARCH(" "&amp;Task!$A$12&amp;" "," "&amp;LOWER(C170)&amp;" ")),1,0))+IF(Task!$A$13="",0,IF(ISNUMBER(SEARCH(" "&amp;Task!$A$13&amp;" "," "&amp;LOWER(C170)&amp;" ")),1,0))+IF(Task!$A$14="",0,IF(ISNUMBER(SEARCH(" "&amp;Task!$A$14&amp;" "," "&amp;LOWER(C170)&amp;" ")),1,0))+IF(Task!$A$15="",0,IF(ISNUMBER(SEARCH(" "&amp;Task!$A$15&amp;" "," "&amp;LOWER(C170)&amp;" ")),1,0))+IF(Task!$A$16="",0,IF(ISNUMBER(SEARCH(" "&amp;Task!$A$16&amp;" "," "&amp;LOWER(C170)&amp;" ")),1,0))+IF(Task!$A$17="",0,IF(ISNUMBER(SEARCH(" "&amp;Task!$A$17&amp;" "," "&amp;LOWER(C170)&amp;" ")),1,0))+IF(Task!$A$18="",0,IF(ISNUMBER(SEARCH(" "&amp;Task!$A$18&amp;" "," "&amp;LOWER(C170)&amp;" ")),1,0))+IF(Task!$A$19="",0,IF(ISNUMBER(SEARCH(" "&amp;Task!$A$19&amp;" "," "&amp;LOWER(C170)&amp;" ")),1,0)))</f>
        <v/>
      </c>
      <c r="H170" s="9">
        <f>IF(E170=0,0,IF(Task!$A$8="",0,IF(ISNUMBER(SEARCH(" "&amp;Task!$A$8&amp;" "," "&amp;LOWER(SUBSTITUTE(SUBSTITUTE(SUBSTITUTE(SUBSTITUTE(A170,"/"," "),"."," "),"\"," "),"_"," "))&amp;" ")),1,0))+IF(Task!$A$9="",0,IF(ISNUMBER(SEARCH(" "&amp;Task!$A$9&amp;" "," "&amp;LOWER(SUBSTITUTE(SUBSTITUTE(SUBSTITUTE(SUBSTITUTE(A170,"/"," "),"."," "),"\"," "),"_"," "))&amp;" ")),1,0))+IF(Task!$A$10="",0,IF(ISNUMBER(SEARCH(" "&amp;Task!$A$10&amp;" "," "&amp;LOWER(SUBSTITUTE(SUBSTITUTE(SUBSTITUTE(SUBSTITUTE(A170,"/"," "),"."," "),"\"," "),"_"," "))&amp;" ")),1,0))+IF(Task!$A$11="",0,IF(ISNUMBER(SEARCH(" "&amp;Task!$A$11&amp;" "," "&amp;LOWER(SUBSTITUTE(SUBSTITUTE(SUBSTITUTE(SUBSTITUTE(A170,"/"," "),"."," "),"\"," "),"_"," "))&amp;" ")),1,0))+IF(Task!$A$12="",0,IF(ISNUMBER(SEARCH(" "&amp;Task!$A$12&amp;" "," "&amp;LOWER(SUBSTITUTE(SUBSTITUTE(SUBSTITUTE(SUBSTITUTE(A170,"/"," "),"."," "),"\"," "),"_"," "))&amp;" ")),1,0))+IF(Task!$A$13="",0,IF(ISNUMBER(SEARCH(" "&amp;Task!$A$13&amp;" "," "&amp;LOWER(SUBSTITUTE(SUBSTITUTE(SUBSTITUTE(SUBSTITUTE(A170,"/"," "),"."," "),"\"," "),"_"," "))&amp;" ")),1,0))+IF(Task!$A$14="",0,IF(ISNUMBER(SEARCH(" "&amp;Task!$A$14&amp;" "," "&amp;LOWER(SUBSTITUTE(SUBSTITUTE(SUBSTITUTE(SUBSTITUTE(A170,"/"," "),"."," "),"\"," "),"_"," "))&amp;" ")),1,0))+IF(Task!$A$15="",0,IF(ISNUMBER(SEARCH(" "&amp;Task!$A$15&amp;" "," "&amp;LOWER(SUBSTITUTE(SUBSTITUTE(SUBSTITUTE(SUBSTITUTE(A170,"/"," "),"."," "),"\"," "),"_"," "))&amp;" ")),1,0))+IF(Task!$A$16="",0,IF(ISNUMBER(SEARCH(" "&amp;Task!$A$16&amp;" "," "&amp;LOWER(SUBSTITUTE(SUBSTITUTE(SUBSTITUTE(SUBSTITUTE(A170,"/"," "),"."," "),"\"," "),"_"," "))&amp;" ")),1,0))+IF(Task!$A$17="",0,IF(ISNUMBER(SEARCH(" "&amp;Task!$A$17&amp;" "," "&amp;LOWER(SUBSTITUTE(SUBSTITUTE(SUBSTITUTE(SUBSTITUTE(A170,"/"," "),"."," "),"\"," "),"_"," "))&amp;" ")),1,0))+IF(Task!$A$18="",0,IF(ISNUMBER(SEARCH(" "&amp;Task!$A$18&amp;" "," "&amp;LOWER(SUBSTITUTE(SUBSTITUTE(SUBSTITUTE(SUBSTITUTE(A170,"/"," "),"."," "),"\"," "),"_"," "))&amp;" ")),1,0))+IF(Task!$A$19="",0,IF(ISNUMBER(SEARCH(" "&amp;Task!$A$19&amp;" "," "&amp;LOWER(SUBSTITUTE(SUBSTITUTE(SUBSTITUTE(SUBSTITUTE(A170,"/"," "),"."," "),"\"," "),"_"," "))&amp;" ")),1,0)))</f>
        <v/>
      </c>
      <c r="I170" s="10">
        <f>IF(OR(E170=0,F170=0,Task!$B$21=0),"",F170/Task!$B$21+0.5*G170+0.25*H170)</f>
        <v/>
      </c>
      <c r="J170" s="5">
        <f>IF(I170="","",I170-ROW()/1000000)</f>
        <v/>
      </c>
      <c r="K170" s="9">
        <f>IF(J170="","",COUNTIF($J$5:$J$404,"&gt;"&amp;J170)+1)</f>
        <v/>
      </c>
    </row>
    <row r="171">
      <c r="A171" s="7" t="n"/>
      <c r="B171" s="7" t="n"/>
      <c r="C171" s="7" t="n"/>
      <c r="D171" s="7" t="n"/>
      <c r="E171" s="5">
        <f>IF(A171="",0,IF(COUNTA(Task!$B$5:$E$5)=0,1,IF(COUNTIF(Task!$B$5:$E$5,B171)&gt;0,1,0)))</f>
        <v/>
      </c>
      <c r="F171" s="9">
        <f>IF(E171=0,0,IF(Task!$A$8="",0,IF(ISNUMBER(SEARCH(" "&amp;Task!$A$8&amp;" "," "&amp;LOWER(D171&amp;" "&amp;C171&amp;" "&amp;LOWER(SUBSTITUTE(SUBSTITUTE(SUBSTITUTE(SUBSTITUTE(A171,"/"," "),"."," "),"\"," "),"_"," ")))&amp;" ")),1,0))+IF(Task!$A$9="",0,IF(ISNUMBER(SEARCH(" "&amp;Task!$A$9&amp;" "," "&amp;LOWER(D171&amp;" "&amp;C171&amp;" "&amp;LOWER(SUBSTITUTE(SUBSTITUTE(SUBSTITUTE(SUBSTITUTE(A171,"/"," "),"."," "),"\"," "),"_"," ")))&amp;" ")),1,0))+IF(Task!$A$10="",0,IF(ISNUMBER(SEARCH(" "&amp;Task!$A$10&amp;" "," "&amp;LOWER(D171&amp;" "&amp;C171&amp;" "&amp;LOWER(SUBSTITUTE(SUBSTITUTE(SUBSTITUTE(SUBSTITUTE(A171,"/"," "),"."," "),"\"," "),"_"," ")))&amp;" ")),1,0))+IF(Task!$A$11="",0,IF(ISNUMBER(SEARCH(" "&amp;Task!$A$11&amp;" "," "&amp;LOWER(D171&amp;" "&amp;C171&amp;" "&amp;LOWER(SUBSTITUTE(SUBSTITUTE(SUBSTITUTE(SUBSTITUTE(A171,"/"," "),"."," "),"\"," "),"_"," ")))&amp;" ")),1,0))+IF(Task!$A$12="",0,IF(ISNUMBER(SEARCH(" "&amp;Task!$A$12&amp;" "," "&amp;LOWER(D171&amp;" "&amp;C171&amp;" "&amp;LOWER(SUBSTITUTE(SUBSTITUTE(SUBSTITUTE(SUBSTITUTE(A171,"/"," "),"."," "),"\"," "),"_"," ")))&amp;" ")),1,0))+IF(Task!$A$13="",0,IF(ISNUMBER(SEARCH(" "&amp;Task!$A$13&amp;" "," "&amp;LOWER(D171&amp;" "&amp;C171&amp;" "&amp;LOWER(SUBSTITUTE(SUBSTITUTE(SUBSTITUTE(SUBSTITUTE(A171,"/"," "),"."," "),"\"," "),"_"," ")))&amp;" ")),1,0))+IF(Task!$A$14="",0,IF(ISNUMBER(SEARCH(" "&amp;Task!$A$14&amp;" "," "&amp;LOWER(D171&amp;" "&amp;C171&amp;" "&amp;LOWER(SUBSTITUTE(SUBSTITUTE(SUBSTITUTE(SUBSTITUTE(A171,"/"," "),"."," "),"\"," "),"_"," ")))&amp;" ")),1,0))+IF(Task!$A$15="",0,IF(ISNUMBER(SEARCH(" "&amp;Task!$A$15&amp;" "," "&amp;LOWER(D171&amp;" "&amp;C171&amp;" "&amp;LOWER(SUBSTITUTE(SUBSTITUTE(SUBSTITUTE(SUBSTITUTE(A171,"/"," "),"."," "),"\"," "),"_"," ")))&amp;" ")),1,0))+IF(Task!$A$16="",0,IF(ISNUMBER(SEARCH(" "&amp;Task!$A$16&amp;" "," "&amp;LOWER(D171&amp;" "&amp;C171&amp;" "&amp;LOWER(SUBSTITUTE(SUBSTITUTE(SUBSTITUTE(SUBSTITUTE(A171,"/"," "),"."," "),"\"," "),"_"," ")))&amp;" ")),1,0))+IF(Task!$A$17="",0,IF(ISNUMBER(SEARCH(" "&amp;Task!$A$17&amp;" "," "&amp;LOWER(D171&amp;" "&amp;C171&amp;" "&amp;LOWER(SUBSTITUTE(SUBSTITUTE(SUBSTITUTE(SUBSTITUTE(A171,"/"," "),"."," "),"\"," "),"_"," ")))&amp;" ")),1,0))+IF(Task!$A$18="",0,IF(ISNUMBER(SEARCH(" "&amp;Task!$A$18&amp;" "," "&amp;LOWER(D171&amp;" "&amp;C171&amp;" "&amp;LOWER(SUBSTITUTE(SUBSTITUTE(SUBSTITUTE(SUBSTITUTE(A171,"/"," "),"."," "),"\"," "),"_"," ")))&amp;" ")),1,0))+IF(Task!$A$19="",0,IF(ISNUMBER(SEARCH(" "&amp;Task!$A$19&amp;" "," "&amp;LOWER(D171&amp;" "&amp;C171&amp;" "&amp;LOWER(SUBSTITUTE(SUBSTITUTE(SUBSTITUTE(SUBSTITUTE(A171,"/"," "),"."," "),"\"," "),"_"," ")))&amp;" ")),1,0)))</f>
        <v/>
      </c>
      <c r="G171" s="9">
        <f>IF(E171=0,0,IF(Task!$A$8="",0,IF(ISNUMBER(SEARCH(" "&amp;Task!$A$8&amp;" "," "&amp;LOWER(C171)&amp;" ")),1,0))+IF(Task!$A$9="",0,IF(ISNUMBER(SEARCH(" "&amp;Task!$A$9&amp;" "," "&amp;LOWER(C171)&amp;" ")),1,0))+IF(Task!$A$10="",0,IF(ISNUMBER(SEARCH(" "&amp;Task!$A$10&amp;" "," "&amp;LOWER(C171)&amp;" ")),1,0))+IF(Task!$A$11="",0,IF(ISNUMBER(SEARCH(" "&amp;Task!$A$11&amp;" "," "&amp;LOWER(C171)&amp;" ")),1,0))+IF(Task!$A$12="",0,IF(ISNUMBER(SEARCH(" "&amp;Task!$A$12&amp;" "," "&amp;LOWER(C171)&amp;" ")),1,0))+IF(Task!$A$13="",0,IF(ISNUMBER(SEARCH(" "&amp;Task!$A$13&amp;" "," "&amp;LOWER(C171)&amp;" ")),1,0))+IF(Task!$A$14="",0,IF(ISNUMBER(SEARCH(" "&amp;Task!$A$14&amp;" "," "&amp;LOWER(C171)&amp;" ")),1,0))+IF(Task!$A$15="",0,IF(ISNUMBER(SEARCH(" "&amp;Task!$A$15&amp;" "," "&amp;LOWER(C171)&amp;" ")),1,0))+IF(Task!$A$16="",0,IF(ISNUMBER(SEARCH(" "&amp;Task!$A$16&amp;" "," "&amp;LOWER(C171)&amp;" ")),1,0))+IF(Task!$A$17="",0,IF(ISNUMBER(SEARCH(" "&amp;Task!$A$17&amp;" "," "&amp;LOWER(C171)&amp;" ")),1,0))+IF(Task!$A$18="",0,IF(ISNUMBER(SEARCH(" "&amp;Task!$A$18&amp;" "," "&amp;LOWER(C171)&amp;" ")),1,0))+IF(Task!$A$19="",0,IF(ISNUMBER(SEARCH(" "&amp;Task!$A$19&amp;" "," "&amp;LOWER(C171)&amp;" ")),1,0)))</f>
        <v/>
      </c>
      <c r="H171" s="9">
        <f>IF(E171=0,0,IF(Task!$A$8="",0,IF(ISNUMBER(SEARCH(" "&amp;Task!$A$8&amp;" "," "&amp;LOWER(SUBSTITUTE(SUBSTITUTE(SUBSTITUTE(SUBSTITUTE(A171,"/"," "),"."," "),"\"," "),"_"," "))&amp;" ")),1,0))+IF(Task!$A$9="",0,IF(ISNUMBER(SEARCH(" "&amp;Task!$A$9&amp;" "," "&amp;LOWER(SUBSTITUTE(SUBSTITUTE(SUBSTITUTE(SUBSTITUTE(A171,"/"," "),"."," "),"\"," "),"_"," "))&amp;" ")),1,0))+IF(Task!$A$10="",0,IF(ISNUMBER(SEARCH(" "&amp;Task!$A$10&amp;" "," "&amp;LOWER(SUBSTITUTE(SUBSTITUTE(SUBSTITUTE(SUBSTITUTE(A171,"/"," "),"."," "),"\"," "),"_"," "))&amp;" ")),1,0))+IF(Task!$A$11="",0,IF(ISNUMBER(SEARCH(" "&amp;Task!$A$11&amp;" "," "&amp;LOWER(SUBSTITUTE(SUBSTITUTE(SUBSTITUTE(SUBSTITUTE(A171,"/"," "),"."," "),"\"," "),"_"," "))&amp;" ")),1,0))+IF(Task!$A$12="",0,IF(ISNUMBER(SEARCH(" "&amp;Task!$A$12&amp;" "," "&amp;LOWER(SUBSTITUTE(SUBSTITUTE(SUBSTITUTE(SUBSTITUTE(A171,"/"," "),"."," "),"\"," "),"_"," "))&amp;" ")),1,0))+IF(Task!$A$13="",0,IF(ISNUMBER(SEARCH(" "&amp;Task!$A$13&amp;" "," "&amp;LOWER(SUBSTITUTE(SUBSTITUTE(SUBSTITUTE(SUBSTITUTE(A171,"/"," "),"."," "),"\"," "),"_"," "))&amp;" ")),1,0))+IF(Task!$A$14="",0,IF(ISNUMBER(SEARCH(" "&amp;Task!$A$14&amp;" "," "&amp;LOWER(SUBSTITUTE(SUBSTITUTE(SUBSTITUTE(SUBSTITUTE(A171,"/"," "),"."," "),"\"," "),"_"," "))&amp;" ")),1,0))+IF(Task!$A$15="",0,IF(ISNUMBER(SEARCH(" "&amp;Task!$A$15&amp;" "," "&amp;LOWER(SUBSTITUTE(SUBSTITUTE(SUBSTITUTE(SUBSTITUTE(A171,"/"," "),"."," "),"\"," "),"_"," "))&amp;" ")),1,0))+IF(Task!$A$16="",0,IF(ISNUMBER(SEARCH(" "&amp;Task!$A$16&amp;" "," "&amp;LOWER(SUBSTITUTE(SUBSTITUTE(SUBSTITUTE(SUBSTITUTE(A171,"/"," "),"."," "),"\"," "),"_"," "))&amp;" ")),1,0))+IF(Task!$A$17="",0,IF(ISNUMBER(SEARCH(" "&amp;Task!$A$17&amp;" "," "&amp;LOWER(SUBSTITUTE(SUBSTITUTE(SUBSTITUTE(SUBSTITUTE(A171,"/"," "),"."," "),"\"," "),"_"," "))&amp;" ")),1,0))+IF(Task!$A$18="",0,IF(ISNUMBER(SEARCH(" "&amp;Task!$A$18&amp;" "," "&amp;LOWER(SUBSTITUTE(SUBSTITUTE(SUBSTITUTE(SUBSTITUTE(A171,"/"," "),"."," "),"\"," "),"_"," "))&amp;" ")),1,0))+IF(Task!$A$19="",0,IF(ISNUMBER(SEARCH(" "&amp;Task!$A$19&amp;" "," "&amp;LOWER(SUBSTITUTE(SUBSTITUTE(SUBSTITUTE(SUBSTITUTE(A171,"/"," "),"."," "),"\"," "),"_"," "))&amp;" ")),1,0)))</f>
        <v/>
      </c>
      <c r="I171" s="10">
        <f>IF(OR(E171=0,F171=0,Task!$B$21=0),"",F171/Task!$B$21+0.5*G171+0.25*H171)</f>
        <v/>
      </c>
      <c r="J171" s="5">
        <f>IF(I171="","",I171-ROW()/1000000)</f>
        <v/>
      </c>
      <c r="K171" s="9">
        <f>IF(J171="","",COUNTIF($J$5:$J$404,"&gt;"&amp;J171)+1)</f>
        <v/>
      </c>
    </row>
    <row r="172">
      <c r="A172" s="7" t="n"/>
      <c r="B172" s="7" t="n"/>
      <c r="C172" s="7" t="n"/>
      <c r="D172" s="7" t="n"/>
      <c r="E172" s="5">
        <f>IF(A172="",0,IF(COUNTA(Task!$B$5:$E$5)=0,1,IF(COUNTIF(Task!$B$5:$E$5,B172)&gt;0,1,0)))</f>
        <v/>
      </c>
      <c r="F172" s="9">
        <f>IF(E172=0,0,IF(Task!$A$8="",0,IF(ISNUMBER(SEARCH(" "&amp;Task!$A$8&amp;" "," "&amp;LOWER(D172&amp;" "&amp;C172&amp;" "&amp;LOWER(SUBSTITUTE(SUBSTITUTE(SUBSTITUTE(SUBSTITUTE(A172,"/"," "),"."," "),"\"," "),"_"," ")))&amp;" ")),1,0))+IF(Task!$A$9="",0,IF(ISNUMBER(SEARCH(" "&amp;Task!$A$9&amp;" "," "&amp;LOWER(D172&amp;" "&amp;C172&amp;" "&amp;LOWER(SUBSTITUTE(SUBSTITUTE(SUBSTITUTE(SUBSTITUTE(A172,"/"," "),"."," "),"\"," "),"_"," ")))&amp;" ")),1,0))+IF(Task!$A$10="",0,IF(ISNUMBER(SEARCH(" "&amp;Task!$A$10&amp;" "," "&amp;LOWER(D172&amp;" "&amp;C172&amp;" "&amp;LOWER(SUBSTITUTE(SUBSTITUTE(SUBSTITUTE(SUBSTITUTE(A172,"/"," "),"."," "),"\"," "),"_"," ")))&amp;" ")),1,0))+IF(Task!$A$11="",0,IF(ISNUMBER(SEARCH(" "&amp;Task!$A$11&amp;" "," "&amp;LOWER(D172&amp;" "&amp;C172&amp;" "&amp;LOWER(SUBSTITUTE(SUBSTITUTE(SUBSTITUTE(SUBSTITUTE(A172,"/"," "),"."," "),"\"," "),"_"," ")))&amp;" ")),1,0))+IF(Task!$A$12="",0,IF(ISNUMBER(SEARCH(" "&amp;Task!$A$12&amp;" "," "&amp;LOWER(D172&amp;" "&amp;C172&amp;" "&amp;LOWER(SUBSTITUTE(SUBSTITUTE(SUBSTITUTE(SUBSTITUTE(A172,"/"," "),"."," "),"\"," "),"_"," ")))&amp;" ")),1,0))+IF(Task!$A$13="",0,IF(ISNUMBER(SEARCH(" "&amp;Task!$A$13&amp;" "," "&amp;LOWER(D172&amp;" "&amp;C172&amp;" "&amp;LOWER(SUBSTITUTE(SUBSTITUTE(SUBSTITUTE(SUBSTITUTE(A172,"/"," "),"."," "),"\"," "),"_"," ")))&amp;" ")),1,0))+IF(Task!$A$14="",0,IF(ISNUMBER(SEARCH(" "&amp;Task!$A$14&amp;" "," "&amp;LOWER(D172&amp;" "&amp;C172&amp;" "&amp;LOWER(SUBSTITUTE(SUBSTITUTE(SUBSTITUTE(SUBSTITUTE(A172,"/"," "),"."," "),"\"," "),"_"," ")))&amp;" ")),1,0))+IF(Task!$A$15="",0,IF(ISNUMBER(SEARCH(" "&amp;Task!$A$15&amp;" "," "&amp;LOWER(D172&amp;" "&amp;C172&amp;" "&amp;LOWER(SUBSTITUTE(SUBSTITUTE(SUBSTITUTE(SUBSTITUTE(A172,"/"," "),"."," "),"\"," "),"_"," ")))&amp;" ")),1,0))+IF(Task!$A$16="",0,IF(ISNUMBER(SEARCH(" "&amp;Task!$A$16&amp;" "," "&amp;LOWER(D172&amp;" "&amp;C172&amp;" "&amp;LOWER(SUBSTITUTE(SUBSTITUTE(SUBSTITUTE(SUBSTITUTE(A172,"/"," "),"."," "),"\"," "),"_"," ")))&amp;" ")),1,0))+IF(Task!$A$17="",0,IF(ISNUMBER(SEARCH(" "&amp;Task!$A$17&amp;" "," "&amp;LOWER(D172&amp;" "&amp;C172&amp;" "&amp;LOWER(SUBSTITUTE(SUBSTITUTE(SUBSTITUTE(SUBSTITUTE(A172,"/"," "),"."," "),"\"," "),"_"," ")))&amp;" ")),1,0))+IF(Task!$A$18="",0,IF(ISNUMBER(SEARCH(" "&amp;Task!$A$18&amp;" "," "&amp;LOWER(D172&amp;" "&amp;C172&amp;" "&amp;LOWER(SUBSTITUTE(SUBSTITUTE(SUBSTITUTE(SUBSTITUTE(A172,"/"," "),"."," "),"\"," "),"_"," ")))&amp;" ")),1,0))+IF(Task!$A$19="",0,IF(ISNUMBER(SEARCH(" "&amp;Task!$A$19&amp;" "," "&amp;LOWER(D172&amp;" "&amp;C172&amp;" "&amp;LOWER(SUBSTITUTE(SUBSTITUTE(SUBSTITUTE(SUBSTITUTE(A172,"/"," "),"."," "),"\"," "),"_"," ")))&amp;" ")),1,0)))</f>
        <v/>
      </c>
      <c r="G172" s="9">
        <f>IF(E172=0,0,IF(Task!$A$8="",0,IF(ISNUMBER(SEARCH(" "&amp;Task!$A$8&amp;" "," "&amp;LOWER(C172)&amp;" ")),1,0))+IF(Task!$A$9="",0,IF(ISNUMBER(SEARCH(" "&amp;Task!$A$9&amp;" "," "&amp;LOWER(C172)&amp;" ")),1,0))+IF(Task!$A$10="",0,IF(ISNUMBER(SEARCH(" "&amp;Task!$A$10&amp;" "," "&amp;LOWER(C172)&amp;" ")),1,0))+IF(Task!$A$11="",0,IF(ISNUMBER(SEARCH(" "&amp;Task!$A$11&amp;" "," "&amp;LOWER(C172)&amp;" ")),1,0))+IF(Task!$A$12="",0,IF(ISNUMBER(SEARCH(" "&amp;Task!$A$12&amp;" "," "&amp;LOWER(C172)&amp;" ")),1,0))+IF(Task!$A$13="",0,IF(ISNUMBER(SEARCH(" "&amp;Task!$A$13&amp;" "," "&amp;LOWER(C172)&amp;" ")),1,0))+IF(Task!$A$14="",0,IF(ISNUMBER(SEARCH(" "&amp;Task!$A$14&amp;" "," "&amp;LOWER(C172)&amp;" ")),1,0))+IF(Task!$A$15="",0,IF(ISNUMBER(SEARCH(" "&amp;Task!$A$15&amp;" "," "&amp;LOWER(C172)&amp;" ")),1,0))+IF(Task!$A$16="",0,IF(ISNUMBER(SEARCH(" "&amp;Task!$A$16&amp;" "," "&amp;LOWER(C172)&amp;" ")),1,0))+IF(Task!$A$17="",0,IF(ISNUMBER(SEARCH(" "&amp;Task!$A$17&amp;" "," "&amp;LOWER(C172)&amp;" ")),1,0))+IF(Task!$A$18="",0,IF(ISNUMBER(SEARCH(" "&amp;Task!$A$18&amp;" "," "&amp;LOWER(C172)&amp;" ")),1,0))+IF(Task!$A$19="",0,IF(ISNUMBER(SEARCH(" "&amp;Task!$A$19&amp;" "," "&amp;LOWER(C172)&amp;" ")),1,0)))</f>
        <v/>
      </c>
      <c r="H172" s="9">
        <f>IF(E172=0,0,IF(Task!$A$8="",0,IF(ISNUMBER(SEARCH(" "&amp;Task!$A$8&amp;" "," "&amp;LOWER(SUBSTITUTE(SUBSTITUTE(SUBSTITUTE(SUBSTITUTE(A172,"/"," "),"."," "),"\"," "),"_"," "))&amp;" ")),1,0))+IF(Task!$A$9="",0,IF(ISNUMBER(SEARCH(" "&amp;Task!$A$9&amp;" "," "&amp;LOWER(SUBSTITUTE(SUBSTITUTE(SUBSTITUTE(SUBSTITUTE(A172,"/"," "),"."," "),"\"," "),"_"," "))&amp;" ")),1,0))+IF(Task!$A$10="",0,IF(ISNUMBER(SEARCH(" "&amp;Task!$A$10&amp;" "," "&amp;LOWER(SUBSTITUTE(SUBSTITUTE(SUBSTITUTE(SUBSTITUTE(A172,"/"," "),"."," "),"\"," "),"_"," "))&amp;" ")),1,0))+IF(Task!$A$11="",0,IF(ISNUMBER(SEARCH(" "&amp;Task!$A$11&amp;" "," "&amp;LOWER(SUBSTITUTE(SUBSTITUTE(SUBSTITUTE(SUBSTITUTE(A172,"/"," "),"."," "),"\"," "),"_"," "))&amp;" ")),1,0))+IF(Task!$A$12="",0,IF(ISNUMBER(SEARCH(" "&amp;Task!$A$12&amp;" "," "&amp;LOWER(SUBSTITUTE(SUBSTITUTE(SUBSTITUTE(SUBSTITUTE(A172,"/"," "),"."," "),"\"," "),"_"," "))&amp;" ")),1,0))+IF(Task!$A$13="",0,IF(ISNUMBER(SEARCH(" "&amp;Task!$A$13&amp;" "," "&amp;LOWER(SUBSTITUTE(SUBSTITUTE(SUBSTITUTE(SUBSTITUTE(A172,"/"," "),"."," "),"\"," "),"_"," "))&amp;" ")),1,0))+IF(Task!$A$14="",0,IF(ISNUMBER(SEARCH(" "&amp;Task!$A$14&amp;" "," "&amp;LOWER(SUBSTITUTE(SUBSTITUTE(SUBSTITUTE(SUBSTITUTE(A172,"/"," "),"."," "),"\"," "),"_"," "))&amp;" ")),1,0))+IF(Task!$A$15="",0,IF(ISNUMBER(SEARCH(" "&amp;Task!$A$15&amp;" "," "&amp;LOWER(SUBSTITUTE(SUBSTITUTE(SUBSTITUTE(SUBSTITUTE(A172,"/"," "),"."," "),"\"," "),"_"," "))&amp;" ")),1,0))+IF(Task!$A$16="",0,IF(ISNUMBER(SEARCH(" "&amp;Task!$A$16&amp;" "," "&amp;LOWER(SUBSTITUTE(SUBSTITUTE(SUBSTITUTE(SUBSTITUTE(A172,"/"," "),"."," "),"\"," "),"_"," "))&amp;" ")),1,0))+IF(Task!$A$17="",0,IF(ISNUMBER(SEARCH(" "&amp;Task!$A$17&amp;" "," "&amp;LOWER(SUBSTITUTE(SUBSTITUTE(SUBSTITUTE(SUBSTITUTE(A172,"/"," "),"."," "),"\"," "),"_"," "))&amp;" ")),1,0))+IF(Task!$A$18="",0,IF(ISNUMBER(SEARCH(" "&amp;Task!$A$18&amp;" "," "&amp;LOWER(SUBSTITUTE(SUBSTITUTE(SUBSTITUTE(SUBSTITUTE(A172,"/"," "),"."," "),"\"," "),"_"," "))&amp;" ")),1,0))+IF(Task!$A$19="",0,IF(ISNUMBER(SEARCH(" "&amp;Task!$A$19&amp;" "," "&amp;LOWER(SUBSTITUTE(SUBSTITUTE(SUBSTITUTE(SUBSTITUTE(A172,"/"," "),"."," "),"\"," "),"_"," "))&amp;" ")),1,0)))</f>
        <v/>
      </c>
      <c r="I172" s="10">
        <f>IF(OR(E172=0,F172=0,Task!$B$21=0),"",F172/Task!$B$21+0.5*G172+0.25*H172)</f>
        <v/>
      </c>
      <c r="J172" s="5">
        <f>IF(I172="","",I172-ROW()/1000000)</f>
        <v/>
      </c>
      <c r="K172" s="9">
        <f>IF(J172="","",COUNTIF($J$5:$J$404,"&gt;"&amp;J172)+1)</f>
        <v/>
      </c>
    </row>
    <row r="173">
      <c r="A173" s="7" t="n"/>
      <c r="B173" s="7" t="n"/>
      <c r="C173" s="7" t="n"/>
      <c r="D173" s="7" t="n"/>
      <c r="E173" s="5">
        <f>IF(A173="",0,IF(COUNTA(Task!$B$5:$E$5)=0,1,IF(COUNTIF(Task!$B$5:$E$5,B173)&gt;0,1,0)))</f>
        <v/>
      </c>
      <c r="F173" s="9">
        <f>IF(E173=0,0,IF(Task!$A$8="",0,IF(ISNUMBER(SEARCH(" "&amp;Task!$A$8&amp;" "," "&amp;LOWER(D173&amp;" "&amp;C173&amp;" "&amp;LOWER(SUBSTITUTE(SUBSTITUTE(SUBSTITUTE(SUBSTITUTE(A173,"/"," "),"."," "),"\"," "),"_"," ")))&amp;" ")),1,0))+IF(Task!$A$9="",0,IF(ISNUMBER(SEARCH(" "&amp;Task!$A$9&amp;" "," "&amp;LOWER(D173&amp;" "&amp;C173&amp;" "&amp;LOWER(SUBSTITUTE(SUBSTITUTE(SUBSTITUTE(SUBSTITUTE(A173,"/"," "),"."," "),"\"," "),"_"," ")))&amp;" ")),1,0))+IF(Task!$A$10="",0,IF(ISNUMBER(SEARCH(" "&amp;Task!$A$10&amp;" "," "&amp;LOWER(D173&amp;" "&amp;C173&amp;" "&amp;LOWER(SUBSTITUTE(SUBSTITUTE(SUBSTITUTE(SUBSTITUTE(A173,"/"," "),"."," "),"\"," "),"_"," ")))&amp;" ")),1,0))+IF(Task!$A$11="",0,IF(ISNUMBER(SEARCH(" "&amp;Task!$A$11&amp;" "," "&amp;LOWER(D173&amp;" "&amp;C173&amp;" "&amp;LOWER(SUBSTITUTE(SUBSTITUTE(SUBSTITUTE(SUBSTITUTE(A173,"/"," "),"."," "),"\"," "),"_"," ")))&amp;" ")),1,0))+IF(Task!$A$12="",0,IF(ISNUMBER(SEARCH(" "&amp;Task!$A$12&amp;" "," "&amp;LOWER(D173&amp;" "&amp;C173&amp;" "&amp;LOWER(SUBSTITUTE(SUBSTITUTE(SUBSTITUTE(SUBSTITUTE(A173,"/"," "),"."," "),"\"," "),"_"," ")))&amp;" ")),1,0))+IF(Task!$A$13="",0,IF(ISNUMBER(SEARCH(" "&amp;Task!$A$13&amp;" "," "&amp;LOWER(D173&amp;" "&amp;C173&amp;" "&amp;LOWER(SUBSTITUTE(SUBSTITUTE(SUBSTITUTE(SUBSTITUTE(A173,"/"," "),"."," "),"\"," "),"_"," ")))&amp;" ")),1,0))+IF(Task!$A$14="",0,IF(ISNUMBER(SEARCH(" "&amp;Task!$A$14&amp;" "," "&amp;LOWER(D173&amp;" "&amp;C173&amp;" "&amp;LOWER(SUBSTITUTE(SUBSTITUTE(SUBSTITUTE(SUBSTITUTE(A173,"/"," "),"."," "),"\"," "),"_"," ")))&amp;" ")),1,0))+IF(Task!$A$15="",0,IF(ISNUMBER(SEARCH(" "&amp;Task!$A$15&amp;" "," "&amp;LOWER(D173&amp;" "&amp;C173&amp;" "&amp;LOWER(SUBSTITUTE(SUBSTITUTE(SUBSTITUTE(SUBSTITUTE(A173,"/"," "),"."," "),"\"," "),"_"," ")))&amp;" ")),1,0))+IF(Task!$A$16="",0,IF(ISNUMBER(SEARCH(" "&amp;Task!$A$16&amp;" "," "&amp;LOWER(D173&amp;" "&amp;C173&amp;" "&amp;LOWER(SUBSTITUTE(SUBSTITUTE(SUBSTITUTE(SUBSTITUTE(A173,"/"," "),"."," "),"\"," "),"_"," ")))&amp;" ")),1,0))+IF(Task!$A$17="",0,IF(ISNUMBER(SEARCH(" "&amp;Task!$A$17&amp;" "," "&amp;LOWER(D173&amp;" "&amp;C173&amp;" "&amp;LOWER(SUBSTITUTE(SUBSTITUTE(SUBSTITUTE(SUBSTITUTE(A173,"/"," "),"."," "),"\"," "),"_"," ")))&amp;" ")),1,0))+IF(Task!$A$18="",0,IF(ISNUMBER(SEARCH(" "&amp;Task!$A$18&amp;" "," "&amp;LOWER(D173&amp;" "&amp;C173&amp;" "&amp;LOWER(SUBSTITUTE(SUBSTITUTE(SUBSTITUTE(SUBSTITUTE(A173,"/"," "),"."," "),"\"," "),"_"," ")))&amp;" ")),1,0))+IF(Task!$A$19="",0,IF(ISNUMBER(SEARCH(" "&amp;Task!$A$19&amp;" "," "&amp;LOWER(D173&amp;" "&amp;C173&amp;" "&amp;LOWER(SUBSTITUTE(SUBSTITUTE(SUBSTITUTE(SUBSTITUTE(A173,"/"," "),"."," "),"\"," "),"_"," ")))&amp;" ")),1,0)))</f>
        <v/>
      </c>
      <c r="G173" s="9">
        <f>IF(E173=0,0,IF(Task!$A$8="",0,IF(ISNUMBER(SEARCH(" "&amp;Task!$A$8&amp;" "," "&amp;LOWER(C173)&amp;" ")),1,0))+IF(Task!$A$9="",0,IF(ISNUMBER(SEARCH(" "&amp;Task!$A$9&amp;" "," "&amp;LOWER(C173)&amp;" ")),1,0))+IF(Task!$A$10="",0,IF(ISNUMBER(SEARCH(" "&amp;Task!$A$10&amp;" "," "&amp;LOWER(C173)&amp;" ")),1,0))+IF(Task!$A$11="",0,IF(ISNUMBER(SEARCH(" "&amp;Task!$A$11&amp;" "," "&amp;LOWER(C173)&amp;" ")),1,0))+IF(Task!$A$12="",0,IF(ISNUMBER(SEARCH(" "&amp;Task!$A$12&amp;" "," "&amp;LOWER(C173)&amp;" ")),1,0))+IF(Task!$A$13="",0,IF(ISNUMBER(SEARCH(" "&amp;Task!$A$13&amp;" "," "&amp;LOWER(C173)&amp;" ")),1,0))+IF(Task!$A$14="",0,IF(ISNUMBER(SEARCH(" "&amp;Task!$A$14&amp;" "," "&amp;LOWER(C173)&amp;" ")),1,0))+IF(Task!$A$15="",0,IF(ISNUMBER(SEARCH(" "&amp;Task!$A$15&amp;" "," "&amp;LOWER(C173)&amp;" ")),1,0))+IF(Task!$A$16="",0,IF(ISNUMBER(SEARCH(" "&amp;Task!$A$16&amp;" "," "&amp;LOWER(C173)&amp;" ")),1,0))+IF(Task!$A$17="",0,IF(ISNUMBER(SEARCH(" "&amp;Task!$A$17&amp;" "," "&amp;LOWER(C173)&amp;" ")),1,0))+IF(Task!$A$18="",0,IF(ISNUMBER(SEARCH(" "&amp;Task!$A$18&amp;" "," "&amp;LOWER(C173)&amp;" ")),1,0))+IF(Task!$A$19="",0,IF(ISNUMBER(SEARCH(" "&amp;Task!$A$19&amp;" "," "&amp;LOWER(C173)&amp;" ")),1,0)))</f>
        <v/>
      </c>
      <c r="H173" s="9">
        <f>IF(E173=0,0,IF(Task!$A$8="",0,IF(ISNUMBER(SEARCH(" "&amp;Task!$A$8&amp;" "," "&amp;LOWER(SUBSTITUTE(SUBSTITUTE(SUBSTITUTE(SUBSTITUTE(A173,"/"," "),"."," "),"\"," "),"_"," "))&amp;" ")),1,0))+IF(Task!$A$9="",0,IF(ISNUMBER(SEARCH(" "&amp;Task!$A$9&amp;" "," "&amp;LOWER(SUBSTITUTE(SUBSTITUTE(SUBSTITUTE(SUBSTITUTE(A173,"/"," "),"."," "),"\"," "),"_"," "))&amp;" ")),1,0))+IF(Task!$A$10="",0,IF(ISNUMBER(SEARCH(" "&amp;Task!$A$10&amp;" "," "&amp;LOWER(SUBSTITUTE(SUBSTITUTE(SUBSTITUTE(SUBSTITUTE(A173,"/"," "),"."," "),"\"," "),"_"," "))&amp;" ")),1,0))+IF(Task!$A$11="",0,IF(ISNUMBER(SEARCH(" "&amp;Task!$A$11&amp;" "," "&amp;LOWER(SUBSTITUTE(SUBSTITUTE(SUBSTITUTE(SUBSTITUTE(A173,"/"," "),"."," "),"\"," "),"_"," "))&amp;" ")),1,0))+IF(Task!$A$12="",0,IF(ISNUMBER(SEARCH(" "&amp;Task!$A$12&amp;" "," "&amp;LOWER(SUBSTITUTE(SUBSTITUTE(SUBSTITUTE(SUBSTITUTE(A173,"/"," "),"."," "),"\"," "),"_"," "))&amp;" ")),1,0))+IF(Task!$A$13="",0,IF(ISNUMBER(SEARCH(" "&amp;Task!$A$13&amp;" "," "&amp;LOWER(SUBSTITUTE(SUBSTITUTE(SUBSTITUTE(SUBSTITUTE(A173,"/"," "),"."," "),"\"," "),"_"," "))&amp;" ")),1,0))+IF(Task!$A$14="",0,IF(ISNUMBER(SEARCH(" "&amp;Task!$A$14&amp;" "," "&amp;LOWER(SUBSTITUTE(SUBSTITUTE(SUBSTITUTE(SUBSTITUTE(A173,"/"," "),"."," "),"\"," "),"_"," "))&amp;" ")),1,0))+IF(Task!$A$15="",0,IF(ISNUMBER(SEARCH(" "&amp;Task!$A$15&amp;" "," "&amp;LOWER(SUBSTITUTE(SUBSTITUTE(SUBSTITUTE(SUBSTITUTE(A173,"/"," "),"."," "),"\"," "),"_"," "))&amp;" ")),1,0))+IF(Task!$A$16="",0,IF(ISNUMBER(SEARCH(" "&amp;Task!$A$16&amp;" "," "&amp;LOWER(SUBSTITUTE(SUBSTITUTE(SUBSTITUTE(SUBSTITUTE(A173,"/"," "),"."," "),"\"," "),"_"," "))&amp;" ")),1,0))+IF(Task!$A$17="",0,IF(ISNUMBER(SEARCH(" "&amp;Task!$A$17&amp;" "," "&amp;LOWER(SUBSTITUTE(SUBSTITUTE(SUBSTITUTE(SUBSTITUTE(A173,"/"," "),"."," "),"\"," "),"_"," "))&amp;" ")),1,0))+IF(Task!$A$18="",0,IF(ISNUMBER(SEARCH(" "&amp;Task!$A$18&amp;" "," "&amp;LOWER(SUBSTITUTE(SUBSTITUTE(SUBSTITUTE(SUBSTITUTE(A173,"/"," "),"."," "),"\"," "),"_"," "))&amp;" ")),1,0))+IF(Task!$A$19="",0,IF(ISNUMBER(SEARCH(" "&amp;Task!$A$19&amp;" "," "&amp;LOWER(SUBSTITUTE(SUBSTITUTE(SUBSTITUTE(SUBSTITUTE(A173,"/"," "),"."," "),"\"," "),"_"," "))&amp;" ")),1,0)))</f>
        <v/>
      </c>
      <c r="I173" s="10">
        <f>IF(OR(E173=0,F173=0,Task!$B$21=0),"",F173/Task!$B$21+0.5*G173+0.25*H173)</f>
        <v/>
      </c>
      <c r="J173" s="5">
        <f>IF(I173="","",I173-ROW()/1000000)</f>
        <v/>
      </c>
      <c r="K173" s="9">
        <f>IF(J173="","",COUNTIF($J$5:$J$404,"&gt;"&amp;J173)+1)</f>
        <v/>
      </c>
    </row>
    <row r="174">
      <c r="A174" s="7" t="n"/>
      <c r="B174" s="7" t="n"/>
      <c r="C174" s="7" t="n"/>
      <c r="D174" s="7" t="n"/>
      <c r="E174" s="5">
        <f>IF(A174="",0,IF(COUNTA(Task!$B$5:$E$5)=0,1,IF(COUNTIF(Task!$B$5:$E$5,B174)&gt;0,1,0)))</f>
        <v/>
      </c>
      <c r="F174" s="9">
        <f>IF(E174=0,0,IF(Task!$A$8="",0,IF(ISNUMBER(SEARCH(" "&amp;Task!$A$8&amp;" "," "&amp;LOWER(D174&amp;" "&amp;C174&amp;" "&amp;LOWER(SUBSTITUTE(SUBSTITUTE(SUBSTITUTE(SUBSTITUTE(A174,"/"," "),"."," "),"\"," "),"_"," ")))&amp;" ")),1,0))+IF(Task!$A$9="",0,IF(ISNUMBER(SEARCH(" "&amp;Task!$A$9&amp;" "," "&amp;LOWER(D174&amp;" "&amp;C174&amp;" "&amp;LOWER(SUBSTITUTE(SUBSTITUTE(SUBSTITUTE(SUBSTITUTE(A174,"/"," "),"."," "),"\"," "),"_"," ")))&amp;" ")),1,0))+IF(Task!$A$10="",0,IF(ISNUMBER(SEARCH(" "&amp;Task!$A$10&amp;" "," "&amp;LOWER(D174&amp;" "&amp;C174&amp;" "&amp;LOWER(SUBSTITUTE(SUBSTITUTE(SUBSTITUTE(SUBSTITUTE(A174,"/"," "),"."," "),"\"," "),"_"," ")))&amp;" ")),1,0))+IF(Task!$A$11="",0,IF(ISNUMBER(SEARCH(" "&amp;Task!$A$11&amp;" "," "&amp;LOWER(D174&amp;" "&amp;C174&amp;" "&amp;LOWER(SUBSTITUTE(SUBSTITUTE(SUBSTITUTE(SUBSTITUTE(A174,"/"," "),"."," "),"\"," "),"_"," ")))&amp;" ")),1,0))+IF(Task!$A$12="",0,IF(ISNUMBER(SEARCH(" "&amp;Task!$A$12&amp;" "," "&amp;LOWER(D174&amp;" "&amp;C174&amp;" "&amp;LOWER(SUBSTITUTE(SUBSTITUTE(SUBSTITUTE(SUBSTITUTE(A174,"/"," "),"."," "),"\"," "),"_"," ")))&amp;" ")),1,0))+IF(Task!$A$13="",0,IF(ISNUMBER(SEARCH(" "&amp;Task!$A$13&amp;" "," "&amp;LOWER(D174&amp;" "&amp;C174&amp;" "&amp;LOWER(SUBSTITUTE(SUBSTITUTE(SUBSTITUTE(SUBSTITUTE(A174,"/"," "),"."," "),"\"," "),"_"," ")))&amp;" ")),1,0))+IF(Task!$A$14="",0,IF(ISNUMBER(SEARCH(" "&amp;Task!$A$14&amp;" "," "&amp;LOWER(D174&amp;" "&amp;C174&amp;" "&amp;LOWER(SUBSTITUTE(SUBSTITUTE(SUBSTITUTE(SUBSTITUTE(A174,"/"," "),"."," "),"\"," "),"_"," ")))&amp;" ")),1,0))+IF(Task!$A$15="",0,IF(ISNUMBER(SEARCH(" "&amp;Task!$A$15&amp;" "," "&amp;LOWER(D174&amp;" "&amp;C174&amp;" "&amp;LOWER(SUBSTITUTE(SUBSTITUTE(SUBSTITUTE(SUBSTITUTE(A174,"/"," "),"."," "),"\"," "),"_"," ")))&amp;" ")),1,0))+IF(Task!$A$16="",0,IF(ISNUMBER(SEARCH(" "&amp;Task!$A$16&amp;" "," "&amp;LOWER(D174&amp;" "&amp;C174&amp;" "&amp;LOWER(SUBSTITUTE(SUBSTITUTE(SUBSTITUTE(SUBSTITUTE(A174,"/"," "),"."," "),"\"," "),"_"," ")))&amp;" ")),1,0))+IF(Task!$A$17="",0,IF(ISNUMBER(SEARCH(" "&amp;Task!$A$17&amp;" "," "&amp;LOWER(D174&amp;" "&amp;C174&amp;" "&amp;LOWER(SUBSTITUTE(SUBSTITUTE(SUBSTITUTE(SUBSTITUTE(A174,"/"," "),"."," "),"\"," "),"_"," ")))&amp;" ")),1,0))+IF(Task!$A$18="",0,IF(ISNUMBER(SEARCH(" "&amp;Task!$A$18&amp;" "," "&amp;LOWER(D174&amp;" "&amp;C174&amp;" "&amp;LOWER(SUBSTITUTE(SUBSTITUTE(SUBSTITUTE(SUBSTITUTE(A174,"/"," "),"."," "),"\"," "),"_"," ")))&amp;" ")),1,0))+IF(Task!$A$19="",0,IF(ISNUMBER(SEARCH(" "&amp;Task!$A$19&amp;" "," "&amp;LOWER(D174&amp;" "&amp;C174&amp;" "&amp;LOWER(SUBSTITUTE(SUBSTITUTE(SUBSTITUTE(SUBSTITUTE(A174,"/"," "),"."," "),"\"," "),"_"," ")))&amp;" ")),1,0)))</f>
        <v/>
      </c>
      <c r="G174" s="9">
        <f>IF(E174=0,0,IF(Task!$A$8="",0,IF(ISNUMBER(SEARCH(" "&amp;Task!$A$8&amp;" "," "&amp;LOWER(C174)&amp;" ")),1,0))+IF(Task!$A$9="",0,IF(ISNUMBER(SEARCH(" "&amp;Task!$A$9&amp;" "," "&amp;LOWER(C174)&amp;" ")),1,0))+IF(Task!$A$10="",0,IF(ISNUMBER(SEARCH(" "&amp;Task!$A$10&amp;" "," "&amp;LOWER(C174)&amp;" ")),1,0))+IF(Task!$A$11="",0,IF(ISNUMBER(SEARCH(" "&amp;Task!$A$11&amp;" "," "&amp;LOWER(C174)&amp;" ")),1,0))+IF(Task!$A$12="",0,IF(ISNUMBER(SEARCH(" "&amp;Task!$A$12&amp;" "," "&amp;LOWER(C174)&amp;" ")),1,0))+IF(Task!$A$13="",0,IF(ISNUMBER(SEARCH(" "&amp;Task!$A$13&amp;" "," "&amp;LOWER(C174)&amp;" ")),1,0))+IF(Task!$A$14="",0,IF(ISNUMBER(SEARCH(" "&amp;Task!$A$14&amp;" "," "&amp;LOWER(C174)&amp;" ")),1,0))+IF(Task!$A$15="",0,IF(ISNUMBER(SEARCH(" "&amp;Task!$A$15&amp;" "," "&amp;LOWER(C174)&amp;" ")),1,0))+IF(Task!$A$16="",0,IF(ISNUMBER(SEARCH(" "&amp;Task!$A$16&amp;" "," "&amp;LOWER(C174)&amp;" ")),1,0))+IF(Task!$A$17="",0,IF(ISNUMBER(SEARCH(" "&amp;Task!$A$17&amp;" "," "&amp;LOWER(C174)&amp;" ")),1,0))+IF(Task!$A$18="",0,IF(ISNUMBER(SEARCH(" "&amp;Task!$A$18&amp;" "," "&amp;LOWER(C174)&amp;" ")),1,0))+IF(Task!$A$19="",0,IF(ISNUMBER(SEARCH(" "&amp;Task!$A$19&amp;" "," "&amp;LOWER(C174)&amp;" ")),1,0)))</f>
        <v/>
      </c>
      <c r="H174" s="9">
        <f>IF(E174=0,0,IF(Task!$A$8="",0,IF(ISNUMBER(SEARCH(" "&amp;Task!$A$8&amp;" "," "&amp;LOWER(SUBSTITUTE(SUBSTITUTE(SUBSTITUTE(SUBSTITUTE(A174,"/"," "),"."," "),"\"," "),"_"," "))&amp;" ")),1,0))+IF(Task!$A$9="",0,IF(ISNUMBER(SEARCH(" "&amp;Task!$A$9&amp;" "," "&amp;LOWER(SUBSTITUTE(SUBSTITUTE(SUBSTITUTE(SUBSTITUTE(A174,"/"," "),"."," "),"\"," "),"_"," "))&amp;" ")),1,0))+IF(Task!$A$10="",0,IF(ISNUMBER(SEARCH(" "&amp;Task!$A$10&amp;" "," "&amp;LOWER(SUBSTITUTE(SUBSTITUTE(SUBSTITUTE(SUBSTITUTE(A174,"/"," "),"."," "),"\"," "),"_"," "))&amp;" ")),1,0))+IF(Task!$A$11="",0,IF(ISNUMBER(SEARCH(" "&amp;Task!$A$11&amp;" "," "&amp;LOWER(SUBSTITUTE(SUBSTITUTE(SUBSTITUTE(SUBSTITUTE(A174,"/"," "),"."," "),"\"," "),"_"," "))&amp;" ")),1,0))+IF(Task!$A$12="",0,IF(ISNUMBER(SEARCH(" "&amp;Task!$A$12&amp;" "," "&amp;LOWER(SUBSTITUTE(SUBSTITUTE(SUBSTITUTE(SUBSTITUTE(A174,"/"," "),"."," "),"\"," "),"_"," "))&amp;" ")),1,0))+IF(Task!$A$13="",0,IF(ISNUMBER(SEARCH(" "&amp;Task!$A$13&amp;" "," "&amp;LOWER(SUBSTITUTE(SUBSTITUTE(SUBSTITUTE(SUBSTITUTE(A174,"/"," "),"."," "),"\"," "),"_"," "))&amp;" ")),1,0))+IF(Task!$A$14="",0,IF(ISNUMBER(SEARCH(" "&amp;Task!$A$14&amp;" "," "&amp;LOWER(SUBSTITUTE(SUBSTITUTE(SUBSTITUTE(SUBSTITUTE(A174,"/"," "),"."," "),"\"," "),"_"," "))&amp;" ")),1,0))+IF(Task!$A$15="",0,IF(ISNUMBER(SEARCH(" "&amp;Task!$A$15&amp;" "," "&amp;LOWER(SUBSTITUTE(SUBSTITUTE(SUBSTITUTE(SUBSTITUTE(A174,"/"," "),"."," "),"\"," "),"_"," "))&amp;" ")),1,0))+IF(Task!$A$16="",0,IF(ISNUMBER(SEARCH(" "&amp;Task!$A$16&amp;" "," "&amp;LOWER(SUBSTITUTE(SUBSTITUTE(SUBSTITUTE(SUBSTITUTE(A174,"/"," "),"."," "),"\"," "),"_"," "))&amp;" ")),1,0))+IF(Task!$A$17="",0,IF(ISNUMBER(SEARCH(" "&amp;Task!$A$17&amp;" "," "&amp;LOWER(SUBSTITUTE(SUBSTITUTE(SUBSTITUTE(SUBSTITUTE(A174,"/"," "),"."," "),"\"," "),"_"," "))&amp;" ")),1,0))+IF(Task!$A$18="",0,IF(ISNUMBER(SEARCH(" "&amp;Task!$A$18&amp;" "," "&amp;LOWER(SUBSTITUTE(SUBSTITUTE(SUBSTITUTE(SUBSTITUTE(A174,"/"," "),"."," "),"\"," "),"_"," "))&amp;" ")),1,0))+IF(Task!$A$19="",0,IF(ISNUMBER(SEARCH(" "&amp;Task!$A$19&amp;" "," "&amp;LOWER(SUBSTITUTE(SUBSTITUTE(SUBSTITUTE(SUBSTITUTE(A174,"/"," "),"."," "),"\"," "),"_"," "))&amp;" ")),1,0)))</f>
        <v/>
      </c>
      <c r="I174" s="10">
        <f>IF(OR(E174=0,F174=0,Task!$B$21=0),"",F174/Task!$B$21+0.5*G174+0.25*H174)</f>
        <v/>
      </c>
      <c r="J174" s="5">
        <f>IF(I174="","",I174-ROW()/1000000)</f>
        <v/>
      </c>
      <c r="K174" s="9">
        <f>IF(J174="","",COUNTIF($J$5:$J$404,"&gt;"&amp;J174)+1)</f>
        <v/>
      </c>
    </row>
    <row r="175">
      <c r="A175" s="7" t="n"/>
      <c r="B175" s="7" t="n"/>
      <c r="C175" s="7" t="n"/>
      <c r="D175" s="7" t="n"/>
      <c r="E175" s="5">
        <f>IF(A175="",0,IF(COUNTA(Task!$B$5:$E$5)=0,1,IF(COUNTIF(Task!$B$5:$E$5,B175)&gt;0,1,0)))</f>
        <v/>
      </c>
      <c r="F175" s="9">
        <f>IF(E175=0,0,IF(Task!$A$8="",0,IF(ISNUMBER(SEARCH(" "&amp;Task!$A$8&amp;" "," "&amp;LOWER(D175&amp;" "&amp;C175&amp;" "&amp;LOWER(SUBSTITUTE(SUBSTITUTE(SUBSTITUTE(SUBSTITUTE(A175,"/"," "),"."," "),"\"," "),"_"," ")))&amp;" ")),1,0))+IF(Task!$A$9="",0,IF(ISNUMBER(SEARCH(" "&amp;Task!$A$9&amp;" "," "&amp;LOWER(D175&amp;" "&amp;C175&amp;" "&amp;LOWER(SUBSTITUTE(SUBSTITUTE(SUBSTITUTE(SUBSTITUTE(A175,"/"," "),"."," "),"\"," "),"_"," ")))&amp;" ")),1,0))+IF(Task!$A$10="",0,IF(ISNUMBER(SEARCH(" "&amp;Task!$A$10&amp;" "," "&amp;LOWER(D175&amp;" "&amp;C175&amp;" "&amp;LOWER(SUBSTITUTE(SUBSTITUTE(SUBSTITUTE(SUBSTITUTE(A175,"/"," "),"."," "),"\"," "),"_"," ")))&amp;" ")),1,0))+IF(Task!$A$11="",0,IF(ISNUMBER(SEARCH(" "&amp;Task!$A$11&amp;" "," "&amp;LOWER(D175&amp;" "&amp;C175&amp;" "&amp;LOWER(SUBSTITUTE(SUBSTITUTE(SUBSTITUTE(SUBSTITUTE(A175,"/"," "),"."," "),"\"," "),"_"," ")))&amp;" ")),1,0))+IF(Task!$A$12="",0,IF(ISNUMBER(SEARCH(" "&amp;Task!$A$12&amp;" "," "&amp;LOWER(D175&amp;" "&amp;C175&amp;" "&amp;LOWER(SUBSTITUTE(SUBSTITUTE(SUBSTITUTE(SUBSTITUTE(A175,"/"," "),"."," "),"\"," "),"_"," ")))&amp;" ")),1,0))+IF(Task!$A$13="",0,IF(ISNUMBER(SEARCH(" "&amp;Task!$A$13&amp;" "," "&amp;LOWER(D175&amp;" "&amp;C175&amp;" "&amp;LOWER(SUBSTITUTE(SUBSTITUTE(SUBSTITUTE(SUBSTITUTE(A175,"/"," "),"."," "),"\"," "),"_"," ")))&amp;" ")),1,0))+IF(Task!$A$14="",0,IF(ISNUMBER(SEARCH(" "&amp;Task!$A$14&amp;" "," "&amp;LOWER(D175&amp;" "&amp;C175&amp;" "&amp;LOWER(SUBSTITUTE(SUBSTITUTE(SUBSTITUTE(SUBSTITUTE(A175,"/"," "),"."," "),"\"," "),"_"," ")))&amp;" ")),1,0))+IF(Task!$A$15="",0,IF(ISNUMBER(SEARCH(" "&amp;Task!$A$15&amp;" "," "&amp;LOWER(D175&amp;" "&amp;C175&amp;" "&amp;LOWER(SUBSTITUTE(SUBSTITUTE(SUBSTITUTE(SUBSTITUTE(A175,"/"," "),"."," "),"\"," "),"_"," ")))&amp;" ")),1,0))+IF(Task!$A$16="",0,IF(ISNUMBER(SEARCH(" "&amp;Task!$A$16&amp;" "," "&amp;LOWER(D175&amp;" "&amp;C175&amp;" "&amp;LOWER(SUBSTITUTE(SUBSTITUTE(SUBSTITUTE(SUBSTITUTE(A175,"/"," "),"."," "),"\"," "),"_"," ")))&amp;" ")),1,0))+IF(Task!$A$17="",0,IF(ISNUMBER(SEARCH(" "&amp;Task!$A$17&amp;" "," "&amp;LOWER(D175&amp;" "&amp;C175&amp;" "&amp;LOWER(SUBSTITUTE(SUBSTITUTE(SUBSTITUTE(SUBSTITUTE(A175,"/"," "),"."," "),"\"," "),"_"," ")))&amp;" ")),1,0))+IF(Task!$A$18="",0,IF(ISNUMBER(SEARCH(" "&amp;Task!$A$18&amp;" "," "&amp;LOWER(D175&amp;" "&amp;C175&amp;" "&amp;LOWER(SUBSTITUTE(SUBSTITUTE(SUBSTITUTE(SUBSTITUTE(A175,"/"," "),"."," "),"\"," "),"_"," ")))&amp;" ")),1,0))+IF(Task!$A$19="",0,IF(ISNUMBER(SEARCH(" "&amp;Task!$A$19&amp;" "," "&amp;LOWER(D175&amp;" "&amp;C175&amp;" "&amp;LOWER(SUBSTITUTE(SUBSTITUTE(SUBSTITUTE(SUBSTITUTE(A175,"/"," "),"."," "),"\"," "),"_"," ")))&amp;" ")),1,0)))</f>
        <v/>
      </c>
      <c r="G175" s="9">
        <f>IF(E175=0,0,IF(Task!$A$8="",0,IF(ISNUMBER(SEARCH(" "&amp;Task!$A$8&amp;" "," "&amp;LOWER(C175)&amp;" ")),1,0))+IF(Task!$A$9="",0,IF(ISNUMBER(SEARCH(" "&amp;Task!$A$9&amp;" "," "&amp;LOWER(C175)&amp;" ")),1,0))+IF(Task!$A$10="",0,IF(ISNUMBER(SEARCH(" "&amp;Task!$A$10&amp;" "," "&amp;LOWER(C175)&amp;" ")),1,0))+IF(Task!$A$11="",0,IF(ISNUMBER(SEARCH(" "&amp;Task!$A$11&amp;" "," "&amp;LOWER(C175)&amp;" ")),1,0))+IF(Task!$A$12="",0,IF(ISNUMBER(SEARCH(" "&amp;Task!$A$12&amp;" "," "&amp;LOWER(C175)&amp;" ")),1,0))+IF(Task!$A$13="",0,IF(ISNUMBER(SEARCH(" "&amp;Task!$A$13&amp;" "," "&amp;LOWER(C175)&amp;" ")),1,0))+IF(Task!$A$14="",0,IF(ISNUMBER(SEARCH(" "&amp;Task!$A$14&amp;" "," "&amp;LOWER(C175)&amp;" ")),1,0))+IF(Task!$A$15="",0,IF(ISNUMBER(SEARCH(" "&amp;Task!$A$15&amp;" "," "&amp;LOWER(C175)&amp;" ")),1,0))+IF(Task!$A$16="",0,IF(ISNUMBER(SEARCH(" "&amp;Task!$A$16&amp;" "," "&amp;LOWER(C175)&amp;" ")),1,0))+IF(Task!$A$17="",0,IF(ISNUMBER(SEARCH(" "&amp;Task!$A$17&amp;" "," "&amp;LOWER(C175)&amp;" ")),1,0))+IF(Task!$A$18="",0,IF(ISNUMBER(SEARCH(" "&amp;Task!$A$18&amp;" "," "&amp;LOWER(C175)&amp;" ")),1,0))+IF(Task!$A$19="",0,IF(ISNUMBER(SEARCH(" "&amp;Task!$A$19&amp;" "," "&amp;LOWER(C175)&amp;" ")),1,0)))</f>
        <v/>
      </c>
      <c r="H175" s="9">
        <f>IF(E175=0,0,IF(Task!$A$8="",0,IF(ISNUMBER(SEARCH(" "&amp;Task!$A$8&amp;" "," "&amp;LOWER(SUBSTITUTE(SUBSTITUTE(SUBSTITUTE(SUBSTITUTE(A175,"/"," "),"."," "),"\"," "),"_"," "))&amp;" ")),1,0))+IF(Task!$A$9="",0,IF(ISNUMBER(SEARCH(" "&amp;Task!$A$9&amp;" "," "&amp;LOWER(SUBSTITUTE(SUBSTITUTE(SUBSTITUTE(SUBSTITUTE(A175,"/"," "),"."," "),"\"," "),"_"," "))&amp;" ")),1,0))+IF(Task!$A$10="",0,IF(ISNUMBER(SEARCH(" "&amp;Task!$A$10&amp;" "," "&amp;LOWER(SUBSTITUTE(SUBSTITUTE(SUBSTITUTE(SUBSTITUTE(A175,"/"," "),"."," "),"\"," "),"_"," "))&amp;" ")),1,0))+IF(Task!$A$11="",0,IF(ISNUMBER(SEARCH(" "&amp;Task!$A$11&amp;" "," "&amp;LOWER(SUBSTITUTE(SUBSTITUTE(SUBSTITUTE(SUBSTITUTE(A175,"/"," "),"."," "),"\"," "),"_"," "))&amp;" ")),1,0))+IF(Task!$A$12="",0,IF(ISNUMBER(SEARCH(" "&amp;Task!$A$12&amp;" "," "&amp;LOWER(SUBSTITUTE(SUBSTITUTE(SUBSTITUTE(SUBSTITUTE(A175,"/"," "),"."," "),"\"," "),"_"," "))&amp;" ")),1,0))+IF(Task!$A$13="",0,IF(ISNUMBER(SEARCH(" "&amp;Task!$A$13&amp;" "," "&amp;LOWER(SUBSTITUTE(SUBSTITUTE(SUBSTITUTE(SUBSTITUTE(A175,"/"," "),"."," "),"\"," "),"_"," "))&amp;" ")),1,0))+IF(Task!$A$14="",0,IF(ISNUMBER(SEARCH(" "&amp;Task!$A$14&amp;" "," "&amp;LOWER(SUBSTITUTE(SUBSTITUTE(SUBSTITUTE(SUBSTITUTE(A175,"/"," "),"."," "),"\"," "),"_"," "))&amp;" ")),1,0))+IF(Task!$A$15="",0,IF(ISNUMBER(SEARCH(" "&amp;Task!$A$15&amp;" "," "&amp;LOWER(SUBSTITUTE(SUBSTITUTE(SUBSTITUTE(SUBSTITUTE(A175,"/"," "),"."," "),"\"," "),"_"," "))&amp;" ")),1,0))+IF(Task!$A$16="",0,IF(ISNUMBER(SEARCH(" "&amp;Task!$A$16&amp;" "," "&amp;LOWER(SUBSTITUTE(SUBSTITUTE(SUBSTITUTE(SUBSTITUTE(A175,"/"," "),"."," "),"\"," "),"_"," "))&amp;" ")),1,0))+IF(Task!$A$17="",0,IF(ISNUMBER(SEARCH(" "&amp;Task!$A$17&amp;" "," "&amp;LOWER(SUBSTITUTE(SUBSTITUTE(SUBSTITUTE(SUBSTITUTE(A175,"/"," "),"."," "),"\"," "),"_"," "))&amp;" ")),1,0))+IF(Task!$A$18="",0,IF(ISNUMBER(SEARCH(" "&amp;Task!$A$18&amp;" "," "&amp;LOWER(SUBSTITUTE(SUBSTITUTE(SUBSTITUTE(SUBSTITUTE(A175,"/"," "),"."," "),"\"," "),"_"," "))&amp;" ")),1,0))+IF(Task!$A$19="",0,IF(ISNUMBER(SEARCH(" "&amp;Task!$A$19&amp;" "," "&amp;LOWER(SUBSTITUTE(SUBSTITUTE(SUBSTITUTE(SUBSTITUTE(A175,"/"," "),"."," "),"\"," "),"_"," "))&amp;" ")),1,0)))</f>
        <v/>
      </c>
      <c r="I175" s="10">
        <f>IF(OR(E175=0,F175=0,Task!$B$21=0),"",F175/Task!$B$21+0.5*G175+0.25*H175)</f>
        <v/>
      </c>
      <c r="J175" s="5">
        <f>IF(I175="","",I175-ROW()/1000000)</f>
        <v/>
      </c>
      <c r="K175" s="9">
        <f>IF(J175="","",COUNTIF($J$5:$J$404,"&gt;"&amp;J175)+1)</f>
        <v/>
      </c>
    </row>
    <row r="176">
      <c r="A176" s="7" t="n"/>
      <c r="B176" s="7" t="n"/>
      <c r="C176" s="7" t="n"/>
      <c r="D176" s="7" t="n"/>
      <c r="E176" s="5">
        <f>IF(A176="",0,IF(COUNTA(Task!$B$5:$E$5)=0,1,IF(COUNTIF(Task!$B$5:$E$5,B176)&gt;0,1,0)))</f>
        <v/>
      </c>
      <c r="F176" s="9">
        <f>IF(E176=0,0,IF(Task!$A$8="",0,IF(ISNUMBER(SEARCH(" "&amp;Task!$A$8&amp;" "," "&amp;LOWER(D176&amp;" "&amp;C176&amp;" "&amp;LOWER(SUBSTITUTE(SUBSTITUTE(SUBSTITUTE(SUBSTITUTE(A176,"/"," "),"."," "),"\"," "),"_"," ")))&amp;" ")),1,0))+IF(Task!$A$9="",0,IF(ISNUMBER(SEARCH(" "&amp;Task!$A$9&amp;" "," "&amp;LOWER(D176&amp;" "&amp;C176&amp;" "&amp;LOWER(SUBSTITUTE(SUBSTITUTE(SUBSTITUTE(SUBSTITUTE(A176,"/"," "),"."," "),"\"," "),"_"," ")))&amp;" ")),1,0))+IF(Task!$A$10="",0,IF(ISNUMBER(SEARCH(" "&amp;Task!$A$10&amp;" "," "&amp;LOWER(D176&amp;" "&amp;C176&amp;" "&amp;LOWER(SUBSTITUTE(SUBSTITUTE(SUBSTITUTE(SUBSTITUTE(A176,"/"," "),"."," "),"\"," "),"_"," ")))&amp;" ")),1,0))+IF(Task!$A$11="",0,IF(ISNUMBER(SEARCH(" "&amp;Task!$A$11&amp;" "," "&amp;LOWER(D176&amp;" "&amp;C176&amp;" "&amp;LOWER(SUBSTITUTE(SUBSTITUTE(SUBSTITUTE(SUBSTITUTE(A176,"/"," "),"."," "),"\"," "),"_"," ")))&amp;" ")),1,0))+IF(Task!$A$12="",0,IF(ISNUMBER(SEARCH(" "&amp;Task!$A$12&amp;" "," "&amp;LOWER(D176&amp;" "&amp;C176&amp;" "&amp;LOWER(SUBSTITUTE(SUBSTITUTE(SUBSTITUTE(SUBSTITUTE(A176,"/"," "),"."," "),"\"," "),"_"," ")))&amp;" ")),1,0))+IF(Task!$A$13="",0,IF(ISNUMBER(SEARCH(" "&amp;Task!$A$13&amp;" "," "&amp;LOWER(D176&amp;" "&amp;C176&amp;" "&amp;LOWER(SUBSTITUTE(SUBSTITUTE(SUBSTITUTE(SUBSTITUTE(A176,"/"," "),"."," "),"\"," "),"_"," ")))&amp;" ")),1,0))+IF(Task!$A$14="",0,IF(ISNUMBER(SEARCH(" "&amp;Task!$A$14&amp;" "," "&amp;LOWER(D176&amp;" "&amp;C176&amp;" "&amp;LOWER(SUBSTITUTE(SUBSTITUTE(SUBSTITUTE(SUBSTITUTE(A176,"/"," "),"."," "),"\"," "),"_"," ")))&amp;" ")),1,0))+IF(Task!$A$15="",0,IF(ISNUMBER(SEARCH(" "&amp;Task!$A$15&amp;" "," "&amp;LOWER(D176&amp;" "&amp;C176&amp;" "&amp;LOWER(SUBSTITUTE(SUBSTITUTE(SUBSTITUTE(SUBSTITUTE(A176,"/"," "),"."," "),"\"," "),"_"," ")))&amp;" ")),1,0))+IF(Task!$A$16="",0,IF(ISNUMBER(SEARCH(" "&amp;Task!$A$16&amp;" "," "&amp;LOWER(D176&amp;" "&amp;C176&amp;" "&amp;LOWER(SUBSTITUTE(SUBSTITUTE(SUBSTITUTE(SUBSTITUTE(A176,"/"," "),"."," "),"\"," "),"_"," ")))&amp;" ")),1,0))+IF(Task!$A$17="",0,IF(ISNUMBER(SEARCH(" "&amp;Task!$A$17&amp;" "," "&amp;LOWER(D176&amp;" "&amp;C176&amp;" "&amp;LOWER(SUBSTITUTE(SUBSTITUTE(SUBSTITUTE(SUBSTITUTE(A176,"/"," "),"."," "),"\"," "),"_"," ")))&amp;" ")),1,0))+IF(Task!$A$18="",0,IF(ISNUMBER(SEARCH(" "&amp;Task!$A$18&amp;" "," "&amp;LOWER(D176&amp;" "&amp;C176&amp;" "&amp;LOWER(SUBSTITUTE(SUBSTITUTE(SUBSTITUTE(SUBSTITUTE(A176,"/"," "),"."," "),"\"," "),"_"," ")))&amp;" ")),1,0))+IF(Task!$A$19="",0,IF(ISNUMBER(SEARCH(" "&amp;Task!$A$19&amp;" "," "&amp;LOWER(D176&amp;" "&amp;C176&amp;" "&amp;LOWER(SUBSTITUTE(SUBSTITUTE(SUBSTITUTE(SUBSTITUTE(A176,"/"," "),"."," "),"\"," "),"_"," ")))&amp;" ")),1,0)))</f>
        <v/>
      </c>
      <c r="G176" s="9">
        <f>IF(E176=0,0,IF(Task!$A$8="",0,IF(ISNUMBER(SEARCH(" "&amp;Task!$A$8&amp;" "," "&amp;LOWER(C176)&amp;" ")),1,0))+IF(Task!$A$9="",0,IF(ISNUMBER(SEARCH(" "&amp;Task!$A$9&amp;" "," "&amp;LOWER(C176)&amp;" ")),1,0))+IF(Task!$A$10="",0,IF(ISNUMBER(SEARCH(" "&amp;Task!$A$10&amp;" "," "&amp;LOWER(C176)&amp;" ")),1,0))+IF(Task!$A$11="",0,IF(ISNUMBER(SEARCH(" "&amp;Task!$A$11&amp;" "," "&amp;LOWER(C176)&amp;" ")),1,0))+IF(Task!$A$12="",0,IF(ISNUMBER(SEARCH(" "&amp;Task!$A$12&amp;" "," "&amp;LOWER(C176)&amp;" ")),1,0))+IF(Task!$A$13="",0,IF(ISNUMBER(SEARCH(" "&amp;Task!$A$13&amp;" "," "&amp;LOWER(C176)&amp;" ")),1,0))+IF(Task!$A$14="",0,IF(ISNUMBER(SEARCH(" "&amp;Task!$A$14&amp;" "," "&amp;LOWER(C176)&amp;" ")),1,0))+IF(Task!$A$15="",0,IF(ISNUMBER(SEARCH(" "&amp;Task!$A$15&amp;" "," "&amp;LOWER(C176)&amp;" ")),1,0))+IF(Task!$A$16="",0,IF(ISNUMBER(SEARCH(" "&amp;Task!$A$16&amp;" "," "&amp;LOWER(C176)&amp;" ")),1,0))+IF(Task!$A$17="",0,IF(ISNUMBER(SEARCH(" "&amp;Task!$A$17&amp;" "," "&amp;LOWER(C176)&amp;" ")),1,0))+IF(Task!$A$18="",0,IF(ISNUMBER(SEARCH(" "&amp;Task!$A$18&amp;" "," "&amp;LOWER(C176)&amp;" ")),1,0))+IF(Task!$A$19="",0,IF(ISNUMBER(SEARCH(" "&amp;Task!$A$19&amp;" "," "&amp;LOWER(C176)&amp;" ")),1,0)))</f>
        <v/>
      </c>
      <c r="H176" s="9">
        <f>IF(E176=0,0,IF(Task!$A$8="",0,IF(ISNUMBER(SEARCH(" "&amp;Task!$A$8&amp;" "," "&amp;LOWER(SUBSTITUTE(SUBSTITUTE(SUBSTITUTE(SUBSTITUTE(A176,"/"," "),"."," "),"\"," "),"_"," "))&amp;" ")),1,0))+IF(Task!$A$9="",0,IF(ISNUMBER(SEARCH(" "&amp;Task!$A$9&amp;" "," "&amp;LOWER(SUBSTITUTE(SUBSTITUTE(SUBSTITUTE(SUBSTITUTE(A176,"/"," "),"."," "),"\"," "),"_"," "))&amp;" ")),1,0))+IF(Task!$A$10="",0,IF(ISNUMBER(SEARCH(" "&amp;Task!$A$10&amp;" "," "&amp;LOWER(SUBSTITUTE(SUBSTITUTE(SUBSTITUTE(SUBSTITUTE(A176,"/"," "),"."," "),"\"," "),"_"," "))&amp;" ")),1,0))+IF(Task!$A$11="",0,IF(ISNUMBER(SEARCH(" "&amp;Task!$A$11&amp;" "," "&amp;LOWER(SUBSTITUTE(SUBSTITUTE(SUBSTITUTE(SUBSTITUTE(A176,"/"," "),"."," "),"\"," "),"_"," "))&amp;" ")),1,0))+IF(Task!$A$12="",0,IF(ISNUMBER(SEARCH(" "&amp;Task!$A$12&amp;" "," "&amp;LOWER(SUBSTITUTE(SUBSTITUTE(SUBSTITUTE(SUBSTITUTE(A176,"/"," "),"."," "),"\"," "),"_"," "))&amp;" ")),1,0))+IF(Task!$A$13="",0,IF(ISNUMBER(SEARCH(" "&amp;Task!$A$13&amp;" "," "&amp;LOWER(SUBSTITUTE(SUBSTITUTE(SUBSTITUTE(SUBSTITUTE(A176,"/"," "),"."," "),"\"," "),"_"," "))&amp;" ")),1,0))+IF(Task!$A$14="",0,IF(ISNUMBER(SEARCH(" "&amp;Task!$A$14&amp;" "," "&amp;LOWER(SUBSTITUTE(SUBSTITUTE(SUBSTITUTE(SUBSTITUTE(A176,"/"," "),"."," "),"\"," "),"_"," "))&amp;" ")),1,0))+IF(Task!$A$15="",0,IF(ISNUMBER(SEARCH(" "&amp;Task!$A$15&amp;" "," "&amp;LOWER(SUBSTITUTE(SUBSTITUTE(SUBSTITUTE(SUBSTITUTE(A176,"/"," "),"."," "),"\"," "),"_"," "))&amp;" ")),1,0))+IF(Task!$A$16="",0,IF(ISNUMBER(SEARCH(" "&amp;Task!$A$16&amp;" "," "&amp;LOWER(SUBSTITUTE(SUBSTITUTE(SUBSTITUTE(SUBSTITUTE(A176,"/"," "),"."," "),"\"," "),"_"," "))&amp;" ")),1,0))+IF(Task!$A$17="",0,IF(ISNUMBER(SEARCH(" "&amp;Task!$A$17&amp;" "," "&amp;LOWER(SUBSTITUTE(SUBSTITUTE(SUBSTITUTE(SUBSTITUTE(A176,"/"," "),"."," "),"\"," "),"_"," "))&amp;" ")),1,0))+IF(Task!$A$18="",0,IF(ISNUMBER(SEARCH(" "&amp;Task!$A$18&amp;" "," "&amp;LOWER(SUBSTITUTE(SUBSTITUTE(SUBSTITUTE(SUBSTITUTE(A176,"/"," "),"."," "),"\"," "),"_"," "))&amp;" ")),1,0))+IF(Task!$A$19="",0,IF(ISNUMBER(SEARCH(" "&amp;Task!$A$19&amp;" "," "&amp;LOWER(SUBSTITUTE(SUBSTITUTE(SUBSTITUTE(SUBSTITUTE(A176,"/"," "),"."," "),"\"," "),"_"," "))&amp;" ")),1,0)))</f>
        <v/>
      </c>
      <c r="I176" s="10">
        <f>IF(OR(E176=0,F176=0,Task!$B$21=0),"",F176/Task!$B$21+0.5*G176+0.25*H176)</f>
        <v/>
      </c>
      <c r="J176" s="5">
        <f>IF(I176="","",I176-ROW()/1000000)</f>
        <v/>
      </c>
      <c r="K176" s="9">
        <f>IF(J176="","",COUNTIF($J$5:$J$404,"&gt;"&amp;J176)+1)</f>
        <v/>
      </c>
    </row>
    <row r="177">
      <c r="A177" s="7" t="n"/>
      <c r="B177" s="7" t="n"/>
      <c r="C177" s="7" t="n"/>
      <c r="D177" s="7" t="n"/>
      <c r="E177" s="5">
        <f>IF(A177="",0,IF(COUNTA(Task!$B$5:$E$5)=0,1,IF(COUNTIF(Task!$B$5:$E$5,B177)&gt;0,1,0)))</f>
        <v/>
      </c>
      <c r="F177" s="9">
        <f>IF(E177=0,0,IF(Task!$A$8="",0,IF(ISNUMBER(SEARCH(" "&amp;Task!$A$8&amp;" "," "&amp;LOWER(D177&amp;" "&amp;C177&amp;" "&amp;LOWER(SUBSTITUTE(SUBSTITUTE(SUBSTITUTE(SUBSTITUTE(A177,"/"," "),"."," "),"\"," "),"_"," ")))&amp;" ")),1,0))+IF(Task!$A$9="",0,IF(ISNUMBER(SEARCH(" "&amp;Task!$A$9&amp;" "," "&amp;LOWER(D177&amp;" "&amp;C177&amp;" "&amp;LOWER(SUBSTITUTE(SUBSTITUTE(SUBSTITUTE(SUBSTITUTE(A177,"/"," "),"."," "),"\"," "),"_"," ")))&amp;" ")),1,0))+IF(Task!$A$10="",0,IF(ISNUMBER(SEARCH(" "&amp;Task!$A$10&amp;" "," "&amp;LOWER(D177&amp;" "&amp;C177&amp;" "&amp;LOWER(SUBSTITUTE(SUBSTITUTE(SUBSTITUTE(SUBSTITUTE(A177,"/"," "),"."," "),"\"," "),"_"," ")))&amp;" ")),1,0))+IF(Task!$A$11="",0,IF(ISNUMBER(SEARCH(" "&amp;Task!$A$11&amp;" "," "&amp;LOWER(D177&amp;" "&amp;C177&amp;" "&amp;LOWER(SUBSTITUTE(SUBSTITUTE(SUBSTITUTE(SUBSTITUTE(A177,"/"," "),"."," "),"\"," "),"_"," ")))&amp;" ")),1,0))+IF(Task!$A$12="",0,IF(ISNUMBER(SEARCH(" "&amp;Task!$A$12&amp;" "," "&amp;LOWER(D177&amp;" "&amp;C177&amp;" "&amp;LOWER(SUBSTITUTE(SUBSTITUTE(SUBSTITUTE(SUBSTITUTE(A177,"/"," "),"."," "),"\"," "),"_"," ")))&amp;" ")),1,0))+IF(Task!$A$13="",0,IF(ISNUMBER(SEARCH(" "&amp;Task!$A$13&amp;" "," "&amp;LOWER(D177&amp;" "&amp;C177&amp;" "&amp;LOWER(SUBSTITUTE(SUBSTITUTE(SUBSTITUTE(SUBSTITUTE(A177,"/"," "),"."," "),"\"," "),"_"," ")))&amp;" ")),1,0))+IF(Task!$A$14="",0,IF(ISNUMBER(SEARCH(" "&amp;Task!$A$14&amp;" "," "&amp;LOWER(D177&amp;" "&amp;C177&amp;" "&amp;LOWER(SUBSTITUTE(SUBSTITUTE(SUBSTITUTE(SUBSTITUTE(A177,"/"," "),"."," "),"\"," "),"_"," ")))&amp;" ")),1,0))+IF(Task!$A$15="",0,IF(ISNUMBER(SEARCH(" "&amp;Task!$A$15&amp;" "," "&amp;LOWER(D177&amp;" "&amp;C177&amp;" "&amp;LOWER(SUBSTITUTE(SUBSTITUTE(SUBSTITUTE(SUBSTITUTE(A177,"/"," "),"."," "),"\"," "),"_"," ")))&amp;" ")),1,0))+IF(Task!$A$16="",0,IF(ISNUMBER(SEARCH(" "&amp;Task!$A$16&amp;" "," "&amp;LOWER(D177&amp;" "&amp;C177&amp;" "&amp;LOWER(SUBSTITUTE(SUBSTITUTE(SUBSTITUTE(SUBSTITUTE(A177,"/"," "),"."," "),"\"," "),"_"," ")))&amp;" ")),1,0))+IF(Task!$A$17="",0,IF(ISNUMBER(SEARCH(" "&amp;Task!$A$17&amp;" "," "&amp;LOWER(D177&amp;" "&amp;C177&amp;" "&amp;LOWER(SUBSTITUTE(SUBSTITUTE(SUBSTITUTE(SUBSTITUTE(A177,"/"," "),"."," "),"\"," "),"_"," ")))&amp;" ")),1,0))+IF(Task!$A$18="",0,IF(ISNUMBER(SEARCH(" "&amp;Task!$A$18&amp;" "," "&amp;LOWER(D177&amp;" "&amp;C177&amp;" "&amp;LOWER(SUBSTITUTE(SUBSTITUTE(SUBSTITUTE(SUBSTITUTE(A177,"/"," "),"."," "),"\"," "),"_"," ")))&amp;" ")),1,0))+IF(Task!$A$19="",0,IF(ISNUMBER(SEARCH(" "&amp;Task!$A$19&amp;" "," "&amp;LOWER(D177&amp;" "&amp;C177&amp;" "&amp;LOWER(SUBSTITUTE(SUBSTITUTE(SUBSTITUTE(SUBSTITUTE(A177,"/"," "),"."," "),"\"," "),"_"," ")))&amp;" ")),1,0)))</f>
        <v/>
      </c>
      <c r="G177" s="9">
        <f>IF(E177=0,0,IF(Task!$A$8="",0,IF(ISNUMBER(SEARCH(" "&amp;Task!$A$8&amp;" "," "&amp;LOWER(C177)&amp;" ")),1,0))+IF(Task!$A$9="",0,IF(ISNUMBER(SEARCH(" "&amp;Task!$A$9&amp;" "," "&amp;LOWER(C177)&amp;" ")),1,0))+IF(Task!$A$10="",0,IF(ISNUMBER(SEARCH(" "&amp;Task!$A$10&amp;" "," "&amp;LOWER(C177)&amp;" ")),1,0))+IF(Task!$A$11="",0,IF(ISNUMBER(SEARCH(" "&amp;Task!$A$11&amp;" "," "&amp;LOWER(C177)&amp;" ")),1,0))+IF(Task!$A$12="",0,IF(ISNUMBER(SEARCH(" "&amp;Task!$A$12&amp;" "," "&amp;LOWER(C177)&amp;" ")),1,0))+IF(Task!$A$13="",0,IF(ISNUMBER(SEARCH(" "&amp;Task!$A$13&amp;" "," "&amp;LOWER(C177)&amp;" ")),1,0))+IF(Task!$A$14="",0,IF(ISNUMBER(SEARCH(" "&amp;Task!$A$14&amp;" "," "&amp;LOWER(C177)&amp;" ")),1,0))+IF(Task!$A$15="",0,IF(ISNUMBER(SEARCH(" "&amp;Task!$A$15&amp;" "," "&amp;LOWER(C177)&amp;" ")),1,0))+IF(Task!$A$16="",0,IF(ISNUMBER(SEARCH(" "&amp;Task!$A$16&amp;" "," "&amp;LOWER(C177)&amp;" ")),1,0))+IF(Task!$A$17="",0,IF(ISNUMBER(SEARCH(" "&amp;Task!$A$17&amp;" "," "&amp;LOWER(C177)&amp;" ")),1,0))+IF(Task!$A$18="",0,IF(ISNUMBER(SEARCH(" "&amp;Task!$A$18&amp;" "," "&amp;LOWER(C177)&amp;" ")),1,0))+IF(Task!$A$19="",0,IF(ISNUMBER(SEARCH(" "&amp;Task!$A$19&amp;" "," "&amp;LOWER(C177)&amp;" ")),1,0)))</f>
        <v/>
      </c>
      <c r="H177" s="9">
        <f>IF(E177=0,0,IF(Task!$A$8="",0,IF(ISNUMBER(SEARCH(" "&amp;Task!$A$8&amp;" "," "&amp;LOWER(SUBSTITUTE(SUBSTITUTE(SUBSTITUTE(SUBSTITUTE(A177,"/"," "),"."," "),"\"," "),"_"," "))&amp;" ")),1,0))+IF(Task!$A$9="",0,IF(ISNUMBER(SEARCH(" "&amp;Task!$A$9&amp;" "," "&amp;LOWER(SUBSTITUTE(SUBSTITUTE(SUBSTITUTE(SUBSTITUTE(A177,"/"," "),"."," "),"\"," "),"_"," "))&amp;" ")),1,0))+IF(Task!$A$10="",0,IF(ISNUMBER(SEARCH(" "&amp;Task!$A$10&amp;" "," "&amp;LOWER(SUBSTITUTE(SUBSTITUTE(SUBSTITUTE(SUBSTITUTE(A177,"/"," "),"."," "),"\"," "),"_"," "))&amp;" ")),1,0))+IF(Task!$A$11="",0,IF(ISNUMBER(SEARCH(" "&amp;Task!$A$11&amp;" "," "&amp;LOWER(SUBSTITUTE(SUBSTITUTE(SUBSTITUTE(SUBSTITUTE(A177,"/"," "),"."," "),"\"," "),"_"," "))&amp;" ")),1,0))+IF(Task!$A$12="",0,IF(ISNUMBER(SEARCH(" "&amp;Task!$A$12&amp;" "," "&amp;LOWER(SUBSTITUTE(SUBSTITUTE(SUBSTITUTE(SUBSTITUTE(A177,"/"," "),"."," "),"\"," "),"_"," "))&amp;" ")),1,0))+IF(Task!$A$13="",0,IF(ISNUMBER(SEARCH(" "&amp;Task!$A$13&amp;" "," "&amp;LOWER(SUBSTITUTE(SUBSTITUTE(SUBSTITUTE(SUBSTITUTE(A177,"/"," "),"."," "),"\"," "),"_"," "))&amp;" ")),1,0))+IF(Task!$A$14="",0,IF(ISNUMBER(SEARCH(" "&amp;Task!$A$14&amp;" "," "&amp;LOWER(SUBSTITUTE(SUBSTITUTE(SUBSTITUTE(SUBSTITUTE(A177,"/"," "),"."," "),"\"," "),"_"," "))&amp;" ")),1,0))+IF(Task!$A$15="",0,IF(ISNUMBER(SEARCH(" "&amp;Task!$A$15&amp;" "," "&amp;LOWER(SUBSTITUTE(SUBSTITUTE(SUBSTITUTE(SUBSTITUTE(A177,"/"," "),"."," "),"\"," "),"_"," "))&amp;" ")),1,0))+IF(Task!$A$16="",0,IF(ISNUMBER(SEARCH(" "&amp;Task!$A$16&amp;" "," "&amp;LOWER(SUBSTITUTE(SUBSTITUTE(SUBSTITUTE(SUBSTITUTE(A177,"/"," "),"."," "),"\"," "),"_"," "))&amp;" ")),1,0))+IF(Task!$A$17="",0,IF(ISNUMBER(SEARCH(" "&amp;Task!$A$17&amp;" "," "&amp;LOWER(SUBSTITUTE(SUBSTITUTE(SUBSTITUTE(SUBSTITUTE(A177,"/"," "),"."," "),"\"," "),"_"," "))&amp;" ")),1,0))+IF(Task!$A$18="",0,IF(ISNUMBER(SEARCH(" "&amp;Task!$A$18&amp;" "," "&amp;LOWER(SUBSTITUTE(SUBSTITUTE(SUBSTITUTE(SUBSTITUTE(A177,"/"," "),"."," "),"\"," "),"_"," "))&amp;" ")),1,0))+IF(Task!$A$19="",0,IF(ISNUMBER(SEARCH(" "&amp;Task!$A$19&amp;" "," "&amp;LOWER(SUBSTITUTE(SUBSTITUTE(SUBSTITUTE(SUBSTITUTE(A177,"/"," "),"."," "),"\"," "),"_"," "))&amp;" ")),1,0)))</f>
        <v/>
      </c>
      <c r="I177" s="10">
        <f>IF(OR(E177=0,F177=0,Task!$B$21=0),"",F177/Task!$B$21+0.5*G177+0.25*H177)</f>
        <v/>
      </c>
      <c r="J177" s="5">
        <f>IF(I177="","",I177-ROW()/1000000)</f>
        <v/>
      </c>
      <c r="K177" s="9">
        <f>IF(J177="","",COUNTIF($J$5:$J$404,"&gt;"&amp;J177)+1)</f>
        <v/>
      </c>
    </row>
    <row r="178">
      <c r="A178" s="7" t="n"/>
      <c r="B178" s="7" t="n"/>
      <c r="C178" s="7" t="n"/>
      <c r="D178" s="7" t="n"/>
      <c r="E178" s="5">
        <f>IF(A178="",0,IF(COUNTA(Task!$B$5:$E$5)=0,1,IF(COUNTIF(Task!$B$5:$E$5,B178)&gt;0,1,0)))</f>
        <v/>
      </c>
      <c r="F178" s="9">
        <f>IF(E178=0,0,IF(Task!$A$8="",0,IF(ISNUMBER(SEARCH(" "&amp;Task!$A$8&amp;" "," "&amp;LOWER(D178&amp;" "&amp;C178&amp;" "&amp;LOWER(SUBSTITUTE(SUBSTITUTE(SUBSTITUTE(SUBSTITUTE(A178,"/"," "),"."," "),"\"," "),"_"," ")))&amp;" ")),1,0))+IF(Task!$A$9="",0,IF(ISNUMBER(SEARCH(" "&amp;Task!$A$9&amp;" "," "&amp;LOWER(D178&amp;" "&amp;C178&amp;" "&amp;LOWER(SUBSTITUTE(SUBSTITUTE(SUBSTITUTE(SUBSTITUTE(A178,"/"," "),"."," "),"\"," "),"_"," ")))&amp;" ")),1,0))+IF(Task!$A$10="",0,IF(ISNUMBER(SEARCH(" "&amp;Task!$A$10&amp;" "," "&amp;LOWER(D178&amp;" "&amp;C178&amp;" "&amp;LOWER(SUBSTITUTE(SUBSTITUTE(SUBSTITUTE(SUBSTITUTE(A178,"/"," "),"."," "),"\"," "),"_"," ")))&amp;" ")),1,0))+IF(Task!$A$11="",0,IF(ISNUMBER(SEARCH(" "&amp;Task!$A$11&amp;" "," "&amp;LOWER(D178&amp;" "&amp;C178&amp;" "&amp;LOWER(SUBSTITUTE(SUBSTITUTE(SUBSTITUTE(SUBSTITUTE(A178,"/"," "),"."," "),"\"," "),"_"," ")))&amp;" ")),1,0))+IF(Task!$A$12="",0,IF(ISNUMBER(SEARCH(" "&amp;Task!$A$12&amp;" "," "&amp;LOWER(D178&amp;" "&amp;C178&amp;" "&amp;LOWER(SUBSTITUTE(SUBSTITUTE(SUBSTITUTE(SUBSTITUTE(A178,"/"," "),"."," "),"\"," "),"_"," ")))&amp;" ")),1,0))+IF(Task!$A$13="",0,IF(ISNUMBER(SEARCH(" "&amp;Task!$A$13&amp;" "," "&amp;LOWER(D178&amp;" "&amp;C178&amp;" "&amp;LOWER(SUBSTITUTE(SUBSTITUTE(SUBSTITUTE(SUBSTITUTE(A178,"/"," "),"."," "),"\"," "),"_"," ")))&amp;" ")),1,0))+IF(Task!$A$14="",0,IF(ISNUMBER(SEARCH(" "&amp;Task!$A$14&amp;" "," "&amp;LOWER(D178&amp;" "&amp;C178&amp;" "&amp;LOWER(SUBSTITUTE(SUBSTITUTE(SUBSTITUTE(SUBSTITUTE(A178,"/"," "),"."," "),"\"," "),"_"," ")))&amp;" ")),1,0))+IF(Task!$A$15="",0,IF(ISNUMBER(SEARCH(" "&amp;Task!$A$15&amp;" "," "&amp;LOWER(D178&amp;" "&amp;C178&amp;" "&amp;LOWER(SUBSTITUTE(SUBSTITUTE(SUBSTITUTE(SUBSTITUTE(A178,"/"," "),"."," "),"\"," "),"_"," ")))&amp;" ")),1,0))+IF(Task!$A$16="",0,IF(ISNUMBER(SEARCH(" "&amp;Task!$A$16&amp;" "," "&amp;LOWER(D178&amp;" "&amp;C178&amp;" "&amp;LOWER(SUBSTITUTE(SUBSTITUTE(SUBSTITUTE(SUBSTITUTE(A178,"/"," "),"."," "),"\"," "),"_"," ")))&amp;" ")),1,0))+IF(Task!$A$17="",0,IF(ISNUMBER(SEARCH(" "&amp;Task!$A$17&amp;" "," "&amp;LOWER(D178&amp;" "&amp;C178&amp;" "&amp;LOWER(SUBSTITUTE(SUBSTITUTE(SUBSTITUTE(SUBSTITUTE(A178,"/"," "),"."," "),"\"," "),"_"," ")))&amp;" ")),1,0))+IF(Task!$A$18="",0,IF(ISNUMBER(SEARCH(" "&amp;Task!$A$18&amp;" "," "&amp;LOWER(D178&amp;" "&amp;C178&amp;" "&amp;LOWER(SUBSTITUTE(SUBSTITUTE(SUBSTITUTE(SUBSTITUTE(A178,"/"," "),"."," "),"\"," "),"_"," ")))&amp;" ")),1,0))+IF(Task!$A$19="",0,IF(ISNUMBER(SEARCH(" "&amp;Task!$A$19&amp;" "," "&amp;LOWER(D178&amp;" "&amp;C178&amp;" "&amp;LOWER(SUBSTITUTE(SUBSTITUTE(SUBSTITUTE(SUBSTITUTE(A178,"/"," "),"."," "),"\"," "),"_"," ")))&amp;" ")),1,0)))</f>
        <v/>
      </c>
      <c r="G178" s="9">
        <f>IF(E178=0,0,IF(Task!$A$8="",0,IF(ISNUMBER(SEARCH(" "&amp;Task!$A$8&amp;" "," "&amp;LOWER(C178)&amp;" ")),1,0))+IF(Task!$A$9="",0,IF(ISNUMBER(SEARCH(" "&amp;Task!$A$9&amp;" "," "&amp;LOWER(C178)&amp;" ")),1,0))+IF(Task!$A$10="",0,IF(ISNUMBER(SEARCH(" "&amp;Task!$A$10&amp;" "," "&amp;LOWER(C178)&amp;" ")),1,0))+IF(Task!$A$11="",0,IF(ISNUMBER(SEARCH(" "&amp;Task!$A$11&amp;" "," "&amp;LOWER(C178)&amp;" ")),1,0))+IF(Task!$A$12="",0,IF(ISNUMBER(SEARCH(" "&amp;Task!$A$12&amp;" "," "&amp;LOWER(C178)&amp;" ")),1,0))+IF(Task!$A$13="",0,IF(ISNUMBER(SEARCH(" "&amp;Task!$A$13&amp;" "," "&amp;LOWER(C178)&amp;" ")),1,0))+IF(Task!$A$14="",0,IF(ISNUMBER(SEARCH(" "&amp;Task!$A$14&amp;" "," "&amp;LOWER(C178)&amp;" ")),1,0))+IF(Task!$A$15="",0,IF(ISNUMBER(SEARCH(" "&amp;Task!$A$15&amp;" "," "&amp;LOWER(C178)&amp;" ")),1,0))+IF(Task!$A$16="",0,IF(ISNUMBER(SEARCH(" "&amp;Task!$A$16&amp;" "," "&amp;LOWER(C178)&amp;" ")),1,0))+IF(Task!$A$17="",0,IF(ISNUMBER(SEARCH(" "&amp;Task!$A$17&amp;" "," "&amp;LOWER(C178)&amp;" ")),1,0))+IF(Task!$A$18="",0,IF(ISNUMBER(SEARCH(" "&amp;Task!$A$18&amp;" "," "&amp;LOWER(C178)&amp;" ")),1,0))+IF(Task!$A$19="",0,IF(ISNUMBER(SEARCH(" "&amp;Task!$A$19&amp;" "," "&amp;LOWER(C178)&amp;" ")),1,0)))</f>
        <v/>
      </c>
      <c r="H178" s="9">
        <f>IF(E178=0,0,IF(Task!$A$8="",0,IF(ISNUMBER(SEARCH(" "&amp;Task!$A$8&amp;" "," "&amp;LOWER(SUBSTITUTE(SUBSTITUTE(SUBSTITUTE(SUBSTITUTE(A178,"/"," "),"."," "),"\"," "),"_"," "))&amp;" ")),1,0))+IF(Task!$A$9="",0,IF(ISNUMBER(SEARCH(" "&amp;Task!$A$9&amp;" "," "&amp;LOWER(SUBSTITUTE(SUBSTITUTE(SUBSTITUTE(SUBSTITUTE(A178,"/"," "),"."," "),"\"," "),"_"," "))&amp;" ")),1,0))+IF(Task!$A$10="",0,IF(ISNUMBER(SEARCH(" "&amp;Task!$A$10&amp;" "," "&amp;LOWER(SUBSTITUTE(SUBSTITUTE(SUBSTITUTE(SUBSTITUTE(A178,"/"," "),"."," "),"\"," "),"_"," "))&amp;" ")),1,0))+IF(Task!$A$11="",0,IF(ISNUMBER(SEARCH(" "&amp;Task!$A$11&amp;" "," "&amp;LOWER(SUBSTITUTE(SUBSTITUTE(SUBSTITUTE(SUBSTITUTE(A178,"/"," "),"."," "),"\"," "),"_"," "))&amp;" ")),1,0))+IF(Task!$A$12="",0,IF(ISNUMBER(SEARCH(" "&amp;Task!$A$12&amp;" "," "&amp;LOWER(SUBSTITUTE(SUBSTITUTE(SUBSTITUTE(SUBSTITUTE(A178,"/"," "),"."," "),"\"," "),"_"," "))&amp;" ")),1,0))+IF(Task!$A$13="",0,IF(ISNUMBER(SEARCH(" "&amp;Task!$A$13&amp;" "," "&amp;LOWER(SUBSTITUTE(SUBSTITUTE(SUBSTITUTE(SUBSTITUTE(A178,"/"," "),"."," "),"\"," "),"_"," "))&amp;" ")),1,0))+IF(Task!$A$14="",0,IF(ISNUMBER(SEARCH(" "&amp;Task!$A$14&amp;" "," "&amp;LOWER(SUBSTITUTE(SUBSTITUTE(SUBSTITUTE(SUBSTITUTE(A178,"/"," "),"."," "),"\"," "),"_"," "))&amp;" ")),1,0))+IF(Task!$A$15="",0,IF(ISNUMBER(SEARCH(" "&amp;Task!$A$15&amp;" "," "&amp;LOWER(SUBSTITUTE(SUBSTITUTE(SUBSTITUTE(SUBSTITUTE(A178,"/"," "),"."," "),"\"," "),"_"," "))&amp;" ")),1,0))+IF(Task!$A$16="",0,IF(ISNUMBER(SEARCH(" "&amp;Task!$A$16&amp;" "," "&amp;LOWER(SUBSTITUTE(SUBSTITUTE(SUBSTITUTE(SUBSTITUTE(A178,"/"," "),"."," "),"\"," "),"_"," "))&amp;" ")),1,0))+IF(Task!$A$17="",0,IF(ISNUMBER(SEARCH(" "&amp;Task!$A$17&amp;" "," "&amp;LOWER(SUBSTITUTE(SUBSTITUTE(SUBSTITUTE(SUBSTITUTE(A178,"/"," "),"."," "),"\"," "),"_"," "))&amp;" ")),1,0))+IF(Task!$A$18="",0,IF(ISNUMBER(SEARCH(" "&amp;Task!$A$18&amp;" "," "&amp;LOWER(SUBSTITUTE(SUBSTITUTE(SUBSTITUTE(SUBSTITUTE(A178,"/"," "),"."," "),"\"," "),"_"," "))&amp;" ")),1,0))+IF(Task!$A$19="",0,IF(ISNUMBER(SEARCH(" "&amp;Task!$A$19&amp;" "," "&amp;LOWER(SUBSTITUTE(SUBSTITUTE(SUBSTITUTE(SUBSTITUTE(A178,"/"," "),"."," "),"\"," "),"_"," "))&amp;" ")),1,0)))</f>
        <v/>
      </c>
      <c r="I178" s="10">
        <f>IF(OR(E178=0,F178=0,Task!$B$21=0),"",F178/Task!$B$21+0.5*G178+0.25*H178)</f>
        <v/>
      </c>
      <c r="J178" s="5">
        <f>IF(I178="","",I178-ROW()/1000000)</f>
        <v/>
      </c>
      <c r="K178" s="9">
        <f>IF(J178="","",COUNTIF($J$5:$J$404,"&gt;"&amp;J178)+1)</f>
        <v/>
      </c>
    </row>
    <row r="179">
      <c r="A179" s="7" t="n"/>
      <c r="B179" s="7" t="n"/>
      <c r="C179" s="7" t="n"/>
      <c r="D179" s="7" t="n"/>
      <c r="E179" s="5">
        <f>IF(A179="",0,IF(COUNTA(Task!$B$5:$E$5)=0,1,IF(COUNTIF(Task!$B$5:$E$5,B179)&gt;0,1,0)))</f>
        <v/>
      </c>
      <c r="F179" s="9">
        <f>IF(E179=0,0,IF(Task!$A$8="",0,IF(ISNUMBER(SEARCH(" "&amp;Task!$A$8&amp;" "," "&amp;LOWER(D179&amp;" "&amp;C179&amp;" "&amp;LOWER(SUBSTITUTE(SUBSTITUTE(SUBSTITUTE(SUBSTITUTE(A179,"/"," "),"."," "),"\"," "),"_"," ")))&amp;" ")),1,0))+IF(Task!$A$9="",0,IF(ISNUMBER(SEARCH(" "&amp;Task!$A$9&amp;" "," "&amp;LOWER(D179&amp;" "&amp;C179&amp;" "&amp;LOWER(SUBSTITUTE(SUBSTITUTE(SUBSTITUTE(SUBSTITUTE(A179,"/"," "),"."," "),"\"," "),"_"," ")))&amp;" ")),1,0))+IF(Task!$A$10="",0,IF(ISNUMBER(SEARCH(" "&amp;Task!$A$10&amp;" "," "&amp;LOWER(D179&amp;" "&amp;C179&amp;" "&amp;LOWER(SUBSTITUTE(SUBSTITUTE(SUBSTITUTE(SUBSTITUTE(A179,"/"," "),"."," "),"\"," "),"_"," ")))&amp;" ")),1,0))+IF(Task!$A$11="",0,IF(ISNUMBER(SEARCH(" "&amp;Task!$A$11&amp;" "," "&amp;LOWER(D179&amp;" "&amp;C179&amp;" "&amp;LOWER(SUBSTITUTE(SUBSTITUTE(SUBSTITUTE(SUBSTITUTE(A179,"/"," "),"."," "),"\"," "),"_"," ")))&amp;" ")),1,0))+IF(Task!$A$12="",0,IF(ISNUMBER(SEARCH(" "&amp;Task!$A$12&amp;" "," "&amp;LOWER(D179&amp;" "&amp;C179&amp;" "&amp;LOWER(SUBSTITUTE(SUBSTITUTE(SUBSTITUTE(SUBSTITUTE(A179,"/"," "),"."," "),"\"," "),"_"," ")))&amp;" ")),1,0))+IF(Task!$A$13="",0,IF(ISNUMBER(SEARCH(" "&amp;Task!$A$13&amp;" "," "&amp;LOWER(D179&amp;" "&amp;C179&amp;" "&amp;LOWER(SUBSTITUTE(SUBSTITUTE(SUBSTITUTE(SUBSTITUTE(A179,"/"," "),"."," "),"\"," "),"_"," ")))&amp;" ")),1,0))+IF(Task!$A$14="",0,IF(ISNUMBER(SEARCH(" "&amp;Task!$A$14&amp;" "," "&amp;LOWER(D179&amp;" "&amp;C179&amp;" "&amp;LOWER(SUBSTITUTE(SUBSTITUTE(SUBSTITUTE(SUBSTITUTE(A179,"/"," "),"."," "),"\"," "),"_"," ")))&amp;" ")),1,0))+IF(Task!$A$15="",0,IF(ISNUMBER(SEARCH(" "&amp;Task!$A$15&amp;" "," "&amp;LOWER(D179&amp;" "&amp;C179&amp;" "&amp;LOWER(SUBSTITUTE(SUBSTITUTE(SUBSTITUTE(SUBSTITUTE(A179,"/"," "),"."," "),"\"," "),"_"," ")))&amp;" ")),1,0))+IF(Task!$A$16="",0,IF(ISNUMBER(SEARCH(" "&amp;Task!$A$16&amp;" "," "&amp;LOWER(D179&amp;" "&amp;C179&amp;" "&amp;LOWER(SUBSTITUTE(SUBSTITUTE(SUBSTITUTE(SUBSTITUTE(A179,"/"," "),"."," "),"\"," "),"_"," ")))&amp;" ")),1,0))+IF(Task!$A$17="",0,IF(ISNUMBER(SEARCH(" "&amp;Task!$A$17&amp;" "," "&amp;LOWER(D179&amp;" "&amp;C179&amp;" "&amp;LOWER(SUBSTITUTE(SUBSTITUTE(SUBSTITUTE(SUBSTITUTE(A179,"/"," "),"."," "),"\"," "),"_"," ")))&amp;" ")),1,0))+IF(Task!$A$18="",0,IF(ISNUMBER(SEARCH(" "&amp;Task!$A$18&amp;" "," "&amp;LOWER(D179&amp;" "&amp;C179&amp;" "&amp;LOWER(SUBSTITUTE(SUBSTITUTE(SUBSTITUTE(SUBSTITUTE(A179,"/"," "),"."," "),"\"," "),"_"," ")))&amp;" ")),1,0))+IF(Task!$A$19="",0,IF(ISNUMBER(SEARCH(" "&amp;Task!$A$19&amp;" "," "&amp;LOWER(D179&amp;" "&amp;C179&amp;" "&amp;LOWER(SUBSTITUTE(SUBSTITUTE(SUBSTITUTE(SUBSTITUTE(A179,"/"," "),"."," "),"\"," "),"_"," ")))&amp;" ")),1,0)))</f>
        <v/>
      </c>
      <c r="G179" s="9">
        <f>IF(E179=0,0,IF(Task!$A$8="",0,IF(ISNUMBER(SEARCH(" "&amp;Task!$A$8&amp;" "," "&amp;LOWER(C179)&amp;" ")),1,0))+IF(Task!$A$9="",0,IF(ISNUMBER(SEARCH(" "&amp;Task!$A$9&amp;" "," "&amp;LOWER(C179)&amp;" ")),1,0))+IF(Task!$A$10="",0,IF(ISNUMBER(SEARCH(" "&amp;Task!$A$10&amp;" "," "&amp;LOWER(C179)&amp;" ")),1,0))+IF(Task!$A$11="",0,IF(ISNUMBER(SEARCH(" "&amp;Task!$A$11&amp;" "," "&amp;LOWER(C179)&amp;" ")),1,0))+IF(Task!$A$12="",0,IF(ISNUMBER(SEARCH(" "&amp;Task!$A$12&amp;" "," "&amp;LOWER(C179)&amp;" ")),1,0))+IF(Task!$A$13="",0,IF(ISNUMBER(SEARCH(" "&amp;Task!$A$13&amp;" "," "&amp;LOWER(C179)&amp;" ")),1,0))+IF(Task!$A$14="",0,IF(ISNUMBER(SEARCH(" "&amp;Task!$A$14&amp;" "," "&amp;LOWER(C179)&amp;" ")),1,0))+IF(Task!$A$15="",0,IF(ISNUMBER(SEARCH(" "&amp;Task!$A$15&amp;" "," "&amp;LOWER(C179)&amp;" ")),1,0))+IF(Task!$A$16="",0,IF(ISNUMBER(SEARCH(" "&amp;Task!$A$16&amp;" "," "&amp;LOWER(C179)&amp;" ")),1,0))+IF(Task!$A$17="",0,IF(ISNUMBER(SEARCH(" "&amp;Task!$A$17&amp;" "," "&amp;LOWER(C179)&amp;" ")),1,0))+IF(Task!$A$18="",0,IF(ISNUMBER(SEARCH(" "&amp;Task!$A$18&amp;" "," "&amp;LOWER(C179)&amp;" ")),1,0))+IF(Task!$A$19="",0,IF(ISNUMBER(SEARCH(" "&amp;Task!$A$19&amp;" "," "&amp;LOWER(C179)&amp;" ")),1,0)))</f>
        <v/>
      </c>
      <c r="H179" s="9">
        <f>IF(E179=0,0,IF(Task!$A$8="",0,IF(ISNUMBER(SEARCH(" "&amp;Task!$A$8&amp;" "," "&amp;LOWER(SUBSTITUTE(SUBSTITUTE(SUBSTITUTE(SUBSTITUTE(A179,"/"," "),"."," "),"\"," "),"_"," "))&amp;" ")),1,0))+IF(Task!$A$9="",0,IF(ISNUMBER(SEARCH(" "&amp;Task!$A$9&amp;" "," "&amp;LOWER(SUBSTITUTE(SUBSTITUTE(SUBSTITUTE(SUBSTITUTE(A179,"/"," "),"."," "),"\"," "),"_"," "))&amp;" ")),1,0))+IF(Task!$A$10="",0,IF(ISNUMBER(SEARCH(" "&amp;Task!$A$10&amp;" "," "&amp;LOWER(SUBSTITUTE(SUBSTITUTE(SUBSTITUTE(SUBSTITUTE(A179,"/"," "),"."," "),"\"," "),"_"," "))&amp;" ")),1,0))+IF(Task!$A$11="",0,IF(ISNUMBER(SEARCH(" "&amp;Task!$A$11&amp;" "," "&amp;LOWER(SUBSTITUTE(SUBSTITUTE(SUBSTITUTE(SUBSTITUTE(A179,"/"," "),"."," "),"\"," "),"_"," "))&amp;" ")),1,0))+IF(Task!$A$12="",0,IF(ISNUMBER(SEARCH(" "&amp;Task!$A$12&amp;" "," "&amp;LOWER(SUBSTITUTE(SUBSTITUTE(SUBSTITUTE(SUBSTITUTE(A179,"/"," "),"."," "),"\"," "),"_"," "))&amp;" ")),1,0))+IF(Task!$A$13="",0,IF(ISNUMBER(SEARCH(" "&amp;Task!$A$13&amp;" "," "&amp;LOWER(SUBSTITUTE(SUBSTITUTE(SUBSTITUTE(SUBSTITUTE(A179,"/"," "),"."," "),"\"," "),"_"," "))&amp;" ")),1,0))+IF(Task!$A$14="",0,IF(ISNUMBER(SEARCH(" "&amp;Task!$A$14&amp;" "," "&amp;LOWER(SUBSTITUTE(SUBSTITUTE(SUBSTITUTE(SUBSTITUTE(A179,"/"," "),"."," "),"\"," "),"_"," "))&amp;" ")),1,0))+IF(Task!$A$15="",0,IF(ISNUMBER(SEARCH(" "&amp;Task!$A$15&amp;" "," "&amp;LOWER(SUBSTITUTE(SUBSTITUTE(SUBSTITUTE(SUBSTITUTE(A179,"/"," "),"."," "),"\"," "),"_"," "))&amp;" ")),1,0))+IF(Task!$A$16="",0,IF(ISNUMBER(SEARCH(" "&amp;Task!$A$16&amp;" "," "&amp;LOWER(SUBSTITUTE(SUBSTITUTE(SUBSTITUTE(SUBSTITUTE(A179,"/"," "),"."," "),"\"," "),"_"," "))&amp;" ")),1,0))+IF(Task!$A$17="",0,IF(ISNUMBER(SEARCH(" "&amp;Task!$A$17&amp;" "," "&amp;LOWER(SUBSTITUTE(SUBSTITUTE(SUBSTITUTE(SUBSTITUTE(A179,"/"," "),"."," "),"\"," "),"_"," "))&amp;" ")),1,0))+IF(Task!$A$18="",0,IF(ISNUMBER(SEARCH(" "&amp;Task!$A$18&amp;" "," "&amp;LOWER(SUBSTITUTE(SUBSTITUTE(SUBSTITUTE(SUBSTITUTE(A179,"/"," "),"."," "),"\"," "),"_"," "))&amp;" ")),1,0))+IF(Task!$A$19="",0,IF(ISNUMBER(SEARCH(" "&amp;Task!$A$19&amp;" "," "&amp;LOWER(SUBSTITUTE(SUBSTITUTE(SUBSTITUTE(SUBSTITUTE(A179,"/"," "),"."," "),"\"," "),"_"," "))&amp;" ")),1,0)))</f>
        <v/>
      </c>
      <c r="I179" s="10">
        <f>IF(OR(E179=0,F179=0,Task!$B$21=0),"",F179/Task!$B$21+0.5*G179+0.25*H179)</f>
        <v/>
      </c>
      <c r="J179" s="5">
        <f>IF(I179="","",I179-ROW()/1000000)</f>
        <v/>
      </c>
      <c r="K179" s="9">
        <f>IF(J179="","",COUNTIF($J$5:$J$404,"&gt;"&amp;J179)+1)</f>
        <v/>
      </c>
    </row>
    <row r="180">
      <c r="A180" s="7" t="n"/>
      <c r="B180" s="7" t="n"/>
      <c r="C180" s="7" t="n"/>
      <c r="D180" s="7" t="n"/>
      <c r="E180" s="5">
        <f>IF(A180="",0,IF(COUNTA(Task!$B$5:$E$5)=0,1,IF(COUNTIF(Task!$B$5:$E$5,B180)&gt;0,1,0)))</f>
        <v/>
      </c>
      <c r="F180" s="9">
        <f>IF(E180=0,0,IF(Task!$A$8="",0,IF(ISNUMBER(SEARCH(" "&amp;Task!$A$8&amp;" "," "&amp;LOWER(D180&amp;" "&amp;C180&amp;" "&amp;LOWER(SUBSTITUTE(SUBSTITUTE(SUBSTITUTE(SUBSTITUTE(A180,"/"," "),"."," "),"\"," "),"_"," ")))&amp;" ")),1,0))+IF(Task!$A$9="",0,IF(ISNUMBER(SEARCH(" "&amp;Task!$A$9&amp;" "," "&amp;LOWER(D180&amp;" "&amp;C180&amp;" "&amp;LOWER(SUBSTITUTE(SUBSTITUTE(SUBSTITUTE(SUBSTITUTE(A180,"/"," "),"."," "),"\"," "),"_"," ")))&amp;" ")),1,0))+IF(Task!$A$10="",0,IF(ISNUMBER(SEARCH(" "&amp;Task!$A$10&amp;" "," "&amp;LOWER(D180&amp;" "&amp;C180&amp;" "&amp;LOWER(SUBSTITUTE(SUBSTITUTE(SUBSTITUTE(SUBSTITUTE(A180,"/"," "),"."," "),"\"," "),"_"," ")))&amp;" ")),1,0))+IF(Task!$A$11="",0,IF(ISNUMBER(SEARCH(" "&amp;Task!$A$11&amp;" "," "&amp;LOWER(D180&amp;" "&amp;C180&amp;" "&amp;LOWER(SUBSTITUTE(SUBSTITUTE(SUBSTITUTE(SUBSTITUTE(A180,"/"," "),"."," "),"\"," "),"_"," ")))&amp;" ")),1,0))+IF(Task!$A$12="",0,IF(ISNUMBER(SEARCH(" "&amp;Task!$A$12&amp;" "," "&amp;LOWER(D180&amp;" "&amp;C180&amp;" "&amp;LOWER(SUBSTITUTE(SUBSTITUTE(SUBSTITUTE(SUBSTITUTE(A180,"/"," "),"."," "),"\"," "),"_"," ")))&amp;" ")),1,0))+IF(Task!$A$13="",0,IF(ISNUMBER(SEARCH(" "&amp;Task!$A$13&amp;" "," "&amp;LOWER(D180&amp;" "&amp;C180&amp;" "&amp;LOWER(SUBSTITUTE(SUBSTITUTE(SUBSTITUTE(SUBSTITUTE(A180,"/"," "),"."," "),"\"," "),"_"," ")))&amp;" ")),1,0))+IF(Task!$A$14="",0,IF(ISNUMBER(SEARCH(" "&amp;Task!$A$14&amp;" "," "&amp;LOWER(D180&amp;" "&amp;C180&amp;" "&amp;LOWER(SUBSTITUTE(SUBSTITUTE(SUBSTITUTE(SUBSTITUTE(A180,"/"," "),"."," "),"\"," "),"_"," ")))&amp;" ")),1,0))+IF(Task!$A$15="",0,IF(ISNUMBER(SEARCH(" "&amp;Task!$A$15&amp;" "," "&amp;LOWER(D180&amp;" "&amp;C180&amp;" "&amp;LOWER(SUBSTITUTE(SUBSTITUTE(SUBSTITUTE(SUBSTITUTE(A180,"/"," "),"."," "),"\"," "),"_"," ")))&amp;" ")),1,0))+IF(Task!$A$16="",0,IF(ISNUMBER(SEARCH(" "&amp;Task!$A$16&amp;" "," "&amp;LOWER(D180&amp;" "&amp;C180&amp;" "&amp;LOWER(SUBSTITUTE(SUBSTITUTE(SUBSTITUTE(SUBSTITUTE(A180,"/"," "),"."," "),"\"," "),"_"," ")))&amp;" ")),1,0))+IF(Task!$A$17="",0,IF(ISNUMBER(SEARCH(" "&amp;Task!$A$17&amp;" "," "&amp;LOWER(D180&amp;" "&amp;C180&amp;" "&amp;LOWER(SUBSTITUTE(SUBSTITUTE(SUBSTITUTE(SUBSTITUTE(A180,"/"," "),"."," "),"\"," "),"_"," ")))&amp;" ")),1,0))+IF(Task!$A$18="",0,IF(ISNUMBER(SEARCH(" "&amp;Task!$A$18&amp;" "," "&amp;LOWER(D180&amp;" "&amp;C180&amp;" "&amp;LOWER(SUBSTITUTE(SUBSTITUTE(SUBSTITUTE(SUBSTITUTE(A180,"/"," "),"."," "),"\"," "),"_"," ")))&amp;" ")),1,0))+IF(Task!$A$19="",0,IF(ISNUMBER(SEARCH(" "&amp;Task!$A$19&amp;" "," "&amp;LOWER(D180&amp;" "&amp;C180&amp;" "&amp;LOWER(SUBSTITUTE(SUBSTITUTE(SUBSTITUTE(SUBSTITUTE(A180,"/"," "),"."," "),"\"," "),"_"," ")))&amp;" ")),1,0)))</f>
        <v/>
      </c>
      <c r="G180" s="9">
        <f>IF(E180=0,0,IF(Task!$A$8="",0,IF(ISNUMBER(SEARCH(" "&amp;Task!$A$8&amp;" "," "&amp;LOWER(C180)&amp;" ")),1,0))+IF(Task!$A$9="",0,IF(ISNUMBER(SEARCH(" "&amp;Task!$A$9&amp;" "," "&amp;LOWER(C180)&amp;" ")),1,0))+IF(Task!$A$10="",0,IF(ISNUMBER(SEARCH(" "&amp;Task!$A$10&amp;" "," "&amp;LOWER(C180)&amp;" ")),1,0))+IF(Task!$A$11="",0,IF(ISNUMBER(SEARCH(" "&amp;Task!$A$11&amp;" "," "&amp;LOWER(C180)&amp;" ")),1,0))+IF(Task!$A$12="",0,IF(ISNUMBER(SEARCH(" "&amp;Task!$A$12&amp;" "," "&amp;LOWER(C180)&amp;" ")),1,0))+IF(Task!$A$13="",0,IF(ISNUMBER(SEARCH(" "&amp;Task!$A$13&amp;" "," "&amp;LOWER(C180)&amp;" ")),1,0))+IF(Task!$A$14="",0,IF(ISNUMBER(SEARCH(" "&amp;Task!$A$14&amp;" "," "&amp;LOWER(C180)&amp;" ")),1,0))+IF(Task!$A$15="",0,IF(ISNUMBER(SEARCH(" "&amp;Task!$A$15&amp;" "," "&amp;LOWER(C180)&amp;" ")),1,0))+IF(Task!$A$16="",0,IF(ISNUMBER(SEARCH(" "&amp;Task!$A$16&amp;" "," "&amp;LOWER(C180)&amp;" ")),1,0))+IF(Task!$A$17="",0,IF(ISNUMBER(SEARCH(" "&amp;Task!$A$17&amp;" "," "&amp;LOWER(C180)&amp;" ")),1,0))+IF(Task!$A$18="",0,IF(ISNUMBER(SEARCH(" "&amp;Task!$A$18&amp;" "," "&amp;LOWER(C180)&amp;" ")),1,0))+IF(Task!$A$19="",0,IF(ISNUMBER(SEARCH(" "&amp;Task!$A$19&amp;" "," "&amp;LOWER(C180)&amp;" ")),1,0)))</f>
        <v/>
      </c>
      <c r="H180" s="9">
        <f>IF(E180=0,0,IF(Task!$A$8="",0,IF(ISNUMBER(SEARCH(" "&amp;Task!$A$8&amp;" "," "&amp;LOWER(SUBSTITUTE(SUBSTITUTE(SUBSTITUTE(SUBSTITUTE(A180,"/"," "),"."," "),"\"," "),"_"," "))&amp;" ")),1,0))+IF(Task!$A$9="",0,IF(ISNUMBER(SEARCH(" "&amp;Task!$A$9&amp;" "," "&amp;LOWER(SUBSTITUTE(SUBSTITUTE(SUBSTITUTE(SUBSTITUTE(A180,"/"," "),"."," "),"\"," "),"_"," "))&amp;" ")),1,0))+IF(Task!$A$10="",0,IF(ISNUMBER(SEARCH(" "&amp;Task!$A$10&amp;" "," "&amp;LOWER(SUBSTITUTE(SUBSTITUTE(SUBSTITUTE(SUBSTITUTE(A180,"/"," "),"."," "),"\"," "),"_"," "))&amp;" ")),1,0))+IF(Task!$A$11="",0,IF(ISNUMBER(SEARCH(" "&amp;Task!$A$11&amp;" "," "&amp;LOWER(SUBSTITUTE(SUBSTITUTE(SUBSTITUTE(SUBSTITUTE(A180,"/"," "),"."," "),"\"," "),"_"," "))&amp;" ")),1,0))+IF(Task!$A$12="",0,IF(ISNUMBER(SEARCH(" "&amp;Task!$A$12&amp;" "," "&amp;LOWER(SUBSTITUTE(SUBSTITUTE(SUBSTITUTE(SUBSTITUTE(A180,"/"," "),"."," "),"\"," "),"_"," "))&amp;" ")),1,0))+IF(Task!$A$13="",0,IF(ISNUMBER(SEARCH(" "&amp;Task!$A$13&amp;" "," "&amp;LOWER(SUBSTITUTE(SUBSTITUTE(SUBSTITUTE(SUBSTITUTE(A180,"/"," "),"."," "),"\"," "),"_"," "))&amp;" ")),1,0))+IF(Task!$A$14="",0,IF(ISNUMBER(SEARCH(" "&amp;Task!$A$14&amp;" "," "&amp;LOWER(SUBSTITUTE(SUBSTITUTE(SUBSTITUTE(SUBSTITUTE(A180,"/"," "),"."," "),"\"," "),"_"," "))&amp;" ")),1,0))+IF(Task!$A$15="",0,IF(ISNUMBER(SEARCH(" "&amp;Task!$A$15&amp;" "," "&amp;LOWER(SUBSTITUTE(SUBSTITUTE(SUBSTITUTE(SUBSTITUTE(A180,"/"," "),"."," "),"\"," "),"_"," "))&amp;" ")),1,0))+IF(Task!$A$16="",0,IF(ISNUMBER(SEARCH(" "&amp;Task!$A$16&amp;" "," "&amp;LOWER(SUBSTITUTE(SUBSTITUTE(SUBSTITUTE(SUBSTITUTE(A180,"/"," "),"."," "),"\"," "),"_"," "))&amp;" ")),1,0))+IF(Task!$A$17="",0,IF(ISNUMBER(SEARCH(" "&amp;Task!$A$17&amp;" "," "&amp;LOWER(SUBSTITUTE(SUBSTITUTE(SUBSTITUTE(SUBSTITUTE(A180,"/"," "),"."," "),"\"," "),"_"," "))&amp;" ")),1,0))+IF(Task!$A$18="",0,IF(ISNUMBER(SEARCH(" "&amp;Task!$A$18&amp;" "," "&amp;LOWER(SUBSTITUTE(SUBSTITUTE(SUBSTITUTE(SUBSTITUTE(A180,"/"," "),"."," "),"\"," "),"_"," "))&amp;" ")),1,0))+IF(Task!$A$19="",0,IF(ISNUMBER(SEARCH(" "&amp;Task!$A$19&amp;" "," "&amp;LOWER(SUBSTITUTE(SUBSTITUTE(SUBSTITUTE(SUBSTITUTE(A180,"/"," "),"."," "),"\"," "),"_"," "))&amp;" ")),1,0)))</f>
        <v/>
      </c>
      <c r="I180" s="10">
        <f>IF(OR(E180=0,F180=0,Task!$B$21=0),"",F180/Task!$B$21+0.5*G180+0.25*H180)</f>
        <v/>
      </c>
      <c r="J180" s="5">
        <f>IF(I180="","",I180-ROW()/1000000)</f>
        <v/>
      </c>
      <c r="K180" s="9">
        <f>IF(J180="","",COUNTIF($J$5:$J$404,"&gt;"&amp;J180)+1)</f>
        <v/>
      </c>
    </row>
    <row r="181">
      <c r="A181" s="7" t="n"/>
      <c r="B181" s="7" t="n"/>
      <c r="C181" s="7" t="n"/>
      <c r="D181" s="7" t="n"/>
      <c r="E181" s="5">
        <f>IF(A181="",0,IF(COUNTA(Task!$B$5:$E$5)=0,1,IF(COUNTIF(Task!$B$5:$E$5,B181)&gt;0,1,0)))</f>
        <v/>
      </c>
      <c r="F181" s="9">
        <f>IF(E181=0,0,IF(Task!$A$8="",0,IF(ISNUMBER(SEARCH(" "&amp;Task!$A$8&amp;" "," "&amp;LOWER(D181&amp;" "&amp;C181&amp;" "&amp;LOWER(SUBSTITUTE(SUBSTITUTE(SUBSTITUTE(SUBSTITUTE(A181,"/"," "),"."," "),"\"," "),"_"," ")))&amp;" ")),1,0))+IF(Task!$A$9="",0,IF(ISNUMBER(SEARCH(" "&amp;Task!$A$9&amp;" "," "&amp;LOWER(D181&amp;" "&amp;C181&amp;" "&amp;LOWER(SUBSTITUTE(SUBSTITUTE(SUBSTITUTE(SUBSTITUTE(A181,"/"," "),"."," "),"\"," "),"_"," ")))&amp;" ")),1,0))+IF(Task!$A$10="",0,IF(ISNUMBER(SEARCH(" "&amp;Task!$A$10&amp;" "," "&amp;LOWER(D181&amp;" "&amp;C181&amp;" "&amp;LOWER(SUBSTITUTE(SUBSTITUTE(SUBSTITUTE(SUBSTITUTE(A181,"/"," "),"."," "),"\"," "),"_"," ")))&amp;" ")),1,0))+IF(Task!$A$11="",0,IF(ISNUMBER(SEARCH(" "&amp;Task!$A$11&amp;" "," "&amp;LOWER(D181&amp;" "&amp;C181&amp;" "&amp;LOWER(SUBSTITUTE(SUBSTITUTE(SUBSTITUTE(SUBSTITUTE(A181,"/"," "),"."," "),"\"," "),"_"," ")))&amp;" ")),1,0))+IF(Task!$A$12="",0,IF(ISNUMBER(SEARCH(" "&amp;Task!$A$12&amp;" "," "&amp;LOWER(D181&amp;" "&amp;C181&amp;" "&amp;LOWER(SUBSTITUTE(SUBSTITUTE(SUBSTITUTE(SUBSTITUTE(A181,"/"," "),"."," "),"\"," "),"_"," ")))&amp;" ")),1,0))+IF(Task!$A$13="",0,IF(ISNUMBER(SEARCH(" "&amp;Task!$A$13&amp;" "," "&amp;LOWER(D181&amp;" "&amp;C181&amp;" "&amp;LOWER(SUBSTITUTE(SUBSTITUTE(SUBSTITUTE(SUBSTITUTE(A181,"/"," "),"."," "),"\"," "),"_"," ")))&amp;" ")),1,0))+IF(Task!$A$14="",0,IF(ISNUMBER(SEARCH(" "&amp;Task!$A$14&amp;" "," "&amp;LOWER(D181&amp;" "&amp;C181&amp;" "&amp;LOWER(SUBSTITUTE(SUBSTITUTE(SUBSTITUTE(SUBSTITUTE(A181,"/"," "),"."," "),"\"," "),"_"," ")))&amp;" ")),1,0))+IF(Task!$A$15="",0,IF(ISNUMBER(SEARCH(" "&amp;Task!$A$15&amp;" "," "&amp;LOWER(D181&amp;" "&amp;C181&amp;" "&amp;LOWER(SUBSTITUTE(SUBSTITUTE(SUBSTITUTE(SUBSTITUTE(A181,"/"," "),"."," "),"\"," "),"_"," ")))&amp;" ")),1,0))+IF(Task!$A$16="",0,IF(ISNUMBER(SEARCH(" "&amp;Task!$A$16&amp;" "," "&amp;LOWER(D181&amp;" "&amp;C181&amp;" "&amp;LOWER(SUBSTITUTE(SUBSTITUTE(SUBSTITUTE(SUBSTITUTE(A181,"/"," "),"."," "),"\"," "),"_"," ")))&amp;" ")),1,0))+IF(Task!$A$17="",0,IF(ISNUMBER(SEARCH(" "&amp;Task!$A$17&amp;" "," "&amp;LOWER(D181&amp;" "&amp;C181&amp;" "&amp;LOWER(SUBSTITUTE(SUBSTITUTE(SUBSTITUTE(SUBSTITUTE(A181,"/"," "),"."," "),"\"," "),"_"," ")))&amp;" ")),1,0))+IF(Task!$A$18="",0,IF(ISNUMBER(SEARCH(" "&amp;Task!$A$18&amp;" "," "&amp;LOWER(D181&amp;" "&amp;C181&amp;" "&amp;LOWER(SUBSTITUTE(SUBSTITUTE(SUBSTITUTE(SUBSTITUTE(A181,"/"," "),"."," "),"\"," "),"_"," ")))&amp;" ")),1,0))+IF(Task!$A$19="",0,IF(ISNUMBER(SEARCH(" "&amp;Task!$A$19&amp;" "," "&amp;LOWER(D181&amp;" "&amp;C181&amp;" "&amp;LOWER(SUBSTITUTE(SUBSTITUTE(SUBSTITUTE(SUBSTITUTE(A181,"/"," "),"."," "),"\"," "),"_"," ")))&amp;" ")),1,0)))</f>
        <v/>
      </c>
      <c r="G181" s="9">
        <f>IF(E181=0,0,IF(Task!$A$8="",0,IF(ISNUMBER(SEARCH(" "&amp;Task!$A$8&amp;" "," "&amp;LOWER(C181)&amp;" ")),1,0))+IF(Task!$A$9="",0,IF(ISNUMBER(SEARCH(" "&amp;Task!$A$9&amp;" "," "&amp;LOWER(C181)&amp;" ")),1,0))+IF(Task!$A$10="",0,IF(ISNUMBER(SEARCH(" "&amp;Task!$A$10&amp;" "," "&amp;LOWER(C181)&amp;" ")),1,0))+IF(Task!$A$11="",0,IF(ISNUMBER(SEARCH(" "&amp;Task!$A$11&amp;" "," "&amp;LOWER(C181)&amp;" ")),1,0))+IF(Task!$A$12="",0,IF(ISNUMBER(SEARCH(" "&amp;Task!$A$12&amp;" "," "&amp;LOWER(C181)&amp;" ")),1,0))+IF(Task!$A$13="",0,IF(ISNUMBER(SEARCH(" "&amp;Task!$A$13&amp;" "," "&amp;LOWER(C181)&amp;" ")),1,0))+IF(Task!$A$14="",0,IF(ISNUMBER(SEARCH(" "&amp;Task!$A$14&amp;" "," "&amp;LOWER(C181)&amp;" ")),1,0))+IF(Task!$A$15="",0,IF(ISNUMBER(SEARCH(" "&amp;Task!$A$15&amp;" "," "&amp;LOWER(C181)&amp;" ")),1,0))+IF(Task!$A$16="",0,IF(ISNUMBER(SEARCH(" "&amp;Task!$A$16&amp;" "," "&amp;LOWER(C181)&amp;" ")),1,0))+IF(Task!$A$17="",0,IF(ISNUMBER(SEARCH(" "&amp;Task!$A$17&amp;" "," "&amp;LOWER(C181)&amp;" ")),1,0))+IF(Task!$A$18="",0,IF(ISNUMBER(SEARCH(" "&amp;Task!$A$18&amp;" "," "&amp;LOWER(C181)&amp;" ")),1,0))+IF(Task!$A$19="",0,IF(ISNUMBER(SEARCH(" "&amp;Task!$A$19&amp;" "," "&amp;LOWER(C181)&amp;" ")),1,0)))</f>
        <v/>
      </c>
      <c r="H181" s="9">
        <f>IF(E181=0,0,IF(Task!$A$8="",0,IF(ISNUMBER(SEARCH(" "&amp;Task!$A$8&amp;" "," "&amp;LOWER(SUBSTITUTE(SUBSTITUTE(SUBSTITUTE(SUBSTITUTE(A181,"/"," "),"."," "),"\"," "),"_"," "))&amp;" ")),1,0))+IF(Task!$A$9="",0,IF(ISNUMBER(SEARCH(" "&amp;Task!$A$9&amp;" "," "&amp;LOWER(SUBSTITUTE(SUBSTITUTE(SUBSTITUTE(SUBSTITUTE(A181,"/"," "),"."," "),"\"," "),"_"," "))&amp;" ")),1,0))+IF(Task!$A$10="",0,IF(ISNUMBER(SEARCH(" "&amp;Task!$A$10&amp;" "," "&amp;LOWER(SUBSTITUTE(SUBSTITUTE(SUBSTITUTE(SUBSTITUTE(A181,"/"," "),"."," "),"\"," "),"_"," "))&amp;" ")),1,0))+IF(Task!$A$11="",0,IF(ISNUMBER(SEARCH(" "&amp;Task!$A$11&amp;" "," "&amp;LOWER(SUBSTITUTE(SUBSTITUTE(SUBSTITUTE(SUBSTITUTE(A181,"/"," "),"."," "),"\"," "),"_"," "))&amp;" ")),1,0))+IF(Task!$A$12="",0,IF(ISNUMBER(SEARCH(" "&amp;Task!$A$12&amp;" "," "&amp;LOWER(SUBSTITUTE(SUBSTITUTE(SUBSTITUTE(SUBSTITUTE(A181,"/"," "),"."," "),"\"," "),"_"," "))&amp;" ")),1,0))+IF(Task!$A$13="",0,IF(ISNUMBER(SEARCH(" "&amp;Task!$A$13&amp;" "," "&amp;LOWER(SUBSTITUTE(SUBSTITUTE(SUBSTITUTE(SUBSTITUTE(A181,"/"," "),"."," "),"\"," "),"_"," "))&amp;" ")),1,0))+IF(Task!$A$14="",0,IF(ISNUMBER(SEARCH(" "&amp;Task!$A$14&amp;" "," "&amp;LOWER(SUBSTITUTE(SUBSTITUTE(SUBSTITUTE(SUBSTITUTE(A181,"/"," "),"."," "),"\"," "),"_"," "))&amp;" ")),1,0))+IF(Task!$A$15="",0,IF(ISNUMBER(SEARCH(" "&amp;Task!$A$15&amp;" "," "&amp;LOWER(SUBSTITUTE(SUBSTITUTE(SUBSTITUTE(SUBSTITUTE(A181,"/"," "),"."," "),"\"," "),"_"," "))&amp;" ")),1,0))+IF(Task!$A$16="",0,IF(ISNUMBER(SEARCH(" "&amp;Task!$A$16&amp;" "," "&amp;LOWER(SUBSTITUTE(SUBSTITUTE(SUBSTITUTE(SUBSTITUTE(A181,"/"," "),"."," "),"\"," "),"_"," "))&amp;" ")),1,0))+IF(Task!$A$17="",0,IF(ISNUMBER(SEARCH(" "&amp;Task!$A$17&amp;" "," "&amp;LOWER(SUBSTITUTE(SUBSTITUTE(SUBSTITUTE(SUBSTITUTE(A181,"/"," "),"."," "),"\"," "),"_"," "))&amp;" ")),1,0))+IF(Task!$A$18="",0,IF(ISNUMBER(SEARCH(" "&amp;Task!$A$18&amp;" "," "&amp;LOWER(SUBSTITUTE(SUBSTITUTE(SUBSTITUTE(SUBSTITUTE(A181,"/"," "),"."," "),"\"," "),"_"," "))&amp;" ")),1,0))+IF(Task!$A$19="",0,IF(ISNUMBER(SEARCH(" "&amp;Task!$A$19&amp;" "," "&amp;LOWER(SUBSTITUTE(SUBSTITUTE(SUBSTITUTE(SUBSTITUTE(A181,"/"," "),"."," "),"\"," "),"_"," "))&amp;" ")),1,0)))</f>
        <v/>
      </c>
      <c r="I181" s="10">
        <f>IF(OR(E181=0,F181=0,Task!$B$21=0),"",F181/Task!$B$21+0.5*G181+0.25*H181)</f>
        <v/>
      </c>
      <c r="J181" s="5">
        <f>IF(I181="","",I181-ROW()/1000000)</f>
        <v/>
      </c>
      <c r="K181" s="9">
        <f>IF(J181="","",COUNTIF($J$5:$J$404,"&gt;"&amp;J181)+1)</f>
        <v/>
      </c>
    </row>
    <row r="182">
      <c r="A182" s="7" t="n"/>
      <c r="B182" s="7" t="n"/>
      <c r="C182" s="7" t="n"/>
      <c r="D182" s="7" t="n"/>
      <c r="E182" s="5">
        <f>IF(A182="",0,IF(COUNTA(Task!$B$5:$E$5)=0,1,IF(COUNTIF(Task!$B$5:$E$5,B182)&gt;0,1,0)))</f>
        <v/>
      </c>
      <c r="F182" s="9">
        <f>IF(E182=0,0,IF(Task!$A$8="",0,IF(ISNUMBER(SEARCH(" "&amp;Task!$A$8&amp;" "," "&amp;LOWER(D182&amp;" "&amp;C182&amp;" "&amp;LOWER(SUBSTITUTE(SUBSTITUTE(SUBSTITUTE(SUBSTITUTE(A182,"/"," "),"."," "),"\"," "),"_"," ")))&amp;" ")),1,0))+IF(Task!$A$9="",0,IF(ISNUMBER(SEARCH(" "&amp;Task!$A$9&amp;" "," "&amp;LOWER(D182&amp;" "&amp;C182&amp;" "&amp;LOWER(SUBSTITUTE(SUBSTITUTE(SUBSTITUTE(SUBSTITUTE(A182,"/"," "),"."," "),"\"," "),"_"," ")))&amp;" ")),1,0))+IF(Task!$A$10="",0,IF(ISNUMBER(SEARCH(" "&amp;Task!$A$10&amp;" "," "&amp;LOWER(D182&amp;" "&amp;C182&amp;" "&amp;LOWER(SUBSTITUTE(SUBSTITUTE(SUBSTITUTE(SUBSTITUTE(A182,"/"," "),"."," "),"\"," "),"_"," ")))&amp;" ")),1,0))+IF(Task!$A$11="",0,IF(ISNUMBER(SEARCH(" "&amp;Task!$A$11&amp;" "," "&amp;LOWER(D182&amp;" "&amp;C182&amp;" "&amp;LOWER(SUBSTITUTE(SUBSTITUTE(SUBSTITUTE(SUBSTITUTE(A182,"/"," "),"."," "),"\"," "),"_"," ")))&amp;" ")),1,0))+IF(Task!$A$12="",0,IF(ISNUMBER(SEARCH(" "&amp;Task!$A$12&amp;" "," "&amp;LOWER(D182&amp;" "&amp;C182&amp;" "&amp;LOWER(SUBSTITUTE(SUBSTITUTE(SUBSTITUTE(SUBSTITUTE(A182,"/"," "),"."," "),"\"," "),"_"," ")))&amp;" ")),1,0))+IF(Task!$A$13="",0,IF(ISNUMBER(SEARCH(" "&amp;Task!$A$13&amp;" "," "&amp;LOWER(D182&amp;" "&amp;C182&amp;" "&amp;LOWER(SUBSTITUTE(SUBSTITUTE(SUBSTITUTE(SUBSTITUTE(A182,"/"," "),"."," "),"\"," "),"_"," ")))&amp;" ")),1,0))+IF(Task!$A$14="",0,IF(ISNUMBER(SEARCH(" "&amp;Task!$A$14&amp;" "," "&amp;LOWER(D182&amp;" "&amp;C182&amp;" "&amp;LOWER(SUBSTITUTE(SUBSTITUTE(SUBSTITUTE(SUBSTITUTE(A182,"/"," "),"."," "),"\"," "),"_"," ")))&amp;" ")),1,0))+IF(Task!$A$15="",0,IF(ISNUMBER(SEARCH(" "&amp;Task!$A$15&amp;" "," "&amp;LOWER(D182&amp;" "&amp;C182&amp;" "&amp;LOWER(SUBSTITUTE(SUBSTITUTE(SUBSTITUTE(SUBSTITUTE(A182,"/"," "),"."," "),"\"," "),"_"," ")))&amp;" ")),1,0))+IF(Task!$A$16="",0,IF(ISNUMBER(SEARCH(" "&amp;Task!$A$16&amp;" "," "&amp;LOWER(D182&amp;" "&amp;C182&amp;" "&amp;LOWER(SUBSTITUTE(SUBSTITUTE(SUBSTITUTE(SUBSTITUTE(A182,"/"," "),"."," "),"\"," "),"_"," ")))&amp;" ")),1,0))+IF(Task!$A$17="",0,IF(ISNUMBER(SEARCH(" "&amp;Task!$A$17&amp;" "," "&amp;LOWER(D182&amp;" "&amp;C182&amp;" "&amp;LOWER(SUBSTITUTE(SUBSTITUTE(SUBSTITUTE(SUBSTITUTE(A182,"/"," "),"."," "),"\"," "),"_"," ")))&amp;" ")),1,0))+IF(Task!$A$18="",0,IF(ISNUMBER(SEARCH(" "&amp;Task!$A$18&amp;" "," "&amp;LOWER(D182&amp;" "&amp;C182&amp;" "&amp;LOWER(SUBSTITUTE(SUBSTITUTE(SUBSTITUTE(SUBSTITUTE(A182,"/"," "),"."," "),"\"," "),"_"," ")))&amp;" ")),1,0))+IF(Task!$A$19="",0,IF(ISNUMBER(SEARCH(" "&amp;Task!$A$19&amp;" "," "&amp;LOWER(D182&amp;" "&amp;C182&amp;" "&amp;LOWER(SUBSTITUTE(SUBSTITUTE(SUBSTITUTE(SUBSTITUTE(A182,"/"," "),"."," "),"\"," "),"_"," ")))&amp;" ")),1,0)))</f>
        <v/>
      </c>
      <c r="G182" s="9">
        <f>IF(E182=0,0,IF(Task!$A$8="",0,IF(ISNUMBER(SEARCH(" "&amp;Task!$A$8&amp;" "," "&amp;LOWER(C182)&amp;" ")),1,0))+IF(Task!$A$9="",0,IF(ISNUMBER(SEARCH(" "&amp;Task!$A$9&amp;" "," "&amp;LOWER(C182)&amp;" ")),1,0))+IF(Task!$A$10="",0,IF(ISNUMBER(SEARCH(" "&amp;Task!$A$10&amp;" "," "&amp;LOWER(C182)&amp;" ")),1,0))+IF(Task!$A$11="",0,IF(ISNUMBER(SEARCH(" "&amp;Task!$A$11&amp;" "," "&amp;LOWER(C182)&amp;" ")),1,0))+IF(Task!$A$12="",0,IF(ISNUMBER(SEARCH(" "&amp;Task!$A$12&amp;" "," "&amp;LOWER(C182)&amp;" ")),1,0))+IF(Task!$A$13="",0,IF(ISNUMBER(SEARCH(" "&amp;Task!$A$13&amp;" "," "&amp;LOWER(C182)&amp;" ")),1,0))+IF(Task!$A$14="",0,IF(ISNUMBER(SEARCH(" "&amp;Task!$A$14&amp;" "," "&amp;LOWER(C182)&amp;" ")),1,0))+IF(Task!$A$15="",0,IF(ISNUMBER(SEARCH(" "&amp;Task!$A$15&amp;" "," "&amp;LOWER(C182)&amp;" ")),1,0))+IF(Task!$A$16="",0,IF(ISNUMBER(SEARCH(" "&amp;Task!$A$16&amp;" "," "&amp;LOWER(C182)&amp;" ")),1,0))+IF(Task!$A$17="",0,IF(ISNUMBER(SEARCH(" "&amp;Task!$A$17&amp;" "," "&amp;LOWER(C182)&amp;" ")),1,0))+IF(Task!$A$18="",0,IF(ISNUMBER(SEARCH(" "&amp;Task!$A$18&amp;" "," "&amp;LOWER(C182)&amp;" ")),1,0))+IF(Task!$A$19="",0,IF(ISNUMBER(SEARCH(" "&amp;Task!$A$19&amp;" "," "&amp;LOWER(C182)&amp;" ")),1,0)))</f>
        <v/>
      </c>
      <c r="H182" s="9">
        <f>IF(E182=0,0,IF(Task!$A$8="",0,IF(ISNUMBER(SEARCH(" "&amp;Task!$A$8&amp;" "," "&amp;LOWER(SUBSTITUTE(SUBSTITUTE(SUBSTITUTE(SUBSTITUTE(A182,"/"," "),"."," "),"\"," "),"_"," "))&amp;" ")),1,0))+IF(Task!$A$9="",0,IF(ISNUMBER(SEARCH(" "&amp;Task!$A$9&amp;" "," "&amp;LOWER(SUBSTITUTE(SUBSTITUTE(SUBSTITUTE(SUBSTITUTE(A182,"/"," "),"."," "),"\"," "),"_"," "))&amp;" ")),1,0))+IF(Task!$A$10="",0,IF(ISNUMBER(SEARCH(" "&amp;Task!$A$10&amp;" "," "&amp;LOWER(SUBSTITUTE(SUBSTITUTE(SUBSTITUTE(SUBSTITUTE(A182,"/"," "),"."," "),"\"," "),"_"," "))&amp;" ")),1,0))+IF(Task!$A$11="",0,IF(ISNUMBER(SEARCH(" "&amp;Task!$A$11&amp;" "," "&amp;LOWER(SUBSTITUTE(SUBSTITUTE(SUBSTITUTE(SUBSTITUTE(A182,"/"," "),"."," "),"\"," "),"_"," "))&amp;" ")),1,0))+IF(Task!$A$12="",0,IF(ISNUMBER(SEARCH(" "&amp;Task!$A$12&amp;" "," "&amp;LOWER(SUBSTITUTE(SUBSTITUTE(SUBSTITUTE(SUBSTITUTE(A182,"/"," "),"."," "),"\"," "),"_"," "))&amp;" ")),1,0))+IF(Task!$A$13="",0,IF(ISNUMBER(SEARCH(" "&amp;Task!$A$13&amp;" "," "&amp;LOWER(SUBSTITUTE(SUBSTITUTE(SUBSTITUTE(SUBSTITUTE(A182,"/"," "),"."," "),"\"," "),"_"," "))&amp;" ")),1,0))+IF(Task!$A$14="",0,IF(ISNUMBER(SEARCH(" "&amp;Task!$A$14&amp;" "," "&amp;LOWER(SUBSTITUTE(SUBSTITUTE(SUBSTITUTE(SUBSTITUTE(A182,"/"," "),"."," "),"\"," "),"_"," "))&amp;" ")),1,0))+IF(Task!$A$15="",0,IF(ISNUMBER(SEARCH(" "&amp;Task!$A$15&amp;" "," "&amp;LOWER(SUBSTITUTE(SUBSTITUTE(SUBSTITUTE(SUBSTITUTE(A182,"/"," "),"."," "),"\"," "),"_"," "))&amp;" ")),1,0))+IF(Task!$A$16="",0,IF(ISNUMBER(SEARCH(" "&amp;Task!$A$16&amp;" "," "&amp;LOWER(SUBSTITUTE(SUBSTITUTE(SUBSTITUTE(SUBSTITUTE(A182,"/"," "),"."," "),"\"," "),"_"," "))&amp;" ")),1,0))+IF(Task!$A$17="",0,IF(ISNUMBER(SEARCH(" "&amp;Task!$A$17&amp;" "," "&amp;LOWER(SUBSTITUTE(SUBSTITUTE(SUBSTITUTE(SUBSTITUTE(A182,"/"," "),"."," "),"\"," "),"_"," "))&amp;" ")),1,0))+IF(Task!$A$18="",0,IF(ISNUMBER(SEARCH(" "&amp;Task!$A$18&amp;" "," "&amp;LOWER(SUBSTITUTE(SUBSTITUTE(SUBSTITUTE(SUBSTITUTE(A182,"/"," "),"."," "),"\"," "),"_"," "))&amp;" ")),1,0))+IF(Task!$A$19="",0,IF(ISNUMBER(SEARCH(" "&amp;Task!$A$19&amp;" "," "&amp;LOWER(SUBSTITUTE(SUBSTITUTE(SUBSTITUTE(SUBSTITUTE(A182,"/"," "),"."," "),"\"," "),"_"," "))&amp;" ")),1,0)))</f>
        <v/>
      </c>
      <c r="I182" s="10">
        <f>IF(OR(E182=0,F182=0,Task!$B$21=0),"",F182/Task!$B$21+0.5*G182+0.25*H182)</f>
        <v/>
      </c>
      <c r="J182" s="5">
        <f>IF(I182="","",I182-ROW()/1000000)</f>
        <v/>
      </c>
      <c r="K182" s="9">
        <f>IF(J182="","",COUNTIF($J$5:$J$404,"&gt;"&amp;J182)+1)</f>
        <v/>
      </c>
    </row>
    <row r="183">
      <c r="A183" s="7" t="n"/>
      <c r="B183" s="7" t="n"/>
      <c r="C183" s="7" t="n"/>
      <c r="D183" s="7" t="n"/>
      <c r="E183" s="5">
        <f>IF(A183="",0,IF(COUNTA(Task!$B$5:$E$5)=0,1,IF(COUNTIF(Task!$B$5:$E$5,B183)&gt;0,1,0)))</f>
        <v/>
      </c>
      <c r="F183" s="9">
        <f>IF(E183=0,0,IF(Task!$A$8="",0,IF(ISNUMBER(SEARCH(" "&amp;Task!$A$8&amp;" "," "&amp;LOWER(D183&amp;" "&amp;C183&amp;" "&amp;LOWER(SUBSTITUTE(SUBSTITUTE(SUBSTITUTE(SUBSTITUTE(A183,"/"," "),"."," "),"\"," "),"_"," ")))&amp;" ")),1,0))+IF(Task!$A$9="",0,IF(ISNUMBER(SEARCH(" "&amp;Task!$A$9&amp;" "," "&amp;LOWER(D183&amp;" "&amp;C183&amp;" "&amp;LOWER(SUBSTITUTE(SUBSTITUTE(SUBSTITUTE(SUBSTITUTE(A183,"/"," "),"."," "),"\"," "),"_"," ")))&amp;" ")),1,0))+IF(Task!$A$10="",0,IF(ISNUMBER(SEARCH(" "&amp;Task!$A$10&amp;" "," "&amp;LOWER(D183&amp;" "&amp;C183&amp;" "&amp;LOWER(SUBSTITUTE(SUBSTITUTE(SUBSTITUTE(SUBSTITUTE(A183,"/"," "),"."," "),"\"," "),"_"," ")))&amp;" ")),1,0))+IF(Task!$A$11="",0,IF(ISNUMBER(SEARCH(" "&amp;Task!$A$11&amp;" "," "&amp;LOWER(D183&amp;" "&amp;C183&amp;" "&amp;LOWER(SUBSTITUTE(SUBSTITUTE(SUBSTITUTE(SUBSTITUTE(A183,"/"," "),"."," "),"\"," "),"_"," ")))&amp;" ")),1,0))+IF(Task!$A$12="",0,IF(ISNUMBER(SEARCH(" "&amp;Task!$A$12&amp;" "," "&amp;LOWER(D183&amp;" "&amp;C183&amp;" "&amp;LOWER(SUBSTITUTE(SUBSTITUTE(SUBSTITUTE(SUBSTITUTE(A183,"/"," "),"."," "),"\"," "),"_"," ")))&amp;" ")),1,0))+IF(Task!$A$13="",0,IF(ISNUMBER(SEARCH(" "&amp;Task!$A$13&amp;" "," "&amp;LOWER(D183&amp;" "&amp;C183&amp;" "&amp;LOWER(SUBSTITUTE(SUBSTITUTE(SUBSTITUTE(SUBSTITUTE(A183,"/"," "),"."," "),"\"," "),"_"," ")))&amp;" ")),1,0))+IF(Task!$A$14="",0,IF(ISNUMBER(SEARCH(" "&amp;Task!$A$14&amp;" "," "&amp;LOWER(D183&amp;" "&amp;C183&amp;" "&amp;LOWER(SUBSTITUTE(SUBSTITUTE(SUBSTITUTE(SUBSTITUTE(A183,"/"," "),"."," "),"\"," "),"_"," ")))&amp;" ")),1,0))+IF(Task!$A$15="",0,IF(ISNUMBER(SEARCH(" "&amp;Task!$A$15&amp;" "," "&amp;LOWER(D183&amp;" "&amp;C183&amp;" "&amp;LOWER(SUBSTITUTE(SUBSTITUTE(SUBSTITUTE(SUBSTITUTE(A183,"/"," "),"."," "),"\"," "),"_"," ")))&amp;" ")),1,0))+IF(Task!$A$16="",0,IF(ISNUMBER(SEARCH(" "&amp;Task!$A$16&amp;" "," "&amp;LOWER(D183&amp;" "&amp;C183&amp;" "&amp;LOWER(SUBSTITUTE(SUBSTITUTE(SUBSTITUTE(SUBSTITUTE(A183,"/"," "),"."," "),"\"," "),"_"," ")))&amp;" ")),1,0))+IF(Task!$A$17="",0,IF(ISNUMBER(SEARCH(" "&amp;Task!$A$17&amp;" "," "&amp;LOWER(D183&amp;" "&amp;C183&amp;" "&amp;LOWER(SUBSTITUTE(SUBSTITUTE(SUBSTITUTE(SUBSTITUTE(A183,"/"," "),"."," "),"\"," "),"_"," ")))&amp;" ")),1,0))+IF(Task!$A$18="",0,IF(ISNUMBER(SEARCH(" "&amp;Task!$A$18&amp;" "," "&amp;LOWER(D183&amp;" "&amp;C183&amp;" "&amp;LOWER(SUBSTITUTE(SUBSTITUTE(SUBSTITUTE(SUBSTITUTE(A183,"/"," "),"."," "),"\"," "),"_"," ")))&amp;" ")),1,0))+IF(Task!$A$19="",0,IF(ISNUMBER(SEARCH(" "&amp;Task!$A$19&amp;" "," "&amp;LOWER(D183&amp;" "&amp;C183&amp;" "&amp;LOWER(SUBSTITUTE(SUBSTITUTE(SUBSTITUTE(SUBSTITUTE(A183,"/"," "),"."," "),"\"," "),"_"," ")))&amp;" ")),1,0)))</f>
        <v/>
      </c>
      <c r="G183" s="9">
        <f>IF(E183=0,0,IF(Task!$A$8="",0,IF(ISNUMBER(SEARCH(" "&amp;Task!$A$8&amp;" "," "&amp;LOWER(C183)&amp;" ")),1,0))+IF(Task!$A$9="",0,IF(ISNUMBER(SEARCH(" "&amp;Task!$A$9&amp;" "," "&amp;LOWER(C183)&amp;" ")),1,0))+IF(Task!$A$10="",0,IF(ISNUMBER(SEARCH(" "&amp;Task!$A$10&amp;" "," "&amp;LOWER(C183)&amp;" ")),1,0))+IF(Task!$A$11="",0,IF(ISNUMBER(SEARCH(" "&amp;Task!$A$11&amp;" "," "&amp;LOWER(C183)&amp;" ")),1,0))+IF(Task!$A$12="",0,IF(ISNUMBER(SEARCH(" "&amp;Task!$A$12&amp;" "," "&amp;LOWER(C183)&amp;" ")),1,0))+IF(Task!$A$13="",0,IF(ISNUMBER(SEARCH(" "&amp;Task!$A$13&amp;" "," "&amp;LOWER(C183)&amp;" ")),1,0))+IF(Task!$A$14="",0,IF(ISNUMBER(SEARCH(" "&amp;Task!$A$14&amp;" "," "&amp;LOWER(C183)&amp;" ")),1,0))+IF(Task!$A$15="",0,IF(ISNUMBER(SEARCH(" "&amp;Task!$A$15&amp;" "," "&amp;LOWER(C183)&amp;" ")),1,0))+IF(Task!$A$16="",0,IF(ISNUMBER(SEARCH(" "&amp;Task!$A$16&amp;" "," "&amp;LOWER(C183)&amp;" ")),1,0))+IF(Task!$A$17="",0,IF(ISNUMBER(SEARCH(" "&amp;Task!$A$17&amp;" "," "&amp;LOWER(C183)&amp;" ")),1,0))+IF(Task!$A$18="",0,IF(ISNUMBER(SEARCH(" "&amp;Task!$A$18&amp;" "," "&amp;LOWER(C183)&amp;" ")),1,0))+IF(Task!$A$19="",0,IF(ISNUMBER(SEARCH(" "&amp;Task!$A$19&amp;" "," "&amp;LOWER(C183)&amp;" ")),1,0)))</f>
        <v/>
      </c>
      <c r="H183" s="9">
        <f>IF(E183=0,0,IF(Task!$A$8="",0,IF(ISNUMBER(SEARCH(" "&amp;Task!$A$8&amp;" "," "&amp;LOWER(SUBSTITUTE(SUBSTITUTE(SUBSTITUTE(SUBSTITUTE(A183,"/"," "),"."," "),"\"," "),"_"," "))&amp;" ")),1,0))+IF(Task!$A$9="",0,IF(ISNUMBER(SEARCH(" "&amp;Task!$A$9&amp;" "," "&amp;LOWER(SUBSTITUTE(SUBSTITUTE(SUBSTITUTE(SUBSTITUTE(A183,"/"," "),"."," "),"\"," "),"_"," "))&amp;" ")),1,0))+IF(Task!$A$10="",0,IF(ISNUMBER(SEARCH(" "&amp;Task!$A$10&amp;" "," "&amp;LOWER(SUBSTITUTE(SUBSTITUTE(SUBSTITUTE(SUBSTITUTE(A183,"/"," "),"."," "),"\"," "),"_"," "))&amp;" ")),1,0))+IF(Task!$A$11="",0,IF(ISNUMBER(SEARCH(" "&amp;Task!$A$11&amp;" "," "&amp;LOWER(SUBSTITUTE(SUBSTITUTE(SUBSTITUTE(SUBSTITUTE(A183,"/"," "),"."," "),"\"," "),"_"," "))&amp;" ")),1,0))+IF(Task!$A$12="",0,IF(ISNUMBER(SEARCH(" "&amp;Task!$A$12&amp;" "," "&amp;LOWER(SUBSTITUTE(SUBSTITUTE(SUBSTITUTE(SUBSTITUTE(A183,"/"," "),"."," "),"\"," "),"_"," "))&amp;" ")),1,0))+IF(Task!$A$13="",0,IF(ISNUMBER(SEARCH(" "&amp;Task!$A$13&amp;" "," "&amp;LOWER(SUBSTITUTE(SUBSTITUTE(SUBSTITUTE(SUBSTITUTE(A183,"/"," "),"."," "),"\"," "),"_"," "))&amp;" ")),1,0))+IF(Task!$A$14="",0,IF(ISNUMBER(SEARCH(" "&amp;Task!$A$14&amp;" "," "&amp;LOWER(SUBSTITUTE(SUBSTITUTE(SUBSTITUTE(SUBSTITUTE(A183,"/"," "),"."," "),"\"," "),"_"," "))&amp;" ")),1,0))+IF(Task!$A$15="",0,IF(ISNUMBER(SEARCH(" "&amp;Task!$A$15&amp;" "," "&amp;LOWER(SUBSTITUTE(SUBSTITUTE(SUBSTITUTE(SUBSTITUTE(A183,"/"," "),"."," "),"\"," "),"_"," "))&amp;" ")),1,0))+IF(Task!$A$16="",0,IF(ISNUMBER(SEARCH(" "&amp;Task!$A$16&amp;" "," "&amp;LOWER(SUBSTITUTE(SUBSTITUTE(SUBSTITUTE(SUBSTITUTE(A183,"/"," "),"."," "),"\"," "),"_"," "))&amp;" ")),1,0))+IF(Task!$A$17="",0,IF(ISNUMBER(SEARCH(" "&amp;Task!$A$17&amp;" "," "&amp;LOWER(SUBSTITUTE(SUBSTITUTE(SUBSTITUTE(SUBSTITUTE(A183,"/"," "),"."," "),"\"," "),"_"," "))&amp;" ")),1,0))+IF(Task!$A$18="",0,IF(ISNUMBER(SEARCH(" "&amp;Task!$A$18&amp;" "," "&amp;LOWER(SUBSTITUTE(SUBSTITUTE(SUBSTITUTE(SUBSTITUTE(A183,"/"," "),"."," "),"\"," "),"_"," "))&amp;" ")),1,0))+IF(Task!$A$19="",0,IF(ISNUMBER(SEARCH(" "&amp;Task!$A$19&amp;" "," "&amp;LOWER(SUBSTITUTE(SUBSTITUTE(SUBSTITUTE(SUBSTITUTE(A183,"/"," "),"."," "),"\"," "),"_"," "))&amp;" ")),1,0)))</f>
        <v/>
      </c>
      <c r="I183" s="10">
        <f>IF(OR(E183=0,F183=0,Task!$B$21=0),"",F183/Task!$B$21+0.5*G183+0.25*H183)</f>
        <v/>
      </c>
      <c r="J183" s="5">
        <f>IF(I183="","",I183-ROW()/1000000)</f>
        <v/>
      </c>
      <c r="K183" s="9">
        <f>IF(J183="","",COUNTIF($J$5:$J$404,"&gt;"&amp;J183)+1)</f>
        <v/>
      </c>
    </row>
    <row r="184">
      <c r="A184" s="7" t="n"/>
      <c r="B184" s="7" t="n"/>
      <c r="C184" s="7" t="n"/>
      <c r="D184" s="7" t="n"/>
      <c r="E184" s="5">
        <f>IF(A184="",0,IF(COUNTA(Task!$B$5:$E$5)=0,1,IF(COUNTIF(Task!$B$5:$E$5,B184)&gt;0,1,0)))</f>
        <v/>
      </c>
      <c r="F184" s="9">
        <f>IF(E184=0,0,IF(Task!$A$8="",0,IF(ISNUMBER(SEARCH(" "&amp;Task!$A$8&amp;" "," "&amp;LOWER(D184&amp;" "&amp;C184&amp;" "&amp;LOWER(SUBSTITUTE(SUBSTITUTE(SUBSTITUTE(SUBSTITUTE(A184,"/"," "),"."," "),"\"," "),"_"," ")))&amp;" ")),1,0))+IF(Task!$A$9="",0,IF(ISNUMBER(SEARCH(" "&amp;Task!$A$9&amp;" "," "&amp;LOWER(D184&amp;" "&amp;C184&amp;" "&amp;LOWER(SUBSTITUTE(SUBSTITUTE(SUBSTITUTE(SUBSTITUTE(A184,"/"," "),"."," "),"\"," "),"_"," ")))&amp;" ")),1,0))+IF(Task!$A$10="",0,IF(ISNUMBER(SEARCH(" "&amp;Task!$A$10&amp;" "," "&amp;LOWER(D184&amp;" "&amp;C184&amp;" "&amp;LOWER(SUBSTITUTE(SUBSTITUTE(SUBSTITUTE(SUBSTITUTE(A184,"/"," "),"."," "),"\"," "),"_"," ")))&amp;" ")),1,0))+IF(Task!$A$11="",0,IF(ISNUMBER(SEARCH(" "&amp;Task!$A$11&amp;" "," "&amp;LOWER(D184&amp;" "&amp;C184&amp;" "&amp;LOWER(SUBSTITUTE(SUBSTITUTE(SUBSTITUTE(SUBSTITUTE(A184,"/"," "),"."," "),"\"," "),"_"," ")))&amp;" ")),1,0))+IF(Task!$A$12="",0,IF(ISNUMBER(SEARCH(" "&amp;Task!$A$12&amp;" "," "&amp;LOWER(D184&amp;" "&amp;C184&amp;" "&amp;LOWER(SUBSTITUTE(SUBSTITUTE(SUBSTITUTE(SUBSTITUTE(A184,"/"," "),"."," "),"\"," "),"_"," ")))&amp;" ")),1,0))+IF(Task!$A$13="",0,IF(ISNUMBER(SEARCH(" "&amp;Task!$A$13&amp;" "," "&amp;LOWER(D184&amp;" "&amp;C184&amp;" "&amp;LOWER(SUBSTITUTE(SUBSTITUTE(SUBSTITUTE(SUBSTITUTE(A184,"/"," "),"."," "),"\"," "),"_"," ")))&amp;" ")),1,0))+IF(Task!$A$14="",0,IF(ISNUMBER(SEARCH(" "&amp;Task!$A$14&amp;" "," "&amp;LOWER(D184&amp;" "&amp;C184&amp;" "&amp;LOWER(SUBSTITUTE(SUBSTITUTE(SUBSTITUTE(SUBSTITUTE(A184,"/"," "),"."," "),"\"," "),"_"," ")))&amp;" ")),1,0))+IF(Task!$A$15="",0,IF(ISNUMBER(SEARCH(" "&amp;Task!$A$15&amp;" "," "&amp;LOWER(D184&amp;" "&amp;C184&amp;" "&amp;LOWER(SUBSTITUTE(SUBSTITUTE(SUBSTITUTE(SUBSTITUTE(A184,"/"," "),"."," "),"\"," "),"_"," ")))&amp;" ")),1,0))+IF(Task!$A$16="",0,IF(ISNUMBER(SEARCH(" "&amp;Task!$A$16&amp;" "," "&amp;LOWER(D184&amp;" "&amp;C184&amp;" "&amp;LOWER(SUBSTITUTE(SUBSTITUTE(SUBSTITUTE(SUBSTITUTE(A184,"/"," "),"."," "),"\"," "),"_"," ")))&amp;" ")),1,0))+IF(Task!$A$17="",0,IF(ISNUMBER(SEARCH(" "&amp;Task!$A$17&amp;" "," "&amp;LOWER(D184&amp;" "&amp;C184&amp;" "&amp;LOWER(SUBSTITUTE(SUBSTITUTE(SUBSTITUTE(SUBSTITUTE(A184,"/"," "),"."," "),"\"," "),"_"," ")))&amp;" ")),1,0))+IF(Task!$A$18="",0,IF(ISNUMBER(SEARCH(" "&amp;Task!$A$18&amp;" "," "&amp;LOWER(D184&amp;" "&amp;C184&amp;" "&amp;LOWER(SUBSTITUTE(SUBSTITUTE(SUBSTITUTE(SUBSTITUTE(A184,"/"," "),"."," "),"\"," "),"_"," ")))&amp;" ")),1,0))+IF(Task!$A$19="",0,IF(ISNUMBER(SEARCH(" "&amp;Task!$A$19&amp;" "," "&amp;LOWER(D184&amp;" "&amp;C184&amp;" "&amp;LOWER(SUBSTITUTE(SUBSTITUTE(SUBSTITUTE(SUBSTITUTE(A184,"/"," "),"."," "),"\"," "),"_"," ")))&amp;" ")),1,0)))</f>
        <v/>
      </c>
      <c r="G184" s="9">
        <f>IF(E184=0,0,IF(Task!$A$8="",0,IF(ISNUMBER(SEARCH(" "&amp;Task!$A$8&amp;" "," "&amp;LOWER(C184)&amp;" ")),1,0))+IF(Task!$A$9="",0,IF(ISNUMBER(SEARCH(" "&amp;Task!$A$9&amp;" "," "&amp;LOWER(C184)&amp;" ")),1,0))+IF(Task!$A$10="",0,IF(ISNUMBER(SEARCH(" "&amp;Task!$A$10&amp;" "," "&amp;LOWER(C184)&amp;" ")),1,0))+IF(Task!$A$11="",0,IF(ISNUMBER(SEARCH(" "&amp;Task!$A$11&amp;" "," "&amp;LOWER(C184)&amp;" ")),1,0))+IF(Task!$A$12="",0,IF(ISNUMBER(SEARCH(" "&amp;Task!$A$12&amp;" "," "&amp;LOWER(C184)&amp;" ")),1,0))+IF(Task!$A$13="",0,IF(ISNUMBER(SEARCH(" "&amp;Task!$A$13&amp;" "," "&amp;LOWER(C184)&amp;" ")),1,0))+IF(Task!$A$14="",0,IF(ISNUMBER(SEARCH(" "&amp;Task!$A$14&amp;" "," "&amp;LOWER(C184)&amp;" ")),1,0))+IF(Task!$A$15="",0,IF(ISNUMBER(SEARCH(" "&amp;Task!$A$15&amp;" "," "&amp;LOWER(C184)&amp;" ")),1,0))+IF(Task!$A$16="",0,IF(ISNUMBER(SEARCH(" "&amp;Task!$A$16&amp;" "," "&amp;LOWER(C184)&amp;" ")),1,0))+IF(Task!$A$17="",0,IF(ISNUMBER(SEARCH(" "&amp;Task!$A$17&amp;" "," "&amp;LOWER(C184)&amp;" ")),1,0))+IF(Task!$A$18="",0,IF(ISNUMBER(SEARCH(" "&amp;Task!$A$18&amp;" "," "&amp;LOWER(C184)&amp;" ")),1,0))+IF(Task!$A$19="",0,IF(ISNUMBER(SEARCH(" "&amp;Task!$A$19&amp;" "," "&amp;LOWER(C184)&amp;" ")),1,0)))</f>
        <v/>
      </c>
      <c r="H184" s="9">
        <f>IF(E184=0,0,IF(Task!$A$8="",0,IF(ISNUMBER(SEARCH(" "&amp;Task!$A$8&amp;" "," "&amp;LOWER(SUBSTITUTE(SUBSTITUTE(SUBSTITUTE(SUBSTITUTE(A184,"/"," "),"."," "),"\"," "),"_"," "))&amp;" ")),1,0))+IF(Task!$A$9="",0,IF(ISNUMBER(SEARCH(" "&amp;Task!$A$9&amp;" "," "&amp;LOWER(SUBSTITUTE(SUBSTITUTE(SUBSTITUTE(SUBSTITUTE(A184,"/"," "),"."," "),"\"," "),"_"," "))&amp;" ")),1,0))+IF(Task!$A$10="",0,IF(ISNUMBER(SEARCH(" "&amp;Task!$A$10&amp;" "," "&amp;LOWER(SUBSTITUTE(SUBSTITUTE(SUBSTITUTE(SUBSTITUTE(A184,"/"," "),"."," "),"\"," "),"_"," "))&amp;" ")),1,0))+IF(Task!$A$11="",0,IF(ISNUMBER(SEARCH(" "&amp;Task!$A$11&amp;" "," "&amp;LOWER(SUBSTITUTE(SUBSTITUTE(SUBSTITUTE(SUBSTITUTE(A184,"/"," "),"."," "),"\"," "),"_"," "))&amp;" ")),1,0))+IF(Task!$A$12="",0,IF(ISNUMBER(SEARCH(" "&amp;Task!$A$12&amp;" "," "&amp;LOWER(SUBSTITUTE(SUBSTITUTE(SUBSTITUTE(SUBSTITUTE(A184,"/"," "),"."," "),"\"," "),"_"," "))&amp;" ")),1,0))+IF(Task!$A$13="",0,IF(ISNUMBER(SEARCH(" "&amp;Task!$A$13&amp;" "," "&amp;LOWER(SUBSTITUTE(SUBSTITUTE(SUBSTITUTE(SUBSTITUTE(A184,"/"," "),"."," "),"\"," "),"_"," "))&amp;" ")),1,0))+IF(Task!$A$14="",0,IF(ISNUMBER(SEARCH(" "&amp;Task!$A$14&amp;" "," "&amp;LOWER(SUBSTITUTE(SUBSTITUTE(SUBSTITUTE(SUBSTITUTE(A184,"/"," "),"."," "),"\"," "),"_"," "))&amp;" ")),1,0))+IF(Task!$A$15="",0,IF(ISNUMBER(SEARCH(" "&amp;Task!$A$15&amp;" "," "&amp;LOWER(SUBSTITUTE(SUBSTITUTE(SUBSTITUTE(SUBSTITUTE(A184,"/"," "),"."," "),"\"," "),"_"," "))&amp;" ")),1,0))+IF(Task!$A$16="",0,IF(ISNUMBER(SEARCH(" "&amp;Task!$A$16&amp;" "," "&amp;LOWER(SUBSTITUTE(SUBSTITUTE(SUBSTITUTE(SUBSTITUTE(A184,"/"," "),"."," "),"\"," "),"_"," "))&amp;" ")),1,0))+IF(Task!$A$17="",0,IF(ISNUMBER(SEARCH(" "&amp;Task!$A$17&amp;" "," "&amp;LOWER(SUBSTITUTE(SUBSTITUTE(SUBSTITUTE(SUBSTITUTE(A184,"/"," "),"."," "),"\"," "),"_"," "))&amp;" ")),1,0))+IF(Task!$A$18="",0,IF(ISNUMBER(SEARCH(" "&amp;Task!$A$18&amp;" "," "&amp;LOWER(SUBSTITUTE(SUBSTITUTE(SUBSTITUTE(SUBSTITUTE(A184,"/"," "),"."," "),"\"," "),"_"," "))&amp;" ")),1,0))+IF(Task!$A$19="",0,IF(ISNUMBER(SEARCH(" "&amp;Task!$A$19&amp;" "," "&amp;LOWER(SUBSTITUTE(SUBSTITUTE(SUBSTITUTE(SUBSTITUTE(A184,"/"," "),"."," "),"\"," "),"_"," "))&amp;" ")),1,0)))</f>
        <v/>
      </c>
      <c r="I184" s="10">
        <f>IF(OR(E184=0,F184=0,Task!$B$21=0),"",F184/Task!$B$21+0.5*G184+0.25*H184)</f>
        <v/>
      </c>
      <c r="J184" s="5">
        <f>IF(I184="","",I184-ROW()/1000000)</f>
        <v/>
      </c>
      <c r="K184" s="9">
        <f>IF(J184="","",COUNTIF($J$5:$J$404,"&gt;"&amp;J184)+1)</f>
        <v/>
      </c>
    </row>
    <row r="185">
      <c r="A185" s="7" t="n"/>
      <c r="B185" s="7" t="n"/>
      <c r="C185" s="7" t="n"/>
      <c r="D185" s="7" t="n"/>
      <c r="E185" s="5">
        <f>IF(A185="",0,IF(COUNTA(Task!$B$5:$E$5)=0,1,IF(COUNTIF(Task!$B$5:$E$5,B185)&gt;0,1,0)))</f>
        <v/>
      </c>
      <c r="F185" s="9">
        <f>IF(E185=0,0,IF(Task!$A$8="",0,IF(ISNUMBER(SEARCH(" "&amp;Task!$A$8&amp;" "," "&amp;LOWER(D185&amp;" "&amp;C185&amp;" "&amp;LOWER(SUBSTITUTE(SUBSTITUTE(SUBSTITUTE(SUBSTITUTE(A185,"/"," "),"."," "),"\"," "),"_"," ")))&amp;" ")),1,0))+IF(Task!$A$9="",0,IF(ISNUMBER(SEARCH(" "&amp;Task!$A$9&amp;" "," "&amp;LOWER(D185&amp;" "&amp;C185&amp;" "&amp;LOWER(SUBSTITUTE(SUBSTITUTE(SUBSTITUTE(SUBSTITUTE(A185,"/"," "),"."," "),"\"," "),"_"," ")))&amp;" ")),1,0))+IF(Task!$A$10="",0,IF(ISNUMBER(SEARCH(" "&amp;Task!$A$10&amp;" "," "&amp;LOWER(D185&amp;" "&amp;C185&amp;" "&amp;LOWER(SUBSTITUTE(SUBSTITUTE(SUBSTITUTE(SUBSTITUTE(A185,"/"," "),"."," "),"\"," "),"_"," ")))&amp;" ")),1,0))+IF(Task!$A$11="",0,IF(ISNUMBER(SEARCH(" "&amp;Task!$A$11&amp;" "," "&amp;LOWER(D185&amp;" "&amp;C185&amp;" "&amp;LOWER(SUBSTITUTE(SUBSTITUTE(SUBSTITUTE(SUBSTITUTE(A185,"/"," "),"."," "),"\"," "),"_"," ")))&amp;" ")),1,0))+IF(Task!$A$12="",0,IF(ISNUMBER(SEARCH(" "&amp;Task!$A$12&amp;" "," "&amp;LOWER(D185&amp;" "&amp;C185&amp;" "&amp;LOWER(SUBSTITUTE(SUBSTITUTE(SUBSTITUTE(SUBSTITUTE(A185,"/"," "),"."," "),"\"," "),"_"," ")))&amp;" ")),1,0))+IF(Task!$A$13="",0,IF(ISNUMBER(SEARCH(" "&amp;Task!$A$13&amp;" "," "&amp;LOWER(D185&amp;" "&amp;C185&amp;" "&amp;LOWER(SUBSTITUTE(SUBSTITUTE(SUBSTITUTE(SUBSTITUTE(A185,"/"," "),"."," "),"\"," "),"_"," ")))&amp;" ")),1,0))+IF(Task!$A$14="",0,IF(ISNUMBER(SEARCH(" "&amp;Task!$A$14&amp;" "," "&amp;LOWER(D185&amp;" "&amp;C185&amp;" "&amp;LOWER(SUBSTITUTE(SUBSTITUTE(SUBSTITUTE(SUBSTITUTE(A185,"/"," "),"."," "),"\"," "),"_"," ")))&amp;" ")),1,0))+IF(Task!$A$15="",0,IF(ISNUMBER(SEARCH(" "&amp;Task!$A$15&amp;" "," "&amp;LOWER(D185&amp;" "&amp;C185&amp;" "&amp;LOWER(SUBSTITUTE(SUBSTITUTE(SUBSTITUTE(SUBSTITUTE(A185,"/"," "),"."," "),"\"," "),"_"," ")))&amp;" ")),1,0))+IF(Task!$A$16="",0,IF(ISNUMBER(SEARCH(" "&amp;Task!$A$16&amp;" "," "&amp;LOWER(D185&amp;" "&amp;C185&amp;" "&amp;LOWER(SUBSTITUTE(SUBSTITUTE(SUBSTITUTE(SUBSTITUTE(A185,"/"," "),"."," "),"\"," "),"_"," ")))&amp;" ")),1,0))+IF(Task!$A$17="",0,IF(ISNUMBER(SEARCH(" "&amp;Task!$A$17&amp;" "," "&amp;LOWER(D185&amp;" "&amp;C185&amp;" "&amp;LOWER(SUBSTITUTE(SUBSTITUTE(SUBSTITUTE(SUBSTITUTE(A185,"/"," "),"."," "),"\"," "),"_"," ")))&amp;" ")),1,0))+IF(Task!$A$18="",0,IF(ISNUMBER(SEARCH(" "&amp;Task!$A$18&amp;" "," "&amp;LOWER(D185&amp;" "&amp;C185&amp;" "&amp;LOWER(SUBSTITUTE(SUBSTITUTE(SUBSTITUTE(SUBSTITUTE(A185,"/"," "),"."," "),"\"," "),"_"," ")))&amp;" ")),1,0))+IF(Task!$A$19="",0,IF(ISNUMBER(SEARCH(" "&amp;Task!$A$19&amp;" "," "&amp;LOWER(D185&amp;" "&amp;C185&amp;" "&amp;LOWER(SUBSTITUTE(SUBSTITUTE(SUBSTITUTE(SUBSTITUTE(A185,"/"," "),"."," "),"\"," "),"_"," ")))&amp;" ")),1,0)))</f>
        <v/>
      </c>
      <c r="G185" s="9">
        <f>IF(E185=0,0,IF(Task!$A$8="",0,IF(ISNUMBER(SEARCH(" "&amp;Task!$A$8&amp;" "," "&amp;LOWER(C185)&amp;" ")),1,0))+IF(Task!$A$9="",0,IF(ISNUMBER(SEARCH(" "&amp;Task!$A$9&amp;" "," "&amp;LOWER(C185)&amp;" ")),1,0))+IF(Task!$A$10="",0,IF(ISNUMBER(SEARCH(" "&amp;Task!$A$10&amp;" "," "&amp;LOWER(C185)&amp;" ")),1,0))+IF(Task!$A$11="",0,IF(ISNUMBER(SEARCH(" "&amp;Task!$A$11&amp;" "," "&amp;LOWER(C185)&amp;" ")),1,0))+IF(Task!$A$12="",0,IF(ISNUMBER(SEARCH(" "&amp;Task!$A$12&amp;" "," "&amp;LOWER(C185)&amp;" ")),1,0))+IF(Task!$A$13="",0,IF(ISNUMBER(SEARCH(" "&amp;Task!$A$13&amp;" "," "&amp;LOWER(C185)&amp;" ")),1,0))+IF(Task!$A$14="",0,IF(ISNUMBER(SEARCH(" "&amp;Task!$A$14&amp;" "," "&amp;LOWER(C185)&amp;" ")),1,0))+IF(Task!$A$15="",0,IF(ISNUMBER(SEARCH(" "&amp;Task!$A$15&amp;" "," "&amp;LOWER(C185)&amp;" ")),1,0))+IF(Task!$A$16="",0,IF(ISNUMBER(SEARCH(" "&amp;Task!$A$16&amp;" "," "&amp;LOWER(C185)&amp;" ")),1,0))+IF(Task!$A$17="",0,IF(ISNUMBER(SEARCH(" "&amp;Task!$A$17&amp;" "," "&amp;LOWER(C185)&amp;" ")),1,0))+IF(Task!$A$18="",0,IF(ISNUMBER(SEARCH(" "&amp;Task!$A$18&amp;" "," "&amp;LOWER(C185)&amp;" ")),1,0))+IF(Task!$A$19="",0,IF(ISNUMBER(SEARCH(" "&amp;Task!$A$19&amp;" "," "&amp;LOWER(C185)&amp;" ")),1,0)))</f>
        <v/>
      </c>
      <c r="H185" s="9">
        <f>IF(E185=0,0,IF(Task!$A$8="",0,IF(ISNUMBER(SEARCH(" "&amp;Task!$A$8&amp;" "," "&amp;LOWER(SUBSTITUTE(SUBSTITUTE(SUBSTITUTE(SUBSTITUTE(A185,"/"," "),"."," "),"\"," "),"_"," "))&amp;" ")),1,0))+IF(Task!$A$9="",0,IF(ISNUMBER(SEARCH(" "&amp;Task!$A$9&amp;" "," "&amp;LOWER(SUBSTITUTE(SUBSTITUTE(SUBSTITUTE(SUBSTITUTE(A185,"/"," "),"."," "),"\"," "),"_"," "))&amp;" ")),1,0))+IF(Task!$A$10="",0,IF(ISNUMBER(SEARCH(" "&amp;Task!$A$10&amp;" "," "&amp;LOWER(SUBSTITUTE(SUBSTITUTE(SUBSTITUTE(SUBSTITUTE(A185,"/"," "),"."," "),"\"," "),"_"," "))&amp;" ")),1,0))+IF(Task!$A$11="",0,IF(ISNUMBER(SEARCH(" "&amp;Task!$A$11&amp;" "," "&amp;LOWER(SUBSTITUTE(SUBSTITUTE(SUBSTITUTE(SUBSTITUTE(A185,"/"," "),"."," "),"\"," "),"_"," "))&amp;" ")),1,0))+IF(Task!$A$12="",0,IF(ISNUMBER(SEARCH(" "&amp;Task!$A$12&amp;" "," "&amp;LOWER(SUBSTITUTE(SUBSTITUTE(SUBSTITUTE(SUBSTITUTE(A185,"/"," "),"."," "),"\"," "),"_"," "))&amp;" ")),1,0))+IF(Task!$A$13="",0,IF(ISNUMBER(SEARCH(" "&amp;Task!$A$13&amp;" "," "&amp;LOWER(SUBSTITUTE(SUBSTITUTE(SUBSTITUTE(SUBSTITUTE(A185,"/"," "),"."," "),"\"," "),"_"," "))&amp;" ")),1,0))+IF(Task!$A$14="",0,IF(ISNUMBER(SEARCH(" "&amp;Task!$A$14&amp;" "," "&amp;LOWER(SUBSTITUTE(SUBSTITUTE(SUBSTITUTE(SUBSTITUTE(A185,"/"," "),"."," "),"\"," "),"_"," "))&amp;" ")),1,0))+IF(Task!$A$15="",0,IF(ISNUMBER(SEARCH(" "&amp;Task!$A$15&amp;" "," "&amp;LOWER(SUBSTITUTE(SUBSTITUTE(SUBSTITUTE(SUBSTITUTE(A185,"/"," "),"."," "),"\"," "),"_"," "))&amp;" ")),1,0))+IF(Task!$A$16="",0,IF(ISNUMBER(SEARCH(" "&amp;Task!$A$16&amp;" "," "&amp;LOWER(SUBSTITUTE(SUBSTITUTE(SUBSTITUTE(SUBSTITUTE(A185,"/"," "),"."," "),"\"," "),"_"," "))&amp;" ")),1,0))+IF(Task!$A$17="",0,IF(ISNUMBER(SEARCH(" "&amp;Task!$A$17&amp;" "," "&amp;LOWER(SUBSTITUTE(SUBSTITUTE(SUBSTITUTE(SUBSTITUTE(A185,"/"," "),"."," "),"\"," "),"_"," "))&amp;" ")),1,0))+IF(Task!$A$18="",0,IF(ISNUMBER(SEARCH(" "&amp;Task!$A$18&amp;" "," "&amp;LOWER(SUBSTITUTE(SUBSTITUTE(SUBSTITUTE(SUBSTITUTE(A185,"/"," "),"."," "),"\"," "),"_"," "))&amp;" ")),1,0))+IF(Task!$A$19="",0,IF(ISNUMBER(SEARCH(" "&amp;Task!$A$19&amp;" "," "&amp;LOWER(SUBSTITUTE(SUBSTITUTE(SUBSTITUTE(SUBSTITUTE(A185,"/"," "),"."," "),"\"," "),"_"," "))&amp;" ")),1,0)))</f>
        <v/>
      </c>
      <c r="I185" s="10">
        <f>IF(OR(E185=0,F185=0,Task!$B$21=0),"",F185/Task!$B$21+0.5*G185+0.25*H185)</f>
        <v/>
      </c>
      <c r="J185" s="5">
        <f>IF(I185="","",I185-ROW()/1000000)</f>
        <v/>
      </c>
      <c r="K185" s="9">
        <f>IF(J185="","",COUNTIF($J$5:$J$404,"&gt;"&amp;J185)+1)</f>
        <v/>
      </c>
    </row>
    <row r="186">
      <c r="A186" s="7" t="n"/>
      <c r="B186" s="7" t="n"/>
      <c r="C186" s="7" t="n"/>
      <c r="D186" s="7" t="n"/>
      <c r="E186" s="5">
        <f>IF(A186="",0,IF(COUNTA(Task!$B$5:$E$5)=0,1,IF(COUNTIF(Task!$B$5:$E$5,B186)&gt;0,1,0)))</f>
        <v/>
      </c>
      <c r="F186" s="9">
        <f>IF(E186=0,0,IF(Task!$A$8="",0,IF(ISNUMBER(SEARCH(" "&amp;Task!$A$8&amp;" "," "&amp;LOWER(D186&amp;" "&amp;C186&amp;" "&amp;LOWER(SUBSTITUTE(SUBSTITUTE(SUBSTITUTE(SUBSTITUTE(A186,"/"," "),"."," "),"\"," "),"_"," ")))&amp;" ")),1,0))+IF(Task!$A$9="",0,IF(ISNUMBER(SEARCH(" "&amp;Task!$A$9&amp;" "," "&amp;LOWER(D186&amp;" "&amp;C186&amp;" "&amp;LOWER(SUBSTITUTE(SUBSTITUTE(SUBSTITUTE(SUBSTITUTE(A186,"/"," "),"."," "),"\"," "),"_"," ")))&amp;" ")),1,0))+IF(Task!$A$10="",0,IF(ISNUMBER(SEARCH(" "&amp;Task!$A$10&amp;" "," "&amp;LOWER(D186&amp;" "&amp;C186&amp;" "&amp;LOWER(SUBSTITUTE(SUBSTITUTE(SUBSTITUTE(SUBSTITUTE(A186,"/"," "),"."," "),"\"," "),"_"," ")))&amp;" ")),1,0))+IF(Task!$A$11="",0,IF(ISNUMBER(SEARCH(" "&amp;Task!$A$11&amp;" "," "&amp;LOWER(D186&amp;" "&amp;C186&amp;" "&amp;LOWER(SUBSTITUTE(SUBSTITUTE(SUBSTITUTE(SUBSTITUTE(A186,"/"," "),"."," "),"\"," "),"_"," ")))&amp;" ")),1,0))+IF(Task!$A$12="",0,IF(ISNUMBER(SEARCH(" "&amp;Task!$A$12&amp;" "," "&amp;LOWER(D186&amp;" "&amp;C186&amp;" "&amp;LOWER(SUBSTITUTE(SUBSTITUTE(SUBSTITUTE(SUBSTITUTE(A186,"/"," "),"."," "),"\"," "),"_"," ")))&amp;" ")),1,0))+IF(Task!$A$13="",0,IF(ISNUMBER(SEARCH(" "&amp;Task!$A$13&amp;" "," "&amp;LOWER(D186&amp;" "&amp;C186&amp;" "&amp;LOWER(SUBSTITUTE(SUBSTITUTE(SUBSTITUTE(SUBSTITUTE(A186,"/"," "),"."," "),"\"," "),"_"," ")))&amp;" ")),1,0))+IF(Task!$A$14="",0,IF(ISNUMBER(SEARCH(" "&amp;Task!$A$14&amp;" "," "&amp;LOWER(D186&amp;" "&amp;C186&amp;" "&amp;LOWER(SUBSTITUTE(SUBSTITUTE(SUBSTITUTE(SUBSTITUTE(A186,"/"," "),"."," "),"\"," "),"_"," ")))&amp;" ")),1,0))+IF(Task!$A$15="",0,IF(ISNUMBER(SEARCH(" "&amp;Task!$A$15&amp;" "," "&amp;LOWER(D186&amp;" "&amp;C186&amp;" "&amp;LOWER(SUBSTITUTE(SUBSTITUTE(SUBSTITUTE(SUBSTITUTE(A186,"/"," "),"."," "),"\"," "),"_"," ")))&amp;" ")),1,0))+IF(Task!$A$16="",0,IF(ISNUMBER(SEARCH(" "&amp;Task!$A$16&amp;" "," "&amp;LOWER(D186&amp;" "&amp;C186&amp;" "&amp;LOWER(SUBSTITUTE(SUBSTITUTE(SUBSTITUTE(SUBSTITUTE(A186,"/"," "),"."," "),"\"," "),"_"," ")))&amp;" ")),1,0))+IF(Task!$A$17="",0,IF(ISNUMBER(SEARCH(" "&amp;Task!$A$17&amp;" "," "&amp;LOWER(D186&amp;" "&amp;C186&amp;" "&amp;LOWER(SUBSTITUTE(SUBSTITUTE(SUBSTITUTE(SUBSTITUTE(A186,"/"," "),"."," "),"\"," "),"_"," ")))&amp;" ")),1,0))+IF(Task!$A$18="",0,IF(ISNUMBER(SEARCH(" "&amp;Task!$A$18&amp;" "," "&amp;LOWER(D186&amp;" "&amp;C186&amp;" "&amp;LOWER(SUBSTITUTE(SUBSTITUTE(SUBSTITUTE(SUBSTITUTE(A186,"/"," "),"."," "),"\"," "),"_"," ")))&amp;" ")),1,0))+IF(Task!$A$19="",0,IF(ISNUMBER(SEARCH(" "&amp;Task!$A$19&amp;" "," "&amp;LOWER(D186&amp;" "&amp;C186&amp;" "&amp;LOWER(SUBSTITUTE(SUBSTITUTE(SUBSTITUTE(SUBSTITUTE(A186,"/"," "),"."," "),"\"," "),"_"," ")))&amp;" ")),1,0)))</f>
        <v/>
      </c>
      <c r="G186" s="9">
        <f>IF(E186=0,0,IF(Task!$A$8="",0,IF(ISNUMBER(SEARCH(" "&amp;Task!$A$8&amp;" "," "&amp;LOWER(C186)&amp;" ")),1,0))+IF(Task!$A$9="",0,IF(ISNUMBER(SEARCH(" "&amp;Task!$A$9&amp;" "," "&amp;LOWER(C186)&amp;" ")),1,0))+IF(Task!$A$10="",0,IF(ISNUMBER(SEARCH(" "&amp;Task!$A$10&amp;" "," "&amp;LOWER(C186)&amp;" ")),1,0))+IF(Task!$A$11="",0,IF(ISNUMBER(SEARCH(" "&amp;Task!$A$11&amp;" "," "&amp;LOWER(C186)&amp;" ")),1,0))+IF(Task!$A$12="",0,IF(ISNUMBER(SEARCH(" "&amp;Task!$A$12&amp;" "," "&amp;LOWER(C186)&amp;" ")),1,0))+IF(Task!$A$13="",0,IF(ISNUMBER(SEARCH(" "&amp;Task!$A$13&amp;" "," "&amp;LOWER(C186)&amp;" ")),1,0))+IF(Task!$A$14="",0,IF(ISNUMBER(SEARCH(" "&amp;Task!$A$14&amp;" "," "&amp;LOWER(C186)&amp;" ")),1,0))+IF(Task!$A$15="",0,IF(ISNUMBER(SEARCH(" "&amp;Task!$A$15&amp;" "," "&amp;LOWER(C186)&amp;" ")),1,0))+IF(Task!$A$16="",0,IF(ISNUMBER(SEARCH(" "&amp;Task!$A$16&amp;" "," "&amp;LOWER(C186)&amp;" ")),1,0))+IF(Task!$A$17="",0,IF(ISNUMBER(SEARCH(" "&amp;Task!$A$17&amp;" "," "&amp;LOWER(C186)&amp;" ")),1,0))+IF(Task!$A$18="",0,IF(ISNUMBER(SEARCH(" "&amp;Task!$A$18&amp;" "," "&amp;LOWER(C186)&amp;" ")),1,0))+IF(Task!$A$19="",0,IF(ISNUMBER(SEARCH(" "&amp;Task!$A$19&amp;" "," "&amp;LOWER(C186)&amp;" ")),1,0)))</f>
        <v/>
      </c>
      <c r="H186" s="9">
        <f>IF(E186=0,0,IF(Task!$A$8="",0,IF(ISNUMBER(SEARCH(" "&amp;Task!$A$8&amp;" "," "&amp;LOWER(SUBSTITUTE(SUBSTITUTE(SUBSTITUTE(SUBSTITUTE(A186,"/"," "),"."," "),"\"," "),"_"," "))&amp;" ")),1,0))+IF(Task!$A$9="",0,IF(ISNUMBER(SEARCH(" "&amp;Task!$A$9&amp;" "," "&amp;LOWER(SUBSTITUTE(SUBSTITUTE(SUBSTITUTE(SUBSTITUTE(A186,"/"," "),"."," "),"\"," "),"_"," "))&amp;" ")),1,0))+IF(Task!$A$10="",0,IF(ISNUMBER(SEARCH(" "&amp;Task!$A$10&amp;" "," "&amp;LOWER(SUBSTITUTE(SUBSTITUTE(SUBSTITUTE(SUBSTITUTE(A186,"/"," "),"."," "),"\"," "),"_"," "))&amp;" ")),1,0))+IF(Task!$A$11="",0,IF(ISNUMBER(SEARCH(" "&amp;Task!$A$11&amp;" "," "&amp;LOWER(SUBSTITUTE(SUBSTITUTE(SUBSTITUTE(SUBSTITUTE(A186,"/"," "),"."," "),"\"," "),"_"," "))&amp;" ")),1,0))+IF(Task!$A$12="",0,IF(ISNUMBER(SEARCH(" "&amp;Task!$A$12&amp;" "," "&amp;LOWER(SUBSTITUTE(SUBSTITUTE(SUBSTITUTE(SUBSTITUTE(A186,"/"," "),"."," "),"\"," "),"_"," "))&amp;" ")),1,0))+IF(Task!$A$13="",0,IF(ISNUMBER(SEARCH(" "&amp;Task!$A$13&amp;" "," "&amp;LOWER(SUBSTITUTE(SUBSTITUTE(SUBSTITUTE(SUBSTITUTE(A186,"/"," "),"."," "),"\"," "),"_"," "))&amp;" ")),1,0))+IF(Task!$A$14="",0,IF(ISNUMBER(SEARCH(" "&amp;Task!$A$14&amp;" "," "&amp;LOWER(SUBSTITUTE(SUBSTITUTE(SUBSTITUTE(SUBSTITUTE(A186,"/"," "),"."," "),"\"," "),"_"," "))&amp;" ")),1,0))+IF(Task!$A$15="",0,IF(ISNUMBER(SEARCH(" "&amp;Task!$A$15&amp;" "," "&amp;LOWER(SUBSTITUTE(SUBSTITUTE(SUBSTITUTE(SUBSTITUTE(A186,"/"," "),"."," "),"\"," "),"_"," "))&amp;" ")),1,0))+IF(Task!$A$16="",0,IF(ISNUMBER(SEARCH(" "&amp;Task!$A$16&amp;" "," "&amp;LOWER(SUBSTITUTE(SUBSTITUTE(SUBSTITUTE(SUBSTITUTE(A186,"/"," "),"."," "),"\"," "),"_"," "))&amp;" ")),1,0))+IF(Task!$A$17="",0,IF(ISNUMBER(SEARCH(" "&amp;Task!$A$17&amp;" "," "&amp;LOWER(SUBSTITUTE(SUBSTITUTE(SUBSTITUTE(SUBSTITUTE(A186,"/"," "),"."," "),"\"," "),"_"," "))&amp;" ")),1,0))+IF(Task!$A$18="",0,IF(ISNUMBER(SEARCH(" "&amp;Task!$A$18&amp;" "," "&amp;LOWER(SUBSTITUTE(SUBSTITUTE(SUBSTITUTE(SUBSTITUTE(A186,"/"," "),"."," "),"\"," "),"_"," "))&amp;" ")),1,0))+IF(Task!$A$19="",0,IF(ISNUMBER(SEARCH(" "&amp;Task!$A$19&amp;" "," "&amp;LOWER(SUBSTITUTE(SUBSTITUTE(SUBSTITUTE(SUBSTITUTE(A186,"/"," "),"."," "),"\"," "),"_"," "))&amp;" ")),1,0)))</f>
        <v/>
      </c>
      <c r="I186" s="10">
        <f>IF(OR(E186=0,F186=0,Task!$B$21=0),"",F186/Task!$B$21+0.5*G186+0.25*H186)</f>
        <v/>
      </c>
      <c r="J186" s="5">
        <f>IF(I186="","",I186-ROW()/1000000)</f>
        <v/>
      </c>
      <c r="K186" s="9">
        <f>IF(J186="","",COUNTIF($J$5:$J$404,"&gt;"&amp;J186)+1)</f>
        <v/>
      </c>
    </row>
    <row r="187">
      <c r="A187" s="7" t="n"/>
      <c r="B187" s="7" t="n"/>
      <c r="C187" s="7" t="n"/>
      <c r="D187" s="7" t="n"/>
      <c r="E187" s="5">
        <f>IF(A187="",0,IF(COUNTA(Task!$B$5:$E$5)=0,1,IF(COUNTIF(Task!$B$5:$E$5,B187)&gt;0,1,0)))</f>
        <v/>
      </c>
      <c r="F187" s="9">
        <f>IF(E187=0,0,IF(Task!$A$8="",0,IF(ISNUMBER(SEARCH(" "&amp;Task!$A$8&amp;" "," "&amp;LOWER(D187&amp;" "&amp;C187&amp;" "&amp;LOWER(SUBSTITUTE(SUBSTITUTE(SUBSTITUTE(SUBSTITUTE(A187,"/"," "),"."," "),"\"," "),"_"," ")))&amp;" ")),1,0))+IF(Task!$A$9="",0,IF(ISNUMBER(SEARCH(" "&amp;Task!$A$9&amp;" "," "&amp;LOWER(D187&amp;" "&amp;C187&amp;" "&amp;LOWER(SUBSTITUTE(SUBSTITUTE(SUBSTITUTE(SUBSTITUTE(A187,"/"," "),"."," "),"\"," "),"_"," ")))&amp;" ")),1,0))+IF(Task!$A$10="",0,IF(ISNUMBER(SEARCH(" "&amp;Task!$A$10&amp;" "," "&amp;LOWER(D187&amp;" "&amp;C187&amp;" "&amp;LOWER(SUBSTITUTE(SUBSTITUTE(SUBSTITUTE(SUBSTITUTE(A187,"/"," "),"."," "),"\"," "),"_"," ")))&amp;" ")),1,0))+IF(Task!$A$11="",0,IF(ISNUMBER(SEARCH(" "&amp;Task!$A$11&amp;" "," "&amp;LOWER(D187&amp;" "&amp;C187&amp;" "&amp;LOWER(SUBSTITUTE(SUBSTITUTE(SUBSTITUTE(SUBSTITUTE(A187,"/"," "),"."," "),"\"," "),"_"," ")))&amp;" ")),1,0))+IF(Task!$A$12="",0,IF(ISNUMBER(SEARCH(" "&amp;Task!$A$12&amp;" "," "&amp;LOWER(D187&amp;" "&amp;C187&amp;" "&amp;LOWER(SUBSTITUTE(SUBSTITUTE(SUBSTITUTE(SUBSTITUTE(A187,"/"," "),"."," "),"\"," "),"_"," ")))&amp;" ")),1,0))+IF(Task!$A$13="",0,IF(ISNUMBER(SEARCH(" "&amp;Task!$A$13&amp;" "," "&amp;LOWER(D187&amp;" "&amp;C187&amp;" "&amp;LOWER(SUBSTITUTE(SUBSTITUTE(SUBSTITUTE(SUBSTITUTE(A187,"/"," "),"."," "),"\"," "),"_"," ")))&amp;" ")),1,0))+IF(Task!$A$14="",0,IF(ISNUMBER(SEARCH(" "&amp;Task!$A$14&amp;" "," "&amp;LOWER(D187&amp;" "&amp;C187&amp;" "&amp;LOWER(SUBSTITUTE(SUBSTITUTE(SUBSTITUTE(SUBSTITUTE(A187,"/"," "),"."," "),"\"," "),"_"," ")))&amp;" ")),1,0))+IF(Task!$A$15="",0,IF(ISNUMBER(SEARCH(" "&amp;Task!$A$15&amp;" "," "&amp;LOWER(D187&amp;" "&amp;C187&amp;" "&amp;LOWER(SUBSTITUTE(SUBSTITUTE(SUBSTITUTE(SUBSTITUTE(A187,"/"," "),"."," "),"\"," "),"_"," ")))&amp;" ")),1,0))+IF(Task!$A$16="",0,IF(ISNUMBER(SEARCH(" "&amp;Task!$A$16&amp;" "," "&amp;LOWER(D187&amp;" "&amp;C187&amp;" "&amp;LOWER(SUBSTITUTE(SUBSTITUTE(SUBSTITUTE(SUBSTITUTE(A187,"/"," "),"."," "),"\"," "),"_"," ")))&amp;" ")),1,0))+IF(Task!$A$17="",0,IF(ISNUMBER(SEARCH(" "&amp;Task!$A$17&amp;" "," "&amp;LOWER(D187&amp;" "&amp;C187&amp;" "&amp;LOWER(SUBSTITUTE(SUBSTITUTE(SUBSTITUTE(SUBSTITUTE(A187,"/"," "),"."," "),"\"," "),"_"," ")))&amp;" ")),1,0))+IF(Task!$A$18="",0,IF(ISNUMBER(SEARCH(" "&amp;Task!$A$18&amp;" "," "&amp;LOWER(D187&amp;" "&amp;C187&amp;" "&amp;LOWER(SUBSTITUTE(SUBSTITUTE(SUBSTITUTE(SUBSTITUTE(A187,"/"," "),"."," "),"\"," "),"_"," ")))&amp;" ")),1,0))+IF(Task!$A$19="",0,IF(ISNUMBER(SEARCH(" "&amp;Task!$A$19&amp;" "," "&amp;LOWER(D187&amp;" "&amp;C187&amp;" "&amp;LOWER(SUBSTITUTE(SUBSTITUTE(SUBSTITUTE(SUBSTITUTE(A187,"/"," "),"."," "),"\"," "),"_"," ")))&amp;" ")),1,0)))</f>
        <v/>
      </c>
      <c r="G187" s="9">
        <f>IF(E187=0,0,IF(Task!$A$8="",0,IF(ISNUMBER(SEARCH(" "&amp;Task!$A$8&amp;" "," "&amp;LOWER(C187)&amp;" ")),1,0))+IF(Task!$A$9="",0,IF(ISNUMBER(SEARCH(" "&amp;Task!$A$9&amp;" "," "&amp;LOWER(C187)&amp;" ")),1,0))+IF(Task!$A$10="",0,IF(ISNUMBER(SEARCH(" "&amp;Task!$A$10&amp;" "," "&amp;LOWER(C187)&amp;" ")),1,0))+IF(Task!$A$11="",0,IF(ISNUMBER(SEARCH(" "&amp;Task!$A$11&amp;" "," "&amp;LOWER(C187)&amp;" ")),1,0))+IF(Task!$A$12="",0,IF(ISNUMBER(SEARCH(" "&amp;Task!$A$12&amp;" "," "&amp;LOWER(C187)&amp;" ")),1,0))+IF(Task!$A$13="",0,IF(ISNUMBER(SEARCH(" "&amp;Task!$A$13&amp;" "," "&amp;LOWER(C187)&amp;" ")),1,0))+IF(Task!$A$14="",0,IF(ISNUMBER(SEARCH(" "&amp;Task!$A$14&amp;" "," "&amp;LOWER(C187)&amp;" ")),1,0))+IF(Task!$A$15="",0,IF(ISNUMBER(SEARCH(" "&amp;Task!$A$15&amp;" "," "&amp;LOWER(C187)&amp;" ")),1,0))+IF(Task!$A$16="",0,IF(ISNUMBER(SEARCH(" "&amp;Task!$A$16&amp;" "," "&amp;LOWER(C187)&amp;" ")),1,0))+IF(Task!$A$17="",0,IF(ISNUMBER(SEARCH(" "&amp;Task!$A$17&amp;" "," "&amp;LOWER(C187)&amp;" ")),1,0))+IF(Task!$A$18="",0,IF(ISNUMBER(SEARCH(" "&amp;Task!$A$18&amp;" "," "&amp;LOWER(C187)&amp;" ")),1,0))+IF(Task!$A$19="",0,IF(ISNUMBER(SEARCH(" "&amp;Task!$A$19&amp;" "," "&amp;LOWER(C187)&amp;" ")),1,0)))</f>
        <v/>
      </c>
      <c r="H187" s="9">
        <f>IF(E187=0,0,IF(Task!$A$8="",0,IF(ISNUMBER(SEARCH(" "&amp;Task!$A$8&amp;" "," "&amp;LOWER(SUBSTITUTE(SUBSTITUTE(SUBSTITUTE(SUBSTITUTE(A187,"/"," "),"."," "),"\"," "),"_"," "))&amp;" ")),1,0))+IF(Task!$A$9="",0,IF(ISNUMBER(SEARCH(" "&amp;Task!$A$9&amp;" "," "&amp;LOWER(SUBSTITUTE(SUBSTITUTE(SUBSTITUTE(SUBSTITUTE(A187,"/"," "),"."," "),"\"," "),"_"," "))&amp;" ")),1,0))+IF(Task!$A$10="",0,IF(ISNUMBER(SEARCH(" "&amp;Task!$A$10&amp;" "," "&amp;LOWER(SUBSTITUTE(SUBSTITUTE(SUBSTITUTE(SUBSTITUTE(A187,"/"," "),"."," "),"\"," "),"_"," "))&amp;" ")),1,0))+IF(Task!$A$11="",0,IF(ISNUMBER(SEARCH(" "&amp;Task!$A$11&amp;" "," "&amp;LOWER(SUBSTITUTE(SUBSTITUTE(SUBSTITUTE(SUBSTITUTE(A187,"/"," "),"."," "),"\"," "),"_"," "))&amp;" ")),1,0))+IF(Task!$A$12="",0,IF(ISNUMBER(SEARCH(" "&amp;Task!$A$12&amp;" "," "&amp;LOWER(SUBSTITUTE(SUBSTITUTE(SUBSTITUTE(SUBSTITUTE(A187,"/"," "),"."," "),"\"," "),"_"," "))&amp;" ")),1,0))+IF(Task!$A$13="",0,IF(ISNUMBER(SEARCH(" "&amp;Task!$A$13&amp;" "," "&amp;LOWER(SUBSTITUTE(SUBSTITUTE(SUBSTITUTE(SUBSTITUTE(A187,"/"," "),"."," "),"\"," "),"_"," "))&amp;" ")),1,0))+IF(Task!$A$14="",0,IF(ISNUMBER(SEARCH(" "&amp;Task!$A$14&amp;" "," "&amp;LOWER(SUBSTITUTE(SUBSTITUTE(SUBSTITUTE(SUBSTITUTE(A187,"/"," "),"."," "),"\"," "),"_"," "))&amp;" ")),1,0))+IF(Task!$A$15="",0,IF(ISNUMBER(SEARCH(" "&amp;Task!$A$15&amp;" "," "&amp;LOWER(SUBSTITUTE(SUBSTITUTE(SUBSTITUTE(SUBSTITUTE(A187,"/"," "),"."," "),"\"," "),"_"," "))&amp;" ")),1,0))+IF(Task!$A$16="",0,IF(ISNUMBER(SEARCH(" "&amp;Task!$A$16&amp;" "," "&amp;LOWER(SUBSTITUTE(SUBSTITUTE(SUBSTITUTE(SUBSTITUTE(A187,"/"," "),"."," "),"\"," "),"_"," "))&amp;" ")),1,0))+IF(Task!$A$17="",0,IF(ISNUMBER(SEARCH(" "&amp;Task!$A$17&amp;" "," "&amp;LOWER(SUBSTITUTE(SUBSTITUTE(SUBSTITUTE(SUBSTITUTE(A187,"/"," "),"."," "),"\"," "),"_"," "))&amp;" ")),1,0))+IF(Task!$A$18="",0,IF(ISNUMBER(SEARCH(" "&amp;Task!$A$18&amp;" "," "&amp;LOWER(SUBSTITUTE(SUBSTITUTE(SUBSTITUTE(SUBSTITUTE(A187,"/"," "),"."," "),"\"," "),"_"," "))&amp;" ")),1,0))+IF(Task!$A$19="",0,IF(ISNUMBER(SEARCH(" "&amp;Task!$A$19&amp;" "," "&amp;LOWER(SUBSTITUTE(SUBSTITUTE(SUBSTITUTE(SUBSTITUTE(A187,"/"," "),"."," "),"\"," "),"_"," "))&amp;" ")),1,0)))</f>
        <v/>
      </c>
      <c r="I187" s="10">
        <f>IF(OR(E187=0,F187=0,Task!$B$21=0),"",F187/Task!$B$21+0.5*G187+0.25*H187)</f>
        <v/>
      </c>
      <c r="J187" s="5">
        <f>IF(I187="","",I187-ROW()/1000000)</f>
        <v/>
      </c>
      <c r="K187" s="9">
        <f>IF(J187="","",COUNTIF($J$5:$J$404,"&gt;"&amp;J187)+1)</f>
        <v/>
      </c>
    </row>
    <row r="188">
      <c r="A188" s="7" t="n"/>
      <c r="B188" s="7" t="n"/>
      <c r="C188" s="7" t="n"/>
      <c r="D188" s="7" t="n"/>
      <c r="E188" s="5">
        <f>IF(A188="",0,IF(COUNTA(Task!$B$5:$E$5)=0,1,IF(COUNTIF(Task!$B$5:$E$5,B188)&gt;0,1,0)))</f>
        <v/>
      </c>
      <c r="F188" s="9">
        <f>IF(E188=0,0,IF(Task!$A$8="",0,IF(ISNUMBER(SEARCH(" "&amp;Task!$A$8&amp;" "," "&amp;LOWER(D188&amp;" "&amp;C188&amp;" "&amp;LOWER(SUBSTITUTE(SUBSTITUTE(SUBSTITUTE(SUBSTITUTE(A188,"/"," "),"."," "),"\"," "),"_"," ")))&amp;" ")),1,0))+IF(Task!$A$9="",0,IF(ISNUMBER(SEARCH(" "&amp;Task!$A$9&amp;" "," "&amp;LOWER(D188&amp;" "&amp;C188&amp;" "&amp;LOWER(SUBSTITUTE(SUBSTITUTE(SUBSTITUTE(SUBSTITUTE(A188,"/"," "),"."," "),"\"," "),"_"," ")))&amp;" ")),1,0))+IF(Task!$A$10="",0,IF(ISNUMBER(SEARCH(" "&amp;Task!$A$10&amp;" "," "&amp;LOWER(D188&amp;" "&amp;C188&amp;" "&amp;LOWER(SUBSTITUTE(SUBSTITUTE(SUBSTITUTE(SUBSTITUTE(A188,"/"," "),"."," "),"\"," "),"_"," ")))&amp;" ")),1,0))+IF(Task!$A$11="",0,IF(ISNUMBER(SEARCH(" "&amp;Task!$A$11&amp;" "," "&amp;LOWER(D188&amp;" "&amp;C188&amp;" "&amp;LOWER(SUBSTITUTE(SUBSTITUTE(SUBSTITUTE(SUBSTITUTE(A188,"/"," "),"."," "),"\"," "),"_"," ")))&amp;" ")),1,0))+IF(Task!$A$12="",0,IF(ISNUMBER(SEARCH(" "&amp;Task!$A$12&amp;" "," "&amp;LOWER(D188&amp;" "&amp;C188&amp;" "&amp;LOWER(SUBSTITUTE(SUBSTITUTE(SUBSTITUTE(SUBSTITUTE(A188,"/"," "),"."," "),"\"," "),"_"," ")))&amp;" ")),1,0))+IF(Task!$A$13="",0,IF(ISNUMBER(SEARCH(" "&amp;Task!$A$13&amp;" "," "&amp;LOWER(D188&amp;" "&amp;C188&amp;" "&amp;LOWER(SUBSTITUTE(SUBSTITUTE(SUBSTITUTE(SUBSTITUTE(A188,"/"," "),"."," "),"\"," "),"_"," ")))&amp;" ")),1,0))+IF(Task!$A$14="",0,IF(ISNUMBER(SEARCH(" "&amp;Task!$A$14&amp;" "," "&amp;LOWER(D188&amp;" "&amp;C188&amp;" "&amp;LOWER(SUBSTITUTE(SUBSTITUTE(SUBSTITUTE(SUBSTITUTE(A188,"/"," "),"."," "),"\"," "),"_"," ")))&amp;" ")),1,0))+IF(Task!$A$15="",0,IF(ISNUMBER(SEARCH(" "&amp;Task!$A$15&amp;" "," "&amp;LOWER(D188&amp;" "&amp;C188&amp;" "&amp;LOWER(SUBSTITUTE(SUBSTITUTE(SUBSTITUTE(SUBSTITUTE(A188,"/"," "),"."," "),"\"," "),"_"," ")))&amp;" ")),1,0))+IF(Task!$A$16="",0,IF(ISNUMBER(SEARCH(" "&amp;Task!$A$16&amp;" "," "&amp;LOWER(D188&amp;" "&amp;C188&amp;" "&amp;LOWER(SUBSTITUTE(SUBSTITUTE(SUBSTITUTE(SUBSTITUTE(A188,"/"," "),"."," "),"\"," "),"_"," ")))&amp;" ")),1,0))+IF(Task!$A$17="",0,IF(ISNUMBER(SEARCH(" "&amp;Task!$A$17&amp;" "," "&amp;LOWER(D188&amp;" "&amp;C188&amp;" "&amp;LOWER(SUBSTITUTE(SUBSTITUTE(SUBSTITUTE(SUBSTITUTE(A188,"/"," "),"."," "),"\"," "),"_"," ")))&amp;" ")),1,0))+IF(Task!$A$18="",0,IF(ISNUMBER(SEARCH(" "&amp;Task!$A$18&amp;" "," "&amp;LOWER(D188&amp;" "&amp;C188&amp;" "&amp;LOWER(SUBSTITUTE(SUBSTITUTE(SUBSTITUTE(SUBSTITUTE(A188,"/"," "),"."," "),"\"," "),"_"," ")))&amp;" ")),1,0))+IF(Task!$A$19="",0,IF(ISNUMBER(SEARCH(" "&amp;Task!$A$19&amp;" "," "&amp;LOWER(D188&amp;" "&amp;C188&amp;" "&amp;LOWER(SUBSTITUTE(SUBSTITUTE(SUBSTITUTE(SUBSTITUTE(A188,"/"," "),"."," "),"\"," "),"_"," ")))&amp;" ")),1,0)))</f>
        <v/>
      </c>
      <c r="G188" s="9">
        <f>IF(E188=0,0,IF(Task!$A$8="",0,IF(ISNUMBER(SEARCH(" "&amp;Task!$A$8&amp;" "," "&amp;LOWER(C188)&amp;" ")),1,0))+IF(Task!$A$9="",0,IF(ISNUMBER(SEARCH(" "&amp;Task!$A$9&amp;" "," "&amp;LOWER(C188)&amp;" ")),1,0))+IF(Task!$A$10="",0,IF(ISNUMBER(SEARCH(" "&amp;Task!$A$10&amp;" "," "&amp;LOWER(C188)&amp;" ")),1,0))+IF(Task!$A$11="",0,IF(ISNUMBER(SEARCH(" "&amp;Task!$A$11&amp;" "," "&amp;LOWER(C188)&amp;" ")),1,0))+IF(Task!$A$12="",0,IF(ISNUMBER(SEARCH(" "&amp;Task!$A$12&amp;" "," "&amp;LOWER(C188)&amp;" ")),1,0))+IF(Task!$A$13="",0,IF(ISNUMBER(SEARCH(" "&amp;Task!$A$13&amp;" "," "&amp;LOWER(C188)&amp;" ")),1,0))+IF(Task!$A$14="",0,IF(ISNUMBER(SEARCH(" "&amp;Task!$A$14&amp;" "," "&amp;LOWER(C188)&amp;" ")),1,0))+IF(Task!$A$15="",0,IF(ISNUMBER(SEARCH(" "&amp;Task!$A$15&amp;" "," "&amp;LOWER(C188)&amp;" ")),1,0))+IF(Task!$A$16="",0,IF(ISNUMBER(SEARCH(" "&amp;Task!$A$16&amp;" "," "&amp;LOWER(C188)&amp;" ")),1,0))+IF(Task!$A$17="",0,IF(ISNUMBER(SEARCH(" "&amp;Task!$A$17&amp;" "," "&amp;LOWER(C188)&amp;" ")),1,0))+IF(Task!$A$18="",0,IF(ISNUMBER(SEARCH(" "&amp;Task!$A$18&amp;" "," "&amp;LOWER(C188)&amp;" ")),1,0))+IF(Task!$A$19="",0,IF(ISNUMBER(SEARCH(" "&amp;Task!$A$19&amp;" "," "&amp;LOWER(C188)&amp;" ")),1,0)))</f>
        <v/>
      </c>
      <c r="H188" s="9">
        <f>IF(E188=0,0,IF(Task!$A$8="",0,IF(ISNUMBER(SEARCH(" "&amp;Task!$A$8&amp;" "," "&amp;LOWER(SUBSTITUTE(SUBSTITUTE(SUBSTITUTE(SUBSTITUTE(A188,"/"," "),"."," "),"\"," "),"_"," "))&amp;" ")),1,0))+IF(Task!$A$9="",0,IF(ISNUMBER(SEARCH(" "&amp;Task!$A$9&amp;" "," "&amp;LOWER(SUBSTITUTE(SUBSTITUTE(SUBSTITUTE(SUBSTITUTE(A188,"/"," "),"."," "),"\"," "),"_"," "))&amp;" ")),1,0))+IF(Task!$A$10="",0,IF(ISNUMBER(SEARCH(" "&amp;Task!$A$10&amp;" "," "&amp;LOWER(SUBSTITUTE(SUBSTITUTE(SUBSTITUTE(SUBSTITUTE(A188,"/"," "),"."," "),"\"," "),"_"," "))&amp;" ")),1,0))+IF(Task!$A$11="",0,IF(ISNUMBER(SEARCH(" "&amp;Task!$A$11&amp;" "," "&amp;LOWER(SUBSTITUTE(SUBSTITUTE(SUBSTITUTE(SUBSTITUTE(A188,"/"," "),"."," "),"\"," "),"_"," "))&amp;" ")),1,0))+IF(Task!$A$12="",0,IF(ISNUMBER(SEARCH(" "&amp;Task!$A$12&amp;" "," "&amp;LOWER(SUBSTITUTE(SUBSTITUTE(SUBSTITUTE(SUBSTITUTE(A188,"/"," "),"."," "),"\"," "),"_"," "))&amp;" ")),1,0))+IF(Task!$A$13="",0,IF(ISNUMBER(SEARCH(" "&amp;Task!$A$13&amp;" "," "&amp;LOWER(SUBSTITUTE(SUBSTITUTE(SUBSTITUTE(SUBSTITUTE(A188,"/"," "),"."," "),"\"," "),"_"," "))&amp;" ")),1,0))+IF(Task!$A$14="",0,IF(ISNUMBER(SEARCH(" "&amp;Task!$A$14&amp;" "," "&amp;LOWER(SUBSTITUTE(SUBSTITUTE(SUBSTITUTE(SUBSTITUTE(A188,"/"," "),"."," "),"\"," "),"_"," "))&amp;" ")),1,0))+IF(Task!$A$15="",0,IF(ISNUMBER(SEARCH(" "&amp;Task!$A$15&amp;" "," "&amp;LOWER(SUBSTITUTE(SUBSTITUTE(SUBSTITUTE(SUBSTITUTE(A188,"/"," "),"."," "),"\"," "),"_"," "))&amp;" ")),1,0))+IF(Task!$A$16="",0,IF(ISNUMBER(SEARCH(" "&amp;Task!$A$16&amp;" "," "&amp;LOWER(SUBSTITUTE(SUBSTITUTE(SUBSTITUTE(SUBSTITUTE(A188,"/"," "),"."," "),"\"," "),"_"," "))&amp;" ")),1,0))+IF(Task!$A$17="",0,IF(ISNUMBER(SEARCH(" "&amp;Task!$A$17&amp;" "," "&amp;LOWER(SUBSTITUTE(SUBSTITUTE(SUBSTITUTE(SUBSTITUTE(A188,"/"," "),"."," "),"\"," "),"_"," "))&amp;" ")),1,0))+IF(Task!$A$18="",0,IF(ISNUMBER(SEARCH(" "&amp;Task!$A$18&amp;" "," "&amp;LOWER(SUBSTITUTE(SUBSTITUTE(SUBSTITUTE(SUBSTITUTE(A188,"/"," "),"."," "),"\"," "),"_"," "))&amp;" ")),1,0))+IF(Task!$A$19="",0,IF(ISNUMBER(SEARCH(" "&amp;Task!$A$19&amp;" "," "&amp;LOWER(SUBSTITUTE(SUBSTITUTE(SUBSTITUTE(SUBSTITUTE(A188,"/"," "),"."," "),"\"," "),"_"," "))&amp;" ")),1,0)))</f>
        <v/>
      </c>
      <c r="I188" s="10">
        <f>IF(OR(E188=0,F188=0,Task!$B$21=0),"",F188/Task!$B$21+0.5*G188+0.25*H188)</f>
        <v/>
      </c>
      <c r="J188" s="5">
        <f>IF(I188="","",I188-ROW()/1000000)</f>
        <v/>
      </c>
      <c r="K188" s="9">
        <f>IF(J188="","",COUNTIF($J$5:$J$404,"&gt;"&amp;J188)+1)</f>
        <v/>
      </c>
    </row>
    <row r="189">
      <c r="A189" s="7" t="n"/>
      <c r="B189" s="7" t="n"/>
      <c r="C189" s="7" t="n"/>
      <c r="D189" s="7" t="n"/>
      <c r="E189" s="5">
        <f>IF(A189="",0,IF(COUNTA(Task!$B$5:$E$5)=0,1,IF(COUNTIF(Task!$B$5:$E$5,B189)&gt;0,1,0)))</f>
        <v/>
      </c>
      <c r="F189" s="9">
        <f>IF(E189=0,0,IF(Task!$A$8="",0,IF(ISNUMBER(SEARCH(" "&amp;Task!$A$8&amp;" "," "&amp;LOWER(D189&amp;" "&amp;C189&amp;" "&amp;LOWER(SUBSTITUTE(SUBSTITUTE(SUBSTITUTE(SUBSTITUTE(A189,"/"," "),"."," "),"\"," "),"_"," ")))&amp;" ")),1,0))+IF(Task!$A$9="",0,IF(ISNUMBER(SEARCH(" "&amp;Task!$A$9&amp;" "," "&amp;LOWER(D189&amp;" "&amp;C189&amp;" "&amp;LOWER(SUBSTITUTE(SUBSTITUTE(SUBSTITUTE(SUBSTITUTE(A189,"/"," "),"."," "),"\"," "),"_"," ")))&amp;" ")),1,0))+IF(Task!$A$10="",0,IF(ISNUMBER(SEARCH(" "&amp;Task!$A$10&amp;" "," "&amp;LOWER(D189&amp;" "&amp;C189&amp;" "&amp;LOWER(SUBSTITUTE(SUBSTITUTE(SUBSTITUTE(SUBSTITUTE(A189,"/"," "),"."," "),"\"," "),"_"," ")))&amp;" ")),1,0))+IF(Task!$A$11="",0,IF(ISNUMBER(SEARCH(" "&amp;Task!$A$11&amp;" "," "&amp;LOWER(D189&amp;" "&amp;C189&amp;" "&amp;LOWER(SUBSTITUTE(SUBSTITUTE(SUBSTITUTE(SUBSTITUTE(A189,"/"," "),"."," "),"\"," "),"_"," ")))&amp;" ")),1,0))+IF(Task!$A$12="",0,IF(ISNUMBER(SEARCH(" "&amp;Task!$A$12&amp;" "," "&amp;LOWER(D189&amp;" "&amp;C189&amp;" "&amp;LOWER(SUBSTITUTE(SUBSTITUTE(SUBSTITUTE(SUBSTITUTE(A189,"/"," "),"."," "),"\"," "),"_"," ")))&amp;" ")),1,0))+IF(Task!$A$13="",0,IF(ISNUMBER(SEARCH(" "&amp;Task!$A$13&amp;" "," "&amp;LOWER(D189&amp;" "&amp;C189&amp;" "&amp;LOWER(SUBSTITUTE(SUBSTITUTE(SUBSTITUTE(SUBSTITUTE(A189,"/"," "),"."," "),"\"," "),"_"," ")))&amp;" ")),1,0))+IF(Task!$A$14="",0,IF(ISNUMBER(SEARCH(" "&amp;Task!$A$14&amp;" "," "&amp;LOWER(D189&amp;" "&amp;C189&amp;" "&amp;LOWER(SUBSTITUTE(SUBSTITUTE(SUBSTITUTE(SUBSTITUTE(A189,"/"," "),"."," "),"\"," "),"_"," ")))&amp;" ")),1,0))+IF(Task!$A$15="",0,IF(ISNUMBER(SEARCH(" "&amp;Task!$A$15&amp;" "," "&amp;LOWER(D189&amp;" "&amp;C189&amp;" "&amp;LOWER(SUBSTITUTE(SUBSTITUTE(SUBSTITUTE(SUBSTITUTE(A189,"/"," "),"."," "),"\"," "),"_"," ")))&amp;" ")),1,0))+IF(Task!$A$16="",0,IF(ISNUMBER(SEARCH(" "&amp;Task!$A$16&amp;" "," "&amp;LOWER(D189&amp;" "&amp;C189&amp;" "&amp;LOWER(SUBSTITUTE(SUBSTITUTE(SUBSTITUTE(SUBSTITUTE(A189,"/"," "),"."," "),"\"," "),"_"," ")))&amp;" ")),1,0))+IF(Task!$A$17="",0,IF(ISNUMBER(SEARCH(" "&amp;Task!$A$17&amp;" "," "&amp;LOWER(D189&amp;" "&amp;C189&amp;" "&amp;LOWER(SUBSTITUTE(SUBSTITUTE(SUBSTITUTE(SUBSTITUTE(A189,"/"," "),"."," "),"\"," "),"_"," ")))&amp;" ")),1,0))+IF(Task!$A$18="",0,IF(ISNUMBER(SEARCH(" "&amp;Task!$A$18&amp;" "," "&amp;LOWER(D189&amp;" "&amp;C189&amp;" "&amp;LOWER(SUBSTITUTE(SUBSTITUTE(SUBSTITUTE(SUBSTITUTE(A189,"/"," "),"."," "),"\"," "),"_"," ")))&amp;" ")),1,0))+IF(Task!$A$19="",0,IF(ISNUMBER(SEARCH(" "&amp;Task!$A$19&amp;" "," "&amp;LOWER(D189&amp;" "&amp;C189&amp;" "&amp;LOWER(SUBSTITUTE(SUBSTITUTE(SUBSTITUTE(SUBSTITUTE(A189,"/"," "),"."," "),"\"," "),"_"," ")))&amp;" ")),1,0)))</f>
        <v/>
      </c>
      <c r="G189" s="9">
        <f>IF(E189=0,0,IF(Task!$A$8="",0,IF(ISNUMBER(SEARCH(" "&amp;Task!$A$8&amp;" "," "&amp;LOWER(C189)&amp;" ")),1,0))+IF(Task!$A$9="",0,IF(ISNUMBER(SEARCH(" "&amp;Task!$A$9&amp;" "," "&amp;LOWER(C189)&amp;" ")),1,0))+IF(Task!$A$10="",0,IF(ISNUMBER(SEARCH(" "&amp;Task!$A$10&amp;" "," "&amp;LOWER(C189)&amp;" ")),1,0))+IF(Task!$A$11="",0,IF(ISNUMBER(SEARCH(" "&amp;Task!$A$11&amp;" "," "&amp;LOWER(C189)&amp;" ")),1,0))+IF(Task!$A$12="",0,IF(ISNUMBER(SEARCH(" "&amp;Task!$A$12&amp;" "," "&amp;LOWER(C189)&amp;" ")),1,0))+IF(Task!$A$13="",0,IF(ISNUMBER(SEARCH(" "&amp;Task!$A$13&amp;" "," "&amp;LOWER(C189)&amp;" ")),1,0))+IF(Task!$A$14="",0,IF(ISNUMBER(SEARCH(" "&amp;Task!$A$14&amp;" "," "&amp;LOWER(C189)&amp;" ")),1,0))+IF(Task!$A$15="",0,IF(ISNUMBER(SEARCH(" "&amp;Task!$A$15&amp;" "," "&amp;LOWER(C189)&amp;" ")),1,0))+IF(Task!$A$16="",0,IF(ISNUMBER(SEARCH(" "&amp;Task!$A$16&amp;" "," "&amp;LOWER(C189)&amp;" ")),1,0))+IF(Task!$A$17="",0,IF(ISNUMBER(SEARCH(" "&amp;Task!$A$17&amp;" "," "&amp;LOWER(C189)&amp;" ")),1,0))+IF(Task!$A$18="",0,IF(ISNUMBER(SEARCH(" "&amp;Task!$A$18&amp;" "," "&amp;LOWER(C189)&amp;" ")),1,0))+IF(Task!$A$19="",0,IF(ISNUMBER(SEARCH(" "&amp;Task!$A$19&amp;" "," "&amp;LOWER(C189)&amp;" ")),1,0)))</f>
        <v/>
      </c>
      <c r="H189" s="9">
        <f>IF(E189=0,0,IF(Task!$A$8="",0,IF(ISNUMBER(SEARCH(" "&amp;Task!$A$8&amp;" "," "&amp;LOWER(SUBSTITUTE(SUBSTITUTE(SUBSTITUTE(SUBSTITUTE(A189,"/"," "),"."," "),"\"," "),"_"," "))&amp;" ")),1,0))+IF(Task!$A$9="",0,IF(ISNUMBER(SEARCH(" "&amp;Task!$A$9&amp;" "," "&amp;LOWER(SUBSTITUTE(SUBSTITUTE(SUBSTITUTE(SUBSTITUTE(A189,"/"," "),"."," "),"\"," "),"_"," "))&amp;" ")),1,0))+IF(Task!$A$10="",0,IF(ISNUMBER(SEARCH(" "&amp;Task!$A$10&amp;" "," "&amp;LOWER(SUBSTITUTE(SUBSTITUTE(SUBSTITUTE(SUBSTITUTE(A189,"/"," "),"."," "),"\"," "),"_"," "))&amp;" ")),1,0))+IF(Task!$A$11="",0,IF(ISNUMBER(SEARCH(" "&amp;Task!$A$11&amp;" "," "&amp;LOWER(SUBSTITUTE(SUBSTITUTE(SUBSTITUTE(SUBSTITUTE(A189,"/"," "),"."," "),"\"," "),"_"," "))&amp;" ")),1,0))+IF(Task!$A$12="",0,IF(ISNUMBER(SEARCH(" "&amp;Task!$A$12&amp;" "," "&amp;LOWER(SUBSTITUTE(SUBSTITUTE(SUBSTITUTE(SUBSTITUTE(A189,"/"," "),"."," "),"\"," "),"_"," "))&amp;" ")),1,0))+IF(Task!$A$13="",0,IF(ISNUMBER(SEARCH(" "&amp;Task!$A$13&amp;" "," "&amp;LOWER(SUBSTITUTE(SUBSTITUTE(SUBSTITUTE(SUBSTITUTE(A189,"/"," "),"."," "),"\"," "),"_"," "))&amp;" ")),1,0))+IF(Task!$A$14="",0,IF(ISNUMBER(SEARCH(" "&amp;Task!$A$14&amp;" "," "&amp;LOWER(SUBSTITUTE(SUBSTITUTE(SUBSTITUTE(SUBSTITUTE(A189,"/"," "),"."," "),"\"," "),"_"," "))&amp;" ")),1,0))+IF(Task!$A$15="",0,IF(ISNUMBER(SEARCH(" "&amp;Task!$A$15&amp;" "," "&amp;LOWER(SUBSTITUTE(SUBSTITUTE(SUBSTITUTE(SUBSTITUTE(A189,"/"," "),"."," "),"\"," "),"_"," "))&amp;" ")),1,0))+IF(Task!$A$16="",0,IF(ISNUMBER(SEARCH(" "&amp;Task!$A$16&amp;" "," "&amp;LOWER(SUBSTITUTE(SUBSTITUTE(SUBSTITUTE(SUBSTITUTE(A189,"/"," "),"."," "),"\"," "),"_"," "))&amp;" ")),1,0))+IF(Task!$A$17="",0,IF(ISNUMBER(SEARCH(" "&amp;Task!$A$17&amp;" "," "&amp;LOWER(SUBSTITUTE(SUBSTITUTE(SUBSTITUTE(SUBSTITUTE(A189,"/"," "),"."," "),"\"," "),"_"," "))&amp;" ")),1,0))+IF(Task!$A$18="",0,IF(ISNUMBER(SEARCH(" "&amp;Task!$A$18&amp;" "," "&amp;LOWER(SUBSTITUTE(SUBSTITUTE(SUBSTITUTE(SUBSTITUTE(A189,"/"," "),"."," "),"\"," "),"_"," "))&amp;" ")),1,0))+IF(Task!$A$19="",0,IF(ISNUMBER(SEARCH(" "&amp;Task!$A$19&amp;" "," "&amp;LOWER(SUBSTITUTE(SUBSTITUTE(SUBSTITUTE(SUBSTITUTE(A189,"/"," "),"."," "),"\"," "),"_"," "))&amp;" ")),1,0)))</f>
        <v/>
      </c>
      <c r="I189" s="10">
        <f>IF(OR(E189=0,F189=0,Task!$B$21=0),"",F189/Task!$B$21+0.5*G189+0.25*H189)</f>
        <v/>
      </c>
      <c r="J189" s="5">
        <f>IF(I189="","",I189-ROW()/1000000)</f>
        <v/>
      </c>
      <c r="K189" s="9">
        <f>IF(J189="","",COUNTIF($J$5:$J$404,"&gt;"&amp;J189)+1)</f>
        <v/>
      </c>
    </row>
    <row r="190">
      <c r="A190" s="7" t="n"/>
      <c r="B190" s="7" t="n"/>
      <c r="C190" s="7" t="n"/>
      <c r="D190" s="7" t="n"/>
      <c r="E190" s="5">
        <f>IF(A190="",0,IF(COUNTA(Task!$B$5:$E$5)=0,1,IF(COUNTIF(Task!$B$5:$E$5,B190)&gt;0,1,0)))</f>
        <v/>
      </c>
      <c r="F190" s="9">
        <f>IF(E190=0,0,IF(Task!$A$8="",0,IF(ISNUMBER(SEARCH(" "&amp;Task!$A$8&amp;" "," "&amp;LOWER(D190&amp;" "&amp;C190&amp;" "&amp;LOWER(SUBSTITUTE(SUBSTITUTE(SUBSTITUTE(SUBSTITUTE(A190,"/"," "),"."," "),"\"," "),"_"," ")))&amp;" ")),1,0))+IF(Task!$A$9="",0,IF(ISNUMBER(SEARCH(" "&amp;Task!$A$9&amp;" "," "&amp;LOWER(D190&amp;" "&amp;C190&amp;" "&amp;LOWER(SUBSTITUTE(SUBSTITUTE(SUBSTITUTE(SUBSTITUTE(A190,"/"," "),"."," "),"\"," "),"_"," ")))&amp;" ")),1,0))+IF(Task!$A$10="",0,IF(ISNUMBER(SEARCH(" "&amp;Task!$A$10&amp;" "," "&amp;LOWER(D190&amp;" "&amp;C190&amp;" "&amp;LOWER(SUBSTITUTE(SUBSTITUTE(SUBSTITUTE(SUBSTITUTE(A190,"/"," "),"."," "),"\"," "),"_"," ")))&amp;" ")),1,0))+IF(Task!$A$11="",0,IF(ISNUMBER(SEARCH(" "&amp;Task!$A$11&amp;" "," "&amp;LOWER(D190&amp;" "&amp;C190&amp;" "&amp;LOWER(SUBSTITUTE(SUBSTITUTE(SUBSTITUTE(SUBSTITUTE(A190,"/"," "),"."," "),"\"," "),"_"," ")))&amp;" ")),1,0))+IF(Task!$A$12="",0,IF(ISNUMBER(SEARCH(" "&amp;Task!$A$12&amp;" "," "&amp;LOWER(D190&amp;" "&amp;C190&amp;" "&amp;LOWER(SUBSTITUTE(SUBSTITUTE(SUBSTITUTE(SUBSTITUTE(A190,"/"," "),"."," "),"\"," "),"_"," ")))&amp;" ")),1,0))+IF(Task!$A$13="",0,IF(ISNUMBER(SEARCH(" "&amp;Task!$A$13&amp;" "," "&amp;LOWER(D190&amp;" "&amp;C190&amp;" "&amp;LOWER(SUBSTITUTE(SUBSTITUTE(SUBSTITUTE(SUBSTITUTE(A190,"/"," "),"."," "),"\"," "),"_"," ")))&amp;" ")),1,0))+IF(Task!$A$14="",0,IF(ISNUMBER(SEARCH(" "&amp;Task!$A$14&amp;" "," "&amp;LOWER(D190&amp;" "&amp;C190&amp;" "&amp;LOWER(SUBSTITUTE(SUBSTITUTE(SUBSTITUTE(SUBSTITUTE(A190,"/"," "),"."," "),"\"," "),"_"," ")))&amp;" ")),1,0))+IF(Task!$A$15="",0,IF(ISNUMBER(SEARCH(" "&amp;Task!$A$15&amp;" "," "&amp;LOWER(D190&amp;" "&amp;C190&amp;" "&amp;LOWER(SUBSTITUTE(SUBSTITUTE(SUBSTITUTE(SUBSTITUTE(A190,"/"," "),"."," "),"\"," "),"_"," ")))&amp;" ")),1,0))+IF(Task!$A$16="",0,IF(ISNUMBER(SEARCH(" "&amp;Task!$A$16&amp;" "," "&amp;LOWER(D190&amp;" "&amp;C190&amp;" "&amp;LOWER(SUBSTITUTE(SUBSTITUTE(SUBSTITUTE(SUBSTITUTE(A190,"/"," "),"."," "),"\"," "),"_"," ")))&amp;" ")),1,0))+IF(Task!$A$17="",0,IF(ISNUMBER(SEARCH(" "&amp;Task!$A$17&amp;" "," "&amp;LOWER(D190&amp;" "&amp;C190&amp;" "&amp;LOWER(SUBSTITUTE(SUBSTITUTE(SUBSTITUTE(SUBSTITUTE(A190,"/"," "),"."," "),"\"," "),"_"," ")))&amp;" ")),1,0))+IF(Task!$A$18="",0,IF(ISNUMBER(SEARCH(" "&amp;Task!$A$18&amp;" "," "&amp;LOWER(D190&amp;" "&amp;C190&amp;" "&amp;LOWER(SUBSTITUTE(SUBSTITUTE(SUBSTITUTE(SUBSTITUTE(A190,"/"," "),"."," "),"\"," "),"_"," ")))&amp;" ")),1,0))+IF(Task!$A$19="",0,IF(ISNUMBER(SEARCH(" "&amp;Task!$A$19&amp;" "," "&amp;LOWER(D190&amp;" "&amp;C190&amp;" "&amp;LOWER(SUBSTITUTE(SUBSTITUTE(SUBSTITUTE(SUBSTITUTE(A190,"/"," "),"."," "),"\"," "),"_"," ")))&amp;" ")),1,0)))</f>
        <v/>
      </c>
      <c r="G190" s="9">
        <f>IF(E190=0,0,IF(Task!$A$8="",0,IF(ISNUMBER(SEARCH(" "&amp;Task!$A$8&amp;" "," "&amp;LOWER(C190)&amp;" ")),1,0))+IF(Task!$A$9="",0,IF(ISNUMBER(SEARCH(" "&amp;Task!$A$9&amp;" "," "&amp;LOWER(C190)&amp;" ")),1,0))+IF(Task!$A$10="",0,IF(ISNUMBER(SEARCH(" "&amp;Task!$A$10&amp;" "," "&amp;LOWER(C190)&amp;" ")),1,0))+IF(Task!$A$11="",0,IF(ISNUMBER(SEARCH(" "&amp;Task!$A$11&amp;" "," "&amp;LOWER(C190)&amp;" ")),1,0))+IF(Task!$A$12="",0,IF(ISNUMBER(SEARCH(" "&amp;Task!$A$12&amp;" "," "&amp;LOWER(C190)&amp;" ")),1,0))+IF(Task!$A$13="",0,IF(ISNUMBER(SEARCH(" "&amp;Task!$A$13&amp;" "," "&amp;LOWER(C190)&amp;" ")),1,0))+IF(Task!$A$14="",0,IF(ISNUMBER(SEARCH(" "&amp;Task!$A$14&amp;" "," "&amp;LOWER(C190)&amp;" ")),1,0))+IF(Task!$A$15="",0,IF(ISNUMBER(SEARCH(" "&amp;Task!$A$15&amp;" "," "&amp;LOWER(C190)&amp;" ")),1,0))+IF(Task!$A$16="",0,IF(ISNUMBER(SEARCH(" "&amp;Task!$A$16&amp;" "," "&amp;LOWER(C190)&amp;" ")),1,0))+IF(Task!$A$17="",0,IF(ISNUMBER(SEARCH(" "&amp;Task!$A$17&amp;" "," "&amp;LOWER(C190)&amp;" ")),1,0))+IF(Task!$A$18="",0,IF(ISNUMBER(SEARCH(" "&amp;Task!$A$18&amp;" "," "&amp;LOWER(C190)&amp;" ")),1,0))+IF(Task!$A$19="",0,IF(ISNUMBER(SEARCH(" "&amp;Task!$A$19&amp;" "," "&amp;LOWER(C190)&amp;" ")),1,0)))</f>
        <v/>
      </c>
      <c r="H190" s="9">
        <f>IF(E190=0,0,IF(Task!$A$8="",0,IF(ISNUMBER(SEARCH(" "&amp;Task!$A$8&amp;" "," "&amp;LOWER(SUBSTITUTE(SUBSTITUTE(SUBSTITUTE(SUBSTITUTE(A190,"/"," "),"."," "),"\"," "),"_"," "))&amp;" ")),1,0))+IF(Task!$A$9="",0,IF(ISNUMBER(SEARCH(" "&amp;Task!$A$9&amp;" "," "&amp;LOWER(SUBSTITUTE(SUBSTITUTE(SUBSTITUTE(SUBSTITUTE(A190,"/"," "),"."," "),"\"," "),"_"," "))&amp;" ")),1,0))+IF(Task!$A$10="",0,IF(ISNUMBER(SEARCH(" "&amp;Task!$A$10&amp;" "," "&amp;LOWER(SUBSTITUTE(SUBSTITUTE(SUBSTITUTE(SUBSTITUTE(A190,"/"," "),"."," "),"\"," "),"_"," "))&amp;" ")),1,0))+IF(Task!$A$11="",0,IF(ISNUMBER(SEARCH(" "&amp;Task!$A$11&amp;" "," "&amp;LOWER(SUBSTITUTE(SUBSTITUTE(SUBSTITUTE(SUBSTITUTE(A190,"/"," "),"."," "),"\"," "),"_"," "))&amp;" ")),1,0))+IF(Task!$A$12="",0,IF(ISNUMBER(SEARCH(" "&amp;Task!$A$12&amp;" "," "&amp;LOWER(SUBSTITUTE(SUBSTITUTE(SUBSTITUTE(SUBSTITUTE(A190,"/"," "),"."," "),"\"," "),"_"," "))&amp;" ")),1,0))+IF(Task!$A$13="",0,IF(ISNUMBER(SEARCH(" "&amp;Task!$A$13&amp;" "," "&amp;LOWER(SUBSTITUTE(SUBSTITUTE(SUBSTITUTE(SUBSTITUTE(A190,"/"," "),"."," "),"\"," "),"_"," "))&amp;" ")),1,0))+IF(Task!$A$14="",0,IF(ISNUMBER(SEARCH(" "&amp;Task!$A$14&amp;" "," "&amp;LOWER(SUBSTITUTE(SUBSTITUTE(SUBSTITUTE(SUBSTITUTE(A190,"/"," "),"."," "),"\"," "),"_"," "))&amp;" ")),1,0))+IF(Task!$A$15="",0,IF(ISNUMBER(SEARCH(" "&amp;Task!$A$15&amp;" "," "&amp;LOWER(SUBSTITUTE(SUBSTITUTE(SUBSTITUTE(SUBSTITUTE(A190,"/"," "),"."," "),"\"," "),"_"," "))&amp;" ")),1,0))+IF(Task!$A$16="",0,IF(ISNUMBER(SEARCH(" "&amp;Task!$A$16&amp;" "," "&amp;LOWER(SUBSTITUTE(SUBSTITUTE(SUBSTITUTE(SUBSTITUTE(A190,"/"," "),"."," "),"\"," "),"_"," "))&amp;" ")),1,0))+IF(Task!$A$17="",0,IF(ISNUMBER(SEARCH(" "&amp;Task!$A$17&amp;" "," "&amp;LOWER(SUBSTITUTE(SUBSTITUTE(SUBSTITUTE(SUBSTITUTE(A190,"/"," "),"."," "),"\"," "),"_"," "))&amp;" ")),1,0))+IF(Task!$A$18="",0,IF(ISNUMBER(SEARCH(" "&amp;Task!$A$18&amp;" "," "&amp;LOWER(SUBSTITUTE(SUBSTITUTE(SUBSTITUTE(SUBSTITUTE(A190,"/"," "),"."," "),"\"," "),"_"," "))&amp;" ")),1,0))+IF(Task!$A$19="",0,IF(ISNUMBER(SEARCH(" "&amp;Task!$A$19&amp;" "," "&amp;LOWER(SUBSTITUTE(SUBSTITUTE(SUBSTITUTE(SUBSTITUTE(A190,"/"," "),"."," "),"\"," "),"_"," "))&amp;" ")),1,0)))</f>
        <v/>
      </c>
      <c r="I190" s="10">
        <f>IF(OR(E190=0,F190=0,Task!$B$21=0),"",F190/Task!$B$21+0.5*G190+0.25*H190)</f>
        <v/>
      </c>
      <c r="J190" s="5">
        <f>IF(I190="","",I190-ROW()/1000000)</f>
        <v/>
      </c>
      <c r="K190" s="9">
        <f>IF(J190="","",COUNTIF($J$5:$J$404,"&gt;"&amp;J190)+1)</f>
        <v/>
      </c>
    </row>
    <row r="191">
      <c r="A191" s="7" t="n"/>
      <c r="B191" s="7" t="n"/>
      <c r="C191" s="7" t="n"/>
      <c r="D191" s="7" t="n"/>
      <c r="E191" s="5">
        <f>IF(A191="",0,IF(COUNTA(Task!$B$5:$E$5)=0,1,IF(COUNTIF(Task!$B$5:$E$5,B191)&gt;0,1,0)))</f>
        <v/>
      </c>
      <c r="F191" s="9">
        <f>IF(E191=0,0,IF(Task!$A$8="",0,IF(ISNUMBER(SEARCH(" "&amp;Task!$A$8&amp;" "," "&amp;LOWER(D191&amp;" "&amp;C191&amp;" "&amp;LOWER(SUBSTITUTE(SUBSTITUTE(SUBSTITUTE(SUBSTITUTE(A191,"/"," "),"."," "),"\"," "),"_"," ")))&amp;" ")),1,0))+IF(Task!$A$9="",0,IF(ISNUMBER(SEARCH(" "&amp;Task!$A$9&amp;" "," "&amp;LOWER(D191&amp;" "&amp;C191&amp;" "&amp;LOWER(SUBSTITUTE(SUBSTITUTE(SUBSTITUTE(SUBSTITUTE(A191,"/"," "),"."," "),"\"," "),"_"," ")))&amp;" ")),1,0))+IF(Task!$A$10="",0,IF(ISNUMBER(SEARCH(" "&amp;Task!$A$10&amp;" "," "&amp;LOWER(D191&amp;" "&amp;C191&amp;" "&amp;LOWER(SUBSTITUTE(SUBSTITUTE(SUBSTITUTE(SUBSTITUTE(A191,"/"," "),"."," "),"\"," "),"_"," ")))&amp;" ")),1,0))+IF(Task!$A$11="",0,IF(ISNUMBER(SEARCH(" "&amp;Task!$A$11&amp;" "," "&amp;LOWER(D191&amp;" "&amp;C191&amp;" "&amp;LOWER(SUBSTITUTE(SUBSTITUTE(SUBSTITUTE(SUBSTITUTE(A191,"/"," "),"."," "),"\"," "),"_"," ")))&amp;" ")),1,0))+IF(Task!$A$12="",0,IF(ISNUMBER(SEARCH(" "&amp;Task!$A$12&amp;" "," "&amp;LOWER(D191&amp;" "&amp;C191&amp;" "&amp;LOWER(SUBSTITUTE(SUBSTITUTE(SUBSTITUTE(SUBSTITUTE(A191,"/"," "),"."," "),"\"," "),"_"," ")))&amp;" ")),1,0))+IF(Task!$A$13="",0,IF(ISNUMBER(SEARCH(" "&amp;Task!$A$13&amp;" "," "&amp;LOWER(D191&amp;" "&amp;C191&amp;" "&amp;LOWER(SUBSTITUTE(SUBSTITUTE(SUBSTITUTE(SUBSTITUTE(A191,"/"," "),"."," "),"\"," "),"_"," ")))&amp;" ")),1,0))+IF(Task!$A$14="",0,IF(ISNUMBER(SEARCH(" "&amp;Task!$A$14&amp;" "," "&amp;LOWER(D191&amp;" "&amp;C191&amp;" "&amp;LOWER(SUBSTITUTE(SUBSTITUTE(SUBSTITUTE(SUBSTITUTE(A191,"/"," "),"."," "),"\"," "),"_"," ")))&amp;" ")),1,0))+IF(Task!$A$15="",0,IF(ISNUMBER(SEARCH(" "&amp;Task!$A$15&amp;" "," "&amp;LOWER(D191&amp;" "&amp;C191&amp;" "&amp;LOWER(SUBSTITUTE(SUBSTITUTE(SUBSTITUTE(SUBSTITUTE(A191,"/"," "),"."," "),"\"," "),"_"," ")))&amp;" ")),1,0))+IF(Task!$A$16="",0,IF(ISNUMBER(SEARCH(" "&amp;Task!$A$16&amp;" "," "&amp;LOWER(D191&amp;" "&amp;C191&amp;" "&amp;LOWER(SUBSTITUTE(SUBSTITUTE(SUBSTITUTE(SUBSTITUTE(A191,"/"," "),"."," "),"\"," "),"_"," ")))&amp;" ")),1,0))+IF(Task!$A$17="",0,IF(ISNUMBER(SEARCH(" "&amp;Task!$A$17&amp;" "," "&amp;LOWER(D191&amp;" "&amp;C191&amp;" "&amp;LOWER(SUBSTITUTE(SUBSTITUTE(SUBSTITUTE(SUBSTITUTE(A191,"/"," "),"."," "),"\"," "),"_"," ")))&amp;" ")),1,0))+IF(Task!$A$18="",0,IF(ISNUMBER(SEARCH(" "&amp;Task!$A$18&amp;" "," "&amp;LOWER(D191&amp;" "&amp;C191&amp;" "&amp;LOWER(SUBSTITUTE(SUBSTITUTE(SUBSTITUTE(SUBSTITUTE(A191,"/"," "),"."," "),"\"," "),"_"," ")))&amp;" ")),1,0))+IF(Task!$A$19="",0,IF(ISNUMBER(SEARCH(" "&amp;Task!$A$19&amp;" "," "&amp;LOWER(D191&amp;" "&amp;C191&amp;" "&amp;LOWER(SUBSTITUTE(SUBSTITUTE(SUBSTITUTE(SUBSTITUTE(A191,"/"," "),"."," "),"\"," "),"_"," ")))&amp;" ")),1,0)))</f>
        <v/>
      </c>
      <c r="G191" s="9">
        <f>IF(E191=0,0,IF(Task!$A$8="",0,IF(ISNUMBER(SEARCH(" "&amp;Task!$A$8&amp;" "," "&amp;LOWER(C191)&amp;" ")),1,0))+IF(Task!$A$9="",0,IF(ISNUMBER(SEARCH(" "&amp;Task!$A$9&amp;" "," "&amp;LOWER(C191)&amp;" ")),1,0))+IF(Task!$A$10="",0,IF(ISNUMBER(SEARCH(" "&amp;Task!$A$10&amp;" "," "&amp;LOWER(C191)&amp;" ")),1,0))+IF(Task!$A$11="",0,IF(ISNUMBER(SEARCH(" "&amp;Task!$A$11&amp;" "," "&amp;LOWER(C191)&amp;" ")),1,0))+IF(Task!$A$12="",0,IF(ISNUMBER(SEARCH(" "&amp;Task!$A$12&amp;" "," "&amp;LOWER(C191)&amp;" ")),1,0))+IF(Task!$A$13="",0,IF(ISNUMBER(SEARCH(" "&amp;Task!$A$13&amp;" "," "&amp;LOWER(C191)&amp;" ")),1,0))+IF(Task!$A$14="",0,IF(ISNUMBER(SEARCH(" "&amp;Task!$A$14&amp;" "," "&amp;LOWER(C191)&amp;" ")),1,0))+IF(Task!$A$15="",0,IF(ISNUMBER(SEARCH(" "&amp;Task!$A$15&amp;" "," "&amp;LOWER(C191)&amp;" ")),1,0))+IF(Task!$A$16="",0,IF(ISNUMBER(SEARCH(" "&amp;Task!$A$16&amp;" "," "&amp;LOWER(C191)&amp;" ")),1,0))+IF(Task!$A$17="",0,IF(ISNUMBER(SEARCH(" "&amp;Task!$A$17&amp;" "," "&amp;LOWER(C191)&amp;" ")),1,0))+IF(Task!$A$18="",0,IF(ISNUMBER(SEARCH(" "&amp;Task!$A$18&amp;" "," "&amp;LOWER(C191)&amp;" ")),1,0))+IF(Task!$A$19="",0,IF(ISNUMBER(SEARCH(" "&amp;Task!$A$19&amp;" "," "&amp;LOWER(C191)&amp;" ")),1,0)))</f>
        <v/>
      </c>
      <c r="H191" s="9">
        <f>IF(E191=0,0,IF(Task!$A$8="",0,IF(ISNUMBER(SEARCH(" "&amp;Task!$A$8&amp;" "," "&amp;LOWER(SUBSTITUTE(SUBSTITUTE(SUBSTITUTE(SUBSTITUTE(A191,"/"," "),"."," "),"\"," "),"_"," "))&amp;" ")),1,0))+IF(Task!$A$9="",0,IF(ISNUMBER(SEARCH(" "&amp;Task!$A$9&amp;" "," "&amp;LOWER(SUBSTITUTE(SUBSTITUTE(SUBSTITUTE(SUBSTITUTE(A191,"/"," "),"."," "),"\"," "),"_"," "))&amp;" ")),1,0))+IF(Task!$A$10="",0,IF(ISNUMBER(SEARCH(" "&amp;Task!$A$10&amp;" "," "&amp;LOWER(SUBSTITUTE(SUBSTITUTE(SUBSTITUTE(SUBSTITUTE(A191,"/"," "),"."," "),"\"," "),"_"," "))&amp;" ")),1,0))+IF(Task!$A$11="",0,IF(ISNUMBER(SEARCH(" "&amp;Task!$A$11&amp;" "," "&amp;LOWER(SUBSTITUTE(SUBSTITUTE(SUBSTITUTE(SUBSTITUTE(A191,"/"," "),"."," "),"\"," "),"_"," "))&amp;" ")),1,0))+IF(Task!$A$12="",0,IF(ISNUMBER(SEARCH(" "&amp;Task!$A$12&amp;" "," "&amp;LOWER(SUBSTITUTE(SUBSTITUTE(SUBSTITUTE(SUBSTITUTE(A191,"/"," "),"."," "),"\"," "),"_"," "))&amp;" ")),1,0))+IF(Task!$A$13="",0,IF(ISNUMBER(SEARCH(" "&amp;Task!$A$13&amp;" "," "&amp;LOWER(SUBSTITUTE(SUBSTITUTE(SUBSTITUTE(SUBSTITUTE(A191,"/"," "),"."," "),"\"," "),"_"," "))&amp;" ")),1,0))+IF(Task!$A$14="",0,IF(ISNUMBER(SEARCH(" "&amp;Task!$A$14&amp;" "," "&amp;LOWER(SUBSTITUTE(SUBSTITUTE(SUBSTITUTE(SUBSTITUTE(A191,"/"," "),"."," "),"\"," "),"_"," "))&amp;" ")),1,0))+IF(Task!$A$15="",0,IF(ISNUMBER(SEARCH(" "&amp;Task!$A$15&amp;" "," "&amp;LOWER(SUBSTITUTE(SUBSTITUTE(SUBSTITUTE(SUBSTITUTE(A191,"/"," "),"."," "),"\"," "),"_"," "))&amp;" ")),1,0))+IF(Task!$A$16="",0,IF(ISNUMBER(SEARCH(" "&amp;Task!$A$16&amp;" "," "&amp;LOWER(SUBSTITUTE(SUBSTITUTE(SUBSTITUTE(SUBSTITUTE(A191,"/"," "),"."," "),"\"," "),"_"," "))&amp;" ")),1,0))+IF(Task!$A$17="",0,IF(ISNUMBER(SEARCH(" "&amp;Task!$A$17&amp;" "," "&amp;LOWER(SUBSTITUTE(SUBSTITUTE(SUBSTITUTE(SUBSTITUTE(A191,"/"," "),"."," "),"\"," "),"_"," "))&amp;" ")),1,0))+IF(Task!$A$18="",0,IF(ISNUMBER(SEARCH(" "&amp;Task!$A$18&amp;" "," "&amp;LOWER(SUBSTITUTE(SUBSTITUTE(SUBSTITUTE(SUBSTITUTE(A191,"/"," "),"."," "),"\"," "),"_"," "))&amp;" ")),1,0))+IF(Task!$A$19="",0,IF(ISNUMBER(SEARCH(" "&amp;Task!$A$19&amp;" "," "&amp;LOWER(SUBSTITUTE(SUBSTITUTE(SUBSTITUTE(SUBSTITUTE(A191,"/"," "),"."," "),"\"," "),"_"," "))&amp;" ")),1,0)))</f>
        <v/>
      </c>
      <c r="I191" s="10">
        <f>IF(OR(E191=0,F191=0,Task!$B$21=0),"",F191/Task!$B$21+0.5*G191+0.25*H191)</f>
        <v/>
      </c>
      <c r="J191" s="5">
        <f>IF(I191="","",I191-ROW()/1000000)</f>
        <v/>
      </c>
      <c r="K191" s="9">
        <f>IF(J191="","",COUNTIF($J$5:$J$404,"&gt;"&amp;J191)+1)</f>
        <v/>
      </c>
    </row>
    <row r="192">
      <c r="A192" s="7" t="n"/>
      <c r="B192" s="7" t="n"/>
      <c r="C192" s="7" t="n"/>
      <c r="D192" s="7" t="n"/>
      <c r="E192" s="5">
        <f>IF(A192="",0,IF(COUNTA(Task!$B$5:$E$5)=0,1,IF(COUNTIF(Task!$B$5:$E$5,B192)&gt;0,1,0)))</f>
        <v/>
      </c>
      <c r="F192" s="9">
        <f>IF(E192=0,0,IF(Task!$A$8="",0,IF(ISNUMBER(SEARCH(" "&amp;Task!$A$8&amp;" "," "&amp;LOWER(D192&amp;" "&amp;C192&amp;" "&amp;LOWER(SUBSTITUTE(SUBSTITUTE(SUBSTITUTE(SUBSTITUTE(A192,"/"," "),"."," "),"\"," "),"_"," ")))&amp;" ")),1,0))+IF(Task!$A$9="",0,IF(ISNUMBER(SEARCH(" "&amp;Task!$A$9&amp;" "," "&amp;LOWER(D192&amp;" "&amp;C192&amp;" "&amp;LOWER(SUBSTITUTE(SUBSTITUTE(SUBSTITUTE(SUBSTITUTE(A192,"/"," "),"."," "),"\"," "),"_"," ")))&amp;" ")),1,0))+IF(Task!$A$10="",0,IF(ISNUMBER(SEARCH(" "&amp;Task!$A$10&amp;" "," "&amp;LOWER(D192&amp;" "&amp;C192&amp;" "&amp;LOWER(SUBSTITUTE(SUBSTITUTE(SUBSTITUTE(SUBSTITUTE(A192,"/"," "),"."," "),"\"," "),"_"," ")))&amp;" ")),1,0))+IF(Task!$A$11="",0,IF(ISNUMBER(SEARCH(" "&amp;Task!$A$11&amp;" "," "&amp;LOWER(D192&amp;" "&amp;C192&amp;" "&amp;LOWER(SUBSTITUTE(SUBSTITUTE(SUBSTITUTE(SUBSTITUTE(A192,"/"," "),"."," "),"\"," "),"_"," ")))&amp;" ")),1,0))+IF(Task!$A$12="",0,IF(ISNUMBER(SEARCH(" "&amp;Task!$A$12&amp;" "," "&amp;LOWER(D192&amp;" "&amp;C192&amp;" "&amp;LOWER(SUBSTITUTE(SUBSTITUTE(SUBSTITUTE(SUBSTITUTE(A192,"/"," "),"."," "),"\"," "),"_"," ")))&amp;" ")),1,0))+IF(Task!$A$13="",0,IF(ISNUMBER(SEARCH(" "&amp;Task!$A$13&amp;" "," "&amp;LOWER(D192&amp;" "&amp;C192&amp;" "&amp;LOWER(SUBSTITUTE(SUBSTITUTE(SUBSTITUTE(SUBSTITUTE(A192,"/"," "),"."," "),"\"," "),"_"," ")))&amp;" ")),1,0))+IF(Task!$A$14="",0,IF(ISNUMBER(SEARCH(" "&amp;Task!$A$14&amp;" "," "&amp;LOWER(D192&amp;" "&amp;C192&amp;" "&amp;LOWER(SUBSTITUTE(SUBSTITUTE(SUBSTITUTE(SUBSTITUTE(A192,"/"," "),"."," "),"\"," "),"_"," ")))&amp;" ")),1,0))+IF(Task!$A$15="",0,IF(ISNUMBER(SEARCH(" "&amp;Task!$A$15&amp;" "," "&amp;LOWER(D192&amp;" "&amp;C192&amp;" "&amp;LOWER(SUBSTITUTE(SUBSTITUTE(SUBSTITUTE(SUBSTITUTE(A192,"/"," "),"."," "),"\"," "),"_"," ")))&amp;" ")),1,0))+IF(Task!$A$16="",0,IF(ISNUMBER(SEARCH(" "&amp;Task!$A$16&amp;" "," "&amp;LOWER(D192&amp;" "&amp;C192&amp;" "&amp;LOWER(SUBSTITUTE(SUBSTITUTE(SUBSTITUTE(SUBSTITUTE(A192,"/"," "),"."," "),"\"," "),"_"," ")))&amp;" ")),1,0))+IF(Task!$A$17="",0,IF(ISNUMBER(SEARCH(" "&amp;Task!$A$17&amp;" "," "&amp;LOWER(D192&amp;" "&amp;C192&amp;" "&amp;LOWER(SUBSTITUTE(SUBSTITUTE(SUBSTITUTE(SUBSTITUTE(A192,"/"," "),"."," "),"\"," "),"_"," ")))&amp;" ")),1,0))+IF(Task!$A$18="",0,IF(ISNUMBER(SEARCH(" "&amp;Task!$A$18&amp;" "," "&amp;LOWER(D192&amp;" "&amp;C192&amp;" "&amp;LOWER(SUBSTITUTE(SUBSTITUTE(SUBSTITUTE(SUBSTITUTE(A192,"/"," "),"."," "),"\"," "),"_"," ")))&amp;" ")),1,0))+IF(Task!$A$19="",0,IF(ISNUMBER(SEARCH(" "&amp;Task!$A$19&amp;" "," "&amp;LOWER(D192&amp;" "&amp;C192&amp;" "&amp;LOWER(SUBSTITUTE(SUBSTITUTE(SUBSTITUTE(SUBSTITUTE(A192,"/"," "),"."," "),"\"," "),"_"," ")))&amp;" ")),1,0)))</f>
        <v/>
      </c>
      <c r="G192" s="9">
        <f>IF(E192=0,0,IF(Task!$A$8="",0,IF(ISNUMBER(SEARCH(" "&amp;Task!$A$8&amp;" "," "&amp;LOWER(C192)&amp;" ")),1,0))+IF(Task!$A$9="",0,IF(ISNUMBER(SEARCH(" "&amp;Task!$A$9&amp;" "," "&amp;LOWER(C192)&amp;" ")),1,0))+IF(Task!$A$10="",0,IF(ISNUMBER(SEARCH(" "&amp;Task!$A$10&amp;" "," "&amp;LOWER(C192)&amp;" ")),1,0))+IF(Task!$A$11="",0,IF(ISNUMBER(SEARCH(" "&amp;Task!$A$11&amp;" "," "&amp;LOWER(C192)&amp;" ")),1,0))+IF(Task!$A$12="",0,IF(ISNUMBER(SEARCH(" "&amp;Task!$A$12&amp;" "," "&amp;LOWER(C192)&amp;" ")),1,0))+IF(Task!$A$13="",0,IF(ISNUMBER(SEARCH(" "&amp;Task!$A$13&amp;" "," "&amp;LOWER(C192)&amp;" ")),1,0))+IF(Task!$A$14="",0,IF(ISNUMBER(SEARCH(" "&amp;Task!$A$14&amp;" "," "&amp;LOWER(C192)&amp;" ")),1,0))+IF(Task!$A$15="",0,IF(ISNUMBER(SEARCH(" "&amp;Task!$A$15&amp;" "," "&amp;LOWER(C192)&amp;" ")),1,0))+IF(Task!$A$16="",0,IF(ISNUMBER(SEARCH(" "&amp;Task!$A$16&amp;" "," "&amp;LOWER(C192)&amp;" ")),1,0))+IF(Task!$A$17="",0,IF(ISNUMBER(SEARCH(" "&amp;Task!$A$17&amp;" "," "&amp;LOWER(C192)&amp;" ")),1,0))+IF(Task!$A$18="",0,IF(ISNUMBER(SEARCH(" "&amp;Task!$A$18&amp;" "," "&amp;LOWER(C192)&amp;" ")),1,0))+IF(Task!$A$19="",0,IF(ISNUMBER(SEARCH(" "&amp;Task!$A$19&amp;" "," "&amp;LOWER(C192)&amp;" ")),1,0)))</f>
        <v/>
      </c>
      <c r="H192" s="9">
        <f>IF(E192=0,0,IF(Task!$A$8="",0,IF(ISNUMBER(SEARCH(" "&amp;Task!$A$8&amp;" "," "&amp;LOWER(SUBSTITUTE(SUBSTITUTE(SUBSTITUTE(SUBSTITUTE(A192,"/"," "),"."," "),"\"," "),"_"," "))&amp;" ")),1,0))+IF(Task!$A$9="",0,IF(ISNUMBER(SEARCH(" "&amp;Task!$A$9&amp;" "," "&amp;LOWER(SUBSTITUTE(SUBSTITUTE(SUBSTITUTE(SUBSTITUTE(A192,"/"," "),"."," "),"\"," "),"_"," "))&amp;" ")),1,0))+IF(Task!$A$10="",0,IF(ISNUMBER(SEARCH(" "&amp;Task!$A$10&amp;" "," "&amp;LOWER(SUBSTITUTE(SUBSTITUTE(SUBSTITUTE(SUBSTITUTE(A192,"/"," "),"."," "),"\"," "),"_"," "))&amp;" ")),1,0))+IF(Task!$A$11="",0,IF(ISNUMBER(SEARCH(" "&amp;Task!$A$11&amp;" "," "&amp;LOWER(SUBSTITUTE(SUBSTITUTE(SUBSTITUTE(SUBSTITUTE(A192,"/"," "),"."," "),"\"," "),"_"," "))&amp;" ")),1,0))+IF(Task!$A$12="",0,IF(ISNUMBER(SEARCH(" "&amp;Task!$A$12&amp;" "," "&amp;LOWER(SUBSTITUTE(SUBSTITUTE(SUBSTITUTE(SUBSTITUTE(A192,"/"," "),"."," "),"\"," "),"_"," "))&amp;" ")),1,0))+IF(Task!$A$13="",0,IF(ISNUMBER(SEARCH(" "&amp;Task!$A$13&amp;" "," "&amp;LOWER(SUBSTITUTE(SUBSTITUTE(SUBSTITUTE(SUBSTITUTE(A192,"/"," "),"."," "),"\"," "),"_"," "))&amp;" ")),1,0))+IF(Task!$A$14="",0,IF(ISNUMBER(SEARCH(" "&amp;Task!$A$14&amp;" "," "&amp;LOWER(SUBSTITUTE(SUBSTITUTE(SUBSTITUTE(SUBSTITUTE(A192,"/"," "),"."," "),"\"," "),"_"," "))&amp;" ")),1,0))+IF(Task!$A$15="",0,IF(ISNUMBER(SEARCH(" "&amp;Task!$A$15&amp;" "," "&amp;LOWER(SUBSTITUTE(SUBSTITUTE(SUBSTITUTE(SUBSTITUTE(A192,"/"," "),"."," "),"\"," "),"_"," "))&amp;" ")),1,0))+IF(Task!$A$16="",0,IF(ISNUMBER(SEARCH(" "&amp;Task!$A$16&amp;" "," "&amp;LOWER(SUBSTITUTE(SUBSTITUTE(SUBSTITUTE(SUBSTITUTE(A192,"/"," "),"."," "),"\"," "),"_"," "))&amp;" ")),1,0))+IF(Task!$A$17="",0,IF(ISNUMBER(SEARCH(" "&amp;Task!$A$17&amp;" "," "&amp;LOWER(SUBSTITUTE(SUBSTITUTE(SUBSTITUTE(SUBSTITUTE(A192,"/"," "),"."," "),"\"," "),"_"," "))&amp;" ")),1,0))+IF(Task!$A$18="",0,IF(ISNUMBER(SEARCH(" "&amp;Task!$A$18&amp;" "," "&amp;LOWER(SUBSTITUTE(SUBSTITUTE(SUBSTITUTE(SUBSTITUTE(A192,"/"," "),"."," "),"\"," "),"_"," "))&amp;" ")),1,0))+IF(Task!$A$19="",0,IF(ISNUMBER(SEARCH(" "&amp;Task!$A$19&amp;" "," "&amp;LOWER(SUBSTITUTE(SUBSTITUTE(SUBSTITUTE(SUBSTITUTE(A192,"/"," "),"."," "),"\"," "),"_"," "))&amp;" ")),1,0)))</f>
        <v/>
      </c>
      <c r="I192" s="10">
        <f>IF(OR(E192=0,F192=0,Task!$B$21=0),"",F192/Task!$B$21+0.5*G192+0.25*H192)</f>
        <v/>
      </c>
      <c r="J192" s="5">
        <f>IF(I192="","",I192-ROW()/1000000)</f>
        <v/>
      </c>
      <c r="K192" s="9">
        <f>IF(J192="","",COUNTIF($J$5:$J$404,"&gt;"&amp;J192)+1)</f>
        <v/>
      </c>
    </row>
    <row r="193">
      <c r="A193" s="7" t="n"/>
      <c r="B193" s="7" t="n"/>
      <c r="C193" s="7" t="n"/>
      <c r="D193" s="7" t="n"/>
      <c r="E193" s="5">
        <f>IF(A193="",0,IF(COUNTA(Task!$B$5:$E$5)=0,1,IF(COUNTIF(Task!$B$5:$E$5,B193)&gt;0,1,0)))</f>
        <v/>
      </c>
      <c r="F193" s="9">
        <f>IF(E193=0,0,IF(Task!$A$8="",0,IF(ISNUMBER(SEARCH(" "&amp;Task!$A$8&amp;" "," "&amp;LOWER(D193&amp;" "&amp;C193&amp;" "&amp;LOWER(SUBSTITUTE(SUBSTITUTE(SUBSTITUTE(SUBSTITUTE(A193,"/"," "),"."," "),"\"," "),"_"," ")))&amp;" ")),1,0))+IF(Task!$A$9="",0,IF(ISNUMBER(SEARCH(" "&amp;Task!$A$9&amp;" "," "&amp;LOWER(D193&amp;" "&amp;C193&amp;" "&amp;LOWER(SUBSTITUTE(SUBSTITUTE(SUBSTITUTE(SUBSTITUTE(A193,"/"," "),"."," "),"\"," "),"_"," ")))&amp;" ")),1,0))+IF(Task!$A$10="",0,IF(ISNUMBER(SEARCH(" "&amp;Task!$A$10&amp;" "," "&amp;LOWER(D193&amp;" "&amp;C193&amp;" "&amp;LOWER(SUBSTITUTE(SUBSTITUTE(SUBSTITUTE(SUBSTITUTE(A193,"/"," "),"."," "),"\"," "),"_"," ")))&amp;" ")),1,0))+IF(Task!$A$11="",0,IF(ISNUMBER(SEARCH(" "&amp;Task!$A$11&amp;" "," "&amp;LOWER(D193&amp;" "&amp;C193&amp;" "&amp;LOWER(SUBSTITUTE(SUBSTITUTE(SUBSTITUTE(SUBSTITUTE(A193,"/"," "),"."," "),"\"," "),"_"," ")))&amp;" ")),1,0))+IF(Task!$A$12="",0,IF(ISNUMBER(SEARCH(" "&amp;Task!$A$12&amp;" "," "&amp;LOWER(D193&amp;" "&amp;C193&amp;" "&amp;LOWER(SUBSTITUTE(SUBSTITUTE(SUBSTITUTE(SUBSTITUTE(A193,"/"," "),"."," "),"\"," "),"_"," ")))&amp;" ")),1,0))+IF(Task!$A$13="",0,IF(ISNUMBER(SEARCH(" "&amp;Task!$A$13&amp;" "," "&amp;LOWER(D193&amp;" "&amp;C193&amp;" "&amp;LOWER(SUBSTITUTE(SUBSTITUTE(SUBSTITUTE(SUBSTITUTE(A193,"/"," "),"."," "),"\"," "),"_"," ")))&amp;" ")),1,0))+IF(Task!$A$14="",0,IF(ISNUMBER(SEARCH(" "&amp;Task!$A$14&amp;" "," "&amp;LOWER(D193&amp;" "&amp;C193&amp;" "&amp;LOWER(SUBSTITUTE(SUBSTITUTE(SUBSTITUTE(SUBSTITUTE(A193,"/"," "),"."," "),"\"," "),"_"," ")))&amp;" ")),1,0))+IF(Task!$A$15="",0,IF(ISNUMBER(SEARCH(" "&amp;Task!$A$15&amp;" "," "&amp;LOWER(D193&amp;" "&amp;C193&amp;" "&amp;LOWER(SUBSTITUTE(SUBSTITUTE(SUBSTITUTE(SUBSTITUTE(A193,"/"," "),"."," "),"\"," "),"_"," ")))&amp;" ")),1,0))+IF(Task!$A$16="",0,IF(ISNUMBER(SEARCH(" "&amp;Task!$A$16&amp;" "," "&amp;LOWER(D193&amp;" "&amp;C193&amp;" "&amp;LOWER(SUBSTITUTE(SUBSTITUTE(SUBSTITUTE(SUBSTITUTE(A193,"/"," "),"."," "),"\"," "),"_"," ")))&amp;" ")),1,0))+IF(Task!$A$17="",0,IF(ISNUMBER(SEARCH(" "&amp;Task!$A$17&amp;" "," "&amp;LOWER(D193&amp;" "&amp;C193&amp;" "&amp;LOWER(SUBSTITUTE(SUBSTITUTE(SUBSTITUTE(SUBSTITUTE(A193,"/"," "),"."," "),"\"," "),"_"," ")))&amp;" ")),1,0))+IF(Task!$A$18="",0,IF(ISNUMBER(SEARCH(" "&amp;Task!$A$18&amp;" "," "&amp;LOWER(D193&amp;" "&amp;C193&amp;" "&amp;LOWER(SUBSTITUTE(SUBSTITUTE(SUBSTITUTE(SUBSTITUTE(A193,"/"," "),"."," "),"\"," "),"_"," ")))&amp;" ")),1,0))+IF(Task!$A$19="",0,IF(ISNUMBER(SEARCH(" "&amp;Task!$A$19&amp;" "," "&amp;LOWER(D193&amp;" "&amp;C193&amp;" "&amp;LOWER(SUBSTITUTE(SUBSTITUTE(SUBSTITUTE(SUBSTITUTE(A193,"/"," "),"."," "),"\"," "),"_"," ")))&amp;" ")),1,0)))</f>
        <v/>
      </c>
      <c r="G193" s="9">
        <f>IF(E193=0,0,IF(Task!$A$8="",0,IF(ISNUMBER(SEARCH(" "&amp;Task!$A$8&amp;" "," "&amp;LOWER(C193)&amp;" ")),1,0))+IF(Task!$A$9="",0,IF(ISNUMBER(SEARCH(" "&amp;Task!$A$9&amp;" "," "&amp;LOWER(C193)&amp;" ")),1,0))+IF(Task!$A$10="",0,IF(ISNUMBER(SEARCH(" "&amp;Task!$A$10&amp;" "," "&amp;LOWER(C193)&amp;" ")),1,0))+IF(Task!$A$11="",0,IF(ISNUMBER(SEARCH(" "&amp;Task!$A$11&amp;" "," "&amp;LOWER(C193)&amp;" ")),1,0))+IF(Task!$A$12="",0,IF(ISNUMBER(SEARCH(" "&amp;Task!$A$12&amp;" "," "&amp;LOWER(C193)&amp;" ")),1,0))+IF(Task!$A$13="",0,IF(ISNUMBER(SEARCH(" "&amp;Task!$A$13&amp;" "," "&amp;LOWER(C193)&amp;" ")),1,0))+IF(Task!$A$14="",0,IF(ISNUMBER(SEARCH(" "&amp;Task!$A$14&amp;" "," "&amp;LOWER(C193)&amp;" ")),1,0))+IF(Task!$A$15="",0,IF(ISNUMBER(SEARCH(" "&amp;Task!$A$15&amp;" "," "&amp;LOWER(C193)&amp;" ")),1,0))+IF(Task!$A$16="",0,IF(ISNUMBER(SEARCH(" "&amp;Task!$A$16&amp;" "," "&amp;LOWER(C193)&amp;" ")),1,0))+IF(Task!$A$17="",0,IF(ISNUMBER(SEARCH(" "&amp;Task!$A$17&amp;" "," "&amp;LOWER(C193)&amp;" ")),1,0))+IF(Task!$A$18="",0,IF(ISNUMBER(SEARCH(" "&amp;Task!$A$18&amp;" "," "&amp;LOWER(C193)&amp;" ")),1,0))+IF(Task!$A$19="",0,IF(ISNUMBER(SEARCH(" "&amp;Task!$A$19&amp;" "," "&amp;LOWER(C193)&amp;" ")),1,0)))</f>
        <v/>
      </c>
      <c r="H193" s="9">
        <f>IF(E193=0,0,IF(Task!$A$8="",0,IF(ISNUMBER(SEARCH(" "&amp;Task!$A$8&amp;" "," "&amp;LOWER(SUBSTITUTE(SUBSTITUTE(SUBSTITUTE(SUBSTITUTE(A193,"/"," "),"."," "),"\"," "),"_"," "))&amp;" ")),1,0))+IF(Task!$A$9="",0,IF(ISNUMBER(SEARCH(" "&amp;Task!$A$9&amp;" "," "&amp;LOWER(SUBSTITUTE(SUBSTITUTE(SUBSTITUTE(SUBSTITUTE(A193,"/"," "),"."," "),"\"," "),"_"," "))&amp;" ")),1,0))+IF(Task!$A$10="",0,IF(ISNUMBER(SEARCH(" "&amp;Task!$A$10&amp;" "," "&amp;LOWER(SUBSTITUTE(SUBSTITUTE(SUBSTITUTE(SUBSTITUTE(A193,"/"," "),"."," "),"\"," "),"_"," "))&amp;" ")),1,0))+IF(Task!$A$11="",0,IF(ISNUMBER(SEARCH(" "&amp;Task!$A$11&amp;" "," "&amp;LOWER(SUBSTITUTE(SUBSTITUTE(SUBSTITUTE(SUBSTITUTE(A193,"/"," "),"."," "),"\"," "),"_"," "))&amp;" ")),1,0))+IF(Task!$A$12="",0,IF(ISNUMBER(SEARCH(" "&amp;Task!$A$12&amp;" "," "&amp;LOWER(SUBSTITUTE(SUBSTITUTE(SUBSTITUTE(SUBSTITUTE(A193,"/"," "),"."," "),"\"," "),"_"," "))&amp;" ")),1,0))+IF(Task!$A$13="",0,IF(ISNUMBER(SEARCH(" "&amp;Task!$A$13&amp;" "," "&amp;LOWER(SUBSTITUTE(SUBSTITUTE(SUBSTITUTE(SUBSTITUTE(A193,"/"," "),"."," "),"\"," "),"_"," "))&amp;" ")),1,0))+IF(Task!$A$14="",0,IF(ISNUMBER(SEARCH(" "&amp;Task!$A$14&amp;" "," "&amp;LOWER(SUBSTITUTE(SUBSTITUTE(SUBSTITUTE(SUBSTITUTE(A193,"/"," "),"."," "),"\"," "),"_"," "))&amp;" ")),1,0))+IF(Task!$A$15="",0,IF(ISNUMBER(SEARCH(" "&amp;Task!$A$15&amp;" "," "&amp;LOWER(SUBSTITUTE(SUBSTITUTE(SUBSTITUTE(SUBSTITUTE(A193,"/"," "),"."," "),"\"," "),"_"," "))&amp;" ")),1,0))+IF(Task!$A$16="",0,IF(ISNUMBER(SEARCH(" "&amp;Task!$A$16&amp;" "," "&amp;LOWER(SUBSTITUTE(SUBSTITUTE(SUBSTITUTE(SUBSTITUTE(A193,"/"," "),"."," "),"\"," "),"_"," "))&amp;" ")),1,0))+IF(Task!$A$17="",0,IF(ISNUMBER(SEARCH(" "&amp;Task!$A$17&amp;" "," "&amp;LOWER(SUBSTITUTE(SUBSTITUTE(SUBSTITUTE(SUBSTITUTE(A193,"/"," "),"."," "),"\"," "),"_"," "))&amp;" ")),1,0))+IF(Task!$A$18="",0,IF(ISNUMBER(SEARCH(" "&amp;Task!$A$18&amp;" "," "&amp;LOWER(SUBSTITUTE(SUBSTITUTE(SUBSTITUTE(SUBSTITUTE(A193,"/"," "),"."," "),"\"," "),"_"," "))&amp;" ")),1,0))+IF(Task!$A$19="",0,IF(ISNUMBER(SEARCH(" "&amp;Task!$A$19&amp;" "," "&amp;LOWER(SUBSTITUTE(SUBSTITUTE(SUBSTITUTE(SUBSTITUTE(A193,"/"," "),"."," "),"\"," "),"_"," "))&amp;" ")),1,0)))</f>
        <v/>
      </c>
      <c r="I193" s="10">
        <f>IF(OR(E193=0,F193=0,Task!$B$21=0),"",F193/Task!$B$21+0.5*G193+0.25*H193)</f>
        <v/>
      </c>
      <c r="J193" s="5">
        <f>IF(I193="","",I193-ROW()/1000000)</f>
        <v/>
      </c>
      <c r="K193" s="9">
        <f>IF(J193="","",COUNTIF($J$5:$J$404,"&gt;"&amp;J193)+1)</f>
        <v/>
      </c>
    </row>
    <row r="194">
      <c r="A194" s="7" t="n"/>
      <c r="B194" s="7" t="n"/>
      <c r="C194" s="7" t="n"/>
      <c r="D194" s="7" t="n"/>
      <c r="E194" s="5">
        <f>IF(A194="",0,IF(COUNTA(Task!$B$5:$E$5)=0,1,IF(COUNTIF(Task!$B$5:$E$5,B194)&gt;0,1,0)))</f>
        <v/>
      </c>
      <c r="F194" s="9">
        <f>IF(E194=0,0,IF(Task!$A$8="",0,IF(ISNUMBER(SEARCH(" "&amp;Task!$A$8&amp;" "," "&amp;LOWER(D194&amp;" "&amp;C194&amp;" "&amp;LOWER(SUBSTITUTE(SUBSTITUTE(SUBSTITUTE(SUBSTITUTE(A194,"/"," "),"."," "),"\"," "),"_"," ")))&amp;" ")),1,0))+IF(Task!$A$9="",0,IF(ISNUMBER(SEARCH(" "&amp;Task!$A$9&amp;" "," "&amp;LOWER(D194&amp;" "&amp;C194&amp;" "&amp;LOWER(SUBSTITUTE(SUBSTITUTE(SUBSTITUTE(SUBSTITUTE(A194,"/"," "),"."," "),"\"," "),"_"," ")))&amp;" ")),1,0))+IF(Task!$A$10="",0,IF(ISNUMBER(SEARCH(" "&amp;Task!$A$10&amp;" "," "&amp;LOWER(D194&amp;" "&amp;C194&amp;" "&amp;LOWER(SUBSTITUTE(SUBSTITUTE(SUBSTITUTE(SUBSTITUTE(A194,"/"," "),"."," "),"\"," "),"_"," ")))&amp;" ")),1,0))+IF(Task!$A$11="",0,IF(ISNUMBER(SEARCH(" "&amp;Task!$A$11&amp;" "," "&amp;LOWER(D194&amp;" "&amp;C194&amp;" "&amp;LOWER(SUBSTITUTE(SUBSTITUTE(SUBSTITUTE(SUBSTITUTE(A194,"/"," "),"."," "),"\"," "),"_"," ")))&amp;" ")),1,0))+IF(Task!$A$12="",0,IF(ISNUMBER(SEARCH(" "&amp;Task!$A$12&amp;" "," "&amp;LOWER(D194&amp;" "&amp;C194&amp;" "&amp;LOWER(SUBSTITUTE(SUBSTITUTE(SUBSTITUTE(SUBSTITUTE(A194,"/"," "),"."," "),"\"," "),"_"," ")))&amp;" ")),1,0))+IF(Task!$A$13="",0,IF(ISNUMBER(SEARCH(" "&amp;Task!$A$13&amp;" "," "&amp;LOWER(D194&amp;" "&amp;C194&amp;" "&amp;LOWER(SUBSTITUTE(SUBSTITUTE(SUBSTITUTE(SUBSTITUTE(A194,"/"," "),"."," "),"\"," "),"_"," ")))&amp;" ")),1,0))+IF(Task!$A$14="",0,IF(ISNUMBER(SEARCH(" "&amp;Task!$A$14&amp;" "," "&amp;LOWER(D194&amp;" "&amp;C194&amp;" "&amp;LOWER(SUBSTITUTE(SUBSTITUTE(SUBSTITUTE(SUBSTITUTE(A194,"/"," "),"."," "),"\"," "),"_"," ")))&amp;" ")),1,0))+IF(Task!$A$15="",0,IF(ISNUMBER(SEARCH(" "&amp;Task!$A$15&amp;" "," "&amp;LOWER(D194&amp;" "&amp;C194&amp;" "&amp;LOWER(SUBSTITUTE(SUBSTITUTE(SUBSTITUTE(SUBSTITUTE(A194,"/"," "),"."," "),"\"," "),"_"," ")))&amp;" ")),1,0))+IF(Task!$A$16="",0,IF(ISNUMBER(SEARCH(" "&amp;Task!$A$16&amp;" "," "&amp;LOWER(D194&amp;" "&amp;C194&amp;" "&amp;LOWER(SUBSTITUTE(SUBSTITUTE(SUBSTITUTE(SUBSTITUTE(A194,"/"," "),"."," "),"\"," "),"_"," ")))&amp;" ")),1,0))+IF(Task!$A$17="",0,IF(ISNUMBER(SEARCH(" "&amp;Task!$A$17&amp;" "," "&amp;LOWER(D194&amp;" "&amp;C194&amp;" "&amp;LOWER(SUBSTITUTE(SUBSTITUTE(SUBSTITUTE(SUBSTITUTE(A194,"/"," "),"."," "),"\"," "),"_"," ")))&amp;" ")),1,0))+IF(Task!$A$18="",0,IF(ISNUMBER(SEARCH(" "&amp;Task!$A$18&amp;" "," "&amp;LOWER(D194&amp;" "&amp;C194&amp;" "&amp;LOWER(SUBSTITUTE(SUBSTITUTE(SUBSTITUTE(SUBSTITUTE(A194,"/"," "),"."," "),"\"," "),"_"," ")))&amp;" ")),1,0))+IF(Task!$A$19="",0,IF(ISNUMBER(SEARCH(" "&amp;Task!$A$19&amp;" "," "&amp;LOWER(D194&amp;" "&amp;C194&amp;" "&amp;LOWER(SUBSTITUTE(SUBSTITUTE(SUBSTITUTE(SUBSTITUTE(A194,"/"," "),"."," "),"\"," "),"_"," ")))&amp;" ")),1,0)))</f>
        <v/>
      </c>
      <c r="G194" s="9">
        <f>IF(E194=0,0,IF(Task!$A$8="",0,IF(ISNUMBER(SEARCH(" "&amp;Task!$A$8&amp;" "," "&amp;LOWER(C194)&amp;" ")),1,0))+IF(Task!$A$9="",0,IF(ISNUMBER(SEARCH(" "&amp;Task!$A$9&amp;" "," "&amp;LOWER(C194)&amp;" ")),1,0))+IF(Task!$A$10="",0,IF(ISNUMBER(SEARCH(" "&amp;Task!$A$10&amp;" "," "&amp;LOWER(C194)&amp;" ")),1,0))+IF(Task!$A$11="",0,IF(ISNUMBER(SEARCH(" "&amp;Task!$A$11&amp;" "," "&amp;LOWER(C194)&amp;" ")),1,0))+IF(Task!$A$12="",0,IF(ISNUMBER(SEARCH(" "&amp;Task!$A$12&amp;" "," "&amp;LOWER(C194)&amp;" ")),1,0))+IF(Task!$A$13="",0,IF(ISNUMBER(SEARCH(" "&amp;Task!$A$13&amp;" "," "&amp;LOWER(C194)&amp;" ")),1,0))+IF(Task!$A$14="",0,IF(ISNUMBER(SEARCH(" "&amp;Task!$A$14&amp;" "," "&amp;LOWER(C194)&amp;" ")),1,0))+IF(Task!$A$15="",0,IF(ISNUMBER(SEARCH(" "&amp;Task!$A$15&amp;" "," "&amp;LOWER(C194)&amp;" ")),1,0))+IF(Task!$A$16="",0,IF(ISNUMBER(SEARCH(" "&amp;Task!$A$16&amp;" "," "&amp;LOWER(C194)&amp;" ")),1,0))+IF(Task!$A$17="",0,IF(ISNUMBER(SEARCH(" "&amp;Task!$A$17&amp;" "," "&amp;LOWER(C194)&amp;" ")),1,0))+IF(Task!$A$18="",0,IF(ISNUMBER(SEARCH(" "&amp;Task!$A$18&amp;" "," "&amp;LOWER(C194)&amp;" ")),1,0))+IF(Task!$A$19="",0,IF(ISNUMBER(SEARCH(" "&amp;Task!$A$19&amp;" "," "&amp;LOWER(C194)&amp;" ")),1,0)))</f>
        <v/>
      </c>
      <c r="H194" s="9">
        <f>IF(E194=0,0,IF(Task!$A$8="",0,IF(ISNUMBER(SEARCH(" "&amp;Task!$A$8&amp;" "," "&amp;LOWER(SUBSTITUTE(SUBSTITUTE(SUBSTITUTE(SUBSTITUTE(A194,"/"," "),"."," "),"\"," "),"_"," "))&amp;" ")),1,0))+IF(Task!$A$9="",0,IF(ISNUMBER(SEARCH(" "&amp;Task!$A$9&amp;" "," "&amp;LOWER(SUBSTITUTE(SUBSTITUTE(SUBSTITUTE(SUBSTITUTE(A194,"/"," "),"."," "),"\"," "),"_"," "))&amp;" ")),1,0))+IF(Task!$A$10="",0,IF(ISNUMBER(SEARCH(" "&amp;Task!$A$10&amp;" "," "&amp;LOWER(SUBSTITUTE(SUBSTITUTE(SUBSTITUTE(SUBSTITUTE(A194,"/"," "),"."," "),"\"," "),"_"," "))&amp;" ")),1,0))+IF(Task!$A$11="",0,IF(ISNUMBER(SEARCH(" "&amp;Task!$A$11&amp;" "," "&amp;LOWER(SUBSTITUTE(SUBSTITUTE(SUBSTITUTE(SUBSTITUTE(A194,"/"," "),"."," "),"\"," "),"_"," "))&amp;" ")),1,0))+IF(Task!$A$12="",0,IF(ISNUMBER(SEARCH(" "&amp;Task!$A$12&amp;" "," "&amp;LOWER(SUBSTITUTE(SUBSTITUTE(SUBSTITUTE(SUBSTITUTE(A194,"/"," "),"."," "),"\"," "),"_"," "))&amp;" ")),1,0))+IF(Task!$A$13="",0,IF(ISNUMBER(SEARCH(" "&amp;Task!$A$13&amp;" "," "&amp;LOWER(SUBSTITUTE(SUBSTITUTE(SUBSTITUTE(SUBSTITUTE(A194,"/"," "),"."," "),"\"," "),"_"," "))&amp;" ")),1,0))+IF(Task!$A$14="",0,IF(ISNUMBER(SEARCH(" "&amp;Task!$A$14&amp;" "," "&amp;LOWER(SUBSTITUTE(SUBSTITUTE(SUBSTITUTE(SUBSTITUTE(A194,"/"," "),"."," "),"\"," "),"_"," "))&amp;" ")),1,0))+IF(Task!$A$15="",0,IF(ISNUMBER(SEARCH(" "&amp;Task!$A$15&amp;" "," "&amp;LOWER(SUBSTITUTE(SUBSTITUTE(SUBSTITUTE(SUBSTITUTE(A194,"/"," "),"."," "),"\"," "),"_"," "))&amp;" ")),1,0))+IF(Task!$A$16="",0,IF(ISNUMBER(SEARCH(" "&amp;Task!$A$16&amp;" "," "&amp;LOWER(SUBSTITUTE(SUBSTITUTE(SUBSTITUTE(SUBSTITUTE(A194,"/"," "),"."," "),"\"," "),"_"," "))&amp;" ")),1,0))+IF(Task!$A$17="",0,IF(ISNUMBER(SEARCH(" "&amp;Task!$A$17&amp;" "," "&amp;LOWER(SUBSTITUTE(SUBSTITUTE(SUBSTITUTE(SUBSTITUTE(A194,"/"," "),"."," "),"\"," "),"_"," "))&amp;" ")),1,0))+IF(Task!$A$18="",0,IF(ISNUMBER(SEARCH(" "&amp;Task!$A$18&amp;" "," "&amp;LOWER(SUBSTITUTE(SUBSTITUTE(SUBSTITUTE(SUBSTITUTE(A194,"/"," "),"."," "),"\"," "),"_"," "))&amp;" ")),1,0))+IF(Task!$A$19="",0,IF(ISNUMBER(SEARCH(" "&amp;Task!$A$19&amp;" "," "&amp;LOWER(SUBSTITUTE(SUBSTITUTE(SUBSTITUTE(SUBSTITUTE(A194,"/"," "),"."," "),"\"," "),"_"," "))&amp;" ")),1,0)))</f>
        <v/>
      </c>
      <c r="I194" s="10">
        <f>IF(OR(E194=0,F194=0,Task!$B$21=0),"",F194/Task!$B$21+0.5*G194+0.25*H194)</f>
        <v/>
      </c>
      <c r="J194" s="5">
        <f>IF(I194="","",I194-ROW()/1000000)</f>
        <v/>
      </c>
      <c r="K194" s="9">
        <f>IF(J194="","",COUNTIF($J$5:$J$404,"&gt;"&amp;J194)+1)</f>
        <v/>
      </c>
    </row>
    <row r="195">
      <c r="A195" s="7" t="n"/>
      <c r="B195" s="7" t="n"/>
      <c r="C195" s="7" t="n"/>
      <c r="D195" s="7" t="n"/>
      <c r="E195" s="5">
        <f>IF(A195="",0,IF(COUNTA(Task!$B$5:$E$5)=0,1,IF(COUNTIF(Task!$B$5:$E$5,B195)&gt;0,1,0)))</f>
        <v/>
      </c>
      <c r="F195" s="9">
        <f>IF(E195=0,0,IF(Task!$A$8="",0,IF(ISNUMBER(SEARCH(" "&amp;Task!$A$8&amp;" "," "&amp;LOWER(D195&amp;" "&amp;C195&amp;" "&amp;LOWER(SUBSTITUTE(SUBSTITUTE(SUBSTITUTE(SUBSTITUTE(A195,"/"," "),"."," "),"\"," "),"_"," ")))&amp;" ")),1,0))+IF(Task!$A$9="",0,IF(ISNUMBER(SEARCH(" "&amp;Task!$A$9&amp;" "," "&amp;LOWER(D195&amp;" "&amp;C195&amp;" "&amp;LOWER(SUBSTITUTE(SUBSTITUTE(SUBSTITUTE(SUBSTITUTE(A195,"/"," "),"."," "),"\"," "),"_"," ")))&amp;" ")),1,0))+IF(Task!$A$10="",0,IF(ISNUMBER(SEARCH(" "&amp;Task!$A$10&amp;" "," "&amp;LOWER(D195&amp;" "&amp;C195&amp;" "&amp;LOWER(SUBSTITUTE(SUBSTITUTE(SUBSTITUTE(SUBSTITUTE(A195,"/"," "),"."," "),"\"," "),"_"," ")))&amp;" ")),1,0))+IF(Task!$A$11="",0,IF(ISNUMBER(SEARCH(" "&amp;Task!$A$11&amp;" "," "&amp;LOWER(D195&amp;" "&amp;C195&amp;" "&amp;LOWER(SUBSTITUTE(SUBSTITUTE(SUBSTITUTE(SUBSTITUTE(A195,"/"," "),"."," "),"\"," "),"_"," ")))&amp;" ")),1,0))+IF(Task!$A$12="",0,IF(ISNUMBER(SEARCH(" "&amp;Task!$A$12&amp;" "," "&amp;LOWER(D195&amp;" "&amp;C195&amp;" "&amp;LOWER(SUBSTITUTE(SUBSTITUTE(SUBSTITUTE(SUBSTITUTE(A195,"/"," "),"."," "),"\"," "),"_"," ")))&amp;" ")),1,0))+IF(Task!$A$13="",0,IF(ISNUMBER(SEARCH(" "&amp;Task!$A$13&amp;" "," "&amp;LOWER(D195&amp;" "&amp;C195&amp;" "&amp;LOWER(SUBSTITUTE(SUBSTITUTE(SUBSTITUTE(SUBSTITUTE(A195,"/"," "),"."," "),"\"," "),"_"," ")))&amp;" ")),1,0))+IF(Task!$A$14="",0,IF(ISNUMBER(SEARCH(" "&amp;Task!$A$14&amp;" "," "&amp;LOWER(D195&amp;" "&amp;C195&amp;" "&amp;LOWER(SUBSTITUTE(SUBSTITUTE(SUBSTITUTE(SUBSTITUTE(A195,"/"," "),"."," "),"\"," "),"_"," ")))&amp;" ")),1,0))+IF(Task!$A$15="",0,IF(ISNUMBER(SEARCH(" "&amp;Task!$A$15&amp;" "," "&amp;LOWER(D195&amp;" "&amp;C195&amp;" "&amp;LOWER(SUBSTITUTE(SUBSTITUTE(SUBSTITUTE(SUBSTITUTE(A195,"/"," "),"."," "),"\"," "),"_"," ")))&amp;" ")),1,0))+IF(Task!$A$16="",0,IF(ISNUMBER(SEARCH(" "&amp;Task!$A$16&amp;" "," "&amp;LOWER(D195&amp;" "&amp;C195&amp;" "&amp;LOWER(SUBSTITUTE(SUBSTITUTE(SUBSTITUTE(SUBSTITUTE(A195,"/"," "),"."," "),"\"," "),"_"," ")))&amp;" ")),1,0))+IF(Task!$A$17="",0,IF(ISNUMBER(SEARCH(" "&amp;Task!$A$17&amp;" "," "&amp;LOWER(D195&amp;" "&amp;C195&amp;" "&amp;LOWER(SUBSTITUTE(SUBSTITUTE(SUBSTITUTE(SUBSTITUTE(A195,"/"," "),"."," "),"\"," "),"_"," ")))&amp;" ")),1,0))+IF(Task!$A$18="",0,IF(ISNUMBER(SEARCH(" "&amp;Task!$A$18&amp;" "," "&amp;LOWER(D195&amp;" "&amp;C195&amp;" "&amp;LOWER(SUBSTITUTE(SUBSTITUTE(SUBSTITUTE(SUBSTITUTE(A195,"/"," "),"."," "),"\"," "),"_"," ")))&amp;" ")),1,0))+IF(Task!$A$19="",0,IF(ISNUMBER(SEARCH(" "&amp;Task!$A$19&amp;" "," "&amp;LOWER(D195&amp;" "&amp;C195&amp;" "&amp;LOWER(SUBSTITUTE(SUBSTITUTE(SUBSTITUTE(SUBSTITUTE(A195,"/"," "),"."," "),"\"," "),"_"," ")))&amp;" ")),1,0)))</f>
        <v/>
      </c>
      <c r="G195" s="9">
        <f>IF(E195=0,0,IF(Task!$A$8="",0,IF(ISNUMBER(SEARCH(" "&amp;Task!$A$8&amp;" "," "&amp;LOWER(C195)&amp;" ")),1,0))+IF(Task!$A$9="",0,IF(ISNUMBER(SEARCH(" "&amp;Task!$A$9&amp;" "," "&amp;LOWER(C195)&amp;" ")),1,0))+IF(Task!$A$10="",0,IF(ISNUMBER(SEARCH(" "&amp;Task!$A$10&amp;" "," "&amp;LOWER(C195)&amp;" ")),1,0))+IF(Task!$A$11="",0,IF(ISNUMBER(SEARCH(" "&amp;Task!$A$11&amp;" "," "&amp;LOWER(C195)&amp;" ")),1,0))+IF(Task!$A$12="",0,IF(ISNUMBER(SEARCH(" "&amp;Task!$A$12&amp;" "," "&amp;LOWER(C195)&amp;" ")),1,0))+IF(Task!$A$13="",0,IF(ISNUMBER(SEARCH(" "&amp;Task!$A$13&amp;" "," "&amp;LOWER(C195)&amp;" ")),1,0))+IF(Task!$A$14="",0,IF(ISNUMBER(SEARCH(" "&amp;Task!$A$14&amp;" "," "&amp;LOWER(C195)&amp;" ")),1,0))+IF(Task!$A$15="",0,IF(ISNUMBER(SEARCH(" "&amp;Task!$A$15&amp;" "," "&amp;LOWER(C195)&amp;" ")),1,0))+IF(Task!$A$16="",0,IF(ISNUMBER(SEARCH(" "&amp;Task!$A$16&amp;" "," "&amp;LOWER(C195)&amp;" ")),1,0))+IF(Task!$A$17="",0,IF(ISNUMBER(SEARCH(" "&amp;Task!$A$17&amp;" "," "&amp;LOWER(C195)&amp;" ")),1,0))+IF(Task!$A$18="",0,IF(ISNUMBER(SEARCH(" "&amp;Task!$A$18&amp;" "," "&amp;LOWER(C195)&amp;" ")),1,0))+IF(Task!$A$19="",0,IF(ISNUMBER(SEARCH(" "&amp;Task!$A$19&amp;" "," "&amp;LOWER(C195)&amp;" ")),1,0)))</f>
        <v/>
      </c>
      <c r="H195" s="9">
        <f>IF(E195=0,0,IF(Task!$A$8="",0,IF(ISNUMBER(SEARCH(" "&amp;Task!$A$8&amp;" "," "&amp;LOWER(SUBSTITUTE(SUBSTITUTE(SUBSTITUTE(SUBSTITUTE(A195,"/"," "),"."," "),"\"," "),"_"," "))&amp;" ")),1,0))+IF(Task!$A$9="",0,IF(ISNUMBER(SEARCH(" "&amp;Task!$A$9&amp;" "," "&amp;LOWER(SUBSTITUTE(SUBSTITUTE(SUBSTITUTE(SUBSTITUTE(A195,"/"," "),"."," "),"\"," "),"_"," "))&amp;" ")),1,0))+IF(Task!$A$10="",0,IF(ISNUMBER(SEARCH(" "&amp;Task!$A$10&amp;" "," "&amp;LOWER(SUBSTITUTE(SUBSTITUTE(SUBSTITUTE(SUBSTITUTE(A195,"/"," "),"."," "),"\"," "),"_"," "))&amp;" ")),1,0))+IF(Task!$A$11="",0,IF(ISNUMBER(SEARCH(" "&amp;Task!$A$11&amp;" "," "&amp;LOWER(SUBSTITUTE(SUBSTITUTE(SUBSTITUTE(SUBSTITUTE(A195,"/"," "),"."," "),"\"," "),"_"," "))&amp;" ")),1,0))+IF(Task!$A$12="",0,IF(ISNUMBER(SEARCH(" "&amp;Task!$A$12&amp;" "," "&amp;LOWER(SUBSTITUTE(SUBSTITUTE(SUBSTITUTE(SUBSTITUTE(A195,"/"," "),"."," "),"\"," "),"_"," "))&amp;" ")),1,0))+IF(Task!$A$13="",0,IF(ISNUMBER(SEARCH(" "&amp;Task!$A$13&amp;" "," "&amp;LOWER(SUBSTITUTE(SUBSTITUTE(SUBSTITUTE(SUBSTITUTE(A195,"/"," "),"."," "),"\"," "),"_"," "))&amp;" ")),1,0))+IF(Task!$A$14="",0,IF(ISNUMBER(SEARCH(" "&amp;Task!$A$14&amp;" "," "&amp;LOWER(SUBSTITUTE(SUBSTITUTE(SUBSTITUTE(SUBSTITUTE(A195,"/"," "),"."," "),"\"," "),"_"," "))&amp;" ")),1,0))+IF(Task!$A$15="",0,IF(ISNUMBER(SEARCH(" "&amp;Task!$A$15&amp;" "," "&amp;LOWER(SUBSTITUTE(SUBSTITUTE(SUBSTITUTE(SUBSTITUTE(A195,"/"," "),"."," "),"\"," "),"_"," "))&amp;" ")),1,0))+IF(Task!$A$16="",0,IF(ISNUMBER(SEARCH(" "&amp;Task!$A$16&amp;" "," "&amp;LOWER(SUBSTITUTE(SUBSTITUTE(SUBSTITUTE(SUBSTITUTE(A195,"/"," "),"."," "),"\"," "),"_"," "))&amp;" ")),1,0))+IF(Task!$A$17="",0,IF(ISNUMBER(SEARCH(" "&amp;Task!$A$17&amp;" "," "&amp;LOWER(SUBSTITUTE(SUBSTITUTE(SUBSTITUTE(SUBSTITUTE(A195,"/"," "),"."," "),"\"," "),"_"," "))&amp;" ")),1,0))+IF(Task!$A$18="",0,IF(ISNUMBER(SEARCH(" "&amp;Task!$A$18&amp;" "," "&amp;LOWER(SUBSTITUTE(SUBSTITUTE(SUBSTITUTE(SUBSTITUTE(A195,"/"," "),"."," "),"\"," "),"_"," "))&amp;" ")),1,0))+IF(Task!$A$19="",0,IF(ISNUMBER(SEARCH(" "&amp;Task!$A$19&amp;" "," "&amp;LOWER(SUBSTITUTE(SUBSTITUTE(SUBSTITUTE(SUBSTITUTE(A195,"/"," "),"."," "),"\"," "),"_"," "))&amp;" ")),1,0)))</f>
        <v/>
      </c>
      <c r="I195" s="10">
        <f>IF(OR(E195=0,F195=0,Task!$B$21=0),"",F195/Task!$B$21+0.5*G195+0.25*H195)</f>
        <v/>
      </c>
      <c r="J195" s="5">
        <f>IF(I195="","",I195-ROW()/1000000)</f>
        <v/>
      </c>
      <c r="K195" s="9">
        <f>IF(J195="","",COUNTIF($J$5:$J$404,"&gt;"&amp;J195)+1)</f>
        <v/>
      </c>
    </row>
    <row r="196">
      <c r="A196" s="7" t="n"/>
      <c r="B196" s="7" t="n"/>
      <c r="C196" s="7" t="n"/>
      <c r="D196" s="7" t="n"/>
      <c r="E196" s="5">
        <f>IF(A196="",0,IF(COUNTA(Task!$B$5:$E$5)=0,1,IF(COUNTIF(Task!$B$5:$E$5,B196)&gt;0,1,0)))</f>
        <v/>
      </c>
      <c r="F196" s="9">
        <f>IF(E196=0,0,IF(Task!$A$8="",0,IF(ISNUMBER(SEARCH(" "&amp;Task!$A$8&amp;" "," "&amp;LOWER(D196&amp;" "&amp;C196&amp;" "&amp;LOWER(SUBSTITUTE(SUBSTITUTE(SUBSTITUTE(SUBSTITUTE(A196,"/"," "),"."," "),"\"," "),"_"," ")))&amp;" ")),1,0))+IF(Task!$A$9="",0,IF(ISNUMBER(SEARCH(" "&amp;Task!$A$9&amp;" "," "&amp;LOWER(D196&amp;" "&amp;C196&amp;" "&amp;LOWER(SUBSTITUTE(SUBSTITUTE(SUBSTITUTE(SUBSTITUTE(A196,"/"," "),"."," "),"\"," "),"_"," ")))&amp;" ")),1,0))+IF(Task!$A$10="",0,IF(ISNUMBER(SEARCH(" "&amp;Task!$A$10&amp;" "," "&amp;LOWER(D196&amp;" "&amp;C196&amp;" "&amp;LOWER(SUBSTITUTE(SUBSTITUTE(SUBSTITUTE(SUBSTITUTE(A196,"/"," "),"."," "),"\"," "),"_"," ")))&amp;" ")),1,0))+IF(Task!$A$11="",0,IF(ISNUMBER(SEARCH(" "&amp;Task!$A$11&amp;" "," "&amp;LOWER(D196&amp;" "&amp;C196&amp;" "&amp;LOWER(SUBSTITUTE(SUBSTITUTE(SUBSTITUTE(SUBSTITUTE(A196,"/"," "),"."," "),"\"," "),"_"," ")))&amp;" ")),1,0))+IF(Task!$A$12="",0,IF(ISNUMBER(SEARCH(" "&amp;Task!$A$12&amp;" "," "&amp;LOWER(D196&amp;" "&amp;C196&amp;" "&amp;LOWER(SUBSTITUTE(SUBSTITUTE(SUBSTITUTE(SUBSTITUTE(A196,"/"," "),"."," "),"\"," "),"_"," ")))&amp;" ")),1,0))+IF(Task!$A$13="",0,IF(ISNUMBER(SEARCH(" "&amp;Task!$A$13&amp;" "," "&amp;LOWER(D196&amp;" "&amp;C196&amp;" "&amp;LOWER(SUBSTITUTE(SUBSTITUTE(SUBSTITUTE(SUBSTITUTE(A196,"/"," "),"."," "),"\"," "),"_"," ")))&amp;" ")),1,0))+IF(Task!$A$14="",0,IF(ISNUMBER(SEARCH(" "&amp;Task!$A$14&amp;" "," "&amp;LOWER(D196&amp;" "&amp;C196&amp;" "&amp;LOWER(SUBSTITUTE(SUBSTITUTE(SUBSTITUTE(SUBSTITUTE(A196,"/"," "),"."," "),"\"," "),"_"," ")))&amp;" ")),1,0))+IF(Task!$A$15="",0,IF(ISNUMBER(SEARCH(" "&amp;Task!$A$15&amp;" "," "&amp;LOWER(D196&amp;" "&amp;C196&amp;" "&amp;LOWER(SUBSTITUTE(SUBSTITUTE(SUBSTITUTE(SUBSTITUTE(A196,"/"," "),"."," "),"\"," "),"_"," ")))&amp;" ")),1,0))+IF(Task!$A$16="",0,IF(ISNUMBER(SEARCH(" "&amp;Task!$A$16&amp;" "," "&amp;LOWER(D196&amp;" "&amp;C196&amp;" "&amp;LOWER(SUBSTITUTE(SUBSTITUTE(SUBSTITUTE(SUBSTITUTE(A196,"/"," "),"."," "),"\"," "),"_"," ")))&amp;" ")),1,0))+IF(Task!$A$17="",0,IF(ISNUMBER(SEARCH(" "&amp;Task!$A$17&amp;" "," "&amp;LOWER(D196&amp;" "&amp;C196&amp;" "&amp;LOWER(SUBSTITUTE(SUBSTITUTE(SUBSTITUTE(SUBSTITUTE(A196,"/"," "),"."," "),"\"," "),"_"," ")))&amp;" ")),1,0))+IF(Task!$A$18="",0,IF(ISNUMBER(SEARCH(" "&amp;Task!$A$18&amp;" "," "&amp;LOWER(D196&amp;" "&amp;C196&amp;" "&amp;LOWER(SUBSTITUTE(SUBSTITUTE(SUBSTITUTE(SUBSTITUTE(A196,"/"," "),"."," "),"\"," "),"_"," ")))&amp;" ")),1,0))+IF(Task!$A$19="",0,IF(ISNUMBER(SEARCH(" "&amp;Task!$A$19&amp;" "," "&amp;LOWER(D196&amp;" "&amp;C196&amp;" "&amp;LOWER(SUBSTITUTE(SUBSTITUTE(SUBSTITUTE(SUBSTITUTE(A196,"/"," "),"."," "),"\"," "),"_"," ")))&amp;" ")),1,0)))</f>
        <v/>
      </c>
      <c r="G196" s="9">
        <f>IF(E196=0,0,IF(Task!$A$8="",0,IF(ISNUMBER(SEARCH(" "&amp;Task!$A$8&amp;" "," "&amp;LOWER(C196)&amp;" ")),1,0))+IF(Task!$A$9="",0,IF(ISNUMBER(SEARCH(" "&amp;Task!$A$9&amp;" "," "&amp;LOWER(C196)&amp;" ")),1,0))+IF(Task!$A$10="",0,IF(ISNUMBER(SEARCH(" "&amp;Task!$A$10&amp;" "," "&amp;LOWER(C196)&amp;" ")),1,0))+IF(Task!$A$11="",0,IF(ISNUMBER(SEARCH(" "&amp;Task!$A$11&amp;" "," "&amp;LOWER(C196)&amp;" ")),1,0))+IF(Task!$A$12="",0,IF(ISNUMBER(SEARCH(" "&amp;Task!$A$12&amp;" "," "&amp;LOWER(C196)&amp;" ")),1,0))+IF(Task!$A$13="",0,IF(ISNUMBER(SEARCH(" "&amp;Task!$A$13&amp;" "," "&amp;LOWER(C196)&amp;" ")),1,0))+IF(Task!$A$14="",0,IF(ISNUMBER(SEARCH(" "&amp;Task!$A$14&amp;" "," "&amp;LOWER(C196)&amp;" ")),1,0))+IF(Task!$A$15="",0,IF(ISNUMBER(SEARCH(" "&amp;Task!$A$15&amp;" "," "&amp;LOWER(C196)&amp;" ")),1,0))+IF(Task!$A$16="",0,IF(ISNUMBER(SEARCH(" "&amp;Task!$A$16&amp;" "," "&amp;LOWER(C196)&amp;" ")),1,0))+IF(Task!$A$17="",0,IF(ISNUMBER(SEARCH(" "&amp;Task!$A$17&amp;" "," "&amp;LOWER(C196)&amp;" ")),1,0))+IF(Task!$A$18="",0,IF(ISNUMBER(SEARCH(" "&amp;Task!$A$18&amp;" "," "&amp;LOWER(C196)&amp;" ")),1,0))+IF(Task!$A$19="",0,IF(ISNUMBER(SEARCH(" "&amp;Task!$A$19&amp;" "," "&amp;LOWER(C196)&amp;" ")),1,0)))</f>
        <v/>
      </c>
      <c r="H196" s="9">
        <f>IF(E196=0,0,IF(Task!$A$8="",0,IF(ISNUMBER(SEARCH(" "&amp;Task!$A$8&amp;" "," "&amp;LOWER(SUBSTITUTE(SUBSTITUTE(SUBSTITUTE(SUBSTITUTE(A196,"/"," "),"."," "),"\"," "),"_"," "))&amp;" ")),1,0))+IF(Task!$A$9="",0,IF(ISNUMBER(SEARCH(" "&amp;Task!$A$9&amp;" "," "&amp;LOWER(SUBSTITUTE(SUBSTITUTE(SUBSTITUTE(SUBSTITUTE(A196,"/"," "),"."," "),"\"," "),"_"," "))&amp;" ")),1,0))+IF(Task!$A$10="",0,IF(ISNUMBER(SEARCH(" "&amp;Task!$A$10&amp;" "," "&amp;LOWER(SUBSTITUTE(SUBSTITUTE(SUBSTITUTE(SUBSTITUTE(A196,"/"," "),"."," "),"\"," "),"_"," "))&amp;" ")),1,0))+IF(Task!$A$11="",0,IF(ISNUMBER(SEARCH(" "&amp;Task!$A$11&amp;" "," "&amp;LOWER(SUBSTITUTE(SUBSTITUTE(SUBSTITUTE(SUBSTITUTE(A196,"/"," "),"."," "),"\"," "),"_"," "))&amp;" ")),1,0))+IF(Task!$A$12="",0,IF(ISNUMBER(SEARCH(" "&amp;Task!$A$12&amp;" "," "&amp;LOWER(SUBSTITUTE(SUBSTITUTE(SUBSTITUTE(SUBSTITUTE(A196,"/"," "),"."," "),"\"," "),"_"," "))&amp;" ")),1,0))+IF(Task!$A$13="",0,IF(ISNUMBER(SEARCH(" "&amp;Task!$A$13&amp;" "," "&amp;LOWER(SUBSTITUTE(SUBSTITUTE(SUBSTITUTE(SUBSTITUTE(A196,"/"," "),"."," "),"\"," "),"_"," "))&amp;" ")),1,0))+IF(Task!$A$14="",0,IF(ISNUMBER(SEARCH(" "&amp;Task!$A$14&amp;" "," "&amp;LOWER(SUBSTITUTE(SUBSTITUTE(SUBSTITUTE(SUBSTITUTE(A196,"/"," "),"."," "),"\"," "),"_"," "))&amp;" ")),1,0))+IF(Task!$A$15="",0,IF(ISNUMBER(SEARCH(" "&amp;Task!$A$15&amp;" "," "&amp;LOWER(SUBSTITUTE(SUBSTITUTE(SUBSTITUTE(SUBSTITUTE(A196,"/"," "),"."," "),"\"," "),"_"," "))&amp;" ")),1,0))+IF(Task!$A$16="",0,IF(ISNUMBER(SEARCH(" "&amp;Task!$A$16&amp;" "," "&amp;LOWER(SUBSTITUTE(SUBSTITUTE(SUBSTITUTE(SUBSTITUTE(A196,"/"," "),"."," "),"\"," "),"_"," "))&amp;" ")),1,0))+IF(Task!$A$17="",0,IF(ISNUMBER(SEARCH(" "&amp;Task!$A$17&amp;" "," "&amp;LOWER(SUBSTITUTE(SUBSTITUTE(SUBSTITUTE(SUBSTITUTE(A196,"/"," "),"."," "),"\"," "),"_"," "))&amp;" ")),1,0))+IF(Task!$A$18="",0,IF(ISNUMBER(SEARCH(" "&amp;Task!$A$18&amp;" "," "&amp;LOWER(SUBSTITUTE(SUBSTITUTE(SUBSTITUTE(SUBSTITUTE(A196,"/"," "),"."," "),"\"," "),"_"," "))&amp;" ")),1,0))+IF(Task!$A$19="",0,IF(ISNUMBER(SEARCH(" "&amp;Task!$A$19&amp;" "," "&amp;LOWER(SUBSTITUTE(SUBSTITUTE(SUBSTITUTE(SUBSTITUTE(A196,"/"," "),"."," "),"\"," "),"_"," "))&amp;" ")),1,0)))</f>
        <v/>
      </c>
      <c r="I196" s="10">
        <f>IF(OR(E196=0,F196=0,Task!$B$21=0),"",F196/Task!$B$21+0.5*G196+0.25*H196)</f>
        <v/>
      </c>
      <c r="J196" s="5">
        <f>IF(I196="","",I196-ROW()/1000000)</f>
        <v/>
      </c>
      <c r="K196" s="9">
        <f>IF(J196="","",COUNTIF($J$5:$J$404,"&gt;"&amp;J196)+1)</f>
        <v/>
      </c>
    </row>
    <row r="197">
      <c r="A197" s="7" t="n"/>
      <c r="B197" s="7" t="n"/>
      <c r="C197" s="7" t="n"/>
      <c r="D197" s="7" t="n"/>
      <c r="E197" s="5">
        <f>IF(A197="",0,IF(COUNTA(Task!$B$5:$E$5)=0,1,IF(COUNTIF(Task!$B$5:$E$5,B197)&gt;0,1,0)))</f>
        <v/>
      </c>
      <c r="F197" s="9">
        <f>IF(E197=0,0,IF(Task!$A$8="",0,IF(ISNUMBER(SEARCH(" "&amp;Task!$A$8&amp;" "," "&amp;LOWER(D197&amp;" "&amp;C197&amp;" "&amp;LOWER(SUBSTITUTE(SUBSTITUTE(SUBSTITUTE(SUBSTITUTE(A197,"/"," "),"."," "),"\"," "),"_"," ")))&amp;" ")),1,0))+IF(Task!$A$9="",0,IF(ISNUMBER(SEARCH(" "&amp;Task!$A$9&amp;" "," "&amp;LOWER(D197&amp;" "&amp;C197&amp;" "&amp;LOWER(SUBSTITUTE(SUBSTITUTE(SUBSTITUTE(SUBSTITUTE(A197,"/"," "),"."," "),"\"," "),"_"," ")))&amp;" ")),1,0))+IF(Task!$A$10="",0,IF(ISNUMBER(SEARCH(" "&amp;Task!$A$10&amp;" "," "&amp;LOWER(D197&amp;" "&amp;C197&amp;" "&amp;LOWER(SUBSTITUTE(SUBSTITUTE(SUBSTITUTE(SUBSTITUTE(A197,"/"," "),"."," "),"\"," "),"_"," ")))&amp;" ")),1,0))+IF(Task!$A$11="",0,IF(ISNUMBER(SEARCH(" "&amp;Task!$A$11&amp;" "," "&amp;LOWER(D197&amp;" "&amp;C197&amp;" "&amp;LOWER(SUBSTITUTE(SUBSTITUTE(SUBSTITUTE(SUBSTITUTE(A197,"/"," "),"."," "),"\"," "),"_"," ")))&amp;" ")),1,0))+IF(Task!$A$12="",0,IF(ISNUMBER(SEARCH(" "&amp;Task!$A$12&amp;" "," "&amp;LOWER(D197&amp;" "&amp;C197&amp;" "&amp;LOWER(SUBSTITUTE(SUBSTITUTE(SUBSTITUTE(SUBSTITUTE(A197,"/"," "),"."," "),"\"," "),"_"," ")))&amp;" ")),1,0))+IF(Task!$A$13="",0,IF(ISNUMBER(SEARCH(" "&amp;Task!$A$13&amp;" "," "&amp;LOWER(D197&amp;" "&amp;C197&amp;" "&amp;LOWER(SUBSTITUTE(SUBSTITUTE(SUBSTITUTE(SUBSTITUTE(A197,"/"," "),"."," "),"\"," "),"_"," ")))&amp;" ")),1,0))+IF(Task!$A$14="",0,IF(ISNUMBER(SEARCH(" "&amp;Task!$A$14&amp;" "," "&amp;LOWER(D197&amp;" "&amp;C197&amp;" "&amp;LOWER(SUBSTITUTE(SUBSTITUTE(SUBSTITUTE(SUBSTITUTE(A197,"/"," "),"."," "),"\"," "),"_"," ")))&amp;" ")),1,0))+IF(Task!$A$15="",0,IF(ISNUMBER(SEARCH(" "&amp;Task!$A$15&amp;" "," "&amp;LOWER(D197&amp;" "&amp;C197&amp;" "&amp;LOWER(SUBSTITUTE(SUBSTITUTE(SUBSTITUTE(SUBSTITUTE(A197,"/"," "),"."," "),"\"," "),"_"," ")))&amp;" ")),1,0))+IF(Task!$A$16="",0,IF(ISNUMBER(SEARCH(" "&amp;Task!$A$16&amp;" "," "&amp;LOWER(D197&amp;" "&amp;C197&amp;" "&amp;LOWER(SUBSTITUTE(SUBSTITUTE(SUBSTITUTE(SUBSTITUTE(A197,"/"," "),"."," "),"\"," "),"_"," ")))&amp;" ")),1,0))+IF(Task!$A$17="",0,IF(ISNUMBER(SEARCH(" "&amp;Task!$A$17&amp;" "," "&amp;LOWER(D197&amp;" "&amp;C197&amp;" "&amp;LOWER(SUBSTITUTE(SUBSTITUTE(SUBSTITUTE(SUBSTITUTE(A197,"/"," "),"."," "),"\"," "),"_"," ")))&amp;" ")),1,0))+IF(Task!$A$18="",0,IF(ISNUMBER(SEARCH(" "&amp;Task!$A$18&amp;" "," "&amp;LOWER(D197&amp;" "&amp;C197&amp;" "&amp;LOWER(SUBSTITUTE(SUBSTITUTE(SUBSTITUTE(SUBSTITUTE(A197,"/"," "),"."," "),"\"," "),"_"," ")))&amp;" ")),1,0))+IF(Task!$A$19="",0,IF(ISNUMBER(SEARCH(" "&amp;Task!$A$19&amp;" "," "&amp;LOWER(D197&amp;" "&amp;C197&amp;" "&amp;LOWER(SUBSTITUTE(SUBSTITUTE(SUBSTITUTE(SUBSTITUTE(A197,"/"," "),"."," "),"\"," "),"_"," ")))&amp;" ")),1,0)))</f>
        <v/>
      </c>
      <c r="G197" s="9">
        <f>IF(E197=0,0,IF(Task!$A$8="",0,IF(ISNUMBER(SEARCH(" "&amp;Task!$A$8&amp;" "," "&amp;LOWER(C197)&amp;" ")),1,0))+IF(Task!$A$9="",0,IF(ISNUMBER(SEARCH(" "&amp;Task!$A$9&amp;" "," "&amp;LOWER(C197)&amp;" ")),1,0))+IF(Task!$A$10="",0,IF(ISNUMBER(SEARCH(" "&amp;Task!$A$10&amp;" "," "&amp;LOWER(C197)&amp;" ")),1,0))+IF(Task!$A$11="",0,IF(ISNUMBER(SEARCH(" "&amp;Task!$A$11&amp;" "," "&amp;LOWER(C197)&amp;" ")),1,0))+IF(Task!$A$12="",0,IF(ISNUMBER(SEARCH(" "&amp;Task!$A$12&amp;" "," "&amp;LOWER(C197)&amp;" ")),1,0))+IF(Task!$A$13="",0,IF(ISNUMBER(SEARCH(" "&amp;Task!$A$13&amp;" "," "&amp;LOWER(C197)&amp;" ")),1,0))+IF(Task!$A$14="",0,IF(ISNUMBER(SEARCH(" "&amp;Task!$A$14&amp;" "," "&amp;LOWER(C197)&amp;" ")),1,0))+IF(Task!$A$15="",0,IF(ISNUMBER(SEARCH(" "&amp;Task!$A$15&amp;" "," "&amp;LOWER(C197)&amp;" ")),1,0))+IF(Task!$A$16="",0,IF(ISNUMBER(SEARCH(" "&amp;Task!$A$16&amp;" "," "&amp;LOWER(C197)&amp;" ")),1,0))+IF(Task!$A$17="",0,IF(ISNUMBER(SEARCH(" "&amp;Task!$A$17&amp;" "," "&amp;LOWER(C197)&amp;" ")),1,0))+IF(Task!$A$18="",0,IF(ISNUMBER(SEARCH(" "&amp;Task!$A$18&amp;" "," "&amp;LOWER(C197)&amp;" ")),1,0))+IF(Task!$A$19="",0,IF(ISNUMBER(SEARCH(" "&amp;Task!$A$19&amp;" "," "&amp;LOWER(C197)&amp;" ")),1,0)))</f>
        <v/>
      </c>
      <c r="H197" s="9">
        <f>IF(E197=0,0,IF(Task!$A$8="",0,IF(ISNUMBER(SEARCH(" "&amp;Task!$A$8&amp;" "," "&amp;LOWER(SUBSTITUTE(SUBSTITUTE(SUBSTITUTE(SUBSTITUTE(A197,"/"," "),"."," "),"\"," "),"_"," "))&amp;" ")),1,0))+IF(Task!$A$9="",0,IF(ISNUMBER(SEARCH(" "&amp;Task!$A$9&amp;" "," "&amp;LOWER(SUBSTITUTE(SUBSTITUTE(SUBSTITUTE(SUBSTITUTE(A197,"/"," "),"."," "),"\"," "),"_"," "))&amp;" ")),1,0))+IF(Task!$A$10="",0,IF(ISNUMBER(SEARCH(" "&amp;Task!$A$10&amp;" "," "&amp;LOWER(SUBSTITUTE(SUBSTITUTE(SUBSTITUTE(SUBSTITUTE(A197,"/"," "),"."," "),"\"," "),"_"," "))&amp;" ")),1,0))+IF(Task!$A$11="",0,IF(ISNUMBER(SEARCH(" "&amp;Task!$A$11&amp;" "," "&amp;LOWER(SUBSTITUTE(SUBSTITUTE(SUBSTITUTE(SUBSTITUTE(A197,"/"," "),"."," "),"\"," "),"_"," "))&amp;" ")),1,0))+IF(Task!$A$12="",0,IF(ISNUMBER(SEARCH(" "&amp;Task!$A$12&amp;" "," "&amp;LOWER(SUBSTITUTE(SUBSTITUTE(SUBSTITUTE(SUBSTITUTE(A197,"/"," "),"."," "),"\"," "),"_"," "))&amp;" ")),1,0))+IF(Task!$A$13="",0,IF(ISNUMBER(SEARCH(" "&amp;Task!$A$13&amp;" "," "&amp;LOWER(SUBSTITUTE(SUBSTITUTE(SUBSTITUTE(SUBSTITUTE(A197,"/"," "),"."," "),"\"," "),"_"," "))&amp;" ")),1,0))+IF(Task!$A$14="",0,IF(ISNUMBER(SEARCH(" "&amp;Task!$A$14&amp;" "," "&amp;LOWER(SUBSTITUTE(SUBSTITUTE(SUBSTITUTE(SUBSTITUTE(A197,"/"," "),"."," "),"\"," "),"_"," "))&amp;" ")),1,0))+IF(Task!$A$15="",0,IF(ISNUMBER(SEARCH(" "&amp;Task!$A$15&amp;" "," "&amp;LOWER(SUBSTITUTE(SUBSTITUTE(SUBSTITUTE(SUBSTITUTE(A197,"/"," "),"."," "),"\"," "),"_"," "))&amp;" ")),1,0))+IF(Task!$A$16="",0,IF(ISNUMBER(SEARCH(" "&amp;Task!$A$16&amp;" "," "&amp;LOWER(SUBSTITUTE(SUBSTITUTE(SUBSTITUTE(SUBSTITUTE(A197,"/"," "),"."," "),"\"," "),"_"," "))&amp;" ")),1,0))+IF(Task!$A$17="",0,IF(ISNUMBER(SEARCH(" "&amp;Task!$A$17&amp;" "," "&amp;LOWER(SUBSTITUTE(SUBSTITUTE(SUBSTITUTE(SUBSTITUTE(A197,"/"," "),"."," "),"\"," "),"_"," "))&amp;" ")),1,0))+IF(Task!$A$18="",0,IF(ISNUMBER(SEARCH(" "&amp;Task!$A$18&amp;" "," "&amp;LOWER(SUBSTITUTE(SUBSTITUTE(SUBSTITUTE(SUBSTITUTE(A197,"/"," "),"."," "),"\"," "),"_"," "))&amp;" ")),1,0))+IF(Task!$A$19="",0,IF(ISNUMBER(SEARCH(" "&amp;Task!$A$19&amp;" "," "&amp;LOWER(SUBSTITUTE(SUBSTITUTE(SUBSTITUTE(SUBSTITUTE(A197,"/"," "),"."," "),"\"," "),"_"," "))&amp;" ")),1,0)))</f>
        <v/>
      </c>
      <c r="I197" s="10">
        <f>IF(OR(E197=0,F197=0,Task!$B$21=0),"",F197/Task!$B$21+0.5*G197+0.25*H197)</f>
        <v/>
      </c>
      <c r="J197" s="5">
        <f>IF(I197="","",I197-ROW()/1000000)</f>
        <v/>
      </c>
      <c r="K197" s="9">
        <f>IF(J197="","",COUNTIF($J$5:$J$404,"&gt;"&amp;J197)+1)</f>
        <v/>
      </c>
    </row>
    <row r="198">
      <c r="A198" s="7" t="n"/>
      <c r="B198" s="7" t="n"/>
      <c r="C198" s="7" t="n"/>
      <c r="D198" s="7" t="n"/>
      <c r="E198" s="5">
        <f>IF(A198="",0,IF(COUNTA(Task!$B$5:$E$5)=0,1,IF(COUNTIF(Task!$B$5:$E$5,B198)&gt;0,1,0)))</f>
        <v/>
      </c>
      <c r="F198" s="9">
        <f>IF(E198=0,0,IF(Task!$A$8="",0,IF(ISNUMBER(SEARCH(" "&amp;Task!$A$8&amp;" "," "&amp;LOWER(D198&amp;" "&amp;C198&amp;" "&amp;LOWER(SUBSTITUTE(SUBSTITUTE(SUBSTITUTE(SUBSTITUTE(A198,"/"," "),"."," "),"\"," "),"_"," ")))&amp;" ")),1,0))+IF(Task!$A$9="",0,IF(ISNUMBER(SEARCH(" "&amp;Task!$A$9&amp;" "," "&amp;LOWER(D198&amp;" "&amp;C198&amp;" "&amp;LOWER(SUBSTITUTE(SUBSTITUTE(SUBSTITUTE(SUBSTITUTE(A198,"/"," "),"."," "),"\"," "),"_"," ")))&amp;" ")),1,0))+IF(Task!$A$10="",0,IF(ISNUMBER(SEARCH(" "&amp;Task!$A$10&amp;" "," "&amp;LOWER(D198&amp;" "&amp;C198&amp;" "&amp;LOWER(SUBSTITUTE(SUBSTITUTE(SUBSTITUTE(SUBSTITUTE(A198,"/"," "),"."," "),"\"," "),"_"," ")))&amp;" ")),1,0))+IF(Task!$A$11="",0,IF(ISNUMBER(SEARCH(" "&amp;Task!$A$11&amp;" "," "&amp;LOWER(D198&amp;" "&amp;C198&amp;" "&amp;LOWER(SUBSTITUTE(SUBSTITUTE(SUBSTITUTE(SUBSTITUTE(A198,"/"," "),"."," "),"\"," "),"_"," ")))&amp;" ")),1,0))+IF(Task!$A$12="",0,IF(ISNUMBER(SEARCH(" "&amp;Task!$A$12&amp;" "," "&amp;LOWER(D198&amp;" "&amp;C198&amp;" "&amp;LOWER(SUBSTITUTE(SUBSTITUTE(SUBSTITUTE(SUBSTITUTE(A198,"/"," "),"."," "),"\"," "),"_"," ")))&amp;" ")),1,0))+IF(Task!$A$13="",0,IF(ISNUMBER(SEARCH(" "&amp;Task!$A$13&amp;" "," "&amp;LOWER(D198&amp;" "&amp;C198&amp;" "&amp;LOWER(SUBSTITUTE(SUBSTITUTE(SUBSTITUTE(SUBSTITUTE(A198,"/"," "),"."," "),"\"," "),"_"," ")))&amp;" ")),1,0))+IF(Task!$A$14="",0,IF(ISNUMBER(SEARCH(" "&amp;Task!$A$14&amp;" "," "&amp;LOWER(D198&amp;" "&amp;C198&amp;" "&amp;LOWER(SUBSTITUTE(SUBSTITUTE(SUBSTITUTE(SUBSTITUTE(A198,"/"," "),"."," "),"\"," "),"_"," ")))&amp;" ")),1,0))+IF(Task!$A$15="",0,IF(ISNUMBER(SEARCH(" "&amp;Task!$A$15&amp;" "," "&amp;LOWER(D198&amp;" "&amp;C198&amp;" "&amp;LOWER(SUBSTITUTE(SUBSTITUTE(SUBSTITUTE(SUBSTITUTE(A198,"/"," "),"."," "),"\"," "),"_"," ")))&amp;" ")),1,0))+IF(Task!$A$16="",0,IF(ISNUMBER(SEARCH(" "&amp;Task!$A$16&amp;" "," "&amp;LOWER(D198&amp;" "&amp;C198&amp;" "&amp;LOWER(SUBSTITUTE(SUBSTITUTE(SUBSTITUTE(SUBSTITUTE(A198,"/"," "),"."," "),"\"," "),"_"," ")))&amp;" ")),1,0))+IF(Task!$A$17="",0,IF(ISNUMBER(SEARCH(" "&amp;Task!$A$17&amp;" "," "&amp;LOWER(D198&amp;" "&amp;C198&amp;" "&amp;LOWER(SUBSTITUTE(SUBSTITUTE(SUBSTITUTE(SUBSTITUTE(A198,"/"," "),"."," "),"\"," "),"_"," ")))&amp;" ")),1,0))+IF(Task!$A$18="",0,IF(ISNUMBER(SEARCH(" "&amp;Task!$A$18&amp;" "," "&amp;LOWER(D198&amp;" "&amp;C198&amp;" "&amp;LOWER(SUBSTITUTE(SUBSTITUTE(SUBSTITUTE(SUBSTITUTE(A198,"/"," "),"."," "),"\"," "),"_"," ")))&amp;" ")),1,0))+IF(Task!$A$19="",0,IF(ISNUMBER(SEARCH(" "&amp;Task!$A$19&amp;" "," "&amp;LOWER(D198&amp;" "&amp;C198&amp;" "&amp;LOWER(SUBSTITUTE(SUBSTITUTE(SUBSTITUTE(SUBSTITUTE(A198,"/"," "),"."," "),"\"," "),"_"," ")))&amp;" ")),1,0)))</f>
        <v/>
      </c>
      <c r="G198" s="9">
        <f>IF(E198=0,0,IF(Task!$A$8="",0,IF(ISNUMBER(SEARCH(" "&amp;Task!$A$8&amp;" "," "&amp;LOWER(C198)&amp;" ")),1,0))+IF(Task!$A$9="",0,IF(ISNUMBER(SEARCH(" "&amp;Task!$A$9&amp;" "," "&amp;LOWER(C198)&amp;" ")),1,0))+IF(Task!$A$10="",0,IF(ISNUMBER(SEARCH(" "&amp;Task!$A$10&amp;" "," "&amp;LOWER(C198)&amp;" ")),1,0))+IF(Task!$A$11="",0,IF(ISNUMBER(SEARCH(" "&amp;Task!$A$11&amp;" "," "&amp;LOWER(C198)&amp;" ")),1,0))+IF(Task!$A$12="",0,IF(ISNUMBER(SEARCH(" "&amp;Task!$A$12&amp;" "," "&amp;LOWER(C198)&amp;" ")),1,0))+IF(Task!$A$13="",0,IF(ISNUMBER(SEARCH(" "&amp;Task!$A$13&amp;" "," "&amp;LOWER(C198)&amp;" ")),1,0))+IF(Task!$A$14="",0,IF(ISNUMBER(SEARCH(" "&amp;Task!$A$14&amp;" "," "&amp;LOWER(C198)&amp;" ")),1,0))+IF(Task!$A$15="",0,IF(ISNUMBER(SEARCH(" "&amp;Task!$A$15&amp;" "," "&amp;LOWER(C198)&amp;" ")),1,0))+IF(Task!$A$16="",0,IF(ISNUMBER(SEARCH(" "&amp;Task!$A$16&amp;" "," "&amp;LOWER(C198)&amp;" ")),1,0))+IF(Task!$A$17="",0,IF(ISNUMBER(SEARCH(" "&amp;Task!$A$17&amp;" "," "&amp;LOWER(C198)&amp;" ")),1,0))+IF(Task!$A$18="",0,IF(ISNUMBER(SEARCH(" "&amp;Task!$A$18&amp;" "," "&amp;LOWER(C198)&amp;" ")),1,0))+IF(Task!$A$19="",0,IF(ISNUMBER(SEARCH(" "&amp;Task!$A$19&amp;" "," "&amp;LOWER(C198)&amp;" ")),1,0)))</f>
        <v/>
      </c>
      <c r="H198" s="9">
        <f>IF(E198=0,0,IF(Task!$A$8="",0,IF(ISNUMBER(SEARCH(" "&amp;Task!$A$8&amp;" "," "&amp;LOWER(SUBSTITUTE(SUBSTITUTE(SUBSTITUTE(SUBSTITUTE(A198,"/"," "),"."," "),"\"," "),"_"," "))&amp;" ")),1,0))+IF(Task!$A$9="",0,IF(ISNUMBER(SEARCH(" "&amp;Task!$A$9&amp;" "," "&amp;LOWER(SUBSTITUTE(SUBSTITUTE(SUBSTITUTE(SUBSTITUTE(A198,"/"," "),"."," "),"\"," "),"_"," "))&amp;" ")),1,0))+IF(Task!$A$10="",0,IF(ISNUMBER(SEARCH(" "&amp;Task!$A$10&amp;" "," "&amp;LOWER(SUBSTITUTE(SUBSTITUTE(SUBSTITUTE(SUBSTITUTE(A198,"/"," "),"."," "),"\"," "),"_"," "))&amp;" ")),1,0))+IF(Task!$A$11="",0,IF(ISNUMBER(SEARCH(" "&amp;Task!$A$11&amp;" "," "&amp;LOWER(SUBSTITUTE(SUBSTITUTE(SUBSTITUTE(SUBSTITUTE(A198,"/"," "),"."," "),"\"," "),"_"," "))&amp;" ")),1,0))+IF(Task!$A$12="",0,IF(ISNUMBER(SEARCH(" "&amp;Task!$A$12&amp;" "," "&amp;LOWER(SUBSTITUTE(SUBSTITUTE(SUBSTITUTE(SUBSTITUTE(A198,"/"," "),"."," "),"\"," "),"_"," "))&amp;" ")),1,0))+IF(Task!$A$13="",0,IF(ISNUMBER(SEARCH(" "&amp;Task!$A$13&amp;" "," "&amp;LOWER(SUBSTITUTE(SUBSTITUTE(SUBSTITUTE(SUBSTITUTE(A198,"/"," "),"."," "),"\"," "),"_"," "))&amp;" ")),1,0))+IF(Task!$A$14="",0,IF(ISNUMBER(SEARCH(" "&amp;Task!$A$14&amp;" "," "&amp;LOWER(SUBSTITUTE(SUBSTITUTE(SUBSTITUTE(SUBSTITUTE(A198,"/"," "),"."," "),"\"," "),"_"," "))&amp;" ")),1,0))+IF(Task!$A$15="",0,IF(ISNUMBER(SEARCH(" "&amp;Task!$A$15&amp;" "," "&amp;LOWER(SUBSTITUTE(SUBSTITUTE(SUBSTITUTE(SUBSTITUTE(A198,"/"," "),"."," "),"\"," "),"_"," "))&amp;" ")),1,0))+IF(Task!$A$16="",0,IF(ISNUMBER(SEARCH(" "&amp;Task!$A$16&amp;" "," "&amp;LOWER(SUBSTITUTE(SUBSTITUTE(SUBSTITUTE(SUBSTITUTE(A198,"/"," "),"."," "),"\"," "),"_"," "))&amp;" ")),1,0))+IF(Task!$A$17="",0,IF(ISNUMBER(SEARCH(" "&amp;Task!$A$17&amp;" "," "&amp;LOWER(SUBSTITUTE(SUBSTITUTE(SUBSTITUTE(SUBSTITUTE(A198,"/"," "),"."," "),"\"," "),"_"," "))&amp;" ")),1,0))+IF(Task!$A$18="",0,IF(ISNUMBER(SEARCH(" "&amp;Task!$A$18&amp;" "," "&amp;LOWER(SUBSTITUTE(SUBSTITUTE(SUBSTITUTE(SUBSTITUTE(A198,"/"," "),"."," "),"\"," "),"_"," "))&amp;" ")),1,0))+IF(Task!$A$19="",0,IF(ISNUMBER(SEARCH(" "&amp;Task!$A$19&amp;" "," "&amp;LOWER(SUBSTITUTE(SUBSTITUTE(SUBSTITUTE(SUBSTITUTE(A198,"/"," "),"."," "),"\"," "),"_"," "))&amp;" ")),1,0)))</f>
        <v/>
      </c>
      <c r="I198" s="10">
        <f>IF(OR(E198=0,F198=0,Task!$B$21=0),"",F198/Task!$B$21+0.5*G198+0.25*H198)</f>
        <v/>
      </c>
      <c r="J198" s="5">
        <f>IF(I198="","",I198-ROW()/1000000)</f>
        <v/>
      </c>
      <c r="K198" s="9">
        <f>IF(J198="","",COUNTIF($J$5:$J$404,"&gt;"&amp;J198)+1)</f>
        <v/>
      </c>
    </row>
    <row r="199">
      <c r="A199" s="7" t="n"/>
      <c r="B199" s="7" t="n"/>
      <c r="C199" s="7" t="n"/>
      <c r="D199" s="7" t="n"/>
      <c r="E199" s="5">
        <f>IF(A199="",0,IF(COUNTA(Task!$B$5:$E$5)=0,1,IF(COUNTIF(Task!$B$5:$E$5,B199)&gt;0,1,0)))</f>
        <v/>
      </c>
      <c r="F199" s="9">
        <f>IF(E199=0,0,IF(Task!$A$8="",0,IF(ISNUMBER(SEARCH(" "&amp;Task!$A$8&amp;" "," "&amp;LOWER(D199&amp;" "&amp;C199&amp;" "&amp;LOWER(SUBSTITUTE(SUBSTITUTE(SUBSTITUTE(SUBSTITUTE(A199,"/"," "),"."," "),"\"," "),"_"," ")))&amp;" ")),1,0))+IF(Task!$A$9="",0,IF(ISNUMBER(SEARCH(" "&amp;Task!$A$9&amp;" "," "&amp;LOWER(D199&amp;" "&amp;C199&amp;" "&amp;LOWER(SUBSTITUTE(SUBSTITUTE(SUBSTITUTE(SUBSTITUTE(A199,"/"," "),"."," "),"\"," "),"_"," ")))&amp;" ")),1,0))+IF(Task!$A$10="",0,IF(ISNUMBER(SEARCH(" "&amp;Task!$A$10&amp;" "," "&amp;LOWER(D199&amp;" "&amp;C199&amp;" "&amp;LOWER(SUBSTITUTE(SUBSTITUTE(SUBSTITUTE(SUBSTITUTE(A199,"/"," "),"."," "),"\"," "),"_"," ")))&amp;" ")),1,0))+IF(Task!$A$11="",0,IF(ISNUMBER(SEARCH(" "&amp;Task!$A$11&amp;" "," "&amp;LOWER(D199&amp;" "&amp;C199&amp;" "&amp;LOWER(SUBSTITUTE(SUBSTITUTE(SUBSTITUTE(SUBSTITUTE(A199,"/"," "),"."," "),"\"," "),"_"," ")))&amp;" ")),1,0))+IF(Task!$A$12="",0,IF(ISNUMBER(SEARCH(" "&amp;Task!$A$12&amp;" "," "&amp;LOWER(D199&amp;" "&amp;C199&amp;" "&amp;LOWER(SUBSTITUTE(SUBSTITUTE(SUBSTITUTE(SUBSTITUTE(A199,"/"," "),"."," "),"\"," "),"_"," ")))&amp;" ")),1,0))+IF(Task!$A$13="",0,IF(ISNUMBER(SEARCH(" "&amp;Task!$A$13&amp;" "," "&amp;LOWER(D199&amp;" "&amp;C199&amp;" "&amp;LOWER(SUBSTITUTE(SUBSTITUTE(SUBSTITUTE(SUBSTITUTE(A199,"/"," "),"."," "),"\"," "),"_"," ")))&amp;" ")),1,0))+IF(Task!$A$14="",0,IF(ISNUMBER(SEARCH(" "&amp;Task!$A$14&amp;" "," "&amp;LOWER(D199&amp;" "&amp;C199&amp;" "&amp;LOWER(SUBSTITUTE(SUBSTITUTE(SUBSTITUTE(SUBSTITUTE(A199,"/"," "),"."," "),"\"," "),"_"," ")))&amp;" ")),1,0))+IF(Task!$A$15="",0,IF(ISNUMBER(SEARCH(" "&amp;Task!$A$15&amp;" "," "&amp;LOWER(D199&amp;" "&amp;C199&amp;" "&amp;LOWER(SUBSTITUTE(SUBSTITUTE(SUBSTITUTE(SUBSTITUTE(A199,"/"," "),"."," "),"\"," "),"_"," ")))&amp;" ")),1,0))+IF(Task!$A$16="",0,IF(ISNUMBER(SEARCH(" "&amp;Task!$A$16&amp;" "," "&amp;LOWER(D199&amp;" "&amp;C199&amp;" "&amp;LOWER(SUBSTITUTE(SUBSTITUTE(SUBSTITUTE(SUBSTITUTE(A199,"/"," "),"."," "),"\"," "),"_"," ")))&amp;" ")),1,0))+IF(Task!$A$17="",0,IF(ISNUMBER(SEARCH(" "&amp;Task!$A$17&amp;" "," "&amp;LOWER(D199&amp;" "&amp;C199&amp;" "&amp;LOWER(SUBSTITUTE(SUBSTITUTE(SUBSTITUTE(SUBSTITUTE(A199,"/"," "),"."," "),"\"," "),"_"," ")))&amp;" ")),1,0))+IF(Task!$A$18="",0,IF(ISNUMBER(SEARCH(" "&amp;Task!$A$18&amp;" "," "&amp;LOWER(D199&amp;" "&amp;C199&amp;" "&amp;LOWER(SUBSTITUTE(SUBSTITUTE(SUBSTITUTE(SUBSTITUTE(A199,"/"," "),"."," "),"\"," "),"_"," ")))&amp;" ")),1,0))+IF(Task!$A$19="",0,IF(ISNUMBER(SEARCH(" "&amp;Task!$A$19&amp;" "," "&amp;LOWER(D199&amp;" "&amp;C199&amp;" "&amp;LOWER(SUBSTITUTE(SUBSTITUTE(SUBSTITUTE(SUBSTITUTE(A199,"/"," "),"."," "),"\"," "),"_"," ")))&amp;" ")),1,0)))</f>
        <v/>
      </c>
      <c r="G199" s="9">
        <f>IF(E199=0,0,IF(Task!$A$8="",0,IF(ISNUMBER(SEARCH(" "&amp;Task!$A$8&amp;" "," "&amp;LOWER(C199)&amp;" ")),1,0))+IF(Task!$A$9="",0,IF(ISNUMBER(SEARCH(" "&amp;Task!$A$9&amp;" "," "&amp;LOWER(C199)&amp;" ")),1,0))+IF(Task!$A$10="",0,IF(ISNUMBER(SEARCH(" "&amp;Task!$A$10&amp;" "," "&amp;LOWER(C199)&amp;" ")),1,0))+IF(Task!$A$11="",0,IF(ISNUMBER(SEARCH(" "&amp;Task!$A$11&amp;" "," "&amp;LOWER(C199)&amp;" ")),1,0))+IF(Task!$A$12="",0,IF(ISNUMBER(SEARCH(" "&amp;Task!$A$12&amp;" "," "&amp;LOWER(C199)&amp;" ")),1,0))+IF(Task!$A$13="",0,IF(ISNUMBER(SEARCH(" "&amp;Task!$A$13&amp;" "," "&amp;LOWER(C199)&amp;" ")),1,0))+IF(Task!$A$14="",0,IF(ISNUMBER(SEARCH(" "&amp;Task!$A$14&amp;" "," "&amp;LOWER(C199)&amp;" ")),1,0))+IF(Task!$A$15="",0,IF(ISNUMBER(SEARCH(" "&amp;Task!$A$15&amp;" "," "&amp;LOWER(C199)&amp;" ")),1,0))+IF(Task!$A$16="",0,IF(ISNUMBER(SEARCH(" "&amp;Task!$A$16&amp;" "," "&amp;LOWER(C199)&amp;" ")),1,0))+IF(Task!$A$17="",0,IF(ISNUMBER(SEARCH(" "&amp;Task!$A$17&amp;" "," "&amp;LOWER(C199)&amp;" ")),1,0))+IF(Task!$A$18="",0,IF(ISNUMBER(SEARCH(" "&amp;Task!$A$18&amp;" "," "&amp;LOWER(C199)&amp;" ")),1,0))+IF(Task!$A$19="",0,IF(ISNUMBER(SEARCH(" "&amp;Task!$A$19&amp;" "," "&amp;LOWER(C199)&amp;" ")),1,0)))</f>
        <v/>
      </c>
      <c r="H199" s="9">
        <f>IF(E199=0,0,IF(Task!$A$8="",0,IF(ISNUMBER(SEARCH(" "&amp;Task!$A$8&amp;" "," "&amp;LOWER(SUBSTITUTE(SUBSTITUTE(SUBSTITUTE(SUBSTITUTE(A199,"/"," "),"."," "),"\"," "),"_"," "))&amp;" ")),1,0))+IF(Task!$A$9="",0,IF(ISNUMBER(SEARCH(" "&amp;Task!$A$9&amp;" "," "&amp;LOWER(SUBSTITUTE(SUBSTITUTE(SUBSTITUTE(SUBSTITUTE(A199,"/"," "),"."," "),"\"," "),"_"," "))&amp;" ")),1,0))+IF(Task!$A$10="",0,IF(ISNUMBER(SEARCH(" "&amp;Task!$A$10&amp;" "," "&amp;LOWER(SUBSTITUTE(SUBSTITUTE(SUBSTITUTE(SUBSTITUTE(A199,"/"," "),"."," "),"\"," "),"_"," "))&amp;" ")),1,0))+IF(Task!$A$11="",0,IF(ISNUMBER(SEARCH(" "&amp;Task!$A$11&amp;" "," "&amp;LOWER(SUBSTITUTE(SUBSTITUTE(SUBSTITUTE(SUBSTITUTE(A199,"/"," "),"."," "),"\"," "),"_"," "))&amp;" ")),1,0))+IF(Task!$A$12="",0,IF(ISNUMBER(SEARCH(" "&amp;Task!$A$12&amp;" "," "&amp;LOWER(SUBSTITUTE(SUBSTITUTE(SUBSTITUTE(SUBSTITUTE(A199,"/"," "),"."," "),"\"," "),"_"," "))&amp;" ")),1,0))+IF(Task!$A$13="",0,IF(ISNUMBER(SEARCH(" "&amp;Task!$A$13&amp;" "," "&amp;LOWER(SUBSTITUTE(SUBSTITUTE(SUBSTITUTE(SUBSTITUTE(A199,"/"," "),"."," "),"\"," "),"_"," "))&amp;" ")),1,0))+IF(Task!$A$14="",0,IF(ISNUMBER(SEARCH(" "&amp;Task!$A$14&amp;" "," "&amp;LOWER(SUBSTITUTE(SUBSTITUTE(SUBSTITUTE(SUBSTITUTE(A199,"/"," "),"."," "),"\"," "),"_"," "))&amp;" ")),1,0))+IF(Task!$A$15="",0,IF(ISNUMBER(SEARCH(" "&amp;Task!$A$15&amp;" "," "&amp;LOWER(SUBSTITUTE(SUBSTITUTE(SUBSTITUTE(SUBSTITUTE(A199,"/"," "),"."," "),"\"," "),"_"," "))&amp;" ")),1,0))+IF(Task!$A$16="",0,IF(ISNUMBER(SEARCH(" "&amp;Task!$A$16&amp;" "," "&amp;LOWER(SUBSTITUTE(SUBSTITUTE(SUBSTITUTE(SUBSTITUTE(A199,"/"," "),"."," "),"\"," "),"_"," "))&amp;" ")),1,0))+IF(Task!$A$17="",0,IF(ISNUMBER(SEARCH(" "&amp;Task!$A$17&amp;" "," "&amp;LOWER(SUBSTITUTE(SUBSTITUTE(SUBSTITUTE(SUBSTITUTE(A199,"/"," "),"."," "),"\"," "),"_"," "))&amp;" ")),1,0))+IF(Task!$A$18="",0,IF(ISNUMBER(SEARCH(" "&amp;Task!$A$18&amp;" "," "&amp;LOWER(SUBSTITUTE(SUBSTITUTE(SUBSTITUTE(SUBSTITUTE(A199,"/"," "),"."," "),"\"," "),"_"," "))&amp;" ")),1,0))+IF(Task!$A$19="",0,IF(ISNUMBER(SEARCH(" "&amp;Task!$A$19&amp;" "," "&amp;LOWER(SUBSTITUTE(SUBSTITUTE(SUBSTITUTE(SUBSTITUTE(A199,"/"," "),"."," "),"\"," "),"_"," "))&amp;" ")),1,0)))</f>
        <v/>
      </c>
      <c r="I199" s="10">
        <f>IF(OR(E199=0,F199=0,Task!$B$21=0),"",F199/Task!$B$21+0.5*G199+0.25*H199)</f>
        <v/>
      </c>
      <c r="J199" s="5">
        <f>IF(I199="","",I199-ROW()/1000000)</f>
        <v/>
      </c>
      <c r="K199" s="9">
        <f>IF(J199="","",COUNTIF($J$5:$J$404,"&gt;"&amp;J199)+1)</f>
        <v/>
      </c>
    </row>
    <row r="200">
      <c r="A200" s="7" t="n"/>
      <c r="B200" s="7" t="n"/>
      <c r="C200" s="7" t="n"/>
      <c r="D200" s="7" t="n"/>
      <c r="E200" s="5">
        <f>IF(A200="",0,IF(COUNTA(Task!$B$5:$E$5)=0,1,IF(COUNTIF(Task!$B$5:$E$5,B200)&gt;0,1,0)))</f>
        <v/>
      </c>
      <c r="F200" s="9">
        <f>IF(E200=0,0,IF(Task!$A$8="",0,IF(ISNUMBER(SEARCH(" "&amp;Task!$A$8&amp;" "," "&amp;LOWER(D200&amp;" "&amp;C200&amp;" "&amp;LOWER(SUBSTITUTE(SUBSTITUTE(SUBSTITUTE(SUBSTITUTE(A200,"/"," "),"."," "),"\"," "),"_"," ")))&amp;" ")),1,0))+IF(Task!$A$9="",0,IF(ISNUMBER(SEARCH(" "&amp;Task!$A$9&amp;" "," "&amp;LOWER(D200&amp;" "&amp;C200&amp;" "&amp;LOWER(SUBSTITUTE(SUBSTITUTE(SUBSTITUTE(SUBSTITUTE(A200,"/"," "),"."," "),"\"," "),"_"," ")))&amp;" ")),1,0))+IF(Task!$A$10="",0,IF(ISNUMBER(SEARCH(" "&amp;Task!$A$10&amp;" "," "&amp;LOWER(D200&amp;" "&amp;C200&amp;" "&amp;LOWER(SUBSTITUTE(SUBSTITUTE(SUBSTITUTE(SUBSTITUTE(A200,"/"," "),"."," "),"\"," "),"_"," ")))&amp;" ")),1,0))+IF(Task!$A$11="",0,IF(ISNUMBER(SEARCH(" "&amp;Task!$A$11&amp;" "," "&amp;LOWER(D200&amp;" "&amp;C200&amp;" "&amp;LOWER(SUBSTITUTE(SUBSTITUTE(SUBSTITUTE(SUBSTITUTE(A200,"/"," "),"."," "),"\"," "),"_"," ")))&amp;" ")),1,0))+IF(Task!$A$12="",0,IF(ISNUMBER(SEARCH(" "&amp;Task!$A$12&amp;" "," "&amp;LOWER(D200&amp;" "&amp;C200&amp;" "&amp;LOWER(SUBSTITUTE(SUBSTITUTE(SUBSTITUTE(SUBSTITUTE(A200,"/"," "),"."," "),"\"," "),"_"," ")))&amp;" ")),1,0))+IF(Task!$A$13="",0,IF(ISNUMBER(SEARCH(" "&amp;Task!$A$13&amp;" "," "&amp;LOWER(D200&amp;" "&amp;C200&amp;" "&amp;LOWER(SUBSTITUTE(SUBSTITUTE(SUBSTITUTE(SUBSTITUTE(A200,"/"," "),"."," "),"\"," "),"_"," ")))&amp;" ")),1,0))+IF(Task!$A$14="",0,IF(ISNUMBER(SEARCH(" "&amp;Task!$A$14&amp;" "," "&amp;LOWER(D200&amp;" "&amp;C200&amp;" "&amp;LOWER(SUBSTITUTE(SUBSTITUTE(SUBSTITUTE(SUBSTITUTE(A200,"/"," "),"."," "),"\"," "),"_"," ")))&amp;" ")),1,0))+IF(Task!$A$15="",0,IF(ISNUMBER(SEARCH(" "&amp;Task!$A$15&amp;" "," "&amp;LOWER(D200&amp;" "&amp;C200&amp;" "&amp;LOWER(SUBSTITUTE(SUBSTITUTE(SUBSTITUTE(SUBSTITUTE(A200,"/"," "),"."," "),"\"," "),"_"," ")))&amp;" ")),1,0))+IF(Task!$A$16="",0,IF(ISNUMBER(SEARCH(" "&amp;Task!$A$16&amp;" "," "&amp;LOWER(D200&amp;" "&amp;C200&amp;" "&amp;LOWER(SUBSTITUTE(SUBSTITUTE(SUBSTITUTE(SUBSTITUTE(A200,"/"," "),"."," "),"\"," "),"_"," ")))&amp;" ")),1,0))+IF(Task!$A$17="",0,IF(ISNUMBER(SEARCH(" "&amp;Task!$A$17&amp;" "," "&amp;LOWER(D200&amp;" "&amp;C200&amp;" "&amp;LOWER(SUBSTITUTE(SUBSTITUTE(SUBSTITUTE(SUBSTITUTE(A200,"/"," "),"."," "),"\"," "),"_"," ")))&amp;" ")),1,0))+IF(Task!$A$18="",0,IF(ISNUMBER(SEARCH(" "&amp;Task!$A$18&amp;" "," "&amp;LOWER(D200&amp;" "&amp;C200&amp;" "&amp;LOWER(SUBSTITUTE(SUBSTITUTE(SUBSTITUTE(SUBSTITUTE(A200,"/"," "),"."," "),"\"," "),"_"," ")))&amp;" ")),1,0))+IF(Task!$A$19="",0,IF(ISNUMBER(SEARCH(" "&amp;Task!$A$19&amp;" "," "&amp;LOWER(D200&amp;" "&amp;C200&amp;" "&amp;LOWER(SUBSTITUTE(SUBSTITUTE(SUBSTITUTE(SUBSTITUTE(A200,"/"," "),"."," "),"\"," "),"_"," ")))&amp;" ")),1,0)))</f>
        <v/>
      </c>
      <c r="G200" s="9">
        <f>IF(E200=0,0,IF(Task!$A$8="",0,IF(ISNUMBER(SEARCH(" "&amp;Task!$A$8&amp;" "," "&amp;LOWER(C200)&amp;" ")),1,0))+IF(Task!$A$9="",0,IF(ISNUMBER(SEARCH(" "&amp;Task!$A$9&amp;" "," "&amp;LOWER(C200)&amp;" ")),1,0))+IF(Task!$A$10="",0,IF(ISNUMBER(SEARCH(" "&amp;Task!$A$10&amp;" "," "&amp;LOWER(C200)&amp;" ")),1,0))+IF(Task!$A$11="",0,IF(ISNUMBER(SEARCH(" "&amp;Task!$A$11&amp;" "," "&amp;LOWER(C200)&amp;" ")),1,0))+IF(Task!$A$12="",0,IF(ISNUMBER(SEARCH(" "&amp;Task!$A$12&amp;" "," "&amp;LOWER(C200)&amp;" ")),1,0))+IF(Task!$A$13="",0,IF(ISNUMBER(SEARCH(" "&amp;Task!$A$13&amp;" "," "&amp;LOWER(C200)&amp;" ")),1,0))+IF(Task!$A$14="",0,IF(ISNUMBER(SEARCH(" "&amp;Task!$A$14&amp;" "," "&amp;LOWER(C200)&amp;" ")),1,0))+IF(Task!$A$15="",0,IF(ISNUMBER(SEARCH(" "&amp;Task!$A$15&amp;" "," "&amp;LOWER(C200)&amp;" ")),1,0))+IF(Task!$A$16="",0,IF(ISNUMBER(SEARCH(" "&amp;Task!$A$16&amp;" "," "&amp;LOWER(C200)&amp;" ")),1,0))+IF(Task!$A$17="",0,IF(ISNUMBER(SEARCH(" "&amp;Task!$A$17&amp;" "," "&amp;LOWER(C200)&amp;" ")),1,0))+IF(Task!$A$18="",0,IF(ISNUMBER(SEARCH(" "&amp;Task!$A$18&amp;" "," "&amp;LOWER(C200)&amp;" ")),1,0))+IF(Task!$A$19="",0,IF(ISNUMBER(SEARCH(" "&amp;Task!$A$19&amp;" "," "&amp;LOWER(C200)&amp;" ")),1,0)))</f>
        <v/>
      </c>
      <c r="H200" s="9">
        <f>IF(E200=0,0,IF(Task!$A$8="",0,IF(ISNUMBER(SEARCH(" "&amp;Task!$A$8&amp;" "," "&amp;LOWER(SUBSTITUTE(SUBSTITUTE(SUBSTITUTE(SUBSTITUTE(A200,"/"," "),"."," "),"\"," "),"_"," "))&amp;" ")),1,0))+IF(Task!$A$9="",0,IF(ISNUMBER(SEARCH(" "&amp;Task!$A$9&amp;" "," "&amp;LOWER(SUBSTITUTE(SUBSTITUTE(SUBSTITUTE(SUBSTITUTE(A200,"/"," "),"."," "),"\"," "),"_"," "))&amp;" ")),1,0))+IF(Task!$A$10="",0,IF(ISNUMBER(SEARCH(" "&amp;Task!$A$10&amp;" "," "&amp;LOWER(SUBSTITUTE(SUBSTITUTE(SUBSTITUTE(SUBSTITUTE(A200,"/"," "),"."," "),"\"," "),"_"," "))&amp;" ")),1,0))+IF(Task!$A$11="",0,IF(ISNUMBER(SEARCH(" "&amp;Task!$A$11&amp;" "," "&amp;LOWER(SUBSTITUTE(SUBSTITUTE(SUBSTITUTE(SUBSTITUTE(A200,"/"," "),"."," "),"\"," "),"_"," "))&amp;" ")),1,0))+IF(Task!$A$12="",0,IF(ISNUMBER(SEARCH(" "&amp;Task!$A$12&amp;" "," "&amp;LOWER(SUBSTITUTE(SUBSTITUTE(SUBSTITUTE(SUBSTITUTE(A200,"/"," "),"."," "),"\"," "),"_"," "))&amp;" ")),1,0))+IF(Task!$A$13="",0,IF(ISNUMBER(SEARCH(" "&amp;Task!$A$13&amp;" "," "&amp;LOWER(SUBSTITUTE(SUBSTITUTE(SUBSTITUTE(SUBSTITUTE(A200,"/"," "),"."," "),"\"," "),"_"," "))&amp;" ")),1,0))+IF(Task!$A$14="",0,IF(ISNUMBER(SEARCH(" "&amp;Task!$A$14&amp;" "," "&amp;LOWER(SUBSTITUTE(SUBSTITUTE(SUBSTITUTE(SUBSTITUTE(A200,"/"," "),"."," "),"\"," "),"_"," "))&amp;" ")),1,0))+IF(Task!$A$15="",0,IF(ISNUMBER(SEARCH(" "&amp;Task!$A$15&amp;" "," "&amp;LOWER(SUBSTITUTE(SUBSTITUTE(SUBSTITUTE(SUBSTITUTE(A200,"/"," "),"."," "),"\"," "),"_"," "))&amp;" ")),1,0))+IF(Task!$A$16="",0,IF(ISNUMBER(SEARCH(" "&amp;Task!$A$16&amp;" "," "&amp;LOWER(SUBSTITUTE(SUBSTITUTE(SUBSTITUTE(SUBSTITUTE(A200,"/"," "),"."," "),"\"," "),"_"," "))&amp;" ")),1,0))+IF(Task!$A$17="",0,IF(ISNUMBER(SEARCH(" "&amp;Task!$A$17&amp;" "," "&amp;LOWER(SUBSTITUTE(SUBSTITUTE(SUBSTITUTE(SUBSTITUTE(A200,"/"," "),"."," "),"\"," "),"_"," "))&amp;" ")),1,0))+IF(Task!$A$18="",0,IF(ISNUMBER(SEARCH(" "&amp;Task!$A$18&amp;" "," "&amp;LOWER(SUBSTITUTE(SUBSTITUTE(SUBSTITUTE(SUBSTITUTE(A200,"/"," "),"."," "),"\"," "),"_"," "))&amp;" ")),1,0))+IF(Task!$A$19="",0,IF(ISNUMBER(SEARCH(" "&amp;Task!$A$19&amp;" "," "&amp;LOWER(SUBSTITUTE(SUBSTITUTE(SUBSTITUTE(SUBSTITUTE(A200,"/"," "),"."," "),"\"," "),"_"," "))&amp;" ")),1,0)))</f>
        <v/>
      </c>
      <c r="I200" s="10">
        <f>IF(OR(E200=0,F200=0,Task!$B$21=0),"",F200/Task!$B$21+0.5*G200+0.25*H200)</f>
        <v/>
      </c>
      <c r="J200" s="5">
        <f>IF(I200="","",I200-ROW()/1000000)</f>
        <v/>
      </c>
      <c r="K200" s="9">
        <f>IF(J200="","",COUNTIF($J$5:$J$404,"&gt;"&amp;J200)+1)</f>
        <v/>
      </c>
    </row>
    <row r="201">
      <c r="A201" s="7" t="n"/>
      <c r="B201" s="7" t="n"/>
      <c r="C201" s="7" t="n"/>
      <c r="D201" s="7" t="n"/>
      <c r="E201" s="5">
        <f>IF(A201="",0,IF(COUNTA(Task!$B$5:$E$5)=0,1,IF(COUNTIF(Task!$B$5:$E$5,B201)&gt;0,1,0)))</f>
        <v/>
      </c>
      <c r="F201" s="9">
        <f>IF(E201=0,0,IF(Task!$A$8="",0,IF(ISNUMBER(SEARCH(" "&amp;Task!$A$8&amp;" "," "&amp;LOWER(D201&amp;" "&amp;C201&amp;" "&amp;LOWER(SUBSTITUTE(SUBSTITUTE(SUBSTITUTE(SUBSTITUTE(A201,"/"," "),"."," "),"\"," "),"_"," ")))&amp;" ")),1,0))+IF(Task!$A$9="",0,IF(ISNUMBER(SEARCH(" "&amp;Task!$A$9&amp;" "," "&amp;LOWER(D201&amp;" "&amp;C201&amp;" "&amp;LOWER(SUBSTITUTE(SUBSTITUTE(SUBSTITUTE(SUBSTITUTE(A201,"/"," "),"."," "),"\"," "),"_"," ")))&amp;" ")),1,0))+IF(Task!$A$10="",0,IF(ISNUMBER(SEARCH(" "&amp;Task!$A$10&amp;" "," "&amp;LOWER(D201&amp;" "&amp;C201&amp;" "&amp;LOWER(SUBSTITUTE(SUBSTITUTE(SUBSTITUTE(SUBSTITUTE(A201,"/"," "),"."," "),"\"," "),"_"," ")))&amp;" ")),1,0))+IF(Task!$A$11="",0,IF(ISNUMBER(SEARCH(" "&amp;Task!$A$11&amp;" "," "&amp;LOWER(D201&amp;" "&amp;C201&amp;" "&amp;LOWER(SUBSTITUTE(SUBSTITUTE(SUBSTITUTE(SUBSTITUTE(A201,"/"," "),"."," "),"\"," "),"_"," ")))&amp;" ")),1,0))+IF(Task!$A$12="",0,IF(ISNUMBER(SEARCH(" "&amp;Task!$A$12&amp;" "," "&amp;LOWER(D201&amp;" "&amp;C201&amp;" "&amp;LOWER(SUBSTITUTE(SUBSTITUTE(SUBSTITUTE(SUBSTITUTE(A201,"/"," "),"."," "),"\"," "),"_"," ")))&amp;" ")),1,0))+IF(Task!$A$13="",0,IF(ISNUMBER(SEARCH(" "&amp;Task!$A$13&amp;" "," "&amp;LOWER(D201&amp;" "&amp;C201&amp;" "&amp;LOWER(SUBSTITUTE(SUBSTITUTE(SUBSTITUTE(SUBSTITUTE(A201,"/"," "),"."," "),"\"," "),"_"," ")))&amp;" ")),1,0))+IF(Task!$A$14="",0,IF(ISNUMBER(SEARCH(" "&amp;Task!$A$14&amp;" "," "&amp;LOWER(D201&amp;" "&amp;C201&amp;" "&amp;LOWER(SUBSTITUTE(SUBSTITUTE(SUBSTITUTE(SUBSTITUTE(A201,"/"," "),"."," "),"\"," "),"_"," ")))&amp;" ")),1,0))+IF(Task!$A$15="",0,IF(ISNUMBER(SEARCH(" "&amp;Task!$A$15&amp;" "," "&amp;LOWER(D201&amp;" "&amp;C201&amp;" "&amp;LOWER(SUBSTITUTE(SUBSTITUTE(SUBSTITUTE(SUBSTITUTE(A201,"/"," "),"."," "),"\"," "),"_"," ")))&amp;" ")),1,0))+IF(Task!$A$16="",0,IF(ISNUMBER(SEARCH(" "&amp;Task!$A$16&amp;" "," "&amp;LOWER(D201&amp;" "&amp;C201&amp;" "&amp;LOWER(SUBSTITUTE(SUBSTITUTE(SUBSTITUTE(SUBSTITUTE(A201,"/"," "),"."," "),"\"," "),"_"," ")))&amp;" ")),1,0))+IF(Task!$A$17="",0,IF(ISNUMBER(SEARCH(" "&amp;Task!$A$17&amp;" "," "&amp;LOWER(D201&amp;" "&amp;C201&amp;" "&amp;LOWER(SUBSTITUTE(SUBSTITUTE(SUBSTITUTE(SUBSTITUTE(A201,"/"," "),"."," "),"\"," "),"_"," ")))&amp;" ")),1,0))+IF(Task!$A$18="",0,IF(ISNUMBER(SEARCH(" "&amp;Task!$A$18&amp;" "," "&amp;LOWER(D201&amp;" "&amp;C201&amp;" "&amp;LOWER(SUBSTITUTE(SUBSTITUTE(SUBSTITUTE(SUBSTITUTE(A201,"/"," "),"."," "),"\"," "),"_"," ")))&amp;" ")),1,0))+IF(Task!$A$19="",0,IF(ISNUMBER(SEARCH(" "&amp;Task!$A$19&amp;" "," "&amp;LOWER(D201&amp;" "&amp;C201&amp;" "&amp;LOWER(SUBSTITUTE(SUBSTITUTE(SUBSTITUTE(SUBSTITUTE(A201,"/"," "),"."," "),"\"," "),"_"," ")))&amp;" ")),1,0)))</f>
        <v/>
      </c>
      <c r="G201" s="9">
        <f>IF(E201=0,0,IF(Task!$A$8="",0,IF(ISNUMBER(SEARCH(" "&amp;Task!$A$8&amp;" "," "&amp;LOWER(C201)&amp;" ")),1,0))+IF(Task!$A$9="",0,IF(ISNUMBER(SEARCH(" "&amp;Task!$A$9&amp;" "," "&amp;LOWER(C201)&amp;" ")),1,0))+IF(Task!$A$10="",0,IF(ISNUMBER(SEARCH(" "&amp;Task!$A$10&amp;" "," "&amp;LOWER(C201)&amp;" ")),1,0))+IF(Task!$A$11="",0,IF(ISNUMBER(SEARCH(" "&amp;Task!$A$11&amp;" "," "&amp;LOWER(C201)&amp;" ")),1,0))+IF(Task!$A$12="",0,IF(ISNUMBER(SEARCH(" "&amp;Task!$A$12&amp;" "," "&amp;LOWER(C201)&amp;" ")),1,0))+IF(Task!$A$13="",0,IF(ISNUMBER(SEARCH(" "&amp;Task!$A$13&amp;" "," "&amp;LOWER(C201)&amp;" ")),1,0))+IF(Task!$A$14="",0,IF(ISNUMBER(SEARCH(" "&amp;Task!$A$14&amp;" "," "&amp;LOWER(C201)&amp;" ")),1,0))+IF(Task!$A$15="",0,IF(ISNUMBER(SEARCH(" "&amp;Task!$A$15&amp;" "," "&amp;LOWER(C201)&amp;" ")),1,0))+IF(Task!$A$16="",0,IF(ISNUMBER(SEARCH(" "&amp;Task!$A$16&amp;" "," "&amp;LOWER(C201)&amp;" ")),1,0))+IF(Task!$A$17="",0,IF(ISNUMBER(SEARCH(" "&amp;Task!$A$17&amp;" "," "&amp;LOWER(C201)&amp;" ")),1,0))+IF(Task!$A$18="",0,IF(ISNUMBER(SEARCH(" "&amp;Task!$A$18&amp;" "," "&amp;LOWER(C201)&amp;" ")),1,0))+IF(Task!$A$19="",0,IF(ISNUMBER(SEARCH(" "&amp;Task!$A$19&amp;" "," "&amp;LOWER(C201)&amp;" ")),1,0)))</f>
        <v/>
      </c>
      <c r="H201" s="9">
        <f>IF(E201=0,0,IF(Task!$A$8="",0,IF(ISNUMBER(SEARCH(" "&amp;Task!$A$8&amp;" "," "&amp;LOWER(SUBSTITUTE(SUBSTITUTE(SUBSTITUTE(SUBSTITUTE(A201,"/"," "),"."," "),"\"," "),"_"," "))&amp;" ")),1,0))+IF(Task!$A$9="",0,IF(ISNUMBER(SEARCH(" "&amp;Task!$A$9&amp;" "," "&amp;LOWER(SUBSTITUTE(SUBSTITUTE(SUBSTITUTE(SUBSTITUTE(A201,"/"," "),"."," "),"\"," "),"_"," "))&amp;" ")),1,0))+IF(Task!$A$10="",0,IF(ISNUMBER(SEARCH(" "&amp;Task!$A$10&amp;" "," "&amp;LOWER(SUBSTITUTE(SUBSTITUTE(SUBSTITUTE(SUBSTITUTE(A201,"/"," "),"."," "),"\"," "),"_"," "))&amp;" ")),1,0))+IF(Task!$A$11="",0,IF(ISNUMBER(SEARCH(" "&amp;Task!$A$11&amp;" "," "&amp;LOWER(SUBSTITUTE(SUBSTITUTE(SUBSTITUTE(SUBSTITUTE(A201,"/"," "),"."," "),"\"," "),"_"," "))&amp;" ")),1,0))+IF(Task!$A$12="",0,IF(ISNUMBER(SEARCH(" "&amp;Task!$A$12&amp;" "," "&amp;LOWER(SUBSTITUTE(SUBSTITUTE(SUBSTITUTE(SUBSTITUTE(A201,"/"," "),"."," "),"\"," "),"_"," "))&amp;" ")),1,0))+IF(Task!$A$13="",0,IF(ISNUMBER(SEARCH(" "&amp;Task!$A$13&amp;" "," "&amp;LOWER(SUBSTITUTE(SUBSTITUTE(SUBSTITUTE(SUBSTITUTE(A201,"/"," "),"."," "),"\"," "),"_"," "))&amp;" ")),1,0))+IF(Task!$A$14="",0,IF(ISNUMBER(SEARCH(" "&amp;Task!$A$14&amp;" "," "&amp;LOWER(SUBSTITUTE(SUBSTITUTE(SUBSTITUTE(SUBSTITUTE(A201,"/"," "),"."," "),"\"," "),"_"," "))&amp;" ")),1,0))+IF(Task!$A$15="",0,IF(ISNUMBER(SEARCH(" "&amp;Task!$A$15&amp;" "," "&amp;LOWER(SUBSTITUTE(SUBSTITUTE(SUBSTITUTE(SUBSTITUTE(A201,"/"," "),"."," "),"\"," "),"_"," "))&amp;" ")),1,0))+IF(Task!$A$16="",0,IF(ISNUMBER(SEARCH(" "&amp;Task!$A$16&amp;" "," "&amp;LOWER(SUBSTITUTE(SUBSTITUTE(SUBSTITUTE(SUBSTITUTE(A201,"/"," "),"."," "),"\"," "),"_"," "))&amp;" ")),1,0))+IF(Task!$A$17="",0,IF(ISNUMBER(SEARCH(" "&amp;Task!$A$17&amp;" "," "&amp;LOWER(SUBSTITUTE(SUBSTITUTE(SUBSTITUTE(SUBSTITUTE(A201,"/"," "),"."," "),"\"," "),"_"," "))&amp;" ")),1,0))+IF(Task!$A$18="",0,IF(ISNUMBER(SEARCH(" "&amp;Task!$A$18&amp;" "," "&amp;LOWER(SUBSTITUTE(SUBSTITUTE(SUBSTITUTE(SUBSTITUTE(A201,"/"," "),"."," "),"\"," "),"_"," "))&amp;" ")),1,0))+IF(Task!$A$19="",0,IF(ISNUMBER(SEARCH(" "&amp;Task!$A$19&amp;" "," "&amp;LOWER(SUBSTITUTE(SUBSTITUTE(SUBSTITUTE(SUBSTITUTE(A201,"/"," "),"."," "),"\"," "),"_"," "))&amp;" ")),1,0)))</f>
        <v/>
      </c>
      <c r="I201" s="10">
        <f>IF(OR(E201=0,F201=0,Task!$B$21=0),"",F201/Task!$B$21+0.5*G201+0.25*H201)</f>
        <v/>
      </c>
      <c r="J201" s="5">
        <f>IF(I201="","",I201-ROW()/1000000)</f>
        <v/>
      </c>
      <c r="K201" s="9">
        <f>IF(J201="","",COUNTIF($J$5:$J$404,"&gt;"&amp;J201)+1)</f>
        <v/>
      </c>
    </row>
    <row r="202">
      <c r="A202" s="7" t="n"/>
      <c r="B202" s="7" t="n"/>
      <c r="C202" s="7" t="n"/>
      <c r="D202" s="7" t="n"/>
      <c r="E202" s="5">
        <f>IF(A202="",0,IF(COUNTA(Task!$B$5:$E$5)=0,1,IF(COUNTIF(Task!$B$5:$E$5,B202)&gt;0,1,0)))</f>
        <v/>
      </c>
      <c r="F202" s="9">
        <f>IF(E202=0,0,IF(Task!$A$8="",0,IF(ISNUMBER(SEARCH(" "&amp;Task!$A$8&amp;" "," "&amp;LOWER(D202&amp;" "&amp;C202&amp;" "&amp;LOWER(SUBSTITUTE(SUBSTITUTE(SUBSTITUTE(SUBSTITUTE(A202,"/"," "),"."," "),"\"," "),"_"," ")))&amp;" ")),1,0))+IF(Task!$A$9="",0,IF(ISNUMBER(SEARCH(" "&amp;Task!$A$9&amp;" "," "&amp;LOWER(D202&amp;" "&amp;C202&amp;" "&amp;LOWER(SUBSTITUTE(SUBSTITUTE(SUBSTITUTE(SUBSTITUTE(A202,"/"," "),"."," "),"\"," "),"_"," ")))&amp;" ")),1,0))+IF(Task!$A$10="",0,IF(ISNUMBER(SEARCH(" "&amp;Task!$A$10&amp;" "," "&amp;LOWER(D202&amp;" "&amp;C202&amp;" "&amp;LOWER(SUBSTITUTE(SUBSTITUTE(SUBSTITUTE(SUBSTITUTE(A202,"/"," "),"."," "),"\"," "),"_"," ")))&amp;" ")),1,0))+IF(Task!$A$11="",0,IF(ISNUMBER(SEARCH(" "&amp;Task!$A$11&amp;" "," "&amp;LOWER(D202&amp;" "&amp;C202&amp;" "&amp;LOWER(SUBSTITUTE(SUBSTITUTE(SUBSTITUTE(SUBSTITUTE(A202,"/"," "),"."," "),"\"," "),"_"," ")))&amp;" ")),1,0))+IF(Task!$A$12="",0,IF(ISNUMBER(SEARCH(" "&amp;Task!$A$12&amp;" "," "&amp;LOWER(D202&amp;" "&amp;C202&amp;" "&amp;LOWER(SUBSTITUTE(SUBSTITUTE(SUBSTITUTE(SUBSTITUTE(A202,"/"," "),"."," "),"\"," "),"_"," ")))&amp;" ")),1,0))+IF(Task!$A$13="",0,IF(ISNUMBER(SEARCH(" "&amp;Task!$A$13&amp;" "," "&amp;LOWER(D202&amp;" "&amp;C202&amp;" "&amp;LOWER(SUBSTITUTE(SUBSTITUTE(SUBSTITUTE(SUBSTITUTE(A202,"/"," "),"."," "),"\"," "),"_"," ")))&amp;" ")),1,0))+IF(Task!$A$14="",0,IF(ISNUMBER(SEARCH(" "&amp;Task!$A$14&amp;" "," "&amp;LOWER(D202&amp;" "&amp;C202&amp;" "&amp;LOWER(SUBSTITUTE(SUBSTITUTE(SUBSTITUTE(SUBSTITUTE(A202,"/"," "),"."," "),"\"," "),"_"," ")))&amp;" ")),1,0))+IF(Task!$A$15="",0,IF(ISNUMBER(SEARCH(" "&amp;Task!$A$15&amp;" "," "&amp;LOWER(D202&amp;" "&amp;C202&amp;" "&amp;LOWER(SUBSTITUTE(SUBSTITUTE(SUBSTITUTE(SUBSTITUTE(A202,"/"," "),"."," "),"\"," "),"_"," ")))&amp;" ")),1,0))+IF(Task!$A$16="",0,IF(ISNUMBER(SEARCH(" "&amp;Task!$A$16&amp;" "," "&amp;LOWER(D202&amp;" "&amp;C202&amp;" "&amp;LOWER(SUBSTITUTE(SUBSTITUTE(SUBSTITUTE(SUBSTITUTE(A202,"/"," "),"."," "),"\"," "),"_"," ")))&amp;" ")),1,0))+IF(Task!$A$17="",0,IF(ISNUMBER(SEARCH(" "&amp;Task!$A$17&amp;" "," "&amp;LOWER(D202&amp;" "&amp;C202&amp;" "&amp;LOWER(SUBSTITUTE(SUBSTITUTE(SUBSTITUTE(SUBSTITUTE(A202,"/"," "),"."," "),"\"," "),"_"," ")))&amp;" ")),1,0))+IF(Task!$A$18="",0,IF(ISNUMBER(SEARCH(" "&amp;Task!$A$18&amp;" "," "&amp;LOWER(D202&amp;" "&amp;C202&amp;" "&amp;LOWER(SUBSTITUTE(SUBSTITUTE(SUBSTITUTE(SUBSTITUTE(A202,"/"," "),"."," "),"\"," "),"_"," ")))&amp;" ")),1,0))+IF(Task!$A$19="",0,IF(ISNUMBER(SEARCH(" "&amp;Task!$A$19&amp;" "," "&amp;LOWER(D202&amp;" "&amp;C202&amp;" "&amp;LOWER(SUBSTITUTE(SUBSTITUTE(SUBSTITUTE(SUBSTITUTE(A202,"/"," "),"."," "),"\"," "),"_"," ")))&amp;" ")),1,0)))</f>
        <v/>
      </c>
      <c r="G202" s="9">
        <f>IF(E202=0,0,IF(Task!$A$8="",0,IF(ISNUMBER(SEARCH(" "&amp;Task!$A$8&amp;" "," "&amp;LOWER(C202)&amp;" ")),1,0))+IF(Task!$A$9="",0,IF(ISNUMBER(SEARCH(" "&amp;Task!$A$9&amp;" "," "&amp;LOWER(C202)&amp;" ")),1,0))+IF(Task!$A$10="",0,IF(ISNUMBER(SEARCH(" "&amp;Task!$A$10&amp;" "," "&amp;LOWER(C202)&amp;" ")),1,0))+IF(Task!$A$11="",0,IF(ISNUMBER(SEARCH(" "&amp;Task!$A$11&amp;" "," "&amp;LOWER(C202)&amp;" ")),1,0))+IF(Task!$A$12="",0,IF(ISNUMBER(SEARCH(" "&amp;Task!$A$12&amp;" "," "&amp;LOWER(C202)&amp;" ")),1,0))+IF(Task!$A$13="",0,IF(ISNUMBER(SEARCH(" "&amp;Task!$A$13&amp;" "," "&amp;LOWER(C202)&amp;" ")),1,0))+IF(Task!$A$14="",0,IF(ISNUMBER(SEARCH(" "&amp;Task!$A$14&amp;" "," "&amp;LOWER(C202)&amp;" ")),1,0))+IF(Task!$A$15="",0,IF(ISNUMBER(SEARCH(" "&amp;Task!$A$15&amp;" "," "&amp;LOWER(C202)&amp;" ")),1,0))+IF(Task!$A$16="",0,IF(ISNUMBER(SEARCH(" "&amp;Task!$A$16&amp;" "," "&amp;LOWER(C202)&amp;" ")),1,0))+IF(Task!$A$17="",0,IF(ISNUMBER(SEARCH(" "&amp;Task!$A$17&amp;" "," "&amp;LOWER(C202)&amp;" ")),1,0))+IF(Task!$A$18="",0,IF(ISNUMBER(SEARCH(" "&amp;Task!$A$18&amp;" "," "&amp;LOWER(C202)&amp;" ")),1,0))+IF(Task!$A$19="",0,IF(ISNUMBER(SEARCH(" "&amp;Task!$A$19&amp;" "," "&amp;LOWER(C202)&amp;" ")),1,0)))</f>
        <v/>
      </c>
      <c r="H202" s="9">
        <f>IF(E202=0,0,IF(Task!$A$8="",0,IF(ISNUMBER(SEARCH(" "&amp;Task!$A$8&amp;" "," "&amp;LOWER(SUBSTITUTE(SUBSTITUTE(SUBSTITUTE(SUBSTITUTE(A202,"/"," "),"."," "),"\"," "),"_"," "))&amp;" ")),1,0))+IF(Task!$A$9="",0,IF(ISNUMBER(SEARCH(" "&amp;Task!$A$9&amp;" "," "&amp;LOWER(SUBSTITUTE(SUBSTITUTE(SUBSTITUTE(SUBSTITUTE(A202,"/"," "),"."," "),"\"," "),"_"," "))&amp;" ")),1,0))+IF(Task!$A$10="",0,IF(ISNUMBER(SEARCH(" "&amp;Task!$A$10&amp;" "," "&amp;LOWER(SUBSTITUTE(SUBSTITUTE(SUBSTITUTE(SUBSTITUTE(A202,"/"," "),"."," "),"\"," "),"_"," "))&amp;" ")),1,0))+IF(Task!$A$11="",0,IF(ISNUMBER(SEARCH(" "&amp;Task!$A$11&amp;" "," "&amp;LOWER(SUBSTITUTE(SUBSTITUTE(SUBSTITUTE(SUBSTITUTE(A202,"/"," "),"."," "),"\"," "),"_"," "))&amp;" ")),1,0))+IF(Task!$A$12="",0,IF(ISNUMBER(SEARCH(" "&amp;Task!$A$12&amp;" "," "&amp;LOWER(SUBSTITUTE(SUBSTITUTE(SUBSTITUTE(SUBSTITUTE(A202,"/"," "),"."," "),"\"," "),"_"," "))&amp;" ")),1,0))+IF(Task!$A$13="",0,IF(ISNUMBER(SEARCH(" "&amp;Task!$A$13&amp;" "," "&amp;LOWER(SUBSTITUTE(SUBSTITUTE(SUBSTITUTE(SUBSTITUTE(A202,"/"," "),"."," "),"\"," "),"_"," "))&amp;" ")),1,0))+IF(Task!$A$14="",0,IF(ISNUMBER(SEARCH(" "&amp;Task!$A$14&amp;" "," "&amp;LOWER(SUBSTITUTE(SUBSTITUTE(SUBSTITUTE(SUBSTITUTE(A202,"/"," "),"."," "),"\"," "),"_"," "))&amp;" ")),1,0))+IF(Task!$A$15="",0,IF(ISNUMBER(SEARCH(" "&amp;Task!$A$15&amp;" "," "&amp;LOWER(SUBSTITUTE(SUBSTITUTE(SUBSTITUTE(SUBSTITUTE(A202,"/"," "),"."," "),"\"," "),"_"," "))&amp;" ")),1,0))+IF(Task!$A$16="",0,IF(ISNUMBER(SEARCH(" "&amp;Task!$A$16&amp;" "," "&amp;LOWER(SUBSTITUTE(SUBSTITUTE(SUBSTITUTE(SUBSTITUTE(A202,"/"," "),"."," "),"\"," "),"_"," "))&amp;" ")),1,0))+IF(Task!$A$17="",0,IF(ISNUMBER(SEARCH(" "&amp;Task!$A$17&amp;" "," "&amp;LOWER(SUBSTITUTE(SUBSTITUTE(SUBSTITUTE(SUBSTITUTE(A202,"/"," "),"."," "),"\"," "),"_"," "))&amp;" ")),1,0))+IF(Task!$A$18="",0,IF(ISNUMBER(SEARCH(" "&amp;Task!$A$18&amp;" "," "&amp;LOWER(SUBSTITUTE(SUBSTITUTE(SUBSTITUTE(SUBSTITUTE(A202,"/"," "),"."," "),"\"," "),"_"," "))&amp;" ")),1,0))+IF(Task!$A$19="",0,IF(ISNUMBER(SEARCH(" "&amp;Task!$A$19&amp;" "," "&amp;LOWER(SUBSTITUTE(SUBSTITUTE(SUBSTITUTE(SUBSTITUTE(A202,"/"," "),"."," "),"\"," "),"_"," "))&amp;" ")),1,0)))</f>
        <v/>
      </c>
      <c r="I202" s="10">
        <f>IF(OR(E202=0,F202=0,Task!$B$21=0),"",F202/Task!$B$21+0.5*G202+0.25*H202)</f>
        <v/>
      </c>
      <c r="J202" s="5">
        <f>IF(I202="","",I202-ROW()/1000000)</f>
        <v/>
      </c>
      <c r="K202" s="9">
        <f>IF(J202="","",COUNTIF($J$5:$J$404,"&gt;"&amp;J202)+1)</f>
        <v/>
      </c>
    </row>
    <row r="203">
      <c r="A203" s="7" t="n"/>
      <c r="B203" s="7" t="n"/>
      <c r="C203" s="7" t="n"/>
      <c r="D203" s="7" t="n"/>
      <c r="E203" s="5">
        <f>IF(A203="",0,IF(COUNTA(Task!$B$5:$E$5)=0,1,IF(COUNTIF(Task!$B$5:$E$5,B203)&gt;0,1,0)))</f>
        <v/>
      </c>
      <c r="F203" s="9">
        <f>IF(E203=0,0,IF(Task!$A$8="",0,IF(ISNUMBER(SEARCH(" "&amp;Task!$A$8&amp;" "," "&amp;LOWER(D203&amp;" "&amp;C203&amp;" "&amp;LOWER(SUBSTITUTE(SUBSTITUTE(SUBSTITUTE(SUBSTITUTE(A203,"/"," "),"."," "),"\"," "),"_"," ")))&amp;" ")),1,0))+IF(Task!$A$9="",0,IF(ISNUMBER(SEARCH(" "&amp;Task!$A$9&amp;" "," "&amp;LOWER(D203&amp;" "&amp;C203&amp;" "&amp;LOWER(SUBSTITUTE(SUBSTITUTE(SUBSTITUTE(SUBSTITUTE(A203,"/"," "),"."," "),"\"," "),"_"," ")))&amp;" ")),1,0))+IF(Task!$A$10="",0,IF(ISNUMBER(SEARCH(" "&amp;Task!$A$10&amp;" "," "&amp;LOWER(D203&amp;" "&amp;C203&amp;" "&amp;LOWER(SUBSTITUTE(SUBSTITUTE(SUBSTITUTE(SUBSTITUTE(A203,"/"," "),"."," "),"\"," "),"_"," ")))&amp;" ")),1,0))+IF(Task!$A$11="",0,IF(ISNUMBER(SEARCH(" "&amp;Task!$A$11&amp;" "," "&amp;LOWER(D203&amp;" "&amp;C203&amp;" "&amp;LOWER(SUBSTITUTE(SUBSTITUTE(SUBSTITUTE(SUBSTITUTE(A203,"/"," "),"."," "),"\"," "),"_"," ")))&amp;" ")),1,0))+IF(Task!$A$12="",0,IF(ISNUMBER(SEARCH(" "&amp;Task!$A$12&amp;" "," "&amp;LOWER(D203&amp;" "&amp;C203&amp;" "&amp;LOWER(SUBSTITUTE(SUBSTITUTE(SUBSTITUTE(SUBSTITUTE(A203,"/"," "),"."," "),"\"," "),"_"," ")))&amp;" ")),1,0))+IF(Task!$A$13="",0,IF(ISNUMBER(SEARCH(" "&amp;Task!$A$13&amp;" "," "&amp;LOWER(D203&amp;" "&amp;C203&amp;" "&amp;LOWER(SUBSTITUTE(SUBSTITUTE(SUBSTITUTE(SUBSTITUTE(A203,"/"," "),"."," "),"\"," "),"_"," ")))&amp;" ")),1,0))+IF(Task!$A$14="",0,IF(ISNUMBER(SEARCH(" "&amp;Task!$A$14&amp;" "," "&amp;LOWER(D203&amp;" "&amp;C203&amp;" "&amp;LOWER(SUBSTITUTE(SUBSTITUTE(SUBSTITUTE(SUBSTITUTE(A203,"/"," "),"."," "),"\"," "),"_"," ")))&amp;" ")),1,0))+IF(Task!$A$15="",0,IF(ISNUMBER(SEARCH(" "&amp;Task!$A$15&amp;" "," "&amp;LOWER(D203&amp;" "&amp;C203&amp;" "&amp;LOWER(SUBSTITUTE(SUBSTITUTE(SUBSTITUTE(SUBSTITUTE(A203,"/"," "),"."," "),"\"," "),"_"," ")))&amp;" ")),1,0))+IF(Task!$A$16="",0,IF(ISNUMBER(SEARCH(" "&amp;Task!$A$16&amp;" "," "&amp;LOWER(D203&amp;" "&amp;C203&amp;" "&amp;LOWER(SUBSTITUTE(SUBSTITUTE(SUBSTITUTE(SUBSTITUTE(A203,"/"," "),"."," "),"\"," "),"_"," ")))&amp;" ")),1,0))+IF(Task!$A$17="",0,IF(ISNUMBER(SEARCH(" "&amp;Task!$A$17&amp;" "," "&amp;LOWER(D203&amp;" "&amp;C203&amp;" "&amp;LOWER(SUBSTITUTE(SUBSTITUTE(SUBSTITUTE(SUBSTITUTE(A203,"/"," "),"."," "),"\"," "),"_"," ")))&amp;" ")),1,0))+IF(Task!$A$18="",0,IF(ISNUMBER(SEARCH(" "&amp;Task!$A$18&amp;" "," "&amp;LOWER(D203&amp;" "&amp;C203&amp;" "&amp;LOWER(SUBSTITUTE(SUBSTITUTE(SUBSTITUTE(SUBSTITUTE(A203,"/"," "),"."," "),"\"," "),"_"," ")))&amp;" ")),1,0))+IF(Task!$A$19="",0,IF(ISNUMBER(SEARCH(" "&amp;Task!$A$19&amp;" "," "&amp;LOWER(D203&amp;" "&amp;C203&amp;" "&amp;LOWER(SUBSTITUTE(SUBSTITUTE(SUBSTITUTE(SUBSTITUTE(A203,"/"," "),"."," "),"\"," "),"_"," ")))&amp;" ")),1,0)))</f>
        <v/>
      </c>
      <c r="G203" s="9">
        <f>IF(E203=0,0,IF(Task!$A$8="",0,IF(ISNUMBER(SEARCH(" "&amp;Task!$A$8&amp;" "," "&amp;LOWER(C203)&amp;" ")),1,0))+IF(Task!$A$9="",0,IF(ISNUMBER(SEARCH(" "&amp;Task!$A$9&amp;" "," "&amp;LOWER(C203)&amp;" ")),1,0))+IF(Task!$A$10="",0,IF(ISNUMBER(SEARCH(" "&amp;Task!$A$10&amp;" "," "&amp;LOWER(C203)&amp;" ")),1,0))+IF(Task!$A$11="",0,IF(ISNUMBER(SEARCH(" "&amp;Task!$A$11&amp;" "," "&amp;LOWER(C203)&amp;" ")),1,0))+IF(Task!$A$12="",0,IF(ISNUMBER(SEARCH(" "&amp;Task!$A$12&amp;" "," "&amp;LOWER(C203)&amp;" ")),1,0))+IF(Task!$A$13="",0,IF(ISNUMBER(SEARCH(" "&amp;Task!$A$13&amp;" "," "&amp;LOWER(C203)&amp;" ")),1,0))+IF(Task!$A$14="",0,IF(ISNUMBER(SEARCH(" "&amp;Task!$A$14&amp;" "," "&amp;LOWER(C203)&amp;" ")),1,0))+IF(Task!$A$15="",0,IF(ISNUMBER(SEARCH(" "&amp;Task!$A$15&amp;" "," "&amp;LOWER(C203)&amp;" ")),1,0))+IF(Task!$A$16="",0,IF(ISNUMBER(SEARCH(" "&amp;Task!$A$16&amp;" "," "&amp;LOWER(C203)&amp;" ")),1,0))+IF(Task!$A$17="",0,IF(ISNUMBER(SEARCH(" "&amp;Task!$A$17&amp;" "," "&amp;LOWER(C203)&amp;" ")),1,0))+IF(Task!$A$18="",0,IF(ISNUMBER(SEARCH(" "&amp;Task!$A$18&amp;" "," "&amp;LOWER(C203)&amp;" ")),1,0))+IF(Task!$A$19="",0,IF(ISNUMBER(SEARCH(" "&amp;Task!$A$19&amp;" "," "&amp;LOWER(C203)&amp;" ")),1,0)))</f>
        <v/>
      </c>
      <c r="H203" s="9">
        <f>IF(E203=0,0,IF(Task!$A$8="",0,IF(ISNUMBER(SEARCH(" "&amp;Task!$A$8&amp;" "," "&amp;LOWER(SUBSTITUTE(SUBSTITUTE(SUBSTITUTE(SUBSTITUTE(A203,"/"," "),"."," "),"\"," "),"_"," "))&amp;" ")),1,0))+IF(Task!$A$9="",0,IF(ISNUMBER(SEARCH(" "&amp;Task!$A$9&amp;" "," "&amp;LOWER(SUBSTITUTE(SUBSTITUTE(SUBSTITUTE(SUBSTITUTE(A203,"/"," "),"."," "),"\"," "),"_"," "))&amp;" ")),1,0))+IF(Task!$A$10="",0,IF(ISNUMBER(SEARCH(" "&amp;Task!$A$10&amp;" "," "&amp;LOWER(SUBSTITUTE(SUBSTITUTE(SUBSTITUTE(SUBSTITUTE(A203,"/"," "),"."," "),"\"," "),"_"," "))&amp;" ")),1,0))+IF(Task!$A$11="",0,IF(ISNUMBER(SEARCH(" "&amp;Task!$A$11&amp;" "," "&amp;LOWER(SUBSTITUTE(SUBSTITUTE(SUBSTITUTE(SUBSTITUTE(A203,"/"," "),"."," "),"\"," "),"_"," "))&amp;" ")),1,0))+IF(Task!$A$12="",0,IF(ISNUMBER(SEARCH(" "&amp;Task!$A$12&amp;" "," "&amp;LOWER(SUBSTITUTE(SUBSTITUTE(SUBSTITUTE(SUBSTITUTE(A203,"/"," "),"."," "),"\"," "),"_"," "))&amp;" ")),1,0))+IF(Task!$A$13="",0,IF(ISNUMBER(SEARCH(" "&amp;Task!$A$13&amp;" "," "&amp;LOWER(SUBSTITUTE(SUBSTITUTE(SUBSTITUTE(SUBSTITUTE(A203,"/"," "),"."," "),"\"," "),"_"," "))&amp;" ")),1,0))+IF(Task!$A$14="",0,IF(ISNUMBER(SEARCH(" "&amp;Task!$A$14&amp;" "," "&amp;LOWER(SUBSTITUTE(SUBSTITUTE(SUBSTITUTE(SUBSTITUTE(A203,"/"," "),"."," "),"\"," "),"_"," "))&amp;" ")),1,0))+IF(Task!$A$15="",0,IF(ISNUMBER(SEARCH(" "&amp;Task!$A$15&amp;" "," "&amp;LOWER(SUBSTITUTE(SUBSTITUTE(SUBSTITUTE(SUBSTITUTE(A203,"/"," "),"."," "),"\"," "),"_"," "))&amp;" ")),1,0))+IF(Task!$A$16="",0,IF(ISNUMBER(SEARCH(" "&amp;Task!$A$16&amp;" "," "&amp;LOWER(SUBSTITUTE(SUBSTITUTE(SUBSTITUTE(SUBSTITUTE(A203,"/"," "),"."," "),"\"," "),"_"," "))&amp;" ")),1,0))+IF(Task!$A$17="",0,IF(ISNUMBER(SEARCH(" "&amp;Task!$A$17&amp;" "," "&amp;LOWER(SUBSTITUTE(SUBSTITUTE(SUBSTITUTE(SUBSTITUTE(A203,"/"," "),"."," "),"\"," "),"_"," "))&amp;" ")),1,0))+IF(Task!$A$18="",0,IF(ISNUMBER(SEARCH(" "&amp;Task!$A$18&amp;" "," "&amp;LOWER(SUBSTITUTE(SUBSTITUTE(SUBSTITUTE(SUBSTITUTE(A203,"/"," "),"."," "),"\"," "),"_"," "))&amp;" ")),1,0))+IF(Task!$A$19="",0,IF(ISNUMBER(SEARCH(" "&amp;Task!$A$19&amp;" "," "&amp;LOWER(SUBSTITUTE(SUBSTITUTE(SUBSTITUTE(SUBSTITUTE(A203,"/"," "),"."," "),"\"," "),"_"," "))&amp;" ")),1,0)))</f>
        <v/>
      </c>
      <c r="I203" s="10">
        <f>IF(OR(E203=0,F203=0,Task!$B$21=0),"",F203/Task!$B$21+0.5*G203+0.25*H203)</f>
        <v/>
      </c>
      <c r="J203" s="5">
        <f>IF(I203="","",I203-ROW()/1000000)</f>
        <v/>
      </c>
      <c r="K203" s="9">
        <f>IF(J203="","",COUNTIF($J$5:$J$404,"&gt;"&amp;J203)+1)</f>
        <v/>
      </c>
    </row>
    <row r="204">
      <c r="A204" s="7" t="n"/>
      <c r="B204" s="7" t="n"/>
      <c r="C204" s="7" t="n"/>
      <c r="D204" s="7" t="n"/>
      <c r="E204" s="5">
        <f>IF(A204="",0,IF(COUNTA(Task!$B$5:$E$5)=0,1,IF(COUNTIF(Task!$B$5:$E$5,B204)&gt;0,1,0)))</f>
        <v/>
      </c>
      <c r="F204" s="9">
        <f>IF(E204=0,0,IF(Task!$A$8="",0,IF(ISNUMBER(SEARCH(" "&amp;Task!$A$8&amp;" "," "&amp;LOWER(D204&amp;" "&amp;C204&amp;" "&amp;LOWER(SUBSTITUTE(SUBSTITUTE(SUBSTITUTE(SUBSTITUTE(A204,"/"," "),"."," "),"\"," "),"_"," ")))&amp;" ")),1,0))+IF(Task!$A$9="",0,IF(ISNUMBER(SEARCH(" "&amp;Task!$A$9&amp;" "," "&amp;LOWER(D204&amp;" "&amp;C204&amp;" "&amp;LOWER(SUBSTITUTE(SUBSTITUTE(SUBSTITUTE(SUBSTITUTE(A204,"/"," "),"."," "),"\"," "),"_"," ")))&amp;" ")),1,0))+IF(Task!$A$10="",0,IF(ISNUMBER(SEARCH(" "&amp;Task!$A$10&amp;" "," "&amp;LOWER(D204&amp;" "&amp;C204&amp;" "&amp;LOWER(SUBSTITUTE(SUBSTITUTE(SUBSTITUTE(SUBSTITUTE(A204,"/"," "),"."," "),"\"," "),"_"," ")))&amp;" ")),1,0))+IF(Task!$A$11="",0,IF(ISNUMBER(SEARCH(" "&amp;Task!$A$11&amp;" "," "&amp;LOWER(D204&amp;" "&amp;C204&amp;" "&amp;LOWER(SUBSTITUTE(SUBSTITUTE(SUBSTITUTE(SUBSTITUTE(A204,"/"," "),"."," "),"\"," "),"_"," ")))&amp;" ")),1,0))+IF(Task!$A$12="",0,IF(ISNUMBER(SEARCH(" "&amp;Task!$A$12&amp;" "," "&amp;LOWER(D204&amp;" "&amp;C204&amp;" "&amp;LOWER(SUBSTITUTE(SUBSTITUTE(SUBSTITUTE(SUBSTITUTE(A204,"/"," "),"."," "),"\"," "),"_"," ")))&amp;" ")),1,0))+IF(Task!$A$13="",0,IF(ISNUMBER(SEARCH(" "&amp;Task!$A$13&amp;" "," "&amp;LOWER(D204&amp;" "&amp;C204&amp;" "&amp;LOWER(SUBSTITUTE(SUBSTITUTE(SUBSTITUTE(SUBSTITUTE(A204,"/"," "),"."," "),"\"," "),"_"," ")))&amp;" ")),1,0))+IF(Task!$A$14="",0,IF(ISNUMBER(SEARCH(" "&amp;Task!$A$14&amp;" "," "&amp;LOWER(D204&amp;" "&amp;C204&amp;" "&amp;LOWER(SUBSTITUTE(SUBSTITUTE(SUBSTITUTE(SUBSTITUTE(A204,"/"," "),"."," "),"\"," "),"_"," ")))&amp;" ")),1,0))+IF(Task!$A$15="",0,IF(ISNUMBER(SEARCH(" "&amp;Task!$A$15&amp;" "," "&amp;LOWER(D204&amp;" "&amp;C204&amp;" "&amp;LOWER(SUBSTITUTE(SUBSTITUTE(SUBSTITUTE(SUBSTITUTE(A204,"/"," "),"."," "),"\"," "),"_"," ")))&amp;" ")),1,0))+IF(Task!$A$16="",0,IF(ISNUMBER(SEARCH(" "&amp;Task!$A$16&amp;" "," "&amp;LOWER(D204&amp;" "&amp;C204&amp;" "&amp;LOWER(SUBSTITUTE(SUBSTITUTE(SUBSTITUTE(SUBSTITUTE(A204,"/"," "),"."," "),"\"," "),"_"," ")))&amp;" ")),1,0))+IF(Task!$A$17="",0,IF(ISNUMBER(SEARCH(" "&amp;Task!$A$17&amp;" "," "&amp;LOWER(D204&amp;" "&amp;C204&amp;" "&amp;LOWER(SUBSTITUTE(SUBSTITUTE(SUBSTITUTE(SUBSTITUTE(A204,"/"," "),"."," "),"\"," "),"_"," ")))&amp;" ")),1,0))+IF(Task!$A$18="",0,IF(ISNUMBER(SEARCH(" "&amp;Task!$A$18&amp;" "," "&amp;LOWER(D204&amp;" "&amp;C204&amp;" "&amp;LOWER(SUBSTITUTE(SUBSTITUTE(SUBSTITUTE(SUBSTITUTE(A204,"/"," "),"."," "),"\"," "),"_"," ")))&amp;" ")),1,0))+IF(Task!$A$19="",0,IF(ISNUMBER(SEARCH(" "&amp;Task!$A$19&amp;" "," "&amp;LOWER(D204&amp;" "&amp;C204&amp;" "&amp;LOWER(SUBSTITUTE(SUBSTITUTE(SUBSTITUTE(SUBSTITUTE(A204,"/"," "),"."," "),"\"," "),"_"," ")))&amp;" ")),1,0)))</f>
        <v/>
      </c>
      <c r="G204" s="9">
        <f>IF(E204=0,0,IF(Task!$A$8="",0,IF(ISNUMBER(SEARCH(" "&amp;Task!$A$8&amp;" "," "&amp;LOWER(C204)&amp;" ")),1,0))+IF(Task!$A$9="",0,IF(ISNUMBER(SEARCH(" "&amp;Task!$A$9&amp;" "," "&amp;LOWER(C204)&amp;" ")),1,0))+IF(Task!$A$10="",0,IF(ISNUMBER(SEARCH(" "&amp;Task!$A$10&amp;" "," "&amp;LOWER(C204)&amp;" ")),1,0))+IF(Task!$A$11="",0,IF(ISNUMBER(SEARCH(" "&amp;Task!$A$11&amp;" "," "&amp;LOWER(C204)&amp;" ")),1,0))+IF(Task!$A$12="",0,IF(ISNUMBER(SEARCH(" "&amp;Task!$A$12&amp;" "," "&amp;LOWER(C204)&amp;" ")),1,0))+IF(Task!$A$13="",0,IF(ISNUMBER(SEARCH(" "&amp;Task!$A$13&amp;" "," "&amp;LOWER(C204)&amp;" ")),1,0))+IF(Task!$A$14="",0,IF(ISNUMBER(SEARCH(" "&amp;Task!$A$14&amp;" "," "&amp;LOWER(C204)&amp;" ")),1,0))+IF(Task!$A$15="",0,IF(ISNUMBER(SEARCH(" "&amp;Task!$A$15&amp;" "," "&amp;LOWER(C204)&amp;" ")),1,0))+IF(Task!$A$16="",0,IF(ISNUMBER(SEARCH(" "&amp;Task!$A$16&amp;" "," "&amp;LOWER(C204)&amp;" ")),1,0))+IF(Task!$A$17="",0,IF(ISNUMBER(SEARCH(" "&amp;Task!$A$17&amp;" "," "&amp;LOWER(C204)&amp;" ")),1,0))+IF(Task!$A$18="",0,IF(ISNUMBER(SEARCH(" "&amp;Task!$A$18&amp;" "," "&amp;LOWER(C204)&amp;" ")),1,0))+IF(Task!$A$19="",0,IF(ISNUMBER(SEARCH(" "&amp;Task!$A$19&amp;" "," "&amp;LOWER(C204)&amp;" ")),1,0)))</f>
        <v/>
      </c>
      <c r="H204" s="9">
        <f>IF(E204=0,0,IF(Task!$A$8="",0,IF(ISNUMBER(SEARCH(" "&amp;Task!$A$8&amp;" "," "&amp;LOWER(SUBSTITUTE(SUBSTITUTE(SUBSTITUTE(SUBSTITUTE(A204,"/"," "),"."," "),"\"," "),"_"," "))&amp;" ")),1,0))+IF(Task!$A$9="",0,IF(ISNUMBER(SEARCH(" "&amp;Task!$A$9&amp;" "," "&amp;LOWER(SUBSTITUTE(SUBSTITUTE(SUBSTITUTE(SUBSTITUTE(A204,"/"," "),"."," "),"\"," "),"_"," "))&amp;" ")),1,0))+IF(Task!$A$10="",0,IF(ISNUMBER(SEARCH(" "&amp;Task!$A$10&amp;" "," "&amp;LOWER(SUBSTITUTE(SUBSTITUTE(SUBSTITUTE(SUBSTITUTE(A204,"/"," "),"."," "),"\"," "),"_"," "))&amp;" ")),1,0))+IF(Task!$A$11="",0,IF(ISNUMBER(SEARCH(" "&amp;Task!$A$11&amp;" "," "&amp;LOWER(SUBSTITUTE(SUBSTITUTE(SUBSTITUTE(SUBSTITUTE(A204,"/"," "),"."," "),"\"," "),"_"," "))&amp;" ")),1,0))+IF(Task!$A$12="",0,IF(ISNUMBER(SEARCH(" "&amp;Task!$A$12&amp;" "," "&amp;LOWER(SUBSTITUTE(SUBSTITUTE(SUBSTITUTE(SUBSTITUTE(A204,"/"," "),"."," "),"\"," "),"_"," "))&amp;" ")),1,0))+IF(Task!$A$13="",0,IF(ISNUMBER(SEARCH(" "&amp;Task!$A$13&amp;" "," "&amp;LOWER(SUBSTITUTE(SUBSTITUTE(SUBSTITUTE(SUBSTITUTE(A204,"/"," "),"."," "),"\"," "),"_"," "))&amp;" ")),1,0))+IF(Task!$A$14="",0,IF(ISNUMBER(SEARCH(" "&amp;Task!$A$14&amp;" "," "&amp;LOWER(SUBSTITUTE(SUBSTITUTE(SUBSTITUTE(SUBSTITUTE(A204,"/"," "),"."," "),"\"," "),"_"," "))&amp;" ")),1,0))+IF(Task!$A$15="",0,IF(ISNUMBER(SEARCH(" "&amp;Task!$A$15&amp;" "," "&amp;LOWER(SUBSTITUTE(SUBSTITUTE(SUBSTITUTE(SUBSTITUTE(A204,"/"," "),"."," "),"\"," "),"_"," "))&amp;" ")),1,0))+IF(Task!$A$16="",0,IF(ISNUMBER(SEARCH(" "&amp;Task!$A$16&amp;" "," "&amp;LOWER(SUBSTITUTE(SUBSTITUTE(SUBSTITUTE(SUBSTITUTE(A204,"/"," "),"."," "),"\"," "),"_"," "))&amp;" ")),1,0))+IF(Task!$A$17="",0,IF(ISNUMBER(SEARCH(" "&amp;Task!$A$17&amp;" "," "&amp;LOWER(SUBSTITUTE(SUBSTITUTE(SUBSTITUTE(SUBSTITUTE(A204,"/"," "),"."," "),"\"," "),"_"," "))&amp;" ")),1,0))+IF(Task!$A$18="",0,IF(ISNUMBER(SEARCH(" "&amp;Task!$A$18&amp;" "," "&amp;LOWER(SUBSTITUTE(SUBSTITUTE(SUBSTITUTE(SUBSTITUTE(A204,"/"," "),"."," "),"\"," "),"_"," "))&amp;" ")),1,0))+IF(Task!$A$19="",0,IF(ISNUMBER(SEARCH(" "&amp;Task!$A$19&amp;" "," "&amp;LOWER(SUBSTITUTE(SUBSTITUTE(SUBSTITUTE(SUBSTITUTE(A204,"/"," "),"."," "),"\"," "),"_"," "))&amp;" ")),1,0)))</f>
        <v/>
      </c>
      <c r="I204" s="10">
        <f>IF(OR(E204=0,F204=0,Task!$B$21=0),"",F204/Task!$B$21+0.5*G204+0.25*H204)</f>
        <v/>
      </c>
      <c r="J204" s="5">
        <f>IF(I204="","",I204-ROW()/1000000)</f>
        <v/>
      </c>
      <c r="K204" s="9">
        <f>IF(J204="","",COUNTIF($J$5:$J$404,"&gt;"&amp;J204)+1)</f>
        <v/>
      </c>
    </row>
    <row r="205">
      <c r="A205" s="7" t="n"/>
      <c r="B205" s="7" t="n"/>
      <c r="C205" s="7" t="n"/>
      <c r="D205" s="7" t="n"/>
      <c r="E205" s="5">
        <f>IF(A205="",0,IF(COUNTA(Task!$B$5:$E$5)=0,1,IF(COUNTIF(Task!$B$5:$E$5,B205)&gt;0,1,0)))</f>
        <v/>
      </c>
      <c r="F205" s="9">
        <f>IF(E205=0,0,IF(Task!$A$8="",0,IF(ISNUMBER(SEARCH(" "&amp;Task!$A$8&amp;" "," "&amp;LOWER(D205&amp;" "&amp;C205&amp;" "&amp;LOWER(SUBSTITUTE(SUBSTITUTE(SUBSTITUTE(SUBSTITUTE(A205,"/"," "),"."," "),"\"," "),"_"," ")))&amp;" ")),1,0))+IF(Task!$A$9="",0,IF(ISNUMBER(SEARCH(" "&amp;Task!$A$9&amp;" "," "&amp;LOWER(D205&amp;" "&amp;C205&amp;" "&amp;LOWER(SUBSTITUTE(SUBSTITUTE(SUBSTITUTE(SUBSTITUTE(A205,"/"," "),"."," "),"\"," "),"_"," ")))&amp;" ")),1,0))+IF(Task!$A$10="",0,IF(ISNUMBER(SEARCH(" "&amp;Task!$A$10&amp;" "," "&amp;LOWER(D205&amp;" "&amp;C205&amp;" "&amp;LOWER(SUBSTITUTE(SUBSTITUTE(SUBSTITUTE(SUBSTITUTE(A205,"/"," "),"."," "),"\"," "),"_"," ")))&amp;" ")),1,0))+IF(Task!$A$11="",0,IF(ISNUMBER(SEARCH(" "&amp;Task!$A$11&amp;" "," "&amp;LOWER(D205&amp;" "&amp;C205&amp;" "&amp;LOWER(SUBSTITUTE(SUBSTITUTE(SUBSTITUTE(SUBSTITUTE(A205,"/"," "),"."," "),"\"," "),"_"," ")))&amp;" ")),1,0))+IF(Task!$A$12="",0,IF(ISNUMBER(SEARCH(" "&amp;Task!$A$12&amp;" "," "&amp;LOWER(D205&amp;" "&amp;C205&amp;" "&amp;LOWER(SUBSTITUTE(SUBSTITUTE(SUBSTITUTE(SUBSTITUTE(A205,"/"," "),"."," "),"\"," "),"_"," ")))&amp;" ")),1,0))+IF(Task!$A$13="",0,IF(ISNUMBER(SEARCH(" "&amp;Task!$A$13&amp;" "," "&amp;LOWER(D205&amp;" "&amp;C205&amp;" "&amp;LOWER(SUBSTITUTE(SUBSTITUTE(SUBSTITUTE(SUBSTITUTE(A205,"/"," "),"."," "),"\"," "),"_"," ")))&amp;" ")),1,0))+IF(Task!$A$14="",0,IF(ISNUMBER(SEARCH(" "&amp;Task!$A$14&amp;" "," "&amp;LOWER(D205&amp;" "&amp;C205&amp;" "&amp;LOWER(SUBSTITUTE(SUBSTITUTE(SUBSTITUTE(SUBSTITUTE(A205,"/"," "),"."," "),"\"," "),"_"," ")))&amp;" ")),1,0))+IF(Task!$A$15="",0,IF(ISNUMBER(SEARCH(" "&amp;Task!$A$15&amp;" "," "&amp;LOWER(D205&amp;" "&amp;C205&amp;" "&amp;LOWER(SUBSTITUTE(SUBSTITUTE(SUBSTITUTE(SUBSTITUTE(A205,"/"," "),"."," "),"\"," "),"_"," ")))&amp;" ")),1,0))+IF(Task!$A$16="",0,IF(ISNUMBER(SEARCH(" "&amp;Task!$A$16&amp;" "," "&amp;LOWER(D205&amp;" "&amp;C205&amp;" "&amp;LOWER(SUBSTITUTE(SUBSTITUTE(SUBSTITUTE(SUBSTITUTE(A205,"/"," "),"."," "),"\"," "),"_"," ")))&amp;" ")),1,0))+IF(Task!$A$17="",0,IF(ISNUMBER(SEARCH(" "&amp;Task!$A$17&amp;" "," "&amp;LOWER(D205&amp;" "&amp;C205&amp;" "&amp;LOWER(SUBSTITUTE(SUBSTITUTE(SUBSTITUTE(SUBSTITUTE(A205,"/"," "),"."," "),"\"," "),"_"," ")))&amp;" ")),1,0))+IF(Task!$A$18="",0,IF(ISNUMBER(SEARCH(" "&amp;Task!$A$18&amp;" "," "&amp;LOWER(D205&amp;" "&amp;C205&amp;" "&amp;LOWER(SUBSTITUTE(SUBSTITUTE(SUBSTITUTE(SUBSTITUTE(A205,"/"," "),"."," "),"\"," "),"_"," ")))&amp;" ")),1,0))+IF(Task!$A$19="",0,IF(ISNUMBER(SEARCH(" "&amp;Task!$A$19&amp;" "," "&amp;LOWER(D205&amp;" "&amp;C205&amp;" "&amp;LOWER(SUBSTITUTE(SUBSTITUTE(SUBSTITUTE(SUBSTITUTE(A205,"/"," "),"."," "),"\"," "),"_"," ")))&amp;" ")),1,0)))</f>
        <v/>
      </c>
      <c r="G205" s="9">
        <f>IF(E205=0,0,IF(Task!$A$8="",0,IF(ISNUMBER(SEARCH(" "&amp;Task!$A$8&amp;" "," "&amp;LOWER(C205)&amp;" ")),1,0))+IF(Task!$A$9="",0,IF(ISNUMBER(SEARCH(" "&amp;Task!$A$9&amp;" "," "&amp;LOWER(C205)&amp;" ")),1,0))+IF(Task!$A$10="",0,IF(ISNUMBER(SEARCH(" "&amp;Task!$A$10&amp;" "," "&amp;LOWER(C205)&amp;" ")),1,0))+IF(Task!$A$11="",0,IF(ISNUMBER(SEARCH(" "&amp;Task!$A$11&amp;" "," "&amp;LOWER(C205)&amp;" ")),1,0))+IF(Task!$A$12="",0,IF(ISNUMBER(SEARCH(" "&amp;Task!$A$12&amp;" "," "&amp;LOWER(C205)&amp;" ")),1,0))+IF(Task!$A$13="",0,IF(ISNUMBER(SEARCH(" "&amp;Task!$A$13&amp;" "," "&amp;LOWER(C205)&amp;" ")),1,0))+IF(Task!$A$14="",0,IF(ISNUMBER(SEARCH(" "&amp;Task!$A$14&amp;" "," "&amp;LOWER(C205)&amp;" ")),1,0))+IF(Task!$A$15="",0,IF(ISNUMBER(SEARCH(" "&amp;Task!$A$15&amp;" "," "&amp;LOWER(C205)&amp;" ")),1,0))+IF(Task!$A$16="",0,IF(ISNUMBER(SEARCH(" "&amp;Task!$A$16&amp;" "," "&amp;LOWER(C205)&amp;" ")),1,0))+IF(Task!$A$17="",0,IF(ISNUMBER(SEARCH(" "&amp;Task!$A$17&amp;" "," "&amp;LOWER(C205)&amp;" ")),1,0))+IF(Task!$A$18="",0,IF(ISNUMBER(SEARCH(" "&amp;Task!$A$18&amp;" "," "&amp;LOWER(C205)&amp;" ")),1,0))+IF(Task!$A$19="",0,IF(ISNUMBER(SEARCH(" "&amp;Task!$A$19&amp;" "," "&amp;LOWER(C205)&amp;" ")),1,0)))</f>
        <v/>
      </c>
      <c r="H205" s="9">
        <f>IF(E205=0,0,IF(Task!$A$8="",0,IF(ISNUMBER(SEARCH(" "&amp;Task!$A$8&amp;" "," "&amp;LOWER(SUBSTITUTE(SUBSTITUTE(SUBSTITUTE(SUBSTITUTE(A205,"/"," "),"."," "),"\"," "),"_"," "))&amp;" ")),1,0))+IF(Task!$A$9="",0,IF(ISNUMBER(SEARCH(" "&amp;Task!$A$9&amp;" "," "&amp;LOWER(SUBSTITUTE(SUBSTITUTE(SUBSTITUTE(SUBSTITUTE(A205,"/"," "),"."," "),"\"," "),"_"," "))&amp;" ")),1,0))+IF(Task!$A$10="",0,IF(ISNUMBER(SEARCH(" "&amp;Task!$A$10&amp;" "," "&amp;LOWER(SUBSTITUTE(SUBSTITUTE(SUBSTITUTE(SUBSTITUTE(A205,"/"," "),"."," "),"\"," "),"_"," "))&amp;" ")),1,0))+IF(Task!$A$11="",0,IF(ISNUMBER(SEARCH(" "&amp;Task!$A$11&amp;" "," "&amp;LOWER(SUBSTITUTE(SUBSTITUTE(SUBSTITUTE(SUBSTITUTE(A205,"/"," "),"."," "),"\"," "),"_"," "))&amp;" ")),1,0))+IF(Task!$A$12="",0,IF(ISNUMBER(SEARCH(" "&amp;Task!$A$12&amp;" "," "&amp;LOWER(SUBSTITUTE(SUBSTITUTE(SUBSTITUTE(SUBSTITUTE(A205,"/"," "),"."," "),"\"," "),"_"," "))&amp;" ")),1,0))+IF(Task!$A$13="",0,IF(ISNUMBER(SEARCH(" "&amp;Task!$A$13&amp;" "," "&amp;LOWER(SUBSTITUTE(SUBSTITUTE(SUBSTITUTE(SUBSTITUTE(A205,"/"," "),"."," "),"\"," "),"_"," "))&amp;" ")),1,0))+IF(Task!$A$14="",0,IF(ISNUMBER(SEARCH(" "&amp;Task!$A$14&amp;" "," "&amp;LOWER(SUBSTITUTE(SUBSTITUTE(SUBSTITUTE(SUBSTITUTE(A205,"/"," "),"."," "),"\"," "),"_"," "))&amp;" ")),1,0))+IF(Task!$A$15="",0,IF(ISNUMBER(SEARCH(" "&amp;Task!$A$15&amp;" "," "&amp;LOWER(SUBSTITUTE(SUBSTITUTE(SUBSTITUTE(SUBSTITUTE(A205,"/"," "),"."," "),"\"," "),"_"," "))&amp;" ")),1,0))+IF(Task!$A$16="",0,IF(ISNUMBER(SEARCH(" "&amp;Task!$A$16&amp;" "," "&amp;LOWER(SUBSTITUTE(SUBSTITUTE(SUBSTITUTE(SUBSTITUTE(A205,"/"," "),"."," "),"\"," "),"_"," "))&amp;" ")),1,0))+IF(Task!$A$17="",0,IF(ISNUMBER(SEARCH(" "&amp;Task!$A$17&amp;" "," "&amp;LOWER(SUBSTITUTE(SUBSTITUTE(SUBSTITUTE(SUBSTITUTE(A205,"/"," "),"."," "),"\"," "),"_"," "))&amp;" ")),1,0))+IF(Task!$A$18="",0,IF(ISNUMBER(SEARCH(" "&amp;Task!$A$18&amp;" "," "&amp;LOWER(SUBSTITUTE(SUBSTITUTE(SUBSTITUTE(SUBSTITUTE(A205,"/"," "),"."," "),"\"," "),"_"," "))&amp;" ")),1,0))+IF(Task!$A$19="",0,IF(ISNUMBER(SEARCH(" "&amp;Task!$A$19&amp;" "," "&amp;LOWER(SUBSTITUTE(SUBSTITUTE(SUBSTITUTE(SUBSTITUTE(A205,"/"," "),"."," "),"\"," "),"_"," "))&amp;" ")),1,0)))</f>
        <v/>
      </c>
      <c r="I205" s="10">
        <f>IF(OR(E205=0,F205=0,Task!$B$21=0),"",F205/Task!$B$21+0.5*G205+0.25*H205)</f>
        <v/>
      </c>
      <c r="J205" s="5">
        <f>IF(I205="","",I205-ROW()/1000000)</f>
        <v/>
      </c>
      <c r="K205" s="9">
        <f>IF(J205="","",COUNTIF($J$5:$J$404,"&gt;"&amp;J205)+1)</f>
        <v/>
      </c>
    </row>
    <row r="206">
      <c r="A206" s="7" t="n"/>
      <c r="B206" s="7" t="n"/>
      <c r="C206" s="7" t="n"/>
      <c r="D206" s="7" t="n"/>
      <c r="E206" s="5">
        <f>IF(A206="",0,IF(COUNTA(Task!$B$5:$E$5)=0,1,IF(COUNTIF(Task!$B$5:$E$5,B206)&gt;0,1,0)))</f>
        <v/>
      </c>
      <c r="F206" s="9">
        <f>IF(E206=0,0,IF(Task!$A$8="",0,IF(ISNUMBER(SEARCH(" "&amp;Task!$A$8&amp;" "," "&amp;LOWER(D206&amp;" "&amp;C206&amp;" "&amp;LOWER(SUBSTITUTE(SUBSTITUTE(SUBSTITUTE(SUBSTITUTE(A206,"/"," "),"."," "),"\"," "),"_"," ")))&amp;" ")),1,0))+IF(Task!$A$9="",0,IF(ISNUMBER(SEARCH(" "&amp;Task!$A$9&amp;" "," "&amp;LOWER(D206&amp;" "&amp;C206&amp;" "&amp;LOWER(SUBSTITUTE(SUBSTITUTE(SUBSTITUTE(SUBSTITUTE(A206,"/"," "),"."," "),"\"," "),"_"," ")))&amp;" ")),1,0))+IF(Task!$A$10="",0,IF(ISNUMBER(SEARCH(" "&amp;Task!$A$10&amp;" "," "&amp;LOWER(D206&amp;" "&amp;C206&amp;" "&amp;LOWER(SUBSTITUTE(SUBSTITUTE(SUBSTITUTE(SUBSTITUTE(A206,"/"," "),"."," "),"\"," "),"_"," ")))&amp;" ")),1,0))+IF(Task!$A$11="",0,IF(ISNUMBER(SEARCH(" "&amp;Task!$A$11&amp;" "," "&amp;LOWER(D206&amp;" "&amp;C206&amp;" "&amp;LOWER(SUBSTITUTE(SUBSTITUTE(SUBSTITUTE(SUBSTITUTE(A206,"/"," "),"."," "),"\"," "),"_"," ")))&amp;" ")),1,0))+IF(Task!$A$12="",0,IF(ISNUMBER(SEARCH(" "&amp;Task!$A$12&amp;" "," "&amp;LOWER(D206&amp;" "&amp;C206&amp;" "&amp;LOWER(SUBSTITUTE(SUBSTITUTE(SUBSTITUTE(SUBSTITUTE(A206,"/"," "),"."," "),"\"," "),"_"," ")))&amp;" ")),1,0))+IF(Task!$A$13="",0,IF(ISNUMBER(SEARCH(" "&amp;Task!$A$13&amp;" "," "&amp;LOWER(D206&amp;" "&amp;C206&amp;" "&amp;LOWER(SUBSTITUTE(SUBSTITUTE(SUBSTITUTE(SUBSTITUTE(A206,"/"," "),"."," "),"\"," "),"_"," ")))&amp;" ")),1,0))+IF(Task!$A$14="",0,IF(ISNUMBER(SEARCH(" "&amp;Task!$A$14&amp;" "," "&amp;LOWER(D206&amp;" "&amp;C206&amp;" "&amp;LOWER(SUBSTITUTE(SUBSTITUTE(SUBSTITUTE(SUBSTITUTE(A206,"/"," "),"."," "),"\"," "),"_"," ")))&amp;" ")),1,0))+IF(Task!$A$15="",0,IF(ISNUMBER(SEARCH(" "&amp;Task!$A$15&amp;" "," "&amp;LOWER(D206&amp;" "&amp;C206&amp;" "&amp;LOWER(SUBSTITUTE(SUBSTITUTE(SUBSTITUTE(SUBSTITUTE(A206,"/"," "),"."," "),"\"," "),"_"," ")))&amp;" ")),1,0))+IF(Task!$A$16="",0,IF(ISNUMBER(SEARCH(" "&amp;Task!$A$16&amp;" "," "&amp;LOWER(D206&amp;" "&amp;C206&amp;" "&amp;LOWER(SUBSTITUTE(SUBSTITUTE(SUBSTITUTE(SUBSTITUTE(A206,"/"," "),"."," "),"\"," "),"_"," ")))&amp;" ")),1,0))+IF(Task!$A$17="",0,IF(ISNUMBER(SEARCH(" "&amp;Task!$A$17&amp;" "," "&amp;LOWER(D206&amp;" "&amp;C206&amp;" "&amp;LOWER(SUBSTITUTE(SUBSTITUTE(SUBSTITUTE(SUBSTITUTE(A206,"/"," "),"."," "),"\"," "),"_"," ")))&amp;" ")),1,0))+IF(Task!$A$18="",0,IF(ISNUMBER(SEARCH(" "&amp;Task!$A$18&amp;" "," "&amp;LOWER(D206&amp;" "&amp;C206&amp;" "&amp;LOWER(SUBSTITUTE(SUBSTITUTE(SUBSTITUTE(SUBSTITUTE(A206,"/"," "),"."," "),"\"," "),"_"," ")))&amp;" ")),1,0))+IF(Task!$A$19="",0,IF(ISNUMBER(SEARCH(" "&amp;Task!$A$19&amp;" "," "&amp;LOWER(D206&amp;" "&amp;C206&amp;" "&amp;LOWER(SUBSTITUTE(SUBSTITUTE(SUBSTITUTE(SUBSTITUTE(A206,"/"," "),"."," "),"\"," "),"_"," ")))&amp;" ")),1,0)))</f>
        <v/>
      </c>
      <c r="G206" s="9">
        <f>IF(E206=0,0,IF(Task!$A$8="",0,IF(ISNUMBER(SEARCH(" "&amp;Task!$A$8&amp;" "," "&amp;LOWER(C206)&amp;" ")),1,0))+IF(Task!$A$9="",0,IF(ISNUMBER(SEARCH(" "&amp;Task!$A$9&amp;" "," "&amp;LOWER(C206)&amp;" ")),1,0))+IF(Task!$A$10="",0,IF(ISNUMBER(SEARCH(" "&amp;Task!$A$10&amp;" "," "&amp;LOWER(C206)&amp;" ")),1,0))+IF(Task!$A$11="",0,IF(ISNUMBER(SEARCH(" "&amp;Task!$A$11&amp;" "," "&amp;LOWER(C206)&amp;" ")),1,0))+IF(Task!$A$12="",0,IF(ISNUMBER(SEARCH(" "&amp;Task!$A$12&amp;" "," "&amp;LOWER(C206)&amp;" ")),1,0))+IF(Task!$A$13="",0,IF(ISNUMBER(SEARCH(" "&amp;Task!$A$13&amp;" "," "&amp;LOWER(C206)&amp;" ")),1,0))+IF(Task!$A$14="",0,IF(ISNUMBER(SEARCH(" "&amp;Task!$A$14&amp;" "," "&amp;LOWER(C206)&amp;" ")),1,0))+IF(Task!$A$15="",0,IF(ISNUMBER(SEARCH(" "&amp;Task!$A$15&amp;" "," "&amp;LOWER(C206)&amp;" ")),1,0))+IF(Task!$A$16="",0,IF(ISNUMBER(SEARCH(" "&amp;Task!$A$16&amp;" "," "&amp;LOWER(C206)&amp;" ")),1,0))+IF(Task!$A$17="",0,IF(ISNUMBER(SEARCH(" "&amp;Task!$A$17&amp;" "," "&amp;LOWER(C206)&amp;" ")),1,0))+IF(Task!$A$18="",0,IF(ISNUMBER(SEARCH(" "&amp;Task!$A$18&amp;" "," "&amp;LOWER(C206)&amp;" ")),1,0))+IF(Task!$A$19="",0,IF(ISNUMBER(SEARCH(" "&amp;Task!$A$19&amp;" "," "&amp;LOWER(C206)&amp;" ")),1,0)))</f>
        <v/>
      </c>
      <c r="H206" s="9">
        <f>IF(E206=0,0,IF(Task!$A$8="",0,IF(ISNUMBER(SEARCH(" "&amp;Task!$A$8&amp;" "," "&amp;LOWER(SUBSTITUTE(SUBSTITUTE(SUBSTITUTE(SUBSTITUTE(A206,"/"," "),"."," "),"\"," "),"_"," "))&amp;" ")),1,0))+IF(Task!$A$9="",0,IF(ISNUMBER(SEARCH(" "&amp;Task!$A$9&amp;" "," "&amp;LOWER(SUBSTITUTE(SUBSTITUTE(SUBSTITUTE(SUBSTITUTE(A206,"/"," "),"."," "),"\"," "),"_"," "))&amp;" ")),1,0))+IF(Task!$A$10="",0,IF(ISNUMBER(SEARCH(" "&amp;Task!$A$10&amp;" "," "&amp;LOWER(SUBSTITUTE(SUBSTITUTE(SUBSTITUTE(SUBSTITUTE(A206,"/"," "),"."," "),"\"," "),"_"," "))&amp;" ")),1,0))+IF(Task!$A$11="",0,IF(ISNUMBER(SEARCH(" "&amp;Task!$A$11&amp;" "," "&amp;LOWER(SUBSTITUTE(SUBSTITUTE(SUBSTITUTE(SUBSTITUTE(A206,"/"," "),"."," "),"\"," "),"_"," "))&amp;" ")),1,0))+IF(Task!$A$12="",0,IF(ISNUMBER(SEARCH(" "&amp;Task!$A$12&amp;" "," "&amp;LOWER(SUBSTITUTE(SUBSTITUTE(SUBSTITUTE(SUBSTITUTE(A206,"/"," "),"."," "),"\"," "),"_"," "))&amp;" ")),1,0))+IF(Task!$A$13="",0,IF(ISNUMBER(SEARCH(" "&amp;Task!$A$13&amp;" "," "&amp;LOWER(SUBSTITUTE(SUBSTITUTE(SUBSTITUTE(SUBSTITUTE(A206,"/"," "),"."," "),"\"," "),"_"," "))&amp;" ")),1,0))+IF(Task!$A$14="",0,IF(ISNUMBER(SEARCH(" "&amp;Task!$A$14&amp;" "," "&amp;LOWER(SUBSTITUTE(SUBSTITUTE(SUBSTITUTE(SUBSTITUTE(A206,"/"," "),"."," "),"\"," "),"_"," "))&amp;" ")),1,0))+IF(Task!$A$15="",0,IF(ISNUMBER(SEARCH(" "&amp;Task!$A$15&amp;" "," "&amp;LOWER(SUBSTITUTE(SUBSTITUTE(SUBSTITUTE(SUBSTITUTE(A206,"/"," "),"."," "),"\"," "),"_"," "))&amp;" ")),1,0))+IF(Task!$A$16="",0,IF(ISNUMBER(SEARCH(" "&amp;Task!$A$16&amp;" "," "&amp;LOWER(SUBSTITUTE(SUBSTITUTE(SUBSTITUTE(SUBSTITUTE(A206,"/"," "),"."," "),"\"," "),"_"," "))&amp;" ")),1,0))+IF(Task!$A$17="",0,IF(ISNUMBER(SEARCH(" "&amp;Task!$A$17&amp;" "," "&amp;LOWER(SUBSTITUTE(SUBSTITUTE(SUBSTITUTE(SUBSTITUTE(A206,"/"," "),"."," "),"\"," "),"_"," "))&amp;" ")),1,0))+IF(Task!$A$18="",0,IF(ISNUMBER(SEARCH(" "&amp;Task!$A$18&amp;" "," "&amp;LOWER(SUBSTITUTE(SUBSTITUTE(SUBSTITUTE(SUBSTITUTE(A206,"/"," "),"."," "),"\"," "),"_"," "))&amp;" ")),1,0))+IF(Task!$A$19="",0,IF(ISNUMBER(SEARCH(" "&amp;Task!$A$19&amp;" "," "&amp;LOWER(SUBSTITUTE(SUBSTITUTE(SUBSTITUTE(SUBSTITUTE(A206,"/"," "),"."," "),"\"," "),"_"," "))&amp;" ")),1,0)))</f>
        <v/>
      </c>
      <c r="I206" s="10">
        <f>IF(OR(E206=0,F206=0,Task!$B$21=0),"",F206/Task!$B$21+0.5*G206+0.25*H206)</f>
        <v/>
      </c>
      <c r="J206" s="5">
        <f>IF(I206="","",I206-ROW()/1000000)</f>
        <v/>
      </c>
      <c r="K206" s="9">
        <f>IF(J206="","",COUNTIF($J$5:$J$404,"&gt;"&amp;J206)+1)</f>
        <v/>
      </c>
    </row>
    <row r="207">
      <c r="A207" s="7" t="n"/>
      <c r="B207" s="7" t="n"/>
      <c r="C207" s="7" t="n"/>
      <c r="D207" s="7" t="n"/>
      <c r="E207" s="5">
        <f>IF(A207="",0,IF(COUNTA(Task!$B$5:$E$5)=0,1,IF(COUNTIF(Task!$B$5:$E$5,B207)&gt;0,1,0)))</f>
        <v/>
      </c>
      <c r="F207" s="9">
        <f>IF(E207=0,0,IF(Task!$A$8="",0,IF(ISNUMBER(SEARCH(" "&amp;Task!$A$8&amp;" "," "&amp;LOWER(D207&amp;" "&amp;C207&amp;" "&amp;LOWER(SUBSTITUTE(SUBSTITUTE(SUBSTITUTE(SUBSTITUTE(A207,"/"," "),"."," "),"\"," "),"_"," ")))&amp;" ")),1,0))+IF(Task!$A$9="",0,IF(ISNUMBER(SEARCH(" "&amp;Task!$A$9&amp;" "," "&amp;LOWER(D207&amp;" "&amp;C207&amp;" "&amp;LOWER(SUBSTITUTE(SUBSTITUTE(SUBSTITUTE(SUBSTITUTE(A207,"/"," "),"."," "),"\"," "),"_"," ")))&amp;" ")),1,0))+IF(Task!$A$10="",0,IF(ISNUMBER(SEARCH(" "&amp;Task!$A$10&amp;" "," "&amp;LOWER(D207&amp;" "&amp;C207&amp;" "&amp;LOWER(SUBSTITUTE(SUBSTITUTE(SUBSTITUTE(SUBSTITUTE(A207,"/"," "),"."," "),"\"," "),"_"," ")))&amp;" ")),1,0))+IF(Task!$A$11="",0,IF(ISNUMBER(SEARCH(" "&amp;Task!$A$11&amp;" "," "&amp;LOWER(D207&amp;" "&amp;C207&amp;" "&amp;LOWER(SUBSTITUTE(SUBSTITUTE(SUBSTITUTE(SUBSTITUTE(A207,"/"," "),"."," "),"\"," "),"_"," ")))&amp;" ")),1,0))+IF(Task!$A$12="",0,IF(ISNUMBER(SEARCH(" "&amp;Task!$A$12&amp;" "," "&amp;LOWER(D207&amp;" "&amp;C207&amp;" "&amp;LOWER(SUBSTITUTE(SUBSTITUTE(SUBSTITUTE(SUBSTITUTE(A207,"/"," "),"."," "),"\"," "),"_"," ")))&amp;" ")),1,0))+IF(Task!$A$13="",0,IF(ISNUMBER(SEARCH(" "&amp;Task!$A$13&amp;" "," "&amp;LOWER(D207&amp;" "&amp;C207&amp;" "&amp;LOWER(SUBSTITUTE(SUBSTITUTE(SUBSTITUTE(SUBSTITUTE(A207,"/"," "),"."," "),"\"," "),"_"," ")))&amp;" ")),1,0))+IF(Task!$A$14="",0,IF(ISNUMBER(SEARCH(" "&amp;Task!$A$14&amp;" "," "&amp;LOWER(D207&amp;" "&amp;C207&amp;" "&amp;LOWER(SUBSTITUTE(SUBSTITUTE(SUBSTITUTE(SUBSTITUTE(A207,"/"," "),"."," "),"\"," "),"_"," ")))&amp;" ")),1,0))+IF(Task!$A$15="",0,IF(ISNUMBER(SEARCH(" "&amp;Task!$A$15&amp;" "," "&amp;LOWER(D207&amp;" "&amp;C207&amp;" "&amp;LOWER(SUBSTITUTE(SUBSTITUTE(SUBSTITUTE(SUBSTITUTE(A207,"/"," "),"."," "),"\"," "),"_"," ")))&amp;" ")),1,0))+IF(Task!$A$16="",0,IF(ISNUMBER(SEARCH(" "&amp;Task!$A$16&amp;" "," "&amp;LOWER(D207&amp;" "&amp;C207&amp;" "&amp;LOWER(SUBSTITUTE(SUBSTITUTE(SUBSTITUTE(SUBSTITUTE(A207,"/"," "),"."," "),"\"," "),"_"," ")))&amp;" ")),1,0))+IF(Task!$A$17="",0,IF(ISNUMBER(SEARCH(" "&amp;Task!$A$17&amp;" "," "&amp;LOWER(D207&amp;" "&amp;C207&amp;" "&amp;LOWER(SUBSTITUTE(SUBSTITUTE(SUBSTITUTE(SUBSTITUTE(A207,"/"," "),"."," "),"\"," "),"_"," ")))&amp;" ")),1,0))+IF(Task!$A$18="",0,IF(ISNUMBER(SEARCH(" "&amp;Task!$A$18&amp;" "," "&amp;LOWER(D207&amp;" "&amp;C207&amp;" "&amp;LOWER(SUBSTITUTE(SUBSTITUTE(SUBSTITUTE(SUBSTITUTE(A207,"/"," "),"."," "),"\"," "),"_"," ")))&amp;" ")),1,0))+IF(Task!$A$19="",0,IF(ISNUMBER(SEARCH(" "&amp;Task!$A$19&amp;" "," "&amp;LOWER(D207&amp;" "&amp;C207&amp;" "&amp;LOWER(SUBSTITUTE(SUBSTITUTE(SUBSTITUTE(SUBSTITUTE(A207,"/"," "),"."," "),"\"," "),"_"," ")))&amp;" ")),1,0)))</f>
        <v/>
      </c>
      <c r="G207" s="9">
        <f>IF(E207=0,0,IF(Task!$A$8="",0,IF(ISNUMBER(SEARCH(" "&amp;Task!$A$8&amp;" "," "&amp;LOWER(C207)&amp;" ")),1,0))+IF(Task!$A$9="",0,IF(ISNUMBER(SEARCH(" "&amp;Task!$A$9&amp;" "," "&amp;LOWER(C207)&amp;" ")),1,0))+IF(Task!$A$10="",0,IF(ISNUMBER(SEARCH(" "&amp;Task!$A$10&amp;" "," "&amp;LOWER(C207)&amp;" ")),1,0))+IF(Task!$A$11="",0,IF(ISNUMBER(SEARCH(" "&amp;Task!$A$11&amp;" "," "&amp;LOWER(C207)&amp;" ")),1,0))+IF(Task!$A$12="",0,IF(ISNUMBER(SEARCH(" "&amp;Task!$A$12&amp;" "," "&amp;LOWER(C207)&amp;" ")),1,0))+IF(Task!$A$13="",0,IF(ISNUMBER(SEARCH(" "&amp;Task!$A$13&amp;" "," "&amp;LOWER(C207)&amp;" ")),1,0))+IF(Task!$A$14="",0,IF(ISNUMBER(SEARCH(" "&amp;Task!$A$14&amp;" "," "&amp;LOWER(C207)&amp;" ")),1,0))+IF(Task!$A$15="",0,IF(ISNUMBER(SEARCH(" "&amp;Task!$A$15&amp;" "," "&amp;LOWER(C207)&amp;" ")),1,0))+IF(Task!$A$16="",0,IF(ISNUMBER(SEARCH(" "&amp;Task!$A$16&amp;" "," "&amp;LOWER(C207)&amp;" ")),1,0))+IF(Task!$A$17="",0,IF(ISNUMBER(SEARCH(" "&amp;Task!$A$17&amp;" "," "&amp;LOWER(C207)&amp;" ")),1,0))+IF(Task!$A$18="",0,IF(ISNUMBER(SEARCH(" "&amp;Task!$A$18&amp;" "," "&amp;LOWER(C207)&amp;" ")),1,0))+IF(Task!$A$19="",0,IF(ISNUMBER(SEARCH(" "&amp;Task!$A$19&amp;" "," "&amp;LOWER(C207)&amp;" ")),1,0)))</f>
        <v/>
      </c>
      <c r="H207" s="9">
        <f>IF(E207=0,0,IF(Task!$A$8="",0,IF(ISNUMBER(SEARCH(" "&amp;Task!$A$8&amp;" "," "&amp;LOWER(SUBSTITUTE(SUBSTITUTE(SUBSTITUTE(SUBSTITUTE(A207,"/"," "),"."," "),"\"," "),"_"," "))&amp;" ")),1,0))+IF(Task!$A$9="",0,IF(ISNUMBER(SEARCH(" "&amp;Task!$A$9&amp;" "," "&amp;LOWER(SUBSTITUTE(SUBSTITUTE(SUBSTITUTE(SUBSTITUTE(A207,"/"," "),"."," "),"\"," "),"_"," "))&amp;" ")),1,0))+IF(Task!$A$10="",0,IF(ISNUMBER(SEARCH(" "&amp;Task!$A$10&amp;" "," "&amp;LOWER(SUBSTITUTE(SUBSTITUTE(SUBSTITUTE(SUBSTITUTE(A207,"/"," "),"."," "),"\"," "),"_"," "))&amp;" ")),1,0))+IF(Task!$A$11="",0,IF(ISNUMBER(SEARCH(" "&amp;Task!$A$11&amp;" "," "&amp;LOWER(SUBSTITUTE(SUBSTITUTE(SUBSTITUTE(SUBSTITUTE(A207,"/"," "),"."," "),"\"," "),"_"," "))&amp;" ")),1,0))+IF(Task!$A$12="",0,IF(ISNUMBER(SEARCH(" "&amp;Task!$A$12&amp;" "," "&amp;LOWER(SUBSTITUTE(SUBSTITUTE(SUBSTITUTE(SUBSTITUTE(A207,"/"," "),"."," "),"\"," "),"_"," "))&amp;" ")),1,0))+IF(Task!$A$13="",0,IF(ISNUMBER(SEARCH(" "&amp;Task!$A$13&amp;" "," "&amp;LOWER(SUBSTITUTE(SUBSTITUTE(SUBSTITUTE(SUBSTITUTE(A207,"/"," "),"."," "),"\"," "),"_"," "))&amp;" ")),1,0))+IF(Task!$A$14="",0,IF(ISNUMBER(SEARCH(" "&amp;Task!$A$14&amp;" "," "&amp;LOWER(SUBSTITUTE(SUBSTITUTE(SUBSTITUTE(SUBSTITUTE(A207,"/"," "),"."," "),"\"," "),"_"," "))&amp;" ")),1,0))+IF(Task!$A$15="",0,IF(ISNUMBER(SEARCH(" "&amp;Task!$A$15&amp;" "," "&amp;LOWER(SUBSTITUTE(SUBSTITUTE(SUBSTITUTE(SUBSTITUTE(A207,"/"," "),"."," "),"\"," "),"_"," "))&amp;" ")),1,0))+IF(Task!$A$16="",0,IF(ISNUMBER(SEARCH(" "&amp;Task!$A$16&amp;" "," "&amp;LOWER(SUBSTITUTE(SUBSTITUTE(SUBSTITUTE(SUBSTITUTE(A207,"/"," "),"."," "),"\"," "),"_"," "))&amp;" ")),1,0))+IF(Task!$A$17="",0,IF(ISNUMBER(SEARCH(" "&amp;Task!$A$17&amp;" "," "&amp;LOWER(SUBSTITUTE(SUBSTITUTE(SUBSTITUTE(SUBSTITUTE(A207,"/"," "),"."," "),"\"," "),"_"," "))&amp;" ")),1,0))+IF(Task!$A$18="",0,IF(ISNUMBER(SEARCH(" "&amp;Task!$A$18&amp;" "," "&amp;LOWER(SUBSTITUTE(SUBSTITUTE(SUBSTITUTE(SUBSTITUTE(A207,"/"," "),"."," "),"\"," "),"_"," "))&amp;" ")),1,0))+IF(Task!$A$19="",0,IF(ISNUMBER(SEARCH(" "&amp;Task!$A$19&amp;" "," "&amp;LOWER(SUBSTITUTE(SUBSTITUTE(SUBSTITUTE(SUBSTITUTE(A207,"/"," "),"."," "),"\"," "),"_"," "))&amp;" ")),1,0)))</f>
        <v/>
      </c>
      <c r="I207" s="10">
        <f>IF(OR(E207=0,F207=0,Task!$B$21=0),"",F207/Task!$B$21+0.5*G207+0.25*H207)</f>
        <v/>
      </c>
      <c r="J207" s="5">
        <f>IF(I207="","",I207-ROW()/1000000)</f>
        <v/>
      </c>
      <c r="K207" s="9">
        <f>IF(J207="","",COUNTIF($J$5:$J$404,"&gt;"&amp;J207)+1)</f>
        <v/>
      </c>
    </row>
    <row r="208">
      <c r="A208" s="7" t="n"/>
      <c r="B208" s="7" t="n"/>
      <c r="C208" s="7" t="n"/>
      <c r="D208" s="7" t="n"/>
      <c r="E208" s="5">
        <f>IF(A208="",0,IF(COUNTA(Task!$B$5:$E$5)=0,1,IF(COUNTIF(Task!$B$5:$E$5,B208)&gt;0,1,0)))</f>
        <v/>
      </c>
      <c r="F208" s="9">
        <f>IF(E208=0,0,IF(Task!$A$8="",0,IF(ISNUMBER(SEARCH(" "&amp;Task!$A$8&amp;" "," "&amp;LOWER(D208&amp;" "&amp;C208&amp;" "&amp;LOWER(SUBSTITUTE(SUBSTITUTE(SUBSTITUTE(SUBSTITUTE(A208,"/"," "),"."," "),"\"," "),"_"," ")))&amp;" ")),1,0))+IF(Task!$A$9="",0,IF(ISNUMBER(SEARCH(" "&amp;Task!$A$9&amp;" "," "&amp;LOWER(D208&amp;" "&amp;C208&amp;" "&amp;LOWER(SUBSTITUTE(SUBSTITUTE(SUBSTITUTE(SUBSTITUTE(A208,"/"," "),"."," "),"\"," "),"_"," ")))&amp;" ")),1,0))+IF(Task!$A$10="",0,IF(ISNUMBER(SEARCH(" "&amp;Task!$A$10&amp;" "," "&amp;LOWER(D208&amp;" "&amp;C208&amp;" "&amp;LOWER(SUBSTITUTE(SUBSTITUTE(SUBSTITUTE(SUBSTITUTE(A208,"/"," "),"."," "),"\"," "),"_"," ")))&amp;" ")),1,0))+IF(Task!$A$11="",0,IF(ISNUMBER(SEARCH(" "&amp;Task!$A$11&amp;" "," "&amp;LOWER(D208&amp;" "&amp;C208&amp;" "&amp;LOWER(SUBSTITUTE(SUBSTITUTE(SUBSTITUTE(SUBSTITUTE(A208,"/"," "),"."," "),"\"," "),"_"," ")))&amp;" ")),1,0))+IF(Task!$A$12="",0,IF(ISNUMBER(SEARCH(" "&amp;Task!$A$12&amp;" "," "&amp;LOWER(D208&amp;" "&amp;C208&amp;" "&amp;LOWER(SUBSTITUTE(SUBSTITUTE(SUBSTITUTE(SUBSTITUTE(A208,"/"," "),"."," "),"\"," "),"_"," ")))&amp;" ")),1,0))+IF(Task!$A$13="",0,IF(ISNUMBER(SEARCH(" "&amp;Task!$A$13&amp;" "," "&amp;LOWER(D208&amp;" "&amp;C208&amp;" "&amp;LOWER(SUBSTITUTE(SUBSTITUTE(SUBSTITUTE(SUBSTITUTE(A208,"/"," "),"."," "),"\"," "),"_"," ")))&amp;" ")),1,0))+IF(Task!$A$14="",0,IF(ISNUMBER(SEARCH(" "&amp;Task!$A$14&amp;" "," "&amp;LOWER(D208&amp;" "&amp;C208&amp;" "&amp;LOWER(SUBSTITUTE(SUBSTITUTE(SUBSTITUTE(SUBSTITUTE(A208,"/"," "),"."," "),"\"," "),"_"," ")))&amp;" ")),1,0))+IF(Task!$A$15="",0,IF(ISNUMBER(SEARCH(" "&amp;Task!$A$15&amp;" "," "&amp;LOWER(D208&amp;" "&amp;C208&amp;" "&amp;LOWER(SUBSTITUTE(SUBSTITUTE(SUBSTITUTE(SUBSTITUTE(A208,"/"," "),"."," "),"\"," "),"_"," ")))&amp;" ")),1,0))+IF(Task!$A$16="",0,IF(ISNUMBER(SEARCH(" "&amp;Task!$A$16&amp;" "," "&amp;LOWER(D208&amp;" "&amp;C208&amp;" "&amp;LOWER(SUBSTITUTE(SUBSTITUTE(SUBSTITUTE(SUBSTITUTE(A208,"/"," "),"."," "),"\"," "),"_"," ")))&amp;" ")),1,0))+IF(Task!$A$17="",0,IF(ISNUMBER(SEARCH(" "&amp;Task!$A$17&amp;" "," "&amp;LOWER(D208&amp;" "&amp;C208&amp;" "&amp;LOWER(SUBSTITUTE(SUBSTITUTE(SUBSTITUTE(SUBSTITUTE(A208,"/"," "),"."," "),"\"," "),"_"," ")))&amp;" ")),1,0))+IF(Task!$A$18="",0,IF(ISNUMBER(SEARCH(" "&amp;Task!$A$18&amp;" "," "&amp;LOWER(D208&amp;" "&amp;C208&amp;" "&amp;LOWER(SUBSTITUTE(SUBSTITUTE(SUBSTITUTE(SUBSTITUTE(A208,"/"," "),"."," "),"\"," "),"_"," ")))&amp;" ")),1,0))+IF(Task!$A$19="",0,IF(ISNUMBER(SEARCH(" "&amp;Task!$A$19&amp;" "," "&amp;LOWER(D208&amp;" "&amp;C208&amp;" "&amp;LOWER(SUBSTITUTE(SUBSTITUTE(SUBSTITUTE(SUBSTITUTE(A208,"/"," "),"."," "),"\"," "),"_"," ")))&amp;" ")),1,0)))</f>
        <v/>
      </c>
      <c r="G208" s="9">
        <f>IF(E208=0,0,IF(Task!$A$8="",0,IF(ISNUMBER(SEARCH(" "&amp;Task!$A$8&amp;" "," "&amp;LOWER(C208)&amp;" ")),1,0))+IF(Task!$A$9="",0,IF(ISNUMBER(SEARCH(" "&amp;Task!$A$9&amp;" "," "&amp;LOWER(C208)&amp;" ")),1,0))+IF(Task!$A$10="",0,IF(ISNUMBER(SEARCH(" "&amp;Task!$A$10&amp;" "," "&amp;LOWER(C208)&amp;" ")),1,0))+IF(Task!$A$11="",0,IF(ISNUMBER(SEARCH(" "&amp;Task!$A$11&amp;" "," "&amp;LOWER(C208)&amp;" ")),1,0))+IF(Task!$A$12="",0,IF(ISNUMBER(SEARCH(" "&amp;Task!$A$12&amp;" "," "&amp;LOWER(C208)&amp;" ")),1,0))+IF(Task!$A$13="",0,IF(ISNUMBER(SEARCH(" "&amp;Task!$A$13&amp;" "," "&amp;LOWER(C208)&amp;" ")),1,0))+IF(Task!$A$14="",0,IF(ISNUMBER(SEARCH(" "&amp;Task!$A$14&amp;" "," "&amp;LOWER(C208)&amp;" ")),1,0))+IF(Task!$A$15="",0,IF(ISNUMBER(SEARCH(" "&amp;Task!$A$15&amp;" "," "&amp;LOWER(C208)&amp;" ")),1,0))+IF(Task!$A$16="",0,IF(ISNUMBER(SEARCH(" "&amp;Task!$A$16&amp;" "," "&amp;LOWER(C208)&amp;" ")),1,0))+IF(Task!$A$17="",0,IF(ISNUMBER(SEARCH(" "&amp;Task!$A$17&amp;" "," "&amp;LOWER(C208)&amp;" ")),1,0))+IF(Task!$A$18="",0,IF(ISNUMBER(SEARCH(" "&amp;Task!$A$18&amp;" "," "&amp;LOWER(C208)&amp;" ")),1,0))+IF(Task!$A$19="",0,IF(ISNUMBER(SEARCH(" "&amp;Task!$A$19&amp;" "," "&amp;LOWER(C208)&amp;" ")),1,0)))</f>
        <v/>
      </c>
      <c r="H208" s="9">
        <f>IF(E208=0,0,IF(Task!$A$8="",0,IF(ISNUMBER(SEARCH(" "&amp;Task!$A$8&amp;" "," "&amp;LOWER(SUBSTITUTE(SUBSTITUTE(SUBSTITUTE(SUBSTITUTE(A208,"/"," "),"."," "),"\"," "),"_"," "))&amp;" ")),1,0))+IF(Task!$A$9="",0,IF(ISNUMBER(SEARCH(" "&amp;Task!$A$9&amp;" "," "&amp;LOWER(SUBSTITUTE(SUBSTITUTE(SUBSTITUTE(SUBSTITUTE(A208,"/"," "),"."," "),"\"," "),"_"," "))&amp;" ")),1,0))+IF(Task!$A$10="",0,IF(ISNUMBER(SEARCH(" "&amp;Task!$A$10&amp;" "," "&amp;LOWER(SUBSTITUTE(SUBSTITUTE(SUBSTITUTE(SUBSTITUTE(A208,"/"," "),"."," "),"\"," "),"_"," "))&amp;" ")),1,0))+IF(Task!$A$11="",0,IF(ISNUMBER(SEARCH(" "&amp;Task!$A$11&amp;" "," "&amp;LOWER(SUBSTITUTE(SUBSTITUTE(SUBSTITUTE(SUBSTITUTE(A208,"/"," "),"."," "),"\"," "),"_"," "))&amp;" ")),1,0))+IF(Task!$A$12="",0,IF(ISNUMBER(SEARCH(" "&amp;Task!$A$12&amp;" "," "&amp;LOWER(SUBSTITUTE(SUBSTITUTE(SUBSTITUTE(SUBSTITUTE(A208,"/"," "),"."," "),"\"," "),"_"," "))&amp;" ")),1,0))+IF(Task!$A$13="",0,IF(ISNUMBER(SEARCH(" "&amp;Task!$A$13&amp;" "," "&amp;LOWER(SUBSTITUTE(SUBSTITUTE(SUBSTITUTE(SUBSTITUTE(A208,"/"," "),"."," "),"\"," "),"_"," "))&amp;" ")),1,0))+IF(Task!$A$14="",0,IF(ISNUMBER(SEARCH(" "&amp;Task!$A$14&amp;" "," "&amp;LOWER(SUBSTITUTE(SUBSTITUTE(SUBSTITUTE(SUBSTITUTE(A208,"/"," "),"."," "),"\"," "),"_"," "))&amp;" ")),1,0))+IF(Task!$A$15="",0,IF(ISNUMBER(SEARCH(" "&amp;Task!$A$15&amp;" "," "&amp;LOWER(SUBSTITUTE(SUBSTITUTE(SUBSTITUTE(SUBSTITUTE(A208,"/"," "),"."," "),"\"," "),"_"," "))&amp;" ")),1,0))+IF(Task!$A$16="",0,IF(ISNUMBER(SEARCH(" "&amp;Task!$A$16&amp;" "," "&amp;LOWER(SUBSTITUTE(SUBSTITUTE(SUBSTITUTE(SUBSTITUTE(A208,"/"," "),"."," "),"\"," "),"_"," "))&amp;" ")),1,0))+IF(Task!$A$17="",0,IF(ISNUMBER(SEARCH(" "&amp;Task!$A$17&amp;" "," "&amp;LOWER(SUBSTITUTE(SUBSTITUTE(SUBSTITUTE(SUBSTITUTE(A208,"/"," "),"."," "),"\"," "),"_"," "))&amp;" ")),1,0))+IF(Task!$A$18="",0,IF(ISNUMBER(SEARCH(" "&amp;Task!$A$18&amp;" "," "&amp;LOWER(SUBSTITUTE(SUBSTITUTE(SUBSTITUTE(SUBSTITUTE(A208,"/"," "),"."," "),"\"," "),"_"," "))&amp;" ")),1,0))+IF(Task!$A$19="",0,IF(ISNUMBER(SEARCH(" "&amp;Task!$A$19&amp;" "," "&amp;LOWER(SUBSTITUTE(SUBSTITUTE(SUBSTITUTE(SUBSTITUTE(A208,"/"," "),"."," "),"\"," "),"_"," "))&amp;" ")),1,0)))</f>
        <v/>
      </c>
      <c r="I208" s="10">
        <f>IF(OR(E208=0,F208=0,Task!$B$21=0),"",F208/Task!$B$21+0.5*G208+0.25*H208)</f>
        <v/>
      </c>
      <c r="J208" s="5">
        <f>IF(I208="","",I208-ROW()/1000000)</f>
        <v/>
      </c>
      <c r="K208" s="9">
        <f>IF(J208="","",COUNTIF($J$5:$J$404,"&gt;"&amp;J208)+1)</f>
        <v/>
      </c>
    </row>
    <row r="209">
      <c r="A209" s="7" t="n"/>
      <c r="B209" s="7" t="n"/>
      <c r="C209" s="7" t="n"/>
      <c r="D209" s="7" t="n"/>
      <c r="E209" s="5">
        <f>IF(A209="",0,IF(COUNTA(Task!$B$5:$E$5)=0,1,IF(COUNTIF(Task!$B$5:$E$5,B209)&gt;0,1,0)))</f>
        <v/>
      </c>
      <c r="F209" s="9">
        <f>IF(E209=0,0,IF(Task!$A$8="",0,IF(ISNUMBER(SEARCH(" "&amp;Task!$A$8&amp;" "," "&amp;LOWER(D209&amp;" "&amp;C209&amp;" "&amp;LOWER(SUBSTITUTE(SUBSTITUTE(SUBSTITUTE(SUBSTITUTE(A209,"/"," "),"."," "),"\"," "),"_"," ")))&amp;" ")),1,0))+IF(Task!$A$9="",0,IF(ISNUMBER(SEARCH(" "&amp;Task!$A$9&amp;" "," "&amp;LOWER(D209&amp;" "&amp;C209&amp;" "&amp;LOWER(SUBSTITUTE(SUBSTITUTE(SUBSTITUTE(SUBSTITUTE(A209,"/"," "),"."," "),"\"," "),"_"," ")))&amp;" ")),1,0))+IF(Task!$A$10="",0,IF(ISNUMBER(SEARCH(" "&amp;Task!$A$10&amp;" "," "&amp;LOWER(D209&amp;" "&amp;C209&amp;" "&amp;LOWER(SUBSTITUTE(SUBSTITUTE(SUBSTITUTE(SUBSTITUTE(A209,"/"," "),"."," "),"\"," "),"_"," ")))&amp;" ")),1,0))+IF(Task!$A$11="",0,IF(ISNUMBER(SEARCH(" "&amp;Task!$A$11&amp;" "," "&amp;LOWER(D209&amp;" "&amp;C209&amp;" "&amp;LOWER(SUBSTITUTE(SUBSTITUTE(SUBSTITUTE(SUBSTITUTE(A209,"/"," "),"."," "),"\"," "),"_"," ")))&amp;" ")),1,0))+IF(Task!$A$12="",0,IF(ISNUMBER(SEARCH(" "&amp;Task!$A$12&amp;" "," "&amp;LOWER(D209&amp;" "&amp;C209&amp;" "&amp;LOWER(SUBSTITUTE(SUBSTITUTE(SUBSTITUTE(SUBSTITUTE(A209,"/"," "),"."," "),"\"," "),"_"," ")))&amp;" ")),1,0))+IF(Task!$A$13="",0,IF(ISNUMBER(SEARCH(" "&amp;Task!$A$13&amp;" "," "&amp;LOWER(D209&amp;" "&amp;C209&amp;" "&amp;LOWER(SUBSTITUTE(SUBSTITUTE(SUBSTITUTE(SUBSTITUTE(A209,"/"," "),"."," "),"\"," "),"_"," ")))&amp;" ")),1,0))+IF(Task!$A$14="",0,IF(ISNUMBER(SEARCH(" "&amp;Task!$A$14&amp;" "," "&amp;LOWER(D209&amp;" "&amp;C209&amp;" "&amp;LOWER(SUBSTITUTE(SUBSTITUTE(SUBSTITUTE(SUBSTITUTE(A209,"/"," "),"."," "),"\"," "),"_"," ")))&amp;" ")),1,0))+IF(Task!$A$15="",0,IF(ISNUMBER(SEARCH(" "&amp;Task!$A$15&amp;" "," "&amp;LOWER(D209&amp;" "&amp;C209&amp;" "&amp;LOWER(SUBSTITUTE(SUBSTITUTE(SUBSTITUTE(SUBSTITUTE(A209,"/"," "),"."," "),"\"," "),"_"," ")))&amp;" ")),1,0))+IF(Task!$A$16="",0,IF(ISNUMBER(SEARCH(" "&amp;Task!$A$16&amp;" "," "&amp;LOWER(D209&amp;" "&amp;C209&amp;" "&amp;LOWER(SUBSTITUTE(SUBSTITUTE(SUBSTITUTE(SUBSTITUTE(A209,"/"," "),"."," "),"\"," "),"_"," ")))&amp;" ")),1,0))+IF(Task!$A$17="",0,IF(ISNUMBER(SEARCH(" "&amp;Task!$A$17&amp;" "," "&amp;LOWER(D209&amp;" "&amp;C209&amp;" "&amp;LOWER(SUBSTITUTE(SUBSTITUTE(SUBSTITUTE(SUBSTITUTE(A209,"/"," "),"."," "),"\"," "),"_"," ")))&amp;" ")),1,0))+IF(Task!$A$18="",0,IF(ISNUMBER(SEARCH(" "&amp;Task!$A$18&amp;" "," "&amp;LOWER(D209&amp;" "&amp;C209&amp;" "&amp;LOWER(SUBSTITUTE(SUBSTITUTE(SUBSTITUTE(SUBSTITUTE(A209,"/"," "),"."," "),"\"," "),"_"," ")))&amp;" ")),1,0))+IF(Task!$A$19="",0,IF(ISNUMBER(SEARCH(" "&amp;Task!$A$19&amp;" "," "&amp;LOWER(D209&amp;" "&amp;C209&amp;" "&amp;LOWER(SUBSTITUTE(SUBSTITUTE(SUBSTITUTE(SUBSTITUTE(A209,"/"," "),"."," "),"\"," "),"_"," ")))&amp;" ")),1,0)))</f>
        <v/>
      </c>
      <c r="G209" s="9">
        <f>IF(E209=0,0,IF(Task!$A$8="",0,IF(ISNUMBER(SEARCH(" "&amp;Task!$A$8&amp;" "," "&amp;LOWER(C209)&amp;" ")),1,0))+IF(Task!$A$9="",0,IF(ISNUMBER(SEARCH(" "&amp;Task!$A$9&amp;" "," "&amp;LOWER(C209)&amp;" ")),1,0))+IF(Task!$A$10="",0,IF(ISNUMBER(SEARCH(" "&amp;Task!$A$10&amp;" "," "&amp;LOWER(C209)&amp;" ")),1,0))+IF(Task!$A$11="",0,IF(ISNUMBER(SEARCH(" "&amp;Task!$A$11&amp;" "," "&amp;LOWER(C209)&amp;" ")),1,0))+IF(Task!$A$12="",0,IF(ISNUMBER(SEARCH(" "&amp;Task!$A$12&amp;" "," "&amp;LOWER(C209)&amp;" ")),1,0))+IF(Task!$A$13="",0,IF(ISNUMBER(SEARCH(" "&amp;Task!$A$13&amp;" "," "&amp;LOWER(C209)&amp;" ")),1,0))+IF(Task!$A$14="",0,IF(ISNUMBER(SEARCH(" "&amp;Task!$A$14&amp;" "," "&amp;LOWER(C209)&amp;" ")),1,0))+IF(Task!$A$15="",0,IF(ISNUMBER(SEARCH(" "&amp;Task!$A$15&amp;" "," "&amp;LOWER(C209)&amp;" ")),1,0))+IF(Task!$A$16="",0,IF(ISNUMBER(SEARCH(" "&amp;Task!$A$16&amp;" "," "&amp;LOWER(C209)&amp;" ")),1,0))+IF(Task!$A$17="",0,IF(ISNUMBER(SEARCH(" "&amp;Task!$A$17&amp;" "," "&amp;LOWER(C209)&amp;" ")),1,0))+IF(Task!$A$18="",0,IF(ISNUMBER(SEARCH(" "&amp;Task!$A$18&amp;" "," "&amp;LOWER(C209)&amp;" ")),1,0))+IF(Task!$A$19="",0,IF(ISNUMBER(SEARCH(" "&amp;Task!$A$19&amp;" "," "&amp;LOWER(C209)&amp;" ")),1,0)))</f>
        <v/>
      </c>
      <c r="H209" s="9">
        <f>IF(E209=0,0,IF(Task!$A$8="",0,IF(ISNUMBER(SEARCH(" "&amp;Task!$A$8&amp;" "," "&amp;LOWER(SUBSTITUTE(SUBSTITUTE(SUBSTITUTE(SUBSTITUTE(A209,"/"," "),"."," "),"\"," "),"_"," "))&amp;" ")),1,0))+IF(Task!$A$9="",0,IF(ISNUMBER(SEARCH(" "&amp;Task!$A$9&amp;" "," "&amp;LOWER(SUBSTITUTE(SUBSTITUTE(SUBSTITUTE(SUBSTITUTE(A209,"/"," "),"."," "),"\"," "),"_"," "))&amp;" ")),1,0))+IF(Task!$A$10="",0,IF(ISNUMBER(SEARCH(" "&amp;Task!$A$10&amp;" "," "&amp;LOWER(SUBSTITUTE(SUBSTITUTE(SUBSTITUTE(SUBSTITUTE(A209,"/"," "),"."," "),"\"," "),"_"," "))&amp;" ")),1,0))+IF(Task!$A$11="",0,IF(ISNUMBER(SEARCH(" "&amp;Task!$A$11&amp;" "," "&amp;LOWER(SUBSTITUTE(SUBSTITUTE(SUBSTITUTE(SUBSTITUTE(A209,"/"," "),"."," "),"\"," "),"_"," "))&amp;" ")),1,0))+IF(Task!$A$12="",0,IF(ISNUMBER(SEARCH(" "&amp;Task!$A$12&amp;" "," "&amp;LOWER(SUBSTITUTE(SUBSTITUTE(SUBSTITUTE(SUBSTITUTE(A209,"/"," "),"."," "),"\"," "),"_"," "))&amp;" ")),1,0))+IF(Task!$A$13="",0,IF(ISNUMBER(SEARCH(" "&amp;Task!$A$13&amp;" "," "&amp;LOWER(SUBSTITUTE(SUBSTITUTE(SUBSTITUTE(SUBSTITUTE(A209,"/"," "),"."," "),"\"," "),"_"," "))&amp;" ")),1,0))+IF(Task!$A$14="",0,IF(ISNUMBER(SEARCH(" "&amp;Task!$A$14&amp;" "," "&amp;LOWER(SUBSTITUTE(SUBSTITUTE(SUBSTITUTE(SUBSTITUTE(A209,"/"," "),"."," "),"\"," "),"_"," "))&amp;" ")),1,0))+IF(Task!$A$15="",0,IF(ISNUMBER(SEARCH(" "&amp;Task!$A$15&amp;" "," "&amp;LOWER(SUBSTITUTE(SUBSTITUTE(SUBSTITUTE(SUBSTITUTE(A209,"/"," "),"."," "),"\"," "),"_"," "))&amp;" ")),1,0))+IF(Task!$A$16="",0,IF(ISNUMBER(SEARCH(" "&amp;Task!$A$16&amp;" "," "&amp;LOWER(SUBSTITUTE(SUBSTITUTE(SUBSTITUTE(SUBSTITUTE(A209,"/"," "),"."," "),"\"," "),"_"," "))&amp;" ")),1,0))+IF(Task!$A$17="",0,IF(ISNUMBER(SEARCH(" "&amp;Task!$A$17&amp;" "," "&amp;LOWER(SUBSTITUTE(SUBSTITUTE(SUBSTITUTE(SUBSTITUTE(A209,"/"," "),"."," "),"\"," "),"_"," "))&amp;" ")),1,0))+IF(Task!$A$18="",0,IF(ISNUMBER(SEARCH(" "&amp;Task!$A$18&amp;" "," "&amp;LOWER(SUBSTITUTE(SUBSTITUTE(SUBSTITUTE(SUBSTITUTE(A209,"/"," "),"."," "),"\"," "),"_"," "))&amp;" ")),1,0))+IF(Task!$A$19="",0,IF(ISNUMBER(SEARCH(" "&amp;Task!$A$19&amp;" "," "&amp;LOWER(SUBSTITUTE(SUBSTITUTE(SUBSTITUTE(SUBSTITUTE(A209,"/"," "),"."," "),"\"," "),"_"," "))&amp;" ")),1,0)))</f>
        <v/>
      </c>
      <c r="I209" s="10">
        <f>IF(OR(E209=0,F209=0,Task!$B$21=0),"",F209/Task!$B$21+0.5*G209+0.25*H209)</f>
        <v/>
      </c>
      <c r="J209" s="5">
        <f>IF(I209="","",I209-ROW()/1000000)</f>
        <v/>
      </c>
      <c r="K209" s="9">
        <f>IF(J209="","",COUNTIF($J$5:$J$404,"&gt;"&amp;J209)+1)</f>
        <v/>
      </c>
    </row>
    <row r="210">
      <c r="A210" s="7" t="n"/>
      <c r="B210" s="7" t="n"/>
      <c r="C210" s="7" t="n"/>
      <c r="D210" s="7" t="n"/>
      <c r="E210" s="5">
        <f>IF(A210="",0,IF(COUNTA(Task!$B$5:$E$5)=0,1,IF(COUNTIF(Task!$B$5:$E$5,B210)&gt;0,1,0)))</f>
        <v/>
      </c>
      <c r="F210" s="9">
        <f>IF(E210=0,0,IF(Task!$A$8="",0,IF(ISNUMBER(SEARCH(" "&amp;Task!$A$8&amp;" "," "&amp;LOWER(D210&amp;" "&amp;C210&amp;" "&amp;LOWER(SUBSTITUTE(SUBSTITUTE(SUBSTITUTE(SUBSTITUTE(A210,"/"," "),"."," "),"\"," "),"_"," ")))&amp;" ")),1,0))+IF(Task!$A$9="",0,IF(ISNUMBER(SEARCH(" "&amp;Task!$A$9&amp;" "," "&amp;LOWER(D210&amp;" "&amp;C210&amp;" "&amp;LOWER(SUBSTITUTE(SUBSTITUTE(SUBSTITUTE(SUBSTITUTE(A210,"/"," "),"."," "),"\"," "),"_"," ")))&amp;" ")),1,0))+IF(Task!$A$10="",0,IF(ISNUMBER(SEARCH(" "&amp;Task!$A$10&amp;" "," "&amp;LOWER(D210&amp;" "&amp;C210&amp;" "&amp;LOWER(SUBSTITUTE(SUBSTITUTE(SUBSTITUTE(SUBSTITUTE(A210,"/"," "),"."," "),"\"," "),"_"," ")))&amp;" ")),1,0))+IF(Task!$A$11="",0,IF(ISNUMBER(SEARCH(" "&amp;Task!$A$11&amp;" "," "&amp;LOWER(D210&amp;" "&amp;C210&amp;" "&amp;LOWER(SUBSTITUTE(SUBSTITUTE(SUBSTITUTE(SUBSTITUTE(A210,"/"," "),"."," "),"\"," "),"_"," ")))&amp;" ")),1,0))+IF(Task!$A$12="",0,IF(ISNUMBER(SEARCH(" "&amp;Task!$A$12&amp;" "," "&amp;LOWER(D210&amp;" "&amp;C210&amp;" "&amp;LOWER(SUBSTITUTE(SUBSTITUTE(SUBSTITUTE(SUBSTITUTE(A210,"/"," "),"."," "),"\"," "),"_"," ")))&amp;" ")),1,0))+IF(Task!$A$13="",0,IF(ISNUMBER(SEARCH(" "&amp;Task!$A$13&amp;" "," "&amp;LOWER(D210&amp;" "&amp;C210&amp;" "&amp;LOWER(SUBSTITUTE(SUBSTITUTE(SUBSTITUTE(SUBSTITUTE(A210,"/"," "),"."," "),"\"," "),"_"," ")))&amp;" ")),1,0))+IF(Task!$A$14="",0,IF(ISNUMBER(SEARCH(" "&amp;Task!$A$14&amp;" "," "&amp;LOWER(D210&amp;" "&amp;C210&amp;" "&amp;LOWER(SUBSTITUTE(SUBSTITUTE(SUBSTITUTE(SUBSTITUTE(A210,"/"," "),"."," "),"\"," "),"_"," ")))&amp;" ")),1,0))+IF(Task!$A$15="",0,IF(ISNUMBER(SEARCH(" "&amp;Task!$A$15&amp;" "," "&amp;LOWER(D210&amp;" "&amp;C210&amp;" "&amp;LOWER(SUBSTITUTE(SUBSTITUTE(SUBSTITUTE(SUBSTITUTE(A210,"/"," "),"."," "),"\"," "),"_"," ")))&amp;" ")),1,0))+IF(Task!$A$16="",0,IF(ISNUMBER(SEARCH(" "&amp;Task!$A$16&amp;" "," "&amp;LOWER(D210&amp;" "&amp;C210&amp;" "&amp;LOWER(SUBSTITUTE(SUBSTITUTE(SUBSTITUTE(SUBSTITUTE(A210,"/"," "),"."," "),"\"," "),"_"," ")))&amp;" ")),1,0))+IF(Task!$A$17="",0,IF(ISNUMBER(SEARCH(" "&amp;Task!$A$17&amp;" "," "&amp;LOWER(D210&amp;" "&amp;C210&amp;" "&amp;LOWER(SUBSTITUTE(SUBSTITUTE(SUBSTITUTE(SUBSTITUTE(A210,"/"," "),"."," "),"\"," "),"_"," ")))&amp;" ")),1,0))+IF(Task!$A$18="",0,IF(ISNUMBER(SEARCH(" "&amp;Task!$A$18&amp;" "," "&amp;LOWER(D210&amp;" "&amp;C210&amp;" "&amp;LOWER(SUBSTITUTE(SUBSTITUTE(SUBSTITUTE(SUBSTITUTE(A210,"/"," "),"."," "),"\"," "),"_"," ")))&amp;" ")),1,0))+IF(Task!$A$19="",0,IF(ISNUMBER(SEARCH(" "&amp;Task!$A$19&amp;" "," "&amp;LOWER(D210&amp;" "&amp;C210&amp;" "&amp;LOWER(SUBSTITUTE(SUBSTITUTE(SUBSTITUTE(SUBSTITUTE(A210,"/"," "),"."," "),"\"," "),"_"," ")))&amp;" ")),1,0)))</f>
        <v/>
      </c>
      <c r="G210" s="9">
        <f>IF(E210=0,0,IF(Task!$A$8="",0,IF(ISNUMBER(SEARCH(" "&amp;Task!$A$8&amp;" "," "&amp;LOWER(C210)&amp;" ")),1,0))+IF(Task!$A$9="",0,IF(ISNUMBER(SEARCH(" "&amp;Task!$A$9&amp;" "," "&amp;LOWER(C210)&amp;" ")),1,0))+IF(Task!$A$10="",0,IF(ISNUMBER(SEARCH(" "&amp;Task!$A$10&amp;" "," "&amp;LOWER(C210)&amp;" ")),1,0))+IF(Task!$A$11="",0,IF(ISNUMBER(SEARCH(" "&amp;Task!$A$11&amp;" "," "&amp;LOWER(C210)&amp;" ")),1,0))+IF(Task!$A$12="",0,IF(ISNUMBER(SEARCH(" "&amp;Task!$A$12&amp;" "," "&amp;LOWER(C210)&amp;" ")),1,0))+IF(Task!$A$13="",0,IF(ISNUMBER(SEARCH(" "&amp;Task!$A$13&amp;" "," "&amp;LOWER(C210)&amp;" ")),1,0))+IF(Task!$A$14="",0,IF(ISNUMBER(SEARCH(" "&amp;Task!$A$14&amp;" "," "&amp;LOWER(C210)&amp;" ")),1,0))+IF(Task!$A$15="",0,IF(ISNUMBER(SEARCH(" "&amp;Task!$A$15&amp;" "," "&amp;LOWER(C210)&amp;" ")),1,0))+IF(Task!$A$16="",0,IF(ISNUMBER(SEARCH(" "&amp;Task!$A$16&amp;" "," "&amp;LOWER(C210)&amp;" ")),1,0))+IF(Task!$A$17="",0,IF(ISNUMBER(SEARCH(" "&amp;Task!$A$17&amp;" "," "&amp;LOWER(C210)&amp;" ")),1,0))+IF(Task!$A$18="",0,IF(ISNUMBER(SEARCH(" "&amp;Task!$A$18&amp;" "," "&amp;LOWER(C210)&amp;" ")),1,0))+IF(Task!$A$19="",0,IF(ISNUMBER(SEARCH(" "&amp;Task!$A$19&amp;" "," "&amp;LOWER(C210)&amp;" ")),1,0)))</f>
        <v/>
      </c>
      <c r="H210" s="9">
        <f>IF(E210=0,0,IF(Task!$A$8="",0,IF(ISNUMBER(SEARCH(" "&amp;Task!$A$8&amp;" "," "&amp;LOWER(SUBSTITUTE(SUBSTITUTE(SUBSTITUTE(SUBSTITUTE(A210,"/"," "),"."," "),"\"," "),"_"," "))&amp;" ")),1,0))+IF(Task!$A$9="",0,IF(ISNUMBER(SEARCH(" "&amp;Task!$A$9&amp;" "," "&amp;LOWER(SUBSTITUTE(SUBSTITUTE(SUBSTITUTE(SUBSTITUTE(A210,"/"," "),"."," "),"\"," "),"_"," "))&amp;" ")),1,0))+IF(Task!$A$10="",0,IF(ISNUMBER(SEARCH(" "&amp;Task!$A$10&amp;" "," "&amp;LOWER(SUBSTITUTE(SUBSTITUTE(SUBSTITUTE(SUBSTITUTE(A210,"/"," "),"."," "),"\"," "),"_"," "))&amp;" ")),1,0))+IF(Task!$A$11="",0,IF(ISNUMBER(SEARCH(" "&amp;Task!$A$11&amp;" "," "&amp;LOWER(SUBSTITUTE(SUBSTITUTE(SUBSTITUTE(SUBSTITUTE(A210,"/"," "),"."," "),"\"," "),"_"," "))&amp;" ")),1,0))+IF(Task!$A$12="",0,IF(ISNUMBER(SEARCH(" "&amp;Task!$A$12&amp;" "," "&amp;LOWER(SUBSTITUTE(SUBSTITUTE(SUBSTITUTE(SUBSTITUTE(A210,"/"," "),"."," "),"\"," "),"_"," "))&amp;" ")),1,0))+IF(Task!$A$13="",0,IF(ISNUMBER(SEARCH(" "&amp;Task!$A$13&amp;" "," "&amp;LOWER(SUBSTITUTE(SUBSTITUTE(SUBSTITUTE(SUBSTITUTE(A210,"/"," "),"."," "),"\"," "),"_"," "))&amp;" ")),1,0))+IF(Task!$A$14="",0,IF(ISNUMBER(SEARCH(" "&amp;Task!$A$14&amp;" "," "&amp;LOWER(SUBSTITUTE(SUBSTITUTE(SUBSTITUTE(SUBSTITUTE(A210,"/"," "),"."," "),"\"," "),"_"," "))&amp;" ")),1,0))+IF(Task!$A$15="",0,IF(ISNUMBER(SEARCH(" "&amp;Task!$A$15&amp;" "," "&amp;LOWER(SUBSTITUTE(SUBSTITUTE(SUBSTITUTE(SUBSTITUTE(A210,"/"," "),"."," "),"\"," "),"_"," "))&amp;" ")),1,0))+IF(Task!$A$16="",0,IF(ISNUMBER(SEARCH(" "&amp;Task!$A$16&amp;" "," "&amp;LOWER(SUBSTITUTE(SUBSTITUTE(SUBSTITUTE(SUBSTITUTE(A210,"/"," "),"."," "),"\"," "),"_"," "))&amp;" ")),1,0))+IF(Task!$A$17="",0,IF(ISNUMBER(SEARCH(" "&amp;Task!$A$17&amp;" "," "&amp;LOWER(SUBSTITUTE(SUBSTITUTE(SUBSTITUTE(SUBSTITUTE(A210,"/"," "),"."," "),"\"," "),"_"," "))&amp;" ")),1,0))+IF(Task!$A$18="",0,IF(ISNUMBER(SEARCH(" "&amp;Task!$A$18&amp;" "," "&amp;LOWER(SUBSTITUTE(SUBSTITUTE(SUBSTITUTE(SUBSTITUTE(A210,"/"," "),"."," "),"\"," "),"_"," "))&amp;" ")),1,0))+IF(Task!$A$19="",0,IF(ISNUMBER(SEARCH(" "&amp;Task!$A$19&amp;" "," "&amp;LOWER(SUBSTITUTE(SUBSTITUTE(SUBSTITUTE(SUBSTITUTE(A210,"/"," "),"."," "),"\"," "),"_"," "))&amp;" ")),1,0)))</f>
        <v/>
      </c>
      <c r="I210" s="10">
        <f>IF(OR(E210=0,F210=0,Task!$B$21=0),"",F210/Task!$B$21+0.5*G210+0.25*H210)</f>
        <v/>
      </c>
      <c r="J210" s="5">
        <f>IF(I210="","",I210-ROW()/1000000)</f>
        <v/>
      </c>
      <c r="K210" s="9">
        <f>IF(J210="","",COUNTIF($J$5:$J$404,"&gt;"&amp;J210)+1)</f>
        <v/>
      </c>
    </row>
    <row r="211">
      <c r="A211" s="7" t="n"/>
      <c r="B211" s="7" t="n"/>
      <c r="C211" s="7" t="n"/>
      <c r="D211" s="7" t="n"/>
      <c r="E211" s="5">
        <f>IF(A211="",0,IF(COUNTA(Task!$B$5:$E$5)=0,1,IF(COUNTIF(Task!$B$5:$E$5,B211)&gt;0,1,0)))</f>
        <v/>
      </c>
      <c r="F211" s="9">
        <f>IF(E211=0,0,IF(Task!$A$8="",0,IF(ISNUMBER(SEARCH(" "&amp;Task!$A$8&amp;" "," "&amp;LOWER(D211&amp;" "&amp;C211&amp;" "&amp;LOWER(SUBSTITUTE(SUBSTITUTE(SUBSTITUTE(SUBSTITUTE(A211,"/"," "),"."," "),"\"," "),"_"," ")))&amp;" ")),1,0))+IF(Task!$A$9="",0,IF(ISNUMBER(SEARCH(" "&amp;Task!$A$9&amp;" "," "&amp;LOWER(D211&amp;" "&amp;C211&amp;" "&amp;LOWER(SUBSTITUTE(SUBSTITUTE(SUBSTITUTE(SUBSTITUTE(A211,"/"," "),"."," "),"\"," "),"_"," ")))&amp;" ")),1,0))+IF(Task!$A$10="",0,IF(ISNUMBER(SEARCH(" "&amp;Task!$A$10&amp;" "," "&amp;LOWER(D211&amp;" "&amp;C211&amp;" "&amp;LOWER(SUBSTITUTE(SUBSTITUTE(SUBSTITUTE(SUBSTITUTE(A211,"/"," "),"."," "),"\"," "),"_"," ")))&amp;" ")),1,0))+IF(Task!$A$11="",0,IF(ISNUMBER(SEARCH(" "&amp;Task!$A$11&amp;" "," "&amp;LOWER(D211&amp;" "&amp;C211&amp;" "&amp;LOWER(SUBSTITUTE(SUBSTITUTE(SUBSTITUTE(SUBSTITUTE(A211,"/"," "),"."," "),"\"," "),"_"," ")))&amp;" ")),1,0))+IF(Task!$A$12="",0,IF(ISNUMBER(SEARCH(" "&amp;Task!$A$12&amp;" "," "&amp;LOWER(D211&amp;" "&amp;C211&amp;" "&amp;LOWER(SUBSTITUTE(SUBSTITUTE(SUBSTITUTE(SUBSTITUTE(A211,"/"," "),"."," "),"\"," "),"_"," ")))&amp;" ")),1,0))+IF(Task!$A$13="",0,IF(ISNUMBER(SEARCH(" "&amp;Task!$A$13&amp;" "," "&amp;LOWER(D211&amp;" "&amp;C211&amp;" "&amp;LOWER(SUBSTITUTE(SUBSTITUTE(SUBSTITUTE(SUBSTITUTE(A211,"/"," "),"."," "),"\"," "),"_"," ")))&amp;" ")),1,0))+IF(Task!$A$14="",0,IF(ISNUMBER(SEARCH(" "&amp;Task!$A$14&amp;" "," "&amp;LOWER(D211&amp;" "&amp;C211&amp;" "&amp;LOWER(SUBSTITUTE(SUBSTITUTE(SUBSTITUTE(SUBSTITUTE(A211,"/"," "),"."," "),"\"," "),"_"," ")))&amp;" ")),1,0))+IF(Task!$A$15="",0,IF(ISNUMBER(SEARCH(" "&amp;Task!$A$15&amp;" "," "&amp;LOWER(D211&amp;" "&amp;C211&amp;" "&amp;LOWER(SUBSTITUTE(SUBSTITUTE(SUBSTITUTE(SUBSTITUTE(A211,"/"," "),"."," "),"\"," "),"_"," ")))&amp;" ")),1,0))+IF(Task!$A$16="",0,IF(ISNUMBER(SEARCH(" "&amp;Task!$A$16&amp;" "," "&amp;LOWER(D211&amp;" "&amp;C211&amp;" "&amp;LOWER(SUBSTITUTE(SUBSTITUTE(SUBSTITUTE(SUBSTITUTE(A211,"/"," "),"."," "),"\"," "),"_"," ")))&amp;" ")),1,0))+IF(Task!$A$17="",0,IF(ISNUMBER(SEARCH(" "&amp;Task!$A$17&amp;" "," "&amp;LOWER(D211&amp;" "&amp;C211&amp;" "&amp;LOWER(SUBSTITUTE(SUBSTITUTE(SUBSTITUTE(SUBSTITUTE(A211,"/"," "),"."," "),"\"," "),"_"," ")))&amp;" ")),1,0))+IF(Task!$A$18="",0,IF(ISNUMBER(SEARCH(" "&amp;Task!$A$18&amp;" "," "&amp;LOWER(D211&amp;" "&amp;C211&amp;" "&amp;LOWER(SUBSTITUTE(SUBSTITUTE(SUBSTITUTE(SUBSTITUTE(A211,"/"," "),"."," "),"\"," "),"_"," ")))&amp;" ")),1,0))+IF(Task!$A$19="",0,IF(ISNUMBER(SEARCH(" "&amp;Task!$A$19&amp;" "," "&amp;LOWER(D211&amp;" "&amp;C211&amp;" "&amp;LOWER(SUBSTITUTE(SUBSTITUTE(SUBSTITUTE(SUBSTITUTE(A211,"/"," "),"."," "),"\"," "),"_"," ")))&amp;" ")),1,0)))</f>
        <v/>
      </c>
      <c r="G211" s="9">
        <f>IF(E211=0,0,IF(Task!$A$8="",0,IF(ISNUMBER(SEARCH(" "&amp;Task!$A$8&amp;" "," "&amp;LOWER(C211)&amp;" ")),1,0))+IF(Task!$A$9="",0,IF(ISNUMBER(SEARCH(" "&amp;Task!$A$9&amp;" "," "&amp;LOWER(C211)&amp;" ")),1,0))+IF(Task!$A$10="",0,IF(ISNUMBER(SEARCH(" "&amp;Task!$A$10&amp;" "," "&amp;LOWER(C211)&amp;" ")),1,0))+IF(Task!$A$11="",0,IF(ISNUMBER(SEARCH(" "&amp;Task!$A$11&amp;" "," "&amp;LOWER(C211)&amp;" ")),1,0))+IF(Task!$A$12="",0,IF(ISNUMBER(SEARCH(" "&amp;Task!$A$12&amp;" "," "&amp;LOWER(C211)&amp;" ")),1,0))+IF(Task!$A$13="",0,IF(ISNUMBER(SEARCH(" "&amp;Task!$A$13&amp;" "," "&amp;LOWER(C211)&amp;" ")),1,0))+IF(Task!$A$14="",0,IF(ISNUMBER(SEARCH(" "&amp;Task!$A$14&amp;" "," "&amp;LOWER(C211)&amp;" ")),1,0))+IF(Task!$A$15="",0,IF(ISNUMBER(SEARCH(" "&amp;Task!$A$15&amp;" "," "&amp;LOWER(C211)&amp;" ")),1,0))+IF(Task!$A$16="",0,IF(ISNUMBER(SEARCH(" "&amp;Task!$A$16&amp;" "," "&amp;LOWER(C211)&amp;" ")),1,0))+IF(Task!$A$17="",0,IF(ISNUMBER(SEARCH(" "&amp;Task!$A$17&amp;" "," "&amp;LOWER(C211)&amp;" ")),1,0))+IF(Task!$A$18="",0,IF(ISNUMBER(SEARCH(" "&amp;Task!$A$18&amp;" "," "&amp;LOWER(C211)&amp;" ")),1,0))+IF(Task!$A$19="",0,IF(ISNUMBER(SEARCH(" "&amp;Task!$A$19&amp;" "," "&amp;LOWER(C211)&amp;" ")),1,0)))</f>
        <v/>
      </c>
      <c r="H211" s="9">
        <f>IF(E211=0,0,IF(Task!$A$8="",0,IF(ISNUMBER(SEARCH(" "&amp;Task!$A$8&amp;" "," "&amp;LOWER(SUBSTITUTE(SUBSTITUTE(SUBSTITUTE(SUBSTITUTE(A211,"/"," "),"."," "),"\"," "),"_"," "))&amp;" ")),1,0))+IF(Task!$A$9="",0,IF(ISNUMBER(SEARCH(" "&amp;Task!$A$9&amp;" "," "&amp;LOWER(SUBSTITUTE(SUBSTITUTE(SUBSTITUTE(SUBSTITUTE(A211,"/"," "),"."," "),"\"," "),"_"," "))&amp;" ")),1,0))+IF(Task!$A$10="",0,IF(ISNUMBER(SEARCH(" "&amp;Task!$A$10&amp;" "," "&amp;LOWER(SUBSTITUTE(SUBSTITUTE(SUBSTITUTE(SUBSTITUTE(A211,"/"," "),"."," "),"\"," "),"_"," "))&amp;" ")),1,0))+IF(Task!$A$11="",0,IF(ISNUMBER(SEARCH(" "&amp;Task!$A$11&amp;" "," "&amp;LOWER(SUBSTITUTE(SUBSTITUTE(SUBSTITUTE(SUBSTITUTE(A211,"/"," "),"."," "),"\"," "),"_"," "))&amp;" ")),1,0))+IF(Task!$A$12="",0,IF(ISNUMBER(SEARCH(" "&amp;Task!$A$12&amp;" "," "&amp;LOWER(SUBSTITUTE(SUBSTITUTE(SUBSTITUTE(SUBSTITUTE(A211,"/"," "),"."," "),"\"," "),"_"," "))&amp;" ")),1,0))+IF(Task!$A$13="",0,IF(ISNUMBER(SEARCH(" "&amp;Task!$A$13&amp;" "," "&amp;LOWER(SUBSTITUTE(SUBSTITUTE(SUBSTITUTE(SUBSTITUTE(A211,"/"," "),"."," "),"\"," "),"_"," "))&amp;" ")),1,0))+IF(Task!$A$14="",0,IF(ISNUMBER(SEARCH(" "&amp;Task!$A$14&amp;" "," "&amp;LOWER(SUBSTITUTE(SUBSTITUTE(SUBSTITUTE(SUBSTITUTE(A211,"/"," "),"."," "),"\"," "),"_"," "))&amp;" ")),1,0))+IF(Task!$A$15="",0,IF(ISNUMBER(SEARCH(" "&amp;Task!$A$15&amp;" "," "&amp;LOWER(SUBSTITUTE(SUBSTITUTE(SUBSTITUTE(SUBSTITUTE(A211,"/"," "),"."," "),"\"," "),"_"," "))&amp;" ")),1,0))+IF(Task!$A$16="",0,IF(ISNUMBER(SEARCH(" "&amp;Task!$A$16&amp;" "," "&amp;LOWER(SUBSTITUTE(SUBSTITUTE(SUBSTITUTE(SUBSTITUTE(A211,"/"," "),"."," "),"\"," "),"_"," "))&amp;" ")),1,0))+IF(Task!$A$17="",0,IF(ISNUMBER(SEARCH(" "&amp;Task!$A$17&amp;" "," "&amp;LOWER(SUBSTITUTE(SUBSTITUTE(SUBSTITUTE(SUBSTITUTE(A211,"/"," "),"."," "),"\"," "),"_"," "))&amp;" ")),1,0))+IF(Task!$A$18="",0,IF(ISNUMBER(SEARCH(" "&amp;Task!$A$18&amp;" "," "&amp;LOWER(SUBSTITUTE(SUBSTITUTE(SUBSTITUTE(SUBSTITUTE(A211,"/"," "),"."," "),"\"," "),"_"," "))&amp;" ")),1,0))+IF(Task!$A$19="",0,IF(ISNUMBER(SEARCH(" "&amp;Task!$A$19&amp;" "," "&amp;LOWER(SUBSTITUTE(SUBSTITUTE(SUBSTITUTE(SUBSTITUTE(A211,"/"," "),"."," "),"\"," "),"_"," "))&amp;" ")),1,0)))</f>
        <v/>
      </c>
      <c r="I211" s="10">
        <f>IF(OR(E211=0,F211=0,Task!$B$21=0),"",F211/Task!$B$21+0.5*G211+0.25*H211)</f>
        <v/>
      </c>
      <c r="J211" s="5">
        <f>IF(I211="","",I211-ROW()/1000000)</f>
        <v/>
      </c>
      <c r="K211" s="9">
        <f>IF(J211="","",COUNTIF($J$5:$J$404,"&gt;"&amp;J211)+1)</f>
        <v/>
      </c>
    </row>
    <row r="212">
      <c r="A212" s="7" t="n"/>
      <c r="B212" s="7" t="n"/>
      <c r="C212" s="7" t="n"/>
      <c r="D212" s="7" t="n"/>
      <c r="E212" s="5">
        <f>IF(A212="",0,IF(COUNTA(Task!$B$5:$E$5)=0,1,IF(COUNTIF(Task!$B$5:$E$5,B212)&gt;0,1,0)))</f>
        <v/>
      </c>
      <c r="F212" s="9">
        <f>IF(E212=0,0,IF(Task!$A$8="",0,IF(ISNUMBER(SEARCH(" "&amp;Task!$A$8&amp;" "," "&amp;LOWER(D212&amp;" "&amp;C212&amp;" "&amp;LOWER(SUBSTITUTE(SUBSTITUTE(SUBSTITUTE(SUBSTITUTE(A212,"/"," "),"."," "),"\"," "),"_"," ")))&amp;" ")),1,0))+IF(Task!$A$9="",0,IF(ISNUMBER(SEARCH(" "&amp;Task!$A$9&amp;" "," "&amp;LOWER(D212&amp;" "&amp;C212&amp;" "&amp;LOWER(SUBSTITUTE(SUBSTITUTE(SUBSTITUTE(SUBSTITUTE(A212,"/"," "),"."," "),"\"," "),"_"," ")))&amp;" ")),1,0))+IF(Task!$A$10="",0,IF(ISNUMBER(SEARCH(" "&amp;Task!$A$10&amp;" "," "&amp;LOWER(D212&amp;" "&amp;C212&amp;" "&amp;LOWER(SUBSTITUTE(SUBSTITUTE(SUBSTITUTE(SUBSTITUTE(A212,"/"," "),"."," "),"\"," "),"_"," ")))&amp;" ")),1,0))+IF(Task!$A$11="",0,IF(ISNUMBER(SEARCH(" "&amp;Task!$A$11&amp;" "," "&amp;LOWER(D212&amp;" "&amp;C212&amp;" "&amp;LOWER(SUBSTITUTE(SUBSTITUTE(SUBSTITUTE(SUBSTITUTE(A212,"/"," "),"."," "),"\"," "),"_"," ")))&amp;" ")),1,0))+IF(Task!$A$12="",0,IF(ISNUMBER(SEARCH(" "&amp;Task!$A$12&amp;" "," "&amp;LOWER(D212&amp;" "&amp;C212&amp;" "&amp;LOWER(SUBSTITUTE(SUBSTITUTE(SUBSTITUTE(SUBSTITUTE(A212,"/"," "),"."," "),"\"," "),"_"," ")))&amp;" ")),1,0))+IF(Task!$A$13="",0,IF(ISNUMBER(SEARCH(" "&amp;Task!$A$13&amp;" "," "&amp;LOWER(D212&amp;" "&amp;C212&amp;" "&amp;LOWER(SUBSTITUTE(SUBSTITUTE(SUBSTITUTE(SUBSTITUTE(A212,"/"," "),"."," "),"\"," "),"_"," ")))&amp;" ")),1,0))+IF(Task!$A$14="",0,IF(ISNUMBER(SEARCH(" "&amp;Task!$A$14&amp;" "," "&amp;LOWER(D212&amp;" "&amp;C212&amp;" "&amp;LOWER(SUBSTITUTE(SUBSTITUTE(SUBSTITUTE(SUBSTITUTE(A212,"/"," "),"."," "),"\"," "),"_"," ")))&amp;" ")),1,0))+IF(Task!$A$15="",0,IF(ISNUMBER(SEARCH(" "&amp;Task!$A$15&amp;" "," "&amp;LOWER(D212&amp;" "&amp;C212&amp;" "&amp;LOWER(SUBSTITUTE(SUBSTITUTE(SUBSTITUTE(SUBSTITUTE(A212,"/"," "),"."," "),"\"," "),"_"," ")))&amp;" ")),1,0))+IF(Task!$A$16="",0,IF(ISNUMBER(SEARCH(" "&amp;Task!$A$16&amp;" "," "&amp;LOWER(D212&amp;" "&amp;C212&amp;" "&amp;LOWER(SUBSTITUTE(SUBSTITUTE(SUBSTITUTE(SUBSTITUTE(A212,"/"," "),"."," "),"\"," "),"_"," ")))&amp;" ")),1,0))+IF(Task!$A$17="",0,IF(ISNUMBER(SEARCH(" "&amp;Task!$A$17&amp;" "," "&amp;LOWER(D212&amp;" "&amp;C212&amp;" "&amp;LOWER(SUBSTITUTE(SUBSTITUTE(SUBSTITUTE(SUBSTITUTE(A212,"/"," "),"."," "),"\"," "),"_"," ")))&amp;" ")),1,0))+IF(Task!$A$18="",0,IF(ISNUMBER(SEARCH(" "&amp;Task!$A$18&amp;" "," "&amp;LOWER(D212&amp;" "&amp;C212&amp;" "&amp;LOWER(SUBSTITUTE(SUBSTITUTE(SUBSTITUTE(SUBSTITUTE(A212,"/"," "),"."," "),"\"," "),"_"," ")))&amp;" ")),1,0))+IF(Task!$A$19="",0,IF(ISNUMBER(SEARCH(" "&amp;Task!$A$19&amp;" "," "&amp;LOWER(D212&amp;" "&amp;C212&amp;" "&amp;LOWER(SUBSTITUTE(SUBSTITUTE(SUBSTITUTE(SUBSTITUTE(A212,"/"," "),"."," "),"\"," "),"_"," ")))&amp;" ")),1,0)))</f>
        <v/>
      </c>
      <c r="G212" s="9">
        <f>IF(E212=0,0,IF(Task!$A$8="",0,IF(ISNUMBER(SEARCH(" "&amp;Task!$A$8&amp;" "," "&amp;LOWER(C212)&amp;" ")),1,0))+IF(Task!$A$9="",0,IF(ISNUMBER(SEARCH(" "&amp;Task!$A$9&amp;" "," "&amp;LOWER(C212)&amp;" ")),1,0))+IF(Task!$A$10="",0,IF(ISNUMBER(SEARCH(" "&amp;Task!$A$10&amp;" "," "&amp;LOWER(C212)&amp;" ")),1,0))+IF(Task!$A$11="",0,IF(ISNUMBER(SEARCH(" "&amp;Task!$A$11&amp;" "," "&amp;LOWER(C212)&amp;" ")),1,0))+IF(Task!$A$12="",0,IF(ISNUMBER(SEARCH(" "&amp;Task!$A$12&amp;" "," "&amp;LOWER(C212)&amp;" ")),1,0))+IF(Task!$A$13="",0,IF(ISNUMBER(SEARCH(" "&amp;Task!$A$13&amp;" "," "&amp;LOWER(C212)&amp;" ")),1,0))+IF(Task!$A$14="",0,IF(ISNUMBER(SEARCH(" "&amp;Task!$A$14&amp;" "," "&amp;LOWER(C212)&amp;" ")),1,0))+IF(Task!$A$15="",0,IF(ISNUMBER(SEARCH(" "&amp;Task!$A$15&amp;" "," "&amp;LOWER(C212)&amp;" ")),1,0))+IF(Task!$A$16="",0,IF(ISNUMBER(SEARCH(" "&amp;Task!$A$16&amp;" "," "&amp;LOWER(C212)&amp;" ")),1,0))+IF(Task!$A$17="",0,IF(ISNUMBER(SEARCH(" "&amp;Task!$A$17&amp;" "," "&amp;LOWER(C212)&amp;" ")),1,0))+IF(Task!$A$18="",0,IF(ISNUMBER(SEARCH(" "&amp;Task!$A$18&amp;" "," "&amp;LOWER(C212)&amp;" ")),1,0))+IF(Task!$A$19="",0,IF(ISNUMBER(SEARCH(" "&amp;Task!$A$19&amp;" "," "&amp;LOWER(C212)&amp;" ")),1,0)))</f>
        <v/>
      </c>
      <c r="H212" s="9">
        <f>IF(E212=0,0,IF(Task!$A$8="",0,IF(ISNUMBER(SEARCH(" "&amp;Task!$A$8&amp;" "," "&amp;LOWER(SUBSTITUTE(SUBSTITUTE(SUBSTITUTE(SUBSTITUTE(A212,"/"," "),"."," "),"\"," "),"_"," "))&amp;" ")),1,0))+IF(Task!$A$9="",0,IF(ISNUMBER(SEARCH(" "&amp;Task!$A$9&amp;" "," "&amp;LOWER(SUBSTITUTE(SUBSTITUTE(SUBSTITUTE(SUBSTITUTE(A212,"/"," "),"."," "),"\"," "),"_"," "))&amp;" ")),1,0))+IF(Task!$A$10="",0,IF(ISNUMBER(SEARCH(" "&amp;Task!$A$10&amp;" "," "&amp;LOWER(SUBSTITUTE(SUBSTITUTE(SUBSTITUTE(SUBSTITUTE(A212,"/"," "),"."," "),"\"," "),"_"," "))&amp;" ")),1,0))+IF(Task!$A$11="",0,IF(ISNUMBER(SEARCH(" "&amp;Task!$A$11&amp;" "," "&amp;LOWER(SUBSTITUTE(SUBSTITUTE(SUBSTITUTE(SUBSTITUTE(A212,"/"," "),"."," "),"\"," "),"_"," "))&amp;" ")),1,0))+IF(Task!$A$12="",0,IF(ISNUMBER(SEARCH(" "&amp;Task!$A$12&amp;" "," "&amp;LOWER(SUBSTITUTE(SUBSTITUTE(SUBSTITUTE(SUBSTITUTE(A212,"/"," "),"."," "),"\"," "),"_"," "))&amp;" ")),1,0))+IF(Task!$A$13="",0,IF(ISNUMBER(SEARCH(" "&amp;Task!$A$13&amp;" "," "&amp;LOWER(SUBSTITUTE(SUBSTITUTE(SUBSTITUTE(SUBSTITUTE(A212,"/"," "),"."," "),"\"," "),"_"," "))&amp;" ")),1,0))+IF(Task!$A$14="",0,IF(ISNUMBER(SEARCH(" "&amp;Task!$A$14&amp;" "," "&amp;LOWER(SUBSTITUTE(SUBSTITUTE(SUBSTITUTE(SUBSTITUTE(A212,"/"," "),"."," "),"\"," "),"_"," "))&amp;" ")),1,0))+IF(Task!$A$15="",0,IF(ISNUMBER(SEARCH(" "&amp;Task!$A$15&amp;" "," "&amp;LOWER(SUBSTITUTE(SUBSTITUTE(SUBSTITUTE(SUBSTITUTE(A212,"/"," "),"."," "),"\"," "),"_"," "))&amp;" ")),1,0))+IF(Task!$A$16="",0,IF(ISNUMBER(SEARCH(" "&amp;Task!$A$16&amp;" "," "&amp;LOWER(SUBSTITUTE(SUBSTITUTE(SUBSTITUTE(SUBSTITUTE(A212,"/"," "),"."," "),"\"," "),"_"," "))&amp;" ")),1,0))+IF(Task!$A$17="",0,IF(ISNUMBER(SEARCH(" "&amp;Task!$A$17&amp;" "," "&amp;LOWER(SUBSTITUTE(SUBSTITUTE(SUBSTITUTE(SUBSTITUTE(A212,"/"," "),"."," "),"\"," "),"_"," "))&amp;" ")),1,0))+IF(Task!$A$18="",0,IF(ISNUMBER(SEARCH(" "&amp;Task!$A$18&amp;" "," "&amp;LOWER(SUBSTITUTE(SUBSTITUTE(SUBSTITUTE(SUBSTITUTE(A212,"/"," "),"."," "),"\"," "),"_"," "))&amp;" ")),1,0))+IF(Task!$A$19="",0,IF(ISNUMBER(SEARCH(" "&amp;Task!$A$19&amp;" "," "&amp;LOWER(SUBSTITUTE(SUBSTITUTE(SUBSTITUTE(SUBSTITUTE(A212,"/"," "),"."," "),"\"," "),"_"," "))&amp;" ")),1,0)))</f>
        <v/>
      </c>
      <c r="I212" s="10">
        <f>IF(OR(E212=0,F212=0,Task!$B$21=0),"",F212/Task!$B$21+0.5*G212+0.25*H212)</f>
        <v/>
      </c>
      <c r="J212" s="5">
        <f>IF(I212="","",I212-ROW()/1000000)</f>
        <v/>
      </c>
      <c r="K212" s="9">
        <f>IF(J212="","",COUNTIF($J$5:$J$404,"&gt;"&amp;J212)+1)</f>
        <v/>
      </c>
    </row>
    <row r="213">
      <c r="A213" s="7" t="n"/>
      <c r="B213" s="7" t="n"/>
      <c r="C213" s="7" t="n"/>
      <c r="D213" s="7" t="n"/>
      <c r="E213" s="5">
        <f>IF(A213="",0,IF(COUNTA(Task!$B$5:$E$5)=0,1,IF(COUNTIF(Task!$B$5:$E$5,B213)&gt;0,1,0)))</f>
        <v/>
      </c>
      <c r="F213" s="9">
        <f>IF(E213=0,0,IF(Task!$A$8="",0,IF(ISNUMBER(SEARCH(" "&amp;Task!$A$8&amp;" "," "&amp;LOWER(D213&amp;" "&amp;C213&amp;" "&amp;LOWER(SUBSTITUTE(SUBSTITUTE(SUBSTITUTE(SUBSTITUTE(A213,"/"," "),"."," "),"\"," "),"_"," ")))&amp;" ")),1,0))+IF(Task!$A$9="",0,IF(ISNUMBER(SEARCH(" "&amp;Task!$A$9&amp;" "," "&amp;LOWER(D213&amp;" "&amp;C213&amp;" "&amp;LOWER(SUBSTITUTE(SUBSTITUTE(SUBSTITUTE(SUBSTITUTE(A213,"/"," "),"."," "),"\"," "),"_"," ")))&amp;" ")),1,0))+IF(Task!$A$10="",0,IF(ISNUMBER(SEARCH(" "&amp;Task!$A$10&amp;" "," "&amp;LOWER(D213&amp;" "&amp;C213&amp;" "&amp;LOWER(SUBSTITUTE(SUBSTITUTE(SUBSTITUTE(SUBSTITUTE(A213,"/"," "),"."," "),"\"," "),"_"," ")))&amp;" ")),1,0))+IF(Task!$A$11="",0,IF(ISNUMBER(SEARCH(" "&amp;Task!$A$11&amp;" "," "&amp;LOWER(D213&amp;" "&amp;C213&amp;" "&amp;LOWER(SUBSTITUTE(SUBSTITUTE(SUBSTITUTE(SUBSTITUTE(A213,"/"," "),"."," "),"\"," "),"_"," ")))&amp;" ")),1,0))+IF(Task!$A$12="",0,IF(ISNUMBER(SEARCH(" "&amp;Task!$A$12&amp;" "," "&amp;LOWER(D213&amp;" "&amp;C213&amp;" "&amp;LOWER(SUBSTITUTE(SUBSTITUTE(SUBSTITUTE(SUBSTITUTE(A213,"/"," "),"."," "),"\"," "),"_"," ")))&amp;" ")),1,0))+IF(Task!$A$13="",0,IF(ISNUMBER(SEARCH(" "&amp;Task!$A$13&amp;" "," "&amp;LOWER(D213&amp;" "&amp;C213&amp;" "&amp;LOWER(SUBSTITUTE(SUBSTITUTE(SUBSTITUTE(SUBSTITUTE(A213,"/"," "),"."," "),"\"," "),"_"," ")))&amp;" ")),1,0))+IF(Task!$A$14="",0,IF(ISNUMBER(SEARCH(" "&amp;Task!$A$14&amp;" "," "&amp;LOWER(D213&amp;" "&amp;C213&amp;" "&amp;LOWER(SUBSTITUTE(SUBSTITUTE(SUBSTITUTE(SUBSTITUTE(A213,"/"," "),"."," "),"\"," "),"_"," ")))&amp;" ")),1,0))+IF(Task!$A$15="",0,IF(ISNUMBER(SEARCH(" "&amp;Task!$A$15&amp;" "," "&amp;LOWER(D213&amp;" "&amp;C213&amp;" "&amp;LOWER(SUBSTITUTE(SUBSTITUTE(SUBSTITUTE(SUBSTITUTE(A213,"/"," "),"."," "),"\"," "),"_"," ")))&amp;" ")),1,0))+IF(Task!$A$16="",0,IF(ISNUMBER(SEARCH(" "&amp;Task!$A$16&amp;" "," "&amp;LOWER(D213&amp;" "&amp;C213&amp;" "&amp;LOWER(SUBSTITUTE(SUBSTITUTE(SUBSTITUTE(SUBSTITUTE(A213,"/"," "),"."," "),"\"," "),"_"," ")))&amp;" ")),1,0))+IF(Task!$A$17="",0,IF(ISNUMBER(SEARCH(" "&amp;Task!$A$17&amp;" "," "&amp;LOWER(D213&amp;" "&amp;C213&amp;" "&amp;LOWER(SUBSTITUTE(SUBSTITUTE(SUBSTITUTE(SUBSTITUTE(A213,"/"," "),"."," "),"\"," "),"_"," ")))&amp;" ")),1,0))+IF(Task!$A$18="",0,IF(ISNUMBER(SEARCH(" "&amp;Task!$A$18&amp;" "," "&amp;LOWER(D213&amp;" "&amp;C213&amp;" "&amp;LOWER(SUBSTITUTE(SUBSTITUTE(SUBSTITUTE(SUBSTITUTE(A213,"/"," "),"."," "),"\"," "),"_"," ")))&amp;" ")),1,0))+IF(Task!$A$19="",0,IF(ISNUMBER(SEARCH(" "&amp;Task!$A$19&amp;" "," "&amp;LOWER(D213&amp;" "&amp;C213&amp;" "&amp;LOWER(SUBSTITUTE(SUBSTITUTE(SUBSTITUTE(SUBSTITUTE(A213,"/"," "),"."," "),"\"," "),"_"," ")))&amp;" ")),1,0)))</f>
        <v/>
      </c>
      <c r="G213" s="9">
        <f>IF(E213=0,0,IF(Task!$A$8="",0,IF(ISNUMBER(SEARCH(" "&amp;Task!$A$8&amp;" "," "&amp;LOWER(C213)&amp;" ")),1,0))+IF(Task!$A$9="",0,IF(ISNUMBER(SEARCH(" "&amp;Task!$A$9&amp;" "," "&amp;LOWER(C213)&amp;" ")),1,0))+IF(Task!$A$10="",0,IF(ISNUMBER(SEARCH(" "&amp;Task!$A$10&amp;" "," "&amp;LOWER(C213)&amp;" ")),1,0))+IF(Task!$A$11="",0,IF(ISNUMBER(SEARCH(" "&amp;Task!$A$11&amp;" "," "&amp;LOWER(C213)&amp;" ")),1,0))+IF(Task!$A$12="",0,IF(ISNUMBER(SEARCH(" "&amp;Task!$A$12&amp;" "," "&amp;LOWER(C213)&amp;" ")),1,0))+IF(Task!$A$13="",0,IF(ISNUMBER(SEARCH(" "&amp;Task!$A$13&amp;" "," "&amp;LOWER(C213)&amp;" ")),1,0))+IF(Task!$A$14="",0,IF(ISNUMBER(SEARCH(" "&amp;Task!$A$14&amp;" "," "&amp;LOWER(C213)&amp;" ")),1,0))+IF(Task!$A$15="",0,IF(ISNUMBER(SEARCH(" "&amp;Task!$A$15&amp;" "," "&amp;LOWER(C213)&amp;" ")),1,0))+IF(Task!$A$16="",0,IF(ISNUMBER(SEARCH(" "&amp;Task!$A$16&amp;" "," "&amp;LOWER(C213)&amp;" ")),1,0))+IF(Task!$A$17="",0,IF(ISNUMBER(SEARCH(" "&amp;Task!$A$17&amp;" "," "&amp;LOWER(C213)&amp;" ")),1,0))+IF(Task!$A$18="",0,IF(ISNUMBER(SEARCH(" "&amp;Task!$A$18&amp;" "," "&amp;LOWER(C213)&amp;" ")),1,0))+IF(Task!$A$19="",0,IF(ISNUMBER(SEARCH(" "&amp;Task!$A$19&amp;" "," "&amp;LOWER(C213)&amp;" ")),1,0)))</f>
        <v/>
      </c>
      <c r="H213" s="9">
        <f>IF(E213=0,0,IF(Task!$A$8="",0,IF(ISNUMBER(SEARCH(" "&amp;Task!$A$8&amp;" "," "&amp;LOWER(SUBSTITUTE(SUBSTITUTE(SUBSTITUTE(SUBSTITUTE(A213,"/"," "),"."," "),"\"," "),"_"," "))&amp;" ")),1,0))+IF(Task!$A$9="",0,IF(ISNUMBER(SEARCH(" "&amp;Task!$A$9&amp;" "," "&amp;LOWER(SUBSTITUTE(SUBSTITUTE(SUBSTITUTE(SUBSTITUTE(A213,"/"," "),"."," "),"\"," "),"_"," "))&amp;" ")),1,0))+IF(Task!$A$10="",0,IF(ISNUMBER(SEARCH(" "&amp;Task!$A$10&amp;" "," "&amp;LOWER(SUBSTITUTE(SUBSTITUTE(SUBSTITUTE(SUBSTITUTE(A213,"/"," "),"."," "),"\"," "),"_"," "))&amp;" ")),1,0))+IF(Task!$A$11="",0,IF(ISNUMBER(SEARCH(" "&amp;Task!$A$11&amp;" "," "&amp;LOWER(SUBSTITUTE(SUBSTITUTE(SUBSTITUTE(SUBSTITUTE(A213,"/"," "),"."," "),"\"," "),"_"," "))&amp;" ")),1,0))+IF(Task!$A$12="",0,IF(ISNUMBER(SEARCH(" "&amp;Task!$A$12&amp;" "," "&amp;LOWER(SUBSTITUTE(SUBSTITUTE(SUBSTITUTE(SUBSTITUTE(A213,"/"," "),"."," "),"\"," "),"_"," "))&amp;" ")),1,0))+IF(Task!$A$13="",0,IF(ISNUMBER(SEARCH(" "&amp;Task!$A$13&amp;" "," "&amp;LOWER(SUBSTITUTE(SUBSTITUTE(SUBSTITUTE(SUBSTITUTE(A213,"/"," "),"."," "),"\"," "),"_"," "))&amp;" ")),1,0))+IF(Task!$A$14="",0,IF(ISNUMBER(SEARCH(" "&amp;Task!$A$14&amp;" "," "&amp;LOWER(SUBSTITUTE(SUBSTITUTE(SUBSTITUTE(SUBSTITUTE(A213,"/"," "),"."," "),"\"," "),"_"," "))&amp;" ")),1,0))+IF(Task!$A$15="",0,IF(ISNUMBER(SEARCH(" "&amp;Task!$A$15&amp;" "," "&amp;LOWER(SUBSTITUTE(SUBSTITUTE(SUBSTITUTE(SUBSTITUTE(A213,"/"," "),"."," "),"\"," "),"_"," "))&amp;" ")),1,0))+IF(Task!$A$16="",0,IF(ISNUMBER(SEARCH(" "&amp;Task!$A$16&amp;" "," "&amp;LOWER(SUBSTITUTE(SUBSTITUTE(SUBSTITUTE(SUBSTITUTE(A213,"/"," "),"."," "),"\"," "),"_"," "))&amp;" ")),1,0))+IF(Task!$A$17="",0,IF(ISNUMBER(SEARCH(" "&amp;Task!$A$17&amp;" "," "&amp;LOWER(SUBSTITUTE(SUBSTITUTE(SUBSTITUTE(SUBSTITUTE(A213,"/"," "),"."," "),"\"," "),"_"," "))&amp;" ")),1,0))+IF(Task!$A$18="",0,IF(ISNUMBER(SEARCH(" "&amp;Task!$A$18&amp;" "," "&amp;LOWER(SUBSTITUTE(SUBSTITUTE(SUBSTITUTE(SUBSTITUTE(A213,"/"," "),"."," "),"\"," "),"_"," "))&amp;" ")),1,0))+IF(Task!$A$19="",0,IF(ISNUMBER(SEARCH(" "&amp;Task!$A$19&amp;" "," "&amp;LOWER(SUBSTITUTE(SUBSTITUTE(SUBSTITUTE(SUBSTITUTE(A213,"/"," "),"."," "),"\"," "),"_"," "))&amp;" ")),1,0)))</f>
        <v/>
      </c>
      <c r="I213" s="10">
        <f>IF(OR(E213=0,F213=0,Task!$B$21=0),"",F213/Task!$B$21+0.5*G213+0.25*H213)</f>
        <v/>
      </c>
      <c r="J213" s="5">
        <f>IF(I213="","",I213-ROW()/1000000)</f>
        <v/>
      </c>
      <c r="K213" s="9">
        <f>IF(J213="","",COUNTIF($J$5:$J$404,"&gt;"&amp;J213)+1)</f>
        <v/>
      </c>
    </row>
    <row r="214">
      <c r="A214" s="7" t="n"/>
      <c r="B214" s="7" t="n"/>
      <c r="C214" s="7" t="n"/>
      <c r="D214" s="7" t="n"/>
      <c r="E214" s="5">
        <f>IF(A214="",0,IF(COUNTA(Task!$B$5:$E$5)=0,1,IF(COUNTIF(Task!$B$5:$E$5,B214)&gt;0,1,0)))</f>
        <v/>
      </c>
      <c r="F214" s="9">
        <f>IF(E214=0,0,IF(Task!$A$8="",0,IF(ISNUMBER(SEARCH(" "&amp;Task!$A$8&amp;" "," "&amp;LOWER(D214&amp;" "&amp;C214&amp;" "&amp;LOWER(SUBSTITUTE(SUBSTITUTE(SUBSTITUTE(SUBSTITUTE(A214,"/"," "),"."," "),"\"," "),"_"," ")))&amp;" ")),1,0))+IF(Task!$A$9="",0,IF(ISNUMBER(SEARCH(" "&amp;Task!$A$9&amp;" "," "&amp;LOWER(D214&amp;" "&amp;C214&amp;" "&amp;LOWER(SUBSTITUTE(SUBSTITUTE(SUBSTITUTE(SUBSTITUTE(A214,"/"," "),"."," "),"\"," "),"_"," ")))&amp;" ")),1,0))+IF(Task!$A$10="",0,IF(ISNUMBER(SEARCH(" "&amp;Task!$A$10&amp;" "," "&amp;LOWER(D214&amp;" "&amp;C214&amp;" "&amp;LOWER(SUBSTITUTE(SUBSTITUTE(SUBSTITUTE(SUBSTITUTE(A214,"/"," "),"."," "),"\"," "),"_"," ")))&amp;" ")),1,0))+IF(Task!$A$11="",0,IF(ISNUMBER(SEARCH(" "&amp;Task!$A$11&amp;" "," "&amp;LOWER(D214&amp;" "&amp;C214&amp;" "&amp;LOWER(SUBSTITUTE(SUBSTITUTE(SUBSTITUTE(SUBSTITUTE(A214,"/"," "),"."," "),"\"," "),"_"," ")))&amp;" ")),1,0))+IF(Task!$A$12="",0,IF(ISNUMBER(SEARCH(" "&amp;Task!$A$12&amp;" "," "&amp;LOWER(D214&amp;" "&amp;C214&amp;" "&amp;LOWER(SUBSTITUTE(SUBSTITUTE(SUBSTITUTE(SUBSTITUTE(A214,"/"," "),"."," "),"\"," "),"_"," ")))&amp;" ")),1,0))+IF(Task!$A$13="",0,IF(ISNUMBER(SEARCH(" "&amp;Task!$A$13&amp;" "," "&amp;LOWER(D214&amp;" "&amp;C214&amp;" "&amp;LOWER(SUBSTITUTE(SUBSTITUTE(SUBSTITUTE(SUBSTITUTE(A214,"/"," "),"."," "),"\"," "),"_"," ")))&amp;" ")),1,0))+IF(Task!$A$14="",0,IF(ISNUMBER(SEARCH(" "&amp;Task!$A$14&amp;" "," "&amp;LOWER(D214&amp;" "&amp;C214&amp;" "&amp;LOWER(SUBSTITUTE(SUBSTITUTE(SUBSTITUTE(SUBSTITUTE(A214,"/"," "),"."," "),"\"," "),"_"," ")))&amp;" ")),1,0))+IF(Task!$A$15="",0,IF(ISNUMBER(SEARCH(" "&amp;Task!$A$15&amp;" "," "&amp;LOWER(D214&amp;" "&amp;C214&amp;" "&amp;LOWER(SUBSTITUTE(SUBSTITUTE(SUBSTITUTE(SUBSTITUTE(A214,"/"," "),"."," "),"\"," "),"_"," ")))&amp;" ")),1,0))+IF(Task!$A$16="",0,IF(ISNUMBER(SEARCH(" "&amp;Task!$A$16&amp;" "," "&amp;LOWER(D214&amp;" "&amp;C214&amp;" "&amp;LOWER(SUBSTITUTE(SUBSTITUTE(SUBSTITUTE(SUBSTITUTE(A214,"/"," "),"."," "),"\"," "),"_"," ")))&amp;" ")),1,0))+IF(Task!$A$17="",0,IF(ISNUMBER(SEARCH(" "&amp;Task!$A$17&amp;" "," "&amp;LOWER(D214&amp;" "&amp;C214&amp;" "&amp;LOWER(SUBSTITUTE(SUBSTITUTE(SUBSTITUTE(SUBSTITUTE(A214,"/"," "),"."," "),"\"," "),"_"," ")))&amp;" ")),1,0))+IF(Task!$A$18="",0,IF(ISNUMBER(SEARCH(" "&amp;Task!$A$18&amp;" "," "&amp;LOWER(D214&amp;" "&amp;C214&amp;" "&amp;LOWER(SUBSTITUTE(SUBSTITUTE(SUBSTITUTE(SUBSTITUTE(A214,"/"," "),"."," "),"\"," "),"_"," ")))&amp;" ")),1,0))+IF(Task!$A$19="",0,IF(ISNUMBER(SEARCH(" "&amp;Task!$A$19&amp;" "," "&amp;LOWER(D214&amp;" "&amp;C214&amp;" "&amp;LOWER(SUBSTITUTE(SUBSTITUTE(SUBSTITUTE(SUBSTITUTE(A214,"/"," "),"."," "),"\"," "),"_"," ")))&amp;" ")),1,0)))</f>
        <v/>
      </c>
      <c r="G214" s="9">
        <f>IF(E214=0,0,IF(Task!$A$8="",0,IF(ISNUMBER(SEARCH(" "&amp;Task!$A$8&amp;" "," "&amp;LOWER(C214)&amp;" ")),1,0))+IF(Task!$A$9="",0,IF(ISNUMBER(SEARCH(" "&amp;Task!$A$9&amp;" "," "&amp;LOWER(C214)&amp;" ")),1,0))+IF(Task!$A$10="",0,IF(ISNUMBER(SEARCH(" "&amp;Task!$A$10&amp;" "," "&amp;LOWER(C214)&amp;" ")),1,0))+IF(Task!$A$11="",0,IF(ISNUMBER(SEARCH(" "&amp;Task!$A$11&amp;" "," "&amp;LOWER(C214)&amp;" ")),1,0))+IF(Task!$A$12="",0,IF(ISNUMBER(SEARCH(" "&amp;Task!$A$12&amp;" "," "&amp;LOWER(C214)&amp;" ")),1,0))+IF(Task!$A$13="",0,IF(ISNUMBER(SEARCH(" "&amp;Task!$A$13&amp;" "," "&amp;LOWER(C214)&amp;" ")),1,0))+IF(Task!$A$14="",0,IF(ISNUMBER(SEARCH(" "&amp;Task!$A$14&amp;" "," "&amp;LOWER(C214)&amp;" ")),1,0))+IF(Task!$A$15="",0,IF(ISNUMBER(SEARCH(" "&amp;Task!$A$15&amp;" "," "&amp;LOWER(C214)&amp;" ")),1,0))+IF(Task!$A$16="",0,IF(ISNUMBER(SEARCH(" "&amp;Task!$A$16&amp;" "," "&amp;LOWER(C214)&amp;" ")),1,0))+IF(Task!$A$17="",0,IF(ISNUMBER(SEARCH(" "&amp;Task!$A$17&amp;" "," "&amp;LOWER(C214)&amp;" ")),1,0))+IF(Task!$A$18="",0,IF(ISNUMBER(SEARCH(" "&amp;Task!$A$18&amp;" "," "&amp;LOWER(C214)&amp;" ")),1,0))+IF(Task!$A$19="",0,IF(ISNUMBER(SEARCH(" "&amp;Task!$A$19&amp;" "," "&amp;LOWER(C214)&amp;" ")),1,0)))</f>
        <v/>
      </c>
      <c r="H214" s="9">
        <f>IF(E214=0,0,IF(Task!$A$8="",0,IF(ISNUMBER(SEARCH(" "&amp;Task!$A$8&amp;" "," "&amp;LOWER(SUBSTITUTE(SUBSTITUTE(SUBSTITUTE(SUBSTITUTE(A214,"/"," "),"."," "),"\"," "),"_"," "))&amp;" ")),1,0))+IF(Task!$A$9="",0,IF(ISNUMBER(SEARCH(" "&amp;Task!$A$9&amp;" "," "&amp;LOWER(SUBSTITUTE(SUBSTITUTE(SUBSTITUTE(SUBSTITUTE(A214,"/"," "),"."," "),"\"," "),"_"," "))&amp;" ")),1,0))+IF(Task!$A$10="",0,IF(ISNUMBER(SEARCH(" "&amp;Task!$A$10&amp;" "," "&amp;LOWER(SUBSTITUTE(SUBSTITUTE(SUBSTITUTE(SUBSTITUTE(A214,"/"," "),"."," "),"\"," "),"_"," "))&amp;" ")),1,0))+IF(Task!$A$11="",0,IF(ISNUMBER(SEARCH(" "&amp;Task!$A$11&amp;" "," "&amp;LOWER(SUBSTITUTE(SUBSTITUTE(SUBSTITUTE(SUBSTITUTE(A214,"/"," "),"."," "),"\"," "),"_"," "))&amp;" ")),1,0))+IF(Task!$A$12="",0,IF(ISNUMBER(SEARCH(" "&amp;Task!$A$12&amp;" "," "&amp;LOWER(SUBSTITUTE(SUBSTITUTE(SUBSTITUTE(SUBSTITUTE(A214,"/"," "),"."," "),"\"," "),"_"," "))&amp;" ")),1,0))+IF(Task!$A$13="",0,IF(ISNUMBER(SEARCH(" "&amp;Task!$A$13&amp;" "," "&amp;LOWER(SUBSTITUTE(SUBSTITUTE(SUBSTITUTE(SUBSTITUTE(A214,"/"," "),"."," "),"\"," "),"_"," "))&amp;" ")),1,0))+IF(Task!$A$14="",0,IF(ISNUMBER(SEARCH(" "&amp;Task!$A$14&amp;" "," "&amp;LOWER(SUBSTITUTE(SUBSTITUTE(SUBSTITUTE(SUBSTITUTE(A214,"/"," "),"."," "),"\"," "),"_"," "))&amp;" ")),1,0))+IF(Task!$A$15="",0,IF(ISNUMBER(SEARCH(" "&amp;Task!$A$15&amp;" "," "&amp;LOWER(SUBSTITUTE(SUBSTITUTE(SUBSTITUTE(SUBSTITUTE(A214,"/"," "),"."," "),"\"," "),"_"," "))&amp;" ")),1,0))+IF(Task!$A$16="",0,IF(ISNUMBER(SEARCH(" "&amp;Task!$A$16&amp;" "," "&amp;LOWER(SUBSTITUTE(SUBSTITUTE(SUBSTITUTE(SUBSTITUTE(A214,"/"," "),"."," "),"\"," "),"_"," "))&amp;" ")),1,0))+IF(Task!$A$17="",0,IF(ISNUMBER(SEARCH(" "&amp;Task!$A$17&amp;" "," "&amp;LOWER(SUBSTITUTE(SUBSTITUTE(SUBSTITUTE(SUBSTITUTE(A214,"/"," "),"."," "),"\"," "),"_"," "))&amp;" ")),1,0))+IF(Task!$A$18="",0,IF(ISNUMBER(SEARCH(" "&amp;Task!$A$18&amp;" "," "&amp;LOWER(SUBSTITUTE(SUBSTITUTE(SUBSTITUTE(SUBSTITUTE(A214,"/"," "),"."," "),"\"," "),"_"," "))&amp;" ")),1,0))+IF(Task!$A$19="",0,IF(ISNUMBER(SEARCH(" "&amp;Task!$A$19&amp;" "," "&amp;LOWER(SUBSTITUTE(SUBSTITUTE(SUBSTITUTE(SUBSTITUTE(A214,"/"," "),"."," "),"\"," "),"_"," "))&amp;" ")),1,0)))</f>
        <v/>
      </c>
      <c r="I214" s="10">
        <f>IF(OR(E214=0,F214=0,Task!$B$21=0),"",F214/Task!$B$21+0.5*G214+0.25*H214)</f>
        <v/>
      </c>
      <c r="J214" s="5">
        <f>IF(I214="","",I214-ROW()/1000000)</f>
        <v/>
      </c>
      <c r="K214" s="9">
        <f>IF(J214="","",COUNTIF($J$5:$J$404,"&gt;"&amp;J214)+1)</f>
        <v/>
      </c>
    </row>
    <row r="215">
      <c r="A215" s="7" t="n"/>
      <c r="B215" s="7" t="n"/>
      <c r="C215" s="7" t="n"/>
      <c r="D215" s="7" t="n"/>
      <c r="E215" s="5">
        <f>IF(A215="",0,IF(COUNTA(Task!$B$5:$E$5)=0,1,IF(COUNTIF(Task!$B$5:$E$5,B215)&gt;0,1,0)))</f>
        <v/>
      </c>
      <c r="F215" s="9">
        <f>IF(E215=0,0,IF(Task!$A$8="",0,IF(ISNUMBER(SEARCH(" "&amp;Task!$A$8&amp;" "," "&amp;LOWER(D215&amp;" "&amp;C215&amp;" "&amp;LOWER(SUBSTITUTE(SUBSTITUTE(SUBSTITUTE(SUBSTITUTE(A215,"/"," "),"."," "),"\"," "),"_"," ")))&amp;" ")),1,0))+IF(Task!$A$9="",0,IF(ISNUMBER(SEARCH(" "&amp;Task!$A$9&amp;" "," "&amp;LOWER(D215&amp;" "&amp;C215&amp;" "&amp;LOWER(SUBSTITUTE(SUBSTITUTE(SUBSTITUTE(SUBSTITUTE(A215,"/"," "),"."," "),"\"," "),"_"," ")))&amp;" ")),1,0))+IF(Task!$A$10="",0,IF(ISNUMBER(SEARCH(" "&amp;Task!$A$10&amp;" "," "&amp;LOWER(D215&amp;" "&amp;C215&amp;" "&amp;LOWER(SUBSTITUTE(SUBSTITUTE(SUBSTITUTE(SUBSTITUTE(A215,"/"," "),"."," "),"\"," "),"_"," ")))&amp;" ")),1,0))+IF(Task!$A$11="",0,IF(ISNUMBER(SEARCH(" "&amp;Task!$A$11&amp;" "," "&amp;LOWER(D215&amp;" "&amp;C215&amp;" "&amp;LOWER(SUBSTITUTE(SUBSTITUTE(SUBSTITUTE(SUBSTITUTE(A215,"/"," "),"."," "),"\"," "),"_"," ")))&amp;" ")),1,0))+IF(Task!$A$12="",0,IF(ISNUMBER(SEARCH(" "&amp;Task!$A$12&amp;" "," "&amp;LOWER(D215&amp;" "&amp;C215&amp;" "&amp;LOWER(SUBSTITUTE(SUBSTITUTE(SUBSTITUTE(SUBSTITUTE(A215,"/"," "),"."," "),"\"," "),"_"," ")))&amp;" ")),1,0))+IF(Task!$A$13="",0,IF(ISNUMBER(SEARCH(" "&amp;Task!$A$13&amp;" "," "&amp;LOWER(D215&amp;" "&amp;C215&amp;" "&amp;LOWER(SUBSTITUTE(SUBSTITUTE(SUBSTITUTE(SUBSTITUTE(A215,"/"," "),"."," "),"\"," "),"_"," ")))&amp;" ")),1,0))+IF(Task!$A$14="",0,IF(ISNUMBER(SEARCH(" "&amp;Task!$A$14&amp;" "," "&amp;LOWER(D215&amp;" "&amp;C215&amp;" "&amp;LOWER(SUBSTITUTE(SUBSTITUTE(SUBSTITUTE(SUBSTITUTE(A215,"/"," "),"."," "),"\"," "),"_"," ")))&amp;" ")),1,0))+IF(Task!$A$15="",0,IF(ISNUMBER(SEARCH(" "&amp;Task!$A$15&amp;" "," "&amp;LOWER(D215&amp;" "&amp;C215&amp;" "&amp;LOWER(SUBSTITUTE(SUBSTITUTE(SUBSTITUTE(SUBSTITUTE(A215,"/"," "),"."," "),"\"," "),"_"," ")))&amp;" ")),1,0))+IF(Task!$A$16="",0,IF(ISNUMBER(SEARCH(" "&amp;Task!$A$16&amp;" "," "&amp;LOWER(D215&amp;" "&amp;C215&amp;" "&amp;LOWER(SUBSTITUTE(SUBSTITUTE(SUBSTITUTE(SUBSTITUTE(A215,"/"," "),"."," "),"\"," "),"_"," ")))&amp;" ")),1,0))+IF(Task!$A$17="",0,IF(ISNUMBER(SEARCH(" "&amp;Task!$A$17&amp;" "," "&amp;LOWER(D215&amp;" "&amp;C215&amp;" "&amp;LOWER(SUBSTITUTE(SUBSTITUTE(SUBSTITUTE(SUBSTITUTE(A215,"/"," "),"."," "),"\"," "),"_"," ")))&amp;" ")),1,0))+IF(Task!$A$18="",0,IF(ISNUMBER(SEARCH(" "&amp;Task!$A$18&amp;" "," "&amp;LOWER(D215&amp;" "&amp;C215&amp;" "&amp;LOWER(SUBSTITUTE(SUBSTITUTE(SUBSTITUTE(SUBSTITUTE(A215,"/"," "),"."," "),"\"," "),"_"," ")))&amp;" ")),1,0))+IF(Task!$A$19="",0,IF(ISNUMBER(SEARCH(" "&amp;Task!$A$19&amp;" "," "&amp;LOWER(D215&amp;" "&amp;C215&amp;" "&amp;LOWER(SUBSTITUTE(SUBSTITUTE(SUBSTITUTE(SUBSTITUTE(A215,"/"," "),"."," "),"\"," "),"_"," ")))&amp;" ")),1,0)))</f>
        <v/>
      </c>
      <c r="G215" s="9">
        <f>IF(E215=0,0,IF(Task!$A$8="",0,IF(ISNUMBER(SEARCH(" "&amp;Task!$A$8&amp;" "," "&amp;LOWER(C215)&amp;" ")),1,0))+IF(Task!$A$9="",0,IF(ISNUMBER(SEARCH(" "&amp;Task!$A$9&amp;" "," "&amp;LOWER(C215)&amp;" ")),1,0))+IF(Task!$A$10="",0,IF(ISNUMBER(SEARCH(" "&amp;Task!$A$10&amp;" "," "&amp;LOWER(C215)&amp;" ")),1,0))+IF(Task!$A$11="",0,IF(ISNUMBER(SEARCH(" "&amp;Task!$A$11&amp;" "," "&amp;LOWER(C215)&amp;" ")),1,0))+IF(Task!$A$12="",0,IF(ISNUMBER(SEARCH(" "&amp;Task!$A$12&amp;" "," "&amp;LOWER(C215)&amp;" ")),1,0))+IF(Task!$A$13="",0,IF(ISNUMBER(SEARCH(" "&amp;Task!$A$13&amp;" "," "&amp;LOWER(C215)&amp;" ")),1,0))+IF(Task!$A$14="",0,IF(ISNUMBER(SEARCH(" "&amp;Task!$A$14&amp;" "," "&amp;LOWER(C215)&amp;" ")),1,0))+IF(Task!$A$15="",0,IF(ISNUMBER(SEARCH(" "&amp;Task!$A$15&amp;" "," "&amp;LOWER(C215)&amp;" ")),1,0))+IF(Task!$A$16="",0,IF(ISNUMBER(SEARCH(" "&amp;Task!$A$16&amp;" "," "&amp;LOWER(C215)&amp;" ")),1,0))+IF(Task!$A$17="",0,IF(ISNUMBER(SEARCH(" "&amp;Task!$A$17&amp;" "," "&amp;LOWER(C215)&amp;" ")),1,0))+IF(Task!$A$18="",0,IF(ISNUMBER(SEARCH(" "&amp;Task!$A$18&amp;" "," "&amp;LOWER(C215)&amp;" ")),1,0))+IF(Task!$A$19="",0,IF(ISNUMBER(SEARCH(" "&amp;Task!$A$19&amp;" "," "&amp;LOWER(C215)&amp;" ")),1,0)))</f>
        <v/>
      </c>
      <c r="H215" s="9">
        <f>IF(E215=0,0,IF(Task!$A$8="",0,IF(ISNUMBER(SEARCH(" "&amp;Task!$A$8&amp;" "," "&amp;LOWER(SUBSTITUTE(SUBSTITUTE(SUBSTITUTE(SUBSTITUTE(A215,"/"," "),"."," "),"\"," "),"_"," "))&amp;" ")),1,0))+IF(Task!$A$9="",0,IF(ISNUMBER(SEARCH(" "&amp;Task!$A$9&amp;" "," "&amp;LOWER(SUBSTITUTE(SUBSTITUTE(SUBSTITUTE(SUBSTITUTE(A215,"/"," "),"."," "),"\"," "),"_"," "))&amp;" ")),1,0))+IF(Task!$A$10="",0,IF(ISNUMBER(SEARCH(" "&amp;Task!$A$10&amp;" "," "&amp;LOWER(SUBSTITUTE(SUBSTITUTE(SUBSTITUTE(SUBSTITUTE(A215,"/"," "),"."," "),"\"," "),"_"," "))&amp;" ")),1,0))+IF(Task!$A$11="",0,IF(ISNUMBER(SEARCH(" "&amp;Task!$A$11&amp;" "," "&amp;LOWER(SUBSTITUTE(SUBSTITUTE(SUBSTITUTE(SUBSTITUTE(A215,"/"," "),"."," "),"\"," "),"_"," "))&amp;" ")),1,0))+IF(Task!$A$12="",0,IF(ISNUMBER(SEARCH(" "&amp;Task!$A$12&amp;" "," "&amp;LOWER(SUBSTITUTE(SUBSTITUTE(SUBSTITUTE(SUBSTITUTE(A215,"/"," "),"."," "),"\"," "),"_"," "))&amp;" ")),1,0))+IF(Task!$A$13="",0,IF(ISNUMBER(SEARCH(" "&amp;Task!$A$13&amp;" "," "&amp;LOWER(SUBSTITUTE(SUBSTITUTE(SUBSTITUTE(SUBSTITUTE(A215,"/"," "),"."," "),"\"," "),"_"," "))&amp;" ")),1,0))+IF(Task!$A$14="",0,IF(ISNUMBER(SEARCH(" "&amp;Task!$A$14&amp;" "," "&amp;LOWER(SUBSTITUTE(SUBSTITUTE(SUBSTITUTE(SUBSTITUTE(A215,"/"," "),"."," "),"\"," "),"_"," "))&amp;" ")),1,0))+IF(Task!$A$15="",0,IF(ISNUMBER(SEARCH(" "&amp;Task!$A$15&amp;" "," "&amp;LOWER(SUBSTITUTE(SUBSTITUTE(SUBSTITUTE(SUBSTITUTE(A215,"/"," "),"."," "),"\"," "),"_"," "))&amp;" ")),1,0))+IF(Task!$A$16="",0,IF(ISNUMBER(SEARCH(" "&amp;Task!$A$16&amp;" "," "&amp;LOWER(SUBSTITUTE(SUBSTITUTE(SUBSTITUTE(SUBSTITUTE(A215,"/"," "),"."," "),"\"," "),"_"," "))&amp;" ")),1,0))+IF(Task!$A$17="",0,IF(ISNUMBER(SEARCH(" "&amp;Task!$A$17&amp;" "," "&amp;LOWER(SUBSTITUTE(SUBSTITUTE(SUBSTITUTE(SUBSTITUTE(A215,"/"," "),"."," "),"\"," "),"_"," "))&amp;" ")),1,0))+IF(Task!$A$18="",0,IF(ISNUMBER(SEARCH(" "&amp;Task!$A$18&amp;" "," "&amp;LOWER(SUBSTITUTE(SUBSTITUTE(SUBSTITUTE(SUBSTITUTE(A215,"/"," "),"."," "),"\"," "),"_"," "))&amp;" ")),1,0))+IF(Task!$A$19="",0,IF(ISNUMBER(SEARCH(" "&amp;Task!$A$19&amp;" "," "&amp;LOWER(SUBSTITUTE(SUBSTITUTE(SUBSTITUTE(SUBSTITUTE(A215,"/"," "),"."," "),"\"," "),"_"," "))&amp;" ")),1,0)))</f>
        <v/>
      </c>
      <c r="I215" s="10">
        <f>IF(OR(E215=0,F215=0,Task!$B$21=0),"",F215/Task!$B$21+0.5*G215+0.25*H215)</f>
        <v/>
      </c>
      <c r="J215" s="5">
        <f>IF(I215="","",I215-ROW()/1000000)</f>
        <v/>
      </c>
      <c r="K215" s="9">
        <f>IF(J215="","",COUNTIF($J$5:$J$404,"&gt;"&amp;J215)+1)</f>
        <v/>
      </c>
    </row>
    <row r="216">
      <c r="A216" s="7" t="n"/>
      <c r="B216" s="7" t="n"/>
      <c r="C216" s="7" t="n"/>
      <c r="D216" s="7" t="n"/>
      <c r="E216" s="5">
        <f>IF(A216="",0,IF(COUNTA(Task!$B$5:$E$5)=0,1,IF(COUNTIF(Task!$B$5:$E$5,B216)&gt;0,1,0)))</f>
        <v/>
      </c>
      <c r="F216" s="9">
        <f>IF(E216=0,0,IF(Task!$A$8="",0,IF(ISNUMBER(SEARCH(" "&amp;Task!$A$8&amp;" "," "&amp;LOWER(D216&amp;" "&amp;C216&amp;" "&amp;LOWER(SUBSTITUTE(SUBSTITUTE(SUBSTITUTE(SUBSTITUTE(A216,"/"," "),"."," "),"\"," "),"_"," ")))&amp;" ")),1,0))+IF(Task!$A$9="",0,IF(ISNUMBER(SEARCH(" "&amp;Task!$A$9&amp;" "," "&amp;LOWER(D216&amp;" "&amp;C216&amp;" "&amp;LOWER(SUBSTITUTE(SUBSTITUTE(SUBSTITUTE(SUBSTITUTE(A216,"/"," "),"."," "),"\"," "),"_"," ")))&amp;" ")),1,0))+IF(Task!$A$10="",0,IF(ISNUMBER(SEARCH(" "&amp;Task!$A$10&amp;" "," "&amp;LOWER(D216&amp;" "&amp;C216&amp;" "&amp;LOWER(SUBSTITUTE(SUBSTITUTE(SUBSTITUTE(SUBSTITUTE(A216,"/"," "),"."," "),"\"," "),"_"," ")))&amp;" ")),1,0))+IF(Task!$A$11="",0,IF(ISNUMBER(SEARCH(" "&amp;Task!$A$11&amp;" "," "&amp;LOWER(D216&amp;" "&amp;C216&amp;" "&amp;LOWER(SUBSTITUTE(SUBSTITUTE(SUBSTITUTE(SUBSTITUTE(A216,"/"," "),"."," "),"\"," "),"_"," ")))&amp;" ")),1,0))+IF(Task!$A$12="",0,IF(ISNUMBER(SEARCH(" "&amp;Task!$A$12&amp;" "," "&amp;LOWER(D216&amp;" "&amp;C216&amp;" "&amp;LOWER(SUBSTITUTE(SUBSTITUTE(SUBSTITUTE(SUBSTITUTE(A216,"/"," "),"."," "),"\"," "),"_"," ")))&amp;" ")),1,0))+IF(Task!$A$13="",0,IF(ISNUMBER(SEARCH(" "&amp;Task!$A$13&amp;" "," "&amp;LOWER(D216&amp;" "&amp;C216&amp;" "&amp;LOWER(SUBSTITUTE(SUBSTITUTE(SUBSTITUTE(SUBSTITUTE(A216,"/"," "),"."," "),"\"," "),"_"," ")))&amp;" ")),1,0))+IF(Task!$A$14="",0,IF(ISNUMBER(SEARCH(" "&amp;Task!$A$14&amp;" "," "&amp;LOWER(D216&amp;" "&amp;C216&amp;" "&amp;LOWER(SUBSTITUTE(SUBSTITUTE(SUBSTITUTE(SUBSTITUTE(A216,"/"," "),"."," "),"\"," "),"_"," ")))&amp;" ")),1,0))+IF(Task!$A$15="",0,IF(ISNUMBER(SEARCH(" "&amp;Task!$A$15&amp;" "," "&amp;LOWER(D216&amp;" "&amp;C216&amp;" "&amp;LOWER(SUBSTITUTE(SUBSTITUTE(SUBSTITUTE(SUBSTITUTE(A216,"/"," "),"."," "),"\"," "),"_"," ")))&amp;" ")),1,0))+IF(Task!$A$16="",0,IF(ISNUMBER(SEARCH(" "&amp;Task!$A$16&amp;" "," "&amp;LOWER(D216&amp;" "&amp;C216&amp;" "&amp;LOWER(SUBSTITUTE(SUBSTITUTE(SUBSTITUTE(SUBSTITUTE(A216,"/"," "),"."," "),"\"," "),"_"," ")))&amp;" ")),1,0))+IF(Task!$A$17="",0,IF(ISNUMBER(SEARCH(" "&amp;Task!$A$17&amp;" "," "&amp;LOWER(D216&amp;" "&amp;C216&amp;" "&amp;LOWER(SUBSTITUTE(SUBSTITUTE(SUBSTITUTE(SUBSTITUTE(A216,"/"," "),"."," "),"\"," "),"_"," ")))&amp;" ")),1,0))+IF(Task!$A$18="",0,IF(ISNUMBER(SEARCH(" "&amp;Task!$A$18&amp;" "," "&amp;LOWER(D216&amp;" "&amp;C216&amp;" "&amp;LOWER(SUBSTITUTE(SUBSTITUTE(SUBSTITUTE(SUBSTITUTE(A216,"/"," "),"."," "),"\"," "),"_"," ")))&amp;" ")),1,0))+IF(Task!$A$19="",0,IF(ISNUMBER(SEARCH(" "&amp;Task!$A$19&amp;" "," "&amp;LOWER(D216&amp;" "&amp;C216&amp;" "&amp;LOWER(SUBSTITUTE(SUBSTITUTE(SUBSTITUTE(SUBSTITUTE(A216,"/"," "),"."," "),"\"," "),"_"," ")))&amp;" ")),1,0)))</f>
        <v/>
      </c>
      <c r="G216" s="9">
        <f>IF(E216=0,0,IF(Task!$A$8="",0,IF(ISNUMBER(SEARCH(" "&amp;Task!$A$8&amp;" "," "&amp;LOWER(C216)&amp;" ")),1,0))+IF(Task!$A$9="",0,IF(ISNUMBER(SEARCH(" "&amp;Task!$A$9&amp;" "," "&amp;LOWER(C216)&amp;" ")),1,0))+IF(Task!$A$10="",0,IF(ISNUMBER(SEARCH(" "&amp;Task!$A$10&amp;" "," "&amp;LOWER(C216)&amp;" ")),1,0))+IF(Task!$A$11="",0,IF(ISNUMBER(SEARCH(" "&amp;Task!$A$11&amp;" "," "&amp;LOWER(C216)&amp;" ")),1,0))+IF(Task!$A$12="",0,IF(ISNUMBER(SEARCH(" "&amp;Task!$A$12&amp;" "," "&amp;LOWER(C216)&amp;" ")),1,0))+IF(Task!$A$13="",0,IF(ISNUMBER(SEARCH(" "&amp;Task!$A$13&amp;" "," "&amp;LOWER(C216)&amp;" ")),1,0))+IF(Task!$A$14="",0,IF(ISNUMBER(SEARCH(" "&amp;Task!$A$14&amp;" "," "&amp;LOWER(C216)&amp;" ")),1,0))+IF(Task!$A$15="",0,IF(ISNUMBER(SEARCH(" "&amp;Task!$A$15&amp;" "," "&amp;LOWER(C216)&amp;" ")),1,0))+IF(Task!$A$16="",0,IF(ISNUMBER(SEARCH(" "&amp;Task!$A$16&amp;" "," "&amp;LOWER(C216)&amp;" ")),1,0))+IF(Task!$A$17="",0,IF(ISNUMBER(SEARCH(" "&amp;Task!$A$17&amp;" "," "&amp;LOWER(C216)&amp;" ")),1,0))+IF(Task!$A$18="",0,IF(ISNUMBER(SEARCH(" "&amp;Task!$A$18&amp;" "," "&amp;LOWER(C216)&amp;" ")),1,0))+IF(Task!$A$19="",0,IF(ISNUMBER(SEARCH(" "&amp;Task!$A$19&amp;" "," "&amp;LOWER(C216)&amp;" ")),1,0)))</f>
        <v/>
      </c>
      <c r="H216" s="9">
        <f>IF(E216=0,0,IF(Task!$A$8="",0,IF(ISNUMBER(SEARCH(" "&amp;Task!$A$8&amp;" "," "&amp;LOWER(SUBSTITUTE(SUBSTITUTE(SUBSTITUTE(SUBSTITUTE(A216,"/"," "),"."," "),"\"," "),"_"," "))&amp;" ")),1,0))+IF(Task!$A$9="",0,IF(ISNUMBER(SEARCH(" "&amp;Task!$A$9&amp;" "," "&amp;LOWER(SUBSTITUTE(SUBSTITUTE(SUBSTITUTE(SUBSTITUTE(A216,"/"," "),"."," "),"\"," "),"_"," "))&amp;" ")),1,0))+IF(Task!$A$10="",0,IF(ISNUMBER(SEARCH(" "&amp;Task!$A$10&amp;" "," "&amp;LOWER(SUBSTITUTE(SUBSTITUTE(SUBSTITUTE(SUBSTITUTE(A216,"/"," "),"."," "),"\"," "),"_"," "))&amp;" ")),1,0))+IF(Task!$A$11="",0,IF(ISNUMBER(SEARCH(" "&amp;Task!$A$11&amp;" "," "&amp;LOWER(SUBSTITUTE(SUBSTITUTE(SUBSTITUTE(SUBSTITUTE(A216,"/"," "),"."," "),"\"," "),"_"," "))&amp;" ")),1,0))+IF(Task!$A$12="",0,IF(ISNUMBER(SEARCH(" "&amp;Task!$A$12&amp;" "," "&amp;LOWER(SUBSTITUTE(SUBSTITUTE(SUBSTITUTE(SUBSTITUTE(A216,"/"," "),"."," "),"\"," "),"_"," "))&amp;" ")),1,0))+IF(Task!$A$13="",0,IF(ISNUMBER(SEARCH(" "&amp;Task!$A$13&amp;" "," "&amp;LOWER(SUBSTITUTE(SUBSTITUTE(SUBSTITUTE(SUBSTITUTE(A216,"/"," "),"."," "),"\"," "),"_"," "))&amp;" ")),1,0))+IF(Task!$A$14="",0,IF(ISNUMBER(SEARCH(" "&amp;Task!$A$14&amp;" "," "&amp;LOWER(SUBSTITUTE(SUBSTITUTE(SUBSTITUTE(SUBSTITUTE(A216,"/"," "),"."," "),"\"," "),"_"," "))&amp;" ")),1,0))+IF(Task!$A$15="",0,IF(ISNUMBER(SEARCH(" "&amp;Task!$A$15&amp;" "," "&amp;LOWER(SUBSTITUTE(SUBSTITUTE(SUBSTITUTE(SUBSTITUTE(A216,"/"," "),"."," "),"\"," "),"_"," "))&amp;" ")),1,0))+IF(Task!$A$16="",0,IF(ISNUMBER(SEARCH(" "&amp;Task!$A$16&amp;" "," "&amp;LOWER(SUBSTITUTE(SUBSTITUTE(SUBSTITUTE(SUBSTITUTE(A216,"/"," "),"."," "),"\"," "),"_"," "))&amp;" ")),1,0))+IF(Task!$A$17="",0,IF(ISNUMBER(SEARCH(" "&amp;Task!$A$17&amp;" "," "&amp;LOWER(SUBSTITUTE(SUBSTITUTE(SUBSTITUTE(SUBSTITUTE(A216,"/"," "),"."," "),"\"," "),"_"," "))&amp;" ")),1,0))+IF(Task!$A$18="",0,IF(ISNUMBER(SEARCH(" "&amp;Task!$A$18&amp;" "," "&amp;LOWER(SUBSTITUTE(SUBSTITUTE(SUBSTITUTE(SUBSTITUTE(A216,"/"," "),"."," "),"\"," "),"_"," "))&amp;" ")),1,0))+IF(Task!$A$19="",0,IF(ISNUMBER(SEARCH(" "&amp;Task!$A$19&amp;" "," "&amp;LOWER(SUBSTITUTE(SUBSTITUTE(SUBSTITUTE(SUBSTITUTE(A216,"/"," "),"."," "),"\"," "),"_"," "))&amp;" ")),1,0)))</f>
        <v/>
      </c>
      <c r="I216" s="10">
        <f>IF(OR(E216=0,F216=0,Task!$B$21=0),"",F216/Task!$B$21+0.5*G216+0.25*H216)</f>
        <v/>
      </c>
      <c r="J216" s="5">
        <f>IF(I216="","",I216-ROW()/1000000)</f>
        <v/>
      </c>
      <c r="K216" s="9">
        <f>IF(J216="","",COUNTIF($J$5:$J$404,"&gt;"&amp;J216)+1)</f>
        <v/>
      </c>
    </row>
    <row r="217">
      <c r="A217" s="7" t="n"/>
      <c r="B217" s="7" t="n"/>
      <c r="C217" s="7" t="n"/>
      <c r="D217" s="7" t="n"/>
      <c r="E217" s="5">
        <f>IF(A217="",0,IF(COUNTA(Task!$B$5:$E$5)=0,1,IF(COUNTIF(Task!$B$5:$E$5,B217)&gt;0,1,0)))</f>
        <v/>
      </c>
      <c r="F217" s="9">
        <f>IF(E217=0,0,IF(Task!$A$8="",0,IF(ISNUMBER(SEARCH(" "&amp;Task!$A$8&amp;" "," "&amp;LOWER(D217&amp;" "&amp;C217&amp;" "&amp;LOWER(SUBSTITUTE(SUBSTITUTE(SUBSTITUTE(SUBSTITUTE(A217,"/"," "),"."," "),"\"," "),"_"," ")))&amp;" ")),1,0))+IF(Task!$A$9="",0,IF(ISNUMBER(SEARCH(" "&amp;Task!$A$9&amp;" "," "&amp;LOWER(D217&amp;" "&amp;C217&amp;" "&amp;LOWER(SUBSTITUTE(SUBSTITUTE(SUBSTITUTE(SUBSTITUTE(A217,"/"," "),"."," "),"\"," "),"_"," ")))&amp;" ")),1,0))+IF(Task!$A$10="",0,IF(ISNUMBER(SEARCH(" "&amp;Task!$A$10&amp;" "," "&amp;LOWER(D217&amp;" "&amp;C217&amp;" "&amp;LOWER(SUBSTITUTE(SUBSTITUTE(SUBSTITUTE(SUBSTITUTE(A217,"/"," "),"."," "),"\"," "),"_"," ")))&amp;" ")),1,0))+IF(Task!$A$11="",0,IF(ISNUMBER(SEARCH(" "&amp;Task!$A$11&amp;" "," "&amp;LOWER(D217&amp;" "&amp;C217&amp;" "&amp;LOWER(SUBSTITUTE(SUBSTITUTE(SUBSTITUTE(SUBSTITUTE(A217,"/"," "),"."," "),"\"," "),"_"," ")))&amp;" ")),1,0))+IF(Task!$A$12="",0,IF(ISNUMBER(SEARCH(" "&amp;Task!$A$12&amp;" "," "&amp;LOWER(D217&amp;" "&amp;C217&amp;" "&amp;LOWER(SUBSTITUTE(SUBSTITUTE(SUBSTITUTE(SUBSTITUTE(A217,"/"," "),"."," "),"\"," "),"_"," ")))&amp;" ")),1,0))+IF(Task!$A$13="",0,IF(ISNUMBER(SEARCH(" "&amp;Task!$A$13&amp;" "," "&amp;LOWER(D217&amp;" "&amp;C217&amp;" "&amp;LOWER(SUBSTITUTE(SUBSTITUTE(SUBSTITUTE(SUBSTITUTE(A217,"/"," "),"."," "),"\"," "),"_"," ")))&amp;" ")),1,0))+IF(Task!$A$14="",0,IF(ISNUMBER(SEARCH(" "&amp;Task!$A$14&amp;" "," "&amp;LOWER(D217&amp;" "&amp;C217&amp;" "&amp;LOWER(SUBSTITUTE(SUBSTITUTE(SUBSTITUTE(SUBSTITUTE(A217,"/"," "),"."," "),"\"," "),"_"," ")))&amp;" ")),1,0))+IF(Task!$A$15="",0,IF(ISNUMBER(SEARCH(" "&amp;Task!$A$15&amp;" "," "&amp;LOWER(D217&amp;" "&amp;C217&amp;" "&amp;LOWER(SUBSTITUTE(SUBSTITUTE(SUBSTITUTE(SUBSTITUTE(A217,"/"," "),"."," "),"\"," "),"_"," ")))&amp;" ")),1,0))+IF(Task!$A$16="",0,IF(ISNUMBER(SEARCH(" "&amp;Task!$A$16&amp;" "," "&amp;LOWER(D217&amp;" "&amp;C217&amp;" "&amp;LOWER(SUBSTITUTE(SUBSTITUTE(SUBSTITUTE(SUBSTITUTE(A217,"/"," "),"."," "),"\"," "),"_"," ")))&amp;" ")),1,0))+IF(Task!$A$17="",0,IF(ISNUMBER(SEARCH(" "&amp;Task!$A$17&amp;" "," "&amp;LOWER(D217&amp;" "&amp;C217&amp;" "&amp;LOWER(SUBSTITUTE(SUBSTITUTE(SUBSTITUTE(SUBSTITUTE(A217,"/"," "),"."," "),"\"," "),"_"," ")))&amp;" ")),1,0))+IF(Task!$A$18="",0,IF(ISNUMBER(SEARCH(" "&amp;Task!$A$18&amp;" "," "&amp;LOWER(D217&amp;" "&amp;C217&amp;" "&amp;LOWER(SUBSTITUTE(SUBSTITUTE(SUBSTITUTE(SUBSTITUTE(A217,"/"," "),"."," "),"\"," "),"_"," ")))&amp;" ")),1,0))+IF(Task!$A$19="",0,IF(ISNUMBER(SEARCH(" "&amp;Task!$A$19&amp;" "," "&amp;LOWER(D217&amp;" "&amp;C217&amp;" "&amp;LOWER(SUBSTITUTE(SUBSTITUTE(SUBSTITUTE(SUBSTITUTE(A217,"/"," "),"."," "),"\"," "),"_"," ")))&amp;" ")),1,0)))</f>
        <v/>
      </c>
      <c r="G217" s="9">
        <f>IF(E217=0,0,IF(Task!$A$8="",0,IF(ISNUMBER(SEARCH(" "&amp;Task!$A$8&amp;" "," "&amp;LOWER(C217)&amp;" ")),1,0))+IF(Task!$A$9="",0,IF(ISNUMBER(SEARCH(" "&amp;Task!$A$9&amp;" "," "&amp;LOWER(C217)&amp;" ")),1,0))+IF(Task!$A$10="",0,IF(ISNUMBER(SEARCH(" "&amp;Task!$A$10&amp;" "," "&amp;LOWER(C217)&amp;" ")),1,0))+IF(Task!$A$11="",0,IF(ISNUMBER(SEARCH(" "&amp;Task!$A$11&amp;" "," "&amp;LOWER(C217)&amp;" ")),1,0))+IF(Task!$A$12="",0,IF(ISNUMBER(SEARCH(" "&amp;Task!$A$12&amp;" "," "&amp;LOWER(C217)&amp;" ")),1,0))+IF(Task!$A$13="",0,IF(ISNUMBER(SEARCH(" "&amp;Task!$A$13&amp;" "," "&amp;LOWER(C217)&amp;" ")),1,0))+IF(Task!$A$14="",0,IF(ISNUMBER(SEARCH(" "&amp;Task!$A$14&amp;" "," "&amp;LOWER(C217)&amp;" ")),1,0))+IF(Task!$A$15="",0,IF(ISNUMBER(SEARCH(" "&amp;Task!$A$15&amp;" "," "&amp;LOWER(C217)&amp;" ")),1,0))+IF(Task!$A$16="",0,IF(ISNUMBER(SEARCH(" "&amp;Task!$A$16&amp;" "," "&amp;LOWER(C217)&amp;" ")),1,0))+IF(Task!$A$17="",0,IF(ISNUMBER(SEARCH(" "&amp;Task!$A$17&amp;" "," "&amp;LOWER(C217)&amp;" ")),1,0))+IF(Task!$A$18="",0,IF(ISNUMBER(SEARCH(" "&amp;Task!$A$18&amp;" "," "&amp;LOWER(C217)&amp;" ")),1,0))+IF(Task!$A$19="",0,IF(ISNUMBER(SEARCH(" "&amp;Task!$A$19&amp;" "," "&amp;LOWER(C217)&amp;" ")),1,0)))</f>
        <v/>
      </c>
      <c r="H217" s="9">
        <f>IF(E217=0,0,IF(Task!$A$8="",0,IF(ISNUMBER(SEARCH(" "&amp;Task!$A$8&amp;" "," "&amp;LOWER(SUBSTITUTE(SUBSTITUTE(SUBSTITUTE(SUBSTITUTE(A217,"/"," "),"."," "),"\"," "),"_"," "))&amp;" ")),1,0))+IF(Task!$A$9="",0,IF(ISNUMBER(SEARCH(" "&amp;Task!$A$9&amp;" "," "&amp;LOWER(SUBSTITUTE(SUBSTITUTE(SUBSTITUTE(SUBSTITUTE(A217,"/"," "),"."," "),"\"," "),"_"," "))&amp;" ")),1,0))+IF(Task!$A$10="",0,IF(ISNUMBER(SEARCH(" "&amp;Task!$A$10&amp;" "," "&amp;LOWER(SUBSTITUTE(SUBSTITUTE(SUBSTITUTE(SUBSTITUTE(A217,"/"," "),"."," "),"\"," "),"_"," "))&amp;" ")),1,0))+IF(Task!$A$11="",0,IF(ISNUMBER(SEARCH(" "&amp;Task!$A$11&amp;" "," "&amp;LOWER(SUBSTITUTE(SUBSTITUTE(SUBSTITUTE(SUBSTITUTE(A217,"/"," "),"."," "),"\"," "),"_"," "))&amp;" ")),1,0))+IF(Task!$A$12="",0,IF(ISNUMBER(SEARCH(" "&amp;Task!$A$12&amp;" "," "&amp;LOWER(SUBSTITUTE(SUBSTITUTE(SUBSTITUTE(SUBSTITUTE(A217,"/"," "),"."," "),"\"," "),"_"," "))&amp;" ")),1,0))+IF(Task!$A$13="",0,IF(ISNUMBER(SEARCH(" "&amp;Task!$A$13&amp;" "," "&amp;LOWER(SUBSTITUTE(SUBSTITUTE(SUBSTITUTE(SUBSTITUTE(A217,"/"," "),"."," "),"\"," "),"_"," "))&amp;" ")),1,0))+IF(Task!$A$14="",0,IF(ISNUMBER(SEARCH(" "&amp;Task!$A$14&amp;" "," "&amp;LOWER(SUBSTITUTE(SUBSTITUTE(SUBSTITUTE(SUBSTITUTE(A217,"/"," "),"."," "),"\"," "),"_"," "))&amp;" ")),1,0))+IF(Task!$A$15="",0,IF(ISNUMBER(SEARCH(" "&amp;Task!$A$15&amp;" "," "&amp;LOWER(SUBSTITUTE(SUBSTITUTE(SUBSTITUTE(SUBSTITUTE(A217,"/"," "),"."," "),"\"," "),"_"," "))&amp;" ")),1,0))+IF(Task!$A$16="",0,IF(ISNUMBER(SEARCH(" "&amp;Task!$A$16&amp;" "," "&amp;LOWER(SUBSTITUTE(SUBSTITUTE(SUBSTITUTE(SUBSTITUTE(A217,"/"," "),"."," "),"\"," "),"_"," "))&amp;" ")),1,0))+IF(Task!$A$17="",0,IF(ISNUMBER(SEARCH(" "&amp;Task!$A$17&amp;" "," "&amp;LOWER(SUBSTITUTE(SUBSTITUTE(SUBSTITUTE(SUBSTITUTE(A217,"/"," "),"."," "),"\"," "),"_"," "))&amp;" ")),1,0))+IF(Task!$A$18="",0,IF(ISNUMBER(SEARCH(" "&amp;Task!$A$18&amp;" "," "&amp;LOWER(SUBSTITUTE(SUBSTITUTE(SUBSTITUTE(SUBSTITUTE(A217,"/"," "),"."," "),"\"," "),"_"," "))&amp;" ")),1,0))+IF(Task!$A$19="",0,IF(ISNUMBER(SEARCH(" "&amp;Task!$A$19&amp;" "," "&amp;LOWER(SUBSTITUTE(SUBSTITUTE(SUBSTITUTE(SUBSTITUTE(A217,"/"," "),"."," "),"\"," "),"_"," "))&amp;" ")),1,0)))</f>
        <v/>
      </c>
      <c r="I217" s="10">
        <f>IF(OR(E217=0,F217=0,Task!$B$21=0),"",F217/Task!$B$21+0.5*G217+0.25*H217)</f>
        <v/>
      </c>
      <c r="J217" s="5">
        <f>IF(I217="","",I217-ROW()/1000000)</f>
        <v/>
      </c>
      <c r="K217" s="9">
        <f>IF(J217="","",COUNTIF($J$5:$J$404,"&gt;"&amp;J217)+1)</f>
        <v/>
      </c>
    </row>
    <row r="218">
      <c r="A218" s="7" t="n"/>
      <c r="B218" s="7" t="n"/>
      <c r="C218" s="7" t="n"/>
      <c r="D218" s="7" t="n"/>
      <c r="E218" s="5">
        <f>IF(A218="",0,IF(COUNTA(Task!$B$5:$E$5)=0,1,IF(COUNTIF(Task!$B$5:$E$5,B218)&gt;0,1,0)))</f>
        <v/>
      </c>
      <c r="F218" s="9">
        <f>IF(E218=0,0,IF(Task!$A$8="",0,IF(ISNUMBER(SEARCH(" "&amp;Task!$A$8&amp;" "," "&amp;LOWER(D218&amp;" "&amp;C218&amp;" "&amp;LOWER(SUBSTITUTE(SUBSTITUTE(SUBSTITUTE(SUBSTITUTE(A218,"/"," "),"."," "),"\"," "),"_"," ")))&amp;" ")),1,0))+IF(Task!$A$9="",0,IF(ISNUMBER(SEARCH(" "&amp;Task!$A$9&amp;" "," "&amp;LOWER(D218&amp;" "&amp;C218&amp;" "&amp;LOWER(SUBSTITUTE(SUBSTITUTE(SUBSTITUTE(SUBSTITUTE(A218,"/"," "),"."," "),"\"," "),"_"," ")))&amp;" ")),1,0))+IF(Task!$A$10="",0,IF(ISNUMBER(SEARCH(" "&amp;Task!$A$10&amp;" "," "&amp;LOWER(D218&amp;" "&amp;C218&amp;" "&amp;LOWER(SUBSTITUTE(SUBSTITUTE(SUBSTITUTE(SUBSTITUTE(A218,"/"," "),"."," "),"\"," "),"_"," ")))&amp;" ")),1,0))+IF(Task!$A$11="",0,IF(ISNUMBER(SEARCH(" "&amp;Task!$A$11&amp;" "," "&amp;LOWER(D218&amp;" "&amp;C218&amp;" "&amp;LOWER(SUBSTITUTE(SUBSTITUTE(SUBSTITUTE(SUBSTITUTE(A218,"/"," "),"."," "),"\"," "),"_"," ")))&amp;" ")),1,0))+IF(Task!$A$12="",0,IF(ISNUMBER(SEARCH(" "&amp;Task!$A$12&amp;" "," "&amp;LOWER(D218&amp;" "&amp;C218&amp;" "&amp;LOWER(SUBSTITUTE(SUBSTITUTE(SUBSTITUTE(SUBSTITUTE(A218,"/"," "),"."," "),"\"," "),"_"," ")))&amp;" ")),1,0))+IF(Task!$A$13="",0,IF(ISNUMBER(SEARCH(" "&amp;Task!$A$13&amp;" "," "&amp;LOWER(D218&amp;" "&amp;C218&amp;" "&amp;LOWER(SUBSTITUTE(SUBSTITUTE(SUBSTITUTE(SUBSTITUTE(A218,"/"," "),"."," "),"\"," "),"_"," ")))&amp;" ")),1,0))+IF(Task!$A$14="",0,IF(ISNUMBER(SEARCH(" "&amp;Task!$A$14&amp;" "," "&amp;LOWER(D218&amp;" "&amp;C218&amp;" "&amp;LOWER(SUBSTITUTE(SUBSTITUTE(SUBSTITUTE(SUBSTITUTE(A218,"/"," "),"."," "),"\"," "),"_"," ")))&amp;" ")),1,0))+IF(Task!$A$15="",0,IF(ISNUMBER(SEARCH(" "&amp;Task!$A$15&amp;" "," "&amp;LOWER(D218&amp;" "&amp;C218&amp;" "&amp;LOWER(SUBSTITUTE(SUBSTITUTE(SUBSTITUTE(SUBSTITUTE(A218,"/"," "),"."," "),"\"," "),"_"," ")))&amp;" ")),1,0))+IF(Task!$A$16="",0,IF(ISNUMBER(SEARCH(" "&amp;Task!$A$16&amp;" "," "&amp;LOWER(D218&amp;" "&amp;C218&amp;" "&amp;LOWER(SUBSTITUTE(SUBSTITUTE(SUBSTITUTE(SUBSTITUTE(A218,"/"," "),"."," "),"\"," "),"_"," ")))&amp;" ")),1,0))+IF(Task!$A$17="",0,IF(ISNUMBER(SEARCH(" "&amp;Task!$A$17&amp;" "," "&amp;LOWER(D218&amp;" "&amp;C218&amp;" "&amp;LOWER(SUBSTITUTE(SUBSTITUTE(SUBSTITUTE(SUBSTITUTE(A218,"/"," "),"."," "),"\"," "),"_"," ")))&amp;" ")),1,0))+IF(Task!$A$18="",0,IF(ISNUMBER(SEARCH(" "&amp;Task!$A$18&amp;" "," "&amp;LOWER(D218&amp;" "&amp;C218&amp;" "&amp;LOWER(SUBSTITUTE(SUBSTITUTE(SUBSTITUTE(SUBSTITUTE(A218,"/"," "),"."," "),"\"," "),"_"," ")))&amp;" ")),1,0))+IF(Task!$A$19="",0,IF(ISNUMBER(SEARCH(" "&amp;Task!$A$19&amp;" "," "&amp;LOWER(D218&amp;" "&amp;C218&amp;" "&amp;LOWER(SUBSTITUTE(SUBSTITUTE(SUBSTITUTE(SUBSTITUTE(A218,"/"," "),"."," "),"\"," "),"_"," ")))&amp;" ")),1,0)))</f>
        <v/>
      </c>
      <c r="G218" s="9">
        <f>IF(E218=0,0,IF(Task!$A$8="",0,IF(ISNUMBER(SEARCH(" "&amp;Task!$A$8&amp;" "," "&amp;LOWER(C218)&amp;" ")),1,0))+IF(Task!$A$9="",0,IF(ISNUMBER(SEARCH(" "&amp;Task!$A$9&amp;" "," "&amp;LOWER(C218)&amp;" ")),1,0))+IF(Task!$A$10="",0,IF(ISNUMBER(SEARCH(" "&amp;Task!$A$10&amp;" "," "&amp;LOWER(C218)&amp;" ")),1,0))+IF(Task!$A$11="",0,IF(ISNUMBER(SEARCH(" "&amp;Task!$A$11&amp;" "," "&amp;LOWER(C218)&amp;" ")),1,0))+IF(Task!$A$12="",0,IF(ISNUMBER(SEARCH(" "&amp;Task!$A$12&amp;" "," "&amp;LOWER(C218)&amp;" ")),1,0))+IF(Task!$A$13="",0,IF(ISNUMBER(SEARCH(" "&amp;Task!$A$13&amp;" "," "&amp;LOWER(C218)&amp;" ")),1,0))+IF(Task!$A$14="",0,IF(ISNUMBER(SEARCH(" "&amp;Task!$A$14&amp;" "," "&amp;LOWER(C218)&amp;" ")),1,0))+IF(Task!$A$15="",0,IF(ISNUMBER(SEARCH(" "&amp;Task!$A$15&amp;" "," "&amp;LOWER(C218)&amp;" ")),1,0))+IF(Task!$A$16="",0,IF(ISNUMBER(SEARCH(" "&amp;Task!$A$16&amp;" "," "&amp;LOWER(C218)&amp;" ")),1,0))+IF(Task!$A$17="",0,IF(ISNUMBER(SEARCH(" "&amp;Task!$A$17&amp;" "," "&amp;LOWER(C218)&amp;" ")),1,0))+IF(Task!$A$18="",0,IF(ISNUMBER(SEARCH(" "&amp;Task!$A$18&amp;" "," "&amp;LOWER(C218)&amp;" ")),1,0))+IF(Task!$A$19="",0,IF(ISNUMBER(SEARCH(" "&amp;Task!$A$19&amp;" "," "&amp;LOWER(C218)&amp;" ")),1,0)))</f>
        <v/>
      </c>
      <c r="H218" s="9">
        <f>IF(E218=0,0,IF(Task!$A$8="",0,IF(ISNUMBER(SEARCH(" "&amp;Task!$A$8&amp;" "," "&amp;LOWER(SUBSTITUTE(SUBSTITUTE(SUBSTITUTE(SUBSTITUTE(A218,"/"," "),"."," "),"\"," "),"_"," "))&amp;" ")),1,0))+IF(Task!$A$9="",0,IF(ISNUMBER(SEARCH(" "&amp;Task!$A$9&amp;" "," "&amp;LOWER(SUBSTITUTE(SUBSTITUTE(SUBSTITUTE(SUBSTITUTE(A218,"/"," "),"."," "),"\"," "),"_"," "))&amp;" ")),1,0))+IF(Task!$A$10="",0,IF(ISNUMBER(SEARCH(" "&amp;Task!$A$10&amp;" "," "&amp;LOWER(SUBSTITUTE(SUBSTITUTE(SUBSTITUTE(SUBSTITUTE(A218,"/"," "),"."," "),"\"," "),"_"," "))&amp;" ")),1,0))+IF(Task!$A$11="",0,IF(ISNUMBER(SEARCH(" "&amp;Task!$A$11&amp;" "," "&amp;LOWER(SUBSTITUTE(SUBSTITUTE(SUBSTITUTE(SUBSTITUTE(A218,"/"," "),"."," "),"\"," "),"_"," "))&amp;" ")),1,0))+IF(Task!$A$12="",0,IF(ISNUMBER(SEARCH(" "&amp;Task!$A$12&amp;" "," "&amp;LOWER(SUBSTITUTE(SUBSTITUTE(SUBSTITUTE(SUBSTITUTE(A218,"/"," "),"."," "),"\"," "),"_"," "))&amp;" ")),1,0))+IF(Task!$A$13="",0,IF(ISNUMBER(SEARCH(" "&amp;Task!$A$13&amp;" "," "&amp;LOWER(SUBSTITUTE(SUBSTITUTE(SUBSTITUTE(SUBSTITUTE(A218,"/"," "),"."," "),"\"," "),"_"," "))&amp;" ")),1,0))+IF(Task!$A$14="",0,IF(ISNUMBER(SEARCH(" "&amp;Task!$A$14&amp;" "," "&amp;LOWER(SUBSTITUTE(SUBSTITUTE(SUBSTITUTE(SUBSTITUTE(A218,"/"," "),"."," "),"\"," "),"_"," "))&amp;" ")),1,0))+IF(Task!$A$15="",0,IF(ISNUMBER(SEARCH(" "&amp;Task!$A$15&amp;" "," "&amp;LOWER(SUBSTITUTE(SUBSTITUTE(SUBSTITUTE(SUBSTITUTE(A218,"/"," "),"."," "),"\"," "),"_"," "))&amp;" ")),1,0))+IF(Task!$A$16="",0,IF(ISNUMBER(SEARCH(" "&amp;Task!$A$16&amp;" "," "&amp;LOWER(SUBSTITUTE(SUBSTITUTE(SUBSTITUTE(SUBSTITUTE(A218,"/"," "),"."," "),"\"," "),"_"," "))&amp;" ")),1,0))+IF(Task!$A$17="",0,IF(ISNUMBER(SEARCH(" "&amp;Task!$A$17&amp;" "," "&amp;LOWER(SUBSTITUTE(SUBSTITUTE(SUBSTITUTE(SUBSTITUTE(A218,"/"," "),"."," "),"\"," "),"_"," "))&amp;" ")),1,0))+IF(Task!$A$18="",0,IF(ISNUMBER(SEARCH(" "&amp;Task!$A$18&amp;" "," "&amp;LOWER(SUBSTITUTE(SUBSTITUTE(SUBSTITUTE(SUBSTITUTE(A218,"/"," "),"."," "),"\"," "),"_"," "))&amp;" ")),1,0))+IF(Task!$A$19="",0,IF(ISNUMBER(SEARCH(" "&amp;Task!$A$19&amp;" "," "&amp;LOWER(SUBSTITUTE(SUBSTITUTE(SUBSTITUTE(SUBSTITUTE(A218,"/"," "),"."," "),"\"," "),"_"," "))&amp;" ")),1,0)))</f>
        <v/>
      </c>
      <c r="I218" s="10">
        <f>IF(OR(E218=0,F218=0,Task!$B$21=0),"",F218/Task!$B$21+0.5*G218+0.25*H218)</f>
        <v/>
      </c>
      <c r="J218" s="5">
        <f>IF(I218="","",I218-ROW()/1000000)</f>
        <v/>
      </c>
      <c r="K218" s="9">
        <f>IF(J218="","",COUNTIF($J$5:$J$404,"&gt;"&amp;J218)+1)</f>
        <v/>
      </c>
    </row>
    <row r="219">
      <c r="A219" s="7" t="n"/>
      <c r="B219" s="7" t="n"/>
      <c r="C219" s="7" t="n"/>
      <c r="D219" s="7" t="n"/>
      <c r="E219" s="5">
        <f>IF(A219="",0,IF(COUNTA(Task!$B$5:$E$5)=0,1,IF(COUNTIF(Task!$B$5:$E$5,B219)&gt;0,1,0)))</f>
        <v/>
      </c>
      <c r="F219" s="9">
        <f>IF(E219=0,0,IF(Task!$A$8="",0,IF(ISNUMBER(SEARCH(" "&amp;Task!$A$8&amp;" "," "&amp;LOWER(D219&amp;" "&amp;C219&amp;" "&amp;LOWER(SUBSTITUTE(SUBSTITUTE(SUBSTITUTE(SUBSTITUTE(A219,"/"," "),"."," "),"\"," "),"_"," ")))&amp;" ")),1,0))+IF(Task!$A$9="",0,IF(ISNUMBER(SEARCH(" "&amp;Task!$A$9&amp;" "," "&amp;LOWER(D219&amp;" "&amp;C219&amp;" "&amp;LOWER(SUBSTITUTE(SUBSTITUTE(SUBSTITUTE(SUBSTITUTE(A219,"/"," "),"."," "),"\"," "),"_"," ")))&amp;" ")),1,0))+IF(Task!$A$10="",0,IF(ISNUMBER(SEARCH(" "&amp;Task!$A$10&amp;" "," "&amp;LOWER(D219&amp;" "&amp;C219&amp;" "&amp;LOWER(SUBSTITUTE(SUBSTITUTE(SUBSTITUTE(SUBSTITUTE(A219,"/"," "),"."," "),"\"," "),"_"," ")))&amp;" ")),1,0))+IF(Task!$A$11="",0,IF(ISNUMBER(SEARCH(" "&amp;Task!$A$11&amp;" "," "&amp;LOWER(D219&amp;" "&amp;C219&amp;" "&amp;LOWER(SUBSTITUTE(SUBSTITUTE(SUBSTITUTE(SUBSTITUTE(A219,"/"," "),"."," "),"\"," "),"_"," ")))&amp;" ")),1,0))+IF(Task!$A$12="",0,IF(ISNUMBER(SEARCH(" "&amp;Task!$A$12&amp;" "," "&amp;LOWER(D219&amp;" "&amp;C219&amp;" "&amp;LOWER(SUBSTITUTE(SUBSTITUTE(SUBSTITUTE(SUBSTITUTE(A219,"/"," "),"."," "),"\"," "),"_"," ")))&amp;" ")),1,0))+IF(Task!$A$13="",0,IF(ISNUMBER(SEARCH(" "&amp;Task!$A$13&amp;" "," "&amp;LOWER(D219&amp;" "&amp;C219&amp;" "&amp;LOWER(SUBSTITUTE(SUBSTITUTE(SUBSTITUTE(SUBSTITUTE(A219,"/"," "),"."," "),"\"," "),"_"," ")))&amp;" ")),1,0))+IF(Task!$A$14="",0,IF(ISNUMBER(SEARCH(" "&amp;Task!$A$14&amp;" "," "&amp;LOWER(D219&amp;" "&amp;C219&amp;" "&amp;LOWER(SUBSTITUTE(SUBSTITUTE(SUBSTITUTE(SUBSTITUTE(A219,"/"," "),"."," "),"\"," "),"_"," ")))&amp;" ")),1,0))+IF(Task!$A$15="",0,IF(ISNUMBER(SEARCH(" "&amp;Task!$A$15&amp;" "," "&amp;LOWER(D219&amp;" "&amp;C219&amp;" "&amp;LOWER(SUBSTITUTE(SUBSTITUTE(SUBSTITUTE(SUBSTITUTE(A219,"/"," "),"."," "),"\"," "),"_"," ")))&amp;" ")),1,0))+IF(Task!$A$16="",0,IF(ISNUMBER(SEARCH(" "&amp;Task!$A$16&amp;" "," "&amp;LOWER(D219&amp;" "&amp;C219&amp;" "&amp;LOWER(SUBSTITUTE(SUBSTITUTE(SUBSTITUTE(SUBSTITUTE(A219,"/"," "),"."," "),"\"," "),"_"," ")))&amp;" ")),1,0))+IF(Task!$A$17="",0,IF(ISNUMBER(SEARCH(" "&amp;Task!$A$17&amp;" "," "&amp;LOWER(D219&amp;" "&amp;C219&amp;" "&amp;LOWER(SUBSTITUTE(SUBSTITUTE(SUBSTITUTE(SUBSTITUTE(A219,"/"," "),"."," "),"\"," "),"_"," ")))&amp;" ")),1,0))+IF(Task!$A$18="",0,IF(ISNUMBER(SEARCH(" "&amp;Task!$A$18&amp;" "," "&amp;LOWER(D219&amp;" "&amp;C219&amp;" "&amp;LOWER(SUBSTITUTE(SUBSTITUTE(SUBSTITUTE(SUBSTITUTE(A219,"/"," "),"."," "),"\"," "),"_"," ")))&amp;" ")),1,0))+IF(Task!$A$19="",0,IF(ISNUMBER(SEARCH(" "&amp;Task!$A$19&amp;" "," "&amp;LOWER(D219&amp;" "&amp;C219&amp;" "&amp;LOWER(SUBSTITUTE(SUBSTITUTE(SUBSTITUTE(SUBSTITUTE(A219,"/"," "),"."," "),"\"," "),"_"," ")))&amp;" ")),1,0)))</f>
        <v/>
      </c>
      <c r="G219" s="9">
        <f>IF(E219=0,0,IF(Task!$A$8="",0,IF(ISNUMBER(SEARCH(" "&amp;Task!$A$8&amp;" "," "&amp;LOWER(C219)&amp;" ")),1,0))+IF(Task!$A$9="",0,IF(ISNUMBER(SEARCH(" "&amp;Task!$A$9&amp;" "," "&amp;LOWER(C219)&amp;" ")),1,0))+IF(Task!$A$10="",0,IF(ISNUMBER(SEARCH(" "&amp;Task!$A$10&amp;" "," "&amp;LOWER(C219)&amp;" ")),1,0))+IF(Task!$A$11="",0,IF(ISNUMBER(SEARCH(" "&amp;Task!$A$11&amp;" "," "&amp;LOWER(C219)&amp;" ")),1,0))+IF(Task!$A$12="",0,IF(ISNUMBER(SEARCH(" "&amp;Task!$A$12&amp;" "," "&amp;LOWER(C219)&amp;" ")),1,0))+IF(Task!$A$13="",0,IF(ISNUMBER(SEARCH(" "&amp;Task!$A$13&amp;" "," "&amp;LOWER(C219)&amp;" ")),1,0))+IF(Task!$A$14="",0,IF(ISNUMBER(SEARCH(" "&amp;Task!$A$14&amp;" "," "&amp;LOWER(C219)&amp;" ")),1,0))+IF(Task!$A$15="",0,IF(ISNUMBER(SEARCH(" "&amp;Task!$A$15&amp;" "," "&amp;LOWER(C219)&amp;" ")),1,0))+IF(Task!$A$16="",0,IF(ISNUMBER(SEARCH(" "&amp;Task!$A$16&amp;" "," "&amp;LOWER(C219)&amp;" ")),1,0))+IF(Task!$A$17="",0,IF(ISNUMBER(SEARCH(" "&amp;Task!$A$17&amp;" "," "&amp;LOWER(C219)&amp;" ")),1,0))+IF(Task!$A$18="",0,IF(ISNUMBER(SEARCH(" "&amp;Task!$A$18&amp;" "," "&amp;LOWER(C219)&amp;" ")),1,0))+IF(Task!$A$19="",0,IF(ISNUMBER(SEARCH(" "&amp;Task!$A$19&amp;" "," "&amp;LOWER(C219)&amp;" ")),1,0)))</f>
        <v/>
      </c>
      <c r="H219" s="9">
        <f>IF(E219=0,0,IF(Task!$A$8="",0,IF(ISNUMBER(SEARCH(" "&amp;Task!$A$8&amp;" "," "&amp;LOWER(SUBSTITUTE(SUBSTITUTE(SUBSTITUTE(SUBSTITUTE(A219,"/"," "),"."," "),"\"," "),"_"," "))&amp;" ")),1,0))+IF(Task!$A$9="",0,IF(ISNUMBER(SEARCH(" "&amp;Task!$A$9&amp;" "," "&amp;LOWER(SUBSTITUTE(SUBSTITUTE(SUBSTITUTE(SUBSTITUTE(A219,"/"," "),"."," "),"\"," "),"_"," "))&amp;" ")),1,0))+IF(Task!$A$10="",0,IF(ISNUMBER(SEARCH(" "&amp;Task!$A$10&amp;" "," "&amp;LOWER(SUBSTITUTE(SUBSTITUTE(SUBSTITUTE(SUBSTITUTE(A219,"/"," "),"."," "),"\"," "),"_"," "))&amp;" ")),1,0))+IF(Task!$A$11="",0,IF(ISNUMBER(SEARCH(" "&amp;Task!$A$11&amp;" "," "&amp;LOWER(SUBSTITUTE(SUBSTITUTE(SUBSTITUTE(SUBSTITUTE(A219,"/"," "),"."," "),"\"," "),"_"," "))&amp;" ")),1,0))+IF(Task!$A$12="",0,IF(ISNUMBER(SEARCH(" "&amp;Task!$A$12&amp;" "," "&amp;LOWER(SUBSTITUTE(SUBSTITUTE(SUBSTITUTE(SUBSTITUTE(A219,"/"," "),"."," "),"\"," "),"_"," "))&amp;" ")),1,0))+IF(Task!$A$13="",0,IF(ISNUMBER(SEARCH(" "&amp;Task!$A$13&amp;" "," "&amp;LOWER(SUBSTITUTE(SUBSTITUTE(SUBSTITUTE(SUBSTITUTE(A219,"/"," "),"."," "),"\"," "),"_"," "))&amp;" ")),1,0))+IF(Task!$A$14="",0,IF(ISNUMBER(SEARCH(" "&amp;Task!$A$14&amp;" "," "&amp;LOWER(SUBSTITUTE(SUBSTITUTE(SUBSTITUTE(SUBSTITUTE(A219,"/"," "),"."," "),"\"," "),"_"," "))&amp;" ")),1,0))+IF(Task!$A$15="",0,IF(ISNUMBER(SEARCH(" "&amp;Task!$A$15&amp;" "," "&amp;LOWER(SUBSTITUTE(SUBSTITUTE(SUBSTITUTE(SUBSTITUTE(A219,"/"," "),"."," "),"\"," "),"_"," "))&amp;" ")),1,0))+IF(Task!$A$16="",0,IF(ISNUMBER(SEARCH(" "&amp;Task!$A$16&amp;" "," "&amp;LOWER(SUBSTITUTE(SUBSTITUTE(SUBSTITUTE(SUBSTITUTE(A219,"/"," "),"."," "),"\"," "),"_"," "))&amp;" ")),1,0))+IF(Task!$A$17="",0,IF(ISNUMBER(SEARCH(" "&amp;Task!$A$17&amp;" "," "&amp;LOWER(SUBSTITUTE(SUBSTITUTE(SUBSTITUTE(SUBSTITUTE(A219,"/"," "),"."," "),"\"," "),"_"," "))&amp;" ")),1,0))+IF(Task!$A$18="",0,IF(ISNUMBER(SEARCH(" "&amp;Task!$A$18&amp;" "," "&amp;LOWER(SUBSTITUTE(SUBSTITUTE(SUBSTITUTE(SUBSTITUTE(A219,"/"," "),"."," "),"\"," "),"_"," "))&amp;" ")),1,0))+IF(Task!$A$19="",0,IF(ISNUMBER(SEARCH(" "&amp;Task!$A$19&amp;" "," "&amp;LOWER(SUBSTITUTE(SUBSTITUTE(SUBSTITUTE(SUBSTITUTE(A219,"/"," "),"."," "),"\"," "),"_"," "))&amp;" ")),1,0)))</f>
        <v/>
      </c>
      <c r="I219" s="10">
        <f>IF(OR(E219=0,F219=0,Task!$B$21=0),"",F219/Task!$B$21+0.5*G219+0.25*H219)</f>
        <v/>
      </c>
      <c r="J219" s="5">
        <f>IF(I219="","",I219-ROW()/1000000)</f>
        <v/>
      </c>
      <c r="K219" s="9">
        <f>IF(J219="","",COUNTIF($J$5:$J$404,"&gt;"&amp;J219)+1)</f>
        <v/>
      </c>
    </row>
    <row r="220">
      <c r="A220" s="7" t="n"/>
      <c r="B220" s="7" t="n"/>
      <c r="C220" s="7" t="n"/>
      <c r="D220" s="7" t="n"/>
      <c r="E220" s="5">
        <f>IF(A220="",0,IF(COUNTA(Task!$B$5:$E$5)=0,1,IF(COUNTIF(Task!$B$5:$E$5,B220)&gt;0,1,0)))</f>
        <v/>
      </c>
      <c r="F220" s="9">
        <f>IF(E220=0,0,IF(Task!$A$8="",0,IF(ISNUMBER(SEARCH(" "&amp;Task!$A$8&amp;" "," "&amp;LOWER(D220&amp;" "&amp;C220&amp;" "&amp;LOWER(SUBSTITUTE(SUBSTITUTE(SUBSTITUTE(SUBSTITUTE(A220,"/"," "),"."," "),"\"," "),"_"," ")))&amp;" ")),1,0))+IF(Task!$A$9="",0,IF(ISNUMBER(SEARCH(" "&amp;Task!$A$9&amp;" "," "&amp;LOWER(D220&amp;" "&amp;C220&amp;" "&amp;LOWER(SUBSTITUTE(SUBSTITUTE(SUBSTITUTE(SUBSTITUTE(A220,"/"," "),"."," "),"\"," "),"_"," ")))&amp;" ")),1,0))+IF(Task!$A$10="",0,IF(ISNUMBER(SEARCH(" "&amp;Task!$A$10&amp;" "," "&amp;LOWER(D220&amp;" "&amp;C220&amp;" "&amp;LOWER(SUBSTITUTE(SUBSTITUTE(SUBSTITUTE(SUBSTITUTE(A220,"/"," "),"."," "),"\"," "),"_"," ")))&amp;" ")),1,0))+IF(Task!$A$11="",0,IF(ISNUMBER(SEARCH(" "&amp;Task!$A$11&amp;" "," "&amp;LOWER(D220&amp;" "&amp;C220&amp;" "&amp;LOWER(SUBSTITUTE(SUBSTITUTE(SUBSTITUTE(SUBSTITUTE(A220,"/"," "),"."," "),"\"," "),"_"," ")))&amp;" ")),1,0))+IF(Task!$A$12="",0,IF(ISNUMBER(SEARCH(" "&amp;Task!$A$12&amp;" "," "&amp;LOWER(D220&amp;" "&amp;C220&amp;" "&amp;LOWER(SUBSTITUTE(SUBSTITUTE(SUBSTITUTE(SUBSTITUTE(A220,"/"," "),"."," "),"\"," "),"_"," ")))&amp;" ")),1,0))+IF(Task!$A$13="",0,IF(ISNUMBER(SEARCH(" "&amp;Task!$A$13&amp;" "," "&amp;LOWER(D220&amp;" "&amp;C220&amp;" "&amp;LOWER(SUBSTITUTE(SUBSTITUTE(SUBSTITUTE(SUBSTITUTE(A220,"/"," "),"."," "),"\"," "),"_"," ")))&amp;" ")),1,0))+IF(Task!$A$14="",0,IF(ISNUMBER(SEARCH(" "&amp;Task!$A$14&amp;" "," "&amp;LOWER(D220&amp;" "&amp;C220&amp;" "&amp;LOWER(SUBSTITUTE(SUBSTITUTE(SUBSTITUTE(SUBSTITUTE(A220,"/"," "),"."," "),"\"," "),"_"," ")))&amp;" ")),1,0))+IF(Task!$A$15="",0,IF(ISNUMBER(SEARCH(" "&amp;Task!$A$15&amp;" "," "&amp;LOWER(D220&amp;" "&amp;C220&amp;" "&amp;LOWER(SUBSTITUTE(SUBSTITUTE(SUBSTITUTE(SUBSTITUTE(A220,"/"," "),"."," "),"\"," "),"_"," ")))&amp;" ")),1,0))+IF(Task!$A$16="",0,IF(ISNUMBER(SEARCH(" "&amp;Task!$A$16&amp;" "," "&amp;LOWER(D220&amp;" "&amp;C220&amp;" "&amp;LOWER(SUBSTITUTE(SUBSTITUTE(SUBSTITUTE(SUBSTITUTE(A220,"/"," "),"."," "),"\"," "),"_"," ")))&amp;" ")),1,0))+IF(Task!$A$17="",0,IF(ISNUMBER(SEARCH(" "&amp;Task!$A$17&amp;" "," "&amp;LOWER(D220&amp;" "&amp;C220&amp;" "&amp;LOWER(SUBSTITUTE(SUBSTITUTE(SUBSTITUTE(SUBSTITUTE(A220,"/"," "),"."," "),"\"," "),"_"," ")))&amp;" ")),1,0))+IF(Task!$A$18="",0,IF(ISNUMBER(SEARCH(" "&amp;Task!$A$18&amp;" "," "&amp;LOWER(D220&amp;" "&amp;C220&amp;" "&amp;LOWER(SUBSTITUTE(SUBSTITUTE(SUBSTITUTE(SUBSTITUTE(A220,"/"," "),"."," "),"\"," "),"_"," ")))&amp;" ")),1,0))+IF(Task!$A$19="",0,IF(ISNUMBER(SEARCH(" "&amp;Task!$A$19&amp;" "," "&amp;LOWER(D220&amp;" "&amp;C220&amp;" "&amp;LOWER(SUBSTITUTE(SUBSTITUTE(SUBSTITUTE(SUBSTITUTE(A220,"/"," "),"."," "),"\"," "),"_"," ")))&amp;" ")),1,0)))</f>
        <v/>
      </c>
      <c r="G220" s="9">
        <f>IF(E220=0,0,IF(Task!$A$8="",0,IF(ISNUMBER(SEARCH(" "&amp;Task!$A$8&amp;" "," "&amp;LOWER(C220)&amp;" ")),1,0))+IF(Task!$A$9="",0,IF(ISNUMBER(SEARCH(" "&amp;Task!$A$9&amp;" "," "&amp;LOWER(C220)&amp;" ")),1,0))+IF(Task!$A$10="",0,IF(ISNUMBER(SEARCH(" "&amp;Task!$A$10&amp;" "," "&amp;LOWER(C220)&amp;" ")),1,0))+IF(Task!$A$11="",0,IF(ISNUMBER(SEARCH(" "&amp;Task!$A$11&amp;" "," "&amp;LOWER(C220)&amp;" ")),1,0))+IF(Task!$A$12="",0,IF(ISNUMBER(SEARCH(" "&amp;Task!$A$12&amp;" "," "&amp;LOWER(C220)&amp;" ")),1,0))+IF(Task!$A$13="",0,IF(ISNUMBER(SEARCH(" "&amp;Task!$A$13&amp;" "," "&amp;LOWER(C220)&amp;" ")),1,0))+IF(Task!$A$14="",0,IF(ISNUMBER(SEARCH(" "&amp;Task!$A$14&amp;" "," "&amp;LOWER(C220)&amp;" ")),1,0))+IF(Task!$A$15="",0,IF(ISNUMBER(SEARCH(" "&amp;Task!$A$15&amp;" "," "&amp;LOWER(C220)&amp;" ")),1,0))+IF(Task!$A$16="",0,IF(ISNUMBER(SEARCH(" "&amp;Task!$A$16&amp;" "," "&amp;LOWER(C220)&amp;" ")),1,0))+IF(Task!$A$17="",0,IF(ISNUMBER(SEARCH(" "&amp;Task!$A$17&amp;" "," "&amp;LOWER(C220)&amp;" ")),1,0))+IF(Task!$A$18="",0,IF(ISNUMBER(SEARCH(" "&amp;Task!$A$18&amp;" "," "&amp;LOWER(C220)&amp;" ")),1,0))+IF(Task!$A$19="",0,IF(ISNUMBER(SEARCH(" "&amp;Task!$A$19&amp;" "," "&amp;LOWER(C220)&amp;" ")),1,0)))</f>
        <v/>
      </c>
      <c r="H220" s="9">
        <f>IF(E220=0,0,IF(Task!$A$8="",0,IF(ISNUMBER(SEARCH(" "&amp;Task!$A$8&amp;" "," "&amp;LOWER(SUBSTITUTE(SUBSTITUTE(SUBSTITUTE(SUBSTITUTE(A220,"/"," "),"."," "),"\"," "),"_"," "))&amp;" ")),1,0))+IF(Task!$A$9="",0,IF(ISNUMBER(SEARCH(" "&amp;Task!$A$9&amp;" "," "&amp;LOWER(SUBSTITUTE(SUBSTITUTE(SUBSTITUTE(SUBSTITUTE(A220,"/"," "),"."," "),"\"," "),"_"," "))&amp;" ")),1,0))+IF(Task!$A$10="",0,IF(ISNUMBER(SEARCH(" "&amp;Task!$A$10&amp;" "," "&amp;LOWER(SUBSTITUTE(SUBSTITUTE(SUBSTITUTE(SUBSTITUTE(A220,"/"," "),"."," "),"\"," "),"_"," "))&amp;" ")),1,0))+IF(Task!$A$11="",0,IF(ISNUMBER(SEARCH(" "&amp;Task!$A$11&amp;" "," "&amp;LOWER(SUBSTITUTE(SUBSTITUTE(SUBSTITUTE(SUBSTITUTE(A220,"/"," "),"."," "),"\"," "),"_"," "))&amp;" ")),1,0))+IF(Task!$A$12="",0,IF(ISNUMBER(SEARCH(" "&amp;Task!$A$12&amp;" "," "&amp;LOWER(SUBSTITUTE(SUBSTITUTE(SUBSTITUTE(SUBSTITUTE(A220,"/"," "),"."," "),"\"," "),"_"," "))&amp;" ")),1,0))+IF(Task!$A$13="",0,IF(ISNUMBER(SEARCH(" "&amp;Task!$A$13&amp;" "," "&amp;LOWER(SUBSTITUTE(SUBSTITUTE(SUBSTITUTE(SUBSTITUTE(A220,"/"," "),"."," "),"\"," "),"_"," "))&amp;" ")),1,0))+IF(Task!$A$14="",0,IF(ISNUMBER(SEARCH(" "&amp;Task!$A$14&amp;" "," "&amp;LOWER(SUBSTITUTE(SUBSTITUTE(SUBSTITUTE(SUBSTITUTE(A220,"/"," "),"."," "),"\"," "),"_"," "))&amp;" ")),1,0))+IF(Task!$A$15="",0,IF(ISNUMBER(SEARCH(" "&amp;Task!$A$15&amp;" "," "&amp;LOWER(SUBSTITUTE(SUBSTITUTE(SUBSTITUTE(SUBSTITUTE(A220,"/"," "),"."," "),"\"," "),"_"," "))&amp;" ")),1,0))+IF(Task!$A$16="",0,IF(ISNUMBER(SEARCH(" "&amp;Task!$A$16&amp;" "," "&amp;LOWER(SUBSTITUTE(SUBSTITUTE(SUBSTITUTE(SUBSTITUTE(A220,"/"," "),"."," "),"\"," "),"_"," "))&amp;" ")),1,0))+IF(Task!$A$17="",0,IF(ISNUMBER(SEARCH(" "&amp;Task!$A$17&amp;" "," "&amp;LOWER(SUBSTITUTE(SUBSTITUTE(SUBSTITUTE(SUBSTITUTE(A220,"/"," "),"."," "),"\"," "),"_"," "))&amp;" ")),1,0))+IF(Task!$A$18="",0,IF(ISNUMBER(SEARCH(" "&amp;Task!$A$18&amp;" "," "&amp;LOWER(SUBSTITUTE(SUBSTITUTE(SUBSTITUTE(SUBSTITUTE(A220,"/"," "),"."," "),"\"," "),"_"," "))&amp;" ")),1,0))+IF(Task!$A$19="",0,IF(ISNUMBER(SEARCH(" "&amp;Task!$A$19&amp;" "," "&amp;LOWER(SUBSTITUTE(SUBSTITUTE(SUBSTITUTE(SUBSTITUTE(A220,"/"," "),"."," "),"\"," "),"_"," "))&amp;" ")),1,0)))</f>
        <v/>
      </c>
      <c r="I220" s="10">
        <f>IF(OR(E220=0,F220=0,Task!$B$21=0),"",F220/Task!$B$21+0.5*G220+0.25*H220)</f>
        <v/>
      </c>
      <c r="J220" s="5">
        <f>IF(I220="","",I220-ROW()/1000000)</f>
        <v/>
      </c>
      <c r="K220" s="9">
        <f>IF(J220="","",COUNTIF($J$5:$J$404,"&gt;"&amp;J220)+1)</f>
        <v/>
      </c>
    </row>
    <row r="221">
      <c r="A221" s="7" t="n"/>
      <c r="B221" s="7" t="n"/>
      <c r="C221" s="7" t="n"/>
      <c r="D221" s="7" t="n"/>
      <c r="E221" s="5">
        <f>IF(A221="",0,IF(COUNTA(Task!$B$5:$E$5)=0,1,IF(COUNTIF(Task!$B$5:$E$5,B221)&gt;0,1,0)))</f>
        <v/>
      </c>
      <c r="F221" s="9">
        <f>IF(E221=0,0,IF(Task!$A$8="",0,IF(ISNUMBER(SEARCH(" "&amp;Task!$A$8&amp;" "," "&amp;LOWER(D221&amp;" "&amp;C221&amp;" "&amp;LOWER(SUBSTITUTE(SUBSTITUTE(SUBSTITUTE(SUBSTITUTE(A221,"/"," "),"."," "),"\"," "),"_"," ")))&amp;" ")),1,0))+IF(Task!$A$9="",0,IF(ISNUMBER(SEARCH(" "&amp;Task!$A$9&amp;" "," "&amp;LOWER(D221&amp;" "&amp;C221&amp;" "&amp;LOWER(SUBSTITUTE(SUBSTITUTE(SUBSTITUTE(SUBSTITUTE(A221,"/"," "),"."," "),"\"," "),"_"," ")))&amp;" ")),1,0))+IF(Task!$A$10="",0,IF(ISNUMBER(SEARCH(" "&amp;Task!$A$10&amp;" "," "&amp;LOWER(D221&amp;" "&amp;C221&amp;" "&amp;LOWER(SUBSTITUTE(SUBSTITUTE(SUBSTITUTE(SUBSTITUTE(A221,"/"," "),"."," "),"\"," "),"_"," ")))&amp;" ")),1,0))+IF(Task!$A$11="",0,IF(ISNUMBER(SEARCH(" "&amp;Task!$A$11&amp;" "," "&amp;LOWER(D221&amp;" "&amp;C221&amp;" "&amp;LOWER(SUBSTITUTE(SUBSTITUTE(SUBSTITUTE(SUBSTITUTE(A221,"/"," "),"."," "),"\"," "),"_"," ")))&amp;" ")),1,0))+IF(Task!$A$12="",0,IF(ISNUMBER(SEARCH(" "&amp;Task!$A$12&amp;" "," "&amp;LOWER(D221&amp;" "&amp;C221&amp;" "&amp;LOWER(SUBSTITUTE(SUBSTITUTE(SUBSTITUTE(SUBSTITUTE(A221,"/"," "),"."," "),"\"," "),"_"," ")))&amp;" ")),1,0))+IF(Task!$A$13="",0,IF(ISNUMBER(SEARCH(" "&amp;Task!$A$13&amp;" "," "&amp;LOWER(D221&amp;" "&amp;C221&amp;" "&amp;LOWER(SUBSTITUTE(SUBSTITUTE(SUBSTITUTE(SUBSTITUTE(A221,"/"," "),"."," "),"\"," "),"_"," ")))&amp;" ")),1,0))+IF(Task!$A$14="",0,IF(ISNUMBER(SEARCH(" "&amp;Task!$A$14&amp;" "," "&amp;LOWER(D221&amp;" "&amp;C221&amp;" "&amp;LOWER(SUBSTITUTE(SUBSTITUTE(SUBSTITUTE(SUBSTITUTE(A221,"/"," "),"."," "),"\"," "),"_"," ")))&amp;" ")),1,0))+IF(Task!$A$15="",0,IF(ISNUMBER(SEARCH(" "&amp;Task!$A$15&amp;" "," "&amp;LOWER(D221&amp;" "&amp;C221&amp;" "&amp;LOWER(SUBSTITUTE(SUBSTITUTE(SUBSTITUTE(SUBSTITUTE(A221,"/"," "),"."," "),"\"," "),"_"," ")))&amp;" ")),1,0))+IF(Task!$A$16="",0,IF(ISNUMBER(SEARCH(" "&amp;Task!$A$16&amp;" "," "&amp;LOWER(D221&amp;" "&amp;C221&amp;" "&amp;LOWER(SUBSTITUTE(SUBSTITUTE(SUBSTITUTE(SUBSTITUTE(A221,"/"," "),"."," "),"\"," "),"_"," ")))&amp;" ")),1,0))+IF(Task!$A$17="",0,IF(ISNUMBER(SEARCH(" "&amp;Task!$A$17&amp;" "," "&amp;LOWER(D221&amp;" "&amp;C221&amp;" "&amp;LOWER(SUBSTITUTE(SUBSTITUTE(SUBSTITUTE(SUBSTITUTE(A221,"/"," "),"."," "),"\"," "),"_"," ")))&amp;" ")),1,0))+IF(Task!$A$18="",0,IF(ISNUMBER(SEARCH(" "&amp;Task!$A$18&amp;" "," "&amp;LOWER(D221&amp;" "&amp;C221&amp;" "&amp;LOWER(SUBSTITUTE(SUBSTITUTE(SUBSTITUTE(SUBSTITUTE(A221,"/"," "),"."," "),"\"," "),"_"," ")))&amp;" ")),1,0))+IF(Task!$A$19="",0,IF(ISNUMBER(SEARCH(" "&amp;Task!$A$19&amp;" "," "&amp;LOWER(D221&amp;" "&amp;C221&amp;" "&amp;LOWER(SUBSTITUTE(SUBSTITUTE(SUBSTITUTE(SUBSTITUTE(A221,"/"," "),"."," "),"\"," "),"_"," ")))&amp;" ")),1,0)))</f>
        <v/>
      </c>
      <c r="G221" s="9">
        <f>IF(E221=0,0,IF(Task!$A$8="",0,IF(ISNUMBER(SEARCH(" "&amp;Task!$A$8&amp;" "," "&amp;LOWER(C221)&amp;" ")),1,0))+IF(Task!$A$9="",0,IF(ISNUMBER(SEARCH(" "&amp;Task!$A$9&amp;" "," "&amp;LOWER(C221)&amp;" ")),1,0))+IF(Task!$A$10="",0,IF(ISNUMBER(SEARCH(" "&amp;Task!$A$10&amp;" "," "&amp;LOWER(C221)&amp;" ")),1,0))+IF(Task!$A$11="",0,IF(ISNUMBER(SEARCH(" "&amp;Task!$A$11&amp;" "," "&amp;LOWER(C221)&amp;" ")),1,0))+IF(Task!$A$12="",0,IF(ISNUMBER(SEARCH(" "&amp;Task!$A$12&amp;" "," "&amp;LOWER(C221)&amp;" ")),1,0))+IF(Task!$A$13="",0,IF(ISNUMBER(SEARCH(" "&amp;Task!$A$13&amp;" "," "&amp;LOWER(C221)&amp;" ")),1,0))+IF(Task!$A$14="",0,IF(ISNUMBER(SEARCH(" "&amp;Task!$A$14&amp;" "," "&amp;LOWER(C221)&amp;" ")),1,0))+IF(Task!$A$15="",0,IF(ISNUMBER(SEARCH(" "&amp;Task!$A$15&amp;" "," "&amp;LOWER(C221)&amp;" ")),1,0))+IF(Task!$A$16="",0,IF(ISNUMBER(SEARCH(" "&amp;Task!$A$16&amp;" "," "&amp;LOWER(C221)&amp;" ")),1,0))+IF(Task!$A$17="",0,IF(ISNUMBER(SEARCH(" "&amp;Task!$A$17&amp;" "," "&amp;LOWER(C221)&amp;" ")),1,0))+IF(Task!$A$18="",0,IF(ISNUMBER(SEARCH(" "&amp;Task!$A$18&amp;" "," "&amp;LOWER(C221)&amp;" ")),1,0))+IF(Task!$A$19="",0,IF(ISNUMBER(SEARCH(" "&amp;Task!$A$19&amp;" "," "&amp;LOWER(C221)&amp;" ")),1,0)))</f>
        <v/>
      </c>
      <c r="H221" s="9">
        <f>IF(E221=0,0,IF(Task!$A$8="",0,IF(ISNUMBER(SEARCH(" "&amp;Task!$A$8&amp;" "," "&amp;LOWER(SUBSTITUTE(SUBSTITUTE(SUBSTITUTE(SUBSTITUTE(A221,"/"," "),"."," "),"\"," "),"_"," "))&amp;" ")),1,0))+IF(Task!$A$9="",0,IF(ISNUMBER(SEARCH(" "&amp;Task!$A$9&amp;" "," "&amp;LOWER(SUBSTITUTE(SUBSTITUTE(SUBSTITUTE(SUBSTITUTE(A221,"/"," "),"."," "),"\"," "),"_"," "))&amp;" ")),1,0))+IF(Task!$A$10="",0,IF(ISNUMBER(SEARCH(" "&amp;Task!$A$10&amp;" "," "&amp;LOWER(SUBSTITUTE(SUBSTITUTE(SUBSTITUTE(SUBSTITUTE(A221,"/"," "),"."," "),"\"," "),"_"," "))&amp;" ")),1,0))+IF(Task!$A$11="",0,IF(ISNUMBER(SEARCH(" "&amp;Task!$A$11&amp;" "," "&amp;LOWER(SUBSTITUTE(SUBSTITUTE(SUBSTITUTE(SUBSTITUTE(A221,"/"," "),"."," "),"\"," "),"_"," "))&amp;" ")),1,0))+IF(Task!$A$12="",0,IF(ISNUMBER(SEARCH(" "&amp;Task!$A$12&amp;" "," "&amp;LOWER(SUBSTITUTE(SUBSTITUTE(SUBSTITUTE(SUBSTITUTE(A221,"/"," "),"."," "),"\"," "),"_"," "))&amp;" ")),1,0))+IF(Task!$A$13="",0,IF(ISNUMBER(SEARCH(" "&amp;Task!$A$13&amp;" "," "&amp;LOWER(SUBSTITUTE(SUBSTITUTE(SUBSTITUTE(SUBSTITUTE(A221,"/"," "),"."," "),"\"," "),"_"," "))&amp;" ")),1,0))+IF(Task!$A$14="",0,IF(ISNUMBER(SEARCH(" "&amp;Task!$A$14&amp;" "," "&amp;LOWER(SUBSTITUTE(SUBSTITUTE(SUBSTITUTE(SUBSTITUTE(A221,"/"," "),"."," "),"\"," "),"_"," "))&amp;" ")),1,0))+IF(Task!$A$15="",0,IF(ISNUMBER(SEARCH(" "&amp;Task!$A$15&amp;" "," "&amp;LOWER(SUBSTITUTE(SUBSTITUTE(SUBSTITUTE(SUBSTITUTE(A221,"/"," "),"."," "),"\"," "),"_"," "))&amp;" ")),1,0))+IF(Task!$A$16="",0,IF(ISNUMBER(SEARCH(" "&amp;Task!$A$16&amp;" "," "&amp;LOWER(SUBSTITUTE(SUBSTITUTE(SUBSTITUTE(SUBSTITUTE(A221,"/"," "),"."," "),"\"," "),"_"," "))&amp;" ")),1,0))+IF(Task!$A$17="",0,IF(ISNUMBER(SEARCH(" "&amp;Task!$A$17&amp;" "," "&amp;LOWER(SUBSTITUTE(SUBSTITUTE(SUBSTITUTE(SUBSTITUTE(A221,"/"," "),"."," "),"\"," "),"_"," "))&amp;" ")),1,0))+IF(Task!$A$18="",0,IF(ISNUMBER(SEARCH(" "&amp;Task!$A$18&amp;" "," "&amp;LOWER(SUBSTITUTE(SUBSTITUTE(SUBSTITUTE(SUBSTITUTE(A221,"/"," "),"."," "),"\"," "),"_"," "))&amp;" ")),1,0))+IF(Task!$A$19="",0,IF(ISNUMBER(SEARCH(" "&amp;Task!$A$19&amp;" "," "&amp;LOWER(SUBSTITUTE(SUBSTITUTE(SUBSTITUTE(SUBSTITUTE(A221,"/"," "),"."," "),"\"," "),"_"," "))&amp;" ")),1,0)))</f>
        <v/>
      </c>
      <c r="I221" s="10">
        <f>IF(OR(E221=0,F221=0,Task!$B$21=0),"",F221/Task!$B$21+0.5*G221+0.25*H221)</f>
        <v/>
      </c>
      <c r="J221" s="5">
        <f>IF(I221="","",I221-ROW()/1000000)</f>
        <v/>
      </c>
      <c r="K221" s="9">
        <f>IF(J221="","",COUNTIF($J$5:$J$404,"&gt;"&amp;J221)+1)</f>
        <v/>
      </c>
    </row>
    <row r="222">
      <c r="A222" s="7" t="n"/>
      <c r="B222" s="7" t="n"/>
      <c r="C222" s="7" t="n"/>
      <c r="D222" s="7" t="n"/>
      <c r="E222" s="5">
        <f>IF(A222="",0,IF(COUNTA(Task!$B$5:$E$5)=0,1,IF(COUNTIF(Task!$B$5:$E$5,B222)&gt;0,1,0)))</f>
        <v/>
      </c>
      <c r="F222" s="9">
        <f>IF(E222=0,0,IF(Task!$A$8="",0,IF(ISNUMBER(SEARCH(" "&amp;Task!$A$8&amp;" "," "&amp;LOWER(D222&amp;" "&amp;C222&amp;" "&amp;LOWER(SUBSTITUTE(SUBSTITUTE(SUBSTITUTE(SUBSTITUTE(A222,"/"," "),"."," "),"\"," "),"_"," ")))&amp;" ")),1,0))+IF(Task!$A$9="",0,IF(ISNUMBER(SEARCH(" "&amp;Task!$A$9&amp;" "," "&amp;LOWER(D222&amp;" "&amp;C222&amp;" "&amp;LOWER(SUBSTITUTE(SUBSTITUTE(SUBSTITUTE(SUBSTITUTE(A222,"/"," "),"."," "),"\"," "),"_"," ")))&amp;" ")),1,0))+IF(Task!$A$10="",0,IF(ISNUMBER(SEARCH(" "&amp;Task!$A$10&amp;" "," "&amp;LOWER(D222&amp;" "&amp;C222&amp;" "&amp;LOWER(SUBSTITUTE(SUBSTITUTE(SUBSTITUTE(SUBSTITUTE(A222,"/"," "),"."," "),"\"," "),"_"," ")))&amp;" ")),1,0))+IF(Task!$A$11="",0,IF(ISNUMBER(SEARCH(" "&amp;Task!$A$11&amp;" "," "&amp;LOWER(D222&amp;" "&amp;C222&amp;" "&amp;LOWER(SUBSTITUTE(SUBSTITUTE(SUBSTITUTE(SUBSTITUTE(A222,"/"," "),"."," "),"\"," "),"_"," ")))&amp;" ")),1,0))+IF(Task!$A$12="",0,IF(ISNUMBER(SEARCH(" "&amp;Task!$A$12&amp;" "," "&amp;LOWER(D222&amp;" "&amp;C222&amp;" "&amp;LOWER(SUBSTITUTE(SUBSTITUTE(SUBSTITUTE(SUBSTITUTE(A222,"/"," "),"."," "),"\"," "),"_"," ")))&amp;" ")),1,0))+IF(Task!$A$13="",0,IF(ISNUMBER(SEARCH(" "&amp;Task!$A$13&amp;" "," "&amp;LOWER(D222&amp;" "&amp;C222&amp;" "&amp;LOWER(SUBSTITUTE(SUBSTITUTE(SUBSTITUTE(SUBSTITUTE(A222,"/"," "),"."," "),"\"," "),"_"," ")))&amp;" ")),1,0))+IF(Task!$A$14="",0,IF(ISNUMBER(SEARCH(" "&amp;Task!$A$14&amp;" "," "&amp;LOWER(D222&amp;" "&amp;C222&amp;" "&amp;LOWER(SUBSTITUTE(SUBSTITUTE(SUBSTITUTE(SUBSTITUTE(A222,"/"," "),"."," "),"\"," "),"_"," ")))&amp;" ")),1,0))+IF(Task!$A$15="",0,IF(ISNUMBER(SEARCH(" "&amp;Task!$A$15&amp;" "," "&amp;LOWER(D222&amp;" "&amp;C222&amp;" "&amp;LOWER(SUBSTITUTE(SUBSTITUTE(SUBSTITUTE(SUBSTITUTE(A222,"/"," "),"."," "),"\"," "),"_"," ")))&amp;" ")),1,0))+IF(Task!$A$16="",0,IF(ISNUMBER(SEARCH(" "&amp;Task!$A$16&amp;" "," "&amp;LOWER(D222&amp;" "&amp;C222&amp;" "&amp;LOWER(SUBSTITUTE(SUBSTITUTE(SUBSTITUTE(SUBSTITUTE(A222,"/"," "),"."," "),"\"," "),"_"," ")))&amp;" ")),1,0))+IF(Task!$A$17="",0,IF(ISNUMBER(SEARCH(" "&amp;Task!$A$17&amp;" "," "&amp;LOWER(D222&amp;" "&amp;C222&amp;" "&amp;LOWER(SUBSTITUTE(SUBSTITUTE(SUBSTITUTE(SUBSTITUTE(A222,"/"," "),"."," "),"\"," "),"_"," ")))&amp;" ")),1,0))+IF(Task!$A$18="",0,IF(ISNUMBER(SEARCH(" "&amp;Task!$A$18&amp;" "," "&amp;LOWER(D222&amp;" "&amp;C222&amp;" "&amp;LOWER(SUBSTITUTE(SUBSTITUTE(SUBSTITUTE(SUBSTITUTE(A222,"/"," "),"."," "),"\"," "),"_"," ")))&amp;" ")),1,0))+IF(Task!$A$19="",0,IF(ISNUMBER(SEARCH(" "&amp;Task!$A$19&amp;" "," "&amp;LOWER(D222&amp;" "&amp;C222&amp;" "&amp;LOWER(SUBSTITUTE(SUBSTITUTE(SUBSTITUTE(SUBSTITUTE(A222,"/"," "),"."," "),"\"," "),"_"," ")))&amp;" ")),1,0)))</f>
        <v/>
      </c>
      <c r="G222" s="9">
        <f>IF(E222=0,0,IF(Task!$A$8="",0,IF(ISNUMBER(SEARCH(" "&amp;Task!$A$8&amp;" "," "&amp;LOWER(C222)&amp;" ")),1,0))+IF(Task!$A$9="",0,IF(ISNUMBER(SEARCH(" "&amp;Task!$A$9&amp;" "," "&amp;LOWER(C222)&amp;" ")),1,0))+IF(Task!$A$10="",0,IF(ISNUMBER(SEARCH(" "&amp;Task!$A$10&amp;" "," "&amp;LOWER(C222)&amp;" ")),1,0))+IF(Task!$A$11="",0,IF(ISNUMBER(SEARCH(" "&amp;Task!$A$11&amp;" "," "&amp;LOWER(C222)&amp;" ")),1,0))+IF(Task!$A$12="",0,IF(ISNUMBER(SEARCH(" "&amp;Task!$A$12&amp;" "," "&amp;LOWER(C222)&amp;" ")),1,0))+IF(Task!$A$13="",0,IF(ISNUMBER(SEARCH(" "&amp;Task!$A$13&amp;" "," "&amp;LOWER(C222)&amp;" ")),1,0))+IF(Task!$A$14="",0,IF(ISNUMBER(SEARCH(" "&amp;Task!$A$14&amp;" "," "&amp;LOWER(C222)&amp;" ")),1,0))+IF(Task!$A$15="",0,IF(ISNUMBER(SEARCH(" "&amp;Task!$A$15&amp;" "," "&amp;LOWER(C222)&amp;" ")),1,0))+IF(Task!$A$16="",0,IF(ISNUMBER(SEARCH(" "&amp;Task!$A$16&amp;" "," "&amp;LOWER(C222)&amp;" ")),1,0))+IF(Task!$A$17="",0,IF(ISNUMBER(SEARCH(" "&amp;Task!$A$17&amp;" "," "&amp;LOWER(C222)&amp;" ")),1,0))+IF(Task!$A$18="",0,IF(ISNUMBER(SEARCH(" "&amp;Task!$A$18&amp;" "," "&amp;LOWER(C222)&amp;" ")),1,0))+IF(Task!$A$19="",0,IF(ISNUMBER(SEARCH(" "&amp;Task!$A$19&amp;" "," "&amp;LOWER(C222)&amp;" ")),1,0)))</f>
        <v/>
      </c>
      <c r="H222" s="9">
        <f>IF(E222=0,0,IF(Task!$A$8="",0,IF(ISNUMBER(SEARCH(" "&amp;Task!$A$8&amp;" "," "&amp;LOWER(SUBSTITUTE(SUBSTITUTE(SUBSTITUTE(SUBSTITUTE(A222,"/"," "),"."," "),"\"," "),"_"," "))&amp;" ")),1,0))+IF(Task!$A$9="",0,IF(ISNUMBER(SEARCH(" "&amp;Task!$A$9&amp;" "," "&amp;LOWER(SUBSTITUTE(SUBSTITUTE(SUBSTITUTE(SUBSTITUTE(A222,"/"," "),"."," "),"\"," "),"_"," "))&amp;" ")),1,0))+IF(Task!$A$10="",0,IF(ISNUMBER(SEARCH(" "&amp;Task!$A$10&amp;" "," "&amp;LOWER(SUBSTITUTE(SUBSTITUTE(SUBSTITUTE(SUBSTITUTE(A222,"/"," "),"."," "),"\"," "),"_"," "))&amp;" ")),1,0))+IF(Task!$A$11="",0,IF(ISNUMBER(SEARCH(" "&amp;Task!$A$11&amp;" "," "&amp;LOWER(SUBSTITUTE(SUBSTITUTE(SUBSTITUTE(SUBSTITUTE(A222,"/"," "),"."," "),"\"," "),"_"," "))&amp;" ")),1,0))+IF(Task!$A$12="",0,IF(ISNUMBER(SEARCH(" "&amp;Task!$A$12&amp;" "," "&amp;LOWER(SUBSTITUTE(SUBSTITUTE(SUBSTITUTE(SUBSTITUTE(A222,"/"," "),"."," "),"\"," "),"_"," "))&amp;" ")),1,0))+IF(Task!$A$13="",0,IF(ISNUMBER(SEARCH(" "&amp;Task!$A$13&amp;" "," "&amp;LOWER(SUBSTITUTE(SUBSTITUTE(SUBSTITUTE(SUBSTITUTE(A222,"/"," "),"."," "),"\"," "),"_"," "))&amp;" ")),1,0))+IF(Task!$A$14="",0,IF(ISNUMBER(SEARCH(" "&amp;Task!$A$14&amp;" "," "&amp;LOWER(SUBSTITUTE(SUBSTITUTE(SUBSTITUTE(SUBSTITUTE(A222,"/"," "),"."," "),"\"," "),"_"," "))&amp;" ")),1,0))+IF(Task!$A$15="",0,IF(ISNUMBER(SEARCH(" "&amp;Task!$A$15&amp;" "," "&amp;LOWER(SUBSTITUTE(SUBSTITUTE(SUBSTITUTE(SUBSTITUTE(A222,"/"," "),"."," "),"\"," "),"_"," "))&amp;" ")),1,0))+IF(Task!$A$16="",0,IF(ISNUMBER(SEARCH(" "&amp;Task!$A$16&amp;" "," "&amp;LOWER(SUBSTITUTE(SUBSTITUTE(SUBSTITUTE(SUBSTITUTE(A222,"/"," "),"."," "),"\"," "),"_"," "))&amp;" ")),1,0))+IF(Task!$A$17="",0,IF(ISNUMBER(SEARCH(" "&amp;Task!$A$17&amp;" "," "&amp;LOWER(SUBSTITUTE(SUBSTITUTE(SUBSTITUTE(SUBSTITUTE(A222,"/"," "),"."," "),"\"," "),"_"," "))&amp;" ")),1,0))+IF(Task!$A$18="",0,IF(ISNUMBER(SEARCH(" "&amp;Task!$A$18&amp;" "," "&amp;LOWER(SUBSTITUTE(SUBSTITUTE(SUBSTITUTE(SUBSTITUTE(A222,"/"," "),"."," "),"\"," "),"_"," "))&amp;" ")),1,0))+IF(Task!$A$19="",0,IF(ISNUMBER(SEARCH(" "&amp;Task!$A$19&amp;" "," "&amp;LOWER(SUBSTITUTE(SUBSTITUTE(SUBSTITUTE(SUBSTITUTE(A222,"/"," "),"."," "),"\"," "),"_"," "))&amp;" ")),1,0)))</f>
        <v/>
      </c>
      <c r="I222" s="10">
        <f>IF(OR(E222=0,F222=0,Task!$B$21=0),"",F222/Task!$B$21+0.5*G222+0.25*H222)</f>
        <v/>
      </c>
      <c r="J222" s="5">
        <f>IF(I222="","",I222-ROW()/1000000)</f>
        <v/>
      </c>
      <c r="K222" s="9">
        <f>IF(J222="","",COUNTIF($J$5:$J$404,"&gt;"&amp;J222)+1)</f>
        <v/>
      </c>
    </row>
    <row r="223">
      <c r="A223" s="7" t="n"/>
      <c r="B223" s="7" t="n"/>
      <c r="C223" s="7" t="n"/>
      <c r="D223" s="7" t="n"/>
      <c r="E223" s="5">
        <f>IF(A223="",0,IF(COUNTA(Task!$B$5:$E$5)=0,1,IF(COUNTIF(Task!$B$5:$E$5,B223)&gt;0,1,0)))</f>
        <v/>
      </c>
      <c r="F223" s="9">
        <f>IF(E223=0,0,IF(Task!$A$8="",0,IF(ISNUMBER(SEARCH(" "&amp;Task!$A$8&amp;" "," "&amp;LOWER(D223&amp;" "&amp;C223&amp;" "&amp;LOWER(SUBSTITUTE(SUBSTITUTE(SUBSTITUTE(SUBSTITUTE(A223,"/"," "),"."," "),"\"," "),"_"," ")))&amp;" ")),1,0))+IF(Task!$A$9="",0,IF(ISNUMBER(SEARCH(" "&amp;Task!$A$9&amp;" "," "&amp;LOWER(D223&amp;" "&amp;C223&amp;" "&amp;LOWER(SUBSTITUTE(SUBSTITUTE(SUBSTITUTE(SUBSTITUTE(A223,"/"," "),"."," "),"\"," "),"_"," ")))&amp;" ")),1,0))+IF(Task!$A$10="",0,IF(ISNUMBER(SEARCH(" "&amp;Task!$A$10&amp;" "," "&amp;LOWER(D223&amp;" "&amp;C223&amp;" "&amp;LOWER(SUBSTITUTE(SUBSTITUTE(SUBSTITUTE(SUBSTITUTE(A223,"/"," "),"."," "),"\"," "),"_"," ")))&amp;" ")),1,0))+IF(Task!$A$11="",0,IF(ISNUMBER(SEARCH(" "&amp;Task!$A$11&amp;" "," "&amp;LOWER(D223&amp;" "&amp;C223&amp;" "&amp;LOWER(SUBSTITUTE(SUBSTITUTE(SUBSTITUTE(SUBSTITUTE(A223,"/"," "),"."," "),"\"," "),"_"," ")))&amp;" ")),1,0))+IF(Task!$A$12="",0,IF(ISNUMBER(SEARCH(" "&amp;Task!$A$12&amp;" "," "&amp;LOWER(D223&amp;" "&amp;C223&amp;" "&amp;LOWER(SUBSTITUTE(SUBSTITUTE(SUBSTITUTE(SUBSTITUTE(A223,"/"," "),"."," "),"\"," "),"_"," ")))&amp;" ")),1,0))+IF(Task!$A$13="",0,IF(ISNUMBER(SEARCH(" "&amp;Task!$A$13&amp;" "," "&amp;LOWER(D223&amp;" "&amp;C223&amp;" "&amp;LOWER(SUBSTITUTE(SUBSTITUTE(SUBSTITUTE(SUBSTITUTE(A223,"/"," "),"."," "),"\"," "),"_"," ")))&amp;" ")),1,0))+IF(Task!$A$14="",0,IF(ISNUMBER(SEARCH(" "&amp;Task!$A$14&amp;" "," "&amp;LOWER(D223&amp;" "&amp;C223&amp;" "&amp;LOWER(SUBSTITUTE(SUBSTITUTE(SUBSTITUTE(SUBSTITUTE(A223,"/"," "),"."," "),"\"," "),"_"," ")))&amp;" ")),1,0))+IF(Task!$A$15="",0,IF(ISNUMBER(SEARCH(" "&amp;Task!$A$15&amp;" "," "&amp;LOWER(D223&amp;" "&amp;C223&amp;" "&amp;LOWER(SUBSTITUTE(SUBSTITUTE(SUBSTITUTE(SUBSTITUTE(A223,"/"," "),"."," "),"\"," "),"_"," ")))&amp;" ")),1,0))+IF(Task!$A$16="",0,IF(ISNUMBER(SEARCH(" "&amp;Task!$A$16&amp;" "," "&amp;LOWER(D223&amp;" "&amp;C223&amp;" "&amp;LOWER(SUBSTITUTE(SUBSTITUTE(SUBSTITUTE(SUBSTITUTE(A223,"/"," "),"."," "),"\"," "),"_"," ")))&amp;" ")),1,0))+IF(Task!$A$17="",0,IF(ISNUMBER(SEARCH(" "&amp;Task!$A$17&amp;" "," "&amp;LOWER(D223&amp;" "&amp;C223&amp;" "&amp;LOWER(SUBSTITUTE(SUBSTITUTE(SUBSTITUTE(SUBSTITUTE(A223,"/"," "),"."," "),"\"," "),"_"," ")))&amp;" ")),1,0))+IF(Task!$A$18="",0,IF(ISNUMBER(SEARCH(" "&amp;Task!$A$18&amp;" "," "&amp;LOWER(D223&amp;" "&amp;C223&amp;" "&amp;LOWER(SUBSTITUTE(SUBSTITUTE(SUBSTITUTE(SUBSTITUTE(A223,"/"," "),"."," "),"\"," "),"_"," ")))&amp;" ")),1,0))+IF(Task!$A$19="",0,IF(ISNUMBER(SEARCH(" "&amp;Task!$A$19&amp;" "," "&amp;LOWER(D223&amp;" "&amp;C223&amp;" "&amp;LOWER(SUBSTITUTE(SUBSTITUTE(SUBSTITUTE(SUBSTITUTE(A223,"/"," "),"."," "),"\"," "),"_"," ")))&amp;" ")),1,0)))</f>
        <v/>
      </c>
      <c r="G223" s="9">
        <f>IF(E223=0,0,IF(Task!$A$8="",0,IF(ISNUMBER(SEARCH(" "&amp;Task!$A$8&amp;" "," "&amp;LOWER(C223)&amp;" ")),1,0))+IF(Task!$A$9="",0,IF(ISNUMBER(SEARCH(" "&amp;Task!$A$9&amp;" "," "&amp;LOWER(C223)&amp;" ")),1,0))+IF(Task!$A$10="",0,IF(ISNUMBER(SEARCH(" "&amp;Task!$A$10&amp;" "," "&amp;LOWER(C223)&amp;" ")),1,0))+IF(Task!$A$11="",0,IF(ISNUMBER(SEARCH(" "&amp;Task!$A$11&amp;" "," "&amp;LOWER(C223)&amp;" ")),1,0))+IF(Task!$A$12="",0,IF(ISNUMBER(SEARCH(" "&amp;Task!$A$12&amp;" "," "&amp;LOWER(C223)&amp;" ")),1,0))+IF(Task!$A$13="",0,IF(ISNUMBER(SEARCH(" "&amp;Task!$A$13&amp;" "," "&amp;LOWER(C223)&amp;" ")),1,0))+IF(Task!$A$14="",0,IF(ISNUMBER(SEARCH(" "&amp;Task!$A$14&amp;" "," "&amp;LOWER(C223)&amp;" ")),1,0))+IF(Task!$A$15="",0,IF(ISNUMBER(SEARCH(" "&amp;Task!$A$15&amp;" "," "&amp;LOWER(C223)&amp;" ")),1,0))+IF(Task!$A$16="",0,IF(ISNUMBER(SEARCH(" "&amp;Task!$A$16&amp;" "," "&amp;LOWER(C223)&amp;" ")),1,0))+IF(Task!$A$17="",0,IF(ISNUMBER(SEARCH(" "&amp;Task!$A$17&amp;" "," "&amp;LOWER(C223)&amp;" ")),1,0))+IF(Task!$A$18="",0,IF(ISNUMBER(SEARCH(" "&amp;Task!$A$18&amp;" "," "&amp;LOWER(C223)&amp;" ")),1,0))+IF(Task!$A$19="",0,IF(ISNUMBER(SEARCH(" "&amp;Task!$A$19&amp;" "," "&amp;LOWER(C223)&amp;" ")),1,0)))</f>
        <v/>
      </c>
      <c r="H223" s="9">
        <f>IF(E223=0,0,IF(Task!$A$8="",0,IF(ISNUMBER(SEARCH(" "&amp;Task!$A$8&amp;" "," "&amp;LOWER(SUBSTITUTE(SUBSTITUTE(SUBSTITUTE(SUBSTITUTE(A223,"/"," "),"."," "),"\"," "),"_"," "))&amp;" ")),1,0))+IF(Task!$A$9="",0,IF(ISNUMBER(SEARCH(" "&amp;Task!$A$9&amp;" "," "&amp;LOWER(SUBSTITUTE(SUBSTITUTE(SUBSTITUTE(SUBSTITUTE(A223,"/"," "),"."," "),"\"," "),"_"," "))&amp;" ")),1,0))+IF(Task!$A$10="",0,IF(ISNUMBER(SEARCH(" "&amp;Task!$A$10&amp;" "," "&amp;LOWER(SUBSTITUTE(SUBSTITUTE(SUBSTITUTE(SUBSTITUTE(A223,"/"," "),"."," "),"\"," "),"_"," "))&amp;" ")),1,0))+IF(Task!$A$11="",0,IF(ISNUMBER(SEARCH(" "&amp;Task!$A$11&amp;" "," "&amp;LOWER(SUBSTITUTE(SUBSTITUTE(SUBSTITUTE(SUBSTITUTE(A223,"/"," "),"."," "),"\"," "),"_"," "))&amp;" ")),1,0))+IF(Task!$A$12="",0,IF(ISNUMBER(SEARCH(" "&amp;Task!$A$12&amp;" "," "&amp;LOWER(SUBSTITUTE(SUBSTITUTE(SUBSTITUTE(SUBSTITUTE(A223,"/"," "),"."," "),"\"," "),"_"," "))&amp;" ")),1,0))+IF(Task!$A$13="",0,IF(ISNUMBER(SEARCH(" "&amp;Task!$A$13&amp;" "," "&amp;LOWER(SUBSTITUTE(SUBSTITUTE(SUBSTITUTE(SUBSTITUTE(A223,"/"," "),"."," "),"\"," "),"_"," "))&amp;" ")),1,0))+IF(Task!$A$14="",0,IF(ISNUMBER(SEARCH(" "&amp;Task!$A$14&amp;" "," "&amp;LOWER(SUBSTITUTE(SUBSTITUTE(SUBSTITUTE(SUBSTITUTE(A223,"/"," "),"."," "),"\"," "),"_"," "))&amp;" ")),1,0))+IF(Task!$A$15="",0,IF(ISNUMBER(SEARCH(" "&amp;Task!$A$15&amp;" "," "&amp;LOWER(SUBSTITUTE(SUBSTITUTE(SUBSTITUTE(SUBSTITUTE(A223,"/"," "),"."," "),"\"," "),"_"," "))&amp;" ")),1,0))+IF(Task!$A$16="",0,IF(ISNUMBER(SEARCH(" "&amp;Task!$A$16&amp;" "," "&amp;LOWER(SUBSTITUTE(SUBSTITUTE(SUBSTITUTE(SUBSTITUTE(A223,"/"," "),"."," "),"\"," "),"_"," "))&amp;" ")),1,0))+IF(Task!$A$17="",0,IF(ISNUMBER(SEARCH(" "&amp;Task!$A$17&amp;" "," "&amp;LOWER(SUBSTITUTE(SUBSTITUTE(SUBSTITUTE(SUBSTITUTE(A223,"/"," "),"."," "),"\"," "),"_"," "))&amp;" ")),1,0))+IF(Task!$A$18="",0,IF(ISNUMBER(SEARCH(" "&amp;Task!$A$18&amp;" "," "&amp;LOWER(SUBSTITUTE(SUBSTITUTE(SUBSTITUTE(SUBSTITUTE(A223,"/"," "),"."," "),"\"," "),"_"," "))&amp;" ")),1,0))+IF(Task!$A$19="",0,IF(ISNUMBER(SEARCH(" "&amp;Task!$A$19&amp;" "," "&amp;LOWER(SUBSTITUTE(SUBSTITUTE(SUBSTITUTE(SUBSTITUTE(A223,"/"," "),"."," "),"\"," "),"_"," "))&amp;" ")),1,0)))</f>
        <v/>
      </c>
      <c r="I223" s="10">
        <f>IF(OR(E223=0,F223=0,Task!$B$21=0),"",F223/Task!$B$21+0.5*G223+0.25*H223)</f>
        <v/>
      </c>
      <c r="J223" s="5">
        <f>IF(I223="","",I223-ROW()/1000000)</f>
        <v/>
      </c>
      <c r="K223" s="9">
        <f>IF(J223="","",COUNTIF($J$5:$J$404,"&gt;"&amp;J223)+1)</f>
        <v/>
      </c>
    </row>
    <row r="224">
      <c r="A224" s="7" t="n"/>
      <c r="B224" s="7" t="n"/>
      <c r="C224" s="7" t="n"/>
      <c r="D224" s="7" t="n"/>
      <c r="E224" s="5">
        <f>IF(A224="",0,IF(COUNTA(Task!$B$5:$E$5)=0,1,IF(COUNTIF(Task!$B$5:$E$5,B224)&gt;0,1,0)))</f>
        <v/>
      </c>
      <c r="F224" s="9">
        <f>IF(E224=0,0,IF(Task!$A$8="",0,IF(ISNUMBER(SEARCH(" "&amp;Task!$A$8&amp;" "," "&amp;LOWER(D224&amp;" "&amp;C224&amp;" "&amp;LOWER(SUBSTITUTE(SUBSTITUTE(SUBSTITUTE(SUBSTITUTE(A224,"/"," "),"."," "),"\"," "),"_"," ")))&amp;" ")),1,0))+IF(Task!$A$9="",0,IF(ISNUMBER(SEARCH(" "&amp;Task!$A$9&amp;" "," "&amp;LOWER(D224&amp;" "&amp;C224&amp;" "&amp;LOWER(SUBSTITUTE(SUBSTITUTE(SUBSTITUTE(SUBSTITUTE(A224,"/"," "),"."," "),"\"," "),"_"," ")))&amp;" ")),1,0))+IF(Task!$A$10="",0,IF(ISNUMBER(SEARCH(" "&amp;Task!$A$10&amp;" "," "&amp;LOWER(D224&amp;" "&amp;C224&amp;" "&amp;LOWER(SUBSTITUTE(SUBSTITUTE(SUBSTITUTE(SUBSTITUTE(A224,"/"," "),"."," "),"\"," "),"_"," ")))&amp;" ")),1,0))+IF(Task!$A$11="",0,IF(ISNUMBER(SEARCH(" "&amp;Task!$A$11&amp;" "," "&amp;LOWER(D224&amp;" "&amp;C224&amp;" "&amp;LOWER(SUBSTITUTE(SUBSTITUTE(SUBSTITUTE(SUBSTITUTE(A224,"/"," "),"."," "),"\"," "),"_"," ")))&amp;" ")),1,0))+IF(Task!$A$12="",0,IF(ISNUMBER(SEARCH(" "&amp;Task!$A$12&amp;" "," "&amp;LOWER(D224&amp;" "&amp;C224&amp;" "&amp;LOWER(SUBSTITUTE(SUBSTITUTE(SUBSTITUTE(SUBSTITUTE(A224,"/"," "),"."," "),"\"," "),"_"," ")))&amp;" ")),1,0))+IF(Task!$A$13="",0,IF(ISNUMBER(SEARCH(" "&amp;Task!$A$13&amp;" "," "&amp;LOWER(D224&amp;" "&amp;C224&amp;" "&amp;LOWER(SUBSTITUTE(SUBSTITUTE(SUBSTITUTE(SUBSTITUTE(A224,"/"," "),"."," "),"\"," "),"_"," ")))&amp;" ")),1,0))+IF(Task!$A$14="",0,IF(ISNUMBER(SEARCH(" "&amp;Task!$A$14&amp;" "," "&amp;LOWER(D224&amp;" "&amp;C224&amp;" "&amp;LOWER(SUBSTITUTE(SUBSTITUTE(SUBSTITUTE(SUBSTITUTE(A224,"/"," "),"."," "),"\"," "),"_"," ")))&amp;" ")),1,0))+IF(Task!$A$15="",0,IF(ISNUMBER(SEARCH(" "&amp;Task!$A$15&amp;" "," "&amp;LOWER(D224&amp;" "&amp;C224&amp;" "&amp;LOWER(SUBSTITUTE(SUBSTITUTE(SUBSTITUTE(SUBSTITUTE(A224,"/"," "),"."," "),"\"," "),"_"," ")))&amp;" ")),1,0))+IF(Task!$A$16="",0,IF(ISNUMBER(SEARCH(" "&amp;Task!$A$16&amp;" "," "&amp;LOWER(D224&amp;" "&amp;C224&amp;" "&amp;LOWER(SUBSTITUTE(SUBSTITUTE(SUBSTITUTE(SUBSTITUTE(A224,"/"," "),"."," "),"\"," "),"_"," ")))&amp;" ")),1,0))+IF(Task!$A$17="",0,IF(ISNUMBER(SEARCH(" "&amp;Task!$A$17&amp;" "," "&amp;LOWER(D224&amp;" "&amp;C224&amp;" "&amp;LOWER(SUBSTITUTE(SUBSTITUTE(SUBSTITUTE(SUBSTITUTE(A224,"/"," "),"."," "),"\"," "),"_"," ")))&amp;" ")),1,0))+IF(Task!$A$18="",0,IF(ISNUMBER(SEARCH(" "&amp;Task!$A$18&amp;" "," "&amp;LOWER(D224&amp;" "&amp;C224&amp;" "&amp;LOWER(SUBSTITUTE(SUBSTITUTE(SUBSTITUTE(SUBSTITUTE(A224,"/"," "),"."," "),"\"," "),"_"," ")))&amp;" ")),1,0))+IF(Task!$A$19="",0,IF(ISNUMBER(SEARCH(" "&amp;Task!$A$19&amp;" "," "&amp;LOWER(D224&amp;" "&amp;C224&amp;" "&amp;LOWER(SUBSTITUTE(SUBSTITUTE(SUBSTITUTE(SUBSTITUTE(A224,"/"," "),"."," "),"\"," "),"_"," ")))&amp;" ")),1,0)))</f>
        <v/>
      </c>
      <c r="G224" s="9">
        <f>IF(E224=0,0,IF(Task!$A$8="",0,IF(ISNUMBER(SEARCH(" "&amp;Task!$A$8&amp;" "," "&amp;LOWER(C224)&amp;" ")),1,0))+IF(Task!$A$9="",0,IF(ISNUMBER(SEARCH(" "&amp;Task!$A$9&amp;" "," "&amp;LOWER(C224)&amp;" ")),1,0))+IF(Task!$A$10="",0,IF(ISNUMBER(SEARCH(" "&amp;Task!$A$10&amp;" "," "&amp;LOWER(C224)&amp;" ")),1,0))+IF(Task!$A$11="",0,IF(ISNUMBER(SEARCH(" "&amp;Task!$A$11&amp;" "," "&amp;LOWER(C224)&amp;" ")),1,0))+IF(Task!$A$12="",0,IF(ISNUMBER(SEARCH(" "&amp;Task!$A$12&amp;" "," "&amp;LOWER(C224)&amp;" ")),1,0))+IF(Task!$A$13="",0,IF(ISNUMBER(SEARCH(" "&amp;Task!$A$13&amp;" "," "&amp;LOWER(C224)&amp;" ")),1,0))+IF(Task!$A$14="",0,IF(ISNUMBER(SEARCH(" "&amp;Task!$A$14&amp;" "," "&amp;LOWER(C224)&amp;" ")),1,0))+IF(Task!$A$15="",0,IF(ISNUMBER(SEARCH(" "&amp;Task!$A$15&amp;" "," "&amp;LOWER(C224)&amp;" ")),1,0))+IF(Task!$A$16="",0,IF(ISNUMBER(SEARCH(" "&amp;Task!$A$16&amp;" "," "&amp;LOWER(C224)&amp;" ")),1,0))+IF(Task!$A$17="",0,IF(ISNUMBER(SEARCH(" "&amp;Task!$A$17&amp;" "," "&amp;LOWER(C224)&amp;" ")),1,0))+IF(Task!$A$18="",0,IF(ISNUMBER(SEARCH(" "&amp;Task!$A$18&amp;" "," "&amp;LOWER(C224)&amp;" ")),1,0))+IF(Task!$A$19="",0,IF(ISNUMBER(SEARCH(" "&amp;Task!$A$19&amp;" "," "&amp;LOWER(C224)&amp;" ")),1,0)))</f>
        <v/>
      </c>
      <c r="H224" s="9">
        <f>IF(E224=0,0,IF(Task!$A$8="",0,IF(ISNUMBER(SEARCH(" "&amp;Task!$A$8&amp;" "," "&amp;LOWER(SUBSTITUTE(SUBSTITUTE(SUBSTITUTE(SUBSTITUTE(A224,"/"," "),"."," "),"\"," "),"_"," "))&amp;" ")),1,0))+IF(Task!$A$9="",0,IF(ISNUMBER(SEARCH(" "&amp;Task!$A$9&amp;" "," "&amp;LOWER(SUBSTITUTE(SUBSTITUTE(SUBSTITUTE(SUBSTITUTE(A224,"/"," "),"."," "),"\"," "),"_"," "))&amp;" ")),1,0))+IF(Task!$A$10="",0,IF(ISNUMBER(SEARCH(" "&amp;Task!$A$10&amp;" "," "&amp;LOWER(SUBSTITUTE(SUBSTITUTE(SUBSTITUTE(SUBSTITUTE(A224,"/"," "),"."," "),"\"," "),"_"," "))&amp;" ")),1,0))+IF(Task!$A$11="",0,IF(ISNUMBER(SEARCH(" "&amp;Task!$A$11&amp;" "," "&amp;LOWER(SUBSTITUTE(SUBSTITUTE(SUBSTITUTE(SUBSTITUTE(A224,"/"," "),"."," "),"\"," "),"_"," "))&amp;" ")),1,0))+IF(Task!$A$12="",0,IF(ISNUMBER(SEARCH(" "&amp;Task!$A$12&amp;" "," "&amp;LOWER(SUBSTITUTE(SUBSTITUTE(SUBSTITUTE(SUBSTITUTE(A224,"/"," "),"."," "),"\"," "),"_"," "))&amp;" ")),1,0))+IF(Task!$A$13="",0,IF(ISNUMBER(SEARCH(" "&amp;Task!$A$13&amp;" "," "&amp;LOWER(SUBSTITUTE(SUBSTITUTE(SUBSTITUTE(SUBSTITUTE(A224,"/"," "),"."," "),"\"," "),"_"," "))&amp;" ")),1,0))+IF(Task!$A$14="",0,IF(ISNUMBER(SEARCH(" "&amp;Task!$A$14&amp;" "," "&amp;LOWER(SUBSTITUTE(SUBSTITUTE(SUBSTITUTE(SUBSTITUTE(A224,"/"," "),"."," "),"\"," "),"_"," "))&amp;" ")),1,0))+IF(Task!$A$15="",0,IF(ISNUMBER(SEARCH(" "&amp;Task!$A$15&amp;" "," "&amp;LOWER(SUBSTITUTE(SUBSTITUTE(SUBSTITUTE(SUBSTITUTE(A224,"/"," "),"."," "),"\"," "),"_"," "))&amp;" ")),1,0))+IF(Task!$A$16="",0,IF(ISNUMBER(SEARCH(" "&amp;Task!$A$16&amp;" "," "&amp;LOWER(SUBSTITUTE(SUBSTITUTE(SUBSTITUTE(SUBSTITUTE(A224,"/"," "),"."," "),"\"," "),"_"," "))&amp;" ")),1,0))+IF(Task!$A$17="",0,IF(ISNUMBER(SEARCH(" "&amp;Task!$A$17&amp;" "," "&amp;LOWER(SUBSTITUTE(SUBSTITUTE(SUBSTITUTE(SUBSTITUTE(A224,"/"," "),"."," "),"\"," "),"_"," "))&amp;" ")),1,0))+IF(Task!$A$18="",0,IF(ISNUMBER(SEARCH(" "&amp;Task!$A$18&amp;" "," "&amp;LOWER(SUBSTITUTE(SUBSTITUTE(SUBSTITUTE(SUBSTITUTE(A224,"/"," "),"."," "),"\"," "),"_"," "))&amp;" ")),1,0))+IF(Task!$A$19="",0,IF(ISNUMBER(SEARCH(" "&amp;Task!$A$19&amp;" "," "&amp;LOWER(SUBSTITUTE(SUBSTITUTE(SUBSTITUTE(SUBSTITUTE(A224,"/"," "),"."," "),"\"," "),"_"," "))&amp;" ")),1,0)))</f>
        <v/>
      </c>
      <c r="I224" s="10">
        <f>IF(OR(E224=0,F224=0,Task!$B$21=0),"",F224/Task!$B$21+0.5*G224+0.25*H224)</f>
        <v/>
      </c>
      <c r="J224" s="5">
        <f>IF(I224="","",I224-ROW()/1000000)</f>
        <v/>
      </c>
      <c r="K224" s="9">
        <f>IF(J224="","",COUNTIF($J$5:$J$404,"&gt;"&amp;J224)+1)</f>
        <v/>
      </c>
    </row>
    <row r="225">
      <c r="A225" s="7" t="n"/>
      <c r="B225" s="7" t="n"/>
      <c r="C225" s="7" t="n"/>
      <c r="D225" s="7" t="n"/>
      <c r="E225" s="5">
        <f>IF(A225="",0,IF(COUNTA(Task!$B$5:$E$5)=0,1,IF(COUNTIF(Task!$B$5:$E$5,B225)&gt;0,1,0)))</f>
        <v/>
      </c>
      <c r="F225" s="9">
        <f>IF(E225=0,0,IF(Task!$A$8="",0,IF(ISNUMBER(SEARCH(" "&amp;Task!$A$8&amp;" "," "&amp;LOWER(D225&amp;" "&amp;C225&amp;" "&amp;LOWER(SUBSTITUTE(SUBSTITUTE(SUBSTITUTE(SUBSTITUTE(A225,"/"," "),"."," "),"\"," "),"_"," ")))&amp;" ")),1,0))+IF(Task!$A$9="",0,IF(ISNUMBER(SEARCH(" "&amp;Task!$A$9&amp;" "," "&amp;LOWER(D225&amp;" "&amp;C225&amp;" "&amp;LOWER(SUBSTITUTE(SUBSTITUTE(SUBSTITUTE(SUBSTITUTE(A225,"/"," "),"."," "),"\"," "),"_"," ")))&amp;" ")),1,0))+IF(Task!$A$10="",0,IF(ISNUMBER(SEARCH(" "&amp;Task!$A$10&amp;" "," "&amp;LOWER(D225&amp;" "&amp;C225&amp;" "&amp;LOWER(SUBSTITUTE(SUBSTITUTE(SUBSTITUTE(SUBSTITUTE(A225,"/"," "),"."," "),"\"," "),"_"," ")))&amp;" ")),1,0))+IF(Task!$A$11="",0,IF(ISNUMBER(SEARCH(" "&amp;Task!$A$11&amp;" "," "&amp;LOWER(D225&amp;" "&amp;C225&amp;" "&amp;LOWER(SUBSTITUTE(SUBSTITUTE(SUBSTITUTE(SUBSTITUTE(A225,"/"," "),"."," "),"\"," "),"_"," ")))&amp;" ")),1,0))+IF(Task!$A$12="",0,IF(ISNUMBER(SEARCH(" "&amp;Task!$A$12&amp;" "," "&amp;LOWER(D225&amp;" "&amp;C225&amp;" "&amp;LOWER(SUBSTITUTE(SUBSTITUTE(SUBSTITUTE(SUBSTITUTE(A225,"/"," "),"."," "),"\"," "),"_"," ")))&amp;" ")),1,0))+IF(Task!$A$13="",0,IF(ISNUMBER(SEARCH(" "&amp;Task!$A$13&amp;" "," "&amp;LOWER(D225&amp;" "&amp;C225&amp;" "&amp;LOWER(SUBSTITUTE(SUBSTITUTE(SUBSTITUTE(SUBSTITUTE(A225,"/"," "),"."," "),"\"," "),"_"," ")))&amp;" ")),1,0))+IF(Task!$A$14="",0,IF(ISNUMBER(SEARCH(" "&amp;Task!$A$14&amp;" "," "&amp;LOWER(D225&amp;" "&amp;C225&amp;" "&amp;LOWER(SUBSTITUTE(SUBSTITUTE(SUBSTITUTE(SUBSTITUTE(A225,"/"," "),"."," "),"\"," "),"_"," ")))&amp;" ")),1,0))+IF(Task!$A$15="",0,IF(ISNUMBER(SEARCH(" "&amp;Task!$A$15&amp;" "," "&amp;LOWER(D225&amp;" "&amp;C225&amp;" "&amp;LOWER(SUBSTITUTE(SUBSTITUTE(SUBSTITUTE(SUBSTITUTE(A225,"/"," "),"."," "),"\"," "),"_"," ")))&amp;" ")),1,0))+IF(Task!$A$16="",0,IF(ISNUMBER(SEARCH(" "&amp;Task!$A$16&amp;" "," "&amp;LOWER(D225&amp;" "&amp;C225&amp;" "&amp;LOWER(SUBSTITUTE(SUBSTITUTE(SUBSTITUTE(SUBSTITUTE(A225,"/"," "),"."," "),"\"," "),"_"," ")))&amp;" ")),1,0))+IF(Task!$A$17="",0,IF(ISNUMBER(SEARCH(" "&amp;Task!$A$17&amp;" "," "&amp;LOWER(D225&amp;" "&amp;C225&amp;" "&amp;LOWER(SUBSTITUTE(SUBSTITUTE(SUBSTITUTE(SUBSTITUTE(A225,"/"," "),"."," "),"\"," "),"_"," ")))&amp;" ")),1,0))+IF(Task!$A$18="",0,IF(ISNUMBER(SEARCH(" "&amp;Task!$A$18&amp;" "," "&amp;LOWER(D225&amp;" "&amp;C225&amp;" "&amp;LOWER(SUBSTITUTE(SUBSTITUTE(SUBSTITUTE(SUBSTITUTE(A225,"/"," "),"."," "),"\"," "),"_"," ")))&amp;" ")),1,0))+IF(Task!$A$19="",0,IF(ISNUMBER(SEARCH(" "&amp;Task!$A$19&amp;" "," "&amp;LOWER(D225&amp;" "&amp;C225&amp;" "&amp;LOWER(SUBSTITUTE(SUBSTITUTE(SUBSTITUTE(SUBSTITUTE(A225,"/"," "),"."," "),"\"," "),"_"," ")))&amp;" ")),1,0)))</f>
        <v/>
      </c>
      <c r="G225" s="9">
        <f>IF(E225=0,0,IF(Task!$A$8="",0,IF(ISNUMBER(SEARCH(" "&amp;Task!$A$8&amp;" "," "&amp;LOWER(C225)&amp;" ")),1,0))+IF(Task!$A$9="",0,IF(ISNUMBER(SEARCH(" "&amp;Task!$A$9&amp;" "," "&amp;LOWER(C225)&amp;" ")),1,0))+IF(Task!$A$10="",0,IF(ISNUMBER(SEARCH(" "&amp;Task!$A$10&amp;" "," "&amp;LOWER(C225)&amp;" ")),1,0))+IF(Task!$A$11="",0,IF(ISNUMBER(SEARCH(" "&amp;Task!$A$11&amp;" "," "&amp;LOWER(C225)&amp;" ")),1,0))+IF(Task!$A$12="",0,IF(ISNUMBER(SEARCH(" "&amp;Task!$A$12&amp;" "," "&amp;LOWER(C225)&amp;" ")),1,0))+IF(Task!$A$13="",0,IF(ISNUMBER(SEARCH(" "&amp;Task!$A$13&amp;" "," "&amp;LOWER(C225)&amp;" ")),1,0))+IF(Task!$A$14="",0,IF(ISNUMBER(SEARCH(" "&amp;Task!$A$14&amp;" "," "&amp;LOWER(C225)&amp;" ")),1,0))+IF(Task!$A$15="",0,IF(ISNUMBER(SEARCH(" "&amp;Task!$A$15&amp;" "," "&amp;LOWER(C225)&amp;" ")),1,0))+IF(Task!$A$16="",0,IF(ISNUMBER(SEARCH(" "&amp;Task!$A$16&amp;" "," "&amp;LOWER(C225)&amp;" ")),1,0))+IF(Task!$A$17="",0,IF(ISNUMBER(SEARCH(" "&amp;Task!$A$17&amp;" "," "&amp;LOWER(C225)&amp;" ")),1,0))+IF(Task!$A$18="",0,IF(ISNUMBER(SEARCH(" "&amp;Task!$A$18&amp;" "," "&amp;LOWER(C225)&amp;" ")),1,0))+IF(Task!$A$19="",0,IF(ISNUMBER(SEARCH(" "&amp;Task!$A$19&amp;" "," "&amp;LOWER(C225)&amp;" ")),1,0)))</f>
        <v/>
      </c>
      <c r="H225" s="9">
        <f>IF(E225=0,0,IF(Task!$A$8="",0,IF(ISNUMBER(SEARCH(" "&amp;Task!$A$8&amp;" "," "&amp;LOWER(SUBSTITUTE(SUBSTITUTE(SUBSTITUTE(SUBSTITUTE(A225,"/"," "),"."," "),"\"," "),"_"," "))&amp;" ")),1,0))+IF(Task!$A$9="",0,IF(ISNUMBER(SEARCH(" "&amp;Task!$A$9&amp;" "," "&amp;LOWER(SUBSTITUTE(SUBSTITUTE(SUBSTITUTE(SUBSTITUTE(A225,"/"," "),"."," "),"\"," "),"_"," "))&amp;" ")),1,0))+IF(Task!$A$10="",0,IF(ISNUMBER(SEARCH(" "&amp;Task!$A$10&amp;" "," "&amp;LOWER(SUBSTITUTE(SUBSTITUTE(SUBSTITUTE(SUBSTITUTE(A225,"/"," "),"."," "),"\"," "),"_"," "))&amp;" ")),1,0))+IF(Task!$A$11="",0,IF(ISNUMBER(SEARCH(" "&amp;Task!$A$11&amp;" "," "&amp;LOWER(SUBSTITUTE(SUBSTITUTE(SUBSTITUTE(SUBSTITUTE(A225,"/"," "),"."," "),"\"," "),"_"," "))&amp;" ")),1,0))+IF(Task!$A$12="",0,IF(ISNUMBER(SEARCH(" "&amp;Task!$A$12&amp;" "," "&amp;LOWER(SUBSTITUTE(SUBSTITUTE(SUBSTITUTE(SUBSTITUTE(A225,"/"," "),"."," "),"\"," "),"_"," "))&amp;" ")),1,0))+IF(Task!$A$13="",0,IF(ISNUMBER(SEARCH(" "&amp;Task!$A$13&amp;" "," "&amp;LOWER(SUBSTITUTE(SUBSTITUTE(SUBSTITUTE(SUBSTITUTE(A225,"/"," "),"."," "),"\"," "),"_"," "))&amp;" ")),1,0))+IF(Task!$A$14="",0,IF(ISNUMBER(SEARCH(" "&amp;Task!$A$14&amp;" "," "&amp;LOWER(SUBSTITUTE(SUBSTITUTE(SUBSTITUTE(SUBSTITUTE(A225,"/"," "),"."," "),"\"," "),"_"," "))&amp;" ")),1,0))+IF(Task!$A$15="",0,IF(ISNUMBER(SEARCH(" "&amp;Task!$A$15&amp;" "," "&amp;LOWER(SUBSTITUTE(SUBSTITUTE(SUBSTITUTE(SUBSTITUTE(A225,"/"," "),"."," "),"\"," "),"_"," "))&amp;" ")),1,0))+IF(Task!$A$16="",0,IF(ISNUMBER(SEARCH(" "&amp;Task!$A$16&amp;" "," "&amp;LOWER(SUBSTITUTE(SUBSTITUTE(SUBSTITUTE(SUBSTITUTE(A225,"/"," "),"."," "),"\"," "),"_"," "))&amp;" ")),1,0))+IF(Task!$A$17="",0,IF(ISNUMBER(SEARCH(" "&amp;Task!$A$17&amp;" "," "&amp;LOWER(SUBSTITUTE(SUBSTITUTE(SUBSTITUTE(SUBSTITUTE(A225,"/"," "),"."," "),"\"," "),"_"," "))&amp;" ")),1,0))+IF(Task!$A$18="",0,IF(ISNUMBER(SEARCH(" "&amp;Task!$A$18&amp;" "," "&amp;LOWER(SUBSTITUTE(SUBSTITUTE(SUBSTITUTE(SUBSTITUTE(A225,"/"," "),"."," "),"\"," "),"_"," "))&amp;" ")),1,0))+IF(Task!$A$19="",0,IF(ISNUMBER(SEARCH(" "&amp;Task!$A$19&amp;" "," "&amp;LOWER(SUBSTITUTE(SUBSTITUTE(SUBSTITUTE(SUBSTITUTE(A225,"/"," "),"."," "),"\"," "),"_"," "))&amp;" ")),1,0)))</f>
        <v/>
      </c>
      <c r="I225" s="10">
        <f>IF(OR(E225=0,F225=0,Task!$B$21=0),"",F225/Task!$B$21+0.5*G225+0.25*H225)</f>
        <v/>
      </c>
      <c r="J225" s="5">
        <f>IF(I225="","",I225-ROW()/1000000)</f>
        <v/>
      </c>
      <c r="K225" s="9">
        <f>IF(J225="","",COUNTIF($J$5:$J$404,"&gt;"&amp;J225)+1)</f>
        <v/>
      </c>
    </row>
    <row r="226">
      <c r="A226" s="7" t="n"/>
      <c r="B226" s="7" t="n"/>
      <c r="C226" s="7" t="n"/>
      <c r="D226" s="7" t="n"/>
      <c r="E226" s="5">
        <f>IF(A226="",0,IF(COUNTA(Task!$B$5:$E$5)=0,1,IF(COUNTIF(Task!$B$5:$E$5,B226)&gt;0,1,0)))</f>
        <v/>
      </c>
      <c r="F226" s="9">
        <f>IF(E226=0,0,IF(Task!$A$8="",0,IF(ISNUMBER(SEARCH(" "&amp;Task!$A$8&amp;" "," "&amp;LOWER(D226&amp;" "&amp;C226&amp;" "&amp;LOWER(SUBSTITUTE(SUBSTITUTE(SUBSTITUTE(SUBSTITUTE(A226,"/"," "),"."," "),"\"," "),"_"," ")))&amp;" ")),1,0))+IF(Task!$A$9="",0,IF(ISNUMBER(SEARCH(" "&amp;Task!$A$9&amp;" "," "&amp;LOWER(D226&amp;" "&amp;C226&amp;" "&amp;LOWER(SUBSTITUTE(SUBSTITUTE(SUBSTITUTE(SUBSTITUTE(A226,"/"," "),"."," "),"\"," "),"_"," ")))&amp;" ")),1,0))+IF(Task!$A$10="",0,IF(ISNUMBER(SEARCH(" "&amp;Task!$A$10&amp;" "," "&amp;LOWER(D226&amp;" "&amp;C226&amp;" "&amp;LOWER(SUBSTITUTE(SUBSTITUTE(SUBSTITUTE(SUBSTITUTE(A226,"/"," "),"."," "),"\"," "),"_"," ")))&amp;" ")),1,0))+IF(Task!$A$11="",0,IF(ISNUMBER(SEARCH(" "&amp;Task!$A$11&amp;" "," "&amp;LOWER(D226&amp;" "&amp;C226&amp;" "&amp;LOWER(SUBSTITUTE(SUBSTITUTE(SUBSTITUTE(SUBSTITUTE(A226,"/"," "),"."," "),"\"," "),"_"," ")))&amp;" ")),1,0))+IF(Task!$A$12="",0,IF(ISNUMBER(SEARCH(" "&amp;Task!$A$12&amp;" "," "&amp;LOWER(D226&amp;" "&amp;C226&amp;" "&amp;LOWER(SUBSTITUTE(SUBSTITUTE(SUBSTITUTE(SUBSTITUTE(A226,"/"," "),"."," "),"\"," "),"_"," ")))&amp;" ")),1,0))+IF(Task!$A$13="",0,IF(ISNUMBER(SEARCH(" "&amp;Task!$A$13&amp;" "," "&amp;LOWER(D226&amp;" "&amp;C226&amp;" "&amp;LOWER(SUBSTITUTE(SUBSTITUTE(SUBSTITUTE(SUBSTITUTE(A226,"/"," "),"."," "),"\"," "),"_"," ")))&amp;" ")),1,0))+IF(Task!$A$14="",0,IF(ISNUMBER(SEARCH(" "&amp;Task!$A$14&amp;" "," "&amp;LOWER(D226&amp;" "&amp;C226&amp;" "&amp;LOWER(SUBSTITUTE(SUBSTITUTE(SUBSTITUTE(SUBSTITUTE(A226,"/"," "),"."," "),"\"," "),"_"," ")))&amp;" ")),1,0))+IF(Task!$A$15="",0,IF(ISNUMBER(SEARCH(" "&amp;Task!$A$15&amp;" "," "&amp;LOWER(D226&amp;" "&amp;C226&amp;" "&amp;LOWER(SUBSTITUTE(SUBSTITUTE(SUBSTITUTE(SUBSTITUTE(A226,"/"," "),"."," "),"\"," "),"_"," ")))&amp;" ")),1,0))+IF(Task!$A$16="",0,IF(ISNUMBER(SEARCH(" "&amp;Task!$A$16&amp;" "," "&amp;LOWER(D226&amp;" "&amp;C226&amp;" "&amp;LOWER(SUBSTITUTE(SUBSTITUTE(SUBSTITUTE(SUBSTITUTE(A226,"/"," "),"."," "),"\"," "),"_"," ")))&amp;" ")),1,0))+IF(Task!$A$17="",0,IF(ISNUMBER(SEARCH(" "&amp;Task!$A$17&amp;" "," "&amp;LOWER(D226&amp;" "&amp;C226&amp;" "&amp;LOWER(SUBSTITUTE(SUBSTITUTE(SUBSTITUTE(SUBSTITUTE(A226,"/"," "),"."," "),"\"," "),"_"," ")))&amp;" ")),1,0))+IF(Task!$A$18="",0,IF(ISNUMBER(SEARCH(" "&amp;Task!$A$18&amp;" "," "&amp;LOWER(D226&amp;" "&amp;C226&amp;" "&amp;LOWER(SUBSTITUTE(SUBSTITUTE(SUBSTITUTE(SUBSTITUTE(A226,"/"," "),"."," "),"\"," "),"_"," ")))&amp;" ")),1,0))+IF(Task!$A$19="",0,IF(ISNUMBER(SEARCH(" "&amp;Task!$A$19&amp;" "," "&amp;LOWER(D226&amp;" "&amp;C226&amp;" "&amp;LOWER(SUBSTITUTE(SUBSTITUTE(SUBSTITUTE(SUBSTITUTE(A226,"/"," "),"."," "),"\"," "),"_"," ")))&amp;" ")),1,0)))</f>
        <v/>
      </c>
      <c r="G226" s="9">
        <f>IF(E226=0,0,IF(Task!$A$8="",0,IF(ISNUMBER(SEARCH(" "&amp;Task!$A$8&amp;" "," "&amp;LOWER(C226)&amp;" ")),1,0))+IF(Task!$A$9="",0,IF(ISNUMBER(SEARCH(" "&amp;Task!$A$9&amp;" "," "&amp;LOWER(C226)&amp;" ")),1,0))+IF(Task!$A$10="",0,IF(ISNUMBER(SEARCH(" "&amp;Task!$A$10&amp;" "," "&amp;LOWER(C226)&amp;" ")),1,0))+IF(Task!$A$11="",0,IF(ISNUMBER(SEARCH(" "&amp;Task!$A$11&amp;" "," "&amp;LOWER(C226)&amp;" ")),1,0))+IF(Task!$A$12="",0,IF(ISNUMBER(SEARCH(" "&amp;Task!$A$12&amp;" "," "&amp;LOWER(C226)&amp;" ")),1,0))+IF(Task!$A$13="",0,IF(ISNUMBER(SEARCH(" "&amp;Task!$A$13&amp;" "," "&amp;LOWER(C226)&amp;" ")),1,0))+IF(Task!$A$14="",0,IF(ISNUMBER(SEARCH(" "&amp;Task!$A$14&amp;" "," "&amp;LOWER(C226)&amp;" ")),1,0))+IF(Task!$A$15="",0,IF(ISNUMBER(SEARCH(" "&amp;Task!$A$15&amp;" "," "&amp;LOWER(C226)&amp;" ")),1,0))+IF(Task!$A$16="",0,IF(ISNUMBER(SEARCH(" "&amp;Task!$A$16&amp;" "," "&amp;LOWER(C226)&amp;" ")),1,0))+IF(Task!$A$17="",0,IF(ISNUMBER(SEARCH(" "&amp;Task!$A$17&amp;" "," "&amp;LOWER(C226)&amp;" ")),1,0))+IF(Task!$A$18="",0,IF(ISNUMBER(SEARCH(" "&amp;Task!$A$18&amp;" "," "&amp;LOWER(C226)&amp;" ")),1,0))+IF(Task!$A$19="",0,IF(ISNUMBER(SEARCH(" "&amp;Task!$A$19&amp;" "," "&amp;LOWER(C226)&amp;" ")),1,0)))</f>
        <v/>
      </c>
      <c r="H226" s="9">
        <f>IF(E226=0,0,IF(Task!$A$8="",0,IF(ISNUMBER(SEARCH(" "&amp;Task!$A$8&amp;" "," "&amp;LOWER(SUBSTITUTE(SUBSTITUTE(SUBSTITUTE(SUBSTITUTE(A226,"/"," "),"."," "),"\"," "),"_"," "))&amp;" ")),1,0))+IF(Task!$A$9="",0,IF(ISNUMBER(SEARCH(" "&amp;Task!$A$9&amp;" "," "&amp;LOWER(SUBSTITUTE(SUBSTITUTE(SUBSTITUTE(SUBSTITUTE(A226,"/"," "),"."," "),"\"," "),"_"," "))&amp;" ")),1,0))+IF(Task!$A$10="",0,IF(ISNUMBER(SEARCH(" "&amp;Task!$A$10&amp;" "," "&amp;LOWER(SUBSTITUTE(SUBSTITUTE(SUBSTITUTE(SUBSTITUTE(A226,"/"," "),"."," "),"\"," "),"_"," "))&amp;" ")),1,0))+IF(Task!$A$11="",0,IF(ISNUMBER(SEARCH(" "&amp;Task!$A$11&amp;" "," "&amp;LOWER(SUBSTITUTE(SUBSTITUTE(SUBSTITUTE(SUBSTITUTE(A226,"/"," "),"."," "),"\"," "),"_"," "))&amp;" ")),1,0))+IF(Task!$A$12="",0,IF(ISNUMBER(SEARCH(" "&amp;Task!$A$12&amp;" "," "&amp;LOWER(SUBSTITUTE(SUBSTITUTE(SUBSTITUTE(SUBSTITUTE(A226,"/"," "),"."," "),"\"," "),"_"," "))&amp;" ")),1,0))+IF(Task!$A$13="",0,IF(ISNUMBER(SEARCH(" "&amp;Task!$A$13&amp;" "," "&amp;LOWER(SUBSTITUTE(SUBSTITUTE(SUBSTITUTE(SUBSTITUTE(A226,"/"," "),"."," "),"\"," "),"_"," "))&amp;" ")),1,0))+IF(Task!$A$14="",0,IF(ISNUMBER(SEARCH(" "&amp;Task!$A$14&amp;" "," "&amp;LOWER(SUBSTITUTE(SUBSTITUTE(SUBSTITUTE(SUBSTITUTE(A226,"/"," "),"."," "),"\"," "),"_"," "))&amp;" ")),1,0))+IF(Task!$A$15="",0,IF(ISNUMBER(SEARCH(" "&amp;Task!$A$15&amp;" "," "&amp;LOWER(SUBSTITUTE(SUBSTITUTE(SUBSTITUTE(SUBSTITUTE(A226,"/"," "),"."," "),"\"," "),"_"," "))&amp;" ")),1,0))+IF(Task!$A$16="",0,IF(ISNUMBER(SEARCH(" "&amp;Task!$A$16&amp;" "," "&amp;LOWER(SUBSTITUTE(SUBSTITUTE(SUBSTITUTE(SUBSTITUTE(A226,"/"," "),"."," "),"\"," "),"_"," "))&amp;" ")),1,0))+IF(Task!$A$17="",0,IF(ISNUMBER(SEARCH(" "&amp;Task!$A$17&amp;" "," "&amp;LOWER(SUBSTITUTE(SUBSTITUTE(SUBSTITUTE(SUBSTITUTE(A226,"/"," "),"."," "),"\"," "),"_"," "))&amp;" ")),1,0))+IF(Task!$A$18="",0,IF(ISNUMBER(SEARCH(" "&amp;Task!$A$18&amp;" "," "&amp;LOWER(SUBSTITUTE(SUBSTITUTE(SUBSTITUTE(SUBSTITUTE(A226,"/"," "),"."," "),"\"," "),"_"," "))&amp;" ")),1,0))+IF(Task!$A$19="",0,IF(ISNUMBER(SEARCH(" "&amp;Task!$A$19&amp;" "," "&amp;LOWER(SUBSTITUTE(SUBSTITUTE(SUBSTITUTE(SUBSTITUTE(A226,"/"," "),"."," "),"\"," "),"_"," "))&amp;" ")),1,0)))</f>
        <v/>
      </c>
      <c r="I226" s="10">
        <f>IF(OR(E226=0,F226=0,Task!$B$21=0),"",F226/Task!$B$21+0.5*G226+0.25*H226)</f>
        <v/>
      </c>
      <c r="J226" s="5">
        <f>IF(I226="","",I226-ROW()/1000000)</f>
        <v/>
      </c>
      <c r="K226" s="9">
        <f>IF(J226="","",COUNTIF($J$5:$J$404,"&gt;"&amp;J226)+1)</f>
        <v/>
      </c>
    </row>
    <row r="227">
      <c r="A227" s="7" t="n"/>
      <c r="B227" s="7" t="n"/>
      <c r="C227" s="7" t="n"/>
      <c r="D227" s="7" t="n"/>
      <c r="E227" s="5">
        <f>IF(A227="",0,IF(COUNTA(Task!$B$5:$E$5)=0,1,IF(COUNTIF(Task!$B$5:$E$5,B227)&gt;0,1,0)))</f>
        <v/>
      </c>
      <c r="F227" s="9">
        <f>IF(E227=0,0,IF(Task!$A$8="",0,IF(ISNUMBER(SEARCH(" "&amp;Task!$A$8&amp;" "," "&amp;LOWER(D227&amp;" "&amp;C227&amp;" "&amp;LOWER(SUBSTITUTE(SUBSTITUTE(SUBSTITUTE(SUBSTITUTE(A227,"/"," "),"."," "),"\"," "),"_"," ")))&amp;" ")),1,0))+IF(Task!$A$9="",0,IF(ISNUMBER(SEARCH(" "&amp;Task!$A$9&amp;" "," "&amp;LOWER(D227&amp;" "&amp;C227&amp;" "&amp;LOWER(SUBSTITUTE(SUBSTITUTE(SUBSTITUTE(SUBSTITUTE(A227,"/"," "),"."," "),"\"," "),"_"," ")))&amp;" ")),1,0))+IF(Task!$A$10="",0,IF(ISNUMBER(SEARCH(" "&amp;Task!$A$10&amp;" "," "&amp;LOWER(D227&amp;" "&amp;C227&amp;" "&amp;LOWER(SUBSTITUTE(SUBSTITUTE(SUBSTITUTE(SUBSTITUTE(A227,"/"," "),"."," "),"\"," "),"_"," ")))&amp;" ")),1,0))+IF(Task!$A$11="",0,IF(ISNUMBER(SEARCH(" "&amp;Task!$A$11&amp;" "," "&amp;LOWER(D227&amp;" "&amp;C227&amp;" "&amp;LOWER(SUBSTITUTE(SUBSTITUTE(SUBSTITUTE(SUBSTITUTE(A227,"/"," "),"."," "),"\"," "),"_"," ")))&amp;" ")),1,0))+IF(Task!$A$12="",0,IF(ISNUMBER(SEARCH(" "&amp;Task!$A$12&amp;" "," "&amp;LOWER(D227&amp;" "&amp;C227&amp;" "&amp;LOWER(SUBSTITUTE(SUBSTITUTE(SUBSTITUTE(SUBSTITUTE(A227,"/"," "),"."," "),"\"," "),"_"," ")))&amp;" ")),1,0))+IF(Task!$A$13="",0,IF(ISNUMBER(SEARCH(" "&amp;Task!$A$13&amp;" "," "&amp;LOWER(D227&amp;" "&amp;C227&amp;" "&amp;LOWER(SUBSTITUTE(SUBSTITUTE(SUBSTITUTE(SUBSTITUTE(A227,"/"," "),"."," "),"\"," "),"_"," ")))&amp;" ")),1,0))+IF(Task!$A$14="",0,IF(ISNUMBER(SEARCH(" "&amp;Task!$A$14&amp;" "," "&amp;LOWER(D227&amp;" "&amp;C227&amp;" "&amp;LOWER(SUBSTITUTE(SUBSTITUTE(SUBSTITUTE(SUBSTITUTE(A227,"/"," "),"."," "),"\"," "),"_"," ")))&amp;" ")),1,0))+IF(Task!$A$15="",0,IF(ISNUMBER(SEARCH(" "&amp;Task!$A$15&amp;" "," "&amp;LOWER(D227&amp;" "&amp;C227&amp;" "&amp;LOWER(SUBSTITUTE(SUBSTITUTE(SUBSTITUTE(SUBSTITUTE(A227,"/"," "),"."," "),"\"," "),"_"," ")))&amp;" ")),1,0))+IF(Task!$A$16="",0,IF(ISNUMBER(SEARCH(" "&amp;Task!$A$16&amp;" "," "&amp;LOWER(D227&amp;" "&amp;C227&amp;" "&amp;LOWER(SUBSTITUTE(SUBSTITUTE(SUBSTITUTE(SUBSTITUTE(A227,"/"," "),"."," "),"\"," "),"_"," ")))&amp;" ")),1,0))+IF(Task!$A$17="",0,IF(ISNUMBER(SEARCH(" "&amp;Task!$A$17&amp;" "," "&amp;LOWER(D227&amp;" "&amp;C227&amp;" "&amp;LOWER(SUBSTITUTE(SUBSTITUTE(SUBSTITUTE(SUBSTITUTE(A227,"/"," "),"."," "),"\"," "),"_"," ")))&amp;" ")),1,0))+IF(Task!$A$18="",0,IF(ISNUMBER(SEARCH(" "&amp;Task!$A$18&amp;" "," "&amp;LOWER(D227&amp;" "&amp;C227&amp;" "&amp;LOWER(SUBSTITUTE(SUBSTITUTE(SUBSTITUTE(SUBSTITUTE(A227,"/"," "),"."," "),"\"," "),"_"," ")))&amp;" ")),1,0))+IF(Task!$A$19="",0,IF(ISNUMBER(SEARCH(" "&amp;Task!$A$19&amp;" "," "&amp;LOWER(D227&amp;" "&amp;C227&amp;" "&amp;LOWER(SUBSTITUTE(SUBSTITUTE(SUBSTITUTE(SUBSTITUTE(A227,"/"," "),"."," "),"\"," "),"_"," ")))&amp;" ")),1,0)))</f>
        <v/>
      </c>
      <c r="G227" s="9">
        <f>IF(E227=0,0,IF(Task!$A$8="",0,IF(ISNUMBER(SEARCH(" "&amp;Task!$A$8&amp;" "," "&amp;LOWER(C227)&amp;" ")),1,0))+IF(Task!$A$9="",0,IF(ISNUMBER(SEARCH(" "&amp;Task!$A$9&amp;" "," "&amp;LOWER(C227)&amp;" ")),1,0))+IF(Task!$A$10="",0,IF(ISNUMBER(SEARCH(" "&amp;Task!$A$10&amp;" "," "&amp;LOWER(C227)&amp;" ")),1,0))+IF(Task!$A$11="",0,IF(ISNUMBER(SEARCH(" "&amp;Task!$A$11&amp;" "," "&amp;LOWER(C227)&amp;" ")),1,0))+IF(Task!$A$12="",0,IF(ISNUMBER(SEARCH(" "&amp;Task!$A$12&amp;" "," "&amp;LOWER(C227)&amp;" ")),1,0))+IF(Task!$A$13="",0,IF(ISNUMBER(SEARCH(" "&amp;Task!$A$13&amp;" "," "&amp;LOWER(C227)&amp;" ")),1,0))+IF(Task!$A$14="",0,IF(ISNUMBER(SEARCH(" "&amp;Task!$A$14&amp;" "," "&amp;LOWER(C227)&amp;" ")),1,0))+IF(Task!$A$15="",0,IF(ISNUMBER(SEARCH(" "&amp;Task!$A$15&amp;" "," "&amp;LOWER(C227)&amp;" ")),1,0))+IF(Task!$A$16="",0,IF(ISNUMBER(SEARCH(" "&amp;Task!$A$16&amp;" "," "&amp;LOWER(C227)&amp;" ")),1,0))+IF(Task!$A$17="",0,IF(ISNUMBER(SEARCH(" "&amp;Task!$A$17&amp;" "," "&amp;LOWER(C227)&amp;" ")),1,0))+IF(Task!$A$18="",0,IF(ISNUMBER(SEARCH(" "&amp;Task!$A$18&amp;" "," "&amp;LOWER(C227)&amp;" ")),1,0))+IF(Task!$A$19="",0,IF(ISNUMBER(SEARCH(" "&amp;Task!$A$19&amp;" "," "&amp;LOWER(C227)&amp;" ")),1,0)))</f>
        <v/>
      </c>
      <c r="H227" s="9">
        <f>IF(E227=0,0,IF(Task!$A$8="",0,IF(ISNUMBER(SEARCH(" "&amp;Task!$A$8&amp;" "," "&amp;LOWER(SUBSTITUTE(SUBSTITUTE(SUBSTITUTE(SUBSTITUTE(A227,"/"," "),"."," "),"\"," "),"_"," "))&amp;" ")),1,0))+IF(Task!$A$9="",0,IF(ISNUMBER(SEARCH(" "&amp;Task!$A$9&amp;" "," "&amp;LOWER(SUBSTITUTE(SUBSTITUTE(SUBSTITUTE(SUBSTITUTE(A227,"/"," "),"."," "),"\"," "),"_"," "))&amp;" ")),1,0))+IF(Task!$A$10="",0,IF(ISNUMBER(SEARCH(" "&amp;Task!$A$10&amp;" "," "&amp;LOWER(SUBSTITUTE(SUBSTITUTE(SUBSTITUTE(SUBSTITUTE(A227,"/"," "),"."," "),"\"," "),"_"," "))&amp;" ")),1,0))+IF(Task!$A$11="",0,IF(ISNUMBER(SEARCH(" "&amp;Task!$A$11&amp;" "," "&amp;LOWER(SUBSTITUTE(SUBSTITUTE(SUBSTITUTE(SUBSTITUTE(A227,"/"," "),"."," "),"\"," "),"_"," "))&amp;" ")),1,0))+IF(Task!$A$12="",0,IF(ISNUMBER(SEARCH(" "&amp;Task!$A$12&amp;" "," "&amp;LOWER(SUBSTITUTE(SUBSTITUTE(SUBSTITUTE(SUBSTITUTE(A227,"/"," "),"."," "),"\"," "),"_"," "))&amp;" ")),1,0))+IF(Task!$A$13="",0,IF(ISNUMBER(SEARCH(" "&amp;Task!$A$13&amp;" "," "&amp;LOWER(SUBSTITUTE(SUBSTITUTE(SUBSTITUTE(SUBSTITUTE(A227,"/"," "),"."," "),"\"," "),"_"," "))&amp;" ")),1,0))+IF(Task!$A$14="",0,IF(ISNUMBER(SEARCH(" "&amp;Task!$A$14&amp;" "," "&amp;LOWER(SUBSTITUTE(SUBSTITUTE(SUBSTITUTE(SUBSTITUTE(A227,"/"," "),"."," "),"\"," "),"_"," "))&amp;" ")),1,0))+IF(Task!$A$15="",0,IF(ISNUMBER(SEARCH(" "&amp;Task!$A$15&amp;" "," "&amp;LOWER(SUBSTITUTE(SUBSTITUTE(SUBSTITUTE(SUBSTITUTE(A227,"/"," "),"."," "),"\"," "),"_"," "))&amp;" ")),1,0))+IF(Task!$A$16="",0,IF(ISNUMBER(SEARCH(" "&amp;Task!$A$16&amp;" "," "&amp;LOWER(SUBSTITUTE(SUBSTITUTE(SUBSTITUTE(SUBSTITUTE(A227,"/"," "),"."," "),"\"," "),"_"," "))&amp;" ")),1,0))+IF(Task!$A$17="",0,IF(ISNUMBER(SEARCH(" "&amp;Task!$A$17&amp;" "," "&amp;LOWER(SUBSTITUTE(SUBSTITUTE(SUBSTITUTE(SUBSTITUTE(A227,"/"," "),"."," "),"\"," "),"_"," "))&amp;" ")),1,0))+IF(Task!$A$18="",0,IF(ISNUMBER(SEARCH(" "&amp;Task!$A$18&amp;" "," "&amp;LOWER(SUBSTITUTE(SUBSTITUTE(SUBSTITUTE(SUBSTITUTE(A227,"/"," "),"."," "),"\"," "),"_"," "))&amp;" ")),1,0))+IF(Task!$A$19="",0,IF(ISNUMBER(SEARCH(" "&amp;Task!$A$19&amp;" "," "&amp;LOWER(SUBSTITUTE(SUBSTITUTE(SUBSTITUTE(SUBSTITUTE(A227,"/"," "),"."," "),"\"," "),"_"," "))&amp;" ")),1,0)))</f>
        <v/>
      </c>
      <c r="I227" s="10">
        <f>IF(OR(E227=0,F227=0,Task!$B$21=0),"",F227/Task!$B$21+0.5*G227+0.25*H227)</f>
        <v/>
      </c>
      <c r="J227" s="5">
        <f>IF(I227="","",I227-ROW()/1000000)</f>
        <v/>
      </c>
      <c r="K227" s="9">
        <f>IF(J227="","",COUNTIF($J$5:$J$404,"&gt;"&amp;J227)+1)</f>
        <v/>
      </c>
    </row>
    <row r="228">
      <c r="A228" s="7" t="n"/>
      <c r="B228" s="7" t="n"/>
      <c r="C228" s="7" t="n"/>
      <c r="D228" s="7" t="n"/>
      <c r="E228" s="5">
        <f>IF(A228="",0,IF(COUNTA(Task!$B$5:$E$5)=0,1,IF(COUNTIF(Task!$B$5:$E$5,B228)&gt;0,1,0)))</f>
        <v/>
      </c>
      <c r="F228" s="9">
        <f>IF(E228=0,0,IF(Task!$A$8="",0,IF(ISNUMBER(SEARCH(" "&amp;Task!$A$8&amp;" "," "&amp;LOWER(D228&amp;" "&amp;C228&amp;" "&amp;LOWER(SUBSTITUTE(SUBSTITUTE(SUBSTITUTE(SUBSTITUTE(A228,"/"," "),"."," "),"\"," "),"_"," ")))&amp;" ")),1,0))+IF(Task!$A$9="",0,IF(ISNUMBER(SEARCH(" "&amp;Task!$A$9&amp;" "," "&amp;LOWER(D228&amp;" "&amp;C228&amp;" "&amp;LOWER(SUBSTITUTE(SUBSTITUTE(SUBSTITUTE(SUBSTITUTE(A228,"/"," "),"."," "),"\"," "),"_"," ")))&amp;" ")),1,0))+IF(Task!$A$10="",0,IF(ISNUMBER(SEARCH(" "&amp;Task!$A$10&amp;" "," "&amp;LOWER(D228&amp;" "&amp;C228&amp;" "&amp;LOWER(SUBSTITUTE(SUBSTITUTE(SUBSTITUTE(SUBSTITUTE(A228,"/"," "),"."," "),"\"," "),"_"," ")))&amp;" ")),1,0))+IF(Task!$A$11="",0,IF(ISNUMBER(SEARCH(" "&amp;Task!$A$11&amp;" "," "&amp;LOWER(D228&amp;" "&amp;C228&amp;" "&amp;LOWER(SUBSTITUTE(SUBSTITUTE(SUBSTITUTE(SUBSTITUTE(A228,"/"," "),"."," "),"\"," "),"_"," ")))&amp;" ")),1,0))+IF(Task!$A$12="",0,IF(ISNUMBER(SEARCH(" "&amp;Task!$A$12&amp;" "," "&amp;LOWER(D228&amp;" "&amp;C228&amp;" "&amp;LOWER(SUBSTITUTE(SUBSTITUTE(SUBSTITUTE(SUBSTITUTE(A228,"/"," "),"."," "),"\"," "),"_"," ")))&amp;" ")),1,0))+IF(Task!$A$13="",0,IF(ISNUMBER(SEARCH(" "&amp;Task!$A$13&amp;" "," "&amp;LOWER(D228&amp;" "&amp;C228&amp;" "&amp;LOWER(SUBSTITUTE(SUBSTITUTE(SUBSTITUTE(SUBSTITUTE(A228,"/"," "),"."," "),"\"," "),"_"," ")))&amp;" ")),1,0))+IF(Task!$A$14="",0,IF(ISNUMBER(SEARCH(" "&amp;Task!$A$14&amp;" "," "&amp;LOWER(D228&amp;" "&amp;C228&amp;" "&amp;LOWER(SUBSTITUTE(SUBSTITUTE(SUBSTITUTE(SUBSTITUTE(A228,"/"," "),"."," "),"\"," "),"_"," ")))&amp;" ")),1,0))+IF(Task!$A$15="",0,IF(ISNUMBER(SEARCH(" "&amp;Task!$A$15&amp;" "," "&amp;LOWER(D228&amp;" "&amp;C228&amp;" "&amp;LOWER(SUBSTITUTE(SUBSTITUTE(SUBSTITUTE(SUBSTITUTE(A228,"/"," "),"."," "),"\"," "),"_"," ")))&amp;" ")),1,0))+IF(Task!$A$16="",0,IF(ISNUMBER(SEARCH(" "&amp;Task!$A$16&amp;" "," "&amp;LOWER(D228&amp;" "&amp;C228&amp;" "&amp;LOWER(SUBSTITUTE(SUBSTITUTE(SUBSTITUTE(SUBSTITUTE(A228,"/"," "),"."," "),"\"," "),"_"," ")))&amp;" ")),1,0))+IF(Task!$A$17="",0,IF(ISNUMBER(SEARCH(" "&amp;Task!$A$17&amp;" "," "&amp;LOWER(D228&amp;" "&amp;C228&amp;" "&amp;LOWER(SUBSTITUTE(SUBSTITUTE(SUBSTITUTE(SUBSTITUTE(A228,"/"," "),"."," "),"\"," "),"_"," ")))&amp;" ")),1,0))+IF(Task!$A$18="",0,IF(ISNUMBER(SEARCH(" "&amp;Task!$A$18&amp;" "," "&amp;LOWER(D228&amp;" "&amp;C228&amp;" "&amp;LOWER(SUBSTITUTE(SUBSTITUTE(SUBSTITUTE(SUBSTITUTE(A228,"/"," "),"."," "),"\"," "),"_"," ")))&amp;" ")),1,0))+IF(Task!$A$19="",0,IF(ISNUMBER(SEARCH(" "&amp;Task!$A$19&amp;" "," "&amp;LOWER(D228&amp;" "&amp;C228&amp;" "&amp;LOWER(SUBSTITUTE(SUBSTITUTE(SUBSTITUTE(SUBSTITUTE(A228,"/"," "),"."," "),"\"," "),"_"," ")))&amp;" ")),1,0)))</f>
        <v/>
      </c>
      <c r="G228" s="9">
        <f>IF(E228=0,0,IF(Task!$A$8="",0,IF(ISNUMBER(SEARCH(" "&amp;Task!$A$8&amp;" "," "&amp;LOWER(C228)&amp;" ")),1,0))+IF(Task!$A$9="",0,IF(ISNUMBER(SEARCH(" "&amp;Task!$A$9&amp;" "," "&amp;LOWER(C228)&amp;" ")),1,0))+IF(Task!$A$10="",0,IF(ISNUMBER(SEARCH(" "&amp;Task!$A$10&amp;" "," "&amp;LOWER(C228)&amp;" ")),1,0))+IF(Task!$A$11="",0,IF(ISNUMBER(SEARCH(" "&amp;Task!$A$11&amp;" "," "&amp;LOWER(C228)&amp;" ")),1,0))+IF(Task!$A$12="",0,IF(ISNUMBER(SEARCH(" "&amp;Task!$A$12&amp;" "," "&amp;LOWER(C228)&amp;" ")),1,0))+IF(Task!$A$13="",0,IF(ISNUMBER(SEARCH(" "&amp;Task!$A$13&amp;" "," "&amp;LOWER(C228)&amp;" ")),1,0))+IF(Task!$A$14="",0,IF(ISNUMBER(SEARCH(" "&amp;Task!$A$14&amp;" "," "&amp;LOWER(C228)&amp;" ")),1,0))+IF(Task!$A$15="",0,IF(ISNUMBER(SEARCH(" "&amp;Task!$A$15&amp;" "," "&amp;LOWER(C228)&amp;" ")),1,0))+IF(Task!$A$16="",0,IF(ISNUMBER(SEARCH(" "&amp;Task!$A$16&amp;" "," "&amp;LOWER(C228)&amp;" ")),1,0))+IF(Task!$A$17="",0,IF(ISNUMBER(SEARCH(" "&amp;Task!$A$17&amp;" "," "&amp;LOWER(C228)&amp;" ")),1,0))+IF(Task!$A$18="",0,IF(ISNUMBER(SEARCH(" "&amp;Task!$A$18&amp;" "," "&amp;LOWER(C228)&amp;" ")),1,0))+IF(Task!$A$19="",0,IF(ISNUMBER(SEARCH(" "&amp;Task!$A$19&amp;" "," "&amp;LOWER(C228)&amp;" ")),1,0)))</f>
        <v/>
      </c>
      <c r="H228" s="9">
        <f>IF(E228=0,0,IF(Task!$A$8="",0,IF(ISNUMBER(SEARCH(" "&amp;Task!$A$8&amp;" "," "&amp;LOWER(SUBSTITUTE(SUBSTITUTE(SUBSTITUTE(SUBSTITUTE(A228,"/"," "),"."," "),"\"," "),"_"," "))&amp;" ")),1,0))+IF(Task!$A$9="",0,IF(ISNUMBER(SEARCH(" "&amp;Task!$A$9&amp;" "," "&amp;LOWER(SUBSTITUTE(SUBSTITUTE(SUBSTITUTE(SUBSTITUTE(A228,"/"," "),"."," "),"\"," "),"_"," "))&amp;" ")),1,0))+IF(Task!$A$10="",0,IF(ISNUMBER(SEARCH(" "&amp;Task!$A$10&amp;" "," "&amp;LOWER(SUBSTITUTE(SUBSTITUTE(SUBSTITUTE(SUBSTITUTE(A228,"/"," "),"."," "),"\"," "),"_"," "))&amp;" ")),1,0))+IF(Task!$A$11="",0,IF(ISNUMBER(SEARCH(" "&amp;Task!$A$11&amp;" "," "&amp;LOWER(SUBSTITUTE(SUBSTITUTE(SUBSTITUTE(SUBSTITUTE(A228,"/"," "),"."," "),"\"," "),"_"," "))&amp;" ")),1,0))+IF(Task!$A$12="",0,IF(ISNUMBER(SEARCH(" "&amp;Task!$A$12&amp;" "," "&amp;LOWER(SUBSTITUTE(SUBSTITUTE(SUBSTITUTE(SUBSTITUTE(A228,"/"," "),"."," "),"\"," "),"_"," "))&amp;" ")),1,0))+IF(Task!$A$13="",0,IF(ISNUMBER(SEARCH(" "&amp;Task!$A$13&amp;" "," "&amp;LOWER(SUBSTITUTE(SUBSTITUTE(SUBSTITUTE(SUBSTITUTE(A228,"/"," "),"."," "),"\"," "),"_"," "))&amp;" ")),1,0))+IF(Task!$A$14="",0,IF(ISNUMBER(SEARCH(" "&amp;Task!$A$14&amp;" "," "&amp;LOWER(SUBSTITUTE(SUBSTITUTE(SUBSTITUTE(SUBSTITUTE(A228,"/"," "),"."," "),"\"," "),"_"," "))&amp;" ")),1,0))+IF(Task!$A$15="",0,IF(ISNUMBER(SEARCH(" "&amp;Task!$A$15&amp;" "," "&amp;LOWER(SUBSTITUTE(SUBSTITUTE(SUBSTITUTE(SUBSTITUTE(A228,"/"," "),"."," "),"\"," "),"_"," "))&amp;" ")),1,0))+IF(Task!$A$16="",0,IF(ISNUMBER(SEARCH(" "&amp;Task!$A$16&amp;" "," "&amp;LOWER(SUBSTITUTE(SUBSTITUTE(SUBSTITUTE(SUBSTITUTE(A228,"/"," "),"."," "),"\"," "),"_"," "))&amp;" ")),1,0))+IF(Task!$A$17="",0,IF(ISNUMBER(SEARCH(" "&amp;Task!$A$17&amp;" "," "&amp;LOWER(SUBSTITUTE(SUBSTITUTE(SUBSTITUTE(SUBSTITUTE(A228,"/"," "),"."," "),"\"," "),"_"," "))&amp;" ")),1,0))+IF(Task!$A$18="",0,IF(ISNUMBER(SEARCH(" "&amp;Task!$A$18&amp;" "," "&amp;LOWER(SUBSTITUTE(SUBSTITUTE(SUBSTITUTE(SUBSTITUTE(A228,"/"," "),"."," "),"\"," "),"_"," "))&amp;" ")),1,0))+IF(Task!$A$19="",0,IF(ISNUMBER(SEARCH(" "&amp;Task!$A$19&amp;" "," "&amp;LOWER(SUBSTITUTE(SUBSTITUTE(SUBSTITUTE(SUBSTITUTE(A228,"/"," "),"."," "),"\"," "),"_"," "))&amp;" ")),1,0)))</f>
        <v/>
      </c>
      <c r="I228" s="10">
        <f>IF(OR(E228=0,F228=0,Task!$B$21=0),"",F228/Task!$B$21+0.5*G228+0.25*H228)</f>
        <v/>
      </c>
      <c r="J228" s="5">
        <f>IF(I228="","",I228-ROW()/1000000)</f>
        <v/>
      </c>
      <c r="K228" s="9">
        <f>IF(J228="","",COUNTIF($J$5:$J$404,"&gt;"&amp;J228)+1)</f>
        <v/>
      </c>
    </row>
    <row r="229">
      <c r="A229" s="7" t="n"/>
      <c r="B229" s="7" t="n"/>
      <c r="C229" s="7" t="n"/>
      <c r="D229" s="7" t="n"/>
      <c r="E229" s="5">
        <f>IF(A229="",0,IF(COUNTA(Task!$B$5:$E$5)=0,1,IF(COUNTIF(Task!$B$5:$E$5,B229)&gt;0,1,0)))</f>
        <v/>
      </c>
      <c r="F229" s="9">
        <f>IF(E229=0,0,IF(Task!$A$8="",0,IF(ISNUMBER(SEARCH(" "&amp;Task!$A$8&amp;" "," "&amp;LOWER(D229&amp;" "&amp;C229&amp;" "&amp;LOWER(SUBSTITUTE(SUBSTITUTE(SUBSTITUTE(SUBSTITUTE(A229,"/"," "),"."," "),"\"," "),"_"," ")))&amp;" ")),1,0))+IF(Task!$A$9="",0,IF(ISNUMBER(SEARCH(" "&amp;Task!$A$9&amp;" "," "&amp;LOWER(D229&amp;" "&amp;C229&amp;" "&amp;LOWER(SUBSTITUTE(SUBSTITUTE(SUBSTITUTE(SUBSTITUTE(A229,"/"," "),"."," "),"\"," "),"_"," ")))&amp;" ")),1,0))+IF(Task!$A$10="",0,IF(ISNUMBER(SEARCH(" "&amp;Task!$A$10&amp;" "," "&amp;LOWER(D229&amp;" "&amp;C229&amp;" "&amp;LOWER(SUBSTITUTE(SUBSTITUTE(SUBSTITUTE(SUBSTITUTE(A229,"/"," "),"."," "),"\"," "),"_"," ")))&amp;" ")),1,0))+IF(Task!$A$11="",0,IF(ISNUMBER(SEARCH(" "&amp;Task!$A$11&amp;" "," "&amp;LOWER(D229&amp;" "&amp;C229&amp;" "&amp;LOWER(SUBSTITUTE(SUBSTITUTE(SUBSTITUTE(SUBSTITUTE(A229,"/"," "),"."," "),"\"," "),"_"," ")))&amp;" ")),1,0))+IF(Task!$A$12="",0,IF(ISNUMBER(SEARCH(" "&amp;Task!$A$12&amp;" "," "&amp;LOWER(D229&amp;" "&amp;C229&amp;" "&amp;LOWER(SUBSTITUTE(SUBSTITUTE(SUBSTITUTE(SUBSTITUTE(A229,"/"," "),"."," "),"\"," "),"_"," ")))&amp;" ")),1,0))+IF(Task!$A$13="",0,IF(ISNUMBER(SEARCH(" "&amp;Task!$A$13&amp;" "," "&amp;LOWER(D229&amp;" "&amp;C229&amp;" "&amp;LOWER(SUBSTITUTE(SUBSTITUTE(SUBSTITUTE(SUBSTITUTE(A229,"/"," "),"."," "),"\"," "),"_"," ")))&amp;" ")),1,0))+IF(Task!$A$14="",0,IF(ISNUMBER(SEARCH(" "&amp;Task!$A$14&amp;" "," "&amp;LOWER(D229&amp;" "&amp;C229&amp;" "&amp;LOWER(SUBSTITUTE(SUBSTITUTE(SUBSTITUTE(SUBSTITUTE(A229,"/"," "),"."," "),"\"," "),"_"," ")))&amp;" ")),1,0))+IF(Task!$A$15="",0,IF(ISNUMBER(SEARCH(" "&amp;Task!$A$15&amp;" "," "&amp;LOWER(D229&amp;" "&amp;C229&amp;" "&amp;LOWER(SUBSTITUTE(SUBSTITUTE(SUBSTITUTE(SUBSTITUTE(A229,"/"," "),"."," "),"\"," "),"_"," ")))&amp;" ")),1,0))+IF(Task!$A$16="",0,IF(ISNUMBER(SEARCH(" "&amp;Task!$A$16&amp;" "," "&amp;LOWER(D229&amp;" "&amp;C229&amp;" "&amp;LOWER(SUBSTITUTE(SUBSTITUTE(SUBSTITUTE(SUBSTITUTE(A229,"/"," "),"."," "),"\"," "),"_"," ")))&amp;" ")),1,0))+IF(Task!$A$17="",0,IF(ISNUMBER(SEARCH(" "&amp;Task!$A$17&amp;" "," "&amp;LOWER(D229&amp;" "&amp;C229&amp;" "&amp;LOWER(SUBSTITUTE(SUBSTITUTE(SUBSTITUTE(SUBSTITUTE(A229,"/"," "),"."," "),"\"," "),"_"," ")))&amp;" ")),1,0))+IF(Task!$A$18="",0,IF(ISNUMBER(SEARCH(" "&amp;Task!$A$18&amp;" "," "&amp;LOWER(D229&amp;" "&amp;C229&amp;" "&amp;LOWER(SUBSTITUTE(SUBSTITUTE(SUBSTITUTE(SUBSTITUTE(A229,"/"," "),"."," "),"\"," "),"_"," ")))&amp;" ")),1,0))+IF(Task!$A$19="",0,IF(ISNUMBER(SEARCH(" "&amp;Task!$A$19&amp;" "," "&amp;LOWER(D229&amp;" "&amp;C229&amp;" "&amp;LOWER(SUBSTITUTE(SUBSTITUTE(SUBSTITUTE(SUBSTITUTE(A229,"/"," "),"."," "),"\"," "),"_"," ")))&amp;" ")),1,0)))</f>
        <v/>
      </c>
      <c r="G229" s="9">
        <f>IF(E229=0,0,IF(Task!$A$8="",0,IF(ISNUMBER(SEARCH(" "&amp;Task!$A$8&amp;" "," "&amp;LOWER(C229)&amp;" ")),1,0))+IF(Task!$A$9="",0,IF(ISNUMBER(SEARCH(" "&amp;Task!$A$9&amp;" "," "&amp;LOWER(C229)&amp;" ")),1,0))+IF(Task!$A$10="",0,IF(ISNUMBER(SEARCH(" "&amp;Task!$A$10&amp;" "," "&amp;LOWER(C229)&amp;" ")),1,0))+IF(Task!$A$11="",0,IF(ISNUMBER(SEARCH(" "&amp;Task!$A$11&amp;" "," "&amp;LOWER(C229)&amp;" ")),1,0))+IF(Task!$A$12="",0,IF(ISNUMBER(SEARCH(" "&amp;Task!$A$12&amp;" "," "&amp;LOWER(C229)&amp;" ")),1,0))+IF(Task!$A$13="",0,IF(ISNUMBER(SEARCH(" "&amp;Task!$A$13&amp;" "," "&amp;LOWER(C229)&amp;" ")),1,0))+IF(Task!$A$14="",0,IF(ISNUMBER(SEARCH(" "&amp;Task!$A$14&amp;" "," "&amp;LOWER(C229)&amp;" ")),1,0))+IF(Task!$A$15="",0,IF(ISNUMBER(SEARCH(" "&amp;Task!$A$15&amp;" "," "&amp;LOWER(C229)&amp;" ")),1,0))+IF(Task!$A$16="",0,IF(ISNUMBER(SEARCH(" "&amp;Task!$A$16&amp;" "," "&amp;LOWER(C229)&amp;" ")),1,0))+IF(Task!$A$17="",0,IF(ISNUMBER(SEARCH(" "&amp;Task!$A$17&amp;" "," "&amp;LOWER(C229)&amp;" ")),1,0))+IF(Task!$A$18="",0,IF(ISNUMBER(SEARCH(" "&amp;Task!$A$18&amp;" "," "&amp;LOWER(C229)&amp;" ")),1,0))+IF(Task!$A$19="",0,IF(ISNUMBER(SEARCH(" "&amp;Task!$A$19&amp;" "," "&amp;LOWER(C229)&amp;" ")),1,0)))</f>
        <v/>
      </c>
      <c r="H229" s="9">
        <f>IF(E229=0,0,IF(Task!$A$8="",0,IF(ISNUMBER(SEARCH(" "&amp;Task!$A$8&amp;" "," "&amp;LOWER(SUBSTITUTE(SUBSTITUTE(SUBSTITUTE(SUBSTITUTE(A229,"/"," "),"."," "),"\"," "),"_"," "))&amp;" ")),1,0))+IF(Task!$A$9="",0,IF(ISNUMBER(SEARCH(" "&amp;Task!$A$9&amp;" "," "&amp;LOWER(SUBSTITUTE(SUBSTITUTE(SUBSTITUTE(SUBSTITUTE(A229,"/"," "),"."," "),"\"," "),"_"," "))&amp;" ")),1,0))+IF(Task!$A$10="",0,IF(ISNUMBER(SEARCH(" "&amp;Task!$A$10&amp;" "," "&amp;LOWER(SUBSTITUTE(SUBSTITUTE(SUBSTITUTE(SUBSTITUTE(A229,"/"," "),"."," "),"\"," "),"_"," "))&amp;" ")),1,0))+IF(Task!$A$11="",0,IF(ISNUMBER(SEARCH(" "&amp;Task!$A$11&amp;" "," "&amp;LOWER(SUBSTITUTE(SUBSTITUTE(SUBSTITUTE(SUBSTITUTE(A229,"/"," "),"."," "),"\"," "),"_"," "))&amp;" ")),1,0))+IF(Task!$A$12="",0,IF(ISNUMBER(SEARCH(" "&amp;Task!$A$12&amp;" "," "&amp;LOWER(SUBSTITUTE(SUBSTITUTE(SUBSTITUTE(SUBSTITUTE(A229,"/"," "),"."," "),"\"," "),"_"," "))&amp;" ")),1,0))+IF(Task!$A$13="",0,IF(ISNUMBER(SEARCH(" "&amp;Task!$A$13&amp;" "," "&amp;LOWER(SUBSTITUTE(SUBSTITUTE(SUBSTITUTE(SUBSTITUTE(A229,"/"," "),"."," "),"\"," "),"_"," "))&amp;" ")),1,0))+IF(Task!$A$14="",0,IF(ISNUMBER(SEARCH(" "&amp;Task!$A$14&amp;" "," "&amp;LOWER(SUBSTITUTE(SUBSTITUTE(SUBSTITUTE(SUBSTITUTE(A229,"/"," "),"."," "),"\"," "),"_"," "))&amp;" ")),1,0))+IF(Task!$A$15="",0,IF(ISNUMBER(SEARCH(" "&amp;Task!$A$15&amp;" "," "&amp;LOWER(SUBSTITUTE(SUBSTITUTE(SUBSTITUTE(SUBSTITUTE(A229,"/"," "),"."," "),"\"," "),"_"," "))&amp;" ")),1,0))+IF(Task!$A$16="",0,IF(ISNUMBER(SEARCH(" "&amp;Task!$A$16&amp;" "," "&amp;LOWER(SUBSTITUTE(SUBSTITUTE(SUBSTITUTE(SUBSTITUTE(A229,"/"," "),"."," "),"\"," "),"_"," "))&amp;" ")),1,0))+IF(Task!$A$17="",0,IF(ISNUMBER(SEARCH(" "&amp;Task!$A$17&amp;" "," "&amp;LOWER(SUBSTITUTE(SUBSTITUTE(SUBSTITUTE(SUBSTITUTE(A229,"/"," "),"."," "),"\"," "),"_"," "))&amp;" ")),1,0))+IF(Task!$A$18="",0,IF(ISNUMBER(SEARCH(" "&amp;Task!$A$18&amp;" "," "&amp;LOWER(SUBSTITUTE(SUBSTITUTE(SUBSTITUTE(SUBSTITUTE(A229,"/"," "),"."," "),"\"," "),"_"," "))&amp;" ")),1,0))+IF(Task!$A$19="",0,IF(ISNUMBER(SEARCH(" "&amp;Task!$A$19&amp;" "," "&amp;LOWER(SUBSTITUTE(SUBSTITUTE(SUBSTITUTE(SUBSTITUTE(A229,"/"," "),"."," "),"\"," "),"_"," "))&amp;" ")),1,0)))</f>
        <v/>
      </c>
      <c r="I229" s="10">
        <f>IF(OR(E229=0,F229=0,Task!$B$21=0),"",F229/Task!$B$21+0.5*G229+0.25*H229)</f>
        <v/>
      </c>
      <c r="J229" s="5">
        <f>IF(I229="","",I229-ROW()/1000000)</f>
        <v/>
      </c>
      <c r="K229" s="9">
        <f>IF(J229="","",COUNTIF($J$5:$J$404,"&gt;"&amp;J229)+1)</f>
        <v/>
      </c>
    </row>
    <row r="230">
      <c r="A230" s="7" t="n"/>
      <c r="B230" s="7" t="n"/>
      <c r="C230" s="7" t="n"/>
      <c r="D230" s="7" t="n"/>
      <c r="E230" s="5">
        <f>IF(A230="",0,IF(COUNTA(Task!$B$5:$E$5)=0,1,IF(COUNTIF(Task!$B$5:$E$5,B230)&gt;0,1,0)))</f>
        <v/>
      </c>
      <c r="F230" s="9">
        <f>IF(E230=0,0,IF(Task!$A$8="",0,IF(ISNUMBER(SEARCH(" "&amp;Task!$A$8&amp;" "," "&amp;LOWER(D230&amp;" "&amp;C230&amp;" "&amp;LOWER(SUBSTITUTE(SUBSTITUTE(SUBSTITUTE(SUBSTITUTE(A230,"/"," "),"."," "),"\"," "),"_"," ")))&amp;" ")),1,0))+IF(Task!$A$9="",0,IF(ISNUMBER(SEARCH(" "&amp;Task!$A$9&amp;" "," "&amp;LOWER(D230&amp;" "&amp;C230&amp;" "&amp;LOWER(SUBSTITUTE(SUBSTITUTE(SUBSTITUTE(SUBSTITUTE(A230,"/"," "),"."," "),"\"," "),"_"," ")))&amp;" ")),1,0))+IF(Task!$A$10="",0,IF(ISNUMBER(SEARCH(" "&amp;Task!$A$10&amp;" "," "&amp;LOWER(D230&amp;" "&amp;C230&amp;" "&amp;LOWER(SUBSTITUTE(SUBSTITUTE(SUBSTITUTE(SUBSTITUTE(A230,"/"," "),"."," "),"\"," "),"_"," ")))&amp;" ")),1,0))+IF(Task!$A$11="",0,IF(ISNUMBER(SEARCH(" "&amp;Task!$A$11&amp;" "," "&amp;LOWER(D230&amp;" "&amp;C230&amp;" "&amp;LOWER(SUBSTITUTE(SUBSTITUTE(SUBSTITUTE(SUBSTITUTE(A230,"/"," "),"."," "),"\"," "),"_"," ")))&amp;" ")),1,0))+IF(Task!$A$12="",0,IF(ISNUMBER(SEARCH(" "&amp;Task!$A$12&amp;" "," "&amp;LOWER(D230&amp;" "&amp;C230&amp;" "&amp;LOWER(SUBSTITUTE(SUBSTITUTE(SUBSTITUTE(SUBSTITUTE(A230,"/"," "),"."," "),"\"," "),"_"," ")))&amp;" ")),1,0))+IF(Task!$A$13="",0,IF(ISNUMBER(SEARCH(" "&amp;Task!$A$13&amp;" "," "&amp;LOWER(D230&amp;" "&amp;C230&amp;" "&amp;LOWER(SUBSTITUTE(SUBSTITUTE(SUBSTITUTE(SUBSTITUTE(A230,"/"," "),"."," "),"\"," "),"_"," ")))&amp;" ")),1,0))+IF(Task!$A$14="",0,IF(ISNUMBER(SEARCH(" "&amp;Task!$A$14&amp;" "," "&amp;LOWER(D230&amp;" "&amp;C230&amp;" "&amp;LOWER(SUBSTITUTE(SUBSTITUTE(SUBSTITUTE(SUBSTITUTE(A230,"/"," "),"."," "),"\"," "),"_"," ")))&amp;" ")),1,0))+IF(Task!$A$15="",0,IF(ISNUMBER(SEARCH(" "&amp;Task!$A$15&amp;" "," "&amp;LOWER(D230&amp;" "&amp;C230&amp;" "&amp;LOWER(SUBSTITUTE(SUBSTITUTE(SUBSTITUTE(SUBSTITUTE(A230,"/"," "),"."," "),"\"," "),"_"," ")))&amp;" ")),1,0))+IF(Task!$A$16="",0,IF(ISNUMBER(SEARCH(" "&amp;Task!$A$16&amp;" "," "&amp;LOWER(D230&amp;" "&amp;C230&amp;" "&amp;LOWER(SUBSTITUTE(SUBSTITUTE(SUBSTITUTE(SUBSTITUTE(A230,"/"," "),"."," "),"\"," "),"_"," ")))&amp;" ")),1,0))+IF(Task!$A$17="",0,IF(ISNUMBER(SEARCH(" "&amp;Task!$A$17&amp;" "," "&amp;LOWER(D230&amp;" "&amp;C230&amp;" "&amp;LOWER(SUBSTITUTE(SUBSTITUTE(SUBSTITUTE(SUBSTITUTE(A230,"/"," "),"."," "),"\"," "),"_"," ")))&amp;" ")),1,0))+IF(Task!$A$18="",0,IF(ISNUMBER(SEARCH(" "&amp;Task!$A$18&amp;" "," "&amp;LOWER(D230&amp;" "&amp;C230&amp;" "&amp;LOWER(SUBSTITUTE(SUBSTITUTE(SUBSTITUTE(SUBSTITUTE(A230,"/"," "),"."," "),"\"," "),"_"," ")))&amp;" ")),1,0))+IF(Task!$A$19="",0,IF(ISNUMBER(SEARCH(" "&amp;Task!$A$19&amp;" "," "&amp;LOWER(D230&amp;" "&amp;C230&amp;" "&amp;LOWER(SUBSTITUTE(SUBSTITUTE(SUBSTITUTE(SUBSTITUTE(A230,"/"," "),"."," "),"\"," "),"_"," ")))&amp;" ")),1,0)))</f>
        <v/>
      </c>
      <c r="G230" s="9">
        <f>IF(E230=0,0,IF(Task!$A$8="",0,IF(ISNUMBER(SEARCH(" "&amp;Task!$A$8&amp;" "," "&amp;LOWER(C230)&amp;" ")),1,0))+IF(Task!$A$9="",0,IF(ISNUMBER(SEARCH(" "&amp;Task!$A$9&amp;" "," "&amp;LOWER(C230)&amp;" ")),1,0))+IF(Task!$A$10="",0,IF(ISNUMBER(SEARCH(" "&amp;Task!$A$10&amp;" "," "&amp;LOWER(C230)&amp;" ")),1,0))+IF(Task!$A$11="",0,IF(ISNUMBER(SEARCH(" "&amp;Task!$A$11&amp;" "," "&amp;LOWER(C230)&amp;" ")),1,0))+IF(Task!$A$12="",0,IF(ISNUMBER(SEARCH(" "&amp;Task!$A$12&amp;" "," "&amp;LOWER(C230)&amp;" ")),1,0))+IF(Task!$A$13="",0,IF(ISNUMBER(SEARCH(" "&amp;Task!$A$13&amp;" "," "&amp;LOWER(C230)&amp;" ")),1,0))+IF(Task!$A$14="",0,IF(ISNUMBER(SEARCH(" "&amp;Task!$A$14&amp;" "," "&amp;LOWER(C230)&amp;" ")),1,0))+IF(Task!$A$15="",0,IF(ISNUMBER(SEARCH(" "&amp;Task!$A$15&amp;" "," "&amp;LOWER(C230)&amp;" ")),1,0))+IF(Task!$A$16="",0,IF(ISNUMBER(SEARCH(" "&amp;Task!$A$16&amp;" "," "&amp;LOWER(C230)&amp;" ")),1,0))+IF(Task!$A$17="",0,IF(ISNUMBER(SEARCH(" "&amp;Task!$A$17&amp;" "," "&amp;LOWER(C230)&amp;" ")),1,0))+IF(Task!$A$18="",0,IF(ISNUMBER(SEARCH(" "&amp;Task!$A$18&amp;" "," "&amp;LOWER(C230)&amp;" ")),1,0))+IF(Task!$A$19="",0,IF(ISNUMBER(SEARCH(" "&amp;Task!$A$19&amp;" "," "&amp;LOWER(C230)&amp;" ")),1,0)))</f>
        <v/>
      </c>
      <c r="H230" s="9">
        <f>IF(E230=0,0,IF(Task!$A$8="",0,IF(ISNUMBER(SEARCH(" "&amp;Task!$A$8&amp;" "," "&amp;LOWER(SUBSTITUTE(SUBSTITUTE(SUBSTITUTE(SUBSTITUTE(A230,"/"," "),"."," "),"\"," "),"_"," "))&amp;" ")),1,0))+IF(Task!$A$9="",0,IF(ISNUMBER(SEARCH(" "&amp;Task!$A$9&amp;" "," "&amp;LOWER(SUBSTITUTE(SUBSTITUTE(SUBSTITUTE(SUBSTITUTE(A230,"/"," "),"."," "),"\"," "),"_"," "))&amp;" ")),1,0))+IF(Task!$A$10="",0,IF(ISNUMBER(SEARCH(" "&amp;Task!$A$10&amp;" "," "&amp;LOWER(SUBSTITUTE(SUBSTITUTE(SUBSTITUTE(SUBSTITUTE(A230,"/"," "),"."," "),"\"," "),"_"," "))&amp;" ")),1,0))+IF(Task!$A$11="",0,IF(ISNUMBER(SEARCH(" "&amp;Task!$A$11&amp;" "," "&amp;LOWER(SUBSTITUTE(SUBSTITUTE(SUBSTITUTE(SUBSTITUTE(A230,"/"," "),"."," "),"\"," "),"_"," "))&amp;" ")),1,0))+IF(Task!$A$12="",0,IF(ISNUMBER(SEARCH(" "&amp;Task!$A$12&amp;" "," "&amp;LOWER(SUBSTITUTE(SUBSTITUTE(SUBSTITUTE(SUBSTITUTE(A230,"/"," "),"."," "),"\"," "),"_"," "))&amp;" ")),1,0))+IF(Task!$A$13="",0,IF(ISNUMBER(SEARCH(" "&amp;Task!$A$13&amp;" "," "&amp;LOWER(SUBSTITUTE(SUBSTITUTE(SUBSTITUTE(SUBSTITUTE(A230,"/"," "),"."," "),"\"," "),"_"," "))&amp;" ")),1,0))+IF(Task!$A$14="",0,IF(ISNUMBER(SEARCH(" "&amp;Task!$A$14&amp;" "," "&amp;LOWER(SUBSTITUTE(SUBSTITUTE(SUBSTITUTE(SUBSTITUTE(A230,"/"," "),"."," "),"\"," "),"_"," "))&amp;" ")),1,0))+IF(Task!$A$15="",0,IF(ISNUMBER(SEARCH(" "&amp;Task!$A$15&amp;" "," "&amp;LOWER(SUBSTITUTE(SUBSTITUTE(SUBSTITUTE(SUBSTITUTE(A230,"/"," "),"."," "),"\"," "),"_"," "))&amp;" ")),1,0))+IF(Task!$A$16="",0,IF(ISNUMBER(SEARCH(" "&amp;Task!$A$16&amp;" "," "&amp;LOWER(SUBSTITUTE(SUBSTITUTE(SUBSTITUTE(SUBSTITUTE(A230,"/"," "),"."," "),"\"," "),"_"," "))&amp;" ")),1,0))+IF(Task!$A$17="",0,IF(ISNUMBER(SEARCH(" "&amp;Task!$A$17&amp;" "," "&amp;LOWER(SUBSTITUTE(SUBSTITUTE(SUBSTITUTE(SUBSTITUTE(A230,"/"," "),"."," "),"\"," "),"_"," "))&amp;" ")),1,0))+IF(Task!$A$18="",0,IF(ISNUMBER(SEARCH(" "&amp;Task!$A$18&amp;" "," "&amp;LOWER(SUBSTITUTE(SUBSTITUTE(SUBSTITUTE(SUBSTITUTE(A230,"/"," "),"."," "),"\"," "),"_"," "))&amp;" ")),1,0))+IF(Task!$A$19="",0,IF(ISNUMBER(SEARCH(" "&amp;Task!$A$19&amp;" "," "&amp;LOWER(SUBSTITUTE(SUBSTITUTE(SUBSTITUTE(SUBSTITUTE(A230,"/"," "),"."," "),"\"," "),"_"," "))&amp;" ")),1,0)))</f>
        <v/>
      </c>
      <c r="I230" s="10">
        <f>IF(OR(E230=0,F230=0,Task!$B$21=0),"",F230/Task!$B$21+0.5*G230+0.25*H230)</f>
        <v/>
      </c>
      <c r="J230" s="5">
        <f>IF(I230="","",I230-ROW()/1000000)</f>
        <v/>
      </c>
      <c r="K230" s="9">
        <f>IF(J230="","",COUNTIF($J$5:$J$404,"&gt;"&amp;J230)+1)</f>
        <v/>
      </c>
    </row>
    <row r="231">
      <c r="A231" s="7" t="n"/>
      <c r="B231" s="7" t="n"/>
      <c r="C231" s="7" t="n"/>
      <c r="D231" s="7" t="n"/>
      <c r="E231" s="5">
        <f>IF(A231="",0,IF(COUNTA(Task!$B$5:$E$5)=0,1,IF(COUNTIF(Task!$B$5:$E$5,B231)&gt;0,1,0)))</f>
        <v/>
      </c>
      <c r="F231" s="9">
        <f>IF(E231=0,0,IF(Task!$A$8="",0,IF(ISNUMBER(SEARCH(" "&amp;Task!$A$8&amp;" "," "&amp;LOWER(D231&amp;" "&amp;C231&amp;" "&amp;LOWER(SUBSTITUTE(SUBSTITUTE(SUBSTITUTE(SUBSTITUTE(A231,"/"," "),"."," "),"\"," "),"_"," ")))&amp;" ")),1,0))+IF(Task!$A$9="",0,IF(ISNUMBER(SEARCH(" "&amp;Task!$A$9&amp;" "," "&amp;LOWER(D231&amp;" "&amp;C231&amp;" "&amp;LOWER(SUBSTITUTE(SUBSTITUTE(SUBSTITUTE(SUBSTITUTE(A231,"/"," "),"."," "),"\"," "),"_"," ")))&amp;" ")),1,0))+IF(Task!$A$10="",0,IF(ISNUMBER(SEARCH(" "&amp;Task!$A$10&amp;" "," "&amp;LOWER(D231&amp;" "&amp;C231&amp;" "&amp;LOWER(SUBSTITUTE(SUBSTITUTE(SUBSTITUTE(SUBSTITUTE(A231,"/"," "),"."," "),"\"," "),"_"," ")))&amp;" ")),1,0))+IF(Task!$A$11="",0,IF(ISNUMBER(SEARCH(" "&amp;Task!$A$11&amp;" "," "&amp;LOWER(D231&amp;" "&amp;C231&amp;" "&amp;LOWER(SUBSTITUTE(SUBSTITUTE(SUBSTITUTE(SUBSTITUTE(A231,"/"," "),"."," "),"\"," "),"_"," ")))&amp;" ")),1,0))+IF(Task!$A$12="",0,IF(ISNUMBER(SEARCH(" "&amp;Task!$A$12&amp;" "," "&amp;LOWER(D231&amp;" "&amp;C231&amp;" "&amp;LOWER(SUBSTITUTE(SUBSTITUTE(SUBSTITUTE(SUBSTITUTE(A231,"/"," "),"."," "),"\"," "),"_"," ")))&amp;" ")),1,0))+IF(Task!$A$13="",0,IF(ISNUMBER(SEARCH(" "&amp;Task!$A$13&amp;" "," "&amp;LOWER(D231&amp;" "&amp;C231&amp;" "&amp;LOWER(SUBSTITUTE(SUBSTITUTE(SUBSTITUTE(SUBSTITUTE(A231,"/"," "),"."," "),"\"," "),"_"," ")))&amp;" ")),1,0))+IF(Task!$A$14="",0,IF(ISNUMBER(SEARCH(" "&amp;Task!$A$14&amp;" "," "&amp;LOWER(D231&amp;" "&amp;C231&amp;" "&amp;LOWER(SUBSTITUTE(SUBSTITUTE(SUBSTITUTE(SUBSTITUTE(A231,"/"," "),"."," "),"\"," "),"_"," ")))&amp;" ")),1,0))+IF(Task!$A$15="",0,IF(ISNUMBER(SEARCH(" "&amp;Task!$A$15&amp;" "," "&amp;LOWER(D231&amp;" "&amp;C231&amp;" "&amp;LOWER(SUBSTITUTE(SUBSTITUTE(SUBSTITUTE(SUBSTITUTE(A231,"/"," "),"."," "),"\"," "),"_"," ")))&amp;" ")),1,0))+IF(Task!$A$16="",0,IF(ISNUMBER(SEARCH(" "&amp;Task!$A$16&amp;" "," "&amp;LOWER(D231&amp;" "&amp;C231&amp;" "&amp;LOWER(SUBSTITUTE(SUBSTITUTE(SUBSTITUTE(SUBSTITUTE(A231,"/"," "),"."," "),"\"," "),"_"," ")))&amp;" ")),1,0))+IF(Task!$A$17="",0,IF(ISNUMBER(SEARCH(" "&amp;Task!$A$17&amp;" "," "&amp;LOWER(D231&amp;" "&amp;C231&amp;" "&amp;LOWER(SUBSTITUTE(SUBSTITUTE(SUBSTITUTE(SUBSTITUTE(A231,"/"," "),"."," "),"\"," "),"_"," ")))&amp;" ")),1,0))+IF(Task!$A$18="",0,IF(ISNUMBER(SEARCH(" "&amp;Task!$A$18&amp;" "," "&amp;LOWER(D231&amp;" "&amp;C231&amp;" "&amp;LOWER(SUBSTITUTE(SUBSTITUTE(SUBSTITUTE(SUBSTITUTE(A231,"/"," "),"."," "),"\"," "),"_"," ")))&amp;" ")),1,0))+IF(Task!$A$19="",0,IF(ISNUMBER(SEARCH(" "&amp;Task!$A$19&amp;" "," "&amp;LOWER(D231&amp;" "&amp;C231&amp;" "&amp;LOWER(SUBSTITUTE(SUBSTITUTE(SUBSTITUTE(SUBSTITUTE(A231,"/"," "),"."," "),"\"," "),"_"," ")))&amp;" ")),1,0)))</f>
        <v/>
      </c>
      <c r="G231" s="9">
        <f>IF(E231=0,0,IF(Task!$A$8="",0,IF(ISNUMBER(SEARCH(" "&amp;Task!$A$8&amp;" "," "&amp;LOWER(C231)&amp;" ")),1,0))+IF(Task!$A$9="",0,IF(ISNUMBER(SEARCH(" "&amp;Task!$A$9&amp;" "," "&amp;LOWER(C231)&amp;" ")),1,0))+IF(Task!$A$10="",0,IF(ISNUMBER(SEARCH(" "&amp;Task!$A$10&amp;" "," "&amp;LOWER(C231)&amp;" ")),1,0))+IF(Task!$A$11="",0,IF(ISNUMBER(SEARCH(" "&amp;Task!$A$11&amp;" "," "&amp;LOWER(C231)&amp;" ")),1,0))+IF(Task!$A$12="",0,IF(ISNUMBER(SEARCH(" "&amp;Task!$A$12&amp;" "," "&amp;LOWER(C231)&amp;" ")),1,0))+IF(Task!$A$13="",0,IF(ISNUMBER(SEARCH(" "&amp;Task!$A$13&amp;" "," "&amp;LOWER(C231)&amp;" ")),1,0))+IF(Task!$A$14="",0,IF(ISNUMBER(SEARCH(" "&amp;Task!$A$14&amp;" "," "&amp;LOWER(C231)&amp;" ")),1,0))+IF(Task!$A$15="",0,IF(ISNUMBER(SEARCH(" "&amp;Task!$A$15&amp;" "," "&amp;LOWER(C231)&amp;" ")),1,0))+IF(Task!$A$16="",0,IF(ISNUMBER(SEARCH(" "&amp;Task!$A$16&amp;" "," "&amp;LOWER(C231)&amp;" ")),1,0))+IF(Task!$A$17="",0,IF(ISNUMBER(SEARCH(" "&amp;Task!$A$17&amp;" "," "&amp;LOWER(C231)&amp;" ")),1,0))+IF(Task!$A$18="",0,IF(ISNUMBER(SEARCH(" "&amp;Task!$A$18&amp;" "," "&amp;LOWER(C231)&amp;" ")),1,0))+IF(Task!$A$19="",0,IF(ISNUMBER(SEARCH(" "&amp;Task!$A$19&amp;" "," "&amp;LOWER(C231)&amp;" ")),1,0)))</f>
        <v/>
      </c>
      <c r="H231" s="9">
        <f>IF(E231=0,0,IF(Task!$A$8="",0,IF(ISNUMBER(SEARCH(" "&amp;Task!$A$8&amp;" "," "&amp;LOWER(SUBSTITUTE(SUBSTITUTE(SUBSTITUTE(SUBSTITUTE(A231,"/"," "),"."," "),"\"," "),"_"," "))&amp;" ")),1,0))+IF(Task!$A$9="",0,IF(ISNUMBER(SEARCH(" "&amp;Task!$A$9&amp;" "," "&amp;LOWER(SUBSTITUTE(SUBSTITUTE(SUBSTITUTE(SUBSTITUTE(A231,"/"," "),"."," "),"\"," "),"_"," "))&amp;" ")),1,0))+IF(Task!$A$10="",0,IF(ISNUMBER(SEARCH(" "&amp;Task!$A$10&amp;" "," "&amp;LOWER(SUBSTITUTE(SUBSTITUTE(SUBSTITUTE(SUBSTITUTE(A231,"/"," "),"."," "),"\"," "),"_"," "))&amp;" ")),1,0))+IF(Task!$A$11="",0,IF(ISNUMBER(SEARCH(" "&amp;Task!$A$11&amp;" "," "&amp;LOWER(SUBSTITUTE(SUBSTITUTE(SUBSTITUTE(SUBSTITUTE(A231,"/"," "),"."," "),"\"," "),"_"," "))&amp;" ")),1,0))+IF(Task!$A$12="",0,IF(ISNUMBER(SEARCH(" "&amp;Task!$A$12&amp;" "," "&amp;LOWER(SUBSTITUTE(SUBSTITUTE(SUBSTITUTE(SUBSTITUTE(A231,"/"," "),"."," "),"\"," "),"_"," "))&amp;" ")),1,0))+IF(Task!$A$13="",0,IF(ISNUMBER(SEARCH(" "&amp;Task!$A$13&amp;" "," "&amp;LOWER(SUBSTITUTE(SUBSTITUTE(SUBSTITUTE(SUBSTITUTE(A231,"/"," "),"."," "),"\"," "),"_"," "))&amp;" ")),1,0))+IF(Task!$A$14="",0,IF(ISNUMBER(SEARCH(" "&amp;Task!$A$14&amp;" "," "&amp;LOWER(SUBSTITUTE(SUBSTITUTE(SUBSTITUTE(SUBSTITUTE(A231,"/"," "),"."," "),"\"," "),"_"," "))&amp;" ")),1,0))+IF(Task!$A$15="",0,IF(ISNUMBER(SEARCH(" "&amp;Task!$A$15&amp;" "," "&amp;LOWER(SUBSTITUTE(SUBSTITUTE(SUBSTITUTE(SUBSTITUTE(A231,"/"," "),"."," "),"\"," "),"_"," "))&amp;" ")),1,0))+IF(Task!$A$16="",0,IF(ISNUMBER(SEARCH(" "&amp;Task!$A$16&amp;" "," "&amp;LOWER(SUBSTITUTE(SUBSTITUTE(SUBSTITUTE(SUBSTITUTE(A231,"/"," "),"."," "),"\"," "),"_"," "))&amp;" ")),1,0))+IF(Task!$A$17="",0,IF(ISNUMBER(SEARCH(" "&amp;Task!$A$17&amp;" "," "&amp;LOWER(SUBSTITUTE(SUBSTITUTE(SUBSTITUTE(SUBSTITUTE(A231,"/"," "),"."," "),"\"," "),"_"," "))&amp;" ")),1,0))+IF(Task!$A$18="",0,IF(ISNUMBER(SEARCH(" "&amp;Task!$A$18&amp;" "," "&amp;LOWER(SUBSTITUTE(SUBSTITUTE(SUBSTITUTE(SUBSTITUTE(A231,"/"," "),"."," "),"\"," "),"_"," "))&amp;" ")),1,0))+IF(Task!$A$19="",0,IF(ISNUMBER(SEARCH(" "&amp;Task!$A$19&amp;" "," "&amp;LOWER(SUBSTITUTE(SUBSTITUTE(SUBSTITUTE(SUBSTITUTE(A231,"/"," "),"."," "),"\"," "),"_"," "))&amp;" ")),1,0)))</f>
        <v/>
      </c>
      <c r="I231" s="10">
        <f>IF(OR(E231=0,F231=0,Task!$B$21=0),"",F231/Task!$B$21+0.5*G231+0.25*H231)</f>
        <v/>
      </c>
      <c r="J231" s="5">
        <f>IF(I231="","",I231-ROW()/1000000)</f>
        <v/>
      </c>
      <c r="K231" s="9">
        <f>IF(J231="","",COUNTIF($J$5:$J$404,"&gt;"&amp;J231)+1)</f>
        <v/>
      </c>
    </row>
    <row r="232">
      <c r="A232" s="7" t="n"/>
      <c r="B232" s="7" t="n"/>
      <c r="C232" s="7" t="n"/>
      <c r="D232" s="7" t="n"/>
      <c r="E232" s="5">
        <f>IF(A232="",0,IF(COUNTA(Task!$B$5:$E$5)=0,1,IF(COUNTIF(Task!$B$5:$E$5,B232)&gt;0,1,0)))</f>
        <v/>
      </c>
      <c r="F232" s="9">
        <f>IF(E232=0,0,IF(Task!$A$8="",0,IF(ISNUMBER(SEARCH(" "&amp;Task!$A$8&amp;" "," "&amp;LOWER(D232&amp;" "&amp;C232&amp;" "&amp;LOWER(SUBSTITUTE(SUBSTITUTE(SUBSTITUTE(SUBSTITUTE(A232,"/"," "),"."," "),"\"," "),"_"," ")))&amp;" ")),1,0))+IF(Task!$A$9="",0,IF(ISNUMBER(SEARCH(" "&amp;Task!$A$9&amp;" "," "&amp;LOWER(D232&amp;" "&amp;C232&amp;" "&amp;LOWER(SUBSTITUTE(SUBSTITUTE(SUBSTITUTE(SUBSTITUTE(A232,"/"," "),"."," "),"\"," "),"_"," ")))&amp;" ")),1,0))+IF(Task!$A$10="",0,IF(ISNUMBER(SEARCH(" "&amp;Task!$A$10&amp;" "," "&amp;LOWER(D232&amp;" "&amp;C232&amp;" "&amp;LOWER(SUBSTITUTE(SUBSTITUTE(SUBSTITUTE(SUBSTITUTE(A232,"/"," "),"."," "),"\"," "),"_"," ")))&amp;" ")),1,0))+IF(Task!$A$11="",0,IF(ISNUMBER(SEARCH(" "&amp;Task!$A$11&amp;" "," "&amp;LOWER(D232&amp;" "&amp;C232&amp;" "&amp;LOWER(SUBSTITUTE(SUBSTITUTE(SUBSTITUTE(SUBSTITUTE(A232,"/"," "),"."," "),"\"," "),"_"," ")))&amp;" ")),1,0))+IF(Task!$A$12="",0,IF(ISNUMBER(SEARCH(" "&amp;Task!$A$12&amp;" "," "&amp;LOWER(D232&amp;" "&amp;C232&amp;" "&amp;LOWER(SUBSTITUTE(SUBSTITUTE(SUBSTITUTE(SUBSTITUTE(A232,"/"," "),"."," "),"\"," "),"_"," ")))&amp;" ")),1,0))+IF(Task!$A$13="",0,IF(ISNUMBER(SEARCH(" "&amp;Task!$A$13&amp;" "," "&amp;LOWER(D232&amp;" "&amp;C232&amp;" "&amp;LOWER(SUBSTITUTE(SUBSTITUTE(SUBSTITUTE(SUBSTITUTE(A232,"/"," "),"."," "),"\"," "),"_"," ")))&amp;" ")),1,0))+IF(Task!$A$14="",0,IF(ISNUMBER(SEARCH(" "&amp;Task!$A$14&amp;" "," "&amp;LOWER(D232&amp;" "&amp;C232&amp;" "&amp;LOWER(SUBSTITUTE(SUBSTITUTE(SUBSTITUTE(SUBSTITUTE(A232,"/"," "),"."," "),"\"," "),"_"," ")))&amp;" ")),1,0))+IF(Task!$A$15="",0,IF(ISNUMBER(SEARCH(" "&amp;Task!$A$15&amp;" "," "&amp;LOWER(D232&amp;" "&amp;C232&amp;" "&amp;LOWER(SUBSTITUTE(SUBSTITUTE(SUBSTITUTE(SUBSTITUTE(A232,"/"," "),"."," "),"\"," "),"_"," ")))&amp;" ")),1,0))+IF(Task!$A$16="",0,IF(ISNUMBER(SEARCH(" "&amp;Task!$A$16&amp;" "," "&amp;LOWER(D232&amp;" "&amp;C232&amp;" "&amp;LOWER(SUBSTITUTE(SUBSTITUTE(SUBSTITUTE(SUBSTITUTE(A232,"/"," "),"."," "),"\"," "),"_"," ")))&amp;" ")),1,0))+IF(Task!$A$17="",0,IF(ISNUMBER(SEARCH(" "&amp;Task!$A$17&amp;" "," "&amp;LOWER(D232&amp;" "&amp;C232&amp;" "&amp;LOWER(SUBSTITUTE(SUBSTITUTE(SUBSTITUTE(SUBSTITUTE(A232,"/"," "),"."," "),"\"," "),"_"," ")))&amp;" ")),1,0))+IF(Task!$A$18="",0,IF(ISNUMBER(SEARCH(" "&amp;Task!$A$18&amp;" "," "&amp;LOWER(D232&amp;" "&amp;C232&amp;" "&amp;LOWER(SUBSTITUTE(SUBSTITUTE(SUBSTITUTE(SUBSTITUTE(A232,"/"," "),"."," "),"\"," "),"_"," ")))&amp;" ")),1,0))+IF(Task!$A$19="",0,IF(ISNUMBER(SEARCH(" "&amp;Task!$A$19&amp;" "," "&amp;LOWER(D232&amp;" "&amp;C232&amp;" "&amp;LOWER(SUBSTITUTE(SUBSTITUTE(SUBSTITUTE(SUBSTITUTE(A232,"/"," "),"."," "),"\"," "),"_"," ")))&amp;" ")),1,0)))</f>
        <v/>
      </c>
      <c r="G232" s="9">
        <f>IF(E232=0,0,IF(Task!$A$8="",0,IF(ISNUMBER(SEARCH(" "&amp;Task!$A$8&amp;" "," "&amp;LOWER(C232)&amp;" ")),1,0))+IF(Task!$A$9="",0,IF(ISNUMBER(SEARCH(" "&amp;Task!$A$9&amp;" "," "&amp;LOWER(C232)&amp;" ")),1,0))+IF(Task!$A$10="",0,IF(ISNUMBER(SEARCH(" "&amp;Task!$A$10&amp;" "," "&amp;LOWER(C232)&amp;" ")),1,0))+IF(Task!$A$11="",0,IF(ISNUMBER(SEARCH(" "&amp;Task!$A$11&amp;" "," "&amp;LOWER(C232)&amp;" ")),1,0))+IF(Task!$A$12="",0,IF(ISNUMBER(SEARCH(" "&amp;Task!$A$12&amp;" "," "&amp;LOWER(C232)&amp;" ")),1,0))+IF(Task!$A$13="",0,IF(ISNUMBER(SEARCH(" "&amp;Task!$A$13&amp;" "," "&amp;LOWER(C232)&amp;" ")),1,0))+IF(Task!$A$14="",0,IF(ISNUMBER(SEARCH(" "&amp;Task!$A$14&amp;" "," "&amp;LOWER(C232)&amp;" ")),1,0))+IF(Task!$A$15="",0,IF(ISNUMBER(SEARCH(" "&amp;Task!$A$15&amp;" "," "&amp;LOWER(C232)&amp;" ")),1,0))+IF(Task!$A$16="",0,IF(ISNUMBER(SEARCH(" "&amp;Task!$A$16&amp;" "," "&amp;LOWER(C232)&amp;" ")),1,0))+IF(Task!$A$17="",0,IF(ISNUMBER(SEARCH(" "&amp;Task!$A$17&amp;" "," "&amp;LOWER(C232)&amp;" ")),1,0))+IF(Task!$A$18="",0,IF(ISNUMBER(SEARCH(" "&amp;Task!$A$18&amp;" "," "&amp;LOWER(C232)&amp;" ")),1,0))+IF(Task!$A$19="",0,IF(ISNUMBER(SEARCH(" "&amp;Task!$A$19&amp;" "," "&amp;LOWER(C232)&amp;" ")),1,0)))</f>
        <v/>
      </c>
      <c r="H232" s="9">
        <f>IF(E232=0,0,IF(Task!$A$8="",0,IF(ISNUMBER(SEARCH(" "&amp;Task!$A$8&amp;" "," "&amp;LOWER(SUBSTITUTE(SUBSTITUTE(SUBSTITUTE(SUBSTITUTE(A232,"/"," "),"."," "),"\"," "),"_"," "))&amp;" ")),1,0))+IF(Task!$A$9="",0,IF(ISNUMBER(SEARCH(" "&amp;Task!$A$9&amp;" "," "&amp;LOWER(SUBSTITUTE(SUBSTITUTE(SUBSTITUTE(SUBSTITUTE(A232,"/"," "),"."," "),"\"," "),"_"," "))&amp;" ")),1,0))+IF(Task!$A$10="",0,IF(ISNUMBER(SEARCH(" "&amp;Task!$A$10&amp;" "," "&amp;LOWER(SUBSTITUTE(SUBSTITUTE(SUBSTITUTE(SUBSTITUTE(A232,"/"," "),"."," "),"\"," "),"_"," "))&amp;" ")),1,0))+IF(Task!$A$11="",0,IF(ISNUMBER(SEARCH(" "&amp;Task!$A$11&amp;" "," "&amp;LOWER(SUBSTITUTE(SUBSTITUTE(SUBSTITUTE(SUBSTITUTE(A232,"/"," "),"."," "),"\"," "),"_"," "))&amp;" ")),1,0))+IF(Task!$A$12="",0,IF(ISNUMBER(SEARCH(" "&amp;Task!$A$12&amp;" "," "&amp;LOWER(SUBSTITUTE(SUBSTITUTE(SUBSTITUTE(SUBSTITUTE(A232,"/"," "),"."," "),"\"," "),"_"," "))&amp;" ")),1,0))+IF(Task!$A$13="",0,IF(ISNUMBER(SEARCH(" "&amp;Task!$A$13&amp;" "," "&amp;LOWER(SUBSTITUTE(SUBSTITUTE(SUBSTITUTE(SUBSTITUTE(A232,"/"," "),"."," "),"\"," "),"_"," "))&amp;" ")),1,0))+IF(Task!$A$14="",0,IF(ISNUMBER(SEARCH(" "&amp;Task!$A$14&amp;" "," "&amp;LOWER(SUBSTITUTE(SUBSTITUTE(SUBSTITUTE(SUBSTITUTE(A232,"/"," "),"."," "),"\"," "),"_"," "))&amp;" ")),1,0))+IF(Task!$A$15="",0,IF(ISNUMBER(SEARCH(" "&amp;Task!$A$15&amp;" "," "&amp;LOWER(SUBSTITUTE(SUBSTITUTE(SUBSTITUTE(SUBSTITUTE(A232,"/"," "),"."," "),"\"," "),"_"," "))&amp;" ")),1,0))+IF(Task!$A$16="",0,IF(ISNUMBER(SEARCH(" "&amp;Task!$A$16&amp;" "," "&amp;LOWER(SUBSTITUTE(SUBSTITUTE(SUBSTITUTE(SUBSTITUTE(A232,"/"," "),"."," "),"\"," "),"_"," "))&amp;" ")),1,0))+IF(Task!$A$17="",0,IF(ISNUMBER(SEARCH(" "&amp;Task!$A$17&amp;" "," "&amp;LOWER(SUBSTITUTE(SUBSTITUTE(SUBSTITUTE(SUBSTITUTE(A232,"/"," "),"."," "),"\"," "),"_"," "))&amp;" ")),1,0))+IF(Task!$A$18="",0,IF(ISNUMBER(SEARCH(" "&amp;Task!$A$18&amp;" "," "&amp;LOWER(SUBSTITUTE(SUBSTITUTE(SUBSTITUTE(SUBSTITUTE(A232,"/"," "),"."," "),"\"," "),"_"," "))&amp;" ")),1,0))+IF(Task!$A$19="",0,IF(ISNUMBER(SEARCH(" "&amp;Task!$A$19&amp;" "," "&amp;LOWER(SUBSTITUTE(SUBSTITUTE(SUBSTITUTE(SUBSTITUTE(A232,"/"," "),"."," "),"\"," "),"_"," "))&amp;" ")),1,0)))</f>
        <v/>
      </c>
      <c r="I232" s="10">
        <f>IF(OR(E232=0,F232=0,Task!$B$21=0),"",F232/Task!$B$21+0.5*G232+0.25*H232)</f>
        <v/>
      </c>
      <c r="J232" s="5">
        <f>IF(I232="","",I232-ROW()/1000000)</f>
        <v/>
      </c>
      <c r="K232" s="9">
        <f>IF(J232="","",COUNTIF($J$5:$J$404,"&gt;"&amp;J232)+1)</f>
        <v/>
      </c>
    </row>
    <row r="233">
      <c r="A233" s="7" t="n"/>
      <c r="B233" s="7" t="n"/>
      <c r="C233" s="7" t="n"/>
      <c r="D233" s="7" t="n"/>
      <c r="E233" s="5">
        <f>IF(A233="",0,IF(COUNTA(Task!$B$5:$E$5)=0,1,IF(COUNTIF(Task!$B$5:$E$5,B233)&gt;0,1,0)))</f>
        <v/>
      </c>
      <c r="F233" s="9">
        <f>IF(E233=0,0,IF(Task!$A$8="",0,IF(ISNUMBER(SEARCH(" "&amp;Task!$A$8&amp;" "," "&amp;LOWER(D233&amp;" "&amp;C233&amp;" "&amp;LOWER(SUBSTITUTE(SUBSTITUTE(SUBSTITUTE(SUBSTITUTE(A233,"/"," "),"."," "),"\"," "),"_"," ")))&amp;" ")),1,0))+IF(Task!$A$9="",0,IF(ISNUMBER(SEARCH(" "&amp;Task!$A$9&amp;" "," "&amp;LOWER(D233&amp;" "&amp;C233&amp;" "&amp;LOWER(SUBSTITUTE(SUBSTITUTE(SUBSTITUTE(SUBSTITUTE(A233,"/"," "),"."," "),"\"," "),"_"," ")))&amp;" ")),1,0))+IF(Task!$A$10="",0,IF(ISNUMBER(SEARCH(" "&amp;Task!$A$10&amp;" "," "&amp;LOWER(D233&amp;" "&amp;C233&amp;" "&amp;LOWER(SUBSTITUTE(SUBSTITUTE(SUBSTITUTE(SUBSTITUTE(A233,"/"," "),"."," "),"\"," "),"_"," ")))&amp;" ")),1,0))+IF(Task!$A$11="",0,IF(ISNUMBER(SEARCH(" "&amp;Task!$A$11&amp;" "," "&amp;LOWER(D233&amp;" "&amp;C233&amp;" "&amp;LOWER(SUBSTITUTE(SUBSTITUTE(SUBSTITUTE(SUBSTITUTE(A233,"/"," "),"."," "),"\"," "),"_"," ")))&amp;" ")),1,0))+IF(Task!$A$12="",0,IF(ISNUMBER(SEARCH(" "&amp;Task!$A$12&amp;" "," "&amp;LOWER(D233&amp;" "&amp;C233&amp;" "&amp;LOWER(SUBSTITUTE(SUBSTITUTE(SUBSTITUTE(SUBSTITUTE(A233,"/"," "),"."," "),"\"," "),"_"," ")))&amp;" ")),1,0))+IF(Task!$A$13="",0,IF(ISNUMBER(SEARCH(" "&amp;Task!$A$13&amp;" "," "&amp;LOWER(D233&amp;" "&amp;C233&amp;" "&amp;LOWER(SUBSTITUTE(SUBSTITUTE(SUBSTITUTE(SUBSTITUTE(A233,"/"," "),"."," "),"\"," "),"_"," ")))&amp;" ")),1,0))+IF(Task!$A$14="",0,IF(ISNUMBER(SEARCH(" "&amp;Task!$A$14&amp;" "," "&amp;LOWER(D233&amp;" "&amp;C233&amp;" "&amp;LOWER(SUBSTITUTE(SUBSTITUTE(SUBSTITUTE(SUBSTITUTE(A233,"/"," "),"."," "),"\"," "),"_"," ")))&amp;" ")),1,0))+IF(Task!$A$15="",0,IF(ISNUMBER(SEARCH(" "&amp;Task!$A$15&amp;" "," "&amp;LOWER(D233&amp;" "&amp;C233&amp;" "&amp;LOWER(SUBSTITUTE(SUBSTITUTE(SUBSTITUTE(SUBSTITUTE(A233,"/"," "),"."," "),"\"," "),"_"," ")))&amp;" ")),1,0))+IF(Task!$A$16="",0,IF(ISNUMBER(SEARCH(" "&amp;Task!$A$16&amp;" "," "&amp;LOWER(D233&amp;" "&amp;C233&amp;" "&amp;LOWER(SUBSTITUTE(SUBSTITUTE(SUBSTITUTE(SUBSTITUTE(A233,"/"," "),"."," "),"\"," "),"_"," ")))&amp;" ")),1,0))+IF(Task!$A$17="",0,IF(ISNUMBER(SEARCH(" "&amp;Task!$A$17&amp;" "," "&amp;LOWER(D233&amp;" "&amp;C233&amp;" "&amp;LOWER(SUBSTITUTE(SUBSTITUTE(SUBSTITUTE(SUBSTITUTE(A233,"/"," "),"."," "),"\"," "),"_"," ")))&amp;" ")),1,0))+IF(Task!$A$18="",0,IF(ISNUMBER(SEARCH(" "&amp;Task!$A$18&amp;" "," "&amp;LOWER(D233&amp;" "&amp;C233&amp;" "&amp;LOWER(SUBSTITUTE(SUBSTITUTE(SUBSTITUTE(SUBSTITUTE(A233,"/"," "),"."," "),"\"," "),"_"," ")))&amp;" ")),1,0))+IF(Task!$A$19="",0,IF(ISNUMBER(SEARCH(" "&amp;Task!$A$19&amp;" "," "&amp;LOWER(D233&amp;" "&amp;C233&amp;" "&amp;LOWER(SUBSTITUTE(SUBSTITUTE(SUBSTITUTE(SUBSTITUTE(A233,"/"," "),"."," "),"\"," "),"_"," ")))&amp;" ")),1,0)))</f>
        <v/>
      </c>
      <c r="G233" s="9">
        <f>IF(E233=0,0,IF(Task!$A$8="",0,IF(ISNUMBER(SEARCH(" "&amp;Task!$A$8&amp;" "," "&amp;LOWER(C233)&amp;" ")),1,0))+IF(Task!$A$9="",0,IF(ISNUMBER(SEARCH(" "&amp;Task!$A$9&amp;" "," "&amp;LOWER(C233)&amp;" ")),1,0))+IF(Task!$A$10="",0,IF(ISNUMBER(SEARCH(" "&amp;Task!$A$10&amp;" "," "&amp;LOWER(C233)&amp;" ")),1,0))+IF(Task!$A$11="",0,IF(ISNUMBER(SEARCH(" "&amp;Task!$A$11&amp;" "," "&amp;LOWER(C233)&amp;" ")),1,0))+IF(Task!$A$12="",0,IF(ISNUMBER(SEARCH(" "&amp;Task!$A$12&amp;" "," "&amp;LOWER(C233)&amp;" ")),1,0))+IF(Task!$A$13="",0,IF(ISNUMBER(SEARCH(" "&amp;Task!$A$13&amp;" "," "&amp;LOWER(C233)&amp;" ")),1,0))+IF(Task!$A$14="",0,IF(ISNUMBER(SEARCH(" "&amp;Task!$A$14&amp;" "," "&amp;LOWER(C233)&amp;" ")),1,0))+IF(Task!$A$15="",0,IF(ISNUMBER(SEARCH(" "&amp;Task!$A$15&amp;" "," "&amp;LOWER(C233)&amp;" ")),1,0))+IF(Task!$A$16="",0,IF(ISNUMBER(SEARCH(" "&amp;Task!$A$16&amp;" "," "&amp;LOWER(C233)&amp;" ")),1,0))+IF(Task!$A$17="",0,IF(ISNUMBER(SEARCH(" "&amp;Task!$A$17&amp;" "," "&amp;LOWER(C233)&amp;" ")),1,0))+IF(Task!$A$18="",0,IF(ISNUMBER(SEARCH(" "&amp;Task!$A$18&amp;" "," "&amp;LOWER(C233)&amp;" ")),1,0))+IF(Task!$A$19="",0,IF(ISNUMBER(SEARCH(" "&amp;Task!$A$19&amp;" "," "&amp;LOWER(C233)&amp;" ")),1,0)))</f>
        <v/>
      </c>
      <c r="H233" s="9">
        <f>IF(E233=0,0,IF(Task!$A$8="",0,IF(ISNUMBER(SEARCH(" "&amp;Task!$A$8&amp;" "," "&amp;LOWER(SUBSTITUTE(SUBSTITUTE(SUBSTITUTE(SUBSTITUTE(A233,"/"," "),"."," "),"\"," "),"_"," "))&amp;" ")),1,0))+IF(Task!$A$9="",0,IF(ISNUMBER(SEARCH(" "&amp;Task!$A$9&amp;" "," "&amp;LOWER(SUBSTITUTE(SUBSTITUTE(SUBSTITUTE(SUBSTITUTE(A233,"/"," "),"."," "),"\"," "),"_"," "))&amp;" ")),1,0))+IF(Task!$A$10="",0,IF(ISNUMBER(SEARCH(" "&amp;Task!$A$10&amp;" "," "&amp;LOWER(SUBSTITUTE(SUBSTITUTE(SUBSTITUTE(SUBSTITUTE(A233,"/"," "),"."," "),"\"," "),"_"," "))&amp;" ")),1,0))+IF(Task!$A$11="",0,IF(ISNUMBER(SEARCH(" "&amp;Task!$A$11&amp;" "," "&amp;LOWER(SUBSTITUTE(SUBSTITUTE(SUBSTITUTE(SUBSTITUTE(A233,"/"," "),"."," "),"\"," "),"_"," "))&amp;" ")),1,0))+IF(Task!$A$12="",0,IF(ISNUMBER(SEARCH(" "&amp;Task!$A$12&amp;" "," "&amp;LOWER(SUBSTITUTE(SUBSTITUTE(SUBSTITUTE(SUBSTITUTE(A233,"/"," "),"."," "),"\"," "),"_"," "))&amp;" ")),1,0))+IF(Task!$A$13="",0,IF(ISNUMBER(SEARCH(" "&amp;Task!$A$13&amp;" "," "&amp;LOWER(SUBSTITUTE(SUBSTITUTE(SUBSTITUTE(SUBSTITUTE(A233,"/"," "),"."," "),"\"," "),"_"," "))&amp;" ")),1,0))+IF(Task!$A$14="",0,IF(ISNUMBER(SEARCH(" "&amp;Task!$A$14&amp;" "," "&amp;LOWER(SUBSTITUTE(SUBSTITUTE(SUBSTITUTE(SUBSTITUTE(A233,"/"," "),"."," "),"\"," "),"_"," "))&amp;" ")),1,0))+IF(Task!$A$15="",0,IF(ISNUMBER(SEARCH(" "&amp;Task!$A$15&amp;" "," "&amp;LOWER(SUBSTITUTE(SUBSTITUTE(SUBSTITUTE(SUBSTITUTE(A233,"/"," "),"."," "),"\"," "),"_"," "))&amp;" ")),1,0))+IF(Task!$A$16="",0,IF(ISNUMBER(SEARCH(" "&amp;Task!$A$16&amp;" "," "&amp;LOWER(SUBSTITUTE(SUBSTITUTE(SUBSTITUTE(SUBSTITUTE(A233,"/"," "),"."," "),"\"," "),"_"," "))&amp;" ")),1,0))+IF(Task!$A$17="",0,IF(ISNUMBER(SEARCH(" "&amp;Task!$A$17&amp;" "," "&amp;LOWER(SUBSTITUTE(SUBSTITUTE(SUBSTITUTE(SUBSTITUTE(A233,"/"," "),"."," "),"\"," "),"_"," "))&amp;" ")),1,0))+IF(Task!$A$18="",0,IF(ISNUMBER(SEARCH(" "&amp;Task!$A$18&amp;" "," "&amp;LOWER(SUBSTITUTE(SUBSTITUTE(SUBSTITUTE(SUBSTITUTE(A233,"/"," "),"."," "),"\"," "),"_"," "))&amp;" ")),1,0))+IF(Task!$A$19="",0,IF(ISNUMBER(SEARCH(" "&amp;Task!$A$19&amp;" "," "&amp;LOWER(SUBSTITUTE(SUBSTITUTE(SUBSTITUTE(SUBSTITUTE(A233,"/"," "),"."," "),"\"," "),"_"," "))&amp;" ")),1,0)))</f>
        <v/>
      </c>
      <c r="I233" s="10">
        <f>IF(OR(E233=0,F233=0,Task!$B$21=0),"",F233/Task!$B$21+0.5*G233+0.25*H233)</f>
        <v/>
      </c>
      <c r="J233" s="5">
        <f>IF(I233="","",I233-ROW()/1000000)</f>
        <v/>
      </c>
      <c r="K233" s="9">
        <f>IF(J233="","",COUNTIF($J$5:$J$404,"&gt;"&amp;J233)+1)</f>
        <v/>
      </c>
    </row>
    <row r="234">
      <c r="A234" s="7" t="n"/>
      <c r="B234" s="7" t="n"/>
      <c r="C234" s="7" t="n"/>
      <c r="D234" s="7" t="n"/>
      <c r="E234" s="5">
        <f>IF(A234="",0,IF(COUNTA(Task!$B$5:$E$5)=0,1,IF(COUNTIF(Task!$B$5:$E$5,B234)&gt;0,1,0)))</f>
        <v/>
      </c>
      <c r="F234" s="9">
        <f>IF(E234=0,0,IF(Task!$A$8="",0,IF(ISNUMBER(SEARCH(" "&amp;Task!$A$8&amp;" "," "&amp;LOWER(D234&amp;" "&amp;C234&amp;" "&amp;LOWER(SUBSTITUTE(SUBSTITUTE(SUBSTITUTE(SUBSTITUTE(A234,"/"," "),"."," "),"\"," "),"_"," ")))&amp;" ")),1,0))+IF(Task!$A$9="",0,IF(ISNUMBER(SEARCH(" "&amp;Task!$A$9&amp;" "," "&amp;LOWER(D234&amp;" "&amp;C234&amp;" "&amp;LOWER(SUBSTITUTE(SUBSTITUTE(SUBSTITUTE(SUBSTITUTE(A234,"/"," "),"."," "),"\"," "),"_"," ")))&amp;" ")),1,0))+IF(Task!$A$10="",0,IF(ISNUMBER(SEARCH(" "&amp;Task!$A$10&amp;" "," "&amp;LOWER(D234&amp;" "&amp;C234&amp;" "&amp;LOWER(SUBSTITUTE(SUBSTITUTE(SUBSTITUTE(SUBSTITUTE(A234,"/"," "),"."," "),"\"," "),"_"," ")))&amp;" ")),1,0))+IF(Task!$A$11="",0,IF(ISNUMBER(SEARCH(" "&amp;Task!$A$11&amp;" "," "&amp;LOWER(D234&amp;" "&amp;C234&amp;" "&amp;LOWER(SUBSTITUTE(SUBSTITUTE(SUBSTITUTE(SUBSTITUTE(A234,"/"," "),"."," "),"\"," "),"_"," ")))&amp;" ")),1,0))+IF(Task!$A$12="",0,IF(ISNUMBER(SEARCH(" "&amp;Task!$A$12&amp;" "," "&amp;LOWER(D234&amp;" "&amp;C234&amp;" "&amp;LOWER(SUBSTITUTE(SUBSTITUTE(SUBSTITUTE(SUBSTITUTE(A234,"/"," "),"."," "),"\"," "),"_"," ")))&amp;" ")),1,0))+IF(Task!$A$13="",0,IF(ISNUMBER(SEARCH(" "&amp;Task!$A$13&amp;" "," "&amp;LOWER(D234&amp;" "&amp;C234&amp;" "&amp;LOWER(SUBSTITUTE(SUBSTITUTE(SUBSTITUTE(SUBSTITUTE(A234,"/"," "),"."," "),"\"," "),"_"," ")))&amp;" ")),1,0))+IF(Task!$A$14="",0,IF(ISNUMBER(SEARCH(" "&amp;Task!$A$14&amp;" "," "&amp;LOWER(D234&amp;" "&amp;C234&amp;" "&amp;LOWER(SUBSTITUTE(SUBSTITUTE(SUBSTITUTE(SUBSTITUTE(A234,"/"," "),"."," "),"\"," "),"_"," ")))&amp;" ")),1,0))+IF(Task!$A$15="",0,IF(ISNUMBER(SEARCH(" "&amp;Task!$A$15&amp;" "," "&amp;LOWER(D234&amp;" "&amp;C234&amp;" "&amp;LOWER(SUBSTITUTE(SUBSTITUTE(SUBSTITUTE(SUBSTITUTE(A234,"/"," "),"."," "),"\"," "),"_"," ")))&amp;" ")),1,0))+IF(Task!$A$16="",0,IF(ISNUMBER(SEARCH(" "&amp;Task!$A$16&amp;" "," "&amp;LOWER(D234&amp;" "&amp;C234&amp;" "&amp;LOWER(SUBSTITUTE(SUBSTITUTE(SUBSTITUTE(SUBSTITUTE(A234,"/"," "),"."," "),"\"," "),"_"," ")))&amp;" ")),1,0))+IF(Task!$A$17="",0,IF(ISNUMBER(SEARCH(" "&amp;Task!$A$17&amp;" "," "&amp;LOWER(D234&amp;" "&amp;C234&amp;" "&amp;LOWER(SUBSTITUTE(SUBSTITUTE(SUBSTITUTE(SUBSTITUTE(A234,"/"," "),"."," "),"\"," "),"_"," ")))&amp;" ")),1,0))+IF(Task!$A$18="",0,IF(ISNUMBER(SEARCH(" "&amp;Task!$A$18&amp;" "," "&amp;LOWER(D234&amp;" "&amp;C234&amp;" "&amp;LOWER(SUBSTITUTE(SUBSTITUTE(SUBSTITUTE(SUBSTITUTE(A234,"/"," "),"."," "),"\"," "),"_"," ")))&amp;" ")),1,0))+IF(Task!$A$19="",0,IF(ISNUMBER(SEARCH(" "&amp;Task!$A$19&amp;" "," "&amp;LOWER(D234&amp;" "&amp;C234&amp;" "&amp;LOWER(SUBSTITUTE(SUBSTITUTE(SUBSTITUTE(SUBSTITUTE(A234,"/"," "),"."," "),"\"," "),"_"," ")))&amp;" ")),1,0)))</f>
        <v/>
      </c>
      <c r="G234" s="9">
        <f>IF(E234=0,0,IF(Task!$A$8="",0,IF(ISNUMBER(SEARCH(" "&amp;Task!$A$8&amp;" "," "&amp;LOWER(C234)&amp;" ")),1,0))+IF(Task!$A$9="",0,IF(ISNUMBER(SEARCH(" "&amp;Task!$A$9&amp;" "," "&amp;LOWER(C234)&amp;" ")),1,0))+IF(Task!$A$10="",0,IF(ISNUMBER(SEARCH(" "&amp;Task!$A$10&amp;" "," "&amp;LOWER(C234)&amp;" ")),1,0))+IF(Task!$A$11="",0,IF(ISNUMBER(SEARCH(" "&amp;Task!$A$11&amp;" "," "&amp;LOWER(C234)&amp;" ")),1,0))+IF(Task!$A$12="",0,IF(ISNUMBER(SEARCH(" "&amp;Task!$A$12&amp;" "," "&amp;LOWER(C234)&amp;" ")),1,0))+IF(Task!$A$13="",0,IF(ISNUMBER(SEARCH(" "&amp;Task!$A$13&amp;" "," "&amp;LOWER(C234)&amp;" ")),1,0))+IF(Task!$A$14="",0,IF(ISNUMBER(SEARCH(" "&amp;Task!$A$14&amp;" "," "&amp;LOWER(C234)&amp;" ")),1,0))+IF(Task!$A$15="",0,IF(ISNUMBER(SEARCH(" "&amp;Task!$A$15&amp;" "," "&amp;LOWER(C234)&amp;" ")),1,0))+IF(Task!$A$16="",0,IF(ISNUMBER(SEARCH(" "&amp;Task!$A$16&amp;" "," "&amp;LOWER(C234)&amp;" ")),1,0))+IF(Task!$A$17="",0,IF(ISNUMBER(SEARCH(" "&amp;Task!$A$17&amp;" "," "&amp;LOWER(C234)&amp;" ")),1,0))+IF(Task!$A$18="",0,IF(ISNUMBER(SEARCH(" "&amp;Task!$A$18&amp;" "," "&amp;LOWER(C234)&amp;" ")),1,0))+IF(Task!$A$19="",0,IF(ISNUMBER(SEARCH(" "&amp;Task!$A$19&amp;" "," "&amp;LOWER(C234)&amp;" ")),1,0)))</f>
        <v/>
      </c>
      <c r="H234" s="9">
        <f>IF(E234=0,0,IF(Task!$A$8="",0,IF(ISNUMBER(SEARCH(" "&amp;Task!$A$8&amp;" "," "&amp;LOWER(SUBSTITUTE(SUBSTITUTE(SUBSTITUTE(SUBSTITUTE(A234,"/"," "),"."," "),"\"," "),"_"," "))&amp;" ")),1,0))+IF(Task!$A$9="",0,IF(ISNUMBER(SEARCH(" "&amp;Task!$A$9&amp;" "," "&amp;LOWER(SUBSTITUTE(SUBSTITUTE(SUBSTITUTE(SUBSTITUTE(A234,"/"," "),"."," "),"\"," "),"_"," "))&amp;" ")),1,0))+IF(Task!$A$10="",0,IF(ISNUMBER(SEARCH(" "&amp;Task!$A$10&amp;" "," "&amp;LOWER(SUBSTITUTE(SUBSTITUTE(SUBSTITUTE(SUBSTITUTE(A234,"/"," "),"."," "),"\"," "),"_"," "))&amp;" ")),1,0))+IF(Task!$A$11="",0,IF(ISNUMBER(SEARCH(" "&amp;Task!$A$11&amp;" "," "&amp;LOWER(SUBSTITUTE(SUBSTITUTE(SUBSTITUTE(SUBSTITUTE(A234,"/"," "),"."," "),"\"," "),"_"," "))&amp;" ")),1,0))+IF(Task!$A$12="",0,IF(ISNUMBER(SEARCH(" "&amp;Task!$A$12&amp;" "," "&amp;LOWER(SUBSTITUTE(SUBSTITUTE(SUBSTITUTE(SUBSTITUTE(A234,"/"," "),"."," "),"\"," "),"_"," "))&amp;" ")),1,0))+IF(Task!$A$13="",0,IF(ISNUMBER(SEARCH(" "&amp;Task!$A$13&amp;" "," "&amp;LOWER(SUBSTITUTE(SUBSTITUTE(SUBSTITUTE(SUBSTITUTE(A234,"/"," "),"."," "),"\"," "),"_"," "))&amp;" ")),1,0))+IF(Task!$A$14="",0,IF(ISNUMBER(SEARCH(" "&amp;Task!$A$14&amp;" "," "&amp;LOWER(SUBSTITUTE(SUBSTITUTE(SUBSTITUTE(SUBSTITUTE(A234,"/"," "),"."," "),"\"," "),"_"," "))&amp;" ")),1,0))+IF(Task!$A$15="",0,IF(ISNUMBER(SEARCH(" "&amp;Task!$A$15&amp;" "," "&amp;LOWER(SUBSTITUTE(SUBSTITUTE(SUBSTITUTE(SUBSTITUTE(A234,"/"," "),"."," "),"\"," "),"_"," "))&amp;" ")),1,0))+IF(Task!$A$16="",0,IF(ISNUMBER(SEARCH(" "&amp;Task!$A$16&amp;" "," "&amp;LOWER(SUBSTITUTE(SUBSTITUTE(SUBSTITUTE(SUBSTITUTE(A234,"/"," "),"."," "),"\"," "),"_"," "))&amp;" ")),1,0))+IF(Task!$A$17="",0,IF(ISNUMBER(SEARCH(" "&amp;Task!$A$17&amp;" "," "&amp;LOWER(SUBSTITUTE(SUBSTITUTE(SUBSTITUTE(SUBSTITUTE(A234,"/"," "),"."," "),"\"," "),"_"," "))&amp;" ")),1,0))+IF(Task!$A$18="",0,IF(ISNUMBER(SEARCH(" "&amp;Task!$A$18&amp;" "," "&amp;LOWER(SUBSTITUTE(SUBSTITUTE(SUBSTITUTE(SUBSTITUTE(A234,"/"," "),"."," "),"\"," "),"_"," "))&amp;" ")),1,0))+IF(Task!$A$19="",0,IF(ISNUMBER(SEARCH(" "&amp;Task!$A$19&amp;" "," "&amp;LOWER(SUBSTITUTE(SUBSTITUTE(SUBSTITUTE(SUBSTITUTE(A234,"/"," "),"."," "),"\"," "),"_"," "))&amp;" ")),1,0)))</f>
        <v/>
      </c>
      <c r="I234" s="10">
        <f>IF(OR(E234=0,F234=0,Task!$B$21=0),"",F234/Task!$B$21+0.5*G234+0.25*H234)</f>
        <v/>
      </c>
      <c r="J234" s="5">
        <f>IF(I234="","",I234-ROW()/1000000)</f>
        <v/>
      </c>
      <c r="K234" s="9">
        <f>IF(J234="","",COUNTIF($J$5:$J$404,"&gt;"&amp;J234)+1)</f>
        <v/>
      </c>
    </row>
    <row r="235">
      <c r="A235" s="7" t="n"/>
      <c r="B235" s="7" t="n"/>
      <c r="C235" s="7" t="n"/>
      <c r="D235" s="7" t="n"/>
      <c r="E235" s="5">
        <f>IF(A235="",0,IF(COUNTA(Task!$B$5:$E$5)=0,1,IF(COUNTIF(Task!$B$5:$E$5,B235)&gt;0,1,0)))</f>
        <v/>
      </c>
      <c r="F235" s="9">
        <f>IF(E235=0,0,IF(Task!$A$8="",0,IF(ISNUMBER(SEARCH(" "&amp;Task!$A$8&amp;" "," "&amp;LOWER(D235&amp;" "&amp;C235&amp;" "&amp;LOWER(SUBSTITUTE(SUBSTITUTE(SUBSTITUTE(SUBSTITUTE(A235,"/"," "),"."," "),"\"," "),"_"," ")))&amp;" ")),1,0))+IF(Task!$A$9="",0,IF(ISNUMBER(SEARCH(" "&amp;Task!$A$9&amp;" "," "&amp;LOWER(D235&amp;" "&amp;C235&amp;" "&amp;LOWER(SUBSTITUTE(SUBSTITUTE(SUBSTITUTE(SUBSTITUTE(A235,"/"," "),"."," "),"\"," "),"_"," ")))&amp;" ")),1,0))+IF(Task!$A$10="",0,IF(ISNUMBER(SEARCH(" "&amp;Task!$A$10&amp;" "," "&amp;LOWER(D235&amp;" "&amp;C235&amp;" "&amp;LOWER(SUBSTITUTE(SUBSTITUTE(SUBSTITUTE(SUBSTITUTE(A235,"/"," "),"."," "),"\"," "),"_"," ")))&amp;" ")),1,0))+IF(Task!$A$11="",0,IF(ISNUMBER(SEARCH(" "&amp;Task!$A$11&amp;" "," "&amp;LOWER(D235&amp;" "&amp;C235&amp;" "&amp;LOWER(SUBSTITUTE(SUBSTITUTE(SUBSTITUTE(SUBSTITUTE(A235,"/"," "),"."," "),"\"," "),"_"," ")))&amp;" ")),1,0))+IF(Task!$A$12="",0,IF(ISNUMBER(SEARCH(" "&amp;Task!$A$12&amp;" "," "&amp;LOWER(D235&amp;" "&amp;C235&amp;" "&amp;LOWER(SUBSTITUTE(SUBSTITUTE(SUBSTITUTE(SUBSTITUTE(A235,"/"," "),"."," "),"\"," "),"_"," ")))&amp;" ")),1,0))+IF(Task!$A$13="",0,IF(ISNUMBER(SEARCH(" "&amp;Task!$A$13&amp;" "," "&amp;LOWER(D235&amp;" "&amp;C235&amp;" "&amp;LOWER(SUBSTITUTE(SUBSTITUTE(SUBSTITUTE(SUBSTITUTE(A235,"/"," "),"."," "),"\"," "),"_"," ")))&amp;" ")),1,0))+IF(Task!$A$14="",0,IF(ISNUMBER(SEARCH(" "&amp;Task!$A$14&amp;" "," "&amp;LOWER(D235&amp;" "&amp;C235&amp;" "&amp;LOWER(SUBSTITUTE(SUBSTITUTE(SUBSTITUTE(SUBSTITUTE(A235,"/"," "),"."," "),"\"," "),"_"," ")))&amp;" ")),1,0))+IF(Task!$A$15="",0,IF(ISNUMBER(SEARCH(" "&amp;Task!$A$15&amp;" "," "&amp;LOWER(D235&amp;" "&amp;C235&amp;" "&amp;LOWER(SUBSTITUTE(SUBSTITUTE(SUBSTITUTE(SUBSTITUTE(A235,"/"," "),"."," "),"\"," "),"_"," ")))&amp;" ")),1,0))+IF(Task!$A$16="",0,IF(ISNUMBER(SEARCH(" "&amp;Task!$A$16&amp;" "," "&amp;LOWER(D235&amp;" "&amp;C235&amp;" "&amp;LOWER(SUBSTITUTE(SUBSTITUTE(SUBSTITUTE(SUBSTITUTE(A235,"/"," "),"."," "),"\"," "),"_"," ")))&amp;" ")),1,0))+IF(Task!$A$17="",0,IF(ISNUMBER(SEARCH(" "&amp;Task!$A$17&amp;" "," "&amp;LOWER(D235&amp;" "&amp;C235&amp;" "&amp;LOWER(SUBSTITUTE(SUBSTITUTE(SUBSTITUTE(SUBSTITUTE(A235,"/"," "),"."," "),"\"," "),"_"," ")))&amp;" ")),1,0))+IF(Task!$A$18="",0,IF(ISNUMBER(SEARCH(" "&amp;Task!$A$18&amp;" "," "&amp;LOWER(D235&amp;" "&amp;C235&amp;" "&amp;LOWER(SUBSTITUTE(SUBSTITUTE(SUBSTITUTE(SUBSTITUTE(A235,"/"," "),"."," "),"\"," "),"_"," ")))&amp;" ")),1,0))+IF(Task!$A$19="",0,IF(ISNUMBER(SEARCH(" "&amp;Task!$A$19&amp;" "," "&amp;LOWER(D235&amp;" "&amp;C235&amp;" "&amp;LOWER(SUBSTITUTE(SUBSTITUTE(SUBSTITUTE(SUBSTITUTE(A235,"/"," "),"."," "),"\"," "),"_"," ")))&amp;" ")),1,0)))</f>
        <v/>
      </c>
      <c r="G235" s="9">
        <f>IF(E235=0,0,IF(Task!$A$8="",0,IF(ISNUMBER(SEARCH(" "&amp;Task!$A$8&amp;" "," "&amp;LOWER(C235)&amp;" ")),1,0))+IF(Task!$A$9="",0,IF(ISNUMBER(SEARCH(" "&amp;Task!$A$9&amp;" "," "&amp;LOWER(C235)&amp;" ")),1,0))+IF(Task!$A$10="",0,IF(ISNUMBER(SEARCH(" "&amp;Task!$A$10&amp;" "," "&amp;LOWER(C235)&amp;" ")),1,0))+IF(Task!$A$11="",0,IF(ISNUMBER(SEARCH(" "&amp;Task!$A$11&amp;" "," "&amp;LOWER(C235)&amp;" ")),1,0))+IF(Task!$A$12="",0,IF(ISNUMBER(SEARCH(" "&amp;Task!$A$12&amp;" "," "&amp;LOWER(C235)&amp;" ")),1,0))+IF(Task!$A$13="",0,IF(ISNUMBER(SEARCH(" "&amp;Task!$A$13&amp;" "," "&amp;LOWER(C235)&amp;" ")),1,0))+IF(Task!$A$14="",0,IF(ISNUMBER(SEARCH(" "&amp;Task!$A$14&amp;" "," "&amp;LOWER(C235)&amp;" ")),1,0))+IF(Task!$A$15="",0,IF(ISNUMBER(SEARCH(" "&amp;Task!$A$15&amp;" "," "&amp;LOWER(C235)&amp;" ")),1,0))+IF(Task!$A$16="",0,IF(ISNUMBER(SEARCH(" "&amp;Task!$A$16&amp;" "," "&amp;LOWER(C235)&amp;" ")),1,0))+IF(Task!$A$17="",0,IF(ISNUMBER(SEARCH(" "&amp;Task!$A$17&amp;" "," "&amp;LOWER(C235)&amp;" ")),1,0))+IF(Task!$A$18="",0,IF(ISNUMBER(SEARCH(" "&amp;Task!$A$18&amp;" "," "&amp;LOWER(C235)&amp;" ")),1,0))+IF(Task!$A$19="",0,IF(ISNUMBER(SEARCH(" "&amp;Task!$A$19&amp;" "," "&amp;LOWER(C235)&amp;" ")),1,0)))</f>
        <v/>
      </c>
      <c r="H235" s="9">
        <f>IF(E235=0,0,IF(Task!$A$8="",0,IF(ISNUMBER(SEARCH(" "&amp;Task!$A$8&amp;" "," "&amp;LOWER(SUBSTITUTE(SUBSTITUTE(SUBSTITUTE(SUBSTITUTE(A235,"/"," "),"."," "),"\"," "),"_"," "))&amp;" ")),1,0))+IF(Task!$A$9="",0,IF(ISNUMBER(SEARCH(" "&amp;Task!$A$9&amp;" "," "&amp;LOWER(SUBSTITUTE(SUBSTITUTE(SUBSTITUTE(SUBSTITUTE(A235,"/"," "),"."," "),"\"," "),"_"," "))&amp;" ")),1,0))+IF(Task!$A$10="",0,IF(ISNUMBER(SEARCH(" "&amp;Task!$A$10&amp;" "," "&amp;LOWER(SUBSTITUTE(SUBSTITUTE(SUBSTITUTE(SUBSTITUTE(A235,"/"," "),"."," "),"\"," "),"_"," "))&amp;" ")),1,0))+IF(Task!$A$11="",0,IF(ISNUMBER(SEARCH(" "&amp;Task!$A$11&amp;" "," "&amp;LOWER(SUBSTITUTE(SUBSTITUTE(SUBSTITUTE(SUBSTITUTE(A235,"/"," "),"."," "),"\"," "),"_"," "))&amp;" ")),1,0))+IF(Task!$A$12="",0,IF(ISNUMBER(SEARCH(" "&amp;Task!$A$12&amp;" "," "&amp;LOWER(SUBSTITUTE(SUBSTITUTE(SUBSTITUTE(SUBSTITUTE(A235,"/"," "),"."," "),"\"," "),"_"," "))&amp;" ")),1,0))+IF(Task!$A$13="",0,IF(ISNUMBER(SEARCH(" "&amp;Task!$A$13&amp;" "," "&amp;LOWER(SUBSTITUTE(SUBSTITUTE(SUBSTITUTE(SUBSTITUTE(A235,"/"," "),"."," "),"\"," "),"_"," "))&amp;" ")),1,0))+IF(Task!$A$14="",0,IF(ISNUMBER(SEARCH(" "&amp;Task!$A$14&amp;" "," "&amp;LOWER(SUBSTITUTE(SUBSTITUTE(SUBSTITUTE(SUBSTITUTE(A235,"/"," "),"."," "),"\"," "),"_"," "))&amp;" ")),1,0))+IF(Task!$A$15="",0,IF(ISNUMBER(SEARCH(" "&amp;Task!$A$15&amp;" "," "&amp;LOWER(SUBSTITUTE(SUBSTITUTE(SUBSTITUTE(SUBSTITUTE(A235,"/"," "),"."," "),"\"," "),"_"," "))&amp;" ")),1,0))+IF(Task!$A$16="",0,IF(ISNUMBER(SEARCH(" "&amp;Task!$A$16&amp;" "," "&amp;LOWER(SUBSTITUTE(SUBSTITUTE(SUBSTITUTE(SUBSTITUTE(A235,"/"," "),"."," "),"\"," "),"_"," "))&amp;" ")),1,0))+IF(Task!$A$17="",0,IF(ISNUMBER(SEARCH(" "&amp;Task!$A$17&amp;" "," "&amp;LOWER(SUBSTITUTE(SUBSTITUTE(SUBSTITUTE(SUBSTITUTE(A235,"/"," "),"."," "),"\"," "),"_"," "))&amp;" ")),1,0))+IF(Task!$A$18="",0,IF(ISNUMBER(SEARCH(" "&amp;Task!$A$18&amp;" "," "&amp;LOWER(SUBSTITUTE(SUBSTITUTE(SUBSTITUTE(SUBSTITUTE(A235,"/"," "),"."," "),"\"," "),"_"," "))&amp;" ")),1,0))+IF(Task!$A$19="",0,IF(ISNUMBER(SEARCH(" "&amp;Task!$A$19&amp;" "," "&amp;LOWER(SUBSTITUTE(SUBSTITUTE(SUBSTITUTE(SUBSTITUTE(A235,"/"," "),"."," "),"\"," "),"_"," "))&amp;" ")),1,0)))</f>
        <v/>
      </c>
      <c r="I235" s="10">
        <f>IF(OR(E235=0,F235=0,Task!$B$21=0),"",F235/Task!$B$21+0.5*G235+0.25*H235)</f>
        <v/>
      </c>
      <c r="J235" s="5">
        <f>IF(I235="","",I235-ROW()/1000000)</f>
        <v/>
      </c>
      <c r="K235" s="9">
        <f>IF(J235="","",COUNTIF($J$5:$J$404,"&gt;"&amp;J235)+1)</f>
        <v/>
      </c>
    </row>
    <row r="236">
      <c r="A236" s="7" t="n"/>
      <c r="B236" s="7" t="n"/>
      <c r="C236" s="7" t="n"/>
      <c r="D236" s="7" t="n"/>
      <c r="E236" s="5">
        <f>IF(A236="",0,IF(COUNTA(Task!$B$5:$E$5)=0,1,IF(COUNTIF(Task!$B$5:$E$5,B236)&gt;0,1,0)))</f>
        <v/>
      </c>
      <c r="F236" s="9">
        <f>IF(E236=0,0,IF(Task!$A$8="",0,IF(ISNUMBER(SEARCH(" "&amp;Task!$A$8&amp;" "," "&amp;LOWER(D236&amp;" "&amp;C236&amp;" "&amp;LOWER(SUBSTITUTE(SUBSTITUTE(SUBSTITUTE(SUBSTITUTE(A236,"/"," "),"."," "),"\"," "),"_"," ")))&amp;" ")),1,0))+IF(Task!$A$9="",0,IF(ISNUMBER(SEARCH(" "&amp;Task!$A$9&amp;" "," "&amp;LOWER(D236&amp;" "&amp;C236&amp;" "&amp;LOWER(SUBSTITUTE(SUBSTITUTE(SUBSTITUTE(SUBSTITUTE(A236,"/"," "),"."," "),"\"," "),"_"," ")))&amp;" ")),1,0))+IF(Task!$A$10="",0,IF(ISNUMBER(SEARCH(" "&amp;Task!$A$10&amp;" "," "&amp;LOWER(D236&amp;" "&amp;C236&amp;" "&amp;LOWER(SUBSTITUTE(SUBSTITUTE(SUBSTITUTE(SUBSTITUTE(A236,"/"," "),"."," "),"\"," "),"_"," ")))&amp;" ")),1,0))+IF(Task!$A$11="",0,IF(ISNUMBER(SEARCH(" "&amp;Task!$A$11&amp;" "," "&amp;LOWER(D236&amp;" "&amp;C236&amp;" "&amp;LOWER(SUBSTITUTE(SUBSTITUTE(SUBSTITUTE(SUBSTITUTE(A236,"/"," "),"."," "),"\"," "),"_"," ")))&amp;" ")),1,0))+IF(Task!$A$12="",0,IF(ISNUMBER(SEARCH(" "&amp;Task!$A$12&amp;" "," "&amp;LOWER(D236&amp;" "&amp;C236&amp;" "&amp;LOWER(SUBSTITUTE(SUBSTITUTE(SUBSTITUTE(SUBSTITUTE(A236,"/"," "),"."," "),"\"," "),"_"," ")))&amp;" ")),1,0))+IF(Task!$A$13="",0,IF(ISNUMBER(SEARCH(" "&amp;Task!$A$13&amp;" "," "&amp;LOWER(D236&amp;" "&amp;C236&amp;" "&amp;LOWER(SUBSTITUTE(SUBSTITUTE(SUBSTITUTE(SUBSTITUTE(A236,"/"," "),"."," "),"\"," "),"_"," ")))&amp;" ")),1,0))+IF(Task!$A$14="",0,IF(ISNUMBER(SEARCH(" "&amp;Task!$A$14&amp;" "," "&amp;LOWER(D236&amp;" "&amp;C236&amp;" "&amp;LOWER(SUBSTITUTE(SUBSTITUTE(SUBSTITUTE(SUBSTITUTE(A236,"/"," "),"."," "),"\"," "),"_"," ")))&amp;" ")),1,0))+IF(Task!$A$15="",0,IF(ISNUMBER(SEARCH(" "&amp;Task!$A$15&amp;" "," "&amp;LOWER(D236&amp;" "&amp;C236&amp;" "&amp;LOWER(SUBSTITUTE(SUBSTITUTE(SUBSTITUTE(SUBSTITUTE(A236,"/"," "),"."," "),"\"," "),"_"," ")))&amp;" ")),1,0))+IF(Task!$A$16="",0,IF(ISNUMBER(SEARCH(" "&amp;Task!$A$16&amp;" "," "&amp;LOWER(D236&amp;" "&amp;C236&amp;" "&amp;LOWER(SUBSTITUTE(SUBSTITUTE(SUBSTITUTE(SUBSTITUTE(A236,"/"," "),"."," "),"\"," "),"_"," ")))&amp;" ")),1,0))+IF(Task!$A$17="",0,IF(ISNUMBER(SEARCH(" "&amp;Task!$A$17&amp;" "," "&amp;LOWER(D236&amp;" "&amp;C236&amp;" "&amp;LOWER(SUBSTITUTE(SUBSTITUTE(SUBSTITUTE(SUBSTITUTE(A236,"/"," "),"."," "),"\"," "),"_"," ")))&amp;" ")),1,0))+IF(Task!$A$18="",0,IF(ISNUMBER(SEARCH(" "&amp;Task!$A$18&amp;" "," "&amp;LOWER(D236&amp;" "&amp;C236&amp;" "&amp;LOWER(SUBSTITUTE(SUBSTITUTE(SUBSTITUTE(SUBSTITUTE(A236,"/"," "),"."," "),"\"," "),"_"," ")))&amp;" ")),1,0))+IF(Task!$A$19="",0,IF(ISNUMBER(SEARCH(" "&amp;Task!$A$19&amp;" "," "&amp;LOWER(D236&amp;" "&amp;C236&amp;" "&amp;LOWER(SUBSTITUTE(SUBSTITUTE(SUBSTITUTE(SUBSTITUTE(A236,"/"," "),"."," "),"\"," "),"_"," ")))&amp;" ")),1,0)))</f>
        <v/>
      </c>
      <c r="G236" s="9">
        <f>IF(E236=0,0,IF(Task!$A$8="",0,IF(ISNUMBER(SEARCH(" "&amp;Task!$A$8&amp;" "," "&amp;LOWER(C236)&amp;" ")),1,0))+IF(Task!$A$9="",0,IF(ISNUMBER(SEARCH(" "&amp;Task!$A$9&amp;" "," "&amp;LOWER(C236)&amp;" ")),1,0))+IF(Task!$A$10="",0,IF(ISNUMBER(SEARCH(" "&amp;Task!$A$10&amp;" "," "&amp;LOWER(C236)&amp;" ")),1,0))+IF(Task!$A$11="",0,IF(ISNUMBER(SEARCH(" "&amp;Task!$A$11&amp;" "," "&amp;LOWER(C236)&amp;" ")),1,0))+IF(Task!$A$12="",0,IF(ISNUMBER(SEARCH(" "&amp;Task!$A$12&amp;" "," "&amp;LOWER(C236)&amp;" ")),1,0))+IF(Task!$A$13="",0,IF(ISNUMBER(SEARCH(" "&amp;Task!$A$13&amp;" "," "&amp;LOWER(C236)&amp;" ")),1,0))+IF(Task!$A$14="",0,IF(ISNUMBER(SEARCH(" "&amp;Task!$A$14&amp;" "," "&amp;LOWER(C236)&amp;" ")),1,0))+IF(Task!$A$15="",0,IF(ISNUMBER(SEARCH(" "&amp;Task!$A$15&amp;" "," "&amp;LOWER(C236)&amp;" ")),1,0))+IF(Task!$A$16="",0,IF(ISNUMBER(SEARCH(" "&amp;Task!$A$16&amp;" "," "&amp;LOWER(C236)&amp;" ")),1,0))+IF(Task!$A$17="",0,IF(ISNUMBER(SEARCH(" "&amp;Task!$A$17&amp;" "," "&amp;LOWER(C236)&amp;" ")),1,0))+IF(Task!$A$18="",0,IF(ISNUMBER(SEARCH(" "&amp;Task!$A$18&amp;" "," "&amp;LOWER(C236)&amp;" ")),1,0))+IF(Task!$A$19="",0,IF(ISNUMBER(SEARCH(" "&amp;Task!$A$19&amp;" "," "&amp;LOWER(C236)&amp;" ")),1,0)))</f>
        <v/>
      </c>
      <c r="H236" s="9">
        <f>IF(E236=0,0,IF(Task!$A$8="",0,IF(ISNUMBER(SEARCH(" "&amp;Task!$A$8&amp;" "," "&amp;LOWER(SUBSTITUTE(SUBSTITUTE(SUBSTITUTE(SUBSTITUTE(A236,"/"," "),"."," "),"\"," "),"_"," "))&amp;" ")),1,0))+IF(Task!$A$9="",0,IF(ISNUMBER(SEARCH(" "&amp;Task!$A$9&amp;" "," "&amp;LOWER(SUBSTITUTE(SUBSTITUTE(SUBSTITUTE(SUBSTITUTE(A236,"/"," "),"."," "),"\"," "),"_"," "))&amp;" ")),1,0))+IF(Task!$A$10="",0,IF(ISNUMBER(SEARCH(" "&amp;Task!$A$10&amp;" "," "&amp;LOWER(SUBSTITUTE(SUBSTITUTE(SUBSTITUTE(SUBSTITUTE(A236,"/"," "),"."," "),"\"," "),"_"," "))&amp;" ")),1,0))+IF(Task!$A$11="",0,IF(ISNUMBER(SEARCH(" "&amp;Task!$A$11&amp;" "," "&amp;LOWER(SUBSTITUTE(SUBSTITUTE(SUBSTITUTE(SUBSTITUTE(A236,"/"," "),"."," "),"\"," "),"_"," "))&amp;" ")),1,0))+IF(Task!$A$12="",0,IF(ISNUMBER(SEARCH(" "&amp;Task!$A$12&amp;" "," "&amp;LOWER(SUBSTITUTE(SUBSTITUTE(SUBSTITUTE(SUBSTITUTE(A236,"/"," "),"."," "),"\"," "),"_"," "))&amp;" ")),1,0))+IF(Task!$A$13="",0,IF(ISNUMBER(SEARCH(" "&amp;Task!$A$13&amp;" "," "&amp;LOWER(SUBSTITUTE(SUBSTITUTE(SUBSTITUTE(SUBSTITUTE(A236,"/"," "),"."," "),"\"," "),"_"," "))&amp;" ")),1,0))+IF(Task!$A$14="",0,IF(ISNUMBER(SEARCH(" "&amp;Task!$A$14&amp;" "," "&amp;LOWER(SUBSTITUTE(SUBSTITUTE(SUBSTITUTE(SUBSTITUTE(A236,"/"," "),"."," "),"\"," "),"_"," "))&amp;" ")),1,0))+IF(Task!$A$15="",0,IF(ISNUMBER(SEARCH(" "&amp;Task!$A$15&amp;" "," "&amp;LOWER(SUBSTITUTE(SUBSTITUTE(SUBSTITUTE(SUBSTITUTE(A236,"/"," "),"."," "),"\"," "),"_"," "))&amp;" ")),1,0))+IF(Task!$A$16="",0,IF(ISNUMBER(SEARCH(" "&amp;Task!$A$16&amp;" "," "&amp;LOWER(SUBSTITUTE(SUBSTITUTE(SUBSTITUTE(SUBSTITUTE(A236,"/"," "),"."," "),"\"," "),"_"," "))&amp;" ")),1,0))+IF(Task!$A$17="",0,IF(ISNUMBER(SEARCH(" "&amp;Task!$A$17&amp;" "," "&amp;LOWER(SUBSTITUTE(SUBSTITUTE(SUBSTITUTE(SUBSTITUTE(A236,"/"," "),"."," "),"\"," "),"_"," "))&amp;" ")),1,0))+IF(Task!$A$18="",0,IF(ISNUMBER(SEARCH(" "&amp;Task!$A$18&amp;" "," "&amp;LOWER(SUBSTITUTE(SUBSTITUTE(SUBSTITUTE(SUBSTITUTE(A236,"/"," "),"."," "),"\"," "),"_"," "))&amp;" ")),1,0))+IF(Task!$A$19="",0,IF(ISNUMBER(SEARCH(" "&amp;Task!$A$19&amp;" "," "&amp;LOWER(SUBSTITUTE(SUBSTITUTE(SUBSTITUTE(SUBSTITUTE(A236,"/"," "),"."," "),"\"," "),"_"," "))&amp;" ")),1,0)))</f>
        <v/>
      </c>
      <c r="I236" s="10">
        <f>IF(OR(E236=0,F236=0,Task!$B$21=0),"",F236/Task!$B$21+0.5*G236+0.25*H236)</f>
        <v/>
      </c>
      <c r="J236" s="5">
        <f>IF(I236="","",I236-ROW()/1000000)</f>
        <v/>
      </c>
      <c r="K236" s="9">
        <f>IF(J236="","",COUNTIF($J$5:$J$404,"&gt;"&amp;J236)+1)</f>
        <v/>
      </c>
    </row>
    <row r="237">
      <c r="A237" s="7" t="n"/>
      <c r="B237" s="7" t="n"/>
      <c r="C237" s="7" t="n"/>
      <c r="D237" s="7" t="n"/>
      <c r="E237" s="5">
        <f>IF(A237="",0,IF(COUNTA(Task!$B$5:$E$5)=0,1,IF(COUNTIF(Task!$B$5:$E$5,B237)&gt;0,1,0)))</f>
        <v/>
      </c>
      <c r="F237" s="9">
        <f>IF(E237=0,0,IF(Task!$A$8="",0,IF(ISNUMBER(SEARCH(" "&amp;Task!$A$8&amp;" "," "&amp;LOWER(D237&amp;" "&amp;C237&amp;" "&amp;LOWER(SUBSTITUTE(SUBSTITUTE(SUBSTITUTE(SUBSTITUTE(A237,"/"," "),"."," "),"\"," "),"_"," ")))&amp;" ")),1,0))+IF(Task!$A$9="",0,IF(ISNUMBER(SEARCH(" "&amp;Task!$A$9&amp;" "," "&amp;LOWER(D237&amp;" "&amp;C237&amp;" "&amp;LOWER(SUBSTITUTE(SUBSTITUTE(SUBSTITUTE(SUBSTITUTE(A237,"/"," "),"."," "),"\"," "),"_"," ")))&amp;" ")),1,0))+IF(Task!$A$10="",0,IF(ISNUMBER(SEARCH(" "&amp;Task!$A$10&amp;" "," "&amp;LOWER(D237&amp;" "&amp;C237&amp;" "&amp;LOWER(SUBSTITUTE(SUBSTITUTE(SUBSTITUTE(SUBSTITUTE(A237,"/"," "),"."," "),"\"," "),"_"," ")))&amp;" ")),1,0))+IF(Task!$A$11="",0,IF(ISNUMBER(SEARCH(" "&amp;Task!$A$11&amp;" "," "&amp;LOWER(D237&amp;" "&amp;C237&amp;" "&amp;LOWER(SUBSTITUTE(SUBSTITUTE(SUBSTITUTE(SUBSTITUTE(A237,"/"," "),"."," "),"\"," "),"_"," ")))&amp;" ")),1,0))+IF(Task!$A$12="",0,IF(ISNUMBER(SEARCH(" "&amp;Task!$A$12&amp;" "," "&amp;LOWER(D237&amp;" "&amp;C237&amp;" "&amp;LOWER(SUBSTITUTE(SUBSTITUTE(SUBSTITUTE(SUBSTITUTE(A237,"/"," "),"."," "),"\"," "),"_"," ")))&amp;" ")),1,0))+IF(Task!$A$13="",0,IF(ISNUMBER(SEARCH(" "&amp;Task!$A$13&amp;" "," "&amp;LOWER(D237&amp;" "&amp;C237&amp;" "&amp;LOWER(SUBSTITUTE(SUBSTITUTE(SUBSTITUTE(SUBSTITUTE(A237,"/"," "),"."," "),"\"," "),"_"," ")))&amp;" ")),1,0))+IF(Task!$A$14="",0,IF(ISNUMBER(SEARCH(" "&amp;Task!$A$14&amp;" "," "&amp;LOWER(D237&amp;" "&amp;C237&amp;" "&amp;LOWER(SUBSTITUTE(SUBSTITUTE(SUBSTITUTE(SUBSTITUTE(A237,"/"," "),"."," "),"\"," "),"_"," ")))&amp;" ")),1,0))+IF(Task!$A$15="",0,IF(ISNUMBER(SEARCH(" "&amp;Task!$A$15&amp;" "," "&amp;LOWER(D237&amp;" "&amp;C237&amp;" "&amp;LOWER(SUBSTITUTE(SUBSTITUTE(SUBSTITUTE(SUBSTITUTE(A237,"/"," "),"."," "),"\"," "),"_"," ")))&amp;" ")),1,0))+IF(Task!$A$16="",0,IF(ISNUMBER(SEARCH(" "&amp;Task!$A$16&amp;" "," "&amp;LOWER(D237&amp;" "&amp;C237&amp;" "&amp;LOWER(SUBSTITUTE(SUBSTITUTE(SUBSTITUTE(SUBSTITUTE(A237,"/"," "),"."," "),"\"," "),"_"," ")))&amp;" ")),1,0))+IF(Task!$A$17="",0,IF(ISNUMBER(SEARCH(" "&amp;Task!$A$17&amp;" "," "&amp;LOWER(D237&amp;" "&amp;C237&amp;" "&amp;LOWER(SUBSTITUTE(SUBSTITUTE(SUBSTITUTE(SUBSTITUTE(A237,"/"," "),"."," "),"\"," "),"_"," ")))&amp;" ")),1,0))+IF(Task!$A$18="",0,IF(ISNUMBER(SEARCH(" "&amp;Task!$A$18&amp;" "," "&amp;LOWER(D237&amp;" "&amp;C237&amp;" "&amp;LOWER(SUBSTITUTE(SUBSTITUTE(SUBSTITUTE(SUBSTITUTE(A237,"/"," "),"."," "),"\"," "),"_"," ")))&amp;" ")),1,0))+IF(Task!$A$19="",0,IF(ISNUMBER(SEARCH(" "&amp;Task!$A$19&amp;" "," "&amp;LOWER(D237&amp;" "&amp;C237&amp;" "&amp;LOWER(SUBSTITUTE(SUBSTITUTE(SUBSTITUTE(SUBSTITUTE(A237,"/"," "),"."," "),"\"," "),"_"," ")))&amp;" ")),1,0)))</f>
        <v/>
      </c>
      <c r="G237" s="9">
        <f>IF(E237=0,0,IF(Task!$A$8="",0,IF(ISNUMBER(SEARCH(" "&amp;Task!$A$8&amp;" "," "&amp;LOWER(C237)&amp;" ")),1,0))+IF(Task!$A$9="",0,IF(ISNUMBER(SEARCH(" "&amp;Task!$A$9&amp;" "," "&amp;LOWER(C237)&amp;" ")),1,0))+IF(Task!$A$10="",0,IF(ISNUMBER(SEARCH(" "&amp;Task!$A$10&amp;" "," "&amp;LOWER(C237)&amp;" ")),1,0))+IF(Task!$A$11="",0,IF(ISNUMBER(SEARCH(" "&amp;Task!$A$11&amp;" "," "&amp;LOWER(C237)&amp;" ")),1,0))+IF(Task!$A$12="",0,IF(ISNUMBER(SEARCH(" "&amp;Task!$A$12&amp;" "," "&amp;LOWER(C237)&amp;" ")),1,0))+IF(Task!$A$13="",0,IF(ISNUMBER(SEARCH(" "&amp;Task!$A$13&amp;" "," "&amp;LOWER(C237)&amp;" ")),1,0))+IF(Task!$A$14="",0,IF(ISNUMBER(SEARCH(" "&amp;Task!$A$14&amp;" "," "&amp;LOWER(C237)&amp;" ")),1,0))+IF(Task!$A$15="",0,IF(ISNUMBER(SEARCH(" "&amp;Task!$A$15&amp;" "," "&amp;LOWER(C237)&amp;" ")),1,0))+IF(Task!$A$16="",0,IF(ISNUMBER(SEARCH(" "&amp;Task!$A$16&amp;" "," "&amp;LOWER(C237)&amp;" ")),1,0))+IF(Task!$A$17="",0,IF(ISNUMBER(SEARCH(" "&amp;Task!$A$17&amp;" "," "&amp;LOWER(C237)&amp;" ")),1,0))+IF(Task!$A$18="",0,IF(ISNUMBER(SEARCH(" "&amp;Task!$A$18&amp;" "," "&amp;LOWER(C237)&amp;" ")),1,0))+IF(Task!$A$19="",0,IF(ISNUMBER(SEARCH(" "&amp;Task!$A$19&amp;" "," "&amp;LOWER(C237)&amp;" ")),1,0)))</f>
        <v/>
      </c>
      <c r="H237" s="9">
        <f>IF(E237=0,0,IF(Task!$A$8="",0,IF(ISNUMBER(SEARCH(" "&amp;Task!$A$8&amp;" "," "&amp;LOWER(SUBSTITUTE(SUBSTITUTE(SUBSTITUTE(SUBSTITUTE(A237,"/"," "),"."," "),"\"," "),"_"," "))&amp;" ")),1,0))+IF(Task!$A$9="",0,IF(ISNUMBER(SEARCH(" "&amp;Task!$A$9&amp;" "," "&amp;LOWER(SUBSTITUTE(SUBSTITUTE(SUBSTITUTE(SUBSTITUTE(A237,"/"," "),"."," "),"\"," "),"_"," "))&amp;" ")),1,0))+IF(Task!$A$10="",0,IF(ISNUMBER(SEARCH(" "&amp;Task!$A$10&amp;" "," "&amp;LOWER(SUBSTITUTE(SUBSTITUTE(SUBSTITUTE(SUBSTITUTE(A237,"/"," "),"."," "),"\"," "),"_"," "))&amp;" ")),1,0))+IF(Task!$A$11="",0,IF(ISNUMBER(SEARCH(" "&amp;Task!$A$11&amp;" "," "&amp;LOWER(SUBSTITUTE(SUBSTITUTE(SUBSTITUTE(SUBSTITUTE(A237,"/"," "),"."," "),"\"," "),"_"," "))&amp;" ")),1,0))+IF(Task!$A$12="",0,IF(ISNUMBER(SEARCH(" "&amp;Task!$A$12&amp;" "," "&amp;LOWER(SUBSTITUTE(SUBSTITUTE(SUBSTITUTE(SUBSTITUTE(A237,"/"," "),"."," "),"\"," "),"_"," "))&amp;" ")),1,0))+IF(Task!$A$13="",0,IF(ISNUMBER(SEARCH(" "&amp;Task!$A$13&amp;" "," "&amp;LOWER(SUBSTITUTE(SUBSTITUTE(SUBSTITUTE(SUBSTITUTE(A237,"/"," "),"."," "),"\"," "),"_"," "))&amp;" ")),1,0))+IF(Task!$A$14="",0,IF(ISNUMBER(SEARCH(" "&amp;Task!$A$14&amp;" "," "&amp;LOWER(SUBSTITUTE(SUBSTITUTE(SUBSTITUTE(SUBSTITUTE(A237,"/"," "),"."," "),"\"," "),"_"," "))&amp;" ")),1,0))+IF(Task!$A$15="",0,IF(ISNUMBER(SEARCH(" "&amp;Task!$A$15&amp;" "," "&amp;LOWER(SUBSTITUTE(SUBSTITUTE(SUBSTITUTE(SUBSTITUTE(A237,"/"," "),"."," "),"\"," "),"_"," "))&amp;" ")),1,0))+IF(Task!$A$16="",0,IF(ISNUMBER(SEARCH(" "&amp;Task!$A$16&amp;" "," "&amp;LOWER(SUBSTITUTE(SUBSTITUTE(SUBSTITUTE(SUBSTITUTE(A237,"/"," "),"."," "),"\"," "),"_"," "))&amp;" ")),1,0))+IF(Task!$A$17="",0,IF(ISNUMBER(SEARCH(" "&amp;Task!$A$17&amp;" "," "&amp;LOWER(SUBSTITUTE(SUBSTITUTE(SUBSTITUTE(SUBSTITUTE(A237,"/"," "),"."," "),"\"," "),"_"," "))&amp;" ")),1,0))+IF(Task!$A$18="",0,IF(ISNUMBER(SEARCH(" "&amp;Task!$A$18&amp;" "," "&amp;LOWER(SUBSTITUTE(SUBSTITUTE(SUBSTITUTE(SUBSTITUTE(A237,"/"," "),"."," "),"\"," "),"_"," "))&amp;" ")),1,0))+IF(Task!$A$19="",0,IF(ISNUMBER(SEARCH(" "&amp;Task!$A$19&amp;" "," "&amp;LOWER(SUBSTITUTE(SUBSTITUTE(SUBSTITUTE(SUBSTITUTE(A237,"/"," "),"."," "),"\"," "),"_"," "))&amp;" ")),1,0)))</f>
        <v/>
      </c>
      <c r="I237" s="10">
        <f>IF(OR(E237=0,F237=0,Task!$B$21=0),"",F237/Task!$B$21+0.5*G237+0.25*H237)</f>
        <v/>
      </c>
      <c r="J237" s="5">
        <f>IF(I237="","",I237-ROW()/1000000)</f>
        <v/>
      </c>
      <c r="K237" s="9">
        <f>IF(J237="","",COUNTIF($J$5:$J$404,"&gt;"&amp;J237)+1)</f>
        <v/>
      </c>
    </row>
    <row r="238">
      <c r="A238" s="7" t="n"/>
      <c r="B238" s="7" t="n"/>
      <c r="C238" s="7" t="n"/>
      <c r="D238" s="7" t="n"/>
      <c r="E238" s="5">
        <f>IF(A238="",0,IF(COUNTA(Task!$B$5:$E$5)=0,1,IF(COUNTIF(Task!$B$5:$E$5,B238)&gt;0,1,0)))</f>
        <v/>
      </c>
      <c r="F238" s="9">
        <f>IF(E238=0,0,IF(Task!$A$8="",0,IF(ISNUMBER(SEARCH(" "&amp;Task!$A$8&amp;" "," "&amp;LOWER(D238&amp;" "&amp;C238&amp;" "&amp;LOWER(SUBSTITUTE(SUBSTITUTE(SUBSTITUTE(SUBSTITUTE(A238,"/"," "),"."," "),"\"," "),"_"," ")))&amp;" ")),1,0))+IF(Task!$A$9="",0,IF(ISNUMBER(SEARCH(" "&amp;Task!$A$9&amp;" "," "&amp;LOWER(D238&amp;" "&amp;C238&amp;" "&amp;LOWER(SUBSTITUTE(SUBSTITUTE(SUBSTITUTE(SUBSTITUTE(A238,"/"," "),"."," "),"\"," "),"_"," ")))&amp;" ")),1,0))+IF(Task!$A$10="",0,IF(ISNUMBER(SEARCH(" "&amp;Task!$A$10&amp;" "," "&amp;LOWER(D238&amp;" "&amp;C238&amp;" "&amp;LOWER(SUBSTITUTE(SUBSTITUTE(SUBSTITUTE(SUBSTITUTE(A238,"/"," "),"."," "),"\"," "),"_"," ")))&amp;" ")),1,0))+IF(Task!$A$11="",0,IF(ISNUMBER(SEARCH(" "&amp;Task!$A$11&amp;" "," "&amp;LOWER(D238&amp;" "&amp;C238&amp;" "&amp;LOWER(SUBSTITUTE(SUBSTITUTE(SUBSTITUTE(SUBSTITUTE(A238,"/"," "),"."," "),"\"," "),"_"," ")))&amp;" ")),1,0))+IF(Task!$A$12="",0,IF(ISNUMBER(SEARCH(" "&amp;Task!$A$12&amp;" "," "&amp;LOWER(D238&amp;" "&amp;C238&amp;" "&amp;LOWER(SUBSTITUTE(SUBSTITUTE(SUBSTITUTE(SUBSTITUTE(A238,"/"," "),"."," "),"\"," "),"_"," ")))&amp;" ")),1,0))+IF(Task!$A$13="",0,IF(ISNUMBER(SEARCH(" "&amp;Task!$A$13&amp;" "," "&amp;LOWER(D238&amp;" "&amp;C238&amp;" "&amp;LOWER(SUBSTITUTE(SUBSTITUTE(SUBSTITUTE(SUBSTITUTE(A238,"/"," "),"."," "),"\"," "),"_"," ")))&amp;" ")),1,0))+IF(Task!$A$14="",0,IF(ISNUMBER(SEARCH(" "&amp;Task!$A$14&amp;" "," "&amp;LOWER(D238&amp;" "&amp;C238&amp;" "&amp;LOWER(SUBSTITUTE(SUBSTITUTE(SUBSTITUTE(SUBSTITUTE(A238,"/"," "),"."," "),"\"," "),"_"," ")))&amp;" ")),1,0))+IF(Task!$A$15="",0,IF(ISNUMBER(SEARCH(" "&amp;Task!$A$15&amp;" "," "&amp;LOWER(D238&amp;" "&amp;C238&amp;" "&amp;LOWER(SUBSTITUTE(SUBSTITUTE(SUBSTITUTE(SUBSTITUTE(A238,"/"," "),"."," "),"\"," "),"_"," ")))&amp;" ")),1,0))+IF(Task!$A$16="",0,IF(ISNUMBER(SEARCH(" "&amp;Task!$A$16&amp;" "," "&amp;LOWER(D238&amp;" "&amp;C238&amp;" "&amp;LOWER(SUBSTITUTE(SUBSTITUTE(SUBSTITUTE(SUBSTITUTE(A238,"/"," "),"."," "),"\"," "),"_"," ")))&amp;" ")),1,0))+IF(Task!$A$17="",0,IF(ISNUMBER(SEARCH(" "&amp;Task!$A$17&amp;" "," "&amp;LOWER(D238&amp;" "&amp;C238&amp;" "&amp;LOWER(SUBSTITUTE(SUBSTITUTE(SUBSTITUTE(SUBSTITUTE(A238,"/"," "),"."," "),"\"," "),"_"," ")))&amp;" ")),1,0))+IF(Task!$A$18="",0,IF(ISNUMBER(SEARCH(" "&amp;Task!$A$18&amp;" "," "&amp;LOWER(D238&amp;" "&amp;C238&amp;" "&amp;LOWER(SUBSTITUTE(SUBSTITUTE(SUBSTITUTE(SUBSTITUTE(A238,"/"," "),"."," "),"\"," "),"_"," ")))&amp;" ")),1,0))+IF(Task!$A$19="",0,IF(ISNUMBER(SEARCH(" "&amp;Task!$A$19&amp;" "," "&amp;LOWER(D238&amp;" "&amp;C238&amp;" "&amp;LOWER(SUBSTITUTE(SUBSTITUTE(SUBSTITUTE(SUBSTITUTE(A238,"/"," "),"."," "),"\"," "),"_"," ")))&amp;" ")),1,0)))</f>
        <v/>
      </c>
      <c r="G238" s="9">
        <f>IF(E238=0,0,IF(Task!$A$8="",0,IF(ISNUMBER(SEARCH(" "&amp;Task!$A$8&amp;" "," "&amp;LOWER(C238)&amp;" ")),1,0))+IF(Task!$A$9="",0,IF(ISNUMBER(SEARCH(" "&amp;Task!$A$9&amp;" "," "&amp;LOWER(C238)&amp;" ")),1,0))+IF(Task!$A$10="",0,IF(ISNUMBER(SEARCH(" "&amp;Task!$A$10&amp;" "," "&amp;LOWER(C238)&amp;" ")),1,0))+IF(Task!$A$11="",0,IF(ISNUMBER(SEARCH(" "&amp;Task!$A$11&amp;" "," "&amp;LOWER(C238)&amp;" ")),1,0))+IF(Task!$A$12="",0,IF(ISNUMBER(SEARCH(" "&amp;Task!$A$12&amp;" "," "&amp;LOWER(C238)&amp;" ")),1,0))+IF(Task!$A$13="",0,IF(ISNUMBER(SEARCH(" "&amp;Task!$A$13&amp;" "," "&amp;LOWER(C238)&amp;" ")),1,0))+IF(Task!$A$14="",0,IF(ISNUMBER(SEARCH(" "&amp;Task!$A$14&amp;" "," "&amp;LOWER(C238)&amp;" ")),1,0))+IF(Task!$A$15="",0,IF(ISNUMBER(SEARCH(" "&amp;Task!$A$15&amp;" "," "&amp;LOWER(C238)&amp;" ")),1,0))+IF(Task!$A$16="",0,IF(ISNUMBER(SEARCH(" "&amp;Task!$A$16&amp;" "," "&amp;LOWER(C238)&amp;" ")),1,0))+IF(Task!$A$17="",0,IF(ISNUMBER(SEARCH(" "&amp;Task!$A$17&amp;" "," "&amp;LOWER(C238)&amp;" ")),1,0))+IF(Task!$A$18="",0,IF(ISNUMBER(SEARCH(" "&amp;Task!$A$18&amp;" "," "&amp;LOWER(C238)&amp;" ")),1,0))+IF(Task!$A$19="",0,IF(ISNUMBER(SEARCH(" "&amp;Task!$A$19&amp;" "," "&amp;LOWER(C238)&amp;" ")),1,0)))</f>
        <v/>
      </c>
      <c r="H238" s="9">
        <f>IF(E238=0,0,IF(Task!$A$8="",0,IF(ISNUMBER(SEARCH(" "&amp;Task!$A$8&amp;" "," "&amp;LOWER(SUBSTITUTE(SUBSTITUTE(SUBSTITUTE(SUBSTITUTE(A238,"/"," "),"."," "),"\"," "),"_"," "))&amp;" ")),1,0))+IF(Task!$A$9="",0,IF(ISNUMBER(SEARCH(" "&amp;Task!$A$9&amp;" "," "&amp;LOWER(SUBSTITUTE(SUBSTITUTE(SUBSTITUTE(SUBSTITUTE(A238,"/"," "),"."," "),"\"," "),"_"," "))&amp;" ")),1,0))+IF(Task!$A$10="",0,IF(ISNUMBER(SEARCH(" "&amp;Task!$A$10&amp;" "," "&amp;LOWER(SUBSTITUTE(SUBSTITUTE(SUBSTITUTE(SUBSTITUTE(A238,"/"," "),"."," "),"\"," "),"_"," "))&amp;" ")),1,0))+IF(Task!$A$11="",0,IF(ISNUMBER(SEARCH(" "&amp;Task!$A$11&amp;" "," "&amp;LOWER(SUBSTITUTE(SUBSTITUTE(SUBSTITUTE(SUBSTITUTE(A238,"/"," "),"."," "),"\"," "),"_"," "))&amp;" ")),1,0))+IF(Task!$A$12="",0,IF(ISNUMBER(SEARCH(" "&amp;Task!$A$12&amp;" "," "&amp;LOWER(SUBSTITUTE(SUBSTITUTE(SUBSTITUTE(SUBSTITUTE(A238,"/"," "),"."," "),"\"," "),"_"," "))&amp;" ")),1,0))+IF(Task!$A$13="",0,IF(ISNUMBER(SEARCH(" "&amp;Task!$A$13&amp;" "," "&amp;LOWER(SUBSTITUTE(SUBSTITUTE(SUBSTITUTE(SUBSTITUTE(A238,"/"," "),"."," "),"\"," "),"_"," "))&amp;" ")),1,0))+IF(Task!$A$14="",0,IF(ISNUMBER(SEARCH(" "&amp;Task!$A$14&amp;" "," "&amp;LOWER(SUBSTITUTE(SUBSTITUTE(SUBSTITUTE(SUBSTITUTE(A238,"/"," "),"."," "),"\"," "),"_"," "))&amp;" ")),1,0))+IF(Task!$A$15="",0,IF(ISNUMBER(SEARCH(" "&amp;Task!$A$15&amp;" "," "&amp;LOWER(SUBSTITUTE(SUBSTITUTE(SUBSTITUTE(SUBSTITUTE(A238,"/"," "),"."," "),"\"," "),"_"," "))&amp;" ")),1,0))+IF(Task!$A$16="",0,IF(ISNUMBER(SEARCH(" "&amp;Task!$A$16&amp;" "," "&amp;LOWER(SUBSTITUTE(SUBSTITUTE(SUBSTITUTE(SUBSTITUTE(A238,"/"," "),"."," "),"\"," "),"_"," "))&amp;" ")),1,0))+IF(Task!$A$17="",0,IF(ISNUMBER(SEARCH(" "&amp;Task!$A$17&amp;" "," "&amp;LOWER(SUBSTITUTE(SUBSTITUTE(SUBSTITUTE(SUBSTITUTE(A238,"/"," "),"."," "),"\"," "),"_"," "))&amp;" ")),1,0))+IF(Task!$A$18="",0,IF(ISNUMBER(SEARCH(" "&amp;Task!$A$18&amp;" "," "&amp;LOWER(SUBSTITUTE(SUBSTITUTE(SUBSTITUTE(SUBSTITUTE(A238,"/"," "),"."," "),"\"," "),"_"," "))&amp;" ")),1,0))+IF(Task!$A$19="",0,IF(ISNUMBER(SEARCH(" "&amp;Task!$A$19&amp;" "," "&amp;LOWER(SUBSTITUTE(SUBSTITUTE(SUBSTITUTE(SUBSTITUTE(A238,"/"," "),"."," "),"\"," "),"_"," "))&amp;" ")),1,0)))</f>
        <v/>
      </c>
      <c r="I238" s="10">
        <f>IF(OR(E238=0,F238=0,Task!$B$21=0),"",F238/Task!$B$21+0.5*G238+0.25*H238)</f>
        <v/>
      </c>
      <c r="J238" s="5">
        <f>IF(I238="","",I238-ROW()/1000000)</f>
        <v/>
      </c>
      <c r="K238" s="9">
        <f>IF(J238="","",COUNTIF($J$5:$J$404,"&gt;"&amp;J238)+1)</f>
        <v/>
      </c>
    </row>
    <row r="239">
      <c r="A239" s="7" t="n"/>
      <c r="B239" s="7" t="n"/>
      <c r="C239" s="7" t="n"/>
      <c r="D239" s="7" t="n"/>
      <c r="E239" s="5">
        <f>IF(A239="",0,IF(COUNTA(Task!$B$5:$E$5)=0,1,IF(COUNTIF(Task!$B$5:$E$5,B239)&gt;0,1,0)))</f>
        <v/>
      </c>
      <c r="F239" s="9">
        <f>IF(E239=0,0,IF(Task!$A$8="",0,IF(ISNUMBER(SEARCH(" "&amp;Task!$A$8&amp;" "," "&amp;LOWER(D239&amp;" "&amp;C239&amp;" "&amp;LOWER(SUBSTITUTE(SUBSTITUTE(SUBSTITUTE(SUBSTITUTE(A239,"/"," "),"."," "),"\"," "),"_"," ")))&amp;" ")),1,0))+IF(Task!$A$9="",0,IF(ISNUMBER(SEARCH(" "&amp;Task!$A$9&amp;" "," "&amp;LOWER(D239&amp;" "&amp;C239&amp;" "&amp;LOWER(SUBSTITUTE(SUBSTITUTE(SUBSTITUTE(SUBSTITUTE(A239,"/"," "),"."," "),"\"," "),"_"," ")))&amp;" ")),1,0))+IF(Task!$A$10="",0,IF(ISNUMBER(SEARCH(" "&amp;Task!$A$10&amp;" "," "&amp;LOWER(D239&amp;" "&amp;C239&amp;" "&amp;LOWER(SUBSTITUTE(SUBSTITUTE(SUBSTITUTE(SUBSTITUTE(A239,"/"," "),"."," "),"\"," "),"_"," ")))&amp;" ")),1,0))+IF(Task!$A$11="",0,IF(ISNUMBER(SEARCH(" "&amp;Task!$A$11&amp;" "," "&amp;LOWER(D239&amp;" "&amp;C239&amp;" "&amp;LOWER(SUBSTITUTE(SUBSTITUTE(SUBSTITUTE(SUBSTITUTE(A239,"/"," "),"."," "),"\"," "),"_"," ")))&amp;" ")),1,0))+IF(Task!$A$12="",0,IF(ISNUMBER(SEARCH(" "&amp;Task!$A$12&amp;" "," "&amp;LOWER(D239&amp;" "&amp;C239&amp;" "&amp;LOWER(SUBSTITUTE(SUBSTITUTE(SUBSTITUTE(SUBSTITUTE(A239,"/"," "),"."," "),"\"," "),"_"," ")))&amp;" ")),1,0))+IF(Task!$A$13="",0,IF(ISNUMBER(SEARCH(" "&amp;Task!$A$13&amp;" "," "&amp;LOWER(D239&amp;" "&amp;C239&amp;" "&amp;LOWER(SUBSTITUTE(SUBSTITUTE(SUBSTITUTE(SUBSTITUTE(A239,"/"," "),"."," "),"\"," "),"_"," ")))&amp;" ")),1,0))+IF(Task!$A$14="",0,IF(ISNUMBER(SEARCH(" "&amp;Task!$A$14&amp;" "," "&amp;LOWER(D239&amp;" "&amp;C239&amp;" "&amp;LOWER(SUBSTITUTE(SUBSTITUTE(SUBSTITUTE(SUBSTITUTE(A239,"/"," "),"."," "),"\"," "),"_"," ")))&amp;" ")),1,0))+IF(Task!$A$15="",0,IF(ISNUMBER(SEARCH(" "&amp;Task!$A$15&amp;" "," "&amp;LOWER(D239&amp;" "&amp;C239&amp;" "&amp;LOWER(SUBSTITUTE(SUBSTITUTE(SUBSTITUTE(SUBSTITUTE(A239,"/"," "),"."," "),"\"," "),"_"," ")))&amp;" ")),1,0))+IF(Task!$A$16="",0,IF(ISNUMBER(SEARCH(" "&amp;Task!$A$16&amp;" "," "&amp;LOWER(D239&amp;" "&amp;C239&amp;" "&amp;LOWER(SUBSTITUTE(SUBSTITUTE(SUBSTITUTE(SUBSTITUTE(A239,"/"," "),"."," "),"\"," "),"_"," ")))&amp;" ")),1,0))+IF(Task!$A$17="",0,IF(ISNUMBER(SEARCH(" "&amp;Task!$A$17&amp;" "," "&amp;LOWER(D239&amp;" "&amp;C239&amp;" "&amp;LOWER(SUBSTITUTE(SUBSTITUTE(SUBSTITUTE(SUBSTITUTE(A239,"/"," "),"."," "),"\"," "),"_"," ")))&amp;" ")),1,0))+IF(Task!$A$18="",0,IF(ISNUMBER(SEARCH(" "&amp;Task!$A$18&amp;" "," "&amp;LOWER(D239&amp;" "&amp;C239&amp;" "&amp;LOWER(SUBSTITUTE(SUBSTITUTE(SUBSTITUTE(SUBSTITUTE(A239,"/"," "),"."," "),"\"," "),"_"," ")))&amp;" ")),1,0))+IF(Task!$A$19="",0,IF(ISNUMBER(SEARCH(" "&amp;Task!$A$19&amp;" "," "&amp;LOWER(D239&amp;" "&amp;C239&amp;" "&amp;LOWER(SUBSTITUTE(SUBSTITUTE(SUBSTITUTE(SUBSTITUTE(A239,"/"," "),"."," "),"\"," "),"_"," ")))&amp;" ")),1,0)))</f>
        <v/>
      </c>
      <c r="G239" s="9">
        <f>IF(E239=0,0,IF(Task!$A$8="",0,IF(ISNUMBER(SEARCH(" "&amp;Task!$A$8&amp;" "," "&amp;LOWER(C239)&amp;" ")),1,0))+IF(Task!$A$9="",0,IF(ISNUMBER(SEARCH(" "&amp;Task!$A$9&amp;" "," "&amp;LOWER(C239)&amp;" ")),1,0))+IF(Task!$A$10="",0,IF(ISNUMBER(SEARCH(" "&amp;Task!$A$10&amp;" "," "&amp;LOWER(C239)&amp;" ")),1,0))+IF(Task!$A$11="",0,IF(ISNUMBER(SEARCH(" "&amp;Task!$A$11&amp;" "," "&amp;LOWER(C239)&amp;" ")),1,0))+IF(Task!$A$12="",0,IF(ISNUMBER(SEARCH(" "&amp;Task!$A$12&amp;" "," "&amp;LOWER(C239)&amp;" ")),1,0))+IF(Task!$A$13="",0,IF(ISNUMBER(SEARCH(" "&amp;Task!$A$13&amp;" "," "&amp;LOWER(C239)&amp;" ")),1,0))+IF(Task!$A$14="",0,IF(ISNUMBER(SEARCH(" "&amp;Task!$A$14&amp;" "," "&amp;LOWER(C239)&amp;" ")),1,0))+IF(Task!$A$15="",0,IF(ISNUMBER(SEARCH(" "&amp;Task!$A$15&amp;" "," "&amp;LOWER(C239)&amp;" ")),1,0))+IF(Task!$A$16="",0,IF(ISNUMBER(SEARCH(" "&amp;Task!$A$16&amp;" "," "&amp;LOWER(C239)&amp;" ")),1,0))+IF(Task!$A$17="",0,IF(ISNUMBER(SEARCH(" "&amp;Task!$A$17&amp;" "," "&amp;LOWER(C239)&amp;" ")),1,0))+IF(Task!$A$18="",0,IF(ISNUMBER(SEARCH(" "&amp;Task!$A$18&amp;" "," "&amp;LOWER(C239)&amp;" ")),1,0))+IF(Task!$A$19="",0,IF(ISNUMBER(SEARCH(" "&amp;Task!$A$19&amp;" "," "&amp;LOWER(C239)&amp;" ")),1,0)))</f>
        <v/>
      </c>
      <c r="H239" s="9">
        <f>IF(E239=0,0,IF(Task!$A$8="",0,IF(ISNUMBER(SEARCH(" "&amp;Task!$A$8&amp;" "," "&amp;LOWER(SUBSTITUTE(SUBSTITUTE(SUBSTITUTE(SUBSTITUTE(A239,"/"," "),"."," "),"\"," "),"_"," "))&amp;" ")),1,0))+IF(Task!$A$9="",0,IF(ISNUMBER(SEARCH(" "&amp;Task!$A$9&amp;" "," "&amp;LOWER(SUBSTITUTE(SUBSTITUTE(SUBSTITUTE(SUBSTITUTE(A239,"/"," "),"."," "),"\"," "),"_"," "))&amp;" ")),1,0))+IF(Task!$A$10="",0,IF(ISNUMBER(SEARCH(" "&amp;Task!$A$10&amp;" "," "&amp;LOWER(SUBSTITUTE(SUBSTITUTE(SUBSTITUTE(SUBSTITUTE(A239,"/"," "),"."," "),"\"," "),"_"," "))&amp;" ")),1,0))+IF(Task!$A$11="",0,IF(ISNUMBER(SEARCH(" "&amp;Task!$A$11&amp;" "," "&amp;LOWER(SUBSTITUTE(SUBSTITUTE(SUBSTITUTE(SUBSTITUTE(A239,"/"," "),"."," "),"\"," "),"_"," "))&amp;" ")),1,0))+IF(Task!$A$12="",0,IF(ISNUMBER(SEARCH(" "&amp;Task!$A$12&amp;" "," "&amp;LOWER(SUBSTITUTE(SUBSTITUTE(SUBSTITUTE(SUBSTITUTE(A239,"/"," "),"."," "),"\"," "),"_"," "))&amp;" ")),1,0))+IF(Task!$A$13="",0,IF(ISNUMBER(SEARCH(" "&amp;Task!$A$13&amp;" "," "&amp;LOWER(SUBSTITUTE(SUBSTITUTE(SUBSTITUTE(SUBSTITUTE(A239,"/"," "),"."," "),"\"," "),"_"," "))&amp;" ")),1,0))+IF(Task!$A$14="",0,IF(ISNUMBER(SEARCH(" "&amp;Task!$A$14&amp;" "," "&amp;LOWER(SUBSTITUTE(SUBSTITUTE(SUBSTITUTE(SUBSTITUTE(A239,"/"," "),"."," "),"\"," "),"_"," "))&amp;" ")),1,0))+IF(Task!$A$15="",0,IF(ISNUMBER(SEARCH(" "&amp;Task!$A$15&amp;" "," "&amp;LOWER(SUBSTITUTE(SUBSTITUTE(SUBSTITUTE(SUBSTITUTE(A239,"/"," "),"."," "),"\"," "),"_"," "))&amp;" ")),1,0))+IF(Task!$A$16="",0,IF(ISNUMBER(SEARCH(" "&amp;Task!$A$16&amp;" "," "&amp;LOWER(SUBSTITUTE(SUBSTITUTE(SUBSTITUTE(SUBSTITUTE(A239,"/"," "),"."," "),"\"," "),"_"," "))&amp;" ")),1,0))+IF(Task!$A$17="",0,IF(ISNUMBER(SEARCH(" "&amp;Task!$A$17&amp;" "," "&amp;LOWER(SUBSTITUTE(SUBSTITUTE(SUBSTITUTE(SUBSTITUTE(A239,"/"," "),"."," "),"\"," "),"_"," "))&amp;" ")),1,0))+IF(Task!$A$18="",0,IF(ISNUMBER(SEARCH(" "&amp;Task!$A$18&amp;" "," "&amp;LOWER(SUBSTITUTE(SUBSTITUTE(SUBSTITUTE(SUBSTITUTE(A239,"/"," "),"."," "),"\"," "),"_"," "))&amp;" ")),1,0))+IF(Task!$A$19="",0,IF(ISNUMBER(SEARCH(" "&amp;Task!$A$19&amp;" "," "&amp;LOWER(SUBSTITUTE(SUBSTITUTE(SUBSTITUTE(SUBSTITUTE(A239,"/"," "),"."," "),"\"," "),"_"," "))&amp;" ")),1,0)))</f>
        <v/>
      </c>
      <c r="I239" s="10">
        <f>IF(OR(E239=0,F239=0,Task!$B$21=0),"",F239/Task!$B$21+0.5*G239+0.25*H239)</f>
        <v/>
      </c>
      <c r="J239" s="5">
        <f>IF(I239="","",I239-ROW()/1000000)</f>
        <v/>
      </c>
      <c r="K239" s="9">
        <f>IF(J239="","",COUNTIF($J$5:$J$404,"&gt;"&amp;J239)+1)</f>
        <v/>
      </c>
    </row>
    <row r="240">
      <c r="A240" s="7" t="n"/>
      <c r="B240" s="7" t="n"/>
      <c r="C240" s="7" t="n"/>
      <c r="D240" s="7" t="n"/>
      <c r="E240" s="5">
        <f>IF(A240="",0,IF(COUNTA(Task!$B$5:$E$5)=0,1,IF(COUNTIF(Task!$B$5:$E$5,B240)&gt;0,1,0)))</f>
        <v/>
      </c>
      <c r="F240" s="9">
        <f>IF(E240=0,0,IF(Task!$A$8="",0,IF(ISNUMBER(SEARCH(" "&amp;Task!$A$8&amp;" "," "&amp;LOWER(D240&amp;" "&amp;C240&amp;" "&amp;LOWER(SUBSTITUTE(SUBSTITUTE(SUBSTITUTE(SUBSTITUTE(A240,"/"," "),"."," "),"\"," "),"_"," ")))&amp;" ")),1,0))+IF(Task!$A$9="",0,IF(ISNUMBER(SEARCH(" "&amp;Task!$A$9&amp;" "," "&amp;LOWER(D240&amp;" "&amp;C240&amp;" "&amp;LOWER(SUBSTITUTE(SUBSTITUTE(SUBSTITUTE(SUBSTITUTE(A240,"/"," "),"."," "),"\"," "),"_"," ")))&amp;" ")),1,0))+IF(Task!$A$10="",0,IF(ISNUMBER(SEARCH(" "&amp;Task!$A$10&amp;" "," "&amp;LOWER(D240&amp;" "&amp;C240&amp;" "&amp;LOWER(SUBSTITUTE(SUBSTITUTE(SUBSTITUTE(SUBSTITUTE(A240,"/"," "),"."," "),"\"," "),"_"," ")))&amp;" ")),1,0))+IF(Task!$A$11="",0,IF(ISNUMBER(SEARCH(" "&amp;Task!$A$11&amp;" "," "&amp;LOWER(D240&amp;" "&amp;C240&amp;" "&amp;LOWER(SUBSTITUTE(SUBSTITUTE(SUBSTITUTE(SUBSTITUTE(A240,"/"," "),"."," "),"\"," "),"_"," ")))&amp;" ")),1,0))+IF(Task!$A$12="",0,IF(ISNUMBER(SEARCH(" "&amp;Task!$A$12&amp;" "," "&amp;LOWER(D240&amp;" "&amp;C240&amp;" "&amp;LOWER(SUBSTITUTE(SUBSTITUTE(SUBSTITUTE(SUBSTITUTE(A240,"/"," "),"."," "),"\"," "),"_"," ")))&amp;" ")),1,0))+IF(Task!$A$13="",0,IF(ISNUMBER(SEARCH(" "&amp;Task!$A$13&amp;" "," "&amp;LOWER(D240&amp;" "&amp;C240&amp;" "&amp;LOWER(SUBSTITUTE(SUBSTITUTE(SUBSTITUTE(SUBSTITUTE(A240,"/"," "),"."," "),"\"," "),"_"," ")))&amp;" ")),1,0))+IF(Task!$A$14="",0,IF(ISNUMBER(SEARCH(" "&amp;Task!$A$14&amp;" "," "&amp;LOWER(D240&amp;" "&amp;C240&amp;" "&amp;LOWER(SUBSTITUTE(SUBSTITUTE(SUBSTITUTE(SUBSTITUTE(A240,"/"," "),"."," "),"\"," "),"_"," ")))&amp;" ")),1,0))+IF(Task!$A$15="",0,IF(ISNUMBER(SEARCH(" "&amp;Task!$A$15&amp;" "," "&amp;LOWER(D240&amp;" "&amp;C240&amp;" "&amp;LOWER(SUBSTITUTE(SUBSTITUTE(SUBSTITUTE(SUBSTITUTE(A240,"/"," "),"."," "),"\"," "),"_"," ")))&amp;" ")),1,0))+IF(Task!$A$16="",0,IF(ISNUMBER(SEARCH(" "&amp;Task!$A$16&amp;" "," "&amp;LOWER(D240&amp;" "&amp;C240&amp;" "&amp;LOWER(SUBSTITUTE(SUBSTITUTE(SUBSTITUTE(SUBSTITUTE(A240,"/"," "),"."," "),"\"," "),"_"," ")))&amp;" ")),1,0))+IF(Task!$A$17="",0,IF(ISNUMBER(SEARCH(" "&amp;Task!$A$17&amp;" "," "&amp;LOWER(D240&amp;" "&amp;C240&amp;" "&amp;LOWER(SUBSTITUTE(SUBSTITUTE(SUBSTITUTE(SUBSTITUTE(A240,"/"," "),"."," "),"\"," "),"_"," ")))&amp;" ")),1,0))+IF(Task!$A$18="",0,IF(ISNUMBER(SEARCH(" "&amp;Task!$A$18&amp;" "," "&amp;LOWER(D240&amp;" "&amp;C240&amp;" "&amp;LOWER(SUBSTITUTE(SUBSTITUTE(SUBSTITUTE(SUBSTITUTE(A240,"/"," "),"."," "),"\"," "),"_"," ")))&amp;" ")),1,0))+IF(Task!$A$19="",0,IF(ISNUMBER(SEARCH(" "&amp;Task!$A$19&amp;" "," "&amp;LOWER(D240&amp;" "&amp;C240&amp;" "&amp;LOWER(SUBSTITUTE(SUBSTITUTE(SUBSTITUTE(SUBSTITUTE(A240,"/"," "),"."," "),"\"," "),"_"," ")))&amp;" ")),1,0)))</f>
        <v/>
      </c>
      <c r="G240" s="9">
        <f>IF(E240=0,0,IF(Task!$A$8="",0,IF(ISNUMBER(SEARCH(" "&amp;Task!$A$8&amp;" "," "&amp;LOWER(C240)&amp;" ")),1,0))+IF(Task!$A$9="",0,IF(ISNUMBER(SEARCH(" "&amp;Task!$A$9&amp;" "," "&amp;LOWER(C240)&amp;" ")),1,0))+IF(Task!$A$10="",0,IF(ISNUMBER(SEARCH(" "&amp;Task!$A$10&amp;" "," "&amp;LOWER(C240)&amp;" ")),1,0))+IF(Task!$A$11="",0,IF(ISNUMBER(SEARCH(" "&amp;Task!$A$11&amp;" "," "&amp;LOWER(C240)&amp;" ")),1,0))+IF(Task!$A$12="",0,IF(ISNUMBER(SEARCH(" "&amp;Task!$A$12&amp;" "," "&amp;LOWER(C240)&amp;" ")),1,0))+IF(Task!$A$13="",0,IF(ISNUMBER(SEARCH(" "&amp;Task!$A$13&amp;" "," "&amp;LOWER(C240)&amp;" ")),1,0))+IF(Task!$A$14="",0,IF(ISNUMBER(SEARCH(" "&amp;Task!$A$14&amp;" "," "&amp;LOWER(C240)&amp;" ")),1,0))+IF(Task!$A$15="",0,IF(ISNUMBER(SEARCH(" "&amp;Task!$A$15&amp;" "," "&amp;LOWER(C240)&amp;" ")),1,0))+IF(Task!$A$16="",0,IF(ISNUMBER(SEARCH(" "&amp;Task!$A$16&amp;" "," "&amp;LOWER(C240)&amp;" ")),1,0))+IF(Task!$A$17="",0,IF(ISNUMBER(SEARCH(" "&amp;Task!$A$17&amp;" "," "&amp;LOWER(C240)&amp;" ")),1,0))+IF(Task!$A$18="",0,IF(ISNUMBER(SEARCH(" "&amp;Task!$A$18&amp;" "," "&amp;LOWER(C240)&amp;" ")),1,0))+IF(Task!$A$19="",0,IF(ISNUMBER(SEARCH(" "&amp;Task!$A$19&amp;" "," "&amp;LOWER(C240)&amp;" ")),1,0)))</f>
        <v/>
      </c>
      <c r="H240" s="9">
        <f>IF(E240=0,0,IF(Task!$A$8="",0,IF(ISNUMBER(SEARCH(" "&amp;Task!$A$8&amp;" "," "&amp;LOWER(SUBSTITUTE(SUBSTITUTE(SUBSTITUTE(SUBSTITUTE(A240,"/"," "),"."," "),"\"," "),"_"," "))&amp;" ")),1,0))+IF(Task!$A$9="",0,IF(ISNUMBER(SEARCH(" "&amp;Task!$A$9&amp;" "," "&amp;LOWER(SUBSTITUTE(SUBSTITUTE(SUBSTITUTE(SUBSTITUTE(A240,"/"," "),"."," "),"\"," "),"_"," "))&amp;" ")),1,0))+IF(Task!$A$10="",0,IF(ISNUMBER(SEARCH(" "&amp;Task!$A$10&amp;" "," "&amp;LOWER(SUBSTITUTE(SUBSTITUTE(SUBSTITUTE(SUBSTITUTE(A240,"/"," "),"."," "),"\"," "),"_"," "))&amp;" ")),1,0))+IF(Task!$A$11="",0,IF(ISNUMBER(SEARCH(" "&amp;Task!$A$11&amp;" "," "&amp;LOWER(SUBSTITUTE(SUBSTITUTE(SUBSTITUTE(SUBSTITUTE(A240,"/"," "),"."," "),"\"," "),"_"," "))&amp;" ")),1,0))+IF(Task!$A$12="",0,IF(ISNUMBER(SEARCH(" "&amp;Task!$A$12&amp;" "," "&amp;LOWER(SUBSTITUTE(SUBSTITUTE(SUBSTITUTE(SUBSTITUTE(A240,"/"," "),"."," "),"\"," "),"_"," "))&amp;" ")),1,0))+IF(Task!$A$13="",0,IF(ISNUMBER(SEARCH(" "&amp;Task!$A$13&amp;" "," "&amp;LOWER(SUBSTITUTE(SUBSTITUTE(SUBSTITUTE(SUBSTITUTE(A240,"/"," "),"."," "),"\"," "),"_"," "))&amp;" ")),1,0))+IF(Task!$A$14="",0,IF(ISNUMBER(SEARCH(" "&amp;Task!$A$14&amp;" "," "&amp;LOWER(SUBSTITUTE(SUBSTITUTE(SUBSTITUTE(SUBSTITUTE(A240,"/"," "),"."," "),"\"," "),"_"," "))&amp;" ")),1,0))+IF(Task!$A$15="",0,IF(ISNUMBER(SEARCH(" "&amp;Task!$A$15&amp;" "," "&amp;LOWER(SUBSTITUTE(SUBSTITUTE(SUBSTITUTE(SUBSTITUTE(A240,"/"," "),"."," "),"\"," "),"_"," "))&amp;" ")),1,0))+IF(Task!$A$16="",0,IF(ISNUMBER(SEARCH(" "&amp;Task!$A$16&amp;" "," "&amp;LOWER(SUBSTITUTE(SUBSTITUTE(SUBSTITUTE(SUBSTITUTE(A240,"/"," "),"."," "),"\"," "),"_"," "))&amp;" ")),1,0))+IF(Task!$A$17="",0,IF(ISNUMBER(SEARCH(" "&amp;Task!$A$17&amp;" "," "&amp;LOWER(SUBSTITUTE(SUBSTITUTE(SUBSTITUTE(SUBSTITUTE(A240,"/"," "),"."," "),"\"," "),"_"," "))&amp;" ")),1,0))+IF(Task!$A$18="",0,IF(ISNUMBER(SEARCH(" "&amp;Task!$A$18&amp;" "," "&amp;LOWER(SUBSTITUTE(SUBSTITUTE(SUBSTITUTE(SUBSTITUTE(A240,"/"," "),"."," "),"\"," "),"_"," "))&amp;" ")),1,0))+IF(Task!$A$19="",0,IF(ISNUMBER(SEARCH(" "&amp;Task!$A$19&amp;" "," "&amp;LOWER(SUBSTITUTE(SUBSTITUTE(SUBSTITUTE(SUBSTITUTE(A240,"/"," "),"."," "),"\"," "),"_"," "))&amp;" ")),1,0)))</f>
        <v/>
      </c>
      <c r="I240" s="10">
        <f>IF(OR(E240=0,F240=0,Task!$B$21=0),"",F240/Task!$B$21+0.5*G240+0.25*H240)</f>
        <v/>
      </c>
      <c r="J240" s="5">
        <f>IF(I240="","",I240-ROW()/1000000)</f>
        <v/>
      </c>
      <c r="K240" s="9">
        <f>IF(J240="","",COUNTIF($J$5:$J$404,"&gt;"&amp;J240)+1)</f>
        <v/>
      </c>
    </row>
    <row r="241">
      <c r="A241" s="7" t="n"/>
      <c r="B241" s="7" t="n"/>
      <c r="C241" s="7" t="n"/>
      <c r="D241" s="7" t="n"/>
      <c r="E241" s="5">
        <f>IF(A241="",0,IF(COUNTA(Task!$B$5:$E$5)=0,1,IF(COUNTIF(Task!$B$5:$E$5,B241)&gt;0,1,0)))</f>
        <v/>
      </c>
      <c r="F241" s="9">
        <f>IF(E241=0,0,IF(Task!$A$8="",0,IF(ISNUMBER(SEARCH(" "&amp;Task!$A$8&amp;" "," "&amp;LOWER(D241&amp;" "&amp;C241&amp;" "&amp;LOWER(SUBSTITUTE(SUBSTITUTE(SUBSTITUTE(SUBSTITUTE(A241,"/"," "),"."," "),"\"," "),"_"," ")))&amp;" ")),1,0))+IF(Task!$A$9="",0,IF(ISNUMBER(SEARCH(" "&amp;Task!$A$9&amp;" "," "&amp;LOWER(D241&amp;" "&amp;C241&amp;" "&amp;LOWER(SUBSTITUTE(SUBSTITUTE(SUBSTITUTE(SUBSTITUTE(A241,"/"," "),"."," "),"\"," "),"_"," ")))&amp;" ")),1,0))+IF(Task!$A$10="",0,IF(ISNUMBER(SEARCH(" "&amp;Task!$A$10&amp;" "," "&amp;LOWER(D241&amp;" "&amp;C241&amp;" "&amp;LOWER(SUBSTITUTE(SUBSTITUTE(SUBSTITUTE(SUBSTITUTE(A241,"/"," "),"."," "),"\"," "),"_"," ")))&amp;" ")),1,0))+IF(Task!$A$11="",0,IF(ISNUMBER(SEARCH(" "&amp;Task!$A$11&amp;" "," "&amp;LOWER(D241&amp;" "&amp;C241&amp;" "&amp;LOWER(SUBSTITUTE(SUBSTITUTE(SUBSTITUTE(SUBSTITUTE(A241,"/"," "),"."," "),"\"," "),"_"," ")))&amp;" ")),1,0))+IF(Task!$A$12="",0,IF(ISNUMBER(SEARCH(" "&amp;Task!$A$12&amp;" "," "&amp;LOWER(D241&amp;" "&amp;C241&amp;" "&amp;LOWER(SUBSTITUTE(SUBSTITUTE(SUBSTITUTE(SUBSTITUTE(A241,"/"," "),"."," "),"\"," "),"_"," ")))&amp;" ")),1,0))+IF(Task!$A$13="",0,IF(ISNUMBER(SEARCH(" "&amp;Task!$A$13&amp;" "," "&amp;LOWER(D241&amp;" "&amp;C241&amp;" "&amp;LOWER(SUBSTITUTE(SUBSTITUTE(SUBSTITUTE(SUBSTITUTE(A241,"/"," "),"."," "),"\"," "),"_"," ")))&amp;" ")),1,0))+IF(Task!$A$14="",0,IF(ISNUMBER(SEARCH(" "&amp;Task!$A$14&amp;" "," "&amp;LOWER(D241&amp;" "&amp;C241&amp;" "&amp;LOWER(SUBSTITUTE(SUBSTITUTE(SUBSTITUTE(SUBSTITUTE(A241,"/"," "),"."," "),"\"," "),"_"," ")))&amp;" ")),1,0))+IF(Task!$A$15="",0,IF(ISNUMBER(SEARCH(" "&amp;Task!$A$15&amp;" "," "&amp;LOWER(D241&amp;" "&amp;C241&amp;" "&amp;LOWER(SUBSTITUTE(SUBSTITUTE(SUBSTITUTE(SUBSTITUTE(A241,"/"," "),"."," "),"\"," "),"_"," ")))&amp;" ")),1,0))+IF(Task!$A$16="",0,IF(ISNUMBER(SEARCH(" "&amp;Task!$A$16&amp;" "," "&amp;LOWER(D241&amp;" "&amp;C241&amp;" "&amp;LOWER(SUBSTITUTE(SUBSTITUTE(SUBSTITUTE(SUBSTITUTE(A241,"/"," "),"."," "),"\"," "),"_"," ")))&amp;" ")),1,0))+IF(Task!$A$17="",0,IF(ISNUMBER(SEARCH(" "&amp;Task!$A$17&amp;" "," "&amp;LOWER(D241&amp;" "&amp;C241&amp;" "&amp;LOWER(SUBSTITUTE(SUBSTITUTE(SUBSTITUTE(SUBSTITUTE(A241,"/"," "),"."," "),"\"," "),"_"," ")))&amp;" ")),1,0))+IF(Task!$A$18="",0,IF(ISNUMBER(SEARCH(" "&amp;Task!$A$18&amp;" "," "&amp;LOWER(D241&amp;" "&amp;C241&amp;" "&amp;LOWER(SUBSTITUTE(SUBSTITUTE(SUBSTITUTE(SUBSTITUTE(A241,"/"," "),"."," "),"\"," "),"_"," ")))&amp;" ")),1,0))+IF(Task!$A$19="",0,IF(ISNUMBER(SEARCH(" "&amp;Task!$A$19&amp;" "," "&amp;LOWER(D241&amp;" "&amp;C241&amp;" "&amp;LOWER(SUBSTITUTE(SUBSTITUTE(SUBSTITUTE(SUBSTITUTE(A241,"/"," "),"."," "),"\"," "),"_"," ")))&amp;" ")),1,0)))</f>
        <v/>
      </c>
      <c r="G241" s="9">
        <f>IF(E241=0,0,IF(Task!$A$8="",0,IF(ISNUMBER(SEARCH(" "&amp;Task!$A$8&amp;" "," "&amp;LOWER(C241)&amp;" ")),1,0))+IF(Task!$A$9="",0,IF(ISNUMBER(SEARCH(" "&amp;Task!$A$9&amp;" "," "&amp;LOWER(C241)&amp;" ")),1,0))+IF(Task!$A$10="",0,IF(ISNUMBER(SEARCH(" "&amp;Task!$A$10&amp;" "," "&amp;LOWER(C241)&amp;" ")),1,0))+IF(Task!$A$11="",0,IF(ISNUMBER(SEARCH(" "&amp;Task!$A$11&amp;" "," "&amp;LOWER(C241)&amp;" ")),1,0))+IF(Task!$A$12="",0,IF(ISNUMBER(SEARCH(" "&amp;Task!$A$12&amp;" "," "&amp;LOWER(C241)&amp;" ")),1,0))+IF(Task!$A$13="",0,IF(ISNUMBER(SEARCH(" "&amp;Task!$A$13&amp;" "," "&amp;LOWER(C241)&amp;" ")),1,0))+IF(Task!$A$14="",0,IF(ISNUMBER(SEARCH(" "&amp;Task!$A$14&amp;" "," "&amp;LOWER(C241)&amp;" ")),1,0))+IF(Task!$A$15="",0,IF(ISNUMBER(SEARCH(" "&amp;Task!$A$15&amp;" "," "&amp;LOWER(C241)&amp;" ")),1,0))+IF(Task!$A$16="",0,IF(ISNUMBER(SEARCH(" "&amp;Task!$A$16&amp;" "," "&amp;LOWER(C241)&amp;" ")),1,0))+IF(Task!$A$17="",0,IF(ISNUMBER(SEARCH(" "&amp;Task!$A$17&amp;" "," "&amp;LOWER(C241)&amp;" ")),1,0))+IF(Task!$A$18="",0,IF(ISNUMBER(SEARCH(" "&amp;Task!$A$18&amp;" "," "&amp;LOWER(C241)&amp;" ")),1,0))+IF(Task!$A$19="",0,IF(ISNUMBER(SEARCH(" "&amp;Task!$A$19&amp;" "," "&amp;LOWER(C241)&amp;" ")),1,0)))</f>
        <v/>
      </c>
      <c r="H241" s="9">
        <f>IF(E241=0,0,IF(Task!$A$8="",0,IF(ISNUMBER(SEARCH(" "&amp;Task!$A$8&amp;" "," "&amp;LOWER(SUBSTITUTE(SUBSTITUTE(SUBSTITUTE(SUBSTITUTE(A241,"/"," "),"."," "),"\"," "),"_"," "))&amp;" ")),1,0))+IF(Task!$A$9="",0,IF(ISNUMBER(SEARCH(" "&amp;Task!$A$9&amp;" "," "&amp;LOWER(SUBSTITUTE(SUBSTITUTE(SUBSTITUTE(SUBSTITUTE(A241,"/"," "),"."," "),"\"," "),"_"," "))&amp;" ")),1,0))+IF(Task!$A$10="",0,IF(ISNUMBER(SEARCH(" "&amp;Task!$A$10&amp;" "," "&amp;LOWER(SUBSTITUTE(SUBSTITUTE(SUBSTITUTE(SUBSTITUTE(A241,"/"," "),"."," "),"\"," "),"_"," "))&amp;" ")),1,0))+IF(Task!$A$11="",0,IF(ISNUMBER(SEARCH(" "&amp;Task!$A$11&amp;" "," "&amp;LOWER(SUBSTITUTE(SUBSTITUTE(SUBSTITUTE(SUBSTITUTE(A241,"/"," "),"."," "),"\"," "),"_"," "))&amp;" ")),1,0))+IF(Task!$A$12="",0,IF(ISNUMBER(SEARCH(" "&amp;Task!$A$12&amp;" "," "&amp;LOWER(SUBSTITUTE(SUBSTITUTE(SUBSTITUTE(SUBSTITUTE(A241,"/"," "),"."," "),"\"," "),"_"," "))&amp;" ")),1,0))+IF(Task!$A$13="",0,IF(ISNUMBER(SEARCH(" "&amp;Task!$A$13&amp;" "," "&amp;LOWER(SUBSTITUTE(SUBSTITUTE(SUBSTITUTE(SUBSTITUTE(A241,"/"," "),"."," "),"\"," "),"_"," "))&amp;" ")),1,0))+IF(Task!$A$14="",0,IF(ISNUMBER(SEARCH(" "&amp;Task!$A$14&amp;" "," "&amp;LOWER(SUBSTITUTE(SUBSTITUTE(SUBSTITUTE(SUBSTITUTE(A241,"/"," "),"."," "),"\"," "),"_"," "))&amp;" ")),1,0))+IF(Task!$A$15="",0,IF(ISNUMBER(SEARCH(" "&amp;Task!$A$15&amp;" "," "&amp;LOWER(SUBSTITUTE(SUBSTITUTE(SUBSTITUTE(SUBSTITUTE(A241,"/"," "),"."," "),"\"," "),"_"," "))&amp;" ")),1,0))+IF(Task!$A$16="",0,IF(ISNUMBER(SEARCH(" "&amp;Task!$A$16&amp;" "," "&amp;LOWER(SUBSTITUTE(SUBSTITUTE(SUBSTITUTE(SUBSTITUTE(A241,"/"," "),"."," "),"\"," "),"_"," "))&amp;" ")),1,0))+IF(Task!$A$17="",0,IF(ISNUMBER(SEARCH(" "&amp;Task!$A$17&amp;" "," "&amp;LOWER(SUBSTITUTE(SUBSTITUTE(SUBSTITUTE(SUBSTITUTE(A241,"/"," "),"."," "),"\"," "),"_"," "))&amp;" ")),1,0))+IF(Task!$A$18="",0,IF(ISNUMBER(SEARCH(" "&amp;Task!$A$18&amp;" "," "&amp;LOWER(SUBSTITUTE(SUBSTITUTE(SUBSTITUTE(SUBSTITUTE(A241,"/"," "),"."," "),"\"," "),"_"," "))&amp;" ")),1,0))+IF(Task!$A$19="",0,IF(ISNUMBER(SEARCH(" "&amp;Task!$A$19&amp;" "," "&amp;LOWER(SUBSTITUTE(SUBSTITUTE(SUBSTITUTE(SUBSTITUTE(A241,"/"," "),"."," "),"\"," "),"_"," "))&amp;" ")),1,0)))</f>
        <v/>
      </c>
      <c r="I241" s="10">
        <f>IF(OR(E241=0,F241=0,Task!$B$21=0),"",F241/Task!$B$21+0.5*G241+0.25*H241)</f>
        <v/>
      </c>
      <c r="J241" s="5">
        <f>IF(I241="","",I241-ROW()/1000000)</f>
        <v/>
      </c>
      <c r="K241" s="9">
        <f>IF(J241="","",COUNTIF($J$5:$J$404,"&gt;"&amp;J241)+1)</f>
        <v/>
      </c>
    </row>
    <row r="242">
      <c r="A242" s="7" t="n"/>
      <c r="B242" s="7" t="n"/>
      <c r="C242" s="7" t="n"/>
      <c r="D242" s="7" t="n"/>
      <c r="E242" s="5">
        <f>IF(A242="",0,IF(COUNTA(Task!$B$5:$E$5)=0,1,IF(COUNTIF(Task!$B$5:$E$5,B242)&gt;0,1,0)))</f>
        <v/>
      </c>
      <c r="F242" s="9">
        <f>IF(E242=0,0,IF(Task!$A$8="",0,IF(ISNUMBER(SEARCH(" "&amp;Task!$A$8&amp;" "," "&amp;LOWER(D242&amp;" "&amp;C242&amp;" "&amp;LOWER(SUBSTITUTE(SUBSTITUTE(SUBSTITUTE(SUBSTITUTE(A242,"/"," "),"."," "),"\"," "),"_"," ")))&amp;" ")),1,0))+IF(Task!$A$9="",0,IF(ISNUMBER(SEARCH(" "&amp;Task!$A$9&amp;" "," "&amp;LOWER(D242&amp;" "&amp;C242&amp;" "&amp;LOWER(SUBSTITUTE(SUBSTITUTE(SUBSTITUTE(SUBSTITUTE(A242,"/"," "),"."," "),"\"," "),"_"," ")))&amp;" ")),1,0))+IF(Task!$A$10="",0,IF(ISNUMBER(SEARCH(" "&amp;Task!$A$10&amp;" "," "&amp;LOWER(D242&amp;" "&amp;C242&amp;" "&amp;LOWER(SUBSTITUTE(SUBSTITUTE(SUBSTITUTE(SUBSTITUTE(A242,"/"," "),"."," "),"\"," "),"_"," ")))&amp;" ")),1,0))+IF(Task!$A$11="",0,IF(ISNUMBER(SEARCH(" "&amp;Task!$A$11&amp;" "," "&amp;LOWER(D242&amp;" "&amp;C242&amp;" "&amp;LOWER(SUBSTITUTE(SUBSTITUTE(SUBSTITUTE(SUBSTITUTE(A242,"/"," "),"."," "),"\"," "),"_"," ")))&amp;" ")),1,0))+IF(Task!$A$12="",0,IF(ISNUMBER(SEARCH(" "&amp;Task!$A$12&amp;" "," "&amp;LOWER(D242&amp;" "&amp;C242&amp;" "&amp;LOWER(SUBSTITUTE(SUBSTITUTE(SUBSTITUTE(SUBSTITUTE(A242,"/"," "),"."," "),"\"," "),"_"," ")))&amp;" ")),1,0))+IF(Task!$A$13="",0,IF(ISNUMBER(SEARCH(" "&amp;Task!$A$13&amp;" "," "&amp;LOWER(D242&amp;" "&amp;C242&amp;" "&amp;LOWER(SUBSTITUTE(SUBSTITUTE(SUBSTITUTE(SUBSTITUTE(A242,"/"," "),"."," "),"\"," "),"_"," ")))&amp;" ")),1,0))+IF(Task!$A$14="",0,IF(ISNUMBER(SEARCH(" "&amp;Task!$A$14&amp;" "," "&amp;LOWER(D242&amp;" "&amp;C242&amp;" "&amp;LOWER(SUBSTITUTE(SUBSTITUTE(SUBSTITUTE(SUBSTITUTE(A242,"/"," "),"."," "),"\"," "),"_"," ")))&amp;" ")),1,0))+IF(Task!$A$15="",0,IF(ISNUMBER(SEARCH(" "&amp;Task!$A$15&amp;" "," "&amp;LOWER(D242&amp;" "&amp;C242&amp;" "&amp;LOWER(SUBSTITUTE(SUBSTITUTE(SUBSTITUTE(SUBSTITUTE(A242,"/"," "),"."," "),"\"," "),"_"," ")))&amp;" ")),1,0))+IF(Task!$A$16="",0,IF(ISNUMBER(SEARCH(" "&amp;Task!$A$16&amp;" "," "&amp;LOWER(D242&amp;" "&amp;C242&amp;" "&amp;LOWER(SUBSTITUTE(SUBSTITUTE(SUBSTITUTE(SUBSTITUTE(A242,"/"," "),"."," "),"\"," "),"_"," ")))&amp;" ")),1,0))+IF(Task!$A$17="",0,IF(ISNUMBER(SEARCH(" "&amp;Task!$A$17&amp;" "," "&amp;LOWER(D242&amp;" "&amp;C242&amp;" "&amp;LOWER(SUBSTITUTE(SUBSTITUTE(SUBSTITUTE(SUBSTITUTE(A242,"/"," "),"."," "),"\"," "),"_"," ")))&amp;" ")),1,0))+IF(Task!$A$18="",0,IF(ISNUMBER(SEARCH(" "&amp;Task!$A$18&amp;" "," "&amp;LOWER(D242&amp;" "&amp;C242&amp;" "&amp;LOWER(SUBSTITUTE(SUBSTITUTE(SUBSTITUTE(SUBSTITUTE(A242,"/"," "),"."," "),"\"," "),"_"," ")))&amp;" ")),1,0))+IF(Task!$A$19="",0,IF(ISNUMBER(SEARCH(" "&amp;Task!$A$19&amp;" "," "&amp;LOWER(D242&amp;" "&amp;C242&amp;" "&amp;LOWER(SUBSTITUTE(SUBSTITUTE(SUBSTITUTE(SUBSTITUTE(A242,"/"," "),"."," "),"\"," "),"_"," ")))&amp;" ")),1,0)))</f>
        <v/>
      </c>
      <c r="G242" s="9">
        <f>IF(E242=0,0,IF(Task!$A$8="",0,IF(ISNUMBER(SEARCH(" "&amp;Task!$A$8&amp;" "," "&amp;LOWER(C242)&amp;" ")),1,0))+IF(Task!$A$9="",0,IF(ISNUMBER(SEARCH(" "&amp;Task!$A$9&amp;" "," "&amp;LOWER(C242)&amp;" ")),1,0))+IF(Task!$A$10="",0,IF(ISNUMBER(SEARCH(" "&amp;Task!$A$10&amp;" "," "&amp;LOWER(C242)&amp;" ")),1,0))+IF(Task!$A$11="",0,IF(ISNUMBER(SEARCH(" "&amp;Task!$A$11&amp;" "," "&amp;LOWER(C242)&amp;" ")),1,0))+IF(Task!$A$12="",0,IF(ISNUMBER(SEARCH(" "&amp;Task!$A$12&amp;" "," "&amp;LOWER(C242)&amp;" ")),1,0))+IF(Task!$A$13="",0,IF(ISNUMBER(SEARCH(" "&amp;Task!$A$13&amp;" "," "&amp;LOWER(C242)&amp;" ")),1,0))+IF(Task!$A$14="",0,IF(ISNUMBER(SEARCH(" "&amp;Task!$A$14&amp;" "," "&amp;LOWER(C242)&amp;" ")),1,0))+IF(Task!$A$15="",0,IF(ISNUMBER(SEARCH(" "&amp;Task!$A$15&amp;" "," "&amp;LOWER(C242)&amp;" ")),1,0))+IF(Task!$A$16="",0,IF(ISNUMBER(SEARCH(" "&amp;Task!$A$16&amp;" "," "&amp;LOWER(C242)&amp;" ")),1,0))+IF(Task!$A$17="",0,IF(ISNUMBER(SEARCH(" "&amp;Task!$A$17&amp;" "," "&amp;LOWER(C242)&amp;" ")),1,0))+IF(Task!$A$18="",0,IF(ISNUMBER(SEARCH(" "&amp;Task!$A$18&amp;" "," "&amp;LOWER(C242)&amp;" ")),1,0))+IF(Task!$A$19="",0,IF(ISNUMBER(SEARCH(" "&amp;Task!$A$19&amp;" "," "&amp;LOWER(C242)&amp;" ")),1,0)))</f>
        <v/>
      </c>
      <c r="H242" s="9">
        <f>IF(E242=0,0,IF(Task!$A$8="",0,IF(ISNUMBER(SEARCH(" "&amp;Task!$A$8&amp;" "," "&amp;LOWER(SUBSTITUTE(SUBSTITUTE(SUBSTITUTE(SUBSTITUTE(A242,"/"," "),"."," "),"\"," "),"_"," "))&amp;" ")),1,0))+IF(Task!$A$9="",0,IF(ISNUMBER(SEARCH(" "&amp;Task!$A$9&amp;" "," "&amp;LOWER(SUBSTITUTE(SUBSTITUTE(SUBSTITUTE(SUBSTITUTE(A242,"/"," "),"."," "),"\"," "),"_"," "))&amp;" ")),1,0))+IF(Task!$A$10="",0,IF(ISNUMBER(SEARCH(" "&amp;Task!$A$10&amp;" "," "&amp;LOWER(SUBSTITUTE(SUBSTITUTE(SUBSTITUTE(SUBSTITUTE(A242,"/"," "),"."," "),"\"," "),"_"," "))&amp;" ")),1,0))+IF(Task!$A$11="",0,IF(ISNUMBER(SEARCH(" "&amp;Task!$A$11&amp;" "," "&amp;LOWER(SUBSTITUTE(SUBSTITUTE(SUBSTITUTE(SUBSTITUTE(A242,"/"," "),"."," "),"\"," "),"_"," "))&amp;" ")),1,0))+IF(Task!$A$12="",0,IF(ISNUMBER(SEARCH(" "&amp;Task!$A$12&amp;" "," "&amp;LOWER(SUBSTITUTE(SUBSTITUTE(SUBSTITUTE(SUBSTITUTE(A242,"/"," "),"."," "),"\"," "),"_"," "))&amp;" ")),1,0))+IF(Task!$A$13="",0,IF(ISNUMBER(SEARCH(" "&amp;Task!$A$13&amp;" "," "&amp;LOWER(SUBSTITUTE(SUBSTITUTE(SUBSTITUTE(SUBSTITUTE(A242,"/"," "),"."," "),"\"," "),"_"," "))&amp;" ")),1,0))+IF(Task!$A$14="",0,IF(ISNUMBER(SEARCH(" "&amp;Task!$A$14&amp;" "," "&amp;LOWER(SUBSTITUTE(SUBSTITUTE(SUBSTITUTE(SUBSTITUTE(A242,"/"," "),"."," "),"\"," "),"_"," "))&amp;" ")),1,0))+IF(Task!$A$15="",0,IF(ISNUMBER(SEARCH(" "&amp;Task!$A$15&amp;" "," "&amp;LOWER(SUBSTITUTE(SUBSTITUTE(SUBSTITUTE(SUBSTITUTE(A242,"/"," "),"."," "),"\"," "),"_"," "))&amp;" ")),1,0))+IF(Task!$A$16="",0,IF(ISNUMBER(SEARCH(" "&amp;Task!$A$16&amp;" "," "&amp;LOWER(SUBSTITUTE(SUBSTITUTE(SUBSTITUTE(SUBSTITUTE(A242,"/"," "),"."," "),"\"," "),"_"," "))&amp;" ")),1,0))+IF(Task!$A$17="",0,IF(ISNUMBER(SEARCH(" "&amp;Task!$A$17&amp;" "," "&amp;LOWER(SUBSTITUTE(SUBSTITUTE(SUBSTITUTE(SUBSTITUTE(A242,"/"," "),"."," "),"\"," "),"_"," "))&amp;" ")),1,0))+IF(Task!$A$18="",0,IF(ISNUMBER(SEARCH(" "&amp;Task!$A$18&amp;" "," "&amp;LOWER(SUBSTITUTE(SUBSTITUTE(SUBSTITUTE(SUBSTITUTE(A242,"/"," "),"."," "),"\"," "),"_"," "))&amp;" ")),1,0))+IF(Task!$A$19="",0,IF(ISNUMBER(SEARCH(" "&amp;Task!$A$19&amp;" "," "&amp;LOWER(SUBSTITUTE(SUBSTITUTE(SUBSTITUTE(SUBSTITUTE(A242,"/"," "),"."," "),"\"," "),"_"," "))&amp;" ")),1,0)))</f>
        <v/>
      </c>
      <c r="I242" s="10">
        <f>IF(OR(E242=0,F242=0,Task!$B$21=0),"",F242/Task!$B$21+0.5*G242+0.25*H242)</f>
        <v/>
      </c>
      <c r="J242" s="5">
        <f>IF(I242="","",I242-ROW()/1000000)</f>
        <v/>
      </c>
      <c r="K242" s="9">
        <f>IF(J242="","",COUNTIF($J$5:$J$404,"&gt;"&amp;J242)+1)</f>
        <v/>
      </c>
    </row>
    <row r="243">
      <c r="A243" s="7" t="n"/>
      <c r="B243" s="7" t="n"/>
      <c r="C243" s="7" t="n"/>
      <c r="D243" s="7" t="n"/>
      <c r="E243" s="5">
        <f>IF(A243="",0,IF(COUNTA(Task!$B$5:$E$5)=0,1,IF(COUNTIF(Task!$B$5:$E$5,B243)&gt;0,1,0)))</f>
        <v/>
      </c>
      <c r="F243" s="9">
        <f>IF(E243=0,0,IF(Task!$A$8="",0,IF(ISNUMBER(SEARCH(" "&amp;Task!$A$8&amp;" "," "&amp;LOWER(D243&amp;" "&amp;C243&amp;" "&amp;LOWER(SUBSTITUTE(SUBSTITUTE(SUBSTITUTE(SUBSTITUTE(A243,"/"," "),"."," "),"\"," "),"_"," ")))&amp;" ")),1,0))+IF(Task!$A$9="",0,IF(ISNUMBER(SEARCH(" "&amp;Task!$A$9&amp;" "," "&amp;LOWER(D243&amp;" "&amp;C243&amp;" "&amp;LOWER(SUBSTITUTE(SUBSTITUTE(SUBSTITUTE(SUBSTITUTE(A243,"/"," "),"."," "),"\"," "),"_"," ")))&amp;" ")),1,0))+IF(Task!$A$10="",0,IF(ISNUMBER(SEARCH(" "&amp;Task!$A$10&amp;" "," "&amp;LOWER(D243&amp;" "&amp;C243&amp;" "&amp;LOWER(SUBSTITUTE(SUBSTITUTE(SUBSTITUTE(SUBSTITUTE(A243,"/"," "),"."," "),"\"," "),"_"," ")))&amp;" ")),1,0))+IF(Task!$A$11="",0,IF(ISNUMBER(SEARCH(" "&amp;Task!$A$11&amp;" "," "&amp;LOWER(D243&amp;" "&amp;C243&amp;" "&amp;LOWER(SUBSTITUTE(SUBSTITUTE(SUBSTITUTE(SUBSTITUTE(A243,"/"," "),"."," "),"\"," "),"_"," ")))&amp;" ")),1,0))+IF(Task!$A$12="",0,IF(ISNUMBER(SEARCH(" "&amp;Task!$A$12&amp;" "," "&amp;LOWER(D243&amp;" "&amp;C243&amp;" "&amp;LOWER(SUBSTITUTE(SUBSTITUTE(SUBSTITUTE(SUBSTITUTE(A243,"/"," "),"."," "),"\"," "),"_"," ")))&amp;" ")),1,0))+IF(Task!$A$13="",0,IF(ISNUMBER(SEARCH(" "&amp;Task!$A$13&amp;" "," "&amp;LOWER(D243&amp;" "&amp;C243&amp;" "&amp;LOWER(SUBSTITUTE(SUBSTITUTE(SUBSTITUTE(SUBSTITUTE(A243,"/"," "),"."," "),"\"," "),"_"," ")))&amp;" ")),1,0))+IF(Task!$A$14="",0,IF(ISNUMBER(SEARCH(" "&amp;Task!$A$14&amp;" "," "&amp;LOWER(D243&amp;" "&amp;C243&amp;" "&amp;LOWER(SUBSTITUTE(SUBSTITUTE(SUBSTITUTE(SUBSTITUTE(A243,"/"," "),"."," "),"\"," "),"_"," ")))&amp;" ")),1,0))+IF(Task!$A$15="",0,IF(ISNUMBER(SEARCH(" "&amp;Task!$A$15&amp;" "," "&amp;LOWER(D243&amp;" "&amp;C243&amp;" "&amp;LOWER(SUBSTITUTE(SUBSTITUTE(SUBSTITUTE(SUBSTITUTE(A243,"/"," "),"."," "),"\"," "),"_"," ")))&amp;" ")),1,0))+IF(Task!$A$16="",0,IF(ISNUMBER(SEARCH(" "&amp;Task!$A$16&amp;" "," "&amp;LOWER(D243&amp;" "&amp;C243&amp;" "&amp;LOWER(SUBSTITUTE(SUBSTITUTE(SUBSTITUTE(SUBSTITUTE(A243,"/"," "),"."," "),"\"," "),"_"," ")))&amp;" ")),1,0))+IF(Task!$A$17="",0,IF(ISNUMBER(SEARCH(" "&amp;Task!$A$17&amp;" "," "&amp;LOWER(D243&amp;" "&amp;C243&amp;" "&amp;LOWER(SUBSTITUTE(SUBSTITUTE(SUBSTITUTE(SUBSTITUTE(A243,"/"," "),"."," "),"\"," "),"_"," ")))&amp;" ")),1,0))+IF(Task!$A$18="",0,IF(ISNUMBER(SEARCH(" "&amp;Task!$A$18&amp;" "," "&amp;LOWER(D243&amp;" "&amp;C243&amp;" "&amp;LOWER(SUBSTITUTE(SUBSTITUTE(SUBSTITUTE(SUBSTITUTE(A243,"/"," "),"."," "),"\"," "),"_"," ")))&amp;" ")),1,0))+IF(Task!$A$19="",0,IF(ISNUMBER(SEARCH(" "&amp;Task!$A$19&amp;" "," "&amp;LOWER(D243&amp;" "&amp;C243&amp;" "&amp;LOWER(SUBSTITUTE(SUBSTITUTE(SUBSTITUTE(SUBSTITUTE(A243,"/"," "),"."," "),"\"," "),"_"," ")))&amp;" ")),1,0)))</f>
        <v/>
      </c>
      <c r="G243" s="9">
        <f>IF(E243=0,0,IF(Task!$A$8="",0,IF(ISNUMBER(SEARCH(" "&amp;Task!$A$8&amp;" "," "&amp;LOWER(C243)&amp;" ")),1,0))+IF(Task!$A$9="",0,IF(ISNUMBER(SEARCH(" "&amp;Task!$A$9&amp;" "," "&amp;LOWER(C243)&amp;" ")),1,0))+IF(Task!$A$10="",0,IF(ISNUMBER(SEARCH(" "&amp;Task!$A$10&amp;" "," "&amp;LOWER(C243)&amp;" ")),1,0))+IF(Task!$A$11="",0,IF(ISNUMBER(SEARCH(" "&amp;Task!$A$11&amp;" "," "&amp;LOWER(C243)&amp;" ")),1,0))+IF(Task!$A$12="",0,IF(ISNUMBER(SEARCH(" "&amp;Task!$A$12&amp;" "," "&amp;LOWER(C243)&amp;" ")),1,0))+IF(Task!$A$13="",0,IF(ISNUMBER(SEARCH(" "&amp;Task!$A$13&amp;" "," "&amp;LOWER(C243)&amp;" ")),1,0))+IF(Task!$A$14="",0,IF(ISNUMBER(SEARCH(" "&amp;Task!$A$14&amp;" "," "&amp;LOWER(C243)&amp;" ")),1,0))+IF(Task!$A$15="",0,IF(ISNUMBER(SEARCH(" "&amp;Task!$A$15&amp;" "," "&amp;LOWER(C243)&amp;" ")),1,0))+IF(Task!$A$16="",0,IF(ISNUMBER(SEARCH(" "&amp;Task!$A$16&amp;" "," "&amp;LOWER(C243)&amp;" ")),1,0))+IF(Task!$A$17="",0,IF(ISNUMBER(SEARCH(" "&amp;Task!$A$17&amp;" "," "&amp;LOWER(C243)&amp;" ")),1,0))+IF(Task!$A$18="",0,IF(ISNUMBER(SEARCH(" "&amp;Task!$A$18&amp;" "," "&amp;LOWER(C243)&amp;" ")),1,0))+IF(Task!$A$19="",0,IF(ISNUMBER(SEARCH(" "&amp;Task!$A$19&amp;" "," "&amp;LOWER(C243)&amp;" ")),1,0)))</f>
        <v/>
      </c>
      <c r="H243" s="9">
        <f>IF(E243=0,0,IF(Task!$A$8="",0,IF(ISNUMBER(SEARCH(" "&amp;Task!$A$8&amp;" "," "&amp;LOWER(SUBSTITUTE(SUBSTITUTE(SUBSTITUTE(SUBSTITUTE(A243,"/"," "),"."," "),"\"," "),"_"," "))&amp;" ")),1,0))+IF(Task!$A$9="",0,IF(ISNUMBER(SEARCH(" "&amp;Task!$A$9&amp;" "," "&amp;LOWER(SUBSTITUTE(SUBSTITUTE(SUBSTITUTE(SUBSTITUTE(A243,"/"," "),"."," "),"\"," "),"_"," "))&amp;" ")),1,0))+IF(Task!$A$10="",0,IF(ISNUMBER(SEARCH(" "&amp;Task!$A$10&amp;" "," "&amp;LOWER(SUBSTITUTE(SUBSTITUTE(SUBSTITUTE(SUBSTITUTE(A243,"/"," "),"."," "),"\"," "),"_"," "))&amp;" ")),1,0))+IF(Task!$A$11="",0,IF(ISNUMBER(SEARCH(" "&amp;Task!$A$11&amp;" "," "&amp;LOWER(SUBSTITUTE(SUBSTITUTE(SUBSTITUTE(SUBSTITUTE(A243,"/"," "),"."," "),"\"," "),"_"," "))&amp;" ")),1,0))+IF(Task!$A$12="",0,IF(ISNUMBER(SEARCH(" "&amp;Task!$A$12&amp;" "," "&amp;LOWER(SUBSTITUTE(SUBSTITUTE(SUBSTITUTE(SUBSTITUTE(A243,"/"," "),"."," "),"\"," "),"_"," "))&amp;" ")),1,0))+IF(Task!$A$13="",0,IF(ISNUMBER(SEARCH(" "&amp;Task!$A$13&amp;" "," "&amp;LOWER(SUBSTITUTE(SUBSTITUTE(SUBSTITUTE(SUBSTITUTE(A243,"/"," "),"."," "),"\"," "),"_"," "))&amp;" ")),1,0))+IF(Task!$A$14="",0,IF(ISNUMBER(SEARCH(" "&amp;Task!$A$14&amp;" "," "&amp;LOWER(SUBSTITUTE(SUBSTITUTE(SUBSTITUTE(SUBSTITUTE(A243,"/"," "),"."," "),"\"," "),"_"," "))&amp;" ")),1,0))+IF(Task!$A$15="",0,IF(ISNUMBER(SEARCH(" "&amp;Task!$A$15&amp;" "," "&amp;LOWER(SUBSTITUTE(SUBSTITUTE(SUBSTITUTE(SUBSTITUTE(A243,"/"," "),"."," "),"\"," "),"_"," "))&amp;" ")),1,0))+IF(Task!$A$16="",0,IF(ISNUMBER(SEARCH(" "&amp;Task!$A$16&amp;" "," "&amp;LOWER(SUBSTITUTE(SUBSTITUTE(SUBSTITUTE(SUBSTITUTE(A243,"/"," "),"."," "),"\"," "),"_"," "))&amp;" ")),1,0))+IF(Task!$A$17="",0,IF(ISNUMBER(SEARCH(" "&amp;Task!$A$17&amp;" "," "&amp;LOWER(SUBSTITUTE(SUBSTITUTE(SUBSTITUTE(SUBSTITUTE(A243,"/"," "),"."," "),"\"," "),"_"," "))&amp;" ")),1,0))+IF(Task!$A$18="",0,IF(ISNUMBER(SEARCH(" "&amp;Task!$A$18&amp;" "," "&amp;LOWER(SUBSTITUTE(SUBSTITUTE(SUBSTITUTE(SUBSTITUTE(A243,"/"," "),"."," "),"\"," "),"_"," "))&amp;" ")),1,0))+IF(Task!$A$19="",0,IF(ISNUMBER(SEARCH(" "&amp;Task!$A$19&amp;" "," "&amp;LOWER(SUBSTITUTE(SUBSTITUTE(SUBSTITUTE(SUBSTITUTE(A243,"/"," "),"."," "),"\"," "),"_"," "))&amp;" ")),1,0)))</f>
        <v/>
      </c>
      <c r="I243" s="10">
        <f>IF(OR(E243=0,F243=0,Task!$B$21=0),"",F243/Task!$B$21+0.5*G243+0.25*H243)</f>
        <v/>
      </c>
      <c r="J243" s="5">
        <f>IF(I243="","",I243-ROW()/1000000)</f>
        <v/>
      </c>
      <c r="K243" s="9">
        <f>IF(J243="","",COUNTIF($J$5:$J$404,"&gt;"&amp;J243)+1)</f>
        <v/>
      </c>
    </row>
    <row r="244">
      <c r="A244" s="7" t="n"/>
      <c r="B244" s="7" t="n"/>
      <c r="C244" s="7" t="n"/>
      <c r="D244" s="7" t="n"/>
      <c r="E244" s="5">
        <f>IF(A244="",0,IF(COUNTA(Task!$B$5:$E$5)=0,1,IF(COUNTIF(Task!$B$5:$E$5,B244)&gt;0,1,0)))</f>
        <v/>
      </c>
      <c r="F244" s="9">
        <f>IF(E244=0,0,IF(Task!$A$8="",0,IF(ISNUMBER(SEARCH(" "&amp;Task!$A$8&amp;" "," "&amp;LOWER(D244&amp;" "&amp;C244&amp;" "&amp;LOWER(SUBSTITUTE(SUBSTITUTE(SUBSTITUTE(SUBSTITUTE(A244,"/"," "),"."," "),"\"," "),"_"," ")))&amp;" ")),1,0))+IF(Task!$A$9="",0,IF(ISNUMBER(SEARCH(" "&amp;Task!$A$9&amp;" "," "&amp;LOWER(D244&amp;" "&amp;C244&amp;" "&amp;LOWER(SUBSTITUTE(SUBSTITUTE(SUBSTITUTE(SUBSTITUTE(A244,"/"," "),"."," "),"\"," "),"_"," ")))&amp;" ")),1,0))+IF(Task!$A$10="",0,IF(ISNUMBER(SEARCH(" "&amp;Task!$A$10&amp;" "," "&amp;LOWER(D244&amp;" "&amp;C244&amp;" "&amp;LOWER(SUBSTITUTE(SUBSTITUTE(SUBSTITUTE(SUBSTITUTE(A244,"/"," "),"."," "),"\"," "),"_"," ")))&amp;" ")),1,0))+IF(Task!$A$11="",0,IF(ISNUMBER(SEARCH(" "&amp;Task!$A$11&amp;" "," "&amp;LOWER(D244&amp;" "&amp;C244&amp;" "&amp;LOWER(SUBSTITUTE(SUBSTITUTE(SUBSTITUTE(SUBSTITUTE(A244,"/"," "),"."," "),"\"," "),"_"," ")))&amp;" ")),1,0))+IF(Task!$A$12="",0,IF(ISNUMBER(SEARCH(" "&amp;Task!$A$12&amp;" "," "&amp;LOWER(D244&amp;" "&amp;C244&amp;" "&amp;LOWER(SUBSTITUTE(SUBSTITUTE(SUBSTITUTE(SUBSTITUTE(A244,"/"," "),"."," "),"\"," "),"_"," ")))&amp;" ")),1,0))+IF(Task!$A$13="",0,IF(ISNUMBER(SEARCH(" "&amp;Task!$A$13&amp;" "," "&amp;LOWER(D244&amp;" "&amp;C244&amp;" "&amp;LOWER(SUBSTITUTE(SUBSTITUTE(SUBSTITUTE(SUBSTITUTE(A244,"/"," "),"."," "),"\"," "),"_"," ")))&amp;" ")),1,0))+IF(Task!$A$14="",0,IF(ISNUMBER(SEARCH(" "&amp;Task!$A$14&amp;" "," "&amp;LOWER(D244&amp;" "&amp;C244&amp;" "&amp;LOWER(SUBSTITUTE(SUBSTITUTE(SUBSTITUTE(SUBSTITUTE(A244,"/"," "),"."," "),"\"," "),"_"," ")))&amp;" ")),1,0))+IF(Task!$A$15="",0,IF(ISNUMBER(SEARCH(" "&amp;Task!$A$15&amp;" "," "&amp;LOWER(D244&amp;" "&amp;C244&amp;" "&amp;LOWER(SUBSTITUTE(SUBSTITUTE(SUBSTITUTE(SUBSTITUTE(A244,"/"," "),"."," "),"\"," "),"_"," ")))&amp;" ")),1,0))+IF(Task!$A$16="",0,IF(ISNUMBER(SEARCH(" "&amp;Task!$A$16&amp;" "," "&amp;LOWER(D244&amp;" "&amp;C244&amp;" "&amp;LOWER(SUBSTITUTE(SUBSTITUTE(SUBSTITUTE(SUBSTITUTE(A244,"/"," "),"."," "),"\"," "),"_"," ")))&amp;" ")),1,0))+IF(Task!$A$17="",0,IF(ISNUMBER(SEARCH(" "&amp;Task!$A$17&amp;" "," "&amp;LOWER(D244&amp;" "&amp;C244&amp;" "&amp;LOWER(SUBSTITUTE(SUBSTITUTE(SUBSTITUTE(SUBSTITUTE(A244,"/"," "),"."," "),"\"," "),"_"," ")))&amp;" ")),1,0))+IF(Task!$A$18="",0,IF(ISNUMBER(SEARCH(" "&amp;Task!$A$18&amp;" "," "&amp;LOWER(D244&amp;" "&amp;C244&amp;" "&amp;LOWER(SUBSTITUTE(SUBSTITUTE(SUBSTITUTE(SUBSTITUTE(A244,"/"," "),"."," "),"\"," "),"_"," ")))&amp;" ")),1,0))+IF(Task!$A$19="",0,IF(ISNUMBER(SEARCH(" "&amp;Task!$A$19&amp;" "," "&amp;LOWER(D244&amp;" "&amp;C244&amp;" "&amp;LOWER(SUBSTITUTE(SUBSTITUTE(SUBSTITUTE(SUBSTITUTE(A244,"/"," "),"."," "),"\"," "),"_"," ")))&amp;" ")),1,0)))</f>
        <v/>
      </c>
      <c r="G244" s="9">
        <f>IF(E244=0,0,IF(Task!$A$8="",0,IF(ISNUMBER(SEARCH(" "&amp;Task!$A$8&amp;" "," "&amp;LOWER(C244)&amp;" ")),1,0))+IF(Task!$A$9="",0,IF(ISNUMBER(SEARCH(" "&amp;Task!$A$9&amp;" "," "&amp;LOWER(C244)&amp;" ")),1,0))+IF(Task!$A$10="",0,IF(ISNUMBER(SEARCH(" "&amp;Task!$A$10&amp;" "," "&amp;LOWER(C244)&amp;" ")),1,0))+IF(Task!$A$11="",0,IF(ISNUMBER(SEARCH(" "&amp;Task!$A$11&amp;" "," "&amp;LOWER(C244)&amp;" ")),1,0))+IF(Task!$A$12="",0,IF(ISNUMBER(SEARCH(" "&amp;Task!$A$12&amp;" "," "&amp;LOWER(C244)&amp;" ")),1,0))+IF(Task!$A$13="",0,IF(ISNUMBER(SEARCH(" "&amp;Task!$A$13&amp;" "," "&amp;LOWER(C244)&amp;" ")),1,0))+IF(Task!$A$14="",0,IF(ISNUMBER(SEARCH(" "&amp;Task!$A$14&amp;" "," "&amp;LOWER(C244)&amp;" ")),1,0))+IF(Task!$A$15="",0,IF(ISNUMBER(SEARCH(" "&amp;Task!$A$15&amp;" "," "&amp;LOWER(C244)&amp;" ")),1,0))+IF(Task!$A$16="",0,IF(ISNUMBER(SEARCH(" "&amp;Task!$A$16&amp;" "," "&amp;LOWER(C244)&amp;" ")),1,0))+IF(Task!$A$17="",0,IF(ISNUMBER(SEARCH(" "&amp;Task!$A$17&amp;" "," "&amp;LOWER(C244)&amp;" ")),1,0))+IF(Task!$A$18="",0,IF(ISNUMBER(SEARCH(" "&amp;Task!$A$18&amp;" "," "&amp;LOWER(C244)&amp;" ")),1,0))+IF(Task!$A$19="",0,IF(ISNUMBER(SEARCH(" "&amp;Task!$A$19&amp;" "," "&amp;LOWER(C244)&amp;" ")),1,0)))</f>
        <v/>
      </c>
      <c r="H244" s="9">
        <f>IF(E244=0,0,IF(Task!$A$8="",0,IF(ISNUMBER(SEARCH(" "&amp;Task!$A$8&amp;" "," "&amp;LOWER(SUBSTITUTE(SUBSTITUTE(SUBSTITUTE(SUBSTITUTE(A244,"/"," "),"."," "),"\"," "),"_"," "))&amp;" ")),1,0))+IF(Task!$A$9="",0,IF(ISNUMBER(SEARCH(" "&amp;Task!$A$9&amp;" "," "&amp;LOWER(SUBSTITUTE(SUBSTITUTE(SUBSTITUTE(SUBSTITUTE(A244,"/"," "),"."," "),"\"," "),"_"," "))&amp;" ")),1,0))+IF(Task!$A$10="",0,IF(ISNUMBER(SEARCH(" "&amp;Task!$A$10&amp;" "," "&amp;LOWER(SUBSTITUTE(SUBSTITUTE(SUBSTITUTE(SUBSTITUTE(A244,"/"," "),"."," "),"\"," "),"_"," "))&amp;" ")),1,0))+IF(Task!$A$11="",0,IF(ISNUMBER(SEARCH(" "&amp;Task!$A$11&amp;" "," "&amp;LOWER(SUBSTITUTE(SUBSTITUTE(SUBSTITUTE(SUBSTITUTE(A244,"/"," "),"."," "),"\"," "),"_"," "))&amp;" ")),1,0))+IF(Task!$A$12="",0,IF(ISNUMBER(SEARCH(" "&amp;Task!$A$12&amp;" "," "&amp;LOWER(SUBSTITUTE(SUBSTITUTE(SUBSTITUTE(SUBSTITUTE(A244,"/"," "),"."," "),"\"," "),"_"," "))&amp;" ")),1,0))+IF(Task!$A$13="",0,IF(ISNUMBER(SEARCH(" "&amp;Task!$A$13&amp;" "," "&amp;LOWER(SUBSTITUTE(SUBSTITUTE(SUBSTITUTE(SUBSTITUTE(A244,"/"," "),"."," "),"\"," "),"_"," "))&amp;" ")),1,0))+IF(Task!$A$14="",0,IF(ISNUMBER(SEARCH(" "&amp;Task!$A$14&amp;" "," "&amp;LOWER(SUBSTITUTE(SUBSTITUTE(SUBSTITUTE(SUBSTITUTE(A244,"/"," "),"."," "),"\"," "),"_"," "))&amp;" ")),1,0))+IF(Task!$A$15="",0,IF(ISNUMBER(SEARCH(" "&amp;Task!$A$15&amp;" "," "&amp;LOWER(SUBSTITUTE(SUBSTITUTE(SUBSTITUTE(SUBSTITUTE(A244,"/"," "),"."," "),"\"," "),"_"," "))&amp;" ")),1,0))+IF(Task!$A$16="",0,IF(ISNUMBER(SEARCH(" "&amp;Task!$A$16&amp;" "," "&amp;LOWER(SUBSTITUTE(SUBSTITUTE(SUBSTITUTE(SUBSTITUTE(A244,"/"," "),"."," "),"\"," "),"_"," "))&amp;" ")),1,0))+IF(Task!$A$17="",0,IF(ISNUMBER(SEARCH(" "&amp;Task!$A$17&amp;" "," "&amp;LOWER(SUBSTITUTE(SUBSTITUTE(SUBSTITUTE(SUBSTITUTE(A244,"/"," "),"."," "),"\"," "),"_"," "))&amp;" ")),1,0))+IF(Task!$A$18="",0,IF(ISNUMBER(SEARCH(" "&amp;Task!$A$18&amp;" "," "&amp;LOWER(SUBSTITUTE(SUBSTITUTE(SUBSTITUTE(SUBSTITUTE(A244,"/"," "),"."," "),"\"," "),"_"," "))&amp;" ")),1,0))+IF(Task!$A$19="",0,IF(ISNUMBER(SEARCH(" "&amp;Task!$A$19&amp;" "," "&amp;LOWER(SUBSTITUTE(SUBSTITUTE(SUBSTITUTE(SUBSTITUTE(A244,"/"," "),"."," "),"\"," "),"_"," "))&amp;" ")),1,0)))</f>
        <v/>
      </c>
      <c r="I244" s="10">
        <f>IF(OR(E244=0,F244=0,Task!$B$21=0),"",F244/Task!$B$21+0.5*G244+0.25*H244)</f>
        <v/>
      </c>
      <c r="J244" s="5">
        <f>IF(I244="","",I244-ROW()/1000000)</f>
        <v/>
      </c>
      <c r="K244" s="9">
        <f>IF(J244="","",COUNTIF($J$5:$J$404,"&gt;"&amp;J244)+1)</f>
        <v/>
      </c>
    </row>
    <row r="245">
      <c r="A245" s="7" t="n"/>
      <c r="B245" s="7" t="n"/>
      <c r="C245" s="7" t="n"/>
      <c r="D245" s="7" t="n"/>
      <c r="E245" s="5">
        <f>IF(A245="",0,IF(COUNTA(Task!$B$5:$E$5)=0,1,IF(COUNTIF(Task!$B$5:$E$5,B245)&gt;0,1,0)))</f>
        <v/>
      </c>
      <c r="F245" s="9">
        <f>IF(E245=0,0,IF(Task!$A$8="",0,IF(ISNUMBER(SEARCH(" "&amp;Task!$A$8&amp;" "," "&amp;LOWER(D245&amp;" "&amp;C245&amp;" "&amp;LOWER(SUBSTITUTE(SUBSTITUTE(SUBSTITUTE(SUBSTITUTE(A245,"/"," "),"."," "),"\"," "),"_"," ")))&amp;" ")),1,0))+IF(Task!$A$9="",0,IF(ISNUMBER(SEARCH(" "&amp;Task!$A$9&amp;" "," "&amp;LOWER(D245&amp;" "&amp;C245&amp;" "&amp;LOWER(SUBSTITUTE(SUBSTITUTE(SUBSTITUTE(SUBSTITUTE(A245,"/"," "),"."," "),"\"," "),"_"," ")))&amp;" ")),1,0))+IF(Task!$A$10="",0,IF(ISNUMBER(SEARCH(" "&amp;Task!$A$10&amp;" "," "&amp;LOWER(D245&amp;" "&amp;C245&amp;" "&amp;LOWER(SUBSTITUTE(SUBSTITUTE(SUBSTITUTE(SUBSTITUTE(A245,"/"," "),"."," "),"\"," "),"_"," ")))&amp;" ")),1,0))+IF(Task!$A$11="",0,IF(ISNUMBER(SEARCH(" "&amp;Task!$A$11&amp;" "," "&amp;LOWER(D245&amp;" "&amp;C245&amp;" "&amp;LOWER(SUBSTITUTE(SUBSTITUTE(SUBSTITUTE(SUBSTITUTE(A245,"/"," "),"."," "),"\"," "),"_"," ")))&amp;" ")),1,0))+IF(Task!$A$12="",0,IF(ISNUMBER(SEARCH(" "&amp;Task!$A$12&amp;" "," "&amp;LOWER(D245&amp;" "&amp;C245&amp;" "&amp;LOWER(SUBSTITUTE(SUBSTITUTE(SUBSTITUTE(SUBSTITUTE(A245,"/"," "),"."," "),"\"," "),"_"," ")))&amp;" ")),1,0))+IF(Task!$A$13="",0,IF(ISNUMBER(SEARCH(" "&amp;Task!$A$13&amp;" "," "&amp;LOWER(D245&amp;" "&amp;C245&amp;" "&amp;LOWER(SUBSTITUTE(SUBSTITUTE(SUBSTITUTE(SUBSTITUTE(A245,"/"," "),"."," "),"\"," "),"_"," ")))&amp;" ")),1,0))+IF(Task!$A$14="",0,IF(ISNUMBER(SEARCH(" "&amp;Task!$A$14&amp;" "," "&amp;LOWER(D245&amp;" "&amp;C245&amp;" "&amp;LOWER(SUBSTITUTE(SUBSTITUTE(SUBSTITUTE(SUBSTITUTE(A245,"/"," "),"."," "),"\"," "),"_"," ")))&amp;" ")),1,0))+IF(Task!$A$15="",0,IF(ISNUMBER(SEARCH(" "&amp;Task!$A$15&amp;" "," "&amp;LOWER(D245&amp;" "&amp;C245&amp;" "&amp;LOWER(SUBSTITUTE(SUBSTITUTE(SUBSTITUTE(SUBSTITUTE(A245,"/"," "),"."," "),"\"," "),"_"," ")))&amp;" ")),1,0))+IF(Task!$A$16="",0,IF(ISNUMBER(SEARCH(" "&amp;Task!$A$16&amp;" "," "&amp;LOWER(D245&amp;" "&amp;C245&amp;" "&amp;LOWER(SUBSTITUTE(SUBSTITUTE(SUBSTITUTE(SUBSTITUTE(A245,"/"," "),"."," "),"\"," "),"_"," ")))&amp;" ")),1,0))+IF(Task!$A$17="",0,IF(ISNUMBER(SEARCH(" "&amp;Task!$A$17&amp;" "," "&amp;LOWER(D245&amp;" "&amp;C245&amp;" "&amp;LOWER(SUBSTITUTE(SUBSTITUTE(SUBSTITUTE(SUBSTITUTE(A245,"/"," "),"."," "),"\"," "),"_"," ")))&amp;" ")),1,0))+IF(Task!$A$18="",0,IF(ISNUMBER(SEARCH(" "&amp;Task!$A$18&amp;" "," "&amp;LOWER(D245&amp;" "&amp;C245&amp;" "&amp;LOWER(SUBSTITUTE(SUBSTITUTE(SUBSTITUTE(SUBSTITUTE(A245,"/"," "),"."," "),"\"," "),"_"," ")))&amp;" ")),1,0))+IF(Task!$A$19="",0,IF(ISNUMBER(SEARCH(" "&amp;Task!$A$19&amp;" "," "&amp;LOWER(D245&amp;" "&amp;C245&amp;" "&amp;LOWER(SUBSTITUTE(SUBSTITUTE(SUBSTITUTE(SUBSTITUTE(A245,"/"," "),"."," "),"\"," "),"_"," ")))&amp;" ")),1,0)))</f>
        <v/>
      </c>
      <c r="G245" s="9">
        <f>IF(E245=0,0,IF(Task!$A$8="",0,IF(ISNUMBER(SEARCH(" "&amp;Task!$A$8&amp;" "," "&amp;LOWER(C245)&amp;" ")),1,0))+IF(Task!$A$9="",0,IF(ISNUMBER(SEARCH(" "&amp;Task!$A$9&amp;" "," "&amp;LOWER(C245)&amp;" ")),1,0))+IF(Task!$A$10="",0,IF(ISNUMBER(SEARCH(" "&amp;Task!$A$10&amp;" "," "&amp;LOWER(C245)&amp;" ")),1,0))+IF(Task!$A$11="",0,IF(ISNUMBER(SEARCH(" "&amp;Task!$A$11&amp;" "," "&amp;LOWER(C245)&amp;" ")),1,0))+IF(Task!$A$12="",0,IF(ISNUMBER(SEARCH(" "&amp;Task!$A$12&amp;" "," "&amp;LOWER(C245)&amp;" ")),1,0))+IF(Task!$A$13="",0,IF(ISNUMBER(SEARCH(" "&amp;Task!$A$13&amp;" "," "&amp;LOWER(C245)&amp;" ")),1,0))+IF(Task!$A$14="",0,IF(ISNUMBER(SEARCH(" "&amp;Task!$A$14&amp;" "," "&amp;LOWER(C245)&amp;" ")),1,0))+IF(Task!$A$15="",0,IF(ISNUMBER(SEARCH(" "&amp;Task!$A$15&amp;" "," "&amp;LOWER(C245)&amp;" ")),1,0))+IF(Task!$A$16="",0,IF(ISNUMBER(SEARCH(" "&amp;Task!$A$16&amp;" "," "&amp;LOWER(C245)&amp;" ")),1,0))+IF(Task!$A$17="",0,IF(ISNUMBER(SEARCH(" "&amp;Task!$A$17&amp;" "," "&amp;LOWER(C245)&amp;" ")),1,0))+IF(Task!$A$18="",0,IF(ISNUMBER(SEARCH(" "&amp;Task!$A$18&amp;" "," "&amp;LOWER(C245)&amp;" ")),1,0))+IF(Task!$A$19="",0,IF(ISNUMBER(SEARCH(" "&amp;Task!$A$19&amp;" "," "&amp;LOWER(C245)&amp;" ")),1,0)))</f>
        <v/>
      </c>
      <c r="H245" s="9">
        <f>IF(E245=0,0,IF(Task!$A$8="",0,IF(ISNUMBER(SEARCH(" "&amp;Task!$A$8&amp;" "," "&amp;LOWER(SUBSTITUTE(SUBSTITUTE(SUBSTITUTE(SUBSTITUTE(A245,"/"," "),"."," "),"\"," "),"_"," "))&amp;" ")),1,0))+IF(Task!$A$9="",0,IF(ISNUMBER(SEARCH(" "&amp;Task!$A$9&amp;" "," "&amp;LOWER(SUBSTITUTE(SUBSTITUTE(SUBSTITUTE(SUBSTITUTE(A245,"/"," "),"."," "),"\"," "),"_"," "))&amp;" ")),1,0))+IF(Task!$A$10="",0,IF(ISNUMBER(SEARCH(" "&amp;Task!$A$10&amp;" "," "&amp;LOWER(SUBSTITUTE(SUBSTITUTE(SUBSTITUTE(SUBSTITUTE(A245,"/"," "),"."," "),"\"," "),"_"," "))&amp;" ")),1,0))+IF(Task!$A$11="",0,IF(ISNUMBER(SEARCH(" "&amp;Task!$A$11&amp;" "," "&amp;LOWER(SUBSTITUTE(SUBSTITUTE(SUBSTITUTE(SUBSTITUTE(A245,"/"," "),"."," "),"\"," "),"_"," "))&amp;" ")),1,0))+IF(Task!$A$12="",0,IF(ISNUMBER(SEARCH(" "&amp;Task!$A$12&amp;" "," "&amp;LOWER(SUBSTITUTE(SUBSTITUTE(SUBSTITUTE(SUBSTITUTE(A245,"/"," "),"."," "),"\"," "),"_"," "))&amp;" ")),1,0))+IF(Task!$A$13="",0,IF(ISNUMBER(SEARCH(" "&amp;Task!$A$13&amp;" "," "&amp;LOWER(SUBSTITUTE(SUBSTITUTE(SUBSTITUTE(SUBSTITUTE(A245,"/"," "),"."," "),"\"," "),"_"," "))&amp;" ")),1,0))+IF(Task!$A$14="",0,IF(ISNUMBER(SEARCH(" "&amp;Task!$A$14&amp;" "," "&amp;LOWER(SUBSTITUTE(SUBSTITUTE(SUBSTITUTE(SUBSTITUTE(A245,"/"," "),"."," "),"\"," "),"_"," "))&amp;" ")),1,0))+IF(Task!$A$15="",0,IF(ISNUMBER(SEARCH(" "&amp;Task!$A$15&amp;" "," "&amp;LOWER(SUBSTITUTE(SUBSTITUTE(SUBSTITUTE(SUBSTITUTE(A245,"/"," "),"."," "),"\"," "),"_"," "))&amp;" ")),1,0))+IF(Task!$A$16="",0,IF(ISNUMBER(SEARCH(" "&amp;Task!$A$16&amp;" "," "&amp;LOWER(SUBSTITUTE(SUBSTITUTE(SUBSTITUTE(SUBSTITUTE(A245,"/"," "),"."," "),"\"," "),"_"," "))&amp;" ")),1,0))+IF(Task!$A$17="",0,IF(ISNUMBER(SEARCH(" "&amp;Task!$A$17&amp;" "," "&amp;LOWER(SUBSTITUTE(SUBSTITUTE(SUBSTITUTE(SUBSTITUTE(A245,"/"," "),"."," "),"\"," "),"_"," "))&amp;" ")),1,0))+IF(Task!$A$18="",0,IF(ISNUMBER(SEARCH(" "&amp;Task!$A$18&amp;" "," "&amp;LOWER(SUBSTITUTE(SUBSTITUTE(SUBSTITUTE(SUBSTITUTE(A245,"/"," "),"."," "),"\"," "),"_"," "))&amp;" ")),1,0))+IF(Task!$A$19="",0,IF(ISNUMBER(SEARCH(" "&amp;Task!$A$19&amp;" "," "&amp;LOWER(SUBSTITUTE(SUBSTITUTE(SUBSTITUTE(SUBSTITUTE(A245,"/"," "),"."," "),"\"," "),"_"," "))&amp;" ")),1,0)))</f>
        <v/>
      </c>
      <c r="I245" s="10">
        <f>IF(OR(E245=0,F245=0,Task!$B$21=0),"",F245/Task!$B$21+0.5*G245+0.25*H245)</f>
        <v/>
      </c>
      <c r="J245" s="5">
        <f>IF(I245="","",I245-ROW()/1000000)</f>
        <v/>
      </c>
      <c r="K245" s="9">
        <f>IF(J245="","",COUNTIF($J$5:$J$404,"&gt;"&amp;J245)+1)</f>
        <v/>
      </c>
    </row>
    <row r="246">
      <c r="A246" s="7" t="n"/>
      <c r="B246" s="7" t="n"/>
      <c r="C246" s="7" t="n"/>
      <c r="D246" s="7" t="n"/>
      <c r="E246" s="5">
        <f>IF(A246="",0,IF(COUNTA(Task!$B$5:$E$5)=0,1,IF(COUNTIF(Task!$B$5:$E$5,B246)&gt;0,1,0)))</f>
        <v/>
      </c>
      <c r="F246" s="9">
        <f>IF(E246=0,0,IF(Task!$A$8="",0,IF(ISNUMBER(SEARCH(" "&amp;Task!$A$8&amp;" "," "&amp;LOWER(D246&amp;" "&amp;C246&amp;" "&amp;LOWER(SUBSTITUTE(SUBSTITUTE(SUBSTITUTE(SUBSTITUTE(A246,"/"," "),"."," "),"\"," "),"_"," ")))&amp;" ")),1,0))+IF(Task!$A$9="",0,IF(ISNUMBER(SEARCH(" "&amp;Task!$A$9&amp;" "," "&amp;LOWER(D246&amp;" "&amp;C246&amp;" "&amp;LOWER(SUBSTITUTE(SUBSTITUTE(SUBSTITUTE(SUBSTITUTE(A246,"/"," "),"."," "),"\"," "),"_"," ")))&amp;" ")),1,0))+IF(Task!$A$10="",0,IF(ISNUMBER(SEARCH(" "&amp;Task!$A$10&amp;" "," "&amp;LOWER(D246&amp;" "&amp;C246&amp;" "&amp;LOWER(SUBSTITUTE(SUBSTITUTE(SUBSTITUTE(SUBSTITUTE(A246,"/"," "),"."," "),"\"," "),"_"," ")))&amp;" ")),1,0))+IF(Task!$A$11="",0,IF(ISNUMBER(SEARCH(" "&amp;Task!$A$11&amp;" "," "&amp;LOWER(D246&amp;" "&amp;C246&amp;" "&amp;LOWER(SUBSTITUTE(SUBSTITUTE(SUBSTITUTE(SUBSTITUTE(A246,"/"," "),"."," "),"\"," "),"_"," ")))&amp;" ")),1,0))+IF(Task!$A$12="",0,IF(ISNUMBER(SEARCH(" "&amp;Task!$A$12&amp;" "," "&amp;LOWER(D246&amp;" "&amp;C246&amp;" "&amp;LOWER(SUBSTITUTE(SUBSTITUTE(SUBSTITUTE(SUBSTITUTE(A246,"/"," "),"."," "),"\"," "),"_"," ")))&amp;" ")),1,0))+IF(Task!$A$13="",0,IF(ISNUMBER(SEARCH(" "&amp;Task!$A$13&amp;" "," "&amp;LOWER(D246&amp;" "&amp;C246&amp;" "&amp;LOWER(SUBSTITUTE(SUBSTITUTE(SUBSTITUTE(SUBSTITUTE(A246,"/"," "),"."," "),"\"," "),"_"," ")))&amp;" ")),1,0))+IF(Task!$A$14="",0,IF(ISNUMBER(SEARCH(" "&amp;Task!$A$14&amp;" "," "&amp;LOWER(D246&amp;" "&amp;C246&amp;" "&amp;LOWER(SUBSTITUTE(SUBSTITUTE(SUBSTITUTE(SUBSTITUTE(A246,"/"," "),"."," "),"\"," "),"_"," ")))&amp;" ")),1,0))+IF(Task!$A$15="",0,IF(ISNUMBER(SEARCH(" "&amp;Task!$A$15&amp;" "," "&amp;LOWER(D246&amp;" "&amp;C246&amp;" "&amp;LOWER(SUBSTITUTE(SUBSTITUTE(SUBSTITUTE(SUBSTITUTE(A246,"/"," "),"."," "),"\"," "),"_"," ")))&amp;" ")),1,0))+IF(Task!$A$16="",0,IF(ISNUMBER(SEARCH(" "&amp;Task!$A$16&amp;" "," "&amp;LOWER(D246&amp;" "&amp;C246&amp;" "&amp;LOWER(SUBSTITUTE(SUBSTITUTE(SUBSTITUTE(SUBSTITUTE(A246,"/"," "),"."," "),"\"," "),"_"," ")))&amp;" ")),1,0))+IF(Task!$A$17="",0,IF(ISNUMBER(SEARCH(" "&amp;Task!$A$17&amp;" "," "&amp;LOWER(D246&amp;" "&amp;C246&amp;" "&amp;LOWER(SUBSTITUTE(SUBSTITUTE(SUBSTITUTE(SUBSTITUTE(A246,"/"," "),"."," "),"\"," "),"_"," ")))&amp;" ")),1,0))+IF(Task!$A$18="",0,IF(ISNUMBER(SEARCH(" "&amp;Task!$A$18&amp;" "," "&amp;LOWER(D246&amp;" "&amp;C246&amp;" "&amp;LOWER(SUBSTITUTE(SUBSTITUTE(SUBSTITUTE(SUBSTITUTE(A246,"/"," "),"."," "),"\"," "),"_"," ")))&amp;" ")),1,0))+IF(Task!$A$19="",0,IF(ISNUMBER(SEARCH(" "&amp;Task!$A$19&amp;" "," "&amp;LOWER(D246&amp;" "&amp;C246&amp;" "&amp;LOWER(SUBSTITUTE(SUBSTITUTE(SUBSTITUTE(SUBSTITUTE(A246,"/"," "),"."," "),"\"," "),"_"," ")))&amp;" ")),1,0)))</f>
        <v/>
      </c>
      <c r="G246" s="9">
        <f>IF(E246=0,0,IF(Task!$A$8="",0,IF(ISNUMBER(SEARCH(" "&amp;Task!$A$8&amp;" "," "&amp;LOWER(C246)&amp;" ")),1,0))+IF(Task!$A$9="",0,IF(ISNUMBER(SEARCH(" "&amp;Task!$A$9&amp;" "," "&amp;LOWER(C246)&amp;" ")),1,0))+IF(Task!$A$10="",0,IF(ISNUMBER(SEARCH(" "&amp;Task!$A$10&amp;" "," "&amp;LOWER(C246)&amp;" ")),1,0))+IF(Task!$A$11="",0,IF(ISNUMBER(SEARCH(" "&amp;Task!$A$11&amp;" "," "&amp;LOWER(C246)&amp;" ")),1,0))+IF(Task!$A$12="",0,IF(ISNUMBER(SEARCH(" "&amp;Task!$A$12&amp;" "," "&amp;LOWER(C246)&amp;" ")),1,0))+IF(Task!$A$13="",0,IF(ISNUMBER(SEARCH(" "&amp;Task!$A$13&amp;" "," "&amp;LOWER(C246)&amp;" ")),1,0))+IF(Task!$A$14="",0,IF(ISNUMBER(SEARCH(" "&amp;Task!$A$14&amp;" "," "&amp;LOWER(C246)&amp;" ")),1,0))+IF(Task!$A$15="",0,IF(ISNUMBER(SEARCH(" "&amp;Task!$A$15&amp;" "," "&amp;LOWER(C246)&amp;" ")),1,0))+IF(Task!$A$16="",0,IF(ISNUMBER(SEARCH(" "&amp;Task!$A$16&amp;" "," "&amp;LOWER(C246)&amp;" ")),1,0))+IF(Task!$A$17="",0,IF(ISNUMBER(SEARCH(" "&amp;Task!$A$17&amp;" "," "&amp;LOWER(C246)&amp;" ")),1,0))+IF(Task!$A$18="",0,IF(ISNUMBER(SEARCH(" "&amp;Task!$A$18&amp;" "," "&amp;LOWER(C246)&amp;" ")),1,0))+IF(Task!$A$19="",0,IF(ISNUMBER(SEARCH(" "&amp;Task!$A$19&amp;" "," "&amp;LOWER(C246)&amp;" ")),1,0)))</f>
        <v/>
      </c>
      <c r="H246" s="9">
        <f>IF(E246=0,0,IF(Task!$A$8="",0,IF(ISNUMBER(SEARCH(" "&amp;Task!$A$8&amp;" "," "&amp;LOWER(SUBSTITUTE(SUBSTITUTE(SUBSTITUTE(SUBSTITUTE(A246,"/"," "),"."," "),"\"," "),"_"," "))&amp;" ")),1,0))+IF(Task!$A$9="",0,IF(ISNUMBER(SEARCH(" "&amp;Task!$A$9&amp;" "," "&amp;LOWER(SUBSTITUTE(SUBSTITUTE(SUBSTITUTE(SUBSTITUTE(A246,"/"," "),"."," "),"\"," "),"_"," "))&amp;" ")),1,0))+IF(Task!$A$10="",0,IF(ISNUMBER(SEARCH(" "&amp;Task!$A$10&amp;" "," "&amp;LOWER(SUBSTITUTE(SUBSTITUTE(SUBSTITUTE(SUBSTITUTE(A246,"/"," "),"."," "),"\"," "),"_"," "))&amp;" ")),1,0))+IF(Task!$A$11="",0,IF(ISNUMBER(SEARCH(" "&amp;Task!$A$11&amp;" "," "&amp;LOWER(SUBSTITUTE(SUBSTITUTE(SUBSTITUTE(SUBSTITUTE(A246,"/"," "),"."," "),"\"," "),"_"," "))&amp;" ")),1,0))+IF(Task!$A$12="",0,IF(ISNUMBER(SEARCH(" "&amp;Task!$A$12&amp;" "," "&amp;LOWER(SUBSTITUTE(SUBSTITUTE(SUBSTITUTE(SUBSTITUTE(A246,"/"," "),"."," "),"\"," "),"_"," "))&amp;" ")),1,0))+IF(Task!$A$13="",0,IF(ISNUMBER(SEARCH(" "&amp;Task!$A$13&amp;" "," "&amp;LOWER(SUBSTITUTE(SUBSTITUTE(SUBSTITUTE(SUBSTITUTE(A246,"/"," "),"."," "),"\"," "),"_"," "))&amp;" ")),1,0))+IF(Task!$A$14="",0,IF(ISNUMBER(SEARCH(" "&amp;Task!$A$14&amp;" "," "&amp;LOWER(SUBSTITUTE(SUBSTITUTE(SUBSTITUTE(SUBSTITUTE(A246,"/"," "),"."," "),"\"," "),"_"," "))&amp;" ")),1,0))+IF(Task!$A$15="",0,IF(ISNUMBER(SEARCH(" "&amp;Task!$A$15&amp;" "," "&amp;LOWER(SUBSTITUTE(SUBSTITUTE(SUBSTITUTE(SUBSTITUTE(A246,"/"," "),"."," "),"\"," "),"_"," "))&amp;" ")),1,0))+IF(Task!$A$16="",0,IF(ISNUMBER(SEARCH(" "&amp;Task!$A$16&amp;" "," "&amp;LOWER(SUBSTITUTE(SUBSTITUTE(SUBSTITUTE(SUBSTITUTE(A246,"/"," "),"."," "),"\"," "),"_"," "))&amp;" ")),1,0))+IF(Task!$A$17="",0,IF(ISNUMBER(SEARCH(" "&amp;Task!$A$17&amp;" "," "&amp;LOWER(SUBSTITUTE(SUBSTITUTE(SUBSTITUTE(SUBSTITUTE(A246,"/"," "),"."," "),"\"," "),"_"," "))&amp;" ")),1,0))+IF(Task!$A$18="",0,IF(ISNUMBER(SEARCH(" "&amp;Task!$A$18&amp;" "," "&amp;LOWER(SUBSTITUTE(SUBSTITUTE(SUBSTITUTE(SUBSTITUTE(A246,"/"," "),"."," "),"\"," "),"_"," "))&amp;" ")),1,0))+IF(Task!$A$19="",0,IF(ISNUMBER(SEARCH(" "&amp;Task!$A$19&amp;" "," "&amp;LOWER(SUBSTITUTE(SUBSTITUTE(SUBSTITUTE(SUBSTITUTE(A246,"/"," "),"."," "),"\"," "),"_"," "))&amp;" ")),1,0)))</f>
        <v/>
      </c>
      <c r="I246" s="10">
        <f>IF(OR(E246=0,F246=0,Task!$B$21=0),"",F246/Task!$B$21+0.5*G246+0.25*H246)</f>
        <v/>
      </c>
      <c r="J246" s="5">
        <f>IF(I246="","",I246-ROW()/1000000)</f>
        <v/>
      </c>
      <c r="K246" s="9">
        <f>IF(J246="","",COUNTIF($J$5:$J$404,"&gt;"&amp;J246)+1)</f>
        <v/>
      </c>
    </row>
    <row r="247">
      <c r="A247" s="7" t="n"/>
      <c r="B247" s="7" t="n"/>
      <c r="C247" s="7" t="n"/>
      <c r="D247" s="7" t="n"/>
      <c r="E247" s="5">
        <f>IF(A247="",0,IF(COUNTA(Task!$B$5:$E$5)=0,1,IF(COUNTIF(Task!$B$5:$E$5,B247)&gt;0,1,0)))</f>
        <v/>
      </c>
      <c r="F247" s="9">
        <f>IF(E247=0,0,IF(Task!$A$8="",0,IF(ISNUMBER(SEARCH(" "&amp;Task!$A$8&amp;" "," "&amp;LOWER(D247&amp;" "&amp;C247&amp;" "&amp;LOWER(SUBSTITUTE(SUBSTITUTE(SUBSTITUTE(SUBSTITUTE(A247,"/"," "),"."," "),"\"," "),"_"," ")))&amp;" ")),1,0))+IF(Task!$A$9="",0,IF(ISNUMBER(SEARCH(" "&amp;Task!$A$9&amp;" "," "&amp;LOWER(D247&amp;" "&amp;C247&amp;" "&amp;LOWER(SUBSTITUTE(SUBSTITUTE(SUBSTITUTE(SUBSTITUTE(A247,"/"," "),"."," "),"\"," "),"_"," ")))&amp;" ")),1,0))+IF(Task!$A$10="",0,IF(ISNUMBER(SEARCH(" "&amp;Task!$A$10&amp;" "," "&amp;LOWER(D247&amp;" "&amp;C247&amp;" "&amp;LOWER(SUBSTITUTE(SUBSTITUTE(SUBSTITUTE(SUBSTITUTE(A247,"/"," "),"."," "),"\"," "),"_"," ")))&amp;" ")),1,0))+IF(Task!$A$11="",0,IF(ISNUMBER(SEARCH(" "&amp;Task!$A$11&amp;" "," "&amp;LOWER(D247&amp;" "&amp;C247&amp;" "&amp;LOWER(SUBSTITUTE(SUBSTITUTE(SUBSTITUTE(SUBSTITUTE(A247,"/"," "),"."," "),"\"," "),"_"," ")))&amp;" ")),1,0))+IF(Task!$A$12="",0,IF(ISNUMBER(SEARCH(" "&amp;Task!$A$12&amp;" "," "&amp;LOWER(D247&amp;" "&amp;C247&amp;" "&amp;LOWER(SUBSTITUTE(SUBSTITUTE(SUBSTITUTE(SUBSTITUTE(A247,"/"," "),"."," "),"\"," "),"_"," ")))&amp;" ")),1,0))+IF(Task!$A$13="",0,IF(ISNUMBER(SEARCH(" "&amp;Task!$A$13&amp;" "," "&amp;LOWER(D247&amp;" "&amp;C247&amp;" "&amp;LOWER(SUBSTITUTE(SUBSTITUTE(SUBSTITUTE(SUBSTITUTE(A247,"/"," "),"."," "),"\"," "),"_"," ")))&amp;" ")),1,0))+IF(Task!$A$14="",0,IF(ISNUMBER(SEARCH(" "&amp;Task!$A$14&amp;" "," "&amp;LOWER(D247&amp;" "&amp;C247&amp;" "&amp;LOWER(SUBSTITUTE(SUBSTITUTE(SUBSTITUTE(SUBSTITUTE(A247,"/"," "),"."," "),"\"," "),"_"," ")))&amp;" ")),1,0))+IF(Task!$A$15="",0,IF(ISNUMBER(SEARCH(" "&amp;Task!$A$15&amp;" "," "&amp;LOWER(D247&amp;" "&amp;C247&amp;" "&amp;LOWER(SUBSTITUTE(SUBSTITUTE(SUBSTITUTE(SUBSTITUTE(A247,"/"," "),"."," "),"\"," "),"_"," ")))&amp;" ")),1,0))+IF(Task!$A$16="",0,IF(ISNUMBER(SEARCH(" "&amp;Task!$A$16&amp;" "," "&amp;LOWER(D247&amp;" "&amp;C247&amp;" "&amp;LOWER(SUBSTITUTE(SUBSTITUTE(SUBSTITUTE(SUBSTITUTE(A247,"/"," "),"."," "),"\"," "),"_"," ")))&amp;" ")),1,0))+IF(Task!$A$17="",0,IF(ISNUMBER(SEARCH(" "&amp;Task!$A$17&amp;" "," "&amp;LOWER(D247&amp;" "&amp;C247&amp;" "&amp;LOWER(SUBSTITUTE(SUBSTITUTE(SUBSTITUTE(SUBSTITUTE(A247,"/"," "),"."," "),"\"," "),"_"," ")))&amp;" ")),1,0))+IF(Task!$A$18="",0,IF(ISNUMBER(SEARCH(" "&amp;Task!$A$18&amp;" "," "&amp;LOWER(D247&amp;" "&amp;C247&amp;" "&amp;LOWER(SUBSTITUTE(SUBSTITUTE(SUBSTITUTE(SUBSTITUTE(A247,"/"," "),"."," "),"\"," "),"_"," ")))&amp;" ")),1,0))+IF(Task!$A$19="",0,IF(ISNUMBER(SEARCH(" "&amp;Task!$A$19&amp;" "," "&amp;LOWER(D247&amp;" "&amp;C247&amp;" "&amp;LOWER(SUBSTITUTE(SUBSTITUTE(SUBSTITUTE(SUBSTITUTE(A247,"/"," "),"."," "),"\"," "),"_"," ")))&amp;" ")),1,0)))</f>
        <v/>
      </c>
      <c r="G247" s="9">
        <f>IF(E247=0,0,IF(Task!$A$8="",0,IF(ISNUMBER(SEARCH(" "&amp;Task!$A$8&amp;" "," "&amp;LOWER(C247)&amp;" ")),1,0))+IF(Task!$A$9="",0,IF(ISNUMBER(SEARCH(" "&amp;Task!$A$9&amp;" "," "&amp;LOWER(C247)&amp;" ")),1,0))+IF(Task!$A$10="",0,IF(ISNUMBER(SEARCH(" "&amp;Task!$A$10&amp;" "," "&amp;LOWER(C247)&amp;" ")),1,0))+IF(Task!$A$11="",0,IF(ISNUMBER(SEARCH(" "&amp;Task!$A$11&amp;" "," "&amp;LOWER(C247)&amp;" ")),1,0))+IF(Task!$A$12="",0,IF(ISNUMBER(SEARCH(" "&amp;Task!$A$12&amp;" "," "&amp;LOWER(C247)&amp;" ")),1,0))+IF(Task!$A$13="",0,IF(ISNUMBER(SEARCH(" "&amp;Task!$A$13&amp;" "," "&amp;LOWER(C247)&amp;" ")),1,0))+IF(Task!$A$14="",0,IF(ISNUMBER(SEARCH(" "&amp;Task!$A$14&amp;" "," "&amp;LOWER(C247)&amp;" ")),1,0))+IF(Task!$A$15="",0,IF(ISNUMBER(SEARCH(" "&amp;Task!$A$15&amp;" "," "&amp;LOWER(C247)&amp;" ")),1,0))+IF(Task!$A$16="",0,IF(ISNUMBER(SEARCH(" "&amp;Task!$A$16&amp;" "," "&amp;LOWER(C247)&amp;" ")),1,0))+IF(Task!$A$17="",0,IF(ISNUMBER(SEARCH(" "&amp;Task!$A$17&amp;" "," "&amp;LOWER(C247)&amp;" ")),1,0))+IF(Task!$A$18="",0,IF(ISNUMBER(SEARCH(" "&amp;Task!$A$18&amp;" "," "&amp;LOWER(C247)&amp;" ")),1,0))+IF(Task!$A$19="",0,IF(ISNUMBER(SEARCH(" "&amp;Task!$A$19&amp;" "," "&amp;LOWER(C247)&amp;" ")),1,0)))</f>
        <v/>
      </c>
      <c r="H247" s="9">
        <f>IF(E247=0,0,IF(Task!$A$8="",0,IF(ISNUMBER(SEARCH(" "&amp;Task!$A$8&amp;" "," "&amp;LOWER(SUBSTITUTE(SUBSTITUTE(SUBSTITUTE(SUBSTITUTE(A247,"/"," "),"."," "),"\"," "),"_"," "))&amp;" ")),1,0))+IF(Task!$A$9="",0,IF(ISNUMBER(SEARCH(" "&amp;Task!$A$9&amp;" "," "&amp;LOWER(SUBSTITUTE(SUBSTITUTE(SUBSTITUTE(SUBSTITUTE(A247,"/"," "),"."," "),"\"," "),"_"," "))&amp;" ")),1,0))+IF(Task!$A$10="",0,IF(ISNUMBER(SEARCH(" "&amp;Task!$A$10&amp;" "," "&amp;LOWER(SUBSTITUTE(SUBSTITUTE(SUBSTITUTE(SUBSTITUTE(A247,"/"," "),"."," "),"\"," "),"_"," "))&amp;" ")),1,0))+IF(Task!$A$11="",0,IF(ISNUMBER(SEARCH(" "&amp;Task!$A$11&amp;" "," "&amp;LOWER(SUBSTITUTE(SUBSTITUTE(SUBSTITUTE(SUBSTITUTE(A247,"/"," "),"."," "),"\"," "),"_"," "))&amp;" ")),1,0))+IF(Task!$A$12="",0,IF(ISNUMBER(SEARCH(" "&amp;Task!$A$12&amp;" "," "&amp;LOWER(SUBSTITUTE(SUBSTITUTE(SUBSTITUTE(SUBSTITUTE(A247,"/"," "),"."," "),"\"," "),"_"," "))&amp;" ")),1,0))+IF(Task!$A$13="",0,IF(ISNUMBER(SEARCH(" "&amp;Task!$A$13&amp;" "," "&amp;LOWER(SUBSTITUTE(SUBSTITUTE(SUBSTITUTE(SUBSTITUTE(A247,"/"," "),"."," "),"\"," "),"_"," "))&amp;" ")),1,0))+IF(Task!$A$14="",0,IF(ISNUMBER(SEARCH(" "&amp;Task!$A$14&amp;" "," "&amp;LOWER(SUBSTITUTE(SUBSTITUTE(SUBSTITUTE(SUBSTITUTE(A247,"/"," "),"."," "),"\"," "),"_"," "))&amp;" ")),1,0))+IF(Task!$A$15="",0,IF(ISNUMBER(SEARCH(" "&amp;Task!$A$15&amp;" "," "&amp;LOWER(SUBSTITUTE(SUBSTITUTE(SUBSTITUTE(SUBSTITUTE(A247,"/"," "),"."," "),"\"," "),"_"," "))&amp;" ")),1,0))+IF(Task!$A$16="",0,IF(ISNUMBER(SEARCH(" "&amp;Task!$A$16&amp;" "," "&amp;LOWER(SUBSTITUTE(SUBSTITUTE(SUBSTITUTE(SUBSTITUTE(A247,"/"," "),"."," "),"\"," "),"_"," "))&amp;" ")),1,0))+IF(Task!$A$17="",0,IF(ISNUMBER(SEARCH(" "&amp;Task!$A$17&amp;" "," "&amp;LOWER(SUBSTITUTE(SUBSTITUTE(SUBSTITUTE(SUBSTITUTE(A247,"/"," "),"."," "),"\"," "),"_"," "))&amp;" ")),1,0))+IF(Task!$A$18="",0,IF(ISNUMBER(SEARCH(" "&amp;Task!$A$18&amp;" "," "&amp;LOWER(SUBSTITUTE(SUBSTITUTE(SUBSTITUTE(SUBSTITUTE(A247,"/"," "),"."," "),"\"," "),"_"," "))&amp;" ")),1,0))+IF(Task!$A$19="",0,IF(ISNUMBER(SEARCH(" "&amp;Task!$A$19&amp;" "," "&amp;LOWER(SUBSTITUTE(SUBSTITUTE(SUBSTITUTE(SUBSTITUTE(A247,"/"," "),"."," "),"\"," "),"_"," "))&amp;" ")),1,0)))</f>
        <v/>
      </c>
      <c r="I247" s="10">
        <f>IF(OR(E247=0,F247=0,Task!$B$21=0),"",F247/Task!$B$21+0.5*G247+0.25*H247)</f>
        <v/>
      </c>
      <c r="J247" s="5">
        <f>IF(I247="","",I247-ROW()/1000000)</f>
        <v/>
      </c>
      <c r="K247" s="9">
        <f>IF(J247="","",COUNTIF($J$5:$J$404,"&gt;"&amp;J247)+1)</f>
        <v/>
      </c>
    </row>
    <row r="248">
      <c r="A248" s="7" t="n"/>
      <c r="B248" s="7" t="n"/>
      <c r="C248" s="7" t="n"/>
      <c r="D248" s="7" t="n"/>
      <c r="E248" s="5">
        <f>IF(A248="",0,IF(COUNTA(Task!$B$5:$E$5)=0,1,IF(COUNTIF(Task!$B$5:$E$5,B248)&gt;0,1,0)))</f>
        <v/>
      </c>
      <c r="F248" s="9">
        <f>IF(E248=0,0,IF(Task!$A$8="",0,IF(ISNUMBER(SEARCH(" "&amp;Task!$A$8&amp;" "," "&amp;LOWER(D248&amp;" "&amp;C248&amp;" "&amp;LOWER(SUBSTITUTE(SUBSTITUTE(SUBSTITUTE(SUBSTITUTE(A248,"/"," "),"."," "),"\"," "),"_"," ")))&amp;" ")),1,0))+IF(Task!$A$9="",0,IF(ISNUMBER(SEARCH(" "&amp;Task!$A$9&amp;" "," "&amp;LOWER(D248&amp;" "&amp;C248&amp;" "&amp;LOWER(SUBSTITUTE(SUBSTITUTE(SUBSTITUTE(SUBSTITUTE(A248,"/"," "),"."," "),"\"," "),"_"," ")))&amp;" ")),1,0))+IF(Task!$A$10="",0,IF(ISNUMBER(SEARCH(" "&amp;Task!$A$10&amp;" "," "&amp;LOWER(D248&amp;" "&amp;C248&amp;" "&amp;LOWER(SUBSTITUTE(SUBSTITUTE(SUBSTITUTE(SUBSTITUTE(A248,"/"," "),"."," "),"\"," "),"_"," ")))&amp;" ")),1,0))+IF(Task!$A$11="",0,IF(ISNUMBER(SEARCH(" "&amp;Task!$A$11&amp;" "," "&amp;LOWER(D248&amp;" "&amp;C248&amp;" "&amp;LOWER(SUBSTITUTE(SUBSTITUTE(SUBSTITUTE(SUBSTITUTE(A248,"/"," "),"."," "),"\"," "),"_"," ")))&amp;" ")),1,0))+IF(Task!$A$12="",0,IF(ISNUMBER(SEARCH(" "&amp;Task!$A$12&amp;" "," "&amp;LOWER(D248&amp;" "&amp;C248&amp;" "&amp;LOWER(SUBSTITUTE(SUBSTITUTE(SUBSTITUTE(SUBSTITUTE(A248,"/"," "),"."," "),"\"," "),"_"," ")))&amp;" ")),1,0))+IF(Task!$A$13="",0,IF(ISNUMBER(SEARCH(" "&amp;Task!$A$13&amp;" "," "&amp;LOWER(D248&amp;" "&amp;C248&amp;" "&amp;LOWER(SUBSTITUTE(SUBSTITUTE(SUBSTITUTE(SUBSTITUTE(A248,"/"," "),"."," "),"\"," "),"_"," ")))&amp;" ")),1,0))+IF(Task!$A$14="",0,IF(ISNUMBER(SEARCH(" "&amp;Task!$A$14&amp;" "," "&amp;LOWER(D248&amp;" "&amp;C248&amp;" "&amp;LOWER(SUBSTITUTE(SUBSTITUTE(SUBSTITUTE(SUBSTITUTE(A248,"/"," "),"."," "),"\"," "),"_"," ")))&amp;" ")),1,0))+IF(Task!$A$15="",0,IF(ISNUMBER(SEARCH(" "&amp;Task!$A$15&amp;" "," "&amp;LOWER(D248&amp;" "&amp;C248&amp;" "&amp;LOWER(SUBSTITUTE(SUBSTITUTE(SUBSTITUTE(SUBSTITUTE(A248,"/"," "),"."," "),"\"," "),"_"," ")))&amp;" ")),1,0))+IF(Task!$A$16="",0,IF(ISNUMBER(SEARCH(" "&amp;Task!$A$16&amp;" "," "&amp;LOWER(D248&amp;" "&amp;C248&amp;" "&amp;LOWER(SUBSTITUTE(SUBSTITUTE(SUBSTITUTE(SUBSTITUTE(A248,"/"," "),"."," "),"\"," "),"_"," ")))&amp;" ")),1,0))+IF(Task!$A$17="",0,IF(ISNUMBER(SEARCH(" "&amp;Task!$A$17&amp;" "," "&amp;LOWER(D248&amp;" "&amp;C248&amp;" "&amp;LOWER(SUBSTITUTE(SUBSTITUTE(SUBSTITUTE(SUBSTITUTE(A248,"/"," "),"."," "),"\"," "),"_"," ")))&amp;" ")),1,0))+IF(Task!$A$18="",0,IF(ISNUMBER(SEARCH(" "&amp;Task!$A$18&amp;" "," "&amp;LOWER(D248&amp;" "&amp;C248&amp;" "&amp;LOWER(SUBSTITUTE(SUBSTITUTE(SUBSTITUTE(SUBSTITUTE(A248,"/"," "),"."," "),"\"," "),"_"," ")))&amp;" ")),1,0))+IF(Task!$A$19="",0,IF(ISNUMBER(SEARCH(" "&amp;Task!$A$19&amp;" "," "&amp;LOWER(D248&amp;" "&amp;C248&amp;" "&amp;LOWER(SUBSTITUTE(SUBSTITUTE(SUBSTITUTE(SUBSTITUTE(A248,"/"," "),"."," "),"\"," "),"_"," ")))&amp;" ")),1,0)))</f>
        <v/>
      </c>
      <c r="G248" s="9">
        <f>IF(E248=0,0,IF(Task!$A$8="",0,IF(ISNUMBER(SEARCH(" "&amp;Task!$A$8&amp;" "," "&amp;LOWER(C248)&amp;" ")),1,0))+IF(Task!$A$9="",0,IF(ISNUMBER(SEARCH(" "&amp;Task!$A$9&amp;" "," "&amp;LOWER(C248)&amp;" ")),1,0))+IF(Task!$A$10="",0,IF(ISNUMBER(SEARCH(" "&amp;Task!$A$10&amp;" "," "&amp;LOWER(C248)&amp;" ")),1,0))+IF(Task!$A$11="",0,IF(ISNUMBER(SEARCH(" "&amp;Task!$A$11&amp;" "," "&amp;LOWER(C248)&amp;" ")),1,0))+IF(Task!$A$12="",0,IF(ISNUMBER(SEARCH(" "&amp;Task!$A$12&amp;" "," "&amp;LOWER(C248)&amp;" ")),1,0))+IF(Task!$A$13="",0,IF(ISNUMBER(SEARCH(" "&amp;Task!$A$13&amp;" "," "&amp;LOWER(C248)&amp;" ")),1,0))+IF(Task!$A$14="",0,IF(ISNUMBER(SEARCH(" "&amp;Task!$A$14&amp;" "," "&amp;LOWER(C248)&amp;" ")),1,0))+IF(Task!$A$15="",0,IF(ISNUMBER(SEARCH(" "&amp;Task!$A$15&amp;" "," "&amp;LOWER(C248)&amp;" ")),1,0))+IF(Task!$A$16="",0,IF(ISNUMBER(SEARCH(" "&amp;Task!$A$16&amp;" "," "&amp;LOWER(C248)&amp;" ")),1,0))+IF(Task!$A$17="",0,IF(ISNUMBER(SEARCH(" "&amp;Task!$A$17&amp;" "," "&amp;LOWER(C248)&amp;" ")),1,0))+IF(Task!$A$18="",0,IF(ISNUMBER(SEARCH(" "&amp;Task!$A$18&amp;" "," "&amp;LOWER(C248)&amp;" ")),1,0))+IF(Task!$A$19="",0,IF(ISNUMBER(SEARCH(" "&amp;Task!$A$19&amp;" "," "&amp;LOWER(C248)&amp;" ")),1,0)))</f>
        <v/>
      </c>
      <c r="H248" s="9">
        <f>IF(E248=0,0,IF(Task!$A$8="",0,IF(ISNUMBER(SEARCH(" "&amp;Task!$A$8&amp;" "," "&amp;LOWER(SUBSTITUTE(SUBSTITUTE(SUBSTITUTE(SUBSTITUTE(A248,"/"," "),"."," "),"\"," "),"_"," "))&amp;" ")),1,0))+IF(Task!$A$9="",0,IF(ISNUMBER(SEARCH(" "&amp;Task!$A$9&amp;" "," "&amp;LOWER(SUBSTITUTE(SUBSTITUTE(SUBSTITUTE(SUBSTITUTE(A248,"/"," "),"."," "),"\"," "),"_"," "))&amp;" ")),1,0))+IF(Task!$A$10="",0,IF(ISNUMBER(SEARCH(" "&amp;Task!$A$10&amp;" "," "&amp;LOWER(SUBSTITUTE(SUBSTITUTE(SUBSTITUTE(SUBSTITUTE(A248,"/"," "),"."," "),"\"," "),"_"," "))&amp;" ")),1,0))+IF(Task!$A$11="",0,IF(ISNUMBER(SEARCH(" "&amp;Task!$A$11&amp;" "," "&amp;LOWER(SUBSTITUTE(SUBSTITUTE(SUBSTITUTE(SUBSTITUTE(A248,"/"," "),"."," "),"\"," "),"_"," "))&amp;" ")),1,0))+IF(Task!$A$12="",0,IF(ISNUMBER(SEARCH(" "&amp;Task!$A$12&amp;" "," "&amp;LOWER(SUBSTITUTE(SUBSTITUTE(SUBSTITUTE(SUBSTITUTE(A248,"/"," "),"."," "),"\"," "),"_"," "))&amp;" ")),1,0))+IF(Task!$A$13="",0,IF(ISNUMBER(SEARCH(" "&amp;Task!$A$13&amp;" "," "&amp;LOWER(SUBSTITUTE(SUBSTITUTE(SUBSTITUTE(SUBSTITUTE(A248,"/"," "),"."," "),"\"," "),"_"," "))&amp;" ")),1,0))+IF(Task!$A$14="",0,IF(ISNUMBER(SEARCH(" "&amp;Task!$A$14&amp;" "," "&amp;LOWER(SUBSTITUTE(SUBSTITUTE(SUBSTITUTE(SUBSTITUTE(A248,"/"," "),"."," "),"\"," "),"_"," "))&amp;" ")),1,0))+IF(Task!$A$15="",0,IF(ISNUMBER(SEARCH(" "&amp;Task!$A$15&amp;" "," "&amp;LOWER(SUBSTITUTE(SUBSTITUTE(SUBSTITUTE(SUBSTITUTE(A248,"/"," "),"."," "),"\"," "),"_"," "))&amp;" ")),1,0))+IF(Task!$A$16="",0,IF(ISNUMBER(SEARCH(" "&amp;Task!$A$16&amp;" "," "&amp;LOWER(SUBSTITUTE(SUBSTITUTE(SUBSTITUTE(SUBSTITUTE(A248,"/"," "),"."," "),"\"," "),"_"," "))&amp;" ")),1,0))+IF(Task!$A$17="",0,IF(ISNUMBER(SEARCH(" "&amp;Task!$A$17&amp;" "," "&amp;LOWER(SUBSTITUTE(SUBSTITUTE(SUBSTITUTE(SUBSTITUTE(A248,"/"," "),"."," "),"\"," "),"_"," "))&amp;" ")),1,0))+IF(Task!$A$18="",0,IF(ISNUMBER(SEARCH(" "&amp;Task!$A$18&amp;" "," "&amp;LOWER(SUBSTITUTE(SUBSTITUTE(SUBSTITUTE(SUBSTITUTE(A248,"/"," "),"."," "),"\"," "),"_"," "))&amp;" ")),1,0))+IF(Task!$A$19="",0,IF(ISNUMBER(SEARCH(" "&amp;Task!$A$19&amp;" "," "&amp;LOWER(SUBSTITUTE(SUBSTITUTE(SUBSTITUTE(SUBSTITUTE(A248,"/"," "),"."," "),"\"," "),"_"," "))&amp;" ")),1,0)))</f>
        <v/>
      </c>
      <c r="I248" s="10">
        <f>IF(OR(E248=0,F248=0,Task!$B$21=0),"",F248/Task!$B$21+0.5*G248+0.25*H248)</f>
        <v/>
      </c>
      <c r="J248" s="5">
        <f>IF(I248="","",I248-ROW()/1000000)</f>
        <v/>
      </c>
      <c r="K248" s="9">
        <f>IF(J248="","",COUNTIF($J$5:$J$404,"&gt;"&amp;J248)+1)</f>
        <v/>
      </c>
    </row>
    <row r="249">
      <c r="A249" s="7" t="n"/>
      <c r="B249" s="7" t="n"/>
      <c r="C249" s="7" t="n"/>
      <c r="D249" s="7" t="n"/>
      <c r="E249" s="5">
        <f>IF(A249="",0,IF(COUNTA(Task!$B$5:$E$5)=0,1,IF(COUNTIF(Task!$B$5:$E$5,B249)&gt;0,1,0)))</f>
        <v/>
      </c>
      <c r="F249" s="9">
        <f>IF(E249=0,0,IF(Task!$A$8="",0,IF(ISNUMBER(SEARCH(" "&amp;Task!$A$8&amp;" "," "&amp;LOWER(D249&amp;" "&amp;C249&amp;" "&amp;LOWER(SUBSTITUTE(SUBSTITUTE(SUBSTITUTE(SUBSTITUTE(A249,"/"," "),"."," "),"\"," "),"_"," ")))&amp;" ")),1,0))+IF(Task!$A$9="",0,IF(ISNUMBER(SEARCH(" "&amp;Task!$A$9&amp;" "," "&amp;LOWER(D249&amp;" "&amp;C249&amp;" "&amp;LOWER(SUBSTITUTE(SUBSTITUTE(SUBSTITUTE(SUBSTITUTE(A249,"/"," "),"."," "),"\"," "),"_"," ")))&amp;" ")),1,0))+IF(Task!$A$10="",0,IF(ISNUMBER(SEARCH(" "&amp;Task!$A$10&amp;" "," "&amp;LOWER(D249&amp;" "&amp;C249&amp;" "&amp;LOWER(SUBSTITUTE(SUBSTITUTE(SUBSTITUTE(SUBSTITUTE(A249,"/"," "),"."," "),"\"," "),"_"," ")))&amp;" ")),1,0))+IF(Task!$A$11="",0,IF(ISNUMBER(SEARCH(" "&amp;Task!$A$11&amp;" "," "&amp;LOWER(D249&amp;" "&amp;C249&amp;" "&amp;LOWER(SUBSTITUTE(SUBSTITUTE(SUBSTITUTE(SUBSTITUTE(A249,"/"," "),"."," "),"\"," "),"_"," ")))&amp;" ")),1,0))+IF(Task!$A$12="",0,IF(ISNUMBER(SEARCH(" "&amp;Task!$A$12&amp;" "," "&amp;LOWER(D249&amp;" "&amp;C249&amp;" "&amp;LOWER(SUBSTITUTE(SUBSTITUTE(SUBSTITUTE(SUBSTITUTE(A249,"/"," "),"."," "),"\"," "),"_"," ")))&amp;" ")),1,0))+IF(Task!$A$13="",0,IF(ISNUMBER(SEARCH(" "&amp;Task!$A$13&amp;" "," "&amp;LOWER(D249&amp;" "&amp;C249&amp;" "&amp;LOWER(SUBSTITUTE(SUBSTITUTE(SUBSTITUTE(SUBSTITUTE(A249,"/"," "),"."," "),"\"," "),"_"," ")))&amp;" ")),1,0))+IF(Task!$A$14="",0,IF(ISNUMBER(SEARCH(" "&amp;Task!$A$14&amp;" "," "&amp;LOWER(D249&amp;" "&amp;C249&amp;" "&amp;LOWER(SUBSTITUTE(SUBSTITUTE(SUBSTITUTE(SUBSTITUTE(A249,"/"," "),"."," "),"\"," "),"_"," ")))&amp;" ")),1,0))+IF(Task!$A$15="",0,IF(ISNUMBER(SEARCH(" "&amp;Task!$A$15&amp;" "," "&amp;LOWER(D249&amp;" "&amp;C249&amp;" "&amp;LOWER(SUBSTITUTE(SUBSTITUTE(SUBSTITUTE(SUBSTITUTE(A249,"/"," "),"."," "),"\"," "),"_"," ")))&amp;" ")),1,0))+IF(Task!$A$16="",0,IF(ISNUMBER(SEARCH(" "&amp;Task!$A$16&amp;" "," "&amp;LOWER(D249&amp;" "&amp;C249&amp;" "&amp;LOWER(SUBSTITUTE(SUBSTITUTE(SUBSTITUTE(SUBSTITUTE(A249,"/"," "),"."," "),"\"," "),"_"," ")))&amp;" ")),1,0))+IF(Task!$A$17="",0,IF(ISNUMBER(SEARCH(" "&amp;Task!$A$17&amp;" "," "&amp;LOWER(D249&amp;" "&amp;C249&amp;" "&amp;LOWER(SUBSTITUTE(SUBSTITUTE(SUBSTITUTE(SUBSTITUTE(A249,"/"," "),"."," "),"\"," "),"_"," ")))&amp;" ")),1,0))+IF(Task!$A$18="",0,IF(ISNUMBER(SEARCH(" "&amp;Task!$A$18&amp;" "," "&amp;LOWER(D249&amp;" "&amp;C249&amp;" "&amp;LOWER(SUBSTITUTE(SUBSTITUTE(SUBSTITUTE(SUBSTITUTE(A249,"/"," "),"."," "),"\"," "),"_"," ")))&amp;" ")),1,0))+IF(Task!$A$19="",0,IF(ISNUMBER(SEARCH(" "&amp;Task!$A$19&amp;" "," "&amp;LOWER(D249&amp;" "&amp;C249&amp;" "&amp;LOWER(SUBSTITUTE(SUBSTITUTE(SUBSTITUTE(SUBSTITUTE(A249,"/"," "),"."," "),"\"," "),"_"," ")))&amp;" ")),1,0)))</f>
        <v/>
      </c>
      <c r="G249" s="9">
        <f>IF(E249=0,0,IF(Task!$A$8="",0,IF(ISNUMBER(SEARCH(" "&amp;Task!$A$8&amp;" "," "&amp;LOWER(C249)&amp;" ")),1,0))+IF(Task!$A$9="",0,IF(ISNUMBER(SEARCH(" "&amp;Task!$A$9&amp;" "," "&amp;LOWER(C249)&amp;" ")),1,0))+IF(Task!$A$10="",0,IF(ISNUMBER(SEARCH(" "&amp;Task!$A$10&amp;" "," "&amp;LOWER(C249)&amp;" ")),1,0))+IF(Task!$A$11="",0,IF(ISNUMBER(SEARCH(" "&amp;Task!$A$11&amp;" "," "&amp;LOWER(C249)&amp;" ")),1,0))+IF(Task!$A$12="",0,IF(ISNUMBER(SEARCH(" "&amp;Task!$A$12&amp;" "," "&amp;LOWER(C249)&amp;" ")),1,0))+IF(Task!$A$13="",0,IF(ISNUMBER(SEARCH(" "&amp;Task!$A$13&amp;" "," "&amp;LOWER(C249)&amp;" ")),1,0))+IF(Task!$A$14="",0,IF(ISNUMBER(SEARCH(" "&amp;Task!$A$14&amp;" "," "&amp;LOWER(C249)&amp;" ")),1,0))+IF(Task!$A$15="",0,IF(ISNUMBER(SEARCH(" "&amp;Task!$A$15&amp;" "," "&amp;LOWER(C249)&amp;" ")),1,0))+IF(Task!$A$16="",0,IF(ISNUMBER(SEARCH(" "&amp;Task!$A$16&amp;" "," "&amp;LOWER(C249)&amp;" ")),1,0))+IF(Task!$A$17="",0,IF(ISNUMBER(SEARCH(" "&amp;Task!$A$17&amp;" "," "&amp;LOWER(C249)&amp;" ")),1,0))+IF(Task!$A$18="",0,IF(ISNUMBER(SEARCH(" "&amp;Task!$A$18&amp;" "," "&amp;LOWER(C249)&amp;" ")),1,0))+IF(Task!$A$19="",0,IF(ISNUMBER(SEARCH(" "&amp;Task!$A$19&amp;" "," "&amp;LOWER(C249)&amp;" ")),1,0)))</f>
        <v/>
      </c>
      <c r="H249" s="9">
        <f>IF(E249=0,0,IF(Task!$A$8="",0,IF(ISNUMBER(SEARCH(" "&amp;Task!$A$8&amp;" "," "&amp;LOWER(SUBSTITUTE(SUBSTITUTE(SUBSTITUTE(SUBSTITUTE(A249,"/"," "),"."," "),"\"," "),"_"," "))&amp;" ")),1,0))+IF(Task!$A$9="",0,IF(ISNUMBER(SEARCH(" "&amp;Task!$A$9&amp;" "," "&amp;LOWER(SUBSTITUTE(SUBSTITUTE(SUBSTITUTE(SUBSTITUTE(A249,"/"," "),"."," "),"\"," "),"_"," "))&amp;" ")),1,0))+IF(Task!$A$10="",0,IF(ISNUMBER(SEARCH(" "&amp;Task!$A$10&amp;" "," "&amp;LOWER(SUBSTITUTE(SUBSTITUTE(SUBSTITUTE(SUBSTITUTE(A249,"/"," "),"."," "),"\"," "),"_"," "))&amp;" ")),1,0))+IF(Task!$A$11="",0,IF(ISNUMBER(SEARCH(" "&amp;Task!$A$11&amp;" "," "&amp;LOWER(SUBSTITUTE(SUBSTITUTE(SUBSTITUTE(SUBSTITUTE(A249,"/"," "),"."," "),"\"," "),"_"," "))&amp;" ")),1,0))+IF(Task!$A$12="",0,IF(ISNUMBER(SEARCH(" "&amp;Task!$A$12&amp;" "," "&amp;LOWER(SUBSTITUTE(SUBSTITUTE(SUBSTITUTE(SUBSTITUTE(A249,"/"," "),"."," "),"\"," "),"_"," "))&amp;" ")),1,0))+IF(Task!$A$13="",0,IF(ISNUMBER(SEARCH(" "&amp;Task!$A$13&amp;" "," "&amp;LOWER(SUBSTITUTE(SUBSTITUTE(SUBSTITUTE(SUBSTITUTE(A249,"/"," "),"."," "),"\"," "),"_"," "))&amp;" ")),1,0))+IF(Task!$A$14="",0,IF(ISNUMBER(SEARCH(" "&amp;Task!$A$14&amp;" "," "&amp;LOWER(SUBSTITUTE(SUBSTITUTE(SUBSTITUTE(SUBSTITUTE(A249,"/"," "),"."," "),"\"," "),"_"," "))&amp;" ")),1,0))+IF(Task!$A$15="",0,IF(ISNUMBER(SEARCH(" "&amp;Task!$A$15&amp;" "," "&amp;LOWER(SUBSTITUTE(SUBSTITUTE(SUBSTITUTE(SUBSTITUTE(A249,"/"," "),"."," "),"\"," "),"_"," "))&amp;" ")),1,0))+IF(Task!$A$16="",0,IF(ISNUMBER(SEARCH(" "&amp;Task!$A$16&amp;" "," "&amp;LOWER(SUBSTITUTE(SUBSTITUTE(SUBSTITUTE(SUBSTITUTE(A249,"/"," "),"."," "),"\"," "),"_"," "))&amp;" ")),1,0))+IF(Task!$A$17="",0,IF(ISNUMBER(SEARCH(" "&amp;Task!$A$17&amp;" "," "&amp;LOWER(SUBSTITUTE(SUBSTITUTE(SUBSTITUTE(SUBSTITUTE(A249,"/"," "),"."," "),"\"," "),"_"," "))&amp;" ")),1,0))+IF(Task!$A$18="",0,IF(ISNUMBER(SEARCH(" "&amp;Task!$A$18&amp;" "," "&amp;LOWER(SUBSTITUTE(SUBSTITUTE(SUBSTITUTE(SUBSTITUTE(A249,"/"," "),"."," "),"\"," "),"_"," "))&amp;" ")),1,0))+IF(Task!$A$19="",0,IF(ISNUMBER(SEARCH(" "&amp;Task!$A$19&amp;" "," "&amp;LOWER(SUBSTITUTE(SUBSTITUTE(SUBSTITUTE(SUBSTITUTE(A249,"/"," "),"."," "),"\"," "),"_"," "))&amp;" ")),1,0)))</f>
        <v/>
      </c>
      <c r="I249" s="10">
        <f>IF(OR(E249=0,F249=0,Task!$B$21=0),"",F249/Task!$B$21+0.5*G249+0.25*H249)</f>
        <v/>
      </c>
      <c r="J249" s="5">
        <f>IF(I249="","",I249-ROW()/1000000)</f>
        <v/>
      </c>
      <c r="K249" s="9">
        <f>IF(J249="","",COUNTIF($J$5:$J$404,"&gt;"&amp;J249)+1)</f>
        <v/>
      </c>
    </row>
    <row r="250">
      <c r="A250" s="7" t="n"/>
      <c r="B250" s="7" t="n"/>
      <c r="C250" s="7" t="n"/>
      <c r="D250" s="7" t="n"/>
      <c r="E250" s="5">
        <f>IF(A250="",0,IF(COUNTA(Task!$B$5:$E$5)=0,1,IF(COUNTIF(Task!$B$5:$E$5,B250)&gt;0,1,0)))</f>
        <v/>
      </c>
      <c r="F250" s="9">
        <f>IF(E250=0,0,IF(Task!$A$8="",0,IF(ISNUMBER(SEARCH(" "&amp;Task!$A$8&amp;" "," "&amp;LOWER(D250&amp;" "&amp;C250&amp;" "&amp;LOWER(SUBSTITUTE(SUBSTITUTE(SUBSTITUTE(SUBSTITUTE(A250,"/"," "),"."," "),"\"," "),"_"," ")))&amp;" ")),1,0))+IF(Task!$A$9="",0,IF(ISNUMBER(SEARCH(" "&amp;Task!$A$9&amp;" "," "&amp;LOWER(D250&amp;" "&amp;C250&amp;" "&amp;LOWER(SUBSTITUTE(SUBSTITUTE(SUBSTITUTE(SUBSTITUTE(A250,"/"," "),"."," "),"\"," "),"_"," ")))&amp;" ")),1,0))+IF(Task!$A$10="",0,IF(ISNUMBER(SEARCH(" "&amp;Task!$A$10&amp;" "," "&amp;LOWER(D250&amp;" "&amp;C250&amp;" "&amp;LOWER(SUBSTITUTE(SUBSTITUTE(SUBSTITUTE(SUBSTITUTE(A250,"/"," "),"."," "),"\"," "),"_"," ")))&amp;" ")),1,0))+IF(Task!$A$11="",0,IF(ISNUMBER(SEARCH(" "&amp;Task!$A$11&amp;" "," "&amp;LOWER(D250&amp;" "&amp;C250&amp;" "&amp;LOWER(SUBSTITUTE(SUBSTITUTE(SUBSTITUTE(SUBSTITUTE(A250,"/"," "),"."," "),"\"," "),"_"," ")))&amp;" ")),1,0))+IF(Task!$A$12="",0,IF(ISNUMBER(SEARCH(" "&amp;Task!$A$12&amp;" "," "&amp;LOWER(D250&amp;" "&amp;C250&amp;" "&amp;LOWER(SUBSTITUTE(SUBSTITUTE(SUBSTITUTE(SUBSTITUTE(A250,"/"," "),"."," "),"\"," "),"_"," ")))&amp;" ")),1,0))+IF(Task!$A$13="",0,IF(ISNUMBER(SEARCH(" "&amp;Task!$A$13&amp;" "," "&amp;LOWER(D250&amp;" "&amp;C250&amp;" "&amp;LOWER(SUBSTITUTE(SUBSTITUTE(SUBSTITUTE(SUBSTITUTE(A250,"/"," "),"."," "),"\"," "),"_"," ")))&amp;" ")),1,0))+IF(Task!$A$14="",0,IF(ISNUMBER(SEARCH(" "&amp;Task!$A$14&amp;" "," "&amp;LOWER(D250&amp;" "&amp;C250&amp;" "&amp;LOWER(SUBSTITUTE(SUBSTITUTE(SUBSTITUTE(SUBSTITUTE(A250,"/"," "),"."," "),"\"," "),"_"," ")))&amp;" ")),1,0))+IF(Task!$A$15="",0,IF(ISNUMBER(SEARCH(" "&amp;Task!$A$15&amp;" "," "&amp;LOWER(D250&amp;" "&amp;C250&amp;" "&amp;LOWER(SUBSTITUTE(SUBSTITUTE(SUBSTITUTE(SUBSTITUTE(A250,"/"," "),"."," "),"\"," "),"_"," ")))&amp;" ")),1,0))+IF(Task!$A$16="",0,IF(ISNUMBER(SEARCH(" "&amp;Task!$A$16&amp;" "," "&amp;LOWER(D250&amp;" "&amp;C250&amp;" "&amp;LOWER(SUBSTITUTE(SUBSTITUTE(SUBSTITUTE(SUBSTITUTE(A250,"/"," "),"."," "),"\"," "),"_"," ")))&amp;" ")),1,0))+IF(Task!$A$17="",0,IF(ISNUMBER(SEARCH(" "&amp;Task!$A$17&amp;" "," "&amp;LOWER(D250&amp;" "&amp;C250&amp;" "&amp;LOWER(SUBSTITUTE(SUBSTITUTE(SUBSTITUTE(SUBSTITUTE(A250,"/"," "),"."," "),"\"," "),"_"," ")))&amp;" ")),1,0))+IF(Task!$A$18="",0,IF(ISNUMBER(SEARCH(" "&amp;Task!$A$18&amp;" "," "&amp;LOWER(D250&amp;" "&amp;C250&amp;" "&amp;LOWER(SUBSTITUTE(SUBSTITUTE(SUBSTITUTE(SUBSTITUTE(A250,"/"," "),"."," "),"\"," "),"_"," ")))&amp;" ")),1,0))+IF(Task!$A$19="",0,IF(ISNUMBER(SEARCH(" "&amp;Task!$A$19&amp;" "," "&amp;LOWER(D250&amp;" "&amp;C250&amp;" "&amp;LOWER(SUBSTITUTE(SUBSTITUTE(SUBSTITUTE(SUBSTITUTE(A250,"/"," "),"."," "),"\"," "),"_"," ")))&amp;" ")),1,0)))</f>
        <v/>
      </c>
      <c r="G250" s="9">
        <f>IF(E250=0,0,IF(Task!$A$8="",0,IF(ISNUMBER(SEARCH(" "&amp;Task!$A$8&amp;" "," "&amp;LOWER(C250)&amp;" ")),1,0))+IF(Task!$A$9="",0,IF(ISNUMBER(SEARCH(" "&amp;Task!$A$9&amp;" "," "&amp;LOWER(C250)&amp;" ")),1,0))+IF(Task!$A$10="",0,IF(ISNUMBER(SEARCH(" "&amp;Task!$A$10&amp;" "," "&amp;LOWER(C250)&amp;" ")),1,0))+IF(Task!$A$11="",0,IF(ISNUMBER(SEARCH(" "&amp;Task!$A$11&amp;" "," "&amp;LOWER(C250)&amp;" ")),1,0))+IF(Task!$A$12="",0,IF(ISNUMBER(SEARCH(" "&amp;Task!$A$12&amp;" "," "&amp;LOWER(C250)&amp;" ")),1,0))+IF(Task!$A$13="",0,IF(ISNUMBER(SEARCH(" "&amp;Task!$A$13&amp;" "," "&amp;LOWER(C250)&amp;" ")),1,0))+IF(Task!$A$14="",0,IF(ISNUMBER(SEARCH(" "&amp;Task!$A$14&amp;" "," "&amp;LOWER(C250)&amp;" ")),1,0))+IF(Task!$A$15="",0,IF(ISNUMBER(SEARCH(" "&amp;Task!$A$15&amp;" "," "&amp;LOWER(C250)&amp;" ")),1,0))+IF(Task!$A$16="",0,IF(ISNUMBER(SEARCH(" "&amp;Task!$A$16&amp;" "," "&amp;LOWER(C250)&amp;" ")),1,0))+IF(Task!$A$17="",0,IF(ISNUMBER(SEARCH(" "&amp;Task!$A$17&amp;" "," "&amp;LOWER(C250)&amp;" ")),1,0))+IF(Task!$A$18="",0,IF(ISNUMBER(SEARCH(" "&amp;Task!$A$18&amp;" "," "&amp;LOWER(C250)&amp;" ")),1,0))+IF(Task!$A$19="",0,IF(ISNUMBER(SEARCH(" "&amp;Task!$A$19&amp;" "," "&amp;LOWER(C250)&amp;" ")),1,0)))</f>
        <v/>
      </c>
      <c r="H250" s="9">
        <f>IF(E250=0,0,IF(Task!$A$8="",0,IF(ISNUMBER(SEARCH(" "&amp;Task!$A$8&amp;" "," "&amp;LOWER(SUBSTITUTE(SUBSTITUTE(SUBSTITUTE(SUBSTITUTE(A250,"/"," "),"."," "),"\"," "),"_"," "))&amp;" ")),1,0))+IF(Task!$A$9="",0,IF(ISNUMBER(SEARCH(" "&amp;Task!$A$9&amp;" "," "&amp;LOWER(SUBSTITUTE(SUBSTITUTE(SUBSTITUTE(SUBSTITUTE(A250,"/"," "),"."," "),"\"," "),"_"," "))&amp;" ")),1,0))+IF(Task!$A$10="",0,IF(ISNUMBER(SEARCH(" "&amp;Task!$A$10&amp;" "," "&amp;LOWER(SUBSTITUTE(SUBSTITUTE(SUBSTITUTE(SUBSTITUTE(A250,"/"," "),"."," "),"\"," "),"_"," "))&amp;" ")),1,0))+IF(Task!$A$11="",0,IF(ISNUMBER(SEARCH(" "&amp;Task!$A$11&amp;" "," "&amp;LOWER(SUBSTITUTE(SUBSTITUTE(SUBSTITUTE(SUBSTITUTE(A250,"/"," "),"."," "),"\"," "),"_"," "))&amp;" ")),1,0))+IF(Task!$A$12="",0,IF(ISNUMBER(SEARCH(" "&amp;Task!$A$12&amp;" "," "&amp;LOWER(SUBSTITUTE(SUBSTITUTE(SUBSTITUTE(SUBSTITUTE(A250,"/"," "),"."," "),"\"," "),"_"," "))&amp;" ")),1,0))+IF(Task!$A$13="",0,IF(ISNUMBER(SEARCH(" "&amp;Task!$A$13&amp;" "," "&amp;LOWER(SUBSTITUTE(SUBSTITUTE(SUBSTITUTE(SUBSTITUTE(A250,"/"," "),"."," "),"\"," "),"_"," "))&amp;" ")),1,0))+IF(Task!$A$14="",0,IF(ISNUMBER(SEARCH(" "&amp;Task!$A$14&amp;" "," "&amp;LOWER(SUBSTITUTE(SUBSTITUTE(SUBSTITUTE(SUBSTITUTE(A250,"/"," "),"."," "),"\"," "),"_"," "))&amp;" ")),1,0))+IF(Task!$A$15="",0,IF(ISNUMBER(SEARCH(" "&amp;Task!$A$15&amp;" "," "&amp;LOWER(SUBSTITUTE(SUBSTITUTE(SUBSTITUTE(SUBSTITUTE(A250,"/"," "),"."," "),"\"," "),"_"," "))&amp;" ")),1,0))+IF(Task!$A$16="",0,IF(ISNUMBER(SEARCH(" "&amp;Task!$A$16&amp;" "," "&amp;LOWER(SUBSTITUTE(SUBSTITUTE(SUBSTITUTE(SUBSTITUTE(A250,"/"," "),"."," "),"\"," "),"_"," "))&amp;" ")),1,0))+IF(Task!$A$17="",0,IF(ISNUMBER(SEARCH(" "&amp;Task!$A$17&amp;" "," "&amp;LOWER(SUBSTITUTE(SUBSTITUTE(SUBSTITUTE(SUBSTITUTE(A250,"/"," "),"."," "),"\"," "),"_"," "))&amp;" ")),1,0))+IF(Task!$A$18="",0,IF(ISNUMBER(SEARCH(" "&amp;Task!$A$18&amp;" "," "&amp;LOWER(SUBSTITUTE(SUBSTITUTE(SUBSTITUTE(SUBSTITUTE(A250,"/"," "),"."," "),"\"," "),"_"," "))&amp;" ")),1,0))+IF(Task!$A$19="",0,IF(ISNUMBER(SEARCH(" "&amp;Task!$A$19&amp;" "," "&amp;LOWER(SUBSTITUTE(SUBSTITUTE(SUBSTITUTE(SUBSTITUTE(A250,"/"," "),"."," "),"\"," "),"_"," "))&amp;" ")),1,0)))</f>
        <v/>
      </c>
      <c r="I250" s="10">
        <f>IF(OR(E250=0,F250=0,Task!$B$21=0),"",F250/Task!$B$21+0.5*G250+0.25*H250)</f>
        <v/>
      </c>
      <c r="J250" s="5">
        <f>IF(I250="","",I250-ROW()/1000000)</f>
        <v/>
      </c>
      <c r="K250" s="9">
        <f>IF(J250="","",COUNTIF($J$5:$J$404,"&gt;"&amp;J250)+1)</f>
        <v/>
      </c>
    </row>
    <row r="251">
      <c r="A251" s="7" t="n"/>
      <c r="B251" s="7" t="n"/>
      <c r="C251" s="7" t="n"/>
      <c r="D251" s="7" t="n"/>
      <c r="E251" s="5">
        <f>IF(A251="",0,IF(COUNTA(Task!$B$5:$E$5)=0,1,IF(COUNTIF(Task!$B$5:$E$5,B251)&gt;0,1,0)))</f>
        <v/>
      </c>
      <c r="F251" s="9">
        <f>IF(E251=0,0,IF(Task!$A$8="",0,IF(ISNUMBER(SEARCH(" "&amp;Task!$A$8&amp;" "," "&amp;LOWER(D251&amp;" "&amp;C251&amp;" "&amp;LOWER(SUBSTITUTE(SUBSTITUTE(SUBSTITUTE(SUBSTITUTE(A251,"/"," "),"."," "),"\"," "),"_"," ")))&amp;" ")),1,0))+IF(Task!$A$9="",0,IF(ISNUMBER(SEARCH(" "&amp;Task!$A$9&amp;" "," "&amp;LOWER(D251&amp;" "&amp;C251&amp;" "&amp;LOWER(SUBSTITUTE(SUBSTITUTE(SUBSTITUTE(SUBSTITUTE(A251,"/"," "),"."," "),"\"," "),"_"," ")))&amp;" ")),1,0))+IF(Task!$A$10="",0,IF(ISNUMBER(SEARCH(" "&amp;Task!$A$10&amp;" "," "&amp;LOWER(D251&amp;" "&amp;C251&amp;" "&amp;LOWER(SUBSTITUTE(SUBSTITUTE(SUBSTITUTE(SUBSTITUTE(A251,"/"," "),"."," "),"\"," "),"_"," ")))&amp;" ")),1,0))+IF(Task!$A$11="",0,IF(ISNUMBER(SEARCH(" "&amp;Task!$A$11&amp;" "," "&amp;LOWER(D251&amp;" "&amp;C251&amp;" "&amp;LOWER(SUBSTITUTE(SUBSTITUTE(SUBSTITUTE(SUBSTITUTE(A251,"/"," "),"."," "),"\"," "),"_"," ")))&amp;" ")),1,0))+IF(Task!$A$12="",0,IF(ISNUMBER(SEARCH(" "&amp;Task!$A$12&amp;" "," "&amp;LOWER(D251&amp;" "&amp;C251&amp;" "&amp;LOWER(SUBSTITUTE(SUBSTITUTE(SUBSTITUTE(SUBSTITUTE(A251,"/"," "),"."," "),"\"," "),"_"," ")))&amp;" ")),1,0))+IF(Task!$A$13="",0,IF(ISNUMBER(SEARCH(" "&amp;Task!$A$13&amp;" "," "&amp;LOWER(D251&amp;" "&amp;C251&amp;" "&amp;LOWER(SUBSTITUTE(SUBSTITUTE(SUBSTITUTE(SUBSTITUTE(A251,"/"," "),"."," "),"\"," "),"_"," ")))&amp;" ")),1,0))+IF(Task!$A$14="",0,IF(ISNUMBER(SEARCH(" "&amp;Task!$A$14&amp;" "," "&amp;LOWER(D251&amp;" "&amp;C251&amp;" "&amp;LOWER(SUBSTITUTE(SUBSTITUTE(SUBSTITUTE(SUBSTITUTE(A251,"/"," "),"."," "),"\"," "),"_"," ")))&amp;" ")),1,0))+IF(Task!$A$15="",0,IF(ISNUMBER(SEARCH(" "&amp;Task!$A$15&amp;" "," "&amp;LOWER(D251&amp;" "&amp;C251&amp;" "&amp;LOWER(SUBSTITUTE(SUBSTITUTE(SUBSTITUTE(SUBSTITUTE(A251,"/"," "),"."," "),"\"," "),"_"," ")))&amp;" ")),1,0))+IF(Task!$A$16="",0,IF(ISNUMBER(SEARCH(" "&amp;Task!$A$16&amp;" "," "&amp;LOWER(D251&amp;" "&amp;C251&amp;" "&amp;LOWER(SUBSTITUTE(SUBSTITUTE(SUBSTITUTE(SUBSTITUTE(A251,"/"," "),"."," "),"\"," "),"_"," ")))&amp;" ")),1,0))+IF(Task!$A$17="",0,IF(ISNUMBER(SEARCH(" "&amp;Task!$A$17&amp;" "," "&amp;LOWER(D251&amp;" "&amp;C251&amp;" "&amp;LOWER(SUBSTITUTE(SUBSTITUTE(SUBSTITUTE(SUBSTITUTE(A251,"/"," "),"."," "),"\"," "),"_"," ")))&amp;" ")),1,0))+IF(Task!$A$18="",0,IF(ISNUMBER(SEARCH(" "&amp;Task!$A$18&amp;" "," "&amp;LOWER(D251&amp;" "&amp;C251&amp;" "&amp;LOWER(SUBSTITUTE(SUBSTITUTE(SUBSTITUTE(SUBSTITUTE(A251,"/"," "),"."," "),"\"," "),"_"," ")))&amp;" ")),1,0))+IF(Task!$A$19="",0,IF(ISNUMBER(SEARCH(" "&amp;Task!$A$19&amp;" "," "&amp;LOWER(D251&amp;" "&amp;C251&amp;" "&amp;LOWER(SUBSTITUTE(SUBSTITUTE(SUBSTITUTE(SUBSTITUTE(A251,"/"," "),"."," "),"\"," "),"_"," ")))&amp;" ")),1,0)))</f>
        <v/>
      </c>
      <c r="G251" s="9">
        <f>IF(E251=0,0,IF(Task!$A$8="",0,IF(ISNUMBER(SEARCH(" "&amp;Task!$A$8&amp;" "," "&amp;LOWER(C251)&amp;" ")),1,0))+IF(Task!$A$9="",0,IF(ISNUMBER(SEARCH(" "&amp;Task!$A$9&amp;" "," "&amp;LOWER(C251)&amp;" ")),1,0))+IF(Task!$A$10="",0,IF(ISNUMBER(SEARCH(" "&amp;Task!$A$10&amp;" "," "&amp;LOWER(C251)&amp;" ")),1,0))+IF(Task!$A$11="",0,IF(ISNUMBER(SEARCH(" "&amp;Task!$A$11&amp;" "," "&amp;LOWER(C251)&amp;" ")),1,0))+IF(Task!$A$12="",0,IF(ISNUMBER(SEARCH(" "&amp;Task!$A$12&amp;" "," "&amp;LOWER(C251)&amp;" ")),1,0))+IF(Task!$A$13="",0,IF(ISNUMBER(SEARCH(" "&amp;Task!$A$13&amp;" "," "&amp;LOWER(C251)&amp;" ")),1,0))+IF(Task!$A$14="",0,IF(ISNUMBER(SEARCH(" "&amp;Task!$A$14&amp;" "," "&amp;LOWER(C251)&amp;" ")),1,0))+IF(Task!$A$15="",0,IF(ISNUMBER(SEARCH(" "&amp;Task!$A$15&amp;" "," "&amp;LOWER(C251)&amp;" ")),1,0))+IF(Task!$A$16="",0,IF(ISNUMBER(SEARCH(" "&amp;Task!$A$16&amp;" "," "&amp;LOWER(C251)&amp;" ")),1,0))+IF(Task!$A$17="",0,IF(ISNUMBER(SEARCH(" "&amp;Task!$A$17&amp;" "," "&amp;LOWER(C251)&amp;" ")),1,0))+IF(Task!$A$18="",0,IF(ISNUMBER(SEARCH(" "&amp;Task!$A$18&amp;" "," "&amp;LOWER(C251)&amp;" ")),1,0))+IF(Task!$A$19="",0,IF(ISNUMBER(SEARCH(" "&amp;Task!$A$19&amp;" "," "&amp;LOWER(C251)&amp;" ")),1,0)))</f>
        <v/>
      </c>
      <c r="H251" s="9">
        <f>IF(E251=0,0,IF(Task!$A$8="",0,IF(ISNUMBER(SEARCH(" "&amp;Task!$A$8&amp;" "," "&amp;LOWER(SUBSTITUTE(SUBSTITUTE(SUBSTITUTE(SUBSTITUTE(A251,"/"," "),"."," "),"\"," "),"_"," "))&amp;" ")),1,0))+IF(Task!$A$9="",0,IF(ISNUMBER(SEARCH(" "&amp;Task!$A$9&amp;" "," "&amp;LOWER(SUBSTITUTE(SUBSTITUTE(SUBSTITUTE(SUBSTITUTE(A251,"/"," "),"."," "),"\"," "),"_"," "))&amp;" ")),1,0))+IF(Task!$A$10="",0,IF(ISNUMBER(SEARCH(" "&amp;Task!$A$10&amp;" "," "&amp;LOWER(SUBSTITUTE(SUBSTITUTE(SUBSTITUTE(SUBSTITUTE(A251,"/"," "),"."," "),"\"," "),"_"," "))&amp;" ")),1,0))+IF(Task!$A$11="",0,IF(ISNUMBER(SEARCH(" "&amp;Task!$A$11&amp;" "," "&amp;LOWER(SUBSTITUTE(SUBSTITUTE(SUBSTITUTE(SUBSTITUTE(A251,"/"," "),"."," "),"\"," "),"_"," "))&amp;" ")),1,0))+IF(Task!$A$12="",0,IF(ISNUMBER(SEARCH(" "&amp;Task!$A$12&amp;" "," "&amp;LOWER(SUBSTITUTE(SUBSTITUTE(SUBSTITUTE(SUBSTITUTE(A251,"/"," "),"."," "),"\"," "),"_"," "))&amp;" ")),1,0))+IF(Task!$A$13="",0,IF(ISNUMBER(SEARCH(" "&amp;Task!$A$13&amp;" "," "&amp;LOWER(SUBSTITUTE(SUBSTITUTE(SUBSTITUTE(SUBSTITUTE(A251,"/"," "),"."," "),"\"," "),"_"," "))&amp;" ")),1,0))+IF(Task!$A$14="",0,IF(ISNUMBER(SEARCH(" "&amp;Task!$A$14&amp;" "," "&amp;LOWER(SUBSTITUTE(SUBSTITUTE(SUBSTITUTE(SUBSTITUTE(A251,"/"," "),"."," "),"\"," "),"_"," "))&amp;" ")),1,0))+IF(Task!$A$15="",0,IF(ISNUMBER(SEARCH(" "&amp;Task!$A$15&amp;" "," "&amp;LOWER(SUBSTITUTE(SUBSTITUTE(SUBSTITUTE(SUBSTITUTE(A251,"/"," "),"."," "),"\"," "),"_"," "))&amp;" ")),1,0))+IF(Task!$A$16="",0,IF(ISNUMBER(SEARCH(" "&amp;Task!$A$16&amp;" "," "&amp;LOWER(SUBSTITUTE(SUBSTITUTE(SUBSTITUTE(SUBSTITUTE(A251,"/"," "),"."," "),"\"," "),"_"," "))&amp;" ")),1,0))+IF(Task!$A$17="",0,IF(ISNUMBER(SEARCH(" "&amp;Task!$A$17&amp;" "," "&amp;LOWER(SUBSTITUTE(SUBSTITUTE(SUBSTITUTE(SUBSTITUTE(A251,"/"," "),"."," "),"\"," "),"_"," "))&amp;" ")),1,0))+IF(Task!$A$18="",0,IF(ISNUMBER(SEARCH(" "&amp;Task!$A$18&amp;" "," "&amp;LOWER(SUBSTITUTE(SUBSTITUTE(SUBSTITUTE(SUBSTITUTE(A251,"/"," "),"."," "),"\"," "),"_"," "))&amp;" ")),1,0))+IF(Task!$A$19="",0,IF(ISNUMBER(SEARCH(" "&amp;Task!$A$19&amp;" "," "&amp;LOWER(SUBSTITUTE(SUBSTITUTE(SUBSTITUTE(SUBSTITUTE(A251,"/"," "),"."," "),"\"," "),"_"," "))&amp;" ")),1,0)))</f>
        <v/>
      </c>
      <c r="I251" s="10">
        <f>IF(OR(E251=0,F251=0,Task!$B$21=0),"",F251/Task!$B$21+0.5*G251+0.25*H251)</f>
        <v/>
      </c>
      <c r="J251" s="5">
        <f>IF(I251="","",I251-ROW()/1000000)</f>
        <v/>
      </c>
      <c r="K251" s="9">
        <f>IF(J251="","",COUNTIF($J$5:$J$404,"&gt;"&amp;J251)+1)</f>
        <v/>
      </c>
    </row>
    <row r="252">
      <c r="A252" s="7" t="n"/>
      <c r="B252" s="7" t="n"/>
      <c r="C252" s="7" t="n"/>
      <c r="D252" s="7" t="n"/>
      <c r="E252" s="5">
        <f>IF(A252="",0,IF(COUNTA(Task!$B$5:$E$5)=0,1,IF(COUNTIF(Task!$B$5:$E$5,B252)&gt;0,1,0)))</f>
        <v/>
      </c>
      <c r="F252" s="9">
        <f>IF(E252=0,0,IF(Task!$A$8="",0,IF(ISNUMBER(SEARCH(" "&amp;Task!$A$8&amp;" "," "&amp;LOWER(D252&amp;" "&amp;C252&amp;" "&amp;LOWER(SUBSTITUTE(SUBSTITUTE(SUBSTITUTE(SUBSTITUTE(A252,"/"," "),"."," "),"\"," "),"_"," ")))&amp;" ")),1,0))+IF(Task!$A$9="",0,IF(ISNUMBER(SEARCH(" "&amp;Task!$A$9&amp;" "," "&amp;LOWER(D252&amp;" "&amp;C252&amp;" "&amp;LOWER(SUBSTITUTE(SUBSTITUTE(SUBSTITUTE(SUBSTITUTE(A252,"/"," "),"."," "),"\"," "),"_"," ")))&amp;" ")),1,0))+IF(Task!$A$10="",0,IF(ISNUMBER(SEARCH(" "&amp;Task!$A$10&amp;" "," "&amp;LOWER(D252&amp;" "&amp;C252&amp;" "&amp;LOWER(SUBSTITUTE(SUBSTITUTE(SUBSTITUTE(SUBSTITUTE(A252,"/"," "),"."," "),"\"," "),"_"," ")))&amp;" ")),1,0))+IF(Task!$A$11="",0,IF(ISNUMBER(SEARCH(" "&amp;Task!$A$11&amp;" "," "&amp;LOWER(D252&amp;" "&amp;C252&amp;" "&amp;LOWER(SUBSTITUTE(SUBSTITUTE(SUBSTITUTE(SUBSTITUTE(A252,"/"," "),"."," "),"\"," "),"_"," ")))&amp;" ")),1,0))+IF(Task!$A$12="",0,IF(ISNUMBER(SEARCH(" "&amp;Task!$A$12&amp;" "," "&amp;LOWER(D252&amp;" "&amp;C252&amp;" "&amp;LOWER(SUBSTITUTE(SUBSTITUTE(SUBSTITUTE(SUBSTITUTE(A252,"/"," "),"."," "),"\"," "),"_"," ")))&amp;" ")),1,0))+IF(Task!$A$13="",0,IF(ISNUMBER(SEARCH(" "&amp;Task!$A$13&amp;" "," "&amp;LOWER(D252&amp;" "&amp;C252&amp;" "&amp;LOWER(SUBSTITUTE(SUBSTITUTE(SUBSTITUTE(SUBSTITUTE(A252,"/"," "),"."," "),"\"," "),"_"," ")))&amp;" ")),1,0))+IF(Task!$A$14="",0,IF(ISNUMBER(SEARCH(" "&amp;Task!$A$14&amp;" "," "&amp;LOWER(D252&amp;" "&amp;C252&amp;" "&amp;LOWER(SUBSTITUTE(SUBSTITUTE(SUBSTITUTE(SUBSTITUTE(A252,"/"," "),"."," "),"\"," "),"_"," ")))&amp;" ")),1,0))+IF(Task!$A$15="",0,IF(ISNUMBER(SEARCH(" "&amp;Task!$A$15&amp;" "," "&amp;LOWER(D252&amp;" "&amp;C252&amp;" "&amp;LOWER(SUBSTITUTE(SUBSTITUTE(SUBSTITUTE(SUBSTITUTE(A252,"/"," "),"."," "),"\"," "),"_"," ")))&amp;" ")),1,0))+IF(Task!$A$16="",0,IF(ISNUMBER(SEARCH(" "&amp;Task!$A$16&amp;" "," "&amp;LOWER(D252&amp;" "&amp;C252&amp;" "&amp;LOWER(SUBSTITUTE(SUBSTITUTE(SUBSTITUTE(SUBSTITUTE(A252,"/"," "),"."," "),"\"," "),"_"," ")))&amp;" ")),1,0))+IF(Task!$A$17="",0,IF(ISNUMBER(SEARCH(" "&amp;Task!$A$17&amp;" "," "&amp;LOWER(D252&amp;" "&amp;C252&amp;" "&amp;LOWER(SUBSTITUTE(SUBSTITUTE(SUBSTITUTE(SUBSTITUTE(A252,"/"," "),"."," "),"\"," "),"_"," ")))&amp;" ")),1,0))+IF(Task!$A$18="",0,IF(ISNUMBER(SEARCH(" "&amp;Task!$A$18&amp;" "," "&amp;LOWER(D252&amp;" "&amp;C252&amp;" "&amp;LOWER(SUBSTITUTE(SUBSTITUTE(SUBSTITUTE(SUBSTITUTE(A252,"/"," "),"."," "),"\"," "),"_"," ")))&amp;" ")),1,0))+IF(Task!$A$19="",0,IF(ISNUMBER(SEARCH(" "&amp;Task!$A$19&amp;" "," "&amp;LOWER(D252&amp;" "&amp;C252&amp;" "&amp;LOWER(SUBSTITUTE(SUBSTITUTE(SUBSTITUTE(SUBSTITUTE(A252,"/"," "),"."," "),"\"," "),"_"," ")))&amp;" ")),1,0)))</f>
        <v/>
      </c>
      <c r="G252" s="9">
        <f>IF(E252=0,0,IF(Task!$A$8="",0,IF(ISNUMBER(SEARCH(" "&amp;Task!$A$8&amp;" "," "&amp;LOWER(C252)&amp;" ")),1,0))+IF(Task!$A$9="",0,IF(ISNUMBER(SEARCH(" "&amp;Task!$A$9&amp;" "," "&amp;LOWER(C252)&amp;" ")),1,0))+IF(Task!$A$10="",0,IF(ISNUMBER(SEARCH(" "&amp;Task!$A$10&amp;" "," "&amp;LOWER(C252)&amp;" ")),1,0))+IF(Task!$A$11="",0,IF(ISNUMBER(SEARCH(" "&amp;Task!$A$11&amp;" "," "&amp;LOWER(C252)&amp;" ")),1,0))+IF(Task!$A$12="",0,IF(ISNUMBER(SEARCH(" "&amp;Task!$A$12&amp;" "," "&amp;LOWER(C252)&amp;" ")),1,0))+IF(Task!$A$13="",0,IF(ISNUMBER(SEARCH(" "&amp;Task!$A$13&amp;" "," "&amp;LOWER(C252)&amp;" ")),1,0))+IF(Task!$A$14="",0,IF(ISNUMBER(SEARCH(" "&amp;Task!$A$14&amp;" "," "&amp;LOWER(C252)&amp;" ")),1,0))+IF(Task!$A$15="",0,IF(ISNUMBER(SEARCH(" "&amp;Task!$A$15&amp;" "," "&amp;LOWER(C252)&amp;" ")),1,0))+IF(Task!$A$16="",0,IF(ISNUMBER(SEARCH(" "&amp;Task!$A$16&amp;" "," "&amp;LOWER(C252)&amp;" ")),1,0))+IF(Task!$A$17="",0,IF(ISNUMBER(SEARCH(" "&amp;Task!$A$17&amp;" "," "&amp;LOWER(C252)&amp;" ")),1,0))+IF(Task!$A$18="",0,IF(ISNUMBER(SEARCH(" "&amp;Task!$A$18&amp;" "," "&amp;LOWER(C252)&amp;" ")),1,0))+IF(Task!$A$19="",0,IF(ISNUMBER(SEARCH(" "&amp;Task!$A$19&amp;" "," "&amp;LOWER(C252)&amp;" ")),1,0)))</f>
        <v/>
      </c>
      <c r="H252" s="9">
        <f>IF(E252=0,0,IF(Task!$A$8="",0,IF(ISNUMBER(SEARCH(" "&amp;Task!$A$8&amp;" "," "&amp;LOWER(SUBSTITUTE(SUBSTITUTE(SUBSTITUTE(SUBSTITUTE(A252,"/"," "),"."," "),"\"," "),"_"," "))&amp;" ")),1,0))+IF(Task!$A$9="",0,IF(ISNUMBER(SEARCH(" "&amp;Task!$A$9&amp;" "," "&amp;LOWER(SUBSTITUTE(SUBSTITUTE(SUBSTITUTE(SUBSTITUTE(A252,"/"," "),"."," "),"\"," "),"_"," "))&amp;" ")),1,0))+IF(Task!$A$10="",0,IF(ISNUMBER(SEARCH(" "&amp;Task!$A$10&amp;" "," "&amp;LOWER(SUBSTITUTE(SUBSTITUTE(SUBSTITUTE(SUBSTITUTE(A252,"/"," "),"."," "),"\"," "),"_"," "))&amp;" ")),1,0))+IF(Task!$A$11="",0,IF(ISNUMBER(SEARCH(" "&amp;Task!$A$11&amp;" "," "&amp;LOWER(SUBSTITUTE(SUBSTITUTE(SUBSTITUTE(SUBSTITUTE(A252,"/"," "),"."," "),"\"," "),"_"," "))&amp;" ")),1,0))+IF(Task!$A$12="",0,IF(ISNUMBER(SEARCH(" "&amp;Task!$A$12&amp;" "," "&amp;LOWER(SUBSTITUTE(SUBSTITUTE(SUBSTITUTE(SUBSTITUTE(A252,"/"," "),"."," "),"\"," "),"_"," "))&amp;" ")),1,0))+IF(Task!$A$13="",0,IF(ISNUMBER(SEARCH(" "&amp;Task!$A$13&amp;" "," "&amp;LOWER(SUBSTITUTE(SUBSTITUTE(SUBSTITUTE(SUBSTITUTE(A252,"/"," "),"."," "),"\"," "),"_"," "))&amp;" ")),1,0))+IF(Task!$A$14="",0,IF(ISNUMBER(SEARCH(" "&amp;Task!$A$14&amp;" "," "&amp;LOWER(SUBSTITUTE(SUBSTITUTE(SUBSTITUTE(SUBSTITUTE(A252,"/"," "),"."," "),"\"," "),"_"," "))&amp;" ")),1,0))+IF(Task!$A$15="",0,IF(ISNUMBER(SEARCH(" "&amp;Task!$A$15&amp;" "," "&amp;LOWER(SUBSTITUTE(SUBSTITUTE(SUBSTITUTE(SUBSTITUTE(A252,"/"," "),"."," "),"\"," "),"_"," "))&amp;" ")),1,0))+IF(Task!$A$16="",0,IF(ISNUMBER(SEARCH(" "&amp;Task!$A$16&amp;" "," "&amp;LOWER(SUBSTITUTE(SUBSTITUTE(SUBSTITUTE(SUBSTITUTE(A252,"/"," "),"."," "),"\"," "),"_"," "))&amp;" ")),1,0))+IF(Task!$A$17="",0,IF(ISNUMBER(SEARCH(" "&amp;Task!$A$17&amp;" "," "&amp;LOWER(SUBSTITUTE(SUBSTITUTE(SUBSTITUTE(SUBSTITUTE(A252,"/"," "),"."," "),"\"," "),"_"," "))&amp;" ")),1,0))+IF(Task!$A$18="",0,IF(ISNUMBER(SEARCH(" "&amp;Task!$A$18&amp;" "," "&amp;LOWER(SUBSTITUTE(SUBSTITUTE(SUBSTITUTE(SUBSTITUTE(A252,"/"," "),"."," "),"\"," "),"_"," "))&amp;" ")),1,0))+IF(Task!$A$19="",0,IF(ISNUMBER(SEARCH(" "&amp;Task!$A$19&amp;" "," "&amp;LOWER(SUBSTITUTE(SUBSTITUTE(SUBSTITUTE(SUBSTITUTE(A252,"/"," "),"."," "),"\"," "),"_"," "))&amp;" ")),1,0)))</f>
        <v/>
      </c>
      <c r="I252" s="10">
        <f>IF(OR(E252=0,F252=0,Task!$B$21=0),"",F252/Task!$B$21+0.5*G252+0.25*H252)</f>
        <v/>
      </c>
      <c r="J252" s="5">
        <f>IF(I252="","",I252-ROW()/1000000)</f>
        <v/>
      </c>
      <c r="K252" s="9">
        <f>IF(J252="","",COUNTIF($J$5:$J$404,"&gt;"&amp;J252)+1)</f>
        <v/>
      </c>
    </row>
    <row r="253">
      <c r="A253" s="7" t="n"/>
      <c r="B253" s="7" t="n"/>
      <c r="C253" s="7" t="n"/>
      <c r="D253" s="7" t="n"/>
      <c r="E253" s="5">
        <f>IF(A253="",0,IF(COUNTA(Task!$B$5:$E$5)=0,1,IF(COUNTIF(Task!$B$5:$E$5,B253)&gt;0,1,0)))</f>
        <v/>
      </c>
      <c r="F253" s="9">
        <f>IF(E253=0,0,IF(Task!$A$8="",0,IF(ISNUMBER(SEARCH(" "&amp;Task!$A$8&amp;" "," "&amp;LOWER(D253&amp;" "&amp;C253&amp;" "&amp;LOWER(SUBSTITUTE(SUBSTITUTE(SUBSTITUTE(SUBSTITUTE(A253,"/"," "),"."," "),"\"," "),"_"," ")))&amp;" ")),1,0))+IF(Task!$A$9="",0,IF(ISNUMBER(SEARCH(" "&amp;Task!$A$9&amp;" "," "&amp;LOWER(D253&amp;" "&amp;C253&amp;" "&amp;LOWER(SUBSTITUTE(SUBSTITUTE(SUBSTITUTE(SUBSTITUTE(A253,"/"," "),"."," "),"\"," "),"_"," ")))&amp;" ")),1,0))+IF(Task!$A$10="",0,IF(ISNUMBER(SEARCH(" "&amp;Task!$A$10&amp;" "," "&amp;LOWER(D253&amp;" "&amp;C253&amp;" "&amp;LOWER(SUBSTITUTE(SUBSTITUTE(SUBSTITUTE(SUBSTITUTE(A253,"/"," "),"."," "),"\"," "),"_"," ")))&amp;" ")),1,0))+IF(Task!$A$11="",0,IF(ISNUMBER(SEARCH(" "&amp;Task!$A$11&amp;" "," "&amp;LOWER(D253&amp;" "&amp;C253&amp;" "&amp;LOWER(SUBSTITUTE(SUBSTITUTE(SUBSTITUTE(SUBSTITUTE(A253,"/"," "),"."," "),"\"," "),"_"," ")))&amp;" ")),1,0))+IF(Task!$A$12="",0,IF(ISNUMBER(SEARCH(" "&amp;Task!$A$12&amp;" "," "&amp;LOWER(D253&amp;" "&amp;C253&amp;" "&amp;LOWER(SUBSTITUTE(SUBSTITUTE(SUBSTITUTE(SUBSTITUTE(A253,"/"," "),"."," "),"\"," "),"_"," ")))&amp;" ")),1,0))+IF(Task!$A$13="",0,IF(ISNUMBER(SEARCH(" "&amp;Task!$A$13&amp;" "," "&amp;LOWER(D253&amp;" "&amp;C253&amp;" "&amp;LOWER(SUBSTITUTE(SUBSTITUTE(SUBSTITUTE(SUBSTITUTE(A253,"/"," "),"."," "),"\"," "),"_"," ")))&amp;" ")),1,0))+IF(Task!$A$14="",0,IF(ISNUMBER(SEARCH(" "&amp;Task!$A$14&amp;" "," "&amp;LOWER(D253&amp;" "&amp;C253&amp;" "&amp;LOWER(SUBSTITUTE(SUBSTITUTE(SUBSTITUTE(SUBSTITUTE(A253,"/"," "),"."," "),"\"," "),"_"," ")))&amp;" ")),1,0))+IF(Task!$A$15="",0,IF(ISNUMBER(SEARCH(" "&amp;Task!$A$15&amp;" "," "&amp;LOWER(D253&amp;" "&amp;C253&amp;" "&amp;LOWER(SUBSTITUTE(SUBSTITUTE(SUBSTITUTE(SUBSTITUTE(A253,"/"," "),"."," "),"\"," "),"_"," ")))&amp;" ")),1,0))+IF(Task!$A$16="",0,IF(ISNUMBER(SEARCH(" "&amp;Task!$A$16&amp;" "," "&amp;LOWER(D253&amp;" "&amp;C253&amp;" "&amp;LOWER(SUBSTITUTE(SUBSTITUTE(SUBSTITUTE(SUBSTITUTE(A253,"/"," "),"."," "),"\"," "),"_"," ")))&amp;" ")),1,0))+IF(Task!$A$17="",0,IF(ISNUMBER(SEARCH(" "&amp;Task!$A$17&amp;" "," "&amp;LOWER(D253&amp;" "&amp;C253&amp;" "&amp;LOWER(SUBSTITUTE(SUBSTITUTE(SUBSTITUTE(SUBSTITUTE(A253,"/"," "),"."," "),"\"," "),"_"," ")))&amp;" ")),1,0))+IF(Task!$A$18="",0,IF(ISNUMBER(SEARCH(" "&amp;Task!$A$18&amp;" "," "&amp;LOWER(D253&amp;" "&amp;C253&amp;" "&amp;LOWER(SUBSTITUTE(SUBSTITUTE(SUBSTITUTE(SUBSTITUTE(A253,"/"," "),"."," "),"\"," "),"_"," ")))&amp;" ")),1,0))+IF(Task!$A$19="",0,IF(ISNUMBER(SEARCH(" "&amp;Task!$A$19&amp;" "," "&amp;LOWER(D253&amp;" "&amp;C253&amp;" "&amp;LOWER(SUBSTITUTE(SUBSTITUTE(SUBSTITUTE(SUBSTITUTE(A253,"/"," "),"."," "),"\"," "),"_"," ")))&amp;" ")),1,0)))</f>
        <v/>
      </c>
      <c r="G253" s="9">
        <f>IF(E253=0,0,IF(Task!$A$8="",0,IF(ISNUMBER(SEARCH(" "&amp;Task!$A$8&amp;" "," "&amp;LOWER(C253)&amp;" ")),1,0))+IF(Task!$A$9="",0,IF(ISNUMBER(SEARCH(" "&amp;Task!$A$9&amp;" "," "&amp;LOWER(C253)&amp;" ")),1,0))+IF(Task!$A$10="",0,IF(ISNUMBER(SEARCH(" "&amp;Task!$A$10&amp;" "," "&amp;LOWER(C253)&amp;" ")),1,0))+IF(Task!$A$11="",0,IF(ISNUMBER(SEARCH(" "&amp;Task!$A$11&amp;" "," "&amp;LOWER(C253)&amp;" ")),1,0))+IF(Task!$A$12="",0,IF(ISNUMBER(SEARCH(" "&amp;Task!$A$12&amp;" "," "&amp;LOWER(C253)&amp;" ")),1,0))+IF(Task!$A$13="",0,IF(ISNUMBER(SEARCH(" "&amp;Task!$A$13&amp;" "," "&amp;LOWER(C253)&amp;" ")),1,0))+IF(Task!$A$14="",0,IF(ISNUMBER(SEARCH(" "&amp;Task!$A$14&amp;" "," "&amp;LOWER(C253)&amp;" ")),1,0))+IF(Task!$A$15="",0,IF(ISNUMBER(SEARCH(" "&amp;Task!$A$15&amp;" "," "&amp;LOWER(C253)&amp;" ")),1,0))+IF(Task!$A$16="",0,IF(ISNUMBER(SEARCH(" "&amp;Task!$A$16&amp;" "," "&amp;LOWER(C253)&amp;" ")),1,0))+IF(Task!$A$17="",0,IF(ISNUMBER(SEARCH(" "&amp;Task!$A$17&amp;" "," "&amp;LOWER(C253)&amp;" ")),1,0))+IF(Task!$A$18="",0,IF(ISNUMBER(SEARCH(" "&amp;Task!$A$18&amp;" "," "&amp;LOWER(C253)&amp;" ")),1,0))+IF(Task!$A$19="",0,IF(ISNUMBER(SEARCH(" "&amp;Task!$A$19&amp;" "," "&amp;LOWER(C253)&amp;" ")),1,0)))</f>
        <v/>
      </c>
      <c r="H253" s="9">
        <f>IF(E253=0,0,IF(Task!$A$8="",0,IF(ISNUMBER(SEARCH(" "&amp;Task!$A$8&amp;" "," "&amp;LOWER(SUBSTITUTE(SUBSTITUTE(SUBSTITUTE(SUBSTITUTE(A253,"/"," "),"."," "),"\"," "),"_"," "))&amp;" ")),1,0))+IF(Task!$A$9="",0,IF(ISNUMBER(SEARCH(" "&amp;Task!$A$9&amp;" "," "&amp;LOWER(SUBSTITUTE(SUBSTITUTE(SUBSTITUTE(SUBSTITUTE(A253,"/"," "),"."," "),"\"," "),"_"," "))&amp;" ")),1,0))+IF(Task!$A$10="",0,IF(ISNUMBER(SEARCH(" "&amp;Task!$A$10&amp;" "," "&amp;LOWER(SUBSTITUTE(SUBSTITUTE(SUBSTITUTE(SUBSTITUTE(A253,"/"," "),"."," "),"\"," "),"_"," "))&amp;" ")),1,0))+IF(Task!$A$11="",0,IF(ISNUMBER(SEARCH(" "&amp;Task!$A$11&amp;" "," "&amp;LOWER(SUBSTITUTE(SUBSTITUTE(SUBSTITUTE(SUBSTITUTE(A253,"/"," "),"."," "),"\"," "),"_"," "))&amp;" ")),1,0))+IF(Task!$A$12="",0,IF(ISNUMBER(SEARCH(" "&amp;Task!$A$12&amp;" "," "&amp;LOWER(SUBSTITUTE(SUBSTITUTE(SUBSTITUTE(SUBSTITUTE(A253,"/"," "),"."," "),"\"," "),"_"," "))&amp;" ")),1,0))+IF(Task!$A$13="",0,IF(ISNUMBER(SEARCH(" "&amp;Task!$A$13&amp;" "," "&amp;LOWER(SUBSTITUTE(SUBSTITUTE(SUBSTITUTE(SUBSTITUTE(A253,"/"," "),"."," "),"\"," "),"_"," "))&amp;" ")),1,0))+IF(Task!$A$14="",0,IF(ISNUMBER(SEARCH(" "&amp;Task!$A$14&amp;" "," "&amp;LOWER(SUBSTITUTE(SUBSTITUTE(SUBSTITUTE(SUBSTITUTE(A253,"/"," "),"."," "),"\"," "),"_"," "))&amp;" ")),1,0))+IF(Task!$A$15="",0,IF(ISNUMBER(SEARCH(" "&amp;Task!$A$15&amp;" "," "&amp;LOWER(SUBSTITUTE(SUBSTITUTE(SUBSTITUTE(SUBSTITUTE(A253,"/"," "),"."," "),"\"," "),"_"," "))&amp;" ")),1,0))+IF(Task!$A$16="",0,IF(ISNUMBER(SEARCH(" "&amp;Task!$A$16&amp;" "," "&amp;LOWER(SUBSTITUTE(SUBSTITUTE(SUBSTITUTE(SUBSTITUTE(A253,"/"," "),"."," "),"\"," "),"_"," "))&amp;" ")),1,0))+IF(Task!$A$17="",0,IF(ISNUMBER(SEARCH(" "&amp;Task!$A$17&amp;" "," "&amp;LOWER(SUBSTITUTE(SUBSTITUTE(SUBSTITUTE(SUBSTITUTE(A253,"/"," "),"."," "),"\"," "),"_"," "))&amp;" ")),1,0))+IF(Task!$A$18="",0,IF(ISNUMBER(SEARCH(" "&amp;Task!$A$18&amp;" "," "&amp;LOWER(SUBSTITUTE(SUBSTITUTE(SUBSTITUTE(SUBSTITUTE(A253,"/"," "),"."," "),"\"," "),"_"," "))&amp;" ")),1,0))+IF(Task!$A$19="",0,IF(ISNUMBER(SEARCH(" "&amp;Task!$A$19&amp;" "," "&amp;LOWER(SUBSTITUTE(SUBSTITUTE(SUBSTITUTE(SUBSTITUTE(A253,"/"," "),"."," "),"\"," "),"_"," "))&amp;" ")),1,0)))</f>
        <v/>
      </c>
      <c r="I253" s="10">
        <f>IF(OR(E253=0,F253=0,Task!$B$21=0),"",F253/Task!$B$21+0.5*G253+0.25*H253)</f>
        <v/>
      </c>
      <c r="J253" s="5">
        <f>IF(I253="","",I253-ROW()/1000000)</f>
        <v/>
      </c>
      <c r="K253" s="9">
        <f>IF(J253="","",COUNTIF($J$5:$J$404,"&gt;"&amp;J253)+1)</f>
        <v/>
      </c>
    </row>
    <row r="254">
      <c r="A254" s="7" t="n"/>
      <c r="B254" s="7" t="n"/>
      <c r="C254" s="7" t="n"/>
      <c r="D254" s="7" t="n"/>
      <c r="E254" s="5">
        <f>IF(A254="",0,IF(COUNTA(Task!$B$5:$E$5)=0,1,IF(COUNTIF(Task!$B$5:$E$5,B254)&gt;0,1,0)))</f>
        <v/>
      </c>
      <c r="F254" s="9">
        <f>IF(E254=0,0,IF(Task!$A$8="",0,IF(ISNUMBER(SEARCH(" "&amp;Task!$A$8&amp;" "," "&amp;LOWER(D254&amp;" "&amp;C254&amp;" "&amp;LOWER(SUBSTITUTE(SUBSTITUTE(SUBSTITUTE(SUBSTITUTE(A254,"/"," "),"."," "),"\"," "),"_"," ")))&amp;" ")),1,0))+IF(Task!$A$9="",0,IF(ISNUMBER(SEARCH(" "&amp;Task!$A$9&amp;" "," "&amp;LOWER(D254&amp;" "&amp;C254&amp;" "&amp;LOWER(SUBSTITUTE(SUBSTITUTE(SUBSTITUTE(SUBSTITUTE(A254,"/"," "),"."," "),"\"," "),"_"," ")))&amp;" ")),1,0))+IF(Task!$A$10="",0,IF(ISNUMBER(SEARCH(" "&amp;Task!$A$10&amp;" "," "&amp;LOWER(D254&amp;" "&amp;C254&amp;" "&amp;LOWER(SUBSTITUTE(SUBSTITUTE(SUBSTITUTE(SUBSTITUTE(A254,"/"," "),"."," "),"\"," "),"_"," ")))&amp;" ")),1,0))+IF(Task!$A$11="",0,IF(ISNUMBER(SEARCH(" "&amp;Task!$A$11&amp;" "," "&amp;LOWER(D254&amp;" "&amp;C254&amp;" "&amp;LOWER(SUBSTITUTE(SUBSTITUTE(SUBSTITUTE(SUBSTITUTE(A254,"/"," "),"."," "),"\"," "),"_"," ")))&amp;" ")),1,0))+IF(Task!$A$12="",0,IF(ISNUMBER(SEARCH(" "&amp;Task!$A$12&amp;" "," "&amp;LOWER(D254&amp;" "&amp;C254&amp;" "&amp;LOWER(SUBSTITUTE(SUBSTITUTE(SUBSTITUTE(SUBSTITUTE(A254,"/"," "),"."," "),"\"," "),"_"," ")))&amp;" ")),1,0))+IF(Task!$A$13="",0,IF(ISNUMBER(SEARCH(" "&amp;Task!$A$13&amp;" "," "&amp;LOWER(D254&amp;" "&amp;C254&amp;" "&amp;LOWER(SUBSTITUTE(SUBSTITUTE(SUBSTITUTE(SUBSTITUTE(A254,"/"," "),"."," "),"\"," "),"_"," ")))&amp;" ")),1,0))+IF(Task!$A$14="",0,IF(ISNUMBER(SEARCH(" "&amp;Task!$A$14&amp;" "," "&amp;LOWER(D254&amp;" "&amp;C254&amp;" "&amp;LOWER(SUBSTITUTE(SUBSTITUTE(SUBSTITUTE(SUBSTITUTE(A254,"/"," "),"."," "),"\"," "),"_"," ")))&amp;" ")),1,0))+IF(Task!$A$15="",0,IF(ISNUMBER(SEARCH(" "&amp;Task!$A$15&amp;" "," "&amp;LOWER(D254&amp;" "&amp;C254&amp;" "&amp;LOWER(SUBSTITUTE(SUBSTITUTE(SUBSTITUTE(SUBSTITUTE(A254,"/"," "),"."," "),"\"," "),"_"," ")))&amp;" ")),1,0))+IF(Task!$A$16="",0,IF(ISNUMBER(SEARCH(" "&amp;Task!$A$16&amp;" "," "&amp;LOWER(D254&amp;" "&amp;C254&amp;" "&amp;LOWER(SUBSTITUTE(SUBSTITUTE(SUBSTITUTE(SUBSTITUTE(A254,"/"," "),"."," "),"\"," "),"_"," ")))&amp;" ")),1,0))+IF(Task!$A$17="",0,IF(ISNUMBER(SEARCH(" "&amp;Task!$A$17&amp;" "," "&amp;LOWER(D254&amp;" "&amp;C254&amp;" "&amp;LOWER(SUBSTITUTE(SUBSTITUTE(SUBSTITUTE(SUBSTITUTE(A254,"/"," "),"."," "),"\"," "),"_"," ")))&amp;" ")),1,0))+IF(Task!$A$18="",0,IF(ISNUMBER(SEARCH(" "&amp;Task!$A$18&amp;" "," "&amp;LOWER(D254&amp;" "&amp;C254&amp;" "&amp;LOWER(SUBSTITUTE(SUBSTITUTE(SUBSTITUTE(SUBSTITUTE(A254,"/"," "),"."," "),"\"," "),"_"," ")))&amp;" ")),1,0))+IF(Task!$A$19="",0,IF(ISNUMBER(SEARCH(" "&amp;Task!$A$19&amp;" "," "&amp;LOWER(D254&amp;" "&amp;C254&amp;" "&amp;LOWER(SUBSTITUTE(SUBSTITUTE(SUBSTITUTE(SUBSTITUTE(A254,"/"," "),"."," "),"\"," "),"_"," ")))&amp;" ")),1,0)))</f>
        <v/>
      </c>
      <c r="G254" s="9">
        <f>IF(E254=0,0,IF(Task!$A$8="",0,IF(ISNUMBER(SEARCH(" "&amp;Task!$A$8&amp;" "," "&amp;LOWER(C254)&amp;" ")),1,0))+IF(Task!$A$9="",0,IF(ISNUMBER(SEARCH(" "&amp;Task!$A$9&amp;" "," "&amp;LOWER(C254)&amp;" ")),1,0))+IF(Task!$A$10="",0,IF(ISNUMBER(SEARCH(" "&amp;Task!$A$10&amp;" "," "&amp;LOWER(C254)&amp;" ")),1,0))+IF(Task!$A$11="",0,IF(ISNUMBER(SEARCH(" "&amp;Task!$A$11&amp;" "," "&amp;LOWER(C254)&amp;" ")),1,0))+IF(Task!$A$12="",0,IF(ISNUMBER(SEARCH(" "&amp;Task!$A$12&amp;" "," "&amp;LOWER(C254)&amp;" ")),1,0))+IF(Task!$A$13="",0,IF(ISNUMBER(SEARCH(" "&amp;Task!$A$13&amp;" "," "&amp;LOWER(C254)&amp;" ")),1,0))+IF(Task!$A$14="",0,IF(ISNUMBER(SEARCH(" "&amp;Task!$A$14&amp;" "," "&amp;LOWER(C254)&amp;" ")),1,0))+IF(Task!$A$15="",0,IF(ISNUMBER(SEARCH(" "&amp;Task!$A$15&amp;" "," "&amp;LOWER(C254)&amp;" ")),1,0))+IF(Task!$A$16="",0,IF(ISNUMBER(SEARCH(" "&amp;Task!$A$16&amp;" "," "&amp;LOWER(C254)&amp;" ")),1,0))+IF(Task!$A$17="",0,IF(ISNUMBER(SEARCH(" "&amp;Task!$A$17&amp;" "," "&amp;LOWER(C254)&amp;" ")),1,0))+IF(Task!$A$18="",0,IF(ISNUMBER(SEARCH(" "&amp;Task!$A$18&amp;" "," "&amp;LOWER(C254)&amp;" ")),1,0))+IF(Task!$A$19="",0,IF(ISNUMBER(SEARCH(" "&amp;Task!$A$19&amp;" "," "&amp;LOWER(C254)&amp;" ")),1,0)))</f>
        <v/>
      </c>
      <c r="H254" s="9">
        <f>IF(E254=0,0,IF(Task!$A$8="",0,IF(ISNUMBER(SEARCH(" "&amp;Task!$A$8&amp;" "," "&amp;LOWER(SUBSTITUTE(SUBSTITUTE(SUBSTITUTE(SUBSTITUTE(A254,"/"," "),"."," "),"\"," "),"_"," "))&amp;" ")),1,0))+IF(Task!$A$9="",0,IF(ISNUMBER(SEARCH(" "&amp;Task!$A$9&amp;" "," "&amp;LOWER(SUBSTITUTE(SUBSTITUTE(SUBSTITUTE(SUBSTITUTE(A254,"/"," "),"."," "),"\"," "),"_"," "))&amp;" ")),1,0))+IF(Task!$A$10="",0,IF(ISNUMBER(SEARCH(" "&amp;Task!$A$10&amp;" "," "&amp;LOWER(SUBSTITUTE(SUBSTITUTE(SUBSTITUTE(SUBSTITUTE(A254,"/"," "),"."," "),"\"," "),"_"," "))&amp;" ")),1,0))+IF(Task!$A$11="",0,IF(ISNUMBER(SEARCH(" "&amp;Task!$A$11&amp;" "," "&amp;LOWER(SUBSTITUTE(SUBSTITUTE(SUBSTITUTE(SUBSTITUTE(A254,"/"," "),"."," "),"\"," "),"_"," "))&amp;" ")),1,0))+IF(Task!$A$12="",0,IF(ISNUMBER(SEARCH(" "&amp;Task!$A$12&amp;" "," "&amp;LOWER(SUBSTITUTE(SUBSTITUTE(SUBSTITUTE(SUBSTITUTE(A254,"/"," "),"."," "),"\"," "),"_"," "))&amp;" ")),1,0))+IF(Task!$A$13="",0,IF(ISNUMBER(SEARCH(" "&amp;Task!$A$13&amp;" "," "&amp;LOWER(SUBSTITUTE(SUBSTITUTE(SUBSTITUTE(SUBSTITUTE(A254,"/"," "),"."," "),"\"," "),"_"," "))&amp;" ")),1,0))+IF(Task!$A$14="",0,IF(ISNUMBER(SEARCH(" "&amp;Task!$A$14&amp;" "," "&amp;LOWER(SUBSTITUTE(SUBSTITUTE(SUBSTITUTE(SUBSTITUTE(A254,"/"," "),"."," "),"\"," "),"_"," "))&amp;" ")),1,0))+IF(Task!$A$15="",0,IF(ISNUMBER(SEARCH(" "&amp;Task!$A$15&amp;" "," "&amp;LOWER(SUBSTITUTE(SUBSTITUTE(SUBSTITUTE(SUBSTITUTE(A254,"/"," "),"."," "),"\"," "),"_"," "))&amp;" ")),1,0))+IF(Task!$A$16="",0,IF(ISNUMBER(SEARCH(" "&amp;Task!$A$16&amp;" "," "&amp;LOWER(SUBSTITUTE(SUBSTITUTE(SUBSTITUTE(SUBSTITUTE(A254,"/"," "),"."," "),"\"," "),"_"," "))&amp;" ")),1,0))+IF(Task!$A$17="",0,IF(ISNUMBER(SEARCH(" "&amp;Task!$A$17&amp;" "," "&amp;LOWER(SUBSTITUTE(SUBSTITUTE(SUBSTITUTE(SUBSTITUTE(A254,"/"," "),"."," "),"\"," "),"_"," "))&amp;" ")),1,0))+IF(Task!$A$18="",0,IF(ISNUMBER(SEARCH(" "&amp;Task!$A$18&amp;" "," "&amp;LOWER(SUBSTITUTE(SUBSTITUTE(SUBSTITUTE(SUBSTITUTE(A254,"/"," "),"."," "),"\"," "),"_"," "))&amp;" ")),1,0))+IF(Task!$A$19="",0,IF(ISNUMBER(SEARCH(" "&amp;Task!$A$19&amp;" "," "&amp;LOWER(SUBSTITUTE(SUBSTITUTE(SUBSTITUTE(SUBSTITUTE(A254,"/"," "),"."," "),"\"," "),"_"," "))&amp;" ")),1,0)))</f>
        <v/>
      </c>
      <c r="I254" s="10">
        <f>IF(OR(E254=0,F254=0,Task!$B$21=0),"",F254/Task!$B$21+0.5*G254+0.25*H254)</f>
        <v/>
      </c>
      <c r="J254" s="5">
        <f>IF(I254="","",I254-ROW()/1000000)</f>
        <v/>
      </c>
      <c r="K254" s="9">
        <f>IF(J254="","",COUNTIF($J$5:$J$404,"&gt;"&amp;J254)+1)</f>
        <v/>
      </c>
    </row>
    <row r="255">
      <c r="A255" s="7" t="n"/>
      <c r="B255" s="7" t="n"/>
      <c r="C255" s="7" t="n"/>
      <c r="D255" s="7" t="n"/>
      <c r="E255" s="5">
        <f>IF(A255="",0,IF(COUNTA(Task!$B$5:$E$5)=0,1,IF(COUNTIF(Task!$B$5:$E$5,B255)&gt;0,1,0)))</f>
        <v/>
      </c>
      <c r="F255" s="9">
        <f>IF(E255=0,0,IF(Task!$A$8="",0,IF(ISNUMBER(SEARCH(" "&amp;Task!$A$8&amp;" "," "&amp;LOWER(D255&amp;" "&amp;C255&amp;" "&amp;LOWER(SUBSTITUTE(SUBSTITUTE(SUBSTITUTE(SUBSTITUTE(A255,"/"," "),"."," "),"\"," "),"_"," ")))&amp;" ")),1,0))+IF(Task!$A$9="",0,IF(ISNUMBER(SEARCH(" "&amp;Task!$A$9&amp;" "," "&amp;LOWER(D255&amp;" "&amp;C255&amp;" "&amp;LOWER(SUBSTITUTE(SUBSTITUTE(SUBSTITUTE(SUBSTITUTE(A255,"/"," "),"."," "),"\"," "),"_"," ")))&amp;" ")),1,0))+IF(Task!$A$10="",0,IF(ISNUMBER(SEARCH(" "&amp;Task!$A$10&amp;" "," "&amp;LOWER(D255&amp;" "&amp;C255&amp;" "&amp;LOWER(SUBSTITUTE(SUBSTITUTE(SUBSTITUTE(SUBSTITUTE(A255,"/"," "),"."," "),"\"," "),"_"," ")))&amp;" ")),1,0))+IF(Task!$A$11="",0,IF(ISNUMBER(SEARCH(" "&amp;Task!$A$11&amp;" "," "&amp;LOWER(D255&amp;" "&amp;C255&amp;" "&amp;LOWER(SUBSTITUTE(SUBSTITUTE(SUBSTITUTE(SUBSTITUTE(A255,"/"," "),"."," "),"\"," "),"_"," ")))&amp;" ")),1,0))+IF(Task!$A$12="",0,IF(ISNUMBER(SEARCH(" "&amp;Task!$A$12&amp;" "," "&amp;LOWER(D255&amp;" "&amp;C255&amp;" "&amp;LOWER(SUBSTITUTE(SUBSTITUTE(SUBSTITUTE(SUBSTITUTE(A255,"/"," "),"."," "),"\"," "),"_"," ")))&amp;" ")),1,0))+IF(Task!$A$13="",0,IF(ISNUMBER(SEARCH(" "&amp;Task!$A$13&amp;" "," "&amp;LOWER(D255&amp;" "&amp;C255&amp;" "&amp;LOWER(SUBSTITUTE(SUBSTITUTE(SUBSTITUTE(SUBSTITUTE(A255,"/"," "),"."," "),"\"," "),"_"," ")))&amp;" ")),1,0))+IF(Task!$A$14="",0,IF(ISNUMBER(SEARCH(" "&amp;Task!$A$14&amp;" "," "&amp;LOWER(D255&amp;" "&amp;C255&amp;" "&amp;LOWER(SUBSTITUTE(SUBSTITUTE(SUBSTITUTE(SUBSTITUTE(A255,"/"," "),"."," "),"\"," "),"_"," ")))&amp;" ")),1,0))+IF(Task!$A$15="",0,IF(ISNUMBER(SEARCH(" "&amp;Task!$A$15&amp;" "," "&amp;LOWER(D255&amp;" "&amp;C255&amp;" "&amp;LOWER(SUBSTITUTE(SUBSTITUTE(SUBSTITUTE(SUBSTITUTE(A255,"/"," "),"."," "),"\"," "),"_"," ")))&amp;" ")),1,0))+IF(Task!$A$16="",0,IF(ISNUMBER(SEARCH(" "&amp;Task!$A$16&amp;" "," "&amp;LOWER(D255&amp;" "&amp;C255&amp;" "&amp;LOWER(SUBSTITUTE(SUBSTITUTE(SUBSTITUTE(SUBSTITUTE(A255,"/"," "),"."," "),"\"," "),"_"," ")))&amp;" ")),1,0))+IF(Task!$A$17="",0,IF(ISNUMBER(SEARCH(" "&amp;Task!$A$17&amp;" "," "&amp;LOWER(D255&amp;" "&amp;C255&amp;" "&amp;LOWER(SUBSTITUTE(SUBSTITUTE(SUBSTITUTE(SUBSTITUTE(A255,"/"," "),"."," "),"\"," "),"_"," ")))&amp;" ")),1,0))+IF(Task!$A$18="",0,IF(ISNUMBER(SEARCH(" "&amp;Task!$A$18&amp;" "," "&amp;LOWER(D255&amp;" "&amp;C255&amp;" "&amp;LOWER(SUBSTITUTE(SUBSTITUTE(SUBSTITUTE(SUBSTITUTE(A255,"/"," "),"."," "),"\"," "),"_"," ")))&amp;" ")),1,0))+IF(Task!$A$19="",0,IF(ISNUMBER(SEARCH(" "&amp;Task!$A$19&amp;" "," "&amp;LOWER(D255&amp;" "&amp;C255&amp;" "&amp;LOWER(SUBSTITUTE(SUBSTITUTE(SUBSTITUTE(SUBSTITUTE(A255,"/"," "),"."," "),"\"," "),"_"," ")))&amp;" ")),1,0)))</f>
        <v/>
      </c>
      <c r="G255" s="9">
        <f>IF(E255=0,0,IF(Task!$A$8="",0,IF(ISNUMBER(SEARCH(" "&amp;Task!$A$8&amp;" "," "&amp;LOWER(C255)&amp;" ")),1,0))+IF(Task!$A$9="",0,IF(ISNUMBER(SEARCH(" "&amp;Task!$A$9&amp;" "," "&amp;LOWER(C255)&amp;" ")),1,0))+IF(Task!$A$10="",0,IF(ISNUMBER(SEARCH(" "&amp;Task!$A$10&amp;" "," "&amp;LOWER(C255)&amp;" ")),1,0))+IF(Task!$A$11="",0,IF(ISNUMBER(SEARCH(" "&amp;Task!$A$11&amp;" "," "&amp;LOWER(C255)&amp;" ")),1,0))+IF(Task!$A$12="",0,IF(ISNUMBER(SEARCH(" "&amp;Task!$A$12&amp;" "," "&amp;LOWER(C255)&amp;" ")),1,0))+IF(Task!$A$13="",0,IF(ISNUMBER(SEARCH(" "&amp;Task!$A$13&amp;" "," "&amp;LOWER(C255)&amp;" ")),1,0))+IF(Task!$A$14="",0,IF(ISNUMBER(SEARCH(" "&amp;Task!$A$14&amp;" "," "&amp;LOWER(C255)&amp;" ")),1,0))+IF(Task!$A$15="",0,IF(ISNUMBER(SEARCH(" "&amp;Task!$A$15&amp;" "," "&amp;LOWER(C255)&amp;" ")),1,0))+IF(Task!$A$16="",0,IF(ISNUMBER(SEARCH(" "&amp;Task!$A$16&amp;" "," "&amp;LOWER(C255)&amp;" ")),1,0))+IF(Task!$A$17="",0,IF(ISNUMBER(SEARCH(" "&amp;Task!$A$17&amp;" "," "&amp;LOWER(C255)&amp;" ")),1,0))+IF(Task!$A$18="",0,IF(ISNUMBER(SEARCH(" "&amp;Task!$A$18&amp;" "," "&amp;LOWER(C255)&amp;" ")),1,0))+IF(Task!$A$19="",0,IF(ISNUMBER(SEARCH(" "&amp;Task!$A$19&amp;" "," "&amp;LOWER(C255)&amp;" ")),1,0)))</f>
        <v/>
      </c>
      <c r="H255" s="9">
        <f>IF(E255=0,0,IF(Task!$A$8="",0,IF(ISNUMBER(SEARCH(" "&amp;Task!$A$8&amp;" "," "&amp;LOWER(SUBSTITUTE(SUBSTITUTE(SUBSTITUTE(SUBSTITUTE(A255,"/"," "),"."," "),"\"," "),"_"," "))&amp;" ")),1,0))+IF(Task!$A$9="",0,IF(ISNUMBER(SEARCH(" "&amp;Task!$A$9&amp;" "," "&amp;LOWER(SUBSTITUTE(SUBSTITUTE(SUBSTITUTE(SUBSTITUTE(A255,"/"," "),"."," "),"\"," "),"_"," "))&amp;" ")),1,0))+IF(Task!$A$10="",0,IF(ISNUMBER(SEARCH(" "&amp;Task!$A$10&amp;" "," "&amp;LOWER(SUBSTITUTE(SUBSTITUTE(SUBSTITUTE(SUBSTITUTE(A255,"/"," "),"."," "),"\"," "),"_"," "))&amp;" ")),1,0))+IF(Task!$A$11="",0,IF(ISNUMBER(SEARCH(" "&amp;Task!$A$11&amp;" "," "&amp;LOWER(SUBSTITUTE(SUBSTITUTE(SUBSTITUTE(SUBSTITUTE(A255,"/"," "),"."," "),"\"," "),"_"," "))&amp;" ")),1,0))+IF(Task!$A$12="",0,IF(ISNUMBER(SEARCH(" "&amp;Task!$A$12&amp;" "," "&amp;LOWER(SUBSTITUTE(SUBSTITUTE(SUBSTITUTE(SUBSTITUTE(A255,"/"," "),"."," "),"\"," "),"_"," "))&amp;" ")),1,0))+IF(Task!$A$13="",0,IF(ISNUMBER(SEARCH(" "&amp;Task!$A$13&amp;" "," "&amp;LOWER(SUBSTITUTE(SUBSTITUTE(SUBSTITUTE(SUBSTITUTE(A255,"/"," "),"."," "),"\"," "),"_"," "))&amp;" ")),1,0))+IF(Task!$A$14="",0,IF(ISNUMBER(SEARCH(" "&amp;Task!$A$14&amp;" "," "&amp;LOWER(SUBSTITUTE(SUBSTITUTE(SUBSTITUTE(SUBSTITUTE(A255,"/"," "),"."," "),"\"," "),"_"," "))&amp;" ")),1,0))+IF(Task!$A$15="",0,IF(ISNUMBER(SEARCH(" "&amp;Task!$A$15&amp;" "," "&amp;LOWER(SUBSTITUTE(SUBSTITUTE(SUBSTITUTE(SUBSTITUTE(A255,"/"," "),"."," "),"\"," "),"_"," "))&amp;" ")),1,0))+IF(Task!$A$16="",0,IF(ISNUMBER(SEARCH(" "&amp;Task!$A$16&amp;" "," "&amp;LOWER(SUBSTITUTE(SUBSTITUTE(SUBSTITUTE(SUBSTITUTE(A255,"/"," "),"."," "),"\"," "),"_"," "))&amp;" ")),1,0))+IF(Task!$A$17="",0,IF(ISNUMBER(SEARCH(" "&amp;Task!$A$17&amp;" "," "&amp;LOWER(SUBSTITUTE(SUBSTITUTE(SUBSTITUTE(SUBSTITUTE(A255,"/"," "),"."," "),"\"," "),"_"," "))&amp;" ")),1,0))+IF(Task!$A$18="",0,IF(ISNUMBER(SEARCH(" "&amp;Task!$A$18&amp;" "," "&amp;LOWER(SUBSTITUTE(SUBSTITUTE(SUBSTITUTE(SUBSTITUTE(A255,"/"," "),"."," "),"\"," "),"_"," "))&amp;" ")),1,0))+IF(Task!$A$19="",0,IF(ISNUMBER(SEARCH(" "&amp;Task!$A$19&amp;" "," "&amp;LOWER(SUBSTITUTE(SUBSTITUTE(SUBSTITUTE(SUBSTITUTE(A255,"/"," "),"."," "),"\"," "),"_"," "))&amp;" ")),1,0)))</f>
        <v/>
      </c>
      <c r="I255" s="10">
        <f>IF(OR(E255=0,F255=0,Task!$B$21=0),"",F255/Task!$B$21+0.5*G255+0.25*H255)</f>
        <v/>
      </c>
      <c r="J255" s="5">
        <f>IF(I255="","",I255-ROW()/1000000)</f>
        <v/>
      </c>
      <c r="K255" s="9">
        <f>IF(J255="","",COUNTIF($J$5:$J$404,"&gt;"&amp;J255)+1)</f>
        <v/>
      </c>
    </row>
    <row r="256">
      <c r="A256" s="7" t="n"/>
      <c r="B256" s="7" t="n"/>
      <c r="C256" s="7" t="n"/>
      <c r="D256" s="7" t="n"/>
      <c r="E256" s="5">
        <f>IF(A256="",0,IF(COUNTA(Task!$B$5:$E$5)=0,1,IF(COUNTIF(Task!$B$5:$E$5,B256)&gt;0,1,0)))</f>
        <v/>
      </c>
      <c r="F256" s="9">
        <f>IF(E256=0,0,IF(Task!$A$8="",0,IF(ISNUMBER(SEARCH(" "&amp;Task!$A$8&amp;" "," "&amp;LOWER(D256&amp;" "&amp;C256&amp;" "&amp;LOWER(SUBSTITUTE(SUBSTITUTE(SUBSTITUTE(SUBSTITUTE(A256,"/"," "),"."," "),"\"," "),"_"," ")))&amp;" ")),1,0))+IF(Task!$A$9="",0,IF(ISNUMBER(SEARCH(" "&amp;Task!$A$9&amp;" "," "&amp;LOWER(D256&amp;" "&amp;C256&amp;" "&amp;LOWER(SUBSTITUTE(SUBSTITUTE(SUBSTITUTE(SUBSTITUTE(A256,"/"," "),"."," "),"\"," "),"_"," ")))&amp;" ")),1,0))+IF(Task!$A$10="",0,IF(ISNUMBER(SEARCH(" "&amp;Task!$A$10&amp;" "," "&amp;LOWER(D256&amp;" "&amp;C256&amp;" "&amp;LOWER(SUBSTITUTE(SUBSTITUTE(SUBSTITUTE(SUBSTITUTE(A256,"/"," "),"."," "),"\"," "),"_"," ")))&amp;" ")),1,0))+IF(Task!$A$11="",0,IF(ISNUMBER(SEARCH(" "&amp;Task!$A$11&amp;" "," "&amp;LOWER(D256&amp;" "&amp;C256&amp;" "&amp;LOWER(SUBSTITUTE(SUBSTITUTE(SUBSTITUTE(SUBSTITUTE(A256,"/"," "),"."," "),"\"," "),"_"," ")))&amp;" ")),1,0))+IF(Task!$A$12="",0,IF(ISNUMBER(SEARCH(" "&amp;Task!$A$12&amp;" "," "&amp;LOWER(D256&amp;" "&amp;C256&amp;" "&amp;LOWER(SUBSTITUTE(SUBSTITUTE(SUBSTITUTE(SUBSTITUTE(A256,"/"," "),"."," "),"\"," "),"_"," ")))&amp;" ")),1,0))+IF(Task!$A$13="",0,IF(ISNUMBER(SEARCH(" "&amp;Task!$A$13&amp;" "," "&amp;LOWER(D256&amp;" "&amp;C256&amp;" "&amp;LOWER(SUBSTITUTE(SUBSTITUTE(SUBSTITUTE(SUBSTITUTE(A256,"/"," "),"."," "),"\"," "),"_"," ")))&amp;" ")),1,0))+IF(Task!$A$14="",0,IF(ISNUMBER(SEARCH(" "&amp;Task!$A$14&amp;" "," "&amp;LOWER(D256&amp;" "&amp;C256&amp;" "&amp;LOWER(SUBSTITUTE(SUBSTITUTE(SUBSTITUTE(SUBSTITUTE(A256,"/"," "),"."," "),"\"," "),"_"," ")))&amp;" ")),1,0))+IF(Task!$A$15="",0,IF(ISNUMBER(SEARCH(" "&amp;Task!$A$15&amp;" "," "&amp;LOWER(D256&amp;" "&amp;C256&amp;" "&amp;LOWER(SUBSTITUTE(SUBSTITUTE(SUBSTITUTE(SUBSTITUTE(A256,"/"," "),"."," "),"\"," "),"_"," ")))&amp;" ")),1,0))+IF(Task!$A$16="",0,IF(ISNUMBER(SEARCH(" "&amp;Task!$A$16&amp;" "," "&amp;LOWER(D256&amp;" "&amp;C256&amp;" "&amp;LOWER(SUBSTITUTE(SUBSTITUTE(SUBSTITUTE(SUBSTITUTE(A256,"/"," "),"."," "),"\"," "),"_"," ")))&amp;" ")),1,0))+IF(Task!$A$17="",0,IF(ISNUMBER(SEARCH(" "&amp;Task!$A$17&amp;" "," "&amp;LOWER(D256&amp;" "&amp;C256&amp;" "&amp;LOWER(SUBSTITUTE(SUBSTITUTE(SUBSTITUTE(SUBSTITUTE(A256,"/"," "),"."," "),"\"," "),"_"," ")))&amp;" ")),1,0))+IF(Task!$A$18="",0,IF(ISNUMBER(SEARCH(" "&amp;Task!$A$18&amp;" "," "&amp;LOWER(D256&amp;" "&amp;C256&amp;" "&amp;LOWER(SUBSTITUTE(SUBSTITUTE(SUBSTITUTE(SUBSTITUTE(A256,"/"," "),"."," "),"\"," "),"_"," ")))&amp;" ")),1,0))+IF(Task!$A$19="",0,IF(ISNUMBER(SEARCH(" "&amp;Task!$A$19&amp;" "," "&amp;LOWER(D256&amp;" "&amp;C256&amp;" "&amp;LOWER(SUBSTITUTE(SUBSTITUTE(SUBSTITUTE(SUBSTITUTE(A256,"/"," "),"."," "),"\"," "),"_"," ")))&amp;" ")),1,0)))</f>
        <v/>
      </c>
      <c r="G256" s="9">
        <f>IF(E256=0,0,IF(Task!$A$8="",0,IF(ISNUMBER(SEARCH(" "&amp;Task!$A$8&amp;" "," "&amp;LOWER(C256)&amp;" ")),1,0))+IF(Task!$A$9="",0,IF(ISNUMBER(SEARCH(" "&amp;Task!$A$9&amp;" "," "&amp;LOWER(C256)&amp;" ")),1,0))+IF(Task!$A$10="",0,IF(ISNUMBER(SEARCH(" "&amp;Task!$A$10&amp;" "," "&amp;LOWER(C256)&amp;" ")),1,0))+IF(Task!$A$11="",0,IF(ISNUMBER(SEARCH(" "&amp;Task!$A$11&amp;" "," "&amp;LOWER(C256)&amp;" ")),1,0))+IF(Task!$A$12="",0,IF(ISNUMBER(SEARCH(" "&amp;Task!$A$12&amp;" "," "&amp;LOWER(C256)&amp;" ")),1,0))+IF(Task!$A$13="",0,IF(ISNUMBER(SEARCH(" "&amp;Task!$A$13&amp;" "," "&amp;LOWER(C256)&amp;" ")),1,0))+IF(Task!$A$14="",0,IF(ISNUMBER(SEARCH(" "&amp;Task!$A$14&amp;" "," "&amp;LOWER(C256)&amp;" ")),1,0))+IF(Task!$A$15="",0,IF(ISNUMBER(SEARCH(" "&amp;Task!$A$15&amp;" "," "&amp;LOWER(C256)&amp;" ")),1,0))+IF(Task!$A$16="",0,IF(ISNUMBER(SEARCH(" "&amp;Task!$A$16&amp;" "," "&amp;LOWER(C256)&amp;" ")),1,0))+IF(Task!$A$17="",0,IF(ISNUMBER(SEARCH(" "&amp;Task!$A$17&amp;" "," "&amp;LOWER(C256)&amp;" ")),1,0))+IF(Task!$A$18="",0,IF(ISNUMBER(SEARCH(" "&amp;Task!$A$18&amp;" "," "&amp;LOWER(C256)&amp;" ")),1,0))+IF(Task!$A$19="",0,IF(ISNUMBER(SEARCH(" "&amp;Task!$A$19&amp;" "," "&amp;LOWER(C256)&amp;" ")),1,0)))</f>
        <v/>
      </c>
      <c r="H256" s="9">
        <f>IF(E256=0,0,IF(Task!$A$8="",0,IF(ISNUMBER(SEARCH(" "&amp;Task!$A$8&amp;" "," "&amp;LOWER(SUBSTITUTE(SUBSTITUTE(SUBSTITUTE(SUBSTITUTE(A256,"/"," "),"."," "),"\"," "),"_"," "))&amp;" ")),1,0))+IF(Task!$A$9="",0,IF(ISNUMBER(SEARCH(" "&amp;Task!$A$9&amp;" "," "&amp;LOWER(SUBSTITUTE(SUBSTITUTE(SUBSTITUTE(SUBSTITUTE(A256,"/"," "),"."," "),"\"," "),"_"," "))&amp;" ")),1,0))+IF(Task!$A$10="",0,IF(ISNUMBER(SEARCH(" "&amp;Task!$A$10&amp;" "," "&amp;LOWER(SUBSTITUTE(SUBSTITUTE(SUBSTITUTE(SUBSTITUTE(A256,"/"," "),"."," "),"\"," "),"_"," "))&amp;" ")),1,0))+IF(Task!$A$11="",0,IF(ISNUMBER(SEARCH(" "&amp;Task!$A$11&amp;" "," "&amp;LOWER(SUBSTITUTE(SUBSTITUTE(SUBSTITUTE(SUBSTITUTE(A256,"/"," "),"."," "),"\"," "),"_"," "))&amp;" ")),1,0))+IF(Task!$A$12="",0,IF(ISNUMBER(SEARCH(" "&amp;Task!$A$12&amp;" "," "&amp;LOWER(SUBSTITUTE(SUBSTITUTE(SUBSTITUTE(SUBSTITUTE(A256,"/"," "),"."," "),"\"," "),"_"," "))&amp;" ")),1,0))+IF(Task!$A$13="",0,IF(ISNUMBER(SEARCH(" "&amp;Task!$A$13&amp;" "," "&amp;LOWER(SUBSTITUTE(SUBSTITUTE(SUBSTITUTE(SUBSTITUTE(A256,"/"," "),"."," "),"\"," "),"_"," "))&amp;" ")),1,0))+IF(Task!$A$14="",0,IF(ISNUMBER(SEARCH(" "&amp;Task!$A$14&amp;" "," "&amp;LOWER(SUBSTITUTE(SUBSTITUTE(SUBSTITUTE(SUBSTITUTE(A256,"/"," "),"."," "),"\"," "),"_"," "))&amp;" ")),1,0))+IF(Task!$A$15="",0,IF(ISNUMBER(SEARCH(" "&amp;Task!$A$15&amp;" "," "&amp;LOWER(SUBSTITUTE(SUBSTITUTE(SUBSTITUTE(SUBSTITUTE(A256,"/"," "),"."," "),"\"," "),"_"," "))&amp;" ")),1,0))+IF(Task!$A$16="",0,IF(ISNUMBER(SEARCH(" "&amp;Task!$A$16&amp;" "," "&amp;LOWER(SUBSTITUTE(SUBSTITUTE(SUBSTITUTE(SUBSTITUTE(A256,"/"," "),"."," "),"\"," "),"_"," "))&amp;" ")),1,0))+IF(Task!$A$17="",0,IF(ISNUMBER(SEARCH(" "&amp;Task!$A$17&amp;" "," "&amp;LOWER(SUBSTITUTE(SUBSTITUTE(SUBSTITUTE(SUBSTITUTE(A256,"/"," "),"."," "),"\"," "),"_"," "))&amp;" ")),1,0))+IF(Task!$A$18="",0,IF(ISNUMBER(SEARCH(" "&amp;Task!$A$18&amp;" "," "&amp;LOWER(SUBSTITUTE(SUBSTITUTE(SUBSTITUTE(SUBSTITUTE(A256,"/"," "),"."," "),"\"," "),"_"," "))&amp;" ")),1,0))+IF(Task!$A$19="",0,IF(ISNUMBER(SEARCH(" "&amp;Task!$A$19&amp;" "," "&amp;LOWER(SUBSTITUTE(SUBSTITUTE(SUBSTITUTE(SUBSTITUTE(A256,"/"," "),"."," "),"\"," "),"_"," "))&amp;" ")),1,0)))</f>
        <v/>
      </c>
      <c r="I256" s="10">
        <f>IF(OR(E256=0,F256=0,Task!$B$21=0),"",F256/Task!$B$21+0.5*G256+0.25*H256)</f>
        <v/>
      </c>
      <c r="J256" s="5">
        <f>IF(I256="","",I256-ROW()/1000000)</f>
        <v/>
      </c>
      <c r="K256" s="9">
        <f>IF(J256="","",COUNTIF($J$5:$J$404,"&gt;"&amp;J256)+1)</f>
        <v/>
      </c>
    </row>
    <row r="257">
      <c r="A257" s="7" t="n"/>
      <c r="B257" s="7" t="n"/>
      <c r="C257" s="7" t="n"/>
      <c r="D257" s="7" t="n"/>
      <c r="E257" s="5">
        <f>IF(A257="",0,IF(COUNTA(Task!$B$5:$E$5)=0,1,IF(COUNTIF(Task!$B$5:$E$5,B257)&gt;0,1,0)))</f>
        <v/>
      </c>
      <c r="F257" s="9">
        <f>IF(E257=0,0,IF(Task!$A$8="",0,IF(ISNUMBER(SEARCH(" "&amp;Task!$A$8&amp;" "," "&amp;LOWER(D257&amp;" "&amp;C257&amp;" "&amp;LOWER(SUBSTITUTE(SUBSTITUTE(SUBSTITUTE(SUBSTITUTE(A257,"/"," "),"."," "),"\"," "),"_"," ")))&amp;" ")),1,0))+IF(Task!$A$9="",0,IF(ISNUMBER(SEARCH(" "&amp;Task!$A$9&amp;" "," "&amp;LOWER(D257&amp;" "&amp;C257&amp;" "&amp;LOWER(SUBSTITUTE(SUBSTITUTE(SUBSTITUTE(SUBSTITUTE(A257,"/"," "),"."," "),"\"," "),"_"," ")))&amp;" ")),1,0))+IF(Task!$A$10="",0,IF(ISNUMBER(SEARCH(" "&amp;Task!$A$10&amp;" "," "&amp;LOWER(D257&amp;" "&amp;C257&amp;" "&amp;LOWER(SUBSTITUTE(SUBSTITUTE(SUBSTITUTE(SUBSTITUTE(A257,"/"," "),"."," "),"\"," "),"_"," ")))&amp;" ")),1,0))+IF(Task!$A$11="",0,IF(ISNUMBER(SEARCH(" "&amp;Task!$A$11&amp;" "," "&amp;LOWER(D257&amp;" "&amp;C257&amp;" "&amp;LOWER(SUBSTITUTE(SUBSTITUTE(SUBSTITUTE(SUBSTITUTE(A257,"/"," "),"."," "),"\"," "),"_"," ")))&amp;" ")),1,0))+IF(Task!$A$12="",0,IF(ISNUMBER(SEARCH(" "&amp;Task!$A$12&amp;" "," "&amp;LOWER(D257&amp;" "&amp;C257&amp;" "&amp;LOWER(SUBSTITUTE(SUBSTITUTE(SUBSTITUTE(SUBSTITUTE(A257,"/"," "),"."," "),"\"," "),"_"," ")))&amp;" ")),1,0))+IF(Task!$A$13="",0,IF(ISNUMBER(SEARCH(" "&amp;Task!$A$13&amp;" "," "&amp;LOWER(D257&amp;" "&amp;C257&amp;" "&amp;LOWER(SUBSTITUTE(SUBSTITUTE(SUBSTITUTE(SUBSTITUTE(A257,"/"," "),"."," "),"\"," "),"_"," ")))&amp;" ")),1,0))+IF(Task!$A$14="",0,IF(ISNUMBER(SEARCH(" "&amp;Task!$A$14&amp;" "," "&amp;LOWER(D257&amp;" "&amp;C257&amp;" "&amp;LOWER(SUBSTITUTE(SUBSTITUTE(SUBSTITUTE(SUBSTITUTE(A257,"/"," "),"."," "),"\"," "),"_"," ")))&amp;" ")),1,0))+IF(Task!$A$15="",0,IF(ISNUMBER(SEARCH(" "&amp;Task!$A$15&amp;" "," "&amp;LOWER(D257&amp;" "&amp;C257&amp;" "&amp;LOWER(SUBSTITUTE(SUBSTITUTE(SUBSTITUTE(SUBSTITUTE(A257,"/"," "),"."," "),"\"," "),"_"," ")))&amp;" ")),1,0))+IF(Task!$A$16="",0,IF(ISNUMBER(SEARCH(" "&amp;Task!$A$16&amp;" "," "&amp;LOWER(D257&amp;" "&amp;C257&amp;" "&amp;LOWER(SUBSTITUTE(SUBSTITUTE(SUBSTITUTE(SUBSTITUTE(A257,"/"," "),"."," "),"\"," "),"_"," ")))&amp;" ")),1,0))+IF(Task!$A$17="",0,IF(ISNUMBER(SEARCH(" "&amp;Task!$A$17&amp;" "," "&amp;LOWER(D257&amp;" "&amp;C257&amp;" "&amp;LOWER(SUBSTITUTE(SUBSTITUTE(SUBSTITUTE(SUBSTITUTE(A257,"/"," "),"."," "),"\"," "),"_"," ")))&amp;" ")),1,0))+IF(Task!$A$18="",0,IF(ISNUMBER(SEARCH(" "&amp;Task!$A$18&amp;" "," "&amp;LOWER(D257&amp;" "&amp;C257&amp;" "&amp;LOWER(SUBSTITUTE(SUBSTITUTE(SUBSTITUTE(SUBSTITUTE(A257,"/"," "),"."," "),"\"," "),"_"," ")))&amp;" ")),1,0))+IF(Task!$A$19="",0,IF(ISNUMBER(SEARCH(" "&amp;Task!$A$19&amp;" "," "&amp;LOWER(D257&amp;" "&amp;C257&amp;" "&amp;LOWER(SUBSTITUTE(SUBSTITUTE(SUBSTITUTE(SUBSTITUTE(A257,"/"," "),"."," "),"\"," "),"_"," ")))&amp;" ")),1,0)))</f>
        <v/>
      </c>
      <c r="G257" s="9">
        <f>IF(E257=0,0,IF(Task!$A$8="",0,IF(ISNUMBER(SEARCH(" "&amp;Task!$A$8&amp;" "," "&amp;LOWER(C257)&amp;" ")),1,0))+IF(Task!$A$9="",0,IF(ISNUMBER(SEARCH(" "&amp;Task!$A$9&amp;" "," "&amp;LOWER(C257)&amp;" ")),1,0))+IF(Task!$A$10="",0,IF(ISNUMBER(SEARCH(" "&amp;Task!$A$10&amp;" "," "&amp;LOWER(C257)&amp;" ")),1,0))+IF(Task!$A$11="",0,IF(ISNUMBER(SEARCH(" "&amp;Task!$A$11&amp;" "," "&amp;LOWER(C257)&amp;" ")),1,0))+IF(Task!$A$12="",0,IF(ISNUMBER(SEARCH(" "&amp;Task!$A$12&amp;" "," "&amp;LOWER(C257)&amp;" ")),1,0))+IF(Task!$A$13="",0,IF(ISNUMBER(SEARCH(" "&amp;Task!$A$13&amp;" "," "&amp;LOWER(C257)&amp;" ")),1,0))+IF(Task!$A$14="",0,IF(ISNUMBER(SEARCH(" "&amp;Task!$A$14&amp;" "," "&amp;LOWER(C257)&amp;" ")),1,0))+IF(Task!$A$15="",0,IF(ISNUMBER(SEARCH(" "&amp;Task!$A$15&amp;" "," "&amp;LOWER(C257)&amp;" ")),1,0))+IF(Task!$A$16="",0,IF(ISNUMBER(SEARCH(" "&amp;Task!$A$16&amp;" "," "&amp;LOWER(C257)&amp;" ")),1,0))+IF(Task!$A$17="",0,IF(ISNUMBER(SEARCH(" "&amp;Task!$A$17&amp;" "," "&amp;LOWER(C257)&amp;" ")),1,0))+IF(Task!$A$18="",0,IF(ISNUMBER(SEARCH(" "&amp;Task!$A$18&amp;" "," "&amp;LOWER(C257)&amp;" ")),1,0))+IF(Task!$A$19="",0,IF(ISNUMBER(SEARCH(" "&amp;Task!$A$19&amp;" "," "&amp;LOWER(C257)&amp;" ")),1,0)))</f>
        <v/>
      </c>
      <c r="H257" s="9">
        <f>IF(E257=0,0,IF(Task!$A$8="",0,IF(ISNUMBER(SEARCH(" "&amp;Task!$A$8&amp;" "," "&amp;LOWER(SUBSTITUTE(SUBSTITUTE(SUBSTITUTE(SUBSTITUTE(A257,"/"," "),"."," "),"\"," "),"_"," "))&amp;" ")),1,0))+IF(Task!$A$9="",0,IF(ISNUMBER(SEARCH(" "&amp;Task!$A$9&amp;" "," "&amp;LOWER(SUBSTITUTE(SUBSTITUTE(SUBSTITUTE(SUBSTITUTE(A257,"/"," "),"."," "),"\"," "),"_"," "))&amp;" ")),1,0))+IF(Task!$A$10="",0,IF(ISNUMBER(SEARCH(" "&amp;Task!$A$10&amp;" "," "&amp;LOWER(SUBSTITUTE(SUBSTITUTE(SUBSTITUTE(SUBSTITUTE(A257,"/"," "),"."," "),"\"," "),"_"," "))&amp;" ")),1,0))+IF(Task!$A$11="",0,IF(ISNUMBER(SEARCH(" "&amp;Task!$A$11&amp;" "," "&amp;LOWER(SUBSTITUTE(SUBSTITUTE(SUBSTITUTE(SUBSTITUTE(A257,"/"," "),"."," "),"\"," "),"_"," "))&amp;" ")),1,0))+IF(Task!$A$12="",0,IF(ISNUMBER(SEARCH(" "&amp;Task!$A$12&amp;" "," "&amp;LOWER(SUBSTITUTE(SUBSTITUTE(SUBSTITUTE(SUBSTITUTE(A257,"/"," "),"."," "),"\"," "),"_"," "))&amp;" ")),1,0))+IF(Task!$A$13="",0,IF(ISNUMBER(SEARCH(" "&amp;Task!$A$13&amp;" "," "&amp;LOWER(SUBSTITUTE(SUBSTITUTE(SUBSTITUTE(SUBSTITUTE(A257,"/"," "),"."," "),"\"," "),"_"," "))&amp;" ")),1,0))+IF(Task!$A$14="",0,IF(ISNUMBER(SEARCH(" "&amp;Task!$A$14&amp;" "," "&amp;LOWER(SUBSTITUTE(SUBSTITUTE(SUBSTITUTE(SUBSTITUTE(A257,"/"," "),"."," "),"\"," "),"_"," "))&amp;" ")),1,0))+IF(Task!$A$15="",0,IF(ISNUMBER(SEARCH(" "&amp;Task!$A$15&amp;" "," "&amp;LOWER(SUBSTITUTE(SUBSTITUTE(SUBSTITUTE(SUBSTITUTE(A257,"/"," "),"."," "),"\"," "),"_"," "))&amp;" ")),1,0))+IF(Task!$A$16="",0,IF(ISNUMBER(SEARCH(" "&amp;Task!$A$16&amp;" "," "&amp;LOWER(SUBSTITUTE(SUBSTITUTE(SUBSTITUTE(SUBSTITUTE(A257,"/"," "),"."," "),"\"," "),"_"," "))&amp;" ")),1,0))+IF(Task!$A$17="",0,IF(ISNUMBER(SEARCH(" "&amp;Task!$A$17&amp;" "," "&amp;LOWER(SUBSTITUTE(SUBSTITUTE(SUBSTITUTE(SUBSTITUTE(A257,"/"," "),"."," "),"\"," "),"_"," "))&amp;" ")),1,0))+IF(Task!$A$18="",0,IF(ISNUMBER(SEARCH(" "&amp;Task!$A$18&amp;" "," "&amp;LOWER(SUBSTITUTE(SUBSTITUTE(SUBSTITUTE(SUBSTITUTE(A257,"/"," "),"."," "),"\"," "),"_"," "))&amp;" ")),1,0))+IF(Task!$A$19="",0,IF(ISNUMBER(SEARCH(" "&amp;Task!$A$19&amp;" "," "&amp;LOWER(SUBSTITUTE(SUBSTITUTE(SUBSTITUTE(SUBSTITUTE(A257,"/"," "),"."," "),"\"," "),"_"," "))&amp;" ")),1,0)))</f>
        <v/>
      </c>
      <c r="I257" s="10">
        <f>IF(OR(E257=0,F257=0,Task!$B$21=0),"",F257/Task!$B$21+0.5*G257+0.25*H257)</f>
        <v/>
      </c>
      <c r="J257" s="5">
        <f>IF(I257="","",I257-ROW()/1000000)</f>
        <v/>
      </c>
      <c r="K257" s="9">
        <f>IF(J257="","",COUNTIF($J$5:$J$404,"&gt;"&amp;J257)+1)</f>
        <v/>
      </c>
    </row>
    <row r="258">
      <c r="A258" s="7" t="n"/>
      <c r="B258" s="7" t="n"/>
      <c r="C258" s="7" t="n"/>
      <c r="D258" s="7" t="n"/>
      <c r="E258" s="5">
        <f>IF(A258="",0,IF(COUNTA(Task!$B$5:$E$5)=0,1,IF(COUNTIF(Task!$B$5:$E$5,B258)&gt;0,1,0)))</f>
        <v/>
      </c>
      <c r="F258" s="9">
        <f>IF(E258=0,0,IF(Task!$A$8="",0,IF(ISNUMBER(SEARCH(" "&amp;Task!$A$8&amp;" "," "&amp;LOWER(D258&amp;" "&amp;C258&amp;" "&amp;LOWER(SUBSTITUTE(SUBSTITUTE(SUBSTITUTE(SUBSTITUTE(A258,"/"," "),"."," "),"\"," "),"_"," ")))&amp;" ")),1,0))+IF(Task!$A$9="",0,IF(ISNUMBER(SEARCH(" "&amp;Task!$A$9&amp;" "," "&amp;LOWER(D258&amp;" "&amp;C258&amp;" "&amp;LOWER(SUBSTITUTE(SUBSTITUTE(SUBSTITUTE(SUBSTITUTE(A258,"/"," "),"."," "),"\"," "),"_"," ")))&amp;" ")),1,0))+IF(Task!$A$10="",0,IF(ISNUMBER(SEARCH(" "&amp;Task!$A$10&amp;" "," "&amp;LOWER(D258&amp;" "&amp;C258&amp;" "&amp;LOWER(SUBSTITUTE(SUBSTITUTE(SUBSTITUTE(SUBSTITUTE(A258,"/"," "),"."," "),"\"," "),"_"," ")))&amp;" ")),1,0))+IF(Task!$A$11="",0,IF(ISNUMBER(SEARCH(" "&amp;Task!$A$11&amp;" "," "&amp;LOWER(D258&amp;" "&amp;C258&amp;" "&amp;LOWER(SUBSTITUTE(SUBSTITUTE(SUBSTITUTE(SUBSTITUTE(A258,"/"," "),"."," "),"\"," "),"_"," ")))&amp;" ")),1,0))+IF(Task!$A$12="",0,IF(ISNUMBER(SEARCH(" "&amp;Task!$A$12&amp;" "," "&amp;LOWER(D258&amp;" "&amp;C258&amp;" "&amp;LOWER(SUBSTITUTE(SUBSTITUTE(SUBSTITUTE(SUBSTITUTE(A258,"/"," "),"."," "),"\"," "),"_"," ")))&amp;" ")),1,0))+IF(Task!$A$13="",0,IF(ISNUMBER(SEARCH(" "&amp;Task!$A$13&amp;" "," "&amp;LOWER(D258&amp;" "&amp;C258&amp;" "&amp;LOWER(SUBSTITUTE(SUBSTITUTE(SUBSTITUTE(SUBSTITUTE(A258,"/"," "),"."," "),"\"," "),"_"," ")))&amp;" ")),1,0))+IF(Task!$A$14="",0,IF(ISNUMBER(SEARCH(" "&amp;Task!$A$14&amp;" "," "&amp;LOWER(D258&amp;" "&amp;C258&amp;" "&amp;LOWER(SUBSTITUTE(SUBSTITUTE(SUBSTITUTE(SUBSTITUTE(A258,"/"," "),"."," "),"\"," "),"_"," ")))&amp;" ")),1,0))+IF(Task!$A$15="",0,IF(ISNUMBER(SEARCH(" "&amp;Task!$A$15&amp;" "," "&amp;LOWER(D258&amp;" "&amp;C258&amp;" "&amp;LOWER(SUBSTITUTE(SUBSTITUTE(SUBSTITUTE(SUBSTITUTE(A258,"/"," "),"."," "),"\"," "),"_"," ")))&amp;" ")),1,0))+IF(Task!$A$16="",0,IF(ISNUMBER(SEARCH(" "&amp;Task!$A$16&amp;" "," "&amp;LOWER(D258&amp;" "&amp;C258&amp;" "&amp;LOWER(SUBSTITUTE(SUBSTITUTE(SUBSTITUTE(SUBSTITUTE(A258,"/"," "),"."," "),"\"," "),"_"," ")))&amp;" ")),1,0))+IF(Task!$A$17="",0,IF(ISNUMBER(SEARCH(" "&amp;Task!$A$17&amp;" "," "&amp;LOWER(D258&amp;" "&amp;C258&amp;" "&amp;LOWER(SUBSTITUTE(SUBSTITUTE(SUBSTITUTE(SUBSTITUTE(A258,"/"," "),"."," "),"\"," "),"_"," ")))&amp;" ")),1,0))+IF(Task!$A$18="",0,IF(ISNUMBER(SEARCH(" "&amp;Task!$A$18&amp;" "," "&amp;LOWER(D258&amp;" "&amp;C258&amp;" "&amp;LOWER(SUBSTITUTE(SUBSTITUTE(SUBSTITUTE(SUBSTITUTE(A258,"/"," "),"."," "),"\"," "),"_"," ")))&amp;" ")),1,0))+IF(Task!$A$19="",0,IF(ISNUMBER(SEARCH(" "&amp;Task!$A$19&amp;" "," "&amp;LOWER(D258&amp;" "&amp;C258&amp;" "&amp;LOWER(SUBSTITUTE(SUBSTITUTE(SUBSTITUTE(SUBSTITUTE(A258,"/"," "),"."," "),"\"," "),"_"," ")))&amp;" ")),1,0)))</f>
        <v/>
      </c>
      <c r="G258" s="9">
        <f>IF(E258=0,0,IF(Task!$A$8="",0,IF(ISNUMBER(SEARCH(" "&amp;Task!$A$8&amp;" "," "&amp;LOWER(C258)&amp;" ")),1,0))+IF(Task!$A$9="",0,IF(ISNUMBER(SEARCH(" "&amp;Task!$A$9&amp;" "," "&amp;LOWER(C258)&amp;" ")),1,0))+IF(Task!$A$10="",0,IF(ISNUMBER(SEARCH(" "&amp;Task!$A$10&amp;" "," "&amp;LOWER(C258)&amp;" ")),1,0))+IF(Task!$A$11="",0,IF(ISNUMBER(SEARCH(" "&amp;Task!$A$11&amp;" "," "&amp;LOWER(C258)&amp;" ")),1,0))+IF(Task!$A$12="",0,IF(ISNUMBER(SEARCH(" "&amp;Task!$A$12&amp;" "," "&amp;LOWER(C258)&amp;" ")),1,0))+IF(Task!$A$13="",0,IF(ISNUMBER(SEARCH(" "&amp;Task!$A$13&amp;" "," "&amp;LOWER(C258)&amp;" ")),1,0))+IF(Task!$A$14="",0,IF(ISNUMBER(SEARCH(" "&amp;Task!$A$14&amp;" "," "&amp;LOWER(C258)&amp;" ")),1,0))+IF(Task!$A$15="",0,IF(ISNUMBER(SEARCH(" "&amp;Task!$A$15&amp;" "," "&amp;LOWER(C258)&amp;" ")),1,0))+IF(Task!$A$16="",0,IF(ISNUMBER(SEARCH(" "&amp;Task!$A$16&amp;" "," "&amp;LOWER(C258)&amp;" ")),1,0))+IF(Task!$A$17="",0,IF(ISNUMBER(SEARCH(" "&amp;Task!$A$17&amp;" "," "&amp;LOWER(C258)&amp;" ")),1,0))+IF(Task!$A$18="",0,IF(ISNUMBER(SEARCH(" "&amp;Task!$A$18&amp;" "," "&amp;LOWER(C258)&amp;" ")),1,0))+IF(Task!$A$19="",0,IF(ISNUMBER(SEARCH(" "&amp;Task!$A$19&amp;" "," "&amp;LOWER(C258)&amp;" ")),1,0)))</f>
        <v/>
      </c>
      <c r="H258" s="9">
        <f>IF(E258=0,0,IF(Task!$A$8="",0,IF(ISNUMBER(SEARCH(" "&amp;Task!$A$8&amp;" "," "&amp;LOWER(SUBSTITUTE(SUBSTITUTE(SUBSTITUTE(SUBSTITUTE(A258,"/"," "),"."," "),"\"," "),"_"," "))&amp;" ")),1,0))+IF(Task!$A$9="",0,IF(ISNUMBER(SEARCH(" "&amp;Task!$A$9&amp;" "," "&amp;LOWER(SUBSTITUTE(SUBSTITUTE(SUBSTITUTE(SUBSTITUTE(A258,"/"," "),"."," "),"\"," "),"_"," "))&amp;" ")),1,0))+IF(Task!$A$10="",0,IF(ISNUMBER(SEARCH(" "&amp;Task!$A$10&amp;" "," "&amp;LOWER(SUBSTITUTE(SUBSTITUTE(SUBSTITUTE(SUBSTITUTE(A258,"/"," "),"."," "),"\"," "),"_"," "))&amp;" ")),1,0))+IF(Task!$A$11="",0,IF(ISNUMBER(SEARCH(" "&amp;Task!$A$11&amp;" "," "&amp;LOWER(SUBSTITUTE(SUBSTITUTE(SUBSTITUTE(SUBSTITUTE(A258,"/"," "),"."," "),"\"," "),"_"," "))&amp;" ")),1,0))+IF(Task!$A$12="",0,IF(ISNUMBER(SEARCH(" "&amp;Task!$A$12&amp;" "," "&amp;LOWER(SUBSTITUTE(SUBSTITUTE(SUBSTITUTE(SUBSTITUTE(A258,"/"," "),"."," "),"\"," "),"_"," "))&amp;" ")),1,0))+IF(Task!$A$13="",0,IF(ISNUMBER(SEARCH(" "&amp;Task!$A$13&amp;" "," "&amp;LOWER(SUBSTITUTE(SUBSTITUTE(SUBSTITUTE(SUBSTITUTE(A258,"/"," "),"."," "),"\"," "),"_"," "))&amp;" ")),1,0))+IF(Task!$A$14="",0,IF(ISNUMBER(SEARCH(" "&amp;Task!$A$14&amp;" "," "&amp;LOWER(SUBSTITUTE(SUBSTITUTE(SUBSTITUTE(SUBSTITUTE(A258,"/"," "),"."," "),"\"," "),"_"," "))&amp;" ")),1,0))+IF(Task!$A$15="",0,IF(ISNUMBER(SEARCH(" "&amp;Task!$A$15&amp;" "," "&amp;LOWER(SUBSTITUTE(SUBSTITUTE(SUBSTITUTE(SUBSTITUTE(A258,"/"," "),"."," "),"\"," "),"_"," "))&amp;" ")),1,0))+IF(Task!$A$16="",0,IF(ISNUMBER(SEARCH(" "&amp;Task!$A$16&amp;" "," "&amp;LOWER(SUBSTITUTE(SUBSTITUTE(SUBSTITUTE(SUBSTITUTE(A258,"/"," "),"."," "),"\"," "),"_"," "))&amp;" ")),1,0))+IF(Task!$A$17="",0,IF(ISNUMBER(SEARCH(" "&amp;Task!$A$17&amp;" "," "&amp;LOWER(SUBSTITUTE(SUBSTITUTE(SUBSTITUTE(SUBSTITUTE(A258,"/"," "),"."," "),"\"," "),"_"," "))&amp;" ")),1,0))+IF(Task!$A$18="",0,IF(ISNUMBER(SEARCH(" "&amp;Task!$A$18&amp;" "," "&amp;LOWER(SUBSTITUTE(SUBSTITUTE(SUBSTITUTE(SUBSTITUTE(A258,"/"," "),"."," "),"\"," "),"_"," "))&amp;" ")),1,0))+IF(Task!$A$19="",0,IF(ISNUMBER(SEARCH(" "&amp;Task!$A$19&amp;" "," "&amp;LOWER(SUBSTITUTE(SUBSTITUTE(SUBSTITUTE(SUBSTITUTE(A258,"/"," "),"."," "),"\"," "),"_"," "))&amp;" ")),1,0)))</f>
        <v/>
      </c>
      <c r="I258" s="10">
        <f>IF(OR(E258=0,F258=0,Task!$B$21=0),"",F258/Task!$B$21+0.5*G258+0.25*H258)</f>
        <v/>
      </c>
      <c r="J258" s="5">
        <f>IF(I258="","",I258-ROW()/1000000)</f>
        <v/>
      </c>
      <c r="K258" s="9">
        <f>IF(J258="","",COUNTIF($J$5:$J$404,"&gt;"&amp;J258)+1)</f>
        <v/>
      </c>
    </row>
    <row r="259">
      <c r="A259" s="7" t="n"/>
      <c r="B259" s="7" t="n"/>
      <c r="C259" s="7" t="n"/>
      <c r="D259" s="7" t="n"/>
      <c r="E259" s="5">
        <f>IF(A259="",0,IF(COUNTA(Task!$B$5:$E$5)=0,1,IF(COUNTIF(Task!$B$5:$E$5,B259)&gt;0,1,0)))</f>
        <v/>
      </c>
      <c r="F259" s="9">
        <f>IF(E259=0,0,IF(Task!$A$8="",0,IF(ISNUMBER(SEARCH(" "&amp;Task!$A$8&amp;" "," "&amp;LOWER(D259&amp;" "&amp;C259&amp;" "&amp;LOWER(SUBSTITUTE(SUBSTITUTE(SUBSTITUTE(SUBSTITUTE(A259,"/"," "),"."," "),"\"," "),"_"," ")))&amp;" ")),1,0))+IF(Task!$A$9="",0,IF(ISNUMBER(SEARCH(" "&amp;Task!$A$9&amp;" "," "&amp;LOWER(D259&amp;" "&amp;C259&amp;" "&amp;LOWER(SUBSTITUTE(SUBSTITUTE(SUBSTITUTE(SUBSTITUTE(A259,"/"," "),"."," "),"\"," "),"_"," ")))&amp;" ")),1,0))+IF(Task!$A$10="",0,IF(ISNUMBER(SEARCH(" "&amp;Task!$A$10&amp;" "," "&amp;LOWER(D259&amp;" "&amp;C259&amp;" "&amp;LOWER(SUBSTITUTE(SUBSTITUTE(SUBSTITUTE(SUBSTITUTE(A259,"/"," "),"."," "),"\"," "),"_"," ")))&amp;" ")),1,0))+IF(Task!$A$11="",0,IF(ISNUMBER(SEARCH(" "&amp;Task!$A$11&amp;" "," "&amp;LOWER(D259&amp;" "&amp;C259&amp;" "&amp;LOWER(SUBSTITUTE(SUBSTITUTE(SUBSTITUTE(SUBSTITUTE(A259,"/"," "),"."," "),"\"," "),"_"," ")))&amp;" ")),1,0))+IF(Task!$A$12="",0,IF(ISNUMBER(SEARCH(" "&amp;Task!$A$12&amp;" "," "&amp;LOWER(D259&amp;" "&amp;C259&amp;" "&amp;LOWER(SUBSTITUTE(SUBSTITUTE(SUBSTITUTE(SUBSTITUTE(A259,"/"," "),"."," "),"\"," "),"_"," ")))&amp;" ")),1,0))+IF(Task!$A$13="",0,IF(ISNUMBER(SEARCH(" "&amp;Task!$A$13&amp;" "," "&amp;LOWER(D259&amp;" "&amp;C259&amp;" "&amp;LOWER(SUBSTITUTE(SUBSTITUTE(SUBSTITUTE(SUBSTITUTE(A259,"/"," "),"."," "),"\"," "),"_"," ")))&amp;" ")),1,0))+IF(Task!$A$14="",0,IF(ISNUMBER(SEARCH(" "&amp;Task!$A$14&amp;" "," "&amp;LOWER(D259&amp;" "&amp;C259&amp;" "&amp;LOWER(SUBSTITUTE(SUBSTITUTE(SUBSTITUTE(SUBSTITUTE(A259,"/"," "),"."," "),"\"," "),"_"," ")))&amp;" ")),1,0))+IF(Task!$A$15="",0,IF(ISNUMBER(SEARCH(" "&amp;Task!$A$15&amp;" "," "&amp;LOWER(D259&amp;" "&amp;C259&amp;" "&amp;LOWER(SUBSTITUTE(SUBSTITUTE(SUBSTITUTE(SUBSTITUTE(A259,"/"," "),"."," "),"\"," "),"_"," ")))&amp;" ")),1,0))+IF(Task!$A$16="",0,IF(ISNUMBER(SEARCH(" "&amp;Task!$A$16&amp;" "," "&amp;LOWER(D259&amp;" "&amp;C259&amp;" "&amp;LOWER(SUBSTITUTE(SUBSTITUTE(SUBSTITUTE(SUBSTITUTE(A259,"/"," "),"."," "),"\"," "),"_"," ")))&amp;" ")),1,0))+IF(Task!$A$17="",0,IF(ISNUMBER(SEARCH(" "&amp;Task!$A$17&amp;" "," "&amp;LOWER(D259&amp;" "&amp;C259&amp;" "&amp;LOWER(SUBSTITUTE(SUBSTITUTE(SUBSTITUTE(SUBSTITUTE(A259,"/"," "),"."," "),"\"," "),"_"," ")))&amp;" ")),1,0))+IF(Task!$A$18="",0,IF(ISNUMBER(SEARCH(" "&amp;Task!$A$18&amp;" "," "&amp;LOWER(D259&amp;" "&amp;C259&amp;" "&amp;LOWER(SUBSTITUTE(SUBSTITUTE(SUBSTITUTE(SUBSTITUTE(A259,"/"," "),"."," "),"\"," "),"_"," ")))&amp;" ")),1,0))+IF(Task!$A$19="",0,IF(ISNUMBER(SEARCH(" "&amp;Task!$A$19&amp;" "," "&amp;LOWER(D259&amp;" "&amp;C259&amp;" "&amp;LOWER(SUBSTITUTE(SUBSTITUTE(SUBSTITUTE(SUBSTITUTE(A259,"/"," "),"."," "),"\"," "),"_"," ")))&amp;" ")),1,0)))</f>
        <v/>
      </c>
      <c r="G259" s="9">
        <f>IF(E259=0,0,IF(Task!$A$8="",0,IF(ISNUMBER(SEARCH(" "&amp;Task!$A$8&amp;" "," "&amp;LOWER(C259)&amp;" ")),1,0))+IF(Task!$A$9="",0,IF(ISNUMBER(SEARCH(" "&amp;Task!$A$9&amp;" "," "&amp;LOWER(C259)&amp;" ")),1,0))+IF(Task!$A$10="",0,IF(ISNUMBER(SEARCH(" "&amp;Task!$A$10&amp;" "," "&amp;LOWER(C259)&amp;" ")),1,0))+IF(Task!$A$11="",0,IF(ISNUMBER(SEARCH(" "&amp;Task!$A$11&amp;" "," "&amp;LOWER(C259)&amp;" ")),1,0))+IF(Task!$A$12="",0,IF(ISNUMBER(SEARCH(" "&amp;Task!$A$12&amp;" "," "&amp;LOWER(C259)&amp;" ")),1,0))+IF(Task!$A$13="",0,IF(ISNUMBER(SEARCH(" "&amp;Task!$A$13&amp;" "," "&amp;LOWER(C259)&amp;" ")),1,0))+IF(Task!$A$14="",0,IF(ISNUMBER(SEARCH(" "&amp;Task!$A$14&amp;" "," "&amp;LOWER(C259)&amp;" ")),1,0))+IF(Task!$A$15="",0,IF(ISNUMBER(SEARCH(" "&amp;Task!$A$15&amp;" "," "&amp;LOWER(C259)&amp;" ")),1,0))+IF(Task!$A$16="",0,IF(ISNUMBER(SEARCH(" "&amp;Task!$A$16&amp;" "," "&amp;LOWER(C259)&amp;" ")),1,0))+IF(Task!$A$17="",0,IF(ISNUMBER(SEARCH(" "&amp;Task!$A$17&amp;" "," "&amp;LOWER(C259)&amp;" ")),1,0))+IF(Task!$A$18="",0,IF(ISNUMBER(SEARCH(" "&amp;Task!$A$18&amp;" "," "&amp;LOWER(C259)&amp;" ")),1,0))+IF(Task!$A$19="",0,IF(ISNUMBER(SEARCH(" "&amp;Task!$A$19&amp;" "," "&amp;LOWER(C259)&amp;" ")),1,0)))</f>
        <v/>
      </c>
      <c r="H259" s="9">
        <f>IF(E259=0,0,IF(Task!$A$8="",0,IF(ISNUMBER(SEARCH(" "&amp;Task!$A$8&amp;" "," "&amp;LOWER(SUBSTITUTE(SUBSTITUTE(SUBSTITUTE(SUBSTITUTE(A259,"/"," "),"."," "),"\"," "),"_"," "))&amp;" ")),1,0))+IF(Task!$A$9="",0,IF(ISNUMBER(SEARCH(" "&amp;Task!$A$9&amp;" "," "&amp;LOWER(SUBSTITUTE(SUBSTITUTE(SUBSTITUTE(SUBSTITUTE(A259,"/"," "),"."," "),"\"," "),"_"," "))&amp;" ")),1,0))+IF(Task!$A$10="",0,IF(ISNUMBER(SEARCH(" "&amp;Task!$A$10&amp;" "," "&amp;LOWER(SUBSTITUTE(SUBSTITUTE(SUBSTITUTE(SUBSTITUTE(A259,"/"," "),"."," "),"\"," "),"_"," "))&amp;" ")),1,0))+IF(Task!$A$11="",0,IF(ISNUMBER(SEARCH(" "&amp;Task!$A$11&amp;" "," "&amp;LOWER(SUBSTITUTE(SUBSTITUTE(SUBSTITUTE(SUBSTITUTE(A259,"/"," "),"."," "),"\"," "),"_"," "))&amp;" ")),1,0))+IF(Task!$A$12="",0,IF(ISNUMBER(SEARCH(" "&amp;Task!$A$12&amp;" "," "&amp;LOWER(SUBSTITUTE(SUBSTITUTE(SUBSTITUTE(SUBSTITUTE(A259,"/"," "),"."," "),"\"," "),"_"," "))&amp;" ")),1,0))+IF(Task!$A$13="",0,IF(ISNUMBER(SEARCH(" "&amp;Task!$A$13&amp;" "," "&amp;LOWER(SUBSTITUTE(SUBSTITUTE(SUBSTITUTE(SUBSTITUTE(A259,"/"," "),"."," "),"\"," "),"_"," "))&amp;" ")),1,0))+IF(Task!$A$14="",0,IF(ISNUMBER(SEARCH(" "&amp;Task!$A$14&amp;" "," "&amp;LOWER(SUBSTITUTE(SUBSTITUTE(SUBSTITUTE(SUBSTITUTE(A259,"/"," "),"."," "),"\"," "),"_"," "))&amp;" ")),1,0))+IF(Task!$A$15="",0,IF(ISNUMBER(SEARCH(" "&amp;Task!$A$15&amp;" "," "&amp;LOWER(SUBSTITUTE(SUBSTITUTE(SUBSTITUTE(SUBSTITUTE(A259,"/"," "),"."," "),"\"," "),"_"," "))&amp;" ")),1,0))+IF(Task!$A$16="",0,IF(ISNUMBER(SEARCH(" "&amp;Task!$A$16&amp;" "," "&amp;LOWER(SUBSTITUTE(SUBSTITUTE(SUBSTITUTE(SUBSTITUTE(A259,"/"," "),"."," "),"\"," "),"_"," "))&amp;" ")),1,0))+IF(Task!$A$17="",0,IF(ISNUMBER(SEARCH(" "&amp;Task!$A$17&amp;" "," "&amp;LOWER(SUBSTITUTE(SUBSTITUTE(SUBSTITUTE(SUBSTITUTE(A259,"/"," "),"."," "),"\"," "),"_"," "))&amp;" ")),1,0))+IF(Task!$A$18="",0,IF(ISNUMBER(SEARCH(" "&amp;Task!$A$18&amp;" "," "&amp;LOWER(SUBSTITUTE(SUBSTITUTE(SUBSTITUTE(SUBSTITUTE(A259,"/"," "),"."," "),"\"," "),"_"," "))&amp;" ")),1,0))+IF(Task!$A$19="",0,IF(ISNUMBER(SEARCH(" "&amp;Task!$A$19&amp;" "," "&amp;LOWER(SUBSTITUTE(SUBSTITUTE(SUBSTITUTE(SUBSTITUTE(A259,"/"," "),"."," "),"\"," "),"_"," "))&amp;" ")),1,0)))</f>
        <v/>
      </c>
      <c r="I259" s="10">
        <f>IF(OR(E259=0,F259=0,Task!$B$21=0),"",F259/Task!$B$21+0.5*G259+0.25*H259)</f>
        <v/>
      </c>
      <c r="J259" s="5">
        <f>IF(I259="","",I259-ROW()/1000000)</f>
        <v/>
      </c>
      <c r="K259" s="9">
        <f>IF(J259="","",COUNTIF($J$5:$J$404,"&gt;"&amp;J259)+1)</f>
        <v/>
      </c>
    </row>
    <row r="260">
      <c r="A260" s="7" t="n"/>
      <c r="B260" s="7" t="n"/>
      <c r="C260" s="7" t="n"/>
      <c r="D260" s="7" t="n"/>
      <c r="E260" s="5">
        <f>IF(A260="",0,IF(COUNTA(Task!$B$5:$E$5)=0,1,IF(COUNTIF(Task!$B$5:$E$5,B260)&gt;0,1,0)))</f>
        <v/>
      </c>
      <c r="F260" s="9">
        <f>IF(E260=0,0,IF(Task!$A$8="",0,IF(ISNUMBER(SEARCH(" "&amp;Task!$A$8&amp;" "," "&amp;LOWER(D260&amp;" "&amp;C260&amp;" "&amp;LOWER(SUBSTITUTE(SUBSTITUTE(SUBSTITUTE(SUBSTITUTE(A260,"/"," "),"."," "),"\"," "),"_"," ")))&amp;" ")),1,0))+IF(Task!$A$9="",0,IF(ISNUMBER(SEARCH(" "&amp;Task!$A$9&amp;" "," "&amp;LOWER(D260&amp;" "&amp;C260&amp;" "&amp;LOWER(SUBSTITUTE(SUBSTITUTE(SUBSTITUTE(SUBSTITUTE(A260,"/"," "),"."," "),"\"," "),"_"," ")))&amp;" ")),1,0))+IF(Task!$A$10="",0,IF(ISNUMBER(SEARCH(" "&amp;Task!$A$10&amp;" "," "&amp;LOWER(D260&amp;" "&amp;C260&amp;" "&amp;LOWER(SUBSTITUTE(SUBSTITUTE(SUBSTITUTE(SUBSTITUTE(A260,"/"," "),"."," "),"\"," "),"_"," ")))&amp;" ")),1,0))+IF(Task!$A$11="",0,IF(ISNUMBER(SEARCH(" "&amp;Task!$A$11&amp;" "," "&amp;LOWER(D260&amp;" "&amp;C260&amp;" "&amp;LOWER(SUBSTITUTE(SUBSTITUTE(SUBSTITUTE(SUBSTITUTE(A260,"/"," "),"."," "),"\"," "),"_"," ")))&amp;" ")),1,0))+IF(Task!$A$12="",0,IF(ISNUMBER(SEARCH(" "&amp;Task!$A$12&amp;" "," "&amp;LOWER(D260&amp;" "&amp;C260&amp;" "&amp;LOWER(SUBSTITUTE(SUBSTITUTE(SUBSTITUTE(SUBSTITUTE(A260,"/"," "),"."," "),"\"," "),"_"," ")))&amp;" ")),1,0))+IF(Task!$A$13="",0,IF(ISNUMBER(SEARCH(" "&amp;Task!$A$13&amp;" "," "&amp;LOWER(D260&amp;" "&amp;C260&amp;" "&amp;LOWER(SUBSTITUTE(SUBSTITUTE(SUBSTITUTE(SUBSTITUTE(A260,"/"," "),"."," "),"\"," "),"_"," ")))&amp;" ")),1,0))+IF(Task!$A$14="",0,IF(ISNUMBER(SEARCH(" "&amp;Task!$A$14&amp;" "," "&amp;LOWER(D260&amp;" "&amp;C260&amp;" "&amp;LOWER(SUBSTITUTE(SUBSTITUTE(SUBSTITUTE(SUBSTITUTE(A260,"/"," "),"."," "),"\"," "),"_"," ")))&amp;" ")),1,0))+IF(Task!$A$15="",0,IF(ISNUMBER(SEARCH(" "&amp;Task!$A$15&amp;" "," "&amp;LOWER(D260&amp;" "&amp;C260&amp;" "&amp;LOWER(SUBSTITUTE(SUBSTITUTE(SUBSTITUTE(SUBSTITUTE(A260,"/"," "),"."," "),"\"," "),"_"," ")))&amp;" ")),1,0))+IF(Task!$A$16="",0,IF(ISNUMBER(SEARCH(" "&amp;Task!$A$16&amp;" "," "&amp;LOWER(D260&amp;" "&amp;C260&amp;" "&amp;LOWER(SUBSTITUTE(SUBSTITUTE(SUBSTITUTE(SUBSTITUTE(A260,"/"," "),"."," "),"\"," "),"_"," ")))&amp;" ")),1,0))+IF(Task!$A$17="",0,IF(ISNUMBER(SEARCH(" "&amp;Task!$A$17&amp;" "," "&amp;LOWER(D260&amp;" "&amp;C260&amp;" "&amp;LOWER(SUBSTITUTE(SUBSTITUTE(SUBSTITUTE(SUBSTITUTE(A260,"/"," "),"."," "),"\"," "),"_"," ")))&amp;" ")),1,0))+IF(Task!$A$18="",0,IF(ISNUMBER(SEARCH(" "&amp;Task!$A$18&amp;" "," "&amp;LOWER(D260&amp;" "&amp;C260&amp;" "&amp;LOWER(SUBSTITUTE(SUBSTITUTE(SUBSTITUTE(SUBSTITUTE(A260,"/"," "),"."," "),"\"," "),"_"," ")))&amp;" ")),1,0))+IF(Task!$A$19="",0,IF(ISNUMBER(SEARCH(" "&amp;Task!$A$19&amp;" "," "&amp;LOWER(D260&amp;" "&amp;C260&amp;" "&amp;LOWER(SUBSTITUTE(SUBSTITUTE(SUBSTITUTE(SUBSTITUTE(A260,"/"," "),"."," "),"\"," "),"_"," ")))&amp;" ")),1,0)))</f>
        <v/>
      </c>
      <c r="G260" s="9">
        <f>IF(E260=0,0,IF(Task!$A$8="",0,IF(ISNUMBER(SEARCH(" "&amp;Task!$A$8&amp;" "," "&amp;LOWER(C260)&amp;" ")),1,0))+IF(Task!$A$9="",0,IF(ISNUMBER(SEARCH(" "&amp;Task!$A$9&amp;" "," "&amp;LOWER(C260)&amp;" ")),1,0))+IF(Task!$A$10="",0,IF(ISNUMBER(SEARCH(" "&amp;Task!$A$10&amp;" "," "&amp;LOWER(C260)&amp;" ")),1,0))+IF(Task!$A$11="",0,IF(ISNUMBER(SEARCH(" "&amp;Task!$A$11&amp;" "," "&amp;LOWER(C260)&amp;" ")),1,0))+IF(Task!$A$12="",0,IF(ISNUMBER(SEARCH(" "&amp;Task!$A$12&amp;" "," "&amp;LOWER(C260)&amp;" ")),1,0))+IF(Task!$A$13="",0,IF(ISNUMBER(SEARCH(" "&amp;Task!$A$13&amp;" "," "&amp;LOWER(C260)&amp;" ")),1,0))+IF(Task!$A$14="",0,IF(ISNUMBER(SEARCH(" "&amp;Task!$A$14&amp;" "," "&amp;LOWER(C260)&amp;" ")),1,0))+IF(Task!$A$15="",0,IF(ISNUMBER(SEARCH(" "&amp;Task!$A$15&amp;" "," "&amp;LOWER(C260)&amp;" ")),1,0))+IF(Task!$A$16="",0,IF(ISNUMBER(SEARCH(" "&amp;Task!$A$16&amp;" "," "&amp;LOWER(C260)&amp;" ")),1,0))+IF(Task!$A$17="",0,IF(ISNUMBER(SEARCH(" "&amp;Task!$A$17&amp;" "," "&amp;LOWER(C260)&amp;" ")),1,0))+IF(Task!$A$18="",0,IF(ISNUMBER(SEARCH(" "&amp;Task!$A$18&amp;" "," "&amp;LOWER(C260)&amp;" ")),1,0))+IF(Task!$A$19="",0,IF(ISNUMBER(SEARCH(" "&amp;Task!$A$19&amp;" "," "&amp;LOWER(C260)&amp;" ")),1,0)))</f>
        <v/>
      </c>
      <c r="H260" s="9">
        <f>IF(E260=0,0,IF(Task!$A$8="",0,IF(ISNUMBER(SEARCH(" "&amp;Task!$A$8&amp;" "," "&amp;LOWER(SUBSTITUTE(SUBSTITUTE(SUBSTITUTE(SUBSTITUTE(A260,"/"," "),"."," "),"\"," "),"_"," "))&amp;" ")),1,0))+IF(Task!$A$9="",0,IF(ISNUMBER(SEARCH(" "&amp;Task!$A$9&amp;" "," "&amp;LOWER(SUBSTITUTE(SUBSTITUTE(SUBSTITUTE(SUBSTITUTE(A260,"/"," "),"."," "),"\"," "),"_"," "))&amp;" ")),1,0))+IF(Task!$A$10="",0,IF(ISNUMBER(SEARCH(" "&amp;Task!$A$10&amp;" "," "&amp;LOWER(SUBSTITUTE(SUBSTITUTE(SUBSTITUTE(SUBSTITUTE(A260,"/"," "),"."," "),"\"," "),"_"," "))&amp;" ")),1,0))+IF(Task!$A$11="",0,IF(ISNUMBER(SEARCH(" "&amp;Task!$A$11&amp;" "," "&amp;LOWER(SUBSTITUTE(SUBSTITUTE(SUBSTITUTE(SUBSTITUTE(A260,"/"," "),"."," "),"\"," "),"_"," "))&amp;" ")),1,0))+IF(Task!$A$12="",0,IF(ISNUMBER(SEARCH(" "&amp;Task!$A$12&amp;" "," "&amp;LOWER(SUBSTITUTE(SUBSTITUTE(SUBSTITUTE(SUBSTITUTE(A260,"/"," "),"."," "),"\"," "),"_"," "))&amp;" ")),1,0))+IF(Task!$A$13="",0,IF(ISNUMBER(SEARCH(" "&amp;Task!$A$13&amp;" "," "&amp;LOWER(SUBSTITUTE(SUBSTITUTE(SUBSTITUTE(SUBSTITUTE(A260,"/"," "),"."," "),"\"," "),"_"," "))&amp;" ")),1,0))+IF(Task!$A$14="",0,IF(ISNUMBER(SEARCH(" "&amp;Task!$A$14&amp;" "," "&amp;LOWER(SUBSTITUTE(SUBSTITUTE(SUBSTITUTE(SUBSTITUTE(A260,"/"," "),"."," "),"\"," "),"_"," "))&amp;" ")),1,0))+IF(Task!$A$15="",0,IF(ISNUMBER(SEARCH(" "&amp;Task!$A$15&amp;" "," "&amp;LOWER(SUBSTITUTE(SUBSTITUTE(SUBSTITUTE(SUBSTITUTE(A260,"/"," "),"."," "),"\"," "),"_"," "))&amp;" ")),1,0))+IF(Task!$A$16="",0,IF(ISNUMBER(SEARCH(" "&amp;Task!$A$16&amp;" "," "&amp;LOWER(SUBSTITUTE(SUBSTITUTE(SUBSTITUTE(SUBSTITUTE(A260,"/"," "),"."," "),"\"," "),"_"," "))&amp;" ")),1,0))+IF(Task!$A$17="",0,IF(ISNUMBER(SEARCH(" "&amp;Task!$A$17&amp;" "," "&amp;LOWER(SUBSTITUTE(SUBSTITUTE(SUBSTITUTE(SUBSTITUTE(A260,"/"," "),"."," "),"\"," "),"_"," "))&amp;" ")),1,0))+IF(Task!$A$18="",0,IF(ISNUMBER(SEARCH(" "&amp;Task!$A$18&amp;" "," "&amp;LOWER(SUBSTITUTE(SUBSTITUTE(SUBSTITUTE(SUBSTITUTE(A260,"/"," "),"."," "),"\"," "),"_"," "))&amp;" ")),1,0))+IF(Task!$A$19="",0,IF(ISNUMBER(SEARCH(" "&amp;Task!$A$19&amp;" "," "&amp;LOWER(SUBSTITUTE(SUBSTITUTE(SUBSTITUTE(SUBSTITUTE(A260,"/"," "),"."," "),"\"," "),"_"," "))&amp;" ")),1,0)))</f>
        <v/>
      </c>
      <c r="I260" s="10">
        <f>IF(OR(E260=0,F260=0,Task!$B$21=0),"",F260/Task!$B$21+0.5*G260+0.25*H260)</f>
        <v/>
      </c>
      <c r="J260" s="5">
        <f>IF(I260="","",I260-ROW()/1000000)</f>
        <v/>
      </c>
      <c r="K260" s="9">
        <f>IF(J260="","",COUNTIF($J$5:$J$404,"&gt;"&amp;J260)+1)</f>
        <v/>
      </c>
    </row>
    <row r="261">
      <c r="A261" s="7" t="n"/>
      <c r="B261" s="7" t="n"/>
      <c r="C261" s="7" t="n"/>
      <c r="D261" s="7" t="n"/>
      <c r="E261" s="5">
        <f>IF(A261="",0,IF(COUNTA(Task!$B$5:$E$5)=0,1,IF(COUNTIF(Task!$B$5:$E$5,B261)&gt;0,1,0)))</f>
        <v/>
      </c>
      <c r="F261" s="9">
        <f>IF(E261=0,0,IF(Task!$A$8="",0,IF(ISNUMBER(SEARCH(" "&amp;Task!$A$8&amp;" "," "&amp;LOWER(D261&amp;" "&amp;C261&amp;" "&amp;LOWER(SUBSTITUTE(SUBSTITUTE(SUBSTITUTE(SUBSTITUTE(A261,"/"," "),"."," "),"\"," "),"_"," ")))&amp;" ")),1,0))+IF(Task!$A$9="",0,IF(ISNUMBER(SEARCH(" "&amp;Task!$A$9&amp;" "," "&amp;LOWER(D261&amp;" "&amp;C261&amp;" "&amp;LOWER(SUBSTITUTE(SUBSTITUTE(SUBSTITUTE(SUBSTITUTE(A261,"/"," "),"."," "),"\"," "),"_"," ")))&amp;" ")),1,0))+IF(Task!$A$10="",0,IF(ISNUMBER(SEARCH(" "&amp;Task!$A$10&amp;" "," "&amp;LOWER(D261&amp;" "&amp;C261&amp;" "&amp;LOWER(SUBSTITUTE(SUBSTITUTE(SUBSTITUTE(SUBSTITUTE(A261,"/"," "),"."," "),"\"," "),"_"," ")))&amp;" ")),1,0))+IF(Task!$A$11="",0,IF(ISNUMBER(SEARCH(" "&amp;Task!$A$11&amp;" "," "&amp;LOWER(D261&amp;" "&amp;C261&amp;" "&amp;LOWER(SUBSTITUTE(SUBSTITUTE(SUBSTITUTE(SUBSTITUTE(A261,"/"," "),"."," "),"\"," "),"_"," ")))&amp;" ")),1,0))+IF(Task!$A$12="",0,IF(ISNUMBER(SEARCH(" "&amp;Task!$A$12&amp;" "," "&amp;LOWER(D261&amp;" "&amp;C261&amp;" "&amp;LOWER(SUBSTITUTE(SUBSTITUTE(SUBSTITUTE(SUBSTITUTE(A261,"/"," "),"."," "),"\"," "),"_"," ")))&amp;" ")),1,0))+IF(Task!$A$13="",0,IF(ISNUMBER(SEARCH(" "&amp;Task!$A$13&amp;" "," "&amp;LOWER(D261&amp;" "&amp;C261&amp;" "&amp;LOWER(SUBSTITUTE(SUBSTITUTE(SUBSTITUTE(SUBSTITUTE(A261,"/"," "),"."," "),"\"," "),"_"," ")))&amp;" ")),1,0))+IF(Task!$A$14="",0,IF(ISNUMBER(SEARCH(" "&amp;Task!$A$14&amp;" "," "&amp;LOWER(D261&amp;" "&amp;C261&amp;" "&amp;LOWER(SUBSTITUTE(SUBSTITUTE(SUBSTITUTE(SUBSTITUTE(A261,"/"," "),"."," "),"\"," "),"_"," ")))&amp;" ")),1,0))+IF(Task!$A$15="",0,IF(ISNUMBER(SEARCH(" "&amp;Task!$A$15&amp;" "," "&amp;LOWER(D261&amp;" "&amp;C261&amp;" "&amp;LOWER(SUBSTITUTE(SUBSTITUTE(SUBSTITUTE(SUBSTITUTE(A261,"/"," "),"."," "),"\"," "),"_"," ")))&amp;" ")),1,0))+IF(Task!$A$16="",0,IF(ISNUMBER(SEARCH(" "&amp;Task!$A$16&amp;" "," "&amp;LOWER(D261&amp;" "&amp;C261&amp;" "&amp;LOWER(SUBSTITUTE(SUBSTITUTE(SUBSTITUTE(SUBSTITUTE(A261,"/"," "),"."," "),"\"," "),"_"," ")))&amp;" ")),1,0))+IF(Task!$A$17="",0,IF(ISNUMBER(SEARCH(" "&amp;Task!$A$17&amp;" "," "&amp;LOWER(D261&amp;" "&amp;C261&amp;" "&amp;LOWER(SUBSTITUTE(SUBSTITUTE(SUBSTITUTE(SUBSTITUTE(A261,"/"," "),"."," "),"\"," "),"_"," ")))&amp;" ")),1,0))+IF(Task!$A$18="",0,IF(ISNUMBER(SEARCH(" "&amp;Task!$A$18&amp;" "," "&amp;LOWER(D261&amp;" "&amp;C261&amp;" "&amp;LOWER(SUBSTITUTE(SUBSTITUTE(SUBSTITUTE(SUBSTITUTE(A261,"/"," "),"."," "),"\"," "),"_"," ")))&amp;" ")),1,0))+IF(Task!$A$19="",0,IF(ISNUMBER(SEARCH(" "&amp;Task!$A$19&amp;" "," "&amp;LOWER(D261&amp;" "&amp;C261&amp;" "&amp;LOWER(SUBSTITUTE(SUBSTITUTE(SUBSTITUTE(SUBSTITUTE(A261,"/"," "),"."," "),"\"," "),"_"," ")))&amp;" ")),1,0)))</f>
        <v/>
      </c>
      <c r="G261" s="9">
        <f>IF(E261=0,0,IF(Task!$A$8="",0,IF(ISNUMBER(SEARCH(" "&amp;Task!$A$8&amp;" "," "&amp;LOWER(C261)&amp;" ")),1,0))+IF(Task!$A$9="",0,IF(ISNUMBER(SEARCH(" "&amp;Task!$A$9&amp;" "," "&amp;LOWER(C261)&amp;" ")),1,0))+IF(Task!$A$10="",0,IF(ISNUMBER(SEARCH(" "&amp;Task!$A$10&amp;" "," "&amp;LOWER(C261)&amp;" ")),1,0))+IF(Task!$A$11="",0,IF(ISNUMBER(SEARCH(" "&amp;Task!$A$11&amp;" "," "&amp;LOWER(C261)&amp;" ")),1,0))+IF(Task!$A$12="",0,IF(ISNUMBER(SEARCH(" "&amp;Task!$A$12&amp;" "," "&amp;LOWER(C261)&amp;" ")),1,0))+IF(Task!$A$13="",0,IF(ISNUMBER(SEARCH(" "&amp;Task!$A$13&amp;" "," "&amp;LOWER(C261)&amp;" ")),1,0))+IF(Task!$A$14="",0,IF(ISNUMBER(SEARCH(" "&amp;Task!$A$14&amp;" "," "&amp;LOWER(C261)&amp;" ")),1,0))+IF(Task!$A$15="",0,IF(ISNUMBER(SEARCH(" "&amp;Task!$A$15&amp;" "," "&amp;LOWER(C261)&amp;" ")),1,0))+IF(Task!$A$16="",0,IF(ISNUMBER(SEARCH(" "&amp;Task!$A$16&amp;" "," "&amp;LOWER(C261)&amp;" ")),1,0))+IF(Task!$A$17="",0,IF(ISNUMBER(SEARCH(" "&amp;Task!$A$17&amp;" "," "&amp;LOWER(C261)&amp;" ")),1,0))+IF(Task!$A$18="",0,IF(ISNUMBER(SEARCH(" "&amp;Task!$A$18&amp;" "," "&amp;LOWER(C261)&amp;" ")),1,0))+IF(Task!$A$19="",0,IF(ISNUMBER(SEARCH(" "&amp;Task!$A$19&amp;" "," "&amp;LOWER(C261)&amp;" ")),1,0)))</f>
        <v/>
      </c>
      <c r="H261" s="9">
        <f>IF(E261=0,0,IF(Task!$A$8="",0,IF(ISNUMBER(SEARCH(" "&amp;Task!$A$8&amp;" "," "&amp;LOWER(SUBSTITUTE(SUBSTITUTE(SUBSTITUTE(SUBSTITUTE(A261,"/"," "),"."," "),"\"," "),"_"," "))&amp;" ")),1,0))+IF(Task!$A$9="",0,IF(ISNUMBER(SEARCH(" "&amp;Task!$A$9&amp;" "," "&amp;LOWER(SUBSTITUTE(SUBSTITUTE(SUBSTITUTE(SUBSTITUTE(A261,"/"," "),"."," "),"\"," "),"_"," "))&amp;" ")),1,0))+IF(Task!$A$10="",0,IF(ISNUMBER(SEARCH(" "&amp;Task!$A$10&amp;" "," "&amp;LOWER(SUBSTITUTE(SUBSTITUTE(SUBSTITUTE(SUBSTITUTE(A261,"/"," "),"."," "),"\"," "),"_"," "))&amp;" ")),1,0))+IF(Task!$A$11="",0,IF(ISNUMBER(SEARCH(" "&amp;Task!$A$11&amp;" "," "&amp;LOWER(SUBSTITUTE(SUBSTITUTE(SUBSTITUTE(SUBSTITUTE(A261,"/"," "),"."," "),"\"," "),"_"," "))&amp;" ")),1,0))+IF(Task!$A$12="",0,IF(ISNUMBER(SEARCH(" "&amp;Task!$A$12&amp;" "," "&amp;LOWER(SUBSTITUTE(SUBSTITUTE(SUBSTITUTE(SUBSTITUTE(A261,"/"," "),"."," "),"\"," "),"_"," "))&amp;" ")),1,0))+IF(Task!$A$13="",0,IF(ISNUMBER(SEARCH(" "&amp;Task!$A$13&amp;" "," "&amp;LOWER(SUBSTITUTE(SUBSTITUTE(SUBSTITUTE(SUBSTITUTE(A261,"/"," "),"."," "),"\"," "),"_"," "))&amp;" ")),1,0))+IF(Task!$A$14="",0,IF(ISNUMBER(SEARCH(" "&amp;Task!$A$14&amp;" "," "&amp;LOWER(SUBSTITUTE(SUBSTITUTE(SUBSTITUTE(SUBSTITUTE(A261,"/"," "),"."," "),"\"," "),"_"," "))&amp;" ")),1,0))+IF(Task!$A$15="",0,IF(ISNUMBER(SEARCH(" "&amp;Task!$A$15&amp;" "," "&amp;LOWER(SUBSTITUTE(SUBSTITUTE(SUBSTITUTE(SUBSTITUTE(A261,"/"," "),"."," "),"\"," "),"_"," "))&amp;" ")),1,0))+IF(Task!$A$16="",0,IF(ISNUMBER(SEARCH(" "&amp;Task!$A$16&amp;" "," "&amp;LOWER(SUBSTITUTE(SUBSTITUTE(SUBSTITUTE(SUBSTITUTE(A261,"/"," "),"."," "),"\"," "),"_"," "))&amp;" ")),1,0))+IF(Task!$A$17="",0,IF(ISNUMBER(SEARCH(" "&amp;Task!$A$17&amp;" "," "&amp;LOWER(SUBSTITUTE(SUBSTITUTE(SUBSTITUTE(SUBSTITUTE(A261,"/"," "),"."," "),"\"," "),"_"," "))&amp;" ")),1,0))+IF(Task!$A$18="",0,IF(ISNUMBER(SEARCH(" "&amp;Task!$A$18&amp;" "," "&amp;LOWER(SUBSTITUTE(SUBSTITUTE(SUBSTITUTE(SUBSTITUTE(A261,"/"," "),"."," "),"\"," "),"_"," "))&amp;" ")),1,0))+IF(Task!$A$19="",0,IF(ISNUMBER(SEARCH(" "&amp;Task!$A$19&amp;" "," "&amp;LOWER(SUBSTITUTE(SUBSTITUTE(SUBSTITUTE(SUBSTITUTE(A261,"/"," "),"."," "),"\"," "),"_"," "))&amp;" ")),1,0)))</f>
        <v/>
      </c>
      <c r="I261" s="10">
        <f>IF(OR(E261=0,F261=0,Task!$B$21=0),"",F261/Task!$B$21+0.5*G261+0.25*H261)</f>
        <v/>
      </c>
      <c r="J261" s="5">
        <f>IF(I261="","",I261-ROW()/1000000)</f>
        <v/>
      </c>
      <c r="K261" s="9">
        <f>IF(J261="","",COUNTIF($J$5:$J$404,"&gt;"&amp;J261)+1)</f>
        <v/>
      </c>
    </row>
    <row r="262">
      <c r="A262" s="7" t="n"/>
      <c r="B262" s="7" t="n"/>
      <c r="C262" s="7" t="n"/>
      <c r="D262" s="7" t="n"/>
      <c r="E262" s="5">
        <f>IF(A262="",0,IF(COUNTA(Task!$B$5:$E$5)=0,1,IF(COUNTIF(Task!$B$5:$E$5,B262)&gt;0,1,0)))</f>
        <v/>
      </c>
      <c r="F262" s="9">
        <f>IF(E262=0,0,IF(Task!$A$8="",0,IF(ISNUMBER(SEARCH(" "&amp;Task!$A$8&amp;" "," "&amp;LOWER(D262&amp;" "&amp;C262&amp;" "&amp;LOWER(SUBSTITUTE(SUBSTITUTE(SUBSTITUTE(SUBSTITUTE(A262,"/"," "),"."," "),"\"," "),"_"," ")))&amp;" ")),1,0))+IF(Task!$A$9="",0,IF(ISNUMBER(SEARCH(" "&amp;Task!$A$9&amp;" "," "&amp;LOWER(D262&amp;" "&amp;C262&amp;" "&amp;LOWER(SUBSTITUTE(SUBSTITUTE(SUBSTITUTE(SUBSTITUTE(A262,"/"," "),"."," "),"\"," "),"_"," ")))&amp;" ")),1,0))+IF(Task!$A$10="",0,IF(ISNUMBER(SEARCH(" "&amp;Task!$A$10&amp;" "," "&amp;LOWER(D262&amp;" "&amp;C262&amp;" "&amp;LOWER(SUBSTITUTE(SUBSTITUTE(SUBSTITUTE(SUBSTITUTE(A262,"/"," "),"."," "),"\"," "),"_"," ")))&amp;" ")),1,0))+IF(Task!$A$11="",0,IF(ISNUMBER(SEARCH(" "&amp;Task!$A$11&amp;" "," "&amp;LOWER(D262&amp;" "&amp;C262&amp;" "&amp;LOWER(SUBSTITUTE(SUBSTITUTE(SUBSTITUTE(SUBSTITUTE(A262,"/"," "),"."," "),"\"," "),"_"," ")))&amp;" ")),1,0))+IF(Task!$A$12="",0,IF(ISNUMBER(SEARCH(" "&amp;Task!$A$12&amp;" "," "&amp;LOWER(D262&amp;" "&amp;C262&amp;" "&amp;LOWER(SUBSTITUTE(SUBSTITUTE(SUBSTITUTE(SUBSTITUTE(A262,"/"," "),"."," "),"\"," "),"_"," ")))&amp;" ")),1,0))+IF(Task!$A$13="",0,IF(ISNUMBER(SEARCH(" "&amp;Task!$A$13&amp;" "," "&amp;LOWER(D262&amp;" "&amp;C262&amp;" "&amp;LOWER(SUBSTITUTE(SUBSTITUTE(SUBSTITUTE(SUBSTITUTE(A262,"/"," "),"."," "),"\"," "),"_"," ")))&amp;" ")),1,0))+IF(Task!$A$14="",0,IF(ISNUMBER(SEARCH(" "&amp;Task!$A$14&amp;" "," "&amp;LOWER(D262&amp;" "&amp;C262&amp;" "&amp;LOWER(SUBSTITUTE(SUBSTITUTE(SUBSTITUTE(SUBSTITUTE(A262,"/"," "),"."," "),"\"," "),"_"," ")))&amp;" ")),1,0))+IF(Task!$A$15="",0,IF(ISNUMBER(SEARCH(" "&amp;Task!$A$15&amp;" "," "&amp;LOWER(D262&amp;" "&amp;C262&amp;" "&amp;LOWER(SUBSTITUTE(SUBSTITUTE(SUBSTITUTE(SUBSTITUTE(A262,"/"," "),"."," "),"\"," "),"_"," ")))&amp;" ")),1,0))+IF(Task!$A$16="",0,IF(ISNUMBER(SEARCH(" "&amp;Task!$A$16&amp;" "," "&amp;LOWER(D262&amp;" "&amp;C262&amp;" "&amp;LOWER(SUBSTITUTE(SUBSTITUTE(SUBSTITUTE(SUBSTITUTE(A262,"/"," "),"."," "),"\"," "),"_"," ")))&amp;" ")),1,0))+IF(Task!$A$17="",0,IF(ISNUMBER(SEARCH(" "&amp;Task!$A$17&amp;" "," "&amp;LOWER(D262&amp;" "&amp;C262&amp;" "&amp;LOWER(SUBSTITUTE(SUBSTITUTE(SUBSTITUTE(SUBSTITUTE(A262,"/"," "),"."," "),"\"," "),"_"," ")))&amp;" ")),1,0))+IF(Task!$A$18="",0,IF(ISNUMBER(SEARCH(" "&amp;Task!$A$18&amp;" "," "&amp;LOWER(D262&amp;" "&amp;C262&amp;" "&amp;LOWER(SUBSTITUTE(SUBSTITUTE(SUBSTITUTE(SUBSTITUTE(A262,"/"," "),"."," "),"\"," "),"_"," ")))&amp;" ")),1,0))+IF(Task!$A$19="",0,IF(ISNUMBER(SEARCH(" "&amp;Task!$A$19&amp;" "," "&amp;LOWER(D262&amp;" "&amp;C262&amp;" "&amp;LOWER(SUBSTITUTE(SUBSTITUTE(SUBSTITUTE(SUBSTITUTE(A262,"/"," "),"."," "),"\"," "),"_"," ")))&amp;" ")),1,0)))</f>
        <v/>
      </c>
      <c r="G262" s="9">
        <f>IF(E262=0,0,IF(Task!$A$8="",0,IF(ISNUMBER(SEARCH(" "&amp;Task!$A$8&amp;" "," "&amp;LOWER(C262)&amp;" ")),1,0))+IF(Task!$A$9="",0,IF(ISNUMBER(SEARCH(" "&amp;Task!$A$9&amp;" "," "&amp;LOWER(C262)&amp;" ")),1,0))+IF(Task!$A$10="",0,IF(ISNUMBER(SEARCH(" "&amp;Task!$A$10&amp;" "," "&amp;LOWER(C262)&amp;" ")),1,0))+IF(Task!$A$11="",0,IF(ISNUMBER(SEARCH(" "&amp;Task!$A$11&amp;" "," "&amp;LOWER(C262)&amp;" ")),1,0))+IF(Task!$A$12="",0,IF(ISNUMBER(SEARCH(" "&amp;Task!$A$12&amp;" "," "&amp;LOWER(C262)&amp;" ")),1,0))+IF(Task!$A$13="",0,IF(ISNUMBER(SEARCH(" "&amp;Task!$A$13&amp;" "," "&amp;LOWER(C262)&amp;" ")),1,0))+IF(Task!$A$14="",0,IF(ISNUMBER(SEARCH(" "&amp;Task!$A$14&amp;" "," "&amp;LOWER(C262)&amp;" ")),1,0))+IF(Task!$A$15="",0,IF(ISNUMBER(SEARCH(" "&amp;Task!$A$15&amp;" "," "&amp;LOWER(C262)&amp;" ")),1,0))+IF(Task!$A$16="",0,IF(ISNUMBER(SEARCH(" "&amp;Task!$A$16&amp;" "," "&amp;LOWER(C262)&amp;" ")),1,0))+IF(Task!$A$17="",0,IF(ISNUMBER(SEARCH(" "&amp;Task!$A$17&amp;" "," "&amp;LOWER(C262)&amp;" ")),1,0))+IF(Task!$A$18="",0,IF(ISNUMBER(SEARCH(" "&amp;Task!$A$18&amp;" "," "&amp;LOWER(C262)&amp;" ")),1,0))+IF(Task!$A$19="",0,IF(ISNUMBER(SEARCH(" "&amp;Task!$A$19&amp;" "," "&amp;LOWER(C262)&amp;" ")),1,0)))</f>
        <v/>
      </c>
      <c r="H262" s="9">
        <f>IF(E262=0,0,IF(Task!$A$8="",0,IF(ISNUMBER(SEARCH(" "&amp;Task!$A$8&amp;" "," "&amp;LOWER(SUBSTITUTE(SUBSTITUTE(SUBSTITUTE(SUBSTITUTE(A262,"/"," "),"."," "),"\"," "),"_"," "))&amp;" ")),1,0))+IF(Task!$A$9="",0,IF(ISNUMBER(SEARCH(" "&amp;Task!$A$9&amp;" "," "&amp;LOWER(SUBSTITUTE(SUBSTITUTE(SUBSTITUTE(SUBSTITUTE(A262,"/"," "),"."," "),"\"," "),"_"," "))&amp;" ")),1,0))+IF(Task!$A$10="",0,IF(ISNUMBER(SEARCH(" "&amp;Task!$A$10&amp;" "," "&amp;LOWER(SUBSTITUTE(SUBSTITUTE(SUBSTITUTE(SUBSTITUTE(A262,"/"," "),"."," "),"\"," "),"_"," "))&amp;" ")),1,0))+IF(Task!$A$11="",0,IF(ISNUMBER(SEARCH(" "&amp;Task!$A$11&amp;" "," "&amp;LOWER(SUBSTITUTE(SUBSTITUTE(SUBSTITUTE(SUBSTITUTE(A262,"/"," "),"."," "),"\"," "),"_"," "))&amp;" ")),1,0))+IF(Task!$A$12="",0,IF(ISNUMBER(SEARCH(" "&amp;Task!$A$12&amp;" "," "&amp;LOWER(SUBSTITUTE(SUBSTITUTE(SUBSTITUTE(SUBSTITUTE(A262,"/"," "),"."," "),"\"," "),"_"," "))&amp;" ")),1,0))+IF(Task!$A$13="",0,IF(ISNUMBER(SEARCH(" "&amp;Task!$A$13&amp;" "," "&amp;LOWER(SUBSTITUTE(SUBSTITUTE(SUBSTITUTE(SUBSTITUTE(A262,"/"," "),"."," "),"\"," "),"_"," "))&amp;" ")),1,0))+IF(Task!$A$14="",0,IF(ISNUMBER(SEARCH(" "&amp;Task!$A$14&amp;" "," "&amp;LOWER(SUBSTITUTE(SUBSTITUTE(SUBSTITUTE(SUBSTITUTE(A262,"/"," "),"."," "),"\"," "),"_"," "))&amp;" ")),1,0))+IF(Task!$A$15="",0,IF(ISNUMBER(SEARCH(" "&amp;Task!$A$15&amp;" "," "&amp;LOWER(SUBSTITUTE(SUBSTITUTE(SUBSTITUTE(SUBSTITUTE(A262,"/"," "),"."," "),"\"," "),"_"," "))&amp;" ")),1,0))+IF(Task!$A$16="",0,IF(ISNUMBER(SEARCH(" "&amp;Task!$A$16&amp;" "," "&amp;LOWER(SUBSTITUTE(SUBSTITUTE(SUBSTITUTE(SUBSTITUTE(A262,"/"," "),"."," "),"\"," "),"_"," "))&amp;" ")),1,0))+IF(Task!$A$17="",0,IF(ISNUMBER(SEARCH(" "&amp;Task!$A$17&amp;" "," "&amp;LOWER(SUBSTITUTE(SUBSTITUTE(SUBSTITUTE(SUBSTITUTE(A262,"/"," "),"."," "),"\"," "),"_"," "))&amp;" ")),1,0))+IF(Task!$A$18="",0,IF(ISNUMBER(SEARCH(" "&amp;Task!$A$18&amp;" "," "&amp;LOWER(SUBSTITUTE(SUBSTITUTE(SUBSTITUTE(SUBSTITUTE(A262,"/"," "),"."," "),"\"," "),"_"," "))&amp;" ")),1,0))+IF(Task!$A$19="",0,IF(ISNUMBER(SEARCH(" "&amp;Task!$A$19&amp;" "," "&amp;LOWER(SUBSTITUTE(SUBSTITUTE(SUBSTITUTE(SUBSTITUTE(A262,"/"," "),"."," "),"\"," "),"_"," "))&amp;" ")),1,0)))</f>
        <v/>
      </c>
      <c r="I262" s="10">
        <f>IF(OR(E262=0,F262=0,Task!$B$21=0),"",F262/Task!$B$21+0.5*G262+0.25*H262)</f>
        <v/>
      </c>
      <c r="J262" s="5">
        <f>IF(I262="","",I262-ROW()/1000000)</f>
        <v/>
      </c>
      <c r="K262" s="9">
        <f>IF(J262="","",COUNTIF($J$5:$J$404,"&gt;"&amp;J262)+1)</f>
        <v/>
      </c>
    </row>
    <row r="263">
      <c r="A263" s="7" t="n"/>
      <c r="B263" s="7" t="n"/>
      <c r="C263" s="7" t="n"/>
      <c r="D263" s="7" t="n"/>
      <c r="E263" s="5">
        <f>IF(A263="",0,IF(COUNTA(Task!$B$5:$E$5)=0,1,IF(COUNTIF(Task!$B$5:$E$5,B263)&gt;0,1,0)))</f>
        <v/>
      </c>
      <c r="F263" s="9">
        <f>IF(E263=0,0,IF(Task!$A$8="",0,IF(ISNUMBER(SEARCH(" "&amp;Task!$A$8&amp;" "," "&amp;LOWER(D263&amp;" "&amp;C263&amp;" "&amp;LOWER(SUBSTITUTE(SUBSTITUTE(SUBSTITUTE(SUBSTITUTE(A263,"/"," "),"."," "),"\"," "),"_"," ")))&amp;" ")),1,0))+IF(Task!$A$9="",0,IF(ISNUMBER(SEARCH(" "&amp;Task!$A$9&amp;" "," "&amp;LOWER(D263&amp;" "&amp;C263&amp;" "&amp;LOWER(SUBSTITUTE(SUBSTITUTE(SUBSTITUTE(SUBSTITUTE(A263,"/"," "),"."," "),"\"," "),"_"," ")))&amp;" ")),1,0))+IF(Task!$A$10="",0,IF(ISNUMBER(SEARCH(" "&amp;Task!$A$10&amp;" "," "&amp;LOWER(D263&amp;" "&amp;C263&amp;" "&amp;LOWER(SUBSTITUTE(SUBSTITUTE(SUBSTITUTE(SUBSTITUTE(A263,"/"," "),"."," "),"\"," "),"_"," ")))&amp;" ")),1,0))+IF(Task!$A$11="",0,IF(ISNUMBER(SEARCH(" "&amp;Task!$A$11&amp;" "," "&amp;LOWER(D263&amp;" "&amp;C263&amp;" "&amp;LOWER(SUBSTITUTE(SUBSTITUTE(SUBSTITUTE(SUBSTITUTE(A263,"/"," "),"."," "),"\"," "),"_"," ")))&amp;" ")),1,0))+IF(Task!$A$12="",0,IF(ISNUMBER(SEARCH(" "&amp;Task!$A$12&amp;" "," "&amp;LOWER(D263&amp;" "&amp;C263&amp;" "&amp;LOWER(SUBSTITUTE(SUBSTITUTE(SUBSTITUTE(SUBSTITUTE(A263,"/"," "),"."," "),"\"," "),"_"," ")))&amp;" ")),1,0))+IF(Task!$A$13="",0,IF(ISNUMBER(SEARCH(" "&amp;Task!$A$13&amp;" "," "&amp;LOWER(D263&amp;" "&amp;C263&amp;" "&amp;LOWER(SUBSTITUTE(SUBSTITUTE(SUBSTITUTE(SUBSTITUTE(A263,"/"," "),"."," "),"\"," "),"_"," ")))&amp;" ")),1,0))+IF(Task!$A$14="",0,IF(ISNUMBER(SEARCH(" "&amp;Task!$A$14&amp;" "," "&amp;LOWER(D263&amp;" "&amp;C263&amp;" "&amp;LOWER(SUBSTITUTE(SUBSTITUTE(SUBSTITUTE(SUBSTITUTE(A263,"/"," "),"."," "),"\"," "),"_"," ")))&amp;" ")),1,0))+IF(Task!$A$15="",0,IF(ISNUMBER(SEARCH(" "&amp;Task!$A$15&amp;" "," "&amp;LOWER(D263&amp;" "&amp;C263&amp;" "&amp;LOWER(SUBSTITUTE(SUBSTITUTE(SUBSTITUTE(SUBSTITUTE(A263,"/"," "),"."," "),"\"," "),"_"," ")))&amp;" ")),1,0))+IF(Task!$A$16="",0,IF(ISNUMBER(SEARCH(" "&amp;Task!$A$16&amp;" "," "&amp;LOWER(D263&amp;" "&amp;C263&amp;" "&amp;LOWER(SUBSTITUTE(SUBSTITUTE(SUBSTITUTE(SUBSTITUTE(A263,"/"," "),"."," "),"\"," "),"_"," ")))&amp;" ")),1,0))+IF(Task!$A$17="",0,IF(ISNUMBER(SEARCH(" "&amp;Task!$A$17&amp;" "," "&amp;LOWER(D263&amp;" "&amp;C263&amp;" "&amp;LOWER(SUBSTITUTE(SUBSTITUTE(SUBSTITUTE(SUBSTITUTE(A263,"/"," "),"."," "),"\"," "),"_"," ")))&amp;" ")),1,0))+IF(Task!$A$18="",0,IF(ISNUMBER(SEARCH(" "&amp;Task!$A$18&amp;" "," "&amp;LOWER(D263&amp;" "&amp;C263&amp;" "&amp;LOWER(SUBSTITUTE(SUBSTITUTE(SUBSTITUTE(SUBSTITUTE(A263,"/"," "),"."," "),"\"," "),"_"," ")))&amp;" ")),1,0))+IF(Task!$A$19="",0,IF(ISNUMBER(SEARCH(" "&amp;Task!$A$19&amp;" "," "&amp;LOWER(D263&amp;" "&amp;C263&amp;" "&amp;LOWER(SUBSTITUTE(SUBSTITUTE(SUBSTITUTE(SUBSTITUTE(A263,"/"," "),"."," "),"\"," "),"_"," ")))&amp;" ")),1,0)))</f>
        <v/>
      </c>
      <c r="G263" s="9">
        <f>IF(E263=0,0,IF(Task!$A$8="",0,IF(ISNUMBER(SEARCH(" "&amp;Task!$A$8&amp;" "," "&amp;LOWER(C263)&amp;" ")),1,0))+IF(Task!$A$9="",0,IF(ISNUMBER(SEARCH(" "&amp;Task!$A$9&amp;" "," "&amp;LOWER(C263)&amp;" ")),1,0))+IF(Task!$A$10="",0,IF(ISNUMBER(SEARCH(" "&amp;Task!$A$10&amp;" "," "&amp;LOWER(C263)&amp;" ")),1,0))+IF(Task!$A$11="",0,IF(ISNUMBER(SEARCH(" "&amp;Task!$A$11&amp;" "," "&amp;LOWER(C263)&amp;" ")),1,0))+IF(Task!$A$12="",0,IF(ISNUMBER(SEARCH(" "&amp;Task!$A$12&amp;" "," "&amp;LOWER(C263)&amp;" ")),1,0))+IF(Task!$A$13="",0,IF(ISNUMBER(SEARCH(" "&amp;Task!$A$13&amp;" "," "&amp;LOWER(C263)&amp;" ")),1,0))+IF(Task!$A$14="",0,IF(ISNUMBER(SEARCH(" "&amp;Task!$A$14&amp;" "," "&amp;LOWER(C263)&amp;" ")),1,0))+IF(Task!$A$15="",0,IF(ISNUMBER(SEARCH(" "&amp;Task!$A$15&amp;" "," "&amp;LOWER(C263)&amp;" ")),1,0))+IF(Task!$A$16="",0,IF(ISNUMBER(SEARCH(" "&amp;Task!$A$16&amp;" "," "&amp;LOWER(C263)&amp;" ")),1,0))+IF(Task!$A$17="",0,IF(ISNUMBER(SEARCH(" "&amp;Task!$A$17&amp;" "," "&amp;LOWER(C263)&amp;" ")),1,0))+IF(Task!$A$18="",0,IF(ISNUMBER(SEARCH(" "&amp;Task!$A$18&amp;" "," "&amp;LOWER(C263)&amp;" ")),1,0))+IF(Task!$A$19="",0,IF(ISNUMBER(SEARCH(" "&amp;Task!$A$19&amp;" "," "&amp;LOWER(C263)&amp;" ")),1,0)))</f>
        <v/>
      </c>
      <c r="H263" s="9">
        <f>IF(E263=0,0,IF(Task!$A$8="",0,IF(ISNUMBER(SEARCH(" "&amp;Task!$A$8&amp;" "," "&amp;LOWER(SUBSTITUTE(SUBSTITUTE(SUBSTITUTE(SUBSTITUTE(A263,"/"," "),"."," "),"\"," "),"_"," "))&amp;" ")),1,0))+IF(Task!$A$9="",0,IF(ISNUMBER(SEARCH(" "&amp;Task!$A$9&amp;" "," "&amp;LOWER(SUBSTITUTE(SUBSTITUTE(SUBSTITUTE(SUBSTITUTE(A263,"/"," "),"."," "),"\"," "),"_"," "))&amp;" ")),1,0))+IF(Task!$A$10="",0,IF(ISNUMBER(SEARCH(" "&amp;Task!$A$10&amp;" "," "&amp;LOWER(SUBSTITUTE(SUBSTITUTE(SUBSTITUTE(SUBSTITUTE(A263,"/"," "),"."," "),"\"," "),"_"," "))&amp;" ")),1,0))+IF(Task!$A$11="",0,IF(ISNUMBER(SEARCH(" "&amp;Task!$A$11&amp;" "," "&amp;LOWER(SUBSTITUTE(SUBSTITUTE(SUBSTITUTE(SUBSTITUTE(A263,"/"," "),"."," "),"\"," "),"_"," "))&amp;" ")),1,0))+IF(Task!$A$12="",0,IF(ISNUMBER(SEARCH(" "&amp;Task!$A$12&amp;" "," "&amp;LOWER(SUBSTITUTE(SUBSTITUTE(SUBSTITUTE(SUBSTITUTE(A263,"/"," "),"."," "),"\"," "),"_"," "))&amp;" ")),1,0))+IF(Task!$A$13="",0,IF(ISNUMBER(SEARCH(" "&amp;Task!$A$13&amp;" "," "&amp;LOWER(SUBSTITUTE(SUBSTITUTE(SUBSTITUTE(SUBSTITUTE(A263,"/"," "),"."," "),"\"," "),"_"," "))&amp;" ")),1,0))+IF(Task!$A$14="",0,IF(ISNUMBER(SEARCH(" "&amp;Task!$A$14&amp;" "," "&amp;LOWER(SUBSTITUTE(SUBSTITUTE(SUBSTITUTE(SUBSTITUTE(A263,"/"," "),"."," "),"\"," "),"_"," "))&amp;" ")),1,0))+IF(Task!$A$15="",0,IF(ISNUMBER(SEARCH(" "&amp;Task!$A$15&amp;" "," "&amp;LOWER(SUBSTITUTE(SUBSTITUTE(SUBSTITUTE(SUBSTITUTE(A263,"/"," "),"."," "),"\"," "),"_"," "))&amp;" ")),1,0))+IF(Task!$A$16="",0,IF(ISNUMBER(SEARCH(" "&amp;Task!$A$16&amp;" "," "&amp;LOWER(SUBSTITUTE(SUBSTITUTE(SUBSTITUTE(SUBSTITUTE(A263,"/"," "),"."," "),"\"," "),"_"," "))&amp;" ")),1,0))+IF(Task!$A$17="",0,IF(ISNUMBER(SEARCH(" "&amp;Task!$A$17&amp;" "," "&amp;LOWER(SUBSTITUTE(SUBSTITUTE(SUBSTITUTE(SUBSTITUTE(A263,"/"," "),"."," "),"\"," "),"_"," "))&amp;" ")),1,0))+IF(Task!$A$18="",0,IF(ISNUMBER(SEARCH(" "&amp;Task!$A$18&amp;" "," "&amp;LOWER(SUBSTITUTE(SUBSTITUTE(SUBSTITUTE(SUBSTITUTE(A263,"/"," "),"."," "),"\"," "),"_"," "))&amp;" ")),1,0))+IF(Task!$A$19="",0,IF(ISNUMBER(SEARCH(" "&amp;Task!$A$19&amp;" "," "&amp;LOWER(SUBSTITUTE(SUBSTITUTE(SUBSTITUTE(SUBSTITUTE(A263,"/"," "),"."," "),"\"," "),"_"," "))&amp;" ")),1,0)))</f>
        <v/>
      </c>
      <c r="I263" s="10">
        <f>IF(OR(E263=0,F263=0,Task!$B$21=0),"",F263/Task!$B$21+0.5*G263+0.25*H263)</f>
        <v/>
      </c>
      <c r="J263" s="5">
        <f>IF(I263="","",I263-ROW()/1000000)</f>
        <v/>
      </c>
      <c r="K263" s="9">
        <f>IF(J263="","",COUNTIF($J$5:$J$404,"&gt;"&amp;J263)+1)</f>
        <v/>
      </c>
    </row>
    <row r="264">
      <c r="A264" s="7" t="n"/>
      <c r="B264" s="7" t="n"/>
      <c r="C264" s="7" t="n"/>
      <c r="D264" s="7" t="n"/>
      <c r="E264" s="5">
        <f>IF(A264="",0,IF(COUNTA(Task!$B$5:$E$5)=0,1,IF(COUNTIF(Task!$B$5:$E$5,B264)&gt;0,1,0)))</f>
        <v/>
      </c>
      <c r="F264" s="9">
        <f>IF(E264=0,0,IF(Task!$A$8="",0,IF(ISNUMBER(SEARCH(" "&amp;Task!$A$8&amp;" "," "&amp;LOWER(D264&amp;" "&amp;C264&amp;" "&amp;LOWER(SUBSTITUTE(SUBSTITUTE(SUBSTITUTE(SUBSTITUTE(A264,"/"," "),"."," "),"\"," "),"_"," ")))&amp;" ")),1,0))+IF(Task!$A$9="",0,IF(ISNUMBER(SEARCH(" "&amp;Task!$A$9&amp;" "," "&amp;LOWER(D264&amp;" "&amp;C264&amp;" "&amp;LOWER(SUBSTITUTE(SUBSTITUTE(SUBSTITUTE(SUBSTITUTE(A264,"/"," "),"."," "),"\"," "),"_"," ")))&amp;" ")),1,0))+IF(Task!$A$10="",0,IF(ISNUMBER(SEARCH(" "&amp;Task!$A$10&amp;" "," "&amp;LOWER(D264&amp;" "&amp;C264&amp;" "&amp;LOWER(SUBSTITUTE(SUBSTITUTE(SUBSTITUTE(SUBSTITUTE(A264,"/"," "),"."," "),"\"," "),"_"," ")))&amp;" ")),1,0))+IF(Task!$A$11="",0,IF(ISNUMBER(SEARCH(" "&amp;Task!$A$11&amp;" "," "&amp;LOWER(D264&amp;" "&amp;C264&amp;" "&amp;LOWER(SUBSTITUTE(SUBSTITUTE(SUBSTITUTE(SUBSTITUTE(A264,"/"," "),"."," "),"\"," "),"_"," ")))&amp;" ")),1,0))+IF(Task!$A$12="",0,IF(ISNUMBER(SEARCH(" "&amp;Task!$A$12&amp;" "," "&amp;LOWER(D264&amp;" "&amp;C264&amp;" "&amp;LOWER(SUBSTITUTE(SUBSTITUTE(SUBSTITUTE(SUBSTITUTE(A264,"/"," "),"."," "),"\"," "),"_"," ")))&amp;" ")),1,0))+IF(Task!$A$13="",0,IF(ISNUMBER(SEARCH(" "&amp;Task!$A$13&amp;" "," "&amp;LOWER(D264&amp;" "&amp;C264&amp;" "&amp;LOWER(SUBSTITUTE(SUBSTITUTE(SUBSTITUTE(SUBSTITUTE(A264,"/"," "),"."," "),"\"," "),"_"," ")))&amp;" ")),1,0))+IF(Task!$A$14="",0,IF(ISNUMBER(SEARCH(" "&amp;Task!$A$14&amp;" "," "&amp;LOWER(D264&amp;" "&amp;C264&amp;" "&amp;LOWER(SUBSTITUTE(SUBSTITUTE(SUBSTITUTE(SUBSTITUTE(A264,"/"," "),"."," "),"\"," "),"_"," ")))&amp;" ")),1,0))+IF(Task!$A$15="",0,IF(ISNUMBER(SEARCH(" "&amp;Task!$A$15&amp;" "," "&amp;LOWER(D264&amp;" "&amp;C264&amp;" "&amp;LOWER(SUBSTITUTE(SUBSTITUTE(SUBSTITUTE(SUBSTITUTE(A264,"/"," "),"."," "),"\"," "),"_"," ")))&amp;" ")),1,0))+IF(Task!$A$16="",0,IF(ISNUMBER(SEARCH(" "&amp;Task!$A$16&amp;" "," "&amp;LOWER(D264&amp;" "&amp;C264&amp;" "&amp;LOWER(SUBSTITUTE(SUBSTITUTE(SUBSTITUTE(SUBSTITUTE(A264,"/"," "),"."," "),"\"," "),"_"," ")))&amp;" ")),1,0))+IF(Task!$A$17="",0,IF(ISNUMBER(SEARCH(" "&amp;Task!$A$17&amp;" "," "&amp;LOWER(D264&amp;" "&amp;C264&amp;" "&amp;LOWER(SUBSTITUTE(SUBSTITUTE(SUBSTITUTE(SUBSTITUTE(A264,"/"," "),"."," "),"\"," "),"_"," ")))&amp;" ")),1,0))+IF(Task!$A$18="",0,IF(ISNUMBER(SEARCH(" "&amp;Task!$A$18&amp;" "," "&amp;LOWER(D264&amp;" "&amp;C264&amp;" "&amp;LOWER(SUBSTITUTE(SUBSTITUTE(SUBSTITUTE(SUBSTITUTE(A264,"/"," "),"."," "),"\"," "),"_"," ")))&amp;" ")),1,0))+IF(Task!$A$19="",0,IF(ISNUMBER(SEARCH(" "&amp;Task!$A$19&amp;" "," "&amp;LOWER(D264&amp;" "&amp;C264&amp;" "&amp;LOWER(SUBSTITUTE(SUBSTITUTE(SUBSTITUTE(SUBSTITUTE(A264,"/"," "),"."," "),"\"," "),"_"," ")))&amp;" ")),1,0)))</f>
        <v/>
      </c>
      <c r="G264" s="9">
        <f>IF(E264=0,0,IF(Task!$A$8="",0,IF(ISNUMBER(SEARCH(" "&amp;Task!$A$8&amp;" "," "&amp;LOWER(C264)&amp;" ")),1,0))+IF(Task!$A$9="",0,IF(ISNUMBER(SEARCH(" "&amp;Task!$A$9&amp;" "," "&amp;LOWER(C264)&amp;" ")),1,0))+IF(Task!$A$10="",0,IF(ISNUMBER(SEARCH(" "&amp;Task!$A$10&amp;" "," "&amp;LOWER(C264)&amp;" ")),1,0))+IF(Task!$A$11="",0,IF(ISNUMBER(SEARCH(" "&amp;Task!$A$11&amp;" "," "&amp;LOWER(C264)&amp;" ")),1,0))+IF(Task!$A$12="",0,IF(ISNUMBER(SEARCH(" "&amp;Task!$A$12&amp;" "," "&amp;LOWER(C264)&amp;" ")),1,0))+IF(Task!$A$13="",0,IF(ISNUMBER(SEARCH(" "&amp;Task!$A$13&amp;" "," "&amp;LOWER(C264)&amp;" ")),1,0))+IF(Task!$A$14="",0,IF(ISNUMBER(SEARCH(" "&amp;Task!$A$14&amp;" "," "&amp;LOWER(C264)&amp;" ")),1,0))+IF(Task!$A$15="",0,IF(ISNUMBER(SEARCH(" "&amp;Task!$A$15&amp;" "," "&amp;LOWER(C264)&amp;" ")),1,0))+IF(Task!$A$16="",0,IF(ISNUMBER(SEARCH(" "&amp;Task!$A$16&amp;" "," "&amp;LOWER(C264)&amp;" ")),1,0))+IF(Task!$A$17="",0,IF(ISNUMBER(SEARCH(" "&amp;Task!$A$17&amp;" "," "&amp;LOWER(C264)&amp;" ")),1,0))+IF(Task!$A$18="",0,IF(ISNUMBER(SEARCH(" "&amp;Task!$A$18&amp;" "," "&amp;LOWER(C264)&amp;" ")),1,0))+IF(Task!$A$19="",0,IF(ISNUMBER(SEARCH(" "&amp;Task!$A$19&amp;" "," "&amp;LOWER(C264)&amp;" ")),1,0)))</f>
        <v/>
      </c>
      <c r="H264" s="9">
        <f>IF(E264=0,0,IF(Task!$A$8="",0,IF(ISNUMBER(SEARCH(" "&amp;Task!$A$8&amp;" "," "&amp;LOWER(SUBSTITUTE(SUBSTITUTE(SUBSTITUTE(SUBSTITUTE(A264,"/"," "),"."," "),"\"," "),"_"," "))&amp;" ")),1,0))+IF(Task!$A$9="",0,IF(ISNUMBER(SEARCH(" "&amp;Task!$A$9&amp;" "," "&amp;LOWER(SUBSTITUTE(SUBSTITUTE(SUBSTITUTE(SUBSTITUTE(A264,"/"," "),"."," "),"\"," "),"_"," "))&amp;" ")),1,0))+IF(Task!$A$10="",0,IF(ISNUMBER(SEARCH(" "&amp;Task!$A$10&amp;" "," "&amp;LOWER(SUBSTITUTE(SUBSTITUTE(SUBSTITUTE(SUBSTITUTE(A264,"/"," "),"."," "),"\"," "),"_"," "))&amp;" ")),1,0))+IF(Task!$A$11="",0,IF(ISNUMBER(SEARCH(" "&amp;Task!$A$11&amp;" "," "&amp;LOWER(SUBSTITUTE(SUBSTITUTE(SUBSTITUTE(SUBSTITUTE(A264,"/"," "),"."," "),"\"," "),"_"," "))&amp;" ")),1,0))+IF(Task!$A$12="",0,IF(ISNUMBER(SEARCH(" "&amp;Task!$A$12&amp;" "," "&amp;LOWER(SUBSTITUTE(SUBSTITUTE(SUBSTITUTE(SUBSTITUTE(A264,"/"," "),"."," "),"\"," "),"_"," "))&amp;" ")),1,0))+IF(Task!$A$13="",0,IF(ISNUMBER(SEARCH(" "&amp;Task!$A$13&amp;" "," "&amp;LOWER(SUBSTITUTE(SUBSTITUTE(SUBSTITUTE(SUBSTITUTE(A264,"/"," "),"."," "),"\"," "),"_"," "))&amp;" ")),1,0))+IF(Task!$A$14="",0,IF(ISNUMBER(SEARCH(" "&amp;Task!$A$14&amp;" "," "&amp;LOWER(SUBSTITUTE(SUBSTITUTE(SUBSTITUTE(SUBSTITUTE(A264,"/"," "),"."," "),"\"," "),"_"," "))&amp;" ")),1,0))+IF(Task!$A$15="",0,IF(ISNUMBER(SEARCH(" "&amp;Task!$A$15&amp;" "," "&amp;LOWER(SUBSTITUTE(SUBSTITUTE(SUBSTITUTE(SUBSTITUTE(A264,"/"," "),"."," "),"\"," "),"_"," "))&amp;" ")),1,0))+IF(Task!$A$16="",0,IF(ISNUMBER(SEARCH(" "&amp;Task!$A$16&amp;" "," "&amp;LOWER(SUBSTITUTE(SUBSTITUTE(SUBSTITUTE(SUBSTITUTE(A264,"/"," "),"."," "),"\"," "),"_"," "))&amp;" ")),1,0))+IF(Task!$A$17="",0,IF(ISNUMBER(SEARCH(" "&amp;Task!$A$17&amp;" "," "&amp;LOWER(SUBSTITUTE(SUBSTITUTE(SUBSTITUTE(SUBSTITUTE(A264,"/"," "),"."," "),"\"," "),"_"," "))&amp;" ")),1,0))+IF(Task!$A$18="",0,IF(ISNUMBER(SEARCH(" "&amp;Task!$A$18&amp;" "," "&amp;LOWER(SUBSTITUTE(SUBSTITUTE(SUBSTITUTE(SUBSTITUTE(A264,"/"," "),"."," "),"\"," "),"_"," "))&amp;" ")),1,0))+IF(Task!$A$19="",0,IF(ISNUMBER(SEARCH(" "&amp;Task!$A$19&amp;" "," "&amp;LOWER(SUBSTITUTE(SUBSTITUTE(SUBSTITUTE(SUBSTITUTE(A264,"/"," "),"."," "),"\"," "),"_"," "))&amp;" ")),1,0)))</f>
        <v/>
      </c>
      <c r="I264" s="10">
        <f>IF(OR(E264=0,F264=0,Task!$B$21=0),"",F264/Task!$B$21+0.5*G264+0.25*H264)</f>
        <v/>
      </c>
      <c r="J264" s="5">
        <f>IF(I264="","",I264-ROW()/1000000)</f>
        <v/>
      </c>
      <c r="K264" s="9">
        <f>IF(J264="","",COUNTIF($J$5:$J$404,"&gt;"&amp;J264)+1)</f>
        <v/>
      </c>
    </row>
    <row r="265">
      <c r="A265" s="7" t="n"/>
      <c r="B265" s="7" t="n"/>
      <c r="C265" s="7" t="n"/>
      <c r="D265" s="7" t="n"/>
      <c r="E265" s="5">
        <f>IF(A265="",0,IF(COUNTA(Task!$B$5:$E$5)=0,1,IF(COUNTIF(Task!$B$5:$E$5,B265)&gt;0,1,0)))</f>
        <v/>
      </c>
      <c r="F265" s="9">
        <f>IF(E265=0,0,IF(Task!$A$8="",0,IF(ISNUMBER(SEARCH(" "&amp;Task!$A$8&amp;" "," "&amp;LOWER(D265&amp;" "&amp;C265&amp;" "&amp;LOWER(SUBSTITUTE(SUBSTITUTE(SUBSTITUTE(SUBSTITUTE(A265,"/"," "),"."," "),"\"," "),"_"," ")))&amp;" ")),1,0))+IF(Task!$A$9="",0,IF(ISNUMBER(SEARCH(" "&amp;Task!$A$9&amp;" "," "&amp;LOWER(D265&amp;" "&amp;C265&amp;" "&amp;LOWER(SUBSTITUTE(SUBSTITUTE(SUBSTITUTE(SUBSTITUTE(A265,"/"," "),"."," "),"\"," "),"_"," ")))&amp;" ")),1,0))+IF(Task!$A$10="",0,IF(ISNUMBER(SEARCH(" "&amp;Task!$A$10&amp;" "," "&amp;LOWER(D265&amp;" "&amp;C265&amp;" "&amp;LOWER(SUBSTITUTE(SUBSTITUTE(SUBSTITUTE(SUBSTITUTE(A265,"/"," "),"."," "),"\"," "),"_"," ")))&amp;" ")),1,0))+IF(Task!$A$11="",0,IF(ISNUMBER(SEARCH(" "&amp;Task!$A$11&amp;" "," "&amp;LOWER(D265&amp;" "&amp;C265&amp;" "&amp;LOWER(SUBSTITUTE(SUBSTITUTE(SUBSTITUTE(SUBSTITUTE(A265,"/"," "),"."," "),"\"," "),"_"," ")))&amp;" ")),1,0))+IF(Task!$A$12="",0,IF(ISNUMBER(SEARCH(" "&amp;Task!$A$12&amp;" "," "&amp;LOWER(D265&amp;" "&amp;C265&amp;" "&amp;LOWER(SUBSTITUTE(SUBSTITUTE(SUBSTITUTE(SUBSTITUTE(A265,"/"," "),"."," "),"\"," "),"_"," ")))&amp;" ")),1,0))+IF(Task!$A$13="",0,IF(ISNUMBER(SEARCH(" "&amp;Task!$A$13&amp;" "," "&amp;LOWER(D265&amp;" "&amp;C265&amp;" "&amp;LOWER(SUBSTITUTE(SUBSTITUTE(SUBSTITUTE(SUBSTITUTE(A265,"/"," "),"."," "),"\"," "),"_"," ")))&amp;" ")),1,0))+IF(Task!$A$14="",0,IF(ISNUMBER(SEARCH(" "&amp;Task!$A$14&amp;" "," "&amp;LOWER(D265&amp;" "&amp;C265&amp;" "&amp;LOWER(SUBSTITUTE(SUBSTITUTE(SUBSTITUTE(SUBSTITUTE(A265,"/"," "),"."," "),"\"," "),"_"," ")))&amp;" ")),1,0))+IF(Task!$A$15="",0,IF(ISNUMBER(SEARCH(" "&amp;Task!$A$15&amp;" "," "&amp;LOWER(D265&amp;" "&amp;C265&amp;" "&amp;LOWER(SUBSTITUTE(SUBSTITUTE(SUBSTITUTE(SUBSTITUTE(A265,"/"," "),"."," "),"\"," "),"_"," ")))&amp;" ")),1,0))+IF(Task!$A$16="",0,IF(ISNUMBER(SEARCH(" "&amp;Task!$A$16&amp;" "," "&amp;LOWER(D265&amp;" "&amp;C265&amp;" "&amp;LOWER(SUBSTITUTE(SUBSTITUTE(SUBSTITUTE(SUBSTITUTE(A265,"/"," "),"."," "),"\"," "),"_"," ")))&amp;" ")),1,0))+IF(Task!$A$17="",0,IF(ISNUMBER(SEARCH(" "&amp;Task!$A$17&amp;" "," "&amp;LOWER(D265&amp;" "&amp;C265&amp;" "&amp;LOWER(SUBSTITUTE(SUBSTITUTE(SUBSTITUTE(SUBSTITUTE(A265,"/"," "),"."," "),"\"," "),"_"," ")))&amp;" ")),1,0))+IF(Task!$A$18="",0,IF(ISNUMBER(SEARCH(" "&amp;Task!$A$18&amp;" "," "&amp;LOWER(D265&amp;" "&amp;C265&amp;" "&amp;LOWER(SUBSTITUTE(SUBSTITUTE(SUBSTITUTE(SUBSTITUTE(A265,"/"," "),"."," "),"\"," "),"_"," ")))&amp;" ")),1,0))+IF(Task!$A$19="",0,IF(ISNUMBER(SEARCH(" "&amp;Task!$A$19&amp;" "," "&amp;LOWER(D265&amp;" "&amp;C265&amp;" "&amp;LOWER(SUBSTITUTE(SUBSTITUTE(SUBSTITUTE(SUBSTITUTE(A265,"/"," "),"."," "),"\"," "),"_"," ")))&amp;" ")),1,0)))</f>
        <v/>
      </c>
      <c r="G265" s="9">
        <f>IF(E265=0,0,IF(Task!$A$8="",0,IF(ISNUMBER(SEARCH(" "&amp;Task!$A$8&amp;" "," "&amp;LOWER(C265)&amp;" ")),1,0))+IF(Task!$A$9="",0,IF(ISNUMBER(SEARCH(" "&amp;Task!$A$9&amp;" "," "&amp;LOWER(C265)&amp;" ")),1,0))+IF(Task!$A$10="",0,IF(ISNUMBER(SEARCH(" "&amp;Task!$A$10&amp;" "," "&amp;LOWER(C265)&amp;" ")),1,0))+IF(Task!$A$11="",0,IF(ISNUMBER(SEARCH(" "&amp;Task!$A$11&amp;" "," "&amp;LOWER(C265)&amp;" ")),1,0))+IF(Task!$A$12="",0,IF(ISNUMBER(SEARCH(" "&amp;Task!$A$12&amp;" "," "&amp;LOWER(C265)&amp;" ")),1,0))+IF(Task!$A$13="",0,IF(ISNUMBER(SEARCH(" "&amp;Task!$A$13&amp;" "," "&amp;LOWER(C265)&amp;" ")),1,0))+IF(Task!$A$14="",0,IF(ISNUMBER(SEARCH(" "&amp;Task!$A$14&amp;" "," "&amp;LOWER(C265)&amp;" ")),1,0))+IF(Task!$A$15="",0,IF(ISNUMBER(SEARCH(" "&amp;Task!$A$15&amp;" "," "&amp;LOWER(C265)&amp;" ")),1,0))+IF(Task!$A$16="",0,IF(ISNUMBER(SEARCH(" "&amp;Task!$A$16&amp;" "," "&amp;LOWER(C265)&amp;" ")),1,0))+IF(Task!$A$17="",0,IF(ISNUMBER(SEARCH(" "&amp;Task!$A$17&amp;" "," "&amp;LOWER(C265)&amp;" ")),1,0))+IF(Task!$A$18="",0,IF(ISNUMBER(SEARCH(" "&amp;Task!$A$18&amp;" "," "&amp;LOWER(C265)&amp;" ")),1,0))+IF(Task!$A$19="",0,IF(ISNUMBER(SEARCH(" "&amp;Task!$A$19&amp;" "," "&amp;LOWER(C265)&amp;" ")),1,0)))</f>
        <v/>
      </c>
      <c r="H265" s="9">
        <f>IF(E265=0,0,IF(Task!$A$8="",0,IF(ISNUMBER(SEARCH(" "&amp;Task!$A$8&amp;" "," "&amp;LOWER(SUBSTITUTE(SUBSTITUTE(SUBSTITUTE(SUBSTITUTE(A265,"/"," "),"."," "),"\"," "),"_"," "))&amp;" ")),1,0))+IF(Task!$A$9="",0,IF(ISNUMBER(SEARCH(" "&amp;Task!$A$9&amp;" "," "&amp;LOWER(SUBSTITUTE(SUBSTITUTE(SUBSTITUTE(SUBSTITUTE(A265,"/"," "),"."," "),"\"," "),"_"," "))&amp;" ")),1,0))+IF(Task!$A$10="",0,IF(ISNUMBER(SEARCH(" "&amp;Task!$A$10&amp;" "," "&amp;LOWER(SUBSTITUTE(SUBSTITUTE(SUBSTITUTE(SUBSTITUTE(A265,"/"," "),"."," "),"\"," "),"_"," "))&amp;" ")),1,0))+IF(Task!$A$11="",0,IF(ISNUMBER(SEARCH(" "&amp;Task!$A$11&amp;" "," "&amp;LOWER(SUBSTITUTE(SUBSTITUTE(SUBSTITUTE(SUBSTITUTE(A265,"/"," "),"."," "),"\"," "),"_"," "))&amp;" ")),1,0))+IF(Task!$A$12="",0,IF(ISNUMBER(SEARCH(" "&amp;Task!$A$12&amp;" "," "&amp;LOWER(SUBSTITUTE(SUBSTITUTE(SUBSTITUTE(SUBSTITUTE(A265,"/"," "),"."," "),"\"," "),"_"," "))&amp;" ")),1,0))+IF(Task!$A$13="",0,IF(ISNUMBER(SEARCH(" "&amp;Task!$A$13&amp;" "," "&amp;LOWER(SUBSTITUTE(SUBSTITUTE(SUBSTITUTE(SUBSTITUTE(A265,"/"," "),"."," "),"\"," "),"_"," "))&amp;" ")),1,0))+IF(Task!$A$14="",0,IF(ISNUMBER(SEARCH(" "&amp;Task!$A$14&amp;" "," "&amp;LOWER(SUBSTITUTE(SUBSTITUTE(SUBSTITUTE(SUBSTITUTE(A265,"/"," "),"."," "),"\"," "),"_"," "))&amp;" ")),1,0))+IF(Task!$A$15="",0,IF(ISNUMBER(SEARCH(" "&amp;Task!$A$15&amp;" "," "&amp;LOWER(SUBSTITUTE(SUBSTITUTE(SUBSTITUTE(SUBSTITUTE(A265,"/"," "),"."," "),"\"," "),"_"," "))&amp;" ")),1,0))+IF(Task!$A$16="",0,IF(ISNUMBER(SEARCH(" "&amp;Task!$A$16&amp;" "," "&amp;LOWER(SUBSTITUTE(SUBSTITUTE(SUBSTITUTE(SUBSTITUTE(A265,"/"," "),"."," "),"\"," "),"_"," "))&amp;" ")),1,0))+IF(Task!$A$17="",0,IF(ISNUMBER(SEARCH(" "&amp;Task!$A$17&amp;" "," "&amp;LOWER(SUBSTITUTE(SUBSTITUTE(SUBSTITUTE(SUBSTITUTE(A265,"/"," "),"."," "),"\"," "),"_"," "))&amp;" ")),1,0))+IF(Task!$A$18="",0,IF(ISNUMBER(SEARCH(" "&amp;Task!$A$18&amp;" "," "&amp;LOWER(SUBSTITUTE(SUBSTITUTE(SUBSTITUTE(SUBSTITUTE(A265,"/"," "),"."," "),"\"," "),"_"," "))&amp;" ")),1,0))+IF(Task!$A$19="",0,IF(ISNUMBER(SEARCH(" "&amp;Task!$A$19&amp;" "," "&amp;LOWER(SUBSTITUTE(SUBSTITUTE(SUBSTITUTE(SUBSTITUTE(A265,"/"," "),"."," "),"\"," "),"_"," "))&amp;" ")),1,0)))</f>
        <v/>
      </c>
      <c r="I265" s="10">
        <f>IF(OR(E265=0,F265=0,Task!$B$21=0),"",F265/Task!$B$21+0.5*G265+0.25*H265)</f>
        <v/>
      </c>
      <c r="J265" s="5">
        <f>IF(I265="","",I265-ROW()/1000000)</f>
        <v/>
      </c>
      <c r="K265" s="9">
        <f>IF(J265="","",COUNTIF($J$5:$J$404,"&gt;"&amp;J265)+1)</f>
        <v/>
      </c>
    </row>
    <row r="266">
      <c r="A266" s="7" t="n"/>
      <c r="B266" s="7" t="n"/>
      <c r="C266" s="7" t="n"/>
      <c r="D266" s="7" t="n"/>
      <c r="E266" s="5">
        <f>IF(A266="",0,IF(COUNTA(Task!$B$5:$E$5)=0,1,IF(COUNTIF(Task!$B$5:$E$5,B266)&gt;0,1,0)))</f>
        <v/>
      </c>
      <c r="F266" s="9">
        <f>IF(E266=0,0,IF(Task!$A$8="",0,IF(ISNUMBER(SEARCH(" "&amp;Task!$A$8&amp;" "," "&amp;LOWER(D266&amp;" "&amp;C266&amp;" "&amp;LOWER(SUBSTITUTE(SUBSTITUTE(SUBSTITUTE(SUBSTITUTE(A266,"/"," "),"."," "),"\"," "),"_"," ")))&amp;" ")),1,0))+IF(Task!$A$9="",0,IF(ISNUMBER(SEARCH(" "&amp;Task!$A$9&amp;" "," "&amp;LOWER(D266&amp;" "&amp;C266&amp;" "&amp;LOWER(SUBSTITUTE(SUBSTITUTE(SUBSTITUTE(SUBSTITUTE(A266,"/"," "),"."," "),"\"," "),"_"," ")))&amp;" ")),1,0))+IF(Task!$A$10="",0,IF(ISNUMBER(SEARCH(" "&amp;Task!$A$10&amp;" "," "&amp;LOWER(D266&amp;" "&amp;C266&amp;" "&amp;LOWER(SUBSTITUTE(SUBSTITUTE(SUBSTITUTE(SUBSTITUTE(A266,"/"," "),"."," "),"\"," "),"_"," ")))&amp;" ")),1,0))+IF(Task!$A$11="",0,IF(ISNUMBER(SEARCH(" "&amp;Task!$A$11&amp;" "," "&amp;LOWER(D266&amp;" "&amp;C266&amp;" "&amp;LOWER(SUBSTITUTE(SUBSTITUTE(SUBSTITUTE(SUBSTITUTE(A266,"/"," "),"."," "),"\"," "),"_"," ")))&amp;" ")),1,0))+IF(Task!$A$12="",0,IF(ISNUMBER(SEARCH(" "&amp;Task!$A$12&amp;" "," "&amp;LOWER(D266&amp;" "&amp;C266&amp;" "&amp;LOWER(SUBSTITUTE(SUBSTITUTE(SUBSTITUTE(SUBSTITUTE(A266,"/"," "),"."," "),"\"," "),"_"," ")))&amp;" ")),1,0))+IF(Task!$A$13="",0,IF(ISNUMBER(SEARCH(" "&amp;Task!$A$13&amp;" "," "&amp;LOWER(D266&amp;" "&amp;C266&amp;" "&amp;LOWER(SUBSTITUTE(SUBSTITUTE(SUBSTITUTE(SUBSTITUTE(A266,"/"," "),"."," "),"\"," "),"_"," ")))&amp;" ")),1,0))+IF(Task!$A$14="",0,IF(ISNUMBER(SEARCH(" "&amp;Task!$A$14&amp;" "," "&amp;LOWER(D266&amp;" "&amp;C266&amp;" "&amp;LOWER(SUBSTITUTE(SUBSTITUTE(SUBSTITUTE(SUBSTITUTE(A266,"/"," "),"."," "),"\"," "),"_"," ")))&amp;" ")),1,0))+IF(Task!$A$15="",0,IF(ISNUMBER(SEARCH(" "&amp;Task!$A$15&amp;" "," "&amp;LOWER(D266&amp;" "&amp;C266&amp;" "&amp;LOWER(SUBSTITUTE(SUBSTITUTE(SUBSTITUTE(SUBSTITUTE(A266,"/"," "),"."," "),"\"," "),"_"," ")))&amp;" ")),1,0))+IF(Task!$A$16="",0,IF(ISNUMBER(SEARCH(" "&amp;Task!$A$16&amp;" "," "&amp;LOWER(D266&amp;" "&amp;C266&amp;" "&amp;LOWER(SUBSTITUTE(SUBSTITUTE(SUBSTITUTE(SUBSTITUTE(A266,"/"," "),"."," "),"\"," "),"_"," ")))&amp;" ")),1,0))+IF(Task!$A$17="",0,IF(ISNUMBER(SEARCH(" "&amp;Task!$A$17&amp;" "," "&amp;LOWER(D266&amp;" "&amp;C266&amp;" "&amp;LOWER(SUBSTITUTE(SUBSTITUTE(SUBSTITUTE(SUBSTITUTE(A266,"/"," "),"."," "),"\"," "),"_"," ")))&amp;" ")),1,0))+IF(Task!$A$18="",0,IF(ISNUMBER(SEARCH(" "&amp;Task!$A$18&amp;" "," "&amp;LOWER(D266&amp;" "&amp;C266&amp;" "&amp;LOWER(SUBSTITUTE(SUBSTITUTE(SUBSTITUTE(SUBSTITUTE(A266,"/"," "),"."," "),"\"," "),"_"," ")))&amp;" ")),1,0))+IF(Task!$A$19="",0,IF(ISNUMBER(SEARCH(" "&amp;Task!$A$19&amp;" "," "&amp;LOWER(D266&amp;" "&amp;C266&amp;" "&amp;LOWER(SUBSTITUTE(SUBSTITUTE(SUBSTITUTE(SUBSTITUTE(A266,"/"," "),"."," "),"\"," "),"_"," ")))&amp;" ")),1,0)))</f>
        <v/>
      </c>
      <c r="G266" s="9">
        <f>IF(E266=0,0,IF(Task!$A$8="",0,IF(ISNUMBER(SEARCH(" "&amp;Task!$A$8&amp;" "," "&amp;LOWER(C266)&amp;" ")),1,0))+IF(Task!$A$9="",0,IF(ISNUMBER(SEARCH(" "&amp;Task!$A$9&amp;" "," "&amp;LOWER(C266)&amp;" ")),1,0))+IF(Task!$A$10="",0,IF(ISNUMBER(SEARCH(" "&amp;Task!$A$10&amp;" "," "&amp;LOWER(C266)&amp;" ")),1,0))+IF(Task!$A$11="",0,IF(ISNUMBER(SEARCH(" "&amp;Task!$A$11&amp;" "," "&amp;LOWER(C266)&amp;" ")),1,0))+IF(Task!$A$12="",0,IF(ISNUMBER(SEARCH(" "&amp;Task!$A$12&amp;" "," "&amp;LOWER(C266)&amp;" ")),1,0))+IF(Task!$A$13="",0,IF(ISNUMBER(SEARCH(" "&amp;Task!$A$13&amp;" "," "&amp;LOWER(C266)&amp;" ")),1,0))+IF(Task!$A$14="",0,IF(ISNUMBER(SEARCH(" "&amp;Task!$A$14&amp;" "," "&amp;LOWER(C266)&amp;" ")),1,0))+IF(Task!$A$15="",0,IF(ISNUMBER(SEARCH(" "&amp;Task!$A$15&amp;" "," "&amp;LOWER(C266)&amp;" ")),1,0))+IF(Task!$A$16="",0,IF(ISNUMBER(SEARCH(" "&amp;Task!$A$16&amp;" "," "&amp;LOWER(C266)&amp;" ")),1,0))+IF(Task!$A$17="",0,IF(ISNUMBER(SEARCH(" "&amp;Task!$A$17&amp;" "," "&amp;LOWER(C266)&amp;" ")),1,0))+IF(Task!$A$18="",0,IF(ISNUMBER(SEARCH(" "&amp;Task!$A$18&amp;" "," "&amp;LOWER(C266)&amp;" ")),1,0))+IF(Task!$A$19="",0,IF(ISNUMBER(SEARCH(" "&amp;Task!$A$19&amp;" "," "&amp;LOWER(C266)&amp;" ")),1,0)))</f>
        <v/>
      </c>
      <c r="H266" s="9">
        <f>IF(E266=0,0,IF(Task!$A$8="",0,IF(ISNUMBER(SEARCH(" "&amp;Task!$A$8&amp;" "," "&amp;LOWER(SUBSTITUTE(SUBSTITUTE(SUBSTITUTE(SUBSTITUTE(A266,"/"," "),"."," "),"\"," "),"_"," "))&amp;" ")),1,0))+IF(Task!$A$9="",0,IF(ISNUMBER(SEARCH(" "&amp;Task!$A$9&amp;" "," "&amp;LOWER(SUBSTITUTE(SUBSTITUTE(SUBSTITUTE(SUBSTITUTE(A266,"/"," "),"."," "),"\"," "),"_"," "))&amp;" ")),1,0))+IF(Task!$A$10="",0,IF(ISNUMBER(SEARCH(" "&amp;Task!$A$10&amp;" "," "&amp;LOWER(SUBSTITUTE(SUBSTITUTE(SUBSTITUTE(SUBSTITUTE(A266,"/"," "),"."," "),"\"," "),"_"," "))&amp;" ")),1,0))+IF(Task!$A$11="",0,IF(ISNUMBER(SEARCH(" "&amp;Task!$A$11&amp;" "," "&amp;LOWER(SUBSTITUTE(SUBSTITUTE(SUBSTITUTE(SUBSTITUTE(A266,"/"," "),"."," "),"\"," "),"_"," "))&amp;" ")),1,0))+IF(Task!$A$12="",0,IF(ISNUMBER(SEARCH(" "&amp;Task!$A$12&amp;" "," "&amp;LOWER(SUBSTITUTE(SUBSTITUTE(SUBSTITUTE(SUBSTITUTE(A266,"/"," "),"."," "),"\"," "),"_"," "))&amp;" ")),1,0))+IF(Task!$A$13="",0,IF(ISNUMBER(SEARCH(" "&amp;Task!$A$13&amp;" "," "&amp;LOWER(SUBSTITUTE(SUBSTITUTE(SUBSTITUTE(SUBSTITUTE(A266,"/"," "),"."," "),"\"," "),"_"," "))&amp;" ")),1,0))+IF(Task!$A$14="",0,IF(ISNUMBER(SEARCH(" "&amp;Task!$A$14&amp;" "," "&amp;LOWER(SUBSTITUTE(SUBSTITUTE(SUBSTITUTE(SUBSTITUTE(A266,"/"," "),"."," "),"\"," "),"_"," "))&amp;" ")),1,0))+IF(Task!$A$15="",0,IF(ISNUMBER(SEARCH(" "&amp;Task!$A$15&amp;" "," "&amp;LOWER(SUBSTITUTE(SUBSTITUTE(SUBSTITUTE(SUBSTITUTE(A266,"/"," "),"."," "),"\"," "),"_"," "))&amp;" ")),1,0))+IF(Task!$A$16="",0,IF(ISNUMBER(SEARCH(" "&amp;Task!$A$16&amp;" "," "&amp;LOWER(SUBSTITUTE(SUBSTITUTE(SUBSTITUTE(SUBSTITUTE(A266,"/"," "),"."," "),"\"," "),"_"," "))&amp;" ")),1,0))+IF(Task!$A$17="",0,IF(ISNUMBER(SEARCH(" "&amp;Task!$A$17&amp;" "," "&amp;LOWER(SUBSTITUTE(SUBSTITUTE(SUBSTITUTE(SUBSTITUTE(A266,"/"," "),"."," "),"\"," "),"_"," "))&amp;" ")),1,0))+IF(Task!$A$18="",0,IF(ISNUMBER(SEARCH(" "&amp;Task!$A$18&amp;" "," "&amp;LOWER(SUBSTITUTE(SUBSTITUTE(SUBSTITUTE(SUBSTITUTE(A266,"/"," "),"."," "),"\"," "),"_"," "))&amp;" ")),1,0))+IF(Task!$A$19="",0,IF(ISNUMBER(SEARCH(" "&amp;Task!$A$19&amp;" "," "&amp;LOWER(SUBSTITUTE(SUBSTITUTE(SUBSTITUTE(SUBSTITUTE(A266,"/"," "),"."," "),"\"," "),"_"," "))&amp;" ")),1,0)))</f>
        <v/>
      </c>
      <c r="I266" s="10">
        <f>IF(OR(E266=0,F266=0,Task!$B$21=0),"",F266/Task!$B$21+0.5*G266+0.25*H266)</f>
        <v/>
      </c>
      <c r="J266" s="5">
        <f>IF(I266="","",I266-ROW()/1000000)</f>
        <v/>
      </c>
      <c r="K266" s="9">
        <f>IF(J266="","",COUNTIF($J$5:$J$404,"&gt;"&amp;J266)+1)</f>
        <v/>
      </c>
    </row>
    <row r="267">
      <c r="A267" s="7" t="n"/>
      <c r="B267" s="7" t="n"/>
      <c r="C267" s="7" t="n"/>
      <c r="D267" s="7" t="n"/>
      <c r="E267" s="5">
        <f>IF(A267="",0,IF(COUNTA(Task!$B$5:$E$5)=0,1,IF(COUNTIF(Task!$B$5:$E$5,B267)&gt;0,1,0)))</f>
        <v/>
      </c>
      <c r="F267" s="9">
        <f>IF(E267=0,0,IF(Task!$A$8="",0,IF(ISNUMBER(SEARCH(" "&amp;Task!$A$8&amp;" "," "&amp;LOWER(D267&amp;" "&amp;C267&amp;" "&amp;LOWER(SUBSTITUTE(SUBSTITUTE(SUBSTITUTE(SUBSTITUTE(A267,"/"," "),"."," "),"\"," "),"_"," ")))&amp;" ")),1,0))+IF(Task!$A$9="",0,IF(ISNUMBER(SEARCH(" "&amp;Task!$A$9&amp;" "," "&amp;LOWER(D267&amp;" "&amp;C267&amp;" "&amp;LOWER(SUBSTITUTE(SUBSTITUTE(SUBSTITUTE(SUBSTITUTE(A267,"/"," "),"."," "),"\"," "),"_"," ")))&amp;" ")),1,0))+IF(Task!$A$10="",0,IF(ISNUMBER(SEARCH(" "&amp;Task!$A$10&amp;" "," "&amp;LOWER(D267&amp;" "&amp;C267&amp;" "&amp;LOWER(SUBSTITUTE(SUBSTITUTE(SUBSTITUTE(SUBSTITUTE(A267,"/"," "),"."," "),"\"," "),"_"," ")))&amp;" ")),1,0))+IF(Task!$A$11="",0,IF(ISNUMBER(SEARCH(" "&amp;Task!$A$11&amp;" "," "&amp;LOWER(D267&amp;" "&amp;C267&amp;" "&amp;LOWER(SUBSTITUTE(SUBSTITUTE(SUBSTITUTE(SUBSTITUTE(A267,"/"," "),"."," "),"\"," "),"_"," ")))&amp;" ")),1,0))+IF(Task!$A$12="",0,IF(ISNUMBER(SEARCH(" "&amp;Task!$A$12&amp;" "," "&amp;LOWER(D267&amp;" "&amp;C267&amp;" "&amp;LOWER(SUBSTITUTE(SUBSTITUTE(SUBSTITUTE(SUBSTITUTE(A267,"/"," "),"."," "),"\"," "),"_"," ")))&amp;" ")),1,0))+IF(Task!$A$13="",0,IF(ISNUMBER(SEARCH(" "&amp;Task!$A$13&amp;" "," "&amp;LOWER(D267&amp;" "&amp;C267&amp;" "&amp;LOWER(SUBSTITUTE(SUBSTITUTE(SUBSTITUTE(SUBSTITUTE(A267,"/"," "),"."," "),"\"," "),"_"," ")))&amp;" ")),1,0))+IF(Task!$A$14="",0,IF(ISNUMBER(SEARCH(" "&amp;Task!$A$14&amp;" "," "&amp;LOWER(D267&amp;" "&amp;C267&amp;" "&amp;LOWER(SUBSTITUTE(SUBSTITUTE(SUBSTITUTE(SUBSTITUTE(A267,"/"," "),"."," "),"\"," "),"_"," ")))&amp;" ")),1,0))+IF(Task!$A$15="",0,IF(ISNUMBER(SEARCH(" "&amp;Task!$A$15&amp;" "," "&amp;LOWER(D267&amp;" "&amp;C267&amp;" "&amp;LOWER(SUBSTITUTE(SUBSTITUTE(SUBSTITUTE(SUBSTITUTE(A267,"/"," "),"."," "),"\"," "),"_"," ")))&amp;" ")),1,0))+IF(Task!$A$16="",0,IF(ISNUMBER(SEARCH(" "&amp;Task!$A$16&amp;" "," "&amp;LOWER(D267&amp;" "&amp;C267&amp;" "&amp;LOWER(SUBSTITUTE(SUBSTITUTE(SUBSTITUTE(SUBSTITUTE(A267,"/"," "),"."," "),"\"," "),"_"," ")))&amp;" ")),1,0))+IF(Task!$A$17="",0,IF(ISNUMBER(SEARCH(" "&amp;Task!$A$17&amp;" "," "&amp;LOWER(D267&amp;" "&amp;C267&amp;" "&amp;LOWER(SUBSTITUTE(SUBSTITUTE(SUBSTITUTE(SUBSTITUTE(A267,"/"," "),"."," "),"\"," "),"_"," ")))&amp;" ")),1,0))+IF(Task!$A$18="",0,IF(ISNUMBER(SEARCH(" "&amp;Task!$A$18&amp;" "," "&amp;LOWER(D267&amp;" "&amp;C267&amp;" "&amp;LOWER(SUBSTITUTE(SUBSTITUTE(SUBSTITUTE(SUBSTITUTE(A267,"/"," "),"."," "),"\"," "),"_"," ")))&amp;" ")),1,0))+IF(Task!$A$19="",0,IF(ISNUMBER(SEARCH(" "&amp;Task!$A$19&amp;" "," "&amp;LOWER(D267&amp;" "&amp;C267&amp;" "&amp;LOWER(SUBSTITUTE(SUBSTITUTE(SUBSTITUTE(SUBSTITUTE(A267,"/"," "),"."," "),"\"," "),"_"," ")))&amp;" ")),1,0)))</f>
        <v/>
      </c>
      <c r="G267" s="9">
        <f>IF(E267=0,0,IF(Task!$A$8="",0,IF(ISNUMBER(SEARCH(" "&amp;Task!$A$8&amp;" "," "&amp;LOWER(C267)&amp;" ")),1,0))+IF(Task!$A$9="",0,IF(ISNUMBER(SEARCH(" "&amp;Task!$A$9&amp;" "," "&amp;LOWER(C267)&amp;" ")),1,0))+IF(Task!$A$10="",0,IF(ISNUMBER(SEARCH(" "&amp;Task!$A$10&amp;" "," "&amp;LOWER(C267)&amp;" ")),1,0))+IF(Task!$A$11="",0,IF(ISNUMBER(SEARCH(" "&amp;Task!$A$11&amp;" "," "&amp;LOWER(C267)&amp;" ")),1,0))+IF(Task!$A$12="",0,IF(ISNUMBER(SEARCH(" "&amp;Task!$A$12&amp;" "," "&amp;LOWER(C267)&amp;" ")),1,0))+IF(Task!$A$13="",0,IF(ISNUMBER(SEARCH(" "&amp;Task!$A$13&amp;" "," "&amp;LOWER(C267)&amp;" ")),1,0))+IF(Task!$A$14="",0,IF(ISNUMBER(SEARCH(" "&amp;Task!$A$14&amp;" "," "&amp;LOWER(C267)&amp;" ")),1,0))+IF(Task!$A$15="",0,IF(ISNUMBER(SEARCH(" "&amp;Task!$A$15&amp;" "," "&amp;LOWER(C267)&amp;" ")),1,0))+IF(Task!$A$16="",0,IF(ISNUMBER(SEARCH(" "&amp;Task!$A$16&amp;" "," "&amp;LOWER(C267)&amp;" ")),1,0))+IF(Task!$A$17="",0,IF(ISNUMBER(SEARCH(" "&amp;Task!$A$17&amp;" "," "&amp;LOWER(C267)&amp;" ")),1,0))+IF(Task!$A$18="",0,IF(ISNUMBER(SEARCH(" "&amp;Task!$A$18&amp;" "," "&amp;LOWER(C267)&amp;" ")),1,0))+IF(Task!$A$19="",0,IF(ISNUMBER(SEARCH(" "&amp;Task!$A$19&amp;" "," "&amp;LOWER(C267)&amp;" ")),1,0)))</f>
        <v/>
      </c>
      <c r="H267" s="9">
        <f>IF(E267=0,0,IF(Task!$A$8="",0,IF(ISNUMBER(SEARCH(" "&amp;Task!$A$8&amp;" "," "&amp;LOWER(SUBSTITUTE(SUBSTITUTE(SUBSTITUTE(SUBSTITUTE(A267,"/"," "),"."," "),"\"," "),"_"," "))&amp;" ")),1,0))+IF(Task!$A$9="",0,IF(ISNUMBER(SEARCH(" "&amp;Task!$A$9&amp;" "," "&amp;LOWER(SUBSTITUTE(SUBSTITUTE(SUBSTITUTE(SUBSTITUTE(A267,"/"," "),"."," "),"\"," "),"_"," "))&amp;" ")),1,0))+IF(Task!$A$10="",0,IF(ISNUMBER(SEARCH(" "&amp;Task!$A$10&amp;" "," "&amp;LOWER(SUBSTITUTE(SUBSTITUTE(SUBSTITUTE(SUBSTITUTE(A267,"/"," "),"."," "),"\"," "),"_"," "))&amp;" ")),1,0))+IF(Task!$A$11="",0,IF(ISNUMBER(SEARCH(" "&amp;Task!$A$11&amp;" "," "&amp;LOWER(SUBSTITUTE(SUBSTITUTE(SUBSTITUTE(SUBSTITUTE(A267,"/"," "),"."," "),"\"," "),"_"," "))&amp;" ")),1,0))+IF(Task!$A$12="",0,IF(ISNUMBER(SEARCH(" "&amp;Task!$A$12&amp;" "," "&amp;LOWER(SUBSTITUTE(SUBSTITUTE(SUBSTITUTE(SUBSTITUTE(A267,"/"," "),"."," "),"\"," "),"_"," "))&amp;" ")),1,0))+IF(Task!$A$13="",0,IF(ISNUMBER(SEARCH(" "&amp;Task!$A$13&amp;" "," "&amp;LOWER(SUBSTITUTE(SUBSTITUTE(SUBSTITUTE(SUBSTITUTE(A267,"/"," "),"."," "),"\"," "),"_"," "))&amp;" ")),1,0))+IF(Task!$A$14="",0,IF(ISNUMBER(SEARCH(" "&amp;Task!$A$14&amp;" "," "&amp;LOWER(SUBSTITUTE(SUBSTITUTE(SUBSTITUTE(SUBSTITUTE(A267,"/"," "),"."," "),"\"," "),"_"," "))&amp;" ")),1,0))+IF(Task!$A$15="",0,IF(ISNUMBER(SEARCH(" "&amp;Task!$A$15&amp;" "," "&amp;LOWER(SUBSTITUTE(SUBSTITUTE(SUBSTITUTE(SUBSTITUTE(A267,"/"," "),"."," "),"\"," "),"_"," "))&amp;" ")),1,0))+IF(Task!$A$16="",0,IF(ISNUMBER(SEARCH(" "&amp;Task!$A$16&amp;" "," "&amp;LOWER(SUBSTITUTE(SUBSTITUTE(SUBSTITUTE(SUBSTITUTE(A267,"/"," "),"."," "),"\"," "),"_"," "))&amp;" ")),1,0))+IF(Task!$A$17="",0,IF(ISNUMBER(SEARCH(" "&amp;Task!$A$17&amp;" "," "&amp;LOWER(SUBSTITUTE(SUBSTITUTE(SUBSTITUTE(SUBSTITUTE(A267,"/"," "),"."," "),"\"," "),"_"," "))&amp;" ")),1,0))+IF(Task!$A$18="",0,IF(ISNUMBER(SEARCH(" "&amp;Task!$A$18&amp;" "," "&amp;LOWER(SUBSTITUTE(SUBSTITUTE(SUBSTITUTE(SUBSTITUTE(A267,"/"," "),"."," "),"\"," "),"_"," "))&amp;" ")),1,0))+IF(Task!$A$19="",0,IF(ISNUMBER(SEARCH(" "&amp;Task!$A$19&amp;" "," "&amp;LOWER(SUBSTITUTE(SUBSTITUTE(SUBSTITUTE(SUBSTITUTE(A267,"/"," "),"."," "),"\"," "),"_"," "))&amp;" ")),1,0)))</f>
        <v/>
      </c>
      <c r="I267" s="10">
        <f>IF(OR(E267=0,F267=0,Task!$B$21=0),"",F267/Task!$B$21+0.5*G267+0.25*H267)</f>
        <v/>
      </c>
      <c r="J267" s="5">
        <f>IF(I267="","",I267-ROW()/1000000)</f>
        <v/>
      </c>
      <c r="K267" s="9">
        <f>IF(J267="","",COUNTIF($J$5:$J$404,"&gt;"&amp;J267)+1)</f>
        <v/>
      </c>
    </row>
    <row r="268">
      <c r="A268" s="7" t="n"/>
      <c r="B268" s="7" t="n"/>
      <c r="C268" s="7" t="n"/>
      <c r="D268" s="7" t="n"/>
      <c r="E268" s="5">
        <f>IF(A268="",0,IF(COUNTA(Task!$B$5:$E$5)=0,1,IF(COUNTIF(Task!$B$5:$E$5,B268)&gt;0,1,0)))</f>
        <v/>
      </c>
      <c r="F268" s="9">
        <f>IF(E268=0,0,IF(Task!$A$8="",0,IF(ISNUMBER(SEARCH(" "&amp;Task!$A$8&amp;" "," "&amp;LOWER(D268&amp;" "&amp;C268&amp;" "&amp;LOWER(SUBSTITUTE(SUBSTITUTE(SUBSTITUTE(SUBSTITUTE(A268,"/"," "),"."," "),"\"," "),"_"," ")))&amp;" ")),1,0))+IF(Task!$A$9="",0,IF(ISNUMBER(SEARCH(" "&amp;Task!$A$9&amp;" "," "&amp;LOWER(D268&amp;" "&amp;C268&amp;" "&amp;LOWER(SUBSTITUTE(SUBSTITUTE(SUBSTITUTE(SUBSTITUTE(A268,"/"," "),"."," "),"\"," "),"_"," ")))&amp;" ")),1,0))+IF(Task!$A$10="",0,IF(ISNUMBER(SEARCH(" "&amp;Task!$A$10&amp;" "," "&amp;LOWER(D268&amp;" "&amp;C268&amp;" "&amp;LOWER(SUBSTITUTE(SUBSTITUTE(SUBSTITUTE(SUBSTITUTE(A268,"/"," "),"."," "),"\"," "),"_"," ")))&amp;" ")),1,0))+IF(Task!$A$11="",0,IF(ISNUMBER(SEARCH(" "&amp;Task!$A$11&amp;" "," "&amp;LOWER(D268&amp;" "&amp;C268&amp;" "&amp;LOWER(SUBSTITUTE(SUBSTITUTE(SUBSTITUTE(SUBSTITUTE(A268,"/"," "),"."," "),"\"," "),"_"," ")))&amp;" ")),1,0))+IF(Task!$A$12="",0,IF(ISNUMBER(SEARCH(" "&amp;Task!$A$12&amp;" "," "&amp;LOWER(D268&amp;" "&amp;C268&amp;" "&amp;LOWER(SUBSTITUTE(SUBSTITUTE(SUBSTITUTE(SUBSTITUTE(A268,"/"," "),"."," "),"\"," "),"_"," ")))&amp;" ")),1,0))+IF(Task!$A$13="",0,IF(ISNUMBER(SEARCH(" "&amp;Task!$A$13&amp;" "," "&amp;LOWER(D268&amp;" "&amp;C268&amp;" "&amp;LOWER(SUBSTITUTE(SUBSTITUTE(SUBSTITUTE(SUBSTITUTE(A268,"/"," "),"."," "),"\"," "),"_"," ")))&amp;" ")),1,0))+IF(Task!$A$14="",0,IF(ISNUMBER(SEARCH(" "&amp;Task!$A$14&amp;" "," "&amp;LOWER(D268&amp;" "&amp;C268&amp;" "&amp;LOWER(SUBSTITUTE(SUBSTITUTE(SUBSTITUTE(SUBSTITUTE(A268,"/"," "),"."," "),"\"," "),"_"," ")))&amp;" ")),1,0))+IF(Task!$A$15="",0,IF(ISNUMBER(SEARCH(" "&amp;Task!$A$15&amp;" "," "&amp;LOWER(D268&amp;" "&amp;C268&amp;" "&amp;LOWER(SUBSTITUTE(SUBSTITUTE(SUBSTITUTE(SUBSTITUTE(A268,"/"," "),"."," "),"\"," "),"_"," ")))&amp;" ")),1,0))+IF(Task!$A$16="",0,IF(ISNUMBER(SEARCH(" "&amp;Task!$A$16&amp;" "," "&amp;LOWER(D268&amp;" "&amp;C268&amp;" "&amp;LOWER(SUBSTITUTE(SUBSTITUTE(SUBSTITUTE(SUBSTITUTE(A268,"/"," "),"."," "),"\"," "),"_"," ")))&amp;" ")),1,0))+IF(Task!$A$17="",0,IF(ISNUMBER(SEARCH(" "&amp;Task!$A$17&amp;" "," "&amp;LOWER(D268&amp;" "&amp;C268&amp;" "&amp;LOWER(SUBSTITUTE(SUBSTITUTE(SUBSTITUTE(SUBSTITUTE(A268,"/"," "),"."," "),"\"," "),"_"," ")))&amp;" ")),1,0))+IF(Task!$A$18="",0,IF(ISNUMBER(SEARCH(" "&amp;Task!$A$18&amp;" "," "&amp;LOWER(D268&amp;" "&amp;C268&amp;" "&amp;LOWER(SUBSTITUTE(SUBSTITUTE(SUBSTITUTE(SUBSTITUTE(A268,"/"," "),"."," "),"\"," "),"_"," ")))&amp;" ")),1,0))+IF(Task!$A$19="",0,IF(ISNUMBER(SEARCH(" "&amp;Task!$A$19&amp;" "," "&amp;LOWER(D268&amp;" "&amp;C268&amp;" "&amp;LOWER(SUBSTITUTE(SUBSTITUTE(SUBSTITUTE(SUBSTITUTE(A268,"/"," "),"."," "),"\"," "),"_"," ")))&amp;" ")),1,0)))</f>
        <v/>
      </c>
      <c r="G268" s="9">
        <f>IF(E268=0,0,IF(Task!$A$8="",0,IF(ISNUMBER(SEARCH(" "&amp;Task!$A$8&amp;" "," "&amp;LOWER(C268)&amp;" ")),1,0))+IF(Task!$A$9="",0,IF(ISNUMBER(SEARCH(" "&amp;Task!$A$9&amp;" "," "&amp;LOWER(C268)&amp;" ")),1,0))+IF(Task!$A$10="",0,IF(ISNUMBER(SEARCH(" "&amp;Task!$A$10&amp;" "," "&amp;LOWER(C268)&amp;" ")),1,0))+IF(Task!$A$11="",0,IF(ISNUMBER(SEARCH(" "&amp;Task!$A$11&amp;" "," "&amp;LOWER(C268)&amp;" ")),1,0))+IF(Task!$A$12="",0,IF(ISNUMBER(SEARCH(" "&amp;Task!$A$12&amp;" "," "&amp;LOWER(C268)&amp;" ")),1,0))+IF(Task!$A$13="",0,IF(ISNUMBER(SEARCH(" "&amp;Task!$A$13&amp;" "," "&amp;LOWER(C268)&amp;" ")),1,0))+IF(Task!$A$14="",0,IF(ISNUMBER(SEARCH(" "&amp;Task!$A$14&amp;" "," "&amp;LOWER(C268)&amp;" ")),1,0))+IF(Task!$A$15="",0,IF(ISNUMBER(SEARCH(" "&amp;Task!$A$15&amp;" "," "&amp;LOWER(C268)&amp;" ")),1,0))+IF(Task!$A$16="",0,IF(ISNUMBER(SEARCH(" "&amp;Task!$A$16&amp;" "," "&amp;LOWER(C268)&amp;" ")),1,0))+IF(Task!$A$17="",0,IF(ISNUMBER(SEARCH(" "&amp;Task!$A$17&amp;" "," "&amp;LOWER(C268)&amp;" ")),1,0))+IF(Task!$A$18="",0,IF(ISNUMBER(SEARCH(" "&amp;Task!$A$18&amp;" "," "&amp;LOWER(C268)&amp;" ")),1,0))+IF(Task!$A$19="",0,IF(ISNUMBER(SEARCH(" "&amp;Task!$A$19&amp;" "," "&amp;LOWER(C268)&amp;" ")),1,0)))</f>
        <v/>
      </c>
      <c r="H268" s="9">
        <f>IF(E268=0,0,IF(Task!$A$8="",0,IF(ISNUMBER(SEARCH(" "&amp;Task!$A$8&amp;" "," "&amp;LOWER(SUBSTITUTE(SUBSTITUTE(SUBSTITUTE(SUBSTITUTE(A268,"/"," "),"."," "),"\"," "),"_"," "))&amp;" ")),1,0))+IF(Task!$A$9="",0,IF(ISNUMBER(SEARCH(" "&amp;Task!$A$9&amp;" "," "&amp;LOWER(SUBSTITUTE(SUBSTITUTE(SUBSTITUTE(SUBSTITUTE(A268,"/"," "),"."," "),"\"," "),"_"," "))&amp;" ")),1,0))+IF(Task!$A$10="",0,IF(ISNUMBER(SEARCH(" "&amp;Task!$A$10&amp;" "," "&amp;LOWER(SUBSTITUTE(SUBSTITUTE(SUBSTITUTE(SUBSTITUTE(A268,"/"," "),"."," "),"\"," "),"_"," "))&amp;" ")),1,0))+IF(Task!$A$11="",0,IF(ISNUMBER(SEARCH(" "&amp;Task!$A$11&amp;" "," "&amp;LOWER(SUBSTITUTE(SUBSTITUTE(SUBSTITUTE(SUBSTITUTE(A268,"/"," "),"."," "),"\"," "),"_"," "))&amp;" ")),1,0))+IF(Task!$A$12="",0,IF(ISNUMBER(SEARCH(" "&amp;Task!$A$12&amp;" "," "&amp;LOWER(SUBSTITUTE(SUBSTITUTE(SUBSTITUTE(SUBSTITUTE(A268,"/"," "),"."," "),"\"," "),"_"," "))&amp;" ")),1,0))+IF(Task!$A$13="",0,IF(ISNUMBER(SEARCH(" "&amp;Task!$A$13&amp;" "," "&amp;LOWER(SUBSTITUTE(SUBSTITUTE(SUBSTITUTE(SUBSTITUTE(A268,"/"," "),"."," "),"\"," "),"_"," "))&amp;" ")),1,0))+IF(Task!$A$14="",0,IF(ISNUMBER(SEARCH(" "&amp;Task!$A$14&amp;" "," "&amp;LOWER(SUBSTITUTE(SUBSTITUTE(SUBSTITUTE(SUBSTITUTE(A268,"/"," "),"."," "),"\"," "),"_"," "))&amp;" ")),1,0))+IF(Task!$A$15="",0,IF(ISNUMBER(SEARCH(" "&amp;Task!$A$15&amp;" "," "&amp;LOWER(SUBSTITUTE(SUBSTITUTE(SUBSTITUTE(SUBSTITUTE(A268,"/"," "),"."," "),"\"," "),"_"," "))&amp;" ")),1,0))+IF(Task!$A$16="",0,IF(ISNUMBER(SEARCH(" "&amp;Task!$A$16&amp;" "," "&amp;LOWER(SUBSTITUTE(SUBSTITUTE(SUBSTITUTE(SUBSTITUTE(A268,"/"," "),"."," "),"\"," "),"_"," "))&amp;" ")),1,0))+IF(Task!$A$17="",0,IF(ISNUMBER(SEARCH(" "&amp;Task!$A$17&amp;" "," "&amp;LOWER(SUBSTITUTE(SUBSTITUTE(SUBSTITUTE(SUBSTITUTE(A268,"/"," "),"."," "),"\"," "),"_"," "))&amp;" ")),1,0))+IF(Task!$A$18="",0,IF(ISNUMBER(SEARCH(" "&amp;Task!$A$18&amp;" "," "&amp;LOWER(SUBSTITUTE(SUBSTITUTE(SUBSTITUTE(SUBSTITUTE(A268,"/"," "),"."," "),"\"," "),"_"," "))&amp;" ")),1,0))+IF(Task!$A$19="",0,IF(ISNUMBER(SEARCH(" "&amp;Task!$A$19&amp;" "," "&amp;LOWER(SUBSTITUTE(SUBSTITUTE(SUBSTITUTE(SUBSTITUTE(A268,"/"," "),"."," "),"\"," "),"_"," "))&amp;" ")),1,0)))</f>
        <v/>
      </c>
      <c r="I268" s="10">
        <f>IF(OR(E268=0,F268=0,Task!$B$21=0),"",F268/Task!$B$21+0.5*G268+0.25*H268)</f>
        <v/>
      </c>
      <c r="J268" s="5">
        <f>IF(I268="","",I268-ROW()/1000000)</f>
        <v/>
      </c>
      <c r="K268" s="9">
        <f>IF(J268="","",COUNTIF($J$5:$J$404,"&gt;"&amp;J268)+1)</f>
        <v/>
      </c>
    </row>
    <row r="269">
      <c r="A269" s="7" t="n"/>
      <c r="B269" s="7" t="n"/>
      <c r="C269" s="7" t="n"/>
      <c r="D269" s="7" t="n"/>
      <c r="E269" s="5">
        <f>IF(A269="",0,IF(COUNTA(Task!$B$5:$E$5)=0,1,IF(COUNTIF(Task!$B$5:$E$5,B269)&gt;0,1,0)))</f>
        <v/>
      </c>
      <c r="F269" s="9">
        <f>IF(E269=0,0,IF(Task!$A$8="",0,IF(ISNUMBER(SEARCH(" "&amp;Task!$A$8&amp;" "," "&amp;LOWER(D269&amp;" "&amp;C269&amp;" "&amp;LOWER(SUBSTITUTE(SUBSTITUTE(SUBSTITUTE(SUBSTITUTE(A269,"/"," "),"."," "),"\"," "),"_"," ")))&amp;" ")),1,0))+IF(Task!$A$9="",0,IF(ISNUMBER(SEARCH(" "&amp;Task!$A$9&amp;" "," "&amp;LOWER(D269&amp;" "&amp;C269&amp;" "&amp;LOWER(SUBSTITUTE(SUBSTITUTE(SUBSTITUTE(SUBSTITUTE(A269,"/"," "),"."," "),"\"," "),"_"," ")))&amp;" ")),1,0))+IF(Task!$A$10="",0,IF(ISNUMBER(SEARCH(" "&amp;Task!$A$10&amp;" "," "&amp;LOWER(D269&amp;" "&amp;C269&amp;" "&amp;LOWER(SUBSTITUTE(SUBSTITUTE(SUBSTITUTE(SUBSTITUTE(A269,"/"," "),"."," "),"\"," "),"_"," ")))&amp;" ")),1,0))+IF(Task!$A$11="",0,IF(ISNUMBER(SEARCH(" "&amp;Task!$A$11&amp;" "," "&amp;LOWER(D269&amp;" "&amp;C269&amp;" "&amp;LOWER(SUBSTITUTE(SUBSTITUTE(SUBSTITUTE(SUBSTITUTE(A269,"/"," "),"."," "),"\"," "),"_"," ")))&amp;" ")),1,0))+IF(Task!$A$12="",0,IF(ISNUMBER(SEARCH(" "&amp;Task!$A$12&amp;" "," "&amp;LOWER(D269&amp;" "&amp;C269&amp;" "&amp;LOWER(SUBSTITUTE(SUBSTITUTE(SUBSTITUTE(SUBSTITUTE(A269,"/"," "),"."," "),"\"," "),"_"," ")))&amp;" ")),1,0))+IF(Task!$A$13="",0,IF(ISNUMBER(SEARCH(" "&amp;Task!$A$13&amp;" "," "&amp;LOWER(D269&amp;" "&amp;C269&amp;" "&amp;LOWER(SUBSTITUTE(SUBSTITUTE(SUBSTITUTE(SUBSTITUTE(A269,"/"," "),"."," "),"\"," "),"_"," ")))&amp;" ")),1,0))+IF(Task!$A$14="",0,IF(ISNUMBER(SEARCH(" "&amp;Task!$A$14&amp;" "," "&amp;LOWER(D269&amp;" "&amp;C269&amp;" "&amp;LOWER(SUBSTITUTE(SUBSTITUTE(SUBSTITUTE(SUBSTITUTE(A269,"/"," "),"."," "),"\"," "),"_"," ")))&amp;" ")),1,0))+IF(Task!$A$15="",0,IF(ISNUMBER(SEARCH(" "&amp;Task!$A$15&amp;" "," "&amp;LOWER(D269&amp;" "&amp;C269&amp;" "&amp;LOWER(SUBSTITUTE(SUBSTITUTE(SUBSTITUTE(SUBSTITUTE(A269,"/"," "),"."," "),"\"," "),"_"," ")))&amp;" ")),1,0))+IF(Task!$A$16="",0,IF(ISNUMBER(SEARCH(" "&amp;Task!$A$16&amp;" "," "&amp;LOWER(D269&amp;" "&amp;C269&amp;" "&amp;LOWER(SUBSTITUTE(SUBSTITUTE(SUBSTITUTE(SUBSTITUTE(A269,"/"," "),"."," "),"\"," "),"_"," ")))&amp;" ")),1,0))+IF(Task!$A$17="",0,IF(ISNUMBER(SEARCH(" "&amp;Task!$A$17&amp;" "," "&amp;LOWER(D269&amp;" "&amp;C269&amp;" "&amp;LOWER(SUBSTITUTE(SUBSTITUTE(SUBSTITUTE(SUBSTITUTE(A269,"/"," "),"."," "),"\"," "),"_"," ")))&amp;" ")),1,0))+IF(Task!$A$18="",0,IF(ISNUMBER(SEARCH(" "&amp;Task!$A$18&amp;" "," "&amp;LOWER(D269&amp;" "&amp;C269&amp;" "&amp;LOWER(SUBSTITUTE(SUBSTITUTE(SUBSTITUTE(SUBSTITUTE(A269,"/"," "),"."," "),"\"," "),"_"," ")))&amp;" ")),1,0))+IF(Task!$A$19="",0,IF(ISNUMBER(SEARCH(" "&amp;Task!$A$19&amp;" "," "&amp;LOWER(D269&amp;" "&amp;C269&amp;" "&amp;LOWER(SUBSTITUTE(SUBSTITUTE(SUBSTITUTE(SUBSTITUTE(A269,"/"," "),"."," "),"\"," "),"_"," ")))&amp;" ")),1,0)))</f>
        <v/>
      </c>
      <c r="G269" s="9">
        <f>IF(E269=0,0,IF(Task!$A$8="",0,IF(ISNUMBER(SEARCH(" "&amp;Task!$A$8&amp;" "," "&amp;LOWER(C269)&amp;" ")),1,0))+IF(Task!$A$9="",0,IF(ISNUMBER(SEARCH(" "&amp;Task!$A$9&amp;" "," "&amp;LOWER(C269)&amp;" ")),1,0))+IF(Task!$A$10="",0,IF(ISNUMBER(SEARCH(" "&amp;Task!$A$10&amp;" "," "&amp;LOWER(C269)&amp;" ")),1,0))+IF(Task!$A$11="",0,IF(ISNUMBER(SEARCH(" "&amp;Task!$A$11&amp;" "," "&amp;LOWER(C269)&amp;" ")),1,0))+IF(Task!$A$12="",0,IF(ISNUMBER(SEARCH(" "&amp;Task!$A$12&amp;" "," "&amp;LOWER(C269)&amp;" ")),1,0))+IF(Task!$A$13="",0,IF(ISNUMBER(SEARCH(" "&amp;Task!$A$13&amp;" "," "&amp;LOWER(C269)&amp;" ")),1,0))+IF(Task!$A$14="",0,IF(ISNUMBER(SEARCH(" "&amp;Task!$A$14&amp;" "," "&amp;LOWER(C269)&amp;" ")),1,0))+IF(Task!$A$15="",0,IF(ISNUMBER(SEARCH(" "&amp;Task!$A$15&amp;" "," "&amp;LOWER(C269)&amp;" ")),1,0))+IF(Task!$A$16="",0,IF(ISNUMBER(SEARCH(" "&amp;Task!$A$16&amp;" "," "&amp;LOWER(C269)&amp;" ")),1,0))+IF(Task!$A$17="",0,IF(ISNUMBER(SEARCH(" "&amp;Task!$A$17&amp;" "," "&amp;LOWER(C269)&amp;" ")),1,0))+IF(Task!$A$18="",0,IF(ISNUMBER(SEARCH(" "&amp;Task!$A$18&amp;" "," "&amp;LOWER(C269)&amp;" ")),1,0))+IF(Task!$A$19="",0,IF(ISNUMBER(SEARCH(" "&amp;Task!$A$19&amp;" "," "&amp;LOWER(C269)&amp;" ")),1,0)))</f>
        <v/>
      </c>
      <c r="H269" s="9">
        <f>IF(E269=0,0,IF(Task!$A$8="",0,IF(ISNUMBER(SEARCH(" "&amp;Task!$A$8&amp;" "," "&amp;LOWER(SUBSTITUTE(SUBSTITUTE(SUBSTITUTE(SUBSTITUTE(A269,"/"," "),"."," "),"\"," "),"_"," "))&amp;" ")),1,0))+IF(Task!$A$9="",0,IF(ISNUMBER(SEARCH(" "&amp;Task!$A$9&amp;" "," "&amp;LOWER(SUBSTITUTE(SUBSTITUTE(SUBSTITUTE(SUBSTITUTE(A269,"/"," "),"."," "),"\"," "),"_"," "))&amp;" ")),1,0))+IF(Task!$A$10="",0,IF(ISNUMBER(SEARCH(" "&amp;Task!$A$10&amp;" "," "&amp;LOWER(SUBSTITUTE(SUBSTITUTE(SUBSTITUTE(SUBSTITUTE(A269,"/"," "),"."," "),"\"," "),"_"," "))&amp;" ")),1,0))+IF(Task!$A$11="",0,IF(ISNUMBER(SEARCH(" "&amp;Task!$A$11&amp;" "," "&amp;LOWER(SUBSTITUTE(SUBSTITUTE(SUBSTITUTE(SUBSTITUTE(A269,"/"," "),"."," "),"\"," "),"_"," "))&amp;" ")),1,0))+IF(Task!$A$12="",0,IF(ISNUMBER(SEARCH(" "&amp;Task!$A$12&amp;" "," "&amp;LOWER(SUBSTITUTE(SUBSTITUTE(SUBSTITUTE(SUBSTITUTE(A269,"/"," "),"."," "),"\"," "),"_"," "))&amp;" ")),1,0))+IF(Task!$A$13="",0,IF(ISNUMBER(SEARCH(" "&amp;Task!$A$13&amp;" "," "&amp;LOWER(SUBSTITUTE(SUBSTITUTE(SUBSTITUTE(SUBSTITUTE(A269,"/"," "),"."," "),"\"," "),"_"," "))&amp;" ")),1,0))+IF(Task!$A$14="",0,IF(ISNUMBER(SEARCH(" "&amp;Task!$A$14&amp;" "," "&amp;LOWER(SUBSTITUTE(SUBSTITUTE(SUBSTITUTE(SUBSTITUTE(A269,"/"," "),"."," "),"\"," "),"_"," "))&amp;" ")),1,0))+IF(Task!$A$15="",0,IF(ISNUMBER(SEARCH(" "&amp;Task!$A$15&amp;" "," "&amp;LOWER(SUBSTITUTE(SUBSTITUTE(SUBSTITUTE(SUBSTITUTE(A269,"/"," "),"."," "),"\"," "),"_"," "))&amp;" ")),1,0))+IF(Task!$A$16="",0,IF(ISNUMBER(SEARCH(" "&amp;Task!$A$16&amp;" "," "&amp;LOWER(SUBSTITUTE(SUBSTITUTE(SUBSTITUTE(SUBSTITUTE(A269,"/"," "),"."," "),"\"," "),"_"," "))&amp;" ")),1,0))+IF(Task!$A$17="",0,IF(ISNUMBER(SEARCH(" "&amp;Task!$A$17&amp;" "," "&amp;LOWER(SUBSTITUTE(SUBSTITUTE(SUBSTITUTE(SUBSTITUTE(A269,"/"," "),"."," "),"\"," "),"_"," "))&amp;" ")),1,0))+IF(Task!$A$18="",0,IF(ISNUMBER(SEARCH(" "&amp;Task!$A$18&amp;" "," "&amp;LOWER(SUBSTITUTE(SUBSTITUTE(SUBSTITUTE(SUBSTITUTE(A269,"/"," "),"."," "),"\"," "),"_"," "))&amp;" ")),1,0))+IF(Task!$A$19="",0,IF(ISNUMBER(SEARCH(" "&amp;Task!$A$19&amp;" "," "&amp;LOWER(SUBSTITUTE(SUBSTITUTE(SUBSTITUTE(SUBSTITUTE(A269,"/"," "),"."," "),"\"," "),"_"," "))&amp;" ")),1,0)))</f>
        <v/>
      </c>
      <c r="I269" s="10">
        <f>IF(OR(E269=0,F269=0,Task!$B$21=0),"",F269/Task!$B$21+0.5*G269+0.25*H269)</f>
        <v/>
      </c>
      <c r="J269" s="5">
        <f>IF(I269="","",I269-ROW()/1000000)</f>
        <v/>
      </c>
      <c r="K269" s="9">
        <f>IF(J269="","",COUNTIF($J$5:$J$404,"&gt;"&amp;J269)+1)</f>
        <v/>
      </c>
    </row>
    <row r="270">
      <c r="A270" s="7" t="n"/>
      <c r="B270" s="7" t="n"/>
      <c r="C270" s="7" t="n"/>
      <c r="D270" s="7" t="n"/>
      <c r="E270" s="5">
        <f>IF(A270="",0,IF(COUNTA(Task!$B$5:$E$5)=0,1,IF(COUNTIF(Task!$B$5:$E$5,B270)&gt;0,1,0)))</f>
        <v/>
      </c>
      <c r="F270" s="9">
        <f>IF(E270=0,0,IF(Task!$A$8="",0,IF(ISNUMBER(SEARCH(" "&amp;Task!$A$8&amp;" "," "&amp;LOWER(D270&amp;" "&amp;C270&amp;" "&amp;LOWER(SUBSTITUTE(SUBSTITUTE(SUBSTITUTE(SUBSTITUTE(A270,"/"," "),"."," "),"\"," "),"_"," ")))&amp;" ")),1,0))+IF(Task!$A$9="",0,IF(ISNUMBER(SEARCH(" "&amp;Task!$A$9&amp;" "," "&amp;LOWER(D270&amp;" "&amp;C270&amp;" "&amp;LOWER(SUBSTITUTE(SUBSTITUTE(SUBSTITUTE(SUBSTITUTE(A270,"/"," "),"."," "),"\"," "),"_"," ")))&amp;" ")),1,0))+IF(Task!$A$10="",0,IF(ISNUMBER(SEARCH(" "&amp;Task!$A$10&amp;" "," "&amp;LOWER(D270&amp;" "&amp;C270&amp;" "&amp;LOWER(SUBSTITUTE(SUBSTITUTE(SUBSTITUTE(SUBSTITUTE(A270,"/"," "),"."," "),"\"," "),"_"," ")))&amp;" ")),1,0))+IF(Task!$A$11="",0,IF(ISNUMBER(SEARCH(" "&amp;Task!$A$11&amp;" "," "&amp;LOWER(D270&amp;" "&amp;C270&amp;" "&amp;LOWER(SUBSTITUTE(SUBSTITUTE(SUBSTITUTE(SUBSTITUTE(A270,"/"," "),"."," "),"\"," "),"_"," ")))&amp;" ")),1,0))+IF(Task!$A$12="",0,IF(ISNUMBER(SEARCH(" "&amp;Task!$A$12&amp;" "," "&amp;LOWER(D270&amp;" "&amp;C270&amp;" "&amp;LOWER(SUBSTITUTE(SUBSTITUTE(SUBSTITUTE(SUBSTITUTE(A270,"/"," "),"."," "),"\"," "),"_"," ")))&amp;" ")),1,0))+IF(Task!$A$13="",0,IF(ISNUMBER(SEARCH(" "&amp;Task!$A$13&amp;" "," "&amp;LOWER(D270&amp;" "&amp;C270&amp;" "&amp;LOWER(SUBSTITUTE(SUBSTITUTE(SUBSTITUTE(SUBSTITUTE(A270,"/"," "),"."," "),"\"," "),"_"," ")))&amp;" ")),1,0))+IF(Task!$A$14="",0,IF(ISNUMBER(SEARCH(" "&amp;Task!$A$14&amp;" "," "&amp;LOWER(D270&amp;" "&amp;C270&amp;" "&amp;LOWER(SUBSTITUTE(SUBSTITUTE(SUBSTITUTE(SUBSTITUTE(A270,"/"," "),"."," "),"\"," "),"_"," ")))&amp;" ")),1,0))+IF(Task!$A$15="",0,IF(ISNUMBER(SEARCH(" "&amp;Task!$A$15&amp;" "," "&amp;LOWER(D270&amp;" "&amp;C270&amp;" "&amp;LOWER(SUBSTITUTE(SUBSTITUTE(SUBSTITUTE(SUBSTITUTE(A270,"/"," "),"."," "),"\"," "),"_"," ")))&amp;" ")),1,0))+IF(Task!$A$16="",0,IF(ISNUMBER(SEARCH(" "&amp;Task!$A$16&amp;" "," "&amp;LOWER(D270&amp;" "&amp;C270&amp;" "&amp;LOWER(SUBSTITUTE(SUBSTITUTE(SUBSTITUTE(SUBSTITUTE(A270,"/"," "),"."," "),"\"," "),"_"," ")))&amp;" ")),1,0))+IF(Task!$A$17="",0,IF(ISNUMBER(SEARCH(" "&amp;Task!$A$17&amp;" "," "&amp;LOWER(D270&amp;" "&amp;C270&amp;" "&amp;LOWER(SUBSTITUTE(SUBSTITUTE(SUBSTITUTE(SUBSTITUTE(A270,"/"," "),"."," "),"\"," "),"_"," ")))&amp;" ")),1,0))+IF(Task!$A$18="",0,IF(ISNUMBER(SEARCH(" "&amp;Task!$A$18&amp;" "," "&amp;LOWER(D270&amp;" "&amp;C270&amp;" "&amp;LOWER(SUBSTITUTE(SUBSTITUTE(SUBSTITUTE(SUBSTITUTE(A270,"/"," "),"."," "),"\"," "),"_"," ")))&amp;" ")),1,0))+IF(Task!$A$19="",0,IF(ISNUMBER(SEARCH(" "&amp;Task!$A$19&amp;" "," "&amp;LOWER(D270&amp;" "&amp;C270&amp;" "&amp;LOWER(SUBSTITUTE(SUBSTITUTE(SUBSTITUTE(SUBSTITUTE(A270,"/"," "),"."," "),"\"," "),"_"," ")))&amp;" ")),1,0)))</f>
        <v/>
      </c>
      <c r="G270" s="9">
        <f>IF(E270=0,0,IF(Task!$A$8="",0,IF(ISNUMBER(SEARCH(" "&amp;Task!$A$8&amp;" "," "&amp;LOWER(C270)&amp;" ")),1,0))+IF(Task!$A$9="",0,IF(ISNUMBER(SEARCH(" "&amp;Task!$A$9&amp;" "," "&amp;LOWER(C270)&amp;" ")),1,0))+IF(Task!$A$10="",0,IF(ISNUMBER(SEARCH(" "&amp;Task!$A$10&amp;" "," "&amp;LOWER(C270)&amp;" ")),1,0))+IF(Task!$A$11="",0,IF(ISNUMBER(SEARCH(" "&amp;Task!$A$11&amp;" "," "&amp;LOWER(C270)&amp;" ")),1,0))+IF(Task!$A$12="",0,IF(ISNUMBER(SEARCH(" "&amp;Task!$A$12&amp;" "," "&amp;LOWER(C270)&amp;" ")),1,0))+IF(Task!$A$13="",0,IF(ISNUMBER(SEARCH(" "&amp;Task!$A$13&amp;" "," "&amp;LOWER(C270)&amp;" ")),1,0))+IF(Task!$A$14="",0,IF(ISNUMBER(SEARCH(" "&amp;Task!$A$14&amp;" "," "&amp;LOWER(C270)&amp;" ")),1,0))+IF(Task!$A$15="",0,IF(ISNUMBER(SEARCH(" "&amp;Task!$A$15&amp;" "," "&amp;LOWER(C270)&amp;" ")),1,0))+IF(Task!$A$16="",0,IF(ISNUMBER(SEARCH(" "&amp;Task!$A$16&amp;" "," "&amp;LOWER(C270)&amp;" ")),1,0))+IF(Task!$A$17="",0,IF(ISNUMBER(SEARCH(" "&amp;Task!$A$17&amp;" "," "&amp;LOWER(C270)&amp;" ")),1,0))+IF(Task!$A$18="",0,IF(ISNUMBER(SEARCH(" "&amp;Task!$A$18&amp;" "," "&amp;LOWER(C270)&amp;" ")),1,0))+IF(Task!$A$19="",0,IF(ISNUMBER(SEARCH(" "&amp;Task!$A$19&amp;" "," "&amp;LOWER(C270)&amp;" ")),1,0)))</f>
        <v/>
      </c>
      <c r="H270" s="9">
        <f>IF(E270=0,0,IF(Task!$A$8="",0,IF(ISNUMBER(SEARCH(" "&amp;Task!$A$8&amp;" "," "&amp;LOWER(SUBSTITUTE(SUBSTITUTE(SUBSTITUTE(SUBSTITUTE(A270,"/"," "),"."," "),"\"," "),"_"," "))&amp;" ")),1,0))+IF(Task!$A$9="",0,IF(ISNUMBER(SEARCH(" "&amp;Task!$A$9&amp;" "," "&amp;LOWER(SUBSTITUTE(SUBSTITUTE(SUBSTITUTE(SUBSTITUTE(A270,"/"," "),"."," "),"\"," "),"_"," "))&amp;" ")),1,0))+IF(Task!$A$10="",0,IF(ISNUMBER(SEARCH(" "&amp;Task!$A$10&amp;" "," "&amp;LOWER(SUBSTITUTE(SUBSTITUTE(SUBSTITUTE(SUBSTITUTE(A270,"/"," "),"."," "),"\"," "),"_"," "))&amp;" ")),1,0))+IF(Task!$A$11="",0,IF(ISNUMBER(SEARCH(" "&amp;Task!$A$11&amp;" "," "&amp;LOWER(SUBSTITUTE(SUBSTITUTE(SUBSTITUTE(SUBSTITUTE(A270,"/"," "),"."," "),"\"," "),"_"," "))&amp;" ")),1,0))+IF(Task!$A$12="",0,IF(ISNUMBER(SEARCH(" "&amp;Task!$A$12&amp;" "," "&amp;LOWER(SUBSTITUTE(SUBSTITUTE(SUBSTITUTE(SUBSTITUTE(A270,"/"," "),"."," "),"\"," "),"_"," "))&amp;" ")),1,0))+IF(Task!$A$13="",0,IF(ISNUMBER(SEARCH(" "&amp;Task!$A$13&amp;" "," "&amp;LOWER(SUBSTITUTE(SUBSTITUTE(SUBSTITUTE(SUBSTITUTE(A270,"/"," "),"."," "),"\"," "),"_"," "))&amp;" ")),1,0))+IF(Task!$A$14="",0,IF(ISNUMBER(SEARCH(" "&amp;Task!$A$14&amp;" "," "&amp;LOWER(SUBSTITUTE(SUBSTITUTE(SUBSTITUTE(SUBSTITUTE(A270,"/"," "),"."," "),"\"," "),"_"," "))&amp;" ")),1,0))+IF(Task!$A$15="",0,IF(ISNUMBER(SEARCH(" "&amp;Task!$A$15&amp;" "," "&amp;LOWER(SUBSTITUTE(SUBSTITUTE(SUBSTITUTE(SUBSTITUTE(A270,"/"," "),"."," "),"\"," "),"_"," "))&amp;" ")),1,0))+IF(Task!$A$16="",0,IF(ISNUMBER(SEARCH(" "&amp;Task!$A$16&amp;" "," "&amp;LOWER(SUBSTITUTE(SUBSTITUTE(SUBSTITUTE(SUBSTITUTE(A270,"/"," "),"."," "),"\"," "),"_"," "))&amp;" ")),1,0))+IF(Task!$A$17="",0,IF(ISNUMBER(SEARCH(" "&amp;Task!$A$17&amp;" "," "&amp;LOWER(SUBSTITUTE(SUBSTITUTE(SUBSTITUTE(SUBSTITUTE(A270,"/"," "),"."," "),"\"," "),"_"," "))&amp;" ")),1,0))+IF(Task!$A$18="",0,IF(ISNUMBER(SEARCH(" "&amp;Task!$A$18&amp;" "," "&amp;LOWER(SUBSTITUTE(SUBSTITUTE(SUBSTITUTE(SUBSTITUTE(A270,"/"," "),"."," "),"\"," "),"_"," "))&amp;" ")),1,0))+IF(Task!$A$19="",0,IF(ISNUMBER(SEARCH(" "&amp;Task!$A$19&amp;" "," "&amp;LOWER(SUBSTITUTE(SUBSTITUTE(SUBSTITUTE(SUBSTITUTE(A270,"/"," "),"."," "),"\"," "),"_"," "))&amp;" ")),1,0)))</f>
        <v/>
      </c>
      <c r="I270" s="10">
        <f>IF(OR(E270=0,F270=0,Task!$B$21=0),"",F270/Task!$B$21+0.5*G270+0.25*H270)</f>
        <v/>
      </c>
      <c r="J270" s="5">
        <f>IF(I270="","",I270-ROW()/1000000)</f>
        <v/>
      </c>
      <c r="K270" s="9">
        <f>IF(J270="","",COUNTIF($J$5:$J$404,"&gt;"&amp;J270)+1)</f>
        <v/>
      </c>
    </row>
    <row r="271">
      <c r="A271" s="7" t="n"/>
      <c r="B271" s="7" t="n"/>
      <c r="C271" s="7" t="n"/>
      <c r="D271" s="7" t="n"/>
      <c r="E271" s="5">
        <f>IF(A271="",0,IF(COUNTA(Task!$B$5:$E$5)=0,1,IF(COUNTIF(Task!$B$5:$E$5,B271)&gt;0,1,0)))</f>
        <v/>
      </c>
      <c r="F271" s="9">
        <f>IF(E271=0,0,IF(Task!$A$8="",0,IF(ISNUMBER(SEARCH(" "&amp;Task!$A$8&amp;" "," "&amp;LOWER(D271&amp;" "&amp;C271&amp;" "&amp;LOWER(SUBSTITUTE(SUBSTITUTE(SUBSTITUTE(SUBSTITUTE(A271,"/"," "),"."," "),"\"," "),"_"," ")))&amp;" ")),1,0))+IF(Task!$A$9="",0,IF(ISNUMBER(SEARCH(" "&amp;Task!$A$9&amp;" "," "&amp;LOWER(D271&amp;" "&amp;C271&amp;" "&amp;LOWER(SUBSTITUTE(SUBSTITUTE(SUBSTITUTE(SUBSTITUTE(A271,"/"," "),"."," "),"\"," "),"_"," ")))&amp;" ")),1,0))+IF(Task!$A$10="",0,IF(ISNUMBER(SEARCH(" "&amp;Task!$A$10&amp;" "," "&amp;LOWER(D271&amp;" "&amp;C271&amp;" "&amp;LOWER(SUBSTITUTE(SUBSTITUTE(SUBSTITUTE(SUBSTITUTE(A271,"/"," "),"."," "),"\"," "),"_"," ")))&amp;" ")),1,0))+IF(Task!$A$11="",0,IF(ISNUMBER(SEARCH(" "&amp;Task!$A$11&amp;" "," "&amp;LOWER(D271&amp;" "&amp;C271&amp;" "&amp;LOWER(SUBSTITUTE(SUBSTITUTE(SUBSTITUTE(SUBSTITUTE(A271,"/"," "),"."," "),"\"," "),"_"," ")))&amp;" ")),1,0))+IF(Task!$A$12="",0,IF(ISNUMBER(SEARCH(" "&amp;Task!$A$12&amp;" "," "&amp;LOWER(D271&amp;" "&amp;C271&amp;" "&amp;LOWER(SUBSTITUTE(SUBSTITUTE(SUBSTITUTE(SUBSTITUTE(A271,"/"," "),"."," "),"\"," "),"_"," ")))&amp;" ")),1,0))+IF(Task!$A$13="",0,IF(ISNUMBER(SEARCH(" "&amp;Task!$A$13&amp;" "," "&amp;LOWER(D271&amp;" "&amp;C271&amp;" "&amp;LOWER(SUBSTITUTE(SUBSTITUTE(SUBSTITUTE(SUBSTITUTE(A271,"/"," "),"."," "),"\"," "),"_"," ")))&amp;" ")),1,0))+IF(Task!$A$14="",0,IF(ISNUMBER(SEARCH(" "&amp;Task!$A$14&amp;" "," "&amp;LOWER(D271&amp;" "&amp;C271&amp;" "&amp;LOWER(SUBSTITUTE(SUBSTITUTE(SUBSTITUTE(SUBSTITUTE(A271,"/"," "),"."," "),"\"," "),"_"," ")))&amp;" ")),1,0))+IF(Task!$A$15="",0,IF(ISNUMBER(SEARCH(" "&amp;Task!$A$15&amp;" "," "&amp;LOWER(D271&amp;" "&amp;C271&amp;" "&amp;LOWER(SUBSTITUTE(SUBSTITUTE(SUBSTITUTE(SUBSTITUTE(A271,"/"," "),"."," "),"\"," "),"_"," ")))&amp;" ")),1,0))+IF(Task!$A$16="",0,IF(ISNUMBER(SEARCH(" "&amp;Task!$A$16&amp;" "," "&amp;LOWER(D271&amp;" "&amp;C271&amp;" "&amp;LOWER(SUBSTITUTE(SUBSTITUTE(SUBSTITUTE(SUBSTITUTE(A271,"/"," "),"."," "),"\"," "),"_"," ")))&amp;" ")),1,0))+IF(Task!$A$17="",0,IF(ISNUMBER(SEARCH(" "&amp;Task!$A$17&amp;" "," "&amp;LOWER(D271&amp;" "&amp;C271&amp;" "&amp;LOWER(SUBSTITUTE(SUBSTITUTE(SUBSTITUTE(SUBSTITUTE(A271,"/"," "),"."," "),"\"," "),"_"," ")))&amp;" ")),1,0))+IF(Task!$A$18="",0,IF(ISNUMBER(SEARCH(" "&amp;Task!$A$18&amp;" "," "&amp;LOWER(D271&amp;" "&amp;C271&amp;" "&amp;LOWER(SUBSTITUTE(SUBSTITUTE(SUBSTITUTE(SUBSTITUTE(A271,"/"," "),"."," "),"\"," "),"_"," ")))&amp;" ")),1,0))+IF(Task!$A$19="",0,IF(ISNUMBER(SEARCH(" "&amp;Task!$A$19&amp;" "," "&amp;LOWER(D271&amp;" "&amp;C271&amp;" "&amp;LOWER(SUBSTITUTE(SUBSTITUTE(SUBSTITUTE(SUBSTITUTE(A271,"/"," "),"."," "),"\"," "),"_"," ")))&amp;" ")),1,0)))</f>
        <v/>
      </c>
      <c r="G271" s="9">
        <f>IF(E271=0,0,IF(Task!$A$8="",0,IF(ISNUMBER(SEARCH(" "&amp;Task!$A$8&amp;" "," "&amp;LOWER(C271)&amp;" ")),1,0))+IF(Task!$A$9="",0,IF(ISNUMBER(SEARCH(" "&amp;Task!$A$9&amp;" "," "&amp;LOWER(C271)&amp;" ")),1,0))+IF(Task!$A$10="",0,IF(ISNUMBER(SEARCH(" "&amp;Task!$A$10&amp;" "," "&amp;LOWER(C271)&amp;" ")),1,0))+IF(Task!$A$11="",0,IF(ISNUMBER(SEARCH(" "&amp;Task!$A$11&amp;" "," "&amp;LOWER(C271)&amp;" ")),1,0))+IF(Task!$A$12="",0,IF(ISNUMBER(SEARCH(" "&amp;Task!$A$12&amp;" "," "&amp;LOWER(C271)&amp;" ")),1,0))+IF(Task!$A$13="",0,IF(ISNUMBER(SEARCH(" "&amp;Task!$A$13&amp;" "," "&amp;LOWER(C271)&amp;" ")),1,0))+IF(Task!$A$14="",0,IF(ISNUMBER(SEARCH(" "&amp;Task!$A$14&amp;" "," "&amp;LOWER(C271)&amp;" ")),1,0))+IF(Task!$A$15="",0,IF(ISNUMBER(SEARCH(" "&amp;Task!$A$15&amp;" "," "&amp;LOWER(C271)&amp;" ")),1,0))+IF(Task!$A$16="",0,IF(ISNUMBER(SEARCH(" "&amp;Task!$A$16&amp;" "," "&amp;LOWER(C271)&amp;" ")),1,0))+IF(Task!$A$17="",0,IF(ISNUMBER(SEARCH(" "&amp;Task!$A$17&amp;" "," "&amp;LOWER(C271)&amp;" ")),1,0))+IF(Task!$A$18="",0,IF(ISNUMBER(SEARCH(" "&amp;Task!$A$18&amp;" "," "&amp;LOWER(C271)&amp;" ")),1,0))+IF(Task!$A$19="",0,IF(ISNUMBER(SEARCH(" "&amp;Task!$A$19&amp;" "," "&amp;LOWER(C271)&amp;" ")),1,0)))</f>
        <v/>
      </c>
      <c r="H271" s="9">
        <f>IF(E271=0,0,IF(Task!$A$8="",0,IF(ISNUMBER(SEARCH(" "&amp;Task!$A$8&amp;" "," "&amp;LOWER(SUBSTITUTE(SUBSTITUTE(SUBSTITUTE(SUBSTITUTE(A271,"/"," "),"."," "),"\"," "),"_"," "))&amp;" ")),1,0))+IF(Task!$A$9="",0,IF(ISNUMBER(SEARCH(" "&amp;Task!$A$9&amp;" "," "&amp;LOWER(SUBSTITUTE(SUBSTITUTE(SUBSTITUTE(SUBSTITUTE(A271,"/"," "),"."," "),"\"," "),"_"," "))&amp;" ")),1,0))+IF(Task!$A$10="",0,IF(ISNUMBER(SEARCH(" "&amp;Task!$A$10&amp;" "," "&amp;LOWER(SUBSTITUTE(SUBSTITUTE(SUBSTITUTE(SUBSTITUTE(A271,"/"," "),"."," "),"\"," "),"_"," "))&amp;" ")),1,0))+IF(Task!$A$11="",0,IF(ISNUMBER(SEARCH(" "&amp;Task!$A$11&amp;" "," "&amp;LOWER(SUBSTITUTE(SUBSTITUTE(SUBSTITUTE(SUBSTITUTE(A271,"/"," "),"."," "),"\"," "),"_"," "))&amp;" ")),1,0))+IF(Task!$A$12="",0,IF(ISNUMBER(SEARCH(" "&amp;Task!$A$12&amp;" "," "&amp;LOWER(SUBSTITUTE(SUBSTITUTE(SUBSTITUTE(SUBSTITUTE(A271,"/"," "),"."," "),"\"," "),"_"," "))&amp;" ")),1,0))+IF(Task!$A$13="",0,IF(ISNUMBER(SEARCH(" "&amp;Task!$A$13&amp;" "," "&amp;LOWER(SUBSTITUTE(SUBSTITUTE(SUBSTITUTE(SUBSTITUTE(A271,"/"," "),"."," "),"\"," "),"_"," "))&amp;" ")),1,0))+IF(Task!$A$14="",0,IF(ISNUMBER(SEARCH(" "&amp;Task!$A$14&amp;" "," "&amp;LOWER(SUBSTITUTE(SUBSTITUTE(SUBSTITUTE(SUBSTITUTE(A271,"/"," "),"."," "),"\"," "),"_"," "))&amp;" ")),1,0))+IF(Task!$A$15="",0,IF(ISNUMBER(SEARCH(" "&amp;Task!$A$15&amp;" "," "&amp;LOWER(SUBSTITUTE(SUBSTITUTE(SUBSTITUTE(SUBSTITUTE(A271,"/"," "),"."," "),"\"," "),"_"," "))&amp;" ")),1,0))+IF(Task!$A$16="",0,IF(ISNUMBER(SEARCH(" "&amp;Task!$A$16&amp;" "," "&amp;LOWER(SUBSTITUTE(SUBSTITUTE(SUBSTITUTE(SUBSTITUTE(A271,"/"," "),"."," "),"\"," "),"_"," "))&amp;" ")),1,0))+IF(Task!$A$17="",0,IF(ISNUMBER(SEARCH(" "&amp;Task!$A$17&amp;" "," "&amp;LOWER(SUBSTITUTE(SUBSTITUTE(SUBSTITUTE(SUBSTITUTE(A271,"/"," "),"."," "),"\"," "),"_"," "))&amp;" ")),1,0))+IF(Task!$A$18="",0,IF(ISNUMBER(SEARCH(" "&amp;Task!$A$18&amp;" "," "&amp;LOWER(SUBSTITUTE(SUBSTITUTE(SUBSTITUTE(SUBSTITUTE(A271,"/"," "),"."," "),"\"," "),"_"," "))&amp;" ")),1,0))+IF(Task!$A$19="",0,IF(ISNUMBER(SEARCH(" "&amp;Task!$A$19&amp;" "," "&amp;LOWER(SUBSTITUTE(SUBSTITUTE(SUBSTITUTE(SUBSTITUTE(A271,"/"," "),"."," "),"\"," "),"_"," "))&amp;" ")),1,0)))</f>
        <v/>
      </c>
      <c r="I271" s="10">
        <f>IF(OR(E271=0,F271=0,Task!$B$21=0),"",F271/Task!$B$21+0.5*G271+0.25*H271)</f>
        <v/>
      </c>
      <c r="J271" s="5">
        <f>IF(I271="","",I271-ROW()/1000000)</f>
        <v/>
      </c>
      <c r="K271" s="9">
        <f>IF(J271="","",COUNTIF($J$5:$J$404,"&gt;"&amp;J271)+1)</f>
        <v/>
      </c>
    </row>
    <row r="272">
      <c r="A272" s="7" t="n"/>
      <c r="B272" s="7" t="n"/>
      <c r="C272" s="7" t="n"/>
      <c r="D272" s="7" t="n"/>
      <c r="E272" s="5">
        <f>IF(A272="",0,IF(COUNTA(Task!$B$5:$E$5)=0,1,IF(COUNTIF(Task!$B$5:$E$5,B272)&gt;0,1,0)))</f>
        <v/>
      </c>
      <c r="F272" s="9">
        <f>IF(E272=0,0,IF(Task!$A$8="",0,IF(ISNUMBER(SEARCH(" "&amp;Task!$A$8&amp;" "," "&amp;LOWER(D272&amp;" "&amp;C272&amp;" "&amp;LOWER(SUBSTITUTE(SUBSTITUTE(SUBSTITUTE(SUBSTITUTE(A272,"/"," "),"."," "),"\"," "),"_"," ")))&amp;" ")),1,0))+IF(Task!$A$9="",0,IF(ISNUMBER(SEARCH(" "&amp;Task!$A$9&amp;" "," "&amp;LOWER(D272&amp;" "&amp;C272&amp;" "&amp;LOWER(SUBSTITUTE(SUBSTITUTE(SUBSTITUTE(SUBSTITUTE(A272,"/"," "),"."," "),"\"," "),"_"," ")))&amp;" ")),1,0))+IF(Task!$A$10="",0,IF(ISNUMBER(SEARCH(" "&amp;Task!$A$10&amp;" "," "&amp;LOWER(D272&amp;" "&amp;C272&amp;" "&amp;LOWER(SUBSTITUTE(SUBSTITUTE(SUBSTITUTE(SUBSTITUTE(A272,"/"," "),"."," "),"\"," "),"_"," ")))&amp;" ")),1,0))+IF(Task!$A$11="",0,IF(ISNUMBER(SEARCH(" "&amp;Task!$A$11&amp;" "," "&amp;LOWER(D272&amp;" "&amp;C272&amp;" "&amp;LOWER(SUBSTITUTE(SUBSTITUTE(SUBSTITUTE(SUBSTITUTE(A272,"/"," "),"."," "),"\"," "),"_"," ")))&amp;" ")),1,0))+IF(Task!$A$12="",0,IF(ISNUMBER(SEARCH(" "&amp;Task!$A$12&amp;" "," "&amp;LOWER(D272&amp;" "&amp;C272&amp;" "&amp;LOWER(SUBSTITUTE(SUBSTITUTE(SUBSTITUTE(SUBSTITUTE(A272,"/"," "),"."," "),"\"," "),"_"," ")))&amp;" ")),1,0))+IF(Task!$A$13="",0,IF(ISNUMBER(SEARCH(" "&amp;Task!$A$13&amp;" "," "&amp;LOWER(D272&amp;" "&amp;C272&amp;" "&amp;LOWER(SUBSTITUTE(SUBSTITUTE(SUBSTITUTE(SUBSTITUTE(A272,"/"," "),"."," "),"\"," "),"_"," ")))&amp;" ")),1,0))+IF(Task!$A$14="",0,IF(ISNUMBER(SEARCH(" "&amp;Task!$A$14&amp;" "," "&amp;LOWER(D272&amp;" "&amp;C272&amp;" "&amp;LOWER(SUBSTITUTE(SUBSTITUTE(SUBSTITUTE(SUBSTITUTE(A272,"/"," "),"."," "),"\"," "),"_"," ")))&amp;" ")),1,0))+IF(Task!$A$15="",0,IF(ISNUMBER(SEARCH(" "&amp;Task!$A$15&amp;" "," "&amp;LOWER(D272&amp;" "&amp;C272&amp;" "&amp;LOWER(SUBSTITUTE(SUBSTITUTE(SUBSTITUTE(SUBSTITUTE(A272,"/"," "),"."," "),"\"," "),"_"," ")))&amp;" ")),1,0))+IF(Task!$A$16="",0,IF(ISNUMBER(SEARCH(" "&amp;Task!$A$16&amp;" "," "&amp;LOWER(D272&amp;" "&amp;C272&amp;" "&amp;LOWER(SUBSTITUTE(SUBSTITUTE(SUBSTITUTE(SUBSTITUTE(A272,"/"," "),"."," "),"\"," "),"_"," ")))&amp;" ")),1,0))+IF(Task!$A$17="",0,IF(ISNUMBER(SEARCH(" "&amp;Task!$A$17&amp;" "," "&amp;LOWER(D272&amp;" "&amp;C272&amp;" "&amp;LOWER(SUBSTITUTE(SUBSTITUTE(SUBSTITUTE(SUBSTITUTE(A272,"/"," "),"."," "),"\"," "),"_"," ")))&amp;" ")),1,0))+IF(Task!$A$18="",0,IF(ISNUMBER(SEARCH(" "&amp;Task!$A$18&amp;" "," "&amp;LOWER(D272&amp;" "&amp;C272&amp;" "&amp;LOWER(SUBSTITUTE(SUBSTITUTE(SUBSTITUTE(SUBSTITUTE(A272,"/"," "),"."," "),"\"," "),"_"," ")))&amp;" ")),1,0))+IF(Task!$A$19="",0,IF(ISNUMBER(SEARCH(" "&amp;Task!$A$19&amp;" "," "&amp;LOWER(D272&amp;" "&amp;C272&amp;" "&amp;LOWER(SUBSTITUTE(SUBSTITUTE(SUBSTITUTE(SUBSTITUTE(A272,"/"," "),"."," "),"\"," "),"_"," ")))&amp;" ")),1,0)))</f>
        <v/>
      </c>
      <c r="G272" s="9">
        <f>IF(E272=0,0,IF(Task!$A$8="",0,IF(ISNUMBER(SEARCH(" "&amp;Task!$A$8&amp;" "," "&amp;LOWER(C272)&amp;" ")),1,0))+IF(Task!$A$9="",0,IF(ISNUMBER(SEARCH(" "&amp;Task!$A$9&amp;" "," "&amp;LOWER(C272)&amp;" ")),1,0))+IF(Task!$A$10="",0,IF(ISNUMBER(SEARCH(" "&amp;Task!$A$10&amp;" "," "&amp;LOWER(C272)&amp;" ")),1,0))+IF(Task!$A$11="",0,IF(ISNUMBER(SEARCH(" "&amp;Task!$A$11&amp;" "," "&amp;LOWER(C272)&amp;" ")),1,0))+IF(Task!$A$12="",0,IF(ISNUMBER(SEARCH(" "&amp;Task!$A$12&amp;" "," "&amp;LOWER(C272)&amp;" ")),1,0))+IF(Task!$A$13="",0,IF(ISNUMBER(SEARCH(" "&amp;Task!$A$13&amp;" "," "&amp;LOWER(C272)&amp;" ")),1,0))+IF(Task!$A$14="",0,IF(ISNUMBER(SEARCH(" "&amp;Task!$A$14&amp;" "," "&amp;LOWER(C272)&amp;" ")),1,0))+IF(Task!$A$15="",0,IF(ISNUMBER(SEARCH(" "&amp;Task!$A$15&amp;" "," "&amp;LOWER(C272)&amp;" ")),1,0))+IF(Task!$A$16="",0,IF(ISNUMBER(SEARCH(" "&amp;Task!$A$16&amp;" "," "&amp;LOWER(C272)&amp;" ")),1,0))+IF(Task!$A$17="",0,IF(ISNUMBER(SEARCH(" "&amp;Task!$A$17&amp;" "," "&amp;LOWER(C272)&amp;" ")),1,0))+IF(Task!$A$18="",0,IF(ISNUMBER(SEARCH(" "&amp;Task!$A$18&amp;" "," "&amp;LOWER(C272)&amp;" ")),1,0))+IF(Task!$A$19="",0,IF(ISNUMBER(SEARCH(" "&amp;Task!$A$19&amp;" "," "&amp;LOWER(C272)&amp;" ")),1,0)))</f>
        <v/>
      </c>
      <c r="H272" s="9">
        <f>IF(E272=0,0,IF(Task!$A$8="",0,IF(ISNUMBER(SEARCH(" "&amp;Task!$A$8&amp;" "," "&amp;LOWER(SUBSTITUTE(SUBSTITUTE(SUBSTITUTE(SUBSTITUTE(A272,"/"," "),"."," "),"\"," "),"_"," "))&amp;" ")),1,0))+IF(Task!$A$9="",0,IF(ISNUMBER(SEARCH(" "&amp;Task!$A$9&amp;" "," "&amp;LOWER(SUBSTITUTE(SUBSTITUTE(SUBSTITUTE(SUBSTITUTE(A272,"/"," "),"."," "),"\"," "),"_"," "))&amp;" ")),1,0))+IF(Task!$A$10="",0,IF(ISNUMBER(SEARCH(" "&amp;Task!$A$10&amp;" "," "&amp;LOWER(SUBSTITUTE(SUBSTITUTE(SUBSTITUTE(SUBSTITUTE(A272,"/"," "),"."," "),"\"," "),"_"," "))&amp;" ")),1,0))+IF(Task!$A$11="",0,IF(ISNUMBER(SEARCH(" "&amp;Task!$A$11&amp;" "," "&amp;LOWER(SUBSTITUTE(SUBSTITUTE(SUBSTITUTE(SUBSTITUTE(A272,"/"," "),"."," "),"\"," "),"_"," "))&amp;" ")),1,0))+IF(Task!$A$12="",0,IF(ISNUMBER(SEARCH(" "&amp;Task!$A$12&amp;" "," "&amp;LOWER(SUBSTITUTE(SUBSTITUTE(SUBSTITUTE(SUBSTITUTE(A272,"/"," "),"."," "),"\"," "),"_"," "))&amp;" ")),1,0))+IF(Task!$A$13="",0,IF(ISNUMBER(SEARCH(" "&amp;Task!$A$13&amp;" "," "&amp;LOWER(SUBSTITUTE(SUBSTITUTE(SUBSTITUTE(SUBSTITUTE(A272,"/"," "),"."," "),"\"," "),"_"," "))&amp;" ")),1,0))+IF(Task!$A$14="",0,IF(ISNUMBER(SEARCH(" "&amp;Task!$A$14&amp;" "," "&amp;LOWER(SUBSTITUTE(SUBSTITUTE(SUBSTITUTE(SUBSTITUTE(A272,"/"," "),"."," "),"\"," "),"_"," "))&amp;" ")),1,0))+IF(Task!$A$15="",0,IF(ISNUMBER(SEARCH(" "&amp;Task!$A$15&amp;" "," "&amp;LOWER(SUBSTITUTE(SUBSTITUTE(SUBSTITUTE(SUBSTITUTE(A272,"/"," "),"."," "),"\"," "),"_"," "))&amp;" ")),1,0))+IF(Task!$A$16="",0,IF(ISNUMBER(SEARCH(" "&amp;Task!$A$16&amp;" "," "&amp;LOWER(SUBSTITUTE(SUBSTITUTE(SUBSTITUTE(SUBSTITUTE(A272,"/"," "),"."," "),"\"," "),"_"," "))&amp;" ")),1,0))+IF(Task!$A$17="",0,IF(ISNUMBER(SEARCH(" "&amp;Task!$A$17&amp;" "," "&amp;LOWER(SUBSTITUTE(SUBSTITUTE(SUBSTITUTE(SUBSTITUTE(A272,"/"," "),"."," "),"\"," "),"_"," "))&amp;" ")),1,0))+IF(Task!$A$18="",0,IF(ISNUMBER(SEARCH(" "&amp;Task!$A$18&amp;" "," "&amp;LOWER(SUBSTITUTE(SUBSTITUTE(SUBSTITUTE(SUBSTITUTE(A272,"/"," "),"."," "),"\"," "),"_"," "))&amp;" ")),1,0))+IF(Task!$A$19="",0,IF(ISNUMBER(SEARCH(" "&amp;Task!$A$19&amp;" "," "&amp;LOWER(SUBSTITUTE(SUBSTITUTE(SUBSTITUTE(SUBSTITUTE(A272,"/"," "),"."," "),"\"," "),"_"," "))&amp;" ")),1,0)))</f>
        <v/>
      </c>
      <c r="I272" s="10">
        <f>IF(OR(E272=0,F272=0,Task!$B$21=0),"",F272/Task!$B$21+0.5*G272+0.25*H272)</f>
        <v/>
      </c>
      <c r="J272" s="5">
        <f>IF(I272="","",I272-ROW()/1000000)</f>
        <v/>
      </c>
      <c r="K272" s="9">
        <f>IF(J272="","",COUNTIF($J$5:$J$404,"&gt;"&amp;J272)+1)</f>
        <v/>
      </c>
    </row>
    <row r="273">
      <c r="A273" s="7" t="n"/>
      <c r="B273" s="7" t="n"/>
      <c r="C273" s="7" t="n"/>
      <c r="D273" s="7" t="n"/>
      <c r="E273" s="5">
        <f>IF(A273="",0,IF(COUNTA(Task!$B$5:$E$5)=0,1,IF(COUNTIF(Task!$B$5:$E$5,B273)&gt;0,1,0)))</f>
        <v/>
      </c>
      <c r="F273" s="9">
        <f>IF(E273=0,0,IF(Task!$A$8="",0,IF(ISNUMBER(SEARCH(" "&amp;Task!$A$8&amp;" "," "&amp;LOWER(D273&amp;" "&amp;C273&amp;" "&amp;LOWER(SUBSTITUTE(SUBSTITUTE(SUBSTITUTE(SUBSTITUTE(A273,"/"," "),"."," "),"\"," "),"_"," ")))&amp;" ")),1,0))+IF(Task!$A$9="",0,IF(ISNUMBER(SEARCH(" "&amp;Task!$A$9&amp;" "," "&amp;LOWER(D273&amp;" "&amp;C273&amp;" "&amp;LOWER(SUBSTITUTE(SUBSTITUTE(SUBSTITUTE(SUBSTITUTE(A273,"/"," "),"."," "),"\"," "),"_"," ")))&amp;" ")),1,0))+IF(Task!$A$10="",0,IF(ISNUMBER(SEARCH(" "&amp;Task!$A$10&amp;" "," "&amp;LOWER(D273&amp;" "&amp;C273&amp;" "&amp;LOWER(SUBSTITUTE(SUBSTITUTE(SUBSTITUTE(SUBSTITUTE(A273,"/"," "),"."," "),"\"," "),"_"," ")))&amp;" ")),1,0))+IF(Task!$A$11="",0,IF(ISNUMBER(SEARCH(" "&amp;Task!$A$11&amp;" "," "&amp;LOWER(D273&amp;" "&amp;C273&amp;" "&amp;LOWER(SUBSTITUTE(SUBSTITUTE(SUBSTITUTE(SUBSTITUTE(A273,"/"," "),"."," "),"\"," "),"_"," ")))&amp;" ")),1,0))+IF(Task!$A$12="",0,IF(ISNUMBER(SEARCH(" "&amp;Task!$A$12&amp;" "," "&amp;LOWER(D273&amp;" "&amp;C273&amp;" "&amp;LOWER(SUBSTITUTE(SUBSTITUTE(SUBSTITUTE(SUBSTITUTE(A273,"/"," "),"."," "),"\"," "),"_"," ")))&amp;" ")),1,0))+IF(Task!$A$13="",0,IF(ISNUMBER(SEARCH(" "&amp;Task!$A$13&amp;" "," "&amp;LOWER(D273&amp;" "&amp;C273&amp;" "&amp;LOWER(SUBSTITUTE(SUBSTITUTE(SUBSTITUTE(SUBSTITUTE(A273,"/"," "),"."," "),"\"," "),"_"," ")))&amp;" ")),1,0))+IF(Task!$A$14="",0,IF(ISNUMBER(SEARCH(" "&amp;Task!$A$14&amp;" "," "&amp;LOWER(D273&amp;" "&amp;C273&amp;" "&amp;LOWER(SUBSTITUTE(SUBSTITUTE(SUBSTITUTE(SUBSTITUTE(A273,"/"," "),"."," "),"\"," "),"_"," ")))&amp;" ")),1,0))+IF(Task!$A$15="",0,IF(ISNUMBER(SEARCH(" "&amp;Task!$A$15&amp;" "," "&amp;LOWER(D273&amp;" "&amp;C273&amp;" "&amp;LOWER(SUBSTITUTE(SUBSTITUTE(SUBSTITUTE(SUBSTITUTE(A273,"/"," "),"."," "),"\"," "),"_"," ")))&amp;" ")),1,0))+IF(Task!$A$16="",0,IF(ISNUMBER(SEARCH(" "&amp;Task!$A$16&amp;" "," "&amp;LOWER(D273&amp;" "&amp;C273&amp;" "&amp;LOWER(SUBSTITUTE(SUBSTITUTE(SUBSTITUTE(SUBSTITUTE(A273,"/"," "),"."," "),"\"," "),"_"," ")))&amp;" ")),1,0))+IF(Task!$A$17="",0,IF(ISNUMBER(SEARCH(" "&amp;Task!$A$17&amp;" "," "&amp;LOWER(D273&amp;" "&amp;C273&amp;" "&amp;LOWER(SUBSTITUTE(SUBSTITUTE(SUBSTITUTE(SUBSTITUTE(A273,"/"," "),"."," "),"\"," "),"_"," ")))&amp;" ")),1,0))+IF(Task!$A$18="",0,IF(ISNUMBER(SEARCH(" "&amp;Task!$A$18&amp;" "," "&amp;LOWER(D273&amp;" "&amp;C273&amp;" "&amp;LOWER(SUBSTITUTE(SUBSTITUTE(SUBSTITUTE(SUBSTITUTE(A273,"/"," "),"."," "),"\"," "),"_"," ")))&amp;" ")),1,0))+IF(Task!$A$19="",0,IF(ISNUMBER(SEARCH(" "&amp;Task!$A$19&amp;" "," "&amp;LOWER(D273&amp;" "&amp;C273&amp;" "&amp;LOWER(SUBSTITUTE(SUBSTITUTE(SUBSTITUTE(SUBSTITUTE(A273,"/"," "),"."," "),"\"," "),"_"," ")))&amp;" ")),1,0)))</f>
        <v/>
      </c>
      <c r="G273" s="9">
        <f>IF(E273=0,0,IF(Task!$A$8="",0,IF(ISNUMBER(SEARCH(" "&amp;Task!$A$8&amp;" "," "&amp;LOWER(C273)&amp;" ")),1,0))+IF(Task!$A$9="",0,IF(ISNUMBER(SEARCH(" "&amp;Task!$A$9&amp;" "," "&amp;LOWER(C273)&amp;" ")),1,0))+IF(Task!$A$10="",0,IF(ISNUMBER(SEARCH(" "&amp;Task!$A$10&amp;" "," "&amp;LOWER(C273)&amp;" ")),1,0))+IF(Task!$A$11="",0,IF(ISNUMBER(SEARCH(" "&amp;Task!$A$11&amp;" "," "&amp;LOWER(C273)&amp;" ")),1,0))+IF(Task!$A$12="",0,IF(ISNUMBER(SEARCH(" "&amp;Task!$A$12&amp;" "," "&amp;LOWER(C273)&amp;" ")),1,0))+IF(Task!$A$13="",0,IF(ISNUMBER(SEARCH(" "&amp;Task!$A$13&amp;" "," "&amp;LOWER(C273)&amp;" ")),1,0))+IF(Task!$A$14="",0,IF(ISNUMBER(SEARCH(" "&amp;Task!$A$14&amp;" "," "&amp;LOWER(C273)&amp;" ")),1,0))+IF(Task!$A$15="",0,IF(ISNUMBER(SEARCH(" "&amp;Task!$A$15&amp;" "," "&amp;LOWER(C273)&amp;" ")),1,0))+IF(Task!$A$16="",0,IF(ISNUMBER(SEARCH(" "&amp;Task!$A$16&amp;" "," "&amp;LOWER(C273)&amp;" ")),1,0))+IF(Task!$A$17="",0,IF(ISNUMBER(SEARCH(" "&amp;Task!$A$17&amp;" "," "&amp;LOWER(C273)&amp;" ")),1,0))+IF(Task!$A$18="",0,IF(ISNUMBER(SEARCH(" "&amp;Task!$A$18&amp;" "," "&amp;LOWER(C273)&amp;" ")),1,0))+IF(Task!$A$19="",0,IF(ISNUMBER(SEARCH(" "&amp;Task!$A$19&amp;" "," "&amp;LOWER(C273)&amp;" ")),1,0)))</f>
        <v/>
      </c>
      <c r="H273" s="9">
        <f>IF(E273=0,0,IF(Task!$A$8="",0,IF(ISNUMBER(SEARCH(" "&amp;Task!$A$8&amp;" "," "&amp;LOWER(SUBSTITUTE(SUBSTITUTE(SUBSTITUTE(SUBSTITUTE(A273,"/"," "),"."," "),"\"," "),"_"," "))&amp;" ")),1,0))+IF(Task!$A$9="",0,IF(ISNUMBER(SEARCH(" "&amp;Task!$A$9&amp;" "," "&amp;LOWER(SUBSTITUTE(SUBSTITUTE(SUBSTITUTE(SUBSTITUTE(A273,"/"," "),"."," "),"\"," "),"_"," "))&amp;" ")),1,0))+IF(Task!$A$10="",0,IF(ISNUMBER(SEARCH(" "&amp;Task!$A$10&amp;" "," "&amp;LOWER(SUBSTITUTE(SUBSTITUTE(SUBSTITUTE(SUBSTITUTE(A273,"/"," "),"."," "),"\"," "),"_"," "))&amp;" ")),1,0))+IF(Task!$A$11="",0,IF(ISNUMBER(SEARCH(" "&amp;Task!$A$11&amp;" "," "&amp;LOWER(SUBSTITUTE(SUBSTITUTE(SUBSTITUTE(SUBSTITUTE(A273,"/"," "),"."," "),"\"," "),"_"," "))&amp;" ")),1,0))+IF(Task!$A$12="",0,IF(ISNUMBER(SEARCH(" "&amp;Task!$A$12&amp;" "," "&amp;LOWER(SUBSTITUTE(SUBSTITUTE(SUBSTITUTE(SUBSTITUTE(A273,"/"," "),"."," "),"\"," "),"_"," "))&amp;" ")),1,0))+IF(Task!$A$13="",0,IF(ISNUMBER(SEARCH(" "&amp;Task!$A$13&amp;" "," "&amp;LOWER(SUBSTITUTE(SUBSTITUTE(SUBSTITUTE(SUBSTITUTE(A273,"/"," "),"."," "),"\"," "),"_"," "))&amp;" ")),1,0))+IF(Task!$A$14="",0,IF(ISNUMBER(SEARCH(" "&amp;Task!$A$14&amp;" "," "&amp;LOWER(SUBSTITUTE(SUBSTITUTE(SUBSTITUTE(SUBSTITUTE(A273,"/"," "),"."," "),"\"," "),"_"," "))&amp;" ")),1,0))+IF(Task!$A$15="",0,IF(ISNUMBER(SEARCH(" "&amp;Task!$A$15&amp;" "," "&amp;LOWER(SUBSTITUTE(SUBSTITUTE(SUBSTITUTE(SUBSTITUTE(A273,"/"," "),"."," "),"\"," "),"_"," "))&amp;" ")),1,0))+IF(Task!$A$16="",0,IF(ISNUMBER(SEARCH(" "&amp;Task!$A$16&amp;" "," "&amp;LOWER(SUBSTITUTE(SUBSTITUTE(SUBSTITUTE(SUBSTITUTE(A273,"/"," "),"."," "),"\"," "),"_"," "))&amp;" ")),1,0))+IF(Task!$A$17="",0,IF(ISNUMBER(SEARCH(" "&amp;Task!$A$17&amp;" "," "&amp;LOWER(SUBSTITUTE(SUBSTITUTE(SUBSTITUTE(SUBSTITUTE(A273,"/"," "),"."," "),"\"," "),"_"," "))&amp;" ")),1,0))+IF(Task!$A$18="",0,IF(ISNUMBER(SEARCH(" "&amp;Task!$A$18&amp;" "," "&amp;LOWER(SUBSTITUTE(SUBSTITUTE(SUBSTITUTE(SUBSTITUTE(A273,"/"," "),"."," "),"\"," "),"_"," "))&amp;" ")),1,0))+IF(Task!$A$19="",0,IF(ISNUMBER(SEARCH(" "&amp;Task!$A$19&amp;" "," "&amp;LOWER(SUBSTITUTE(SUBSTITUTE(SUBSTITUTE(SUBSTITUTE(A273,"/"," "),"."," "),"\"," "),"_"," "))&amp;" ")),1,0)))</f>
        <v/>
      </c>
      <c r="I273" s="10">
        <f>IF(OR(E273=0,F273=0,Task!$B$21=0),"",F273/Task!$B$21+0.5*G273+0.25*H273)</f>
        <v/>
      </c>
      <c r="J273" s="5">
        <f>IF(I273="","",I273-ROW()/1000000)</f>
        <v/>
      </c>
      <c r="K273" s="9">
        <f>IF(J273="","",COUNTIF($J$5:$J$404,"&gt;"&amp;J273)+1)</f>
        <v/>
      </c>
    </row>
    <row r="274">
      <c r="A274" s="7" t="n"/>
      <c r="B274" s="7" t="n"/>
      <c r="C274" s="7" t="n"/>
      <c r="D274" s="7" t="n"/>
      <c r="E274" s="5">
        <f>IF(A274="",0,IF(COUNTA(Task!$B$5:$E$5)=0,1,IF(COUNTIF(Task!$B$5:$E$5,B274)&gt;0,1,0)))</f>
        <v/>
      </c>
      <c r="F274" s="9">
        <f>IF(E274=0,0,IF(Task!$A$8="",0,IF(ISNUMBER(SEARCH(" "&amp;Task!$A$8&amp;" "," "&amp;LOWER(D274&amp;" "&amp;C274&amp;" "&amp;LOWER(SUBSTITUTE(SUBSTITUTE(SUBSTITUTE(SUBSTITUTE(A274,"/"," "),"."," "),"\"," "),"_"," ")))&amp;" ")),1,0))+IF(Task!$A$9="",0,IF(ISNUMBER(SEARCH(" "&amp;Task!$A$9&amp;" "," "&amp;LOWER(D274&amp;" "&amp;C274&amp;" "&amp;LOWER(SUBSTITUTE(SUBSTITUTE(SUBSTITUTE(SUBSTITUTE(A274,"/"," "),"."," "),"\"," "),"_"," ")))&amp;" ")),1,0))+IF(Task!$A$10="",0,IF(ISNUMBER(SEARCH(" "&amp;Task!$A$10&amp;" "," "&amp;LOWER(D274&amp;" "&amp;C274&amp;" "&amp;LOWER(SUBSTITUTE(SUBSTITUTE(SUBSTITUTE(SUBSTITUTE(A274,"/"," "),"."," "),"\"," "),"_"," ")))&amp;" ")),1,0))+IF(Task!$A$11="",0,IF(ISNUMBER(SEARCH(" "&amp;Task!$A$11&amp;" "," "&amp;LOWER(D274&amp;" "&amp;C274&amp;" "&amp;LOWER(SUBSTITUTE(SUBSTITUTE(SUBSTITUTE(SUBSTITUTE(A274,"/"," "),"."," "),"\"," "),"_"," ")))&amp;" ")),1,0))+IF(Task!$A$12="",0,IF(ISNUMBER(SEARCH(" "&amp;Task!$A$12&amp;" "," "&amp;LOWER(D274&amp;" "&amp;C274&amp;" "&amp;LOWER(SUBSTITUTE(SUBSTITUTE(SUBSTITUTE(SUBSTITUTE(A274,"/"," "),"."," "),"\"," "),"_"," ")))&amp;" ")),1,0))+IF(Task!$A$13="",0,IF(ISNUMBER(SEARCH(" "&amp;Task!$A$13&amp;" "," "&amp;LOWER(D274&amp;" "&amp;C274&amp;" "&amp;LOWER(SUBSTITUTE(SUBSTITUTE(SUBSTITUTE(SUBSTITUTE(A274,"/"," "),"."," "),"\"," "),"_"," ")))&amp;" ")),1,0))+IF(Task!$A$14="",0,IF(ISNUMBER(SEARCH(" "&amp;Task!$A$14&amp;" "," "&amp;LOWER(D274&amp;" "&amp;C274&amp;" "&amp;LOWER(SUBSTITUTE(SUBSTITUTE(SUBSTITUTE(SUBSTITUTE(A274,"/"," "),"."," "),"\"," "),"_"," ")))&amp;" ")),1,0))+IF(Task!$A$15="",0,IF(ISNUMBER(SEARCH(" "&amp;Task!$A$15&amp;" "," "&amp;LOWER(D274&amp;" "&amp;C274&amp;" "&amp;LOWER(SUBSTITUTE(SUBSTITUTE(SUBSTITUTE(SUBSTITUTE(A274,"/"," "),"."," "),"\"," "),"_"," ")))&amp;" ")),1,0))+IF(Task!$A$16="",0,IF(ISNUMBER(SEARCH(" "&amp;Task!$A$16&amp;" "," "&amp;LOWER(D274&amp;" "&amp;C274&amp;" "&amp;LOWER(SUBSTITUTE(SUBSTITUTE(SUBSTITUTE(SUBSTITUTE(A274,"/"," "),"."," "),"\"," "),"_"," ")))&amp;" ")),1,0))+IF(Task!$A$17="",0,IF(ISNUMBER(SEARCH(" "&amp;Task!$A$17&amp;" "," "&amp;LOWER(D274&amp;" "&amp;C274&amp;" "&amp;LOWER(SUBSTITUTE(SUBSTITUTE(SUBSTITUTE(SUBSTITUTE(A274,"/"," "),"."," "),"\"," "),"_"," ")))&amp;" ")),1,0))+IF(Task!$A$18="",0,IF(ISNUMBER(SEARCH(" "&amp;Task!$A$18&amp;" "," "&amp;LOWER(D274&amp;" "&amp;C274&amp;" "&amp;LOWER(SUBSTITUTE(SUBSTITUTE(SUBSTITUTE(SUBSTITUTE(A274,"/"," "),"."," "),"\"," "),"_"," ")))&amp;" ")),1,0))+IF(Task!$A$19="",0,IF(ISNUMBER(SEARCH(" "&amp;Task!$A$19&amp;" "," "&amp;LOWER(D274&amp;" "&amp;C274&amp;" "&amp;LOWER(SUBSTITUTE(SUBSTITUTE(SUBSTITUTE(SUBSTITUTE(A274,"/"," "),"."," "),"\"," "),"_"," ")))&amp;" ")),1,0)))</f>
        <v/>
      </c>
      <c r="G274" s="9">
        <f>IF(E274=0,0,IF(Task!$A$8="",0,IF(ISNUMBER(SEARCH(" "&amp;Task!$A$8&amp;" "," "&amp;LOWER(C274)&amp;" ")),1,0))+IF(Task!$A$9="",0,IF(ISNUMBER(SEARCH(" "&amp;Task!$A$9&amp;" "," "&amp;LOWER(C274)&amp;" ")),1,0))+IF(Task!$A$10="",0,IF(ISNUMBER(SEARCH(" "&amp;Task!$A$10&amp;" "," "&amp;LOWER(C274)&amp;" ")),1,0))+IF(Task!$A$11="",0,IF(ISNUMBER(SEARCH(" "&amp;Task!$A$11&amp;" "," "&amp;LOWER(C274)&amp;" ")),1,0))+IF(Task!$A$12="",0,IF(ISNUMBER(SEARCH(" "&amp;Task!$A$12&amp;" "," "&amp;LOWER(C274)&amp;" ")),1,0))+IF(Task!$A$13="",0,IF(ISNUMBER(SEARCH(" "&amp;Task!$A$13&amp;" "," "&amp;LOWER(C274)&amp;" ")),1,0))+IF(Task!$A$14="",0,IF(ISNUMBER(SEARCH(" "&amp;Task!$A$14&amp;" "," "&amp;LOWER(C274)&amp;" ")),1,0))+IF(Task!$A$15="",0,IF(ISNUMBER(SEARCH(" "&amp;Task!$A$15&amp;" "," "&amp;LOWER(C274)&amp;" ")),1,0))+IF(Task!$A$16="",0,IF(ISNUMBER(SEARCH(" "&amp;Task!$A$16&amp;" "," "&amp;LOWER(C274)&amp;" ")),1,0))+IF(Task!$A$17="",0,IF(ISNUMBER(SEARCH(" "&amp;Task!$A$17&amp;" "," "&amp;LOWER(C274)&amp;" ")),1,0))+IF(Task!$A$18="",0,IF(ISNUMBER(SEARCH(" "&amp;Task!$A$18&amp;" "," "&amp;LOWER(C274)&amp;" ")),1,0))+IF(Task!$A$19="",0,IF(ISNUMBER(SEARCH(" "&amp;Task!$A$19&amp;" "," "&amp;LOWER(C274)&amp;" ")),1,0)))</f>
        <v/>
      </c>
      <c r="H274" s="9">
        <f>IF(E274=0,0,IF(Task!$A$8="",0,IF(ISNUMBER(SEARCH(" "&amp;Task!$A$8&amp;" "," "&amp;LOWER(SUBSTITUTE(SUBSTITUTE(SUBSTITUTE(SUBSTITUTE(A274,"/"," "),"."," "),"\"," "),"_"," "))&amp;" ")),1,0))+IF(Task!$A$9="",0,IF(ISNUMBER(SEARCH(" "&amp;Task!$A$9&amp;" "," "&amp;LOWER(SUBSTITUTE(SUBSTITUTE(SUBSTITUTE(SUBSTITUTE(A274,"/"," "),"."," "),"\"," "),"_"," "))&amp;" ")),1,0))+IF(Task!$A$10="",0,IF(ISNUMBER(SEARCH(" "&amp;Task!$A$10&amp;" "," "&amp;LOWER(SUBSTITUTE(SUBSTITUTE(SUBSTITUTE(SUBSTITUTE(A274,"/"," "),"."," "),"\"," "),"_"," "))&amp;" ")),1,0))+IF(Task!$A$11="",0,IF(ISNUMBER(SEARCH(" "&amp;Task!$A$11&amp;" "," "&amp;LOWER(SUBSTITUTE(SUBSTITUTE(SUBSTITUTE(SUBSTITUTE(A274,"/"," "),"."," "),"\"," "),"_"," "))&amp;" ")),1,0))+IF(Task!$A$12="",0,IF(ISNUMBER(SEARCH(" "&amp;Task!$A$12&amp;" "," "&amp;LOWER(SUBSTITUTE(SUBSTITUTE(SUBSTITUTE(SUBSTITUTE(A274,"/"," "),"."," "),"\"," "),"_"," "))&amp;" ")),1,0))+IF(Task!$A$13="",0,IF(ISNUMBER(SEARCH(" "&amp;Task!$A$13&amp;" "," "&amp;LOWER(SUBSTITUTE(SUBSTITUTE(SUBSTITUTE(SUBSTITUTE(A274,"/"," "),"."," "),"\"," "),"_"," "))&amp;" ")),1,0))+IF(Task!$A$14="",0,IF(ISNUMBER(SEARCH(" "&amp;Task!$A$14&amp;" "," "&amp;LOWER(SUBSTITUTE(SUBSTITUTE(SUBSTITUTE(SUBSTITUTE(A274,"/"," "),"."," "),"\"," "),"_"," "))&amp;" ")),1,0))+IF(Task!$A$15="",0,IF(ISNUMBER(SEARCH(" "&amp;Task!$A$15&amp;" "," "&amp;LOWER(SUBSTITUTE(SUBSTITUTE(SUBSTITUTE(SUBSTITUTE(A274,"/"," "),"."," "),"\"," "),"_"," "))&amp;" ")),1,0))+IF(Task!$A$16="",0,IF(ISNUMBER(SEARCH(" "&amp;Task!$A$16&amp;" "," "&amp;LOWER(SUBSTITUTE(SUBSTITUTE(SUBSTITUTE(SUBSTITUTE(A274,"/"," "),"."," "),"\"," "),"_"," "))&amp;" ")),1,0))+IF(Task!$A$17="",0,IF(ISNUMBER(SEARCH(" "&amp;Task!$A$17&amp;" "," "&amp;LOWER(SUBSTITUTE(SUBSTITUTE(SUBSTITUTE(SUBSTITUTE(A274,"/"," "),"."," "),"\"," "),"_"," "))&amp;" ")),1,0))+IF(Task!$A$18="",0,IF(ISNUMBER(SEARCH(" "&amp;Task!$A$18&amp;" "," "&amp;LOWER(SUBSTITUTE(SUBSTITUTE(SUBSTITUTE(SUBSTITUTE(A274,"/"," "),"."," "),"\"," "),"_"," "))&amp;" ")),1,0))+IF(Task!$A$19="",0,IF(ISNUMBER(SEARCH(" "&amp;Task!$A$19&amp;" "," "&amp;LOWER(SUBSTITUTE(SUBSTITUTE(SUBSTITUTE(SUBSTITUTE(A274,"/"," "),"."," "),"\"," "),"_"," "))&amp;" ")),1,0)))</f>
        <v/>
      </c>
      <c r="I274" s="10">
        <f>IF(OR(E274=0,F274=0,Task!$B$21=0),"",F274/Task!$B$21+0.5*G274+0.25*H274)</f>
        <v/>
      </c>
      <c r="J274" s="5">
        <f>IF(I274="","",I274-ROW()/1000000)</f>
        <v/>
      </c>
      <c r="K274" s="9">
        <f>IF(J274="","",COUNTIF($J$5:$J$404,"&gt;"&amp;J274)+1)</f>
        <v/>
      </c>
    </row>
    <row r="275">
      <c r="A275" s="7" t="n"/>
      <c r="B275" s="7" t="n"/>
      <c r="C275" s="7" t="n"/>
      <c r="D275" s="7" t="n"/>
      <c r="E275" s="5">
        <f>IF(A275="",0,IF(COUNTA(Task!$B$5:$E$5)=0,1,IF(COUNTIF(Task!$B$5:$E$5,B275)&gt;0,1,0)))</f>
        <v/>
      </c>
      <c r="F275" s="9">
        <f>IF(E275=0,0,IF(Task!$A$8="",0,IF(ISNUMBER(SEARCH(" "&amp;Task!$A$8&amp;" "," "&amp;LOWER(D275&amp;" "&amp;C275&amp;" "&amp;LOWER(SUBSTITUTE(SUBSTITUTE(SUBSTITUTE(SUBSTITUTE(A275,"/"," "),"."," "),"\"," "),"_"," ")))&amp;" ")),1,0))+IF(Task!$A$9="",0,IF(ISNUMBER(SEARCH(" "&amp;Task!$A$9&amp;" "," "&amp;LOWER(D275&amp;" "&amp;C275&amp;" "&amp;LOWER(SUBSTITUTE(SUBSTITUTE(SUBSTITUTE(SUBSTITUTE(A275,"/"," "),"."," "),"\"," "),"_"," ")))&amp;" ")),1,0))+IF(Task!$A$10="",0,IF(ISNUMBER(SEARCH(" "&amp;Task!$A$10&amp;" "," "&amp;LOWER(D275&amp;" "&amp;C275&amp;" "&amp;LOWER(SUBSTITUTE(SUBSTITUTE(SUBSTITUTE(SUBSTITUTE(A275,"/"," "),"."," "),"\"," "),"_"," ")))&amp;" ")),1,0))+IF(Task!$A$11="",0,IF(ISNUMBER(SEARCH(" "&amp;Task!$A$11&amp;" "," "&amp;LOWER(D275&amp;" "&amp;C275&amp;" "&amp;LOWER(SUBSTITUTE(SUBSTITUTE(SUBSTITUTE(SUBSTITUTE(A275,"/"," "),"."," "),"\"," "),"_"," ")))&amp;" ")),1,0))+IF(Task!$A$12="",0,IF(ISNUMBER(SEARCH(" "&amp;Task!$A$12&amp;" "," "&amp;LOWER(D275&amp;" "&amp;C275&amp;" "&amp;LOWER(SUBSTITUTE(SUBSTITUTE(SUBSTITUTE(SUBSTITUTE(A275,"/"," "),"."," "),"\"," "),"_"," ")))&amp;" ")),1,0))+IF(Task!$A$13="",0,IF(ISNUMBER(SEARCH(" "&amp;Task!$A$13&amp;" "," "&amp;LOWER(D275&amp;" "&amp;C275&amp;" "&amp;LOWER(SUBSTITUTE(SUBSTITUTE(SUBSTITUTE(SUBSTITUTE(A275,"/"," "),"."," "),"\"," "),"_"," ")))&amp;" ")),1,0))+IF(Task!$A$14="",0,IF(ISNUMBER(SEARCH(" "&amp;Task!$A$14&amp;" "," "&amp;LOWER(D275&amp;" "&amp;C275&amp;" "&amp;LOWER(SUBSTITUTE(SUBSTITUTE(SUBSTITUTE(SUBSTITUTE(A275,"/"," "),"."," "),"\"," "),"_"," ")))&amp;" ")),1,0))+IF(Task!$A$15="",0,IF(ISNUMBER(SEARCH(" "&amp;Task!$A$15&amp;" "," "&amp;LOWER(D275&amp;" "&amp;C275&amp;" "&amp;LOWER(SUBSTITUTE(SUBSTITUTE(SUBSTITUTE(SUBSTITUTE(A275,"/"," "),"."," "),"\"," "),"_"," ")))&amp;" ")),1,0))+IF(Task!$A$16="",0,IF(ISNUMBER(SEARCH(" "&amp;Task!$A$16&amp;" "," "&amp;LOWER(D275&amp;" "&amp;C275&amp;" "&amp;LOWER(SUBSTITUTE(SUBSTITUTE(SUBSTITUTE(SUBSTITUTE(A275,"/"," "),"."," "),"\"," "),"_"," ")))&amp;" ")),1,0))+IF(Task!$A$17="",0,IF(ISNUMBER(SEARCH(" "&amp;Task!$A$17&amp;" "," "&amp;LOWER(D275&amp;" "&amp;C275&amp;" "&amp;LOWER(SUBSTITUTE(SUBSTITUTE(SUBSTITUTE(SUBSTITUTE(A275,"/"," "),"."," "),"\"," "),"_"," ")))&amp;" ")),1,0))+IF(Task!$A$18="",0,IF(ISNUMBER(SEARCH(" "&amp;Task!$A$18&amp;" "," "&amp;LOWER(D275&amp;" "&amp;C275&amp;" "&amp;LOWER(SUBSTITUTE(SUBSTITUTE(SUBSTITUTE(SUBSTITUTE(A275,"/"," "),"."," "),"\"," "),"_"," ")))&amp;" ")),1,0))+IF(Task!$A$19="",0,IF(ISNUMBER(SEARCH(" "&amp;Task!$A$19&amp;" "," "&amp;LOWER(D275&amp;" "&amp;C275&amp;" "&amp;LOWER(SUBSTITUTE(SUBSTITUTE(SUBSTITUTE(SUBSTITUTE(A275,"/"," "),"."," "),"\"," "),"_"," ")))&amp;" ")),1,0)))</f>
        <v/>
      </c>
      <c r="G275" s="9">
        <f>IF(E275=0,0,IF(Task!$A$8="",0,IF(ISNUMBER(SEARCH(" "&amp;Task!$A$8&amp;" "," "&amp;LOWER(C275)&amp;" ")),1,0))+IF(Task!$A$9="",0,IF(ISNUMBER(SEARCH(" "&amp;Task!$A$9&amp;" "," "&amp;LOWER(C275)&amp;" ")),1,0))+IF(Task!$A$10="",0,IF(ISNUMBER(SEARCH(" "&amp;Task!$A$10&amp;" "," "&amp;LOWER(C275)&amp;" ")),1,0))+IF(Task!$A$11="",0,IF(ISNUMBER(SEARCH(" "&amp;Task!$A$11&amp;" "," "&amp;LOWER(C275)&amp;" ")),1,0))+IF(Task!$A$12="",0,IF(ISNUMBER(SEARCH(" "&amp;Task!$A$12&amp;" "," "&amp;LOWER(C275)&amp;" ")),1,0))+IF(Task!$A$13="",0,IF(ISNUMBER(SEARCH(" "&amp;Task!$A$13&amp;" "," "&amp;LOWER(C275)&amp;" ")),1,0))+IF(Task!$A$14="",0,IF(ISNUMBER(SEARCH(" "&amp;Task!$A$14&amp;" "," "&amp;LOWER(C275)&amp;" ")),1,0))+IF(Task!$A$15="",0,IF(ISNUMBER(SEARCH(" "&amp;Task!$A$15&amp;" "," "&amp;LOWER(C275)&amp;" ")),1,0))+IF(Task!$A$16="",0,IF(ISNUMBER(SEARCH(" "&amp;Task!$A$16&amp;" "," "&amp;LOWER(C275)&amp;" ")),1,0))+IF(Task!$A$17="",0,IF(ISNUMBER(SEARCH(" "&amp;Task!$A$17&amp;" "," "&amp;LOWER(C275)&amp;" ")),1,0))+IF(Task!$A$18="",0,IF(ISNUMBER(SEARCH(" "&amp;Task!$A$18&amp;" "," "&amp;LOWER(C275)&amp;" ")),1,0))+IF(Task!$A$19="",0,IF(ISNUMBER(SEARCH(" "&amp;Task!$A$19&amp;" "," "&amp;LOWER(C275)&amp;" ")),1,0)))</f>
        <v/>
      </c>
      <c r="H275" s="9">
        <f>IF(E275=0,0,IF(Task!$A$8="",0,IF(ISNUMBER(SEARCH(" "&amp;Task!$A$8&amp;" "," "&amp;LOWER(SUBSTITUTE(SUBSTITUTE(SUBSTITUTE(SUBSTITUTE(A275,"/"," "),"."," "),"\"," "),"_"," "))&amp;" ")),1,0))+IF(Task!$A$9="",0,IF(ISNUMBER(SEARCH(" "&amp;Task!$A$9&amp;" "," "&amp;LOWER(SUBSTITUTE(SUBSTITUTE(SUBSTITUTE(SUBSTITUTE(A275,"/"," "),"."," "),"\"," "),"_"," "))&amp;" ")),1,0))+IF(Task!$A$10="",0,IF(ISNUMBER(SEARCH(" "&amp;Task!$A$10&amp;" "," "&amp;LOWER(SUBSTITUTE(SUBSTITUTE(SUBSTITUTE(SUBSTITUTE(A275,"/"," "),"."," "),"\"," "),"_"," "))&amp;" ")),1,0))+IF(Task!$A$11="",0,IF(ISNUMBER(SEARCH(" "&amp;Task!$A$11&amp;" "," "&amp;LOWER(SUBSTITUTE(SUBSTITUTE(SUBSTITUTE(SUBSTITUTE(A275,"/"," "),"."," "),"\"," "),"_"," "))&amp;" ")),1,0))+IF(Task!$A$12="",0,IF(ISNUMBER(SEARCH(" "&amp;Task!$A$12&amp;" "," "&amp;LOWER(SUBSTITUTE(SUBSTITUTE(SUBSTITUTE(SUBSTITUTE(A275,"/"," "),"."," "),"\"," "),"_"," "))&amp;" ")),1,0))+IF(Task!$A$13="",0,IF(ISNUMBER(SEARCH(" "&amp;Task!$A$13&amp;" "," "&amp;LOWER(SUBSTITUTE(SUBSTITUTE(SUBSTITUTE(SUBSTITUTE(A275,"/"," "),"."," "),"\"," "),"_"," "))&amp;" ")),1,0))+IF(Task!$A$14="",0,IF(ISNUMBER(SEARCH(" "&amp;Task!$A$14&amp;" "," "&amp;LOWER(SUBSTITUTE(SUBSTITUTE(SUBSTITUTE(SUBSTITUTE(A275,"/"," "),"."," "),"\"," "),"_"," "))&amp;" ")),1,0))+IF(Task!$A$15="",0,IF(ISNUMBER(SEARCH(" "&amp;Task!$A$15&amp;" "," "&amp;LOWER(SUBSTITUTE(SUBSTITUTE(SUBSTITUTE(SUBSTITUTE(A275,"/"," "),"."," "),"\"," "),"_"," "))&amp;" ")),1,0))+IF(Task!$A$16="",0,IF(ISNUMBER(SEARCH(" "&amp;Task!$A$16&amp;" "," "&amp;LOWER(SUBSTITUTE(SUBSTITUTE(SUBSTITUTE(SUBSTITUTE(A275,"/"," "),"."," "),"\"," "),"_"," "))&amp;" ")),1,0))+IF(Task!$A$17="",0,IF(ISNUMBER(SEARCH(" "&amp;Task!$A$17&amp;" "," "&amp;LOWER(SUBSTITUTE(SUBSTITUTE(SUBSTITUTE(SUBSTITUTE(A275,"/"," "),"."," "),"\"," "),"_"," "))&amp;" ")),1,0))+IF(Task!$A$18="",0,IF(ISNUMBER(SEARCH(" "&amp;Task!$A$18&amp;" "," "&amp;LOWER(SUBSTITUTE(SUBSTITUTE(SUBSTITUTE(SUBSTITUTE(A275,"/"," "),"."," "),"\"," "),"_"," "))&amp;" ")),1,0))+IF(Task!$A$19="",0,IF(ISNUMBER(SEARCH(" "&amp;Task!$A$19&amp;" "," "&amp;LOWER(SUBSTITUTE(SUBSTITUTE(SUBSTITUTE(SUBSTITUTE(A275,"/"," "),"."," "),"\"," "),"_"," "))&amp;" ")),1,0)))</f>
        <v/>
      </c>
      <c r="I275" s="10">
        <f>IF(OR(E275=0,F275=0,Task!$B$21=0),"",F275/Task!$B$21+0.5*G275+0.25*H275)</f>
        <v/>
      </c>
      <c r="J275" s="5">
        <f>IF(I275="","",I275-ROW()/1000000)</f>
        <v/>
      </c>
      <c r="K275" s="9">
        <f>IF(J275="","",COUNTIF($J$5:$J$404,"&gt;"&amp;J275)+1)</f>
        <v/>
      </c>
    </row>
    <row r="276">
      <c r="A276" s="7" t="n"/>
      <c r="B276" s="7" t="n"/>
      <c r="C276" s="7" t="n"/>
      <c r="D276" s="7" t="n"/>
      <c r="E276" s="5">
        <f>IF(A276="",0,IF(COUNTA(Task!$B$5:$E$5)=0,1,IF(COUNTIF(Task!$B$5:$E$5,B276)&gt;0,1,0)))</f>
        <v/>
      </c>
      <c r="F276" s="9">
        <f>IF(E276=0,0,IF(Task!$A$8="",0,IF(ISNUMBER(SEARCH(" "&amp;Task!$A$8&amp;" "," "&amp;LOWER(D276&amp;" "&amp;C276&amp;" "&amp;LOWER(SUBSTITUTE(SUBSTITUTE(SUBSTITUTE(SUBSTITUTE(A276,"/"," "),"."," "),"\"," "),"_"," ")))&amp;" ")),1,0))+IF(Task!$A$9="",0,IF(ISNUMBER(SEARCH(" "&amp;Task!$A$9&amp;" "," "&amp;LOWER(D276&amp;" "&amp;C276&amp;" "&amp;LOWER(SUBSTITUTE(SUBSTITUTE(SUBSTITUTE(SUBSTITUTE(A276,"/"," "),"."," "),"\"," "),"_"," ")))&amp;" ")),1,0))+IF(Task!$A$10="",0,IF(ISNUMBER(SEARCH(" "&amp;Task!$A$10&amp;" "," "&amp;LOWER(D276&amp;" "&amp;C276&amp;" "&amp;LOWER(SUBSTITUTE(SUBSTITUTE(SUBSTITUTE(SUBSTITUTE(A276,"/"," "),"."," "),"\"," "),"_"," ")))&amp;" ")),1,0))+IF(Task!$A$11="",0,IF(ISNUMBER(SEARCH(" "&amp;Task!$A$11&amp;" "," "&amp;LOWER(D276&amp;" "&amp;C276&amp;" "&amp;LOWER(SUBSTITUTE(SUBSTITUTE(SUBSTITUTE(SUBSTITUTE(A276,"/"," "),"."," "),"\"," "),"_"," ")))&amp;" ")),1,0))+IF(Task!$A$12="",0,IF(ISNUMBER(SEARCH(" "&amp;Task!$A$12&amp;" "," "&amp;LOWER(D276&amp;" "&amp;C276&amp;" "&amp;LOWER(SUBSTITUTE(SUBSTITUTE(SUBSTITUTE(SUBSTITUTE(A276,"/"," "),"."," "),"\"," "),"_"," ")))&amp;" ")),1,0))+IF(Task!$A$13="",0,IF(ISNUMBER(SEARCH(" "&amp;Task!$A$13&amp;" "," "&amp;LOWER(D276&amp;" "&amp;C276&amp;" "&amp;LOWER(SUBSTITUTE(SUBSTITUTE(SUBSTITUTE(SUBSTITUTE(A276,"/"," "),"."," "),"\"," "),"_"," ")))&amp;" ")),1,0))+IF(Task!$A$14="",0,IF(ISNUMBER(SEARCH(" "&amp;Task!$A$14&amp;" "," "&amp;LOWER(D276&amp;" "&amp;C276&amp;" "&amp;LOWER(SUBSTITUTE(SUBSTITUTE(SUBSTITUTE(SUBSTITUTE(A276,"/"," "),"."," "),"\"," "),"_"," ")))&amp;" ")),1,0))+IF(Task!$A$15="",0,IF(ISNUMBER(SEARCH(" "&amp;Task!$A$15&amp;" "," "&amp;LOWER(D276&amp;" "&amp;C276&amp;" "&amp;LOWER(SUBSTITUTE(SUBSTITUTE(SUBSTITUTE(SUBSTITUTE(A276,"/"," "),"."," "),"\"," "),"_"," ")))&amp;" ")),1,0))+IF(Task!$A$16="",0,IF(ISNUMBER(SEARCH(" "&amp;Task!$A$16&amp;" "," "&amp;LOWER(D276&amp;" "&amp;C276&amp;" "&amp;LOWER(SUBSTITUTE(SUBSTITUTE(SUBSTITUTE(SUBSTITUTE(A276,"/"," "),"."," "),"\"," "),"_"," ")))&amp;" ")),1,0))+IF(Task!$A$17="",0,IF(ISNUMBER(SEARCH(" "&amp;Task!$A$17&amp;" "," "&amp;LOWER(D276&amp;" "&amp;C276&amp;" "&amp;LOWER(SUBSTITUTE(SUBSTITUTE(SUBSTITUTE(SUBSTITUTE(A276,"/"," "),"."," "),"\"," "),"_"," ")))&amp;" ")),1,0))+IF(Task!$A$18="",0,IF(ISNUMBER(SEARCH(" "&amp;Task!$A$18&amp;" "," "&amp;LOWER(D276&amp;" "&amp;C276&amp;" "&amp;LOWER(SUBSTITUTE(SUBSTITUTE(SUBSTITUTE(SUBSTITUTE(A276,"/"," "),"."," "),"\"," "),"_"," ")))&amp;" ")),1,0))+IF(Task!$A$19="",0,IF(ISNUMBER(SEARCH(" "&amp;Task!$A$19&amp;" "," "&amp;LOWER(D276&amp;" "&amp;C276&amp;" "&amp;LOWER(SUBSTITUTE(SUBSTITUTE(SUBSTITUTE(SUBSTITUTE(A276,"/"," "),"."," "),"\"," "),"_"," ")))&amp;" ")),1,0)))</f>
        <v/>
      </c>
      <c r="G276" s="9">
        <f>IF(E276=0,0,IF(Task!$A$8="",0,IF(ISNUMBER(SEARCH(" "&amp;Task!$A$8&amp;" "," "&amp;LOWER(C276)&amp;" ")),1,0))+IF(Task!$A$9="",0,IF(ISNUMBER(SEARCH(" "&amp;Task!$A$9&amp;" "," "&amp;LOWER(C276)&amp;" ")),1,0))+IF(Task!$A$10="",0,IF(ISNUMBER(SEARCH(" "&amp;Task!$A$10&amp;" "," "&amp;LOWER(C276)&amp;" ")),1,0))+IF(Task!$A$11="",0,IF(ISNUMBER(SEARCH(" "&amp;Task!$A$11&amp;" "," "&amp;LOWER(C276)&amp;" ")),1,0))+IF(Task!$A$12="",0,IF(ISNUMBER(SEARCH(" "&amp;Task!$A$12&amp;" "," "&amp;LOWER(C276)&amp;" ")),1,0))+IF(Task!$A$13="",0,IF(ISNUMBER(SEARCH(" "&amp;Task!$A$13&amp;" "," "&amp;LOWER(C276)&amp;" ")),1,0))+IF(Task!$A$14="",0,IF(ISNUMBER(SEARCH(" "&amp;Task!$A$14&amp;" "," "&amp;LOWER(C276)&amp;" ")),1,0))+IF(Task!$A$15="",0,IF(ISNUMBER(SEARCH(" "&amp;Task!$A$15&amp;" "," "&amp;LOWER(C276)&amp;" ")),1,0))+IF(Task!$A$16="",0,IF(ISNUMBER(SEARCH(" "&amp;Task!$A$16&amp;" "," "&amp;LOWER(C276)&amp;" ")),1,0))+IF(Task!$A$17="",0,IF(ISNUMBER(SEARCH(" "&amp;Task!$A$17&amp;" "," "&amp;LOWER(C276)&amp;" ")),1,0))+IF(Task!$A$18="",0,IF(ISNUMBER(SEARCH(" "&amp;Task!$A$18&amp;" "," "&amp;LOWER(C276)&amp;" ")),1,0))+IF(Task!$A$19="",0,IF(ISNUMBER(SEARCH(" "&amp;Task!$A$19&amp;" "," "&amp;LOWER(C276)&amp;" ")),1,0)))</f>
        <v/>
      </c>
      <c r="H276" s="9">
        <f>IF(E276=0,0,IF(Task!$A$8="",0,IF(ISNUMBER(SEARCH(" "&amp;Task!$A$8&amp;" "," "&amp;LOWER(SUBSTITUTE(SUBSTITUTE(SUBSTITUTE(SUBSTITUTE(A276,"/"," "),"."," "),"\"," "),"_"," "))&amp;" ")),1,0))+IF(Task!$A$9="",0,IF(ISNUMBER(SEARCH(" "&amp;Task!$A$9&amp;" "," "&amp;LOWER(SUBSTITUTE(SUBSTITUTE(SUBSTITUTE(SUBSTITUTE(A276,"/"," "),"."," "),"\"," "),"_"," "))&amp;" ")),1,0))+IF(Task!$A$10="",0,IF(ISNUMBER(SEARCH(" "&amp;Task!$A$10&amp;" "," "&amp;LOWER(SUBSTITUTE(SUBSTITUTE(SUBSTITUTE(SUBSTITUTE(A276,"/"," "),"."," "),"\"," "),"_"," "))&amp;" ")),1,0))+IF(Task!$A$11="",0,IF(ISNUMBER(SEARCH(" "&amp;Task!$A$11&amp;" "," "&amp;LOWER(SUBSTITUTE(SUBSTITUTE(SUBSTITUTE(SUBSTITUTE(A276,"/"," "),"."," "),"\"," "),"_"," "))&amp;" ")),1,0))+IF(Task!$A$12="",0,IF(ISNUMBER(SEARCH(" "&amp;Task!$A$12&amp;" "," "&amp;LOWER(SUBSTITUTE(SUBSTITUTE(SUBSTITUTE(SUBSTITUTE(A276,"/"," "),"."," "),"\"," "),"_"," "))&amp;" ")),1,0))+IF(Task!$A$13="",0,IF(ISNUMBER(SEARCH(" "&amp;Task!$A$13&amp;" "," "&amp;LOWER(SUBSTITUTE(SUBSTITUTE(SUBSTITUTE(SUBSTITUTE(A276,"/"," "),"."," "),"\"," "),"_"," "))&amp;" ")),1,0))+IF(Task!$A$14="",0,IF(ISNUMBER(SEARCH(" "&amp;Task!$A$14&amp;" "," "&amp;LOWER(SUBSTITUTE(SUBSTITUTE(SUBSTITUTE(SUBSTITUTE(A276,"/"," "),"."," "),"\"," "),"_"," "))&amp;" ")),1,0))+IF(Task!$A$15="",0,IF(ISNUMBER(SEARCH(" "&amp;Task!$A$15&amp;" "," "&amp;LOWER(SUBSTITUTE(SUBSTITUTE(SUBSTITUTE(SUBSTITUTE(A276,"/"," "),"."," "),"\"," "),"_"," "))&amp;" ")),1,0))+IF(Task!$A$16="",0,IF(ISNUMBER(SEARCH(" "&amp;Task!$A$16&amp;" "," "&amp;LOWER(SUBSTITUTE(SUBSTITUTE(SUBSTITUTE(SUBSTITUTE(A276,"/"," "),"."," "),"\"," "),"_"," "))&amp;" ")),1,0))+IF(Task!$A$17="",0,IF(ISNUMBER(SEARCH(" "&amp;Task!$A$17&amp;" "," "&amp;LOWER(SUBSTITUTE(SUBSTITUTE(SUBSTITUTE(SUBSTITUTE(A276,"/"," "),"."," "),"\"," "),"_"," "))&amp;" ")),1,0))+IF(Task!$A$18="",0,IF(ISNUMBER(SEARCH(" "&amp;Task!$A$18&amp;" "," "&amp;LOWER(SUBSTITUTE(SUBSTITUTE(SUBSTITUTE(SUBSTITUTE(A276,"/"," "),"."," "),"\"," "),"_"," "))&amp;" ")),1,0))+IF(Task!$A$19="",0,IF(ISNUMBER(SEARCH(" "&amp;Task!$A$19&amp;" "," "&amp;LOWER(SUBSTITUTE(SUBSTITUTE(SUBSTITUTE(SUBSTITUTE(A276,"/"," "),"."," "),"\"," "),"_"," "))&amp;" ")),1,0)))</f>
        <v/>
      </c>
      <c r="I276" s="10">
        <f>IF(OR(E276=0,F276=0,Task!$B$21=0),"",F276/Task!$B$21+0.5*G276+0.25*H276)</f>
        <v/>
      </c>
      <c r="J276" s="5">
        <f>IF(I276="","",I276-ROW()/1000000)</f>
        <v/>
      </c>
      <c r="K276" s="9">
        <f>IF(J276="","",COUNTIF($J$5:$J$404,"&gt;"&amp;J276)+1)</f>
        <v/>
      </c>
    </row>
    <row r="277">
      <c r="A277" s="7" t="n"/>
      <c r="B277" s="7" t="n"/>
      <c r="C277" s="7" t="n"/>
      <c r="D277" s="7" t="n"/>
      <c r="E277" s="5">
        <f>IF(A277="",0,IF(COUNTA(Task!$B$5:$E$5)=0,1,IF(COUNTIF(Task!$B$5:$E$5,B277)&gt;0,1,0)))</f>
        <v/>
      </c>
      <c r="F277" s="9">
        <f>IF(E277=0,0,IF(Task!$A$8="",0,IF(ISNUMBER(SEARCH(" "&amp;Task!$A$8&amp;" "," "&amp;LOWER(D277&amp;" "&amp;C277&amp;" "&amp;LOWER(SUBSTITUTE(SUBSTITUTE(SUBSTITUTE(SUBSTITUTE(A277,"/"," "),"."," "),"\"," "),"_"," ")))&amp;" ")),1,0))+IF(Task!$A$9="",0,IF(ISNUMBER(SEARCH(" "&amp;Task!$A$9&amp;" "," "&amp;LOWER(D277&amp;" "&amp;C277&amp;" "&amp;LOWER(SUBSTITUTE(SUBSTITUTE(SUBSTITUTE(SUBSTITUTE(A277,"/"," "),"."," "),"\"," "),"_"," ")))&amp;" ")),1,0))+IF(Task!$A$10="",0,IF(ISNUMBER(SEARCH(" "&amp;Task!$A$10&amp;" "," "&amp;LOWER(D277&amp;" "&amp;C277&amp;" "&amp;LOWER(SUBSTITUTE(SUBSTITUTE(SUBSTITUTE(SUBSTITUTE(A277,"/"," "),"."," "),"\"," "),"_"," ")))&amp;" ")),1,0))+IF(Task!$A$11="",0,IF(ISNUMBER(SEARCH(" "&amp;Task!$A$11&amp;" "," "&amp;LOWER(D277&amp;" "&amp;C277&amp;" "&amp;LOWER(SUBSTITUTE(SUBSTITUTE(SUBSTITUTE(SUBSTITUTE(A277,"/"," "),"."," "),"\"," "),"_"," ")))&amp;" ")),1,0))+IF(Task!$A$12="",0,IF(ISNUMBER(SEARCH(" "&amp;Task!$A$12&amp;" "," "&amp;LOWER(D277&amp;" "&amp;C277&amp;" "&amp;LOWER(SUBSTITUTE(SUBSTITUTE(SUBSTITUTE(SUBSTITUTE(A277,"/"," "),"."," "),"\"," "),"_"," ")))&amp;" ")),1,0))+IF(Task!$A$13="",0,IF(ISNUMBER(SEARCH(" "&amp;Task!$A$13&amp;" "," "&amp;LOWER(D277&amp;" "&amp;C277&amp;" "&amp;LOWER(SUBSTITUTE(SUBSTITUTE(SUBSTITUTE(SUBSTITUTE(A277,"/"," "),"."," "),"\"," "),"_"," ")))&amp;" ")),1,0))+IF(Task!$A$14="",0,IF(ISNUMBER(SEARCH(" "&amp;Task!$A$14&amp;" "," "&amp;LOWER(D277&amp;" "&amp;C277&amp;" "&amp;LOWER(SUBSTITUTE(SUBSTITUTE(SUBSTITUTE(SUBSTITUTE(A277,"/"," "),"."," "),"\"," "),"_"," ")))&amp;" ")),1,0))+IF(Task!$A$15="",0,IF(ISNUMBER(SEARCH(" "&amp;Task!$A$15&amp;" "," "&amp;LOWER(D277&amp;" "&amp;C277&amp;" "&amp;LOWER(SUBSTITUTE(SUBSTITUTE(SUBSTITUTE(SUBSTITUTE(A277,"/"," "),"."," "),"\"," "),"_"," ")))&amp;" ")),1,0))+IF(Task!$A$16="",0,IF(ISNUMBER(SEARCH(" "&amp;Task!$A$16&amp;" "," "&amp;LOWER(D277&amp;" "&amp;C277&amp;" "&amp;LOWER(SUBSTITUTE(SUBSTITUTE(SUBSTITUTE(SUBSTITUTE(A277,"/"," "),"."," "),"\"," "),"_"," ")))&amp;" ")),1,0))+IF(Task!$A$17="",0,IF(ISNUMBER(SEARCH(" "&amp;Task!$A$17&amp;" "," "&amp;LOWER(D277&amp;" "&amp;C277&amp;" "&amp;LOWER(SUBSTITUTE(SUBSTITUTE(SUBSTITUTE(SUBSTITUTE(A277,"/"," "),"."," "),"\"," "),"_"," ")))&amp;" ")),1,0))+IF(Task!$A$18="",0,IF(ISNUMBER(SEARCH(" "&amp;Task!$A$18&amp;" "," "&amp;LOWER(D277&amp;" "&amp;C277&amp;" "&amp;LOWER(SUBSTITUTE(SUBSTITUTE(SUBSTITUTE(SUBSTITUTE(A277,"/"," "),"."," "),"\"," "),"_"," ")))&amp;" ")),1,0))+IF(Task!$A$19="",0,IF(ISNUMBER(SEARCH(" "&amp;Task!$A$19&amp;" "," "&amp;LOWER(D277&amp;" "&amp;C277&amp;" "&amp;LOWER(SUBSTITUTE(SUBSTITUTE(SUBSTITUTE(SUBSTITUTE(A277,"/"," "),"."," "),"\"," "),"_"," ")))&amp;" ")),1,0)))</f>
        <v/>
      </c>
      <c r="G277" s="9">
        <f>IF(E277=0,0,IF(Task!$A$8="",0,IF(ISNUMBER(SEARCH(" "&amp;Task!$A$8&amp;" "," "&amp;LOWER(C277)&amp;" ")),1,0))+IF(Task!$A$9="",0,IF(ISNUMBER(SEARCH(" "&amp;Task!$A$9&amp;" "," "&amp;LOWER(C277)&amp;" ")),1,0))+IF(Task!$A$10="",0,IF(ISNUMBER(SEARCH(" "&amp;Task!$A$10&amp;" "," "&amp;LOWER(C277)&amp;" ")),1,0))+IF(Task!$A$11="",0,IF(ISNUMBER(SEARCH(" "&amp;Task!$A$11&amp;" "," "&amp;LOWER(C277)&amp;" ")),1,0))+IF(Task!$A$12="",0,IF(ISNUMBER(SEARCH(" "&amp;Task!$A$12&amp;" "," "&amp;LOWER(C277)&amp;" ")),1,0))+IF(Task!$A$13="",0,IF(ISNUMBER(SEARCH(" "&amp;Task!$A$13&amp;" "," "&amp;LOWER(C277)&amp;" ")),1,0))+IF(Task!$A$14="",0,IF(ISNUMBER(SEARCH(" "&amp;Task!$A$14&amp;" "," "&amp;LOWER(C277)&amp;" ")),1,0))+IF(Task!$A$15="",0,IF(ISNUMBER(SEARCH(" "&amp;Task!$A$15&amp;" "," "&amp;LOWER(C277)&amp;" ")),1,0))+IF(Task!$A$16="",0,IF(ISNUMBER(SEARCH(" "&amp;Task!$A$16&amp;" "," "&amp;LOWER(C277)&amp;" ")),1,0))+IF(Task!$A$17="",0,IF(ISNUMBER(SEARCH(" "&amp;Task!$A$17&amp;" "," "&amp;LOWER(C277)&amp;" ")),1,0))+IF(Task!$A$18="",0,IF(ISNUMBER(SEARCH(" "&amp;Task!$A$18&amp;" "," "&amp;LOWER(C277)&amp;" ")),1,0))+IF(Task!$A$19="",0,IF(ISNUMBER(SEARCH(" "&amp;Task!$A$19&amp;" "," "&amp;LOWER(C277)&amp;" ")),1,0)))</f>
        <v/>
      </c>
      <c r="H277" s="9">
        <f>IF(E277=0,0,IF(Task!$A$8="",0,IF(ISNUMBER(SEARCH(" "&amp;Task!$A$8&amp;" "," "&amp;LOWER(SUBSTITUTE(SUBSTITUTE(SUBSTITUTE(SUBSTITUTE(A277,"/"," "),"."," "),"\"," "),"_"," "))&amp;" ")),1,0))+IF(Task!$A$9="",0,IF(ISNUMBER(SEARCH(" "&amp;Task!$A$9&amp;" "," "&amp;LOWER(SUBSTITUTE(SUBSTITUTE(SUBSTITUTE(SUBSTITUTE(A277,"/"," "),"."," "),"\"," "),"_"," "))&amp;" ")),1,0))+IF(Task!$A$10="",0,IF(ISNUMBER(SEARCH(" "&amp;Task!$A$10&amp;" "," "&amp;LOWER(SUBSTITUTE(SUBSTITUTE(SUBSTITUTE(SUBSTITUTE(A277,"/"," "),"."," "),"\"," "),"_"," "))&amp;" ")),1,0))+IF(Task!$A$11="",0,IF(ISNUMBER(SEARCH(" "&amp;Task!$A$11&amp;" "," "&amp;LOWER(SUBSTITUTE(SUBSTITUTE(SUBSTITUTE(SUBSTITUTE(A277,"/"," "),"."," "),"\"," "),"_"," "))&amp;" ")),1,0))+IF(Task!$A$12="",0,IF(ISNUMBER(SEARCH(" "&amp;Task!$A$12&amp;" "," "&amp;LOWER(SUBSTITUTE(SUBSTITUTE(SUBSTITUTE(SUBSTITUTE(A277,"/"," "),"."," "),"\"," "),"_"," "))&amp;" ")),1,0))+IF(Task!$A$13="",0,IF(ISNUMBER(SEARCH(" "&amp;Task!$A$13&amp;" "," "&amp;LOWER(SUBSTITUTE(SUBSTITUTE(SUBSTITUTE(SUBSTITUTE(A277,"/"," "),"."," "),"\"," "),"_"," "))&amp;" ")),1,0))+IF(Task!$A$14="",0,IF(ISNUMBER(SEARCH(" "&amp;Task!$A$14&amp;" "," "&amp;LOWER(SUBSTITUTE(SUBSTITUTE(SUBSTITUTE(SUBSTITUTE(A277,"/"," "),"."," "),"\"," "),"_"," "))&amp;" ")),1,0))+IF(Task!$A$15="",0,IF(ISNUMBER(SEARCH(" "&amp;Task!$A$15&amp;" "," "&amp;LOWER(SUBSTITUTE(SUBSTITUTE(SUBSTITUTE(SUBSTITUTE(A277,"/"," "),"."," "),"\"," "),"_"," "))&amp;" ")),1,0))+IF(Task!$A$16="",0,IF(ISNUMBER(SEARCH(" "&amp;Task!$A$16&amp;" "," "&amp;LOWER(SUBSTITUTE(SUBSTITUTE(SUBSTITUTE(SUBSTITUTE(A277,"/"," "),"."," "),"\"," "),"_"," "))&amp;" ")),1,0))+IF(Task!$A$17="",0,IF(ISNUMBER(SEARCH(" "&amp;Task!$A$17&amp;" "," "&amp;LOWER(SUBSTITUTE(SUBSTITUTE(SUBSTITUTE(SUBSTITUTE(A277,"/"," "),"."," "),"\"," "),"_"," "))&amp;" ")),1,0))+IF(Task!$A$18="",0,IF(ISNUMBER(SEARCH(" "&amp;Task!$A$18&amp;" "," "&amp;LOWER(SUBSTITUTE(SUBSTITUTE(SUBSTITUTE(SUBSTITUTE(A277,"/"," "),"."," "),"\"," "),"_"," "))&amp;" ")),1,0))+IF(Task!$A$19="",0,IF(ISNUMBER(SEARCH(" "&amp;Task!$A$19&amp;" "," "&amp;LOWER(SUBSTITUTE(SUBSTITUTE(SUBSTITUTE(SUBSTITUTE(A277,"/"," "),"."," "),"\"," "),"_"," "))&amp;" ")),1,0)))</f>
        <v/>
      </c>
      <c r="I277" s="10">
        <f>IF(OR(E277=0,F277=0,Task!$B$21=0),"",F277/Task!$B$21+0.5*G277+0.25*H277)</f>
        <v/>
      </c>
      <c r="J277" s="5">
        <f>IF(I277="","",I277-ROW()/1000000)</f>
        <v/>
      </c>
      <c r="K277" s="9">
        <f>IF(J277="","",COUNTIF($J$5:$J$404,"&gt;"&amp;J277)+1)</f>
        <v/>
      </c>
    </row>
    <row r="278">
      <c r="A278" s="7" t="n"/>
      <c r="B278" s="7" t="n"/>
      <c r="C278" s="7" t="n"/>
      <c r="D278" s="7" t="n"/>
      <c r="E278" s="5">
        <f>IF(A278="",0,IF(COUNTA(Task!$B$5:$E$5)=0,1,IF(COUNTIF(Task!$B$5:$E$5,B278)&gt;0,1,0)))</f>
        <v/>
      </c>
      <c r="F278" s="9">
        <f>IF(E278=0,0,IF(Task!$A$8="",0,IF(ISNUMBER(SEARCH(" "&amp;Task!$A$8&amp;" "," "&amp;LOWER(D278&amp;" "&amp;C278&amp;" "&amp;LOWER(SUBSTITUTE(SUBSTITUTE(SUBSTITUTE(SUBSTITUTE(A278,"/"," "),"."," "),"\"," "),"_"," ")))&amp;" ")),1,0))+IF(Task!$A$9="",0,IF(ISNUMBER(SEARCH(" "&amp;Task!$A$9&amp;" "," "&amp;LOWER(D278&amp;" "&amp;C278&amp;" "&amp;LOWER(SUBSTITUTE(SUBSTITUTE(SUBSTITUTE(SUBSTITUTE(A278,"/"," "),"."," "),"\"," "),"_"," ")))&amp;" ")),1,0))+IF(Task!$A$10="",0,IF(ISNUMBER(SEARCH(" "&amp;Task!$A$10&amp;" "," "&amp;LOWER(D278&amp;" "&amp;C278&amp;" "&amp;LOWER(SUBSTITUTE(SUBSTITUTE(SUBSTITUTE(SUBSTITUTE(A278,"/"," "),"."," "),"\"," "),"_"," ")))&amp;" ")),1,0))+IF(Task!$A$11="",0,IF(ISNUMBER(SEARCH(" "&amp;Task!$A$11&amp;" "," "&amp;LOWER(D278&amp;" "&amp;C278&amp;" "&amp;LOWER(SUBSTITUTE(SUBSTITUTE(SUBSTITUTE(SUBSTITUTE(A278,"/"," "),"."," "),"\"," "),"_"," ")))&amp;" ")),1,0))+IF(Task!$A$12="",0,IF(ISNUMBER(SEARCH(" "&amp;Task!$A$12&amp;" "," "&amp;LOWER(D278&amp;" "&amp;C278&amp;" "&amp;LOWER(SUBSTITUTE(SUBSTITUTE(SUBSTITUTE(SUBSTITUTE(A278,"/"," "),"."," "),"\"," "),"_"," ")))&amp;" ")),1,0))+IF(Task!$A$13="",0,IF(ISNUMBER(SEARCH(" "&amp;Task!$A$13&amp;" "," "&amp;LOWER(D278&amp;" "&amp;C278&amp;" "&amp;LOWER(SUBSTITUTE(SUBSTITUTE(SUBSTITUTE(SUBSTITUTE(A278,"/"," "),"."," "),"\"," "),"_"," ")))&amp;" ")),1,0))+IF(Task!$A$14="",0,IF(ISNUMBER(SEARCH(" "&amp;Task!$A$14&amp;" "," "&amp;LOWER(D278&amp;" "&amp;C278&amp;" "&amp;LOWER(SUBSTITUTE(SUBSTITUTE(SUBSTITUTE(SUBSTITUTE(A278,"/"," "),"."," "),"\"," "),"_"," ")))&amp;" ")),1,0))+IF(Task!$A$15="",0,IF(ISNUMBER(SEARCH(" "&amp;Task!$A$15&amp;" "," "&amp;LOWER(D278&amp;" "&amp;C278&amp;" "&amp;LOWER(SUBSTITUTE(SUBSTITUTE(SUBSTITUTE(SUBSTITUTE(A278,"/"," "),"."," "),"\"," "),"_"," ")))&amp;" ")),1,0))+IF(Task!$A$16="",0,IF(ISNUMBER(SEARCH(" "&amp;Task!$A$16&amp;" "," "&amp;LOWER(D278&amp;" "&amp;C278&amp;" "&amp;LOWER(SUBSTITUTE(SUBSTITUTE(SUBSTITUTE(SUBSTITUTE(A278,"/"," "),"."," "),"\"," "),"_"," ")))&amp;" ")),1,0))+IF(Task!$A$17="",0,IF(ISNUMBER(SEARCH(" "&amp;Task!$A$17&amp;" "," "&amp;LOWER(D278&amp;" "&amp;C278&amp;" "&amp;LOWER(SUBSTITUTE(SUBSTITUTE(SUBSTITUTE(SUBSTITUTE(A278,"/"," "),"."," "),"\"," "),"_"," ")))&amp;" ")),1,0))+IF(Task!$A$18="",0,IF(ISNUMBER(SEARCH(" "&amp;Task!$A$18&amp;" "," "&amp;LOWER(D278&amp;" "&amp;C278&amp;" "&amp;LOWER(SUBSTITUTE(SUBSTITUTE(SUBSTITUTE(SUBSTITUTE(A278,"/"," "),"."," "),"\"," "),"_"," ")))&amp;" ")),1,0))+IF(Task!$A$19="",0,IF(ISNUMBER(SEARCH(" "&amp;Task!$A$19&amp;" "," "&amp;LOWER(D278&amp;" "&amp;C278&amp;" "&amp;LOWER(SUBSTITUTE(SUBSTITUTE(SUBSTITUTE(SUBSTITUTE(A278,"/"," "),"."," "),"\"," "),"_"," ")))&amp;" ")),1,0)))</f>
        <v/>
      </c>
      <c r="G278" s="9">
        <f>IF(E278=0,0,IF(Task!$A$8="",0,IF(ISNUMBER(SEARCH(" "&amp;Task!$A$8&amp;" "," "&amp;LOWER(C278)&amp;" ")),1,0))+IF(Task!$A$9="",0,IF(ISNUMBER(SEARCH(" "&amp;Task!$A$9&amp;" "," "&amp;LOWER(C278)&amp;" ")),1,0))+IF(Task!$A$10="",0,IF(ISNUMBER(SEARCH(" "&amp;Task!$A$10&amp;" "," "&amp;LOWER(C278)&amp;" ")),1,0))+IF(Task!$A$11="",0,IF(ISNUMBER(SEARCH(" "&amp;Task!$A$11&amp;" "," "&amp;LOWER(C278)&amp;" ")),1,0))+IF(Task!$A$12="",0,IF(ISNUMBER(SEARCH(" "&amp;Task!$A$12&amp;" "," "&amp;LOWER(C278)&amp;" ")),1,0))+IF(Task!$A$13="",0,IF(ISNUMBER(SEARCH(" "&amp;Task!$A$13&amp;" "," "&amp;LOWER(C278)&amp;" ")),1,0))+IF(Task!$A$14="",0,IF(ISNUMBER(SEARCH(" "&amp;Task!$A$14&amp;" "," "&amp;LOWER(C278)&amp;" ")),1,0))+IF(Task!$A$15="",0,IF(ISNUMBER(SEARCH(" "&amp;Task!$A$15&amp;" "," "&amp;LOWER(C278)&amp;" ")),1,0))+IF(Task!$A$16="",0,IF(ISNUMBER(SEARCH(" "&amp;Task!$A$16&amp;" "," "&amp;LOWER(C278)&amp;" ")),1,0))+IF(Task!$A$17="",0,IF(ISNUMBER(SEARCH(" "&amp;Task!$A$17&amp;" "," "&amp;LOWER(C278)&amp;" ")),1,0))+IF(Task!$A$18="",0,IF(ISNUMBER(SEARCH(" "&amp;Task!$A$18&amp;" "," "&amp;LOWER(C278)&amp;" ")),1,0))+IF(Task!$A$19="",0,IF(ISNUMBER(SEARCH(" "&amp;Task!$A$19&amp;" "," "&amp;LOWER(C278)&amp;" ")),1,0)))</f>
        <v/>
      </c>
      <c r="H278" s="9">
        <f>IF(E278=0,0,IF(Task!$A$8="",0,IF(ISNUMBER(SEARCH(" "&amp;Task!$A$8&amp;" "," "&amp;LOWER(SUBSTITUTE(SUBSTITUTE(SUBSTITUTE(SUBSTITUTE(A278,"/"," "),"."," "),"\"," "),"_"," "))&amp;" ")),1,0))+IF(Task!$A$9="",0,IF(ISNUMBER(SEARCH(" "&amp;Task!$A$9&amp;" "," "&amp;LOWER(SUBSTITUTE(SUBSTITUTE(SUBSTITUTE(SUBSTITUTE(A278,"/"," "),"."," "),"\"," "),"_"," "))&amp;" ")),1,0))+IF(Task!$A$10="",0,IF(ISNUMBER(SEARCH(" "&amp;Task!$A$10&amp;" "," "&amp;LOWER(SUBSTITUTE(SUBSTITUTE(SUBSTITUTE(SUBSTITUTE(A278,"/"," "),"."," "),"\"," "),"_"," "))&amp;" ")),1,0))+IF(Task!$A$11="",0,IF(ISNUMBER(SEARCH(" "&amp;Task!$A$11&amp;" "," "&amp;LOWER(SUBSTITUTE(SUBSTITUTE(SUBSTITUTE(SUBSTITUTE(A278,"/"," "),"."," "),"\"," "),"_"," "))&amp;" ")),1,0))+IF(Task!$A$12="",0,IF(ISNUMBER(SEARCH(" "&amp;Task!$A$12&amp;" "," "&amp;LOWER(SUBSTITUTE(SUBSTITUTE(SUBSTITUTE(SUBSTITUTE(A278,"/"," "),"."," "),"\"," "),"_"," "))&amp;" ")),1,0))+IF(Task!$A$13="",0,IF(ISNUMBER(SEARCH(" "&amp;Task!$A$13&amp;" "," "&amp;LOWER(SUBSTITUTE(SUBSTITUTE(SUBSTITUTE(SUBSTITUTE(A278,"/"," "),"."," "),"\"," "),"_"," "))&amp;" ")),1,0))+IF(Task!$A$14="",0,IF(ISNUMBER(SEARCH(" "&amp;Task!$A$14&amp;" "," "&amp;LOWER(SUBSTITUTE(SUBSTITUTE(SUBSTITUTE(SUBSTITUTE(A278,"/"," "),"."," "),"\"," "),"_"," "))&amp;" ")),1,0))+IF(Task!$A$15="",0,IF(ISNUMBER(SEARCH(" "&amp;Task!$A$15&amp;" "," "&amp;LOWER(SUBSTITUTE(SUBSTITUTE(SUBSTITUTE(SUBSTITUTE(A278,"/"," "),"."," "),"\"," "),"_"," "))&amp;" ")),1,0))+IF(Task!$A$16="",0,IF(ISNUMBER(SEARCH(" "&amp;Task!$A$16&amp;" "," "&amp;LOWER(SUBSTITUTE(SUBSTITUTE(SUBSTITUTE(SUBSTITUTE(A278,"/"," "),"."," "),"\"," "),"_"," "))&amp;" ")),1,0))+IF(Task!$A$17="",0,IF(ISNUMBER(SEARCH(" "&amp;Task!$A$17&amp;" "," "&amp;LOWER(SUBSTITUTE(SUBSTITUTE(SUBSTITUTE(SUBSTITUTE(A278,"/"," "),"."," "),"\"," "),"_"," "))&amp;" ")),1,0))+IF(Task!$A$18="",0,IF(ISNUMBER(SEARCH(" "&amp;Task!$A$18&amp;" "," "&amp;LOWER(SUBSTITUTE(SUBSTITUTE(SUBSTITUTE(SUBSTITUTE(A278,"/"," "),"."," "),"\"," "),"_"," "))&amp;" ")),1,0))+IF(Task!$A$19="",0,IF(ISNUMBER(SEARCH(" "&amp;Task!$A$19&amp;" "," "&amp;LOWER(SUBSTITUTE(SUBSTITUTE(SUBSTITUTE(SUBSTITUTE(A278,"/"," "),"."," "),"\"," "),"_"," "))&amp;" ")),1,0)))</f>
        <v/>
      </c>
      <c r="I278" s="10">
        <f>IF(OR(E278=0,F278=0,Task!$B$21=0),"",F278/Task!$B$21+0.5*G278+0.25*H278)</f>
        <v/>
      </c>
      <c r="J278" s="5">
        <f>IF(I278="","",I278-ROW()/1000000)</f>
        <v/>
      </c>
      <c r="K278" s="9">
        <f>IF(J278="","",COUNTIF($J$5:$J$404,"&gt;"&amp;J278)+1)</f>
        <v/>
      </c>
    </row>
    <row r="279">
      <c r="A279" s="7" t="n"/>
      <c r="B279" s="7" t="n"/>
      <c r="C279" s="7" t="n"/>
      <c r="D279" s="7" t="n"/>
      <c r="E279" s="5">
        <f>IF(A279="",0,IF(COUNTA(Task!$B$5:$E$5)=0,1,IF(COUNTIF(Task!$B$5:$E$5,B279)&gt;0,1,0)))</f>
        <v/>
      </c>
      <c r="F279" s="9">
        <f>IF(E279=0,0,IF(Task!$A$8="",0,IF(ISNUMBER(SEARCH(" "&amp;Task!$A$8&amp;" "," "&amp;LOWER(D279&amp;" "&amp;C279&amp;" "&amp;LOWER(SUBSTITUTE(SUBSTITUTE(SUBSTITUTE(SUBSTITUTE(A279,"/"," "),"."," "),"\"," "),"_"," ")))&amp;" ")),1,0))+IF(Task!$A$9="",0,IF(ISNUMBER(SEARCH(" "&amp;Task!$A$9&amp;" "," "&amp;LOWER(D279&amp;" "&amp;C279&amp;" "&amp;LOWER(SUBSTITUTE(SUBSTITUTE(SUBSTITUTE(SUBSTITUTE(A279,"/"," "),"."," "),"\"," "),"_"," ")))&amp;" ")),1,0))+IF(Task!$A$10="",0,IF(ISNUMBER(SEARCH(" "&amp;Task!$A$10&amp;" "," "&amp;LOWER(D279&amp;" "&amp;C279&amp;" "&amp;LOWER(SUBSTITUTE(SUBSTITUTE(SUBSTITUTE(SUBSTITUTE(A279,"/"," "),"."," "),"\"," "),"_"," ")))&amp;" ")),1,0))+IF(Task!$A$11="",0,IF(ISNUMBER(SEARCH(" "&amp;Task!$A$11&amp;" "," "&amp;LOWER(D279&amp;" "&amp;C279&amp;" "&amp;LOWER(SUBSTITUTE(SUBSTITUTE(SUBSTITUTE(SUBSTITUTE(A279,"/"," "),"."," "),"\"," "),"_"," ")))&amp;" ")),1,0))+IF(Task!$A$12="",0,IF(ISNUMBER(SEARCH(" "&amp;Task!$A$12&amp;" "," "&amp;LOWER(D279&amp;" "&amp;C279&amp;" "&amp;LOWER(SUBSTITUTE(SUBSTITUTE(SUBSTITUTE(SUBSTITUTE(A279,"/"," "),"."," "),"\"," "),"_"," ")))&amp;" ")),1,0))+IF(Task!$A$13="",0,IF(ISNUMBER(SEARCH(" "&amp;Task!$A$13&amp;" "," "&amp;LOWER(D279&amp;" "&amp;C279&amp;" "&amp;LOWER(SUBSTITUTE(SUBSTITUTE(SUBSTITUTE(SUBSTITUTE(A279,"/"," "),"."," "),"\"," "),"_"," ")))&amp;" ")),1,0))+IF(Task!$A$14="",0,IF(ISNUMBER(SEARCH(" "&amp;Task!$A$14&amp;" "," "&amp;LOWER(D279&amp;" "&amp;C279&amp;" "&amp;LOWER(SUBSTITUTE(SUBSTITUTE(SUBSTITUTE(SUBSTITUTE(A279,"/"," "),"."," "),"\"," "),"_"," ")))&amp;" ")),1,0))+IF(Task!$A$15="",0,IF(ISNUMBER(SEARCH(" "&amp;Task!$A$15&amp;" "," "&amp;LOWER(D279&amp;" "&amp;C279&amp;" "&amp;LOWER(SUBSTITUTE(SUBSTITUTE(SUBSTITUTE(SUBSTITUTE(A279,"/"," "),"."," "),"\"," "),"_"," ")))&amp;" ")),1,0))+IF(Task!$A$16="",0,IF(ISNUMBER(SEARCH(" "&amp;Task!$A$16&amp;" "," "&amp;LOWER(D279&amp;" "&amp;C279&amp;" "&amp;LOWER(SUBSTITUTE(SUBSTITUTE(SUBSTITUTE(SUBSTITUTE(A279,"/"," "),"."," "),"\"," "),"_"," ")))&amp;" ")),1,0))+IF(Task!$A$17="",0,IF(ISNUMBER(SEARCH(" "&amp;Task!$A$17&amp;" "," "&amp;LOWER(D279&amp;" "&amp;C279&amp;" "&amp;LOWER(SUBSTITUTE(SUBSTITUTE(SUBSTITUTE(SUBSTITUTE(A279,"/"," "),"."," "),"\"," "),"_"," ")))&amp;" ")),1,0))+IF(Task!$A$18="",0,IF(ISNUMBER(SEARCH(" "&amp;Task!$A$18&amp;" "," "&amp;LOWER(D279&amp;" "&amp;C279&amp;" "&amp;LOWER(SUBSTITUTE(SUBSTITUTE(SUBSTITUTE(SUBSTITUTE(A279,"/"," "),"."," "),"\"," "),"_"," ")))&amp;" ")),1,0))+IF(Task!$A$19="",0,IF(ISNUMBER(SEARCH(" "&amp;Task!$A$19&amp;" "," "&amp;LOWER(D279&amp;" "&amp;C279&amp;" "&amp;LOWER(SUBSTITUTE(SUBSTITUTE(SUBSTITUTE(SUBSTITUTE(A279,"/"," "),"."," "),"\"," "),"_"," ")))&amp;" ")),1,0)))</f>
        <v/>
      </c>
      <c r="G279" s="9">
        <f>IF(E279=0,0,IF(Task!$A$8="",0,IF(ISNUMBER(SEARCH(" "&amp;Task!$A$8&amp;" "," "&amp;LOWER(C279)&amp;" ")),1,0))+IF(Task!$A$9="",0,IF(ISNUMBER(SEARCH(" "&amp;Task!$A$9&amp;" "," "&amp;LOWER(C279)&amp;" ")),1,0))+IF(Task!$A$10="",0,IF(ISNUMBER(SEARCH(" "&amp;Task!$A$10&amp;" "," "&amp;LOWER(C279)&amp;" ")),1,0))+IF(Task!$A$11="",0,IF(ISNUMBER(SEARCH(" "&amp;Task!$A$11&amp;" "," "&amp;LOWER(C279)&amp;" ")),1,0))+IF(Task!$A$12="",0,IF(ISNUMBER(SEARCH(" "&amp;Task!$A$12&amp;" "," "&amp;LOWER(C279)&amp;" ")),1,0))+IF(Task!$A$13="",0,IF(ISNUMBER(SEARCH(" "&amp;Task!$A$13&amp;" "," "&amp;LOWER(C279)&amp;" ")),1,0))+IF(Task!$A$14="",0,IF(ISNUMBER(SEARCH(" "&amp;Task!$A$14&amp;" "," "&amp;LOWER(C279)&amp;" ")),1,0))+IF(Task!$A$15="",0,IF(ISNUMBER(SEARCH(" "&amp;Task!$A$15&amp;" "," "&amp;LOWER(C279)&amp;" ")),1,0))+IF(Task!$A$16="",0,IF(ISNUMBER(SEARCH(" "&amp;Task!$A$16&amp;" "," "&amp;LOWER(C279)&amp;" ")),1,0))+IF(Task!$A$17="",0,IF(ISNUMBER(SEARCH(" "&amp;Task!$A$17&amp;" "," "&amp;LOWER(C279)&amp;" ")),1,0))+IF(Task!$A$18="",0,IF(ISNUMBER(SEARCH(" "&amp;Task!$A$18&amp;" "," "&amp;LOWER(C279)&amp;" ")),1,0))+IF(Task!$A$19="",0,IF(ISNUMBER(SEARCH(" "&amp;Task!$A$19&amp;" "," "&amp;LOWER(C279)&amp;" ")),1,0)))</f>
        <v/>
      </c>
      <c r="H279" s="9">
        <f>IF(E279=0,0,IF(Task!$A$8="",0,IF(ISNUMBER(SEARCH(" "&amp;Task!$A$8&amp;" "," "&amp;LOWER(SUBSTITUTE(SUBSTITUTE(SUBSTITUTE(SUBSTITUTE(A279,"/"," "),"."," "),"\"," "),"_"," "))&amp;" ")),1,0))+IF(Task!$A$9="",0,IF(ISNUMBER(SEARCH(" "&amp;Task!$A$9&amp;" "," "&amp;LOWER(SUBSTITUTE(SUBSTITUTE(SUBSTITUTE(SUBSTITUTE(A279,"/"," "),"."," "),"\"," "),"_"," "))&amp;" ")),1,0))+IF(Task!$A$10="",0,IF(ISNUMBER(SEARCH(" "&amp;Task!$A$10&amp;" "," "&amp;LOWER(SUBSTITUTE(SUBSTITUTE(SUBSTITUTE(SUBSTITUTE(A279,"/"," "),"."," "),"\"," "),"_"," "))&amp;" ")),1,0))+IF(Task!$A$11="",0,IF(ISNUMBER(SEARCH(" "&amp;Task!$A$11&amp;" "," "&amp;LOWER(SUBSTITUTE(SUBSTITUTE(SUBSTITUTE(SUBSTITUTE(A279,"/"," "),"."," "),"\"," "),"_"," "))&amp;" ")),1,0))+IF(Task!$A$12="",0,IF(ISNUMBER(SEARCH(" "&amp;Task!$A$12&amp;" "," "&amp;LOWER(SUBSTITUTE(SUBSTITUTE(SUBSTITUTE(SUBSTITUTE(A279,"/"," "),"."," "),"\"," "),"_"," "))&amp;" ")),1,0))+IF(Task!$A$13="",0,IF(ISNUMBER(SEARCH(" "&amp;Task!$A$13&amp;" "," "&amp;LOWER(SUBSTITUTE(SUBSTITUTE(SUBSTITUTE(SUBSTITUTE(A279,"/"," "),"."," "),"\"," "),"_"," "))&amp;" ")),1,0))+IF(Task!$A$14="",0,IF(ISNUMBER(SEARCH(" "&amp;Task!$A$14&amp;" "," "&amp;LOWER(SUBSTITUTE(SUBSTITUTE(SUBSTITUTE(SUBSTITUTE(A279,"/"," "),"."," "),"\"," "),"_"," "))&amp;" ")),1,0))+IF(Task!$A$15="",0,IF(ISNUMBER(SEARCH(" "&amp;Task!$A$15&amp;" "," "&amp;LOWER(SUBSTITUTE(SUBSTITUTE(SUBSTITUTE(SUBSTITUTE(A279,"/"," "),"."," "),"\"," "),"_"," "))&amp;" ")),1,0))+IF(Task!$A$16="",0,IF(ISNUMBER(SEARCH(" "&amp;Task!$A$16&amp;" "," "&amp;LOWER(SUBSTITUTE(SUBSTITUTE(SUBSTITUTE(SUBSTITUTE(A279,"/"," "),"."," "),"\"," "),"_"," "))&amp;" ")),1,0))+IF(Task!$A$17="",0,IF(ISNUMBER(SEARCH(" "&amp;Task!$A$17&amp;" "," "&amp;LOWER(SUBSTITUTE(SUBSTITUTE(SUBSTITUTE(SUBSTITUTE(A279,"/"," "),"."," "),"\"," "),"_"," "))&amp;" ")),1,0))+IF(Task!$A$18="",0,IF(ISNUMBER(SEARCH(" "&amp;Task!$A$18&amp;" "," "&amp;LOWER(SUBSTITUTE(SUBSTITUTE(SUBSTITUTE(SUBSTITUTE(A279,"/"," "),"."," "),"\"," "),"_"," "))&amp;" ")),1,0))+IF(Task!$A$19="",0,IF(ISNUMBER(SEARCH(" "&amp;Task!$A$19&amp;" "," "&amp;LOWER(SUBSTITUTE(SUBSTITUTE(SUBSTITUTE(SUBSTITUTE(A279,"/"," "),"."," "),"\"," "),"_"," "))&amp;" ")),1,0)))</f>
        <v/>
      </c>
      <c r="I279" s="10">
        <f>IF(OR(E279=0,F279=0,Task!$B$21=0),"",F279/Task!$B$21+0.5*G279+0.25*H279)</f>
        <v/>
      </c>
      <c r="J279" s="5">
        <f>IF(I279="","",I279-ROW()/1000000)</f>
        <v/>
      </c>
      <c r="K279" s="9">
        <f>IF(J279="","",COUNTIF($J$5:$J$404,"&gt;"&amp;J279)+1)</f>
        <v/>
      </c>
    </row>
    <row r="280">
      <c r="A280" s="7" t="n"/>
      <c r="B280" s="7" t="n"/>
      <c r="C280" s="7" t="n"/>
      <c r="D280" s="7" t="n"/>
      <c r="E280" s="5">
        <f>IF(A280="",0,IF(COUNTA(Task!$B$5:$E$5)=0,1,IF(COUNTIF(Task!$B$5:$E$5,B280)&gt;0,1,0)))</f>
        <v/>
      </c>
      <c r="F280" s="9">
        <f>IF(E280=0,0,IF(Task!$A$8="",0,IF(ISNUMBER(SEARCH(" "&amp;Task!$A$8&amp;" "," "&amp;LOWER(D280&amp;" "&amp;C280&amp;" "&amp;LOWER(SUBSTITUTE(SUBSTITUTE(SUBSTITUTE(SUBSTITUTE(A280,"/"," "),"."," "),"\"," "),"_"," ")))&amp;" ")),1,0))+IF(Task!$A$9="",0,IF(ISNUMBER(SEARCH(" "&amp;Task!$A$9&amp;" "," "&amp;LOWER(D280&amp;" "&amp;C280&amp;" "&amp;LOWER(SUBSTITUTE(SUBSTITUTE(SUBSTITUTE(SUBSTITUTE(A280,"/"," "),"."," "),"\"," "),"_"," ")))&amp;" ")),1,0))+IF(Task!$A$10="",0,IF(ISNUMBER(SEARCH(" "&amp;Task!$A$10&amp;" "," "&amp;LOWER(D280&amp;" "&amp;C280&amp;" "&amp;LOWER(SUBSTITUTE(SUBSTITUTE(SUBSTITUTE(SUBSTITUTE(A280,"/"," "),"."," "),"\"," "),"_"," ")))&amp;" ")),1,0))+IF(Task!$A$11="",0,IF(ISNUMBER(SEARCH(" "&amp;Task!$A$11&amp;" "," "&amp;LOWER(D280&amp;" "&amp;C280&amp;" "&amp;LOWER(SUBSTITUTE(SUBSTITUTE(SUBSTITUTE(SUBSTITUTE(A280,"/"," "),"."," "),"\"," "),"_"," ")))&amp;" ")),1,0))+IF(Task!$A$12="",0,IF(ISNUMBER(SEARCH(" "&amp;Task!$A$12&amp;" "," "&amp;LOWER(D280&amp;" "&amp;C280&amp;" "&amp;LOWER(SUBSTITUTE(SUBSTITUTE(SUBSTITUTE(SUBSTITUTE(A280,"/"," "),"."," "),"\"," "),"_"," ")))&amp;" ")),1,0))+IF(Task!$A$13="",0,IF(ISNUMBER(SEARCH(" "&amp;Task!$A$13&amp;" "," "&amp;LOWER(D280&amp;" "&amp;C280&amp;" "&amp;LOWER(SUBSTITUTE(SUBSTITUTE(SUBSTITUTE(SUBSTITUTE(A280,"/"," "),"."," "),"\"," "),"_"," ")))&amp;" ")),1,0))+IF(Task!$A$14="",0,IF(ISNUMBER(SEARCH(" "&amp;Task!$A$14&amp;" "," "&amp;LOWER(D280&amp;" "&amp;C280&amp;" "&amp;LOWER(SUBSTITUTE(SUBSTITUTE(SUBSTITUTE(SUBSTITUTE(A280,"/"," "),"."," "),"\"," "),"_"," ")))&amp;" ")),1,0))+IF(Task!$A$15="",0,IF(ISNUMBER(SEARCH(" "&amp;Task!$A$15&amp;" "," "&amp;LOWER(D280&amp;" "&amp;C280&amp;" "&amp;LOWER(SUBSTITUTE(SUBSTITUTE(SUBSTITUTE(SUBSTITUTE(A280,"/"," "),"."," "),"\"," "),"_"," ")))&amp;" ")),1,0))+IF(Task!$A$16="",0,IF(ISNUMBER(SEARCH(" "&amp;Task!$A$16&amp;" "," "&amp;LOWER(D280&amp;" "&amp;C280&amp;" "&amp;LOWER(SUBSTITUTE(SUBSTITUTE(SUBSTITUTE(SUBSTITUTE(A280,"/"," "),"."," "),"\"," "),"_"," ")))&amp;" ")),1,0))+IF(Task!$A$17="",0,IF(ISNUMBER(SEARCH(" "&amp;Task!$A$17&amp;" "," "&amp;LOWER(D280&amp;" "&amp;C280&amp;" "&amp;LOWER(SUBSTITUTE(SUBSTITUTE(SUBSTITUTE(SUBSTITUTE(A280,"/"," "),"."," "),"\"," "),"_"," ")))&amp;" ")),1,0))+IF(Task!$A$18="",0,IF(ISNUMBER(SEARCH(" "&amp;Task!$A$18&amp;" "," "&amp;LOWER(D280&amp;" "&amp;C280&amp;" "&amp;LOWER(SUBSTITUTE(SUBSTITUTE(SUBSTITUTE(SUBSTITUTE(A280,"/"," "),"."," "),"\"," "),"_"," ")))&amp;" ")),1,0))+IF(Task!$A$19="",0,IF(ISNUMBER(SEARCH(" "&amp;Task!$A$19&amp;" "," "&amp;LOWER(D280&amp;" "&amp;C280&amp;" "&amp;LOWER(SUBSTITUTE(SUBSTITUTE(SUBSTITUTE(SUBSTITUTE(A280,"/"," "),"."," "),"\"," "),"_"," ")))&amp;" ")),1,0)))</f>
        <v/>
      </c>
      <c r="G280" s="9">
        <f>IF(E280=0,0,IF(Task!$A$8="",0,IF(ISNUMBER(SEARCH(" "&amp;Task!$A$8&amp;" "," "&amp;LOWER(C280)&amp;" ")),1,0))+IF(Task!$A$9="",0,IF(ISNUMBER(SEARCH(" "&amp;Task!$A$9&amp;" "," "&amp;LOWER(C280)&amp;" ")),1,0))+IF(Task!$A$10="",0,IF(ISNUMBER(SEARCH(" "&amp;Task!$A$10&amp;" "," "&amp;LOWER(C280)&amp;" ")),1,0))+IF(Task!$A$11="",0,IF(ISNUMBER(SEARCH(" "&amp;Task!$A$11&amp;" "," "&amp;LOWER(C280)&amp;" ")),1,0))+IF(Task!$A$12="",0,IF(ISNUMBER(SEARCH(" "&amp;Task!$A$12&amp;" "," "&amp;LOWER(C280)&amp;" ")),1,0))+IF(Task!$A$13="",0,IF(ISNUMBER(SEARCH(" "&amp;Task!$A$13&amp;" "," "&amp;LOWER(C280)&amp;" ")),1,0))+IF(Task!$A$14="",0,IF(ISNUMBER(SEARCH(" "&amp;Task!$A$14&amp;" "," "&amp;LOWER(C280)&amp;" ")),1,0))+IF(Task!$A$15="",0,IF(ISNUMBER(SEARCH(" "&amp;Task!$A$15&amp;" "," "&amp;LOWER(C280)&amp;" ")),1,0))+IF(Task!$A$16="",0,IF(ISNUMBER(SEARCH(" "&amp;Task!$A$16&amp;" "," "&amp;LOWER(C280)&amp;" ")),1,0))+IF(Task!$A$17="",0,IF(ISNUMBER(SEARCH(" "&amp;Task!$A$17&amp;" "," "&amp;LOWER(C280)&amp;" ")),1,0))+IF(Task!$A$18="",0,IF(ISNUMBER(SEARCH(" "&amp;Task!$A$18&amp;" "," "&amp;LOWER(C280)&amp;" ")),1,0))+IF(Task!$A$19="",0,IF(ISNUMBER(SEARCH(" "&amp;Task!$A$19&amp;" "," "&amp;LOWER(C280)&amp;" ")),1,0)))</f>
        <v/>
      </c>
      <c r="H280" s="9">
        <f>IF(E280=0,0,IF(Task!$A$8="",0,IF(ISNUMBER(SEARCH(" "&amp;Task!$A$8&amp;" "," "&amp;LOWER(SUBSTITUTE(SUBSTITUTE(SUBSTITUTE(SUBSTITUTE(A280,"/"," "),"."," "),"\"," "),"_"," "))&amp;" ")),1,0))+IF(Task!$A$9="",0,IF(ISNUMBER(SEARCH(" "&amp;Task!$A$9&amp;" "," "&amp;LOWER(SUBSTITUTE(SUBSTITUTE(SUBSTITUTE(SUBSTITUTE(A280,"/"," "),"."," "),"\"," "),"_"," "))&amp;" ")),1,0))+IF(Task!$A$10="",0,IF(ISNUMBER(SEARCH(" "&amp;Task!$A$10&amp;" "," "&amp;LOWER(SUBSTITUTE(SUBSTITUTE(SUBSTITUTE(SUBSTITUTE(A280,"/"," "),"."," "),"\"," "),"_"," "))&amp;" ")),1,0))+IF(Task!$A$11="",0,IF(ISNUMBER(SEARCH(" "&amp;Task!$A$11&amp;" "," "&amp;LOWER(SUBSTITUTE(SUBSTITUTE(SUBSTITUTE(SUBSTITUTE(A280,"/"," "),"."," "),"\"," "),"_"," "))&amp;" ")),1,0))+IF(Task!$A$12="",0,IF(ISNUMBER(SEARCH(" "&amp;Task!$A$12&amp;" "," "&amp;LOWER(SUBSTITUTE(SUBSTITUTE(SUBSTITUTE(SUBSTITUTE(A280,"/"," "),"."," "),"\"," "),"_"," "))&amp;" ")),1,0))+IF(Task!$A$13="",0,IF(ISNUMBER(SEARCH(" "&amp;Task!$A$13&amp;" "," "&amp;LOWER(SUBSTITUTE(SUBSTITUTE(SUBSTITUTE(SUBSTITUTE(A280,"/"," "),"."," "),"\"," "),"_"," "))&amp;" ")),1,0))+IF(Task!$A$14="",0,IF(ISNUMBER(SEARCH(" "&amp;Task!$A$14&amp;" "," "&amp;LOWER(SUBSTITUTE(SUBSTITUTE(SUBSTITUTE(SUBSTITUTE(A280,"/"," "),"."," "),"\"," "),"_"," "))&amp;" ")),1,0))+IF(Task!$A$15="",0,IF(ISNUMBER(SEARCH(" "&amp;Task!$A$15&amp;" "," "&amp;LOWER(SUBSTITUTE(SUBSTITUTE(SUBSTITUTE(SUBSTITUTE(A280,"/"," "),"."," "),"\"," "),"_"," "))&amp;" ")),1,0))+IF(Task!$A$16="",0,IF(ISNUMBER(SEARCH(" "&amp;Task!$A$16&amp;" "," "&amp;LOWER(SUBSTITUTE(SUBSTITUTE(SUBSTITUTE(SUBSTITUTE(A280,"/"," "),"."," "),"\"," "),"_"," "))&amp;" ")),1,0))+IF(Task!$A$17="",0,IF(ISNUMBER(SEARCH(" "&amp;Task!$A$17&amp;" "," "&amp;LOWER(SUBSTITUTE(SUBSTITUTE(SUBSTITUTE(SUBSTITUTE(A280,"/"," "),"."," "),"\"," "),"_"," "))&amp;" ")),1,0))+IF(Task!$A$18="",0,IF(ISNUMBER(SEARCH(" "&amp;Task!$A$18&amp;" "," "&amp;LOWER(SUBSTITUTE(SUBSTITUTE(SUBSTITUTE(SUBSTITUTE(A280,"/"," "),"."," "),"\"," "),"_"," "))&amp;" ")),1,0))+IF(Task!$A$19="",0,IF(ISNUMBER(SEARCH(" "&amp;Task!$A$19&amp;" "," "&amp;LOWER(SUBSTITUTE(SUBSTITUTE(SUBSTITUTE(SUBSTITUTE(A280,"/"," "),"."," "),"\"," "),"_"," "))&amp;" ")),1,0)))</f>
        <v/>
      </c>
      <c r="I280" s="10">
        <f>IF(OR(E280=0,F280=0,Task!$B$21=0),"",F280/Task!$B$21+0.5*G280+0.25*H280)</f>
        <v/>
      </c>
      <c r="J280" s="5">
        <f>IF(I280="","",I280-ROW()/1000000)</f>
        <v/>
      </c>
      <c r="K280" s="9">
        <f>IF(J280="","",COUNTIF($J$5:$J$404,"&gt;"&amp;J280)+1)</f>
        <v/>
      </c>
    </row>
    <row r="281">
      <c r="A281" s="7" t="n"/>
      <c r="B281" s="7" t="n"/>
      <c r="C281" s="7" t="n"/>
      <c r="D281" s="7" t="n"/>
      <c r="E281" s="5">
        <f>IF(A281="",0,IF(COUNTA(Task!$B$5:$E$5)=0,1,IF(COUNTIF(Task!$B$5:$E$5,B281)&gt;0,1,0)))</f>
        <v/>
      </c>
      <c r="F281" s="9">
        <f>IF(E281=0,0,IF(Task!$A$8="",0,IF(ISNUMBER(SEARCH(" "&amp;Task!$A$8&amp;" "," "&amp;LOWER(D281&amp;" "&amp;C281&amp;" "&amp;LOWER(SUBSTITUTE(SUBSTITUTE(SUBSTITUTE(SUBSTITUTE(A281,"/"," "),"."," "),"\"," "),"_"," ")))&amp;" ")),1,0))+IF(Task!$A$9="",0,IF(ISNUMBER(SEARCH(" "&amp;Task!$A$9&amp;" "," "&amp;LOWER(D281&amp;" "&amp;C281&amp;" "&amp;LOWER(SUBSTITUTE(SUBSTITUTE(SUBSTITUTE(SUBSTITUTE(A281,"/"," "),"."," "),"\"," "),"_"," ")))&amp;" ")),1,0))+IF(Task!$A$10="",0,IF(ISNUMBER(SEARCH(" "&amp;Task!$A$10&amp;" "," "&amp;LOWER(D281&amp;" "&amp;C281&amp;" "&amp;LOWER(SUBSTITUTE(SUBSTITUTE(SUBSTITUTE(SUBSTITUTE(A281,"/"," "),"."," "),"\"," "),"_"," ")))&amp;" ")),1,0))+IF(Task!$A$11="",0,IF(ISNUMBER(SEARCH(" "&amp;Task!$A$11&amp;" "," "&amp;LOWER(D281&amp;" "&amp;C281&amp;" "&amp;LOWER(SUBSTITUTE(SUBSTITUTE(SUBSTITUTE(SUBSTITUTE(A281,"/"," "),"."," "),"\"," "),"_"," ")))&amp;" ")),1,0))+IF(Task!$A$12="",0,IF(ISNUMBER(SEARCH(" "&amp;Task!$A$12&amp;" "," "&amp;LOWER(D281&amp;" "&amp;C281&amp;" "&amp;LOWER(SUBSTITUTE(SUBSTITUTE(SUBSTITUTE(SUBSTITUTE(A281,"/"," "),"."," "),"\"," "),"_"," ")))&amp;" ")),1,0))+IF(Task!$A$13="",0,IF(ISNUMBER(SEARCH(" "&amp;Task!$A$13&amp;" "," "&amp;LOWER(D281&amp;" "&amp;C281&amp;" "&amp;LOWER(SUBSTITUTE(SUBSTITUTE(SUBSTITUTE(SUBSTITUTE(A281,"/"," "),"."," "),"\"," "),"_"," ")))&amp;" ")),1,0))+IF(Task!$A$14="",0,IF(ISNUMBER(SEARCH(" "&amp;Task!$A$14&amp;" "," "&amp;LOWER(D281&amp;" "&amp;C281&amp;" "&amp;LOWER(SUBSTITUTE(SUBSTITUTE(SUBSTITUTE(SUBSTITUTE(A281,"/"," "),"."," "),"\"," "),"_"," ")))&amp;" ")),1,0))+IF(Task!$A$15="",0,IF(ISNUMBER(SEARCH(" "&amp;Task!$A$15&amp;" "," "&amp;LOWER(D281&amp;" "&amp;C281&amp;" "&amp;LOWER(SUBSTITUTE(SUBSTITUTE(SUBSTITUTE(SUBSTITUTE(A281,"/"," "),"."," "),"\"," "),"_"," ")))&amp;" ")),1,0))+IF(Task!$A$16="",0,IF(ISNUMBER(SEARCH(" "&amp;Task!$A$16&amp;" "," "&amp;LOWER(D281&amp;" "&amp;C281&amp;" "&amp;LOWER(SUBSTITUTE(SUBSTITUTE(SUBSTITUTE(SUBSTITUTE(A281,"/"," "),"."," "),"\"," "),"_"," ")))&amp;" ")),1,0))+IF(Task!$A$17="",0,IF(ISNUMBER(SEARCH(" "&amp;Task!$A$17&amp;" "," "&amp;LOWER(D281&amp;" "&amp;C281&amp;" "&amp;LOWER(SUBSTITUTE(SUBSTITUTE(SUBSTITUTE(SUBSTITUTE(A281,"/"," "),"."," "),"\"," "),"_"," ")))&amp;" ")),1,0))+IF(Task!$A$18="",0,IF(ISNUMBER(SEARCH(" "&amp;Task!$A$18&amp;" "," "&amp;LOWER(D281&amp;" "&amp;C281&amp;" "&amp;LOWER(SUBSTITUTE(SUBSTITUTE(SUBSTITUTE(SUBSTITUTE(A281,"/"," "),"."," "),"\"," "),"_"," ")))&amp;" ")),1,0))+IF(Task!$A$19="",0,IF(ISNUMBER(SEARCH(" "&amp;Task!$A$19&amp;" "," "&amp;LOWER(D281&amp;" "&amp;C281&amp;" "&amp;LOWER(SUBSTITUTE(SUBSTITUTE(SUBSTITUTE(SUBSTITUTE(A281,"/"," "),"."," "),"\"," "),"_"," ")))&amp;" ")),1,0)))</f>
        <v/>
      </c>
      <c r="G281" s="9">
        <f>IF(E281=0,0,IF(Task!$A$8="",0,IF(ISNUMBER(SEARCH(" "&amp;Task!$A$8&amp;" "," "&amp;LOWER(C281)&amp;" ")),1,0))+IF(Task!$A$9="",0,IF(ISNUMBER(SEARCH(" "&amp;Task!$A$9&amp;" "," "&amp;LOWER(C281)&amp;" ")),1,0))+IF(Task!$A$10="",0,IF(ISNUMBER(SEARCH(" "&amp;Task!$A$10&amp;" "," "&amp;LOWER(C281)&amp;" ")),1,0))+IF(Task!$A$11="",0,IF(ISNUMBER(SEARCH(" "&amp;Task!$A$11&amp;" "," "&amp;LOWER(C281)&amp;" ")),1,0))+IF(Task!$A$12="",0,IF(ISNUMBER(SEARCH(" "&amp;Task!$A$12&amp;" "," "&amp;LOWER(C281)&amp;" ")),1,0))+IF(Task!$A$13="",0,IF(ISNUMBER(SEARCH(" "&amp;Task!$A$13&amp;" "," "&amp;LOWER(C281)&amp;" ")),1,0))+IF(Task!$A$14="",0,IF(ISNUMBER(SEARCH(" "&amp;Task!$A$14&amp;" "," "&amp;LOWER(C281)&amp;" ")),1,0))+IF(Task!$A$15="",0,IF(ISNUMBER(SEARCH(" "&amp;Task!$A$15&amp;" "," "&amp;LOWER(C281)&amp;" ")),1,0))+IF(Task!$A$16="",0,IF(ISNUMBER(SEARCH(" "&amp;Task!$A$16&amp;" "," "&amp;LOWER(C281)&amp;" ")),1,0))+IF(Task!$A$17="",0,IF(ISNUMBER(SEARCH(" "&amp;Task!$A$17&amp;" "," "&amp;LOWER(C281)&amp;" ")),1,0))+IF(Task!$A$18="",0,IF(ISNUMBER(SEARCH(" "&amp;Task!$A$18&amp;" "," "&amp;LOWER(C281)&amp;" ")),1,0))+IF(Task!$A$19="",0,IF(ISNUMBER(SEARCH(" "&amp;Task!$A$19&amp;" "," "&amp;LOWER(C281)&amp;" ")),1,0)))</f>
        <v/>
      </c>
      <c r="H281" s="9">
        <f>IF(E281=0,0,IF(Task!$A$8="",0,IF(ISNUMBER(SEARCH(" "&amp;Task!$A$8&amp;" "," "&amp;LOWER(SUBSTITUTE(SUBSTITUTE(SUBSTITUTE(SUBSTITUTE(A281,"/"," "),"."," "),"\"," "),"_"," "))&amp;" ")),1,0))+IF(Task!$A$9="",0,IF(ISNUMBER(SEARCH(" "&amp;Task!$A$9&amp;" "," "&amp;LOWER(SUBSTITUTE(SUBSTITUTE(SUBSTITUTE(SUBSTITUTE(A281,"/"," "),"."," "),"\"," "),"_"," "))&amp;" ")),1,0))+IF(Task!$A$10="",0,IF(ISNUMBER(SEARCH(" "&amp;Task!$A$10&amp;" "," "&amp;LOWER(SUBSTITUTE(SUBSTITUTE(SUBSTITUTE(SUBSTITUTE(A281,"/"," "),"."," "),"\"," "),"_"," "))&amp;" ")),1,0))+IF(Task!$A$11="",0,IF(ISNUMBER(SEARCH(" "&amp;Task!$A$11&amp;" "," "&amp;LOWER(SUBSTITUTE(SUBSTITUTE(SUBSTITUTE(SUBSTITUTE(A281,"/"," "),"."," "),"\"," "),"_"," "))&amp;" ")),1,0))+IF(Task!$A$12="",0,IF(ISNUMBER(SEARCH(" "&amp;Task!$A$12&amp;" "," "&amp;LOWER(SUBSTITUTE(SUBSTITUTE(SUBSTITUTE(SUBSTITUTE(A281,"/"," "),"."," "),"\"," "),"_"," "))&amp;" ")),1,0))+IF(Task!$A$13="",0,IF(ISNUMBER(SEARCH(" "&amp;Task!$A$13&amp;" "," "&amp;LOWER(SUBSTITUTE(SUBSTITUTE(SUBSTITUTE(SUBSTITUTE(A281,"/"," "),"."," "),"\"," "),"_"," "))&amp;" ")),1,0))+IF(Task!$A$14="",0,IF(ISNUMBER(SEARCH(" "&amp;Task!$A$14&amp;" "," "&amp;LOWER(SUBSTITUTE(SUBSTITUTE(SUBSTITUTE(SUBSTITUTE(A281,"/"," "),"."," "),"\"," "),"_"," "))&amp;" ")),1,0))+IF(Task!$A$15="",0,IF(ISNUMBER(SEARCH(" "&amp;Task!$A$15&amp;" "," "&amp;LOWER(SUBSTITUTE(SUBSTITUTE(SUBSTITUTE(SUBSTITUTE(A281,"/"," "),"."," "),"\"," "),"_"," "))&amp;" ")),1,0))+IF(Task!$A$16="",0,IF(ISNUMBER(SEARCH(" "&amp;Task!$A$16&amp;" "," "&amp;LOWER(SUBSTITUTE(SUBSTITUTE(SUBSTITUTE(SUBSTITUTE(A281,"/"," "),"."," "),"\"," "),"_"," "))&amp;" ")),1,0))+IF(Task!$A$17="",0,IF(ISNUMBER(SEARCH(" "&amp;Task!$A$17&amp;" "," "&amp;LOWER(SUBSTITUTE(SUBSTITUTE(SUBSTITUTE(SUBSTITUTE(A281,"/"," "),"."," "),"\"," "),"_"," "))&amp;" ")),1,0))+IF(Task!$A$18="",0,IF(ISNUMBER(SEARCH(" "&amp;Task!$A$18&amp;" "," "&amp;LOWER(SUBSTITUTE(SUBSTITUTE(SUBSTITUTE(SUBSTITUTE(A281,"/"," "),"."," "),"\"," "),"_"," "))&amp;" ")),1,0))+IF(Task!$A$19="",0,IF(ISNUMBER(SEARCH(" "&amp;Task!$A$19&amp;" "," "&amp;LOWER(SUBSTITUTE(SUBSTITUTE(SUBSTITUTE(SUBSTITUTE(A281,"/"," "),"."," "),"\"," "),"_"," "))&amp;" ")),1,0)))</f>
        <v/>
      </c>
      <c r="I281" s="10">
        <f>IF(OR(E281=0,F281=0,Task!$B$21=0),"",F281/Task!$B$21+0.5*G281+0.25*H281)</f>
        <v/>
      </c>
      <c r="J281" s="5">
        <f>IF(I281="","",I281-ROW()/1000000)</f>
        <v/>
      </c>
      <c r="K281" s="9">
        <f>IF(J281="","",COUNTIF($J$5:$J$404,"&gt;"&amp;J281)+1)</f>
        <v/>
      </c>
    </row>
    <row r="282">
      <c r="A282" s="7" t="n"/>
      <c r="B282" s="7" t="n"/>
      <c r="C282" s="7" t="n"/>
      <c r="D282" s="7" t="n"/>
      <c r="E282" s="5">
        <f>IF(A282="",0,IF(COUNTA(Task!$B$5:$E$5)=0,1,IF(COUNTIF(Task!$B$5:$E$5,B282)&gt;0,1,0)))</f>
        <v/>
      </c>
      <c r="F282" s="9">
        <f>IF(E282=0,0,IF(Task!$A$8="",0,IF(ISNUMBER(SEARCH(" "&amp;Task!$A$8&amp;" "," "&amp;LOWER(D282&amp;" "&amp;C282&amp;" "&amp;LOWER(SUBSTITUTE(SUBSTITUTE(SUBSTITUTE(SUBSTITUTE(A282,"/"," "),"."," "),"\"," "),"_"," ")))&amp;" ")),1,0))+IF(Task!$A$9="",0,IF(ISNUMBER(SEARCH(" "&amp;Task!$A$9&amp;" "," "&amp;LOWER(D282&amp;" "&amp;C282&amp;" "&amp;LOWER(SUBSTITUTE(SUBSTITUTE(SUBSTITUTE(SUBSTITUTE(A282,"/"," "),"."," "),"\"," "),"_"," ")))&amp;" ")),1,0))+IF(Task!$A$10="",0,IF(ISNUMBER(SEARCH(" "&amp;Task!$A$10&amp;" "," "&amp;LOWER(D282&amp;" "&amp;C282&amp;" "&amp;LOWER(SUBSTITUTE(SUBSTITUTE(SUBSTITUTE(SUBSTITUTE(A282,"/"," "),"."," "),"\"," "),"_"," ")))&amp;" ")),1,0))+IF(Task!$A$11="",0,IF(ISNUMBER(SEARCH(" "&amp;Task!$A$11&amp;" "," "&amp;LOWER(D282&amp;" "&amp;C282&amp;" "&amp;LOWER(SUBSTITUTE(SUBSTITUTE(SUBSTITUTE(SUBSTITUTE(A282,"/"," "),"."," "),"\"," "),"_"," ")))&amp;" ")),1,0))+IF(Task!$A$12="",0,IF(ISNUMBER(SEARCH(" "&amp;Task!$A$12&amp;" "," "&amp;LOWER(D282&amp;" "&amp;C282&amp;" "&amp;LOWER(SUBSTITUTE(SUBSTITUTE(SUBSTITUTE(SUBSTITUTE(A282,"/"," "),"."," "),"\"," "),"_"," ")))&amp;" ")),1,0))+IF(Task!$A$13="",0,IF(ISNUMBER(SEARCH(" "&amp;Task!$A$13&amp;" "," "&amp;LOWER(D282&amp;" "&amp;C282&amp;" "&amp;LOWER(SUBSTITUTE(SUBSTITUTE(SUBSTITUTE(SUBSTITUTE(A282,"/"," "),"."," "),"\"," "),"_"," ")))&amp;" ")),1,0))+IF(Task!$A$14="",0,IF(ISNUMBER(SEARCH(" "&amp;Task!$A$14&amp;" "," "&amp;LOWER(D282&amp;" "&amp;C282&amp;" "&amp;LOWER(SUBSTITUTE(SUBSTITUTE(SUBSTITUTE(SUBSTITUTE(A282,"/"," "),"."," "),"\"," "),"_"," ")))&amp;" ")),1,0))+IF(Task!$A$15="",0,IF(ISNUMBER(SEARCH(" "&amp;Task!$A$15&amp;" "," "&amp;LOWER(D282&amp;" "&amp;C282&amp;" "&amp;LOWER(SUBSTITUTE(SUBSTITUTE(SUBSTITUTE(SUBSTITUTE(A282,"/"," "),"."," "),"\"," "),"_"," ")))&amp;" ")),1,0))+IF(Task!$A$16="",0,IF(ISNUMBER(SEARCH(" "&amp;Task!$A$16&amp;" "," "&amp;LOWER(D282&amp;" "&amp;C282&amp;" "&amp;LOWER(SUBSTITUTE(SUBSTITUTE(SUBSTITUTE(SUBSTITUTE(A282,"/"," "),"."," "),"\"," "),"_"," ")))&amp;" ")),1,0))+IF(Task!$A$17="",0,IF(ISNUMBER(SEARCH(" "&amp;Task!$A$17&amp;" "," "&amp;LOWER(D282&amp;" "&amp;C282&amp;" "&amp;LOWER(SUBSTITUTE(SUBSTITUTE(SUBSTITUTE(SUBSTITUTE(A282,"/"," "),"."," "),"\"," "),"_"," ")))&amp;" ")),1,0))+IF(Task!$A$18="",0,IF(ISNUMBER(SEARCH(" "&amp;Task!$A$18&amp;" "," "&amp;LOWER(D282&amp;" "&amp;C282&amp;" "&amp;LOWER(SUBSTITUTE(SUBSTITUTE(SUBSTITUTE(SUBSTITUTE(A282,"/"," "),"."," "),"\"," "),"_"," ")))&amp;" ")),1,0))+IF(Task!$A$19="",0,IF(ISNUMBER(SEARCH(" "&amp;Task!$A$19&amp;" "," "&amp;LOWER(D282&amp;" "&amp;C282&amp;" "&amp;LOWER(SUBSTITUTE(SUBSTITUTE(SUBSTITUTE(SUBSTITUTE(A282,"/"," "),"."," "),"\"," "),"_"," ")))&amp;" ")),1,0)))</f>
        <v/>
      </c>
      <c r="G282" s="9">
        <f>IF(E282=0,0,IF(Task!$A$8="",0,IF(ISNUMBER(SEARCH(" "&amp;Task!$A$8&amp;" "," "&amp;LOWER(C282)&amp;" ")),1,0))+IF(Task!$A$9="",0,IF(ISNUMBER(SEARCH(" "&amp;Task!$A$9&amp;" "," "&amp;LOWER(C282)&amp;" ")),1,0))+IF(Task!$A$10="",0,IF(ISNUMBER(SEARCH(" "&amp;Task!$A$10&amp;" "," "&amp;LOWER(C282)&amp;" ")),1,0))+IF(Task!$A$11="",0,IF(ISNUMBER(SEARCH(" "&amp;Task!$A$11&amp;" "," "&amp;LOWER(C282)&amp;" ")),1,0))+IF(Task!$A$12="",0,IF(ISNUMBER(SEARCH(" "&amp;Task!$A$12&amp;" "," "&amp;LOWER(C282)&amp;" ")),1,0))+IF(Task!$A$13="",0,IF(ISNUMBER(SEARCH(" "&amp;Task!$A$13&amp;" "," "&amp;LOWER(C282)&amp;" ")),1,0))+IF(Task!$A$14="",0,IF(ISNUMBER(SEARCH(" "&amp;Task!$A$14&amp;" "," "&amp;LOWER(C282)&amp;" ")),1,0))+IF(Task!$A$15="",0,IF(ISNUMBER(SEARCH(" "&amp;Task!$A$15&amp;" "," "&amp;LOWER(C282)&amp;" ")),1,0))+IF(Task!$A$16="",0,IF(ISNUMBER(SEARCH(" "&amp;Task!$A$16&amp;" "," "&amp;LOWER(C282)&amp;" ")),1,0))+IF(Task!$A$17="",0,IF(ISNUMBER(SEARCH(" "&amp;Task!$A$17&amp;" "," "&amp;LOWER(C282)&amp;" ")),1,0))+IF(Task!$A$18="",0,IF(ISNUMBER(SEARCH(" "&amp;Task!$A$18&amp;" "," "&amp;LOWER(C282)&amp;" ")),1,0))+IF(Task!$A$19="",0,IF(ISNUMBER(SEARCH(" "&amp;Task!$A$19&amp;" "," "&amp;LOWER(C282)&amp;" ")),1,0)))</f>
        <v/>
      </c>
      <c r="H282" s="9">
        <f>IF(E282=0,0,IF(Task!$A$8="",0,IF(ISNUMBER(SEARCH(" "&amp;Task!$A$8&amp;" "," "&amp;LOWER(SUBSTITUTE(SUBSTITUTE(SUBSTITUTE(SUBSTITUTE(A282,"/"," "),"."," "),"\"," "),"_"," "))&amp;" ")),1,0))+IF(Task!$A$9="",0,IF(ISNUMBER(SEARCH(" "&amp;Task!$A$9&amp;" "," "&amp;LOWER(SUBSTITUTE(SUBSTITUTE(SUBSTITUTE(SUBSTITUTE(A282,"/"," "),"."," "),"\"," "),"_"," "))&amp;" ")),1,0))+IF(Task!$A$10="",0,IF(ISNUMBER(SEARCH(" "&amp;Task!$A$10&amp;" "," "&amp;LOWER(SUBSTITUTE(SUBSTITUTE(SUBSTITUTE(SUBSTITUTE(A282,"/"," "),"."," "),"\"," "),"_"," "))&amp;" ")),1,0))+IF(Task!$A$11="",0,IF(ISNUMBER(SEARCH(" "&amp;Task!$A$11&amp;" "," "&amp;LOWER(SUBSTITUTE(SUBSTITUTE(SUBSTITUTE(SUBSTITUTE(A282,"/"," "),"."," "),"\"," "),"_"," "))&amp;" ")),1,0))+IF(Task!$A$12="",0,IF(ISNUMBER(SEARCH(" "&amp;Task!$A$12&amp;" "," "&amp;LOWER(SUBSTITUTE(SUBSTITUTE(SUBSTITUTE(SUBSTITUTE(A282,"/"," "),"."," "),"\"," "),"_"," "))&amp;" ")),1,0))+IF(Task!$A$13="",0,IF(ISNUMBER(SEARCH(" "&amp;Task!$A$13&amp;" "," "&amp;LOWER(SUBSTITUTE(SUBSTITUTE(SUBSTITUTE(SUBSTITUTE(A282,"/"," "),"."," "),"\"," "),"_"," "))&amp;" ")),1,0))+IF(Task!$A$14="",0,IF(ISNUMBER(SEARCH(" "&amp;Task!$A$14&amp;" "," "&amp;LOWER(SUBSTITUTE(SUBSTITUTE(SUBSTITUTE(SUBSTITUTE(A282,"/"," "),"."," "),"\"," "),"_"," "))&amp;" ")),1,0))+IF(Task!$A$15="",0,IF(ISNUMBER(SEARCH(" "&amp;Task!$A$15&amp;" "," "&amp;LOWER(SUBSTITUTE(SUBSTITUTE(SUBSTITUTE(SUBSTITUTE(A282,"/"," "),"."," "),"\"," "),"_"," "))&amp;" ")),1,0))+IF(Task!$A$16="",0,IF(ISNUMBER(SEARCH(" "&amp;Task!$A$16&amp;" "," "&amp;LOWER(SUBSTITUTE(SUBSTITUTE(SUBSTITUTE(SUBSTITUTE(A282,"/"," "),"."," "),"\"," "),"_"," "))&amp;" ")),1,0))+IF(Task!$A$17="",0,IF(ISNUMBER(SEARCH(" "&amp;Task!$A$17&amp;" "," "&amp;LOWER(SUBSTITUTE(SUBSTITUTE(SUBSTITUTE(SUBSTITUTE(A282,"/"," "),"."," "),"\"," "),"_"," "))&amp;" ")),1,0))+IF(Task!$A$18="",0,IF(ISNUMBER(SEARCH(" "&amp;Task!$A$18&amp;" "," "&amp;LOWER(SUBSTITUTE(SUBSTITUTE(SUBSTITUTE(SUBSTITUTE(A282,"/"," "),"."," "),"\"," "),"_"," "))&amp;" ")),1,0))+IF(Task!$A$19="",0,IF(ISNUMBER(SEARCH(" "&amp;Task!$A$19&amp;" "," "&amp;LOWER(SUBSTITUTE(SUBSTITUTE(SUBSTITUTE(SUBSTITUTE(A282,"/"," "),"."," "),"\"," "),"_"," "))&amp;" ")),1,0)))</f>
        <v/>
      </c>
      <c r="I282" s="10">
        <f>IF(OR(E282=0,F282=0,Task!$B$21=0),"",F282/Task!$B$21+0.5*G282+0.25*H282)</f>
        <v/>
      </c>
      <c r="J282" s="5">
        <f>IF(I282="","",I282-ROW()/1000000)</f>
        <v/>
      </c>
      <c r="K282" s="9">
        <f>IF(J282="","",COUNTIF($J$5:$J$404,"&gt;"&amp;J282)+1)</f>
        <v/>
      </c>
    </row>
    <row r="283">
      <c r="A283" s="7" t="n"/>
      <c r="B283" s="7" t="n"/>
      <c r="C283" s="7" t="n"/>
      <c r="D283" s="7" t="n"/>
      <c r="E283" s="5">
        <f>IF(A283="",0,IF(COUNTA(Task!$B$5:$E$5)=0,1,IF(COUNTIF(Task!$B$5:$E$5,B283)&gt;0,1,0)))</f>
        <v/>
      </c>
      <c r="F283" s="9">
        <f>IF(E283=0,0,IF(Task!$A$8="",0,IF(ISNUMBER(SEARCH(" "&amp;Task!$A$8&amp;" "," "&amp;LOWER(D283&amp;" "&amp;C283&amp;" "&amp;LOWER(SUBSTITUTE(SUBSTITUTE(SUBSTITUTE(SUBSTITUTE(A283,"/"," "),"."," "),"\"," "),"_"," ")))&amp;" ")),1,0))+IF(Task!$A$9="",0,IF(ISNUMBER(SEARCH(" "&amp;Task!$A$9&amp;" "," "&amp;LOWER(D283&amp;" "&amp;C283&amp;" "&amp;LOWER(SUBSTITUTE(SUBSTITUTE(SUBSTITUTE(SUBSTITUTE(A283,"/"," "),"."," "),"\"," "),"_"," ")))&amp;" ")),1,0))+IF(Task!$A$10="",0,IF(ISNUMBER(SEARCH(" "&amp;Task!$A$10&amp;" "," "&amp;LOWER(D283&amp;" "&amp;C283&amp;" "&amp;LOWER(SUBSTITUTE(SUBSTITUTE(SUBSTITUTE(SUBSTITUTE(A283,"/"," "),"."," "),"\"," "),"_"," ")))&amp;" ")),1,0))+IF(Task!$A$11="",0,IF(ISNUMBER(SEARCH(" "&amp;Task!$A$11&amp;" "," "&amp;LOWER(D283&amp;" "&amp;C283&amp;" "&amp;LOWER(SUBSTITUTE(SUBSTITUTE(SUBSTITUTE(SUBSTITUTE(A283,"/"," "),"."," "),"\"," "),"_"," ")))&amp;" ")),1,0))+IF(Task!$A$12="",0,IF(ISNUMBER(SEARCH(" "&amp;Task!$A$12&amp;" "," "&amp;LOWER(D283&amp;" "&amp;C283&amp;" "&amp;LOWER(SUBSTITUTE(SUBSTITUTE(SUBSTITUTE(SUBSTITUTE(A283,"/"," "),"."," "),"\"," "),"_"," ")))&amp;" ")),1,0))+IF(Task!$A$13="",0,IF(ISNUMBER(SEARCH(" "&amp;Task!$A$13&amp;" "," "&amp;LOWER(D283&amp;" "&amp;C283&amp;" "&amp;LOWER(SUBSTITUTE(SUBSTITUTE(SUBSTITUTE(SUBSTITUTE(A283,"/"," "),"."," "),"\"," "),"_"," ")))&amp;" ")),1,0))+IF(Task!$A$14="",0,IF(ISNUMBER(SEARCH(" "&amp;Task!$A$14&amp;" "," "&amp;LOWER(D283&amp;" "&amp;C283&amp;" "&amp;LOWER(SUBSTITUTE(SUBSTITUTE(SUBSTITUTE(SUBSTITUTE(A283,"/"," "),"."," "),"\"," "),"_"," ")))&amp;" ")),1,0))+IF(Task!$A$15="",0,IF(ISNUMBER(SEARCH(" "&amp;Task!$A$15&amp;" "," "&amp;LOWER(D283&amp;" "&amp;C283&amp;" "&amp;LOWER(SUBSTITUTE(SUBSTITUTE(SUBSTITUTE(SUBSTITUTE(A283,"/"," "),"."," "),"\"," "),"_"," ")))&amp;" ")),1,0))+IF(Task!$A$16="",0,IF(ISNUMBER(SEARCH(" "&amp;Task!$A$16&amp;" "," "&amp;LOWER(D283&amp;" "&amp;C283&amp;" "&amp;LOWER(SUBSTITUTE(SUBSTITUTE(SUBSTITUTE(SUBSTITUTE(A283,"/"," "),"."," "),"\"," "),"_"," ")))&amp;" ")),1,0))+IF(Task!$A$17="",0,IF(ISNUMBER(SEARCH(" "&amp;Task!$A$17&amp;" "," "&amp;LOWER(D283&amp;" "&amp;C283&amp;" "&amp;LOWER(SUBSTITUTE(SUBSTITUTE(SUBSTITUTE(SUBSTITUTE(A283,"/"," "),"."," "),"\"," "),"_"," ")))&amp;" ")),1,0))+IF(Task!$A$18="",0,IF(ISNUMBER(SEARCH(" "&amp;Task!$A$18&amp;" "," "&amp;LOWER(D283&amp;" "&amp;C283&amp;" "&amp;LOWER(SUBSTITUTE(SUBSTITUTE(SUBSTITUTE(SUBSTITUTE(A283,"/"," "),"."," "),"\"," "),"_"," ")))&amp;" ")),1,0))+IF(Task!$A$19="",0,IF(ISNUMBER(SEARCH(" "&amp;Task!$A$19&amp;" "," "&amp;LOWER(D283&amp;" "&amp;C283&amp;" "&amp;LOWER(SUBSTITUTE(SUBSTITUTE(SUBSTITUTE(SUBSTITUTE(A283,"/"," "),"."," "),"\"," "),"_"," ")))&amp;" ")),1,0)))</f>
        <v/>
      </c>
      <c r="G283" s="9">
        <f>IF(E283=0,0,IF(Task!$A$8="",0,IF(ISNUMBER(SEARCH(" "&amp;Task!$A$8&amp;" "," "&amp;LOWER(C283)&amp;" ")),1,0))+IF(Task!$A$9="",0,IF(ISNUMBER(SEARCH(" "&amp;Task!$A$9&amp;" "," "&amp;LOWER(C283)&amp;" ")),1,0))+IF(Task!$A$10="",0,IF(ISNUMBER(SEARCH(" "&amp;Task!$A$10&amp;" "," "&amp;LOWER(C283)&amp;" ")),1,0))+IF(Task!$A$11="",0,IF(ISNUMBER(SEARCH(" "&amp;Task!$A$11&amp;" "," "&amp;LOWER(C283)&amp;" ")),1,0))+IF(Task!$A$12="",0,IF(ISNUMBER(SEARCH(" "&amp;Task!$A$12&amp;" "," "&amp;LOWER(C283)&amp;" ")),1,0))+IF(Task!$A$13="",0,IF(ISNUMBER(SEARCH(" "&amp;Task!$A$13&amp;" "," "&amp;LOWER(C283)&amp;" ")),1,0))+IF(Task!$A$14="",0,IF(ISNUMBER(SEARCH(" "&amp;Task!$A$14&amp;" "," "&amp;LOWER(C283)&amp;" ")),1,0))+IF(Task!$A$15="",0,IF(ISNUMBER(SEARCH(" "&amp;Task!$A$15&amp;" "," "&amp;LOWER(C283)&amp;" ")),1,0))+IF(Task!$A$16="",0,IF(ISNUMBER(SEARCH(" "&amp;Task!$A$16&amp;" "," "&amp;LOWER(C283)&amp;" ")),1,0))+IF(Task!$A$17="",0,IF(ISNUMBER(SEARCH(" "&amp;Task!$A$17&amp;" "," "&amp;LOWER(C283)&amp;" ")),1,0))+IF(Task!$A$18="",0,IF(ISNUMBER(SEARCH(" "&amp;Task!$A$18&amp;" "," "&amp;LOWER(C283)&amp;" ")),1,0))+IF(Task!$A$19="",0,IF(ISNUMBER(SEARCH(" "&amp;Task!$A$19&amp;" "," "&amp;LOWER(C283)&amp;" ")),1,0)))</f>
        <v/>
      </c>
      <c r="H283" s="9">
        <f>IF(E283=0,0,IF(Task!$A$8="",0,IF(ISNUMBER(SEARCH(" "&amp;Task!$A$8&amp;" "," "&amp;LOWER(SUBSTITUTE(SUBSTITUTE(SUBSTITUTE(SUBSTITUTE(A283,"/"," "),"."," "),"\"," "),"_"," "))&amp;" ")),1,0))+IF(Task!$A$9="",0,IF(ISNUMBER(SEARCH(" "&amp;Task!$A$9&amp;" "," "&amp;LOWER(SUBSTITUTE(SUBSTITUTE(SUBSTITUTE(SUBSTITUTE(A283,"/"," "),"."," "),"\"," "),"_"," "))&amp;" ")),1,0))+IF(Task!$A$10="",0,IF(ISNUMBER(SEARCH(" "&amp;Task!$A$10&amp;" "," "&amp;LOWER(SUBSTITUTE(SUBSTITUTE(SUBSTITUTE(SUBSTITUTE(A283,"/"," "),"."," "),"\"," "),"_"," "))&amp;" ")),1,0))+IF(Task!$A$11="",0,IF(ISNUMBER(SEARCH(" "&amp;Task!$A$11&amp;" "," "&amp;LOWER(SUBSTITUTE(SUBSTITUTE(SUBSTITUTE(SUBSTITUTE(A283,"/"," "),"."," "),"\"," "),"_"," "))&amp;" ")),1,0))+IF(Task!$A$12="",0,IF(ISNUMBER(SEARCH(" "&amp;Task!$A$12&amp;" "," "&amp;LOWER(SUBSTITUTE(SUBSTITUTE(SUBSTITUTE(SUBSTITUTE(A283,"/"," "),"."," "),"\"," "),"_"," "))&amp;" ")),1,0))+IF(Task!$A$13="",0,IF(ISNUMBER(SEARCH(" "&amp;Task!$A$13&amp;" "," "&amp;LOWER(SUBSTITUTE(SUBSTITUTE(SUBSTITUTE(SUBSTITUTE(A283,"/"," "),"."," "),"\"," "),"_"," "))&amp;" ")),1,0))+IF(Task!$A$14="",0,IF(ISNUMBER(SEARCH(" "&amp;Task!$A$14&amp;" "," "&amp;LOWER(SUBSTITUTE(SUBSTITUTE(SUBSTITUTE(SUBSTITUTE(A283,"/"," "),"."," "),"\"," "),"_"," "))&amp;" ")),1,0))+IF(Task!$A$15="",0,IF(ISNUMBER(SEARCH(" "&amp;Task!$A$15&amp;" "," "&amp;LOWER(SUBSTITUTE(SUBSTITUTE(SUBSTITUTE(SUBSTITUTE(A283,"/"," "),"."," "),"\"," "),"_"," "))&amp;" ")),1,0))+IF(Task!$A$16="",0,IF(ISNUMBER(SEARCH(" "&amp;Task!$A$16&amp;" "," "&amp;LOWER(SUBSTITUTE(SUBSTITUTE(SUBSTITUTE(SUBSTITUTE(A283,"/"," "),"."," "),"\"," "),"_"," "))&amp;" ")),1,0))+IF(Task!$A$17="",0,IF(ISNUMBER(SEARCH(" "&amp;Task!$A$17&amp;" "," "&amp;LOWER(SUBSTITUTE(SUBSTITUTE(SUBSTITUTE(SUBSTITUTE(A283,"/"," "),"."," "),"\"," "),"_"," "))&amp;" ")),1,0))+IF(Task!$A$18="",0,IF(ISNUMBER(SEARCH(" "&amp;Task!$A$18&amp;" "," "&amp;LOWER(SUBSTITUTE(SUBSTITUTE(SUBSTITUTE(SUBSTITUTE(A283,"/"," "),"."," "),"\"," "),"_"," "))&amp;" ")),1,0))+IF(Task!$A$19="",0,IF(ISNUMBER(SEARCH(" "&amp;Task!$A$19&amp;" "," "&amp;LOWER(SUBSTITUTE(SUBSTITUTE(SUBSTITUTE(SUBSTITUTE(A283,"/"," "),"."," "),"\"," "),"_"," "))&amp;" ")),1,0)))</f>
        <v/>
      </c>
      <c r="I283" s="10">
        <f>IF(OR(E283=0,F283=0,Task!$B$21=0),"",F283/Task!$B$21+0.5*G283+0.25*H283)</f>
        <v/>
      </c>
      <c r="J283" s="5">
        <f>IF(I283="","",I283-ROW()/1000000)</f>
        <v/>
      </c>
      <c r="K283" s="9">
        <f>IF(J283="","",COUNTIF($J$5:$J$404,"&gt;"&amp;J283)+1)</f>
        <v/>
      </c>
    </row>
    <row r="284">
      <c r="A284" s="7" t="n"/>
      <c r="B284" s="7" t="n"/>
      <c r="C284" s="7" t="n"/>
      <c r="D284" s="7" t="n"/>
      <c r="E284" s="5">
        <f>IF(A284="",0,IF(COUNTA(Task!$B$5:$E$5)=0,1,IF(COUNTIF(Task!$B$5:$E$5,B284)&gt;0,1,0)))</f>
        <v/>
      </c>
      <c r="F284" s="9">
        <f>IF(E284=0,0,IF(Task!$A$8="",0,IF(ISNUMBER(SEARCH(" "&amp;Task!$A$8&amp;" "," "&amp;LOWER(D284&amp;" "&amp;C284&amp;" "&amp;LOWER(SUBSTITUTE(SUBSTITUTE(SUBSTITUTE(SUBSTITUTE(A284,"/"," "),"."," "),"\"," "),"_"," ")))&amp;" ")),1,0))+IF(Task!$A$9="",0,IF(ISNUMBER(SEARCH(" "&amp;Task!$A$9&amp;" "," "&amp;LOWER(D284&amp;" "&amp;C284&amp;" "&amp;LOWER(SUBSTITUTE(SUBSTITUTE(SUBSTITUTE(SUBSTITUTE(A284,"/"," "),"."," "),"\"," "),"_"," ")))&amp;" ")),1,0))+IF(Task!$A$10="",0,IF(ISNUMBER(SEARCH(" "&amp;Task!$A$10&amp;" "," "&amp;LOWER(D284&amp;" "&amp;C284&amp;" "&amp;LOWER(SUBSTITUTE(SUBSTITUTE(SUBSTITUTE(SUBSTITUTE(A284,"/"," "),"."," "),"\"," "),"_"," ")))&amp;" ")),1,0))+IF(Task!$A$11="",0,IF(ISNUMBER(SEARCH(" "&amp;Task!$A$11&amp;" "," "&amp;LOWER(D284&amp;" "&amp;C284&amp;" "&amp;LOWER(SUBSTITUTE(SUBSTITUTE(SUBSTITUTE(SUBSTITUTE(A284,"/"," "),"."," "),"\"," "),"_"," ")))&amp;" ")),1,0))+IF(Task!$A$12="",0,IF(ISNUMBER(SEARCH(" "&amp;Task!$A$12&amp;" "," "&amp;LOWER(D284&amp;" "&amp;C284&amp;" "&amp;LOWER(SUBSTITUTE(SUBSTITUTE(SUBSTITUTE(SUBSTITUTE(A284,"/"," "),"."," "),"\"," "),"_"," ")))&amp;" ")),1,0))+IF(Task!$A$13="",0,IF(ISNUMBER(SEARCH(" "&amp;Task!$A$13&amp;" "," "&amp;LOWER(D284&amp;" "&amp;C284&amp;" "&amp;LOWER(SUBSTITUTE(SUBSTITUTE(SUBSTITUTE(SUBSTITUTE(A284,"/"," "),"."," "),"\"," "),"_"," ")))&amp;" ")),1,0))+IF(Task!$A$14="",0,IF(ISNUMBER(SEARCH(" "&amp;Task!$A$14&amp;" "," "&amp;LOWER(D284&amp;" "&amp;C284&amp;" "&amp;LOWER(SUBSTITUTE(SUBSTITUTE(SUBSTITUTE(SUBSTITUTE(A284,"/"," "),"."," "),"\"," "),"_"," ")))&amp;" ")),1,0))+IF(Task!$A$15="",0,IF(ISNUMBER(SEARCH(" "&amp;Task!$A$15&amp;" "," "&amp;LOWER(D284&amp;" "&amp;C284&amp;" "&amp;LOWER(SUBSTITUTE(SUBSTITUTE(SUBSTITUTE(SUBSTITUTE(A284,"/"," "),"."," "),"\"," "),"_"," ")))&amp;" ")),1,0))+IF(Task!$A$16="",0,IF(ISNUMBER(SEARCH(" "&amp;Task!$A$16&amp;" "," "&amp;LOWER(D284&amp;" "&amp;C284&amp;" "&amp;LOWER(SUBSTITUTE(SUBSTITUTE(SUBSTITUTE(SUBSTITUTE(A284,"/"," "),"."," "),"\"," "),"_"," ")))&amp;" ")),1,0))+IF(Task!$A$17="",0,IF(ISNUMBER(SEARCH(" "&amp;Task!$A$17&amp;" "," "&amp;LOWER(D284&amp;" "&amp;C284&amp;" "&amp;LOWER(SUBSTITUTE(SUBSTITUTE(SUBSTITUTE(SUBSTITUTE(A284,"/"," "),"."," "),"\"," "),"_"," ")))&amp;" ")),1,0))+IF(Task!$A$18="",0,IF(ISNUMBER(SEARCH(" "&amp;Task!$A$18&amp;" "," "&amp;LOWER(D284&amp;" "&amp;C284&amp;" "&amp;LOWER(SUBSTITUTE(SUBSTITUTE(SUBSTITUTE(SUBSTITUTE(A284,"/"," "),"."," "),"\"," "),"_"," ")))&amp;" ")),1,0))+IF(Task!$A$19="",0,IF(ISNUMBER(SEARCH(" "&amp;Task!$A$19&amp;" "," "&amp;LOWER(D284&amp;" "&amp;C284&amp;" "&amp;LOWER(SUBSTITUTE(SUBSTITUTE(SUBSTITUTE(SUBSTITUTE(A284,"/"," "),"."," "),"\"," "),"_"," ")))&amp;" ")),1,0)))</f>
        <v/>
      </c>
      <c r="G284" s="9">
        <f>IF(E284=0,0,IF(Task!$A$8="",0,IF(ISNUMBER(SEARCH(" "&amp;Task!$A$8&amp;" "," "&amp;LOWER(C284)&amp;" ")),1,0))+IF(Task!$A$9="",0,IF(ISNUMBER(SEARCH(" "&amp;Task!$A$9&amp;" "," "&amp;LOWER(C284)&amp;" ")),1,0))+IF(Task!$A$10="",0,IF(ISNUMBER(SEARCH(" "&amp;Task!$A$10&amp;" "," "&amp;LOWER(C284)&amp;" ")),1,0))+IF(Task!$A$11="",0,IF(ISNUMBER(SEARCH(" "&amp;Task!$A$11&amp;" "," "&amp;LOWER(C284)&amp;" ")),1,0))+IF(Task!$A$12="",0,IF(ISNUMBER(SEARCH(" "&amp;Task!$A$12&amp;" "," "&amp;LOWER(C284)&amp;" ")),1,0))+IF(Task!$A$13="",0,IF(ISNUMBER(SEARCH(" "&amp;Task!$A$13&amp;" "," "&amp;LOWER(C284)&amp;" ")),1,0))+IF(Task!$A$14="",0,IF(ISNUMBER(SEARCH(" "&amp;Task!$A$14&amp;" "," "&amp;LOWER(C284)&amp;" ")),1,0))+IF(Task!$A$15="",0,IF(ISNUMBER(SEARCH(" "&amp;Task!$A$15&amp;" "," "&amp;LOWER(C284)&amp;" ")),1,0))+IF(Task!$A$16="",0,IF(ISNUMBER(SEARCH(" "&amp;Task!$A$16&amp;" "," "&amp;LOWER(C284)&amp;" ")),1,0))+IF(Task!$A$17="",0,IF(ISNUMBER(SEARCH(" "&amp;Task!$A$17&amp;" "," "&amp;LOWER(C284)&amp;" ")),1,0))+IF(Task!$A$18="",0,IF(ISNUMBER(SEARCH(" "&amp;Task!$A$18&amp;" "," "&amp;LOWER(C284)&amp;" ")),1,0))+IF(Task!$A$19="",0,IF(ISNUMBER(SEARCH(" "&amp;Task!$A$19&amp;" "," "&amp;LOWER(C284)&amp;" ")),1,0)))</f>
        <v/>
      </c>
      <c r="H284" s="9">
        <f>IF(E284=0,0,IF(Task!$A$8="",0,IF(ISNUMBER(SEARCH(" "&amp;Task!$A$8&amp;" "," "&amp;LOWER(SUBSTITUTE(SUBSTITUTE(SUBSTITUTE(SUBSTITUTE(A284,"/"," "),"."," "),"\"," "),"_"," "))&amp;" ")),1,0))+IF(Task!$A$9="",0,IF(ISNUMBER(SEARCH(" "&amp;Task!$A$9&amp;" "," "&amp;LOWER(SUBSTITUTE(SUBSTITUTE(SUBSTITUTE(SUBSTITUTE(A284,"/"," "),"."," "),"\"," "),"_"," "))&amp;" ")),1,0))+IF(Task!$A$10="",0,IF(ISNUMBER(SEARCH(" "&amp;Task!$A$10&amp;" "," "&amp;LOWER(SUBSTITUTE(SUBSTITUTE(SUBSTITUTE(SUBSTITUTE(A284,"/"," "),"."," "),"\"," "),"_"," "))&amp;" ")),1,0))+IF(Task!$A$11="",0,IF(ISNUMBER(SEARCH(" "&amp;Task!$A$11&amp;" "," "&amp;LOWER(SUBSTITUTE(SUBSTITUTE(SUBSTITUTE(SUBSTITUTE(A284,"/"," "),"."," "),"\"," "),"_"," "))&amp;" ")),1,0))+IF(Task!$A$12="",0,IF(ISNUMBER(SEARCH(" "&amp;Task!$A$12&amp;" "," "&amp;LOWER(SUBSTITUTE(SUBSTITUTE(SUBSTITUTE(SUBSTITUTE(A284,"/"," "),"."," "),"\"," "),"_"," "))&amp;" ")),1,0))+IF(Task!$A$13="",0,IF(ISNUMBER(SEARCH(" "&amp;Task!$A$13&amp;" "," "&amp;LOWER(SUBSTITUTE(SUBSTITUTE(SUBSTITUTE(SUBSTITUTE(A284,"/"," "),"."," "),"\"," "),"_"," "))&amp;" ")),1,0))+IF(Task!$A$14="",0,IF(ISNUMBER(SEARCH(" "&amp;Task!$A$14&amp;" "," "&amp;LOWER(SUBSTITUTE(SUBSTITUTE(SUBSTITUTE(SUBSTITUTE(A284,"/"," "),"."," "),"\"," "),"_"," "))&amp;" ")),1,0))+IF(Task!$A$15="",0,IF(ISNUMBER(SEARCH(" "&amp;Task!$A$15&amp;" "," "&amp;LOWER(SUBSTITUTE(SUBSTITUTE(SUBSTITUTE(SUBSTITUTE(A284,"/"," "),"."," "),"\"," "),"_"," "))&amp;" ")),1,0))+IF(Task!$A$16="",0,IF(ISNUMBER(SEARCH(" "&amp;Task!$A$16&amp;" "," "&amp;LOWER(SUBSTITUTE(SUBSTITUTE(SUBSTITUTE(SUBSTITUTE(A284,"/"," "),"."," "),"\"," "),"_"," "))&amp;" ")),1,0))+IF(Task!$A$17="",0,IF(ISNUMBER(SEARCH(" "&amp;Task!$A$17&amp;" "," "&amp;LOWER(SUBSTITUTE(SUBSTITUTE(SUBSTITUTE(SUBSTITUTE(A284,"/"," "),"."," "),"\"," "),"_"," "))&amp;" ")),1,0))+IF(Task!$A$18="",0,IF(ISNUMBER(SEARCH(" "&amp;Task!$A$18&amp;" "," "&amp;LOWER(SUBSTITUTE(SUBSTITUTE(SUBSTITUTE(SUBSTITUTE(A284,"/"," "),"."," "),"\"," "),"_"," "))&amp;" ")),1,0))+IF(Task!$A$19="",0,IF(ISNUMBER(SEARCH(" "&amp;Task!$A$19&amp;" "," "&amp;LOWER(SUBSTITUTE(SUBSTITUTE(SUBSTITUTE(SUBSTITUTE(A284,"/"," "),"."," "),"\"," "),"_"," "))&amp;" ")),1,0)))</f>
        <v/>
      </c>
      <c r="I284" s="10">
        <f>IF(OR(E284=0,F284=0,Task!$B$21=0),"",F284/Task!$B$21+0.5*G284+0.25*H284)</f>
        <v/>
      </c>
      <c r="J284" s="5">
        <f>IF(I284="","",I284-ROW()/1000000)</f>
        <v/>
      </c>
      <c r="K284" s="9">
        <f>IF(J284="","",COUNTIF($J$5:$J$404,"&gt;"&amp;J284)+1)</f>
        <v/>
      </c>
    </row>
    <row r="285">
      <c r="A285" s="7" t="n"/>
      <c r="B285" s="7" t="n"/>
      <c r="C285" s="7" t="n"/>
      <c r="D285" s="7" t="n"/>
      <c r="E285" s="5">
        <f>IF(A285="",0,IF(COUNTA(Task!$B$5:$E$5)=0,1,IF(COUNTIF(Task!$B$5:$E$5,B285)&gt;0,1,0)))</f>
        <v/>
      </c>
      <c r="F285" s="9">
        <f>IF(E285=0,0,IF(Task!$A$8="",0,IF(ISNUMBER(SEARCH(" "&amp;Task!$A$8&amp;" "," "&amp;LOWER(D285&amp;" "&amp;C285&amp;" "&amp;LOWER(SUBSTITUTE(SUBSTITUTE(SUBSTITUTE(SUBSTITUTE(A285,"/"," "),"."," "),"\"," "),"_"," ")))&amp;" ")),1,0))+IF(Task!$A$9="",0,IF(ISNUMBER(SEARCH(" "&amp;Task!$A$9&amp;" "," "&amp;LOWER(D285&amp;" "&amp;C285&amp;" "&amp;LOWER(SUBSTITUTE(SUBSTITUTE(SUBSTITUTE(SUBSTITUTE(A285,"/"," "),"."," "),"\"," "),"_"," ")))&amp;" ")),1,0))+IF(Task!$A$10="",0,IF(ISNUMBER(SEARCH(" "&amp;Task!$A$10&amp;" "," "&amp;LOWER(D285&amp;" "&amp;C285&amp;" "&amp;LOWER(SUBSTITUTE(SUBSTITUTE(SUBSTITUTE(SUBSTITUTE(A285,"/"," "),"."," "),"\"," "),"_"," ")))&amp;" ")),1,0))+IF(Task!$A$11="",0,IF(ISNUMBER(SEARCH(" "&amp;Task!$A$11&amp;" "," "&amp;LOWER(D285&amp;" "&amp;C285&amp;" "&amp;LOWER(SUBSTITUTE(SUBSTITUTE(SUBSTITUTE(SUBSTITUTE(A285,"/"," "),"."," "),"\"," "),"_"," ")))&amp;" ")),1,0))+IF(Task!$A$12="",0,IF(ISNUMBER(SEARCH(" "&amp;Task!$A$12&amp;" "," "&amp;LOWER(D285&amp;" "&amp;C285&amp;" "&amp;LOWER(SUBSTITUTE(SUBSTITUTE(SUBSTITUTE(SUBSTITUTE(A285,"/"," "),"."," "),"\"," "),"_"," ")))&amp;" ")),1,0))+IF(Task!$A$13="",0,IF(ISNUMBER(SEARCH(" "&amp;Task!$A$13&amp;" "," "&amp;LOWER(D285&amp;" "&amp;C285&amp;" "&amp;LOWER(SUBSTITUTE(SUBSTITUTE(SUBSTITUTE(SUBSTITUTE(A285,"/"," "),"."," "),"\"," "),"_"," ")))&amp;" ")),1,0))+IF(Task!$A$14="",0,IF(ISNUMBER(SEARCH(" "&amp;Task!$A$14&amp;" "," "&amp;LOWER(D285&amp;" "&amp;C285&amp;" "&amp;LOWER(SUBSTITUTE(SUBSTITUTE(SUBSTITUTE(SUBSTITUTE(A285,"/"," "),"."," "),"\"," "),"_"," ")))&amp;" ")),1,0))+IF(Task!$A$15="",0,IF(ISNUMBER(SEARCH(" "&amp;Task!$A$15&amp;" "," "&amp;LOWER(D285&amp;" "&amp;C285&amp;" "&amp;LOWER(SUBSTITUTE(SUBSTITUTE(SUBSTITUTE(SUBSTITUTE(A285,"/"," "),"."," "),"\"," "),"_"," ")))&amp;" ")),1,0))+IF(Task!$A$16="",0,IF(ISNUMBER(SEARCH(" "&amp;Task!$A$16&amp;" "," "&amp;LOWER(D285&amp;" "&amp;C285&amp;" "&amp;LOWER(SUBSTITUTE(SUBSTITUTE(SUBSTITUTE(SUBSTITUTE(A285,"/"," "),"."," "),"\"," "),"_"," ")))&amp;" ")),1,0))+IF(Task!$A$17="",0,IF(ISNUMBER(SEARCH(" "&amp;Task!$A$17&amp;" "," "&amp;LOWER(D285&amp;" "&amp;C285&amp;" "&amp;LOWER(SUBSTITUTE(SUBSTITUTE(SUBSTITUTE(SUBSTITUTE(A285,"/"," "),"."," "),"\"," "),"_"," ")))&amp;" ")),1,0))+IF(Task!$A$18="",0,IF(ISNUMBER(SEARCH(" "&amp;Task!$A$18&amp;" "," "&amp;LOWER(D285&amp;" "&amp;C285&amp;" "&amp;LOWER(SUBSTITUTE(SUBSTITUTE(SUBSTITUTE(SUBSTITUTE(A285,"/"," "),"."," "),"\"," "),"_"," ")))&amp;" ")),1,0))+IF(Task!$A$19="",0,IF(ISNUMBER(SEARCH(" "&amp;Task!$A$19&amp;" "," "&amp;LOWER(D285&amp;" "&amp;C285&amp;" "&amp;LOWER(SUBSTITUTE(SUBSTITUTE(SUBSTITUTE(SUBSTITUTE(A285,"/"," "),"."," "),"\"," "),"_"," ")))&amp;" ")),1,0)))</f>
        <v/>
      </c>
      <c r="G285" s="9">
        <f>IF(E285=0,0,IF(Task!$A$8="",0,IF(ISNUMBER(SEARCH(" "&amp;Task!$A$8&amp;" "," "&amp;LOWER(C285)&amp;" ")),1,0))+IF(Task!$A$9="",0,IF(ISNUMBER(SEARCH(" "&amp;Task!$A$9&amp;" "," "&amp;LOWER(C285)&amp;" ")),1,0))+IF(Task!$A$10="",0,IF(ISNUMBER(SEARCH(" "&amp;Task!$A$10&amp;" "," "&amp;LOWER(C285)&amp;" ")),1,0))+IF(Task!$A$11="",0,IF(ISNUMBER(SEARCH(" "&amp;Task!$A$11&amp;" "," "&amp;LOWER(C285)&amp;" ")),1,0))+IF(Task!$A$12="",0,IF(ISNUMBER(SEARCH(" "&amp;Task!$A$12&amp;" "," "&amp;LOWER(C285)&amp;" ")),1,0))+IF(Task!$A$13="",0,IF(ISNUMBER(SEARCH(" "&amp;Task!$A$13&amp;" "," "&amp;LOWER(C285)&amp;" ")),1,0))+IF(Task!$A$14="",0,IF(ISNUMBER(SEARCH(" "&amp;Task!$A$14&amp;" "," "&amp;LOWER(C285)&amp;" ")),1,0))+IF(Task!$A$15="",0,IF(ISNUMBER(SEARCH(" "&amp;Task!$A$15&amp;" "," "&amp;LOWER(C285)&amp;" ")),1,0))+IF(Task!$A$16="",0,IF(ISNUMBER(SEARCH(" "&amp;Task!$A$16&amp;" "," "&amp;LOWER(C285)&amp;" ")),1,0))+IF(Task!$A$17="",0,IF(ISNUMBER(SEARCH(" "&amp;Task!$A$17&amp;" "," "&amp;LOWER(C285)&amp;" ")),1,0))+IF(Task!$A$18="",0,IF(ISNUMBER(SEARCH(" "&amp;Task!$A$18&amp;" "," "&amp;LOWER(C285)&amp;" ")),1,0))+IF(Task!$A$19="",0,IF(ISNUMBER(SEARCH(" "&amp;Task!$A$19&amp;" "," "&amp;LOWER(C285)&amp;" ")),1,0)))</f>
        <v/>
      </c>
      <c r="H285" s="9">
        <f>IF(E285=0,0,IF(Task!$A$8="",0,IF(ISNUMBER(SEARCH(" "&amp;Task!$A$8&amp;" "," "&amp;LOWER(SUBSTITUTE(SUBSTITUTE(SUBSTITUTE(SUBSTITUTE(A285,"/"," "),"."," "),"\"," "),"_"," "))&amp;" ")),1,0))+IF(Task!$A$9="",0,IF(ISNUMBER(SEARCH(" "&amp;Task!$A$9&amp;" "," "&amp;LOWER(SUBSTITUTE(SUBSTITUTE(SUBSTITUTE(SUBSTITUTE(A285,"/"," "),"."," "),"\"," "),"_"," "))&amp;" ")),1,0))+IF(Task!$A$10="",0,IF(ISNUMBER(SEARCH(" "&amp;Task!$A$10&amp;" "," "&amp;LOWER(SUBSTITUTE(SUBSTITUTE(SUBSTITUTE(SUBSTITUTE(A285,"/"," "),"."," "),"\"," "),"_"," "))&amp;" ")),1,0))+IF(Task!$A$11="",0,IF(ISNUMBER(SEARCH(" "&amp;Task!$A$11&amp;" "," "&amp;LOWER(SUBSTITUTE(SUBSTITUTE(SUBSTITUTE(SUBSTITUTE(A285,"/"," "),"."," "),"\"," "),"_"," "))&amp;" ")),1,0))+IF(Task!$A$12="",0,IF(ISNUMBER(SEARCH(" "&amp;Task!$A$12&amp;" "," "&amp;LOWER(SUBSTITUTE(SUBSTITUTE(SUBSTITUTE(SUBSTITUTE(A285,"/"," "),"."," "),"\"," "),"_"," "))&amp;" ")),1,0))+IF(Task!$A$13="",0,IF(ISNUMBER(SEARCH(" "&amp;Task!$A$13&amp;" "," "&amp;LOWER(SUBSTITUTE(SUBSTITUTE(SUBSTITUTE(SUBSTITUTE(A285,"/"," "),"."," "),"\"," "),"_"," "))&amp;" ")),1,0))+IF(Task!$A$14="",0,IF(ISNUMBER(SEARCH(" "&amp;Task!$A$14&amp;" "," "&amp;LOWER(SUBSTITUTE(SUBSTITUTE(SUBSTITUTE(SUBSTITUTE(A285,"/"," "),"."," "),"\"," "),"_"," "))&amp;" ")),1,0))+IF(Task!$A$15="",0,IF(ISNUMBER(SEARCH(" "&amp;Task!$A$15&amp;" "," "&amp;LOWER(SUBSTITUTE(SUBSTITUTE(SUBSTITUTE(SUBSTITUTE(A285,"/"," "),"."," "),"\"," "),"_"," "))&amp;" ")),1,0))+IF(Task!$A$16="",0,IF(ISNUMBER(SEARCH(" "&amp;Task!$A$16&amp;" "," "&amp;LOWER(SUBSTITUTE(SUBSTITUTE(SUBSTITUTE(SUBSTITUTE(A285,"/"," "),"."," "),"\"," "),"_"," "))&amp;" ")),1,0))+IF(Task!$A$17="",0,IF(ISNUMBER(SEARCH(" "&amp;Task!$A$17&amp;" "," "&amp;LOWER(SUBSTITUTE(SUBSTITUTE(SUBSTITUTE(SUBSTITUTE(A285,"/"," "),"."," "),"\"," "),"_"," "))&amp;" ")),1,0))+IF(Task!$A$18="",0,IF(ISNUMBER(SEARCH(" "&amp;Task!$A$18&amp;" "," "&amp;LOWER(SUBSTITUTE(SUBSTITUTE(SUBSTITUTE(SUBSTITUTE(A285,"/"," "),"."," "),"\"," "),"_"," "))&amp;" ")),1,0))+IF(Task!$A$19="",0,IF(ISNUMBER(SEARCH(" "&amp;Task!$A$19&amp;" "," "&amp;LOWER(SUBSTITUTE(SUBSTITUTE(SUBSTITUTE(SUBSTITUTE(A285,"/"," "),"."," "),"\"," "),"_"," "))&amp;" ")),1,0)))</f>
        <v/>
      </c>
      <c r="I285" s="10">
        <f>IF(OR(E285=0,F285=0,Task!$B$21=0),"",F285/Task!$B$21+0.5*G285+0.25*H285)</f>
        <v/>
      </c>
      <c r="J285" s="5">
        <f>IF(I285="","",I285-ROW()/1000000)</f>
        <v/>
      </c>
      <c r="K285" s="9">
        <f>IF(J285="","",COUNTIF($J$5:$J$404,"&gt;"&amp;J285)+1)</f>
        <v/>
      </c>
    </row>
    <row r="286">
      <c r="A286" s="7" t="n"/>
      <c r="B286" s="7" t="n"/>
      <c r="C286" s="7" t="n"/>
      <c r="D286" s="7" t="n"/>
      <c r="E286" s="5">
        <f>IF(A286="",0,IF(COUNTA(Task!$B$5:$E$5)=0,1,IF(COUNTIF(Task!$B$5:$E$5,B286)&gt;0,1,0)))</f>
        <v/>
      </c>
      <c r="F286" s="9">
        <f>IF(E286=0,0,IF(Task!$A$8="",0,IF(ISNUMBER(SEARCH(" "&amp;Task!$A$8&amp;" "," "&amp;LOWER(D286&amp;" "&amp;C286&amp;" "&amp;LOWER(SUBSTITUTE(SUBSTITUTE(SUBSTITUTE(SUBSTITUTE(A286,"/"," "),"."," "),"\"," "),"_"," ")))&amp;" ")),1,0))+IF(Task!$A$9="",0,IF(ISNUMBER(SEARCH(" "&amp;Task!$A$9&amp;" "," "&amp;LOWER(D286&amp;" "&amp;C286&amp;" "&amp;LOWER(SUBSTITUTE(SUBSTITUTE(SUBSTITUTE(SUBSTITUTE(A286,"/"," "),"."," "),"\"," "),"_"," ")))&amp;" ")),1,0))+IF(Task!$A$10="",0,IF(ISNUMBER(SEARCH(" "&amp;Task!$A$10&amp;" "," "&amp;LOWER(D286&amp;" "&amp;C286&amp;" "&amp;LOWER(SUBSTITUTE(SUBSTITUTE(SUBSTITUTE(SUBSTITUTE(A286,"/"," "),"."," "),"\"," "),"_"," ")))&amp;" ")),1,0))+IF(Task!$A$11="",0,IF(ISNUMBER(SEARCH(" "&amp;Task!$A$11&amp;" "," "&amp;LOWER(D286&amp;" "&amp;C286&amp;" "&amp;LOWER(SUBSTITUTE(SUBSTITUTE(SUBSTITUTE(SUBSTITUTE(A286,"/"," "),"."," "),"\"," "),"_"," ")))&amp;" ")),1,0))+IF(Task!$A$12="",0,IF(ISNUMBER(SEARCH(" "&amp;Task!$A$12&amp;" "," "&amp;LOWER(D286&amp;" "&amp;C286&amp;" "&amp;LOWER(SUBSTITUTE(SUBSTITUTE(SUBSTITUTE(SUBSTITUTE(A286,"/"," "),"."," "),"\"," "),"_"," ")))&amp;" ")),1,0))+IF(Task!$A$13="",0,IF(ISNUMBER(SEARCH(" "&amp;Task!$A$13&amp;" "," "&amp;LOWER(D286&amp;" "&amp;C286&amp;" "&amp;LOWER(SUBSTITUTE(SUBSTITUTE(SUBSTITUTE(SUBSTITUTE(A286,"/"," "),"."," "),"\"," "),"_"," ")))&amp;" ")),1,0))+IF(Task!$A$14="",0,IF(ISNUMBER(SEARCH(" "&amp;Task!$A$14&amp;" "," "&amp;LOWER(D286&amp;" "&amp;C286&amp;" "&amp;LOWER(SUBSTITUTE(SUBSTITUTE(SUBSTITUTE(SUBSTITUTE(A286,"/"," "),"."," "),"\"," "),"_"," ")))&amp;" ")),1,0))+IF(Task!$A$15="",0,IF(ISNUMBER(SEARCH(" "&amp;Task!$A$15&amp;" "," "&amp;LOWER(D286&amp;" "&amp;C286&amp;" "&amp;LOWER(SUBSTITUTE(SUBSTITUTE(SUBSTITUTE(SUBSTITUTE(A286,"/"," "),"."," "),"\"," "),"_"," ")))&amp;" ")),1,0))+IF(Task!$A$16="",0,IF(ISNUMBER(SEARCH(" "&amp;Task!$A$16&amp;" "," "&amp;LOWER(D286&amp;" "&amp;C286&amp;" "&amp;LOWER(SUBSTITUTE(SUBSTITUTE(SUBSTITUTE(SUBSTITUTE(A286,"/"," "),"."," "),"\"," "),"_"," ")))&amp;" ")),1,0))+IF(Task!$A$17="",0,IF(ISNUMBER(SEARCH(" "&amp;Task!$A$17&amp;" "," "&amp;LOWER(D286&amp;" "&amp;C286&amp;" "&amp;LOWER(SUBSTITUTE(SUBSTITUTE(SUBSTITUTE(SUBSTITUTE(A286,"/"," "),"."," "),"\"," "),"_"," ")))&amp;" ")),1,0))+IF(Task!$A$18="",0,IF(ISNUMBER(SEARCH(" "&amp;Task!$A$18&amp;" "," "&amp;LOWER(D286&amp;" "&amp;C286&amp;" "&amp;LOWER(SUBSTITUTE(SUBSTITUTE(SUBSTITUTE(SUBSTITUTE(A286,"/"," "),"."," "),"\"," "),"_"," ")))&amp;" ")),1,0))+IF(Task!$A$19="",0,IF(ISNUMBER(SEARCH(" "&amp;Task!$A$19&amp;" "," "&amp;LOWER(D286&amp;" "&amp;C286&amp;" "&amp;LOWER(SUBSTITUTE(SUBSTITUTE(SUBSTITUTE(SUBSTITUTE(A286,"/"," "),"."," "),"\"," "),"_"," ")))&amp;" ")),1,0)))</f>
        <v/>
      </c>
      <c r="G286" s="9">
        <f>IF(E286=0,0,IF(Task!$A$8="",0,IF(ISNUMBER(SEARCH(" "&amp;Task!$A$8&amp;" "," "&amp;LOWER(C286)&amp;" ")),1,0))+IF(Task!$A$9="",0,IF(ISNUMBER(SEARCH(" "&amp;Task!$A$9&amp;" "," "&amp;LOWER(C286)&amp;" ")),1,0))+IF(Task!$A$10="",0,IF(ISNUMBER(SEARCH(" "&amp;Task!$A$10&amp;" "," "&amp;LOWER(C286)&amp;" ")),1,0))+IF(Task!$A$11="",0,IF(ISNUMBER(SEARCH(" "&amp;Task!$A$11&amp;" "," "&amp;LOWER(C286)&amp;" ")),1,0))+IF(Task!$A$12="",0,IF(ISNUMBER(SEARCH(" "&amp;Task!$A$12&amp;" "," "&amp;LOWER(C286)&amp;" ")),1,0))+IF(Task!$A$13="",0,IF(ISNUMBER(SEARCH(" "&amp;Task!$A$13&amp;" "," "&amp;LOWER(C286)&amp;" ")),1,0))+IF(Task!$A$14="",0,IF(ISNUMBER(SEARCH(" "&amp;Task!$A$14&amp;" "," "&amp;LOWER(C286)&amp;" ")),1,0))+IF(Task!$A$15="",0,IF(ISNUMBER(SEARCH(" "&amp;Task!$A$15&amp;" "," "&amp;LOWER(C286)&amp;" ")),1,0))+IF(Task!$A$16="",0,IF(ISNUMBER(SEARCH(" "&amp;Task!$A$16&amp;" "," "&amp;LOWER(C286)&amp;" ")),1,0))+IF(Task!$A$17="",0,IF(ISNUMBER(SEARCH(" "&amp;Task!$A$17&amp;" "," "&amp;LOWER(C286)&amp;" ")),1,0))+IF(Task!$A$18="",0,IF(ISNUMBER(SEARCH(" "&amp;Task!$A$18&amp;" "," "&amp;LOWER(C286)&amp;" ")),1,0))+IF(Task!$A$19="",0,IF(ISNUMBER(SEARCH(" "&amp;Task!$A$19&amp;" "," "&amp;LOWER(C286)&amp;" ")),1,0)))</f>
        <v/>
      </c>
      <c r="H286" s="9">
        <f>IF(E286=0,0,IF(Task!$A$8="",0,IF(ISNUMBER(SEARCH(" "&amp;Task!$A$8&amp;" "," "&amp;LOWER(SUBSTITUTE(SUBSTITUTE(SUBSTITUTE(SUBSTITUTE(A286,"/"," "),"."," "),"\"," "),"_"," "))&amp;" ")),1,0))+IF(Task!$A$9="",0,IF(ISNUMBER(SEARCH(" "&amp;Task!$A$9&amp;" "," "&amp;LOWER(SUBSTITUTE(SUBSTITUTE(SUBSTITUTE(SUBSTITUTE(A286,"/"," "),"."," "),"\"," "),"_"," "))&amp;" ")),1,0))+IF(Task!$A$10="",0,IF(ISNUMBER(SEARCH(" "&amp;Task!$A$10&amp;" "," "&amp;LOWER(SUBSTITUTE(SUBSTITUTE(SUBSTITUTE(SUBSTITUTE(A286,"/"," "),"."," "),"\"," "),"_"," "))&amp;" ")),1,0))+IF(Task!$A$11="",0,IF(ISNUMBER(SEARCH(" "&amp;Task!$A$11&amp;" "," "&amp;LOWER(SUBSTITUTE(SUBSTITUTE(SUBSTITUTE(SUBSTITUTE(A286,"/"," "),"."," "),"\"," "),"_"," "))&amp;" ")),1,0))+IF(Task!$A$12="",0,IF(ISNUMBER(SEARCH(" "&amp;Task!$A$12&amp;" "," "&amp;LOWER(SUBSTITUTE(SUBSTITUTE(SUBSTITUTE(SUBSTITUTE(A286,"/"," "),"."," "),"\"," "),"_"," "))&amp;" ")),1,0))+IF(Task!$A$13="",0,IF(ISNUMBER(SEARCH(" "&amp;Task!$A$13&amp;" "," "&amp;LOWER(SUBSTITUTE(SUBSTITUTE(SUBSTITUTE(SUBSTITUTE(A286,"/"," "),"."," "),"\"," "),"_"," "))&amp;" ")),1,0))+IF(Task!$A$14="",0,IF(ISNUMBER(SEARCH(" "&amp;Task!$A$14&amp;" "," "&amp;LOWER(SUBSTITUTE(SUBSTITUTE(SUBSTITUTE(SUBSTITUTE(A286,"/"," "),"."," "),"\"," "),"_"," "))&amp;" ")),1,0))+IF(Task!$A$15="",0,IF(ISNUMBER(SEARCH(" "&amp;Task!$A$15&amp;" "," "&amp;LOWER(SUBSTITUTE(SUBSTITUTE(SUBSTITUTE(SUBSTITUTE(A286,"/"," "),"."," "),"\"," "),"_"," "))&amp;" ")),1,0))+IF(Task!$A$16="",0,IF(ISNUMBER(SEARCH(" "&amp;Task!$A$16&amp;" "," "&amp;LOWER(SUBSTITUTE(SUBSTITUTE(SUBSTITUTE(SUBSTITUTE(A286,"/"," "),"."," "),"\"," "),"_"," "))&amp;" ")),1,0))+IF(Task!$A$17="",0,IF(ISNUMBER(SEARCH(" "&amp;Task!$A$17&amp;" "," "&amp;LOWER(SUBSTITUTE(SUBSTITUTE(SUBSTITUTE(SUBSTITUTE(A286,"/"," "),"."," "),"\"," "),"_"," "))&amp;" ")),1,0))+IF(Task!$A$18="",0,IF(ISNUMBER(SEARCH(" "&amp;Task!$A$18&amp;" "," "&amp;LOWER(SUBSTITUTE(SUBSTITUTE(SUBSTITUTE(SUBSTITUTE(A286,"/"," "),"."," "),"\"," "),"_"," "))&amp;" ")),1,0))+IF(Task!$A$19="",0,IF(ISNUMBER(SEARCH(" "&amp;Task!$A$19&amp;" "," "&amp;LOWER(SUBSTITUTE(SUBSTITUTE(SUBSTITUTE(SUBSTITUTE(A286,"/"," "),"."," "),"\"," "),"_"," "))&amp;" ")),1,0)))</f>
        <v/>
      </c>
      <c r="I286" s="10">
        <f>IF(OR(E286=0,F286=0,Task!$B$21=0),"",F286/Task!$B$21+0.5*G286+0.25*H286)</f>
        <v/>
      </c>
      <c r="J286" s="5">
        <f>IF(I286="","",I286-ROW()/1000000)</f>
        <v/>
      </c>
      <c r="K286" s="9">
        <f>IF(J286="","",COUNTIF($J$5:$J$404,"&gt;"&amp;J286)+1)</f>
        <v/>
      </c>
    </row>
    <row r="287">
      <c r="A287" s="7" t="n"/>
      <c r="B287" s="7" t="n"/>
      <c r="C287" s="7" t="n"/>
      <c r="D287" s="7" t="n"/>
      <c r="E287" s="5">
        <f>IF(A287="",0,IF(COUNTA(Task!$B$5:$E$5)=0,1,IF(COUNTIF(Task!$B$5:$E$5,B287)&gt;0,1,0)))</f>
        <v/>
      </c>
      <c r="F287" s="9">
        <f>IF(E287=0,0,IF(Task!$A$8="",0,IF(ISNUMBER(SEARCH(" "&amp;Task!$A$8&amp;" "," "&amp;LOWER(D287&amp;" "&amp;C287&amp;" "&amp;LOWER(SUBSTITUTE(SUBSTITUTE(SUBSTITUTE(SUBSTITUTE(A287,"/"," "),"."," "),"\"," "),"_"," ")))&amp;" ")),1,0))+IF(Task!$A$9="",0,IF(ISNUMBER(SEARCH(" "&amp;Task!$A$9&amp;" "," "&amp;LOWER(D287&amp;" "&amp;C287&amp;" "&amp;LOWER(SUBSTITUTE(SUBSTITUTE(SUBSTITUTE(SUBSTITUTE(A287,"/"," "),"."," "),"\"," "),"_"," ")))&amp;" ")),1,0))+IF(Task!$A$10="",0,IF(ISNUMBER(SEARCH(" "&amp;Task!$A$10&amp;" "," "&amp;LOWER(D287&amp;" "&amp;C287&amp;" "&amp;LOWER(SUBSTITUTE(SUBSTITUTE(SUBSTITUTE(SUBSTITUTE(A287,"/"," "),"."," "),"\"," "),"_"," ")))&amp;" ")),1,0))+IF(Task!$A$11="",0,IF(ISNUMBER(SEARCH(" "&amp;Task!$A$11&amp;" "," "&amp;LOWER(D287&amp;" "&amp;C287&amp;" "&amp;LOWER(SUBSTITUTE(SUBSTITUTE(SUBSTITUTE(SUBSTITUTE(A287,"/"," "),"."," "),"\"," "),"_"," ")))&amp;" ")),1,0))+IF(Task!$A$12="",0,IF(ISNUMBER(SEARCH(" "&amp;Task!$A$12&amp;" "," "&amp;LOWER(D287&amp;" "&amp;C287&amp;" "&amp;LOWER(SUBSTITUTE(SUBSTITUTE(SUBSTITUTE(SUBSTITUTE(A287,"/"," "),"."," "),"\"," "),"_"," ")))&amp;" ")),1,0))+IF(Task!$A$13="",0,IF(ISNUMBER(SEARCH(" "&amp;Task!$A$13&amp;" "," "&amp;LOWER(D287&amp;" "&amp;C287&amp;" "&amp;LOWER(SUBSTITUTE(SUBSTITUTE(SUBSTITUTE(SUBSTITUTE(A287,"/"," "),"."," "),"\"," "),"_"," ")))&amp;" ")),1,0))+IF(Task!$A$14="",0,IF(ISNUMBER(SEARCH(" "&amp;Task!$A$14&amp;" "," "&amp;LOWER(D287&amp;" "&amp;C287&amp;" "&amp;LOWER(SUBSTITUTE(SUBSTITUTE(SUBSTITUTE(SUBSTITUTE(A287,"/"," "),"."," "),"\"," "),"_"," ")))&amp;" ")),1,0))+IF(Task!$A$15="",0,IF(ISNUMBER(SEARCH(" "&amp;Task!$A$15&amp;" "," "&amp;LOWER(D287&amp;" "&amp;C287&amp;" "&amp;LOWER(SUBSTITUTE(SUBSTITUTE(SUBSTITUTE(SUBSTITUTE(A287,"/"," "),"."," "),"\"," "),"_"," ")))&amp;" ")),1,0))+IF(Task!$A$16="",0,IF(ISNUMBER(SEARCH(" "&amp;Task!$A$16&amp;" "," "&amp;LOWER(D287&amp;" "&amp;C287&amp;" "&amp;LOWER(SUBSTITUTE(SUBSTITUTE(SUBSTITUTE(SUBSTITUTE(A287,"/"," "),"."," "),"\"," "),"_"," ")))&amp;" ")),1,0))+IF(Task!$A$17="",0,IF(ISNUMBER(SEARCH(" "&amp;Task!$A$17&amp;" "," "&amp;LOWER(D287&amp;" "&amp;C287&amp;" "&amp;LOWER(SUBSTITUTE(SUBSTITUTE(SUBSTITUTE(SUBSTITUTE(A287,"/"," "),"."," "),"\"," "),"_"," ")))&amp;" ")),1,0))+IF(Task!$A$18="",0,IF(ISNUMBER(SEARCH(" "&amp;Task!$A$18&amp;" "," "&amp;LOWER(D287&amp;" "&amp;C287&amp;" "&amp;LOWER(SUBSTITUTE(SUBSTITUTE(SUBSTITUTE(SUBSTITUTE(A287,"/"," "),"."," "),"\"," "),"_"," ")))&amp;" ")),1,0))+IF(Task!$A$19="",0,IF(ISNUMBER(SEARCH(" "&amp;Task!$A$19&amp;" "," "&amp;LOWER(D287&amp;" "&amp;C287&amp;" "&amp;LOWER(SUBSTITUTE(SUBSTITUTE(SUBSTITUTE(SUBSTITUTE(A287,"/"," "),"."," "),"\"," "),"_"," ")))&amp;" ")),1,0)))</f>
        <v/>
      </c>
      <c r="G287" s="9">
        <f>IF(E287=0,0,IF(Task!$A$8="",0,IF(ISNUMBER(SEARCH(" "&amp;Task!$A$8&amp;" "," "&amp;LOWER(C287)&amp;" ")),1,0))+IF(Task!$A$9="",0,IF(ISNUMBER(SEARCH(" "&amp;Task!$A$9&amp;" "," "&amp;LOWER(C287)&amp;" ")),1,0))+IF(Task!$A$10="",0,IF(ISNUMBER(SEARCH(" "&amp;Task!$A$10&amp;" "," "&amp;LOWER(C287)&amp;" ")),1,0))+IF(Task!$A$11="",0,IF(ISNUMBER(SEARCH(" "&amp;Task!$A$11&amp;" "," "&amp;LOWER(C287)&amp;" ")),1,0))+IF(Task!$A$12="",0,IF(ISNUMBER(SEARCH(" "&amp;Task!$A$12&amp;" "," "&amp;LOWER(C287)&amp;" ")),1,0))+IF(Task!$A$13="",0,IF(ISNUMBER(SEARCH(" "&amp;Task!$A$13&amp;" "," "&amp;LOWER(C287)&amp;" ")),1,0))+IF(Task!$A$14="",0,IF(ISNUMBER(SEARCH(" "&amp;Task!$A$14&amp;" "," "&amp;LOWER(C287)&amp;" ")),1,0))+IF(Task!$A$15="",0,IF(ISNUMBER(SEARCH(" "&amp;Task!$A$15&amp;" "," "&amp;LOWER(C287)&amp;" ")),1,0))+IF(Task!$A$16="",0,IF(ISNUMBER(SEARCH(" "&amp;Task!$A$16&amp;" "," "&amp;LOWER(C287)&amp;" ")),1,0))+IF(Task!$A$17="",0,IF(ISNUMBER(SEARCH(" "&amp;Task!$A$17&amp;" "," "&amp;LOWER(C287)&amp;" ")),1,0))+IF(Task!$A$18="",0,IF(ISNUMBER(SEARCH(" "&amp;Task!$A$18&amp;" "," "&amp;LOWER(C287)&amp;" ")),1,0))+IF(Task!$A$19="",0,IF(ISNUMBER(SEARCH(" "&amp;Task!$A$19&amp;" "," "&amp;LOWER(C287)&amp;" ")),1,0)))</f>
        <v/>
      </c>
      <c r="H287" s="9">
        <f>IF(E287=0,0,IF(Task!$A$8="",0,IF(ISNUMBER(SEARCH(" "&amp;Task!$A$8&amp;" "," "&amp;LOWER(SUBSTITUTE(SUBSTITUTE(SUBSTITUTE(SUBSTITUTE(A287,"/"," "),"."," "),"\"," "),"_"," "))&amp;" ")),1,0))+IF(Task!$A$9="",0,IF(ISNUMBER(SEARCH(" "&amp;Task!$A$9&amp;" "," "&amp;LOWER(SUBSTITUTE(SUBSTITUTE(SUBSTITUTE(SUBSTITUTE(A287,"/"," "),"."," "),"\"," "),"_"," "))&amp;" ")),1,0))+IF(Task!$A$10="",0,IF(ISNUMBER(SEARCH(" "&amp;Task!$A$10&amp;" "," "&amp;LOWER(SUBSTITUTE(SUBSTITUTE(SUBSTITUTE(SUBSTITUTE(A287,"/"," "),"."," "),"\"," "),"_"," "))&amp;" ")),1,0))+IF(Task!$A$11="",0,IF(ISNUMBER(SEARCH(" "&amp;Task!$A$11&amp;" "," "&amp;LOWER(SUBSTITUTE(SUBSTITUTE(SUBSTITUTE(SUBSTITUTE(A287,"/"," "),"."," "),"\"," "),"_"," "))&amp;" ")),1,0))+IF(Task!$A$12="",0,IF(ISNUMBER(SEARCH(" "&amp;Task!$A$12&amp;" "," "&amp;LOWER(SUBSTITUTE(SUBSTITUTE(SUBSTITUTE(SUBSTITUTE(A287,"/"," "),"."," "),"\"," "),"_"," "))&amp;" ")),1,0))+IF(Task!$A$13="",0,IF(ISNUMBER(SEARCH(" "&amp;Task!$A$13&amp;" "," "&amp;LOWER(SUBSTITUTE(SUBSTITUTE(SUBSTITUTE(SUBSTITUTE(A287,"/"," "),"."," "),"\"," "),"_"," "))&amp;" ")),1,0))+IF(Task!$A$14="",0,IF(ISNUMBER(SEARCH(" "&amp;Task!$A$14&amp;" "," "&amp;LOWER(SUBSTITUTE(SUBSTITUTE(SUBSTITUTE(SUBSTITUTE(A287,"/"," "),"."," "),"\"," "),"_"," "))&amp;" ")),1,0))+IF(Task!$A$15="",0,IF(ISNUMBER(SEARCH(" "&amp;Task!$A$15&amp;" "," "&amp;LOWER(SUBSTITUTE(SUBSTITUTE(SUBSTITUTE(SUBSTITUTE(A287,"/"," "),"."," "),"\"," "),"_"," "))&amp;" ")),1,0))+IF(Task!$A$16="",0,IF(ISNUMBER(SEARCH(" "&amp;Task!$A$16&amp;" "," "&amp;LOWER(SUBSTITUTE(SUBSTITUTE(SUBSTITUTE(SUBSTITUTE(A287,"/"," "),"."," "),"\"," "),"_"," "))&amp;" ")),1,0))+IF(Task!$A$17="",0,IF(ISNUMBER(SEARCH(" "&amp;Task!$A$17&amp;" "," "&amp;LOWER(SUBSTITUTE(SUBSTITUTE(SUBSTITUTE(SUBSTITUTE(A287,"/"," "),"."," "),"\"," "),"_"," "))&amp;" ")),1,0))+IF(Task!$A$18="",0,IF(ISNUMBER(SEARCH(" "&amp;Task!$A$18&amp;" "," "&amp;LOWER(SUBSTITUTE(SUBSTITUTE(SUBSTITUTE(SUBSTITUTE(A287,"/"," "),"."," "),"\"," "),"_"," "))&amp;" ")),1,0))+IF(Task!$A$19="",0,IF(ISNUMBER(SEARCH(" "&amp;Task!$A$19&amp;" "," "&amp;LOWER(SUBSTITUTE(SUBSTITUTE(SUBSTITUTE(SUBSTITUTE(A287,"/"," "),"."," "),"\"," "),"_"," "))&amp;" ")),1,0)))</f>
        <v/>
      </c>
      <c r="I287" s="10">
        <f>IF(OR(E287=0,F287=0,Task!$B$21=0),"",F287/Task!$B$21+0.5*G287+0.25*H287)</f>
        <v/>
      </c>
      <c r="J287" s="5">
        <f>IF(I287="","",I287-ROW()/1000000)</f>
        <v/>
      </c>
      <c r="K287" s="9">
        <f>IF(J287="","",COUNTIF($J$5:$J$404,"&gt;"&amp;J287)+1)</f>
        <v/>
      </c>
    </row>
    <row r="288">
      <c r="A288" s="7" t="n"/>
      <c r="B288" s="7" t="n"/>
      <c r="C288" s="7" t="n"/>
      <c r="D288" s="7" t="n"/>
      <c r="E288" s="5">
        <f>IF(A288="",0,IF(COUNTA(Task!$B$5:$E$5)=0,1,IF(COUNTIF(Task!$B$5:$E$5,B288)&gt;0,1,0)))</f>
        <v/>
      </c>
      <c r="F288" s="9">
        <f>IF(E288=0,0,IF(Task!$A$8="",0,IF(ISNUMBER(SEARCH(" "&amp;Task!$A$8&amp;" "," "&amp;LOWER(D288&amp;" "&amp;C288&amp;" "&amp;LOWER(SUBSTITUTE(SUBSTITUTE(SUBSTITUTE(SUBSTITUTE(A288,"/"," "),"."," "),"\"," "),"_"," ")))&amp;" ")),1,0))+IF(Task!$A$9="",0,IF(ISNUMBER(SEARCH(" "&amp;Task!$A$9&amp;" "," "&amp;LOWER(D288&amp;" "&amp;C288&amp;" "&amp;LOWER(SUBSTITUTE(SUBSTITUTE(SUBSTITUTE(SUBSTITUTE(A288,"/"," "),"."," "),"\"," "),"_"," ")))&amp;" ")),1,0))+IF(Task!$A$10="",0,IF(ISNUMBER(SEARCH(" "&amp;Task!$A$10&amp;" "," "&amp;LOWER(D288&amp;" "&amp;C288&amp;" "&amp;LOWER(SUBSTITUTE(SUBSTITUTE(SUBSTITUTE(SUBSTITUTE(A288,"/"," "),"."," "),"\"," "),"_"," ")))&amp;" ")),1,0))+IF(Task!$A$11="",0,IF(ISNUMBER(SEARCH(" "&amp;Task!$A$11&amp;" "," "&amp;LOWER(D288&amp;" "&amp;C288&amp;" "&amp;LOWER(SUBSTITUTE(SUBSTITUTE(SUBSTITUTE(SUBSTITUTE(A288,"/"," "),"."," "),"\"," "),"_"," ")))&amp;" ")),1,0))+IF(Task!$A$12="",0,IF(ISNUMBER(SEARCH(" "&amp;Task!$A$12&amp;" "," "&amp;LOWER(D288&amp;" "&amp;C288&amp;" "&amp;LOWER(SUBSTITUTE(SUBSTITUTE(SUBSTITUTE(SUBSTITUTE(A288,"/"," "),"."," "),"\"," "),"_"," ")))&amp;" ")),1,0))+IF(Task!$A$13="",0,IF(ISNUMBER(SEARCH(" "&amp;Task!$A$13&amp;" "," "&amp;LOWER(D288&amp;" "&amp;C288&amp;" "&amp;LOWER(SUBSTITUTE(SUBSTITUTE(SUBSTITUTE(SUBSTITUTE(A288,"/"," "),"."," "),"\"," "),"_"," ")))&amp;" ")),1,0))+IF(Task!$A$14="",0,IF(ISNUMBER(SEARCH(" "&amp;Task!$A$14&amp;" "," "&amp;LOWER(D288&amp;" "&amp;C288&amp;" "&amp;LOWER(SUBSTITUTE(SUBSTITUTE(SUBSTITUTE(SUBSTITUTE(A288,"/"," "),"."," "),"\"," "),"_"," ")))&amp;" ")),1,0))+IF(Task!$A$15="",0,IF(ISNUMBER(SEARCH(" "&amp;Task!$A$15&amp;" "," "&amp;LOWER(D288&amp;" "&amp;C288&amp;" "&amp;LOWER(SUBSTITUTE(SUBSTITUTE(SUBSTITUTE(SUBSTITUTE(A288,"/"," "),"."," "),"\"," "),"_"," ")))&amp;" ")),1,0))+IF(Task!$A$16="",0,IF(ISNUMBER(SEARCH(" "&amp;Task!$A$16&amp;" "," "&amp;LOWER(D288&amp;" "&amp;C288&amp;" "&amp;LOWER(SUBSTITUTE(SUBSTITUTE(SUBSTITUTE(SUBSTITUTE(A288,"/"," "),"."," "),"\"," "),"_"," ")))&amp;" ")),1,0))+IF(Task!$A$17="",0,IF(ISNUMBER(SEARCH(" "&amp;Task!$A$17&amp;" "," "&amp;LOWER(D288&amp;" "&amp;C288&amp;" "&amp;LOWER(SUBSTITUTE(SUBSTITUTE(SUBSTITUTE(SUBSTITUTE(A288,"/"," "),"."," "),"\"," "),"_"," ")))&amp;" ")),1,0))+IF(Task!$A$18="",0,IF(ISNUMBER(SEARCH(" "&amp;Task!$A$18&amp;" "," "&amp;LOWER(D288&amp;" "&amp;C288&amp;" "&amp;LOWER(SUBSTITUTE(SUBSTITUTE(SUBSTITUTE(SUBSTITUTE(A288,"/"," "),"."," "),"\"," "),"_"," ")))&amp;" ")),1,0))+IF(Task!$A$19="",0,IF(ISNUMBER(SEARCH(" "&amp;Task!$A$19&amp;" "," "&amp;LOWER(D288&amp;" "&amp;C288&amp;" "&amp;LOWER(SUBSTITUTE(SUBSTITUTE(SUBSTITUTE(SUBSTITUTE(A288,"/"," "),"."," "),"\"," "),"_"," ")))&amp;" ")),1,0)))</f>
        <v/>
      </c>
      <c r="G288" s="9">
        <f>IF(E288=0,0,IF(Task!$A$8="",0,IF(ISNUMBER(SEARCH(" "&amp;Task!$A$8&amp;" "," "&amp;LOWER(C288)&amp;" ")),1,0))+IF(Task!$A$9="",0,IF(ISNUMBER(SEARCH(" "&amp;Task!$A$9&amp;" "," "&amp;LOWER(C288)&amp;" ")),1,0))+IF(Task!$A$10="",0,IF(ISNUMBER(SEARCH(" "&amp;Task!$A$10&amp;" "," "&amp;LOWER(C288)&amp;" ")),1,0))+IF(Task!$A$11="",0,IF(ISNUMBER(SEARCH(" "&amp;Task!$A$11&amp;" "," "&amp;LOWER(C288)&amp;" ")),1,0))+IF(Task!$A$12="",0,IF(ISNUMBER(SEARCH(" "&amp;Task!$A$12&amp;" "," "&amp;LOWER(C288)&amp;" ")),1,0))+IF(Task!$A$13="",0,IF(ISNUMBER(SEARCH(" "&amp;Task!$A$13&amp;" "," "&amp;LOWER(C288)&amp;" ")),1,0))+IF(Task!$A$14="",0,IF(ISNUMBER(SEARCH(" "&amp;Task!$A$14&amp;" "," "&amp;LOWER(C288)&amp;" ")),1,0))+IF(Task!$A$15="",0,IF(ISNUMBER(SEARCH(" "&amp;Task!$A$15&amp;" "," "&amp;LOWER(C288)&amp;" ")),1,0))+IF(Task!$A$16="",0,IF(ISNUMBER(SEARCH(" "&amp;Task!$A$16&amp;" "," "&amp;LOWER(C288)&amp;" ")),1,0))+IF(Task!$A$17="",0,IF(ISNUMBER(SEARCH(" "&amp;Task!$A$17&amp;" "," "&amp;LOWER(C288)&amp;" ")),1,0))+IF(Task!$A$18="",0,IF(ISNUMBER(SEARCH(" "&amp;Task!$A$18&amp;" "," "&amp;LOWER(C288)&amp;" ")),1,0))+IF(Task!$A$19="",0,IF(ISNUMBER(SEARCH(" "&amp;Task!$A$19&amp;" "," "&amp;LOWER(C288)&amp;" ")),1,0)))</f>
        <v/>
      </c>
      <c r="H288" s="9">
        <f>IF(E288=0,0,IF(Task!$A$8="",0,IF(ISNUMBER(SEARCH(" "&amp;Task!$A$8&amp;" "," "&amp;LOWER(SUBSTITUTE(SUBSTITUTE(SUBSTITUTE(SUBSTITUTE(A288,"/"," "),"."," "),"\"," "),"_"," "))&amp;" ")),1,0))+IF(Task!$A$9="",0,IF(ISNUMBER(SEARCH(" "&amp;Task!$A$9&amp;" "," "&amp;LOWER(SUBSTITUTE(SUBSTITUTE(SUBSTITUTE(SUBSTITUTE(A288,"/"," "),"."," "),"\"," "),"_"," "))&amp;" ")),1,0))+IF(Task!$A$10="",0,IF(ISNUMBER(SEARCH(" "&amp;Task!$A$10&amp;" "," "&amp;LOWER(SUBSTITUTE(SUBSTITUTE(SUBSTITUTE(SUBSTITUTE(A288,"/"," "),"."," "),"\"," "),"_"," "))&amp;" ")),1,0))+IF(Task!$A$11="",0,IF(ISNUMBER(SEARCH(" "&amp;Task!$A$11&amp;" "," "&amp;LOWER(SUBSTITUTE(SUBSTITUTE(SUBSTITUTE(SUBSTITUTE(A288,"/"," "),"."," "),"\"," "),"_"," "))&amp;" ")),1,0))+IF(Task!$A$12="",0,IF(ISNUMBER(SEARCH(" "&amp;Task!$A$12&amp;" "," "&amp;LOWER(SUBSTITUTE(SUBSTITUTE(SUBSTITUTE(SUBSTITUTE(A288,"/"," "),"."," "),"\"," "),"_"," "))&amp;" ")),1,0))+IF(Task!$A$13="",0,IF(ISNUMBER(SEARCH(" "&amp;Task!$A$13&amp;" "," "&amp;LOWER(SUBSTITUTE(SUBSTITUTE(SUBSTITUTE(SUBSTITUTE(A288,"/"," "),"."," "),"\"," "),"_"," "))&amp;" ")),1,0))+IF(Task!$A$14="",0,IF(ISNUMBER(SEARCH(" "&amp;Task!$A$14&amp;" "," "&amp;LOWER(SUBSTITUTE(SUBSTITUTE(SUBSTITUTE(SUBSTITUTE(A288,"/"," "),"."," "),"\"," "),"_"," "))&amp;" ")),1,0))+IF(Task!$A$15="",0,IF(ISNUMBER(SEARCH(" "&amp;Task!$A$15&amp;" "," "&amp;LOWER(SUBSTITUTE(SUBSTITUTE(SUBSTITUTE(SUBSTITUTE(A288,"/"," "),"."," "),"\"," "),"_"," "))&amp;" ")),1,0))+IF(Task!$A$16="",0,IF(ISNUMBER(SEARCH(" "&amp;Task!$A$16&amp;" "," "&amp;LOWER(SUBSTITUTE(SUBSTITUTE(SUBSTITUTE(SUBSTITUTE(A288,"/"," "),"."," "),"\"," "),"_"," "))&amp;" ")),1,0))+IF(Task!$A$17="",0,IF(ISNUMBER(SEARCH(" "&amp;Task!$A$17&amp;" "," "&amp;LOWER(SUBSTITUTE(SUBSTITUTE(SUBSTITUTE(SUBSTITUTE(A288,"/"," "),"."," "),"\"," "),"_"," "))&amp;" ")),1,0))+IF(Task!$A$18="",0,IF(ISNUMBER(SEARCH(" "&amp;Task!$A$18&amp;" "," "&amp;LOWER(SUBSTITUTE(SUBSTITUTE(SUBSTITUTE(SUBSTITUTE(A288,"/"," "),"."," "),"\"," "),"_"," "))&amp;" ")),1,0))+IF(Task!$A$19="",0,IF(ISNUMBER(SEARCH(" "&amp;Task!$A$19&amp;" "," "&amp;LOWER(SUBSTITUTE(SUBSTITUTE(SUBSTITUTE(SUBSTITUTE(A288,"/"," "),"."," "),"\"," "),"_"," "))&amp;" ")),1,0)))</f>
        <v/>
      </c>
      <c r="I288" s="10">
        <f>IF(OR(E288=0,F288=0,Task!$B$21=0),"",F288/Task!$B$21+0.5*G288+0.25*H288)</f>
        <v/>
      </c>
      <c r="J288" s="5">
        <f>IF(I288="","",I288-ROW()/1000000)</f>
        <v/>
      </c>
      <c r="K288" s="9">
        <f>IF(J288="","",COUNTIF($J$5:$J$404,"&gt;"&amp;J288)+1)</f>
        <v/>
      </c>
    </row>
    <row r="289">
      <c r="A289" s="7" t="n"/>
      <c r="B289" s="7" t="n"/>
      <c r="C289" s="7" t="n"/>
      <c r="D289" s="7" t="n"/>
      <c r="E289" s="5">
        <f>IF(A289="",0,IF(COUNTA(Task!$B$5:$E$5)=0,1,IF(COUNTIF(Task!$B$5:$E$5,B289)&gt;0,1,0)))</f>
        <v/>
      </c>
      <c r="F289" s="9">
        <f>IF(E289=0,0,IF(Task!$A$8="",0,IF(ISNUMBER(SEARCH(" "&amp;Task!$A$8&amp;" "," "&amp;LOWER(D289&amp;" "&amp;C289&amp;" "&amp;LOWER(SUBSTITUTE(SUBSTITUTE(SUBSTITUTE(SUBSTITUTE(A289,"/"," "),"."," "),"\"," "),"_"," ")))&amp;" ")),1,0))+IF(Task!$A$9="",0,IF(ISNUMBER(SEARCH(" "&amp;Task!$A$9&amp;" "," "&amp;LOWER(D289&amp;" "&amp;C289&amp;" "&amp;LOWER(SUBSTITUTE(SUBSTITUTE(SUBSTITUTE(SUBSTITUTE(A289,"/"," "),"."," "),"\"," "),"_"," ")))&amp;" ")),1,0))+IF(Task!$A$10="",0,IF(ISNUMBER(SEARCH(" "&amp;Task!$A$10&amp;" "," "&amp;LOWER(D289&amp;" "&amp;C289&amp;" "&amp;LOWER(SUBSTITUTE(SUBSTITUTE(SUBSTITUTE(SUBSTITUTE(A289,"/"," "),"."," "),"\"," "),"_"," ")))&amp;" ")),1,0))+IF(Task!$A$11="",0,IF(ISNUMBER(SEARCH(" "&amp;Task!$A$11&amp;" "," "&amp;LOWER(D289&amp;" "&amp;C289&amp;" "&amp;LOWER(SUBSTITUTE(SUBSTITUTE(SUBSTITUTE(SUBSTITUTE(A289,"/"," "),"."," "),"\"," "),"_"," ")))&amp;" ")),1,0))+IF(Task!$A$12="",0,IF(ISNUMBER(SEARCH(" "&amp;Task!$A$12&amp;" "," "&amp;LOWER(D289&amp;" "&amp;C289&amp;" "&amp;LOWER(SUBSTITUTE(SUBSTITUTE(SUBSTITUTE(SUBSTITUTE(A289,"/"," "),"."," "),"\"," "),"_"," ")))&amp;" ")),1,0))+IF(Task!$A$13="",0,IF(ISNUMBER(SEARCH(" "&amp;Task!$A$13&amp;" "," "&amp;LOWER(D289&amp;" "&amp;C289&amp;" "&amp;LOWER(SUBSTITUTE(SUBSTITUTE(SUBSTITUTE(SUBSTITUTE(A289,"/"," "),"."," "),"\"," "),"_"," ")))&amp;" ")),1,0))+IF(Task!$A$14="",0,IF(ISNUMBER(SEARCH(" "&amp;Task!$A$14&amp;" "," "&amp;LOWER(D289&amp;" "&amp;C289&amp;" "&amp;LOWER(SUBSTITUTE(SUBSTITUTE(SUBSTITUTE(SUBSTITUTE(A289,"/"," "),"."," "),"\"," "),"_"," ")))&amp;" ")),1,0))+IF(Task!$A$15="",0,IF(ISNUMBER(SEARCH(" "&amp;Task!$A$15&amp;" "," "&amp;LOWER(D289&amp;" "&amp;C289&amp;" "&amp;LOWER(SUBSTITUTE(SUBSTITUTE(SUBSTITUTE(SUBSTITUTE(A289,"/"," "),"."," "),"\"," "),"_"," ")))&amp;" ")),1,0))+IF(Task!$A$16="",0,IF(ISNUMBER(SEARCH(" "&amp;Task!$A$16&amp;" "," "&amp;LOWER(D289&amp;" "&amp;C289&amp;" "&amp;LOWER(SUBSTITUTE(SUBSTITUTE(SUBSTITUTE(SUBSTITUTE(A289,"/"," "),"."," "),"\"," "),"_"," ")))&amp;" ")),1,0))+IF(Task!$A$17="",0,IF(ISNUMBER(SEARCH(" "&amp;Task!$A$17&amp;" "," "&amp;LOWER(D289&amp;" "&amp;C289&amp;" "&amp;LOWER(SUBSTITUTE(SUBSTITUTE(SUBSTITUTE(SUBSTITUTE(A289,"/"," "),"."," "),"\"," "),"_"," ")))&amp;" ")),1,0))+IF(Task!$A$18="",0,IF(ISNUMBER(SEARCH(" "&amp;Task!$A$18&amp;" "," "&amp;LOWER(D289&amp;" "&amp;C289&amp;" "&amp;LOWER(SUBSTITUTE(SUBSTITUTE(SUBSTITUTE(SUBSTITUTE(A289,"/"," "),"."," "),"\"," "),"_"," ")))&amp;" ")),1,0))+IF(Task!$A$19="",0,IF(ISNUMBER(SEARCH(" "&amp;Task!$A$19&amp;" "," "&amp;LOWER(D289&amp;" "&amp;C289&amp;" "&amp;LOWER(SUBSTITUTE(SUBSTITUTE(SUBSTITUTE(SUBSTITUTE(A289,"/"," "),"."," "),"\"," "),"_"," ")))&amp;" ")),1,0)))</f>
        <v/>
      </c>
      <c r="G289" s="9">
        <f>IF(E289=0,0,IF(Task!$A$8="",0,IF(ISNUMBER(SEARCH(" "&amp;Task!$A$8&amp;" "," "&amp;LOWER(C289)&amp;" ")),1,0))+IF(Task!$A$9="",0,IF(ISNUMBER(SEARCH(" "&amp;Task!$A$9&amp;" "," "&amp;LOWER(C289)&amp;" ")),1,0))+IF(Task!$A$10="",0,IF(ISNUMBER(SEARCH(" "&amp;Task!$A$10&amp;" "," "&amp;LOWER(C289)&amp;" ")),1,0))+IF(Task!$A$11="",0,IF(ISNUMBER(SEARCH(" "&amp;Task!$A$11&amp;" "," "&amp;LOWER(C289)&amp;" ")),1,0))+IF(Task!$A$12="",0,IF(ISNUMBER(SEARCH(" "&amp;Task!$A$12&amp;" "," "&amp;LOWER(C289)&amp;" ")),1,0))+IF(Task!$A$13="",0,IF(ISNUMBER(SEARCH(" "&amp;Task!$A$13&amp;" "," "&amp;LOWER(C289)&amp;" ")),1,0))+IF(Task!$A$14="",0,IF(ISNUMBER(SEARCH(" "&amp;Task!$A$14&amp;" "," "&amp;LOWER(C289)&amp;" ")),1,0))+IF(Task!$A$15="",0,IF(ISNUMBER(SEARCH(" "&amp;Task!$A$15&amp;" "," "&amp;LOWER(C289)&amp;" ")),1,0))+IF(Task!$A$16="",0,IF(ISNUMBER(SEARCH(" "&amp;Task!$A$16&amp;" "," "&amp;LOWER(C289)&amp;" ")),1,0))+IF(Task!$A$17="",0,IF(ISNUMBER(SEARCH(" "&amp;Task!$A$17&amp;" "," "&amp;LOWER(C289)&amp;" ")),1,0))+IF(Task!$A$18="",0,IF(ISNUMBER(SEARCH(" "&amp;Task!$A$18&amp;" "," "&amp;LOWER(C289)&amp;" ")),1,0))+IF(Task!$A$19="",0,IF(ISNUMBER(SEARCH(" "&amp;Task!$A$19&amp;" "," "&amp;LOWER(C289)&amp;" ")),1,0)))</f>
        <v/>
      </c>
      <c r="H289" s="9">
        <f>IF(E289=0,0,IF(Task!$A$8="",0,IF(ISNUMBER(SEARCH(" "&amp;Task!$A$8&amp;" "," "&amp;LOWER(SUBSTITUTE(SUBSTITUTE(SUBSTITUTE(SUBSTITUTE(A289,"/"," "),"."," "),"\"," "),"_"," "))&amp;" ")),1,0))+IF(Task!$A$9="",0,IF(ISNUMBER(SEARCH(" "&amp;Task!$A$9&amp;" "," "&amp;LOWER(SUBSTITUTE(SUBSTITUTE(SUBSTITUTE(SUBSTITUTE(A289,"/"," "),"."," "),"\"," "),"_"," "))&amp;" ")),1,0))+IF(Task!$A$10="",0,IF(ISNUMBER(SEARCH(" "&amp;Task!$A$10&amp;" "," "&amp;LOWER(SUBSTITUTE(SUBSTITUTE(SUBSTITUTE(SUBSTITUTE(A289,"/"," "),"."," "),"\"," "),"_"," "))&amp;" ")),1,0))+IF(Task!$A$11="",0,IF(ISNUMBER(SEARCH(" "&amp;Task!$A$11&amp;" "," "&amp;LOWER(SUBSTITUTE(SUBSTITUTE(SUBSTITUTE(SUBSTITUTE(A289,"/"," "),"."," "),"\"," "),"_"," "))&amp;" ")),1,0))+IF(Task!$A$12="",0,IF(ISNUMBER(SEARCH(" "&amp;Task!$A$12&amp;" "," "&amp;LOWER(SUBSTITUTE(SUBSTITUTE(SUBSTITUTE(SUBSTITUTE(A289,"/"," "),"."," "),"\"," "),"_"," "))&amp;" ")),1,0))+IF(Task!$A$13="",0,IF(ISNUMBER(SEARCH(" "&amp;Task!$A$13&amp;" "," "&amp;LOWER(SUBSTITUTE(SUBSTITUTE(SUBSTITUTE(SUBSTITUTE(A289,"/"," "),"."," "),"\"," "),"_"," "))&amp;" ")),1,0))+IF(Task!$A$14="",0,IF(ISNUMBER(SEARCH(" "&amp;Task!$A$14&amp;" "," "&amp;LOWER(SUBSTITUTE(SUBSTITUTE(SUBSTITUTE(SUBSTITUTE(A289,"/"," "),"."," "),"\"," "),"_"," "))&amp;" ")),1,0))+IF(Task!$A$15="",0,IF(ISNUMBER(SEARCH(" "&amp;Task!$A$15&amp;" "," "&amp;LOWER(SUBSTITUTE(SUBSTITUTE(SUBSTITUTE(SUBSTITUTE(A289,"/"," "),"."," "),"\"," "),"_"," "))&amp;" ")),1,0))+IF(Task!$A$16="",0,IF(ISNUMBER(SEARCH(" "&amp;Task!$A$16&amp;" "," "&amp;LOWER(SUBSTITUTE(SUBSTITUTE(SUBSTITUTE(SUBSTITUTE(A289,"/"," "),"."," "),"\"," "),"_"," "))&amp;" ")),1,0))+IF(Task!$A$17="",0,IF(ISNUMBER(SEARCH(" "&amp;Task!$A$17&amp;" "," "&amp;LOWER(SUBSTITUTE(SUBSTITUTE(SUBSTITUTE(SUBSTITUTE(A289,"/"," "),"."," "),"\"," "),"_"," "))&amp;" ")),1,0))+IF(Task!$A$18="",0,IF(ISNUMBER(SEARCH(" "&amp;Task!$A$18&amp;" "," "&amp;LOWER(SUBSTITUTE(SUBSTITUTE(SUBSTITUTE(SUBSTITUTE(A289,"/"," "),"."," "),"\"," "),"_"," "))&amp;" ")),1,0))+IF(Task!$A$19="",0,IF(ISNUMBER(SEARCH(" "&amp;Task!$A$19&amp;" "," "&amp;LOWER(SUBSTITUTE(SUBSTITUTE(SUBSTITUTE(SUBSTITUTE(A289,"/"," "),"."," "),"\"," "),"_"," "))&amp;" ")),1,0)))</f>
        <v/>
      </c>
      <c r="I289" s="10">
        <f>IF(OR(E289=0,F289=0,Task!$B$21=0),"",F289/Task!$B$21+0.5*G289+0.25*H289)</f>
        <v/>
      </c>
      <c r="J289" s="5">
        <f>IF(I289="","",I289-ROW()/1000000)</f>
        <v/>
      </c>
      <c r="K289" s="9">
        <f>IF(J289="","",COUNTIF($J$5:$J$404,"&gt;"&amp;J289)+1)</f>
        <v/>
      </c>
    </row>
    <row r="290">
      <c r="A290" s="7" t="n"/>
      <c r="B290" s="7" t="n"/>
      <c r="C290" s="7" t="n"/>
      <c r="D290" s="7" t="n"/>
      <c r="E290" s="5">
        <f>IF(A290="",0,IF(COUNTA(Task!$B$5:$E$5)=0,1,IF(COUNTIF(Task!$B$5:$E$5,B290)&gt;0,1,0)))</f>
        <v/>
      </c>
      <c r="F290" s="9">
        <f>IF(E290=0,0,IF(Task!$A$8="",0,IF(ISNUMBER(SEARCH(" "&amp;Task!$A$8&amp;" "," "&amp;LOWER(D290&amp;" "&amp;C290&amp;" "&amp;LOWER(SUBSTITUTE(SUBSTITUTE(SUBSTITUTE(SUBSTITUTE(A290,"/"," "),"."," "),"\"," "),"_"," ")))&amp;" ")),1,0))+IF(Task!$A$9="",0,IF(ISNUMBER(SEARCH(" "&amp;Task!$A$9&amp;" "," "&amp;LOWER(D290&amp;" "&amp;C290&amp;" "&amp;LOWER(SUBSTITUTE(SUBSTITUTE(SUBSTITUTE(SUBSTITUTE(A290,"/"," "),"."," "),"\"," "),"_"," ")))&amp;" ")),1,0))+IF(Task!$A$10="",0,IF(ISNUMBER(SEARCH(" "&amp;Task!$A$10&amp;" "," "&amp;LOWER(D290&amp;" "&amp;C290&amp;" "&amp;LOWER(SUBSTITUTE(SUBSTITUTE(SUBSTITUTE(SUBSTITUTE(A290,"/"," "),"."," "),"\"," "),"_"," ")))&amp;" ")),1,0))+IF(Task!$A$11="",0,IF(ISNUMBER(SEARCH(" "&amp;Task!$A$11&amp;" "," "&amp;LOWER(D290&amp;" "&amp;C290&amp;" "&amp;LOWER(SUBSTITUTE(SUBSTITUTE(SUBSTITUTE(SUBSTITUTE(A290,"/"," "),"."," "),"\"," "),"_"," ")))&amp;" ")),1,0))+IF(Task!$A$12="",0,IF(ISNUMBER(SEARCH(" "&amp;Task!$A$12&amp;" "," "&amp;LOWER(D290&amp;" "&amp;C290&amp;" "&amp;LOWER(SUBSTITUTE(SUBSTITUTE(SUBSTITUTE(SUBSTITUTE(A290,"/"," "),"."," "),"\"," "),"_"," ")))&amp;" ")),1,0))+IF(Task!$A$13="",0,IF(ISNUMBER(SEARCH(" "&amp;Task!$A$13&amp;" "," "&amp;LOWER(D290&amp;" "&amp;C290&amp;" "&amp;LOWER(SUBSTITUTE(SUBSTITUTE(SUBSTITUTE(SUBSTITUTE(A290,"/"," "),"."," "),"\"," "),"_"," ")))&amp;" ")),1,0))+IF(Task!$A$14="",0,IF(ISNUMBER(SEARCH(" "&amp;Task!$A$14&amp;" "," "&amp;LOWER(D290&amp;" "&amp;C290&amp;" "&amp;LOWER(SUBSTITUTE(SUBSTITUTE(SUBSTITUTE(SUBSTITUTE(A290,"/"," "),"."," "),"\"," "),"_"," ")))&amp;" ")),1,0))+IF(Task!$A$15="",0,IF(ISNUMBER(SEARCH(" "&amp;Task!$A$15&amp;" "," "&amp;LOWER(D290&amp;" "&amp;C290&amp;" "&amp;LOWER(SUBSTITUTE(SUBSTITUTE(SUBSTITUTE(SUBSTITUTE(A290,"/"," "),"."," "),"\"," "),"_"," ")))&amp;" ")),1,0))+IF(Task!$A$16="",0,IF(ISNUMBER(SEARCH(" "&amp;Task!$A$16&amp;" "," "&amp;LOWER(D290&amp;" "&amp;C290&amp;" "&amp;LOWER(SUBSTITUTE(SUBSTITUTE(SUBSTITUTE(SUBSTITUTE(A290,"/"," "),"."," "),"\"," "),"_"," ")))&amp;" ")),1,0))+IF(Task!$A$17="",0,IF(ISNUMBER(SEARCH(" "&amp;Task!$A$17&amp;" "," "&amp;LOWER(D290&amp;" "&amp;C290&amp;" "&amp;LOWER(SUBSTITUTE(SUBSTITUTE(SUBSTITUTE(SUBSTITUTE(A290,"/"," "),"."," "),"\"," "),"_"," ")))&amp;" ")),1,0))+IF(Task!$A$18="",0,IF(ISNUMBER(SEARCH(" "&amp;Task!$A$18&amp;" "," "&amp;LOWER(D290&amp;" "&amp;C290&amp;" "&amp;LOWER(SUBSTITUTE(SUBSTITUTE(SUBSTITUTE(SUBSTITUTE(A290,"/"," "),"."," "),"\"," "),"_"," ")))&amp;" ")),1,0))+IF(Task!$A$19="",0,IF(ISNUMBER(SEARCH(" "&amp;Task!$A$19&amp;" "," "&amp;LOWER(D290&amp;" "&amp;C290&amp;" "&amp;LOWER(SUBSTITUTE(SUBSTITUTE(SUBSTITUTE(SUBSTITUTE(A290,"/"," "),"."," "),"\"," "),"_"," ")))&amp;" ")),1,0)))</f>
        <v/>
      </c>
      <c r="G290" s="9">
        <f>IF(E290=0,0,IF(Task!$A$8="",0,IF(ISNUMBER(SEARCH(" "&amp;Task!$A$8&amp;" "," "&amp;LOWER(C290)&amp;" ")),1,0))+IF(Task!$A$9="",0,IF(ISNUMBER(SEARCH(" "&amp;Task!$A$9&amp;" "," "&amp;LOWER(C290)&amp;" ")),1,0))+IF(Task!$A$10="",0,IF(ISNUMBER(SEARCH(" "&amp;Task!$A$10&amp;" "," "&amp;LOWER(C290)&amp;" ")),1,0))+IF(Task!$A$11="",0,IF(ISNUMBER(SEARCH(" "&amp;Task!$A$11&amp;" "," "&amp;LOWER(C290)&amp;" ")),1,0))+IF(Task!$A$12="",0,IF(ISNUMBER(SEARCH(" "&amp;Task!$A$12&amp;" "," "&amp;LOWER(C290)&amp;" ")),1,0))+IF(Task!$A$13="",0,IF(ISNUMBER(SEARCH(" "&amp;Task!$A$13&amp;" "," "&amp;LOWER(C290)&amp;" ")),1,0))+IF(Task!$A$14="",0,IF(ISNUMBER(SEARCH(" "&amp;Task!$A$14&amp;" "," "&amp;LOWER(C290)&amp;" ")),1,0))+IF(Task!$A$15="",0,IF(ISNUMBER(SEARCH(" "&amp;Task!$A$15&amp;" "," "&amp;LOWER(C290)&amp;" ")),1,0))+IF(Task!$A$16="",0,IF(ISNUMBER(SEARCH(" "&amp;Task!$A$16&amp;" "," "&amp;LOWER(C290)&amp;" ")),1,0))+IF(Task!$A$17="",0,IF(ISNUMBER(SEARCH(" "&amp;Task!$A$17&amp;" "," "&amp;LOWER(C290)&amp;" ")),1,0))+IF(Task!$A$18="",0,IF(ISNUMBER(SEARCH(" "&amp;Task!$A$18&amp;" "," "&amp;LOWER(C290)&amp;" ")),1,0))+IF(Task!$A$19="",0,IF(ISNUMBER(SEARCH(" "&amp;Task!$A$19&amp;" "," "&amp;LOWER(C290)&amp;" ")),1,0)))</f>
        <v/>
      </c>
      <c r="H290" s="9">
        <f>IF(E290=0,0,IF(Task!$A$8="",0,IF(ISNUMBER(SEARCH(" "&amp;Task!$A$8&amp;" "," "&amp;LOWER(SUBSTITUTE(SUBSTITUTE(SUBSTITUTE(SUBSTITUTE(A290,"/"," "),"."," "),"\"," "),"_"," "))&amp;" ")),1,0))+IF(Task!$A$9="",0,IF(ISNUMBER(SEARCH(" "&amp;Task!$A$9&amp;" "," "&amp;LOWER(SUBSTITUTE(SUBSTITUTE(SUBSTITUTE(SUBSTITUTE(A290,"/"," "),"."," "),"\"," "),"_"," "))&amp;" ")),1,0))+IF(Task!$A$10="",0,IF(ISNUMBER(SEARCH(" "&amp;Task!$A$10&amp;" "," "&amp;LOWER(SUBSTITUTE(SUBSTITUTE(SUBSTITUTE(SUBSTITUTE(A290,"/"," "),"."," "),"\"," "),"_"," "))&amp;" ")),1,0))+IF(Task!$A$11="",0,IF(ISNUMBER(SEARCH(" "&amp;Task!$A$11&amp;" "," "&amp;LOWER(SUBSTITUTE(SUBSTITUTE(SUBSTITUTE(SUBSTITUTE(A290,"/"," "),"."," "),"\"," "),"_"," "))&amp;" ")),1,0))+IF(Task!$A$12="",0,IF(ISNUMBER(SEARCH(" "&amp;Task!$A$12&amp;" "," "&amp;LOWER(SUBSTITUTE(SUBSTITUTE(SUBSTITUTE(SUBSTITUTE(A290,"/"," "),"."," "),"\"," "),"_"," "))&amp;" ")),1,0))+IF(Task!$A$13="",0,IF(ISNUMBER(SEARCH(" "&amp;Task!$A$13&amp;" "," "&amp;LOWER(SUBSTITUTE(SUBSTITUTE(SUBSTITUTE(SUBSTITUTE(A290,"/"," "),"."," "),"\"," "),"_"," "))&amp;" ")),1,0))+IF(Task!$A$14="",0,IF(ISNUMBER(SEARCH(" "&amp;Task!$A$14&amp;" "," "&amp;LOWER(SUBSTITUTE(SUBSTITUTE(SUBSTITUTE(SUBSTITUTE(A290,"/"," "),"."," "),"\"," "),"_"," "))&amp;" ")),1,0))+IF(Task!$A$15="",0,IF(ISNUMBER(SEARCH(" "&amp;Task!$A$15&amp;" "," "&amp;LOWER(SUBSTITUTE(SUBSTITUTE(SUBSTITUTE(SUBSTITUTE(A290,"/"," "),"."," "),"\"," "),"_"," "))&amp;" ")),1,0))+IF(Task!$A$16="",0,IF(ISNUMBER(SEARCH(" "&amp;Task!$A$16&amp;" "," "&amp;LOWER(SUBSTITUTE(SUBSTITUTE(SUBSTITUTE(SUBSTITUTE(A290,"/"," "),"."," "),"\"," "),"_"," "))&amp;" ")),1,0))+IF(Task!$A$17="",0,IF(ISNUMBER(SEARCH(" "&amp;Task!$A$17&amp;" "," "&amp;LOWER(SUBSTITUTE(SUBSTITUTE(SUBSTITUTE(SUBSTITUTE(A290,"/"," "),"."," "),"\"," "),"_"," "))&amp;" ")),1,0))+IF(Task!$A$18="",0,IF(ISNUMBER(SEARCH(" "&amp;Task!$A$18&amp;" "," "&amp;LOWER(SUBSTITUTE(SUBSTITUTE(SUBSTITUTE(SUBSTITUTE(A290,"/"," "),"."," "),"\"," "),"_"," "))&amp;" ")),1,0))+IF(Task!$A$19="",0,IF(ISNUMBER(SEARCH(" "&amp;Task!$A$19&amp;" "," "&amp;LOWER(SUBSTITUTE(SUBSTITUTE(SUBSTITUTE(SUBSTITUTE(A290,"/"," "),"."," "),"\"," "),"_"," "))&amp;" ")),1,0)))</f>
        <v/>
      </c>
      <c r="I290" s="10">
        <f>IF(OR(E290=0,F290=0,Task!$B$21=0),"",F290/Task!$B$21+0.5*G290+0.25*H290)</f>
        <v/>
      </c>
      <c r="J290" s="5">
        <f>IF(I290="","",I290-ROW()/1000000)</f>
        <v/>
      </c>
      <c r="K290" s="9">
        <f>IF(J290="","",COUNTIF($J$5:$J$404,"&gt;"&amp;J290)+1)</f>
        <v/>
      </c>
    </row>
    <row r="291">
      <c r="A291" s="7" t="n"/>
      <c r="B291" s="7" t="n"/>
      <c r="C291" s="7" t="n"/>
      <c r="D291" s="7" t="n"/>
      <c r="E291" s="5">
        <f>IF(A291="",0,IF(COUNTA(Task!$B$5:$E$5)=0,1,IF(COUNTIF(Task!$B$5:$E$5,B291)&gt;0,1,0)))</f>
        <v/>
      </c>
      <c r="F291" s="9">
        <f>IF(E291=0,0,IF(Task!$A$8="",0,IF(ISNUMBER(SEARCH(" "&amp;Task!$A$8&amp;" "," "&amp;LOWER(D291&amp;" "&amp;C291&amp;" "&amp;LOWER(SUBSTITUTE(SUBSTITUTE(SUBSTITUTE(SUBSTITUTE(A291,"/"," "),"."," "),"\"," "),"_"," ")))&amp;" ")),1,0))+IF(Task!$A$9="",0,IF(ISNUMBER(SEARCH(" "&amp;Task!$A$9&amp;" "," "&amp;LOWER(D291&amp;" "&amp;C291&amp;" "&amp;LOWER(SUBSTITUTE(SUBSTITUTE(SUBSTITUTE(SUBSTITUTE(A291,"/"," "),"."," "),"\"," "),"_"," ")))&amp;" ")),1,0))+IF(Task!$A$10="",0,IF(ISNUMBER(SEARCH(" "&amp;Task!$A$10&amp;" "," "&amp;LOWER(D291&amp;" "&amp;C291&amp;" "&amp;LOWER(SUBSTITUTE(SUBSTITUTE(SUBSTITUTE(SUBSTITUTE(A291,"/"," "),"."," "),"\"," "),"_"," ")))&amp;" ")),1,0))+IF(Task!$A$11="",0,IF(ISNUMBER(SEARCH(" "&amp;Task!$A$11&amp;" "," "&amp;LOWER(D291&amp;" "&amp;C291&amp;" "&amp;LOWER(SUBSTITUTE(SUBSTITUTE(SUBSTITUTE(SUBSTITUTE(A291,"/"," "),"."," "),"\"," "),"_"," ")))&amp;" ")),1,0))+IF(Task!$A$12="",0,IF(ISNUMBER(SEARCH(" "&amp;Task!$A$12&amp;" "," "&amp;LOWER(D291&amp;" "&amp;C291&amp;" "&amp;LOWER(SUBSTITUTE(SUBSTITUTE(SUBSTITUTE(SUBSTITUTE(A291,"/"," "),"."," "),"\"," "),"_"," ")))&amp;" ")),1,0))+IF(Task!$A$13="",0,IF(ISNUMBER(SEARCH(" "&amp;Task!$A$13&amp;" "," "&amp;LOWER(D291&amp;" "&amp;C291&amp;" "&amp;LOWER(SUBSTITUTE(SUBSTITUTE(SUBSTITUTE(SUBSTITUTE(A291,"/"," "),"."," "),"\"," "),"_"," ")))&amp;" ")),1,0))+IF(Task!$A$14="",0,IF(ISNUMBER(SEARCH(" "&amp;Task!$A$14&amp;" "," "&amp;LOWER(D291&amp;" "&amp;C291&amp;" "&amp;LOWER(SUBSTITUTE(SUBSTITUTE(SUBSTITUTE(SUBSTITUTE(A291,"/"," "),"."," "),"\"," "),"_"," ")))&amp;" ")),1,0))+IF(Task!$A$15="",0,IF(ISNUMBER(SEARCH(" "&amp;Task!$A$15&amp;" "," "&amp;LOWER(D291&amp;" "&amp;C291&amp;" "&amp;LOWER(SUBSTITUTE(SUBSTITUTE(SUBSTITUTE(SUBSTITUTE(A291,"/"," "),"."," "),"\"," "),"_"," ")))&amp;" ")),1,0))+IF(Task!$A$16="",0,IF(ISNUMBER(SEARCH(" "&amp;Task!$A$16&amp;" "," "&amp;LOWER(D291&amp;" "&amp;C291&amp;" "&amp;LOWER(SUBSTITUTE(SUBSTITUTE(SUBSTITUTE(SUBSTITUTE(A291,"/"," "),"."," "),"\"," "),"_"," ")))&amp;" ")),1,0))+IF(Task!$A$17="",0,IF(ISNUMBER(SEARCH(" "&amp;Task!$A$17&amp;" "," "&amp;LOWER(D291&amp;" "&amp;C291&amp;" "&amp;LOWER(SUBSTITUTE(SUBSTITUTE(SUBSTITUTE(SUBSTITUTE(A291,"/"," "),"."," "),"\"," "),"_"," ")))&amp;" ")),1,0))+IF(Task!$A$18="",0,IF(ISNUMBER(SEARCH(" "&amp;Task!$A$18&amp;" "," "&amp;LOWER(D291&amp;" "&amp;C291&amp;" "&amp;LOWER(SUBSTITUTE(SUBSTITUTE(SUBSTITUTE(SUBSTITUTE(A291,"/"," "),"."," "),"\"," "),"_"," ")))&amp;" ")),1,0))+IF(Task!$A$19="",0,IF(ISNUMBER(SEARCH(" "&amp;Task!$A$19&amp;" "," "&amp;LOWER(D291&amp;" "&amp;C291&amp;" "&amp;LOWER(SUBSTITUTE(SUBSTITUTE(SUBSTITUTE(SUBSTITUTE(A291,"/"," "),"."," "),"\"," "),"_"," ")))&amp;" ")),1,0)))</f>
        <v/>
      </c>
      <c r="G291" s="9">
        <f>IF(E291=0,0,IF(Task!$A$8="",0,IF(ISNUMBER(SEARCH(" "&amp;Task!$A$8&amp;" "," "&amp;LOWER(C291)&amp;" ")),1,0))+IF(Task!$A$9="",0,IF(ISNUMBER(SEARCH(" "&amp;Task!$A$9&amp;" "," "&amp;LOWER(C291)&amp;" ")),1,0))+IF(Task!$A$10="",0,IF(ISNUMBER(SEARCH(" "&amp;Task!$A$10&amp;" "," "&amp;LOWER(C291)&amp;" ")),1,0))+IF(Task!$A$11="",0,IF(ISNUMBER(SEARCH(" "&amp;Task!$A$11&amp;" "," "&amp;LOWER(C291)&amp;" ")),1,0))+IF(Task!$A$12="",0,IF(ISNUMBER(SEARCH(" "&amp;Task!$A$12&amp;" "," "&amp;LOWER(C291)&amp;" ")),1,0))+IF(Task!$A$13="",0,IF(ISNUMBER(SEARCH(" "&amp;Task!$A$13&amp;" "," "&amp;LOWER(C291)&amp;" ")),1,0))+IF(Task!$A$14="",0,IF(ISNUMBER(SEARCH(" "&amp;Task!$A$14&amp;" "," "&amp;LOWER(C291)&amp;" ")),1,0))+IF(Task!$A$15="",0,IF(ISNUMBER(SEARCH(" "&amp;Task!$A$15&amp;" "," "&amp;LOWER(C291)&amp;" ")),1,0))+IF(Task!$A$16="",0,IF(ISNUMBER(SEARCH(" "&amp;Task!$A$16&amp;" "," "&amp;LOWER(C291)&amp;" ")),1,0))+IF(Task!$A$17="",0,IF(ISNUMBER(SEARCH(" "&amp;Task!$A$17&amp;" "," "&amp;LOWER(C291)&amp;" ")),1,0))+IF(Task!$A$18="",0,IF(ISNUMBER(SEARCH(" "&amp;Task!$A$18&amp;" "," "&amp;LOWER(C291)&amp;" ")),1,0))+IF(Task!$A$19="",0,IF(ISNUMBER(SEARCH(" "&amp;Task!$A$19&amp;" "," "&amp;LOWER(C291)&amp;" ")),1,0)))</f>
        <v/>
      </c>
      <c r="H291" s="9">
        <f>IF(E291=0,0,IF(Task!$A$8="",0,IF(ISNUMBER(SEARCH(" "&amp;Task!$A$8&amp;" "," "&amp;LOWER(SUBSTITUTE(SUBSTITUTE(SUBSTITUTE(SUBSTITUTE(A291,"/"," "),"."," "),"\"," "),"_"," "))&amp;" ")),1,0))+IF(Task!$A$9="",0,IF(ISNUMBER(SEARCH(" "&amp;Task!$A$9&amp;" "," "&amp;LOWER(SUBSTITUTE(SUBSTITUTE(SUBSTITUTE(SUBSTITUTE(A291,"/"," "),"."," "),"\"," "),"_"," "))&amp;" ")),1,0))+IF(Task!$A$10="",0,IF(ISNUMBER(SEARCH(" "&amp;Task!$A$10&amp;" "," "&amp;LOWER(SUBSTITUTE(SUBSTITUTE(SUBSTITUTE(SUBSTITUTE(A291,"/"," "),"."," "),"\"," "),"_"," "))&amp;" ")),1,0))+IF(Task!$A$11="",0,IF(ISNUMBER(SEARCH(" "&amp;Task!$A$11&amp;" "," "&amp;LOWER(SUBSTITUTE(SUBSTITUTE(SUBSTITUTE(SUBSTITUTE(A291,"/"," "),"."," "),"\"," "),"_"," "))&amp;" ")),1,0))+IF(Task!$A$12="",0,IF(ISNUMBER(SEARCH(" "&amp;Task!$A$12&amp;" "," "&amp;LOWER(SUBSTITUTE(SUBSTITUTE(SUBSTITUTE(SUBSTITUTE(A291,"/"," "),"."," "),"\"," "),"_"," "))&amp;" ")),1,0))+IF(Task!$A$13="",0,IF(ISNUMBER(SEARCH(" "&amp;Task!$A$13&amp;" "," "&amp;LOWER(SUBSTITUTE(SUBSTITUTE(SUBSTITUTE(SUBSTITUTE(A291,"/"," "),"."," "),"\"," "),"_"," "))&amp;" ")),1,0))+IF(Task!$A$14="",0,IF(ISNUMBER(SEARCH(" "&amp;Task!$A$14&amp;" "," "&amp;LOWER(SUBSTITUTE(SUBSTITUTE(SUBSTITUTE(SUBSTITUTE(A291,"/"," "),"."," "),"\"," "),"_"," "))&amp;" ")),1,0))+IF(Task!$A$15="",0,IF(ISNUMBER(SEARCH(" "&amp;Task!$A$15&amp;" "," "&amp;LOWER(SUBSTITUTE(SUBSTITUTE(SUBSTITUTE(SUBSTITUTE(A291,"/"," "),"."," "),"\"," "),"_"," "))&amp;" ")),1,0))+IF(Task!$A$16="",0,IF(ISNUMBER(SEARCH(" "&amp;Task!$A$16&amp;" "," "&amp;LOWER(SUBSTITUTE(SUBSTITUTE(SUBSTITUTE(SUBSTITUTE(A291,"/"," "),"."," "),"\"," "),"_"," "))&amp;" ")),1,0))+IF(Task!$A$17="",0,IF(ISNUMBER(SEARCH(" "&amp;Task!$A$17&amp;" "," "&amp;LOWER(SUBSTITUTE(SUBSTITUTE(SUBSTITUTE(SUBSTITUTE(A291,"/"," "),"."," "),"\"," "),"_"," "))&amp;" ")),1,0))+IF(Task!$A$18="",0,IF(ISNUMBER(SEARCH(" "&amp;Task!$A$18&amp;" "," "&amp;LOWER(SUBSTITUTE(SUBSTITUTE(SUBSTITUTE(SUBSTITUTE(A291,"/"," "),"."," "),"\"," "),"_"," "))&amp;" ")),1,0))+IF(Task!$A$19="",0,IF(ISNUMBER(SEARCH(" "&amp;Task!$A$19&amp;" "," "&amp;LOWER(SUBSTITUTE(SUBSTITUTE(SUBSTITUTE(SUBSTITUTE(A291,"/"," "),"."," "),"\"," "),"_"," "))&amp;" ")),1,0)))</f>
        <v/>
      </c>
      <c r="I291" s="10">
        <f>IF(OR(E291=0,F291=0,Task!$B$21=0),"",F291/Task!$B$21+0.5*G291+0.25*H291)</f>
        <v/>
      </c>
      <c r="J291" s="5">
        <f>IF(I291="","",I291-ROW()/1000000)</f>
        <v/>
      </c>
      <c r="K291" s="9">
        <f>IF(J291="","",COUNTIF($J$5:$J$404,"&gt;"&amp;J291)+1)</f>
        <v/>
      </c>
    </row>
    <row r="292">
      <c r="A292" s="7" t="n"/>
      <c r="B292" s="7" t="n"/>
      <c r="C292" s="7" t="n"/>
      <c r="D292" s="7" t="n"/>
      <c r="E292" s="5">
        <f>IF(A292="",0,IF(COUNTA(Task!$B$5:$E$5)=0,1,IF(COUNTIF(Task!$B$5:$E$5,B292)&gt;0,1,0)))</f>
        <v/>
      </c>
      <c r="F292" s="9">
        <f>IF(E292=0,0,IF(Task!$A$8="",0,IF(ISNUMBER(SEARCH(" "&amp;Task!$A$8&amp;" "," "&amp;LOWER(D292&amp;" "&amp;C292&amp;" "&amp;LOWER(SUBSTITUTE(SUBSTITUTE(SUBSTITUTE(SUBSTITUTE(A292,"/"," "),"."," "),"\"," "),"_"," ")))&amp;" ")),1,0))+IF(Task!$A$9="",0,IF(ISNUMBER(SEARCH(" "&amp;Task!$A$9&amp;" "," "&amp;LOWER(D292&amp;" "&amp;C292&amp;" "&amp;LOWER(SUBSTITUTE(SUBSTITUTE(SUBSTITUTE(SUBSTITUTE(A292,"/"," "),"."," "),"\"," "),"_"," ")))&amp;" ")),1,0))+IF(Task!$A$10="",0,IF(ISNUMBER(SEARCH(" "&amp;Task!$A$10&amp;" "," "&amp;LOWER(D292&amp;" "&amp;C292&amp;" "&amp;LOWER(SUBSTITUTE(SUBSTITUTE(SUBSTITUTE(SUBSTITUTE(A292,"/"," "),"."," "),"\"," "),"_"," ")))&amp;" ")),1,0))+IF(Task!$A$11="",0,IF(ISNUMBER(SEARCH(" "&amp;Task!$A$11&amp;" "," "&amp;LOWER(D292&amp;" "&amp;C292&amp;" "&amp;LOWER(SUBSTITUTE(SUBSTITUTE(SUBSTITUTE(SUBSTITUTE(A292,"/"," "),"."," "),"\"," "),"_"," ")))&amp;" ")),1,0))+IF(Task!$A$12="",0,IF(ISNUMBER(SEARCH(" "&amp;Task!$A$12&amp;" "," "&amp;LOWER(D292&amp;" "&amp;C292&amp;" "&amp;LOWER(SUBSTITUTE(SUBSTITUTE(SUBSTITUTE(SUBSTITUTE(A292,"/"," "),"."," "),"\"," "),"_"," ")))&amp;" ")),1,0))+IF(Task!$A$13="",0,IF(ISNUMBER(SEARCH(" "&amp;Task!$A$13&amp;" "," "&amp;LOWER(D292&amp;" "&amp;C292&amp;" "&amp;LOWER(SUBSTITUTE(SUBSTITUTE(SUBSTITUTE(SUBSTITUTE(A292,"/"," "),"."," "),"\"," "),"_"," ")))&amp;" ")),1,0))+IF(Task!$A$14="",0,IF(ISNUMBER(SEARCH(" "&amp;Task!$A$14&amp;" "," "&amp;LOWER(D292&amp;" "&amp;C292&amp;" "&amp;LOWER(SUBSTITUTE(SUBSTITUTE(SUBSTITUTE(SUBSTITUTE(A292,"/"," "),"."," "),"\"," "),"_"," ")))&amp;" ")),1,0))+IF(Task!$A$15="",0,IF(ISNUMBER(SEARCH(" "&amp;Task!$A$15&amp;" "," "&amp;LOWER(D292&amp;" "&amp;C292&amp;" "&amp;LOWER(SUBSTITUTE(SUBSTITUTE(SUBSTITUTE(SUBSTITUTE(A292,"/"," "),"."," "),"\"," "),"_"," ")))&amp;" ")),1,0))+IF(Task!$A$16="",0,IF(ISNUMBER(SEARCH(" "&amp;Task!$A$16&amp;" "," "&amp;LOWER(D292&amp;" "&amp;C292&amp;" "&amp;LOWER(SUBSTITUTE(SUBSTITUTE(SUBSTITUTE(SUBSTITUTE(A292,"/"," "),"."," "),"\"," "),"_"," ")))&amp;" ")),1,0))+IF(Task!$A$17="",0,IF(ISNUMBER(SEARCH(" "&amp;Task!$A$17&amp;" "," "&amp;LOWER(D292&amp;" "&amp;C292&amp;" "&amp;LOWER(SUBSTITUTE(SUBSTITUTE(SUBSTITUTE(SUBSTITUTE(A292,"/"," "),"."," "),"\"," "),"_"," ")))&amp;" ")),1,0))+IF(Task!$A$18="",0,IF(ISNUMBER(SEARCH(" "&amp;Task!$A$18&amp;" "," "&amp;LOWER(D292&amp;" "&amp;C292&amp;" "&amp;LOWER(SUBSTITUTE(SUBSTITUTE(SUBSTITUTE(SUBSTITUTE(A292,"/"," "),"."," "),"\"," "),"_"," ")))&amp;" ")),1,0))+IF(Task!$A$19="",0,IF(ISNUMBER(SEARCH(" "&amp;Task!$A$19&amp;" "," "&amp;LOWER(D292&amp;" "&amp;C292&amp;" "&amp;LOWER(SUBSTITUTE(SUBSTITUTE(SUBSTITUTE(SUBSTITUTE(A292,"/"," "),"."," "),"\"," "),"_"," ")))&amp;" ")),1,0)))</f>
        <v/>
      </c>
      <c r="G292" s="9">
        <f>IF(E292=0,0,IF(Task!$A$8="",0,IF(ISNUMBER(SEARCH(" "&amp;Task!$A$8&amp;" "," "&amp;LOWER(C292)&amp;" ")),1,0))+IF(Task!$A$9="",0,IF(ISNUMBER(SEARCH(" "&amp;Task!$A$9&amp;" "," "&amp;LOWER(C292)&amp;" ")),1,0))+IF(Task!$A$10="",0,IF(ISNUMBER(SEARCH(" "&amp;Task!$A$10&amp;" "," "&amp;LOWER(C292)&amp;" ")),1,0))+IF(Task!$A$11="",0,IF(ISNUMBER(SEARCH(" "&amp;Task!$A$11&amp;" "," "&amp;LOWER(C292)&amp;" ")),1,0))+IF(Task!$A$12="",0,IF(ISNUMBER(SEARCH(" "&amp;Task!$A$12&amp;" "," "&amp;LOWER(C292)&amp;" ")),1,0))+IF(Task!$A$13="",0,IF(ISNUMBER(SEARCH(" "&amp;Task!$A$13&amp;" "," "&amp;LOWER(C292)&amp;" ")),1,0))+IF(Task!$A$14="",0,IF(ISNUMBER(SEARCH(" "&amp;Task!$A$14&amp;" "," "&amp;LOWER(C292)&amp;" ")),1,0))+IF(Task!$A$15="",0,IF(ISNUMBER(SEARCH(" "&amp;Task!$A$15&amp;" "," "&amp;LOWER(C292)&amp;" ")),1,0))+IF(Task!$A$16="",0,IF(ISNUMBER(SEARCH(" "&amp;Task!$A$16&amp;" "," "&amp;LOWER(C292)&amp;" ")),1,0))+IF(Task!$A$17="",0,IF(ISNUMBER(SEARCH(" "&amp;Task!$A$17&amp;" "," "&amp;LOWER(C292)&amp;" ")),1,0))+IF(Task!$A$18="",0,IF(ISNUMBER(SEARCH(" "&amp;Task!$A$18&amp;" "," "&amp;LOWER(C292)&amp;" ")),1,0))+IF(Task!$A$19="",0,IF(ISNUMBER(SEARCH(" "&amp;Task!$A$19&amp;" "," "&amp;LOWER(C292)&amp;" ")),1,0)))</f>
        <v/>
      </c>
      <c r="H292" s="9">
        <f>IF(E292=0,0,IF(Task!$A$8="",0,IF(ISNUMBER(SEARCH(" "&amp;Task!$A$8&amp;" "," "&amp;LOWER(SUBSTITUTE(SUBSTITUTE(SUBSTITUTE(SUBSTITUTE(A292,"/"," "),"."," "),"\"," "),"_"," "))&amp;" ")),1,0))+IF(Task!$A$9="",0,IF(ISNUMBER(SEARCH(" "&amp;Task!$A$9&amp;" "," "&amp;LOWER(SUBSTITUTE(SUBSTITUTE(SUBSTITUTE(SUBSTITUTE(A292,"/"," "),"."," "),"\"," "),"_"," "))&amp;" ")),1,0))+IF(Task!$A$10="",0,IF(ISNUMBER(SEARCH(" "&amp;Task!$A$10&amp;" "," "&amp;LOWER(SUBSTITUTE(SUBSTITUTE(SUBSTITUTE(SUBSTITUTE(A292,"/"," "),"."," "),"\"," "),"_"," "))&amp;" ")),1,0))+IF(Task!$A$11="",0,IF(ISNUMBER(SEARCH(" "&amp;Task!$A$11&amp;" "," "&amp;LOWER(SUBSTITUTE(SUBSTITUTE(SUBSTITUTE(SUBSTITUTE(A292,"/"," "),"."," "),"\"," "),"_"," "))&amp;" ")),1,0))+IF(Task!$A$12="",0,IF(ISNUMBER(SEARCH(" "&amp;Task!$A$12&amp;" "," "&amp;LOWER(SUBSTITUTE(SUBSTITUTE(SUBSTITUTE(SUBSTITUTE(A292,"/"," "),"."," "),"\"," "),"_"," "))&amp;" ")),1,0))+IF(Task!$A$13="",0,IF(ISNUMBER(SEARCH(" "&amp;Task!$A$13&amp;" "," "&amp;LOWER(SUBSTITUTE(SUBSTITUTE(SUBSTITUTE(SUBSTITUTE(A292,"/"," "),"."," "),"\"," "),"_"," "))&amp;" ")),1,0))+IF(Task!$A$14="",0,IF(ISNUMBER(SEARCH(" "&amp;Task!$A$14&amp;" "," "&amp;LOWER(SUBSTITUTE(SUBSTITUTE(SUBSTITUTE(SUBSTITUTE(A292,"/"," "),"."," "),"\"," "),"_"," "))&amp;" ")),1,0))+IF(Task!$A$15="",0,IF(ISNUMBER(SEARCH(" "&amp;Task!$A$15&amp;" "," "&amp;LOWER(SUBSTITUTE(SUBSTITUTE(SUBSTITUTE(SUBSTITUTE(A292,"/"," "),"."," "),"\"," "),"_"," "))&amp;" ")),1,0))+IF(Task!$A$16="",0,IF(ISNUMBER(SEARCH(" "&amp;Task!$A$16&amp;" "," "&amp;LOWER(SUBSTITUTE(SUBSTITUTE(SUBSTITUTE(SUBSTITUTE(A292,"/"," "),"."," "),"\"," "),"_"," "))&amp;" ")),1,0))+IF(Task!$A$17="",0,IF(ISNUMBER(SEARCH(" "&amp;Task!$A$17&amp;" "," "&amp;LOWER(SUBSTITUTE(SUBSTITUTE(SUBSTITUTE(SUBSTITUTE(A292,"/"," "),"."," "),"\"," "),"_"," "))&amp;" ")),1,0))+IF(Task!$A$18="",0,IF(ISNUMBER(SEARCH(" "&amp;Task!$A$18&amp;" "," "&amp;LOWER(SUBSTITUTE(SUBSTITUTE(SUBSTITUTE(SUBSTITUTE(A292,"/"," "),"."," "),"\"," "),"_"," "))&amp;" ")),1,0))+IF(Task!$A$19="",0,IF(ISNUMBER(SEARCH(" "&amp;Task!$A$19&amp;" "," "&amp;LOWER(SUBSTITUTE(SUBSTITUTE(SUBSTITUTE(SUBSTITUTE(A292,"/"," "),"."," "),"\"," "),"_"," "))&amp;" ")),1,0)))</f>
        <v/>
      </c>
      <c r="I292" s="10">
        <f>IF(OR(E292=0,F292=0,Task!$B$21=0),"",F292/Task!$B$21+0.5*G292+0.25*H292)</f>
        <v/>
      </c>
      <c r="J292" s="5">
        <f>IF(I292="","",I292-ROW()/1000000)</f>
        <v/>
      </c>
      <c r="K292" s="9">
        <f>IF(J292="","",COUNTIF($J$5:$J$404,"&gt;"&amp;J292)+1)</f>
        <v/>
      </c>
    </row>
    <row r="293">
      <c r="A293" s="7" t="n"/>
      <c r="B293" s="7" t="n"/>
      <c r="C293" s="7" t="n"/>
      <c r="D293" s="7" t="n"/>
      <c r="E293" s="5">
        <f>IF(A293="",0,IF(COUNTA(Task!$B$5:$E$5)=0,1,IF(COUNTIF(Task!$B$5:$E$5,B293)&gt;0,1,0)))</f>
        <v/>
      </c>
      <c r="F293" s="9">
        <f>IF(E293=0,0,IF(Task!$A$8="",0,IF(ISNUMBER(SEARCH(" "&amp;Task!$A$8&amp;" "," "&amp;LOWER(D293&amp;" "&amp;C293&amp;" "&amp;LOWER(SUBSTITUTE(SUBSTITUTE(SUBSTITUTE(SUBSTITUTE(A293,"/"," "),"."," "),"\"," "),"_"," ")))&amp;" ")),1,0))+IF(Task!$A$9="",0,IF(ISNUMBER(SEARCH(" "&amp;Task!$A$9&amp;" "," "&amp;LOWER(D293&amp;" "&amp;C293&amp;" "&amp;LOWER(SUBSTITUTE(SUBSTITUTE(SUBSTITUTE(SUBSTITUTE(A293,"/"," "),"."," "),"\"," "),"_"," ")))&amp;" ")),1,0))+IF(Task!$A$10="",0,IF(ISNUMBER(SEARCH(" "&amp;Task!$A$10&amp;" "," "&amp;LOWER(D293&amp;" "&amp;C293&amp;" "&amp;LOWER(SUBSTITUTE(SUBSTITUTE(SUBSTITUTE(SUBSTITUTE(A293,"/"," "),"."," "),"\"," "),"_"," ")))&amp;" ")),1,0))+IF(Task!$A$11="",0,IF(ISNUMBER(SEARCH(" "&amp;Task!$A$11&amp;" "," "&amp;LOWER(D293&amp;" "&amp;C293&amp;" "&amp;LOWER(SUBSTITUTE(SUBSTITUTE(SUBSTITUTE(SUBSTITUTE(A293,"/"," "),"."," "),"\"," "),"_"," ")))&amp;" ")),1,0))+IF(Task!$A$12="",0,IF(ISNUMBER(SEARCH(" "&amp;Task!$A$12&amp;" "," "&amp;LOWER(D293&amp;" "&amp;C293&amp;" "&amp;LOWER(SUBSTITUTE(SUBSTITUTE(SUBSTITUTE(SUBSTITUTE(A293,"/"," "),"."," "),"\"," "),"_"," ")))&amp;" ")),1,0))+IF(Task!$A$13="",0,IF(ISNUMBER(SEARCH(" "&amp;Task!$A$13&amp;" "," "&amp;LOWER(D293&amp;" "&amp;C293&amp;" "&amp;LOWER(SUBSTITUTE(SUBSTITUTE(SUBSTITUTE(SUBSTITUTE(A293,"/"," "),"."," "),"\"," "),"_"," ")))&amp;" ")),1,0))+IF(Task!$A$14="",0,IF(ISNUMBER(SEARCH(" "&amp;Task!$A$14&amp;" "," "&amp;LOWER(D293&amp;" "&amp;C293&amp;" "&amp;LOWER(SUBSTITUTE(SUBSTITUTE(SUBSTITUTE(SUBSTITUTE(A293,"/"," "),"."," "),"\"," "),"_"," ")))&amp;" ")),1,0))+IF(Task!$A$15="",0,IF(ISNUMBER(SEARCH(" "&amp;Task!$A$15&amp;" "," "&amp;LOWER(D293&amp;" "&amp;C293&amp;" "&amp;LOWER(SUBSTITUTE(SUBSTITUTE(SUBSTITUTE(SUBSTITUTE(A293,"/"," "),"."," "),"\"," "),"_"," ")))&amp;" ")),1,0))+IF(Task!$A$16="",0,IF(ISNUMBER(SEARCH(" "&amp;Task!$A$16&amp;" "," "&amp;LOWER(D293&amp;" "&amp;C293&amp;" "&amp;LOWER(SUBSTITUTE(SUBSTITUTE(SUBSTITUTE(SUBSTITUTE(A293,"/"," "),"."," "),"\"," "),"_"," ")))&amp;" ")),1,0))+IF(Task!$A$17="",0,IF(ISNUMBER(SEARCH(" "&amp;Task!$A$17&amp;" "," "&amp;LOWER(D293&amp;" "&amp;C293&amp;" "&amp;LOWER(SUBSTITUTE(SUBSTITUTE(SUBSTITUTE(SUBSTITUTE(A293,"/"," "),"."," "),"\"," "),"_"," ")))&amp;" ")),1,0))+IF(Task!$A$18="",0,IF(ISNUMBER(SEARCH(" "&amp;Task!$A$18&amp;" "," "&amp;LOWER(D293&amp;" "&amp;C293&amp;" "&amp;LOWER(SUBSTITUTE(SUBSTITUTE(SUBSTITUTE(SUBSTITUTE(A293,"/"," "),"."," "),"\"," "),"_"," ")))&amp;" ")),1,0))+IF(Task!$A$19="",0,IF(ISNUMBER(SEARCH(" "&amp;Task!$A$19&amp;" "," "&amp;LOWER(D293&amp;" "&amp;C293&amp;" "&amp;LOWER(SUBSTITUTE(SUBSTITUTE(SUBSTITUTE(SUBSTITUTE(A293,"/"," "),"."," "),"\"," "),"_"," ")))&amp;" ")),1,0)))</f>
        <v/>
      </c>
      <c r="G293" s="9">
        <f>IF(E293=0,0,IF(Task!$A$8="",0,IF(ISNUMBER(SEARCH(" "&amp;Task!$A$8&amp;" "," "&amp;LOWER(C293)&amp;" ")),1,0))+IF(Task!$A$9="",0,IF(ISNUMBER(SEARCH(" "&amp;Task!$A$9&amp;" "," "&amp;LOWER(C293)&amp;" ")),1,0))+IF(Task!$A$10="",0,IF(ISNUMBER(SEARCH(" "&amp;Task!$A$10&amp;" "," "&amp;LOWER(C293)&amp;" ")),1,0))+IF(Task!$A$11="",0,IF(ISNUMBER(SEARCH(" "&amp;Task!$A$11&amp;" "," "&amp;LOWER(C293)&amp;" ")),1,0))+IF(Task!$A$12="",0,IF(ISNUMBER(SEARCH(" "&amp;Task!$A$12&amp;" "," "&amp;LOWER(C293)&amp;" ")),1,0))+IF(Task!$A$13="",0,IF(ISNUMBER(SEARCH(" "&amp;Task!$A$13&amp;" "," "&amp;LOWER(C293)&amp;" ")),1,0))+IF(Task!$A$14="",0,IF(ISNUMBER(SEARCH(" "&amp;Task!$A$14&amp;" "," "&amp;LOWER(C293)&amp;" ")),1,0))+IF(Task!$A$15="",0,IF(ISNUMBER(SEARCH(" "&amp;Task!$A$15&amp;" "," "&amp;LOWER(C293)&amp;" ")),1,0))+IF(Task!$A$16="",0,IF(ISNUMBER(SEARCH(" "&amp;Task!$A$16&amp;" "," "&amp;LOWER(C293)&amp;" ")),1,0))+IF(Task!$A$17="",0,IF(ISNUMBER(SEARCH(" "&amp;Task!$A$17&amp;" "," "&amp;LOWER(C293)&amp;" ")),1,0))+IF(Task!$A$18="",0,IF(ISNUMBER(SEARCH(" "&amp;Task!$A$18&amp;" "," "&amp;LOWER(C293)&amp;" ")),1,0))+IF(Task!$A$19="",0,IF(ISNUMBER(SEARCH(" "&amp;Task!$A$19&amp;" "," "&amp;LOWER(C293)&amp;" ")),1,0)))</f>
        <v/>
      </c>
      <c r="H293" s="9">
        <f>IF(E293=0,0,IF(Task!$A$8="",0,IF(ISNUMBER(SEARCH(" "&amp;Task!$A$8&amp;" "," "&amp;LOWER(SUBSTITUTE(SUBSTITUTE(SUBSTITUTE(SUBSTITUTE(A293,"/"," "),"."," "),"\"," "),"_"," "))&amp;" ")),1,0))+IF(Task!$A$9="",0,IF(ISNUMBER(SEARCH(" "&amp;Task!$A$9&amp;" "," "&amp;LOWER(SUBSTITUTE(SUBSTITUTE(SUBSTITUTE(SUBSTITUTE(A293,"/"," "),"."," "),"\"," "),"_"," "))&amp;" ")),1,0))+IF(Task!$A$10="",0,IF(ISNUMBER(SEARCH(" "&amp;Task!$A$10&amp;" "," "&amp;LOWER(SUBSTITUTE(SUBSTITUTE(SUBSTITUTE(SUBSTITUTE(A293,"/"," "),"."," "),"\"," "),"_"," "))&amp;" ")),1,0))+IF(Task!$A$11="",0,IF(ISNUMBER(SEARCH(" "&amp;Task!$A$11&amp;" "," "&amp;LOWER(SUBSTITUTE(SUBSTITUTE(SUBSTITUTE(SUBSTITUTE(A293,"/"," "),"."," "),"\"," "),"_"," "))&amp;" ")),1,0))+IF(Task!$A$12="",0,IF(ISNUMBER(SEARCH(" "&amp;Task!$A$12&amp;" "," "&amp;LOWER(SUBSTITUTE(SUBSTITUTE(SUBSTITUTE(SUBSTITUTE(A293,"/"," "),"."," "),"\"," "),"_"," "))&amp;" ")),1,0))+IF(Task!$A$13="",0,IF(ISNUMBER(SEARCH(" "&amp;Task!$A$13&amp;" "," "&amp;LOWER(SUBSTITUTE(SUBSTITUTE(SUBSTITUTE(SUBSTITUTE(A293,"/"," "),"."," "),"\"," "),"_"," "))&amp;" ")),1,0))+IF(Task!$A$14="",0,IF(ISNUMBER(SEARCH(" "&amp;Task!$A$14&amp;" "," "&amp;LOWER(SUBSTITUTE(SUBSTITUTE(SUBSTITUTE(SUBSTITUTE(A293,"/"," "),"."," "),"\"," "),"_"," "))&amp;" ")),1,0))+IF(Task!$A$15="",0,IF(ISNUMBER(SEARCH(" "&amp;Task!$A$15&amp;" "," "&amp;LOWER(SUBSTITUTE(SUBSTITUTE(SUBSTITUTE(SUBSTITUTE(A293,"/"," "),"."," "),"\"," "),"_"," "))&amp;" ")),1,0))+IF(Task!$A$16="",0,IF(ISNUMBER(SEARCH(" "&amp;Task!$A$16&amp;" "," "&amp;LOWER(SUBSTITUTE(SUBSTITUTE(SUBSTITUTE(SUBSTITUTE(A293,"/"," "),"."," "),"\"," "),"_"," "))&amp;" ")),1,0))+IF(Task!$A$17="",0,IF(ISNUMBER(SEARCH(" "&amp;Task!$A$17&amp;" "," "&amp;LOWER(SUBSTITUTE(SUBSTITUTE(SUBSTITUTE(SUBSTITUTE(A293,"/"," "),"."," "),"\"," "),"_"," "))&amp;" ")),1,0))+IF(Task!$A$18="",0,IF(ISNUMBER(SEARCH(" "&amp;Task!$A$18&amp;" "," "&amp;LOWER(SUBSTITUTE(SUBSTITUTE(SUBSTITUTE(SUBSTITUTE(A293,"/"," "),"."," "),"\"," "),"_"," "))&amp;" ")),1,0))+IF(Task!$A$19="",0,IF(ISNUMBER(SEARCH(" "&amp;Task!$A$19&amp;" "," "&amp;LOWER(SUBSTITUTE(SUBSTITUTE(SUBSTITUTE(SUBSTITUTE(A293,"/"," "),"."," "),"\"," "),"_"," "))&amp;" ")),1,0)))</f>
        <v/>
      </c>
      <c r="I293" s="10">
        <f>IF(OR(E293=0,F293=0,Task!$B$21=0),"",F293/Task!$B$21+0.5*G293+0.25*H293)</f>
        <v/>
      </c>
      <c r="J293" s="5">
        <f>IF(I293="","",I293-ROW()/1000000)</f>
        <v/>
      </c>
      <c r="K293" s="9">
        <f>IF(J293="","",COUNTIF($J$5:$J$404,"&gt;"&amp;J293)+1)</f>
        <v/>
      </c>
    </row>
    <row r="294">
      <c r="A294" s="7" t="n"/>
      <c r="B294" s="7" t="n"/>
      <c r="C294" s="7" t="n"/>
      <c r="D294" s="7" t="n"/>
      <c r="E294" s="5">
        <f>IF(A294="",0,IF(COUNTA(Task!$B$5:$E$5)=0,1,IF(COUNTIF(Task!$B$5:$E$5,B294)&gt;0,1,0)))</f>
        <v/>
      </c>
      <c r="F294" s="9">
        <f>IF(E294=0,0,IF(Task!$A$8="",0,IF(ISNUMBER(SEARCH(" "&amp;Task!$A$8&amp;" "," "&amp;LOWER(D294&amp;" "&amp;C294&amp;" "&amp;LOWER(SUBSTITUTE(SUBSTITUTE(SUBSTITUTE(SUBSTITUTE(A294,"/"," "),"."," "),"\"," "),"_"," ")))&amp;" ")),1,0))+IF(Task!$A$9="",0,IF(ISNUMBER(SEARCH(" "&amp;Task!$A$9&amp;" "," "&amp;LOWER(D294&amp;" "&amp;C294&amp;" "&amp;LOWER(SUBSTITUTE(SUBSTITUTE(SUBSTITUTE(SUBSTITUTE(A294,"/"," "),"."," "),"\"," "),"_"," ")))&amp;" ")),1,0))+IF(Task!$A$10="",0,IF(ISNUMBER(SEARCH(" "&amp;Task!$A$10&amp;" "," "&amp;LOWER(D294&amp;" "&amp;C294&amp;" "&amp;LOWER(SUBSTITUTE(SUBSTITUTE(SUBSTITUTE(SUBSTITUTE(A294,"/"," "),"."," "),"\"," "),"_"," ")))&amp;" ")),1,0))+IF(Task!$A$11="",0,IF(ISNUMBER(SEARCH(" "&amp;Task!$A$11&amp;" "," "&amp;LOWER(D294&amp;" "&amp;C294&amp;" "&amp;LOWER(SUBSTITUTE(SUBSTITUTE(SUBSTITUTE(SUBSTITUTE(A294,"/"," "),"."," "),"\"," "),"_"," ")))&amp;" ")),1,0))+IF(Task!$A$12="",0,IF(ISNUMBER(SEARCH(" "&amp;Task!$A$12&amp;" "," "&amp;LOWER(D294&amp;" "&amp;C294&amp;" "&amp;LOWER(SUBSTITUTE(SUBSTITUTE(SUBSTITUTE(SUBSTITUTE(A294,"/"," "),"."," "),"\"," "),"_"," ")))&amp;" ")),1,0))+IF(Task!$A$13="",0,IF(ISNUMBER(SEARCH(" "&amp;Task!$A$13&amp;" "," "&amp;LOWER(D294&amp;" "&amp;C294&amp;" "&amp;LOWER(SUBSTITUTE(SUBSTITUTE(SUBSTITUTE(SUBSTITUTE(A294,"/"," "),"."," "),"\"," "),"_"," ")))&amp;" ")),1,0))+IF(Task!$A$14="",0,IF(ISNUMBER(SEARCH(" "&amp;Task!$A$14&amp;" "," "&amp;LOWER(D294&amp;" "&amp;C294&amp;" "&amp;LOWER(SUBSTITUTE(SUBSTITUTE(SUBSTITUTE(SUBSTITUTE(A294,"/"," "),"."," "),"\"," "),"_"," ")))&amp;" ")),1,0))+IF(Task!$A$15="",0,IF(ISNUMBER(SEARCH(" "&amp;Task!$A$15&amp;" "," "&amp;LOWER(D294&amp;" "&amp;C294&amp;" "&amp;LOWER(SUBSTITUTE(SUBSTITUTE(SUBSTITUTE(SUBSTITUTE(A294,"/"," "),"."," "),"\"," "),"_"," ")))&amp;" ")),1,0))+IF(Task!$A$16="",0,IF(ISNUMBER(SEARCH(" "&amp;Task!$A$16&amp;" "," "&amp;LOWER(D294&amp;" "&amp;C294&amp;" "&amp;LOWER(SUBSTITUTE(SUBSTITUTE(SUBSTITUTE(SUBSTITUTE(A294,"/"," "),"."," "),"\"," "),"_"," ")))&amp;" ")),1,0))+IF(Task!$A$17="",0,IF(ISNUMBER(SEARCH(" "&amp;Task!$A$17&amp;" "," "&amp;LOWER(D294&amp;" "&amp;C294&amp;" "&amp;LOWER(SUBSTITUTE(SUBSTITUTE(SUBSTITUTE(SUBSTITUTE(A294,"/"," "),"."," "),"\"," "),"_"," ")))&amp;" ")),1,0))+IF(Task!$A$18="",0,IF(ISNUMBER(SEARCH(" "&amp;Task!$A$18&amp;" "," "&amp;LOWER(D294&amp;" "&amp;C294&amp;" "&amp;LOWER(SUBSTITUTE(SUBSTITUTE(SUBSTITUTE(SUBSTITUTE(A294,"/"," "),"."," "),"\"," "),"_"," ")))&amp;" ")),1,0))+IF(Task!$A$19="",0,IF(ISNUMBER(SEARCH(" "&amp;Task!$A$19&amp;" "," "&amp;LOWER(D294&amp;" "&amp;C294&amp;" "&amp;LOWER(SUBSTITUTE(SUBSTITUTE(SUBSTITUTE(SUBSTITUTE(A294,"/"," "),"."," "),"\"," "),"_"," ")))&amp;" ")),1,0)))</f>
        <v/>
      </c>
      <c r="G294" s="9">
        <f>IF(E294=0,0,IF(Task!$A$8="",0,IF(ISNUMBER(SEARCH(" "&amp;Task!$A$8&amp;" "," "&amp;LOWER(C294)&amp;" ")),1,0))+IF(Task!$A$9="",0,IF(ISNUMBER(SEARCH(" "&amp;Task!$A$9&amp;" "," "&amp;LOWER(C294)&amp;" ")),1,0))+IF(Task!$A$10="",0,IF(ISNUMBER(SEARCH(" "&amp;Task!$A$10&amp;" "," "&amp;LOWER(C294)&amp;" ")),1,0))+IF(Task!$A$11="",0,IF(ISNUMBER(SEARCH(" "&amp;Task!$A$11&amp;" "," "&amp;LOWER(C294)&amp;" ")),1,0))+IF(Task!$A$12="",0,IF(ISNUMBER(SEARCH(" "&amp;Task!$A$12&amp;" "," "&amp;LOWER(C294)&amp;" ")),1,0))+IF(Task!$A$13="",0,IF(ISNUMBER(SEARCH(" "&amp;Task!$A$13&amp;" "," "&amp;LOWER(C294)&amp;" ")),1,0))+IF(Task!$A$14="",0,IF(ISNUMBER(SEARCH(" "&amp;Task!$A$14&amp;" "," "&amp;LOWER(C294)&amp;" ")),1,0))+IF(Task!$A$15="",0,IF(ISNUMBER(SEARCH(" "&amp;Task!$A$15&amp;" "," "&amp;LOWER(C294)&amp;" ")),1,0))+IF(Task!$A$16="",0,IF(ISNUMBER(SEARCH(" "&amp;Task!$A$16&amp;" "," "&amp;LOWER(C294)&amp;" ")),1,0))+IF(Task!$A$17="",0,IF(ISNUMBER(SEARCH(" "&amp;Task!$A$17&amp;" "," "&amp;LOWER(C294)&amp;" ")),1,0))+IF(Task!$A$18="",0,IF(ISNUMBER(SEARCH(" "&amp;Task!$A$18&amp;" "," "&amp;LOWER(C294)&amp;" ")),1,0))+IF(Task!$A$19="",0,IF(ISNUMBER(SEARCH(" "&amp;Task!$A$19&amp;" "," "&amp;LOWER(C294)&amp;" ")),1,0)))</f>
        <v/>
      </c>
      <c r="H294" s="9">
        <f>IF(E294=0,0,IF(Task!$A$8="",0,IF(ISNUMBER(SEARCH(" "&amp;Task!$A$8&amp;" "," "&amp;LOWER(SUBSTITUTE(SUBSTITUTE(SUBSTITUTE(SUBSTITUTE(A294,"/"," "),"."," "),"\"," "),"_"," "))&amp;" ")),1,0))+IF(Task!$A$9="",0,IF(ISNUMBER(SEARCH(" "&amp;Task!$A$9&amp;" "," "&amp;LOWER(SUBSTITUTE(SUBSTITUTE(SUBSTITUTE(SUBSTITUTE(A294,"/"," "),"."," "),"\"," "),"_"," "))&amp;" ")),1,0))+IF(Task!$A$10="",0,IF(ISNUMBER(SEARCH(" "&amp;Task!$A$10&amp;" "," "&amp;LOWER(SUBSTITUTE(SUBSTITUTE(SUBSTITUTE(SUBSTITUTE(A294,"/"," "),"."," "),"\"," "),"_"," "))&amp;" ")),1,0))+IF(Task!$A$11="",0,IF(ISNUMBER(SEARCH(" "&amp;Task!$A$11&amp;" "," "&amp;LOWER(SUBSTITUTE(SUBSTITUTE(SUBSTITUTE(SUBSTITUTE(A294,"/"," "),"."," "),"\"," "),"_"," "))&amp;" ")),1,0))+IF(Task!$A$12="",0,IF(ISNUMBER(SEARCH(" "&amp;Task!$A$12&amp;" "," "&amp;LOWER(SUBSTITUTE(SUBSTITUTE(SUBSTITUTE(SUBSTITUTE(A294,"/"," "),"."," "),"\"," "),"_"," "))&amp;" ")),1,0))+IF(Task!$A$13="",0,IF(ISNUMBER(SEARCH(" "&amp;Task!$A$13&amp;" "," "&amp;LOWER(SUBSTITUTE(SUBSTITUTE(SUBSTITUTE(SUBSTITUTE(A294,"/"," "),"."," "),"\"," "),"_"," "))&amp;" ")),1,0))+IF(Task!$A$14="",0,IF(ISNUMBER(SEARCH(" "&amp;Task!$A$14&amp;" "," "&amp;LOWER(SUBSTITUTE(SUBSTITUTE(SUBSTITUTE(SUBSTITUTE(A294,"/"," "),"."," "),"\"," "),"_"," "))&amp;" ")),1,0))+IF(Task!$A$15="",0,IF(ISNUMBER(SEARCH(" "&amp;Task!$A$15&amp;" "," "&amp;LOWER(SUBSTITUTE(SUBSTITUTE(SUBSTITUTE(SUBSTITUTE(A294,"/"," "),"."," "),"\"," "),"_"," "))&amp;" ")),1,0))+IF(Task!$A$16="",0,IF(ISNUMBER(SEARCH(" "&amp;Task!$A$16&amp;" "," "&amp;LOWER(SUBSTITUTE(SUBSTITUTE(SUBSTITUTE(SUBSTITUTE(A294,"/"," "),"."," "),"\"," "),"_"," "))&amp;" ")),1,0))+IF(Task!$A$17="",0,IF(ISNUMBER(SEARCH(" "&amp;Task!$A$17&amp;" "," "&amp;LOWER(SUBSTITUTE(SUBSTITUTE(SUBSTITUTE(SUBSTITUTE(A294,"/"," "),"."," "),"\"," "),"_"," "))&amp;" ")),1,0))+IF(Task!$A$18="",0,IF(ISNUMBER(SEARCH(" "&amp;Task!$A$18&amp;" "," "&amp;LOWER(SUBSTITUTE(SUBSTITUTE(SUBSTITUTE(SUBSTITUTE(A294,"/"," "),"."," "),"\"," "),"_"," "))&amp;" ")),1,0))+IF(Task!$A$19="",0,IF(ISNUMBER(SEARCH(" "&amp;Task!$A$19&amp;" "," "&amp;LOWER(SUBSTITUTE(SUBSTITUTE(SUBSTITUTE(SUBSTITUTE(A294,"/"," "),"."," "),"\"," "),"_"," "))&amp;" ")),1,0)))</f>
        <v/>
      </c>
      <c r="I294" s="10">
        <f>IF(OR(E294=0,F294=0,Task!$B$21=0),"",F294/Task!$B$21+0.5*G294+0.25*H294)</f>
        <v/>
      </c>
      <c r="J294" s="5">
        <f>IF(I294="","",I294-ROW()/1000000)</f>
        <v/>
      </c>
      <c r="K294" s="9">
        <f>IF(J294="","",COUNTIF($J$5:$J$404,"&gt;"&amp;J294)+1)</f>
        <v/>
      </c>
    </row>
    <row r="295">
      <c r="A295" s="7" t="n"/>
      <c r="B295" s="7" t="n"/>
      <c r="C295" s="7" t="n"/>
      <c r="D295" s="7" t="n"/>
      <c r="E295" s="5">
        <f>IF(A295="",0,IF(COUNTA(Task!$B$5:$E$5)=0,1,IF(COUNTIF(Task!$B$5:$E$5,B295)&gt;0,1,0)))</f>
        <v/>
      </c>
      <c r="F295" s="9">
        <f>IF(E295=0,0,IF(Task!$A$8="",0,IF(ISNUMBER(SEARCH(" "&amp;Task!$A$8&amp;" "," "&amp;LOWER(D295&amp;" "&amp;C295&amp;" "&amp;LOWER(SUBSTITUTE(SUBSTITUTE(SUBSTITUTE(SUBSTITUTE(A295,"/"," "),"."," "),"\"," "),"_"," ")))&amp;" ")),1,0))+IF(Task!$A$9="",0,IF(ISNUMBER(SEARCH(" "&amp;Task!$A$9&amp;" "," "&amp;LOWER(D295&amp;" "&amp;C295&amp;" "&amp;LOWER(SUBSTITUTE(SUBSTITUTE(SUBSTITUTE(SUBSTITUTE(A295,"/"," "),"."," "),"\"," "),"_"," ")))&amp;" ")),1,0))+IF(Task!$A$10="",0,IF(ISNUMBER(SEARCH(" "&amp;Task!$A$10&amp;" "," "&amp;LOWER(D295&amp;" "&amp;C295&amp;" "&amp;LOWER(SUBSTITUTE(SUBSTITUTE(SUBSTITUTE(SUBSTITUTE(A295,"/"," "),"."," "),"\"," "),"_"," ")))&amp;" ")),1,0))+IF(Task!$A$11="",0,IF(ISNUMBER(SEARCH(" "&amp;Task!$A$11&amp;" "," "&amp;LOWER(D295&amp;" "&amp;C295&amp;" "&amp;LOWER(SUBSTITUTE(SUBSTITUTE(SUBSTITUTE(SUBSTITUTE(A295,"/"," "),"."," "),"\"," "),"_"," ")))&amp;" ")),1,0))+IF(Task!$A$12="",0,IF(ISNUMBER(SEARCH(" "&amp;Task!$A$12&amp;" "," "&amp;LOWER(D295&amp;" "&amp;C295&amp;" "&amp;LOWER(SUBSTITUTE(SUBSTITUTE(SUBSTITUTE(SUBSTITUTE(A295,"/"," "),"."," "),"\"," "),"_"," ")))&amp;" ")),1,0))+IF(Task!$A$13="",0,IF(ISNUMBER(SEARCH(" "&amp;Task!$A$13&amp;" "," "&amp;LOWER(D295&amp;" "&amp;C295&amp;" "&amp;LOWER(SUBSTITUTE(SUBSTITUTE(SUBSTITUTE(SUBSTITUTE(A295,"/"," "),"."," "),"\"," "),"_"," ")))&amp;" ")),1,0))+IF(Task!$A$14="",0,IF(ISNUMBER(SEARCH(" "&amp;Task!$A$14&amp;" "," "&amp;LOWER(D295&amp;" "&amp;C295&amp;" "&amp;LOWER(SUBSTITUTE(SUBSTITUTE(SUBSTITUTE(SUBSTITUTE(A295,"/"," "),"."," "),"\"," "),"_"," ")))&amp;" ")),1,0))+IF(Task!$A$15="",0,IF(ISNUMBER(SEARCH(" "&amp;Task!$A$15&amp;" "," "&amp;LOWER(D295&amp;" "&amp;C295&amp;" "&amp;LOWER(SUBSTITUTE(SUBSTITUTE(SUBSTITUTE(SUBSTITUTE(A295,"/"," "),"."," "),"\"," "),"_"," ")))&amp;" ")),1,0))+IF(Task!$A$16="",0,IF(ISNUMBER(SEARCH(" "&amp;Task!$A$16&amp;" "," "&amp;LOWER(D295&amp;" "&amp;C295&amp;" "&amp;LOWER(SUBSTITUTE(SUBSTITUTE(SUBSTITUTE(SUBSTITUTE(A295,"/"," "),"."," "),"\"," "),"_"," ")))&amp;" ")),1,0))+IF(Task!$A$17="",0,IF(ISNUMBER(SEARCH(" "&amp;Task!$A$17&amp;" "," "&amp;LOWER(D295&amp;" "&amp;C295&amp;" "&amp;LOWER(SUBSTITUTE(SUBSTITUTE(SUBSTITUTE(SUBSTITUTE(A295,"/"," "),"."," "),"\"," "),"_"," ")))&amp;" ")),1,0))+IF(Task!$A$18="",0,IF(ISNUMBER(SEARCH(" "&amp;Task!$A$18&amp;" "," "&amp;LOWER(D295&amp;" "&amp;C295&amp;" "&amp;LOWER(SUBSTITUTE(SUBSTITUTE(SUBSTITUTE(SUBSTITUTE(A295,"/"," "),"."," "),"\"," "),"_"," ")))&amp;" ")),1,0))+IF(Task!$A$19="",0,IF(ISNUMBER(SEARCH(" "&amp;Task!$A$19&amp;" "," "&amp;LOWER(D295&amp;" "&amp;C295&amp;" "&amp;LOWER(SUBSTITUTE(SUBSTITUTE(SUBSTITUTE(SUBSTITUTE(A295,"/"," "),"."," "),"\"," "),"_"," ")))&amp;" ")),1,0)))</f>
        <v/>
      </c>
      <c r="G295" s="9">
        <f>IF(E295=0,0,IF(Task!$A$8="",0,IF(ISNUMBER(SEARCH(" "&amp;Task!$A$8&amp;" "," "&amp;LOWER(C295)&amp;" ")),1,0))+IF(Task!$A$9="",0,IF(ISNUMBER(SEARCH(" "&amp;Task!$A$9&amp;" "," "&amp;LOWER(C295)&amp;" ")),1,0))+IF(Task!$A$10="",0,IF(ISNUMBER(SEARCH(" "&amp;Task!$A$10&amp;" "," "&amp;LOWER(C295)&amp;" ")),1,0))+IF(Task!$A$11="",0,IF(ISNUMBER(SEARCH(" "&amp;Task!$A$11&amp;" "," "&amp;LOWER(C295)&amp;" ")),1,0))+IF(Task!$A$12="",0,IF(ISNUMBER(SEARCH(" "&amp;Task!$A$12&amp;" "," "&amp;LOWER(C295)&amp;" ")),1,0))+IF(Task!$A$13="",0,IF(ISNUMBER(SEARCH(" "&amp;Task!$A$13&amp;" "," "&amp;LOWER(C295)&amp;" ")),1,0))+IF(Task!$A$14="",0,IF(ISNUMBER(SEARCH(" "&amp;Task!$A$14&amp;" "," "&amp;LOWER(C295)&amp;" ")),1,0))+IF(Task!$A$15="",0,IF(ISNUMBER(SEARCH(" "&amp;Task!$A$15&amp;" "," "&amp;LOWER(C295)&amp;" ")),1,0))+IF(Task!$A$16="",0,IF(ISNUMBER(SEARCH(" "&amp;Task!$A$16&amp;" "," "&amp;LOWER(C295)&amp;" ")),1,0))+IF(Task!$A$17="",0,IF(ISNUMBER(SEARCH(" "&amp;Task!$A$17&amp;" "," "&amp;LOWER(C295)&amp;" ")),1,0))+IF(Task!$A$18="",0,IF(ISNUMBER(SEARCH(" "&amp;Task!$A$18&amp;" "," "&amp;LOWER(C295)&amp;" ")),1,0))+IF(Task!$A$19="",0,IF(ISNUMBER(SEARCH(" "&amp;Task!$A$19&amp;" "," "&amp;LOWER(C295)&amp;" ")),1,0)))</f>
        <v/>
      </c>
      <c r="H295" s="9">
        <f>IF(E295=0,0,IF(Task!$A$8="",0,IF(ISNUMBER(SEARCH(" "&amp;Task!$A$8&amp;" "," "&amp;LOWER(SUBSTITUTE(SUBSTITUTE(SUBSTITUTE(SUBSTITUTE(A295,"/"," "),"."," "),"\"," "),"_"," "))&amp;" ")),1,0))+IF(Task!$A$9="",0,IF(ISNUMBER(SEARCH(" "&amp;Task!$A$9&amp;" "," "&amp;LOWER(SUBSTITUTE(SUBSTITUTE(SUBSTITUTE(SUBSTITUTE(A295,"/"," "),"."," "),"\"," "),"_"," "))&amp;" ")),1,0))+IF(Task!$A$10="",0,IF(ISNUMBER(SEARCH(" "&amp;Task!$A$10&amp;" "," "&amp;LOWER(SUBSTITUTE(SUBSTITUTE(SUBSTITUTE(SUBSTITUTE(A295,"/"," "),"."," "),"\"," "),"_"," "))&amp;" ")),1,0))+IF(Task!$A$11="",0,IF(ISNUMBER(SEARCH(" "&amp;Task!$A$11&amp;" "," "&amp;LOWER(SUBSTITUTE(SUBSTITUTE(SUBSTITUTE(SUBSTITUTE(A295,"/"," "),"."," "),"\"," "),"_"," "))&amp;" ")),1,0))+IF(Task!$A$12="",0,IF(ISNUMBER(SEARCH(" "&amp;Task!$A$12&amp;" "," "&amp;LOWER(SUBSTITUTE(SUBSTITUTE(SUBSTITUTE(SUBSTITUTE(A295,"/"," "),"."," "),"\"," "),"_"," "))&amp;" ")),1,0))+IF(Task!$A$13="",0,IF(ISNUMBER(SEARCH(" "&amp;Task!$A$13&amp;" "," "&amp;LOWER(SUBSTITUTE(SUBSTITUTE(SUBSTITUTE(SUBSTITUTE(A295,"/"," "),"."," "),"\"," "),"_"," "))&amp;" ")),1,0))+IF(Task!$A$14="",0,IF(ISNUMBER(SEARCH(" "&amp;Task!$A$14&amp;" "," "&amp;LOWER(SUBSTITUTE(SUBSTITUTE(SUBSTITUTE(SUBSTITUTE(A295,"/"," "),"."," "),"\"," "),"_"," "))&amp;" ")),1,0))+IF(Task!$A$15="",0,IF(ISNUMBER(SEARCH(" "&amp;Task!$A$15&amp;" "," "&amp;LOWER(SUBSTITUTE(SUBSTITUTE(SUBSTITUTE(SUBSTITUTE(A295,"/"," "),"."," "),"\"," "),"_"," "))&amp;" ")),1,0))+IF(Task!$A$16="",0,IF(ISNUMBER(SEARCH(" "&amp;Task!$A$16&amp;" "," "&amp;LOWER(SUBSTITUTE(SUBSTITUTE(SUBSTITUTE(SUBSTITUTE(A295,"/"," "),"."," "),"\"," "),"_"," "))&amp;" ")),1,0))+IF(Task!$A$17="",0,IF(ISNUMBER(SEARCH(" "&amp;Task!$A$17&amp;" "," "&amp;LOWER(SUBSTITUTE(SUBSTITUTE(SUBSTITUTE(SUBSTITUTE(A295,"/"," "),"."," "),"\"," "),"_"," "))&amp;" ")),1,0))+IF(Task!$A$18="",0,IF(ISNUMBER(SEARCH(" "&amp;Task!$A$18&amp;" "," "&amp;LOWER(SUBSTITUTE(SUBSTITUTE(SUBSTITUTE(SUBSTITUTE(A295,"/"," "),"."," "),"\"," "),"_"," "))&amp;" ")),1,0))+IF(Task!$A$19="",0,IF(ISNUMBER(SEARCH(" "&amp;Task!$A$19&amp;" "," "&amp;LOWER(SUBSTITUTE(SUBSTITUTE(SUBSTITUTE(SUBSTITUTE(A295,"/"," "),"."," "),"\"," "),"_"," "))&amp;" ")),1,0)))</f>
        <v/>
      </c>
      <c r="I295" s="10">
        <f>IF(OR(E295=0,F295=0,Task!$B$21=0),"",F295/Task!$B$21+0.5*G295+0.25*H295)</f>
        <v/>
      </c>
      <c r="J295" s="5">
        <f>IF(I295="","",I295-ROW()/1000000)</f>
        <v/>
      </c>
      <c r="K295" s="9">
        <f>IF(J295="","",COUNTIF($J$5:$J$404,"&gt;"&amp;J295)+1)</f>
        <v/>
      </c>
    </row>
    <row r="296">
      <c r="A296" s="7" t="n"/>
      <c r="B296" s="7" t="n"/>
      <c r="C296" s="7" t="n"/>
      <c r="D296" s="7" t="n"/>
      <c r="E296" s="5">
        <f>IF(A296="",0,IF(COUNTA(Task!$B$5:$E$5)=0,1,IF(COUNTIF(Task!$B$5:$E$5,B296)&gt;0,1,0)))</f>
        <v/>
      </c>
      <c r="F296" s="9">
        <f>IF(E296=0,0,IF(Task!$A$8="",0,IF(ISNUMBER(SEARCH(" "&amp;Task!$A$8&amp;" "," "&amp;LOWER(D296&amp;" "&amp;C296&amp;" "&amp;LOWER(SUBSTITUTE(SUBSTITUTE(SUBSTITUTE(SUBSTITUTE(A296,"/"," "),"."," "),"\"," "),"_"," ")))&amp;" ")),1,0))+IF(Task!$A$9="",0,IF(ISNUMBER(SEARCH(" "&amp;Task!$A$9&amp;" "," "&amp;LOWER(D296&amp;" "&amp;C296&amp;" "&amp;LOWER(SUBSTITUTE(SUBSTITUTE(SUBSTITUTE(SUBSTITUTE(A296,"/"," "),"."," "),"\"," "),"_"," ")))&amp;" ")),1,0))+IF(Task!$A$10="",0,IF(ISNUMBER(SEARCH(" "&amp;Task!$A$10&amp;" "," "&amp;LOWER(D296&amp;" "&amp;C296&amp;" "&amp;LOWER(SUBSTITUTE(SUBSTITUTE(SUBSTITUTE(SUBSTITUTE(A296,"/"," "),"."," "),"\"," "),"_"," ")))&amp;" ")),1,0))+IF(Task!$A$11="",0,IF(ISNUMBER(SEARCH(" "&amp;Task!$A$11&amp;" "," "&amp;LOWER(D296&amp;" "&amp;C296&amp;" "&amp;LOWER(SUBSTITUTE(SUBSTITUTE(SUBSTITUTE(SUBSTITUTE(A296,"/"," "),"."," "),"\"," "),"_"," ")))&amp;" ")),1,0))+IF(Task!$A$12="",0,IF(ISNUMBER(SEARCH(" "&amp;Task!$A$12&amp;" "," "&amp;LOWER(D296&amp;" "&amp;C296&amp;" "&amp;LOWER(SUBSTITUTE(SUBSTITUTE(SUBSTITUTE(SUBSTITUTE(A296,"/"," "),"."," "),"\"," "),"_"," ")))&amp;" ")),1,0))+IF(Task!$A$13="",0,IF(ISNUMBER(SEARCH(" "&amp;Task!$A$13&amp;" "," "&amp;LOWER(D296&amp;" "&amp;C296&amp;" "&amp;LOWER(SUBSTITUTE(SUBSTITUTE(SUBSTITUTE(SUBSTITUTE(A296,"/"," "),"."," "),"\"," "),"_"," ")))&amp;" ")),1,0))+IF(Task!$A$14="",0,IF(ISNUMBER(SEARCH(" "&amp;Task!$A$14&amp;" "," "&amp;LOWER(D296&amp;" "&amp;C296&amp;" "&amp;LOWER(SUBSTITUTE(SUBSTITUTE(SUBSTITUTE(SUBSTITUTE(A296,"/"," "),"."," "),"\"," "),"_"," ")))&amp;" ")),1,0))+IF(Task!$A$15="",0,IF(ISNUMBER(SEARCH(" "&amp;Task!$A$15&amp;" "," "&amp;LOWER(D296&amp;" "&amp;C296&amp;" "&amp;LOWER(SUBSTITUTE(SUBSTITUTE(SUBSTITUTE(SUBSTITUTE(A296,"/"," "),"."," "),"\"," "),"_"," ")))&amp;" ")),1,0))+IF(Task!$A$16="",0,IF(ISNUMBER(SEARCH(" "&amp;Task!$A$16&amp;" "," "&amp;LOWER(D296&amp;" "&amp;C296&amp;" "&amp;LOWER(SUBSTITUTE(SUBSTITUTE(SUBSTITUTE(SUBSTITUTE(A296,"/"," "),"."," "),"\"," "),"_"," ")))&amp;" ")),1,0))+IF(Task!$A$17="",0,IF(ISNUMBER(SEARCH(" "&amp;Task!$A$17&amp;" "," "&amp;LOWER(D296&amp;" "&amp;C296&amp;" "&amp;LOWER(SUBSTITUTE(SUBSTITUTE(SUBSTITUTE(SUBSTITUTE(A296,"/"," "),"."," "),"\"," "),"_"," ")))&amp;" ")),1,0))+IF(Task!$A$18="",0,IF(ISNUMBER(SEARCH(" "&amp;Task!$A$18&amp;" "," "&amp;LOWER(D296&amp;" "&amp;C296&amp;" "&amp;LOWER(SUBSTITUTE(SUBSTITUTE(SUBSTITUTE(SUBSTITUTE(A296,"/"," "),"."," "),"\"," "),"_"," ")))&amp;" ")),1,0))+IF(Task!$A$19="",0,IF(ISNUMBER(SEARCH(" "&amp;Task!$A$19&amp;" "," "&amp;LOWER(D296&amp;" "&amp;C296&amp;" "&amp;LOWER(SUBSTITUTE(SUBSTITUTE(SUBSTITUTE(SUBSTITUTE(A296,"/"," "),"."," "),"\"," "),"_"," ")))&amp;" ")),1,0)))</f>
        <v/>
      </c>
      <c r="G296" s="9">
        <f>IF(E296=0,0,IF(Task!$A$8="",0,IF(ISNUMBER(SEARCH(" "&amp;Task!$A$8&amp;" "," "&amp;LOWER(C296)&amp;" ")),1,0))+IF(Task!$A$9="",0,IF(ISNUMBER(SEARCH(" "&amp;Task!$A$9&amp;" "," "&amp;LOWER(C296)&amp;" ")),1,0))+IF(Task!$A$10="",0,IF(ISNUMBER(SEARCH(" "&amp;Task!$A$10&amp;" "," "&amp;LOWER(C296)&amp;" ")),1,0))+IF(Task!$A$11="",0,IF(ISNUMBER(SEARCH(" "&amp;Task!$A$11&amp;" "," "&amp;LOWER(C296)&amp;" ")),1,0))+IF(Task!$A$12="",0,IF(ISNUMBER(SEARCH(" "&amp;Task!$A$12&amp;" "," "&amp;LOWER(C296)&amp;" ")),1,0))+IF(Task!$A$13="",0,IF(ISNUMBER(SEARCH(" "&amp;Task!$A$13&amp;" "," "&amp;LOWER(C296)&amp;" ")),1,0))+IF(Task!$A$14="",0,IF(ISNUMBER(SEARCH(" "&amp;Task!$A$14&amp;" "," "&amp;LOWER(C296)&amp;" ")),1,0))+IF(Task!$A$15="",0,IF(ISNUMBER(SEARCH(" "&amp;Task!$A$15&amp;" "," "&amp;LOWER(C296)&amp;" ")),1,0))+IF(Task!$A$16="",0,IF(ISNUMBER(SEARCH(" "&amp;Task!$A$16&amp;" "," "&amp;LOWER(C296)&amp;" ")),1,0))+IF(Task!$A$17="",0,IF(ISNUMBER(SEARCH(" "&amp;Task!$A$17&amp;" "," "&amp;LOWER(C296)&amp;" ")),1,0))+IF(Task!$A$18="",0,IF(ISNUMBER(SEARCH(" "&amp;Task!$A$18&amp;" "," "&amp;LOWER(C296)&amp;" ")),1,0))+IF(Task!$A$19="",0,IF(ISNUMBER(SEARCH(" "&amp;Task!$A$19&amp;" "," "&amp;LOWER(C296)&amp;" ")),1,0)))</f>
        <v/>
      </c>
      <c r="H296" s="9">
        <f>IF(E296=0,0,IF(Task!$A$8="",0,IF(ISNUMBER(SEARCH(" "&amp;Task!$A$8&amp;" "," "&amp;LOWER(SUBSTITUTE(SUBSTITUTE(SUBSTITUTE(SUBSTITUTE(A296,"/"," "),"."," "),"\"," "),"_"," "))&amp;" ")),1,0))+IF(Task!$A$9="",0,IF(ISNUMBER(SEARCH(" "&amp;Task!$A$9&amp;" "," "&amp;LOWER(SUBSTITUTE(SUBSTITUTE(SUBSTITUTE(SUBSTITUTE(A296,"/"," "),"."," "),"\"," "),"_"," "))&amp;" ")),1,0))+IF(Task!$A$10="",0,IF(ISNUMBER(SEARCH(" "&amp;Task!$A$10&amp;" "," "&amp;LOWER(SUBSTITUTE(SUBSTITUTE(SUBSTITUTE(SUBSTITUTE(A296,"/"," "),"."," "),"\"," "),"_"," "))&amp;" ")),1,0))+IF(Task!$A$11="",0,IF(ISNUMBER(SEARCH(" "&amp;Task!$A$11&amp;" "," "&amp;LOWER(SUBSTITUTE(SUBSTITUTE(SUBSTITUTE(SUBSTITUTE(A296,"/"," "),"."," "),"\"," "),"_"," "))&amp;" ")),1,0))+IF(Task!$A$12="",0,IF(ISNUMBER(SEARCH(" "&amp;Task!$A$12&amp;" "," "&amp;LOWER(SUBSTITUTE(SUBSTITUTE(SUBSTITUTE(SUBSTITUTE(A296,"/"," "),"."," "),"\"," "),"_"," "))&amp;" ")),1,0))+IF(Task!$A$13="",0,IF(ISNUMBER(SEARCH(" "&amp;Task!$A$13&amp;" "," "&amp;LOWER(SUBSTITUTE(SUBSTITUTE(SUBSTITUTE(SUBSTITUTE(A296,"/"," "),"."," "),"\"," "),"_"," "))&amp;" ")),1,0))+IF(Task!$A$14="",0,IF(ISNUMBER(SEARCH(" "&amp;Task!$A$14&amp;" "," "&amp;LOWER(SUBSTITUTE(SUBSTITUTE(SUBSTITUTE(SUBSTITUTE(A296,"/"," "),"."," "),"\"," "),"_"," "))&amp;" ")),1,0))+IF(Task!$A$15="",0,IF(ISNUMBER(SEARCH(" "&amp;Task!$A$15&amp;" "," "&amp;LOWER(SUBSTITUTE(SUBSTITUTE(SUBSTITUTE(SUBSTITUTE(A296,"/"," "),"."," "),"\"," "),"_"," "))&amp;" ")),1,0))+IF(Task!$A$16="",0,IF(ISNUMBER(SEARCH(" "&amp;Task!$A$16&amp;" "," "&amp;LOWER(SUBSTITUTE(SUBSTITUTE(SUBSTITUTE(SUBSTITUTE(A296,"/"," "),"."," "),"\"," "),"_"," "))&amp;" ")),1,0))+IF(Task!$A$17="",0,IF(ISNUMBER(SEARCH(" "&amp;Task!$A$17&amp;" "," "&amp;LOWER(SUBSTITUTE(SUBSTITUTE(SUBSTITUTE(SUBSTITUTE(A296,"/"," "),"."," "),"\"," "),"_"," "))&amp;" ")),1,0))+IF(Task!$A$18="",0,IF(ISNUMBER(SEARCH(" "&amp;Task!$A$18&amp;" "," "&amp;LOWER(SUBSTITUTE(SUBSTITUTE(SUBSTITUTE(SUBSTITUTE(A296,"/"," "),"."," "),"\"," "),"_"," "))&amp;" ")),1,0))+IF(Task!$A$19="",0,IF(ISNUMBER(SEARCH(" "&amp;Task!$A$19&amp;" "," "&amp;LOWER(SUBSTITUTE(SUBSTITUTE(SUBSTITUTE(SUBSTITUTE(A296,"/"," "),"."," "),"\"," "),"_"," "))&amp;" ")),1,0)))</f>
        <v/>
      </c>
      <c r="I296" s="10">
        <f>IF(OR(E296=0,F296=0,Task!$B$21=0),"",F296/Task!$B$21+0.5*G296+0.25*H296)</f>
        <v/>
      </c>
      <c r="J296" s="5">
        <f>IF(I296="","",I296-ROW()/1000000)</f>
        <v/>
      </c>
      <c r="K296" s="9">
        <f>IF(J296="","",COUNTIF($J$5:$J$404,"&gt;"&amp;J296)+1)</f>
        <v/>
      </c>
    </row>
    <row r="297">
      <c r="A297" s="7" t="n"/>
      <c r="B297" s="7" t="n"/>
      <c r="C297" s="7" t="n"/>
      <c r="D297" s="7" t="n"/>
      <c r="E297" s="5">
        <f>IF(A297="",0,IF(COUNTA(Task!$B$5:$E$5)=0,1,IF(COUNTIF(Task!$B$5:$E$5,B297)&gt;0,1,0)))</f>
        <v/>
      </c>
      <c r="F297" s="9">
        <f>IF(E297=0,0,IF(Task!$A$8="",0,IF(ISNUMBER(SEARCH(" "&amp;Task!$A$8&amp;" "," "&amp;LOWER(D297&amp;" "&amp;C297&amp;" "&amp;LOWER(SUBSTITUTE(SUBSTITUTE(SUBSTITUTE(SUBSTITUTE(A297,"/"," "),"."," "),"\"," "),"_"," ")))&amp;" ")),1,0))+IF(Task!$A$9="",0,IF(ISNUMBER(SEARCH(" "&amp;Task!$A$9&amp;" "," "&amp;LOWER(D297&amp;" "&amp;C297&amp;" "&amp;LOWER(SUBSTITUTE(SUBSTITUTE(SUBSTITUTE(SUBSTITUTE(A297,"/"," "),"."," "),"\"," "),"_"," ")))&amp;" ")),1,0))+IF(Task!$A$10="",0,IF(ISNUMBER(SEARCH(" "&amp;Task!$A$10&amp;" "," "&amp;LOWER(D297&amp;" "&amp;C297&amp;" "&amp;LOWER(SUBSTITUTE(SUBSTITUTE(SUBSTITUTE(SUBSTITUTE(A297,"/"," "),"."," "),"\"," "),"_"," ")))&amp;" ")),1,0))+IF(Task!$A$11="",0,IF(ISNUMBER(SEARCH(" "&amp;Task!$A$11&amp;" "," "&amp;LOWER(D297&amp;" "&amp;C297&amp;" "&amp;LOWER(SUBSTITUTE(SUBSTITUTE(SUBSTITUTE(SUBSTITUTE(A297,"/"," "),"."," "),"\"," "),"_"," ")))&amp;" ")),1,0))+IF(Task!$A$12="",0,IF(ISNUMBER(SEARCH(" "&amp;Task!$A$12&amp;" "," "&amp;LOWER(D297&amp;" "&amp;C297&amp;" "&amp;LOWER(SUBSTITUTE(SUBSTITUTE(SUBSTITUTE(SUBSTITUTE(A297,"/"," "),"."," "),"\"," "),"_"," ")))&amp;" ")),1,0))+IF(Task!$A$13="",0,IF(ISNUMBER(SEARCH(" "&amp;Task!$A$13&amp;" "," "&amp;LOWER(D297&amp;" "&amp;C297&amp;" "&amp;LOWER(SUBSTITUTE(SUBSTITUTE(SUBSTITUTE(SUBSTITUTE(A297,"/"," "),"."," "),"\"," "),"_"," ")))&amp;" ")),1,0))+IF(Task!$A$14="",0,IF(ISNUMBER(SEARCH(" "&amp;Task!$A$14&amp;" "," "&amp;LOWER(D297&amp;" "&amp;C297&amp;" "&amp;LOWER(SUBSTITUTE(SUBSTITUTE(SUBSTITUTE(SUBSTITUTE(A297,"/"," "),"."," "),"\"," "),"_"," ")))&amp;" ")),1,0))+IF(Task!$A$15="",0,IF(ISNUMBER(SEARCH(" "&amp;Task!$A$15&amp;" "," "&amp;LOWER(D297&amp;" "&amp;C297&amp;" "&amp;LOWER(SUBSTITUTE(SUBSTITUTE(SUBSTITUTE(SUBSTITUTE(A297,"/"," "),"."," "),"\"," "),"_"," ")))&amp;" ")),1,0))+IF(Task!$A$16="",0,IF(ISNUMBER(SEARCH(" "&amp;Task!$A$16&amp;" "," "&amp;LOWER(D297&amp;" "&amp;C297&amp;" "&amp;LOWER(SUBSTITUTE(SUBSTITUTE(SUBSTITUTE(SUBSTITUTE(A297,"/"," "),"."," "),"\"," "),"_"," ")))&amp;" ")),1,0))+IF(Task!$A$17="",0,IF(ISNUMBER(SEARCH(" "&amp;Task!$A$17&amp;" "," "&amp;LOWER(D297&amp;" "&amp;C297&amp;" "&amp;LOWER(SUBSTITUTE(SUBSTITUTE(SUBSTITUTE(SUBSTITUTE(A297,"/"," "),"."," "),"\"," "),"_"," ")))&amp;" ")),1,0))+IF(Task!$A$18="",0,IF(ISNUMBER(SEARCH(" "&amp;Task!$A$18&amp;" "," "&amp;LOWER(D297&amp;" "&amp;C297&amp;" "&amp;LOWER(SUBSTITUTE(SUBSTITUTE(SUBSTITUTE(SUBSTITUTE(A297,"/"," "),"."," "),"\"," "),"_"," ")))&amp;" ")),1,0))+IF(Task!$A$19="",0,IF(ISNUMBER(SEARCH(" "&amp;Task!$A$19&amp;" "," "&amp;LOWER(D297&amp;" "&amp;C297&amp;" "&amp;LOWER(SUBSTITUTE(SUBSTITUTE(SUBSTITUTE(SUBSTITUTE(A297,"/"," "),"."," "),"\"," "),"_"," ")))&amp;" ")),1,0)))</f>
        <v/>
      </c>
      <c r="G297" s="9">
        <f>IF(E297=0,0,IF(Task!$A$8="",0,IF(ISNUMBER(SEARCH(" "&amp;Task!$A$8&amp;" "," "&amp;LOWER(C297)&amp;" ")),1,0))+IF(Task!$A$9="",0,IF(ISNUMBER(SEARCH(" "&amp;Task!$A$9&amp;" "," "&amp;LOWER(C297)&amp;" ")),1,0))+IF(Task!$A$10="",0,IF(ISNUMBER(SEARCH(" "&amp;Task!$A$10&amp;" "," "&amp;LOWER(C297)&amp;" ")),1,0))+IF(Task!$A$11="",0,IF(ISNUMBER(SEARCH(" "&amp;Task!$A$11&amp;" "," "&amp;LOWER(C297)&amp;" ")),1,0))+IF(Task!$A$12="",0,IF(ISNUMBER(SEARCH(" "&amp;Task!$A$12&amp;" "," "&amp;LOWER(C297)&amp;" ")),1,0))+IF(Task!$A$13="",0,IF(ISNUMBER(SEARCH(" "&amp;Task!$A$13&amp;" "," "&amp;LOWER(C297)&amp;" ")),1,0))+IF(Task!$A$14="",0,IF(ISNUMBER(SEARCH(" "&amp;Task!$A$14&amp;" "," "&amp;LOWER(C297)&amp;" ")),1,0))+IF(Task!$A$15="",0,IF(ISNUMBER(SEARCH(" "&amp;Task!$A$15&amp;" "," "&amp;LOWER(C297)&amp;" ")),1,0))+IF(Task!$A$16="",0,IF(ISNUMBER(SEARCH(" "&amp;Task!$A$16&amp;" "," "&amp;LOWER(C297)&amp;" ")),1,0))+IF(Task!$A$17="",0,IF(ISNUMBER(SEARCH(" "&amp;Task!$A$17&amp;" "," "&amp;LOWER(C297)&amp;" ")),1,0))+IF(Task!$A$18="",0,IF(ISNUMBER(SEARCH(" "&amp;Task!$A$18&amp;" "," "&amp;LOWER(C297)&amp;" ")),1,0))+IF(Task!$A$19="",0,IF(ISNUMBER(SEARCH(" "&amp;Task!$A$19&amp;" "," "&amp;LOWER(C297)&amp;" ")),1,0)))</f>
        <v/>
      </c>
      <c r="H297" s="9">
        <f>IF(E297=0,0,IF(Task!$A$8="",0,IF(ISNUMBER(SEARCH(" "&amp;Task!$A$8&amp;" "," "&amp;LOWER(SUBSTITUTE(SUBSTITUTE(SUBSTITUTE(SUBSTITUTE(A297,"/"," "),"."," "),"\"," "),"_"," "))&amp;" ")),1,0))+IF(Task!$A$9="",0,IF(ISNUMBER(SEARCH(" "&amp;Task!$A$9&amp;" "," "&amp;LOWER(SUBSTITUTE(SUBSTITUTE(SUBSTITUTE(SUBSTITUTE(A297,"/"," "),"."," "),"\"," "),"_"," "))&amp;" ")),1,0))+IF(Task!$A$10="",0,IF(ISNUMBER(SEARCH(" "&amp;Task!$A$10&amp;" "," "&amp;LOWER(SUBSTITUTE(SUBSTITUTE(SUBSTITUTE(SUBSTITUTE(A297,"/"," "),"."," "),"\"," "),"_"," "))&amp;" ")),1,0))+IF(Task!$A$11="",0,IF(ISNUMBER(SEARCH(" "&amp;Task!$A$11&amp;" "," "&amp;LOWER(SUBSTITUTE(SUBSTITUTE(SUBSTITUTE(SUBSTITUTE(A297,"/"," "),"."," "),"\"," "),"_"," "))&amp;" ")),1,0))+IF(Task!$A$12="",0,IF(ISNUMBER(SEARCH(" "&amp;Task!$A$12&amp;" "," "&amp;LOWER(SUBSTITUTE(SUBSTITUTE(SUBSTITUTE(SUBSTITUTE(A297,"/"," "),"."," "),"\"," "),"_"," "))&amp;" ")),1,0))+IF(Task!$A$13="",0,IF(ISNUMBER(SEARCH(" "&amp;Task!$A$13&amp;" "," "&amp;LOWER(SUBSTITUTE(SUBSTITUTE(SUBSTITUTE(SUBSTITUTE(A297,"/"," "),"."," "),"\"," "),"_"," "))&amp;" ")),1,0))+IF(Task!$A$14="",0,IF(ISNUMBER(SEARCH(" "&amp;Task!$A$14&amp;" "," "&amp;LOWER(SUBSTITUTE(SUBSTITUTE(SUBSTITUTE(SUBSTITUTE(A297,"/"," "),"."," "),"\"," "),"_"," "))&amp;" ")),1,0))+IF(Task!$A$15="",0,IF(ISNUMBER(SEARCH(" "&amp;Task!$A$15&amp;" "," "&amp;LOWER(SUBSTITUTE(SUBSTITUTE(SUBSTITUTE(SUBSTITUTE(A297,"/"," "),"."," "),"\"," "),"_"," "))&amp;" ")),1,0))+IF(Task!$A$16="",0,IF(ISNUMBER(SEARCH(" "&amp;Task!$A$16&amp;" "," "&amp;LOWER(SUBSTITUTE(SUBSTITUTE(SUBSTITUTE(SUBSTITUTE(A297,"/"," "),"."," "),"\"," "),"_"," "))&amp;" ")),1,0))+IF(Task!$A$17="",0,IF(ISNUMBER(SEARCH(" "&amp;Task!$A$17&amp;" "," "&amp;LOWER(SUBSTITUTE(SUBSTITUTE(SUBSTITUTE(SUBSTITUTE(A297,"/"," "),"."," "),"\"," "),"_"," "))&amp;" ")),1,0))+IF(Task!$A$18="",0,IF(ISNUMBER(SEARCH(" "&amp;Task!$A$18&amp;" "," "&amp;LOWER(SUBSTITUTE(SUBSTITUTE(SUBSTITUTE(SUBSTITUTE(A297,"/"," "),"."," "),"\"," "),"_"," "))&amp;" ")),1,0))+IF(Task!$A$19="",0,IF(ISNUMBER(SEARCH(" "&amp;Task!$A$19&amp;" "," "&amp;LOWER(SUBSTITUTE(SUBSTITUTE(SUBSTITUTE(SUBSTITUTE(A297,"/"," "),"."," "),"\"," "),"_"," "))&amp;" ")),1,0)))</f>
        <v/>
      </c>
      <c r="I297" s="10">
        <f>IF(OR(E297=0,F297=0,Task!$B$21=0),"",F297/Task!$B$21+0.5*G297+0.25*H297)</f>
        <v/>
      </c>
      <c r="J297" s="5">
        <f>IF(I297="","",I297-ROW()/1000000)</f>
        <v/>
      </c>
      <c r="K297" s="9">
        <f>IF(J297="","",COUNTIF($J$5:$J$404,"&gt;"&amp;J297)+1)</f>
        <v/>
      </c>
    </row>
    <row r="298">
      <c r="A298" s="7" t="n"/>
      <c r="B298" s="7" t="n"/>
      <c r="C298" s="7" t="n"/>
      <c r="D298" s="7" t="n"/>
      <c r="E298" s="5">
        <f>IF(A298="",0,IF(COUNTA(Task!$B$5:$E$5)=0,1,IF(COUNTIF(Task!$B$5:$E$5,B298)&gt;0,1,0)))</f>
        <v/>
      </c>
      <c r="F298" s="9">
        <f>IF(E298=0,0,IF(Task!$A$8="",0,IF(ISNUMBER(SEARCH(" "&amp;Task!$A$8&amp;" "," "&amp;LOWER(D298&amp;" "&amp;C298&amp;" "&amp;LOWER(SUBSTITUTE(SUBSTITUTE(SUBSTITUTE(SUBSTITUTE(A298,"/"," "),"."," "),"\"," "),"_"," ")))&amp;" ")),1,0))+IF(Task!$A$9="",0,IF(ISNUMBER(SEARCH(" "&amp;Task!$A$9&amp;" "," "&amp;LOWER(D298&amp;" "&amp;C298&amp;" "&amp;LOWER(SUBSTITUTE(SUBSTITUTE(SUBSTITUTE(SUBSTITUTE(A298,"/"," "),"."," "),"\"," "),"_"," ")))&amp;" ")),1,0))+IF(Task!$A$10="",0,IF(ISNUMBER(SEARCH(" "&amp;Task!$A$10&amp;" "," "&amp;LOWER(D298&amp;" "&amp;C298&amp;" "&amp;LOWER(SUBSTITUTE(SUBSTITUTE(SUBSTITUTE(SUBSTITUTE(A298,"/"," "),"."," "),"\"," "),"_"," ")))&amp;" ")),1,0))+IF(Task!$A$11="",0,IF(ISNUMBER(SEARCH(" "&amp;Task!$A$11&amp;" "," "&amp;LOWER(D298&amp;" "&amp;C298&amp;" "&amp;LOWER(SUBSTITUTE(SUBSTITUTE(SUBSTITUTE(SUBSTITUTE(A298,"/"," "),"."," "),"\"," "),"_"," ")))&amp;" ")),1,0))+IF(Task!$A$12="",0,IF(ISNUMBER(SEARCH(" "&amp;Task!$A$12&amp;" "," "&amp;LOWER(D298&amp;" "&amp;C298&amp;" "&amp;LOWER(SUBSTITUTE(SUBSTITUTE(SUBSTITUTE(SUBSTITUTE(A298,"/"," "),"."," "),"\"," "),"_"," ")))&amp;" ")),1,0))+IF(Task!$A$13="",0,IF(ISNUMBER(SEARCH(" "&amp;Task!$A$13&amp;" "," "&amp;LOWER(D298&amp;" "&amp;C298&amp;" "&amp;LOWER(SUBSTITUTE(SUBSTITUTE(SUBSTITUTE(SUBSTITUTE(A298,"/"," "),"."," "),"\"," "),"_"," ")))&amp;" ")),1,0))+IF(Task!$A$14="",0,IF(ISNUMBER(SEARCH(" "&amp;Task!$A$14&amp;" "," "&amp;LOWER(D298&amp;" "&amp;C298&amp;" "&amp;LOWER(SUBSTITUTE(SUBSTITUTE(SUBSTITUTE(SUBSTITUTE(A298,"/"," "),"."," "),"\"," "),"_"," ")))&amp;" ")),1,0))+IF(Task!$A$15="",0,IF(ISNUMBER(SEARCH(" "&amp;Task!$A$15&amp;" "," "&amp;LOWER(D298&amp;" "&amp;C298&amp;" "&amp;LOWER(SUBSTITUTE(SUBSTITUTE(SUBSTITUTE(SUBSTITUTE(A298,"/"," "),"."," "),"\"," "),"_"," ")))&amp;" ")),1,0))+IF(Task!$A$16="",0,IF(ISNUMBER(SEARCH(" "&amp;Task!$A$16&amp;" "," "&amp;LOWER(D298&amp;" "&amp;C298&amp;" "&amp;LOWER(SUBSTITUTE(SUBSTITUTE(SUBSTITUTE(SUBSTITUTE(A298,"/"," "),"."," "),"\"," "),"_"," ")))&amp;" ")),1,0))+IF(Task!$A$17="",0,IF(ISNUMBER(SEARCH(" "&amp;Task!$A$17&amp;" "," "&amp;LOWER(D298&amp;" "&amp;C298&amp;" "&amp;LOWER(SUBSTITUTE(SUBSTITUTE(SUBSTITUTE(SUBSTITUTE(A298,"/"," "),"."," "),"\"," "),"_"," ")))&amp;" ")),1,0))+IF(Task!$A$18="",0,IF(ISNUMBER(SEARCH(" "&amp;Task!$A$18&amp;" "," "&amp;LOWER(D298&amp;" "&amp;C298&amp;" "&amp;LOWER(SUBSTITUTE(SUBSTITUTE(SUBSTITUTE(SUBSTITUTE(A298,"/"," "),"."," "),"\"," "),"_"," ")))&amp;" ")),1,0))+IF(Task!$A$19="",0,IF(ISNUMBER(SEARCH(" "&amp;Task!$A$19&amp;" "," "&amp;LOWER(D298&amp;" "&amp;C298&amp;" "&amp;LOWER(SUBSTITUTE(SUBSTITUTE(SUBSTITUTE(SUBSTITUTE(A298,"/"," "),"."," "),"\"," "),"_"," ")))&amp;" ")),1,0)))</f>
        <v/>
      </c>
      <c r="G298" s="9">
        <f>IF(E298=0,0,IF(Task!$A$8="",0,IF(ISNUMBER(SEARCH(" "&amp;Task!$A$8&amp;" "," "&amp;LOWER(C298)&amp;" ")),1,0))+IF(Task!$A$9="",0,IF(ISNUMBER(SEARCH(" "&amp;Task!$A$9&amp;" "," "&amp;LOWER(C298)&amp;" ")),1,0))+IF(Task!$A$10="",0,IF(ISNUMBER(SEARCH(" "&amp;Task!$A$10&amp;" "," "&amp;LOWER(C298)&amp;" ")),1,0))+IF(Task!$A$11="",0,IF(ISNUMBER(SEARCH(" "&amp;Task!$A$11&amp;" "," "&amp;LOWER(C298)&amp;" ")),1,0))+IF(Task!$A$12="",0,IF(ISNUMBER(SEARCH(" "&amp;Task!$A$12&amp;" "," "&amp;LOWER(C298)&amp;" ")),1,0))+IF(Task!$A$13="",0,IF(ISNUMBER(SEARCH(" "&amp;Task!$A$13&amp;" "," "&amp;LOWER(C298)&amp;" ")),1,0))+IF(Task!$A$14="",0,IF(ISNUMBER(SEARCH(" "&amp;Task!$A$14&amp;" "," "&amp;LOWER(C298)&amp;" ")),1,0))+IF(Task!$A$15="",0,IF(ISNUMBER(SEARCH(" "&amp;Task!$A$15&amp;" "," "&amp;LOWER(C298)&amp;" ")),1,0))+IF(Task!$A$16="",0,IF(ISNUMBER(SEARCH(" "&amp;Task!$A$16&amp;" "," "&amp;LOWER(C298)&amp;" ")),1,0))+IF(Task!$A$17="",0,IF(ISNUMBER(SEARCH(" "&amp;Task!$A$17&amp;" "," "&amp;LOWER(C298)&amp;" ")),1,0))+IF(Task!$A$18="",0,IF(ISNUMBER(SEARCH(" "&amp;Task!$A$18&amp;" "," "&amp;LOWER(C298)&amp;" ")),1,0))+IF(Task!$A$19="",0,IF(ISNUMBER(SEARCH(" "&amp;Task!$A$19&amp;" "," "&amp;LOWER(C298)&amp;" ")),1,0)))</f>
        <v/>
      </c>
      <c r="H298" s="9">
        <f>IF(E298=0,0,IF(Task!$A$8="",0,IF(ISNUMBER(SEARCH(" "&amp;Task!$A$8&amp;" "," "&amp;LOWER(SUBSTITUTE(SUBSTITUTE(SUBSTITUTE(SUBSTITUTE(A298,"/"," "),"."," "),"\"," "),"_"," "))&amp;" ")),1,0))+IF(Task!$A$9="",0,IF(ISNUMBER(SEARCH(" "&amp;Task!$A$9&amp;" "," "&amp;LOWER(SUBSTITUTE(SUBSTITUTE(SUBSTITUTE(SUBSTITUTE(A298,"/"," "),"."," "),"\"," "),"_"," "))&amp;" ")),1,0))+IF(Task!$A$10="",0,IF(ISNUMBER(SEARCH(" "&amp;Task!$A$10&amp;" "," "&amp;LOWER(SUBSTITUTE(SUBSTITUTE(SUBSTITUTE(SUBSTITUTE(A298,"/"," "),"."," "),"\"," "),"_"," "))&amp;" ")),1,0))+IF(Task!$A$11="",0,IF(ISNUMBER(SEARCH(" "&amp;Task!$A$11&amp;" "," "&amp;LOWER(SUBSTITUTE(SUBSTITUTE(SUBSTITUTE(SUBSTITUTE(A298,"/"," "),"."," "),"\"," "),"_"," "))&amp;" ")),1,0))+IF(Task!$A$12="",0,IF(ISNUMBER(SEARCH(" "&amp;Task!$A$12&amp;" "," "&amp;LOWER(SUBSTITUTE(SUBSTITUTE(SUBSTITUTE(SUBSTITUTE(A298,"/"," "),"."," "),"\"," "),"_"," "))&amp;" ")),1,0))+IF(Task!$A$13="",0,IF(ISNUMBER(SEARCH(" "&amp;Task!$A$13&amp;" "," "&amp;LOWER(SUBSTITUTE(SUBSTITUTE(SUBSTITUTE(SUBSTITUTE(A298,"/"," "),"."," "),"\"," "),"_"," "))&amp;" ")),1,0))+IF(Task!$A$14="",0,IF(ISNUMBER(SEARCH(" "&amp;Task!$A$14&amp;" "," "&amp;LOWER(SUBSTITUTE(SUBSTITUTE(SUBSTITUTE(SUBSTITUTE(A298,"/"," "),"."," "),"\"," "),"_"," "))&amp;" ")),1,0))+IF(Task!$A$15="",0,IF(ISNUMBER(SEARCH(" "&amp;Task!$A$15&amp;" "," "&amp;LOWER(SUBSTITUTE(SUBSTITUTE(SUBSTITUTE(SUBSTITUTE(A298,"/"," "),"."," "),"\"," "),"_"," "))&amp;" ")),1,0))+IF(Task!$A$16="",0,IF(ISNUMBER(SEARCH(" "&amp;Task!$A$16&amp;" "," "&amp;LOWER(SUBSTITUTE(SUBSTITUTE(SUBSTITUTE(SUBSTITUTE(A298,"/"," "),"."," "),"\"," "),"_"," "))&amp;" ")),1,0))+IF(Task!$A$17="",0,IF(ISNUMBER(SEARCH(" "&amp;Task!$A$17&amp;" "," "&amp;LOWER(SUBSTITUTE(SUBSTITUTE(SUBSTITUTE(SUBSTITUTE(A298,"/"," "),"."," "),"\"," "),"_"," "))&amp;" ")),1,0))+IF(Task!$A$18="",0,IF(ISNUMBER(SEARCH(" "&amp;Task!$A$18&amp;" "," "&amp;LOWER(SUBSTITUTE(SUBSTITUTE(SUBSTITUTE(SUBSTITUTE(A298,"/"," "),"."," "),"\"," "),"_"," "))&amp;" ")),1,0))+IF(Task!$A$19="",0,IF(ISNUMBER(SEARCH(" "&amp;Task!$A$19&amp;" "," "&amp;LOWER(SUBSTITUTE(SUBSTITUTE(SUBSTITUTE(SUBSTITUTE(A298,"/"," "),"."," "),"\"," "),"_"," "))&amp;" ")),1,0)))</f>
        <v/>
      </c>
      <c r="I298" s="10">
        <f>IF(OR(E298=0,F298=0,Task!$B$21=0),"",F298/Task!$B$21+0.5*G298+0.25*H298)</f>
        <v/>
      </c>
      <c r="J298" s="5">
        <f>IF(I298="","",I298-ROW()/1000000)</f>
        <v/>
      </c>
      <c r="K298" s="9">
        <f>IF(J298="","",COUNTIF($J$5:$J$404,"&gt;"&amp;J298)+1)</f>
        <v/>
      </c>
    </row>
    <row r="299">
      <c r="A299" s="7" t="n"/>
      <c r="B299" s="7" t="n"/>
      <c r="C299" s="7" t="n"/>
      <c r="D299" s="7" t="n"/>
      <c r="E299" s="5">
        <f>IF(A299="",0,IF(COUNTA(Task!$B$5:$E$5)=0,1,IF(COUNTIF(Task!$B$5:$E$5,B299)&gt;0,1,0)))</f>
        <v/>
      </c>
      <c r="F299" s="9">
        <f>IF(E299=0,0,IF(Task!$A$8="",0,IF(ISNUMBER(SEARCH(" "&amp;Task!$A$8&amp;" "," "&amp;LOWER(D299&amp;" "&amp;C299&amp;" "&amp;LOWER(SUBSTITUTE(SUBSTITUTE(SUBSTITUTE(SUBSTITUTE(A299,"/"," "),"."," "),"\"," "),"_"," ")))&amp;" ")),1,0))+IF(Task!$A$9="",0,IF(ISNUMBER(SEARCH(" "&amp;Task!$A$9&amp;" "," "&amp;LOWER(D299&amp;" "&amp;C299&amp;" "&amp;LOWER(SUBSTITUTE(SUBSTITUTE(SUBSTITUTE(SUBSTITUTE(A299,"/"," "),"."," "),"\"," "),"_"," ")))&amp;" ")),1,0))+IF(Task!$A$10="",0,IF(ISNUMBER(SEARCH(" "&amp;Task!$A$10&amp;" "," "&amp;LOWER(D299&amp;" "&amp;C299&amp;" "&amp;LOWER(SUBSTITUTE(SUBSTITUTE(SUBSTITUTE(SUBSTITUTE(A299,"/"," "),"."," "),"\"," "),"_"," ")))&amp;" ")),1,0))+IF(Task!$A$11="",0,IF(ISNUMBER(SEARCH(" "&amp;Task!$A$11&amp;" "," "&amp;LOWER(D299&amp;" "&amp;C299&amp;" "&amp;LOWER(SUBSTITUTE(SUBSTITUTE(SUBSTITUTE(SUBSTITUTE(A299,"/"," "),"."," "),"\"," "),"_"," ")))&amp;" ")),1,0))+IF(Task!$A$12="",0,IF(ISNUMBER(SEARCH(" "&amp;Task!$A$12&amp;" "," "&amp;LOWER(D299&amp;" "&amp;C299&amp;" "&amp;LOWER(SUBSTITUTE(SUBSTITUTE(SUBSTITUTE(SUBSTITUTE(A299,"/"," "),"."," "),"\"," "),"_"," ")))&amp;" ")),1,0))+IF(Task!$A$13="",0,IF(ISNUMBER(SEARCH(" "&amp;Task!$A$13&amp;" "," "&amp;LOWER(D299&amp;" "&amp;C299&amp;" "&amp;LOWER(SUBSTITUTE(SUBSTITUTE(SUBSTITUTE(SUBSTITUTE(A299,"/"," "),"."," "),"\"," "),"_"," ")))&amp;" ")),1,0))+IF(Task!$A$14="",0,IF(ISNUMBER(SEARCH(" "&amp;Task!$A$14&amp;" "," "&amp;LOWER(D299&amp;" "&amp;C299&amp;" "&amp;LOWER(SUBSTITUTE(SUBSTITUTE(SUBSTITUTE(SUBSTITUTE(A299,"/"," "),"."," "),"\"," "),"_"," ")))&amp;" ")),1,0))+IF(Task!$A$15="",0,IF(ISNUMBER(SEARCH(" "&amp;Task!$A$15&amp;" "," "&amp;LOWER(D299&amp;" "&amp;C299&amp;" "&amp;LOWER(SUBSTITUTE(SUBSTITUTE(SUBSTITUTE(SUBSTITUTE(A299,"/"," "),"."," "),"\"," "),"_"," ")))&amp;" ")),1,0))+IF(Task!$A$16="",0,IF(ISNUMBER(SEARCH(" "&amp;Task!$A$16&amp;" "," "&amp;LOWER(D299&amp;" "&amp;C299&amp;" "&amp;LOWER(SUBSTITUTE(SUBSTITUTE(SUBSTITUTE(SUBSTITUTE(A299,"/"," "),"."," "),"\"," "),"_"," ")))&amp;" ")),1,0))+IF(Task!$A$17="",0,IF(ISNUMBER(SEARCH(" "&amp;Task!$A$17&amp;" "," "&amp;LOWER(D299&amp;" "&amp;C299&amp;" "&amp;LOWER(SUBSTITUTE(SUBSTITUTE(SUBSTITUTE(SUBSTITUTE(A299,"/"," "),"."," "),"\"," "),"_"," ")))&amp;" ")),1,0))+IF(Task!$A$18="",0,IF(ISNUMBER(SEARCH(" "&amp;Task!$A$18&amp;" "," "&amp;LOWER(D299&amp;" "&amp;C299&amp;" "&amp;LOWER(SUBSTITUTE(SUBSTITUTE(SUBSTITUTE(SUBSTITUTE(A299,"/"," "),"."," "),"\"," "),"_"," ")))&amp;" ")),1,0))+IF(Task!$A$19="",0,IF(ISNUMBER(SEARCH(" "&amp;Task!$A$19&amp;" "," "&amp;LOWER(D299&amp;" "&amp;C299&amp;" "&amp;LOWER(SUBSTITUTE(SUBSTITUTE(SUBSTITUTE(SUBSTITUTE(A299,"/"," "),"."," "),"\"," "),"_"," ")))&amp;" ")),1,0)))</f>
        <v/>
      </c>
      <c r="G299" s="9">
        <f>IF(E299=0,0,IF(Task!$A$8="",0,IF(ISNUMBER(SEARCH(" "&amp;Task!$A$8&amp;" "," "&amp;LOWER(C299)&amp;" ")),1,0))+IF(Task!$A$9="",0,IF(ISNUMBER(SEARCH(" "&amp;Task!$A$9&amp;" "," "&amp;LOWER(C299)&amp;" ")),1,0))+IF(Task!$A$10="",0,IF(ISNUMBER(SEARCH(" "&amp;Task!$A$10&amp;" "," "&amp;LOWER(C299)&amp;" ")),1,0))+IF(Task!$A$11="",0,IF(ISNUMBER(SEARCH(" "&amp;Task!$A$11&amp;" "," "&amp;LOWER(C299)&amp;" ")),1,0))+IF(Task!$A$12="",0,IF(ISNUMBER(SEARCH(" "&amp;Task!$A$12&amp;" "," "&amp;LOWER(C299)&amp;" ")),1,0))+IF(Task!$A$13="",0,IF(ISNUMBER(SEARCH(" "&amp;Task!$A$13&amp;" "," "&amp;LOWER(C299)&amp;" ")),1,0))+IF(Task!$A$14="",0,IF(ISNUMBER(SEARCH(" "&amp;Task!$A$14&amp;" "," "&amp;LOWER(C299)&amp;" ")),1,0))+IF(Task!$A$15="",0,IF(ISNUMBER(SEARCH(" "&amp;Task!$A$15&amp;" "," "&amp;LOWER(C299)&amp;" ")),1,0))+IF(Task!$A$16="",0,IF(ISNUMBER(SEARCH(" "&amp;Task!$A$16&amp;" "," "&amp;LOWER(C299)&amp;" ")),1,0))+IF(Task!$A$17="",0,IF(ISNUMBER(SEARCH(" "&amp;Task!$A$17&amp;" "," "&amp;LOWER(C299)&amp;" ")),1,0))+IF(Task!$A$18="",0,IF(ISNUMBER(SEARCH(" "&amp;Task!$A$18&amp;" "," "&amp;LOWER(C299)&amp;" ")),1,0))+IF(Task!$A$19="",0,IF(ISNUMBER(SEARCH(" "&amp;Task!$A$19&amp;" "," "&amp;LOWER(C299)&amp;" ")),1,0)))</f>
        <v/>
      </c>
      <c r="H299" s="9">
        <f>IF(E299=0,0,IF(Task!$A$8="",0,IF(ISNUMBER(SEARCH(" "&amp;Task!$A$8&amp;" "," "&amp;LOWER(SUBSTITUTE(SUBSTITUTE(SUBSTITUTE(SUBSTITUTE(A299,"/"," "),"."," "),"\"," "),"_"," "))&amp;" ")),1,0))+IF(Task!$A$9="",0,IF(ISNUMBER(SEARCH(" "&amp;Task!$A$9&amp;" "," "&amp;LOWER(SUBSTITUTE(SUBSTITUTE(SUBSTITUTE(SUBSTITUTE(A299,"/"," "),"."," "),"\"," "),"_"," "))&amp;" ")),1,0))+IF(Task!$A$10="",0,IF(ISNUMBER(SEARCH(" "&amp;Task!$A$10&amp;" "," "&amp;LOWER(SUBSTITUTE(SUBSTITUTE(SUBSTITUTE(SUBSTITUTE(A299,"/"," "),"."," "),"\"," "),"_"," "))&amp;" ")),1,0))+IF(Task!$A$11="",0,IF(ISNUMBER(SEARCH(" "&amp;Task!$A$11&amp;" "," "&amp;LOWER(SUBSTITUTE(SUBSTITUTE(SUBSTITUTE(SUBSTITUTE(A299,"/"," "),"."," "),"\"," "),"_"," "))&amp;" ")),1,0))+IF(Task!$A$12="",0,IF(ISNUMBER(SEARCH(" "&amp;Task!$A$12&amp;" "," "&amp;LOWER(SUBSTITUTE(SUBSTITUTE(SUBSTITUTE(SUBSTITUTE(A299,"/"," "),"."," "),"\"," "),"_"," "))&amp;" ")),1,0))+IF(Task!$A$13="",0,IF(ISNUMBER(SEARCH(" "&amp;Task!$A$13&amp;" "," "&amp;LOWER(SUBSTITUTE(SUBSTITUTE(SUBSTITUTE(SUBSTITUTE(A299,"/"," "),"."," "),"\"," "),"_"," "))&amp;" ")),1,0))+IF(Task!$A$14="",0,IF(ISNUMBER(SEARCH(" "&amp;Task!$A$14&amp;" "," "&amp;LOWER(SUBSTITUTE(SUBSTITUTE(SUBSTITUTE(SUBSTITUTE(A299,"/"," "),"."," "),"\"," "),"_"," "))&amp;" ")),1,0))+IF(Task!$A$15="",0,IF(ISNUMBER(SEARCH(" "&amp;Task!$A$15&amp;" "," "&amp;LOWER(SUBSTITUTE(SUBSTITUTE(SUBSTITUTE(SUBSTITUTE(A299,"/"," "),"."," "),"\"," "),"_"," "))&amp;" ")),1,0))+IF(Task!$A$16="",0,IF(ISNUMBER(SEARCH(" "&amp;Task!$A$16&amp;" "," "&amp;LOWER(SUBSTITUTE(SUBSTITUTE(SUBSTITUTE(SUBSTITUTE(A299,"/"," "),"."," "),"\"," "),"_"," "))&amp;" ")),1,0))+IF(Task!$A$17="",0,IF(ISNUMBER(SEARCH(" "&amp;Task!$A$17&amp;" "," "&amp;LOWER(SUBSTITUTE(SUBSTITUTE(SUBSTITUTE(SUBSTITUTE(A299,"/"," "),"."," "),"\"," "),"_"," "))&amp;" ")),1,0))+IF(Task!$A$18="",0,IF(ISNUMBER(SEARCH(" "&amp;Task!$A$18&amp;" "," "&amp;LOWER(SUBSTITUTE(SUBSTITUTE(SUBSTITUTE(SUBSTITUTE(A299,"/"," "),"."," "),"\"," "),"_"," "))&amp;" ")),1,0))+IF(Task!$A$19="",0,IF(ISNUMBER(SEARCH(" "&amp;Task!$A$19&amp;" "," "&amp;LOWER(SUBSTITUTE(SUBSTITUTE(SUBSTITUTE(SUBSTITUTE(A299,"/"," "),"."," "),"\"," "),"_"," "))&amp;" ")),1,0)))</f>
        <v/>
      </c>
      <c r="I299" s="10">
        <f>IF(OR(E299=0,F299=0,Task!$B$21=0),"",F299/Task!$B$21+0.5*G299+0.25*H299)</f>
        <v/>
      </c>
      <c r="J299" s="5">
        <f>IF(I299="","",I299-ROW()/1000000)</f>
        <v/>
      </c>
      <c r="K299" s="9">
        <f>IF(J299="","",COUNTIF($J$5:$J$404,"&gt;"&amp;J299)+1)</f>
        <v/>
      </c>
    </row>
    <row r="300">
      <c r="A300" s="7" t="n"/>
      <c r="B300" s="7" t="n"/>
      <c r="C300" s="7" t="n"/>
      <c r="D300" s="7" t="n"/>
      <c r="E300" s="5">
        <f>IF(A300="",0,IF(COUNTA(Task!$B$5:$E$5)=0,1,IF(COUNTIF(Task!$B$5:$E$5,B300)&gt;0,1,0)))</f>
        <v/>
      </c>
      <c r="F300" s="9">
        <f>IF(E300=0,0,IF(Task!$A$8="",0,IF(ISNUMBER(SEARCH(" "&amp;Task!$A$8&amp;" "," "&amp;LOWER(D300&amp;" "&amp;C300&amp;" "&amp;LOWER(SUBSTITUTE(SUBSTITUTE(SUBSTITUTE(SUBSTITUTE(A300,"/"," "),"."," "),"\"," "),"_"," ")))&amp;" ")),1,0))+IF(Task!$A$9="",0,IF(ISNUMBER(SEARCH(" "&amp;Task!$A$9&amp;" "," "&amp;LOWER(D300&amp;" "&amp;C300&amp;" "&amp;LOWER(SUBSTITUTE(SUBSTITUTE(SUBSTITUTE(SUBSTITUTE(A300,"/"," "),"."," "),"\"," "),"_"," ")))&amp;" ")),1,0))+IF(Task!$A$10="",0,IF(ISNUMBER(SEARCH(" "&amp;Task!$A$10&amp;" "," "&amp;LOWER(D300&amp;" "&amp;C300&amp;" "&amp;LOWER(SUBSTITUTE(SUBSTITUTE(SUBSTITUTE(SUBSTITUTE(A300,"/"," "),"."," "),"\"," "),"_"," ")))&amp;" ")),1,0))+IF(Task!$A$11="",0,IF(ISNUMBER(SEARCH(" "&amp;Task!$A$11&amp;" "," "&amp;LOWER(D300&amp;" "&amp;C300&amp;" "&amp;LOWER(SUBSTITUTE(SUBSTITUTE(SUBSTITUTE(SUBSTITUTE(A300,"/"," "),"."," "),"\"," "),"_"," ")))&amp;" ")),1,0))+IF(Task!$A$12="",0,IF(ISNUMBER(SEARCH(" "&amp;Task!$A$12&amp;" "," "&amp;LOWER(D300&amp;" "&amp;C300&amp;" "&amp;LOWER(SUBSTITUTE(SUBSTITUTE(SUBSTITUTE(SUBSTITUTE(A300,"/"," "),"."," "),"\"," "),"_"," ")))&amp;" ")),1,0))+IF(Task!$A$13="",0,IF(ISNUMBER(SEARCH(" "&amp;Task!$A$13&amp;" "," "&amp;LOWER(D300&amp;" "&amp;C300&amp;" "&amp;LOWER(SUBSTITUTE(SUBSTITUTE(SUBSTITUTE(SUBSTITUTE(A300,"/"," "),"."," "),"\"," "),"_"," ")))&amp;" ")),1,0))+IF(Task!$A$14="",0,IF(ISNUMBER(SEARCH(" "&amp;Task!$A$14&amp;" "," "&amp;LOWER(D300&amp;" "&amp;C300&amp;" "&amp;LOWER(SUBSTITUTE(SUBSTITUTE(SUBSTITUTE(SUBSTITUTE(A300,"/"," "),"."," "),"\"," "),"_"," ")))&amp;" ")),1,0))+IF(Task!$A$15="",0,IF(ISNUMBER(SEARCH(" "&amp;Task!$A$15&amp;" "," "&amp;LOWER(D300&amp;" "&amp;C300&amp;" "&amp;LOWER(SUBSTITUTE(SUBSTITUTE(SUBSTITUTE(SUBSTITUTE(A300,"/"," "),"."," "),"\"," "),"_"," ")))&amp;" ")),1,0))+IF(Task!$A$16="",0,IF(ISNUMBER(SEARCH(" "&amp;Task!$A$16&amp;" "," "&amp;LOWER(D300&amp;" "&amp;C300&amp;" "&amp;LOWER(SUBSTITUTE(SUBSTITUTE(SUBSTITUTE(SUBSTITUTE(A300,"/"," "),"."," "),"\"," "),"_"," ")))&amp;" ")),1,0))+IF(Task!$A$17="",0,IF(ISNUMBER(SEARCH(" "&amp;Task!$A$17&amp;" "," "&amp;LOWER(D300&amp;" "&amp;C300&amp;" "&amp;LOWER(SUBSTITUTE(SUBSTITUTE(SUBSTITUTE(SUBSTITUTE(A300,"/"," "),"."," "),"\"," "),"_"," ")))&amp;" ")),1,0))+IF(Task!$A$18="",0,IF(ISNUMBER(SEARCH(" "&amp;Task!$A$18&amp;" "," "&amp;LOWER(D300&amp;" "&amp;C300&amp;" "&amp;LOWER(SUBSTITUTE(SUBSTITUTE(SUBSTITUTE(SUBSTITUTE(A300,"/"," "),"."," "),"\"," "),"_"," ")))&amp;" ")),1,0))+IF(Task!$A$19="",0,IF(ISNUMBER(SEARCH(" "&amp;Task!$A$19&amp;" "," "&amp;LOWER(D300&amp;" "&amp;C300&amp;" "&amp;LOWER(SUBSTITUTE(SUBSTITUTE(SUBSTITUTE(SUBSTITUTE(A300,"/"," "),"."," "),"\"," "),"_"," ")))&amp;" ")),1,0)))</f>
        <v/>
      </c>
      <c r="G300" s="9">
        <f>IF(E300=0,0,IF(Task!$A$8="",0,IF(ISNUMBER(SEARCH(" "&amp;Task!$A$8&amp;" "," "&amp;LOWER(C300)&amp;" ")),1,0))+IF(Task!$A$9="",0,IF(ISNUMBER(SEARCH(" "&amp;Task!$A$9&amp;" "," "&amp;LOWER(C300)&amp;" ")),1,0))+IF(Task!$A$10="",0,IF(ISNUMBER(SEARCH(" "&amp;Task!$A$10&amp;" "," "&amp;LOWER(C300)&amp;" ")),1,0))+IF(Task!$A$11="",0,IF(ISNUMBER(SEARCH(" "&amp;Task!$A$11&amp;" "," "&amp;LOWER(C300)&amp;" ")),1,0))+IF(Task!$A$12="",0,IF(ISNUMBER(SEARCH(" "&amp;Task!$A$12&amp;" "," "&amp;LOWER(C300)&amp;" ")),1,0))+IF(Task!$A$13="",0,IF(ISNUMBER(SEARCH(" "&amp;Task!$A$13&amp;" "," "&amp;LOWER(C300)&amp;" ")),1,0))+IF(Task!$A$14="",0,IF(ISNUMBER(SEARCH(" "&amp;Task!$A$14&amp;" "," "&amp;LOWER(C300)&amp;" ")),1,0))+IF(Task!$A$15="",0,IF(ISNUMBER(SEARCH(" "&amp;Task!$A$15&amp;" "," "&amp;LOWER(C300)&amp;" ")),1,0))+IF(Task!$A$16="",0,IF(ISNUMBER(SEARCH(" "&amp;Task!$A$16&amp;" "," "&amp;LOWER(C300)&amp;" ")),1,0))+IF(Task!$A$17="",0,IF(ISNUMBER(SEARCH(" "&amp;Task!$A$17&amp;" "," "&amp;LOWER(C300)&amp;" ")),1,0))+IF(Task!$A$18="",0,IF(ISNUMBER(SEARCH(" "&amp;Task!$A$18&amp;" "," "&amp;LOWER(C300)&amp;" ")),1,0))+IF(Task!$A$19="",0,IF(ISNUMBER(SEARCH(" "&amp;Task!$A$19&amp;" "," "&amp;LOWER(C300)&amp;" ")),1,0)))</f>
        <v/>
      </c>
      <c r="H300" s="9">
        <f>IF(E300=0,0,IF(Task!$A$8="",0,IF(ISNUMBER(SEARCH(" "&amp;Task!$A$8&amp;" "," "&amp;LOWER(SUBSTITUTE(SUBSTITUTE(SUBSTITUTE(SUBSTITUTE(A300,"/"," "),"."," "),"\"," "),"_"," "))&amp;" ")),1,0))+IF(Task!$A$9="",0,IF(ISNUMBER(SEARCH(" "&amp;Task!$A$9&amp;" "," "&amp;LOWER(SUBSTITUTE(SUBSTITUTE(SUBSTITUTE(SUBSTITUTE(A300,"/"," "),"."," "),"\"," "),"_"," "))&amp;" ")),1,0))+IF(Task!$A$10="",0,IF(ISNUMBER(SEARCH(" "&amp;Task!$A$10&amp;" "," "&amp;LOWER(SUBSTITUTE(SUBSTITUTE(SUBSTITUTE(SUBSTITUTE(A300,"/"," "),"."," "),"\"," "),"_"," "))&amp;" ")),1,0))+IF(Task!$A$11="",0,IF(ISNUMBER(SEARCH(" "&amp;Task!$A$11&amp;" "," "&amp;LOWER(SUBSTITUTE(SUBSTITUTE(SUBSTITUTE(SUBSTITUTE(A300,"/"," "),"."," "),"\"," "),"_"," "))&amp;" ")),1,0))+IF(Task!$A$12="",0,IF(ISNUMBER(SEARCH(" "&amp;Task!$A$12&amp;" "," "&amp;LOWER(SUBSTITUTE(SUBSTITUTE(SUBSTITUTE(SUBSTITUTE(A300,"/"," "),"."," "),"\"," "),"_"," "))&amp;" ")),1,0))+IF(Task!$A$13="",0,IF(ISNUMBER(SEARCH(" "&amp;Task!$A$13&amp;" "," "&amp;LOWER(SUBSTITUTE(SUBSTITUTE(SUBSTITUTE(SUBSTITUTE(A300,"/"," "),"."," "),"\"," "),"_"," "))&amp;" ")),1,0))+IF(Task!$A$14="",0,IF(ISNUMBER(SEARCH(" "&amp;Task!$A$14&amp;" "," "&amp;LOWER(SUBSTITUTE(SUBSTITUTE(SUBSTITUTE(SUBSTITUTE(A300,"/"," "),"."," "),"\"," "),"_"," "))&amp;" ")),1,0))+IF(Task!$A$15="",0,IF(ISNUMBER(SEARCH(" "&amp;Task!$A$15&amp;" "," "&amp;LOWER(SUBSTITUTE(SUBSTITUTE(SUBSTITUTE(SUBSTITUTE(A300,"/"," "),"."," "),"\"," "),"_"," "))&amp;" ")),1,0))+IF(Task!$A$16="",0,IF(ISNUMBER(SEARCH(" "&amp;Task!$A$16&amp;" "," "&amp;LOWER(SUBSTITUTE(SUBSTITUTE(SUBSTITUTE(SUBSTITUTE(A300,"/"," "),"."," "),"\"," "),"_"," "))&amp;" ")),1,0))+IF(Task!$A$17="",0,IF(ISNUMBER(SEARCH(" "&amp;Task!$A$17&amp;" "," "&amp;LOWER(SUBSTITUTE(SUBSTITUTE(SUBSTITUTE(SUBSTITUTE(A300,"/"," "),"."," "),"\"," "),"_"," "))&amp;" ")),1,0))+IF(Task!$A$18="",0,IF(ISNUMBER(SEARCH(" "&amp;Task!$A$18&amp;" "," "&amp;LOWER(SUBSTITUTE(SUBSTITUTE(SUBSTITUTE(SUBSTITUTE(A300,"/"," "),"."," "),"\"," "),"_"," "))&amp;" ")),1,0))+IF(Task!$A$19="",0,IF(ISNUMBER(SEARCH(" "&amp;Task!$A$19&amp;" "," "&amp;LOWER(SUBSTITUTE(SUBSTITUTE(SUBSTITUTE(SUBSTITUTE(A300,"/"," "),"."," "),"\"," "),"_"," "))&amp;" ")),1,0)))</f>
        <v/>
      </c>
      <c r="I300" s="10">
        <f>IF(OR(E300=0,F300=0,Task!$B$21=0),"",F300/Task!$B$21+0.5*G300+0.25*H300)</f>
        <v/>
      </c>
      <c r="J300" s="5">
        <f>IF(I300="","",I300-ROW()/1000000)</f>
        <v/>
      </c>
      <c r="K300" s="9">
        <f>IF(J300="","",COUNTIF($J$5:$J$404,"&gt;"&amp;J300)+1)</f>
        <v/>
      </c>
    </row>
    <row r="301">
      <c r="A301" s="7" t="n"/>
      <c r="B301" s="7" t="n"/>
      <c r="C301" s="7" t="n"/>
      <c r="D301" s="7" t="n"/>
      <c r="E301" s="5">
        <f>IF(A301="",0,IF(COUNTA(Task!$B$5:$E$5)=0,1,IF(COUNTIF(Task!$B$5:$E$5,B301)&gt;0,1,0)))</f>
        <v/>
      </c>
      <c r="F301" s="9">
        <f>IF(E301=0,0,IF(Task!$A$8="",0,IF(ISNUMBER(SEARCH(" "&amp;Task!$A$8&amp;" "," "&amp;LOWER(D301&amp;" "&amp;C301&amp;" "&amp;LOWER(SUBSTITUTE(SUBSTITUTE(SUBSTITUTE(SUBSTITUTE(A301,"/"," "),"."," "),"\"," "),"_"," ")))&amp;" ")),1,0))+IF(Task!$A$9="",0,IF(ISNUMBER(SEARCH(" "&amp;Task!$A$9&amp;" "," "&amp;LOWER(D301&amp;" "&amp;C301&amp;" "&amp;LOWER(SUBSTITUTE(SUBSTITUTE(SUBSTITUTE(SUBSTITUTE(A301,"/"," "),"."," "),"\"," "),"_"," ")))&amp;" ")),1,0))+IF(Task!$A$10="",0,IF(ISNUMBER(SEARCH(" "&amp;Task!$A$10&amp;" "," "&amp;LOWER(D301&amp;" "&amp;C301&amp;" "&amp;LOWER(SUBSTITUTE(SUBSTITUTE(SUBSTITUTE(SUBSTITUTE(A301,"/"," "),"."," "),"\"," "),"_"," ")))&amp;" ")),1,0))+IF(Task!$A$11="",0,IF(ISNUMBER(SEARCH(" "&amp;Task!$A$11&amp;" "," "&amp;LOWER(D301&amp;" "&amp;C301&amp;" "&amp;LOWER(SUBSTITUTE(SUBSTITUTE(SUBSTITUTE(SUBSTITUTE(A301,"/"," "),"."," "),"\"," "),"_"," ")))&amp;" ")),1,0))+IF(Task!$A$12="",0,IF(ISNUMBER(SEARCH(" "&amp;Task!$A$12&amp;" "," "&amp;LOWER(D301&amp;" "&amp;C301&amp;" "&amp;LOWER(SUBSTITUTE(SUBSTITUTE(SUBSTITUTE(SUBSTITUTE(A301,"/"," "),"."," "),"\"," "),"_"," ")))&amp;" ")),1,0))+IF(Task!$A$13="",0,IF(ISNUMBER(SEARCH(" "&amp;Task!$A$13&amp;" "," "&amp;LOWER(D301&amp;" "&amp;C301&amp;" "&amp;LOWER(SUBSTITUTE(SUBSTITUTE(SUBSTITUTE(SUBSTITUTE(A301,"/"," "),"."," "),"\"," "),"_"," ")))&amp;" ")),1,0))+IF(Task!$A$14="",0,IF(ISNUMBER(SEARCH(" "&amp;Task!$A$14&amp;" "," "&amp;LOWER(D301&amp;" "&amp;C301&amp;" "&amp;LOWER(SUBSTITUTE(SUBSTITUTE(SUBSTITUTE(SUBSTITUTE(A301,"/"," "),"."," "),"\"," "),"_"," ")))&amp;" ")),1,0))+IF(Task!$A$15="",0,IF(ISNUMBER(SEARCH(" "&amp;Task!$A$15&amp;" "," "&amp;LOWER(D301&amp;" "&amp;C301&amp;" "&amp;LOWER(SUBSTITUTE(SUBSTITUTE(SUBSTITUTE(SUBSTITUTE(A301,"/"," "),"."," "),"\"," "),"_"," ")))&amp;" ")),1,0))+IF(Task!$A$16="",0,IF(ISNUMBER(SEARCH(" "&amp;Task!$A$16&amp;" "," "&amp;LOWER(D301&amp;" "&amp;C301&amp;" "&amp;LOWER(SUBSTITUTE(SUBSTITUTE(SUBSTITUTE(SUBSTITUTE(A301,"/"," "),"."," "),"\"," "),"_"," ")))&amp;" ")),1,0))+IF(Task!$A$17="",0,IF(ISNUMBER(SEARCH(" "&amp;Task!$A$17&amp;" "," "&amp;LOWER(D301&amp;" "&amp;C301&amp;" "&amp;LOWER(SUBSTITUTE(SUBSTITUTE(SUBSTITUTE(SUBSTITUTE(A301,"/"," "),"."," "),"\"," "),"_"," ")))&amp;" ")),1,0))+IF(Task!$A$18="",0,IF(ISNUMBER(SEARCH(" "&amp;Task!$A$18&amp;" "," "&amp;LOWER(D301&amp;" "&amp;C301&amp;" "&amp;LOWER(SUBSTITUTE(SUBSTITUTE(SUBSTITUTE(SUBSTITUTE(A301,"/"," "),"."," "),"\"," "),"_"," ")))&amp;" ")),1,0))+IF(Task!$A$19="",0,IF(ISNUMBER(SEARCH(" "&amp;Task!$A$19&amp;" "," "&amp;LOWER(D301&amp;" "&amp;C301&amp;" "&amp;LOWER(SUBSTITUTE(SUBSTITUTE(SUBSTITUTE(SUBSTITUTE(A301,"/"," "),"."," "),"\"," "),"_"," ")))&amp;" ")),1,0)))</f>
        <v/>
      </c>
      <c r="G301" s="9">
        <f>IF(E301=0,0,IF(Task!$A$8="",0,IF(ISNUMBER(SEARCH(" "&amp;Task!$A$8&amp;" "," "&amp;LOWER(C301)&amp;" ")),1,0))+IF(Task!$A$9="",0,IF(ISNUMBER(SEARCH(" "&amp;Task!$A$9&amp;" "," "&amp;LOWER(C301)&amp;" ")),1,0))+IF(Task!$A$10="",0,IF(ISNUMBER(SEARCH(" "&amp;Task!$A$10&amp;" "," "&amp;LOWER(C301)&amp;" ")),1,0))+IF(Task!$A$11="",0,IF(ISNUMBER(SEARCH(" "&amp;Task!$A$11&amp;" "," "&amp;LOWER(C301)&amp;" ")),1,0))+IF(Task!$A$12="",0,IF(ISNUMBER(SEARCH(" "&amp;Task!$A$12&amp;" "," "&amp;LOWER(C301)&amp;" ")),1,0))+IF(Task!$A$13="",0,IF(ISNUMBER(SEARCH(" "&amp;Task!$A$13&amp;" "," "&amp;LOWER(C301)&amp;" ")),1,0))+IF(Task!$A$14="",0,IF(ISNUMBER(SEARCH(" "&amp;Task!$A$14&amp;" "," "&amp;LOWER(C301)&amp;" ")),1,0))+IF(Task!$A$15="",0,IF(ISNUMBER(SEARCH(" "&amp;Task!$A$15&amp;" "," "&amp;LOWER(C301)&amp;" ")),1,0))+IF(Task!$A$16="",0,IF(ISNUMBER(SEARCH(" "&amp;Task!$A$16&amp;" "," "&amp;LOWER(C301)&amp;" ")),1,0))+IF(Task!$A$17="",0,IF(ISNUMBER(SEARCH(" "&amp;Task!$A$17&amp;" "," "&amp;LOWER(C301)&amp;" ")),1,0))+IF(Task!$A$18="",0,IF(ISNUMBER(SEARCH(" "&amp;Task!$A$18&amp;" "," "&amp;LOWER(C301)&amp;" ")),1,0))+IF(Task!$A$19="",0,IF(ISNUMBER(SEARCH(" "&amp;Task!$A$19&amp;" "," "&amp;LOWER(C301)&amp;" ")),1,0)))</f>
        <v/>
      </c>
      <c r="H301" s="9">
        <f>IF(E301=0,0,IF(Task!$A$8="",0,IF(ISNUMBER(SEARCH(" "&amp;Task!$A$8&amp;" "," "&amp;LOWER(SUBSTITUTE(SUBSTITUTE(SUBSTITUTE(SUBSTITUTE(A301,"/"," "),"."," "),"\"," "),"_"," "))&amp;" ")),1,0))+IF(Task!$A$9="",0,IF(ISNUMBER(SEARCH(" "&amp;Task!$A$9&amp;" "," "&amp;LOWER(SUBSTITUTE(SUBSTITUTE(SUBSTITUTE(SUBSTITUTE(A301,"/"," "),"."," "),"\"," "),"_"," "))&amp;" ")),1,0))+IF(Task!$A$10="",0,IF(ISNUMBER(SEARCH(" "&amp;Task!$A$10&amp;" "," "&amp;LOWER(SUBSTITUTE(SUBSTITUTE(SUBSTITUTE(SUBSTITUTE(A301,"/"," "),"."," "),"\"," "),"_"," "))&amp;" ")),1,0))+IF(Task!$A$11="",0,IF(ISNUMBER(SEARCH(" "&amp;Task!$A$11&amp;" "," "&amp;LOWER(SUBSTITUTE(SUBSTITUTE(SUBSTITUTE(SUBSTITUTE(A301,"/"," "),"."," "),"\"," "),"_"," "))&amp;" ")),1,0))+IF(Task!$A$12="",0,IF(ISNUMBER(SEARCH(" "&amp;Task!$A$12&amp;" "," "&amp;LOWER(SUBSTITUTE(SUBSTITUTE(SUBSTITUTE(SUBSTITUTE(A301,"/"," "),"."," "),"\"," "),"_"," "))&amp;" ")),1,0))+IF(Task!$A$13="",0,IF(ISNUMBER(SEARCH(" "&amp;Task!$A$13&amp;" "," "&amp;LOWER(SUBSTITUTE(SUBSTITUTE(SUBSTITUTE(SUBSTITUTE(A301,"/"," "),"."," "),"\"," "),"_"," "))&amp;" ")),1,0))+IF(Task!$A$14="",0,IF(ISNUMBER(SEARCH(" "&amp;Task!$A$14&amp;" "," "&amp;LOWER(SUBSTITUTE(SUBSTITUTE(SUBSTITUTE(SUBSTITUTE(A301,"/"," "),"."," "),"\"," "),"_"," "))&amp;" ")),1,0))+IF(Task!$A$15="",0,IF(ISNUMBER(SEARCH(" "&amp;Task!$A$15&amp;" "," "&amp;LOWER(SUBSTITUTE(SUBSTITUTE(SUBSTITUTE(SUBSTITUTE(A301,"/"," "),"."," "),"\"," "),"_"," "))&amp;" ")),1,0))+IF(Task!$A$16="",0,IF(ISNUMBER(SEARCH(" "&amp;Task!$A$16&amp;" "," "&amp;LOWER(SUBSTITUTE(SUBSTITUTE(SUBSTITUTE(SUBSTITUTE(A301,"/"," "),"."," "),"\"," "),"_"," "))&amp;" ")),1,0))+IF(Task!$A$17="",0,IF(ISNUMBER(SEARCH(" "&amp;Task!$A$17&amp;" "," "&amp;LOWER(SUBSTITUTE(SUBSTITUTE(SUBSTITUTE(SUBSTITUTE(A301,"/"," "),"."," "),"\"," "),"_"," "))&amp;" ")),1,0))+IF(Task!$A$18="",0,IF(ISNUMBER(SEARCH(" "&amp;Task!$A$18&amp;" "," "&amp;LOWER(SUBSTITUTE(SUBSTITUTE(SUBSTITUTE(SUBSTITUTE(A301,"/"," "),"."," "),"\"," "),"_"," "))&amp;" ")),1,0))+IF(Task!$A$19="",0,IF(ISNUMBER(SEARCH(" "&amp;Task!$A$19&amp;" "," "&amp;LOWER(SUBSTITUTE(SUBSTITUTE(SUBSTITUTE(SUBSTITUTE(A301,"/"," "),"."," "),"\"," "),"_"," "))&amp;" ")),1,0)))</f>
        <v/>
      </c>
      <c r="I301" s="10">
        <f>IF(OR(E301=0,F301=0,Task!$B$21=0),"",F301/Task!$B$21+0.5*G301+0.25*H301)</f>
        <v/>
      </c>
      <c r="J301" s="5">
        <f>IF(I301="","",I301-ROW()/1000000)</f>
        <v/>
      </c>
      <c r="K301" s="9">
        <f>IF(J301="","",COUNTIF($J$5:$J$404,"&gt;"&amp;J301)+1)</f>
        <v/>
      </c>
    </row>
    <row r="302">
      <c r="A302" s="7" t="n"/>
      <c r="B302" s="7" t="n"/>
      <c r="C302" s="7" t="n"/>
      <c r="D302" s="7" t="n"/>
      <c r="E302" s="5">
        <f>IF(A302="",0,IF(COUNTA(Task!$B$5:$E$5)=0,1,IF(COUNTIF(Task!$B$5:$E$5,B302)&gt;0,1,0)))</f>
        <v/>
      </c>
      <c r="F302" s="9">
        <f>IF(E302=0,0,IF(Task!$A$8="",0,IF(ISNUMBER(SEARCH(" "&amp;Task!$A$8&amp;" "," "&amp;LOWER(D302&amp;" "&amp;C302&amp;" "&amp;LOWER(SUBSTITUTE(SUBSTITUTE(SUBSTITUTE(SUBSTITUTE(A302,"/"," "),"."," "),"\"," "),"_"," ")))&amp;" ")),1,0))+IF(Task!$A$9="",0,IF(ISNUMBER(SEARCH(" "&amp;Task!$A$9&amp;" "," "&amp;LOWER(D302&amp;" "&amp;C302&amp;" "&amp;LOWER(SUBSTITUTE(SUBSTITUTE(SUBSTITUTE(SUBSTITUTE(A302,"/"," "),"."," "),"\"," "),"_"," ")))&amp;" ")),1,0))+IF(Task!$A$10="",0,IF(ISNUMBER(SEARCH(" "&amp;Task!$A$10&amp;" "," "&amp;LOWER(D302&amp;" "&amp;C302&amp;" "&amp;LOWER(SUBSTITUTE(SUBSTITUTE(SUBSTITUTE(SUBSTITUTE(A302,"/"," "),"."," "),"\"," "),"_"," ")))&amp;" ")),1,0))+IF(Task!$A$11="",0,IF(ISNUMBER(SEARCH(" "&amp;Task!$A$11&amp;" "," "&amp;LOWER(D302&amp;" "&amp;C302&amp;" "&amp;LOWER(SUBSTITUTE(SUBSTITUTE(SUBSTITUTE(SUBSTITUTE(A302,"/"," "),"."," "),"\"," "),"_"," ")))&amp;" ")),1,0))+IF(Task!$A$12="",0,IF(ISNUMBER(SEARCH(" "&amp;Task!$A$12&amp;" "," "&amp;LOWER(D302&amp;" "&amp;C302&amp;" "&amp;LOWER(SUBSTITUTE(SUBSTITUTE(SUBSTITUTE(SUBSTITUTE(A302,"/"," "),"."," "),"\"," "),"_"," ")))&amp;" ")),1,0))+IF(Task!$A$13="",0,IF(ISNUMBER(SEARCH(" "&amp;Task!$A$13&amp;" "," "&amp;LOWER(D302&amp;" "&amp;C302&amp;" "&amp;LOWER(SUBSTITUTE(SUBSTITUTE(SUBSTITUTE(SUBSTITUTE(A302,"/"," "),"."," "),"\"," "),"_"," ")))&amp;" ")),1,0))+IF(Task!$A$14="",0,IF(ISNUMBER(SEARCH(" "&amp;Task!$A$14&amp;" "," "&amp;LOWER(D302&amp;" "&amp;C302&amp;" "&amp;LOWER(SUBSTITUTE(SUBSTITUTE(SUBSTITUTE(SUBSTITUTE(A302,"/"," "),"."," "),"\"," "),"_"," ")))&amp;" ")),1,0))+IF(Task!$A$15="",0,IF(ISNUMBER(SEARCH(" "&amp;Task!$A$15&amp;" "," "&amp;LOWER(D302&amp;" "&amp;C302&amp;" "&amp;LOWER(SUBSTITUTE(SUBSTITUTE(SUBSTITUTE(SUBSTITUTE(A302,"/"," "),"."," "),"\"," "),"_"," ")))&amp;" ")),1,0))+IF(Task!$A$16="",0,IF(ISNUMBER(SEARCH(" "&amp;Task!$A$16&amp;" "," "&amp;LOWER(D302&amp;" "&amp;C302&amp;" "&amp;LOWER(SUBSTITUTE(SUBSTITUTE(SUBSTITUTE(SUBSTITUTE(A302,"/"," "),"."," "),"\"," "),"_"," ")))&amp;" ")),1,0))+IF(Task!$A$17="",0,IF(ISNUMBER(SEARCH(" "&amp;Task!$A$17&amp;" "," "&amp;LOWER(D302&amp;" "&amp;C302&amp;" "&amp;LOWER(SUBSTITUTE(SUBSTITUTE(SUBSTITUTE(SUBSTITUTE(A302,"/"," "),"."," "),"\"," "),"_"," ")))&amp;" ")),1,0))+IF(Task!$A$18="",0,IF(ISNUMBER(SEARCH(" "&amp;Task!$A$18&amp;" "," "&amp;LOWER(D302&amp;" "&amp;C302&amp;" "&amp;LOWER(SUBSTITUTE(SUBSTITUTE(SUBSTITUTE(SUBSTITUTE(A302,"/"," "),"."," "),"\"," "),"_"," ")))&amp;" ")),1,0))+IF(Task!$A$19="",0,IF(ISNUMBER(SEARCH(" "&amp;Task!$A$19&amp;" "," "&amp;LOWER(D302&amp;" "&amp;C302&amp;" "&amp;LOWER(SUBSTITUTE(SUBSTITUTE(SUBSTITUTE(SUBSTITUTE(A302,"/"," "),"."," "),"\"," "),"_"," ")))&amp;" ")),1,0)))</f>
        <v/>
      </c>
      <c r="G302" s="9">
        <f>IF(E302=0,0,IF(Task!$A$8="",0,IF(ISNUMBER(SEARCH(" "&amp;Task!$A$8&amp;" "," "&amp;LOWER(C302)&amp;" ")),1,0))+IF(Task!$A$9="",0,IF(ISNUMBER(SEARCH(" "&amp;Task!$A$9&amp;" "," "&amp;LOWER(C302)&amp;" ")),1,0))+IF(Task!$A$10="",0,IF(ISNUMBER(SEARCH(" "&amp;Task!$A$10&amp;" "," "&amp;LOWER(C302)&amp;" ")),1,0))+IF(Task!$A$11="",0,IF(ISNUMBER(SEARCH(" "&amp;Task!$A$11&amp;" "," "&amp;LOWER(C302)&amp;" ")),1,0))+IF(Task!$A$12="",0,IF(ISNUMBER(SEARCH(" "&amp;Task!$A$12&amp;" "," "&amp;LOWER(C302)&amp;" ")),1,0))+IF(Task!$A$13="",0,IF(ISNUMBER(SEARCH(" "&amp;Task!$A$13&amp;" "," "&amp;LOWER(C302)&amp;" ")),1,0))+IF(Task!$A$14="",0,IF(ISNUMBER(SEARCH(" "&amp;Task!$A$14&amp;" "," "&amp;LOWER(C302)&amp;" ")),1,0))+IF(Task!$A$15="",0,IF(ISNUMBER(SEARCH(" "&amp;Task!$A$15&amp;" "," "&amp;LOWER(C302)&amp;" ")),1,0))+IF(Task!$A$16="",0,IF(ISNUMBER(SEARCH(" "&amp;Task!$A$16&amp;" "," "&amp;LOWER(C302)&amp;" ")),1,0))+IF(Task!$A$17="",0,IF(ISNUMBER(SEARCH(" "&amp;Task!$A$17&amp;" "," "&amp;LOWER(C302)&amp;" ")),1,0))+IF(Task!$A$18="",0,IF(ISNUMBER(SEARCH(" "&amp;Task!$A$18&amp;" "," "&amp;LOWER(C302)&amp;" ")),1,0))+IF(Task!$A$19="",0,IF(ISNUMBER(SEARCH(" "&amp;Task!$A$19&amp;" "," "&amp;LOWER(C302)&amp;" ")),1,0)))</f>
        <v/>
      </c>
      <c r="H302" s="9">
        <f>IF(E302=0,0,IF(Task!$A$8="",0,IF(ISNUMBER(SEARCH(" "&amp;Task!$A$8&amp;" "," "&amp;LOWER(SUBSTITUTE(SUBSTITUTE(SUBSTITUTE(SUBSTITUTE(A302,"/"," "),"."," "),"\"," "),"_"," "))&amp;" ")),1,0))+IF(Task!$A$9="",0,IF(ISNUMBER(SEARCH(" "&amp;Task!$A$9&amp;" "," "&amp;LOWER(SUBSTITUTE(SUBSTITUTE(SUBSTITUTE(SUBSTITUTE(A302,"/"," "),"."," "),"\"," "),"_"," "))&amp;" ")),1,0))+IF(Task!$A$10="",0,IF(ISNUMBER(SEARCH(" "&amp;Task!$A$10&amp;" "," "&amp;LOWER(SUBSTITUTE(SUBSTITUTE(SUBSTITUTE(SUBSTITUTE(A302,"/"," "),"."," "),"\"," "),"_"," "))&amp;" ")),1,0))+IF(Task!$A$11="",0,IF(ISNUMBER(SEARCH(" "&amp;Task!$A$11&amp;" "," "&amp;LOWER(SUBSTITUTE(SUBSTITUTE(SUBSTITUTE(SUBSTITUTE(A302,"/"," "),"."," "),"\"," "),"_"," "))&amp;" ")),1,0))+IF(Task!$A$12="",0,IF(ISNUMBER(SEARCH(" "&amp;Task!$A$12&amp;" "," "&amp;LOWER(SUBSTITUTE(SUBSTITUTE(SUBSTITUTE(SUBSTITUTE(A302,"/"," "),"."," "),"\"," "),"_"," "))&amp;" ")),1,0))+IF(Task!$A$13="",0,IF(ISNUMBER(SEARCH(" "&amp;Task!$A$13&amp;" "," "&amp;LOWER(SUBSTITUTE(SUBSTITUTE(SUBSTITUTE(SUBSTITUTE(A302,"/"," "),"."," "),"\"," "),"_"," "))&amp;" ")),1,0))+IF(Task!$A$14="",0,IF(ISNUMBER(SEARCH(" "&amp;Task!$A$14&amp;" "," "&amp;LOWER(SUBSTITUTE(SUBSTITUTE(SUBSTITUTE(SUBSTITUTE(A302,"/"," "),"."," "),"\"," "),"_"," "))&amp;" ")),1,0))+IF(Task!$A$15="",0,IF(ISNUMBER(SEARCH(" "&amp;Task!$A$15&amp;" "," "&amp;LOWER(SUBSTITUTE(SUBSTITUTE(SUBSTITUTE(SUBSTITUTE(A302,"/"," "),"."," "),"\"," "),"_"," "))&amp;" ")),1,0))+IF(Task!$A$16="",0,IF(ISNUMBER(SEARCH(" "&amp;Task!$A$16&amp;" "," "&amp;LOWER(SUBSTITUTE(SUBSTITUTE(SUBSTITUTE(SUBSTITUTE(A302,"/"," "),"."," "),"\"," "),"_"," "))&amp;" ")),1,0))+IF(Task!$A$17="",0,IF(ISNUMBER(SEARCH(" "&amp;Task!$A$17&amp;" "," "&amp;LOWER(SUBSTITUTE(SUBSTITUTE(SUBSTITUTE(SUBSTITUTE(A302,"/"," "),"."," "),"\"," "),"_"," "))&amp;" ")),1,0))+IF(Task!$A$18="",0,IF(ISNUMBER(SEARCH(" "&amp;Task!$A$18&amp;" "," "&amp;LOWER(SUBSTITUTE(SUBSTITUTE(SUBSTITUTE(SUBSTITUTE(A302,"/"," "),"."," "),"\"," "),"_"," "))&amp;" ")),1,0))+IF(Task!$A$19="",0,IF(ISNUMBER(SEARCH(" "&amp;Task!$A$19&amp;" "," "&amp;LOWER(SUBSTITUTE(SUBSTITUTE(SUBSTITUTE(SUBSTITUTE(A302,"/"," "),"."," "),"\"," "),"_"," "))&amp;" ")),1,0)))</f>
        <v/>
      </c>
      <c r="I302" s="10">
        <f>IF(OR(E302=0,F302=0,Task!$B$21=0),"",F302/Task!$B$21+0.5*G302+0.25*H302)</f>
        <v/>
      </c>
      <c r="J302" s="5">
        <f>IF(I302="","",I302-ROW()/1000000)</f>
        <v/>
      </c>
      <c r="K302" s="9">
        <f>IF(J302="","",COUNTIF($J$5:$J$404,"&gt;"&amp;J302)+1)</f>
        <v/>
      </c>
    </row>
    <row r="303">
      <c r="A303" s="7" t="n"/>
      <c r="B303" s="7" t="n"/>
      <c r="C303" s="7" t="n"/>
      <c r="D303" s="7" t="n"/>
      <c r="E303" s="5">
        <f>IF(A303="",0,IF(COUNTA(Task!$B$5:$E$5)=0,1,IF(COUNTIF(Task!$B$5:$E$5,B303)&gt;0,1,0)))</f>
        <v/>
      </c>
      <c r="F303" s="9">
        <f>IF(E303=0,0,IF(Task!$A$8="",0,IF(ISNUMBER(SEARCH(" "&amp;Task!$A$8&amp;" "," "&amp;LOWER(D303&amp;" "&amp;C303&amp;" "&amp;LOWER(SUBSTITUTE(SUBSTITUTE(SUBSTITUTE(SUBSTITUTE(A303,"/"," "),"."," "),"\"," "),"_"," ")))&amp;" ")),1,0))+IF(Task!$A$9="",0,IF(ISNUMBER(SEARCH(" "&amp;Task!$A$9&amp;" "," "&amp;LOWER(D303&amp;" "&amp;C303&amp;" "&amp;LOWER(SUBSTITUTE(SUBSTITUTE(SUBSTITUTE(SUBSTITUTE(A303,"/"," "),"."," "),"\"," "),"_"," ")))&amp;" ")),1,0))+IF(Task!$A$10="",0,IF(ISNUMBER(SEARCH(" "&amp;Task!$A$10&amp;" "," "&amp;LOWER(D303&amp;" "&amp;C303&amp;" "&amp;LOWER(SUBSTITUTE(SUBSTITUTE(SUBSTITUTE(SUBSTITUTE(A303,"/"," "),"."," "),"\"," "),"_"," ")))&amp;" ")),1,0))+IF(Task!$A$11="",0,IF(ISNUMBER(SEARCH(" "&amp;Task!$A$11&amp;" "," "&amp;LOWER(D303&amp;" "&amp;C303&amp;" "&amp;LOWER(SUBSTITUTE(SUBSTITUTE(SUBSTITUTE(SUBSTITUTE(A303,"/"," "),"."," "),"\"," "),"_"," ")))&amp;" ")),1,0))+IF(Task!$A$12="",0,IF(ISNUMBER(SEARCH(" "&amp;Task!$A$12&amp;" "," "&amp;LOWER(D303&amp;" "&amp;C303&amp;" "&amp;LOWER(SUBSTITUTE(SUBSTITUTE(SUBSTITUTE(SUBSTITUTE(A303,"/"," "),"."," "),"\"," "),"_"," ")))&amp;" ")),1,0))+IF(Task!$A$13="",0,IF(ISNUMBER(SEARCH(" "&amp;Task!$A$13&amp;" "," "&amp;LOWER(D303&amp;" "&amp;C303&amp;" "&amp;LOWER(SUBSTITUTE(SUBSTITUTE(SUBSTITUTE(SUBSTITUTE(A303,"/"," "),"."," "),"\"," "),"_"," ")))&amp;" ")),1,0))+IF(Task!$A$14="",0,IF(ISNUMBER(SEARCH(" "&amp;Task!$A$14&amp;" "," "&amp;LOWER(D303&amp;" "&amp;C303&amp;" "&amp;LOWER(SUBSTITUTE(SUBSTITUTE(SUBSTITUTE(SUBSTITUTE(A303,"/"," "),"."," "),"\"," "),"_"," ")))&amp;" ")),1,0))+IF(Task!$A$15="",0,IF(ISNUMBER(SEARCH(" "&amp;Task!$A$15&amp;" "," "&amp;LOWER(D303&amp;" "&amp;C303&amp;" "&amp;LOWER(SUBSTITUTE(SUBSTITUTE(SUBSTITUTE(SUBSTITUTE(A303,"/"," "),"."," "),"\"," "),"_"," ")))&amp;" ")),1,0))+IF(Task!$A$16="",0,IF(ISNUMBER(SEARCH(" "&amp;Task!$A$16&amp;" "," "&amp;LOWER(D303&amp;" "&amp;C303&amp;" "&amp;LOWER(SUBSTITUTE(SUBSTITUTE(SUBSTITUTE(SUBSTITUTE(A303,"/"," "),"."," "),"\"," "),"_"," ")))&amp;" ")),1,0))+IF(Task!$A$17="",0,IF(ISNUMBER(SEARCH(" "&amp;Task!$A$17&amp;" "," "&amp;LOWER(D303&amp;" "&amp;C303&amp;" "&amp;LOWER(SUBSTITUTE(SUBSTITUTE(SUBSTITUTE(SUBSTITUTE(A303,"/"," "),"."," "),"\"," "),"_"," ")))&amp;" ")),1,0))+IF(Task!$A$18="",0,IF(ISNUMBER(SEARCH(" "&amp;Task!$A$18&amp;" "," "&amp;LOWER(D303&amp;" "&amp;C303&amp;" "&amp;LOWER(SUBSTITUTE(SUBSTITUTE(SUBSTITUTE(SUBSTITUTE(A303,"/"," "),"."," "),"\"," "),"_"," ")))&amp;" ")),1,0))+IF(Task!$A$19="",0,IF(ISNUMBER(SEARCH(" "&amp;Task!$A$19&amp;" "," "&amp;LOWER(D303&amp;" "&amp;C303&amp;" "&amp;LOWER(SUBSTITUTE(SUBSTITUTE(SUBSTITUTE(SUBSTITUTE(A303,"/"," "),"."," "),"\"," "),"_"," ")))&amp;" ")),1,0)))</f>
        <v/>
      </c>
      <c r="G303" s="9">
        <f>IF(E303=0,0,IF(Task!$A$8="",0,IF(ISNUMBER(SEARCH(" "&amp;Task!$A$8&amp;" "," "&amp;LOWER(C303)&amp;" ")),1,0))+IF(Task!$A$9="",0,IF(ISNUMBER(SEARCH(" "&amp;Task!$A$9&amp;" "," "&amp;LOWER(C303)&amp;" ")),1,0))+IF(Task!$A$10="",0,IF(ISNUMBER(SEARCH(" "&amp;Task!$A$10&amp;" "," "&amp;LOWER(C303)&amp;" ")),1,0))+IF(Task!$A$11="",0,IF(ISNUMBER(SEARCH(" "&amp;Task!$A$11&amp;" "," "&amp;LOWER(C303)&amp;" ")),1,0))+IF(Task!$A$12="",0,IF(ISNUMBER(SEARCH(" "&amp;Task!$A$12&amp;" "," "&amp;LOWER(C303)&amp;" ")),1,0))+IF(Task!$A$13="",0,IF(ISNUMBER(SEARCH(" "&amp;Task!$A$13&amp;" "," "&amp;LOWER(C303)&amp;" ")),1,0))+IF(Task!$A$14="",0,IF(ISNUMBER(SEARCH(" "&amp;Task!$A$14&amp;" "," "&amp;LOWER(C303)&amp;" ")),1,0))+IF(Task!$A$15="",0,IF(ISNUMBER(SEARCH(" "&amp;Task!$A$15&amp;" "," "&amp;LOWER(C303)&amp;" ")),1,0))+IF(Task!$A$16="",0,IF(ISNUMBER(SEARCH(" "&amp;Task!$A$16&amp;" "," "&amp;LOWER(C303)&amp;" ")),1,0))+IF(Task!$A$17="",0,IF(ISNUMBER(SEARCH(" "&amp;Task!$A$17&amp;" "," "&amp;LOWER(C303)&amp;" ")),1,0))+IF(Task!$A$18="",0,IF(ISNUMBER(SEARCH(" "&amp;Task!$A$18&amp;" "," "&amp;LOWER(C303)&amp;" ")),1,0))+IF(Task!$A$19="",0,IF(ISNUMBER(SEARCH(" "&amp;Task!$A$19&amp;" "," "&amp;LOWER(C303)&amp;" ")),1,0)))</f>
        <v/>
      </c>
      <c r="H303" s="9">
        <f>IF(E303=0,0,IF(Task!$A$8="",0,IF(ISNUMBER(SEARCH(" "&amp;Task!$A$8&amp;" "," "&amp;LOWER(SUBSTITUTE(SUBSTITUTE(SUBSTITUTE(SUBSTITUTE(A303,"/"," "),"."," "),"\"," "),"_"," "))&amp;" ")),1,0))+IF(Task!$A$9="",0,IF(ISNUMBER(SEARCH(" "&amp;Task!$A$9&amp;" "," "&amp;LOWER(SUBSTITUTE(SUBSTITUTE(SUBSTITUTE(SUBSTITUTE(A303,"/"," "),"."," "),"\"," "),"_"," "))&amp;" ")),1,0))+IF(Task!$A$10="",0,IF(ISNUMBER(SEARCH(" "&amp;Task!$A$10&amp;" "," "&amp;LOWER(SUBSTITUTE(SUBSTITUTE(SUBSTITUTE(SUBSTITUTE(A303,"/"," "),"."," "),"\"," "),"_"," "))&amp;" ")),1,0))+IF(Task!$A$11="",0,IF(ISNUMBER(SEARCH(" "&amp;Task!$A$11&amp;" "," "&amp;LOWER(SUBSTITUTE(SUBSTITUTE(SUBSTITUTE(SUBSTITUTE(A303,"/"," "),"."," "),"\"," "),"_"," "))&amp;" ")),1,0))+IF(Task!$A$12="",0,IF(ISNUMBER(SEARCH(" "&amp;Task!$A$12&amp;" "," "&amp;LOWER(SUBSTITUTE(SUBSTITUTE(SUBSTITUTE(SUBSTITUTE(A303,"/"," "),"."," "),"\"," "),"_"," "))&amp;" ")),1,0))+IF(Task!$A$13="",0,IF(ISNUMBER(SEARCH(" "&amp;Task!$A$13&amp;" "," "&amp;LOWER(SUBSTITUTE(SUBSTITUTE(SUBSTITUTE(SUBSTITUTE(A303,"/"," "),"."," "),"\"," "),"_"," "))&amp;" ")),1,0))+IF(Task!$A$14="",0,IF(ISNUMBER(SEARCH(" "&amp;Task!$A$14&amp;" "," "&amp;LOWER(SUBSTITUTE(SUBSTITUTE(SUBSTITUTE(SUBSTITUTE(A303,"/"," "),"."," "),"\"," "),"_"," "))&amp;" ")),1,0))+IF(Task!$A$15="",0,IF(ISNUMBER(SEARCH(" "&amp;Task!$A$15&amp;" "," "&amp;LOWER(SUBSTITUTE(SUBSTITUTE(SUBSTITUTE(SUBSTITUTE(A303,"/"," "),"."," "),"\"," "),"_"," "))&amp;" ")),1,0))+IF(Task!$A$16="",0,IF(ISNUMBER(SEARCH(" "&amp;Task!$A$16&amp;" "," "&amp;LOWER(SUBSTITUTE(SUBSTITUTE(SUBSTITUTE(SUBSTITUTE(A303,"/"," "),"."," "),"\"," "),"_"," "))&amp;" ")),1,0))+IF(Task!$A$17="",0,IF(ISNUMBER(SEARCH(" "&amp;Task!$A$17&amp;" "," "&amp;LOWER(SUBSTITUTE(SUBSTITUTE(SUBSTITUTE(SUBSTITUTE(A303,"/"," "),"."," "),"\"," "),"_"," "))&amp;" ")),1,0))+IF(Task!$A$18="",0,IF(ISNUMBER(SEARCH(" "&amp;Task!$A$18&amp;" "," "&amp;LOWER(SUBSTITUTE(SUBSTITUTE(SUBSTITUTE(SUBSTITUTE(A303,"/"," "),"."," "),"\"," "),"_"," "))&amp;" ")),1,0))+IF(Task!$A$19="",0,IF(ISNUMBER(SEARCH(" "&amp;Task!$A$19&amp;" "," "&amp;LOWER(SUBSTITUTE(SUBSTITUTE(SUBSTITUTE(SUBSTITUTE(A303,"/"," "),"."," "),"\"," "),"_"," "))&amp;" ")),1,0)))</f>
        <v/>
      </c>
      <c r="I303" s="10">
        <f>IF(OR(E303=0,F303=0,Task!$B$21=0),"",F303/Task!$B$21+0.5*G303+0.25*H303)</f>
        <v/>
      </c>
      <c r="J303" s="5">
        <f>IF(I303="","",I303-ROW()/1000000)</f>
        <v/>
      </c>
      <c r="K303" s="9">
        <f>IF(J303="","",COUNTIF($J$5:$J$404,"&gt;"&amp;J303)+1)</f>
        <v/>
      </c>
    </row>
    <row r="304">
      <c r="A304" s="7" t="n"/>
      <c r="B304" s="7" t="n"/>
      <c r="C304" s="7" t="n"/>
      <c r="D304" s="7" t="n"/>
      <c r="E304" s="5">
        <f>IF(A304="",0,IF(COUNTA(Task!$B$5:$E$5)=0,1,IF(COUNTIF(Task!$B$5:$E$5,B304)&gt;0,1,0)))</f>
        <v/>
      </c>
      <c r="F304" s="9">
        <f>IF(E304=0,0,IF(Task!$A$8="",0,IF(ISNUMBER(SEARCH(" "&amp;Task!$A$8&amp;" "," "&amp;LOWER(D304&amp;" "&amp;C304&amp;" "&amp;LOWER(SUBSTITUTE(SUBSTITUTE(SUBSTITUTE(SUBSTITUTE(A304,"/"," "),"."," "),"\"," "),"_"," ")))&amp;" ")),1,0))+IF(Task!$A$9="",0,IF(ISNUMBER(SEARCH(" "&amp;Task!$A$9&amp;" "," "&amp;LOWER(D304&amp;" "&amp;C304&amp;" "&amp;LOWER(SUBSTITUTE(SUBSTITUTE(SUBSTITUTE(SUBSTITUTE(A304,"/"," "),"."," "),"\"," "),"_"," ")))&amp;" ")),1,0))+IF(Task!$A$10="",0,IF(ISNUMBER(SEARCH(" "&amp;Task!$A$10&amp;" "," "&amp;LOWER(D304&amp;" "&amp;C304&amp;" "&amp;LOWER(SUBSTITUTE(SUBSTITUTE(SUBSTITUTE(SUBSTITUTE(A304,"/"," "),"."," "),"\"," "),"_"," ")))&amp;" ")),1,0))+IF(Task!$A$11="",0,IF(ISNUMBER(SEARCH(" "&amp;Task!$A$11&amp;" "," "&amp;LOWER(D304&amp;" "&amp;C304&amp;" "&amp;LOWER(SUBSTITUTE(SUBSTITUTE(SUBSTITUTE(SUBSTITUTE(A304,"/"," "),"."," "),"\"," "),"_"," ")))&amp;" ")),1,0))+IF(Task!$A$12="",0,IF(ISNUMBER(SEARCH(" "&amp;Task!$A$12&amp;" "," "&amp;LOWER(D304&amp;" "&amp;C304&amp;" "&amp;LOWER(SUBSTITUTE(SUBSTITUTE(SUBSTITUTE(SUBSTITUTE(A304,"/"," "),"."," "),"\"," "),"_"," ")))&amp;" ")),1,0))+IF(Task!$A$13="",0,IF(ISNUMBER(SEARCH(" "&amp;Task!$A$13&amp;" "," "&amp;LOWER(D304&amp;" "&amp;C304&amp;" "&amp;LOWER(SUBSTITUTE(SUBSTITUTE(SUBSTITUTE(SUBSTITUTE(A304,"/"," "),"."," "),"\"," "),"_"," ")))&amp;" ")),1,0))+IF(Task!$A$14="",0,IF(ISNUMBER(SEARCH(" "&amp;Task!$A$14&amp;" "," "&amp;LOWER(D304&amp;" "&amp;C304&amp;" "&amp;LOWER(SUBSTITUTE(SUBSTITUTE(SUBSTITUTE(SUBSTITUTE(A304,"/"," "),"."," "),"\"," "),"_"," ")))&amp;" ")),1,0))+IF(Task!$A$15="",0,IF(ISNUMBER(SEARCH(" "&amp;Task!$A$15&amp;" "," "&amp;LOWER(D304&amp;" "&amp;C304&amp;" "&amp;LOWER(SUBSTITUTE(SUBSTITUTE(SUBSTITUTE(SUBSTITUTE(A304,"/"," "),"."," "),"\"," "),"_"," ")))&amp;" ")),1,0))+IF(Task!$A$16="",0,IF(ISNUMBER(SEARCH(" "&amp;Task!$A$16&amp;" "," "&amp;LOWER(D304&amp;" "&amp;C304&amp;" "&amp;LOWER(SUBSTITUTE(SUBSTITUTE(SUBSTITUTE(SUBSTITUTE(A304,"/"," "),"."," "),"\"," "),"_"," ")))&amp;" ")),1,0))+IF(Task!$A$17="",0,IF(ISNUMBER(SEARCH(" "&amp;Task!$A$17&amp;" "," "&amp;LOWER(D304&amp;" "&amp;C304&amp;" "&amp;LOWER(SUBSTITUTE(SUBSTITUTE(SUBSTITUTE(SUBSTITUTE(A304,"/"," "),"."," "),"\"," "),"_"," ")))&amp;" ")),1,0))+IF(Task!$A$18="",0,IF(ISNUMBER(SEARCH(" "&amp;Task!$A$18&amp;" "," "&amp;LOWER(D304&amp;" "&amp;C304&amp;" "&amp;LOWER(SUBSTITUTE(SUBSTITUTE(SUBSTITUTE(SUBSTITUTE(A304,"/"," "),"."," "),"\"," "),"_"," ")))&amp;" ")),1,0))+IF(Task!$A$19="",0,IF(ISNUMBER(SEARCH(" "&amp;Task!$A$19&amp;" "," "&amp;LOWER(D304&amp;" "&amp;C304&amp;" "&amp;LOWER(SUBSTITUTE(SUBSTITUTE(SUBSTITUTE(SUBSTITUTE(A304,"/"," "),"."," "),"\"," "),"_"," ")))&amp;" ")),1,0)))</f>
        <v/>
      </c>
      <c r="G304" s="9">
        <f>IF(E304=0,0,IF(Task!$A$8="",0,IF(ISNUMBER(SEARCH(" "&amp;Task!$A$8&amp;" "," "&amp;LOWER(C304)&amp;" ")),1,0))+IF(Task!$A$9="",0,IF(ISNUMBER(SEARCH(" "&amp;Task!$A$9&amp;" "," "&amp;LOWER(C304)&amp;" ")),1,0))+IF(Task!$A$10="",0,IF(ISNUMBER(SEARCH(" "&amp;Task!$A$10&amp;" "," "&amp;LOWER(C304)&amp;" ")),1,0))+IF(Task!$A$11="",0,IF(ISNUMBER(SEARCH(" "&amp;Task!$A$11&amp;" "," "&amp;LOWER(C304)&amp;" ")),1,0))+IF(Task!$A$12="",0,IF(ISNUMBER(SEARCH(" "&amp;Task!$A$12&amp;" "," "&amp;LOWER(C304)&amp;" ")),1,0))+IF(Task!$A$13="",0,IF(ISNUMBER(SEARCH(" "&amp;Task!$A$13&amp;" "," "&amp;LOWER(C304)&amp;" ")),1,0))+IF(Task!$A$14="",0,IF(ISNUMBER(SEARCH(" "&amp;Task!$A$14&amp;" "," "&amp;LOWER(C304)&amp;" ")),1,0))+IF(Task!$A$15="",0,IF(ISNUMBER(SEARCH(" "&amp;Task!$A$15&amp;" "," "&amp;LOWER(C304)&amp;" ")),1,0))+IF(Task!$A$16="",0,IF(ISNUMBER(SEARCH(" "&amp;Task!$A$16&amp;" "," "&amp;LOWER(C304)&amp;" ")),1,0))+IF(Task!$A$17="",0,IF(ISNUMBER(SEARCH(" "&amp;Task!$A$17&amp;" "," "&amp;LOWER(C304)&amp;" ")),1,0))+IF(Task!$A$18="",0,IF(ISNUMBER(SEARCH(" "&amp;Task!$A$18&amp;" "," "&amp;LOWER(C304)&amp;" ")),1,0))+IF(Task!$A$19="",0,IF(ISNUMBER(SEARCH(" "&amp;Task!$A$19&amp;" "," "&amp;LOWER(C304)&amp;" ")),1,0)))</f>
        <v/>
      </c>
      <c r="H304" s="9">
        <f>IF(E304=0,0,IF(Task!$A$8="",0,IF(ISNUMBER(SEARCH(" "&amp;Task!$A$8&amp;" "," "&amp;LOWER(SUBSTITUTE(SUBSTITUTE(SUBSTITUTE(SUBSTITUTE(A304,"/"," "),"."," "),"\"," "),"_"," "))&amp;" ")),1,0))+IF(Task!$A$9="",0,IF(ISNUMBER(SEARCH(" "&amp;Task!$A$9&amp;" "," "&amp;LOWER(SUBSTITUTE(SUBSTITUTE(SUBSTITUTE(SUBSTITUTE(A304,"/"," "),"."," "),"\"," "),"_"," "))&amp;" ")),1,0))+IF(Task!$A$10="",0,IF(ISNUMBER(SEARCH(" "&amp;Task!$A$10&amp;" "," "&amp;LOWER(SUBSTITUTE(SUBSTITUTE(SUBSTITUTE(SUBSTITUTE(A304,"/"," "),"."," "),"\"," "),"_"," "))&amp;" ")),1,0))+IF(Task!$A$11="",0,IF(ISNUMBER(SEARCH(" "&amp;Task!$A$11&amp;" "," "&amp;LOWER(SUBSTITUTE(SUBSTITUTE(SUBSTITUTE(SUBSTITUTE(A304,"/"," "),"."," "),"\"," "),"_"," "))&amp;" ")),1,0))+IF(Task!$A$12="",0,IF(ISNUMBER(SEARCH(" "&amp;Task!$A$12&amp;" "," "&amp;LOWER(SUBSTITUTE(SUBSTITUTE(SUBSTITUTE(SUBSTITUTE(A304,"/"," "),"."," "),"\"," "),"_"," "))&amp;" ")),1,0))+IF(Task!$A$13="",0,IF(ISNUMBER(SEARCH(" "&amp;Task!$A$13&amp;" "," "&amp;LOWER(SUBSTITUTE(SUBSTITUTE(SUBSTITUTE(SUBSTITUTE(A304,"/"," "),"."," "),"\"," "),"_"," "))&amp;" ")),1,0))+IF(Task!$A$14="",0,IF(ISNUMBER(SEARCH(" "&amp;Task!$A$14&amp;" "," "&amp;LOWER(SUBSTITUTE(SUBSTITUTE(SUBSTITUTE(SUBSTITUTE(A304,"/"," "),"."," "),"\"," "),"_"," "))&amp;" ")),1,0))+IF(Task!$A$15="",0,IF(ISNUMBER(SEARCH(" "&amp;Task!$A$15&amp;" "," "&amp;LOWER(SUBSTITUTE(SUBSTITUTE(SUBSTITUTE(SUBSTITUTE(A304,"/"," "),"."," "),"\"," "),"_"," "))&amp;" ")),1,0))+IF(Task!$A$16="",0,IF(ISNUMBER(SEARCH(" "&amp;Task!$A$16&amp;" "," "&amp;LOWER(SUBSTITUTE(SUBSTITUTE(SUBSTITUTE(SUBSTITUTE(A304,"/"," "),"."," "),"\"," "),"_"," "))&amp;" ")),1,0))+IF(Task!$A$17="",0,IF(ISNUMBER(SEARCH(" "&amp;Task!$A$17&amp;" "," "&amp;LOWER(SUBSTITUTE(SUBSTITUTE(SUBSTITUTE(SUBSTITUTE(A304,"/"," "),"."," "),"\"," "),"_"," "))&amp;" ")),1,0))+IF(Task!$A$18="",0,IF(ISNUMBER(SEARCH(" "&amp;Task!$A$18&amp;" "," "&amp;LOWER(SUBSTITUTE(SUBSTITUTE(SUBSTITUTE(SUBSTITUTE(A304,"/"," "),"."," "),"\"," "),"_"," "))&amp;" ")),1,0))+IF(Task!$A$19="",0,IF(ISNUMBER(SEARCH(" "&amp;Task!$A$19&amp;" "," "&amp;LOWER(SUBSTITUTE(SUBSTITUTE(SUBSTITUTE(SUBSTITUTE(A304,"/"," "),"."," "),"\"," "),"_"," "))&amp;" ")),1,0)))</f>
        <v/>
      </c>
      <c r="I304" s="10">
        <f>IF(OR(E304=0,F304=0,Task!$B$21=0),"",F304/Task!$B$21+0.5*G304+0.25*H304)</f>
        <v/>
      </c>
      <c r="J304" s="5">
        <f>IF(I304="","",I304-ROW()/1000000)</f>
        <v/>
      </c>
      <c r="K304" s="9">
        <f>IF(J304="","",COUNTIF($J$5:$J$404,"&gt;"&amp;J304)+1)</f>
        <v/>
      </c>
    </row>
    <row r="305">
      <c r="A305" s="7" t="n"/>
      <c r="B305" s="7" t="n"/>
      <c r="C305" s="7" t="n"/>
      <c r="D305" s="7" t="n"/>
      <c r="E305" s="5">
        <f>IF(A305="",0,IF(COUNTA(Task!$B$5:$E$5)=0,1,IF(COUNTIF(Task!$B$5:$E$5,B305)&gt;0,1,0)))</f>
        <v/>
      </c>
      <c r="F305" s="9">
        <f>IF(E305=0,0,IF(Task!$A$8="",0,IF(ISNUMBER(SEARCH(" "&amp;Task!$A$8&amp;" "," "&amp;LOWER(D305&amp;" "&amp;C305&amp;" "&amp;LOWER(SUBSTITUTE(SUBSTITUTE(SUBSTITUTE(SUBSTITUTE(A305,"/"," "),"."," "),"\"," "),"_"," ")))&amp;" ")),1,0))+IF(Task!$A$9="",0,IF(ISNUMBER(SEARCH(" "&amp;Task!$A$9&amp;" "," "&amp;LOWER(D305&amp;" "&amp;C305&amp;" "&amp;LOWER(SUBSTITUTE(SUBSTITUTE(SUBSTITUTE(SUBSTITUTE(A305,"/"," "),"."," "),"\"," "),"_"," ")))&amp;" ")),1,0))+IF(Task!$A$10="",0,IF(ISNUMBER(SEARCH(" "&amp;Task!$A$10&amp;" "," "&amp;LOWER(D305&amp;" "&amp;C305&amp;" "&amp;LOWER(SUBSTITUTE(SUBSTITUTE(SUBSTITUTE(SUBSTITUTE(A305,"/"," "),"."," "),"\"," "),"_"," ")))&amp;" ")),1,0))+IF(Task!$A$11="",0,IF(ISNUMBER(SEARCH(" "&amp;Task!$A$11&amp;" "," "&amp;LOWER(D305&amp;" "&amp;C305&amp;" "&amp;LOWER(SUBSTITUTE(SUBSTITUTE(SUBSTITUTE(SUBSTITUTE(A305,"/"," "),"."," "),"\"," "),"_"," ")))&amp;" ")),1,0))+IF(Task!$A$12="",0,IF(ISNUMBER(SEARCH(" "&amp;Task!$A$12&amp;" "," "&amp;LOWER(D305&amp;" "&amp;C305&amp;" "&amp;LOWER(SUBSTITUTE(SUBSTITUTE(SUBSTITUTE(SUBSTITUTE(A305,"/"," "),"."," "),"\"," "),"_"," ")))&amp;" ")),1,0))+IF(Task!$A$13="",0,IF(ISNUMBER(SEARCH(" "&amp;Task!$A$13&amp;" "," "&amp;LOWER(D305&amp;" "&amp;C305&amp;" "&amp;LOWER(SUBSTITUTE(SUBSTITUTE(SUBSTITUTE(SUBSTITUTE(A305,"/"," "),"."," "),"\"," "),"_"," ")))&amp;" ")),1,0))+IF(Task!$A$14="",0,IF(ISNUMBER(SEARCH(" "&amp;Task!$A$14&amp;" "," "&amp;LOWER(D305&amp;" "&amp;C305&amp;" "&amp;LOWER(SUBSTITUTE(SUBSTITUTE(SUBSTITUTE(SUBSTITUTE(A305,"/"," "),"."," "),"\"," "),"_"," ")))&amp;" ")),1,0))+IF(Task!$A$15="",0,IF(ISNUMBER(SEARCH(" "&amp;Task!$A$15&amp;" "," "&amp;LOWER(D305&amp;" "&amp;C305&amp;" "&amp;LOWER(SUBSTITUTE(SUBSTITUTE(SUBSTITUTE(SUBSTITUTE(A305,"/"," "),"."," "),"\"," "),"_"," ")))&amp;" ")),1,0))+IF(Task!$A$16="",0,IF(ISNUMBER(SEARCH(" "&amp;Task!$A$16&amp;" "," "&amp;LOWER(D305&amp;" "&amp;C305&amp;" "&amp;LOWER(SUBSTITUTE(SUBSTITUTE(SUBSTITUTE(SUBSTITUTE(A305,"/"," "),"."," "),"\"," "),"_"," ")))&amp;" ")),1,0))+IF(Task!$A$17="",0,IF(ISNUMBER(SEARCH(" "&amp;Task!$A$17&amp;" "," "&amp;LOWER(D305&amp;" "&amp;C305&amp;" "&amp;LOWER(SUBSTITUTE(SUBSTITUTE(SUBSTITUTE(SUBSTITUTE(A305,"/"," "),"."," "),"\"," "),"_"," ")))&amp;" ")),1,0))+IF(Task!$A$18="",0,IF(ISNUMBER(SEARCH(" "&amp;Task!$A$18&amp;" "," "&amp;LOWER(D305&amp;" "&amp;C305&amp;" "&amp;LOWER(SUBSTITUTE(SUBSTITUTE(SUBSTITUTE(SUBSTITUTE(A305,"/"," "),"."," "),"\"," "),"_"," ")))&amp;" ")),1,0))+IF(Task!$A$19="",0,IF(ISNUMBER(SEARCH(" "&amp;Task!$A$19&amp;" "," "&amp;LOWER(D305&amp;" "&amp;C305&amp;" "&amp;LOWER(SUBSTITUTE(SUBSTITUTE(SUBSTITUTE(SUBSTITUTE(A305,"/"," "),"."," "),"\"," "),"_"," ")))&amp;" ")),1,0)))</f>
        <v/>
      </c>
      <c r="G305" s="9">
        <f>IF(E305=0,0,IF(Task!$A$8="",0,IF(ISNUMBER(SEARCH(" "&amp;Task!$A$8&amp;" "," "&amp;LOWER(C305)&amp;" ")),1,0))+IF(Task!$A$9="",0,IF(ISNUMBER(SEARCH(" "&amp;Task!$A$9&amp;" "," "&amp;LOWER(C305)&amp;" ")),1,0))+IF(Task!$A$10="",0,IF(ISNUMBER(SEARCH(" "&amp;Task!$A$10&amp;" "," "&amp;LOWER(C305)&amp;" ")),1,0))+IF(Task!$A$11="",0,IF(ISNUMBER(SEARCH(" "&amp;Task!$A$11&amp;" "," "&amp;LOWER(C305)&amp;" ")),1,0))+IF(Task!$A$12="",0,IF(ISNUMBER(SEARCH(" "&amp;Task!$A$12&amp;" "," "&amp;LOWER(C305)&amp;" ")),1,0))+IF(Task!$A$13="",0,IF(ISNUMBER(SEARCH(" "&amp;Task!$A$13&amp;" "," "&amp;LOWER(C305)&amp;" ")),1,0))+IF(Task!$A$14="",0,IF(ISNUMBER(SEARCH(" "&amp;Task!$A$14&amp;" "," "&amp;LOWER(C305)&amp;" ")),1,0))+IF(Task!$A$15="",0,IF(ISNUMBER(SEARCH(" "&amp;Task!$A$15&amp;" "," "&amp;LOWER(C305)&amp;" ")),1,0))+IF(Task!$A$16="",0,IF(ISNUMBER(SEARCH(" "&amp;Task!$A$16&amp;" "," "&amp;LOWER(C305)&amp;" ")),1,0))+IF(Task!$A$17="",0,IF(ISNUMBER(SEARCH(" "&amp;Task!$A$17&amp;" "," "&amp;LOWER(C305)&amp;" ")),1,0))+IF(Task!$A$18="",0,IF(ISNUMBER(SEARCH(" "&amp;Task!$A$18&amp;" "," "&amp;LOWER(C305)&amp;" ")),1,0))+IF(Task!$A$19="",0,IF(ISNUMBER(SEARCH(" "&amp;Task!$A$19&amp;" "," "&amp;LOWER(C305)&amp;" ")),1,0)))</f>
        <v/>
      </c>
      <c r="H305" s="9">
        <f>IF(E305=0,0,IF(Task!$A$8="",0,IF(ISNUMBER(SEARCH(" "&amp;Task!$A$8&amp;" "," "&amp;LOWER(SUBSTITUTE(SUBSTITUTE(SUBSTITUTE(SUBSTITUTE(A305,"/"," "),"."," "),"\"," "),"_"," "))&amp;" ")),1,0))+IF(Task!$A$9="",0,IF(ISNUMBER(SEARCH(" "&amp;Task!$A$9&amp;" "," "&amp;LOWER(SUBSTITUTE(SUBSTITUTE(SUBSTITUTE(SUBSTITUTE(A305,"/"," "),"."," "),"\"," "),"_"," "))&amp;" ")),1,0))+IF(Task!$A$10="",0,IF(ISNUMBER(SEARCH(" "&amp;Task!$A$10&amp;" "," "&amp;LOWER(SUBSTITUTE(SUBSTITUTE(SUBSTITUTE(SUBSTITUTE(A305,"/"," "),"."," "),"\"," "),"_"," "))&amp;" ")),1,0))+IF(Task!$A$11="",0,IF(ISNUMBER(SEARCH(" "&amp;Task!$A$11&amp;" "," "&amp;LOWER(SUBSTITUTE(SUBSTITUTE(SUBSTITUTE(SUBSTITUTE(A305,"/"," "),"."," "),"\"," "),"_"," "))&amp;" ")),1,0))+IF(Task!$A$12="",0,IF(ISNUMBER(SEARCH(" "&amp;Task!$A$12&amp;" "," "&amp;LOWER(SUBSTITUTE(SUBSTITUTE(SUBSTITUTE(SUBSTITUTE(A305,"/"," "),"."," "),"\"," "),"_"," "))&amp;" ")),1,0))+IF(Task!$A$13="",0,IF(ISNUMBER(SEARCH(" "&amp;Task!$A$13&amp;" "," "&amp;LOWER(SUBSTITUTE(SUBSTITUTE(SUBSTITUTE(SUBSTITUTE(A305,"/"," "),"."," "),"\"," "),"_"," "))&amp;" ")),1,0))+IF(Task!$A$14="",0,IF(ISNUMBER(SEARCH(" "&amp;Task!$A$14&amp;" "," "&amp;LOWER(SUBSTITUTE(SUBSTITUTE(SUBSTITUTE(SUBSTITUTE(A305,"/"," "),"."," "),"\"," "),"_"," "))&amp;" ")),1,0))+IF(Task!$A$15="",0,IF(ISNUMBER(SEARCH(" "&amp;Task!$A$15&amp;" "," "&amp;LOWER(SUBSTITUTE(SUBSTITUTE(SUBSTITUTE(SUBSTITUTE(A305,"/"," "),"."," "),"\"," "),"_"," "))&amp;" ")),1,0))+IF(Task!$A$16="",0,IF(ISNUMBER(SEARCH(" "&amp;Task!$A$16&amp;" "," "&amp;LOWER(SUBSTITUTE(SUBSTITUTE(SUBSTITUTE(SUBSTITUTE(A305,"/"," "),"."," "),"\"," "),"_"," "))&amp;" ")),1,0))+IF(Task!$A$17="",0,IF(ISNUMBER(SEARCH(" "&amp;Task!$A$17&amp;" "," "&amp;LOWER(SUBSTITUTE(SUBSTITUTE(SUBSTITUTE(SUBSTITUTE(A305,"/"," "),"."," "),"\"," "),"_"," "))&amp;" ")),1,0))+IF(Task!$A$18="",0,IF(ISNUMBER(SEARCH(" "&amp;Task!$A$18&amp;" "," "&amp;LOWER(SUBSTITUTE(SUBSTITUTE(SUBSTITUTE(SUBSTITUTE(A305,"/"," "),"."," "),"\"," "),"_"," "))&amp;" ")),1,0))+IF(Task!$A$19="",0,IF(ISNUMBER(SEARCH(" "&amp;Task!$A$19&amp;" "," "&amp;LOWER(SUBSTITUTE(SUBSTITUTE(SUBSTITUTE(SUBSTITUTE(A305,"/"," "),"."," "),"\"," "),"_"," "))&amp;" ")),1,0)))</f>
        <v/>
      </c>
      <c r="I305" s="10">
        <f>IF(OR(E305=0,F305=0,Task!$B$21=0),"",F305/Task!$B$21+0.5*G305+0.25*H305)</f>
        <v/>
      </c>
      <c r="J305" s="5">
        <f>IF(I305="","",I305-ROW()/1000000)</f>
        <v/>
      </c>
      <c r="K305" s="9">
        <f>IF(J305="","",COUNTIF($J$5:$J$404,"&gt;"&amp;J305)+1)</f>
        <v/>
      </c>
    </row>
    <row r="306">
      <c r="A306" s="7" t="n"/>
      <c r="B306" s="7" t="n"/>
      <c r="C306" s="7" t="n"/>
      <c r="D306" s="7" t="n"/>
      <c r="E306" s="5">
        <f>IF(A306="",0,IF(COUNTA(Task!$B$5:$E$5)=0,1,IF(COUNTIF(Task!$B$5:$E$5,B306)&gt;0,1,0)))</f>
        <v/>
      </c>
      <c r="F306" s="9">
        <f>IF(E306=0,0,IF(Task!$A$8="",0,IF(ISNUMBER(SEARCH(" "&amp;Task!$A$8&amp;" "," "&amp;LOWER(D306&amp;" "&amp;C306&amp;" "&amp;LOWER(SUBSTITUTE(SUBSTITUTE(SUBSTITUTE(SUBSTITUTE(A306,"/"," "),"."," "),"\"," "),"_"," ")))&amp;" ")),1,0))+IF(Task!$A$9="",0,IF(ISNUMBER(SEARCH(" "&amp;Task!$A$9&amp;" "," "&amp;LOWER(D306&amp;" "&amp;C306&amp;" "&amp;LOWER(SUBSTITUTE(SUBSTITUTE(SUBSTITUTE(SUBSTITUTE(A306,"/"," "),"."," "),"\"," "),"_"," ")))&amp;" ")),1,0))+IF(Task!$A$10="",0,IF(ISNUMBER(SEARCH(" "&amp;Task!$A$10&amp;" "," "&amp;LOWER(D306&amp;" "&amp;C306&amp;" "&amp;LOWER(SUBSTITUTE(SUBSTITUTE(SUBSTITUTE(SUBSTITUTE(A306,"/"," "),"."," "),"\"," "),"_"," ")))&amp;" ")),1,0))+IF(Task!$A$11="",0,IF(ISNUMBER(SEARCH(" "&amp;Task!$A$11&amp;" "," "&amp;LOWER(D306&amp;" "&amp;C306&amp;" "&amp;LOWER(SUBSTITUTE(SUBSTITUTE(SUBSTITUTE(SUBSTITUTE(A306,"/"," "),"."," "),"\"," "),"_"," ")))&amp;" ")),1,0))+IF(Task!$A$12="",0,IF(ISNUMBER(SEARCH(" "&amp;Task!$A$12&amp;" "," "&amp;LOWER(D306&amp;" "&amp;C306&amp;" "&amp;LOWER(SUBSTITUTE(SUBSTITUTE(SUBSTITUTE(SUBSTITUTE(A306,"/"," "),"."," "),"\"," "),"_"," ")))&amp;" ")),1,0))+IF(Task!$A$13="",0,IF(ISNUMBER(SEARCH(" "&amp;Task!$A$13&amp;" "," "&amp;LOWER(D306&amp;" "&amp;C306&amp;" "&amp;LOWER(SUBSTITUTE(SUBSTITUTE(SUBSTITUTE(SUBSTITUTE(A306,"/"," "),"."," "),"\"," "),"_"," ")))&amp;" ")),1,0))+IF(Task!$A$14="",0,IF(ISNUMBER(SEARCH(" "&amp;Task!$A$14&amp;" "," "&amp;LOWER(D306&amp;" "&amp;C306&amp;" "&amp;LOWER(SUBSTITUTE(SUBSTITUTE(SUBSTITUTE(SUBSTITUTE(A306,"/"," "),"."," "),"\"," "),"_"," ")))&amp;" ")),1,0))+IF(Task!$A$15="",0,IF(ISNUMBER(SEARCH(" "&amp;Task!$A$15&amp;" "," "&amp;LOWER(D306&amp;" "&amp;C306&amp;" "&amp;LOWER(SUBSTITUTE(SUBSTITUTE(SUBSTITUTE(SUBSTITUTE(A306,"/"," "),"."," "),"\"," "),"_"," ")))&amp;" ")),1,0))+IF(Task!$A$16="",0,IF(ISNUMBER(SEARCH(" "&amp;Task!$A$16&amp;" "," "&amp;LOWER(D306&amp;" "&amp;C306&amp;" "&amp;LOWER(SUBSTITUTE(SUBSTITUTE(SUBSTITUTE(SUBSTITUTE(A306,"/"," "),"."," "),"\"," "),"_"," ")))&amp;" ")),1,0))+IF(Task!$A$17="",0,IF(ISNUMBER(SEARCH(" "&amp;Task!$A$17&amp;" "," "&amp;LOWER(D306&amp;" "&amp;C306&amp;" "&amp;LOWER(SUBSTITUTE(SUBSTITUTE(SUBSTITUTE(SUBSTITUTE(A306,"/"," "),"."," "),"\"," "),"_"," ")))&amp;" ")),1,0))+IF(Task!$A$18="",0,IF(ISNUMBER(SEARCH(" "&amp;Task!$A$18&amp;" "," "&amp;LOWER(D306&amp;" "&amp;C306&amp;" "&amp;LOWER(SUBSTITUTE(SUBSTITUTE(SUBSTITUTE(SUBSTITUTE(A306,"/"," "),"."," "),"\"," "),"_"," ")))&amp;" ")),1,0))+IF(Task!$A$19="",0,IF(ISNUMBER(SEARCH(" "&amp;Task!$A$19&amp;" "," "&amp;LOWER(D306&amp;" "&amp;C306&amp;" "&amp;LOWER(SUBSTITUTE(SUBSTITUTE(SUBSTITUTE(SUBSTITUTE(A306,"/"," "),"."," "),"\"," "),"_"," ")))&amp;" ")),1,0)))</f>
        <v/>
      </c>
      <c r="G306" s="9">
        <f>IF(E306=0,0,IF(Task!$A$8="",0,IF(ISNUMBER(SEARCH(" "&amp;Task!$A$8&amp;" "," "&amp;LOWER(C306)&amp;" ")),1,0))+IF(Task!$A$9="",0,IF(ISNUMBER(SEARCH(" "&amp;Task!$A$9&amp;" "," "&amp;LOWER(C306)&amp;" ")),1,0))+IF(Task!$A$10="",0,IF(ISNUMBER(SEARCH(" "&amp;Task!$A$10&amp;" "," "&amp;LOWER(C306)&amp;" ")),1,0))+IF(Task!$A$11="",0,IF(ISNUMBER(SEARCH(" "&amp;Task!$A$11&amp;" "," "&amp;LOWER(C306)&amp;" ")),1,0))+IF(Task!$A$12="",0,IF(ISNUMBER(SEARCH(" "&amp;Task!$A$12&amp;" "," "&amp;LOWER(C306)&amp;" ")),1,0))+IF(Task!$A$13="",0,IF(ISNUMBER(SEARCH(" "&amp;Task!$A$13&amp;" "," "&amp;LOWER(C306)&amp;" ")),1,0))+IF(Task!$A$14="",0,IF(ISNUMBER(SEARCH(" "&amp;Task!$A$14&amp;" "," "&amp;LOWER(C306)&amp;" ")),1,0))+IF(Task!$A$15="",0,IF(ISNUMBER(SEARCH(" "&amp;Task!$A$15&amp;" "," "&amp;LOWER(C306)&amp;" ")),1,0))+IF(Task!$A$16="",0,IF(ISNUMBER(SEARCH(" "&amp;Task!$A$16&amp;" "," "&amp;LOWER(C306)&amp;" ")),1,0))+IF(Task!$A$17="",0,IF(ISNUMBER(SEARCH(" "&amp;Task!$A$17&amp;" "," "&amp;LOWER(C306)&amp;" ")),1,0))+IF(Task!$A$18="",0,IF(ISNUMBER(SEARCH(" "&amp;Task!$A$18&amp;" "," "&amp;LOWER(C306)&amp;" ")),1,0))+IF(Task!$A$19="",0,IF(ISNUMBER(SEARCH(" "&amp;Task!$A$19&amp;" "," "&amp;LOWER(C306)&amp;" ")),1,0)))</f>
        <v/>
      </c>
      <c r="H306" s="9">
        <f>IF(E306=0,0,IF(Task!$A$8="",0,IF(ISNUMBER(SEARCH(" "&amp;Task!$A$8&amp;" "," "&amp;LOWER(SUBSTITUTE(SUBSTITUTE(SUBSTITUTE(SUBSTITUTE(A306,"/"," "),"."," "),"\"," "),"_"," "))&amp;" ")),1,0))+IF(Task!$A$9="",0,IF(ISNUMBER(SEARCH(" "&amp;Task!$A$9&amp;" "," "&amp;LOWER(SUBSTITUTE(SUBSTITUTE(SUBSTITUTE(SUBSTITUTE(A306,"/"," "),"."," "),"\"," "),"_"," "))&amp;" ")),1,0))+IF(Task!$A$10="",0,IF(ISNUMBER(SEARCH(" "&amp;Task!$A$10&amp;" "," "&amp;LOWER(SUBSTITUTE(SUBSTITUTE(SUBSTITUTE(SUBSTITUTE(A306,"/"," "),"."," "),"\"," "),"_"," "))&amp;" ")),1,0))+IF(Task!$A$11="",0,IF(ISNUMBER(SEARCH(" "&amp;Task!$A$11&amp;" "," "&amp;LOWER(SUBSTITUTE(SUBSTITUTE(SUBSTITUTE(SUBSTITUTE(A306,"/"," "),"."," "),"\"," "),"_"," "))&amp;" ")),1,0))+IF(Task!$A$12="",0,IF(ISNUMBER(SEARCH(" "&amp;Task!$A$12&amp;" "," "&amp;LOWER(SUBSTITUTE(SUBSTITUTE(SUBSTITUTE(SUBSTITUTE(A306,"/"," "),"."," "),"\"," "),"_"," "))&amp;" ")),1,0))+IF(Task!$A$13="",0,IF(ISNUMBER(SEARCH(" "&amp;Task!$A$13&amp;" "," "&amp;LOWER(SUBSTITUTE(SUBSTITUTE(SUBSTITUTE(SUBSTITUTE(A306,"/"," "),"."," "),"\"," "),"_"," "))&amp;" ")),1,0))+IF(Task!$A$14="",0,IF(ISNUMBER(SEARCH(" "&amp;Task!$A$14&amp;" "," "&amp;LOWER(SUBSTITUTE(SUBSTITUTE(SUBSTITUTE(SUBSTITUTE(A306,"/"," "),"."," "),"\"," "),"_"," "))&amp;" ")),1,0))+IF(Task!$A$15="",0,IF(ISNUMBER(SEARCH(" "&amp;Task!$A$15&amp;" "," "&amp;LOWER(SUBSTITUTE(SUBSTITUTE(SUBSTITUTE(SUBSTITUTE(A306,"/"," "),"."," "),"\"," "),"_"," "))&amp;" ")),1,0))+IF(Task!$A$16="",0,IF(ISNUMBER(SEARCH(" "&amp;Task!$A$16&amp;" "," "&amp;LOWER(SUBSTITUTE(SUBSTITUTE(SUBSTITUTE(SUBSTITUTE(A306,"/"," "),"."," "),"\"," "),"_"," "))&amp;" ")),1,0))+IF(Task!$A$17="",0,IF(ISNUMBER(SEARCH(" "&amp;Task!$A$17&amp;" "," "&amp;LOWER(SUBSTITUTE(SUBSTITUTE(SUBSTITUTE(SUBSTITUTE(A306,"/"," "),"."," "),"\"," "),"_"," "))&amp;" ")),1,0))+IF(Task!$A$18="",0,IF(ISNUMBER(SEARCH(" "&amp;Task!$A$18&amp;" "," "&amp;LOWER(SUBSTITUTE(SUBSTITUTE(SUBSTITUTE(SUBSTITUTE(A306,"/"," "),"."," "),"\"," "),"_"," "))&amp;" ")),1,0))+IF(Task!$A$19="",0,IF(ISNUMBER(SEARCH(" "&amp;Task!$A$19&amp;" "," "&amp;LOWER(SUBSTITUTE(SUBSTITUTE(SUBSTITUTE(SUBSTITUTE(A306,"/"," "),"."," "),"\"," "),"_"," "))&amp;" ")),1,0)))</f>
        <v/>
      </c>
      <c r="I306" s="10">
        <f>IF(OR(E306=0,F306=0,Task!$B$21=0),"",F306/Task!$B$21+0.5*G306+0.25*H306)</f>
        <v/>
      </c>
      <c r="J306" s="5">
        <f>IF(I306="","",I306-ROW()/1000000)</f>
        <v/>
      </c>
      <c r="K306" s="9">
        <f>IF(J306="","",COUNTIF($J$5:$J$404,"&gt;"&amp;J306)+1)</f>
        <v/>
      </c>
    </row>
    <row r="307">
      <c r="A307" s="7" t="n"/>
      <c r="B307" s="7" t="n"/>
      <c r="C307" s="7" t="n"/>
      <c r="D307" s="7" t="n"/>
      <c r="E307" s="5">
        <f>IF(A307="",0,IF(COUNTA(Task!$B$5:$E$5)=0,1,IF(COUNTIF(Task!$B$5:$E$5,B307)&gt;0,1,0)))</f>
        <v/>
      </c>
      <c r="F307" s="9">
        <f>IF(E307=0,0,IF(Task!$A$8="",0,IF(ISNUMBER(SEARCH(" "&amp;Task!$A$8&amp;" "," "&amp;LOWER(D307&amp;" "&amp;C307&amp;" "&amp;LOWER(SUBSTITUTE(SUBSTITUTE(SUBSTITUTE(SUBSTITUTE(A307,"/"," "),"."," "),"\"," "),"_"," ")))&amp;" ")),1,0))+IF(Task!$A$9="",0,IF(ISNUMBER(SEARCH(" "&amp;Task!$A$9&amp;" "," "&amp;LOWER(D307&amp;" "&amp;C307&amp;" "&amp;LOWER(SUBSTITUTE(SUBSTITUTE(SUBSTITUTE(SUBSTITUTE(A307,"/"," "),"."," "),"\"," "),"_"," ")))&amp;" ")),1,0))+IF(Task!$A$10="",0,IF(ISNUMBER(SEARCH(" "&amp;Task!$A$10&amp;" "," "&amp;LOWER(D307&amp;" "&amp;C307&amp;" "&amp;LOWER(SUBSTITUTE(SUBSTITUTE(SUBSTITUTE(SUBSTITUTE(A307,"/"," "),"."," "),"\"," "),"_"," ")))&amp;" ")),1,0))+IF(Task!$A$11="",0,IF(ISNUMBER(SEARCH(" "&amp;Task!$A$11&amp;" "," "&amp;LOWER(D307&amp;" "&amp;C307&amp;" "&amp;LOWER(SUBSTITUTE(SUBSTITUTE(SUBSTITUTE(SUBSTITUTE(A307,"/"," "),"."," "),"\"," "),"_"," ")))&amp;" ")),1,0))+IF(Task!$A$12="",0,IF(ISNUMBER(SEARCH(" "&amp;Task!$A$12&amp;" "," "&amp;LOWER(D307&amp;" "&amp;C307&amp;" "&amp;LOWER(SUBSTITUTE(SUBSTITUTE(SUBSTITUTE(SUBSTITUTE(A307,"/"," "),"."," "),"\"," "),"_"," ")))&amp;" ")),1,0))+IF(Task!$A$13="",0,IF(ISNUMBER(SEARCH(" "&amp;Task!$A$13&amp;" "," "&amp;LOWER(D307&amp;" "&amp;C307&amp;" "&amp;LOWER(SUBSTITUTE(SUBSTITUTE(SUBSTITUTE(SUBSTITUTE(A307,"/"," "),"."," "),"\"," "),"_"," ")))&amp;" ")),1,0))+IF(Task!$A$14="",0,IF(ISNUMBER(SEARCH(" "&amp;Task!$A$14&amp;" "," "&amp;LOWER(D307&amp;" "&amp;C307&amp;" "&amp;LOWER(SUBSTITUTE(SUBSTITUTE(SUBSTITUTE(SUBSTITUTE(A307,"/"," "),"."," "),"\"," "),"_"," ")))&amp;" ")),1,0))+IF(Task!$A$15="",0,IF(ISNUMBER(SEARCH(" "&amp;Task!$A$15&amp;" "," "&amp;LOWER(D307&amp;" "&amp;C307&amp;" "&amp;LOWER(SUBSTITUTE(SUBSTITUTE(SUBSTITUTE(SUBSTITUTE(A307,"/"," "),"."," "),"\"," "),"_"," ")))&amp;" ")),1,0))+IF(Task!$A$16="",0,IF(ISNUMBER(SEARCH(" "&amp;Task!$A$16&amp;" "," "&amp;LOWER(D307&amp;" "&amp;C307&amp;" "&amp;LOWER(SUBSTITUTE(SUBSTITUTE(SUBSTITUTE(SUBSTITUTE(A307,"/"," "),"."," "),"\"," "),"_"," ")))&amp;" ")),1,0))+IF(Task!$A$17="",0,IF(ISNUMBER(SEARCH(" "&amp;Task!$A$17&amp;" "," "&amp;LOWER(D307&amp;" "&amp;C307&amp;" "&amp;LOWER(SUBSTITUTE(SUBSTITUTE(SUBSTITUTE(SUBSTITUTE(A307,"/"," "),"."," "),"\"," "),"_"," ")))&amp;" ")),1,0))+IF(Task!$A$18="",0,IF(ISNUMBER(SEARCH(" "&amp;Task!$A$18&amp;" "," "&amp;LOWER(D307&amp;" "&amp;C307&amp;" "&amp;LOWER(SUBSTITUTE(SUBSTITUTE(SUBSTITUTE(SUBSTITUTE(A307,"/"," "),"."," "),"\"," "),"_"," ")))&amp;" ")),1,0))+IF(Task!$A$19="",0,IF(ISNUMBER(SEARCH(" "&amp;Task!$A$19&amp;" "," "&amp;LOWER(D307&amp;" "&amp;C307&amp;" "&amp;LOWER(SUBSTITUTE(SUBSTITUTE(SUBSTITUTE(SUBSTITUTE(A307,"/"," "),"."," "),"\"," "),"_"," ")))&amp;" ")),1,0)))</f>
        <v/>
      </c>
      <c r="G307" s="9">
        <f>IF(E307=0,0,IF(Task!$A$8="",0,IF(ISNUMBER(SEARCH(" "&amp;Task!$A$8&amp;" "," "&amp;LOWER(C307)&amp;" ")),1,0))+IF(Task!$A$9="",0,IF(ISNUMBER(SEARCH(" "&amp;Task!$A$9&amp;" "," "&amp;LOWER(C307)&amp;" ")),1,0))+IF(Task!$A$10="",0,IF(ISNUMBER(SEARCH(" "&amp;Task!$A$10&amp;" "," "&amp;LOWER(C307)&amp;" ")),1,0))+IF(Task!$A$11="",0,IF(ISNUMBER(SEARCH(" "&amp;Task!$A$11&amp;" "," "&amp;LOWER(C307)&amp;" ")),1,0))+IF(Task!$A$12="",0,IF(ISNUMBER(SEARCH(" "&amp;Task!$A$12&amp;" "," "&amp;LOWER(C307)&amp;" ")),1,0))+IF(Task!$A$13="",0,IF(ISNUMBER(SEARCH(" "&amp;Task!$A$13&amp;" "," "&amp;LOWER(C307)&amp;" ")),1,0))+IF(Task!$A$14="",0,IF(ISNUMBER(SEARCH(" "&amp;Task!$A$14&amp;" "," "&amp;LOWER(C307)&amp;" ")),1,0))+IF(Task!$A$15="",0,IF(ISNUMBER(SEARCH(" "&amp;Task!$A$15&amp;" "," "&amp;LOWER(C307)&amp;" ")),1,0))+IF(Task!$A$16="",0,IF(ISNUMBER(SEARCH(" "&amp;Task!$A$16&amp;" "," "&amp;LOWER(C307)&amp;" ")),1,0))+IF(Task!$A$17="",0,IF(ISNUMBER(SEARCH(" "&amp;Task!$A$17&amp;" "," "&amp;LOWER(C307)&amp;" ")),1,0))+IF(Task!$A$18="",0,IF(ISNUMBER(SEARCH(" "&amp;Task!$A$18&amp;" "," "&amp;LOWER(C307)&amp;" ")),1,0))+IF(Task!$A$19="",0,IF(ISNUMBER(SEARCH(" "&amp;Task!$A$19&amp;" "," "&amp;LOWER(C307)&amp;" ")),1,0)))</f>
        <v/>
      </c>
      <c r="H307" s="9">
        <f>IF(E307=0,0,IF(Task!$A$8="",0,IF(ISNUMBER(SEARCH(" "&amp;Task!$A$8&amp;" "," "&amp;LOWER(SUBSTITUTE(SUBSTITUTE(SUBSTITUTE(SUBSTITUTE(A307,"/"," "),"."," "),"\"," "),"_"," "))&amp;" ")),1,0))+IF(Task!$A$9="",0,IF(ISNUMBER(SEARCH(" "&amp;Task!$A$9&amp;" "," "&amp;LOWER(SUBSTITUTE(SUBSTITUTE(SUBSTITUTE(SUBSTITUTE(A307,"/"," "),"."," "),"\"," "),"_"," "))&amp;" ")),1,0))+IF(Task!$A$10="",0,IF(ISNUMBER(SEARCH(" "&amp;Task!$A$10&amp;" "," "&amp;LOWER(SUBSTITUTE(SUBSTITUTE(SUBSTITUTE(SUBSTITUTE(A307,"/"," "),"."," "),"\"," "),"_"," "))&amp;" ")),1,0))+IF(Task!$A$11="",0,IF(ISNUMBER(SEARCH(" "&amp;Task!$A$11&amp;" "," "&amp;LOWER(SUBSTITUTE(SUBSTITUTE(SUBSTITUTE(SUBSTITUTE(A307,"/"," "),"."," "),"\"," "),"_"," "))&amp;" ")),1,0))+IF(Task!$A$12="",0,IF(ISNUMBER(SEARCH(" "&amp;Task!$A$12&amp;" "," "&amp;LOWER(SUBSTITUTE(SUBSTITUTE(SUBSTITUTE(SUBSTITUTE(A307,"/"," "),"."," "),"\"," "),"_"," "))&amp;" ")),1,0))+IF(Task!$A$13="",0,IF(ISNUMBER(SEARCH(" "&amp;Task!$A$13&amp;" "," "&amp;LOWER(SUBSTITUTE(SUBSTITUTE(SUBSTITUTE(SUBSTITUTE(A307,"/"," "),"."," "),"\"," "),"_"," "))&amp;" ")),1,0))+IF(Task!$A$14="",0,IF(ISNUMBER(SEARCH(" "&amp;Task!$A$14&amp;" "," "&amp;LOWER(SUBSTITUTE(SUBSTITUTE(SUBSTITUTE(SUBSTITUTE(A307,"/"," "),"."," "),"\"," "),"_"," "))&amp;" ")),1,0))+IF(Task!$A$15="",0,IF(ISNUMBER(SEARCH(" "&amp;Task!$A$15&amp;" "," "&amp;LOWER(SUBSTITUTE(SUBSTITUTE(SUBSTITUTE(SUBSTITUTE(A307,"/"," "),"."," "),"\"," "),"_"," "))&amp;" ")),1,0))+IF(Task!$A$16="",0,IF(ISNUMBER(SEARCH(" "&amp;Task!$A$16&amp;" "," "&amp;LOWER(SUBSTITUTE(SUBSTITUTE(SUBSTITUTE(SUBSTITUTE(A307,"/"," "),"."," "),"\"," "),"_"," "))&amp;" ")),1,0))+IF(Task!$A$17="",0,IF(ISNUMBER(SEARCH(" "&amp;Task!$A$17&amp;" "," "&amp;LOWER(SUBSTITUTE(SUBSTITUTE(SUBSTITUTE(SUBSTITUTE(A307,"/"," "),"."," "),"\"," "),"_"," "))&amp;" ")),1,0))+IF(Task!$A$18="",0,IF(ISNUMBER(SEARCH(" "&amp;Task!$A$18&amp;" "," "&amp;LOWER(SUBSTITUTE(SUBSTITUTE(SUBSTITUTE(SUBSTITUTE(A307,"/"," "),"."," "),"\"," "),"_"," "))&amp;" ")),1,0))+IF(Task!$A$19="",0,IF(ISNUMBER(SEARCH(" "&amp;Task!$A$19&amp;" "," "&amp;LOWER(SUBSTITUTE(SUBSTITUTE(SUBSTITUTE(SUBSTITUTE(A307,"/"," "),"."," "),"\"," "),"_"," "))&amp;" ")),1,0)))</f>
        <v/>
      </c>
      <c r="I307" s="10">
        <f>IF(OR(E307=0,F307=0,Task!$B$21=0),"",F307/Task!$B$21+0.5*G307+0.25*H307)</f>
        <v/>
      </c>
      <c r="J307" s="5">
        <f>IF(I307="","",I307-ROW()/1000000)</f>
        <v/>
      </c>
      <c r="K307" s="9">
        <f>IF(J307="","",COUNTIF($J$5:$J$404,"&gt;"&amp;J307)+1)</f>
        <v/>
      </c>
    </row>
    <row r="308">
      <c r="A308" s="7" t="n"/>
      <c r="B308" s="7" t="n"/>
      <c r="C308" s="7" t="n"/>
      <c r="D308" s="7" t="n"/>
      <c r="E308" s="5">
        <f>IF(A308="",0,IF(COUNTA(Task!$B$5:$E$5)=0,1,IF(COUNTIF(Task!$B$5:$E$5,B308)&gt;0,1,0)))</f>
        <v/>
      </c>
      <c r="F308" s="9">
        <f>IF(E308=0,0,IF(Task!$A$8="",0,IF(ISNUMBER(SEARCH(" "&amp;Task!$A$8&amp;" "," "&amp;LOWER(D308&amp;" "&amp;C308&amp;" "&amp;LOWER(SUBSTITUTE(SUBSTITUTE(SUBSTITUTE(SUBSTITUTE(A308,"/"," "),"."," "),"\"," "),"_"," ")))&amp;" ")),1,0))+IF(Task!$A$9="",0,IF(ISNUMBER(SEARCH(" "&amp;Task!$A$9&amp;" "," "&amp;LOWER(D308&amp;" "&amp;C308&amp;" "&amp;LOWER(SUBSTITUTE(SUBSTITUTE(SUBSTITUTE(SUBSTITUTE(A308,"/"," "),"."," "),"\"," "),"_"," ")))&amp;" ")),1,0))+IF(Task!$A$10="",0,IF(ISNUMBER(SEARCH(" "&amp;Task!$A$10&amp;" "," "&amp;LOWER(D308&amp;" "&amp;C308&amp;" "&amp;LOWER(SUBSTITUTE(SUBSTITUTE(SUBSTITUTE(SUBSTITUTE(A308,"/"," "),"."," "),"\"," "),"_"," ")))&amp;" ")),1,0))+IF(Task!$A$11="",0,IF(ISNUMBER(SEARCH(" "&amp;Task!$A$11&amp;" "," "&amp;LOWER(D308&amp;" "&amp;C308&amp;" "&amp;LOWER(SUBSTITUTE(SUBSTITUTE(SUBSTITUTE(SUBSTITUTE(A308,"/"," "),"."," "),"\"," "),"_"," ")))&amp;" ")),1,0))+IF(Task!$A$12="",0,IF(ISNUMBER(SEARCH(" "&amp;Task!$A$12&amp;" "," "&amp;LOWER(D308&amp;" "&amp;C308&amp;" "&amp;LOWER(SUBSTITUTE(SUBSTITUTE(SUBSTITUTE(SUBSTITUTE(A308,"/"," "),"."," "),"\"," "),"_"," ")))&amp;" ")),1,0))+IF(Task!$A$13="",0,IF(ISNUMBER(SEARCH(" "&amp;Task!$A$13&amp;" "," "&amp;LOWER(D308&amp;" "&amp;C308&amp;" "&amp;LOWER(SUBSTITUTE(SUBSTITUTE(SUBSTITUTE(SUBSTITUTE(A308,"/"," "),"."," "),"\"," "),"_"," ")))&amp;" ")),1,0))+IF(Task!$A$14="",0,IF(ISNUMBER(SEARCH(" "&amp;Task!$A$14&amp;" "," "&amp;LOWER(D308&amp;" "&amp;C308&amp;" "&amp;LOWER(SUBSTITUTE(SUBSTITUTE(SUBSTITUTE(SUBSTITUTE(A308,"/"," "),"."," "),"\"," "),"_"," ")))&amp;" ")),1,0))+IF(Task!$A$15="",0,IF(ISNUMBER(SEARCH(" "&amp;Task!$A$15&amp;" "," "&amp;LOWER(D308&amp;" "&amp;C308&amp;" "&amp;LOWER(SUBSTITUTE(SUBSTITUTE(SUBSTITUTE(SUBSTITUTE(A308,"/"," "),"."," "),"\"," "),"_"," ")))&amp;" ")),1,0))+IF(Task!$A$16="",0,IF(ISNUMBER(SEARCH(" "&amp;Task!$A$16&amp;" "," "&amp;LOWER(D308&amp;" "&amp;C308&amp;" "&amp;LOWER(SUBSTITUTE(SUBSTITUTE(SUBSTITUTE(SUBSTITUTE(A308,"/"," "),"."," "),"\"," "),"_"," ")))&amp;" ")),1,0))+IF(Task!$A$17="",0,IF(ISNUMBER(SEARCH(" "&amp;Task!$A$17&amp;" "," "&amp;LOWER(D308&amp;" "&amp;C308&amp;" "&amp;LOWER(SUBSTITUTE(SUBSTITUTE(SUBSTITUTE(SUBSTITUTE(A308,"/"," "),"."," "),"\"," "),"_"," ")))&amp;" ")),1,0))+IF(Task!$A$18="",0,IF(ISNUMBER(SEARCH(" "&amp;Task!$A$18&amp;" "," "&amp;LOWER(D308&amp;" "&amp;C308&amp;" "&amp;LOWER(SUBSTITUTE(SUBSTITUTE(SUBSTITUTE(SUBSTITUTE(A308,"/"," "),"."," "),"\"," "),"_"," ")))&amp;" ")),1,0))+IF(Task!$A$19="",0,IF(ISNUMBER(SEARCH(" "&amp;Task!$A$19&amp;" "," "&amp;LOWER(D308&amp;" "&amp;C308&amp;" "&amp;LOWER(SUBSTITUTE(SUBSTITUTE(SUBSTITUTE(SUBSTITUTE(A308,"/"," "),"."," "),"\"," "),"_"," ")))&amp;" ")),1,0)))</f>
        <v/>
      </c>
      <c r="G308" s="9">
        <f>IF(E308=0,0,IF(Task!$A$8="",0,IF(ISNUMBER(SEARCH(" "&amp;Task!$A$8&amp;" "," "&amp;LOWER(C308)&amp;" ")),1,0))+IF(Task!$A$9="",0,IF(ISNUMBER(SEARCH(" "&amp;Task!$A$9&amp;" "," "&amp;LOWER(C308)&amp;" ")),1,0))+IF(Task!$A$10="",0,IF(ISNUMBER(SEARCH(" "&amp;Task!$A$10&amp;" "," "&amp;LOWER(C308)&amp;" ")),1,0))+IF(Task!$A$11="",0,IF(ISNUMBER(SEARCH(" "&amp;Task!$A$11&amp;" "," "&amp;LOWER(C308)&amp;" ")),1,0))+IF(Task!$A$12="",0,IF(ISNUMBER(SEARCH(" "&amp;Task!$A$12&amp;" "," "&amp;LOWER(C308)&amp;" ")),1,0))+IF(Task!$A$13="",0,IF(ISNUMBER(SEARCH(" "&amp;Task!$A$13&amp;" "," "&amp;LOWER(C308)&amp;" ")),1,0))+IF(Task!$A$14="",0,IF(ISNUMBER(SEARCH(" "&amp;Task!$A$14&amp;" "," "&amp;LOWER(C308)&amp;" ")),1,0))+IF(Task!$A$15="",0,IF(ISNUMBER(SEARCH(" "&amp;Task!$A$15&amp;" "," "&amp;LOWER(C308)&amp;" ")),1,0))+IF(Task!$A$16="",0,IF(ISNUMBER(SEARCH(" "&amp;Task!$A$16&amp;" "," "&amp;LOWER(C308)&amp;" ")),1,0))+IF(Task!$A$17="",0,IF(ISNUMBER(SEARCH(" "&amp;Task!$A$17&amp;" "," "&amp;LOWER(C308)&amp;" ")),1,0))+IF(Task!$A$18="",0,IF(ISNUMBER(SEARCH(" "&amp;Task!$A$18&amp;" "," "&amp;LOWER(C308)&amp;" ")),1,0))+IF(Task!$A$19="",0,IF(ISNUMBER(SEARCH(" "&amp;Task!$A$19&amp;" "," "&amp;LOWER(C308)&amp;" ")),1,0)))</f>
        <v/>
      </c>
      <c r="H308" s="9">
        <f>IF(E308=0,0,IF(Task!$A$8="",0,IF(ISNUMBER(SEARCH(" "&amp;Task!$A$8&amp;" "," "&amp;LOWER(SUBSTITUTE(SUBSTITUTE(SUBSTITUTE(SUBSTITUTE(A308,"/"," "),"."," "),"\"," "),"_"," "))&amp;" ")),1,0))+IF(Task!$A$9="",0,IF(ISNUMBER(SEARCH(" "&amp;Task!$A$9&amp;" "," "&amp;LOWER(SUBSTITUTE(SUBSTITUTE(SUBSTITUTE(SUBSTITUTE(A308,"/"," "),"."," "),"\"," "),"_"," "))&amp;" ")),1,0))+IF(Task!$A$10="",0,IF(ISNUMBER(SEARCH(" "&amp;Task!$A$10&amp;" "," "&amp;LOWER(SUBSTITUTE(SUBSTITUTE(SUBSTITUTE(SUBSTITUTE(A308,"/"," "),"."," "),"\"," "),"_"," "))&amp;" ")),1,0))+IF(Task!$A$11="",0,IF(ISNUMBER(SEARCH(" "&amp;Task!$A$11&amp;" "," "&amp;LOWER(SUBSTITUTE(SUBSTITUTE(SUBSTITUTE(SUBSTITUTE(A308,"/"," "),"."," "),"\"," "),"_"," "))&amp;" ")),1,0))+IF(Task!$A$12="",0,IF(ISNUMBER(SEARCH(" "&amp;Task!$A$12&amp;" "," "&amp;LOWER(SUBSTITUTE(SUBSTITUTE(SUBSTITUTE(SUBSTITUTE(A308,"/"," "),"."," "),"\"," "),"_"," "))&amp;" ")),1,0))+IF(Task!$A$13="",0,IF(ISNUMBER(SEARCH(" "&amp;Task!$A$13&amp;" "," "&amp;LOWER(SUBSTITUTE(SUBSTITUTE(SUBSTITUTE(SUBSTITUTE(A308,"/"," "),"."," "),"\"," "),"_"," "))&amp;" ")),1,0))+IF(Task!$A$14="",0,IF(ISNUMBER(SEARCH(" "&amp;Task!$A$14&amp;" "," "&amp;LOWER(SUBSTITUTE(SUBSTITUTE(SUBSTITUTE(SUBSTITUTE(A308,"/"," "),"."," "),"\"," "),"_"," "))&amp;" ")),1,0))+IF(Task!$A$15="",0,IF(ISNUMBER(SEARCH(" "&amp;Task!$A$15&amp;" "," "&amp;LOWER(SUBSTITUTE(SUBSTITUTE(SUBSTITUTE(SUBSTITUTE(A308,"/"," "),"."," "),"\"," "),"_"," "))&amp;" ")),1,0))+IF(Task!$A$16="",0,IF(ISNUMBER(SEARCH(" "&amp;Task!$A$16&amp;" "," "&amp;LOWER(SUBSTITUTE(SUBSTITUTE(SUBSTITUTE(SUBSTITUTE(A308,"/"," "),"."," "),"\"," "),"_"," "))&amp;" ")),1,0))+IF(Task!$A$17="",0,IF(ISNUMBER(SEARCH(" "&amp;Task!$A$17&amp;" "," "&amp;LOWER(SUBSTITUTE(SUBSTITUTE(SUBSTITUTE(SUBSTITUTE(A308,"/"," "),"."," "),"\"," "),"_"," "))&amp;" ")),1,0))+IF(Task!$A$18="",0,IF(ISNUMBER(SEARCH(" "&amp;Task!$A$18&amp;" "," "&amp;LOWER(SUBSTITUTE(SUBSTITUTE(SUBSTITUTE(SUBSTITUTE(A308,"/"," "),"."," "),"\"," "),"_"," "))&amp;" ")),1,0))+IF(Task!$A$19="",0,IF(ISNUMBER(SEARCH(" "&amp;Task!$A$19&amp;" "," "&amp;LOWER(SUBSTITUTE(SUBSTITUTE(SUBSTITUTE(SUBSTITUTE(A308,"/"," "),"."," "),"\"," "),"_"," "))&amp;" ")),1,0)))</f>
        <v/>
      </c>
      <c r="I308" s="10">
        <f>IF(OR(E308=0,F308=0,Task!$B$21=0),"",F308/Task!$B$21+0.5*G308+0.25*H308)</f>
        <v/>
      </c>
      <c r="J308" s="5">
        <f>IF(I308="","",I308-ROW()/1000000)</f>
        <v/>
      </c>
      <c r="K308" s="9">
        <f>IF(J308="","",COUNTIF($J$5:$J$404,"&gt;"&amp;J308)+1)</f>
        <v/>
      </c>
    </row>
    <row r="309">
      <c r="A309" s="7" t="n"/>
      <c r="B309" s="7" t="n"/>
      <c r="C309" s="7" t="n"/>
      <c r="D309" s="7" t="n"/>
      <c r="E309" s="5">
        <f>IF(A309="",0,IF(COUNTA(Task!$B$5:$E$5)=0,1,IF(COUNTIF(Task!$B$5:$E$5,B309)&gt;0,1,0)))</f>
        <v/>
      </c>
      <c r="F309" s="9">
        <f>IF(E309=0,0,IF(Task!$A$8="",0,IF(ISNUMBER(SEARCH(" "&amp;Task!$A$8&amp;" "," "&amp;LOWER(D309&amp;" "&amp;C309&amp;" "&amp;LOWER(SUBSTITUTE(SUBSTITUTE(SUBSTITUTE(SUBSTITUTE(A309,"/"," "),"."," "),"\"," "),"_"," ")))&amp;" ")),1,0))+IF(Task!$A$9="",0,IF(ISNUMBER(SEARCH(" "&amp;Task!$A$9&amp;" "," "&amp;LOWER(D309&amp;" "&amp;C309&amp;" "&amp;LOWER(SUBSTITUTE(SUBSTITUTE(SUBSTITUTE(SUBSTITUTE(A309,"/"," "),"."," "),"\"," "),"_"," ")))&amp;" ")),1,0))+IF(Task!$A$10="",0,IF(ISNUMBER(SEARCH(" "&amp;Task!$A$10&amp;" "," "&amp;LOWER(D309&amp;" "&amp;C309&amp;" "&amp;LOWER(SUBSTITUTE(SUBSTITUTE(SUBSTITUTE(SUBSTITUTE(A309,"/"," "),"."," "),"\"," "),"_"," ")))&amp;" ")),1,0))+IF(Task!$A$11="",0,IF(ISNUMBER(SEARCH(" "&amp;Task!$A$11&amp;" "," "&amp;LOWER(D309&amp;" "&amp;C309&amp;" "&amp;LOWER(SUBSTITUTE(SUBSTITUTE(SUBSTITUTE(SUBSTITUTE(A309,"/"," "),"."," "),"\"," "),"_"," ")))&amp;" ")),1,0))+IF(Task!$A$12="",0,IF(ISNUMBER(SEARCH(" "&amp;Task!$A$12&amp;" "," "&amp;LOWER(D309&amp;" "&amp;C309&amp;" "&amp;LOWER(SUBSTITUTE(SUBSTITUTE(SUBSTITUTE(SUBSTITUTE(A309,"/"," "),"."," "),"\"," "),"_"," ")))&amp;" ")),1,0))+IF(Task!$A$13="",0,IF(ISNUMBER(SEARCH(" "&amp;Task!$A$13&amp;" "," "&amp;LOWER(D309&amp;" "&amp;C309&amp;" "&amp;LOWER(SUBSTITUTE(SUBSTITUTE(SUBSTITUTE(SUBSTITUTE(A309,"/"," "),"."," "),"\"," "),"_"," ")))&amp;" ")),1,0))+IF(Task!$A$14="",0,IF(ISNUMBER(SEARCH(" "&amp;Task!$A$14&amp;" "," "&amp;LOWER(D309&amp;" "&amp;C309&amp;" "&amp;LOWER(SUBSTITUTE(SUBSTITUTE(SUBSTITUTE(SUBSTITUTE(A309,"/"," "),"."," "),"\"," "),"_"," ")))&amp;" ")),1,0))+IF(Task!$A$15="",0,IF(ISNUMBER(SEARCH(" "&amp;Task!$A$15&amp;" "," "&amp;LOWER(D309&amp;" "&amp;C309&amp;" "&amp;LOWER(SUBSTITUTE(SUBSTITUTE(SUBSTITUTE(SUBSTITUTE(A309,"/"," "),"."," "),"\"," "),"_"," ")))&amp;" ")),1,0))+IF(Task!$A$16="",0,IF(ISNUMBER(SEARCH(" "&amp;Task!$A$16&amp;" "," "&amp;LOWER(D309&amp;" "&amp;C309&amp;" "&amp;LOWER(SUBSTITUTE(SUBSTITUTE(SUBSTITUTE(SUBSTITUTE(A309,"/"," "),"."," "),"\"," "),"_"," ")))&amp;" ")),1,0))+IF(Task!$A$17="",0,IF(ISNUMBER(SEARCH(" "&amp;Task!$A$17&amp;" "," "&amp;LOWER(D309&amp;" "&amp;C309&amp;" "&amp;LOWER(SUBSTITUTE(SUBSTITUTE(SUBSTITUTE(SUBSTITUTE(A309,"/"," "),"."," "),"\"," "),"_"," ")))&amp;" ")),1,0))+IF(Task!$A$18="",0,IF(ISNUMBER(SEARCH(" "&amp;Task!$A$18&amp;" "," "&amp;LOWER(D309&amp;" "&amp;C309&amp;" "&amp;LOWER(SUBSTITUTE(SUBSTITUTE(SUBSTITUTE(SUBSTITUTE(A309,"/"," "),"."," "),"\"," "),"_"," ")))&amp;" ")),1,0))+IF(Task!$A$19="",0,IF(ISNUMBER(SEARCH(" "&amp;Task!$A$19&amp;" "," "&amp;LOWER(D309&amp;" "&amp;C309&amp;" "&amp;LOWER(SUBSTITUTE(SUBSTITUTE(SUBSTITUTE(SUBSTITUTE(A309,"/"," "),"."," "),"\"," "),"_"," ")))&amp;" ")),1,0)))</f>
        <v/>
      </c>
      <c r="G309" s="9">
        <f>IF(E309=0,0,IF(Task!$A$8="",0,IF(ISNUMBER(SEARCH(" "&amp;Task!$A$8&amp;" "," "&amp;LOWER(C309)&amp;" ")),1,0))+IF(Task!$A$9="",0,IF(ISNUMBER(SEARCH(" "&amp;Task!$A$9&amp;" "," "&amp;LOWER(C309)&amp;" ")),1,0))+IF(Task!$A$10="",0,IF(ISNUMBER(SEARCH(" "&amp;Task!$A$10&amp;" "," "&amp;LOWER(C309)&amp;" ")),1,0))+IF(Task!$A$11="",0,IF(ISNUMBER(SEARCH(" "&amp;Task!$A$11&amp;" "," "&amp;LOWER(C309)&amp;" ")),1,0))+IF(Task!$A$12="",0,IF(ISNUMBER(SEARCH(" "&amp;Task!$A$12&amp;" "," "&amp;LOWER(C309)&amp;" ")),1,0))+IF(Task!$A$13="",0,IF(ISNUMBER(SEARCH(" "&amp;Task!$A$13&amp;" "," "&amp;LOWER(C309)&amp;" ")),1,0))+IF(Task!$A$14="",0,IF(ISNUMBER(SEARCH(" "&amp;Task!$A$14&amp;" "," "&amp;LOWER(C309)&amp;" ")),1,0))+IF(Task!$A$15="",0,IF(ISNUMBER(SEARCH(" "&amp;Task!$A$15&amp;" "," "&amp;LOWER(C309)&amp;" ")),1,0))+IF(Task!$A$16="",0,IF(ISNUMBER(SEARCH(" "&amp;Task!$A$16&amp;" "," "&amp;LOWER(C309)&amp;" ")),1,0))+IF(Task!$A$17="",0,IF(ISNUMBER(SEARCH(" "&amp;Task!$A$17&amp;" "," "&amp;LOWER(C309)&amp;" ")),1,0))+IF(Task!$A$18="",0,IF(ISNUMBER(SEARCH(" "&amp;Task!$A$18&amp;" "," "&amp;LOWER(C309)&amp;" ")),1,0))+IF(Task!$A$19="",0,IF(ISNUMBER(SEARCH(" "&amp;Task!$A$19&amp;" "," "&amp;LOWER(C309)&amp;" ")),1,0)))</f>
        <v/>
      </c>
      <c r="H309" s="9">
        <f>IF(E309=0,0,IF(Task!$A$8="",0,IF(ISNUMBER(SEARCH(" "&amp;Task!$A$8&amp;" "," "&amp;LOWER(SUBSTITUTE(SUBSTITUTE(SUBSTITUTE(SUBSTITUTE(A309,"/"," "),"."," "),"\"," "),"_"," "))&amp;" ")),1,0))+IF(Task!$A$9="",0,IF(ISNUMBER(SEARCH(" "&amp;Task!$A$9&amp;" "," "&amp;LOWER(SUBSTITUTE(SUBSTITUTE(SUBSTITUTE(SUBSTITUTE(A309,"/"," "),"."," "),"\"," "),"_"," "))&amp;" ")),1,0))+IF(Task!$A$10="",0,IF(ISNUMBER(SEARCH(" "&amp;Task!$A$10&amp;" "," "&amp;LOWER(SUBSTITUTE(SUBSTITUTE(SUBSTITUTE(SUBSTITUTE(A309,"/"," "),"."," "),"\"," "),"_"," "))&amp;" ")),1,0))+IF(Task!$A$11="",0,IF(ISNUMBER(SEARCH(" "&amp;Task!$A$11&amp;" "," "&amp;LOWER(SUBSTITUTE(SUBSTITUTE(SUBSTITUTE(SUBSTITUTE(A309,"/"," "),"."," "),"\"," "),"_"," "))&amp;" ")),1,0))+IF(Task!$A$12="",0,IF(ISNUMBER(SEARCH(" "&amp;Task!$A$12&amp;" "," "&amp;LOWER(SUBSTITUTE(SUBSTITUTE(SUBSTITUTE(SUBSTITUTE(A309,"/"," "),"."," "),"\"," "),"_"," "))&amp;" ")),1,0))+IF(Task!$A$13="",0,IF(ISNUMBER(SEARCH(" "&amp;Task!$A$13&amp;" "," "&amp;LOWER(SUBSTITUTE(SUBSTITUTE(SUBSTITUTE(SUBSTITUTE(A309,"/"," "),"."," "),"\"," "),"_"," "))&amp;" ")),1,0))+IF(Task!$A$14="",0,IF(ISNUMBER(SEARCH(" "&amp;Task!$A$14&amp;" "," "&amp;LOWER(SUBSTITUTE(SUBSTITUTE(SUBSTITUTE(SUBSTITUTE(A309,"/"," "),"."," "),"\"," "),"_"," "))&amp;" ")),1,0))+IF(Task!$A$15="",0,IF(ISNUMBER(SEARCH(" "&amp;Task!$A$15&amp;" "," "&amp;LOWER(SUBSTITUTE(SUBSTITUTE(SUBSTITUTE(SUBSTITUTE(A309,"/"," "),"."," "),"\"," "),"_"," "))&amp;" ")),1,0))+IF(Task!$A$16="",0,IF(ISNUMBER(SEARCH(" "&amp;Task!$A$16&amp;" "," "&amp;LOWER(SUBSTITUTE(SUBSTITUTE(SUBSTITUTE(SUBSTITUTE(A309,"/"," "),"."," "),"\"," "),"_"," "))&amp;" ")),1,0))+IF(Task!$A$17="",0,IF(ISNUMBER(SEARCH(" "&amp;Task!$A$17&amp;" "," "&amp;LOWER(SUBSTITUTE(SUBSTITUTE(SUBSTITUTE(SUBSTITUTE(A309,"/"," "),"."," "),"\"," "),"_"," "))&amp;" ")),1,0))+IF(Task!$A$18="",0,IF(ISNUMBER(SEARCH(" "&amp;Task!$A$18&amp;" "," "&amp;LOWER(SUBSTITUTE(SUBSTITUTE(SUBSTITUTE(SUBSTITUTE(A309,"/"," "),"."," "),"\"," "),"_"," "))&amp;" ")),1,0))+IF(Task!$A$19="",0,IF(ISNUMBER(SEARCH(" "&amp;Task!$A$19&amp;" "," "&amp;LOWER(SUBSTITUTE(SUBSTITUTE(SUBSTITUTE(SUBSTITUTE(A309,"/"," "),"."," "),"\"," "),"_"," "))&amp;" ")),1,0)))</f>
        <v/>
      </c>
      <c r="I309" s="10">
        <f>IF(OR(E309=0,F309=0,Task!$B$21=0),"",F309/Task!$B$21+0.5*G309+0.25*H309)</f>
        <v/>
      </c>
      <c r="J309" s="5">
        <f>IF(I309="","",I309-ROW()/1000000)</f>
        <v/>
      </c>
      <c r="K309" s="9">
        <f>IF(J309="","",COUNTIF($J$5:$J$404,"&gt;"&amp;J309)+1)</f>
        <v/>
      </c>
    </row>
    <row r="310">
      <c r="A310" s="7" t="n"/>
      <c r="B310" s="7" t="n"/>
      <c r="C310" s="7" t="n"/>
      <c r="D310" s="7" t="n"/>
      <c r="E310" s="5">
        <f>IF(A310="",0,IF(COUNTA(Task!$B$5:$E$5)=0,1,IF(COUNTIF(Task!$B$5:$E$5,B310)&gt;0,1,0)))</f>
        <v/>
      </c>
      <c r="F310" s="9">
        <f>IF(E310=0,0,IF(Task!$A$8="",0,IF(ISNUMBER(SEARCH(" "&amp;Task!$A$8&amp;" "," "&amp;LOWER(D310&amp;" "&amp;C310&amp;" "&amp;LOWER(SUBSTITUTE(SUBSTITUTE(SUBSTITUTE(SUBSTITUTE(A310,"/"," "),"."," "),"\"," "),"_"," ")))&amp;" ")),1,0))+IF(Task!$A$9="",0,IF(ISNUMBER(SEARCH(" "&amp;Task!$A$9&amp;" "," "&amp;LOWER(D310&amp;" "&amp;C310&amp;" "&amp;LOWER(SUBSTITUTE(SUBSTITUTE(SUBSTITUTE(SUBSTITUTE(A310,"/"," "),"."," "),"\"," "),"_"," ")))&amp;" ")),1,0))+IF(Task!$A$10="",0,IF(ISNUMBER(SEARCH(" "&amp;Task!$A$10&amp;" "," "&amp;LOWER(D310&amp;" "&amp;C310&amp;" "&amp;LOWER(SUBSTITUTE(SUBSTITUTE(SUBSTITUTE(SUBSTITUTE(A310,"/"," "),"."," "),"\"," "),"_"," ")))&amp;" ")),1,0))+IF(Task!$A$11="",0,IF(ISNUMBER(SEARCH(" "&amp;Task!$A$11&amp;" "," "&amp;LOWER(D310&amp;" "&amp;C310&amp;" "&amp;LOWER(SUBSTITUTE(SUBSTITUTE(SUBSTITUTE(SUBSTITUTE(A310,"/"," "),"."," "),"\"," "),"_"," ")))&amp;" ")),1,0))+IF(Task!$A$12="",0,IF(ISNUMBER(SEARCH(" "&amp;Task!$A$12&amp;" "," "&amp;LOWER(D310&amp;" "&amp;C310&amp;" "&amp;LOWER(SUBSTITUTE(SUBSTITUTE(SUBSTITUTE(SUBSTITUTE(A310,"/"," "),"."," "),"\"," "),"_"," ")))&amp;" ")),1,0))+IF(Task!$A$13="",0,IF(ISNUMBER(SEARCH(" "&amp;Task!$A$13&amp;" "," "&amp;LOWER(D310&amp;" "&amp;C310&amp;" "&amp;LOWER(SUBSTITUTE(SUBSTITUTE(SUBSTITUTE(SUBSTITUTE(A310,"/"," "),"."," "),"\"," "),"_"," ")))&amp;" ")),1,0))+IF(Task!$A$14="",0,IF(ISNUMBER(SEARCH(" "&amp;Task!$A$14&amp;" "," "&amp;LOWER(D310&amp;" "&amp;C310&amp;" "&amp;LOWER(SUBSTITUTE(SUBSTITUTE(SUBSTITUTE(SUBSTITUTE(A310,"/"," "),"."," "),"\"," "),"_"," ")))&amp;" ")),1,0))+IF(Task!$A$15="",0,IF(ISNUMBER(SEARCH(" "&amp;Task!$A$15&amp;" "," "&amp;LOWER(D310&amp;" "&amp;C310&amp;" "&amp;LOWER(SUBSTITUTE(SUBSTITUTE(SUBSTITUTE(SUBSTITUTE(A310,"/"," "),"."," "),"\"," "),"_"," ")))&amp;" ")),1,0))+IF(Task!$A$16="",0,IF(ISNUMBER(SEARCH(" "&amp;Task!$A$16&amp;" "," "&amp;LOWER(D310&amp;" "&amp;C310&amp;" "&amp;LOWER(SUBSTITUTE(SUBSTITUTE(SUBSTITUTE(SUBSTITUTE(A310,"/"," "),"."," "),"\"," "),"_"," ")))&amp;" ")),1,0))+IF(Task!$A$17="",0,IF(ISNUMBER(SEARCH(" "&amp;Task!$A$17&amp;" "," "&amp;LOWER(D310&amp;" "&amp;C310&amp;" "&amp;LOWER(SUBSTITUTE(SUBSTITUTE(SUBSTITUTE(SUBSTITUTE(A310,"/"," "),"."," "),"\"," "),"_"," ")))&amp;" ")),1,0))+IF(Task!$A$18="",0,IF(ISNUMBER(SEARCH(" "&amp;Task!$A$18&amp;" "," "&amp;LOWER(D310&amp;" "&amp;C310&amp;" "&amp;LOWER(SUBSTITUTE(SUBSTITUTE(SUBSTITUTE(SUBSTITUTE(A310,"/"," "),"."," "),"\"," "),"_"," ")))&amp;" ")),1,0))+IF(Task!$A$19="",0,IF(ISNUMBER(SEARCH(" "&amp;Task!$A$19&amp;" "," "&amp;LOWER(D310&amp;" "&amp;C310&amp;" "&amp;LOWER(SUBSTITUTE(SUBSTITUTE(SUBSTITUTE(SUBSTITUTE(A310,"/"," "),"."," "),"\"," "),"_"," ")))&amp;" ")),1,0)))</f>
        <v/>
      </c>
      <c r="G310" s="9">
        <f>IF(E310=0,0,IF(Task!$A$8="",0,IF(ISNUMBER(SEARCH(" "&amp;Task!$A$8&amp;" "," "&amp;LOWER(C310)&amp;" ")),1,0))+IF(Task!$A$9="",0,IF(ISNUMBER(SEARCH(" "&amp;Task!$A$9&amp;" "," "&amp;LOWER(C310)&amp;" ")),1,0))+IF(Task!$A$10="",0,IF(ISNUMBER(SEARCH(" "&amp;Task!$A$10&amp;" "," "&amp;LOWER(C310)&amp;" ")),1,0))+IF(Task!$A$11="",0,IF(ISNUMBER(SEARCH(" "&amp;Task!$A$11&amp;" "," "&amp;LOWER(C310)&amp;" ")),1,0))+IF(Task!$A$12="",0,IF(ISNUMBER(SEARCH(" "&amp;Task!$A$12&amp;" "," "&amp;LOWER(C310)&amp;" ")),1,0))+IF(Task!$A$13="",0,IF(ISNUMBER(SEARCH(" "&amp;Task!$A$13&amp;" "," "&amp;LOWER(C310)&amp;" ")),1,0))+IF(Task!$A$14="",0,IF(ISNUMBER(SEARCH(" "&amp;Task!$A$14&amp;" "," "&amp;LOWER(C310)&amp;" ")),1,0))+IF(Task!$A$15="",0,IF(ISNUMBER(SEARCH(" "&amp;Task!$A$15&amp;" "," "&amp;LOWER(C310)&amp;" ")),1,0))+IF(Task!$A$16="",0,IF(ISNUMBER(SEARCH(" "&amp;Task!$A$16&amp;" "," "&amp;LOWER(C310)&amp;" ")),1,0))+IF(Task!$A$17="",0,IF(ISNUMBER(SEARCH(" "&amp;Task!$A$17&amp;" "," "&amp;LOWER(C310)&amp;" ")),1,0))+IF(Task!$A$18="",0,IF(ISNUMBER(SEARCH(" "&amp;Task!$A$18&amp;" "," "&amp;LOWER(C310)&amp;" ")),1,0))+IF(Task!$A$19="",0,IF(ISNUMBER(SEARCH(" "&amp;Task!$A$19&amp;" "," "&amp;LOWER(C310)&amp;" ")),1,0)))</f>
        <v/>
      </c>
      <c r="H310" s="9">
        <f>IF(E310=0,0,IF(Task!$A$8="",0,IF(ISNUMBER(SEARCH(" "&amp;Task!$A$8&amp;" "," "&amp;LOWER(SUBSTITUTE(SUBSTITUTE(SUBSTITUTE(SUBSTITUTE(A310,"/"," "),"."," "),"\"," "),"_"," "))&amp;" ")),1,0))+IF(Task!$A$9="",0,IF(ISNUMBER(SEARCH(" "&amp;Task!$A$9&amp;" "," "&amp;LOWER(SUBSTITUTE(SUBSTITUTE(SUBSTITUTE(SUBSTITUTE(A310,"/"," "),"."," "),"\"," "),"_"," "))&amp;" ")),1,0))+IF(Task!$A$10="",0,IF(ISNUMBER(SEARCH(" "&amp;Task!$A$10&amp;" "," "&amp;LOWER(SUBSTITUTE(SUBSTITUTE(SUBSTITUTE(SUBSTITUTE(A310,"/"," "),"."," "),"\"," "),"_"," "))&amp;" ")),1,0))+IF(Task!$A$11="",0,IF(ISNUMBER(SEARCH(" "&amp;Task!$A$11&amp;" "," "&amp;LOWER(SUBSTITUTE(SUBSTITUTE(SUBSTITUTE(SUBSTITUTE(A310,"/"," "),"."," "),"\"," "),"_"," "))&amp;" ")),1,0))+IF(Task!$A$12="",0,IF(ISNUMBER(SEARCH(" "&amp;Task!$A$12&amp;" "," "&amp;LOWER(SUBSTITUTE(SUBSTITUTE(SUBSTITUTE(SUBSTITUTE(A310,"/"," "),"."," "),"\"," "),"_"," "))&amp;" ")),1,0))+IF(Task!$A$13="",0,IF(ISNUMBER(SEARCH(" "&amp;Task!$A$13&amp;" "," "&amp;LOWER(SUBSTITUTE(SUBSTITUTE(SUBSTITUTE(SUBSTITUTE(A310,"/"," "),"."," "),"\"," "),"_"," "))&amp;" ")),1,0))+IF(Task!$A$14="",0,IF(ISNUMBER(SEARCH(" "&amp;Task!$A$14&amp;" "," "&amp;LOWER(SUBSTITUTE(SUBSTITUTE(SUBSTITUTE(SUBSTITUTE(A310,"/"," "),"."," "),"\"," "),"_"," "))&amp;" ")),1,0))+IF(Task!$A$15="",0,IF(ISNUMBER(SEARCH(" "&amp;Task!$A$15&amp;" "," "&amp;LOWER(SUBSTITUTE(SUBSTITUTE(SUBSTITUTE(SUBSTITUTE(A310,"/"," "),"."," "),"\"," "),"_"," "))&amp;" ")),1,0))+IF(Task!$A$16="",0,IF(ISNUMBER(SEARCH(" "&amp;Task!$A$16&amp;" "," "&amp;LOWER(SUBSTITUTE(SUBSTITUTE(SUBSTITUTE(SUBSTITUTE(A310,"/"," "),"."," "),"\"," "),"_"," "))&amp;" ")),1,0))+IF(Task!$A$17="",0,IF(ISNUMBER(SEARCH(" "&amp;Task!$A$17&amp;" "," "&amp;LOWER(SUBSTITUTE(SUBSTITUTE(SUBSTITUTE(SUBSTITUTE(A310,"/"," "),"."," "),"\"," "),"_"," "))&amp;" ")),1,0))+IF(Task!$A$18="",0,IF(ISNUMBER(SEARCH(" "&amp;Task!$A$18&amp;" "," "&amp;LOWER(SUBSTITUTE(SUBSTITUTE(SUBSTITUTE(SUBSTITUTE(A310,"/"," "),"."," "),"\"," "),"_"," "))&amp;" ")),1,0))+IF(Task!$A$19="",0,IF(ISNUMBER(SEARCH(" "&amp;Task!$A$19&amp;" "," "&amp;LOWER(SUBSTITUTE(SUBSTITUTE(SUBSTITUTE(SUBSTITUTE(A310,"/"," "),"."," "),"\"," "),"_"," "))&amp;" ")),1,0)))</f>
        <v/>
      </c>
      <c r="I310" s="10">
        <f>IF(OR(E310=0,F310=0,Task!$B$21=0),"",F310/Task!$B$21+0.5*G310+0.25*H310)</f>
        <v/>
      </c>
      <c r="J310" s="5">
        <f>IF(I310="","",I310-ROW()/1000000)</f>
        <v/>
      </c>
      <c r="K310" s="9">
        <f>IF(J310="","",COUNTIF($J$5:$J$404,"&gt;"&amp;J310)+1)</f>
        <v/>
      </c>
    </row>
    <row r="311">
      <c r="A311" s="7" t="n"/>
      <c r="B311" s="7" t="n"/>
      <c r="C311" s="7" t="n"/>
      <c r="D311" s="7" t="n"/>
      <c r="E311" s="5">
        <f>IF(A311="",0,IF(COUNTA(Task!$B$5:$E$5)=0,1,IF(COUNTIF(Task!$B$5:$E$5,B311)&gt;0,1,0)))</f>
        <v/>
      </c>
      <c r="F311" s="9">
        <f>IF(E311=0,0,IF(Task!$A$8="",0,IF(ISNUMBER(SEARCH(" "&amp;Task!$A$8&amp;" "," "&amp;LOWER(D311&amp;" "&amp;C311&amp;" "&amp;LOWER(SUBSTITUTE(SUBSTITUTE(SUBSTITUTE(SUBSTITUTE(A311,"/"," "),"."," "),"\"," "),"_"," ")))&amp;" ")),1,0))+IF(Task!$A$9="",0,IF(ISNUMBER(SEARCH(" "&amp;Task!$A$9&amp;" "," "&amp;LOWER(D311&amp;" "&amp;C311&amp;" "&amp;LOWER(SUBSTITUTE(SUBSTITUTE(SUBSTITUTE(SUBSTITUTE(A311,"/"," "),"."," "),"\"," "),"_"," ")))&amp;" ")),1,0))+IF(Task!$A$10="",0,IF(ISNUMBER(SEARCH(" "&amp;Task!$A$10&amp;" "," "&amp;LOWER(D311&amp;" "&amp;C311&amp;" "&amp;LOWER(SUBSTITUTE(SUBSTITUTE(SUBSTITUTE(SUBSTITUTE(A311,"/"," "),"."," "),"\"," "),"_"," ")))&amp;" ")),1,0))+IF(Task!$A$11="",0,IF(ISNUMBER(SEARCH(" "&amp;Task!$A$11&amp;" "," "&amp;LOWER(D311&amp;" "&amp;C311&amp;" "&amp;LOWER(SUBSTITUTE(SUBSTITUTE(SUBSTITUTE(SUBSTITUTE(A311,"/"," "),"."," "),"\"," "),"_"," ")))&amp;" ")),1,0))+IF(Task!$A$12="",0,IF(ISNUMBER(SEARCH(" "&amp;Task!$A$12&amp;" "," "&amp;LOWER(D311&amp;" "&amp;C311&amp;" "&amp;LOWER(SUBSTITUTE(SUBSTITUTE(SUBSTITUTE(SUBSTITUTE(A311,"/"," "),"."," "),"\"," "),"_"," ")))&amp;" ")),1,0))+IF(Task!$A$13="",0,IF(ISNUMBER(SEARCH(" "&amp;Task!$A$13&amp;" "," "&amp;LOWER(D311&amp;" "&amp;C311&amp;" "&amp;LOWER(SUBSTITUTE(SUBSTITUTE(SUBSTITUTE(SUBSTITUTE(A311,"/"," "),"."," "),"\"," "),"_"," ")))&amp;" ")),1,0))+IF(Task!$A$14="",0,IF(ISNUMBER(SEARCH(" "&amp;Task!$A$14&amp;" "," "&amp;LOWER(D311&amp;" "&amp;C311&amp;" "&amp;LOWER(SUBSTITUTE(SUBSTITUTE(SUBSTITUTE(SUBSTITUTE(A311,"/"," "),"."," "),"\"," "),"_"," ")))&amp;" ")),1,0))+IF(Task!$A$15="",0,IF(ISNUMBER(SEARCH(" "&amp;Task!$A$15&amp;" "," "&amp;LOWER(D311&amp;" "&amp;C311&amp;" "&amp;LOWER(SUBSTITUTE(SUBSTITUTE(SUBSTITUTE(SUBSTITUTE(A311,"/"," "),"."," "),"\"," "),"_"," ")))&amp;" ")),1,0))+IF(Task!$A$16="",0,IF(ISNUMBER(SEARCH(" "&amp;Task!$A$16&amp;" "," "&amp;LOWER(D311&amp;" "&amp;C311&amp;" "&amp;LOWER(SUBSTITUTE(SUBSTITUTE(SUBSTITUTE(SUBSTITUTE(A311,"/"," "),"."," "),"\"," "),"_"," ")))&amp;" ")),1,0))+IF(Task!$A$17="",0,IF(ISNUMBER(SEARCH(" "&amp;Task!$A$17&amp;" "," "&amp;LOWER(D311&amp;" "&amp;C311&amp;" "&amp;LOWER(SUBSTITUTE(SUBSTITUTE(SUBSTITUTE(SUBSTITUTE(A311,"/"," "),"."," "),"\"," "),"_"," ")))&amp;" ")),1,0))+IF(Task!$A$18="",0,IF(ISNUMBER(SEARCH(" "&amp;Task!$A$18&amp;" "," "&amp;LOWER(D311&amp;" "&amp;C311&amp;" "&amp;LOWER(SUBSTITUTE(SUBSTITUTE(SUBSTITUTE(SUBSTITUTE(A311,"/"," "),"."," "),"\"," "),"_"," ")))&amp;" ")),1,0))+IF(Task!$A$19="",0,IF(ISNUMBER(SEARCH(" "&amp;Task!$A$19&amp;" "," "&amp;LOWER(D311&amp;" "&amp;C311&amp;" "&amp;LOWER(SUBSTITUTE(SUBSTITUTE(SUBSTITUTE(SUBSTITUTE(A311,"/"," "),"."," "),"\"," "),"_"," ")))&amp;" ")),1,0)))</f>
        <v/>
      </c>
      <c r="G311" s="9">
        <f>IF(E311=0,0,IF(Task!$A$8="",0,IF(ISNUMBER(SEARCH(" "&amp;Task!$A$8&amp;" "," "&amp;LOWER(C311)&amp;" ")),1,0))+IF(Task!$A$9="",0,IF(ISNUMBER(SEARCH(" "&amp;Task!$A$9&amp;" "," "&amp;LOWER(C311)&amp;" ")),1,0))+IF(Task!$A$10="",0,IF(ISNUMBER(SEARCH(" "&amp;Task!$A$10&amp;" "," "&amp;LOWER(C311)&amp;" ")),1,0))+IF(Task!$A$11="",0,IF(ISNUMBER(SEARCH(" "&amp;Task!$A$11&amp;" "," "&amp;LOWER(C311)&amp;" ")),1,0))+IF(Task!$A$12="",0,IF(ISNUMBER(SEARCH(" "&amp;Task!$A$12&amp;" "," "&amp;LOWER(C311)&amp;" ")),1,0))+IF(Task!$A$13="",0,IF(ISNUMBER(SEARCH(" "&amp;Task!$A$13&amp;" "," "&amp;LOWER(C311)&amp;" ")),1,0))+IF(Task!$A$14="",0,IF(ISNUMBER(SEARCH(" "&amp;Task!$A$14&amp;" "," "&amp;LOWER(C311)&amp;" ")),1,0))+IF(Task!$A$15="",0,IF(ISNUMBER(SEARCH(" "&amp;Task!$A$15&amp;" "," "&amp;LOWER(C311)&amp;" ")),1,0))+IF(Task!$A$16="",0,IF(ISNUMBER(SEARCH(" "&amp;Task!$A$16&amp;" "," "&amp;LOWER(C311)&amp;" ")),1,0))+IF(Task!$A$17="",0,IF(ISNUMBER(SEARCH(" "&amp;Task!$A$17&amp;" "," "&amp;LOWER(C311)&amp;" ")),1,0))+IF(Task!$A$18="",0,IF(ISNUMBER(SEARCH(" "&amp;Task!$A$18&amp;" "," "&amp;LOWER(C311)&amp;" ")),1,0))+IF(Task!$A$19="",0,IF(ISNUMBER(SEARCH(" "&amp;Task!$A$19&amp;" "," "&amp;LOWER(C311)&amp;" ")),1,0)))</f>
        <v/>
      </c>
      <c r="H311" s="9">
        <f>IF(E311=0,0,IF(Task!$A$8="",0,IF(ISNUMBER(SEARCH(" "&amp;Task!$A$8&amp;" "," "&amp;LOWER(SUBSTITUTE(SUBSTITUTE(SUBSTITUTE(SUBSTITUTE(A311,"/"," "),"."," "),"\"," "),"_"," "))&amp;" ")),1,0))+IF(Task!$A$9="",0,IF(ISNUMBER(SEARCH(" "&amp;Task!$A$9&amp;" "," "&amp;LOWER(SUBSTITUTE(SUBSTITUTE(SUBSTITUTE(SUBSTITUTE(A311,"/"," "),"."," "),"\"," "),"_"," "))&amp;" ")),1,0))+IF(Task!$A$10="",0,IF(ISNUMBER(SEARCH(" "&amp;Task!$A$10&amp;" "," "&amp;LOWER(SUBSTITUTE(SUBSTITUTE(SUBSTITUTE(SUBSTITUTE(A311,"/"," "),"."," "),"\"," "),"_"," "))&amp;" ")),1,0))+IF(Task!$A$11="",0,IF(ISNUMBER(SEARCH(" "&amp;Task!$A$11&amp;" "," "&amp;LOWER(SUBSTITUTE(SUBSTITUTE(SUBSTITUTE(SUBSTITUTE(A311,"/"," "),"."," "),"\"," "),"_"," "))&amp;" ")),1,0))+IF(Task!$A$12="",0,IF(ISNUMBER(SEARCH(" "&amp;Task!$A$12&amp;" "," "&amp;LOWER(SUBSTITUTE(SUBSTITUTE(SUBSTITUTE(SUBSTITUTE(A311,"/"," "),"."," "),"\"," "),"_"," "))&amp;" ")),1,0))+IF(Task!$A$13="",0,IF(ISNUMBER(SEARCH(" "&amp;Task!$A$13&amp;" "," "&amp;LOWER(SUBSTITUTE(SUBSTITUTE(SUBSTITUTE(SUBSTITUTE(A311,"/"," "),"."," "),"\"," "),"_"," "))&amp;" ")),1,0))+IF(Task!$A$14="",0,IF(ISNUMBER(SEARCH(" "&amp;Task!$A$14&amp;" "," "&amp;LOWER(SUBSTITUTE(SUBSTITUTE(SUBSTITUTE(SUBSTITUTE(A311,"/"," "),"."," "),"\"," "),"_"," "))&amp;" ")),1,0))+IF(Task!$A$15="",0,IF(ISNUMBER(SEARCH(" "&amp;Task!$A$15&amp;" "," "&amp;LOWER(SUBSTITUTE(SUBSTITUTE(SUBSTITUTE(SUBSTITUTE(A311,"/"," "),"."," "),"\"," "),"_"," "))&amp;" ")),1,0))+IF(Task!$A$16="",0,IF(ISNUMBER(SEARCH(" "&amp;Task!$A$16&amp;" "," "&amp;LOWER(SUBSTITUTE(SUBSTITUTE(SUBSTITUTE(SUBSTITUTE(A311,"/"," "),"."," "),"\"," "),"_"," "))&amp;" ")),1,0))+IF(Task!$A$17="",0,IF(ISNUMBER(SEARCH(" "&amp;Task!$A$17&amp;" "," "&amp;LOWER(SUBSTITUTE(SUBSTITUTE(SUBSTITUTE(SUBSTITUTE(A311,"/"," "),"."," "),"\"," "),"_"," "))&amp;" ")),1,0))+IF(Task!$A$18="",0,IF(ISNUMBER(SEARCH(" "&amp;Task!$A$18&amp;" "," "&amp;LOWER(SUBSTITUTE(SUBSTITUTE(SUBSTITUTE(SUBSTITUTE(A311,"/"," "),"."," "),"\"," "),"_"," "))&amp;" ")),1,0))+IF(Task!$A$19="",0,IF(ISNUMBER(SEARCH(" "&amp;Task!$A$19&amp;" "," "&amp;LOWER(SUBSTITUTE(SUBSTITUTE(SUBSTITUTE(SUBSTITUTE(A311,"/"," "),"."," "),"\"," "),"_"," "))&amp;" ")),1,0)))</f>
        <v/>
      </c>
      <c r="I311" s="10">
        <f>IF(OR(E311=0,F311=0,Task!$B$21=0),"",F311/Task!$B$21+0.5*G311+0.25*H311)</f>
        <v/>
      </c>
      <c r="J311" s="5">
        <f>IF(I311="","",I311-ROW()/1000000)</f>
        <v/>
      </c>
      <c r="K311" s="9">
        <f>IF(J311="","",COUNTIF($J$5:$J$404,"&gt;"&amp;J311)+1)</f>
        <v/>
      </c>
    </row>
    <row r="312">
      <c r="A312" s="7" t="n"/>
      <c r="B312" s="7" t="n"/>
      <c r="C312" s="7" t="n"/>
      <c r="D312" s="7" t="n"/>
      <c r="E312" s="5">
        <f>IF(A312="",0,IF(COUNTA(Task!$B$5:$E$5)=0,1,IF(COUNTIF(Task!$B$5:$E$5,B312)&gt;0,1,0)))</f>
        <v/>
      </c>
      <c r="F312" s="9">
        <f>IF(E312=0,0,IF(Task!$A$8="",0,IF(ISNUMBER(SEARCH(" "&amp;Task!$A$8&amp;" "," "&amp;LOWER(D312&amp;" "&amp;C312&amp;" "&amp;LOWER(SUBSTITUTE(SUBSTITUTE(SUBSTITUTE(SUBSTITUTE(A312,"/"," "),"."," "),"\"," "),"_"," ")))&amp;" ")),1,0))+IF(Task!$A$9="",0,IF(ISNUMBER(SEARCH(" "&amp;Task!$A$9&amp;" "," "&amp;LOWER(D312&amp;" "&amp;C312&amp;" "&amp;LOWER(SUBSTITUTE(SUBSTITUTE(SUBSTITUTE(SUBSTITUTE(A312,"/"," "),"."," "),"\"," "),"_"," ")))&amp;" ")),1,0))+IF(Task!$A$10="",0,IF(ISNUMBER(SEARCH(" "&amp;Task!$A$10&amp;" "," "&amp;LOWER(D312&amp;" "&amp;C312&amp;" "&amp;LOWER(SUBSTITUTE(SUBSTITUTE(SUBSTITUTE(SUBSTITUTE(A312,"/"," "),"."," "),"\"," "),"_"," ")))&amp;" ")),1,0))+IF(Task!$A$11="",0,IF(ISNUMBER(SEARCH(" "&amp;Task!$A$11&amp;" "," "&amp;LOWER(D312&amp;" "&amp;C312&amp;" "&amp;LOWER(SUBSTITUTE(SUBSTITUTE(SUBSTITUTE(SUBSTITUTE(A312,"/"," "),"."," "),"\"," "),"_"," ")))&amp;" ")),1,0))+IF(Task!$A$12="",0,IF(ISNUMBER(SEARCH(" "&amp;Task!$A$12&amp;" "," "&amp;LOWER(D312&amp;" "&amp;C312&amp;" "&amp;LOWER(SUBSTITUTE(SUBSTITUTE(SUBSTITUTE(SUBSTITUTE(A312,"/"," "),"."," "),"\"," "),"_"," ")))&amp;" ")),1,0))+IF(Task!$A$13="",0,IF(ISNUMBER(SEARCH(" "&amp;Task!$A$13&amp;" "," "&amp;LOWER(D312&amp;" "&amp;C312&amp;" "&amp;LOWER(SUBSTITUTE(SUBSTITUTE(SUBSTITUTE(SUBSTITUTE(A312,"/"," "),"."," "),"\"," "),"_"," ")))&amp;" ")),1,0))+IF(Task!$A$14="",0,IF(ISNUMBER(SEARCH(" "&amp;Task!$A$14&amp;" "," "&amp;LOWER(D312&amp;" "&amp;C312&amp;" "&amp;LOWER(SUBSTITUTE(SUBSTITUTE(SUBSTITUTE(SUBSTITUTE(A312,"/"," "),"."," "),"\"," "),"_"," ")))&amp;" ")),1,0))+IF(Task!$A$15="",0,IF(ISNUMBER(SEARCH(" "&amp;Task!$A$15&amp;" "," "&amp;LOWER(D312&amp;" "&amp;C312&amp;" "&amp;LOWER(SUBSTITUTE(SUBSTITUTE(SUBSTITUTE(SUBSTITUTE(A312,"/"," "),"."," "),"\"," "),"_"," ")))&amp;" ")),1,0))+IF(Task!$A$16="",0,IF(ISNUMBER(SEARCH(" "&amp;Task!$A$16&amp;" "," "&amp;LOWER(D312&amp;" "&amp;C312&amp;" "&amp;LOWER(SUBSTITUTE(SUBSTITUTE(SUBSTITUTE(SUBSTITUTE(A312,"/"," "),"."," "),"\"," "),"_"," ")))&amp;" ")),1,0))+IF(Task!$A$17="",0,IF(ISNUMBER(SEARCH(" "&amp;Task!$A$17&amp;" "," "&amp;LOWER(D312&amp;" "&amp;C312&amp;" "&amp;LOWER(SUBSTITUTE(SUBSTITUTE(SUBSTITUTE(SUBSTITUTE(A312,"/"," "),"."," "),"\"," "),"_"," ")))&amp;" ")),1,0))+IF(Task!$A$18="",0,IF(ISNUMBER(SEARCH(" "&amp;Task!$A$18&amp;" "," "&amp;LOWER(D312&amp;" "&amp;C312&amp;" "&amp;LOWER(SUBSTITUTE(SUBSTITUTE(SUBSTITUTE(SUBSTITUTE(A312,"/"," "),"."," "),"\"," "),"_"," ")))&amp;" ")),1,0))+IF(Task!$A$19="",0,IF(ISNUMBER(SEARCH(" "&amp;Task!$A$19&amp;" "," "&amp;LOWER(D312&amp;" "&amp;C312&amp;" "&amp;LOWER(SUBSTITUTE(SUBSTITUTE(SUBSTITUTE(SUBSTITUTE(A312,"/"," "),"."," "),"\"," "),"_"," ")))&amp;" ")),1,0)))</f>
        <v/>
      </c>
      <c r="G312" s="9">
        <f>IF(E312=0,0,IF(Task!$A$8="",0,IF(ISNUMBER(SEARCH(" "&amp;Task!$A$8&amp;" "," "&amp;LOWER(C312)&amp;" ")),1,0))+IF(Task!$A$9="",0,IF(ISNUMBER(SEARCH(" "&amp;Task!$A$9&amp;" "," "&amp;LOWER(C312)&amp;" ")),1,0))+IF(Task!$A$10="",0,IF(ISNUMBER(SEARCH(" "&amp;Task!$A$10&amp;" "," "&amp;LOWER(C312)&amp;" ")),1,0))+IF(Task!$A$11="",0,IF(ISNUMBER(SEARCH(" "&amp;Task!$A$11&amp;" "," "&amp;LOWER(C312)&amp;" ")),1,0))+IF(Task!$A$12="",0,IF(ISNUMBER(SEARCH(" "&amp;Task!$A$12&amp;" "," "&amp;LOWER(C312)&amp;" ")),1,0))+IF(Task!$A$13="",0,IF(ISNUMBER(SEARCH(" "&amp;Task!$A$13&amp;" "," "&amp;LOWER(C312)&amp;" ")),1,0))+IF(Task!$A$14="",0,IF(ISNUMBER(SEARCH(" "&amp;Task!$A$14&amp;" "," "&amp;LOWER(C312)&amp;" ")),1,0))+IF(Task!$A$15="",0,IF(ISNUMBER(SEARCH(" "&amp;Task!$A$15&amp;" "," "&amp;LOWER(C312)&amp;" ")),1,0))+IF(Task!$A$16="",0,IF(ISNUMBER(SEARCH(" "&amp;Task!$A$16&amp;" "," "&amp;LOWER(C312)&amp;" ")),1,0))+IF(Task!$A$17="",0,IF(ISNUMBER(SEARCH(" "&amp;Task!$A$17&amp;" "," "&amp;LOWER(C312)&amp;" ")),1,0))+IF(Task!$A$18="",0,IF(ISNUMBER(SEARCH(" "&amp;Task!$A$18&amp;" "," "&amp;LOWER(C312)&amp;" ")),1,0))+IF(Task!$A$19="",0,IF(ISNUMBER(SEARCH(" "&amp;Task!$A$19&amp;" "," "&amp;LOWER(C312)&amp;" ")),1,0)))</f>
        <v/>
      </c>
      <c r="H312" s="9">
        <f>IF(E312=0,0,IF(Task!$A$8="",0,IF(ISNUMBER(SEARCH(" "&amp;Task!$A$8&amp;" "," "&amp;LOWER(SUBSTITUTE(SUBSTITUTE(SUBSTITUTE(SUBSTITUTE(A312,"/"," "),"."," "),"\"," "),"_"," "))&amp;" ")),1,0))+IF(Task!$A$9="",0,IF(ISNUMBER(SEARCH(" "&amp;Task!$A$9&amp;" "," "&amp;LOWER(SUBSTITUTE(SUBSTITUTE(SUBSTITUTE(SUBSTITUTE(A312,"/"," "),"."," "),"\"," "),"_"," "))&amp;" ")),1,0))+IF(Task!$A$10="",0,IF(ISNUMBER(SEARCH(" "&amp;Task!$A$10&amp;" "," "&amp;LOWER(SUBSTITUTE(SUBSTITUTE(SUBSTITUTE(SUBSTITUTE(A312,"/"," "),"."," "),"\"," "),"_"," "))&amp;" ")),1,0))+IF(Task!$A$11="",0,IF(ISNUMBER(SEARCH(" "&amp;Task!$A$11&amp;" "," "&amp;LOWER(SUBSTITUTE(SUBSTITUTE(SUBSTITUTE(SUBSTITUTE(A312,"/"," "),"."," "),"\"," "),"_"," "))&amp;" ")),1,0))+IF(Task!$A$12="",0,IF(ISNUMBER(SEARCH(" "&amp;Task!$A$12&amp;" "," "&amp;LOWER(SUBSTITUTE(SUBSTITUTE(SUBSTITUTE(SUBSTITUTE(A312,"/"," "),"."," "),"\"," "),"_"," "))&amp;" ")),1,0))+IF(Task!$A$13="",0,IF(ISNUMBER(SEARCH(" "&amp;Task!$A$13&amp;" "," "&amp;LOWER(SUBSTITUTE(SUBSTITUTE(SUBSTITUTE(SUBSTITUTE(A312,"/"," "),"."," "),"\"," "),"_"," "))&amp;" ")),1,0))+IF(Task!$A$14="",0,IF(ISNUMBER(SEARCH(" "&amp;Task!$A$14&amp;" "," "&amp;LOWER(SUBSTITUTE(SUBSTITUTE(SUBSTITUTE(SUBSTITUTE(A312,"/"," "),"."," "),"\"," "),"_"," "))&amp;" ")),1,0))+IF(Task!$A$15="",0,IF(ISNUMBER(SEARCH(" "&amp;Task!$A$15&amp;" "," "&amp;LOWER(SUBSTITUTE(SUBSTITUTE(SUBSTITUTE(SUBSTITUTE(A312,"/"," "),"."," "),"\"," "),"_"," "))&amp;" ")),1,0))+IF(Task!$A$16="",0,IF(ISNUMBER(SEARCH(" "&amp;Task!$A$16&amp;" "," "&amp;LOWER(SUBSTITUTE(SUBSTITUTE(SUBSTITUTE(SUBSTITUTE(A312,"/"," "),"."," "),"\"," "),"_"," "))&amp;" ")),1,0))+IF(Task!$A$17="",0,IF(ISNUMBER(SEARCH(" "&amp;Task!$A$17&amp;" "," "&amp;LOWER(SUBSTITUTE(SUBSTITUTE(SUBSTITUTE(SUBSTITUTE(A312,"/"," "),"."," "),"\"," "),"_"," "))&amp;" ")),1,0))+IF(Task!$A$18="",0,IF(ISNUMBER(SEARCH(" "&amp;Task!$A$18&amp;" "," "&amp;LOWER(SUBSTITUTE(SUBSTITUTE(SUBSTITUTE(SUBSTITUTE(A312,"/"," "),"."," "),"\"," "),"_"," "))&amp;" ")),1,0))+IF(Task!$A$19="",0,IF(ISNUMBER(SEARCH(" "&amp;Task!$A$19&amp;" "," "&amp;LOWER(SUBSTITUTE(SUBSTITUTE(SUBSTITUTE(SUBSTITUTE(A312,"/"," "),"."," "),"\"," "),"_"," "))&amp;" ")),1,0)))</f>
        <v/>
      </c>
      <c r="I312" s="10">
        <f>IF(OR(E312=0,F312=0,Task!$B$21=0),"",F312/Task!$B$21+0.5*G312+0.25*H312)</f>
        <v/>
      </c>
      <c r="J312" s="5">
        <f>IF(I312="","",I312-ROW()/1000000)</f>
        <v/>
      </c>
      <c r="K312" s="9">
        <f>IF(J312="","",COUNTIF($J$5:$J$404,"&gt;"&amp;J312)+1)</f>
        <v/>
      </c>
    </row>
    <row r="313">
      <c r="A313" s="7" t="n"/>
      <c r="B313" s="7" t="n"/>
      <c r="C313" s="7" t="n"/>
      <c r="D313" s="7" t="n"/>
      <c r="E313" s="5">
        <f>IF(A313="",0,IF(COUNTA(Task!$B$5:$E$5)=0,1,IF(COUNTIF(Task!$B$5:$E$5,B313)&gt;0,1,0)))</f>
        <v/>
      </c>
      <c r="F313" s="9">
        <f>IF(E313=0,0,IF(Task!$A$8="",0,IF(ISNUMBER(SEARCH(" "&amp;Task!$A$8&amp;" "," "&amp;LOWER(D313&amp;" "&amp;C313&amp;" "&amp;LOWER(SUBSTITUTE(SUBSTITUTE(SUBSTITUTE(SUBSTITUTE(A313,"/"," "),"."," "),"\"," "),"_"," ")))&amp;" ")),1,0))+IF(Task!$A$9="",0,IF(ISNUMBER(SEARCH(" "&amp;Task!$A$9&amp;" "," "&amp;LOWER(D313&amp;" "&amp;C313&amp;" "&amp;LOWER(SUBSTITUTE(SUBSTITUTE(SUBSTITUTE(SUBSTITUTE(A313,"/"," "),"."," "),"\"," "),"_"," ")))&amp;" ")),1,0))+IF(Task!$A$10="",0,IF(ISNUMBER(SEARCH(" "&amp;Task!$A$10&amp;" "," "&amp;LOWER(D313&amp;" "&amp;C313&amp;" "&amp;LOWER(SUBSTITUTE(SUBSTITUTE(SUBSTITUTE(SUBSTITUTE(A313,"/"," "),"."," "),"\"," "),"_"," ")))&amp;" ")),1,0))+IF(Task!$A$11="",0,IF(ISNUMBER(SEARCH(" "&amp;Task!$A$11&amp;" "," "&amp;LOWER(D313&amp;" "&amp;C313&amp;" "&amp;LOWER(SUBSTITUTE(SUBSTITUTE(SUBSTITUTE(SUBSTITUTE(A313,"/"," "),"."," "),"\"," "),"_"," ")))&amp;" ")),1,0))+IF(Task!$A$12="",0,IF(ISNUMBER(SEARCH(" "&amp;Task!$A$12&amp;" "," "&amp;LOWER(D313&amp;" "&amp;C313&amp;" "&amp;LOWER(SUBSTITUTE(SUBSTITUTE(SUBSTITUTE(SUBSTITUTE(A313,"/"," "),"."," "),"\"," "),"_"," ")))&amp;" ")),1,0))+IF(Task!$A$13="",0,IF(ISNUMBER(SEARCH(" "&amp;Task!$A$13&amp;" "," "&amp;LOWER(D313&amp;" "&amp;C313&amp;" "&amp;LOWER(SUBSTITUTE(SUBSTITUTE(SUBSTITUTE(SUBSTITUTE(A313,"/"," "),"."," "),"\"," "),"_"," ")))&amp;" ")),1,0))+IF(Task!$A$14="",0,IF(ISNUMBER(SEARCH(" "&amp;Task!$A$14&amp;" "," "&amp;LOWER(D313&amp;" "&amp;C313&amp;" "&amp;LOWER(SUBSTITUTE(SUBSTITUTE(SUBSTITUTE(SUBSTITUTE(A313,"/"," "),"."," "),"\"," "),"_"," ")))&amp;" ")),1,0))+IF(Task!$A$15="",0,IF(ISNUMBER(SEARCH(" "&amp;Task!$A$15&amp;" "," "&amp;LOWER(D313&amp;" "&amp;C313&amp;" "&amp;LOWER(SUBSTITUTE(SUBSTITUTE(SUBSTITUTE(SUBSTITUTE(A313,"/"," "),"."," "),"\"," "),"_"," ")))&amp;" ")),1,0))+IF(Task!$A$16="",0,IF(ISNUMBER(SEARCH(" "&amp;Task!$A$16&amp;" "," "&amp;LOWER(D313&amp;" "&amp;C313&amp;" "&amp;LOWER(SUBSTITUTE(SUBSTITUTE(SUBSTITUTE(SUBSTITUTE(A313,"/"," "),"."," "),"\"," "),"_"," ")))&amp;" ")),1,0))+IF(Task!$A$17="",0,IF(ISNUMBER(SEARCH(" "&amp;Task!$A$17&amp;" "," "&amp;LOWER(D313&amp;" "&amp;C313&amp;" "&amp;LOWER(SUBSTITUTE(SUBSTITUTE(SUBSTITUTE(SUBSTITUTE(A313,"/"," "),"."," "),"\"," "),"_"," ")))&amp;" ")),1,0))+IF(Task!$A$18="",0,IF(ISNUMBER(SEARCH(" "&amp;Task!$A$18&amp;" "," "&amp;LOWER(D313&amp;" "&amp;C313&amp;" "&amp;LOWER(SUBSTITUTE(SUBSTITUTE(SUBSTITUTE(SUBSTITUTE(A313,"/"," "),"."," "),"\"," "),"_"," ")))&amp;" ")),1,0))+IF(Task!$A$19="",0,IF(ISNUMBER(SEARCH(" "&amp;Task!$A$19&amp;" "," "&amp;LOWER(D313&amp;" "&amp;C313&amp;" "&amp;LOWER(SUBSTITUTE(SUBSTITUTE(SUBSTITUTE(SUBSTITUTE(A313,"/"," "),"."," "),"\"," "),"_"," ")))&amp;" ")),1,0)))</f>
        <v/>
      </c>
      <c r="G313" s="9">
        <f>IF(E313=0,0,IF(Task!$A$8="",0,IF(ISNUMBER(SEARCH(" "&amp;Task!$A$8&amp;" "," "&amp;LOWER(C313)&amp;" ")),1,0))+IF(Task!$A$9="",0,IF(ISNUMBER(SEARCH(" "&amp;Task!$A$9&amp;" "," "&amp;LOWER(C313)&amp;" ")),1,0))+IF(Task!$A$10="",0,IF(ISNUMBER(SEARCH(" "&amp;Task!$A$10&amp;" "," "&amp;LOWER(C313)&amp;" ")),1,0))+IF(Task!$A$11="",0,IF(ISNUMBER(SEARCH(" "&amp;Task!$A$11&amp;" "," "&amp;LOWER(C313)&amp;" ")),1,0))+IF(Task!$A$12="",0,IF(ISNUMBER(SEARCH(" "&amp;Task!$A$12&amp;" "," "&amp;LOWER(C313)&amp;" ")),1,0))+IF(Task!$A$13="",0,IF(ISNUMBER(SEARCH(" "&amp;Task!$A$13&amp;" "," "&amp;LOWER(C313)&amp;" ")),1,0))+IF(Task!$A$14="",0,IF(ISNUMBER(SEARCH(" "&amp;Task!$A$14&amp;" "," "&amp;LOWER(C313)&amp;" ")),1,0))+IF(Task!$A$15="",0,IF(ISNUMBER(SEARCH(" "&amp;Task!$A$15&amp;" "," "&amp;LOWER(C313)&amp;" ")),1,0))+IF(Task!$A$16="",0,IF(ISNUMBER(SEARCH(" "&amp;Task!$A$16&amp;" "," "&amp;LOWER(C313)&amp;" ")),1,0))+IF(Task!$A$17="",0,IF(ISNUMBER(SEARCH(" "&amp;Task!$A$17&amp;" "," "&amp;LOWER(C313)&amp;" ")),1,0))+IF(Task!$A$18="",0,IF(ISNUMBER(SEARCH(" "&amp;Task!$A$18&amp;" "," "&amp;LOWER(C313)&amp;" ")),1,0))+IF(Task!$A$19="",0,IF(ISNUMBER(SEARCH(" "&amp;Task!$A$19&amp;" "," "&amp;LOWER(C313)&amp;" ")),1,0)))</f>
        <v/>
      </c>
      <c r="H313" s="9">
        <f>IF(E313=0,0,IF(Task!$A$8="",0,IF(ISNUMBER(SEARCH(" "&amp;Task!$A$8&amp;" "," "&amp;LOWER(SUBSTITUTE(SUBSTITUTE(SUBSTITUTE(SUBSTITUTE(A313,"/"," "),"."," "),"\"," "),"_"," "))&amp;" ")),1,0))+IF(Task!$A$9="",0,IF(ISNUMBER(SEARCH(" "&amp;Task!$A$9&amp;" "," "&amp;LOWER(SUBSTITUTE(SUBSTITUTE(SUBSTITUTE(SUBSTITUTE(A313,"/"," "),"."," "),"\"," "),"_"," "))&amp;" ")),1,0))+IF(Task!$A$10="",0,IF(ISNUMBER(SEARCH(" "&amp;Task!$A$10&amp;" "," "&amp;LOWER(SUBSTITUTE(SUBSTITUTE(SUBSTITUTE(SUBSTITUTE(A313,"/"," "),"."," "),"\"," "),"_"," "))&amp;" ")),1,0))+IF(Task!$A$11="",0,IF(ISNUMBER(SEARCH(" "&amp;Task!$A$11&amp;" "," "&amp;LOWER(SUBSTITUTE(SUBSTITUTE(SUBSTITUTE(SUBSTITUTE(A313,"/"," "),"."," "),"\"," "),"_"," "))&amp;" ")),1,0))+IF(Task!$A$12="",0,IF(ISNUMBER(SEARCH(" "&amp;Task!$A$12&amp;" "," "&amp;LOWER(SUBSTITUTE(SUBSTITUTE(SUBSTITUTE(SUBSTITUTE(A313,"/"," "),"."," "),"\"," "),"_"," "))&amp;" ")),1,0))+IF(Task!$A$13="",0,IF(ISNUMBER(SEARCH(" "&amp;Task!$A$13&amp;" "," "&amp;LOWER(SUBSTITUTE(SUBSTITUTE(SUBSTITUTE(SUBSTITUTE(A313,"/"," "),"."," "),"\"," "),"_"," "))&amp;" ")),1,0))+IF(Task!$A$14="",0,IF(ISNUMBER(SEARCH(" "&amp;Task!$A$14&amp;" "," "&amp;LOWER(SUBSTITUTE(SUBSTITUTE(SUBSTITUTE(SUBSTITUTE(A313,"/"," "),"."," "),"\"," "),"_"," "))&amp;" ")),1,0))+IF(Task!$A$15="",0,IF(ISNUMBER(SEARCH(" "&amp;Task!$A$15&amp;" "," "&amp;LOWER(SUBSTITUTE(SUBSTITUTE(SUBSTITUTE(SUBSTITUTE(A313,"/"," "),"."," "),"\"," "),"_"," "))&amp;" ")),1,0))+IF(Task!$A$16="",0,IF(ISNUMBER(SEARCH(" "&amp;Task!$A$16&amp;" "," "&amp;LOWER(SUBSTITUTE(SUBSTITUTE(SUBSTITUTE(SUBSTITUTE(A313,"/"," "),"."," "),"\"," "),"_"," "))&amp;" ")),1,0))+IF(Task!$A$17="",0,IF(ISNUMBER(SEARCH(" "&amp;Task!$A$17&amp;" "," "&amp;LOWER(SUBSTITUTE(SUBSTITUTE(SUBSTITUTE(SUBSTITUTE(A313,"/"," "),"."," "),"\"," "),"_"," "))&amp;" ")),1,0))+IF(Task!$A$18="",0,IF(ISNUMBER(SEARCH(" "&amp;Task!$A$18&amp;" "," "&amp;LOWER(SUBSTITUTE(SUBSTITUTE(SUBSTITUTE(SUBSTITUTE(A313,"/"," "),"."," "),"\"," "),"_"," "))&amp;" ")),1,0))+IF(Task!$A$19="",0,IF(ISNUMBER(SEARCH(" "&amp;Task!$A$19&amp;" "," "&amp;LOWER(SUBSTITUTE(SUBSTITUTE(SUBSTITUTE(SUBSTITUTE(A313,"/"," "),"."," "),"\"," "),"_"," "))&amp;" ")),1,0)))</f>
        <v/>
      </c>
      <c r="I313" s="10">
        <f>IF(OR(E313=0,F313=0,Task!$B$21=0),"",F313/Task!$B$21+0.5*G313+0.25*H313)</f>
        <v/>
      </c>
      <c r="J313" s="5">
        <f>IF(I313="","",I313-ROW()/1000000)</f>
        <v/>
      </c>
      <c r="K313" s="9">
        <f>IF(J313="","",COUNTIF($J$5:$J$404,"&gt;"&amp;J313)+1)</f>
        <v/>
      </c>
    </row>
    <row r="314">
      <c r="A314" s="7" t="n"/>
      <c r="B314" s="7" t="n"/>
      <c r="C314" s="7" t="n"/>
      <c r="D314" s="7" t="n"/>
      <c r="E314" s="5">
        <f>IF(A314="",0,IF(COUNTA(Task!$B$5:$E$5)=0,1,IF(COUNTIF(Task!$B$5:$E$5,B314)&gt;0,1,0)))</f>
        <v/>
      </c>
      <c r="F314" s="9">
        <f>IF(E314=0,0,IF(Task!$A$8="",0,IF(ISNUMBER(SEARCH(" "&amp;Task!$A$8&amp;" "," "&amp;LOWER(D314&amp;" "&amp;C314&amp;" "&amp;LOWER(SUBSTITUTE(SUBSTITUTE(SUBSTITUTE(SUBSTITUTE(A314,"/"," "),"."," "),"\"," "),"_"," ")))&amp;" ")),1,0))+IF(Task!$A$9="",0,IF(ISNUMBER(SEARCH(" "&amp;Task!$A$9&amp;" "," "&amp;LOWER(D314&amp;" "&amp;C314&amp;" "&amp;LOWER(SUBSTITUTE(SUBSTITUTE(SUBSTITUTE(SUBSTITUTE(A314,"/"," "),"."," "),"\"," "),"_"," ")))&amp;" ")),1,0))+IF(Task!$A$10="",0,IF(ISNUMBER(SEARCH(" "&amp;Task!$A$10&amp;" "," "&amp;LOWER(D314&amp;" "&amp;C314&amp;" "&amp;LOWER(SUBSTITUTE(SUBSTITUTE(SUBSTITUTE(SUBSTITUTE(A314,"/"," "),"."," "),"\"," "),"_"," ")))&amp;" ")),1,0))+IF(Task!$A$11="",0,IF(ISNUMBER(SEARCH(" "&amp;Task!$A$11&amp;" "," "&amp;LOWER(D314&amp;" "&amp;C314&amp;" "&amp;LOWER(SUBSTITUTE(SUBSTITUTE(SUBSTITUTE(SUBSTITUTE(A314,"/"," "),"."," "),"\"," "),"_"," ")))&amp;" ")),1,0))+IF(Task!$A$12="",0,IF(ISNUMBER(SEARCH(" "&amp;Task!$A$12&amp;" "," "&amp;LOWER(D314&amp;" "&amp;C314&amp;" "&amp;LOWER(SUBSTITUTE(SUBSTITUTE(SUBSTITUTE(SUBSTITUTE(A314,"/"," "),"."," "),"\"," "),"_"," ")))&amp;" ")),1,0))+IF(Task!$A$13="",0,IF(ISNUMBER(SEARCH(" "&amp;Task!$A$13&amp;" "," "&amp;LOWER(D314&amp;" "&amp;C314&amp;" "&amp;LOWER(SUBSTITUTE(SUBSTITUTE(SUBSTITUTE(SUBSTITUTE(A314,"/"," "),"."," "),"\"," "),"_"," ")))&amp;" ")),1,0))+IF(Task!$A$14="",0,IF(ISNUMBER(SEARCH(" "&amp;Task!$A$14&amp;" "," "&amp;LOWER(D314&amp;" "&amp;C314&amp;" "&amp;LOWER(SUBSTITUTE(SUBSTITUTE(SUBSTITUTE(SUBSTITUTE(A314,"/"," "),"."," "),"\"," "),"_"," ")))&amp;" ")),1,0))+IF(Task!$A$15="",0,IF(ISNUMBER(SEARCH(" "&amp;Task!$A$15&amp;" "," "&amp;LOWER(D314&amp;" "&amp;C314&amp;" "&amp;LOWER(SUBSTITUTE(SUBSTITUTE(SUBSTITUTE(SUBSTITUTE(A314,"/"," "),"."," "),"\"," "),"_"," ")))&amp;" ")),1,0))+IF(Task!$A$16="",0,IF(ISNUMBER(SEARCH(" "&amp;Task!$A$16&amp;" "," "&amp;LOWER(D314&amp;" "&amp;C314&amp;" "&amp;LOWER(SUBSTITUTE(SUBSTITUTE(SUBSTITUTE(SUBSTITUTE(A314,"/"," "),"."," "),"\"," "),"_"," ")))&amp;" ")),1,0))+IF(Task!$A$17="",0,IF(ISNUMBER(SEARCH(" "&amp;Task!$A$17&amp;" "," "&amp;LOWER(D314&amp;" "&amp;C314&amp;" "&amp;LOWER(SUBSTITUTE(SUBSTITUTE(SUBSTITUTE(SUBSTITUTE(A314,"/"," "),"."," "),"\"," "),"_"," ")))&amp;" ")),1,0))+IF(Task!$A$18="",0,IF(ISNUMBER(SEARCH(" "&amp;Task!$A$18&amp;" "," "&amp;LOWER(D314&amp;" "&amp;C314&amp;" "&amp;LOWER(SUBSTITUTE(SUBSTITUTE(SUBSTITUTE(SUBSTITUTE(A314,"/"," "),"."," "),"\"," "),"_"," ")))&amp;" ")),1,0))+IF(Task!$A$19="",0,IF(ISNUMBER(SEARCH(" "&amp;Task!$A$19&amp;" "," "&amp;LOWER(D314&amp;" "&amp;C314&amp;" "&amp;LOWER(SUBSTITUTE(SUBSTITUTE(SUBSTITUTE(SUBSTITUTE(A314,"/"," "),"."," "),"\"," "),"_"," ")))&amp;" ")),1,0)))</f>
        <v/>
      </c>
      <c r="G314" s="9">
        <f>IF(E314=0,0,IF(Task!$A$8="",0,IF(ISNUMBER(SEARCH(" "&amp;Task!$A$8&amp;" "," "&amp;LOWER(C314)&amp;" ")),1,0))+IF(Task!$A$9="",0,IF(ISNUMBER(SEARCH(" "&amp;Task!$A$9&amp;" "," "&amp;LOWER(C314)&amp;" ")),1,0))+IF(Task!$A$10="",0,IF(ISNUMBER(SEARCH(" "&amp;Task!$A$10&amp;" "," "&amp;LOWER(C314)&amp;" ")),1,0))+IF(Task!$A$11="",0,IF(ISNUMBER(SEARCH(" "&amp;Task!$A$11&amp;" "," "&amp;LOWER(C314)&amp;" ")),1,0))+IF(Task!$A$12="",0,IF(ISNUMBER(SEARCH(" "&amp;Task!$A$12&amp;" "," "&amp;LOWER(C314)&amp;" ")),1,0))+IF(Task!$A$13="",0,IF(ISNUMBER(SEARCH(" "&amp;Task!$A$13&amp;" "," "&amp;LOWER(C314)&amp;" ")),1,0))+IF(Task!$A$14="",0,IF(ISNUMBER(SEARCH(" "&amp;Task!$A$14&amp;" "," "&amp;LOWER(C314)&amp;" ")),1,0))+IF(Task!$A$15="",0,IF(ISNUMBER(SEARCH(" "&amp;Task!$A$15&amp;" "," "&amp;LOWER(C314)&amp;" ")),1,0))+IF(Task!$A$16="",0,IF(ISNUMBER(SEARCH(" "&amp;Task!$A$16&amp;" "," "&amp;LOWER(C314)&amp;" ")),1,0))+IF(Task!$A$17="",0,IF(ISNUMBER(SEARCH(" "&amp;Task!$A$17&amp;" "," "&amp;LOWER(C314)&amp;" ")),1,0))+IF(Task!$A$18="",0,IF(ISNUMBER(SEARCH(" "&amp;Task!$A$18&amp;" "," "&amp;LOWER(C314)&amp;" ")),1,0))+IF(Task!$A$19="",0,IF(ISNUMBER(SEARCH(" "&amp;Task!$A$19&amp;" "," "&amp;LOWER(C314)&amp;" ")),1,0)))</f>
        <v/>
      </c>
      <c r="H314" s="9">
        <f>IF(E314=0,0,IF(Task!$A$8="",0,IF(ISNUMBER(SEARCH(" "&amp;Task!$A$8&amp;" "," "&amp;LOWER(SUBSTITUTE(SUBSTITUTE(SUBSTITUTE(SUBSTITUTE(A314,"/"," "),"."," "),"\"," "),"_"," "))&amp;" ")),1,0))+IF(Task!$A$9="",0,IF(ISNUMBER(SEARCH(" "&amp;Task!$A$9&amp;" "," "&amp;LOWER(SUBSTITUTE(SUBSTITUTE(SUBSTITUTE(SUBSTITUTE(A314,"/"," "),"."," "),"\"," "),"_"," "))&amp;" ")),1,0))+IF(Task!$A$10="",0,IF(ISNUMBER(SEARCH(" "&amp;Task!$A$10&amp;" "," "&amp;LOWER(SUBSTITUTE(SUBSTITUTE(SUBSTITUTE(SUBSTITUTE(A314,"/"," "),"."," "),"\"," "),"_"," "))&amp;" ")),1,0))+IF(Task!$A$11="",0,IF(ISNUMBER(SEARCH(" "&amp;Task!$A$11&amp;" "," "&amp;LOWER(SUBSTITUTE(SUBSTITUTE(SUBSTITUTE(SUBSTITUTE(A314,"/"," "),"."," "),"\"," "),"_"," "))&amp;" ")),1,0))+IF(Task!$A$12="",0,IF(ISNUMBER(SEARCH(" "&amp;Task!$A$12&amp;" "," "&amp;LOWER(SUBSTITUTE(SUBSTITUTE(SUBSTITUTE(SUBSTITUTE(A314,"/"," "),"."," "),"\"," "),"_"," "))&amp;" ")),1,0))+IF(Task!$A$13="",0,IF(ISNUMBER(SEARCH(" "&amp;Task!$A$13&amp;" "," "&amp;LOWER(SUBSTITUTE(SUBSTITUTE(SUBSTITUTE(SUBSTITUTE(A314,"/"," "),"."," "),"\"," "),"_"," "))&amp;" ")),1,0))+IF(Task!$A$14="",0,IF(ISNUMBER(SEARCH(" "&amp;Task!$A$14&amp;" "," "&amp;LOWER(SUBSTITUTE(SUBSTITUTE(SUBSTITUTE(SUBSTITUTE(A314,"/"," "),"."," "),"\"," "),"_"," "))&amp;" ")),1,0))+IF(Task!$A$15="",0,IF(ISNUMBER(SEARCH(" "&amp;Task!$A$15&amp;" "," "&amp;LOWER(SUBSTITUTE(SUBSTITUTE(SUBSTITUTE(SUBSTITUTE(A314,"/"," "),"."," "),"\"," "),"_"," "))&amp;" ")),1,0))+IF(Task!$A$16="",0,IF(ISNUMBER(SEARCH(" "&amp;Task!$A$16&amp;" "," "&amp;LOWER(SUBSTITUTE(SUBSTITUTE(SUBSTITUTE(SUBSTITUTE(A314,"/"," "),"."," "),"\"," "),"_"," "))&amp;" ")),1,0))+IF(Task!$A$17="",0,IF(ISNUMBER(SEARCH(" "&amp;Task!$A$17&amp;" "," "&amp;LOWER(SUBSTITUTE(SUBSTITUTE(SUBSTITUTE(SUBSTITUTE(A314,"/"," "),"."," "),"\"," "),"_"," "))&amp;" ")),1,0))+IF(Task!$A$18="",0,IF(ISNUMBER(SEARCH(" "&amp;Task!$A$18&amp;" "," "&amp;LOWER(SUBSTITUTE(SUBSTITUTE(SUBSTITUTE(SUBSTITUTE(A314,"/"," "),"."," "),"\"," "),"_"," "))&amp;" ")),1,0))+IF(Task!$A$19="",0,IF(ISNUMBER(SEARCH(" "&amp;Task!$A$19&amp;" "," "&amp;LOWER(SUBSTITUTE(SUBSTITUTE(SUBSTITUTE(SUBSTITUTE(A314,"/"," "),"."," "),"\"," "),"_"," "))&amp;" ")),1,0)))</f>
        <v/>
      </c>
      <c r="I314" s="10">
        <f>IF(OR(E314=0,F314=0,Task!$B$21=0),"",F314/Task!$B$21+0.5*G314+0.25*H314)</f>
        <v/>
      </c>
      <c r="J314" s="5">
        <f>IF(I314="","",I314-ROW()/1000000)</f>
        <v/>
      </c>
      <c r="K314" s="9">
        <f>IF(J314="","",COUNTIF($J$5:$J$404,"&gt;"&amp;J314)+1)</f>
        <v/>
      </c>
    </row>
    <row r="315">
      <c r="A315" s="7" t="n"/>
      <c r="B315" s="7" t="n"/>
      <c r="C315" s="7" t="n"/>
      <c r="D315" s="7" t="n"/>
      <c r="E315" s="5">
        <f>IF(A315="",0,IF(COUNTA(Task!$B$5:$E$5)=0,1,IF(COUNTIF(Task!$B$5:$E$5,B315)&gt;0,1,0)))</f>
        <v/>
      </c>
      <c r="F315" s="9">
        <f>IF(E315=0,0,IF(Task!$A$8="",0,IF(ISNUMBER(SEARCH(" "&amp;Task!$A$8&amp;" "," "&amp;LOWER(D315&amp;" "&amp;C315&amp;" "&amp;LOWER(SUBSTITUTE(SUBSTITUTE(SUBSTITUTE(SUBSTITUTE(A315,"/"," "),"."," "),"\"," "),"_"," ")))&amp;" ")),1,0))+IF(Task!$A$9="",0,IF(ISNUMBER(SEARCH(" "&amp;Task!$A$9&amp;" "," "&amp;LOWER(D315&amp;" "&amp;C315&amp;" "&amp;LOWER(SUBSTITUTE(SUBSTITUTE(SUBSTITUTE(SUBSTITUTE(A315,"/"," "),"."," "),"\"," "),"_"," ")))&amp;" ")),1,0))+IF(Task!$A$10="",0,IF(ISNUMBER(SEARCH(" "&amp;Task!$A$10&amp;" "," "&amp;LOWER(D315&amp;" "&amp;C315&amp;" "&amp;LOWER(SUBSTITUTE(SUBSTITUTE(SUBSTITUTE(SUBSTITUTE(A315,"/"," "),"."," "),"\"," "),"_"," ")))&amp;" ")),1,0))+IF(Task!$A$11="",0,IF(ISNUMBER(SEARCH(" "&amp;Task!$A$11&amp;" "," "&amp;LOWER(D315&amp;" "&amp;C315&amp;" "&amp;LOWER(SUBSTITUTE(SUBSTITUTE(SUBSTITUTE(SUBSTITUTE(A315,"/"," "),"."," "),"\"," "),"_"," ")))&amp;" ")),1,0))+IF(Task!$A$12="",0,IF(ISNUMBER(SEARCH(" "&amp;Task!$A$12&amp;" "," "&amp;LOWER(D315&amp;" "&amp;C315&amp;" "&amp;LOWER(SUBSTITUTE(SUBSTITUTE(SUBSTITUTE(SUBSTITUTE(A315,"/"," "),"."," "),"\"," "),"_"," ")))&amp;" ")),1,0))+IF(Task!$A$13="",0,IF(ISNUMBER(SEARCH(" "&amp;Task!$A$13&amp;" "," "&amp;LOWER(D315&amp;" "&amp;C315&amp;" "&amp;LOWER(SUBSTITUTE(SUBSTITUTE(SUBSTITUTE(SUBSTITUTE(A315,"/"," "),"."," "),"\"," "),"_"," ")))&amp;" ")),1,0))+IF(Task!$A$14="",0,IF(ISNUMBER(SEARCH(" "&amp;Task!$A$14&amp;" "," "&amp;LOWER(D315&amp;" "&amp;C315&amp;" "&amp;LOWER(SUBSTITUTE(SUBSTITUTE(SUBSTITUTE(SUBSTITUTE(A315,"/"," "),"."," "),"\"," "),"_"," ")))&amp;" ")),1,0))+IF(Task!$A$15="",0,IF(ISNUMBER(SEARCH(" "&amp;Task!$A$15&amp;" "," "&amp;LOWER(D315&amp;" "&amp;C315&amp;" "&amp;LOWER(SUBSTITUTE(SUBSTITUTE(SUBSTITUTE(SUBSTITUTE(A315,"/"," "),"."," "),"\"," "),"_"," ")))&amp;" ")),1,0))+IF(Task!$A$16="",0,IF(ISNUMBER(SEARCH(" "&amp;Task!$A$16&amp;" "," "&amp;LOWER(D315&amp;" "&amp;C315&amp;" "&amp;LOWER(SUBSTITUTE(SUBSTITUTE(SUBSTITUTE(SUBSTITUTE(A315,"/"," "),"."," "),"\"," "),"_"," ")))&amp;" ")),1,0))+IF(Task!$A$17="",0,IF(ISNUMBER(SEARCH(" "&amp;Task!$A$17&amp;" "," "&amp;LOWER(D315&amp;" "&amp;C315&amp;" "&amp;LOWER(SUBSTITUTE(SUBSTITUTE(SUBSTITUTE(SUBSTITUTE(A315,"/"," "),"."," "),"\"," "),"_"," ")))&amp;" ")),1,0))+IF(Task!$A$18="",0,IF(ISNUMBER(SEARCH(" "&amp;Task!$A$18&amp;" "," "&amp;LOWER(D315&amp;" "&amp;C315&amp;" "&amp;LOWER(SUBSTITUTE(SUBSTITUTE(SUBSTITUTE(SUBSTITUTE(A315,"/"," "),"."," "),"\"," "),"_"," ")))&amp;" ")),1,0))+IF(Task!$A$19="",0,IF(ISNUMBER(SEARCH(" "&amp;Task!$A$19&amp;" "," "&amp;LOWER(D315&amp;" "&amp;C315&amp;" "&amp;LOWER(SUBSTITUTE(SUBSTITUTE(SUBSTITUTE(SUBSTITUTE(A315,"/"," "),"."," "),"\"," "),"_"," ")))&amp;" ")),1,0)))</f>
        <v/>
      </c>
      <c r="G315" s="9">
        <f>IF(E315=0,0,IF(Task!$A$8="",0,IF(ISNUMBER(SEARCH(" "&amp;Task!$A$8&amp;" "," "&amp;LOWER(C315)&amp;" ")),1,0))+IF(Task!$A$9="",0,IF(ISNUMBER(SEARCH(" "&amp;Task!$A$9&amp;" "," "&amp;LOWER(C315)&amp;" ")),1,0))+IF(Task!$A$10="",0,IF(ISNUMBER(SEARCH(" "&amp;Task!$A$10&amp;" "," "&amp;LOWER(C315)&amp;" ")),1,0))+IF(Task!$A$11="",0,IF(ISNUMBER(SEARCH(" "&amp;Task!$A$11&amp;" "," "&amp;LOWER(C315)&amp;" ")),1,0))+IF(Task!$A$12="",0,IF(ISNUMBER(SEARCH(" "&amp;Task!$A$12&amp;" "," "&amp;LOWER(C315)&amp;" ")),1,0))+IF(Task!$A$13="",0,IF(ISNUMBER(SEARCH(" "&amp;Task!$A$13&amp;" "," "&amp;LOWER(C315)&amp;" ")),1,0))+IF(Task!$A$14="",0,IF(ISNUMBER(SEARCH(" "&amp;Task!$A$14&amp;" "," "&amp;LOWER(C315)&amp;" ")),1,0))+IF(Task!$A$15="",0,IF(ISNUMBER(SEARCH(" "&amp;Task!$A$15&amp;" "," "&amp;LOWER(C315)&amp;" ")),1,0))+IF(Task!$A$16="",0,IF(ISNUMBER(SEARCH(" "&amp;Task!$A$16&amp;" "," "&amp;LOWER(C315)&amp;" ")),1,0))+IF(Task!$A$17="",0,IF(ISNUMBER(SEARCH(" "&amp;Task!$A$17&amp;" "," "&amp;LOWER(C315)&amp;" ")),1,0))+IF(Task!$A$18="",0,IF(ISNUMBER(SEARCH(" "&amp;Task!$A$18&amp;" "," "&amp;LOWER(C315)&amp;" ")),1,0))+IF(Task!$A$19="",0,IF(ISNUMBER(SEARCH(" "&amp;Task!$A$19&amp;" "," "&amp;LOWER(C315)&amp;" ")),1,0)))</f>
        <v/>
      </c>
      <c r="H315" s="9">
        <f>IF(E315=0,0,IF(Task!$A$8="",0,IF(ISNUMBER(SEARCH(" "&amp;Task!$A$8&amp;" "," "&amp;LOWER(SUBSTITUTE(SUBSTITUTE(SUBSTITUTE(SUBSTITUTE(A315,"/"," "),"."," "),"\"," "),"_"," "))&amp;" ")),1,0))+IF(Task!$A$9="",0,IF(ISNUMBER(SEARCH(" "&amp;Task!$A$9&amp;" "," "&amp;LOWER(SUBSTITUTE(SUBSTITUTE(SUBSTITUTE(SUBSTITUTE(A315,"/"," "),"."," "),"\"," "),"_"," "))&amp;" ")),1,0))+IF(Task!$A$10="",0,IF(ISNUMBER(SEARCH(" "&amp;Task!$A$10&amp;" "," "&amp;LOWER(SUBSTITUTE(SUBSTITUTE(SUBSTITUTE(SUBSTITUTE(A315,"/"," "),"."," "),"\"," "),"_"," "))&amp;" ")),1,0))+IF(Task!$A$11="",0,IF(ISNUMBER(SEARCH(" "&amp;Task!$A$11&amp;" "," "&amp;LOWER(SUBSTITUTE(SUBSTITUTE(SUBSTITUTE(SUBSTITUTE(A315,"/"," "),"."," "),"\"," "),"_"," "))&amp;" ")),1,0))+IF(Task!$A$12="",0,IF(ISNUMBER(SEARCH(" "&amp;Task!$A$12&amp;" "," "&amp;LOWER(SUBSTITUTE(SUBSTITUTE(SUBSTITUTE(SUBSTITUTE(A315,"/"," "),"."," "),"\"," "),"_"," "))&amp;" ")),1,0))+IF(Task!$A$13="",0,IF(ISNUMBER(SEARCH(" "&amp;Task!$A$13&amp;" "," "&amp;LOWER(SUBSTITUTE(SUBSTITUTE(SUBSTITUTE(SUBSTITUTE(A315,"/"," "),"."," "),"\"," "),"_"," "))&amp;" ")),1,0))+IF(Task!$A$14="",0,IF(ISNUMBER(SEARCH(" "&amp;Task!$A$14&amp;" "," "&amp;LOWER(SUBSTITUTE(SUBSTITUTE(SUBSTITUTE(SUBSTITUTE(A315,"/"," "),"."," "),"\"," "),"_"," "))&amp;" ")),1,0))+IF(Task!$A$15="",0,IF(ISNUMBER(SEARCH(" "&amp;Task!$A$15&amp;" "," "&amp;LOWER(SUBSTITUTE(SUBSTITUTE(SUBSTITUTE(SUBSTITUTE(A315,"/"," "),"."," "),"\"," "),"_"," "))&amp;" ")),1,0))+IF(Task!$A$16="",0,IF(ISNUMBER(SEARCH(" "&amp;Task!$A$16&amp;" "," "&amp;LOWER(SUBSTITUTE(SUBSTITUTE(SUBSTITUTE(SUBSTITUTE(A315,"/"," "),"."," "),"\"," "),"_"," "))&amp;" ")),1,0))+IF(Task!$A$17="",0,IF(ISNUMBER(SEARCH(" "&amp;Task!$A$17&amp;" "," "&amp;LOWER(SUBSTITUTE(SUBSTITUTE(SUBSTITUTE(SUBSTITUTE(A315,"/"," "),"."," "),"\"," "),"_"," "))&amp;" ")),1,0))+IF(Task!$A$18="",0,IF(ISNUMBER(SEARCH(" "&amp;Task!$A$18&amp;" "," "&amp;LOWER(SUBSTITUTE(SUBSTITUTE(SUBSTITUTE(SUBSTITUTE(A315,"/"," "),"."," "),"\"," "),"_"," "))&amp;" ")),1,0))+IF(Task!$A$19="",0,IF(ISNUMBER(SEARCH(" "&amp;Task!$A$19&amp;" "," "&amp;LOWER(SUBSTITUTE(SUBSTITUTE(SUBSTITUTE(SUBSTITUTE(A315,"/"," "),"."," "),"\"," "),"_"," "))&amp;" ")),1,0)))</f>
        <v/>
      </c>
      <c r="I315" s="10">
        <f>IF(OR(E315=0,F315=0,Task!$B$21=0),"",F315/Task!$B$21+0.5*G315+0.25*H315)</f>
        <v/>
      </c>
      <c r="J315" s="5">
        <f>IF(I315="","",I315-ROW()/1000000)</f>
        <v/>
      </c>
      <c r="K315" s="9">
        <f>IF(J315="","",COUNTIF($J$5:$J$404,"&gt;"&amp;J315)+1)</f>
        <v/>
      </c>
    </row>
    <row r="316">
      <c r="A316" s="7" t="n"/>
      <c r="B316" s="7" t="n"/>
      <c r="C316" s="7" t="n"/>
      <c r="D316" s="7" t="n"/>
      <c r="E316" s="5">
        <f>IF(A316="",0,IF(COUNTA(Task!$B$5:$E$5)=0,1,IF(COUNTIF(Task!$B$5:$E$5,B316)&gt;0,1,0)))</f>
        <v/>
      </c>
      <c r="F316" s="9">
        <f>IF(E316=0,0,IF(Task!$A$8="",0,IF(ISNUMBER(SEARCH(" "&amp;Task!$A$8&amp;" "," "&amp;LOWER(D316&amp;" "&amp;C316&amp;" "&amp;LOWER(SUBSTITUTE(SUBSTITUTE(SUBSTITUTE(SUBSTITUTE(A316,"/"," "),"."," "),"\"," "),"_"," ")))&amp;" ")),1,0))+IF(Task!$A$9="",0,IF(ISNUMBER(SEARCH(" "&amp;Task!$A$9&amp;" "," "&amp;LOWER(D316&amp;" "&amp;C316&amp;" "&amp;LOWER(SUBSTITUTE(SUBSTITUTE(SUBSTITUTE(SUBSTITUTE(A316,"/"," "),"."," "),"\"," "),"_"," ")))&amp;" ")),1,0))+IF(Task!$A$10="",0,IF(ISNUMBER(SEARCH(" "&amp;Task!$A$10&amp;" "," "&amp;LOWER(D316&amp;" "&amp;C316&amp;" "&amp;LOWER(SUBSTITUTE(SUBSTITUTE(SUBSTITUTE(SUBSTITUTE(A316,"/"," "),"."," "),"\"," "),"_"," ")))&amp;" ")),1,0))+IF(Task!$A$11="",0,IF(ISNUMBER(SEARCH(" "&amp;Task!$A$11&amp;" "," "&amp;LOWER(D316&amp;" "&amp;C316&amp;" "&amp;LOWER(SUBSTITUTE(SUBSTITUTE(SUBSTITUTE(SUBSTITUTE(A316,"/"," "),"."," "),"\"," "),"_"," ")))&amp;" ")),1,0))+IF(Task!$A$12="",0,IF(ISNUMBER(SEARCH(" "&amp;Task!$A$12&amp;" "," "&amp;LOWER(D316&amp;" "&amp;C316&amp;" "&amp;LOWER(SUBSTITUTE(SUBSTITUTE(SUBSTITUTE(SUBSTITUTE(A316,"/"," "),"."," "),"\"," "),"_"," ")))&amp;" ")),1,0))+IF(Task!$A$13="",0,IF(ISNUMBER(SEARCH(" "&amp;Task!$A$13&amp;" "," "&amp;LOWER(D316&amp;" "&amp;C316&amp;" "&amp;LOWER(SUBSTITUTE(SUBSTITUTE(SUBSTITUTE(SUBSTITUTE(A316,"/"," "),"."," "),"\"," "),"_"," ")))&amp;" ")),1,0))+IF(Task!$A$14="",0,IF(ISNUMBER(SEARCH(" "&amp;Task!$A$14&amp;" "," "&amp;LOWER(D316&amp;" "&amp;C316&amp;" "&amp;LOWER(SUBSTITUTE(SUBSTITUTE(SUBSTITUTE(SUBSTITUTE(A316,"/"," "),"."," "),"\"," "),"_"," ")))&amp;" ")),1,0))+IF(Task!$A$15="",0,IF(ISNUMBER(SEARCH(" "&amp;Task!$A$15&amp;" "," "&amp;LOWER(D316&amp;" "&amp;C316&amp;" "&amp;LOWER(SUBSTITUTE(SUBSTITUTE(SUBSTITUTE(SUBSTITUTE(A316,"/"," "),"."," "),"\"," "),"_"," ")))&amp;" ")),1,0))+IF(Task!$A$16="",0,IF(ISNUMBER(SEARCH(" "&amp;Task!$A$16&amp;" "," "&amp;LOWER(D316&amp;" "&amp;C316&amp;" "&amp;LOWER(SUBSTITUTE(SUBSTITUTE(SUBSTITUTE(SUBSTITUTE(A316,"/"," "),"."," "),"\"," "),"_"," ")))&amp;" ")),1,0))+IF(Task!$A$17="",0,IF(ISNUMBER(SEARCH(" "&amp;Task!$A$17&amp;" "," "&amp;LOWER(D316&amp;" "&amp;C316&amp;" "&amp;LOWER(SUBSTITUTE(SUBSTITUTE(SUBSTITUTE(SUBSTITUTE(A316,"/"," "),"."," "),"\"," "),"_"," ")))&amp;" ")),1,0))+IF(Task!$A$18="",0,IF(ISNUMBER(SEARCH(" "&amp;Task!$A$18&amp;" "," "&amp;LOWER(D316&amp;" "&amp;C316&amp;" "&amp;LOWER(SUBSTITUTE(SUBSTITUTE(SUBSTITUTE(SUBSTITUTE(A316,"/"," "),"."," "),"\"," "),"_"," ")))&amp;" ")),1,0))+IF(Task!$A$19="",0,IF(ISNUMBER(SEARCH(" "&amp;Task!$A$19&amp;" "," "&amp;LOWER(D316&amp;" "&amp;C316&amp;" "&amp;LOWER(SUBSTITUTE(SUBSTITUTE(SUBSTITUTE(SUBSTITUTE(A316,"/"," "),"."," "),"\"," "),"_"," ")))&amp;" ")),1,0)))</f>
        <v/>
      </c>
      <c r="G316" s="9">
        <f>IF(E316=0,0,IF(Task!$A$8="",0,IF(ISNUMBER(SEARCH(" "&amp;Task!$A$8&amp;" "," "&amp;LOWER(C316)&amp;" ")),1,0))+IF(Task!$A$9="",0,IF(ISNUMBER(SEARCH(" "&amp;Task!$A$9&amp;" "," "&amp;LOWER(C316)&amp;" ")),1,0))+IF(Task!$A$10="",0,IF(ISNUMBER(SEARCH(" "&amp;Task!$A$10&amp;" "," "&amp;LOWER(C316)&amp;" ")),1,0))+IF(Task!$A$11="",0,IF(ISNUMBER(SEARCH(" "&amp;Task!$A$11&amp;" "," "&amp;LOWER(C316)&amp;" ")),1,0))+IF(Task!$A$12="",0,IF(ISNUMBER(SEARCH(" "&amp;Task!$A$12&amp;" "," "&amp;LOWER(C316)&amp;" ")),1,0))+IF(Task!$A$13="",0,IF(ISNUMBER(SEARCH(" "&amp;Task!$A$13&amp;" "," "&amp;LOWER(C316)&amp;" ")),1,0))+IF(Task!$A$14="",0,IF(ISNUMBER(SEARCH(" "&amp;Task!$A$14&amp;" "," "&amp;LOWER(C316)&amp;" ")),1,0))+IF(Task!$A$15="",0,IF(ISNUMBER(SEARCH(" "&amp;Task!$A$15&amp;" "," "&amp;LOWER(C316)&amp;" ")),1,0))+IF(Task!$A$16="",0,IF(ISNUMBER(SEARCH(" "&amp;Task!$A$16&amp;" "," "&amp;LOWER(C316)&amp;" ")),1,0))+IF(Task!$A$17="",0,IF(ISNUMBER(SEARCH(" "&amp;Task!$A$17&amp;" "," "&amp;LOWER(C316)&amp;" ")),1,0))+IF(Task!$A$18="",0,IF(ISNUMBER(SEARCH(" "&amp;Task!$A$18&amp;" "," "&amp;LOWER(C316)&amp;" ")),1,0))+IF(Task!$A$19="",0,IF(ISNUMBER(SEARCH(" "&amp;Task!$A$19&amp;" "," "&amp;LOWER(C316)&amp;" ")),1,0)))</f>
        <v/>
      </c>
      <c r="H316" s="9">
        <f>IF(E316=0,0,IF(Task!$A$8="",0,IF(ISNUMBER(SEARCH(" "&amp;Task!$A$8&amp;" "," "&amp;LOWER(SUBSTITUTE(SUBSTITUTE(SUBSTITUTE(SUBSTITUTE(A316,"/"," "),"."," "),"\"," "),"_"," "))&amp;" ")),1,0))+IF(Task!$A$9="",0,IF(ISNUMBER(SEARCH(" "&amp;Task!$A$9&amp;" "," "&amp;LOWER(SUBSTITUTE(SUBSTITUTE(SUBSTITUTE(SUBSTITUTE(A316,"/"," "),"."," "),"\"," "),"_"," "))&amp;" ")),1,0))+IF(Task!$A$10="",0,IF(ISNUMBER(SEARCH(" "&amp;Task!$A$10&amp;" "," "&amp;LOWER(SUBSTITUTE(SUBSTITUTE(SUBSTITUTE(SUBSTITUTE(A316,"/"," "),"."," "),"\"," "),"_"," "))&amp;" ")),1,0))+IF(Task!$A$11="",0,IF(ISNUMBER(SEARCH(" "&amp;Task!$A$11&amp;" "," "&amp;LOWER(SUBSTITUTE(SUBSTITUTE(SUBSTITUTE(SUBSTITUTE(A316,"/"," "),"."," "),"\"," "),"_"," "))&amp;" ")),1,0))+IF(Task!$A$12="",0,IF(ISNUMBER(SEARCH(" "&amp;Task!$A$12&amp;" "," "&amp;LOWER(SUBSTITUTE(SUBSTITUTE(SUBSTITUTE(SUBSTITUTE(A316,"/"," "),"."," "),"\"," "),"_"," "))&amp;" ")),1,0))+IF(Task!$A$13="",0,IF(ISNUMBER(SEARCH(" "&amp;Task!$A$13&amp;" "," "&amp;LOWER(SUBSTITUTE(SUBSTITUTE(SUBSTITUTE(SUBSTITUTE(A316,"/"," "),"."," "),"\"," "),"_"," "))&amp;" ")),1,0))+IF(Task!$A$14="",0,IF(ISNUMBER(SEARCH(" "&amp;Task!$A$14&amp;" "," "&amp;LOWER(SUBSTITUTE(SUBSTITUTE(SUBSTITUTE(SUBSTITUTE(A316,"/"," "),"."," "),"\"," "),"_"," "))&amp;" ")),1,0))+IF(Task!$A$15="",0,IF(ISNUMBER(SEARCH(" "&amp;Task!$A$15&amp;" "," "&amp;LOWER(SUBSTITUTE(SUBSTITUTE(SUBSTITUTE(SUBSTITUTE(A316,"/"," "),"."," "),"\"," "),"_"," "))&amp;" ")),1,0))+IF(Task!$A$16="",0,IF(ISNUMBER(SEARCH(" "&amp;Task!$A$16&amp;" "," "&amp;LOWER(SUBSTITUTE(SUBSTITUTE(SUBSTITUTE(SUBSTITUTE(A316,"/"," "),"."," "),"\"," "),"_"," "))&amp;" ")),1,0))+IF(Task!$A$17="",0,IF(ISNUMBER(SEARCH(" "&amp;Task!$A$17&amp;" "," "&amp;LOWER(SUBSTITUTE(SUBSTITUTE(SUBSTITUTE(SUBSTITUTE(A316,"/"," "),"."," "),"\"," "),"_"," "))&amp;" ")),1,0))+IF(Task!$A$18="",0,IF(ISNUMBER(SEARCH(" "&amp;Task!$A$18&amp;" "," "&amp;LOWER(SUBSTITUTE(SUBSTITUTE(SUBSTITUTE(SUBSTITUTE(A316,"/"," "),"."," "),"\"," "),"_"," "))&amp;" ")),1,0))+IF(Task!$A$19="",0,IF(ISNUMBER(SEARCH(" "&amp;Task!$A$19&amp;" "," "&amp;LOWER(SUBSTITUTE(SUBSTITUTE(SUBSTITUTE(SUBSTITUTE(A316,"/"," "),"."," "),"\"," "),"_"," "))&amp;" ")),1,0)))</f>
        <v/>
      </c>
      <c r="I316" s="10">
        <f>IF(OR(E316=0,F316=0,Task!$B$21=0),"",F316/Task!$B$21+0.5*G316+0.25*H316)</f>
        <v/>
      </c>
      <c r="J316" s="5">
        <f>IF(I316="","",I316-ROW()/1000000)</f>
        <v/>
      </c>
      <c r="K316" s="9">
        <f>IF(J316="","",COUNTIF($J$5:$J$404,"&gt;"&amp;J316)+1)</f>
        <v/>
      </c>
    </row>
    <row r="317">
      <c r="A317" s="7" t="n"/>
      <c r="B317" s="7" t="n"/>
      <c r="C317" s="7" t="n"/>
      <c r="D317" s="7" t="n"/>
      <c r="E317" s="5">
        <f>IF(A317="",0,IF(COUNTA(Task!$B$5:$E$5)=0,1,IF(COUNTIF(Task!$B$5:$E$5,B317)&gt;0,1,0)))</f>
        <v/>
      </c>
      <c r="F317" s="9">
        <f>IF(E317=0,0,IF(Task!$A$8="",0,IF(ISNUMBER(SEARCH(" "&amp;Task!$A$8&amp;" "," "&amp;LOWER(D317&amp;" "&amp;C317&amp;" "&amp;LOWER(SUBSTITUTE(SUBSTITUTE(SUBSTITUTE(SUBSTITUTE(A317,"/"," "),"."," "),"\"," "),"_"," ")))&amp;" ")),1,0))+IF(Task!$A$9="",0,IF(ISNUMBER(SEARCH(" "&amp;Task!$A$9&amp;" "," "&amp;LOWER(D317&amp;" "&amp;C317&amp;" "&amp;LOWER(SUBSTITUTE(SUBSTITUTE(SUBSTITUTE(SUBSTITUTE(A317,"/"," "),"."," "),"\"," "),"_"," ")))&amp;" ")),1,0))+IF(Task!$A$10="",0,IF(ISNUMBER(SEARCH(" "&amp;Task!$A$10&amp;" "," "&amp;LOWER(D317&amp;" "&amp;C317&amp;" "&amp;LOWER(SUBSTITUTE(SUBSTITUTE(SUBSTITUTE(SUBSTITUTE(A317,"/"," "),"."," "),"\"," "),"_"," ")))&amp;" ")),1,0))+IF(Task!$A$11="",0,IF(ISNUMBER(SEARCH(" "&amp;Task!$A$11&amp;" "," "&amp;LOWER(D317&amp;" "&amp;C317&amp;" "&amp;LOWER(SUBSTITUTE(SUBSTITUTE(SUBSTITUTE(SUBSTITUTE(A317,"/"," "),"."," "),"\"," "),"_"," ")))&amp;" ")),1,0))+IF(Task!$A$12="",0,IF(ISNUMBER(SEARCH(" "&amp;Task!$A$12&amp;" "," "&amp;LOWER(D317&amp;" "&amp;C317&amp;" "&amp;LOWER(SUBSTITUTE(SUBSTITUTE(SUBSTITUTE(SUBSTITUTE(A317,"/"," "),"."," "),"\"," "),"_"," ")))&amp;" ")),1,0))+IF(Task!$A$13="",0,IF(ISNUMBER(SEARCH(" "&amp;Task!$A$13&amp;" "," "&amp;LOWER(D317&amp;" "&amp;C317&amp;" "&amp;LOWER(SUBSTITUTE(SUBSTITUTE(SUBSTITUTE(SUBSTITUTE(A317,"/"," "),"."," "),"\"," "),"_"," ")))&amp;" ")),1,0))+IF(Task!$A$14="",0,IF(ISNUMBER(SEARCH(" "&amp;Task!$A$14&amp;" "," "&amp;LOWER(D317&amp;" "&amp;C317&amp;" "&amp;LOWER(SUBSTITUTE(SUBSTITUTE(SUBSTITUTE(SUBSTITUTE(A317,"/"," "),"."," "),"\"," "),"_"," ")))&amp;" ")),1,0))+IF(Task!$A$15="",0,IF(ISNUMBER(SEARCH(" "&amp;Task!$A$15&amp;" "," "&amp;LOWER(D317&amp;" "&amp;C317&amp;" "&amp;LOWER(SUBSTITUTE(SUBSTITUTE(SUBSTITUTE(SUBSTITUTE(A317,"/"," "),"."," "),"\"," "),"_"," ")))&amp;" ")),1,0))+IF(Task!$A$16="",0,IF(ISNUMBER(SEARCH(" "&amp;Task!$A$16&amp;" "," "&amp;LOWER(D317&amp;" "&amp;C317&amp;" "&amp;LOWER(SUBSTITUTE(SUBSTITUTE(SUBSTITUTE(SUBSTITUTE(A317,"/"," "),"."," "),"\"," "),"_"," ")))&amp;" ")),1,0))+IF(Task!$A$17="",0,IF(ISNUMBER(SEARCH(" "&amp;Task!$A$17&amp;" "," "&amp;LOWER(D317&amp;" "&amp;C317&amp;" "&amp;LOWER(SUBSTITUTE(SUBSTITUTE(SUBSTITUTE(SUBSTITUTE(A317,"/"," "),"."," "),"\"," "),"_"," ")))&amp;" ")),1,0))+IF(Task!$A$18="",0,IF(ISNUMBER(SEARCH(" "&amp;Task!$A$18&amp;" "," "&amp;LOWER(D317&amp;" "&amp;C317&amp;" "&amp;LOWER(SUBSTITUTE(SUBSTITUTE(SUBSTITUTE(SUBSTITUTE(A317,"/"," "),"."," "),"\"," "),"_"," ")))&amp;" ")),1,0))+IF(Task!$A$19="",0,IF(ISNUMBER(SEARCH(" "&amp;Task!$A$19&amp;" "," "&amp;LOWER(D317&amp;" "&amp;C317&amp;" "&amp;LOWER(SUBSTITUTE(SUBSTITUTE(SUBSTITUTE(SUBSTITUTE(A317,"/"," "),"."," "),"\"," "),"_"," ")))&amp;" ")),1,0)))</f>
        <v/>
      </c>
      <c r="G317" s="9">
        <f>IF(E317=0,0,IF(Task!$A$8="",0,IF(ISNUMBER(SEARCH(" "&amp;Task!$A$8&amp;" "," "&amp;LOWER(C317)&amp;" ")),1,0))+IF(Task!$A$9="",0,IF(ISNUMBER(SEARCH(" "&amp;Task!$A$9&amp;" "," "&amp;LOWER(C317)&amp;" ")),1,0))+IF(Task!$A$10="",0,IF(ISNUMBER(SEARCH(" "&amp;Task!$A$10&amp;" "," "&amp;LOWER(C317)&amp;" ")),1,0))+IF(Task!$A$11="",0,IF(ISNUMBER(SEARCH(" "&amp;Task!$A$11&amp;" "," "&amp;LOWER(C317)&amp;" ")),1,0))+IF(Task!$A$12="",0,IF(ISNUMBER(SEARCH(" "&amp;Task!$A$12&amp;" "," "&amp;LOWER(C317)&amp;" ")),1,0))+IF(Task!$A$13="",0,IF(ISNUMBER(SEARCH(" "&amp;Task!$A$13&amp;" "," "&amp;LOWER(C317)&amp;" ")),1,0))+IF(Task!$A$14="",0,IF(ISNUMBER(SEARCH(" "&amp;Task!$A$14&amp;" "," "&amp;LOWER(C317)&amp;" ")),1,0))+IF(Task!$A$15="",0,IF(ISNUMBER(SEARCH(" "&amp;Task!$A$15&amp;" "," "&amp;LOWER(C317)&amp;" ")),1,0))+IF(Task!$A$16="",0,IF(ISNUMBER(SEARCH(" "&amp;Task!$A$16&amp;" "," "&amp;LOWER(C317)&amp;" ")),1,0))+IF(Task!$A$17="",0,IF(ISNUMBER(SEARCH(" "&amp;Task!$A$17&amp;" "," "&amp;LOWER(C317)&amp;" ")),1,0))+IF(Task!$A$18="",0,IF(ISNUMBER(SEARCH(" "&amp;Task!$A$18&amp;" "," "&amp;LOWER(C317)&amp;" ")),1,0))+IF(Task!$A$19="",0,IF(ISNUMBER(SEARCH(" "&amp;Task!$A$19&amp;" "," "&amp;LOWER(C317)&amp;" ")),1,0)))</f>
        <v/>
      </c>
      <c r="H317" s="9">
        <f>IF(E317=0,0,IF(Task!$A$8="",0,IF(ISNUMBER(SEARCH(" "&amp;Task!$A$8&amp;" "," "&amp;LOWER(SUBSTITUTE(SUBSTITUTE(SUBSTITUTE(SUBSTITUTE(A317,"/"," "),"."," "),"\"," "),"_"," "))&amp;" ")),1,0))+IF(Task!$A$9="",0,IF(ISNUMBER(SEARCH(" "&amp;Task!$A$9&amp;" "," "&amp;LOWER(SUBSTITUTE(SUBSTITUTE(SUBSTITUTE(SUBSTITUTE(A317,"/"," "),"."," "),"\"," "),"_"," "))&amp;" ")),1,0))+IF(Task!$A$10="",0,IF(ISNUMBER(SEARCH(" "&amp;Task!$A$10&amp;" "," "&amp;LOWER(SUBSTITUTE(SUBSTITUTE(SUBSTITUTE(SUBSTITUTE(A317,"/"," "),"."," "),"\"," "),"_"," "))&amp;" ")),1,0))+IF(Task!$A$11="",0,IF(ISNUMBER(SEARCH(" "&amp;Task!$A$11&amp;" "," "&amp;LOWER(SUBSTITUTE(SUBSTITUTE(SUBSTITUTE(SUBSTITUTE(A317,"/"," "),"."," "),"\"," "),"_"," "))&amp;" ")),1,0))+IF(Task!$A$12="",0,IF(ISNUMBER(SEARCH(" "&amp;Task!$A$12&amp;" "," "&amp;LOWER(SUBSTITUTE(SUBSTITUTE(SUBSTITUTE(SUBSTITUTE(A317,"/"," "),"."," "),"\"," "),"_"," "))&amp;" ")),1,0))+IF(Task!$A$13="",0,IF(ISNUMBER(SEARCH(" "&amp;Task!$A$13&amp;" "," "&amp;LOWER(SUBSTITUTE(SUBSTITUTE(SUBSTITUTE(SUBSTITUTE(A317,"/"," "),"."," "),"\"," "),"_"," "))&amp;" ")),1,0))+IF(Task!$A$14="",0,IF(ISNUMBER(SEARCH(" "&amp;Task!$A$14&amp;" "," "&amp;LOWER(SUBSTITUTE(SUBSTITUTE(SUBSTITUTE(SUBSTITUTE(A317,"/"," "),"."," "),"\"," "),"_"," "))&amp;" ")),1,0))+IF(Task!$A$15="",0,IF(ISNUMBER(SEARCH(" "&amp;Task!$A$15&amp;" "," "&amp;LOWER(SUBSTITUTE(SUBSTITUTE(SUBSTITUTE(SUBSTITUTE(A317,"/"," "),"."," "),"\"," "),"_"," "))&amp;" ")),1,0))+IF(Task!$A$16="",0,IF(ISNUMBER(SEARCH(" "&amp;Task!$A$16&amp;" "," "&amp;LOWER(SUBSTITUTE(SUBSTITUTE(SUBSTITUTE(SUBSTITUTE(A317,"/"," "),"."," "),"\"," "),"_"," "))&amp;" ")),1,0))+IF(Task!$A$17="",0,IF(ISNUMBER(SEARCH(" "&amp;Task!$A$17&amp;" "," "&amp;LOWER(SUBSTITUTE(SUBSTITUTE(SUBSTITUTE(SUBSTITUTE(A317,"/"," "),"."," "),"\"," "),"_"," "))&amp;" ")),1,0))+IF(Task!$A$18="",0,IF(ISNUMBER(SEARCH(" "&amp;Task!$A$18&amp;" "," "&amp;LOWER(SUBSTITUTE(SUBSTITUTE(SUBSTITUTE(SUBSTITUTE(A317,"/"," "),"."," "),"\"," "),"_"," "))&amp;" ")),1,0))+IF(Task!$A$19="",0,IF(ISNUMBER(SEARCH(" "&amp;Task!$A$19&amp;" "," "&amp;LOWER(SUBSTITUTE(SUBSTITUTE(SUBSTITUTE(SUBSTITUTE(A317,"/"," "),"."," "),"\"," "),"_"," "))&amp;" ")),1,0)))</f>
        <v/>
      </c>
      <c r="I317" s="10">
        <f>IF(OR(E317=0,F317=0,Task!$B$21=0),"",F317/Task!$B$21+0.5*G317+0.25*H317)</f>
        <v/>
      </c>
      <c r="J317" s="5">
        <f>IF(I317="","",I317-ROW()/1000000)</f>
        <v/>
      </c>
      <c r="K317" s="9">
        <f>IF(J317="","",COUNTIF($J$5:$J$404,"&gt;"&amp;J317)+1)</f>
        <v/>
      </c>
    </row>
    <row r="318">
      <c r="A318" s="7" t="n"/>
      <c r="B318" s="7" t="n"/>
      <c r="C318" s="7" t="n"/>
      <c r="D318" s="7" t="n"/>
      <c r="E318" s="5">
        <f>IF(A318="",0,IF(COUNTA(Task!$B$5:$E$5)=0,1,IF(COUNTIF(Task!$B$5:$E$5,B318)&gt;0,1,0)))</f>
        <v/>
      </c>
      <c r="F318" s="9">
        <f>IF(E318=0,0,IF(Task!$A$8="",0,IF(ISNUMBER(SEARCH(" "&amp;Task!$A$8&amp;" "," "&amp;LOWER(D318&amp;" "&amp;C318&amp;" "&amp;LOWER(SUBSTITUTE(SUBSTITUTE(SUBSTITUTE(SUBSTITUTE(A318,"/"," "),"."," "),"\"," "),"_"," ")))&amp;" ")),1,0))+IF(Task!$A$9="",0,IF(ISNUMBER(SEARCH(" "&amp;Task!$A$9&amp;" "," "&amp;LOWER(D318&amp;" "&amp;C318&amp;" "&amp;LOWER(SUBSTITUTE(SUBSTITUTE(SUBSTITUTE(SUBSTITUTE(A318,"/"," "),"."," "),"\"," "),"_"," ")))&amp;" ")),1,0))+IF(Task!$A$10="",0,IF(ISNUMBER(SEARCH(" "&amp;Task!$A$10&amp;" "," "&amp;LOWER(D318&amp;" "&amp;C318&amp;" "&amp;LOWER(SUBSTITUTE(SUBSTITUTE(SUBSTITUTE(SUBSTITUTE(A318,"/"," "),"."," "),"\"," "),"_"," ")))&amp;" ")),1,0))+IF(Task!$A$11="",0,IF(ISNUMBER(SEARCH(" "&amp;Task!$A$11&amp;" "," "&amp;LOWER(D318&amp;" "&amp;C318&amp;" "&amp;LOWER(SUBSTITUTE(SUBSTITUTE(SUBSTITUTE(SUBSTITUTE(A318,"/"," "),"."," "),"\"," "),"_"," ")))&amp;" ")),1,0))+IF(Task!$A$12="",0,IF(ISNUMBER(SEARCH(" "&amp;Task!$A$12&amp;" "," "&amp;LOWER(D318&amp;" "&amp;C318&amp;" "&amp;LOWER(SUBSTITUTE(SUBSTITUTE(SUBSTITUTE(SUBSTITUTE(A318,"/"," "),"."," "),"\"," "),"_"," ")))&amp;" ")),1,0))+IF(Task!$A$13="",0,IF(ISNUMBER(SEARCH(" "&amp;Task!$A$13&amp;" "," "&amp;LOWER(D318&amp;" "&amp;C318&amp;" "&amp;LOWER(SUBSTITUTE(SUBSTITUTE(SUBSTITUTE(SUBSTITUTE(A318,"/"," "),"."," "),"\"," "),"_"," ")))&amp;" ")),1,0))+IF(Task!$A$14="",0,IF(ISNUMBER(SEARCH(" "&amp;Task!$A$14&amp;" "," "&amp;LOWER(D318&amp;" "&amp;C318&amp;" "&amp;LOWER(SUBSTITUTE(SUBSTITUTE(SUBSTITUTE(SUBSTITUTE(A318,"/"," "),"."," "),"\"," "),"_"," ")))&amp;" ")),1,0))+IF(Task!$A$15="",0,IF(ISNUMBER(SEARCH(" "&amp;Task!$A$15&amp;" "," "&amp;LOWER(D318&amp;" "&amp;C318&amp;" "&amp;LOWER(SUBSTITUTE(SUBSTITUTE(SUBSTITUTE(SUBSTITUTE(A318,"/"," "),"."," "),"\"," "),"_"," ")))&amp;" ")),1,0))+IF(Task!$A$16="",0,IF(ISNUMBER(SEARCH(" "&amp;Task!$A$16&amp;" "," "&amp;LOWER(D318&amp;" "&amp;C318&amp;" "&amp;LOWER(SUBSTITUTE(SUBSTITUTE(SUBSTITUTE(SUBSTITUTE(A318,"/"," "),"."," "),"\"," "),"_"," ")))&amp;" ")),1,0))+IF(Task!$A$17="",0,IF(ISNUMBER(SEARCH(" "&amp;Task!$A$17&amp;" "," "&amp;LOWER(D318&amp;" "&amp;C318&amp;" "&amp;LOWER(SUBSTITUTE(SUBSTITUTE(SUBSTITUTE(SUBSTITUTE(A318,"/"," "),"."," "),"\"," "),"_"," ")))&amp;" ")),1,0))+IF(Task!$A$18="",0,IF(ISNUMBER(SEARCH(" "&amp;Task!$A$18&amp;" "," "&amp;LOWER(D318&amp;" "&amp;C318&amp;" "&amp;LOWER(SUBSTITUTE(SUBSTITUTE(SUBSTITUTE(SUBSTITUTE(A318,"/"," "),"."," "),"\"," "),"_"," ")))&amp;" ")),1,0))+IF(Task!$A$19="",0,IF(ISNUMBER(SEARCH(" "&amp;Task!$A$19&amp;" "," "&amp;LOWER(D318&amp;" "&amp;C318&amp;" "&amp;LOWER(SUBSTITUTE(SUBSTITUTE(SUBSTITUTE(SUBSTITUTE(A318,"/"," "),"."," "),"\"," "),"_"," ")))&amp;" ")),1,0)))</f>
        <v/>
      </c>
      <c r="G318" s="9">
        <f>IF(E318=0,0,IF(Task!$A$8="",0,IF(ISNUMBER(SEARCH(" "&amp;Task!$A$8&amp;" "," "&amp;LOWER(C318)&amp;" ")),1,0))+IF(Task!$A$9="",0,IF(ISNUMBER(SEARCH(" "&amp;Task!$A$9&amp;" "," "&amp;LOWER(C318)&amp;" ")),1,0))+IF(Task!$A$10="",0,IF(ISNUMBER(SEARCH(" "&amp;Task!$A$10&amp;" "," "&amp;LOWER(C318)&amp;" ")),1,0))+IF(Task!$A$11="",0,IF(ISNUMBER(SEARCH(" "&amp;Task!$A$11&amp;" "," "&amp;LOWER(C318)&amp;" ")),1,0))+IF(Task!$A$12="",0,IF(ISNUMBER(SEARCH(" "&amp;Task!$A$12&amp;" "," "&amp;LOWER(C318)&amp;" ")),1,0))+IF(Task!$A$13="",0,IF(ISNUMBER(SEARCH(" "&amp;Task!$A$13&amp;" "," "&amp;LOWER(C318)&amp;" ")),1,0))+IF(Task!$A$14="",0,IF(ISNUMBER(SEARCH(" "&amp;Task!$A$14&amp;" "," "&amp;LOWER(C318)&amp;" ")),1,0))+IF(Task!$A$15="",0,IF(ISNUMBER(SEARCH(" "&amp;Task!$A$15&amp;" "," "&amp;LOWER(C318)&amp;" ")),1,0))+IF(Task!$A$16="",0,IF(ISNUMBER(SEARCH(" "&amp;Task!$A$16&amp;" "," "&amp;LOWER(C318)&amp;" ")),1,0))+IF(Task!$A$17="",0,IF(ISNUMBER(SEARCH(" "&amp;Task!$A$17&amp;" "," "&amp;LOWER(C318)&amp;" ")),1,0))+IF(Task!$A$18="",0,IF(ISNUMBER(SEARCH(" "&amp;Task!$A$18&amp;" "," "&amp;LOWER(C318)&amp;" ")),1,0))+IF(Task!$A$19="",0,IF(ISNUMBER(SEARCH(" "&amp;Task!$A$19&amp;" "," "&amp;LOWER(C318)&amp;" ")),1,0)))</f>
        <v/>
      </c>
      <c r="H318" s="9">
        <f>IF(E318=0,0,IF(Task!$A$8="",0,IF(ISNUMBER(SEARCH(" "&amp;Task!$A$8&amp;" "," "&amp;LOWER(SUBSTITUTE(SUBSTITUTE(SUBSTITUTE(SUBSTITUTE(A318,"/"," "),"."," "),"\"," "),"_"," "))&amp;" ")),1,0))+IF(Task!$A$9="",0,IF(ISNUMBER(SEARCH(" "&amp;Task!$A$9&amp;" "," "&amp;LOWER(SUBSTITUTE(SUBSTITUTE(SUBSTITUTE(SUBSTITUTE(A318,"/"," "),"."," "),"\"," "),"_"," "))&amp;" ")),1,0))+IF(Task!$A$10="",0,IF(ISNUMBER(SEARCH(" "&amp;Task!$A$10&amp;" "," "&amp;LOWER(SUBSTITUTE(SUBSTITUTE(SUBSTITUTE(SUBSTITUTE(A318,"/"," "),"."," "),"\"," "),"_"," "))&amp;" ")),1,0))+IF(Task!$A$11="",0,IF(ISNUMBER(SEARCH(" "&amp;Task!$A$11&amp;" "," "&amp;LOWER(SUBSTITUTE(SUBSTITUTE(SUBSTITUTE(SUBSTITUTE(A318,"/"," "),"."," "),"\"," "),"_"," "))&amp;" ")),1,0))+IF(Task!$A$12="",0,IF(ISNUMBER(SEARCH(" "&amp;Task!$A$12&amp;" "," "&amp;LOWER(SUBSTITUTE(SUBSTITUTE(SUBSTITUTE(SUBSTITUTE(A318,"/"," "),"."," "),"\"," "),"_"," "))&amp;" ")),1,0))+IF(Task!$A$13="",0,IF(ISNUMBER(SEARCH(" "&amp;Task!$A$13&amp;" "," "&amp;LOWER(SUBSTITUTE(SUBSTITUTE(SUBSTITUTE(SUBSTITUTE(A318,"/"," "),"."," "),"\"," "),"_"," "))&amp;" ")),1,0))+IF(Task!$A$14="",0,IF(ISNUMBER(SEARCH(" "&amp;Task!$A$14&amp;" "," "&amp;LOWER(SUBSTITUTE(SUBSTITUTE(SUBSTITUTE(SUBSTITUTE(A318,"/"," "),"."," "),"\"," "),"_"," "))&amp;" ")),1,0))+IF(Task!$A$15="",0,IF(ISNUMBER(SEARCH(" "&amp;Task!$A$15&amp;" "," "&amp;LOWER(SUBSTITUTE(SUBSTITUTE(SUBSTITUTE(SUBSTITUTE(A318,"/"," "),"."," "),"\"," "),"_"," "))&amp;" ")),1,0))+IF(Task!$A$16="",0,IF(ISNUMBER(SEARCH(" "&amp;Task!$A$16&amp;" "," "&amp;LOWER(SUBSTITUTE(SUBSTITUTE(SUBSTITUTE(SUBSTITUTE(A318,"/"," "),"."," "),"\"," "),"_"," "))&amp;" ")),1,0))+IF(Task!$A$17="",0,IF(ISNUMBER(SEARCH(" "&amp;Task!$A$17&amp;" "," "&amp;LOWER(SUBSTITUTE(SUBSTITUTE(SUBSTITUTE(SUBSTITUTE(A318,"/"," "),"."," "),"\"," "),"_"," "))&amp;" ")),1,0))+IF(Task!$A$18="",0,IF(ISNUMBER(SEARCH(" "&amp;Task!$A$18&amp;" "," "&amp;LOWER(SUBSTITUTE(SUBSTITUTE(SUBSTITUTE(SUBSTITUTE(A318,"/"," "),"."," "),"\"," "),"_"," "))&amp;" ")),1,0))+IF(Task!$A$19="",0,IF(ISNUMBER(SEARCH(" "&amp;Task!$A$19&amp;" "," "&amp;LOWER(SUBSTITUTE(SUBSTITUTE(SUBSTITUTE(SUBSTITUTE(A318,"/"," "),"."," "),"\"," "),"_"," "))&amp;" ")),1,0)))</f>
        <v/>
      </c>
      <c r="I318" s="10">
        <f>IF(OR(E318=0,F318=0,Task!$B$21=0),"",F318/Task!$B$21+0.5*G318+0.25*H318)</f>
        <v/>
      </c>
      <c r="J318" s="5">
        <f>IF(I318="","",I318-ROW()/1000000)</f>
        <v/>
      </c>
      <c r="K318" s="9">
        <f>IF(J318="","",COUNTIF($J$5:$J$404,"&gt;"&amp;J318)+1)</f>
        <v/>
      </c>
    </row>
    <row r="319">
      <c r="A319" s="7" t="n"/>
      <c r="B319" s="7" t="n"/>
      <c r="C319" s="7" t="n"/>
      <c r="D319" s="7" t="n"/>
      <c r="E319" s="5">
        <f>IF(A319="",0,IF(COUNTA(Task!$B$5:$E$5)=0,1,IF(COUNTIF(Task!$B$5:$E$5,B319)&gt;0,1,0)))</f>
        <v/>
      </c>
      <c r="F319" s="9">
        <f>IF(E319=0,0,IF(Task!$A$8="",0,IF(ISNUMBER(SEARCH(" "&amp;Task!$A$8&amp;" "," "&amp;LOWER(D319&amp;" "&amp;C319&amp;" "&amp;LOWER(SUBSTITUTE(SUBSTITUTE(SUBSTITUTE(SUBSTITUTE(A319,"/"," "),"."," "),"\"," "),"_"," ")))&amp;" ")),1,0))+IF(Task!$A$9="",0,IF(ISNUMBER(SEARCH(" "&amp;Task!$A$9&amp;" "," "&amp;LOWER(D319&amp;" "&amp;C319&amp;" "&amp;LOWER(SUBSTITUTE(SUBSTITUTE(SUBSTITUTE(SUBSTITUTE(A319,"/"," "),"."," "),"\"," "),"_"," ")))&amp;" ")),1,0))+IF(Task!$A$10="",0,IF(ISNUMBER(SEARCH(" "&amp;Task!$A$10&amp;" "," "&amp;LOWER(D319&amp;" "&amp;C319&amp;" "&amp;LOWER(SUBSTITUTE(SUBSTITUTE(SUBSTITUTE(SUBSTITUTE(A319,"/"," "),"."," "),"\"," "),"_"," ")))&amp;" ")),1,0))+IF(Task!$A$11="",0,IF(ISNUMBER(SEARCH(" "&amp;Task!$A$11&amp;" "," "&amp;LOWER(D319&amp;" "&amp;C319&amp;" "&amp;LOWER(SUBSTITUTE(SUBSTITUTE(SUBSTITUTE(SUBSTITUTE(A319,"/"," "),"."," "),"\"," "),"_"," ")))&amp;" ")),1,0))+IF(Task!$A$12="",0,IF(ISNUMBER(SEARCH(" "&amp;Task!$A$12&amp;" "," "&amp;LOWER(D319&amp;" "&amp;C319&amp;" "&amp;LOWER(SUBSTITUTE(SUBSTITUTE(SUBSTITUTE(SUBSTITUTE(A319,"/"," "),"."," "),"\"," "),"_"," ")))&amp;" ")),1,0))+IF(Task!$A$13="",0,IF(ISNUMBER(SEARCH(" "&amp;Task!$A$13&amp;" "," "&amp;LOWER(D319&amp;" "&amp;C319&amp;" "&amp;LOWER(SUBSTITUTE(SUBSTITUTE(SUBSTITUTE(SUBSTITUTE(A319,"/"," "),"."," "),"\"," "),"_"," ")))&amp;" ")),1,0))+IF(Task!$A$14="",0,IF(ISNUMBER(SEARCH(" "&amp;Task!$A$14&amp;" "," "&amp;LOWER(D319&amp;" "&amp;C319&amp;" "&amp;LOWER(SUBSTITUTE(SUBSTITUTE(SUBSTITUTE(SUBSTITUTE(A319,"/"," "),"."," "),"\"," "),"_"," ")))&amp;" ")),1,0))+IF(Task!$A$15="",0,IF(ISNUMBER(SEARCH(" "&amp;Task!$A$15&amp;" "," "&amp;LOWER(D319&amp;" "&amp;C319&amp;" "&amp;LOWER(SUBSTITUTE(SUBSTITUTE(SUBSTITUTE(SUBSTITUTE(A319,"/"," "),"."," "),"\"," "),"_"," ")))&amp;" ")),1,0))+IF(Task!$A$16="",0,IF(ISNUMBER(SEARCH(" "&amp;Task!$A$16&amp;" "," "&amp;LOWER(D319&amp;" "&amp;C319&amp;" "&amp;LOWER(SUBSTITUTE(SUBSTITUTE(SUBSTITUTE(SUBSTITUTE(A319,"/"," "),"."," "),"\"," "),"_"," ")))&amp;" ")),1,0))+IF(Task!$A$17="",0,IF(ISNUMBER(SEARCH(" "&amp;Task!$A$17&amp;" "," "&amp;LOWER(D319&amp;" "&amp;C319&amp;" "&amp;LOWER(SUBSTITUTE(SUBSTITUTE(SUBSTITUTE(SUBSTITUTE(A319,"/"," "),"."," "),"\"," "),"_"," ")))&amp;" ")),1,0))+IF(Task!$A$18="",0,IF(ISNUMBER(SEARCH(" "&amp;Task!$A$18&amp;" "," "&amp;LOWER(D319&amp;" "&amp;C319&amp;" "&amp;LOWER(SUBSTITUTE(SUBSTITUTE(SUBSTITUTE(SUBSTITUTE(A319,"/"," "),"."," "),"\"," "),"_"," ")))&amp;" ")),1,0))+IF(Task!$A$19="",0,IF(ISNUMBER(SEARCH(" "&amp;Task!$A$19&amp;" "," "&amp;LOWER(D319&amp;" "&amp;C319&amp;" "&amp;LOWER(SUBSTITUTE(SUBSTITUTE(SUBSTITUTE(SUBSTITUTE(A319,"/"," "),"."," "),"\"," "),"_"," ")))&amp;" ")),1,0)))</f>
        <v/>
      </c>
      <c r="G319" s="9">
        <f>IF(E319=0,0,IF(Task!$A$8="",0,IF(ISNUMBER(SEARCH(" "&amp;Task!$A$8&amp;" "," "&amp;LOWER(C319)&amp;" ")),1,0))+IF(Task!$A$9="",0,IF(ISNUMBER(SEARCH(" "&amp;Task!$A$9&amp;" "," "&amp;LOWER(C319)&amp;" ")),1,0))+IF(Task!$A$10="",0,IF(ISNUMBER(SEARCH(" "&amp;Task!$A$10&amp;" "," "&amp;LOWER(C319)&amp;" ")),1,0))+IF(Task!$A$11="",0,IF(ISNUMBER(SEARCH(" "&amp;Task!$A$11&amp;" "," "&amp;LOWER(C319)&amp;" ")),1,0))+IF(Task!$A$12="",0,IF(ISNUMBER(SEARCH(" "&amp;Task!$A$12&amp;" "," "&amp;LOWER(C319)&amp;" ")),1,0))+IF(Task!$A$13="",0,IF(ISNUMBER(SEARCH(" "&amp;Task!$A$13&amp;" "," "&amp;LOWER(C319)&amp;" ")),1,0))+IF(Task!$A$14="",0,IF(ISNUMBER(SEARCH(" "&amp;Task!$A$14&amp;" "," "&amp;LOWER(C319)&amp;" ")),1,0))+IF(Task!$A$15="",0,IF(ISNUMBER(SEARCH(" "&amp;Task!$A$15&amp;" "," "&amp;LOWER(C319)&amp;" ")),1,0))+IF(Task!$A$16="",0,IF(ISNUMBER(SEARCH(" "&amp;Task!$A$16&amp;" "," "&amp;LOWER(C319)&amp;" ")),1,0))+IF(Task!$A$17="",0,IF(ISNUMBER(SEARCH(" "&amp;Task!$A$17&amp;" "," "&amp;LOWER(C319)&amp;" ")),1,0))+IF(Task!$A$18="",0,IF(ISNUMBER(SEARCH(" "&amp;Task!$A$18&amp;" "," "&amp;LOWER(C319)&amp;" ")),1,0))+IF(Task!$A$19="",0,IF(ISNUMBER(SEARCH(" "&amp;Task!$A$19&amp;" "," "&amp;LOWER(C319)&amp;" ")),1,0)))</f>
        <v/>
      </c>
      <c r="H319" s="9">
        <f>IF(E319=0,0,IF(Task!$A$8="",0,IF(ISNUMBER(SEARCH(" "&amp;Task!$A$8&amp;" "," "&amp;LOWER(SUBSTITUTE(SUBSTITUTE(SUBSTITUTE(SUBSTITUTE(A319,"/"," "),"."," "),"\"," "),"_"," "))&amp;" ")),1,0))+IF(Task!$A$9="",0,IF(ISNUMBER(SEARCH(" "&amp;Task!$A$9&amp;" "," "&amp;LOWER(SUBSTITUTE(SUBSTITUTE(SUBSTITUTE(SUBSTITUTE(A319,"/"," "),"."," "),"\"," "),"_"," "))&amp;" ")),1,0))+IF(Task!$A$10="",0,IF(ISNUMBER(SEARCH(" "&amp;Task!$A$10&amp;" "," "&amp;LOWER(SUBSTITUTE(SUBSTITUTE(SUBSTITUTE(SUBSTITUTE(A319,"/"," "),"."," "),"\"," "),"_"," "))&amp;" ")),1,0))+IF(Task!$A$11="",0,IF(ISNUMBER(SEARCH(" "&amp;Task!$A$11&amp;" "," "&amp;LOWER(SUBSTITUTE(SUBSTITUTE(SUBSTITUTE(SUBSTITUTE(A319,"/"," "),"."," "),"\"," "),"_"," "))&amp;" ")),1,0))+IF(Task!$A$12="",0,IF(ISNUMBER(SEARCH(" "&amp;Task!$A$12&amp;" "," "&amp;LOWER(SUBSTITUTE(SUBSTITUTE(SUBSTITUTE(SUBSTITUTE(A319,"/"," "),"."," "),"\"," "),"_"," "))&amp;" ")),1,0))+IF(Task!$A$13="",0,IF(ISNUMBER(SEARCH(" "&amp;Task!$A$13&amp;" "," "&amp;LOWER(SUBSTITUTE(SUBSTITUTE(SUBSTITUTE(SUBSTITUTE(A319,"/"," "),"."," "),"\"," "),"_"," "))&amp;" ")),1,0))+IF(Task!$A$14="",0,IF(ISNUMBER(SEARCH(" "&amp;Task!$A$14&amp;" "," "&amp;LOWER(SUBSTITUTE(SUBSTITUTE(SUBSTITUTE(SUBSTITUTE(A319,"/"," "),"."," "),"\"," "),"_"," "))&amp;" ")),1,0))+IF(Task!$A$15="",0,IF(ISNUMBER(SEARCH(" "&amp;Task!$A$15&amp;" "," "&amp;LOWER(SUBSTITUTE(SUBSTITUTE(SUBSTITUTE(SUBSTITUTE(A319,"/"," "),"."," "),"\"," "),"_"," "))&amp;" ")),1,0))+IF(Task!$A$16="",0,IF(ISNUMBER(SEARCH(" "&amp;Task!$A$16&amp;" "," "&amp;LOWER(SUBSTITUTE(SUBSTITUTE(SUBSTITUTE(SUBSTITUTE(A319,"/"," "),"."," "),"\"," "),"_"," "))&amp;" ")),1,0))+IF(Task!$A$17="",0,IF(ISNUMBER(SEARCH(" "&amp;Task!$A$17&amp;" "," "&amp;LOWER(SUBSTITUTE(SUBSTITUTE(SUBSTITUTE(SUBSTITUTE(A319,"/"," "),"."," "),"\"," "),"_"," "))&amp;" ")),1,0))+IF(Task!$A$18="",0,IF(ISNUMBER(SEARCH(" "&amp;Task!$A$18&amp;" "," "&amp;LOWER(SUBSTITUTE(SUBSTITUTE(SUBSTITUTE(SUBSTITUTE(A319,"/"," "),"."," "),"\"," "),"_"," "))&amp;" ")),1,0))+IF(Task!$A$19="",0,IF(ISNUMBER(SEARCH(" "&amp;Task!$A$19&amp;" "," "&amp;LOWER(SUBSTITUTE(SUBSTITUTE(SUBSTITUTE(SUBSTITUTE(A319,"/"," "),"."," "),"\"," "),"_"," "))&amp;" ")),1,0)))</f>
        <v/>
      </c>
      <c r="I319" s="10">
        <f>IF(OR(E319=0,F319=0,Task!$B$21=0),"",F319/Task!$B$21+0.5*G319+0.25*H319)</f>
        <v/>
      </c>
      <c r="J319" s="5">
        <f>IF(I319="","",I319-ROW()/1000000)</f>
        <v/>
      </c>
      <c r="K319" s="9">
        <f>IF(J319="","",COUNTIF($J$5:$J$404,"&gt;"&amp;J319)+1)</f>
        <v/>
      </c>
    </row>
    <row r="320">
      <c r="A320" s="7" t="n"/>
      <c r="B320" s="7" t="n"/>
      <c r="C320" s="7" t="n"/>
      <c r="D320" s="7" t="n"/>
      <c r="E320" s="5">
        <f>IF(A320="",0,IF(COUNTA(Task!$B$5:$E$5)=0,1,IF(COUNTIF(Task!$B$5:$E$5,B320)&gt;0,1,0)))</f>
        <v/>
      </c>
      <c r="F320" s="9">
        <f>IF(E320=0,0,IF(Task!$A$8="",0,IF(ISNUMBER(SEARCH(" "&amp;Task!$A$8&amp;" "," "&amp;LOWER(D320&amp;" "&amp;C320&amp;" "&amp;LOWER(SUBSTITUTE(SUBSTITUTE(SUBSTITUTE(SUBSTITUTE(A320,"/"," "),"."," "),"\"," "),"_"," ")))&amp;" ")),1,0))+IF(Task!$A$9="",0,IF(ISNUMBER(SEARCH(" "&amp;Task!$A$9&amp;" "," "&amp;LOWER(D320&amp;" "&amp;C320&amp;" "&amp;LOWER(SUBSTITUTE(SUBSTITUTE(SUBSTITUTE(SUBSTITUTE(A320,"/"," "),"."," "),"\"," "),"_"," ")))&amp;" ")),1,0))+IF(Task!$A$10="",0,IF(ISNUMBER(SEARCH(" "&amp;Task!$A$10&amp;" "," "&amp;LOWER(D320&amp;" "&amp;C320&amp;" "&amp;LOWER(SUBSTITUTE(SUBSTITUTE(SUBSTITUTE(SUBSTITUTE(A320,"/"," "),"."," "),"\"," "),"_"," ")))&amp;" ")),1,0))+IF(Task!$A$11="",0,IF(ISNUMBER(SEARCH(" "&amp;Task!$A$11&amp;" "," "&amp;LOWER(D320&amp;" "&amp;C320&amp;" "&amp;LOWER(SUBSTITUTE(SUBSTITUTE(SUBSTITUTE(SUBSTITUTE(A320,"/"," "),"."," "),"\"," "),"_"," ")))&amp;" ")),1,0))+IF(Task!$A$12="",0,IF(ISNUMBER(SEARCH(" "&amp;Task!$A$12&amp;" "," "&amp;LOWER(D320&amp;" "&amp;C320&amp;" "&amp;LOWER(SUBSTITUTE(SUBSTITUTE(SUBSTITUTE(SUBSTITUTE(A320,"/"," "),"."," "),"\"," "),"_"," ")))&amp;" ")),1,0))+IF(Task!$A$13="",0,IF(ISNUMBER(SEARCH(" "&amp;Task!$A$13&amp;" "," "&amp;LOWER(D320&amp;" "&amp;C320&amp;" "&amp;LOWER(SUBSTITUTE(SUBSTITUTE(SUBSTITUTE(SUBSTITUTE(A320,"/"," "),"."," "),"\"," "),"_"," ")))&amp;" ")),1,0))+IF(Task!$A$14="",0,IF(ISNUMBER(SEARCH(" "&amp;Task!$A$14&amp;" "," "&amp;LOWER(D320&amp;" "&amp;C320&amp;" "&amp;LOWER(SUBSTITUTE(SUBSTITUTE(SUBSTITUTE(SUBSTITUTE(A320,"/"," "),"."," "),"\"," "),"_"," ")))&amp;" ")),1,0))+IF(Task!$A$15="",0,IF(ISNUMBER(SEARCH(" "&amp;Task!$A$15&amp;" "," "&amp;LOWER(D320&amp;" "&amp;C320&amp;" "&amp;LOWER(SUBSTITUTE(SUBSTITUTE(SUBSTITUTE(SUBSTITUTE(A320,"/"," "),"."," "),"\"," "),"_"," ")))&amp;" ")),1,0))+IF(Task!$A$16="",0,IF(ISNUMBER(SEARCH(" "&amp;Task!$A$16&amp;" "," "&amp;LOWER(D320&amp;" "&amp;C320&amp;" "&amp;LOWER(SUBSTITUTE(SUBSTITUTE(SUBSTITUTE(SUBSTITUTE(A320,"/"," "),"."," "),"\"," "),"_"," ")))&amp;" ")),1,0))+IF(Task!$A$17="",0,IF(ISNUMBER(SEARCH(" "&amp;Task!$A$17&amp;" "," "&amp;LOWER(D320&amp;" "&amp;C320&amp;" "&amp;LOWER(SUBSTITUTE(SUBSTITUTE(SUBSTITUTE(SUBSTITUTE(A320,"/"," "),"."," "),"\"," "),"_"," ")))&amp;" ")),1,0))+IF(Task!$A$18="",0,IF(ISNUMBER(SEARCH(" "&amp;Task!$A$18&amp;" "," "&amp;LOWER(D320&amp;" "&amp;C320&amp;" "&amp;LOWER(SUBSTITUTE(SUBSTITUTE(SUBSTITUTE(SUBSTITUTE(A320,"/"," "),"."," "),"\"," "),"_"," ")))&amp;" ")),1,0))+IF(Task!$A$19="",0,IF(ISNUMBER(SEARCH(" "&amp;Task!$A$19&amp;" "," "&amp;LOWER(D320&amp;" "&amp;C320&amp;" "&amp;LOWER(SUBSTITUTE(SUBSTITUTE(SUBSTITUTE(SUBSTITUTE(A320,"/"," "),"."," "),"\"," "),"_"," ")))&amp;" ")),1,0)))</f>
        <v/>
      </c>
      <c r="G320" s="9">
        <f>IF(E320=0,0,IF(Task!$A$8="",0,IF(ISNUMBER(SEARCH(" "&amp;Task!$A$8&amp;" "," "&amp;LOWER(C320)&amp;" ")),1,0))+IF(Task!$A$9="",0,IF(ISNUMBER(SEARCH(" "&amp;Task!$A$9&amp;" "," "&amp;LOWER(C320)&amp;" ")),1,0))+IF(Task!$A$10="",0,IF(ISNUMBER(SEARCH(" "&amp;Task!$A$10&amp;" "," "&amp;LOWER(C320)&amp;" ")),1,0))+IF(Task!$A$11="",0,IF(ISNUMBER(SEARCH(" "&amp;Task!$A$11&amp;" "," "&amp;LOWER(C320)&amp;" ")),1,0))+IF(Task!$A$12="",0,IF(ISNUMBER(SEARCH(" "&amp;Task!$A$12&amp;" "," "&amp;LOWER(C320)&amp;" ")),1,0))+IF(Task!$A$13="",0,IF(ISNUMBER(SEARCH(" "&amp;Task!$A$13&amp;" "," "&amp;LOWER(C320)&amp;" ")),1,0))+IF(Task!$A$14="",0,IF(ISNUMBER(SEARCH(" "&amp;Task!$A$14&amp;" "," "&amp;LOWER(C320)&amp;" ")),1,0))+IF(Task!$A$15="",0,IF(ISNUMBER(SEARCH(" "&amp;Task!$A$15&amp;" "," "&amp;LOWER(C320)&amp;" ")),1,0))+IF(Task!$A$16="",0,IF(ISNUMBER(SEARCH(" "&amp;Task!$A$16&amp;" "," "&amp;LOWER(C320)&amp;" ")),1,0))+IF(Task!$A$17="",0,IF(ISNUMBER(SEARCH(" "&amp;Task!$A$17&amp;" "," "&amp;LOWER(C320)&amp;" ")),1,0))+IF(Task!$A$18="",0,IF(ISNUMBER(SEARCH(" "&amp;Task!$A$18&amp;" "," "&amp;LOWER(C320)&amp;" ")),1,0))+IF(Task!$A$19="",0,IF(ISNUMBER(SEARCH(" "&amp;Task!$A$19&amp;" "," "&amp;LOWER(C320)&amp;" ")),1,0)))</f>
        <v/>
      </c>
      <c r="H320" s="9">
        <f>IF(E320=0,0,IF(Task!$A$8="",0,IF(ISNUMBER(SEARCH(" "&amp;Task!$A$8&amp;" "," "&amp;LOWER(SUBSTITUTE(SUBSTITUTE(SUBSTITUTE(SUBSTITUTE(A320,"/"," "),"."," "),"\"," "),"_"," "))&amp;" ")),1,0))+IF(Task!$A$9="",0,IF(ISNUMBER(SEARCH(" "&amp;Task!$A$9&amp;" "," "&amp;LOWER(SUBSTITUTE(SUBSTITUTE(SUBSTITUTE(SUBSTITUTE(A320,"/"," "),"."," "),"\"," "),"_"," "))&amp;" ")),1,0))+IF(Task!$A$10="",0,IF(ISNUMBER(SEARCH(" "&amp;Task!$A$10&amp;" "," "&amp;LOWER(SUBSTITUTE(SUBSTITUTE(SUBSTITUTE(SUBSTITUTE(A320,"/"," "),"."," "),"\"," "),"_"," "))&amp;" ")),1,0))+IF(Task!$A$11="",0,IF(ISNUMBER(SEARCH(" "&amp;Task!$A$11&amp;" "," "&amp;LOWER(SUBSTITUTE(SUBSTITUTE(SUBSTITUTE(SUBSTITUTE(A320,"/"," "),"."," "),"\"," "),"_"," "))&amp;" ")),1,0))+IF(Task!$A$12="",0,IF(ISNUMBER(SEARCH(" "&amp;Task!$A$12&amp;" "," "&amp;LOWER(SUBSTITUTE(SUBSTITUTE(SUBSTITUTE(SUBSTITUTE(A320,"/"," "),"."," "),"\"," "),"_"," "))&amp;" ")),1,0))+IF(Task!$A$13="",0,IF(ISNUMBER(SEARCH(" "&amp;Task!$A$13&amp;" "," "&amp;LOWER(SUBSTITUTE(SUBSTITUTE(SUBSTITUTE(SUBSTITUTE(A320,"/"," "),"."," "),"\"," "),"_"," "))&amp;" ")),1,0))+IF(Task!$A$14="",0,IF(ISNUMBER(SEARCH(" "&amp;Task!$A$14&amp;" "," "&amp;LOWER(SUBSTITUTE(SUBSTITUTE(SUBSTITUTE(SUBSTITUTE(A320,"/"," "),"."," "),"\"," "),"_"," "))&amp;" ")),1,0))+IF(Task!$A$15="",0,IF(ISNUMBER(SEARCH(" "&amp;Task!$A$15&amp;" "," "&amp;LOWER(SUBSTITUTE(SUBSTITUTE(SUBSTITUTE(SUBSTITUTE(A320,"/"," "),"."," "),"\"," "),"_"," "))&amp;" ")),1,0))+IF(Task!$A$16="",0,IF(ISNUMBER(SEARCH(" "&amp;Task!$A$16&amp;" "," "&amp;LOWER(SUBSTITUTE(SUBSTITUTE(SUBSTITUTE(SUBSTITUTE(A320,"/"," "),"."," "),"\"," "),"_"," "))&amp;" ")),1,0))+IF(Task!$A$17="",0,IF(ISNUMBER(SEARCH(" "&amp;Task!$A$17&amp;" "," "&amp;LOWER(SUBSTITUTE(SUBSTITUTE(SUBSTITUTE(SUBSTITUTE(A320,"/"," "),"."," "),"\"," "),"_"," "))&amp;" ")),1,0))+IF(Task!$A$18="",0,IF(ISNUMBER(SEARCH(" "&amp;Task!$A$18&amp;" "," "&amp;LOWER(SUBSTITUTE(SUBSTITUTE(SUBSTITUTE(SUBSTITUTE(A320,"/"," "),"."," "),"\"," "),"_"," "))&amp;" ")),1,0))+IF(Task!$A$19="",0,IF(ISNUMBER(SEARCH(" "&amp;Task!$A$19&amp;" "," "&amp;LOWER(SUBSTITUTE(SUBSTITUTE(SUBSTITUTE(SUBSTITUTE(A320,"/"," "),"."," "),"\"," "),"_"," "))&amp;" ")),1,0)))</f>
        <v/>
      </c>
      <c r="I320" s="10">
        <f>IF(OR(E320=0,F320=0,Task!$B$21=0),"",F320/Task!$B$21+0.5*G320+0.25*H320)</f>
        <v/>
      </c>
      <c r="J320" s="5">
        <f>IF(I320="","",I320-ROW()/1000000)</f>
        <v/>
      </c>
      <c r="K320" s="9">
        <f>IF(J320="","",COUNTIF($J$5:$J$404,"&gt;"&amp;J320)+1)</f>
        <v/>
      </c>
    </row>
    <row r="321">
      <c r="A321" s="7" t="n"/>
      <c r="B321" s="7" t="n"/>
      <c r="C321" s="7" t="n"/>
      <c r="D321" s="7" t="n"/>
      <c r="E321" s="5">
        <f>IF(A321="",0,IF(COUNTA(Task!$B$5:$E$5)=0,1,IF(COUNTIF(Task!$B$5:$E$5,B321)&gt;0,1,0)))</f>
        <v/>
      </c>
      <c r="F321" s="9">
        <f>IF(E321=0,0,IF(Task!$A$8="",0,IF(ISNUMBER(SEARCH(" "&amp;Task!$A$8&amp;" "," "&amp;LOWER(D321&amp;" "&amp;C321&amp;" "&amp;LOWER(SUBSTITUTE(SUBSTITUTE(SUBSTITUTE(SUBSTITUTE(A321,"/"," "),"."," "),"\"," "),"_"," ")))&amp;" ")),1,0))+IF(Task!$A$9="",0,IF(ISNUMBER(SEARCH(" "&amp;Task!$A$9&amp;" "," "&amp;LOWER(D321&amp;" "&amp;C321&amp;" "&amp;LOWER(SUBSTITUTE(SUBSTITUTE(SUBSTITUTE(SUBSTITUTE(A321,"/"," "),"."," "),"\"," "),"_"," ")))&amp;" ")),1,0))+IF(Task!$A$10="",0,IF(ISNUMBER(SEARCH(" "&amp;Task!$A$10&amp;" "," "&amp;LOWER(D321&amp;" "&amp;C321&amp;" "&amp;LOWER(SUBSTITUTE(SUBSTITUTE(SUBSTITUTE(SUBSTITUTE(A321,"/"," "),"."," "),"\"," "),"_"," ")))&amp;" ")),1,0))+IF(Task!$A$11="",0,IF(ISNUMBER(SEARCH(" "&amp;Task!$A$11&amp;" "," "&amp;LOWER(D321&amp;" "&amp;C321&amp;" "&amp;LOWER(SUBSTITUTE(SUBSTITUTE(SUBSTITUTE(SUBSTITUTE(A321,"/"," "),"."," "),"\"," "),"_"," ")))&amp;" ")),1,0))+IF(Task!$A$12="",0,IF(ISNUMBER(SEARCH(" "&amp;Task!$A$12&amp;" "," "&amp;LOWER(D321&amp;" "&amp;C321&amp;" "&amp;LOWER(SUBSTITUTE(SUBSTITUTE(SUBSTITUTE(SUBSTITUTE(A321,"/"," "),"."," "),"\"," "),"_"," ")))&amp;" ")),1,0))+IF(Task!$A$13="",0,IF(ISNUMBER(SEARCH(" "&amp;Task!$A$13&amp;" "," "&amp;LOWER(D321&amp;" "&amp;C321&amp;" "&amp;LOWER(SUBSTITUTE(SUBSTITUTE(SUBSTITUTE(SUBSTITUTE(A321,"/"," "),"."," "),"\"," "),"_"," ")))&amp;" ")),1,0))+IF(Task!$A$14="",0,IF(ISNUMBER(SEARCH(" "&amp;Task!$A$14&amp;" "," "&amp;LOWER(D321&amp;" "&amp;C321&amp;" "&amp;LOWER(SUBSTITUTE(SUBSTITUTE(SUBSTITUTE(SUBSTITUTE(A321,"/"," "),"."," "),"\"," "),"_"," ")))&amp;" ")),1,0))+IF(Task!$A$15="",0,IF(ISNUMBER(SEARCH(" "&amp;Task!$A$15&amp;" "," "&amp;LOWER(D321&amp;" "&amp;C321&amp;" "&amp;LOWER(SUBSTITUTE(SUBSTITUTE(SUBSTITUTE(SUBSTITUTE(A321,"/"," "),"."," "),"\"," "),"_"," ")))&amp;" ")),1,0))+IF(Task!$A$16="",0,IF(ISNUMBER(SEARCH(" "&amp;Task!$A$16&amp;" "," "&amp;LOWER(D321&amp;" "&amp;C321&amp;" "&amp;LOWER(SUBSTITUTE(SUBSTITUTE(SUBSTITUTE(SUBSTITUTE(A321,"/"," "),"."," "),"\"," "),"_"," ")))&amp;" ")),1,0))+IF(Task!$A$17="",0,IF(ISNUMBER(SEARCH(" "&amp;Task!$A$17&amp;" "," "&amp;LOWER(D321&amp;" "&amp;C321&amp;" "&amp;LOWER(SUBSTITUTE(SUBSTITUTE(SUBSTITUTE(SUBSTITUTE(A321,"/"," "),"."," "),"\"," "),"_"," ")))&amp;" ")),1,0))+IF(Task!$A$18="",0,IF(ISNUMBER(SEARCH(" "&amp;Task!$A$18&amp;" "," "&amp;LOWER(D321&amp;" "&amp;C321&amp;" "&amp;LOWER(SUBSTITUTE(SUBSTITUTE(SUBSTITUTE(SUBSTITUTE(A321,"/"," "),"."," "),"\"," "),"_"," ")))&amp;" ")),1,0))+IF(Task!$A$19="",0,IF(ISNUMBER(SEARCH(" "&amp;Task!$A$19&amp;" "," "&amp;LOWER(D321&amp;" "&amp;C321&amp;" "&amp;LOWER(SUBSTITUTE(SUBSTITUTE(SUBSTITUTE(SUBSTITUTE(A321,"/"," "),"."," "),"\"," "),"_"," ")))&amp;" ")),1,0)))</f>
        <v/>
      </c>
      <c r="G321" s="9">
        <f>IF(E321=0,0,IF(Task!$A$8="",0,IF(ISNUMBER(SEARCH(" "&amp;Task!$A$8&amp;" "," "&amp;LOWER(C321)&amp;" ")),1,0))+IF(Task!$A$9="",0,IF(ISNUMBER(SEARCH(" "&amp;Task!$A$9&amp;" "," "&amp;LOWER(C321)&amp;" ")),1,0))+IF(Task!$A$10="",0,IF(ISNUMBER(SEARCH(" "&amp;Task!$A$10&amp;" "," "&amp;LOWER(C321)&amp;" ")),1,0))+IF(Task!$A$11="",0,IF(ISNUMBER(SEARCH(" "&amp;Task!$A$11&amp;" "," "&amp;LOWER(C321)&amp;" ")),1,0))+IF(Task!$A$12="",0,IF(ISNUMBER(SEARCH(" "&amp;Task!$A$12&amp;" "," "&amp;LOWER(C321)&amp;" ")),1,0))+IF(Task!$A$13="",0,IF(ISNUMBER(SEARCH(" "&amp;Task!$A$13&amp;" "," "&amp;LOWER(C321)&amp;" ")),1,0))+IF(Task!$A$14="",0,IF(ISNUMBER(SEARCH(" "&amp;Task!$A$14&amp;" "," "&amp;LOWER(C321)&amp;" ")),1,0))+IF(Task!$A$15="",0,IF(ISNUMBER(SEARCH(" "&amp;Task!$A$15&amp;" "," "&amp;LOWER(C321)&amp;" ")),1,0))+IF(Task!$A$16="",0,IF(ISNUMBER(SEARCH(" "&amp;Task!$A$16&amp;" "," "&amp;LOWER(C321)&amp;" ")),1,0))+IF(Task!$A$17="",0,IF(ISNUMBER(SEARCH(" "&amp;Task!$A$17&amp;" "," "&amp;LOWER(C321)&amp;" ")),1,0))+IF(Task!$A$18="",0,IF(ISNUMBER(SEARCH(" "&amp;Task!$A$18&amp;" "," "&amp;LOWER(C321)&amp;" ")),1,0))+IF(Task!$A$19="",0,IF(ISNUMBER(SEARCH(" "&amp;Task!$A$19&amp;" "," "&amp;LOWER(C321)&amp;" ")),1,0)))</f>
        <v/>
      </c>
      <c r="H321" s="9">
        <f>IF(E321=0,0,IF(Task!$A$8="",0,IF(ISNUMBER(SEARCH(" "&amp;Task!$A$8&amp;" "," "&amp;LOWER(SUBSTITUTE(SUBSTITUTE(SUBSTITUTE(SUBSTITUTE(A321,"/"," "),"."," "),"\"," "),"_"," "))&amp;" ")),1,0))+IF(Task!$A$9="",0,IF(ISNUMBER(SEARCH(" "&amp;Task!$A$9&amp;" "," "&amp;LOWER(SUBSTITUTE(SUBSTITUTE(SUBSTITUTE(SUBSTITUTE(A321,"/"," "),"."," "),"\"," "),"_"," "))&amp;" ")),1,0))+IF(Task!$A$10="",0,IF(ISNUMBER(SEARCH(" "&amp;Task!$A$10&amp;" "," "&amp;LOWER(SUBSTITUTE(SUBSTITUTE(SUBSTITUTE(SUBSTITUTE(A321,"/"," "),"."," "),"\"," "),"_"," "))&amp;" ")),1,0))+IF(Task!$A$11="",0,IF(ISNUMBER(SEARCH(" "&amp;Task!$A$11&amp;" "," "&amp;LOWER(SUBSTITUTE(SUBSTITUTE(SUBSTITUTE(SUBSTITUTE(A321,"/"," "),"."," "),"\"," "),"_"," "))&amp;" ")),1,0))+IF(Task!$A$12="",0,IF(ISNUMBER(SEARCH(" "&amp;Task!$A$12&amp;" "," "&amp;LOWER(SUBSTITUTE(SUBSTITUTE(SUBSTITUTE(SUBSTITUTE(A321,"/"," "),"."," "),"\"," "),"_"," "))&amp;" ")),1,0))+IF(Task!$A$13="",0,IF(ISNUMBER(SEARCH(" "&amp;Task!$A$13&amp;" "," "&amp;LOWER(SUBSTITUTE(SUBSTITUTE(SUBSTITUTE(SUBSTITUTE(A321,"/"," "),"."," "),"\"," "),"_"," "))&amp;" ")),1,0))+IF(Task!$A$14="",0,IF(ISNUMBER(SEARCH(" "&amp;Task!$A$14&amp;" "," "&amp;LOWER(SUBSTITUTE(SUBSTITUTE(SUBSTITUTE(SUBSTITUTE(A321,"/"," "),"."," "),"\"," "),"_"," "))&amp;" ")),1,0))+IF(Task!$A$15="",0,IF(ISNUMBER(SEARCH(" "&amp;Task!$A$15&amp;" "," "&amp;LOWER(SUBSTITUTE(SUBSTITUTE(SUBSTITUTE(SUBSTITUTE(A321,"/"," "),"."," "),"\"," "),"_"," "))&amp;" ")),1,0))+IF(Task!$A$16="",0,IF(ISNUMBER(SEARCH(" "&amp;Task!$A$16&amp;" "," "&amp;LOWER(SUBSTITUTE(SUBSTITUTE(SUBSTITUTE(SUBSTITUTE(A321,"/"," "),"."," "),"\"," "),"_"," "))&amp;" ")),1,0))+IF(Task!$A$17="",0,IF(ISNUMBER(SEARCH(" "&amp;Task!$A$17&amp;" "," "&amp;LOWER(SUBSTITUTE(SUBSTITUTE(SUBSTITUTE(SUBSTITUTE(A321,"/"," "),"."," "),"\"," "),"_"," "))&amp;" ")),1,0))+IF(Task!$A$18="",0,IF(ISNUMBER(SEARCH(" "&amp;Task!$A$18&amp;" "," "&amp;LOWER(SUBSTITUTE(SUBSTITUTE(SUBSTITUTE(SUBSTITUTE(A321,"/"," "),"."," "),"\"," "),"_"," "))&amp;" ")),1,0))+IF(Task!$A$19="",0,IF(ISNUMBER(SEARCH(" "&amp;Task!$A$19&amp;" "," "&amp;LOWER(SUBSTITUTE(SUBSTITUTE(SUBSTITUTE(SUBSTITUTE(A321,"/"," "),"."," "),"\"," "),"_"," "))&amp;" ")),1,0)))</f>
        <v/>
      </c>
      <c r="I321" s="10">
        <f>IF(OR(E321=0,F321=0,Task!$B$21=0),"",F321/Task!$B$21+0.5*G321+0.25*H321)</f>
        <v/>
      </c>
      <c r="J321" s="5">
        <f>IF(I321="","",I321-ROW()/1000000)</f>
        <v/>
      </c>
      <c r="K321" s="9">
        <f>IF(J321="","",COUNTIF($J$5:$J$404,"&gt;"&amp;J321)+1)</f>
        <v/>
      </c>
    </row>
    <row r="322">
      <c r="A322" s="7" t="n"/>
      <c r="B322" s="7" t="n"/>
      <c r="C322" s="7" t="n"/>
      <c r="D322" s="7" t="n"/>
      <c r="E322" s="5">
        <f>IF(A322="",0,IF(COUNTA(Task!$B$5:$E$5)=0,1,IF(COUNTIF(Task!$B$5:$E$5,B322)&gt;0,1,0)))</f>
        <v/>
      </c>
      <c r="F322" s="9">
        <f>IF(E322=0,0,IF(Task!$A$8="",0,IF(ISNUMBER(SEARCH(" "&amp;Task!$A$8&amp;" "," "&amp;LOWER(D322&amp;" "&amp;C322&amp;" "&amp;LOWER(SUBSTITUTE(SUBSTITUTE(SUBSTITUTE(SUBSTITUTE(A322,"/"," "),"."," "),"\"," "),"_"," ")))&amp;" ")),1,0))+IF(Task!$A$9="",0,IF(ISNUMBER(SEARCH(" "&amp;Task!$A$9&amp;" "," "&amp;LOWER(D322&amp;" "&amp;C322&amp;" "&amp;LOWER(SUBSTITUTE(SUBSTITUTE(SUBSTITUTE(SUBSTITUTE(A322,"/"," "),"."," "),"\"," "),"_"," ")))&amp;" ")),1,0))+IF(Task!$A$10="",0,IF(ISNUMBER(SEARCH(" "&amp;Task!$A$10&amp;" "," "&amp;LOWER(D322&amp;" "&amp;C322&amp;" "&amp;LOWER(SUBSTITUTE(SUBSTITUTE(SUBSTITUTE(SUBSTITUTE(A322,"/"," "),"."," "),"\"," "),"_"," ")))&amp;" ")),1,0))+IF(Task!$A$11="",0,IF(ISNUMBER(SEARCH(" "&amp;Task!$A$11&amp;" "," "&amp;LOWER(D322&amp;" "&amp;C322&amp;" "&amp;LOWER(SUBSTITUTE(SUBSTITUTE(SUBSTITUTE(SUBSTITUTE(A322,"/"," "),"."," "),"\"," "),"_"," ")))&amp;" ")),1,0))+IF(Task!$A$12="",0,IF(ISNUMBER(SEARCH(" "&amp;Task!$A$12&amp;" "," "&amp;LOWER(D322&amp;" "&amp;C322&amp;" "&amp;LOWER(SUBSTITUTE(SUBSTITUTE(SUBSTITUTE(SUBSTITUTE(A322,"/"," "),"."," "),"\"," "),"_"," ")))&amp;" ")),1,0))+IF(Task!$A$13="",0,IF(ISNUMBER(SEARCH(" "&amp;Task!$A$13&amp;" "," "&amp;LOWER(D322&amp;" "&amp;C322&amp;" "&amp;LOWER(SUBSTITUTE(SUBSTITUTE(SUBSTITUTE(SUBSTITUTE(A322,"/"," "),"."," "),"\"," "),"_"," ")))&amp;" ")),1,0))+IF(Task!$A$14="",0,IF(ISNUMBER(SEARCH(" "&amp;Task!$A$14&amp;" "," "&amp;LOWER(D322&amp;" "&amp;C322&amp;" "&amp;LOWER(SUBSTITUTE(SUBSTITUTE(SUBSTITUTE(SUBSTITUTE(A322,"/"," "),"."," "),"\"," "),"_"," ")))&amp;" ")),1,0))+IF(Task!$A$15="",0,IF(ISNUMBER(SEARCH(" "&amp;Task!$A$15&amp;" "," "&amp;LOWER(D322&amp;" "&amp;C322&amp;" "&amp;LOWER(SUBSTITUTE(SUBSTITUTE(SUBSTITUTE(SUBSTITUTE(A322,"/"," "),"."," "),"\"," "),"_"," ")))&amp;" ")),1,0))+IF(Task!$A$16="",0,IF(ISNUMBER(SEARCH(" "&amp;Task!$A$16&amp;" "," "&amp;LOWER(D322&amp;" "&amp;C322&amp;" "&amp;LOWER(SUBSTITUTE(SUBSTITUTE(SUBSTITUTE(SUBSTITUTE(A322,"/"," "),"."," "),"\"," "),"_"," ")))&amp;" ")),1,0))+IF(Task!$A$17="",0,IF(ISNUMBER(SEARCH(" "&amp;Task!$A$17&amp;" "," "&amp;LOWER(D322&amp;" "&amp;C322&amp;" "&amp;LOWER(SUBSTITUTE(SUBSTITUTE(SUBSTITUTE(SUBSTITUTE(A322,"/"," "),"."," "),"\"," "),"_"," ")))&amp;" ")),1,0))+IF(Task!$A$18="",0,IF(ISNUMBER(SEARCH(" "&amp;Task!$A$18&amp;" "," "&amp;LOWER(D322&amp;" "&amp;C322&amp;" "&amp;LOWER(SUBSTITUTE(SUBSTITUTE(SUBSTITUTE(SUBSTITUTE(A322,"/"," "),"."," "),"\"," "),"_"," ")))&amp;" ")),1,0))+IF(Task!$A$19="",0,IF(ISNUMBER(SEARCH(" "&amp;Task!$A$19&amp;" "," "&amp;LOWER(D322&amp;" "&amp;C322&amp;" "&amp;LOWER(SUBSTITUTE(SUBSTITUTE(SUBSTITUTE(SUBSTITUTE(A322,"/"," "),"."," "),"\"," "),"_"," ")))&amp;" ")),1,0)))</f>
        <v/>
      </c>
      <c r="G322" s="9">
        <f>IF(E322=0,0,IF(Task!$A$8="",0,IF(ISNUMBER(SEARCH(" "&amp;Task!$A$8&amp;" "," "&amp;LOWER(C322)&amp;" ")),1,0))+IF(Task!$A$9="",0,IF(ISNUMBER(SEARCH(" "&amp;Task!$A$9&amp;" "," "&amp;LOWER(C322)&amp;" ")),1,0))+IF(Task!$A$10="",0,IF(ISNUMBER(SEARCH(" "&amp;Task!$A$10&amp;" "," "&amp;LOWER(C322)&amp;" ")),1,0))+IF(Task!$A$11="",0,IF(ISNUMBER(SEARCH(" "&amp;Task!$A$11&amp;" "," "&amp;LOWER(C322)&amp;" ")),1,0))+IF(Task!$A$12="",0,IF(ISNUMBER(SEARCH(" "&amp;Task!$A$12&amp;" "," "&amp;LOWER(C322)&amp;" ")),1,0))+IF(Task!$A$13="",0,IF(ISNUMBER(SEARCH(" "&amp;Task!$A$13&amp;" "," "&amp;LOWER(C322)&amp;" ")),1,0))+IF(Task!$A$14="",0,IF(ISNUMBER(SEARCH(" "&amp;Task!$A$14&amp;" "," "&amp;LOWER(C322)&amp;" ")),1,0))+IF(Task!$A$15="",0,IF(ISNUMBER(SEARCH(" "&amp;Task!$A$15&amp;" "," "&amp;LOWER(C322)&amp;" ")),1,0))+IF(Task!$A$16="",0,IF(ISNUMBER(SEARCH(" "&amp;Task!$A$16&amp;" "," "&amp;LOWER(C322)&amp;" ")),1,0))+IF(Task!$A$17="",0,IF(ISNUMBER(SEARCH(" "&amp;Task!$A$17&amp;" "," "&amp;LOWER(C322)&amp;" ")),1,0))+IF(Task!$A$18="",0,IF(ISNUMBER(SEARCH(" "&amp;Task!$A$18&amp;" "," "&amp;LOWER(C322)&amp;" ")),1,0))+IF(Task!$A$19="",0,IF(ISNUMBER(SEARCH(" "&amp;Task!$A$19&amp;" "," "&amp;LOWER(C322)&amp;" ")),1,0)))</f>
        <v/>
      </c>
      <c r="H322" s="9">
        <f>IF(E322=0,0,IF(Task!$A$8="",0,IF(ISNUMBER(SEARCH(" "&amp;Task!$A$8&amp;" "," "&amp;LOWER(SUBSTITUTE(SUBSTITUTE(SUBSTITUTE(SUBSTITUTE(A322,"/"," "),"."," "),"\"," "),"_"," "))&amp;" ")),1,0))+IF(Task!$A$9="",0,IF(ISNUMBER(SEARCH(" "&amp;Task!$A$9&amp;" "," "&amp;LOWER(SUBSTITUTE(SUBSTITUTE(SUBSTITUTE(SUBSTITUTE(A322,"/"," "),"."," "),"\"," "),"_"," "))&amp;" ")),1,0))+IF(Task!$A$10="",0,IF(ISNUMBER(SEARCH(" "&amp;Task!$A$10&amp;" "," "&amp;LOWER(SUBSTITUTE(SUBSTITUTE(SUBSTITUTE(SUBSTITUTE(A322,"/"," "),"."," "),"\"," "),"_"," "))&amp;" ")),1,0))+IF(Task!$A$11="",0,IF(ISNUMBER(SEARCH(" "&amp;Task!$A$11&amp;" "," "&amp;LOWER(SUBSTITUTE(SUBSTITUTE(SUBSTITUTE(SUBSTITUTE(A322,"/"," "),"."," "),"\"," "),"_"," "))&amp;" ")),1,0))+IF(Task!$A$12="",0,IF(ISNUMBER(SEARCH(" "&amp;Task!$A$12&amp;" "," "&amp;LOWER(SUBSTITUTE(SUBSTITUTE(SUBSTITUTE(SUBSTITUTE(A322,"/"," "),"."," "),"\"," "),"_"," "))&amp;" ")),1,0))+IF(Task!$A$13="",0,IF(ISNUMBER(SEARCH(" "&amp;Task!$A$13&amp;" "," "&amp;LOWER(SUBSTITUTE(SUBSTITUTE(SUBSTITUTE(SUBSTITUTE(A322,"/"," "),"."," "),"\"," "),"_"," "))&amp;" ")),1,0))+IF(Task!$A$14="",0,IF(ISNUMBER(SEARCH(" "&amp;Task!$A$14&amp;" "," "&amp;LOWER(SUBSTITUTE(SUBSTITUTE(SUBSTITUTE(SUBSTITUTE(A322,"/"," "),"."," "),"\"," "),"_"," "))&amp;" ")),1,0))+IF(Task!$A$15="",0,IF(ISNUMBER(SEARCH(" "&amp;Task!$A$15&amp;" "," "&amp;LOWER(SUBSTITUTE(SUBSTITUTE(SUBSTITUTE(SUBSTITUTE(A322,"/"," "),"."," "),"\"," "),"_"," "))&amp;" ")),1,0))+IF(Task!$A$16="",0,IF(ISNUMBER(SEARCH(" "&amp;Task!$A$16&amp;" "," "&amp;LOWER(SUBSTITUTE(SUBSTITUTE(SUBSTITUTE(SUBSTITUTE(A322,"/"," "),"."," "),"\"," "),"_"," "))&amp;" ")),1,0))+IF(Task!$A$17="",0,IF(ISNUMBER(SEARCH(" "&amp;Task!$A$17&amp;" "," "&amp;LOWER(SUBSTITUTE(SUBSTITUTE(SUBSTITUTE(SUBSTITUTE(A322,"/"," "),"."," "),"\"," "),"_"," "))&amp;" ")),1,0))+IF(Task!$A$18="",0,IF(ISNUMBER(SEARCH(" "&amp;Task!$A$18&amp;" "," "&amp;LOWER(SUBSTITUTE(SUBSTITUTE(SUBSTITUTE(SUBSTITUTE(A322,"/"," "),"."," "),"\"," "),"_"," "))&amp;" ")),1,0))+IF(Task!$A$19="",0,IF(ISNUMBER(SEARCH(" "&amp;Task!$A$19&amp;" "," "&amp;LOWER(SUBSTITUTE(SUBSTITUTE(SUBSTITUTE(SUBSTITUTE(A322,"/"," "),"."," "),"\"," "),"_"," "))&amp;" ")),1,0)))</f>
        <v/>
      </c>
      <c r="I322" s="10">
        <f>IF(OR(E322=0,F322=0,Task!$B$21=0),"",F322/Task!$B$21+0.5*G322+0.25*H322)</f>
        <v/>
      </c>
      <c r="J322" s="5">
        <f>IF(I322="","",I322-ROW()/1000000)</f>
        <v/>
      </c>
      <c r="K322" s="9">
        <f>IF(J322="","",COUNTIF($J$5:$J$404,"&gt;"&amp;J322)+1)</f>
        <v/>
      </c>
    </row>
    <row r="323">
      <c r="A323" s="7" t="n"/>
      <c r="B323" s="7" t="n"/>
      <c r="C323" s="7" t="n"/>
      <c r="D323" s="7" t="n"/>
      <c r="E323" s="5">
        <f>IF(A323="",0,IF(COUNTA(Task!$B$5:$E$5)=0,1,IF(COUNTIF(Task!$B$5:$E$5,B323)&gt;0,1,0)))</f>
        <v/>
      </c>
      <c r="F323" s="9">
        <f>IF(E323=0,0,IF(Task!$A$8="",0,IF(ISNUMBER(SEARCH(" "&amp;Task!$A$8&amp;" "," "&amp;LOWER(D323&amp;" "&amp;C323&amp;" "&amp;LOWER(SUBSTITUTE(SUBSTITUTE(SUBSTITUTE(SUBSTITUTE(A323,"/"," "),"."," "),"\"," "),"_"," ")))&amp;" ")),1,0))+IF(Task!$A$9="",0,IF(ISNUMBER(SEARCH(" "&amp;Task!$A$9&amp;" "," "&amp;LOWER(D323&amp;" "&amp;C323&amp;" "&amp;LOWER(SUBSTITUTE(SUBSTITUTE(SUBSTITUTE(SUBSTITUTE(A323,"/"," "),"."," "),"\"," "),"_"," ")))&amp;" ")),1,0))+IF(Task!$A$10="",0,IF(ISNUMBER(SEARCH(" "&amp;Task!$A$10&amp;" "," "&amp;LOWER(D323&amp;" "&amp;C323&amp;" "&amp;LOWER(SUBSTITUTE(SUBSTITUTE(SUBSTITUTE(SUBSTITUTE(A323,"/"," "),"."," "),"\"," "),"_"," ")))&amp;" ")),1,0))+IF(Task!$A$11="",0,IF(ISNUMBER(SEARCH(" "&amp;Task!$A$11&amp;" "," "&amp;LOWER(D323&amp;" "&amp;C323&amp;" "&amp;LOWER(SUBSTITUTE(SUBSTITUTE(SUBSTITUTE(SUBSTITUTE(A323,"/"," "),"."," "),"\"," "),"_"," ")))&amp;" ")),1,0))+IF(Task!$A$12="",0,IF(ISNUMBER(SEARCH(" "&amp;Task!$A$12&amp;" "," "&amp;LOWER(D323&amp;" "&amp;C323&amp;" "&amp;LOWER(SUBSTITUTE(SUBSTITUTE(SUBSTITUTE(SUBSTITUTE(A323,"/"," "),"."," "),"\"," "),"_"," ")))&amp;" ")),1,0))+IF(Task!$A$13="",0,IF(ISNUMBER(SEARCH(" "&amp;Task!$A$13&amp;" "," "&amp;LOWER(D323&amp;" "&amp;C323&amp;" "&amp;LOWER(SUBSTITUTE(SUBSTITUTE(SUBSTITUTE(SUBSTITUTE(A323,"/"," "),"."," "),"\"," "),"_"," ")))&amp;" ")),1,0))+IF(Task!$A$14="",0,IF(ISNUMBER(SEARCH(" "&amp;Task!$A$14&amp;" "," "&amp;LOWER(D323&amp;" "&amp;C323&amp;" "&amp;LOWER(SUBSTITUTE(SUBSTITUTE(SUBSTITUTE(SUBSTITUTE(A323,"/"," "),"."," "),"\"," "),"_"," ")))&amp;" ")),1,0))+IF(Task!$A$15="",0,IF(ISNUMBER(SEARCH(" "&amp;Task!$A$15&amp;" "," "&amp;LOWER(D323&amp;" "&amp;C323&amp;" "&amp;LOWER(SUBSTITUTE(SUBSTITUTE(SUBSTITUTE(SUBSTITUTE(A323,"/"," "),"."," "),"\"," "),"_"," ")))&amp;" ")),1,0))+IF(Task!$A$16="",0,IF(ISNUMBER(SEARCH(" "&amp;Task!$A$16&amp;" "," "&amp;LOWER(D323&amp;" "&amp;C323&amp;" "&amp;LOWER(SUBSTITUTE(SUBSTITUTE(SUBSTITUTE(SUBSTITUTE(A323,"/"," "),"."," "),"\"," "),"_"," ")))&amp;" ")),1,0))+IF(Task!$A$17="",0,IF(ISNUMBER(SEARCH(" "&amp;Task!$A$17&amp;" "," "&amp;LOWER(D323&amp;" "&amp;C323&amp;" "&amp;LOWER(SUBSTITUTE(SUBSTITUTE(SUBSTITUTE(SUBSTITUTE(A323,"/"," "),"."," "),"\"," "),"_"," ")))&amp;" ")),1,0))+IF(Task!$A$18="",0,IF(ISNUMBER(SEARCH(" "&amp;Task!$A$18&amp;" "," "&amp;LOWER(D323&amp;" "&amp;C323&amp;" "&amp;LOWER(SUBSTITUTE(SUBSTITUTE(SUBSTITUTE(SUBSTITUTE(A323,"/"," "),"."," "),"\"," "),"_"," ")))&amp;" ")),1,0))+IF(Task!$A$19="",0,IF(ISNUMBER(SEARCH(" "&amp;Task!$A$19&amp;" "," "&amp;LOWER(D323&amp;" "&amp;C323&amp;" "&amp;LOWER(SUBSTITUTE(SUBSTITUTE(SUBSTITUTE(SUBSTITUTE(A323,"/"," "),"."," "),"\"," "),"_"," ")))&amp;" ")),1,0)))</f>
        <v/>
      </c>
      <c r="G323" s="9">
        <f>IF(E323=0,0,IF(Task!$A$8="",0,IF(ISNUMBER(SEARCH(" "&amp;Task!$A$8&amp;" "," "&amp;LOWER(C323)&amp;" ")),1,0))+IF(Task!$A$9="",0,IF(ISNUMBER(SEARCH(" "&amp;Task!$A$9&amp;" "," "&amp;LOWER(C323)&amp;" ")),1,0))+IF(Task!$A$10="",0,IF(ISNUMBER(SEARCH(" "&amp;Task!$A$10&amp;" "," "&amp;LOWER(C323)&amp;" ")),1,0))+IF(Task!$A$11="",0,IF(ISNUMBER(SEARCH(" "&amp;Task!$A$11&amp;" "," "&amp;LOWER(C323)&amp;" ")),1,0))+IF(Task!$A$12="",0,IF(ISNUMBER(SEARCH(" "&amp;Task!$A$12&amp;" "," "&amp;LOWER(C323)&amp;" ")),1,0))+IF(Task!$A$13="",0,IF(ISNUMBER(SEARCH(" "&amp;Task!$A$13&amp;" "," "&amp;LOWER(C323)&amp;" ")),1,0))+IF(Task!$A$14="",0,IF(ISNUMBER(SEARCH(" "&amp;Task!$A$14&amp;" "," "&amp;LOWER(C323)&amp;" ")),1,0))+IF(Task!$A$15="",0,IF(ISNUMBER(SEARCH(" "&amp;Task!$A$15&amp;" "," "&amp;LOWER(C323)&amp;" ")),1,0))+IF(Task!$A$16="",0,IF(ISNUMBER(SEARCH(" "&amp;Task!$A$16&amp;" "," "&amp;LOWER(C323)&amp;" ")),1,0))+IF(Task!$A$17="",0,IF(ISNUMBER(SEARCH(" "&amp;Task!$A$17&amp;" "," "&amp;LOWER(C323)&amp;" ")),1,0))+IF(Task!$A$18="",0,IF(ISNUMBER(SEARCH(" "&amp;Task!$A$18&amp;" "," "&amp;LOWER(C323)&amp;" ")),1,0))+IF(Task!$A$19="",0,IF(ISNUMBER(SEARCH(" "&amp;Task!$A$19&amp;" "," "&amp;LOWER(C323)&amp;" ")),1,0)))</f>
        <v/>
      </c>
      <c r="H323" s="9">
        <f>IF(E323=0,0,IF(Task!$A$8="",0,IF(ISNUMBER(SEARCH(" "&amp;Task!$A$8&amp;" "," "&amp;LOWER(SUBSTITUTE(SUBSTITUTE(SUBSTITUTE(SUBSTITUTE(A323,"/"," "),"."," "),"\"," "),"_"," "))&amp;" ")),1,0))+IF(Task!$A$9="",0,IF(ISNUMBER(SEARCH(" "&amp;Task!$A$9&amp;" "," "&amp;LOWER(SUBSTITUTE(SUBSTITUTE(SUBSTITUTE(SUBSTITUTE(A323,"/"," "),"."," "),"\"," "),"_"," "))&amp;" ")),1,0))+IF(Task!$A$10="",0,IF(ISNUMBER(SEARCH(" "&amp;Task!$A$10&amp;" "," "&amp;LOWER(SUBSTITUTE(SUBSTITUTE(SUBSTITUTE(SUBSTITUTE(A323,"/"," "),"."," "),"\"," "),"_"," "))&amp;" ")),1,0))+IF(Task!$A$11="",0,IF(ISNUMBER(SEARCH(" "&amp;Task!$A$11&amp;" "," "&amp;LOWER(SUBSTITUTE(SUBSTITUTE(SUBSTITUTE(SUBSTITUTE(A323,"/"," "),"."," "),"\"," "),"_"," "))&amp;" ")),1,0))+IF(Task!$A$12="",0,IF(ISNUMBER(SEARCH(" "&amp;Task!$A$12&amp;" "," "&amp;LOWER(SUBSTITUTE(SUBSTITUTE(SUBSTITUTE(SUBSTITUTE(A323,"/"," "),"."," "),"\"," "),"_"," "))&amp;" ")),1,0))+IF(Task!$A$13="",0,IF(ISNUMBER(SEARCH(" "&amp;Task!$A$13&amp;" "," "&amp;LOWER(SUBSTITUTE(SUBSTITUTE(SUBSTITUTE(SUBSTITUTE(A323,"/"," "),"."," "),"\"," "),"_"," "))&amp;" ")),1,0))+IF(Task!$A$14="",0,IF(ISNUMBER(SEARCH(" "&amp;Task!$A$14&amp;" "," "&amp;LOWER(SUBSTITUTE(SUBSTITUTE(SUBSTITUTE(SUBSTITUTE(A323,"/"," "),"."," "),"\"," "),"_"," "))&amp;" ")),1,0))+IF(Task!$A$15="",0,IF(ISNUMBER(SEARCH(" "&amp;Task!$A$15&amp;" "," "&amp;LOWER(SUBSTITUTE(SUBSTITUTE(SUBSTITUTE(SUBSTITUTE(A323,"/"," "),"."," "),"\"," "),"_"," "))&amp;" ")),1,0))+IF(Task!$A$16="",0,IF(ISNUMBER(SEARCH(" "&amp;Task!$A$16&amp;" "," "&amp;LOWER(SUBSTITUTE(SUBSTITUTE(SUBSTITUTE(SUBSTITUTE(A323,"/"," "),"."," "),"\"," "),"_"," "))&amp;" ")),1,0))+IF(Task!$A$17="",0,IF(ISNUMBER(SEARCH(" "&amp;Task!$A$17&amp;" "," "&amp;LOWER(SUBSTITUTE(SUBSTITUTE(SUBSTITUTE(SUBSTITUTE(A323,"/"," "),"."," "),"\"," "),"_"," "))&amp;" ")),1,0))+IF(Task!$A$18="",0,IF(ISNUMBER(SEARCH(" "&amp;Task!$A$18&amp;" "," "&amp;LOWER(SUBSTITUTE(SUBSTITUTE(SUBSTITUTE(SUBSTITUTE(A323,"/"," "),"."," "),"\"," "),"_"," "))&amp;" ")),1,0))+IF(Task!$A$19="",0,IF(ISNUMBER(SEARCH(" "&amp;Task!$A$19&amp;" "," "&amp;LOWER(SUBSTITUTE(SUBSTITUTE(SUBSTITUTE(SUBSTITUTE(A323,"/"," "),"."," "),"\"," "),"_"," "))&amp;" ")),1,0)))</f>
        <v/>
      </c>
      <c r="I323" s="10">
        <f>IF(OR(E323=0,F323=0,Task!$B$21=0),"",F323/Task!$B$21+0.5*G323+0.25*H323)</f>
        <v/>
      </c>
      <c r="J323" s="5">
        <f>IF(I323="","",I323-ROW()/1000000)</f>
        <v/>
      </c>
      <c r="K323" s="9">
        <f>IF(J323="","",COUNTIF($J$5:$J$404,"&gt;"&amp;J323)+1)</f>
        <v/>
      </c>
    </row>
    <row r="324">
      <c r="A324" s="7" t="n"/>
      <c r="B324" s="7" t="n"/>
      <c r="C324" s="7" t="n"/>
      <c r="D324" s="7" t="n"/>
      <c r="E324" s="5">
        <f>IF(A324="",0,IF(COUNTA(Task!$B$5:$E$5)=0,1,IF(COUNTIF(Task!$B$5:$E$5,B324)&gt;0,1,0)))</f>
        <v/>
      </c>
      <c r="F324" s="9">
        <f>IF(E324=0,0,IF(Task!$A$8="",0,IF(ISNUMBER(SEARCH(" "&amp;Task!$A$8&amp;" "," "&amp;LOWER(D324&amp;" "&amp;C324&amp;" "&amp;LOWER(SUBSTITUTE(SUBSTITUTE(SUBSTITUTE(SUBSTITUTE(A324,"/"," "),"."," "),"\"," "),"_"," ")))&amp;" ")),1,0))+IF(Task!$A$9="",0,IF(ISNUMBER(SEARCH(" "&amp;Task!$A$9&amp;" "," "&amp;LOWER(D324&amp;" "&amp;C324&amp;" "&amp;LOWER(SUBSTITUTE(SUBSTITUTE(SUBSTITUTE(SUBSTITUTE(A324,"/"," "),"."," "),"\"," "),"_"," ")))&amp;" ")),1,0))+IF(Task!$A$10="",0,IF(ISNUMBER(SEARCH(" "&amp;Task!$A$10&amp;" "," "&amp;LOWER(D324&amp;" "&amp;C324&amp;" "&amp;LOWER(SUBSTITUTE(SUBSTITUTE(SUBSTITUTE(SUBSTITUTE(A324,"/"," "),"."," "),"\"," "),"_"," ")))&amp;" ")),1,0))+IF(Task!$A$11="",0,IF(ISNUMBER(SEARCH(" "&amp;Task!$A$11&amp;" "," "&amp;LOWER(D324&amp;" "&amp;C324&amp;" "&amp;LOWER(SUBSTITUTE(SUBSTITUTE(SUBSTITUTE(SUBSTITUTE(A324,"/"," "),"."," "),"\"," "),"_"," ")))&amp;" ")),1,0))+IF(Task!$A$12="",0,IF(ISNUMBER(SEARCH(" "&amp;Task!$A$12&amp;" "," "&amp;LOWER(D324&amp;" "&amp;C324&amp;" "&amp;LOWER(SUBSTITUTE(SUBSTITUTE(SUBSTITUTE(SUBSTITUTE(A324,"/"," "),"."," "),"\"," "),"_"," ")))&amp;" ")),1,0))+IF(Task!$A$13="",0,IF(ISNUMBER(SEARCH(" "&amp;Task!$A$13&amp;" "," "&amp;LOWER(D324&amp;" "&amp;C324&amp;" "&amp;LOWER(SUBSTITUTE(SUBSTITUTE(SUBSTITUTE(SUBSTITUTE(A324,"/"," "),"."," "),"\"," "),"_"," ")))&amp;" ")),1,0))+IF(Task!$A$14="",0,IF(ISNUMBER(SEARCH(" "&amp;Task!$A$14&amp;" "," "&amp;LOWER(D324&amp;" "&amp;C324&amp;" "&amp;LOWER(SUBSTITUTE(SUBSTITUTE(SUBSTITUTE(SUBSTITUTE(A324,"/"," "),"."," "),"\"," "),"_"," ")))&amp;" ")),1,0))+IF(Task!$A$15="",0,IF(ISNUMBER(SEARCH(" "&amp;Task!$A$15&amp;" "," "&amp;LOWER(D324&amp;" "&amp;C324&amp;" "&amp;LOWER(SUBSTITUTE(SUBSTITUTE(SUBSTITUTE(SUBSTITUTE(A324,"/"," "),"."," "),"\"," "),"_"," ")))&amp;" ")),1,0))+IF(Task!$A$16="",0,IF(ISNUMBER(SEARCH(" "&amp;Task!$A$16&amp;" "," "&amp;LOWER(D324&amp;" "&amp;C324&amp;" "&amp;LOWER(SUBSTITUTE(SUBSTITUTE(SUBSTITUTE(SUBSTITUTE(A324,"/"," "),"."," "),"\"," "),"_"," ")))&amp;" ")),1,0))+IF(Task!$A$17="",0,IF(ISNUMBER(SEARCH(" "&amp;Task!$A$17&amp;" "," "&amp;LOWER(D324&amp;" "&amp;C324&amp;" "&amp;LOWER(SUBSTITUTE(SUBSTITUTE(SUBSTITUTE(SUBSTITUTE(A324,"/"," "),"."," "),"\"," "),"_"," ")))&amp;" ")),1,0))+IF(Task!$A$18="",0,IF(ISNUMBER(SEARCH(" "&amp;Task!$A$18&amp;" "," "&amp;LOWER(D324&amp;" "&amp;C324&amp;" "&amp;LOWER(SUBSTITUTE(SUBSTITUTE(SUBSTITUTE(SUBSTITUTE(A324,"/"," "),"."," "),"\"," "),"_"," ")))&amp;" ")),1,0))+IF(Task!$A$19="",0,IF(ISNUMBER(SEARCH(" "&amp;Task!$A$19&amp;" "," "&amp;LOWER(D324&amp;" "&amp;C324&amp;" "&amp;LOWER(SUBSTITUTE(SUBSTITUTE(SUBSTITUTE(SUBSTITUTE(A324,"/"," "),"."," "),"\"," "),"_"," ")))&amp;" ")),1,0)))</f>
        <v/>
      </c>
      <c r="G324" s="9">
        <f>IF(E324=0,0,IF(Task!$A$8="",0,IF(ISNUMBER(SEARCH(" "&amp;Task!$A$8&amp;" "," "&amp;LOWER(C324)&amp;" ")),1,0))+IF(Task!$A$9="",0,IF(ISNUMBER(SEARCH(" "&amp;Task!$A$9&amp;" "," "&amp;LOWER(C324)&amp;" ")),1,0))+IF(Task!$A$10="",0,IF(ISNUMBER(SEARCH(" "&amp;Task!$A$10&amp;" "," "&amp;LOWER(C324)&amp;" ")),1,0))+IF(Task!$A$11="",0,IF(ISNUMBER(SEARCH(" "&amp;Task!$A$11&amp;" "," "&amp;LOWER(C324)&amp;" ")),1,0))+IF(Task!$A$12="",0,IF(ISNUMBER(SEARCH(" "&amp;Task!$A$12&amp;" "," "&amp;LOWER(C324)&amp;" ")),1,0))+IF(Task!$A$13="",0,IF(ISNUMBER(SEARCH(" "&amp;Task!$A$13&amp;" "," "&amp;LOWER(C324)&amp;" ")),1,0))+IF(Task!$A$14="",0,IF(ISNUMBER(SEARCH(" "&amp;Task!$A$14&amp;" "," "&amp;LOWER(C324)&amp;" ")),1,0))+IF(Task!$A$15="",0,IF(ISNUMBER(SEARCH(" "&amp;Task!$A$15&amp;" "," "&amp;LOWER(C324)&amp;" ")),1,0))+IF(Task!$A$16="",0,IF(ISNUMBER(SEARCH(" "&amp;Task!$A$16&amp;" "," "&amp;LOWER(C324)&amp;" ")),1,0))+IF(Task!$A$17="",0,IF(ISNUMBER(SEARCH(" "&amp;Task!$A$17&amp;" "," "&amp;LOWER(C324)&amp;" ")),1,0))+IF(Task!$A$18="",0,IF(ISNUMBER(SEARCH(" "&amp;Task!$A$18&amp;" "," "&amp;LOWER(C324)&amp;" ")),1,0))+IF(Task!$A$19="",0,IF(ISNUMBER(SEARCH(" "&amp;Task!$A$19&amp;" "," "&amp;LOWER(C324)&amp;" ")),1,0)))</f>
        <v/>
      </c>
      <c r="H324" s="9">
        <f>IF(E324=0,0,IF(Task!$A$8="",0,IF(ISNUMBER(SEARCH(" "&amp;Task!$A$8&amp;" "," "&amp;LOWER(SUBSTITUTE(SUBSTITUTE(SUBSTITUTE(SUBSTITUTE(A324,"/"," "),"."," "),"\"," "),"_"," "))&amp;" ")),1,0))+IF(Task!$A$9="",0,IF(ISNUMBER(SEARCH(" "&amp;Task!$A$9&amp;" "," "&amp;LOWER(SUBSTITUTE(SUBSTITUTE(SUBSTITUTE(SUBSTITUTE(A324,"/"," "),"."," "),"\"," "),"_"," "))&amp;" ")),1,0))+IF(Task!$A$10="",0,IF(ISNUMBER(SEARCH(" "&amp;Task!$A$10&amp;" "," "&amp;LOWER(SUBSTITUTE(SUBSTITUTE(SUBSTITUTE(SUBSTITUTE(A324,"/"," "),"."," "),"\"," "),"_"," "))&amp;" ")),1,0))+IF(Task!$A$11="",0,IF(ISNUMBER(SEARCH(" "&amp;Task!$A$11&amp;" "," "&amp;LOWER(SUBSTITUTE(SUBSTITUTE(SUBSTITUTE(SUBSTITUTE(A324,"/"," "),"."," "),"\"," "),"_"," "))&amp;" ")),1,0))+IF(Task!$A$12="",0,IF(ISNUMBER(SEARCH(" "&amp;Task!$A$12&amp;" "," "&amp;LOWER(SUBSTITUTE(SUBSTITUTE(SUBSTITUTE(SUBSTITUTE(A324,"/"," "),"."," "),"\"," "),"_"," "))&amp;" ")),1,0))+IF(Task!$A$13="",0,IF(ISNUMBER(SEARCH(" "&amp;Task!$A$13&amp;" "," "&amp;LOWER(SUBSTITUTE(SUBSTITUTE(SUBSTITUTE(SUBSTITUTE(A324,"/"," "),"."," "),"\"," "),"_"," "))&amp;" ")),1,0))+IF(Task!$A$14="",0,IF(ISNUMBER(SEARCH(" "&amp;Task!$A$14&amp;" "," "&amp;LOWER(SUBSTITUTE(SUBSTITUTE(SUBSTITUTE(SUBSTITUTE(A324,"/"," "),"."," "),"\"," "),"_"," "))&amp;" ")),1,0))+IF(Task!$A$15="",0,IF(ISNUMBER(SEARCH(" "&amp;Task!$A$15&amp;" "," "&amp;LOWER(SUBSTITUTE(SUBSTITUTE(SUBSTITUTE(SUBSTITUTE(A324,"/"," "),"."," "),"\"," "),"_"," "))&amp;" ")),1,0))+IF(Task!$A$16="",0,IF(ISNUMBER(SEARCH(" "&amp;Task!$A$16&amp;" "," "&amp;LOWER(SUBSTITUTE(SUBSTITUTE(SUBSTITUTE(SUBSTITUTE(A324,"/"," "),"."," "),"\"," "),"_"," "))&amp;" ")),1,0))+IF(Task!$A$17="",0,IF(ISNUMBER(SEARCH(" "&amp;Task!$A$17&amp;" "," "&amp;LOWER(SUBSTITUTE(SUBSTITUTE(SUBSTITUTE(SUBSTITUTE(A324,"/"," "),"."," "),"\"," "),"_"," "))&amp;" ")),1,0))+IF(Task!$A$18="",0,IF(ISNUMBER(SEARCH(" "&amp;Task!$A$18&amp;" "," "&amp;LOWER(SUBSTITUTE(SUBSTITUTE(SUBSTITUTE(SUBSTITUTE(A324,"/"," "),"."," "),"\"," "),"_"," "))&amp;" ")),1,0))+IF(Task!$A$19="",0,IF(ISNUMBER(SEARCH(" "&amp;Task!$A$19&amp;" "," "&amp;LOWER(SUBSTITUTE(SUBSTITUTE(SUBSTITUTE(SUBSTITUTE(A324,"/"," "),"."," "),"\"," "),"_"," "))&amp;" ")),1,0)))</f>
        <v/>
      </c>
      <c r="I324" s="10">
        <f>IF(OR(E324=0,F324=0,Task!$B$21=0),"",F324/Task!$B$21+0.5*G324+0.25*H324)</f>
        <v/>
      </c>
      <c r="J324" s="5">
        <f>IF(I324="","",I324-ROW()/1000000)</f>
        <v/>
      </c>
      <c r="K324" s="9">
        <f>IF(J324="","",COUNTIF($J$5:$J$404,"&gt;"&amp;J324)+1)</f>
        <v/>
      </c>
    </row>
    <row r="325">
      <c r="A325" s="7" t="n"/>
      <c r="B325" s="7" t="n"/>
      <c r="C325" s="7" t="n"/>
      <c r="D325" s="7" t="n"/>
      <c r="E325" s="5">
        <f>IF(A325="",0,IF(COUNTA(Task!$B$5:$E$5)=0,1,IF(COUNTIF(Task!$B$5:$E$5,B325)&gt;0,1,0)))</f>
        <v/>
      </c>
      <c r="F325" s="9">
        <f>IF(E325=0,0,IF(Task!$A$8="",0,IF(ISNUMBER(SEARCH(" "&amp;Task!$A$8&amp;" "," "&amp;LOWER(D325&amp;" "&amp;C325&amp;" "&amp;LOWER(SUBSTITUTE(SUBSTITUTE(SUBSTITUTE(SUBSTITUTE(A325,"/"," "),"."," "),"\"," "),"_"," ")))&amp;" ")),1,0))+IF(Task!$A$9="",0,IF(ISNUMBER(SEARCH(" "&amp;Task!$A$9&amp;" "," "&amp;LOWER(D325&amp;" "&amp;C325&amp;" "&amp;LOWER(SUBSTITUTE(SUBSTITUTE(SUBSTITUTE(SUBSTITUTE(A325,"/"," "),"."," "),"\"," "),"_"," ")))&amp;" ")),1,0))+IF(Task!$A$10="",0,IF(ISNUMBER(SEARCH(" "&amp;Task!$A$10&amp;" "," "&amp;LOWER(D325&amp;" "&amp;C325&amp;" "&amp;LOWER(SUBSTITUTE(SUBSTITUTE(SUBSTITUTE(SUBSTITUTE(A325,"/"," "),"."," "),"\"," "),"_"," ")))&amp;" ")),1,0))+IF(Task!$A$11="",0,IF(ISNUMBER(SEARCH(" "&amp;Task!$A$11&amp;" "," "&amp;LOWER(D325&amp;" "&amp;C325&amp;" "&amp;LOWER(SUBSTITUTE(SUBSTITUTE(SUBSTITUTE(SUBSTITUTE(A325,"/"," "),"."," "),"\"," "),"_"," ")))&amp;" ")),1,0))+IF(Task!$A$12="",0,IF(ISNUMBER(SEARCH(" "&amp;Task!$A$12&amp;" "," "&amp;LOWER(D325&amp;" "&amp;C325&amp;" "&amp;LOWER(SUBSTITUTE(SUBSTITUTE(SUBSTITUTE(SUBSTITUTE(A325,"/"," "),"."," "),"\"," "),"_"," ")))&amp;" ")),1,0))+IF(Task!$A$13="",0,IF(ISNUMBER(SEARCH(" "&amp;Task!$A$13&amp;" "," "&amp;LOWER(D325&amp;" "&amp;C325&amp;" "&amp;LOWER(SUBSTITUTE(SUBSTITUTE(SUBSTITUTE(SUBSTITUTE(A325,"/"," "),"."," "),"\"," "),"_"," ")))&amp;" ")),1,0))+IF(Task!$A$14="",0,IF(ISNUMBER(SEARCH(" "&amp;Task!$A$14&amp;" "," "&amp;LOWER(D325&amp;" "&amp;C325&amp;" "&amp;LOWER(SUBSTITUTE(SUBSTITUTE(SUBSTITUTE(SUBSTITUTE(A325,"/"," "),"."," "),"\"," "),"_"," ")))&amp;" ")),1,0))+IF(Task!$A$15="",0,IF(ISNUMBER(SEARCH(" "&amp;Task!$A$15&amp;" "," "&amp;LOWER(D325&amp;" "&amp;C325&amp;" "&amp;LOWER(SUBSTITUTE(SUBSTITUTE(SUBSTITUTE(SUBSTITUTE(A325,"/"," "),"."," "),"\"," "),"_"," ")))&amp;" ")),1,0))+IF(Task!$A$16="",0,IF(ISNUMBER(SEARCH(" "&amp;Task!$A$16&amp;" "," "&amp;LOWER(D325&amp;" "&amp;C325&amp;" "&amp;LOWER(SUBSTITUTE(SUBSTITUTE(SUBSTITUTE(SUBSTITUTE(A325,"/"," "),"."," "),"\"," "),"_"," ")))&amp;" ")),1,0))+IF(Task!$A$17="",0,IF(ISNUMBER(SEARCH(" "&amp;Task!$A$17&amp;" "," "&amp;LOWER(D325&amp;" "&amp;C325&amp;" "&amp;LOWER(SUBSTITUTE(SUBSTITUTE(SUBSTITUTE(SUBSTITUTE(A325,"/"," "),"."," "),"\"," "),"_"," ")))&amp;" ")),1,0))+IF(Task!$A$18="",0,IF(ISNUMBER(SEARCH(" "&amp;Task!$A$18&amp;" "," "&amp;LOWER(D325&amp;" "&amp;C325&amp;" "&amp;LOWER(SUBSTITUTE(SUBSTITUTE(SUBSTITUTE(SUBSTITUTE(A325,"/"," "),"."," "),"\"," "),"_"," ")))&amp;" ")),1,0))+IF(Task!$A$19="",0,IF(ISNUMBER(SEARCH(" "&amp;Task!$A$19&amp;" "," "&amp;LOWER(D325&amp;" "&amp;C325&amp;" "&amp;LOWER(SUBSTITUTE(SUBSTITUTE(SUBSTITUTE(SUBSTITUTE(A325,"/"," "),"."," "),"\"," "),"_"," ")))&amp;" ")),1,0)))</f>
        <v/>
      </c>
      <c r="G325" s="9">
        <f>IF(E325=0,0,IF(Task!$A$8="",0,IF(ISNUMBER(SEARCH(" "&amp;Task!$A$8&amp;" "," "&amp;LOWER(C325)&amp;" ")),1,0))+IF(Task!$A$9="",0,IF(ISNUMBER(SEARCH(" "&amp;Task!$A$9&amp;" "," "&amp;LOWER(C325)&amp;" ")),1,0))+IF(Task!$A$10="",0,IF(ISNUMBER(SEARCH(" "&amp;Task!$A$10&amp;" "," "&amp;LOWER(C325)&amp;" ")),1,0))+IF(Task!$A$11="",0,IF(ISNUMBER(SEARCH(" "&amp;Task!$A$11&amp;" "," "&amp;LOWER(C325)&amp;" ")),1,0))+IF(Task!$A$12="",0,IF(ISNUMBER(SEARCH(" "&amp;Task!$A$12&amp;" "," "&amp;LOWER(C325)&amp;" ")),1,0))+IF(Task!$A$13="",0,IF(ISNUMBER(SEARCH(" "&amp;Task!$A$13&amp;" "," "&amp;LOWER(C325)&amp;" ")),1,0))+IF(Task!$A$14="",0,IF(ISNUMBER(SEARCH(" "&amp;Task!$A$14&amp;" "," "&amp;LOWER(C325)&amp;" ")),1,0))+IF(Task!$A$15="",0,IF(ISNUMBER(SEARCH(" "&amp;Task!$A$15&amp;" "," "&amp;LOWER(C325)&amp;" ")),1,0))+IF(Task!$A$16="",0,IF(ISNUMBER(SEARCH(" "&amp;Task!$A$16&amp;" "," "&amp;LOWER(C325)&amp;" ")),1,0))+IF(Task!$A$17="",0,IF(ISNUMBER(SEARCH(" "&amp;Task!$A$17&amp;" "," "&amp;LOWER(C325)&amp;" ")),1,0))+IF(Task!$A$18="",0,IF(ISNUMBER(SEARCH(" "&amp;Task!$A$18&amp;" "," "&amp;LOWER(C325)&amp;" ")),1,0))+IF(Task!$A$19="",0,IF(ISNUMBER(SEARCH(" "&amp;Task!$A$19&amp;" "," "&amp;LOWER(C325)&amp;" ")),1,0)))</f>
        <v/>
      </c>
      <c r="H325" s="9">
        <f>IF(E325=0,0,IF(Task!$A$8="",0,IF(ISNUMBER(SEARCH(" "&amp;Task!$A$8&amp;" "," "&amp;LOWER(SUBSTITUTE(SUBSTITUTE(SUBSTITUTE(SUBSTITUTE(A325,"/"," "),"."," "),"\"," "),"_"," "))&amp;" ")),1,0))+IF(Task!$A$9="",0,IF(ISNUMBER(SEARCH(" "&amp;Task!$A$9&amp;" "," "&amp;LOWER(SUBSTITUTE(SUBSTITUTE(SUBSTITUTE(SUBSTITUTE(A325,"/"," "),"."," "),"\"," "),"_"," "))&amp;" ")),1,0))+IF(Task!$A$10="",0,IF(ISNUMBER(SEARCH(" "&amp;Task!$A$10&amp;" "," "&amp;LOWER(SUBSTITUTE(SUBSTITUTE(SUBSTITUTE(SUBSTITUTE(A325,"/"," "),"."," "),"\"," "),"_"," "))&amp;" ")),1,0))+IF(Task!$A$11="",0,IF(ISNUMBER(SEARCH(" "&amp;Task!$A$11&amp;" "," "&amp;LOWER(SUBSTITUTE(SUBSTITUTE(SUBSTITUTE(SUBSTITUTE(A325,"/"," "),"."," "),"\"," "),"_"," "))&amp;" ")),1,0))+IF(Task!$A$12="",0,IF(ISNUMBER(SEARCH(" "&amp;Task!$A$12&amp;" "," "&amp;LOWER(SUBSTITUTE(SUBSTITUTE(SUBSTITUTE(SUBSTITUTE(A325,"/"," "),"."," "),"\"," "),"_"," "))&amp;" ")),1,0))+IF(Task!$A$13="",0,IF(ISNUMBER(SEARCH(" "&amp;Task!$A$13&amp;" "," "&amp;LOWER(SUBSTITUTE(SUBSTITUTE(SUBSTITUTE(SUBSTITUTE(A325,"/"," "),"."," "),"\"," "),"_"," "))&amp;" ")),1,0))+IF(Task!$A$14="",0,IF(ISNUMBER(SEARCH(" "&amp;Task!$A$14&amp;" "," "&amp;LOWER(SUBSTITUTE(SUBSTITUTE(SUBSTITUTE(SUBSTITUTE(A325,"/"," "),"."," "),"\"," "),"_"," "))&amp;" ")),1,0))+IF(Task!$A$15="",0,IF(ISNUMBER(SEARCH(" "&amp;Task!$A$15&amp;" "," "&amp;LOWER(SUBSTITUTE(SUBSTITUTE(SUBSTITUTE(SUBSTITUTE(A325,"/"," "),"."," "),"\"," "),"_"," "))&amp;" ")),1,0))+IF(Task!$A$16="",0,IF(ISNUMBER(SEARCH(" "&amp;Task!$A$16&amp;" "," "&amp;LOWER(SUBSTITUTE(SUBSTITUTE(SUBSTITUTE(SUBSTITUTE(A325,"/"," "),"."," "),"\"," "),"_"," "))&amp;" ")),1,0))+IF(Task!$A$17="",0,IF(ISNUMBER(SEARCH(" "&amp;Task!$A$17&amp;" "," "&amp;LOWER(SUBSTITUTE(SUBSTITUTE(SUBSTITUTE(SUBSTITUTE(A325,"/"," "),"."," "),"\"," "),"_"," "))&amp;" ")),1,0))+IF(Task!$A$18="",0,IF(ISNUMBER(SEARCH(" "&amp;Task!$A$18&amp;" "," "&amp;LOWER(SUBSTITUTE(SUBSTITUTE(SUBSTITUTE(SUBSTITUTE(A325,"/"," "),"."," "),"\"," "),"_"," "))&amp;" ")),1,0))+IF(Task!$A$19="",0,IF(ISNUMBER(SEARCH(" "&amp;Task!$A$19&amp;" "," "&amp;LOWER(SUBSTITUTE(SUBSTITUTE(SUBSTITUTE(SUBSTITUTE(A325,"/"," "),"."," "),"\"," "),"_"," "))&amp;" ")),1,0)))</f>
        <v/>
      </c>
      <c r="I325" s="10">
        <f>IF(OR(E325=0,F325=0,Task!$B$21=0),"",F325/Task!$B$21+0.5*G325+0.25*H325)</f>
        <v/>
      </c>
      <c r="J325" s="5">
        <f>IF(I325="","",I325-ROW()/1000000)</f>
        <v/>
      </c>
      <c r="K325" s="9">
        <f>IF(J325="","",COUNTIF($J$5:$J$404,"&gt;"&amp;J325)+1)</f>
        <v/>
      </c>
    </row>
    <row r="326">
      <c r="A326" s="7" t="n"/>
      <c r="B326" s="7" t="n"/>
      <c r="C326" s="7" t="n"/>
      <c r="D326" s="7" t="n"/>
      <c r="E326" s="5">
        <f>IF(A326="",0,IF(COUNTA(Task!$B$5:$E$5)=0,1,IF(COUNTIF(Task!$B$5:$E$5,B326)&gt;0,1,0)))</f>
        <v/>
      </c>
      <c r="F326" s="9">
        <f>IF(E326=0,0,IF(Task!$A$8="",0,IF(ISNUMBER(SEARCH(" "&amp;Task!$A$8&amp;" "," "&amp;LOWER(D326&amp;" "&amp;C326&amp;" "&amp;LOWER(SUBSTITUTE(SUBSTITUTE(SUBSTITUTE(SUBSTITUTE(A326,"/"," "),"."," "),"\"," "),"_"," ")))&amp;" ")),1,0))+IF(Task!$A$9="",0,IF(ISNUMBER(SEARCH(" "&amp;Task!$A$9&amp;" "," "&amp;LOWER(D326&amp;" "&amp;C326&amp;" "&amp;LOWER(SUBSTITUTE(SUBSTITUTE(SUBSTITUTE(SUBSTITUTE(A326,"/"," "),"."," "),"\"," "),"_"," ")))&amp;" ")),1,0))+IF(Task!$A$10="",0,IF(ISNUMBER(SEARCH(" "&amp;Task!$A$10&amp;" "," "&amp;LOWER(D326&amp;" "&amp;C326&amp;" "&amp;LOWER(SUBSTITUTE(SUBSTITUTE(SUBSTITUTE(SUBSTITUTE(A326,"/"," "),"."," "),"\"," "),"_"," ")))&amp;" ")),1,0))+IF(Task!$A$11="",0,IF(ISNUMBER(SEARCH(" "&amp;Task!$A$11&amp;" "," "&amp;LOWER(D326&amp;" "&amp;C326&amp;" "&amp;LOWER(SUBSTITUTE(SUBSTITUTE(SUBSTITUTE(SUBSTITUTE(A326,"/"," "),"."," "),"\"," "),"_"," ")))&amp;" ")),1,0))+IF(Task!$A$12="",0,IF(ISNUMBER(SEARCH(" "&amp;Task!$A$12&amp;" "," "&amp;LOWER(D326&amp;" "&amp;C326&amp;" "&amp;LOWER(SUBSTITUTE(SUBSTITUTE(SUBSTITUTE(SUBSTITUTE(A326,"/"," "),"."," "),"\"," "),"_"," ")))&amp;" ")),1,0))+IF(Task!$A$13="",0,IF(ISNUMBER(SEARCH(" "&amp;Task!$A$13&amp;" "," "&amp;LOWER(D326&amp;" "&amp;C326&amp;" "&amp;LOWER(SUBSTITUTE(SUBSTITUTE(SUBSTITUTE(SUBSTITUTE(A326,"/"," "),"."," "),"\"," "),"_"," ")))&amp;" ")),1,0))+IF(Task!$A$14="",0,IF(ISNUMBER(SEARCH(" "&amp;Task!$A$14&amp;" "," "&amp;LOWER(D326&amp;" "&amp;C326&amp;" "&amp;LOWER(SUBSTITUTE(SUBSTITUTE(SUBSTITUTE(SUBSTITUTE(A326,"/"," "),"."," "),"\"," "),"_"," ")))&amp;" ")),1,0))+IF(Task!$A$15="",0,IF(ISNUMBER(SEARCH(" "&amp;Task!$A$15&amp;" "," "&amp;LOWER(D326&amp;" "&amp;C326&amp;" "&amp;LOWER(SUBSTITUTE(SUBSTITUTE(SUBSTITUTE(SUBSTITUTE(A326,"/"," "),"."," "),"\"," "),"_"," ")))&amp;" ")),1,0))+IF(Task!$A$16="",0,IF(ISNUMBER(SEARCH(" "&amp;Task!$A$16&amp;" "," "&amp;LOWER(D326&amp;" "&amp;C326&amp;" "&amp;LOWER(SUBSTITUTE(SUBSTITUTE(SUBSTITUTE(SUBSTITUTE(A326,"/"," "),"."," "),"\"," "),"_"," ")))&amp;" ")),1,0))+IF(Task!$A$17="",0,IF(ISNUMBER(SEARCH(" "&amp;Task!$A$17&amp;" "," "&amp;LOWER(D326&amp;" "&amp;C326&amp;" "&amp;LOWER(SUBSTITUTE(SUBSTITUTE(SUBSTITUTE(SUBSTITUTE(A326,"/"," "),"."," "),"\"," "),"_"," ")))&amp;" ")),1,0))+IF(Task!$A$18="",0,IF(ISNUMBER(SEARCH(" "&amp;Task!$A$18&amp;" "," "&amp;LOWER(D326&amp;" "&amp;C326&amp;" "&amp;LOWER(SUBSTITUTE(SUBSTITUTE(SUBSTITUTE(SUBSTITUTE(A326,"/"," "),"."," "),"\"," "),"_"," ")))&amp;" ")),1,0))+IF(Task!$A$19="",0,IF(ISNUMBER(SEARCH(" "&amp;Task!$A$19&amp;" "," "&amp;LOWER(D326&amp;" "&amp;C326&amp;" "&amp;LOWER(SUBSTITUTE(SUBSTITUTE(SUBSTITUTE(SUBSTITUTE(A326,"/"," "),"."," "),"\"," "),"_"," ")))&amp;" ")),1,0)))</f>
        <v/>
      </c>
      <c r="G326" s="9">
        <f>IF(E326=0,0,IF(Task!$A$8="",0,IF(ISNUMBER(SEARCH(" "&amp;Task!$A$8&amp;" "," "&amp;LOWER(C326)&amp;" ")),1,0))+IF(Task!$A$9="",0,IF(ISNUMBER(SEARCH(" "&amp;Task!$A$9&amp;" "," "&amp;LOWER(C326)&amp;" ")),1,0))+IF(Task!$A$10="",0,IF(ISNUMBER(SEARCH(" "&amp;Task!$A$10&amp;" "," "&amp;LOWER(C326)&amp;" ")),1,0))+IF(Task!$A$11="",0,IF(ISNUMBER(SEARCH(" "&amp;Task!$A$11&amp;" "," "&amp;LOWER(C326)&amp;" ")),1,0))+IF(Task!$A$12="",0,IF(ISNUMBER(SEARCH(" "&amp;Task!$A$12&amp;" "," "&amp;LOWER(C326)&amp;" ")),1,0))+IF(Task!$A$13="",0,IF(ISNUMBER(SEARCH(" "&amp;Task!$A$13&amp;" "," "&amp;LOWER(C326)&amp;" ")),1,0))+IF(Task!$A$14="",0,IF(ISNUMBER(SEARCH(" "&amp;Task!$A$14&amp;" "," "&amp;LOWER(C326)&amp;" ")),1,0))+IF(Task!$A$15="",0,IF(ISNUMBER(SEARCH(" "&amp;Task!$A$15&amp;" "," "&amp;LOWER(C326)&amp;" ")),1,0))+IF(Task!$A$16="",0,IF(ISNUMBER(SEARCH(" "&amp;Task!$A$16&amp;" "," "&amp;LOWER(C326)&amp;" ")),1,0))+IF(Task!$A$17="",0,IF(ISNUMBER(SEARCH(" "&amp;Task!$A$17&amp;" "," "&amp;LOWER(C326)&amp;" ")),1,0))+IF(Task!$A$18="",0,IF(ISNUMBER(SEARCH(" "&amp;Task!$A$18&amp;" "," "&amp;LOWER(C326)&amp;" ")),1,0))+IF(Task!$A$19="",0,IF(ISNUMBER(SEARCH(" "&amp;Task!$A$19&amp;" "," "&amp;LOWER(C326)&amp;" ")),1,0)))</f>
        <v/>
      </c>
      <c r="H326" s="9">
        <f>IF(E326=0,0,IF(Task!$A$8="",0,IF(ISNUMBER(SEARCH(" "&amp;Task!$A$8&amp;" "," "&amp;LOWER(SUBSTITUTE(SUBSTITUTE(SUBSTITUTE(SUBSTITUTE(A326,"/"," "),"."," "),"\"," "),"_"," "))&amp;" ")),1,0))+IF(Task!$A$9="",0,IF(ISNUMBER(SEARCH(" "&amp;Task!$A$9&amp;" "," "&amp;LOWER(SUBSTITUTE(SUBSTITUTE(SUBSTITUTE(SUBSTITUTE(A326,"/"," "),"."," "),"\"," "),"_"," "))&amp;" ")),1,0))+IF(Task!$A$10="",0,IF(ISNUMBER(SEARCH(" "&amp;Task!$A$10&amp;" "," "&amp;LOWER(SUBSTITUTE(SUBSTITUTE(SUBSTITUTE(SUBSTITUTE(A326,"/"," "),"."," "),"\"," "),"_"," "))&amp;" ")),1,0))+IF(Task!$A$11="",0,IF(ISNUMBER(SEARCH(" "&amp;Task!$A$11&amp;" "," "&amp;LOWER(SUBSTITUTE(SUBSTITUTE(SUBSTITUTE(SUBSTITUTE(A326,"/"," "),"."," "),"\"," "),"_"," "))&amp;" ")),1,0))+IF(Task!$A$12="",0,IF(ISNUMBER(SEARCH(" "&amp;Task!$A$12&amp;" "," "&amp;LOWER(SUBSTITUTE(SUBSTITUTE(SUBSTITUTE(SUBSTITUTE(A326,"/"," "),"."," "),"\"," "),"_"," "))&amp;" ")),1,0))+IF(Task!$A$13="",0,IF(ISNUMBER(SEARCH(" "&amp;Task!$A$13&amp;" "," "&amp;LOWER(SUBSTITUTE(SUBSTITUTE(SUBSTITUTE(SUBSTITUTE(A326,"/"," "),"."," "),"\"," "),"_"," "))&amp;" ")),1,0))+IF(Task!$A$14="",0,IF(ISNUMBER(SEARCH(" "&amp;Task!$A$14&amp;" "," "&amp;LOWER(SUBSTITUTE(SUBSTITUTE(SUBSTITUTE(SUBSTITUTE(A326,"/"," "),"."," "),"\"," "),"_"," "))&amp;" ")),1,0))+IF(Task!$A$15="",0,IF(ISNUMBER(SEARCH(" "&amp;Task!$A$15&amp;" "," "&amp;LOWER(SUBSTITUTE(SUBSTITUTE(SUBSTITUTE(SUBSTITUTE(A326,"/"," "),"."," "),"\"," "),"_"," "))&amp;" ")),1,0))+IF(Task!$A$16="",0,IF(ISNUMBER(SEARCH(" "&amp;Task!$A$16&amp;" "," "&amp;LOWER(SUBSTITUTE(SUBSTITUTE(SUBSTITUTE(SUBSTITUTE(A326,"/"," "),"."," "),"\"," "),"_"," "))&amp;" ")),1,0))+IF(Task!$A$17="",0,IF(ISNUMBER(SEARCH(" "&amp;Task!$A$17&amp;" "," "&amp;LOWER(SUBSTITUTE(SUBSTITUTE(SUBSTITUTE(SUBSTITUTE(A326,"/"," "),"."," "),"\"," "),"_"," "))&amp;" ")),1,0))+IF(Task!$A$18="",0,IF(ISNUMBER(SEARCH(" "&amp;Task!$A$18&amp;" "," "&amp;LOWER(SUBSTITUTE(SUBSTITUTE(SUBSTITUTE(SUBSTITUTE(A326,"/"," "),"."," "),"\"," "),"_"," "))&amp;" ")),1,0))+IF(Task!$A$19="",0,IF(ISNUMBER(SEARCH(" "&amp;Task!$A$19&amp;" "," "&amp;LOWER(SUBSTITUTE(SUBSTITUTE(SUBSTITUTE(SUBSTITUTE(A326,"/"," "),"."," "),"\"," "),"_"," "))&amp;" ")),1,0)))</f>
        <v/>
      </c>
      <c r="I326" s="10">
        <f>IF(OR(E326=0,F326=0,Task!$B$21=0),"",F326/Task!$B$21+0.5*G326+0.25*H326)</f>
        <v/>
      </c>
      <c r="J326" s="5">
        <f>IF(I326="","",I326-ROW()/1000000)</f>
        <v/>
      </c>
      <c r="K326" s="9">
        <f>IF(J326="","",COUNTIF($J$5:$J$404,"&gt;"&amp;J326)+1)</f>
        <v/>
      </c>
    </row>
    <row r="327">
      <c r="A327" s="7" t="n"/>
      <c r="B327" s="7" t="n"/>
      <c r="C327" s="7" t="n"/>
      <c r="D327" s="7" t="n"/>
      <c r="E327" s="5">
        <f>IF(A327="",0,IF(COUNTA(Task!$B$5:$E$5)=0,1,IF(COUNTIF(Task!$B$5:$E$5,B327)&gt;0,1,0)))</f>
        <v/>
      </c>
      <c r="F327" s="9">
        <f>IF(E327=0,0,IF(Task!$A$8="",0,IF(ISNUMBER(SEARCH(" "&amp;Task!$A$8&amp;" "," "&amp;LOWER(D327&amp;" "&amp;C327&amp;" "&amp;LOWER(SUBSTITUTE(SUBSTITUTE(SUBSTITUTE(SUBSTITUTE(A327,"/"," "),"."," "),"\"," "),"_"," ")))&amp;" ")),1,0))+IF(Task!$A$9="",0,IF(ISNUMBER(SEARCH(" "&amp;Task!$A$9&amp;" "," "&amp;LOWER(D327&amp;" "&amp;C327&amp;" "&amp;LOWER(SUBSTITUTE(SUBSTITUTE(SUBSTITUTE(SUBSTITUTE(A327,"/"," "),"."," "),"\"," "),"_"," ")))&amp;" ")),1,0))+IF(Task!$A$10="",0,IF(ISNUMBER(SEARCH(" "&amp;Task!$A$10&amp;" "," "&amp;LOWER(D327&amp;" "&amp;C327&amp;" "&amp;LOWER(SUBSTITUTE(SUBSTITUTE(SUBSTITUTE(SUBSTITUTE(A327,"/"," "),"."," "),"\"," "),"_"," ")))&amp;" ")),1,0))+IF(Task!$A$11="",0,IF(ISNUMBER(SEARCH(" "&amp;Task!$A$11&amp;" "," "&amp;LOWER(D327&amp;" "&amp;C327&amp;" "&amp;LOWER(SUBSTITUTE(SUBSTITUTE(SUBSTITUTE(SUBSTITUTE(A327,"/"," "),"."," "),"\"," "),"_"," ")))&amp;" ")),1,0))+IF(Task!$A$12="",0,IF(ISNUMBER(SEARCH(" "&amp;Task!$A$12&amp;" "," "&amp;LOWER(D327&amp;" "&amp;C327&amp;" "&amp;LOWER(SUBSTITUTE(SUBSTITUTE(SUBSTITUTE(SUBSTITUTE(A327,"/"," "),"."," "),"\"," "),"_"," ")))&amp;" ")),1,0))+IF(Task!$A$13="",0,IF(ISNUMBER(SEARCH(" "&amp;Task!$A$13&amp;" "," "&amp;LOWER(D327&amp;" "&amp;C327&amp;" "&amp;LOWER(SUBSTITUTE(SUBSTITUTE(SUBSTITUTE(SUBSTITUTE(A327,"/"," "),"."," "),"\"," "),"_"," ")))&amp;" ")),1,0))+IF(Task!$A$14="",0,IF(ISNUMBER(SEARCH(" "&amp;Task!$A$14&amp;" "," "&amp;LOWER(D327&amp;" "&amp;C327&amp;" "&amp;LOWER(SUBSTITUTE(SUBSTITUTE(SUBSTITUTE(SUBSTITUTE(A327,"/"," "),"."," "),"\"," "),"_"," ")))&amp;" ")),1,0))+IF(Task!$A$15="",0,IF(ISNUMBER(SEARCH(" "&amp;Task!$A$15&amp;" "," "&amp;LOWER(D327&amp;" "&amp;C327&amp;" "&amp;LOWER(SUBSTITUTE(SUBSTITUTE(SUBSTITUTE(SUBSTITUTE(A327,"/"," "),"."," "),"\"," "),"_"," ")))&amp;" ")),1,0))+IF(Task!$A$16="",0,IF(ISNUMBER(SEARCH(" "&amp;Task!$A$16&amp;" "," "&amp;LOWER(D327&amp;" "&amp;C327&amp;" "&amp;LOWER(SUBSTITUTE(SUBSTITUTE(SUBSTITUTE(SUBSTITUTE(A327,"/"," "),"."," "),"\"," "),"_"," ")))&amp;" ")),1,0))+IF(Task!$A$17="",0,IF(ISNUMBER(SEARCH(" "&amp;Task!$A$17&amp;" "," "&amp;LOWER(D327&amp;" "&amp;C327&amp;" "&amp;LOWER(SUBSTITUTE(SUBSTITUTE(SUBSTITUTE(SUBSTITUTE(A327,"/"," "),"."," "),"\"," "),"_"," ")))&amp;" ")),1,0))+IF(Task!$A$18="",0,IF(ISNUMBER(SEARCH(" "&amp;Task!$A$18&amp;" "," "&amp;LOWER(D327&amp;" "&amp;C327&amp;" "&amp;LOWER(SUBSTITUTE(SUBSTITUTE(SUBSTITUTE(SUBSTITUTE(A327,"/"," "),"."," "),"\"," "),"_"," ")))&amp;" ")),1,0))+IF(Task!$A$19="",0,IF(ISNUMBER(SEARCH(" "&amp;Task!$A$19&amp;" "," "&amp;LOWER(D327&amp;" "&amp;C327&amp;" "&amp;LOWER(SUBSTITUTE(SUBSTITUTE(SUBSTITUTE(SUBSTITUTE(A327,"/"," "),"."," "),"\"," "),"_"," ")))&amp;" ")),1,0)))</f>
        <v/>
      </c>
      <c r="G327" s="9">
        <f>IF(E327=0,0,IF(Task!$A$8="",0,IF(ISNUMBER(SEARCH(" "&amp;Task!$A$8&amp;" "," "&amp;LOWER(C327)&amp;" ")),1,0))+IF(Task!$A$9="",0,IF(ISNUMBER(SEARCH(" "&amp;Task!$A$9&amp;" "," "&amp;LOWER(C327)&amp;" ")),1,0))+IF(Task!$A$10="",0,IF(ISNUMBER(SEARCH(" "&amp;Task!$A$10&amp;" "," "&amp;LOWER(C327)&amp;" ")),1,0))+IF(Task!$A$11="",0,IF(ISNUMBER(SEARCH(" "&amp;Task!$A$11&amp;" "," "&amp;LOWER(C327)&amp;" ")),1,0))+IF(Task!$A$12="",0,IF(ISNUMBER(SEARCH(" "&amp;Task!$A$12&amp;" "," "&amp;LOWER(C327)&amp;" ")),1,0))+IF(Task!$A$13="",0,IF(ISNUMBER(SEARCH(" "&amp;Task!$A$13&amp;" "," "&amp;LOWER(C327)&amp;" ")),1,0))+IF(Task!$A$14="",0,IF(ISNUMBER(SEARCH(" "&amp;Task!$A$14&amp;" "," "&amp;LOWER(C327)&amp;" ")),1,0))+IF(Task!$A$15="",0,IF(ISNUMBER(SEARCH(" "&amp;Task!$A$15&amp;" "," "&amp;LOWER(C327)&amp;" ")),1,0))+IF(Task!$A$16="",0,IF(ISNUMBER(SEARCH(" "&amp;Task!$A$16&amp;" "," "&amp;LOWER(C327)&amp;" ")),1,0))+IF(Task!$A$17="",0,IF(ISNUMBER(SEARCH(" "&amp;Task!$A$17&amp;" "," "&amp;LOWER(C327)&amp;" ")),1,0))+IF(Task!$A$18="",0,IF(ISNUMBER(SEARCH(" "&amp;Task!$A$18&amp;" "," "&amp;LOWER(C327)&amp;" ")),1,0))+IF(Task!$A$19="",0,IF(ISNUMBER(SEARCH(" "&amp;Task!$A$19&amp;" "," "&amp;LOWER(C327)&amp;" ")),1,0)))</f>
        <v/>
      </c>
      <c r="H327" s="9">
        <f>IF(E327=0,0,IF(Task!$A$8="",0,IF(ISNUMBER(SEARCH(" "&amp;Task!$A$8&amp;" "," "&amp;LOWER(SUBSTITUTE(SUBSTITUTE(SUBSTITUTE(SUBSTITUTE(A327,"/"," "),"."," "),"\"," "),"_"," "))&amp;" ")),1,0))+IF(Task!$A$9="",0,IF(ISNUMBER(SEARCH(" "&amp;Task!$A$9&amp;" "," "&amp;LOWER(SUBSTITUTE(SUBSTITUTE(SUBSTITUTE(SUBSTITUTE(A327,"/"," "),"."," "),"\"," "),"_"," "))&amp;" ")),1,0))+IF(Task!$A$10="",0,IF(ISNUMBER(SEARCH(" "&amp;Task!$A$10&amp;" "," "&amp;LOWER(SUBSTITUTE(SUBSTITUTE(SUBSTITUTE(SUBSTITUTE(A327,"/"," "),"."," "),"\"," "),"_"," "))&amp;" ")),1,0))+IF(Task!$A$11="",0,IF(ISNUMBER(SEARCH(" "&amp;Task!$A$11&amp;" "," "&amp;LOWER(SUBSTITUTE(SUBSTITUTE(SUBSTITUTE(SUBSTITUTE(A327,"/"," "),"."," "),"\"," "),"_"," "))&amp;" ")),1,0))+IF(Task!$A$12="",0,IF(ISNUMBER(SEARCH(" "&amp;Task!$A$12&amp;" "," "&amp;LOWER(SUBSTITUTE(SUBSTITUTE(SUBSTITUTE(SUBSTITUTE(A327,"/"," "),"."," "),"\"," "),"_"," "))&amp;" ")),1,0))+IF(Task!$A$13="",0,IF(ISNUMBER(SEARCH(" "&amp;Task!$A$13&amp;" "," "&amp;LOWER(SUBSTITUTE(SUBSTITUTE(SUBSTITUTE(SUBSTITUTE(A327,"/"," "),"."," "),"\"," "),"_"," "))&amp;" ")),1,0))+IF(Task!$A$14="",0,IF(ISNUMBER(SEARCH(" "&amp;Task!$A$14&amp;" "," "&amp;LOWER(SUBSTITUTE(SUBSTITUTE(SUBSTITUTE(SUBSTITUTE(A327,"/"," "),"."," "),"\"," "),"_"," "))&amp;" ")),1,0))+IF(Task!$A$15="",0,IF(ISNUMBER(SEARCH(" "&amp;Task!$A$15&amp;" "," "&amp;LOWER(SUBSTITUTE(SUBSTITUTE(SUBSTITUTE(SUBSTITUTE(A327,"/"," "),"."," "),"\"," "),"_"," "))&amp;" ")),1,0))+IF(Task!$A$16="",0,IF(ISNUMBER(SEARCH(" "&amp;Task!$A$16&amp;" "," "&amp;LOWER(SUBSTITUTE(SUBSTITUTE(SUBSTITUTE(SUBSTITUTE(A327,"/"," "),"."," "),"\"," "),"_"," "))&amp;" ")),1,0))+IF(Task!$A$17="",0,IF(ISNUMBER(SEARCH(" "&amp;Task!$A$17&amp;" "," "&amp;LOWER(SUBSTITUTE(SUBSTITUTE(SUBSTITUTE(SUBSTITUTE(A327,"/"," "),"."," "),"\"," "),"_"," "))&amp;" ")),1,0))+IF(Task!$A$18="",0,IF(ISNUMBER(SEARCH(" "&amp;Task!$A$18&amp;" "," "&amp;LOWER(SUBSTITUTE(SUBSTITUTE(SUBSTITUTE(SUBSTITUTE(A327,"/"," "),"."," "),"\"," "),"_"," "))&amp;" ")),1,0))+IF(Task!$A$19="",0,IF(ISNUMBER(SEARCH(" "&amp;Task!$A$19&amp;" "," "&amp;LOWER(SUBSTITUTE(SUBSTITUTE(SUBSTITUTE(SUBSTITUTE(A327,"/"," "),"."," "),"\"," "),"_"," "))&amp;" ")),1,0)))</f>
        <v/>
      </c>
      <c r="I327" s="10">
        <f>IF(OR(E327=0,F327=0,Task!$B$21=0),"",F327/Task!$B$21+0.5*G327+0.25*H327)</f>
        <v/>
      </c>
      <c r="J327" s="5">
        <f>IF(I327="","",I327-ROW()/1000000)</f>
        <v/>
      </c>
      <c r="K327" s="9">
        <f>IF(J327="","",COUNTIF($J$5:$J$404,"&gt;"&amp;J327)+1)</f>
        <v/>
      </c>
    </row>
    <row r="328">
      <c r="A328" s="7" t="n"/>
      <c r="B328" s="7" t="n"/>
      <c r="C328" s="7" t="n"/>
      <c r="D328" s="7" t="n"/>
      <c r="E328" s="5">
        <f>IF(A328="",0,IF(COUNTA(Task!$B$5:$E$5)=0,1,IF(COUNTIF(Task!$B$5:$E$5,B328)&gt;0,1,0)))</f>
        <v/>
      </c>
      <c r="F328" s="9">
        <f>IF(E328=0,0,IF(Task!$A$8="",0,IF(ISNUMBER(SEARCH(" "&amp;Task!$A$8&amp;" "," "&amp;LOWER(D328&amp;" "&amp;C328&amp;" "&amp;LOWER(SUBSTITUTE(SUBSTITUTE(SUBSTITUTE(SUBSTITUTE(A328,"/"," "),"."," "),"\"," "),"_"," ")))&amp;" ")),1,0))+IF(Task!$A$9="",0,IF(ISNUMBER(SEARCH(" "&amp;Task!$A$9&amp;" "," "&amp;LOWER(D328&amp;" "&amp;C328&amp;" "&amp;LOWER(SUBSTITUTE(SUBSTITUTE(SUBSTITUTE(SUBSTITUTE(A328,"/"," "),"."," "),"\"," "),"_"," ")))&amp;" ")),1,0))+IF(Task!$A$10="",0,IF(ISNUMBER(SEARCH(" "&amp;Task!$A$10&amp;" "," "&amp;LOWER(D328&amp;" "&amp;C328&amp;" "&amp;LOWER(SUBSTITUTE(SUBSTITUTE(SUBSTITUTE(SUBSTITUTE(A328,"/"," "),"."," "),"\"," "),"_"," ")))&amp;" ")),1,0))+IF(Task!$A$11="",0,IF(ISNUMBER(SEARCH(" "&amp;Task!$A$11&amp;" "," "&amp;LOWER(D328&amp;" "&amp;C328&amp;" "&amp;LOWER(SUBSTITUTE(SUBSTITUTE(SUBSTITUTE(SUBSTITUTE(A328,"/"," "),"."," "),"\"," "),"_"," ")))&amp;" ")),1,0))+IF(Task!$A$12="",0,IF(ISNUMBER(SEARCH(" "&amp;Task!$A$12&amp;" "," "&amp;LOWER(D328&amp;" "&amp;C328&amp;" "&amp;LOWER(SUBSTITUTE(SUBSTITUTE(SUBSTITUTE(SUBSTITUTE(A328,"/"," "),"."," "),"\"," "),"_"," ")))&amp;" ")),1,0))+IF(Task!$A$13="",0,IF(ISNUMBER(SEARCH(" "&amp;Task!$A$13&amp;" "," "&amp;LOWER(D328&amp;" "&amp;C328&amp;" "&amp;LOWER(SUBSTITUTE(SUBSTITUTE(SUBSTITUTE(SUBSTITUTE(A328,"/"," "),"."," "),"\"," "),"_"," ")))&amp;" ")),1,0))+IF(Task!$A$14="",0,IF(ISNUMBER(SEARCH(" "&amp;Task!$A$14&amp;" "," "&amp;LOWER(D328&amp;" "&amp;C328&amp;" "&amp;LOWER(SUBSTITUTE(SUBSTITUTE(SUBSTITUTE(SUBSTITUTE(A328,"/"," "),"."," "),"\"," "),"_"," ")))&amp;" ")),1,0))+IF(Task!$A$15="",0,IF(ISNUMBER(SEARCH(" "&amp;Task!$A$15&amp;" "," "&amp;LOWER(D328&amp;" "&amp;C328&amp;" "&amp;LOWER(SUBSTITUTE(SUBSTITUTE(SUBSTITUTE(SUBSTITUTE(A328,"/"," "),"."," "),"\"," "),"_"," ")))&amp;" ")),1,0))+IF(Task!$A$16="",0,IF(ISNUMBER(SEARCH(" "&amp;Task!$A$16&amp;" "," "&amp;LOWER(D328&amp;" "&amp;C328&amp;" "&amp;LOWER(SUBSTITUTE(SUBSTITUTE(SUBSTITUTE(SUBSTITUTE(A328,"/"," "),"."," "),"\"," "),"_"," ")))&amp;" ")),1,0))+IF(Task!$A$17="",0,IF(ISNUMBER(SEARCH(" "&amp;Task!$A$17&amp;" "," "&amp;LOWER(D328&amp;" "&amp;C328&amp;" "&amp;LOWER(SUBSTITUTE(SUBSTITUTE(SUBSTITUTE(SUBSTITUTE(A328,"/"," "),"."," "),"\"," "),"_"," ")))&amp;" ")),1,0))+IF(Task!$A$18="",0,IF(ISNUMBER(SEARCH(" "&amp;Task!$A$18&amp;" "," "&amp;LOWER(D328&amp;" "&amp;C328&amp;" "&amp;LOWER(SUBSTITUTE(SUBSTITUTE(SUBSTITUTE(SUBSTITUTE(A328,"/"," "),"."," "),"\"," "),"_"," ")))&amp;" ")),1,0))+IF(Task!$A$19="",0,IF(ISNUMBER(SEARCH(" "&amp;Task!$A$19&amp;" "," "&amp;LOWER(D328&amp;" "&amp;C328&amp;" "&amp;LOWER(SUBSTITUTE(SUBSTITUTE(SUBSTITUTE(SUBSTITUTE(A328,"/"," "),"."," "),"\"," "),"_"," ")))&amp;" ")),1,0)))</f>
        <v/>
      </c>
      <c r="G328" s="9">
        <f>IF(E328=0,0,IF(Task!$A$8="",0,IF(ISNUMBER(SEARCH(" "&amp;Task!$A$8&amp;" "," "&amp;LOWER(C328)&amp;" ")),1,0))+IF(Task!$A$9="",0,IF(ISNUMBER(SEARCH(" "&amp;Task!$A$9&amp;" "," "&amp;LOWER(C328)&amp;" ")),1,0))+IF(Task!$A$10="",0,IF(ISNUMBER(SEARCH(" "&amp;Task!$A$10&amp;" "," "&amp;LOWER(C328)&amp;" ")),1,0))+IF(Task!$A$11="",0,IF(ISNUMBER(SEARCH(" "&amp;Task!$A$11&amp;" "," "&amp;LOWER(C328)&amp;" ")),1,0))+IF(Task!$A$12="",0,IF(ISNUMBER(SEARCH(" "&amp;Task!$A$12&amp;" "," "&amp;LOWER(C328)&amp;" ")),1,0))+IF(Task!$A$13="",0,IF(ISNUMBER(SEARCH(" "&amp;Task!$A$13&amp;" "," "&amp;LOWER(C328)&amp;" ")),1,0))+IF(Task!$A$14="",0,IF(ISNUMBER(SEARCH(" "&amp;Task!$A$14&amp;" "," "&amp;LOWER(C328)&amp;" ")),1,0))+IF(Task!$A$15="",0,IF(ISNUMBER(SEARCH(" "&amp;Task!$A$15&amp;" "," "&amp;LOWER(C328)&amp;" ")),1,0))+IF(Task!$A$16="",0,IF(ISNUMBER(SEARCH(" "&amp;Task!$A$16&amp;" "," "&amp;LOWER(C328)&amp;" ")),1,0))+IF(Task!$A$17="",0,IF(ISNUMBER(SEARCH(" "&amp;Task!$A$17&amp;" "," "&amp;LOWER(C328)&amp;" ")),1,0))+IF(Task!$A$18="",0,IF(ISNUMBER(SEARCH(" "&amp;Task!$A$18&amp;" "," "&amp;LOWER(C328)&amp;" ")),1,0))+IF(Task!$A$19="",0,IF(ISNUMBER(SEARCH(" "&amp;Task!$A$19&amp;" "," "&amp;LOWER(C328)&amp;" ")),1,0)))</f>
        <v/>
      </c>
      <c r="H328" s="9">
        <f>IF(E328=0,0,IF(Task!$A$8="",0,IF(ISNUMBER(SEARCH(" "&amp;Task!$A$8&amp;" "," "&amp;LOWER(SUBSTITUTE(SUBSTITUTE(SUBSTITUTE(SUBSTITUTE(A328,"/"," "),"."," "),"\"," "),"_"," "))&amp;" ")),1,0))+IF(Task!$A$9="",0,IF(ISNUMBER(SEARCH(" "&amp;Task!$A$9&amp;" "," "&amp;LOWER(SUBSTITUTE(SUBSTITUTE(SUBSTITUTE(SUBSTITUTE(A328,"/"," "),"."," "),"\"," "),"_"," "))&amp;" ")),1,0))+IF(Task!$A$10="",0,IF(ISNUMBER(SEARCH(" "&amp;Task!$A$10&amp;" "," "&amp;LOWER(SUBSTITUTE(SUBSTITUTE(SUBSTITUTE(SUBSTITUTE(A328,"/"," "),"."," "),"\"," "),"_"," "))&amp;" ")),1,0))+IF(Task!$A$11="",0,IF(ISNUMBER(SEARCH(" "&amp;Task!$A$11&amp;" "," "&amp;LOWER(SUBSTITUTE(SUBSTITUTE(SUBSTITUTE(SUBSTITUTE(A328,"/"," "),"."," "),"\"," "),"_"," "))&amp;" ")),1,0))+IF(Task!$A$12="",0,IF(ISNUMBER(SEARCH(" "&amp;Task!$A$12&amp;" "," "&amp;LOWER(SUBSTITUTE(SUBSTITUTE(SUBSTITUTE(SUBSTITUTE(A328,"/"," "),"."," "),"\"," "),"_"," "))&amp;" ")),1,0))+IF(Task!$A$13="",0,IF(ISNUMBER(SEARCH(" "&amp;Task!$A$13&amp;" "," "&amp;LOWER(SUBSTITUTE(SUBSTITUTE(SUBSTITUTE(SUBSTITUTE(A328,"/"," "),"."," "),"\"," "),"_"," "))&amp;" ")),1,0))+IF(Task!$A$14="",0,IF(ISNUMBER(SEARCH(" "&amp;Task!$A$14&amp;" "," "&amp;LOWER(SUBSTITUTE(SUBSTITUTE(SUBSTITUTE(SUBSTITUTE(A328,"/"," "),"."," "),"\"," "),"_"," "))&amp;" ")),1,0))+IF(Task!$A$15="",0,IF(ISNUMBER(SEARCH(" "&amp;Task!$A$15&amp;" "," "&amp;LOWER(SUBSTITUTE(SUBSTITUTE(SUBSTITUTE(SUBSTITUTE(A328,"/"," "),"."," "),"\"," "),"_"," "))&amp;" ")),1,0))+IF(Task!$A$16="",0,IF(ISNUMBER(SEARCH(" "&amp;Task!$A$16&amp;" "," "&amp;LOWER(SUBSTITUTE(SUBSTITUTE(SUBSTITUTE(SUBSTITUTE(A328,"/"," "),"."," "),"\"," "),"_"," "))&amp;" ")),1,0))+IF(Task!$A$17="",0,IF(ISNUMBER(SEARCH(" "&amp;Task!$A$17&amp;" "," "&amp;LOWER(SUBSTITUTE(SUBSTITUTE(SUBSTITUTE(SUBSTITUTE(A328,"/"," "),"."," "),"\"," "),"_"," "))&amp;" ")),1,0))+IF(Task!$A$18="",0,IF(ISNUMBER(SEARCH(" "&amp;Task!$A$18&amp;" "," "&amp;LOWER(SUBSTITUTE(SUBSTITUTE(SUBSTITUTE(SUBSTITUTE(A328,"/"," "),"."," "),"\"," "),"_"," "))&amp;" ")),1,0))+IF(Task!$A$19="",0,IF(ISNUMBER(SEARCH(" "&amp;Task!$A$19&amp;" "," "&amp;LOWER(SUBSTITUTE(SUBSTITUTE(SUBSTITUTE(SUBSTITUTE(A328,"/"," "),"."," "),"\"," "),"_"," "))&amp;" ")),1,0)))</f>
        <v/>
      </c>
      <c r="I328" s="10">
        <f>IF(OR(E328=0,F328=0,Task!$B$21=0),"",F328/Task!$B$21+0.5*G328+0.25*H328)</f>
        <v/>
      </c>
      <c r="J328" s="5">
        <f>IF(I328="","",I328-ROW()/1000000)</f>
        <v/>
      </c>
      <c r="K328" s="9">
        <f>IF(J328="","",COUNTIF($J$5:$J$404,"&gt;"&amp;J328)+1)</f>
        <v/>
      </c>
    </row>
    <row r="329">
      <c r="A329" s="7" t="n"/>
      <c r="B329" s="7" t="n"/>
      <c r="C329" s="7" t="n"/>
      <c r="D329" s="7" t="n"/>
      <c r="E329" s="5">
        <f>IF(A329="",0,IF(COUNTA(Task!$B$5:$E$5)=0,1,IF(COUNTIF(Task!$B$5:$E$5,B329)&gt;0,1,0)))</f>
        <v/>
      </c>
      <c r="F329" s="9">
        <f>IF(E329=0,0,IF(Task!$A$8="",0,IF(ISNUMBER(SEARCH(" "&amp;Task!$A$8&amp;" "," "&amp;LOWER(D329&amp;" "&amp;C329&amp;" "&amp;LOWER(SUBSTITUTE(SUBSTITUTE(SUBSTITUTE(SUBSTITUTE(A329,"/"," "),"."," "),"\"," "),"_"," ")))&amp;" ")),1,0))+IF(Task!$A$9="",0,IF(ISNUMBER(SEARCH(" "&amp;Task!$A$9&amp;" "," "&amp;LOWER(D329&amp;" "&amp;C329&amp;" "&amp;LOWER(SUBSTITUTE(SUBSTITUTE(SUBSTITUTE(SUBSTITUTE(A329,"/"," "),"."," "),"\"," "),"_"," ")))&amp;" ")),1,0))+IF(Task!$A$10="",0,IF(ISNUMBER(SEARCH(" "&amp;Task!$A$10&amp;" "," "&amp;LOWER(D329&amp;" "&amp;C329&amp;" "&amp;LOWER(SUBSTITUTE(SUBSTITUTE(SUBSTITUTE(SUBSTITUTE(A329,"/"," "),"."," "),"\"," "),"_"," ")))&amp;" ")),1,0))+IF(Task!$A$11="",0,IF(ISNUMBER(SEARCH(" "&amp;Task!$A$11&amp;" "," "&amp;LOWER(D329&amp;" "&amp;C329&amp;" "&amp;LOWER(SUBSTITUTE(SUBSTITUTE(SUBSTITUTE(SUBSTITUTE(A329,"/"," "),"."," "),"\"," "),"_"," ")))&amp;" ")),1,0))+IF(Task!$A$12="",0,IF(ISNUMBER(SEARCH(" "&amp;Task!$A$12&amp;" "," "&amp;LOWER(D329&amp;" "&amp;C329&amp;" "&amp;LOWER(SUBSTITUTE(SUBSTITUTE(SUBSTITUTE(SUBSTITUTE(A329,"/"," "),"."," "),"\"," "),"_"," ")))&amp;" ")),1,0))+IF(Task!$A$13="",0,IF(ISNUMBER(SEARCH(" "&amp;Task!$A$13&amp;" "," "&amp;LOWER(D329&amp;" "&amp;C329&amp;" "&amp;LOWER(SUBSTITUTE(SUBSTITUTE(SUBSTITUTE(SUBSTITUTE(A329,"/"," "),"."," "),"\"," "),"_"," ")))&amp;" ")),1,0))+IF(Task!$A$14="",0,IF(ISNUMBER(SEARCH(" "&amp;Task!$A$14&amp;" "," "&amp;LOWER(D329&amp;" "&amp;C329&amp;" "&amp;LOWER(SUBSTITUTE(SUBSTITUTE(SUBSTITUTE(SUBSTITUTE(A329,"/"," "),"."," "),"\"," "),"_"," ")))&amp;" ")),1,0))+IF(Task!$A$15="",0,IF(ISNUMBER(SEARCH(" "&amp;Task!$A$15&amp;" "," "&amp;LOWER(D329&amp;" "&amp;C329&amp;" "&amp;LOWER(SUBSTITUTE(SUBSTITUTE(SUBSTITUTE(SUBSTITUTE(A329,"/"," "),"."," "),"\"," "),"_"," ")))&amp;" ")),1,0))+IF(Task!$A$16="",0,IF(ISNUMBER(SEARCH(" "&amp;Task!$A$16&amp;" "," "&amp;LOWER(D329&amp;" "&amp;C329&amp;" "&amp;LOWER(SUBSTITUTE(SUBSTITUTE(SUBSTITUTE(SUBSTITUTE(A329,"/"," "),"."," "),"\"," "),"_"," ")))&amp;" ")),1,0))+IF(Task!$A$17="",0,IF(ISNUMBER(SEARCH(" "&amp;Task!$A$17&amp;" "," "&amp;LOWER(D329&amp;" "&amp;C329&amp;" "&amp;LOWER(SUBSTITUTE(SUBSTITUTE(SUBSTITUTE(SUBSTITUTE(A329,"/"," "),"."," "),"\"," "),"_"," ")))&amp;" ")),1,0))+IF(Task!$A$18="",0,IF(ISNUMBER(SEARCH(" "&amp;Task!$A$18&amp;" "," "&amp;LOWER(D329&amp;" "&amp;C329&amp;" "&amp;LOWER(SUBSTITUTE(SUBSTITUTE(SUBSTITUTE(SUBSTITUTE(A329,"/"," "),"."," "),"\"," "),"_"," ")))&amp;" ")),1,0))+IF(Task!$A$19="",0,IF(ISNUMBER(SEARCH(" "&amp;Task!$A$19&amp;" "," "&amp;LOWER(D329&amp;" "&amp;C329&amp;" "&amp;LOWER(SUBSTITUTE(SUBSTITUTE(SUBSTITUTE(SUBSTITUTE(A329,"/"," "),"."," "),"\"," "),"_"," ")))&amp;" ")),1,0)))</f>
        <v/>
      </c>
      <c r="G329" s="9">
        <f>IF(E329=0,0,IF(Task!$A$8="",0,IF(ISNUMBER(SEARCH(" "&amp;Task!$A$8&amp;" "," "&amp;LOWER(C329)&amp;" ")),1,0))+IF(Task!$A$9="",0,IF(ISNUMBER(SEARCH(" "&amp;Task!$A$9&amp;" "," "&amp;LOWER(C329)&amp;" ")),1,0))+IF(Task!$A$10="",0,IF(ISNUMBER(SEARCH(" "&amp;Task!$A$10&amp;" "," "&amp;LOWER(C329)&amp;" ")),1,0))+IF(Task!$A$11="",0,IF(ISNUMBER(SEARCH(" "&amp;Task!$A$11&amp;" "," "&amp;LOWER(C329)&amp;" ")),1,0))+IF(Task!$A$12="",0,IF(ISNUMBER(SEARCH(" "&amp;Task!$A$12&amp;" "," "&amp;LOWER(C329)&amp;" ")),1,0))+IF(Task!$A$13="",0,IF(ISNUMBER(SEARCH(" "&amp;Task!$A$13&amp;" "," "&amp;LOWER(C329)&amp;" ")),1,0))+IF(Task!$A$14="",0,IF(ISNUMBER(SEARCH(" "&amp;Task!$A$14&amp;" "," "&amp;LOWER(C329)&amp;" ")),1,0))+IF(Task!$A$15="",0,IF(ISNUMBER(SEARCH(" "&amp;Task!$A$15&amp;" "," "&amp;LOWER(C329)&amp;" ")),1,0))+IF(Task!$A$16="",0,IF(ISNUMBER(SEARCH(" "&amp;Task!$A$16&amp;" "," "&amp;LOWER(C329)&amp;" ")),1,0))+IF(Task!$A$17="",0,IF(ISNUMBER(SEARCH(" "&amp;Task!$A$17&amp;" "," "&amp;LOWER(C329)&amp;" ")),1,0))+IF(Task!$A$18="",0,IF(ISNUMBER(SEARCH(" "&amp;Task!$A$18&amp;" "," "&amp;LOWER(C329)&amp;" ")),1,0))+IF(Task!$A$19="",0,IF(ISNUMBER(SEARCH(" "&amp;Task!$A$19&amp;" "," "&amp;LOWER(C329)&amp;" ")),1,0)))</f>
        <v/>
      </c>
      <c r="H329" s="9">
        <f>IF(E329=0,0,IF(Task!$A$8="",0,IF(ISNUMBER(SEARCH(" "&amp;Task!$A$8&amp;" "," "&amp;LOWER(SUBSTITUTE(SUBSTITUTE(SUBSTITUTE(SUBSTITUTE(A329,"/"," "),"."," "),"\"," "),"_"," "))&amp;" ")),1,0))+IF(Task!$A$9="",0,IF(ISNUMBER(SEARCH(" "&amp;Task!$A$9&amp;" "," "&amp;LOWER(SUBSTITUTE(SUBSTITUTE(SUBSTITUTE(SUBSTITUTE(A329,"/"," "),"."," "),"\"," "),"_"," "))&amp;" ")),1,0))+IF(Task!$A$10="",0,IF(ISNUMBER(SEARCH(" "&amp;Task!$A$10&amp;" "," "&amp;LOWER(SUBSTITUTE(SUBSTITUTE(SUBSTITUTE(SUBSTITUTE(A329,"/"," "),"."," "),"\"," "),"_"," "))&amp;" ")),1,0))+IF(Task!$A$11="",0,IF(ISNUMBER(SEARCH(" "&amp;Task!$A$11&amp;" "," "&amp;LOWER(SUBSTITUTE(SUBSTITUTE(SUBSTITUTE(SUBSTITUTE(A329,"/"," "),"."," "),"\"," "),"_"," "))&amp;" ")),1,0))+IF(Task!$A$12="",0,IF(ISNUMBER(SEARCH(" "&amp;Task!$A$12&amp;" "," "&amp;LOWER(SUBSTITUTE(SUBSTITUTE(SUBSTITUTE(SUBSTITUTE(A329,"/"," "),"."," "),"\"," "),"_"," "))&amp;" ")),1,0))+IF(Task!$A$13="",0,IF(ISNUMBER(SEARCH(" "&amp;Task!$A$13&amp;" "," "&amp;LOWER(SUBSTITUTE(SUBSTITUTE(SUBSTITUTE(SUBSTITUTE(A329,"/"," "),"."," "),"\"," "),"_"," "))&amp;" ")),1,0))+IF(Task!$A$14="",0,IF(ISNUMBER(SEARCH(" "&amp;Task!$A$14&amp;" "," "&amp;LOWER(SUBSTITUTE(SUBSTITUTE(SUBSTITUTE(SUBSTITUTE(A329,"/"," "),"."," "),"\"," "),"_"," "))&amp;" ")),1,0))+IF(Task!$A$15="",0,IF(ISNUMBER(SEARCH(" "&amp;Task!$A$15&amp;" "," "&amp;LOWER(SUBSTITUTE(SUBSTITUTE(SUBSTITUTE(SUBSTITUTE(A329,"/"," "),"."," "),"\"," "),"_"," "))&amp;" ")),1,0))+IF(Task!$A$16="",0,IF(ISNUMBER(SEARCH(" "&amp;Task!$A$16&amp;" "," "&amp;LOWER(SUBSTITUTE(SUBSTITUTE(SUBSTITUTE(SUBSTITUTE(A329,"/"," "),"."," "),"\"," "),"_"," "))&amp;" ")),1,0))+IF(Task!$A$17="",0,IF(ISNUMBER(SEARCH(" "&amp;Task!$A$17&amp;" "," "&amp;LOWER(SUBSTITUTE(SUBSTITUTE(SUBSTITUTE(SUBSTITUTE(A329,"/"," "),"."," "),"\"," "),"_"," "))&amp;" ")),1,0))+IF(Task!$A$18="",0,IF(ISNUMBER(SEARCH(" "&amp;Task!$A$18&amp;" "," "&amp;LOWER(SUBSTITUTE(SUBSTITUTE(SUBSTITUTE(SUBSTITUTE(A329,"/"," "),"."," "),"\"," "),"_"," "))&amp;" ")),1,0))+IF(Task!$A$19="",0,IF(ISNUMBER(SEARCH(" "&amp;Task!$A$19&amp;" "," "&amp;LOWER(SUBSTITUTE(SUBSTITUTE(SUBSTITUTE(SUBSTITUTE(A329,"/"," "),"."," "),"\"," "),"_"," "))&amp;" ")),1,0)))</f>
        <v/>
      </c>
      <c r="I329" s="10">
        <f>IF(OR(E329=0,F329=0,Task!$B$21=0),"",F329/Task!$B$21+0.5*G329+0.25*H329)</f>
        <v/>
      </c>
      <c r="J329" s="5">
        <f>IF(I329="","",I329-ROW()/1000000)</f>
        <v/>
      </c>
      <c r="K329" s="9">
        <f>IF(J329="","",COUNTIF($J$5:$J$404,"&gt;"&amp;J329)+1)</f>
        <v/>
      </c>
    </row>
    <row r="330">
      <c r="A330" s="7" t="n"/>
      <c r="B330" s="7" t="n"/>
      <c r="C330" s="7" t="n"/>
      <c r="D330" s="7" t="n"/>
      <c r="E330" s="5">
        <f>IF(A330="",0,IF(COUNTA(Task!$B$5:$E$5)=0,1,IF(COUNTIF(Task!$B$5:$E$5,B330)&gt;0,1,0)))</f>
        <v/>
      </c>
      <c r="F330" s="9">
        <f>IF(E330=0,0,IF(Task!$A$8="",0,IF(ISNUMBER(SEARCH(" "&amp;Task!$A$8&amp;" "," "&amp;LOWER(D330&amp;" "&amp;C330&amp;" "&amp;LOWER(SUBSTITUTE(SUBSTITUTE(SUBSTITUTE(SUBSTITUTE(A330,"/"," "),"."," "),"\"," "),"_"," ")))&amp;" ")),1,0))+IF(Task!$A$9="",0,IF(ISNUMBER(SEARCH(" "&amp;Task!$A$9&amp;" "," "&amp;LOWER(D330&amp;" "&amp;C330&amp;" "&amp;LOWER(SUBSTITUTE(SUBSTITUTE(SUBSTITUTE(SUBSTITUTE(A330,"/"," "),"."," "),"\"," "),"_"," ")))&amp;" ")),1,0))+IF(Task!$A$10="",0,IF(ISNUMBER(SEARCH(" "&amp;Task!$A$10&amp;" "," "&amp;LOWER(D330&amp;" "&amp;C330&amp;" "&amp;LOWER(SUBSTITUTE(SUBSTITUTE(SUBSTITUTE(SUBSTITUTE(A330,"/"," "),"."," "),"\"," "),"_"," ")))&amp;" ")),1,0))+IF(Task!$A$11="",0,IF(ISNUMBER(SEARCH(" "&amp;Task!$A$11&amp;" "," "&amp;LOWER(D330&amp;" "&amp;C330&amp;" "&amp;LOWER(SUBSTITUTE(SUBSTITUTE(SUBSTITUTE(SUBSTITUTE(A330,"/"," "),"."," "),"\"," "),"_"," ")))&amp;" ")),1,0))+IF(Task!$A$12="",0,IF(ISNUMBER(SEARCH(" "&amp;Task!$A$12&amp;" "," "&amp;LOWER(D330&amp;" "&amp;C330&amp;" "&amp;LOWER(SUBSTITUTE(SUBSTITUTE(SUBSTITUTE(SUBSTITUTE(A330,"/"," "),"."," "),"\"," "),"_"," ")))&amp;" ")),1,0))+IF(Task!$A$13="",0,IF(ISNUMBER(SEARCH(" "&amp;Task!$A$13&amp;" "," "&amp;LOWER(D330&amp;" "&amp;C330&amp;" "&amp;LOWER(SUBSTITUTE(SUBSTITUTE(SUBSTITUTE(SUBSTITUTE(A330,"/"," "),"."," "),"\"," "),"_"," ")))&amp;" ")),1,0))+IF(Task!$A$14="",0,IF(ISNUMBER(SEARCH(" "&amp;Task!$A$14&amp;" "," "&amp;LOWER(D330&amp;" "&amp;C330&amp;" "&amp;LOWER(SUBSTITUTE(SUBSTITUTE(SUBSTITUTE(SUBSTITUTE(A330,"/"," "),"."," "),"\"," "),"_"," ")))&amp;" ")),1,0))+IF(Task!$A$15="",0,IF(ISNUMBER(SEARCH(" "&amp;Task!$A$15&amp;" "," "&amp;LOWER(D330&amp;" "&amp;C330&amp;" "&amp;LOWER(SUBSTITUTE(SUBSTITUTE(SUBSTITUTE(SUBSTITUTE(A330,"/"," "),"."," "),"\"," "),"_"," ")))&amp;" ")),1,0))+IF(Task!$A$16="",0,IF(ISNUMBER(SEARCH(" "&amp;Task!$A$16&amp;" "," "&amp;LOWER(D330&amp;" "&amp;C330&amp;" "&amp;LOWER(SUBSTITUTE(SUBSTITUTE(SUBSTITUTE(SUBSTITUTE(A330,"/"," "),"."," "),"\"," "),"_"," ")))&amp;" ")),1,0))+IF(Task!$A$17="",0,IF(ISNUMBER(SEARCH(" "&amp;Task!$A$17&amp;" "," "&amp;LOWER(D330&amp;" "&amp;C330&amp;" "&amp;LOWER(SUBSTITUTE(SUBSTITUTE(SUBSTITUTE(SUBSTITUTE(A330,"/"," "),"."," "),"\"," "),"_"," ")))&amp;" ")),1,0))+IF(Task!$A$18="",0,IF(ISNUMBER(SEARCH(" "&amp;Task!$A$18&amp;" "," "&amp;LOWER(D330&amp;" "&amp;C330&amp;" "&amp;LOWER(SUBSTITUTE(SUBSTITUTE(SUBSTITUTE(SUBSTITUTE(A330,"/"," "),"."," "),"\"," "),"_"," ")))&amp;" ")),1,0))+IF(Task!$A$19="",0,IF(ISNUMBER(SEARCH(" "&amp;Task!$A$19&amp;" "," "&amp;LOWER(D330&amp;" "&amp;C330&amp;" "&amp;LOWER(SUBSTITUTE(SUBSTITUTE(SUBSTITUTE(SUBSTITUTE(A330,"/"," "),"."," "),"\"," "),"_"," ")))&amp;" ")),1,0)))</f>
        <v/>
      </c>
      <c r="G330" s="9">
        <f>IF(E330=0,0,IF(Task!$A$8="",0,IF(ISNUMBER(SEARCH(" "&amp;Task!$A$8&amp;" "," "&amp;LOWER(C330)&amp;" ")),1,0))+IF(Task!$A$9="",0,IF(ISNUMBER(SEARCH(" "&amp;Task!$A$9&amp;" "," "&amp;LOWER(C330)&amp;" ")),1,0))+IF(Task!$A$10="",0,IF(ISNUMBER(SEARCH(" "&amp;Task!$A$10&amp;" "," "&amp;LOWER(C330)&amp;" ")),1,0))+IF(Task!$A$11="",0,IF(ISNUMBER(SEARCH(" "&amp;Task!$A$11&amp;" "," "&amp;LOWER(C330)&amp;" ")),1,0))+IF(Task!$A$12="",0,IF(ISNUMBER(SEARCH(" "&amp;Task!$A$12&amp;" "," "&amp;LOWER(C330)&amp;" ")),1,0))+IF(Task!$A$13="",0,IF(ISNUMBER(SEARCH(" "&amp;Task!$A$13&amp;" "," "&amp;LOWER(C330)&amp;" ")),1,0))+IF(Task!$A$14="",0,IF(ISNUMBER(SEARCH(" "&amp;Task!$A$14&amp;" "," "&amp;LOWER(C330)&amp;" ")),1,0))+IF(Task!$A$15="",0,IF(ISNUMBER(SEARCH(" "&amp;Task!$A$15&amp;" "," "&amp;LOWER(C330)&amp;" ")),1,0))+IF(Task!$A$16="",0,IF(ISNUMBER(SEARCH(" "&amp;Task!$A$16&amp;" "," "&amp;LOWER(C330)&amp;" ")),1,0))+IF(Task!$A$17="",0,IF(ISNUMBER(SEARCH(" "&amp;Task!$A$17&amp;" "," "&amp;LOWER(C330)&amp;" ")),1,0))+IF(Task!$A$18="",0,IF(ISNUMBER(SEARCH(" "&amp;Task!$A$18&amp;" "," "&amp;LOWER(C330)&amp;" ")),1,0))+IF(Task!$A$19="",0,IF(ISNUMBER(SEARCH(" "&amp;Task!$A$19&amp;" "," "&amp;LOWER(C330)&amp;" ")),1,0)))</f>
        <v/>
      </c>
      <c r="H330" s="9">
        <f>IF(E330=0,0,IF(Task!$A$8="",0,IF(ISNUMBER(SEARCH(" "&amp;Task!$A$8&amp;" "," "&amp;LOWER(SUBSTITUTE(SUBSTITUTE(SUBSTITUTE(SUBSTITUTE(A330,"/"," "),"."," "),"\"," "),"_"," "))&amp;" ")),1,0))+IF(Task!$A$9="",0,IF(ISNUMBER(SEARCH(" "&amp;Task!$A$9&amp;" "," "&amp;LOWER(SUBSTITUTE(SUBSTITUTE(SUBSTITUTE(SUBSTITUTE(A330,"/"," "),"."," "),"\"," "),"_"," "))&amp;" ")),1,0))+IF(Task!$A$10="",0,IF(ISNUMBER(SEARCH(" "&amp;Task!$A$10&amp;" "," "&amp;LOWER(SUBSTITUTE(SUBSTITUTE(SUBSTITUTE(SUBSTITUTE(A330,"/"," "),"."," "),"\"," "),"_"," "))&amp;" ")),1,0))+IF(Task!$A$11="",0,IF(ISNUMBER(SEARCH(" "&amp;Task!$A$11&amp;" "," "&amp;LOWER(SUBSTITUTE(SUBSTITUTE(SUBSTITUTE(SUBSTITUTE(A330,"/"," "),"."," "),"\"," "),"_"," "))&amp;" ")),1,0))+IF(Task!$A$12="",0,IF(ISNUMBER(SEARCH(" "&amp;Task!$A$12&amp;" "," "&amp;LOWER(SUBSTITUTE(SUBSTITUTE(SUBSTITUTE(SUBSTITUTE(A330,"/"," "),"."," "),"\"," "),"_"," "))&amp;" ")),1,0))+IF(Task!$A$13="",0,IF(ISNUMBER(SEARCH(" "&amp;Task!$A$13&amp;" "," "&amp;LOWER(SUBSTITUTE(SUBSTITUTE(SUBSTITUTE(SUBSTITUTE(A330,"/"," "),"."," "),"\"," "),"_"," "))&amp;" ")),1,0))+IF(Task!$A$14="",0,IF(ISNUMBER(SEARCH(" "&amp;Task!$A$14&amp;" "," "&amp;LOWER(SUBSTITUTE(SUBSTITUTE(SUBSTITUTE(SUBSTITUTE(A330,"/"," "),"."," "),"\"," "),"_"," "))&amp;" ")),1,0))+IF(Task!$A$15="",0,IF(ISNUMBER(SEARCH(" "&amp;Task!$A$15&amp;" "," "&amp;LOWER(SUBSTITUTE(SUBSTITUTE(SUBSTITUTE(SUBSTITUTE(A330,"/"," "),"."," "),"\"," "),"_"," "))&amp;" ")),1,0))+IF(Task!$A$16="",0,IF(ISNUMBER(SEARCH(" "&amp;Task!$A$16&amp;" "," "&amp;LOWER(SUBSTITUTE(SUBSTITUTE(SUBSTITUTE(SUBSTITUTE(A330,"/"," "),"."," "),"\"," "),"_"," "))&amp;" ")),1,0))+IF(Task!$A$17="",0,IF(ISNUMBER(SEARCH(" "&amp;Task!$A$17&amp;" "," "&amp;LOWER(SUBSTITUTE(SUBSTITUTE(SUBSTITUTE(SUBSTITUTE(A330,"/"," "),"."," "),"\"," "),"_"," "))&amp;" ")),1,0))+IF(Task!$A$18="",0,IF(ISNUMBER(SEARCH(" "&amp;Task!$A$18&amp;" "," "&amp;LOWER(SUBSTITUTE(SUBSTITUTE(SUBSTITUTE(SUBSTITUTE(A330,"/"," "),"."," "),"\"," "),"_"," "))&amp;" ")),1,0))+IF(Task!$A$19="",0,IF(ISNUMBER(SEARCH(" "&amp;Task!$A$19&amp;" "," "&amp;LOWER(SUBSTITUTE(SUBSTITUTE(SUBSTITUTE(SUBSTITUTE(A330,"/"," "),"."," "),"\"," "),"_"," "))&amp;" ")),1,0)))</f>
        <v/>
      </c>
      <c r="I330" s="10">
        <f>IF(OR(E330=0,F330=0,Task!$B$21=0),"",F330/Task!$B$21+0.5*G330+0.25*H330)</f>
        <v/>
      </c>
      <c r="J330" s="5">
        <f>IF(I330="","",I330-ROW()/1000000)</f>
        <v/>
      </c>
      <c r="K330" s="9">
        <f>IF(J330="","",COUNTIF($J$5:$J$404,"&gt;"&amp;J330)+1)</f>
        <v/>
      </c>
    </row>
    <row r="331">
      <c r="A331" s="7" t="n"/>
      <c r="B331" s="7" t="n"/>
      <c r="C331" s="7" t="n"/>
      <c r="D331" s="7" t="n"/>
      <c r="E331" s="5">
        <f>IF(A331="",0,IF(COUNTA(Task!$B$5:$E$5)=0,1,IF(COUNTIF(Task!$B$5:$E$5,B331)&gt;0,1,0)))</f>
        <v/>
      </c>
      <c r="F331" s="9">
        <f>IF(E331=0,0,IF(Task!$A$8="",0,IF(ISNUMBER(SEARCH(" "&amp;Task!$A$8&amp;" "," "&amp;LOWER(D331&amp;" "&amp;C331&amp;" "&amp;LOWER(SUBSTITUTE(SUBSTITUTE(SUBSTITUTE(SUBSTITUTE(A331,"/"," "),"."," "),"\"," "),"_"," ")))&amp;" ")),1,0))+IF(Task!$A$9="",0,IF(ISNUMBER(SEARCH(" "&amp;Task!$A$9&amp;" "," "&amp;LOWER(D331&amp;" "&amp;C331&amp;" "&amp;LOWER(SUBSTITUTE(SUBSTITUTE(SUBSTITUTE(SUBSTITUTE(A331,"/"," "),"."," "),"\"," "),"_"," ")))&amp;" ")),1,0))+IF(Task!$A$10="",0,IF(ISNUMBER(SEARCH(" "&amp;Task!$A$10&amp;" "," "&amp;LOWER(D331&amp;" "&amp;C331&amp;" "&amp;LOWER(SUBSTITUTE(SUBSTITUTE(SUBSTITUTE(SUBSTITUTE(A331,"/"," "),"."," "),"\"," "),"_"," ")))&amp;" ")),1,0))+IF(Task!$A$11="",0,IF(ISNUMBER(SEARCH(" "&amp;Task!$A$11&amp;" "," "&amp;LOWER(D331&amp;" "&amp;C331&amp;" "&amp;LOWER(SUBSTITUTE(SUBSTITUTE(SUBSTITUTE(SUBSTITUTE(A331,"/"," "),"."," "),"\"," "),"_"," ")))&amp;" ")),1,0))+IF(Task!$A$12="",0,IF(ISNUMBER(SEARCH(" "&amp;Task!$A$12&amp;" "," "&amp;LOWER(D331&amp;" "&amp;C331&amp;" "&amp;LOWER(SUBSTITUTE(SUBSTITUTE(SUBSTITUTE(SUBSTITUTE(A331,"/"," "),"."," "),"\"," "),"_"," ")))&amp;" ")),1,0))+IF(Task!$A$13="",0,IF(ISNUMBER(SEARCH(" "&amp;Task!$A$13&amp;" "," "&amp;LOWER(D331&amp;" "&amp;C331&amp;" "&amp;LOWER(SUBSTITUTE(SUBSTITUTE(SUBSTITUTE(SUBSTITUTE(A331,"/"," "),"."," "),"\"," "),"_"," ")))&amp;" ")),1,0))+IF(Task!$A$14="",0,IF(ISNUMBER(SEARCH(" "&amp;Task!$A$14&amp;" "," "&amp;LOWER(D331&amp;" "&amp;C331&amp;" "&amp;LOWER(SUBSTITUTE(SUBSTITUTE(SUBSTITUTE(SUBSTITUTE(A331,"/"," "),"."," "),"\"," "),"_"," ")))&amp;" ")),1,0))+IF(Task!$A$15="",0,IF(ISNUMBER(SEARCH(" "&amp;Task!$A$15&amp;" "," "&amp;LOWER(D331&amp;" "&amp;C331&amp;" "&amp;LOWER(SUBSTITUTE(SUBSTITUTE(SUBSTITUTE(SUBSTITUTE(A331,"/"," "),"."," "),"\"," "),"_"," ")))&amp;" ")),1,0))+IF(Task!$A$16="",0,IF(ISNUMBER(SEARCH(" "&amp;Task!$A$16&amp;" "," "&amp;LOWER(D331&amp;" "&amp;C331&amp;" "&amp;LOWER(SUBSTITUTE(SUBSTITUTE(SUBSTITUTE(SUBSTITUTE(A331,"/"," "),"."," "),"\"," "),"_"," ")))&amp;" ")),1,0))+IF(Task!$A$17="",0,IF(ISNUMBER(SEARCH(" "&amp;Task!$A$17&amp;" "," "&amp;LOWER(D331&amp;" "&amp;C331&amp;" "&amp;LOWER(SUBSTITUTE(SUBSTITUTE(SUBSTITUTE(SUBSTITUTE(A331,"/"," "),"."," "),"\"," "),"_"," ")))&amp;" ")),1,0))+IF(Task!$A$18="",0,IF(ISNUMBER(SEARCH(" "&amp;Task!$A$18&amp;" "," "&amp;LOWER(D331&amp;" "&amp;C331&amp;" "&amp;LOWER(SUBSTITUTE(SUBSTITUTE(SUBSTITUTE(SUBSTITUTE(A331,"/"," "),"."," "),"\"," "),"_"," ")))&amp;" ")),1,0))+IF(Task!$A$19="",0,IF(ISNUMBER(SEARCH(" "&amp;Task!$A$19&amp;" "," "&amp;LOWER(D331&amp;" "&amp;C331&amp;" "&amp;LOWER(SUBSTITUTE(SUBSTITUTE(SUBSTITUTE(SUBSTITUTE(A331,"/"," "),"."," "),"\"," "),"_"," ")))&amp;" ")),1,0)))</f>
        <v/>
      </c>
      <c r="G331" s="9">
        <f>IF(E331=0,0,IF(Task!$A$8="",0,IF(ISNUMBER(SEARCH(" "&amp;Task!$A$8&amp;" "," "&amp;LOWER(C331)&amp;" ")),1,0))+IF(Task!$A$9="",0,IF(ISNUMBER(SEARCH(" "&amp;Task!$A$9&amp;" "," "&amp;LOWER(C331)&amp;" ")),1,0))+IF(Task!$A$10="",0,IF(ISNUMBER(SEARCH(" "&amp;Task!$A$10&amp;" "," "&amp;LOWER(C331)&amp;" ")),1,0))+IF(Task!$A$11="",0,IF(ISNUMBER(SEARCH(" "&amp;Task!$A$11&amp;" "," "&amp;LOWER(C331)&amp;" ")),1,0))+IF(Task!$A$12="",0,IF(ISNUMBER(SEARCH(" "&amp;Task!$A$12&amp;" "," "&amp;LOWER(C331)&amp;" ")),1,0))+IF(Task!$A$13="",0,IF(ISNUMBER(SEARCH(" "&amp;Task!$A$13&amp;" "," "&amp;LOWER(C331)&amp;" ")),1,0))+IF(Task!$A$14="",0,IF(ISNUMBER(SEARCH(" "&amp;Task!$A$14&amp;" "," "&amp;LOWER(C331)&amp;" ")),1,0))+IF(Task!$A$15="",0,IF(ISNUMBER(SEARCH(" "&amp;Task!$A$15&amp;" "," "&amp;LOWER(C331)&amp;" ")),1,0))+IF(Task!$A$16="",0,IF(ISNUMBER(SEARCH(" "&amp;Task!$A$16&amp;" "," "&amp;LOWER(C331)&amp;" ")),1,0))+IF(Task!$A$17="",0,IF(ISNUMBER(SEARCH(" "&amp;Task!$A$17&amp;" "," "&amp;LOWER(C331)&amp;" ")),1,0))+IF(Task!$A$18="",0,IF(ISNUMBER(SEARCH(" "&amp;Task!$A$18&amp;" "," "&amp;LOWER(C331)&amp;" ")),1,0))+IF(Task!$A$19="",0,IF(ISNUMBER(SEARCH(" "&amp;Task!$A$19&amp;" "," "&amp;LOWER(C331)&amp;" ")),1,0)))</f>
        <v/>
      </c>
      <c r="H331" s="9">
        <f>IF(E331=0,0,IF(Task!$A$8="",0,IF(ISNUMBER(SEARCH(" "&amp;Task!$A$8&amp;" "," "&amp;LOWER(SUBSTITUTE(SUBSTITUTE(SUBSTITUTE(SUBSTITUTE(A331,"/"," "),"."," "),"\"," "),"_"," "))&amp;" ")),1,0))+IF(Task!$A$9="",0,IF(ISNUMBER(SEARCH(" "&amp;Task!$A$9&amp;" "," "&amp;LOWER(SUBSTITUTE(SUBSTITUTE(SUBSTITUTE(SUBSTITUTE(A331,"/"," "),"."," "),"\"," "),"_"," "))&amp;" ")),1,0))+IF(Task!$A$10="",0,IF(ISNUMBER(SEARCH(" "&amp;Task!$A$10&amp;" "," "&amp;LOWER(SUBSTITUTE(SUBSTITUTE(SUBSTITUTE(SUBSTITUTE(A331,"/"," "),"."," "),"\"," "),"_"," "))&amp;" ")),1,0))+IF(Task!$A$11="",0,IF(ISNUMBER(SEARCH(" "&amp;Task!$A$11&amp;" "," "&amp;LOWER(SUBSTITUTE(SUBSTITUTE(SUBSTITUTE(SUBSTITUTE(A331,"/"," "),"."," "),"\"," "),"_"," "))&amp;" ")),1,0))+IF(Task!$A$12="",0,IF(ISNUMBER(SEARCH(" "&amp;Task!$A$12&amp;" "," "&amp;LOWER(SUBSTITUTE(SUBSTITUTE(SUBSTITUTE(SUBSTITUTE(A331,"/"," "),"."," "),"\"," "),"_"," "))&amp;" ")),1,0))+IF(Task!$A$13="",0,IF(ISNUMBER(SEARCH(" "&amp;Task!$A$13&amp;" "," "&amp;LOWER(SUBSTITUTE(SUBSTITUTE(SUBSTITUTE(SUBSTITUTE(A331,"/"," "),"."," "),"\"," "),"_"," "))&amp;" ")),1,0))+IF(Task!$A$14="",0,IF(ISNUMBER(SEARCH(" "&amp;Task!$A$14&amp;" "," "&amp;LOWER(SUBSTITUTE(SUBSTITUTE(SUBSTITUTE(SUBSTITUTE(A331,"/"," "),"."," "),"\"," "),"_"," "))&amp;" ")),1,0))+IF(Task!$A$15="",0,IF(ISNUMBER(SEARCH(" "&amp;Task!$A$15&amp;" "," "&amp;LOWER(SUBSTITUTE(SUBSTITUTE(SUBSTITUTE(SUBSTITUTE(A331,"/"," "),"."," "),"\"," "),"_"," "))&amp;" ")),1,0))+IF(Task!$A$16="",0,IF(ISNUMBER(SEARCH(" "&amp;Task!$A$16&amp;" "," "&amp;LOWER(SUBSTITUTE(SUBSTITUTE(SUBSTITUTE(SUBSTITUTE(A331,"/"," "),"."," "),"\"," "),"_"," "))&amp;" ")),1,0))+IF(Task!$A$17="",0,IF(ISNUMBER(SEARCH(" "&amp;Task!$A$17&amp;" "," "&amp;LOWER(SUBSTITUTE(SUBSTITUTE(SUBSTITUTE(SUBSTITUTE(A331,"/"," "),"."," "),"\"," "),"_"," "))&amp;" ")),1,0))+IF(Task!$A$18="",0,IF(ISNUMBER(SEARCH(" "&amp;Task!$A$18&amp;" "," "&amp;LOWER(SUBSTITUTE(SUBSTITUTE(SUBSTITUTE(SUBSTITUTE(A331,"/"," "),"."," "),"\"," "),"_"," "))&amp;" ")),1,0))+IF(Task!$A$19="",0,IF(ISNUMBER(SEARCH(" "&amp;Task!$A$19&amp;" "," "&amp;LOWER(SUBSTITUTE(SUBSTITUTE(SUBSTITUTE(SUBSTITUTE(A331,"/"," "),"."," "),"\"," "),"_"," "))&amp;" ")),1,0)))</f>
        <v/>
      </c>
      <c r="I331" s="10">
        <f>IF(OR(E331=0,F331=0,Task!$B$21=0),"",F331/Task!$B$21+0.5*G331+0.25*H331)</f>
        <v/>
      </c>
      <c r="J331" s="5">
        <f>IF(I331="","",I331-ROW()/1000000)</f>
        <v/>
      </c>
      <c r="K331" s="9">
        <f>IF(J331="","",COUNTIF($J$5:$J$404,"&gt;"&amp;J331)+1)</f>
        <v/>
      </c>
    </row>
    <row r="332">
      <c r="A332" s="7" t="n"/>
      <c r="B332" s="7" t="n"/>
      <c r="C332" s="7" t="n"/>
      <c r="D332" s="7" t="n"/>
      <c r="E332" s="5">
        <f>IF(A332="",0,IF(COUNTA(Task!$B$5:$E$5)=0,1,IF(COUNTIF(Task!$B$5:$E$5,B332)&gt;0,1,0)))</f>
        <v/>
      </c>
      <c r="F332" s="9">
        <f>IF(E332=0,0,IF(Task!$A$8="",0,IF(ISNUMBER(SEARCH(" "&amp;Task!$A$8&amp;" "," "&amp;LOWER(D332&amp;" "&amp;C332&amp;" "&amp;LOWER(SUBSTITUTE(SUBSTITUTE(SUBSTITUTE(SUBSTITUTE(A332,"/"," "),"."," "),"\"," "),"_"," ")))&amp;" ")),1,0))+IF(Task!$A$9="",0,IF(ISNUMBER(SEARCH(" "&amp;Task!$A$9&amp;" "," "&amp;LOWER(D332&amp;" "&amp;C332&amp;" "&amp;LOWER(SUBSTITUTE(SUBSTITUTE(SUBSTITUTE(SUBSTITUTE(A332,"/"," "),"."," "),"\"," "),"_"," ")))&amp;" ")),1,0))+IF(Task!$A$10="",0,IF(ISNUMBER(SEARCH(" "&amp;Task!$A$10&amp;" "," "&amp;LOWER(D332&amp;" "&amp;C332&amp;" "&amp;LOWER(SUBSTITUTE(SUBSTITUTE(SUBSTITUTE(SUBSTITUTE(A332,"/"," "),"."," "),"\"," "),"_"," ")))&amp;" ")),1,0))+IF(Task!$A$11="",0,IF(ISNUMBER(SEARCH(" "&amp;Task!$A$11&amp;" "," "&amp;LOWER(D332&amp;" "&amp;C332&amp;" "&amp;LOWER(SUBSTITUTE(SUBSTITUTE(SUBSTITUTE(SUBSTITUTE(A332,"/"," "),"."," "),"\"," "),"_"," ")))&amp;" ")),1,0))+IF(Task!$A$12="",0,IF(ISNUMBER(SEARCH(" "&amp;Task!$A$12&amp;" "," "&amp;LOWER(D332&amp;" "&amp;C332&amp;" "&amp;LOWER(SUBSTITUTE(SUBSTITUTE(SUBSTITUTE(SUBSTITUTE(A332,"/"," "),"."," "),"\"," "),"_"," ")))&amp;" ")),1,0))+IF(Task!$A$13="",0,IF(ISNUMBER(SEARCH(" "&amp;Task!$A$13&amp;" "," "&amp;LOWER(D332&amp;" "&amp;C332&amp;" "&amp;LOWER(SUBSTITUTE(SUBSTITUTE(SUBSTITUTE(SUBSTITUTE(A332,"/"," "),"."," "),"\"," "),"_"," ")))&amp;" ")),1,0))+IF(Task!$A$14="",0,IF(ISNUMBER(SEARCH(" "&amp;Task!$A$14&amp;" "," "&amp;LOWER(D332&amp;" "&amp;C332&amp;" "&amp;LOWER(SUBSTITUTE(SUBSTITUTE(SUBSTITUTE(SUBSTITUTE(A332,"/"," "),"."," "),"\"," "),"_"," ")))&amp;" ")),1,0))+IF(Task!$A$15="",0,IF(ISNUMBER(SEARCH(" "&amp;Task!$A$15&amp;" "," "&amp;LOWER(D332&amp;" "&amp;C332&amp;" "&amp;LOWER(SUBSTITUTE(SUBSTITUTE(SUBSTITUTE(SUBSTITUTE(A332,"/"," "),"."," "),"\"," "),"_"," ")))&amp;" ")),1,0))+IF(Task!$A$16="",0,IF(ISNUMBER(SEARCH(" "&amp;Task!$A$16&amp;" "," "&amp;LOWER(D332&amp;" "&amp;C332&amp;" "&amp;LOWER(SUBSTITUTE(SUBSTITUTE(SUBSTITUTE(SUBSTITUTE(A332,"/"," "),"."," "),"\"," "),"_"," ")))&amp;" ")),1,0))+IF(Task!$A$17="",0,IF(ISNUMBER(SEARCH(" "&amp;Task!$A$17&amp;" "," "&amp;LOWER(D332&amp;" "&amp;C332&amp;" "&amp;LOWER(SUBSTITUTE(SUBSTITUTE(SUBSTITUTE(SUBSTITUTE(A332,"/"," "),"."," "),"\"," "),"_"," ")))&amp;" ")),1,0))+IF(Task!$A$18="",0,IF(ISNUMBER(SEARCH(" "&amp;Task!$A$18&amp;" "," "&amp;LOWER(D332&amp;" "&amp;C332&amp;" "&amp;LOWER(SUBSTITUTE(SUBSTITUTE(SUBSTITUTE(SUBSTITUTE(A332,"/"," "),"."," "),"\"," "),"_"," ")))&amp;" ")),1,0))+IF(Task!$A$19="",0,IF(ISNUMBER(SEARCH(" "&amp;Task!$A$19&amp;" "," "&amp;LOWER(D332&amp;" "&amp;C332&amp;" "&amp;LOWER(SUBSTITUTE(SUBSTITUTE(SUBSTITUTE(SUBSTITUTE(A332,"/"," "),"."," "),"\"," "),"_"," ")))&amp;" ")),1,0)))</f>
        <v/>
      </c>
      <c r="G332" s="9">
        <f>IF(E332=0,0,IF(Task!$A$8="",0,IF(ISNUMBER(SEARCH(" "&amp;Task!$A$8&amp;" "," "&amp;LOWER(C332)&amp;" ")),1,0))+IF(Task!$A$9="",0,IF(ISNUMBER(SEARCH(" "&amp;Task!$A$9&amp;" "," "&amp;LOWER(C332)&amp;" ")),1,0))+IF(Task!$A$10="",0,IF(ISNUMBER(SEARCH(" "&amp;Task!$A$10&amp;" "," "&amp;LOWER(C332)&amp;" ")),1,0))+IF(Task!$A$11="",0,IF(ISNUMBER(SEARCH(" "&amp;Task!$A$11&amp;" "," "&amp;LOWER(C332)&amp;" ")),1,0))+IF(Task!$A$12="",0,IF(ISNUMBER(SEARCH(" "&amp;Task!$A$12&amp;" "," "&amp;LOWER(C332)&amp;" ")),1,0))+IF(Task!$A$13="",0,IF(ISNUMBER(SEARCH(" "&amp;Task!$A$13&amp;" "," "&amp;LOWER(C332)&amp;" ")),1,0))+IF(Task!$A$14="",0,IF(ISNUMBER(SEARCH(" "&amp;Task!$A$14&amp;" "," "&amp;LOWER(C332)&amp;" ")),1,0))+IF(Task!$A$15="",0,IF(ISNUMBER(SEARCH(" "&amp;Task!$A$15&amp;" "," "&amp;LOWER(C332)&amp;" ")),1,0))+IF(Task!$A$16="",0,IF(ISNUMBER(SEARCH(" "&amp;Task!$A$16&amp;" "," "&amp;LOWER(C332)&amp;" ")),1,0))+IF(Task!$A$17="",0,IF(ISNUMBER(SEARCH(" "&amp;Task!$A$17&amp;" "," "&amp;LOWER(C332)&amp;" ")),1,0))+IF(Task!$A$18="",0,IF(ISNUMBER(SEARCH(" "&amp;Task!$A$18&amp;" "," "&amp;LOWER(C332)&amp;" ")),1,0))+IF(Task!$A$19="",0,IF(ISNUMBER(SEARCH(" "&amp;Task!$A$19&amp;" "," "&amp;LOWER(C332)&amp;" ")),1,0)))</f>
        <v/>
      </c>
      <c r="H332" s="9">
        <f>IF(E332=0,0,IF(Task!$A$8="",0,IF(ISNUMBER(SEARCH(" "&amp;Task!$A$8&amp;" "," "&amp;LOWER(SUBSTITUTE(SUBSTITUTE(SUBSTITUTE(SUBSTITUTE(A332,"/"," "),"."," "),"\"," "),"_"," "))&amp;" ")),1,0))+IF(Task!$A$9="",0,IF(ISNUMBER(SEARCH(" "&amp;Task!$A$9&amp;" "," "&amp;LOWER(SUBSTITUTE(SUBSTITUTE(SUBSTITUTE(SUBSTITUTE(A332,"/"," "),"."," "),"\"," "),"_"," "))&amp;" ")),1,0))+IF(Task!$A$10="",0,IF(ISNUMBER(SEARCH(" "&amp;Task!$A$10&amp;" "," "&amp;LOWER(SUBSTITUTE(SUBSTITUTE(SUBSTITUTE(SUBSTITUTE(A332,"/"," "),"."," "),"\"," "),"_"," "))&amp;" ")),1,0))+IF(Task!$A$11="",0,IF(ISNUMBER(SEARCH(" "&amp;Task!$A$11&amp;" "," "&amp;LOWER(SUBSTITUTE(SUBSTITUTE(SUBSTITUTE(SUBSTITUTE(A332,"/"," "),"."," "),"\"," "),"_"," "))&amp;" ")),1,0))+IF(Task!$A$12="",0,IF(ISNUMBER(SEARCH(" "&amp;Task!$A$12&amp;" "," "&amp;LOWER(SUBSTITUTE(SUBSTITUTE(SUBSTITUTE(SUBSTITUTE(A332,"/"," "),"."," "),"\"," "),"_"," "))&amp;" ")),1,0))+IF(Task!$A$13="",0,IF(ISNUMBER(SEARCH(" "&amp;Task!$A$13&amp;" "," "&amp;LOWER(SUBSTITUTE(SUBSTITUTE(SUBSTITUTE(SUBSTITUTE(A332,"/"," "),"."," "),"\"," "),"_"," "))&amp;" ")),1,0))+IF(Task!$A$14="",0,IF(ISNUMBER(SEARCH(" "&amp;Task!$A$14&amp;" "," "&amp;LOWER(SUBSTITUTE(SUBSTITUTE(SUBSTITUTE(SUBSTITUTE(A332,"/"," "),"."," "),"\"," "),"_"," "))&amp;" ")),1,0))+IF(Task!$A$15="",0,IF(ISNUMBER(SEARCH(" "&amp;Task!$A$15&amp;" "," "&amp;LOWER(SUBSTITUTE(SUBSTITUTE(SUBSTITUTE(SUBSTITUTE(A332,"/"," "),"."," "),"\"," "),"_"," "))&amp;" ")),1,0))+IF(Task!$A$16="",0,IF(ISNUMBER(SEARCH(" "&amp;Task!$A$16&amp;" "," "&amp;LOWER(SUBSTITUTE(SUBSTITUTE(SUBSTITUTE(SUBSTITUTE(A332,"/"," "),"."," "),"\"," "),"_"," "))&amp;" ")),1,0))+IF(Task!$A$17="",0,IF(ISNUMBER(SEARCH(" "&amp;Task!$A$17&amp;" "," "&amp;LOWER(SUBSTITUTE(SUBSTITUTE(SUBSTITUTE(SUBSTITUTE(A332,"/"," "),"."," "),"\"," "),"_"," "))&amp;" ")),1,0))+IF(Task!$A$18="",0,IF(ISNUMBER(SEARCH(" "&amp;Task!$A$18&amp;" "," "&amp;LOWER(SUBSTITUTE(SUBSTITUTE(SUBSTITUTE(SUBSTITUTE(A332,"/"," "),"."," "),"\"," "),"_"," "))&amp;" ")),1,0))+IF(Task!$A$19="",0,IF(ISNUMBER(SEARCH(" "&amp;Task!$A$19&amp;" "," "&amp;LOWER(SUBSTITUTE(SUBSTITUTE(SUBSTITUTE(SUBSTITUTE(A332,"/"," "),"."," "),"\"," "),"_"," "))&amp;" ")),1,0)))</f>
        <v/>
      </c>
      <c r="I332" s="10">
        <f>IF(OR(E332=0,F332=0,Task!$B$21=0),"",F332/Task!$B$21+0.5*G332+0.25*H332)</f>
        <v/>
      </c>
      <c r="J332" s="5">
        <f>IF(I332="","",I332-ROW()/1000000)</f>
        <v/>
      </c>
      <c r="K332" s="9">
        <f>IF(J332="","",COUNTIF($J$5:$J$404,"&gt;"&amp;J332)+1)</f>
        <v/>
      </c>
    </row>
    <row r="333">
      <c r="A333" s="7" t="n"/>
      <c r="B333" s="7" t="n"/>
      <c r="C333" s="7" t="n"/>
      <c r="D333" s="7" t="n"/>
      <c r="E333" s="5">
        <f>IF(A333="",0,IF(COUNTA(Task!$B$5:$E$5)=0,1,IF(COUNTIF(Task!$B$5:$E$5,B333)&gt;0,1,0)))</f>
        <v/>
      </c>
      <c r="F333" s="9">
        <f>IF(E333=0,0,IF(Task!$A$8="",0,IF(ISNUMBER(SEARCH(" "&amp;Task!$A$8&amp;" "," "&amp;LOWER(D333&amp;" "&amp;C333&amp;" "&amp;LOWER(SUBSTITUTE(SUBSTITUTE(SUBSTITUTE(SUBSTITUTE(A333,"/"," "),"."," "),"\"," "),"_"," ")))&amp;" ")),1,0))+IF(Task!$A$9="",0,IF(ISNUMBER(SEARCH(" "&amp;Task!$A$9&amp;" "," "&amp;LOWER(D333&amp;" "&amp;C333&amp;" "&amp;LOWER(SUBSTITUTE(SUBSTITUTE(SUBSTITUTE(SUBSTITUTE(A333,"/"," "),"."," "),"\"," "),"_"," ")))&amp;" ")),1,0))+IF(Task!$A$10="",0,IF(ISNUMBER(SEARCH(" "&amp;Task!$A$10&amp;" "," "&amp;LOWER(D333&amp;" "&amp;C333&amp;" "&amp;LOWER(SUBSTITUTE(SUBSTITUTE(SUBSTITUTE(SUBSTITUTE(A333,"/"," "),"."," "),"\"," "),"_"," ")))&amp;" ")),1,0))+IF(Task!$A$11="",0,IF(ISNUMBER(SEARCH(" "&amp;Task!$A$11&amp;" "," "&amp;LOWER(D333&amp;" "&amp;C333&amp;" "&amp;LOWER(SUBSTITUTE(SUBSTITUTE(SUBSTITUTE(SUBSTITUTE(A333,"/"," "),"."," "),"\"," "),"_"," ")))&amp;" ")),1,0))+IF(Task!$A$12="",0,IF(ISNUMBER(SEARCH(" "&amp;Task!$A$12&amp;" "," "&amp;LOWER(D333&amp;" "&amp;C333&amp;" "&amp;LOWER(SUBSTITUTE(SUBSTITUTE(SUBSTITUTE(SUBSTITUTE(A333,"/"," "),"."," "),"\"," "),"_"," ")))&amp;" ")),1,0))+IF(Task!$A$13="",0,IF(ISNUMBER(SEARCH(" "&amp;Task!$A$13&amp;" "," "&amp;LOWER(D333&amp;" "&amp;C333&amp;" "&amp;LOWER(SUBSTITUTE(SUBSTITUTE(SUBSTITUTE(SUBSTITUTE(A333,"/"," "),"."," "),"\"," "),"_"," ")))&amp;" ")),1,0))+IF(Task!$A$14="",0,IF(ISNUMBER(SEARCH(" "&amp;Task!$A$14&amp;" "," "&amp;LOWER(D333&amp;" "&amp;C333&amp;" "&amp;LOWER(SUBSTITUTE(SUBSTITUTE(SUBSTITUTE(SUBSTITUTE(A333,"/"," "),"."," "),"\"," "),"_"," ")))&amp;" ")),1,0))+IF(Task!$A$15="",0,IF(ISNUMBER(SEARCH(" "&amp;Task!$A$15&amp;" "," "&amp;LOWER(D333&amp;" "&amp;C333&amp;" "&amp;LOWER(SUBSTITUTE(SUBSTITUTE(SUBSTITUTE(SUBSTITUTE(A333,"/"," "),"."," "),"\"," "),"_"," ")))&amp;" ")),1,0))+IF(Task!$A$16="",0,IF(ISNUMBER(SEARCH(" "&amp;Task!$A$16&amp;" "," "&amp;LOWER(D333&amp;" "&amp;C333&amp;" "&amp;LOWER(SUBSTITUTE(SUBSTITUTE(SUBSTITUTE(SUBSTITUTE(A333,"/"," "),"."," "),"\"," "),"_"," ")))&amp;" ")),1,0))+IF(Task!$A$17="",0,IF(ISNUMBER(SEARCH(" "&amp;Task!$A$17&amp;" "," "&amp;LOWER(D333&amp;" "&amp;C333&amp;" "&amp;LOWER(SUBSTITUTE(SUBSTITUTE(SUBSTITUTE(SUBSTITUTE(A333,"/"," "),"."," "),"\"," "),"_"," ")))&amp;" ")),1,0))+IF(Task!$A$18="",0,IF(ISNUMBER(SEARCH(" "&amp;Task!$A$18&amp;" "," "&amp;LOWER(D333&amp;" "&amp;C333&amp;" "&amp;LOWER(SUBSTITUTE(SUBSTITUTE(SUBSTITUTE(SUBSTITUTE(A333,"/"," "),"."," "),"\"," "),"_"," ")))&amp;" ")),1,0))+IF(Task!$A$19="",0,IF(ISNUMBER(SEARCH(" "&amp;Task!$A$19&amp;" "," "&amp;LOWER(D333&amp;" "&amp;C333&amp;" "&amp;LOWER(SUBSTITUTE(SUBSTITUTE(SUBSTITUTE(SUBSTITUTE(A333,"/"," "),"."," "),"\"," "),"_"," ")))&amp;" ")),1,0)))</f>
        <v/>
      </c>
      <c r="G333" s="9">
        <f>IF(E333=0,0,IF(Task!$A$8="",0,IF(ISNUMBER(SEARCH(" "&amp;Task!$A$8&amp;" "," "&amp;LOWER(C333)&amp;" ")),1,0))+IF(Task!$A$9="",0,IF(ISNUMBER(SEARCH(" "&amp;Task!$A$9&amp;" "," "&amp;LOWER(C333)&amp;" ")),1,0))+IF(Task!$A$10="",0,IF(ISNUMBER(SEARCH(" "&amp;Task!$A$10&amp;" "," "&amp;LOWER(C333)&amp;" ")),1,0))+IF(Task!$A$11="",0,IF(ISNUMBER(SEARCH(" "&amp;Task!$A$11&amp;" "," "&amp;LOWER(C333)&amp;" ")),1,0))+IF(Task!$A$12="",0,IF(ISNUMBER(SEARCH(" "&amp;Task!$A$12&amp;" "," "&amp;LOWER(C333)&amp;" ")),1,0))+IF(Task!$A$13="",0,IF(ISNUMBER(SEARCH(" "&amp;Task!$A$13&amp;" "," "&amp;LOWER(C333)&amp;" ")),1,0))+IF(Task!$A$14="",0,IF(ISNUMBER(SEARCH(" "&amp;Task!$A$14&amp;" "," "&amp;LOWER(C333)&amp;" ")),1,0))+IF(Task!$A$15="",0,IF(ISNUMBER(SEARCH(" "&amp;Task!$A$15&amp;" "," "&amp;LOWER(C333)&amp;" ")),1,0))+IF(Task!$A$16="",0,IF(ISNUMBER(SEARCH(" "&amp;Task!$A$16&amp;" "," "&amp;LOWER(C333)&amp;" ")),1,0))+IF(Task!$A$17="",0,IF(ISNUMBER(SEARCH(" "&amp;Task!$A$17&amp;" "," "&amp;LOWER(C333)&amp;" ")),1,0))+IF(Task!$A$18="",0,IF(ISNUMBER(SEARCH(" "&amp;Task!$A$18&amp;" "," "&amp;LOWER(C333)&amp;" ")),1,0))+IF(Task!$A$19="",0,IF(ISNUMBER(SEARCH(" "&amp;Task!$A$19&amp;" "," "&amp;LOWER(C333)&amp;" ")),1,0)))</f>
        <v/>
      </c>
      <c r="H333" s="9">
        <f>IF(E333=0,0,IF(Task!$A$8="",0,IF(ISNUMBER(SEARCH(" "&amp;Task!$A$8&amp;" "," "&amp;LOWER(SUBSTITUTE(SUBSTITUTE(SUBSTITUTE(SUBSTITUTE(A333,"/"," "),"."," "),"\"," "),"_"," "))&amp;" ")),1,0))+IF(Task!$A$9="",0,IF(ISNUMBER(SEARCH(" "&amp;Task!$A$9&amp;" "," "&amp;LOWER(SUBSTITUTE(SUBSTITUTE(SUBSTITUTE(SUBSTITUTE(A333,"/"," "),"."," "),"\"," "),"_"," "))&amp;" ")),1,0))+IF(Task!$A$10="",0,IF(ISNUMBER(SEARCH(" "&amp;Task!$A$10&amp;" "," "&amp;LOWER(SUBSTITUTE(SUBSTITUTE(SUBSTITUTE(SUBSTITUTE(A333,"/"," "),"."," "),"\"," "),"_"," "))&amp;" ")),1,0))+IF(Task!$A$11="",0,IF(ISNUMBER(SEARCH(" "&amp;Task!$A$11&amp;" "," "&amp;LOWER(SUBSTITUTE(SUBSTITUTE(SUBSTITUTE(SUBSTITUTE(A333,"/"," "),"."," "),"\"," "),"_"," "))&amp;" ")),1,0))+IF(Task!$A$12="",0,IF(ISNUMBER(SEARCH(" "&amp;Task!$A$12&amp;" "," "&amp;LOWER(SUBSTITUTE(SUBSTITUTE(SUBSTITUTE(SUBSTITUTE(A333,"/"," "),"."," "),"\"," "),"_"," "))&amp;" ")),1,0))+IF(Task!$A$13="",0,IF(ISNUMBER(SEARCH(" "&amp;Task!$A$13&amp;" "," "&amp;LOWER(SUBSTITUTE(SUBSTITUTE(SUBSTITUTE(SUBSTITUTE(A333,"/"," "),"."," "),"\"," "),"_"," "))&amp;" ")),1,0))+IF(Task!$A$14="",0,IF(ISNUMBER(SEARCH(" "&amp;Task!$A$14&amp;" "," "&amp;LOWER(SUBSTITUTE(SUBSTITUTE(SUBSTITUTE(SUBSTITUTE(A333,"/"," "),"."," "),"\"," "),"_"," "))&amp;" ")),1,0))+IF(Task!$A$15="",0,IF(ISNUMBER(SEARCH(" "&amp;Task!$A$15&amp;" "," "&amp;LOWER(SUBSTITUTE(SUBSTITUTE(SUBSTITUTE(SUBSTITUTE(A333,"/"," "),"."," "),"\"," "),"_"," "))&amp;" ")),1,0))+IF(Task!$A$16="",0,IF(ISNUMBER(SEARCH(" "&amp;Task!$A$16&amp;" "," "&amp;LOWER(SUBSTITUTE(SUBSTITUTE(SUBSTITUTE(SUBSTITUTE(A333,"/"," "),"."," "),"\"," "),"_"," "))&amp;" ")),1,0))+IF(Task!$A$17="",0,IF(ISNUMBER(SEARCH(" "&amp;Task!$A$17&amp;" "," "&amp;LOWER(SUBSTITUTE(SUBSTITUTE(SUBSTITUTE(SUBSTITUTE(A333,"/"," "),"."," "),"\"," "),"_"," "))&amp;" ")),1,0))+IF(Task!$A$18="",0,IF(ISNUMBER(SEARCH(" "&amp;Task!$A$18&amp;" "," "&amp;LOWER(SUBSTITUTE(SUBSTITUTE(SUBSTITUTE(SUBSTITUTE(A333,"/"," "),"."," "),"\"," "),"_"," "))&amp;" ")),1,0))+IF(Task!$A$19="",0,IF(ISNUMBER(SEARCH(" "&amp;Task!$A$19&amp;" "," "&amp;LOWER(SUBSTITUTE(SUBSTITUTE(SUBSTITUTE(SUBSTITUTE(A333,"/"," "),"."," "),"\"," "),"_"," "))&amp;" ")),1,0)))</f>
        <v/>
      </c>
      <c r="I333" s="10">
        <f>IF(OR(E333=0,F333=0,Task!$B$21=0),"",F333/Task!$B$21+0.5*G333+0.25*H333)</f>
        <v/>
      </c>
      <c r="J333" s="5">
        <f>IF(I333="","",I333-ROW()/1000000)</f>
        <v/>
      </c>
      <c r="K333" s="9">
        <f>IF(J333="","",COUNTIF($J$5:$J$404,"&gt;"&amp;J333)+1)</f>
        <v/>
      </c>
    </row>
    <row r="334">
      <c r="A334" s="7" t="n"/>
      <c r="B334" s="7" t="n"/>
      <c r="C334" s="7" t="n"/>
      <c r="D334" s="7" t="n"/>
      <c r="E334" s="5">
        <f>IF(A334="",0,IF(COUNTA(Task!$B$5:$E$5)=0,1,IF(COUNTIF(Task!$B$5:$E$5,B334)&gt;0,1,0)))</f>
        <v/>
      </c>
      <c r="F334" s="9">
        <f>IF(E334=0,0,IF(Task!$A$8="",0,IF(ISNUMBER(SEARCH(" "&amp;Task!$A$8&amp;" "," "&amp;LOWER(D334&amp;" "&amp;C334&amp;" "&amp;LOWER(SUBSTITUTE(SUBSTITUTE(SUBSTITUTE(SUBSTITUTE(A334,"/"," "),"."," "),"\"," "),"_"," ")))&amp;" ")),1,0))+IF(Task!$A$9="",0,IF(ISNUMBER(SEARCH(" "&amp;Task!$A$9&amp;" "," "&amp;LOWER(D334&amp;" "&amp;C334&amp;" "&amp;LOWER(SUBSTITUTE(SUBSTITUTE(SUBSTITUTE(SUBSTITUTE(A334,"/"," "),"."," "),"\"," "),"_"," ")))&amp;" ")),1,0))+IF(Task!$A$10="",0,IF(ISNUMBER(SEARCH(" "&amp;Task!$A$10&amp;" "," "&amp;LOWER(D334&amp;" "&amp;C334&amp;" "&amp;LOWER(SUBSTITUTE(SUBSTITUTE(SUBSTITUTE(SUBSTITUTE(A334,"/"," "),"."," "),"\"," "),"_"," ")))&amp;" ")),1,0))+IF(Task!$A$11="",0,IF(ISNUMBER(SEARCH(" "&amp;Task!$A$11&amp;" "," "&amp;LOWER(D334&amp;" "&amp;C334&amp;" "&amp;LOWER(SUBSTITUTE(SUBSTITUTE(SUBSTITUTE(SUBSTITUTE(A334,"/"," "),"."," "),"\"," "),"_"," ")))&amp;" ")),1,0))+IF(Task!$A$12="",0,IF(ISNUMBER(SEARCH(" "&amp;Task!$A$12&amp;" "," "&amp;LOWER(D334&amp;" "&amp;C334&amp;" "&amp;LOWER(SUBSTITUTE(SUBSTITUTE(SUBSTITUTE(SUBSTITUTE(A334,"/"," "),"."," "),"\"," "),"_"," ")))&amp;" ")),1,0))+IF(Task!$A$13="",0,IF(ISNUMBER(SEARCH(" "&amp;Task!$A$13&amp;" "," "&amp;LOWER(D334&amp;" "&amp;C334&amp;" "&amp;LOWER(SUBSTITUTE(SUBSTITUTE(SUBSTITUTE(SUBSTITUTE(A334,"/"," "),"."," "),"\"," "),"_"," ")))&amp;" ")),1,0))+IF(Task!$A$14="",0,IF(ISNUMBER(SEARCH(" "&amp;Task!$A$14&amp;" "," "&amp;LOWER(D334&amp;" "&amp;C334&amp;" "&amp;LOWER(SUBSTITUTE(SUBSTITUTE(SUBSTITUTE(SUBSTITUTE(A334,"/"," "),"."," "),"\"," "),"_"," ")))&amp;" ")),1,0))+IF(Task!$A$15="",0,IF(ISNUMBER(SEARCH(" "&amp;Task!$A$15&amp;" "," "&amp;LOWER(D334&amp;" "&amp;C334&amp;" "&amp;LOWER(SUBSTITUTE(SUBSTITUTE(SUBSTITUTE(SUBSTITUTE(A334,"/"," "),"."," "),"\"," "),"_"," ")))&amp;" ")),1,0))+IF(Task!$A$16="",0,IF(ISNUMBER(SEARCH(" "&amp;Task!$A$16&amp;" "," "&amp;LOWER(D334&amp;" "&amp;C334&amp;" "&amp;LOWER(SUBSTITUTE(SUBSTITUTE(SUBSTITUTE(SUBSTITUTE(A334,"/"," "),"."," "),"\"," "),"_"," ")))&amp;" ")),1,0))+IF(Task!$A$17="",0,IF(ISNUMBER(SEARCH(" "&amp;Task!$A$17&amp;" "," "&amp;LOWER(D334&amp;" "&amp;C334&amp;" "&amp;LOWER(SUBSTITUTE(SUBSTITUTE(SUBSTITUTE(SUBSTITUTE(A334,"/"," "),"."," "),"\"," "),"_"," ")))&amp;" ")),1,0))+IF(Task!$A$18="",0,IF(ISNUMBER(SEARCH(" "&amp;Task!$A$18&amp;" "," "&amp;LOWER(D334&amp;" "&amp;C334&amp;" "&amp;LOWER(SUBSTITUTE(SUBSTITUTE(SUBSTITUTE(SUBSTITUTE(A334,"/"," "),"."," "),"\"," "),"_"," ")))&amp;" ")),1,0))+IF(Task!$A$19="",0,IF(ISNUMBER(SEARCH(" "&amp;Task!$A$19&amp;" "," "&amp;LOWER(D334&amp;" "&amp;C334&amp;" "&amp;LOWER(SUBSTITUTE(SUBSTITUTE(SUBSTITUTE(SUBSTITUTE(A334,"/"," "),"."," "),"\"," "),"_"," ")))&amp;" ")),1,0)))</f>
        <v/>
      </c>
      <c r="G334" s="9">
        <f>IF(E334=0,0,IF(Task!$A$8="",0,IF(ISNUMBER(SEARCH(" "&amp;Task!$A$8&amp;" "," "&amp;LOWER(C334)&amp;" ")),1,0))+IF(Task!$A$9="",0,IF(ISNUMBER(SEARCH(" "&amp;Task!$A$9&amp;" "," "&amp;LOWER(C334)&amp;" ")),1,0))+IF(Task!$A$10="",0,IF(ISNUMBER(SEARCH(" "&amp;Task!$A$10&amp;" "," "&amp;LOWER(C334)&amp;" ")),1,0))+IF(Task!$A$11="",0,IF(ISNUMBER(SEARCH(" "&amp;Task!$A$11&amp;" "," "&amp;LOWER(C334)&amp;" ")),1,0))+IF(Task!$A$12="",0,IF(ISNUMBER(SEARCH(" "&amp;Task!$A$12&amp;" "," "&amp;LOWER(C334)&amp;" ")),1,0))+IF(Task!$A$13="",0,IF(ISNUMBER(SEARCH(" "&amp;Task!$A$13&amp;" "," "&amp;LOWER(C334)&amp;" ")),1,0))+IF(Task!$A$14="",0,IF(ISNUMBER(SEARCH(" "&amp;Task!$A$14&amp;" "," "&amp;LOWER(C334)&amp;" ")),1,0))+IF(Task!$A$15="",0,IF(ISNUMBER(SEARCH(" "&amp;Task!$A$15&amp;" "," "&amp;LOWER(C334)&amp;" ")),1,0))+IF(Task!$A$16="",0,IF(ISNUMBER(SEARCH(" "&amp;Task!$A$16&amp;" "," "&amp;LOWER(C334)&amp;" ")),1,0))+IF(Task!$A$17="",0,IF(ISNUMBER(SEARCH(" "&amp;Task!$A$17&amp;" "," "&amp;LOWER(C334)&amp;" ")),1,0))+IF(Task!$A$18="",0,IF(ISNUMBER(SEARCH(" "&amp;Task!$A$18&amp;" "," "&amp;LOWER(C334)&amp;" ")),1,0))+IF(Task!$A$19="",0,IF(ISNUMBER(SEARCH(" "&amp;Task!$A$19&amp;" "," "&amp;LOWER(C334)&amp;" ")),1,0)))</f>
        <v/>
      </c>
      <c r="H334" s="9">
        <f>IF(E334=0,0,IF(Task!$A$8="",0,IF(ISNUMBER(SEARCH(" "&amp;Task!$A$8&amp;" "," "&amp;LOWER(SUBSTITUTE(SUBSTITUTE(SUBSTITUTE(SUBSTITUTE(A334,"/"," "),"."," "),"\"," "),"_"," "))&amp;" ")),1,0))+IF(Task!$A$9="",0,IF(ISNUMBER(SEARCH(" "&amp;Task!$A$9&amp;" "," "&amp;LOWER(SUBSTITUTE(SUBSTITUTE(SUBSTITUTE(SUBSTITUTE(A334,"/"," "),"."," "),"\"," "),"_"," "))&amp;" ")),1,0))+IF(Task!$A$10="",0,IF(ISNUMBER(SEARCH(" "&amp;Task!$A$10&amp;" "," "&amp;LOWER(SUBSTITUTE(SUBSTITUTE(SUBSTITUTE(SUBSTITUTE(A334,"/"," "),"."," "),"\"," "),"_"," "))&amp;" ")),1,0))+IF(Task!$A$11="",0,IF(ISNUMBER(SEARCH(" "&amp;Task!$A$11&amp;" "," "&amp;LOWER(SUBSTITUTE(SUBSTITUTE(SUBSTITUTE(SUBSTITUTE(A334,"/"," "),"."," "),"\"," "),"_"," "))&amp;" ")),1,0))+IF(Task!$A$12="",0,IF(ISNUMBER(SEARCH(" "&amp;Task!$A$12&amp;" "," "&amp;LOWER(SUBSTITUTE(SUBSTITUTE(SUBSTITUTE(SUBSTITUTE(A334,"/"," "),"."," "),"\"," "),"_"," "))&amp;" ")),1,0))+IF(Task!$A$13="",0,IF(ISNUMBER(SEARCH(" "&amp;Task!$A$13&amp;" "," "&amp;LOWER(SUBSTITUTE(SUBSTITUTE(SUBSTITUTE(SUBSTITUTE(A334,"/"," "),"."," "),"\"," "),"_"," "))&amp;" ")),1,0))+IF(Task!$A$14="",0,IF(ISNUMBER(SEARCH(" "&amp;Task!$A$14&amp;" "," "&amp;LOWER(SUBSTITUTE(SUBSTITUTE(SUBSTITUTE(SUBSTITUTE(A334,"/"," "),"."," "),"\"," "),"_"," "))&amp;" ")),1,0))+IF(Task!$A$15="",0,IF(ISNUMBER(SEARCH(" "&amp;Task!$A$15&amp;" "," "&amp;LOWER(SUBSTITUTE(SUBSTITUTE(SUBSTITUTE(SUBSTITUTE(A334,"/"," "),"."," "),"\"," "),"_"," "))&amp;" ")),1,0))+IF(Task!$A$16="",0,IF(ISNUMBER(SEARCH(" "&amp;Task!$A$16&amp;" "," "&amp;LOWER(SUBSTITUTE(SUBSTITUTE(SUBSTITUTE(SUBSTITUTE(A334,"/"," "),"."," "),"\"," "),"_"," "))&amp;" ")),1,0))+IF(Task!$A$17="",0,IF(ISNUMBER(SEARCH(" "&amp;Task!$A$17&amp;" "," "&amp;LOWER(SUBSTITUTE(SUBSTITUTE(SUBSTITUTE(SUBSTITUTE(A334,"/"," "),"."," "),"\"," "),"_"," "))&amp;" ")),1,0))+IF(Task!$A$18="",0,IF(ISNUMBER(SEARCH(" "&amp;Task!$A$18&amp;" "," "&amp;LOWER(SUBSTITUTE(SUBSTITUTE(SUBSTITUTE(SUBSTITUTE(A334,"/"," "),"."," "),"\"," "),"_"," "))&amp;" ")),1,0))+IF(Task!$A$19="",0,IF(ISNUMBER(SEARCH(" "&amp;Task!$A$19&amp;" "," "&amp;LOWER(SUBSTITUTE(SUBSTITUTE(SUBSTITUTE(SUBSTITUTE(A334,"/"," "),"."," "),"\"," "),"_"," "))&amp;" ")),1,0)))</f>
        <v/>
      </c>
      <c r="I334" s="10">
        <f>IF(OR(E334=0,F334=0,Task!$B$21=0),"",F334/Task!$B$21+0.5*G334+0.25*H334)</f>
        <v/>
      </c>
      <c r="J334" s="5">
        <f>IF(I334="","",I334-ROW()/1000000)</f>
        <v/>
      </c>
      <c r="K334" s="9">
        <f>IF(J334="","",COUNTIF($J$5:$J$404,"&gt;"&amp;J334)+1)</f>
        <v/>
      </c>
    </row>
    <row r="335">
      <c r="A335" s="7" t="n"/>
      <c r="B335" s="7" t="n"/>
      <c r="C335" s="7" t="n"/>
      <c r="D335" s="7" t="n"/>
      <c r="E335" s="5">
        <f>IF(A335="",0,IF(COUNTA(Task!$B$5:$E$5)=0,1,IF(COUNTIF(Task!$B$5:$E$5,B335)&gt;0,1,0)))</f>
        <v/>
      </c>
      <c r="F335" s="9">
        <f>IF(E335=0,0,IF(Task!$A$8="",0,IF(ISNUMBER(SEARCH(" "&amp;Task!$A$8&amp;" "," "&amp;LOWER(D335&amp;" "&amp;C335&amp;" "&amp;LOWER(SUBSTITUTE(SUBSTITUTE(SUBSTITUTE(SUBSTITUTE(A335,"/"," "),"."," "),"\"," "),"_"," ")))&amp;" ")),1,0))+IF(Task!$A$9="",0,IF(ISNUMBER(SEARCH(" "&amp;Task!$A$9&amp;" "," "&amp;LOWER(D335&amp;" "&amp;C335&amp;" "&amp;LOWER(SUBSTITUTE(SUBSTITUTE(SUBSTITUTE(SUBSTITUTE(A335,"/"," "),"."," "),"\"," "),"_"," ")))&amp;" ")),1,0))+IF(Task!$A$10="",0,IF(ISNUMBER(SEARCH(" "&amp;Task!$A$10&amp;" "," "&amp;LOWER(D335&amp;" "&amp;C335&amp;" "&amp;LOWER(SUBSTITUTE(SUBSTITUTE(SUBSTITUTE(SUBSTITUTE(A335,"/"," "),"."," "),"\"," "),"_"," ")))&amp;" ")),1,0))+IF(Task!$A$11="",0,IF(ISNUMBER(SEARCH(" "&amp;Task!$A$11&amp;" "," "&amp;LOWER(D335&amp;" "&amp;C335&amp;" "&amp;LOWER(SUBSTITUTE(SUBSTITUTE(SUBSTITUTE(SUBSTITUTE(A335,"/"," "),"."," "),"\"," "),"_"," ")))&amp;" ")),1,0))+IF(Task!$A$12="",0,IF(ISNUMBER(SEARCH(" "&amp;Task!$A$12&amp;" "," "&amp;LOWER(D335&amp;" "&amp;C335&amp;" "&amp;LOWER(SUBSTITUTE(SUBSTITUTE(SUBSTITUTE(SUBSTITUTE(A335,"/"," "),"."," "),"\"," "),"_"," ")))&amp;" ")),1,0))+IF(Task!$A$13="",0,IF(ISNUMBER(SEARCH(" "&amp;Task!$A$13&amp;" "," "&amp;LOWER(D335&amp;" "&amp;C335&amp;" "&amp;LOWER(SUBSTITUTE(SUBSTITUTE(SUBSTITUTE(SUBSTITUTE(A335,"/"," "),"."," "),"\"," "),"_"," ")))&amp;" ")),1,0))+IF(Task!$A$14="",0,IF(ISNUMBER(SEARCH(" "&amp;Task!$A$14&amp;" "," "&amp;LOWER(D335&amp;" "&amp;C335&amp;" "&amp;LOWER(SUBSTITUTE(SUBSTITUTE(SUBSTITUTE(SUBSTITUTE(A335,"/"," "),"."," "),"\"," "),"_"," ")))&amp;" ")),1,0))+IF(Task!$A$15="",0,IF(ISNUMBER(SEARCH(" "&amp;Task!$A$15&amp;" "," "&amp;LOWER(D335&amp;" "&amp;C335&amp;" "&amp;LOWER(SUBSTITUTE(SUBSTITUTE(SUBSTITUTE(SUBSTITUTE(A335,"/"," "),"."," "),"\"," "),"_"," ")))&amp;" ")),1,0))+IF(Task!$A$16="",0,IF(ISNUMBER(SEARCH(" "&amp;Task!$A$16&amp;" "," "&amp;LOWER(D335&amp;" "&amp;C335&amp;" "&amp;LOWER(SUBSTITUTE(SUBSTITUTE(SUBSTITUTE(SUBSTITUTE(A335,"/"," "),"."," "),"\"," "),"_"," ")))&amp;" ")),1,0))+IF(Task!$A$17="",0,IF(ISNUMBER(SEARCH(" "&amp;Task!$A$17&amp;" "," "&amp;LOWER(D335&amp;" "&amp;C335&amp;" "&amp;LOWER(SUBSTITUTE(SUBSTITUTE(SUBSTITUTE(SUBSTITUTE(A335,"/"," "),"."," "),"\"," "),"_"," ")))&amp;" ")),1,0))+IF(Task!$A$18="",0,IF(ISNUMBER(SEARCH(" "&amp;Task!$A$18&amp;" "," "&amp;LOWER(D335&amp;" "&amp;C335&amp;" "&amp;LOWER(SUBSTITUTE(SUBSTITUTE(SUBSTITUTE(SUBSTITUTE(A335,"/"," "),"."," "),"\"," "),"_"," ")))&amp;" ")),1,0))+IF(Task!$A$19="",0,IF(ISNUMBER(SEARCH(" "&amp;Task!$A$19&amp;" "," "&amp;LOWER(D335&amp;" "&amp;C335&amp;" "&amp;LOWER(SUBSTITUTE(SUBSTITUTE(SUBSTITUTE(SUBSTITUTE(A335,"/"," "),"."," "),"\"," "),"_"," ")))&amp;" ")),1,0)))</f>
        <v/>
      </c>
      <c r="G335" s="9">
        <f>IF(E335=0,0,IF(Task!$A$8="",0,IF(ISNUMBER(SEARCH(" "&amp;Task!$A$8&amp;" "," "&amp;LOWER(C335)&amp;" ")),1,0))+IF(Task!$A$9="",0,IF(ISNUMBER(SEARCH(" "&amp;Task!$A$9&amp;" "," "&amp;LOWER(C335)&amp;" ")),1,0))+IF(Task!$A$10="",0,IF(ISNUMBER(SEARCH(" "&amp;Task!$A$10&amp;" "," "&amp;LOWER(C335)&amp;" ")),1,0))+IF(Task!$A$11="",0,IF(ISNUMBER(SEARCH(" "&amp;Task!$A$11&amp;" "," "&amp;LOWER(C335)&amp;" ")),1,0))+IF(Task!$A$12="",0,IF(ISNUMBER(SEARCH(" "&amp;Task!$A$12&amp;" "," "&amp;LOWER(C335)&amp;" ")),1,0))+IF(Task!$A$13="",0,IF(ISNUMBER(SEARCH(" "&amp;Task!$A$13&amp;" "," "&amp;LOWER(C335)&amp;" ")),1,0))+IF(Task!$A$14="",0,IF(ISNUMBER(SEARCH(" "&amp;Task!$A$14&amp;" "," "&amp;LOWER(C335)&amp;" ")),1,0))+IF(Task!$A$15="",0,IF(ISNUMBER(SEARCH(" "&amp;Task!$A$15&amp;" "," "&amp;LOWER(C335)&amp;" ")),1,0))+IF(Task!$A$16="",0,IF(ISNUMBER(SEARCH(" "&amp;Task!$A$16&amp;" "," "&amp;LOWER(C335)&amp;" ")),1,0))+IF(Task!$A$17="",0,IF(ISNUMBER(SEARCH(" "&amp;Task!$A$17&amp;" "," "&amp;LOWER(C335)&amp;" ")),1,0))+IF(Task!$A$18="",0,IF(ISNUMBER(SEARCH(" "&amp;Task!$A$18&amp;" "," "&amp;LOWER(C335)&amp;" ")),1,0))+IF(Task!$A$19="",0,IF(ISNUMBER(SEARCH(" "&amp;Task!$A$19&amp;" "," "&amp;LOWER(C335)&amp;" ")),1,0)))</f>
        <v/>
      </c>
      <c r="H335" s="9">
        <f>IF(E335=0,0,IF(Task!$A$8="",0,IF(ISNUMBER(SEARCH(" "&amp;Task!$A$8&amp;" "," "&amp;LOWER(SUBSTITUTE(SUBSTITUTE(SUBSTITUTE(SUBSTITUTE(A335,"/"," "),"."," "),"\"," "),"_"," "))&amp;" ")),1,0))+IF(Task!$A$9="",0,IF(ISNUMBER(SEARCH(" "&amp;Task!$A$9&amp;" "," "&amp;LOWER(SUBSTITUTE(SUBSTITUTE(SUBSTITUTE(SUBSTITUTE(A335,"/"," "),"."," "),"\"," "),"_"," "))&amp;" ")),1,0))+IF(Task!$A$10="",0,IF(ISNUMBER(SEARCH(" "&amp;Task!$A$10&amp;" "," "&amp;LOWER(SUBSTITUTE(SUBSTITUTE(SUBSTITUTE(SUBSTITUTE(A335,"/"," "),"."," "),"\"," "),"_"," "))&amp;" ")),1,0))+IF(Task!$A$11="",0,IF(ISNUMBER(SEARCH(" "&amp;Task!$A$11&amp;" "," "&amp;LOWER(SUBSTITUTE(SUBSTITUTE(SUBSTITUTE(SUBSTITUTE(A335,"/"," "),"."," "),"\"," "),"_"," "))&amp;" ")),1,0))+IF(Task!$A$12="",0,IF(ISNUMBER(SEARCH(" "&amp;Task!$A$12&amp;" "," "&amp;LOWER(SUBSTITUTE(SUBSTITUTE(SUBSTITUTE(SUBSTITUTE(A335,"/"," "),"."," "),"\"," "),"_"," "))&amp;" ")),1,0))+IF(Task!$A$13="",0,IF(ISNUMBER(SEARCH(" "&amp;Task!$A$13&amp;" "," "&amp;LOWER(SUBSTITUTE(SUBSTITUTE(SUBSTITUTE(SUBSTITUTE(A335,"/"," "),"."," "),"\"," "),"_"," "))&amp;" ")),1,0))+IF(Task!$A$14="",0,IF(ISNUMBER(SEARCH(" "&amp;Task!$A$14&amp;" "," "&amp;LOWER(SUBSTITUTE(SUBSTITUTE(SUBSTITUTE(SUBSTITUTE(A335,"/"," "),"."," "),"\"," "),"_"," "))&amp;" ")),1,0))+IF(Task!$A$15="",0,IF(ISNUMBER(SEARCH(" "&amp;Task!$A$15&amp;" "," "&amp;LOWER(SUBSTITUTE(SUBSTITUTE(SUBSTITUTE(SUBSTITUTE(A335,"/"," "),"."," "),"\"," "),"_"," "))&amp;" ")),1,0))+IF(Task!$A$16="",0,IF(ISNUMBER(SEARCH(" "&amp;Task!$A$16&amp;" "," "&amp;LOWER(SUBSTITUTE(SUBSTITUTE(SUBSTITUTE(SUBSTITUTE(A335,"/"," "),"."," "),"\"," "),"_"," "))&amp;" ")),1,0))+IF(Task!$A$17="",0,IF(ISNUMBER(SEARCH(" "&amp;Task!$A$17&amp;" "," "&amp;LOWER(SUBSTITUTE(SUBSTITUTE(SUBSTITUTE(SUBSTITUTE(A335,"/"," "),"."," "),"\"," "),"_"," "))&amp;" ")),1,0))+IF(Task!$A$18="",0,IF(ISNUMBER(SEARCH(" "&amp;Task!$A$18&amp;" "," "&amp;LOWER(SUBSTITUTE(SUBSTITUTE(SUBSTITUTE(SUBSTITUTE(A335,"/"," "),"."," "),"\"," "),"_"," "))&amp;" ")),1,0))+IF(Task!$A$19="",0,IF(ISNUMBER(SEARCH(" "&amp;Task!$A$19&amp;" "," "&amp;LOWER(SUBSTITUTE(SUBSTITUTE(SUBSTITUTE(SUBSTITUTE(A335,"/"," "),"."," "),"\"," "),"_"," "))&amp;" ")),1,0)))</f>
        <v/>
      </c>
      <c r="I335" s="10">
        <f>IF(OR(E335=0,F335=0,Task!$B$21=0),"",F335/Task!$B$21+0.5*G335+0.25*H335)</f>
        <v/>
      </c>
      <c r="J335" s="5">
        <f>IF(I335="","",I335-ROW()/1000000)</f>
        <v/>
      </c>
      <c r="K335" s="9">
        <f>IF(J335="","",COUNTIF($J$5:$J$404,"&gt;"&amp;J335)+1)</f>
        <v/>
      </c>
    </row>
    <row r="336">
      <c r="A336" s="7" t="n"/>
      <c r="B336" s="7" t="n"/>
      <c r="C336" s="7" t="n"/>
      <c r="D336" s="7" t="n"/>
      <c r="E336" s="5">
        <f>IF(A336="",0,IF(COUNTA(Task!$B$5:$E$5)=0,1,IF(COUNTIF(Task!$B$5:$E$5,B336)&gt;0,1,0)))</f>
        <v/>
      </c>
      <c r="F336" s="9">
        <f>IF(E336=0,0,IF(Task!$A$8="",0,IF(ISNUMBER(SEARCH(" "&amp;Task!$A$8&amp;" "," "&amp;LOWER(D336&amp;" "&amp;C336&amp;" "&amp;LOWER(SUBSTITUTE(SUBSTITUTE(SUBSTITUTE(SUBSTITUTE(A336,"/"," "),"."," "),"\"," "),"_"," ")))&amp;" ")),1,0))+IF(Task!$A$9="",0,IF(ISNUMBER(SEARCH(" "&amp;Task!$A$9&amp;" "," "&amp;LOWER(D336&amp;" "&amp;C336&amp;" "&amp;LOWER(SUBSTITUTE(SUBSTITUTE(SUBSTITUTE(SUBSTITUTE(A336,"/"," "),"."," "),"\"," "),"_"," ")))&amp;" ")),1,0))+IF(Task!$A$10="",0,IF(ISNUMBER(SEARCH(" "&amp;Task!$A$10&amp;" "," "&amp;LOWER(D336&amp;" "&amp;C336&amp;" "&amp;LOWER(SUBSTITUTE(SUBSTITUTE(SUBSTITUTE(SUBSTITUTE(A336,"/"," "),"."," "),"\"," "),"_"," ")))&amp;" ")),1,0))+IF(Task!$A$11="",0,IF(ISNUMBER(SEARCH(" "&amp;Task!$A$11&amp;" "," "&amp;LOWER(D336&amp;" "&amp;C336&amp;" "&amp;LOWER(SUBSTITUTE(SUBSTITUTE(SUBSTITUTE(SUBSTITUTE(A336,"/"," "),"."," "),"\"," "),"_"," ")))&amp;" ")),1,0))+IF(Task!$A$12="",0,IF(ISNUMBER(SEARCH(" "&amp;Task!$A$12&amp;" "," "&amp;LOWER(D336&amp;" "&amp;C336&amp;" "&amp;LOWER(SUBSTITUTE(SUBSTITUTE(SUBSTITUTE(SUBSTITUTE(A336,"/"," "),"."," "),"\"," "),"_"," ")))&amp;" ")),1,0))+IF(Task!$A$13="",0,IF(ISNUMBER(SEARCH(" "&amp;Task!$A$13&amp;" "," "&amp;LOWER(D336&amp;" "&amp;C336&amp;" "&amp;LOWER(SUBSTITUTE(SUBSTITUTE(SUBSTITUTE(SUBSTITUTE(A336,"/"," "),"."," "),"\"," "),"_"," ")))&amp;" ")),1,0))+IF(Task!$A$14="",0,IF(ISNUMBER(SEARCH(" "&amp;Task!$A$14&amp;" "," "&amp;LOWER(D336&amp;" "&amp;C336&amp;" "&amp;LOWER(SUBSTITUTE(SUBSTITUTE(SUBSTITUTE(SUBSTITUTE(A336,"/"," "),"."," "),"\"," "),"_"," ")))&amp;" ")),1,0))+IF(Task!$A$15="",0,IF(ISNUMBER(SEARCH(" "&amp;Task!$A$15&amp;" "," "&amp;LOWER(D336&amp;" "&amp;C336&amp;" "&amp;LOWER(SUBSTITUTE(SUBSTITUTE(SUBSTITUTE(SUBSTITUTE(A336,"/"," "),"."," "),"\"," "),"_"," ")))&amp;" ")),1,0))+IF(Task!$A$16="",0,IF(ISNUMBER(SEARCH(" "&amp;Task!$A$16&amp;" "," "&amp;LOWER(D336&amp;" "&amp;C336&amp;" "&amp;LOWER(SUBSTITUTE(SUBSTITUTE(SUBSTITUTE(SUBSTITUTE(A336,"/"," "),"."," "),"\"," "),"_"," ")))&amp;" ")),1,0))+IF(Task!$A$17="",0,IF(ISNUMBER(SEARCH(" "&amp;Task!$A$17&amp;" "," "&amp;LOWER(D336&amp;" "&amp;C336&amp;" "&amp;LOWER(SUBSTITUTE(SUBSTITUTE(SUBSTITUTE(SUBSTITUTE(A336,"/"," "),"."," "),"\"," "),"_"," ")))&amp;" ")),1,0))+IF(Task!$A$18="",0,IF(ISNUMBER(SEARCH(" "&amp;Task!$A$18&amp;" "," "&amp;LOWER(D336&amp;" "&amp;C336&amp;" "&amp;LOWER(SUBSTITUTE(SUBSTITUTE(SUBSTITUTE(SUBSTITUTE(A336,"/"," "),"."," "),"\"," "),"_"," ")))&amp;" ")),1,0))+IF(Task!$A$19="",0,IF(ISNUMBER(SEARCH(" "&amp;Task!$A$19&amp;" "," "&amp;LOWER(D336&amp;" "&amp;C336&amp;" "&amp;LOWER(SUBSTITUTE(SUBSTITUTE(SUBSTITUTE(SUBSTITUTE(A336,"/"," "),"."," "),"\"," "),"_"," ")))&amp;" ")),1,0)))</f>
        <v/>
      </c>
      <c r="G336" s="9">
        <f>IF(E336=0,0,IF(Task!$A$8="",0,IF(ISNUMBER(SEARCH(" "&amp;Task!$A$8&amp;" "," "&amp;LOWER(C336)&amp;" ")),1,0))+IF(Task!$A$9="",0,IF(ISNUMBER(SEARCH(" "&amp;Task!$A$9&amp;" "," "&amp;LOWER(C336)&amp;" ")),1,0))+IF(Task!$A$10="",0,IF(ISNUMBER(SEARCH(" "&amp;Task!$A$10&amp;" "," "&amp;LOWER(C336)&amp;" ")),1,0))+IF(Task!$A$11="",0,IF(ISNUMBER(SEARCH(" "&amp;Task!$A$11&amp;" "," "&amp;LOWER(C336)&amp;" ")),1,0))+IF(Task!$A$12="",0,IF(ISNUMBER(SEARCH(" "&amp;Task!$A$12&amp;" "," "&amp;LOWER(C336)&amp;" ")),1,0))+IF(Task!$A$13="",0,IF(ISNUMBER(SEARCH(" "&amp;Task!$A$13&amp;" "," "&amp;LOWER(C336)&amp;" ")),1,0))+IF(Task!$A$14="",0,IF(ISNUMBER(SEARCH(" "&amp;Task!$A$14&amp;" "," "&amp;LOWER(C336)&amp;" ")),1,0))+IF(Task!$A$15="",0,IF(ISNUMBER(SEARCH(" "&amp;Task!$A$15&amp;" "," "&amp;LOWER(C336)&amp;" ")),1,0))+IF(Task!$A$16="",0,IF(ISNUMBER(SEARCH(" "&amp;Task!$A$16&amp;" "," "&amp;LOWER(C336)&amp;" ")),1,0))+IF(Task!$A$17="",0,IF(ISNUMBER(SEARCH(" "&amp;Task!$A$17&amp;" "," "&amp;LOWER(C336)&amp;" ")),1,0))+IF(Task!$A$18="",0,IF(ISNUMBER(SEARCH(" "&amp;Task!$A$18&amp;" "," "&amp;LOWER(C336)&amp;" ")),1,0))+IF(Task!$A$19="",0,IF(ISNUMBER(SEARCH(" "&amp;Task!$A$19&amp;" "," "&amp;LOWER(C336)&amp;" ")),1,0)))</f>
        <v/>
      </c>
      <c r="H336" s="9">
        <f>IF(E336=0,0,IF(Task!$A$8="",0,IF(ISNUMBER(SEARCH(" "&amp;Task!$A$8&amp;" "," "&amp;LOWER(SUBSTITUTE(SUBSTITUTE(SUBSTITUTE(SUBSTITUTE(A336,"/"," "),"."," "),"\"," "),"_"," "))&amp;" ")),1,0))+IF(Task!$A$9="",0,IF(ISNUMBER(SEARCH(" "&amp;Task!$A$9&amp;" "," "&amp;LOWER(SUBSTITUTE(SUBSTITUTE(SUBSTITUTE(SUBSTITUTE(A336,"/"," "),"."," "),"\"," "),"_"," "))&amp;" ")),1,0))+IF(Task!$A$10="",0,IF(ISNUMBER(SEARCH(" "&amp;Task!$A$10&amp;" "," "&amp;LOWER(SUBSTITUTE(SUBSTITUTE(SUBSTITUTE(SUBSTITUTE(A336,"/"," "),"."," "),"\"," "),"_"," "))&amp;" ")),1,0))+IF(Task!$A$11="",0,IF(ISNUMBER(SEARCH(" "&amp;Task!$A$11&amp;" "," "&amp;LOWER(SUBSTITUTE(SUBSTITUTE(SUBSTITUTE(SUBSTITUTE(A336,"/"," "),"."," "),"\"," "),"_"," "))&amp;" ")),1,0))+IF(Task!$A$12="",0,IF(ISNUMBER(SEARCH(" "&amp;Task!$A$12&amp;" "," "&amp;LOWER(SUBSTITUTE(SUBSTITUTE(SUBSTITUTE(SUBSTITUTE(A336,"/"," "),"."," "),"\"," "),"_"," "))&amp;" ")),1,0))+IF(Task!$A$13="",0,IF(ISNUMBER(SEARCH(" "&amp;Task!$A$13&amp;" "," "&amp;LOWER(SUBSTITUTE(SUBSTITUTE(SUBSTITUTE(SUBSTITUTE(A336,"/"," "),"."," "),"\"," "),"_"," "))&amp;" ")),1,0))+IF(Task!$A$14="",0,IF(ISNUMBER(SEARCH(" "&amp;Task!$A$14&amp;" "," "&amp;LOWER(SUBSTITUTE(SUBSTITUTE(SUBSTITUTE(SUBSTITUTE(A336,"/"," "),"."," "),"\"," "),"_"," "))&amp;" ")),1,0))+IF(Task!$A$15="",0,IF(ISNUMBER(SEARCH(" "&amp;Task!$A$15&amp;" "," "&amp;LOWER(SUBSTITUTE(SUBSTITUTE(SUBSTITUTE(SUBSTITUTE(A336,"/"," "),"."," "),"\"," "),"_"," "))&amp;" ")),1,0))+IF(Task!$A$16="",0,IF(ISNUMBER(SEARCH(" "&amp;Task!$A$16&amp;" "," "&amp;LOWER(SUBSTITUTE(SUBSTITUTE(SUBSTITUTE(SUBSTITUTE(A336,"/"," "),"."," "),"\"," "),"_"," "))&amp;" ")),1,0))+IF(Task!$A$17="",0,IF(ISNUMBER(SEARCH(" "&amp;Task!$A$17&amp;" "," "&amp;LOWER(SUBSTITUTE(SUBSTITUTE(SUBSTITUTE(SUBSTITUTE(A336,"/"," "),"."," "),"\"," "),"_"," "))&amp;" ")),1,0))+IF(Task!$A$18="",0,IF(ISNUMBER(SEARCH(" "&amp;Task!$A$18&amp;" "," "&amp;LOWER(SUBSTITUTE(SUBSTITUTE(SUBSTITUTE(SUBSTITUTE(A336,"/"," "),"."," "),"\"," "),"_"," "))&amp;" ")),1,0))+IF(Task!$A$19="",0,IF(ISNUMBER(SEARCH(" "&amp;Task!$A$19&amp;" "," "&amp;LOWER(SUBSTITUTE(SUBSTITUTE(SUBSTITUTE(SUBSTITUTE(A336,"/"," "),"."," "),"\"," "),"_"," "))&amp;" ")),1,0)))</f>
        <v/>
      </c>
      <c r="I336" s="10">
        <f>IF(OR(E336=0,F336=0,Task!$B$21=0),"",F336/Task!$B$21+0.5*G336+0.25*H336)</f>
        <v/>
      </c>
      <c r="J336" s="5">
        <f>IF(I336="","",I336-ROW()/1000000)</f>
        <v/>
      </c>
      <c r="K336" s="9">
        <f>IF(J336="","",COUNTIF($J$5:$J$404,"&gt;"&amp;J336)+1)</f>
        <v/>
      </c>
    </row>
    <row r="337">
      <c r="A337" s="7" t="n"/>
      <c r="B337" s="7" t="n"/>
      <c r="C337" s="7" t="n"/>
      <c r="D337" s="7" t="n"/>
      <c r="E337" s="5">
        <f>IF(A337="",0,IF(COUNTA(Task!$B$5:$E$5)=0,1,IF(COUNTIF(Task!$B$5:$E$5,B337)&gt;0,1,0)))</f>
        <v/>
      </c>
      <c r="F337" s="9">
        <f>IF(E337=0,0,IF(Task!$A$8="",0,IF(ISNUMBER(SEARCH(" "&amp;Task!$A$8&amp;" "," "&amp;LOWER(D337&amp;" "&amp;C337&amp;" "&amp;LOWER(SUBSTITUTE(SUBSTITUTE(SUBSTITUTE(SUBSTITUTE(A337,"/"," "),"."," "),"\"," "),"_"," ")))&amp;" ")),1,0))+IF(Task!$A$9="",0,IF(ISNUMBER(SEARCH(" "&amp;Task!$A$9&amp;" "," "&amp;LOWER(D337&amp;" "&amp;C337&amp;" "&amp;LOWER(SUBSTITUTE(SUBSTITUTE(SUBSTITUTE(SUBSTITUTE(A337,"/"," "),"."," "),"\"," "),"_"," ")))&amp;" ")),1,0))+IF(Task!$A$10="",0,IF(ISNUMBER(SEARCH(" "&amp;Task!$A$10&amp;" "," "&amp;LOWER(D337&amp;" "&amp;C337&amp;" "&amp;LOWER(SUBSTITUTE(SUBSTITUTE(SUBSTITUTE(SUBSTITUTE(A337,"/"," "),"."," "),"\"," "),"_"," ")))&amp;" ")),1,0))+IF(Task!$A$11="",0,IF(ISNUMBER(SEARCH(" "&amp;Task!$A$11&amp;" "," "&amp;LOWER(D337&amp;" "&amp;C337&amp;" "&amp;LOWER(SUBSTITUTE(SUBSTITUTE(SUBSTITUTE(SUBSTITUTE(A337,"/"," "),"."," "),"\"," "),"_"," ")))&amp;" ")),1,0))+IF(Task!$A$12="",0,IF(ISNUMBER(SEARCH(" "&amp;Task!$A$12&amp;" "," "&amp;LOWER(D337&amp;" "&amp;C337&amp;" "&amp;LOWER(SUBSTITUTE(SUBSTITUTE(SUBSTITUTE(SUBSTITUTE(A337,"/"," "),"."," "),"\"," "),"_"," ")))&amp;" ")),1,0))+IF(Task!$A$13="",0,IF(ISNUMBER(SEARCH(" "&amp;Task!$A$13&amp;" "," "&amp;LOWER(D337&amp;" "&amp;C337&amp;" "&amp;LOWER(SUBSTITUTE(SUBSTITUTE(SUBSTITUTE(SUBSTITUTE(A337,"/"," "),"."," "),"\"," "),"_"," ")))&amp;" ")),1,0))+IF(Task!$A$14="",0,IF(ISNUMBER(SEARCH(" "&amp;Task!$A$14&amp;" "," "&amp;LOWER(D337&amp;" "&amp;C337&amp;" "&amp;LOWER(SUBSTITUTE(SUBSTITUTE(SUBSTITUTE(SUBSTITUTE(A337,"/"," "),"."," "),"\"," "),"_"," ")))&amp;" ")),1,0))+IF(Task!$A$15="",0,IF(ISNUMBER(SEARCH(" "&amp;Task!$A$15&amp;" "," "&amp;LOWER(D337&amp;" "&amp;C337&amp;" "&amp;LOWER(SUBSTITUTE(SUBSTITUTE(SUBSTITUTE(SUBSTITUTE(A337,"/"," "),"."," "),"\"," "),"_"," ")))&amp;" ")),1,0))+IF(Task!$A$16="",0,IF(ISNUMBER(SEARCH(" "&amp;Task!$A$16&amp;" "," "&amp;LOWER(D337&amp;" "&amp;C337&amp;" "&amp;LOWER(SUBSTITUTE(SUBSTITUTE(SUBSTITUTE(SUBSTITUTE(A337,"/"," "),"."," "),"\"," "),"_"," ")))&amp;" ")),1,0))+IF(Task!$A$17="",0,IF(ISNUMBER(SEARCH(" "&amp;Task!$A$17&amp;" "," "&amp;LOWER(D337&amp;" "&amp;C337&amp;" "&amp;LOWER(SUBSTITUTE(SUBSTITUTE(SUBSTITUTE(SUBSTITUTE(A337,"/"," "),"."," "),"\"," "),"_"," ")))&amp;" ")),1,0))+IF(Task!$A$18="",0,IF(ISNUMBER(SEARCH(" "&amp;Task!$A$18&amp;" "," "&amp;LOWER(D337&amp;" "&amp;C337&amp;" "&amp;LOWER(SUBSTITUTE(SUBSTITUTE(SUBSTITUTE(SUBSTITUTE(A337,"/"," "),"."," "),"\"," "),"_"," ")))&amp;" ")),1,0))+IF(Task!$A$19="",0,IF(ISNUMBER(SEARCH(" "&amp;Task!$A$19&amp;" "," "&amp;LOWER(D337&amp;" "&amp;C337&amp;" "&amp;LOWER(SUBSTITUTE(SUBSTITUTE(SUBSTITUTE(SUBSTITUTE(A337,"/"," "),"."," "),"\"," "),"_"," ")))&amp;" ")),1,0)))</f>
        <v/>
      </c>
      <c r="G337" s="9">
        <f>IF(E337=0,0,IF(Task!$A$8="",0,IF(ISNUMBER(SEARCH(" "&amp;Task!$A$8&amp;" "," "&amp;LOWER(C337)&amp;" ")),1,0))+IF(Task!$A$9="",0,IF(ISNUMBER(SEARCH(" "&amp;Task!$A$9&amp;" "," "&amp;LOWER(C337)&amp;" ")),1,0))+IF(Task!$A$10="",0,IF(ISNUMBER(SEARCH(" "&amp;Task!$A$10&amp;" "," "&amp;LOWER(C337)&amp;" ")),1,0))+IF(Task!$A$11="",0,IF(ISNUMBER(SEARCH(" "&amp;Task!$A$11&amp;" "," "&amp;LOWER(C337)&amp;" ")),1,0))+IF(Task!$A$12="",0,IF(ISNUMBER(SEARCH(" "&amp;Task!$A$12&amp;" "," "&amp;LOWER(C337)&amp;" ")),1,0))+IF(Task!$A$13="",0,IF(ISNUMBER(SEARCH(" "&amp;Task!$A$13&amp;" "," "&amp;LOWER(C337)&amp;" ")),1,0))+IF(Task!$A$14="",0,IF(ISNUMBER(SEARCH(" "&amp;Task!$A$14&amp;" "," "&amp;LOWER(C337)&amp;" ")),1,0))+IF(Task!$A$15="",0,IF(ISNUMBER(SEARCH(" "&amp;Task!$A$15&amp;" "," "&amp;LOWER(C337)&amp;" ")),1,0))+IF(Task!$A$16="",0,IF(ISNUMBER(SEARCH(" "&amp;Task!$A$16&amp;" "," "&amp;LOWER(C337)&amp;" ")),1,0))+IF(Task!$A$17="",0,IF(ISNUMBER(SEARCH(" "&amp;Task!$A$17&amp;" "," "&amp;LOWER(C337)&amp;" ")),1,0))+IF(Task!$A$18="",0,IF(ISNUMBER(SEARCH(" "&amp;Task!$A$18&amp;" "," "&amp;LOWER(C337)&amp;" ")),1,0))+IF(Task!$A$19="",0,IF(ISNUMBER(SEARCH(" "&amp;Task!$A$19&amp;" "," "&amp;LOWER(C337)&amp;" ")),1,0)))</f>
        <v/>
      </c>
      <c r="H337" s="9">
        <f>IF(E337=0,0,IF(Task!$A$8="",0,IF(ISNUMBER(SEARCH(" "&amp;Task!$A$8&amp;" "," "&amp;LOWER(SUBSTITUTE(SUBSTITUTE(SUBSTITUTE(SUBSTITUTE(A337,"/"," "),"."," "),"\"," "),"_"," "))&amp;" ")),1,0))+IF(Task!$A$9="",0,IF(ISNUMBER(SEARCH(" "&amp;Task!$A$9&amp;" "," "&amp;LOWER(SUBSTITUTE(SUBSTITUTE(SUBSTITUTE(SUBSTITUTE(A337,"/"," "),"."," "),"\"," "),"_"," "))&amp;" ")),1,0))+IF(Task!$A$10="",0,IF(ISNUMBER(SEARCH(" "&amp;Task!$A$10&amp;" "," "&amp;LOWER(SUBSTITUTE(SUBSTITUTE(SUBSTITUTE(SUBSTITUTE(A337,"/"," "),"."," "),"\"," "),"_"," "))&amp;" ")),1,0))+IF(Task!$A$11="",0,IF(ISNUMBER(SEARCH(" "&amp;Task!$A$11&amp;" "," "&amp;LOWER(SUBSTITUTE(SUBSTITUTE(SUBSTITUTE(SUBSTITUTE(A337,"/"," "),"."," "),"\"," "),"_"," "))&amp;" ")),1,0))+IF(Task!$A$12="",0,IF(ISNUMBER(SEARCH(" "&amp;Task!$A$12&amp;" "," "&amp;LOWER(SUBSTITUTE(SUBSTITUTE(SUBSTITUTE(SUBSTITUTE(A337,"/"," "),"."," "),"\"," "),"_"," "))&amp;" ")),1,0))+IF(Task!$A$13="",0,IF(ISNUMBER(SEARCH(" "&amp;Task!$A$13&amp;" "," "&amp;LOWER(SUBSTITUTE(SUBSTITUTE(SUBSTITUTE(SUBSTITUTE(A337,"/"," "),"."," "),"\"," "),"_"," "))&amp;" ")),1,0))+IF(Task!$A$14="",0,IF(ISNUMBER(SEARCH(" "&amp;Task!$A$14&amp;" "," "&amp;LOWER(SUBSTITUTE(SUBSTITUTE(SUBSTITUTE(SUBSTITUTE(A337,"/"," "),"."," "),"\"," "),"_"," "))&amp;" ")),1,0))+IF(Task!$A$15="",0,IF(ISNUMBER(SEARCH(" "&amp;Task!$A$15&amp;" "," "&amp;LOWER(SUBSTITUTE(SUBSTITUTE(SUBSTITUTE(SUBSTITUTE(A337,"/"," "),"."," "),"\"," "),"_"," "))&amp;" ")),1,0))+IF(Task!$A$16="",0,IF(ISNUMBER(SEARCH(" "&amp;Task!$A$16&amp;" "," "&amp;LOWER(SUBSTITUTE(SUBSTITUTE(SUBSTITUTE(SUBSTITUTE(A337,"/"," "),"."," "),"\"," "),"_"," "))&amp;" ")),1,0))+IF(Task!$A$17="",0,IF(ISNUMBER(SEARCH(" "&amp;Task!$A$17&amp;" "," "&amp;LOWER(SUBSTITUTE(SUBSTITUTE(SUBSTITUTE(SUBSTITUTE(A337,"/"," "),"."," "),"\"," "),"_"," "))&amp;" ")),1,0))+IF(Task!$A$18="",0,IF(ISNUMBER(SEARCH(" "&amp;Task!$A$18&amp;" "," "&amp;LOWER(SUBSTITUTE(SUBSTITUTE(SUBSTITUTE(SUBSTITUTE(A337,"/"," "),"."," "),"\"," "),"_"," "))&amp;" ")),1,0))+IF(Task!$A$19="",0,IF(ISNUMBER(SEARCH(" "&amp;Task!$A$19&amp;" "," "&amp;LOWER(SUBSTITUTE(SUBSTITUTE(SUBSTITUTE(SUBSTITUTE(A337,"/"," "),"."," "),"\"," "),"_"," "))&amp;" ")),1,0)))</f>
        <v/>
      </c>
      <c r="I337" s="10">
        <f>IF(OR(E337=0,F337=0,Task!$B$21=0),"",F337/Task!$B$21+0.5*G337+0.25*H337)</f>
        <v/>
      </c>
      <c r="J337" s="5">
        <f>IF(I337="","",I337-ROW()/1000000)</f>
        <v/>
      </c>
      <c r="K337" s="9">
        <f>IF(J337="","",COUNTIF($J$5:$J$404,"&gt;"&amp;J337)+1)</f>
        <v/>
      </c>
    </row>
    <row r="338">
      <c r="A338" s="7" t="n"/>
      <c r="B338" s="7" t="n"/>
      <c r="C338" s="7" t="n"/>
      <c r="D338" s="7" t="n"/>
      <c r="E338" s="5">
        <f>IF(A338="",0,IF(COUNTA(Task!$B$5:$E$5)=0,1,IF(COUNTIF(Task!$B$5:$E$5,B338)&gt;0,1,0)))</f>
        <v/>
      </c>
      <c r="F338" s="9">
        <f>IF(E338=0,0,IF(Task!$A$8="",0,IF(ISNUMBER(SEARCH(" "&amp;Task!$A$8&amp;" "," "&amp;LOWER(D338&amp;" "&amp;C338&amp;" "&amp;LOWER(SUBSTITUTE(SUBSTITUTE(SUBSTITUTE(SUBSTITUTE(A338,"/"," "),"."," "),"\"," "),"_"," ")))&amp;" ")),1,0))+IF(Task!$A$9="",0,IF(ISNUMBER(SEARCH(" "&amp;Task!$A$9&amp;" "," "&amp;LOWER(D338&amp;" "&amp;C338&amp;" "&amp;LOWER(SUBSTITUTE(SUBSTITUTE(SUBSTITUTE(SUBSTITUTE(A338,"/"," "),"."," "),"\"," "),"_"," ")))&amp;" ")),1,0))+IF(Task!$A$10="",0,IF(ISNUMBER(SEARCH(" "&amp;Task!$A$10&amp;" "," "&amp;LOWER(D338&amp;" "&amp;C338&amp;" "&amp;LOWER(SUBSTITUTE(SUBSTITUTE(SUBSTITUTE(SUBSTITUTE(A338,"/"," "),"."," "),"\"," "),"_"," ")))&amp;" ")),1,0))+IF(Task!$A$11="",0,IF(ISNUMBER(SEARCH(" "&amp;Task!$A$11&amp;" "," "&amp;LOWER(D338&amp;" "&amp;C338&amp;" "&amp;LOWER(SUBSTITUTE(SUBSTITUTE(SUBSTITUTE(SUBSTITUTE(A338,"/"," "),"."," "),"\"," "),"_"," ")))&amp;" ")),1,0))+IF(Task!$A$12="",0,IF(ISNUMBER(SEARCH(" "&amp;Task!$A$12&amp;" "," "&amp;LOWER(D338&amp;" "&amp;C338&amp;" "&amp;LOWER(SUBSTITUTE(SUBSTITUTE(SUBSTITUTE(SUBSTITUTE(A338,"/"," "),"."," "),"\"," "),"_"," ")))&amp;" ")),1,0))+IF(Task!$A$13="",0,IF(ISNUMBER(SEARCH(" "&amp;Task!$A$13&amp;" "," "&amp;LOWER(D338&amp;" "&amp;C338&amp;" "&amp;LOWER(SUBSTITUTE(SUBSTITUTE(SUBSTITUTE(SUBSTITUTE(A338,"/"," "),"."," "),"\"," "),"_"," ")))&amp;" ")),1,0))+IF(Task!$A$14="",0,IF(ISNUMBER(SEARCH(" "&amp;Task!$A$14&amp;" "," "&amp;LOWER(D338&amp;" "&amp;C338&amp;" "&amp;LOWER(SUBSTITUTE(SUBSTITUTE(SUBSTITUTE(SUBSTITUTE(A338,"/"," "),"."," "),"\"," "),"_"," ")))&amp;" ")),1,0))+IF(Task!$A$15="",0,IF(ISNUMBER(SEARCH(" "&amp;Task!$A$15&amp;" "," "&amp;LOWER(D338&amp;" "&amp;C338&amp;" "&amp;LOWER(SUBSTITUTE(SUBSTITUTE(SUBSTITUTE(SUBSTITUTE(A338,"/"," "),"."," "),"\"," "),"_"," ")))&amp;" ")),1,0))+IF(Task!$A$16="",0,IF(ISNUMBER(SEARCH(" "&amp;Task!$A$16&amp;" "," "&amp;LOWER(D338&amp;" "&amp;C338&amp;" "&amp;LOWER(SUBSTITUTE(SUBSTITUTE(SUBSTITUTE(SUBSTITUTE(A338,"/"," "),"."," "),"\"," "),"_"," ")))&amp;" ")),1,0))+IF(Task!$A$17="",0,IF(ISNUMBER(SEARCH(" "&amp;Task!$A$17&amp;" "," "&amp;LOWER(D338&amp;" "&amp;C338&amp;" "&amp;LOWER(SUBSTITUTE(SUBSTITUTE(SUBSTITUTE(SUBSTITUTE(A338,"/"," "),"."," "),"\"," "),"_"," ")))&amp;" ")),1,0))+IF(Task!$A$18="",0,IF(ISNUMBER(SEARCH(" "&amp;Task!$A$18&amp;" "," "&amp;LOWER(D338&amp;" "&amp;C338&amp;" "&amp;LOWER(SUBSTITUTE(SUBSTITUTE(SUBSTITUTE(SUBSTITUTE(A338,"/"," "),"."," "),"\"," "),"_"," ")))&amp;" ")),1,0))+IF(Task!$A$19="",0,IF(ISNUMBER(SEARCH(" "&amp;Task!$A$19&amp;" "," "&amp;LOWER(D338&amp;" "&amp;C338&amp;" "&amp;LOWER(SUBSTITUTE(SUBSTITUTE(SUBSTITUTE(SUBSTITUTE(A338,"/"," "),"."," "),"\"," "),"_"," ")))&amp;" ")),1,0)))</f>
        <v/>
      </c>
      <c r="G338" s="9">
        <f>IF(E338=0,0,IF(Task!$A$8="",0,IF(ISNUMBER(SEARCH(" "&amp;Task!$A$8&amp;" "," "&amp;LOWER(C338)&amp;" ")),1,0))+IF(Task!$A$9="",0,IF(ISNUMBER(SEARCH(" "&amp;Task!$A$9&amp;" "," "&amp;LOWER(C338)&amp;" ")),1,0))+IF(Task!$A$10="",0,IF(ISNUMBER(SEARCH(" "&amp;Task!$A$10&amp;" "," "&amp;LOWER(C338)&amp;" ")),1,0))+IF(Task!$A$11="",0,IF(ISNUMBER(SEARCH(" "&amp;Task!$A$11&amp;" "," "&amp;LOWER(C338)&amp;" ")),1,0))+IF(Task!$A$12="",0,IF(ISNUMBER(SEARCH(" "&amp;Task!$A$12&amp;" "," "&amp;LOWER(C338)&amp;" ")),1,0))+IF(Task!$A$13="",0,IF(ISNUMBER(SEARCH(" "&amp;Task!$A$13&amp;" "," "&amp;LOWER(C338)&amp;" ")),1,0))+IF(Task!$A$14="",0,IF(ISNUMBER(SEARCH(" "&amp;Task!$A$14&amp;" "," "&amp;LOWER(C338)&amp;" ")),1,0))+IF(Task!$A$15="",0,IF(ISNUMBER(SEARCH(" "&amp;Task!$A$15&amp;" "," "&amp;LOWER(C338)&amp;" ")),1,0))+IF(Task!$A$16="",0,IF(ISNUMBER(SEARCH(" "&amp;Task!$A$16&amp;" "," "&amp;LOWER(C338)&amp;" ")),1,0))+IF(Task!$A$17="",0,IF(ISNUMBER(SEARCH(" "&amp;Task!$A$17&amp;" "," "&amp;LOWER(C338)&amp;" ")),1,0))+IF(Task!$A$18="",0,IF(ISNUMBER(SEARCH(" "&amp;Task!$A$18&amp;" "," "&amp;LOWER(C338)&amp;" ")),1,0))+IF(Task!$A$19="",0,IF(ISNUMBER(SEARCH(" "&amp;Task!$A$19&amp;" "," "&amp;LOWER(C338)&amp;" ")),1,0)))</f>
        <v/>
      </c>
      <c r="H338" s="9">
        <f>IF(E338=0,0,IF(Task!$A$8="",0,IF(ISNUMBER(SEARCH(" "&amp;Task!$A$8&amp;" "," "&amp;LOWER(SUBSTITUTE(SUBSTITUTE(SUBSTITUTE(SUBSTITUTE(A338,"/"," "),"."," "),"\"," "),"_"," "))&amp;" ")),1,0))+IF(Task!$A$9="",0,IF(ISNUMBER(SEARCH(" "&amp;Task!$A$9&amp;" "," "&amp;LOWER(SUBSTITUTE(SUBSTITUTE(SUBSTITUTE(SUBSTITUTE(A338,"/"," "),"."," "),"\"," "),"_"," "))&amp;" ")),1,0))+IF(Task!$A$10="",0,IF(ISNUMBER(SEARCH(" "&amp;Task!$A$10&amp;" "," "&amp;LOWER(SUBSTITUTE(SUBSTITUTE(SUBSTITUTE(SUBSTITUTE(A338,"/"," "),"."," "),"\"," "),"_"," "))&amp;" ")),1,0))+IF(Task!$A$11="",0,IF(ISNUMBER(SEARCH(" "&amp;Task!$A$11&amp;" "," "&amp;LOWER(SUBSTITUTE(SUBSTITUTE(SUBSTITUTE(SUBSTITUTE(A338,"/"," "),"."," "),"\"," "),"_"," "))&amp;" ")),1,0))+IF(Task!$A$12="",0,IF(ISNUMBER(SEARCH(" "&amp;Task!$A$12&amp;" "," "&amp;LOWER(SUBSTITUTE(SUBSTITUTE(SUBSTITUTE(SUBSTITUTE(A338,"/"," "),"."," "),"\"," "),"_"," "))&amp;" ")),1,0))+IF(Task!$A$13="",0,IF(ISNUMBER(SEARCH(" "&amp;Task!$A$13&amp;" "," "&amp;LOWER(SUBSTITUTE(SUBSTITUTE(SUBSTITUTE(SUBSTITUTE(A338,"/"," "),"."," "),"\"," "),"_"," "))&amp;" ")),1,0))+IF(Task!$A$14="",0,IF(ISNUMBER(SEARCH(" "&amp;Task!$A$14&amp;" "," "&amp;LOWER(SUBSTITUTE(SUBSTITUTE(SUBSTITUTE(SUBSTITUTE(A338,"/"," "),"."," "),"\"," "),"_"," "))&amp;" ")),1,0))+IF(Task!$A$15="",0,IF(ISNUMBER(SEARCH(" "&amp;Task!$A$15&amp;" "," "&amp;LOWER(SUBSTITUTE(SUBSTITUTE(SUBSTITUTE(SUBSTITUTE(A338,"/"," "),"."," "),"\"," "),"_"," "))&amp;" ")),1,0))+IF(Task!$A$16="",0,IF(ISNUMBER(SEARCH(" "&amp;Task!$A$16&amp;" "," "&amp;LOWER(SUBSTITUTE(SUBSTITUTE(SUBSTITUTE(SUBSTITUTE(A338,"/"," "),"."," "),"\"," "),"_"," "))&amp;" ")),1,0))+IF(Task!$A$17="",0,IF(ISNUMBER(SEARCH(" "&amp;Task!$A$17&amp;" "," "&amp;LOWER(SUBSTITUTE(SUBSTITUTE(SUBSTITUTE(SUBSTITUTE(A338,"/"," "),"."," "),"\"," "),"_"," "))&amp;" ")),1,0))+IF(Task!$A$18="",0,IF(ISNUMBER(SEARCH(" "&amp;Task!$A$18&amp;" "," "&amp;LOWER(SUBSTITUTE(SUBSTITUTE(SUBSTITUTE(SUBSTITUTE(A338,"/"," "),"."," "),"\"," "),"_"," "))&amp;" ")),1,0))+IF(Task!$A$19="",0,IF(ISNUMBER(SEARCH(" "&amp;Task!$A$19&amp;" "," "&amp;LOWER(SUBSTITUTE(SUBSTITUTE(SUBSTITUTE(SUBSTITUTE(A338,"/"," "),"."," "),"\"," "),"_"," "))&amp;" ")),1,0)))</f>
        <v/>
      </c>
      <c r="I338" s="10">
        <f>IF(OR(E338=0,F338=0,Task!$B$21=0),"",F338/Task!$B$21+0.5*G338+0.25*H338)</f>
        <v/>
      </c>
      <c r="J338" s="5">
        <f>IF(I338="","",I338-ROW()/1000000)</f>
        <v/>
      </c>
      <c r="K338" s="9">
        <f>IF(J338="","",COUNTIF($J$5:$J$404,"&gt;"&amp;J338)+1)</f>
        <v/>
      </c>
    </row>
    <row r="339">
      <c r="A339" s="7" t="n"/>
      <c r="B339" s="7" t="n"/>
      <c r="C339" s="7" t="n"/>
      <c r="D339" s="7" t="n"/>
      <c r="E339" s="5">
        <f>IF(A339="",0,IF(COUNTA(Task!$B$5:$E$5)=0,1,IF(COUNTIF(Task!$B$5:$E$5,B339)&gt;0,1,0)))</f>
        <v/>
      </c>
      <c r="F339" s="9">
        <f>IF(E339=0,0,IF(Task!$A$8="",0,IF(ISNUMBER(SEARCH(" "&amp;Task!$A$8&amp;" "," "&amp;LOWER(D339&amp;" "&amp;C339&amp;" "&amp;LOWER(SUBSTITUTE(SUBSTITUTE(SUBSTITUTE(SUBSTITUTE(A339,"/"," "),"."," "),"\"," "),"_"," ")))&amp;" ")),1,0))+IF(Task!$A$9="",0,IF(ISNUMBER(SEARCH(" "&amp;Task!$A$9&amp;" "," "&amp;LOWER(D339&amp;" "&amp;C339&amp;" "&amp;LOWER(SUBSTITUTE(SUBSTITUTE(SUBSTITUTE(SUBSTITUTE(A339,"/"," "),"."," "),"\"," "),"_"," ")))&amp;" ")),1,0))+IF(Task!$A$10="",0,IF(ISNUMBER(SEARCH(" "&amp;Task!$A$10&amp;" "," "&amp;LOWER(D339&amp;" "&amp;C339&amp;" "&amp;LOWER(SUBSTITUTE(SUBSTITUTE(SUBSTITUTE(SUBSTITUTE(A339,"/"," "),"."," "),"\"," "),"_"," ")))&amp;" ")),1,0))+IF(Task!$A$11="",0,IF(ISNUMBER(SEARCH(" "&amp;Task!$A$11&amp;" "," "&amp;LOWER(D339&amp;" "&amp;C339&amp;" "&amp;LOWER(SUBSTITUTE(SUBSTITUTE(SUBSTITUTE(SUBSTITUTE(A339,"/"," "),"."," "),"\"," "),"_"," ")))&amp;" ")),1,0))+IF(Task!$A$12="",0,IF(ISNUMBER(SEARCH(" "&amp;Task!$A$12&amp;" "," "&amp;LOWER(D339&amp;" "&amp;C339&amp;" "&amp;LOWER(SUBSTITUTE(SUBSTITUTE(SUBSTITUTE(SUBSTITUTE(A339,"/"," "),"."," "),"\"," "),"_"," ")))&amp;" ")),1,0))+IF(Task!$A$13="",0,IF(ISNUMBER(SEARCH(" "&amp;Task!$A$13&amp;" "," "&amp;LOWER(D339&amp;" "&amp;C339&amp;" "&amp;LOWER(SUBSTITUTE(SUBSTITUTE(SUBSTITUTE(SUBSTITUTE(A339,"/"," "),"."," "),"\"," "),"_"," ")))&amp;" ")),1,0))+IF(Task!$A$14="",0,IF(ISNUMBER(SEARCH(" "&amp;Task!$A$14&amp;" "," "&amp;LOWER(D339&amp;" "&amp;C339&amp;" "&amp;LOWER(SUBSTITUTE(SUBSTITUTE(SUBSTITUTE(SUBSTITUTE(A339,"/"," "),"."," "),"\"," "),"_"," ")))&amp;" ")),1,0))+IF(Task!$A$15="",0,IF(ISNUMBER(SEARCH(" "&amp;Task!$A$15&amp;" "," "&amp;LOWER(D339&amp;" "&amp;C339&amp;" "&amp;LOWER(SUBSTITUTE(SUBSTITUTE(SUBSTITUTE(SUBSTITUTE(A339,"/"," "),"."," "),"\"," "),"_"," ")))&amp;" ")),1,0))+IF(Task!$A$16="",0,IF(ISNUMBER(SEARCH(" "&amp;Task!$A$16&amp;" "," "&amp;LOWER(D339&amp;" "&amp;C339&amp;" "&amp;LOWER(SUBSTITUTE(SUBSTITUTE(SUBSTITUTE(SUBSTITUTE(A339,"/"," "),"."," "),"\"," "),"_"," ")))&amp;" ")),1,0))+IF(Task!$A$17="",0,IF(ISNUMBER(SEARCH(" "&amp;Task!$A$17&amp;" "," "&amp;LOWER(D339&amp;" "&amp;C339&amp;" "&amp;LOWER(SUBSTITUTE(SUBSTITUTE(SUBSTITUTE(SUBSTITUTE(A339,"/"," "),"."," "),"\"," "),"_"," ")))&amp;" ")),1,0))+IF(Task!$A$18="",0,IF(ISNUMBER(SEARCH(" "&amp;Task!$A$18&amp;" "," "&amp;LOWER(D339&amp;" "&amp;C339&amp;" "&amp;LOWER(SUBSTITUTE(SUBSTITUTE(SUBSTITUTE(SUBSTITUTE(A339,"/"," "),"."," "),"\"," "),"_"," ")))&amp;" ")),1,0))+IF(Task!$A$19="",0,IF(ISNUMBER(SEARCH(" "&amp;Task!$A$19&amp;" "," "&amp;LOWER(D339&amp;" "&amp;C339&amp;" "&amp;LOWER(SUBSTITUTE(SUBSTITUTE(SUBSTITUTE(SUBSTITUTE(A339,"/"," "),"."," "),"\"," "),"_"," ")))&amp;" ")),1,0)))</f>
        <v/>
      </c>
      <c r="G339" s="9">
        <f>IF(E339=0,0,IF(Task!$A$8="",0,IF(ISNUMBER(SEARCH(" "&amp;Task!$A$8&amp;" "," "&amp;LOWER(C339)&amp;" ")),1,0))+IF(Task!$A$9="",0,IF(ISNUMBER(SEARCH(" "&amp;Task!$A$9&amp;" "," "&amp;LOWER(C339)&amp;" ")),1,0))+IF(Task!$A$10="",0,IF(ISNUMBER(SEARCH(" "&amp;Task!$A$10&amp;" "," "&amp;LOWER(C339)&amp;" ")),1,0))+IF(Task!$A$11="",0,IF(ISNUMBER(SEARCH(" "&amp;Task!$A$11&amp;" "," "&amp;LOWER(C339)&amp;" ")),1,0))+IF(Task!$A$12="",0,IF(ISNUMBER(SEARCH(" "&amp;Task!$A$12&amp;" "," "&amp;LOWER(C339)&amp;" ")),1,0))+IF(Task!$A$13="",0,IF(ISNUMBER(SEARCH(" "&amp;Task!$A$13&amp;" "," "&amp;LOWER(C339)&amp;" ")),1,0))+IF(Task!$A$14="",0,IF(ISNUMBER(SEARCH(" "&amp;Task!$A$14&amp;" "," "&amp;LOWER(C339)&amp;" ")),1,0))+IF(Task!$A$15="",0,IF(ISNUMBER(SEARCH(" "&amp;Task!$A$15&amp;" "," "&amp;LOWER(C339)&amp;" ")),1,0))+IF(Task!$A$16="",0,IF(ISNUMBER(SEARCH(" "&amp;Task!$A$16&amp;" "," "&amp;LOWER(C339)&amp;" ")),1,0))+IF(Task!$A$17="",0,IF(ISNUMBER(SEARCH(" "&amp;Task!$A$17&amp;" "," "&amp;LOWER(C339)&amp;" ")),1,0))+IF(Task!$A$18="",0,IF(ISNUMBER(SEARCH(" "&amp;Task!$A$18&amp;" "," "&amp;LOWER(C339)&amp;" ")),1,0))+IF(Task!$A$19="",0,IF(ISNUMBER(SEARCH(" "&amp;Task!$A$19&amp;" "," "&amp;LOWER(C339)&amp;" ")),1,0)))</f>
        <v/>
      </c>
      <c r="H339" s="9">
        <f>IF(E339=0,0,IF(Task!$A$8="",0,IF(ISNUMBER(SEARCH(" "&amp;Task!$A$8&amp;" "," "&amp;LOWER(SUBSTITUTE(SUBSTITUTE(SUBSTITUTE(SUBSTITUTE(A339,"/"," "),"."," "),"\"," "),"_"," "))&amp;" ")),1,0))+IF(Task!$A$9="",0,IF(ISNUMBER(SEARCH(" "&amp;Task!$A$9&amp;" "," "&amp;LOWER(SUBSTITUTE(SUBSTITUTE(SUBSTITUTE(SUBSTITUTE(A339,"/"," "),"."," "),"\"," "),"_"," "))&amp;" ")),1,0))+IF(Task!$A$10="",0,IF(ISNUMBER(SEARCH(" "&amp;Task!$A$10&amp;" "," "&amp;LOWER(SUBSTITUTE(SUBSTITUTE(SUBSTITUTE(SUBSTITUTE(A339,"/"," "),"."," "),"\"," "),"_"," "))&amp;" ")),1,0))+IF(Task!$A$11="",0,IF(ISNUMBER(SEARCH(" "&amp;Task!$A$11&amp;" "," "&amp;LOWER(SUBSTITUTE(SUBSTITUTE(SUBSTITUTE(SUBSTITUTE(A339,"/"," "),"."," "),"\"," "),"_"," "))&amp;" ")),1,0))+IF(Task!$A$12="",0,IF(ISNUMBER(SEARCH(" "&amp;Task!$A$12&amp;" "," "&amp;LOWER(SUBSTITUTE(SUBSTITUTE(SUBSTITUTE(SUBSTITUTE(A339,"/"," "),"."," "),"\"," "),"_"," "))&amp;" ")),1,0))+IF(Task!$A$13="",0,IF(ISNUMBER(SEARCH(" "&amp;Task!$A$13&amp;" "," "&amp;LOWER(SUBSTITUTE(SUBSTITUTE(SUBSTITUTE(SUBSTITUTE(A339,"/"," "),"."," "),"\"," "),"_"," "))&amp;" ")),1,0))+IF(Task!$A$14="",0,IF(ISNUMBER(SEARCH(" "&amp;Task!$A$14&amp;" "," "&amp;LOWER(SUBSTITUTE(SUBSTITUTE(SUBSTITUTE(SUBSTITUTE(A339,"/"," "),"."," "),"\"," "),"_"," "))&amp;" ")),1,0))+IF(Task!$A$15="",0,IF(ISNUMBER(SEARCH(" "&amp;Task!$A$15&amp;" "," "&amp;LOWER(SUBSTITUTE(SUBSTITUTE(SUBSTITUTE(SUBSTITUTE(A339,"/"," "),"."," "),"\"," "),"_"," "))&amp;" ")),1,0))+IF(Task!$A$16="",0,IF(ISNUMBER(SEARCH(" "&amp;Task!$A$16&amp;" "," "&amp;LOWER(SUBSTITUTE(SUBSTITUTE(SUBSTITUTE(SUBSTITUTE(A339,"/"," "),"."," "),"\"," "),"_"," "))&amp;" ")),1,0))+IF(Task!$A$17="",0,IF(ISNUMBER(SEARCH(" "&amp;Task!$A$17&amp;" "," "&amp;LOWER(SUBSTITUTE(SUBSTITUTE(SUBSTITUTE(SUBSTITUTE(A339,"/"," "),"."," "),"\"," "),"_"," "))&amp;" ")),1,0))+IF(Task!$A$18="",0,IF(ISNUMBER(SEARCH(" "&amp;Task!$A$18&amp;" "," "&amp;LOWER(SUBSTITUTE(SUBSTITUTE(SUBSTITUTE(SUBSTITUTE(A339,"/"," "),"."," "),"\"," "),"_"," "))&amp;" ")),1,0))+IF(Task!$A$19="",0,IF(ISNUMBER(SEARCH(" "&amp;Task!$A$19&amp;" "," "&amp;LOWER(SUBSTITUTE(SUBSTITUTE(SUBSTITUTE(SUBSTITUTE(A339,"/"," "),"."," "),"\"," "),"_"," "))&amp;" ")),1,0)))</f>
        <v/>
      </c>
      <c r="I339" s="10">
        <f>IF(OR(E339=0,F339=0,Task!$B$21=0),"",F339/Task!$B$21+0.5*G339+0.25*H339)</f>
        <v/>
      </c>
      <c r="J339" s="5">
        <f>IF(I339="","",I339-ROW()/1000000)</f>
        <v/>
      </c>
      <c r="K339" s="9">
        <f>IF(J339="","",COUNTIF($J$5:$J$404,"&gt;"&amp;J339)+1)</f>
        <v/>
      </c>
    </row>
    <row r="340">
      <c r="A340" s="7" t="n"/>
      <c r="B340" s="7" t="n"/>
      <c r="C340" s="7" t="n"/>
      <c r="D340" s="7" t="n"/>
      <c r="E340" s="5">
        <f>IF(A340="",0,IF(COUNTA(Task!$B$5:$E$5)=0,1,IF(COUNTIF(Task!$B$5:$E$5,B340)&gt;0,1,0)))</f>
        <v/>
      </c>
      <c r="F340" s="9">
        <f>IF(E340=0,0,IF(Task!$A$8="",0,IF(ISNUMBER(SEARCH(" "&amp;Task!$A$8&amp;" "," "&amp;LOWER(D340&amp;" "&amp;C340&amp;" "&amp;LOWER(SUBSTITUTE(SUBSTITUTE(SUBSTITUTE(SUBSTITUTE(A340,"/"," "),"."," "),"\"," "),"_"," ")))&amp;" ")),1,0))+IF(Task!$A$9="",0,IF(ISNUMBER(SEARCH(" "&amp;Task!$A$9&amp;" "," "&amp;LOWER(D340&amp;" "&amp;C340&amp;" "&amp;LOWER(SUBSTITUTE(SUBSTITUTE(SUBSTITUTE(SUBSTITUTE(A340,"/"," "),"."," "),"\"," "),"_"," ")))&amp;" ")),1,0))+IF(Task!$A$10="",0,IF(ISNUMBER(SEARCH(" "&amp;Task!$A$10&amp;" "," "&amp;LOWER(D340&amp;" "&amp;C340&amp;" "&amp;LOWER(SUBSTITUTE(SUBSTITUTE(SUBSTITUTE(SUBSTITUTE(A340,"/"," "),"."," "),"\"," "),"_"," ")))&amp;" ")),1,0))+IF(Task!$A$11="",0,IF(ISNUMBER(SEARCH(" "&amp;Task!$A$11&amp;" "," "&amp;LOWER(D340&amp;" "&amp;C340&amp;" "&amp;LOWER(SUBSTITUTE(SUBSTITUTE(SUBSTITUTE(SUBSTITUTE(A340,"/"," "),"."," "),"\"," "),"_"," ")))&amp;" ")),1,0))+IF(Task!$A$12="",0,IF(ISNUMBER(SEARCH(" "&amp;Task!$A$12&amp;" "," "&amp;LOWER(D340&amp;" "&amp;C340&amp;" "&amp;LOWER(SUBSTITUTE(SUBSTITUTE(SUBSTITUTE(SUBSTITUTE(A340,"/"," "),"."," "),"\"," "),"_"," ")))&amp;" ")),1,0))+IF(Task!$A$13="",0,IF(ISNUMBER(SEARCH(" "&amp;Task!$A$13&amp;" "," "&amp;LOWER(D340&amp;" "&amp;C340&amp;" "&amp;LOWER(SUBSTITUTE(SUBSTITUTE(SUBSTITUTE(SUBSTITUTE(A340,"/"," "),"."," "),"\"," "),"_"," ")))&amp;" ")),1,0))+IF(Task!$A$14="",0,IF(ISNUMBER(SEARCH(" "&amp;Task!$A$14&amp;" "," "&amp;LOWER(D340&amp;" "&amp;C340&amp;" "&amp;LOWER(SUBSTITUTE(SUBSTITUTE(SUBSTITUTE(SUBSTITUTE(A340,"/"," "),"."," "),"\"," "),"_"," ")))&amp;" ")),1,0))+IF(Task!$A$15="",0,IF(ISNUMBER(SEARCH(" "&amp;Task!$A$15&amp;" "," "&amp;LOWER(D340&amp;" "&amp;C340&amp;" "&amp;LOWER(SUBSTITUTE(SUBSTITUTE(SUBSTITUTE(SUBSTITUTE(A340,"/"," "),"."," "),"\"," "),"_"," ")))&amp;" ")),1,0))+IF(Task!$A$16="",0,IF(ISNUMBER(SEARCH(" "&amp;Task!$A$16&amp;" "," "&amp;LOWER(D340&amp;" "&amp;C340&amp;" "&amp;LOWER(SUBSTITUTE(SUBSTITUTE(SUBSTITUTE(SUBSTITUTE(A340,"/"," "),"."," "),"\"," "),"_"," ")))&amp;" ")),1,0))+IF(Task!$A$17="",0,IF(ISNUMBER(SEARCH(" "&amp;Task!$A$17&amp;" "," "&amp;LOWER(D340&amp;" "&amp;C340&amp;" "&amp;LOWER(SUBSTITUTE(SUBSTITUTE(SUBSTITUTE(SUBSTITUTE(A340,"/"," "),"."," "),"\"," "),"_"," ")))&amp;" ")),1,0))+IF(Task!$A$18="",0,IF(ISNUMBER(SEARCH(" "&amp;Task!$A$18&amp;" "," "&amp;LOWER(D340&amp;" "&amp;C340&amp;" "&amp;LOWER(SUBSTITUTE(SUBSTITUTE(SUBSTITUTE(SUBSTITUTE(A340,"/"," "),"."," "),"\"," "),"_"," ")))&amp;" ")),1,0))+IF(Task!$A$19="",0,IF(ISNUMBER(SEARCH(" "&amp;Task!$A$19&amp;" "," "&amp;LOWER(D340&amp;" "&amp;C340&amp;" "&amp;LOWER(SUBSTITUTE(SUBSTITUTE(SUBSTITUTE(SUBSTITUTE(A340,"/"," "),"."," "),"\"," "),"_"," ")))&amp;" ")),1,0)))</f>
        <v/>
      </c>
      <c r="G340" s="9">
        <f>IF(E340=0,0,IF(Task!$A$8="",0,IF(ISNUMBER(SEARCH(" "&amp;Task!$A$8&amp;" "," "&amp;LOWER(C340)&amp;" ")),1,0))+IF(Task!$A$9="",0,IF(ISNUMBER(SEARCH(" "&amp;Task!$A$9&amp;" "," "&amp;LOWER(C340)&amp;" ")),1,0))+IF(Task!$A$10="",0,IF(ISNUMBER(SEARCH(" "&amp;Task!$A$10&amp;" "," "&amp;LOWER(C340)&amp;" ")),1,0))+IF(Task!$A$11="",0,IF(ISNUMBER(SEARCH(" "&amp;Task!$A$11&amp;" "," "&amp;LOWER(C340)&amp;" ")),1,0))+IF(Task!$A$12="",0,IF(ISNUMBER(SEARCH(" "&amp;Task!$A$12&amp;" "," "&amp;LOWER(C340)&amp;" ")),1,0))+IF(Task!$A$13="",0,IF(ISNUMBER(SEARCH(" "&amp;Task!$A$13&amp;" "," "&amp;LOWER(C340)&amp;" ")),1,0))+IF(Task!$A$14="",0,IF(ISNUMBER(SEARCH(" "&amp;Task!$A$14&amp;" "," "&amp;LOWER(C340)&amp;" ")),1,0))+IF(Task!$A$15="",0,IF(ISNUMBER(SEARCH(" "&amp;Task!$A$15&amp;" "," "&amp;LOWER(C340)&amp;" ")),1,0))+IF(Task!$A$16="",0,IF(ISNUMBER(SEARCH(" "&amp;Task!$A$16&amp;" "," "&amp;LOWER(C340)&amp;" ")),1,0))+IF(Task!$A$17="",0,IF(ISNUMBER(SEARCH(" "&amp;Task!$A$17&amp;" "," "&amp;LOWER(C340)&amp;" ")),1,0))+IF(Task!$A$18="",0,IF(ISNUMBER(SEARCH(" "&amp;Task!$A$18&amp;" "," "&amp;LOWER(C340)&amp;" ")),1,0))+IF(Task!$A$19="",0,IF(ISNUMBER(SEARCH(" "&amp;Task!$A$19&amp;" "," "&amp;LOWER(C340)&amp;" ")),1,0)))</f>
        <v/>
      </c>
      <c r="H340" s="9">
        <f>IF(E340=0,0,IF(Task!$A$8="",0,IF(ISNUMBER(SEARCH(" "&amp;Task!$A$8&amp;" "," "&amp;LOWER(SUBSTITUTE(SUBSTITUTE(SUBSTITUTE(SUBSTITUTE(A340,"/"," "),"."," "),"\"," "),"_"," "))&amp;" ")),1,0))+IF(Task!$A$9="",0,IF(ISNUMBER(SEARCH(" "&amp;Task!$A$9&amp;" "," "&amp;LOWER(SUBSTITUTE(SUBSTITUTE(SUBSTITUTE(SUBSTITUTE(A340,"/"," "),"."," "),"\"," "),"_"," "))&amp;" ")),1,0))+IF(Task!$A$10="",0,IF(ISNUMBER(SEARCH(" "&amp;Task!$A$10&amp;" "," "&amp;LOWER(SUBSTITUTE(SUBSTITUTE(SUBSTITUTE(SUBSTITUTE(A340,"/"," "),"."," "),"\"," "),"_"," "))&amp;" ")),1,0))+IF(Task!$A$11="",0,IF(ISNUMBER(SEARCH(" "&amp;Task!$A$11&amp;" "," "&amp;LOWER(SUBSTITUTE(SUBSTITUTE(SUBSTITUTE(SUBSTITUTE(A340,"/"," "),"."," "),"\"," "),"_"," "))&amp;" ")),1,0))+IF(Task!$A$12="",0,IF(ISNUMBER(SEARCH(" "&amp;Task!$A$12&amp;" "," "&amp;LOWER(SUBSTITUTE(SUBSTITUTE(SUBSTITUTE(SUBSTITUTE(A340,"/"," "),"."," "),"\"," "),"_"," "))&amp;" ")),1,0))+IF(Task!$A$13="",0,IF(ISNUMBER(SEARCH(" "&amp;Task!$A$13&amp;" "," "&amp;LOWER(SUBSTITUTE(SUBSTITUTE(SUBSTITUTE(SUBSTITUTE(A340,"/"," "),"."," "),"\"," "),"_"," "))&amp;" ")),1,0))+IF(Task!$A$14="",0,IF(ISNUMBER(SEARCH(" "&amp;Task!$A$14&amp;" "," "&amp;LOWER(SUBSTITUTE(SUBSTITUTE(SUBSTITUTE(SUBSTITUTE(A340,"/"," "),"."," "),"\"," "),"_"," "))&amp;" ")),1,0))+IF(Task!$A$15="",0,IF(ISNUMBER(SEARCH(" "&amp;Task!$A$15&amp;" "," "&amp;LOWER(SUBSTITUTE(SUBSTITUTE(SUBSTITUTE(SUBSTITUTE(A340,"/"," "),"."," "),"\"," "),"_"," "))&amp;" ")),1,0))+IF(Task!$A$16="",0,IF(ISNUMBER(SEARCH(" "&amp;Task!$A$16&amp;" "," "&amp;LOWER(SUBSTITUTE(SUBSTITUTE(SUBSTITUTE(SUBSTITUTE(A340,"/"," "),"."," "),"\"," "),"_"," "))&amp;" ")),1,0))+IF(Task!$A$17="",0,IF(ISNUMBER(SEARCH(" "&amp;Task!$A$17&amp;" "," "&amp;LOWER(SUBSTITUTE(SUBSTITUTE(SUBSTITUTE(SUBSTITUTE(A340,"/"," "),"."," "),"\"," "),"_"," "))&amp;" ")),1,0))+IF(Task!$A$18="",0,IF(ISNUMBER(SEARCH(" "&amp;Task!$A$18&amp;" "," "&amp;LOWER(SUBSTITUTE(SUBSTITUTE(SUBSTITUTE(SUBSTITUTE(A340,"/"," "),"."," "),"\"," "),"_"," "))&amp;" ")),1,0))+IF(Task!$A$19="",0,IF(ISNUMBER(SEARCH(" "&amp;Task!$A$19&amp;" "," "&amp;LOWER(SUBSTITUTE(SUBSTITUTE(SUBSTITUTE(SUBSTITUTE(A340,"/"," "),"."," "),"\"," "),"_"," "))&amp;" ")),1,0)))</f>
        <v/>
      </c>
      <c r="I340" s="10">
        <f>IF(OR(E340=0,F340=0,Task!$B$21=0),"",F340/Task!$B$21+0.5*G340+0.25*H340)</f>
        <v/>
      </c>
      <c r="J340" s="5">
        <f>IF(I340="","",I340-ROW()/1000000)</f>
        <v/>
      </c>
      <c r="K340" s="9">
        <f>IF(J340="","",COUNTIF($J$5:$J$404,"&gt;"&amp;J340)+1)</f>
        <v/>
      </c>
    </row>
    <row r="341">
      <c r="A341" s="7" t="n"/>
      <c r="B341" s="7" t="n"/>
      <c r="C341" s="7" t="n"/>
      <c r="D341" s="7" t="n"/>
      <c r="E341" s="5">
        <f>IF(A341="",0,IF(COUNTA(Task!$B$5:$E$5)=0,1,IF(COUNTIF(Task!$B$5:$E$5,B341)&gt;0,1,0)))</f>
        <v/>
      </c>
      <c r="F341" s="9">
        <f>IF(E341=0,0,IF(Task!$A$8="",0,IF(ISNUMBER(SEARCH(" "&amp;Task!$A$8&amp;" "," "&amp;LOWER(D341&amp;" "&amp;C341&amp;" "&amp;LOWER(SUBSTITUTE(SUBSTITUTE(SUBSTITUTE(SUBSTITUTE(A341,"/"," "),"."," "),"\"," "),"_"," ")))&amp;" ")),1,0))+IF(Task!$A$9="",0,IF(ISNUMBER(SEARCH(" "&amp;Task!$A$9&amp;" "," "&amp;LOWER(D341&amp;" "&amp;C341&amp;" "&amp;LOWER(SUBSTITUTE(SUBSTITUTE(SUBSTITUTE(SUBSTITUTE(A341,"/"," "),"."," "),"\"," "),"_"," ")))&amp;" ")),1,0))+IF(Task!$A$10="",0,IF(ISNUMBER(SEARCH(" "&amp;Task!$A$10&amp;" "," "&amp;LOWER(D341&amp;" "&amp;C341&amp;" "&amp;LOWER(SUBSTITUTE(SUBSTITUTE(SUBSTITUTE(SUBSTITUTE(A341,"/"," "),"."," "),"\"," "),"_"," ")))&amp;" ")),1,0))+IF(Task!$A$11="",0,IF(ISNUMBER(SEARCH(" "&amp;Task!$A$11&amp;" "," "&amp;LOWER(D341&amp;" "&amp;C341&amp;" "&amp;LOWER(SUBSTITUTE(SUBSTITUTE(SUBSTITUTE(SUBSTITUTE(A341,"/"," "),"."," "),"\"," "),"_"," ")))&amp;" ")),1,0))+IF(Task!$A$12="",0,IF(ISNUMBER(SEARCH(" "&amp;Task!$A$12&amp;" "," "&amp;LOWER(D341&amp;" "&amp;C341&amp;" "&amp;LOWER(SUBSTITUTE(SUBSTITUTE(SUBSTITUTE(SUBSTITUTE(A341,"/"," "),"."," "),"\"," "),"_"," ")))&amp;" ")),1,0))+IF(Task!$A$13="",0,IF(ISNUMBER(SEARCH(" "&amp;Task!$A$13&amp;" "," "&amp;LOWER(D341&amp;" "&amp;C341&amp;" "&amp;LOWER(SUBSTITUTE(SUBSTITUTE(SUBSTITUTE(SUBSTITUTE(A341,"/"," "),"."," "),"\"," "),"_"," ")))&amp;" ")),1,0))+IF(Task!$A$14="",0,IF(ISNUMBER(SEARCH(" "&amp;Task!$A$14&amp;" "," "&amp;LOWER(D341&amp;" "&amp;C341&amp;" "&amp;LOWER(SUBSTITUTE(SUBSTITUTE(SUBSTITUTE(SUBSTITUTE(A341,"/"," "),"."," "),"\"," "),"_"," ")))&amp;" ")),1,0))+IF(Task!$A$15="",0,IF(ISNUMBER(SEARCH(" "&amp;Task!$A$15&amp;" "," "&amp;LOWER(D341&amp;" "&amp;C341&amp;" "&amp;LOWER(SUBSTITUTE(SUBSTITUTE(SUBSTITUTE(SUBSTITUTE(A341,"/"," "),"."," "),"\"," "),"_"," ")))&amp;" ")),1,0))+IF(Task!$A$16="",0,IF(ISNUMBER(SEARCH(" "&amp;Task!$A$16&amp;" "," "&amp;LOWER(D341&amp;" "&amp;C341&amp;" "&amp;LOWER(SUBSTITUTE(SUBSTITUTE(SUBSTITUTE(SUBSTITUTE(A341,"/"," "),"."," "),"\"," "),"_"," ")))&amp;" ")),1,0))+IF(Task!$A$17="",0,IF(ISNUMBER(SEARCH(" "&amp;Task!$A$17&amp;" "," "&amp;LOWER(D341&amp;" "&amp;C341&amp;" "&amp;LOWER(SUBSTITUTE(SUBSTITUTE(SUBSTITUTE(SUBSTITUTE(A341,"/"," "),"."," "),"\"," "),"_"," ")))&amp;" ")),1,0))+IF(Task!$A$18="",0,IF(ISNUMBER(SEARCH(" "&amp;Task!$A$18&amp;" "," "&amp;LOWER(D341&amp;" "&amp;C341&amp;" "&amp;LOWER(SUBSTITUTE(SUBSTITUTE(SUBSTITUTE(SUBSTITUTE(A341,"/"," "),"."," "),"\"," "),"_"," ")))&amp;" ")),1,0))+IF(Task!$A$19="",0,IF(ISNUMBER(SEARCH(" "&amp;Task!$A$19&amp;" "," "&amp;LOWER(D341&amp;" "&amp;C341&amp;" "&amp;LOWER(SUBSTITUTE(SUBSTITUTE(SUBSTITUTE(SUBSTITUTE(A341,"/"," "),"."," "),"\"," "),"_"," ")))&amp;" ")),1,0)))</f>
        <v/>
      </c>
      <c r="G341" s="9">
        <f>IF(E341=0,0,IF(Task!$A$8="",0,IF(ISNUMBER(SEARCH(" "&amp;Task!$A$8&amp;" "," "&amp;LOWER(C341)&amp;" ")),1,0))+IF(Task!$A$9="",0,IF(ISNUMBER(SEARCH(" "&amp;Task!$A$9&amp;" "," "&amp;LOWER(C341)&amp;" ")),1,0))+IF(Task!$A$10="",0,IF(ISNUMBER(SEARCH(" "&amp;Task!$A$10&amp;" "," "&amp;LOWER(C341)&amp;" ")),1,0))+IF(Task!$A$11="",0,IF(ISNUMBER(SEARCH(" "&amp;Task!$A$11&amp;" "," "&amp;LOWER(C341)&amp;" ")),1,0))+IF(Task!$A$12="",0,IF(ISNUMBER(SEARCH(" "&amp;Task!$A$12&amp;" "," "&amp;LOWER(C341)&amp;" ")),1,0))+IF(Task!$A$13="",0,IF(ISNUMBER(SEARCH(" "&amp;Task!$A$13&amp;" "," "&amp;LOWER(C341)&amp;" ")),1,0))+IF(Task!$A$14="",0,IF(ISNUMBER(SEARCH(" "&amp;Task!$A$14&amp;" "," "&amp;LOWER(C341)&amp;" ")),1,0))+IF(Task!$A$15="",0,IF(ISNUMBER(SEARCH(" "&amp;Task!$A$15&amp;" "," "&amp;LOWER(C341)&amp;" ")),1,0))+IF(Task!$A$16="",0,IF(ISNUMBER(SEARCH(" "&amp;Task!$A$16&amp;" "," "&amp;LOWER(C341)&amp;" ")),1,0))+IF(Task!$A$17="",0,IF(ISNUMBER(SEARCH(" "&amp;Task!$A$17&amp;" "," "&amp;LOWER(C341)&amp;" ")),1,0))+IF(Task!$A$18="",0,IF(ISNUMBER(SEARCH(" "&amp;Task!$A$18&amp;" "," "&amp;LOWER(C341)&amp;" ")),1,0))+IF(Task!$A$19="",0,IF(ISNUMBER(SEARCH(" "&amp;Task!$A$19&amp;" "," "&amp;LOWER(C341)&amp;" ")),1,0)))</f>
        <v/>
      </c>
      <c r="H341" s="9">
        <f>IF(E341=0,0,IF(Task!$A$8="",0,IF(ISNUMBER(SEARCH(" "&amp;Task!$A$8&amp;" "," "&amp;LOWER(SUBSTITUTE(SUBSTITUTE(SUBSTITUTE(SUBSTITUTE(A341,"/"," "),"."," "),"\"," "),"_"," "))&amp;" ")),1,0))+IF(Task!$A$9="",0,IF(ISNUMBER(SEARCH(" "&amp;Task!$A$9&amp;" "," "&amp;LOWER(SUBSTITUTE(SUBSTITUTE(SUBSTITUTE(SUBSTITUTE(A341,"/"," "),"."," "),"\"," "),"_"," "))&amp;" ")),1,0))+IF(Task!$A$10="",0,IF(ISNUMBER(SEARCH(" "&amp;Task!$A$10&amp;" "," "&amp;LOWER(SUBSTITUTE(SUBSTITUTE(SUBSTITUTE(SUBSTITUTE(A341,"/"," "),"."," "),"\"," "),"_"," "))&amp;" ")),1,0))+IF(Task!$A$11="",0,IF(ISNUMBER(SEARCH(" "&amp;Task!$A$11&amp;" "," "&amp;LOWER(SUBSTITUTE(SUBSTITUTE(SUBSTITUTE(SUBSTITUTE(A341,"/"," "),"."," "),"\"," "),"_"," "))&amp;" ")),1,0))+IF(Task!$A$12="",0,IF(ISNUMBER(SEARCH(" "&amp;Task!$A$12&amp;" "," "&amp;LOWER(SUBSTITUTE(SUBSTITUTE(SUBSTITUTE(SUBSTITUTE(A341,"/"," "),"."," "),"\"," "),"_"," "))&amp;" ")),1,0))+IF(Task!$A$13="",0,IF(ISNUMBER(SEARCH(" "&amp;Task!$A$13&amp;" "," "&amp;LOWER(SUBSTITUTE(SUBSTITUTE(SUBSTITUTE(SUBSTITUTE(A341,"/"," "),"."," "),"\"," "),"_"," "))&amp;" ")),1,0))+IF(Task!$A$14="",0,IF(ISNUMBER(SEARCH(" "&amp;Task!$A$14&amp;" "," "&amp;LOWER(SUBSTITUTE(SUBSTITUTE(SUBSTITUTE(SUBSTITUTE(A341,"/"," "),"."," "),"\"," "),"_"," "))&amp;" ")),1,0))+IF(Task!$A$15="",0,IF(ISNUMBER(SEARCH(" "&amp;Task!$A$15&amp;" "," "&amp;LOWER(SUBSTITUTE(SUBSTITUTE(SUBSTITUTE(SUBSTITUTE(A341,"/"," "),"."," "),"\"," "),"_"," "))&amp;" ")),1,0))+IF(Task!$A$16="",0,IF(ISNUMBER(SEARCH(" "&amp;Task!$A$16&amp;" "," "&amp;LOWER(SUBSTITUTE(SUBSTITUTE(SUBSTITUTE(SUBSTITUTE(A341,"/"," "),"."," "),"\"," "),"_"," "))&amp;" ")),1,0))+IF(Task!$A$17="",0,IF(ISNUMBER(SEARCH(" "&amp;Task!$A$17&amp;" "," "&amp;LOWER(SUBSTITUTE(SUBSTITUTE(SUBSTITUTE(SUBSTITUTE(A341,"/"," "),"."," "),"\"," "),"_"," "))&amp;" ")),1,0))+IF(Task!$A$18="",0,IF(ISNUMBER(SEARCH(" "&amp;Task!$A$18&amp;" "," "&amp;LOWER(SUBSTITUTE(SUBSTITUTE(SUBSTITUTE(SUBSTITUTE(A341,"/"," "),"."," "),"\"," "),"_"," "))&amp;" ")),1,0))+IF(Task!$A$19="",0,IF(ISNUMBER(SEARCH(" "&amp;Task!$A$19&amp;" "," "&amp;LOWER(SUBSTITUTE(SUBSTITUTE(SUBSTITUTE(SUBSTITUTE(A341,"/"," "),"."," "),"\"," "),"_"," "))&amp;" ")),1,0)))</f>
        <v/>
      </c>
      <c r="I341" s="10">
        <f>IF(OR(E341=0,F341=0,Task!$B$21=0),"",F341/Task!$B$21+0.5*G341+0.25*H341)</f>
        <v/>
      </c>
      <c r="J341" s="5">
        <f>IF(I341="","",I341-ROW()/1000000)</f>
        <v/>
      </c>
      <c r="K341" s="9">
        <f>IF(J341="","",COUNTIF($J$5:$J$404,"&gt;"&amp;J341)+1)</f>
        <v/>
      </c>
    </row>
    <row r="342">
      <c r="A342" s="7" t="n"/>
      <c r="B342" s="7" t="n"/>
      <c r="C342" s="7" t="n"/>
      <c r="D342" s="7" t="n"/>
      <c r="E342" s="5">
        <f>IF(A342="",0,IF(COUNTA(Task!$B$5:$E$5)=0,1,IF(COUNTIF(Task!$B$5:$E$5,B342)&gt;0,1,0)))</f>
        <v/>
      </c>
      <c r="F342" s="9">
        <f>IF(E342=0,0,IF(Task!$A$8="",0,IF(ISNUMBER(SEARCH(" "&amp;Task!$A$8&amp;" "," "&amp;LOWER(D342&amp;" "&amp;C342&amp;" "&amp;LOWER(SUBSTITUTE(SUBSTITUTE(SUBSTITUTE(SUBSTITUTE(A342,"/"," "),"."," "),"\"," "),"_"," ")))&amp;" ")),1,0))+IF(Task!$A$9="",0,IF(ISNUMBER(SEARCH(" "&amp;Task!$A$9&amp;" "," "&amp;LOWER(D342&amp;" "&amp;C342&amp;" "&amp;LOWER(SUBSTITUTE(SUBSTITUTE(SUBSTITUTE(SUBSTITUTE(A342,"/"," "),"."," "),"\"," "),"_"," ")))&amp;" ")),1,0))+IF(Task!$A$10="",0,IF(ISNUMBER(SEARCH(" "&amp;Task!$A$10&amp;" "," "&amp;LOWER(D342&amp;" "&amp;C342&amp;" "&amp;LOWER(SUBSTITUTE(SUBSTITUTE(SUBSTITUTE(SUBSTITUTE(A342,"/"," "),"."," "),"\"," "),"_"," ")))&amp;" ")),1,0))+IF(Task!$A$11="",0,IF(ISNUMBER(SEARCH(" "&amp;Task!$A$11&amp;" "," "&amp;LOWER(D342&amp;" "&amp;C342&amp;" "&amp;LOWER(SUBSTITUTE(SUBSTITUTE(SUBSTITUTE(SUBSTITUTE(A342,"/"," "),"."," "),"\"," "),"_"," ")))&amp;" ")),1,0))+IF(Task!$A$12="",0,IF(ISNUMBER(SEARCH(" "&amp;Task!$A$12&amp;" "," "&amp;LOWER(D342&amp;" "&amp;C342&amp;" "&amp;LOWER(SUBSTITUTE(SUBSTITUTE(SUBSTITUTE(SUBSTITUTE(A342,"/"," "),"."," "),"\"," "),"_"," ")))&amp;" ")),1,0))+IF(Task!$A$13="",0,IF(ISNUMBER(SEARCH(" "&amp;Task!$A$13&amp;" "," "&amp;LOWER(D342&amp;" "&amp;C342&amp;" "&amp;LOWER(SUBSTITUTE(SUBSTITUTE(SUBSTITUTE(SUBSTITUTE(A342,"/"," "),"."," "),"\"," "),"_"," ")))&amp;" ")),1,0))+IF(Task!$A$14="",0,IF(ISNUMBER(SEARCH(" "&amp;Task!$A$14&amp;" "," "&amp;LOWER(D342&amp;" "&amp;C342&amp;" "&amp;LOWER(SUBSTITUTE(SUBSTITUTE(SUBSTITUTE(SUBSTITUTE(A342,"/"," "),"."," "),"\"," "),"_"," ")))&amp;" ")),1,0))+IF(Task!$A$15="",0,IF(ISNUMBER(SEARCH(" "&amp;Task!$A$15&amp;" "," "&amp;LOWER(D342&amp;" "&amp;C342&amp;" "&amp;LOWER(SUBSTITUTE(SUBSTITUTE(SUBSTITUTE(SUBSTITUTE(A342,"/"," "),"."," "),"\"," "),"_"," ")))&amp;" ")),1,0))+IF(Task!$A$16="",0,IF(ISNUMBER(SEARCH(" "&amp;Task!$A$16&amp;" "," "&amp;LOWER(D342&amp;" "&amp;C342&amp;" "&amp;LOWER(SUBSTITUTE(SUBSTITUTE(SUBSTITUTE(SUBSTITUTE(A342,"/"," "),"."," "),"\"," "),"_"," ")))&amp;" ")),1,0))+IF(Task!$A$17="",0,IF(ISNUMBER(SEARCH(" "&amp;Task!$A$17&amp;" "," "&amp;LOWER(D342&amp;" "&amp;C342&amp;" "&amp;LOWER(SUBSTITUTE(SUBSTITUTE(SUBSTITUTE(SUBSTITUTE(A342,"/"," "),"."," "),"\"," "),"_"," ")))&amp;" ")),1,0))+IF(Task!$A$18="",0,IF(ISNUMBER(SEARCH(" "&amp;Task!$A$18&amp;" "," "&amp;LOWER(D342&amp;" "&amp;C342&amp;" "&amp;LOWER(SUBSTITUTE(SUBSTITUTE(SUBSTITUTE(SUBSTITUTE(A342,"/"," "),"."," "),"\"," "),"_"," ")))&amp;" ")),1,0))+IF(Task!$A$19="",0,IF(ISNUMBER(SEARCH(" "&amp;Task!$A$19&amp;" "," "&amp;LOWER(D342&amp;" "&amp;C342&amp;" "&amp;LOWER(SUBSTITUTE(SUBSTITUTE(SUBSTITUTE(SUBSTITUTE(A342,"/"," "),"."," "),"\"," "),"_"," ")))&amp;" ")),1,0)))</f>
        <v/>
      </c>
      <c r="G342" s="9">
        <f>IF(E342=0,0,IF(Task!$A$8="",0,IF(ISNUMBER(SEARCH(" "&amp;Task!$A$8&amp;" "," "&amp;LOWER(C342)&amp;" ")),1,0))+IF(Task!$A$9="",0,IF(ISNUMBER(SEARCH(" "&amp;Task!$A$9&amp;" "," "&amp;LOWER(C342)&amp;" ")),1,0))+IF(Task!$A$10="",0,IF(ISNUMBER(SEARCH(" "&amp;Task!$A$10&amp;" "," "&amp;LOWER(C342)&amp;" ")),1,0))+IF(Task!$A$11="",0,IF(ISNUMBER(SEARCH(" "&amp;Task!$A$11&amp;" "," "&amp;LOWER(C342)&amp;" ")),1,0))+IF(Task!$A$12="",0,IF(ISNUMBER(SEARCH(" "&amp;Task!$A$12&amp;" "," "&amp;LOWER(C342)&amp;" ")),1,0))+IF(Task!$A$13="",0,IF(ISNUMBER(SEARCH(" "&amp;Task!$A$13&amp;" "," "&amp;LOWER(C342)&amp;" ")),1,0))+IF(Task!$A$14="",0,IF(ISNUMBER(SEARCH(" "&amp;Task!$A$14&amp;" "," "&amp;LOWER(C342)&amp;" ")),1,0))+IF(Task!$A$15="",0,IF(ISNUMBER(SEARCH(" "&amp;Task!$A$15&amp;" "," "&amp;LOWER(C342)&amp;" ")),1,0))+IF(Task!$A$16="",0,IF(ISNUMBER(SEARCH(" "&amp;Task!$A$16&amp;" "," "&amp;LOWER(C342)&amp;" ")),1,0))+IF(Task!$A$17="",0,IF(ISNUMBER(SEARCH(" "&amp;Task!$A$17&amp;" "," "&amp;LOWER(C342)&amp;" ")),1,0))+IF(Task!$A$18="",0,IF(ISNUMBER(SEARCH(" "&amp;Task!$A$18&amp;" "," "&amp;LOWER(C342)&amp;" ")),1,0))+IF(Task!$A$19="",0,IF(ISNUMBER(SEARCH(" "&amp;Task!$A$19&amp;" "," "&amp;LOWER(C342)&amp;" ")),1,0)))</f>
        <v/>
      </c>
      <c r="H342" s="9">
        <f>IF(E342=0,0,IF(Task!$A$8="",0,IF(ISNUMBER(SEARCH(" "&amp;Task!$A$8&amp;" "," "&amp;LOWER(SUBSTITUTE(SUBSTITUTE(SUBSTITUTE(SUBSTITUTE(A342,"/"," "),"."," "),"\"," "),"_"," "))&amp;" ")),1,0))+IF(Task!$A$9="",0,IF(ISNUMBER(SEARCH(" "&amp;Task!$A$9&amp;" "," "&amp;LOWER(SUBSTITUTE(SUBSTITUTE(SUBSTITUTE(SUBSTITUTE(A342,"/"," "),"."," "),"\"," "),"_"," "))&amp;" ")),1,0))+IF(Task!$A$10="",0,IF(ISNUMBER(SEARCH(" "&amp;Task!$A$10&amp;" "," "&amp;LOWER(SUBSTITUTE(SUBSTITUTE(SUBSTITUTE(SUBSTITUTE(A342,"/"," "),"."," "),"\"," "),"_"," "))&amp;" ")),1,0))+IF(Task!$A$11="",0,IF(ISNUMBER(SEARCH(" "&amp;Task!$A$11&amp;" "," "&amp;LOWER(SUBSTITUTE(SUBSTITUTE(SUBSTITUTE(SUBSTITUTE(A342,"/"," "),"."," "),"\"," "),"_"," "))&amp;" ")),1,0))+IF(Task!$A$12="",0,IF(ISNUMBER(SEARCH(" "&amp;Task!$A$12&amp;" "," "&amp;LOWER(SUBSTITUTE(SUBSTITUTE(SUBSTITUTE(SUBSTITUTE(A342,"/"," "),"."," "),"\"," "),"_"," "))&amp;" ")),1,0))+IF(Task!$A$13="",0,IF(ISNUMBER(SEARCH(" "&amp;Task!$A$13&amp;" "," "&amp;LOWER(SUBSTITUTE(SUBSTITUTE(SUBSTITUTE(SUBSTITUTE(A342,"/"," "),"."," "),"\"," "),"_"," "))&amp;" ")),1,0))+IF(Task!$A$14="",0,IF(ISNUMBER(SEARCH(" "&amp;Task!$A$14&amp;" "," "&amp;LOWER(SUBSTITUTE(SUBSTITUTE(SUBSTITUTE(SUBSTITUTE(A342,"/"," "),"."," "),"\"," "),"_"," "))&amp;" ")),1,0))+IF(Task!$A$15="",0,IF(ISNUMBER(SEARCH(" "&amp;Task!$A$15&amp;" "," "&amp;LOWER(SUBSTITUTE(SUBSTITUTE(SUBSTITUTE(SUBSTITUTE(A342,"/"," "),"."," "),"\"," "),"_"," "))&amp;" ")),1,0))+IF(Task!$A$16="",0,IF(ISNUMBER(SEARCH(" "&amp;Task!$A$16&amp;" "," "&amp;LOWER(SUBSTITUTE(SUBSTITUTE(SUBSTITUTE(SUBSTITUTE(A342,"/"," "),"."," "),"\"," "),"_"," "))&amp;" ")),1,0))+IF(Task!$A$17="",0,IF(ISNUMBER(SEARCH(" "&amp;Task!$A$17&amp;" "," "&amp;LOWER(SUBSTITUTE(SUBSTITUTE(SUBSTITUTE(SUBSTITUTE(A342,"/"," "),"."," "),"\"," "),"_"," "))&amp;" ")),1,0))+IF(Task!$A$18="",0,IF(ISNUMBER(SEARCH(" "&amp;Task!$A$18&amp;" "," "&amp;LOWER(SUBSTITUTE(SUBSTITUTE(SUBSTITUTE(SUBSTITUTE(A342,"/"," "),"."," "),"\"," "),"_"," "))&amp;" ")),1,0))+IF(Task!$A$19="",0,IF(ISNUMBER(SEARCH(" "&amp;Task!$A$19&amp;" "," "&amp;LOWER(SUBSTITUTE(SUBSTITUTE(SUBSTITUTE(SUBSTITUTE(A342,"/"," "),"."," "),"\"," "),"_"," "))&amp;" ")),1,0)))</f>
        <v/>
      </c>
      <c r="I342" s="10">
        <f>IF(OR(E342=0,F342=0,Task!$B$21=0),"",F342/Task!$B$21+0.5*G342+0.25*H342)</f>
        <v/>
      </c>
      <c r="J342" s="5">
        <f>IF(I342="","",I342-ROW()/1000000)</f>
        <v/>
      </c>
      <c r="K342" s="9">
        <f>IF(J342="","",COUNTIF($J$5:$J$404,"&gt;"&amp;J342)+1)</f>
        <v/>
      </c>
    </row>
    <row r="343">
      <c r="A343" s="7" t="n"/>
      <c r="B343" s="7" t="n"/>
      <c r="C343" s="7" t="n"/>
      <c r="D343" s="7" t="n"/>
      <c r="E343" s="5">
        <f>IF(A343="",0,IF(COUNTA(Task!$B$5:$E$5)=0,1,IF(COUNTIF(Task!$B$5:$E$5,B343)&gt;0,1,0)))</f>
        <v/>
      </c>
      <c r="F343" s="9">
        <f>IF(E343=0,0,IF(Task!$A$8="",0,IF(ISNUMBER(SEARCH(" "&amp;Task!$A$8&amp;" "," "&amp;LOWER(D343&amp;" "&amp;C343&amp;" "&amp;LOWER(SUBSTITUTE(SUBSTITUTE(SUBSTITUTE(SUBSTITUTE(A343,"/"," "),"."," "),"\"," "),"_"," ")))&amp;" ")),1,0))+IF(Task!$A$9="",0,IF(ISNUMBER(SEARCH(" "&amp;Task!$A$9&amp;" "," "&amp;LOWER(D343&amp;" "&amp;C343&amp;" "&amp;LOWER(SUBSTITUTE(SUBSTITUTE(SUBSTITUTE(SUBSTITUTE(A343,"/"," "),"."," "),"\"," "),"_"," ")))&amp;" ")),1,0))+IF(Task!$A$10="",0,IF(ISNUMBER(SEARCH(" "&amp;Task!$A$10&amp;" "," "&amp;LOWER(D343&amp;" "&amp;C343&amp;" "&amp;LOWER(SUBSTITUTE(SUBSTITUTE(SUBSTITUTE(SUBSTITUTE(A343,"/"," "),"."," "),"\"," "),"_"," ")))&amp;" ")),1,0))+IF(Task!$A$11="",0,IF(ISNUMBER(SEARCH(" "&amp;Task!$A$11&amp;" "," "&amp;LOWER(D343&amp;" "&amp;C343&amp;" "&amp;LOWER(SUBSTITUTE(SUBSTITUTE(SUBSTITUTE(SUBSTITUTE(A343,"/"," "),"."," "),"\"," "),"_"," ")))&amp;" ")),1,0))+IF(Task!$A$12="",0,IF(ISNUMBER(SEARCH(" "&amp;Task!$A$12&amp;" "," "&amp;LOWER(D343&amp;" "&amp;C343&amp;" "&amp;LOWER(SUBSTITUTE(SUBSTITUTE(SUBSTITUTE(SUBSTITUTE(A343,"/"," "),"."," "),"\"," "),"_"," ")))&amp;" ")),1,0))+IF(Task!$A$13="",0,IF(ISNUMBER(SEARCH(" "&amp;Task!$A$13&amp;" "," "&amp;LOWER(D343&amp;" "&amp;C343&amp;" "&amp;LOWER(SUBSTITUTE(SUBSTITUTE(SUBSTITUTE(SUBSTITUTE(A343,"/"," "),"."," "),"\"," "),"_"," ")))&amp;" ")),1,0))+IF(Task!$A$14="",0,IF(ISNUMBER(SEARCH(" "&amp;Task!$A$14&amp;" "," "&amp;LOWER(D343&amp;" "&amp;C343&amp;" "&amp;LOWER(SUBSTITUTE(SUBSTITUTE(SUBSTITUTE(SUBSTITUTE(A343,"/"," "),"."," "),"\"," "),"_"," ")))&amp;" ")),1,0))+IF(Task!$A$15="",0,IF(ISNUMBER(SEARCH(" "&amp;Task!$A$15&amp;" "," "&amp;LOWER(D343&amp;" "&amp;C343&amp;" "&amp;LOWER(SUBSTITUTE(SUBSTITUTE(SUBSTITUTE(SUBSTITUTE(A343,"/"," "),"."," "),"\"," "),"_"," ")))&amp;" ")),1,0))+IF(Task!$A$16="",0,IF(ISNUMBER(SEARCH(" "&amp;Task!$A$16&amp;" "," "&amp;LOWER(D343&amp;" "&amp;C343&amp;" "&amp;LOWER(SUBSTITUTE(SUBSTITUTE(SUBSTITUTE(SUBSTITUTE(A343,"/"," "),"."," "),"\"," "),"_"," ")))&amp;" ")),1,0))+IF(Task!$A$17="",0,IF(ISNUMBER(SEARCH(" "&amp;Task!$A$17&amp;" "," "&amp;LOWER(D343&amp;" "&amp;C343&amp;" "&amp;LOWER(SUBSTITUTE(SUBSTITUTE(SUBSTITUTE(SUBSTITUTE(A343,"/"," "),"."," "),"\"," "),"_"," ")))&amp;" ")),1,0))+IF(Task!$A$18="",0,IF(ISNUMBER(SEARCH(" "&amp;Task!$A$18&amp;" "," "&amp;LOWER(D343&amp;" "&amp;C343&amp;" "&amp;LOWER(SUBSTITUTE(SUBSTITUTE(SUBSTITUTE(SUBSTITUTE(A343,"/"," "),"."," "),"\"," "),"_"," ")))&amp;" ")),1,0))+IF(Task!$A$19="",0,IF(ISNUMBER(SEARCH(" "&amp;Task!$A$19&amp;" "," "&amp;LOWER(D343&amp;" "&amp;C343&amp;" "&amp;LOWER(SUBSTITUTE(SUBSTITUTE(SUBSTITUTE(SUBSTITUTE(A343,"/"," "),"."," "),"\"," "),"_"," ")))&amp;" ")),1,0)))</f>
        <v/>
      </c>
      <c r="G343" s="9">
        <f>IF(E343=0,0,IF(Task!$A$8="",0,IF(ISNUMBER(SEARCH(" "&amp;Task!$A$8&amp;" "," "&amp;LOWER(C343)&amp;" ")),1,0))+IF(Task!$A$9="",0,IF(ISNUMBER(SEARCH(" "&amp;Task!$A$9&amp;" "," "&amp;LOWER(C343)&amp;" ")),1,0))+IF(Task!$A$10="",0,IF(ISNUMBER(SEARCH(" "&amp;Task!$A$10&amp;" "," "&amp;LOWER(C343)&amp;" ")),1,0))+IF(Task!$A$11="",0,IF(ISNUMBER(SEARCH(" "&amp;Task!$A$11&amp;" "," "&amp;LOWER(C343)&amp;" ")),1,0))+IF(Task!$A$12="",0,IF(ISNUMBER(SEARCH(" "&amp;Task!$A$12&amp;" "," "&amp;LOWER(C343)&amp;" ")),1,0))+IF(Task!$A$13="",0,IF(ISNUMBER(SEARCH(" "&amp;Task!$A$13&amp;" "," "&amp;LOWER(C343)&amp;" ")),1,0))+IF(Task!$A$14="",0,IF(ISNUMBER(SEARCH(" "&amp;Task!$A$14&amp;" "," "&amp;LOWER(C343)&amp;" ")),1,0))+IF(Task!$A$15="",0,IF(ISNUMBER(SEARCH(" "&amp;Task!$A$15&amp;" "," "&amp;LOWER(C343)&amp;" ")),1,0))+IF(Task!$A$16="",0,IF(ISNUMBER(SEARCH(" "&amp;Task!$A$16&amp;" "," "&amp;LOWER(C343)&amp;" ")),1,0))+IF(Task!$A$17="",0,IF(ISNUMBER(SEARCH(" "&amp;Task!$A$17&amp;" "," "&amp;LOWER(C343)&amp;" ")),1,0))+IF(Task!$A$18="",0,IF(ISNUMBER(SEARCH(" "&amp;Task!$A$18&amp;" "," "&amp;LOWER(C343)&amp;" ")),1,0))+IF(Task!$A$19="",0,IF(ISNUMBER(SEARCH(" "&amp;Task!$A$19&amp;" "," "&amp;LOWER(C343)&amp;" ")),1,0)))</f>
        <v/>
      </c>
      <c r="H343" s="9">
        <f>IF(E343=0,0,IF(Task!$A$8="",0,IF(ISNUMBER(SEARCH(" "&amp;Task!$A$8&amp;" "," "&amp;LOWER(SUBSTITUTE(SUBSTITUTE(SUBSTITUTE(SUBSTITUTE(A343,"/"," "),"."," "),"\"," "),"_"," "))&amp;" ")),1,0))+IF(Task!$A$9="",0,IF(ISNUMBER(SEARCH(" "&amp;Task!$A$9&amp;" "," "&amp;LOWER(SUBSTITUTE(SUBSTITUTE(SUBSTITUTE(SUBSTITUTE(A343,"/"," "),"."," "),"\"," "),"_"," "))&amp;" ")),1,0))+IF(Task!$A$10="",0,IF(ISNUMBER(SEARCH(" "&amp;Task!$A$10&amp;" "," "&amp;LOWER(SUBSTITUTE(SUBSTITUTE(SUBSTITUTE(SUBSTITUTE(A343,"/"," "),"."," "),"\"," "),"_"," "))&amp;" ")),1,0))+IF(Task!$A$11="",0,IF(ISNUMBER(SEARCH(" "&amp;Task!$A$11&amp;" "," "&amp;LOWER(SUBSTITUTE(SUBSTITUTE(SUBSTITUTE(SUBSTITUTE(A343,"/"," "),"."," "),"\"," "),"_"," "))&amp;" ")),1,0))+IF(Task!$A$12="",0,IF(ISNUMBER(SEARCH(" "&amp;Task!$A$12&amp;" "," "&amp;LOWER(SUBSTITUTE(SUBSTITUTE(SUBSTITUTE(SUBSTITUTE(A343,"/"," "),"."," "),"\"," "),"_"," "))&amp;" ")),1,0))+IF(Task!$A$13="",0,IF(ISNUMBER(SEARCH(" "&amp;Task!$A$13&amp;" "," "&amp;LOWER(SUBSTITUTE(SUBSTITUTE(SUBSTITUTE(SUBSTITUTE(A343,"/"," "),"."," "),"\"," "),"_"," "))&amp;" ")),1,0))+IF(Task!$A$14="",0,IF(ISNUMBER(SEARCH(" "&amp;Task!$A$14&amp;" "," "&amp;LOWER(SUBSTITUTE(SUBSTITUTE(SUBSTITUTE(SUBSTITUTE(A343,"/"," "),"."," "),"\"," "),"_"," "))&amp;" ")),1,0))+IF(Task!$A$15="",0,IF(ISNUMBER(SEARCH(" "&amp;Task!$A$15&amp;" "," "&amp;LOWER(SUBSTITUTE(SUBSTITUTE(SUBSTITUTE(SUBSTITUTE(A343,"/"," "),"."," "),"\"," "),"_"," "))&amp;" ")),1,0))+IF(Task!$A$16="",0,IF(ISNUMBER(SEARCH(" "&amp;Task!$A$16&amp;" "," "&amp;LOWER(SUBSTITUTE(SUBSTITUTE(SUBSTITUTE(SUBSTITUTE(A343,"/"," "),"."," "),"\"," "),"_"," "))&amp;" ")),1,0))+IF(Task!$A$17="",0,IF(ISNUMBER(SEARCH(" "&amp;Task!$A$17&amp;" "," "&amp;LOWER(SUBSTITUTE(SUBSTITUTE(SUBSTITUTE(SUBSTITUTE(A343,"/"," "),"."," "),"\"," "),"_"," "))&amp;" ")),1,0))+IF(Task!$A$18="",0,IF(ISNUMBER(SEARCH(" "&amp;Task!$A$18&amp;" "," "&amp;LOWER(SUBSTITUTE(SUBSTITUTE(SUBSTITUTE(SUBSTITUTE(A343,"/"," "),"."," "),"\"," "),"_"," "))&amp;" ")),1,0))+IF(Task!$A$19="",0,IF(ISNUMBER(SEARCH(" "&amp;Task!$A$19&amp;" "," "&amp;LOWER(SUBSTITUTE(SUBSTITUTE(SUBSTITUTE(SUBSTITUTE(A343,"/"," "),"."," "),"\"," "),"_"," "))&amp;" ")),1,0)))</f>
        <v/>
      </c>
      <c r="I343" s="10">
        <f>IF(OR(E343=0,F343=0,Task!$B$21=0),"",F343/Task!$B$21+0.5*G343+0.25*H343)</f>
        <v/>
      </c>
      <c r="J343" s="5">
        <f>IF(I343="","",I343-ROW()/1000000)</f>
        <v/>
      </c>
      <c r="K343" s="9">
        <f>IF(J343="","",COUNTIF($J$5:$J$404,"&gt;"&amp;J343)+1)</f>
        <v/>
      </c>
    </row>
    <row r="344">
      <c r="A344" s="7" t="n"/>
      <c r="B344" s="7" t="n"/>
      <c r="C344" s="7" t="n"/>
      <c r="D344" s="7" t="n"/>
      <c r="E344" s="5">
        <f>IF(A344="",0,IF(COUNTA(Task!$B$5:$E$5)=0,1,IF(COUNTIF(Task!$B$5:$E$5,B344)&gt;0,1,0)))</f>
        <v/>
      </c>
      <c r="F344" s="9">
        <f>IF(E344=0,0,IF(Task!$A$8="",0,IF(ISNUMBER(SEARCH(" "&amp;Task!$A$8&amp;" "," "&amp;LOWER(D344&amp;" "&amp;C344&amp;" "&amp;LOWER(SUBSTITUTE(SUBSTITUTE(SUBSTITUTE(SUBSTITUTE(A344,"/"," "),"."," "),"\"," "),"_"," ")))&amp;" ")),1,0))+IF(Task!$A$9="",0,IF(ISNUMBER(SEARCH(" "&amp;Task!$A$9&amp;" "," "&amp;LOWER(D344&amp;" "&amp;C344&amp;" "&amp;LOWER(SUBSTITUTE(SUBSTITUTE(SUBSTITUTE(SUBSTITUTE(A344,"/"," "),"."," "),"\"," "),"_"," ")))&amp;" ")),1,0))+IF(Task!$A$10="",0,IF(ISNUMBER(SEARCH(" "&amp;Task!$A$10&amp;" "," "&amp;LOWER(D344&amp;" "&amp;C344&amp;" "&amp;LOWER(SUBSTITUTE(SUBSTITUTE(SUBSTITUTE(SUBSTITUTE(A344,"/"," "),"."," "),"\"," "),"_"," ")))&amp;" ")),1,0))+IF(Task!$A$11="",0,IF(ISNUMBER(SEARCH(" "&amp;Task!$A$11&amp;" "," "&amp;LOWER(D344&amp;" "&amp;C344&amp;" "&amp;LOWER(SUBSTITUTE(SUBSTITUTE(SUBSTITUTE(SUBSTITUTE(A344,"/"," "),"."," "),"\"," "),"_"," ")))&amp;" ")),1,0))+IF(Task!$A$12="",0,IF(ISNUMBER(SEARCH(" "&amp;Task!$A$12&amp;" "," "&amp;LOWER(D344&amp;" "&amp;C344&amp;" "&amp;LOWER(SUBSTITUTE(SUBSTITUTE(SUBSTITUTE(SUBSTITUTE(A344,"/"," "),"."," "),"\"," "),"_"," ")))&amp;" ")),1,0))+IF(Task!$A$13="",0,IF(ISNUMBER(SEARCH(" "&amp;Task!$A$13&amp;" "," "&amp;LOWER(D344&amp;" "&amp;C344&amp;" "&amp;LOWER(SUBSTITUTE(SUBSTITUTE(SUBSTITUTE(SUBSTITUTE(A344,"/"," "),"."," "),"\"," "),"_"," ")))&amp;" ")),1,0))+IF(Task!$A$14="",0,IF(ISNUMBER(SEARCH(" "&amp;Task!$A$14&amp;" "," "&amp;LOWER(D344&amp;" "&amp;C344&amp;" "&amp;LOWER(SUBSTITUTE(SUBSTITUTE(SUBSTITUTE(SUBSTITUTE(A344,"/"," "),"."," "),"\"," "),"_"," ")))&amp;" ")),1,0))+IF(Task!$A$15="",0,IF(ISNUMBER(SEARCH(" "&amp;Task!$A$15&amp;" "," "&amp;LOWER(D344&amp;" "&amp;C344&amp;" "&amp;LOWER(SUBSTITUTE(SUBSTITUTE(SUBSTITUTE(SUBSTITUTE(A344,"/"," "),"."," "),"\"," "),"_"," ")))&amp;" ")),1,0))+IF(Task!$A$16="",0,IF(ISNUMBER(SEARCH(" "&amp;Task!$A$16&amp;" "," "&amp;LOWER(D344&amp;" "&amp;C344&amp;" "&amp;LOWER(SUBSTITUTE(SUBSTITUTE(SUBSTITUTE(SUBSTITUTE(A344,"/"," "),"."," "),"\"," "),"_"," ")))&amp;" ")),1,0))+IF(Task!$A$17="",0,IF(ISNUMBER(SEARCH(" "&amp;Task!$A$17&amp;" "," "&amp;LOWER(D344&amp;" "&amp;C344&amp;" "&amp;LOWER(SUBSTITUTE(SUBSTITUTE(SUBSTITUTE(SUBSTITUTE(A344,"/"," "),"."," "),"\"," "),"_"," ")))&amp;" ")),1,0))+IF(Task!$A$18="",0,IF(ISNUMBER(SEARCH(" "&amp;Task!$A$18&amp;" "," "&amp;LOWER(D344&amp;" "&amp;C344&amp;" "&amp;LOWER(SUBSTITUTE(SUBSTITUTE(SUBSTITUTE(SUBSTITUTE(A344,"/"," "),"."," "),"\"," "),"_"," ")))&amp;" ")),1,0))+IF(Task!$A$19="",0,IF(ISNUMBER(SEARCH(" "&amp;Task!$A$19&amp;" "," "&amp;LOWER(D344&amp;" "&amp;C344&amp;" "&amp;LOWER(SUBSTITUTE(SUBSTITUTE(SUBSTITUTE(SUBSTITUTE(A344,"/"," "),"."," "),"\"," "),"_"," ")))&amp;" ")),1,0)))</f>
        <v/>
      </c>
      <c r="G344" s="9">
        <f>IF(E344=0,0,IF(Task!$A$8="",0,IF(ISNUMBER(SEARCH(" "&amp;Task!$A$8&amp;" "," "&amp;LOWER(C344)&amp;" ")),1,0))+IF(Task!$A$9="",0,IF(ISNUMBER(SEARCH(" "&amp;Task!$A$9&amp;" "," "&amp;LOWER(C344)&amp;" ")),1,0))+IF(Task!$A$10="",0,IF(ISNUMBER(SEARCH(" "&amp;Task!$A$10&amp;" "," "&amp;LOWER(C344)&amp;" ")),1,0))+IF(Task!$A$11="",0,IF(ISNUMBER(SEARCH(" "&amp;Task!$A$11&amp;" "," "&amp;LOWER(C344)&amp;" ")),1,0))+IF(Task!$A$12="",0,IF(ISNUMBER(SEARCH(" "&amp;Task!$A$12&amp;" "," "&amp;LOWER(C344)&amp;" ")),1,0))+IF(Task!$A$13="",0,IF(ISNUMBER(SEARCH(" "&amp;Task!$A$13&amp;" "," "&amp;LOWER(C344)&amp;" ")),1,0))+IF(Task!$A$14="",0,IF(ISNUMBER(SEARCH(" "&amp;Task!$A$14&amp;" "," "&amp;LOWER(C344)&amp;" ")),1,0))+IF(Task!$A$15="",0,IF(ISNUMBER(SEARCH(" "&amp;Task!$A$15&amp;" "," "&amp;LOWER(C344)&amp;" ")),1,0))+IF(Task!$A$16="",0,IF(ISNUMBER(SEARCH(" "&amp;Task!$A$16&amp;" "," "&amp;LOWER(C344)&amp;" ")),1,0))+IF(Task!$A$17="",0,IF(ISNUMBER(SEARCH(" "&amp;Task!$A$17&amp;" "," "&amp;LOWER(C344)&amp;" ")),1,0))+IF(Task!$A$18="",0,IF(ISNUMBER(SEARCH(" "&amp;Task!$A$18&amp;" "," "&amp;LOWER(C344)&amp;" ")),1,0))+IF(Task!$A$19="",0,IF(ISNUMBER(SEARCH(" "&amp;Task!$A$19&amp;" "," "&amp;LOWER(C344)&amp;" ")),1,0)))</f>
        <v/>
      </c>
      <c r="H344" s="9">
        <f>IF(E344=0,0,IF(Task!$A$8="",0,IF(ISNUMBER(SEARCH(" "&amp;Task!$A$8&amp;" "," "&amp;LOWER(SUBSTITUTE(SUBSTITUTE(SUBSTITUTE(SUBSTITUTE(A344,"/"," "),"."," "),"\"," "),"_"," "))&amp;" ")),1,0))+IF(Task!$A$9="",0,IF(ISNUMBER(SEARCH(" "&amp;Task!$A$9&amp;" "," "&amp;LOWER(SUBSTITUTE(SUBSTITUTE(SUBSTITUTE(SUBSTITUTE(A344,"/"," "),"."," "),"\"," "),"_"," "))&amp;" ")),1,0))+IF(Task!$A$10="",0,IF(ISNUMBER(SEARCH(" "&amp;Task!$A$10&amp;" "," "&amp;LOWER(SUBSTITUTE(SUBSTITUTE(SUBSTITUTE(SUBSTITUTE(A344,"/"," "),"."," "),"\"," "),"_"," "))&amp;" ")),1,0))+IF(Task!$A$11="",0,IF(ISNUMBER(SEARCH(" "&amp;Task!$A$11&amp;" "," "&amp;LOWER(SUBSTITUTE(SUBSTITUTE(SUBSTITUTE(SUBSTITUTE(A344,"/"," "),"."," "),"\"," "),"_"," "))&amp;" ")),1,0))+IF(Task!$A$12="",0,IF(ISNUMBER(SEARCH(" "&amp;Task!$A$12&amp;" "," "&amp;LOWER(SUBSTITUTE(SUBSTITUTE(SUBSTITUTE(SUBSTITUTE(A344,"/"," "),"."," "),"\"," "),"_"," "))&amp;" ")),1,0))+IF(Task!$A$13="",0,IF(ISNUMBER(SEARCH(" "&amp;Task!$A$13&amp;" "," "&amp;LOWER(SUBSTITUTE(SUBSTITUTE(SUBSTITUTE(SUBSTITUTE(A344,"/"," "),"."," "),"\"," "),"_"," "))&amp;" ")),1,0))+IF(Task!$A$14="",0,IF(ISNUMBER(SEARCH(" "&amp;Task!$A$14&amp;" "," "&amp;LOWER(SUBSTITUTE(SUBSTITUTE(SUBSTITUTE(SUBSTITUTE(A344,"/"," "),"."," "),"\"," "),"_"," "))&amp;" ")),1,0))+IF(Task!$A$15="",0,IF(ISNUMBER(SEARCH(" "&amp;Task!$A$15&amp;" "," "&amp;LOWER(SUBSTITUTE(SUBSTITUTE(SUBSTITUTE(SUBSTITUTE(A344,"/"," "),"."," "),"\"," "),"_"," "))&amp;" ")),1,0))+IF(Task!$A$16="",0,IF(ISNUMBER(SEARCH(" "&amp;Task!$A$16&amp;" "," "&amp;LOWER(SUBSTITUTE(SUBSTITUTE(SUBSTITUTE(SUBSTITUTE(A344,"/"," "),"."," "),"\"," "),"_"," "))&amp;" ")),1,0))+IF(Task!$A$17="",0,IF(ISNUMBER(SEARCH(" "&amp;Task!$A$17&amp;" "," "&amp;LOWER(SUBSTITUTE(SUBSTITUTE(SUBSTITUTE(SUBSTITUTE(A344,"/"," "),"."," "),"\"," "),"_"," "))&amp;" ")),1,0))+IF(Task!$A$18="",0,IF(ISNUMBER(SEARCH(" "&amp;Task!$A$18&amp;" "," "&amp;LOWER(SUBSTITUTE(SUBSTITUTE(SUBSTITUTE(SUBSTITUTE(A344,"/"," "),"."," "),"\"," "),"_"," "))&amp;" ")),1,0))+IF(Task!$A$19="",0,IF(ISNUMBER(SEARCH(" "&amp;Task!$A$19&amp;" "," "&amp;LOWER(SUBSTITUTE(SUBSTITUTE(SUBSTITUTE(SUBSTITUTE(A344,"/"," "),"."," "),"\"," "),"_"," "))&amp;" ")),1,0)))</f>
        <v/>
      </c>
      <c r="I344" s="10">
        <f>IF(OR(E344=0,F344=0,Task!$B$21=0),"",F344/Task!$B$21+0.5*G344+0.25*H344)</f>
        <v/>
      </c>
      <c r="J344" s="5">
        <f>IF(I344="","",I344-ROW()/1000000)</f>
        <v/>
      </c>
      <c r="K344" s="9">
        <f>IF(J344="","",COUNTIF($J$5:$J$404,"&gt;"&amp;J344)+1)</f>
        <v/>
      </c>
    </row>
    <row r="345">
      <c r="A345" s="7" t="n"/>
      <c r="B345" s="7" t="n"/>
      <c r="C345" s="7" t="n"/>
      <c r="D345" s="7" t="n"/>
      <c r="E345" s="5">
        <f>IF(A345="",0,IF(COUNTA(Task!$B$5:$E$5)=0,1,IF(COUNTIF(Task!$B$5:$E$5,B345)&gt;0,1,0)))</f>
        <v/>
      </c>
      <c r="F345" s="9">
        <f>IF(E345=0,0,IF(Task!$A$8="",0,IF(ISNUMBER(SEARCH(" "&amp;Task!$A$8&amp;" "," "&amp;LOWER(D345&amp;" "&amp;C345&amp;" "&amp;LOWER(SUBSTITUTE(SUBSTITUTE(SUBSTITUTE(SUBSTITUTE(A345,"/"," "),"."," "),"\"," "),"_"," ")))&amp;" ")),1,0))+IF(Task!$A$9="",0,IF(ISNUMBER(SEARCH(" "&amp;Task!$A$9&amp;" "," "&amp;LOWER(D345&amp;" "&amp;C345&amp;" "&amp;LOWER(SUBSTITUTE(SUBSTITUTE(SUBSTITUTE(SUBSTITUTE(A345,"/"," "),"."," "),"\"," "),"_"," ")))&amp;" ")),1,0))+IF(Task!$A$10="",0,IF(ISNUMBER(SEARCH(" "&amp;Task!$A$10&amp;" "," "&amp;LOWER(D345&amp;" "&amp;C345&amp;" "&amp;LOWER(SUBSTITUTE(SUBSTITUTE(SUBSTITUTE(SUBSTITUTE(A345,"/"," "),"."," "),"\"," "),"_"," ")))&amp;" ")),1,0))+IF(Task!$A$11="",0,IF(ISNUMBER(SEARCH(" "&amp;Task!$A$11&amp;" "," "&amp;LOWER(D345&amp;" "&amp;C345&amp;" "&amp;LOWER(SUBSTITUTE(SUBSTITUTE(SUBSTITUTE(SUBSTITUTE(A345,"/"," "),"."," "),"\"," "),"_"," ")))&amp;" ")),1,0))+IF(Task!$A$12="",0,IF(ISNUMBER(SEARCH(" "&amp;Task!$A$12&amp;" "," "&amp;LOWER(D345&amp;" "&amp;C345&amp;" "&amp;LOWER(SUBSTITUTE(SUBSTITUTE(SUBSTITUTE(SUBSTITUTE(A345,"/"," "),"."," "),"\"," "),"_"," ")))&amp;" ")),1,0))+IF(Task!$A$13="",0,IF(ISNUMBER(SEARCH(" "&amp;Task!$A$13&amp;" "," "&amp;LOWER(D345&amp;" "&amp;C345&amp;" "&amp;LOWER(SUBSTITUTE(SUBSTITUTE(SUBSTITUTE(SUBSTITUTE(A345,"/"," "),"."," "),"\"," "),"_"," ")))&amp;" ")),1,0))+IF(Task!$A$14="",0,IF(ISNUMBER(SEARCH(" "&amp;Task!$A$14&amp;" "," "&amp;LOWER(D345&amp;" "&amp;C345&amp;" "&amp;LOWER(SUBSTITUTE(SUBSTITUTE(SUBSTITUTE(SUBSTITUTE(A345,"/"," "),"."," "),"\"," "),"_"," ")))&amp;" ")),1,0))+IF(Task!$A$15="",0,IF(ISNUMBER(SEARCH(" "&amp;Task!$A$15&amp;" "," "&amp;LOWER(D345&amp;" "&amp;C345&amp;" "&amp;LOWER(SUBSTITUTE(SUBSTITUTE(SUBSTITUTE(SUBSTITUTE(A345,"/"," "),"."," "),"\"," "),"_"," ")))&amp;" ")),1,0))+IF(Task!$A$16="",0,IF(ISNUMBER(SEARCH(" "&amp;Task!$A$16&amp;" "," "&amp;LOWER(D345&amp;" "&amp;C345&amp;" "&amp;LOWER(SUBSTITUTE(SUBSTITUTE(SUBSTITUTE(SUBSTITUTE(A345,"/"," "),"."," "),"\"," "),"_"," ")))&amp;" ")),1,0))+IF(Task!$A$17="",0,IF(ISNUMBER(SEARCH(" "&amp;Task!$A$17&amp;" "," "&amp;LOWER(D345&amp;" "&amp;C345&amp;" "&amp;LOWER(SUBSTITUTE(SUBSTITUTE(SUBSTITUTE(SUBSTITUTE(A345,"/"," "),"."," "),"\"," "),"_"," ")))&amp;" ")),1,0))+IF(Task!$A$18="",0,IF(ISNUMBER(SEARCH(" "&amp;Task!$A$18&amp;" "," "&amp;LOWER(D345&amp;" "&amp;C345&amp;" "&amp;LOWER(SUBSTITUTE(SUBSTITUTE(SUBSTITUTE(SUBSTITUTE(A345,"/"," "),"."," "),"\"," "),"_"," ")))&amp;" ")),1,0))+IF(Task!$A$19="",0,IF(ISNUMBER(SEARCH(" "&amp;Task!$A$19&amp;" "," "&amp;LOWER(D345&amp;" "&amp;C345&amp;" "&amp;LOWER(SUBSTITUTE(SUBSTITUTE(SUBSTITUTE(SUBSTITUTE(A345,"/"," "),"."," "),"\"," "),"_"," ")))&amp;" ")),1,0)))</f>
        <v/>
      </c>
      <c r="G345" s="9">
        <f>IF(E345=0,0,IF(Task!$A$8="",0,IF(ISNUMBER(SEARCH(" "&amp;Task!$A$8&amp;" "," "&amp;LOWER(C345)&amp;" ")),1,0))+IF(Task!$A$9="",0,IF(ISNUMBER(SEARCH(" "&amp;Task!$A$9&amp;" "," "&amp;LOWER(C345)&amp;" ")),1,0))+IF(Task!$A$10="",0,IF(ISNUMBER(SEARCH(" "&amp;Task!$A$10&amp;" "," "&amp;LOWER(C345)&amp;" ")),1,0))+IF(Task!$A$11="",0,IF(ISNUMBER(SEARCH(" "&amp;Task!$A$11&amp;" "," "&amp;LOWER(C345)&amp;" ")),1,0))+IF(Task!$A$12="",0,IF(ISNUMBER(SEARCH(" "&amp;Task!$A$12&amp;" "," "&amp;LOWER(C345)&amp;" ")),1,0))+IF(Task!$A$13="",0,IF(ISNUMBER(SEARCH(" "&amp;Task!$A$13&amp;" "," "&amp;LOWER(C345)&amp;" ")),1,0))+IF(Task!$A$14="",0,IF(ISNUMBER(SEARCH(" "&amp;Task!$A$14&amp;" "," "&amp;LOWER(C345)&amp;" ")),1,0))+IF(Task!$A$15="",0,IF(ISNUMBER(SEARCH(" "&amp;Task!$A$15&amp;" "," "&amp;LOWER(C345)&amp;" ")),1,0))+IF(Task!$A$16="",0,IF(ISNUMBER(SEARCH(" "&amp;Task!$A$16&amp;" "," "&amp;LOWER(C345)&amp;" ")),1,0))+IF(Task!$A$17="",0,IF(ISNUMBER(SEARCH(" "&amp;Task!$A$17&amp;" "," "&amp;LOWER(C345)&amp;" ")),1,0))+IF(Task!$A$18="",0,IF(ISNUMBER(SEARCH(" "&amp;Task!$A$18&amp;" "," "&amp;LOWER(C345)&amp;" ")),1,0))+IF(Task!$A$19="",0,IF(ISNUMBER(SEARCH(" "&amp;Task!$A$19&amp;" "," "&amp;LOWER(C345)&amp;" ")),1,0)))</f>
        <v/>
      </c>
      <c r="H345" s="9">
        <f>IF(E345=0,0,IF(Task!$A$8="",0,IF(ISNUMBER(SEARCH(" "&amp;Task!$A$8&amp;" "," "&amp;LOWER(SUBSTITUTE(SUBSTITUTE(SUBSTITUTE(SUBSTITUTE(A345,"/"," "),"."," "),"\"," "),"_"," "))&amp;" ")),1,0))+IF(Task!$A$9="",0,IF(ISNUMBER(SEARCH(" "&amp;Task!$A$9&amp;" "," "&amp;LOWER(SUBSTITUTE(SUBSTITUTE(SUBSTITUTE(SUBSTITUTE(A345,"/"," "),"."," "),"\"," "),"_"," "))&amp;" ")),1,0))+IF(Task!$A$10="",0,IF(ISNUMBER(SEARCH(" "&amp;Task!$A$10&amp;" "," "&amp;LOWER(SUBSTITUTE(SUBSTITUTE(SUBSTITUTE(SUBSTITUTE(A345,"/"," "),"."," "),"\"," "),"_"," "))&amp;" ")),1,0))+IF(Task!$A$11="",0,IF(ISNUMBER(SEARCH(" "&amp;Task!$A$11&amp;" "," "&amp;LOWER(SUBSTITUTE(SUBSTITUTE(SUBSTITUTE(SUBSTITUTE(A345,"/"," "),"."," "),"\"," "),"_"," "))&amp;" ")),1,0))+IF(Task!$A$12="",0,IF(ISNUMBER(SEARCH(" "&amp;Task!$A$12&amp;" "," "&amp;LOWER(SUBSTITUTE(SUBSTITUTE(SUBSTITUTE(SUBSTITUTE(A345,"/"," "),"."," "),"\"," "),"_"," "))&amp;" ")),1,0))+IF(Task!$A$13="",0,IF(ISNUMBER(SEARCH(" "&amp;Task!$A$13&amp;" "," "&amp;LOWER(SUBSTITUTE(SUBSTITUTE(SUBSTITUTE(SUBSTITUTE(A345,"/"," "),"."," "),"\"," "),"_"," "))&amp;" ")),1,0))+IF(Task!$A$14="",0,IF(ISNUMBER(SEARCH(" "&amp;Task!$A$14&amp;" "," "&amp;LOWER(SUBSTITUTE(SUBSTITUTE(SUBSTITUTE(SUBSTITUTE(A345,"/"," "),"."," "),"\"," "),"_"," "))&amp;" ")),1,0))+IF(Task!$A$15="",0,IF(ISNUMBER(SEARCH(" "&amp;Task!$A$15&amp;" "," "&amp;LOWER(SUBSTITUTE(SUBSTITUTE(SUBSTITUTE(SUBSTITUTE(A345,"/"," "),"."," "),"\"," "),"_"," "))&amp;" ")),1,0))+IF(Task!$A$16="",0,IF(ISNUMBER(SEARCH(" "&amp;Task!$A$16&amp;" "," "&amp;LOWER(SUBSTITUTE(SUBSTITUTE(SUBSTITUTE(SUBSTITUTE(A345,"/"," "),"."," "),"\"," "),"_"," "))&amp;" ")),1,0))+IF(Task!$A$17="",0,IF(ISNUMBER(SEARCH(" "&amp;Task!$A$17&amp;" "," "&amp;LOWER(SUBSTITUTE(SUBSTITUTE(SUBSTITUTE(SUBSTITUTE(A345,"/"," "),"."," "),"\"," "),"_"," "))&amp;" ")),1,0))+IF(Task!$A$18="",0,IF(ISNUMBER(SEARCH(" "&amp;Task!$A$18&amp;" "," "&amp;LOWER(SUBSTITUTE(SUBSTITUTE(SUBSTITUTE(SUBSTITUTE(A345,"/"," "),"."," "),"\"," "),"_"," "))&amp;" ")),1,0))+IF(Task!$A$19="",0,IF(ISNUMBER(SEARCH(" "&amp;Task!$A$19&amp;" "," "&amp;LOWER(SUBSTITUTE(SUBSTITUTE(SUBSTITUTE(SUBSTITUTE(A345,"/"," "),"."," "),"\"," "),"_"," "))&amp;" ")),1,0)))</f>
        <v/>
      </c>
      <c r="I345" s="10">
        <f>IF(OR(E345=0,F345=0,Task!$B$21=0),"",F345/Task!$B$21+0.5*G345+0.25*H345)</f>
        <v/>
      </c>
      <c r="J345" s="5">
        <f>IF(I345="","",I345-ROW()/1000000)</f>
        <v/>
      </c>
      <c r="K345" s="9">
        <f>IF(J345="","",COUNTIF($J$5:$J$404,"&gt;"&amp;J345)+1)</f>
        <v/>
      </c>
    </row>
    <row r="346">
      <c r="A346" s="7" t="n"/>
      <c r="B346" s="7" t="n"/>
      <c r="C346" s="7" t="n"/>
      <c r="D346" s="7" t="n"/>
      <c r="E346" s="5">
        <f>IF(A346="",0,IF(COUNTA(Task!$B$5:$E$5)=0,1,IF(COUNTIF(Task!$B$5:$E$5,B346)&gt;0,1,0)))</f>
        <v/>
      </c>
      <c r="F346" s="9">
        <f>IF(E346=0,0,IF(Task!$A$8="",0,IF(ISNUMBER(SEARCH(" "&amp;Task!$A$8&amp;" "," "&amp;LOWER(D346&amp;" "&amp;C346&amp;" "&amp;LOWER(SUBSTITUTE(SUBSTITUTE(SUBSTITUTE(SUBSTITUTE(A346,"/"," "),"."," "),"\"," "),"_"," ")))&amp;" ")),1,0))+IF(Task!$A$9="",0,IF(ISNUMBER(SEARCH(" "&amp;Task!$A$9&amp;" "," "&amp;LOWER(D346&amp;" "&amp;C346&amp;" "&amp;LOWER(SUBSTITUTE(SUBSTITUTE(SUBSTITUTE(SUBSTITUTE(A346,"/"," "),"."," "),"\"," "),"_"," ")))&amp;" ")),1,0))+IF(Task!$A$10="",0,IF(ISNUMBER(SEARCH(" "&amp;Task!$A$10&amp;" "," "&amp;LOWER(D346&amp;" "&amp;C346&amp;" "&amp;LOWER(SUBSTITUTE(SUBSTITUTE(SUBSTITUTE(SUBSTITUTE(A346,"/"," "),"."," "),"\"," "),"_"," ")))&amp;" ")),1,0))+IF(Task!$A$11="",0,IF(ISNUMBER(SEARCH(" "&amp;Task!$A$11&amp;" "," "&amp;LOWER(D346&amp;" "&amp;C346&amp;" "&amp;LOWER(SUBSTITUTE(SUBSTITUTE(SUBSTITUTE(SUBSTITUTE(A346,"/"," "),"."," "),"\"," "),"_"," ")))&amp;" ")),1,0))+IF(Task!$A$12="",0,IF(ISNUMBER(SEARCH(" "&amp;Task!$A$12&amp;" "," "&amp;LOWER(D346&amp;" "&amp;C346&amp;" "&amp;LOWER(SUBSTITUTE(SUBSTITUTE(SUBSTITUTE(SUBSTITUTE(A346,"/"," "),"."," "),"\"," "),"_"," ")))&amp;" ")),1,0))+IF(Task!$A$13="",0,IF(ISNUMBER(SEARCH(" "&amp;Task!$A$13&amp;" "," "&amp;LOWER(D346&amp;" "&amp;C346&amp;" "&amp;LOWER(SUBSTITUTE(SUBSTITUTE(SUBSTITUTE(SUBSTITUTE(A346,"/"," "),"."," "),"\"," "),"_"," ")))&amp;" ")),1,0))+IF(Task!$A$14="",0,IF(ISNUMBER(SEARCH(" "&amp;Task!$A$14&amp;" "," "&amp;LOWER(D346&amp;" "&amp;C346&amp;" "&amp;LOWER(SUBSTITUTE(SUBSTITUTE(SUBSTITUTE(SUBSTITUTE(A346,"/"," "),"."," "),"\"," "),"_"," ")))&amp;" ")),1,0))+IF(Task!$A$15="",0,IF(ISNUMBER(SEARCH(" "&amp;Task!$A$15&amp;" "," "&amp;LOWER(D346&amp;" "&amp;C346&amp;" "&amp;LOWER(SUBSTITUTE(SUBSTITUTE(SUBSTITUTE(SUBSTITUTE(A346,"/"," "),"."," "),"\"," "),"_"," ")))&amp;" ")),1,0))+IF(Task!$A$16="",0,IF(ISNUMBER(SEARCH(" "&amp;Task!$A$16&amp;" "," "&amp;LOWER(D346&amp;" "&amp;C346&amp;" "&amp;LOWER(SUBSTITUTE(SUBSTITUTE(SUBSTITUTE(SUBSTITUTE(A346,"/"," "),"."," "),"\"," "),"_"," ")))&amp;" ")),1,0))+IF(Task!$A$17="",0,IF(ISNUMBER(SEARCH(" "&amp;Task!$A$17&amp;" "," "&amp;LOWER(D346&amp;" "&amp;C346&amp;" "&amp;LOWER(SUBSTITUTE(SUBSTITUTE(SUBSTITUTE(SUBSTITUTE(A346,"/"," "),"."," "),"\"," "),"_"," ")))&amp;" ")),1,0))+IF(Task!$A$18="",0,IF(ISNUMBER(SEARCH(" "&amp;Task!$A$18&amp;" "," "&amp;LOWER(D346&amp;" "&amp;C346&amp;" "&amp;LOWER(SUBSTITUTE(SUBSTITUTE(SUBSTITUTE(SUBSTITUTE(A346,"/"," "),"."," "),"\"," "),"_"," ")))&amp;" ")),1,0))+IF(Task!$A$19="",0,IF(ISNUMBER(SEARCH(" "&amp;Task!$A$19&amp;" "," "&amp;LOWER(D346&amp;" "&amp;C346&amp;" "&amp;LOWER(SUBSTITUTE(SUBSTITUTE(SUBSTITUTE(SUBSTITUTE(A346,"/"," "),"."," "),"\"," "),"_"," ")))&amp;" ")),1,0)))</f>
        <v/>
      </c>
      <c r="G346" s="9">
        <f>IF(E346=0,0,IF(Task!$A$8="",0,IF(ISNUMBER(SEARCH(" "&amp;Task!$A$8&amp;" "," "&amp;LOWER(C346)&amp;" ")),1,0))+IF(Task!$A$9="",0,IF(ISNUMBER(SEARCH(" "&amp;Task!$A$9&amp;" "," "&amp;LOWER(C346)&amp;" ")),1,0))+IF(Task!$A$10="",0,IF(ISNUMBER(SEARCH(" "&amp;Task!$A$10&amp;" "," "&amp;LOWER(C346)&amp;" ")),1,0))+IF(Task!$A$11="",0,IF(ISNUMBER(SEARCH(" "&amp;Task!$A$11&amp;" "," "&amp;LOWER(C346)&amp;" ")),1,0))+IF(Task!$A$12="",0,IF(ISNUMBER(SEARCH(" "&amp;Task!$A$12&amp;" "," "&amp;LOWER(C346)&amp;" ")),1,0))+IF(Task!$A$13="",0,IF(ISNUMBER(SEARCH(" "&amp;Task!$A$13&amp;" "," "&amp;LOWER(C346)&amp;" ")),1,0))+IF(Task!$A$14="",0,IF(ISNUMBER(SEARCH(" "&amp;Task!$A$14&amp;" "," "&amp;LOWER(C346)&amp;" ")),1,0))+IF(Task!$A$15="",0,IF(ISNUMBER(SEARCH(" "&amp;Task!$A$15&amp;" "," "&amp;LOWER(C346)&amp;" ")),1,0))+IF(Task!$A$16="",0,IF(ISNUMBER(SEARCH(" "&amp;Task!$A$16&amp;" "," "&amp;LOWER(C346)&amp;" ")),1,0))+IF(Task!$A$17="",0,IF(ISNUMBER(SEARCH(" "&amp;Task!$A$17&amp;" "," "&amp;LOWER(C346)&amp;" ")),1,0))+IF(Task!$A$18="",0,IF(ISNUMBER(SEARCH(" "&amp;Task!$A$18&amp;" "," "&amp;LOWER(C346)&amp;" ")),1,0))+IF(Task!$A$19="",0,IF(ISNUMBER(SEARCH(" "&amp;Task!$A$19&amp;" "," "&amp;LOWER(C346)&amp;" ")),1,0)))</f>
        <v/>
      </c>
      <c r="H346" s="9">
        <f>IF(E346=0,0,IF(Task!$A$8="",0,IF(ISNUMBER(SEARCH(" "&amp;Task!$A$8&amp;" "," "&amp;LOWER(SUBSTITUTE(SUBSTITUTE(SUBSTITUTE(SUBSTITUTE(A346,"/"," "),"."," "),"\"," "),"_"," "))&amp;" ")),1,0))+IF(Task!$A$9="",0,IF(ISNUMBER(SEARCH(" "&amp;Task!$A$9&amp;" "," "&amp;LOWER(SUBSTITUTE(SUBSTITUTE(SUBSTITUTE(SUBSTITUTE(A346,"/"," "),"."," "),"\"," "),"_"," "))&amp;" ")),1,0))+IF(Task!$A$10="",0,IF(ISNUMBER(SEARCH(" "&amp;Task!$A$10&amp;" "," "&amp;LOWER(SUBSTITUTE(SUBSTITUTE(SUBSTITUTE(SUBSTITUTE(A346,"/"," "),"."," "),"\"," "),"_"," "))&amp;" ")),1,0))+IF(Task!$A$11="",0,IF(ISNUMBER(SEARCH(" "&amp;Task!$A$11&amp;" "," "&amp;LOWER(SUBSTITUTE(SUBSTITUTE(SUBSTITUTE(SUBSTITUTE(A346,"/"," "),"."," "),"\"," "),"_"," "))&amp;" ")),1,0))+IF(Task!$A$12="",0,IF(ISNUMBER(SEARCH(" "&amp;Task!$A$12&amp;" "," "&amp;LOWER(SUBSTITUTE(SUBSTITUTE(SUBSTITUTE(SUBSTITUTE(A346,"/"," "),"."," "),"\"," "),"_"," "))&amp;" ")),1,0))+IF(Task!$A$13="",0,IF(ISNUMBER(SEARCH(" "&amp;Task!$A$13&amp;" "," "&amp;LOWER(SUBSTITUTE(SUBSTITUTE(SUBSTITUTE(SUBSTITUTE(A346,"/"," "),"."," "),"\"," "),"_"," "))&amp;" ")),1,0))+IF(Task!$A$14="",0,IF(ISNUMBER(SEARCH(" "&amp;Task!$A$14&amp;" "," "&amp;LOWER(SUBSTITUTE(SUBSTITUTE(SUBSTITUTE(SUBSTITUTE(A346,"/"," "),"."," "),"\"," "),"_"," "))&amp;" ")),1,0))+IF(Task!$A$15="",0,IF(ISNUMBER(SEARCH(" "&amp;Task!$A$15&amp;" "," "&amp;LOWER(SUBSTITUTE(SUBSTITUTE(SUBSTITUTE(SUBSTITUTE(A346,"/"," "),"."," "),"\"," "),"_"," "))&amp;" ")),1,0))+IF(Task!$A$16="",0,IF(ISNUMBER(SEARCH(" "&amp;Task!$A$16&amp;" "," "&amp;LOWER(SUBSTITUTE(SUBSTITUTE(SUBSTITUTE(SUBSTITUTE(A346,"/"," "),"."," "),"\"," "),"_"," "))&amp;" ")),1,0))+IF(Task!$A$17="",0,IF(ISNUMBER(SEARCH(" "&amp;Task!$A$17&amp;" "," "&amp;LOWER(SUBSTITUTE(SUBSTITUTE(SUBSTITUTE(SUBSTITUTE(A346,"/"," "),"."," "),"\"," "),"_"," "))&amp;" ")),1,0))+IF(Task!$A$18="",0,IF(ISNUMBER(SEARCH(" "&amp;Task!$A$18&amp;" "," "&amp;LOWER(SUBSTITUTE(SUBSTITUTE(SUBSTITUTE(SUBSTITUTE(A346,"/"," "),"."," "),"\"," "),"_"," "))&amp;" ")),1,0))+IF(Task!$A$19="",0,IF(ISNUMBER(SEARCH(" "&amp;Task!$A$19&amp;" "," "&amp;LOWER(SUBSTITUTE(SUBSTITUTE(SUBSTITUTE(SUBSTITUTE(A346,"/"," "),"."," "),"\"," "),"_"," "))&amp;" ")),1,0)))</f>
        <v/>
      </c>
      <c r="I346" s="10">
        <f>IF(OR(E346=0,F346=0,Task!$B$21=0),"",F346/Task!$B$21+0.5*G346+0.25*H346)</f>
        <v/>
      </c>
      <c r="J346" s="5">
        <f>IF(I346="","",I346-ROW()/1000000)</f>
        <v/>
      </c>
      <c r="K346" s="9">
        <f>IF(J346="","",COUNTIF($J$5:$J$404,"&gt;"&amp;J346)+1)</f>
        <v/>
      </c>
    </row>
    <row r="347">
      <c r="A347" s="7" t="n"/>
      <c r="B347" s="7" t="n"/>
      <c r="C347" s="7" t="n"/>
      <c r="D347" s="7" t="n"/>
      <c r="E347" s="5">
        <f>IF(A347="",0,IF(COUNTA(Task!$B$5:$E$5)=0,1,IF(COUNTIF(Task!$B$5:$E$5,B347)&gt;0,1,0)))</f>
        <v/>
      </c>
      <c r="F347" s="9">
        <f>IF(E347=0,0,IF(Task!$A$8="",0,IF(ISNUMBER(SEARCH(" "&amp;Task!$A$8&amp;" "," "&amp;LOWER(D347&amp;" "&amp;C347&amp;" "&amp;LOWER(SUBSTITUTE(SUBSTITUTE(SUBSTITUTE(SUBSTITUTE(A347,"/"," "),"."," "),"\"," "),"_"," ")))&amp;" ")),1,0))+IF(Task!$A$9="",0,IF(ISNUMBER(SEARCH(" "&amp;Task!$A$9&amp;" "," "&amp;LOWER(D347&amp;" "&amp;C347&amp;" "&amp;LOWER(SUBSTITUTE(SUBSTITUTE(SUBSTITUTE(SUBSTITUTE(A347,"/"," "),"."," "),"\"," "),"_"," ")))&amp;" ")),1,0))+IF(Task!$A$10="",0,IF(ISNUMBER(SEARCH(" "&amp;Task!$A$10&amp;" "," "&amp;LOWER(D347&amp;" "&amp;C347&amp;" "&amp;LOWER(SUBSTITUTE(SUBSTITUTE(SUBSTITUTE(SUBSTITUTE(A347,"/"," "),"."," "),"\"," "),"_"," ")))&amp;" ")),1,0))+IF(Task!$A$11="",0,IF(ISNUMBER(SEARCH(" "&amp;Task!$A$11&amp;" "," "&amp;LOWER(D347&amp;" "&amp;C347&amp;" "&amp;LOWER(SUBSTITUTE(SUBSTITUTE(SUBSTITUTE(SUBSTITUTE(A347,"/"," "),"."," "),"\"," "),"_"," ")))&amp;" ")),1,0))+IF(Task!$A$12="",0,IF(ISNUMBER(SEARCH(" "&amp;Task!$A$12&amp;" "," "&amp;LOWER(D347&amp;" "&amp;C347&amp;" "&amp;LOWER(SUBSTITUTE(SUBSTITUTE(SUBSTITUTE(SUBSTITUTE(A347,"/"," "),"."," "),"\"," "),"_"," ")))&amp;" ")),1,0))+IF(Task!$A$13="",0,IF(ISNUMBER(SEARCH(" "&amp;Task!$A$13&amp;" "," "&amp;LOWER(D347&amp;" "&amp;C347&amp;" "&amp;LOWER(SUBSTITUTE(SUBSTITUTE(SUBSTITUTE(SUBSTITUTE(A347,"/"," "),"."," "),"\"," "),"_"," ")))&amp;" ")),1,0))+IF(Task!$A$14="",0,IF(ISNUMBER(SEARCH(" "&amp;Task!$A$14&amp;" "," "&amp;LOWER(D347&amp;" "&amp;C347&amp;" "&amp;LOWER(SUBSTITUTE(SUBSTITUTE(SUBSTITUTE(SUBSTITUTE(A347,"/"," "),"."," "),"\"," "),"_"," ")))&amp;" ")),1,0))+IF(Task!$A$15="",0,IF(ISNUMBER(SEARCH(" "&amp;Task!$A$15&amp;" "," "&amp;LOWER(D347&amp;" "&amp;C347&amp;" "&amp;LOWER(SUBSTITUTE(SUBSTITUTE(SUBSTITUTE(SUBSTITUTE(A347,"/"," "),"."," "),"\"," "),"_"," ")))&amp;" ")),1,0))+IF(Task!$A$16="",0,IF(ISNUMBER(SEARCH(" "&amp;Task!$A$16&amp;" "," "&amp;LOWER(D347&amp;" "&amp;C347&amp;" "&amp;LOWER(SUBSTITUTE(SUBSTITUTE(SUBSTITUTE(SUBSTITUTE(A347,"/"," "),"."," "),"\"," "),"_"," ")))&amp;" ")),1,0))+IF(Task!$A$17="",0,IF(ISNUMBER(SEARCH(" "&amp;Task!$A$17&amp;" "," "&amp;LOWER(D347&amp;" "&amp;C347&amp;" "&amp;LOWER(SUBSTITUTE(SUBSTITUTE(SUBSTITUTE(SUBSTITUTE(A347,"/"," "),"."," "),"\"," "),"_"," ")))&amp;" ")),1,0))+IF(Task!$A$18="",0,IF(ISNUMBER(SEARCH(" "&amp;Task!$A$18&amp;" "," "&amp;LOWER(D347&amp;" "&amp;C347&amp;" "&amp;LOWER(SUBSTITUTE(SUBSTITUTE(SUBSTITUTE(SUBSTITUTE(A347,"/"," "),"."," "),"\"," "),"_"," ")))&amp;" ")),1,0))+IF(Task!$A$19="",0,IF(ISNUMBER(SEARCH(" "&amp;Task!$A$19&amp;" "," "&amp;LOWER(D347&amp;" "&amp;C347&amp;" "&amp;LOWER(SUBSTITUTE(SUBSTITUTE(SUBSTITUTE(SUBSTITUTE(A347,"/"," "),"."," "),"\"," "),"_"," ")))&amp;" ")),1,0)))</f>
        <v/>
      </c>
      <c r="G347" s="9">
        <f>IF(E347=0,0,IF(Task!$A$8="",0,IF(ISNUMBER(SEARCH(" "&amp;Task!$A$8&amp;" "," "&amp;LOWER(C347)&amp;" ")),1,0))+IF(Task!$A$9="",0,IF(ISNUMBER(SEARCH(" "&amp;Task!$A$9&amp;" "," "&amp;LOWER(C347)&amp;" ")),1,0))+IF(Task!$A$10="",0,IF(ISNUMBER(SEARCH(" "&amp;Task!$A$10&amp;" "," "&amp;LOWER(C347)&amp;" ")),1,0))+IF(Task!$A$11="",0,IF(ISNUMBER(SEARCH(" "&amp;Task!$A$11&amp;" "," "&amp;LOWER(C347)&amp;" ")),1,0))+IF(Task!$A$12="",0,IF(ISNUMBER(SEARCH(" "&amp;Task!$A$12&amp;" "," "&amp;LOWER(C347)&amp;" ")),1,0))+IF(Task!$A$13="",0,IF(ISNUMBER(SEARCH(" "&amp;Task!$A$13&amp;" "," "&amp;LOWER(C347)&amp;" ")),1,0))+IF(Task!$A$14="",0,IF(ISNUMBER(SEARCH(" "&amp;Task!$A$14&amp;" "," "&amp;LOWER(C347)&amp;" ")),1,0))+IF(Task!$A$15="",0,IF(ISNUMBER(SEARCH(" "&amp;Task!$A$15&amp;" "," "&amp;LOWER(C347)&amp;" ")),1,0))+IF(Task!$A$16="",0,IF(ISNUMBER(SEARCH(" "&amp;Task!$A$16&amp;" "," "&amp;LOWER(C347)&amp;" ")),1,0))+IF(Task!$A$17="",0,IF(ISNUMBER(SEARCH(" "&amp;Task!$A$17&amp;" "," "&amp;LOWER(C347)&amp;" ")),1,0))+IF(Task!$A$18="",0,IF(ISNUMBER(SEARCH(" "&amp;Task!$A$18&amp;" "," "&amp;LOWER(C347)&amp;" ")),1,0))+IF(Task!$A$19="",0,IF(ISNUMBER(SEARCH(" "&amp;Task!$A$19&amp;" "," "&amp;LOWER(C347)&amp;" ")),1,0)))</f>
        <v/>
      </c>
      <c r="H347" s="9">
        <f>IF(E347=0,0,IF(Task!$A$8="",0,IF(ISNUMBER(SEARCH(" "&amp;Task!$A$8&amp;" "," "&amp;LOWER(SUBSTITUTE(SUBSTITUTE(SUBSTITUTE(SUBSTITUTE(A347,"/"," "),"."," "),"\"," "),"_"," "))&amp;" ")),1,0))+IF(Task!$A$9="",0,IF(ISNUMBER(SEARCH(" "&amp;Task!$A$9&amp;" "," "&amp;LOWER(SUBSTITUTE(SUBSTITUTE(SUBSTITUTE(SUBSTITUTE(A347,"/"," "),"."," "),"\"," "),"_"," "))&amp;" ")),1,0))+IF(Task!$A$10="",0,IF(ISNUMBER(SEARCH(" "&amp;Task!$A$10&amp;" "," "&amp;LOWER(SUBSTITUTE(SUBSTITUTE(SUBSTITUTE(SUBSTITUTE(A347,"/"," "),"."," "),"\"," "),"_"," "))&amp;" ")),1,0))+IF(Task!$A$11="",0,IF(ISNUMBER(SEARCH(" "&amp;Task!$A$11&amp;" "," "&amp;LOWER(SUBSTITUTE(SUBSTITUTE(SUBSTITUTE(SUBSTITUTE(A347,"/"," "),"."," "),"\"," "),"_"," "))&amp;" ")),1,0))+IF(Task!$A$12="",0,IF(ISNUMBER(SEARCH(" "&amp;Task!$A$12&amp;" "," "&amp;LOWER(SUBSTITUTE(SUBSTITUTE(SUBSTITUTE(SUBSTITUTE(A347,"/"," "),"."," "),"\"," "),"_"," "))&amp;" ")),1,0))+IF(Task!$A$13="",0,IF(ISNUMBER(SEARCH(" "&amp;Task!$A$13&amp;" "," "&amp;LOWER(SUBSTITUTE(SUBSTITUTE(SUBSTITUTE(SUBSTITUTE(A347,"/"," "),"."," "),"\"," "),"_"," "))&amp;" ")),1,0))+IF(Task!$A$14="",0,IF(ISNUMBER(SEARCH(" "&amp;Task!$A$14&amp;" "," "&amp;LOWER(SUBSTITUTE(SUBSTITUTE(SUBSTITUTE(SUBSTITUTE(A347,"/"," "),"."," "),"\"," "),"_"," "))&amp;" ")),1,0))+IF(Task!$A$15="",0,IF(ISNUMBER(SEARCH(" "&amp;Task!$A$15&amp;" "," "&amp;LOWER(SUBSTITUTE(SUBSTITUTE(SUBSTITUTE(SUBSTITUTE(A347,"/"," "),"."," "),"\"," "),"_"," "))&amp;" ")),1,0))+IF(Task!$A$16="",0,IF(ISNUMBER(SEARCH(" "&amp;Task!$A$16&amp;" "," "&amp;LOWER(SUBSTITUTE(SUBSTITUTE(SUBSTITUTE(SUBSTITUTE(A347,"/"," "),"."," "),"\"," "),"_"," "))&amp;" ")),1,0))+IF(Task!$A$17="",0,IF(ISNUMBER(SEARCH(" "&amp;Task!$A$17&amp;" "," "&amp;LOWER(SUBSTITUTE(SUBSTITUTE(SUBSTITUTE(SUBSTITUTE(A347,"/"," "),"."," "),"\"," "),"_"," "))&amp;" ")),1,0))+IF(Task!$A$18="",0,IF(ISNUMBER(SEARCH(" "&amp;Task!$A$18&amp;" "," "&amp;LOWER(SUBSTITUTE(SUBSTITUTE(SUBSTITUTE(SUBSTITUTE(A347,"/"," "),"."," "),"\"," "),"_"," "))&amp;" ")),1,0))+IF(Task!$A$19="",0,IF(ISNUMBER(SEARCH(" "&amp;Task!$A$19&amp;" "," "&amp;LOWER(SUBSTITUTE(SUBSTITUTE(SUBSTITUTE(SUBSTITUTE(A347,"/"," "),"."," "),"\"," "),"_"," "))&amp;" ")),1,0)))</f>
        <v/>
      </c>
      <c r="I347" s="10">
        <f>IF(OR(E347=0,F347=0,Task!$B$21=0),"",F347/Task!$B$21+0.5*G347+0.25*H347)</f>
        <v/>
      </c>
      <c r="J347" s="5">
        <f>IF(I347="","",I347-ROW()/1000000)</f>
        <v/>
      </c>
      <c r="K347" s="9">
        <f>IF(J347="","",COUNTIF($J$5:$J$404,"&gt;"&amp;J347)+1)</f>
        <v/>
      </c>
    </row>
    <row r="348">
      <c r="A348" s="7" t="n"/>
      <c r="B348" s="7" t="n"/>
      <c r="C348" s="7" t="n"/>
      <c r="D348" s="7" t="n"/>
      <c r="E348" s="5">
        <f>IF(A348="",0,IF(COUNTA(Task!$B$5:$E$5)=0,1,IF(COUNTIF(Task!$B$5:$E$5,B348)&gt;0,1,0)))</f>
        <v/>
      </c>
      <c r="F348" s="9">
        <f>IF(E348=0,0,IF(Task!$A$8="",0,IF(ISNUMBER(SEARCH(" "&amp;Task!$A$8&amp;" "," "&amp;LOWER(D348&amp;" "&amp;C348&amp;" "&amp;LOWER(SUBSTITUTE(SUBSTITUTE(SUBSTITUTE(SUBSTITUTE(A348,"/"," "),"."," "),"\"," "),"_"," ")))&amp;" ")),1,0))+IF(Task!$A$9="",0,IF(ISNUMBER(SEARCH(" "&amp;Task!$A$9&amp;" "," "&amp;LOWER(D348&amp;" "&amp;C348&amp;" "&amp;LOWER(SUBSTITUTE(SUBSTITUTE(SUBSTITUTE(SUBSTITUTE(A348,"/"," "),"."," "),"\"," "),"_"," ")))&amp;" ")),1,0))+IF(Task!$A$10="",0,IF(ISNUMBER(SEARCH(" "&amp;Task!$A$10&amp;" "," "&amp;LOWER(D348&amp;" "&amp;C348&amp;" "&amp;LOWER(SUBSTITUTE(SUBSTITUTE(SUBSTITUTE(SUBSTITUTE(A348,"/"," "),"."," "),"\"," "),"_"," ")))&amp;" ")),1,0))+IF(Task!$A$11="",0,IF(ISNUMBER(SEARCH(" "&amp;Task!$A$11&amp;" "," "&amp;LOWER(D348&amp;" "&amp;C348&amp;" "&amp;LOWER(SUBSTITUTE(SUBSTITUTE(SUBSTITUTE(SUBSTITUTE(A348,"/"," "),"."," "),"\"," "),"_"," ")))&amp;" ")),1,0))+IF(Task!$A$12="",0,IF(ISNUMBER(SEARCH(" "&amp;Task!$A$12&amp;" "," "&amp;LOWER(D348&amp;" "&amp;C348&amp;" "&amp;LOWER(SUBSTITUTE(SUBSTITUTE(SUBSTITUTE(SUBSTITUTE(A348,"/"," "),"."," "),"\"," "),"_"," ")))&amp;" ")),1,0))+IF(Task!$A$13="",0,IF(ISNUMBER(SEARCH(" "&amp;Task!$A$13&amp;" "," "&amp;LOWER(D348&amp;" "&amp;C348&amp;" "&amp;LOWER(SUBSTITUTE(SUBSTITUTE(SUBSTITUTE(SUBSTITUTE(A348,"/"," "),"."," "),"\"," "),"_"," ")))&amp;" ")),1,0))+IF(Task!$A$14="",0,IF(ISNUMBER(SEARCH(" "&amp;Task!$A$14&amp;" "," "&amp;LOWER(D348&amp;" "&amp;C348&amp;" "&amp;LOWER(SUBSTITUTE(SUBSTITUTE(SUBSTITUTE(SUBSTITUTE(A348,"/"," "),"."," "),"\"," "),"_"," ")))&amp;" ")),1,0))+IF(Task!$A$15="",0,IF(ISNUMBER(SEARCH(" "&amp;Task!$A$15&amp;" "," "&amp;LOWER(D348&amp;" "&amp;C348&amp;" "&amp;LOWER(SUBSTITUTE(SUBSTITUTE(SUBSTITUTE(SUBSTITUTE(A348,"/"," "),"."," "),"\"," "),"_"," ")))&amp;" ")),1,0))+IF(Task!$A$16="",0,IF(ISNUMBER(SEARCH(" "&amp;Task!$A$16&amp;" "," "&amp;LOWER(D348&amp;" "&amp;C348&amp;" "&amp;LOWER(SUBSTITUTE(SUBSTITUTE(SUBSTITUTE(SUBSTITUTE(A348,"/"," "),"."," "),"\"," "),"_"," ")))&amp;" ")),1,0))+IF(Task!$A$17="",0,IF(ISNUMBER(SEARCH(" "&amp;Task!$A$17&amp;" "," "&amp;LOWER(D348&amp;" "&amp;C348&amp;" "&amp;LOWER(SUBSTITUTE(SUBSTITUTE(SUBSTITUTE(SUBSTITUTE(A348,"/"," "),"."," "),"\"," "),"_"," ")))&amp;" ")),1,0))+IF(Task!$A$18="",0,IF(ISNUMBER(SEARCH(" "&amp;Task!$A$18&amp;" "," "&amp;LOWER(D348&amp;" "&amp;C348&amp;" "&amp;LOWER(SUBSTITUTE(SUBSTITUTE(SUBSTITUTE(SUBSTITUTE(A348,"/"," "),"."," "),"\"," "),"_"," ")))&amp;" ")),1,0))+IF(Task!$A$19="",0,IF(ISNUMBER(SEARCH(" "&amp;Task!$A$19&amp;" "," "&amp;LOWER(D348&amp;" "&amp;C348&amp;" "&amp;LOWER(SUBSTITUTE(SUBSTITUTE(SUBSTITUTE(SUBSTITUTE(A348,"/"," "),"."," "),"\"," "),"_"," ")))&amp;" ")),1,0)))</f>
        <v/>
      </c>
      <c r="G348" s="9">
        <f>IF(E348=0,0,IF(Task!$A$8="",0,IF(ISNUMBER(SEARCH(" "&amp;Task!$A$8&amp;" "," "&amp;LOWER(C348)&amp;" ")),1,0))+IF(Task!$A$9="",0,IF(ISNUMBER(SEARCH(" "&amp;Task!$A$9&amp;" "," "&amp;LOWER(C348)&amp;" ")),1,0))+IF(Task!$A$10="",0,IF(ISNUMBER(SEARCH(" "&amp;Task!$A$10&amp;" "," "&amp;LOWER(C348)&amp;" ")),1,0))+IF(Task!$A$11="",0,IF(ISNUMBER(SEARCH(" "&amp;Task!$A$11&amp;" "," "&amp;LOWER(C348)&amp;" ")),1,0))+IF(Task!$A$12="",0,IF(ISNUMBER(SEARCH(" "&amp;Task!$A$12&amp;" "," "&amp;LOWER(C348)&amp;" ")),1,0))+IF(Task!$A$13="",0,IF(ISNUMBER(SEARCH(" "&amp;Task!$A$13&amp;" "," "&amp;LOWER(C348)&amp;" ")),1,0))+IF(Task!$A$14="",0,IF(ISNUMBER(SEARCH(" "&amp;Task!$A$14&amp;" "," "&amp;LOWER(C348)&amp;" ")),1,0))+IF(Task!$A$15="",0,IF(ISNUMBER(SEARCH(" "&amp;Task!$A$15&amp;" "," "&amp;LOWER(C348)&amp;" ")),1,0))+IF(Task!$A$16="",0,IF(ISNUMBER(SEARCH(" "&amp;Task!$A$16&amp;" "," "&amp;LOWER(C348)&amp;" ")),1,0))+IF(Task!$A$17="",0,IF(ISNUMBER(SEARCH(" "&amp;Task!$A$17&amp;" "," "&amp;LOWER(C348)&amp;" ")),1,0))+IF(Task!$A$18="",0,IF(ISNUMBER(SEARCH(" "&amp;Task!$A$18&amp;" "," "&amp;LOWER(C348)&amp;" ")),1,0))+IF(Task!$A$19="",0,IF(ISNUMBER(SEARCH(" "&amp;Task!$A$19&amp;" "," "&amp;LOWER(C348)&amp;" ")),1,0)))</f>
        <v/>
      </c>
      <c r="H348" s="9">
        <f>IF(E348=0,0,IF(Task!$A$8="",0,IF(ISNUMBER(SEARCH(" "&amp;Task!$A$8&amp;" "," "&amp;LOWER(SUBSTITUTE(SUBSTITUTE(SUBSTITUTE(SUBSTITUTE(A348,"/"," "),"."," "),"\"," "),"_"," "))&amp;" ")),1,0))+IF(Task!$A$9="",0,IF(ISNUMBER(SEARCH(" "&amp;Task!$A$9&amp;" "," "&amp;LOWER(SUBSTITUTE(SUBSTITUTE(SUBSTITUTE(SUBSTITUTE(A348,"/"," "),"."," "),"\"," "),"_"," "))&amp;" ")),1,0))+IF(Task!$A$10="",0,IF(ISNUMBER(SEARCH(" "&amp;Task!$A$10&amp;" "," "&amp;LOWER(SUBSTITUTE(SUBSTITUTE(SUBSTITUTE(SUBSTITUTE(A348,"/"," "),"."," "),"\"," "),"_"," "))&amp;" ")),1,0))+IF(Task!$A$11="",0,IF(ISNUMBER(SEARCH(" "&amp;Task!$A$11&amp;" "," "&amp;LOWER(SUBSTITUTE(SUBSTITUTE(SUBSTITUTE(SUBSTITUTE(A348,"/"," "),"."," "),"\"," "),"_"," "))&amp;" ")),1,0))+IF(Task!$A$12="",0,IF(ISNUMBER(SEARCH(" "&amp;Task!$A$12&amp;" "," "&amp;LOWER(SUBSTITUTE(SUBSTITUTE(SUBSTITUTE(SUBSTITUTE(A348,"/"," "),"."," "),"\"," "),"_"," "))&amp;" ")),1,0))+IF(Task!$A$13="",0,IF(ISNUMBER(SEARCH(" "&amp;Task!$A$13&amp;" "," "&amp;LOWER(SUBSTITUTE(SUBSTITUTE(SUBSTITUTE(SUBSTITUTE(A348,"/"," "),"."," "),"\"," "),"_"," "))&amp;" ")),1,0))+IF(Task!$A$14="",0,IF(ISNUMBER(SEARCH(" "&amp;Task!$A$14&amp;" "," "&amp;LOWER(SUBSTITUTE(SUBSTITUTE(SUBSTITUTE(SUBSTITUTE(A348,"/"," "),"."," "),"\"," "),"_"," "))&amp;" ")),1,0))+IF(Task!$A$15="",0,IF(ISNUMBER(SEARCH(" "&amp;Task!$A$15&amp;" "," "&amp;LOWER(SUBSTITUTE(SUBSTITUTE(SUBSTITUTE(SUBSTITUTE(A348,"/"," "),"."," "),"\"," "),"_"," "))&amp;" ")),1,0))+IF(Task!$A$16="",0,IF(ISNUMBER(SEARCH(" "&amp;Task!$A$16&amp;" "," "&amp;LOWER(SUBSTITUTE(SUBSTITUTE(SUBSTITUTE(SUBSTITUTE(A348,"/"," "),"."," "),"\"," "),"_"," "))&amp;" ")),1,0))+IF(Task!$A$17="",0,IF(ISNUMBER(SEARCH(" "&amp;Task!$A$17&amp;" "," "&amp;LOWER(SUBSTITUTE(SUBSTITUTE(SUBSTITUTE(SUBSTITUTE(A348,"/"," "),"."," "),"\"," "),"_"," "))&amp;" ")),1,0))+IF(Task!$A$18="",0,IF(ISNUMBER(SEARCH(" "&amp;Task!$A$18&amp;" "," "&amp;LOWER(SUBSTITUTE(SUBSTITUTE(SUBSTITUTE(SUBSTITUTE(A348,"/"," "),"."," "),"\"," "),"_"," "))&amp;" ")),1,0))+IF(Task!$A$19="",0,IF(ISNUMBER(SEARCH(" "&amp;Task!$A$19&amp;" "," "&amp;LOWER(SUBSTITUTE(SUBSTITUTE(SUBSTITUTE(SUBSTITUTE(A348,"/"," "),"."," "),"\"," "),"_"," "))&amp;" ")),1,0)))</f>
        <v/>
      </c>
      <c r="I348" s="10">
        <f>IF(OR(E348=0,F348=0,Task!$B$21=0),"",F348/Task!$B$21+0.5*G348+0.25*H348)</f>
        <v/>
      </c>
      <c r="J348" s="5">
        <f>IF(I348="","",I348-ROW()/1000000)</f>
        <v/>
      </c>
      <c r="K348" s="9">
        <f>IF(J348="","",COUNTIF($J$5:$J$404,"&gt;"&amp;J348)+1)</f>
        <v/>
      </c>
    </row>
    <row r="349">
      <c r="A349" s="7" t="n"/>
      <c r="B349" s="7" t="n"/>
      <c r="C349" s="7" t="n"/>
      <c r="D349" s="7" t="n"/>
      <c r="E349" s="5">
        <f>IF(A349="",0,IF(COUNTA(Task!$B$5:$E$5)=0,1,IF(COUNTIF(Task!$B$5:$E$5,B349)&gt;0,1,0)))</f>
        <v/>
      </c>
      <c r="F349" s="9">
        <f>IF(E349=0,0,IF(Task!$A$8="",0,IF(ISNUMBER(SEARCH(" "&amp;Task!$A$8&amp;" "," "&amp;LOWER(D349&amp;" "&amp;C349&amp;" "&amp;LOWER(SUBSTITUTE(SUBSTITUTE(SUBSTITUTE(SUBSTITUTE(A349,"/"," "),"."," "),"\"," "),"_"," ")))&amp;" ")),1,0))+IF(Task!$A$9="",0,IF(ISNUMBER(SEARCH(" "&amp;Task!$A$9&amp;" "," "&amp;LOWER(D349&amp;" "&amp;C349&amp;" "&amp;LOWER(SUBSTITUTE(SUBSTITUTE(SUBSTITUTE(SUBSTITUTE(A349,"/"," "),"."," "),"\"," "),"_"," ")))&amp;" ")),1,0))+IF(Task!$A$10="",0,IF(ISNUMBER(SEARCH(" "&amp;Task!$A$10&amp;" "," "&amp;LOWER(D349&amp;" "&amp;C349&amp;" "&amp;LOWER(SUBSTITUTE(SUBSTITUTE(SUBSTITUTE(SUBSTITUTE(A349,"/"," "),"."," "),"\"," "),"_"," ")))&amp;" ")),1,0))+IF(Task!$A$11="",0,IF(ISNUMBER(SEARCH(" "&amp;Task!$A$11&amp;" "," "&amp;LOWER(D349&amp;" "&amp;C349&amp;" "&amp;LOWER(SUBSTITUTE(SUBSTITUTE(SUBSTITUTE(SUBSTITUTE(A349,"/"," "),"."," "),"\"," "),"_"," ")))&amp;" ")),1,0))+IF(Task!$A$12="",0,IF(ISNUMBER(SEARCH(" "&amp;Task!$A$12&amp;" "," "&amp;LOWER(D349&amp;" "&amp;C349&amp;" "&amp;LOWER(SUBSTITUTE(SUBSTITUTE(SUBSTITUTE(SUBSTITUTE(A349,"/"," "),"."," "),"\"," "),"_"," ")))&amp;" ")),1,0))+IF(Task!$A$13="",0,IF(ISNUMBER(SEARCH(" "&amp;Task!$A$13&amp;" "," "&amp;LOWER(D349&amp;" "&amp;C349&amp;" "&amp;LOWER(SUBSTITUTE(SUBSTITUTE(SUBSTITUTE(SUBSTITUTE(A349,"/"," "),"."," "),"\"," "),"_"," ")))&amp;" ")),1,0))+IF(Task!$A$14="",0,IF(ISNUMBER(SEARCH(" "&amp;Task!$A$14&amp;" "," "&amp;LOWER(D349&amp;" "&amp;C349&amp;" "&amp;LOWER(SUBSTITUTE(SUBSTITUTE(SUBSTITUTE(SUBSTITUTE(A349,"/"," "),"."," "),"\"," "),"_"," ")))&amp;" ")),1,0))+IF(Task!$A$15="",0,IF(ISNUMBER(SEARCH(" "&amp;Task!$A$15&amp;" "," "&amp;LOWER(D349&amp;" "&amp;C349&amp;" "&amp;LOWER(SUBSTITUTE(SUBSTITUTE(SUBSTITUTE(SUBSTITUTE(A349,"/"," "),"."," "),"\"," "),"_"," ")))&amp;" ")),1,0))+IF(Task!$A$16="",0,IF(ISNUMBER(SEARCH(" "&amp;Task!$A$16&amp;" "," "&amp;LOWER(D349&amp;" "&amp;C349&amp;" "&amp;LOWER(SUBSTITUTE(SUBSTITUTE(SUBSTITUTE(SUBSTITUTE(A349,"/"," "),"."," "),"\"," "),"_"," ")))&amp;" ")),1,0))+IF(Task!$A$17="",0,IF(ISNUMBER(SEARCH(" "&amp;Task!$A$17&amp;" "," "&amp;LOWER(D349&amp;" "&amp;C349&amp;" "&amp;LOWER(SUBSTITUTE(SUBSTITUTE(SUBSTITUTE(SUBSTITUTE(A349,"/"," "),"."," "),"\"," "),"_"," ")))&amp;" ")),1,0))+IF(Task!$A$18="",0,IF(ISNUMBER(SEARCH(" "&amp;Task!$A$18&amp;" "," "&amp;LOWER(D349&amp;" "&amp;C349&amp;" "&amp;LOWER(SUBSTITUTE(SUBSTITUTE(SUBSTITUTE(SUBSTITUTE(A349,"/"," "),"."," "),"\"," "),"_"," ")))&amp;" ")),1,0))+IF(Task!$A$19="",0,IF(ISNUMBER(SEARCH(" "&amp;Task!$A$19&amp;" "," "&amp;LOWER(D349&amp;" "&amp;C349&amp;" "&amp;LOWER(SUBSTITUTE(SUBSTITUTE(SUBSTITUTE(SUBSTITUTE(A349,"/"," "),"."," "),"\"," "),"_"," ")))&amp;" ")),1,0)))</f>
        <v/>
      </c>
      <c r="G349" s="9">
        <f>IF(E349=0,0,IF(Task!$A$8="",0,IF(ISNUMBER(SEARCH(" "&amp;Task!$A$8&amp;" "," "&amp;LOWER(C349)&amp;" ")),1,0))+IF(Task!$A$9="",0,IF(ISNUMBER(SEARCH(" "&amp;Task!$A$9&amp;" "," "&amp;LOWER(C349)&amp;" ")),1,0))+IF(Task!$A$10="",0,IF(ISNUMBER(SEARCH(" "&amp;Task!$A$10&amp;" "," "&amp;LOWER(C349)&amp;" ")),1,0))+IF(Task!$A$11="",0,IF(ISNUMBER(SEARCH(" "&amp;Task!$A$11&amp;" "," "&amp;LOWER(C349)&amp;" ")),1,0))+IF(Task!$A$12="",0,IF(ISNUMBER(SEARCH(" "&amp;Task!$A$12&amp;" "," "&amp;LOWER(C349)&amp;" ")),1,0))+IF(Task!$A$13="",0,IF(ISNUMBER(SEARCH(" "&amp;Task!$A$13&amp;" "," "&amp;LOWER(C349)&amp;" ")),1,0))+IF(Task!$A$14="",0,IF(ISNUMBER(SEARCH(" "&amp;Task!$A$14&amp;" "," "&amp;LOWER(C349)&amp;" ")),1,0))+IF(Task!$A$15="",0,IF(ISNUMBER(SEARCH(" "&amp;Task!$A$15&amp;" "," "&amp;LOWER(C349)&amp;" ")),1,0))+IF(Task!$A$16="",0,IF(ISNUMBER(SEARCH(" "&amp;Task!$A$16&amp;" "," "&amp;LOWER(C349)&amp;" ")),1,0))+IF(Task!$A$17="",0,IF(ISNUMBER(SEARCH(" "&amp;Task!$A$17&amp;" "," "&amp;LOWER(C349)&amp;" ")),1,0))+IF(Task!$A$18="",0,IF(ISNUMBER(SEARCH(" "&amp;Task!$A$18&amp;" "," "&amp;LOWER(C349)&amp;" ")),1,0))+IF(Task!$A$19="",0,IF(ISNUMBER(SEARCH(" "&amp;Task!$A$19&amp;" "," "&amp;LOWER(C349)&amp;" ")),1,0)))</f>
        <v/>
      </c>
      <c r="H349" s="9">
        <f>IF(E349=0,0,IF(Task!$A$8="",0,IF(ISNUMBER(SEARCH(" "&amp;Task!$A$8&amp;" "," "&amp;LOWER(SUBSTITUTE(SUBSTITUTE(SUBSTITUTE(SUBSTITUTE(A349,"/"," "),"."," "),"\"," "),"_"," "))&amp;" ")),1,0))+IF(Task!$A$9="",0,IF(ISNUMBER(SEARCH(" "&amp;Task!$A$9&amp;" "," "&amp;LOWER(SUBSTITUTE(SUBSTITUTE(SUBSTITUTE(SUBSTITUTE(A349,"/"," "),"."," "),"\"," "),"_"," "))&amp;" ")),1,0))+IF(Task!$A$10="",0,IF(ISNUMBER(SEARCH(" "&amp;Task!$A$10&amp;" "," "&amp;LOWER(SUBSTITUTE(SUBSTITUTE(SUBSTITUTE(SUBSTITUTE(A349,"/"," "),"."," "),"\"," "),"_"," "))&amp;" ")),1,0))+IF(Task!$A$11="",0,IF(ISNUMBER(SEARCH(" "&amp;Task!$A$11&amp;" "," "&amp;LOWER(SUBSTITUTE(SUBSTITUTE(SUBSTITUTE(SUBSTITUTE(A349,"/"," "),"."," "),"\"," "),"_"," "))&amp;" ")),1,0))+IF(Task!$A$12="",0,IF(ISNUMBER(SEARCH(" "&amp;Task!$A$12&amp;" "," "&amp;LOWER(SUBSTITUTE(SUBSTITUTE(SUBSTITUTE(SUBSTITUTE(A349,"/"," "),"."," "),"\"," "),"_"," "))&amp;" ")),1,0))+IF(Task!$A$13="",0,IF(ISNUMBER(SEARCH(" "&amp;Task!$A$13&amp;" "," "&amp;LOWER(SUBSTITUTE(SUBSTITUTE(SUBSTITUTE(SUBSTITUTE(A349,"/"," "),"."," "),"\"," "),"_"," "))&amp;" ")),1,0))+IF(Task!$A$14="",0,IF(ISNUMBER(SEARCH(" "&amp;Task!$A$14&amp;" "," "&amp;LOWER(SUBSTITUTE(SUBSTITUTE(SUBSTITUTE(SUBSTITUTE(A349,"/"," "),"."," "),"\"," "),"_"," "))&amp;" ")),1,0))+IF(Task!$A$15="",0,IF(ISNUMBER(SEARCH(" "&amp;Task!$A$15&amp;" "," "&amp;LOWER(SUBSTITUTE(SUBSTITUTE(SUBSTITUTE(SUBSTITUTE(A349,"/"," "),"."," "),"\"," "),"_"," "))&amp;" ")),1,0))+IF(Task!$A$16="",0,IF(ISNUMBER(SEARCH(" "&amp;Task!$A$16&amp;" "," "&amp;LOWER(SUBSTITUTE(SUBSTITUTE(SUBSTITUTE(SUBSTITUTE(A349,"/"," "),"."," "),"\"," "),"_"," "))&amp;" ")),1,0))+IF(Task!$A$17="",0,IF(ISNUMBER(SEARCH(" "&amp;Task!$A$17&amp;" "," "&amp;LOWER(SUBSTITUTE(SUBSTITUTE(SUBSTITUTE(SUBSTITUTE(A349,"/"," "),"."," "),"\"," "),"_"," "))&amp;" ")),1,0))+IF(Task!$A$18="",0,IF(ISNUMBER(SEARCH(" "&amp;Task!$A$18&amp;" "," "&amp;LOWER(SUBSTITUTE(SUBSTITUTE(SUBSTITUTE(SUBSTITUTE(A349,"/"," "),"."," "),"\"," "),"_"," "))&amp;" ")),1,0))+IF(Task!$A$19="",0,IF(ISNUMBER(SEARCH(" "&amp;Task!$A$19&amp;" "," "&amp;LOWER(SUBSTITUTE(SUBSTITUTE(SUBSTITUTE(SUBSTITUTE(A349,"/"," "),"."," "),"\"," "),"_"," "))&amp;" ")),1,0)))</f>
        <v/>
      </c>
      <c r="I349" s="10">
        <f>IF(OR(E349=0,F349=0,Task!$B$21=0),"",F349/Task!$B$21+0.5*G349+0.25*H349)</f>
        <v/>
      </c>
      <c r="J349" s="5">
        <f>IF(I349="","",I349-ROW()/1000000)</f>
        <v/>
      </c>
      <c r="K349" s="9">
        <f>IF(J349="","",COUNTIF($J$5:$J$404,"&gt;"&amp;J349)+1)</f>
        <v/>
      </c>
    </row>
    <row r="350">
      <c r="A350" s="7" t="n"/>
      <c r="B350" s="7" t="n"/>
      <c r="C350" s="7" t="n"/>
      <c r="D350" s="7" t="n"/>
      <c r="E350" s="5">
        <f>IF(A350="",0,IF(COUNTA(Task!$B$5:$E$5)=0,1,IF(COUNTIF(Task!$B$5:$E$5,B350)&gt;0,1,0)))</f>
        <v/>
      </c>
      <c r="F350" s="9">
        <f>IF(E350=0,0,IF(Task!$A$8="",0,IF(ISNUMBER(SEARCH(" "&amp;Task!$A$8&amp;" "," "&amp;LOWER(D350&amp;" "&amp;C350&amp;" "&amp;LOWER(SUBSTITUTE(SUBSTITUTE(SUBSTITUTE(SUBSTITUTE(A350,"/"," "),"."," "),"\"," "),"_"," ")))&amp;" ")),1,0))+IF(Task!$A$9="",0,IF(ISNUMBER(SEARCH(" "&amp;Task!$A$9&amp;" "," "&amp;LOWER(D350&amp;" "&amp;C350&amp;" "&amp;LOWER(SUBSTITUTE(SUBSTITUTE(SUBSTITUTE(SUBSTITUTE(A350,"/"," "),"."," "),"\"," "),"_"," ")))&amp;" ")),1,0))+IF(Task!$A$10="",0,IF(ISNUMBER(SEARCH(" "&amp;Task!$A$10&amp;" "," "&amp;LOWER(D350&amp;" "&amp;C350&amp;" "&amp;LOWER(SUBSTITUTE(SUBSTITUTE(SUBSTITUTE(SUBSTITUTE(A350,"/"," "),"."," "),"\"," "),"_"," ")))&amp;" ")),1,0))+IF(Task!$A$11="",0,IF(ISNUMBER(SEARCH(" "&amp;Task!$A$11&amp;" "," "&amp;LOWER(D350&amp;" "&amp;C350&amp;" "&amp;LOWER(SUBSTITUTE(SUBSTITUTE(SUBSTITUTE(SUBSTITUTE(A350,"/"," "),"."," "),"\"," "),"_"," ")))&amp;" ")),1,0))+IF(Task!$A$12="",0,IF(ISNUMBER(SEARCH(" "&amp;Task!$A$12&amp;" "," "&amp;LOWER(D350&amp;" "&amp;C350&amp;" "&amp;LOWER(SUBSTITUTE(SUBSTITUTE(SUBSTITUTE(SUBSTITUTE(A350,"/"," "),"."," "),"\"," "),"_"," ")))&amp;" ")),1,0))+IF(Task!$A$13="",0,IF(ISNUMBER(SEARCH(" "&amp;Task!$A$13&amp;" "," "&amp;LOWER(D350&amp;" "&amp;C350&amp;" "&amp;LOWER(SUBSTITUTE(SUBSTITUTE(SUBSTITUTE(SUBSTITUTE(A350,"/"," "),"."," "),"\"," "),"_"," ")))&amp;" ")),1,0))+IF(Task!$A$14="",0,IF(ISNUMBER(SEARCH(" "&amp;Task!$A$14&amp;" "," "&amp;LOWER(D350&amp;" "&amp;C350&amp;" "&amp;LOWER(SUBSTITUTE(SUBSTITUTE(SUBSTITUTE(SUBSTITUTE(A350,"/"," "),"."," "),"\"," "),"_"," ")))&amp;" ")),1,0))+IF(Task!$A$15="",0,IF(ISNUMBER(SEARCH(" "&amp;Task!$A$15&amp;" "," "&amp;LOWER(D350&amp;" "&amp;C350&amp;" "&amp;LOWER(SUBSTITUTE(SUBSTITUTE(SUBSTITUTE(SUBSTITUTE(A350,"/"," "),"."," "),"\"," "),"_"," ")))&amp;" ")),1,0))+IF(Task!$A$16="",0,IF(ISNUMBER(SEARCH(" "&amp;Task!$A$16&amp;" "," "&amp;LOWER(D350&amp;" "&amp;C350&amp;" "&amp;LOWER(SUBSTITUTE(SUBSTITUTE(SUBSTITUTE(SUBSTITUTE(A350,"/"," "),"."," "),"\"," "),"_"," ")))&amp;" ")),1,0))+IF(Task!$A$17="",0,IF(ISNUMBER(SEARCH(" "&amp;Task!$A$17&amp;" "," "&amp;LOWER(D350&amp;" "&amp;C350&amp;" "&amp;LOWER(SUBSTITUTE(SUBSTITUTE(SUBSTITUTE(SUBSTITUTE(A350,"/"," "),"."," "),"\"," "),"_"," ")))&amp;" ")),1,0))+IF(Task!$A$18="",0,IF(ISNUMBER(SEARCH(" "&amp;Task!$A$18&amp;" "," "&amp;LOWER(D350&amp;" "&amp;C350&amp;" "&amp;LOWER(SUBSTITUTE(SUBSTITUTE(SUBSTITUTE(SUBSTITUTE(A350,"/"," "),"."," "),"\"," "),"_"," ")))&amp;" ")),1,0))+IF(Task!$A$19="",0,IF(ISNUMBER(SEARCH(" "&amp;Task!$A$19&amp;" "," "&amp;LOWER(D350&amp;" "&amp;C350&amp;" "&amp;LOWER(SUBSTITUTE(SUBSTITUTE(SUBSTITUTE(SUBSTITUTE(A350,"/"," "),"."," "),"\"," "),"_"," ")))&amp;" ")),1,0)))</f>
        <v/>
      </c>
      <c r="G350" s="9">
        <f>IF(E350=0,0,IF(Task!$A$8="",0,IF(ISNUMBER(SEARCH(" "&amp;Task!$A$8&amp;" "," "&amp;LOWER(C350)&amp;" ")),1,0))+IF(Task!$A$9="",0,IF(ISNUMBER(SEARCH(" "&amp;Task!$A$9&amp;" "," "&amp;LOWER(C350)&amp;" ")),1,0))+IF(Task!$A$10="",0,IF(ISNUMBER(SEARCH(" "&amp;Task!$A$10&amp;" "," "&amp;LOWER(C350)&amp;" ")),1,0))+IF(Task!$A$11="",0,IF(ISNUMBER(SEARCH(" "&amp;Task!$A$11&amp;" "," "&amp;LOWER(C350)&amp;" ")),1,0))+IF(Task!$A$12="",0,IF(ISNUMBER(SEARCH(" "&amp;Task!$A$12&amp;" "," "&amp;LOWER(C350)&amp;" ")),1,0))+IF(Task!$A$13="",0,IF(ISNUMBER(SEARCH(" "&amp;Task!$A$13&amp;" "," "&amp;LOWER(C350)&amp;" ")),1,0))+IF(Task!$A$14="",0,IF(ISNUMBER(SEARCH(" "&amp;Task!$A$14&amp;" "," "&amp;LOWER(C350)&amp;" ")),1,0))+IF(Task!$A$15="",0,IF(ISNUMBER(SEARCH(" "&amp;Task!$A$15&amp;" "," "&amp;LOWER(C350)&amp;" ")),1,0))+IF(Task!$A$16="",0,IF(ISNUMBER(SEARCH(" "&amp;Task!$A$16&amp;" "," "&amp;LOWER(C350)&amp;" ")),1,0))+IF(Task!$A$17="",0,IF(ISNUMBER(SEARCH(" "&amp;Task!$A$17&amp;" "," "&amp;LOWER(C350)&amp;" ")),1,0))+IF(Task!$A$18="",0,IF(ISNUMBER(SEARCH(" "&amp;Task!$A$18&amp;" "," "&amp;LOWER(C350)&amp;" ")),1,0))+IF(Task!$A$19="",0,IF(ISNUMBER(SEARCH(" "&amp;Task!$A$19&amp;" "," "&amp;LOWER(C350)&amp;" ")),1,0)))</f>
        <v/>
      </c>
      <c r="H350" s="9">
        <f>IF(E350=0,0,IF(Task!$A$8="",0,IF(ISNUMBER(SEARCH(" "&amp;Task!$A$8&amp;" "," "&amp;LOWER(SUBSTITUTE(SUBSTITUTE(SUBSTITUTE(SUBSTITUTE(A350,"/"," "),"."," "),"\"," "),"_"," "))&amp;" ")),1,0))+IF(Task!$A$9="",0,IF(ISNUMBER(SEARCH(" "&amp;Task!$A$9&amp;" "," "&amp;LOWER(SUBSTITUTE(SUBSTITUTE(SUBSTITUTE(SUBSTITUTE(A350,"/"," "),"."," "),"\"," "),"_"," "))&amp;" ")),1,0))+IF(Task!$A$10="",0,IF(ISNUMBER(SEARCH(" "&amp;Task!$A$10&amp;" "," "&amp;LOWER(SUBSTITUTE(SUBSTITUTE(SUBSTITUTE(SUBSTITUTE(A350,"/"," "),"."," "),"\"," "),"_"," "))&amp;" ")),1,0))+IF(Task!$A$11="",0,IF(ISNUMBER(SEARCH(" "&amp;Task!$A$11&amp;" "," "&amp;LOWER(SUBSTITUTE(SUBSTITUTE(SUBSTITUTE(SUBSTITUTE(A350,"/"," "),"."," "),"\"," "),"_"," "))&amp;" ")),1,0))+IF(Task!$A$12="",0,IF(ISNUMBER(SEARCH(" "&amp;Task!$A$12&amp;" "," "&amp;LOWER(SUBSTITUTE(SUBSTITUTE(SUBSTITUTE(SUBSTITUTE(A350,"/"," "),"."," "),"\"," "),"_"," "))&amp;" ")),1,0))+IF(Task!$A$13="",0,IF(ISNUMBER(SEARCH(" "&amp;Task!$A$13&amp;" "," "&amp;LOWER(SUBSTITUTE(SUBSTITUTE(SUBSTITUTE(SUBSTITUTE(A350,"/"," "),"."," "),"\"," "),"_"," "))&amp;" ")),1,0))+IF(Task!$A$14="",0,IF(ISNUMBER(SEARCH(" "&amp;Task!$A$14&amp;" "," "&amp;LOWER(SUBSTITUTE(SUBSTITUTE(SUBSTITUTE(SUBSTITUTE(A350,"/"," "),"."," "),"\"," "),"_"," "))&amp;" ")),1,0))+IF(Task!$A$15="",0,IF(ISNUMBER(SEARCH(" "&amp;Task!$A$15&amp;" "," "&amp;LOWER(SUBSTITUTE(SUBSTITUTE(SUBSTITUTE(SUBSTITUTE(A350,"/"," "),"."," "),"\"," "),"_"," "))&amp;" ")),1,0))+IF(Task!$A$16="",0,IF(ISNUMBER(SEARCH(" "&amp;Task!$A$16&amp;" "," "&amp;LOWER(SUBSTITUTE(SUBSTITUTE(SUBSTITUTE(SUBSTITUTE(A350,"/"," "),"."," "),"\"," "),"_"," "))&amp;" ")),1,0))+IF(Task!$A$17="",0,IF(ISNUMBER(SEARCH(" "&amp;Task!$A$17&amp;" "," "&amp;LOWER(SUBSTITUTE(SUBSTITUTE(SUBSTITUTE(SUBSTITUTE(A350,"/"," "),"."," "),"\"," "),"_"," "))&amp;" ")),1,0))+IF(Task!$A$18="",0,IF(ISNUMBER(SEARCH(" "&amp;Task!$A$18&amp;" "," "&amp;LOWER(SUBSTITUTE(SUBSTITUTE(SUBSTITUTE(SUBSTITUTE(A350,"/"," "),"."," "),"\"," "),"_"," "))&amp;" ")),1,0))+IF(Task!$A$19="",0,IF(ISNUMBER(SEARCH(" "&amp;Task!$A$19&amp;" "," "&amp;LOWER(SUBSTITUTE(SUBSTITUTE(SUBSTITUTE(SUBSTITUTE(A350,"/"," "),"."," "),"\"," "),"_"," "))&amp;" ")),1,0)))</f>
        <v/>
      </c>
      <c r="I350" s="10">
        <f>IF(OR(E350=0,F350=0,Task!$B$21=0),"",F350/Task!$B$21+0.5*G350+0.25*H350)</f>
        <v/>
      </c>
      <c r="J350" s="5">
        <f>IF(I350="","",I350-ROW()/1000000)</f>
        <v/>
      </c>
      <c r="K350" s="9">
        <f>IF(J350="","",COUNTIF($J$5:$J$404,"&gt;"&amp;J350)+1)</f>
        <v/>
      </c>
    </row>
    <row r="351">
      <c r="A351" s="7" t="n"/>
      <c r="B351" s="7" t="n"/>
      <c r="C351" s="7" t="n"/>
      <c r="D351" s="7" t="n"/>
      <c r="E351" s="5">
        <f>IF(A351="",0,IF(COUNTA(Task!$B$5:$E$5)=0,1,IF(COUNTIF(Task!$B$5:$E$5,B351)&gt;0,1,0)))</f>
        <v/>
      </c>
      <c r="F351" s="9">
        <f>IF(E351=0,0,IF(Task!$A$8="",0,IF(ISNUMBER(SEARCH(" "&amp;Task!$A$8&amp;" "," "&amp;LOWER(D351&amp;" "&amp;C351&amp;" "&amp;LOWER(SUBSTITUTE(SUBSTITUTE(SUBSTITUTE(SUBSTITUTE(A351,"/"," "),"."," "),"\"," "),"_"," ")))&amp;" ")),1,0))+IF(Task!$A$9="",0,IF(ISNUMBER(SEARCH(" "&amp;Task!$A$9&amp;" "," "&amp;LOWER(D351&amp;" "&amp;C351&amp;" "&amp;LOWER(SUBSTITUTE(SUBSTITUTE(SUBSTITUTE(SUBSTITUTE(A351,"/"," "),"."," "),"\"," "),"_"," ")))&amp;" ")),1,0))+IF(Task!$A$10="",0,IF(ISNUMBER(SEARCH(" "&amp;Task!$A$10&amp;" "," "&amp;LOWER(D351&amp;" "&amp;C351&amp;" "&amp;LOWER(SUBSTITUTE(SUBSTITUTE(SUBSTITUTE(SUBSTITUTE(A351,"/"," "),"."," "),"\"," "),"_"," ")))&amp;" ")),1,0))+IF(Task!$A$11="",0,IF(ISNUMBER(SEARCH(" "&amp;Task!$A$11&amp;" "," "&amp;LOWER(D351&amp;" "&amp;C351&amp;" "&amp;LOWER(SUBSTITUTE(SUBSTITUTE(SUBSTITUTE(SUBSTITUTE(A351,"/"," "),"."," "),"\"," "),"_"," ")))&amp;" ")),1,0))+IF(Task!$A$12="",0,IF(ISNUMBER(SEARCH(" "&amp;Task!$A$12&amp;" "," "&amp;LOWER(D351&amp;" "&amp;C351&amp;" "&amp;LOWER(SUBSTITUTE(SUBSTITUTE(SUBSTITUTE(SUBSTITUTE(A351,"/"," "),"."," "),"\"," "),"_"," ")))&amp;" ")),1,0))+IF(Task!$A$13="",0,IF(ISNUMBER(SEARCH(" "&amp;Task!$A$13&amp;" "," "&amp;LOWER(D351&amp;" "&amp;C351&amp;" "&amp;LOWER(SUBSTITUTE(SUBSTITUTE(SUBSTITUTE(SUBSTITUTE(A351,"/"," "),"."," "),"\"," "),"_"," ")))&amp;" ")),1,0))+IF(Task!$A$14="",0,IF(ISNUMBER(SEARCH(" "&amp;Task!$A$14&amp;" "," "&amp;LOWER(D351&amp;" "&amp;C351&amp;" "&amp;LOWER(SUBSTITUTE(SUBSTITUTE(SUBSTITUTE(SUBSTITUTE(A351,"/"," "),"."," "),"\"," "),"_"," ")))&amp;" ")),1,0))+IF(Task!$A$15="",0,IF(ISNUMBER(SEARCH(" "&amp;Task!$A$15&amp;" "," "&amp;LOWER(D351&amp;" "&amp;C351&amp;" "&amp;LOWER(SUBSTITUTE(SUBSTITUTE(SUBSTITUTE(SUBSTITUTE(A351,"/"," "),"."," "),"\"," "),"_"," ")))&amp;" ")),1,0))+IF(Task!$A$16="",0,IF(ISNUMBER(SEARCH(" "&amp;Task!$A$16&amp;" "," "&amp;LOWER(D351&amp;" "&amp;C351&amp;" "&amp;LOWER(SUBSTITUTE(SUBSTITUTE(SUBSTITUTE(SUBSTITUTE(A351,"/"," "),"."," "),"\"," "),"_"," ")))&amp;" ")),1,0))+IF(Task!$A$17="",0,IF(ISNUMBER(SEARCH(" "&amp;Task!$A$17&amp;" "," "&amp;LOWER(D351&amp;" "&amp;C351&amp;" "&amp;LOWER(SUBSTITUTE(SUBSTITUTE(SUBSTITUTE(SUBSTITUTE(A351,"/"," "),"."," "),"\"," "),"_"," ")))&amp;" ")),1,0))+IF(Task!$A$18="",0,IF(ISNUMBER(SEARCH(" "&amp;Task!$A$18&amp;" "," "&amp;LOWER(D351&amp;" "&amp;C351&amp;" "&amp;LOWER(SUBSTITUTE(SUBSTITUTE(SUBSTITUTE(SUBSTITUTE(A351,"/"," "),"."," "),"\"," "),"_"," ")))&amp;" ")),1,0))+IF(Task!$A$19="",0,IF(ISNUMBER(SEARCH(" "&amp;Task!$A$19&amp;" "," "&amp;LOWER(D351&amp;" "&amp;C351&amp;" "&amp;LOWER(SUBSTITUTE(SUBSTITUTE(SUBSTITUTE(SUBSTITUTE(A351,"/"," "),"."," "),"\"," "),"_"," ")))&amp;" ")),1,0)))</f>
        <v/>
      </c>
      <c r="G351" s="9">
        <f>IF(E351=0,0,IF(Task!$A$8="",0,IF(ISNUMBER(SEARCH(" "&amp;Task!$A$8&amp;" "," "&amp;LOWER(C351)&amp;" ")),1,0))+IF(Task!$A$9="",0,IF(ISNUMBER(SEARCH(" "&amp;Task!$A$9&amp;" "," "&amp;LOWER(C351)&amp;" ")),1,0))+IF(Task!$A$10="",0,IF(ISNUMBER(SEARCH(" "&amp;Task!$A$10&amp;" "," "&amp;LOWER(C351)&amp;" ")),1,0))+IF(Task!$A$11="",0,IF(ISNUMBER(SEARCH(" "&amp;Task!$A$11&amp;" "," "&amp;LOWER(C351)&amp;" ")),1,0))+IF(Task!$A$12="",0,IF(ISNUMBER(SEARCH(" "&amp;Task!$A$12&amp;" "," "&amp;LOWER(C351)&amp;" ")),1,0))+IF(Task!$A$13="",0,IF(ISNUMBER(SEARCH(" "&amp;Task!$A$13&amp;" "," "&amp;LOWER(C351)&amp;" ")),1,0))+IF(Task!$A$14="",0,IF(ISNUMBER(SEARCH(" "&amp;Task!$A$14&amp;" "," "&amp;LOWER(C351)&amp;" ")),1,0))+IF(Task!$A$15="",0,IF(ISNUMBER(SEARCH(" "&amp;Task!$A$15&amp;" "," "&amp;LOWER(C351)&amp;" ")),1,0))+IF(Task!$A$16="",0,IF(ISNUMBER(SEARCH(" "&amp;Task!$A$16&amp;" "," "&amp;LOWER(C351)&amp;" ")),1,0))+IF(Task!$A$17="",0,IF(ISNUMBER(SEARCH(" "&amp;Task!$A$17&amp;" "," "&amp;LOWER(C351)&amp;" ")),1,0))+IF(Task!$A$18="",0,IF(ISNUMBER(SEARCH(" "&amp;Task!$A$18&amp;" "," "&amp;LOWER(C351)&amp;" ")),1,0))+IF(Task!$A$19="",0,IF(ISNUMBER(SEARCH(" "&amp;Task!$A$19&amp;" "," "&amp;LOWER(C351)&amp;" ")),1,0)))</f>
        <v/>
      </c>
      <c r="H351" s="9">
        <f>IF(E351=0,0,IF(Task!$A$8="",0,IF(ISNUMBER(SEARCH(" "&amp;Task!$A$8&amp;" "," "&amp;LOWER(SUBSTITUTE(SUBSTITUTE(SUBSTITUTE(SUBSTITUTE(A351,"/"," "),"."," "),"\"," "),"_"," "))&amp;" ")),1,0))+IF(Task!$A$9="",0,IF(ISNUMBER(SEARCH(" "&amp;Task!$A$9&amp;" "," "&amp;LOWER(SUBSTITUTE(SUBSTITUTE(SUBSTITUTE(SUBSTITUTE(A351,"/"," "),"."," "),"\"," "),"_"," "))&amp;" ")),1,0))+IF(Task!$A$10="",0,IF(ISNUMBER(SEARCH(" "&amp;Task!$A$10&amp;" "," "&amp;LOWER(SUBSTITUTE(SUBSTITUTE(SUBSTITUTE(SUBSTITUTE(A351,"/"," "),"."," "),"\"," "),"_"," "))&amp;" ")),1,0))+IF(Task!$A$11="",0,IF(ISNUMBER(SEARCH(" "&amp;Task!$A$11&amp;" "," "&amp;LOWER(SUBSTITUTE(SUBSTITUTE(SUBSTITUTE(SUBSTITUTE(A351,"/"," "),"."," "),"\"," "),"_"," "))&amp;" ")),1,0))+IF(Task!$A$12="",0,IF(ISNUMBER(SEARCH(" "&amp;Task!$A$12&amp;" "," "&amp;LOWER(SUBSTITUTE(SUBSTITUTE(SUBSTITUTE(SUBSTITUTE(A351,"/"," "),"."," "),"\"," "),"_"," "))&amp;" ")),1,0))+IF(Task!$A$13="",0,IF(ISNUMBER(SEARCH(" "&amp;Task!$A$13&amp;" "," "&amp;LOWER(SUBSTITUTE(SUBSTITUTE(SUBSTITUTE(SUBSTITUTE(A351,"/"," "),"."," "),"\"," "),"_"," "))&amp;" ")),1,0))+IF(Task!$A$14="",0,IF(ISNUMBER(SEARCH(" "&amp;Task!$A$14&amp;" "," "&amp;LOWER(SUBSTITUTE(SUBSTITUTE(SUBSTITUTE(SUBSTITUTE(A351,"/"," "),"."," "),"\"," "),"_"," "))&amp;" ")),1,0))+IF(Task!$A$15="",0,IF(ISNUMBER(SEARCH(" "&amp;Task!$A$15&amp;" "," "&amp;LOWER(SUBSTITUTE(SUBSTITUTE(SUBSTITUTE(SUBSTITUTE(A351,"/"," "),"."," "),"\"," "),"_"," "))&amp;" ")),1,0))+IF(Task!$A$16="",0,IF(ISNUMBER(SEARCH(" "&amp;Task!$A$16&amp;" "," "&amp;LOWER(SUBSTITUTE(SUBSTITUTE(SUBSTITUTE(SUBSTITUTE(A351,"/"," "),"."," "),"\"," "),"_"," "))&amp;" ")),1,0))+IF(Task!$A$17="",0,IF(ISNUMBER(SEARCH(" "&amp;Task!$A$17&amp;" "," "&amp;LOWER(SUBSTITUTE(SUBSTITUTE(SUBSTITUTE(SUBSTITUTE(A351,"/"," "),"."," "),"\"," "),"_"," "))&amp;" ")),1,0))+IF(Task!$A$18="",0,IF(ISNUMBER(SEARCH(" "&amp;Task!$A$18&amp;" "," "&amp;LOWER(SUBSTITUTE(SUBSTITUTE(SUBSTITUTE(SUBSTITUTE(A351,"/"," "),"."," "),"\"," "),"_"," "))&amp;" ")),1,0))+IF(Task!$A$19="",0,IF(ISNUMBER(SEARCH(" "&amp;Task!$A$19&amp;" "," "&amp;LOWER(SUBSTITUTE(SUBSTITUTE(SUBSTITUTE(SUBSTITUTE(A351,"/"," "),"."," "),"\"," "),"_"," "))&amp;" ")),1,0)))</f>
        <v/>
      </c>
      <c r="I351" s="10">
        <f>IF(OR(E351=0,F351=0,Task!$B$21=0),"",F351/Task!$B$21+0.5*G351+0.25*H351)</f>
        <v/>
      </c>
      <c r="J351" s="5">
        <f>IF(I351="","",I351-ROW()/1000000)</f>
        <v/>
      </c>
      <c r="K351" s="9">
        <f>IF(J351="","",COUNTIF($J$5:$J$404,"&gt;"&amp;J351)+1)</f>
        <v/>
      </c>
    </row>
    <row r="352">
      <c r="A352" s="7" t="n"/>
      <c r="B352" s="7" t="n"/>
      <c r="C352" s="7" t="n"/>
      <c r="D352" s="7" t="n"/>
      <c r="E352" s="5">
        <f>IF(A352="",0,IF(COUNTA(Task!$B$5:$E$5)=0,1,IF(COUNTIF(Task!$B$5:$E$5,B352)&gt;0,1,0)))</f>
        <v/>
      </c>
      <c r="F352" s="9">
        <f>IF(E352=0,0,IF(Task!$A$8="",0,IF(ISNUMBER(SEARCH(" "&amp;Task!$A$8&amp;" "," "&amp;LOWER(D352&amp;" "&amp;C352&amp;" "&amp;LOWER(SUBSTITUTE(SUBSTITUTE(SUBSTITUTE(SUBSTITUTE(A352,"/"," "),"."," "),"\"," "),"_"," ")))&amp;" ")),1,0))+IF(Task!$A$9="",0,IF(ISNUMBER(SEARCH(" "&amp;Task!$A$9&amp;" "," "&amp;LOWER(D352&amp;" "&amp;C352&amp;" "&amp;LOWER(SUBSTITUTE(SUBSTITUTE(SUBSTITUTE(SUBSTITUTE(A352,"/"," "),"."," "),"\"," "),"_"," ")))&amp;" ")),1,0))+IF(Task!$A$10="",0,IF(ISNUMBER(SEARCH(" "&amp;Task!$A$10&amp;" "," "&amp;LOWER(D352&amp;" "&amp;C352&amp;" "&amp;LOWER(SUBSTITUTE(SUBSTITUTE(SUBSTITUTE(SUBSTITUTE(A352,"/"," "),"."," "),"\"," "),"_"," ")))&amp;" ")),1,0))+IF(Task!$A$11="",0,IF(ISNUMBER(SEARCH(" "&amp;Task!$A$11&amp;" "," "&amp;LOWER(D352&amp;" "&amp;C352&amp;" "&amp;LOWER(SUBSTITUTE(SUBSTITUTE(SUBSTITUTE(SUBSTITUTE(A352,"/"," "),"."," "),"\"," "),"_"," ")))&amp;" ")),1,0))+IF(Task!$A$12="",0,IF(ISNUMBER(SEARCH(" "&amp;Task!$A$12&amp;" "," "&amp;LOWER(D352&amp;" "&amp;C352&amp;" "&amp;LOWER(SUBSTITUTE(SUBSTITUTE(SUBSTITUTE(SUBSTITUTE(A352,"/"," "),"."," "),"\"," "),"_"," ")))&amp;" ")),1,0))+IF(Task!$A$13="",0,IF(ISNUMBER(SEARCH(" "&amp;Task!$A$13&amp;" "," "&amp;LOWER(D352&amp;" "&amp;C352&amp;" "&amp;LOWER(SUBSTITUTE(SUBSTITUTE(SUBSTITUTE(SUBSTITUTE(A352,"/"," "),"."," "),"\"," "),"_"," ")))&amp;" ")),1,0))+IF(Task!$A$14="",0,IF(ISNUMBER(SEARCH(" "&amp;Task!$A$14&amp;" "," "&amp;LOWER(D352&amp;" "&amp;C352&amp;" "&amp;LOWER(SUBSTITUTE(SUBSTITUTE(SUBSTITUTE(SUBSTITUTE(A352,"/"," "),"."," "),"\"," "),"_"," ")))&amp;" ")),1,0))+IF(Task!$A$15="",0,IF(ISNUMBER(SEARCH(" "&amp;Task!$A$15&amp;" "," "&amp;LOWER(D352&amp;" "&amp;C352&amp;" "&amp;LOWER(SUBSTITUTE(SUBSTITUTE(SUBSTITUTE(SUBSTITUTE(A352,"/"," "),"."," "),"\"," "),"_"," ")))&amp;" ")),1,0))+IF(Task!$A$16="",0,IF(ISNUMBER(SEARCH(" "&amp;Task!$A$16&amp;" "," "&amp;LOWER(D352&amp;" "&amp;C352&amp;" "&amp;LOWER(SUBSTITUTE(SUBSTITUTE(SUBSTITUTE(SUBSTITUTE(A352,"/"," "),"."," "),"\"," "),"_"," ")))&amp;" ")),1,0))+IF(Task!$A$17="",0,IF(ISNUMBER(SEARCH(" "&amp;Task!$A$17&amp;" "," "&amp;LOWER(D352&amp;" "&amp;C352&amp;" "&amp;LOWER(SUBSTITUTE(SUBSTITUTE(SUBSTITUTE(SUBSTITUTE(A352,"/"," "),"."," "),"\"," "),"_"," ")))&amp;" ")),1,0))+IF(Task!$A$18="",0,IF(ISNUMBER(SEARCH(" "&amp;Task!$A$18&amp;" "," "&amp;LOWER(D352&amp;" "&amp;C352&amp;" "&amp;LOWER(SUBSTITUTE(SUBSTITUTE(SUBSTITUTE(SUBSTITUTE(A352,"/"," "),"."," "),"\"," "),"_"," ")))&amp;" ")),1,0))+IF(Task!$A$19="",0,IF(ISNUMBER(SEARCH(" "&amp;Task!$A$19&amp;" "," "&amp;LOWER(D352&amp;" "&amp;C352&amp;" "&amp;LOWER(SUBSTITUTE(SUBSTITUTE(SUBSTITUTE(SUBSTITUTE(A352,"/"," "),"."," "),"\"," "),"_"," ")))&amp;" ")),1,0)))</f>
        <v/>
      </c>
      <c r="G352" s="9">
        <f>IF(E352=0,0,IF(Task!$A$8="",0,IF(ISNUMBER(SEARCH(" "&amp;Task!$A$8&amp;" "," "&amp;LOWER(C352)&amp;" ")),1,0))+IF(Task!$A$9="",0,IF(ISNUMBER(SEARCH(" "&amp;Task!$A$9&amp;" "," "&amp;LOWER(C352)&amp;" ")),1,0))+IF(Task!$A$10="",0,IF(ISNUMBER(SEARCH(" "&amp;Task!$A$10&amp;" "," "&amp;LOWER(C352)&amp;" ")),1,0))+IF(Task!$A$11="",0,IF(ISNUMBER(SEARCH(" "&amp;Task!$A$11&amp;" "," "&amp;LOWER(C352)&amp;" ")),1,0))+IF(Task!$A$12="",0,IF(ISNUMBER(SEARCH(" "&amp;Task!$A$12&amp;" "," "&amp;LOWER(C352)&amp;" ")),1,0))+IF(Task!$A$13="",0,IF(ISNUMBER(SEARCH(" "&amp;Task!$A$13&amp;" "," "&amp;LOWER(C352)&amp;" ")),1,0))+IF(Task!$A$14="",0,IF(ISNUMBER(SEARCH(" "&amp;Task!$A$14&amp;" "," "&amp;LOWER(C352)&amp;" ")),1,0))+IF(Task!$A$15="",0,IF(ISNUMBER(SEARCH(" "&amp;Task!$A$15&amp;" "," "&amp;LOWER(C352)&amp;" ")),1,0))+IF(Task!$A$16="",0,IF(ISNUMBER(SEARCH(" "&amp;Task!$A$16&amp;" "," "&amp;LOWER(C352)&amp;" ")),1,0))+IF(Task!$A$17="",0,IF(ISNUMBER(SEARCH(" "&amp;Task!$A$17&amp;" "," "&amp;LOWER(C352)&amp;" ")),1,0))+IF(Task!$A$18="",0,IF(ISNUMBER(SEARCH(" "&amp;Task!$A$18&amp;" "," "&amp;LOWER(C352)&amp;" ")),1,0))+IF(Task!$A$19="",0,IF(ISNUMBER(SEARCH(" "&amp;Task!$A$19&amp;" "," "&amp;LOWER(C352)&amp;" ")),1,0)))</f>
        <v/>
      </c>
      <c r="H352" s="9">
        <f>IF(E352=0,0,IF(Task!$A$8="",0,IF(ISNUMBER(SEARCH(" "&amp;Task!$A$8&amp;" "," "&amp;LOWER(SUBSTITUTE(SUBSTITUTE(SUBSTITUTE(SUBSTITUTE(A352,"/"," "),"."," "),"\"," "),"_"," "))&amp;" ")),1,0))+IF(Task!$A$9="",0,IF(ISNUMBER(SEARCH(" "&amp;Task!$A$9&amp;" "," "&amp;LOWER(SUBSTITUTE(SUBSTITUTE(SUBSTITUTE(SUBSTITUTE(A352,"/"," "),"."," "),"\"," "),"_"," "))&amp;" ")),1,0))+IF(Task!$A$10="",0,IF(ISNUMBER(SEARCH(" "&amp;Task!$A$10&amp;" "," "&amp;LOWER(SUBSTITUTE(SUBSTITUTE(SUBSTITUTE(SUBSTITUTE(A352,"/"," "),"."," "),"\"," "),"_"," "))&amp;" ")),1,0))+IF(Task!$A$11="",0,IF(ISNUMBER(SEARCH(" "&amp;Task!$A$11&amp;" "," "&amp;LOWER(SUBSTITUTE(SUBSTITUTE(SUBSTITUTE(SUBSTITUTE(A352,"/"," "),"."," "),"\"," "),"_"," "))&amp;" ")),1,0))+IF(Task!$A$12="",0,IF(ISNUMBER(SEARCH(" "&amp;Task!$A$12&amp;" "," "&amp;LOWER(SUBSTITUTE(SUBSTITUTE(SUBSTITUTE(SUBSTITUTE(A352,"/"," "),"."," "),"\"," "),"_"," "))&amp;" ")),1,0))+IF(Task!$A$13="",0,IF(ISNUMBER(SEARCH(" "&amp;Task!$A$13&amp;" "," "&amp;LOWER(SUBSTITUTE(SUBSTITUTE(SUBSTITUTE(SUBSTITUTE(A352,"/"," "),"."," "),"\"," "),"_"," "))&amp;" ")),1,0))+IF(Task!$A$14="",0,IF(ISNUMBER(SEARCH(" "&amp;Task!$A$14&amp;" "," "&amp;LOWER(SUBSTITUTE(SUBSTITUTE(SUBSTITUTE(SUBSTITUTE(A352,"/"," "),"."," "),"\"," "),"_"," "))&amp;" ")),1,0))+IF(Task!$A$15="",0,IF(ISNUMBER(SEARCH(" "&amp;Task!$A$15&amp;" "," "&amp;LOWER(SUBSTITUTE(SUBSTITUTE(SUBSTITUTE(SUBSTITUTE(A352,"/"," "),"."," "),"\"," "),"_"," "))&amp;" ")),1,0))+IF(Task!$A$16="",0,IF(ISNUMBER(SEARCH(" "&amp;Task!$A$16&amp;" "," "&amp;LOWER(SUBSTITUTE(SUBSTITUTE(SUBSTITUTE(SUBSTITUTE(A352,"/"," "),"."," "),"\"," "),"_"," "))&amp;" ")),1,0))+IF(Task!$A$17="",0,IF(ISNUMBER(SEARCH(" "&amp;Task!$A$17&amp;" "," "&amp;LOWER(SUBSTITUTE(SUBSTITUTE(SUBSTITUTE(SUBSTITUTE(A352,"/"," "),"."," "),"\"," "),"_"," "))&amp;" ")),1,0))+IF(Task!$A$18="",0,IF(ISNUMBER(SEARCH(" "&amp;Task!$A$18&amp;" "," "&amp;LOWER(SUBSTITUTE(SUBSTITUTE(SUBSTITUTE(SUBSTITUTE(A352,"/"," "),"."," "),"\"," "),"_"," "))&amp;" ")),1,0))+IF(Task!$A$19="",0,IF(ISNUMBER(SEARCH(" "&amp;Task!$A$19&amp;" "," "&amp;LOWER(SUBSTITUTE(SUBSTITUTE(SUBSTITUTE(SUBSTITUTE(A352,"/"," "),"."," "),"\"," "),"_"," "))&amp;" ")),1,0)))</f>
        <v/>
      </c>
      <c r="I352" s="10">
        <f>IF(OR(E352=0,F352=0,Task!$B$21=0),"",F352/Task!$B$21+0.5*G352+0.25*H352)</f>
        <v/>
      </c>
      <c r="J352" s="5">
        <f>IF(I352="","",I352-ROW()/1000000)</f>
        <v/>
      </c>
      <c r="K352" s="9">
        <f>IF(J352="","",COUNTIF($J$5:$J$404,"&gt;"&amp;J352)+1)</f>
        <v/>
      </c>
    </row>
    <row r="353">
      <c r="A353" s="7" t="n"/>
      <c r="B353" s="7" t="n"/>
      <c r="C353" s="7" t="n"/>
      <c r="D353" s="7" t="n"/>
      <c r="E353" s="5">
        <f>IF(A353="",0,IF(COUNTA(Task!$B$5:$E$5)=0,1,IF(COUNTIF(Task!$B$5:$E$5,B353)&gt;0,1,0)))</f>
        <v/>
      </c>
      <c r="F353" s="9">
        <f>IF(E353=0,0,IF(Task!$A$8="",0,IF(ISNUMBER(SEARCH(" "&amp;Task!$A$8&amp;" "," "&amp;LOWER(D353&amp;" "&amp;C353&amp;" "&amp;LOWER(SUBSTITUTE(SUBSTITUTE(SUBSTITUTE(SUBSTITUTE(A353,"/"," "),"."," "),"\"," "),"_"," ")))&amp;" ")),1,0))+IF(Task!$A$9="",0,IF(ISNUMBER(SEARCH(" "&amp;Task!$A$9&amp;" "," "&amp;LOWER(D353&amp;" "&amp;C353&amp;" "&amp;LOWER(SUBSTITUTE(SUBSTITUTE(SUBSTITUTE(SUBSTITUTE(A353,"/"," "),"."," "),"\"," "),"_"," ")))&amp;" ")),1,0))+IF(Task!$A$10="",0,IF(ISNUMBER(SEARCH(" "&amp;Task!$A$10&amp;" "," "&amp;LOWER(D353&amp;" "&amp;C353&amp;" "&amp;LOWER(SUBSTITUTE(SUBSTITUTE(SUBSTITUTE(SUBSTITUTE(A353,"/"," "),"."," "),"\"," "),"_"," ")))&amp;" ")),1,0))+IF(Task!$A$11="",0,IF(ISNUMBER(SEARCH(" "&amp;Task!$A$11&amp;" "," "&amp;LOWER(D353&amp;" "&amp;C353&amp;" "&amp;LOWER(SUBSTITUTE(SUBSTITUTE(SUBSTITUTE(SUBSTITUTE(A353,"/"," "),"."," "),"\"," "),"_"," ")))&amp;" ")),1,0))+IF(Task!$A$12="",0,IF(ISNUMBER(SEARCH(" "&amp;Task!$A$12&amp;" "," "&amp;LOWER(D353&amp;" "&amp;C353&amp;" "&amp;LOWER(SUBSTITUTE(SUBSTITUTE(SUBSTITUTE(SUBSTITUTE(A353,"/"," "),"."," "),"\"," "),"_"," ")))&amp;" ")),1,0))+IF(Task!$A$13="",0,IF(ISNUMBER(SEARCH(" "&amp;Task!$A$13&amp;" "," "&amp;LOWER(D353&amp;" "&amp;C353&amp;" "&amp;LOWER(SUBSTITUTE(SUBSTITUTE(SUBSTITUTE(SUBSTITUTE(A353,"/"," "),"."," "),"\"," "),"_"," ")))&amp;" ")),1,0))+IF(Task!$A$14="",0,IF(ISNUMBER(SEARCH(" "&amp;Task!$A$14&amp;" "," "&amp;LOWER(D353&amp;" "&amp;C353&amp;" "&amp;LOWER(SUBSTITUTE(SUBSTITUTE(SUBSTITUTE(SUBSTITUTE(A353,"/"," "),"."," "),"\"," "),"_"," ")))&amp;" ")),1,0))+IF(Task!$A$15="",0,IF(ISNUMBER(SEARCH(" "&amp;Task!$A$15&amp;" "," "&amp;LOWER(D353&amp;" "&amp;C353&amp;" "&amp;LOWER(SUBSTITUTE(SUBSTITUTE(SUBSTITUTE(SUBSTITUTE(A353,"/"," "),"."," "),"\"," "),"_"," ")))&amp;" ")),1,0))+IF(Task!$A$16="",0,IF(ISNUMBER(SEARCH(" "&amp;Task!$A$16&amp;" "," "&amp;LOWER(D353&amp;" "&amp;C353&amp;" "&amp;LOWER(SUBSTITUTE(SUBSTITUTE(SUBSTITUTE(SUBSTITUTE(A353,"/"," "),"."," "),"\"," "),"_"," ")))&amp;" ")),1,0))+IF(Task!$A$17="",0,IF(ISNUMBER(SEARCH(" "&amp;Task!$A$17&amp;" "," "&amp;LOWER(D353&amp;" "&amp;C353&amp;" "&amp;LOWER(SUBSTITUTE(SUBSTITUTE(SUBSTITUTE(SUBSTITUTE(A353,"/"," "),"."," "),"\"," "),"_"," ")))&amp;" ")),1,0))+IF(Task!$A$18="",0,IF(ISNUMBER(SEARCH(" "&amp;Task!$A$18&amp;" "," "&amp;LOWER(D353&amp;" "&amp;C353&amp;" "&amp;LOWER(SUBSTITUTE(SUBSTITUTE(SUBSTITUTE(SUBSTITUTE(A353,"/"," "),"."," "),"\"," "),"_"," ")))&amp;" ")),1,0))+IF(Task!$A$19="",0,IF(ISNUMBER(SEARCH(" "&amp;Task!$A$19&amp;" "," "&amp;LOWER(D353&amp;" "&amp;C353&amp;" "&amp;LOWER(SUBSTITUTE(SUBSTITUTE(SUBSTITUTE(SUBSTITUTE(A353,"/"," "),"."," "),"\"," "),"_"," ")))&amp;" ")),1,0)))</f>
        <v/>
      </c>
      <c r="G353" s="9">
        <f>IF(E353=0,0,IF(Task!$A$8="",0,IF(ISNUMBER(SEARCH(" "&amp;Task!$A$8&amp;" "," "&amp;LOWER(C353)&amp;" ")),1,0))+IF(Task!$A$9="",0,IF(ISNUMBER(SEARCH(" "&amp;Task!$A$9&amp;" "," "&amp;LOWER(C353)&amp;" ")),1,0))+IF(Task!$A$10="",0,IF(ISNUMBER(SEARCH(" "&amp;Task!$A$10&amp;" "," "&amp;LOWER(C353)&amp;" ")),1,0))+IF(Task!$A$11="",0,IF(ISNUMBER(SEARCH(" "&amp;Task!$A$11&amp;" "," "&amp;LOWER(C353)&amp;" ")),1,0))+IF(Task!$A$12="",0,IF(ISNUMBER(SEARCH(" "&amp;Task!$A$12&amp;" "," "&amp;LOWER(C353)&amp;" ")),1,0))+IF(Task!$A$13="",0,IF(ISNUMBER(SEARCH(" "&amp;Task!$A$13&amp;" "," "&amp;LOWER(C353)&amp;" ")),1,0))+IF(Task!$A$14="",0,IF(ISNUMBER(SEARCH(" "&amp;Task!$A$14&amp;" "," "&amp;LOWER(C353)&amp;" ")),1,0))+IF(Task!$A$15="",0,IF(ISNUMBER(SEARCH(" "&amp;Task!$A$15&amp;" "," "&amp;LOWER(C353)&amp;" ")),1,0))+IF(Task!$A$16="",0,IF(ISNUMBER(SEARCH(" "&amp;Task!$A$16&amp;" "," "&amp;LOWER(C353)&amp;" ")),1,0))+IF(Task!$A$17="",0,IF(ISNUMBER(SEARCH(" "&amp;Task!$A$17&amp;" "," "&amp;LOWER(C353)&amp;" ")),1,0))+IF(Task!$A$18="",0,IF(ISNUMBER(SEARCH(" "&amp;Task!$A$18&amp;" "," "&amp;LOWER(C353)&amp;" ")),1,0))+IF(Task!$A$19="",0,IF(ISNUMBER(SEARCH(" "&amp;Task!$A$19&amp;" "," "&amp;LOWER(C353)&amp;" ")),1,0)))</f>
        <v/>
      </c>
      <c r="H353" s="9">
        <f>IF(E353=0,0,IF(Task!$A$8="",0,IF(ISNUMBER(SEARCH(" "&amp;Task!$A$8&amp;" "," "&amp;LOWER(SUBSTITUTE(SUBSTITUTE(SUBSTITUTE(SUBSTITUTE(A353,"/"," "),"."," "),"\"," "),"_"," "))&amp;" ")),1,0))+IF(Task!$A$9="",0,IF(ISNUMBER(SEARCH(" "&amp;Task!$A$9&amp;" "," "&amp;LOWER(SUBSTITUTE(SUBSTITUTE(SUBSTITUTE(SUBSTITUTE(A353,"/"," "),"."," "),"\"," "),"_"," "))&amp;" ")),1,0))+IF(Task!$A$10="",0,IF(ISNUMBER(SEARCH(" "&amp;Task!$A$10&amp;" "," "&amp;LOWER(SUBSTITUTE(SUBSTITUTE(SUBSTITUTE(SUBSTITUTE(A353,"/"," "),"."," "),"\"," "),"_"," "))&amp;" ")),1,0))+IF(Task!$A$11="",0,IF(ISNUMBER(SEARCH(" "&amp;Task!$A$11&amp;" "," "&amp;LOWER(SUBSTITUTE(SUBSTITUTE(SUBSTITUTE(SUBSTITUTE(A353,"/"," "),"."," "),"\"," "),"_"," "))&amp;" ")),1,0))+IF(Task!$A$12="",0,IF(ISNUMBER(SEARCH(" "&amp;Task!$A$12&amp;" "," "&amp;LOWER(SUBSTITUTE(SUBSTITUTE(SUBSTITUTE(SUBSTITUTE(A353,"/"," "),"."," "),"\"," "),"_"," "))&amp;" ")),1,0))+IF(Task!$A$13="",0,IF(ISNUMBER(SEARCH(" "&amp;Task!$A$13&amp;" "," "&amp;LOWER(SUBSTITUTE(SUBSTITUTE(SUBSTITUTE(SUBSTITUTE(A353,"/"," "),"."," "),"\"," "),"_"," "))&amp;" ")),1,0))+IF(Task!$A$14="",0,IF(ISNUMBER(SEARCH(" "&amp;Task!$A$14&amp;" "," "&amp;LOWER(SUBSTITUTE(SUBSTITUTE(SUBSTITUTE(SUBSTITUTE(A353,"/"," "),"."," "),"\"," "),"_"," "))&amp;" ")),1,0))+IF(Task!$A$15="",0,IF(ISNUMBER(SEARCH(" "&amp;Task!$A$15&amp;" "," "&amp;LOWER(SUBSTITUTE(SUBSTITUTE(SUBSTITUTE(SUBSTITUTE(A353,"/"," "),"."," "),"\"," "),"_"," "))&amp;" ")),1,0))+IF(Task!$A$16="",0,IF(ISNUMBER(SEARCH(" "&amp;Task!$A$16&amp;" "," "&amp;LOWER(SUBSTITUTE(SUBSTITUTE(SUBSTITUTE(SUBSTITUTE(A353,"/"," "),"."," "),"\"," "),"_"," "))&amp;" ")),1,0))+IF(Task!$A$17="",0,IF(ISNUMBER(SEARCH(" "&amp;Task!$A$17&amp;" "," "&amp;LOWER(SUBSTITUTE(SUBSTITUTE(SUBSTITUTE(SUBSTITUTE(A353,"/"," "),"."," "),"\"," "),"_"," "))&amp;" ")),1,0))+IF(Task!$A$18="",0,IF(ISNUMBER(SEARCH(" "&amp;Task!$A$18&amp;" "," "&amp;LOWER(SUBSTITUTE(SUBSTITUTE(SUBSTITUTE(SUBSTITUTE(A353,"/"," "),"."," "),"\"," "),"_"," "))&amp;" ")),1,0))+IF(Task!$A$19="",0,IF(ISNUMBER(SEARCH(" "&amp;Task!$A$19&amp;" "," "&amp;LOWER(SUBSTITUTE(SUBSTITUTE(SUBSTITUTE(SUBSTITUTE(A353,"/"," "),"."," "),"\"," "),"_"," "))&amp;" ")),1,0)))</f>
        <v/>
      </c>
      <c r="I353" s="10">
        <f>IF(OR(E353=0,F353=0,Task!$B$21=0),"",F353/Task!$B$21+0.5*G353+0.25*H353)</f>
        <v/>
      </c>
      <c r="J353" s="5">
        <f>IF(I353="","",I353-ROW()/1000000)</f>
        <v/>
      </c>
      <c r="K353" s="9">
        <f>IF(J353="","",COUNTIF($J$5:$J$404,"&gt;"&amp;J353)+1)</f>
        <v/>
      </c>
    </row>
    <row r="354">
      <c r="A354" s="7" t="n"/>
      <c r="B354" s="7" t="n"/>
      <c r="C354" s="7" t="n"/>
      <c r="D354" s="7" t="n"/>
      <c r="E354" s="5">
        <f>IF(A354="",0,IF(COUNTA(Task!$B$5:$E$5)=0,1,IF(COUNTIF(Task!$B$5:$E$5,B354)&gt;0,1,0)))</f>
        <v/>
      </c>
      <c r="F354" s="9">
        <f>IF(E354=0,0,IF(Task!$A$8="",0,IF(ISNUMBER(SEARCH(" "&amp;Task!$A$8&amp;" "," "&amp;LOWER(D354&amp;" "&amp;C354&amp;" "&amp;LOWER(SUBSTITUTE(SUBSTITUTE(SUBSTITUTE(SUBSTITUTE(A354,"/"," "),"."," "),"\"," "),"_"," ")))&amp;" ")),1,0))+IF(Task!$A$9="",0,IF(ISNUMBER(SEARCH(" "&amp;Task!$A$9&amp;" "," "&amp;LOWER(D354&amp;" "&amp;C354&amp;" "&amp;LOWER(SUBSTITUTE(SUBSTITUTE(SUBSTITUTE(SUBSTITUTE(A354,"/"," "),"."," "),"\"," "),"_"," ")))&amp;" ")),1,0))+IF(Task!$A$10="",0,IF(ISNUMBER(SEARCH(" "&amp;Task!$A$10&amp;" "," "&amp;LOWER(D354&amp;" "&amp;C354&amp;" "&amp;LOWER(SUBSTITUTE(SUBSTITUTE(SUBSTITUTE(SUBSTITUTE(A354,"/"," "),"."," "),"\"," "),"_"," ")))&amp;" ")),1,0))+IF(Task!$A$11="",0,IF(ISNUMBER(SEARCH(" "&amp;Task!$A$11&amp;" "," "&amp;LOWER(D354&amp;" "&amp;C354&amp;" "&amp;LOWER(SUBSTITUTE(SUBSTITUTE(SUBSTITUTE(SUBSTITUTE(A354,"/"," "),"."," "),"\"," "),"_"," ")))&amp;" ")),1,0))+IF(Task!$A$12="",0,IF(ISNUMBER(SEARCH(" "&amp;Task!$A$12&amp;" "," "&amp;LOWER(D354&amp;" "&amp;C354&amp;" "&amp;LOWER(SUBSTITUTE(SUBSTITUTE(SUBSTITUTE(SUBSTITUTE(A354,"/"," "),"."," "),"\"," "),"_"," ")))&amp;" ")),1,0))+IF(Task!$A$13="",0,IF(ISNUMBER(SEARCH(" "&amp;Task!$A$13&amp;" "," "&amp;LOWER(D354&amp;" "&amp;C354&amp;" "&amp;LOWER(SUBSTITUTE(SUBSTITUTE(SUBSTITUTE(SUBSTITUTE(A354,"/"," "),"."," "),"\"," "),"_"," ")))&amp;" ")),1,0))+IF(Task!$A$14="",0,IF(ISNUMBER(SEARCH(" "&amp;Task!$A$14&amp;" "," "&amp;LOWER(D354&amp;" "&amp;C354&amp;" "&amp;LOWER(SUBSTITUTE(SUBSTITUTE(SUBSTITUTE(SUBSTITUTE(A354,"/"," "),"."," "),"\"," "),"_"," ")))&amp;" ")),1,0))+IF(Task!$A$15="",0,IF(ISNUMBER(SEARCH(" "&amp;Task!$A$15&amp;" "," "&amp;LOWER(D354&amp;" "&amp;C354&amp;" "&amp;LOWER(SUBSTITUTE(SUBSTITUTE(SUBSTITUTE(SUBSTITUTE(A354,"/"," "),"."," "),"\"," "),"_"," ")))&amp;" ")),1,0))+IF(Task!$A$16="",0,IF(ISNUMBER(SEARCH(" "&amp;Task!$A$16&amp;" "," "&amp;LOWER(D354&amp;" "&amp;C354&amp;" "&amp;LOWER(SUBSTITUTE(SUBSTITUTE(SUBSTITUTE(SUBSTITUTE(A354,"/"," "),"."," "),"\"," "),"_"," ")))&amp;" ")),1,0))+IF(Task!$A$17="",0,IF(ISNUMBER(SEARCH(" "&amp;Task!$A$17&amp;" "," "&amp;LOWER(D354&amp;" "&amp;C354&amp;" "&amp;LOWER(SUBSTITUTE(SUBSTITUTE(SUBSTITUTE(SUBSTITUTE(A354,"/"," "),"."," "),"\"," "),"_"," ")))&amp;" ")),1,0))+IF(Task!$A$18="",0,IF(ISNUMBER(SEARCH(" "&amp;Task!$A$18&amp;" "," "&amp;LOWER(D354&amp;" "&amp;C354&amp;" "&amp;LOWER(SUBSTITUTE(SUBSTITUTE(SUBSTITUTE(SUBSTITUTE(A354,"/"," "),"."," "),"\"," "),"_"," ")))&amp;" ")),1,0))+IF(Task!$A$19="",0,IF(ISNUMBER(SEARCH(" "&amp;Task!$A$19&amp;" "," "&amp;LOWER(D354&amp;" "&amp;C354&amp;" "&amp;LOWER(SUBSTITUTE(SUBSTITUTE(SUBSTITUTE(SUBSTITUTE(A354,"/"," "),"."," "),"\"," "),"_"," ")))&amp;" ")),1,0)))</f>
        <v/>
      </c>
      <c r="G354" s="9">
        <f>IF(E354=0,0,IF(Task!$A$8="",0,IF(ISNUMBER(SEARCH(" "&amp;Task!$A$8&amp;" "," "&amp;LOWER(C354)&amp;" ")),1,0))+IF(Task!$A$9="",0,IF(ISNUMBER(SEARCH(" "&amp;Task!$A$9&amp;" "," "&amp;LOWER(C354)&amp;" ")),1,0))+IF(Task!$A$10="",0,IF(ISNUMBER(SEARCH(" "&amp;Task!$A$10&amp;" "," "&amp;LOWER(C354)&amp;" ")),1,0))+IF(Task!$A$11="",0,IF(ISNUMBER(SEARCH(" "&amp;Task!$A$11&amp;" "," "&amp;LOWER(C354)&amp;" ")),1,0))+IF(Task!$A$12="",0,IF(ISNUMBER(SEARCH(" "&amp;Task!$A$12&amp;" "," "&amp;LOWER(C354)&amp;" ")),1,0))+IF(Task!$A$13="",0,IF(ISNUMBER(SEARCH(" "&amp;Task!$A$13&amp;" "," "&amp;LOWER(C354)&amp;" ")),1,0))+IF(Task!$A$14="",0,IF(ISNUMBER(SEARCH(" "&amp;Task!$A$14&amp;" "," "&amp;LOWER(C354)&amp;" ")),1,0))+IF(Task!$A$15="",0,IF(ISNUMBER(SEARCH(" "&amp;Task!$A$15&amp;" "," "&amp;LOWER(C354)&amp;" ")),1,0))+IF(Task!$A$16="",0,IF(ISNUMBER(SEARCH(" "&amp;Task!$A$16&amp;" "," "&amp;LOWER(C354)&amp;" ")),1,0))+IF(Task!$A$17="",0,IF(ISNUMBER(SEARCH(" "&amp;Task!$A$17&amp;" "," "&amp;LOWER(C354)&amp;" ")),1,0))+IF(Task!$A$18="",0,IF(ISNUMBER(SEARCH(" "&amp;Task!$A$18&amp;" "," "&amp;LOWER(C354)&amp;" ")),1,0))+IF(Task!$A$19="",0,IF(ISNUMBER(SEARCH(" "&amp;Task!$A$19&amp;" "," "&amp;LOWER(C354)&amp;" ")),1,0)))</f>
        <v/>
      </c>
      <c r="H354" s="9">
        <f>IF(E354=0,0,IF(Task!$A$8="",0,IF(ISNUMBER(SEARCH(" "&amp;Task!$A$8&amp;" "," "&amp;LOWER(SUBSTITUTE(SUBSTITUTE(SUBSTITUTE(SUBSTITUTE(A354,"/"," "),"."," "),"\"," "),"_"," "))&amp;" ")),1,0))+IF(Task!$A$9="",0,IF(ISNUMBER(SEARCH(" "&amp;Task!$A$9&amp;" "," "&amp;LOWER(SUBSTITUTE(SUBSTITUTE(SUBSTITUTE(SUBSTITUTE(A354,"/"," "),"."," "),"\"," "),"_"," "))&amp;" ")),1,0))+IF(Task!$A$10="",0,IF(ISNUMBER(SEARCH(" "&amp;Task!$A$10&amp;" "," "&amp;LOWER(SUBSTITUTE(SUBSTITUTE(SUBSTITUTE(SUBSTITUTE(A354,"/"," "),"."," "),"\"," "),"_"," "))&amp;" ")),1,0))+IF(Task!$A$11="",0,IF(ISNUMBER(SEARCH(" "&amp;Task!$A$11&amp;" "," "&amp;LOWER(SUBSTITUTE(SUBSTITUTE(SUBSTITUTE(SUBSTITUTE(A354,"/"," "),"."," "),"\"," "),"_"," "))&amp;" ")),1,0))+IF(Task!$A$12="",0,IF(ISNUMBER(SEARCH(" "&amp;Task!$A$12&amp;" "," "&amp;LOWER(SUBSTITUTE(SUBSTITUTE(SUBSTITUTE(SUBSTITUTE(A354,"/"," "),"."," "),"\"," "),"_"," "))&amp;" ")),1,0))+IF(Task!$A$13="",0,IF(ISNUMBER(SEARCH(" "&amp;Task!$A$13&amp;" "," "&amp;LOWER(SUBSTITUTE(SUBSTITUTE(SUBSTITUTE(SUBSTITUTE(A354,"/"," "),"."," "),"\"," "),"_"," "))&amp;" ")),1,0))+IF(Task!$A$14="",0,IF(ISNUMBER(SEARCH(" "&amp;Task!$A$14&amp;" "," "&amp;LOWER(SUBSTITUTE(SUBSTITUTE(SUBSTITUTE(SUBSTITUTE(A354,"/"," "),"."," "),"\"," "),"_"," "))&amp;" ")),1,0))+IF(Task!$A$15="",0,IF(ISNUMBER(SEARCH(" "&amp;Task!$A$15&amp;" "," "&amp;LOWER(SUBSTITUTE(SUBSTITUTE(SUBSTITUTE(SUBSTITUTE(A354,"/"," "),"."," "),"\"," "),"_"," "))&amp;" ")),1,0))+IF(Task!$A$16="",0,IF(ISNUMBER(SEARCH(" "&amp;Task!$A$16&amp;" "," "&amp;LOWER(SUBSTITUTE(SUBSTITUTE(SUBSTITUTE(SUBSTITUTE(A354,"/"," "),"."," "),"\"," "),"_"," "))&amp;" ")),1,0))+IF(Task!$A$17="",0,IF(ISNUMBER(SEARCH(" "&amp;Task!$A$17&amp;" "," "&amp;LOWER(SUBSTITUTE(SUBSTITUTE(SUBSTITUTE(SUBSTITUTE(A354,"/"," "),"."," "),"\"," "),"_"," "))&amp;" ")),1,0))+IF(Task!$A$18="",0,IF(ISNUMBER(SEARCH(" "&amp;Task!$A$18&amp;" "," "&amp;LOWER(SUBSTITUTE(SUBSTITUTE(SUBSTITUTE(SUBSTITUTE(A354,"/"," "),"."," "),"\"," "),"_"," "))&amp;" ")),1,0))+IF(Task!$A$19="",0,IF(ISNUMBER(SEARCH(" "&amp;Task!$A$19&amp;" "," "&amp;LOWER(SUBSTITUTE(SUBSTITUTE(SUBSTITUTE(SUBSTITUTE(A354,"/"," "),"."," "),"\"," "),"_"," "))&amp;" ")),1,0)))</f>
        <v/>
      </c>
      <c r="I354" s="10">
        <f>IF(OR(E354=0,F354=0,Task!$B$21=0),"",F354/Task!$B$21+0.5*G354+0.25*H354)</f>
        <v/>
      </c>
      <c r="J354" s="5">
        <f>IF(I354="","",I354-ROW()/1000000)</f>
        <v/>
      </c>
      <c r="K354" s="9">
        <f>IF(J354="","",COUNTIF($J$5:$J$404,"&gt;"&amp;J354)+1)</f>
        <v/>
      </c>
    </row>
    <row r="355">
      <c r="A355" s="7" t="n"/>
      <c r="B355" s="7" t="n"/>
      <c r="C355" s="7" t="n"/>
      <c r="D355" s="7" t="n"/>
      <c r="E355" s="5">
        <f>IF(A355="",0,IF(COUNTA(Task!$B$5:$E$5)=0,1,IF(COUNTIF(Task!$B$5:$E$5,B355)&gt;0,1,0)))</f>
        <v/>
      </c>
      <c r="F355" s="9">
        <f>IF(E355=0,0,IF(Task!$A$8="",0,IF(ISNUMBER(SEARCH(" "&amp;Task!$A$8&amp;" "," "&amp;LOWER(D355&amp;" "&amp;C355&amp;" "&amp;LOWER(SUBSTITUTE(SUBSTITUTE(SUBSTITUTE(SUBSTITUTE(A355,"/"," "),"."," "),"\"," "),"_"," ")))&amp;" ")),1,0))+IF(Task!$A$9="",0,IF(ISNUMBER(SEARCH(" "&amp;Task!$A$9&amp;" "," "&amp;LOWER(D355&amp;" "&amp;C355&amp;" "&amp;LOWER(SUBSTITUTE(SUBSTITUTE(SUBSTITUTE(SUBSTITUTE(A355,"/"," "),"."," "),"\"," "),"_"," ")))&amp;" ")),1,0))+IF(Task!$A$10="",0,IF(ISNUMBER(SEARCH(" "&amp;Task!$A$10&amp;" "," "&amp;LOWER(D355&amp;" "&amp;C355&amp;" "&amp;LOWER(SUBSTITUTE(SUBSTITUTE(SUBSTITUTE(SUBSTITUTE(A355,"/"," "),"."," "),"\"," "),"_"," ")))&amp;" ")),1,0))+IF(Task!$A$11="",0,IF(ISNUMBER(SEARCH(" "&amp;Task!$A$11&amp;" "," "&amp;LOWER(D355&amp;" "&amp;C355&amp;" "&amp;LOWER(SUBSTITUTE(SUBSTITUTE(SUBSTITUTE(SUBSTITUTE(A355,"/"," "),"."," "),"\"," "),"_"," ")))&amp;" ")),1,0))+IF(Task!$A$12="",0,IF(ISNUMBER(SEARCH(" "&amp;Task!$A$12&amp;" "," "&amp;LOWER(D355&amp;" "&amp;C355&amp;" "&amp;LOWER(SUBSTITUTE(SUBSTITUTE(SUBSTITUTE(SUBSTITUTE(A355,"/"," "),"."," "),"\"," "),"_"," ")))&amp;" ")),1,0))+IF(Task!$A$13="",0,IF(ISNUMBER(SEARCH(" "&amp;Task!$A$13&amp;" "," "&amp;LOWER(D355&amp;" "&amp;C355&amp;" "&amp;LOWER(SUBSTITUTE(SUBSTITUTE(SUBSTITUTE(SUBSTITUTE(A355,"/"," "),"."," "),"\"," "),"_"," ")))&amp;" ")),1,0))+IF(Task!$A$14="",0,IF(ISNUMBER(SEARCH(" "&amp;Task!$A$14&amp;" "," "&amp;LOWER(D355&amp;" "&amp;C355&amp;" "&amp;LOWER(SUBSTITUTE(SUBSTITUTE(SUBSTITUTE(SUBSTITUTE(A355,"/"," "),"."," "),"\"," "),"_"," ")))&amp;" ")),1,0))+IF(Task!$A$15="",0,IF(ISNUMBER(SEARCH(" "&amp;Task!$A$15&amp;" "," "&amp;LOWER(D355&amp;" "&amp;C355&amp;" "&amp;LOWER(SUBSTITUTE(SUBSTITUTE(SUBSTITUTE(SUBSTITUTE(A355,"/"," "),"."," "),"\"," "),"_"," ")))&amp;" ")),1,0))+IF(Task!$A$16="",0,IF(ISNUMBER(SEARCH(" "&amp;Task!$A$16&amp;" "," "&amp;LOWER(D355&amp;" "&amp;C355&amp;" "&amp;LOWER(SUBSTITUTE(SUBSTITUTE(SUBSTITUTE(SUBSTITUTE(A355,"/"," "),"."," "),"\"," "),"_"," ")))&amp;" ")),1,0))+IF(Task!$A$17="",0,IF(ISNUMBER(SEARCH(" "&amp;Task!$A$17&amp;" "," "&amp;LOWER(D355&amp;" "&amp;C355&amp;" "&amp;LOWER(SUBSTITUTE(SUBSTITUTE(SUBSTITUTE(SUBSTITUTE(A355,"/"," "),"."," "),"\"," "),"_"," ")))&amp;" ")),1,0))+IF(Task!$A$18="",0,IF(ISNUMBER(SEARCH(" "&amp;Task!$A$18&amp;" "," "&amp;LOWER(D355&amp;" "&amp;C355&amp;" "&amp;LOWER(SUBSTITUTE(SUBSTITUTE(SUBSTITUTE(SUBSTITUTE(A355,"/"," "),"."," "),"\"," "),"_"," ")))&amp;" ")),1,0))+IF(Task!$A$19="",0,IF(ISNUMBER(SEARCH(" "&amp;Task!$A$19&amp;" "," "&amp;LOWER(D355&amp;" "&amp;C355&amp;" "&amp;LOWER(SUBSTITUTE(SUBSTITUTE(SUBSTITUTE(SUBSTITUTE(A355,"/"," "),"."," "),"\"," "),"_"," ")))&amp;" ")),1,0)))</f>
        <v/>
      </c>
      <c r="G355" s="9">
        <f>IF(E355=0,0,IF(Task!$A$8="",0,IF(ISNUMBER(SEARCH(" "&amp;Task!$A$8&amp;" "," "&amp;LOWER(C355)&amp;" ")),1,0))+IF(Task!$A$9="",0,IF(ISNUMBER(SEARCH(" "&amp;Task!$A$9&amp;" "," "&amp;LOWER(C355)&amp;" ")),1,0))+IF(Task!$A$10="",0,IF(ISNUMBER(SEARCH(" "&amp;Task!$A$10&amp;" "," "&amp;LOWER(C355)&amp;" ")),1,0))+IF(Task!$A$11="",0,IF(ISNUMBER(SEARCH(" "&amp;Task!$A$11&amp;" "," "&amp;LOWER(C355)&amp;" ")),1,0))+IF(Task!$A$12="",0,IF(ISNUMBER(SEARCH(" "&amp;Task!$A$12&amp;" "," "&amp;LOWER(C355)&amp;" ")),1,0))+IF(Task!$A$13="",0,IF(ISNUMBER(SEARCH(" "&amp;Task!$A$13&amp;" "," "&amp;LOWER(C355)&amp;" ")),1,0))+IF(Task!$A$14="",0,IF(ISNUMBER(SEARCH(" "&amp;Task!$A$14&amp;" "," "&amp;LOWER(C355)&amp;" ")),1,0))+IF(Task!$A$15="",0,IF(ISNUMBER(SEARCH(" "&amp;Task!$A$15&amp;" "," "&amp;LOWER(C355)&amp;" ")),1,0))+IF(Task!$A$16="",0,IF(ISNUMBER(SEARCH(" "&amp;Task!$A$16&amp;" "," "&amp;LOWER(C355)&amp;" ")),1,0))+IF(Task!$A$17="",0,IF(ISNUMBER(SEARCH(" "&amp;Task!$A$17&amp;" "," "&amp;LOWER(C355)&amp;" ")),1,0))+IF(Task!$A$18="",0,IF(ISNUMBER(SEARCH(" "&amp;Task!$A$18&amp;" "," "&amp;LOWER(C355)&amp;" ")),1,0))+IF(Task!$A$19="",0,IF(ISNUMBER(SEARCH(" "&amp;Task!$A$19&amp;" "," "&amp;LOWER(C355)&amp;" ")),1,0)))</f>
        <v/>
      </c>
      <c r="H355" s="9">
        <f>IF(E355=0,0,IF(Task!$A$8="",0,IF(ISNUMBER(SEARCH(" "&amp;Task!$A$8&amp;" "," "&amp;LOWER(SUBSTITUTE(SUBSTITUTE(SUBSTITUTE(SUBSTITUTE(A355,"/"," "),"."," "),"\"," "),"_"," "))&amp;" ")),1,0))+IF(Task!$A$9="",0,IF(ISNUMBER(SEARCH(" "&amp;Task!$A$9&amp;" "," "&amp;LOWER(SUBSTITUTE(SUBSTITUTE(SUBSTITUTE(SUBSTITUTE(A355,"/"," "),"."," "),"\"," "),"_"," "))&amp;" ")),1,0))+IF(Task!$A$10="",0,IF(ISNUMBER(SEARCH(" "&amp;Task!$A$10&amp;" "," "&amp;LOWER(SUBSTITUTE(SUBSTITUTE(SUBSTITUTE(SUBSTITUTE(A355,"/"," "),"."," "),"\"," "),"_"," "))&amp;" ")),1,0))+IF(Task!$A$11="",0,IF(ISNUMBER(SEARCH(" "&amp;Task!$A$11&amp;" "," "&amp;LOWER(SUBSTITUTE(SUBSTITUTE(SUBSTITUTE(SUBSTITUTE(A355,"/"," "),"."," "),"\"," "),"_"," "))&amp;" ")),1,0))+IF(Task!$A$12="",0,IF(ISNUMBER(SEARCH(" "&amp;Task!$A$12&amp;" "," "&amp;LOWER(SUBSTITUTE(SUBSTITUTE(SUBSTITUTE(SUBSTITUTE(A355,"/"," "),"."," "),"\"," "),"_"," "))&amp;" ")),1,0))+IF(Task!$A$13="",0,IF(ISNUMBER(SEARCH(" "&amp;Task!$A$13&amp;" "," "&amp;LOWER(SUBSTITUTE(SUBSTITUTE(SUBSTITUTE(SUBSTITUTE(A355,"/"," "),"."," "),"\"," "),"_"," "))&amp;" ")),1,0))+IF(Task!$A$14="",0,IF(ISNUMBER(SEARCH(" "&amp;Task!$A$14&amp;" "," "&amp;LOWER(SUBSTITUTE(SUBSTITUTE(SUBSTITUTE(SUBSTITUTE(A355,"/"," "),"."," "),"\"," "),"_"," "))&amp;" ")),1,0))+IF(Task!$A$15="",0,IF(ISNUMBER(SEARCH(" "&amp;Task!$A$15&amp;" "," "&amp;LOWER(SUBSTITUTE(SUBSTITUTE(SUBSTITUTE(SUBSTITUTE(A355,"/"," "),"."," "),"\"," "),"_"," "))&amp;" ")),1,0))+IF(Task!$A$16="",0,IF(ISNUMBER(SEARCH(" "&amp;Task!$A$16&amp;" "," "&amp;LOWER(SUBSTITUTE(SUBSTITUTE(SUBSTITUTE(SUBSTITUTE(A355,"/"," "),"."," "),"\"," "),"_"," "))&amp;" ")),1,0))+IF(Task!$A$17="",0,IF(ISNUMBER(SEARCH(" "&amp;Task!$A$17&amp;" "," "&amp;LOWER(SUBSTITUTE(SUBSTITUTE(SUBSTITUTE(SUBSTITUTE(A355,"/"," "),"."," "),"\"," "),"_"," "))&amp;" ")),1,0))+IF(Task!$A$18="",0,IF(ISNUMBER(SEARCH(" "&amp;Task!$A$18&amp;" "," "&amp;LOWER(SUBSTITUTE(SUBSTITUTE(SUBSTITUTE(SUBSTITUTE(A355,"/"," "),"."," "),"\"," "),"_"," "))&amp;" ")),1,0))+IF(Task!$A$19="",0,IF(ISNUMBER(SEARCH(" "&amp;Task!$A$19&amp;" "," "&amp;LOWER(SUBSTITUTE(SUBSTITUTE(SUBSTITUTE(SUBSTITUTE(A355,"/"," "),"."," "),"\"," "),"_"," "))&amp;" ")),1,0)))</f>
        <v/>
      </c>
      <c r="I355" s="10">
        <f>IF(OR(E355=0,F355=0,Task!$B$21=0),"",F355/Task!$B$21+0.5*G355+0.25*H355)</f>
        <v/>
      </c>
      <c r="J355" s="5">
        <f>IF(I355="","",I355-ROW()/1000000)</f>
        <v/>
      </c>
      <c r="K355" s="9">
        <f>IF(J355="","",COUNTIF($J$5:$J$404,"&gt;"&amp;J355)+1)</f>
        <v/>
      </c>
    </row>
    <row r="356">
      <c r="A356" s="7" t="n"/>
      <c r="B356" s="7" t="n"/>
      <c r="C356" s="7" t="n"/>
      <c r="D356" s="7" t="n"/>
      <c r="E356" s="5">
        <f>IF(A356="",0,IF(COUNTA(Task!$B$5:$E$5)=0,1,IF(COUNTIF(Task!$B$5:$E$5,B356)&gt;0,1,0)))</f>
        <v/>
      </c>
      <c r="F356" s="9">
        <f>IF(E356=0,0,IF(Task!$A$8="",0,IF(ISNUMBER(SEARCH(" "&amp;Task!$A$8&amp;" "," "&amp;LOWER(D356&amp;" "&amp;C356&amp;" "&amp;LOWER(SUBSTITUTE(SUBSTITUTE(SUBSTITUTE(SUBSTITUTE(A356,"/"," "),"."," "),"\"," "),"_"," ")))&amp;" ")),1,0))+IF(Task!$A$9="",0,IF(ISNUMBER(SEARCH(" "&amp;Task!$A$9&amp;" "," "&amp;LOWER(D356&amp;" "&amp;C356&amp;" "&amp;LOWER(SUBSTITUTE(SUBSTITUTE(SUBSTITUTE(SUBSTITUTE(A356,"/"," "),"."," "),"\"," "),"_"," ")))&amp;" ")),1,0))+IF(Task!$A$10="",0,IF(ISNUMBER(SEARCH(" "&amp;Task!$A$10&amp;" "," "&amp;LOWER(D356&amp;" "&amp;C356&amp;" "&amp;LOWER(SUBSTITUTE(SUBSTITUTE(SUBSTITUTE(SUBSTITUTE(A356,"/"," "),"."," "),"\"," "),"_"," ")))&amp;" ")),1,0))+IF(Task!$A$11="",0,IF(ISNUMBER(SEARCH(" "&amp;Task!$A$11&amp;" "," "&amp;LOWER(D356&amp;" "&amp;C356&amp;" "&amp;LOWER(SUBSTITUTE(SUBSTITUTE(SUBSTITUTE(SUBSTITUTE(A356,"/"," "),"."," "),"\"," "),"_"," ")))&amp;" ")),1,0))+IF(Task!$A$12="",0,IF(ISNUMBER(SEARCH(" "&amp;Task!$A$12&amp;" "," "&amp;LOWER(D356&amp;" "&amp;C356&amp;" "&amp;LOWER(SUBSTITUTE(SUBSTITUTE(SUBSTITUTE(SUBSTITUTE(A356,"/"," "),"."," "),"\"," "),"_"," ")))&amp;" ")),1,0))+IF(Task!$A$13="",0,IF(ISNUMBER(SEARCH(" "&amp;Task!$A$13&amp;" "," "&amp;LOWER(D356&amp;" "&amp;C356&amp;" "&amp;LOWER(SUBSTITUTE(SUBSTITUTE(SUBSTITUTE(SUBSTITUTE(A356,"/"," "),"."," "),"\"," "),"_"," ")))&amp;" ")),1,0))+IF(Task!$A$14="",0,IF(ISNUMBER(SEARCH(" "&amp;Task!$A$14&amp;" "," "&amp;LOWER(D356&amp;" "&amp;C356&amp;" "&amp;LOWER(SUBSTITUTE(SUBSTITUTE(SUBSTITUTE(SUBSTITUTE(A356,"/"," "),"."," "),"\"," "),"_"," ")))&amp;" ")),1,0))+IF(Task!$A$15="",0,IF(ISNUMBER(SEARCH(" "&amp;Task!$A$15&amp;" "," "&amp;LOWER(D356&amp;" "&amp;C356&amp;" "&amp;LOWER(SUBSTITUTE(SUBSTITUTE(SUBSTITUTE(SUBSTITUTE(A356,"/"," "),"."," "),"\"," "),"_"," ")))&amp;" ")),1,0))+IF(Task!$A$16="",0,IF(ISNUMBER(SEARCH(" "&amp;Task!$A$16&amp;" "," "&amp;LOWER(D356&amp;" "&amp;C356&amp;" "&amp;LOWER(SUBSTITUTE(SUBSTITUTE(SUBSTITUTE(SUBSTITUTE(A356,"/"," "),"."," "),"\"," "),"_"," ")))&amp;" ")),1,0))+IF(Task!$A$17="",0,IF(ISNUMBER(SEARCH(" "&amp;Task!$A$17&amp;" "," "&amp;LOWER(D356&amp;" "&amp;C356&amp;" "&amp;LOWER(SUBSTITUTE(SUBSTITUTE(SUBSTITUTE(SUBSTITUTE(A356,"/"," "),"."," "),"\"," "),"_"," ")))&amp;" ")),1,0))+IF(Task!$A$18="",0,IF(ISNUMBER(SEARCH(" "&amp;Task!$A$18&amp;" "," "&amp;LOWER(D356&amp;" "&amp;C356&amp;" "&amp;LOWER(SUBSTITUTE(SUBSTITUTE(SUBSTITUTE(SUBSTITUTE(A356,"/"," "),"."," "),"\"," "),"_"," ")))&amp;" ")),1,0))+IF(Task!$A$19="",0,IF(ISNUMBER(SEARCH(" "&amp;Task!$A$19&amp;" "," "&amp;LOWER(D356&amp;" "&amp;C356&amp;" "&amp;LOWER(SUBSTITUTE(SUBSTITUTE(SUBSTITUTE(SUBSTITUTE(A356,"/"," "),"."," "),"\"," "),"_"," ")))&amp;" ")),1,0)))</f>
        <v/>
      </c>
      <c r="G356" s="9">
        <f>IF(E356=0,0,IF(Task!$A$8="",0,IF(ISNUMBER(SEARCH(" "&amp;Task!$A$8&amp;" "," "&amp;LOWER(C356)&amp;" ")),1,0))+IF(Task!$A$9="",0,IF(ISNUMBER(SEARCH(" "&amp;Task!$A$9&amp;" "," "&amp;LOWER(C356)&amp;" ")),1,0))+IF(Task!$A$10="",0,IF(ISNUMBER(SEARCH(" "&amp;Task!$A$10&amp;" "," "&amp;LOWER(C356)&amp;" ")),1,0))+IF(Task!$A$11="",0,IF(ISNUMBER(SEARCH(" "&amp;Task!$A$11&amp;" "," "&amp;LOWER(C356)&amp;" ")),1,0))+IF(Task!$A$12="",0,IF(ISNUMBER(SEARCH(" "&amp;Task!$A$12&amp;" "," "&amp;LOWER(C356)&amp;" ")),1,0))+IF(Task!$A$13="",0,IF(ISNUMBER(SEARCH(" "&amp;Task!$A$13&amp;" "," "&amp;LOWER(C356)&amp;" ")),1,0))+IF(Task!$A$14="",0,IF(ISNUMBER(SEARCH(" "&amp;Task!$A$14&amp;" "," "&amp;LOWER(C356)&amp;" ")),1,0))+IF(Task!$A$15="",0,IF(ISNUMBER(SEARCH(" "&amp;Task!$A$15&amp;" "," "&amp;LOWER(C356)&amp;" ")),1,0))+IF(Task!$A$16="",0,IF(ISNUMBER(SEARCH(" "&amp;Task!$A$16&amp;" "," "&amp;LOWER(C356)&amp;" ")),1,0))+IF(Task!$A$17="",0,IF(ISNUMBER(SEARCH(" "&amp;Task!$A$17&amp;" "," "&amp;LOWER(C356)&amp;" ")),1,0))+IF(Task!$A$18="",0,IF(ISNUMBER(SEARCH(" "&amp;Task!$A$18&amp;" "," "&amp;LOWER(C356)&amp;" ")),1,0))+IF(Task!$A$19="",0,IF(ISNUMBER(SEARCH(" "&amp;Task!$A$19&amp;" "," "&amp;LOWER(C356)&amp;" ")),1,0)))</f>
        <v/>
      </c>
      <c r="H356" s="9">
        <f>IF(E356=0,0,IF(Task!$A$8="",0,IF(ISNUMBER(SEARCH(" "&amp;Task!$A$8&amp;" "," "&amp;LOWER(SUBSTITUTE(SUBSTITUTE(SUBSTITUTE(SUBSTITUTE(A356,"/"," "),"."," "),"\"," "),"_"," "))&amp;" ")),1,0))+IF(Task!$A$9="",0,IF(ISNUMBER(SEARCH(" "&amp;Task!$A$9&amp;" "," "&amp;LOWER(SUBSTITUTE(SUBSTITUTE(SUBSTITUTE(SUBSTITUTE(A356,"/"," "),"."," "),"\"," "),"_"," "))&amp;" ")),1,0))+IF(Task!$A$10="",0,IF(ISNUMBER(SEARCH(" "&amp;Task!$A$10&amp;" "," "&amp;LOWER(SUBSTITUTE(SUBSTITUTE(SUBSTITUTE(SUBSTITUTE(A356,"/"," "),"."," "),"\"," "),"_"," "))&amp;" ")),1,0))+IF(Task!$A$11="",0,IF(ISNUMBER(SEARCH(" "&amp;Task!$A$11&amp;" "," "&amp;LOWER(SUBSTITUTE(SUBSTITUTE(SUBSTITUTE(SUBSTITUTE(A356,"/"," "),"."," "),"\"," "),"_"," "))&amp;" ")),1,0))+IF(Task!$A$12="",0,IF(ISNUMBER(SEARCH(" "&amp;Task!$A$12&amp;" "," "&amp;LOWER(SUBSTITUTE(SUBSTITUTE(SUBSTITUTE(SUBSTITUTE(A356,"/"," "),"."," "),"\"," "),"_"," "))&amp;" ")),1,0))+IF(Task!$A$13="",0,IF(ISNUMBER(SEARCH(" "&amp;Task!$A$13&amp;" "," "&amp;LOWER(SUBSTITUTE(SUBSTITUTE(SUBSTITUTE(SUBSTITUTE(A356,"/"," "),"."," "),"\"," "),"_"," "))&amp;" ")),1,0))+IF(Task!$A$14="",0,IF(ISNUMBER(SEARCH(" "&amp;Task!$A$14&amp;" "," "&amp;LOWER(SUBSTITUTE(SUBSTITUTE(SUBSTITUTE(SUBSTITUTE(A356,"/"," "),"."," "),"\"," "),"_"," "))&amp;" ")),1,0))+IF(Task!$A$15="",0,IF(ISNUMBER(SEARCH(" "&amp;Task!$A$15&amp;" "," "&amp;LOWER(SUBSTITUTE(SUBSTITUTE(SUBSTITUTE(SUBSTITUTE(A356,"/"," "),"."," "),"\"," "),"_"," "))&amp;" ")),1,0))+IF(Task!$A$16="",0,IF(ISNUMBER(SEARCH(" "&amp;Task!$A$16&amp;" "," "&amp;LOWER(SUBSTITUTE(SUBSTITUTE(SUBSTITUTE(SUBSTITUTE(A356,"/"," "),"."," "),"\"," "),"_"," "))&amp;" ")),1,0))+IF(Task!$A$17="",0,IF(ISNUMBER(SEARCH(" "&amp;Task!$A$17&amp;" "," "&amp;LOWER(SUBSTITUTE(SUBSTITUTE(SUBSTITUTE(SUBSTITUTE(A356,"/"," "),"."," "),"\"," "),"_"," "))&amp;" ")),1,0))+IF(Task!$A$18="",0,IF(ISNUMBER(SEARCH(" "&amp;Task!$A$18&amp;" "," "&amp;LOWER(SUBSTITUTE(SUBSTITUTE(SUBSTITUTE(SUBSTITUTE(A356,"/"," "),"."," "),"\"," "),"_"," "))&amp;" ")),1,0))+IF(Task!$A$19="",0,IF(ISNUMBER(SEARCH(" "&amp;Task!$A$19&amp;" "," "&amp;LOWER(SUBSTITUTE(SUBSTITUTE(SUBSTITUTE(SUBSTITUTE(A356,"/"," "),"."," "),"\"," "),"_"," "))&amp;" ")),1,0)))</f>
        <v/>
      </c>
      <c r="I356" s="10">
        <f>IF(OR(E356=0,F356=0,Task!$B$21=0),"",F356/Task!$B$21+0.5*G356+0.25*H356)</f>
        <v/>
      </c>
      <c r="J356" s="5">
        <f>IF(I356="","",I356-ROW()/1000000)</f>
        <v/>
      </c>
      <c r="K356" s="9">
        <f>IF(J356="","",COUNTIF($J$5:$J$404,"&gt;"&amp;J356)+1)</f>
        <v/>
      </c>
    </row>
    <row r="357">
      <c r="A357" s="7" t="n"/>
      <c r="B357" s="7" t="n"/>
      <c r="C357" s="7" t="n"/>
      <c r="D357" s="7" t="n"/>
      <c r="E357" s="5">
        <f>IF(A357="",0,IF(COUNTA(Task!$B$5:$E$5)=0,1,IF(COUNTIF(Task!$B$5:$E$5,B357)&gt;0,1,0)))</f>
        <v/>
      </c>
      <c r="F357" s="9">
        <f>IF(E357=0,0,IF(Task!$A$8="",0,IF(ISNUMBER(SEARCH(" "&amp;Task!$A$8&amp;" "," "&amp;LOWER(D357&amp;" "&amp;C357&amp;" "&amp;LOWER(SUBSTITUTE(SUBSTITUTE(SUBSTITUTE(SUBSTITUTE(A357,"/"," "),"."," "),"\"," "),"_"," ")))&amp;" ")),1,0))+IF(Task!$A$9="",0,IF(ISNUMBER(SEARCH(" "&amp;Task!$A$9&amp;" "," "&amp;LOWER(D357&amp;" "&amp;C357&amp;" "&amp;LOWER(SUBSTITUTE(SUBSTITUTE(SUBSTITUTE(SUBSTITUTE(A357,"/"," "),"."," "),"\"," "),"_"," ")))&amp;" ")),1,0))+IF(Task!$A$10="",0,IF(ISNUMBER(SEARCH(" "&amp;Task!$A$10&amp;" "," "&amp;LOWER(D357&amp;" "&amp;C357&amp;" "&amp;LOWER(SUBSTITUTE(SUBSTITUTE(SUBSTITUTE(SUBSTITUTE(A357,"/"," "),"."," "),"\"," "),"_"," ")))&amp;" ")),1,0))+IF(Task!$A$11="",0,IF(ISNUMBER(SEARCH(" "&amp;Task!$A$11&amp;" "," "&amp;LOWER(D357&amp;" "&amp;C357&amp;" "&amp;LOWER(SUBSTITUTE(SUBSTITUTE(SUBSTITUTE(SUBSTITUTE(A357,"/"," "),"."," "),"\"," "),"_"," ")))&amp;" ")),1,0))+IF(Task!$A$12="",0,IF(ISNUMBER(SEARCH(" "&amp;Task!$A$12&amp;" "," "&amp;LOWER(D357&amp;" "&amp;C357&amp;" "&amp;LOWER(SUBSTITUTE(SUBSTITUTE(SUBSTITUTE(SUBSTITUTE(A357,"/"," "),"."," "),"\"," "),"_"," ")))&amp;" ")),1,0))+IF(Task!$A$13="",0,IF(ISNUMBER(SEARCH(" "&amp;Task!$A$13&amp;" "," "&amp;LOWER(D357&amp;" "&amp;C357&amp;" "&amp;LOWER(SUBSTITUTE(SUBSTITUTE(SUBSTITUTE(SUBSTITUTE(A357,"/"," "),"."," "),"\"," "),"_"," ")))&amp;" ")),1,0))+IF(Task!$A$14="",0,IF(ISNUMBER(SEARCH(" "&amp;Task!$A$14&amp;" "," "&amp;LOWER(D357&amp;" "&amp;C357&amp;" "&amp;LOWER(SUBSTITUTE(SUBSTITUTE(SUBSTITUTE(SUBSTITUTE(A357,"/"," "),"."," "),"\"," "),"_"," ")))&amp;" ")),1,0))+IF(Task!$A$15="",0,IF(ISNUMBER(SEARCH(" "&amp;Task!$A$15&amp;" "," "&amp;LOWER(D357&amp;" "&amp;C357&amp;" "&amp;LOWER(SUBSTITUTE(SUBSTITUTE(SUBSTITUTE(SUBSTITUTE(A357,"/"," "),"."," "),"\"," "),"_"," ")))&amp;" ")),1,0))+IF(Task!$A$16="",0,IF(ISNUMBER(SEARCH(" "&amp;Task!$A$16&amp;" "," "&amp;LOWER(D357&amp;" "&amp;C357&amp;" "&amp;LOWER(SUBSTITUTE(SUBSTITUTE(SUBSTITUTE(SUBSTITUTE(A357,"/"," "),"."," "),"\"," "),"_"," ")))&amp;" ")),1,0))+IF(Task!$A$17="",0,IF(ISNUMBER(SEARCH(" "&amp;Task!$A$17&amp;" "," "&amp;LOWER(D357&amp;" "&amp;C357&amp;" "&amp;LOWER(SUBSTITUTE(SUBSTITUTE(SUBSTITUTE(SUBSTITUTE(A357,"/"," "),"."," "),"\"," "),"_"," ")))&amp;" ")),1,0))+IF(Task!$A$18="",0,IF(ISNUMBER(SEARCH(" "&amp;Task!$A$18&amp;" "," "&amp;LOWER(D357&amp;" "&amp;C357&amp;" "&amp;LOWER(SUBSTITUTE(SUBSTITUTE(SUBSTITUTE(SUBSTITUTE(A357,"/"," "),"."," "),"\"," "),"_"," ")))&amp;" ")),1,0))+IF(Task!$A$19="",0,IF(ISNUMBER(SEARCH(" "&amp;Task!$A$19&amp;" "," "&amp;LOWER(D357&amp;" "&amp;C357&amp;" "&amp;LOWER(SUBSTITUTE(SUBSTITUTE(SUBSTITUTE(SUBSTITUTE(A357,"/"," "),"."," "),"\"," "),"_"," ")))&amp;" ")),1,0)))</f>
        <v/>
      </c>
      <c r="G357" s="9">
        <f>IF(E357=0,0,IF(Task!$A$8="",0,IF(ISNUMBER(SEARCH(" "&amp;Task!$A$8&amp;" "," "&amp;LOWER(C357)&amp;" ")),1,0))+IF(Task!$A$9="",0,IF(ISNUMBER(SEARCH(" "&amp;Task!$A$9&amp;" "," "&amp;LOWER(C357)&amp;" ")),1,0))+IF(Task!$A$10="",0,IF(ISNUMBER(SEARCH(" "&amp;Task!$A$10&amp;" "," "&amp;LOWER(C357)&amp;" ")),1,0))+IF(Task!$A$11="",0,IF(ISNUMBER(SEARCH(" "&amp;Task!$A$11&amp;" "," "&amp;LOWER(C357)&amp;" ")),1,0))+IF(Task!$A$12="",0,IF(ISNUMBER(SEARCH(" "&amp;Task!$A$12&amp;" "," "&amp;LOWER(C357)&amp;" ")),1,0))+IF(Task!$A$13="",0,IF(ISNUMBER(SEARCH(" "&amp;Task!$A$13&amp;" "," "&amp;LOWER(C357)&amp;" ")),1,0))+IF(Task!$A$14="",0,IF(ISNUMBER(SEARCH(" "&amp;Task!$A$14&amp;" "," "&amp;LOWER(C357)&amp;" ")),1,0))+IF(Task!$A$15="",0,IF(ISNUMBER(SEARCH(" "&amp;Task!$A$15&amp;" "," "&amp;LOWER(C357)&amp;" ")),1,0))+IF(Task!$A$16="",0,IF(ISNUMBER(SEARCH(" "&amp;Task!$A$16&amp;" "," "&amp;LOWER(C357)&amp;" ")),1,0))+IF(Task!$A$17="",0,IF(ISNUMBER(SEARCH(" "&amp;Task!$A$17&amp;" "," "&amp;LOWER(C357)&amp;" ")),1,0))+IF(Task!$A$18="",0,IF(ISNUMBER(SEARCH(" "&amp;Task!$A$18&amp;" "," "&amp;LOWER(C357)&amp;" ")),1,0))+IF(Task!$A$19="",0,IF(ISNUMBER(SEARCH(" "&amp;Task!$A$19&amp;" "," "&amp;LOWER(C357)&amp;" ")),1,0)))</f>
        <v/>
      </c>
      <c r="H357" s="9">
        <f>IF(E357=0,0,IF(Task!$A$8="",0,IF(ISNUMBER(SEARCH(" "&amp;Task!$A$8&amp;" "," "&amp;LOWER(SUBSTITUTE(SUBSTITUTE(SUBSTITUTE(SUBSTITUTE(A357,"/"," "),"."," "),"\"," "),"_"," "))&amp;" ")),1,0))+IF(Task!$A$9="",0,IF(ISNUMBER(SEARCH(" "&amp;Task!$A$9&amp;" "," "&amp;LOWER(SUBSTITUTE(SUBSTITUTE(SUBSTITUTE(SUBSTITUTE(A357,"/"," "),"."," "),"\"," "),"_"," "))&amp;" ")),1,0))+IF(Task!$A$10="",0,IF(ISNUMBER(SEARCH(" "&amp;Task!$A$10&amp;" "," "&amp;LOWER(SUBSTITUTE(SUBSTITUTE(SUBSTITUTE(SUBSTITUTE(A357,"/"," "),"."," "),"\"," "),"_"," "))&amp;" ")),1,0))+IF(Task!$A$11="",0,IF(ISNUMBER(SEARCH(" "&amp;Task!$A$11&amp;" "," "&amp;LOWER(SUBSTITUTE(SUBSTITUTE(SUBSTITUTE(SUBSTITUTE(A357,"/"," "),"."," "),"\"," "),"_"," "))&amp;" ")),1,0))+IF(Task!$A$12="",0,IF(ISNUMBER(SEARCH(" "&amp;Task!$A$12&amp;" "," "&amp;LOWER(SUBSTITUTE(SUBSTITUTE(SUBSTITUTE(SUBSTITUTE(A357,"/"," "),"."," "),"\"," "),"_"," "))&amp;" ")),1,0))+IF(Task!$A$13="",0,IF(ISNUMBER(SEARCH(" "&amp;Task!$A$13&amp;" "," "&amp;LOWER(SUBSTITUTE(SUBSTITUTE(SUBSTITUTE(SUBSTITUTE(A357,"/"," "),"."," "),"\"," "),"_"," "))&amp;" ")),1,0))+IF(Task!$A$14="",0,IF(ISNUMBER(SEARCH(" "&amp;Task!$A$14&amp;" "," "&amp;LOWER(SUBSTITUTE(SUBSTITUTE(SUBSTITUTE(SUBSTITUTE(A357,"/"," "),"."," "),"\"," "),"_"," "))&amp;" ")),1,0))+IF(Task!$A$15="",0,IF(ISNUMBER(SEARCH(" "&amp;Task!$A$15&amp;" "," "&amp;LOWER(SUBSTITUTE(SUBSTITUTE(SUBSTITUTE(SUBSTITUTE(A357,"/"," "),"."," "),"\"," "),"_"," "))&amp;" ")),1,0))+IF(Task!$A$16="",0,IF(ISNUMBER(SEARCH(" "&amp;Task!$A$16&amp;" "," "&amp;LOWER(SUBSTITUTE(SUBSTITUTE(SUBSTITUTE(SUBSTITUTE(A357,"/"," "),"."," "),"\"," "),"_"," "))&amp;" ")),1,0))+IF(Task!$A$17="",0,IF(ISNUMBER(SEARCH(" "&amp;Task!$A$17&amp;" "," "&amp;LOWER(SUBSTITUTE(SUBSTITUTE(SUBSTITUTE(SUBSTITUTE(A357,"/"," "),"."," "),"\"," "),"_"," "))&amp;" ")),1,0))+IF(Task!$A$18="",0,IF(ISNUMBER(SEARCH(" "&amp;Task!$A$18&amp;" "," "&amp;LOWER(SUBSTITUTE(SUBSTITUTE(SUBSTITUTE(SUBSTITUTE(A357,"/"," "),"."," "),"\"," "),"_"," "))&amp;" ")),1,0))+IF(Task!$A$19="",0,IF(ISNUMBER(SEARCH(" "&amp;Task!$A$19&amp;" "," "&amp;LOWER(SUBSTITUTE(SUBSTITUTE(SUBSTITUTE(SUBSTITUTE(A357,"/"," "),"."," "),"\"," "),"_"," "))&amp;" ")),1,0)))</f>
        <v/>
      </c>
      <c r="I357" s="10">
        <f>IF(OR(E357=0,F357=0,Task!$B$21=0),"",F357/Task!$B$21+0.5*G357+0.25*H357)</f>
        <v/>
      </c>
      <c r="J357" s="5">
        <f>IF(I357="","",I357-ROW()/1000000)</f>
        <v/>
      </c>
      <c r="K357" s="9">
        <f>IF(J357="","",COUNTIF($J$5:$J$404,"&gt;"&amp;J357)+1)</f>
        <v/>
      </c>
    </row>
    <row r="358">
      <c r="A358" s="7" t="n"/>
      <c r="B358" s="7" t="n"/>
      <c r="C358" s="7" t="n"/>
      <c r="D358" s="7" t="n"/>
      <c r="E358" s="5">
        <f>IF(A358="",0,IF(COUNTA(Task!$B$5:$E$5)=0,1,IF(COUNTIF(Task!$B$5:$E$5,B358)&gt;0,1,0)))</f>
        <v/>
      </c>
      <c r="F358" s="9">
        <f>IF(E358=0,0,IF(Task!$A$8="",0,IF(ISNUMBER(SEARCH(" "&amp;Task!$A$8&amp;" "," "&amp;LOWER(D358&amp;" "&amp;C358&amp;" "&amp;LOWER(SUBSTITUTE(SUBSTITUTE(SUBSTITUTE(SUBSTITUTE(A358,"/"," "),"."," "),"\"," "),"_"," ")))&amp;" ")),1,0))+IF(Task!$A$9="",0,IF(ISNUMBER(SEARCH(" "&amp;Task!$A$9&amp;" "," "&amp;LOWER(D358&amp;" "&amp;C358&amp;" "&amp;LOWER(SUBSTITUTE(SUBSTITUTE(SUBSTITUTE(SUBSTITUTE(A358,"/"," "),"."," "),"\"," "),"_"," ")))&amp;" ")),1,0))+IF(Task!$A$10="",0,IF(ISNUMBER(SEARCH(" "&amp;Task!$A$10&amp;" "," "&amp;LOWER(D358&amp;" "&amp;C358&amp;" "&amp;LOWER(SUBSTITUTE(SUBSTITUTE(SUBSTITUTE(SUBSTITUTE(A358,"/"," "),"."," "),"\"," "),"_"," ")))&amp;" ")),1,0))+IF(Task!$A$11="",0,IF(ISNUMBER(SEARCH(" "&amp;Task!$A$11&amp;" "," "&amp;LOWER(D358&amp;" "&amp;C358&amp;" "&amp;LOWER(SUBSTITUTE(SUBSTITUTE(SUBSTITUTE(SUBSTITUTE(A358,"/"," "),"."," "),"\"," "),"_"," ")))&amp;" ")),1,0))+IF(Task!$A$12="",0,IF(ISNUMBER(SEARCH(" "&amp;Task!$A$12&amp;" "," "&amp;LOWER(D358&amp;" "&amp;C358&amp;" "&amp;LOWER(SUBSTITUTE(SUBSTITUTE(SUBSTITUTE(SUBSTITUTE(A358,"/"," "),"."," "),"\"," "),"_"," ")))&amp;" ")),1,0))+IF(Task!$A$13="",0,IF(ISNUMBER(SEARCH(" "&amp;Task!$A$13&amp;" "," "&amp;LOWER(D358&amp;" "&amp;C358&amp;" "&amp;LOWER(SUBSTITUTE(SUBSTITUTE(SUBSTITUTE(SUBSTITUTE(A358,"/"," "),"."," "),"\"," "),"_"," ")))&amp;" ")),1,0))+IF(Task!$A$14="",0,IF(ISNUMBER(SEARCH(" "&amp;Task!$A$14&amp;" "," "&amp;LOWER(D358&amp;" "&amp;C358&amp;" "&amp;LOWER(SUBSTITUTE(SUBSTITUTE(SUBSTITUTE(SUBSTITUTE(A358,"/"," "),"."," "),"\"," "),"_"," ")))&amp;" ")),1,0))+IF(Task!$A$15="",0,IF(ISNUMBER(SEARCH(" "&amp;Task!$A$15&amp;" "," "&amp;LOWER(D358&amp;" "&amp;C358&amp;" "&amp;LOWER(SUBSTITUTE(SUBSTITUTE(SUBSTITUTE(SUBSTITUTE(A358,"/"," "),"."," "),"\"," "),"_"," ")))&amp;" ")),1,0))+IF(Task!$A$16="",0,IF(ISNUMBER(SEARCH(" "&amp;Task!$A$16&amp;" "," "&amp;LOWER(D358&amp;" "&amp;C358&amp;" "&amp;LOWER(SUBSTITUTE(SUBSTITUTE(SUBSTITUTE(SUBSTITUTE(A358,"/"," "),"."," "),"\"," "),"_"," ")))&amp;" ")),1,0))+IF(Task!$A$17="",0,IF(ISNUMBER(SEARCH(" "&amp;Task!$A$17&amp;" "," "&amp;LOWER(D358&amp;" "&amp;C358&amp;" "&amp;LOWER(SUBSTITUTE(SUBSTITUTE(SUBSTITUTE(SUBSTITUTE(A358,"/"," "),"."," "),"\"," "),"_"," ")))&amp;" ")),1,0))+IF(Task!$A$18="",0,IF(ISNUMBER(SEARCH(" "&amp;Task!$A$18&amp;" "," "&amp;LOWER(D358&amp;" "&amp;C358&amp;" "&amp;LOWER(SUBSTITUTE(SUBSTITUTE(SUBSTITUTE(SUBSTITUTE(A358,"/"," "),"."," "),"\"," "),"_"," ")))&amp;" ")),1,0))+IF(Task!$A$19="",0,IF(ISNUMBER(SEARCH(" "&amp;Task!$A$19&amp;" "," "&amp;LOWER(D358&amp;" "&amp;C358&amp;" "&amp;LOWER(SUBSTITUTE(SUBSTITUTE(SUBSTITUTE(SUBSTITUTE(A358,"/"," "),"."," "),"\"," "),"_"," ")))&amp;" ")),1,0)))</f>
        <v/>
      </c>
      <c r="G358" s="9">
        <f>IF(E358=0,0,IF(Task!$A$8="",0,IF(ISNUMBER(SEARCH(" "&amp;Task!$A$8&amp;" "," "&amp;LOWER(C358)&amp;" ")),1,0))+IF(Task!$A$9="",0,IF(ISNUMBER(SEARCH(" "&amp;Task!$A$9&amp;" "," "&amp;LOWER(C358)&amp;" ")),1,0))+IF(Task!$A$10="",0,IF(ISNUMBER(SEARCH(" "&amp;Task!$A$10&amp;" "," "&amp;LOWER(C358)&amp;" ")),1,0))+IF(Task!$A$11="",0,IF(ISNUMBER(SEARCH(" "&amp;Task!$A$11&amp;" "," "&amp;LOWER(C358)&amp;" ")),1,0))+IF(Task!$A$12="",0,IF(ISNUMBER(SEARCH(" "&amp;Task!$A$12&amp;" "," "&amp;LOWER(C358)&amp;" ")),1,0))+IF(Task!$A$13="",0,IF(ISNUMBER(SEARCH(" "&amp;Task!$A$13&amp;" "," "&amp;LOWER(C358)&amp;" ")),1,0))+IF(Task!$A$14="",0,IF(ISNUMBER(SEARCH(" "&amp;Task!$A$14&amp;" "," "&amp;LOWER(C358)&amp;" ")),1,0))+IF(Task!$A$15="",0,IF(ISNUMBER(SEARCH(" "&amp;Task!$A$15&amp;" "," "&amp;LOWER(C358)&amp;" ")),1,0))+IF(Task!$A$16="",0,IF(ISNUMBER(SEARCH(" "&amp;Task!$A$16&amp;" "," "&amp;LOWER(C358)&amp;" ")),1,0))+IF(Task!$A$17="",0,IF(ISNUMBER(SEARCH(" "&amp;Task!$A$17&amp;" "," "&amp;LOWER(C358)&amp;" ")),1,0))+IF(Task!$A$18="",0,IF(ISNUMBER(SEARCH(" "&amp;Task!$A$18&amp;" "," "&amp;LOWER(C358)&amp;" ")),1,0))+IF(Task!$A$19="",0,IF(ISNUMBER(SEARCH(" "&amp;Task!$A$19&amp;" "," "&amp;LOWER(C358)&amp;" ")),1,0)))</f>
        <v/>
      </c>
      <c r="H358" s="9">
        <f>IF(E358=0,0,IF(Task!$A$8="",0,IF(ISNUMBER(SEARCH(" "&amp;Task!$A$8&amp;" "," "&amp;LOWER(SUBSTITUTE(SUBSTITUTE(SUBSTITUTE(SUBSTITUTE(A358,"/"," "),"."," "),"\"," "),"_"," "))&amp;" ")),1,0))+IF(Task!$A$9="",0,IF(ISNUMBER(SEARCH(" "&amp;Task!$A$9&amp;" "," "&amp;LOWER(SUBSTITUTE(SUBSTITUTE(SUBSTITUTE(SUBSTITUTE(A358,"/"," "),"."," "),"\"," "),"_"," "))&amp;" ")),1,0))+IF(Task!$A$10="",0,IF(ISNUMBER(SEARCH(" "&amp;Task!$A$10&amp;" "," "&amp;LOWER(SUBSTITUTE(SUBSTITUTE(SUBSTITUTE(SUBSTITUTE(A358,"/"," "),"."," "),"\"," "),"_"," "))&amp;" ")),1,0))+IF(Task!$A$11="",0,IF(ISNUMBER(SEARCH(" "&amp;Task!$A$11&amp;" "," "&amp;LOWER(SUBSTITUTE(SUBSTITUTE(SUBSTITUTE(SUBSTITUTE(A358,"/"," "),"."," "),"\"," "),"_"," "))&amp;" ")),1,0))+IF(Task!$A$12="",0,IF(ISNUMBER(SEARCH(" "&amp;Task!$A$12&amp;" "," "&amp;LOWER(SUBSTITUTE(SUBSTITUTE(SUBSTITUTE(SUBSTITUTE(A358,"/"," "),"."," "),"\"," "),"_"," "))&amp;" ")),1,0))+IF(Task!$A$13="",0,IF(ISNUMBER(SEARCH(" "&amp;Task!$A$13&amp;" "," "&amp;LOWER(SUBSTITUTE(SUBSTITUTE(SUBSTITUTE(SUBSTITUTE(A358,"/"," "),"."," "),"\"," "),"_"," "))&amp;" ")),1,0))+IF(Task!$A$14="",0,IF(ISNUMBER(SEARCH(" "&amp;Task!$A$14&amp;" "," "&amp;LOWER(SUBSTITUTE(SUBSTITUTE(SUBSTITUTE(SUBSTITUTE(A358,"/"," "),"."," "),"\"," "),"_"," "))&amp;" ")),1,0))+IF(Task!$A$15="",0,IF(ISNUMBER(SEARCH(" "&amp;Task!$A$15&amp;" "," "&amp;LOWER(SUBSTITUTE(SUBSTITUTE(SUBSTITUTE(SUBSTITUTE(A358,"/"," "),"."," "),"\"," "),"_"," "))&amp;" ")),1,0))+IF(Task!$A$16="",0,IF(ISNUMBER(SEARCH(" "&amp;Task!$A$16&amp;" "," "&amp;LOWER(SUBSTITUTE(SUBSTITUTE(SUBSTITUTE(SUBSTITUTE(A358,"/"," "),"."," "),"\"," "),"_"," "))&amp;" ")),1,0))+IF(Task!$A$17="",0,IF(ISNUMBER(SEARCH(" "&amp;Task!$A$17&amp;" "," "&amp;LOWER(SUBSTITUTE(SUBSTITUTE(SUBSTITUTE(SUBSTITUTE(A358,"/"," "),"."," "),"\"," "),"_"," "))&amp;" ")),1,0))+IF(Task!$A$18="",0,IF(ISNUMBER(SEARCH(" "&amp;Task!$A$18&amp;" "," "&amp;LOWER(SUBSTITUTE(SUBSTITUTE(SUBSTITUTE(SUBSTITUTE(A358,"/"," "),"."," "),"\"," "),"_"," "))&amp;" ")),1,0))+IF(Task!$A$19="",0,IF(ISNUMBER(SEARCH(" "&amp;Task!$A$19&amp;" "," "&amp;LOWER(SUBSTITUTE(SUBSTITUTE(SUBSTITUTE(SUBSTITUTE(A358,"/"," "),"."," "),"\"," "),"_"," "))&amp;" ")),1,0)))</f>
        <v/>
      </c>
      <c r="I358" s="10">
        <f>IF(OR(E358=0,F358=0,Task!$B$21=0),"",F358/Task!$B$21+0.5*G358+0.25*H358)</f>
        <v/>
      </c>
      <c r="J358" s="5">
        <f>IF(I358="","",I358-ROW()/1000000)</f>
        <v/>
      </c>
      <c r="K358" s="9">
        <f>IF(J358="","",COUNTIF($J$5:$J$404,"&gt;"&amp;J358)+1)</f>
        <v/>
      </c>
    </row>
    <row r="359">
      <c r="A359" s="7" t="n"/>
      <c r="B359" s="7" t="n"/>
      <c r="C359" s="7" t="n"/>
      <c r="D359" s="7" t="n"/>
      <c r="E359" s="5">
        <f>IF(A359="",0,IF(COUNTA(Task!$B$5:$E$5)=0,1,IF(COUNTIF(Task!$B$5:$E$5,B359)&gt;0,1,0)))</f>
        <v/>
      </c>
      <c r="F359" s="9">
        <f>IF(E359=0,0,IF(Task!$A$8="",0,IF(ISNUMBER(SEARCH(" "&amp;Task!$A$8&amp;" "," "&amp;LOWER(D359&amp;" "&amp;C359&amp;" "&amp;LOWER(SUBSTITUTE(SUBSTITUTE(SUBSTITUTE(SUBSTITUTE(A359,"/"," "),"."," "),"\"," "),"_"," ")))&amp;" ")),1,0))+IF(Task!$A$9="",0,IF(ISNUMBER(SEARCH(" "&amp;Task!$A$9&amp;" "," "&amp;LOWER(D359&amp;" "&amp;C359&amp;" "&amp;LOWER(SUBSTITUTE(SUBSTITUTE(SUBSTITUTE(SUBSTITUTE(A359,"/"," "),"."," "),"\"," "),"_"," ")))&amp;" ")),1,0))+IF(Task!$A$10="",0,IF(ISNUMBER(SEARCH(" "&amp;Task!$A$10&amp;" "," "&amp;LOWER(D359&amp;" "&amp;C359&amp;" "&amp;LOWER(SUBSTITUTE(SUBSTITUTE(SUBSTITUTE(SUBSTITUTE(A359,"/"," "),"."," "),"\"," "),"_"," ")))&amp;" ")),1,0))+IF(Task!$A$11="",0,IF(ISNUMBER(SEARCH(" "&amp;Task!$A$11&amp;" "," "&amp;LOWER(D359&amp;" "&amp;C359&amp;" "&amp;LOWER(SUBSTITUTE(SUBSTITUTE(SUBSTITUTE(SUBSTITUTE(A359,"/"," "),"."," "),"\"," "),"_"," ")))&amp;" ")),1,0))+IF(Task!$A$12="",0,IF(ISNUMBER(SEARCH(" "&amp;Task!$A$12&amp;" "," "&amp;LOWER(D359&amp;" "&amp;C359&amp;" "&amp;LOWER(SUBSTITUTE(SUBSTITUTE(SUBSTITUTE(SUBSTITUTE(A359,"/"," "),"."," "),"\"," "),"_"," ")))&amp;" ")),1,0))+IF(Task!$A$13="",0,IF(ISNUMBER(SEARCH(" "&amp;Task!$A$13&amp;" "," "&amp;LOWER(D359&amp;" "&amp;C359&amp;" "&amp;LOWER(SUBSTITUTE(SUBSTITUTE(SUBSTITUTE(SUBSTITUTE(A359,"/"," "),"."," "),"\"," "),"_"," ")))&amp;" ")),1,0))+IF(Task!$A$14="",0,IF(ISNUMBER(SEARCH(" "&amp;Task!$A$14&amp;" "," "&amp;LOWER(D359&amp;" "&amp;C359&amp;" "&amp;LOWER(SUBSTITUTE(SUBSTITUTE(SUBSTITUTE(SUBSTITUTE(A359,"/"," "),"."," "),"\"," "),"_"," ")))&amp;" ")),1,0))+IF(Task!$A$15="",0,IF(ISNUMBER(SEARCH(" "&amp;Task!$A$15&amp;" "," "&amp;LOWER(D359&amp;" "&amp;C359&amp;" "&amp;LOWER(SUBSTITUTE(SUBSTITUTE(SUBSTITUTE(SUBSTITUTE(A359,"/"," "),"."," "),"\"," "),"_"," ")))&amp;" ")),1,0))+IF(Task!$A$16="",0,IF(ISNUMBER(SEARCH(" "&amp;Task!$A$16&amp;" "," "&amp;LOWER(D359&amp;" "&amp;C359&amp;" "&amp;LOWER(SUBSTITUTE(SUBSTITUTE(SUBSTITUTE(SUBSTITUTE(A359,"/"," "),"."," "),"\"," "),"_"," ")))&amp;" ")),1,0))+IF(Task!$A$17="",0,IF(ISNUMBER(SEARCH(" "&amp;Task!$A$17&amp;" "," "&amp;LOWER(D359&amp;" "&amp;C359&amp;" "&amp;LOWER(SUBSTITUTE(SUBSTITUTE(SUBSTITUTE(SUBSTITUTE(A359,"/"," "),"."," "),"\"," "),"_"," ")))&amp;" ")),1,0))+IF(Task!$A$18="",0,IF(ISNUMBER(SEARCH(" "&amp;Task!$A$18&amp;" "," "&amp;LOWER(D359&amp;" "&amp;C359&amp;" "&amp;LOWER(SUBSTITUTE(SUBSTITUTE(SUBSTITUTE(SUBSTITUTE(A359,"/"," "),"."," "),"\"," "),"_"," ")))&amp;" ")),1,0))+IF(Task!$A$19="",0,IF(ISNUMBER(SEARCH(" "&amp;Task!$A$19&amp;" "," "&amp;LOWER(D359&amp;" "&amp;C359&amp;" "&amp;LOWER(SUBSTITUTE(SUBSTITUTE(SUBSTITUTE(SUBSTITUTE(A359,"/"," "),"."," "),"\"," "),"_"," ")))&amp;" ")),1,0)))</f>
        <v/>
      </c>
      <c r="G359" s="9">
        <f>IF(E359=0,0,IF(Task!$A$8="",0,IF(ISNUMBER(SEARCH(" "&amp;Task!$A$8&amp;" "," "&amp;LOWER(C359)&amp;" ")),1,0))+IF(Task!$A$9="",0,IF(ISNUMBER(SEARCH(" "&amp;Task!$A$9&amp;" "," "&amp;LOWER(C359)&amp;" ")),1,0))+IF(Task!$A$10="",0,IF(ISNUMBER(SEARCH(" "&amp;Task!$A$10&amp;" "," "&amp;LOWER(C359)&amp;" ")),1,0))+IF(Task!$A$11="",0,IF(ISNUMBER(SEARCH(" "&amp;Task!$A$11&amp;" "," "&amp;LOWER(C359)&amp;" ")),1,0))+IF(Task!$A$12="",0,IF(ISNUMBER(SEARCH(" "&amp;Task!$A$12&amp;" "," "&amp;LOWER(C359)&amp;" ")),1,0))+IF(Task!$A$13="",0,IF(ISNUMBER(SEARCH(" "&amp;Task!$A$13&amp;" "," "&amp;LOWER(C359)&amp;" ")),1,0))+IF(Task!$A$14="",0,IF(ISNUMBER(SEARCH(" "&amp;Task!$A$14&amp;" "," "&amp;LOWER(C359)&amp;" ")),1,0))+IF(Task!$A$15="",0,IF(ISNUMBER(SEARCH(" "&amp;Task!$A$15&amp;" "," "&amp;LOWER(C359)&amp;" ")),1,0))+IF(Task!$A$16="",0,IF(ISNUMBER(SEARCH(" "&amp;Task!$A$16&amp;" "," "&amp;LOWER(C359)&amp;" ")),1,0))+IF(Task!$A$17="",0,IF(ISNUMBER(SEARCH(" "&amp;Task!$A$17&amp;" "," "&amp;LOWER(C359)&amp;" ")),1,0))+IF(Task!$A$18="",0,IF(ISNUMBER(SEARCH(" "&amp;Task!$A$18&amp;" "," "&amp;LOWER(C359)&amp;" ")),1,0))+IF(Task!$A$19="",0,IF(ISNUMBER(SEARCH(" "&amp;Task!$A$19&amp;" "," "&amp;LOWER(C359)&amp;" ")),1,0)))</f>
        <v/>
      </c>
      <c r="H359" s="9">
        <f>IF(E359=0,0,IF(Task!$A$8="",0,IF(ISNUMBER(SEARCH(" "&amp;Task!$A$8&amp;" "," "&amp;LOWER(SUBSTITUTE(SUBSTITUTE(SUBSTITUTE(SUBSTITUTE(A359,"/"," "),"."," "),"\"," "),"_"," "))&amp;" ")),1,0))+IF(Task!$A$9="",0,IF(ISNUMBER(SEARCH(" "&amp;Task!$A$9&amp;" "," "&amp;LOWER(SUBSTITUTE(SUBSTITUTE(SUBSTITUTE(SUBSTITUTE(A359,"/"," "),"."," "),"\"," "),"_"," "))&amp;" ")),1,0))+IF(Task!$A$10="",0,IF(ISNUMBER(SEARCH(" "&amp;Task!$A$10&amp;" "," "&amp;LOWER(SUBSTITUTE(SUBSTITUTE(SUBSTITUTE(SUBSTITUTE(A359,"/"," "),"."," "),"\"," "),"_"," "))&amp;" ")),1,0))+IF(Task!$A$11="",0,IF(ISNUMBER(SEARCH(" "&amp;Task!$A$11&amp;" "," "&amp;LOWER(SUBSTITUTE(SUBSTITUTE(SUBSTITUTE(SUBSTITUTE(A359,"/"," "),"."," "),"\"," "),"_"," "))&amp;" ")),1,0))+IF(Task!$A$12="",0,IF(ISNUMBER(SEARCH(" "&amp;Task!$A$12&amp;" "," "&amp;LOWER(SUBSTITUTE(SUBSTITUTE(SUBSTITUTE(SUBSTITUTE(A359,"/"," "),"."," "),"\"," "),"_"," "))&amp;" ")),1,0))+IF(Task!$A$13="",0,IF(ISNUMBER(SEARCH(" "&amp;Task!$A$13&amp;" "," "&amp;LOWER(SUBSTITUTE(SUBSTITUTE(SUBSTITUTE(SUBSTITUTE(A359,"/"," "),"."," "),"\"," "),"_"," "))&amp;" ")),1,0))+IF(Task!$A$14="",0,IF(ISNUMBER(SEARCH(" "&amp;Task!$A$14&amp;" "," "&amp;LOWER(SUBSTITUTE(SUBSTITUTE(SUBSTITUTE(SUBSTITUTE(A359,"/"," "),"."," "),"\"," "),"_"," "))&amp;" ")),1,0))+IF(Task!$A$15="",0,IF(ISNUMBER(SEARCH(" "&amp;Task!$A$15&amp;" "," "&amp;LOWER(SUBSTITUTE(SUBSTITUTE(SUBSTITUTE(SUBSTITUTE(A359,"/"," "),"."," "),"\"," "),"_"," "))&amp;" ")),1,0))+IF(Task!$A$16="",0,IF(ISNUMBER(SEARCH(" "&amp;Task!$A$16&amp;" "," "&amp;LOWER(SUBSTITUTE(SUBSTITUTE(SUBSTITUTE(SUBSTITUTE(A359,"/"," "),"."," "),"\"," "),"_"," "))&amp;" ")),1,0))+IF(Task!$A$17="",0,IF(ISNUMBER(SEARCH(" "&amp;Task!$A$17&amp;" "," "&amp;LOWER(SUBSTITUTE(SUBSTITUTE(SUBSTITUTE(SUBSTITUTE(A359,"/"," "),"."," "),"\"," "),"_"," "))&amp;" ")),1,0))+IF(Task!$A$18="",0,IF(ISNUMBER(SEARCH(" "&amp;Task!$A$18&amp;" "," "&amp;LOWER(SUBSTITUTE(SUBSTITUTE(SUBSTITUTE(SUBSTITUTE(A359,"/"," "),"."," "),"\"," "),"_"," "))&amp;" ")),1,0))+IF(Task!$A$19="",0,IF(ISNUMBER(SEARCH(" "&amp;Task!$A$19&amp;" "," "&amp;LOWER(SUBSTITUTE(SUBSTITUTE(SUBSTITUTE(SUBSTITUTE(A359,"/"," "),"."," "),"\"," "),"_"," "))&amp;" ")),1,0)))</f>
        <v/>
      </c>
      <c r="I359" s="10">
        <f>IF(OR(E359=0,F359=0,Task!$B$21=0),"",F359/Task!$B$21+0.5*G359+0.25*H359)</f>
        <v/>
      </c>
      <c r="J359" s="5">
        <f>IF(I359="","",I359-ROW()/1000000)</f>
        <v/>
      </c>
      <c r="K359" s="9">
        <f>IF(J359="","",COUNTIF($J$5:$J$404,"&gt;"&amp;J359)+1)</f>
        <v/>
      </c>
    </row>
    <row r="360">
      <c r="A360" s="7" t="n"/>
      <c r="B360" s="7" t="n"/>
      <c r="C360" s="7" t="n"/>
      <c r="D360" s="7" t="n"/>
      <c r="E360" s="5">
        <f>IF(A360="",0,IF(COUNTA(Task!$B$5:$E$5)=0,1,IF(COUNTIF(Task!$B$5:$E$5,B360)&gt;0,1,0)))</f>
        <v/>
      </c>
      <c r="F360" s="9">
        <f>IF(E360=0,0,IF(Task!$A$8="",0,IF(ISNUMBER(SEARCH(" "&amp;Task!$A$8&amp;" "," "&amp;LOWER(D360&amp;" "&amp;C360&amp;" "&amp;LOWER(SUBSTITUTE(SUBSTITUTE(SUBSTITUTE(SUBSTITUTE(A360,"/"," "),"."," "),"\"," "),"_"," ")))&amp;" ")),1,0))+IF(Task!$A$9="",0,IF(ISNUMBER(SEARCH(" "&amp;Task!$A$9&amp;" "," "&amp;LOWER(D360&amp;" "&amp;C360&amp;" "&amp;LOWER(SUBSTITUTE(SUBSTITUTE(SUBSTITUTE(SUBSTITUTE(A360,"/"," "),"."," "),"\"," "),"_"," ")))&amp;" ")),1,0))+IF(Task!$A$10="",0,IF(ISNUMBER(SEARCH(" "&amp;Task!$A$10&amp;" "," "&amp;LOWER(D360&amp;" "&amp;C360&amp;" "&amp;LOWER(SUBSTITUTE(SUBSTITUTE(SUBSTITUTE(SUBSTITUTE(A360,"/"," "),"."," "),"\"," "),"_"," ")))&amp;" ")),1,0))+IF(Task!$A$11="",0,IF(ISNUMBER(SEARCH(" "&amp;Task!$A$11&amp;" "," "&amp;LOWER(D360&amp;" "&amp;C360&amp;" "&amp;LOWER(SUBSTITUTE(SUBSTITUTE(SUBSTITUTE(SUBSTITUTE(A360,"/"," "),"."," "),"\"," "),"_"," ")))&amp;" ")),1,0))+IF(Task!$A$12="",0,IF(ISNUMBER(SEARCH(" "&amp;Task!$A$12&amp;" "," "&amp;LOWER(D360&amp;" "&amp;C360&amp;" "&amp;LOWER(SUBSTITUTE(SUBSTITUTE(SUBSTITUTE(SUBSTITUTE(A360,"/"," "),"."," "),"\"," "),"_"," ")))&amp;" ")),1,0))+IF(Task!$A$13="",0,IF(ISNUMBER(SEARCH(" "&amp;Task!$A$13&amp;" "," "&amp;LOWER(D360&amp;" "&amp;C360&amp;" "&amp;LOWER(SUBSTITUTE(SUBSTITUTE(SUBSTITUTE(SUBSTITUTE(A360,"/"," "),"."," "),"\"," "),"_"," ")))&amp;" ")),1,0))+IF(Task!$A$14="",0,IF(ISNUMBER(SEARCH(" "&amp;Task!$A$14&amp;" "," "&amp;LOWER(D360&amp;" "&amp;C360&amp;" "&amp;LOWER(SUBSTITUTE(SUBSTITUTE(SUBSTITUTE(SUBSTITUTE(A360,"/"," "),"."," "),"\"," "),"_"," ")))&amp;" ")),1,0))+IF(Task!$A$15="",0,IF(ISNUMBER(SEARCH(" "&amp;Task!$A$15&amp;" "," "&amp;LOWER(D360&amp;" "&amp;C360&amp;" "&amp;LOWER(SUBSTITUTE(SUBSTITUTE(SUBSTITUTE(SUBSTITUTE(A360,"/"," "),"."," "),"\"," "),"_"," ")))&amp;" ")),1,0))+IF(Task!$A$16="",0,IF(ISNUMBER(SEARCH(" "&amp;Task!$A$16&amp;" "," "&amp;LOWER(D360&amp;" "&amp;C360&amp;" "&amp;LOWER(SUBSTITUTE(SUBSTITUTE(SUBSTITUTE(SUBSTITUTE(A360,"/"," "),"."," "),"\"," "),"_"," ")))&amp;" ")),1,0))+IF(Task!$A$17="",0,IF(ISNUMBER(SEARCH(" "&amp;Task!$A$17&amp;" "," "&amp;LOWER(D360&amp;" "&amp;C360&amp;" "&amp;LOWER(SUBSTITUTE(SUBSTITUTE(SUBSTITUTE(SUBSTITUTE(A360,"/"," "),"."," "),"\"," "),"_"," ")))&amp;" ")),1,0))+IF(Task!$A$18="",0,IF(ISNUMBER(SEARCH(" "&amp;Task!$A$18&amp;" "," "&amp;LOWER(D360&amp;" "&amp;C360&amp;" "&amp;LOWER(SUBSTITUTE(SUBSTITUTE(SUBSTITUTE(SUBSTITUTE(A360,"/"," "),"."," "),"\"," "),"_"," ")))&amp;" ")),1,0))+IF(Task!$A$19="",0,IF(ISNUMBER(SEARCH(" "&amp;Task!$A$19&amp;" "," "&amp;LOWER(D360&amp;" "&amp;C360&amp;" "&amp;LOWER(SUBSTITUTE(SUBSTITUTE(SUBSTITUTE(SUBSTITUTE(A360,"/"," "),"."," "),"\"," "),"_"," ")))&amp;" ")),1,0)))</f>
        <v/>
      </c>
      <c r="G360" s="9">
        <f>IF(E360=0,0,IF(Task!$A$8="",0,IF(ISNUMBER(SEARCH(" "&amp;Task!$A$8&amp;" "," "&amp;LOWER(C360)&amp;" ")),1,0))+IF(Task!$A$9="",0,IF(ISNUMBER(SEARCH(" "&amp;Task!$A$9&amp;" "," "&amp;LOWER(C360)&amp;" ")),1,0))+IF(Task!$A$10="",0,IF(ISNUMBER(SEARCH(" "&amp;Task!$A$10&amp;" "," "&amp;LOWER(C360)&amp;" ")),1,0))+IF(Task!$A$11="",0,IF(ISNUMBER(SEARCH(" "&amp;Task!$A$11&amp;" "," "&amp;LOWER(C360)&amp;" ")),1,0))+IF(Task!$A$12="",0,IF(ISNUMBER(SEARCH(" "&amp;Task!$A$12&amp;" "," "&amp;LOWER(C360)&amp;" ")),1,0))+IF(Task!$A$13="",0,IF(ISNUMBER(SEARCH(" "&amp;Task!$A$13&amp;" "," "&amp;LOWER(C360)&amp;" ")),1,0))+IF(Task!$A$14="",0,IF(ISNUMBER(SEARCH(" "&amp;Task!$A$14&amp;" "," "&amp;LOWER(C360)&amp;" ")),1,0))+IF(Task!$A$15="",0,IF(ISNUMBER(SEARCH(" "&amp;Task!$A$15&amp;" "," "&amp;LOWER(C360)&amp;" ")),1,0))+IF(Task!$A$16="",0,IF(ISNUMBER(SEARCH(" "&amp;Task!$A$16&amp;" "," "&amp;LOWER(C360)&amp;" ")),1,0))+IF(Task!$A$17="",0,IF(ISNUMBER(SEARCH(" "&amp;Task!$A$17&amp;" "," "&amp;LOWER(C360)&amp;" ")),1,0))+IF(Task!$A$18="",0,IF(ISNUMBER(SEARCH(" "&amp;Task!$A$18&amp;" "," "&amp;LOWER(C360)&amp;" ")),1,0))+IF(Task!$A$19="",0,IF(ISNUMBER(SEARCH(" "&amp;Task!$A$19&amp;" "," "&amp;LOWER(C360)&amp;" ")),1,0)))</f>
        <v/>
      </c>
      <c r="H360" s="9">
        <f>IF(E360=0,0,IF(Task!$A$8="",0,IF(ISNUMBER(SEARCH(" "&amp;Task!$A$8&amp;" "," "&amp;LOWER(SUBSTITUTE(SUBSTITUTE(SUBSTITUTE(SUBSTITUTE(A360,"/"," "),"."," "),"\"," "),"_"," "))&amp;" ")),1,0))+IF(Task!$A$9="",0,IF(ISNUMBER(SEARCH(" "&amp;Task!$A$9&amp;" "," "&amp;LOWER(SUBSTITUTE(SUBSTITUTE(SUBSTITUTE(SUBSTITUTE(A360,"/"," "),"."," "),"\"," "),"_"," "))&amp;" ")),1,0))+IF(Task!$A$10="",0,IF(ISNUMBER(SEARCH(" "&amp;Task!$A$10&amp;" "," "&amp;LOWER(SUBSTITUTE(SUBSTITUTE(SUBSTITUTE(SUBSTITUTE(A360,"/"," "),"."," "),"\"," "),"_"," "))&amp;" ")),1,0))+IF(Task!$A$11="",0,IF(ISNUMBER(SEARCH(" "&amp;Task!$A$11&amp;" "," "&amp;LOWER(SUBSTITUTE(SUBSTITUTE(SUBSTITUTE(SUBSTITUTE(A360,"/"," "),"."," "),"\"," "),"_"," "))&amp;" ")),1,0))+IF(Task!$A$12="",0,IF(ISNUMBER(SEARCH(" "&amp;Task!$A$12&amp;" "," "&amp;LOWER(SUBSTITUTE(SUBSTITUTE(SUBSTITUTE(SUBSTITUTE(A360,"/"," "),"."," "),"\"," "),"_"," "))&amp;" ")),1,0))+IF(Task!$A$13="",0,IF(ISNUMBER(SEARCH(" "&amp;Task!$A$13&amp;" "," "&amp;LOWER(SUBSTITUTE(SUBSTITUTE(SUBSTITUTE(SUBSTITUTE(A360,"/"," "),"."," "),"\"," "),"_"," "))&amp;" ")),1,0))+IF(Task!$A$14="",0,IF(ISNUMBER(SEARCH(" "&amp;Task!$A$14&amp;" "," "&amp;LOWER(SUBSTITUTE(SUBSTITUTE(SUBSTITUTE(SUBSTITUTE(A360,"/"," "),"."," "),"\"," "),"_"," "))&amp;" ")),1,0))+IF(Task!$A$15="",0,IF(ISNUMBER(SEARCH(" "&amp;Task!$A$15&amp;" "," "&amp;LOWER(SUBSTITUTE(SUBSTITUTE(SUBSTITUTE(SUBSTITUTE(A360,"/"," "),"."," "),"\"," "),"_"," "))&amp;" ")),1,0))+IF(Task!$A$16="",0,IF(ISNUMBER(SEARCH(" "&amp;Task!$A$16&amp;" "," "&amp;LOWER(SUBSTITUTE(SUBSTITUTE(SUBSTITUTE(SUBSTITUTE(A360,"/"," "),"."," "),"\"," "),"_"," "))&amp;" ")),1,0))+IF(Task!$A$17="",0,IF(ISNUMBER(SEARCH(" "&amp;Task!$A$17&amp;" "," "&amp;LOWER(SUBSTITUTE(SUBSTITUTE(SUBSTITUTE(SUBSTITUTE(A360,"/"," "),"."," "),"\"," "),"_"," "))&amp;" ")),1,0))+IF(Task!$A$18="",0,IF(ISNUMBER(SEARCH(" "&amp;Task!$A$18&amp;" "," "&amp;LOWER(SUBSTITUTE(SUBSTITUTE(SUBSTITUTE(SUBSTITUTE(A360,"/"," "),"."," "),"\"," "),"_"," "))&amp;" ")),1,0))+IF(Task!$A$19="",0,IF(ISNUMBER(SEARCH(" "&amp;Task!$A$19&amp;" "," "&amp;LOWER(SUBSTITUTE(SUBSTITUTE(SUBSTITUTE(SUBSTITUTE(A360,"/"," "),"."," "),"\"," "),"_"," "))&amp;" ")),1,0)))</f>
        <v/>
      </c>
      <c r="I360" s="10">
        <f>IF(OR(E360=0,F360=0,Task!$B$21=0),"",F360/Task!$B$21+0.5*G360+0.25*H360)</f>
        <v/>
      </c>
      <c r="J360" s="5">
        <f>IF(I360="","",I360-ROW()/1000000)</f>
        <v/>
      </c>
      <c r="K360" s="9">
        <f>IF(J360="","",COUNTIF($J$5:$J$404,"&gt;"&amp;J360)+1)</f>
        <v/>
      </c>
    </row>
    <row r="361">
      <c r="A361" s="7" t="n"/>
      <c r="B361" s="7" t="n"/>
      <c r="C361" s="7" t="n"/>
      <c r="D361" s="7" t="n"/>
      <c r="E361" s="5">
        <f>IF(A361="",0,IF(COUNTA(Task!$B$5:$E$5)=0,1,IF(COUNTIF(Task!$B$5:$E$5,B361)&gt;0,1,0)))</f>
        <v/>
      </c>
      <c r="F361" s="9">
        <f>IF(E361=0,0,IF(Task!$A$8="",0,IF(ISNUMBER(SEARCH(" "&amp;Task!$A$8&amp;" "," "&amp;LOWER(D361&amp;" "&amp;C361&amp;" "&amp;LOWER(SUBSTITUTE(SUBSTITUTE(SUBSTITUTE(SUBSTITUTE(A361,"/"," "),"."," "),"\"," "),"_"," ")))&amp;" ")),1,0))+IF(Task!$A$9="",0,IF(ISNUMBER(SEARCH(" "&amp;Task!$A$9&amp;" "," "&amp;LOWER(D361&amp;" "&amp;C361&amp;" "&amp;LOWER(SUBSTITUTE(SUBSTITUTE(SUBSTITUTE(SUBSTITUTE(A361,"/"," "),"."," "),"\"," "),"_"," ")))&amp;" ")),1,0))+IF(Task!$A$10="",0,IF(ISNUMBER(SEARCH(" "&amp;Task!$A$10&amp;" "," "&amp;LOWER(D361&amp;" "&amp;C361&amp;" "&amp;LOWER(SUBSTITUTE(SUBSTITUTE(SUBSTITUTE(SUBSTITUTE(A361,"/"," "),"."," "),"\"," "),"_"," ")))&amp;" ")),1,0))+IF(Task!$A$11="",0,IF(ISNUMBER(SEARCH(" "&amp;Task!$A$11&amp;" "," "&amp;LOWER(D361&amp;" "&amp;C361&amp;" "&amp;LOWER(SUBSTITUTE(SUBSTITUTE(SUBSTITUTE(SUBSTITUTE(A361,"/"," "),"."," "),"\"," "),"_"," ")))&amp;" ")),1,0))+IF(Task!$A$12="",0,IF(ISNUMBER(SEARCH(" "&amp;Task!$A$12&amp;" "," "&amp;LOWER(D361&amp;" "&amp;C361&amp;" "&amp;LOWER(SUBSTITUTE(SUBSTITUTE(SUBSTITUTE(SUBSTITUTE(A361,"/"," "),"."," "),"\"," "),"_"," ")))&amp;" ")),1,0))+IF(Task!$A$13="",0,IF(ISNUMBER(SEARCH(" "&amp;Task!$A$13&amp;" "," "&amp;LOWER(D361&amp;" "&amp;C361&amp;" "&amp;LOWER(SUBSTITUTE(SUBSTITUTE(SUBSTITUTE(SUBSTITUTE(A361,"/"," "),"."," "),"\"," "),"_"," ")))&amp;" ")),1,0))+IF(Task!$A$14="",0,IF(ISNUMBER(SEARCH(" "&amp;Task!$A$14&amp;" "," "&amp;LOWER(D361&amp;" "&amp;C361&amp;" "&amp;LOWER(SUBSTITUTE(SUBSTITUTE(SUBSTITUTE(SUBSTITUTE(A361,"/"," "),"."," "),"\"," "),"_"," ")))&amp;" ")),1,0))+IF(Task!$A$15="",0,IF(ISNUMBER(SEARCH(" "&amp;Task!$A$15&amp;" "," "&amp;LOWER(D361&amp;" "&amp;C361&amp;" "&amp;LOWER(SUBSTITUTE(SUBSTITUTE(SUBSTITUTE(SUBSTITUTE(A361,"/"," "),"."," "),"\"," "),"_"," ")))&amp;" ")),1,0))+IF(Task!$A$16="",0,IF(ISNUMBER(SEARCH(" "&amp;Task!$A$16&amp;" "," "&amp;LOWER(D361&amp;" "&amp;C361&amp;" "&amp;LOWER(SUBSTITUTE(SUBSTITUTE(SUBSTITUTE(SUBSTITUTE(A361,"/"," "),"."," "),"\"," "),"_"," ")))&amp;" ")),1,0))+IF(Task!$A$17="",0,IF(ISNUMBER(SEARCH(" "&amp;Task!$A$17&amp;" "," "&amp;LOWER(D361&amp;" "&amp;C361&amp;" "&amp;LOWER(SUBSTITUTE(SUBSTITUTE(SUBSTITUTE(SUBSTITUTE(A361,"/"," "),"."," "),"\"," "),"_"," ")))&amp;" ")),1,0))+IF(Task!$A$18="",0,IF(ISNUMBER(SEARCH(" "&amp;Task!$A$18&amp;" "," "&amp;LOWER(D361&amp;" "&amp;C361&amp;" "&amp;LOWER(SUBSTITUTE(SUBSTITUTE(SUBSTITUTE(SUBSTITUTE(A361,"/"," "),"."," "),"\"," "),"_"," ")))&amp;" ")),1,0))+IF(Task!$A$19="",0,IF(ISNUMBER(SEARCH(" "&amp;Task!$A$19&amp;" "," "&amp;LOWER(D361&amp;" "&amp;C361&amp;" "&amp;LOWER(SUBSTITUTE(SUBSTITUTE(SUBSTITUTE(SUBSTITUTE(A361,"/"," "),"."," "),"\"," "),"_"," ")))&amp;" ")),1,0)))</f>
        <v/>
      </c>
      <c r="G361" s="9">
        <f>IF(E361=0,0,IF(Task!$A$8="",0,IF(ISNUMBER(SEARCH(" "&amp;Task!$A$8&amp;" "," "&amp;LOWER(C361)&amp;" ")),1,0))+IF(Task!$A$9="",0,IF(ISNUMBER(SEARCH(" "&amp;Task!$A$9&amp;" "," "&amp;LOWER(C361)&amp;" ")),1,0))+IF(Task!$A$10="",0,IF(ISNUMBER(SEARCH(" "&amp;Task!$A$10&amp;" "," "&amp;LOWER(C361)&amp;" ")),1,0))+IF(Task!$A$11="",0,IF(ISNUMBER(SEARCH(" "&amp;Task!$A$11&amp;" "," "&amp;LOWER(C361)&amp;" ")),1,0))+IF(Task!$A$12="",0,IF(ISNUMBER(SEARCH(" "&amp;Task!$A$12&amp;" "," "&amp;LOWER(C361)&amp;" ")),1,0))+IF(Task!$A$13="",0,IF(ISNUMBER(SEARCH(" "&amp;Task!$A$13&amp;" "," "&amp;LOWER(C361)&amp;" ")),1,0))+IF(Task!$A$14="",0,IF(ISNUMBER(SEARCH(" "&amp;Task!$A$14&amp;" "," "&amp;LOWER(C361)&amp;" ")),1,0))+IF(Task!$A$15="",0,IF(ISNUMBER(SEARCH(" "&amp;Task!$A$15&amp;" "," "&amp;LOWER(C361)&amp;" ")),1,0))+IF(Task!$A$16="",0,IF(ISNUMBER(SEARCH(" "&amp;Task!$A$16&amp;" "," "&amp;LOWER(C361)&amp;" ")),1,0))+IF(Task!$A$17="",0,IF(ISNUMBER(SEARCH(" "&amp;Task!$A$17&amp;" "," "&amp;LOWER(C361)&amp;" ")),1,0))+IF(Task!$A$18="",0,IF(ISNUMBER(SEARCH(" "&amp;Task!$A$18&amp;" "," "&amp;LOWER(C361)&amp;" ")),1,0))+IF(Task!$A$19="",0,IF(ISNUMBER(SEARCH(" "&amp;Task!$A$19&amp;" "," "&amp;LOWER(C361)&amp;" ")),1,0)))</f>
        <v/>
      </c>
      <c r="H361" s="9">
        <f>IF(E361=0,0,IF(Task!$A$8="",0,IF(ISNUMBER(SEARCH(" "&amp;Task!$A$8&amp;" "," "&amp;LOWER(SUBSTITUTE(SUBSTITUTE(SUBSTITUTE(SUBSTITUTE(A361,"/"," "),"."," "),"\"," "),"_"," "))&amp;" ")),1,0))+IF(Task!$A$9="",0,IF(ISNUMBER(SEARCH(" "&amp;Task!$A$9&amp;" "," "&amp;LOWER(SUBSTITUTE(SUBSTITUTE(SUBSTITUTE(SUBSTITUTE(A361,"/"," "),"."," "),"\"," "),"_"," "))&amp;" ")),1,0))+IF(Task!$A$10="",0,IF(ISNUMBER(SEARCH(" "&amp;Task!$A$10&amp;" "," "&amp;LOWER(SUBSTITUTE(SUBSTITUTE(SUBSTITUTE(SUBSTITUTE(A361,"/"," "),"."," "),"\"," "),"_"," "))&amp;" ")),1,0))+IF(Task!$A$11="",0,IF(ISNUMBER(SEARCH(" "&amp;Task!$A$11&amp;" "," "&amp;LOWER(SUBSTITUTE(SUBSTITUTE(SUBSTITUTE(SUBSTITUTE(A361,"/"," "),"."," "),"\"," "),"_"," "))&amp;" ")),1,0))+IF(Task!$A$12="",0,IF(ISNUMBER(SEARCH(" "&amp;Task!$A$12&amp;" "," "&amp;LOWER(SUBSTITUTE(SUBSTITUTE(SUBSTITUTE(SUBSTITUTE(A361,"/"," "),"."," "),"\"," "),"_"," "))&amp;" ")),1,0))+IF(Task!$A$13="",0,IF(ISNUMBER(SEARCH(" "&amp;Task!$A$13&amp;" "," "&amp;LOWER(SUBSTITUTE(SUBSTITUTE(SUBSTITUTE(SUBSTITUTE(A361,"/"," "),"."," "),"\"," "),"_"," "))&amp;" ")),1,0))+IF(Task!$A$14="",0,IF(ISNUMBER(SEARCH(" "&amp;Task!$A$14&amp;" "," "&amp;LOWER(SUBSTITUTE(SUBSTITUTE(SUBSTITUTE(SUBSTITUTE(A361,"/"," "),"."," "),"\"," "),"_"," "))&amp;" ")),1,0))+IF(Task!$A$15="",0,IF(ISNUMBER(SEARCH(" "&amp;Task!$A$15&amp;" "," "&amp;LOWER(SUBSTITUTE(SUBSTITUTE(SUBSTITUTE(SUBSTITUTE(A361,"/"," "),"."," "),"\"," "),"_"," "))&amp;" ")),1,0))+IF(Task!$A$16="",0,IF(ISNUMBER(SEARCH(" "&amp;Task!$A$16&amp;" "," "&amp;LOWER(SUBSTITUTE(SUBSTITUTE(SUBSTITUTE(SUBSTITUTE(A361,"/"," "),"."," "),"\"," "),"_"," "))&amp;" ")),1,0))+IF(Task!$A$17="",0,IF(ISNUMBER(SEARCH(" "&amp;Task!$A$17&amp;" "," "&amp;LOWER(SUBSTITUTE(SUBSTITUTE(SUBSTITUTE(SUBSTITUTE(A361,"/"," "),"."," "),"\"," "),"_"," "))&amp;" ")),1,0))+IF(Task!$A$18="",0,IF(ISNUMBER(SEARCH(" "&amp;Task!$A$18&amp;" "," "&amp;LOWER(SUBSTITUTE(SUBSTITUTE(SUBSTITUTE(SUBSTITUTE(A361,"/"," "),"."," "),"\"," "),"_"," "))&amp;" ")),1,0))+IF(Task!$A$19="",0,IF(ISNUMBER(SEARCH(" "&amp;Task!$A$19&amp;" "," "&amp;LOWER(SUBSTITUTE(SUBSTITUTE(SUBSTITUTE(SUBSTITUTE(A361,"/"," "),"."," "),"\"," "),"_"," "))&amp;" ")),1,0)))</f>
        <v/>
      </c>
      <c r="I361" s="10">
        <f>IF(OR(E361=0,F361=0,Task!$B$21=0),"",F361/Task!$B$21+0.5*G361+0.25*H361)</f>
        <v/>
      </c>
      <c r="J361" s="5">
        <f>IF(I361="","",I361-ROW()/1000000)</f>
        <v/>
      </c>
      <c r="K361" s="9">
        <f>IF(J361="","",COUNTIF($J$5:$J$404,"&gt;"&amp;J361)+1)</f>
        <v/>
      </c>
    </row>
    <row r="362">
      <c r="A362" s="7" t="n"/>
      <c r="B362" s="7" t="n"/>
      <c r="C362" s="7" t="n"/>
      <c r="D362" s="7" t="n"/>
      <c r="E362" s="5">
        <f>IF(A362="",0,IF(COUNTA(Task!$B$5:$E$5)=0,1,IF(COUNTIF(Task!$B$5:$E$5,B362)&gt;0,1,0)))</f>
        <v/>
      </c>
      <c r="F362" s="9">
        <f>IF(E362=0,0,IF(Task!$A$8="",0,IF(ISNUMBER(SEARCH(" "&amp;Task!$A$8&amp;" "," "&amp;LOWER(D362&amp;" "&amp;C362&amp;" "&amp;LOWER(SUBSTITUTE(SUBSTITUTE(SUBSTITUTE(SUBSTITUTE(A362,"/"," "),"."," "),"\"," "),"_"," ")))&amp;" ")),1,0))+IF(Task!$A$9="",0,IF(ISNUMBER(SEARCH(" "&amp;Task!$A$9&amp;" "," "&amp;LOWER(D362&amp;" "&amp;C362&amp;" "&amp;LOWER(SUBSTITUTE(SUBSTITUTE(SUBSTITUTE(SUBSTITUTE(A362,"/"," "),"."," "),"\"," "),"_"," ")))&amp;" ")),1,0))+IF(Task!$A$10="",0,IF(ISNUMBER(SEARCH(" "&amp;Task!$A$10&amp;" "," "&amp;LOWER(D362&amp;" "&amp;C362&amp;" "&amp;LOWER(SUBSTITUTE(SUBSTITUTE(SUBSTITUTE(SUBSTITUTE(A362,"/"," "),"."," "),"\"," "),"_"," ")))&amp;" ")),1,0))+IF(Task!$A$11="",0,IF(ISNUMBER(SEARCH(" "&amp;Task!$A$11&amp;" "," "&amp;LOWER(D362&amp;" "&amp;C362&amp;" "&amp;LOWER(SUBSTITUTE(SUBSTITUTE(SUBSTITUTE(SUBSTITUTE(A362,"/"," "),"."," "),"\"," "),"_"," ")))&amp;" ")),1,0))+IF(Task!$A$12="",0,IF(ISNUMBER(SEARCH(" "&amp;Task!$A$12&amp;" "," "&amp;LOWER(D362&amp;" "&amp;C362&amp;" "&amp;LOWER(SUBSTITUTE(SUBSTITUTE(SUBSTITUTE(SUBSTITUTE(A362,"/"," "),"."," "),"\"," "),"_"," ")))&amp;" ")),1,0))+IF(Task!$A$13="",0,IF(ISNUMBER(SEARCH(" "&amp;Task!$A$13&amp;" "," "&amp;LOWER(D362&amp;" "&amp;C362&amp;" "&amp;LOWER(SUBSTITUTE(SUBSTITUTE(SUBSTITUTE(SUBSTITUTE(A362,"/"," "),"."," "),"\"," "),"_"," ")))&amp;" ")),1,0))+IF(Task!$A$14="",0,IF(ISNUMBER(SEARCH(" "&amp;Task!$A$14&amp;" "," "&amp;LOWER(D362&amp;" "&amp;C362&amp;" "&amp;LOWER(SUBSTITUTE(SUBSTITUTE(SUBSTITUTE(SUBSTITUTE(A362,"/"," "),"."," "),"\"," "),"_"," ")))&amp;" ")),1,0))+IF(Task!$A$15="",0,IF(ISNUMBER(SEARCH(" "&amp;Task!$A$15&amp;" "," "&amp;LOWER(D362&amp;" "&amp;C362&amp;" "&amp;LOWER(SUBSTITUTE(SUBSTITUTE(SUBSTITUTE(SUBSTITUTE(A362,"/"," "),"."," "),"\"," "),"_"," ")))&amp;" ")),1,0))+IF(Task!$A$16="",0,IF(ISNUMBER(SEARCH(" "&amp;Task!$A$16&amp;" "," "&amp;LOWER(D362&amp;" "&amp;C362&amp;" "&amp;LOWER(SUBSTITUTE(SUBSTITUTE(SUBSTITUTE(SUBSTITUTE(A362,"/"," "),"."," "),"\"," "),"_"," ")))&amp;" ")),1,0))+IF(Task!$A$17="",0,IF(ISNUMBER(SEARCH(" "&amp;Task!$A$17&amp;" "," "&amp;LOWER(D362&amp;" "&amp;C362&amp;" "&amp;LOWER(SUBSTITUTE(SUBSTITUTE(SUBSTITUTE(SUBSTITUTE(A362,"/"," "),"."," "),"\"," "),"_"," ")))&amp;" ")),1,0))+IF(Task!$A$18="",0,IF(ISNUMBER(SEARCH(" "&amp;Task!$A$18&amp;" "," "&amp;LOWER(D362&amp;" "&amp;C362&amp;" "&amp;LOWER(SUBSTITUTE(SUBSTITUTE(SUBSTITUTE(SUBSTITUTE(A362,"/"," "),"."," "),"\"," "),"_"," ")))&amp;" ")),1,0))+IF(Task!$A$19="",0,IF(ISNUMBER(SEARCH(" "&amp;Task!$A$19&amp;" "," "&amp;LOWER(D362&amp;" "&amp;C362&amp;" "&amp;LOWER(SUBSTITUTE(SUBSTITUTE(SUBSTITUTE(SUBSTITUTE(A362,"/"," "),"."," "),"\"," "),"_"," ")))&amp;" ")),1,0)))</f>
        <v/>
      </c>
      <c r="G362" s="9">
        <f>IF(E362=0,0,IF(Task!$A$8="",0,IF(ISNUMBER(SEARCH(" "&amp;Task!$A$8&amp;" "," "&amp;LOWER(C362)&amp;" ")),1,0))+IF(Task!$A$9="",0,IF(ISNUMBER(SEARCH(" "&amp;Task!$A$9&amp;" "," "&amp;LOWER(C362)&amp;" ")),1,0))+IF(Task!$A$10="",0,IF(ISNUMBER(SEARCH(" "&amp;Task!$A$10&amp;" "," "&amp;LOWER(C362)&amp;" ")),1,0))+IF(Task!$A$11="",0,IF(ISNUMBER(SEARCH(" "&amp;Task!$A$11&amp;" "," "&amp;LOWER(C362)&amp;" ")),1,0))+IF(Task!$A$12="",0,IF(ISNUMBER(SEARCH(" "&amp;Task!$A$12&amp;" "," "&amp;LOWER(C362)&amp;" ")),1,0))+IF(Task!$A$13="",0,IF(ISNUMBER(SEARCH(" "&amp;Task!$A$13&amp;" "," "&amp;LOWER(C362)&amp;" ")),1,0))+IF(Task!$A$14="",0,IF(ISNUMBER(SEARCH(" "&amp;Task!$A$14&amp;" "," "&amp;LOWER(C362)&amp;" ")),1,0))+IF(Task!$A$15="",0,IF(ISNUMBER(SEARCH(" "&amp;Task!$A$15&amp;" "," "&amp;LOWER(C362)&amp;" ")),1,0))+IF(Task!$A$16="",0,IF(ISNUMBER(SEARCH(" "&amp;Task!$A$16&amp;" "," "&amp;LOWER(C362)&amp;" ")),1,0))+IF(Task!$A$17="",0,IF(ISNUMBER(SEARCH(" "&amp;Task!$A$17&amp;" "," "&amp;LOWER(C362)&amp;" ")),1,0))+IF(Task!$A$18="",0,IF(ISNUMBER(SEARCH(" "&amp;Task!$A$18&amp;" "," "&amp;LOWER(C362)&amp;" ")),1,0))+IF(Task!$A$19="",0,IF(ISNUMBER(SEARCH(" "&amp;Task!$A$19&amp;" "," "&amp;LOWER(C362)&amp;" ")),1,0)))</f>
        <v/>
      </c>
      <c r="H362" s="9">
        <f>IF(E362=0,0,IF(Task!$A$8="",0,IF(ISNUMBER(SEARCH(" "&amp;Task!$A$8&amp;" "," "&amp;LOWER(SUBSTITUTE(SUBSTITUTE(SUBSTITUTE(SUBSTITUTE(A362,"/"," "),"."," "),"\"," "),"_"," "))&amp;" ")),1,0))+IF(Task!$A$9="",0,IF(ISNUMBER(SEARCH(" "&amp;Task!$A$9&amp;" "," "&amp;LOWER(SUBSTITUTE(SUBSTITUTE(SUBSTITUTE(SUBSTITUTE(A362,"/"," "),"."," "),"\"," "),"_"," "))&amp;" ")),1,0))+IF(Task!$A$10="",0,IF(ISNUMBER(SEARCH(" "&amp;Task!$A$10&amp;" "," "&amp;LOWER(SUBSTITUTE(SUBSTITUTE(SUBSTITUTE(SUBSTITUTE(A362,"/"," "),"."," "),"\"," "),"_"," "))&amp;" ")),1,0))+IF(Task!$A$11="",0,IF(ISNUMBER(SEARCH(" "&amp;Task!$A$11&amp;" "," "&amp;LOWER(SUBSTITUTE(SUBSTITUTE(SUBSTITUTE(SUBSTITUTE(A362,"/"," "),"."," "),"\"," "),"_"," "))&amp;" ")),1,0))+IF(Task!$A$12="",0,IF(ISNUMBER(SEARCH(" "&amp;Task!$A$12&amp;" "," "&amp;LOWER(SUBSTITUTE(SUBSTITUTE(SUBSTITUTE(SUBSTITUTE(A362,"/"," "),"."," "),"\"," "),"_"," "))&amp;" ")),1,0))+IF(Task!$A$13="",0,IF(ISNUMBER(SEARCH(" "&amp;Task!$A$13&amp;" "," "&amp;LOWER(SUBSTITUTE(SUBSTITUTE(SUBSTITUTE(SUBSTITUTE(A362,"/"," "),"."," "),"\"," "),"_"," "))&amp;" ")),1,0))+IF(Task!$A$14="",0,IF(ISNUMBER(SEARCH(" "&amp;Task!$A$14&amp;" "," "&amp;LOWER(SUBSTITUTE(SUBSTITUTE(SUBSTITUTE(SUBSTITUTE(A362,"/"," "),"."," "),"\"," "),"_"," "))&amp;" ")),1,0))+IF(Task!$A$15="",0,IF(ISNUMBER(SEARCH(" "&amp;Task!$A$15&amp;" "," "&amp;LOWER(SUBSTITUTE(SUBSTITUTE(SUBSTITUTE(SUBSTITUTE(A362,"/"," "),"."," "),"\"," "),"_"," "))&amp;" ")),1,0))+IF(Task!$A$16="",0,IF(ISNUMBER(SEARCH(" "&amp;Task!$A$16&amp;" "," "&amp;LOWER(SUBSTITUTE(SUBSTITUTE(SUBSTITUTE(SUBSTITUTE(A362,"/"," "),"."," "),"\"," "),"_"," "))&amp;" ")),1,0))+IF(Task!$A$17="",0,IF(ISNUMBER(SEARCH(" "&amp;Task!$A$17&amp;" "," "&amp;LOWER(SUBSTITUTE(SUBSTITUTE(SUBSTITUTE(SUBSTITUTE(A362,"/"," "),"."," "),"\"," "),"_"," "))&amp;" ")),1,0))+IF(Task!$A$18="",0,IF(ISNUMBER(SEARCH(" "&amp;Task!$A$18&amp;" "," "&amp;LOWER(SUBSTITUTE(SUBSTITUTE(SUBSTITUTE(SUBSTITUTE(A362,"/"," "),"."," "),"\"," "),"_"," "))&amp;" ")),1,0))+IF(Task!$A$19="",0,IF(ISNUMBER(SEARCH(" "&amp;Task!$A$19&amp;" "," "&amp;LOWER(SUBSTITUTE(SUBSTITUTE(SUBSTITUTE(SUBSTITUTE(A362,"/"," "),"."," "),"\"," "),"_"," "))&amp;" ")),1,0)))</f>
        <v/>
      </c>
      <c r="I362" s="10">
        <f>IF(OR(E362=0,F362=0,Task!$B$21=0),"",F362/Task!$B$21+0.5*G362+0.25*H362)</f>
        <v/>
      </c>
      <c r="J362" s="5">
        <f>IF(I362="","",I362-ROW()/1000000)</f>
        <v/>
      </c>
      <c r="K362" s="9">
        <f>IF(J362="","",COUNTIF($J$5:$J$404,"&gt;"&amp;J362)+1)</f>
        <v/>
      </c>
    </row>
    <row r="363">
      <c r="A363" s="7" t="n"/>
      <c r="B363" s="7" t="n"/>
      <c r="C363" s="7" t="n"/>
      <c r="D363" s="7" t="n"/>
      <c r="E363" s="5">
        <f>IF(A363="",0,IF(COUNTA(Task!$B$5:$E$5)=0,1,IF(COUNTIF(Task!$B$5:$E$5,B363)&gt;0,1,0)))</f>
        <v/>
      </c>
      <c r="F363" s="9">
        <f>IF(E363=0,0,IF(Task!$A$8="",0,IF(ISNUMBER(SEARCH(" "&amp;Task!$A$8&amp;" "," "&amp;LOWER(D363&amp;" "&amp;C363&amp;" "&amp;LOWER(SUBSTITUTE(SUBSTITUTE(SUBSTITUTE(SUBSTITUTE(A363,"/"," "),"."," "),"\"," "),"_"," ")))&amp;" ")),1,0))+IF(Task!$A$9="",0,IF(ISNUMBER(SEARCH(" "&amp;Task!$A$9&amp;" "," "&amp;LOWER(D363&amp;" "&amp;C363&amp;" "&amp;LOWER(SUBSTITUTE(SUBSTITUTE(SUBSTITUTE(SUBSTITUTE(A363,"/"," "),"."," "),"\"," "),"_"," ")))&amp;" ")),1,0))+IF(Task!$A$10="",0,IF(ISNUMBER(SEARCH(" "&amp;Task!$A$10&amp;" "," "&amp;LOWER(D363&amp;" "&amp;C363&amp;" "&amp;LOWER(SUBSTITUTE(SUBSTITUTE(SUBSTITUTE(SUBSTITUTE(A363,"/"," "),"."," "),"\"," "),"_"," ")))&amp;" ")),1,0))+IF(Task!$A$11="",0,IF(ISNUMBER(SEARCH(" "&amp;Task!$A$11&amp;" "," "&amp;LOWER(D363&amp;" "&amp;C363&amp;" "&amp;LOWER(SUBSTITUTE(SUBSTITUTE(SUBSTITUTE(SUBSTITUTE(A363,"/"," "),"."," "),"\"," "),"_"," ")))&amp;" ")),1,0))+IF(Task!$A$12="",0,IF(ISNUMBER(SEARCH(" "&amp;Task!$A$12&amp;" "," "&amp;LOWER(D363&amp;" "&amp;C363&amp;" "&amp;LOWER(SUBSTITUTE(SUBSTITUTE(SUBSTITUTE(SUBSTITUTE(A363,"/"," "),"."," "),"\"," "),"_"," ")))&amp;" ")),1,0))+IF(Task!$A$13="",0,IF(ISNUMBER(SEARCH(" "&amp;Task!$A$13&amp;" "," "&amp;LOWER(D363&amp;" "&amp;C363&amp;" "&amp;LOWER(SUBSTITUTE(SUBSTITUTE(SUBSTITUTE(SUBSTITUTE(A363,"/"," "),"."," "),"\"," "),"_"," ")))&amp;" ")),1,0))+IF(Task!$A$14="",0,IF(ISNUMBER(SEARCH(" "&amp;Task!$A$14&amp;" "," "&amp;LOWER(D363&amp;" "&amp;C363&amp;" "&amp;LOWER(SUBSTITUTE(SUBSTITUTE(SUBSTITUTE(SUBSTITUTE(A363,"/"," "),"."," "),"\"," "),"_"," ")))&amp;" ")),1,0))+IF(Task!$A$15="",0,IF(ISNUMBER(SEARCH(" "&amp;Task!$A$15&amp;" "," "&amp;LOWER(D363&amp;" "&amp;C363&amp;" "&amp;LOWER(SUBSTITUTE(SUBSTITUTE(SUBSTITUTE(SUBSTITUTE(A363,"/"," "),"."," "),"\"," "),"_"," ")))&amp;" ")),1,0))+IF(Task!$A$16="",0,IF(ISNUMBER(SEARCH(" "&amp;Task!$A$16&amp;" "," "&amp;LOWER(D363&amp;" "&amp;C363&amp;" "&amp;LOWER(SUBSTITUTE(SUBSTITUTE(SUBSTITUTE(SUBSTITUTE(A363,"/"," "),"."," "),"\"," "),"_"," ")))&amp;" ")),1,0))+IF(Task!$A$17="",0,IF(ISNUMBER(SEARCH(" "&amp;Task!$A$17&amp;" "," "&amp;LOWER(D363&amp;" "&amp;C363&amp;" "&amp;LOWER(SUBSTITUTE(SUBSTITUTE(SUBSTITUTE(SUBSTITUTE(A363,"/"," "),"."," "),"\"," "),"_"," ")))&amp;" ")),1,0))+IF(Task!$A$18="",0,IF(ISNUMBER(SEARCH(" "&amp;Task!$A$18&amp;" "," "&amp;LOWER(D363&amp;" "&amp;C363&amp;" "&amp;LOWER(SUBSTITUTE(SUBSTITUTE(SUBSTITUTE(SUBSTITUTE(A363,"/"," "),"."," "),"\"," "),"_"," ")))&amp;" ")),1,0))+IF(Task!$A$19="",0,IF(ISNUMBER(SEARCH(" "&amp;Task!$A$19&amp;" "," "&amp;LOWER(D363&amp;" "&amp;C363&amp;" "&amp;LOWER(SUBSTITUTE(SUBSTITUTE(SUBSTITUTE(SUBSTITUTE(A363,"/"," "),"."," "),"\"," "),"_"," ")))&amp;" ")),1,0)))</f>
        <v/>
      </c>
      <c r="G363" s="9">
        <f>IF(E363=0,0,IF(Task!$A$8="",0,IF(ISNUMBER(SEARCH(" "&amp;Task!$A$8&amp;" "," "&amp;LOWER(C363)&amp;" ")),1,0))+IF(Task!$A$9="",0,IF(ISNUMBER(SEARCH(" "&amp;Task!$A$9&amp;" "," "&amp;LOWER(C363)&amp;" ")),1,0))+IF(Task!$A$10="",0,IF(ISNUMBER(SEARCH(" "&amp;Task!$A$10&amp;" "," "&amp;LOWER(C363)&amp;" ")),1,0))+IF(Task!$A$11="",0,IF(ISNUMBER(SEARCH(" "&amp;Task!$A$11&amp;" "," "&amp;LOWER(C363)&amp;" ")),1,0))+IF(Task!$A$12="",0,IF(ISNUMBER(SEARCH(" "&amp;Task!$A$12&amp;" "," "&amp;LOWER(C363)&amp;" ")),1,0))+IF(Task!$A$13="",0,IF(ISNUMBER(SEARCH(" "&amp;Task!$A$13&amp;" "," "&amp;LOWER(C363)&amp;" ")),1,0))+IF(Task!$A$14="",0,IF(ISNUMBER(SEARCH(" "&amp;Task!$A$14&amp;" "," "&amp;LOWER(C363)&amp;" ")),1,0))+IF(Task!$A$15="",0,IF(ISNUMBER(SEARCH(" "&amp;Task!$A$15&amp;" "," "&amp;LOWER(C363)&amp;" ")),1,0))+IF(Task!$A$16="",0,IF(ISNUMBER(SEARCH(" "&amp;Task!$A$16&amp;" "," "&amp;LOWER(C363)&amp;" ")),1,0))+IF(Task!$A$17="",0,IF(ISNUMBER(SEARCH(" "&amp;Task!$A$17&amp;" "," "&amp;LOWER(C363)&amp;" ")),1,0))+IF(Task!$A$18="",0,IF(ISNUMBER(SEARCH(" "&amp;Task!$A$18&amp;" "," "&amp;LOWER(C363)&amp;" ")),1,0))+IF(Task!$A$19="",0,IF(ISNUMBER(SEARCH(" "&amp;Task!$A$19&amp;" "," "&amp;LOWER(C363)&amp;" ")),1,0)))</f>
        <v/>
      </c>
      <c r="H363" s="9">
        <f>IF(E363=0,0,IF(Task!$A$8="",0,IF(ISNUMBER(SEARCH(" "&amp;Task!$A$8&amp;" "," "&amp;LOWER(SUBSTITUTE(SUBSTITUTE(SUBSTITUTE(SUBSTITUTE(A363,"/"," "),"."," "),"\"," "),"_"," "))&amp;" ")),1,0))+IF(Task!$A$9="",0,IF(ISNUMBER(SEARCH(" "&amp;Task!$A$9&amp;" "," "&amp;LOWER(SUBSTITUTE(SUBSTITUTE(SUBSTITUTE(SUBSTITUTE(A363,"/"," "),"."," "),"\"," "),"_"," "))&amp;" ")),1,0))+IF(Task!$A$10="",0,IF(ISNUMBER(SEARCH(" "&amp;Task!$A$10&amp;" "," "&amp;LOWER(SUBSTITUTE(SUBSTITUTE(SUBSTITUTE(SUBSTITUTE(A363,"/"," "),"."," "),"\"," "),"_"," "))&amp;" ")),1,0))+IF(Task!$A$11="",0,IF(ISNUMBER(SEARCH(" "&amp;Task!$A$11&amp;" "," "&amp;LOWER(SUBSTITUTE(SUBSTITUTE(SUBSTITUTE(SUBSTITUTE(A363,"/"," "),"."," "),"\"," "),"_"," "))&amp;" ")),1,0))+IF(Task!$A$12="",0,IF(ISNUMBER(SEARCH(" "&amp;Task!$A$12&amp;" "," "&amp;LOWER(SUBSTITUTE(SUBSTITUTE(SUBSTITUTE(SUBSTITUTE(A363,"/"," "),"."," "),"\"," "),"_"," "))&amp;" ")),1,0))+IF(Task!$A$13="",0,IF(ISNUMBER(SEARCH(" "&amp;Task!$A$13&amp;" "," "&amp;LOWER(SUBSTITUTE(SUBSTITUTE(SUBSTITUTE(SUBSTITUTE(A363,"/"," "),"."," "),"\"," "),"_"," "))&amp;" ")),1,0))+IF(Task!$A$14="",0,IF(ISNUMBER(SEARCH(" "&amp;Task!$A$14&amp;" "," "&amp;LOWER(SUBSTITUTE(SUBSTITUTE(SUBSTITUTE(SUBSTITUTE(A363,"/"," "),"."," "),"\"," "),"_"," "))&amp;" ")),1,0))+IF(Task!$A$15="",0,IF(ISNUMBER(SEARCH(" "&amp;Task!$A$15&amp;" "," "&amp;LOWER(SUBSTITUTE(SUBSTITUTE(SUBSTITUTE(SUBSTITUTE(A363,"/"," "),"."," "),"\"," "),"_"," "))&amp;" ")),1,0))+IF(Task!$A$16="",0,IF(ISNUMBER(SEARCH(" "&amp;Task!$A$16&amp;" "," "&amp;LOWER(SUBSTITUTE(SUBSTITUTE(SUBSTITUTE(SUBSTITUTE(A363,"/"," "),"."," "),"\"," "),"_"," "))&amp;" ")),1,0))+IF(Task!$A$17="",0,IF(ISNUMBER(SEARCH(" "&amp;Task!$A$17&amp;" "," "&amp;LOWER(SUBSTITUTE(SUBSTITUTE(SUBSTITUTE(SUBSTITUTE(A363,"/"," "),"."," "),"\"," "),"_"," "))&amp;" ")),1,0))+IF(Task!$A$18="",0,IF(ISNUMBER(SEARCH(" "&amp;Task!$A$18&amp;" "," "&amp;LOWER(SUBSTITUTE(SUBSTITUTE(SUBSTITUTE(SUBSTITUTE(A363,"/"," "),"."," "),"\"," "),"_"," "))&amp;" ")),1,0))+IF(Task!$A$19="",0,IF(ISNUMBER(SEARCH(" "&amp;Task!$A$19&amp;" "," "&amp;LOWER(SUBSTITUTE(SUBSTITUTE(SUBSTITUTE(SUBSTITUTE(A363,"/"," "),"."," "),"\"," "),"_"," "))&amp;" ")),1,0)))</f>
        <v/>
      </c>
      <c r="I363" s="10">
        <f>IF(OR(E363=0,F363=0,Task!$B$21=0),"",F363/Task!$B$21+0.5*G363+0.25*H363)</f>
        <v/>
      </c>
      <c r="J363" s="5">
        <f>IF(I363="","",I363-ROW()/1000000)</f>
        <v/>
      </c>
      <c r="K363" s="9">
        <f>IF(J363="","",COUNTIF($J$5:$J$404,"&gt;"&amp;J363)+1)</f>
        <v/>
      </c>
    </row>
    <row r="364">
      <c r="A364" s="7" t="n"/>
      <c r="B364" s="7" t="n"/>
      <c r="C364" s="7" t="n"/>
      <c r="D364" s="7" t="n"/>
      <c r="E364" s="5">
        <f>IF(A364="",0,IF(COUNTA(Task!$B$5:$E$5)=0,1,IF(COUNTIF(Task!$B$5:$E$5,B364)&gt;0,1,0)))</f>
        <v/>
      </c>
      <c r="F364" s="9">
        <f>IF(E364=0,0,IF(Task!$A$8="",0,IF(ISNUMBER(SEARCH(" "&amp;Task!$A$8&amp;" "," "&amp;LOWER(D364&amp;" "&amp;C364&amp;" "&amp;LOWER(SUBSTITUTE(SUBSTITUTE(SUBSTITUTE(SUBSTITUTE(A364,"/"," "),"."," "),"\"," "),"_"," ")))&amp;" ")),1,0))+IF(Task!$A$9="",0,IF(ISNUMBER(SEARCH(" "&amp;Task!$A$9&amp;" "," "&amp;LOWER(D364&amp;" "&amp;C364&amp;" "&amp;LOWER(SUBSTITUTE(SUBSTITUTE(SUBSTITUTE(SUBSTITUTE(A364,"/"," "),"."," "),"\"," "),"_"," ")))&amp;" ")),1,0))+IF(Task!$A$10="",0,IF(ISNUMBER(SEARCH(" "&amp;Task!$A$10&amp;" "," "&amp;LOWER(D364&amp;" "&amp;C364&amp;" "&amp;LOWER(SUBSTITUTE(SUBSTITUTE(SUBSTITUTE(SUBSTITUTE(A364,"/"," "),"."," "),"\"," "),"_"," ")))&amp;" ")),1,0))+IF(Task!$A$11="",0,IF(ISNUMBER(SEARCH(" "&amp;Task!$A$11&amp;" "," "&amp;LOWER(D364&amp;" "&amp;C364&amp;" "&amp;LOWER(SUBSTITUTE(SUBSTITUTE(SUBSTITUTE(SUBSTITUTE(A364,"/"," "),"."," "),"\"," "),"_"," ")))&amp;" ")),1,0))+IF(Task!$A$12="",0,IF(ISNUMBER(SEARCH(" "&amp;Task!$A$12&amp;" "," "&amp;LOWER(D364&amp;" "&amp;C364&amp;" "&amp;LOWER(SUBSTITUTE(SUBSTITUTE(SUBSTITUTE(SUBSTITUTE(A364,"/"," "),"."," "),"\"," "),"_"," ")))&amp;" ")),1,0))+IF(Task!$A$13="",0,IF(ISNUMBER(SEARCH(" "&amp;Task!$A$13&amp;" "," "&amp;LOWER(D364&amp;" "&amp;C364&amp;" "&amp;LOWER(SUBSTITUTE(SUBSTITUTE(SUBSTITUTE(SUBSTITUTE(A364,"/"," "),"."," "),"\"," "),"_"," ")))&amp;" ")),1,0))+IF(Task!$A$14="",0,IF(ISNUMBER(SEARCH(" "&amp;Task!$A$14&amp;" "," "&amp;LOWER(D364&amp;" "&amp;C364&amp;" "&amp;LOWER(SUBSTITUTE(SUBSTITUTE(SUBSTITUTE(SUBSTITUTE(A364,"/"," "),"."," "),"\"," "),"_"," ")))&amp;" ")),1,0))+IF(Task!$A$15="",0,IF(ISNUMBER(SEARCH(" "&amp;Task!$A$15&amp;" "," "&amp;LOWER(D364&amp;" "&amp;C364&amp;" "&amp;LOWER(SUBSTITUTE(SUBSTITUTE(SUBSTITUTE(SUBSTITUTE(A364,"/"," "),"."," "),"\"," "),"_"," ")))&amp;" ")),1,0))+IF(Task!$A$16="",0,IF(ISNUMBER(SEARCH(" "&amp;Task!$A$16&amp;" "," "&amp;LOWER(D364&amp;" "&amp;C364&amp;" "&amp;LOWER(SUBSTITUTE(SUBSTITUTE(SUBSTITUTE(SUBSTITUTE(A364,"/"," "),"."," "),"\"," "),"_"," ")))&amp;" ")),1,0))+IF(Task!$A$17="",0,IF(ISNUMBER(SEARCH(" "&amp;Task!$A$17&amp;" "," "&amp;LOWER(D364&amp;" "&amp;C364&amp;" "&amp;LOWER(SUBSTITUTE(SUBSTITUTE(SUBSTITUTE(SUBSTITUTE(A364,"/"," "),"."," "),"\"," "),"_"," ")))&amp;" ")),1,0))+IF(Task!$A$18="",0,IF(ISNUMBER(SEARCH(" "&amp;Task!$A$18&amp;" "," "&amp;LOWER(D364&amp;" "&amp;C364&amp;" "&amp;LOWER(SUBSTITUTE(SUBSTITUTE(SUBSTITUTE(SUBSTITUTE(A364,"/"," "),"."," "),"\"," "),"_"," ")))&amp;" ")),1,0))+IF(Task!$A$19="",0,IF(ISNUMBER(SEARCH(" "&amp;Task!$A$19&amp;" "," "&amp;LOWER(D364&amp;" "&amp;C364&amp;" "&amp;LOWER(SUBSTITUTE(SUBSTITUTE(SUBSTITUTE(SUBSTITUTE(A364,"/"," "),"."," "),"\"," "),"_"," ")))&amp;" ")),1,0)))</f>
        <v/>
      </c>
      <c r="G364" s="9">
        <f>IF(E364=0,0,IF(Task!$A$8="",0,IF(ISNUMBER(SEARCH(" "&amp;Task!$A$8&amp;" "," "&amp;LOWER(C364)&amp;" ")),1,0))+IF(Task!$A$9="",0,IF(ISNUMBER(SEARCH(" "&amp;Task!$A$9&amp;" "," "&amp;LOWER(C364)&amp;" ")),1,0))+IF(Task!$A$10="",0,IF(ISNUMBER(SEARCH(" "&amp;Task!$A$10&amp;" "," "&amp;LOWER(C364)&amp;" ")),1,0))+IF(Task!$A$11="",0,IF(ISNUMBER(SEARCH(" "&amp;Task!$A$11&amp;" "," "&amp;LOWER(C364)&amp;" ")),1,0))+IF(Task!$A$12="",0,IF(ISNUMBER(SEARCH(" "&amp;Task!$A$12&amp;" "," "&amp;LOWER(C364)&amp;" ")),1,0))+IF(Task!$A$13="",0,IF(ISNUMBER(SEARCH(" "&amp;Task!$A$13&amp;" "," "&amp;LOWER(C364)&amp;" ")),1,0))+IF(Task!$A$14="",0,IF(ISNUMBER(SEARCH(" "&amp;Task!$A$14&amp;" "," "&amp;LOWER(C364)&amp;" ")),1,0))+IF(Task!$A$15="",0,IF(ISNUMBER(SEARCH(" "&amp;Task!$A$15&amp;" "," "&amp;LOWER(C364)&amp;" ")),1,0))+IF(Task!$A$16="",0,IF(ISNUMBER(SEARCH(" "&amp;Task!$A$16&amp;" "," "&amp;LOWER(C364)&amp;" ")),1,0))+IF(Task!$A$17="",0,IF(ISNUMBER(SEARCH(" "&amp;Task!$A$17&amp;" "," "&amp;LOWER(C364)&amp;" ")),1,0))+IF(Task!$A$18="",0,IF(ISNUMBER(SEARCH(" "&amp;Task!$A$18&amp;" "," "&amp;LOWER(C364)&amp;" ")),1,0))+IF(Task!$A$19="",0,IF(ISNUMBER(SEARCH(" "&amp;Task!$A$19&amp;" "," "&amp;LOWER(C364)&amp;" ")),1,0)))</f>
        <v/>
      </c>
      <c r="H364" s="9">
        <f>IF(E364=0,0,IF(Task!$A$8="",0,IF(ISNUMBER(SEARCH(" "&amp;Task!$A$8&amp;" "," "&amp;LOWER(SUBSTITUTE(SUBSTITUTE(SUBSTITUTE(SUBSTITUTE(A364,"/"," "),"."," "),"\"," "),"_"," "))&amp;" ")),1,0))+IF(Task!$A$9="",0,IF(ISNUMBER(SEARCH(" "&amp;Task!$A$9&amp;" "," "&amp;LOWER(SUBSTITUTE(SUBSTITUTE(SUBSTITUTE(SUBSTITUTE(A364,"/"," "),"."," "),"\"," "),"_"," "))&amp;" ")),1,0))+IF(Task!$A$10="",0,IF(ISNUMBER(SEARCH(" "&amp;Task!$A$10&amp;" "," "&amp;LOWER(SUBSTITUTE(SUBSTITUTE(SUBSTITUTE(SUBSTITUTE(A364,"/"," "),"."," "),"\"," "),"_"," "))&amp;" ")),1,0))+IF(Task!$A$11="",0,IF(ISNUMBER(SEARCH(" "&amp;Task!$A$11&amp;" "," "&amp;LOWER(SUBSTITUTE(SUBSTITUTE(SUBSTITUTE(SUBSTITUTE(A364,"/"," "),"."," "),"\"," "),"_"," "))&amp;" ")),1,0))+IF(Task!$A$12="",0,IF(ISNUMBER(SEARCH(" "&amp;Task!$A$12&amp;" "," "&amp;LOWER(SUBSTITUTE(SUBSTITUTE(SUBSTITUTE(SUBSTITUTE(A364,"/"," "),"."," "),"\"," "),"_"," "))&amp;" ")),1,0))+IF(Task!$A$13="",0,IF(ISNUMBER(SEARCH(" "&amp;Task!$A$13&amp;" "," "&amp;LOWER(SUBSTITUTE(SUBSTITUTE(SUBSTITUTE(SUBSTITUTE(A364,"/"," "),"."," "),"\"," "),"_"," "))&amp;" ")),1,0))+IF(Task!$A$14="",0,IF(ISNUMBER(SEARCH(" "&amp;Task!$A$14&amp;" "," "&amp;LOWER(SUBSTITUTE(SUBSTITUTE(SUBSTITUTE(SUBSTITUTE(A364,"/"," "),"."," "),"\"," "),"_"," "))&amp;" ")),1,0))+IF(Task!$A$15="",0,IF(ISNUMBER(SEARCH(" "&amp;Task!$A$15&amp;" "," "&amp;LOWER(SUBSTITUTE(SUBSTITUTE(SUBSTITUTE(SUBSTITUTE(A364,"/"," "),"."," "),"\"," "),"_"," "))&amp;" ")),1,0))+IF(Task!$A$16="",0,IF(ISNUMBER(SEARCH(" "&amp;Task!$A$16&amp;" "," "&amp;LOWER(SUBSTITUTE(SUBSTITUTE(SUBSTITUTE(SUBSTITUTE(A364,"/"," "),"."," "),"\"," "),"_"," "))&amp;" ")),1,0))+IF(Task!$A$17="",0,IF(ISNUMBER(SEARCH(" "&amp;Task!$A$17&amp;" "," "&amp;LOWER(SUBSTITUTE(SUBSTITUTE(SUBSTITUTE(SUBSTITUTE(A364,"/"," "),"."," "),"\"," "),"_"," "))&amp;" ")),1,0))+IF(Task!$A$18="",0,IF(ISNUMBER(SEARCH(" "&amp;Task!$A$18&amp;" "," "&amp;LOWER(SUBSTITUTE(SUBSTITUTE(SUBSTITUTE(SUBSTITUTE(A364,"/"," "),"."," "),"\"," "),"_"," "))&amp;" ")),1,0))+IF(Task!$A$19="",0,IF(ISNUMBER(SEARCH(" "&amp;Task!$A$19&amp;" "," "&amp;LOWER(SUBSTITUTE(SUBSTITUTE(SUBSTITUTE(SUBSTITUTE(A364,"/"," "),"."," "),"\"," "),"_"," "))&amp;" ")),1,0)))</f>
        <v/>
      </c>
      <c r="I364" s="10">
        <f>IF(OR(E364=0,F364=0,Task!$B$21=0),"",F364/Task!$B$21+0.5*G364+0.25*H364)</f>
        <v/>
      </c>
      <c r="J364" s="5">
        <f>IF(I364="","",I364-ROW()/1000000)</f>
        <v/>
      </c>
      <c r="K364" s="9">
        <f>IF(J364="","",COUNTIF($J$5:$J$404,"&gt;"&amp;J364)+1)</f>
        <v/>
      </c>
    </row>
    <row r="365">
      <c r="A365" s="7" t="n"/>
      <c r="B365" s="7" t="n"/>
      <c r="C365" s="7" t="n"/>
      <c r="D365" s="7" t="n"/>
      <c r="E365" s="5">
        <f>IF(A365="",0,IF(COUNTA(Task!$B$5:$E$5)=0,1,IF(COUNTIF(Task!$B$5:$E$5,B365)&gt;0,1,0)))</f>
        <v/>
      </c>
      <c r="F365" s="9">
        <f>IF(E365=0,0,IF(Task!$A$8="",0,IF(ISNUMBER(SEARCH(" "&amp;Task!$A$8&amp;" "," "&amp;LOWER(D365&amp;" "&amp;C365&amp;" "&amp;LOWER(SUBSTITUTE(SUBSTITUTE(SUBSTITUTE(SUBSTITUTE(A365,"/"," "),"."," "),"\"," "),"_"," ")))&amp;" ")),1,0))+IF(Task!$A$9="",0,IF(ISNUMBER(SEARCH(" "&amp;Task!$A$9&amp;" "," "&amp;LOWER(D365&amp;" "&amp;C365&amp;" "&amp;LOWER(SUBSTITUTE(SUBSTITUTE(SUBSTITUTE(SUBSTITUTE(A365,"/"," "),"."," "),"\"," "),"_"," ")))&amp;" ")),1,0))+IF(Task!$A$10="",0,IF(ISNUMBER(SEARCH(" "&amp;Task!$A$10&amp;" "," "&amp;LOWER(D365&amp;" "&amp;C365&amp;" "&amp;LOWER(SUBSTITUTE(SUBSTITUTE(SUBSTITUTE(SUBSTITUTE(A365,"/"," "),"."," "),"\"," "),"_"," ")))&amp;" ")),1,0))+IF(Task!$A$11="",0,IF(ISNUMBER(SEARCH(" "&amp;Task!$A$11&amp;" "," "&amp;LOWER(D365&amp;" "&amp;C365&amp;" "&amp;LOWER(SUBSTITUTE(SUBSTITUTE(SUBSTITUTE(SUBSTITUTE(A365,"/"," "),"."," "),"\"," "),"_"," ")))&amp;" ")),1,0))+IF(Task!$A$12="",0,IF(ISNUMBER(SEARCH(" "&amp;Task!$A$12&amp;" "," "&amp;LOWER(D365&amp;" "&amp;C365&amp;" "&amp;LOWER(SUBSTITUTE(SUBSTITUTE(SUBSTITUTE(SUBSTITUTE(A365,"/"," "),"."," "),"\"," "),"_"," ")))&amp;" ")),1,0))+IF(Task!$A$13="",0,IF(ISNUMBER(SEARCH(" "&amp;Task!$A$13&amp;" "," "&amp;LOWER(D365&amp;" "&amp;C365&amp;" "&amp;LOWER(SUBSTITUTE(SUBSTITUTE(SUBSTITUTE(SUBSTITUTE(A365,"/"," "),"."," "),"\"," "),"_"," ")))&amp;" ")),1,0))+IF(Task!$A$14="",0,IF(ISNUMBER(SEARCH(" "&amp;Task!$A$14&amp;" "," "&amp;LOWER(D365&amp;" "&amp;C365&amp;" "&amp;LOWER(SUBSTITUTE(SUBSTITUTE(SUBSTITUTE(SUBSTITUTE(A365,"/"," "),"."," "),"\"," "),"_"," ")))&amp;" ")),1,0))+IF(Task!$A$15="",0,IF(ISNUMBER(SEARCH(" "&amp;Task!$A$15&amp;" "," "&amp;LOWER(D365&amp;" "&amp;C365&amp;" "&amp;LOWER(SUBSTITUTE(SUBSTITUTE(SUBSTITUTE(SUBSTITUTE(A365,"/"," "),"."," "),"\"," "),"_"," ")))&amp;" ")),1,0))+IF(Task!$A$16="",0,IF(ISNUMBER(SEARCH(" "&amp;Task!$A$16&amp;" "," "&amp;LOWER(D365&amp;" "&amp;C365&amp;" "&amp;LOWER(SUBSTITUTE(SUBSTITUTE(SUBSTITUTE(SUBSTITUTE(A365,"/"," "),"."," "),"\"," "),"_"," ")))&amp;" ")),1,0))+IF(Task!$A$17="",0,IF(ISNUMBER(SEARCH(" "&amp;Task!$A$17&amp;" "," "&amp;LOWER(D365&amp;" "&amp;C365&amp;" "&amp;LOWER(SUBSTITUTE(SUBSTITUTE(SUBSTITUTE(SUBSTITUTE(A365,"/"," "),"."," "),"\"," "),"_"," ")))&amp;" ")),1,0))+IF(Task!$A$18="",0,IF(ISNUMBER(SEARCH(" "&amp;Task!$A$18&amp;" "," "&amp;LOWER(D365&amp;" "&amp;C365&amp;" "&amp;LOWER(SUBSTITUTE(SUBSTITUTE(SUBSTITUTE(SUBSTITUTE(A365,"/"," "),"."," "),"\"," "),"_"," ")))&amp;" ")),1,0))+IF(Task!$A$19="",0,IF(ISNUMBER(SEARCH(" "&amp;Task!$A$19&amp;" "," "&amp;LOWER(D365&amp;" "&amp;C365&amp;" "&amp;LOWER(SUBSTITUTE(SUBSTITUTE(SUBSTITUTE(SUBSTITUTE(A365,"/"," "),"."," "),"\"," "),"_"," ")))&amp;" ")),1,0)))</f>
        <v/>
      </c>
      <c r="G365" s="9">
        <f>IF(E365=0,0,IF(Task!$A$8="",0,IF(ISNUMBER(SEARCH(" "&amp;Task!$A$8&amp;" "," "&amp;LOWER(C365)&amp;" ")),1,0))+IF(Task!$A$9="",0,IF(ISNUMBER(SEARCH(" "&amp;Task!$A$9&amp;" "," "&amp;LOWER(C365)&amp;" ")),1,0))+IF(Task!$A$10="",0,IF(ISNUMBER(SEARCH(" "&amp;Task!$A$10&amp;" "," "&amp;LOWER(C365)&amp;" ")),1,0))+IF(Task!$A$11="",0,IF(ISNUMBER(SEARCH(" "&amp;Task!$A$11&amp;" "," "&amp;LOWER(C365)&amp;" ")),1,0))+IF(Task!$A$12="",0,IF(ISNUMBER(SEARCH(" "&amp;Task!$A$12&amp;" "," "&amp;LOWER(C365)&amp;" ")),1,0))+IF(Task!$A$13="",0,IF(ISNUMBER(SEARCH(" "&amp;Task!$A$13&amp;" "," "&amp;LOWER(C365)&amp;" ")),1,0))+IF(Task!$A$14="",0,IF(ISNUMBER(SEARCH(" "&amp;Task!$A$14&amp;" "," "&amp;LOWER(C365)&amp;" ")),1,0))+IF(Task!$A$15="",0,IF(ISNUMBER(SEARCH(" "&amp;Task!$A$15&amp;" "," "&amp;LOWER(C365)&amp;" ")),1,0))+IF(Task!$A$16="",0,IF(ISNUMBER(SEARCH(" "&amp;Task!$A$16&amp;" "," "&amp;LOWER(C365)&amp;" ")),1,0))+IF(Task!$A$17="",0,IF(ISNUMBER(SEARCH(" "&amp;Task!$A$17&amp;" "," "&amp;LOWER(C365)&amp;" ")),1,0))+IF(Task!$A$18="",0,IF(ISNUMBER(SEARCH(" "&amp;Task!$A$18&amp;" "," "&amp;LOWER(C365)&amp;" ")),1,0))+IF(Task!$A$19="",0,IF(ISNUMBER(SEARCH(" "&amp;Task!$A$19&amp;" "," "&amp;LOWER(C365)&amp;" ")),1,0)))</f>
        <v/>
      </c>
      <c r="H365" s="9">
        <f>IF(E365=0,0,IF(Task!$A$8="",0,IF(ISNUMBER(SEARCH(" "&amp;Task!$A$8&amp;" "," "&amp;LOWER(SUBSTITUTE(SUBSTITUTE(SUBSTITUTE(SUBSTITUTE(A365,"/"," "),"."," "),"\"," "),"_"," "))&amp;" ")),1,0))+IF(Task!$A$9="",0,IF(ISNUMBER(SEARCH(" "&amp;Task!$A$9&amp;" "," "&amp;LOWER(SUBSTITUTE(SUBSTITUTE(SUBSTITUTE(SUBSTITUTE(A365,"/"," "),"."," "),"\"," "),"_"," "))&amp;" ")),1,0))+IF(Task!$A$10="",0,IF(ISNUMBER(SEARCH(" "&amp;Task!$A$10&amp;" "," "&amp;LOWER(SUBSTITUTE(SUBSTITUTE(SUBSTITUTE(SUBSTITUTE(A365,"/"," "),"."," "),"\"," "),"_"," "))&amp;" ")),1,0))+IF(Task!$A$11="",0,IF(ISNUMBER(SEARCH(" "&amp;Task!$A$11&amp;" "," "&amp;LOWER(SUBSTITUTE(SUBSTITUTE(SUBSTITUTE(SUBSTITUTE(A365,"/"," "),"."," "),"\"," "),"_"," "))&amp;" ")),1,0))+IF(Task!$A$12="",0,IF(ISNUMBER(SEARCH(" "&amp;Task!$A$12&amp;" "," "&amp;LOWER(SUBSTITUTE(SUBSTITUTE(SUBSTITUTE(SUBSTITUTE(A365,"/"," "),"."," "),"\"," "),"_"," "))&amp;" ")),1,0))+IF(Task!$A$13="",0,IF(ISNUMBER(SEARCH(" "&amp;Task!$A$13&amp;" "," "&amp;LOWER(SUBSTITUTE(SUBSTITUTE(SUBSTITUTE(SUBSTITUTE(A365,"/"," "),"."," "),"\"," "),"_"," "))&amp;" ")),1,0))+IF(Task!$A$14="",0,IF(ISNUMBER(SEARCH(" "&amp;Task!$A$14&amp;" "," "&amp;LOWER(SUBSTITUTE(SUBSTITUTE(SUBSTITUTE(SUBSTITUTE(A365,"/"," "),"."," "),"\"," "),"_"," "))&amp;" ")),1,0))+IF(Task!$A$15="",0,IF(ISNUMBER(SEARCH(" "&amp;Task!$A$15&amp;" "," "&amp;LOWER(SUBSTITUTE(SUBSTITUTE(SUBSTITUTE(SUBSTITUTE(A365,"/"," "),"."," "),"\"," "),"_"," "))&amp;" ")),1,0))+IF(Task!$A$16="",0,IF(ISNUMBER(SEARCH(" "&amp;Task!$A$16&amp;" "," "&amp;LOWER(SUBSTITUTE(SUBSTITUTE(SUBSTITUTE(SUBSTITUTE(A365,"/"," "),"."," "),"\"," "),"_"," "))&amp;" ")),1,0))+IF(Task!$A$17="",0,IF(ISNUMBER(SEARCH(" "&amp;Task!$A$17&amp;" "," "&amp;LOWER(SUBSTITUTE(SUBSTITUTE(SUBSTITUTE(SUBSTITUTE(A365,"/"," "),"."," "),"\"," "),"_"," "))&amp;" ")),1,0))+IF(Task!$A$18="",0,IF(ISNUMBER(SEARCH(" "&amp;Task!$A$18&amp;" "," "&amp;LOWER(SUBSTITUTE(SUBSTITUTE(SUBSTITUTE(SUBSTITUTE(A365,"/"," "),"."," "),"\"," "),"_"," "))&amp;" ")),1,0))+IF(Task!$A$19="",0,IF(ISNUMBER(SEARCH(" "&amp;Task!$A$19&amp;" "," "&amp;LOWER(SUBSTITUTE(SUBSTITUTE(SUBSTITUTE(SUBSTITUTE(A365,"/"," "),"."," "),"\"," "),"_"," "))&amp;" ")),1,0)))</f>
        <v/>
      </c>
      <c r="I365" s="10">
        <f>IF(OR(E365=0,F365=0,Task!$B$21=0),"",F365/Task!$B$21+0.5*G365+0.25*H365)</f>
        <v/>
      </c>
      <c r="J365" s="5">
        <f>IF(I365="","",I365-ROW()/1000000)</f>
        <v/>
      </c>
      <c r="K365" s="9">
        <f>IF(J365="","",COUNTIF($J$5:$J$404,"&gt;"&amp;J365)+1)</f>
        <v/>
      </c>
    </row>
    <row r="366">
      <c r="A366" s="7" t="n"/>
      <c r="B366" s="7" t="n"/>
      <c r="C366" s="7" t="n"/>
      <c r="D366" s="7" t="n"/>
      <c r="E366" s="5">
        <f>IF(A366="",0,IF(COUNTA(Task!$B$5:$E$5)=0,1,IF(COUNTIF(Task!$B$5:$E$5,B366)&gt;0,1,0)))</f>
        <v/>
      </c>
      <c r="F366" s="9">
        <f>IF(E366=0,0,IF(Task!$A$8="",0,IF(ISNUMBER(SEARCH(" "&amp;Task!$A$8&amp;" "," "&amp;LOWER(D366&amp;" "&amp;C366&amp;" "&amp;LOWER(SUBSTITUTE(SUBSTITUTE(SUBSTITUTE(SUBSTITUTE(A366,"/"," "),"."," "),"\"," "),"_"," ")))&amp;" ")),1,0))+IF(Task!$A$9="",0,IF(ISNUMBER(SEARCH(" "&amp;Task!$A$9&amp;" "," "&amp;LOWER(D366&amp;" "&amp;C366&amp;" "&amp;LOWER(SUBSTITUTE(SUBSTITUTE(SUBSTITUTE(SUBSTITUTE(A366,"/"," "),"."," "),"\"," "),"_"," ")))&amp;" ")),1,0))+IF(Task!$A$10="",0,IF(ISNUMBER(SEARCH(" "&amp;Task!$A$10&amp;" "," "&amp;LOWER(D366&amp;" "&amp;C366&amp;" "&amp;LOWER(SUBSTITUTE(SUBSTITUTE(SUBSTITUTE(SUBSTITUTE(A366,"/"," "),"."," "),"\"," "),"_"," ")))&amp;" ")),1,0))+IF(Task!$A$11="",0,IF(ISNUMBER(SEARCH(" "&amp;Task!$A$11&amp;" "," "&amp;LOWER(D366&amp;" "&amp;C366&amp;" "&amp;LOWER(SUBSTITUTE(SUBSTITUTE(SUBSTITUTE(SUBSTITUTE(A366,"/"," "),"."," "),"\"," "),"_"," ")))&amp;" ")),1,0))+IF(Task!$A$12="",0,IF(ISNUMBER(SEARCH(" "&amp;Task!$A$12&amp;" "," "&amp;LOWER(D366&amp;" "&amp;C366&amp;" "&amp;LOWER(SUBSTITUTE(SUBSTITUTE(SUBSTITUTE(SUBSTITUTE(A366,"/"," "),"."," "),"\"," "),"_"," ")))&amp;" ")),1,0))+IF(Task!$A$13="",0,IF(ISNUMBER(SEARCH(" "&amp;Task!$A$13&amp;" "," "&amp;LOWER(D366&amp;" "&amp;C366&amp;" "&amp;LOWER(SUBSTITUTE(SUBSTITUTE(SUBSTITUTE(SUBSTITUTE(A366,"/"," "),"."," "),"\"," "),"_"," ")))&amp;" ")),1,0))+IF(Task!$A$14="",0,IF(ISNUMBER(SEARCH(" "&amp;Task!$A$14&amp;" "," "&amp;LOWER(D366&amp;" "&amp;C366&amp;" "&amp;LOWER(SUBSTITUTE(SUBSTITUTE(SUBSTITUTE(SUBSTITUTE(A366,"/"," "),"."," "),"\"," "),"_"," ")))&amp;" ")),1,0))+IF(Task!$A$15="",0,IF(ISNUMBER(SEARCH(" "&amp;Task!$A$15&amp;" "," "&amp;LOWER(D366&amp;" "&amp;C366&amp;" "&amp;LOWER(SUBSTITUTE(SUBSTITUTE(SUBSTITUTE(SUBSTITUTE(A366,"/"," "),"."," "),"\"," "),"_"," ")))&amp;" ")),1,0))+IF(Task!$A$16="",0,IF(ISNUMBER(SEARCH(" "&amp;Task!$A$16&amp;" "," "&amp;LOWER(D366&amp;" "&amp;C366&amp;" "&amp;LOWER(SUBSTITUTE(SUBSTITUTE(SUBSTITUTE(SUBSTITUTE(A366,"/"," "),"."," "),"\"," "),"_"," ")))&amp;" ")),1,0))+IF(Task!$A$17="",0,IF(ISNUMBER(SEARCH(" "&amp;Task!$A$17&amp;" "," "&amp;LOWER(D366&amp;" "&amp;C366&amp;" "&amp;LOWER(SUBSTITUTE(SUBSTITUTE(SUBSTITUTE(SUBSTITUTE(A366,"/"," "),"."," "),"\"," "),"_"," ")))&amp;" ")),1,0))+IF(Task!$A$18="",0,IF(ISNUMBER(SEARCH(" "&amp;Task!$A$18&amp;" "," "&amp;LOWER(D366&amp;" "&amp;C366&amp;" "&amp;LOWER(SUBSTITUTE(SUBSTITUTE(SUBSTITUTE(SUBSTITUTE(A366,"/"," "),"."," "),"\"," "),"_"," ")))&amp;" ")),1,0))+IF(Task!$A$19="",0,IF(ISNUMBER(SEARCH(" "&amp;Task!$A$19&amp;" "," "&amp;LOWER(D366&amp;" "&amp;C366&amp;" "&amp;LOWER(SUBSTITUTE(SUBSTITUTE(SUBSTITUTE(SUBSTITUTE(A366,"/"," "),"."," "),"\"," "),"_"," ")))&amp;" ")),1,0)))</f>
        <v/>
      </c>
      <c r="G366" s="9">
        <f>IF(E366=0,0,IF(Task!$A$8="",0,IF(ISNUMBER(SEARCH(" "&amp;Task!$A$8&amp;" "," "&amp;LOWER(C366)&amp;" ")),1,0))+IF(Task!$A$9="",0,IF(ISNUMBER(SEARCH(" "&amp;Task!$A$9&amp;" "," "&amp;LOWER(C366)&amp;" ")),1,0))+IF(Task!$A$10="",0,IF(ISNUMBER(SEARCH(" "&amp;Task!$A$10&amp;" "," "&amp;LOWER(C366)&amp;" ")),1,0))+IF(Task!$A$11="",0,IF(ISNUMBER(SEARCH(" "&amp;Task!$A$11&amp;" "," "&amp;LOWER(C366)&amp;" ")),1,0))+IF(Task!$A$12="",0,IF(ISNUMBER(SEARCH(" "&amp;Task!$A$12&amp;" "," "&amp;LOWER(C366)&amp;" ")),1,0))+IF(Task!$A$13="",0,IF(ISNUMBER(SEARCH(" "&amp;Task!$A$13&amp;" "," "&amp;LOWER(C366)&amp;" ")),1,0))+IF(Task!$A$14="",0,IF(ISNUMBER(SEARCH(" "&amp;Task!$A$14&amp;" "," "&amp;LOWER(C366)&amp;" ")),1,0))+IF(Task!$A$15="",0,IF(ISNUMBER(SEARCH(" "&amp;Task!$A$15&amp;" "," "&amp;LOWER(C366)&amp;" ")),1,0))+IF(Task!$A$16="",0,IF(ISNUMBER(SEARCH(" "&amp;Task!$A$16&amp;" "," "&amp;LOWER(C366)&amp;" ")),1,0))+IF(Task!$A$17="",0,IF(ISNUMBER(SEARCH(" "&amp;Task!$A$17&amp;" "," "&amp;LOWER(C366)&amp;" ")),1,0))+IF(Task!$A$18="",0,IF(ISNUMBER(SEARCH(" "&amp;Task!$A$18&amp;" "," "&amp;LOWER(C366)&amp;" ")),1,0))+IF(Task!$A$19="",0,IF(ISNUMBER(SEARCH(" "&amp;Task!$A$19&amp;" "," "&amp;LOWER(C366)&amp;" ")),1,0)))</f>
        <v/>
      </c>
      <c r="H366" s="9">
        <f>IF(E366=0,0,IF(Task!$A$8="",0,IF(ISNUMBER(SEARCH(" "&amp;Task!$A$8&amp;" "," "&amp;LOWER(SUBSTITUTE(SUBSTITUTE(SUBSTITUTE(SUBSTITUTE(A366,"/"," "),"."," "),"\"," "),"_"," "))&amp;" ")),1,0))+IF(Task!$A$9="",0,IF(ISNUMBER(SEARCH(" "&amp;Task!$A$9&amp;" "," "&amp;LOWER(SUBSTITUTE(SUBSTITUTE(SUBSTITUTE(SUBSTITUTE(A366,"/"," "),"."," "),"\"," "),"_"," "))&amp;" ")),1,0))+IF(Task!$A$10="",0,IF(ISNUMBER(SEARCH(" "&amp;Task!$A$10&amp;" "," "&amp;LOWER(SUBSTITUTE(SUBSTITUTE(SUBSTITUTE(SUBSTITUTE(A366,"/"," "),"."," "),"\"," "),"_"," "))&amp;" ")),1,0))+IF(Task!$A$11="",0,IF(ISNUMBER(SEARCH(" "&amp;Task!$A$11&amp;" "," "&amp;LOWER(SUBSTITUTE(SUBSTITUTE(SUBSTITUTE(SUBSTITUTE(A366,"/"," "),"."," "),"\"," "),"_"," "))&amp;" ")),1,0))+IF(Task!$A$12="",0,IF(ISNUMBER(SEARCH(" "&amp;Task!$A$12&amp;" "," "&amp;LOWER(SUBSTITUTE(SUBSTITUTE(SUBSTITUTE(SUBSTITUTE(A366,"/"," "),"."," "),"\"," "),"_"," "))&amp;" ")),1,0))+IF(Task!$A$13="",0,IF(ISNUMBER(SEARCH(" "&amp;Task!$A$13&amp;" "," "&amp;LOWER(SUBSTITUTE(SUBSTITUTE(SUBSTITUTE(SUBSTITUTE(A366,"/"," "),"."," "),"\"," "),"_"," "))&amp;" ")),1,0))+IF(Task!$A$14="",0,IF(ISNUMBER(SEARCH(" "&amp;Task!$A$14&amp;" "," "&amp;LOWER(SUBSTITUTE(SUBSTITUTE(SUBSTITUTE(SUBSTITUTE(A366,"/"," "),"."," "),"\"," "),"_"," "))&amp;" ")),1,0))+IF(Task!$A$15="",0,IF(ISNUMBER(SEARCH(" "&amp;Task!$A$15&amp;" "," "&amp;LOWER(SUBSTITUTE(SUBSTITUTE(SUBSTITUTE(SUBSTITUTE(A366,"/"," "),"."," "),"\"," "),"_"," "))&amp;" ")),1,0))+IF(Task!$A$16="",0,IF(ISNUMBER(SEARCH(" "&amp;Task!$A$16&amp;" "," "&amp;LOWER(SUBSTITUTE(SUBSTITUTE(SUBSTITUTE(SUBSTITUTE(A366,"/"," "),"."," "),"\"," "),"_"," "))&amp;" ")),1,0))+IF(Task!$A$17="",0,IF(ISNUMBER(SEARCH(" "&amp;Task!$A$17&amp;" "," "&amp;LOWER(SUBSTITUTE(SUBSTITUTE(SUBSTITUTE(SUBSTITUTE(A366,"/"," "),"."," "),"\"," "),"_"," "))&amp;" ")),1,0))+IF(Task!$A$18="",0,IF(ISNUMBER(SEARCH(" "&amp;Task!$A$18&amp;" "," "&amp;LOWER(SUBSTITUTE(SUBSTITUTE(SUBSTITUTE(SUBSTITUTE(A366,"/"," "),"."," "),"\"," "),"_"," "))&amp;" ")),1,0))+IF(Task!$A$19="",0,IF(ISNUMBER(SEARCH(" "&amp;Task!$A$19&amp;" "," "&amp;LOWER(SUBSTITUTE(SUBSTITUTE(SUBSTITUTE(SUBSTITUTE(A366,"/"," "),"."," "),"\"," "),"_"," "))&amp;" ")),1,0)))</f>
        <v/>
      </c>
      <c r="I366" s="10">
        <f>IF(OR(E366=0,F366=0,Task!$B$21=0),"",F366/Task!$B$21+0.5*G366+0.25*H366)</f>
        <v/>
      </c>
      <c r="J366" s="5">
        <f>IF(I366="","",I366-ROW()/1000000)</f>
        <v/>
      </c>
      <c r="K366" s="9">
        <f>IF(J366="","",COUNTIF($J$5:$J$404,"&gt;"&amp;J366)+1)</f>
        <v/>
      </c>
    </row>
    <row r="367">
      <c r="A367" s="7" t="n"/>
      <c r="B367" s="7" t="n"/>
      <c r="C367" s="7" t="n"/>
      <c r="D367" s="7" t="n"/>
      <c r="E367" s="5">
        <f>IF(A367="",0,IF(COUNTA(Task!$B$5:$E$5)=0,1,IF(COUNTIF(Task!$B$5:$E$5,B367)&gt;0,1,0)))</f>
        <v/>
      </c>
      <c r="F367" s="9">
        <f>IF(E367=0,0,IF(Task!$A$8="",0,IF(ISNUMBER(SEARCH(" "&amp;Task!$A$8&amp;" "," "&amp;LOWER(D367&amp;" "&amp;C367&amp;" "&amp;LOWER(SUBSTITUTE(SUBSTITUTE(SUBSTITUTE(SUBSTITUTE(A367,"/"," "),"."," "),"\"," "),"_"," ")))&amp;" ")),1,0))+IF(Task!$A$9="",0,IF(ISNUMBER(SEARCH(" "&amp;Task!$A$9&amp;" "," "&amp;LOWER(D367&amp;" "&amp;C367&amp;" "&amp;LOWER(SUBSTITUTE(SUBSTITUTE(SUBSTITUTE(SUBSTITUTE(A367,"/"," "),"."," "),"\"," "),"_"," ")))&amp;" ")),1,0))+IF(Task!$A$10="",0,IF(ISNUMBER(SEARCH(" "&amp;Task!$A$10&amp;" "," "&amp;LOWER(D367&amp;" "&amp;C367&amp;" "&amp;LOWER(SUBSTITUTE(SUBSTITUTE(SUBSTITUTE(SUBSTITUTE(A367,"/"," "),"."," "),"\"," "),"_"," ")))&amp;" ")),1,0))+IF(Task!$A$11="",0,IF(ISNUMBER(SEARCH(" "&amp;Task!$A$11&amp;" "," "&amp;LOWER(D367&amp;" "&amp;C367&amp;" "&amp;LOWER(SUBSTITUTE(SUBSTITUTE(SUBSTITUTE(SUBSTITUTE(A367,"/"," "),"."," "),"\"," "),"_"," ")))&amp;" ")),1,0))+IF(Task!$A$12="",0,IF(ISNUMBER(SEARCH(" "&amp;Task!$A$12&amp;" "," "&amp;LOWER(D367&amp;" "&amp;C367&amp;" "&amp;LOWER(SUBSTITUTE(SUBSTITUTE(SUBSTITUTE(SUBSTITUTE(A367,"/"," "),"."," "),"\"," "),"_"," ")))&amp;" ")),1,0))+IF(Task!$A$13="",0,IF(ISNUMBER(SEARCH(" "&amp;Task!$A$13&amp;" "," "&amp;LOWER(D367&amp;" "&amp;C367&amp;" "&amp;LOWER(SUBSTITUTE(SUBSTITUTE(SUBSTITUTE(SUBSTITUTE(A367,"/"," "),"."," "),"\"," "),"_"," ")))&amp;" ")),1,0))+IF(Task!$A$14="",0,IF(ISNUMBER(SEARCH(" "&amp;Task!$A$14&amp;" "," "&amp;LOWER(D367&amp;" "&amp;C367&amp;" "&amp;LOWER(SUBSTITUTE(SUBSTITUTE(SUBSTITUTE(SUBSTITUTE(A367,"/"," "),"."," "),"\"," "),"_"," ")))&amp;" ")),1,0))+IF(Task!$A$15="",0,IF(ISNUMBER(SEARCH(" "&amp;Task!$A$15&amp;" "," "&amp;LOWER(D367&amp;" "&amp;C367&amp;" "&amp;LOWER(SUBSTITUTE(SUBSTITUTE(SUBSTITUTE(SUBSTITUTE(A367,"/"," "),"."," "),"\"," "),"_"," ")))&amp;" ")),1,0))+IF(Task!$A$16="",0,IF(ISNUMBER(SEARCH(" "&amp;Task!$A$16&amp;" "," "&amp;LOWER(D367&amp;" "&amp;C367&amp;" "&amp;LOWER(SUBSTITUTE(SUBSTITUTE(SUBSTITUTE(SUBSTITUTE(A367,"/"," "),"."," "),"\"," "),"_"," ")))&amp;" ")),1,0))+IF(Task!$A$17="",0,IF(ISNUMBER(SEARCH(" "&amp;Task!$A$17&amp;" "," "&amp;LOWER(D367&amp;" "&amp;C367&amp;" "&amp;LOWER(SUBSTITUTE(SUBSTITUTE(SUBSTITUTE(SUBSTITUTE(A367,"/"," "),"."," "),"\"," "),"_"," ")))&amp;" ")),1,0))+IF(Task!$A$18="",0,IF(ISNUMBER(SEARCH(" "&amp;Task!$A$18&amp;" "," "&amp;LOWER(D367&amp;" "&amp;C367&amp;" "&amp;LOWER(SUBSTITUTE(SUBSTITUTE(SUBSTITUTE(SUBSTITUTE(A367,"/"," "),"."," "),"\"," "),"_"," ")))&amp;" ")),1,0))+IF(Task!$A$19="",0,IF(ISNUMBER(SEARCH(" "&amp;Task!$A$19&amp;" "," "&amp;LOWER(D367&amp;" "&amp;C367&amp;" "&amp;LOWER(SUBSTITUTE(SUBSTITUTE(SUBSTITUTE(SUBSTITUTE(A367,"/"," "),"."," "),"\"," "),"_"," ")))&amp;" ")),1,0)))</f>
        <v/>
      </c>
      <c r="G367" s="9">
        <f>IF(E367=0,0,IF(Task!$A$8="",0,IF(ISNUMBER(SEARCH(" "&amp;Task!$A$8&amp;" "," "&amp;LOWER(C367)&amp;" ")),1,0))+IF(Task!$A$9="",0,IF(ISNUMBER(SEARCH(" "&amp;Task!$A$9&amp;" "," "&amp;LOWER(C367)&amp;" ")),1,0))+IF(Task!$A$10="",0,IF(ISNUMBER(SEARCH(" "&amp;Task!$A$10&amp;" "," "&amp;LOWER(C367)&amp;" ")),1,0))+IF(Task!$A$11="",0,IF(ISNUMBER(SEARCH(" "&amp;Task!$A$11&amp;" "," "&amp;LOWER(C367)&amp;" ")),1,0))+IF(Task!$A$12="",0,IF(ISNUMBER(SEARCH(" "&amp;Task!$A$12&amp;" "," "&amp;LOWER(C367)&amp;" ")),1,0))+IF(Task!$A$13="",0,IF(ISNUMBER(SEARCH(" "&amp;Task!$A$13&amp;" "," "&amp;LOWER(C367)&amp;" ")),1,0))+IF(Task!$A$14="",0,IF(ISNUMBER(SEARCH(" "&amp;Task!$A$14&amp;" "," "&amp;LOWER(C367)&amp;" ")),1,0))+IF(Task!$A$15="",0,IF(ISNUMBER(SEARCH(" "&amp;Task!$A$15&amp;" "," "&amp;LOWER(C367)&amp;" ")),1,0))+IF(Task!$A$16="",0,IF(ISNUMBER(SEARCH(" "&amp;Task!$A$16&amp;" "," "&amp;LOWER(C367)&amp;" ")),1,0))+IF(Task!$A$17="",0,IF(ISNUMBER(SEARCH(" "&amp;Task!$A$17&amp;" "," "&amp;LOWER(C367)&amp;" ")),1,0))+IF(Task!$A$18="",0,IF(ISNUMBER(SEARCH(" "&amp;Task!$A$18&amp;" "," "&amp;LOWER(C367)&amp;" ")),1,0))+IF(Task!$A$19="",0,IF(ISNUMBER(SEARCH(" "&amp;Task!$A$19&amp;" "," "&amp;LOWER(C367)&amp;" ")),1,0)))</f>
        <v/>
      </c>
      <c r="H367" s="9">
        <f>IF(E367=0,0,IF(Task!$A$8="",0,IF(ISNUMBER(SEARCH(" "&amp;Task!$A$8&amp;" "," "&amp;LOWER(SUBSTITUTE(SUBSTITUTE(SUBSTITUTE(SUBSTITUTE(A367,"/"," "),"."," "),"\"," "),"_"," "))&amp;" ")),1,0))+IF(Task!$A$9="",0,IF(ISNUMBER(SEARCH(" "&amp;Task!$A$9&amp;" "," "&amp;LOWER(SUBSTITUTE(SUBSTITUTE(SUBSTITUTE(SUBSTITUTE(A367,"/"," "),"."," "),"\"," "),"_"," "))&amp;" ")),1,0))+IF(Task!$A$10="",0,IF(ISNUMBER(SEARCH(" "&amp;Task!$A$10&amp;" "," "&amp;LOWER(SUBSTITUTE(SUBSTITUTE(SUBSTITUTE(SUBSTITUTE(A367,"/"," "),"."," "),"\"," "),"_"," "))&amp;" ")),1,0))+IF(Task!$A$11="",0,IF(ISNUMBER(SEARCH(" "&amp;Task!$A$11&amp;" "," "&amp;LOWER(SUBSTITUTE(SUBSTITUTE(SUBSTITUTE(SUBSTITUTE(A367,"/"," "),"."," "),"\"," "),"_"," "))&amp;" ")),1,0))+IF(Task!$A$12="",0,IF(ISNUMBER(SEARCH(" "&amp;Task!$A$12&amp;" "," "&amp;LOWER(SUBSTITUTE(SUBSTITUTE(SUBSTITUTE(SUBSTITUTE(A367,"/"," "),"."," "),"\"," "),"_"," "))&amp;" ")),1,0))+IF(Task!$A$13="",0,IF(ISNUMBER(SEARCH(" "&amp;Task!$A$13&amp;" "," "&amp;LOWER(SUBSTITUTE(SUBSTITUTE(SUBSTITUTE(SUBSTITUTE(A367,"/"," "),"."," "),"\"," "),"_"," "))&amp;" ")),1,0))+IF(Task!$A$14="",0,IF(ISNUMBER(SEARCH(" "&amp;Task!$A$14&amp;" "," "&amp;LOWER(SUBSTITUTE(SUBSTITUTE(SUBSTITUTE(SUBSTITUTE(A367,"/"," "),"."," "),"\"," "),"_"," "))&amp;" ")),1,0))+IF(Task!$A$15="",0,IF(ISNUMBER(SEARCH(" "&amp;Task!$A$15&amp;" "," "&amp;LOWER(SUBSTITUTE(SUBSTITUTE(SUBSTITUTE(SUBSTITUTE(A367,"/"," "),"."," "),"\"," "),"_"," "))&amp;" ")),1,0))+IF(Task!$A$16="",0,IF(ISNUMBER(SEARCH(" "&amp;Task!$A$16&amp;" "," "&amp;LOWER(SUBSTITUTE(SUBSTITUTE(SUBSTITUTE(SUBSTITUTE(A367,"/"," "),"."," "),"\"," "),"_"," "))&amp;" ")),1,0))+IF(Task!$A$17="",0,IF(ISNUMBER(SEARCH(" "&amp;Task!$A$17&amp;" "," "&amp;LOWER(SUBSTITUTE(SUBSTITUTE(SUBSTITUTE(SUBSTITUTE(A367,"/"," "),"."," "),"\"," "),"_"," "))&amp;" ")),1,0))+IF(Task!$A$18="",0,IF(ISNUMBER(SEARCH(" "&amp;Task!$A$18&amp;" "," "&amp;LOWER(SUBSTITUTE(SUBSTITUTE(SUBSTITUTE(SUBSTITUTE(A367,"/"," "),"."," "),"\"," "),"_"," "))&amp;" ")),1,0))+IF(Task!$A$19="",0,IF(ISNUMBER(SEARCH(" "&amp;Task!$A$19&amp;" "," "&amp;LOWER(SUBSTITUTE(SUBSTITUTE(SUBSTITUTE(SUBSTITUTE(A367,"/"," "),"."," "),"\"," "),"_"," "))&amp;" ")),1,0)))</f>
        <v/>
      </c>
      <c r="I367" s="10">
        <f>IF(OR(E367=0,F367=0,Task!$B$21=0),"",F367/Task!$B$21+0.5*G367+0.25*H367)</f>
        <v/>
      </c>
      <c r="J367" s="5">
        <f>IF(I367="","",I367-ROW()/1000000)</f>
        <v/>
      </c>
      <c r="K367" s="9">
        <f>IF(J367="","",COUNTIF($J$5:$J$404,"&gt;"&amp;J367)+1)</f>
        <v/>
      </c>
    </row>
    <row r="368">
      <c r="A368" s="7" t="n"/>
      <c r="B368" s="7" t="n"/>
      <c r="C368" s="7" t="n"/>
      <c r="D368" s="7" t="n"/>
      <c r="E368" s="5">
        <f>IF(A368="",0,IF(COUNTA(Task!$B$5:$E$5)=0,1,IF(COUNTIF(Task!$B$5:$E$5,B368)&gt;0,1,0)))</f>
        <v/>
      </c>
      <c r="F368" s="9">
        <f>IF(E368=0,0,IF(Task!$A$8="",0,IF(ISNUMBER(SEARCH(" "&amp;Task!$A$8&amp;" "," "&amp;LOWER(D368&amp;" "&amp;C368&amp;" "&amp;LOWER(SUBSTITUTE(SUBSTITUTE(SUBSTITUTE(SUBSTITUTE(A368,"/"," "),"."," "),"\"," "),"_"," ")))&amp;" ")),1,0))+IF(Task!$A$9="",0,IF(ISNUMBER(SEARCH(" "&amp;Task!$A$9&amp;" "," "&amp;LOWER(D368&amp;" "&amp;C368&amp;" "&amp;LOWER(SUBSTITUTE(SUBSTITUTE(SUBSTITUTE(SUBSTITUTE(A368,"/"," "),"."," "),"\"," "),"_"," ")))&amp;" ")),1,0))+IF(Task!$A$10="",0,IF(ISNUMBER(SEARCH(" "&amp;Task!$A$10&amp;" "," "&amp;LOWER(D368&amp;" "&amp;C368&amp;" "&amp;LOWER(SUBSTITUTE(SUBSTITUTE(SUBSTITUTE(SUBSTITUTE(A368,"/"," "),"."," "),"\"," "),"_"," ")))&amp;" ")),1,0))+IF(Task!$A$11="",0,IF(ISNUMBER(SEARCH(" "&amp;Task!$A$11&amp;" "," "&amp;LOWER(D368&amp;" "&amp;C368&amp;" "&amp;LOWER(SUBSTITUTE(SUBSTITUTE(SUBSTITUTE(SUBSTITUTE(A368,"/"," "),"."," "),"\"," "),"_"," ")))&amp;" ")),1,0))+IF(Task!$A$12="",0,IF(ISNUMBER(SEARCH(" "&amp;Task!$A$12&amp;" "," "&amp;LOWER(D368&amp;" "&amp;C368&amp;" "&amp;LOWER(SUBSTITUTE(SUBSTITUTE(SUBSTITUTE(SUBSTITUTE(A368,"/"," "),"."," "),"\"," "),"_"," ")))&amp;" ")),1,0))+IF(Task!$A$13="",0,IF(ISNUMBER(SEARCH(" "&amp;Task!$A$13&amp;" "," "&amp;LOWER(D368&amp;" "&amp;C368&amp;" "&amp;LOWER(SUBSTITUTE(SUBSTITUTE(SUBSTITUTE(SUBSTITUTE(A368,"/"," "),"."," "),"\"," "),"_"," ")))&amp;" ")),1,0))+IF(Task!$A$14="",0,IF(ISNUMBER(SEARCH(" "&amp;Task!$A$14&amp;" "," "&amp;LOWER(D368&amp;" "&amp;C368&amp;" "&amp;LOWER(SUBSTITUTE(SUBSTITUTE(SUBSTITUTE(SUBSTITUTE(A368,"/"," "),"."," "),"\"," "),"_"," ")))&amp;" ")),1,0))+IF(Task!$A$15="",0,IF(ISNUMBER(SEARCH(" "&amp;Task!$A$15&amp;" "," "&amp;LOWER(D368&amp;" "&amp;C368&amp;" "&amp;LOWER(SUBSTITUTE(SUBSTITUTE(SUBSTITUTE(SUBSTITUTE(A368,"/"," "),"."," "),"\"," "),"_"," ")))&amp;" ")),1,0))+IF(Task!$A$16="",0,IF(ISNUMBER(SEARCH(" "&amp;Task!$A$16&amp;" "," "&amp;LOWER(D368&amp;" "&amp;C368&amp;" "&amp;LOWER(SUBSTITUTE(SUBSTITUTE(SUBSTITUTE(SUBSTITUTE(A368,"/"," "),"."," "),"\"," "),"_"," ")))&amp;" ")),1,0))+IF(Task!$A$17="",0,IF(ISNUMBER(SEARCH(" "&amp;Task!$A$17&amp;" "," "&amp;LOWER(D368&amp;" "&amp;C368&amp;" "&amp;LOWER(SUBSTITUTE(SUBSTITUTE(SUBSTITUTE(SUBSTITUTE(A368,"/"," "),"."," "),"\"," "),"_"," ")))&amp;" ")),1,0))+IF(Task!$A$18="",0,IF(ISNUMBER(SEARCH(" "&amp;Task!$A$18&amp;" "," "&amp;LOWER(D368&amp;" "&amp;C368&amp;" "&amp;LOWER(SUBSTITUTE(SUBSTITUTE(SUBSTITUTE(SUBSTITUTE(A368,"/"," "),"."," "),"\"," "),"_"," ")))&amp;" ")),1,0))+IF(Task!$A$19="",0,IF(ISNUMBER(SEARCH(" "&amp;Task!$A$19&amp;" "," "&amp;LOWER(D368&amp;" "&amp;C368&amp;" "&amp;LOWER(SUBSTITUTE(SUBSTITUTE(SUBSTITUTE(SUBSTITUTE(A368,"/"," "),"."," "),"\"," "),"_"," ")))&amp;" ")),1,0)))</f>
        <v/>
      </c>
      <c r="G368" s="9">
        <f>IF(E368=0,0,IF(Task!$A$8="",0,IF(ISNUMBER(SEARCH(" "&amp;Task!$A$8&amp;" "," "&amp;LOWER(C368)&amp;" ")),1,0))+IF(Task!$A$9="",0,IF(ISNUMBER(SEARCH(" "&amp;Task!$A$9&amp;" "," "&amp;LOWER(C368)&amp;" ")),1,0))+IF(Task!$A$10="",0,IF(ISNUMBER(SEARCH(" "&amp;Task!$A$10&amp;" "," "&amp;LOWER(C368)&amp;" ")),1,0))+IF(Task!$A$11="",0,IF(ISNUMBER(SEARCH(" "&amp;Task!$A$11&amp;" "," "&amp;LOWER(C368)&amp;" ")),1,0))+IF(Task!$A$12="",0,IF(ISNUMBER(SEARCH(" "&amp;Task!$A$12&amp;" "," "&amp;LOWER(C368)&amp;" ")),1,0))+IF(Task!$A$13="",0,IF(ISNUMBER(SEARCH(" "&amp;Task!$A$13&amp;" "," "&amp;LOWER(C368)&amp;" ")),1,0))+IF(Task!$A$14="",0,IF(ISNUMBER(SEARCH(" "&amp;Task!$A$14&amp;" "," "&amp;LOWER(C368)&amp;" ")),1,0))+IF(Task!$A$15="",0,IF(ISNUMBER(SEARCH(" "&amp;Task!$A$15&amp;" "," "&amp;LOWER(C368)&amp;" ")),1,0))+IF(Task!$A$16="",0,IF(ISNUMBER(SEARCH(" "&amp;Task!$A$16&amp;" "," "&amp;LOWER(C368)&amp;" ")),1,0))+IF(Task!$A$17="",0,IF(ISNUMBER(SEARCH(" "&amp;Task!$A$17&amp;" "," "&amp;LOWER(C368)&amp;" ")),1,0))+IF(Task!$A$18="",0,IF(ISNUMBER(SEARCH(" "&amp;Task!$A$18&amp;" "," "&amp;LOWER(C368)&amp;" ")),1,0))+IF(Task!$A$19="",0,IF(ISNUMBER(SEARCH(" "&amp;Task!$A$19&amp;" "," "&amp;LOWER(C368)&amp;" ")),1,0)))</f>
        <v/>
      </c>
      <c r="H368" s="9">
        <f>IF(E368=0,0,IF(Task!$A$8="",0,IF(ISNUMBER(SEARCH(" "&amp;Task!$A$8&amp;" "," "&amp;LOWER(SUBSTITUTE(SUBSTITUTE(SUBSTITUTE(SUBSTITUTE(A368,"/"," "),"."," "),"\"," "),"_"," "))&amp;" ")),1,0))+IF(Task!$A$9="",0,IF(ISNUMBER(SEARCH(" "&amp;Task!$A$9&amp;" "," "&amp;LOWER(SUBSTITUTE(SUBSTITUTE(SUBSTITUTE(SUBSTITUTE(A368,"/"," "),"."," "),"\"," "),"_"," "))&amp;" ")),1,0))+IF(Task!$A$10="",0,IF(ISNUMBER(SEARCH(" "&amp;Task!$A$10&amp;" "," "&amp;LOWER(SUBSTITUTE(SUBSTITUTE(SUBSTITUTE(SUBSTITUTE(A368,"/"," "),"."," "),"\"," "),"_"," "))&amp;" ")),1,0))+IF(Task!$A$11="",0,IF(ISNUMBER(SEARCH(" "&amp;Task!$A$11&amp;" "," "&amp;LOWER(SUBSTITUTE(SUBSTITUTE(SUBSTITUTE(SUBSTITUTE(A368,"/"," "),"."," "),"\"," "),"_"," "))&amp;" ")),1,0))+IF(Task!$A$12="",0,IF(ISNUMBER(SEARCH(" "&amp;Task!$A$12&amp;" "," "&amp;LOWER(SUBSTITUTE(SUBSTITUTE(SUBSTITUTE(SUBSTITUTE(A368,"/"," "),"."," "),"\"," "),"_"," "))&amp;" ")),1,0))+IF(Task!$A$13="",0,IF(ISNUMBER(SEARCH(" "&amp;Task!$A$13&amp;" "," "&amp;LOWER(SUBSTITUTE(SUBSTITUTE(SUBSTITUTE(SUBSTITUTE(A368,"/"," "),"."," "),"\"," "),"_"," "))&amp;" ")),1,0))+IF(Task!$A$14="",0,IF(ISNUMBER(SEARCH(" "&amp;Task!$A$14&amp;" "," "&amp;LOWER(SUBSTITUTE(SUBSTITUTE(SUBSTITUTE(SUBSTITUTE(A368,"/"," "),"."," "),"\"," "),"_"," "))&amp;" ")),1,0))+IF(Task!$A$15="",0,IF(ISNUMBER(SEARCH(" "&amp;Task!$A$15&amp;" "," "&amp;LOWER(SUBSTITUTE(SUBSTITUTE(SUBSTITUTE(SUBSTITUTE(A368,"/"," "),"."," "),"\"," "),"_"," "))&amp;" ")),1,0))+IF(Task!$A$16="",0,IF(ISNUMBER(SEARCH(" "&amp;Task!$A$16&amp;" "," "&amp;LOWER(SUBSTITUTE(SUBSTITUTE(SUBSTITUTE(SUBSTITUTE(A368,"/"," "),"."," "),"\"," "),"_"," "))&amp;" ")),1,0))+IF(Task!$A$17="",0,IF(ISNUMBER(SEARCH(" "&amp;Task!$A$17&amp;" "," "&amp;LOWER(SUBSTITUTE(SUBSTITUTE(SUBSTITUTE(SUBSTITUTE(A368,"/"," "),"."," "),"\"," "),"_"," "))&amp;" ")),1,0))+IF(Task!$A$18="",0,IF(ISNUMBER(SEARCH(" "&amp;Task!$A$18&amp;" "," "&amp;LOWER(SUBSTITUTE(SUBSTITUTE(SUBSTITUTE(SUBSTITUTE(A368,"/"," "),"."," "),"\"," "),"_"," "))&amp;" ")),1,0))+IF(Task!$A$19="",0,IF(ISNUMBER(SEARCH(" "&amp;Task!$A$19&amp;" "," "&amp;LOWER(SUBSTITUTE(SUBSTITUTE(SUBSTITUTE(SUBSTITUTE(A368,"/"," "),"."," "),"\"," "),"_"," "))&amp;" ")),1,0)))</f>
        <v/>
      </c>
      <c r="I368" s="10">
        <f>IF(OR(E368=0,F368=0,Task!$B$21=0),"",F368/Task!$B$21+0.5*G368+0.25*H368)</f>
        <v/>
      </c>
      <c r="J368" s="5">
        <f>IF(I368="","",I368-ROW()/1000000)</f>
        <v/>
      </c>
      <c r="K368" s="9">
        <f>IF(J368="","",COUNTIF($J$5:$J$404,"&gt;"&amp;J368)+1)</f>
        <v/>
      </c>
    </row>
    <row r="369">
      <c r="A369" s="7" t="n"/>
      <c r="B369" s="7" t="n"/>
      <c r="C369" s="7" t="n"/>
      <c r="D369" s="7" t="n"/>
      <c r="E369" s="5">
        <f>IF(A369="",0,IF(COUNTA(Task!$B$5:$E$5)=0,1,IF(COUNTIF(Task!$B$5:$E$5,B369)&gt;0,1,0)))</f>
        <v/>
      </c>
      <c r="F369" s="9">
        <f>IF(E369=0,0,IF(Task!$A$8="",0,IF(ISNUMBER(SEARCH(" "&amp;Task!$A$8&amp;" "," "&amp;LOWER(D369&amp;" "&amp;C369&amp;" "&amp;LOWER(SUBSTITUTE(SUBSTITUTE(SUBSTITUTE(SUBSTITUTE(A369,"/"," "),"."," "),"\"," "),"_"," ")))&amp;" ")),1,0))+IF(Task!$A$9="",0,IF(ISNUMBER(SEARCH(" "&amp;Task!$A$9&amp;" "," "&amp;LOWER(D369&amp;" "&amp;C369&amp;" "&amp;LOWER(SUBSTITUTE(SUBSTITUTE(SUBSTITUTE(SUBSTITUTE(A369,"/"," "),"."," "),"\"," "),"_"," ")))&amp;" ")),1,0))+IF(Task!$A$10="",0,IF(ISNUMBER(SEARCH(" "&amp;Task!$A$10&amp;" "," "&amp;LOWER(D369&amp;" "&amp;C369&amp;" "&amp;LOWER(SUBSTITUTE(SUBSTITUTE(SUBSTITUTE(SUBSTITUTE(A369,"/"," "),"."," "),"\"," "),"_"," ")))&amp;" ")),1,0))+IF(Task!$A$11="",0,IF(ISNUMBER(SEARCH(" "&amp;Task!$A$11&amp;" "," "&amp;LOWER(D369&amp;" "&amp;C369&amp;" "&amp;LOWER(SUBSTITUTE(SUBSTITUTE(SUBSTITUTE(SUBSTITUTE(A369,"/"," "),"."," "),"\"," "),"_"," ")))&amp;" ")),1,0))+IF(Task!$A$12="",0,IF(ISNUMBER(SEARCH(" "&amp;Task!$A$12&amp;" "," "&amp;LOWER(D369&amp;" "&amp;C369&amp;" "&amp;LOWER(SUBSTITUTE(SUBSTITUTE(SUBSTITUTE(SUBSTITUTE(A369,"/"," "),"."," "),"\"," "),"_"," ")))&amp;" ")),1,0))+IF(Task!$A$13="",0,IF(ISNUMBER(SEARCH(" "&amp;Task!$A$13&amp;" "," "&amp;LOWER(D369&amp;" "&amp;C369&amp;" "&amp;LOWER(SUBSTITUTE(SUBSTITUTE(SUBSTITUTE(SUBSTITUTE(A369,"/"," "),"."," "),"\"," "),"_"," ")))&amp;" ")),1,0))+IF(Task!$A$14="",0,IF(ISNUMBER(SEARCH(" "&amp;Task!$A$14&amp;" "," "&amp;LOWER(D369&amp;" "&amp;C369&amp;" "&amp;LOWER(SUBSTITUTE(SUBSTITUTE(SUBSTITUTE(SUBSTITUTE(A369,"/"," "),"."," "),"\"," "),"_"," ")))&amp;" ")),1,0))+IF(Task!$A$15="",0,IF(ISNUMBER(SEARCH(" "&amp;Task!$A$15&amp;" "," "&amp;LOWER(D369&amp;" "&amp;C369&amp;" "&amp;LOWER(SUBSTITUTE(SUBSTITUTE(SUBSTITUTE(SUBSTITUTE(A369,"/"," "),"."," "),"\"," "),"_"," ")))&amp;" ")),1,0))+IF(Task!$A$16="",0,IF(ISNUMBER(SEARCH(" "&amp;Task!$A$16&amp;" "," "&amp;LOWER(D369&amp;" "&amp;C369&amp;" "&amp;LOWER(SUBSTITUTE(SUBSTITUTE(SUBSTITUTE(SUBSTITUTE(A369,"/"," "),"."," "),"\"," "),"_"," ")))&amp;" ")),1,0))+IF(Task!$A$17="",0,IF(ISNUMBER(SEARCH(" "&amp;Task!$A$17&amp;" "," "&amp;LOWER(D369&amp;" "&amp;C369&amp;" "&amp;LOWER(SUBSTITUTE(SUBSTITUTE(SUBSTITUTE(SUBSTITUTE(A369,"/"," "),"."," "),"\"," "),"_"," ")))&amp;" ")),1,0))+IF(Task!$A$18="",0,IF(ISNUMBER(SEARCH(" "&amp;Task!$A$18&amp;" "," "&amp;LOWER(D369&amp;" "&amp;C369&amp;" "&amp;LOWER(SUBSTITUTE(SUBSTITUTE(SUBSTITUTE(SUBSTITUTE(A369,"/"," "),"."," "),"\"," "),"_"," ")))&amp;" ")),1,0))+IF(Task!$A$19="",0,IF(ISNUMBER(SEARCH(" "&amp;Task!$A$19&amp;" "," "&amp;LOWER(D369&amp;" "&amp;C369&amp;" "&amp;LOWER(SUBSTITUTE(SUBSTITUTE(SUBSTITUTE(SUBSTITUTE(A369,"/"," "),"."," "),"\"," "),"_"," ")))&amp;" ")),1,0)))</f>
        <v/>
      </c>
      <c r="G369" s="9">
        <f>IF(E369=0,0,IF(Task!$A$8="",0,IF(ISNUMBER(SEARCH(" "&amp;Task!$A$8&amp;" "," "&amp;LOWER(C369)&amp;" ")),1,0))+IF(Task!$A$9="",0,IF(ISNUMBER(SEARCH(" "&amp;Task!$A$9&amp;" "," "&amp;LOWER(C369)&amp;" ")),1,0))+IF(Task!$A$10="",0,IF(ISNUMBER(SEARCH(" "&amp;Task!$A$10&amp;" "," "&amp;LOWER(C369)&amp;" ")),1,0))+IF(Task!$A$11="",0,IF(ISNUMBER(SEARCH(" "&amp;Task!$A$11&amp;" "," "&amp;LOWER(C369)&amp;" ")),1,0))+IF(Task!$A$12="",0,IF(ISNUMBER(SEARCH(" "&amp;Task!$A$12&amp;" "," "&amp;LOWER(C369)&amp;" ")),1,0))+IF(Task!$A$13="",0,IF(ISNUMBER(SEARCH(" "&amp;Task!$A$13&amp;" "," "&amp;LOWER(C369)&amp;" ")),1,0))+IF(Task!$A$14="",0,IF(ISNUMBER(SEARCH(" "&amp;Task!$A$14&amp;" "," "&amp;LOWER(C369)&amp;" ")),1,0))+IF(Task!$A$15="",0,IF(ISNUMBER(SEARCH(" "&amp;Task!$A$15&amp;" "," "&amp;LOWER(C369)&amp;" ")),1,0))+IF(Task!$A$16="",0,IF(ISNUMBER(SEARCH(" "&amp;Task!$A$16&amp;" "," "&amp;LOWER(C369)&amp;" ")),1,0))+IF(Task!$A$17="",0,IF(ISNUMBER(SEARCH(" "&amp;Task!$A$17&amp;" "," "&amp;LOWER(C369)&amp;" ")),1,0))+IF(Task!$A$18="",0,IF(ISNUMBER(SEARCH(" "&amp;Task!$A$18&amp;" "," "&amp;LOWER(C369)&amp;" ")),1,0))+IF(Task!$A$19="",0,IF(ISNUMBER(SEARCH(" "&amp;Task!$A$19&amp;" "," "&amp;LOWER(C369)&amp;" ")),1,0)))</f>
        <v/>
      </c>
      <c r="H369" s="9">
        <f>IF(E369=0,0,IF(Task!$A$8="",0,IF(ISNUMBER(SEARCH(" "&amp;Task!$A$8&amp;" "," "&amp;LOWER(SUBSTITUTE(SUBSTITUTE(SUBSTITUTE(SUBSTITUTE(A369,"/"," "),"."," "),"\"," "),"_"," "))&amp;" ")),1,0))+IF(Task!$A$9="",0,IF(ISNUMBER(SEARCH(" "&amp;Task!$A$9&amp;" "," "&amp;LOWER(SUBSTITUTE(SUBSTITUTE(SUBSTITUTE(SUBSTITUTE(A369,"/"," "),"."," "),"\"," "),"_"," "))&amp;" ")),1,0))+IF(Task!$A$10="",0,IF(ISNUMBER(SEARCH(" "&amp;Task!$A$10&amp;" "," "&amp;LOWER(SUBSTITUTE(SUBSTITUTE(SUBSTITUTE(SUBSTITUTE(A369,"/"," "),"."," "),"\"," "),"_"," "))&amp;" ")),1,0))+IF(Task!$A$11="",0,IF(ISNUMBER(SEARCH(" "&amp;Task!$A$11&amp;" "," "&amp;LOWER(SUBSTITUTE(SUBSTITUTE(SUBSTITUTE(SUBSTITUTE(A369,"/"," "),"."," "),"\"," "),"_"," "))&amp;" ")),1,0))+IF(Task!$A$12="",0,IF(ISNUMBER(SEARCH(" "&amp;Task!$A$12&amp;" "," "&amp;LOWER(SUBSTITUTE(SUBSTITUTE(SUBSTITUTE(SUBSTITUTE(A369,"/"," "),"."," "),"\"," "),"_"," "))&amp;" ")),1,0))+IF(Task!$A$13="",0,IF(ISNUMBER(SEARCH(" "&amp;Task!$A$13&amp;" "," "&amp;LOWER(SUBSTITUTE(SUBSTITUTE(SUBSTITUTE(SUBSTITUTE(A369,"/"," "),"."," "),"\"," "),"_"," "))&amp;" ")),1,0))+IF(Task!$A$14="",0,IF(ISNUMBER(SEARCH(" "&amp;Task!$A$14&amp;" "," "&amp;LOWER(SUBSTITUTE(SUBSTITUTE(SUBSTITUTE(SUBSTITUTE(A369,"/"," "),"."," "),"\"," "),"_"," "))&amp;" ")),1,0))+IF(Task!$A$15="",0,IF(ISNUMBER(SEARCH(" "&amp;Task!$A$15&amp;" "," "&amp;LOWER(SUBSTITUTE(SUBSTITUTE(SUBSTITUTE(SUBSTITUTE(A369,"/"," "),"."," "),"\"," "),"_"," "))&amp;" ")),1,0))+IF(Task!$A$16="",0,IF(ISNUMBER(SEARCH(" "&amp;Task!$A$16&amp;" "," "&amp;LOWER(SUBSTITUTE(SUBSTITUTE(SUBSTITUTE(SUBSTITUTE(A369,"/"," "),"."," "),"\"," "),"_"," "))&amp;" ")),1,0))+IF(Task!$A$17="",0,IF(ISNUMBER(SEARCH(" "&amp;Task!$A$17&amp;" "," "&amp;LOWER(SUBSTITUTE(SUBSTITUTE(SUBSTITUTE(SUBSTITUTE(A369,"/"," "),"."," "),"\"," "),"_"," "))&amp;" ")),1,0))+IF(Task!$A$18="",0,IF(ISNUMBER(SEARCH(" "&amp;Task!$A$18&amp;" "," "&amp;LOWER(SUBSTITUTE(SUBSTITUTE(SUBSTITUTE(SUBSTITUTE(A369,"/"," "),"."," "),"\"," "),"_"," "))&amp;" ")),1,0))+IF(Task!$A$19="",0,IF(ISNUMBER(SEARCH(" "&amp;Task!$A$19&amp;" "," "&amp;LOWER(SUBSTITUTE(SUBSTITUTE(SUBSTITUTE(SUBSTITUTE(A369,"/"," "),"."," "),"\"," "),"_"," "))&amp;" ")),1,0)))</f>
        <v/>
      </c>
      <c r="I369" s="10">
        <f>IF(OR(E369=0,F369=0,Task!$B$21=0),"",F369/Task!$B$21+0.5*G369+0.25*H369)</f>
        <v/>
      </c>
      <c r="J369" s="5">
        <f>IF(I369="","",I369-ROW()/1000000)</f>
        <v/>
      </c>
      <c r="K369" s="9">
        <f>IF(J369="","",COUNTIF($J$5:$J$404,"&gt;"&amp;J369)+1)</f>
        <v/>
      </c>
    </row>
    <row r="370">
      <c r="A370" s="7" t="n"/>
      <c r="B370" s="7" t="n"/>
      <c r="C370" s="7" t="n"/>
      <c r="D370" s="7" t="n"/>
      <c r="E370" s="5">
        <f>IF(A370="",0,IF(COUNTA(Task!$B$5:$E$5)=0,1,IF(COUNTIF(Task!$B$5:$E$5,B370)&gt;0,1,0)))</f>
        <v/>
      </c>
      <c r="F370" s="9">
        <f>IF(E370=0,0,IF(Task!$A$8="",0,IF(ISNUMBER(SEARCH(" "&amp;Task!$A$8&amp;" "," "&amp;LOWER(D370&amp;" "&amp;C370&amp;" "&amp;LOWER(SUBSTITUTE(SUBSTITUTE(SUBSTITUTE(SUBSTITUTE(A370,"/"," "),"."," "),"\"," "),"_"," ")))&amp;" ")),1,0))+IF(Task!$A$9="",0,IF(ISNUMBER(SEARCH(" "&amp;Task!$A$9&amp;" "," "&amp;LOWER(D370&amp;" "&amp;C370&amp;" "&amp;LOWER(SUBSTITUTE(SUBSTITUTE(SUBSTITUTE(SUBSTITUTE(A370,"/"," "),"."," "),"\"," "),"_"," ")))&amp;" ")),1,0))+IF(Task!$A$10="",0,IF(ISNUMBER(SEARCH(" "&amp;Task!$A$10&amp;" "," "&amp;LOWER(D370&amp;" "&amp;C370&amp;" "&amp;LOWER(SUBSTITUTE(SUBSTITUTE(SUBSTITUTE(SUBSTITUTE(A370,"/"," "),"."," "),"\"," "),"_"," ")))&amp;" ")),1,0))+IF(Task!$A$11="",0,IF(ISNUMBER(SEARCH(" "&amp;Task!$A$11&amp;" "," "&amp;LOWER(D370&amp;" "&amp;C370&amp;" "&amp;LOWER(SUBSTITUTE(SUBSTITUTE(SUBSTITUTE(SUBSTITUTE(A370,"/"," "),"."," "),"\"," "),"_"," ")))&amp;" ")),1,0))+IF(Task!$A$12="",0,IF(ISNUMBER(SEARCH(" "&amp;Task!$A$12&amp;" "," "&amp;LOWER(D370&amp;" "&amp;C370&amp;" "&amp;LOWER(SUBSTITUTE(SUBSTITUTE(SUBSTITUTE(SUBSTITUTE(A370,"/"," "),"."," "),"\"," "),"_"," ")))&amp;" ")),1,0))+IF(Task!$A$13="",0,IF(ISNUMBER(SEARCH(" "&amp;Task!$A$13&amp;" "," "&amp;LOWER(D370&amp;" "&amp;C370&amp;" "&amp;LOWER(SUBSTITUTE(SUBSTITUTE(SUBSTITUTE(SUBSTITUTE(A370,"/"," "),"."," "),"\"," "),"_"," ")))&amp;" ")),1,0))+IF(Task!$A$14="",0,IF(ISNUMBER(SEARCH(" "&amp;Task!$A$14&amp;" "," "&amp;LOWER(D370&amp;" "&amp;C370&amp;" "&amp;LOWER(SUBSTITUTE(SUBSTITUTE(SUBSTITUTE(SUBSTITUTE(A370,"/"," "),"."," "),"\"," "),"_"," ")))&amp;" ")),1,0))+IF(Task!$A$15="",0,IF(ISNUMBER(SEARCH(" "&amp;Task!$A$15&amp;" "," "&amp;LOWER(D370&amp;" "&amp;C370&amp;" "&amp;LOWER(SUBSTITUTE(SUBSTITUTE(SUBSTITUTE(SUBSTITUTE(A370,"/"," "),"."," "),"\"," "),"_"," ")))&amp;" ")),1,0))+IF(Task!$A$16="",0,IF(ISNUMBER(SEARCH(" "&amp;Task!$A$16&amp;" "," "&amp;LOWER(D370&amp;" "&amp;C370&amp;" "&amp;LOWER(SUBSTITUTE(SUBSTITUTE(SUBSTITUTE(SUBSTITUTE(A370,"/"," "),"."," "),"\"," "),"_"," ")))&amp;" ")),1,0))+IF(Task!$A$17="",0,IF(ISNUMBER(SEARCH(" "&amp;Task!$A$17&amp;" "," "&amp;LOWER(D370&amp;" "&amp;C370&amp;" "&amp;LOWER(SUBSTITUTE(SUBSTITUTE(SUBSTITUTE(SUBSTITUTE(A370,"/"," "),"."," "),"\"," "),"_"," ")))&amp;" ")),1,0))+IF(Task!$A$18="",0,IF(ISNUMBER(SEARCH(" "&amp;Task!$A$18&amp;" "," "&amp;LOWER(D370&amp;" "&amp;C370&amp;" "&amp;LOWER(SUBSTITUTE(SUBSTITUTE(SUBSTITUTE(SUBSTITUTE(A370,"/"," "),"."," "),"\"," "),"_"," ")))&amp;" ")),1,0))+IF(Task!$A$19="",0,IF(ISNUMBER(SEARCH(" "&amp;Task!$A$19&amp;" "," "&amp;LOWER(D370&amp;" "&amp;C370&amp;" "&amp;LOWER(SUBSTITUTE(SUBSTITUTE(SUBSTITUTE(SUBSTITUTE(A370,"/"," "),"."," "),"\"," "),"_"," ")))&amp;" ")),1,0)))</f>
        <v/>
      </c>
      <c r="G370" s="9">
        <f>IF(E370=0,0,IF(Task!$A$8="",0,IF(ISNUMBER(SEARCH(" "&amp;Task!$A$8&amp;" "," "&amp;LOWER(C370)&amp;" ")),1,0))+IF(Task!$A$9="",0,IF(ISNUMBER(SEARCH(" "&amp;Task!$A$9&amp;" "," "&amp;LOWER(C370)&amp;" ")),1,0))+IF(Task!$A$10="",0,IF(ISNUMBER(SEARCH(" "&amp;Task!$A$10&amp;" "," "&amp;LOWER(C370)&amp;" ")),1,0))+IF(Task!$A$11="",0,IF(ISNUMBER(SEARCH(" "&amp;Task!$A$11&amp;" "," "&amp;LOWER(C370)&amp;" ")),1,0))+IF(Task!$A$12="",0,IF(ISNUMBER(SEARCH(" "&amp;Task!$A$12&amp;" "," "&amp;LOWER(C370)&amp;" ")),1,0))+IF(Task!$A$13="",0,IF(ISNUMBER(SEARCH(" "&amp;Task!$A$13&amp;" "," "&amp;LOWER(C370)&amp;" ")),1,0))+IF(Task!$A$14="",0,IF(ISNUMBER(SEARCH(" "&amp;Task!$A$14&amp;" "," "&amp;LOWER(C370)&amp;" ")),1,0))+IF(Task!$A$15="",0,IF(ISNUMBER(SEARCH(" "&amp;Task!$A$15&amp;" "," "&amp;LOWER(C370)&amp;" ")),1,0))+IF(Task!$A$16="",0,IF(ISNUMBER(SEARCH(" "&amp;Task!$A$16&amp;" "," "&amp;LOWER(C370)&amp;" ")),1,0))+IF(Task!$A$17="",0,IF(ISNUMBER(SEARCH(" "&amp;Task!$A$17&amp;" "," "&amp;LOWER(C370)&amp;" ")),1,0))+IF(Task!$A$18="",0,IF(ISNUMBER(SEARCH(" "&amp;Task!$A$18&amp;" "," "&amp;LOWER(C370)&amp;" ")),1,0))+IF(Task!$A$19="",0,IF(ISNUMBER(SEARCH(" "&amp;Task!$A$19&amp;" "," "&amp;LOWER(C370)&amp;" ")),1,0)))</f>
        <v/>
      </c>
      <c r="H370" s="9">
        <f>IF(E370=0,0,IF(Task!$A$8="",0,IF(ISNUMBER(SEARCH(" "&amp;Task!$A$8&amp;" "," "&amp;LOWER(SUBSTITUTE(SUBSTITUTE(SUBSTITUTE(SUBSTITUTE(A370,"/"," "),"."," "),"\"," "),"_"," "))&amp;" ")),1,0))+IF(Task!$A$9="",0,IF(ISNUMBER(SEARCH(" "&amp;Task!$A$9&amp;" "," "&amp;LOWER(SUBSTITUTE(SUBSTITUTE(SUBSTITUTE(SUBSTITUTE(A370,"/"," "),"."," "),"\"," "),"_"," "))&amp;" ")),1,0))+IF(Task!$A$10="",0,IF(ISNUMBER(SEARCH(" "&amp;Task!$A$10&amp;" "," "&amp;LOWER(SUBSTITUTE(SUBSTITUTE(SUBSTITUTE(SUBSTITUTE(A370,"/"," "),"."," "),"\"," "),"_"," "))&amp;" ")),1,0))+IF(Task!$A$11="",0,IF(ISNUMBER(SEARCH(" "&amp;Task!$A$11&amp;" "," "&amp;LOWER(SUBSTITUTE(SUBSTITUTE(SUBSTITUTE(SUBSTITUTE(A370,"/"," "),"."," "),"\"," "),"_"," "))&amp;" ")),1,0))+IF(Task!$A$12="",0,IF(ISNUMBER(SEARCH(" "&amp;Task!$A$12&amp;" "," "&amp;LOWER(SUBSTITUTE(SUBSTITUTE(SUBSTITUTE(SUBSTITUTE(A370,"/"," "),"."," "),"\"," "),"_"," "))&amp;" ")),1,0))+IF(Task!$A$13="",0,IF(ISNUMBER(SEARCH(" "&amp;Task!$A$13&amp;" "," "&amp;LOWER(SUBSTITUTE(SUBSTITUTE(SUBSTITUTE(SUBSTITUTE(A370,"/"," "),"."," "),"\"," "),"_"," "))&amp;" ")),1,0))+IF(Task!$A$14="",0,IF(ISNUMBER(SEARCH(" "&amp;Task!$A$14&amp;" "," "&amp;LOWER(SUBSTITUTE(SUBSTITUTE(SUBSTITUTE(SUBSTITUTE(A370,"/"," "),"."," "),"\"," "),"_"," "))&amp;" ")),1,0))+IF(Task!$A$15="",0,IF(ISNUMBER(SEARCH(" "&amp;Task!$A$15&amp;" "," "&amp;LOWER(SUBSTITUTE(SUBSTITUTE(SUBSTITUTE(SUBSTITUTE(A370,"/"," "),"."," "),"\"," "),"_"," "))&amp;" ")),1,0))+IF(Task!$A$16="",0,IF(ISNUMBER(SEARCH(" "&amp;Task!$A$16&amp;" "," "&amp;LOWER(SUBSTITUTE(SUBSTITUTE(SUBSTITUTE(SUBSTITUTE(A370,"/"," "),"."," "),"\"," "),"_"," "))&amp;" ")),1,0))+IF(Task!$A$17="",0,IF(ISNUMBER(SEARCH(" "&amp;Task!$A$17&amp;" "," "&amp;LOWER(SUBSTITUTE(SUBSTITUTE(SUBSTITUTE(SUBSTITUTE(A370,"/"," "),"."," "),"\"," "),"_"," "))&amp;" ")),1,0))+IF(Task!$A$18="",0,IF(ISNUMBER(SEARCH(" "&amp;Task!$A$18&amp;" "," "&amp;LOWER(SUBSTITUTE(SUBSTITUTE(SUBSTITUTE(SUBSTITUTE(A370,"/"," "),"."," "),"\"," "),"_"," "))&amp;" ")),1,0))+IF(Task!$A$19="",0,IF(ISNUMBER(SEARCH(" "&amp;Task!$A$19&amp;" "," "&amp;LOWER(SUBSTITUTE(SUBSTITUTE(SUBSTITUTE(SUBSTITUTE(A370,"/"," "),"."," "),"\"," "),"_"," "))&amp;" ")),1,0)))</f>
        <v/>
      </c>
      <c r="I370" s="10">
        <f>IF(OR(E370=0,F370=0,Task!$B$21=0),"",F370/Task!$B$21+0.5*G370+0.25*H370)</f>
        <v/>
      </c>
      <c r="J370" s="5">
        <f>IF(I370="","",I370-ROW()/1000000)</f>
        <v/>
      </c>
      <c r="K370" s="9">
        <f>IF(J370="","",COUNTIF($J$5:$J$404,"&gt;"&amp;J370)+1)</f>
        <v/>
      </c>
    </row>
    <row r="371">
      <c r="A371" s="7" t="n"/>
      <c r="B371" s="7" t="n"/>
      <c r="C371" s="7" t="n"/>
      <c r="D371" s="7" t="n"/>
      <c r="E371" s="5">
        <f>IF(A371="",0,IF(COUNTA(Task!$B$5:$E$5)=0,1,IF(COUNTIF(Task!$B$5:$E$5,B371)&gt;0,1,0)))</f>
        <v/>
      </c>
      <c r="F371" s="9">
        <f>IF(E371=0,0,IF(Task!$A$8="",0,IF(ISNUMBER(SEARCH(" "&amp;Task!$A$8&amp;" "," "&amp;LOWER(D371&amp;" "&amp;C371&amp;" "&amp;LOWER(SUBSTITUTE(SUBSTITUTE(SUBSTITUTE(SUBSTITUTE(A371,"/"," "),"."," "),"\"," "),"_"," ")))&amp;" ")),1,0))+IF(Task!$A$9="",0,IF(ISNUMBER(SEARCH(" "&amp;Task!$A$9&amp;" "," "&amp;LOWER(D371&amp;" "&amp;C371&amp;" "&amp;LOWER(SUBSTITUTE(SUBSTITUTE(SUBSTITUTE(SUBSTITUTE(A371,"/"," "),"."," "),"\"," "),"_"," ")))&amp;" ")),1,0))+IF(Task!$A$10="",0,IF(ISNUMBER(SEARCH(" "&amp;Task!$A$10&amp;" "," "&amp;LOWER(D371&amp;" "&amp;C371&amp;" "&amp;LOWER(SUBSTITUTE(SUBSTITUTE(SUBSTITUTE(SUBSTITUTE(A371,"/"," "),"."," "),"\"," "),"_"," ")))&amp;" ")),1,0))+IF(Task!$A$11="",0,IF(ISNUMBER(SEARCH(" "&amp;Task!$A$11&amp;" "," "&amp;LOWER(D371&amp;" "&amp;C371&amp;" "&amp;LOWER(SUBSTITUTE(SUBSTITUTE(SUBSTITUTE(SUBSTITUTE(A371,"/"," "),"."," "),"\"," "),"_"," ")))&amp;" ")),1,0))+IF(Task!$A$12="",0,IF(ISNUMBER(SEARCH(" "&amp;Task!$A$12&amp;" "," "&amp;LOWER(D371&amp;" "&amp;C371&amp;" "&amp;LOWER(SUBSTITUTE(SUBSTITUTE(SUBSTITUTE(SUBSTITUTE(A371,"/"," "),"."," "),"\"," "),"_"," ")))&amp;" ")),1,0))+IF(Task!$A$13="",0,IF(ISNUMBER(SEARCH(" "&amp;Task!$A$13&amp;" "," "&amp;LOWER(D371&amp;" "&amp;C371&amp;" "&amp;LOWER(SUBSTITUTE(SUBSTITUTE(SUBSTITUTE(SUBSTITUTE(A371,"/"," "),"."," "),"\"," "),"_"," ")))&amp;" ")),1,0))+IF(Task!$A$14="",0,IF(ISNUMBER(SEARCH(" "&amp;Task!$A$14&amp;" "," "&amp;LOWER(D371&amp;" "&amp;C371&amp;" "&amp;LOWER(SUBSTITUTE(SUBSTITUTE(SUBSTITUTE(SUBSTITUTE(A371,"/"," "),"."," "),"\"," "),"_"," ")))&amp;" ")),1,0))+IF(Task!$A$15="",0,IF(ISNUMBER(SEARCH(" "&amp;Task!$A$15&amp;" "," "&amp;LOWER(D371&amp;" "&amp;C371&amp;" "&amp;LOWER(SUBSTITUTE(SUBSTITUTE(SUBSTITUTE(SUBSTITUTE(A371,"/"," "),"."," "),"\"," "),"_"," ")))&amp;" ")),1,0))+IF(Task!$A$16="",0,IF(ISNUMBER(SEARCH(" "&amp;Task!$A$16&amp;" "," "&amp;LOWER(D371&amp;" "&amp;C371&amp;" "&amp;LOWER(SUBSTITUTE(SUBSTITUTE(SUBSTITUTE(SUBSTITUTE(A371,"/"," "),"."," "),"\"," "),"_"," ")))&amp;" ")),1,0))+IF(Task!$A$17="",0,IF(ISNUMBER(SEARCH(" "&amp;Task!$A$17&amp;" "," "&amp;LOWER(D371&amp;" "&amp;C371&amp;" "&amp;LOWER(SUBSTITUTE(SUBSTITUTE(SUBSTITUTE(SUBSTITUTE(A371,"/"," "),"."," "),"\"," "),"_"," ")))&amp;" ")),1,0))+IF(Task!$A$18="",0,IF(ISNUMBER(SEARCH(" "&amp;Task!$A$18&amp;" "," "&amp;LOWER(D371&amp;" "&amp;C371&amp;" "&amp;LOWER(SUBSTITUTE(SUBSTITUTE(SUBSTITUTE(SUBSTITUTE(A371,"/"," "),"."," "),"\"," "),"_"," ")))&amp;" ")),1,0))+IF(Task!$A$19="",0,IF(ISNUMBER(SEARCH(" "&amp;Task!$A$19&amp;" "," "&amp;LOWER(D371&amp;" "&amp;C371&amp;" "&amp;LOWER(SUBSTITUTE(SUBSTITUTE(SUBSTITUTE(SUBSTITUTE(A371,"/"," "),"."," "),"\"," "),"_"," ")))&amp;" ")),1,0)))</f>
        <v/>
      </c>
      <c r="G371" s="9">
        <f>IF(E371=0,0,IF(Task!$A$8="",0,IF(ISNUMBER(SEARCH(" "&amp;Task!$A$8&amp;" "," "&amp;LOWER(C371)&amp;" ")),1,0))+IF(Task!$A$9="",0,IF(ISNUMBER(SEARCH(" "&amp;Task!$A$9&amp;" "," "&amp;LOWER(C371)&amp;" ")),1,0))+IF(Task!$A$10="",0,IF(ISNUMBER(SEARCH(" "&amp;Task!$A$10&amp;" "," "&amp;LOWER(C371)&amp;" ")),1,0))+IF(Task!$A$11="",0,IF(ISNUMBER(SEARCH(" "&amp;Task!$A$11&amp;" "," "&amp;LOWER(C371)&amp;" ")),1,0))+IF(Task!$A$12="",0,IF(ISNUMBER(SEARCH(" "&amp;Task!$A$12&amp;" "," "&amp;LOWER(C371)&amp;" ")),1,0))+IF(Task!$A$13="",0,IF(ISNUMBER(SEARCH(" "&amp;Task!$A$13&amp;" "," "&amp;LOWER(C371)&amp;" ")),1,0))+IF(Task!$A$14="",0,IF(ISNUMBER(SEARCH(" "&amp;Task!$A$14&amp;" "," "&amp;LOWER(C371)&amp;" ")),1,0))+IF(Task!$A$15="",0,IF(ISNUMBER(SEARCH(" "&amp;Task!$A$15&amp;" "," "&amp;LOWER(C371)&amp;" ")),1,0))+IF(Task!$A$16="",0,IF(ISNUMBER(SEARCH(" "&amp;Task!$A$16&amp;" "," "&amp;LOWER(C371)&amp;" ")),1,0))+IF(Task!$A$17="",0,IF(ISNUMBER(SEARCH(" "&amp;Task!$A$17&amp;" "," "&amp;LOWER(C371)&amp;" ")),1,0))+IF(Task!$A$18="",0,IF(ISNUMBER(SEARCH(" "&amp;Task!$A$18&amp;" "," "&amp;LOWER(C371)&amp;" ")),1,0))+IF(Task!$A$19="",0,IF(ISNUMBER(SEARCH(" "&amp;Task!$A$19&amp;" "," "&amp;LOWER(C371)&amp;" ")),1,0)))</f>
        <v/>
      </c>
      <c r="H371" s="9">
        <f>IF(E371=0,0,IF(Task!$A$8="",0,IF(ISNUMBER(SEARCH(" "&amp;Task!$A$8&amp;" "," "&amp;LOWER(SUBSTITUTE(SUBSTITUTE(SUBSTITUTE(SUBSTITUTE(A371,"/"," "),"."," "),"\"," "),"_"," "))&amp;" ")),1,0))+IF(Task!$A$9="",0,IF(ISNUMBER(SEARCH(" "&amp;Task!$A$9&amp;" "," "&amp;LOWER(SUBSTITUTE(SUBSTITUTE(SUBSTITUTE(SUBSTITUTE(A371,"/"," "),"."," "),"\"," "),"_"," "))&amp;" ")),1,0))+IF(Task!$A$10="",0,IF(ISNUMBER(SEARCH(" "&amp;Task!$A$10&amp;" "," "&amp;LOWER(SUBSTITUTE(SUBSTITUTE(SUBSTITUTE(SUBSTITUTE(A371,"/"," "),"."," "),"\"," "),"_"," "))&amp;" ")),1,0))+IF(Task!$A$11="",0,IF(ISNUMBER(SEARCH(" "&amp;Task!$A$11&amp;" "," "&amp;LOWER(SUBSTITUTE(SUBSTITUTE(SUBSTITUTE(SUBSTITUTE(A371,"/"," "),"."," "),"\"," "),"_"," "))&amp;" ")),1,0))+IF(Task!$A$12="",0,IF(ISNUMBER(SEARCH(" "&amp;Task!$A$12&amp;" "," "&amp;LOWER(SUBSTITUTE(SUBSTITUTE(SUBSTITUTE(SUBSTITUTE(A371,"/"," "),"."," "),"\"," "),"_"," "))&amp;" ")),1,0))+IF(Task!$A$13="",0,IF(ISNUMBER(SEARCH(" "&amp;Task!$A$13&amp;" "," "&amp;LOWER(SUBSTITUTE(SUBSTITUTE(SUBSTITUTE(SUBSTITUTE(A371,"/"," "),"."," "),"\"," "),"_"," "))&amp;" ")),1,0))+IF(Task!$A$14="",0,IF(ISNUMBER(SEARCH(" "&amp;Task!$A$14&amp;" "," "&amp;LOWER(SUBSTITUTE(SUBSTITUTE(SUBSTITUTE(SUBSTITUTE(A371,"/"," "),"."," "),"\"," "),"_"," "))&amp;" ")),1,0))+IF(Task!$A$15="",0,IF(ISNUMBER(SEARCH(" "&amp;Task!$A$15&amp;" "," "&amp;LOWER(SUBSTITUTE(SUBSTITUTE(SUBSTITUTE(SUBSTITUTE(A371,"/"," "),"."," "),"\"," "),"_"," "))&amp;" ")),1,0))+IF(Task!$A$16="",0,IF(ISNUMBER(SEARCH(" "&amp;Task!$A$16&amp;" "," "&amp;LOWER(SUBSTITUTE(SUBSTITUTE(SUBSTITUTE(SUBSTITUTE(A371,"/"," "),"."," "),"\"," "),"_"," "))&amp;" ")),1,0))+IF(Task!$A$17="",0,IF(ISNUMBER(SEARCH(" "&amp;Task!$A$17&amp;" "," "&amp;LOWER(SUBSTITUTE(SUBSTITUTE(SUBSTITUTE(SUBSTITUTE(A371,"/"," "),"."," "),"\"," "),"_"," "))&amp;" ")),1,0))+IF(Task!$A$18="",0,IF(ISNUMBER(SEARCH(" "&amp;Task!$A$18&amp;" "," "&amp;LOWER(SUBSTITUTE(SUBSTITUTE(SUBSTITUTE(SUBSTITUTE(A371,"/"," "),"."," "),"\"," "),"_"," "))&amp;" ")),1,0))+IF(Task!$A$19="",0,IF(ISNUMBER(SEARCH(" "&amp;Task!$A$19&amp;" "," "&amp;LOWER(SUBSTITUTE(SUBSTITUTE(SUBSTITUTE(SUBSTITUTE(A371,"/"," "),"."," "),"\"," "),"_"," "))&amp;" ")),1,0)))</f>
        <v/>
      </c>
      <c r="I371" s="10">
        <f>IF(OR(E371=0,F371=0,Task!$B$21=0),"",F371/Task!$B$21+0.5*G371+0.25*H371)</f>
        <v/>
      </c>
      <c r="J371" s="5">
        <f>IF(I371="","",I371-ROW()/1000000)</f>
        <v/>
      </c>
      <c r="K371" s="9">
        <f>IF(J371="","",COUNTIF($J$5:$J$404,"&gt;"&amp;J371)+1)</f>
        <v/>
      </c>
    </row>
    <row r="372">
      <c r="A372" s="7" t="n"/>
      <c r="B372" s="7" t="n"/>
      <c r="C372" s="7" t="n"/>
      <c r="D372" s="7" t="n"/>
      <c r="E372" s="5">
        <f>IF(A372="",0,IF(COUNTA(Task!$B$5:$E$5)=0,1,IF(COUNTIF(Task!$B$5:$E$5,B372)&gt;0,1,0)))</f>
        <v/>
      </c>
      <c r="F372" s="9">
        <f>IF(E372=0,0,IF(Task!$A$8="",0,IF(ISNUMBER(SEARCH(" "&amp;Task!$A$8&amp;" "," "&amp;LOWER(D372&amp;" "&amp;C372&amp;" "&amp;LOWER(SUBSTITUTE(SUBSTITUTE(SUBSTITUTE(SUBSTITUTE(A372,"/"," "),"."," "),"\"," "),"_"," ")))&amp;" ")),1,0))+IF(Task!$A$9="",0,IF(ISNUMBER(SEARCH(" "&amp;Task!$A$9&amp;" "," "&amp;LOWER(D372&amp;" "&amp;C372&amp;" "&amp;LOWER(SUBSTITUTE(SUBSTITUTE(SUBSTITUTE(SUBSTITUTE(A372,"/"," "),"."," "),"\"," "),"_"," ")))&amp;" ")),1,0))+IF(Task!$A$10="",0,IF(ISNUMBER(SEARCH(" "&amp;Task!$A$10&amp;" "," "&amp;LOWER(D372&amp;" "&amp;C372&amp;" "&amp;LOWER(SUBSTITUTE(SUBSTITUTE(SUBSTITUTE(SUBSTITUTE(A372,"/"," "),"."," "),"\"," "),"_"," ")))&amp;" ")),1,0))+IF(Task!$A$11="",0,IF(ISNUMBER(SEARCH(" "&amp;Task!$A$11&amp;" "," "&amp;LOWER(D372&amp;" "&amp;C372&amp;" "&amp;LOWER(SUBSTITUTE(SUBSTITUTE(SUBSTITUTE(SUBSTITUTE(A372,"/"," "),"."," "),"\"," "),"_"," ")))&amp;" ")),1,0))+IF(Task!$A$12="",0,IF(ISNUMBER(SEARCH(" "&amp;Task!$A$12&amp;" "," "&amp;LOWER(D372&amp;" "&amp;C372&amp;" "&amp;LOWER(SUBSTITUTE(SUBSTITUTE(SUBSTITUTE(SUBSTITUTE(A372,"/"," "),"."," "),"\"," "),"_"," ")))&amp;" ")),1,0))+IF(Task!$A$13="",0,IF(ISNUMBER(SEARCH(" "&amp;Task!$A$13&amp;" "," "&amp;LOWER(D372&amp;" "&amp;C372&amp;" "&amp;LOWER(SUBSTITUTE(SUBSTITUTE(SUBSTITUTE(SUBSTITUTE(A372,"/"," "),"."," "),"\"," "),"_"," ")))&amp;" ")),1,0))+IF(Task!$A$14="",0,IF(ISNUMBER(SEARCH(" "&amp;Task!$A$14&amp;" "," "&amp;LOWER(D372&amp;" "&amp;C372&amp;" "&amp;LOWER(SUBSTITUTE(SUBSTITUTE(SUBSTITUTE(SUBSTITUTE(A372,"/"," "),"."," "),"\"," "),"_"," ")))&amp;" ")),1,0))+IF(Task!$A$15="",0,IF(ISNUMBER(SEARCH(" "&amp;Task!$A$15&amp;" "," "&amp;LOWER(D372&amp;" "&amp;C372&amp;" "&amp;LOWER(SUBSTITUTE(SUBSTITUTE(SUBSTITUTE(SUBSTITUTE(A372,"/"," "),"."," "),"\"," "),"_"," ")))&amp;" ")),1,0))+IF(Task!$A$16="",0,IF(ISNUMBER(SEARCH(" "&amp;Task!$A$16&amp;" "," "&amp;LOWER(D372&amp;" "&amp;C372&amp;" "&amp;LOWER(SUBSTITUTE(SUBSTITUTE(SUBSTITUTE(SUBSTITUTE(A372,"/"," "),"."," "),"\"," "),"_"," ")))&amp;" ")),1,0))+IF(Task!$A$17="",0,IF(ISNUMBER(SEARCH(" "&amp;Task!$A$17&amp;" "," "&amp;LOWER(D372&amp;" "&amp;C372&amp;" "&amp;LOWER(SUBSTITUTE(SUBSTITUTE(SUBSTITUTE(SUBSTITUTE(A372,"/"," "),"."," "),"\"," "),"_"," ")))&amp;" ")),1,0))+IF(Task!$A$18="",0,IF(ISNUMBER(SEARCH(" "&amp;Task!$A$18&amp;" "," "&amp;LOWER(D372&amp;" "&amp;C372&amp;" "&amp;LOWER(SUBSTITUTE(SUBSTITUTE(SUBSTITUTE(SUBSTITUTE(A372,"/"," "),"."," "),"\"," "),"_"," ")))&amp;" ")),1,0))+IF(Task!$A$19="",0,IF(ISNUMBER(SEARCH(" "&amp;Task!$A$19&amp;" "," "&amp;LOWER(D372&amp;" "&amp;C372&amp;" "&amp;LOWER(SUBSTITUTE(SUBSTITUTE(SUBSTITUTE(SUBSTITUTE(A372,"/"," "),"."," "),"\"," "),"_"," ")))&amp;" ")),1,0)))</f>
        <v/>
      </c>
      <c r="G372" s="9">
        <f>IF(E372=0,0,IF(Task!$A$8="",0,IF(ISNUMBER(SEARCH(" "&amp;Task!$A$8&amp;" "," "&amp;LOWER(C372)&amp;" ")),1,0))+IF(Task!$A$9="",0,IF(ISNUMBER(SEARCH(" "&amp;Task!$A$9&amp;" "," "&amp;LOWER(C372)&amp;" ")),1,0))+IF(Task!$A$10="",0,IF(ISNUMBER(SEARCH(" "&amp;Task!$A$10&amp;" "," "&amp;LOWER(C372)&amp;" ")),1,0))+IF(Task!$A$11="",0,IF(ISNUMBER(SEARCH(" "&amp;Task!$A$11&amp;" "," "&amp;LOWER(C372)&amp;" ")),1,0))+IF(Task!$A$12="",0,IF(ISNUMBER(SEARCH(" "&amp;Task!$A$12&amp;" "," "&amp;LOWER(C372)&amp;" ")),1,0))+IF(Task!$A$13="",0,IF(ISNUMBER(SEARCH(" "&amp;Task!$A$13&amp;" "," "&amp;LOWER(C372)&amp;" ")),1,0))+IF(Task!$A$14="",0,IF(ISNUMBER(SEARCH(" "&amp;Task!$A$14&amp;" "," "&amp;LOWER(C372)&amp;" ")),1,0))+IF(Task!$A$15="",0,IF(ISNUMBER(SEARCH(" "&amp;Task!$A$15&amp;" "," "&amp;LOWER(C372)&amp;" ")),1,0))+IF(Task!$A$16="",0,IF(ISNUMBER(SEARCH(" "&amp;Task!$A$16&amp;" "," "&amp;LOWER(C372)&amp;" ")),1,0))+IF(Task!$A$17="",0,IF(ISNUMBER(SEARCH(" "&amp;Task!$A$17&amp;" "," "&amp;LOWER(C372)&amp;" ")),1,0))+IF(Task!$A$18="",0,IF(ISNUMBER(SEARCH(" "&amp;Task!$A$18&amp;" "," "&amp;LOWER(C372)&amp;" ")),1,0))+IF(Task!$A$19="",0,IF(ISNUMBER(SEARCH(" "&amp;Task!$A$19&amp;" "," "&amp;LOWER(C372)&amp;" ")),1,0)))</f>
        <v/>
      </c>
      <c r="H372" s="9">
        <f>IF(E372=0,0,IF(Task!$A$8="",0,IF(ISNUMBER(SEARCH(" "&amp;Task!$A$8&amp;" "," "&amp;LOWER(SUBSTITUTE(SUBSTITUTE(SUBSTITUTE(SUBSTITUTE(A372,"/"," "),"."," "),"\"," "),"_"," "))&amp;" ")),1,0))+IF(Task!$A$9="",0,IF(ISNUMBER(SEARCH(" "&amp;Task!$A$9&amp;" "," "&amp;LOWER(SUBSTITUTE(SUBSTITUTE(SUBSTITUTE(SUBSTITUTE(A372,"/"," "),"."," "),"\"," "),"_"," "))&amp;" ")),1,0))+IF(Task!$A$10="",0,IF(ISNUMBER(SEARCH(" "&amp;Task!$A$10&amp;" "," "&amp;LOWER(SUBSTITUTE(SUBSTITUTE(SUBSTITUTE(SUBSTITUTE(A372,"/"," "),"."," "),"\"," "),"_"," "))&amp;" ")),1,0))+IF(Task!$A$11="",0,IF(ISNUMBER(SEARCH(" "&amp;Task!$A$11&amp;" "," "&amp;LOWER(SUBSTITUTE(SUBSTITUTE(SUBSTITUTE(SUBSTITUTE(A372,"/"," "),"."," "),"\"," "),"_"," "))&amp;" ")),1,0))+IF(Task!$A$12="",0,IF(ISNUMBER(SEARCH(" "&amp;Task!$A$12&amp;" "," "&amp;LOWER(SUBSTITUTE(SUBSTITUTE(SUBSTITUTE(SUBSTITUTE(A372,"/"," "),"."," "),"\"," "),"_"," "))&amp;" ")),1,0))+IF(Task!$A$13="",0,IF(ISNUMBER(SEARCH(" "&amp;Task!$A$13&amp;" "," "&amp;LOWER(SUBSTITUTE(SUBSTITUTE(SUBSTITUTE(SUBSTITUTE(A372,"/"," "),"."," "),"\"," "),"_"," "))&amp;" ")),1,0))+IF(Task!$A$14="",0,IF(ISNUMBER(SEARCH(" "&amp;Task!$A$14&amp;" "," "&amp;LOWER(SUBSTITUTE(SUBSTITUTE(SUBSTITUTE(SUBSTITUTE(A372,"/"," "),"."," "),"\"," "),"_"," "))&amp;" ")),1,0))+IF(Task!$A$15="",0,IF(ISNUMBER(SEARCH(" "&amp;Task!$A$15&amp;" "," "&amp;LOWER(SUBSTITUTE(SUBSTITUTE(SUBSTITUTE(SUBSTITUTE(A372,"/"," "),"."," "),"\"," "),"_"," "))&amp;" ")),1,0))+IF(Task!$A$16="",0,IF(ISNUMBER(SEARCH(" "&amp;Task!$A$16&amp;" "," "&amp;LOWER(SUBSTITUTE(SUBSTITUTE(SUBSTITUTE(SUBSTITUTE(A372,"/"," "),"."," "),"\"," "),"_"," "))&amp;" ")),1,0))+IF(Task!$A$17="",0,IF(ISNUMBER(SEARCH(" "&amp;Task!$A$17&amp;" "," "&amp;LOWER(SUBSTITUTE(SUBSTITUTE(SUBSTITUTE(SUBSTITUTE(A372,"/"," "),"."," "),"\"," "),"_"," "))&amp;" ")),1,0))+IF(Task!$A$18="",0,IF(ISNUMBER(SEARCH(" "&amp;Task!$A$18&amp;" "," "&amp;LOWER(SUBSTITUTE(SUBSTITUTE(SUBSTITUTE(SUBSTITUTE(A372,"/"," "),"."," "),"\"," "),"_"," "))&amp;" ")),1,0))+IF(Task!$A$19="",0,IF(ISNUMBER(SEARCH(" "&amp;Task!$A$19&amp;" "," "&amp;LOWER(SUBSTITUTE(SUBSTITUTE(SUBSTITUTE(SUBSTITUTE(A372,"/"," "),"."," "),"\"," "),"_"," "))&amp;" ")),1,0)))</f>
        <v/>
      </c>
      <c r="I372" s="10">
        <f>IF(OR(E372=0,F372=0,Task!$B$21=0),"",F372/Task!$B$21+0.5*G372+0.25*H372)</f>
        <v/>
      </c>
      <c r="J372" s="5">
        <f>IF(I372="","",I372-ROW()/1000000)</f>
        <v/>
      </c>
      <c r="K372" s="9">
        <f>IF(J372="","",COUNTIF($J$5:$J$404,"&gt;"&amp;J372)+1)</f>
        <v/>
      </c>
    </row>
    <row r="373">
      <c r="A373" s="7" t="n"/>
      <c r="B373" s="7" t="n"/>
      <c r="C373" s="7" t="n"/>
      <c r="D373" s="7" t="n"/>
      <c r="E373" s="5">
        <f>IF(A373="",0,IF(COUNTA(Task!$B$5:$E$5)=0,1,IF(COUNTIF(Task!$B$5:$E$5,B373)&gt;0,1,0)))</f>
        <v/>
      </c>
      <c r="F373" s="9">
        <f>IF(E373=0,0,IF(Task!$A$8="",0,IF(ISNUMBER(SEARCH(" "&amp;Task!$A$8&amp;" "," "&amp;LOWER(D373&amp;" "&amp;C373&amp;" "&amp;LOWER(SUBSTITUTE(SUBSTITUTE(SUBSTITUTE(SUBSTITUTE(A373,"/"," "),"."," "),"\"," "),"_"," ")))&amp;" ")),1,0))+IF(Task!$A$9="",0,IF(ISNUMBER(SEARCH(" "&amp;Task!$A$9&amp;" "," "&amp;LOWER(D373&amp;" "&amp;C373&amp;" "&amp;LOWER(SUBSTITUTE(SUBSTITUTE(SUBSTITUTE(SUBSTITUTE(A373,"/"," "),"."," "),"\"," "),"_"," ")))&amp;" ")),1,0))+IF(Task!$A$10="",0,IF(ISNUMBER(SEARCH(" "&amp;Task!$A$10&amp;" "," "&amp;LOWER(D373&amp;" "&amp;C373&amp;" "&amp;LOWER(SUBSTITUTE(SUBSTITUTE(SUBSTITUTE(SUBSTITUTE(A373,"/"," "),"."," "),"\"," "),"_"," ")))&amp;" ")),1,0))+IF(Task!$A$11="",0,IF(ISNUMBER(SEARCH(" "&amp;Task!$A$11&amp;" "," "&amp;LOWER(D373&amp;" "&amp;C373&amp;" "&amp;LOWER(SUBSTITUTE(SUBSTITUTE(SUBSTITUTE(SUBSTITUTE(A373,"/"," "),"."," "),"\"," "),"_"," ")))&amp;" ")),1,0))+IF(Task!$A$12="",0,IF(ISNUMBER(SEARCH(" "&amp;Task!$A$12&amp;" "," "&amp;LOWER(D373&amp;" "&amp;C373&amp;" "&amp;LOWER(SUBSTITUTE(SUBSTITUTE(SUBSTITUTE(SUBSTITUTE(A373,"/"," "),"."," "),"\"," "),"_"," ")))&amp;" ")),1,0))+IF(Task!$A$13="",0,IF(ISNUMBER(SEARCH(" "&amp;Task!$A$13&amp;" "," "&amp;LOWER(D373&amp;" "&amp;C373&amp;" "&amp;LOWER(SUBSTITUTE(SUBSTITUTE(SUBSTITUTE(SUBSTITUTE(A373,"/"," "),"."," "),"\"," "),"_"," ")))&amp;" ")),1,0))+IF(Task!$A$14="",0,IF(ISNUMBER(SEARCH(" "&amp;Task!$A$14&amp;" "," "&amp;LOWER(D373&amp;" "&amp;C373&amp;" "&amp;LOWER(SUBSTITUTE(SUBSTITUTE(SUBSTITUTE(SUBSTITUTE(A373,"/"," "),"."," "),"\"," "),"_"," ")))&amp;" ")),1,0))+IF(Task!$A$15="",0,IF(ISNUMBER(SEARCH(" "&amp;Task!$A$15&amp;" "," "&amp;LOWER(D373&amp;" "&amp;C373&amp;" "&amp;LOWER(SUBSTITUTE(SUBSTITUTE(SUBSTITUTE(SUBSTITUTE(A373,"/"," "),"."," "),"\"," "),"_"," ")))&amp;" ")),1,0))+IF(Task!$A$16="",0,IF(ISNUMBER(SEARCH(" "&amp;Task!$A$16&amp;" "," "&amp;LOWER(D373&amp;" "&amp;C373&amp;" "&amp;LOWER(SUBSTITUTE(SUBSTITUTE(SUBSTITUTE(SUBSTITUTE(A373,"/"," "),"."," "),"\"," "),"_"," ")))&amp;" ")),1,0))+IF(Task!$A$17="",0,IF(ISNUMBER(SEARCH(" "&amp;Task!$A$17&amp;" "," "&amp;LOWER(D373&amp;" "&amp;C373&amp;" "&amp;LOWER(SUBSTITUTE(SUBSTITUTE(SUBSTITUTE(SUBSTITUTE(A373,"/"," "),"."," "),"\"," "),"_"," ")))&amp;" ")),1,0))+IF(Task!$A$18="",0,IF(ISNUMBER(SEARCH(" "&amp;Task!$A$18&amp;" "," "&amp;LOWER(D373&amp;" "&amp;C373&amp;" "&amp;LOWER(SUBSTITUTE(SUBSTITUTE(SUBSTITUTE(SUBSTITUTE(A373,"/"," "),"."," "),"\"," "),"_"," ")))&amp;" ")),1,0))+IF(Task!$A$19="",0,IF(ISNUMBER(SEARCH(" "&amp;Task!$A$19&amp;" "," "&amp;LOWER(D373&amp;" "&amp;C373&amp;" "&amp;LOWER(SUBSTITUTE(SUBSTITUTE(SUBSTITUTE(SUBSTITUTE(A373,"/"," "),"."," "),"\"," "),"_"," ")))&amp;" ")),1,0)))</f>
        <v/>
      </c>
      <c r="G373" s="9">
        <f>IF(E373=0,0,IF(Task!$A$8="",0,IF(ISNUMBER(SEARCH(" "&amp;Task!$A$8&amp;" "," "&amp;LOWER(C373)&amp;" ")),1,0))+IF(Task!$A$9="",0,IF(ISNUMBER(SEARCH(" "&amp;Task!$A$9&amp;" "," "&amp;LOWER(C373)&amp;" ")),1,0))+IF(Task!$A$10="",0,IF(ISNUMBER(SEARCH(" "&amp;Task!$A$10&amp;" "," "&amp;LOWER(C373)&amp;" ")),1,0))+IF(Task!$A$11="",0,IF(ISNUMBER(SEARCH(" "&amp;Task!$A$11&amp;" "," "&amp;LOWER(C373)&amp;" ")),1,0))+IF(Task!$A$12="",0,IF(ISNUMBER(SEARCH(" "&amp;Task!$A$12&amp;" "," "&amp;LOWER(C373)&amp;" ")),1,0))+IF(Task!$A$13="",0,IF(ISNUMBER(SEARCH(" "&amp;Task!$A$13&amp;" "," "&amp;LOWER(C373)&amp;" ")),1,0))+IF(Task!$A$14="",0,IF(ISNUMBER(SEARCH(" "&amp;Task!$A$14&amp;" "," "&amp;LOWER(C373)&amp;" ")),1,0))+IF(Task!$A$15="",0,IF(ISNUMBER(SEARCH(" "&amp;Task!$A$15&amp;" "," "&amp;LOWER(C373)&amp;" ")),1,0))+IF(Task!$A$16="",0,IF(ISNUMBER(SEARCH(" "&amp;Task!$A$16&amp;" "," "&amp;LOWER(C373)&amp;" ")),1,0))+IF(Task!$A$17="",0,IF(ISNUMBER(SEARCH(" "&amp;Task!$A$17&amp;" "," "&amp;LOWER(C373)&amp;" ")),1,0))+IF(Task!$A$18="",0,IF(ISNUMBER(SEARCH(" "&amp;Task!$A$18&amp;" "," "&amp;LOWER(C373)&amp;" ")),1,0))+IF(Task!$A$19="",0,IF(ISNUMBER(SEARCH(" "&amp;Task!$A$19&amp;" "," "&amp;LOWER(C373)&amp;" ")),1,0)))</f>
        <v/>
      </c>
      <c r="H373" s="9">
        <f>IF(E373=0,0,IF(Task!$A$8="",0,IF(ISNUMBER(SEARCH(" "&amp;Task!$A$8&amp;" "," "&amp;LOWER(SUBSTITUTE(SUBSTITUTE(SUBSTITUTE(SUBSTITUTE(A373,"/"," "),"."," "),"\"," "),"_"," "))&amp;" ")),1,0))+IF(Task!$A$9="",0,IF(ISNUMBER(SEARCH(" "&amp;Task!$A$9&amp;" "," "&amp;LOWER(SUBSTITUTE(SUBSTITUTE(SUBSTITUTE(SUBSTITUTE(A373,"/"," "),"."," "),"\"," "),"_"," "))&amp;" ")),1,0))+IF(Task!$A$10="",0,IF(ISNUMBER(SEARCH(" "&amp;Task!$A$10&amp;" "," "&amp;LOWER(SUBSTITUTE(SUBSTITUTE(SUBSTITUTE(SUBSTITUTE(A373,"/"," "),"."," "),"\"," "),"_"," "))&amp;" ")),1,0))+IF(Task!$A$11="",0,IF(ISNUMBER(SEARCH(" "&amp;Task!$A$11&amp;" "," "&amp;LOWER(SUBSTITUTE(SUBSTITUTE(SUBSTITUTE(SUBSTITUTE(A373,"/"," "),"."," "),"\"," "),"_"," "))&amp;" ")),1,0))+IF(Task!$A$12="",0,IF(ISNUMBER(SEARCH(" "&amp;Task!$A$12&amp;" "," "&amp;LOWER(SUBSTITUTE(SUBSTITUTE(SUBSTITUTE(SUBSTITUTE(A373,"/"," "),"."," "),"\"," "),"_"," "))&amp;" ")),1,0))+IF(Task!$A$13="",0,IF(ISNUMBER(SEARCH(" "&amp;Task!$A$13&amp;" "," "&amp;LOWER(SUBSTITUTE(SUBSTITUTE(SUBSTITUTE(SUBSTITUTE(A373,"/"," "),"."," "),"\"," "),"_"," "))&amp;" ")),1,0))+IF(Task!$A$14="",0,IF(ISNUMBER(SEARCH(" "&amp;Task!$A$14&amp;" "," "&amp;LOWER(SUBSTITUTE(SUBSTITUTE(SUBSTITUTE(SUBSTITUTE(A373,"/"," "),"."," "),"\"," "),"_"," "))&amp;" ")),1,0))+IF(Task!$A$15="",0,IF(ISNUMBER(SEARCH(" "&amp;Task!$A$15&amp;" "," "&amp;LOWER(SUBSTITUTE(SUBSTITUTE(SUBSTITUTE(SUBSTITUTE(A373,"/"," "),"."," "),"\"," "),"_"," "))&amp;" ")),1,0))+IF(Task!$A$16="",0,IF(ISNUMBER(SEARCH(" "&amp;Task!$A$16&amp;" "," "&amp;LOWER(SUBSTITUTE(SUBSTITUTE(SUBSTITUTE(SUBSTITUTE(A373,"/"," "),"."," "),"\"," "),"_"," "))&amp;" ")),1,0))+IF(Task!$A$17="",0,IF(ISNUMBER(SEARCH(" "&amp;Task!$A$17&amp;" "," "&amp;LOWER(SUBSTITUTE(SUBSTITUTE(SUBSTITUTE(SUBSTITUTE(A373,"/"," "),"."," "),"\"," "),"_"," "))&amp;" ")),1,0))+IF(Task!$A$18="",0,IF(ISNUMBER(SEARCH(" "&amp;Task!$A$18&amp;" "," "&amp;LOWER(SUBSTITUTE(SUBSTITUTE(SUBSTITUTE(SUBSTITUTE(A373,"/"," "),"."," "),"\"," "),"_"," "))&amp;" ")),1,0))+IF(Task!$A$19="",0,IF(ISNUMBER(SEARCH(" "&amp;Task!$A$19&amp;" "," "&amp;LOWER(SUBSTITUTE(SUBSTITUTE(SUBSTITUTE(SUBSTITUTE(A373,"/"," "),"."," "),"\"," "),"_"," "))&amp;" ")),1,0)))</f>
        <v/>
      </c>
      <c r="I373" s="10">
        <f>IF(OR(E373=0,F373=0,Task!$B$21=0),"",F373/Task!$B$21+0.5*G373+0.25*H373)</f>
        <v/>
      </c>
      <c r="J373" s="5">
        <f>IF(I373="","",I373-ROW()/1000000)</f>
        <v/>
      </c>
      <c r="K373" s="9">
        <f>IF(J373="","",COUNTIF($J$5:$J$404,"&gt;"&amp;J373)+1)</f>
        <v/>
      </c>
    </row>
    <row r="374">
      <c r="A374" s="7" t="n"/>
      <c r="B374" s="7" t="n"/>
      <c r="C374" s="7" t="n"/>
      <c r="D374" s="7" t="n"/>
      <c r="E374" s="5">
        <f>IF(A374="",0,IF(COUNTA(Task!$B$5:$E$5)=0,1,IF(COUNTIF(Task!$B$5:$E$5,B374)&gt;0,1,0)))</f>
        <v/>
      </c>
      <c r="F374" s="9">
        <f>IF(E374=0,0,IF(Task!$A$8="",0,IF(ISNUMBER(SEARCH(" "&amp;Task!$A$8&amp;" "," "&amp;LOWER(D374&amp;" "&amp;C374&amp;" "&amp;LOWER(SUBSTITUTE(SUBSTITUTE(SUBSTITUTE(SUBSTITUTE(A374,"/"," "),"."," "),"\"," "),"_"," ")))&amp;" ")),1,0))+IF(Task!$A$9="",0,IF(ISNUMBER(SEARCH(" "&amp;Task!$A$9&amp;" "," "&amp;LOWER(D374&amp;" "&amp;C374&amp;" "&amp;LOWER(SUBSTITUTE(SUBSTITUTE(SUBSTITUTE(SUBSTITUTE(A374,"/"," "),"."," "),"\"," "),"_"," ")))&amp;" ")),1,0))+IF(Task!$A$10="",0,IF(ISNUMBER(SEARCH(" "&amp;Task!$A$10&amp;" "," "&amp;LOWER(D374&amp;" "&amp;C374&amp;" "&amp;LOWER(SUBSTITUTE(SUBSTITUTE(SUBSTITUTE(SUBSTITUTE(A374,"/"," "),"."," "),"\"," "),"_"," ")))&amp;" ")),1,0))+IF(Task!$A$11="",0,IF(ISNUMBER(SEARCH(" "&amp;Task!$A$11&amp;" "," "&amp;LOWER(D374&amp;" "&amp;C374&amp;" "&amp;LOWER(SUBSTITUTE(SUBSTITUTE(SUBSTITUTE(SUBSTITUTE(A374,"/"," "),"."," "),"\"," "),"_"," ")))&amp;" ")),1,0))+IF(Task!$A$12="",0,IF(ISNUMBER(SEARCH(" "&amp;Task!$A$12&amp;" "," "&amp;LOWER(D374&amp;" "&amp;C374&amp;" "&amp;LOWER(SUBSTITUTE(SUBSTITUTE(SUBSTITUTE(SUBSTITUTE(A374,"/"," "),"."," "),"\"," "),"_"," ")))&amp;" ")),1,0))+IF(Task!$A$13="",0,IF(ISNUMBER(SEARCH(" "&amp;Task!$A$13&amp;" "," "&amp;LOWER(D374&amp;" "&amp;C374&amp;" "&amp;LOWER(SUBSTITUTE(SUBSTITUTE(SUBSTITUTE(SUBSTITUTE(A374,"/"," "),"."," "),"\"," "),"_"," ")))&amp;" ")),1,0))+IF(Task!$A$14="",0,IF(ISNUMBER(SEARCH(" "&amp;Task!$A$14&amp;" "," "&amp;LOWER(D374&amp;" "&amp;C374&amp;" "&amp;LOWER(SUBSTITUTE(SUBSTITUTE(SUBSTITUTE(SUBSTITUTE(A374,"/"," "),"."," "),"\"," "),"_"," ")))&amp;" ")),1,0))+IF(Task!$A$15="",0,IF(ISNUMBER(SEARCH(" "&amp;Task!$A$15&amp;" "," "&amp;LOWER(D374&amp;" "&amp;C374&amp;" "&amp;LOWER(SUBSTITUTE(SUBSTITUTE(SUBSTITUTE(SUBSTITUTE(A374,"/"," "),"."," "),"\"," "),"_"," ")))&amp;" ")),1,0))+IF(Task!$A$16="",0,IF(ISNUMBER(SEARCH(" "&amp;Task!$A$16&amp;" "," "&amp;LOWER(D374&amp;" "&amp;C374&amp;" "&amp;LOWER(SUBSTITUTE(SUBSTITUTE(SUBSTITUTE(SUBSTITUTE(A374,"/"," "),"."," "),"\"," "),"_"," ")))&amp;" ")),1,0))+IF(Task!$A$17="",0,IF(ISNUMBER(SEARCH(" "&amp;Task!$A$17&amp;" "," "&amp;LOWER(D374&amp;" "&amp;C374&amp;" "&amp;LOWER(SUBSTITUTE(SUBSTITUTE(SUBSTITUTE(SUBSTITUTE(A374,"/"," "),"."," "),"\"," "),"_"," ")))&amp;" ")),1,0))+IF(Task!$A$18="",0,IF(ISNUMBER(SEARCH(" "&amp;Task!$A$18&amp;" "," "&amp;LOWER(D374&amp;" "&amp;C374&amp;" "&amp;LOWER(SUBSTITUTE(SUBSTITUTE(SUBSTITUTE(SUBSTITUTE(A374,"/"," "),"."," "),"\"," "),"_"," ")))&amp;" ")),1,0))+IF(Task!$A$19="",0,IF(ISNUMBER(SEARCH(" "&amp;Task!$A$19&amp;" "," "&amp;LOWER(D374&amp;" "&amp;C374&amp;" "&amp;LOWER(SUBSTITUTE(SUBSTITUTE(SUBSTITUTE(SUBSTITUTE(A374,"/"," "),"."," "),"\"," "),"_"," ")))&amp;" ")),1,0)))</f>
        <v/>
      </c>
      <c r="G374" s="9">
        <f>IF(E374=0,0,IF(Task!$A$8="",0,IF(ISNUMBER(SEARCH(" "&amp;Task!$A$8&amp;" "," "&amp;LOWER(C374)&amp;" ")),1,0))+IF(Task!$A$9="",0,IF(ISNUMBER(SEARCH(" "&amp;Task!$A$9&amp;" "," "&amp;LOWER(C374)&amp;" ")),1,0))+IF(Task!$A$10="",0,IF(ISNUMBER(SEARCH(" "&amp;Task!$A$10&amp;" "," "&amp;LOWER(C374)&amp;" ")),1,0))+IF(Task!$A$11="",0,IF(ISNUMBER(SEARCH(" "&amp;Task!$A$11&amp;" "," "&amp;LOWER(C374)&amp;" ")),1,0))+IF(Task!$A$12="",0,IF(ISNUMBER(SEARCH(" "&amp;Task!$A$12&amp;" "," "&amp;LOWER(C374)&amp;" ")),1,0))+IF(Task!$A$13="",0,IF(ISNUMBER(SEARCH(" "&amp;Task!$A$13&amp;" "," "&amp;LOWER(C374)&amp;" ")),1,0))+IF(Task!$A$14="",0,IF(ISNUMBER(SEARCH(" "&amp;Task!$A$14&amp;" "," "&amp;LOWER(C374)&amp;" ")),1,0))+IF(Task!$A$15="",0,IF(ISNUMBER(SEARCH(" "&amp;Task!$A$15&amp;" "," "&amp;LOWER(C374)&amp;" ")),1,0))+IF(Task!$A$16="",0,IF(ISNUMBER(SEARCH(" "&amp;Task!$A$16&amp;" "," "&amp;LOWER(C374)&amp;" ")),1,0))+IF(Task!$A$17="",0,IF(ISNUMBER(SEARCH(" "&amp;Task!$A$17&amp;" "," "&amp;LOWER(C374)&amp;" ")),1,0))+IF(Task!$A$18="",0,IF(ISNUMBER(SEARCH(" "&amp;Task!$A$18&amp;" "," "&amp;LOWER(C374)&amp;" ")),1,0))+IF(Task!$A$19="",0,IF(ISNUMBER(SEARCH(" "&amp;Task!$A$19&amp;" "," "&amp;LOWER(C374)&amp;" ")),1,0)))</f>
        <v/>
      </c>
      <c r="H374" s="9">
        <f>IF(E374=0,0,IF(Task!$A$8="",0,IF(ISNUMBER(SEARCH(" "&amp;Task!$A$8&amp;" "," "&amp;LOWER(SUBSTITUTE(SUBSTITUTE(SUBSTITUTE(SUBSTITUTE(A374,"/"," "),"."," "),"\"," "),"_"," "))&amp;" ")),1,0))+IF(Task!$A$9="",0,IF(ISNUMBER(SEARCH(" "&amp;Task!$A$9&amp;" "," "&amp;LOWER(SUBSTITUTE(SUBSTITUTE(SUBSTITUTE(SUBSTITUTE(A374,"/"," "),"."," "),"\"," "),"_"," "))&amp;" ")),1,0))+IF(Task!$A$10="",0,IF(ISNUMBER(SEARCH(" "&amp;Task!$A$10&amp;" "," "&amp;LOWER(SUBSTITUTE(SUBSTITUTE(SUBSTITUTE(SUBSTITUTE(A374,"/"," "),"."," "),"\"," "),"_"," "))&amp;" ")),1,0))+IF(Task!$A$11="",0,IF(ISNUMBER(SEARCH(" "&amp;Task!$A$11&amp;" "," "&amp;LOWER(SUBSTITUTE(SUBSTITUTE(SUBSTITUTE(SUBSTITUTE(A374,"/"," "),"."," "),"\"," "),"_"," "))&amp;" ")),1,0))+IF(Task!$A$12="",0,IF(ISNUMBER(SEARCH(" "&amp;Task!$A$12&amp;" "," "&amp;LOWER(SUBSTITUTE(SUBSTITUTE(SUBSTITUTE(SUBSTITUTE(A374,"/"," "),"."," "),"\"," "),"_"," "))&amp;" ")),1,0))+IF(Task!$A$13="",0,IF(ISNUMBER(SEARCH(" "&amp;Task!$A$13&amp;" "," "&amp;LOWER(SUBSTITUTE(SUBSTITUTE(SUBSTITUTE(SUBSTITUTE(A374,"/"," "),"."," "),"\"," "),"_"," "))&amp;" ")),1,0))+IF(Task!$A$14="",0,IF(ISNUMBER(SEARCH(" "&amp;Task!$A$14&amp;" "," "&amp;LOWER(SUBSTITUTE(SUBSTITUTE(SUBSTITUTE(SUBSTITUTE(A374,"/"," "),"."," "),"\"," "),"_"," "))&amp;" ")),1,0))+IF(Task!$A$15="",0,IF(ISNUMBER(SEARCH(" "&amp;Task!$A$15&amp;" "," "&amp;LOWER(SUBSTITUTE(SUBSTITUTE(SUBSTITUTE(SUBSTITUTE(A374,"/"," "),"."," "),"\"," "),"_"," "))&amp;" ")),1,0))+IF(Task!$A$16="",0,IF(ISNUMBER(SEARCH(" "&amp;Task!$A$16&amp;" "," "&amp;LOWER(SUBSTITUTE(SUBSTITUTE(SUBSTITUTE(SUBSTITUTE(A374,"/"," "),"."," "),"\"," "),"_"," "))&amp;" ")),1,0))+IF(Task!$A$17="",0,IF(ISNUMBER(SEARCH(" "&amp;Task!$A$17&amp;" "," "&amp;LOWER(SUBSTITUTE(SUBSTITUTE(SUBSTITUTE(SUBSTITUTE(A374,"/"," "),"."," "),"\"," "),"_"," "))&amp;" ")),1,0))+IF(Task!$A$18="",0,IF(ISNUMBER(SEARCH(" "&amp;Task!$A$18&amp;" "," "&amp;LOWER(SUBSTITUTE(SUBSTITUTE(SUBSTITUTE(SUBSTITUTE(A374,"/"," "),"."," "),"\"," "),"_"," "))&amp;" ")),1,0))+IF(Task!$A$19="",0,IF(ISNUMBER(SEARCH(" "&amp;Task!$A$19&amp;" "," "&amp;LOWER(SUBSTITUTE(SUBSTITUTE(SUBSTITUTE(SUBSTITUTE(A374,"/"," "),"."," "),"\"," "),"_"," "))&amp;" ")),1,0)))</f>
        <v/>
      </c>
      <c r="I374" s="10">
        <f>IF(OR(E374=0,F374=0,Task!$B$21=0),"",F374/Task!$B$21+0.5*G374+0.25*H374)</f>
        <v/>
      </c>
      <c r="J374" s="5">
        <f>IF(I374="","",I374-ROW()/1000000)</f>
        <v/>
      </c>
      <c r="K374" s="9">
        <f>IF(J374="","",COUNTIF($J$5:$J$404,"&gt;"&amp;J374)+1)</f>
        <v/>
      </c>
    </row>
    <row r="375">
      <c r="A375" s="7" t="n"/>
      <c r="B375" s="7" t="n"/>
      <c r="C375" s="7" t="n"/>
      <c r="D375" s="7" t="n"/>
      <c r="E375" s="5">
        <f>IF(A375="",0,IF(COUNTA(Task!$B$5:$E$5)=0,1,IF(COUNTIF(Task!$B$5:$E$5,B375)&gt;0,1,0)))</f>
        <v/>
      </c>
      <c r="F375" s="9">
        <f>IF(E375=0,0,IF(Task!$A$8="",0,IF(ISNUMBER(SEARCH(" "&amp;Task!$A$8&amp;" "," "&amp;LOWER(D375&amp;" "&amp;C375&amp;" "&amp;LOWER(SUBSTITUTE(SUBSTITUTE(SUBSTITUTE(SUBSTITUTE(A375,"/"," "),"."," "),"\"," "),"_"," ")))&amp;" ")),1,0))+IF(Task!$A$9="",0,IF(ISNUMBER(SEARCH(" "&amp;Task!$A$9&amp;" "," "&amp;LOWER(D375&amp;" "&amp;C375&amp;" "&amp;LOWER(SUBSTITUTE(SUBSTITUTE(SUBSTITUTE(SUBSTITUTE(A375,"/"," "),"."," "),"\"," "),"_"," ")))&amp;" ")),1,0))+IF(Task!$A$10="",0,IF(ISNUMBER(SEARCH(" "&amp;Task!$A$10&amp;" "," "&amp;LOWER(D375&amp;" "&amp;C375&amp;" "&amp;LOWER(SUBSTITUTE(SUBSTITUTE(SUBSTITUTE(SUBSTITUTE(A375,"/"," "),"."," "),"\"," "),"_"," ")))&amp;" ")),1,0))+IF(Task!$A$11="",0,IF(ISNUMBER(SEARCH(" "&amp;Task!$A$11&amp;" "," "&amp;LOWER(D375&amp;" "&amp;C375&amp;" "&amp;LOWER(SUBSTITUTE(SUBSTITUTE(SUBSTITUTE(SUBSTITUTE(A375,"/"," "),"."," "),"\"," "),"_"," ")))&amp;" ")),1,0))+IF(Task!$A$12="",0,IF(ISNUMBER(SEARCH(" "&amp;Task!$A$12&amp;" "," "&amp;LOWER(D375&amp;" "&amp;C375&amp;" "&amp;LOWER(SUBSTITUTE(SUBSTITUTE(SUBSTITUTE(SUBSTITUTE(A375,"/"," "),"."," "),"\"," "),"_"," ")))&amp;" ")),1,0))+IF(Task!$A$13="",0,IF(ISNUMBER(SEARCH(" "&amp;Task!$A$13&amp;" "," "&amp;LOWER(D375&amp;" "&amp;C375&amp;" "&amp;LOWER(SUBSTITUTE(SUBSTITUTE(SUBSTITUTE(SUBSTITUTE(A375,"/"," "),"."," "),"\"," "),"_"," ")))&amp;" ")),1,0))+IF(Task!$A$14="",0,IF(ISNUMBER(SEARCH(" "&amp;Task!$A$14&amp;" "," "&amp;LOWER(D375&amp;" "&amp;C375&amp;" "&amp;LOWER(SUBSTITUTE(SUBSTITUTE(SUBSTITUTE(SUBSTITUTE(A375,"/"," "),"."," "),"\"," "),"_"," ")))&amp;" ")),1,0))+IF(Task!$A$15="",0,IF(ISNUMBER(SEARCH(" "&amp;Task!$A$15&amp;" "," "&amp;LOWER(D375&amp;" "&amp;C375&amp;" "&amp;LOWER(SUBSTITUTE(SUBSTITUTE(SUBSTITUTE(SUBSTITUTE(A375,"/"," "),"."," "),"\"," "),"_"," ")))&amp;" ")),1,0))+IF(Task!$A$16="",0,IF(ISNUMBER(SEARCH(" "&amp;Task!$A$16&amp;" "," "&amp;LOWER(D375&amp;" "&amp;C375&amp;" "&amp;LOWER(SUBSTITUTE(SUBSTITUTE(SUBSTITUTE(SUBSTITUTE(A375,"/"," "),"."," "),"\"," "),"_"," ")))&amp;" ")),1,0))+IF(Task!$A$17="",0,IF(ISNUMBER(SEARCH(" "&amp;Task!$A$17&amp;" "," "&amp;LOWER(D375&amp;" "&amp;C375&amp;" "&amp;LOWER(SUBSTITUTE(SUBSTITUTE(SUBSTITUTE(SUBSTITUTE(A375,"/"," "),"."," "),"\"," "),"_"," ")))&amp;" ")),1,0))+IF(Task!$A$18="",0,IF(ISNUMBER(SEARCH(" "&amp;Task!$A$18&amp;" "," "&amp;LOWER(D375&amp;" "&amp;C375&amp;" "&amp;LOWER(SUBSTITUTE(SUBSTITUTE(SUBSTITUTE(SUBSTITUTE(A375,"/"," "),"."," "),"\"," "),"_"," ")))&amp;" ")),1,0))+IF(Task!$A$19="",0,IF(ISNUMBER(SEARCH(" "&amp;Task!$A$19&amp;" "," "&amp;LOWER(D375&amp;" "&amp;C375&amp;" "&amp;LOWER(SUBSTITUTE(SUBSTITUTE(SUBSTITUTE(SUBSTITUTE(A375,"/"," "),"."," "),"\"," "),"_"," ")))&amp;" ")),1,0)))</f>
        <v/>
      </c>
      <c r="G375" s="9">
        <f>IF(E375=0,0,IF(Task!$A$8="",0,IF(ISNUMBER(SEARCH(" "&amp;Task!$A$8&amp;" "," "&amp;LOWER(C375)&amp;" ")),1,0))+IF(Task!$A$9="",0,IF(ISNUMBER(SEARCH(" "&amp;Task!$A$9&amp;" "," "&amp;LOWER(C375)&amp;" ")),1,0))+IF(Task!$A$10="",0,IF(ISNUMBER(SEARCH(" "&amp;Task!$A$10&amp;" "," "&amp;LOWER(C375)&amp;" ")),1,0))+IF(Task!$A$11="",0,IF(ISNUMBER(SEARCH(" "&amp;Task!$A$11&amp;" "," "&amp;LOWER(C375)&amp;" ")),1,0))+IF(Task!$A$12="",0,IF(ISNUMBER(SEARCH(" "&amp;Task!$A$12&amp;" "," "&amp;LOWER(C375)&amp;" ")),1,0))+IF(Task!$A$13="",0,IF(ISNUMBER(SEARCH(" "&amp;Task!$A$13&amp;" "," "&amp;LOWER(C375)&amp;" ")),1,0))+IF(Task!$A$14="",0,IF(ISNUMBER(SEARCH(" "&amp;Task!$A$14&amp;" "," "&amp;LOWER(C375)&amp;" ")),1,0))+IF(Task!$A$15="",0,IF(ISNUMBER(SEARCH(" "&amp;Task!$A$15&amp;" "," "&amp;LOWER(C375)&amp;" ")),1,0))+IF(Task!$A$16="",0,IF(ISNUMBER(SEARCH(" "&amp;Task!$A$16&amp;" "," "&amp;LOWER(C375)&amp;" ")),1,0))+IF(Task!$A$17="",0,IF(ISNUMBER(SEARCH(" "&amp;Task!$A$17&amp;" "," "&amp;LOWER(C375)&amp;" ")),1,0))+IF(Task!$A$18="",0,IF(ISNUMBER(SEARCH(" "&amp;Task!$A$18&amp;" "," "&amp;LOWER(C375)&amp;" ")),1,0))+IF(Task!$A$19="",0,IF(ISNUMBER(SEARCH(" "&amp;Task!$A$19&amp;" "," "&amp;LOWER(C375)&amp;" ")),1,0)))</f>
        <v/>
      </c>
      <c r="H375" s="9">
        <f>IF(E375=0,0,IF(Task!$A$8="",0,IF(ISNUMBER(SEARCH(" "&amp;Task!$A$8&amp;" "," "&amp;LOWER(SUBSTITUTE(SUBSTITUTE(SUBSTITUTE(SUBSTITUTE(A375,"/"," "),"."," "),"\"," "),"_"," "))&amp;" ")),1,0))+IF(Task!$A$9="",0,IF(ISNUMBER(SEARCH(" "&amp;Task!$A$9&amp;" "," "&amp;LOWER(SUBSTITUTE(SUBSTITUTE(SUBSTITUTE(SUBSTITUTE(A375,"/"," "),"."," "),"\"," "),"_"," "))&amp;" ")),1,0))+IF(Task!$A$10="",0,IF(ISNUMBER(SEARCH(" "&amp;Task!$A$10&amp;" "," "&amp;LOWER(SUBSTITUTE(SUBSTITUTE(SUBSTITUTE(SUBSTITUTE(A375,"/"," "),"."," "),"\"," "),"_"," "))&amp;" ")),1,0))+IF(Task!$A$11="",0,IF(ISNUMBER(SEARCH(" "&amp;Task!$A$11&amp;" "," "&amp;LOWER(SUBSTITUTE(SUBSTITUTE(SUBSTITUTE(SUBSTITUTE(A375,"/"," "),"."," "),"\"," "),"_"," "))&amp;" ")),1,0))+IF(Task!$A$12="",0,IF(ISNUMBER(SEARCH(" "&amp;Task!$A$12&amp;" "," "&amp;LOWER(SUBSTITUTE(SUBSTITUTE(SUBSTITUTE(SUBSTITUTE(A375,"/"," "),"."," "),"\"," "),"_"," "))&amp;" ")),1,0))+IF(Task!$A$13="",0,IF(ISNUMBER(SEARCH(" "&amp;Task!$A$13&amp;" "," "&amp;LOWER(SUBSTITUTE(SUBSTITUTE(SUBSTITUTE(SUBSTITUTE(A375,"/"," "),"."," "),"\"," "),"_"," "))&amp;" ")),1,0))+IF(Task!$A$14="",0,IF(ISNUMBER(SEARCH(" "&amp;Task!$A$14&amp;" "," "&amp;LOWER(SUBSTITUTE(SUBSTITUTE(SUBSTITUTE(SUBSTITUTE(A375,"/"," "),"."," "),"\"," "),"_"," "))&amp;" ")),1,0))+IF(Task!$A$15="",0,IF(ISNUMBER(SEARCH(" "&amp;Task!$A$15&amp;" "," "&amp;LOWER(SUBSTITUTE(SUBSTITUTE(SUBSTITUTE(SUBSTITUTE(A375,"/"," "),"."," "),"\"," "),"_"," "))&amp;" ")),1,0))+IF(Task!$A$16="",0,IF(ISNUMBER(SEARCH(" "&amp;Task!$A$16&amp;" "," "&amp;LOWER(SUBSTITUTE(SUBSTITUTE(SUBSTITUTE(SUBSTITUTE(A375,"/"," "),"."," "),"\"," "),"_"," "))&amp;" ")),1,0))+IF(Task!$A$17="",0,IF(ISNUMBER(SEARCH(" "&amp;Task!$A$17&amp;" "," "&amp;LOWER(SUBSTITUTE(SUBSTITUTE(SUBSTITUTE(SUBSTITUTE(A375,"/"," "),"."," "),"\"," "),"_"," "))&amp;" ")),1,0))+IF(Task!$A$18="",0,IF(ISNUMBER(SEARCH(" "&amp;Task!$A$18&amp;" "," "&amp;LOWER(SUBSTITUTE(SUBSTITUTE(SUBSTITUTE(SUBSTITUTE(A375,"/"," "),"."," "),"\"," "),"_"," "))&amp;" ")),1,0))+IF(Task!$A$19="",0,IF(ISNUMBER(SEARCH(" "&amp;Task!$A$19&amp;" "," "&amp;LOWER(SUBSTITUTE(SUBSTITUTE(SUBSTITUTE(SUBSTITUTE(A375,"/"," "),"."," "),"\"," "),"_"," "))&amp;" ")),1,0)))</f>
        <v/>
      </c>
      <c r="I375" s="10">
        <f>IF(OR(E375=0,F375=0,Task!$B$21=0),"",F375/Task!$B$21+0.5*G375+0.25*H375)</f>
        <v/>
      </c>
      <c r="J375" s="5">
        <f>IF(I375="","",I375-ROW()/1000000)</f>
        <v/>
      </c>
      <c r="K375" s="9">
        <f>IF(J375="","",COUNTIF($J$5:$J$404,"&gt;"&amp;J375)+1)</f>
        <v/>
      </c>
    </row>
    <row r="376">
      <c r="A376" s="7" t="n"/>
      <c r="B376" s="7" t="n"/>
      <c r="C376" s="7" t="n"/>
      <c r="D376" s="7" t="n"/>
      <c r="E376" s="5">
        <f>IF(A376="",0,IF(COUNTA(Task!$B$5:$E$5)=0,1,IF(COUNTIF(Task!$B$5:$E$5,B376)&gt;0,1,0)))</f>
        <v/>
      </c>
      <c r="F376" s="9">
        <f>IF(E376=0,0,IF(Task!$A$8="",0,IF(ISNUMBER(SEARCH(" "&amp;Task!$A$8&amp;" "," "&amp;LOWER(D376&amp;" "&amp;C376&amp;" "&amp;LOWER(SUBSTITUTE(SUBSTITUTE(SUBSTITUTE(SUBSTITUTE(A376,"/"," "),"."," "),"\"," "),"_"," ")))&amp;" ")),1,0))+IF(Task!$A$9="",0,IF(ISNUMBER(SEARCH(" "&amp;Task!$A$9&amp;" "," "&amp;LOWER(D376&amp;" "&amp;C376&amp;" "&amp;LOWER(SUBSTITUTE(SUBSTITUTE(SUBSTITUTE(SUBSTITUTE(A376,"/"," "),"."," "),"\"," "),"_"," ")))&amp;" ")),1,0))+IF(Task!$A$10="",0,IF(ISNUMBER(SEARCH(" "&amp;Task!$A$10&amp;" "," "&amp;LOWER(D376&amp;" "&amp;C376&amp;" "&amp;LOWER(SUBSTITUTE(SUBSTITUTE(SUBSTITUTE(SUBSTITUTE(A376,"/"," "),"."," "),"\"," "),"_"," ")))&amp;" ")),1,0))+IF(Task!$A$11="",0,IF(ISNUMBER(SEARCH(" "&amp;Task!$A$11&amp;" "," "&amp;LOWER(D376&amp;" "&amp;C376&amp;" "&amp;LOWER(SUBSTITUTE(SUBSTITUTE(SUBSTITUTE(SUBSTITUTE(A376,"/"," "),"."," "),"\"," "),"_"," ")))&amp;" ")),1,0))+IF(Task!$A$12="",0,IF(ISNUMBER(SEARCH(" "&amp;Task!$A$12&amp;" "," "&amp;LOWER(D376&amp;" "&amp;C376&amp;" "&amp;LOWER(SUBSTITUTE(SUBSTITUTE(SUBSTITUTE(SUBSTITUTE(A376,"/"," "),"."," "),"\"," "),"_"," ")))&amp;" ")),1,0))+IF(Task!$A$13="",0,IF(ISNUMBER(SEARCH(" "&amp;Task!$A$13&amp;" "," "&amp;LOWER(D376&amp;" "&amp;C376&amp;" "&amp;LOWER(SUBSTITUTE(SUBSTITUTE(SUBSTITUTE(SUBSTITUTE(A376,"/"," "),"."," "),"\"," "),"_"," ")))&amp;" ")),1,0))+IF(Task!$A$14="",0,IF(ISNUMBER(SEARCH(" "&amp;Task!$A$14&amp;" "," "&amp;LOWER(D376&amp;" "&amp;C376&amp;" "&amp;LOWER(SUBSTITUTE(SUBSTITUTE(SUBSTITUTE(SUBSTITUTE(A376,"/"," "),"."," "),"\"," "),"_"," ")))&amp;" ")),1,0))+IF(Task!$A$15="",0,IF(ISNUMBER(SEARCH(" "&amp;Task!$A$15&amp;" "," "&amp;LOWER(D376&amp;" "&amp;C376&amp;" "&amp;LOWER(SUBSTITUTE(SUBSTITUTE(SUBSTITUTE(SUBSTITUTE(A376,"/"," "),"."," "),"\"," "),"_"," ")))&amp;" ")),1,0))+IF(Task!$A$16="",0,IF(ISNUMBER(SEARCH(" "&amp;Task!$A$16&amp;" "," "&amp;LOWER(D376&amp;" "&amp;C376&amp;" "&amp;LOWER(SUBSTITUTE(SUBSTITUTE(SUBSTITUTE(SUBSTITUTE(A376,"/"," "),"."," "),"\"," "),"_"," ")))&amp;" ")),1,0))+IF(Task!$A$17="",0,IF(ISNUMBER(SEARCH(" "&amp;Task!$A$17&amp;" "," "&amp;LOWER(D376&amp;" "&amp;C376&amp;" "&amp;LOWER(SUBSTITUTE(SUBSTITUTE(SUBSTITUTE(SUBSTITUTE(A376,"/"," "),"."," "),"\"," "),"_"," ")))&amp;" ")),1,0))+IF(Task!$A$18="",0,IF(ISNUMBER(SEARCH(" "&amp;Task!$A$18&amp;" "," "&amp;LOWER(D376&amp;" "&amp;C376&amp;" "&amp;LOWER(SUBSTITUTE(SUBSTITUTE(SUBSTITUTE(SUBSTITUTE(A376,"/"," "),"."," "),"\"," "),"_"," ")))&amp;" ")),1,0))+IF(Task!$A$19="",0,IF(ISNUMBER(SEARCH(" "&amp;Task!$A$19&amp;" "," "&amp;LOWER(D376&amp;" "&amp;C376&amp;" "&amp;LOWER(SUBSTITUTE(SUBSTITUTE(SUBSTITUTE(SUBSTITUTE(A376,"/"," "),"."," "),"\"," "),"_"," ")))&amp;" ")),1,0)))</f>
        <v/>
      </c>
      <c r="G376" s="9">
        <f>IF(E376=0,0,IF(Task!$A$8="",0,IF(ISNUMBER(SEARCH(" "&amp;Task!$A$8&amp;" "," "&amp;LOWER(C376)&amp;" ")),1,0))+IF(Task!$A$9="",0,IF(ISNUMBER(SEARCH(" "&amp;Task!$A$9&amp;" "," "&amp;LOWER(C376)&amp;" ")),1,0))+IF(Task!$A$10="",0,IF(ISNUMBER(SEARCH(" "&amp;Task!$A$10&amp;" "," "&amp;LOWER(C376)&amp;" ")),1,0))+IF(Task!$A$11="",0,IF(ISNUMBER(SEARCH(" "&amp;Task!$A$11&amp;" "," "&amp;LOWER(C376)&amp;" ")),1,0))+IF(Task!$A$12="",0,IF(ISNUMBER(SEARCH(" "&amp;Task!$A$12&amp;" "," "&amp;LOWER(C376)&amp;" ")),1,0))+IF(Task!$A$13="",0,IF(ISNUMBER(SEARCH(" "&amp;Task!$A$13&amp;" "," "&amp;LOWER(C376)&amp;" ")),1,0))+IF(Task!$A$14="",0,IF(ISNUMBER(SEARCH(" "&amp;Task!$A$14&amp;" "," "&amp;LOWER(C376)&amp;" ")),1,0))+IF(Task!$A$15="",0,IF(ISNUMBER(SEARCH(" "&amp;Task!$A$15&amp;" "," "&amp;LOWER(C376)&amp;" ")),1,0))+IF(Task!$A$16="",0,IF(ISNUMBER(SEARCH(" "&amp;Task!$A$16&amp;" "," "&amp;LOWER(C376)&amp;" ")),1,0))+IF(Task!$A$17="",0,IF(ISNUMBER(SEARCH(" "&amp;Task!$A$17&amp;" "," "&amp;LOWER(C376)&amp;" ")),1,0))+IF(Task!$A$18="",0,IF(ISNUMBER(SEARCH(" "&amp;Task!$A$18&amp;" "," "&amp;LOWER(C376)&amp;" ")),1,0))+IF(Task!$A$19="",0,IF(ISNUMBER(SEARCH(" "&amp;Task!$A$19&amp;" "," "&amp;LOWER(C376)&amp;" ")),1,0)))</f>
        <v/>
      </c>
      <c r="H376" s="9">
        <f>IF(E376=0,0,IF(Task!$A$8="",0,IF(ISNUMBER(SEARCH(" "&amp;Task!$A$8&amp;" "," "&amp;LOWER(SUBSTITUTE(SUBSTITUTE(SUBSTITUTE(SUBSTITUTE(A376,"/"," "),"."," "),"\"," "),"_"," "))&amp;" ")),1,0))+IF(Task!$A$9="",0,IF(ISNUMBER(SEARCH(" "&amp;Task!$A$9&amp;" "," "&amp;LOWER(SUBSTITUTE(SUBSTITUTE(SUBSTITUTE(SUBSTITUTE(A376,"/"," "),"."," "),"\"," "),"_"," "))&amp;" ")),1,0))+IF(Task!$A$10="",0,IF(ISNUMBER(SEARCH(" "&amp;Task!$A$10&amp;" "," "&amp;LOWER(SUBSTITUTE(SUBSTITUTE(SUBSTITUTE(SUBSTITUTE(A376,"/"," "),"."," "),"\"," "),"_"," "))&amp;" ")),1,0))+IF(Task!$A$11="",0,IF(ISNUMBER(SEARCH(" "&amp;Task!$A$11&amp;" "," "&amp;LOWER(SUBSTITUTE(SUBSTITUTE(SUBSTITUTE(SUBSTITUTE(A376,"/"," "),"."," "),"\"," "),"_"," "))&amp;" ")),1,0))+IF(Task!$A$12="",0,IF(ISNUMBER(SEARCH(" "&amp;Task!$A$12&amp;" "," "&amp;LOWER(SUBSTITUTE(SUBSTITUTE(SUBSTITUTE(SUBSTITUTE(A376,"/"," "),"."," "),"\"," "),"_"," "))&amp;" ")),1,0))+IF(Task!$A$13="",0,IF(ISNUMBER(SEARCH(" "&amp;Task!$A$13&amp;" "," "&amp;LOWER(SUBSTITUTE(SUBSTITUTE(SUBSTITUTE(SUBSTITUTE(A376,"/"," "),"."," "),"\"," "),"_"," "))&amp;" ")),1,0))+IF(Task!$A$14="",0,IF(ISNUMBER(SEARCH(" "&amp;Task!$A$14&amp;" "," "&amp;LOWER(SUBSTITUTE(SUBSTITUTE(SUBSTITUTE(SUBSTITUTE(A376,"/"," "),"."," "),"\"," "),"_"," "))&amp;" ")),1,0))+IF(Task!$A$15="",0,IF(ISNUMBER(SEARCH(" "&amp;Task!$A$15&amp;" "," "&amp;LOWER(SUBSTITUTE(SUBSTITUTE(SUBSTITUTE(SUBSTITUTE(A376,"/"," "),"."," "),"\"," "),"_"," "))&amp;" ")),1,0))+IF(Task!$A$16="",0,IF(ISNUMBER(SEARCH(" "&amp;Task!$A$16&amp;" "," "&amp;LOWER(SUBSTITUTE(SUBSTITUTE(SUBSTITUTE(SUBSTITUTE(A376,"/"," "),"."," "),"\"," "),"_"," "))&amp;" ")),1,0))+IF(Task!$A$17="",0,IF(ISNUMBER(SEARCH(" "&amp;Task!$A$17&amp;" "," "&amp;LOWER(SUBSTITUTE(SUBSTITUTE(SUBSTITUTE(SUBSTITUTE(A376,"/"," "),"."," "),"\"," "),"_"," "))&amp;" ")),1,0))+IF(Task!$A$18="",0,IF(ISNUMBER(SEARCH(" "&amp;Task!$A$18&amp;" "," "&amp;LOWER(SUBSTITUTE(SUBSTITUTE(SUBSTITUTE(SUBSTITUTE(A376,"/"," "),"."," "),"\"," "),"_"," "))&amp;" ")),1,0))+IF(Task!$A$19="",0,IF(ISNUMBER(SEARCH(" "&amp;Task!$A$19&amp;" "," "&amp;LOWER(SUBSTITUTE(SUBSTITUTE(SUBSTITUTE(SUBSTITUTE(A376,"/"," "),"."," "),"\"," "),"_"," "))&amp;" ")),1,0)))</f>
        <v/>
      </c>
      <c r="I376" s="10">
        <f>IF(OR(E376=0,F376=0,Task!$B$21=0),"",F376/Task!$B$21+0.5*G376+0.25*H376)</f>
        <v/>
      </c>
      <c r="J376" s="5">
        <f>IF(I376="","",I376-ROW()/1000000)</f>
        <v/>
      </c>
      <c r="K376" s="9">
        <f>IF(J376="","",COUNTIF($J$5:$J$404,"&gt;"&amp;J376)+1)</f>
        <v/>
      </c>
    </row>
    <row r="377">
      <c r="A377" s="7" t="n"/>
      <c r="B377" s="7" t="n"/>
      <c r="C377" s="7" t="n"/>
      <c r="D377" s="7" t="n"/>
      <c r="E377" s="5">
        <f>IF(A377="",0,IF(COUNTA(Task!$B$5:$E$5)=0,1,IF(COUNTIF(Task!$B$5:$E$5,B377)&gt;0,1,0)))</f>
        <v/>
      </c>
      <c r="F377" s="9">
        <f>IF(E377=0,0,IF(Task!$A$8="",0,IF(ISNUMBER(SEARCH(" "&amp;Task!$A$8&amp;" "," "&amp;LOWER(D377&amp;" "&amp;C377&amp;" "&amp;LOWER(SUBSTITUTE(SUBSTITUTE(SUBSTITUTE(SUBSTITUTE(A377,"/"," "),"."," "),"\"," "),"_"," ")))&amp;" ")),1,0))+IF(Task!$A$9="",0,IF(ISNUMBER(SEARCH(" "&amp;Task!$A$9&amp;" "," "&amp;LOWER(D377&amp;" "&amp;C377&amp;" "&amp;LOWER(SUBSTITUTE(SUBSTITUTE(SUBSTITUTE(SUBSTITUTE(A377,"/"," "),"."," "),"\"," "),"_"," ")))&amp;" ")),1,0))+IF(Task!$A$10="",0,IF(ISNUMBER(SEARCH(" "&amp;Task!$A$10&amp;" "," "&amp;LOWER(D377&amp;" "&amp;C377&amp;" "&amp;LOWER(SUBSTITUTE(SUBSTITUTE(SUBSTITUTE(SUBSTITUTE(A377,"/"," "),"."," "),"\"," "),"_"," ")))&amp;" ")),1,0))+IF(Task!$A$11="",0,IF(ISNUMBER(SEARCH(" "&amp;Task!$A$11&amp;" "," "&amp;LOWER(D377&amp;" "&amp;C377&amp;" "&amp;LOWER(SUBSTITUTE(SUBSTITUTE(SUBSTITUTE(SUBSTITUTE(A377,"/"," "),"."," "),"\"," "),"_"," ")))&amp;" ")),1,0))+IF(Task!$A$12="",0,IF(ISNUMBER(SEARCH(" "&amp;Task!$A$12&amp;" "," "&amp;LOWER(D377&amp;" "&amp;C377&amp;" "&amp;LOWER(SUBSTITUTE(SUBSTITUTE(SUBSTITUTE(SUBSTITUTE(A377,"/"," "),"."," "),"\"," "),"_"," ")))&amp;" ")),1,0))+IF(Task!$A$13="",0,IF(ISNUMBER(SEARCH(" "&amp;Task!$A$13&amp;" "," "&amp;LOWER(D377&amp;" "&amp;C377&amp;" "&amp;LOWER(SUBSTITUTE(SUBSTITUTE(SUBSTITUTE(SUBSTITUTE(A377,"/"," "),"."," "),"\"," "),"_"," ")))&amp;" ")),1,0))+IF(Task!$A$14="",0,IF(ISNUMBER(SEARCH(" "&amp;Task!$A$14&amp;" "," "&amp;LOWER(D377&amp;" "&amp;C377&amp;" "&amp;LOWER(SUBSTITUTE(SUBSTITUTE(SUBSTITUTE(SUBSTITUTE(A377,"/"," "),"."," "),"\"," "),"_"," ")))&amp;" ")),1,0))+IF(Task!$A$15="",0,IF(ISNUMBER(SEARCH(" "&amp;Task!$A$15&amp;" "," "&amp;LOWER(D377&amp;" "&amp;C377&amp;" "&amp;LOWER(SUBSTITUTE(SUBSTITUTE(SUBSTITUTE(SUBSTITUTE(A377,"/"," "),"."," "),"\"," "),"_"," ")))&amp;" ")),1,0))+IF(Task!$A$16="",0,IF(ISNUMBER(SEARCH(" "&amp;Task!$A$16&amp;" "," "&amp;LOWER(D377&amp;" "&amp;C377&amp;" "&amp;LOWER(SUBSTITUTE(SUBSTITUTE(SUBSTITUTE(SUBSTITUTE(A377,"/"," "),"."," "),"\"," "),"_"," ")))&amp;" ")),1,0))+IF(Task!$A$17="",0,IF(ISNUMBER(SEARCH(" "&amp;Task!$A$17&amp;" "," "&amp;LOWER(D377&amp;" "&amp;C377&amp;" "&amp;LOWER(SUBSTITUTE(SUBSTITUTE(SUBSTITUTE(SUBSTITUTE(A377,"/"," "),"."," "),"\"," "),"_"," ")))&amp;" ")),1,0))+IF(Task!$A$18="",0,IF(ISNUMBER(SEARCH(" "&amp;Task!$A$18&amp;" "," "&amp;LOWER(D377&amp;" "&amp;C377&amp;" "&amp;LOWER(SUBSTITUTE(SUBSTITUTE(SUBSTITUTE(SUBSTITUTE(A377,"/"," "),"."," "),"\"," "),"_"," ")))&amp;" ")),1,0))+IF(Task!$A$19="",0,IF(ISNUMBER(SEARCH(" "&amp;Task!$A$19&amp;" "," "&amp;LOWER(D377&amp;" "&amp;C377&amp;" "&amp;LOWER(SUBSTITUTE(SUBSTITUTE(SUBSTITUTE(SUBSTITUTE(A377,"/"," "),"."," "),"\"," "),"_"," ")))&amp;" ")),1,0)))</f>
        <v/>
      </c>
      <c r="G377" s="9">
        <f>IF(E377=0,0,IF(Task!$A$8="",0,IF(ISNUMBER(SEARCH(" "&amp;Task!$A$8&amp;" "," "&amp;LOWER(C377)&amp;" ")),1,0))+IF(Task!$A$9="",0,IF(ISNUMBER(SEARCH(" "&amp;Task!$A$9&amp;" "," "&amp;LOWER(C377)&amp;" ")),1,0))+IF(Task!$A$10="",0,IF(ISNUMBER(SEARCH(" "&amp;Task!$A$10&amp;" "," "&amp;LOWER(C377)&amp;" ")),1,0))+IF(Task!$A$11="",0,IF(ISNUMBER(SEARCH(" "&amp;Task!$A$11&amp;" "," "&amp;LOWER(C377)&amp;" ")),1,0))+IF(Task!$A$12="",0,IF(ISNUMBER(SEARCH(" "&amp;Task!$A$12&amp;" "," "&amp;LOWER(C377)&amp;" ")),1,0))+IF(Task!$A$13="",0,IF(ISNUMBER(SEARCH(" "&amp;Task!$A$13&amp;" "," "&amp;LOWER(C377)&amp;" ")),1,0))+IF(Task!$A$14="",0,IF(ISNUMBER(SEARCH(" "&amp;Task!$A$14&amp;" "," "&amp;LOWER(C377)&amp;" ")),1,0))+IF(Task!$A$15="",0,IF(ISNUMBER(SEARCH(" "&amp;Task!$A$15&amp;" "," "&amp;LOWER(C377)&amp;" ")),1,0))+IF(Task!$A$16="",0,IF(ISNUMBER(SEARCH(" "&amp;Task!$A$16&amp;" "," "&amp;LOWER(C377)&amp;" ")),1,0))+IF(Task!$A$17="",0,IF(ISNUMBER(SEARCH(" "&amp;Task!$A$17&amp;" "," "&amp;LOWER(C377)&amp;" ")),1,0))+IF(Task!$A$18="",0,IF(ISNUMBER(SEARCH(" "&amp;Task!$A$18&amp;" "," "&amp;LOWER(C377)&amp;" ")),1,0))+IF(Task!$A$19="",0,IF(ISNUMBER(SEARCH(" "&amp;Task!$A$19&amp;" "," "&amp;LOWER(C377)&amp;" ")),1,0)))</f>
        <v/>
      </c>
      <c r="H377" s="9">
        <f>IF(E377=0,0,IF(Task!$A$8="",0,IF(ISNUMBER(SEARCH(" "&amp;Task!$A$8&amp;" "," "&amp;LOWER(SUBSTITUTE(SUBSTITUTE(SUBSTITUTE(SUBSTITUTE(A377,"/"," "),"."," "),"\"," "),"_"," "))&amp;" ")),1,0))+IF(Task!$A$9="",0,IF(ISNUMBER(SEARCH(" "&amp;Task!$A$9&amp;" "," "&amp;LOWER(SUBSTITUTE(SUBSTITUTE(SUBSTITUTE(SUBSTITUTE(A377,"/"," "),"."," "),"\"," "),"_"," "))&amp;" ")),1,0))+IF(Task!$A$10="",0,IF(ISNUMBER(SEARCH(" "&amp;Task!$A$10&amp;" "," "&amp;LOWER(SUBSTITUTE(SUBSTITUTE(SUBSTITUTE(SUBSTITUTE(A377,"/"," "),"."," "),"\"," "),"_"," "))&amp;" ")),1,0))+IF(Task!$A$11="",0,IF(ISNUMBER(SEARCH(" "&amp;Task!$A$11&amp;" "," "&amp;LOWER(SUBSTITUTE(SUBSTITUTE(SUBSTITUTE(SUBSTITUTE(A377,"/"," "),"."," "),"\"," "),"_"," "))&amp;" ")),1,0))+IF(Task!$A$12="",0,IF(ISNUMBER(SEARCH(" "&amp;Task!$A$12&amp;" "," "&amp;LOWER(SUBSTITUTE(SUBSTITUTE(SUBSTITUTE(SUBSTITUTE(A377,"/"," "),"."," "),"\"," "),"_"," "))&amp;" ")),1,0))+IF(Task!$A$13="",0,IF(ISNUMBER(SEARCH(" "&amp;Task!$A$13&amp;" "," "&amp;LOWER(SUBSTITUTE(SUBSTITUTE(SUBSTITUTE(SUBSTITUTE(A377,"/"," "),"."," "),"\"," "),"_"," "))&amp;" ")),1,0))+IF(Task!$A$14="",0,IF(ISNUMBER(SEARCH(" "&amp;Task!$A$14&amp;" "," "&amp;LOWER(SUBSTITUTE(SUBSTITUTE(SUBSTITUTE(SUBSTITUTE(A377,"/"," "),"."," "),"\"," "),"_"," "))&amp;" ")),1,0))+IF(Task!$A$15="",0,IF(ISNUMBER(SEARCH(" "&amp;Task!$A$15&amp;" "," "&amp;LOWER(SUBSTITUTE(SUBSTITUTE(SUBSTITUTE(SUBSTITUTE(A377,"/"," "),"."," "),"\"," "),"_"," "))&amp;" ")),1,0))+IF(Task!$A$16="",0,IF(ISNUMBER(SEARCH(" "&amp;Task!$A$16&amp;" "," "&amp;LOWER(SUBSTITUTE(SUBSTITUTE(SUBSTITUTE(SUBSTITUTE(A377,"/"," "),"."," "),"\"," "),"_"," "))&amp;" ")),1,0))+IF(Task!$A$17="",0,IF(ISNUMBER(SEARCH(" "&amp;Task!$A$17&amp;" "," "&amp;LOWER(SUBSTITUTE(SUBSTITUTE(SUBSTITUTE(SUBSTITUTE(A377,"/"," "),"."," "),"\"," "),"_"," "))&amp;" ")),1,0))+IF(Task!$A$18="",0,IF(ISNUMBER(SEARCH(" "&amp;Task!$A$18&amp;" "," "&amp;LOWER(SUBSTITUTE(SUBSTITUTE(SUBSTITUTE(SUBSTITUTE(A377,"/"," "),"."," "),"\"," "),"_"," "))&amp;" ")),1,0))+IF(Task!$A$19="",0,IF(ISNUMBER(SEARCH(" "&amp;Task!$A$19&amp;" "," "&amp;LOWER(SUBSTITUTE(SUBSTITUTE(SUBSTITUTE(SUBSTITUTE(A377,"/"," "),"."," "),"\"," "),"_"," "))&amp;" ")),1,0)))</f>
        <v/>
      </c>
      <c r="I377" s="10">
        <f>IF(OR(E377=0,F377=0,Task!$B$21=0),"",F377/Task!$B$21+0.5*G377+0.25*H377)</f>
        <v/>
      </c>
      <c r="J377" s="5">
        <f>IF(I377="","",I377-ROW()/1000000)</f>
        <v/>
      </c>
      <c r="K377" s="9">
        <f>IF(J377="","",COUNTIF($J$5:$J$404,"&gt;"&amp;J377)+1)</f>
        <v/>
      </c>
    </row>
    <row r="378">
      <c r="A378" s="7" t="n"/>
      <c r="B378" s="7" t="n"/>
      <c r="C378" s="7" t="n"/>
      <c r="D378" s="7" t="n"/>
      <c r="E378" s="5">
        <f>IF(A378="",0,IF(COUNTA(Task!$B$5:$E$5)=0,1,IF(COUNTIF(Task!$B$5:$E$5,B378)&gt;0,1,0)))</f>
        <v/>
      </c>
      <c r="F378" s="9">
        <f>IF(E378=0,0,IF(Task!$A$8="",0,IF(ISNUMBER(SEARCH(" "&amp;Task!$A$8&amp;" "," "&amp;LOWER(D378&amp;" "&amp;C378&amp;" "&amp;LOWER(SUBSTITUTE(SUBSTITUTE(SUBSTITUTE(SUBSTITUTE(A378,"/"," "),"."," "),"\"," "),"_"," ")))&amp;" ")),1,0))+IF(Task!$A$9="",0,IF(ISNUMBER(SEARCH(" "&amp;Task!$A$9&amp;" "," "&amp;LOWER(D378&amp;" "&amp;C378&amp;" "&amp;LOWER(SUBSTITUTE(SUBSTITUTE(SUBSTITUTE(SUBSTITUTE(A378,"/"," "),"."," "),"\"," "),"_"," ")))&amp;" ")),1,0))+IF(Task!$A$10="",0,IF(ISNUMBER(SEARCH(" "&amp;Task!$A$10&amp;" "," "&amp;LOWER(D378&amp;" "&amp;C378&amp;" "&amp;LOWER(SUBSTITUTE(SUBSTITUTE(SUBSTITUTE(SUBSTITUTE(A378,"/"," "),"."," "),"\"," "),"_"," ")))&amp;" ")),1,0))+IF(Task!$A$11="",0,IF(ISNUMBER(SEARCH(" "&amp;Task!$A$11&amp;" "," "&amp;LOWER(D378&amp;" "&amp;C378&amp;" "&amp;LOWER(SUBSTITUTE(SUBSTITUTE(SUBSTITUTE(SUBSTITUTE(A378,"/"," "),"."," "),"\"," "),"_"," ")))&amp;" ")),1,0))+IF(Task!$A$12="",0,IF(ISNUMBER(SEARCH(" "&amp;Task!$A$12&amp;" "," "&amp;LOWER(D378&amp;" "&amp;C378&amp;" "&amp;LOWER(SUBSTITUTE(SUBSTITUTE(SUBSTITUTE(SUBSTITUTE(A378,"/"," "),"."," "),"\"," "),"_"," ")))&amp;" ")),1,0))+IF(Task!$A$13="",0,IF(ISNUMBER(SEARCH(" "&amp;Task!$A$13&amp;" "," "&amp;LOWER(D378&amp;" "&amp;C378&amp;" "&amp;LOWER(SUBSTITUTE(SUBSTITUTE(SUBSTITUTE(SUBSTITUTE(A378,"/"," "),"."," "),"\"," "),"_"," ")))&amp;" ")),1,0))+IF(Task!$A$14="",0,IF(ISNUMBER(SEARCH(" "&amp;Task!$A$14&amp;" "," "&amp;LOWER(D378&amp;" "&amp;C378&amp;" "&amp;LOWER(SUBSTITUTE(SUBSTITUTE(SUBSTITUTE(SUBSTITUTE(A378,"/"," "),"."," "),"\"," "),"_"," ")))&amp;" ")),1,0))+IF(Task!$A$15="",0,IF(ISNUMBER(SEARCH(" "&amp;Task!$A$15&amp;" "," "&amp;LOWER(D378&amp;" "&amp;C378&amp;" "&amp;LOWER(SUBSTITUTE(SUBSTITUTE(SUBSTITUTE(SUBSTITUTE(A378,"/"," "),"."," "),"\"," "),"_"," ")))&amp;" ")),1,0))+IF(Task!$A$16="",0,IF(ISNUMBER(SEARCH(" "&amp;Task!$A$16&amp;" "," "&amp;LOWER(D378&amp;" "&amp;C378&amp;" "&amp;LOWER(SUBSTITUTE(SUBSTITUTE(SUBSTITUTE(SUBSTITUTE(A378,"/"," "),"."," "),"\"," "),"_"," ")))&amp;" ")),1,0))+IF(Task!$A$17="",0,IF(ISNUMBER(SEARCH(" "&amp;Task!$A$17&amp;" "," "&amp;LOWER(D378&amp;" "&amp;C378&amp;" "&amp;LOWER(SUBSTITUTE(SUBSTITUTE(SUBSTITUTE(SUBSTITUTE(A378,"/"," "),"."," "),"\"," "),"_"," ")))&amp;" ")),1,0))+IF(Task!$A$18="",0,IF(ISNUMBER(SEARCH(" "&amp;Task!$A$18&amp;" "," "&amp;LOWER(D378&amp;" "&amp;C378&amp;" "&amp;LOWER(SUBSTITUTE(SUBSTITUTE(SUBSTITUTE(SUBSTITUTE(A378,"/"," "),"."," "),"\"," "),"_"," ")))&amp;" ")),1,0))+IF(Task!$A$19="",0,IF(ISNUMBER(SEARCH(" "&amp;Task!$A$19&amp;" "," "&amp;LOWER(D378&amp;" "&amp;C378&amp;" "&amp;LOWER(SUBSTITUTE(SUBSTITUTE(SUBSTITUTE(SUBSTITUTE(A378,"/"," "),"."," "),"\"," "),"_"," ")))&amp;" ")),1,0)))</f>
        <v/>
      </c>
      <c r="G378" s="9">
        <f>IF(E378=0,0,IF(Task!$A$8="",0,IF(ISNUMBER(SEARCH(" "&amp;Task!$A$8&amp;" "," "&amp;LOWER(C378)&amp;" ")),1,0))+IF(Task!$A$9="",0,IF(ISNUMBER(SEARCH(" "&amp;Task!$A$9&amp;" "," "&amp;LOWER(C378)&amp;" ")),1,0))+IF(Task!$A$10="",0,IF(ISNUMBER(SEARCH(" "&amp;Task!$A$10&amp;" "," "&amp;LOWER(C378)&amp;" ")),1,0))+IF(Task!$A$11="",0,IF(ISNUMBER(SEARCH(" "&amp;Task!$A$11&amp;" "," "&amp;LOWER(C378)&amp;" ")),1,0))+IF(Task!$A$12="",0,IF(ISNUMBER(SEARCH(" "&amp;Task!$A$12&amp;" "," "&amp;LOWER(C378)&amp;" ")),1,0))+IF(Task!$A$13="",0,IF(ISNUMBER(SEARCH(" "&amp;Task!$A$13&amp;" "," "&amp;LOWER(C378)&amp;" ")),1,0))+IF(Task!$A$14="",0,IF(ISNUMBER(SEARCH(" "&amp;Task!$A$14&amp;" "," "&amp;LOWER(C378)&amp;" ")),1,0))+IF(Task!$A$15="",0,IF(ISNUMBER(SEARCH(" "&amp;Task!$A$15&amp;" "," "&amp;LOWER(C378)&amp;" ")),1,0))+IF(Task!$A$16="",0,IF(ISNUMBER(SEARCH(" "&amp;Task!$A$16&amp;" "," "&amp;LOWER(C378)&amp;" ")),1,0))+IF(Task!$A$17="",0,IF(ISNUMBER(SEARCH(" "&amp;Task!$A$17&amp;" "," "&amp;LOWER(C378)&amp;" ")),1,0))+IF(Task!$A$18="",0,IF(ISNUMBER(SEARCH(" "&amp;Task!$A$18&amp;" "," "&amp;LOWER(C378)&amp;" ")),1,0))+IF(Task!$A$19="",0,IF(ISNUMBER(SEARCH(" "&amp;Task!$A$19&amp;" "," "&amp;LOWER(C378)&amp;" ")),1,0)))</f>
        <v/>
      </c>
      <c r="H378" s="9">
        <f>IF(E378=0,0,IF(Task!$A$8="",0,IF(ISNUMBER(SEARCH(" "&amp;Task!$A$8&amp;" "," "&amp;LOWER(SUBSTITUTE(SUBSTITUTE(SUBSTITUTE(SUBSTITUTE(A378,"/"," "),"."," "),"\"," "),"_"," "))&amp;" ")),1,0))+IF(Task!$A$9="",0,IF(ISNUMBER(SEARCH(" "&amp;Task!$A$9&amp;" "," "&amp;LOWER(SUBSTITUTE(SUBSTITUTE(SUBSTITUTE(SUBSTITUTE(A378,"/"," "),"."," "),"\"," "),"_"," "))&amp;" ")),1,0))+IF(Task!$A$10="",0,IF(ISNUMBER(SEARCH(" "&amp;Task!$A$10&amp;" "," "&amp;LOWER(SUBSTITUTE(SUBSTITUTE(SUBSTITUTE(SUBSTITUTE(A378,"/"," "),"."," "),"\"," "),"_"," "))&amp;" ")),1,0))+IF(Task!$A$11="",0,IF(ISNUMBER(SEARCH(" "&amp;Task!$A$11&amp;" "," "&amp;LOWER(SUBSTITUTE(SUBSTITUTE(SUBSTITUTE(SUBSTITUTE(A378,"/"," "),"."," "),"\"," "),"_"," "))&amp;" ")),1,0))+IF(Task!$A$12="",0,IF(ISNUMBER(SEARCH(" "&amp;Task!$A$12&amp;" "," "&amp;LOWER(SUBSTITUTE(SUBSTITUTE(SUBSTITUTE(SUBSTITUTE(A378,"/"," "),"."," "),"\"," "),"_"," "))&amp;" ")),1,0))+IF(Task!$A$13="",0,IF(ISNUMBER(SEARCH(" "&amp;Task!$A$13&amp;" "," "&amp;LOWER(SUBSTITUTE(SUBSTITUTE(SUBSTITUTE(SUBSTITUTE(A378,"/"," "),"."," "),"\"," "),"_"," "))&amp;" ")),1,0))+IF(Task!$A$14="",0,IF(ISNUMBER(SEARCH(" "&amp;Task!$A$14&amp;" "," "&amp;LOWER(SUBSTITUTE(SUBSTITUTE(SUBSTITUTE(SUBSTITUTE(A378,"/"," "),"."," "),"\"," "),"_"," "))&amp;" ")),1,0))+IF(Task!$A$15="",0,IF(ISNUMBER(SEARCH(" "&amp;Task!$A$15&amp;" "," "&amp;LOWER(SUBSTITUTE(SUBSTITUTE(SUBSTITUTE(SUBSTITUTE(A378,"/"," "),"."," "),"\"," "),"_"," "))&amp;" ")),1,0))+IF(Task!$A$16="",0,IF(ISNUMBER(SEARCH(" "&amp;Task!$A$16&amp;" "," "&amp;LOWER(SUBSTITUTE(SUBSTITUTE(SUBSTITUTE(SUBSTITUTE(A378,"/"," "),"."," "),"\"," "),"_"," "))&amp;" ")),1,0))+IF(Task!$A$17="",0,IF(ISNUMBER(SEARCH(" "&amp;Task!$A$17&amp;" "," "&amp;LOWER(SUBSTITUTE(SUBSTITUTE(SUBSTITUTE(SUBSTITUTE(A378,"/"," "),"."," "),"\"," "),"_"," "))&amp;" ")),1,0))+IF(Task!$A$18="",0,IF(ISNUMBER(SEARCH(" "&amp;Task!$A$18&amp;" "," "&amp;LOWER(SUBSTITUTE(SUBSTITUTE(SUBSTITUTE(SUBSTITUTE(A378,"/"," "),"."," "),"\"," "),"_"," "))&amp;" ")),1,0))+IF(Task!$A$19="",0,IF(ISNUMBER(SEARCH(" "&amp;Task!$A$19&amp;" "," "&amp;LOWER(SUBSTITUTE(SUBSTITUTE(SUBSTITUTE(SUBSTITUTE(A378,"/"," "),"."," "),"\"," "),"_"," "))&amp;" ")),1,0)))</f>
        <v/>
      </c>
      <c r="I378" s="10">
        <f>IF(OR(E378=0,F378=0,Task!$B$21=0),"",F378/Task!$B$21+0.5*G378+0.25*H378)</f>
        <v/>
      </c>
      <c r="J378" s="5">
        <f>IF(I378="","",I378-ROW()/1000000)</f>
        <v/>
      </c>
      <c r="K378" s="9">
        <f>IF(J378="","",COUNTIF($J$5:$J$404,"&gt;"&amp;J378)+1)</f>
        <v/>
      </c>
    </row>
    <row r="379">
      <c r="A379" s="7" t="n"/>
      <c r="B379" s="7" t="n"/>
      <c r="C379" s="7" t="n"/>
      <c r="D379" s="7" t="n"/>
      <c r="E379" s="5">
        <f>IF(A379="",0,IF(COUNTA(Task!$B$5:$E$5)=0,1,IF(COUNTIF(Task!$B$5:$E$5,B379)&gt;0,1,0)))</f>
        <v/>
      </c>
      <c r="F379" s="9">
        <f>IF(E379=0,0,IF(Task!$A$8="",0,IF(ISNUMBER(SEARCH(" "&amp;Task!$A$8&amp;" "," "&amp;LOWER(D379&amp;" "&amp;C379&amp;" "&amp;LOWER(SUBSTITUTE(SUBSTITUTE(SUBSTITUTE(SUBSTITUTE(A379,"/"," "),"."," "),"\"," "),"_"," ")))&amp;" ")),1,0))+IF(Task!$A$9="",0,IF(ISNUMBER(SEARCH(" "&amp;Task!$A$9&amp;" "," "&amp;LOWER(D379&amp;" "&amp;C379&amp;" "&amp;LOWER(SUBSTITUTE(SUBSTITUTE(SUBSTITUTE(SUBSTITUTE(A379,"/"," "),"."," "),"\"," "),"_"," ")))&amp;" ")),1,0))+IF(Task!$A$10="",0,IF(ISNUMBER(SEARCH(" "&amp;Task!$A$10&amp;" "," "&amp;LOWER(D379&amp;" "&amp;C379&amp;" "&amp;LOWER(SUBSTITUTE(SUBSTITUTE(SUBSTITUTE(SUBSTITUTE(A379,"/"," "),"."," "),"\"," "),"_"," ")))&amp;" ")),1,0))+IF(Task!$A$11="",0,IF(ISNUMBER(SEARCH(" "&amp;Task!$A$11&amp;" "," "&amp;LOWER(D379&amp;" "&amp;C379&amp;" "&amp;LOWER(SUBSTITUTE(SUBSTITUTE(SUBSTITUTE(SUBSTITUTE(A379,"/"," "),"."," "),"\"," "),"_"," ")))&amp;" ")),1,0))+IF(Task!$A$12="",0,IF(ISNUMBER(SEARCH(" "&amp;Task!$A$12&amp;" "," "&amp;LOWER(D379&amp;" "&amp;C379&amp;" "&amp;LOWER(SUBSTITUTE(SUBSTITUTE(SUBSTITUTE(SUBSTITUTE(A379,"/"," "),"."," "),"\"," "),"_"," ")))&amp;" ")),1,0))+IF(Task!$A$13="",0,IF(ISNUMBER(SEARCH(" "&amp;Task!$A$13&amp;" "," "&amp;LOWER(D379&amp;" "&amp;C379&amp;" "&amp;LOWER(SUBSTITUTE(SUBSTITUTE(SUBSTITUTE(SUBSTITUTE(A379,"/"," "),"."," "),"\"," "),"_"," ")))&amp;" ")),1,0))+IF(Task!$A$14="",0,IF(ISNUMBER(SEARCH(" "&amp;Task!$A$14&amp;" "," "&amp;LOWER(D379&amp;" "&amp;C379&amp;" "&amp;LOWER(SUBSTITUTE(SUBSTITUTE(SUBSTITUTE(SUBSTITUTE(A379,"/"," "),"."," "),"\"," "),"_"," ")))&amp;" ")),1,0))+IF(Task!$A$15="",0,IF(ISNUMBER(SEARCH(" "&amp;Task!$A$15&amp;" "," "&amp;LOWER(D379&amp;" "&amp;C379&amp;" "&amp;LOWER(SUBSTITUTE(SUBSTITUTE(SUBSTITUTE(SUBSTITUTE(A379,"/"," "),"."," "),"\"," "),"_"," ")))&amp;" ")),1,0))+IF(Task!$A$16="",0,IF(ISNUMBER(SEARCH(" "&amp;Task!$A$16&amp;" "," "&amp;LOWER(D379&amp;" "&amp;C379&amp;" "&amp;LOWER(SUBSTITUTE(SUBSTITUTE(SUBSTITUTE(SUBSTITUTE(A379,"/"," "),"."," "),"\"," "),"_"," ")))&amp;" ")),1,0))+IF(Task!$A$17="",0,IF(ISNUMBER(SEARCH(" "&amp;Task!$A$17&amp;" "," "&amp;LOWER(D379&amp;" "&amp;C379&amp;" "&amp;LOWER(SUBSTITUTE(SUBSTITUTE(SUBSTITUTE(SUBSTITUTE(A379,"/"," "),"."," "),"\"," "),"_"," ")))&amp;" ")),1,0))+IF(Task!$A$18="",0,IF(ISNUMBER(SEARCH(" "&amp;Task!$A$18&amp;" "," "&amp;LOWER(D379&amp;" "&amp;C379&amp;" "&amp;LOWER(SUBSTITUTE(SUBSTITUTE(SUBSTITUTE(SUBSTITUTE(A379,"/"," "),"."," "),"\"," "),"_"," ")))&amp;" ")),1,0))+IF(Task!$A$19="",0,IF(ISNUMBER(SEARCH(" "&amp;Task!$A$19&amp;" "," "&amp;LOWER(D379&amp;" "&amp;C379&amp;" "&amp;LOWER(SUBSTITUTE(SUBSTITUTE(SUBSTITUTE(SUBSTITUTE(A379,"/"," "),"."," "),"\"," "),"_"," ")))&amp;" ")),1,0)))</f>
        <v/>
      </c>
      <c r="G379" s="9">
        <f>IF(E379=0,0,IF(Task!$A$8="",0,IF(ISNUMBER(SEARCH(" "&amp;Task!$A$8&amp;" "," "&amp;LOWER(C379)&amp;" ")),1,0))+IF(Task!$A$9="",0,IF(ISNUMBER(SEARCH(" "&amp;Task!$A$9&amp;" "," "&amp;LOWER(C379)&amp;" ")),1,0))+IF(Task!$A$10="",0,IF(ISNUMBER(SEARCH(" "&amp;Task!$A$10&amp;" "," "&amp;LOWER(C379)&amp;" ")),1,0))+IF(Task!$A$11="",0,IF(ISNUMBER(SEARCH(" "&amp;Task!$A$11&amp;" "," "&amp;LOWER(C379)&amp;" ")),1,0))+IF(Task!$A$12="",0,IF(ISNUMBER(SEARCH(" "&amp;Task!$A$12&amp;" "," "&amp;LOWER(C379)&amp;" ")),1,0))+IF(Task!$A$13="",0,IF(ISNUMBER(SEARCH(" "&amp;Task!$A$13&amp;" "," "&amp;LOWER(C379)&amp;" ")),1,0))+IF(Task!$A$14="",0,IF(ISNUMBER(SEARCH(" "&amp;Task!$A$14&amp;" "," "&amp;LOWER(C379)&amp;" ")),1,0))+IF(Task!$A$15="",0,IF(ISNUMBER(SEARCH(" "&amp;Task!$A$15&amp;" "," "&amp;LOWER(C379)&amp;" ")),1,0))+IF(Task!$A$16="",0,IF(ISNUMBER(SEARCH(" "&amp;Task!$A$16&amp;" "," "&amp;LOWER(C379)&amp;" ")),1,0))+IF(Task!$A$17="",0,IF(ISNUMBER(SEARCH(" "&amp;Task!$A$17&amp;" "," "&amp;LOWER(C379)&amp;" ")),1,0))+IF(Task!$A$18="",0,IF(ISNUMBER(SEARCH(" "&amp;Task!$A$18&amp;" "," "&amp;LOWER(C379)&amp;" ")),1,0))+IF(Task!$A$19="",0,IF(ISNUMBER(SEARCH(" "&amp;Task!$A$19&amp;" "," "&amp;LOWER(C379)&amp;" ")),1,0)))</f>
        <v/>
      </c>
      <c r="H379" s="9">
        <f>IF(E379=0,0,IF(Task!$A$8="",0,IF(ISNUMBER(SEARCH(" "&amp;Task!$A$8&amp;" "," "&amp;LOWER(SUBSTITUTE(SUBSTITUTE(SUBSTITUTE(SUBSTITUTE(A379,"/"," "),"."," "),"\"," "),"_"," "))&amp;" ")),1,0))+IF(Task!$A$9="",0,IF(ISNUMBER(SEARCH(" "&amp;Task!$A$9&amp;" "," "&amp;LOWER(SUBSTITUTE(SUBSTITUTE(SUBSTITUTE(SUBSTITUTE(A379,"/"," "),"."," "),"\"," "),"_"," "))&amp;" ")),1,0))+IF(Task!$A$10="",0,IF(ISNUMBER(SEARCH(" "&amp;Task!$A$10&amp;" "," "&amp;LOWER(SUBSTITUTE(SUBSTITUTE(SUBSTITUTE(SUBSTITUTE(A379,"/"," "),"."," "),"\"," "),"_"," "))&amp;" ")),1,0))+IF(Task!$A$11="",0,IF(ISNUMBER(SEARCH(" "&amp;Task!$A$11&amp;" "," "&amp;LOWER(SUBSTITUTE(SUBSTITUTE(SUBSTITUTE(SUBSTITUTE(A379,"/"," "),"."," "),"\"," "),"_"," "))&amp;" ")),1,0))+IF(Task!$A$12="",0,IF(ISNUMBER(SEARCH(" "&amp;Task!$A$12&amp;" "," "&amp;LOWER(SUBSTITUTE(SUBSTITUTE(SUBSTITUTE(SUBSTITUTE(A379,"/"," "),"."," "),"\"," "),"_"," "))&amp;" ")),1,0))+IF(Task!$A$13="",0,IF(ISNUMBER(SEARCH(" "&amp;Task!$A$13&amp;" "," "&amp;LOWER(SUBSTITUTE(SUBSTITUTE(SUBSTITUTE(SUBSTITUTE(A379,"/"," "),"."," "),"\"," "),"_"," "))&amp;" ")),1,0))+IF(Task!$A$14="",0,IF(ISNUMBER(SEARCH(" "&amp;Task!$A$14&amp;" "," "&amp;LOWER(SUBSTITUTE(SUBSTITUTE(SUBSTITUTE(SUBSTITUTE(A379,"/"," "),"."," "),"\"," "),"_"," "))&amp;" ")),1,0))+IF(Task!$A$15="",0,IF(ISNUMBER(SEARCH(" "&amp;Task!$A$15&amp;" "," "&amp;LOWER(SUBSTITUTE(SUBSTITUTE(SUBSTITUTE(SUBSTITUTE(A379,"/"," "),"."," "),"\"," "),"_"," "))&amp;" ")),1,0))+IF(Task!$A$16="",0,IF(ISNUMBER(SEARCH(" "&amp;Task!$A$16&amp;" "," "&amp;LOWER(SUBSTITUTE(SUBSTITUTE(SUBSTITUTE(SUBSTITUTE(A379,"/"," "),"."," "),"\"," "),"_"," "))&amp;" ")),1,0))+IF(Task!$A$17="",0,IF(ISNUMBER(SEARCH(" "&amp;Task!$A$17&amp;" "," "&amp;LOWER(SUBSTITUTE(SUBSTITUTE(SUBSTITUTE(SUBSTITUTE(A379,"/"," "),"."," "),"\"," "),"_"," "))&amp;" ")),1,0))+IF(Task!$A$18="",0,IF(ISNUMBER(SEARCH(" "&amp;Task!$A$18&amp;" "," "&amp;LOWER(SUBSTITUTE(SUBSTITUTE(SUBSTITUTE(SUBSTITUTE(A379,"/"," "),"."," "),"\"," "),"_"," "))&amp;" ")),1,0))+IF(Task!$A$19="",0,IF(ISNUMBER(SEARCH(" "&amp;Task!$A$19&amp;" "," "&amp;LOWER(SUBSTITUTE(SUBSTITUTE(SUBSTITUTE(SUBSTITUTE(A379,"/"," "),"."," "),"\"," "),"_"," "))&amp;" ")),1,0)))</f>
        <v/>
      </c>
      <c r="I379" s="10">
        <f>IF(OR(E379=0,F379=0,Task!$B$21=0),"",F379/Task!$B$21+0.5*G379+0.25*H379)</f>
        <v/>
      </c>
      <c r="J379" s="5">
        <f>IF(I379="","",I379-ROW()/1000000)</f>
        <v/>
      </c>
      <c r="K379" s="9">
        <f>IF(J379="","",COUNTIF($J$5:$J$404,"&gt;"&amp;J379)+1)</f>
        <v/>
      </c>
    </row>
    <row r="380">
      <c r="A380" s="7" t="n"/>
      <c r="B380" s="7" t="n"/>
      <c r="C380" s="7" t="n"/>
      <c r="D380" s="7" t="n"/>
      <c r="E380" s="5">
        <f>IF(A380="",0,IF(COUNTA(Task!$B$5:$E$5)=0,1,IF(COUNTIF(Task!$B$5:$E$5,B380)&gt;0,1,0)))</f>
        <v/>
      </c>
      <c r="F380" s="9">
        <f>IF(E380=0,0,IF(Task!$A$8="",0,IF(ISNUMBER(SEARCH(" "&amp;Task!$A$8&amp;" "," "&amp;LOWER(D380&amp;" "&amp;C380&amp;" "&amp;LOWER(SUBSTITUTE(SUBSTITUTE(SUBSTITUTE(SUBSTITUTE(A380,"/"," "),"."," "),"\"," "),"_"," ")))&amp;" ")),1,0))+IF(Task!$A$9="",0,IF(ISNUMBER(SEARCH(" "&amp;Task!$A$9&amp;" "," "&amp;LOWER(D380&amp;" "&amp;C380&amp;" "&amp;LOWER(SUBSTITUTE(SUBSTITUTE(SUBSTITUTE(SUBSTITUTE(A380,"/"," "),"."," "),"\"," "),"_"," ")))&amp;" ")),1,0))+IF(Task!$A$10="",0,IF(ISNUMBER(SEARCH(" "&amp;Task!$A$10&amp;" "," "&amp;LOWER(D380&amp;" "&amp;C380&amp;" "&amp;LOWER(SUBSTITUTE(SUBSTITUTE(SUBSTITUTE(SUBSTITUTE(A380,"/"," "),"."," "),"\"," "),"_"," ")))&amp;" ")),1,0))+IF(Task!$A$11="",0,IF(ISNUMBER(SEARCH(" "&amp;Task!$A$11&amp;" "," "&amp;LOWER(D380&amp;" "&amp;C380&amp;" "&amp;LOWER(SUBSTITUTE(SUBSTITUTE(SUBSTITUTE(SUBSTITUTE(A380,"/"," "),"."," "),"\"," "),"_"," ")))&amp;" ")),1,0))+IF(Task!$A$12="",0,IF(ISNUMBER(SEARCH(" "&amp;Task!$A$12&amp;" "," "&amp;LOWER(D380&amp;" "&amp;C380&amp;" "&amp;LOWER(SUBSTITUTE(SUBSTITUTE(SUBSTITUTE(SUBSTITUTE(A380,"/"," "),"."," "),"\"," "),"_"," ")))&amp;" ")),1,0))+IF(Task!$A$13="",0,IF(ISNUMBER(SEARCH(" "&amp;Task!$A$13&amp;" "," "&amp;LOWER(D380&amp;" "&amp;C380&amp;" "&amp;LOWER(SUBSTITUTE(SUBSTITUTE(SUBSTITUTE(SUBSTITUTE(A380,"/"," "),"."," "),"\"," "),"_"," ")))&amp;" ")),1,0))+IF(Task!$A$14="",0,IF(ISNUMBER(SEARCH(" "&amp;Task!$A$14&amp;" "," "&amp;LOWER(D380&amp;" "&amp;C380&amp;" "&amp;LOWER(SUBSTITUTE(SUBSTITUTE(SUBSTITUTE(SUBSTITUTE(A380,"/"," "),"."," "),"\"," "),"_"," ")))&amp;" ")),1,0))+IF(Task!$A$15="",0,IF(ISNUMBER(SEARCH(" "&amp;Task!$A$15&amp;" "," "&amp;LOWER(D380&amp;" "&amp;C380&amp;" "&amp;LOWER(SUBSTITUTE(SUBSTITUTE(SUBSTITUTE(SUBSTITUTE(A380,"/"," "),"."," "),"\"," "),"_"," ")))&amp;" ")),1,0))+IF(Task!$A$16="",0,IF(ISNUMBER(SEARCH(" "&amp;Task!$A$16&amp;" "," "&amp;LOWER(D380&amp;" "&amp;C380&amp;" "&amp;LOWER(SUBSTITUTE(SUBSTITUTE(SUBSTITUTE(SUBSTITUTE(A380,"/"," "),"."," "),"\"," "),"_"," ")))&amp;" ")),1,0))+IF(Task!$A$17="",0,IF(ISNUMBER(SEARCH(" "&amp;Task!$A$17&amp;" "," "&amp;LOWER(D380&amp;" "&amp;C380&amp;" "&amp;LOWER(SUBSTITUTE(SUBSTITUTE(SUBSTITUTE(SUBSTITUTE(A380,"/"," "),"."," "),"\"," "),"_"," ")))&amp;" ")),1,0))+IF(Task!$A$18="",0,IF(ISNUMBER(SEARCH(" "&amp;Task!$A$18&amp;" "," "&amp;LOWER(D380&amp;" "&amp;C380&amp;" "&amp;LOWER(SUBSTITUTE(SUBSTITUTE(SUBSTITUTE(SUBSTITUTE(A380,"/"," "),"."," "),"\"," "),"_"," ")))&amp;" ")),1,0))+IF(Task!$A$19="",0,IF(ISNUMBER(SEARCH(" "&amp;Task!$A$19&amp;" "," "&amp;LOWER(D380&amp;" "&amp;C380&amp;" "&amp;LOWER(SUBSTITUTE(SUBSTITUTE(SUBSTITUTE(SUBSTITUTE(A380,"/"," "),"."," "),"\"," "),"_"," ")))&amp;" ")),1,0)))</f>
        <v/>
      </c>
      <c r="G380" s="9">
        <f>IF(E380=0,0,IF(Task!$A$8="",0,IF(ISNUMBER(SEARCH(" "&amp;Task!$A$8&amp;" "," "&amp;LOWER(C380)&amp;" ")),1,0))+IF(Task!$A$9="",0,IF(ISNUMBER(SEARCH(" "&amp;Task!$A$9&amp;" "," "&amp;LOWER(C380)&amp;" ")),1,0))+IF(Task!$A$10="",0,IF(ISNUMBER(SEARCH(" "&amp;Task!$A$10&amp;" "," "&amp;LOWER(C380)&amp;" ")),1,0))+IF(Task!$A$11="",0,IF(ISNUMBER(SEARCH(" "&amp;Task!$A$11&amp;" "," "&amp;LOWER(C380)&amp;" ")),1,0))+IF(Task!$A$12="",0,IF(ISNUMBER(SEARCH(" "&amp;Task!$A$12&amp;" "," "&amp;LOWER(C380)&amp;" ")),1,0))+IF(Task!$A$13="",0,IF(ISNUMBER(SEARCH(" "&amp;Task!$A$13&amp;" "," "&amp;LOWER(C380)&amp;" ")),1,0))+IF(Task!$A$14="",0,IF(ISNUMBER(SEARCH(" "&amp;Task!$A$14&amp;" "," "&amp;LOWER(C380)&amp;" ")),1,0))+IF(Task!$A$15="",0,IF(ISNUMBER(SEARCH(" "&amp;Task!$A$15&amp;" "," "&amp;LOWER(C380)&amp;" ")),1,0))+IF(Task!$A$16="",0,IF(ISNUMBER(SEARCH(" "&amp;Task!$A$16&amp;" "," "&amp;LOWER(C380)&amp;" ")),1,0))+IF(Task!$A$17="",0,IF(ISNUMBER(SEARCH(" "&amp;Task!$A$17&amp;" "," "&amp;LOWER(C380)&amp;" ")),1,0))+IF(Task!$A$18="",0,IF(ISNUMBER(SEARCH(" "&amp;Task!$A$18&amp;" "," "&amp;LOWER(C380)&amp;" ")),1,0))+IF(Task!$A$19="",0,IF(ISNUMBER(SEARCH(" "&amp;Task!$A$19&amp;" "," "&amp;LOWER(C380)&amp;" ")),1,0)))</f>
        <v/>
      </c>
      <c r="H380" s="9">
        <f>IF(E380=0,0,IF(Task!$A$8="",0,IF(ISNUMBER(SEARCH(" "&amp;Task!$A$8&amp;" "," "&amp;LOWER(SUBSTITUTE(SUBSTITUTE(SUBSTITUTE(SUBSTITUTE(A380,"/"," "),"."," "),"\"," "),"_"," "))&amp;" ")),1,0))+IF(Task!$A$9="",0,IF(ISNUMBER(SEARCH(" "&amp;Task!$A$9&amp;" "," "&amp;LOWER(SUBSTITUTE(SUBSTITUTE(SUBSTITUTE(SUBSTITUTE(A380,"/"," "),"."," "),"\"," "),"_"," "))&amp;" ")),1,0))+IF(Task!$A$10="",0,IF(ISNUMBER(SEARCH(" "&amp;Task!$A$10&amp;" "," "&amp;LOWER(SUBSTITUTE(SUBSTITUTE(SUBSTITUTE(SUBSTITUTE(A380,"/"," "),"."," "),"\"," "),"_"," "))&amp;" ")),1,0))+IF(Task!$A$11="",0,IF(ISNUMBER(SEARCH(" "&amp;Task!$A$11&amp;" "," "&amp;LOWER(SUBSTITUTE(SUBSTITUTE(SUBSTITUTE(SUBSTITUTE(A380,"/"," "),"."," "),"\"," "),"_"," "))&amp;" ")),1,0))+IF(Task!$A$12="",0,IF(ISNUMBER(SEARCH(" "&amp;Task!$A$12&amp;" "," "&amp;LOWER(SUBSTITUTE(SUBSTITUTE(SUBSTITUTE(SUBSTITUTE(A380,"/"," "),"."," "),"\"," "),"_"," "))&amp;" ")),1,0))+IF(Task!$A$13="",0,IF(ISNUMBER(SEARCH(" "&amp;Task!$A$13&amp;" "," "&amp;LOWER(SUBSTITUTE(SUBSTITUTE(SUBSTITUTE(SUBSTITUTE(A380,"/"," "),"."," "),"\"," "),"_"," "))&amp;" ")),1,0))+IF(Task!$A$14="",0,IF(ISNUMBER(SEARCH(" "&amp;Task!$A$14&amp;" "," "&amp;LOWER(SUBSTITUTE(SUBSTITUTE(SUBSTITUTE(SUBSTITUTE(A380,"/"," "),"."," "),"\"," "),"_"," "))&amp;" ")),1,0))+IF(Task!$A$15="",0,IF(ISNUMBER(SEARCH(" "&amp;Task!$A$15&amp;" "," "&amp;LOWER(SUBSTITUTE(SUBSTITUTE(SUBSTITUTE(SUBSTITUTE(A380,"/"," "),"."," "),"\"," "),"_"," "))&amp;" ")),1,0))+IF(Task!$A$16="",0,IF(ISNUMBER(SEARCH(" "&amp;Task!$A$16&amp;" "," "&amp;LOWER(SUBSTITUTE(SUBSTITUTE(SUBSTITUTE(SUBSTITUTE(A380,"/"," "),"."," "),"\"," "),"_"," "))&amp;" ")),1,0))+IF(Task!$A$17="",0,IF(ISNUMBER(SEARCH(" "&amp;Task!$A$17&amp;" "," "&amp;LOWER(SUBSTITUTE(SUBSTITUTE(SUBSTITUTE(SUBSTITUTE(A380,"/"," "),"."," "),"\"," "),"_"," "))&amp;" ")),1,0))+IF(Task!$A$18="",0,IF(ISNUMBER(SEARCH(" "&amp;Task!$A$18&amp;" "," "&amp;LOWER(SUBSTITUTE(SUBSTITUTE(SUBSTITUTE(SUBSTITUTE(A380,"/"," "),"."," "),"\"," "),"_"," "))&amp;" ")),1,0))+IF(Task!$A$19="",0,IF(ISNUMBER(SEARCH(" "&amp;Task!$A$19&amp;" "," "&amp;LOWER(SUBSTITUTE(SUBSTITUTE(SUBSTITUTE(SUBSTITUTE(A380,"/"," "),"."," "),"\"," "),"_"," "))&amp;" ")),1,0)))</f>
        <v/>
      </c>
      <c r="I380" s="10">
        <f>IF(OR(E380=0,F380=0,Task!$B$21=0),"",F380/Task!$B$21+0.5*G380+0.25*H380)</f>
        <v/>
      </c>
      <c r="J380" s="5">
        <f>IF(I380="","",I380-ROW()/1000000)</f>
        <v/>
      </c>
      <c r="K380" s="9">
        <f>IF(J380="","",COUNTIF($J$5:$J$404,"&gt;"&amp;J380)+1)</f>
        <v/>
      </c>
    </row>
    <row r="381">
      <c r="A381" s="7" t="n"/>
      <c r="B381" s="7" t="n"/>
      <c r="C381" s="7" t="n"/>
      <c r="D381" s="7" t="n"/>
      <c r="E381" s="5">
        <f>IF(A381="",0,IF(COUNTA(Task!$B$5:$E$5)=0,1,IF(COUNTIF(Task!$B$5:$E$5,B381)&gt;0,1,0)))</f>
        <v/>
      </c>
      <c r="F381" s="9">
        <f>IF(E381=0,0,IF(Task!$A$8="",0,IF(ISNUMBER(SEARCH(" "&amp;Task!$A$8&amp;" "," "&amp;LOWER(D381&amp;" "&amp;C381&amp;" "&amp;LOWER(SUBSTITUTE(SUBSTITUTE(SUBSTITUTE(SUBSTITUTE(A381,"/"," "),"."," "),"\"," "),"_"," ")))&amp;" ")),1,0))+IF(Task!$A$9="",0,IF(ISNUMBER(SEARCH(" "&amp;Task!$A$9&amp;" "," "&amp;LOWER(D381&amp;" "&amp;C381&amp;" "&amp;LOWER(SUBSTITUTE(SUBSTITUTE(SUBSTITUTE(SUBSTITUTE(A381,"/"," "),"."," "),"\"," "),"_"," ")))&amp;" ")),1,0))+IF(Task!$A$10="",0,IF(ISNUMBER(SEARCH(" "&amp;Task!$A$10&amp;" "," "&amp;LOWER(D381&amp;" "&amp;C381&amp;" "&amp;LOWER(SUBSTITUTE(SUBSTITUTE(SUBSTITUTE(SUBSTITUTE(A381,"/"," "),"."," "),"\"," "),"_"," ")))&amp;" ")),1,0))+IF(Task!$A$11="",0,IF(ISNUMBER(SEARCH(" "&amp;Task!$A$11&amp;" "," "&amp;LOWER(D381&amp;" "&amp;C381&amp;" "&amp;LOWER(SUBSTITUTE(SUBSTITUTE(SUBSTITUTE(SUBSTITUTE(A381,"/"," "),"."," "),"\"," "),"_"," ")))&amp;" ")),1,0))+IF(Task!$A$12="",0,IF(ISNUMBER(SEARCH(" "&amp;Task!$A$12&amp;" "," "&amp;LOWER(D381&amp;" "&amp;C381&amp;" "&amp;LOWER(SUBSTITUTE(SUBSTITUTE(SUBSTITUTE(SUBSTITUTE(A381,"/"," "),"."," "),"\"," "),"_"," ")))&amp;" ")),1,0))+IF(Task!$A$13="",0,IF(ISNUMBER(SEARCH(" "&amp;Task!$A$13&amp;" "," "&amp;LOWER(D381&amp;" "&amp;C381&amp;" "&amp;LOWER(SUBSTITUTE(SUBSTITUTE(SUBSTITUTE(SUBSTITUTE(A381,"/"," "),"."," "),"\"," "),"_"," ")))&amp;" ")),1,0))+IF(Task!$A$14="",0,IF(ISNUMBER(SEARCH(" "&amp;Task!$A$14&amp;" "," "&amp;LOWER(D381&amp;" "&amp;C381&amp;" "&amp;LOWER(SUBSTITUTE(SUBSTITUTE(SUBSTITUTE(SUBSTITUTE(A381,"/"," "),"."," "),"\"," "),"_"," ")))&amp;" ")),1,0))+IF(Task!$A$15="",0,IF(ISNUMBER(SEARCH(" "&amp;Task!$A$15&amp;" "," "&amp;LOWER(D381&amp;" "&amp;C381&amp;" "&amp;LOWER(SUBSTITUTE(SUBSTITUTE(SUBSTITUTE(SUBSTITUTE(A381,"/"," "),"."," "),"\"," "),"_"," ")))&amp;" ")),1,0))+IF(Task!$A$16="",0,IF(ISNUMBER(SEARCH(" "&amp;Task!$A$16&amp;" "," "&amp;LOWER(D381&amp;" "&amp;C381&amp;" "&amp;LOWER(SUBSTITUTE(SUBSTITUTE(SUBSTITUTE(SUBSTITUTE(A381,"/"," "),"."," "),"\"," "),"_"," ")))&amp;" ")),1,0))+IF(Task!$A$17="",0,IF(ISNUMBER(SEARCH(" "&amp;Task!$A$17&amp;" "," "&amp;LOWER(D381&amp;" "&amp;C381&amp;" "&amp;LOWER(SUBSTITUTE(SUBSTITUTE(SUBSTITUTE(SUBSTITUTE(A381,"/"," "),"."," "),"\"," "),"_"," ")))&amp;" ")),1,0))+IF(Task!$A$18="",0,IF(ISNUMBER(SEARCH(" "&amp;Task!$A$18&amp;" "," "&amp;LOWER(D381&amp;" "&amp;C381&amp;" "&amp;LOWER(SUBSTITUTE(SUBSTITUTE(SUBSTITUTE(SUBSTITUTE(A381,"/"," "),"."," "),"\"," "),"_"," ")))&amp;" ")),1,0))+IF(Task!$A$19="",0,IF(ISNUMBER(SEARCH(" "&amp;Task!$A$19&amp;" "," "&amp;LOWER(D381&amp;" "&amp;C381&amp;" "&amp;LOWER(SUBSTITUTE(SUBSTITUTE(SUBSTITUTE(SUBSTITUTE(A381,"/"," "),"."," "),"\"," "),"_"," ")))&amp;" ")),1,0)))</f>
        <v/>
      </c>
      <c r="G381" s="9">
        <f>IF(E381=0,0,IF(Task!$A$8="",0,IF(ISNUMBER(SEARCH(" "&amp;Task!$A$8&amp;" "," "&amp;LOWER(C381)&amp;" ")),1,0))+IF(Task!$A$9="",0,IF(ISNUMBER(SEARCH(" "&amp;Task!$A$9&amp;" "," "&amp;LOWER(C381)&amp;" ")),1,0))+IF(Task!$A$10="",0,IF(ISNUMBER(SEARCH(" "&amp;Task!$A$10&amp;" "," "&amp;LOWER(C381)&amp;" ")),1,0))+IF(Task!$A$11="",0,IF(ISNUMBER(SEARCH(" "&amp;Task!$A$11&amp;" "," "&amp;LOWER(C381)&amp;" ")),1,0))+IF(Task!$A$12="",0,IF(ISNUMBER(SEARCH(" "&amp;Task!$A$12&amp;" "," "&amp;LOWER(C381)&amp;" ")),1,0))+IF(Task!$A$13="",0,IF(ISNUMBER(SEARCH(" "&amp;Task!$A$13&amp;" "," "&amp;LOWER(C381)&amp;" ")),1,0))+IF(Task!$A$14="",0,IF(ISNUMBER(SEARCH(" "&amp;Task!$A$14&amp;" "," "&amp;LOWER(C381)&amp;" ")),1,0))+IF(Task!$A$15="",0,IF(ISNUMBER(SEARCH(" "&amp;Task!$A$15&amp;" "," "&amp;LOWER(C381)&amp;" ")),1,0))+IF(Task!$A$16="",0,IF(ISNUMBER(SEARCH(" "&amp;Task!$A$16&amp;" "," "&amp;LOWER(C381)&amp;" ")),1,0))+IF(Task!$A$17="",0,IF(ISNUMBER(SEARCH(" "&amp;Task!$A$17&amp;" "," "&amp;LOWER(C381)&amp;" ")),1,0))+IF(Task!$A$18="",0,IF(ISNUMBER(SEARCH(" "&amp;Task!$A$18&amp;" "," "&amp;LOWER(C381)&amp;" ")),1,0))+IF(Task!$A$19="",0,IF(ISNUMBER(SEARCH(" "&amp;Task!$A$19&amp;" "," "&amp;LOWER(C381)&amp;" ")),1,0)))</f>
        <v/>
      </c>
      <c r="H381" s="9">
        <f>IF(E381=0,0,IF(Task!$A$8="",0,IF(ISNUMBER(SEARCH(" "&amp;Task!$A$8&amp;" "," "&amp;LOWER(SUBSTITUTE(SUBSTITUTE(SUBSTITUTE(SUBSTITUTE(A381,"/"," "),"."," "),"\"," "),"_"," "))&amp;" ")),1,0))+IF(Task!$A$9="",0,IF(ISNUMBER(SEARCH(" "&amp;Task!$A$9&amp;" "," "&amp;LOWER(SUBSTITUTE(SUBSTITUTE(SUBSTITUTE(SUBSTITUTE(A381,"/"," "),"."," "),"\"," "),"_"," "))&amp;" ")),1,0))+IF(Task!$A$10="",0,IF(ISNUMBER(SEARCH(" "&amp;Task!$A$10&amp;" "," "&amp;LOWER(SUBSTITUTE(SUBSTITUTE(SUBSTITUTE(SUBSTITUTE(A381,"/"," "),"."," "),"\"," "),"_"," "))&amp;" ")),1,0))+IF(Task!$A$11="",0,IF(ISNUMBER(SEARCH(" "&amp;Task!$A$11&amp;" "," "&amp;LOWER(SUBSTITUTE(SUBSTITUTE(SUBSTITUTE(SUBSTITUTE(A381,"/"," "),"."," "),"\"," "),"_"," "))&amp;" ")),1,0))+IF(Task!$A$12="",0,IF(ISNUMBER(SEARCH(" "&amp;Task!$A$12&amp;" "," "&amp;LOWER(SUBSTITUTE(SUBSTITUTE(SUBSTITUTE(SUBSTITUTE(A381,"/"," "),"."," "),"\"," "),"_"," "))&amp;" ")),1,0))+IF(Task!$A$13="",0,IF(ISNUMBER(SEARCH(" "&amp;Task!$A$13&amp;" "," "&amp;LOWER(SUBSTITUTE(SUBSTITUTE(SUBSTITUTE(SUBSTITUTE(A381,"/"," "),"."," "),"\"," "),"_"," "))&amp;" ")),1,0))+IF(Task!$A$14="",0,IF(ISNUMBER(SEARCH(" "&amp;Task!$A$14&amp;" "," "&amp;LOWER(SUBSTITUTE(SUBSTITUTE(SUBSTITUTE(SUBSTITUTE(A381,"/"," "),"."," "),"\"," "),"_"," "))&amp;" ")),1,0))+IF(Task!$A$15="",0,IF(ISNUMBER(SEARCH(" "&amp;Task!$A$15&amp;" "," "&amp;LOWER(SUBSTITUTE(SUBSTITUTE(SUBSTITUTE(SUBSTITUTE(A381,"/"," "),"."," "),"\"," "),"_"," "))&amp;" ")),1,0))+IF(Task!$A$16="",0,IF(ISNUMBER(SEARCH(" "&amp;Task!$A$16&amp;" "," "&amp;LOWER(SUBSTITUTE(SUBSTITUTE(SUBSTITUTE(SUBSTITUTE(A381,"/"," "),"."," "),"\"," "),"_"," "))&amp;" ")),1,0))+IF(Task!$A$17="",0,IF(ISNUMBER(SEARCH(" "&amp;Task!$A$17&amp;" "," "&amp;LOWER(SUBSTITUTE(SUBSTITUTE(SUBSTITUTE(SUBSTITUTE(A381,"/"," "),"."," "),"\"," "),"_"," "))&amp;" ")),1,0))+IF(Task!$A$18="",0,IF(ISNUMBER(SEARCH(" "&amp;Task!$A$18&amp;" "," "&amp;LOWER(SUBSTITUTE(SUBSTITUTE(SUBSTITUTE(SUBSTITUTE(A381,"/"," "),"."," "),"\"," "),"_"," "))&amp;" ")),1,0))+IF(Task!$A$19="",0,IF(ISNUMBER(SEARCH(" "&amp;Task!$A$19&amp;" "," "&amp;LOWER(SUBSTITUTE(SUBSTITUTE(SUBSTITUTE(SUBSTITUTE(A381,"/"," "),"."," "),"\"," "),"_"," "))&amp;" ")),1,0)))</f>
        <v/>
      </c>
      <c r="I381" s="10">
        <f>IF(OR(E381=0,F381=0,Task!$B$21=0),"",F381/Task!$B$21+0.5*G381+0.25*H381)</f>
        <v/>
      </c>
      <c r="J381" s="5">
        <f>IF(I381="","",I381-ROW()/1000000)</f>
        <v/>
      </c>
      <c r="K381" s="9">
        <f>IF(J381="","",COUNTIF($J$5:$J$404,"&gt;"&amp;J381)+1)</f>
        <v/>
      </c>
    </row>
    <row r="382">
      <c r="A382" s="7" t="n"/>
      <c r="B382" s="7" t="n"/>
      <c r="C382" s="7" t="n"/>
      <c r="D382" s="7" t="n"/>
      <c r="E382" s="5">
        <f>IF(A382="",0,IF(COUNTA(Task!$B$5:$E$5)=0,1,IF(COUNTIF(Task!$B$5:$E$5,B382)&gt;0,1,0)))</f>
        <v/>
      </c>
      <c r="F382" s="9">
        <f>IF(E382=0,0,IF(Task!$A$8="",0,IF(ISNUMBER(SEARCH(" "&amp;Task!$A$8&amp;" "," "&amp;LOWER(D382&amp;" "&amp;C382&amp;" "&amp;LOWER(SUBSTITUTE(SUBSTITUTE(SUBSTITUTE(SUBSTITUTE(A382,"/"," "),"."," "),"\"," "),"_"," ")))&amp;" ")),1,0))+IF(Task!$A$9="",0,IF(ISNUMBER(SEARCH(" "&amp;Task!$A$9&amp;" "," "&amp;LOWER(D382&amp;" "&amp;C382&amp;" "&amp;LOWER(SUBSTITUTE(SUBSTITUTE(SUBSTITUTE(SUBSTITUTE(A382,"/"," "),"."," "),"\"," "),"_"," ")))&amp;" ")),1,0))+IF(Task!$A$10="",0,IF(ISNUMBER(SEARCH(" "&amp;Task!$A$10&amp;" "," "&amp;LOWER(D382&amp;" "&amp;C382&amp;" "&amp;LOWER(SUBSTITUTE(SUBSTITUTE(SUBSTITUTE(SUBSTITUTE(A382,"/"," "),"."," "),"\"," "),"_"," ")))&amp;" ")),1,0))+IF(Task!$A$11="",0,IF(ISNUMBER(SEARCH(" "&amp;Task!$A$11&amp;" "," "&amp;LOWER(D382&amp;" "&amp;C382&amp;" "&amp;LOWER(SUBSTITUTE(SUBSTITUTE(SUBSTITUTE(SUBSTITUTE(A382,"/"," "),"."," "),"\"," "),"_"," ")))&amp;" ")),1,0))+IF(Task!$A$12="",0,IF(ISNUMBER(SEARCH(" "&amp;Task!$A$12&amp;" "," "&amp;LOWER(D382&amp;" "&amp;C382&amp;" "&amp;LOWER(SUBSTITUTE(SUBSTITUTE(SUBSTITUTE(SUBSTITUTE(A382,"/"," "),"."," "),"\"," "),"_"," ")))&amp;" ")),1,0))+IF(Task!$A$13="",0,IF(ISNUMBER(SEARCH(" "&amp;Task!$A$13&amp;" "," "&amp;LOWER(D382&amp;" "&amp;C382&amp;" "&amp;LOWER(SUBSTITUTE(SUBSTITUTE(SUBSTITUTE(SUBSTITUTE(A382,"/"," "),"."," "),"\"," "),"_"," ")))&amp;" ")),1,0))+IF(Task!$A$14="",0,IF(ISNUMBER(SEARCH(" "&amp;Task!$A$14&amp;" "," "&amp;LOWER(D382&amp;" "&amp;C382&amp;" "&amp;LOWER(SUBSTITUTE(SUBSTITUTE(SUBSTITUTE(SUBSTITUTE(A382,"/"," "),"."," "),"\"," "),"_"," ")))&amp;" ")),1,0))+IF(Task!$A$15="",0,IF(ISNUMBER(SEARCH(" "&amp;Task!$A$15&amp;" "," "&amp;LOWER(D382&amp;" "&amp;C382&amp;" "&amp;LOWER(SUBSTITUTE(SUBSTITUTE(SUBSTITUTE(SUBSTITUTE(A382,"/"," "),"."," "),"\"," "),"_"," ")))&amp;" ")),1,0))+IF(Task!$A$16="",0,IF(ISNUMBER(SEARCH(" "&amp;Task!$A$16&amp;" "," "&amp;LOWER(D382&amp;" "&amp;C382&amp;" "&amp;LOWER(SUBSTITUTE(SUBSTITUTE(SUBSTITUTE(SUBSTITUTE(A382,"/"," "),"."," "),"\"," "),"_"," ")))&amp;" ")),1,0))+IF(Task!$A$17="",0,IF(ISNUMBER(SEARCH(" "&amp;Task!$A$17&amp;" "," "&amp;LOWER(D382&amp;" "&amp;C382&amp;" "&amp;LOWER(SUBSTITUTE(SUBSTITUTE(SUBSTITUTE(SUBSTITUTE(A382,"/"," "),"."," "),"\"," "),"_"," ")))&amp;" ")),1,0))+IF(Task!$A$18="",0,IF(ISNUMBER(SEARCH(" "&amp;Task!$A$18&amp;" "," "&amp;LOWER(D382&amp;" "&amp;C382&amp;" "&amp;LOWER(SUBSTITUTE(SUBSTITUTE(SUBSTITUTE(SUBSTITUTE(A382,"/"," "),"."," "),"\"," "),"_"," ")))&amp;" ")),1,0))+IF(Task!$A$19="",0,IF(ISNUMBER(SEARCH(" "&amp;Task!$A$19&amp;" "," "&amp;LOWER(D382&amp;" "&amp;C382&amp;" "&amp;LOWER(SUBSTITUTE(SUBSTITUTE(SUBSTITUTE(SUBSTITUTE(A382,"/"," "),"."," "),"\"," "),"_"," ")))&amp;" ")),1,0)))</f>
        <v/>
      </c>
      <c r="G382" s="9">
        <f>IF(E382=0,0,IF(Task!$A$8="",0,IF(ISNUMBER(SEARCH(" "&amp;Task!$A$8&amp;" "," "&amp;LOWER(C382)&amp;" ")),1,0))+IF(Task!$A$9="",0,IF(ISNUMBER(SEARCH(" "&amp;Task!$A$9&amp;" "," "&amp;LOWER(C382)&amp;" ")),1,0))+IF(Task!$A$10="",0,IF(ISNUMBER(SEARCH(" "&amp;Task!$A$10&amp;" "," "&amp;LOWER(C382)&amp;" ")),1,0))+IF(Task!$A$11="",0,IF(ISNUMBER(SEARCH(" "&amp;Task!$A$11&amp;" "," "&amp;LOWER(C382)&amp;" ")),1,0))+IF(Task!$A$12="",0,IF(ISNUMBER(SEARCH(" "&amp;Task!$A$12&amp;" "," "&amp;LOWER(C382)&amp;" ")),1,0))+IF(Task!$A$13="",0,IF(ISNUMBER(SEARCH(" "&amp;Task!$A$13&amp;" "," "&amp;LOWER(C382)&amp;" ")),1,0))+IF(Task!$A$14="",0,IF(ISNUMBER(SEARCH(" "&amp;Task!$A$14&amp;" "," "&amp;LOWER(C382)&amp;" ")),1,0))+IF(Task!$A$15="",0,IF(ISNUMBER(SEARCH(" "&amp;Task!$A$15&amp;" "," "&amp;LOWER(C382)&amp;" ")),1,0))+IF(Task!$A$16="",0,IF(ISNUMBER(SEARCH(" "&amp;Task!$A$16&amp;" "," "&amp;LOWER(C382)&amp;" ")),1,0))+IF(Task!$A$17="",0,IF(ISNUMBER(SEARCH(" "&amp;Task!$A$17&amp;" "," "&amp;LOWER(C382)&amp;" ")),1,0))+IF(Task!$A$18="",0,IF(ISNUMBER(SEARCH(" "&amp;Task!$A$18&amp;" "," "&amp;LOWER(C382)&amp;" ")),1,0))+IF(Task!$A$19="",0,IF(ISNUMBER(SEARCH(" "&amp;Task!$A$19&amp;" "," "&amp;LOWER(C382)&amp;" ")),1,0)))</f>
        <v/>
      </c>
      <c r="H382" s="9">
        <f>IF(E382=0,0,IF(Task!$A$8="",0,IF(ISNUMBER(SEARCH(" "&amp;Task!$A$8&amp;" "," "&amp;LOWER(SUBSTITUTE(SUBSTITUTE(SUBSTITUTE(SUBSTITUTE(A382,"/"," "),"."," "),"\"," "),"_"," "))&amp;" ")),1,0))+IF(Task!$A$9="",0,IF(ISNUMBER(SEARCH(" "&amp;Task!$A$9&amp;" "," "&amp;LOWER(SUBSTITUTE(SUBSTITUTE(SUBSTITUTE(SUBSTITUTE(A382,"/"," "),"."," "),"\"," "),"_"," "))&amp;" ")),1,0))+IF(Task!$A$10="",0,IF(ISNUMBER(SEARCH(" "&amp;Task!$A$10&amp;" "," "&amp;LOWER(SUBSTITUTE(SUBSTITUTE(SUBSTITUTE(SUBSTITUTE(A382,"/"," "),"."," "),"\"," "),"_"," "))&amp;" ")),1,0))+IF(Task!$A$11="",0,IF(ISNUMBER(SEARCH(" "&amp;Task!$A$11&amp;" "," "&amp;LOWER(SUBSTITUTE(SUBSTITUTE(SUBSTITUTE(SUBSTITUTE(A382,"/"," "),"."," "),"\"," "),"_"," "))&amp;" ")),1,0))+IF(Task!$A$12="",0,IF(ISNUMBER(SEARCH(" "&amp;Task!$A$12&amp;" "," "&amp;LOWER(SUBSTITUTE(SUBSTITUTE(SUBSTITUTE(SUBSTITUTE(A382,"/"," "),"."," "),"\"," "),"_"," "))&amp;" ")),1,0))+IF(Task!$A$13="",0,IF(ISNUMBER(SEARCH(" "&amp;Task!$A$13&amp;" "," "&amp;LOWER(SUBSTITUTE(SUBSTITUTE(SUBSTITUTE(SUBSTITUTE(A382,"/"," "),"."," "),"\"," "),"_"," "))&amp;" ")),1,0))+IF(Task!$A$14="",0,IF(ISNUMBER(SEARCH(" "&amp;Task!$A$14&amp;" "," "&amp;LOWER(SUBSTITUTE(SUBSTITUTE(SUBSTITUTE(SUBSTITUTE(A382,"/"," "),"."," "),"\"," "),"_"," "))&amp;" ")),1,0))+IF(Task!$A$15="",0,IF(ISNUMBER(SEARCH(" "&amp;Task!$A$15&amp;" "," "&amp;LOWER(SUBSTITUTE(SUBSTITUTE(SUBSTITUTE(SUBSTITUTE(A382,"/"," "),"."," "),"\"," "),"_"," "))&amp;" ")),1,0))+IF(Task!$A$16="",0,IF(ISNUMBER(SEARCH(" "&amp;Task!$A$16&amp;" "," "&amp;LOWER(SUBSTITUTE(SUBSTITUTE(SUBSTITUTE(SUBSTITUTE(A382,"/"," "),"."," "),"\"," "),"_"," "))&amp;" ")),1,0))+IF(Task!$A$17="",0,IF(ISNUMBER(SEARCH(" "&amp;Task!$A$17&amp;" "," "&amp;LOWER(SUBSTITUTE(SUBSTITUTE(SUBSTITUTE(SUBSTITUTE(A382,"/"," "),"."," "),"\"," "),"_"," "))&amp;" ")),1,0))+IF(Task!$A$18="",0,IF(ISNUMBER(SEARCH(" "&amp;Task!$A$18&amp;" "," "&amp;LOWER(SUBSTITUTE(SUBSTITUTE(SUBSTITUTE(SUBSTITUTE(A382,"/"," "),"."," "),"\"," "),"_"," "))&amp;" ")),1,0))+IF(Task!$A$19="",0,IF(ISNUMBER(SEARCH(" "&amp;Task!$A$19&amp;" "," "&amp;LOWER(SUBSTITUTE(SUBSTITUTE(SUBSTITUTE(SUBSTITUTE(A382,"/"," "),"."," "),"\"," "),"_"," "))&amp;" ")),1,0)))</f>
        <v/>
      </c>
      <c r="I382" s="10">
        <f>IF(OR(E382=0,F382=0,Task!$B$21=0),"",F382/Task!$B$21+0.5*G382+0.25*H382)</f>
        <v/>
      </c>
      <c r="J382" s="5">
        <f>IF(I382="","",I382-ROW()/1000000)</f>
        <v/>
      </c>
      <c r="K382" s="9">
        <f>IF(J382="","",COUNTIF($J$5:$J$404,"&gt;"&amp;J382)+1)</f>
        <v/>
      </c>
    </row>
    <row r="383">
      <c r="A383" s="7" t="n"/>
      <c r="B383" s="7" t="n"/>
      <c r="C383" s="7" t="n"/>
      <c r="D383" s="7" t="n"/>
      <c r="E383" s="5">
        <f>IF(A383="",0,IF(COUNTA(Task!$B$5:$E$5)=0,1,IF(COUNTIF(Task!$B$5:$E$5,B383)&gt;0,1,0)))</f>
        <v/>
      </c>
      <c r="F383" s="9">
        <f>IF(E383=0,0,IF(Task!$A$8="",0,IF(ISNUMBER(SEARCH(" "&amp;Task!$A$8&amp;" "," "&amp;LOWER(D383&amp;" "&amp;C383&amp;" "&amp;LOWER(SUBSTITUTE(SUBSTITUTE(SUBSTITUTE(SUBSTITUTE(A383,"/"," "),"."," "),"\"," "),"_"," ")))&amp;" ")),1,0))+IF(Task!$A$9="",0,IF(ISNUMBER(SEARCH(" "&amp;Task!$A$9&amp;" "," "&amp;LOWER(D383&amp;" "&amp;C383&amp;" "&amp;LOWER(SUBSTITUTE(SUBSTITUTE(SUBSTITUTE(SUBSTITUTE(A383,"/"," "),"."," "),"\"," "),"_"," ")))&amp;" ")),1,0))+IF(Task!$A$10="",0,IF(ISNUMBER(SEARCH(" "&amp;Task!$A$10&amp;" "," "&amp;LOWER(D383&amp;" "&amp;C383&amp;" "&amp;LOWER(SUBSTITUTE(SUBSTITUTE(SUBSTITUTE(SUBSTITUTE(A383,"/"," "),"."," "),"\"," "),"_"," ")))&amp;" ")),1,0))+IF(Task!$A$11="",0,IF(ISNUMBER(SEARCH(" "&amp;Task!$A$11&amp;" "," "&amp;LOWER(D383&amp;" "&amp;C383&amp;" "&amp;LOWER(SUBSTITUTE(SUBSTITUTE(SUBSTITUTE(SUBSTITUTE(A383,"/"," "),"."," "),"\"," "),"_"," ")))&amp;" ")),1,0))+IF(Task!$A$12="",0,IF(ISNUMBER(SEARCH(" "&amp;Task!$A$12&amp;" "," "&amp;LOWER(D383&amp;" "&amp;C383&amp;" "&amp;LOWER(SUBSTITUTE(SUBSTITUTE(SUBSTITUTE(SUBSTITUTE(A383,"/"," "),"."," "),"\"," "),"_"," ")))&amp;" ")),1,0))+IF(Task!$A$13="",0,IF(ISNUMBER(SEARCH(" "&amp;Task!$A$13&amp;" "," "&amp;LOWER(D383&amp;" "&amp;C383&amp;" "&amp;LOWER(SUBSTITUTE(SUBSTITUTE(SUBSTITUTE(SUBSTITUTE(A383,"/"," "),"."," "),"\"," "),"_"," ")))&amp;" ")),1,0))+IF(Task!$A$14="",0,IF(ISNUMBER(SEARCH(" "&amp;Task!$A$14&amp;" "," "&amp;LOWER(D383&amp;" "&amp;C383&amp;" "&amp;LOWER(SUBSTITUTE(SUBSTITUTE(SUBSTITUTE(SUBSTITUTE(A383,"/"," "),"."," "),"\"," "),"_"," ")))&amp;" ")),1,0))+IF(Task!$A$15="",0,IF(ISNUMBER(SEARCH(" "&amp;Task!$A$15&amp;" "," "&amp;LOWER(D383&amp;" "&amp;C383&amp;" "&amp;LOWER(SUBSTITUTE(SUBSTITUTE(SUBSTITUTE(SUBSTITUTE(A383,"/"," "),"."," "),"\"," "),"_"," ")))&amp;" ")),1,0))+IF(Task!$A$16="",0,IF(ISNUMBER(SEARCH(" "&amp;Task!$A$16&amp;" "," "&amp;LOWER(D383&amp;" "&amp;C383&amp;" "&amp;LOWER(SUBSTITUTE(SUBSTITUTE(SUBSTITUTE(SUBSTITUTE(A383,"/"," "),"."," "),"\"," "),"_"," ")))&amp;" ")),1,0))+IF(Task!$A$17="",0,IF(ISNUMBER(SEARCH(" "&amp;Task!$A$17&amp;" "," "&amp;LOWER(D383&amp;" "&amp;C383&amp;" "&amp;LOWER(SUBSTITUTE(SUBSTITUTE(SUBSTITUTE(SUBSTITUTE(A383,"/"," "),"."," "),"\"," "),"_"," ")))&amp;" ")),1,0))+IF(Task!$A$18="",0,IF(ISNUMBER(SEARCH(" "&amp;Task!$A$18&amp;" "," "&amp;LOWER(D383&amp;" "&amp;C383&amp;" "&amp;LOWER(SUBSTITUTE(SUBSTITUTE(SUBSTITUTE(SUBSTITUTE(A383,"/"," "),"."," "),"\"," "),"_"," ")))&amp;" ")),1,0))+IF(Task!$A$19="",0,IF(ISNUMBER(SEARCH(" "&amp;Task!$A$19&amp;" "," "&amp;LOWER(D383&amp;" "&amp;C383&amp;" "&amp;LOWER(SUBSTITUTE(SUBSTITUTE(SUBSTITUTE(SUBSTITUTE(A383,"/"," "),"."," "),"\"," "),"_"," ")))&amp;" ")),1,0)))</f>
        <v/>
      </c>
      <c r="G383" s="9">
        <f>IF(E383=0,0,IF(Task!$A$8="",0,IF(ISNUMBER(SEARCH(" "&amp;Task!$A$8&amp;" "," "&amp;LOWER(C383)&amp;" ")),1,0))+IF(Task!$A$9="",0,IF(ISNUMBER(SEARCH(" "&amp;Task!$A$9&amp;" "," "&amp;LOWER(C383)&amp;" ")),1,0))+IF(Task!$A$10="",0,IF(ISNUMBER(SEARCH(" "&amp;Task!$A$10&amp;" "," "&amp;LOWER(C383)&amp;" ")),1,0))+IF(Task!$A$11="",0,IF(ISNUMBER(SEARCH(" "&amp;Task!$A$11&amp;" "," "&amp;LOWER(C383)&amp;" ")),1,0))+IF(Task!$A$12="",0,IF(ISNUMBER(SEARCH(" "&amp;Task!$A$12&amp;" "," "&amp;LOWER(C383)&amp;" ")),1,0))+IF(Task!$A$13="",0,IF(ISNUMBER(SEARCH(" "&amp;Task!$A$13&amp;" "," "&amp;LOWER(C383)&amp;" ")),1,0))+IF(Task!$A$14="",0,IF(ISNUMBER(SEARCH(" "&amp;Task!$A$14&amp;" "," "&amp;LOWER(C383)&amp;" ")),1,0))+IF(Task!$A$15="",0,IF(ISNUMBER(SEARCH(" "&amp;Task!$A$15&amp;" "," "&amp;LOWER(C383)&amp;" ")),1,0))+IF(Task!$A$16="",0,IF(ISNUMBER(SEARCH(" "&amp;Task!$A$16&amp;" "," "&amp;LOWER(C383)&amp;" ")),1,0))+IF(Task!$A$17="",0,IF(ISNUMBER(SEARCH(" "&amp;Task!$A$17&amp;" "," "&amp;LOWER(C383)&amp;" ")),1,0))+IF(Task!$A$18="",0,IF(ISNUMBER(SEARCH(" "&amp;Task!$A$18&amp;" "," "&amp;LOWER(C383)&amp;" ")),1,0))+IF(Task!$A$19="",0,IF(ISNUMBER(SEARCH(" "&amp;Task!$A$19&amp;" "," "&amp;LOWER(C383)&amp;" ")),1,0)))</f>
        <v/>
      </c>
      <c r="H383" s="9">
        <f>IF(E383=0,0,IF(Task!$A$8="",0,IF(ISNUMBER(SEARCH(" "&amp;Task!$A$8&amp;" "," "&amp;LOWER(SUBSTITUTE(SUBSTITUTE(SUBSTITUTE(SUBSTITUTE(A383,"/"," "),"."," "),"\"," "),"_"," "))&amp;" ")),1,0))+IF(Task!$A$9="",0,IF(ISNUMBER(SEARCH(" "&amp;Task!$A$9&amp;" "," "&amp;LOWER(SUBSTITUTE(SUBSTITUTE(SUBSTITUTE(SUBSTITUTE(A383,"/"," "),"."," "),"\"," "),"_"," "))&amp;" ")),1,0))+IF(Task!$A$10="",0,IF(ISNUMBER(SEARCH(" "&amp;Task!$A$10&amp;" "," "&amp;LOWER(SUBSTITUTE(SUBSTITUTE(SUBSTITUTE(SUBSTITUTE(A383,"/"," "),"."," "),"\"," "),"_"," "))&amp;" ")),1,0))+IF(Task!$A$11="",0,IF(ISNUMBER(SEARCH(" "&amp;Task!$A$11&amp;" "," "&amp;LOWER(SUBSTITUTE(SUBSTITUTE(SUBSTITUTE(SUBSTITUTE(A383,"/"," "),"."," "),"\"," "),"_"," "))&amp;" ")),1,0))+IF(Task!$A$12="",0,IF(ISNUMBER(SEARCH(" "&amp;Task!$A$12&amp;" "," "&amp;LOWER(SUBSTITUTE(SUBSTITUTE(SUBSTITUTE(SUBSTITUTE(A383,"/"," "),"."," "),"\"," "),"_"," "))&amp;" ")),1,0))+IF(Task!$A$13="",0,IF(ISNUMBER(SEARCH(" "&amp;Task!$A$13&amp;" "," "&amp;LOWER(SUBSTITUTE(SUBSTITUTE(SUBSTITUTE(SUBSTITUTE(A383,"/"," "),"."," "),"\"," "),"_"," "))&amp;" ")),1,0))+IF(Task!$A$14="",0,IF(ISNUMBER(SEARCH(" "&amp;Task!$A$14&amp;" "," "&amp;LOWER(SUBSTITUTE(SUBSTITUTE(SUBSTITUTE(SUBSTITUTE(A383,"/"," "),"."," "),"\"," "),"_"," "))&amp;" ")),1,0))+IF(Task!$A$15="",0,IF(ISNUMBER(SEARCH(" "&amp;Task!$A$15&amp;" "," "&amp;LOWER(SUBSTITUTE(SUBSTITUTE(SUBSTITUTE(SUBSTITUTE(A383,"/"," "),"."," "),"\"," "),"_"," "))&amp;" ")),1,0))+IF(Task!$A$16="",0,IF(ISNUMBER(SEARCH(" "&amp;Task!$A$16&amp;" "," "&amp;LOWER(SUBSTITUTE(SUBSTITUTE(SUBSTITUTE(SUBSTITUTE(A383,"/"," "),"."," "),"\"," "),"_"," "))&amp;" ")),1,0))+IF(Task!$A$17="",0,IF(ISNUMBER(SEARCH(" "&amp;Task!$A$17&amp;" "," "&amp;LOWER(SUBSTITUTE(SUBSTITUTE(SUBSTITUTE(SUBSTITUTE(A383,"/"," "),"."," "),"\"," "),"_"," "))&amp;" ")),1,0))+IF(Task!$A$18="",0,IF(ISNUMBER(SEARCH(" "&amp;Task!$A$18&amp;" "," "&amp;LOWER(SUBSTITUTE(SUBSTITUTE(SUBSTITUTE(SUBSTITUTE(A383,"/"," "),"."," "),"\"," "),"_"," "))&amp;" ")),1,0))+IF(Task!$A$19="",0,IF(ISNUMBER(SEARCH(" "&amp;Task!$A$19&amp;" "," "&amp;LOWER(SUBSTITUTE(SUBSTITUTE(SUBSTITUTE(SUBSTITUTE(A383,"/"," "),"."," "),"\"," "),"_"," "))&amp;" ")),1,0)))</f>
        <v/>
      </c>
      <c r="I383" s="10">
        <f>IF(OR(E383=0,F383=0,Task!$B$21=0),"",F383/Task!$B$21+0.5*G383+0.25*H383)</f>
        <v/>
      </c>
      <c r="J383" s="5">
        <f>IF(I383="","",I383-ROW()/1000000)</f>
        <v/>
      </c>
      <c r="K383" s="9">
        <f>IF(J383="","",COUNTIF($J$5:$J$404,"&gt;"&amp;J383)+1)</f>
        <v/>
      </c>
    </row>
    <row r="384">
      <c r="A384" s="7" t="n"/>
      <c r="B384" s="7" t="n"/>
      <c r="C384" s="7" t="n"/>
      <c r="D384" s="7" t="n"/>
      <c r="E384" s="5">
        <f>IF(A384="",0,IF(COUNTA(Task!$B$5:$E$5)=0,1,IF(COUNTIF(Task!$B$5:$E$5,B384)&gt;0,1,0)))</f>
        <v/>
      </c>
      <c r="F384" s="9">
        <f>IF(E384=0,0,IF(Task!$A$8="",0,IF(ISNUMBER(SEARCH(" "&amp;Task!$A$8&amp;" "," "&amp;LOWER(D384&amp;" "&amp;C384&amp;" "&amp;LOWER(SUBSTITUTE(SUBSTITUTE(SUBSTITUTE(SUBSTITUTE(A384,"/"," "),"."," "),"\"," "),"_"," ")))&amp;" ")),1,0))+IF(Task!$A$9="",0,IF(ISNUMBER(SEARCH(" "&amp;Task!$A$9&amp;" "," "&amp;LOWER(D384&amp;" "&amp;C384&amp;" "&amp;LOWER(SUBSTITUTE(SUBSTITUTE(SUBSTITUTE(SUBSTITUTE(A384,"/"," "),"."," "),"\"," "),"_"," ")))&amp;" ")),1,0))+IF(Task!$A$10="",0,IF(ISNUMBER(SEARCH(" "&amp;Task!$A$10&amp;" "," "&amp;LOWER(D384&amp;" "&amp;C384&amp;" "&amp;LOWER(SUBSTITUTE(SUBSTITUTE(SUBSTITUTE(SUBSTITUTE(A384,"/"," "),"."," "),"\"," "),"_"," ")))&amp;" ")),1,0))+IF(Task!$A$11="",0,IF(ISNUMBER(SEARCH(" "&amp;Task!$A$11&amp;" "," "&amp;LOWER(D384&amp;" "&amp;C384&amp;" "&amp;LOWER(SUBSTITUTE(SUBSTITUTE(SUBSTITUTE(SUBSTITUTE(A384,"/"," "),"."," "),"\"," "),"_"," ")))&amp;" ")),1,0))+IF(Task!$A$12="",0,IF(ISNUMBER(SEARCH(" "&amp;Task!$A$12&amp;" "," "&amp;LOWER(D384&amp;" "&amp;C384&amp;" "&amp;LOWER(SUBSTITUTE(SUBSTITUTE(SUBSTITUTE(SUBSTITUTE(A384,"/"," "),"."," "),"\"," "),"_"," ")))&amp;" ")),1,0))+IF(Task!$A$13="",0,IF(ISNUMBER(SEARCH(" "&amp;Task!$A$13&amp;" "," "&amp;LOWER(D384&amp;" "&amp;C384&amp;" "&amp;LOWER(SUBSTITUTE(SUBSTITUTE(SUBSTITUTE(SUBSTITUTE(A384,"/"," "),"."," "),"\"," "),"_"," ")))&amp;" ")),1,0))+IF(Task!$A$14="",0,IF(ISNUMBER(SEARCH(" "&amp;Task!$A$14&amp;" "," "&amp;LOWER(D384&amp;" "&amp;C384&amp;" "&amp;LOWER(SUBSTITUTE(SUBSTITUTE(SUBSTITUTE(SUBSTITUTE(A384,"/"," "),"."," "),"\"," "),"_"," ")))&amp;" ")),1,0))+IF(Task!$A$15="",0,IF(ISNUMBER(SEARCH(" "&amp;Task!$A$15&amp;" "," "&amp;LOWER(D384&amp;" "&amp;C384&amp;" "&amp;LOWER(SUBSTITUTE(SUBSTITUTE(SUBSTITUTE(SUBSTITUTE(A384,"/"," "),"."," "),"\"," "),"_"," ")))&amp;" ")),1,0))+IF(Task!$A$16="",0,IF(ISNUMBER(SEARCH(" "&amp;Task!$A$16&amp;" "," "&amp;LOWER(D384&amp;" "&amp;C384&amp;" "&amp;LOWER(SUBSTITUTE(SUBSTITUTE(SUBSTITUTE(SUBSTITUTE(A384,"/"," "),"."," "),"\"," "),"_"," ")))&amp;" ")),1,0))+IF(Task!$A$17="",0,IF(ISNUMBER(SEARCH(" "&amp;Task!$A$17&amp;" "," "&amp;LOWER(D384&amp;" "&amp;C384&amp;" "&amp;LOWER(SUBSTITUTE(SUBSTITUTE(SUBSTITUTE(SUBSTITUTE(A384,"/"," "),"."," "),"\"," "),"_"," ")))&amp;" ")),1,0))+IF(Task!$A$18="",0,IF(ISNUMBER(SEARCH(" "&amp;Task!$A$18&amp;" "," "&amp;LOWER(D384&amp;" "&amp;C384&amp;" "&amp;LOWER(SUBSTITUTE(SUBSTITUTE(SUBSTITUTE(SUBSTITUTE(A384,"/"," "),"."," "),"\"," "),"_"," ")))&amp;" ")),1,0))+IF(Task!$A$19="",0,IF(ISNUMBER(SEARCH(" "&amp;Task!$A$19&amp;" "," "&amp;LOWER(D384&amp;" "&amp;C384&amp;" "&amp;LOWER(SUBSTITUTE(SUBSTITUTE(SUBSTITUTE(SUBSTITUTE(A384,"/"," "),"."," "),"\"," "),"_"," ")))&amp;" ")),1,0)))</f>
        <v/>
      </c>
      <c r="G384" s="9">
        <f>IF(E384=0,0,IF(Task!$A$8="",0,IF(ISNUMBER(SEARCH(" "&amp;Task!$A$8&amp;" "," "&amp;LOWER(C384)&amp;" ")),1,0))+IF(Task!$A$9="",0,IF(ISNUMBER(SEARCH(" "&amp;Task!$A$9&amp;" "," "&amp;LOWER(C384)&amp;" ")),1,0))+IF(Task!$A$10="",0,IF(ISNUMBER(SEARCH(" "&amp;Task!$A$10&amp;" "," "&amp;LOWER(C384)&amp;" ")),1,0))+IF(Task!$A$11="",0,IF(ISNUMBER(SEARCH(" "&amp;Task!$A$11&amp;" "," "&amp;LOWER(C384)&amp;" ")),1,0))+IF(Task!$A$12="",0,IF(ISNUMBER(SEARCH(" "&amp;Task!$A$12&amp;" "," "&amp;LOWER(C384)&amp;" ")),1,0))+IF(Task!$A$13="",0,IF(ISNUMBER(SEARCH(" "&amp;Task!$A$13&amp;" "," "&amp;LOWER(C384)&amp;" ")),1,0))+IF(Task!$A$14="",0,IF(ISNUMBER(SEARCH(" "&amp;Task!$A$14&amp;" "," "&amp;LOWER(C384)&amp;" ")),1,0))+IF(Task!$A$15="",0,IF(ISNUMBER(SEARCH(" "&amp;Task!$A$15&amp;" "," "&amp;LOWER(C384)&amp;" ")),1,0))+IF(Task!$A$16="",0,IF(ISNUMBER(SEARCH(" "&amp;Task!$A$16&amp;" "," "&amp;LOWER(C384)&amp;" ")),1,0))+IF(Task!$A$17="",0,IF(ISNUMBER(SEARCH(" "&amp;Task!$A$17&amp;" "," "&amp;LOWER(C384)&amp;" ")),1,0))+IF(Task!$A$18="",0,IF(ISNUMBER(SEARCH(" "&amp;Task!$A$18&amp;" "," "&amp;LOWER(C384)&amp;" ")),1,0))+IF(Task!$A$19="",0,IF(ISNUMBER(SEARCH(" "&amp;Task!$A$19&amp;" "," "&amp;LOWER(C384)&amp;" ")),1,0)))</f>
        <v/>
      </c>
      <c r="H384" s="9">
        <f>IF(E384=0,0,IF(Task!$A$8="",0,IF(ISNUMBER(SEARCH(" "&amp;Task!$A$8&amp;" "," "&amp;LOWER(SUBSTITUTE(SUBSTITUTE(SUBSTITUTE(SUBSTITUTE(A384,"/"," "),"."," "),"\"," "),"_"," "))&amp;" ")),1,0))+IF(Task!$A$9="",0,IF(ISNUMBER(SEARCH(" "&amp;Task!$A$9&amp;" "," "&amp;LOWER(SUBSTITUTE(SUBSTITUTE(SUBSTITUTE(SUBSTITUTE(A384,"/"," "),"."," "),"\"," "),"_"," "))&amp;" ")),1,0))+IF(Task!$A$10="",0,IF(ISNUMBER(SEARCH(" "&amp;Task!$A$10&amp;" "," "&amp;LOWER(SUBSTITUTE(SUBSTITUTE(SUBSTITUTE(SUBSTITUTE(A384,"/"," "),"."," "),"\"," "),"_"," "))&amp;" ")),1,0))+IF(Task!$A$11="",0,IF(ISNUMBER(SEARCH(" "&amp;Task!$A$11&amp;" "," "&amp;LOWER(SUBSTITUTE(SUBSTITUTE(SUBSTITUTE(SUBSTITUTE(A384,"/"," "),"."," "),"\"," "),"_"," "))&amp;" ")),1,0))+IF(Task!$A$12="",0,IF(ISNUMBER(SEARCH(" "&amp;Task!$A$12&amp;" "," "&amp;LOWER(SUBSTITUTE(SUBSTITUTE(SUBSTITUTE(SUBSTITUTE(A384,"/"," "),"."," "),"\"," "),"_"," "))&amp;" ")),1,0))+IF(Task!$A$13="",0,IF(ISNUMBER(SEARCH(" "&amp;Task!$A$13&amp;" "," "&amp;LOWER(SUBSTITUTE(SUBSTITUTE(SUBSTITUTE(SUBSTITUTE(A384,"/"," "),"."," "),"\"," "),"_"," "))&amp;" ")),1,0))+IF(Task!$A$14="",0,IF(ISNUMBER(SEARCH(" "&amp;Task!$A$14&amp;" "," "&amp;LOWER(SUBSTITUTE(SUBSTITUTE(SUBSTITUTE(SUBSTITUTE(A384,"/"," "),"."," "),"\"," "),"_"," "))&amp;" ")),1,0))+IF(Task!$A$15="",0,IF(ISNUMBER(SEARCH(" "&amp;Task!$A$15&amp;" "," "&amp;LOWER(SUBSTITUTE(SUBSTITUTE(SUBSTITUTE(SUBSTITUTE(A384,"/"," "),"."," "),"\"," "),"_"," "))&amp;" ")),1,0))+IF(Task!$A$16="",0,IF(ISNUMBER(SEARCH(" "&amp;Task!$A$16&amp;" "," "&amp;LOWER(SUBSTITUTE(SUBSTITUTE(SUBSTITUTE(SUBSTITUTE(A384,"/"," "),"."," "),"\"," "),"_"," "))&amp;" ")),1,0))+IF(Task!$A$17="",0,IF(ISNUMBER(SEARCH(" "&amp;Task!$A$17&amp;" "," "&amp;LOWER(SUBSTITUTE(SUBSTITUTE(SUBSTITUTE(SUBSTITUTE(A384,"/"," "),"."," "),"\"," "),"_"," "))&amp;" ")),1,0))+IF(Task!$A$18="",0,IF(ISNUMBER(SEARCH(" "&amp;Task!$A$18&amp;" "," "&amp;LOWER(SUBSTITUTE(SUBSTITUTE(SUBSTITUTE(SUBSTITUTE(A384,"/"," "),"."," "),"\"," "),"_"," "))&amp;" ")),1,0))+IF(Task!$A$19="",0,IF(ISNUMBER(SEARCH(" "&amp;Task!$A$19&amp;" "," "&amp;LOWER(SUBSTITUTE(SUBSTITUTE(SUBSTITUTE(SUBSTITUTE(A384,"/"," "),"."," "),"\"," "),"_"," "))&amp;" ")),1,0)))</f>
        <v/>
      </c>
      <c r="I384" s="10">
        <f>IF(OR(E384=0,F384=0,Task!$B$21=0),"",F384/Task!$B$21+0.5*G384+0.25*H384)</f>
        <v/>
      </c>
      <c r="J384" s="5">
        <f>IF(I384="","",I384-ROW()/1000000)</f>
        <v/>
      </c>
      <c r="K384" s="9">
        <f>IF(J384="","",COUNTIF($J$5:$J$404,"&gt;"&amp;J384)+1)</f>
        <v/>
      </c>
    </row>
    <row r="385">
      <c r="A385" s="7" t="n"/>
      <c r="B385" s="7" t="n"/>
      <c r="C385" s="7" t="n"/>
      <c r="D385" s="7" t="n"/>
      <c r="E385" s="5">
        <f>IF(A385="",0,IF(COUNTA(Task!$B$5:$E$5)=0,1,IF(COUNTIF(Task!$B$5:$E$5,B385)&gt;0,1,0)))</f>
        <v/>
      </c>
      <c r="F385" s="9">
        <f>IF(E385=0,0,IF(Task!$A$8="",0,IF(ISNUMBER(SEARCH(" "&amp;Task!$A$8&amp;" "," "&amp;LOWER(D385&amp;" "&amp;C385&amp;" "&amp;LOWER(SUBSTITUTE(SUBSTITUTE(SUBSTITUTE(SUBSTITUTE(A385,"/"," "),"."," "),"\"," "),"_"," ")))&amp;" ")),1,0))+IF(Task!$A$9="",0,IF(ISNUMBER(SEARCH(" "&amp;Task!$A$9&amp;" "," "&amp;LOWER(D385&amp;" "&amp;C385&amp;" "&amp;LOWER(SUBSTITUTE(SUBSTITUTE(SUBSTITUTE(SUBSTITUTE(A385,"/"," "),"."," "),"\"," "),"_"," ")))&amp;" ")),1,0))+IF(Task!$A$10="",0,IF(ISNUMBER(SEARCH(" "&amp;Task!$A$10&amp;" "," "&amp;LOWER(D385&amp;" "&amp;C385&amp;" "&amp;LOWER(SUBSTITUTE(SUBSTITUTE(SUBSTITUTE(SUBSTITUTE(A385,"/"," "),"."," "),"\"," "),"_"," ")))&amp;" ")),1,0))+IF(Task!$A$11="",0,IF(ISNUMBER(SEARCH(" "&amp;Task!$A$11&amp;" "," "&amp;LOWER(D385&amp;" "&amp;C385&amp;" "&amp;LOWER(SUBSTITUTE(SUBSTITUTE(SUBSTITUTE(SUBSTITUTE(A385,"/"," "),"."," "),"\"," "),"_"," ")))&amp;" ")),1,0))+IF(Task!$A$12="",0,IF(ISNUMBER(SEARCH(" "&amp;Task!$A$12&amp;" "," "&amp;LOWER(D385&amp;" "&amp;C385&amp;" "&amp;LOWER(SUBSTITUTE(SUBSTITUTE(SUBSTITUTE(SUBSTITUTE(A385,"/"," "),"."," "),"\"," "),"_"," ")))&amp;" ")),1,0))+IF(Task!$A$13="",0,IF(ISNUMBER(SEARCH(" "&amp;Task!$A$13&amp;" "," "&amp;LOWER(D385&amp;" "&amp;C385&amp;" "&amp;LOWER(SUBSTITUTE(SUBSTITUTE(SUBSTITUTE(SUBSTITUTE(A385,"/"," "),"."," "),"\"," "),"_"," ")))&amp;" ")),1,0))+IF(Task!$A$14="",0,IF(ISNUMBER(SEARCH(" "&amp;Task!$A$14&amp;" "," "&amp;LOWER(D385&amp;" "&amp;C385&amp;" "&amp;LOWER(SUBSTITUTE(SUBSTITUTE(SUBSTITUTE(SUBSTITUTE(A385,"/"," "),"."," "),"\"," "),"_"," ")))&amp;" ")),1,0))+IF(Task!$A$15="",0,IF(ISNUMBER(SEARCH(" "&amp;Task!$A$15&amp;" "," "&amp;LOWER(D385&amp;" "&amp;C385&amp;" "&amp;LOWER(SUBSTITUTE(SUBSTITUTE(SUBSTITUTE(SUBSTITUTE(A385,"/"," "),"."," "),"\"," "),"_"," ")))&amp;" ")),1,0))+IF(Task!$A$16="",0,IF(ISNUMBER(SEARCH(" "&amp;Task!$A$16&amp;" "," "&amp;LOWER(D385&amp;" "&amp;C385&amp;" "&amp;LOWER(SUBSTITUTE(SUBSTITUTE(SUBSTITUTE(SUBSTITUTE(A385,"/"," "),"."," "),"\"," "),"_"," ")))&amp;" ")),1,0))+IF(Task!$A$17="",0,IF(ISNUMBER(SEARCH(" "&amp;Task!$A$17&amp;" "," "&amp;LOWER(D385&amp;" "&amp;C385&amp;" "&amp;LOWER(SUBSTITUTE(SUBSTITUTE(SUBSTITUTE(SUBSTITUTE(A385,"/"," "),"."," "),"\"," "),"_"," ")))&amp;" ")),1,0))+IF(Task!$A$18="",0,IF(ISNUMBER(SEARCH(" "&amp;Task!$A$18&amp;" "," "&amp;LOWER(D385&amp;" "&amp;C385&amp;" "&amp;LOWER(SUBSTITUTE(SUBSTITUTE(SUBSTITUTE(SUBSTITUTE(A385,"/"," "),"."," "),"\"," "),"_"," ")))&amp;" ")),1,0))+IF(Task!$A$19="",0,IF(ISNUMBER(SEARCH(" "&amp;Task!$A$19&amp;" "," "&amp;LOWER(D385&amp;" "&amp;C385&amp;" "&amp;LOWER(SUBSTITUTE(SUBSTITUTE(SUBSTITUTE(SUBSTITUTE(A385,"/"," "),"."," "),"\"," "),"_"," ")))&amp;" ")),1,0)))</f>
        <v/>
      </c>
      <c r="G385" s="9">
        <f>IF(E385=0,0,IF(Task!$A$8="",0,IF(ISNUMBER(SEARCH(" "&amp;Task!$A$8&amp;" "," "&amp;LOWER(C385)&amp;" ")),1,0))+IF(Task!$A$9="",0,IF(ISNUMBER(SEARCH(" "&amp;Task!$A$9&amp;" "," "&amp;LOWER(C385)&amp;" ")),1,0))+IF(Task!$A$10="",0,IF(ISNUMBER(SEARCH(" "&amp;Task!$A$10&amp;" "," "&amp;LOWER(C385)&amp;" ")),1,0))+IF(Task!$A$11="",0,IF(ISNUMBER(SEARCH(" "&amp;Task!$A$11&amp;" "," "&amp;LOWER(C385)&amp;" ")),1,0))+IF(Task!$A$12="",0,IF(ISNUMBER(SEARCH(" "&amp;Task!$A$12&amp;" "," "&amp;LOWER(C385)&amp;" ")),1,0))+IF(Task!$A$13="",0,IF(ISNUMBER(SEARCH(" "&amp;Task!$A$13&amp;" "," "&amp;LOWER(C385)&amp;" ")),1,0))+IF(Task!$A$14="",0,IF(ISNUMBER(SEARCH(" "&amp;Task!$A$14&amp;" "," "&amp;LOWER(C385)&amp;" ")),1,0))+IF(Task!$A$15="",0,IF(ISNUMBER(SEARCH(" "&amp;Task!$A$15&amp;" "," "&amp;LOWER(C385)&amp;" ")),1,0))+IF(Task!$A$16="",0,IF(ISNUMBER(SEARCH(" "&amp;Task!$A$16&amp;" "," "&amp;LOWER(C385)&amp;" ")),1,0))+IF(Task!$A$17="",0,IF(ISNUMBER(SEARCH(" "&amp;Task!$A$17&amp;" "," "&amp;LOWER(C385)&amp;" ")),1,0))+IF(Task!$A$18="",0,IF(ISNUMBER(SEARCH(" "&amp;Task!$A$18&amp;" "," "&amp;LOWER(C385)&amp;" ")),1,0))+IF(Task!$A$19="",0,IF(ISNUMBER(SEARCH(" "&amp;Task!$A$19&amp;" "," "&amp;LOWER(C385)&amp;" ")),1,0)))</f>
        <v/>
      </c>
      <c r="H385" s="9">
        <f>IF(E385=0,0,IF(Task!$A$8="",0,IF(ISNUMBER(SEARCH(" "&amp;Task!$A$8&amp;" "," "&amp;LOWER(SUBSTITUTE(SUBSTITUTE(SUBSTITUTE(SUBSTITUTE(A385,"/"," "),"."," "),"\"," "),"_"," "))&amp;" ")),1,0))+IF(Task!$A$9="",0,IF(ISNUMBER(SEARCH(" "&amp;Task!$A$9&amp;" "," "&amp;LOWER(SUBSTITUTE(SUBSTITUTE(SUBSTITUTE(SUBSTITUTE(A385,"/"," "),"."," "),"\"," "),"_"," "))&amp;" ")),1,0))+IF(Task!$A$10="",0,IF(ISNUMBER(SEARCH(" "&amp;Task!$A$10&amp;" "," "&amp;LOWER(SUBSTITUTE(SUBSTITUTE(SUBSTITUTE(SUBSTITUTE(A385,"/"," "),"."," "),"\"," "),"_"," "))&amp;" ")),1,0))+IF(Task!$A$11="",0,IF(ISNUMBER(SEARCH(" "&amp;Task!$A$11&amp;" "," "&amp;LOWER(SUBSTITUTE(SUBSTITUTE(SUBSTITUTE(SUBSTITUTE(A385,"/"," "),"."," "),"\"," "),"_"," "))&amp;" ")),1,0))+IF(Task!$A$12="",0,IF(ISNUMBER(SEARCH(" "&amp;Task!$A$12&amp;" "," "&amp;LOWER(SUBSTITUTE(SUBSTITUTE(SUBSTITUTE(SUBSTITUTE(A385,"/"," "),"."," "),"\"," "),"_"," "))&amp;" ")),1,0))+IF(Task!$A$13="",0,IF(ISNUMBER(SEARCH(" "&amp;Task!$A$13&amp;" "," "&amp;LOWER(SUBSTITUTE(SUBSTITUTE(SUBSTITUTE(SUBSTITUTE(A385,"/"," "),"."," "),"\"," "),"_"," "))&amp;" ")),1,0))+IF(Task!$A$14="",0,IF(ISNUMBER(SEARCH(" "&amp;Task!$A$14&amp;" "," "&amp;LOWER(SUBSTITUTE(SUBSTITUTE(SUBSTITUTE(SUBSTITUTE(A385,"/"," "),"."," "),"\"," "),"_"," "))&amp;" ")),1,0))+IF(Task!$A$15="",0,IF(ISNUMBER(SEARCH(" "&amp;Task!$A$15&amp;" "," "&amp;LOWER(SUBSTITUTE(SUBSTITUTE(SUBSTITUTE(SUBSTITUTE(A385,"/"," "),"."," "),"\"," "),"_"," "))&amp;" ")),1,0))+IF(Task!$A$16="",0,IF(ISNUMBER(SEARCH(" "&amp;Task!$A$16&amp;" "," "&amp;LOWER(SUBSTITUTE(SUBSTITUTE(SUBSTITUTE(SUBSTITUTE(A385,"/"," "),"."," "),"\"," "),"_"," "))&amp;" ")),1,0))+IF(Task!$A$17="",0,IF(ISNUMBER(SEARCH(" "&amp;Task!$A$17&amp;" "," "&amp;LOWER(SUBSTITUTE(SUBSTITUTE(SUBSTITUTE(SUBSTITUTE(A385,"/"," "),"."," "),"\"," "),"_"," "))&amp;" ")),1,0))+IF(Task!$A$18="",0,IF(ISNUMBER(SEARCH(" "&amp;Task!$A$18&amp;" "," "&amp;LOWER(SUBSTITUTE(SUBSTITUTE(SUBSTITUTE(SUBSTITUTE(A385,"/"," "),"."," "),"\"," "),"_"," "))&amp;" ")),1,0))+IF(Task!$A$19="",0,IF(ISNUMBER(SEARCH(" "&amp;Task!$A$19&amp;" "," "&amp;LOWER(SUBSTITUTE(SUBSTITUTE(SUBSTITUTE(SUBSTITUTE(A385,"/"," "),"."," "),"\"," "),"_"," "))&amp;" ")),1,0)))</f>
        <v/>
      </c>
      <c r="I385" s="10">
        <f>IF(OR(E385=0,F385=0,Task!$B$21=0),"",F385/Task!$B$21+0.5*G385+0.25*H385)</f>
        <v/>
      </c>
      <c r="J385" s="5">
        <f>IF(I385="","",I385-ROW()/1000000)</f>
        <v/>
      </c>
      <c r="K385" s="9">
        <f>IF(J385="","",COUNTIF($J$5:$J$404,"&gt;"&amp;J385)+1)</f>
        <v/>
      </c>
    </row>
    <row r="386">
      <c r="A386" s="7" t="n"/>
      <c r="B386" s="7" t="n"/>
      <c r="C386" s="7" t="n"/>
      <c r="D386" s="7" t="n"/>
      <c r="E386" s="5">
        <f>IF(A386="",0,IF(COUNTA(Task!$B$5:$E$5)=0,1,IF(COUNTIF(Task!$B$5:$E$5,B386)&gt;0,1,0)))</f>
        <v/>
      </c>
      <c r="F386" s="9">
        <f>IF(E386=0,0,IF(Task!$A$8="",0,IF(ISNUMBER(SEARCH(" "&amp;Task!$A$8&amp;" "," "&amp;LOWER(D386&amp;" "&amp;C386&amp;" "&amp;LOWER(SUBSTITUTE(SUBSTITUTE(SUBSTITUTE(SUBSTITUTE(A386,"/"," "),"."," "),"\"," "),"_"," ")))&amp;" ")),1,0))+IF(Task!$A$9="",0,IF(ISNUMBER(SEARCH(" "&amp;Task!$A$9&amp;" "," "&amp;LOWER(D386&amp;" "&amp;C386&amp;" "&amp;LOWER(SUBSTITUTE(SUBSTITUTE(SUBSTITUTE(SUBSTITUTE(A386,"/"," "),"."," "),"\"," "),"_"," ")))&amp;" ")),1,0))+IF(Task!$A$10="",0,IF(ISNUMBER(SEARCH(" "&amp;Task!$A$10&amp;" "," "&amp;LOWER(D386&amp;" "&amp;C386&amp;" "&amp;LOWER(SUBSTITUTE(SUBSTITUTE(SUBSTITUTE(SUBSTITUTE(A386,"/"," "),"."," "),"\"," "),"_"," ")))&amp;" ")),1,0))+IF(Task!$A$11="",0,IF(ISNUMBER(SEARCH(" "&amp;Task!$A$11&amp;" "," "&amp;LOWER(D386&amp;" "&amp;C386&amp;" "&amp;LOWER(SUBSTITUTE(SUBSTITUTE(SUBSTITUTE(SUBSTITUTE(A386,"/"," "),"."," "),"\"," "),"_"," ")))&amp;" ")),1,0))+IF(Task!$A$12="",0,IF(ISNUMBER(SEARCH(" "&amp;Task!$A$12&amp;" "," "&amp;LOWER(D386&amp;" "&amp;C386&amp;" "&amp;LOWER(SUBSTITUTE(SUBSTITUTE(SUBSTITUTE(SUBSTITUTE(A386,"/"," "),"."," "),"\"," "),"_"," ")))&amp;" ")),1,0))+IF(Task!$A$13="",0,IF(ISNUMBER(SEARCH(" "&amp;Task!$A$13&amp;" "," "&amp;LOWER(D386&amp;" "&amp;C386&amp;" "&amp;LOWER(SUBSTITUTE(SUBSTITUTE(SUBSTITUTE(SUBSTITUTE(A386,"/"," "),"."," "),"\"," "),"_"," ")))&amp;" ")),1,0))+IF(Task!$A$14="",0,IF(ISNUMBER(SEARCH(" "&amp;Task!$A$14&amp;" "," "&amp;LOWER(D386&amp;" "&amp;C386&amp;" "&amp;LOWER(SUBSTITUTE(SUBSTITUTE(SUBSTITUTE(SUBSTITUTE(A386,"/"," "),"."," "),"\"," "),"_"," ")))&amp;" ")),1,0))+IF(Task!$A$15="",0,IF(ISNUMBER(SEARCH(" "&amp;Task!$A$15&amp;" "," "&amp;LOWER(D386&amp;" "&amp;C386&amp;" "&amp;LOWER(SUBSTITUTE(SUBSTITUTE(SUBSTITUTE(SUBSTITUTE(A386,"/"," "),"."," "),"\"," "),"_"," ")))&amp;" ")),1,0))+IF(Task!$A$16="",0,IF(ISNUMBER(SEARCH(" "&amp;Task!$A$16&amp;" "," "&amp;LOWER(D386&amp;" "&amp;C386&amp;" "&amp;LOWER(SUBSTITUTE(SUBSTITUTE(SUBSTITUTE(SUBSTITUTE(A386,"/"," "),"."," "),"\"," "),"_"," ")))&amp;" ")),1,0))+IF(Task!$A$17="",0,IF(ISNUMBER(SEARCH(" "&amp;Task!$A$17&amp;" "," "&amp;LOWER(D386&amp;" "&amp;C386&amp;" "&amp;LOWER(SUBSTITUTE(SUBSTITUTE(SUBSTITUTE(SUBSTITUTE(A386,"/"," "),"."," "),"\"," "),"_"," ")))&amp;" ")),1,0))+IF(Task!$A$18="",0,IF(ISNUMBER(SEARCH(" "&amp;Task!$A$18&amp;" "," "&amp;LOWER(D386&amp;" "&amp;C386&amp;" "&amp;LOWER(SUBSTITUTE(SUBSTITUTE(SUBSTITUTE(SUBSTITUTE(A386,"/"," "),"."," "),"\"," "),"_"," ")))&amp;" ")),1,0))+IF(Task!$A$19="",0,IF(ISNUMBER(SEARCH(" "&amp;Task!$A$19&amp;" "," "&amp;LOWER(D386&amp;" "&amp;C386&amp;" "&amp;LOWER(SUBSTITUTE(SUBSTITUTE(SUBSTITUTE(SUBSTITUTE(A386,"/"," "),"."," "),"\"," "),"_"," ")))&amp;" ")),1,0)))</f>
        <v/>
      </c>
      <c r="G386" s="9">
        <f>IF(E386=0,0,IF(Task!$A$8="",0,IF(ISNUMBER(SEARCH(" "&amp;Task!$A$8&amp;" "," "&amp;LOWER(C386)&amp;" ")),1,0))+IF(Task!$A$9="",0,IF(ISNUMBER(SEARCH(" "&amp;Task!$A$9&amp;" "," "&amp;LOWER(C386)&amp;" ")),1,0))+IF(Task!$A$10="",0,IF(ISNUMBER(SEARCH(" "&amp;Task!$A$10&amp;" "," "&amp;LOWER(C386)&amp;" ")),1,0))+IF(Task!$A$11="",0,IF(ISNUMBER(SEARCH(" "&amp;Task!$A$11&amp;" "," "&amp;LOWER(C386)&amp;" ")),1,0))+IF(Task!$A$12="",0,IF(ISNUMBER(SEARCH(" "&amp;Task!$A$12&amp;" "," "&amp;LOWER(C386)&amp;" ")),1,0))+IF(Task!$A$13="",0,IF(ISNUMBER(SEARCH(" "&amp;Task!$A$13&amp;" "," "&amp;LOWER(C386)&amp;" ")),1,0))+IF(Task!$A$14="",0,IF(ISNUMBER(SEARCH(" "&amp;Task!$A$14&amp;" "," "&amp;LOWER(C386)&amp;" ")),1,0))+IF(Task!$A$15="",0,IF(ISNUMBER(SEARCH(" "&amp;Task!$A$15&amp;" "," "&amp;LOWER(C386)&amp;" ")),1,0))+IF(Task!$A$16="",0,IF(ISNUMBER(SEARCH(" "&amp;Task!$A$16&amp;" "," "&amp;LOWER(C386)&amp;" ")),1,0))+IF(Task!$A$17="",0,IF(ISNUMBER(SEARCH(" "&amp;Task!$A$17&amp;" "," "&amp;LOWER(C386)&amp;" ")),1,0))+IF(Task!$A$18="",0,IF(ISNUMBER(SEARCH(" "&amp;Task!$A$18&amp;" "," "&amp;LOWER(C386)&amp;" ")),1,0))+IF(Task!$A$19="",0,IF(ISNUMBER(SEARCH(" "&amp;Task!$A$19&amp;" "," "&amp;LOWER(C386)&amp;" ")),1,0)))</f>
        <v/>
      </c>
      <c r="H386" s="9">
        <f>IF(E386=0,0,IF(Task!$A$8="",0,IF(ISNUMBER(SEARCH(" "&amp;Task!$A$8&amp;" "," "&amp;LOWER(SUBSTITUTE(SUBSTITUTE(SUBSTITUTE(SUBSTITUTE(A386,"/"," "),"."," "),"\"," "),"_"," "))&amp;" ")),1,0))+IF(Task!$A$9="",0,IF(ISNUMBER(SEARCH(" "&amp;Task!$A$9&amp;" "," "&amp;LOWER(SUBSTITUTE(SUBSTITUTE(SUBSTITUTE(SUBSTITUTE(A386,"/"," "),"."," "),"\"," "),"_"," "))&amp;" ")),1,0))+IF(Task!$A$10="",0,IF(ISNUMBER(SEARCH(" "&amp;Task!$A$10&amp;" "," "&amp;LOWER(SUBSTITUTE(SUBSTITUTE(SUBSTITUTE(SUBSTITUTE(A386,"/"," "),"."," "),"\"," "),"_"," "))&amp;" ")),1,0))+IF(Task!$A$11="",0,IF(ISNUMBER(SEARCH(" "&amp;Task!$A$11&amp;" "," "&amp;LOWER(SUBSTITUTE(SUBSTITUTE(SUBSTITUTE(SUBSTITUTE(A386,"/"," "),"."," "),"\"," "),"_"," "))&amp;" ")),1,0))+IF(Task!$A$12="",0,IF(ISNUMBER(SEARCH(" "&amp;Task!$A$12&amp;" "," "&amp;LOWER(SUBSTITUTE(SUBSTITUTE(SUBSTITUTE(SUBSTITUTE(A386,"/"," "),"."," "),"\"," "),"_"," "))&amp;" ")),1,0))+IF(Task!$A$13="",0,IF(ISNUMBER(SEARCH(" "&amp;Task!$A$13&amp;" "," "&amp;LOWER(SUBSTITUTE(SUBSTITUTE(SUBSTITUTE(SUBSTITUTE(A386,"/"," "),"."," "),"\"," "),"_"," "))&amp;" ")),1,0))+IF(Task!$A$14="",0,IF(ISNUMBER(SEARCH(" "&amp;Task!$A$14&amp;" "," "&amp;LOWER(SUBSTITUTE(SUBSTITUTE(SUBSTITUTE(SUBSTITUTE(A386,"/"," "),"."," "),"\"," "),"_"," "))&amp;" ")),1,0))+IF(Task!$A$15="",0,IF(ISNUMBER(SEARCH(" "&amp;Task!$A$15&amp;" "," "&amp;LOWER(SUBSTITUTE(SUBSTITUTE(SUBSTITUTE(SUBSTITUTE(A386,"/"," "),"."," "),"\"," "),"_"," "))&amp;" ")),1,0))+IF(Task!$A$16="",0,IF(ISNUMBER(SEARCH(" "&amp;Task!$A$16&amp;" "," "&amp;LOWER(SUBSTITUTE(SUBSTITUTE(SUBSTITUTE(SUBSTITUTE(A386,"/"," "),"."," "),"\"," "),"_"," "))&amp;" ")),1,0))+IF(Task!$A$17="",0,IF(ISNUMBER(SEARCH(" "&amp;Task!$A$17&amp;" "," "&amp;LOWER(SUBSTITUTE(SUBSTITUTE(SUBSTITUTE(SUBSTITUTE(A386,"/"," "),"."," "),"\"," "),"_"," "))&amp;" ")),1,0))+IF(Task!$A$18="",0,IF(ISNUMBER(SEARCH(" "&amp;Task!$A$18&amp;" "," "&amp;LOWER(SUBSTITUTE(SUBSTITUTE(SUBSTITUTE(SUBSTITUTE(A386,"/"," "),"."," "),"\"," "),"_"," "))&amp;" ")),1,0))+IF(Task!$A$19="",0,IF(ISNUMBER(SEARCH(" "&amp;Task!$A$19&amp;" "," "&amp;LOWER(SUBSTITUTE(SUBSTITUTE(SUBSTITUTE(SUBSTITUTE(A386,"/"," "),"."," "),"\"," "),"_"," "))&amp;" ")),1,0)))</f>
        <v/>
      </c>
      <c r="I386" s="10">
        <f>IF(OR(E386=0,F386=0,Task!$B$21=0),"",F386/Task!$B$21+0.5*G386+0.25*H386)</f>
        <v/>
      </c>
      <c r="J386" s="5">
        <f>IF(I386="","",I386-ROW()/1000000)</f>
        <v/>
      </c>
      <c r="K386" s="9">
        <f>IF(J386="","",COUNTIF($J$5:$J$404,"&gt;"&amp;J386)+1)</f>
        <v/>
      </c>
    </row>
    <row r="387">
      <c r="A387" s="7" t="n"/>
      <c r="B387" s="7" t="n"/>
      <c r="C387" s="7" t="n"/>
      <c r="D387" s="7" t="n"/>
      <c r="E387" s="5">
        <f>IF(A387="",0,IF(COUNTA(Task!$B$5:$E$5)=0,1,IF(COUNTIF(Task!$B$5:$E$5,B387)&gt;0,1,0)))</f>
        <v/>
      </c>
      <c r="F387" s="9">
        <f>IF(E387=0,0,IF(Task!$A$8="",0,IF(ISNUMBER(SEARCH(" "&amp;Task!$A$8&amp;" "," "&amp;LOWER(D387&amp;" "&amp;C387&amp;" "&amp;LOWER(SUBSTITUTE(SUBSTITUTE(SUBSTITUTE(SUBSTITUTE(A387,"/"," "),"."," "),"\"," "),"_"," ")))&amp;" ")),1,0))+IF(Task!$A$9="",0,IF(ISNUMBER(SEARCH(" "&amp;Task!$A$9&amp;" "," "&amp;LOWER(D387&amp;" "&amp;C387&amp;" "&amp;LOWER(SUBSTITUTE(SUBSTITUTE(SUBSTITUTE(SUBSTITUTE(A387,"/"," "),"."," "),"\"," "),"_"," ")))&amp;" ")),1,0))+IF(Task!$A$10="",0,IF(ISNUMBER(SEARCH(" "&amp;Task!$A$10&amp;" "," "&amp;LOWER(D387&amp;" "&amp;C387&amp;" "&amp;LOWER(SUBSTITUTE(SUBSTITUTE(SUBSTITUTE(SUBSTITUTE(A387,"/"," "),"."," "),"\"," "),"_"," ")))&amp;" ")),1,0))+IF(Task!$A$11="",0,IF(ISNUMBER(SEARCH(" "&amp;Task!$A$11&amp;" "," "&amp;LOWER(D387&amp;" "&amp;C387&amp;" "&amp;LOWER(SUBSTITUTE(SUBSTITUTE(SUBSTITUTE(SUBSTITUTE(A387,"/"," "),"."," "),"\"," "),"_"," ")))&amp;" ")),1,0))+IF(Task!$A$12="",0,IF(ISNUMBER(SEARCH(" "&amp;Task!$A$12&amp;" "," "&amp;LOWER(D387&amp;" "&amp;C387&amp;" "&amp;LOWER(SUBSTITUTE(SUBSTITUTE(SUBSTITUTE(SUBSTITUTE(A387,"/"," "),"."," "),"\"," "),"_"," ")))&amp;" ")),1,0))+IF(Task!$A$13="",0,IF(ISNUMBER(SEARCH(" "&amp;Task!$A$13&amp;" "," "&amp;LOWER(D387&amp;" "&amp;C387&amp;" "&amp;LOWER(SUBSTITUTE(SUBSTITUTE(SUBSTITUTE(SUBSTITUTE(A387,"/"," "),"."," "),"\"," "),"_"," ")))&amp;" ")),1,0))+IF(Task!$A$14="",0,IF(ISNUMBER(SEARCH(" "&amp;Task!$A$14&amp;" "," "&amp;LOWER(D387&amp;" "&amp;C387&amp;" "&amp;LOWER(SUBSTITUTE(SUBSTITUTE(SUBSTITUTE(SUBSTITUTE(A387,"/"," "),"."," "),"\"," "),"_"," ")))&amp;" ")),1,0))+IF(Task!$A$15="",0,IF(ISNUMBER(SEARCH(" "&amp;Task!$A$15&amp;" "," "&amp;LOWER(D387&amp;" "&amp;C387&amp;" "&amp;LOWER(SUBSTITUTE(SUBSTITUTE(SUBSTITUTE(SUBSTITUTE(A387,"/"," "),"."," "),"\"," "),"_"," ")))&amp;" ")),1,0))+IF(Task!$A$16="",0,IF(ISNUMBER(SEARCH(" "&amp;Task!$A$16&amp;" "," "&amp;LOWER(D387&amp;" "&amp;C387&amp;" "&amp;LOWER(SUBSTITUTE(SUBSTITUTE(SUBSTITUTE(SUBSTITUTE(A387,"/"," "),"."," "),"\"," "),"_"," ")))&amp;" ")),1,0))+IF(Task!$A$17="",0,IF(ISNUMBER(SEARCH(" "&amp;Task!$A$17&amp;" "," "&amp;LOWER(D387&amp;" "&amp;C387&amp;" "&amp;LOWER(SUBSTITUTE(SUBSTITUTE(SUBSTITUTE(SUBSTITUTE(A387,"/"," "),"."," "),"\"," "),"_"," ")))&amp;" ")),1,0))+IF(Task!$A$18="",0,IF(ISNUMBER(SEARCH(" "&amp;Task!$A$18&amp;" "," "&amp;LOWER(D387&amp;" "&amp;C387&amp;" "&amp;LOWER(SUBSTITUTE(SUBSTITUTE(SUBSTITUTE(SUBSTITUTE(A387,"/"," "),"."," "),"\"," "),"_"," ")))&amp;" ")),1,0))+IF(Task!$A$19="",0,IF(ISNUMBER(SEARCH(" "&amp;Task!$A$19&amp;" "," "&amp;LOWER(D387&amp;" "&amp;C387&amp;" "&amp;LOWER(SUBSTITUTE(SUBSTITUTE(SUBSTITUTE(SUBSTITUTE(A387,"/"," "),"."," "),"\"," "),"_"," ")))&amp;" ")),1,0)))</f>
        <v/>
      </c>
      <c r="G387" s="9">
        <f>IF(E387=0,0,IF(Task!$A$8="",0,IF(ISNUMBER(SEARCH(" "&amp;Task!$A$8&amp;" "," "&amp;LOWER(C387)&amp;" ")),1,0))+IF(Task!$A$9="",0,IF(ISNUMBER(SEARCH(" "&amp;Task!$A$9&amp;" "," "&amp;LOWER(C387)&amp;" ")),1,0))+IF(Task!$A$10="",0,IF(ISNUMBER(SEARCH(" "&amp;Task!$A$10&amp;" "," "&amp;LOWER(C387)&amp;" ")),1,0))+IF(Task!$A$11="",0,IF(ISNUMBER(SEARCH(" "&amp;Task!$A$11&amp;" "," "&amp;LOWER(C387)&amp;" ")),1,0))+IF(Task!$A$12="",0,IF(ISNUMBER(SEARCH(" "&amp;Task!$A$12&amp;" "," "&amp;LOWER(C387)&amp;" ")),1,0))+IF(Task!$A$13="",0,IF(ISNUMBER(SEARCH(" "&amp;Task!$A$13&amp;" "," "&amp;LOWER(C387)&amp;" ")),1,0))+IF(Task!$A$14="",0,IF(ISNUMBER(SEARCH(" "&amp;Task!$A$14&amp;" "," "&amp;LOWER(C387)&amp;" ")),1,0))+IF(Task!$A$15="",0,IF(ISNUMBER(SEARCH(" "&amp;Task!$A$15&amp;" "," "&amp;LOWER(C387)&amp;" ")),1,0))+IF(Task!$A$16="",0,IF(ISNUMBER(SEARCH(" "&amp;Task!$A$16&amp;" "," "&amp;LOWER(C387)&amp;" ")),1,0))+IF(Task!$A$17="",0,IF(ISNUMBER(SEARCH(" "&amp;Task!$A$17&amp;" "," "&amp;LOWER(C387)&amp;" ")),1,0))+IF(Task!$A$18="",0,IF(ISNUMBER(SEARCH(" "&amp;Task!$A$18&amp;" "," "&amp;LOWER(C387)&amp;" ")),1,0))+IF(Task!$A$19="",0,IF(ISNUMBER(SEARCH(" "&amp;Task!$A$19&amp;" "," "&amp;LOWER(C387)&amp;" ")),1,0)))</f>
        <v/>
      </c>
      <c r="H387" s="9">
        <f>IF(E387=0,0,IF(Task!$A$8="",0,IF(ISNUMBER(SEARCH(" "&amp;Task!$A$8&amp;" "," "&amp;LOWER(SUBSTITUTE(SUBSTITUTE(SUBSTITUTE(SUBSTITUTE(A387,"/"," "),"."," "),"\"," "),"_"," "))&amp;" ")),1,0))+IF(Task!$A$9="",0,IF(ISNUMBER(SEARCH(" "&amp;Task!$A$9&amp;" "," "&amp;LOWER(SUBSTITUTE(SUBSTITUTE(SUBSTITUTE(SUBSTITUTE(A387,"/"," "),"."," "),"\"," "),"_"," "))&amp;" ")),1,0))+IF(Task!$A$10="",0,IF(ISNUMBER(SEARCH(" "&amp;Task!$A$10&amp;" "," "&amp;LOWER(SUBSTITUTE(SUBSTITUTE(SUBSTITUTE(SUBSTITUTE(A387,"/"," "),"."," "),"\"," "),"_"," "))&amp;" ")),1,0))+IF(Task!$A$11="",0,IF(ISNUMBER(SEARCH(" "&amp;Task!$A$11&amp;" "," "&amp;LOWER(SUBSTITUTE(SUBSTITUTE(SUBSTITUTE(SUBSTITUTE(A387,"/"," "),"."," "),"\"," "),"_"," "))&amp;" ")),1,0))+IF(Task!$A$12="",0,IF(ISNUMBER(SEARCH(" "&amp;Task!$A$12&amp;" "," "&amp;LOWER(SUBSTITUTE(SUBSTITUTE(SUBSTITUTE(SUBSTITUTE(A387,"/"," "),"."," "),"\"," "),"_"," "))&amp;" ")),1,0))+IF(Task!$A$13="",0,IF(ISNUMBER(SEARCH(" "&amp;Task!$A$13&amp;" "," "&amp;LOWER(SUBSTITUTE(SUBSTITUTE(SUBSTITUTE(SUBSTITUTE(A387,"/"," "),"."," "),"\"," "),"_"," "))&amp;" ")),1,0))+IF(Task!$A$14="",0,IF(ISNUMBER(SEARCH(" "&amp;Task!$A$14&amp;" "," "&amp;LOWER(SUBSTITUTE(SUBSTITUTE(SUBSTITUTE(SUBSTITUTE(A387,"/"," "),"."," "),"\"," "),"_"," "))&amp;" ")),1,0))+IF(Task!$A$15="",0,IF(ISNUMBER(SEARCH(" "&amp;Task!$A$15&amp;" "," "&amp;LOWER(SUBSTITUTE(SUBSTITUTE(SUBSTITUTE(SUBSTITUTE(A387,"/"," "),"."," "),"\"," "),"_"," "))&amp;" ")),1,0))+IF(Task!$A$16="",0,IF(ISNUMBER(SEARCH(" "&amp;Task!$A$16&amp;" "," "&amp;LOWER(SUBSTITUTE(SUBSTITUTE(SUBSTITUTE(SUBSTITUTE(A387,"/"," "),"."," "),"\"," "),"_"," "))&amp;" ")),1,0))+IF(Task!$A$17="",0,IF(ISNUMBER(SEARCH(" "&amp;Task!$A$17&amp;" "," "&amp;LOWER(SUBSTITUTE(SUBSTITUTE(SUBSTITUTE(SUBSTITUTE(A387,"/"," "),"."," "),"\"," "),"_"," "))&amp;" ")),1,0))+IF(Task!$A$18="",0,IF(ISNUMBER(SEARCH(" "&amp;Task!$A$18&amp;" "," "&amp;LOWER(SUBSTITUTE(SUBSTITUTE(SUBSTITUTE(SUBSTITUTE(A387,"/"," "),"."," "),"\"," "),"_"," "))&amp;" ")),1,0))+IF(Task!$A$19="",0,IF(ISNUMBER(SEARCH(" "&amp;Task!$A$19&amp;" "," "&amp;LOWER(SUBSTITUTE(SUBSTITUTE(SUBSTITUTE(SUBSTITUTE(A387,"/"," "),"."," "),"\"," "),"_"," "))&amp;" ")),1,0)))</f>
        <v/>
      </c>
      <c r="I387" s="10">
        <f>IF(OR(E387=0,F387=0,Task!$B$21=0),"",F387/Task!$B$21+0.5*G387+0.25*H387)</f>
        <v/>
      </c>
      <c r="J387" s="5">
        <f>IF(I387="","",I387-ROW()/1000000)</f>
        <v/>
      </c>
      <c r="K387" s="9">
        <f>IF(J387="","",COUNTIF($J$5:$J$404,"&gt;"&amp;J387)+1)</f>
        <v/>
      </c>
    </row>
    <row r="388">
      <c r="A388" s="7" t="n"/>
      <c r="B388" s="7" t="n"/>
      <c r="C388" s="7" t="n"/>
      <c r="D388" s="7" t="n"/>
      <c r="E388" s="5">
        <f>IF(A388="",0,IF(COUNTA(Task!$B$5:$E$5)=0,1,IF(COUNTIF(Task!$B$5:$E$5,B388)&gt;0,1,0)))</f>
        <v/>
      </c>
      <c r="F388" s="9">
        <f>IF(E388=0,0,IF(Task!$A$8="",0,IF(ISNUMBER(SEARCH(" "&amp;Task!$A$8&amp;" "," "&amp;LOWER(D388&amp;" "&amp;C388&amp;" "&amp;LOWER(SUBSTITUTE(SUBSTITUTE(SUBSTITUTE(SUBSTITUTE(A388,"/"," "),"."," "),"\"," "),"_"," ")))&amp;" ")),1,0))+IF(Task!$A$9="",0,IF(ISNUMBER(SEARCH(" "&amp;Task!$A$9&amp;" "," "&amp;LOWER(D388&amp;" "&amp;C388&amp;" "&amp;LOWER(SUBSTITUTE(SUBSTITUTE(SUBSTITUTE(SUBSTITUTE(A388,"/"," "),"."," "),"\"," "),"_"," ")))&amp;" ")),1,0))+IF(Task!$A$10="",0,IF(ISNUMBER(SEARCH(" "&amp;Task!$A$10&amp;" "," "&amp;LOWER(D388&amp;" "&amp;C388&amp;" "&amp;LOWER(SUBSTITUTE(SUBSTITUTE(SUBSTITUTE(SUBSTITUTE(A388,"/"," "),"."," "),"\"," "),"_"," ")))&amp;" ")),1,0))+IF(Task!$A$11="",0,IF(ISNUMBER(SEARCH(" "&amp;Task!$A$11&amp;" "," "&amp;LOWER(D388&amp;" "&amp;C388&amp;" "&amp;LOWER(SUBSTITUTE(SUBSTITUTE(SUBSTITUTE(SUBSTITUTE(A388,"/"," "),"."," "),"\"," "),"_"," ")))&amp;" ")),1,0))+IF(Task!$A$12="",0,IF(ISNUMBER(SEARCH(" "&amp;Task!$A$12&amp;" "," "&amp;LOWER(D388&amp;" "&amp;C388&amp;" "&amp;LOWER(SUBSTITUTE(SUBSTITUTE(SUBSTITUTE(SUBSTITUTE(A388,"/"," "),"."," "),"\"," "),"_"," ")))&amp;" ")),1,0))+IF(Task!$A$13="",0,IF(ISNUMBER(SEARCH(" "&amp;Task!$A$13&amp;" "," "&amp;LOWER(D388&amp;" "&amp;C388&amp;" "&amp;LOWER(SUBSTITUTE(SUBSTITUTE(SUBSTITUTE(SUBSTITUTE(A388,"/"," "),"."," "),"\"," "),"_"," ")))&amp;" ")),1,0))+IF(Task!$A$14="",0,IF(ISNUMBER(SEARCH(" "&amp;Task!$A$14&amp;" "," "&amp;LOWER(D388&amp;" "&amp;C388&amp;" "&amp;LOWER(SUBSTITUTE(SUBSTITUTE(SUBSTITUTE(SUBSTITUTE(A388,"/"," "),"."," "),"\"," "),"_"," ")))&amp;" ")),1,0))+IF(Task!$A$15="",0,IF(ISNUMBER(SEARCH(" "&amp;Task!$A$15&amp;" "," "&amp;LOWER(D388&amp;" "&amp;C388&amp;" "&amp;LOWER(SUBSTITUTE(SUBSTITUTE(SUBSTITUTE(SUBSTITUTE(A388,"/"," "),"."," "),"\"," "),"_"," ")))&amp;" ")),1,0))+IF(Task!$A$16="",0,IF(ISNUMBER(SEARCH(" "&amp;Task!$A$16&amp;" "," "&amp;LOWER(D388&amp;" "&amp;C388&amp;" "&amp;LOWER(SUBSTITUTE(SUBSTITUTE(SUBSTITUTE(SUBSTITUTE(A388,"/"," "),"."," "),"\"," "),"_"," ")))&amp;" ")),1,0))+IF(Task!$A$17="",0,IF(ISNUMBER(SEARCH(" "&amp;Task!$A$17&amp;" "," "&amp;LOWER(D388&amp;" "&amp;C388&amp;" "&amp;LOWER(SUBSTITUTE(SUBSTITUTE(SUBSTITUTE(SUBSTITUTE(A388,"/"," "),"."," "),"\"," "),"_"," ")))&amp;" ")),1,0))+IF(Task!$A$18="",0,IF(ISNUMBER(SEARCH(" "&amp;Task!$A$18&amp;" "," "&amp;LOWER(D388&amp;" "&amp;C388&amp;" "&amp;LOWER(SUBSTITUTE(SUBSTITUTE(SUBSTITUTE(SUBSTITUTE(A388,"/"," "),"."," "),"\"," "),"_"," ")))&amp;" ")),1,0))+IF(Task!$A$19="",0,IF(ISNUMBER(SEARCH(" "&amp;Task!$A$19&amp;" "," "&amp;LOWER(D388&amp;" "&amp;C388&amp;" "&amp;LOWER(SUBSTITUTE(SUBSTITUTE(SUBSTITUTE(SUBSTITUTE(A388,"/"," "),"."," "),"\"," "),"_"," ")))&amp;" ")),1,0)))</f>
        <v/>
      </c>
      <c r="G388" s="9">
        <f>IF(E388=0,0,IF(Task!$A$8="",0,IF(ISNUMBER(SEARCH(" "&amp;Task!$A$8&amp;" "," "&amp;LOWER(C388)&amp;" ")),1,0))+IF(Task!$A$9="",0,IF(ISNUMBER(SEARCH(" "&amp;Task!$A$9&amp;" "," "&amp;LOWER(C388)&amp;" ")),1,0))+IF(Task!$A$10="",0,IF(ISNUMBER(SEARCH(" "&amp;Task!$A$10&amp;" "," "&amp;LOWER(C388)&amp;" ")),1,0))+IF(Task!$A$11="",0,IF(ISNUMBER(SEARCH(" "&amp;Task!$A$11&amp;" "," "&amp;LOWER(C388)&amp;" ")),1,0))+IF(Task!$A$12="",0,IF(ISNUMBER(SEARCH(" "&amp;Task!$A$12&amp;" "," "&amp;LOWER(C388)&amp;" ")),1,0))+IF(Task!$A$13="",0,IF(ISNUMBER(SEARCH(" "&amp;Task!$A$13&amp;" "," "&amp;LOWER(C388)&amp;" ")),1,0))+IF(Task!$A$14="",0,IF(ISNUMBER(SEARCH(" "&amp;Task!$A$14&amp;" "," "&amp;LOWER(C388)&amp;" ")),1,0))+IF(Task!$A$15="",0,IF(ISNUMBER(SEARCH(" "&amp;Task!$A$15&amp;" "," "&amp;LOWER(C388)&amp;" ")),1,0))+IF(Task!$A$16="",0,IF(ISNUMBER(SEARCH(" "&amp;Task!$A$16&amp;" "," "&amp;LOWER(C388)&amp;" ")),1,0))+IF(Task!$A$17="",0,IF(ISNUMBER(SEARCH(" "&amp;Task!$A$17&amp;" "," "&amp;LOWER(C388)&amp;" ")),1,0))+IF(Task!$A$18="",0,IF(ISNUMBER(SEARCH(" "&amp;Task!$A$18&amp;" "," "&amp;LOWER(C388)&amp;" ")),1,0))+IF(Task!$A$19="",0,IF(ISNUMBER(SEARCH(" "&amp;Task!$A$19&amp;" "," "&amp;LOWER(C388)&amp;" ")),1,0)))</f>
        <v/>
      </c>
      <c r="H388" s="9">
        <f>IF(E388=0,0,IF(Task!$A$8="",0,IF(ISNUMBER(SEARCH(" "&amp;Task!$A$8&amp;" "," "&amp;LOWER(SUBSTITUTE(SUBSTITUTE(SUBSTITUTE(SUBSTITUTE(A388,"/"," "),"."," "),"\"," "),"_"," "))&amp;" ")),1,0))+IF(Task!$A$9="",0,IF(ISNUMBER(SEARCH(" "&amp;Task!$A$9&amp;" "," "&amp;LOWER(SUBSTITUTE(SUBSTITUTE(SUBSTITUTE(SUBSTITUTE(A388,"/"," "),"."," "),"\"," "),"_"," "))&amp;" ")),1,0))+IF(Task!$A$10="",0,IF(ISNUMBER(SEARCH(" "&amp;Task!$A$10&amp;" "," "&amp;LOWER(SUBSTITUTE(SUBSTITUTE(SUBSTITUTE(SUBSTITUTE(A388,"/"," "),"."," "),"\"," "),"_"," "))&amp;" ")),1,0))+IF(Task!$A$11="",0,IF(ISNUMBER(SEARCH(" "&amp;Task!$A$11&amp;" "," "&amp;LOWER(SUBSTITUTE(SUBSTITUTE(SUBSTITUTE(SUBSTITUTE(A388,"/"," "),"."," "),"\"," "),"_"," "))&amp;" ")),1,0))+IF(Task!$A$12="",0,IF(ISNUMBER(SEARCH(" "&amp;Task!$A$12&amp;" "," "&amp;LOWER(SUBSTITUTE(SUBSTITUTE(SUBSTITUTE(SUBSTITUTE(A388,"/"," "),"."," "),"\"," "),"_"," "))&amp;" ")),1,0))+IF(Task!$A$13="",0,IF(ISNUMBER(SEARCH(" "&amp;Task!$A$13&amp;" "," "&amp;LOWER(SUBSTITUTE(SUBSTITUTE(SUBSTITUTE(SUBSTITUTE(A388,"/"," "),"."," "),"\"," "),"_"," "))&amp;" ")),1,0))+IF(Task!$A$14="",0,IF(ISNUMBER(SEARCH(" "&amp;Task!$A$14&amp;" "," "&amp;LOWER(SUBSTITUTE(SUBSTITUTE(SUBSTITUTE(SUBSTITUTE(A388,"/"," "),"."," "),"\"," "),"_"," "))&amp;" ")),1,0))+IF(Task!$A$15="",0,IF(ISNUMBER(SEARCH(" "&amp;Task!$A$15&amp;" "," "&amp;LOWER(SUBSTITUTE(SUBSTITUTE(SUBSTITUTE(SUBSTITUTE(A388,"/"," "),"."," "),"\"," "),"_"," "))&amp;" ")),1,0))+IF(Task!$A$16="",0,IF(ISNUMBER(SEARCH(" "&amp;Task!$A$16&amp;" "," "&amp;LOWER(SUBSTITUTE(SUBSTITUTE(SUBSTITUTE(SUBSTITUTE(A388,"/"," "),"."," "),"\"," "),"_"," "))&amp;" ")),1,0))+IF(Task!$A$17="",0,IF(ISNUMBER(SEARCH(" "&amp;Task!$A$17&amp;" "," "&amp;LOWER(SUBSTITUTE(SUBSTITUTE(SUBSTITUTE(SUBSTITUTE(A388,"/"," "),"."," "),"\"," "),"_"," "))&amp;" ")),1,0))+IF(Task!$A$18="",0,IF(ISNUMBER(SEARCH(" "&amp;Task!$A$18&amp;" "," "&amp;LOWER(SUBSTITUTE(SUBSTITUTE(SUBSTITUTE(SUBSTITUTE(A388,"/"," "),"."," "),"\"," "),"_"," "))&amp;" ")),1,0))+IF(Task!$A$19="",0,IF(ISNUMBER(SEARCH(" "&amp;Task!$A$19&amp;" "," "&amp;LOWER(SUBSTITUTE(SUBSTITUTE(SUBSTITUTE(SUBSTITUTE(A388,"/"," "),"."," "),"\"," "),"_"," "))&amp;" ")),1,0)))</f>
        <v/>
      </c>
      <c r="I388" s="10">
        <f>IF(OR(E388=0,F388=0,Task!$B$21=0),"",F388/Task!$B$21+0.5*G388+0.25*H388)</f>
        <v/>
      </c>
      <c r="J388" s="5">
        <f>IF(I388="","",I388-ROW()/1000000)</f>
        <v/>
      </c>
      <c r="K388" s="9">
        <f>IF(J388="","",COUNTIF($J$5:$J$404,"&gt;"&amp;J388)+1)</f>
        <v/>
      </c>
    </row>
    <row r="389">
      <c r="A389" s="7" t="n"/>
      <c r="B389" s="7" t="n"/>
      <c r="C389" s="7" t="n"/>
      <c r="D389" s="7" t="n"/>
      <c r="E389" s="5">
        <f>IF(A389="",0,IF(COUNTA(Task!$B$5:$E$5)=0,1,IF(COUNTIF(Task!$B$5:$E$5,B389)&gt;0,1,0)))</f>
        <v/>
      </c>
      <c r="F389" s="9">
        <f>IF(E389=0,0,IF(Task!$A$8="",0,IF(ISNUMBER(SEARCH(" "&amp;Task!$A$8&amp;" "," "&amp;LOWER(D389&amp;" "&amp;C389&amp;" "&amp;LOWER(SUBSTITUTE(SUBSTITUTE(SUBSTITUTE(SUBSTITUTE(A389,"/"," "),"."," "),"\"," "),"_"," ")))&amp;" ")),1,0))+IF(Task!$A$9="",0,IF(ISNUMBER(SEARCH(" "&amp;Task!$A$9&amp;" "," "&amp;LOWER(D389&amp;" "&amp;C389&amp;" "&amp;LOWER(SUBSTITUTE(SUBSTITUTE(SUBSTITUTE(SUBSTITUTE(A389,"/"," "),"."," "),"\"," "),"_"," ")))&amp;" ")),1,0))+IF(Task!$A$10="",0,IF(ISNUMBER(SEARCH(" "&amp;Task!$A$10&amp;" "," "&amp;LOWER(D389&amp;" "&amp;C389&amp;" "&amp;LOWER(SUBSTITUTE(SUBSTITUTE(SUBSTITUTE(SUBSTITUTE(A389,"/"," "),"."," "),"\"," "),"_"," ")))&amp;" ")),1,0))+IF(Task!$A$11="",0,IF(ISNUMBER(SEARCH(" "&amp;Task!$A$11&amp;" "," "&amp;LOWER(D389&amp;" "&amp;C389&amp;" "&amp;LOWER(SUBSTITUTE(SUBSTITUTE(SUBSTITUTE(SUBSTITUTE(A389,"/"," "),"."," "),"\"," "),"_"," ")))&amp;" ")),1,0))+IF(Task!$A$12="",0,IF(ISNUMBER(SEARCH(" "&amp;Task!$A$12&amp;" "," "&amp;LOWER(D389&amp;" "&amp;C389&amp;" "&amp;LOWER(SUBSTITUTE(SUBSTITUTE(SUBSTITUTE(SUBSTITUTE(A389,"/"," "),"."," "),"\"," "),"_"," ")))&amp;" ")),1,0))+IF(Task!$A$13="",0,IF(ISNUMBER(SEARCH(" "&amp;Task!$A$13&amp;" "," "&amp;LOWER(D389&amp;" "&amp;C389&amp;" "&amp;LOWER(SUBSTITUTE(SUBSTITUTE(SUBSTITUTE(SUBSTITUTE(A389,"/"," "),"."," "),"\"," "),"_"," ")))&amp;" ")),1,0))+IF(Task!$A$14="",0,IF(ISNUMBER(SEARCH(" "&amp;Task!$A$14&amp;" "," "&amp;LOWER(D389&amp;" "&amp;C389&amp;" "&amp;LOWER(SUBSTITUTE(SUBSTITUTE(SUBSTITUTE(SUBSTITUTE(A389,"/"," "),"."," "),"\"," "),"_"," ")))&amp;" ")),1,0))+IF(Task!$A$15="",0,IF(ISNUMBER(SEARCH(" "&amp;Task!$A$15&amp;" "," "&amp;LOWER(D389&amp;" "&amp;C389&amp;" "&amp;LOWER(SUBSTITUTE(SUBSTITUTE(SUBSTITUTE(SUBSTITUTE(A389,"/"," "),"."," "),"\"," "),"_"," ")))&amp;" ")),1,0))+IF(Task!$A$16="",0,IF(ISNUMBER(SEARCH(" "&amp;Task!$A$16&amp;" "," "&amp;LOWER(D389&amp;" "&amp;C389&amp;" "&amp;LOWER(SUBSTITUTE(SUBSTITUTE(SUBSTITUTE(SUBSTITUTE(A389,"/"," "),"."," "),"\"," "),"_"," ")))&amp;" ")),1,0))+IF(Task!$A$17="",0,IF(ISNUMBER(SEARCH(" "&amp;Task!$A$17&amp;" "," "&amp;LOWER(D389&amp;" "&amp;C389&amp;" "&amp;LOWER(SUBSTITUTE(SUBSTITUTE(SUBSTITUTE(SUBSTITUTE(A389,"/"," "),"."," "),"\"," "),"_"," ")))&amp;" ")),1,0))+IF(Task!$A$18="",0,IF(ISNUMBER(SEARCH(" "&amp;Task!$A$18&amp;" "," "&amp;LOWER(D389&amp;" "&amp;C389&amp;" "&amp;LOWER(SUBSTITUTE(SUBSTITUTE(SUBSTITUTE(SUBSTITUTE(A389,"/"," "),"."," "),"\"," "),"_"," ")))&amp;" ")),1,0))+IF(Task!$A$19="",0,IF(ISNUMBER(SEARCH(" "&amp;Task!$A$19&amp;" "," "&amp;LOWER(D389&amp;" "&amp;C389&amp;" "&amp;LOWER(SUBSTITUTE(SUBSTITUTE(SUBSTITUTE(SUBSTITUTE(A389,"/"," "),"."," "),"\"," "),"_"," ")))&amp;" ")),1,0)))</f>
        <v/>
      </c>
      <c r="G389" s="9">
        <f>IF(E389=0,0,IF(Task!$A$8="",0,IF(ISNUMBER(SEARCH(" "&amp;Task!$A$8&amp;" "," "&amp;LOWER(C389)&amp;" ")),1,0))+IF(Task!$A$9="",0,IF(ISNUMBER(SEARCH(" "&amp;Task!$A$9&amp;" "," "&amp;LOWER(C389)&amp;" ")),1,0))+IF(Task!$A$10="",0,IF(ISNUMBER(SEARCH(" "&amp;Task!$A$10&amp;" "," "&amp;LOWER(C389)&amp;" ")),1,0))+IF(Task!$A$11="",0,IF(ISNUMBER(SEARCH(" "&amp;Task!$A$11&amp;" "," "&amp;LOWER(C389)&amp;" ")),1,0))+IF(Task!$A$12="",0,IF(ISNUMBER(SEARCH(" "&amp;Task!$A$12&amp;" "," "&amp;LOWER(C389)&amp;" ")),1,0))+IF(Task!$A$13="",0,IF(ISNUMBER(SEARCH(" "&amp;Task!$A$13&amp;" "," "&amp;LOWER(C389)&amp;" ")),1,0))+IF(Task!$A$14="",0,IF(ISNUMBER(SEARCH(" "&amp;Task!$A$14&amp;" "," "&amp;LOWER(C389)&amp;" ")),1,0))+IF(Task!$A$15="",0,IF(ISNUMBER(SEARCH(" "&amp;Task!$A$15&amp;" "," "&amp;LOWER(C389)&amp;" ")),1,0))+IF(Task!$A$16="",0,IF(ISNUMBER(SEARCH(" "&amp;Task!$A$16&amp;" "," "&amp;LOWER(C389)&amp;" ")),1,0))+IF(Task!$A$17="",0,IF(ISNUMBER(SEARCH(" "&amp;Task!$A$17&amp;" "," "&amp;LOWER(C389)&amp;" ")),1,0))+IF(Task!$A$18="",0,IF(ISNUMBER(SEARCH(" "&amp;Task!$A$18&amp;" "," "&amp;LOWER(C389)&amp;" ")),1,0))+IF(Task!$A$19="",0,IF(ISNUMBER(SEARCH(" "&amp;Task!$A$19&amp;" "," "&amp;LOWER(C389)&amp;" ")),1,0)))</f>
        <v/>
      </c>
      <c r="H389" s="9">
        <f>IF(E389=0,0,IF(Task!$A$8="",0,IF(ISNUMBER(SEARCH(" "&amp;Task!$A$8&amp;" "," "&amp;LOWER(SUBSTITUTE(SUBSTITUTE(SUBSTITUTE(SUBSTITUTE(A389,"/"," "),"."," "),"\"," "),"_"," "))&amp;" ")),1,0))+IF(Task!$A$9="",0,IF(ISNUMBER(SEARCH(" "&amp;Task!$A$9&amp;" "," "&amp;LOWER(SUBSTITUTE(SUBSTITUTE(SUBSTITUTE(SUBSTITUTE(A389,"/"," "),"."," "),"\"," "),"_"," "))&amp;" ")),1,0))+IF(Task!$A$10="",0,IF(ISNUMBER(SEARCH(" "&amp;Task!$A$10&amp;" "," "&amp;LOWER(SUBSTITUTE(SUBSTITUTE(SUBSTITUTE(SUBSTITUTE(A389,"/"," "),"."," "),"\"," "),"_"," "))&amp;" ")),1,0))+IF(Task!$A$11="",0,IF(ISNUMBER(SEARCH(" "&amp;Task!$A$11&amp;" "," "&amp;LOWER(SUBSTITUTE(SUBSTITUTE(SUBSTITUTE(SUBSTITUTE(A389,"/"," "),"."," "),"\"," "),"_"," "))&amp;" ")),1,0))+IF(Task!$A$12="",0,IF(ISNUMBER(SEARCH(" "&amp;Task!$A$12&amp;" "," "&amp;LOWER(SUBSTITUTE(SUBSTITUTE(SUBSTITUTE(SUBSTITUTE(A389,"/"," "),"."," "),"\"," "),"_"," "))&amp;" ")),1,0))+IF(Task!$A$13="",0,IF(ISNUMBER(SEARCH(" "&amp;Task!$A$13&amp;" "," "&amp;LOWER(SUBSTITUTE(SUBSTITUTE(SUBSTITUTE(SUBSTITUTE(A389,"/"," "),"."," "),"\"," "),"_"," "))&amp;" ")),1,0))+IF(Task!$A$14="",0,IF(ISNUMBER(SEARCH(" "&amp;Task!$A$14&amp;" "," "&amp;LOWER(SUBSTITUTE(SUBSTITUTE(SUBSTITUTE(SUBSTITUTE(A389,"/"," "),"."," "),"\"," "),"_"," "))&amp;" ")),1,0))+IF(Task!$A$15="",0,IF(ISNUMBER(SEARCH(" "&amp;Task!$A$15&amp;" "," "&amp;LOWER(SUBSTITUTE(SUBSTITUTE(SUBSTITUTE(SUBSTITUTE(A389,"/"," "),"."," "),"\"," "),"_"," "))&amp;" ")),1,0))+IF(Task!$A$16="",0,IF(ISNUMBER(SEARCH(" "&amp;Task!$A$16&amp;" "," "&amp;LOWER(SUBSTITUTE(SUBSTITUTE(SUBSTITUTE(SUBSTITUTE(A389,"/"," "),"."," "),"\"," "),"_"," "))&amp;" ")),1,0))+IF(Task!$A$17="",0,IF(ISNUMBER(SEARCH(" "&amp;Task!$A$17&amp;" "," "&amp;LOWER(SUBSTITUTE(SUBSTITUTE(SUBSTITUTE(SUBSTITUTE(A389,"/"," "),"."," "),"\"," "),"_"," "))&amp;" ")),1,0))+IF(Task!$A$18="",0,IF(ISNUMBER(SEARCH(" "&amp;Task!$A$18&amp;" "," "&amp;LOWER(SUBSTITUTE(SUBSTITUTE(SUBSTITUTE(SUBSTITUTE(A389,"/"," "),"."," "),"\"," "),"_"," "))&amp;" ")),1,0))+IF(Task!$A$19="",0,IF(ISNUMBER(SEARCH(" "&amp;Task!$A$19&amp;" "," "&amp;LOWER(SUBSTITUTE(SUBSTITUTE(SUBSTITUTE(SUBSTITUTE(A389,"/"," "),"."," "),"\"," "),"_"," "))&amp;" ")),1,0)))</f>
        <v/>
      </c>
      <c r="I389" s="10">
        <f>IF(OR(E389=0,F389=0,Task!$B$21=0),"",F389/Task!$B$21+0.5*G389+0.25*H389)</f>
        <v/>
      </c>
      <c r="J389" s="5">
        <f>IF(I389="","",I389-ROW()/1000000)</f>
        <v/>
      </c>
      <c r="K389" s="9">
        <f>IF(J389="","",COUNTIF($J$5:$J$404,"&gt;"&amp;J389)+1)</f>
        <v/>
      </c>
    </row>
    <row r="390">
      <c r="A390" s="7" t="n"/>
      <c r="B390" s="7" t="n"/>
      <c r="C390" s="7" t="n"/>
      <c r="D390" s="7" t="n"/>
      <c r="E390" s="5">
        <f>IF(A390="",0,IF(COUNTA(Task!$B$5:$E$5)=0,1,IF(COUNTIF(Task!$B$5:$E$5,B390)&gt;0,1,0)))</f>
        <v/>
      </c>
      <c r="F390" s="9">
        <f>IF(E390=0,0,IF(Task!$A$8="",0,IF(ISNUMBER(SEARCH(" "&amp;Task!$A$8&amp;" "," "&amp;LOWER(D390&amp;" "&amp;C390&amp;" "&amp;LOWER(SUBSTITUTE(SUBSTITUTE(SUBSTITUTE(SUBSTITUTE(A390,"/"," "),"."," "),"\"," "),"_"," ")))&amp;" ")),1,0))+IF(Task!$A$9="",0,IF(ISNUMBER(SEARCH(" "&amp;Task!$A$9&amp;" "," "&amp;LOWER(D390&amp;" "&amp;C390&amp;" "&amp;LOWER(SUBSTITUTE(SUBSTITUTE(SUBSTITUTE(SUBSTITUTE(A390,"/"," "),"."," "),"\"," "),"_"," ")))&amp;" ")),1,0))+IF(Task!$A$10="",0,IF(ISNUMBER(SEARCH(" "&amp;Task!$A$10&amp;" "," "&amp;LOWER(D390&amp;" "&amp;C390&amp;" "&amp;LOWER(SUBSTITUTE(SUBSTITUTE(SUBSTITUTE(SUBSTITUTE(A390,"/"," "),"."," "),"\"," "),"_"," ")))&amp;" ")),1,0))+IF(Task!$A$11="",0,IF(ISNUMBER(SEARCH(" "&amp;Task!$A$11&amp;" "," "&amp;LOWER(D390&amp;" "&amp;C390&amp;" "&amp;LOWER(SUBSTITUTE(SUBSTITUTE(SUBSTITUTE(SUBSTITUTE(A390,"/"," "),"."," "),"\"," "),"_"," ")))&amp;" ")),1,0))+IF(Task!$A$12="",0,IF(ISNUMBER(SEARCH(" "&amp;Task!$A$12&amp;" "," "&amp;LOWER(D390&amp;" "&amp;C390&amp;" "&amp;LOWER(SUBSTITUTE(SUBSTITUTE(SUBSTITUTE(SUBSTITUTE(A390,"/"," "),"."," "),"\"," "),"_"," ")))&amp;" ")),1,0))+IF(Task!$A$13="",0,IF(ISNUMBER(SEARCH(" "&amp;Task!$A$13&amp;" "," "&amp;LOWER(D390&amp;" "&amp;C390&amp;" "&amp;LOWER(SUBSTITUTE(SUBSTITUTE(SUBSTITUTE(SUBSTITUTE(A390,"/"," "),"."," "),"\"," "),"_"," ")))&amp;" ")),1,0))+IF(Task!$A$14="",0,IF(ISNUMBER(SEARCH(" "&amp;Task!$A$14&amp;" "," "&amp;LOWER(D390&amp;" "&amp;C390&amp;" "&amp;LOWER(SUBSTITUTE(SUBSTITUTE(SUBSTITUTE(SUBSTITUTE(A390,"/"," "),"."," "),"\"," "),"_"," ")))&amp;" ")),1,0))+IF(Task!$A$15="",0,IF(ISNUMBER(SEARCH(" "&amp;Task!$A$15&amp;" "," "&amp;LOWER(D390&amp;" "&amp;C390&amp;" "&amp;LOWER(SUBSTITUTE(SUBSTITUTE(SUBSTITUTE(SUBSTITUTE(A390,"/"," "),"."," "),"\"," "),"_"," ")))&amp;" ")),1,0))+IF(Task!$A$16="",0,IF(ISNUMBER(SEARCH(" "&amp;Task!$A$16&amp;" "," "&amp;LOWER(D390&amp;" "&amp;C390&amp;" "&amp;LOWER(SUBSTITUTE(SUBSTITUTE(SUBSTITUTE(SUBSTITUTE(A390,"/"," "),"."," "),"\"," "),"_"," ")))&amp;" ")),1,0))+IF(Task!$A$17="",0,IF(ISNUMBER(SEARCH(" "&amp;Task!$A$17&amp;" "," "&amp;LOWER(D390&amp;" "&amp;C390&amp;" "&amp;LOWER(SUBSTITUTE(SUBSTITUTE(SUBSTITUTE(SUBSTITUTE(A390,"/"," "),"."," "),"\"," "),"_"," ")))&amp;" ")),1,0))+IF(Task!$A$18="",0,IF(ISNUMBER(SEARCH(" "&amp;Task!$A$18&amp;" "," "&amp;LOWER(D390&amp;" "&amp;C390&amp;" "&amp;LOWER(SUBSTITUTE(SUBSTITUTE(SUBSTITUTE(SUBSTITUTE(A390,"/"," "),"."," "),"\"," "),"_"," ")))&amp;" ")),1,0))+IF(Task!$A$19="",0,IF(ISNUMBER(SEARCH(" "&amp;Task!$A$19&amp;" "," "&amp;LOWER(D390&amp;" "&amp;C390&amp;" "&amp;LOWER(SUBSTITUTE(SUBSTITUTE(SUBSTITUTE(SUBSTITUTE(A390,"/"," "),"."," "),"\"," "),"_"," ")))&amp;" ")),1,0)))</f>
        <v/>
      </c>
      <c r="G390" s="9">
        <f>IF(E390=0,0,IF(Task!$A$8="",0,IF(ISNUMBER(SEARCH(" "&amp;Task!$A$8&amp;" "," "&amp;LOWER(C390)&amp;" ")),1,0))+IF(Task!$A$9="",0,IF(ISNUMBER(SEARCH(" "&amp;Task!$A$9&amp;" "," "&amp;LOWER(C390)&amp;" ")),1,0))+IF(Task!$A$10="",0,IF(ISNUMBER(SEARCH(" "&amp;Task!$A$10&amp;" "," "&amp;LOWER(C390)&amp;" ")),1,0))+IF(Task!$A$11="",0,IF(ISNUMBER(SEARCH(" "&amp;Task!$A$11&amp;" "," "&amp;LOWER(C390)&amp;" ")),1,0))+IF(Task!$A$12="",0,IF(ISNUMBER(SEARCH(" "&amp;Task!$A$12&amp;" "," "&amp;LOWER(C390)&amp;" ")),1,0))+IF(Task!$A$13="",0,IF(ISNUMBER(SEARCH(" "&amp;Task!$A$13&amp;" "," "&amp;LOWER(C390)&amp;" ")),1,0))+IF(Task!$A$14="",0,IF(ISNUMBER(SEARCH(" "&amp;Task!$A$14&amp;" "," "&amp;LOWER(C390)&amp;" ")),1,0))+IF(Task!$A$15="",0,IF(ISNUMBER(SEARCH(" "&amp;Task!$A$15&amp;" "," "&amp;LOWER(C390)&amp;" ")),1,0))+IF(Task!$A$16="",0,IF(ISNUMBER(SEARCH(" "&amp;Task!$A$16&amp;" "," "&amp;LOWER(C390)&amp;" ")),1,0))+IF(Task!$A$17="",0,IF(ISNUMBER(SEARCH(" "&amp;Task!$A$17&amp;" "," "&amp;LOWER(C390)&amp;" ")),1,0))+IF(Task!$A$18="",0,IF(ISNUMBER(SEARCH(" "&amp;Task!$A$18&amp;" "," "&amp;LOWER(C390)&amp;" ")),1,0))+IF(Task!$A$19="",0,IF(ISNUMBER(SEARCH(" "&amp;Task!$A$19&amp;" "," "&amp;LOWER(C390)&amp;" ")),1,0)))</f>
        <v/>
      </c>
      <c r="H390" s="9">
        <f>IF(E390=0,0,IF(Task!$A$8="",0,IF(ISNUMBER(SEARCH(" "&amp;Task!$A$8&amp;" "," "&amp;LOWER(SUBSTITUTE(SUBSTITUTE(SUBSTITUTE(SUBSTITUTE(A390,"/"," "),"."," "),"\"," "),"_"," "))&amp;" ")),1,0))+IF(Task!$A$9="",0,IF(ISNUMBER(SEARCH(" "&amp;Task!$A$9&amp;" "," "&amp;LOWER(SUBSTITUTE(SUBSTITUTE(SUBSTITUTE(SUBSTITUTE(A390,"/"," "),"."," "),"\"," "),"_"," "))&amp;" ")),1,0))+IF(Task!$A$10="",0,IF(ISNUMBER(SEARCH(" "&amp;Task!$A$10&amp;" "," "&amp;LOWER(SUBSTITUTE(SUBSTITUTE(SUBSTITUTE(SUBSTITUTE(A390,"/"," "),"."," "),"\"," "),"_"," "))&amp;" ")),1,0))+IF(Task!$A$11="",0,IF(ISNUMBER(SEARCH(" "&amp;Task!$A$11&amp;" "," "&amp;LOWER(SUBSTITUTE(SUBSTITUTE(SUBSTITUTE(SUBSTITUTE(A390,"/"," "),"."," "),"\"," "),"_"," "))&amp;" ")),1,0))+IF(Task!$A$12="",0,IF(ISNUMBER(SEARCH(" "&amp;Task!$A$12&amp;" "," "&amp;LOWER(SUBSTITUTE(SUBSTITUTE(SUBSTITUTE(SUBSTITUTE(A390,"/"," "),"."," "),"\"," "),"_"," "))&amp;" ")),1,0))+IF(Task!$A$13="",0,IF(ISNUMBER(SEARCH(" "&amp;Task!$A$13&amp;" "," "&amp;LOWER(SUBSTITUTE(SUBSTITUTE(SUBSTITUTE(SUBSTITUTE(A390,"/"," "),"."," "),"\"," "),"_"," "))&amp;" ")),1,0))+IF(Task!$A$14="",0,IF(ISNUMBER(SEARCH(" "&amp;Task!$A$14&amp;" "," "&amp;LOWER(SUBSTITUTE(SUBSTITUTE(SUBSTITUTE(SUBSTITUTE(A390,"/"," "),"."," "),"\"," "),"_"," "))&amp;" ")),1,0))+IF(Task!$A$15="",0,IF(ISNUMBER(SEARCH(" "&amp;Task!$A$15&amp;" "," "&amp;LOWER(SUBSTITUTE(SUBSTITUTE(SUBSTITUTE(SUBSTITUTE(A390,"/"," "),"."," "),"\"," "),"_"," "))&amp;" ")),1,0))+IF(Task!$A$16="",0,IF(ISNUMBER(SEARCH(" "&amp;Task!$A$16&amp;" "," "&amp;LOWER(SUBSTITUTE(SUBSTITUTE(SUBSTITUTE(SUBSTITUTE(A390,"/"," "),"."," "),"\"," "),"_"," "))&amp;" ")),1,0))+IF(Task!$A$17="",0,IF(ISNUMBER(SEARCH(" "&amp;Task!$A$17&amp;" "," "&amp;LOWER(SUBSTITUTE(SUBSTITUTE(SUBSTITUTE(SUBSTITUTE(A390,"/"," "),"."," "),"\"," "),"_"," "))&amp;" ")),1,0))+IF(Task!$A$18="",0,IF(ISNUMBER(SEARCH(" "&amp;Task!$A$18&amp;" "," "&amp;LOWER(SUBSTITUTE(SUBSTITUTE(SUBSTITUTE(SUBSTITUTE(A390,"/"," "),"."," "),"\"," "),"_"," "))&amp;" ")),1,0))+IF(Task!$A$19="",0,IF(ISNUMBER(SEARCH(" "&amp;Task!$A$19&amp;" "," "&amp;LOWER(SUBSTITUTE(SUBSTITUTE(SUBSTITUTE(SUBSTITUTE(A390,"/"," "),"."," "),"\"," "),"_"," "))&amp;" ")),1,0)))</f>
        <v/>
      </c>
      <c r="I390" s="10">
        <f>IF(OR(E390=0,F390=0,Task!$B$21=0),"",F390/Task!$B$21+0.5*G390+0.25*H390)</f>
        <v/>
      </c>
      <c r="J390" s="5">
        <f>IF(I390="","",I390-ROW()/1000000)</f>
        <v/>
      </c>
      <c r="K390" s="9">
        <f>IF(J390="","",COUNTIF($J$5:$J$404,"&gt;"&amp;J390)+1)</f>
        <v/>
      </c>
    </row>
    <row r="391">
      <c r="A391" s="7" t="n"/>
      <c r="B391" s="7" t="n"/>
      <c r="C391" s="7" t="n"/>
      <c r="D391" s="7" t="n"/>
      <c r="E391" s="5">
        <f>IF(A391="",0,IF(COUNTA(Task!$B$5:$E$5)=0,1,IF(COUNTIF(Task!$B$5:$E$5,B391)&gt;0,1,0)))</f>
        <v/>
      </c>
      <c r="F391" s="9">
        <f>IF(E391=0,0,IF(Task!$A$8="",0,IF(ISNUMBER(SEARCH(" "&amp;Task!$A$8&amp;" "," "&amp;LOWER(D391&amp;" "&amp;C391&amp;" "&amp;LOWER(SUBSTITUTE(SUBSTITUTE(SUBSTITUTE(SUBSTITUTE(A391,"/"," "),"."," "),"\"," "),"_"," ")))&amp;" ")),1,0))+IF(Task!$A$9="",0,IF(ISNUMBER(SEARCH(" "&amp;Task!$A$9&amp;" "," "&amp;LOWER(D391&amp;" "&amp;C391&amp;" "&amp;LOWER(SUBSTITUTE(SUBSTITUTE(SUBSTITUTE(SUBSTITUTE(A391,"/"," "),"."," "),"\"," "),"_"," ")))&amp;" ")),1,0))+IF(Task!$A$10="",0,IF(ISNUMBER(SEARCH(" "&amp;Task!$A$10&amp;" "," "&amp;LOWER(D391&amp;" "&amp;C391&amp;" "&amp;LOWER(SUBSTITUTE(SUBSTITUTE(SUBSTITUTE(SUBSTITUTE(A391,"/"," "),"."," "),"\"," "),"_"," ")))&amp;" ")),1,0))+IF(Task!$A$11="",0,IF(ISNUMBER(SEARCH(" "&amp;Task!$A$11&amp;" "," "&amp;LOWER(D391&amp;" "&amp;C391&amp;" "&amp;LOWER(SUBSTITUTE(SUBSTITUTE(SUBSTITUTE(SUBSTITUTE(A391,"/"," "),"."," "),"\"," "),"_"," ")))&amp;" ")),1,0))+IF(Task!$A$12="",0,IF(ISNUMBER(SEARCH(" "&amp;Task!$A$12&amp;" "," "&amp;LOWER(D391&amp;" "&amp;C391&amp;" "&amp;LOWER(SUBSTITUTE(SUBSTITUTE(SUBSTITUTE(SUBSTITUTE(A391,"/"," "),"."," "),"\"," "),"_"," ")))&amp;" ")),1,0))+IF(Task!$A$13="",0,IF(ISNUMBER(SEARCH(" "&amp;Task!$A$13&amp;" "," "&amp;LOWER(D391&amp;" "&amp;C391&amp;" "&amp;LOWER(SUBSTITUTE(SUBSTITUTE(SUBSTITUTE(SUBSTITUTE(A391,"/"," "),"."," "),"\"," "),"_"," ")))&amp;" ")),1,0))+IF(Task!$A$14="",0,IF(ISNUMBER(SEARCH(" "&amp;Task!$A$14&amp;" "," "&amp;LOWER(D391&amp;" "&amp;C391&amp;" "&amp;LOWER(SUBSTITUTE(SUBSTITUTE(SUBSTITUTE(SUBSTITUTE(A391,"/"," "),"."," "),"\"," "),"_"," ")))&amp;" ")),1,0))+IF(Task!$A$15="",0,IF(ISNUMBER(SEARCH(" "&amp;Task!$A$15&amp;" "," "&amp;LOWER(D391&amp;" "&amp;C391&amp;" "&amp;LOWER(SUBSTITUTE(SUBSTITUTE(SUBSTITUTE(SUBSTITUTE(A391,"/"," "),"."," "),"\"," "),"_"," ")))&amp;" ")),1,0))+IF(Task!$A$16="",0,IF(ISNUMBER(SEARCH(" "&amp;Task!$A$16&amp;" "," "&amp;LOWER(D391&amp;" "&amp;C391&amp;" "&amp;LOWER(SUBSTITUTE(SUBSTITUTE(SUBSTITUTE(SUBSTITUTE(A391,"/"," "),"."," "),"\"," "),"_"," ")))&amp;" ")),1,0))+IF(Task!$A$17="",0,IF(ISNUMBER(SEARCH(" "&amp;Task!$A$17&amp;" "," "&amp;LOWER(D391&amp;" "&amp;C391&amp;" "&amp;LOWER(SUBSTITUTE(SUBSTITUTE(SUBSTITUTE(SUBSTITUTE(A391,"/"," "),"."," "),"\"," "),"_"," ")))&amp;" ")),1,0))+IF(Task!$A$18="",0,IF(ISNUMBER(SEARCH(" "&amp;Task!$A$18&amp;" "," "&amp;LOWER(D391&amp;" "&amp;C391&amp;" "&amp;LOWER(SUBSTITUTE(SUBSTITUTE(SUBSTITUTE(SUBSTITUTE(A391,"/"," "),"."," "),"\"," "),"_"," ")))&amp;" ")),1,0))+IF(Task!$A$19="",0,IF(ISNUMBER(SEARCH(" "&amp;Task!$A$19&amp;" "," "&amp;LOWER(D391&amp;" "&amp;C391&amp;" "&amp;LOWER(SUBSTITUTE(SUBSTITUTE(SUBSTITUTE(SUBSTITUTE(A391,"/"," "),"."," "),"\"," "),"_"," ")))&amp;" ")),1,0)))</f>
        <v/>
      </c>
      <c r="G391" s="9">
        <f>IF(E391=0,0,IF(Task!$A$8="",0,IF(ISNUMBER(SEARCH(" "&amp;Task!$A$8&amp;" "," "&amp;LOWER(C391)&amp;" ")),1,0))+IF(Task!$A$9="",0,IF(ISNUMBER(SEARCH(" "&amp;Task!$A$9&amp;" "," "&amp;LOWER(C391)&amp;" ")),1,0))+IF(Task!$A$10="",0,IF(ISNUMBER(SEARCH(" "&amp;Task!$A$10&amp;" "," "&amp;LOWER(C391)&amp;" ")),1,0))+IF(Task!$A$11="",0,IF(ISNUMBER(SEARCH(" "&amp;Task!$A$11&amp;" "," "&amp;LOWER(C391)&amp;" ")),1,0))+IF(Task!$A$12="",0,IF(ISNUMBER(SEARCH(" "&amp;Task!$A$12&amp;" "," "&amp;LOWER(C391)&amp;" ")),1,0))+IF(Task!$A$13="",0,IF(ISNUMBER(SEARCH(" "&amp;Task!$A$13&amp;" "," "&amp;LOWER(C391)&amp;" ")),1,0))+IF(Task!$A$14="",0,IF(ISNUMBER(SEARCH(" "&amp;Task!$A$14&amp;" "," "&amp;LOWER(C391)&amp;" ")),1,0))+IF(Task!$A$15="",0,IF(ISNUMBER(SEARCH(" "&amp;Task!$A$15&amp;" "," "&amp;LOWER(C391)&amp;" ")),1,0))+IF(Task!$A$16="",0,IF(ISNUMBER(SEARCH(" "&amp;Task!$A$16&amp;" "," "&amp;LOWER(C391)&amp;" ")),1,0))+IF(Task!$A$17="",0,IF(ISNUMBER(SEARCH(" "&amp;Task!$A$17&amp;" "," "&amp;LOWER(C391)&amp;" ")),1,0))+IF(Task!$A$18="",0,IF(ISNUMBER(SEARCH(" "&amp;Task!$A$18&amp;" "," "&amp;LOWER(C391)&amp;" ")),1,0))+IF(Task!$A$19="",0,IF(ISNUMBER(SEARCH(" "&amp;Task!$A$19&amp;" "," "&amp;LOWER(C391)&amp;" ")),1,0)))</f>
        <v/>
      </c>
      <c r="H391" s="9">
        <f>IF(E391=0,0,IF(Task!$A$8="",0,IF(ISNUMBER(SEARCH(" "&amp;Task!$A$8&amp;" "," "&amp;LOWER(SUBSTITUTE(SUBSTITUTE(SUBSTITUTE(SUBSTITUTE(A391,"/"," "),"."," "),"\"," "),"_"," "))&amp;" ")),1,0))+IF(Task!$A$9="",0,IF(ISNUMBER(SEARCH(" "&amp;Task!$A$9&amp;" "," "&amp;LOWER(SUBSTITUTE(SUBSTITUTE(SUBSTITUTE(SUBSTITUTE(A391,"/"," "),"."," "),"\"," "),"_"," "))&amp;" ")),1,0))+IF(Task!$A$10="",0,IF(ISNUMBER(SEARCH(" "&amp;Task!$A$10&amp;" "," "&amp;LOWER(SUBSTITUTE(SUBSTITUTE(SUBSTITUTE(SUBSTITUTE(A391,"/"," "),"."," "),"\"," "),"_"," "))&amp;" ")),1,0))+IF(Task!$A$11="",0,IF(ISNUMBER(SEARCH(" "&amp;Task!$A$11&amp;" "," "&amp;LOWER(SUBSTITUTE(SUBSTITUTE(SUBSTITUTE(SUBSTITUTE(A391,"/"," "),"."," "),"\"," "),"_"," "))&amp;" ")),1,0))+IF(Task!$A$12="",0,IF(ISNUMBER(SEARCH(" "&amp;Task!$A$12&amp;" "," "&amp;LOWER(SUBSTITUTE(SUBSTITUTE(SUBSTITUTE(SUBSTITUTE(A391,"/"," "),"."," "),"\"," "),"_"," "))&amp;" ")),1,0))+IF(Task!$A$13="",0,IF(ISNUMBER(SEARCH(" "&amp;Task!$A$13&amp;" "," "&amp;LOWER(SUBSTITUTE(SUBSTITUTE(SUBSTITUTE(SUBSTITUTE(A391,"/"," "),"."," "),"\"," "),"_"," "))&amp;" ")),1,0))+IF(Task!$A$14="",0,IF(ISNUMBER(SEARCH(" "&amp;Task!$A$14&amp;" "," "&amp;LOWER(SUBSTITUTE(SUBSTITUTE(SUBSTITUTE(SUBSTITUTE(A391,"/"," "),"."," "),"\"," "),"_"," "))&amp;" ")),1,0))+IF(Task!$A$15="",0,IF(ISNUMBER(SEARCH(" "&amp;Task!$A$15&amp;" "," "&amp;LOWER(SUBSTITUTE(SUBSTITUTE(SUBSTITUTE(SUBSTITUTE(A391,"/"," "),"."," "),"\"," "),"_"," "))&amp;" ")),1,0))+IF(Task!$A$16="",0,IF(ISNUMBER(SEARCH(" "&amp;Task!$A$16&amp;" "," "&amp;LOWER(SUBSTITUTE(SUBSTITUTE(SUBSTITUTE(SUBSTITUTE(A391,"/"," "),"."," "),"\"," "),"_"," "))&amp;" ")),1,0))+IF(Task!$A$17="",0,IF(ISNUMBER(SEARCH(" "&amp;Task!$A$17&amp;" "," "&amp;LOWER(SUBSTITUTE(SUBSTITUTE(SUBSTITUTE(SUBSTITUTE(A391,"/"," "),"."," "),"\"," "),"_"," "))&amp;" ")),1,0))+IF(Task!$A$18="",0,IF(ISNUMBER(SEARCH(" "&amp;Task!$A$18&amp;" "," "&amp;LOWER(SUBSTITUTE(SUBSTITUTE(SUBSTITUTE(SUBSTITUTE(A391,"/"," "),"."," "),"\"," "),"_"," "))&amp;" ")),1,0))+IF(Task!$A$19="",0,IF(ISNUMBER(SEARCH(" "&amp;Task!$A$19&amp;" "," "&amp;LOWER(SUBSTITUTE(SUBSTITUTE(SUBSTITUTE(SUBSTITUTE(A391,"/"," "),"."," "),"\"," "),"_"," "))&amp;" ")),1,0)))</f>
        <v/>
      </c>
      <c r="I391" s="10">
        <f>IF(OR(E391=0,F391=0,Task!$B$21=0),"",F391/Task!$B$21+0.5*G391+0.25*H391)</f>
        <v/>
      </c>
      <c r="J391" s="5">
        <f>IF(I391="","",I391-ROW()/1000000)</f>
        <v/>
      </c>
      <c r="K391" s="9">
        <f>IF(J391="","",COUNTIF($J$5:$J$404,"&gt;"&amp;J391)+1)</f>
        <v/>
      </c>
    </row>
    <row r="392">
      <c r="A392" s="7" t="n"/>
      <c r="B392" s="7" t="n"/>
      <c r="C392" s="7" t="n"/>
      <c r="D392" s="7" t="n"/>
      <c r="E392" s="5">
        <f>IF(A392="",0,IF(COUNTA(Task!$B$5:$E$5)=0,1,IF(COUNTIF(Task!$B$5:$E$5,B392)&gt;0,1,0)))</f>
        <v/>
      </c>
      <c r="F392" s="9">
        <f>IF(E392=0,0,IF(Task!$A$8="",0,IF(ISNUMBER(SEARCH(" "&amp;Task!$A$8&amp;" "," "&amp;LOWER(D392&amp;" "&amp;C392&amp;" "&amp;LOWER(SUBSTITUTE(SUBSTITUTE(SUBSTITUTE(SUBSTITUTE(A392,"/"," "),"."," "),"\"," "),"_"," ")))&amp;" ")),1,0))+IF(Task!$A$9="",0,IF(ISNUMBER(SEARCH(" "&amp;Task!$A$9&amp;" "," "&amp;LOWER(D392&amp;" "&amp;C392&amp;" "&amp;LOWER(SUBSTITUTE(SUBSTITUTE(SUBSTITUTE(SUBSTITUTE(A392,"/"," "),"."," "),"\"," "),"_"," ")))&amp;" ")),1,0))+IF(Task!$A$10="",0,IF(ISNUMBER(SEARCH(" "&amp;Task!$A$10&amp;" "," "&amp;LOWER(D392&amp;" "&amp;C392&amp;" "&amp;LOWER(SUBSTITUTE(SUBSTITUTE(SUBSTITUTE(SUBSTITUTE(A392,"/"," "),"."," "),"\"," "),"_"," ")))&amp;" ")),1,0))+IF(Task!$A$11="",0,IF(ISNUMBER(SEARCH(" "&amp;Task!$A$11&amp;" "," "&amp;LOWER(D392&amp;" "&amp;C392&amp;" "&amp;LOWER(SUBSTITUTE(SUBSTITUTE(SUBSTITUTE(SUBSTITUTE(A392,"/"," "),"."," "),"\"," "),"_"," ")))&amp;" ")),1,0))+IF(Task!$A$12="",0,IF(ISNUMBER(SEARCH(" "&amp;Task!$A$12&amp;" "," "&amp;LOWER(D392&amp;" "&amp;C392&amp;" "&amp;LOWER(SUBSTITUTE(SUBSTITUTE(SUBSTITUTE(SUBSTITUTE(A392,"/"," "),"."," "),"\"," "),"_"," ")))&amp;" ")),1,0))+IF(Task!$A$13="",0,IF(ISNUMBER(SEARCH(" "&amp;Task!$A$13&amp;" "," "&amp;LOWER(D392&amp;" "&amp;C392&amp;" "&amp;LOWER(SUBSTITUTE(SUBSTITUTE(SUBSTITUTE(SUBSTITUTE(A392,"/"," "),"."," "),"\"," "),"_"," ")))&amp;" ")),1,0))+IF(Task!$A$14="",0,IF(ISNUMBER(SEARCH(" "&amp;Task!$A$14&amp;" "," "&amp;LOWER(D392&amp;" "&amp;C392&amp;" "&amp;LOWER(SUBSTITUTE(SUBSTITUTE(SUBSTITUTE(SUBSTITUTE(A392,"/"," "),"."," "),"\"," "),"_"," ")))&amp;" ")),1,0))+IF(Task!$A$15="",0,IF(ISNUMBER(SEARCH(" "&amp;Task!$A$15&amp;" "," "&amp;LOWER(D392&amp;" "&amp;C392&amp;" "&amp;LOWER(SUBSTITUTE(SUBSTITUTE(SUBSTITUTE(SUBSTITUTE(A392,"/"," "),"."," "),"\"," "),"_"," ")))&amp;" ")),1,0))+IF(Task!$A$16="",0,IF(ISNUMBER(SEARCH(" "&amp;Task!$A$16&amp;" "," "&amp;LOWER(D392&amp;" "&amp;C392&amp;" "&amp;LOWER(SUBSTITUTE(SUBSTITUTE(SUBSTITUTE(SUBSTITUTE(A392,"/"," "),"."," "),"\"," "),"_"," ")))&amp;" ")),1,0))+IF(Task!$A$17="",0,IF(ISNUMBER(SEARCH(" "&amp;Task!$A$17&amp;" "," "&amp;LOWER(D392&amp;" "&amp;C392&amp;" "&amp;LOWER(SUBSTITUTE(SUBSTITUTE(SUBSTITUTE(SUBSTITUTE(A392,"/"," "),"."," "),"\"," "),"_"," ")))&amp;" ")),1,0))+IF(Task!$A$18="",0,IF(ISNUMBER(SEARCH(" "&amp;Task!$A$18&amp;" "," "&amp;LOWER(D392&amp;" "&amp;C392&amp;" "&amp;LOWER(SUBSTITUTE(SUBSTITUTE(SUBSTITUTE(SUBSTITUTE(A392,"/"," "),"."," "),"\"," "),"_"," ")))&amp;" ")),1,0))+IF(Task!$A$19="",0,IF(ISNUMBER(SEARCH(" "&amp;Task!$A$19&amp;" "," "&amp;LOWER(D392&amp;" "&amp;C392&amp;" "&amp;LOWER(SUBSTITUTE(SUBSTITUTE(SUBSTITUTE(SUBSTITUTE(A392,"/"," "),"."," "),"\"," "),"_"," ")))&amp;" ")),1,0)))</f>
        <v/>
      </c>
      <c r="G392" s="9">
        <f>IF(E392=0,0,IF(Task!$A$8="",0,IF(ISNUMBER(SEARCH(" "&amp;Task!$A$8&amp;" "," "&amp;LOWER(C392)&amp;" ")),1,0))+IF(Task!$A$9="",0,IF(ISNUMBER(SEARCH(" "&amp;Task!$A$9&amp;" "," "&amp;LOWER(C392)&amp;" ")),1,0))+IF(Task!$A$10="",0,IF(ISNUMBER(SEARCH(" "&amp;Task!$A$10&amp;" "," "&amp;LOWER(C392)&amp;" ")),1,0))+IF(Task!$A$11="",0,IF(ISNUMBER(SEARCH(" "&amp;Task!$A$11&amp;" "," "&amp;LOWER(C392)&amp;" ")),1,0))+IF(Task!$A$12="",0,IF(ISNUMBER(SEARCH(" "&amp;Task!$A$12&amp;" "," "&amp;LOWER(C392)&amp;" ")),1,0))+IF(Task!$A$13="",0,IF(ISNUMBER(SEARCH(" "&amp;Task!$A$13&amp;" "," "&amp;LOWER(C392)&amp;" ")),1,0))+IF(Task!$A$14="",0,IF(ISNUMBER(SEARCH(" "&amp;Task!$A$14&amp;" "," "&amp;LOWER(C392)&amp;" ")),1,0))+IF(Task!$A$15="",0,IF(ISNUMBER(SEARCH(" "&amp;Task!$A$15&amp;" "," "&amp;LOWER(C392)&amp;" ")),1,0))+IF(Task!$A$16="",0,IF(ISNUMBER(SEARCH(" "&amp;Task!$A$16&amp;" "," "&amp;LOWER(C392)&amp;" ")),1,0))+IF(Task!$A$17="",0,IF(ISNUMBER(SEARCH(" "&amp;Task!$A$17&amp;" "," "&amp;LOWER(C392)&amp;" ")),1,0))+IF(Task!$A$18="",0,IF(ISNUMBER(SEARCH(" "&amp;Task!$A$18&amp;" "," "&amp;LOWER(C392)&amp;" ")),1,0))+IF(Task!$A$19="",0,IF(ISNUMBER(SEARCH(" "&amp;Task!$A$19&amp;" "," "&amp;LOWER(C392)&amp;" ")),1,0)))</f>
        <v/>
      </c>
      <c r="H392" s="9">
        <f>IF(E392=0,0,IF(Task!$A$8="",0,IF(ISNUMBER(SEARCH(" "&amp;Task!$A$8&amp;" "," "&amp;LOWER(SUBSTITUTE(SUBSTITUTE(SUBSTITUTE(SUBSTITUTE(A392,"/"," "),"."," "),"\"," "),"_"," "))&amp;" ")),1,0))+IF(Task!$A$9="",0,IF(ISNUMBER(SEARCH(" "&amp;Task!$A$9&amp;" "," "&amp;LOWER(SUBSTITUTE(SUBSTITUTE(SUBSTITUTE(SUBSTITUTE(A392,"/"," "),"."," "),"\"," "),"_"," "))&amp;" ")),1,0))+IF(Task!$A$10="",0,IF(ISNUMBER(SEARCH(" "&amp;Task!$A$10&amp;" "," "&amp;LOWER(SUBSTITUTE(SUBSTITUTE(SUBSTITUTE(SUBSTITUTE(A392,"/"," "),"."," "),"\"," "),"_"," "))&amp;" ")),1,0))+IF(Task!$A$11="",0,IF(ISNUMBER(SEARCH(" "&amp;Task!$A$11&amp;" "," "&amp;LOWER(SUBSTITUTE(SUBSTITUTE(SUBSTITUTE(SUBSTITUTE(A392,"/"," "),"."," "),"\"," "),"_"," "))&amp;" ")),1,0))+IF(Task!$A$12="",0,IF(ISNUMBER(SEARCH(" "&amp;Task!$A$12&amp;" "," "&amp;LOWER(SUBSTITUTE(SUBSTITUTE(SUBSTITUTE(SUBSTITUTE(A392,"/"," "),"."," "),"\"," "),"_"," "))&amp;" ")),1,0))+IF(Task!$A$13="",0,IF(ISNUMBER(SEARCH(" "&amp;Task!$A$13&amp;" "," "&amp;LOWER(SUBSTITUTE(SUBSTITUTE(SUBSTITUTE(SUBSTITUTE(A392,"/"," "),"."," "),"\"," "),"_"," "))&amp;" ")),1,0))+IF(Task!$A$14="",0,IF(ISNUMBER(SEARCH(" "&amp;Task!$A$14&amp;" "," "&amp;LOWER(SUBSTITUTE(SUBSTITUTE(SUBSTITUTE(SUBSTITUTE(A392,"/"," "),"."," "),"\"," "),"_"," "))&amp;" ")),1,0))+IF(Task!$A$15="",0,IF(ISNUMBER(SEARCH(" "&amp;Task!$A$15&amp;" "," "&amp;LOWER(SUBSTITUTE(SUBSTITUTE(SUBSTITUTE(SUBSTITUTE(A392,"/"," "),"."," "),"\"," "),"_"," "))&amp;" ")),1,0))+IF(Task!$A$16="",0,IF(ISNUMBER(SEARCH(" "&amp;Task!$A$16&amp;" "," "&amp;LOWER(SUBSTITUTE(SUBSTITUTE(SUBSTITUTE(SUBSTITUTE(A392,"/"," "),"."," "),"\"," "),"_"," "))&amp;" ")),1,0))+IF(Task!$A$17="",0,IF(ISNUMBER(SEARCH(" "&amp;Task!$A$17&amp;" "," "&amp;LOWER(SUBSTITUTE(SUBSTITUTE(SUBSTITUTE(SUBSTITUTE(A392,"/"," "),"."," "),"\"," "),"_"," "))&amp;" ")),1,0))+IF(Task!$A$18="",0,IF(ISNUMBER(SEARCH(" "&amp;Task!$A$18&amp;" "," "&amp;LOWER(SUBSTITUTE(SUBSTITUTE(SUBSTITUTE(SUBSTITUTE(A392,"/"," "),"."," "),"\"," "),"_"," "))&amp;" ")),1,0))+IF(Task!$A$19="",0,IF(ISNUMBER(SEARCH(" "&amp;Task!$A$19&amp;" "," "&amp;LOWER(SUBSTITUTE(SUBSTITUTE(SUBSTITUTE(SUBSTITUTE(A392,"/"," "),"."," "),"\"," "),"_"," "))&amp;" ")),1,0)))</f>
        <v/>
      </c>
      <c r="I392" s="10">
        <f>IF(OR(E392=0,F392=0,Task!$B$21=0),"",F392/Task!$B$21+0.5*G392+0.25*H392)</f>
        <v/>
      </c>
      <c r="J392" s="5">
        <f>IF(I392="","",I392-ROW()/1000000)</f>
        <v/>
      </c>
      <c r="K392" s="9">
        <f>IF(J392="","",COUNTIF($J$5:$J$404,"&gt;"&amp;J392)+1)</f>
        <v/>
      </c>
    </row>
    <row r="393">
      <c r="A393" s="7" t="n"/>
      <c r="B393" s="7" t="n"/>
      <c r="C393" s="7" t="n"/>
      <c r="D393" s="7" t="n"/>
      <c r="E393" s="5">
        <f>IF(A393="",0,IF(COUNTA(Task!$B$5:$E$5)=0,1,IF(COUNTIF(Task!$B$5:$E$5,B393)&gt;0,1,0)))</f>
        <v/>
      </c>
      <c r="F393" s="9">
        <f>IF(E393=0,0,IF(Task!$A$8="",0,IF(ISNUMBER(SEARCH(" "&amp;Task!$A$8&amp;" "," "&amp;LOWER(D393&amp;" "&amp;C393&amp;" "&amp;LOWER(SUBSTITUTE(SUBSTITUTE(SUBSTITUTE(SUBSTITUTE(A393,"/"," "),"."," "),"\"," "),"_"," ")))&amp;" ")),1,0))+IF(Task!$A$9="",0,IF(ISNUMBER(SEARCH(" "&amp;Task!$A$9&amp;" "," "&amp;LOWER(D393&amp;" "&amp;C393&amp;" "&amp;LOWER(SUBSTITUTE(SUBSTITUTE(SUBSTITUTE(SUBSTITUTE(A393,"/"," "),"."," "),"\"," "),"_"," ")))&amp;" ")),1,0))+IF(Task!$A$10="",0,IF(ISNUMBER(SEARCH(" "&amp;Task!$A$10&amp;" "," "&amp;LOWER(D393&amp;" "&amp;C393&amp;" "&amp;LOWER(SUBSTITUTE(SUBSTITUTE(SUBSTITUTE(SUBSTITUTE(A393,"/"," "),"."," "),"\"," "),"_"," ")))&amp;" ")),1,0))+IF(Task!$A$11="",0,IF(ISNUMBER(SEARCH(" "&amp;Task!$A$11&amp;" "," "&amp;LOWER(D393&amp;" "&amp;C393&amp;" "&amp;LOWER(SUBSTITUTE(SUBSTITUTE(SUBSTITUTE(SUBSTITUTE(A393,"/"," "),"."," "),"\"," "),"_"," ")))&amp;" ")),1,0))+IF(Task!$A$12="",0,IF(ISNUMBER(SEARCH(" "&amp;Task!$A$12&amp;" "," "&amp;LOWER(D393&amp;" "&amp;C393&amp;" "&amp;LOWER(SUBSTITUTE(SUBSTITUTE(SUBSTITUTE(SUBSTITUTE(A393,"/"," "),"."," "),"\"," "),"_"," ")))&amp;" ")),1,0))+IF(Task!$A$13="",0,IF(ISNUMBER(SEARCH(" "&amp;Task!$A$13&amp;" "," "&amp;LOWER(D393&amp;" "&amp;C393&amp;" "&amp;LOWER(SUBSTITUTE(SUBSTITUTE(SUBSTITUTE(SUBSTITUTE(A393,"/"," "),"."," "),"\"," "),"_"," ")))&amp;" ")),1,0))+IF(Task!$A$14="",0,IF(ISNUMBER(SEARCH(" "&amp;Task!$A$14&amp;" "," "&amp;LOWER(D393&amp;" "&amp;C393&amp;" "&amp;LOWER(SUBSTITUTE(SUBSTITUTE(SUBSTITUTE(SUBSTITUTE(A393,"/"," "),"."," "),"\"," "),"_"," ")))&amp;" ")),1,0))+IF(Task!$A$15="",0,IF(ISNUMBER(SEARCH(" "&amp;Task!$A$15&amp;" "," "&amp;LOWER(D393&amp;" "&amp;C393&amp;" "&amp;LOWER(SUBSTITUTE(SUBSTITUTE(SUBSTITUTE(SUBSTITUTE(A393,"/"," "),"."," "),"\"," "),"_"," ")))&amp;" ")),1,0))+IF(Task!$A$16="",0,IF(ISNUMBER(SEARCH(" "&amp;Task!$A$16&amp;" "," "&amp;LOWER(D393&amp;" "&amp;C393&amp;" "&amp;LOWER(SUBSTITUTE(SUBSTITUTE(SUBSTITUTE(SUBSTITUTE(A393,"/"," "),"."," "),"\"," "),"_"," ")))&amp;" ")),1,0))+IF(Task!$A$17="",0,IF(ISNUMBER(SEARCH(" "&amp;Task!$A$17&amp;" "," "&amp;LOWER(D393&amp;" "&amp;C393&amp;" "&amp;LOWER(SUBSTITUTE(SUBSTITUTE(SUBSTITUTE(SUBSTITUTE(A393,"/"," "),"."," "),"\"," "),"_"," ")))&amp;" ")),1,0))+IF(Task!$A$18="",0,IF(ISNUMBER(SEARCH(" "&amp;Task!$A$18&amp;" "," "&amp;LOWER(D393&amp;" "&amp;C393&amp;" "&amp;LOWER(SUBSTITUTE(SUBSTITUTE(SUBSTITUTE(SUBSTITUTE(A393,"/"," "),"."," "),"\"," "),"_"," ")))&amp;" ")),1,0))+IF(Task!$A$19="",0,IF(ISNUMBER(SEARCH(" "&amp;Task!$A$19&amp;" "," "&amp;LOWER(D393&amp;" "&amp;C393&amp;" "&amp;LOWER(SUBSTITUTE(SUBSTITUTE(SUBSTITUTE(SUBSTITUTE(A393,"/"," "),"."," "),"\"," "),"_"," ")))&amp;" ")),1,0)))</f>
        <v/>
      </c>
      <c r="G393" s="9">
        <f>IF(E393=0,0,IF(Task!$A$8="",0,IF(ISNUMBER(SEARCH(" "&amp;Task!$A$8&amp;" "," "&amp;LOWER(C393)&amp;" ")),1,0))+IF(Task!$A$9="",0,IF(ISNUMBER(SEARCH(" "&amp;Task!$A$9&amp;" "," "&amp;LOWER(C393)&amp;" ")),1,0))+IF(Task!$A$10="",0,IF(ISNUMBER(SEARCH(" "&amp;Task!$A$10&amp;" "," "&amp;LOWER(C393)&amp;" ")),1,0))+IF(Task!$A$11="",0,IF(ISNUMBER(SEARCH(" "&amp;Task!$A$11&amp;" "," "&amp;LOWER(C393)&amp;" ")),1,0))+IF(Task!$A$12="",0,IF(ISNUMBER(SEARCH(" "&amp;Task!$A$12&amp;" "," "&amp;LOWER(C393)&amp;" ")),1,0))+IF(Task!$A$13="",0,IF(ISNUMBER(SEARCH(" "&amp;Task!$A$13&amp;" "," "&amp;LOWER(C393)&amp;" ")),1,0))+IF(Task!$A$14="",0,IF(ISNUMBER(SEARCH(" "&amp;Task!$A$14&amp;" "," "&amp;LOWER(C393)&amp;" ")),1,0))+IF(Task!$A$15="",0,IF(ISNUMBER(SEARCH(" "&amp;Task!$A$15&amp;" "," "&amp;LOWER(C393)&amp;" ")),1,0))+IF(Task!$A$16="",0,IF(ISNUMBER(SEARCH(" "&amp;Task!$A$16&amp;" "," "&amp;LOWER(C393)&amp;" ")),1,0))+IF(Task!$A$17="",0,IF(ISNUMBER(SEARCH(" "&amp;Task!$A$17&amp;" "," "&amp;LOWER(C393)&amp;" ")),1,0))+IF(Task!$A$18="",0,IF(ISNUMBER(SEARCH(" "&amp;Task!$A$18&amp;" "," "&amp;LOWER(C393)&amp;" ")),1,0))+IF(Task!$A$19="",0,IF(ISNUMBER(SEARCH(" "&amp;Task!$A$19&amp;" "," "&amp;LOWER(C393)&amp;" ")),1,0)))</f>
        <v/>
      </c>
      <c r="H393" s="9">
        <f>IF(E393=0,0,IF(Task!$A$8="",0,IF(ISNUMBER(SEARCH(" "&amp;Task!$A$8&amp;" "," "&amp;LOWER(SUBSTITUTE(SUBSTITUTE(SUBSTITUTE(SUBSTITUTE(A393,"/"," "),"."," "),"\"," "),"_"," "))&amp;" ")),1,0))+IF(Task!$A$9="",0,IF(ISNUMBER(SEARCH(" "&amp;Task!$A$9&amp;" "," "&amp;LOWER(SUBSTITUTE(SUBSTITUTE(SUBSTITUTE(SUBSTITUTE(A393,"/"," "),"."," "),"\"," "),"_"," "))&amp;" ")),1,0))+IF(Task!$A$10="",0,IF(ISNUMBER(SEARCH(" "&amp;Task!$A$10&amp;" "," "&amp;LOWER(SUBSTITUTE(SUBSTITUTE(SUBSTITUTE(SUBSTITUTE(A393,"/"," "),"."," "),"\"," "),"_"," "))&amp;" ")),1,0))+IF(Task!$A$11="",0,IF(ISNUMBER(SEARCH(" "&amp;Task!$A$11&amp;" "," "&amp;LOWER(SUBSTITUTE(SUBSTITUTE(SUBSTITUTE(SUBSTITUTE(A393,"/"," "),"."," "),"\"," "),"_"," "))&amp;" ")),1,0))+IF(Task!$A$12="",0,IF(ISNUMBER(SEARCH(" "&amp;Task!$A$12&amp;" "," "&amp;LOWER(SUBSTITUTE(SUBSTITUTE(SUBSTITUTE(SUBSTITUTE(A393,"/"," "),"."," "),"\"," "),"_"," "))&amp;" ")),1,0))+IF(Task!$A$13="",0,IF(ISNUMBER(SEARCH(" "&amp;Task!$A$13&amp;" "," "&amp;LOWER(SUBSTITUTE(SUBSTITUTE(SUBSTITUTE(SUBSTITUTE(A393,"/"," "),"."," "),"\"," "),"_"," "))&amp;" ")),1,0))+IF(Task!$A$14="",0,IF(ISNUMBER(SEARCH(" "&amp;Task!$A$14&amp;" "," "&amp;LOWER(SUBSTITUTE(SUBSTITUTE(SUBSTITUTE(SUBSTITUTE(A393,"/"," "),"."," "),"\"," "),"_"," "))&amp;" ")),1,0))+IF(Task!$A$15="",0,IF(ISNUMBER(SEARCH(" "&amp;Task!$A$15&amp;" "," "&amp;LOWER(SUBSTITUTE(SUBSTITUTE(SUBSTITUTE(SUBSTITUTE(A393,"/"," "),"."," "),"\"," "),"_"," "))&amp;" ")),1,0))+IF(Task!$A$16="",0,IF(ISNUMBER(SEARCH(" "&amp;Task!$A$16&amp;" "," "&amp;LOWER(SUBSTITUTE(SUBSTITUTE(SUBSTITUTE(SUBSTITUTE(A393,"/"," "),"."," "),"\"," "),"_"," "))&amp;" ")),1,0))+IF(Task!$A$17="",0,IF(ISNUMBER(SEARCH(" "&amp;Task!$A$17&amp;" "," "&amp;LOWER(SUBSTITUTE(SUBSTITUTE(SUBSTITUTE(SUBSTITUTE(A393,"/"," "),"."," "),"\"," "),"_"," "))&amp;" ")),1,0))+IF(Task!$A$18="",0,IF(ISNUMBER(SEARCH(" "&amp;Task!$A$18&amp;" "," "&amp;LOWER(SUBSTITUTE(SUBSTITUTE(SUBSTITUTE(SUBSTITUTE(A393,"/"," "),"."," "),"\"," "),"_"," "))&amp;" ")),1,0))+IF(Task!$A$19="",0,IF(ISNUMBER(SEARCH(" "&amp;Task!$A$19&amp;" "," "&amp;LOWER(SUBSTITUTE(SUBSTITUTE(SUBSTITUTE(SUBSTITUTE(A393,"/"," "),"."," "),"\"," "),"_"," "))&amp;" ")),1,0)))</f>
        <v/>
      </c>
      <c r="I393" s="10">
        <f>IF(OR(E393=0,F393=0,Task!$B$21=0),"",F393/Task!$B$21+0.5*G393+0.25*H393)</f>
        <v/>
      </c>
      <c r="J393" s="5">
        <f>IF(I393="","",I393-ROW()/1000000)</f>
        <v/>
      </c>
      <c r="K393" s="9">
        <f>IF(J393="","",COUNTIF($J$5:$J$404,"&gt;"&amp;J393)+1)</f>
        <v/>
      </c>
    </row>
    <row r="394">
      <c r="A394" s="7" t="n"/>
      <c r="B394" s="7" t="n"/>
      <c r="C394" s="7" t="n"/>
      <c r="D394" s="7" t="n"/>
      <c r="E394" s="5">
        <f>IF(A394="",0,IF(COUNTA(Task!$B$5:$E$5)=0,1,IF(COUNTIF(Task!$B$5:$E$5,B394)&gt;0,1,0)))</f>
        <v/>
      </c>
      <c r="F394" s="9">
        <f>IF(E394=0,0,IF(Task!$A$8="",0,IF(ISNUMBER(SEARCH(" "&amp;Task!$A$8&amp;" "," "&amp;LOWER(D394&amp;" "&amp;C394&amp;" "&amp;LOWER(SUBSTITUTE(SUBSTITUTE(SUBSTITUTE(SUBSTITUTE(A394,"/"," "),"."," "),"\"," "),"_"," ")))&amp;" ")),1,0))+IF(Task!$A$9="",0,IF(ISNUMBER(SEARCH(" "&amp;Task!$A$9&amp;" "," "&amp;LOWER(D394&amp;" "&amp;C394&amp;" "&amp;LOWER(SUBSTITUTE(SUBSTITUTE(SUBSTITUTE(SUBSTITUTE(A394,"/"," "),"."," "),"\"," "),"_"," ")))&amp;" ")),1,0))+IF(Task!$A$10="",0,IF(ISNUMBER(SEARCH(" "&amp;Task!$A$10&amp;" "," "&amp;LOWER(D394&amp;" "&amp;C394&amp;" "&amp;LOWER(SUBSTITUTE(SUBSTITUTE(SUBSTITUTE(SUBSTITUTE(A394,"/"," "),"."," "),"\"," "),"_"," ")))&amp;" ")),1,0))+IF(Task!$A$11="",0,IF(ISNUMBER(SEARCH(" "&amp;Task!$A$11&amp;" "," "&amp;LOWER(D394&amp;" "&amp;C394&amp;" "&amp;LOWER(SUBSTITUTE(SUBSTITUTE(SUBSTITUTE(SUBSTITUTE(A394,"/"," "),"."," "),"\"," "),"_"," ")))&amp;" ")),1,0))+IF(Task!$A$12="",0,IF(ISNUMBER(SEARCH(" "&amp;Task!$A$12&amp;" "," "&amp;LOWER(D394&amp;" "&amp;C394&amp;" "&amp;LOWER(SUBSTITUTE(SUBSTITUTE(SUBSTITUTE(SUBSTITUTE(A394,"/"," "),"."," "),"\"," "),"_"," ")))&amp;" ")),1,0))+IF(Task!$A$13="",0,IF(ISNUMBER(SEARCH(" "&amp;Task!$A$13&amp;" "," "&amp;LOWER(D394&amp;" "&amp;C394&amp;" "&amp;LOWER(SUBSTITUTE(SUBSTITUTE(SUBSTITUTE(SUBSTITUTE(A394,"/"," "),"."," "),"\"," "),"_"," ")))&amp;" ")),1,0))+IF(Task!$A$14="",0,IF(ISNUMBER(SEARCH(" "&amp;Task!$A$14&amp;" "," "&amp;LOWER(D394&amp;" "&amp;C394&amp;" "&amp;LOWER(SUBSTITUTE(SUBSTITUTE(SUBSTITUTE(SUBSTITUTE(A394,"/"," "),"."," "),"\"," "),"_"," ")))&amp;" ")),1,0))+IF(Task!$A$15="",0,IF(ISNUMBER(SEARCH(" "&amp;Task!$A$15&amp;" "," "&amp;LOWER(D394&amp;" "&amp;C394&amp;" "&amp;LOWER(SUBSTITUTE(SUBSTITUTE(SUBSTITUTE(SUBSTITUTE(A394,"/"," "),"."," "),"\"," "),"_"," ")))&amp;" ")),1,0))+IF(Task!$A$16="",0,IF(ISNUMBER(SEARCH(" "&amp;Task!$A$16&amp;" "," "&amp;LOWER(D394&amp;" "&amp;C394&amp;" "&amp;LOWER(SUBSTITUTE(SUBSTITUTE(SUBSTITUTE(SUBSTITUTE(A394,"/"," "),"."," "),"\"," "),"_"," ")))&amp;" ")),1,0))+IF(Task!$A$17="",0,IF(ISNUMBER(SEARCH(" "&amp;Task!$A$17&amp;" "," "&amp;LOWER(D394&amp;" "&amp;C394&amp;" "&amp;LOWER(SUBSTITUTE(SUBSTITUTE(SUBSTITUTE(SUBSTITUTE(A394,"/"," "),"."," "),"\"," "),"_"," ")))&amp;" ")),1,0))+IF(Task!$A$18="",0,IF(ISNUMBER(SEARCH(" "&amp;Task!$A$18&amp;" "," "&amp;LOWER(D394&amp;" "&amp;C394&amp;" "&amp;LOWER(SUBSTITUTE(SUBSTITUTE(SUBSTITUTE(SUBSTITUTE(A394,"/"," "),"."," "),"\"," "),"_"," ")))&amp;" ")),1,0))+IF(Task!$A$19="",0,IF(ISNUMBER(SEARCH(" "&amp;Task!$A$19&amp;" "," "&amp;LOWER(D394&amp;" "&amp;C394&amp;" "&amp;LOWER(SUBSTITUTE(SUBSTITUTE(SUBSTITUTE(SUBSTITUTE(A394,"/"," "),"."," "),"\"," "),"_"," ")))&amp;" ")),1,0)))</f>
        <v/>
      </c>
      <c r="G394" s="9">
        <f>IF(E394=0,0,IF(Task!$A$8="",0,IF(ISNUMBER(SEARCH(" "&amp;Task!$A$8&amp;" "," "&amp;LOWER(C394)&amp;" ")),1,0))+IF(Task!$A$9="",0,IF(ISNUMBER(SEARCH(" "&amp;Task!$A$9&amp;" "," "&amp;LOWER(C394)&amp;" ")),1,0))+IF(Task!$A$10="",0,IF(ISNUMBER(SEARCH(" "&amp;Task!$A$10&amp;" "," "&amp;LOWER(C394)&amp;" ")),1,0))+IF(Task!$A$11="",0,IF(ISNUMBER(SEARCH(" "&amp;Task!$A$11&amp;" "," "&amp;LOWER(C394)&amp;" ")),1,0))+IF(Task!$A$12="",0,IF(ISNUMBER(SEARCH(" "&amp;Task!$A$12&amp;" "," "&amp;LOWER(C394)&amp;" ")),1,0))+IF(Task!$A$13="",0,IF(ISNUMBER(SEARCH(" "&amp;Task!$A$13&amp;" "," "&amp;LOWER(C394)&amp;" ")),1,0))+IF(Task!$A$14="",0,IF(ISNUMBER(SEARCH(" "&amp;Task!$A$14&amp;" "," "&amp;LOWER(C394)&amp;" ")),1,0))+IF(Task!$A$15="",0,IF(ISNUMBER(SEARCH(" "&amp;Task!$A$15&amp;" "," "&amp;LOWER(C394)&amp;" ")),1,0))+IF(Task!$A$16="",0,IF(ISNUMBER(SEARCH(" "&amp;Task!$A$16&amp;" "," "&amp;LOWER(C394)&amp;" ")),1,0))+IF(Task!$A$17="",0,IF(ISNUMBER(SEARCH(" "&amp;Task!$A$17&amp;" "," "&amp;LOWER(C394)&amp;" ")),1,0))+IF(Task!$A$18="",0,IF(ISNUMBER(SEARCH(" "&amp;Task!$A$18&amp;" "," "&amp;LOWER(C394)&amp;" ")),1,0))+IF(Task!$A$19="",0,IF(ISNUMBER(SEARCH(" "&amp;Task!$A$19&amp;" "," "&amp;LOWER(C394)&amp;" ")),1,0)))</f>
        <v/>
      </c>
      <c r="H394" s="9">
        <f>IF(E394=0,0,IF(Task!$A$8="",0,IF(ISNUMBER(SEARCH(" "&amp;Task!$A$8&amp;" "," "&amp;LOWER(SUBSTITUTE(SUBSTITUTE(SUBSTITUTE(SUBSTITUTE(A394,"/"," "),"."," "),"\"," "),"_"," "))&amp;" ")),1,0))+IF(Task!$A$9="",0,IF(ISNUMBER(SEARCH(" "&amp;Task!$A$9&amp;" "," "&amp;LOWER(SUBSTITUTE(SUBSTITUTE(SUBSTITUTE(SUBSTITUTE(A394,"/"," "),"."," "),"\"," "),"_"," "))&amp;" ")),1,0))+IF(Task!$A$10="",0,IF(ISNUMBER(SEARCH(" "&amp;Task!$A$10&amp;" "," "&amp;LOWER(SUBSTITUTE(SUBSTITUTE(SUBSTITUTE(SUBSTITUTE(A394,"/"," "),"."," "),"\"," "),"_"," "))&amp;" ")),1,0))+IF(Task!$A$11="",0,IF(ISNUMBER(SEARCH(" "&amp;Task!$A$11&amp;" "," "&amp;LOWER(SUBSTITUTE(SUBSTITUTE(SUBSTITUTE(SUBSTITUTE(A394,"/"," "),"."," "),"\"," "),"_"," "))&amp;" ")),1,0))+IF(Task!$A$12="",0,IF(ISNUMBER(SEARCH(" "&amp;Task!$A$12&amp;" "," "&amp;LOWER(SUBSTITUTE(SUBSTITUTE(SUBSTITUTE(SUBSTITUTE(A394,"/"," "),"."," "),"\"," "),"_"," "))&amp;" ")),1,0))+IF(Task!$A$13="",0,IF(ISNUMBER(SEARCH(" "&amp;Task!$A$13&amp;" "," "&amp;LOWER(SUBSTITUTE(SUBSTITUTE(SUBSTITUTE(SUBSTITUTE(A394,"/"," "),"."," "),"\"," "),"_"," "))&amp;" ")),1,0))+IF(Task!$A$14="",0,IF(ISNUMBER(SEARCH(" "&amp;Task!$A$14&amp;" "," "&amp;LOWER(SUBSTITUTE(SUBSTITUTE(SUBSTITUTE(SUBSTITUTE(A394,"/"," "),"."," "),"\"," "),"_"," "))&amp;" ")),1,0))+IF(Task!$A$15="",0,IF(ISNUMBER(SEARCH(" "&amp;Task!$A$15&amp;" "," "&amp;LOWER(SUBSTITUTE(SUBSTITUTE(SUBSTITUTE(SUBSTITUTE(A394,"/"," "),"."," "),"\"," "),"_"," "))&amp;" ")),1,0))+IF(Task!$A$16="",0,IF(ISNUMBER(SEARCH(" "&amp;Task!$A$16&amp;" "," "&amp;LOWER(SUBSTITUTE(SUBSTITUTE(SUBSTITUTE(SUBSTITUTE(A394,"/"," "),"."," "),"\"," "),"_"," "))&amp;" ")),1,0))+IF(Task!$A$17="",0,IF(ISNUMBER(SEARCH(" "&amp;Task!$A$17&amp;" "," "&amp;LOWER(SUBSTITUTE(SUBSTITUTE(SUBSTITUTE(SUBSTITUTE(A394,"/"," "),"."," "),"\"," "),"_"," "))&amp;" ")),1,0))+IF(Task!$A$18="",0,IF(ISNUMBER(SEARCH(" "&amp;Task!$A$18&amp;" "," "&amp;LOWER(SUBSTITUTE(SUBSTITUTE(SUBSTITUTE(SUBSTITUTE(A394,"/"," "),"."," "),"\"," "),"_"," "))&amp;" ")),1,0))+IF(Task!$A$19="",0,IF(ISNUMBER(SEARCH(" "&amp;Task!$A$19&amp;" "," "&amp;LOWER(SUBSTITUTE(SUBSTITUTE(SUBSTITUTE(SUBSTITUTE(A394,"/"," "),"."," "),"\"," "),"_"," "))&amp;" ")),1,0)))</f>
        <v/>
      </c>
      <c r="I394" s="10">
        <f>IF(OR(E394=0,F394=0,Task!$B$21=0),"",F394/Task!$B$21+0.5*G394+0.25*H394)</f>
        <v/>
      </c>
      <c r="J394" s="5">
        <f>IF(I394="","",I394-ROW()/1000000)</f>
        <v/>
      </c>
      <c r="K394" s="9">
        <f>IF(J394="","",COUNTIF($J$5:$J$404,"&gt;"&amp;J394)+1)</f>
        <v/>
      </c>
    </row>
    <row r="395">
      <c r="A395" s="7" t="n"/>
      <c r="B395" s="7" t="n"/>
      <c r="C395" s="7" t="n"/>
      <c r="D395" s="7" t="n"/>
      <c r="E395" s="5">
        <f>IF(A395="",0,IF(COUNTA(Task!$B$5:$E$5)=0,1,IF(COUNTIF(Task!$B$5:$E$5,B395)&gt;0,1,0)))</f>
        <v/>
      </c>
      <c r="F395" s="9">
        <f>IF(E395=0,0,IF(Task!$A$8="",0,IF(ISNUMBER(SEARCH(" "&amp;Task!$A$8&amp;" "," "&amp;LOWER(D395&amp;" "&amp;C395&amp;" "&amp;LOWER(SUBSTITUTE(SUBSTITUTE(SUBSTITUTE(SUBSTITUTE(A395,"/"," "),"."," "),"\"," "),"_"," ")))&amp;" ")),1,0))+IF(Task!$A$9="",0,IF(ISNUMBER(SEARCH(" "&amp;Task!$A$9&amp;" "," "&amp;LOWER(D395&amp;" "&amp;C395&amp;" "&amp;LOWER(SUBSTITUTE(SUBSTITUTE(SUBSTITUTE(SUBSTITUTE(A395,"/"," "),"."," "),"\"," "),"_"," ")))&amp;" ")),1,0))+IF(Task!$A$10="",0,IF(ISNUMBER(SEARCH(" "&amp;Task!$A$10&amp;" "," "&amp;LOWER(D395&amp;" "&amp;C395&amp;" "&amp;LOWER(SUBSTITUTE(SUBSTITUTE(SUBSTITUTE(SUBSTITUTE(A395,"/"," "),"."," "),"\"," "),"_"," ")))&amp;" ")),1,0))+IF(Task!$A$11="",0,IF(ISNUMBER(SEARCH(" "&amp;Task!$A$11&amp;" "," "&amp;LOWER(D395&amp;" "&amp;C395&amp;" "&amp;LOWER(SUBSTITUTE(SUBSTITUTE(SUBSTITUTE(SUBSTITUTE(A395,"/"," "),"."," "),"\"," "),"_"," ")))&amp;" ")),1,0))+IF(Task!$A$12="",0,IF(ISNUMBER(SEARCH(" "&amp;Task!$A$12&amp;" "," "&amp;LOWER(D395&amp;" "&amp;C395&amp;" "&amp;LOWER(SUBSTITUTE(SUBSTITUTE(SUBSTITUTE(SUBSTITUTE(A395,"/"," "),"."," "),"\"," "),"_"," ")))&amp;" ")),1,0))+IF(Task!$A$13="",0,IF(ISNUMBER(SEARCH(" "&amp;Task!$A$13&amp;" "," "&amp;LOWER(D395&amp;" "&amp;C395&amp;" "&amp;LOWER(SUBSTITUTE(SUBSTITUTE(SUBSTITUTE(SUBSTITUTE(A395,"/"," "),"."," "),"\"," "),"_"," ")))&amp;" ")),1,0))+IF(Task!$A$14="",0,IF(ISNUMBER(SEARCH(" "&amp;Task!$A$14&amp;" "," "&amp;LOWER(D395&amp;" "&amp;C395&amp;" "&amp;LOWER(SUBSTITUTE(SUBSTITUTE(SUBSTITUTE(SUBSTITUTE(A395,"/"," "),"."," "),"\"," "),"_"," ")))&amp;" ")),1,0))+IF(Task!$A$15="",0,IF(ISNUMBER(SEARCH(" "&amp;Task!$A$15&amp;" "," "&amp;LOWER(D395&amp;" "&amp;C395&amp;" "&amp;LOWER(SUBSTITUTE(SUBSTITUTE(SUBSTITUTE(SUBSTITUTE(A395,"/"," "),"."," "),"\"," "),"_"," ")))&amp;" ")),1,0))+IF(Task!$A$16="",0,IF(ISNUMBER(SEARCH(" "&amp;Task!$A$16&amp;" "," "&amp;LOWER(D395&amp;" "&amp;C395&amp;" "&amp;LOWER(SUBSTITUTE(SUBSTITUTE(SUBSTITUTE(SUBSTITUTE(A395,"/"," "),"."," "),"\"," "),"_"," ")))&amp;" ")),1,0))+IF(Task!$A$17="",0,IF(ISNUMBER(SEARCH(" "&amp;Task!$A$17&amp;" "," "&amp;LOWER(D395&amp;" "&amp;C395&amp;" "&amp;LOWER(SUBSTITUTE(SUBSTITUTE(SUBSTITUTE(SUBSTITUTE(A395,"/"," "),"."," "),"\"," "),"_"," ")))&amp;" ")),1,0))+IF(Task!$A$18="",0,IF(ISNUMBER(SEARCH(" "&amp;Task!$A$18&amp;" "," "&amp;LOWER(D395&amp;" "&amp;C395&amp;" "&amp;LOWER(SUBSTITUTE(SUBSTITUTE(SUBSTITUTE(SUBSTITUTE(A395,"/"," "),"."," "),"\"," "),"_"," ")))&amp;" ")),1,0))+IF(Task!$A$19="",0,IF(ISNUMBER(SEARCH(" "&amp;Task!$A$19&amp;" "," "&amp;LOWER(D395&amp;" "&amp;C395&amp;" "&amp;LOWER(SUBSTITUTE(SUBSTITUTE(SUBSTITUTE(SUBSTITUTE(A395,"/"," "),"."," "),"\"," "),"_"," ")))&amp;" ")),1,0)))</f>
        <v/>
      </c>
      <c r="G395" s="9">
        <f>IF(E395=0,0,IF(Task!$A$8="",0,IF(ISNUMBER(SEARCH(" "&amp;Task!$A$8&amp;" "," "&amp;LOWER(C395)&amp;" ")),1,0))+IF(Task!$A$9="",0,IF(ISNUMBER(SEARCH(" "&amp;Task!$A$9&amp;" "," "&amp;LOWER(C395)&amp;" ")),1,0))+IF(Task!$A$10="",0,IF(ISNUMBER(SEARCH(" "&amp;Task!$A$10&amp;" "," "&amp;LOWER(C395)&amp;" ")),1,0))+IF(Task!$A$11="",0,IF(ISNUMBER(SEARCH(" "&amp;Task!$A$11&amp;" "," "&amp;LOWER(C395)&amp;" ")),1,0))+IF(Task!$A$12="",0,IF(ISNUMBER(SEARCH(" "&amp;Task!$A$12&amp;" "," "&amp;LOWER(C395)&amp;" ")),1,0))+IF(Task!$A$13="",0,IF(ISNUMBER(SEARCH(" "&amp;Task!$A$13&amp;" "," "&amp;LOWER(C395)&amp;" ")),1,0))+IF(Task!$A$14="",0,IF(ISNUMBER(SEARCH(" "&amp;Task!$A$14&amp;" "," "&amp;LOWER(C395)&amp;" ")),1,0))+IF(Task!$A$15="",0,IF(ISNUMBER(SEARCH(" "&amp;Task!$A$15&amp;" "," "&amp;LOWER(C395)&amp;" ")),1,0))+IF(Task!$A$16="",0,IF(ISNUMBER(SEARCH(" "&amp;Task!$A$16&amp;" "," "&amp;LOWER(C395)&amp;" ")),1,0))+IF(Task!$A$17="",0,IF(ISNUMBER(SEARCH(" "&amp;Task!$A$17&amp;" "," "&amp;LOWER(C395)&amp;" ")),1,0))+IF(Task!$A$18="",0,IF(ISNUMBER(SEARCH(" "&amp;Task!$A$18&amp;" "," "&amp;LOWER(C395)&amp;" ")),1,0))+IF(Task!$A$19="",0,IF(ISNUMBER(SEARCH(" "&amp;Task!$A$19&amp;" "," "&amp;LOWER(C395)&amp;" ")),1,0)))</f>
        <v/>
      </c>
      <c r="H395" s="9">
        <f>IF(E395=0,0,IF(Task!$A$8="",0,IF(ISNUMBER(SEARCH(" "&amp;Task!$A$8&amp;" "," "&amp;LOWER(SUBSTITUTE(SUBSTITUTE(SUBSTITUTE(SUBSTITUTE(A395,"/"," "),"."," "),"\"," "),"_"," "))&amp;" ")),1,0))+IF(Task!$A$9="",0,IF(ISNUMBER(SEARCH(" "&amp;Task!$A$9&amp;" "," "&amp;LOWER(SUBSTITUTE(SUBSTITUTE(SUBSTITUTE(SUBSTITUTE(A395,"/"," "),"."," "),"\"," "),"_"," "))&amp;" ")),1,0))+IF(Task!$A$10="",0,IF(ISNUMBER(SEARCH(" "&amp;Task!$A$10&amp;" "," "&amp;LOWER(SUBSTITUTE(SUBSTITUTE(SUBSTITUTE(SUBSTITUTE(A395,"/"," "),"."," "),"\"," "),"_"," "))&amp;" ")),1,0))+IF(Task!$A$11="",0,IF(ISNUMBER(SEARCH(" "&amp;Task!$A$11&amp;" "," "&amp;LOWER(SUBSTITUTE(SUBSTITUTE(SUBSTITUTE(SUBSTITUTE(A395,"/"," "),"."," "),"\"," "),"_"," "))&amp;" ")),1,0))+IF(Task!$A$12="",0,IF(ISNUMBER(SEARCH(" "&amp;Task!$A$12&amp;" "," "&amp;LOWER(SUBSTITUTE(SUBSTITUTE(SUBSTITUTE(SUBSTITUTE(A395,"/"," "),"."," "),"\"," "),"_"," "))&amp;" ")),1,0))+IF(Task!$A$13="",0,IF(ISNUMBER(SEARCH(" "&amp;Task!$A$13&amp;" "," "&amp;LOWER(SUBSTITUTE(SUBSTITUTE(SUBSTITUTE(SUBSTITUTE(A395,"/"," "),"."," "),"\"," "),"_"," "))&amp;" ")),1,0))+IF(Task!$A$14="",0,IF(ISNUMBER(SEARCH(" "&amp;Task!$A$14&amp;" "," "&amp;LOWER(SUBSTITUTE(SUBSTITUTE(SUBSTITUTE(SUBSTITUTE(A395,"/"," "),"."," "),"\"," "),"_"," "))&amp;" ")),1,0))+IF(Task!$A$15="",0,IF(ISNUMBER(SEARCH(" "&amp;Task!$A$15&amp;" "," "&amp;LOWER(SUBSTITUTE(SUBSTITUTE(SUBSTITUTE(SUBSTITUTE(A395,"/"," "),"."," "),"\"," "),"_"," "))&amp;" ")),1,0))+IF(Task!$A$16="",0,IF(ISNUMBER(SEARCH(" "&amp;Task!$A$16&amp;" "," "&amp;LOWER(SUBSTITUTE(SUBSTITUTE(SUBSTITUTE(SUBSTITUTE(A395,"/"," "),"."," "),"\"," "),"_"," "))&amp;" ")),1,0))+IF(Task!$A$17="",0,IF(ISNUMBER(SEARCH(" "&amp;Task!$A$17&amp;" "," "&amp;LOWER(SUBSTITUTE(SUBSTITUTE(SUBSTITUTE(SUBSTITUTE(A395,"/"," "),"."," "),"\"," "),"_"," "))&amp;" ")),1,0))+IF(Task!$A$18="",0,IF(ISNUMBER(SEARCH(" "&amp;Task!$A$18&amp;" "," "&amp;LOWER(SUBSTITUTE(SUBSTITUTE(SUBSTITUTE(SUBSTITUTE(A395,"/"," "),"."," "),"\"," "),"_"," "))&amp;" ")),1,0))+IF(Task!$A$19="",0,IF(ISNUMBER(SEARCH(" "&amp;Task!$A$19&amp;" "," "&amp;LOWER(SUBSTITUTE(SUBSTITUTE(SUBSTITUTE(SUBSTITUTE(A395,"/"," "),"."," "),"\"," "),"_"," "))&amp;" ")),1,0)))</f>
        <v/>
      </c>
      <c r="I395" s="10">
        <f>IF(OR(E395=0,F395=0,Task!$B$21=0),"",F395/Task!$B$21+0.5*G395+0.25*H395)</f>
        <v/>
      </c>
      <c r="J395" s="5">
        <f>IF(I395="","",I395-ROW()/1000000)</f>
        <v/>
      </c>
      <c r="K395" s="9">
        <f>IF(J395="","",COUNTIF($J$5:$J$404,"&gt;"&amp;J395)+1)</f>
        <v/>
      </c>
    </row>
    <row r="396">
      <c r="A396" s="7" t="n"/>
      <c r="B396" s="7" t="n"/>
      <c r="C396" s="7" t="n"/>
      <c r="D396" s="7" t="n"/>
      <c r="E396" s="5">
        <f>IF(A396="",0,IF(COUNTA(Task!$B$5:$E$5)=0,1,IF(COUNTIF(Task!$B$5:$E$5,B396)&gt;0,1,0)))</f>
        <v/>
      </c>
      <c r="F396" s="9">
        <f>IF(E396=0,0,IF(Task!$A$8="",0,IF(ISNUMBER(SEARCH(" "&amp;Task!$A$8&amp;" "," "&amp;LOWER(D396&amp;" "&amp;C396&amp;" "&amp;LOWER(SUBSTITUTE(SUBSTITUTE(SUBSTITUTE(SUBSTITUTE(A396,"/"," "),"."," "),"\"," "),"_"," ")))&amp;" ")),1,0))+IF(Task!$A$9="",0,IF(ISNUMBER(SEARCH(" "&amp;Task!$A$9&amp;" "," "&amp;LOWER(D396&amp;" "&amp;C396&amp;" "&amp;LOWER(SUBSTITUTE(SUBSTITUTE(SUBSTITUTE(SUBSTITUTE(A396,"/"," "),"."," "),"\"," "),"_"," ")))&amp;" ")),1,0))+IF(Task!$A$10="",0,IF(ISNUMBER(SEARCH(" "&amp;Task!$A$10&amp;" "," "&amp;LOWER(D396&amp;" "&amp;C396&amp;" "&amp;LOWER(SUBSTITUTE(SUBSTITUTE(SUBSTITUTE(SUBSTITUTE(A396,"/"," "),"."," "),"\"," "),"_"," ")))&amp;" ")),1,0))+IF(Task!$A$11="",0,IF(ISNUMBER(SEARCH(" "&amp;Task!$A$11&amp;" "," "&amp;LOWER(D396&amp;" "&amp;C396&amp;" "&amp;LOWER(SUBSTITUTE(SUBSTITUTE(SUBSTITUTE(SUBSTITUTE(A396,"/"," "),"."," "),"\"," "),"_"," ")))&amp;" ")),1,0))+IF(Task!$A$12="",0,IF(ISNUMBER(SEARCH(" "&amp;Task!$A$12&amp;" "," "&amp;LOWER(D396&amp;" "&amp;C396&amp;" "&amp;LOWER(SUBSTITUTE(SUBSTITUTE(SUBSTITUTE(SUBSTITUTE(A396,"/"," "),"."," "),"\"," "),"_"," ")))&amp;" ")),1,0))+IF(Task!$A$13="",0,IF(ISNUMBER(SEARCH(" "&amp;Task!$A$13&amp;" "," "&amp;LOWER(D396&amp;" "&amp;C396&amp;" "&amp;LOWER(SUBSTITUTE(SUBSTITUTE(SUBSTITUTE(SUBSTITUTE(A396,"/"," "),"."," "),"\"," "),"_"," ")))&amp;" ")),1,0))+IF(Task!$A$14="",0,IF(ISNUMBER(SEARCH(" "&amp;Task!$A$14&amp;" "," "&amp;LOWER(D396&amp;" "&amp;C396&amp;" "&amp;LOWER(SUBSTITUTE(SUBSTITUTE(SUBSTITUTE(SUBSTITUTE(A396,"/"," "),"."," "),"\"," "),"_"," ")))&amp;" ")),1,0))+IF(Task!$A$15="",0,IF(ISNUMBER(SEARCH(" "&amp;Task!$A$15&amp;" "," "&amp;LOWER(D396&amp;" "&amp;C396&amp;" "&amp;LOWER(SUBSTITUTE(SUBSTITUTE(SUBSTITUTE(SUBSTITUTE(A396,"/"," "),"."," "),"\"," "),"_"," ")))&amp;" ")),1,0))+IF(Task!$A$16="",0,IF(ISNUMBER(SEARCH(" "&amp;Task!$A$16&amp;" "," "&amp;LOWER(D396&amp;" "&amp;C396&amp;" "&amp;LOWER(SUBSTITUTE(SUBSTITUTE(SUBSTITUTE(SUBSTITUTE(A396,"/"," "),"."," "),"\"," "),"_"," ")))&amp;" ")),1,0))+IF(Task!$A$17="",0,IF(ISNUMBER(SEARCH(" "&amp;Task!$A$17&amp;" "," "&amp;LOWER(D396&amp;" "&amp;C396&amp;" "&amp;LOWER(SUBSTITUTE(SUBSTITUTE(SUBSTITUTE(SUBSTITUTE(A396,"/"," "),"."," "),"\"," "),"_"," ")))&amp;" ")),1,0))+IF(Task!$A$18="",0,IF(ISNUMBER(SEARCH(" "&amp;Task!$A$18&amp;" "," "&amp;LOWER(D396&amp;" "&amp;C396&amp;" "&amp;LOWER(SUBSTITUTE(SUBSTITUTE(SUBSTITUTE(SUBSTITUTE(A396,"/"," "),"."," "),"\"," "),"_"," ")))&amp;" ")),1,0))+IF(Task!$A$19="",0,IF(ISNUMBER(SEARCH(" "&amp;Task!$A$19&amp;" "," "&amp;LOWER(D396&amp;" "&amp;C396&amp;" "&amp;LOWER(SUBSTITUTE(SUBSTITUTE(SUBSTITUTE(SUBSTITUTE(A396,"/"," "),"."," "),"\"," "),"_"," ")))&amp;" ")),1,0)))</f>
        <v/>
      </c>
      <c r="G396" s="9">
        <f>IF(E396=0,0,IF(Task!$A$8="",0,IF(ISNUMBER(SEARCH(" "&amp;Task!$A$8&amp;" "," "&amp;LOWER(C396)&amp;" ")),1,0))+IF(Task!$A$9="",0,IF(ISNUMBER(SEARCH(" "&amp;Task!$A$9&amp;" "," "&amp;LOWER(C396)&amp;" ")),1,0))+IF(Task!$A$10="",0,IF(ISNUMBER(SEARCH(" "&amp;Task!$A$10&amp;" "," "&amp;LOWER(C396)&amp;" ")),1,0))+IF(Task!$A$11="",0,IF(ISNUMBER(SEARCH(" "&amp;Task!$A$11&amp;" "," "&amp;LOWER(C396)&amp;" ")),1,0))+IF(Task!$A$12="",0,IF(ISNUMBER(SEARCH(" "&amp;Task!$A$12&amp;" "," "&amp;LOWER(C396)&amp;" ")),1,0))+IF(Task!$A$13="",0,IF(ISNUMBER(SEARCH(" "&amp;Task!$A$13&amp;" "," "&amp;LOWER(C396)&amp;" ")),1,0))+IF(Task!$A$14="",0,IF(ISNUMBER(SEARCH(" "&amp;Task!$A$14&amp;" "," "&amp;LOWER(C396)&amp;" ")),1,0))+IF(Task!$A$15="",0,IF(ISNUMBER(SEARCH(" "&amp;Task!$A$15&amp;" "," "&amp;LOWER(C396)&amp;" ")),1,0))+IF(Task!$A$16="",0,IF(ISNUMBER(SEARCH(" "&amp;Task!$A$16&amp;" "," "&amp;LOWER(C396)&amp;" ")),1,0))+IF(Task!$A$17="",0,IF(ISNUMBER(SEARCH(" "&amp;Task!$A$17&amp;" "," "&amp;LOWER(C396)&amp;" ")),1,0))+IF(Task!$A$18="",0,IF(ISNUMBER(SEARCH(" "&amp;Task!$A$18&amp;" "," "&amp;LOWER(C396)&amp;" ")),1,0))+IF(Task!$A$19="",0,IF(ISNUMBER(SEARCH(" "&amp;Task!$A$19&amp;" "," "&amp;LOWER(C396)&amp;" ")),1,0)))</f>
        <v/>
      </c>
      <c r="H396" s="9">
        <f>IF(E396=0,0,IF(Task!$A$8="",0,IF(ISNUMBER(SEARCH(" "&amp;Task!$A$8&amp;" "," "&amp;LOWER(SUBSTITUTE(SUBSTITUTE(SUBSTITUTE(SUBSTITUTE(A396,"/"," "),"."," "),"\"," "),"_"," "))&amp;" ")),1,0))+IF(Task!$A$9="",0,IF(ISNUMBER(SEARCH(" "&amp;Task!$A$9&amp;" "," "&amp;LOWER(SUBSTITUTE(SUBSTITUTE(SUBSTITUTE(SUBSTITUTE(A396,"/"," "),"."," "),"\"," "),"_"," "))&amp;" ")),1,0))+IF(Task!$A$10="",0,IF(ISNUMBER(SEARCH(" "&amp;Task!$A$10&amp;" "," "&amp;LOWER(SUBSTITUTE(SUBSTITUTE(SUBSTITUTE(SUBSTITUTE(A396,"/"," "),"."," "),"\"," "),"_"," "))&amp;" ")),1,0))+IF(Task!$A$11="",0,IF(ISNUMBER(SEARCH(" "&amp;Task!$A$11&amp;" "," "&amp;LOWER(SUBSTITUTE(SUBSTITUTE(SUBSTITUTE(SUBSTITUTE(A396,"/"," "),"."," "),"\"," "),"_"," "))&amp;" ")),1,0))+IF(Task!$A$12="",0,IF(ISNUMBER(SEARCH(" "&amp;Task!$A$12&amp;" "," "&amp;LOWER(SUBSTITUTE(SUBSTITUTE(SUBSTITUTE(SUBSTITUTE(A396,"/"," "),"."," "),"\"," "),"_"," "))&amp;" ")),1,0))+IF(Task!$A$13="",0,IF(ISNUMBER(SEARCH(" "&amp;Task!$A$13&amp;" "," "&amp;LOWER(SUBSTITUTE(SUBSTITUTE(SUBSTITUTE(SUBSTITUTE(A396,"/"," "),"."," "),"\"," "),"_"," "))&amp;" ")),1,0))+IF(Task!$A$14="",0,IF(ISNUMBER(SEARCH(" "&amp;Task!$A$14&amp;" "," "&amp;LOWER(SUBSTITUTE(SUBSTITUTE(SUBSTITUTE(SUBSTITUTE(A396,"/"," "),"."," "),"\"," "),"_"," "))&amp;" ")),1,0))+IF(Task!$A$15="",0,IF(ISNUMBER(SEARCH(" "&amp;Task!$A$15&amp;" "," "&amp;LOWER(SUBSTITUTE(SUBSTITUTE(SUBSTITUTE(SUBSTITUTE(A396,"/"," "),"."," "),"\"," "),"_"," "))&amp;" ")),1,0))+IF(Task!$A$16="",0,IF(ISNUMBER(SEARCH(" "&amp;Task!$A$16&amp;" "," "&amp;LOWER(SUBSTITUTE(SUBSTITUTE(SUBSTITUTE(SUBSTITUTE(A396,"/"," "),"."," "),"\"," "),"_"," "))&amp;" ")),1,0))+IF(Task!$A$17="",0,IF(ISNUMBER(SEARCH(" "&amp;Task!$A$17&amp;" "," "&amp;LOWER(SUBSTITUTE(SUBSTITUTE(SUBSTITUTE(SUBSTITUTE(A396,"/"," "),"."," "),"\"," "),"_"," "))&amp;" ")),1,0))+IF(Task!$A$18="",0,IF(ISNUMBER(SEARCH(" "&amp;Task!$A$18&amp;" "," "&amp;LOWER(SUBSTITUTE(SUBSTITUTE(SUBSTITUTE(SUBSTITUTE(A396,"/"," "),"."," "),"\"," "),"_"," "))&amp;" ")),1,0))+IF(Task!$A$19="",0,IF(ISNUMBER(SEARCH(" "&amp;Task!$A$19&amp;" "," "&amp;LOWER(SUBSTITUTE(SUBSTITUTE(SUBSTITUTE(SUBSTITUTE(A396,"/"," "),"."," "),"\"," "),"_"," "))&amp;" ")),1,0)))</f>
        <v/>
      </c>
      <c r="I396" s="10">
        <f>IF(OR(E396=0,F396=0,Task!$B$21=0),"",F396/Task!$B$21+0.5*G396+0.25*H396)</f>
        <v/>
      </c>
      <c r="J396" s="5">
        <f>IF(I396="","",I396-ROW()/1000000)</f>
        <v/>
      </c>
      <c r="K396" s="9">
        <f>IF(J396="","",COUNTIF($J$5:$J$404,"&gt;"&amp;J396)+1)</f>
        <v/>
      </c>
    </row>
    <row r="397">
      <c r="A397" s="7" t="n"/>
      <c r="B397" s="7" t="n"/>
      <c r="C397" s="7" t="n"/>
      <c r="D397" s="7" t="n"/>
      <c r="E397" s="5">
        <f>IF(A397="",0,IF(COUNTA(Task!$B$5:$E$5)=0,1,IF(COUNTIF(Task!$B$5:$E$5,B397)&gt;0,1,0)))</f>
        <v/>
      </c>
      <c r="F397" s="9">
        <f>IF(E397=0,0,IF(Task!$A$8="",0,IF(ISNUMBER(SEARCH(" "&amp;Task!$A$8&amp;" "," "&amp;LOWER(D397&amp;" "&amp;C397&amp;" "&amp;LOWER(SUBSTITUTE(SUBSTITUTE(SUBSTITUTE(SUBSTITUTE(A397,"/"," "),"."," "),"\"," "),"_"," ")))&amp;" ")),1,0))+IF(Task!$A$9="",0,IF(ISNUMBER(SEARCH(" "&amp;Task!$A$9&amp;" "," "&amp;LOWER(D397&amp;" "&amp;C397&amp;" "&amp;LOWER(SUBSTITUTE(SUBSTITUTE(SUBSTITUTE(SUBSTITUTE(A397,"/"," "),"."," "),"\"," "),"_"," ")))&amp;" ")),1,0))+IF(Task!$A$10="",0,IF(ISNUMBER(SEARCH(" "&amp;Task!$A$10&amp;" "," "&amp;LOWER(D397&amp;" "&amp;C397&amp;" "&amp;LOWER(SUBSTITUTE(SUBSTITUTE(SUBSTITUTE(SUBSTITUTE(A397,"/"," "),"."," "),"\"," "),"_"," ")))&amp;" ")),1,0))+IF(Task!$A$11="",0,IF(ISNUMBER(SEARCH(" "&amp;Task!$A$11&amp;" "," "&amp;LOWER(D397&amp;" "&amp;C397&amp;" "&amp;LOWER(SUBSTITUTE(SUBSTITUTE(SUBSTITUTE(SUBSTITUTE(A397,"/"," "),"."," "),"\"," "),"_"," ")))&amp;" ")),1,0))+IF(Task!$A$12="",0,IF(ISNUMBER(SEARCH(" "&amp;Task!$A$12&amp;" "," "&amp;LOWER(D397&amp;" "&amp;C397&amp;" "&amp;LOWER(SUBSTITUTE(SUBSTITUTE(SUBSTITUTE(SUBSTITUTE(A397,"/"," "),"."," "),"\"," "),"_"," ")))&amp;" ")),1,0))+IF(Task!$A$13="",0,IF(ISNUMBER(SEARCH(" "&amp;Task!$A$13&amp;" "," "&amp;LOWER(D397&amp;" "&amp;C397&amp;" "&amp;LOWER(SUBSTITUTE(SUBSTITUTE(SUBSTITUTE(SUBSTITUTE(A397,"/"," "),"."," "),"\"," "),"_"," ")))&amp;" ")),1,0))+IF(Task!$A$14="",0,IF(ISNUMBER(SEARCH(" "&amp;Task!$A$14&amp;" "," "&amp;LOWER(D397&amp;" "&amp;C397&amp;" "&amp;LOWER(SUBSTITUTE(SUBSTITUTE(SUBSTITUTE(SUBSTITUTE(A397,"/"," "),"."," "),"\"," "),"_"," ")))&amp;" ")),1,0))+IF(Task!$A$15="",0,IF(ISNUMBER(SEARCH(" "&amp;Task!$A$15&amp;" "," "&amp;LOWER(D397&amp;" "&amp;C397&amp;" "&amp;LOWER(SUBSTITUTE(SUBSTITUTE(SUBSTITUTE(SUBSTITUTE(A397,"/"," "),"."," "),"\"," "),"_"," ")))&amp;" ")),1,0))+IF(Task!$A$16="",0,IF(ISNUMBER(SEARCH(" "&amp;Task!$A$16&amp;" "," "&amp;LOWER(D397&amp;" "&amp;C397&amp;" "&amp;LOWER(SUBSTITUTE(SUBSTITUTE(SUBSTITUTE(SUBSTITUTE(A397,"/"," "),"."," "),"\"," "),"_"," ")))&amp;" ")),1,0))+IF(Task!$A$17="",0,IF(ISNUMBER(SEARCH(" "&amp;Task!$A$17&amp;" "," "&amp;LOWER(D397&amp;" "&amp;C397&amp;" "&amp;LOWER(SUBSTITUTE(SUBSTITUTE(SUBSTITUTE(SUBSTITUTE(A397,"/"," "),"."," "),"\"," "),"_"," ")))&amp;" ")),1,0))+IF(Task!$A$18="",0,IF(ISNUMBER(SEARCH(" "&amp;Task!$A$18&amp;" "," "&amp;LOWER(D397&amp;" "&amp;C397&amp;" "&amp;LOWER(SUBSTITUTE(SUBSTITUTE(SUBSTITUTE(SUBSTITUTE(A397,"/"," "),"."," "),"\"," "),"_"," ")))&amp;" ")),1,0))+IF(Task!$A$19="",0,IF(ISNUMBER(SEARCH(" "&amp;Task!$A$19&amp;" "," "&amp;LOWER(D397&amp;" "&amp;C397&amp;" "&amp;LOWER(SUBSTITUTE(SUBSTITUTE(SUBSTITUTE(SUBSTITUTE(A397,"/"," "),"."," "),"\"," "),"_"," ")))&amp;" ")),1,0)))</f>
        <v/>
      </c>
      <c r="G397" s="9">
        <f>IF(E397=0,0,IF(Task!$A$8="",0,IF(ISNUMBER(SEARCH(" "&amp;Task!$A$8&amp;" "," "&amp;LOWER(C397)&amp;" ")),1,0))+IF(Task!$A$9="",0,IF(ISNUMBER(SEARCH(" "&amp;Task!$A$9&amp;" "," "&amp;LOWER(C397)&amp;" ")),1,0))+IF(Task!$A$10="",0,IF(ISNUMBER(SEARCH(" "&amp;Task!$A$10&amp;" "," "&amp;LOWER(C397)&amp;" ")),1,0))+IF(Task!$A$11="",0,IF(ISNUMBER(SEARCH(" "&amp;Task!$A$11&amp;" "," "&amp;LOWER(C397)&amp;" ")),1,0))+IF(Task!$A$12="",0,IF(ISNUMBER(SEARCH(" "&amp;Task!$A$12&amp;" "," "&amp;LOWER(C397)&amp;" ")),1,0))+IF(Task!$A$13="",0,IF(ISNUMBER(SEARCH(" "&amp;Task!$A$13&amp;" "," "&amp;LOWER(C397)&amp;" ")),1,0))+IF(Task!$A$14="",0,IF(ISNUMBER(SEARCH(" "&amp;Task!$A$14&amp;" "," "&amp;LOWER(C397)&amp;" ")),1,0))+IF(Task!$A$15="",0,IF(ISNUMBER(SEARCH(" "&amp;Task!$A$15&amp;" "," "&amp;LOWER(C397)&amp;" ")),1,0))+IF(Task!$A$16="",0,IF(ISNUMBER(SEARCH(" "&amp;Task!$A$16&amp;" "," "&amp;LOWER(C397)&amp;" ")),1,0))+IF(Task!$A$17="",0,IF(ISNUMBER(SEARCH(" "&amp;Task!$A$17&amp;" "," "&amp;LOWER(C397)&amp;" ")),1,0))+IF(Task!$A$18="",0,IF(ISNUMBER(SEARCH(" "&amp;Task!$A$18&amp;" "," "&amp;LOWER(C397)&amp;" ")),1,0))+IF(Task!$A$19="",0,IF(ISNUMBER(SEARCH(" "&amp;Task!$A$19&amp;" "," "&amp;LOWER(C397)&amp;" ")),1,0)))</f>
        <v/>
      </c>
      <c r="H397" s="9">
        <f>IF(E397=0,0,IF(Task!$A$8="",0,IF(ISNUMBER(SEARCH(" "&amp;Task!$A$8&amp;" "," "&amp;LOWER(SUBSTITUTE(SUBSTITUTE(SUBSTITUTE(SUBSTITUTE(A397,"/"," "),"."," "),"\"," "),"_"," "))&amp;" ")),1,0))+IF(Task!$A$9="",0,IF(ISNUMBER(SEARCH(" "&amp;Task!$A$9&amp;" "," "&amp;LOWER(SUBSTITUTE(SUBSTITUTE(SUBSTITUTE(SUBSTITUTE(A397,"/"," "),"."," "),"\"," "),"_"," "))&amp;" ")),1,0))+IF(Task!$A$10="",0,IF(ISNUMBER(SEARCH(" "&amp;Task!$A$10&amp;" "," "&amp;LOWER(SUBSTITUTE(SUBSTITUTE(SUBSTITUTE(SUBSTITUTE(A397,"/"," "),"."," "),"\"," "),"_"," "))&amp;" ")),1,0))+IF(Task!$A$11="",0,IF(ISNUMBER(SEARCH(" "&amp;Task!$A$11&amp;" "," "&amp;LOWER(SUBSTITUTE(SUBSTITUTE(SUBSTITUTE(SUBSTITUTE(A397,"/"," "),"."," "),"\"," "),"_"," "))&amp;" ")),1,0))+IF(Task!$A$12="",0,IF(ISNUMBER(SEARCH(" "&amp;Task!$A$12&amp;" "," "&amp;LOWER(SUBSTITUTE(SUBSTITUTE(SUBSTITUTE(SUBSTITUTE(A397,"/"," "),"."," "),"\"," "),"_"," "))&amp;" ")),1,0))+IF(Task!$A$13="",0,IF(ISNUMBER(SEARCH(" "&amp;Task!$A$13&amp;" "," "&amp;LOWER(SUBSTITUTE(SUBSTITUTE(SUBSTITUTE(SUBSTITUTE(A397,"/"," "),"."," "),"\"," "),"_"," "))&amp;" ")),1,0))+IF(Task!$A$14="",0,IF(ISNUMBER(SEARCH(" "&amp;Task!$A$14&amp;" "," "&amp;LOWER(SUBSTITUTE(SUBSTITUTE(SUBSTITUTE(SUBSTITUTE(A397,"/"," "),"."," "),"\"," "),"_"," "))&amp;" ")),1,0))+IF(Task!$A$15="",0,IF(ISNUMBER(SEARCH(" "&amp;Task!$A$15&amp;" "," "&amp;LOWER(SUBSTITUTE(SUBSTITUTE(SUBSTITUTE(SUBSTITUTE(A397,"/"," "),"."," "),"\"," "),"_"," "))&amp;" ")),1,0))+IF(Task!$A$16="",0,IF(ISNUMBER(SEARCH(" "&amp;Task!$A$16&amp;" "," "&amp;LOWER(SUBSTITUTE(SUBSTITUTE(SUBSTITUTE(SUBSTITUTE(A397,"/"," "),"."," "),"\"," "),"_"," "))&amp;" ")),1,0))+IF(Task!$A$17="",0,IF(ISNUMBER(SEARCH(" "&amp;Task!$A$17&amp;" "," "&amp;LOWER(SUBSTITUTE(SUBSTITUTE(SUBSTITUTE(SUBSTITUTE(A397,"/"," "),"."," "),"\"," "),"_"," "))&amp;" ")),1,0))+IF(Task!$A$18="",0,IF(ISNUMBER(SEARCH(" "&amp;Task!$A$18&amp;" "," "&amp;LOWER(SUBSTITUTE(SUBSTITUTE(SUBSTITUTE(SUBSTITUTE(A397,"/"," "),"."," "),"\"," "),"_"," "))&amp;" ")),1,0))+IF(Task!$A$19="",0,IF(ISNUMBER(SEARCH(" "&amp;Task!$A$19&amp;" "," "&amp;LOWER(SUBSTITUTE(SUBSTITUTE(SUBSTITUTE(SUBSTITUTE(A397,"/"," "),"."," "),"\"," "),"_"," "))&amp;" ")),1,0)))</f>
        <v/>
      </c>
      <c r="I397" s="10">
        <f>IF(OR(E397=0,F397=0,Task!$B$21=0),"",F397/Task!$B$21+0.5*G397+0.25*H397)</f>
        <v/>
      </c>
      <c r="J397" s="5">
        <f>IF(I397="","",I397-ROW()/1000000)</f>
        <v/>
      </c>
      <c r="K397" s="9">
        <f>IF(J397="","",COUNTIF($J$5:$J$404,"&gt;"&amp;J397)+1)</f>
        <v/>
      </c>
    </row>
    <row r="398">
      <c r="A398" s="7" t="n"/>
      <c r="B398" s="7" t="n"/>
      <c r="C398" s="7" t="n"/>
      <c r="D398" s="7" t="n"/>
      <c r="E398" s="5">
        <f>IF(A398="",0,IF(COUNTA(Task!$B$5:$E$5)=0,1,IF(COUNTIF(Task!$B$5:$E$5,B398)&gt;0,1,0)))</f>
        <v/>
      </c>
      <c r="F398" s="9">
        <f>IF(E398=0,0,IF(Task!$A$8="",0,IF(ISNUMBER(SEARCH(" "&amp;Task!$A$8&amp;" "," "&amp;LOWER(D398&amp;" "&amp;C398&amp;" "&amp;LOWER(SUBSTITUTE(SUBSTITUTE(SUBSTITUTE(SUBSTITUTE(A398,"/"," "),"."," "),"\"," "),"_"," ")))&amp;" ")),1,0))+IF(Task!$A$9="",0,IF(ISNUMBER(SEARCH(" "&amp;Task!$A$9&amp;" "," "&amp;LOWER(D398&amp;" "&amp;C398&amp;" "&amp;LOWER(SUBSTITUTE(SUBSTITUTE(SUBSTITUTE(SUBSTITUTE(A398,"/"," "),"."," "),"\"," "),"_"," ")))&amp;" ")),1,0))+IF(Task!$A$10="",0,IF(ISNUMBER(SEARCH(" "&amp;Task!$A$10&amp;" "," "&amp;LOWER(D398&amp;" "&amp;C398&amp;" "&amp;LOWER(SUBSTITUTE(SUBSTITUTE(SUBSTITUTE(SUBSTITUTE(A398,"/"," "),"."," "),"\"," "),"_"," ")))&amp;" ")),1,0))+IF(Task!$A$11="",0,IF(ISNUMBER(SEARCH(" "&amp;Task!$A$11&amp;" "," "&amp;LOWER(D398&amp;" "&amp;C398&amp;" "&amp;LOWER(SUBSTITUTE(SUBSTITUTE(SUBSTITUTE(SUBSTITUTE(A398,"/"," "),"."," "),"\"," "),"_"," ")))&amp;" ")),1,0))+IF(Task!$A$12="",0,IF(ISNUMBER(SEARCH(" "&amp;Task!$A$12&amp;" "," "&amp;LOWER(D398&amp;" "&amp;C398&amp;" "&amp;LOWER(SUBSTITUTE(SUBSTITUTE(SUBSTITUTE(SUBSTITUTE(A398,"/"," "),"."," "),"\"," "),"_"," ")))&amp;" ")),1,0))+IF(Task!$A$13="",0,IF(ISNUMBER(SEARCH(" "&amp;Task!$A$13&amp;" "," "&amp;LOWER(D398&amp;" "&amp;C398&amp;" "&amp;LOWER(SUBSTITUTE(SUBSTITUTE(SUBSTITUTE(SUBSTITUTE(A398,"/"," "),"."," "),"\"," "),"_"," ")))&amp;" ")),1,0))+IF(Task!$A$14="",0,IF(ISNUMBER(SEARCH(" "&amp;Task!$A$14&amp;" "," "&amp;LOWER(D398&amp;" "&amp;C398&amp;" "&amp;LOWER(SUBSTITUTE(SUBSTITUTE(SUBSTITUTE(SUBSTITUTE(A398,"/"," "),"."," "),"\"," "),"_"," ")))&amp;" ")),1,0))+IF(Task!$A$15="",0,IF(ISNUMBER(SEARCH(" "&amp;Task!$A$15&amp;" "," "&amp;LOWER(D398&amp;" "&amp;C398&amp;" "&amp;LOWER(SUBSTITUTE(SUBSTITUTE(SUBSTITUTE(SUBSTITUTE(A398,"/"," "),"."," "),"\"," "),"_"," ")))&amp;" ")),1,0))+IF(Task!$A$16="",0,IF(ISNUMBER(SEARCH(" "&amp;Task!$A$16&amp;" "," "&amp;LOWER(D398&amp;" "&amp;C398&amp;" "&amp;LOWER(SUBSTITUTE(SUBSTITUTE(SUBSTITUTE(SUBSTITUTE(A398,"/"," "),"."," "),"\"," "),"_"," ")))&amp;" ")),1,0))+IF(Task!$A$17="",0,IF(ISNUMBER(SEARCH(" "&amp;Task!$A$17&amp;" "," "&amp;LOWER(D398&amp;" "&amp;C398&amp;" "&amp;LOWER(SUBSTITUTE(SUBSTITUTE(SUBSTITUTE(SUBSTITUTE(A398,"/"," "),"."," "),"\"," "),"_"," ")))&amp;" ")),1,0))+IF(Task!$A$18="",0,IF(ISNUMBER(SEARCH(" "&amp;Task!$A$18&amp;" "," "&amp;LOWER(D398&amp;" "&amp;C398&amp;" "&amp;LOWER(SUBSTITUTE(SUBSTITUTE(SUBSTITUTE(SUBSTITUTE(A398,"/"," "),"."," "),"\"," "),"_"," ")))&amp;" ")),1,0))+IF(Task!$A$19="",0,IF(ISNUMBER(SEARCH(" "&amp;Task!$A$19&amp;" "," "&amp;LOWER(D398&amp;" "&amp;C398&amp;" "&amp;LOWER(SUBSTITUTE(SUBSTITUTE(SUBSTITUTE(SUBSTITUTE(A398,"/"," "),"."," "),"\"," "),"_"," ")))&amp;" ")),1,0)))</f>
        <v/>
      </c>
      <c r="G398" s="9">
        <f>IF(E398=0,0,IF(Task!$A$8="",0,IF(ISNUMBER(SEARCH(" "&amp;Task!$A$8&amp;" "," "&amp;LOWER(C398)&amp;" ")),1,0))+IF(Task!$A$9="",0,IF(ISNUMBER(SEARCH(" "&amp;Task!$A$9&amp;" "," "&amp;LOWER(C398)&amp;" ")),1,0))+IF(Task!$A$10="",0,IF(ISNUMBER(SEARCH(" "&amp;Task!$A$10&amp;" "," "&amp;LOWER(C398)&amp;" ")),1,0))+IF(Task!$A$11="",0,IF(ISNUMBER(SEARCH(" "&amp;Task!$A$11&amp;" "," "&amp;LOWER(C398)&amp;" ")),1,0))+IF(Task!$A$12="",0,IF(ISNUMBER(SEARCH(" "&amp;Task!$A$12&amp;" "," "&amp;LOWER(C398)&amp;" ")),1,0))+IF(Task!$A$13="",0,IF(ISNUMBER(SEARCH(" "&amp;Task!$A$13&amp;" "," "&amp;LOWER(C398)&amp;" ")),1,0))+IF(Task!$A$14="",0,IF(ISNUMBER(SEARCH(" "&amp;Task!$A$14&amp;" "," "&amp;LOWER(C398)&amp;" ")),1,0))+IF(Task!$A$15="",0,IF(ISNUMBER(SEARCH(" "&amp;Task!$A$15&amp;" "," "&amp;LOWER(C398)&amp;" ")),1,0))+IF(Task!$A$16="",0,IF(ISNUMBER(SEARCH(" "&amp;Task!$A$16&amp;" "," "&amp;LOWER(C398)&amp;" ")),1,0))+IF(Task!$A$17="",0,IF(ISNUMBER(SEARCH(" "&amp;Task!$A$17&amp;" "," "&amp;LOWER(C398)&amp;" ")),1,0))+IF(Task!$A$18="",0,IF(ISNUMBER(SEARCH(" "&amp;Task!$A$18&amp;" "," "&amp;LOWER(C398)&amp;" ")),1,0))+IF(Task!$A$19="",0,IF(ISNUMBER(SEARCH(" "&amp;Task!$A$19&amp;" "," "&amp;LOWER(C398)&amp;" ")),1,0)))</f>
        <v/>
      </c>
      <c r="H398" s="9">
        <f>IF(E398=0,0,IF(Task!$A$8="",0,IF(ISNUMBER(SEARCH(" "&amp;Task!$A$8&amp;" "," "&amp;LOWER(SUBSTITUTE(SUBSTITUTE(SUBSTITUTE(SUBSTITUTE(A398,"/"," "),"."," "),"\"," "),"_"," "))&amp;" ")),1,0))+IF(Task!$A$9="",0,IF(ISNUMBER(SEARCH(" "&amp;Task!$A$9&amp;" "," "&amp;LOWER(SUBSTITUTE(SUBSTITUTE(SUBSTITUTE(SUBSTITUTE(A398,"/"," "),"."," "),"\"," "),"_"," "))&amp;" ")),1,0))+IF(Task!$A$10="",0,IF(ISNUMBER(SEARCH(" "&amp;Task!$A$10&amp;" "," "&amp;LOWER(SUBSTITUTE(SUBSTITUTE(SUBSTITUTE(SUBSTITUTE(A398,"/"," "),"."," "),"\"," "),"_"," "))&amp;" ")),1,0))+IF(Task!$A$11="",0,IF(ISNUMBER(SEARCH(" "&amp;Task!$A$11&amp;" "," "&amp;LOWER(SUBSTITUTE(SUBSTITUTE(SUBSTITUTE(SUBSTITUTE(A398,"/"," "),"."," "),"\"," "),"_"," "))&amp;" ")),1,0))+IF(Task!$A$12="",0,IF(ISNUMBER(SEARCH(" "&amp;Task!$A$12&amp;" "," "&amp;LOWER(SUBSTITUTE(SUBSTITUTE(SUBSTITUTE(SUBSTITUTE(A398,"/"," "),"."," "),"\"," "),"_"," "))&amp;" ")),1,0))+IF(Task!$A$13="",0,IF(ISNUMBER(SEARCH(" "&amp;Task!$A$13&amp;" "," "&amp;LOWER(SUBSTITUTE(SUBSTITUTE(SUBSTITUTE(SUBSTITUTE(A398,"/"," "),"."," "),"\"," "),"_"," "))&amp;" ")),1,0))+IF(Task!$A$14="",0,IF(ISNUMBER(SEARCH(" "&amp;Task!$A$14&amp;" "," "&amp;LOWER(SUBSTITUTE(SUBSTITUTE(SUBSTITUTE(SUBSTITUTE(A398,"/"," "),"."," "),"\"," "),"_"," "))&amp;" ")),1,0))+IF(Task!$A$15="",0,IF(ISNUMBER(SEARCH(" "&amp;Task!$A$15&amp;" "," "&amp;LOWER(SUBSTITUTE(SUBSTITUTE(SUBSTITUTE(SUBSTITUTE(A398,"/"," "),"."," "),"\"," "),"_"," "))&amp;" ")),1,0))+IF(Task!$A$16="",0,IF(ISNUMBER(SEARCH(" "&amp;Task!$A$16&amp;" "," "&amp;LOWER(SUBSTITUTE(SUBSTITUTE(SUBSTITUTE(SUBSTITUTE(A398,"/"," "),"."," "),"\"," "),"_"," "))&amp;" ")),1,0))+IF(Task!$A$17="",0,IF(ISNUMBER(SEARCH(" "&amp;Task!$A$17&amp;" "," "&amp;LOWER(SUBSTITUTE(SUBSTITUTE(SUBSTITUTE(SUBSTITUTE(A398,"/"," "),"."," "),"\"," "),"_"," "))&amp;" ")),1,0))+IF(Task!$A$18="",0,IF(ISNUMBER(SEARCH(" "&amp;Task!$A$18&amp;" "," "&amp;LOWER(SUBSTITUTE(SUBSTITUTE(SUBSTITUTE(SUBSTITUTE(A398,"/"," "),"."," "),"\"," "),"_"," "))&amp;" ")),1,0))+IF(Task!$A$19="",0,IF(ISNUMBER(SEARCH(" "&amp;Task!$A$19&amp;" "," "&amp;LOWER(SUBSTITUTE(SUBSTITUTE(SUBSTITUTE(SUBSTITUTE(A398,"/"," "),"."," "),"\"," "),"_"," "))&amp;" ")),1,0)))</f>
        <v/>
      </c>
      <c r="I398" s="10">
        <f>IF(OR(E398=0,F398=0,Task!$B$21=0),"",F398/Task!$B$21+0.5*G398+0.25*H398)</f>
        <v/>
      </c>
      <c r="J398" s="5">
        <f>IF(I398="","",I398-ROW()/1000000)</f>
        <v/>
      </c>
      <c r="K398" s="9">
        <f>IF(J398="","",COUNTIF($J$5:$J$404,"&gt;"&amp;J398)+1)</f>
        <v/>
      </c>
    </row>
    <row r="399">
      <c r="A399" s="7" t="n"/>
      <c r="B399" s="7" t="n"/>
      <c r="C399" s="7" t="n"/>
      <c r="D399" s="7" t="n"/>
      <c r="E399" s="5">
        <f>IF(A399="",0,IF(COUNTA(Task!$B$5:$E$5)=0,1,IF(COUNTIF(Task!$B$5:$E$5,B399)&gt;0,1,0)))</f>
        <v/>
      </c>
      <c r="F399" s="9">
        <f>IF(E399=0,0,IF(Task!$A$8="",0,IF(ISNUMBER(SEARCH(" "&amp;Task!$A$8&amp;" "," "&amp;LOWER(D399&amp;" "&amp;C399&amp;" "&amp;LOWER(SUBSTITUTE(SUBSTITUTE(SUBSTITUTE(SUBSTITUTE(A399,"/"," "),"."," "),"\"," "),"_"," ")))&amp;" ")),1,0))+IF(Task!$A$9="",0,IF(ISNUMBER(SEARCH(" "&amp;Task!$A$9&amp;" "," "&amp;LOWER(D399&amp;" "&amp;C399&amp;" "&amp;LOWER(SUBSTITUTE(SUBSTITUTE(SUBSTITUTE(SUBSTITUTE(A399,"/"," "),"."," "),"\"," "),"_"," ")))&amp;" ")),1,0))+IF(Task!$A$10="",0,IF(ISNUMBER(SEARCH(" "&amp;Task!$A$10&amp;" "," "&amp;LOWER(D399&amp;" "&amp;C399&amp;" "&amp;LOWER(SUBSTITUTE(SUBSTITUTE(SUBSTITUTE(SUBSTITUTE(A399,"/"," "),"."," "),"\"," "),"_"," ")))&amp;" ")),1,0))+IF(Task!$A$11="",0,IF(ISNUMBER(SEARCH(" "&amp;Task!$A$11&amp;" "," "&amp;LOWER(D399&amp;" "&amp;C399&amp;" "&amp;LOWER(SUBSTITUTE(SUBSTITUTE(SUBSTITUTE(SUBSTITUTE(A399,"/"," "),"."," "),"\"," "),"_"," ")))&amp;" ")),1,0))+IF(Task!$A$12="",0,IF(ISNUMBER(SEARCH(" "&amp;Task!$A$12&amp;" "," "&amp;LOWER(D399&amp;" "&amp;C399&amp;" "&amp;LOWER(SUBSTITUTE(SUBSTITUTE(SUBSTITUTE(SUBSTITUTE(A399,"/"," "),"."," "),"\"," "),"_"," ")))&amp;" ")),1,0))+IF(Task!$A$13="",0,IF(ISNUMBER(SEARCH(" "&amp;Task!$A$13&amp;" "," "&amp;LOWER(D399&amp;" "&amp;C399&amp;" "&amp;LOWER(SUBSTITUTE(SUBSTITUTE(SUBSTITUTE(SUBSTITUTE(A399,"/"," "),"."," "),"\"," "),"_"," ")))&amp;" ")),1,0))+IF(Task!$A$14="",0,IF(ISNUMBER(SEARCH(" "&amp;Task!$A$14&amp;" "," "&amp;LOWER(D399&amp;" "&amp;C399&amp;" "&amp;LOWER(SUBSTITUTE(SUBSTITUTE(SUBSTITUTE(SUBSTITUTE(A399,"/"," "),"."," "),"\"," "),"_"," ")))&amp;" ")),1,0))+IF(Task!$A$15="",0,IF(ISNUMBER(SEARCH(" "&amp;Task!$A$15&amp;" "," "&amp;LOWER(D399&amp;" "&amp;C399&amp;" "&amp;LOWER(SUBSTITUTE(SUBSTITUTE(SUBSTITUTE(SUBSTITUTE(A399,"/"," "),"."," "),"\"," "),"_"," ")))&amp;" ")),1,0))+IF(Task!$A$16="",0,IF(ISNUMBER(SEARCH(" "&amp;Task!$A$16&amp;" "," "&amp;LOWER(D399&amp;" "&amp;C399&amp;" "&amp;LOWER(SUBSTITUTE(SUBSTITUTE(SUBSTITUTE(SUBSTITUTE(A399,"/"," "),"."," "),"\"," "),"_"," ")))&amp;" ")),1,0))+IF(Task!$A$17="",0,IF(ISNUMBER(SEARCH(" "&amp;Task!$A$17&amp;" "," "&amp;LOWER(D399&amp;" "&amp;C399&amp;" "&amp;LOWER(SUBSTITUTE(SUBSTITUTE(SUBSTITUTE(SUBSTITUTE(A399,"/"," "),"."," "),"\"," "),"_"," ")))&amp;" ")),1,0))+IF(Task!$A$18="",0,IF(ISNUMBER(SEARCH(" "&amp;Task!$A$18&amp;" "," "&amp;LOWER(D399&amp;" "&amp;C399&amp;" "&amp;LOWER(SUBSTITUTE(SUBSTITUTE(SUBSTITUTE(SUBSTITUTE(A399,"/"," "),"."," "),"\"," "),"_"," ")))&amp;" ")),1,0))+IF(Task!$A$19="",0,IF(ISNUMBER(SEARCH(" "&amp;Task!$A$19&amp;" "," "&amp;LOWER(D399&amp;" "&amp;C399&amp;" "&amp;LOWER(SUBSTITUTE(SUBSTITUTE(SUBSTITUTE(SUBSTITUTE(A399,"/"," "),"."," "),"\"," "),"_"," ")))&amp;" ")),1,0)))</f>
        <v/>
      </c>
      <c r="G399" s="9">
        <f>IF(E399=0,0,IF(Task!$A$8="",0,IF(ISNUMBER(SEARCH(" "&amp;Task!$A$8&amp;" "," "&amp;LOWER(C399)&amp;" ")),1,0))+IF(Task!$A$9="",0,IF(ISNUMBER(SEARCH(" "&amp;Task!$A$9&amp;" "," "&amp;LOWER(C399)&amp;" ")),1,0))+IF(Task!$A$10="",0,IF(ISNUMBER(SEARCH(" "&amp;Task!$A$10&amp;" "," "&amp;LOWER(C399)&amp;" ")),1,0))+IF(Task!$A$11="",0,IF(ISNUMBER(SEARCH(" "&amp;Task!$A$11&amp;" "," "&amp;LOWER(C399)&amp;" ")),1,0))+IF(Task!$A$12="",0,IF(ISNUMBER(SEARCH(" "&amp;Task!$A$12&amp;" "," "&amp;LOWER(C399)&amp;" ")),1,0))+IF(Task!$A$13="",0,IF(ISNUMBER(SEARCH(" "&amp;Task!$A$13&amp;" "," "&amp;LOWER(C399)&amp;" ")),1,0))+IF(Task!$A$14="",0,IF(ISNUMBER(SEARCH(" "&amp;Task!$A$14&amp;" "," "&amp;LOWER(C399)&amp;" ")),1,0))+IF(Task!$A$15="",0,IF(ISNUMBER(SEARCH(" "&amp;Task!$A$15&amp;" "," "&amp;LOWER(C399)&amp;" ")),1,0))+IF(Task!$A$16="",0,IF(ISNUMBER(SEARCH(" "&amp;Task!$A$16&amp;" "," "&amp;LOWER(C399)&amp;" ")),1,0))+IF(Task!$A$17="",0,IF(ISNUMBER(SEARCH(" "&amp;Task!$A$17&amp;" "," "&amp;LOWER(C399)&amp;" ")),1,0))+IF(Task!$A$18="",0,IF(ISNUMBER(SEARCH(" "&amp;Task!$A$18&amp;" "," "&amp;LOWER(C399)&amp;" ")),1,0))+IF(Task!$A$19="",0,IF(ISNUMBER(SEARCH(" "&amp;Task!$A$19&amp;" "," "&amp;LOWER(C399)&amp;" ")),1,0)))</f>
        <v/>
      </c>
      <c r="H399" s="9">
        <f>IF(E399=0,0,IF(Task!$A$8="",0,IF(ISNUMBER(SEARCH(" "&amp;Task!$A$8&amp;" "," "&amp;LOWER(SUBSTITUTE(SUBSTITUTE(SUBSTITUTE(SUBSTITUTE(A399,"/"," "),"."," "),"\"," "),"_"," "))&amp;" ")),1,0))+IF(Task!$A$9="",0,IF(ISNUMBER(SEARCH(" "&amp;Task!$A$9&amp;" "," "&amp;LOWER(SUBSTITUTE(SUBSTITUTE(SUBSTITUTE(SUBSTITUTE(A399,"/"," "),"."," "),"\"," "),"_"," "))&amp;" ")),1,0))+IF(Task!$A$10="",0,IF(ISNUMBER(SEARCH(" "&amp;Task!$A$10&amp;" "," "&amp;LOWER(SUBSTITUTE(SUBSTITUTE(SUBSTITUTE(SUBSTITUTE(A399,"/"," "),"."," "),"\"," "),"_"," "))&amp;" ")),1,0))+IF(Task!$A$11="",0,IF(ISNUMBER(SEARCH(" "&amp;Task!$A$11&amp;" "," "&amp;LOWER(SUBSTITUTE(SUBSTITUTE(SUBSTITUTE(SUBSTITUTE(A399,"/"," "),"."," "),"\"," "),"_"," "))&amp;" ")),1,0))+IF(Task!$A$12="",0,IF(ISNUMBER(SEARCH(" "&amp;Task!$A$12&amp;" "," "&amp;LOWER(SUBSTITUTE(SUBSTITUTE(SUBSTITUTE(SUBSTITUTE(A399,"/"," "),"."," "),"\"," "),"_"," "))&amp;" ")),1,0))+IF(Task!$A$13="",0,IF(ISNUMBER(SEARCH(" "&amp;Task!$A$13&amp;" "," "&amp;LOWER(SUBSTITUTE(SUBSTITUTE(SUBSTITUTE(SUBSTITUTE(A399,"/"," "),"."," "),"\"," "),"_"," "))&amp;" ")),1,0))+IF(Task!$A$14="",0,IF(ISNUMBER(SEARCH(" "&amp;Task!$A$14&amp;" "," "&amp;LOWER(SUBSTITUTE(SUBSTITUTE(SUBSTITUTE(SUBSTITUTE(A399,"/"," "),"."," "),"\"," "),"_"," "))&amp;" ")),1,0))+IF(Task!$A$15="",0,IF(ISNUMBER(SEARCH(" "&amp;Task!$A$15&amp;" "," "&amp;LOWER(SUBSTITUTE(SUBSTITUTE(SUBSTITUTE(SUBSTITUTE(A399,"/"," "),"."," "),"\"," "),"_"," "))&amp;" ")),1,0))+IF(Task!$A$16="",0,IF(ISNUMBER(SEARCH(" "&amp;Task!$A$16&amp;" "," "&amp;LOWER(SUBSTITUTE(SUBSTITUTE(SUBSTITUTE(SUBSTITUTE(A399,"/"," "),"."," "),"\"," "),"_"," "))&amp;" ")),1,0))+IF(Task!$A$17="",0,IF(ISNUMBER(SEARCH(" "&amp;Task!$A$17&amp;" "," "&amp;LOWER(SUBSTITUTE(SUBSTITUTE(SUBSTITUTE(SUBSTITUTE(A399,"/"," "),"."," "),"\"," "),"_"," "))&amp;" ")),1,0))+IF(Task!$A$18="",0,IF(ISNUMBER(SEARCH(" "&amp;Task!$A$18&amp;" "," "&amp;LOWER(SUBSTITUTE(SUBSTITUTE(SUBSTITUTE(SUBSTITUTE(A399,"/"," "),"."," "),"\"," "),"_"," "))&amp;" ")),1,0))+IF(Task!$A$19="",0,IF(ISNUMBER(SEARCH(" "&amp;Task!$A$19&amp;" "," "&amp;LOWER(SUBSTITUTE(SUBSTITUTE(SUBSTITUTE(SUBSTITUTE(A399,"/"," "),"."," "),"\"," "),"_"," "))&amp;" ")),1,0)))</f>
        <v/>
      </c>
      <c r="I399" s="10">
        <f>IF(OR(E399=0,F399=0,Task!$B$21=0),"",F399/Task!$B$21+0.5*G399+0.25*H399)</f>
        <v/>
      </c>
      <c r="J399" s="5">
        <f>IF(I399="","",I399-ROW()/1000000)</f>
        <v/>
      </c>
      <c r="K399" s="9">
        <f>IF(J399="","",COUNTIF($J$5:$J$404,"&gt;"&amp;J399)+1)</f>
        <v/>
      </c>
    </row>
    <row r="400">
      <c r="A400" s="7" t="n"/>
      <c r="B400" s="7" t="n"/>
      <c r="C400" s="7" t="n"/>
      <c r="D400" s="7" t="n"/>
      <c r="E400" s="5">
        <f>IF(A400="",0,IF(COUNTA(Task!$B$5:$E$5)=0,1,IF(COUNTIF(Task!$B$5:$E$5,B400)&gt;0,1,0)))</f>
        <v/>
      </c>
      <c r="F400" s="9">
        <f>IF(E400=0,0,IF(Task!$A$8="",0,IF(ISNUMBER(SEARCH(" "&amp;Task!$A$8&amp;" "," "&amp;LOWER(D400&amp;" "&amp;C400&amp;" "&amp;LOWER(SUBSTITUTE(SUBSTITUTE(SUBSTITUTE(SUBSTITUTE(A400,"/"," "),"."," "),"\"," "),"_"," ")))&amp;" ")),1,0))+IF(Task!$A$9="",0,IF(ISNUMBER(SEARCH(" "&amp;Task!$A$9&amp;" "," "&amp;LOWER(D400&amp;" "&amp;C400&amp;" "&amp;LOWER(SUBSTITUTE(SUBSTITUTE(SUBSTITUTE(SUBSTITUTE(A400,"/"," "),"."," "),"\"," "),"_"," ")))&amp;" ")),1,0))+IF(Task!$A$10="",0,IF(ISNUMBER(SEARCH(" "&amp;Task!$A$10&amp;" "," "&amp;LOWER(D400&amp;" "&amp;C400&amp;" "&amp;LOWER(SUBSTITUTE(SUBSTITUTE(SUBSTITUTE(SUBSTITUTE(A400,"/"," "),"."," "),"\"," "),"_"," ")))&amp;" ")),1,0))+IF(Task!$A$11="",0,IF(ISNUMBER(SEARCH(" "&amp;Task!$A$11&amp;" "," "&amp;LOWER(D400&amp;" "&amp;C400&amp;" "&amp;LOWER(SUBSTITUTE(SUBSTITUTE(SUBSTITUTE(SUBSTITUTE(A400,"/"," "),"."," "),"\"," "),"_"," ")))&amp;" ")),1,0))+IF(Task!$A$12="",0,IF(ISNUMBER(SEARCH(" "&amp;Task!$A$12&amp;" "," "&amp;LOWER(D400&amp;" "&amp;C400&amp;" "&amp;LOWER(SUBSTITUTE(SUBSTITUTE(SUBSTITUTE(SUBSTITUTE(A400,"/"," "),"."," "),"\"," "),"_"," ")))&amp;" ")),1,0))+IF(Task!$A$13="",0,IF(ISNUMBER(SEARCH(" "&amp;Task!$A$13&amp;" "," "&amp;LOWER(D400&amp;" "&amp;C400&amp;" "&amp;LOWER(SUBSTITUTE(SUBSTITUTE(SUBSTITUTE(SUBSTITUTE(A400,"/"," "),"."," "),"\"," "),"_"," ")))&amp;" ")),1,0))+IF(Task!$A$14="",0,IF(ISNUMBER(SEARCH(" "&amp;Task!$A$14&amp;" "," "&amp;LOWER(D400&amp;" "&amp;C400&amp;" "&amp;LOWER(SUBSTITUTE(SUBSTITUTE(SUBSTITUTE(SUBSTITUTE(A400,"/"," "),"."," "),"\"," "),"_"," ")))&amp;" ")),1,0))+IF(Task!$A$15="",0,IF(ISNUMBER(SEARCH(" "&amp;Task!$A$15&amp;" "," "&amp;LOWER(D400&amp;" "&amp;C400&amp;" "&amp;LOWER(SUBSTITUTE(SUBSTITUTE(SUBSTITUTE(SUBSTITUTE(A400,"/"," "),"."," "),"\"," "),"_"," ")))&amp;" ")),1,0))+IF(Task!$A$16="",0,IF(ISNUMBER(SEARCH(" "&amp;Task!$A$16&amp;" "," "&amp;LOWER(D400&amp;" "&amp;C400&amp;" "&amp;LOWER(SUBSTITUTE(SUBSTITUTE(SUBSTITUTE(SUBSTITUTE(A400,"/"," "),"."," "),"\"," "),"_"," ")))&amp;" ")),1,0))+IF(Task!$A$17="",0,IF(ISNUMBER(SEARCH(" "&amp;Task!$A$17&amp;" "," "&amp;LOWER(D400&amp;" "&amp;C400&amp;" "&amp;LOWER(SUBSTITUTE(SUBSTITUTE(SUBSTITUTE(SUBSTITUTE(A400,"/"," "),"."," "),"\"," "),"_"," ")))&amp;" ")),1,0))+IF(Task!$A$18="",0,IF(ISNUMBER(SEARCH(" "&amp;Task!$A$18&amp;" "," "&amp;LOWER(D400&amp;" "&amp;C400&amp;" "&amp;LOWER(SUBSTITUTE(SUBSTITUTE(SUBSTITUTE(SUBSTITUTE(A400,"/"," "),"."," "),"\"," "),"_"," ")))&amp;" ")),1,0))+IF(Task!$A$19="",0,IF(ISNUMBER(SEARCH(" "&amp;Task!$A$19&amp;" "," "&amp;LOWER(D400&amp;" "&amp;C400&amp;" "&amp;LOWER(SUBSTITUTE(SUBSTITUTE(SUBSTITUTE(SUBSTITUTE(A400,"/"," "),"."," "),"\"," "),"_"," ")))&amp;" ")),1,0)))</f>
        <v/>
      </c>
      <c r="G400" s="9">
        <f>IF(E400=0,0,IF(Task!$A$8="",0,IF(ISNUMBER(SEARCH(" "&amp;Task!$A$8&amp;" "," "&amp;LOWER(C400)&amp;" ")),1,0))+IF(Task!$A$9="",0,IF(ISNUMBER(SEARCH(" "&amp;Task!$A$9&amp;" "," "&amp;LOWER(C400)&amp;" ")),1,0))+IF(Task!$A$10="",0,IF(ISNUMBER(SEARCH(" "&amp;Task!$A$10&amp;" "," "&amp;LOWER(C400)&amp;" ")),1,0))+IF(Task!$A$11="",0,IF(ISNUMBER(SEARCH(" "&amp;Task!$A$11&amp;" "," "&amp;LOWER(C400)&amp;" ")),1,0))+IF(Task!$A$12="",0,IF(ISNUMBER(SEARCH(" "&amp;Task!$A$12&amp;" "," "&amp;LOWER(C400)&amp;" ")),1,0))+IF(Task!$A$13="",0,IF(ISNUMBER(SEARCH(" "&amp;Task!$A$13&amp;" "," "&amp;LOWER(C400)&amp;" ")),1,0))+IF(Task!$A$14="",0,IF(ISNUMBER(SEARCH(" "&amp;Task!$A$14&amp;" "," "&amp;LOWER(C400)&amp;" ")),1,0))+IF(Task!$A$15="",0,IF(ISNUMBER(SEARCH(" "&amp;Task!$A$15&amp;" "," "&amp;LOWER(C400)&amp;" ")),1,0))+IF(Task!$A$16="",0,IF(ISNUMBER(SEARCH(" "&amp;Task!$A$16&amp;" "," "&amp;LOWER(C400)&amp;" ")),1,0))+IF(Task!$A$17="",0,IF(ISNUMBER(SEARCH(" "&amp;Task!$A$17&amp;" "," "&amp;LOWER(C400)&amp;" ")),1,0))+IF(Task!$A$18="",0,IF(ISNUMBER(SEARCH(" "&amp;Task!$A$18&amp;" "," "&amp;LOWER(C400)&amp;" ")),1,0))+IF(Task!$A$19="",0,IF(ISNUMBER(SEARCH(" "&amp;Task!$A$19&amp;" "," "&amp;LOWER(C400)&amp;" ")),1,0)))</f>
        <v/>
      </c>
      <c r="H400" s="9">
        <f>IF(E400=0,0,IF(Task!$A$8="",0,IF(ISNUMBER(SEARCH(" "&amp;Task!$A$8&amp;" "," "&amp;LOWER(SUBSTITUTE(SUBSTITUTE(SUBSTITUTE(SUBSTITUTE(A400,"/"," "),"."," "),"\"," "),"_"," "))&amp;" ")),1,0))+IF(Task!$A$9="",0,IF(ISNUMBER(SEARCH(" "&amp;Task!$A$9&amp;" "," "&amp;LOWER(SUBSTITUTE(SUBSTITUTE(SUBSTITUTE(SUBSTITUTE(A400,"/"," "),"."," "),"\"," "),"_"," "))&amp;" ")),1,0))+IF(Task!$A$10="",0,IF(ISNUMBER(SEARCH(" "&amp;Task!$A$10&amp;" "," "&amp;LOWER(SUBSTITUTE(SUBSTITUTE(SUBSTITUTE(SUBSTITUTE(A400,"/"," "),"."," "),"\"," "),"_"," "))&amp;" ")),1,0))+IF(Task!$A$11="",0,IF(ISNUMBER(SEARCH(" "&amp;Task!$A$11&amp;" "," "&amp;LOWER(SUBSTITUTE(SUBSTITUTE(SUBSTITUTE(SUBSTITUTE(A400,"/"," "),"."," "),"\"," "),"_"," "))&amp;" ")),1,0))+IF(Task!$A$12="",0,IF(ISNUMBER(SEARCH(" "&amp;Task!$A$12&amp;" "," "&amp;LOWER(SUBSTITUTE(SUBSTITUTE(SUBSTITUTE(SUBSTITUTE(A400,"/"," "),"."," "),"\"," "),"_"," "))&amp;" ")),1,0))+IF(Task!$A$13="",0,IF(ISNUMBER(SEARCH(" "&amp;Task!$A$13&amp;" "," "&amp;LOWER(SUBSTITUTE(SUBSTITUTE(SUBSTITUTE(SUBSTITUTE(A400,"/"," "),"."," "),"\"," "),"_"," "))&amp;" ")),1,0))+IF(Task!$A$14="",0,IF(ISNUMBER(SEARCH(" "&amp;Task!$A$14&amp;" "," "&amp;LOWER(SUBSTITUTE(SUBSTITUTE(SUBSTITUTE(SUBSTITUTE(A400,"/"," "),"."," "),"\"," "),"_"," "))&amp;" ")),1,0))+IF(Task!$A$15="",0,IF(ISNUMBER(SEARCH(" "&amp;Task!$A$15&amp;" "," "&amp;LOWER(SUBSTITUTE(SUBSTITUTE(SUBSTITUTE(SUBSTITUTE(A400,"/"," "),"."," "),"\"," "),"_"," "))&amp;" ")),1,0))+IF(Task!$A$16="",0,IF(ISNUMBER(SEARCH(" "&amp;Task!$A$16&amp;" "," "&amp;LOWER(SUBSTITUTE(SUBSTITUTE(SUBSTITUTE(SUBSTITUTE(A400,"/"," "),"."," "),"\"," "),"_"," "))&amp;" ")),1,0))+IF(Task!$A$17="",0,IF(ISNUMBER(SEARCH(" "&amp;Task!$A$17&amp;" "," "&amp;LOWER(SUBSTITUTE(SUBSTITUTE(SUBSTITUTE(SUBSTITUTE(A400,"/"," "),"."," "),"\"," "),"_"," "))&amp;" ")),1,0))+IF(Task!$A$18="",0,IF(ISNUMBER(SEARCH(" "&amp;Task!$A$18&amp;" "," "&amp;LOWER(SUBSTITUTE(SUBSTITUTE(SUBSTITUTE(SUBSTITUTE(A400,"/"," "),"."," "),"\"," "),"_"," "))&amp;" ")),1,0))+IF(Task!$A$19="",0,IF(ISNUMBER(SEARCH(" "&amp;Task!$A$19&amp;" "," "&amp;LOWER(SUBSTITUTE(SUBSTITUTE(SUBSTITUTE(SUBSTITUTE(A400,"/"," "),"."," "),"\"," "),"_"," "))&amp;" ")),1,0)))</f>
        <v/>
      </c>
      <c r="I400" s="10">
        <f>IF(OR(E400=0,F400=0,Task!$B$21=0),"",F400/Task!$B$21+0.5*G400+0.25*H400)</f>
        <v/>
      </c>
      <c r="J400" s="5">
        <f>IF(I400="","",I400-ROW()/1000000)</f>
        <v/>
      </c>
      <c r="K400" s="9">
        <f>IF(J400="","",COUNTIF($J$5:$J$404,"&gt;"&amp;J400)+1)</f>
        <v/>
      </c>
    </row>
    <row r="401">
      <c r="A401" s="7" t="n"/>
      <c r="B401" s="7" t="n"/>
      <c r="C401" s="7" t="n"/>
      <c r="D401" s="7" t="n"/>
      <c r="E401" s="5">
        <f>IF(A401="",0,IF(COUNTA(Task!$B$5:$E$5)=0,1,IF(COUNTIF(Task!$B$5:$E$5,B401)&gt;0,1,0)))</f>
        <v/>
      </c>
      <c r="F401" s="9">
        <f>IF(E401=0,0,IF(Task!$A$8="",0,IF(ISNUMBER(SEARCH(" "&amp;Task!$A$8&amp;" "," "&amp;LOWER(D401&amp;" "&amp;C401&amp;" "&amp;LOWER(SUBSTITUTE(SUBSTITUTE(SUBSTITUTE(SUBSTITUTE(A401,"/"," "),"."," "),"\"," "),"_"," ")))&amp;" ")),1,0))+IF(Task!$A$9="",0,IF(ISNUMBER(SEARCH(" "&amp;Task!$A$9&amp;" "," "&amp;LOWER(D401&amp;" "&amp;C401&amp;" "&amp;LOWER(SUBSTITUTE(SUBSTITUTE(SUBSTITUTE(SUBSTITUTE(A401,"/"," "),"."," "),"\"," "),"_"," ")))&amp;" ")),1,0))+IF(Task!$A$10="",0,IF(ISNUMBER(SEARCH(" "&amp;Task!$A$10&amp;" "," "&amp;LOWER(D401&amp;" "&amp;C401&amp;" "&amp;LOWER(SUBSTITUTE(SUBSTITUTE(SUBSTITUTE(SUBSTITUTE(A401,"/"," "),"."," "),"\"," "),"_"," ")))&amp;" ")),1,0))+IF(Task!$A$11="",0,IF(ISNUMBER(SEARCH(" "&amp;Task!$A$11&amp;" "," "&amp;LOWER(D401&amp;" "&amp;C401&amp;" "&amp;LOWER(SUBSTITUTE(SUBSTITUTE(SUBSTITUTE(SUBSTITUTE(A401,"/"," "),"."," "),"\"," "),"_"," ")))&amp;" ")),1,0))+IF(Task!$A$12="",0,IF(ISNUMBER(SEARCH(" "&amp;Task!$A$12&amp;" "," "&amp;LOWER(D401&amp;" "&amp;C401&amp;" "&amp;LOWER(SUBSTITUTE(SUBSTITUTE(SUBSTITUTE(SUBSTITUTE(A401,"/"," "),"."," "),"\"," "),"_"," ")))&amp;" ")),1,0))+IF(Task!$A$13="",0,IF(ISNUMBER(SEARCH(" "&amp;Task!$A$13&amp;" "," "&amp;LOWER(D401&amp;" "&amp;C401&amp;" "&amp;LOWER(SUBSTITUTE(SUBSTITUTE(SUBSTITUTE(SUBSTITUTE(A401,"/"," "),"."," "),"\"," "),"_"," ")))&amp;" ")),1,0))+IF(Task!$A$14="",0,IF(ISNUMBER(SEARCH(" "&amp;Task!$A$14&amp;" "," "&amp;LOWER(D401&amp;" "&amp;C401&amp;" "&amp;LOWER(SUBSTITUTE(SUBSTITUTE(SUBSTITUTE(SUBSTITUTE(A401,"/"," "),"."," "),"\"," "),"_"," ")))&amp;" ")),1,0))+IF(Task!$A$15="",0,IF(ISNUMBER(SEARCH(" "&amp;Task!$A$15&amp;" "," "&amp;LOWER(D401&amp;" "&amp;C401&amp;" "&amp;LOWER(SUBSTITUTE(SUBSTITUTE(SUBSTITUTE(SUBSTITUTE(A401,"/"," "),"."," "),"\"," "),"_"," ")))&amp;" ")),1,0))+IF(Task!$A$16="",0,IF(ISNUMBER(SEARCH(" "&amp;Task!$A$16&amp;" "," "&amp;LOWER(D401&amp;" "&amp;C401&amp;" "&amp;LOWER(SUBSTITUTE(SUBSTITUTE(SUBSTITUTE(SUBSTITUTE(A401,"/"," "),"."," "),"\"," "),"_"," ")))&amp;" ")),1,0))+IF(Task!$A$17="",0,IF(ISNUMBER(SEARCH(" "&amp;Task!$A$17&amp;" "," "&amp;LOWER(D401&amp;" "&amp;C401&amp;" "&amp;LOWER(SUBSTITUTE(SUBSTITUTE(SUBSTITUTE(SUBSTITUTE(A401,"/"," "),"."," "),"\"," "),"_"," ")))&amp;" ")),1,0))+IF(Task!$A$18="",0,IF(ISNUMBER(SEARCH(" "&amp;Task!$A$18&amp;" "," "&amp;LOWER(D401&amp;" "&amp;C401&amp;" "&amp;LOWER(SUBSTITUTE(SUBSTITUTE(SUBSTITUTE(SUBSTITUTE(A401,"/"," "),"."," "),"\"," "),"_"," ")))&amp;" ")),1,0))+IF(Task!$A$19="",0,IF(ISNUMBER(SEARCH(" "&amp;Task!$A$19&amp;" "," "&amp;LOWER(D401&amp;" "&amp;C401&amp;" "&amp;LOWER(SUBSTITUTE(SUBSTITUTE(SUBSTITUTE(SUBSTITUTE(A401,"/"," "),"."," "),"\"," "),"_"," ")))&amp;" ")),1,0)))</f>
        <v/>
      </c>
      <c r="G401" s="9">
        <f>IF(E401=0,0,IF(Task!$A$8="",0,IF(ISNUMBER(SEARCH(" "&amp;Task!$A$8&amp;" "," "&amp;LOWER(C401)&amp;" ")),1,0))+IF(Task!$A$9="",0,IF(ISNUMBER(SEARCH(" "&amp;Task!$A$9&amp;" "," "&amp;LOWER(C401)&amp;" ")),1,0))+IF(Task!$A$10="",0,IF(ISNUMBER(SEARCH(" "&amp;Task!$A$10&amp;" "," "&amp;LOWER(C401)&amp;" ")),1,0))+IF(Task!$A$11="",0,IF(ISNUMBER(SEARCH(" "&amp;Task!$A$11&amp;" "," "&amp;LOWER(C401)&amp;" ")),1,0))+IF(Task!$A$12="",0,IF(ISNUMBER(SEARCH(" "&amp;Task!$A$12&amp;" "," "&amp;LOWER(C401)&amp;" ")),1,0))+IF(Task!$A$13="",0,IF(ISNUMBER(SEARCH(" "&amp;Task!$A$13&amp;" "," "&amp;LOWER(C401)&amp;" ")),1,0))+IF(Task!$A$14="",0,IF(ISNUMBER(SEARCH(" "&amp;Task!$A$14&amp;" "," "&amp;LOWER(C401)&amp;" ")),1,0))+IF(Task!$A$15="",0,IF(ISNUMBER(SEARCH(" "&amp;Task!$A$15&amp;" "," "&amp;LOWER(C401)&amp;" ")),1,0))+IF(Task!$A$16="",0,IF(ISNUMBER(SEARCH(" "&amp;Task!$A$16&amp;" "," "&amp;LOWER(C401)&amp;" ")),1,0))+IF(Task!$A$17="",0,IF(ISNUMBER(SEARCH(" "&amp;Task!$A$17&amp;" "," "&amp;LOWER(C401)&amp;" ")),1,0))+IF(Task!$A$18="",0,IF(ISNUMBER(SEARCH(" "&amp;Task!$A$18&amp;" "," "&amp;LOWER(C401)&amp;" ")),1,0))+IF(Task!$A$19="",0,IF(ISNUMBER(SEARCH(" "&amp;Task!$A$19&amp;" "," "&amp;LOWER(C401)&amp;" ")),1,0)))</f>
        <v/>
      </c>
      <c r="H401" s="9">
        <f>IF(E401=0,0,IF(Task!$A$8="",0,IF(ISNUMBER(SEARCH(" "&amp;Task!$A$8&amp;" "," "&amp;LOWER(SUBSTITUTE(SUBSTITUTE(SUBSTITUTE(SUBSTITUTE(A401,"/"," "),"."," "),"\"," "),"_"," "))&amp;" ")),1,0))+IF(Task!$A$9="",0,IF(ISNUMBER(SEARCH(" "&amp;Task!$A$9&amp;" "," "&amp;LOWER(SUBSTITUTE(SUBSTITUTE(SUBSTITUTE(SUBSTITUTE(A401,"/"," "),"."," "),"\"," "),"_"," "))&amp;" ")),1,0))+IF(Task!$A$10="",0,IF(ISNUMBER(SEARCH(" "&amp;Task!$A$10&amp;" "," "&amp;LOWER(SUBSTITUTE(SUBSTITUTE(SUBSTITUTE(SUBSTITUTE(A401,"/"," "),"."," "),"\"," "),"_"," "))&amp;" ")),1,0))+IF(Task!$A$11="",0,IF(ISNUMBER(SEARCH(" "&amp;Task!$A$11&amp;" "," "&amp;LOWER(SUBSTITUTE(SUBSTITUTE(SUBSTITUTE(SUBSTITUTE(A401,"/"," "),"."," "),"\"," "),"_"," "))&amp;" ")),1,0))+IF(Task!$A$12="",0,IF(ISNUMBER(SEARCH(" "&amp;Task!$A$12&amp;" "," "&amp;LOWER(SUBSTITUTE(SUBSTITUTE(SUBSTITUTE(SUBSTITUTE(A401,"/"," "),"."," "),"\"," "),"_"," "))&amp;" ")),1,0))+IF(Task!$A$13="",0,IF(ISNUMBER(SEARCH(" "&amp;Task!$A$13&amp;" "," "&amp;LOWER(SUBSTITUTE(SUBSTITUTE(SUBSTITUTE(SUBSTITUTE(A401,"/"," "),"."," "),"\"," "),"_"," "))&amp;" ")),1,0))+IF(Task!$A$14="",0,IF(ISNUMBER(SEARCH(" "&amp;Task!$A$14&amp;" "," "&amp;LOWER(SUBSTITUTE(SUBSTITUTE(SUBSTITUTE(SUBSTITUTE(A401,"/"," "),"."," "),"\"," "),"_"," "))&amp;" ")),1,0))+IF(Task!$A$15="",0,IF(ISNUMBER(SEARCH(" "&amp;Task!$A$15&amp;" "," "&amp;LOWER(SUBSTITUTE(SUBSTITUTE(SUBSTITUTE(SUBSTITUTE(A401,"/"," "),"."," "),"\"," "),"_"," "))&amp;" ")),1,0))+IF(Task!$A$16="",0,IF(ISNUMBER(SEARCH(" "&amp;Task!$A$16&amp;" "," "&amp;LOWER(SUBSTITUTE(SUBSTITUTE(SUBSTITUTE(SUBSTITUTE(A401,"/"," "),"."," "),"\"," "),"_"," "))&amp;" ")),1,0))+IF(Task!$A$17="",0,IF(ISNUMBER(SEARCH(" "&amp;Task!$A$17&amp;" "," "&amp;LOWER(SUBSTITUTE(SUBSTITUTE(SUBSTITUTE(SUBSTITUTE(A401,"/"," "),"."," "),"\"," "),"_"," "))&amp;" ")),1,0))+IF(Task!$A$18="",0,IF(ISNUMBER(SEARCH(" "&amp;Task!$A$18&amp;" "," "&amp;LOWER(SUBSTITUTE(SUBSTITUTE(SUBSTITUTE(SUBSTITUTE(A401,"/"," "),"."," "),"\"," "),"_"," "))&amp;" ")),1,0))+IF(Task!$A$19="",0,IF(ISNUMBER(SEARCH(" "&amp;Task!$A$19&amp;" "," "&amp;LOWER(SUBSTITUTE(SUBSTITUTE(SUBSTITUTE(SUBSTITUTE(A401,"/"," "),"."," "),"\"," "),"_"," "))&amp;" ")),1,0)))</f>
        <v/>
      </c>
      <c r="I401" s="10">
        <f>IF(OR(E401=0,F401=0,Task!$B$21=0),"",F401/Task!$B$21+0.5*G401+0.25*H401)</f>
        <v/>
      </c>
      <c r="J401" s="5">
        <f>IF(I401="","",I401-ROW()/1000000)</f>
        <v/>
      </c>
      <c r="K401" s="9">
        <f>IF(J401="","",COUNTIF($J$5:$J$404,"&gt;"&amp;J401)+1)</f>
        <v/>
      </c>
    </row>
    <row r="402">
      <c r="A402" s="7" t="n"/>
      <c r="B402" s="7" t="n"/>
      <c r="C402" s="7" t="n"/>
      <c r="D402" s="7" t="n"/>
      <c r="E402" s="5">
        <f>IF(A402="",0,IF(COUNTA(Task!$B$5:$E$5)=0,1,IF(COUNTIF(Task!$B$5:$E$5,B402)&gt;0,1,0)))</f>
        <v/>
      </c>
      <c r="F402" s="9">
        <f>IF(E402=0,0,IF(Task!$A$8="",0,IF(ISNUMBER(SEARCH(" "&amp;Task!$A$8&amp;" "," "&amp;LOWER(D402&amp;" "&amp;C402&amp;" "&amp;LOWER(SUBSTITUTE(SUBSTITUTE(SUBSTITUTE(SUBSTITUTE(A402,"/"," "),"."," "),"\"," "),"_"," ")))&amp;" ")),1,0))+IF(Task!$A$9="",0,IF(ISNUMBER(SEARCH(" "&amp;Task!$A$9&amp;" "," "&amp;LOWER(D402&amp;" "&amp;C402&amp;" "&amp;LOWER(SUBSTITUTE(SUBSTITUTE(SUBSTITUTE(SUBSTITUTE(A402,"/"," "),"."," "),"\"," "),"_"," ")))&amp;" ")),1,0))+IF(Task!$A$10="",0,IF(ISNUMBER(SEARCH(" "&amp;Task!$A$10&amp;" "," "&amp;LOWER(D402&amp;" "&amp;C402&amp;" "&amp;LOWER(SUBSTITUTE(SUBSTITUTE(SUBSTITUTE(SUBSTITUTE(A402,"/"," "),"."," "),"\"," "),"_"," ")))&amp;" ")),1,0))+IF(Task!$A$11="",0,IF(ISNUMBER(SEARCH(" "&amp;Task!$A$11&amp;" "," "&amp;LOWER(D402&amp;" "&amp;C402&amp;" "&amp;LOWER(SUBSTITUTE(SUBSTITUTE(SUBSTITUTE(SUBSTITUTE(A402,"/"," "),"."," "),"\"," "),"_"," ")))&amp;" ")),1,0))+IF(Task!$A$12="",0,IF(ISNUMBER(SEARCH(" "&amp;Task!$A$12&amp;" "," "&amp;LOWER(D402&amp;" "&amp;C402&amp;" "&amp;LOWER(SUBSTITUTE(SUBSTITUTE(SUBSTITUTE(SUBSTITUTE(A402,"/"," "),"."," "),"\"," "),"_"," ")))&amp;" ")),1,0))+IF(Task!$A$13="",0,IF(ISNUMBER(SEARCH(" "&amp;Task!$A$13&amp;" "," "&amp;LOWER(D402&amp;" "&amp;C402&amp;" "&amp;LOWER(SUBSTITUTE(SUBSTITUTE(SUBSTITUTE(SUBSTITUTE(A402,"/"," "),"."," "),"\"," "),"_"," ")))&amp;" ")),1,0))+IF(Task!$A$14="",0,IF(ISNUMBER(SEARCH(" "&amp;Task!$A$14&amp;" "," "&amp;LOWER(D402&amp;" "&amp;C402&amp;" "&amp;LOWER(SUBSTITUTE(SUBSTITUTE(SUBSTITUTE(SUBSTITUTE(A402,"/"," "),"."," "),"\"," "),"_"," ")))&amp;" ")),1,0))+IF(Task!$A$15="",0,IF(ISNUMBER(SEARCH(" "&amp;Task!$A$15&amp;" "," "&amp;LOWER(D402&amp;" "&amp;C402&amp;" "&amp;LOWER(SUBSTITUTE(SUBSTITUTE(SUBSTITUTE(SUBSTITUTE(A402,"/"," "),"."," "),"\"," "),"_"," ")))&amp;" ")),1,0))+IF(Task!$A$16="",0,IF(ISNUMBER(SEARCH(" "&amp;Task!$A$16&amp;" "," "&amp;LOWER(D402&amp;" "&amp;C402&amp;" "&amp;LOWER(SUBSTITUTE(SUBSTITUTE(SUBSTITUTE(SUBSTITUTE(A402,"/"," "),"."," "),"\"," "),"_"," ")))&amp;" ")),1,0))+IF(Task!$A$17="",0,IF(ISNUMBER(SEARCH(" "&amp;Task!$A$17&amp;" "," "&amp;LOWER(D402&amp;" "&amp;C402&amp;" "&amp;LOWER(SUBSTITUTE(SUBSTITUTE(SUBSTITUTE(SUBSTITUTE(A402,"/"," "),"."," "),"\"," "),"_"," ")))&amp;" ")),1,0))+IF(Task!$A$18="",0,IF(ISNUMBER(SEARCH(" "&amp;Task!$A$18&amp;" "," "&amp;LOWER(D402&amp;" "&amp;C402&amp;" "&amp;LOWER(SUBSTITUTE(SUBSTITUTE(SUBSTITUTE(SUBSTITUTE(A402,"/"," "),"."," "),"\"," "),"_"," ")))&amp;" ")),1,0))+IF(Task!$A$19="",0,IF(ISNUMBER(SEARCH(" "&amp;Task!$A$19&amp;" "," "&amp;LOWER(D402&amp;" "&amp;C402&amp;" "&amp;LOWER(SUBSTITUTE(SUBSTITUTE(SUBSTITUTE(SUBSTITUTE(A402,"/"," "),"."," "),"\"," "),"_"," ")))&amp;" ")),1,0)))</f>
        <v/>
      </c>
      <c r="G402" s="9">
        <f>IF(E402=0,0,IF(Task!$A$8="",0,IF(ISNUMBER(SEARCH(" "&amp;Task!$A$8&amp;" "," "&amp;LOWER(C402)&amp;" ")),1,0))+IF(Task!$A$9="",0,IF(ISNUMBER(SEARCH(" "&amp;Task!$A$9&amp;" "," "&amp;LOWER(C402)&amp;" ")),1,0))+IF(Task!$A$10="",0,IF(ISNUMBER(SEARCH(" "&amp;Task!$A$10&amp;" "," "&amp;LOWER(C402)&amp;" ")),1,0))+IF(Task!$A$11="",0,IF(ISNUMBER(SEARCH(" "&amp;Task!$A$11&amp;" "," "&amp;LOWER(C402)&amp;" ")),1,0))+IF(Task!$A$12="",0,IF(ISNUMBER(SEARCH(" "&amp;Task!$A$12&amp;" "," "&amp;LOWER(C402)&amp;" ")),1,0))+IF(Task!$A$13="",0,IF(ISNUMBER(SEARCH(" "&amp;Task!$A$13&amp;" "," "&amp;LOWER(C402)&amp;" ")),1,0))+IF(Task!$A$14="",0,IF(ISNUMBER(SEARCH(" "&amp;Task!$A$14&amp;" "," "&amp;LOWER(C402)&amp;" ")),1,0))+IF(Task!$A$15="",0,IF(ISNUMBER(SEARCH(" "&amp;Task!$A$15&amp;" "," "&amp;LOWER(C402)&amp;" ")),1,0))+IF(Task!$A$16="",0,IF(ISNUMBER(SEARCH(" "&amp;Task!$A$16&amp;" "," "&amp;LOWER(C402)&amp;" ")),1,0))+IF(Task!$A$17="",0,IF(ISNUMBER(SEARCH(" "&amp;Task!$A$17&amp;" "," "&amp;LOWER(C402)&amp;" ")),1,0))+IF(Task!$A$18="",0,IF(ISNUMBER(SEARCH(" "&amp;Task!$A$18&amp;" "," "&amp;LOWER(C402)&amp;" ")),1,0))+IF(Task!$A$19="",0,IF(ISNUMBER(SEARCH(" "&amp;Task!$A$19&amp;" "," "&amp;LOWER(C402)&amp;" ")),1,0)))</f>
        <v/>
      </c>
      <c r="H402" s="9">
        <f>IF(E402=0,0,IF(Task!$A$8="",0,IF(ISNUMBER(SEARCH(" "&amp;Task!$A$8&amp;" "," "&amp;LOWER(SUBSTITUTE(SUBSTITUTE(SUBSTITUTE(SUBSTITUTE(A402,"/"," "),"."," "),"\"," "),"_"," "))&amp;" ")),1,0))+IF(Task!$A$9="",0,IF(ISNUMBER(SEARCH(" "&amp;Task!$A$9&amp;" "," "&amp;LOWER(SUBSTITUTE(SUBSTITUTE(SUBSTITUTE(SUBSTITUTE(A402,"/"," "),"."," "),"\"," "),"_"," "))&amp;" ")),1,0))+IF(Task!$A$10="",0,IF(ISNUMBER(SEARCH(" "&amp;Task!$A$10&amp;" "," "&amp;LOWER(SUBSTITUTE(SUBSTITUTE(SUBSTITUTE(SUBSTITUTE(A402,"/"," "),"."," "),"\"," "),"_"," "))&amp;" ")),1,0))+IF(Task!$A$11="",0,IF(ISNUMBER(SEARCH(" "&amp;Task!$A$11&amp;" "," "&amp;LOWER(SUBSTITUTE(SUBSTITUTE(SUBSTITUTE(SUBSTITUTE(A402,"/"," "),"."," "),"\"," "),"_"," "))&amp;" ")),1,0))+IF(Task!$A$12="",0,IF(ISNUMBER(SEARCH(" "&amp;Task!$A$12&amp;" "," "&amp;LOWER(SUBSTITUTE(SUBSTITUTE(SUBSTITUTE(SUBSTITUTE(A402,"/"," "),"."," "),"\"," "),"_"," "))&amp;" ")),1,0))+IF(Task!$A$13="",0,IF(ISNUMBER(SEARCH(" "&amp;Task!$A$13&amp;" "," "&amp;LOWER(SUBSTITUTE(SUBSTITUTE(SUBSTITUTE(SUBSTITUTE(A402,"/"," "),"."," "),"\"," "),"_"," "))&amp;" ")),1,0))+IF(Task!$A$14="",0,IF(ISNUMBER(SEARCH(" "&amp;Task!$A$14&amp;" "," "&amp;LOWER(SUBSTITUTE(SUBSTITUTE(SUBSTITUTE(SUBSTITUTE(A402,"/"," "),"."," "),"\"," "),"_"," "))&amp;" ")),1,0))+IF(Task!$A$15="",0,IF(ISNUMBER(SEARCH(" "&amp;Task!$A$15&amp;" "," "&amp;LOWER(SUBSTITUTE(SUBSTITUTE(SUBSTITUTE(SUBSTITUTE(A402,"/"," "),"."," "),"\"," "),"_"," "))&amp;" ")),1,0))+IF(Task!$A$16="",0,IF(ISNUMBER(SEARCH(" "&amp;Task!$A$16&amp;" "," "&amp;LOWER(SUBSTITUTE(SUBSTITUTE(SUBSTITUTE(SUBSTITUTE(A402,"/"," "),"."," "),"\"," "),"_"," "))&amp;" ")),1,0))+IF(Task!$A$17="",0,IF(ISNUMBER(SEARCH(" "&amp;Task!$A$17&amp;" "," "&amp;LOWER(SUBSTITUTE(SUBSTITUTE(SUBSTITUTE(SUBSTITUTE(A402,"/"," "),"."," "),"\"," "),"_"," "))&amp;" ")),1,0))+IF(Task!$A$18="",0,IF(ISNUMBER(SEARCH(" "&amp;Task!$A$18&amp;" "," "&amp;LOWER(SUBSTITUTE(SUBSTITUTE(SUBSTITUTE(SUBSTITUTE(A402,"/"," "),"."," "),"\"," "),"_"," "))&amp;" ")),1,0))+IF(Task!$A$19="",0,IF(ISNUMBER(SEARCH(" "&amp;Task!$A$19&amp;" "," "&amp;LOWER(SUBSTITUTE(SUBSTITUTE(SUBSTITUTE(SUBSTITUTE(A402,"/"," "),"."," "),"\"," "),"_"," "))&amp;" ")),1,0)))</f>
        <v/>
      </c>
      <c r="I402" s="10">
        <f>IF(OR(E402=0,F402=0,Task!$B$21=0),"",F402/Task!$B$21+0.5*G402+0.25*H402)</f>
        <v/>
      </c>
      <c r="J402" s="5">
        <f>IF(I402="","",I402-ROW()/1000000)</f>
        <v/>
      </c>
      <c r="K402" s="9">
        <f>IF(J402="","",COUNTIF($J$5:$J$404,"&gt;"&amp;J402)+1)</f>
        <v/>
      </c>
    </row>
    <row r="403">
      <c r="A403" s="7" t="n"/>
      <c r="B403" s="7" t="n"/>
      <c r="C403" s="7" t="n"/>
      <c r="D403" s="7" t="n"/>
      <c r="E403" s="5">
        <f>IF(A403="",0,IF(COUNTA(Task!$B$5:$E$5)=0,1,IF(COUNTIF(Task!$B$5:$E$5,B403)&gt;0,1,0)))</f>
        <v/>
      </c>
      <c r="F403" s="9">
        <f>IF(E403=0,0,IF(Task!$A$8="",0,IF(ISNUMBER(SEARCH(" "&amp;Task!$A$8&amp;" "," "&amp;LOWER(D403&amp;" "&amp;C403&amp;" "&amp;LOWER(SUBSTITUTE(SUBSTITUTE(SUBSTITUTE(SUBSTITUTE(A403,"/"," "),"."," "),"\"," "),"_"," ")))&amp;" ")),1,0))+IF(Task!$A$9="",0,IF(ISNUMBER(SEARCH(" "&amp;Task!$A$9&amp;" "," "&amp;LOWER(D403&amp;" "&amp;C403&amp;" "&amp;LOWER(SUBSTITUTE(SUBSTITUTE(SUBSTITUTE(SUBSTITUTE(A403,"/"," "),"."," "),"\"," "),"_"," ")))&amp;" ")),1,0))+IF(Task!$A$10="",0,IF(ISNUMBER(SEARCH(" "&amp;Task!$A$10&amp;" "," "&amp;LOWER(D403&amp;" "&amp;C403&amp;" "&amp;LOWER(SUBSTITUTE(SUBSTITUTE(SUBSTITUTE(SUBSTITUTE(A403,"/"," "),"."," "),"\"," "),"_"," ")))&amp;" ")),1,0))+IF(Task!$A$11="",0,IF(ISNUMBER(SEARCH(" "&amp;Task!$A$11&amp;" "," "&amp;LOWER(D403&amp;" "&amp;C403&amp;" "&amp;LOWER(SUBSTITUTE(SUBSTITUTE(SUBSTITUTE(SUBSTITUTE(A403,"/"," "),"."," "),"\"," "),"_"," ")))&amp;" ")),1,0))+IF(Task!$A$12="",0,IF(ISNUMBER(SEARCH(" "&amp;Task!$A$12&amp;" "," "&amp;LOWER(D403&amp;" "&amp;C403&amp;" "&amp;LOWER(SUBSTITUTE(SUBSTITUTE(SUBSTITUTE(SUBSTITUTE(A403,"/"," "),"."," "),"\"," "),"_"," ")))&amp;" ")),1,0))+IF(Task!$A$13="",0,IF(ISNUMBER(SEARCH(" "&amp;Task!$A$13&amp;" "," "&amp;LOWER(D403&amp;" "&amp;C403&amp;" "&amp;LOWER(SUBSTITUTE(SUBSTITUTE(SUBSTITUTE(SUBSTITUTE(A403,"/"," "),"."," "),"\"," "),"_"," ")))&amp;" ")),1,0))+IF(Task!$A$14="",0,IF(ISNUMBER(SEARCH(" "&amp;Task!$A$14&amp;" "," "&amp;LOWER(D403&amp;" "&amp;C403&amp;" "&amp;LOWER(SUBSTITUTE(SUBSTITUTE(SUBSTITUTE(SUBSTITUTE(A403,"/"," "),"."," "),"\"," "),"_"," ")))&amp;" ")),1,0))+IF(Task!$A$15="",0,IF(ISNUMBER(SEARCH(" "&amp;Task!$A$15&amp;" "," "&amp;LOWER(D403&amp;" "&amp;C403&amp;" "&amp;LOWER(SUBSTITUTE(SUBSTITUTE(SUBSTITUTE(SUBSTITUTE(A403,"/"," "),"."," "),"\"," "),"_"," ")))&amp;" ")),1,0))+IF(Task!$A$16="",0,IF(ISNUMBER(SEARCH(" "&amp;Task!$A$16&amp;" "," "&amp;LOWER(D403&amp;" "&amp;C403&amp;" "&amp;LOWER(SUBSTITUTE(SUBSTITUTE(SUBSTITUTE(SUBSTITUTE(A403,"/"," "),"."," "),"\"," "),"_"," ")))&amp;" ")),1,0))+IF(Task!$A$17="",0,IF(ISNUMBER(SEARCH(" "&amp;Task!$A$17&amp;" "," "&amp;LOWER(D403&amp;" "&amp;C403&amp;" "&amp;LOWER(SUBSTITUTE(SUBSTITUTE(SUBSTITUTE(SUBSTITUTE(A403,"/"," "),"."," "),"\"," "),"_"," ")))&amp;" ")),1,0))+IF(Task!$A$18="",0,IF(ISNUMBER(SEARCH(" "&amp;Task!$A$18&amp;" "," "&amp;LOWER(D403&amp;" "&amp;C403&amp;" "&amp;LOWER(SUBSTITUTE(SUBSTITUTE(SUBSTITUTE(SUBSTITUTE(A403,"/"," "),"."," "),"\"," "),"_"," ")))&amp;" ")),1,0))+IF(Task!$A$19="",0,IF(ISNUMBER(SEARCH(" "&amp;Task!$A$19&amp;" "," "&amp;LOWER(D403&amp;" "&amp;C403&amp;" "&amp;LOWER(SUBSTITUTE(SUBSTITUTE(SUBSTITUTE(SUBSTITUTE(A403,"/"," "),"."," "),"\"," "),"_"," ")))&amp;" ")),1,0)))</f>
        <v/>
      </c>
      <c r="G403" s="9">
        <f>IF(E403=0,0,IF(Task!$A$8="",0,IF(ISNUMBER(SEARCH(" "&amp;Task!$A$8&amp;" "," "&amp;LOWER(C403)&amp;" ")),1,0))+IF(Task!$A$9="",0,IF(ISNUMBER(SEARCH(" "&amp;Task!$A$9&amp;" "," "&amp;LOWER(C403)&amp;" ")),1,0))+IF(Task!$A$10="",0,IF(ISNUMBER(SEARCH(" "&amp;Task!$A$10&amp;" "," "&amp;LOWER(C403)&amp;" ")),1,0))+IF(Task!$A$11="",0,IF(ISNUMBER(SEARCH(" "&amp;Task!$A$11&amp;" "," "&amp;LOWER(C403)&amp;" ")),1,0))+IF(Task!$A$12="",0,IF(ISNUMBER(SEARCH(" "&amp;Task!$A$12&amp;" "," "&amp;LOWER(C403)&amp;" ")),1,0))+IF(Task!$A$13="",0,IF(ISNUMBER(SEARCH(" "&amp;Task!$A$13&amp;" "," "&amp;LOWER(C403)&amp;" ")),1,0))+IF(Task!$A$14="",0,IF(ISNUMBER(SEARCH(" "&amp;Task!$A$14&amp;" "," "&amp;LOWER(C403)&amp;" ")),1,0))+IF(Task!$A$15="",0,IF(ISNUMBER(SEARCH(" "&amp;Task!$A$15&amp;" "," "&amp;LOWER(C403)&amp;" ")),1,0))+IF(Task!$A$16="",0,IF(ISNUMBER(SEARCH(" "&amp;Task!$A$16&amp;" "," "&amp;LOWER(C403)&amp;" ")),1,0))+IF(Task!$A$17="",0,IF(ISNUMBER(SEARCH(" "&amp;Task!$A$17&amp;" "," "&amp;LOWER(C403)&amp;" ")),1,0))+IF(Task!$A$18="",0,IF(ISNUMBER(SEARCH(" "&amp;Task!$A$18&amp;" "," "&amp;LOWER(C403)&amp;" ")),1,0))+IF(Task!$A$19="",0,IF(ISNUMBER(SEARCH(" "&amp;Task!$A$19&amp;" "," "&amp;LOWER(C403)&amp;" ")),1,0)))</f>
        <v/>
      </c>
      <c r="H403" s="9">
        <f>IF(E403=0,0,IF(Task!$A$8="",0,IF(ISNUMBER(SEARCH(" "&amp;Task!$A$8&amp;" "," "&amp;LOWER(SUBSTITUTE(SUBSTITUTE(SUBSTITUTE(SUBSTITUTE(A403,"/"," "),"."," "),"\"," "),"_"," "))&amp;" ")),1,0))+IF(Task!$A$9="",0,IF(ISNUMBER(SEARCH(" "&amp;Task!$A$9&amp;" "," "&amp;LOWER(SUBSTITUTE(SUBSTITUTE(SUBSTITUTE(SUBSTITUTE(A403,"/"," "),"."," "),"\"," "),"_"," "))&amp;" ")),1,0))+IF(Task!$A$10="",0,IF(ISNUMBER(SEARCH(" "&amp;Task!$A$10&amp;" "," "&amp;LOWER(SUBSTITUTE(SUBSTITUTE(SUBSTITUTE(SUBSTITUTE(A403,"/"," "),"."," "),"\"," "),"_"," "))&amp;" ")),1,0))+IF(Task!$A$11="",0,IF(ISNUMBER(SEARCH(" "&amp;Task!$A$11&amp;" "," "&amp;LOWER(SUBSTITUTE(SUBSTITUTE(SUBSTITUTE(SUBSTITUTE(A403,"/"," "),"."," "),"\"," "),"_"," "))&amp;" ")),1,0))+IF(Task!$A$12="",0,IF(ISNUMBER(SEARCH(" "&amp;Task!$A$12&amp;" "," "&amp;LOWER(SUBSTITUTE(SUBSTITUTE(SUBSTITUTE(SUBSTITUTE(A403,"/"," "),"."," "),"\"," "),"_"," "))&amp;" ")),1,0))+IF(Task!$A$13="",0,IF(ISNUMBER(SEARCH(" "&amp;Task!$A$13&amp;" "," "&amp;LOWER(SUBSTITUTE(SUBSTITUTE(SUBSTITUTE(SUBSTITUTE(A403,"/"," "),"."," "),"\"," "),"_"," "))&amp;" ")),1,0))+IF(Task!$A$14="",0,IF(ISNUMBER(SEARCH(" "&amp;Task!$A$14&amp;" "," "&amp;LOWER(SUBSTITUTE(SUBSTITUTE(SUBSTITUTE(SUBSTITUTE(A403,"/"," "),"."," "),"\"," "),"_"," "))&amp;" ")),1,0))+IF(Task!$A$15="",0,IF(ISNUMBER(SEARCH(" "&amp;Task!$A$15&amp;" "," "&amp;LOWER(SUBSTITUTE(SUBSTITUTE(SUBSTITUTE(SUBSTITUTE(A403,"/"," "),"."," "),"\"," "),"_"," "))&amp;" ")),1,0))+IF(Task!$A$16="",0,IF(ISNUMBER(SEARCH(" "&amp;Task!$A$16&amp;" "," "&amp;LOWER(SUBSTITUTE(SUBSTITUTE(SUBSTITUTE(SUBSTITUTE(A403,"/"," "),"."," "),"\"," "),"_"," "))&amp;" ")),1,0))+IF(Task!$A$17="",0,IF(ISNUMBER(SEARCH(" "&amp;Task!$A$17&amp;" "," "&amp;LOWER(SUBSTITUTE(SUBSTITUTE(SUBSTITUTE(SUBSTITUTE(A403,"/"," "),"."," "),"\"," "),"_"," "))&amp;" ")),1,0))+IF(Task!$A$18="",0,IF(ISNUMBER(SEARCH(" "&amp;Task!$A$18&amp;" "," "&amp;LOWER(SUBSTITUTE(SUBSTITUTE(SUBSTITUTE(SUBSTITUTE(A403,"/"," "),"."," "),"\"," "),"_"," "))&amp;" ")),1,0))+IF(Task!$A$19="",0,IF(ISNUMBER(SEARCH(" "&amp;Task!$A$19&amp;" "," "&amp;LOWER(SUBSTITUTE(SUBSTITUTE(SUBSTITUTE(SUBSTITUTE(A403,"/"," "),"."," "),"\"," "),"_"," "))&amp;" ")),1,0)))</f>
        <v/>
      </c>
      <c r="I403" s="10">
        <f>IF(OR(E403=0,F403=0,Task!$B$21=0),"",F403/Task!$B$21+0.5*G403+0.25*H403)</f>
        <v/>
      </c>
      <c r="J403" s="5">
        <f>IF(I403="","",I403-ROW()/1000000)</f>
        <v/>
      </c>
      <c r="K403" s="9">
        <f>IF(J403="","",COUNTIF($J$5:$J$404,"&gt;"&amp;J403)+1)</f>
        <v/>
      </c>
    </row>
    <row r="404">
      <c r="A404" s="7" t="n"/>
      <c r="B404" s="7" t="n"/>
      <c r="C404" s="7" t="n"/>
      <c r="D404" s="7" t="n"/>
      <c r="E404" s="5">
        <f>IF(A404="",0,IF(COUNTA(Task!$B$5:$E$5)=0,1,IF(COUNTIF(Task!$B$5:$E$5,B404)&gt;0,1,0)))</f>
        <v/>
      </c>
      <c r="F404" s="9">
        <f>IF(E404=0,0,IF(Task!$A$8="",0,IF(ISNUMBER(SEARCH(" "&amp;Task!$A$8&amp;" "," "&amp;LOWER(D404&amp;" "&amp;C404&amp;" "&amp;LOWER(SUBSTITUTE(SUBSTITUTE(SUBSTITUTE(SUBSTITUTE(A404,"/"," "),"."," "),"\"," "),"_"," ")))&amp;" ")),1,0))+IF(Task!$A$9="",0,IF(ISNUMBER(SEARCH(" "&amp;Task!$A$9&amp;" "," "&amp;LOWER(D404&amp;" "&amp;C404&amp;" "&amp;LOWER(SUBSTITUTE(SUBSTITUTE(SUBSTITUTE(SUBSTITUTE(A404,"/"," "),"."," "),"\"," "),"_"," ")))&amp;" ")),1,0))+IF(Task!$A$10="",0,IF(ISNUMBER(SEARCH(" "&amp;Task!$A$10&amp;" "," "&amp;LOWER(D404&amp;" "&amp;C404&amp;" "&amp;LOWER(SUBSTITUTE(SUBSTITUTE(SUBSTITUTE(SUBSTITUTE(A404,"/"," "),"."," "),"\"," "),"_"," ")))&amp;" ")),1,0))+IF(Task!$A$11="",0,IF(ISNUMBER(SEARCH(" "&amp;Task!$A$11&amp;" "," "&amp;LOWER(D404&amp;" "&amp;C404&amp;" "&amp;LOWER(SUBSTITUTE(SUBSTITUTE(SUBSTITUTE(SUBSTITUTE(A404,"/"," "),"."," "),"\"," "),"_"," ")))&amp;" ")),1,0))+IF(Task!$A$12="",0,IF(ISNUMBER(SEARCH(" "&amp;Task!$A$12&amp;" "," "&amp;LOWER(D404&amp;" "&amp;C404&amp;" "&amp;LOWER(SUBSTITUTE(SUBSTITUTE(SUBSTITUTE(SUBSTITUTE(A404,"/"," "),"."," "),"\"," "),"_"," ")))&amp;" ")),1,0))+IF(Task!$A$13="",0,IF(ISNUMBER(SEARCH(" "&amp;Task!$A$13&amp;" "," "&amp;LOWER(D404&amp;" "&amp;C404&amp;" "&amp;LOWER(SUBSTITUTE(SUBSTITUTE(SUBSTITUTE(SUBSTITUTE(A404,"/"," "),"."," "),"\"," "),"_"," ")))&amp;" ")),1,0))+IF(Task!$A$14="",0,IF(ISNUMBER(SEARCH(" "&amp;Task!$A$14&amp;" "," "&amp;LOWER(D404&amp;" "&amp;C404&amp;" "&amp;LOWER(SUBSTITUTE(SUBSTITUTE(SUBSTITUTE(SUBSTITUTE(A404,"/"," "),"."," "),"\"," "),"_"," ")))&amp;" ")),1,0))+IF(Task!$A$15="",0,IF(ISNUMBER(SEARCH(" "&amp;Task!$A$15&amp;" "," "&amp;LOWER(D404&amp;" "&amp;C404&amp;" "&amp;LOWER(SUBSTITUTE(SUBSTITUTE(SUBSTITUTE(SUBSTITUTE(A404,"/"," "),"."," "),"\"," "),"_"," ")))&amp;" ")),1,0))+IF(Task!$A$16="",0,IF(ISNUMBER(SEARCH(" "&amp;Task!$A$16&amp;" "," "&amp;LOWER(D404&amp;" "&amp;C404&amp;" "&amp;LOWER(SUBSTITUTE(SUBSTITUTE(SUBSTITUTE(SUBSTITUTE(A404,"/"," "),"."," "),"\"," "),"_"," ")))&amp;" ")),1,0))+IF(Task!$A$17="",0,IF(ISNUMBER(SEARCH(" "&amp;Task!$A$17&amp;" "," "&amp;LOWER(D404&amp;" "&amp;C404&amp;" "&amp;LOWER(SUBSTITUTE(SUBSTITUTE(SUBSTITUTE(SUBSTITUTE(A404,"/"," "),"."," "),"\"," "),"_"," ")))&amp;" ")),1,0))+IF(Task!$A$18="",0,IF(ISNUMBER(SEARCH(" "&amp;Task!$A$18&amp;" "," "&amp;LOWER(D404&amp;" "&amp;C404&amp;" "&amp;LOWER(SUBSTITUTE(SUBSTITUTE(SUBSTITUTE(SUBSTITUTE(A404,"/"," "),"."," "),"\"," "),"_"," ")))&amp;" ")),1,0))+IF(Task!$A$19="",0,IF(ISNUMBER(SEARCH(" "&amp;Task!$A$19&amp;" "," "&amp;LOWER(D404&amp;" "&amp;C404&amp;" "&amp;LOWER(SUBSTITUTE(SUBSTITUTE(SUBSTITUTE(SUBSTITUTE(A404,"/"," "),"."," "),"\"," "),"_"," ")))&amp;" ")),1,0)))</f>
        <v/>
      </c>
      <c r="G404" s="9">
        <f>IF(E404=0,0,IF(Task!$A$8="",0,IF(ISNUMBER(SEARCH(" "&amp;Task!$A$8&amp;" "," "&amp;LOWER(C404)&amp;" ")),1,0))+IF(Task!$A$9="",0,IF(ISNUMBER(SEARCH(" "&amp;Task!$A$9&amp;" "," "&amp;LOWER(C404)&amp;" ")),1,0))+IF(Task!$A$10="",0,IF(ISNUMBER(SEARCH(" "&amp;Task!$A$10&amp;" "," "&amp;LOWER(C404)&amp;" ")),1,0))+IF(Task!$A$11="",0,IF(ISNUMBER(SEARCH(" "&amp;Task!$A$11&amp;" "," "&amp;LOWER(C404)&amp;" ")),1,0))+IF(Task!$A$12="",0,IF(ISNUMBER(SEARCH(" "&amp;Task!$A$12&amp;" "," "&amp;LOWER(C404)&amp;" ")),1,0))+IF(Task!$A$13="",0,IF(ISNUMBER(SEARCH(" "&amp;Task!$A$13&amp;" "," "&amp;LOWER(C404)&amp;" ")),1,0))+IF(Task!$A$14="",0,IF(ISNUMBER(SEARCH(" "&amp;Task!$A$14&amp;" "," "&amp;LOWER(C404)&amp;" ")),1,0))+IF(Task!$A$15="",0,IF(ISNUMBER(SEARCH(" "&amp;Task!$A$15&amp;" "," "&amp;LOWER(C404)&amp;" ")),1,0))+IF(Task!$A$16="",0,IF(ISNUMBER(SEARCH(" "&amp;Task!$A$16&amp;" "," "&amp;LOWER(C404)&amp;" ")),1,0))+IF(Task!$A$17="",0,IF(ISNUMBER(SEARCH(" "&amp;Task!$A$17&amp;" "," "&amp;LOWER(C404)&amp;" ")),1,0))+IF(Task!$A$18="",0,IF(ISNUMBER(SEARCH(" "&amp;Task!$A$18&amp;" "," "&amp;LOWER(C404)&amp;" ")),1,0))+IF(Task!$A$19="",0,IF(ISNUMBER(SEARCH(" "&amp;Task!$A$19&amp;" "," "&amp;LOWER(C404)&amp;" ")),1,0)))</f>
        <v/>
      </c>
      <c r="H404" s="9">
        <f>IF(E404=0,0,IF(Task!$A$8="",0,IF(ISNUMBER(SEARCH(" "&amp;Task!$A$8&amp;" "," "&amp;LOWER(SUBSTITUTE(SUBSTITUTE(SUBSTITUTE(SUBSTITUTE(A404,"/"," "),"."," "),"\"," "),"_"," "))&amp;" ")),1,0))+IF(Task!$A$9="",0,IF(ISNUMBER(SEARCH(" "&amp;Task!$A$9&amp;" "," "&amp;LOWER(SUBSTITUTE(SUBSTITUTE(SUBSTITUTE(SUBSTITUTE(A404,"/"," "),"."," "),"\"," "),"_"," "))&amp;" ")),1,0))+IF(Task!$A$10="",0,IF(ISNUMBER(SEARCH(" "&amp;Task!$A$10&amp;" "," "&amp;LOWER(SUBSTITUTE(SUBSTITUTE(SUBSTITUTE(SUBSTITUTE(A404,"/"," "),"."," "),"\"," "),"_"," "))&amp;" ")),1,0))+IF(Task!$A$11="",0,IF(ISNUMBER(SEARCH(" "&amp;Task!$A$11&amp;" "," "&amp;LOWER(SUBSTITUTE(SUBSTITUTE(SUBSTITUTE(SUBSTITUTE(A404,"/"," "),"."," "),"\"," "),"_"," "))&amp;" ")),1,0))+IF(Task!$A$12="",0,IF(ISNUMBER(SEARCH(" "&amp;Task!$A$12&amp;" "," "&amp;LOWER(SUBSTITUTE(SUBSTITUTE(SUBSTITUTE(SUBSTITUTE(A404,"/"," "),"."," "),"\"," "),"_"," "))&amp;" ")),1,0))+IF(Task!$A$13="",0,IF(ISNUMBER(SEARCH(" "&amp;Task!$A$13&amp;" "," "&amp;LOWER(SUBSTITUTE(SUBSTITUTE(SUBSTITUTE(SUBSTITUTE(A404,"/"," "),"."," "),"\"," "),"_"," "))&amp;" ")),1,0))+IF(Task!$A$14="",0,IF(ISNUMBER(SEARCH(" "&amp;Task!$A$14&amp;" "," "&amp;LOWER(SUBSTITUTE(SUBSTITUTE(SUBSTITUTE(SUBSTITUTE(A404,"/"," "),"."," "),"\"," "),"_"," "))&amp;" ")),1,0))+IF(Task!$A$15="",0,IF(ISNUMBER(SEARCH(" "&amp;Task!$A$15&amp;" "," "&amp;LOWER(SUBSTITUTE(SUBSTITUTE(SUBSTITUTE(SUBSTITUTE(A404,"/"," "),"."," "),"\"," "),"_"," "))&amp;" ")),1,0))+IF(Task!$A$16="",0,IF(ISNUMBER(SEARCH(" "&amp;Task!$A$16&amp;" "," "&amp;LOWER(SUBSTITUTE(SUBSTITUTE(SUBSTITUTE(SUBSTITUTE(A404,"/"," "),"."," "),"\"," "),"_"," "))&amp;" ")),1,0))+IF(Task!$A$17="",0,IF(ISNUMBER(SEARCH(" "&amp;Task!$A$17&amp;" "," "&amp;LOWER(SUBSTITUTE(SUBSTITUTE(SUBSTITUTE(SUBSTITUTE(A404,"/"," "),"."," "),"\"," "),"_"," "))&amp;" ")),1,0))+IF(Task!$A$18="",0,IF(ISNUMBER(SEARCH(" "&amp;Task!$A$18&amp;" "," "&amp;LOWER(SUBSTITUTE(SUBSTITUTE(SUBSTITUTE(SUBSTITUTE(A404,"/"," "),"."," "),"\"," "),"_"," "))&amp;" ")),1,0))+IF(Task!$A$19="",0,IF(ISNUMBER(SEARCH(" "&amp;Task!$A$19&amp;" "," "&amp;LOWER(SUBSTITUTE(SUBSTITUTE(SUBSTITUTE(SUBSTITUTE(A404,"/"," "),"."," "),"\"," "),"_"," "))&amp;" ")),1,0)))</f>
        <v/>
      </c>
      <c r="I404" s="10">
        <f>IF(OR(E404=0,F404=0,Task!$B$21=0),"",F404/Task!$B$21+0.5*G404+0.25*H404)</f>
        <v/>
      </c>
      <c r="J404" s="5">
        <f>IF(I404="","",I404-ROW()/1000000)</f>
        <v/>
      </c>
      <c r="K404" s="9">
        <f>IF(J404="","",COUNTIF($J$5:$J$404,"&gt;"&amp;J404)+1)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context-pack.md (copy column A from row 4)</t>
        </is>
      </c>
    </row>
    <row r="2"/>
    <row r="3"/>
    <row r="4">
      <c r="A4">
        <f>"# Task Memory Pack"</f>
        <v/>
      </c>
    </row>
    <row r="5">
      <c r="A5">
        <f>""</f>
        <v/>
      </c>
    </row>
    <row r="6">
      <c r="A6">
        <f>"**Task:** "&amp;Task!B3</f>
        <v/>
      </c>
    </row>
    <row r="7">
      <c r="A7">
        <f>""</f>
        <v/>
      </c>
    </row>
    <row r="8">
      <c r="A8">
        <f>"&gt; Rebuildable retrieval output. Canonical memory remains in the linked files."</f>
        <v/>
      </c>
    </row>
    <row r="9">
      <c r="A9">
        <f>""</f>
        <v/>
      </c>
    </row>
    <row r="10">
      <c r="A10">
        <f>IF(COUNT(Index!K5:K404)=0,"No relevant memory found.","")</f>
        <v/>
      </c>
    </row>
    <row r="11">
      <c r="A11">
        <f>IF(1&lt;=MIN(Task!$B$4,COUNT(Index!$K$5:$K$404)),"## "&amp;INDEX(Index!$C$5:$C$404,MATCH(1,Index!$K$5:$K$404,0)),"")</f>
        <v/>
      </c>
    </row>
    <row r="12">
      <c r="A12">
        <f>IF(1&lt;=MIN(Task!$B$4,COUNT(Index!$K$5:$K$404)),"","")</f>
        <v/>
      </c>
    </row>
    <row r="13">
      <c r="A13">
        <f>IF(1&lt;=MIN(Task!$B$4,COUNT(Index!$K$5:$K$404)),"- **Source:** `"&amp;INDEX(Index!$A$5:$A$404,MATCH(1,Index!$K$5:$K$404,0))&amp;"`","")</f>
        <v/>
      </c>
    </row>
    <row r="14">
      <c r="A14">
        <f>IF(1&lt;=MIN(Task!$B$4,COUNT(Index!$K$5:$K$404)),"- **Category:** `"&amp;INDEX(Index!$B$5:$B$404,MATCH(1,Index!$K$5:$K$404,0))&amp;"`","")</f>
        <v/>
      </c>
    </row>
    <row r="15">
      <c r="A15">
        <f>IF(1&lt;=MIN(Task!$B$4,COUNT(Index!$K$5:$K$404)),"- **Relevance:** "&amp;TEXT(INDEX(Index!$I$5:$I$404,MATCH(1,Index!$K$5:$K$404,0)),"0.000"),"")</f>
        <v/>
      </c>
    </row>
    <row r="16">
      <c r="A16">
        <f>IF(1&lt;=MIN(Task!$B$4,COUNT(Index!$K$5:$K$404)),"- **Excerpt:** open the source file (excerpts are read from the file itself, first 320 characters)","")</f>
        <v/>
      </c>
    </row>
    <row r="17">
      <c r="A17">
        <f>IF(1&lt;=MIN(Task!$B$4,COUNT(Index!$K$5:$K$404)),"","")</f>
        <v/>
      </c>
    </row>
    <row r="18">
      <c r="A18">
        <f>IF(2&lt;=MIN(Task!$B$4,COUNT(Index!$K$5:$K$404)),"## "&amp;INDEX(Index!$C$5:$C$404,MATCH(2,Index!$K$5:$K$404,0)),"")</f>
        <v/>
      </c>
    </row>
    <row r="19">
      <c r="A19">
        <f>IF(2&lt;=MIN(Task!$B$4,COUNT(Index!$K$5:$K$404)),"","")</f>
        <v/>
      </c>
    </row>
    <row r="20">
      <c r="A20">
        <f>IF(2&lt;=MIN(Task!$B$4,COUNT(Index!$K$5:$K$404)),"- **Source:** `"&amp;INDEX(Index!$A$5:$A$404,MATCH(2,Index!$K$5:$K$404,0))&amp;"`","")</f>
        <v/>
      </c>
    </row>
    <row r="21">
      <c r="A21">
        <f>IF(2&lt;=MIN(Task!$B$4,COUNT(Index!$K$5:$K$404)),"- **Category:** `"&amp;INDEX(Index!$B$5:$B$404,MATCH(2,Index!$K$5:$K$404,0))&amp;"`","")</f>
        <v/>
      </c>
    </row>
    <row r="22">
      <c r="A22">
        <f>IF(2&lt;=MIN(Task!$B$4,COUNT(Index!$K$5:$K$404)),"- **Relevance:** "&amp;TEXT(INDEX(Index!$I$5:$I$404,MATCH(2,Index!$K$5:$K$404,0)),"0.000"),"")</f>
        <v/>
      </c>
    </row>
    <row r="23">
      <c r="A23">
        <f>IF(2&lt;=MIN(Task!$B$4,COUNT(Index!$K$5:$K$404)),"- **Excerpt:** open the source file (excerpts are read from the file itself, first 320 characters)","")</f>
        <v/>
      </c>
    </row>
    <row r="24">
      <c r="A24">
        <f>IF(2&lt;=MIN(Task!$B$4,COUNT(Index!$K$5:$K$404)),"","")</f>
        <v/>
      </c>
    </row>
    <row r="25">
      <c r="A25">
        <f>IF(3&lt;=MIN(Task!$B$4,COUNT(Index!$K$5:$K$404)),"## "&amp;INDEX(Index!$C$5:$C$404,MATCH(3,Index!$K$5:$K$404,0)),"")</f>
        <v/>
      </c>
    </row>
    <row r="26">
      <c r="A26">
        <f>IF(3&lt;=MIN(Task!$B$4,COUNT(Index!$K$5:$K$404)),"","")</f>
        <v/>
      </c>
    </row>
    <row r="27">
      <c r="A27">
        <f>IF(3&lt;=MIN(Task!$B$4,COUNT(Index!$K$5:$K$404)),"- **Source:** `"&amp;INDEX(Index!$A$5:$A$404,MATCH(3,Index!$K$5:$K$404,0))&amp;"`","")</f>
        <v/>
      </c>
    </row>
    <row r="28">
      <c r="A28">
        <f>IF(3&lt;=MIN(Task!$B$4,COUNT(Index!$K$5:$K$404)),"- **Category:** `"&amp;INDEX(Index!$B$5:$B$404,MATCH(3,Index!$K$5:$K$404,0))&amp;"`","")</f>
        <v/>
      </c>
    </row>
    <row r="29">
      <c r="A29">
        <f>IF(3&lt;=MIN(Task!$B$4,COUNT(Index!$K$5:$K$404)),"- **Relevance:** "&amp;TEXT(INDEX(Index!$I$5:$I$404,MATCH(3,Index!$K$5:$K$404,0)),"0.000"),"")</f>
        <v/>
      </c>
    </row>
    <row r="30">
      <c r="A30">
        <f>IF(3&lt;=MIN(Task!$B$4,COUNT(Index!$K$5:$K$404)),"- **Excerpt:** open the source file (excerpts are read from the file itself, first 320 characters)","")</f>
        <v/>
      </c>
    </row>
    <row r="31">
      <c r="A31">
        <f>IF(3&lt;=MIN(Task!$B$4,COUNT(Index!$K$5:$K$404)),"","")</f>
        <v/>
      </c>
    </row>
    <row r="32">
      <c r="A32">
        <f>IF(4&lt;=MIN(Task!$B$4,COUNT(Index!$K$5:$K$404)),"## "&amp;INDEX(Index!$C$5:$C$404,MATCH(4,Index!$K$5:$K$404,0)),"")</f>
        <v/>
      </c>
    </row>
    <row r="33">
      <c r="A33">
        <f>IF(4&lt;=MIN(Task!$B$4,COUNT(Index!$K$5:$K$404)),"","")</f>
        <v/>
      </c>
    </row>
    <row r="34">
      <c r="A34">
        <f>IF(4&lt;=MIN(Task!$B$4,COUNT(Index!$K$5:$K$404)),"- **Source:** `"&amp;INDEX(Index!$A$5:$A$404,MATCH(4,Index!$K$5:$K$404,0))&amp;"`","")</f>
        <v/>
      </c>
    </row>
    <row r="35">
      <c r="A35">
        <f>IF(4&lt;=MIN(Task!$B$4,COUNT(Index!$K$5:$K$404)),"- **Category:** `"&amp;INDEX(Index!$B$5:$B$404,MATCH(4,Index!$K$5:$K$404,0))&amp;"`","")</f>
        <v/>
      </c>
    </row>
    <row r="36">
      <c r="A36">
        <f>IF(4&lt;=MIN(Task!$B$4,COUNT(Index!$K$5:$K$404)),"- **Relevance:** "&amp;TEXT(INDEX(Index!$I$5:$I$404,MATCH(4,Index!$K$5:$K$404,0)),"0.000"),"")</f>
        <v/>
      </c>
    </row>
    <row r="37">
      <c r="A37">
        <f>IF(4&lt;=MIN(Task!$B$4,COUNT(Index!$K$5:$K$404)),"- **Excerpt:** open the source file (excerpts are read from the file itself, first 320 characters)","")</f>
        <v/>
      </c>
    </row>
    <row r="38">
      <c r="A38">
        <f>IF(4&lt;=MIN(Task!$B$4,COUNT(Index!$K$5:$K$404)),"","")</f>
        <v/>
      </c>
    </row>
    <row r="39">
      <c r="A39">
        <f>IF(5&lt;=MIN(Task!$B$4,COUNT(Index!$K$5:$K$404)),"## "&amp;INDEX(Index!$C$5:$C$404,MATCH(5,Index!$K$5:$K$404,0)),"")</f>
        <v/>
      </c>
    </row>
    <row r="40">
      <c r="A40">
        <f>IF(5&lt;=MIN(Task!$B$4,COUNT(Index!$K$5:$K$404)),"","")</f>
        <v/>
      </c>
    </row>
    <row r="41">
      <c r="A41">
        <f>IF(5&lt;=MIN(Task!$B$4,COUNT(Index!$K$5:$K$404)),"- **Source:** `"&amp;INDEX(Index!$A$5:$A$404,MATCH(5,Index!$K$5:$K$404,0))&amp;"`","")</f>
        <v/>
      </c>
    </row>
    <row r="42">
      <c r="A42">
        <f>IF(5&lt;=MIN(Task!$B$4,COUNT(Index!$K$5:$K$404)),"- **Category:** `"&amp;INDEX(Index!$B$5:$B$404,MATCH(5,Index!$K$5:$K$404,0))&amp;"`","")</f>
        <v/>
      </c>
    </row>
    <row r="43">
      <c r="A43">
        <f>IF(5&lt;=MIN(Task!$B$4,COUNT(Index!$K$5:$K$404)),"- **Relevance:** "&amp;TEXT(INDEX(Index!$I$5:$I$404,MATCH(5,Index!$K$5:$K$404,0)),"0.000"),"")</f>
        <v/>
      </c>
    </row>
    <row r="44">
      <c r="A44">
        <f>IF(5&lt;=MIN(Task!$B$4,COUNT(Index!$K$5:$K$404)),"- **Excerpt:** open the source file (excerpts are read from the file itself, first 320 characters)","")</f>
        <v/>
      </c>
    </row>
    <row r="45">
      <c r="A45">
        <f>IF(5&lt;=MIN(Task!$B$4,COUNT(Index!$K$5:$K$404)),"","")</f>
        <v/>
      </c>
    </row>
    <row r="46">
      <c r="A46">
        <f>IF(6&lt;=MIN(Task!$B$4,COUNT(Index!$K$5:$K$404)),"## "&amp;INDEX(Index!$C$5:$C$404,MATCH(6,Index!$K$5:$K$404,0)),"")</f>
        <v/>
      </c>
    </row>
    <row r="47">
      <c r="A47">
        <f>IF(6&lt;=MIN(Task!$B$4,COUNT(Index!$K$5:$K$404)),"","")</f>
        <v/>
      </c>
    </row>
    <row r="48">
      <c r="A48">
        <f>IF(6&lt;=MIN(Task!$B$4,COUNT(Index!$K$5:$K$404)),"- **Source:** `"&amp;INDEX(Index!$A$5:$A$404,MATCH(6,Index!$K$5:$K$404,0))&amp;"`","")</f>
        <v/>
      </c>
    </row>
    <row r="49">
      <c r="A49">
        <f>IF(6&lt;=MIN(Task!$B$4,COUNT(Index!$K$5:$K$404)),"- **Category:** `"&amp;INDEX(Index!$B$5:$B$404,MATCH(6,Index!$K$5:$K$404,0))&amp;"`","")</f>
        <v/>
      </c>
    </row>
    <row r="50">
      <c r="A50">
        <f>IF(6&lt;=MIN(Task!$B$4,COUNT(Index!$K$5:$K$404)),"- **Relevance:** "&amp;TEXT(INDEX(Index!$I$5:$I$404,MATCH(6,Index!$K$5:$K$404,0)),"0.000"),"")</f>
        <v/>
      </c>
    </row>
    <row r="51">
      <c r="A51">
        <f>IF(6&lt;=MIN(Task!$B$4,COUNT(Index!$K$5:$K$404)),"- **Excerpt:** open the source file (excerpts are read from the file itself, first 320 characters)","")</f>
        <v/>
      </c>
    </row>
    <row r="52">
      <c r="A52">
        <f>IF(6&lt;=MIN(Task!$B$4,COUNT(Index!$K$5:$K$404)),"","")</f>
        <v/>
      </c>
    </row>
    <row r="53">
      <c r="A53">
        <f>IF(7&lt;=MIN(Task!$B$4,COUNT(Index!$K$5:$K$404)),"## "&amp;INDEX(Index!$C$5:$C$404,MATCH(7,Index!$K$5:$K$404,0)),"")</f>
        <v/>
      </c>
    </row>
    <row r="54">
      <c r="A54">
        <f>IF(7&lt;=MIN(Task!$B$4,COUNT(Index!$K$5:$K$404)),"","")</f>
        <v/>
      </c>
    </row>
    <row r="55">
      <c r="A55">
        <f>IF(7&lt;=MIN(Task!$B$4,COUNT(Index!$K$5:$K$404)),"- **Source:** `"&amp;INDEX(Index!$A$5:$A$404,MATCH(7,Index!$K$5:$K$404,0))&amp;"`","")</f>
        <v/>
      </c>
    </row>
    <row r="56">
      <c r="A56">
        <f>IF(7&lt;=MIN(Task!$B$4,COUNT(Index!$K$5:$K$404)),"- **Category:** `"&amp;INDEX(Index!$B$5:$B$404,MATCH(7,Index!$K$5:$K$404,0))&amp;"`","")</f>
        <v/>
      </c>
    </row>
    <row r="57">
      <c r="A57">
        <f>IF(7&lt;=MIN(Task!$B$4,COUNT(Index!$K$5:$K$404)),"- **Relevance:** "&amp;TEXT(INDEX(Index!$I$5:$I$404,MATCH(7,Index!$K$5:$K$404,0)),"0.000"),"")</f>
        <v/>
      </c>
    </row>
    <row r="58">
      <c r="A58">
        <f>IF(7&lt;=MIN(Task!$B$4,COUNT(Index!$K$5:$K$404)),"- **Excerpt:** open the source file (excerpts are read from the file itself, first 320 characters)","")</f>
        <v/>
      </c>
    </row>
    <row r="59">
      <c r="A59">
        <f>IF(7&lt;=MIN(Task!$B$4,COUNT(Index!$K$5:$K$404)),"","")</f>
        <v/>
      </c>
    </row>
    <row r="60">
      <c r="A60">
        <f>IF(8&lt;=MIN(Task!$B$4,COUNT(Index!$K$5:$K$404)),"## "&amp;INDEX(Index!$C$5:$C$404,MATCH(8,Index!$K$5:$K$404,0)),"")</f>
        <v/>
      </c>
    </row>
    <row r="61">
      <c r="A61">
        <f>IF(8&lt;=MIN(Task!$B$4,COUNT(Index!$K$5:$K$404)),"","")</f>
        <v/>
      </c>
    </row>
    <row r="62">
      <c r="A62">
        <f>IF(8&lt;=MIN(Task!$B$4,COUNT(Index!$K$5:$K$404)),"- **Source:** `"&amp;INDEX(Index!$A$5:$A$404,MATCH(8,Index!$K$5:$K$404,0))&amp;"`","")</f>
        <v/>
      </c>
    </row>
    <row r="63">
      <c r="A63">
        <f>IF(8&lt;=MIN(Task!$B$4,COUNT(Index!$K$5:$K$404)),"- **Category:** `"&amp;INDEX(Index!$B$5:$B$404,MATCH(8,Index!$K$5:$K$404,0))&amp;"`","")</f>
        <v/>
      </c>
    </row>
    <row r="64">
      <c r="A64">
        <f>IF(8&lt;=MIN(Task!$B$4,COUNT(Index!$K$5:$K$404)),"- **Relevance:** "&amp;TEXT(INDEX(Index!$I$5:$I$404,MATCH(8,Index!$K$5:$K$404,0)),"0.000"),"")</f>
        <v/>
      </c>
    </row>
    <row r="65">
      <c r="A65">
        <f>IF(8&lt;=MIN(Task!$B$4,COUNT(Index!$K$5:$K$404)),"- **Excerpt:** open the source file (excerpts are read from the file itself, first 320 characters)","")</f>
        <v/>
      </c>
    </row>
    <row r="66">
      <c r="A66">
        <f>IF(8&lt;=MIN(Task!$B$4,COUNT(Index!$K$5:$K$404)),"","")</f>
        <v/>
      </c>
    </row>
    <row r="67">
      <c r="A67">
        <f>IF(9&lt;=MIN(Task!$B$4,COUNT(Index!$K$5:$K$404)),"## "&amp;INDEX(Index!$C$5:$C$404,MATCH(9,Index!$K$5:$K$404,0)),"")</f>
        <v/>
      </c>
    </row>
    <row r="68">
      <c r="A68">
        <f>IF(9&lt;=MIN(Task!$B$4,COUNT(Index!$K$5:$K$404)),"","")</f>
        <v/>
      </c>
    </row>
    <row r="69">
      <c r="A69">
        <f>IF(9&lt;=MIN(Task!$B$4,COUNT(Index!$K$5:$K$404)),"- **Source:** `"&amp;INDEX(Index!$A$5:$A$404,MATCH(9,Index!$K$5:$K$404,0))&amp;"`","")</f>
        <v/>
      </c>
    </row>
    <row r="70">
      <c r="A70">
        <f>IF(9&lt;=MIN(Task!$B$4,COUNT(Index!$K$5:$K$404)),"- **Category:** `"&amp;INDEX(Index!$B$5:$B$404,MATCH(9,Index!$K$5:$K$404,0))&amp;"`","")</f>
        <v/>
      </c>
    </row>
    <row r="71">
      <c r="A71">
        <f>IF(9&lt;=MIN(Task!$B$4,COUNT(Index!$K$5:$K$404)),"- **Relevance:** "&amp;TEXT(INDEX(Index!$I$5:$I$404,MATCH(9,Index!$K$5:$K$404,0)),"0.000"),"")</f>
        <v/>
      </c>
    </row>
    <row r="72">
      <c r="A72">
        <f>IF(9&lt;=MIN(Task!$B$4,COUNT(Index!$K$5:$K$404)),"- **Excerpt:** open the source file (excerpts are read from the file itself, first 320 characters)","")</f>
        <v/>
      </c>
    </row>
    <row r="73">
      <c r="A73">
        <f>IF(9&lt;=MIN(Task!$B$4,COUNT(Index!$K$5:$K$404)),"","")</f>
        <v/>
      </c>
    </row>
    <row r="74">
      <c r="A74">
        <f>IF(10&lt;=MIN(Task!$B$4,COUNT(Index!$K$5:$K$404)),"## "&amp;INDEX(Index!$C$5:$C$404,MATCH(10,Index!$K$5:$K$404,0)),"")</f>
        <v/>
      </c>
    </row>
    <row r="75">
      <c r="A75">
        <f>IF(10&lt;=MIN(Task!$B$4,COUNT(Index!$K$5:$K$404)),"","")</f>
        <v/>
      </c>
    </row>
    <row r="76">
      <c r="A76">
        <f>IF(10&lt;=MIN(Task!$B$4,COUNT(Index!$K$5:$K$404)),"- **Source:** `"&amp;INDEX(Index!$A$5:$A$404,MATCH(10,Index!$K$5:$K$404,0))&amp;"`","")</f>
        <v/>
      </c>
    </row>
    <row r="77">
      <c r="A77">
        <f>IF(10&lt;=MIN(Task!$B$4,COUNT(Index!$K$5:$K$404)),"- **Category:** `"&amp;INDEX(Index!$B$5:$B$404,MATCH(10,Index!$K$5:$K$404,0))&amp;"`","")</f>
        <v/>
      </c>
    </row>
    <row r="78">
      <c r="A78">
        <f>IF(10&lt;=MIN(Task!$B$4,COUNT(Index!$K$5:$K$404)),"- **Relevance:** "&amp;TEXT(INDEX(Index!$I$5:$I$404,MATCH(10,Index!$K$5:$K$404,0)),"0.000"),"")</f>
        <v/>
      </c>
    </row>
    <row r="79">
      <c r="A79">
        <f>IF(10&lt;=MIN(Task!$B$4,COUNT(Index!$K$5:$K$404)),"- **Excerpt:** open the source file (excerpts are read from the file itself, first 320 characters)","")</f>
        <v/>
      </c>
    </row>
    <row r="80">
      <c r="A80">
        <f>IF(10&lt;=MIN(Task!$B$4,COUNT(Index!$K$5:$K$404)),"","")</f>
        <v/>
      </c>
    </row>
    <row r="81">
      <c r="A81">
        <f>IF(11&lt;=MIN(Task!$B$4,COUNT(Index!$K$5:$K$404)),"## "&amp;INDEX(Index!$C$5:$C$404,MATCH(11,Index!$K$5:$K$404,0)),"")</f>
        <v/>
      </c>
    </row>
    <row r="82">
      <c r="A82">
        <f>IF(11&lt;=MIN(Task!$B$4,COUNT(Index!$K$5:$K$404)),"","")</f>
        <v/>
      </c>
    </row>
    <row r="83">
      <c r="A83">
        <f>IF(11&lt;=MIN(Task!$B$4,COUNT(Index!$K$5:$K$404)),"- **Source:** `"&amp;INDEX(Index!$A$5:$A$404,MATCH(11,Index!$K$5:$K$404,0))&amp;"`","")</f>
        <v/>
      </c>
    </row>
    <row r="84">
      <c r="A84">
        <f>IF(11&lt;=MIN(Task!$B$4,COUNT(Index!$K$5:$K$404)),"- **Category:** `"&amp;INDEX(Index!$B$5:$B$404,MATCH(11,Index!$K$5:$K$404,0))&amp;"`","")</f>
        <v/>
      </c>
    </row>
    <row r="85">
      <c r="A85">
        <f>IF(11&lt;=MIN(Task!$B$4,COUNT(Index!$K$5:$K$404)),"- **Relevance:** "&amp;TEXT(INDEX(Index!$I$5:$I$404,MATCH(11,Index!$K$5:$K$404,0)),"0.000"),"")</f>
        <v/>
      </c>
    </row>
    <row r="86">
      <c r="A86">
        <f>IF(11&lt;=MIN(Task!$B$4,COUNT(Index!$K$5:$K$404)),"- **Excerpt:** open the source file (excerpts are read from the file itself, first 320 characters)","")</f>
        <v/>
      </c>
    </row>
    <row r="87">
      <c r="A87">
        <f>IF(11&lt;=MIN(Task!$B$4,COUNT(Index!$K$5:$K$404)),"","")</f>
        <v/>
      </c>
    </row>
    <row r="88">
      <c r="A88">
        <f>IF(12&lt;=MIN(Task!$B$4,COUNT(Index!$K$5:$K$404)),"## "&amp;INDEX(Index!$C$5:$C$404,MATCH(12,Index!$K$5:$K$404,0)),"")</f>
        <v/>
      </c>
    </row>
    <row r="89">
      <c r="A89">
        <f>IF(12&lt;=MIN(Task!$B$4,COUNT(Index!$K$5:$K$404)),"","")</f>
        <v/>
      </c>
    </row>
    <row r="90">
      <c r="A90">
        <f>IF(12&lt;=MIN(Task!$B$4,COUNT(Index!$K$5:$K$404)),"- **Source:** `"&amp;INDEX(Index!$A$5:$A$404,MATCH(12,Index!$K$5:$K$404,0))&amp;"`","")</f>
        <v/>
      </c>
    </row>
    <row r="91">
      <c r="A91">
        <f>IF(12&lt;=MIN(Task!$B$4,COUNT(Index!$K$5:$K$404)),"- **Category:** `"&amp;INDEX(Index!$B$5:$B$404,MATCH(12,Index!$K$5:$K$404,0))&amp;"`","")</f>
        <v/>
      </c>
    </row>
    <row r="92">
      <c r="A92">
        <f>IF(12&lt;=MIN(Task!$B$4,COUNT(Index!$K$5:$K$404)),"- **Relevance:** "&amp;TEXT(INDEX(Index!$I$5:$I$404,MATCH(12,Index!$K$5:$K$404,0)),"0.000"),"")</f>
        <v/>
      </c>
    </row>
    <row r="93">
      <c r="A93">
        <f>IF(12&lt;=MIN(Task!$B$4,COUNT(Index!$K$5:$K$404)),"- **Excerpt:** open the source file (excerpts are read from the file itself, first 320 characters)","")</f>
        <v/>
      </c>
    </row>
    <row r="94">
      <c r="A94">
        <f>IF(12&lt;=MIN(Task!$B$4,COUNT(Index!$K$5:$K$404)),"","")</f>
        <v/>
      </c>
    </row>
    <row r="95">
      <c r="A95">
        <f>IF(13&lt;=MIN(Task!$B$4,COUNT(Index!$K$5:$K$404)),"## "&amp;INDEX(Index!$C$5:$C$404,MATCH(13,Index!$K$5:$K$404,0)),"")</f>
        <v/>
      </c>
    </row>
    <row r="96">
      <c r="A96">
        <f>IF(13&lt;=MIN(Task!$B$4,COUNT(Index!$K$5:$K$404)),"","")</f>
        <v/>
      </c>
    </row>
    <row r="97">
      <c r="A97">
        <f>IF(13&lt;=MIN(Task!$B$4,COUNT(Index!$K$5:$K$404)),"- **Source:** `"&amp;INDEX(Index!$A$5:$A$404,MATCH(13,Index!$K$5:$K$404,0))&amp;"`","")</f>
        <v/>
      </c>
    </row>
    <row r="98">
      <c r="A98">
        <f>IF(13&lt;=MIN(Task!$B$4,COUNT(Index!$K$5:$K$404)),"- **Category:** `"&amp;INDEX(Index!$B$5:$B$404,MATCH(13,Index!$K$5:$K$404,0))&amp;"`","")</f>
        <v/>
      </c>
    </row>
    <row r="99">
      <c r="A99">
        <f>IF(13&lt;=MIN(Task!$B$4,COUNT(Index!$K$5:$K$404)),"- **Relevance:** "&amp;TEXT(INDEX(Index!$I$5:$I$404,MATCH(13,Index!$K$5:$K$404,0)),"0.000"),"")</f>
        <v/>
      </c>
    </row>
    <row r="100">
      <c r="A100">
        <f>IF(13&lt;=MIN(Task!$B$4,COUNT(Index!$K$5:$K$404)),"- **Excerpt:** open the source file (excerpts are read from the file itself, first 320 characters)","")</f>
        <v/>
      </c>
    </row>
    <row r="101">
      <c r="A101">
        <f>IF(13&lt;=MIN(Task!$B$4,COUNT(Index!$K$5:$K$404)),"","")</f>
        <v/>
      </c>
    </row>
    <row r="102">
      <c r="A102">
        <f>IF(14&lt;=MIN(Task!$B$4,COUNT(Index!$K$5:$K$404)),"## "&amp;INDEX(Index!$C$5:$C$404,MATCH(14,Index!$K$5:$K$404,0)),"")</f>
        <v/>
      </c>
    </row>
    <row r="103">
      <c r="A103">
        <f>IF(14&lt;=MIN(Task!$B$4,COUNT(Index!$K$5:$K$404)),"","")</f>
        <v/>
      </c>
    </row>
    <row r="104">
      <c r="A104">
        <f>IF(14&lt;=MIN(Task!$B$4,COUNT(Index!$K$5:$K$404)),"- **Source:** `"&amp;INDEX(Index!$A$5:$A$404,MATCH(14,Index!$K$5:$K$404,0))&amp;"`","")</f>
        <v/>
      </c>
    </row>
    <row r="105">
      <c r="A105">
        <f>IF(14&lt;=MIN(Task!$B$4,COUNT(Index!$K$5:$K$404)),"- **Category:** `"&amp;INDEX(Index!$B$5:$B$404,MATCH(14,Index!$K$5:$K$404,0))&amp;"`","")</f>
        <v/>
      </c>
    </row>
    <row r="106">
      <c r="A106">
        <f>IF(14&lt;=MIN(Task!$B$4,COUNT(Index!$K$5:$K$404)),"- **Relevance:** "&amp;TEXT(INDEX(Index!$I$5:$I$404,MATCH(14,Index!$K$5:$K$404,0)),"0.000"),"")</f>
        <v/>
      </c>
    </row>
    <row r="107">
      <c r="A107">
        <f>IF(14&lt;=MIN(Task!$B$4,COUNT(Index!$K$5:$K$404)),"- **Excerpt:** open the source file (excerpts are read from the file itself, first 320 characters)","")</f>
        <v/>
      </c>
    </row>
    <row r="108">
      <c r="A108">
        <f>IF(14&lt;=MIN(Task!$B$4,COUNT(Index!$K$5:$K$404)),"","")</f>
        <v/>
      </c>
    </row>
    <row r="109">
      <c r="A109">
        <f>IF(15&lt;=MIN(Task!$B$4,COUNT(Index!$K$5:$K$404)),"## "&amp;INDEX(Index!$C$5:$C$404,MATCH(15,Index!$K$5:$K$404,0)),"")</f>
        <v/>
      </c>
    </row>
    <row r="110">
      <c r="A110">
        <f>IF(15&lt;=MIN(Task!$B$4,COUNT(Index!$K$5:$K$404)),"","")</f>
        <v/>
      </c>
    </row>
    <row r="111">
      <c r="A111">
        <f>IF(15&lt;=MIN(Task!$B$4,COUNT(Index!$K$5:$K$404)),"- **Source:** `"&amp;INDEX(Index!$A$5:$A$404,MATCH(15,Index!$K$5:$K$404,0))&amp;"`","")</f>
        <v/>
      </c>
    </row>
    <row r="112">
      <c r="A112">
        <f>IF(15&lt;=MIN(Task!$B$4,COUNT(Index!$K$5:$K$404)),"- **Category:** `"&amp;INDEX(Index!$B$5:$B$404,MATCH(15,Index!$K$5:$K$404,0))&amp;"`","")</f>
        <v/>
      </c>
    </row>
    <row r="113">
      <c r="A113">
        <f>IF(15&lt;=MIN(Task!$B$4,COUNT(Index!$K$5:$K$404)),"- **Relevance:** "&amp;TEXT(INDEX(Index!$I$5:$I$404,MATCH(15,Index!$K$5:$K$404,0)),"0.000"),"")</f>
        <v/>
      </c>
    </row>
    <row r="114">
      <c r="A114">
        <f>IF(15&lt;=MIN(Task!$B$4,COUNT(Index!$K$5:$K$404)),"- **Excerpt:** open the source file (excerpts are read from the file itself, first 320 characters)","")</f>
        <v/>
      </c>
    </row>
    <row r="115">
      <c r="A115">
        <f>IF(15&lt;=MIN(Task!$B$4,COUNT(Index!$K$5:$K$404)),"","")</f>
        <v/>
      </c>
    </row>
    <row r="116">
      <c r="A116">
        <f>IF(16&lt;=MIN(Task!$B$4,COUNT(Index!$K$5:$K$404)),"## "&amp;INDEX(Index!$C$5:$C$404,MATCH(16,Index!$K$5:$K$404,0)),"")</f>
        <v/>
      </c>
    </row>
    <row r="117">
      <c r="A117">
        <f>IF(16&lt;=MIN(Task!$B$4,COUNT(Index!$K$5:$K$404)),"","")</f>
        <v/>
      </c>
    </row>
    <row r="118">
      <c r="A118">
        <f>IF(16&lt;=MIN(Task!$B$4,COUNT(Index!$K$5:$K$404)),"- **Source:** `"&amp;INDEX(Index!$A$5:$A$404,MATCH(16,Index!$K$5:$K$404,0))&amp;"`","")</f>
        <v/>
      </c>
    </row>
    <row r="119">
      <c r="A119">
        <f>IF(16&lt;=MIN(Task!$B$4,COUNT(Index!$K$5:$K$404)),"- **Category:** `"&amp;INDEX(Index!$B$5:$B$404,MATCH(16,Index!$K$5:$K$404,0))&amp;"`","")</f>
        <v/>
      </c>
    </row>
    <row r="120">
      <c r="A120">
        <f>IF(16&lt;=MIN(Task!$B$4,COUNT(Index!$K$5:$K$404)),"- **Relevance:** "&amp;TEXT(INDEX(Index!$I$5:$I$404,MATCH(16,Index!$K$5:$K$404,0)),"0.000"),"")</f>
        <v/>
      </c>
    </row>
    <row r="121">
      <c r="A121">
        <f>IF(16&lt;=MIN(Task!$B$4,COUNT(Index!$K$5:$K$404)),"- **Excerpt:** open the source file (excerpts are read from the file itself, first 320 characters)","")</f>
        <v/>
      </c>
    </row>
    <row r="122">
      <c r="A122">
        <f>IF(16&lt;=MIN(Task!$B$4,COUNT(Index!$K$5:$K$404)),"","")</f>
        <v/>
      </c>
    </row>
    <row r="123">
      <c r="A123">
        <f>IF(17&lt;=MIN(Task!$B$4,COUNT(Index!$K$5:$K$404)),"## "&amp;INDEX(Index!$C$5:$C$404,MATCH(17,Index!$K$5:$K$404,0)),"")</f>
        <v/>
      </c>
    </row>
    <row r="124">
      <c r="A124">
        <f>IF(17&lt;=MIN(Task!$B$4,COUNT(Index!$K$5:$K$404)),"","")</f>
        <v/>
      </c>
    </row>
    <row r="125">
      <c r="A125">
        <f>IF(17&lt;=MIN(Task!$B$4,COUNT(Index!$K$5:$K$404)),"- **Source:** `"&amp;INDEX(Index!$A$5:$A$404,MATCH(17,Index!$K$5:$K$404,0))&amp;"`","")</f>
        <v/>
      </c>
    </row>
    <row r="126">
      <c r="A126">
        <f>IF(17&lt;=MIN(Task!$B$4,COUNT(Index!$K$5:$K$404)),"- **Category:** `"&amp;INDEX(Index!$B$5:$B$404,MATCH(17,Index!$K$5:$K$404,0))&amp;"`","")</f>
        <v/>
      </c>
    </row>
    <row r="127">
      <c r="A127">
        <f>IF(17&lt;=MIN(Task!$B$4,COUNT(Index!$K$5:$K$404)),"- **Relevance:** "&amp;TEXT(INDEX(Index!$I$5:$I$404,MATCH(17,Index!$K$5:$K$404,0)),"0.000"),"")</f>
        <v/>
      </c>
    </row>
    <row r="128">
      <c r="A128">
        <f>IF(17&lt;=MIN(Task!$B$4,COUNT(Index!$K$5:$K$404)),"- **Excerpt:** open the source file (excerpts are read from the file itself, first 320 characters)","")</f>
        <v/>
      </c>
    </row>
    <row r="129">
      <c r="A129">
        <f>IF(17&lt;=MIN(Task!$B$4,COUNT(Index!$K$5:$K$404)),"","")</f>
        <v/>
      </c>
    </row>
    <row r="130">
      <c r="A130">
        <f>IF(18&lt;=MIN(Task!$B$4,COUNT(Index!$K$5:$K$404)),"## "&amp;INDEX(Index!$C$5:$C$404,MATCH(18,Index!$K$5:$K$404,0)),"")</f>
        <v/>
      </c>
    </row>
    <row r="131">
      <c r="A131">
        <f>IF(18&lt;=MIN(Task!$B$4,COUNT(Index!$K$5:$K$404)),"","")</f>
        <v/>
      </c>
    </row>
    <row r="132">
      <c r="A132">
        <f>IF(18&lt;=MIN(Task!$B$4,COUNT(Index!$K$5:$K$404)),"- **Source:** `"&amp;INDEX(Index!$A$5:$A$404,MATCH(18,Index!$K$5:$K$404,0))&amp;"`","")</f>
        <v/>
      </c>
    </row>
    <row r="133">
      <c r="A133">
        <f>IF(18&lt;=MIN(Task!$B$4,COUNT(Index!$K$5:$K$404)),"- **Category:** `"&amp;INDEX(Index!$B$5:$B$404,MATCH(18,Index!$K$5:$K$404,0))&amp;"`","")</f>
        <v/>
      </c>
    </row>
    <row r="134">
      <c r="A134">
        <f>IF(18&lt;=MIN(Task!$B$4,COUNT(Index!$K$5:$K$404)),"- **Relevance:** "&amp;TEXT(INDEX(Index!$I$5:$I$404,MATCH(18,Index!$K$5:$K$404,0)),"0.000"),"")</f>
        <v/>
      </c>
    </row>
    <row r="135">
      <c r="A135">
        <f>IF(18&lt;=MIN(Task!$B$4,COUNT(Index!$K$5:$K$404)),"- **Excerpt:** open the source file (excerpts are read from the file itself, first 320 characters)","")</f>
        <v/>
      </c>
    </row>
    <row r="136">
      <c r="A136">
        <f>IF(18&lt;=MIN(Task!$B$4,COUNT(Index!$K$5:$K$404)),"","")</f>
        <v/>
      </c>
    </row>
    <row r="137">
      <c r="A137">
        <f>IF(19&lt;=MIN(Task!$B$4,COUNT(Index!$K$5:$K$404)),"## "&amp;INDEX(Index!$C$5:$C$404,MATCH(19,Index!$K$5:$K$404,0)),"")</f>
        <v/>
      </c>
    </row>
    <row r="138">
      <c r="A138">
        <f>IF(19&lt;=MIN(Task!$B$4,COUNT(Index!$K$5:$K$404)),"","")</f>
        <v/>
      </c>
    </row>
    <row r="139">
      <c r="A139">
        <f>IF(19&lt;=MIN(Task!$B$4,COUNT(Index!$K$5:$K$404)),"- **Source:** `"&amp;INDEX(Index!$A$5:$A$404,MATCH(19,Index!$K$5:$K$404,0))&amp;"`","")</f>
        <v/>
      </c>
    </row>
    <row r="140">
      <c r="A140">
        <f>IF(19&lt;=MIN(Task!$B$4,COUNT(Index!$K$5:$K$404)),"- **Category:** `"&amp;INDEX(Index!$B$5:$B$404,MATCH(19,Index!$K$5:$K$404,0))&amp;"`","")</f>
        <v/>
      </c>
    </row>
    <row r="141">
      <c r="A141">
        <f>IF(19&lt;=MIN(Task!$B$4,COUNT(Index!$K$5:$K$404)),"- **Relevance:** "&amp;TEXT(INDEX(Index!$I$5:$I$404,MATCH(19,Index!$K$5:$K$404,0)),"0.000"),"")</f>
        <v/>
      </c>
    </row>
    <row r="142">
      <c r="A142">
        <f>IF(19&lt;=MIN(Task!$B$4,COUNT(Index!$K$5:$K$404)),"- **Excerpt:** open the source file (excerpts are read from the file itself, first 320 characters)","")</f>
        <v/>
      </c>
    </row>
    <row r="143">
      <c r="A143">
        <f>IF(19&lt;=MIN(Task!$B$4,COUNT(Index!$K$5:$K$404)),"","")</f>
        <v/>
      </c>
    </row>
    <row r="144">
      <c r="A144">
        <f>IF(20&lt;=MIN(Task!$B$4,COUNT(Index!$K$5:$K$404)),"## "&amp;INDEX(Index!$C$5:$C$404,MATCH(20,Index!$K$5:$K$404,0)),"")</f>
        <v/>
      </c>
    </row>
    <row r="145">
      <c r="A145">
        <f>IF(20&lt;=MIN(Task!$B$4,COUNT(Index!$K$5:$K$404)),"","")</f>
        <v/>
      </c>
    </row>
    <row r="146">
      <c r="A146">
        <f>IF(20&lt;=MIN(Task!$B$4,COUNT(Index!$K$5:$K$404)),"- **Source:** `"&amp;INDEX(Index!$A$5:$A$404,MATCH(20,Index!$K$5:$K$404,0))&amp;"`","")</f>
        <v/>
      </c>
    </row>
    <row r="147">
      <c r="A147">
        <f>IF(20&lt;=MIN(Task!$B$4,COUNT(Index!$K$5:$K$404)),"- **Category:** `"&amp;INDEX(Index!$B$5:$B$404,MATCH(20,Index!$K$5:$K$404,0))&amp;"`","")</f>
        <v/>
      </c>
    </row>
    <row r="148">
      <c r="A148">
        <f>IF(20&lt;=MIN(Task!$B$4,COUNT(Index!$K$5:$K$404)),"- **Relevance:** "&amp;TEXT(INDEX(Index!$I$5:$I$404,MATCH(20,Index!$K$5:$K$404,0)),"0.000"),"")</f>
        <v/>
      </c>
    </row>
    <row r="149">
      <c r="A149">
        <f>IF(20&lt;=MIN(Task!$B$4,COUNT(Index!$K$5:$K$404)),"- **Excerpt:** open the source file (excerpts are read from the file itself, first 320 characters)","")</f>
        <v/>
      </c>
    </row>
    <row r="150">
      <c r="A150">
        <f>IF(20&lt;=MIN(Task!$B$4,COUNT(Index!$K$5:$K$404)),"","")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2026-10-18T16:52:37Z</dcterms:created>
  <dcterms:modified xmlns:dcterms="http://purl.org/dc/terms/" xmlns:xsi="http://www.w3.org/2001/XMLSchema-instance" xsi:type="dcterms:W3CDTF">2026-10-18T16:52:38Z</dcterms:modified>
</cp:coreProperties>
</file>