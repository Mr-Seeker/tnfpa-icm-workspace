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Setup" sheetId="3" state="visible" r:id="rId3"/>
    <sheet xmlns:r="http://schemas.openxmlformats.org/officeDocument/2006/relationships" name="Clients" sheetId="4" state="visible" r:id="rId4"/>
    <sheet xmlns:r="http://schemas.openxmlformats.org/officeDocument/2006/relationships" name="Mine" sheetId="5" state="visible" r:id="rId5"/>
    <sheet xmlns:r="http://schemas.openxmlformats.org/officeDocument/2006/relationships" name="Validate" sheetId="6" state="visible" r:id="rId6"/>
    <sheet xmlns:r="http://schemas.openxmlformats.org/officeDocument/2006/relationships" name="Skil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color rgb="001F4E9E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3" fillId="3" borderId="1" applyAlignment="1" pivotButton="0" quotePrefix="0" xfId="0">
      <alignment vertical="center" wrapText="1"/>
    </xf>
    <xf numFmtId="0" fontId="2" fillId="2" borderId="1" pivotButton="0" quotePrefix="0" xfId="0"/>
    <xf numFmtId="1" fontId="2" fillId="2" borderId="1" pivotButton="0" quotePrefix="0" xfId="0"/>
    <xf numFmtId="2" fontId="2" fillId="2" borderId="1" pivotButton="0" quotePrefix="0" xfId="0"/>
    <xf numFmtId="164" fontId="2" fillId="2" borderId="1" pivotButton="0" quotePrefix="0" xfId="0"/>
    <xf numFmtId="1" fontId="0" fillId="0" borderId="1" pivotButton="0" quotePrefix="0" xfId="0"/>
    <xf numFmtId="164" fontId="0" fillId="0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K09 · Portfolio Learning - priors across same-type clients (no-code kernel)</t>
        </is>
      </c>
    </row>
    <row r="2"/>
    <row r="3">
      <c r="A3" s="2" t="inlineStr">
        <is>
          <t>Replaces openfpa: pyfpa.portfolio (load_portfolio, clients_of_type, best_snapshot, client_driver_value, mine_priors, validate_prior, find_recurring_skills, promote_prior, promote_skill, seed_from_library).</t>
        </is>
      </c>
    </row>
    <row r="4">
      <c r="A4" s="2" t="inlineStr">
        <is>
          <t>Clients: one row per client workspace listed in portfolio/portfolio.csv with its business type, best (lowest-fitness scored) snapshot and the six mineable driver values from that snapshot - overridden by an APPLIED PARAMETRIC correction on the exact same path.</t>
        </is>
      </c>
    </row>
    <row r="5">
      <c r="A5" s="2" t="inlineStr">
        <is>
          <t>Mine: for the chosen type, a driver is a prior candidate when &gt;= min_support clients have it AND the coefficient of variation (population stdev / |mean|) &lt;= dispersion_max (default 3 and 0.15; unanimous values = 0). Candidate value = MEDIAN.</t>
        </is>
      </c>
    </row>
    <row r="6">
      <c r="A6" s="2" t="inlineStr">
        <is>
          <t>Validate (leave-one-out): for each usable client, the peer median (all OTHER same-type clients) is the prior value; re-run that client's K01 copy with the driver overridden, score it with K04 over the SAME lines/weights against recovered actuals, and enter the new fitness. delta = new - original. validated when &gt;= 2 folds and mean delta &lt;= tolerance (default 0).</t>
        </is>
      </c>
    </row>
    <row r="7">
      <c r="A7" s="2" t="inlineStr">
        <is>
          <t>Skills: a generated skill folder name recurring in &gt;= 3 same-type clients is a candidate. Structural corrections that repeat are an extra human signal.</t>
        </is>
      </c>
    </row>
    <row r="8">
      <c r="A8" s="2" t="inlineStr">
        <is>
          <t>Everything stays local. Humans ratify every promotion into portfolio/library/ (priors/&lt;type&gt;.csv + library-log.md). Priors are SEEDS; each client's own loop refines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10" customWidth="1" min="3" max="3"/>
    <col width="40" customWidth="1" min="4" max="4"/>
  </cols>
  <sheetData>
    <row r="1">
      <c r="A1" s="1" t="inlineStr">
        <is>
          <t>Checks - OVERALL must be PASS</t>
        </is>
      </c>
    </row>
    <row r="2"/>
    <row r="3">
      <c r="B3" s="3" t="inlineStr">
        <is>
          <t>OVERALL</t>
        </is>
      </c>
      <c r="C3" s="4">
        <f>IF(COUNTIF(C5:C7,"PASS")=COUNT(A5:A7),"PASS","FAIL")</f>
        <v/>
      </c>
      <c r="D3" s="5">
        <f>COUNTIF(C5:C7,"PASS")&amp;" pass / "&amp;COUNTIF(C5:C7,"FAIL")&amp;" fail / "&amp;(COUNT(A5:A7)-COUNTIF(C5:C7,"PASS")-COUNTIF(C5:C7,"FAIL"))&amp;" error"</f>
        <v/>
      </c>
    </row>
    <row r="4">
      <c r="A4" s="6" t="inlineStr">
        <is>
          <t>#</t>
        </is>
      </c>
      <c r="B4" s="6" t="inlineStr">
        <is>
          <t>check</t>
        </is>
      </c>
      <c r="C4" s="6" t="inlineStr">
        <is>
          <t>result</t>
        </is>
      </c>
      <c r="D4" s="6" t="inlineStr">
        <is>
          <t>detail</t>
        </is>
      </c>
    </row>
    <row r="5">
      <c r="A5" t="n">
        <v>1</v>
      </c>
      <c r="B5" t="inlineStr">
        <is>
          <t>business type chosen</t>
        </is>
      </c>
      <c r="C5" s="5">
        <f>IF(Setup!B4&lt;&gt;"","PASS","FAIL")</f>
        <v/>
      </c>
      <c r="D5" s="5">
        <f>Setup!B4</f>
        <v/>
      </c>
    </row>
    <row r="6">
      <c r="A6" t="n">
        <v>2</v>
      </c>
      <c r="B6" t="inlineStr">
        <is>
          <t>min_support &gt;= 1 and dispersion_max &gt;= 0</t>
        </is>
      </c>
      <c r="C6" s="5">
        <f>IF(AND(Setup!B5&gt;=1,Setup!B6&gt;=0),"PASS","FAIL")</f>
        <v/>
      </c>
    </row>
    <row r="7">
      <c r="A7" t="n">
        <v>3</v>
      </c>
      <c r="B7" t="inlineStr">
        <is>
          <t>client paths unique</t>
        </is>
      </c>
      <c r="C7" s="5">
        <f>IF(SUMPRODUCT((Clients!A5:A54&lt;&gt;"")*(COUNTIF(Clients!A5:A54,Clients!A5:A54)&gt;1))=0,"PASS","FAIL")</f>
        <v/>
      </c>
    </row>
  </sheetData>
  <conditionalFormatting sqref="C3:C7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0">
      <formula>TRUE</formula>
    </cfRule>
    <cfRule type="cellIs" priority="4" operator="equal" dxfId="1">
      <formula>FALSE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</cols>
  <sheetData>
    <row r="1">
      <c r="A1" s="1" t="inlineStr">
        <is>
          <t>Setup</t>
        </is>
      </c>
    </row>
    <row r="2"/>
    <row r="3"/>
    <row r="4">
      <c r="A4" t="inlineStr">
        <is>
          <t>business type to mine</t>
        </is>
      </c>
      <c r="B4" s="7" t="n"/>
    </row>
    <row r="5">
      <c r="A5" t="inlineStr">
        <is>
          <t>min_support</t>
        </is>
      </c>
      <c r="B5" s="8" t="n">
        <v>3</v>
      </c>
    </row>
    <row r="6">
      <c r="A6" t="inlineStr">
        <is>
          <t>dispersion_max (CoV)</t>
        </is>
      </c>
      <c r="B6" s="9" t="n">
        <v>0.15</v>
      </c>
    </row>
    <row r="7">
      <c r="A7" t="inlineStr">
        <is>
          <t>driver to validate (one of the six)</t>
        </is>
      </c>
      <c r="B7" s="7" t="inlineStr">
        <is>
          <t>working_capital.dso_days</t>
        </is>
      </c>
    </row>
    <row r="8">
      <c r="A8" t="inlineStr">
        <is>
          <t>validation tolerance</t>
        </is>
      </c>
      <c r="B8" s="10" t="n">
        <v>0</v>
      </c>
    </row>
  </sheetData>
  <dataValidations count="1">
    <dataValidation sqref="B7" showDropDown="0" showInputMessage="0" showErrorMessage="0" allowBlank="1" type="list">
      <formula1>"working_capital.dso_days,working_capital.dio_days,working_capital.dpo_days,tax_rate,da_monthly,capex_monthly"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</cols>
  <sheetData>
    <row r="1">
      <c r="A1" s="1" t="inlineStr">
        <is>
          <t>Clients (portfolio manifest + best snapshot driver values after applied corrections)</t>
        </is>
      </c>
    </row>
    <row r="2"/>
    <row r="3"/>
    <row r="4">
      <c r="A4" s="6" t="inlineStr">
        <is>
          <t>client path</t>
        </is>
      </c>
      <c r="B4" s="6" t="inlineStr">
        <is>
          <t>business type</t>
        </is>
      </c>
      <c r="C4" s="6" t="inlineStr">
        <is>
          <t>best snapshot label</t>
        </is>
      </c>
      <c r="D4" s="6" t="inlineStr">
        <is>
          <t>best fitness</t>
        </is>
      </c>
      <c r="E4" s="6" t="inlineStr">
        <is>
          <t>working_capital.dso_days</t>
        </is>
      </c>
      <c r="F4" s="6" t="inlineStr">
        <is>
          <t>working_capital.dio_days</t>
        </is>
      </c>
      <c r="G4" s="6" t="inlineStr">
        <is>
          <t>working_capital.dpo_days</t>
        </is>
      </c>
      <c r="H4" s="6" t="inlineStr">
        <is>
          <t>tax_rate</t>
        </is>
      </c>
      <c r="I4" s="6" t="inlineStr">
        <is>
          <t>da_monthly</t>
        </is>
      </c>
      <c r="J4" s="6" t="inlineStr">
        <is>
          <t>capex_monthly</t>
        </is>
      </c>
      <c r="K4" s="6" t="inlineStr">
        <is>
          <t>of chosen type?</t>
        </is>
      </c>
      <c r="L4" t="inlineStr">
        <is>
          <t>typed working_capital.dso_days</t>
        </is>
      </c>
      <c r="M4" t="inlineStr">
        <is>
          <t>typed working_capital.dio_days</t>
        </is>
      </c>
      <c r="N4" t="inlineStr">
        <is>
          <t>typed working_capital.dpo_days</t>
        </is>
      </c>
      <c r="O4" t="inlineStr">
        <is>
          <t>typed tax_rate</t>
        </is>
      </c>
      <c r="P4" t="inlineStr">
        <is>
          <t>typed da_monthly</t>
        </is>
      </c>
      <c r="Q4" t="inlineStr">
        <is>
          <t>typed capex_monthly</t>
        </is>
      </c>
    </row>
    <row r="5">
      <c r="A5" s="7" t="n"/>
      <c r="B5" s="7" t="n"/>
      <c r="C5" s="7" t="n"/>
      <c r="D5" s="10" t="n"/>
      <c r="E5" s="10" t="n"/>
      <c r="F5" s="10" t="n"/>
      <c r="G5" s="10" t="n"/>
      <c r="H5" s="10" t="n"/>
      <c r="I5" s="10" t="n"/>
      <c r="J5" s="10" t="n"/>
      <c r="K5" s="5">
        <f>IF(AND(A5&lt;&gt;"",B5=Setup!$B$4),1,0)</f>
        <v/>
      </c>
      <c r="L5">
        <f>IF(AND(K5=1,ISNUMBER(E5)),E5,"")</f>
        <v/>
      </c>
      <c r="M5">
        <f>IF(AND(K5=1,ISNUMBER(F5)),F5,"")</f>
        <v/>
      </c>
      <c r="N5">
        <f>IF(AND(K5=1,ISNUMBER(G5)),G5,"")</f>
        <v/>
      </c>
      <c r="O5">
        <f>IF(AND(K5=1,ISNUMBER(H5)),H5,"")</f>
        <v/>
      </c>
      <c r="P5">
        <f>IF(AND(K5=1,ISNUMBER(I5)),I5,"")</f>
        <v/>
      </c>
      <c r="Q5">
        <f>IF(AND(K5=1,ISNUMBER(J5)),J5,"")</f>
        <v/>
      </c>
    </row>
    <row r="6">
      <c r="A6" s="7" t="n"/>
      <c r="B6" s="7" t="n"/>
      <c r="C6" s="7" t="n"/>
      <c r="D6" s="10" t="n"/>
      <c r="E6" s="10" t="n"/>
      <c r="F6" s="10" t="n"/>
      <c r="G6" s="10" t="n"/>
      <c r="H6" s="10" t="n"/>
      <c r="I6" s="10" t="n"/>
      <c r="J6" s="10" t="n"/>
      <c r="K6" s="5">
        <f>IF(AND(A6&lt;&gt;"",B6=Setup!$B$4),1,0)</f>
        <v/>
      </c>
      <c r="L6">
        <f>IF(AND(K6=1,ISNUMBER(E6)),E6,"")</f>
        <v/>
      </c>
      <c r="M6">
        <f>IF(AND(K6=1,ISNUMBER(F6)),F6,"")</f>
        <v/>
      </c>
      <c r="N6">
        <f>IF(AND(K6=1,ISNUMBER(G6)),G6,"")</f>
        <v/>
      </c>
      <c r="O6">
        <f>IF(AND(K6=1,ISNUMBER(H6)),H6,"")</f>
        <v/>
      </c>
      <c r="P6">
        <f>IF(AND(K6=1,ISNUMBER(I6)),I6,"")</f>
        <v/>
      </c>
      <c r="Q6">
        <f>IF(AND(K6=1,ISNUMBER(J6)),J6,"")</f>
        <v/>
      </c>
    </row>
    <row r="7">
      <c r="A7" s="7" t="n"/>
      <c r="B7" s="7" t="n"/>
      <c r="C7" s="7" t="n"/>
      <c r="D7" s="10" t="n"/>
      <c r="E7" s="10" t="n"/>
      <c r="F7" s="10" t="n"/>
      <c r="G7" s="10" t="n"/>
      <c r="H7" s="10" t="n"/>
      <c r="I7" s="10" t="n"/>
      <c r="J7" s="10" t="n"/>
      <c r="K7" s="5">
        <f>IF(AND(A7&lt;&gt;"",B7=Setup!$B$4),1,0)</f>
        <v/>
      </c>
      <c r="L7">
        <f>IF(AND(K7=1,ISNUMBER(E7)),E7,"")</f>
        <v/>
      </c>
      <c r="M7">
        <f>IF(AND(K7=1,ISNUMBER(F7)),F7,"")</f>
        <v/>
      </c>
      <c r="N7">
        <f>IF(AND(K7=1,ISNUMBER(G7)),G7,"")</f>
        <v/>
      </c>
      <c r="O7">
        <f>IF(AND(K7=1,ISNUMBER(H7)),H7,"")</f>
        <v/>
      </c>
      <c r="P7">
        <f>IF(AND(K7=1,ISNUMBER(I7)),I7,"")</f>
        <v/>
      </c>
      <c r="Q7">
        <f>IF(AND(K7=1,ISNUMBER(J7)),J7,"")</f>
        <v/>
      </c>
    </row>
    <row r="8">
      <c r="A8" s="7" t="n"/>
      <c r="B8" s="7" t="n"/>
      <c r="C8" s="7" t="n"/>
      <c r="D8" s="10" t="n"/>
      <c r="E8" s="10" t="n"/>
      <c r="F8" s="10" t="n"/>
      <c r="G8" s="10" t="n"/>
      <c r="H8" s="10" t="n"/>
      <c r="I8" s="10" t="n"/>
      <c r="J8" s="10" t="n"/>
      <c r="K8" s="5">
        <f>IF(AND(A8&lt;&gt;"",B8=Setup!$B$4),1,0)</f>
        <v/>
      </c>
      <c r="L8">
        <f>IF(AND(K8=1,ISNUMBER(E8)),E8,"")</f>
        <v/>
      </c>
      <c r="M8">
        <f>IF(AND(K8=1,ISNUMBER(F8)),F8,"")</f>
        <v/>
      </c>
      <c r="N8">
        <f>IF(AND(K8=1,ISNUMBER(G8)),G8,"")</f>
        <v/>
      </c>
      <c r="O8">
        <f>IF(AND(K8=1,ISNUMBER(H8)),H8,"")</f>
        <v/>
      </c>
      <c r="P8">
        <f>IF(AND(K8=1,ISNUMBER(I8)),I8,"")</f>
        <v/>
      </c>
      <c r="Q8">
        <f>IF(AND(K8=1,ISNUMBER(J8)),J8,"")</f>
        <v/>
      </c>
    </row>
    <row r="9">
      <c r="A9" s="7" t="n"/>
      <c r="B9" s="7" t="n"/>
      <c r="C9" s="7" t="n"/>
      <c r="D9" s="10" t="n"/>
      <c r="E9" s="10" t="n"/>
      <c r="F9" s="10" t="n"/>
      <c r="G9" s="10" t="n"/>
      <c r="H9" s="10" t="n"/>
      <c r="I9" s="10" t="n"/>
      <c r="J9" s="10" t="n"/>
      <c r="K9" s="5">
        <f>IF(AND(A9&lt;&gt;"",B9=Setup!$B$4),1,0)</f>
        <v/>
      </c>
      <c r="L9">
        <f>IF(AND(K9=1,ISNUMBER(E9)),E9,"")</f>
        <v/>
      </c>
      <c r="M9">
        <f>IF(AND(K9=1,ISNUMBER(F9)),F9,"")</f>
        <v/>
      </c>
      <c r="N9">
        <f>IF(AND(K9=1,ISNUMBER(G9)),G9,"")</f>
        <v/>
      </c>
      <c r="O9">
        <f>IF(AND(K9=1,ISNUMBER(H9)),H9,"")</f>
        <v/>
      </c>
      <c r="P9">
        <f>IF(AND(K9=1,ISNUMBER(I9)),I9,"")</f>
        <v/>
      </c>
      <c r="Q9">
        <f>IF(AND(K9=1,ISNUMBER(J9)),J9,"")</f>
        <v/>
      </c>
    </row>
    <row r="10">
      <c r="A10" s="7" t="n"/>
      <c r="B10" s="7" t="n"/>
      <c r="C10" s="7" t="n"/>
      <c r="D10" s="10" t="n"/>
      <c r="E10" s="10" t="n"/>
      <c r="F10" s="10" t="n"/>
      <c r="G10" s="10" t="n"/>
      <c r="H10" s="10" t="n"/>
      <c r="I10" s="10" t="n"/>
      <c r="J10" s="10" t="n"/>
      <c r="K10" s="5">
        <f>IF(AND(A10&lt;&gt;"",B10=Setup!$B$4),1,0)</f>
        <v/>
      </c>
      <c r="L10">
        <f>IF(AND(K10=1,ISNUMBER(E10)),E10,"")</f>
        <v/>
      </c>
      <c r="M10">
        <f>IF(AND(K10=1,ISNUMBER(F10)),F10,"")</f>
        <v/>
      </c>
      <c r="N10">
        <f>IF(AND(K10=1,ISNUMBER(G10)),G10,"")</f>
        <v/>
      </c>
      <c r="O10">
        <f>IF(AND(K10=1,ISNUMBER(H10)),H10,"")</f>
        <v/>
      </c>
      <c r="P10">
        <f>IF(AND(K10=1,ISNUMBER(I10)),I10,"")</f>
        <v/>
      </c>
      <c r="Q10">
        <f>IF(AND(K10=1,ISNUMBER(J10)),J10,"")</f>
        <v/>
      </c>
    </row>
    <row r="11">
      <c r="A11" s="7" t="n"/>
      <c r="B11" s="7" t="n"/>
      <c r="C11" s="7" t="n"/>
      <c r="D11" s="10" t="n"/>
      <c r="E11" s="10" t="n"/>
      <c r="F11" s="10" t="n"/>
      <c r="G11" s="10" t="n"/>
      <c r="H11" s="10" t="n"/>
      <c r="I11" s="10" t="n"/>
      <c r="J11" s="10" t="n"/>
      <c r="K11" s="5">
        <f>IF(AND(A11&lt;&gt;"",B11=Setup!$B$4),1,0)</f>
        <v/>
      </c>
      <c r="L11">
        <f>IF(AND(K11=1,ISNUMBER(E11)),E11,"")</f>
        <v/>
      </c>
      <c r="M11">
        <f>IF(AND(K11=1,ISNUMBER(F11)),F11,"")</f>
        <v/>
      </c>
      <c r="N11">
        <f>IF(AND(K11=1,ISNUMBER(G11)),G11,"")</f>
        <v/>
      </c>
      <c r="O11">
        <f>IF(AND(K11=1,ISNUMBER(H11)),H11,"")</f>
        <v/>
      </c>
      <c r="P11">
        <f>IF(AND(K11=1,ISNUMBER(I11)),I11,"")</f>
        <v/>
      </c>
      <c r="Q11">
        <f>IF(AND(K11=1,ISNUMBER(J11)),J11,"")</f>
        <v/>
      </c>
    </row>
    <row r="12">
      <c r="A12" s="7" t="n"/>
      <c r="B12" s="7" t="n"/>
      <c r="C12" s="7" t="n"/>
      <c r="D12" s="10" t="n"/>
      <c r="E12" s="10" t="n"/>
      <c r="F12" s="10" t="n"/>
      <c r="G12" s="10" t="n"/>
      <c r="H12" s="10" t="n"/>
      <c r="I12" s="10" t="n"/>
      <c r="J12" s="10" t="n"/>
      <c r="K12" s="5">
        <f>IF(AND(A12&lt;&gt;"",B12=Setup!$B$4),1,0)</f>
        <v/>
      </c>
      <c r="L12">
        <f>IF(AND(K12=1,ISNUMBER(E12)),E12,"")</f>
        <v/>
      </c>
      <c r="M12">
        <f>IF(AND(K12=1,ISNUMBER(F12)),F12,"")</f>
        <v/>
      </c>
      <c r="N12">
        <f>IF(AND(K12=1,ISNUMBER(G12)),G12,"")</f>
        <v/>
      </c>
      <c r="O12">
        <f>IF(AND(K12=1,ISNUMBER(H12)),H12,"")</f>
        <v/>
      </c>
      <c r="P12">
        <f>IF(AND(K12=1,ISNUMBER(I12)),I12,"")</f>
        <v/>
      </c>
      <c r="Q12">
        <f>IF(AND(K12=1,ISNUMBER(J12)),J12,"")</f>
        <v/>
      </c>
    </row>
    <row r="13">
      <c r="A13" s="7" t="n"/>
      <c r="B13" s="7" t="n"/>
      <c r="C13" s="7" t="n"/>
      <c r="D13" s="10" t="n"/>
      <c r="E13" s="10" t="n"/>
      <c r="F13" s="10" t="n"/>
      <c r="G13" s="10" t="n"/>
      <c r="H13" s="10" t="n"/>
      <c r="I13" s="10" t="n"/>
      <c r="J13" s="10" t="n"/>
      <c r="K13" s="5">
        <f>IF(AND(A13&lt;&gt;"",B13=Setup!$B$4),1,0)</f>
        <v/>
      </c>
      <c r="L13">
        <f>IF(AND(K13=1,ISNUMBER(E13)),E13,"")</f>
        <v/>
      </c>
      <c r="M13">
        <f>IF(AND(K13=1,ISNUMBER(F13)),F13,"")</f>
        <v/>
      </c>
      <c r="N13">
        <f>IF(AND(K13=1,ISNUMBER(G13)),G13,"")</f>
        <v/>
      </c>
      <c r="O13">
        <f>IF(AND(K13=1,ISNUMBER(H13)),H13,"")</f>
        <v/>
      </c>
      <c r="P13">
        <f>IF(AND(K13=1,ISNUMBER(I13)),I13,"")</f>
        <v/>
      </c>
      <c r="Q13">
        <f>IF(AND(K13=1,ISNUMBER(J13)),J13,"")</f>
        <v/>
      </c>
    </row>
    <row r="14">
      <c r="A14" s="7" t="n"/>
      <c r="B14" s="7" t="n"/>
      <c r="C14" s="7" t="n"/>
      <c r="D14" s="10" t="n"/>
      <c r="E14" s="10" t="n"/>
      <c r="F14" s="10" t="n"/>
      <c r="G14" s="10" t="n"/>
      <c r="H14" s="10" t="n"/>
      <c r="I14" s="10" t="n"/>
      <c r="J14" s="10" t="n"/>
      <c r="K14" s="5">
        <f>IF(AND(A14&lt;&gt;"",B14=Setup!$B$4),1,0)</f>
        <v/>
      </c>
      <c r="L14">
        <f>IF(AND(K14=1,ISNUMBER(E14)),E14,"")</f>
        <v/>
      </c>
      <c r="M14">
        <f>IF(AND(K14=1,ISNUMBER(F14)),F14,"")</f>
        <v/>
      </c>
      <c r="N14">
        <f>IF(AND(K14=1,ISNUMBER(G14)),G14,"")</f>
        <v/>
      </c>
      <c r="O14">
        <f>IF(AND(K14=1,ISNUMBER(H14)),H14,"")</f>
        <v/>
      </c>
      <c r="P14">
        <f>IF(AND(K14=1,ISNUMBER(I14)),I14,"")</f>
        <v/>
      </c>
      <c r="Q14">
        <f>IF(AND(K14=1,ISNUMBER(J14)),J14,"")</f>
        <v/>
      </c>
    </row>
    <row r="15">
      <c r="A15" s="7" t="n"/>
      <c r="B15" s="7" t="n"/>
      <c r="C15" s="7" t="n"/>
      <c r="D15" s="10" t="n"/>
      <c r="E15" s="10" t="n"/>
      <c r="F15" s="10" t="n"/>
      <c r="G15" s="10" t="n"/>
      <c r="H15" s="10" t="n"/>
      <c r="I15" s="10" t="n"/>
      <c r="J15" s="10" t="n"/>
      <c r="K15" s="5">
        <f>IF(AND(A15&lt;&gt;"",B15=Setup!$B$4),1,0)</f>
        <v/>
      </c>
      <c r="L15">
        <f>IF(AND(K15=1,ISNUMBER(E15)),E15,"")</f>
        <v/>
      </c>
      <c r="M15">
        <f>IF(AND(K15=1,ISNUMBER(F15)),F15,"")</f>
        <v/>
      </c>
      <c r="N15">
        <f>IF(AND(K15=1,ISNUMBER(G15)),G15,"")</f>
        <v/>
      </c>
      <c r="O15">
        <f>IF(AND(K15=1,ISNUMBER(H15)),H15,"")</f>
        <v/>
      </c>
      <c r="P15">
        <f>IF(AND(K15=1,ISNUMBER(I15)),I15,"")</f>
        <v/>
      </c>
      <c r="Q15">
        <f>IF(AND(K15=1,ISNUMBER(J15)),J15,"")</f>
        <v/>
      </c>
    </row>
    <row r="16">
      <c r="A16" s="7" t="n"/>
      <c r="B16" s="7" t="n"/>
      <c r="C16" s="7" t="n"/>
      <c r="D16" s="10" t="n"/>
      <c r="E16" s="10" t="n"/>
      <c r="F16" s="10" t="n"/>
      <c r="G16" s="10" t="n"/>
      <c r="H16" s="10" t="n"/>
      <c r="I16" s="10" t="n"/>
      <c r="J16" s="10" t="n"/>
      <c r="K16" s="5">
        <f>IF(AND(A16&lt;&gt;"",B16=Setup!$B$4),1,0)</f>
        <v/>
      </c>
      <c r="L16">
        <f>IF(AND(K16=1,ISNUMBER(E16)),E16,"")</f>
        <v/>
      </c>
      <c r="M16">
        <f>IF(AND(K16=1,ISNUMBER(F16)),F16,"")</f>
        <v/>
      </c>
      <c r="N16">
        <f>IF(AND(K16=1,ISNUMBER(G16)),G16,"")</f>
        <v/>
      </c>
      <c r="O16">
        <f>IF(AND(K16=1,ISNUMBER(H16)),H16,"")</f>
        <v/>
      </c>
      <c r="P16">
        <f>IF(AND(K16=1,ISNUMBER(I16)),I16,"")</f>
        <v/>
      </c>
      <c r="Q16">
        <f>IF(AND(K16=1,ISNUMBER(J16)),J16,"")</f>
        <v/>
      </c>
    </row>
    <row r="17">
      <c r="A17" s="7" t="n"/>
      <c r="B17" s="7" t="n"/>
      <c r="C17" s="7" t="n"/>
      <c r="D17" s="10" t="n"/>
      <c r="E17" s="10" t="n"/>
      <c r="F17" s="10" t="n"/>
      <c r="G17" s="10" t="n"/>
      <c r="H17" s="10" t="n"/>
      <c r="I17" s="10" t="n"/>
      <c r="J17" s="10" t="n"/>
      <c r="K17" s="5">
        <f>IF(AND(A17&lt;&gt;"",B17=Setup!$B$4),1,0)</f>
        <v/>
      </c>
      <c r="L17">
        <f>IF(AND(K17=1,ISNUMBER(E17)),E17,"")</f>
        <v/>
      </c>
      <c r="M17">
        <f>IF(AND(K17=1,ISNUMBER(F17)),F17,"")</f>
        <v/>
      </c>
      <c r="N17">
        <f>IF(AND(K17=1,ISNUMBER(G17)),G17,"")</f>
        <v/>
      </c>
      <c r="O17">
        <f>IF(AND(K17=1,ISNUMBER(H17)),H17,"")</f>
        <v/>
      </c>
      <c r="P17">
        <f>IF(AND(K17=1,ISNUMBER(I17)),I17,"")</f>
        <v/>
      </c>
      <c r="Q17">
        <f>IF(AND(K17=1,ISNUMBER(J17)),J17,"")</f>
        <v/>
      </c>
    </row>
    <row r="18">
      <c r="A18" s="7" t="n"/>
      <c r="B18" s="7" t="n"/>
      <c r="C18" s="7" t="n"/>
      <c r="D18" s="10" t="n"/>
      <c r="E18" s="10" t="n"/>
      <c r="F18" s="10" t="n"/>
      <c r="G18" s="10" t="n"/>
      <c r="H18" s="10" t="n"/>
      <c r="I18" s="10" t="n"/>
      <c r="J18" s="10" t="n"/>
      <c r="K18" s="5">
        <f>IF(AND(A18&lt;&gt;"",B18=Setup!$B$4),1,0)</f>
        <v/>
      </c>
      <c r="L18">
        <f>IF(AND(K18=1,ISNUMBER(E18)),E18,"")</f>
        <v/>
      </c>
      <c r="M18">
        <f>IF(AND(K18=1,ISNUMBER(F18)),F18,"")</f>
        <v/>
      </c>
      <c r="N18">
        <f>IF(AND(K18=1,ISNUMBER(G18)),G18,"")</f>
        <v/>
      </c>
      <c r="O18">
        <f>IF(AND(K18=1,ISNUMBER(H18)),H18,"")</f>
        <v/>
      </c>
      <c r="P18">
        <f>IF(AND(K18=1,ISNUMBER(I18)),I18,"")</f>
        <v/>
      </c>
      <c r="Q18">
        <f>IF(AND(K18=1,ISNUMBER(J18)),J18,"")</f>
        <v/>
      </c>
    </row>
    <row r="19">
      <c r="A19" s="7" t="n"/>
      <c r="B19" s="7" t="n"/>
      <c r="C19" s="7" t="n"/>
      <c r="D19" s="10" t="n"/>
      <c r="E19" s="10" t="n"/>
      <c r="F19" s="10" t="n"/>
      <c r="G19" s="10" t="n"/>
      <c r="H19" s="10" t="n"/>
      <c r="I19" s="10" t="n"/>
      <c r="J19" s="10" t="n"/>
      <c r="K19" s="5">
        <f>IF(AND(A19&lt;&gt;"",B19=Setup!$B$4),1,0)</f>
        <v/>
      </c>
      <c r="L19">
        <f>IF(AND(K19=1,ISNUMBER(E19)),E19,"")</f>
        <v/>
      </c>
      <c r="M19">
        <f>IF(AND(K19=1,ISNUMBER(F19)),F19,"")</f>
        <v/>
      </c>
      <c r="N19">
        <f>IF(AND(K19=1,ISNUMBER(G19)),G19,"")</f>
        <v/>
      </c>
      <c r="O19">
        <f>IF(AND(K19=1,ISNUMBER(H19)),H19,"")</f>
        <v/>
      </c>
      <c r="P19">
        <f>IF(AND(K19=1,ISNUMBER(I19)),I19,"")</f>
        <v/>
      </c>
      <c r="Q19">
        <f>IF(AND(K19=1,ISNUMBER(J19)),J19,"")</f>
        <v/>
      </c>
    </row>
    <row r="20">
      <c r="A20" s="7" t="n"/>
      <c r="B20" s="7" t="n"/>
      <c r="C20" s="7" t="n"/>
      <c r="D20" s="10" t="n"/>
      <c r="E20" s="10" t="n"/>
      <c r="F20" s="10" t="n"/>
      <c r="G20" s="10" t="n"/>
      <c r="H20" s="10" t="n"/>
      <c r="I20" s="10" t="n"/>
      <c r="J20" s="10" t="n"/>
      <c r="K20" s="5">
        <f>IF(AND(A20&lt;&gt;"",B20=Setup!$B$4),1,0)</f>
        <v/>
      </c>
      <c r="L20">
        <f>IF(AND(K20=1,ISNUMBER(E20)),E20,"")</f>
        <v/>
      </c>
      <c r="M20">
        <f>IF(AND(K20=1,ISNUMBER(F20)),F20,"")</f>
        <v/>
      </c>
      <c r="N20">
        <f>IF(AND(K20=1,ISNUMBER(G20)),G20,"")</f>
        <v/>
      </c>
      <c r="O20">
        <f>IF(AND(K20=1,ISNUMBER(H20)),H20,"")</f>
        <v/>
      </c>
      <c r="P20">
        <f>IF(AND(K20=1,ISNUMBER(I20)),I20,"")</f>
        <v/>
      </c>
      <c r="Q20">
        <f>IF(AND(K20=1,ISNUMBER(J20)),J20,"")</f>
        <v/>
      </c>
    </row>
    <row r="21">
      <c r="A21" s="7" t="n"/>
      <c r="B21" s="7" t="n"/>
      <c r="C21" s="7" t="n"/>
      <c r="D21" s="10" t="n"/>
      <c r="E21" s="10" t="n"/>
      <c r="F21" s="10" t="n"/>
      <c r="G21" s="10" t="n"/>
      <c r="H21" s="10" t="n"/>
      <c r="I21" s="10" t="n"/>
      <c r="J21" s="10" t="n"/>
      <c r="K21" s="5">
        <f>IF(AND(A21&lt;&gt;"",B21=Setup!$B$4),1,0)</f>
        <v/>
      </c>
      <c r="L21">
        <f>IF(AND(K21=1,ISNUMBER(E21)),E21,"")</f>
        <v/>
      </c>
      <c r="M21">
        <f>IF(AND(K21=1,ISNUMBER(F21)),F21,"")</f>
        <v/>
      </c>
      <c r="N21">
        <f>IF(AND(K21=1,ISNUMBER(G21)),G21,"")</f>
        <v/>
      </c>
      <c r="O21">
        <f>IF(AND(K21=1,ISNUMBER(H21)),H21,"")</f>
        <v/>
      </c>
      <c r="P21">
        <f>IF(AND(K21=1,ISNUMBER(I21)),I21,"")</f>
        <v/>
      </c>
      <c r="Q21">
        <f>IF(AND(K21=1,ISNUMBER(J21)),J21,"")</f>
        <v/>
      </c>
    </row>
    <row r="22">
      <c r="A22" s="7" t="n"/>
      <c r="B22" s="7" t="n"/>
      <c r="C22" s="7" t="n"/>
      <c r="D22" s="10" t="n"/>
      <c r="E22" s="10" t="n"/>
      <c r="F22" s="10" t="n"/>
      <c r="G22" s="10" t="n"/>
      <c r="H22" s="10" t="n"/>
      <c r="I22" s="10" t="n"/>
      <c r="J22" s="10" t="n"/>
      <c r="K22" s="5">
        <f>IF(AND(A22&lt;&gt;"",B22=Setup!$B$4),1,0)</f>
        <v/>
      </c>
      <c r="L22">
        <f>IF(AND(K22=1,ISNUMBER(E22)),E22,"")</f>
        <v/>
      </c>
      <c r="M22">
        <f>IF(AND(K22=1,ISNUMBER(F22)),F22,"")</f>
        <v/>
      </c>
      <c r="N22">
        <f>IF(AND(K22=1,ISNUMBER(G22)),G22,"")</f>
        <v/>
      </c>
      <c r="O22">
        <f>IF(AND(K22=1,ISNUMBER(H22)),H22,"")</f>
        <v/>
      </c>
      <c r="P22">
        <f>IF(AND(K22=1,ISNUMBER(I22)),I22,"")</f>
        <v/>
      </c>
      <c r="Q22">
        <f>IF(AND(K22=1,ISNUMBER(J22)),J22,"")</f>
        <v/>
      </c>
    </row>
    <row r="23">
      <c r="A23" s="7" t="n"/>
      <c r="B23" s="7" t="n"/>
      <c r="C23" s="7" t="n"/>
      <c r="D23" s="10" t="n"/>
      <c r="E23" s="10" t="n"/>
      <c r="F23" s="10" t="n"/>
      <c r="G23" s="10" t="n"/>
      <c r="H23" s="10" t="n"/>
      <c r="I23" s="10" t="n"/>
      <c r="J23" s="10" t="n"/>
      <c r="K23" s="5">
        <f>IF(AND(A23&lt;&gt;"",B23=Setup!$B$4),1,0)</f>
        <v/>
      </c>
      <c r="L23">
        <f>IF(AND(K23=1,ISNUMBER(E23)),E23,"")</f>
        <v/>
      </c>
      <c r="M23">
        <f>IF(AND(K23=1,ISNUMBER(F23)),F23,"")</f>
        <v/>
      </c>
      <c r="N23">
        <f>IF(AND(K23=1,ISNUMBER(G23)),G23,"")</f>
        <v/>
      </c>
      <c r="O23">
        <f>IF(AND(K23=1,ISNUMBER(H23)),H23,"")</f>
        <v/>
      </c>
      <c r="P23">
        <f>IF(AND(K23=1,ISNUMBER(I23)),I23,"")</f>
        <v/>
      </c>
      <c r="Q23">
        <f>IF(AND(K23=1,ISNUMBER(J23)),J23,"")</f>
        <v/>
      </c>
    </row>
    <row r="24">
      <c r="A24" s="7" t="n"/>
      <c r="B24" s="7" t="n"/>
      <c r="C24" s="7" t="n"/>
      <c r="D24" s="10" t="n"/>
      <c r="E24" s="10" t="n"/>
      <c r="F24" s="10" t="n"/>
      <c r="G24" s="10" t="n"/>
      <c r="H24" s="10" t="n"/>
      <c r="I24" s="10" t="n"/>
      <c r="J24" s="10" t="n"/>
      <c r="K24" s="5">
        <f>IF(AND(A24&lt;&gt;"",B24=Setup!$B$4),1,0)</f>
        <v/>
      </c>
      <c r="L24">
        <f>IF(AND(K24=1,ISNUMBER(E24)),E24,"")</f>
        <v/>
      </c>
      <c r="M24">
        <f>IF(AND(K24=1,ISNUMBER(F24)),F24,"")</f>
        <v/>
      </c>
      <c r="N24">
        <f>IF(AND(K24=1,ISNUMBER(G24)),G24,"")</f>
        <v/>
      </c>
      <c r="O24">
        <f>IF(AND(K24=1,ISNUMBER(H24)),H24,"")</f>
        <v/>
      </c>
      <c r="P24">
        <f>IF(AND(K24=1,ISNUMBER(I24)),I24,"")</f>
        <v/>
      </c>
      <c r="Q24">
        <f>IF(AND(K24=1,ISNUMBER(J24)),J24,"")</f>
        <v/>
      </c>
    </row>
    <row r="25">
      <c r="A25" s="7" t="n"/>
      <c r="B25" s="7" t="n"/>
      <c r="C25" s="7" t="n"/>
      <c r="D25" s="10" t="n"/>
      <c r="E25" s="10" t="n"/>
      <c r="F25" s="10" t="n"/>
      <c r="G25" s="10" t="n"/>
      <c r="H25" s="10" t="n"/>
      <c r="I25" s="10" t="n"/>
      <c r="J25" s="10" t="n"/>
      <c r="K25" s="5">
        <f>IF(AND(A25&lt;&gt;"",B25=Setup!$B$4),1,0)</f>
        <v/>
      </c>
      <c r="L25">
        <f>IF(AND(K25=1,ISNUMBER(E25)),E25,"")</f>
        <v/>
      </c>
      <c r="M25">
        <f>IF(AND(K25=1,ISNUMBER(F25)),F25,"")</f>
        <v/>
      </c>
      <c r="N25">
        <f>IF(AND(K25=1,ISNUMBER(G25)),G25,"")</f>
        <v/>
      </c>
      <c r="O25">
        <f>IF(AND(K25=1,ISNUMBER(H25)),H25,"")</f>
        <v/>
      </c>
      <c r="P25">
        <f>IF(AND(K25=1,ISNUMBER(I25)),I25,"")</f>
        <v/>
      </c>
      <c r="Q25">
        <f>IF(AND(K25=1,ISNUMBER(J25)),J25,"")</f>
        <v/>
      </c>
    </row>
    <row r="26">
      <c r="A26" s="7" t="n"/>
      <c r="B26" s="7" t="n"/>
      <c r="C26" s="7" t="n"/>
      <c r="D26" s="10" t="n"/>
      <c r="E26" s="10" t="n"/>
      <c r="F26" s="10" t="n"/>
      <c r="G26" s="10" t="n"/>
      <c r="H26" s="10" t="n"/>
      <c r="I26" s="10" t="n"/>
      <c r="J26" s="10" t="n"/>
      <c r="K26" s="5">
        <f>IF(AND(A26&lt;&gt;"",B26=Setup!$B$4),1,0)</f>
        <v/>
      </c>
      <c r="L26">
        <f>IF(AND(K26=1,ISNUMBER(E26)),E26,"")</f>
        <v/>
      </c>
      <c r="M26">
        <f>IF(AND(K26=1,ISNUMBER(F26)),F26,"")</f>
        <v/>
      </c>
      <c r="N26">
        <f>IF(AND(K26=1,ISNUMBER(G26)),G26,"")</f>
        <v/>
      </c>
      <c r="O26">
        <f>IF(AND(K26=1,ISNUMBER(H26)),H26,"")</f>
        <v/>
      </c>
      <c r="P26">
        <f>IF(AND(K26=1,ISNUMBER(I26)),I26,"")</f>
        <v/>
      </c>
      <c r="Q26">
        <f>IF(AND(K26=1,ISNUMBER(J26)),J26,"")</f>
        <v/>
      </c>
    </row>
    <row r="27">
      <c r="A27" s="7" t="n"/>
      <c r="B27" s="7" t="n"/>
      <c r="C27" s="7" t="n"/>
      <c r="D27" s="10" t="n"/>
      <c r="E27" s="10" t="n"/>
      <c r="F27" s="10" t="n"/>
      <c r="G27" s="10" t="n"/>
      <c r="H27" s="10" t="n"/>
      <c r="I27" s="10" t="n"/>
      <c r="J27" s="10" t="n"/>
      <c r="K27" s="5">
        <f>IF(AND(A27&lt;&gt;"",B27=Setup!$B$4),1,0)</f>
        <v/>
      </c>
      <c r="L27">
        <f>IF(AND(K27=1,ISNUMBER(E27)),E27,"")</f>
        <v/>
      </c>
      <c r="M27">
        <f>IF(AND(K27=1,ISNUMBER(F27)),F27,"")</f>
        <v/>
      </c>
      <c r="N27">
        <f>IF(AND(K27=1,ISNUMBER(G27)),G27,"")</f>
        <v/>
      </c>
      <c r="O27">
        <f>IF(AND(K27=1,ISNUMBER(H27)),H27,"")</f>
        <v/>
      </c>
      <c r="P27">
        <f>IF(AND(K27=1,ISNUMBER(I27)),I27,"")</f>
        <v/>
      </c>
      <c r="Q27">
        <f>IF(AND(K27=1,ISNUMBER(J27)),J27,"")</f>
        <v/>
      </c>
    </row>
    <row r="28">
      <c r="A28" s="7" t="n"/>
      <c r="B28" s="7" t="n"/>
      <c r="C28" s="7" t="n"/>
      <c r="D28" s="10" t="n"/>
      <c r="E28" s="10" t="n"/>
      <c r="F28" s="10" t="n"/>
      <c r="G28" s="10" t="n"/>
      <c r="H28" s="10" t="n"/>
      <c r="I28" s="10" t="n"/>
      <c r="J28" s="10" t="n"/>
      <c r="K28" s="5">
        <f>IF(AND(A28&lt;&gt;"",B28=Setup!$B$4),1,0)</f>
        <v/>
      </c>
      <c r="L28">
        <f>IF(AND(K28=1,ISNUMBER(E28)),E28,"")</f>
        <v/>
      </c>
      <c r="M28">
        <f>IF(AND(K28=1,ISNUMBER(F28)),F28,"")</f>
        <v/>
      </c>
      <c r="N28">
        <f>IF(AND(K28=1,ISNUMBER(G28)),G28,"")</f>
        <v/>
      </c>
      <c r="O28">
        <f>IF(AND(K28=1,ISNUMBER(H28)),H28,"")</f>
        <v/>
      </c>
      <c r="P28">
        <f>IF(AND(K28=1,ISNUMBER(I28)),I28,"")</f>
        <v/>
      </c>
      <c r="Q28">
        <f>IF(AND(K28=1,ISNUMBER(J28)),J28,"")</f>
        <v/>
      </c>
    </row>
    <row r="29">
      <c r="A29" s="7" t="n"/>
      <c r="B29" s="7" t="n"/>
      <c r="C29" s="7" t="n"/>
      <c r="D29" s="10" t="n"/>
      <c r="E29" s="10" t="n"/>
      <c r="F29" s="10" t="n"/>
      <c r="G29" s="10" t="n"/>
      <c r="H29" s="10" t="n"/>
      <c r="I29" s="10" t="n"/>
      <c r="J29" s="10" t="n"/>
      <c r="K29" s="5">
        <f>IF(AND(A29&lt;&gt;"",B29=Setup!$B$4),1,0)</f>
        <v/>
      </c>
      <c r="L29">
        <f>IF(AND(K29=1,ISNUMBER(E29)),E29,"")</f>
        <v/>
      </c>
      <c r="M29">
        <f>IF(AND(K29=1,ISNUMBER(F29)),F29,"")</f>
        <v/>
      </c>
      <c r="N29">
        <f>IF(AND(K29=1,ISNUMBER(G29)),G29,"")</f>
        <v/>
      </c>
      <c r="O29">
        <f>IF(AND(K29=1,ISNUMBER(H29)),H29,"")</f>
        <v/>
      </c>
      <c r="P29">
        <f>IF(AND(K29=1,ISNUMBER(I29)),I29,"")</f>
        <v/>
      </c>
      <c r="Q29">
        <f>IF(AND(K29=1,ISNUMBER(J29)),J29,"")</f>
        <v/>
      </c>
    </row>
    <row r="30">
      <c r="A30" s="7" t="n"/>
      <c r="B30" s="7" t="n"/>
      <c r="C30" s="7" t="n"/>
      <c r="D30" s="10" t="n"/>
      <c r="E30" s="10" t="n"/>
      <c r="F30" s="10" t="n"/>
      <c r="G30" s="10" t="n"/>
      <c r="H30" s="10" t="n"/>
      <c r="I30" s="10" t="n"/>
      <c r="J30" s="10" t="n"/>
      <c r="K30" s="5">
        <f>IF(AND(A30&lt;&gt;"",B30=Setup!$B$4),1,0)</f>
        <v/>
      </c>
      <c r="L30">
        <f>IF(AND(K30=1,ISNUMBER(E30)),E30,"")</f>
        <v/>
      </c>
      <c r="M30">
        <f>IF(AND(K30=1,ISNUMBER(F30)),F30,"")</f>
        <v/>
      </c>
      <c r="N30">
        <f>IF(AND(K30=1,ISNUMBER(G30)),G30,"")</f>
        <v/>
      </c>
      <c r="O30">
        <f>IF(AND(K30=1,ISNUMBER(H30)),H30,"")</f>
        <v/>
      </c>
      <c r="P30">
        <f>IF(AND(K30=1,ISNUMBER(I30)),I30,"")</f>
        <v/>
      </c>
      <c r="Q30">
        <f>IF(AND(K30=1,ISNUMBER(J30)),J30,"")</f>
        <v/>
      </c>
    </row>
    <row r="31">
      <c r="A31" s="7" t="n"/>
      <c r="B31" s="7" t="n"/>
      <c r="C31" s="7" t="n"/>
      <c r="D31" s="10" t="n"/>
      <c r="E31" s="10" t="n"/>
      <c r="F31" s="10" t="n"/>
      <c r="G31" s="10" t="n"/>
      <c r="H31" s="10" t="n"/>
      <c r="I31" s="10" t="n"/>
      <c r="J31" s="10" t="n"/>
      <c r="K31" s="5">
        <f>IF(AND(A31&lt;&gt;"",B31=Setup!$B$4),1,0)</f>
        <v/>
      </c>
      <c r="L31">
        <f>IF(AND(K31=1,ISNUMBER(E31)),E31,"")</f>
        <v/>
      </c>
      <c r="M31">
        <f>IF(AND(K31=1,ISNUMBER(F31)),F31,"")</f>
        <v/>
      </c>
      <c r="N31">
        <f>IF(AND(K31=1,ISNUMBER(G31)),G31,"")</f>
        <v/>
      </c>
      <c r="O31">
        <f>IF(AND(K31=1,ISNUMBER(H31)),H31,"")</f>
        <v/>
      </c>
      <c r="P31">
        <f>IF(AND(K31=1,ISNUMBER(I31)),I31,"")</f>
        <v/>
      </c>
      <c r="Q31">
        <f>IF(AND(K31=1,ISNUMBER(J31)),J31,"")</f>
        <v/>
      </c>
    </row>
    <row r="32">
      <c r="A32" s="7" t="n"/>
      <c r="B32" s="7" t="n"/>
      <c r="C32" s="7" t="n"/>
      <c r="D32" s="10" t="n"/>
      <c r="E32" s="10" t="n"/>
      <c r="F32" s="10" t="n"/>
      <c r="G32" s="10" t="n"/>
      <c r="H32" s="10" t="n"/>
      <c r="I32" s="10" t="n"/>
      <c r="J32" s="10" t="n"/>
      <c r="K32" s="5">
        <f>IF(AND(A32&lt;&gt;"",B32=Setup!$B$4),1,0)</f>
        <v/>
      </c>
      <c r="L32">
        <f>IF(AND(K32=1,ISNUMBER(E32)),E32,"")</f>
        <v/>
      </c>
      <c r="M32">
        <f>IF(AND(K32=1,ISNUMBER(F32)),F32,"")</f>
        <v/>
      </c>
      <c r="N32">
        <f>IF(AND(K32=1,ISNUMBER(G32)),G32,"")</f>
        <v/>
      </c>
      <c r="O32">
        <f>IF(AND(K32=1,ISNUMBER(H32)),H32,"")</f>
        <v/>
      </c>
      <c r="P32">
        <f>IF(AND(K32=1,ISNUMBER(I32)),I32,"")</f>
        <v/>
      </c>
      <c r="Q32">
        <f>IF(AND(K32=1,ISNUMBER(J32)),J32,"")</f>
        <v/>
      </c>
    </row>
    <row r="33">
      <c r="A33" s="7" t="n"/>
      <c r="B33" s="7" t="n"/>
      <c r="C33" s="7" t="n"/>
      <c r="D33" s="10" t="n"/>
      <c r="E33" s="10" t="n"/>
      <c r="F33" s="10" t="n"/>
      <c r="G33" s="10" t="n"/>
      <c r="H33" s="10" t="n"/>
      <c r="I33" s="10" t="n"/>
      <c r="J33" s="10" t="n"/>
      <c r="K33" s="5">
        <f>IF(AND(A33&lt;&gt;"",B33=Setup!$B$4),1,0)</f>
        <v/>
      </c>
      <c r="L33">
        <f>IF(AND(K33=1,ISNUMBER(E33)),E33,"")</f>
        <v/>
      </c>
      <c r="M33">
        <f>IF(AND(K33=1,ISNUMBER(F33)),F33,"")</f>
        <v/>
      </c>
      <c r="N33">
        <f>IF(AND(K33=1,ISNUMBER(G33)),G33,"")</f>
        <v/>
      </c>
      <c r="O33">
        <f>IF(AND(K33=1,ISNUMBER(H33)),H33,"")</f>
        <v/>
      </c>
      <c r="P33">
        <f>IF(AND(K33=1,ISNUMBER(I33)),I33,"")</f>
        <v/>
      </c>
      <c r="Q33">
        <f>IF(AND(K33=1,ISNUMBER(J33)),J33,"")</f>
        <v/>
      </c>
    </row>
    <row r="34">
      <c r="A34" s="7" t="n"/>
      <c r="B34" s="7" t="n"/>
      <c r="C34" s="7" t="n"/>
      <c r="D34" s="10" t="n"/>
      <c r="E34" s="10" t="n"/>
      <c r="F34" s="10" t="n"/>
      <c r="G34" s="10" t="n"/>
      <c r="H34" s="10" t="n"/>
      <c r="I34" s="10" t="n"/>
      <c r="J34" s="10" t="n"/>
      <c r="K34" s="5">
        <f>IF(AND(A34&lt;&gt;"",B34=Setup!$B$4),1,0)</f>
        <v/>
      </c>
      <c r="L34">
        <f>IF(AND(K34=1,ISNUMBER(E34)),E34,"")</f>
        <v/>
      </c>
      <c r="M34">
        <f>IF(AND(K34=1,ISNUMBER(F34)),F34,"")</f>
        <v/>
      </c>
      <c r="N34">
        <f>IF(AND(K34=1,ISNUMBER(G34)),G34,"")</f>
        <v/>
      </c>
      <c r="O34">
        <f>IF(AND(K34=1,ISNUMBER(H34)),H34,"")</f>
        <v/>
      </c>
      <c r="P34">
        <f>IF(AND(K34=1,ISNUMBER(I34)),I34,"")</f>
        <v/>
      </c>
      <c r="Q34">
        <f>IF(AND(K34=1,ISNUMBER(J34)),J34,"")</f>
        <v/>
      </c>
    </row>
    <row r="35">
      <c r="A35" s="7" t="n"/>
      <c r="B35" s="7" t="n"/>
      <c r="C35" s="7" t="n"/>
      <c r="D35" s="10" t="n"/>
      <c r="E35" s="10" t="n"/>
      <c r="F35" s="10" t="n"/>
      <c r="G35" s="10" t="n"/>
      <c r="H35" s="10" t="n"/>
      <c r="I35" s="10" t="n"/>
      <c r="J35" s="10" t="n"/>
      <c r="K35" s="5">
        <f>IF(AND(A35&lt;&gt;"",B35=Setup!$B$4),1,0)</f>
        <v/>
      </c>
      <c r="L35">
        <f>IF(AND(K35=1,ISNUMBER(E35)),E35,"")</f>
        <v/>
      </c>
      <c r="M35">
        <f>IF(AND(K35=1,ISNUMBER(F35)),F35,"")</f>
        <v/>
      </c>
      <c r="N35">
        <f>IF(AND(K35=1,ISNUMBER(G35)),G35,"")</f>
        <v/>
      </c>
      <c r="O35">
        <f>IF(AND(K35=1,ISNUMBER(H35)),H35,"")</f>
        <v/>
      </c>
      <c r="P35">
        <f>IF(AND(K35=1,ISNUMBER(I35)),I35,"")</f>
        <v/>
      </c>
      <c r="Q35">
        <f>IF(AND(K35=1,ISNUMBER(J35)),J35,"")</f>
        <v/>
      </c>
    </row>
    <row r="36">
      <c r="A36" s="7" t="n"/>
      <c r="B36" s="7" t="n"/>
      <c r="C36" s="7" t="n"/>
      <c r="D36" s="10" t="n"/>
      <c r="E36" s="10" t="n"/>
      <c r="F36" s="10" t="n"/>
      <c r="G36" s="10" t="n"/>
      <c r="H36" s="10" t="n"/>
      <c r="I36" s="10" t="n"/>
      <c r="J36" s="10" t="n"/>
      <c r="K36" s="5">
        <f>IF(AND(A36&lt;&gt;"",B36=Setup!$B$4),1,0)</f>
        <v/>
      </c>
      <c r="L36">
        <f>IF(AND(K36=1,ISNUMBER(E36)),E36,"")</f>
        <v/>
      </c>
      <c r="M36">
        <f>IF(AND(K36=1,ISNUMBER(F36)),F36,"")</f>
        <v/>
      </c>
      <c r="N36">
        <f>IF(AND(K36=1,ISNUMBER(G36)),G36,"")</f>
        <v/>
      </c>
      <c r="O36">
        <f>IF(AND(K36=1,ISNUMBER(H36)),H36,"")</f>
        <v/>
      </c>
      <c r="P36">
        <f>IF(AND(K36=1,ISNUMBER(I36)),I36,"")</f>
        <v/>
      </c>
      <c r="Q36">
        <f>IF(AND(K36=1,ISNUMBER(J36)),J36,"")</f>
        <v/>
      </c>
    </row>
    <row r="37">
      <c r="A37" s="7" t="n"/>
      <c r="B37" s="7" t="n"/>
      <c r="C37" s="7" t="n"/>
      <c r="D37" s="10" t="n"/>
      <c r="E37" s="10" t="n"/>
      <c r="F37" s="10" t="n"/>
      <c r="G37" s="10" t="n"/>
      <c r="H37" s="10" t="n"/>
      <c r="I37" s="10" t="n"/>
      <c r="J37" s="10" t="n"/>
      <c r="K37" s="5">
        <f>IF(AND(A37&lt;&gt;"",B37=Setup!$B$4),1,0)</f>
        <v/>
      </c>
      <c r="L37">
        <f>IF(AND(K37=1,ISNUMBER(E37)),E37,"")</f>
        <v/>
      </c>
      <c r="M37">
        <f>IF(AND(K37=1,ISNUMBER(F37)),F37,"")</f>
        <v/>
      </c>
      <c r="N37">
        <f>IF(AND(K37=1,ISNUMBER(G37)),G37,"")</f>
        <v/>
      </c>
      <c r="O37">
        <f>IF(AND(K37=1,ISNUMBER(H37)),H37,"")</f>
        <v/>
      </c>
      <c r="P37">
        <f>IF(AND(K37=1,ISNUMBER(I37)),I37,"")</f>
        <v/>
      </c>
      <c r="Q37">
        <f>IF(AND(K37=1,ISNUMBER(J37)),J37,"")</f>
        <v/>
      </c>
    </row>
    <row r="38">
      <c r="A38" s="7" t="n"/>
      <c r="B38" s="7" t="n"/>
      <c r="C38" s="7" t="n"/>
      <c r="D38" s="10" t="n"/>
      <c r="E38" s="10" t="n"/>
      <c r="F38" s="10" t="n"/>
      <c r="G38" s="10" t="n"/>
      <c r="H38" s="10" t="n"/>
      <c r="I38" s="10" t="n"/>
      <c r="J38" s="10" t="n"/>
      <c r="K38" s="5">
        <f>IF(AND(A38&lt;&gt;"",B38=Setup!$B$4),1,0)</f>
        <v/>
      </c>
      <c r="L38">
        <f>IF(AND(K38=1,ISNUMBER(E38)),E38,"")</f>
        <v/>
      </c>
      <c r="M38">
        <f>IF(AND(K38=1,ISNUMBER(F38)),F38,"")</f>
        <v/>
      </c>
      <c r="N38">
        <f>IF(AND(K38=1,ISNUMBER(G38)),G38,"")</f>
        <v/>
      </c>
      <c r="O38">
        <f>IF(AND(K38=1,ISNUMBER(H38)),H38,"")</f>
        <v/>
      </c>
      <c r="P38">
        <f>IF(AND(K38=1,ISNUMBER(I38)),I38,"")</f>
        <v/>
      </c>
      <c r="Q38">
        <f>IF(AND(K38=1,ISNUMBER(J38)),J38,"")</f>
        <v/>
      </c>
    </row>
    <row r="39">
      <c r="A39" s="7" t="n"/>
      <c r="B39" s="7" t="n"/>
      <c r="C39" s="7" t="n"/>
      <c r="D39" s="10" t="n"/>
      <c r="E39" s="10" t="n"/>
      <c r="F39" s="10" t="n"/>
      <c r="G39" s="10" t="n"/>
      <c r="H39" s="10" t="n"/>
      <c r="I39" s="10" t="n"/>
      <c r="J39" s="10" t="n"/>
      <c r="K39" s="5">
        <f>IF(AND(A39&lt;&gt;"",B39=Setup!$B$4),1,0)</f>
        <v/>
      </c>
      <c r="L39">
        <f>IF(AND(K39=1,ISNUMBER(E39)),E39,"")</f>
        <v/>
      </c>
      <c r="M39">
        <f>IF(AND(K39=1,ISNUMBER(F39)),F39,"")</f>
        <v/>
      </c>
      <c r="N39">
        <f>IF(AND(K39=1,ISNUMBER(G39)),G39,"")</f>
        <v/>
      </c>
      <c r="O39">
        <f>IF(AND(K39=1,ISNUMBER(H39)),H39,"")</f>
        <v/>
      </c>
      <c r="P39">
        <f>IF(AND(K39=1,ISNUMBER(I39)),I39,"")</f>
        <v/>
      </c>
      <c r="Q39">
        <f>IF(AND(K39=1,ISNUMBER(J39)),J39,"")</f>
        <v/>
      </c>
    </row>
    <row r="40">
      <c r="A40" s="7" t="n"/>
      <c r="B40" s="7" t="n"/>
      <c r="C40" s="7" t="n"/>
      <c r="D40" s="10" t="n"/>
      <c r="E40" s="10" t="n"/>
      <c r="F40" s="10" t="n"/>
      <c r="G40" s="10" t="n"/>
      <c r="H40" s="10" t="n"/>
      <c r="I40" s="10" t="n"/>
      <c r="J40" s="10" t="n"/>
      <c r="K40" s="5">
        <f>IF(AND(A40&lt;&gt;"",B40=Setup!$B$4),1,0)</f>
        <v/>
      </c>
      <c r="L40">
        <f>IF(AND(K40=1,ISNUMBER(E40)),E40,"")</f>
        <v/>
      </c>
      <c r="M40">
        <f>IF(AND(K40=1,ISNUMBER(F40)),F40,"")</f>
        <v/>
      </c>
      <c r="N40">
        <f>IF(AND(K40=1,ISNUMBER(G40)),G40,"")</f>
        <v/>
      </c>
      <c r="O40">
        <f>IF(AND(K40=1,ISNUMBER(H40)),H40,"")</f>
        <v/>
      </c>
      <c r="P40">
        <f>IF(AND(K40=1,ISNUMBER(I40)),I40,"")</f>
        <v/>
      </c>
      <c r="Q40">
        <f>IF(AND(K40=1,ISNUMBER(J40)),J40,"")</f>
        <v/>
      </c>
    </row>
    <row r="41">
      <c r="A41" s="7" t="n"/>
      <c r="B41" s="7" t="n"/>
      <c r="C41" s="7" t="n"/>
      <c r="D41" s="10" t="n"/>
      <c r="E41" s="10" t="n"/>
      <c r="F41" s="10" t="n"/>
      <c r="G41" s="10" t="n"/>
      <c r="H41" s="10" t="n"/>
      <c r="I41" s="10" t="n"/>
      <c r="J41" s="10" t="n"/>
      <c r="K41" s="5">
        <f>IF(AND(A41&lt;&gt;"",B41=Setup!$B$4),1,0)</f>
        <v/>
      </c>
      <c r="L41">
        <f>IF(AND(K41=1,ISNUMBER(E41)),E41,"")</f>
        <v/>
      </c>
      <c r="M41">
        <f>IF(AND(K41=1,ISNUMBER(F41)),F41,"")</f>
        <v/>
      </c>
      <c r="N41">
        <f>IF(AND(K41=1,ISNUMBER(G41)),G41,"")</f>
        <v/>
      </c>
      <c r="O41">
        <f>IF(AND(K41=1,ISNUMBER(H41)),H41,"")</f>
        <v/>
      </c>
      <c r="P41">
        <f>IF(AND(K41=1,ISNUMBER(I41)),I41,"")</f>
        <v/>
      </c>
      <c r="Q41">
        <f>IF(AND(K41=1,ISNUMBER(J41)),J41,"")</f>
        <v/>
      </c>
    </row>
    <row r="42">
      <c r="A42" s="7" t="n"/>
      <c r="B42" s="7" t="n"/>
      <c r="C42" s="7" t="n"/>
      <c r="D42" s="10" t="n"/>
      <c r="E42" s="10" t="n"/>
      <c r="F42" s="10" t="n"/>
      <c r="G42" s="10" t="n"/>
      <c r="H42" s="10" t="n"/>
      <c r="I42" s="10" t="n"/>
      <c r="J42" s="10" t="n"/>
      <c r="K42" s="5">
        <f>IF(AND(A42&lt;&gt;"",B42=Setup!$B$4),1,0)</f>
        <v/>
      </c>
      <c r="L42">
        <f>IF(AND(K42=1,ISNUMBER(E42)),E42,"")</f>
        <v/>
      </c>
      <c r="M42">
        <f>IF(AND(K42=1,ISNUMBER(F42)),F42,"")</f>
        <v/>
      </c>
      <c r="N42">
        <f>IF(AND(K42=1,ISNUMBER(G42)),G42,"")</f>
        <v/>
      </c>
      <c r="O42">
        <f>IF(AND(K42=1,ISNUMBER(H42)),H42,"")</f>
        <v/>
      </c>
      <c r="P42">
        <f>IF(AND(K42=1,ISNUMBER(I42)),I42,"")</f>
        <v/>
      </c>
      <c r="Q42">
        <f>IF(AND(K42=1,ISNUMBER(J42)),J42,"")</f>
        <v/>
      </c>
    </row>
    <row r="43">
      <c r="A43" s="7" t="n"/>
      <c r="B43" s="7" t="n"/>
      <c r="C43" s="7" t="n"/>
      <c r="D43" s="10" t="n"/>
      <c r="E43" s="10" t="n"/>
      <c r="F43" s="10" t="n"/>
      <c r="G43" s="10" t="n"/>
      <c r="H43" s="10" t="n"/>
      <c r="I43" s="10" t="n"/>
      <c r="J43" s="10" t="n"/>
      <c r="K43" s="5">
        <f>IF(AND(A43&lt;&gt;"",B43=Setup!$B$4),1,0)</f>
        <v/>
      </c>
      <c r="L43">
        <f>IF(AND(K43=1,ISNUMBER(E43)),E43,"")</f>
        <v/>
      </c>
      <c r="M43">
        <f>IF(AND(K43=1,ISNUMBER(F43)),F43,"")</f>
        <v/>
      </c>
      <c r="N43">
        <f>IF(AND(K43=1,ISNUMBER(G43)),G43,"")</f>
        <v/>
      </c>
      <c r="O43">
        <f>IF(AND(K43=1,ISNUMBER(H43)),H43,"")</f>
        <v/>
      </c>
      <c r="P43">
        <f>IF(AND(K43=1,ISNUMBER(I43)),I43,"")</f>
        <v/>
      </c>
      <c r="Q43">
        <f>IF(AND(K43=1,ISNUMBER(J43)),J43,"")</f>
        <v/>
      </c>
    </row>
    <row r="44">
      <c r="A44" s="7" t="n"/>
      <c r="B44" s="7" t="n"/>
      <c r="C44" s="7" t="n"/>
      <c r="D44" s="10" t="n"/>
      <c r="E44" s="10" t="n"/>
      <c r="F44" s="10" t="n"/>
      <c r="G44" s="10" t="n"/>
      <c r="H44" s="10" t="n"/>
      <c r="I44" s="10" t="n"/>
      <c r="J44" s="10" t="n"/>
      <c r="K44" s="5">
        <f>IF(AND(A44&lt;&gt;"",B44=Setup!$B$4),1,0)</f>
        <v/>
      </c>
      <c r="L44">
        <f>IF(AND(K44=1,ISNUMBER(E44)),E44,"")</f>
        <v/>
      </c>
      <c r="M44">
        <f>IF(AND(K44=1,ISNUMBER(F44)),F44,"")</f>
        <v/>
      </c>
      <c r="N44">
        <f>IF(AND(K44=1,ISNUMBER(G44)),G44,"")</f>
        <v/>
      </c>
      <c r="O44">
        <f>IF(AND(K44=1,ISNUMBER(H44)),H44,"")</f>
        <v/>
      </c>
      <c r="P44">
        <f>IF(AND(K44=1,ISNUMBER(I44)),I44,"")</f>
        <v/>
      </c>
      <c r="Q44">
        <f>IF(AND(K44=1,ISNUMBER(J44)),J44,"")</f>
        <v/>
      </c>
    </row>
    <row r="45">
      <c r="A45" s="7" t="n"/>
      <c r="B45" s="7" t="n"/>
      <c r="C45" s="7" t="n"/>
      <c r="D45" s="10" t="n"/>
      <c r="E45" s="10" t="n"/>
      <c r="F45" s="10" t="n"/>
      <c r="G45" s="10" t="n"/>
      <c r="H45" s="10" t="n"/>
      <c r="I45" s="10" t="n"/>
      <c r="J45" s="10" t="n"/>
      <c r="K45" s="5">
        <f>IF(AND(A45&lt;&gt;"",B45=Setup!$B$4),1,0)</f>
        <v/>
      </c>
      <c r="L45">
        <f>IF(AND(K45=1,ISNUMBER(E45)),E45,"")</f>
        <v/>
      </c>
      <c r="M45">
        <f>IF(AND(K45=1,ISNUMBER(F45)),F45,"")</f>
        <v/>
      </c>
      <c r="N45">
        <f>IF(AND(K45=1,ISNUMBER(G45)),G45,"")</f>
        <v/>
      </c>
      <c r="O45">
        <f>IF(AND(K45=1,ISNUMBER(H45)),H45,"")</f>
        <v/>
      </c>
      <c r="P45">
        <f>IF(AND(K45=1,ISNUMBER(I45)),I45,"")</f>
        <v/>
      </c>
      <c r="Q45">
        <f>IF(AND(K45=1,ISNUMBER(J45)),J45,"")</f>
        <v/>
      </c>
    </row>
    <row r="46">
      <c r="A46" s="7" t="n"/>
      <c r="B46" s="7" t="n"/>
      <c r="C46" s="7" t="n"/>
      <c r="D46" s="10" t="n"/>
      <c r="E46" s="10" t="n"/>
      <c r="F46" s="10" t="n"/>
      <c r="G46" s="10" t="n"/>
      <c r="H46" s="10" t="n"/>
      <c r="I46" s="10" t="n"/>
      <c r="J46" s="10" t="n"/>
      <c r="K46" s="5">
        <f>IF(AND(A46&lt;&gt;"",B46=Setup!$B$4),1,0)</f>
        <v/>
      </c>
      <c r="L46">
        <f>IF(AND(K46=1,ISNUMBER(E46)),E46,"")</f>
        <v/>
      </c>
      <c r="M46">
        <f>IF(AND(K46=1,ISNUMBER(F46)),F46,"")</f>
        <v/>
      </c>
      <c r="N46">
        <f>IF(AND(K46=1,ISNUMBER(G46)),G46,"")</f>
        <v/>
      </c>
      <c r="O46">
        <f>IF(AND(K46=1,ISNUMBER(H46)),H46,"")</f>
        <v/>
      </c>
      <c r="P46">
        <f>IF(AND(K46=1,ISNUMBER(I46)),I46,"")</f>
        <v/>
      </c>
      <c r="Q46">
        <f>IF(AND(K46=1,ISNUMBER(J46)),J46,"")</f>
        <v/>
      </c>
    </row>
    <row r="47">
      <c r="A47" s="7" t="n"/>
      <c r="B47" s="7" t="n"/>
      <c r="C47" s="7" t="n"/>
      <c r="D47" s="10" t="n"/>
      <c r="E47" s="10" t="n"/>
      <c r="F47" s="10" t="n"/>
      <c r="G47" s="10" t="n"/>
      <c r="H47" s="10" t="n"/>
      <c r="I47" s="10" t="n"/>
      <c r="J47" s="10" t="n"/>
      <c r="K47" s="5">
        <f>IF(AND(A47&lt;&gt;"",B47=Setup!$B$4),1,0)</f>
        <v/>
      </c>
      <c r="L47">
        <f>IF(AND(K47=1,ISNUMBER(E47)),E47,"")</f>
        <v/>
      </c>
      <c r="M47">
        <f>IF(AND(K47=1,ISNUMBER(F47)),F47,"")</f>
        <v/>
      </c>
      <c r="N47">
        <f>IF(AND(K47=1,ISNUMBER(G47)),G47,"")</f>
        <v/>
      </c>
      <c r="O47">
        <f>IF(AND(K47=1,ISNUMBER(H47)),H47,"")</f>
        <v/>
      </c>
      <c r="P47">
        <f>IF(AND(K47=1,ISNUMBER(I47)),I47,"")</f>
        <v/>
      </c>
      <c r="Q47">
        <f>IF(AND(K47=1,ISNUMBER(J47)),J47,"")</f>
        <v/>
      </c>
    </row>
    <row r="48">
      <c r="A48" s="7" t="n"/>
      <c r="B48" s="7" t="n"/>
      <c r="C48" s="7" t="n"/>
      <c r="D48" s="10" t="n"/>
      <c r="E48" s="10" t="n"/>
      <c r="F48" s="10" t="n"/>
      <c r="G48" s="10" t="n"/>
      <c r="H48" s="10" t="n"/>
      <c r="I48" s="10" t="n"/>
      <c r="J48" s="10" t="n"/>
      <c r="K48" s="5">
        <f>IF(AND(A48&lt;&gt;"",B48=Setup!$B$4),1,0)</f>
        <v/>
      </c>
      <c r="L48">
        <f>IF(AND(K48=1,ISNUMBER(E48)),E48,"")</f>
        <v/>
      </c>
      <c r="M48">
        <f>IF(AND(K48=1,ISNUMBER(F48)),F48,"")</f>
        <v/>
      </c>
      <c r="N48">
        <f>IF(AND(K48=1,ISNUMBER(G48)),G48,"")</f>
        <v/>
      </c>
      <c r="O48">
        <f>IF(AND(K48=1,ISNUMBER(H48)),H48,"")</f>
        <v/>
      </c>
      <c r="P48">
        <f>IF(AND(K48=1,ISNUMBER(I48)),I48,"")</f>
        <v/>
      </c>
      <c r="Q48">
        <f>IF(AND(K48=1,ISNUMBER(J48)),J48,"")</f>
        <v/>
      </c>
    </row>
    <row r="49">
      <c r="A49" s="7" t="n"/>
      <c r="B49" s="7" t="n"/>
      <c r="C49" s="7" t="n"/>
      <c r="D49" s="10" t="n"/>
      <c r="E49" s="10" t="n"/>
      <c r="F49" s="10" t="n"/>
      <c r="G49" s="10" t="n"/>
      <c r="H49" s="10" t="n"/>
      <c r="I49" s="10" t="n"/>
      <c r="J49" s="10" t="n"/>
      <c r="K49" s="5">
        <f>IF(AND(A49&lt;&gt;"",B49=Setup!$B$4),1,0)</f>
        <v/>
      </c>
      <c r="L49">
        <f>IF(AND(K49=1,ISNUMBER(E49)),E49,"")</f>
        <v/>
      </c>
      <c r="M49">
        <f>IF(AND(K49=1,ISNUMBER(F49)),F49,"")</f>
        <v/>
      </c>
      <c r="N49">
        <f>IF(AND(K49=1,ISNUMBER(G49)),G49,"")</f>
        <v/>
      </c>
      <c r="O49">
        <f>IF(AND(K49=1,ISNUMBER(H49)),H49,"")</f>
        <v/>
      </c>
      <c r="P49">
        <f>IF(AND(K49=1,ISNUMBER(I49)),I49,"")</f>
        <v/>
      </c>
      <c r="Q49">
        <f>IF(AND(K49=1,ISNUMBER(J49)),J49,"")</f>
        <v/>
      </c>
    </row>
    <row r="50">
      <c r="A50" s="7" t="n"/>
      <c r="B50" s="7" t="n"/>
      <c r="C50" s="7" t="n"/>
      <c r="D50" s="10" t="n"/>
      <c r="E50" s="10" t="n"/>
      <c r="F50" s="10" t="n"/>
      <c r="G50" s="10" t="n"/>
      <c r="H50" s="10" t="n"/>
      <c r="I50" s="10" t="n"/>
      <c r="J50" s="10" t="n"/>
      <c r="K50" s="5">
        <f>IF(AND(A50&lt;&gt;"",B50=Setup!$B$4),1,0)</f>
        <v/>
      </c>
      <c r="L50">
        <f>IF(AND(K50=1,ISNUMBER(E50)),E50,"")</f>
        <v/>
      </c>
      <c r="M50">
        <f>IF(AND(K50=1,ISNUMBER(F50)),F50,"")</f>
        <v/>
      </c>
      <c r="N50">
        <f>IF(AND(K50=1,ISNUMBER(G50)),G50,"")</f>
        <v/>
      </c>
      <c r="O50">
        <f>IF(AND(K50=1,ISNUMBER(H50)),H50,"")</f>
        <v/>
      </c>
      <c r="P50">
        <f>IF(AND(K50=1,ISNUMBER(I50)),I50,"")</f>
        <v/>
      </c>
      <c r="Q50">
        <f>IF(AND(K50=1,ISNUMBER(J50)),J50,"")</f>
        <v/>
      </c>
    </row>
    <row r="51">
      <c r="A51" s="7" t="n"/>
      <c r="B51" s="7" t="n"/>
      <c r="C51" s="7" t="n"/>
      <c r="D51" s="10" t="n"/>
      <c r="E51" s="10" t="n"/>
      <c r="F51" s="10" t="n"/>
      <c r="G51" s="10" t="n"/>
      <c r="H51" s="10" t="n"/>
      <c r="I51" s="10" t="n"/>
      <c r="J51" s="10" t="n"/>
      <c r="K51" s="5">
        <f>IF(AND(A51&lt;&gt;"",B51=Setup!$B$4),1,0)</f>
        <v/>
      </c>
      <c r="L51">
        <f>IF(AND(K51=1,ISNUMBER(E51)),E51,"")</f>
        <v/>
      </c>
      <c r="M51">
        <f>IF(AND(K51=1,ISNUMBER(F51)),F51,"")</f>
        <v/>
      </c>
      <c r="N51">
        <f>IF(AND(K51=1,ISNUMBER(G51)),G51,"")</f>
        <v/>
      </c>
      <c r="O51">
        <f>IF(AND(K51=1,ISNUMBER(H51)),H51,"")</f>
        <v/>
      </c>
      <c r="P51">
        <f>IF(AND(K51=1,ISNUMBER(I51)),I51,"")</f>
        <v/>
      </c>
      <c r="Q51">
        <f>IF(AND(K51=1,ISNUMBER(J51)),J51,"")</f>
        <v/>
      </c>
    </row>
    <row r="52">
      <c r="A52" s="7" t="n"/>
      <c r="B52" s="7" t="n"/>
      <c r="C52" s="7" t="n"/>
      <c r="D52" s="10" t="n"/>
      <c r="E52" s="10" t="n"/>
      <c r="F52" s="10" t="n"/>
      <c r="G52" s="10" t="n"/>
      <c r="H52" s="10" t="n"/>
      <c r="I52" s="10" t="n"/>
      <c r="J52" s="10" t="n"/>
      <c r="K52" s="5">
        <f>IF(AND(A52&lt;&gt;"",B52=Setup!$B$4),1,0)</f>
        <v/>
      </c>
      <c r="L52">
        <f>IF(AND(K52=1,ISNUMBER(E52)),E52,"")</f>
        <v/>
      </c>
      <c r="M52">
        <f>IF(AND(K52=1,ISNUMBER(F52)),F52,"")</f>
        <v/>
      </c>
      <c r="N52">
        <f>IF(AND(K52=1,ISNUMBER(G52)),G52,"")</f>
        <v/>
      </c>
      <c r="O52">
        <f>IF(AND(K52=1,ISNUMBER(H52)),H52,"")</f>
        <v/>
      </c>
      <c r="P52">
        <f>IF(AND(K52=1,ISNUMBER(I52)),I52,"")</f>
        <v/>
      </c>
      <c r="Q52">
        <f>IF(AND(K52=1,ISNUMBER(J52)),J52,"")</f>
        <v/>
      </c>
    </row>
    <row r="53">
      <c r="A53" s="7" t="n"/>
      <c r="B53" s="7" t="n"/>
      <c r="C53" s="7" t="n"/>
      <c r="D53" s="10" t="n"/>
      <c r="E53" s="10" t="n"/>
      <c r="F53" s="10" t="n"/>
      <c r="G53" s="10" t="n"/>
      <c r="H53" s="10" t="n"/>
      <c r="I53" s="10" t="n"/>
      <c r="J53" s="10" t="n"/>
      <c r="K53" s="5">
        <f>IF(AND(A53&lt;&gt;"",B53=Setup!$B$4),1,0)</f>
        <v/>
      </c>
      <c r="L53">
        <f>IF(AND(K53=1,ISNUMBER(E53)),E53,"")</f>
        <v/>
      </c>
      <c r="M53">
        <f>IF(AND(K53=1,ISNUMBER(F53)),F53,"")</f>
        <v/>
      </c>
      <c r="N53">
        <f>IF(AND(K53=1,ISNUMBER(G53)),G53,"")</f>
        <v/>
      </c>
      <c r="O53">
        <f>IF(AND(K53=1,ISNUMBER(H53)),H53,"")</f>
        <v/>
      </c>
      <c r="P53">
        <f>IF(AND(K53=1,ISNUMBER(I53)),I53,"")</f>
        <v/>
      </c>
      <c r="Q53">
        <f>IF(AND(K53=1,ISNUMBER(J53)),J53,"")</f>
        <v/>
      </c>
    </row>
    <row r="54">
      <c r="A54" s="7" t="n"/>
      <c r="B54" s="7" t="n"/>
      <c r="C54" s="7" t="n"/>
      <c r="D54" s="10" t="n"/>
      <c r="E54" s="10" t="n"/>
      <c r="F54" s="10" t="n"/>
      <c r="G54" s="10" t="n"/>
      <c r="H54" s="10" t="n"/>
      <c r="I54" s="10" t="n"/>
      <c r="J54" s="10" t="n"/>
      <c r="K54" s="5">
        <f>IF(AND(A54&lt;&gt;"",B54=Setup!$B$4),1,0)</f>
        <v/>
      </c>
      <c r="L54">
        <f>IF(AND(K54=1,ISNUMBER(E54)),E54,"")</f>
        <v/>
      </c>
      <c r="M54">
        <f>IF(AND(K54=1,ISNUMBER(F54)),F54,"")</f>
        <v/>
      </c>
      <c r="N54">
        <f>IF(AND(K54=1,ISNUMBER(G54)),G54,"")</f>
        <v/>
      </c>
      <c r="O54">
        <f>IF(AND(K54=1,ISNUMBER(H54)),H54,"")</f>
        <v/>
      </c>
      <c r="P54">
        <f>IF(AND(K54=1,ISNUMBER(I54)),I54,"")</f>
        <v/>
      </c>
      <c r="Q54">
        <f>IF(AND(K54=1,ISNUMBER(J54)),J54,"")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8" customWidth="1" min="6" max="6"/>
  </cols>
  <sheetData>
    <row r="1">
      <c r="A1" s="1" t="inlineStr">
        <is>
          <t>mine_priors for the chosen type</t>
        </is>
      </c>
    </row>
    <row r="2"/>
    <row r="3"/>
    <row r="4">
      <c r="A4" s="6" t="inlineStr">
        <is>
          <t>driver</t>
        </is>
      </c>
      <c r="B4" s="6" t="inlineStr">
        <is>
          <t>support (clients with value)</t>
        </is>
      </c>
      <c r="C4" s="6" t="inlineStr">
        <is>
          <t>mean</t>
        </is>
      </c>
      <c r="D4" s="6" t="inlineStr">
        <is>
          <t>population stdev</t>
        </is>
      </c>
      <c r="E4" s="6" t="inlineStr">
        <is>
          <t>CoV</t>
        </is>
      </c>
      <c r="F4" s="6" t="inlineStr">
        <is>
          <t>median (prior value)</t>
        </is>
      </c>
      <c r="G4" s="6" t="inlineStr">
        <is>
          <t>candidate?</t>
        </is>
      </c>
    </row>
    <row r="5">
      <c r="A5" t="inlineStr">
        <is>
          <t>working_capital.dso_days</t>
        </is>
      </c>
      <c r="B5" s="11">
        <f>SUMPRODUCT(Clients!$K$5:$K$54*ISNUMBER(Clients!$E$5:$E$54))</f>
        <v/>
      </c>
      <c r="C5" s="12">
        <f>IF(B5=0,"",AVERAGE(Clients!$L$5:$L$54))</f>
        <v/>
      </c>
      <c r="D5" s="12">
        <f>IF(B5=0,"",STDEVP(Clients!$L$5:$L$54))</f>
        <v/>
      </c>
      <c r="E5" s="12">
        <f>IF(B5=0,"",IF(D5=0,0,IF(C5=0,"inf",D5/ABS(C5))))</f>
        <v/>
      </c>
      <c r="F5" s="12">
        <f>IF(B5=0,"",MEDIAN(Clients!$L$5:$L$54))</f>
        <v/>
      </c>
      <c r="G5" s="5">
        <f>IF(B5=0,FALSE,AND(B5&gt;=Setup!$B$5,E5&lt;&gt;"inf",N(E5)&lt;=Setup!$B$6))</f>
        <v/>
      </c>
    </row>
    <row r="6">
      <c r="A6" t="inlineStr">
        <is>
          <t>working_capital.dio_days</t>
        </is>
      </c>
      <c r="B6" s="11">
        <f>SUMPRODUCT(Clients!$K$5:$K$54*ISNUMBER(Clients!$F$5:$F$54))</f>
        <v/>
      </c>
      <c r="C6" s="12">
        <f>IF(B6=0,"",AVERAGE(Clients!$M$5:$M$54))</f>
        <v/>
      </c>
      <c r="D6" s="12">
        <f>IF(B6=0,"",STDEVP(Clients!$M$5:$M$54))</f>
        <v/>
      </c>
      <c r="E6" s="12">
        <f>IF(B6=0,"",IF(D6=0,0,IF(C6=0,"inf",D6/ABS(C6))))</f>
        <v/>
      </c>
      <c r="F6" s="12">
        <f>IF(B6=0,"",MEDIAN(Clients!$M$5:$M$54))</f>
        <v/>
      </c>
      <c r="G6" s="5">
        <f>IF(B6=0,FALSE,AND(B6&gt;=Setup!$B$5,E6&lt;&gt;"inf",N(E6)&lt;=Setup!$B$6))</f>
        <v/>
      </c>
    </row>
    <row r="7">
      <c r="A7" t="inlineStr">
        <is>
          <t>working_capital.dpo_days</t>
        </is>
      </c>
      <c r="B7" s="11">
        <f>SUMPRODUCT(Clients!$K$5:$K$54*ISNUMBER(Clients!$G$5:$G$54))</f>
        <v/>
      </c>
      <c r="C7" s="12">
        <f>IF(B7=0,"",AVERAGE(Clients!$N$5:$N$54))</f>
        <v/>
      </c>
      <c r="D7" s="12">
        <f>IF(B7=0,"",STDEVP(Clients!$N$5:$N$54))</f>
        <v/>
      </c>
      <c r="E7" s="12">
        <f>IF(B7=0,"",IF(D7=0,0,IF(C7=0,"inf",D7/ABS(C7))))</f>
        <v/>
      </c>
      <c r="F7" s="12">
        <f>IF(B7=0,"",MEDIAN(Clients!$N$5:$N$54))</f>
        <v/>
      </c>
      <c r="G7" s="5">
        <f>IF(B7=0,FALSE,AND(B7&gt;=Setup!$B$5,E7&lt;&gt;"inf",N(E7)&lt;=Setup!$B$6))</f>
        <v/>
      </c>
    </row>
    <row r="8">
      <c r="A8" t="inlineStr">
        <is>
          <t>tax_rate</t>
        </is>
      </c>
      <c r="B8" s="11">
        <f>SUMPRODUCT(Clients!$K$5:$K$54*ISNUMBER(Clients!$H$5:$H$54))</f>
        <v/>
      </c>
      <c r="C8" s="12">
        <f>IF(B8=0,"",AVERAGE(Clients!$O$5:$O$54))</f>
        <v/>
      </c>
      <c r="D8" s="12">
        <f>IF(B8=0,"",STDEVP(Clients!$O$5:$O$54))</f>
        <v/>
      </c>
      <c r="E8" s="12">
        <f>IF(B8=0,"",IF(D8=0,0,IF(C8=0,"inf",D8/ABS(C8))))</f>
        <v/>
      </c>
      <c r="F8" s="12">
        <f>IF(B8=0,"",MEDIAN(Clients!$O$5:$O$54))</f>
        <v/>
      </c>
      <c r="G8" s="5">
        <f>IF(B8=0,FALSE,AND(B8&gt;=Setup!$B$5,E8&lt;&gt;"inf",N(E8)&lt;=Setup!$B$6))</f>
        <v/>
      </c>
    </row>
    <row r="9">
      <c r="A9" t="inlineStr">
        <is>
          <t>da_monthly</t>
        </is>
      </c>
      <c r="B9" s="11">
        <f>SUMPRODUCT(Clients!$K$5:$K$54*ISNUMBER(Clients!$I$5:$I$54))</f>
        <v/>
      </c>
      <c r="C9" s="12">
        <f>IF(B9=0,"",AVERAGE(Clients!$P$5:$P$54))</f>
        <v/>
      </c>
      <c r="D9" s="12">
        <f>IF(B9=0,"",STDEVP(Clients!$P$5:$P$54))</f>
        <v/>
      </c>
      <c r="E9" s="12">
        <f>IF(B9=0,"",IF(D9=0,0,IF(C9=0,"inf",D9/ABS(C9))))</f>
        <v/>
      </c>
      <c r="F9" s="12">
        <f>IF(B9=0,"",MEDIAN(Clients!$P$5:$P$54))</f>
        <v/>
      </c>
      <c r="G9" s="5">
        <f>IF(B9=0,FALSE,AND(B9&gt;=Setup!$B$5,E9&lt;&gt;"inf",N(E9)&lt;=Setup!$B$6))</f>
        <v/>
      </c>
    </row>
    <row r="10">
      <c r="A10" t="inlineStr">
        <is>
          <t>capex_monthly</t>
        </is>
      </c>
      <c r="B10" s="11">
        <f>SUMPRODUCT(Clients!$K$5:$K$54*ISNUMBER(Clients!$J$5:$J$54))</f>
        <v/>
      </c>
      <c r="C10" s="12">
        <f>IF(B10=0,"",AVERAGE(Clients!$Q$5:$Q$54))</f>
        <v/>
      </c>
      <c r="D10" s="12">
        <f>IF(B10=0,"",STDEVP(Clients!$Q$5:$Q$54))</f>
        <v/>
      </c>
      <c r="E10" s="12">
        <f>IF(B10=0,"",IF(D10=0,0,IF(C10=0,"inf",D10/ABS(C10))))</f>
        <v/>
      </c>
      <c r="F10" s="12">
        <f>IF(B10=0,"",MEDIAN(Clients!$Q$5:$Q$54))</f>
        <v/>
      </c>
      <c r="G10" s="5">
        <f>IF(B10=0,FALSE,AND(B10&gt;=Setup!$B$5,E10&lt;&gt;"inf",N(E10)&lt;=Setup!$B$6))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G6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8" customWidth="1" min="4" max="4"/>
    <col width="14" customWidth="1" min="5" max="5"/>
    <col width="16" customWidth="1" min="6" max="6"/>
    <col width="16" customWidth="1" min="7" max="7"/>
  </cols>
  <sheetData>
    <row r="1">
      <c r="A1" s="1" t="inlineStr">
        <is>
          <t>validate_prior (leave-one-out) for the driver on Setup!B7</t>
        </is>
      </c>
    </row>
    <row r="2"/>
    <row r="3">
      <c r="J3" t="inlineStr">
        <is>
          <t>helper matrix: values of usable clients excluding the fold row</t>
        </is>
      </c>
    </row>
    <row r="4">
      <c r="A4" s="6" t="inlineStr">
        <is>
          <t>fold client</t>
        </is>
      </c>
      <c r="B4" s="6" t="inlineStr">
        <is>
          <t>usable? (type, snapshot, value)</t>
        </is>
      </c>
      <c r="C4" s="6" t="inlineStr">
        <is>
          <t>own value</t>
        </is>
      </c>
      <c r="D4" s="6" t="inlineStr">
        <is>
          <t>peer median (prior for this fold)</t>
        </is>
      </c>
      <c r="E4" s="6" t="inlineStr">
        <is>
          <t>original fitness</t>
        </is>
      </c>
      <c r="F4" s="6" t="inlineStr">
        <is>
          <t>new fitness (enter after re-run)</t>
        </is>
      </c>
      <c r="G4" s="6" t="inlineStr">
        <is>
          <t>delta = new - original</t>
        </is>
      </c>
      <c r="J4" t="inlineStr">
        <is>
          <t>fold 1</t>
        </is>
      </c>
      <c r="K4" t="inlineStr">
        <is>
          <t>fold 2</t>
        </is>
      </c>
      <c r="L4" t="inlineStr">
        <is>
          <t>fold 3</t>
        </is>
      </c>
      <c r="M4" t="inlineStr">
        <is>
          <t>fold 4</t>
        </is>
      </c>
      <c r="N4" t="inlineStr">
        <is>
          <t>fold 5</t>
        </is>
      </c>
      <c r="O4" t="inlineStr">
        <is>
          <t>fold 6</t>
        </is>
      </c>
      <c r="P4" t="inlineStr">
        <is>
          <t>fold 7</t>
        </is>
      </c>
      <c r="Q4" t="inlineStr">
        <is>
          <t>fold 8</t>
        </is>
      </c>
      <c r="R4" t="inlineStr">
        <is>
          <t>fold 9</t>
        </is>
      </c>
      <c r="S4" t="inlineStr">
        <is>
          <t>fold 10</t>
        </is>
      </c>
      <c r="T4" t="inlineStr">
        <is>
          <t>fold 11</t>
        </is>
      </c>
      <c r="U4" t="inlineStr">
        <is>
          <t>fold 12</t>
        </is>
      </c>
      <c r="V4" t="inlineStr">
        <is>
          <t>fold 13</t>
        </is>
      </c>
      <c r="W4" t="inlineStr">
        <is>
          <t>fold 14</t>
        </is>
      </c>
      <c r="X4" t="inlineStr">
        <is>
          <t>fold 15</t>
        </is>
      </c>
      <c r="Y4" t="inlineStr">
        <is>
          <t>fold 16</t>
        </is>
      </c>
      <c r="Z4" t="inlineStr">
        <is>
          <t>fold 17</t>
        </is>
      </c>
      <c r="AA4" t="inlineStr">
        <is>
          <t>fold 18</t>
        </is>
      </c>
      <c r="AB4" t="inlineStr">
        <is>
          <t>fold 19</t>
        </is>
      </c>
      <c r="AC4" t="inlineStr">
        <is>
          <t>fold 20</t>
        </is>
      </c>
      <c r="AD4" t="inlineStr">
        <is>
          <t>fold 21</t>
        </is>
      </c>
      <c r="AE4" t="inlineStr">
        <is>
          <t>fold 22</t>
        </is>
      </c>
      <c r="AF4" t="inlineStr">
        <is>
          <t>fold 23</t>
        </is>
      </c>
      <c r="AG4" t="inlineStr">
        <is>
          <t>fold 24</t>
        </is>
      </c>
      <c r="AH4" t="inlineStr">
        <is>
          <t>fold 25</t>
        </is>
      </c>
      <c r="AI4" t="inlineStr">
        <is>
          <t>fold 26</t>
        </is>
      </c>
      <c r="AJ4" t="inlineStr">
        <is>
          <t>fold 27</t>
        </is>
      </c>
      <c r="AK4" t="inlineStr">
        <is>
          <t>fold 28</t>
        </is>
      </c>
      <c r="AL4" t="inlineStr">
        <is>
          <t>fold 29</t>
        </is>
      </c>
      <c r="AM4" t="inlineStr">
        <is>
          <t>fold 30</t>
        </is>
      </c>
      <c r="AN4" t="inlineStr">
        <is>
          <t>fold 31</t>
        </is>
      </c>
      <c r="AO4" t="inlineStr">
        <is>
          <t>fold 32</t>
        </is>
      </c>
      <c r="AP4" t="inlineStr">
        <is>
          <t>fold 33</t>
        </is>
      </c>
      <c r="AQ4" t="inlineStr">
        <is>
          <t>fold 34</t>
        </is>
      </c>
      <c r="AR4" t="inlineStr">
        <is>
          <t>fold 35</t>
        </is>
      </c>
      <c r="AS4" t="inlineStr">
        <is>
          <t>fold 36</t>
        </is>
      </c>
      <c r="AT4" t="inlineStr">
        <is>
          <t>fold 37</t>
        </is>
      </c>
      <c r="AU4" t="inlineStr">
        <is>
          <t>fold 38</t>
        </is>
      </c>
      <c r="AV4" t="inlineStr">
        <is>
          <t>fold 39</t>
        </is>
      </c>
      <c r="AW4" t="inlineStr">
        <is>
          <t>fold 40</t>
        </is>
      </c>
      <c r="AX4" t="inlineStr">
        <is>
          <t>fold 41</t>
        </is>
      </c>
      <c r="AY4" t="inlineStr">
        <is>
          <t>fold 42</t>
        </is>
      </c>
      <c r="AZ4" t="inlineStr">
        <is>
          <t>fold 43</t>
        </is>
      </c>
      <c r="BA4" t="inlineStr">
        <is>
          <t>fold 44</t>
        </is>
      </c>
      <c r="BB4" t="inlineStr">
        <is>
          <t>fold 45</t>
        </is>
      </c>
      <c r="BC4" t="inlineStr">
        <is>
          <t>fold 46</t>
        </is>
      </c>
      <c r="BD4" t="inlineStr">
        <is>
          <t>fold 47</t>
        </is>
      </c>
      <c r="BE4" t="inlineStr">
        <is>
          <t>fold 48</t>
        </is>
      </c>
      <c r="BF4" t="inlineStr">
        <is>
          <t>fold 49</t>
        </is>
      </c>
      <c r="BG4" t="inlineStr">
        <is>
          <t>fold 50</t>
        </is>
      </c>
    </row>
    <row r="5">
      <c r="A5" s="5">
        <f>IF(Clients!A5="","",Clients!A5)</f>
        <v/>
      </c>
      <c r="B5" s="5">
        <f>IF(A5="",0,IF(AND(Clients!K5=1,ISNUMBER(Clients!D5),ISNUMBER(INDEX(Clients!E5:J5,1,MATCH(Setup!$B$7,Clients!$E$4:$J$4,0)))),1,0))</f>
        <v/>
      </c>
      <c r="C5" s="12">
        <f>IF(B5=1,INDEX(Clients!E5:J5,1,MATCH(Setup!$B$7,Clients!$E$4:$J$4,0)),"")</f>
        <v/>
      </c>
      <c r="D5" s="13">
        <f>IF(B5&lt;&gt;1,"",IF(COUNT(J5:J54)=0,"",MEDIAN(J5:J54)))</f>
        <v/>
      </c>
      <c r="E5" s="12">
        <f>IF(B5=1,Clients!D5,"")</f>
        <v/>
      </c>
      <c r="F5" s="10" t="n"/>
      <c r="G5" s="12">
        <f>IF(AND(B5=1,ISNUMBER(F5)),F5-E5,"")</f>
        <v/>
      </c>
      <c r="J5">
        <f>IF(OR(0=0,$B$5&lt;&gt;1),"",$C$5)</f>
        <v/>
      </c>
      <c r="K5">
        <f>IF(OR(0=1,$B$5&lt;&gt;1),"",$C$5)</f>
        <v/>
      </c>
      <c r="L5">
        <f>IF(OR(0=2,$B$5&lt;&gt;1),"",$C$5)</f>
        <v/>
      </c>
      <c r="M5">
        <f>IF(OR(0=3,$B$5&lt;&gt;1),"",$C$5)</f>
        <v/>
      </c>
      <c r="N5">
        <f>IF(OR(0=4,$B$5&lt;&gt;1),"",$C$5)</f>
        <v/>
      </c>
      <c r="O5">
        <f>IF(OR(0=5,$B$5&lt;&gt;1),"",$C$5)</f>
        <v/>
      </c>
      <c r="P5">
        <f>IF(OR(0=6,$B$5&lt;&gt;1),"",$C$5)</f>
        <v/>
      </c>
      <c r="Q5">
        <f>IF(OR(0=7,$B$5&lt;&gt;1),"",$C$5)</f>
        <v/>
      </c>
      <c r="R5">
        <f>IF(OR(0=8,$B$5&lt;&gt;1),"",$C$5)</f>
        <v/>
      </c>
      <c r="S5">
        <f>IF(OR(0=9,$B$5&lt;&gt;1),"",$C$5)</f>
        <v/>
      </c>
      <c r="T5">
        <f>IF(OR(0=10,$B$5&lt;&gt;1),"",$C$5)</f>
        <v/>
      </c>
      <c r="U5">
        <f>IF(OR(0=11,$B$5&lt;&gt;1),"",$C$5)</f>
        <v/>
      </c>
      <c r="V5">
        <f>IF(OR(0=12,$B$5&lt;&gt;1),"",$C$5)</f>
        <v/>
      </c>
      <c r="W5">
        <f>IF(OR(0=13,$B$5&lt;&gt;1),"",$C$5)</f>
        <v/>
      </c>
      <c r="X5">
        <f>IF(OR(0=14,$B$5&lt;&gt;1),"",$C$5)</f>
        <v/>
      </c>
      <c r="Y5">
        <f>IF(OR(0=15,$B$5&lt;&gt;1),"",$C$5)</f>
        <v/>
      </c>
      <c r="Z5">
        <f>IF(OR(0=16,$B$5&lt;&gt;1),"",$C$5)</f>
        <v/>
      </c>
      <c r="AA5">
        <f>IF(OR(0=17,$B$5&lt;&gt;1),"",$C$5)</f>
        <v/>
      </c>
      <c r="AB5">
        <f>IF(OR(0=18,$B$5&lt;&gt;1),"",$C$5)</f>
        <v/>
      </c>
      <c r="AC5">
        <f>IF(OR(0=19,$B$5&lt;&gt;1),"",$C$5)</f>
        <v/>
      </c>
      <c r="AD5">
        <f>IF(OR(0=20,$B$5&lt;&gt;1),"",$C$5)</f>
        <v/>
      </c>
      <c r="AE5">
        <f>IF(OR(0=21,$B$5&lt;&gt;1),"",$C$5)</f>
        <v/>
      </c>
      <c r="AF5">
        <f>IF(OR(0=22,$B$5&lt;&gt;1),"",$C$5)</f>
        <v/>
      </c>
      <c r="AG5">
        <f>IF(OR(0=23,$B$5&lt;&gt;1),"",$C$5)</f>
        <v/>
      </c>
      <c r="AH5">
        <f>IF(OR(0=24,$B$5&lt;&gt;1),"",$C$5)</f>
        <v/>
      </c>
      <c r="AI5">
        <f>IF(OR(0=25,$B$5&lt;&gt;1),"",$C$5)</f>
        <v/>
      </c>
      <c r="AJ5">
        <f>IF(OR(0=26,$B$5&lt;&gt;1),"",$C$5)</f>
        <v/>
      </c>
      <c r="AK5">
        <f>IF(OR(0=27,$B$5&lt;&gt;1),"",$C$5)</f>
        <v/>
      </c>
      <c r="AL5">
        <f>IF(OR(0=28,$B$5&lt;&gt;1),"",$C$5)</f>
        <v/>
      </c>
      <c r="AM5">
        <f>IF(OR(0=29,$B$5&lt;&gt;1),"",$C$5)</f>
        <v/>
      </c>
      <c r="AN5">
        <f>IF(OR(0=30,$B$5&lt;&gt;1),"",$C$5)</f>
        <v/>
      </c>
      <c r="AO5">
        <f>IF(OR(0=31,$B$5&lt;&gt;1),"",$C$5)</f>
        <v/>
      </c>
      <c r="AP5">
        <f>IF(OR(0=32,$B$5&lt;&gt;1),"",$C$5)</f>
        <v/>
      </c>
      <c r="AQ5">
        <f>IF(OR(0=33,$B$5&lt;&gt;1),"",$C$5)</f>
        <v/>
      </c>
      <c r="AR5">
        <f>IF(OR(0=34,$B$5&lt;&gt;1),"",$C$5)</f>
        <v/>
      </c>
      <c r="AS5">
        <f>IF(OR(0=35,$B$5&lt;&gt;1),"",$C$5)</f>
        <v/>
      </c>
      <c r="AT5">
        <f>IF(OR(0=36,$B$5&lt;&gt;1),"",$C$5)</f>
        <v/>
      </c>
      <c r="AU5">
        <f>IF(OR(0=37,$B$5&lt;&gt;1),"",$C$5)</f>
        <v/>
      </c>
      <c r="AV5">
        <f>IF(OR(0=38,$B$5&lt;&gt;1),"",$C$5)</f>
        <v/>
      </c>
      <c r="AW5">
        <f>IF(OR(0=39,$B$5&lt;&gt;1),"",$C$5)</f>
        <v/>
      </c>
      <c r="AX5">
        <f>IF(OR(0=40,$B$5&lt;&gt;1),"",$C$5)</f>
        <v/>
      </c>
      <c r="AY5">
        <f>IF(OR(0=41,$B$5&lt;&gt;1),"",$C$5)</f>
        <v/>
      </c>
      <c r="AZ5">
        <f>IF(OR(0=42,$B$5&lt;&gt;1),"",$C$5)</f>
        <v/>
      </c>
      <c r="BA5">
        <f>IF(OR(0=43,$B$5&lt;&gt;1),"",$C$5)</f>
        <v/>
      </c>
      <c r="BB5">
        <f>IF(OR(0=44,$B$5&lt;&gt;1),"",$C$5)</f>
        <v/>
      </c>
      <c r="BC5">
        <f>IF(OR(0=45,$B$5&lt;&gt;1),"",$C$5)</f>
        <v/>
      </c>
      <c r="BD5">
        <f>IF(OR(0=46,$B$5&lt;&gt;1),"",$C$5)</f>
        <v/>
      </c>
      <c r="BE5">
        <f>IF(OR(0=47,$B$5&lt;&gt;1),"",$C$5)</f>
        <v/>
      </c>
      <c r="BF5">
        <f>IF(OR(0=48,$B$5&lt;&gt;1),"",$C$5)</f>
        <v/>
      </c>
      <c r="BG5">
        <f>IF(OR(0=49,$B$5&lt;&gt;1),"",$C$5)</f>
        <v/>
      </c>
    </row>
    <row r="6">
      <c r="A6" s="5">
        <f>IF(Clients!A6="","",Clients!A6)</f>
        <v/>
      </c>
      <c r="B6" s="5">
        <f>IF(A6="",0,IF(AND(Clients!K6=1,ISNUMBER(Clients!D6),ISNUMBER(INDEX(Clients!E6:J6,1,MATCH(Setup!$B$7,Clients!$E$4:$J$4,0)))),1,0))</f>
        <v/>
      </c>
      <c r="C6" s="12">
        <f>IF(B6=1,INDEX(Clients!E6:J6,1,MATCH(Setup!$B$7,Clients!$E$4:$J$4,0)),"")</f>
        <v/>
      </c>
      <c r="D6" s="13">
        <f>IF(B6&lt;&gt;1,"",IF(COUNT(K5:K54)=0,"",MEDIAN(K5:K54)))</f>
        <v/>
      </c>
      <c r="E6" s="12">
        <f>IF(B6=1,Clients!D6,"")</f>
        <v/>
      </c>
      <c r="F6" s="10" t="n"/>
      <c r="G6" s="12">
        <f>IF(AND(B6=1,ISNUMBER(F6)),F6-E6,"")</f>
        <v/>
      </c>
      <c r="J6">
        <f>IF(OR(1=0,$B$6&lt;&gt;1),"",$C$6)</f>
        <v/>
      </c>
      <c r="K6">
        <f>IF(OR(1=1,$B$6&lt;&gt;1),"",$C$6)</f>
        <v/>
      </c>
      <c r="L6">
        <f>IF(OR(1=2,$B$6&lt;&gt;1),"",$C$6)</f>
        <v/>
      </c>
      <c r="M6">
        <f>IF(OR(1=3,$B$6&lt;&gt;1),"",$C$6)</f>
        <v/>
      </c>
      <c r="N6">
        <f>IF(OR(1=4,$B$6&lt;&gt;1),"",$C$6)</f>
        <v/>
      </c>
      <c r="O6">
        <f>IF(OR(1=5,$B$6&lt;&gt;1),"",$C$6)</f>
        <v/>
      </c>
      <c r="P6">
        <f>IF(OR(1=6,$B$6&lt;&gt;1),"",$C$6)</f>
        <v/>
      </c>
      <c r="Q6">
        <f>IF(OR(1=7,$B$6&lt;&gt;1),"",$C$6)</f>
        <v/>
      </c>
      <c r="R6">
        <f>IF(OR(1=8,$B$6&lt;&gt;1),"",$C$6)</f>
        <v/>
      </c>
      <c r="S6">
        <f>IF(OR(1=9,$B$6&lt;&gt;1),"",$C$6)</f>
        <v/>
      </c>
      <c r="T6">
        <f>IF(OR(1=10,$B$6&lt;&gt;1),"",$C$6)</f>
        <v/>
      </c>
      <c r="U6">
        <f>IF(OR(1=11,$B$6&lt;&gt;1),"",$C$6)</f>
        <v/>
      </c>
      <c r="V6">
        <f>IF(OR(1=12,$B$6&lt;&gt;1),"",$C$6)</f>
        <v/>
      </c>
      <c r="W6">
        <f>IF(OR(1=13,$B$6&lt;&gt;1),"",$C$6)</f>
        <v/>
      </c>
      <c r="X6">
        <f>IF(OR(1=14,$B$6&lt;&gt;1),"",$C$6)</f>
        <v/>
      </c>
      <c r="Y6">
        <f>IF(OR(1=15,$B$6&lt;&gt;1),"",$C$6)</f>
        <v/>
      </c>
      <c r="Z6">
        <f>IF(OR(1=16,$B$6&lt;&gt;1),"",$C$6)</f>
        <v/>
      </c>
      <c r="AA6">
        <f>IF(OR(1=17,$B$6&lt;&gt;1),"",$C$6)</f>
        <v/>
      </c>
      <c r="AB6">
        <f>IF(OR(1=18,$B$6&lt;&gt;1),"",$C$6)</f>
        <v/>
      </c>
      <c r="AC6">
        <f>IF(OR(1=19,$B$6&lt;&gt;1),"",$C$6)</f>
        <v/>
      </c>
      <c r="AD6">
        <f>IF(OR(1=20,$B$6&lt;&gt;1),"",$C$6)</f>
        <v/>
      </c>
      <c r="AE6">
        <f>IF(OR(1=21,$B$6&lt;&gt;1),"",$C$6)</f>
        <v/>
      </c>
      <c r="AF6">
        <f>IF(OR(1=22,$B$6&lt;&gt;1),"",$C$6)</f>
        <v/>
      </c>
      <c r="AG6">
        <f>IF(OR(1=23,$B$6&lt;&gt;1),"",$C$6)</f>
        <v/>
      </c>
      <c r="AH6">
        <f>IF(OR(1=24,$B$6&lt;&gt;1),"",$C$6)</f>
        <v/>
      </c>
      <c r="AI6">
        <f>IF(OR(1=25,$B$6&lt;&gt;1),"",$C$6)</f>
        <v/>
      </c>
      <c r="AJ6">
        <f>IF(OR(1=26,$B$6&lt;&gt;1),"",$C$6)</f>
        <v/>
      </c>
      <c r="AK6">
        <f>IF(OR(1=27,$B$6&lt;&gt;1),"",$C$6)</f>
        <v/>
      </c>
      <c r="AL6">
        <f>IF(OR(1=28,$B$6&lt;&gt;1),"",$C$6)</f>
        <v/>
      </c>
      <c r="AM6">
        <f>IF(OR(1=29,$B$6&lt;&gt;1),"",$C$6)</f>
        <v/>
      </c>
      <c r="AN6">
        <f>IF(OR(1=30,$B$6&lt;&gt;1),"",$C$6)</f>
        <v/>
      </c>
      <c r="AO6">
        <f>IF(OR(1=31,$B$6&lt;&gt;1),"",$C$6)</f>
        <v/>
      </c>
      <c r="AP6">
        <f>IF(OR(1=32,$B$6&lt;&gt;1),"",$C$6)</f>
        <v/>
      </c>
      <c r="AQ6">
        <f>IF(OR(1=33,$B$6&lt;&gt;1),"",$C$6)</f>
        <v/>
      </c>
      <c r="AR6">
        <f>IF(OR(1=34,$B$6&lt;&gt;1),"",$C$6)</f>
        <v/>
      </c>
      <c r="AS6">
        <f>IF(OR(1=35,$B$6&lt;&gt;1),"",$C$6)</f>
        <v/>
      </c>
      <c r="AT6">
        <f>IF(OR(1=36,$B$6&lt;&gt;1),"",$C$6)</f>
        <v/>
      </c>
      <c r="AU6">
        <f>IF(OR(1=37,$B$6&lt;&gt;1),"",$C$6)</f>
        <v/>
      </c>
      <c r="AV6">
        <f>IF(OR(1=38,$B$6&lt;&gt;1),"",$C$6)</f>
        <v/>
      </c>
      <c r="AW6">
        <f>IF(OR(1=39,$B$6&lt;&gt;1),"",$C$6)</f>
        <v/>
      </c>
      <c r="AX6">
        <f>IF(OR(1=40,$B$6&lt;&gt;1),"",$C$6)</f>
        <v/>
      </c>
      <c r="AY6">
        <f>IF(OR(1=41,$B$6&lt;&gt;1),"",$C$6)</f>
        <v/>
      </c>
      <c r="AZ6">
        <f>IF(OR(1=42,$B$6&lt;&gt;1),"",$C$6)</f>
        <v/>
      </c>
      <c r="BA6">
        <f>IF(OR(1=43,$B$6&lt;&gt;1),"",$C$6)</f>
        <v/>
      </c>
      <c r="BB6">
        <f>IF(OR(1=44,$B$6&lt;&gt;1),"",$C$6)</f>
        <v/>
      </c>
      <c r="BC6">
        <f>IF(OR(1=45,$B$6&lt;&gt;1),"",$C$6)</f>
        <v/>
      </c>
      <c r="BD6">
        <f>IF(OR(1=46,$B$6&lt;&gt;1),"",$C$6)</f>
        <v/>
      </c>
      <c r="BE6">
        <f>IF(OR(1=47,$B$6&lt;&gt;1),"",$C$6)</f>
        <v/>
      </c>
      <c r="BF6">
        <f>IF(OR(1=48,$B$6&lt;&gt;1),"",$C$6)</f>
        <v/>
      </c>
      <c r="BG6">
        <f>IF(OR(1=49,$B$6&lt;&gt;1),"",$C$6)</f>
        <v/>
      </c>
    </row>
    <row r="7">
      <c r="A7" s="5">
        <f>IF(Clients!A7="","",Clients!A7)</f>
        <v/>
      </c>
      <c r="B7" s="5">
        <f>IF(A7="",0,IF(AND(Clients!K7=1,ISNUMBER(Clients!D7),ISNUMBER(INDEX(Clients!E7:J7,1,MATCH(Setup!$B$7,Clients!$E$4:$J$4,0)))),1,0))</f>
        <v/>
      </c>
      <c r="C7" s="12">
        <f>IF(B7=1,INDEX(Clients!E7:J7,1,MATCH(Setup!$B$7,Clients!$E$4:$J$4,0)),"")</f>
        <v/>
      </c>
      <c r="D7" s="13">
        <f>IF(B7&lt;&gt;1,"",IF(COUNT(L5:L54)=0,"",MEDIAN(L5:L54)))</f>
        <v/>
      </c>
      <c r="E7" s="12">
        <f>IF(B7=1,Clients!D7,"")</f>
        <v/>
      </c>
      <c r="F7" s="10" t="n"/>
      <c r="G7" s="12">
        <f>IF(AND(B7=1,ISNUMBER(F7)),F7-E7,"")</f>
        <v/>
      </c>
      <c r="J7">
        <f>IF(OR(2=0,$B$7&lt;&gt;1),"",$C$7)</f>
        <v/>
      </c>
      <c r="K7">
        <f>IF(OR(2=1,$B$7&lt;&gt;1),"",$C$7)</f>
        <v/>
      </c>
      <c r="L7">
        <f>IF(OR(2=2,$B$7&lt;&gt;1),"",$C$7)</f>
        <v/>
      </c>
      <c r="M7">
        <f>IF(OR(2=3,$B$7&lt;&gt;1),"",$C$7)</f>
        <v/>
      </c>
      <c r="N7">
        <f>IF(OR(2=4,$B$7&lt;&gt;1),"",$C$7)</f>
        <v/>
      </c>
      <c r="O7">
        <f>IF(OR(2=5,$B$7&lt;&gt;1),"",$C$7)</f>
        <v/>
      </c>
      <c r="P7">
        <f>IF(OR(2=6,$B$7&lt;&gt;1),"",$C$7)</f>
        <v/>
      </c>
      <c r="Q7">
        <f>IF(OR(2=7,$B$7&lt;&gt;1),"",$C$7)</f>
        <v/>
      </c>
      <c r="R7">
        <f>IF(OR(2=8,$B$7&lt;&gt;1),"",$C$7)</f>
        <v/>
      </c>
      <c r="S7">
        <f>IF(OR(2=9,$B$7&lt;&gt;1),"",$C$7)</f>
        <v/>
      </c>
      <c r="T7">
        <f>IF(OR(2=10,$B$7&lt;&gt;1),"",$C$7)</f>
        <v/>
      </c>
      <c r="U7">
        <f>IF(OR(2=11,$B$7&lt;&gt;1),"",$C$7)</f>
        <v/>
      </c>
      <c r="V7">
        <f>IF(OR(2=12,$B$7&lt;&gt;1),"",$C$7)</f>
        <v/>
      </c>
      <c r="W7">
        <f>IF(OR(2=13,$B$7&lt;&gt;1),"",$C$7)</f>
        <v/>
      </c>
      <c r="X7">
        <f>IF(OR(2=14,$B$7&lt;&gt;1),"",$C$7)</f>
        <v/>
      </c>
      <c r="Y7">
        <f>IF(OR(2=15,$B$7&lt;&gt;1),"",$C$7)</f>
        <v/>
      </c>
      <c r="Z7">
        <f>IF(OR(2=16,$B$7&lt;&gt;1),"",$C$7)</f>
        <v/>
      </c>
      <c r="AA7">
        <f>IF(OR(2=17,$B$7&lt;&gt;1),"",$C$7)</f>
        <v/>
      </c>
      <c r="AB7">
        <f>IF(OR(2=18,$B$7&lt;&gt;1),"",$C$7)</f>
        <v/>
      </c>
      <c r="AC7">
        <f>IF(OR(2=19,$B$7&lt;&gt;1),"",$C$7)</f>
        <v/>
      </c>
      <c r="AD7">
        <f>IF(OR(2=20,$B$7&lt;&gt;1),"",$C$7)</f>
        <v/>
      </c>
      <c r="AE7">
        <f>IF(OR(2=21,$B$7&lt;&gt;1),"",$C$7)</f>
        <v/>
      </c>
      <c r="AF7">
        <f>IF(OR(2=22,$B$7&lt;&gt;1),"",$C$7)</f>
        <v/>
      </c>
      <c r="AG7">
        <f>IF(OR(2=23,$B$7&lt;&gt;1),"",$C$7)</f>
        <v/>
      </c>
      <c r="AH7">
        <f>IF(OR(2=24,$B$7&lt;&gt;1),"",$C$7)</f>
        <v/>
      </c>
      <c r="AI7">
        <f>IF(OR(2=25,$B$7&lt;&gt;1),"",$C$7)</f>
        <v/>
      </c>
      <c r="AJ7">
        <f>IF(OR(2=26,$B$7&lt;&gt;1),"",$C$7)</f>
        <v/>
      </c>
      <c r="AK7">
        <f>IF(OR(2=27,$B$7&lt;&gt;1),"",$C$7)</f>
        <v/>
      </c>
      <c r="AL7">
        <f>IF(OR(2=28,$B$7&lt;&gt;1),"",$C$7)</f>
        <v/>
      </c>
      <c r="AM7">
        <f>IF(OR(2=29,$B$7&lt;&gt;1),"",$C$7)</f>
        <v/>
      </c>
      <c r="AN7">
        <f>IF(OR(2=30,$B$7&lt;&gt;1),"",$C$7)</f>
        <v/>
      </c>
      <c r="AO7">
        <f>IF(OR(2=31,$B$7&lt;&gt;1),"",$C$7)</f>
        <v/>
      </c>
      <c r="AP7">
        <f>IF(OR(2=32,$B$7&lt;&gt;1),"",$C$7)</f>
        <v/>
      </c>
      <c r="AQ7">
        <f>IF(OR(2=33,$B$7&lt;&gt;1),"",$C$7)</f>
        <v/>
      </c>
      <c r="AR7">
        <f>IF(OR(2=34,$B$7&lt;&gt;1),"",$C$7)</f>
        <v/>
      </c>
      <c r="AS7">
        <f>IF(OR(2=35,$B$7&lt;&gt;1),"",$C$7)</f>
        <v/>
      </c>
      <c r="AT7">
        <f>IF(OR(2=36,$B$7&lt;&gt;1),"",$C$7)</f>
        <v/>
      </c>
      <c r="AU7">
        <f>IF(OR(2=37,$B$7&lt;&gt;1),"",$C$7)</f>
        <v/>
      </c>
      <c r="AV7">
        <f>IF(OR(2=38,$B$7&lt;&gt;1),"",$C$7)</f>
        <v/>
      </c>
      <c r="AW7">
        <f>IF(OR(2=39,$B$7&lt;&gt;1),"",$C$7)</f>
        <v/>
      </c>
      <c r="AX7">
        <f>IF(OR(2=40,$B$7&lt;&gt;1),"",$C$7)</f>
        <v/>
      </c>
      <c r="AY7">
        <f>IF(OR(2=41,$B$7&lt;&gt;1),"",$C$7)</f>
        <v/>
      </c>
      <c r="AZ7">
        <f>IF(OR(2=42,$B$7&lt;&gt;1),"",$C$7)</f>
        <v/>
      </c>
      <c r="BA7">
        <f>IF(OR(2=43,$B$7&lt;&gt;1),"",$C$7)</f>
        <v/>
      </c>
      <c r="BB7">
        <f>IF(OR(2=44,$B$7&lt;&gt;1),"",$C$7)</f>
        <v/>
      </c>
      <c r="BC7">
        <f>IF(OR(2=45,$B$7&lt;&gt;1),"",$C$7)</f>
        <v/>
      </c>
      <c r="BD7">
        <f>IF(OR(2=46,$B$7&lt;&gt;1),"",$C$7)</f>
        <v/>
      </c>
      <c r="BE7">
        <f>IF(OR(2=47,$B$7&lt;&gt;1),"",$C$7)</f>
        <v/>
      </c>
      <c r="BF7">
        <f>IF(OR(2=48,$B$7&lt;&gt;1),"",$C$7)</f>
        <v/>
      </c>
      <c r="BG7">
        <f>IF(OR(2=49,$B$7&lt;&gt;1),"",$C$7)</f>
        <v/>
      </c>
    </row>
    <row r="8">
      <c r="A8" s="5">
        <f>IF(Clients!A8="","",Clients!A8)</f>
        <v/>
      </c>
      <c r="B8" s="5">
        <f>IF(A8="",0,IF(AND(Clients!K8=1,ISNUMBER(Clients!D8),ISNUMBER(INDEX(Clients!E8:J8,1,MATCH(Setup!$B$7,Clients!$E$4:$J$4,0)))),1,0))</f>
        <v/>
      </c>
      <c r="C8" s="12">
        <f>IF(B8=1,INDEX(Clients!E8:J8,1,MATCH(Setup!$B$7,Clients!$E$4:$J$4,0)),"")</f>
        <v/>
      </c>
      <c r="D8" s="13">
        <f>IF(B8&lt;&gt;1,"",IF(COUNT(M5:M54)=0,"",MEDIAN(M5:M54)))</f>
        <v/>
      </c>
      <c r="E8" s="12">
        <f>IF(B8=1,Clients!D8,"")</f>
        <v/>
      </c>
      <c r="F8" s="10" t="n"/>
      <c r="G8" s="12">
        <f>IF(AND(B8=1,ISNUMBER(F8)),F8-E8,"")</f>
        <v/>
      </c>
      <c r="J8">
        <f>IF(OR(3=0,$B$8&lt;&gt;1),"",$C$8)</f>
        <v/>
      </c>
      <c r="K8">
        <f>IF(OR(3=1,$B$8&lt;&gt;1),"",$C$8)</f>
        <v/>
      </c>
      <c r="L8">
        <f>IF(OR(3=2,$B$8&lt;&gt;1),"",$C$8)</f>
        <v/>
      </c>
      <c r="M8">
        <f>IF(OR(3=3,$B$8&lt;&gt;1),"",$C$8)</f>
        <v/>
      </c>
      <c r="N8">
        <f>IF(OR(3=4,$B$8&lt;&gt;1),"",$C$8)</f>
        <v/>
      </c>
      <c r="O8">
        <f>IF(OR(3=5,$B$8&lt;&gt;1),"",$C$8)</f>
        <v/>
      </c>
      <c r="P8">
        <f>IF(OR(3=6,$B$8&lt;&gt;1),"",$C$8)</f>
        <v/>
      </c>
      <c r="Q8">
        <f>IF(OR(3=7,$B$8&lt;&gt;1),"",$C$8)</f>
        <v/>
      </c>
      <c r="R8">
        <f>IF(OR(3=8,$B$8&lt;&gt;1),"",$C$8)</f>
        <v/>
      </c>
      <c r="S8">
        <f>IF(OR(3=9,$B$8&lt;&gt;1),"",$C$8)</f>
        <v/>
      </c>
      <c r="T8">
        <f>IF(OR(3=10,$B$8&lt;&gt;1),"",$C$8)</f>
        <v/>
      </c>
      <c r="U8">
        <f>IF(OR(3=11,$B$8&lt;&gt;1),"",$C$8)</f>
        <v/>
      </c>
      <c r="V8">
        <f>IF(OR(3=12,$B$8&lt;&gt;1),"",$C$8)</f>
        <v/>
      </c>
      <c r="W8">
        <f>IF(OR(3=13,$B$8&lt;&gt;1),"",$C$8)</f>
        <v/>
      </c>
      <c r="X8">
        <f>IF(OR(3=14,$B$8&lt;&gt;1),"",$C$8)</f>
        <v/>
      </c>
      <c r="Y8">
        <f>IF(OR(3=15,$B$8&lt;&gt;1),"",$C$8)</f>
        <v/>
      </c>
      <c r="Z8">
        <f>IF(OR(3=16,$B$8&lt;&gt;1),"",$C$8)</f>
        <v/>
      </c>
      <c r="AA8">
        <f>IF(OR(3=17,$B$8&lt;&gt;1),"",$C$8)</f>
        <v/>
      </c>
      <c r="AB8">
        <f>IF(OR(3=18,$B$8&lt;&gt;1),"",$C$8)</f>
        <v/>
      </c>
      <c r="AC8">
        <f>IF(OR(3=19,$B$8&lt;&gt;1),"",$C$8)</f>
        <v/>
      </c>
      <c r="AD8">
        <f>IF(OR(3=20,$B$8&lt;&gt;1),"",$C$8)</f>
        <v/>
      </c>
      <c r="AE8">
        <f>IF(OR(3=21,$B$8&lt;&gt;1),"",$C$8)</f>
        <v/>
      </c>
      <c r="AF8">
        <f>IF(OR(3=22,$B$8&lt;&gt;1),"",$C$8)</f>
        <v/>
      </c>
      <c r="AG8">
        <f>IF(OR(3=23,$B$8&lt;&gt;1),"",$C$8)</f>
        <v/>
      </c>
      <c r="AH8">
        <f>IF(OR(3=24,$B$8&lt;&gt;1),"",$C$8)</f>
        <v/>
      </c>
      <c r="AI8">
        <f>IF(OR(3=25,$B$8&lt;&gt;1),"",$C$8)</f>
        <v/>
      </c>
      <c r="AJ8">
        <f>IF(OR(3=26,$B$8&lt;&gt;1),"",$C$8)</f>
        <v/>
      </c>
      <c r="AK8">
        <f>IF(OR(3=27,$B$8&lt;&gt;1),"",$C$8)</f>
        <v/>
      </c>
      <c r="AL8">
        <f>IF(OR(3=28,$B$8&lt;&gt;1),"",$C$8)</f>
        <v/>
      </c>
      <c r="AM8">
        <f>IF(OR(3=29,$B$8&lt;&gt;1),"",$C$8)</f>
        <v/>
      </c>
      <c r="AN8">
        <f>IF(OR(3=30,$B$8&lt;&gt;1),"",$C$8)</f>
        <v/>
      </c>
      <c r="AO8">
        <f>IF(OR(3=31,$B$8&lt;&gt;1),"",$C$8)</f>
        <v/>
      </c>
      <c r="AP8">
        <f>IF(OR(3=32,$B$8&lt;&gt;1),"",$C$8)</f>
        <v/>
      </c>
      <c r="AQ8">
        <f>IF(OR(3=33,$B$8&lt;&gt;1),"",$C$8)</f>
        <v/>
      </c>
      <c r="AR8">
        <f>IF(OR(3=34,$B$8&lt;&gt;1),"",$C$8)</f>
        <v/>
      </c>
      <c r="AS8">
        <f>IF(OR(3=35,$B$8&lt;&gt;1),"",$C$8)</f>
        <v/>
      </c>
      <c r="AT8">
        <f>IF(OR(3=36,$B$8&lt;&gt;1),"",$C$8)</f>
        <v/>
      </c>
      <c r="AU8">
        <f>IF(OR(3=37,$B$8&lt;&gt;1),"",$C$8)</f>
        <v/>
      </c>
      <c r="AV8">
        <f>IF(OR(3=38,$B$8&lt;&gt;1),"",$C$8)</f>
        <v/>
      </c>
      <c r="AW8">
        <f>IF(OR(3=39,$B$8&lt;&gt;1),"",$C$8)</f>
        <v/>
      </c>
      <c r="AX8">
        <f>IF(OR(3=40,$B$8&lt;&gt;1),"",$C$8)</f>
        <v/>
      </c>
      <c r="AY8">
        <f>IF(OR(3=41,$B$8&lt;&gt;1),"",$C$8)</f>
        <v/>
      </c>
      <c r="AZ8">
        <f>IF(OR(3=42,$B$8&lt;&gt;1),"",$C$8)</f>
        <v/>
      </c>
      <c r="BA8">
        <f>IF(OR(3=43,$B$8&lt;&gt;1),"",$C$8)</f>
        <v/>
      </c>
      <c r="BB8">
        <f>IF(OR(3=44,$B$8&lt;&gt;1),"",$C$8)</f>
        <v/>
      </c>
      <c r="BC8">
        <f>IF(OR(3=45,$B$8&lt;&gt;1),"",$C$8)</f>
        <v/>
      </c>
      <c r="BD8">
        <f>IF(OR(3=46,$B$8&lt;&gt;1),"",$C$8)</f>
        <v/>
      </c>
      <c r="BE8">
        <f>IF(OR(3=47,$B$8&lt;&gt;1),"",$C$8)</f>
        <v/>
      </c>
      <c r="BF8">
        <f>IF(OR(3=48,$B$8&lt;&gt;1),"",$C$8)</f>
        <v/>
      </c>
      <c r="BG8">
        <f>IF(OR(3=49,$B$8&lt;&gt;1),"",$C$8)</f>
        <v/>
      </c>
    </row>
    <row r="9">
      <c r="A9" s="5">
        <f>IF(Clients!A9="","",Clients!A9)</f>
        <v/>
      </c>
      <c r="B9" s="5">
        <f>IF(A9="",0,IF(AND(Clients!K9=1,ISNUMBER(Clients!D9),ISNUMBER(INDEX(Clients!E9:J9,1,MATCH(Setup!$B$7,Clients!$E$4:$J$4,0)))),1,0))</f>
        <v/>
      </c>
      <c r="C9" s="12">
        <f>IF(B9=1,INDEX(Clients!E9:J9,1,MATCH(Setup!$B$7,Clients!$E$4:$J$4,0)),"")</f>
        <v/>
      </c>
      <c r="D9" s="13">
        <f>IF(B9&lt;&gt;1,"",IF(COUNT(N5:N54)=0,"",MEDIAN(N5:N54)))</f>
        <v/>
      </c>
      <c r="E9" s="12">
        <f>IF(B9=1,Clients!D9,"")</f>
        <v/>
      </c>
      <c r="F9" s="10" t="n"/>
      <c r="G9" s="12">
        <f>IF(AND(B9=1,ISNUMBER(F9)),F9-E9,"")</f>
        <v/>
      </c>
      <c r="J9">
        <f>IF(OR(4=0,$B$9&lt;&gt;1),"",$C$9)</f>
        <v/>
      </c>
      <c r="K9">
        <f>IF(OR(4=1,$B$9&lt;&gt;1),"",$C$9)</f>
        <v/>
      </c>
      <c r="L9">
        <f>IF(OR(4=2,$B$9&lt;&gt;1),"",$C$9)</f>
        <v/>
      </c>
      <c r="M9">
        <f>IF(OR(4=3,$B$9&lt;&gt;1),"",$C$9)</f>
        <v/>
      </c>
      <c r="N9">
        <f>IF(OR(4=4,$B$9&lt;&gt;1),"",$C$9)</f>
        <v/>
      </c>
      <c r="O9">
        <f>IF(OR(4=5,$B$9&lt;&gt;1),"",$C$9)</f>
        <v/>
      </c>
      <c r="P9">
        <f>IF(OR(4=6,$B$9&lt;&gt;1),"",$C$9)</f>
        <v/>
      </c>
      <c r="Q9">
        <f>IF(OR(4=7,$B$9&lt;&gt;1),"",$C$9)</f>
        <v/>
      </c>
      <c r="R9">
        <f>IF(OR(4=8,$B$9&lt;&gt;1),"",$C$9)</f>
        <v/>
      </c>
      <c r="S9">
        <f>IF(OR(4=9,$B$9&lt;&gt;1),"",$C$9)</f>
        <v/>
      </c>
      <c r="T9">
        <f>IF(OR(4=10,$B$9&lt;&gt;1),"",$C$9)</f>
        <v/>
      </c>
      <c r="U9">
        <f>IF(OR(4=11,$B$9&lt;&gt;1),"",$C$9)</f>
        <v/>
      </c>
      <c r="V9">
        <f>IF(OR(4=12,$B$9&lt;&gt;1),"",$C$9)</f>
        <v/>
      </c>
      <c r="W9">
        <f>IF(OR(4=13,$B$9&lt;&gt;1),"",$C$9)</f>
        <v/>
      </c>
      <c r="X9">
        <f>IF(OR(4=14,$B$9&lt;&gt;1),"",$C$9)</f>
        <v/>
      </c>
      <c r="Y9">
        <f>IF(OR(4=15,$B$9&lt;&gt;1),"",$C$9)</f>
        <v/>
      </c>
      <c r="Z9">
        <f>IF(OR(4=16,$B$9&lt;&gt;1),"",$C$9)</f>
        <v/>
      </c>
      <c r="AA9">
        <f>IF(OR(4=17,$B$9&lt;&gt;1),"",$C$9)</f>
        <v/>
      </c>
      <c r="AB9">
        <f>IF(OR(4=18,$B$9&lt;&gt;1),"",$C$9)</f>
        <v/>
      </c>
      <c r="AC9">
        <f>IF(OR(4=19,$B$9&lt;&gt;1),"",$C$9)</f>
        <v/>
      </c>
      <c r="AD9">
        <f>IF(OR(4=20,$B$9&lt;&gt;1),"",$C$9)</f>
        <v/>
      </c>
      <c r="AE9">
        <f>IF(OR(4=21,$B$9&lt;&gt;1),"",$C$9)</f>
        <v/>
      </c>
      <c r="AF9">
        <f>IF(OR(4=22,$B$9&lt;&gt;1),"",$C$9)</f>
        <v/>
      </c>
      <c r="AG9">
        <f>IF(OR(4=23,$B$9&lt;&gt;1),"",$C$9)</f>
        <v/>
      </c>
      <c r="AH9">
        <f>IF(OR(4=24,$B$9&lt;&gt;1),"",$C$9)</f>
        <v/>
      </c>
      <c r="AI9">
        <f>IF(OR(4=25,$B$9&lt;&gt;1),"",$C$9)</f>
        <v/>
      </c>
      <c r="AJ9">
        <f>IF(OR(4=26,$B$9&lt;&gt;1),"",$C$9)</f>
        <v/>
      </c>
      <c r="AK9">
        <f>IF(OR(4=27,$B$9&lt;&gt;1),"",$C$9)</f>
        <v/>
      </c>
      <c r="AL9">
        <f>IF(OR(4=28,$B$9&lt;&gt;1),"",$C$9)</f>
        <v/>
      </c>
      <c r="AM9">
        <f>IF(OR(4=29,$B$9&lt;&gt;1),"",$C$9)</f>
        <v/>
      </c>
      <c r="AN9">
        <f>IF(OR(4=30,$B$9&lt;&gt;1),"",$C$9)</f>
        <v/>
      </c>
      <c r="AO9">
        <f>IF(OR(4=31,$B$9&lt;&gt;1),"",$C$9)</f>
        <v/>
      </c>
      <c r="AP9">
        <f>IF(OR(4=32,$B$9&lt;&gt;1),"",$C$9)</f>
        <v/>
      </c>
      <c r="AQ9">
        <f>IF(OR(4=33,$B$9&lt;&gt;1),"",$C$9)</f>
        <v/>
      </c>
      <c r="AR9">
        <f>IF(OR(4=34,$B$9&lt;&gt;1),"",$C$9)</f>
        <v/>
      </c>
      <c r="AS9">
        <f>IF(OR(4=35,$B$9&lt;&gt;1),"",$C$9)</f>
        <v/>
      </c>
      <c r="AT9">
        <f>IF(OR(4=36,$B$9&lt;&gt;1),"",$C$9)</f>
        <v/>
      </c>
      <c r="AU9">
        <f>IF(OR(4=37,$B$9&lt;&gt;1),"",$C$9)</f>
        <v/>
      </c>
      <c r="AV9">
        <f>IF(OR(4=38,$B$9&lt;&gt;1),"",$C$9)</f>
        <v/>
      </c>
      <c r="AW9">
        <f>IF(OR(4=39,$B$9&lt;&gt;1),"",$C$9)</f>
        <v/>
      </c>
      <c r="AX9">
        <f>IF(OR(4=40,$B$9&lt;&gt;1),"",$C$9)</f>
        <v/>
      </c>
      <c r="AY9">
        <f>IF(OR(4=41,$B$9&lt;&gt;1),"",$C$9)</f>
        <v/>
      </c>
      <c r="AZ9">
        <f>IF(OR(4=42,$B$9&lt;&gt;1),"",$C$9)</f>
        <v/>
      </c>
      <c r="BA9">
        <f>IF(OR(4=43,$B$9&lt;&gt;1),"",$C$9)</f>
        <v/>
      </c>
      <c r="BB9">
        <f>IF(OR(4=44,$B$9&lt;&gt;1),"",$C$9)</f>
        <v/>
      </c>
      <c r="BC9">
        <f>IF(OR(4=45,$B$9&lt;&gt;1),"",$C$9)</f>
        <v/>
      </c>
      <c r="BD9">
        <f>IF(OR(4=46,$B$9&lt;&gt;1),"",$C$9)</f>
        <v/>
      </c>
      <c r="BE9">
        <f>IF(OR(4=47,$B$9&lt;&gt;1),"",$C$9)</f>
        <v/>
      </c>
      <c r="BF9">
        <f>IF(OR(4=48,$B$9&lt;&gt;1),"",$C$9)</f>
        <v/>
      </c>
      <c r="BG9">
        <f>IF(OR(4=49,$B$9&lt;&gt;1),"",$C$9)</f>
        <v/>
      </c>
    </row>
    <row r="10">
      <c r="A10" s="5">
        <f>IF(Clients!A10="","",Clients!A10)</f>
        <v/>
      </c>
      <c r="B10" s="5">
        <f>IF(A10="",0,IF(AND(Clients!K10=1,ISNUMBER(Clients!D10),ISNUMBER(INDEX(Clients!E10:J10,1,MATCH(Setup!$B$7,Clients!$E$4:$J$4,0)))),1,0))</f>
        <v/>
      </c>
      <c r="C10" s="12">
        <f>IF(B10=1,INDEX(Clients!E10:J10,1,MATCH(Setup!$B$7,Clients!$E$4:$J$4,0)),"")</f>
        <v/>
      </c>
      <c r="D10" s="13">
        <f>IF(B10&lt;&gt;1,"",IF(COUNT(O5:O54)=0,"",MEDIAN(O5:O54)))</f>
        <v/>
      </c>
      <c r="E10" s="12">
        <f>IF(B10=1,Clients!D10,"")</f>
        <v/>
      </c>
      <c r="F10" s="10" t="n"/>
      <c r="G10" s="12">
        <f>IF(AND(B10=1,ISNUMBER(F10)),F10-E10,"")</f>
        <v/>
      </c>
      <c r="J10">
        <f>IF(OR(5=0,$B$10&lt;&gt;1),"",$C$10)</f>
        <v/>
      </c>
      <c r="K10">
        <f>IF(OR(5=1,$B$10&lt;&gt;1),"",$C$10)</f>
        <v/>
      </c>
      <c r="L10">
        <f>IF(OR(5=2,$B$10&lt;&gt;1),"",$C$10)</f>
        <v/>
      </c>
      <c r="M10">
        <f>IF(OR(5=3,$B$10&lt;&gt;1),"",$C$10)</f>
        <v/>
      </c>
      <c r="N10">
        <f>IF(OR(5=4,$B$10&lt;&gt;1),"",$C$10)</f>
        <v/>
      </c>
      <c r="O10">
        <f>IF(OR(5=5,$B$10&lt;&gt;1),"",$C$10)</f>
        <v/>
      </c>
      <c r="P10">
        <f>IF(OR(5=6,$B$10&lt;&gt;1),"",$C$10)</f>
        <v/>
      </c>
      <c r="Q10">
        <f>IF(OR(5=7,$B$10&lt;&gt;1),"",$C$10)</f>
        <v/>
      </c>
      <c r="R10">
        <f>IF(OR(5=8,$B$10&lt;&gt;1),"",$C$10)</f>
        <v/>
      </c>
      <c r="S10">
        <f>IF(OR(5=9,$B$10&lt;&gt;1),"",$C$10)</f>
        <v/>
      </c>
      <c r="T10">
        <f>IF(OR(5=10,$B$10&lt;&gt;1),"",$C$10)</f>
        <v/>
      </c>
      <c r="U10">
        <f>IF(OR(5=11,$B$10&lt;&gt;1),"",$C$10)</f>
        <v/>
      </c>
      <c r="V10">
        <f>IF(OR(5=12,$B$10&lt;&gt;1),"",$C$10)</f>
        <v/>
      </c>
      <c r="W10">
        <f>IF(OR(5=13,$B$10&lt;&gt;1),"",$C$10)</f>
        <v/>
      </c>
      <c r="X10">
        <f>IF(OR(5=14,$B$10&lt;&gt;1),"",$C$10)</f>
        <v/>
      </c>
      <c r="Y10">
        <f>IF(OR(5=15,$B$10&lt;&gt;1),"",$C$10)</f>
        <v/>
      </c>
      <c r="Z10">
        <f>IF(OR(5=16,$B$10&lt;&gt;1),"",$C$10)</f>
        <v/>
      </c>
      <c r="AA10">
        <f>IF(OR(5=17,$B$10&lt;&gt;1),"",$C$10)</f>
        <v/>
      </c>
      <c r="AB10">
        <f>IF(OR(5=18,$B$10&lt;&gt;1),"",$C$10)</f>
        <v/>
      </c>
      <c r="AC10">
        <f>IF(OR(5=19,$B$10&lt;&gt;1),"",$C$10)</f>
        <v/>
      </c>
      <c r="AD10">
        <f>IF(OR(5=20,$B$10&lt;&gt;1),"",$C$10)</f>
        <v/>
      </c>
      <c r="AE10">
        <f>IF(OR(5=21,$B$10&lt;&gt;1),"",$C$10)</f>
        <v/>
      </c>
      <c r="AF10">
        <f>IF(OR(5=22,$B$10&lt;&gt;1),"",$C$10)</f>
        <v/>
      </c>
      <c r="AG10">
        <f>IF(OR(5=23,$B$10&lt;&gt;1),"",$C$10)</f>
        <v/>
      </c>
      <c r="AH10">
        <f>IF(OR(5=24,$B$10&lt;&gt;1),"",$C$10)</f>
        <v/>
      </c>
      <c r="AI10">
        <f>IF(OR(5=25,$B$10&lt;&gt;1),"",$C$10)</f>
        <v/>
      </c>
      <c r="AJ10">
        <f>IF(OR(5=26,$B$10&lt;&gt;1),"",$C$10)</f>
        <v/>
      </c>
      <c r="AK10">
        <f>IF(OR(5=27,$B$10&lt;&gt;1),"",$C$10)</f>
        <v/>
      </c>
      <c r="AL10">
        <f>IF(OR(5=28,$B$10&lt;&gt;1),"",$C$10)</f>
        <v/>
      </c>
      <c r="AM10">
        <f>IF(OR(5=29,$B$10&lt;&gt;1),"",$C$10)</f>
        <v/>
      </c>
      <c r="AN10">
        <f>IF(OR(5=30,$B$10&lt;&gt;1),"",$C$10)</f>
        <v/>
      </c>
      <c r="AO10">
        <f>IF(OR(5=31,$B$10&lt;&gt;1),"",$C$10)</f>
        <v/>
      </c>
      <c r="AP10">
        <f>IF(OR(5=32,$B$10&lt;&gt;1),"",$C$10)</f>
        <v/>
      </c>
      <c r="AQ10">
        <f>IF(OR(5=33,$B$10&lt;&gt;1),"",$C$10)</f>
        <v/>
      </c>
      <c r="AR10">
        <f>IF(OR(5=34,$B$10&lt;&gt;1),"",$C$10)</f>
        <v/>
      </c>
      <c r="AS10">
        <f>IF(OR(5=35,$B$10&lt;&gt;1),"",$C$10)</f>
        <v/>
      </c>
      <c r="AT10">
        <f>IF(OR(5=36,$B$10&lt;&gt;1),"",$C$10)</f>
        <v/>
      </c>
      <c r="AU10">
        <f>IF(OR(5=37,$B$10&lt;&gt;1),"",$C$10)</f>
        <v/>
      </c>
      <c r="AV10">
        <f>IF(OR(5=38,$B$10&lt;&gt;1),"",$C$10)</f>
        <v/>
      </c>
      <c r="AW10">
        <f>IF(OR(5=39,$B$10&lt;&gt;1),"",$C$10)</f>
        <v/>
      </c>
      <c r="AX10">
        <f>IF(OR(5=40,$B$10&lt;&gt;1),"",$C$10)</f>
        <v/>
      </c>
      <c r="AY10">
        <f>IF(OR(5=41,$B$10&lt;&gt;1),"",$C$10)</f>
        <v/>
      </c>
      <c r="AZ10">
        <f>IF(OR(5=42,$B$10&lt;&gt;1),"",$C$10)</f>
        <v/>
      </c>
      <c r="BA10">
        <f>IF(OR(5=43,$B$10&lt;&gt;1),"",$C$10)</f>
        <v/>
      </c>
      <c r="BB10">
        <f>IF(OR(5=44,$B$10&lt;&gt;1),"",$C$10)</f>
        <v/>
      </c>
      <c r="BC10">
        <f>IF(OR(5=45,$B$10&lt;&gt;1),"",$C$10)</f>
        <v/>
      </c>
      <c r="BD10">
        <f>IF(OR(5=46,$B$10&lt;&gt;1),"",$C$10)</f>
        <v/>
      </c>
      <c r="BE10">
        <f>IF(OR(5=47,$B$10&lt;&gt;1),"",$C$10)</f>
        <v/>
      </c>
      <c r="BF10">
        <f>IF(OR(5=48,$B$10&lt;&gt;1),"",$C$10)</f>
        <v/>
      </c>
      <c r="BG10">
        <f>IF(OR(5=49,$B$10&lt;&gt;1),"",$C$10)</f>
        <v/>
      </c>
    </row>
    <row r="11">
      <c r="A11" s="5">
        <f>IF(Clients!A11="","",Clients!A11)</f>
        <v/>
      </c>
      <c r="B11" s="5">
        <f>IF(A11="",0,IF(AND(Clients!K11=1,ISNUMBER(Clients!D11),ISNUMBER(INDEX(Clients!E11:J11,1,MATCH(Setup!$B$7,Clients!$E$4:$J$4,0)))),1,0))</f>
        <v/>
      </c>
      <c r="C11" s="12">
        <f>IF(B11=1,INDEX(Clients!E11:J11,1,MATCH(Setup!$B$7,Clients!$E$4:$J$4,0)),"")</f>
        <v/>
      </c>
      <c r="D11" s="13">
        <f>IF(B11&lt;&gt;1,"",IF(COUNT(P5:P54)=0,"",MEDIAN(P5:P54)))</f>
        <v/>
      </c>
      <c r="E11" s="12">
        <f>IF(B11=1,Clients!D11,"")</f>
        <v/>
      </c>
      <c r="F11" s="10" t="n"/>
      <c r="G11" s="12">
        <f>IF(AND(B11=1,ISNUMBER(F11)),F11-E11,"")</f>
        <v/>
      </c>
      <c r="J11">
        <f>IF(OR(6=0,$B$11&lt;&gt;1),"",$C$11)</f>
        <v/>
      </c>
      <c r="K11">
        <f>IF(OR(6=1,$B$11&lt;&gt;1),"",$C$11)</f>
        <v/>
      </c>
      <c r="L11">
        <f>IF(OR(6=2,$B$11&lt;&gt;1),"",$C$11)</f>
        <v/>
      </c>
      <c r="M11">
        <f>IF(OR(6=3,$B$11&lt;&gt;1),"",$C$11)</f>
        <v/>
      </c>
      <c r="N11">
        <f>IF(OR(6=4,$B$11&lt;&gt;1),"",$C$11)</f>
        <v/>
      </c>
      <c r="O11">
        <f>IF(OR(6=5,$B$11&lt;&gt;1),"",$C$11)</f>
        <v/>
      </c>
      <c r="P11">
        <f>IF(OR(6=6,$B$11&lt;&gt;1),"",$C$11)</f>
        <v/>
      </c>
      <c r="Q11">
        <f>IF(OR(6=7,$B$11&lt;&gt;1),"",$C$11)</f>
        <v/>
      </c>
      <c r="R11">
        <f>IF(OR(6=8,$B$11&lt;&gt;1),"",$C$11)</f>
        <v/>
      </c>
      <c r="S11">
        <f>IF(OR(6=9,$B$11&lt;&gt;1),"",$C$11)</f>
        <v/>
      </c>
      <c r="T11">
        <f>IF(OR(6=10,$B$11&lt;&gt;1),"",$C$11)</f>
        <v/>
      </c>
      <c r="U11">
        <f>IF(OR(6=11,$B$11&lt;&gt;1),"",$C$11)</f>
        <v/>
      </c>
      <c r="V11">
        <f>IF(OR(6=12,$B$11&lt;&gt;1),"",$C$11)</f>
        <v/>
      </c>
      <c r="W11">
        <f>IF(OR(6=13,$B$11&lt;&gt;1),"",$C$11)</f>
        <v/>
      </c>
      <c r="X11">
        <f>IF(OR(6=14,$B$11&lt;&gt;1),"",$C$11)</f>
        <v/>
      </c>
      <c r="Y11">
        <f>IF(OR(6=15,$B$11&lt;&gt;1),"",$C$11)</f>
        <v/>
      </c>
      <c r="Z11">
        <f>IF(OR(6=16,$B$11&lt;&gt;1),"",$C$11)</f>
        <v/>
      </c>
      <c r="AA11">
        <f>IF(OR(6=17,$B$11&lt;&gt;1),"",$C$11)</f>
        <v/>
      </c>
      <c r="AB11">
        <f>IF(OR(6=18,$B$11&lt;&gt;1),"",$C$11)</f>
        <v/>
      </c>
      <c r="AC11">
        <f>IF(OR(6=19,$B$11&lt;&gt;1),"",$C$11)</f>
        <v/>
      </c>
      <c r="AD11">
        <f>IF(OR(6=20,$B$11&lt;&gt;1),"",$C$11)</f>
        <v/>
      </c>
      <c r="AE11">
        <f>IF(OR(6=21,$B$11&lt;&gt;1),"",$C$11)</f>
        <v/>
      </c>
      <c r="AF11">
        <f>IF(OR(6=22,$B$11&lt;&gt;1),"",$C$11)</f>
        <v/>
      </c>
      <c r="AG11">
        <f>IF(OR(6=23,$B$11&lt;&gt;1),"",$C$11)</f>
        <v/>
      </c>
      <c r="AH11">
        <f>IF(OR(6=24,$B$11&lt;&gt;1),"",$C$11)</f>
        <v/>
      </c>
      <c r="AI11">
        <f>IF(OR(6=25,$B$11&lt;&gt;1),"",$C$11)</f>
        <v/>
      </c>
      <c r="AJ11">
        <f>IF(OR(6=26,$B$11&lt;&gt;1),"",$C$11)</f>
        <v/>
      </c>
      <c r="AK11">
        <f>IF(OR(6=27,$B$11&lt;&gt;1),"",$C$11)</f>
        <v/>
      </c>
      <c r="AL11">
        <f>IF(OR(6=28,$B$11&lt;&gt;1),"",$C$11)</f>
        <v/>
      </c>
      <c r="AM11">
        <f>IF(OR(6=29,$B$11&lt;&gt;1),"",$C$11)</f>
        <v/>
      </c>
      <c r="AN11">
        <f>IF(OR(6=30,$B$11&lt;&gt;1),"",$C$11)</f>
        <v/>
      </c>
      <c r="AO11">
        <f>IF(OR(6=31,$B$11&lt;&gt;1),"",$C$11)</f>
        <v/>
      </c>
      <c r="AP11">
        <f>IF(OR(6=32,$B$11&lt;&gt;1),"",$C$11)</f>
        <v/>
      </c>
      <c r="AQ11">
        <f>IF(OR(6=33,$B$11&lt;&gt;1),"",$C$11)</f>
        <v/>
      </c>
      <c r="AR11">
        <f>IF(OR(6=34,$B$11&lt;&gt;1),"",$C$11)</f>
        <v/>
      </c>
      <c r="AS11">
        <f>IF(OR(6=35,$B$11&lt;&gt;1),"",$C$11)</f>
        <v/>
      </c>
      <c r="AT11">
        <f>IF(OR(6=36,$B$11&lt;&gt;1),"",$C$11)</f>
        <v/>
      </c>
      <c r="AU11">
        <f>IF(OR(6=37,$B$11&lt;&gt;1),"",$C$11)</f>
        <v/>
      </c>
      <c r="AV11">
        <f>IF(OR(6=38,$B$11&lt;&gt;1),"",$C$11)</f>
        <v/>
      </c>
      <c r="AW11">
        <f>IF(OR(6=39,$B$11&lt;&gt;1),"",$C$11)</f>
        <v/>
      </c>
      <c r="AX11">
        <f>IF(OR(6=40,$B$11&lt;&gt;1),"",$C$11)</f>
        <v/>
      </c>
      <c r="AY11">
        <f>IF(OR(6=41,$B$11&lt;&gt;1),"",$C$11)</f>
        <v/>
      </c>
      <c r="AZ11">
        <f>IF(OR(6=42,$B$11&lt;&gt;1),"",$C$11)</f>
        <v/>
      </c>
      <c r="BA11">
        <f>IF(OR(6=43,$B$11&lt;&gt;1),"",$C$11)</f>
        <v/>
      </c>
      <c r="BB11">
        <f>IF(OR(6=44,$B$11&lt;&gt;1),"",$C$11)</f>
        <v/>
      </c>
      <c r="BC11">
        <f>IF(OR(6=45,$B$11&lt;&gt;1),"",$C$11)</f>
        <v/>
      </c>
      <c r="BD11">
        <f>IF(OR(6=46,$B$11&lt;&gt;1),"",$C$11)</f>
        <v/>
      </c>
      <c r="BE11">
        <f>IF(OR(6=47,$B$11&lt;&gt;1),"",$C$11)</f>
        <v/>
      </c>
      <c r="BF11">
        <f>IF(OR(6=48,$B$11&lt;&gt;1),"",$C$11)</f>
        <v/>
      </c>
      <c r="BG11">
        <f>IF(OR(6=49,$B$11&lt;&gt;1),"",$C$11)</f>
        <v/>
      </c>
    </row>
    <row r="12">
      <c r="A12" s="5">
        <f>IF(Clients!A12="","",Clients!A12)</f>
        <v/>
      </c>
      <c r="B12" s="5">
        <f>IF(A12="",0,IF(AND(Clients!K12=1,ISNUMBER(Clients!D12),ISNUMBER(INDEX(Clients!E12:J12,1,MATCH(Setup!$B$7,Clients!$E$4:$J$4,0)))),1,0))</f>
        <v/>
      </c>
      <c r="C12" s="12">
        <f>IF(B12=1,INDEX(Clients!E12:J12,1,MATCH(Setup!$B$7,Clients!$E$4:$J$4,0)),"")</f>
        <v/>
      </c>
      <c r="D12" s="13">
        <f>IF(B12&lt;&gt;1,"",IF(COUNT(Q5:Q54)=0,"",MEDIAN(Q5:Q54)))</f>
        <v/>
      </c>
      <c r="E12" s="12">
        <f>IF(B12=1,Clients!D12,"")</f>
        <v/>
      </c>
      <c r="F12" s="10" t="n"/>
      <c r="G12" s="12">
        <f>IF(AND(B12=1,ISNUMBER(F12)),F12-E12,"")</f>
        <v/>
      </c>
      <c r="J12">
        <f>IF(OR(7=0,$B$12&lt;&gt;1),"",$C$12)</f>
        <v/>
      </c>
      <c r="K12">
        <f>IF(OR(7=1,$B$12&lt;&gt;1),"",$C$12)</f>
        <v/>
      </c>
      <c r="L12">
        <f>IF(OR(7=2,$B$12&lt;&gt;1),"",$C$12)</f>
        <v/>
      </c>
      <c r="M12">
        <f>IF(OR(7=3,$B$12&lt;&gt;1),"",$C$12)</f>
        <v/>
      </c>
      <c r="N12">
        <f>IF(OR(7=4,$B$12&lt;&gt;1),"",$C$12)</f>
        <v/>
      </c>
      <c r="O12">
        <f>IF(OR(7=5,$B$12&lt;&gt;1),"",$C$12)</f>
        <v/>
      </c>
      <c r="P12">
        <f>IF(OR(7=6,$B$12&lt;&gt;1),"",$C$12)</f>
        <v/>
      </c>
      <c r="Q12">
        <f>IF(OR(7=7,$B$12&lt;&gt;1),"",$C$12)</f>
        <v/>
      </c>
      <c r="R12">
        <f>IF(OR(7=8,$B$12&lt;&gt;1),"",$C$12)</f>
        <v/>
      </c>
      <c r="S12">
        <f>IF(OR(7=9,$B$12&lt;&gt;1),"",$C$12)</f>
        <v/>
      </c>
      <c r="T12">
        <f>IF(OR(7=10,$B$12&lt;&gt;1),"",$C$12)</f>
        <v/>
      </c>
      <c r="U12">
        <f>IF(OR(7=11,$B$12&lt;&gt;1),"",$C$12)</f>
        <v/>
      </c>
      <c r="V12">
        <f>IF(OR(7=12,$B$12&lt;&gt;1),"",$C$12)</f>
        <v/>
      </c>
      <c r="W12">
        <f>IF(OR(7=13,$B$12&lt;&gt;1),"",$C$12)</f>
        <v/>
      </c>
      <c r="X12">
        <f>IF(OR(7=14,$B$12&lt;&gt;1),"",$C$12)</f>
        <v/>
      </c>
      <c r="Y12">
        <f>IF(OR(7=15,$B$12&lt;&gt;1),"",$C$12)</f>
        <v/>
      </c>
      <c r="Z12">
        <f>IF(OR(7=16,$B$12&lt;&gt;1),"",$C$12)</f>
        <v/>
      </c>
      <c r="AA12">
        <f>IF(OR(7=17,$B$12&lt;&gt;1),"",$C$12)</f>
        <v/>
      </c>
      <c r="AB12">
        <f>IF(OR(7=18,$B$12&lt;&gt;1),"",$C$12)</f>
        <v/>
      </c>
      <c r="AC12">
        <f>IF(OR(7=19,$B$12&lt;&gt;1),"",$C$12)</f>
        <v/>
      </c>
      <c r="AD12">
        <f>IF(OR(7=20,$B$12&lt;&gt;1),"",$C$12)</f>
        <v/>
      </c>
      <c r="AE12">
        <f>IF(OR(7=21,$B$12&lt;&gt;1),"",$C$12)</f>
        <v/>
      </c>
      <c r="AF12">
        <f>IF(OR(7=22,$B$12&lt;&gt;1),"",$C$12)</f>
        <v/>
      </c>
      <c r="AG12">
        <f>IF(OR(7=23,$B$12&lt;&gt;1),"",$C$12)</f>
        <v/>
      </c>
      <c r="AH12">
        <f>IF(OR(7=24,$B$12&lt;&gt;1),"",$C$12)</f>
        <v/>
      </c>
      <c r="AI12">
        <f>IF(OR(7=25,$B$12&lt;&gt;1),"",$C$12)</f>
        <v/>
      </c>
      <c r="AJ12">
        <f>IF(OR(7=26,$B$12&lt;&gt;1),"",$C$12)</f>
        <v/>
      </c>
      <c r="AK12">
        <f>IF(OR(7=27,$B$12&lt;&gt;1),"",$C$12)</f>
        <v/>
      </c>
      <c r="AL12">
        <f>IF(OR(7=28,$B$12&lt;&gt;1),"",$C$12)</f>
        <v/>
      </c>
      <c r="AM12">
        <f>IF(OR(7=29,$B$12&lt;&gt;1),"",$C$12)</f>
        <v/>
      </c>
      <c r="AN12">
        <f>IF(OR(7=30,$B$12&lt;&gt;1),"",$C$12)</f>
        <v/>
      </c>
      <c r="AO12">
        <f>IF(OR(7=31,$B$12&lt;&gt;1),"",$C$12)</f>
        <v/>
      </c>
      <c r="AP12">
        <f>IF(OR(7=32,$B$12&lt;&gt;1),"",$C$12)</f>
        <v/>
      </c>
      <c r="AQ12">
        <f>IF(OR(7=33,$B$12&lt;&gt;1),"",$C$12)</f>
        <v/>
      </c>
      <c r="AR12">
        <f>IF(OR(7=34,$B$12&lt;&gt;1),"",$C$12)</f>
        <v/>
      </c>
      <c r="AS12">
        <f>IF(OR(7=35,$B$12&lt;&gt;1),"",$C$12)</f>
        <v/>
      </c>
      <c r="AT12">
        <f>IF(OR(7=36,$B$12&lt;&gt;1),"",$C$12)</f>
        <v/>
      </c>
      <c r="AU12">
        <f>IF(OR(7=37,$B$12&lt;&gt;1),"",$C$12)</f>
        <v/>
      </c>
      <c r="AV12">
        <f>IF(OR(7=38,$B$12&lt;&gt;1),"",$C$12)</f>
        <v/>
      </c>
      <c r="AW12">
        <f>IF(OR(7=39,$B$12&lt;&gt;1),"",$C$12)</f>
        <v/>
      </c>
      <c r="AX12">
        <f>IF(OR(7=40,$B$12&lt;&gt;1),"",$C$12)</f>
        <v/>
      </c>
      <c r="AY12">
        <f>IF(OR(7=41,$B$12&lt;&gt;1),"",$C$12)</f>
        <v/>
      </c>
      <c r="AZ12">
        <f>IF(OR(7=42,$B$12&lt;&gt;1),"",$C$12)</f>
        <v/>
      </c>
      <c r="BA12">
        <f>IF(OR(7=43,$B$12&lt;&gt;1),"",$C$12)</f>
        <v/>
      </c>
      <c r="BB12">
        <f>IF(OR(7=44,$B$12&lt;&gt;1),"",$C$12)</f>
        <v/>
      </c>
      <c r="BC12">
        <f>IF(OR(7=45,$B$12&lt;&gt;1),"",$C$12)</f>
        <v/>
      </c>
      <c r="BD12">
        <f>IF(OR(7=46,$B$12&lt;&gt;1),"",$C$12)</f>
        <v/>
      </c>
      <c r="BE12">
        <f>IF(OR(7=47,$B$12&lt;&gt;1),"",$C$12)</f>
        <v/>
      </c>
      <c r="BF12">
        <f>IF(OR(7=48,$B$12&lt;&gt;1),"",$C$12)</f>
        <v/>
      </c>
      <c r="BG12">
        <f>IF(OR(7=49,$B$12&lt;&gt;1),"",$C$12)</f>
        <v/>
      </c>
    </row>
    <row r="13">
      <c r="A13" s="5">
        <f>IF(Clients!A13="","",Clients!A13)</f>
        <v/>
      </c>
      <c r="B13" s="5">
        <f>IF(A13="",0,IF(AND(Clients!K13=1,ISNUMBER(Clients!D13),ISNUMBER(INDEX(Clients!E13:J13,1,MATCH(Setup!$B$7,Clients!$E$4:$J$4,0)))),1,0))</f>
        <v/>
      </c>
      <c r="C13" s="12">
        <f>IF(B13=1,INDEX(Clients!E13:J13,1,MATCH(Setup!$B$7,Clients!$E$4:$J$4,0)),"")</f>
        <v/>
      </c>
      <c r="D13" s="13">
        <f>IF(B13&lt;&gt;1,"",IF(COUNT(R5:R54)=0,"",MEDIAN(R5:R54)))</f>
        <v/>
      </c>
      <c r="E13" s="12">
        <f>IF(B13=1,Clients!D13,"")</f>
        <v/>
      </c>
      <c r="F13" s="10" t="n"/>
      <c r="G13" s="12">
        <f>IF(AND(B13=1,ISNUMBER(F13)),F13-E13,"")</f>
        <v/>
      </c>
      <c r="J13">
        <f>IF(OR(8=0,$B$13&lt;&gt;1),"",$C$13)</f>
        <v/>
      </c>
      <c r="K13">
        <f>IF(OR(8=1,$B$13&lt;&gt;1),"",$C$13)</f>
        <v/>
      </c>
      <c r="L13">
        <f>IF(OR(8=2,$B$13&lt;&gt;1),"",$C$13)</f>
        <v/>
      </c>
      <c r="M13">
        <f>IF(OR(8=3,$B$13&lt;&gt;1),"",$C$13)</f>
        <v/>
      </c>
      <c r="N13">
        <f>IF(OR(8=4,$B$13&lt;&gt;1),"",$C$13)</f>
        <v/>
      </c>
      <c r="O13">
        <f>IF(OR(8=5,$B$13&lt;&gt;1),"",$C$13)</f>
        <v/>
      </c>
      <c r="P13">
        <f>IF(OR(8=6,$B$13&lt;&gt;1),"",$C$13)</f>
        <v/>
      </c>
      <c r="Q13">
        <f>IF(OR(8=7,$B$13&lt;&gt;1),"",$C$13)</f>
        <v/>
      </c>
      <c r="R13">
        <f>IF(OR(8=8,$B$13&lt;&gt;1),"",$C$13)</f>
        <v/>
      </c>
      <c r="S13">
        <f>IF(OR(8=9,$B$13&lt;&gt;1),"",$C$13)</f>
        <v/>
      </c>
      <c r="T13">
        <f>IF(OR(8=10,$B$13&lt;&gt;1),"",$C$13)</f>
        <v/>
      </c>
      <c r="U13">
        <f>IF(OR(8=11,$B$13&lt;&gt;1),"",$C$13)</f>
        <v/>
      </c>
      <c r="V13">
        <f>IF(OR(8=12,$B$13&lt;&gt;1),"",$C$13)</f>
        <v/>
      </c>
      <c r="W13">
        <f>IF(OR(8=13,$B$13&lt;&gt;1),"",$C$13)</f>
        <v/>
      </c>
      <c r="X13">
        <f>IF(OR(8=14,$B$13&lt;&gt;1),"",$C$13)</f>
        <v/>
      </c>
      <c r="Y13">
        <f>IF(OR(8=15,$B$13&lt;&gt;1),"",$C$13)</f>
        <v/>
      </c>
      <c r="Z13">
        <f>IF(OR(8=16,$B$13&lt;&gt;1),"",$C$13)</f>
        <v/>
      </c>
      <c r="AA13">
        <f>IF(OR(8=17,$B$13&lt;&gt;1),"",$C$13)</f>
        <v/>
      </c>
      <c r="AB13">
        <f>IF(OR(8=18,$B$13&lt;&gt;1),"",$C$13)</f>
        <v/>
      </c>
      <c r="AC13">
        <f>IF(OR(8=19,$B$13&lt;&gt;1),"",$C$13)</f>
        <v/>
      </c>
      <c r="AD13">
        <f>IF(OR(8=20,$B$13&lt;&gt;1),"",$C$13)</f>
        <v/>
      </c>
      <c r="AE13">
        <f>IF(OR(8=21,$B$13&lt;&gt;1),"",$C$13)</f>
        <v/>
      </c>
      <c r="AF13">
        <f>IF(OR(8=22,$B$13&lt;&gt;1),"",$C$13)</f>
        <v/>
      </c>
      <c r="AG13">
        <f>IF(OR(8=23,$B$13&lt;&gt;1),"",$C$13)</f>
        <v/>
      </c>
      <c r="AH13">
        <f>IF(OR(8=24,$B$13&lt;&gt;1),"",$C$13)</f>
        <v/>
      </c>
      <c r="AI13">
        <f>IF(OR(8=25,$B$13&lt;&gt;1),"",$C$13)</f>
        <v/>
      </c>
      <c r="AJ13">
        <f>IF(OR(8=26,$B$13&lt;&gt;1),"",$C$13)</f>
        <v/>
      </c>
      <c r="AK13">
        <f>IF(OR(8=27,$B$13&lt;&gt;1),"",$C$13)</f>
        <v/>
      </c>
      <c r="AL13">
        <f>IF(OR(8=28,$B$13&lt;&gt;1),"",$C$13)</f>
        <v/>
      </c>
      <c r="AM13">
        <f>IF(OR(8=29,$B$13&lt;&gt;1),"",$C$13)</f>
        <v/>
      </c>
      <c r="AN13">
        <f>IF(OR(8=30,$B$13&lt;&gt;1),"",$C$13)</f>
        <v/>
      </c>
      <c r="AO13">
        <f>IF(OR(8=31,$B$13&lt;&gt;1),"",$C$13)</f>
        <v/>
      </c>
      <c r="AP13">
        <f>IF(OR(8=32,$B$13&lt;&gt;1),"",$C$13)</f>
        <v/>
      </c>
      <c r="AQ13">
        <f>IF(OR(8=33,$B$13&lt;&gt;1),"",$C$13)</f>
        <v/>
      </c>
      <c r="AR13">
        <f>IF(OR(8=34,$B$13&lt;&gt;1),"",$C$13)</f>
        <v/>
      </c>
      <c r="AS13">
        <f>IF(OR(8=35,$B$13&lt;&gt;1),"",$C$13)</f>
        <v/>
      </c>
      <c r="AT13">
        <f>IF(OR(8=36,$B$13&lt;&gt;1),"",$C$13)</f>
        <v/>
      </c>
      <c r="AU13">
        <f>IF(OR(8=37,$B$13&lt;&gt;1),"",$C$13)</f>
        <v/>
      </c>
      <c r="AV13">
        <f>IF(OR(8=38,$B$13&lt;&gt;1),"",$C$13)</f>
        <v/>
      </c>
      <c r="AW13">
        <f>IF(OR(8=39,$B$13&lt;&gt;1),"",$C$13)</f>
        <v/>
      </c>
      <c r="AX13">
        <f>IF(OR(8=40,$B$13&lt;&gt;1),"",$C$13)</f>
        <v/>
      </c>
      <c r="AY13">
        <f>IF(OR(8=41,$B$13&lt;&gt;1),"",$C$13)</f>
        <v/>
      </c>
      <c r="AZ13">
        <f>IF(OR(8=42,$B$13&lt;&gt;1),"",$C$13)</f>
        <v/>
      </c>
      <c r="BA13">
        <f>IF(OR(8=43,$B$13&lt;&gt;1),"",$C$13)</f>
        <v/>
      </c>
      <c r="BB13">
        <f>IF(OR(8=44,$B$13&lt;&gt;1),"",$C$13)</f>
        <v/>
      </c>
      <c r="BC13">
        <f>IF(OR(8=45,$B$13&lt;&gt;1),"",$C$13)</f>
        <v/>
      </c>
      <c r="BD13">
        <f>IF(OR(8=46,$B$13&lt;&gt;1),"",$C$13)</f>
        <v/>
      </c>
      <c r="BE13">
        <f>IF(OR(8=47,$B$13&lt;&gt;1),"",$C$13)</f>
        <v/>
      </c>
      <c r="BF13">
        <f>IF(OR(8=48,$B$13&lt;&gt;1),"",$C$13)</f>
        <v/>
      </c>
      <c r="BG13">
        <f>IF(OR(8=49,$B$13&lt;&gt;1),"",$C$13)</f>
        <v/>
      </c>
    </row>
    <row r="14">
      <c r="A14" s="5">
        <f>IF(Clients!A14="","",Clients!A14)</f>
        <v/>
      </c>
      <c r="B14" s="5">
        <f>IF(A14="",0,IF(AND(Clients!K14=1,ISNUMBER(Clients!D14),ISNUMBER(INDEX(Clients!E14:J14,1,MATCH(Setup!$B$7,Clients!$E$4:$J$4,0)))),1,0))</f>
        <v/>
      </c>
      <c r="C14" s="12">
        <f>IF(B14=1,INDEX(Clients!E14:J14,1,MATCH(Setup!$B$7,Clients!$E$4:$J$4,0)),"")</f>
        <v/>
      </c>
      <c r="D14" s="13">
        <f>IF(B14&lt;&gt;1,"",IF(COUNT(S5:S54)=0,"",MEDIAN(S5:S54)))</f>
        <v/>
      </c>
      <c r="E14" s="12">
        <f>IF(B14=1,Clients!D14,"")</f>
        <v/>
      </c>
      <c r="F14" s="10" t="n"/>
      <c r="G14" s="12">
        <f>IF(AND(B14=1,ISNUMBER(F14)),F14-E14,"")</f>
        <v/>
      </c>
      <c r="J14">
        <f>IF(OR(9=0,$B$14&lt;&gt;1),"",$C$14)</f>
        <v/>
      </c>
      <c r="K14">
        <f>IF(OR(9=1,$B$14&lt;&gt;1),"",$C$14)</f>
        <v/>
      </c>
      <c r="L14">
        <f>IF(OR(9=2,$B$14&lt;&gt;1),"",$C$14)</f>
        <v/>
      </c>
      <c r="M14">
        <f>IF(OR(9=3,$B$14&lt;&gt;1),"",$C$14)</f>
        <v/>
      </c>
      <c r="N14">
        <f>IF(OR(9=4,$B$14&lt;&gt;1),"",$C$14)</f>
        <v/>
      </c>
      <c r="O14">
        <f>IF(OR(9=5,$B$14&lt;&gt;1),"",$C$14)</f>
        <v/>
      </c>
      <c r="P14">
        <f>IF(OR(9=6,$B$14&lt;&gt;1),"",$C$14)</f>
        <v/>
      </c>
      <c r="Q14">
        <f>IF(OR(9=7,$B$14&lt;&gt;1),"",$C$14)</f>
        <v/>
      </c>
      <c r="R14">
        <f>IF(OR(9=8,$B$14&lt;&gt;1),"",$C$14)</f>
        <v/>
      </c>
      <c r="S14">
        <f>IF(OR(9=9,$B$14&lt;&gt;1),"",$C$14)</f>
        <v/>
      </c>
      <c r="T14">
        <f>IF(OR(9=10,$B$14&lt;&gt;1),"",$C$14)</f>
        <v/>
      </c>
      <c r="U14">
        <f>IF(OR(9=11,$B$14&lt;&gt;1),"",$C$14)</f>
        <v/>
      </c>
      <c r="V14">
        <f>IF(OR(9=12,$B$14&lt;&gt;1),"",$C$14)</f>
        <v/>
      </c>
      <c r="W14">
        <f>IF(OR(9=13,$B$14&lt;&gt;1),"",$C$14)</f>
        <v/>
      </c>
      <c r="X14">
        <f>IF(OR(9=14,$B$14&lt;&gt;1),"",$C$14)</f>
        <v/>
      </c>
      <c r="Y14">
        <f>IF(OR(9=15,$B$14&lt;&gt;1),"",$C$14)</f>
        <v/>
      </c>
      <c r="Z14">
        <f>IF(OR(9=16,$B$14&lt;&gt;1),"",$C$14)</f>
        <v/>
      </c>
      <c r="AA14">
        <f>IF(OR(9=17,$B$14&lt;&gt;1),"",$C$14)</f>
        <v/>
      </c>
      <c r="AB14">
        <f>IF(OR(9=18,$B$14&lt;&gt;1),"",$C$14)</f>
        <v/>
      </c>
      <c r="AC14">
        <f>IF(OR(9=19,$B$14&lt;&gt;1),"",$C$14)</f>
        <v/>
      </c>
      <c r="AD14">
        <f>IF(OR(9=20,$B$14&lt;&gt;1),"",$C$14)</f>
        <v/>
      </c>
      <c r="AE14">
        <f>IF(OR(9=21,$B$14&lt;&gt;1),"",$C$14)</f>
        <v/>
      </c>
      <c r="AF14">
        <f>IF(OR(9=22,$B$14&lt;&gt;1),"",$C$14)</f>
        <v/>
      </c>
      <c r="AG14">
        <f>IF(OR(9=23,$B$14&lt;&gt;1),"",$C$14)</f>
        <v/>
      </c>
      <c r="AH14">
        <f>IF(OR(9=24,$B$14&lt;&gt;1),"",$C$14)</f>
        <v/>
      </c>
      <c r="AI14">
        <f>IF(OR(9=25,$B$14&lt;&gt;1),"",$C$14)</f>
        <v/>
      </c>
      <c r="AJ14">
        <f>IF(OR(9=26,$B$14&lt;&gt;1),"",$C$14)</f>
        <v/>
      </c>
      <c r="AK14">
        <f>IF(OR(9=27,$B$14&lt;&gt;1),"",$C$14)</f>
        <v/>
      </c>
      <c r="AL14">
        <f>IF(OR(9=28,$B$14&lt;&gt;1),"",$C$14)</f>
        <v/>
      </c>
      <c r="AM14">
        <f>IF(OR(9=29,$B$14&lt;&gt;1),"",$C$14)</f>
        <v/>
      </c>
      <c r="AN14">
        <f>IF(OR(9=30,$B$14&lt;&gt;1),"",$C$14)</f>
        <v/>
      </c>
      <c r="AO14">
        <f>IF(OR(9=31,$B$14&lt;&gt;1),"",$C$14)</f>
        <v/>
      </c>
      <c r="AP14">
        <f>IF(OR(9=32,$B$14&lt;&gt;1),"",$C$14)</f>
        <v/>
      </c>
      <c r="AQ14">
        <f>IF(OR(9=33,$B$14&lt;&gt;1),"",$C$14)</f>
        <v/>
      </c>
      <c r="AR14">
        <f>IF(OR(9=34,$B$14&lt;&gt;1),"",$C$14)</f>
        <v/>
      </c>
      <c r="AS14">
        <f>IF(OR(9=35,$B$14&lt;&gt;1),"",$C$14)</f>
        <v/>
      </c>
      <c r="AT14">
        <f>IF(OR(9=36,$B$14&lt;&gt;1),"",$C$14)</f>
        <v/>
      </c>
      <c r="AU14">
        <f>IF(OR(9=37,$B$14&lt;&gt;1),"",$C$14)</f>
        <v/>
      </c>
      <c r="AV14">
        <f>IF(OR(9=38,$B$14&lt;&gt;1),"",$C$14)</f>
        <v/>
      </c>
      <c r="AW14">
        <f>IF(OR(9=39,$B$14&lt;&gt;1),"",$C$14)</f>
        <v/>
      </c>
      <c r="AX14">
        <f>IF(OR(9=40,$B$14&lt;&gt;1),"",$C$14)</f>
        <v/>
      </c>
      <c r="AY14">
        <f>IF(OR(9=41,$B$14&lt;&gt;1),"",$C$14)</f>
        <v/>
      </c>
      <c r="AZ14">
        <f>IF(OR(9=42,$B$14&lt;&gt;1),"",$C$14)</f>
        <v/>
      </c>
      <c r="BA14">
        <f>IF(OR(9=43,$B$14&lt;&gt;1),"",$C$14)</f>
        <v/>
      </c>
      <c r="BB14">
        <f>IF(OR(9=44,$B$14&lt;&gt;1),"",$C$14)</f>
        <v/>
      </c>
      <c r="BC14">
        <f>IF(OR(9=45,$B$14&lt;&gt;1),"",$C$14)</f>
        <v/>
      </c>
      <c r="BD14">
        <f>IF(OR(9=46,$B$14&lt;&gt;1),"",$C$14)</f>
        <v/>
      </c>
      <c r="BE14">
        <f>IF(OR(9=47,$B$14&lt;&gt;1),"",$C$14)</f>
        <v/>
      </c>
      <c r="BF14">
        <f>IF(OR(9=48,$B$14&lt;&gt;1),"",$C$14)</f>
        <v/>
      </c>
      <c r="BG14">
        <f>IF(OR(9=49,$B$14&lt;&gt;1),"",$C$14)</f>
        <v/>
      </c>
    </row>
    <row r="15">
      <c r="A15" s="5">
        <f>IF(Clients!A15="","",Clients!A15)</f>
        <v/>
      </c>
      <c r="B15" s="5">
        <f>IF(A15="",0,IF(AND(Clients!K15=1,ISNUMBER(Clients!D15),ISNUMBER(INDEX(Clients!E15:J15,1,MATCH(Setup!$B$7,Clients!$E$4:$J$4,0)))),1,0))</f>
        <v/>
      </c>
      <c r="C15" s="12">
        <f>IF(B15=1,INDEX(Clients!E15:J15,1,MATCH(Setup!$B$7,Clients!$E$4:$J$4,0)),"")</f>
        <v/>
      </c>
      <c r="D15" s="13">
        <f>IF(B15&lt;&gt;1,"",IF(COUNT(T5:T54)=0,"",MEDIAN(T5:T54)))</f>
        <v/>
      </c>
      <c r="E15" s="12">
        <f>IF(B15=1,Clients!D15,"")</f>
        <v/>
      </c>
      <c r="F15" s="10" t="n"/>
      <c r="G15" s="12">
        <f>IF(AND(B15=1,ISNUMBER(F15)),F15-E15,"")</f>
        <v/>
      </c>
      <c r="J15">
        <f>IF(OR(10=0,$B$15&lt;&gt;1),"",$C$15)</f>
        <v/>
      </c>
      <c r="K15">
        <f>IF(OR(10=1,$B$15&lt;&gt;1),"",$C$15)</f>
        <v/>
      </c>
      <c r="L15">
        <f>IF(OR(10=2,$B$15&lt;&gt;1),"",$C$15)</f>
        <v/>
      </c>
      <c r="M15">
        <f>IF(OR(10=3,$B$15&lt;&gt;1),"",$C$15)</f>
        <v/>
      </c>
      <c r="N15">
        <f>IF(OR(10=4,$B$15&lt;&gt;1),"",$C$15)</f>
        <v/>
      </c>
      <c r="O15">
        <f>IF(OR(10=5,$B$15&lt;&gt;1),"",$C$15)</f>
        <v/>
      </c>
      <c r="P15">
        <f>IF(OR(10=6,$B$15&lt;&gt;1),"",$C$15)</f>
        <v/>
      </c>
      <c r="Q15">
        <f>IF(OR(10=7,$B$15&lt;&gt;1),"",$C$15)</f>
        <v/>
      </c>
      <c r="R15">
        <f>IF(OR(10=8,$B$15&lt;&gt;1),"",$C$15)</f>
        <v/>
      </c>
      <c r="S15">
        <f>IF(OR(10=9,$B$15&lt;&gt;1),"",$C$15)</f>
        <v/>
      </c>
      <c r="T15">
        <f>IF(OR(10=10,$B$15&lt;&gt;1),"",$C$15)</f>
        <v/>
      </c>
      <c r="U15">
        <f>IF(OR(10=11,$B$15&lt;&gt;1),"",$C$15)</f>
        <v/>
      </c>
      <c r="V15">
        <f>IF(OR(10=12,$B$15&lt;&gt;1),"",$C$15)</f>
        <v/>
      </c>
      <c r="W15">
        <f>IF(OR(10=13,$B$15&lt;&gt;1),"",$C$15)</f>
        <v/>
      </c>
      <c r="X15">
        <f>IF(OR(10=14,$B$15&lt;&gt;1),"",$C$15)</f>
        <v/>
      </c>
      <c r="Y15">
        <f>IF(OR(10=15,$B$15&lt;&gt;1),"",$C$15)</f>
        <v/>
      </c>
      <c r="Z15">
        <f>IF(OR(10=16,$B$15&lt;&gt;1),"",$C$15)</f>
        <v/>
      </c>
      <c r="AA15">
        <f>IF(OR(10=17,$B$15&lt;&gt;1),"",$C$15)</f>
        <v/>
      </c>
      <c r="AB15">
        <f>IF(OR(10=18,$B$15&lt;&gt;1),"",$C$15)</f>
        <v/>
      </c>
      <c r="AC15">
        <f>IF(OR(10=19,$B$15&lt;&gt;1),"",$C$15)</f>
        <v/>
      </c>
      <c r="AD15">
        <f>IF(OR(10=20,$B$15&lt;&gt;1),"",$C$15)</f>
        <v/>
      </c>
      <c r="AE15">
        <f>IF(OR(10=21,$B$15&lt;&gt;1),"",$C$15)</f>
        <v/>
      </c>
      <c r="AF15">
        <f>IF(OR(10=22,$B$15&lt;&gt;1),"",$C$15)</f>
        <v/>
      </c>
      <c r="AG15">
        <f>IF(OR(10=23,$B$15&lt;&gt;1),"",$C$15)</f>
        <v/>
      </c>
      <c r="AH15">
        <f>IF(OR(10=24,$B$15&lt;&gt;1),"",$C$15)</f>
        <v/>
      </c>
      <c r="AI15">
        <f>IF(OR(10=25,$B$15&lt;&gt;1),"",$C$15)</f>
        <v/>
      </c>
      <c r="AJ15">
        <f>IF(OR(10=26,$B$15&lt;&gt;1),"",$C$15)</f>
        <v/>
      </c>
      <c r="AK15">
        <f>IF(OR(10=27,$B$15&lt;&gt;1),"",$C$15)</f>
        <v/>
      </c>
      <c r="AL15">
        <f>IF(OR(10=28,$B$15&lt;&gt;1),"",$C$15)</f>
        <v/>
      </c>
      <c r="AM15">
        <f>IF(OR(10=29,$B$15&lt;&gt;1),"",$C$15)</f>
        <v/>
      </c>
      <c r="AN15">
        <f>IF(OR(10=30,$B$15&lt;&gt;1),"",$C$15)</f>
        <v/>
      </c>
      <c r="AO15">
        <f>IF(OR(10=31,$B$15&lt;&gt;1),"",$C$15)</f>
        <v/>
      </c>
      <c r="AP15">
        <f>IF(OR(10=32,$B$15&lt;&gt;1),"",$C$15)</f>
        <v/>
      </c>
      <c r="AQ15">
        <f>IF(OR(10=33,$B$15&lt;&gt;1),"",$C$15)</f>
        <v/>
      </c>
      <c r="AR15">
        <f>IF(OR(10=34,$B$15&lt;&gt;1),"",$C$15)</f>
        <v/>
      </c>
      <c r="AS15">
        <f>IF(OR(10=35,$B$15&lt;&gt;1),"",$C$15)</f>
        <v/>
      </c>
      <c r="AT15">
        <f>IF(OR(10=36,$B$15&lt;&gt;1),"",$C$15)</f>
        <v/>
      </c>
      <c r="AU15">
        <f>IF(OR(10=37,$B$15&lt;&gt;1),"",$C$15)</f>
        <v/>
      </c>
      <c r="AV15">
        <f>IF(OR(10=38,$B$15&lt;&gt;1),"",$C$15)</f>
        <v/>
      </c>
      <c r="AW15">
        <f>IF(OR(10=39,$B$15&lt;&gt;1),"",$C$15)</f>
        <v/>
      </c>
      <c r="AX15">
        <f>IF(OR(10=40,$B$15&lt;&gt;1),"",$C$15)</f>
        <v/>
      </c>
      <c r="AY15">
        <f>IF(OR(10=41,$B$15&lt;&gt;1),"",$C$15)</f>
        <v/>
      </c>
      <c r="AZ15">
        <f>IF(OR(10=42,$B$15&lt;&gt;1),"",$C$15)</f>
        <v/>
      </c>
      <c r="BA15">
        <f>IF(OR(10=43,$B$15&lt;&gt;1),"",$C$15)</f>
        <v/>
      </c>
      <c r="BB15">
        <f>IF(OR(10=44,$B$15&lt;&gt;1),"",$C$15)</f>
        <v/>
      </c>
      <c r="BC15">
        <f>IF(OR(10=45,$B$15&lt;&gt;1),"",$C$15)</f>
        <v/>
      </c>
      <c r="BD15">
        <f>IF(OR(10=46,$B$15&lt;&gt;1),"",$C$15)</f>
        <v/>
      </c>
      <c r="BE15">
        <f>IF(OR(10=47,$B$15&lt;&gt;1),"",$C$15)</f>
        <v/>
      </c>
      <c r="BF15">
        <f>IF(OR(10=48,$B$15&lt;&gt;1),"",$C$15)</f>
        <v/>
      </c>
      <c r="BG15">
        <f>IF(OR(10=49,$B$15&lt;&gt;1),"",$C$15)</f>
        <v/>
      </c>
    </row>
    <row r="16">
      <c r="A16" s="5">
        <f>IF(Clients!A16="","",Clients!A16)</f>
        <v/>
      </c>
      <c r="B16" s="5">
        <f>IF(A16="",0,IF(AND(Clients!K16=1,ISNUMBER(Clients!D16),ISNUMBER(INDEX(Clients!E16:J16,1,MATCH(Setup!$B$7,Clients!$E$4:$J$4,0)))),1,0))</f>
        <v/>
      </c>
      <c r="C16" s="12">
        <f>IF(B16=1,INDEX(Clients!E16:J16,1,MATCH(Setup!$B$7,Clients!$E$4:$J$4,0)),"")</f>
        <v/>
      </c>
      <c r="D16" s="13">
        <f>IF(B16&lt;&gt;1,"",IF(COUNT(U5:U54)=0,"",MEDIAN(U5:U54)))</f>
        <v/>
      </c>
      <c r="E16" s="12">
        <f>IF(B16=1,Clients!D16,"")</f>
        <v/>
      </c>
      <c r="F16" s="10" t="n"/>
      <c r="G16" s="12">
        <f>IF(AND(B16=1,ISNUMBER(F16)),F16-E16,"")</f>
        <v/>
      </c>
      <c r="J16">
        <f>IF(OR(11=0,$B$16&lt;&gt;1),"",$C$16)</f>
        <v/>
      </c>
      <c r="K16">
        <f>IF(OR(11=1,$B$16&lt;&gt;1),"",$C$16)</f>
        <v/>
      </c>
      <c r="L16">
        <f>IF(OR(11=2,$B$16&lt;&gt;1),"",$C$16)</f>
        <v/>
      </c>
      <c r="M16">
        <f>IF(OR(11=3,$B$16&lt;&gt;1),"",$C$16)</f>
        <v/>
      </c>
      <c r="N16">
        <f>IF(OR(11=4,$B$16&lt;&gt;1),"",$C$16)</f>
        <v/>
      </c>
      <c r="O16">
        <f>IF(OR(11=5,$B$16&lt;&gt;1),"",$C$16)</f>
        <v/>
      </c>
      <c r="P16">
        <f>IF(OR(11=6,$B$16&lt;&gt;1),"",$C$16)</f>
        <v/>
      </c>
      <c r="Q16">
        <f>IF(OR(11=7,$B$16&lt;&gt;1),"",$C$16)</f>
        <v/>
      </c>
      <c r="R16">
        <f>IF(OR(11=8,$B$16&lt;&gt;1),"",$C$16)</f>
        <v/>
      </c>
      <c r="S16">
        <f>IF(OR(11=9,$B$16&lt;&gt;1),"",$C$16)</f>
        <v/>
      </c>
      <c r="T16">
        <f>IF(OR(11=10,$B$16&lt;&gt;1),"",$C$16)</f>
        <v/>
      </c>
      <c r="U16">
        <f>IF(OR(11=11,$B$16&lt;&gt;1),"",$C$16)</f>
        <v/>
      </c>
      <c r="V16">
        <f>IF(OR(11=12,$B$16&lt;&gt;1),"",$C$16)</f>
        <v/>
      </c>
      <c r="W16">
        <f>IF(OR(11=13,$B$16&lt;&gt;1),"",$C$16)</f>
        <v/>
      </c>
      <c r="X16">
        <f>IF(OR(11=14,$B$16&lt;&gt;1),"",$C$16)</f>
        <v/>
      </c>
      <c r="Y16">
        <f>IF(OR(11=15,$B$16&lt;&gt;1),"",$C$16)</f>
        <v/>
      </c>
      <c r="Z16">
        <f>IF(OR(11=16,$B$16&lt;&gt;1),"",$C$16)</f>
        <v/>
      </c>
      <c r="AA16">
        <f>IF(OR(11=17,$B$16&lt;&gt;1),"",$C$16)</f>
        <v/>
      </c>
      <c r="AB16">
        <f>IF(OR(11=18,$B$16&lt;&gt;1),"",$C$16)</f>
        <v/>
      </c>
      <c r="AC16">
        <f>IF(OR(11=19,$B$16&lt;&gt;1),"",$C$16)</f>
        <v/>
      </c>
      <c r="AD16">
        <f>IF(OR(11=20,$B$16&lt;&gt;1),"",$C$16)</f>
        <v/>
      </c>
      <c r="AE16">
        <f>IF(OR(11=21,$B$16&lt;&gt;1),"",$C$16)</f>
        <v/>
      </c>
      <c r="AF16">
        <f>IF(OR(11=22,$B$16&lt;&gt;1),"",$C$16)</f>
        <v/>
      </c>
      <c r="AG16">
        <f>IF(OR(11=23,$B$16&lt;&gt;1),"",$C$16)</f>
        <v/>
      </c>
      <c r="AH16">
        <f>IF(OR(11=24,$B$16&lt;&gt;1),"",$C$16)</f>
        <v/>
      </c>
      <c r="AI16">
        <f>IF(OR(11=25,$B$16&lt;&gt;1),"",$C$16)</f>
        <v/>
      </c>
      <c r="AJ16">
        <f>IF(OR(11=26,$B$16&lt;&gt;1),"",$C$16)</f>
        <v/>
      </c>
      <c r="AK16">
        <f>IF(OR(11=27,$B$16&lt;&gt;1),"",$C$16)</f>
        <v/>
      </c>
      <c r="AL16">
        <f>IF(OR(11=28,$B$16&lt;&gt;1),"",$C$16)</f>
        <v/>
      </c>
      <c r="AM16">
        <f>IF(OR(11=29,$B$16&lt;&gt;1),"",$C$16)</f>
        <v/>
      </c>
      <c r="AN16">
        <f>IF(OR(11=30,$B$16&lt;&gt;1),"",$C$16)</f>
        <v/>
      </c>
      <c r="AO16">
        <f>IF(OR(11=31,$B$16&lt;&gt;1),"",$C$16)</f>
        <v/>
      </c>
      <c r="AP16">
        <f>IF(OR(11=32,$B$16&lt;&gt;1),"",$C$16)</f>
        <v/>
      </c>
      <c r="AQ16">
        <f>IF(OR(11=33,$B$16&lt;&gt;1),"",$C$16)</f>
        <v/>
      </c>
      <c r="AR16">
        <f>IF(OR(11=34,$B$16&lt;&gt;1),"",$C$16)</f>
        <v/>
      </c>
      <c r="AS16">
        <f>IF(OR(11=35,$B$16&lt;&gt;1),"",$C$16)</f>
        <v/>
      </c>
      <c r="AT16">
        <f>IF(OR(11=36,$B$16&lt;&gt;1),"",$C$16)</f>
        <v/>
      </c>
      <c r="AU16">
        <f>IF(OR(11=37,$B$16&lt;&gt;1),"",$C$16)</f>
        <v/>
      </c>
      <c r="AV16">
        <f>IF(OR(11=38,$B$16&lt;&gt;1),"",$C$16)</f>
        <v/>
      </c>
      <c r="AW16">
        <f>IF(OR(11=39,$B$16&lt;&gt;1),"",$C$16)</f>
        <v/>
      </c>
      <c r="AX16">
        <f>IF(OR(11=40,$B$16&lt;&gt;1),"",$C$16)</f>
        <v/>
      </c>
      <c r="AY16">
        <f>IF(OR(11=41,$B$16&lt;&gt;1),"",$C$16)</f>
        <v/>
      </c>
      <c r="AZ16">
        <f>IF(OR(11=42,$B$16&lt;&gt;1),"",$C$16)</f>
        <v/>
      </c>
      <c r="BA16">
        <f>IF(OR(11=43,$B$16&lt;&gt;1),"",$C$16)</f>
        <v/>
      </c>
      <c r="BB16">
        <f>IF(OR(11=44,$B$16&lt;&gt;1),"",$C$16)</f>
        <v/>
      </c>
      <c r="BC16">
        <f>IF(OR(11=45,$B$16&lt;&gt;1),"",$C$16)</f>
        <v/>
      </c>
      <c r="BD16">
        <f>IF(OR(11=46,$B$16&lt;&gt;1),"",$C$16)</f>
        <v/>
      </c>
      <c r="BE16">
        <f>IF(OR(11=47,$B$16&lt;&gt;1),"",$C$16)</f>
        <v/>
      </c>
      <c r="BF16">
        <f>IF(OR(11=48,$B$16&lt;&gt;1),"",$C$16)</f>
        <v/>
      </c>
      <c r="BG16">
        <f>IF(OR(11=49,$B$16&lt;&gt;1),"",$C$16)</f>
        <v/>
      </c>
    </row>
    <row r="17">
      <c r="A17" s="5">
        <f>IF(Clients!A17="","",Clients!A17)</f>
        <v/>
      </c>
      <c r="B17" s="5">
        <f>IF(A17="",0,IF(AND(Clients!K17=1,ISNUMBER(Clients!D17),ISNUMBER(INDEX(Clients!E17:J17,1,MATCH(Setup!$B$7,Clients!$E$4:$J$4,0)))),1,0))</f>
        <v/>
      </c>
      <c r="C17" s="12">
        <f>IF(B17=1,INDEX(Clients!E17:J17,1,MATCH(Setup!$B$7,Clients!$E$4:$J$4,0)),"")</f>
        <v/>
      </c>
      <c r="D17" s="13">
        <f>IF(B17&lt;&gt;1,"",IF(COUNT(V5:V54)=0,"",MEDIAN(V5:V54)))</f>
        <v/>
      </c>
      <c r="E17" s="12">
        <f>IF(B17=1,Clients!D17,"")</f>
        <v/>
      </c>
      <c r="F17" s="10" t="n"/>
      <c r="G17" s="12">
        <f>IF(AND(B17=1,ISNUMBER(F17)),F17-E17,"")</f>
        <v/>
      </c>
      <c r="J17">
        <f>IF(OR(12=0,$B$17&lt;&gt;1),"",$C$17)</f>
        <v/>
      </c>
      <c r="K17">
        <f>IF(OR(12=1,$B$17&lt;&gt;1),"",$C$17)</f>
        <v/>
      </c>
      <c r="L17">
        <f>IF(OR(12=2,$B$17&lt;&gt;1),"",$C$17)</f>
        <v/>
      </c>
      <c r="M17">
        <f>IF(OR(12=3,$B$17&lt;&gt;1),"",$C$17)</f>
        <v/>
      </c>
      <c r="N17">
        <f>IF(OR(12=4,$B$17&lt;&gt;1),"",$C$17)</f>
        <v/>
      </c>
      <c r="O17">
        <f>IF(OR(12=5,$B$17&lt;&gt;1),"",$C$17)</f>
        <v/>
      </c>
      <c r="P17">
        <f>IF(OR(12=6,$B$17&lt;&gt;1),"",$C$17)</f>
        <v/>
      </c>
      <c r="Q17">
        <f>IF(OR(12=7,$B$17&lt;&gt;1),"",$C$17)</f>
        <v/>
      </c>
      <c r="R17">
        <f>IF(OR(12=8,$B$17&lt;&gt;1),"",$C$17)</f>
        <v/>
      </c>
      <c r="S17">
        <f>IF(OR(12=9,$B$17&lt;&gt;1),"",$C$17)</f>
        <v/>
      </c>
      <c r="T17">
        <f>IF(OR(12=10,$B$17&lt;&gt;1),"",$C$17)</f>
        <v/>
      </c>
      <c r="U17">
        <f>IF(OR(12=11,$B$17&lt;&gt;1),"",$C$17)</f>
        <v/>
      </c>
      <c r="V17">
        <f>IF(OR(12=12,$B$17&lt;&gt;1),"",$C$17)</f>
        <v/>
      </c>
      <c r="W17">
        <f>IF(OR(12=13,$B$17&lt;&gt;1),"",$C$17)</f>
        <v/>
      </c>
      <c r="X17">
        <f>IF(OR(12=14,$B$17&lt;&gt;1),"",$C$17)</f>
        <v/>
      </c>
      <c r="Y17">
        <f>IF(OR(12=15,$B$17&lt;&gt;1),"",$C$17)</f>
        <v/>
      </c>
      <c r="Z17">
        <f>IF(OR(12=16,$B$17&lt;&gt;1),"",$C$17)</f>
        <v/>
      </c>
      <c r="AA17">
        <f>IF(OR(12=17,$B$17&lt;&gt;1),"",$C$17)</f>
        <v/>
      </c>
      <c r="AB17">
        <f>IF(OR(12=18,$B$17&lt;&gt;1),"",$C$17)</f>
        <v/>
      </c>
      <c r="AC17">
        <f>IF(OR(12=19,$B$17&lt;&gt;1),"",$C$17)</f>
        <v/>
      </c>
      <c r="AD17">
        <f>IF(OR(12=20,$B$17&lt;&gt;1),"",$C$17)</f>
        <v/>
      </c>
      <c r="AE17">
        <f>IF(OR(12=21,$B$17&lt;&gt;1),"",$C$17)</f>
        <v/>
      </c>
      <c r="AF17">
        <f>IF(OR(12=22,$B$17&lt;&gt;1),"",$C$17)</f>
        <v/>
      </c>
      <c r="AG17">
        <f>IF(OR(12=23,$B$17&lt;&gt;1),"",$C$17)</f>
        <v/>
      </c>
      <c r="AH17">
        <f>IF(OR(12=24,$B$17&lt;&gt;1),"",$C$17)</f>
        <v/>
      </c>
      <c r="AI17">
        <f>IF(OR(12=25,$B$17&lt;&gt;1),"",$C$17)</f>
        <v/>
      </c>
      <c r="AJ17">
        <f>IF(OR(12=26,$B$17&lt;&gt;1),"",$C$17)</f>
        <v/>
      </c>
      <c r="AK17">
        <f>IF(OR(12=27,$B$17&lt;&gt;1),"",$C$17)</f>
        <v/>
      </c>
      <c r="AL17">
        <f>IF(OR(12=28,$B$17&lt;&gt;1),"",$C$17)</f>
        <v/>
      </c>
      <c r="AM17">
        <f>IF(OR(12=29,$B$17&lt;&gt;1),"",$C$17)</f>
        <v/>
      </c>
      <c r="AN17">
        <f>IF(OR(12=30,$B$17&lt;&gt;1),"",$C$17)</f>
        <v/>
      </c>
      <c r="AO17">
        <f>IF(OR(12=31,$B$17&lt;&gt;1),"",$C$17)</f>
        <v/>
      </c>
      <c r="AP17">
        <f>IF(OR(12=32,$B$17&lt;&gt;1),"",$C$17)</f>
        <v/>
      </c>
      <c r="AQ17">
        <f>IF(OR(12=33,$B$17&lt;&gt;1),"",$C$17)</f>
        <v/>
      </c>
      <c r="AR17">
        <f>IF(OR(12=34,$B$17&lt;&gt;1),"",$C$17)</f>
        <v/>
      </c>
      <c r="AS17">
        <f>IF(OR(12=35,$B$17&lt;&gt;1),"",$C$17)</f>
        <v/>
      </c>
      <c r="AT17">
        <f>IF(OR(12=36,$B$17&lt;&gt;1),"",$C$17)</f>
        <v/>
      </c>
      <c r="AU17">
        <f>IF(OR(12=37,$B$17&lt;&gt;1),"",$C$17)</f>
        <v/>
      </c>
      <c r="AV17">
        <f>IF(OR(12=38,$B$17&lt;&gt;1),"",$C$17)</f>
        <v/>
      </c>
      <c r="AW17">
        <f>IF(OR(12=39,$B$17&lt;&gt;1),"",$C$17)</f>
        <v/>
      </c>
      <c r="AX17">
        <f>IF(OR(12=40,$B$17&lt;&gt;1),"",$C$17)</f>
        <v/>
      </c>
      <c r="AY17">
        <f>IF(OR(12=41,$B$17&lt;&gt;1),"",$C$17)</f>
        <v/>
      </c>
      <c r="AZ17">
        <f>IF(OR(12=42,$B$17&lt;&gt;1),"",$C$17)</f>
        <v/>
      </c>
      <c r="BA17">
        <f>IF(OR(12=43,$B$17&lt;&gt;1),"",$C$17)</f>
        <v/>
      </c>
      <c r="BB17">
        <f>IF(OR(12=44,$B$17&lt;&gt;1),"",$C$17)</f>
        <v/>
      </c>
      <c r="BC17">
        <f>IF(OR(12=45,$B$17&lt;&gt;1),"",$C$17)</f>
        <v/>
      </c>
      <c r="BD17">
        <f>IF(OR(12=46,$B$17&lt;&gt;1),"",$C$17)</f>
        <v/>
      </c>
      <c r="BE17">
        <f>IF(OR(12=47,$B$17&lt;&gt;1),"",$C$17)</f>
        <v/>
      </c>
      <c r="BF17">
        <f>IF(OR(12=48,$B$17&lt;&gt;1),"",$C$17)</f>
        <v/>
      </c>
      <c r="BG17">
        <f>IF(OR(12=49,$B$17&lt;&gt;1),"",$C$17)</f>
        <v/>
      </c>
    </row>
    <row r="18">
      <c r="A18" s="5">
        <f>IF(Clients!A18="","",Clients!A18)</f>
        <v/>
      </c>
      <c r="B18" s="5">
        <f>IF(A18="",0,IF(AND(Clients!K18=1,ISNUMBER(Clients!D18),ISNUMBER(INDEX(Clients!E18:J18,1,MATCH(Setup!$B$7,Clients!$E$4:$J$4,0)))),1,0))</f>
        <v/>
      </c>
      <c r="C18" s="12">
        <f>IF(B18=1,INDEX(Clients!E18:J18,1,MATCH(Setup!$B$7,Clients!$E$4:$J$4,0)),"")</f>
        <v/>
      </c>
      <c r="D18" s="13">
        <f>IF(B18&lt;&gt;1,"",IF(COUNT(W5:W54)=0,"",MEDIAN(W5:W54)))</f>
        <v/>
      </c>
      <c r="E18" s="12">
        <f>IF(B18=1,Clients!D18,"")</f>
        <v/>
      </c>
      <c r="F18" s="10" t="n"/>
      <c r="G18" s="12">
        <f>IF(AND(B18=1,ISNUMBER(F18)),F18-E18,"")</f>
        <v/>
      </c>
      <c r="J18">
        <f>IF(OR(13=0,$B$18&lt;&gt;1),"",$C$18)</f>
        <v/>
      </c>
      <c r="K18">
        <f>IF(OR(13=1,$B$18&lt;&gt;1),"",$C$18)</f>
        <v/>
      </c>
      <c r="L18">
        <f>IF(OR(13=2,$B$18&lt;&gt;1),"",$C$18)</f>
        <v/>
      </c>
      <c r="M18">
        <f>IF(OR(13=3,$B$18&lt;&gt;1),"",$C$18)</f>
        <v/>
      </c>
      <c r="N18">
        <f>IF(OR(13=4,$B$18&lt;&gt;1),"",$C$18)</f>
        <v/>
      </c>
      <c r="O18">
        <f>IF(OR(13=5,$B$18&lt;&gt;1),"",$C$18)</f>
        <v/>
      </c>
      <c r="P18">
        <f>IF(OR(13=6,$B$18&lt;&gt;1),"",$C$18)</f>
        <v/>
      </c>
      <c r="Q18">
        <f>IF(OR(13=7,$B$18&lt;&gt;1),"",$C$18)</f>
        <v/>
      </c>
      <c r="R18">
        <f>IF(OR(13=8,$B$18&lt;&gt;1),"",$C$18)</f>
        <v/>
      </c>
      <c r="S18">
        <f>IF(OR(13=9,$B$18&lt;&gt;1),"",$C$18)</f>
        <v/>
      </c>
      <c r="T18">
        <f>IF(OR(13=10,$B$18&lt;&gt;1),"",$C$18)</f>
        <v/>
      </c>
      <c r="U18">
        <f>IF(OR(13=11,$B$18&lt;&gt;1),"",$C$18)</f>
        <v/>
      </c>
      <c r="V18">
        <f>IF(OR(13=12,$B$18&lt;&gt;1),"",$C$18)</f>
        <v/>
      </c>
      <c r="W18">
        <f>IF(OR(13=13,$B$18&lt;&gt;1),"",$C$18)</f>
        <v/>
      </c>
      <c r="X18">
        <f>IF(OR(13=14,$B$18&lt;&gt;1),"",$C$18)</f>
        <v/>
      </c>
      <c r="Y18">
        <f>IF(OR(13=15,$B$18&lt;&gt;1),"",$C$18)</f>
        <v/>
      </c>
      <c r="Z18">
        <f>IF(OR(13=16,$B$18&lt;&gt;1),"",$C$18)</f>
        <v/>
      </c>
      <c r="AA18">
        <f>IF(OR(13=17,$B$18&lt;&gt;1),"",$C$18)</f>
        <v/>
      </c>
      <c r="AB18">
        <f>IF(OR(13=18,$B$18&lt;&gt;1),"",$C$18)</f>
        <v/>
      </c>
      <c r="AC18">
        <f>IF(OR(13=19,$B$18&lt;&gt;1),"",$C$18)</f>
        <v/>
      </c>
      <c r="AD18">
        <f>IF(OR(13=20,$B$18&lt;&gt;1),"",$C$18)</f>
        <v/>
      </c>
      <c r="AE18">
        <f>IF(OR(13=21,$B$18&lt;&gt;1),"",$C$18)</f>
        <v/>
      </c>
      <c r="AF18">
        <f>IF(OR(13=22,$B$18&lt;&gt;1),"",$C$18)</f>
        <v/>
      </c>
      <c r="AG18">
        <f>IF(OR(13=23,$B$18&lt;&gt;1),"",$C$18)</f>
        <v/>
      </c>
      <c r="AH18">
        <f>IF(OR(13=24,$B$18&lt;&gt;1),"",$C$18)</f>
        <v/>
      </c>
      <c r="AI18">
        <f>IF(OR(13=25,$B$18&lt;&gt;1),"",$C$18)</f>
        <v/>
      </c>
      <c r="AJ18">
        <f>IF(OR(13=26,$B$18&lt;&gt;1),"",$C$18)</f>
        <v/>
      </c>
      <c r="AK18">
        <f>IF(OR(13=27,$B$18&lt;&gt;1),"",$C$18)</f>
        <v/>
      </c>
      <c r="AL18">
        <f>IF(OR(13=28,$B$18&lt;&gt;1),"",$C$18)</f>
        <v/>
      </c>
      <c r="AM18">
        <f>IF(OR(13=29,$B$18&lt;&gt;1),"",$C$18)</f>
        <v/>
      </c>
      <c r="AN18">
        <f>IF(OR(13=30,$B$18&lt;&gt;1),"",$C$18)</f>
        <v/>
      </c>
      <c r="AO18">
        <f>IF(OR(13=31,$B$18&lt;&gt;1),"",$C$18)</f>
        <v/>
      </c>
      <c r="AP18">
        <f>IF(OR(13=32,$B$18&lt;&gt;1),"",$C$18)</f>
        <v/>
      </c>
      <c r="AQ18">
        <f>IF(OR(13=33,$B$18&lt;&gt;1),"",$C$18)</f>
        <v/>
      </c>
      <c r="AR18">
        <f>IF(OR(13=34,$B$18&lt;&gt;1),"",$C$18)</f>
        <v/>
      </c>
      <c r="AS18">
        <f>IF(OR(13=35,$B$18&lt;&gt;1),"",$C$18)</f>
        <v/>
      </c>
      <c r="AT18">
        <f>IF(OR(13=36,$B$18&lt;&gt;1),"",$C$18)</f>
        <v/>
      </c>
      <c r="AU18">
        <f>IF(OR(13=37,$B$18&lt;&gt;1),"",$C$18)</f>
        <v/>
      </c>
      <c r="AV18">
        <f>IF(OR(13=38,$B$18&lt;&gt;1),"",$C$18)</f>
        <v/>
      </c>
      <c r="AW18">
        <f>IF(OR(13=39,$B$18&lt;&gt;1),"",$C$18)</f>
        <v/>
      </c>
      <c r="AX18">
        <f>IF(OR(13=40,$B$18&lt;&gt;1),"",$C$18)</f>
        <v/>
      </c>
      <c r="AY18">
        <f>IF(OR(13=41,$B$18&lt;&gt;1),"",$C$18)</f>
        <v/>
      </c>
      <c r="AZ18">
        <f>IF(OR(13=42,$B$18&lt;&gt;1),"",$C$18)</f>
        <v/>
      </c>
      <c r="BA18">
        <f>IF(OR(13=43,$B$18&lt;&gt;1),"",$C$18)</f>
        <v/>
      </c>
      <c r="BB18">
        <f>IF(OR(13=44,$B$18&lt;&gt;1),"",$C$18)</f>
        <v/>
      </c>
      <c r="BC18">
        <f>IF(OR(13=45,$B$18&lt;&gt;1),"",$C$18)</f>
        <v/>
      </c>
      <c r="BD18">
        <f>IF(OR(13=46,$B$18&lt;&gt;1),"",$C$18)</f>
        <v/>
      </c>
      <c r="BE18">
        <f>IF(OR(13=47,$B$18&lt;&gt;1),"",$C$18)</f>
        <v/>
      </c>
      <c r="BF18">
        <f>IF(OR(13=48,$B$18&lt;&gt;1),"",$C$18)</f>
        <v/>
      </c>
      <c r="BG18">
        <f>IF(OR(13=49,$B$18&lt;&gt;1),"",$C$18)</f>
        <v/>
      </c>
    </row>
    <row r="19">
      <c r="A19" s="5">
        <f>IF(Clients!A19="","",Clients!A19)</f>
        <v/>
      </c>
      <c r="B19" s="5">
        <f>IF(A19="",0,IF(AND(Clients!K19=1,ISNUMBER(Clients!D19),ISNUMBER(INDEX(Clients!E19:J19,1,MATCH(Setup!$B$7,Clients!$E$4:$J$4,0)))),1,0))</f>
        <v/>
      </c>
      <c r="C19" s="12">
        <f>IF(B19=1,INDEX(Clients!E19:J19,1,MATCH(Setup!$B$7,Clients!$E$4:$J$4,0)),"")</f>
        <v/>
      </c>
      <c r="D19" s="13">
        <f>IF(B19&lt;&gt;1,"",IF(COUNT(X5:X54)=0,"",MEDIAN(X5:X54)))</f>
        <v/>
      </c>
      <c r="E19" s="12">
        <f>IF(B19=1,Clients!D19,"")</f>
        <v/>
      </c>
      <c r="F19" s="10" t="n"/>
      <c r="G19" s="12">
        <f>IF(AND(B19=1,ISNUMBER(F19)),F19-E19,"")</f>
        <v/>
      </c>
      <c r="J19">
        <f>IF(OR(14=0,$B$19&lt;&gt;1),"",$C$19)</f>
        <v/>
      </c>
      <c r="K19">
        <f>IF(OR(14=1,$B$19&lt;&gt;1),"",$C$19)</f>
        <v/>
      </c>
      <c r="L19">
        <f>IF(OR(14=2,$B$19&lt;&gt;1),"",$C$19)</f>
        <v/>
      </c>
      <c r="M19">
        <f>IF(OR(14=3,$B$19&lt;&gt;1),"",$C$19)</f>
        <v/>
      </c>
      <c r="N19">
        <f>IF(OR(14=4,$B$19&lt;&gt;1),"",$C$19)</f>
        <v/>
      </c>
      <c r="O19">
        <f>IF(OR(14=5,$B$19&lt;&gt;1),"",$C$19)</f>
        <v/>
      </c>
      <c r="P19">
        <f>IF(OR(14=6,$B$19&lt;&gt;1),"",$C$19)</f>
        <v/>
      </c>
      <c r="Q19">
        <f>IF(OR(14=7,$B$19&lt;&gt;1),"",$C$19)</f>
        <v/>
      </c>
      <c r="R19">
        <f>IF(OR(14=8,$B$19&lt;&gt;1),"",$C$19)</f>
        <v/>
      </c>
      <c r="S19">
        <f>IF(OR(14=9,$B$19&lt;&gt;1),"",$C$19)</f>
        <v/>
      </c>
      <c r="T19">
        <f>IF(OR(14=10,$B$19&lt;&gt;1),"",$C$19)</f>
        <v/>
      </c>
      <c r="U19">
        <f>IF(OR(14=11,$B$19&lt;&gt;1),"",$C$19)</f>
        <v/>
      </c>
      <c r="V19">
        <f>IF(OR(14=12,$B$19&lt;&gt;1),"",$C$19)</f>
        <v/>
      </c>
      <c r="W19">
        <f>IF(OR(14=13,$B$19&lt;&gt;1),"",$C$19)</f>
        <v/>
      </c>
      <c r="X19">
        <f>IF(OR(14=14,$B$19&lt;&gt;1),"",$C$19)</f>
        <v/>
      </c>
      <c r="Y19">
        <f>IF(OR(14=15,$B$19&lt;&gt;1),"",$C$19)</f>
        <v/>
      </c>
      <c r="Z19">
        <f>IF(OR(14=16,$B$19&lt;&gt;1),"",$C$19)</f>
        <v/>
      </c>
      <c r="AA19">
        <f>IF(OR(14=17,$B$19&lt;&gt;1),"",$C$19)</f>
        <v/>
      </c>
      <c r="AB19">
        <f>IF(OR(14=18,$B$19&lt;&gt;1),"",$C$19)</f>
        <v/>
      </c>
      <c r="AC19">
        <f>IF(OR(14=19,$B$19&lt;&gt;1),"",$C$19)</f>
        <v/>
      </c>
      <c r="AD19">
        <f>IF(OR(14=20,$B$19&lt;&gt;1),"",$C$19)</f>
        <v/>
      </c>
      <c r="AE19">
        <f>IF(OR(14=21,$B$19&lt;&gt;1),"",$C$19)</f>
        <v/>
      </c>
      <c r="AF19">
        <f>IF(OR(14=22,$B$19&lt;&gt;1),"",$C$19)</f>
        <v/>
      </c>
      <c r="AG19">
        <f>IF(OR(14=23,$B$19&lt;&gt;1),"",$C$19)</f>
        <v/>
      </c>
      <c r="AH19">
        <f>IF(OR(14=24,$B$19&lt;&gt;1),"",$C$19)</f>
        <v/>
      </c>
      <c r="AI19">
        <f>IF(OR(14=25,$B$19&lt;&gt;1),"",$C$19)</f>
        <v/>
      </c>
      <c r="AJ19">
        <f>IF(OR(14=26,$B$19&lt;&gt;1),"",$C$19)</f>
        <v/>
      </c>
      <c r="AK19">
        <f>IF(OR(14=27,$B$19&lt;&gt;1),"",$C$19)</f>
        <v/>
      </c>
      <c r="AL19">
        <f>IF(OR(14=28,$B$19&lt;&gt;1),"",$C$19)</f>
        <v/>
      </c>
      <c r="AM19">
        <f>IF(OR(14=29,$B$19&lt;&gt;1),"",$C$19)</f>
        <v/>
      </c>
      <c r="AN19">
        <f>IF(OR(14=30,$B$19&lt;&gt;1),"",$C$19)</f>
        <v/>
      </c>
      <c r="AO19">
        <f>IF(OR(14=31,$B$19&lt;&gt;1),"",$C$19)</f>
        <v/>
      </c>
      <c r="AP19">
        <f>IF(OR(14=32,$B$19&lt;&gt;1),"",$C$19)</f>
        <v/>
      </c>
      <c r="AQ19">
        <f>IF(OR(14=33,$B$19&lt;&gt;1),"",$C$19)</f>
        <v/>
      </c>
      <c r="AR19">
        <f>IF(OR(14=34,$B$19&lt;&gt;1),"",$C$19)</f>
        <v/>
      </c>
      <c r="AS19">
        <f>IF(OR(14=35,$B$19&lt;&gt;1),"",$C$19)</f>
        <v/>
      </c>
      <c r="AT19">
        <f>IF(OR(14=36,$B$19&lt;&gt;1),"",$C$19)</f>
        <v/>
      </c>
      <c r="AU19">
        <f>IF(OR(14=37,$B$19&lt;&gt;1),"",$C$19)</f>
        <v/>
      </c>
      <c r="AV19">
        <f>IF(OR(14=38,$B$19&lt;&gt;1),"",$C$19)</f>
        <v/>
      </c>
      <c r="AW19">
        <f>IF(OR(14=39,$B$19&lt;&gt;1),"",$C$19)</f>
        <v/>
      </c>
      <c r="AX19">
        <f>IF(OR(14=40,$B$19&lt;&gt;1),"",$C$19)</f>
        <v/>
      </c>
      <c r="AY19">
        <f>IF(OR(14=41,$B$19&lt;&gt;1),"",$C$19)</f>
        <v/>
      </c>
      <c r="AZ19">
        <f>IF(OR(14=42,$B$19&lt;&gt;1),"",$C$19)</f>
        <v/>
      </c>
      <c r="BA19">
        <f>IF(OR(14=43,$B$19&lt;&gt;1),"",$C$19)</f>
        <v/>
      </c>
      <c r="BB19">
        <f>IF(OR(14=44,$B$19&lt;&gt;1),"",$C$19)</f>
        <v/>
      </c>
      <c r="BC19">
        <f>IF(OR(14=45,$B$19&lt;&gt;1),"",$C$19)</f>
        <v/>
      </c>
      <c r="BD19">
        <f>IF(OR(14=46,$B$19&lt;&gt;1),"",$C$19)</f>
        <v/>
      </c>
      <c r="BE19">
        <f>IF(OR(14=47,$B$19&lt;&gt;1),"",$C$19)</f>
        <v/>
      </c>
      <c r="BF19">
        <f>IF(OR(14=48,$B$19&lt;&gt;1),"",$C$19)</f>
        <v/>
      </c>
      <c r="BG19">
        <f>IF(OR(14=49,$B$19&lt;&gt;1),"",$C$19)</f>
        <v/>
      </c>
    </row>
    <row r="20">
      <c r="A20" s="5">
        <f>IF(Clients!A20="","",Clients!A20)</f>
        <v/>
      </c>
      <c r="B20" s="5">
        <f>IF(A20="",0,IF(AND(Clients!K20=1,ISNUMBER(Clients!D20),ISNUMBER(INDEX(Clients!E20:J20,1,MATCH(Setup!$B$7,Clients!$E$4:$J$4,0)))),1,0))</f>
        <v/>
      </c>
      <c r="C20" s="12">
        <f>IF(B20=1,INDEX(Clients!E20:J20,1,MATCH(Setup!$B$7,Clients!$E$4:$J$4,0)),"")</f>
        <v/>
      </c>
      <c r="D20" s="13">
        <f>IF(B20&lt;&gt;1,"",IF(COUNT(Y5:Y54)=0,"",MEDIAN(Y5:Y54)))</f>
        <v/>
      </c>
      <c r="E20" s="12">
        <f>IF(B20=1,Clients!D20,"")</f>
        <v/>
      </c>
      <c r="F20" s="10" t="n"/>
      <c r="G20" s="12">
        <f>IF(AND(B20=1,ISNUMBER(F20)),F20-E20,"")</f>
        <v/>
      </c>
      <c r="J20">
        <f>IF(OR(15=0,$B$20&lt;&gt;1),"",$C$20)</f>
        <v/>
      </c>
      <c r="K20">
        <f>IF(OR(15=1,$B$20&lt;&gt;1),"",$C$20)</f>
        <v/>
      </c>
      <c r="L20">
        <f>IF(OR(15=2,$B$20&lt;&gt;1),"",$C$20)</f>
        <v/>
      </c>
      <c r="M20">
        <f>IF(OR(15=3,$B$20&lt;&gt;1),"",$C$20)</f>
        <v/>
      </c>
      <c r="N20">
        <f>IF(OR(15=4,$B$20&lt;&gt;1),"",$C$20)</f>
        <v/>
      </c>
      <c r="O20">
        <f>IF(OR(15=5,$B$20&lt;&gt;1),"",$C$20)</f>
        <v/>
      </c>
      <c r="P20">
        <f>IF(OR(15=6,$B$20&lt;&gt;1),"",$C$20)</f>
        <v/>
      </c>
      <c r="Q20">
        <f>IF(OR(15=7,$B$20&lt;&gt;1),"",$C$20)</f>
        <v/>
      </c>
      <c r="R20">
        <f>IF(OR(15=8,$B$20&lt;&gt;1),"",$C$20)</f>
        <v/>
      </c>
      <c r="S20">
        <f>IF(OR(15=9,$B$20&lt;&gt;1),"",$C$20)</f>
        <v/>
      </c>
      <c r="T20">
        <f>IF(OR(15=10,$B$20&lt;&gt;1),"",$C$20)</f>
        <v/>
      </c>
      <c r="U20">
        <f>IF(OR(15=11,$B$20&lt;&gt;1),"",$C$20)</f>
        <v/>
      </c>
      <c r="V20">
        <f>IF(OR(15=12,$B$20&lt;&gt;1),"",$C$20)</f>
        <v/>
      </c>
      <c r="W20">
        <f>IF(OR(15=13,$B$20&lt;&gt;1),"",$C$20)</f>
        <v/>
      </c>
      <c r="X20">
        <f>IF(OR(15=14,$B$20&lt;&gt;1),"",$C$20)</f>
        <v/>
      </c>
      <c r="Y20">
        <f>IF(OR(15=15,$B$20&lt;&gt;1),"",$C$20)</f>
        <v/>
      </c>
      <c r="Z20">
        <f>IF(OR(15=16,$B$20&lt;&gt;1),"",$C$20)</f>
        <v/>
      </c>
      <c r="AA20">
        <f>IF(OR(15=17,$B$20&lt;&gt;1),"",$C$20)</f>
        <v/>
      </c>
      <c r="AB20">
        <f>IF(OR(15=18,$B$20&lt;&gt;1),"",$C$20)</f>
        <v/>
      </c>
      <c r="AC20">
        <f>IF(OR(15=19,$B$20&lt;&gt;1),"",$C$20)</f>
        <v/>
      </c>
      <c r="AD20">
        <f>IF(OR(15=20,$B$20&lt;&gt;1),"",$C$20)</f>
        <v/>
      </c>
      <c r="AE20">
        <f>IF(OR(15=21,$B$20&lt;&gt;1),"",$C$20)</f>
        <v/>
      </c>
      <c r="AF20">
        <f>IF(OR(15=22,$B$20&lt;&gt;1),"",$C$20)</f>
        <v/>
      </c>
      <c r="AG20">
        <f>IF(OR(15=23,$B$20&lt;&gt;1),"",$C$20)</f>
        <v/>
      </c>
      <c r="AH20">
        <f>IF(OR(15=24,$B$20&lt;&gt;1),"",$C$20)</f>
        <v/>
      </c>
      <c r="AI20">
        <f>IF(OR(15=25,$B$20&lt;&gt;1),"",$C$20)</f>
        <v/>
      </c>
      <c r="AJ20">
        <f>IF(OR(15=26,$B$20&lt;&gt;1),"",$C$20)</f>
        <v/>
      </c>
      <c r="AK20">
        <f>IF(OR(15=27,$B$20&lt;&gt;1),"",$C$20)</f>
        <v/>
      </c>
      <c r="AL20">
        <f>IF(OR(15=28,$B$20&lt;&gt;1),"",$C$20)</f>
        <v/>
      </c>
      <c r="AM20">
        <f>IF(OR(15=29,$B$20&lt;&gt;1),"",$C$20)</f>
        <v/>
      </c>
      <c r="AN20">
        <f>IF(OR(15=30,$B$20&lt;&gt;1),"",$C$20)</f>
        <v/>
      </c>
      <c r="AO20">
        <f>IF(OR(15=31,$B$20&lt;&gt;1),"",$C$20)</f>
        <v/>
      </c>
      <c r="AP20">
        <f>IF(OR(15=32,$B$20&lt;&gt;1),"",$C$20)</f>
        <v/>
      </c>
      <c r="AQ20">
        <f>IF(OR(15=33,$B$20&lt;&gt;1),"",$C$20)</f>
        <v/>
      </c>
      <c r="AR20">
        <f>IF(OR(15=34,$B$20&lt;&gt;1),"",$C$20)</f>
        <v/>
      </c>
      <c r="AS20">
        <f>IF(OR(15=35,$B$20&lt;&gt;1),"",$C$20)</f>
        <v/>
      </c>
      <c r="AT20">
        <f>IF(OR(15=36,$B$20&lt;&gt;1),"",$C$20)</f>
        <v/>
      </c>
      <c r="AU20">
        <f>IF(OR(15=37,$B$20&lt;&gt;1),"",$C$20)</f>
        <v/>
      </c>
      <c r="AV20">
        <f>IF(OR(15=38,$B$20&lt;&gt;1),"",$C$20)</f>
        <v/>
      </c>
      <c r="AW20">
        <f>IF(OR(15=39,$B$20&lt;&gt;1),"",$C$20)</f>
        <v/>
      </c>
      <c r="AX20">
        <f>IF(OR(15=40,$B$20&lt;&gt;1),"",$C$20)</f>
        <v/>
      </c>
      <c r="AY20">
        <f>IF(OR(15=41,$B$20&lt;&gt;1),"",$C$20)</f>
        <v/>
      </c>
      <c r="AZ20">
        <f>IF(OR(15=42,$B$20&lt;&gt;1),"",$C$20)</f>
        <v/>
      </c>
      <c r="BA20">
        <f>IF(OR(15=43,$B$20&lt;&gt;1),"",$C$20)</f>
        <v/>
      </c>
      <c r="BB20">
        <f>IF(OR(15=44,$B$20&lt;&gt;1),"",$C$20)</f>
        <v/>
      </c>
      <c r="BC20">
        <f>IF(OR(15=45,$B$20&lt;&gt;1),"",$C$20)</f>
        <v/>
      </c>
      <c r="BD20">
        <f>IF(OR(15=46,$B$20&lt;&gt;1),"",$C$20)</f>
        <v/>
      </c>
      <c r="BE20">
        <f>IF(OR(15=47,$B$20&lt;&gt;1),"",$C$20)</f>
        <v/>
      </c>
      <c r="BF20">
        <f>IF(OR(15=48,$B$20&lt;&gt;1),"",$C$20)</f>
        <v/>
      </c>
      <c r="BG20">
        <f>IF(OR(15=49,$B$20&lt;&gt;1),"",$C$20)</f>
        <v/>
      </c>
    </row>
    <row r="21">
      <c r="A21" s="5">
        <f>IF(Clients!A21="","",Clients!A21)</f>
        <v/>
      </c>
      <c r="B21" s="5">
        <f>IF(A21="",0,IF(AND(Clients!K21=1,ISNUMBER(Clients!D21),ISNUMBER(INDEX(Clients!E21:J21,1,MATCH(Setup!$B$7,Clients!$E$4:$J$4,0)))),1,0))</f>
        <v/>
      </c>
      <c r="C21" s="12">
        <f>IF(B21=1,INDEX(Clients!E21:J21,1,MATCH(Setup!$B$7,Clients!$E$4:$J$4,0)),"")</f>
        <v/>
      </c>
      <c r="D21" s="13">
        <f>IF(B21&lt;&gt;1,"",IF(COUNT(Z5:Z54)=0,"",MEDIAN(Z5:Z54)))</f>
        <v/>
      </c>
      <c r="E21" s="12">
        <f>IF(B21=1,Clients!D21,"")</f>
        <v/>
      </c>
      <c r="F21" s="10" t="n"/>
      <c r="G21" s="12">
        <f>IF(AND(B21=1,ISNUMBER(F21)),F21-E21,"")</f>
        <v/>
      </c>
      <c r="J21">
        <f>IF(OR(16=0,$B$21&lt;&gt;1),"",$C$21)</f>
        <v/>
      </c>
      <c r="K21">
        <f>IF(OR(16=1,$B$21&lt;&gt;1),"",$C$21)</f>
        <v/>
      </c>
      <c r="L21">
        <f>IF(OR(16=2,$B$21&lt;&gt;1),"",$C$21)</f>
        <v/>
      </c>
      <c r="M21">
        <f>IF(OR(16=3,$B$21&lt;&gt;1),"",$C$21)</f>
        <v/>
      </c>
      <c r="N21">
        <f>IF(OR(16=4,$B$21&lt;&gt;1),"",$C$21)</f>
        <v/>
      </c>
      <c r="O21">
        <f>IF(OR(16=5,$B$21&lt;&gt;1),"",$C$21)</f>
        <v/>
      </c>
      <c r="P21">
        <f>IF(OR(16=6,$B$21&lt;&gt;1),"",$C$21)</f>
        <v/>
      </c>
      <c r="Q21">
        <f>IF(OR(16=7,$B$21&lt;&gt;1),"",$C$21)</f>
        <v/>
      </c>
      <c r="R21">
        <f>IF(OR(16=8,$B$21&lt;&gt;1),"",$C$21)</f>
        <v/>
      </c>
      <c r="S21">
        <f>IF(OR(16=9,$B$21&lt;&gt;1),"",$C$21)</f>
        <v/>
      </c>
      <c r="T21">
        <f>IF(OR(16=10,$B$21&lt;&gt;1),"",$C$21)</f>
        <v/>
      </c>
      <c r="U21">
        <f>IF(OR(16=11,$B$21&lt;&gt;1),"",$C$21)</f>
        <v/>
      </c>
      <c r="V21">
        <f>IF(OR(16=12,$B$21&lt;&gt;1),"",$C$21)</f>
        <v/>
      </c>
      <c r="W21">
        <f>IF(OR(16=13,$B$21&lt;&gt;1),"",$C$21)</f>
        <v/>
      </c>
      <c r="X21">
        <f>IF(OR(16=14,$B$21&lt;&gt;1),"",$C$21)</f>
        <v/>
      </c>
      <c r="Y21">
        <f>IF(OR(16=15,$B$21&lt;&gt;1),"",$C$21)</f>
        <v/>
      </c>
      <c r="Z21">
        <f>IF(OR(16=16,$B$21&lt;&gt;1),"",$C$21)</f>
        <v/>
      </c>
      <c r="AA21">
        <f>IF(OR(16=17,$B$21&lt;&gt;1),"",$C$21)</f>
        <v/>
      </c>
      <c r="AB21">
        <f>IF(OR(16=18,$B$21&lt;&gt;1),"",$C$21)</f>
        <v/>
      </c>
      <c r="AC21">
        <f>IF(OR(16=19,$B$21&lt;&gt;1),"",$C$21)</f>
        <v/>
      </c>
      <c r="AD21">
        <f>IF(OR(16=20,$B$21&lt;&gt;1),"",$C$21)</f>
        <v/>
      </c>
      <c r="AE21">
        <f>IF(OR(16=21,$B$21&lt;&gt;1),"",$C$21)</f>
        <v/>
      </c>
      <c r="AF21">
        <f>IF(OR(16=22,$B$21&lt;&gt;1),"",$C$21)</f>
        <v/>
      </c>
      <c r="AG21">
        <f>IF(OR(16=23,$B$21&lt;&gt;1),"",$C$21)</f>
        <v/>
      </c>
      <c r="AH21">
        <f>IF(OR(16=24,$B$21&lt;&gt;1),"",$C$21)</f>
        <v/>
      </c>
      <c r="AI21">
        <f>IF(OR(16=25,$B$21&lt;&gt;1),"",$C$21)</f>
        <v/>
      </c>
      <c r="AJ21">
        <f>IF(OR(16=26,$B$21&lt;&gt;1),"",$C$21)</f>
        <v/>
      </c>
      <c r="AK21">
        <f>IF(OR(16=27,$B$21&lt;&gt;1),"",$C$21)</f>
        <v/>
      </c>
      <c r="AL21">
        <f>IF(OR(16=28,$B$21&lt;&gt;1),"",$C$21)</f>
        <v/>
      </c>
      <c r="AM21">
        <f>IF(OR(16=29,$B$21&lt;&gt;1),"",$C$21)</f>
        <v/>
      </c>
      <c r="AN21">
        <f>IF(OR(16=30,$B$21&lt;&gt;1),"",$C$21)</f>
        <v/>
      </c>
      <c r="AO21">
        <f>IF(OR(16=31,$B$21&lt;&gt;1),"",$C$21)</f>
        <v/>
      </c>
      <c r="AP21">
        <f>IF(OR(16=32,$B$21&lt;&gt;1),"",$C$21)</f>
        <v/>
      </c>
      <c r="AQ21">
        <f>IF(OR(16=33,$B$21&lt;&gt;1),"",$C$21)</f>
        <v/>
      </c>
      <c r="AR21">
        <f>IF(OR(16=34,$B$21&lt;&gt;1),"",$C$21)</f>
        <v/>
      </c>
      <c r="AS21">
        <f>IF(OR(16=35,$B$21&lt;&gt;1),"",$C$21)</f>
        <v/>
      </c>
      <c r="AT21">
        <f>IF(OR(16=36,$B$21&lt;&gt;1),"",$C$21)</f>
        <v/>
      </c>
      <c r="AU21">
        <f>IF(OR(16=37,$B$21&lt;&gt;1),"",$C$21)</f>
        <v/>
      </c>
      <c r="AV21">
        <f>IF(OR(16=38,$B$21&lt;&gt;1),"",$C$21)</f>
        <v/>
      </c>
      <c r="AW21">
        <f>IF(OR(16=39,$B$21&lt;&gt;1),"",$C$21)</f>
        <v/>
      </c>
      <c r="AX21">
        <f>IF(OR(16=40,$B$21&lt;&gt;1),"",$C$21)</f>
        <v/>
      </c>
      <c r="AY21">
        <f>IF(OR(16=41,$B$21&lt;&gt;1),"",$C$21)</f>
        <v/>
      </c>
      <c r="AZ21">
        <f>IF(OR(16=42,$B$21&lt;&gt;1),"",$C$21)</f>
        <v/>
      </c>
      <c r="BA21">
        <f>IF(OR(16=43,$B$21&lt;&gt;1),"",$C$21)</f>
        <v/>
      </c>
      <c r="BB21">
        <f>IF(OR(16=44,$B$21&lt;&gt;1),"",$C$21)</f>
        <v/>
      </c>
      <c r="BC21">
        <f>IF(OR(16=45,$B$21&lt;&gt;1),"",$C$21)</f>
        <v/>
      </c>
      <c r="BD21">
        <f>IF(OR(16=46,$B$21&lt;&gt;1),"",$C$21)</f>
        <v/>
      </c>
      <c r="BE21">
        <f>IF(OR(16=47,$B$21&lt;&gt;1),"",$C$21)</f>
        <v/>
      </c>
      <c r="BF21">
        <f>IF(OR(16=48,$B$21&lt;&gt;1),"",$C$21)</f>
        <v/>
      </c>
      <c r="BG21">
        <f>IF(OR(16=49,$B$21&lt;&gt;1),"",$C$21)</f>
        <v/>
      </c>
    </row>
    <row r="22">
      <c r="A22" s="5">
        <f>IF(Clients!A22="","",Clients!A22)</f>
        <v/>
      </c>
      <c r="B22" s="5">
        <f>IF(A22="",0,IF(AND(Clients!K22=1,ISNUMBER(Clients!D22),ISNUMBER(INDEX(Clients!E22:J22,1,MATCH(Setup!$B$7,Clients!$E$4:$J$4,0)))),1,0))</f>
        <v/>
      </c>
      <c r="C22" s="12">
        <f>IF(B22=1,INDEX(Clients!E22:J22,1,MATCH(Setup!$B$7,Clients!$E$4:$J$4,0)),"")</f>
        <v/>
      </c>
      <c r="D22" s="13">
        <f>IF(B22&lt;&gt;1,"",IF(COUNT(AA5:AA54)=0,"",MEDIAN(AA5:AA54)))</f>
        <v/>
      </c>
      <c r="E22" s="12">
        <f>IF(B22=1,Clients!D22,"")</f>
        <v/>
      </c>
      <c r="F22" s="10" t="n"/>
      <c r="G22" s="12">
        <f>IF(AND(B22=1,ISNUMBER(F22)),F22-E22,"")</f>
        <v/>
      </c>
      <c r="J22">
        <f>IF(OR(17=0,$B$22&lt;&gt;1),"",$C$22)</f>
        <v/>
      </c>
      <c r="K22">
        <f>IF(OR(17=1,$B$22&lt;&gt;1),"",$C$22)</f>
        <v/>
      </c>
      <c r="L22">
        <f>IF(OR(17=2,$B$22&lt;&gt;1),"",$C$22)</f>
        <v/>
      </c>
      <c r="M22">
        <f>IF(OR(17=3,$B$22&lt;&gt;1),"",$C$22)</f>
        <v/>
      </c>
      <c r="N22">
        <f>IF(OR(17=4,$B$22&lt;&gt;1),"",$C$22)</f>
        <v/>
      </c>
      <c r="O22">
        <f>IF(OR(17=5,$B$22&lt;&gt;1),"",$C$22)</f>
        <v/>
      </c>
      <c r="P22">
        <f>IF(OR(17=6,$B$22&lt;&gt;1),"",$C$22)</f>
        <v/>
      </c>
      <c r="Q22">
        <f>IF(OR(17=7,$B$22&lt;&gt;1),"",$C$22)</f>
        <v/>
      </c>
      <c r="R22">
        <f>IF(OR(17=8,$B$22&lt;&gt;1),"",$C$22)</f>
        <v/>
      </c>
      <c r="S22">
        <f>IF(OR(17=9,$B$22&lt;&gt;1),"",$C$22)</f>
        <v/>
      </c>
      <c r="T22">
        <f>IF(OR(17=10,$B$22&lt;&gt;1),"",$C$22)</f>
        <v/>
      </c>
      <c r="U22">
        <f>IF(OR(17=11,$B$22&lt;&gt;1),"",$C$22)</f>
        <v/>
      </c>
      <c r="V22">
        <f>IF(OR(17=12,$B$22&lt;&gt;1),"",$C$22)</f>
        <v/>
      </c>
      <c r="W22">
        <f>IF(OR(17=13,$B$22&lt;&gt;1),"",$C$22)</f>
        <v/>
      </c>
      <c r="X22">
        <f>IF(OR(17=14,$B$22&lt;&gt;1),"",$C$22)</f>
        <v/>
      </c>
      <c r="Y22">
        <f>IF(OR(17=15,$B$22&lt;&gt;1),"",$C$22)</f>
        <v/>
      </c>
      <c r="Z22">
        <f>IF(OR(17=16,$B$22&lt;&gt;1),"",$C$22)</f>
        <v/>
      </c>
      <c r="AA22">
        <f>IF(OR(17=17,$B$22&lt;&gt;1),"",$C$22)</f>
        <v/>
      </c>
      <c r="AB22">
        <f>IF(OR(17=18,$B$22&lt;&gt;1),"",$C$22)</f>
        <v/>
      </c>
      <c r="AC22">
        <f>IF(OR(17=19,$B$22&lt;&gt;1),"",$C$22)</f>
        <v/>
      </c>
      <c r="AD22">
        <f>IF(OR(17=20,$B$22&lt;&gt;1),"",$C$22)</f>
        <v/>
      </c>
      <c r="AE22">
        <f>IF(OR(17=21,$B$22&lt;&gt;1),"",$C$22)</f>
        <v/>
      </c>
      <c r="AF22">
        <f>IF(OR(17=22,$B$22&lt;&gt;1),"",$C$22)</f>
        <v/>
      </c>
      <c r="AG22">
        <f>IF(OR(17=23,$B$22&lt;&gt;1),"",$C$22)</f>
        <v/>
      </c>
      <c r="AH22">
        <f>IF(OR(17=24,$B$22&lt;&gt;1),"",$C$22)</f>
        <v/>
      </c>
      <c r="AI22">
        <f>IF(OR(17=25,$B$22&lt;&gt;1),"",$C$22)</f>
        <v/>
      </c>
      <c r="AJ22">
        <f>IF(OR(17=26,$B$22&lt;&gt;1),"",$C$22)</f>
        <v/>
      </c>
      <c r="AK22">
        <f>IF(OR(17=27,$B$22&lt;&gt;1),"",$C$22)</f>
        <v/>
      </c>
      <c r="AL22">
        <f>IF(OR(17=28,$B$22&lt;&gt;1),"",$C$22)</f>
        <v/>
      </c>
      <c r="AM22">
        <f>IF(OR(17=29,$B$22&lt;&gt;1),"",$C$22)</f>
        <v/>
      </c>
      <c r="AN22">
        <f>IF(OR(17=30,$B$22&lt;&gt;1),"",$C$22)</f>
        <v/>
      </c>
      <c r="AO22">
        <f>IF(OR(17=31,$B$22&lt;&gt;1),"",$C$22)</f>
        <v/>
      </c>
      <c r="AP22">
        <f>IF(OR(17=32,$B$22&lt;&gt;1),"",$C$22)</f>
        <v/>
      </c>
      <c r="AQ22">
        <f>IF(OR(17=33,$B$22&lt;&gt;1),"",$C$22)</f>
        <v/>
      </c>
      <c r="AR22">
        <f>IF(OR(17=34,$B$22&lt;&gt;1),"",$C$22)</f>
        <v/>
      </c>
      <c r="AS22">
        <f>IF(OR(17=35,$B$22&lt;&gt;1),"",$C$22)</f>
        <v/>
      </c>
      <c r="AT22">
        <f>IF(OR(17=36,$B$22&lt;&gt;1),"",$C$22)</f>
        <v/>
      </c>
      <c r="AU22">
        <f>IF(OR(17=37,$B$22&lt;&gt;1),"",$C$22)</f>
        <v/>
      </c>
      <c r="AV22">
        <f>IF(OR(17=38,$B$22&lt;&gt;1),"",$C$22)</f>
        <v/>
      </c>
      <c r="AW22">
        <f>IF(OR(17=39,$B$22&lt;&gt;1),"",$C$22)</f>
        <v/>
      </c>
      <c r="AX22">
        <f>IF(OR(17=40,$B$22&lt;&gt;1),"",$C$22)</f>
        <v/>
      </c>
      <c r="AY22">
        <f>IF(OR(17=41,$B$22&lt;&gt;1),"",$C$22)</f>
        <v/>
      </c>
      <c r="AZ22">
        <f>IF(OR(17=42,$B$22&lt;&gt;1),"",$C$22)</f>
        <v/>
      </c>
      <c r="BA22">
        <f>IF(OR(17=43,$B$22&lt;&gt;1),"",$C$22)</f>
        <v/>
      </c>
      <c r="BB22">
        <f>IF(OR(17=44,$B$22&lt;&gt;1),"",$C$22)</f>
        <v/>
      </c>
      <c r="BC22">
        <f>IF(OR(17=45,$B$22&lt;&gt;1),"",$C$22)</f>
        <v/>
      </c>
      <c r="BD22">
        <f>IF(OR(17=46,$B$22&lt;&gt;1),"",$C$22)</f>
        <v/>
      </c>
      <c r="BE22">
        <f>IF(OR(17=47,$B$22&lt;&gt;1),"",$C$22)</f>
        <v/>
      </c>
      <c r="BF22">
        <f>IF(OR(17=48,$B$22&lt;&gt;1),"",$C$22)</f>
        <v/>
      </c>
      <c r="BG22">
        <f>IF(OR(17=49,$B$22&lt;&gt;1),"",$C$22)</f>
        <v/>
      </c>
    </row>
    <row r="23">
      <c r="A23" s="5">
        <f>IF(Clients!A23="","",Clients!A23)</f>
        <v/>
      </c>
      <c r="B23" s="5">
        <f>IF(A23="",0,IF(AND(Clients!K23=1,ISNUMBER(Clients!D23),ISNUMBER(INDEX(Clients!E23:J23,1,MATCH(Setup!$B$7,Clients!$E$4:$J$4,0)))),1,0))</f>
        <v/>
      </c>
      <c r="C23" s="12">
        <f>IF(B23=1,INDEX(Clients!E23:J23,1,MATCH(Setup!$B$7,Clients!$E$4:$J$4,0)),"")</f>
        <v/>
      </c>
      <c r="D23" s="13">
        <f>IF(B23&lt;&gt;1,"",IF(COUNT(AB5:AB54)=0,"",MEDIAN(AB5:AB54)))</f>
        <v/>
      </c>
      <c r="E23" s="12">
        <f>IF(B23=1,Clients!D23,"")</f>
        <v/>
      </c>
      <c r="F23" s="10" t="n"/>
      <c r="G23" s="12">
        <f>IF(AND(B23=1,ISNUMBER(F23)),F23-E23,"")</f>
        <v/>
      </c>
      <c r="J23">
        <f>IF(OR(18=0,$B$23&lt;&gt;1),"",$C$23)</f>
        <v/>
      </c>
      <c r="K23">
        <f>IF(OR(18=1,$B$23&lt;&gt;1),"",$C$23)</f>
        <v/>
      </c>
      <c r="L23">
        <f>IF(OR(18=2,$B$23&lt;&gt;1),"",$C$23)</f>
        <v/>
      </c>
      <c r="M23">
        <f>IF(OR(18=3,$B$23&lt;&gt;1),"",$C$23)</f>
        <v/>
      </c>
      <c r="N23">
        <f>IF(OR(18=4,$B$23&lt;&gt;1),"",$C$23)</f>
        <v/>
      </c>
      <c r="O23">
        <f>IF(OR(18=5,$B$23&lt;&gt;1),"",$C$23)</f>
        <v/>
      </c>
      <c r="P23">
        <f>IF(OR(18=6,$B$23&lt;&gt;1),"",$C$23)</f>
        <v/>
      </c>
      <c r="Q23">
        <f>IF(OR(18=7,$B$23&lt;&gt;1),"",$C$23)</f>
        <v/>
      </c>
      <c r="R23">
        <f>IF(OR(18=8,$B$23&lt;&gt;1),"",$C$23)</f>
        <v/>
      </c>
      <c r="S23">
        <f>IF(OR(18=9,$B$23&lt;&gt;1),"",$C$23)</f>
        <v/>
      </c>
      <c r="T23">
        <f>IF(OR(18=10,$B$23&lt;&gt;1),"",$C$23)</f>
        <v/>
      </c>
      <c r="U23">
        <f>IF(OR(18=11,$B$23&lt;&gt;1),"",$C$23)</f>
        <v/>
      </c>
      <c r="V23">
        <f>IF(OR(18=12,$B$23&lt;&gt;1),"",$C$23)</f>
        <v/>
      </c>
      <c r="W23">
        <f>IF(OR(18=13,$B$23&lt;&gt;1),"",$C$23)</f>
        <v/>
      </c>
      <c r="X23">
        <f>IF(OR(18=14,$B$23&lt;&gt;1),"",$C$23)</f>
        <v/>
      </c>
      <c r="Y23">
        <f>IF(OR(18=15,$B$23&lt;&gt;1),"",$C$23)</f>
        <v/>
      </c>
      <c r="Z23">
        <f>IF(OR(18=16,$B$23&lt;&gt;1),"",$C$23)</f>
        <v/>
      </c>
      <c r="AA23">
        <f>IF(OR(18=17,$B$23&lt;&gt;1),"",$C$23)</f>
        <v/>
      </c>
      <c r="AB23">
        <f>IF(OR(18=18,$B$23&lt;&gt;1),"",$C$23)</f>
        <v/>
      </c>
      <c r="AC23">
        <f>IF(OR(18=19,$B$23&lt;&gt;1),"",$C$23)</f>
        <v/>
      </c>
      <c r="AD23">
        <f>IF(OR(18=20,$B$23&lt;&gt;1),"",$C$23)</f>
        <v/>
      </c>
      <c r="AE23">
        <f>IF(OR(18=21,$B$23&lt;&gt;1),"",$C$23)</f>
        <v/>
      </c>
      <c r="AF23">
        <f>IF(OR(18=22,$B$23&lt;&gt;1),"",$C$23)</f>
        <v/>
      </c>
      <c r="AG23">
        <f>IF(OR(18=23,$B$23&lt;&gt;1),"",$C$23)</f>
        <v/>
      </c>
      <c r="AH23">
        <f>IF(OR(18=24,$B$23&lt;&gt;1),"",$C$23)</f>
        <v/>
      </c>
      <c r="AI23">
        <f>IF(OR(18=25,$B$23&lt;&gt;1),"",$C$23)</f>
        <v/>
      </c>
      <c r="AJ23">
        <f>IF(OR(18=26,$B$23&lt;&gt;1),"",$C$23)</f>
        <v/>
      </c>
      <c r="AK23">
        <f>IF(OR(18=27,$B$23&lt;&gt;1),"",$C$23)</f>
        <v/>
      </c>
      <c r="AL23">
        <f>IF(OR(18=28,$B$23&lt;&gt;1),"",$C$23)</f>
        <v/>
      </c>
      <c r="AM23">
        <f>IF(OR(18=29,$B$23&lt;&gt;1),"",$C$23)</f>
        <v/>
      </c>
      <c r="AN23">
        <f>IF(OR(18=30,$B$23&lt;&gt;1),"",$C$23)</f>
        <v/>
      </c>
      <c r="AO23">
        <f>IF(OR(18=31,$B$23&lt;&gt;1),"",$C$23)</f>
        <v/>
      </c>
      <c r="AP23">
        <f>IF(OR(18=32,$B$23&lt;&gt;1),"",$C$23)</f>
        <v/>
      </c>
      <c r="AQ23">
        <f>IF(OR(18=33,$B$23&lt;&gt;1),"",$C$23)</f>
        <v/>
      </c>
      <c r="AR23">
        <f>IF(OR(18=34,$B$23&lt;&gt;1),"",$C$23)</f>
        <v/>
      </c>
      <c r="AS23">
        <f>IF(OR(18=35,$B$23&lt;&gt;1),"",$C$23)</f>
        <v/>
      </c>
      <c r="AT23">
        <f>IF(OR(18=36,$B$23&lt;&gt;1),"",$C$23)</f>
        <v/>
      </c>
      <c r="AU23">
        <f>IF(OR(18=37,$B$23&lt;&gt;1),"",$C$23)</f>
        <v/>
      </c>
      <c r="AV23">
        <f>IF(OR(18=38,$B$23&lt;&gt;1),"",$C$23)</f>
        <v/>
      </c>
      <c r="AW23">
        <f>IF(OR(18=39,$B$23&lt;&gt;1),"",$C$23)</f>
        <v/>
      </c>
      <c r="AX23">
        <f>IF(OR(18=40,$B$23&lt;&gt;1),"",$C$23)</f>
        <v/>
      </c>
      <c r="AY23">
        <f>IF(OR(18=41,$B$23&lt;&gt;1),"",$C$23)</f>
        <v/>
      </c>
      <c r="AZ23">
        <f>IF(OR(18=42,$B$23&lt;&gt;1),"",$C$23)</f>
        <v/>
      </c>
      <c r="BA23">
        <f>IF(OR(18=43,$B$23&lt;&gt;1),"",$C$23)</f>
        <v/>
      </c>
      <c r="BB23">
        <f>IF(OR(18=44,$B$23&lt;&gt;1),"",$C$23)</f>
        <v/>
      </c>
      <c r="BC23">
        <f>IF(OR(18=45,$B$23&lt;&gt;1),"",$C$23)</f>
        <v/>
      </c>
      <c r="BD23">
        <f>IF(OR(18=46,$B$23&lt;&gt;1),"",$C$23)</f>
        <v/>
      </c>
      <c r="BE23">
        <f>IF(OR(18=47,$B$23&lt;&gt;1),"",$C$23)</f>
        <v/>
      </c>
      <c r="BF23">
        <f>IF(OR(18=48,$B$23&lt;&gt;1),"",$C$23)</f>
        <v/>
      </c>
      <c r="BG23">
        <f>IF(OR(18=49,$B$23&lt;&gt;1),"",$C$23)</f>
        <v/>
      </c>
    </row>
    <row r="24">
      <c r="A24" s="5">
        <f>IF(Clients!A24="","",Clients!A24)</f>
        <v/>
      </c>
      <c r="B24" s="5">
        <f>IF(A24="",0,IF(AND(Clients!K24=1,ISNUMBER(Clients!D24),ISNUMBER(INDEX(Clients!E24:J24,1,MATCH(Setup!$B$7,Clients!$E$4:$J$4,0)))),1,0))</f>
        <v/>
      </c>
      <c r="C24" s="12">
        <f>IF(B24=1,INDEX(Clients!E24:J24,1,MATCH(Setup!$B$7,Clients!$E$4:$J$4,0)),"")</f>
        <v/>
      </c>
      <c r="D24" s="13">
        <f>IF(B24&lt;&gt;1,"",IF(COUNT(AC5:AC54)=0,"",MEDIAN(AC5:AC54)))</f>
        <v/>
      </c>
      <c r="E24" s="12">
        <f>IF(B24=1,Clients!D24,"")</f>
        <v/>
      </c>
      <c r="F24" s="10" t="n"/>
      <c r="G24" s="12">
        <f>IF(AND(B24=1,ISNUMBER(F24)),F24-E24,"")</f>
        <v/>
      </c>
      <c r="J24">
        <f>IF(OR(19=0,$B$24&lt;&gt;1),"",$C$24)</f>
        <v/>
      </c>
      <c r="K24">
        <f>IF(OR(19=1,$B$24&lt;&gt;1),"",$C$24)</f>
        <v/>
      </c>
      <c r="L24">
        <f>IF(OR(19=2,$B$24&lt;&gt;1),"",$C$24)</f>
        <v/>
      </c>
      <c r="M24">
        <f>IF(OR(19=3,$B$24&lt;&gt;1),"",$C$24)</f>
        <v/>
      </c>
      <c r="N24">
        <f>IF(OR(19=4,$B$24&lt;&gt;1),"",$C$24)</f>
        <v/>
      </c>
      <c r="O24">
        <f>IF(OR(19=5,$B$24&lt;&gt;1),"",$C$24)</f>
        <v/>
      </c>
      <c r="P24">
        <f>IF(OR(19=6,$B$24&lt;&gt;1),"",$C$24)</f>
        <v/>
      </c>
      <c r="Q24">
        <f>IF(OR(19=7,$B$24&lt;&gt;1),"",$C$24)</f>
        <v/>
      </c>
      <c r="R24">
        <f>IF(OR(19=8,$B$24&lt;&gt;1),"",$C$24)</f>
        <v/>
      </c>
      <c r="S24">
        <f>IF(OR(19=9,$B$24&lt;&gt;1),"",$C$24)</f>
        <v/>
      </c>
      <c r="T24">
        <f>IF(OR(19=10,$B$24&lt;&gt;1),"",$C$24)</f>
        <v/>
      </c>
      <c r="U24">
        <f>IF(OR(19=11,$B$24&lt;&gt;1),"",$C$24)</f>
        <v/>
      </c>
      <c r="V24">
        <f>IF(OR(19=12,$B$24&lt;&gt;1),"",$C$24)</f>
        <v/>
      </c>
      <c r="W24">
        <f>IF(OR(19=13,$B$24&lt;&gt;1),"",$C$24)</f>
        <v/>
      </c>
      <c r="X24">
        <f>IF(OR(19=14,$B$24&lt;&gt;1),"",$C$24)</f>
        <v/>
      </c>
      <c r="Y24">
        <f>IF(OR(19=15,$B$24&lt;&gt;1),"",$C$24)</f>
        <v/>
      </c>
      <c r="Z24">
        <f>IF(OR(19=16,$B$24&lt;&gt;1),"",$C$24)</f>
        <v/>
      </c>
      <c r="AA24">
        <f>IF(OR(19=17,$B$24&lt;&gt;1),"",$C$24)</f>
        <v/>
      </c>
      <c r="AB24">
        <f>IF(OR(19=18,$B$24&lt;&gt;1),"",$C$24)</f>
        <v/>
      </c>
      <c r="AC24">
        <f>IF(OR(19=19,$B$24&lt;&gt;1),"",$C$24)</f>
        <v/>
      </c>
      <c r="AD24">
        <f>IF(OR(19=20,$B$24&lt;&gt;1),"",$C$24)</f>
        <v/>
      </c>
      <c r="AE24">
        <f>IF(OR(19=21,$B$24&lt;&gt;1),"",$C$24)</f>
        <v/>
      </c>
      <c r="AF24">
        <f>IF(OR(19=22,$B$24&lt;&gt;1),"",$C$24)</f>
        <v/>
      </c>
      <c r="AG24">
        <f>IF(OR(19=23,$B$24&lt;&gt;1),"",$C$24)</f>
        <v/>
      </c>
      <c r="AH24">
        <f>IF(OR(19=24,$B$24&lt;&gt;1),"",$C$24)</f>
        <v/>
      </c>
      <c r="AI24">
        <f>IF(OR(19=25,$B$24&lt;&gt;1),"",$C$24)</f>
        <v/>
      </c>
      <c r="AJ24">
        <f>IF(OR(19=26,$B$24&lt;&gt;1),"",$C$24)</f>
        <v/>
      </c>
      <c r="AK24">
        <f>IF(OR(19=27,$B$24&lt;&gt;1),"",$C$24)</f>
        <v/>
      </c>
      <c r="AL24">
        <f>IF(OR(19=28,$B$24&lt;&gt;1),"",$C$24)</f>
        <v/>
      </c>
      <c r="AM24">
        <f>IF(OR(19=29,$B$24&lt;&gt;1),"",$C$24)</f>
        <v/>
      </c>
      <c r="AN24">
        <f>IF(OR(19=30,$B$24&lt;&gt;1),"",$C$24)</f>
        <v/>
      </c>
      <c r="AO24">
        <f>IF(OR(19=31,$B$24&lt;&gt;1),"",$C$24)</f>
        <v/>
      </c>
      <c r="AP24">
        <f>IF(OR(19=32,$B$24&lt;&gt;1),"",$C$24)</f>
        <v/>
      </c>
      <c r="AQ24">
        <f>IF(OR(19=33,$B$24&lt;&gt;1),"",$C$24)</f>
        <v/>
      </c>
      <c r="AR24">
        <f>IF(OR(19=34,$B$24&lt;&gt;1),"",$C$24)</f>
        <v/>
      </c>
      <c r="AS24">
        <f>IF(OR(19=35,$B$24&lt;&gt;1),"",$C$24)</f>
        <v/>
      </c>
      <c r="AT24">
        <f>IF(OR(19=36,$B$24&lt;&gt;1),"",$C$24)</f>
        <v/>
      </c>
      <c r="AU24">
        <f>IF(OR(19=37,$B$24&lt;&gt;1),"",$C$24)</f>
        <v/>
      </c>
      <c r="AV24">
        <f>IF(OR(19=38,$B$24&lt;&gt;1),"",$C$24)</f>
        <v/>
      </c>
      <c r="AW24">
        <f>IF(OR(19=39,$B$24&lt;&gt;1),"",$C$24)</f>
        <v/>
      </c>
      <c r="AX24">
        <f>IF(OR(19=40,$B$24&lt;&gt;1),"",$C$24)</f>
        <v/>
      </c>
      <c r="AY24">
        <f>IF(OR(19=41,$B$24&lt;&gt;1),"",$C$24)</f>
        <v/>
      </c>
      <c r="AZ24">
        <f>IF(OR(19=42,$B$24&lt;&gt;1),"",$C$24)</f>
        <v/>
      </c>
      <c r="BA24">
        <f>IF(OR(19=43,$B$24&lt;&gt;1),"",$C$24)</f>
        <v/>
      </c>
      <c r="BB24">
        <f>IF(OR(19=44,$B$24&lt;&gt;1),"",$C$24)</f>
        <v/>
      </c>
      <c r="BC24">
        <f>IF(OR(19=45,$B$24&lt;&gt;1),"",$C$24)</f>
        <v/>
      </c>
      <c r="BD24">
        <f>IF(OR(19=46,$B$24&lt;&gt;1),"",$C$24)</f>
        <v/>
      </c>
      <c r="BE24">
        <f>IF(OR(19=47,$B$24&lt;&gt;1),"",$C$24)</f>
        <v/>
      </c>
      <c r="BF24">
        <f>IF(OR(19=48,$B$24&lt;&gt;1),"",$C$24)</f>
        <v/>
      </c>
      <c r="BG24">
        <f>IF(OR(19=49,$B$24&lt;&gt;1),"",$C$24)</f>
        <v/>
      </c>
    </row>
    <row r="25">
      <c r="A25" s="5">
        <f>IF(Clients!A25="","",Clients!A25)</f>
        <v/>
      </c>
      <c r="B25" s="5">
        <f>IF(A25="",0,IF(AND(Clients!K25=1,ISNUMBER(Clients!D25),ISNUMBER(INDEX(Clients!E25:J25,1,MATCH(Setup!$B$7,Clients!$E$4:$J$4,0)))),1,0))</f>
        <v/>
      </c>
      <c r="C25" s="12">
        <f>IF(B25=1,INDEX(Clients!E25:J25,1,MATCH(Setup!$B$7,Clients!$E$4:$J$4,0)),"")</f>
        <v/>
      </c>
      <c r="D25" s="13">
        <f>IF(B25&lt;&gt;1,"",IF(COUNT(AD5:AD54)=0,"",MEDIAN(AD5:AD54)))</f>
        <v/>
      </c>
      <c r="E25" s="12">
        <f>IF(B25=1,Clients!D25,"")</f>
        <v/>
      </c>
      <c r="F25" s="10" t="n"/>
      <c r="G25" s="12">
        <f>IF(AND(B25=1,ISNUMBER(F25)),F25-E25,"")</f>
        <v/>
      </c>
      <c r="J25">
        <f>IF(OR(20=0,$B$25&lt;&gt;1),"",$C$25)</f>
        <v/>
      </c>
      <c r="K25">
        <f>IF(OR(20=1,$B$25&lt;&gt;1),"",$C$25)</f>
        <v/>
      </c>
      <c r="L25">
        <f>IF(OR(20=2,$B$25&lt;&gt;1),"",$C$25)</f>
        <v/>
      </c>
      <c r="M25">
        <f>IF(OR(20=3,$B$25&lt;&gt;1),"",$C$25)</f>
        <v/>
      </c>
      <c r="N25">
        <f>IF(OR(20=4,$B$25&lt;&gt;1),"",$C$25)</f>
        <v/>
      </c>
      <c r="O25">
        <f>IF(OR(20=5,$B$25&lt;&gt;1),"",$C$25)</f>
        <v/>
      </c>
      <c r="P25">
        <f>IF(OR(20=6,$B$25&lt;&gt;1),"",$C$25)</f>
        <v/>
      </c>
      <c r="Q25">
        <f>IF(OR(20=7,$B$25&lt;&gt;1),"",$C$25)</f>
        <v/>
      </c>
      <c r="R25">
        <f>IF(OR(20=8,$B$25&lt;&gt;1),"",$C$25)</f>
        <v/>
      </c>
      <c r="S25">
        <f>IF(OR(20=9,$B$25&lt;&gt;1),"",$C$25)</f>
        <v/>
      </c>
      <c r="T25">
        <f>IF(OR(20=10,$B$25&lt;&gt;1),"",$C$25)</f>
        <v/>
      </c>
      <c r="U25">
        <f>IF(OR(20=11,$B$25&lt;&gt;1),"",$C$25)</f>
        <v/>
      </c>
      <c r="V25">
        <f>IF(OR(20=12,$B$25&lt;&gt;1),"",$C$25)</f>
        <v/>
      </c>
      <c r="W25">
        <f>IF(OR(20=13,$B$25&lt;&gt;1),"",$C$25)</f>
        <v/>
      </c>
      <c r="X25">
        <f>IF(OR(20=14,$B$25&lt;&gt;1),"",$C$25)</f>
        <v/>
      </c>
      <c r="Y25">
        <f>IF(OR(20=15,$B$25&lt;&gt;1),"",$C$25)</f>
        <v/>
      </c>
      <c r="Z25">
        <f>IF(OR(20=16,$B$25&lt;&gt;1),"",$C$25)</f>
        <v/>
      </c>
      <c r="AA25">
        <f>IF(OR(20=17,$B$25&lt;&gt;1),"",$C$25)</f>
        <v/>
      </c>
      <c r="AB25">
        <f>IF(OR(20=18,$B$25&lt;&gt;1),"",$C$25)</f>
        <v/>
      </c>
      <c r="AC25">
        <f>IF(OR(20=19,$B$25&lt;&gt;1),"",$C$25)</f>
        <v/>
      </c>
      <c r="AD25">
        <f>IF(OR(20=20,$B$25&lt;&gt;1),"",$C$25)</f>
        <v/>
      </c>
      <c r="AE25">
        <f>IF(OR(20=21,$B$25&lt;&gt;1),"",$C$25)</f>
        <v/>
      </c>
      <c r="AF25">
        <f>IF(OR(20=22,$B$25&lt;&gt;1),"",$C$25)</f>
        <v/>
      </c>
      <c r="AG25">
        <f>IF(OR(20=23,$B$25&lt;&gt;1),"",$C$25)</f>
        <v/>
      </c>
      <c r="AH25">
        <f>IF(OR(20=24,$B$25&lt;&gt;1),"",$C$25)</f>
        <v/>
      </c>
      <c r="AI25">
        <f>IF(OR(20=25,$B$25&lt;&gt;1),"",$C$25)</f>
        <v/>
      </c>
      <c r="AJ25">
        <f>IF(OR(20=26,$B$25&lt;&gt;1),"",$C$25)</f>
        <v/>
      </c>
      <c r="AK25">
        <f>IF(OR(20=27,$B$25&lt;&gt;1),"",$C$25)</f>
        <v/>
      </c>
      <c r="AL25">
        <f>IF(OR(20=28,$B$25&lt;&gt;1),"",$C$25)</f>
        <v/>
      </c>
      <c r="AM25">
        <f>IF(OR(20=29,$B$25&lt;&gt;1),"",$C$25)</f>
        <v/>
      </c>
      <c r="AN25">
        <f>IF(OR(20=30,$B$25&lt;&gt;1),"",$C$25)</f>
        <v/>
      </c>
      <c r="AO25">
        <f>IF(OR(20=31,$B$25&lt;&gt;1),"",$C$25)</f>
        <v/>
      </c>
      <c r="AP25">
        <f>IF(OR(20=32,$B$25&lt;&gt;1),"",$C$25)</f>
        <v/>
      </c>
      <c r="AQ25">
        <f>IF(OR(20=33,$B$25&lt;&gt;1),"",$C$25)</f>
        <v/>
      </c>
      <c r="AR25">
        <f>IF(OR(20=34,$B$25&lt;&gt;1),"",$C$25)</f>
        <v/>
      </c>
      <c r="AS25">
        <f>IF(OR(20=35,$B$25&lt;&gt;1),"",$C$25)</f>
        <v/>
      </c>
      <c r="AT25">
        <f>IF(OR(20=36,$B$25&lt;&gt;1),"",$C$25)</f>
        <v/>
      </c>
      <c r="AU25">
        <f>IF(OR(20=37,$B$25&lt;&gt;1),"",$C$25)</f>
        <v/>
      </c>
      <c r="AV25">
        <f>IF(OR(20=38,$B$25&lt;&gt;1),"",$C$25)</f>
        <v/>
      </c>
      <c r="AW25">
        <f>IF(OR(20=39,$B$25&lt;&gt;1),"",$C$25)</f>
        <v/>
      </c>
      <c r="AX25">
        <f>IF(OR(20=40,$B$25&lt;&gt;1),"",$C$25)</f>
        <v/>
      </c>
      <c r="AY25">
        <f>IF(OR(20=41,$B$25&lt;&gt;1),"",$C$25)</f>
        <v/>
      </c>
      <c r="AZ25">
        <f>IF(OR(20=42,$B$25&lt;&gt;1),"",$C$25)</f>
        <v/>
      </c>
      <c r="BA25">
        <f>IF(OR(20=43,$B$25&lt;&gt;1),"",$C$25)</f>
        <v/>
      </c>
      <c r="BB25">
        <f>IF(OR(20=44,$B$25&lt;&gt;1),"",$C$25)</f>
        <v/>
      </c>
      <c r="BC25">
        <f>IF(OR(20=45,$B$25&lt;&gt;1),"",$C$25)</f>
        <v/>
      </c>
      <c r="BD25">
        <f>IF(OR(20=46,$B$25&lt;&gt;1),"",$C$25)</f>
        <v/>
      </c>
      <c r="BE25">
        <f>IF(OR(20=47,$B$25&lt;&gt;1),"",$C$25)</f>
        <v/>
      </c>
      <c r="BF25">
        <f>IF(OR(20=48,$B$25&lt;&gt;1),"",$C$25)</f>
        <v/>
      </c>
      <c r="BG25">
        <f>IF(OR(20=49,$B$25&lt;&gt;1),"",$C$25)</f>
        <v/>
      </c>
    </row>
    <row r="26">
      <c r="A26" s="5">
        <f>IF(Clients!A26="","",Clients!A26)</f>
        <v/>
      </c>
      <c r="B26" s="5">
        <f>IF(A26="",0,IF(AND(Clients!K26=1,ISNUMBER(Clients!D26),ISNUMBER(INDEX(Clients!E26:J26,1,MATCH(Setup!$B$7,Clients!$E$4:$J$4,0)))),1,0))</f>
        <v/>
      </c>
      <c r="C26" s="12">
        <f>IF(B26=1,INDEX(Clients!E26:J26,1,MATCH(Setup!$B$7,Clients!$E$4:$J$4,0)),"")</f>
        <v/>
      </c>
      <c r="D26" s="13">
        <f>IF(B26&lt;&gt;1,"",IF(COUNT(AE5:AE54)=0,"",MEDIAN(AE5:AE54)))</f>
        <v/>
      </c>
      <c r="E26" s="12">
        <f>IF(B26=1,Clients!D26,"")</f>
        <v/>
      </c>
      <c r="F26" s="10" t="n"/>
      <c r="G26" s="12">
        <f>IF(AND(B26=1,ISNUMBER(F26)),F26-E26,"")</f>
        <v/>
      </c>
      <c r="J26">
        <f>IF(OR(21=0,$B$26&lt;&gt;1),"",$C$26)</f>
        <v/>
      </c>
      <c r="K26">
        <f>IF(OR(21=1,$B$26&lt;&gt;1),"",$C$26)</f>
        <v/>
      </c>
      <c r="L26">
        <f>IF(OR(21=2,$B$26&lt;&gt;1),"",$C$26)</f>
        <v/>
      </c>
      <c r="M26">
        <f>IF(OR(21=3,$B$26&lt;&gt;1),"",$C$26)</f>
        <v/>
      </c>
      <c r="N26">
        <f>IF(OR(21=4,$B$26&lt;&gt;1),"",$C$26)</f>
        <v/>
      </c>
      <c r="O26">
        <f>IF(OR(21=5,$B$26&lt;&gt;1),"",$C$26)</f>
        <v/>
      </c>
      <c r="P26">
        <f>IF(OR(21=6,$B$26&lt;&gt;1),"",$C$26)</f>
        <v/>
      </c>
      <c r="Q26">
        <f>IF(OR(21=7,$B$26&lt;&gt;1),"",$C$26)</f>
        <v/>
      </c>
      <c r="R26">
        <f>IF(OR(21=8,$B$26&lt;&gt;1),"",$C$26)</f>
        <v/>
      </c>
      <c r="S26">
        <f>IF(OR(21=9,$B$26&lt;&gt;1),"",$C$26)</f>
        <v/>
      </c>
      <c r="T26">
        <f>IF(OR(21=10,$B$26&lt;&gt;1),"",$C$26)</f>
        <v/>
      </c>
      <c r="U26">
        <f>IF(OR(21=11,$B$26&lt;&gt;1),"",$C$26)</f>
        <v/>
      </c>
      <c r="V26">
        <f>IF(OR(21=12,$B$26&lt;&gt;1),"",$C$26)</f>
        <v/>
      </c>
      <c r="W26">
        <f>IF(OR(21=13,$B$26&lt;&gt;1),"",$C$26)</f>
        <v/>
      </c>
      <c r="X26">
        <f>IF(OR(21=14,$B$26&lt;&gt;1),"",$C$26)</f>
        <v/>
      </c>
      <c r="Y26">
        <f>IF(OR(21=15,$B$26&lt;&gt;1),"",$C$26)</f>
        <v/>
      </c>
      <c r="Z26">
        <f>IF(OR(21=16,$B$26&lt;&gt;1),"",$C$26)</f>
        <v/>
      </c>
      <c r="AA26">
        <f>IF(OR(21=17,$B$26&lt;&gt;1),"",$C$26)</f>
        <v/>
      </c>
      <c r="AB26">
        <f>IF(OR(21=18,$B$26&lt;&gt;1),"",$C$26)</f>
        <v/>
      </c>
      <c r="AC26">
        <f>IF(OR(21=19,$B$26&lt;&gt;1),"",$C$26)</f>
        <v/>
      </c>
      <c r="AD26">
        <f>IF(OR(21=20,$B$26&lt;&gt;1),"",$C$26)</f>
        <v/>
      </c>
      <c r="AE26">
        <f>IF(OR(21=21,$B$26&lt;&gt;1),"",$C$26)</f>
        <v/>
      </c>
      <c r="AF26">
        <f>IF(OR(21=22,$B$26&lt;&gt;1),"",$C$26)</f>
        <v/>
      </c>
      <c r="AG26">
        <f>IF(OR(21=23,$B$26&lt;&gt;1),"",$C$26)</f>
        <v/>
      </c>
      <c r="AH26">
        <f>IF(OR(21=24,$B$26&lt;&gt;1),"",$C$26)</f>
        <v/>
      </c>
      <c r="AI26">
        <f>IF(OR(21=25,$B$26&lt;&gt;1),"",$C$26)</f>
        <v/>
      </c>
      <c r="AJ26">
        <f>IF(OR(21=26,$B$26&lt;&gt;1),"",$C$26)</f>
        <v/>
      </c>
      <c r="AK26">
        <f>IF(OR(21=27,$B$26&lt;&gt;1),"",$C$26)</f>
        <v/>
      </c>
      <c r="AL26">
        <f>IF(OR(21=28,$B$26&lt;&gt;1),"",$C$26)</f>
        <v/>
      </c>
      <c r="AM26">
        <f>IF(OR(21=29,$B$26&lt;&gt;1),"",$C$26)</f>
        <v/>
      </c>
      <c r="AN26">
        <f>IF(OR(21=30,$B$26&lt;&gt;1),"",$C$26)</f>
        <v/>
      </c>
      <c r="AO26">
        <f>IF(OR(21=31,$B$26&lt;&gt;1),"",$C$26)</f>
        <v/>
      </c>
      <c r="AP26">
        <f>IF(OR(21=32,$B$26&lt;&gt;1),"",$C$26)</f>
        <v/>
      </c>
      <c r="AQ26">
        <f>IF(OR(21=33,$B$26&lt;&gt;1),"",$C$26)</f>
        <v/>
      </c>
      <c r="AR26">
        <f>IF(OR(21=34,$B$26&lt;&gt;1),"",$C$26)</f>
        <v/>
      </c>
      <c r="AS26">
        <f>IF(OR(21=35,$B$26&lt;&gt;1),"",$C$26)</f>
        <v/>
      </c>
      <c r="AT26">
        <f>IF(OR(21=36,$B$26&lt;&gt;1),"",$C$26)</f>
        <v/>
      </c>
      <c r="AU26">
        <f>IF(OR(21=37,$B$26&lt;&gt;1),"",$C$26)</f>
        <v/>
      </c>
      <c r="AV26">
        <f>IF(OR(21=38,$B$26&lt;&gt;1),"",$C$26)</f>
        <v/>
      </c>
      <c r="AW26">
        <f>IF(OR(21=39,$B$26&lt;&gt;1),"",$C$26)</f>
        <v/>
      </c>
      <c r="AX26">
        <f>IF(OR(21=40,$B$26&lt;&gt;1),"",$C$26)</f>
        <v/>
      </c>
      <c r="AY26">
        <f>IF(OR(21=41,$B$26&lt;&gt;1),"",$C$26)</f>
        <v/>
      </c>
      <c r="AZ26">
        <f>IF(OR(21=42,$B$26&lt;&gt;1),"",$C$26)</f>
        <v/>
      </c>
      <c r="BA26">
        <f>IF(OR(21=43,$B$26&lt;&gt;1),"",$C$26)</f>
        <v/>
      </c>
      <c r="BB26">
        <f>IF(OR(21=44,$B$26&lt;&gt;1),"",$C$26)</f>
        <v/>
      </c>
      <c r="BC26">
        <f>IF(OR(21=45,$B$26&lt;&gt;1),"",$C$26)</f>
        <v/>
      </c>
      <c r="BD26">
        <f>IF(OR(21=46,$B$26&lt;&gt;1),"",$C$26)</f>
        <v/>
      </c>
      <c r="BE26">
        <f>IF(OR(21=47,$B$26&lt;&gt;1),"",$C$26)</f>
        <v/>
      </c>
      <c r="BF26">
        <f>IF(OR(21=48,$B$26&lt;&gt;1),"",$C$26)</f>
        <v/>
      </c>
      <c r="BG26">
        <f>IF(OR(21=49,$B$26&lt;&gt;1),"",$C$26)</f>
        <v/>
      </c>
    </row>
    <row r="27">
      <c r="A27" s="5">
        <f>IF(Clients!A27="","",Clients!A27)</f>
        <v/>
      </c>
      <c r="B27" s="5">
        <f>IF(A27="",0,IF(AND(Clients!K27=1,ISNUMBER(Clients!D27),ISNUMBER(INDEX(Clients!E27:J27,1,MATCH(Setup!$B$7,Clients!$E$4:$J$4,0)))),1,0))</f>
        <v/>
      </c>
      <c r="C27" s="12">
        <f>IF(B27=1,INDEX(Clients!E27:J27,1,MATCH(Setup!$B$7,Clients!$E$4:$J$4,0)),"")</f>
        <v/>
      </c>
      <c r="D27" s="13">
        <f>IF(B27&lt;&gt;1,"",IF(COUNT(AF5:AF54)=0,"",MEDIAN(AF5:AF54)))</f>
        <v/>
      </c>
      <c r="E27" s="12">
        <f>IF(B27=1,Clients!D27,"")</f>
        <v/>
      </c>
      <c r="F27" s="10" t="n"/>
      <c r="G27" s="12">
        <f>IF(AND(B27=1,ISNUMBER(F27)),F27-E27,"")</f>
        <v/>
      </c>
      <c r="J27">
        <f>IF(OR(22=0,$B$27&lt;&gt;1),"",$C$27)</f>
        <v/>
      </c>
      <c r="K27">
        <f>IF(OR(22=1,$B$27&lt;&gt;1),"",$C$27)</f>
        <v/>
      </c>
      <c r="L27">
        <f>IF(OR(22=2,$B$27&lt;&gt;1),"",$C$27)</f>
        <v/>
      </c>
      <c r="M27">
        <f>IF(OR(22=3,$B$27&lt;&gt;1),"",$C$27)</f>
        <v/>
      </c>
      <c r="N27">
        <f>IF(OR(22=4,$B$27&lt;&gt;1),"",$C$27)</f>
        <v/>
      </c>
      <c r="O27">
        <f>IF(OR(22=5,$B$27&lt;&gt;1),"",$C$27)</f>
        <v/>
      </c>
      <c r="P27">
        <f>IF(OR(22=6,$B$27&lt;&gt;1),"",$C$27)</f>
        <v/>
      </c>
      <c r="Q27">
        <f>IF(OR(22=7,$B$27&lt;&gt;1),"",$C$27)</f>
        <v/>
      </c>
      <c r="R27">
        <f>IF(OR(22=8,$B$27&lt;&gt;1),"",$C$27)</f>
        <v/>
      </c>
      <c r="S27">
        <f>IF(OR(22=9,$B$27&lt;&gt;1),"",$C$27)</f>
        <v/>
      </c>
      <c r="T27">
        <f>IF(OR(22=10,$B$27&lt;&gt;1),"",$C$27)</f>
        <v/>
      </c>
      <c r="U27">
        <f>IF(OR(22=11,$B$27&lt;&gt;1),"",$C$27)</f>
        <v/>
      </c>
      <c r="V27">
        <f>IF(OR(22=12,$B$27&lt;&gt;1),"",$C$27)</f>
        <v/>
      </c>
      <c r="W27">
        <f>IF(OR(22=13,$B$27&lt;&gt;1),"",$C$27)</f>
        <v/>
      </c>
      <c r="X27">
        <f>IF(OR(22=14,$B$27&lt;&gt;1),"",$C$27)</f>
        <v/>
      </c>
      <c r="Y27">
        <f>IF(OR(22=15,$B$27&lt;&gt;1),"",$C$27)</f>
        <v/>
      </c>
      <c r="Z27">
        <f>IF(OR(22=16,$B$27&lt;&gt;1),"",$C$27)</f>
        <v/>
      </c>
      <c r="AA27">
        <f>IF(OR(22=17,$B$27&lt;&gt;1),"",$C$27)</f>
        <v/>
      </c>
      <c r="AB27">
        <f>IF(OR(22=18,$B$27&lt;&gt;1),"",$C$27)</f>
        <v/>
      </c>
      <c r="AC27">
        <f>IF(OR(22=19,$B$27&lt;&gt;1),"",$C$27)</f>
        <v/>
      </c>
      <c r="AD27">
        <f>IF(OR(22=20,$B$27&lt;&gt;1),"",$C$27)</f>
        <v/>
      </c>
      <c r="AE27">
        <f>IF(OR(22=21,$B$27&lt;&gt;1),"",$C$27)</f>
        <v/>
      </c>
      <c r="AF27">
        <f>IF(OR(22=22,$B$27&lt;&gt;1),"",$C$27)</f>
        <v/>
      </c>
      <c r="AG27">
        <f>IF(OR(22=23,$B$27&lt;&gt;1),"",$C$27)</f>
        <v/>
      </c>
      <c r="AH27">
        <f>IF(OR(22=24,$B$27&lt;&gt;1),"",$C$27)</f>
        <v/>
      </c>
      <c r="AI27">
        <f>IF(OR(22=25,$B$27&lt;&gt;1),"",$C$27)</f>
        <v/>
      </c>
      <c r="AJ27">
        <f>IF(OR(22=26,$B$27&lt;&gt;1),"",$C$27)</f>
        <v/>
      </c>
      <c r="AK27">
        <f>IF(OR(22=27,$B$27&lt;&gt;1),"",$C$27)</f>
        <v/>
      </c>
      <c r="AL27">
        <f>IF(OR(22=28,$B$27&lt;&gt;1),"",$C$27)</f>
        <v/>
      </c>
      <c r="AM27">
        <f>IF(OR(22=29,$B$27&lt;&gt;1),"",$C$27)</f>
        <v/>
      </c>
      <c r="AN27">
        <f>IF(OR(22=30,$B$27&lt;&gt;1),"",$C$27)</f>
        <v/>
      </c>
      <c r="AO27">
        <f>IF(OR(22=31,$B$27&lt;&gt;1),"",$C$27)</f>
        <v/>
      </c>
      <c r="AP27">
        <f>IF(OR(22=32,$B$27&lt;&gt;1),"",$C$27)</f>
        <v/>
      </c>
      <c r="AQ27">
        <f>IF(OR(22=33,$B$27&lt;&gt;1),"",$C$27)</f>
        <v/>
      </c>
      <c r="AR27">
        <f>IF(OR(22=34,$B$27&lt;&gt;1),"",$C$27)</f>
        <v/>
      </c>
      <c r="AS27">
        <f>IF(OR(22=35,$B$27&lt;&gt;1),"",$C$27)</f>
        <v/>
      </c>
      <c r="AT27">
        <f>IF(OR(22=36,$B$27&lt;&gt;1),"",$C$27)</f>
        <v/>
      </c>
      <c r="AU27">
        <f>IF(OR(22=37,$B$27&lt;&gt;1),"",$C$27)</f>
        <v/>
      </c>
      <c r="AV27">
        <f>IF(OR(22=38,$B$27&lt;&gt;1),"",$C$27)</f>
        <v/>
      </c>
      <c r="AW27">
        <f>IF(OR(22=39,$B$27&lt;&gt;1),"",$C$27)</f>
        <v/>
      </c>
      <c r="AX27">
        <f>IF(OR(22=40,$B$27&lt;&gt;1),"",$C$27)</f>
        <v/>
      </c>
      <c r="AY27">
        <f>IF(OR(22=41,$B$27&lt;&gt;1),"",$C$27)</f>
        <v/>
      </c>
      <c r="AZ27">
        <f>IF(OR(22=42,$B$27&lt;&gt;1),"",$C$27)</f>
        <v/>
      </c>
      <c r="BA27">
        <f>IF(OR(22=43,$B$27&lt;&gt;1),"",$C$27)</f>
        <v/>
      </c>
      <c r="BB27">
        <f>IF(OR(22=44,$B$27&lt;&gt;1),"",$C$27)</f>
        <v/>
      </c>
      <c r="BC27">
        <f>IF(OR(22=45,$B$27&lt;&gt;1),"",$C$27)</f>
        <v/>
      </c>
      <c r="BD27">
        <f>IF(OR(22=46,$B$27&lt;&gt;1),"",$C$27)</f>
        <v/>
      </c>
      <c r="BE27">
        <f>IF(OR(22=47,$B$27&lt;&gt;1),"",$C$27)</f>
        <v/>
      </c>
      <c r="BF27">
        <f>IF(OR(22=48,$B$27&lt;&gt;1),"",$C$27)</f>
        <v/>
      </c>
      <c r="BG27">
        <f>IF(OR(22=49,$B$27&lt;&gt;1),"",$C$27)</f>
        <v/>
      </c>
    </row>
    <row r="28">
      <c r="A28" s="5">
        <f>IF(Clients!A28="","",Clients!A28)</f>
        <v/>
      </c>
      <c r="B28" s="5">
        <f>IF(A28="",0,IF(AND(Clients!K28=1,ISNUMBER(Clients!D28),ISNUMBER(INDEX(Clients!E28:J28,1,MATCH(Setup!$B$7,Clients!$E$4:$J$4,0)))),1,0))</f>
        <v/>
      </c>
      <c r="C28" s="12">
        <f>IF(B28=1,INDEX(Clients!E28:J28,1,MATCH(Setup!$B$7,Clients!$E$4:$J$4,0)),"")</f>
        <v/>
      </c>
      <c r="D28" s="13">
        <f>IF(B28&lt;&gt;1,"",IF(COUNT(AG5:AG54)=0,"",MEDIAN(AG5:AG54)))</f>
        <v/>
      </c>
      <c r="E28" s="12">
        <f>IF(B28=1,Clients!D28,"")</f>
        <v/>
      </c>
      <c r="F28" s="10" t="n"/>
      <c r="G28" s="12">
        <f>IF(AND(B28=1,ISNUMBER(F28)),F28-E28,"")</f>
        <v/>
      </c>
      <c r="J28">
        <f>IF(OR(23=0,$B$28&lt;&gt;1),"",$C$28)</f>
        <v/>
      </c>
      <c r="K28">
        <f>IF(OR(23=1,$B$28&lt;&gt;1),"",$C$28)</f>
        <v/>
      </c>
      <c r="L28">
        <f>IF(OR(23=2,$B$28&lt;&gt;1),"",$C$28)</f>
        <v/>
      </c>
      <c r="M28">
        <f>IF(OR(23=3,$B$28&lt;&gt;1),"",$C$28)</f>
        <v/>
      </c>
      <c r="N28">
        <f>IF(OR(23=4,$B$28&lt;&gt;1),"",$C$28)</f>
        <v/>
      </c>
      <c r="O28">
        <f>IF(OR(23=5,$B$28&lt;&gt;1),"",$C$28)</f>
        <v/>
      </c>
      <c r="P28">
        <f>IF(OR(23=6,$B$28&lt;&gt;1),"",$C$28)</f>
        <v/>
      </c>
      <c r="Q28">
        <f>IF(OR(23=7,$B$28&lt;&gt;1),"",$C$28)</f>
        <v/>
      </c>
      <c r="R28">
        <f>IF(OR(23=8,$B$28&lt;&gt;1),"",$C$28)</f>
        <v/>
      </c>
      <c r="S28">
        <f>IF(OR(23=9,$B$28&lt;&gt;1),"",$C$28)</f>
        <v/>
      </c>
      <c r="T28">
        <f>IF(OR(23=10,$B$28&lt;&gt;1),"",$C$28)</f>
        <v/>
      </c>
      <c r="U28">
        <f>IF(OR(23=11,$B$28&lt;&gt;1),"",$C$28)</f>
        <v/>
      </c>
      <c r="V28">
        <f>IF(OR(23=12,$B$28&lt;&gt;1),"",$C$28)</f>
        <v/>
      </c>
      <c r="W28">
        <f>IF(OR(23=13,$B$28&lt;&gt;1),"",$C$28)</f>
        <v/>
      </c>
      <c r="X28">
        <f>IF(OR(23=14,$B$28&lt;&gt;1),"",$C$28)</f>
        <v/>
      </c>
      <c r="Y28">
        <f>IF(OR(23=15,$B$28&lt;&gt;1),"",$C$28)</f>
        <v/>
      </c>
      <c r="Z28">
        <f>IF(OR(23=16,$B$28&lt;&gt;1),"",$C$28)</f>
        <v/>
      </c>
      <c r="AA28">
        <f>IF(OR(23=17,$B$28&lt;&gt;1),"",$C$28)</f>
        <v/>
      </c>
      <c r="AB28">
        <f>IF(OR(23=18,$B$28&lt;&gt;1),"",$C$28)</f>
        <v/>
      </c>
      <c r="AC28">
        <f>IF(OR(23=19,$B$28&lt;&gt;1),"",$C$28)</f>
        <v/>
      </c>
      <c r="AD28">
        <f>IF(OR(23=20,$B$28&lt;&gt;1),"",$C$28)</f>
        <v/>
      </c>
      <c r="AE28">
        <f>IF(OR(23=21,$B$28&lt;&gt;1),"",$C$28)</f>
        <v/>
      </c>
      <c r="AF28">
        <f>IF(OR(23=22,$B$28&lt;&gt;1),"",$C$28)</f>
        <v/>
      </c>
      <c r="AG28">
        <f>IF(OR(23=23,$B$28&lt;&gt;1),"",$C$28)</f>
        <v/>
      </c>
      <c r="AH28">
        <f>IF(OR(23=24,$B$28&lt;&gt;1),"",$C$28)</f>
        <v/>
      </c>
      <c r="AI28">
        <f>IF(OR(23=25,$B$28&lt;&gt;1),"",$C$28)</f>
        <v/>
      </c>
      <c r="AJ28">
        <f>IF(OR(23=26,$B$28&lt;&gt;1),"",$C$28)</f>
        <v/>
      </c>
      <c r="AK28">
        <f>IF(OR(23=27,$B$28&lt;&gt;1),"",$C$28)</f>
        <v/>
      </c>
      <c r="AL28">
        <f>IF(OR(23=28,$B$28&lt;&gt;1),"",$C$28)</f>
        <v/>
      </c>
      <c r="AM28">
        <f>IF(OR(23=29,$B$28&lt;&gt;1),"",$C$28)</f>
        <v/>
      </c>
      <c r="AN28">
        <f>IF(OR(23=30,$B$28&lt;&gt;1),"",$C$28)</f>
        <v/>
      </c>
      <c r="AO28">
        <f>IF(OR(23=31,$B$28&lt;&gt;1),"",$C$28)</f>
        <v/>
      </c>
      <c r="AP28">
        <f>IF(OR(23=32,$B$28&lt;&gt;1),"",$C$28)</f>
        <v/>
      </c>
      <c r="AQ28">
        <f>IF(OR(23=33,$B$28&lt;&gt;1),"",$C$28)</f>
        <v/>
      </c>
      <c r="AR28">
        <f>IF(OR(23=34,$B$28&lt;&gt;1),"",$C$28)</f>
        <v/>
      </c>
      <c r="AS28">
        <f>IF(OR(23=35,$B$28&lt;&gt;1),"",$C$28)</f>
        <v/>
      </c>
      <c r="AT28">
        <f>IF(OR(23=36,$B$28&lt;&gt;1),"",$C$28)</f>
        <v/>
      </c>
      <c r="AU28">
        <f>IF(OR(23=37,$B$28&lt;&gt;1),"",$C$28)</f>
        <v/>
      </c>
      <c r="AV28">
        <f>IF(OR(23=38,$B$28&lt;&gt;1),"",$C$28)</f>
        <v/>
      </c>
      <c r="AW28">
        <f>IF(OR(23=39,$B$28&lt;&gt;1),"",$C$28)</f>
        <v/>
      </c>
      <c r="AX28">
        <f>IF(OR(23=40,$B$28&lt;&gt;1),"",$C$28)</f>
        <v/>
      </c>
      <c r="AY28">
        <f>IF(OR(23=41,$B$28&lt;&gt;1),"",$C$28)</f>
        <v/>
      </c>
      <c r="AZ28">
        <f>IF(OR(23=42,$B$28&lt;&gt;1),"",$C$28)</f>
        <v/>
      </c>
      <c r="BA28">
        <f>IF(OR(23=43,$B$28&lt;&gt;1),"",$C$28)</f>
        <v/>
      </c>
      <c r="BB28">
        <f>IF(OR(23=44,$B$28&lt;&gt;1),"",$C$28)</f>
        <v/>
      </c>
      <c r="BC28">
        <f>IF(OR(23=45,$B$28&lt;&gt;1),"",$C$28)</f>
        <v/>
      </c>
      <c r="BD28">
        <f>IF(OR(23=46,$B$28&lt;&gt;1),"",$C$28)</f>
        <v/>
      </c>
      <c r="BE28">
        <f>IF(OR(23=47,$B$28&lt;&gt;1),"",$C$28)</f>
        <v/>
      </c>
      <c r="BF28">
        <f>IF(OR(23=48,$B$28&lt;&gt;1),"",$C$28)</f>
        <v/>
      </c>
      <c r="BG28">
        <f>IF(OR(23=49,$B$28&lt;&gt;1),"",$C$28)</f>
        <v/>
      </c>
    </row>
    <row r="29">
      <c r="A29" s="5">
        <f>IF(Clients!A29="","",Clients!A29)</f>
        <v/>
      </c>
      <c r="B29" s="5">
        <f>IF(A29="",0,IF(AND(Clients!K29=1,ISNUMBER(Clients!D29),ISNUMBER(INDEX(Clients!E29:J29,1,MATCH(Setup!$B$7,Clients!$E$4:$J$4,0)))),1,0))</f>
        <v/>
      </c>
      <c r="C29" s="12">
        <f>IF(B29=1,INDEX(Clients!E29:J29,1,MATCH(Setup!$B$7,Clients!$E$4:$J$4,0)),"")</f>
        <v/>
      </c>
      <c r="D29" s="13">
        <f>IF(B29&lt;&gt;1,"",IF(COUNT(AH5:AH54)=0,"",MEDIAN(AH5:AH54)))</f>
        <v/>
      </c>
      <c r="E29" s="12">
        <f>IF(B29=1,Clients!D29,"")</f>
        <v/>
      </c>
      <c r="F29" s="10" t="n"/>
      <c r="G29" s="12">
        <f>IF(AND(B29=1,ISNUMBER(F29)),F29-E29,"")</f>
        <v/>
      </c>
      <c r="J29">
        <f>IF(OR(24=0,$B$29&lt;&gt;1),"",$C$29)</f>
        <v/>
      </c>
      <c r="K29">
        <f>IF(OR(24=1,$B$29&lt;&gt;1),"",$C$29)</f>
        <v/>
      </c>
      <c r="L29">
        <f>IF(OR(24=2,$B$29&lt;&gt;1),"",$C$29)</f>
        <v/>
      </c>
      <c r="M29">
        <f>IF(OR(24=3,$B$29&lt;&gt;1),"",$C$29)</f>
        <v/>
      </c>
      <c r="N29">
        <f>IF(OR(24=4,$B$29&lt;&gt;1),"",$C$29)</f>
        <v/>
      </c>
      <c r="O29">
        <f>IF(OR(24=5,$B$29&lt;&gt;1),"",$C$29)</f>
        <v/>
      </c>
      <c r="P29">
        <f>IF(OR(24=6,$B$29&lt;&gt;1),"",$C$29)</f>
        <v/>
      </c>
      <c r="Q29">
        <f>IF(OR(24=7,$B$29&lt;&gt;1),"",$C$29)</f>
        <v/>
      </c>
      <c r="R29">
        <f>IF(OR(24=8,$B$29&lt;&gt;1),"",$C$29)</f>
        <v/>
      </c>
      <c r="S29">
        <f>IF(OR(24=9,$B$29&lt;&gt;1),"",$C$29)</f>
        <v/>
      </c>
      <c r="T29">
        <f>IF(OR(24=10,$B$29&lt;&gt;1),"",$C$29)</f>
        <v/>
      </c>
      <c r="U29">
        <f>IF(OR(24=11,$B$29&lt;&gt;1),"",$C$29)</f>
        <v/>
      </c>
      <c r="V29">
        <f>IF(OR(24=12,$B$29&lt;&gt;1),"",$C$29)</f>
        <v/>
      </c>
      <c r="W29">
        <f>IF(OR(24=13,$B$29&lt;&gt;1),"",$C$29)</f>
        <v/>
      </c>
      <c r="X29">
        <f>IF(OR(24=14,$B$29&lt;&gt;1),"",$C$29)</f>
        <v/>
      </c>
      <c r="Y29">
        <f>IF(OR(24=15,$B$29&lt;&gt;1),"",$C$29)</f>
        <v/>
      </c>
      <c r="Z29">
        <f>IF(OR(24=16,$B$29&lt;&gt;1),"",$C$29)</f>
        <v/>
      </c>
      <c r="AA29">
        <f>IF(OR(24=17,$B$29&lt;&gt;1),"",$C$29)</f>
        <v/>
      </c>
      <c r="AB29">
        <f>IF(OR(24=18,$B$29&lt;&gt;1),"",$C$29)</f>
        <v/>
      </c>
      <c r="AC29">
        <f>IF(OR(24=19,$B$29&lt;&gt;1),"",$C$29)</f>
        <v/>
      </c>
      <c r="AD29">
        <f>IF(OR(24=20,$B$29&lt;&gt;1),"",$C$29)</f>
        <v/>
      </c>
      <c r="AE29">
        <f>IF(OR(24=21,$B$29&lt;&gt;1),"",$C$29)</f>
        <v/>
      </c>
      <c r="AF29">
        <f>IF(OR(24=22,$B$29&lt;&gt;1),"",$C$29)</f>
        <v/>
      </c>
      <c r="AG29">
        <f>IF(OR(24=23,$B$29&lt;&gt;1),"",$C$29)</f>
        <v/>
      </c>
      <c r="AH29">
        <f>IF(OR(24=24,$B$29&lt;&gt;1),"",$C$29)</f>
        <v/>
      </c>
      <c r="AI29">
        <f>IF(OR(24=25,$B$29&lt;&gt;1),"",$C$29)</f>
        <v/>
      </c>
      <c r="AJ29">
        <f>IF(OR(24=26,$B$29&lt;&gt;1),"",$C$29)</f>
        <v/>
      </c>
      <c r="AK29">
        <f>IF(OR(24=27,$B$29&lt;&gt;1),"",$C$29)</f>
        <v/>
      </c>
      <c r="AL29">
        <f>IF(OR(24=28,$B$29&lt;&gt;1),"",$C$29)</f>
        <v/>
      </c>
      <c r="AM29">
        <f>IF(OR(24=29,$B$29&lt;&gt;1),"",$C$29)</f>
        <v/>
      </c>
      <c r="AN29">
        <f>IF(OR(24=30,$B$29&lt;&gt;1),"",$C$29)</f>
        <v/>
      </c>
      <c r="AO29">
        <f>IF(OR(24=31,$B$29&lt;&gt;1),"",$C$29)</f>
        <v/>
      </c>
      <c r="AP29">
        <f>IF(OR(24=32,$B$29&lt;&gt;1),"",$C$29)</f>
        <v/>
      </c>
      <c r="AQ29">
        <f>IF(OR(24=33,$B$29&lt;&gt;1),"",$C$29)</f>
        <v/>
      </c>
      <c r="AR29">
        <f>IF(OR(24=34,$B$29&lt;&gt;1),"",$C$29)</f>
        <v/>
      </c>
      <c r="AS29">
        <f>IF(OR(24=35,$B$29&lt;&gt;1),"",$C$29)</f>
        <v/>
      </c>
      <c r="AT29">
        <f>IF(OR(24=36,$B$29&lt;&gt;1),"",$C$29)</f>
        <v/>
      </c>
      <c r="AU29">
        <f>IF(OR(24=37,$B$29&lt;&gt;1),"",$C$29)</f>
        <v/>
      </c>
      <c r="AV29">
        <f>IF(OR(24=38,$B$29&lt;&gt;1),"",$C$29)</f>
        <v/>
      </c>
      <c r="AW29">
        <f>IF(OR(24=39,$B$29&lt;&gt;1),"",$C$29)</f>
        <v/>
      </c>
      <c r="AX29">
        <f>IF(OR(24=40,$B$29&lt;&gt;1),"",$C$29)</f>
        <v/>
      </c>
      <c r="AY29">
        <f>IF(OR(24=41,$B$29&lt;&gt;1),"",$C$29)</f>
        <v/>
      </c>
      <c r="AZ29">
        <f>IF(OR(24=42,$B$29&lt;&gt;1),"",$C$29)</f>
        <v/>
      </c>
      <c r="BA29">
        <f>IF(OR(24=43,$B$29&lt;&gt;1),"",$C$29)</f>
        <v/>
      </c>
      <c r="BB29">
        <f>IF(OR(24=44,$B$29&lt;&gt;1),"",$C$29)</f>
        <v/>
      </c>
      <c r="BC29">
        <f>IF(OR(24=45,$B$29&lt;&gt;1),"",$C$29)</f>
        <v/>
      </c>
      <c r="BD29">
        <f>IF(OR(24=46,$B$29&lt;&gt;1),"",$C$29)</f>
        <v/>
      </c>
      <c r="BE29">
        <f>IF(OR(24=47,$B$29&lt;&gt;1),"",$C$29)</f>
        <v/>
      </c>
      <c r="BF29">
        <f>IF(OR(24=48,$B$29&lt;&gt;1),"",$C$29)</f>
        <v/>
      </c>
      <c r="BG29">
        <f>IF(OR(24=49,$B$29&lt;&gt;1),"",$C$29)</f>
        <v/>
      </c>
    </row>
    <row r="30">
      <c r="A30" s="5">
        <f>IF(Clients!A30="","",Clients!A30)</f>
        <v/>
      </c>
      <c r="B30" s="5">
        <f>IF(A30="",0,IF(AND(Clients!K30=1,ISNUMBER(Clients!D30),ISNUMBER(INDEX(Clients!E30:J30,1,MATCH(Setup!$B$7,Clients!$E$4:$J$4,0)))),1,0))</f>
        <v/>
      </c>
      <c r="C30" s="12">
        <f>IF(B30=1,INDEX(Clients!E30:J30,1,MATCH(Setup!$B$7,Clients!$E$4:$J$4,0)),"")</f>
        <v/>
      </c>
      <c r="D30" s="13">
        <f>IF(B30&lt;&gt;1,"",IF(COUNT(AI5:AI54)=0,"",MEDIAN(AI5:AI54)))</f>
        <v/>
      </c>
      <c r="E30" s="12">
        <f>IF(B30=1,Clients!D30,"")</f>
        <v/>
      </c>
      <c r="F30" s="10" t="n"/>
      <c r="G30" s="12">
        <f>IF(AND(B30=1,ISNUMBER(F30)),F30-E30,"")</f>
        <v/>
      </c>
      <c r="J30">
        <f>IF(OR(25=0,$B$30&lt;&gt;1),"",$C$30)</f>
        <v/>
      </c>
      <c r="K30">
        <f>IF(OR(25=1,$B$30&lt;&gt;1),"",$C$30)</f>
        <v/>
      </c>
      <c r="L30">
        <f>IF(OR(25=2,$B$30&lt;&gt;1),"",$C$30)</f>
        <v/>
      </c>
      <c r="M30">
        <f>IF(OR(25=3,$B$30&lt;&gt;1),"",$C$30)</f>
        <v/>
      </c>
      <c r="N30">
        <f>IF(OR(25=4,$B$30&lt;&gt;1),"",$C$30)</f>
        <v/>
      </c>
      <c r="O30">
        <f>IF(OR(25=5,$B$30&lt;&gt;1),"",$C$30)</f>
        <v/>
      </c>
      <c r="P30">
        <f>IF(OR(25=6,$B$30&lt;&gt;1),"",$C$30)</f>
        <v/>
      </c>
      <c r="Q30">
        <f>IF(OR(25=7,$B$30&lt;&gt;1),"",$C$30)</f>
        <v/>
      </c>
      <c r="R30">
        <f>IF(OR(25=8,$B$30&lt;&gt;1),"",$C$30)</f>
        <v/>
      </c>
      <c r="S30">
        <f>IF(OR(25=9,$B$30&lt;&gt;1),"",$C$30)</f>
        <v/>
      </c>
      <c r="T30">
        <f>IF(OR(25=10,$B$30&lt;&gt;1),"",$C$30)</f>
        <v/>
      </c>
      <c r="U30">
        <f>IF(OR(25=11,$B$30&lt;&gt;1),"",$C$30)</f>
        <v/>
      </c>
      <c r="V30">
        <f>IF(OR(25=12,$B$30&lt;&gt;1),"",$C$30)</f>
        <v/>
      </c>
      <c r="W30">
        <f>IF(OR(25=13,$B$30&lt;&gt;1),"",$C$30)</f>
        <v/>
      </c>
      <c r="X30">
        <f>IF(OR(25=14,$B$30&lt;&gt;1),"",$C$30)</f>
        <v/>
      </c>
      <c r="Y30">
        <f>IF(OR(25=15,$B$30&lt;&gt;1),"",$C$30)</f>
        <v/>
      </c>
      <c r="Z30">
        <f>IF(OR(25=16,$B$30&lt;&gt;1),"",$C$30)</f>
        <v/>
      </c>
      <c r="AA30">
        <f>IF(OR(25=17,$B$30&lt;&gt;1),"",$C$30)</f>
        <v/>
      </c>
      <c r="AB30">
        <f>IF(OR(25=18,$B$30&lt;&gt;1),"",$C$30)</f>
        <v/>
      </c>
      <c r="AC30">
        <f>IF(OR(25=19,$B$30&lt;&gt;1),"",$C$30)</f>
        <v/>
      </c>
      <c r="AD30">
        <f>IF(OR(25=20,$B$30&lt;&gt;1),"",$C$30)</f>
        <v/>
      </c>
      <c r="AE30">
        <f>IF(OR(25=21,$B$30&lt;&gt;1),"",$C$30)</f>
        <v/>
      </c>
      <c r="AF30">
        <f>IF(OR(25=22,$B$30&lt;&gt;1),"",$C$30)</f>
        <v/>
      </c>
      <c r="AG30">
        <f>IF(OR(25=23,$B$30&lt;&gt;1),"",$C$30)</f>
        <v/>
      </c>
      <c r="AH30">
        <f>IF(OR(25=24,$B$30&lt;&gt;1),"",$C$30)</f>
        <v/>
      </c>
      <c r="AI30">
        <f>IF(OR(25=25,$B$30&lt;&gt;1),"",$C$30)</f>
        <v/>
      </c>
      <c r="AJ30">
        <f>IF(OR(25=26,$B$30&lt;&gt;1),"",$C$30)</f>
        <v/>
      </c>
      <c r="AK30">
        <f>IF(OR(25=27,$B$30&lt;&gt;1),"",$C$30)</f>
        <v/>
      </c>
      <c r="AL30">
        <f>IF(OR(25=28,$B$30&lt;&gt;1),"",$C$30)</f>
        <v/>
      </c>
      <c r="AM30">
        <f>IF(OR(25=29,$B$30&lt;&gt;1),"",$C$30)</f>
        <v/>
      </c>
      <c r="AN30">
        <f>IF(OR(25=30,$B$30&lt;&gt;1),"",$C$30)</f>
        <v/>
      </c>
      <c r="AO30">
        <f>IF(OR(25=31,$B$30&lt;&gt;1),"",$C$30)</f>
        <v/>
      </c>
      <c r="AP30">
        <f>IF(OR(25=32,$B$30&lt;&gt;1),"",$C$30)</f>
        <v/>
      </c>
      <c r="AQ30">
        <f>IF(OR(25=33,$B$30&lt;&gt;1),"",$C$30)</f>
        <v/>
      </c>
      <c r="AR30">
        <f>IF(OR(25=34,$B$30&lt;&gt;1),"",$C$30)</f>
        <v/>
      </c>
      <c r="AS30">
        <f>IF(OR(25=35,$B$30&lt;&gt;1),"",$C$30)</f>
        <v/>
      </c>
      <c r="AT30">
        <f>IF(OR(25=36,$B$30&lt;&gt;1),"",$C$30)</f>
        <v/>
      </c>
      <c r="AU30">
        <f>IF(OR(25=37,$B$30&lt;&gt;1),"",$C$30)</f>
        <v/>
      </c>
      <c r="AV30">
        <f>IF(OR(25=38,$B$30&lt;&gt;1),"",$C$30)</f>
        <v/>
      </c>
      <c r="AW30">
        <f>IF(OR(25=39,$B$30&lt;&gt;1),"",$C$30)</f>
        <v/>
      </c>
      <c r="AX30">
        <f>IF(OR(25=40,$B$30&lt;&gt;1),"",$C$30)</f>
        <v/>
      </c>
      <c r="AY30">
        <f>IF(OR(25=41,$B$30&lt;&gt;1),"",$C$30)</f>
        <v/>
      </c>
      <c r="AZ30">
        <f>IF(OR(25=42,$B$30&lt;&gt;1),"",$C$30)</f>
        <v/>
      </c>
      <c r="BA30">
        <f>IF(OR(25=43,$B$30&lt;&gt;1),"",$C$30)</f>
        <v/>
      </c>
      <c r="BB30">
        <f>IF(OR(25=44,$B$30&lt;&gt;1),"",$C$30)</f>
        <v/>
      </c>
      <c r="BC30">
        <f>IF(OR(25=45,$B$30&lt;&gt;1),"",$C$30)</f>
        <v/>
      </c>
      <c r="BD30">
        <f>IF(OR(25=46,$B$30&lt;&gt;1),"",$C$30)</f>
        <v/>
      </c>
      <c r="BE30">
        <f>IF(OR(25=47,$B$30&lt;&gt;1),"",$C$30)</f>
        <v/>
      </c>
      <c r="BF30">
        <f>IF(OR(25=48,$B$30&lt;&gt;1),"",$C$30)</f>
        <v/>
      </c>
      <c r="BG30">
        <f>IF(OR(25=49,$B$30&lt;&gt;1),"",$C$30)</f>
        <v/>
      </c>
    </row>
    <row r="31">
      <c r="A31" s="5">
        <f>IF(Clients!A31="","",Clients!A31)</f>
        <v/>
      </c>
      <c r="B31" s="5">
        <f>IF(A31="",0,IF(AND(Clients!K31=1,ISNUMBER(Clients!D31),ISNUMBER(INDEX(Clients!E31:J31,1,MATCH(Setup!$B$7,Clients!$E$4:$J$4,0)))),1,0))</f>
        <v/>
      </c>
      <c r="C31" s="12">
        <f>IF(B31=1,INDEX(Clients!E31:J31,1,MATCH(Setup!$B$7,Clients!$E$4:$J$4,0)),"")</f>
        <v/>
      </c>
      <c r="D31" s="13">
        <f>IF(B31&lt;&gt;1,"",IF(COUNT(AJ5:AJ54)=0,"",MEDIAN(AJ5:AJ54)))</f>
        <v/>
      </c>
      <c r="E31" s="12">
        <f>IF(B31=1,Clients!D31,"")</f>
        <v/>
      </c>
      <c r="F31" s="10" t="n"/>
      <c r="G31" s="12">
        <f>IF(AND(B31=1,ISNUMBER(F31)),F31-E31,"")</f>
        <v/>
      </c>
      <c r="J31">
        <f>IF(OR(26=0,$B$31&lt;&gt;1),"",$C$31)</f>
        <v/>
      </c>
      <c r="K31">
        <f>IF(OR(26=1,$B$31&lt;&gt;1),"",$C$31)</f>
        <v/>
      </c>
      <c r="L31">
        <f>IF(OR(26=2,$B$31&lt;&gt;1),"",$C$31)</f>
        <v/>
      </c>
      <c r="M31">
        <f>IF(OR(26=3,$B$31&lt;&gt;1),"",$C$31)</f>
        <v/>
      </c>
      <c r="N31">
        <f>IF(OR(26=4,$B$31&lt;&gt;1),"",$C$31)</f>
        <v/>
      </c>
      <c r="O31">
        <f>IF(OR(26=5,$B$31&lt;&gt;1),"",$C$31)</f>
        <v/>
      </c>
      <c r="P31">
        <f>IF(OR(26=6,$B$31&lt;&gt;1),"",$C$31)</f>
        <v/>
      </c>
      <c r="Q31">
        <f>IF(OR(26=7,$B$31&lt;&gt;1),"",$C$31)</f>
        <v/>
      </c>
      <c r="R31">
        <f>IF(OR(26=8,$B$31&lt;&gt;1),"",$C$31)</f>
        <v/>
      </c>
      <c r="S31">
        <f>IF(OR(26=9,$B$31&lt;&gt;1),"",$C$31)</f>
        <v/>
      </c>
      <c r="T31">
        <f>IF(OR(26=10,$B$31&lt;&gt;1),"",$C$31)</f>
        <v/>
      </c>
      <c r="U31">
        <f>IF(OR(26=11,$B$31&lt;&gt;1),"",$C$31)</f>
        <v/>
      </c>
      <c r="V31">
        <f>IF(OR(26=12,$B$31&lt;&gt;1),"",$C$31)</f>
        <v/>
      </c>
      <c r="W31">
        <f>IF(OR(26=13,$B$31&lt;&gt;1),"",$C$31)</f>
        <v/>
      </c>
      <c r="X31">
        <f>IF(OR(26=14,$B$31&lt;&gt;1),"",$C$31)</f>
        <v/>
      </c>
      <c r="Y31">
        <f>IF(OR(26=15,$B$31&lt;&gt;1),"",$C$31)</f>
        <v/>
      </c>
      <c r="Z31">
        <f>IF(OR(26=16,$B$31&lt;&gt;1),"",$C$31)</f>
        <v/>
      </c>
      <c r="AA31">
        <f>IF(OR(26=17,$B$31&lt;&gt;1),"",$C$31)</f>
        <v/>
      </c>
      <c r="AB31">
        <f>IF(OR(26=18,$B$31&lt;&gt;1),"",$C$31)</f>
        <v/>
      </c>
      <c r="AC31">
        <f>IF(OR(26=19,$B$31&lt;&gt;1),"",$C$31)</f>
        <v/>
      </c>
      <c r="AD31">
        <f>IF(OR(26=20,$B$31&lt;&gt;1),"",$C$31)</f>
        <v/>
      </c>
      <c r="AE31">
        <f>IF(OR(26=21,$B$31&lt;&gt;1),"",$C$31)</f>
        <v/>
      </c>
      <c r="AF31">
        <f>IF(OR(26=22,$B$31&lt;&gt;1),"",$C$31)</f>
        <v/>
      </c>
      <c r="AG31">
        <f>IF(OR(26=23,$B$31&lt;&gt;1),"",$C$31)</f>
        <v/>
      </c>
      <c r="AH31">
        <f>IF(OR(26=24,$B$31&lt;&gt;1),"",$C$31)</f>
        <v/>
      </c>
      <c r="AI31">
        <f>IF(OR(26=25,$B$31&lt;&gt;1),"",$C$31)</f>
        <v/>
      </c>
      <c r="AJ31">
        <f>IF(OR(26=26,$B$31&lt;&gt;1),"",$C$31)</f>
        <v/>
      </c>
      <c r="AK31">
        <f>IF(OR(26=27,$B$31&lt;&gt;1),"",$C$31)</f>
        <v/>
      </c>
      <c r="AL31">
        <f>IF(OR(26=28,$B$31&lt;&gt;1),"",$C$31)</f>
        <v/>
      </c>
      <c r="AM31">
        <f>IF(OR(26=29,$B$31&lt;&gt;1),"",$C$31)</f>
        <v/>
      </c>
      <c r="AN31">
        <f>IF(OR(26=30,$B$31&lt;&gt;1),"",$C$31)</f>
        <v/>
      </c>
      <c r="AO31">
        <f>IF(OR(26=31,$B$31&lt;&gt;1),"",$C$31)</f>
        <v/>
      </c>
      <c r="AP31">
        <f>IF(OR(26=32,$B$31&lt;&gt;1),"",$C$31)</f>
        <v/>
      </c>
      <c r="AQ31">
        <f>IF(OR(26=33,$B$31&lt;&gt;1),"",$C$31)</f>
        <v/>
      </c>
      <c r="AR31">
        <f>IF(OR(26=34,$B$31&lt;&gt;1),"",$C$31)</f>
        <v/>
      </c>
      <c r="AS31">
        <f>IF(OR(26=35,$B$31&lt;&gt;1),"",$C$31)</f>
        <v/>
      </c>
      <c r="AT31">
        <f>IF(OR(26=36,$B$31&lt;&gt;1),"",$C$31)</f>
        <v/>
      </c>
      <c r="AU31">
        <f>IF(OR(26=37,$B$31&lt;&gt;1),"",$C$31)</f>
        <v/>
      </c>
      <c r="AV31">
        <f>IF(OR(26=38,$B$31&lt;&gt;1),"",$C$31)</f>
        <v/>
      </c>
      <c r="AW31">
        <f>IF(OR(26=39,$B$31&lt;&gt;1),"",$C$31)</f>
        <v/>
      </c>
      <c r="AX31">
        <f>IF(OR(26=40,$B$31&lt;&gt;1),"",$C$31)</f>
        <v/>
      </c>
      <c r="AY31">
        <f>IF(OR(26=41,$B$31&lt;&gt;1),"",$C$31)</f>
        <v/>
      </c>
      <c r="AZ31">
        <f>IF(OR(26=42,$B$31&lt;&gt;1),"",$C$31)</f>
        <v/>
      </c>
      <c r="BA31">
        <f>IF(OR(26=43,$B$31&lt;&gt;1),"",$C$31)</f>
        <v/>
      </c>
      <c r="BB31">
        <f>IF(OR(26=44,$B$31&lt;&gt;1),"",$C$31)</f>
        <v/>
      </c>
      <c r="BC31">
        <f>IF(OR(26=45,$B$31&lt;&gt;1),"",$C$31)</f>
        <v/>
      </c>
      <c r="BD31">
        <f>IF(OR(26=46,$B$31&lt;&gt;1),"",$C$31)</f>
        <v/>
      </c>
      <c r="BE31">
        <f>IF(OR(26=47,$B$31&lt;&gt;1),"",$C$31)</f>
        <v/>
      </c>
      <c r="BF31">
        <f>IF(OR(26=48,$B$31&lt;&gt;1),"",$C$31)</f>
        <v/>
      </c>
      <c r="BG31">
        <f>IF(OR(26=49,$B$31&lt;&gt;1),"",$C$31)</f>
        <v/>
      </c>
    </row>
    <row r="32">
      <c r="A32" s="5">
        <f>IF(Clients!A32="","",Clients!A32)</f>
        <v/>
      </c>
      <c r="B32" s="5">
        <f>IF(A32="",0,IF(AND(Clients!K32=1,ISNUMBER(Clients!D32),ISNUMBER(INDEX(Clients!E32:J32,1,MATCH(Setup!$B$7,Clients!$E$4:$J$4,0)))),1,0))</f>
        <v/>
      </c>
      <c r="C32" s="12">
        <f>IF(B32=1,INDEX(Clients!E32:J32,1,MATCH(Setup!$B$7,Clients!$E$4:$J$4,0)),"")</f>
        <v/>
      </c>
      <c r="D32" s="13">
        <f>IF(B32&lt;&gt;1,"",IF(COUNT(AK5:AK54)=0,"",MEDIAN(AK5:AK54)))</f>
        <v/>
      </c>
      <c r="E32" s="12">
        <f>IF(B32=1,Clients!D32,"")</f>
        <v/>
      </c>
      <c r="F32" s="10" t="n"/>
      <c r="G32" s="12">
        <f>IF(AND(B32=1,ISNUMBER(F32)),F32-E32,"")</f>
        <v/>
      </c>
      <c r="J32">
        <f>IF(OR(27=0,$B$32&lt;&gt;1),"",$C$32)</f>
        <v/>
      </c>
      <c r="K32">
        <f>IF(OR(27=1,$B$32&lt;&gt;1),"",$C$32)</f>
        <v/>
      </c>
      <c r="L32">
        <f>IF(OR(27=2,$B$32&lt;&gt;1),"",$C$32)</f>
        <v/>
      </c>
      <c r="M32">
        <f>IF(OR(27=3,$B$32&lt;&gt;1),"",$C$32)</f>
        <v/>
      </c>
      <c r="N32">
        <f>IF(OR(27=4,$B$32&lt;&gt;1),"",$C$32)</f>
        <v/>
      </c>
      <c r="O32">
        <f>IF(OR(27=5,$B$32&lt;&gt;1),"",$C$32)</f>
        <v/>
      </c>
      <c r="P32">
        <f>IF(OR(27=6,$B$32&lt;&gt;1),"",$C$32)</f>
        <v/>
      </c>
      <c r="Q32">
        <f>IF(OR(27=7,$B$32&lt;&gt;1),"",$C$32)</f>
        <v/>
      </c>
      <c r="R32">
        <f>IF(OR(27=8,$B$32&lt;&gt;1),"",$C$32)</f>
        <v/>
      </c>
      <c r="S32">
        <f>IF(OR(27=9,$B$32&lt;&gt;1),"",$C$32)</f>
        <v/>
      </c>
      <c r="T32">
        <f>IF(OR(27=10,$B$32&lt;&gt;1),"",$C$32)</f>
        <v/>
      </c>
      <c r="U32">
        <f>IF(OR(27=11,$B$32&lt;&gt;1),"",$C$32)</f>
        <v/>
      </c>
      <c r="V32">
        <f>IF(OR(27=12,$B$32&lt;&gt;1),"",$C$32)</f>
        <v/>
      </c>
      <c r="W32">
        <f>IF(OR(27=13,$B$32&lt;&gt;1),"",$C$32)</f>
        <v/>
      </c>
      <c r="X32">
        <f>IF(OR(27=14,$B$32&lt;&gt;1),"",$C$32)</f>
        <v/>
      </c>
      <c r="Y32">
        <f>IF(OR(27=15,$B$32&lt;&gt;1),"",$C$32)</f>
        <v/>
      </c>
      <c r="Z32">
        <f>IF(OR(27=16,$B$32&lt;&gt;1),"",$C$32)</f>
        <v/>
      </c>
      <c r="AA32">
        <f>IF(OR(27=17,$B$32&lt;&gt;1),"",$C$32)</f>
        <v/>
      </c>
      <c r="AB32">
        <f>IF(OR(27=18,$B$32&lt;&gt;1),"",$C$32)</f>
        <v/>
      </c>
      <c r="AC32">
        <f>IF(OR(27=19,$B$32&lt;&gt;1),"",$C$32)</f>
        <v/>
      </c>
      <c r="AD32">
        <f>IF(OR(27=20,$B$32&lt;&gt;1),"",$C$32)</f>
        <v/>
      </c>
      <c r="AE32">
        <f>IF(OR(27=21,$B$32&lt;&gt;1),"",$C$32)</f>
        <v/>
      </c>
      <c r="AF32">
        <f>IF(OR(27=22,$B$32&lt;&gt;1),"",$C$32)</f>
        <v/>
      </c>
      <c r="AG32">
        <f>IF(OR(27=23,$B$32&lt;&gt;1),"",$C$32)</f>
        <v/>
      </c>
      <c r="AH32">
        <f>IF(OR(27=24,$B$32&lt;&gt;1),"",$C$32)</f>
        <v/>
      </c>
      <c r="AI32">
        <f>IF(OR(27=25,$B$32&lt;&gt;1),"",$C$32)</f>
        <v/>
      </c>
      <c r="AJ32">
        <f>IF(OR(27=26,$B$32&lt;&gt;1),"",$C$32)</f>
        <v/>
      </c>
      <c r="AK32">
        <f>IF(OR(27=27,$B$32&lt;&gt;1),"",$C$32)</f>
        <v/>
      </c>
      <c r="AL32">
        <f>IF(OR(27=28,$B$32&lt;&gt;1),"",$C$32)</f>
        <v/>
      </c>
      <c r="AM32">
        <f>IF(OR(27=29,$B$32&lt;&gt;1),"",$C$32)</f>
        <v/>
      </c>
      <c r="AN32">
        <f>IF(OR(27=30,$B$32&lt;&gt;1),"",$C$32)</f>
        <v/>
      </c>
      <c r="AO32">
        <f>IF(OR(27=31,$B$32&lt;&gt;1),"",$C$32)</f>
        <v/>
      </c>
      <c r="AP32">
        <f>IF(OR(27=32,$B$32&lt;&gt;1),"",$C$32)</f>
        <v/>
      </c>
      <c r="AQ32">
        <f>IF(OR(27=33,$B$32&lt;&gt;1),"",$C$32)</f>
        <v/>
      </c>
      <c r="AR32">
        <f>IF(OR(27=34,$B$32&lt;&gt;1),"",$C$32)</f>
        <v/>
      </c>
      <c r="AS32">
        <f>IF(OR(27=35,$B$32&lt;&gt;1),"",$C$32)</f>
        <v/>
      </c>
      <c r="AT32">
        <f>IF(OR(27=36,$B$32&lt;&gt;1),"",$C$32)</f>
        <v/>
      </c>
      <c r="AU32">
        <f>IF(OR(27=37,$B$32&lt;&gt;1),"",$C$32)</f>
        <v/>
      </c>
      <c r="AV32">
        <f>IF(OR(27=38,$B$32&lt;&gt;1),"",$C$32)</f>
        <v/>
      </c>
      <c r="AW32">
        <f>IF(OR(27=39,$B$32&lt;&gt;1),"",$C$32)</f>
        <v/>
      </c>
      <c r="AX32">
        <f>IF(OR(27=40,$B$32&lt;&gt;1),"",$C$32)</f>
        <v/>
      </c>
      <c r="AY32">
        <f>IF(OR(27=41,$B$32&lt;&gt;1),"",$C$32)</f>
        <v/>
      </c>
      <c r="AZ32">
        <f>IF(OR(27=42,$B$32&lt;&gt;1),"",$C$32)</f>
        <v/>
      </c>
      <c r="BA32">
        <f>IF(OR(27=43,$B$32&lt;&gt;1),"",$C$32)</f>
        <v/>
      </c>
      <c r="BB32">
        <f>IF(OR(27=44,$B$32&lt;&gt;1),"",$C$32)</f>
        <v/>
      </c>
      <c r="BC32">
        <f>IF(OR(27=45,$B$32&lt;&gt;1),"",$C$32)</f>
        <v/>
      </c>
      <c r="BD32">
        <f>IF(OR(27=46,$B$32&lt;&gt;1),"",$C$32)</f>
        <v/>
      </c>
      <c r="BE32">
        <f>IF(OR(27=47,$B$32&lt;&gt;1),"",$C$32)</f>
        <v/>
      </c>
      <c r="BF32">
        <f>IF(OR(27=48,$B$32&lt;&gt;1),"",$C$32)</f>
        <v/>
      </c>
      <c r="BG32">
        <f>IF(OR(27=49,$B$32&lt;&gt;1),"",$C$32)</f>
        <v/>
      </c>
    </row>
    <row r="33">
      <c r="A33" s="5">
        <f>IF(Clients!A33="","",Clients!A33)</f>
        <v/>
      </c>
      <c r="B33" s="5">
        <f>IF(A33="",0,IF(AND(Clients!K33=1,ISNUMBER(Clients!D33),ISNUMBER(INDEX(Clients!E33:J33,1,MATCH(Setup!$B$7,Clients!$E$4:$J$4,0)))),1,0))</f>
        <v/>
      </c>
      <c r="C33" s="12">
        <f>IF(B33=1,INDEX(Clients!E33:J33,1,MATCH(Setup!$B$7,Clients!$E$4:$J$4,0)),"")</f>
        <v/>
      </c>
      <c r="D33" s="13">
        <f>IF(B33&lt;&gt;1,"",IF(COUNT(AL5:AL54)=0,"",MEDIAN(AL5:AL54)))</f>
        <v/>
      </c>
      <c r="E33" s="12">
        <f>IF(B33=1,Clients!D33,"")</f>
        <v/>
      </c>
      <c r="F33" s="10" t="n"/>
      <c r="G33" s="12">
        <f>IF(AND(B33=1,ISNUMBER(F33)),F33-E33,"")</f>
        <v/>
      </c>
      <c r="J33">
        <f>IF(OR(28=0,$B$33&lt;&gt;1),"",$C$33)</f>
        <v/>
      </c>
      <c r="K33">
        <f>IF(OR(28=1,$B$33&lt;&gt;1),"",$C$33)</f>
        <v/>
      </c>
      <c r="L33">
        <f>IF(OR(28=2,$B$33&lt;&gt;1),"",$C$33)</f>
        <v/>
      </c>
      <c r="M33">
        <f>IF(OR(28=3,$B$33&lt;&gt;1),"",$C$33)</f>
        <v/>
      </c>
      <c r="N33">
        <f>IF(OR(28=4,$B$33&lt;&gt;1),"",$C$33)</f>
        <v/>
      </c>
      <c r="O33">
        <f>IF(OR(28=5,$B$33&lt;&gt;1),"",$C$33)</f>
        <v/>
      </c>
      <c r="P33">
        <f>IF(OR(28=6,$B$33&lt;&gt;1),"",$C$33)</f>
        <v/>
      </c>
      <c r="Q33">
        <f>IF(OR(28=7,$B$33&lt;&gt;1),"",$C$33)</f>
        <v/>
      </c>
      <c r="R33">
        <f>IF(OR(28=8,$B$33&lt;&gt;1),"",$C$33)</f>
        <v/>
      </c>
      <c r="S33">
        <f>IF(OR(28=9,$B$33&lt;&gt;1),"",$C$33)</f>
        <v/>
      </c>
      <c r="T33">
        <f>IF(OR(28=10,$B$33&lt;&gt;1),"",$C$33)</f>
        <v/>
      </c>
      <c r="U33">
        <f>IF(OR(28=11,$B$33&lt;&gt;1),"",$C$33)</f>
        <v/>
      </c>
      <c r="V33">
        <f>IF(OR(28=12,$B$33&lt;&gt;1),"",$C$33)</f>
        <v/>
      </c>
      <c r="W33">
        <f>IF(OR(28=13,$B$33&lt;&gt;1),"",$C$33)</f>
        <v/>
      </c>
      <c r="X33">
        <f>IF(OR(28=14,$B$33&lt;&gt;1),"",$C$33)</f>
        <v/>
      </c>
      <c r="Y33">
        <f>IF(OR(28=15,$B$33&lt;&gt;1),"",$C$33)</f>
        <v/>
      </c>
      <c r="Z33">
        <f>IF(OR(28=16,$B$33&lt;&gt;1),"",$C$33)</f>
        <v/>
      </c>
      <c r="AA33">
        <f>IF(OR(28=17,$B$33&lt;&gt;1),"",$C$33)</f>
        <v/>
      </c>
      <c r="AB33">
        <f>IF(OR(28=18,$B$33&lt;&gt;1),"",$C$33)</f>
        <v/>
      </c>
      <c r="AC33">
        <f>IF(OR(28=19,$B$33&lt;&gt;1),"",$C$33)</f>
        <v/>
      </c>
      <c r="AD33">
        <f>IF(OR(28=20,$B$33&lt;&gt;1),"",$C$33)</f>
        <v/>
      </c>
      <c r="AE33">
        <f>IF(OR(28=21,$B$33&lt;&gt;1),"",$C$33)</f>
        <v/>
      </c>
      <c r="AF33">
        <f>IF(OR(28=22,$B$33&lt;&gt;1),"",$C$33)</f>
        <v/>
      </c>
      <c r="AG33">
        <f>IF(OR(28=23,$B$33&lt;&gt;1),"",$C$33)</f>
        <v/>
      </c>
      <c r="AH33">
        <f>IF(OR(28=24,$B$33&lt;&gt;1),"",$C$33)</f>
        <v/>
      </c>
      <c r="AI33">
        <f>IF(OR(28=25,$B$33&lt;&gt;1),"",$C$33)</f>
        <v/>
      </c>
      <c r="AJ33">
        <f>IF(OR(28=26,$B$33&lt;&gt;1),"",$C$33)</f>
        <v/>
      </c>
      <c r="AK33">
        <f>IF(OR(28=27,$B$33&lt;&gt;1),"",$C$33)</f>
        <v/>
      </c>
      <c r="AL33">
        <f>IF(OR(28=28,$B$33&lt;&gt;1),"",$C$33)</f>
        <v/>
      </c>
      <c r="AM33">
        <f>IF(OR(28=29,$B$33&lt;&gt;1),"",$C$33)</f>
        <v/>
      </c>
      <c r="AN33">
        <f>IF(OR(28=30,$B$33&lt;&gt;1),"",$C$33)</f>
        <v/>
      </c>
      <c r="AO33">
        <f>IF(OR(28=31,$B$33&lt;&gt;1),"",$C$33)</f>
        <v/>
      </c>
      <c r="AP33">
        <f>IF(OR(28=32,$B$33&lt;&gt;1),"",$C$33)</f>
        <v/>
      </c>
      <c r="AQ33">
        <f>IF(OR(28=33,$B$33&lt;&gt;1),"",$C$33)</f>
        <v/>
      </c>
      <c r="AR33">
        <f>IF(OR(28=34,$B$33&lt;&gt;1),"",$C$33)</f>
        <v/>
      </c>
      <c r="AS33">
        <f>IF(OR(28=35,$B$33&lt;&gt;1),"",$C$33)</f>
        <v/>
      </c>
      <c r="AT33">
        <f>IF(OR(28=36,$B$33&lt;&gt;1),"",$C$33)</f>
        <v/>
      </c>
      <c r="AU33">
        <f>IF(OR(28=37,$B$33&lt;&gt;1),"",$C$33)</f>
        <v/>
      </c>
      <c r="AV33">
        <f>IF(OR(28=38,$B$33&lt;&gt;1),"",$C$33)</f>
        <v/>
      </c>
      <c r="AW33">
        <f>IF(OR(28=39,$B$33&lt;&gt;1),"",$C$33)</f>
        <v/>
      </c>
      <c r="AX33">
        <f>IF(OR(28=40,$B$33&lt;&gt;1),"",$C$33)</f>
        <v/>
      </c>
      <c r="AY33">
        <f>IF(OR(28=41,$B$33&lt;&gt;1),"",$C$33)</f>
        <v/>
      </c>
      <c r="AZ33">
        <f>IF(OR(28=42,$B$33&lt;&gt;1),"",$C$33)</f>
        <v/>
      </c>
      <c r="BA33">
        <f>IF(OR(28=43,$B$33&lt;&gt;1),"",$C$33)</f>
        <v/>
      </c>
      <c r="BB33">
        <f>IF(OR(28=44,$B$33&lt;&gt;1),"",$C$33)</f>
        <v/>
      </c>
      <c r="BC33">
        <f>IF(OR(28=45,$B$33&lt;&gt;1),"",$C$33)</f>
        <v/>
      </c>
      <c r="BD33">
        <f>IF(OR(28=46,$B$33&lt;&gt;1),"",$C$33)</f>
        <v/>
      </c>
      <c r="BE33">
        <f>IF(OR(28=47,$B$33&lt;&gt;1),"",$C$33)</f>
        <v/>
      </c>
      <c r="BF33">
        <f>IF(OR(28=48,$B$33&lt;&gt;1),"",$C$33)</f>
        <v/>
      </c>
      <c r="BG33">
        <f>IF(OR(28=49,$B$33&lt;&gt;1),"",$C$33)</f>
        <v/>
      </c>
    </row>
    <row r="34">
      <c r="A34" s="5">
        <f>IF(Clients!A34="","",Clients!A34)</f>
        <v/>
      </c>
      <c r="B34" s="5">
        <f>IF(A34="",0,IF(AND(Clients!K34=1,ISNUMBER(Clients!D34),ISNUMBER(INDEX(Clients!E34:J34,1,MATCH(Setup!$B$7,Clients!$E$4:$J$4,0)))),1,0))</f>
        <v/>
      </c>
      <c r="C34" s="12">
        <f>IF(B34=1,INDEX(Clients!E34:J34,1,MATCH(Setup!$B$7,Clients!$E$4:$J$4,0)),"")</f>
        <v/>
      </c>
      <c r="D34" s="13">
        <f>IF(B34&lt;&gt;1,"",IF(COUNT(AM5:AM54)=0,"",MEDIAN(AM5:AM54)))</f>
        <v/>
      </c>
      <c r="E34" s="12">
        <f>IF(B34=1,Clients!D34,"")</f>
        <v/>
      </c>
      <c r="F34" s="10" t="n"/>
      <c r="G34" s="12">
        <f>IF(AND(B34=1,ISNUMBER(F34)),F34-E34,"")</f>
        <v/>
      </c>
      <c r="J34">
        <f>IF(OR(29=0,$B$34&lt;&gt;1),"",$C$34)</f>
        <v/>
      </c>
      <c r="K34">
        <f>IF(OR(29=1,$B$34&lt;&gt;1),"",$C$34)</f>
        <v/>
      </c>
      <c r="L34">
        <f>IF(OR(29=2,$B$34&lt;&gt;1),"",$C$34)</f>
        <v/>
      </c>
      <c r="M34">
        <f>IF(OR(29=3,$B$34&lt;&gt;1),"",$C$34)</f>
        <v/>
      </c>
      <c r="N34">
        <f>IF(OR(29=4,$B$34&lt;&gt;1),"",$C$34)</f>
        <v/>
      </c>
      <c r="O34">
        <f>IF(OR(29=5,$B$34&lt;&gt;1),"",$C$34)</f>
        <v/>
      </c>
      <c r="P34">
        <f>IF(OR(29=6,$B$34&lt;&gt;1),"",$C$34)</f>
        <v/>
      </c>
      <c r="Q34">
        <f>IF(OR(29=7,$B$34&lt;&gt;1),"",$C$34)</f>
        <v/>
      </c>
      <c r="R34">
        <f>IF(OR(29=8,$B$34&lt;&gt;1),"",$C$34)</f>
        <v/>
      </c>
      <c r="S34">
        <f>IF(OR(29=9,$B$34&lt;&gt;1),"",$C$34)</f>
        <v/>
      </c>
      <c r="T34">
        <f>IF(OR(29=10,$B$34&lt;&gt;1),"",$C$34)</f>
        <v/>
      </c>
      <c r="U34">
        <f>IF(OR(29=11,$B$34&lt;&gt;1),"",$C$34)</f>
        <v/>
      </c>
      <c r="V34">
        <f>IF(OR(29=12,$B$34&lt;&gt;1),"",$C$34)</f>
        <v/>
      </c>
      <c r="W34">
        <f>IF(OR(29=13,$B$34&lt;&gt;1),"",$C$34)</f>
        <v/>
      </c>
      <c r="X34">
        <f>IF(OR(29=14,$B$34&lt;&gt;1),"",$C$34)</f>
        <v/>
      </c>
      <c r="Y34">
        <f>IF(OR(29=15,$B$34&lt;&gt;1),"",$C$34)</f>
        <v/>
      </c>
      <c r="Z34">
        <f>IF(OR(29=16,$B$34&lt;&gt;1),"",$C$34)</f>
        <v/>
      </c>
      <c r="AA34">
        <f>IF(OR(29=17,$B$34&lt;&gt;1),"",$C$34)</f>
        <v/>
      </c>
      <c r="AB34">
        <f>IF(OR(29=18,$B$34&lt;&gt;1),"",$C$34)</f>
        <v/>
      </c>
      <c r="AC34">
        <f>IF(OR(29=19,$B$34&lt;&gt;1),"",$C$34)</f>
        <v/>
      </c>
      <c r="AD34">
        <f>IF(OR(29=20,$B$34&lt;&gt;1),"",$C$34)</f>
        <v/>
      </c>
      <c r="AE34">
        <f>IF(OR(29=21,$B$34&lt;&gt;1),"",$C$34)</f>
        <v/>
      </c>
      <c r="AF34">
        <f>IF(OR(29=22,$B$34&lt;&gt;1),"",$C$34)</f>
        <v/>
      </c>
      <c r="AG34">
        <f>IF(OR(29=23,$B$34&lt;&gt;1),"",$C$34)</f>
        <v/>
      </c>
      <c r="AH34">
        <f>IF(OR(29=24,$B$34&lt;&gt;1),"",$C$34)</f>
        <v/>
      </c>
      <c r="AI34">
        <f>IF(OR(29=25,$B$34&lt;&gt;1),"",$C$34)</f>
        <v/>
      </c>
      <c r="AJ34">
        <f>IF(OR(29=26,$B$34&lt;&gt;1),"",$C$34)</f>
        <v/>
      </c>
      <c r="AK34">
        <f>IF(OR(29=27,$B$34&lt;&gt;1),"",$C$34)</f>
        <v/>
      </c>
      <c r="AL34">
        <f>IF(OR(29=28,$B$34&lt;&gt;1),"",$C$34)</f>
        <v/>
      </c>
      <c r="AM34">
        <f>IF(OR(29=29,$B$34&lt;&gt;1),"",$C$34)</f>
        <v/>
      </c>
      <c r="AN34">
        <f>IF(OR(29=30,$B$34&lt;&gt;1),"",$C$34)</f>
        <v/>
      </c>
      <c r="AO34">
        <f>IF(OR(29=31,$B$34&lt;&gt;1),"",$C$34)</f>
        <v/>
      </c>
      <c r="AP34">
        <f>IF(OR(29=32,$B$34&lt;&gt;1),"",$C$34)</f>
        <v/>
      </c>
      <c r="AQ34">
        <f>IF(OR(29=33,$B$34&lt;&gt;1),"",$C$34)</f>
        <v/>
      </c>
      <c r="AR34">
        <f>IF(OR(29=34,$B$34&lt;&gt;1),"",$C$34)</f>
        <v/>
      </c>
      <c r="AS34">
        <f>IF(OR(29=35,$B$34&lt;&gt;1),"",$C$34)</f>
        <v/>
      </c>
      <c r="AT34">
        <f>IF(OR(29=36,$B$34&lt;&gt;1),"",$C$34)</f>
        <v/>
      </c>
      <c r="AU34">
        <f>IF(OR(29=37,$B$34&lt;&gt;1),"",$C$34)</f>
        <v/>
      </c>
      <c r="AV34">
        <f>IF(OR(29=38,$B$34&lt;&gt;1),"",$C$34)</f>
        <v/>
      </c>
      <c r="AW34">
        <f>IF(OR(29=39,$B$34&lt;&gt;1),"",$C$34)</f>
        <v/>
      </c>
      <c r="AX34">
        <f>IF(OR(29=40,$B$34&lt;&gt;1),"",$C$34)</f>
        <v/>
      </c>
      <c r="AY34">
        <f>IF(OR(29=41,$B$34&lt;&gt;1),"",$C$34)</f>
        <v/>
      </c>
      <c r="AZ34">
        <f>IF(OR(29=42,$B$34&lt;&gt;1),"",$C$34)</f>
        <v/>
      </c>
      <c r="BA34">
        <f>IF(OR(29=43,$B$34&lt;&gt;1),"",$C$34)</f>
        <v/>
      </c>
      <c r="BB34">
        <f>IF(OR(29=44,$B$34&lt;&gt;1),"",$C$34)</f>
        <v/>
      </c>
      <c r="BC34">
        <f>IF(OR(29=45,$B$34&lt;&gt;1),"",$C$34)</f>
        <v/>
      </c>
      <c r="BD34">
        <f>IF(OR(29=46,$B$34&lt;&gt;1),"",$C$34)</f>
        <v/>
      </c>
      <c r="BE34">
        <f>IF(OR(29=47,$B$34&lt;&gt;1),"",$C$34)</f>
        <v/>
      </c>
      <c r="BF34">
        <f>IF(OR(29=48,$B$34&lt;&gt;1),"",$C$34)</f>
        <v/>
      </c>
      <c r="BG34">
        <f>IF(OR(29=49,$B$34&lt;&gt;1),"",$C$34)</f>
        <v/>
      </c>
    </row>
    <row r="35">
      <c r="A35" s="5">
        <f>IF(Clients!A35="","",Clients!A35)</f>
        <v/>
      </c>
      <c r="B35" s="5">
        <f>IF(A35="",0,IF(AND(Clients!K35=1,ISNUMBER(Clients!D35),ISNUMBER(INDEX(Clients!E35:J35,1,MATCH(Setup!$B$7,Clients!$E$4:$J$4,0)))),1,0))</f>
        <v/>
      </c>
      <c r="C35" s="12">
        <f>IF(B35=1,INDEX(Clients!E35:J35,1,MATCH(Setup!$B$7,Clients!$E$4:$J$4,0)),"")</f>
        <v/>
      </c>
      <c r="D35" s="13">
        <f>IF(B35&lt;&gt;1,"",IF(COUNT(AN5:AN54)=0,"",MEDIAN(AN5:AN54)))</f>
        <v/>
      </c>
      <c r="E35" s="12">
        <f>IF(B35=1,Clients!D35,"")</f>
        <v/>
      </c>
      <c r="F35" s="10" t="n"/>
      <c r="G35" s="12">
        <f>IF(AND(B35=1,ISNUMBER(F35)),F35-E35,"")</f>
        <v/>
      </c>
      <c r="J35">
        <f>IF(OR(30=0,$B$35&lt;&gt;1),"",$C$35)</f>
        <v/>
      </c>
      <c r="K35">
        <f>IF(OR(30=1,$B$35&lt;&gt;1),"",$C$35)</f>
        <v/>
      </c>
      <c r="L35">
        <f>IF(OR(30=2,$B$35&lt;&gt;1),"",$C$35)</f>
        <v/>
      </c>
      <c r="M35">
        <f>IF(OR(30=3,$B$35&lt;&gt;1),"",$C$35)</f>
        <v/>
      </c>
      <c r="N35">
        <f>IF(OR(30=4,$B$35&lt;&gt;1),"",$C$35)</f>
        <v/>
      </c>
      <c r="O35">
        <f>IF(OR(30=5,$B$35&lt;&gt;1),"",$C$35)</f>
        <v/>
      </c>
      <c r="P35">
        <f>IF(OR(30=6,$B$35&lt;&gt;1),"",$C$35)</f>
        <v/>
      </c>
      <c r="Q35">
        <f>IF(OR(30=7,$B$35&lt;&gt;1),"",$C$35)</f>
        <v/>
      </c>
      <c r="R35">
        <f>IF(OR(30=8,$B$35&lt;&gt;1),"",$C$35)</f>
        <v/>
      </c>
      <c r="S35">
        <f>IF(OR(30=9,$B$35&lt;&gt;1),"",$C$35)</f>
        <v/>
      </c>
      <c r="T35">
        <f>IF(OR(30=10,$B$35&lt;&gt;1),"",$C$35)</f>
        <v/>
      </c>
      <c r="U35">
        <f>IF(OR(30=11,$B$35&lt;&gt;1),"",$C$35)</f>
        <v/>
      </c>
      <c r="V35">
        <f>IF(OR(30=12,$B$35&lt;&gt;1),"",$C$35)</f>
        <v/>
      </c>
      <c r="W35">
        <f>IF(OR(30=13,$B$35&lt;&gt;1),"",$C$35)</f>
        <v/>
      </c>
      <c r="X35">
        <f>IF(OR(30=14,$B$35&lt;&gt;1),"",$C$35)</f>
        <v/>
      </c>
      <c r="Y35">
        <f>IF(OR(30=15,$B$35&lt;&gt;1),"",$C$35)</f>
        <v/>
      </c>
      <c r="Z35">
        <f>IF(OR(30=16,$B$35&lt;&gt;1),"",$C$35)</f>
        <v/>
      </c>
      <c r="AA35">
        <f>IF(OR(30=17,$B$35&lt;&gt;1),"",$C$35)</f>
        <v/>
      </c>
      <c r="AB35">
        <f>IF(OR(30=18,$B$35&lt;&gt;1),"",$C$35)</f>
        <v/>
      </c>
      <c r="AC35">
        <f>IF(OR(30=19,$B$35&lt;&gt;1),"",$C$35)</f>
        <v/>
      </c>
      <c r="AD35">
        <f>IF(OR(30=20,$B$35&lt;&gt;1),"",$C$35)</f>
        <v/>
      </c>
      <c r="AE35">
        <f>IF(OR(30=21,$B$35&lt;&gt;1),"",$C$35)</f>
        <v/>
      </c>
      <c r="AF35">
        <f>IF(OR(30=22,$B$35&lt;&gt;1),"",$C$35)</f>
        <v/>
      </c>
      <c r="AG35">
        <f>IF(OR(30=23,$B$35&lt;&gt;1),"",$C$35)</f>
        <v/>
      </c>
      <c r="AH35">
        <f>IF(OR(30=24,$B$35&lt;&gt;1),"",$C$35)</f>
        <v/>
      </c>
      <c r="AI35">
        <f>IF(OR(30=25,$B$35&lt;&gt;1),"",$C$35)</f>
        <v/>
      </c>
      <c r="AJ35">
        <f>IF(OR(30=26,$B$35&lt;&gt;1),"",$C$35)</f>
        <v/>
      </c>
      <c r="AK35">
        <f>IF(OR(30=27,$B$35&lt;&gt;1),"",$C$35)</f>
        <v/>
      </c>
      <c r="AL35">
        <f>IF(OR(30=28,$B$35&lt;&gt;1),"",$C$35)</f>
        <v/>
      </c>
      <c r="AM35">
        <f>IF(OR(30=29,$B$35&lt;&gt;1),"",$C$35)</f>
        <v/>
      </c>
      <c r="AN35">
        <f>IF(OR(30=30,$B$35&lt;&gt;1),"",$C$35)</f>
        <v/>
      </c>
      <c r="AO35">
        <f>IF(OR(30=31,$B$35&lt;&gt;1),"",$C$35)</f>
        <v/>
      </c>
      <c r="AP35">
        <f>IF(OR(30=32,$B$35&lt;&gt;1),"",$C$35)</f>
        <v/>
      </c>
      <c r="AQ35">
        <f>IF(OR(30=33,$B$35&lt;&gt;1),"",$C$35)</f>
        <v/>
      </c>
      <c r="AR35">
        <f>IF(OR(30=34,$B$35&lt;&gt;1),"",$C$35)</f>
        <v/>
      </c>
      <c r="AS35">
        <f>IF(OR(30=35,$B$35&lt;&gt;1),"",$C$35)</f>
        <v/>
      </c>
      <c r="AT35">
        <f>IF(OR(30=36,$B$35&lt;&gt;1),"",$C$35)</f>
        <v/>
      </c>
      <c r="AU35">
        <f>IF(OR(30=37,$B$35&lt;&gt;1),"",$C$35)</f>
        <v/>
      </c>
      <c r="AV35">
        <f>IF(OR(30=38,$B$35&lt;&gt;1),"",$C$35)</f>
        <v/>
      </c>
      <c r="AW35">
        <f>IF(OR(30=39,$B$35&lt;&gt;1),"",$C$35)</f>
        <v/>
      </c>
      <c r="AX35">
        <f>IF(OR(30=40,$B$35&lt;&gt;1),"",$C$35)</f>
        <v/>
      </c>
      <c r="AY35">
        <f>IF(OR(30=41,$B$35&lt;&gt;1),"",$C$35)</f>
        <v/>
      </c>
      <c r="AZ35">
        <f>IF(OR(30=42,$B$35&lt;&gt;1),"",$C$35)</f>
        <v/>
      </c>
      <c r="BA35">
        <f>IF(OR(30=43,$B$35&lt;&gt;1),"",$C$35)</f>
        <v/>
      </c>
      <c r="BB35">
        <f>IF(OR(30=44,$B$35&lt;&gt;1),"",$C$35)</f>
        <v/>
      </c>
      <c r="BC35">
        <f>IF(OR(30=45,$B$35&lt;&gt;1),"",$C$35)</f>
        <v/>
      </c>
      <c r="BD35">
        <f>IF(OR(30=46,$B$35&lt;&gt;1),"",$C$35)</f>
        <v/>
      </c>
      <c r="BE35">
        <f>IF(OR(30=47,$B$35&lt;&gt;1),"",$C$35)</f>
        <v/>
      </c>
      <c r="BF35">
        <f>IF(OR(30=48,$B$35&lt;&gt;1),"",$C$35)</f>
        <v/>
      </c>
      <c r="BG35">
        <f>IF(OR(30=49,$B$35&lt;&gt;1),"",$C$35)</f>
        <v/>
      </c>
    </row>
    <row r="36">
      <c r="A36" s="5">
        <f>IF(Clients!A36="","",Clients!A36)</f>
        <v/>
      </c>
      <c r="B36" s="5">
        <f>IF(A36="",0,IF(AND(Clients!K36=1,ISNUMBER(Clients!D36),ISNUMBER(INDEX(Clients!E36:J36,1,MATCH(Setup!$B$7,Clients!$E$4:$J$4,0)))),1,0))</f>
        <v/>
      </c>
      <c r="C36" s="12">
        <f>IF(B36=1,INDEX(Clients!E36:J36,1,MATCH(Setup!$B$7,Clients!$E$4:$J$4,0)),"")</f>
        <v/>
      </c>
      <c r="D36" s="13">
        <f>IF(B36&lt;&gt;1,"",IF(COUNT(AO5:AO54)=0,"",MEDIAN(AO5:AO54)))</f>
        <v/>
      </c>
      <c r="E36" s="12">
        <f>IF(B36=1,Clients!D36,"")</f>
        <v/>
      </c>
      <c r="F36" s="10" t="n"/>
      <c r="G36" s="12">
        <f>IF(AND(B36=1,ISNUMBER(F36)),F36-E36,"")</f>
        <v/>
      </c>
      <c r="J36">
        <f>IF(OR(31=0,$B$36&lt;&gt;1),"",$C$36)</f>
        <v/>
      </c>
      <c r="K36">
        <f>IF(OR(31=1,$B$36&lt;&gt;1),"",$C$36)</f>
        <v/>
      </c>
      <c r="L36">
        <f>IF(OR(31=2,$B$36&lt;&gt;1),"",$C$36)</f>
        <v/>
      </c>
      <c r="M36">
        <f>IF(OR(31=3,$B$36&lt;&gt;1),"",$C$36)</f>
        <v/>
      </c>
      <c r="N36">
        <f>IF(OR(31=4,$B$36&lt;&gt;1),"",$C$36)</f>
        <v/>
      </c>
      <c r="O36">
        <f>IF(OR(31=5,$B$36&lt;&gt;1),"",$C$36)</f>
        <v/>
      </c>
      <c r="P36">
        <f>IF(OR(31=6,$B$36&lt;&gt;1),"",$C$36)</f>
        <v/>
      </c>
      <c r="Q36">
        <f>IF(OR(31=7,$B$36&lt;&gt;1),"",$C$36)</f>
        <v/>
      </c>
      <c r="R36">
        <f>IF(OR(31=8,$B$36&lt;&gt;1),"",$C$36)</f>
        <v/>
      </c>
      <c r="S36">
        <f>IF(OR(31=9,$B$36&lt;&gt;1),"",$C$36)</f>
        <v/>
      </c>
      <c r="T36">
        <f>IF(OR(31=10,$B$36&lt;&gt;1),"",$C$36)</f>
        <v/>
      </c>
      <c r="U36">
        <f>IF(OR(31=11,$B$36&lt;&gt;1),"",$C$36)</f>
        <v/>
      </c>
      <c r="V36">
        <f>IF(OR(31=12,$B$36&lt;&gt;1),"",$C$36)</f>
        <v/>
      </c>
      <c r="W36">
        <f>IF(OR(31=13,$B$36&lt;&gt;1),"",$C$36)</f>
        <v/>
      </c>
      <c r="X36">
        <f>IF(OR(31=14,$B$36&lt;&gt;1),"",$C$36)</f>
        <v/>
      </c>
      <c r="Y36">
        <f>IF(OR(31=15,$B$36&lt;&gt;1),"",$C$36)</f>
        <v/>
      </c>
      <c r="Z36">
        <f>IF(OR(31=16,$B$36&lt;&gt;1),"",$C$36)</f>
        <v/>
      </c>
      <c r="AA36">
        <f>IF(OR(31=17,$B$36&lt;&gt;1),"",$C$36)</f>
        <v/>
      </c>
      <c r="AB36">
        <f>IF(OR(31=18,$B$36&lt;&gt;1),"",$C$36)</f>
        <v/>
      </c>
      <c r="AC36">
        <f>IF(OR(31=19,$B$36&lt;&gt;1),"",$C$36)</f>
        <v/>
      </c>
      <c r="AD36">
        <f>IF(OR(31=20,$B$36&lt;&gt;1),"",$C$36)</f>
        <v/>
      </c>
      <c r="AE36">
        <f>IF(OR(31=21,$B$36&lt;&gt;1),"",$C$36)</f>
        <v/>
      </c>
      <c r="AF36">
        <f>IF(OR(31=22,$B$36&lt;&gt;1),"",$C$36)</f>
        <v/>
      </c>
      <c r="AG36">
        <f>IF(OR(31=23,$B$36&lt;&gt;1),"",$C$36)</f>
        <v/>
      </c>
      <c r="AH36">
        <f>IF(OR(31=24,$B$36&lt;&gt;1),"",$C$36)</f>
        <v/>
      </c>
      <c r="AI36">
        <f>IF(OR(31=25,$B$36&lt;&gt;1),"",$C$36)</f>
        <v/>
      </c>
      <c r="AJ36">
        <f>IF(OR(31=26,$B$36&lt;&gt;1),"",$C$36)</f>
        <v/>
      </c>
      <c r="AK36">
        <f>IF(OR(31=27,$B$36&lt;&gt;1),"",$C$36)</f>
        <v/>
      </c>
      <c r="AL36">
        <f>IF(OR(31=28,$B$36&lt;&gt;1),"",$C$36)</f>
        <v/>
      </c>
      <c r="AM36">
        <f>IF(OR(31=29,$B$36&lt;&gt;1),"",$C$36)</f>
        <v/>
      </c>
      <c r="AN36">
        <f>IF(OR(31=30,$B$36&lt;&gt;1),"",$C$36)</f>
        <v/>
      </c>
      <c r="AO36">
        <f>IF(OR(31=31,$B$36&lt;&gt;1),"",$C$36)</f>
        <v/>
      </c>
      <c r="AP36">
        <f>IF(OR(31=32,$B$36&lt;&gt;1),"",$C$36)</f>
        <v/>
      </c>
      <c r="AQ36">
        <f>IF(OR(31=33,$B$36&lt;&gt;1),"",$C$36)</f>
        <v/>
      </c>
      <c r="AR36">
        <f>IF(OR(31=34,$B$36&lt;&gt;1),"",$C$36)</f>
        <v/>
      </c>
      <c r="AS36">
        <f>IF(OR(31=35,$B$36&lt;&gt;1),"",$C$36)</f>
        <v/>
      </c>
      <c r="AT36">
        <f>IF(OR(31=36,$B$36&lt;&gt;1),"",$C$36)</f>
        <v/>
      </c>
      <c r="AU36">
        <f>IF(OR(31=37,$B$36&lt;&gt;1),"",$C$36)</f>
        <v/>
      </c>
      <c r="AV36">
        <f>IF(OR(31=38,$B$36&lt;&gt;1),"",$C$36)</f>
        <v/>
      </c>
      <c r="AW36">
        <f>IF(OR(31=39,$B$36&lt;&gt;1),"",$C$36)</f>
        <v/>
      </c>
      <c r="AX36">
        <f>IF(OR(31=40,$B$36&lt;&gt;1),"",$C$36)</f>
        <v/>
      </c>
      <c r="AY36">
        <f>IF(OR(31=41,$B$36&lt;&gt;1),"",$C$36)</f>
        <v/>
      </c>
      <c r="AZ36">
        <f>IF(OR(31=42,$B$36&lt;&gt;1),"",$C$36)</f>
        <v/>
      </c>
      <c r="BA36">
        <f>IF(OR(31=43,$B$36&lt;&gt;1),"",$C$36)</f>
        <v/>
      </c>
      <c r="BB36">
        <f>IF(OR(31=44,$B$36&lt;&gt;1),"",$C$36)</f>
        <v/>
      </c>
      <c r="BC36">
        <f>IF(OR(31=45,$B$36&lt;&gt;1),"",$C$36)</f>
        <v/>
      </c>
      <c r="BD36">
        <f>IF(OR(31=46,$B$36&lt;&gt;1),"",$C$36)</f>
        <v/>
      </c>
      <c r="BE36">
        <f>IF(OR(31=47,$B$36&lt;&gt;1),"",$C$36)</f>
        <v/>
      </c>
      <c r="BF36">
        <f>IF(OR(31=48,$B$36&lt;&gt;1),"",$C$36)</f>
        <v/>
      </c>
      <c r="BG36">
        <f>IF(OR(31=49,$B$36&lt;&gt;1),"",$C$36)</f>
        <v/>
      </c>
    </row>
    <row r="37">
      <c r="A37" s="5">
        <f>IF(Clients!A37="","",Clients!A37)</f>
        <v/>
      </c>
      <c r="B37" s="5">
        <f>IF(A37="",0,IF(AND(Clients!K37=1,ISNUMBER(Clients!D37),ISNUMBER(INDEX(Clients!E37:J37,1,MATCH(Setup!$B$7,Clients!$E$4:$J$4,0)))),1,0))</f>
        <v/>
      </c>
      <c r="C37" s="12">
        <f>IF(B37=1,INDEX(Clients!E37:J37,1,MATCH(Setup!$B$7,Clients!$E$4:$J$4,0)),"")</f>
        <v/>
      </c>
      <c r="D37" s="13">
        <f>IF(B37&lt;&gt;1,"",IF(COUNT(AP5:AP54)=0,"",MEDIAN(AP5:AP54)))</f>
        <v/>
      </c>
      <c r="E37" s="12">
        <f>IF(B37=1,Clients!D37,"")</f>
        <v/>
      </c>
      <c r="F37" s="10" t="n"/>
      <c r="G37" s="12">
        <f>IF(AND(B37=1,ISNUMBER(F37)),F37-E37,"")</f>
        <v/>
      </c>
      <c r="J37">
        <f>IF(OR(32=0,$B$37&lt;&gt;1),"",$C$37)</f>
        <v/>
      </c>
      <c r="K37">
        <f>IF(OR(32=1,$B$37&lt;&gt;1),"",$C$37)</f>
        <v/>
      </c>
      <c r="L37">
        <f>IF(OR(32=2,$B$37&lt;&gt;1),"",$C$37)</f>
        <v/>
      </c>
      <c r="M37">
        <f>IF(OR(32=3,$B$37&lt;&gt;1),"",$C$37)</f>
        <v/>
      </c>
      <c r="N37">
        <f>IF(OR(32=4,$B$37&lt;&gt;1),"",$C$37)</f>
        <v/>
      </c>
      <c r="O37">
        <f>IF(OR(32=5,$B$37&lt;&gt;1),"",$C$37)</f>
        <v/>
      </c>
      <c r="P37">
        <f>IF(OR(32=6,$B$37&lt;&gt;1),"",$C$37)</f>
        <v/>
      </c>
      <c r="Q37">
        <f>IF(OR(32=7,$B$37&lt;&gt;1),"",$C$37)</f>
        <v/>
      </c>
      <c r="R37">
        <f>IF(OR(32=8,$B$37&lt;&gt;1),"",$C$37)</f>
        <v/>
      </c>
      <c r="S37">
        <f>IF(OR(32=9,$B$37&lt;&gt;1),"",$C$37)</f>
        <v/>
      </c>
      <c r="T37">
        <f>IF(OR(32=10,$B$37&lt;&gt;1),"",$C$37)</f>
        <v/>
      </c>
      <c r="U37">
        <f>IF(OR(32=11,$B$37&lt;&gt;1),"",$C$37)</f>
        <v/>
      </c>
      <c r="V37">
        <f>IF(OR(32=12,$B$37&lt;&gt;1),"",$C$37)</f>
        <v/>
      </c>
      <c r="W37">
        <f>IF(OR(32=13,$B$37&lt;&gt;1),"",$C$37)</f>
        <v/>
      </c>
      <c r="X37">
        <f>IF(OR(32=14,$B$37&lt;&gt;1),"",$C$37)</f>
        <v/>
      </c>
      <c r="Y37">
        <f>IF(OR(32=15,$B$37&lt;&gt;1),"",$C$37)</f>
        <v/>
      </c>
      <c r="Z37">
        <f>IF(OR(32=16,$B$37&lt;&gt;1),"",$C$37)</f>
        <v/>
      </c>
      <c r="AA37">
        <f>IF(OR(32=17,$B$37&lt;&gt;1),"",$C$37)</f>
        <v/>
      </c>
      <c r="AB37">
        <f>IF(OR(32=18,$B$37&lt;&gt;1),"",$C$37)</f>
        <v/>
      </c>
      <c r="AC37">
        <f>IF(OR(32=19,$B$37&lt;&gt;1),"",$C$37)</f>
        <v/>
      </c>
      <c r="AD37">
        <f>IF(OR(32=20,$B$37&lt;&gt;1),"",$C$37)</f>
        <v/>
      </c>
      <c r="AE37">
        <f>IF(OR(32=21,$B$37&lt;&gt;1),"",$C$37)</f>
        <v/>
      </c>
      <c r="AF37">
        <f>IF(OR(32=22,$B$37&lt;&gt;1),"",$C$37)</f>
        <v/>
      </c>
      <c r="AG37">
        <f>IF(OR(32=23,$B$37&lt;&gt;1),"",$C$37)</f>
        <v/>
      </c>
      <c r="AH37">
        <f>IF(OR(32=24,$B$37&lt;&gt;1),"",$C$37)</f>
        <v/>
      </c>
      <c r="AI37">
        <f>IF(OR(32=25,$B$37&lt;&gt;1),"",$C$37)</f>
        <v/>
      </c>
      <c r="AJ37">
        <f>IF(OR(32=26,$B$37&lt;&gt;1),"",$C$37)</f>
        <v/>
      </c>
      <c r="AK37">
        <f>IF(OR(32=27,$B$37&lt;&gt;1),"",$C$37)</f>
        <v/>
      </c>
      <c r="AL37">
        <f>IF(OR(32=28,$B$37&lt;&gt;1),"",$C$37)</f>
        <v/>
      </c>
      <c r="AM37">
        <f>IF(OR(32=29,$B$37&lt;&gt;1),"",$C$37)</f>
        <v/>
      </c>
      <c r="AN37">
        <f>IF(OR(32=30,$B$37&lt;&gt;1),"",$C$37)</f>
        <v/>
      </c>
      <c r="AO37">
        <f>IF(OR(32=31,$B$37&lt;&gt;1),"",$C$37)</f>
        <v/>
      </c>
      <c r="AP37">
        <f>IF(OR(32=32,$B$37&lt;&gt;1),"",$C$37)</f>
        <v/>
      </c>
      <c r="AQ37">
        <f>IF(OR(32=33,$B$37&lt;&gt;1),"",$C$37)</f>
        <v/>
      </c>
      <c r="AR37">
        <f>IF(OR(32=34,$B$37&lt;&gt;1),"",$C$37)</f>
        <v/>
      </c>
      <c r="AS37">
        <f>IF(OR(32=35,$B$37&lt;&gt;1),"",$C$37)</f>
        <v/>
      </c>
      <c r="AT37">
        <f>IF(OR(32=36,$B$37&lt;&gt;1),"",$C$37)</f>
        <v/>
      </c>
      <c r="AU37">
        <f>IF(OR(32=37,$B$37&lt;&gt;1),"",$C$37)</f>
        <v/>
      </c>
      <c r="AV37">
        <f>IF(OR(32=38,$B$37&lt;&gt;1),"",$C$37)</f>
        <v/>
      </c>
      <c r="AW37">
        <f>IF(OR(32=39,$B$37&lt;&gt;1),"",$C$37)</f>
        <v/>
      </c>
      <c r="AX37">
        <f>IF(OR(32=40,$B$37&lt;&gt;1),"",$C$37)</f>
        <v/>
      </c>
      <c r="AY37">
        <f>IF(OR(32=41,$B$37&lt;&gt;1),"",$C$37)</f>
        <v/>
      </c>
      <c r="AZ37">
        <f>IF(OR(32=42,$B$37&lt;&gt;1),"",$C$37)</f>
        <v/>
      </c>
      <c r="BA37">
        <f>IF(OR(32=43,$B$37&lt;&gt;1),"",$C$37)</f>
        <v/>
      </c>
      <c r="BB37">
        <f>IF(OR(32=44,$B$37&lt;&gt;1),"",$C$37)</f>
        <v/>
      </c>
      <c r="BC37">
        <f>IF(OR(32=45,$B$37&lt;&gt;1),"",$C$37)</f>
        <v/>
      </c>
      <c r="BD37">
        <f>IF(OR(32=46,$B$37&lt;&gt;1),"",$C$37)</f>
        <v/>
      </c>
      <c r="BE37">
        <f>IF(OR(32=47,$B$37&lt;&gt;1),"",$C$37)</f>
        <v/>
      </c>
      <c r="BF37">
        <f>IF(OR(32=48,$B$37&lt;&gt;1),"",$C$37)</f>
        <v/>
      </c>
      <c r="BG37">
        <f>IF(OR(32=49,$B$37&lt;&gt;1),"",$C$37)</f>
        <v/>
      </c>
    </row>
    <row r="38">
      <c r="A38" s="5">
        <f>IF(Clients!A38="","",Clients!A38)</f>
        <v/>
      </c>
      <c r="B38" s="5">
        <f>IF(A38="",0,IF(AND(Clients!K38=1,ISNUMBER(Clients!D38),ISNUMBER(INDEX(Clients!E38:J38,1,MATCH(Setup!$B$7,Clients!$E$4:$J$4,0)))),1,0))</f>
        <v/>
      </c>
      <c r="C38" s="12">
        <f>IF(B38=1,INDEX(Clients!E38:J38,1,MATCH(Setup!$B$7,Clients!$E$4:$J$4,0)),"")</f>
        <v/>
      </c>
      <c r="D38" s="13">
        <f>IF(B38&lt;&gt;1,"",IF(COUNT(AQ5:AQ54)=0,"",MEDIAN(AQ5:AQ54)))</f>
        <v/>
      </c>
      <c r="E38" s="12">
        <f>IF(B38=1,Clients!D38,"")</f>
        <v/>
      </c>
      <c r="F38" s="10" t="n"/>
      <c r="G38" s="12">
        <f>IF(AND(B38=1,ISNUMBER(F38)),F38-E38,"")</f>
        <v/>
      </c>
      <c r="J38">
        <f>IF(OR(33=0,$B$38&lt;&gt;1),"",$C$38)</f>
        <v/>
      </c>
      <c r="K38">
        <f>IF(OR(33=1,$B$38&lt;&gt;1),"",$C$38)</f>
        <v/>
      </c>
      <c r="L38">
        <f>IF(OR(33=2,$B$38&lt;&gt;1),"",$C$38)</f>
        <v/>
      </c>
      <c r="M38">
        <f>IF(OR(33=3,$B$38&lt;&gt;1),"",$C$38)</f>
        <v/>
      </c>
      <c r="N38">
        <f>IF(OR(33=4,$B$38&lt;&gt;1),"",$C$38)</f>
        <v/>
      </c>
      <c r="O38">
        <f>IF(OR(33=5,$B$38&lt;&gt;1),"",$C$38)</f>
        <v/>
      </c>
      <c r="P38">
        <f>IF(OR(33=6,$B$38&lt;&gt;1),"",$C$38)</f>
        <v/>
      </c>
      <c r="Q38">
        <f>IF(OR(33=7,$B$38&lt;&gt;1),"",$C$38)</f>
        <v/>
      </c>
      <c r="R38">
        <f>IF(OR(33=8,$B$38&lt;&gt;1),"",$C$38)</f>
        <v/>
      </c>
      <c r="S38">
        <f>IF(OR(33=9,$B$38&lt;&gt;1),"",$C$38)</f>
        <v/>
      </c>
      <c r="T38">
        <f>IF(OR(33=10,$B$38&lt;&gt;1),"",$C$38)</f>
        <v/>
      </c>
      <c r="U38">
        <f>IF(OR(33=11,$B$38&lt;&gt;1),"",$C$38)</f>
        <v/>
      </c>
      <c r="V38">
        <f>IF(OR(33=12,$B$38&lt;&gt;1),"",$C$38)</f>
        <v/>
      </c>
      <c r="W38">
        <f>IF(OR(33=13,$B$38&lt;&gt;1),"",$C$38)</f>
        <v/>
      </c>
      <c r="X38">
        <f>IF(OR(33=14,$B$38&lt;&gt;1),"",$C$38)</f>
        <v/>
      </c>
      <c r="Y38">
        <f>IF(OR(33=15,$B$38&lt;&gt;1),"",$C$38)</f>
        <v/>
      </c>
      <c r="Z38">
        <f>IF(OR(33=16,$B$38&lt;&gt;1),"",$C$38)</f>
        <v/>
      </c>
      <c r="AA38">
        <f>IF(OR(33=17,$B$38&lt;&gt;1),"",$C$38)</f>
        <v/>
      </c>
      <c r="AB38">
        <f>IF(OR(33=18,$B$38&lt;&gt;1),"",$C$38)</f>
        <v/>
      </c>
      <c r="AC38">
        <f>IF(OR(33=19,$B$38&lt;&gt;1),"",$C$38)</f>
        <v/>
      </c>
      <c r="AD38">
        <f>IF(OR(33=20,$B$38&lt;&gt;1),"",$C$38)</f>
        <v/>
      </c>
      <c r="AE38">
        <f>IF(OR(33=21,$B$38&lt;&gt;1),"",$C$38)</f>
        <v/>
      </c>
      <c r="AF38">
        <f>IF(OR(33=22,$B$38&lt;&gt;1),"",$C$38)</f>
        <v/>
      </c>
      <c r="AG38">
        <f>IF(OR(33=23,$B$38&lt;&gt;1),"",$C$38)</f>
        <v/>
      </c>
      <c r="AH38">
        <f>IF(OR(33=24,$B$38&lt;&gt;1),"",$C$38)</f>
        <v/>
      </c>
      <c r="AI38">
        <f>IF(OR(33=25,$B$38&lt;&gt;1),"",$C$38)</f>
        <v/>
      </c>
      <c r="AJ38">
        <f>IF(OR(33=26,$B$38&lt;&gt;1),"",$C$38)</f>
        <v/>
      </c>
      <c r="AK38">
        <f>IF(OR(33=27,$B$38&lt;&gt;1),"",$C$38)</f>
        <v/>
      </c>
      <c r="AL38">
        <f>IF(OR(33=28,$B$38&lt;&gt;1),"",$C$38)</f>
        <v/>
      </c>
      <c r="AM38">
        <f>IF(OR(33=29,$B$38&lt;&gt;1),"",$C$38)</f>
        <v/>
      </c>
      <c r="AN38">
        <f>IF(OR(33=30,$B$38&lt;&gt;1),"",$C$38)</f>
        <v/>
      </c>
      <c r="AO38">
        <f>IF(OR(33=31,$B$38&lt;&gt;1),"",$C$38)</f>
        <v/>
      </c>
      <c r="AP38">
        <f>IF(OR(33=32,$B$38&lt;&gt;1),"",$C$38)</f>
        <v/>
      </c>
      <c r="AQ38">
        <f>IF(OR(33=33,$B$38&lt;&gt;1),"",$C$38)</f>
        <v/>
      </c>
      <c r="AR38">
        <f>IF(OR(33=34,$B$38&lt;&gt;1),"",$C$38)</f>
        <v/>
      </c>
      <c r="AS38">
        <f>IF(OR(33=35,$B$38&lt;&gt;1),"",$C$38)</f>
        <v/>
      </c>
      <c r="AT38">
        <f>IF(OR(33=36,$B$38&lt;&gt;1),"",$C$38)</f>
        <v/>
      </c>
      <c r="AU38">
        <f>IF(OR(33=37,$B$38&lt;&gt;1),"",$C$38)</f>
        <v/>
      </c>
      <c r="AV38">
        <f>IF(OR(33=38,$B$38&lt;&gt;1),"",$C$38)</f>
        <v/>
      </c>
      <c r="AW38">
        <f>IF(OR(33=39,$B$38&lt;&gt;1),"",$C$38)</f>
        <v/>
      </c>
      <c r="AX38">
        <f>IF(OR(33=40,$B$38&lt;&gt;1),"",$C$38)</f>
        <v/>
      </c>
      <c r="AY38">
        <f>IF(OR(33=41,$B$38&lt;&gt;1),"",$C$38)</f>
        <v/>
      </c>
      <c r="AZ38">
        <f>IF(OR(33=42,$B$38&lt;&gt;1),"",$C$38)</f>
        <v/>
      </c>
      <c r="BA38">
        <f>IF(OR(33=43,$B$38&lt;&gt;1),"",$C$38)</f>
        <v/>
      </c>
      <c r="BB38">
        <f>IF(OR(33=44,$B$38&lt;&gt;1),"",$C$38)</f>
        <v/>
      </c>
      <c r="BC38">
        <f>IF(OR(33=45,$B$38&lt;&gt;1),"",$C$38)</f>
        <v/>
      </c>
      <c r="BD38">
        <f>IF(OR(33=46,$B$38&lt;&gt;1),"",$C$38)</f>
        <v/>
      </c>
      <c r="BE38">
        <f>IF(OR(33=47,$B$38&lt;&gt;1),"",$C$38)</f>
        <v/>
      </c>
      <c r="BF38">
        <f>IF(OR(33=48,$B$38&lt;&gt;1),"",$C$38)</f>
        <v/>
      </c>
      <c r="BG38">
        <f>IF(OR(33=49,$B$38&lt;&gt;1),"",$C$38)</f>
        <v/>
      </c>
    </row>
    <row r="39">
      <c r="A39" s="5">
        <f>IF(Clients!A39="","",Clients!A39)</f>
        <v/>
      </c>
      <c r="B39" s="5">
        <f>IF(A39="",0,IF(AND(Clients!K39=1,ISNUMBER(Clients!D39),ISNUMBER(INDEX(Clients!E39:J39,1,MATCH(Setup!$B$7,Clients!$E$4:$J$4,0)))),1,0))</f>
        <v/>
      </c>
      <c r="C39" s="12">
        <f>IF(B39=1,INDEX(Clients!E39:J39,1,MATCH(Setup!$B$7,Clients!$E$4:$J$4,0)),"")</f>
        <v/>
      </c>
      <c r="D39" s="13">
        <f>IF(B39&lt;&gt;1,"",IF(COUNT(AR5:AR54)=0,"",MEDIAN(AR5:AR54)))</f>
        <v/>
      </c>
      <c r="E39" s="12">
        <f>IF(B39=1,Clients!D39,"")</f>
        <v/>
      </c>
      <c r="F39" s="10" t="n"/>
      <c r="G39" s="12">
        <f>IF(AND(B39=1,ISNUMBER(F39)),F39-E39,"")</f>
        <v/>
      </c>
      <c r="J39">
        <f>IF(OR(34=0,$B$39&lt;&gt;1),"",$C$39)</f>
        <v/>
      </c>
      <c r="K39">
        <f>IF(OR(34=1,$B$39&lt;&gt;1),"",$C$39)</f>
        <v/>
      </c>
      <c r="L39">
        <f>IF(OR(34=2,$B$39&lt;&gt;1),"",$C$39)</f>
        <v/>
      </c>
      <c r="M39">
        <f>IF(OR(34=3,$B$39&lt;&gt;1),"",$C$39)</f>
        <v/>
      </c>
      <c r="N39">
        <f>IF(OR(34=4,$B$39&lt;&gt;1),"",$C$39)</f>
        <v/>
      </c>
      <c r="O39">
        <f>IF(OR(34=5,$B$39&lt;&gt;1),"",$C$39)</f>
        <v/>
      </c>
      <c r="P39">
        <f>IF(OR(34=6,$B$39&lt;&gt;1),"",$C$39)</f>
        <v/>
      </c>
      <c r="Q39">
        <f>IF(OR(34=7,$B$39&lt;&gt;1),"",$C$39)</f>
        <v/>
      </c>
      <c r="R39">
        <f>IF(OR(34=8,$B$39&lt;&gt;1),"",$C$39)</f>
        <v/>
      </c>
      <c r="S39">
        <f>IF(OR(34=9,$B$39&lt;&gt;1),"",$C$39)</f>
        <v/>
      </c>
      <c r="T39">
        <f>IF(OR(34=10,$B$39&lt;&gt;1),"",$C$39)</f>
        <v/>
      </c>
      <c r="U39">
        <f>IF(OR(34=11,$B$39&lt;&gt;1),"",$C$39)</f>
        <v/>
      </c>
      <c r="V39">
        <f>IF(OR(34=12,$B$39&lt;&gt;1),"",$C$39)</f>
        <v/>
      </c>
      <c r="W39">
        <f>IF(OR(34=13,$B$39&lt;&gt;1),"",$C$39)</f>
        <v/>
      </c>
      <c r="X39">
        <f>IF(OR(34=14,$B$39&lt;&gt;1),"",$C$39)</f>
        <v/>
      </c>
      <c r="Y39">
        <f>IF(OR(34=15,$B$39&lt;&gt;1),"",$C$39)</f>
        <v/>
      </c>
      <c r="Z39">
        <f>IF(OR(34=16,$B$39&lt;&gt;1),"",$C$39)</f>
        <v/>
      </c>
      <c r="AA39">
        <f>IF(OR(34=17,$B$39&lt;&gt;1),"",$C$39)</f>
        <v/>
      </c>
      <c r="AB39">
        <f>IF(OR(34=18,$B$39&lt;&gt;1),"",$C$39)</f>
        <v/>
      </c>
      <c r="AC39">
        <f>IF(OR(34=19,$B$39&lt;&gt;1),"",$C$39)</f>
        <v/>
      </c>
      <c r="AD39">
        <f>IF(OR(34=20,$B$39&lt;&gt;1),"",$C$39)</f>
        <v/>
      </c>
      <c r="AE39">
        <f>IF(OR(34=21,$B$39&lt;&gt;1),"",$C$39)</f>
        <v/>
      </c>
      <c r="AF39">
        <f>IF(OR(34=22,$B$39&lt;&gt;1),"",$C$39)</f>
        <v/>
      </c>
      <c r="AG39">
        <f>IF(OR(34=23,$B$39&lt;&gt;1),"",$C$39)</f>
        <v/>
      </c>
      <c r="AH39">
        <f>IF(OR(34=24,$B$39&lt;&gt;1),"",$C$39)</f>
        <v/>
      </c>
      <c r="AI39">
        <f>IF(OR(34=25,$B$39&lt;&gt;1),"",$C$39)</f>
        <v/>
      </c>
      <c r="AJ39">
        <f>IF(OR(34=26,$B$39&lt;&gt;1),"",$C$39)</f>
        <v/>
      </c>
      <c r="AK39">
        <f>IF(OR(34=27,$B$39&lt;&gt;1),"",$C$39)</f>
        <v/>
      </c>
      <c r="AL39">
        <f>IF(OR(34=28,$B$39&lt;&gt;1),"",$C$39)</f>
        <v/>
      </c>
      <c r="AM39">
        <f>IF(OR(34=29,$B$39&lt;&gt;1),"",$C$39)</f>
        <v/>
      </c>
      <c r="AN39">
        <f>IF(OR(34=30,$B$39&lt;&gt;1),"",$C$39)</f>
        <v/>
      </c>
      <c r="AO39">
        <f>IF(OR(34=31,$B$39&lt;&gt;1),"",$C$39)</f>
        <v/>
      </c>
      <c r="AP39">
        <f>IF(OR(34=32,$B$39&lt;&gt;1),"",$C$39)</f>
        <v/>
      </c>
      <c r="AQ39">
        <f>IF(OR(34=33,$B$39&lt;&gt;1),"",$C$39)</f>
        <v/>
      </c>
      <c r="AR39">
        <f>IF(OR(34=34,$B$39&lt;&gt;1),"",$C$39)</f>
        <v/>
      </c>
      <c r="AS39">
        <f>IF(OR(34=35,$B$39&lt;&gt;1),"",$C$39)</f>
        <v/>
      </c>
      <c r="AT39">
        <f>IF(OR(34=36,$B$39&lt;&gt;1),"",$C$39)</f>
        <v/>
      </c>
      <c r="AU39">
        <f>IF(OR(34=37,$B$39&lt;&gt;1),"",$C$39)</f>
        <v/>
      </c>
      <c r="AV39">
        <f>IF(OR(34=38,$B$39&lt;&gt;1),"",$C$39)</f>
        <v/>
      </c>
      <c r="AW39">
        <f>IF(OR(34=39,$B$39&lt;&gt;1),"",$C$39)</f>
        <v/>
      </c>
      <c r="AX39">
        <f>IF(OR(34=40,$B$39&lt;&gt;1),"",$C$39)</f>
        <v/>
      </c>
      <c r="AY39">
        <f>IF(OR(34=41,$B$39&lt;&gt;1),"",$C$39)</f>
        <v/>
      </c>
      <c r="AZ39">
        <f>IF(OR(34=42,$B$39&lt;&gt;1),"",$C$39)</f>
        <v/>
      </c>
      <c r="BA39">
        <f>IF(OR(34=43,$B$39&lt;&gt;1),"",$C$39)</f>
        <v/>
      </c>
      <c r="BB39">
        <f>IF(OR(34=44,$B$39&lt;&gt;1),"",$C$39)</f>
        <v/>
      </c>
      <c r="BC39">
        <f>IF(OR(34=45,$B$39&lt;&gt;1),"",$C$39)</f>
        <v/>
      </c>
      <c r="BD39">
        <f>IF(OR(34=46,$B$39&lt;&gt;1),"",$C$39)</f>
        <v/>
      </c>
      <c r="BE39">
        <f>IF(OR(34=47,$B$39&lt;&gt;1),"",$C$39)</f>
        <v/>
      </c>
      <c r="BF39">
        <f>IF(OR(34=48,$B$39&lt;&gt;1),"",$C$39)</f>
        <v/>
      </c>
      <c r="BG39">
        <f>IF(OR(34=49,$B$39&lt;&gt;1),"",$C$39)</f>
        <v/>
      </c>
    </row>
    <row r="40">
      <c r="A40" s="5">
        <f>IF(Clients!A40="","",Clients!A40)</f>
        <v/>
      </c>
      <c r="B40" s="5">
        <f>IF(A40="",0,IF(AND(Clients!K40=1,ISNUMBER(Clients!D40),ISNUMBER(INDEX(Clients!E40:J40,1,MATCH(Setup!$B$7,Clients!$E$4:$J$4,0)))),1,0))</f>
        <v/>
      </c>
      <c r="C40" s="12">
        <f>IF(B40=1,INDEX(Clients!E40:J40,1,MATCH(Setup!$B$7,Clients!$E$4:$J$4,0)),"")</f>
        <v/>
      </c>
      <c r="D40" s="13">
        <f>IF(B40&lt;&gt;1,"",IF(COUNT(AS5:AS54)=0,"",MEDIAN(AS5:AS54)))</f>
        <v/>
      </c>
      <c r="E40" s="12">
        <f>IF(B40=1,Clients!D40,"")</f>
        <v/>
      </c>
      <c r="F40" s="10" t="n"/>
      <c r="G40" s="12">
        <f>IF(AND(B40=1,ISNUMBER(F40)),F40-E40,"")</f>
        <v/>
      </c>
      <c r="J40">
        <f>IF(OR(35=0,$B$40&lt;&gt;1),"",$C$40)</f>
        <v/>
      </c>
      <c r="K40">
        <f>IF(OR(35=1,$B$40&lt;&gt;1),"",$C$40)</f>
        <v/>
      </c>
      <c r="L40">
        <f>IF(OR(35=2,$B$40&lt;&gt;1),"",$C$40)</f>
        <v/>
      </c>
      <c r="M40">
        <f>IF(OR(35=3,$B$40&lt;&gt;1),"",$C$40)</f>
        <v/>
      </c>
      <c r="N40">
        <f>IF(OR(35=4,$B$40&lt;&gt;1),"",$C$40)</f>
        <v/>
      </c>
      <c r="O40">
        <f>IF(OR(35=5,$B$40&lt;&gt;1),"",$C$40)</f>
        <v/>
      </c>
      <c r="P40">
        <f>IF(OR(35=6,$B$40&lt;&gt;1),"",$C$40)</f>
        <v/>
      </c>
      <c r="Q40">
        <f>IF(OR(35=7,$B$40&lt;&gt;1),"",$C$40)</f>
        <v/>
      </c>
      <c r="R40">
        <f>IF(OR(35=8,$B$40&lt;&gt;1),"",$C$40)</f>
        <v/>
      </c>
      <c r="S40">
        <f>IF(OR(35=9,$B$40&lt;&gt;1),"",$C$40)</f>
        <v/>
      </c>
      <c r="T40">
        <f>IF(OR(35=10,$B$40&lt;&gt;1),"",$C$40)</f>
        <v/>
      </c>
      <c r="U40">
        <f>IF(OR(35=11,$B$40&lt;&gt;1),"",$C$40)</f>
        <v/>
      </c>
      <c r="V40">
        <f>IF(OR(35=12,$B$40&lt;&gt;1),"",$C$40)</f>
        <v/>
      </c>
      <c r="W40">
        <f>IF(OR(35=13,$B$40&lt;&gt;1),"",$C$40)</f>
        <v/>
      </c>
      <c r="X40">
        <f>IF(OR(35=14,$B$40&lt;&gt;1),"",$C$40)</f>
        <v/>
      </c>
      <c r="Y40">
        <f>IF(OR(35=15,$B$40&lt;&gt;1),"",$C$40)</f>
        <v/>
      </c>
      <c r="Z40">
        <f>IF(OR(35=16,$B$40&lt;&gt;1),"",$C$40)</f>
        <v/>
      </c>
      <c r="AA40">
        <f>IF(OR(35=17,$B$40&lt;&gt;1),"",$C$40)</f>
        <v/>
      </c>
      <c r="AB40">
        <f>IF(OR(35=18,$B$40&lt;&gt;1),"",$C$40)</f>
        <v/>
      </c>
      <c r="AC40">
        <f>IF(OR(35=19,$B$40&lt;&gt;1),"",$C$40)</f>
        <v/>
      </c>
      <c r="AD40">
        <f>IF(OR(35=20,$B$40&lt;&gt;1),"",$C$40)</f>
        <v/>
      </c>
      <c r="AE40">
        <f>IF(OR(35=21,$B$40&lt;&gt;1),"",$C$40)</f>
        <v/>
      </c>
      <c r="AF40">
        <f>IF(OR(35=22,$B$40&lt;&gt;1),"",$C$40)</f>
        <v/>
      </c>
      <c r="AG40">
        <f>IF(OR(35=23,$B$40&lt;&gt;1),"",$C$40)</f>
        <v/>
      </c>
      <c r="AH40">
        <f>IF(OR(35=24,$B$40&lt;&gt;1),"",$C$40)</f>
        <v/>
      </c>
      <c r="AI40">
        <f>IF(OR(35=25,$B$40&lt;&gt;1),"",$C$40)</f>
        <v/>
      </c>
      <c r="AJ40">
        <f>IF(OR(35=26,$B$40&lt;&gt;1),"",$C$40)</f>
        <v/>
      </c>
      <c r="AK40">
        <f>IF(OR(35=27,$B$40&lt;&gt;1),"",$C$40)</f>
        <v/>
      </c>
      <c r="AL40">
        <f>IF(OR(35=28,$B$40&lt;&gt;1),"",$C$40)</f>
        <v/>
      </c>
      <c r="AM40">
        <f>IF(OR(35=29,$B$40&lt;&gt;1),"",$C$40)</f>
        <v/>
      </c>
      <c r="AN40">
        <f>IF(OR(35=30,$B$40&lt;&gt;1),"",$C$40)</f>
        <v/>
      </c>
      <c r="AO40">
        <f>IF(OR(35=31,$B$40&lt;&gt;1),"",$C$40)</f>
        <v/>
      </c>
      <c r="AP40">
        <f>IF(OR(35=32,$B$40&lt;&gt;1),"",$C$40)</f>
        <v/>
      </c>
      <c r="AQ40">
        <f>IF(OR(35=33,$B$40&lt;&gt;1),"",$C$40)</f>
        <v/>
      </c>
      <c r="AR40">
        <f>IF(OR(35=34,$B$40&lt;&gt;1),"",$C$40)</f>
        <v/>
      </c>
      <c r="AS40">
        <f>IF(OR(35=35,$B$40&lt;&gt;1),"",$C$40)</f>
        <v/>
      </c>
      <c r="AT40">
        <f>IF(OR(35=36,$B$40&lt;&gt;1),"",$C$40)</f>
        <v/>
      </c>
      <c r="AU40">
        <f>IF(OR(35=37,$B$40&lt;&gt;1),"",$C$40)</f>
        <v/>
      </c>
      <c r="AV40">
        <f>IF(OR(35=38,$B$40&lt;&gt;1),"",$C$40)</f>
        <v/>
      </c>
      <c r="AW40">
        <f>IF(OR(35=39,$B$40&lt;&gt;1),"",$C$40)</f>
        <v/>
      </c>
      <c r="AX40">
        <f>IF(OR(35=40,$B$40&lt;&gt;1),"",$C$40)</f>
        <v/>
      </c>
      <c r="AY40">
        <f>IF(OR(35=41,$B$40&lt;&gt;1),"",$C$40)</f>
        <v/>
      </c>
      <c r="AZ40">
        <f>IF(OR(35=42,$B$40&lt;&gt;1),"",$C$40)</f>
        <v/>
      </c>
      <c r="BA40">
        <f>IF(OR(35=43,$B$40&lt;&gt;1),"",$C$40)</f>
        <v/>
      </c>
      <c r="BB40">
        <f>IF(OR(35=44,$B$40&lt;&gt;1),"",$C$40)</f>
        <v/>
      </c>
      <c r="BC40">
        <f>IF(OR(35=45,$B$40&lt;&gt;1),"",$C$40)</f>
        <v/>
      </c>
      <c r="BD40">
        <f>IF(OR(35=46,$B$40&lt;&gt;1),"",$C$40)</f>
        <v/>
      </c>
      <c r="BE40">
        <f>IF(OR(35=47,$B$40&lt;&gt;1),"",$C$40)</f>
        <v/>
      </c>
      <c r="BF40">
        <f>IF(OR(35=48,$B$40&lt;&gt;1),"",$C$40)</f>
        <v/>
      </c>
      <c r="BG40">
        <f>IF(OR(35=49,$B$40&lt;&gt;1),"",$C$40)</f>
        <v/>
      </c>
    </row>
    <row r="41">
      <c r="A41" s="5">
        <f>IF(Clients!A41="","",Clients!A41)</f>
        <v/>
      </c>
      <c r="B41" s="5">
        <f>IF(A41="",0,IF(AND(Clients!K41=1,ISNUMBER(Clients!D41),ISNUMBER(INDEX(Clients!E41:J41,1,MATCH(Setup!$B$7,Clients!$E$4:$J$4,0)))),1,0))</f>
        <v/>
      </c>
      <c r="C41" s="12">
        <f>IF(B41=1,INDEX(Clients!E41:J41,1,MATCH(Setup!$B$7,Clients!$E$4:$J$4,0)),"")</f>
        <v/>
      </c>
      <c r="D41" s="13">
        <f>IF(B41&lt;&gt;1,"",IF(COUNT(AT5:AT54)=0,"",MEDIAN(AT5:AT54)))</f>
        <v/>
      </c>
      <c r="E41" s="12">
        <f>IF(B41=1,Clients!D41,"")</f>
        <v/>
      </c>
      <c r="F41" s="10" t="n"/>
      <c r="G41" s="12">
        <f>IF(AND(B41=1,ISNUMBER(F41)),F41-E41,"")</f>
        <v/>
      </c>
      <c r="J41">
        <f>IF(OR(36=0,$B$41&lt;&gt;1),"",$C$41)</f>
        <v/>
      </c>
      <c r="K41">
        <f>IF(OR(36=1,$B$41&lt;&gt;1),"",$C$41)</f>
        <v/>
      </c>
      <c r="L41">
        <f>IF(OR(36=2,$B$41&lt;&gt;1),"",$C$41)</f>
        <v/>
      </c>
      <c r="M41">
        <f>IF(OR(36=3,$B$41&lt;&gt;1),"",$C$41)</f>
        <v/>
      </c>
      <c r="N41">
        <f>IF(OR(36=4,$B$41&lt;&gt;1),"",$C$41)</f>
        <v/>
      </c>
      <c r="O41">
        <f>IF(OR(36=5,$B$41&lt;&gt;1),"",$C$41)</f>
        <v/>
      </c>
      <c r="P41">
        <f>IF(OR(36=6,$B$41&lt;&gt;1),"",$C$41)</f>
        <v/>
      </c>
      <c r="Q41">
        <f>IF(OR(36=7,$B$41&lt;&gt;1),"",$C$41)</f>
        <v/>
      </c>
      <c r="R41">
        <f>IF(OR(36=8,$B$41&lt;&gt;1),"",$C$41)</f>
        <v/>
      </c>
      <c r="S41">
        <f>IF(OR(36=9,$B$41&lt;&gt;1),"",$C$41)</f>
        <v/>
      </c>
      <c r="T41">
        <f>IF(OR(36=10,$B$41&lt;&gt;1),"",$C$41)</f>
        <v/>
      </c>
      <c r="U41">
        <f>IF(OR(36=11,$B$41&lt;&gt;1),"",$C$41)</f>
        <v/>
      </c>
      <c r="V41">
        <f>IF(OR(36=12,$B$41&lt;&gt;1),"",$C$41)</f>
        <v/>
      </c>
      <c r="W41">
        <f>IF(OR(36=13,$B$41&lt;&gt;1),"",$C$41)</f>
        <v/>
      </c>
      <c r="X41">
        <f>IF(OR(36=14,$B$41&lt;&gt;1),"",$C$41)</f>
        <v/>
      </c>
      <c r="Y41">
        <f>IF(OR(36=15,$B$41&lt;&gt;1),"",$C$41)</f>
        <v/>
      </c>
      <c r="Z41">
        <f>IF(OR(36=16,$B$41&lt;&gt;1),"",$C$41)</f>
        <v/>
      </c>
      <c r="AA41">
        <f>IF(OR(36=17,$B$41&lt;&gt;1),"",$C$41)</f>
        <v/>
      </c>
      <c r="AB41">
        <f>IF(OR(36=18,$B$41&lt;&gt;1),"",$C$41)</f>
        <v/>
      </c>
      <c r="AC41">
        <f>IF(OR(36=19,$B$41&lt;&gt;1),"",$C$41)</f>
        <v/>
      </c>
      <c r="AD41">
        <f>IF(OR(36=20,$B$41&lt;&gt;1),"",$C$41)</f>
        <v/>
      </c>
      <c r="AE41">
        <f>IF(OR(36=21,$B$41&lt;&gt;1),"",$C$41)</f>
        <v/>
      </c>
      <c r="AF41">
        <f>IF(OR(36=22,$B$41&lt;&gt;1),"",$C$41)</f>
        <v/>
      </c>
      <c r="AG41">
        <f>IF(OR(36=23,$B$41&lt;&gt;1),"",$C$41)</f>
        <v/>
      </c>
      <c r="AH41">
        <f>IF(OR(36=24,$B$41&lt;&gt;1),"",$C$41)</f>
        <v/>
      </c>
      <c r="AI41">
        <f>IF(OR(36=25,$B$41&lt;&gt;1),"",$C$41)</f>
        <v/>
      </c>
      <c r="AJ41">
        <f>IF(OR(36=26,$B$41&lt;&gt;1),"",$C$41)</f>
        <v/>
      </c>
      <c r="AK41">
        <f>IF(OR(36=27,$B$41&lt;&gt;1),"",$C$41)</f>
        <v/>
      </c>
      <c r="AL41">
        <f>IF(OR(36=28,$B$41&lt;&gt;1),"",$C$41)</f>
        <v/>
      </c>
      <c r="AM41">
        <f>IF(OR(36=29,$B$41&lt;&gt;1),"",$C$41)</f>
        <v/>
      </c>
      <c r="AN41">
        <f>IF(OR(36=30,$B$41&lt;&gt;1),"",$C$41)</f>
        <v/>
      </c>
      <c r="AO41">
        <f>IF(OR(36=31,$B$41&lt;&gt;1),"",$C$41)</f>
        <v/>
      </c>
      <c r="AP41">
        <f>IF(OR(36=32,$B$41&lt;&gt;1),"",$C$41)</f>
        <v/>
      </c>
      <c r="AQ41">
        <f>IF(OR(36=33,$B$41&lt;&gt;1),"",$C$41)</f>
        <v/>
      </c>
      <c r="AR41">
        <f>IF(OR(36=34,$B$41&lt;&gt;1),"",$C$41)</f>
        <v/>
      </c>
      <c r="AS41">
        <f>IF(OR(36=35,$B$41&lt;&gt;1),"",$C$41)</f>
        <v/>
      </c>
      <c r="AT41">
        <f>IF(OR(36=36,$B$41&lt;&gt;1),"",$C$41)</f>
        <v/>
      </c>
      <c r="AU41">
        <f>IF(OR(36=37,$B$41&lt;&gt;1),"",$C$41)</f>
        <v/>
      </c>
      <c r="AV41">
        <f>IF(OR(36=38,$B$41&lt;&gt;1),"",$C$41)</f>
        <v/>
      </c>
      <c r="AW41">
        <f>IF(OR(36=39,$B$41&lt;&gt;1),"",$C$41)</f>
        <v/>
      </c>
      <c r="AX41">
        <f>IF(OR(36=40,$B$41&lt;&gt;1),"",$C$41)</f>
        <v/>
      </c>
      <c r="AY41">
        <f>IF(OR(36=41,$B$41&lt;&gt;1),"",$C$41)</f>
        <v/>
      </c>
      <c r="AZ41">
        <f>IF(OR(36=42,$B$41&lt;&gt;1),"",$C$41)</f>
        <v/>
      </c>
      <c r="BA41">
        <f>IF(OR(36=43,$B$41&lt;&gt;1),"",$C$41)</f>
        <v/>
      </c>
      <c r="BB41">
        <f>IF(OR(36=44,$B$41&lt;&gt;1),"",$C$41)</f>
        <v/>
      </c>
      <c r="BC41">
        <f>IF(OR(36=45,$B$41&lt;&gt;1),"",$C$41)</f>
        <v/>
      </c>
      <c r="BD41">
        <f>IF(OR(36=46,$B$41&lt;&gt;1),"",$C$41)</f>
        <v/>
      </c>
      <c r="BE41">
        <f>IF(OR(36=47,$B$41&lt;&gt;1),"",$C$41)</f>
        <v/>
      </c>
      <c r="BF41">
        <f>IF(OR(36=48,$B$41&lt;&gt;1),"",$C$41)</f>
        <v/>
      </c>
      <c r="BG41">
        <f>IF(OR(36=49,$B$41&lt;&gt;1),"",$C$41)</f>
        <v/>
      </c>
    </row>
    <row r="42">
      <c r="A42" s="5">
        <f>IF(Clients!A42="","",Clients!A42)</f>
        <v/>
      </c>
      <c r="B42" s="5">
        <f>IF(A42="",0,IF(AND(Clients!K42=1,ISNUMBER(Clients!D42),ISNUMBER(INDEX(Clients!E42:J42,1,MATCH(Setup!$B$7,Clients!$E$4:$J$4,0)))),1,0))</f>
        <v/>
      </c>
      <c r="C42" s="12">
        <f>IF(B42=1,INDEX(Clients!E42:J42,1,MATCH(Setup!$B$7,Clients!$E$4:$J$4,0)),"")</f>
        <v/>
      </c>
      <c r="D42" s="13">
        <f>IF(B42&lt;&gt;1,"",IF(COUNT(AU5:AU54)=0,"",MEDIAN(AU5:AU54)))</f>
        <v/>
      </c>
      <c r="E42" s="12">
        <f>IF(B42=1,Clients!D42,"")</f>
        <v/>
      </c>
      <c r="F42" s="10" t="n"/>
      <c r="G42" s="12">
        <f>IF(AND(B42=1,ISNUMBER(F42)),F42-E42,"")</f>
        <v/>
      </c>
      <c r="J42">
        <f>IF(OR(37=0,$B$42&lt;&gt;1),"",$C$42)</f>
        <v/>
      </c>
      <c r="K42">
        <f>IF(OR(37=1,$B$42&lt;&gt;1),"",$C$42)</f>
        <v/>
      </c>
      <c r="L42">
        <f>IF(OR(37=2,$B$42&lt;&gt;1),"",$C$42)</f>
        <v/>
      </c>
      <c r="M42">
        <f>IF(OR(37=3,$B$42&lt;&gt;1),"",$C$42)</f>
        <v/>
      </c>
      <c r="N42">
        <f>IF(OR(37=4,$B$42&lt;&gt;1),"",$C$42)</f>
        <v/>
      </c>
      <c r="O42">
        <f>IF(OR(37=5,$B$42&lt;&gt;1),"",$C$42)</f>
        <v/>
      </c>
      <c r="P42">
        <f>IF(OR(37=6,$B$42&lt;&gt;1),"",$C$42)</f>
        <v/>
      </c>
      <c r="Q42">
        <f>IF(OR(37=7,$B$42&lt;&gt;1),"",$C$42)</f>
        <v/>
      </c>
      <c r="R42">
        <f>IF(OR(37=8,$B$42&lt;&gt;1),"",$C$42)</f>
        <v/>
      </c>
      <c r="S42">
        <f>IF(OR(37=9,$B$42&lt;&gt;1),"",$C$42)</f>
        <v/>
      </c>
      <c r="T42">
        <f>IF(OR(37=10,$B$42&lt;&gt;1),"",$C$42)</f>
        <v/>
      </c>
      <c r="U42">
        <f>IF(OR(37=11,$B$42&lt;&gt;1),"",$C$42)</f>
        <v/>
      </c>
      <c r="V42">
        <f>IF(OR(37=12,$B$42&lt;&gt;1),"",$C$42)</f>
        <v/>
      </c>
      <c r="W42">
        <f>IF(OR(37=13,$B$42&lt;&gt;1),"",$C$42)</f>
        <v/>
      </c>
      <c r="X42">
        <f>IF(OR(37=14,$B$42&lt;&gt;1),"",$C$42)</f>
        <v/>
      </c>
      <c r="Y42">
        <f>IF(OR(37=15,$B$42&lt;&gt;1),"",$C$42)</f>
        <v/>
      </c>
      <c r="Z42">
        <f>IF(OR(37=16,$B$42&lt;&gt;1),"",$C$42)</f>
        <v/>
      </c>
      <c r="AA42">
        <f>IF(OR(37=17,$B$42&lt;&gt;1),"",$C$42)</f>
        <v/>
      </c>
      <c r="AB42">
        <f>IF(OR(37=18,$B$42&lt;&gt;1),"",$C$42)</f>
        <v/>
      </c>
      <c r="AC42">
        <f>IF(OR(37=19,$B$42&lt;&gt;1),"",$C$42)</f>
        <v/>
      </c>
      <c r="AD42">
        <f>IF(OR(37=20,$B$42&lt;&gt;1),"",$C$42)</f>
        <v/>
      </c>
      <c r="AE42">
        <f>IF(OR(37=21,$B$42&lt;&gt;1),"",$C$42)</f>
        <v/>
      </c>
      <c r="AF42">
        <f>IF(OR(37=22,$B$42&lt;&gt;1),"",$C$42)</f>
        <v/>
      </c>
      <c r="AG42">
        <f>IF(OR(37=23,$B$42&lt;&gt;1),"",$C$42)</f>
        <v/>
      </c>
      <c r="AH42">
        <f>IF(OR(37=24,$B$42&lt;&gt;1),"",$C$42)</f>
        <v/>
      </c>
      <c r="AI42">
        <f>IF(OR(37=25,$B$42&lt;&gt;1),"",$C$42)</f>
        <v/>
      </c>
      <c r="AJ42">
        <f>IF(OR(37=26,$B$42&lt;&gt;1),"",$C$42)</f>
        <v/>
      </c>
      <c r="AK42">
        <f>IF(OR(37=27,$B$42&lt;&gt;1),"",$C$42)</f>
        <v/>
      </c>
      <c r="AL42">
        <f>IF(OR(37=28,$B$42&lt;&gt;1),"",$C$42)</f>
        <v/>
      </c>
      <c r="AM42">
        <f>IF(OR(37=29,$B$42&lt;&gt;1),"",$C$42)</f>
        <v/>
      </c>
      <c r="AN42">
        <f>IF(OR(37=30,$B$42&lt;&gt;1),"",$C$42)</f>
        <v/>
      </c>
      <c r="AO42">
        <f>IF(OR(37=31,$B$42&lt;&gt;1),"",$C$42)</f>
        <v/>
      </c>
      <c r="AP42">
        <f>IF(OR(37=32,$B$42&lt;&gt;1),"",$C$42)</f>
        <v/>
      </c>
      <c r="AQ42">
        <f>IF(OR(37=33,$B$42&lt;&gt;1),"",$C$42)</f>
        <v/>
      </c>
      <c r="AR42">
        <f>IF(OR(37=34,$B$42&lt;&gt;1),"",$C$42)</f>
        <v/>
      </c>
      <c r="AS42">
        <f>IF(OR(37=35,$B$42&lt;&gt;1),"",$C$42)</f>
        <v/>
      </c>
      <c r="AT42">
        <f>IF(OR(37=36,$B$42&lt;&gt;1),"",$C$42)</f>
        <v/>
      </c>
      <c r="AU42">
        <f>IF(OR(37=37,$B$42&lt;&gt;1),"",$C$42)</f>
        <v/>
      </c>
      <c r="AV42">
        <f>IF(OR(37=38,$B$42&lt;&gt;1),"",$C$42)</f>
        <v/>
      </c>
      <c r="AW42">
        <f>IF(OR(37=39,$B$42&lt;&gt;1),"",$C$42)</f>
        <v/>
      </c>
      <c r="AX42">
        <f>IF(OR(37=40,$B$42&lt;&gt;1),"",$C$42)</f>
        <v/>
      </c>
      <c r="AY42">
        <f>IF(OR(37=41,$B$42&lt;&gt;1),"",$C$42)</f>
        <v/>
      </c>
      <c r="AZ42">
        <f>IF(OR(37=42,$B$42&lt;&gt;1),"",$C$42)</f>
        <v/>
      </c>
      <c r="BA42">
        <f>IF(OR(37=43,$B$42&lt;&gt;1),"",$C$42)</f>
        <v/>
      </c>
      <c r="BB42">
        <f>IF(OR(37=44,$B$42&lt;&gt;1),"",$C$42)</f>
        <v/>
      </c>
      <c r="BC42">
        <f>IF(OR(37=45,$B$42&lt;&gt;1),"",$C$42)</f>
        <v/>
      </c>
      <c r="BD42">
        <f>IF(OR(37=46,$B$42&lt;&gt;1),"",$C$42)</f>
        <v/>
      </c>
      <c r="BE42">
        <f>IF(OR(37=47,$B$42&lt;&gt;1),"",$C$42)</f>
        <v/>
      </c>
      <c r="BF42">
        <f>IF(OR(37=48,$B$42&lt;&gt;1),"",$C$42)</f>
        <v/>
      </c>
      <c r="BG42">
        <f>IF(OR(37=49,$B$42&lt;&gt;1),"",$C$42)</f>
        <v/>
      </c>
    </row>
    <row r="43">
      <c r="A43" s="5">
        <f>IF(Clients!A43="","",Clients!A43)</f>
        <v/>
      </c>
      <c r="B43" s="5">
        <f>IF(A43="",0,IF(AND(Clients!K43=1,ISNUMBER(Clients!D43),ISNUMBER(INDEX(Clients!E43:J43,1,MATCH(Setup!$B$7,Clients!$E$4:$J$4,0)))),1,0))</f>
        <v/>
      </c>
      <c r="C43" s="12">
        <f>IF(B43=1,INDEX(Clients!E43:J43,1,MATCH(Setup!$B$7,Clients!$E$4:$J$4,0)),"")</f>
        <v/>
      </c>
      <c r="D43" s="13">
        <f>IF(B43&lt;&gt;1,"",IF(COUNT(AV5:AV54)=0,"",MEDIAN(AV5:AV54)))</f>
        <v/>
      </c>
      <c r="E43" s="12">
        <f>IF(B43=1,Clients!D43,"")</f>
        <v/>
      </c>
      <c r="F43" s="10" t="n"/>
      <c r="G43" s="12">
        <f>IF(AND(B43=1,ISNUMBER(F43)),F43-E43,"")</f>
        <v/>
      </c>
      <c r="J43">
        <f>IF(OR(38=0,$B$43&lt;&gt;1),"",$C$43)</f>
        <v/>
      </c>
      <c r="K43">
        <f>IF(OR(38=1,$B$43&lt;&gt;1),"",$C$43)</f>
        <v/>
      </c>
      <c r="L43">
        <f>IF(OR(38=2,$B$43&lt;&gt;1),"",$C$43)</f>
        <v/>
      </c>
      <c r="M43">
        <f>IF(OR(38=3,$B$43&lt;&gt;1),"",$C$43)</f>
        <v/>
      </c>
      <c r="N43">
        <f>IF(OR(38=4,$B$43&lt;&gt;1),"",$C$43)</f>
        <v/>
      </c>
      <c r="O43">
        <f>IF(OR(38=5,$B$43&lt;&gt;1),"",$C$43)</f>
        <v/>
      </c>
      <c r="P43">
        <f>IF(OR(38=6,$B$43&lt;&gt;1),"",$C$43)</f>
        <v/>
      </c>
      <c r="Q43">
        <f>IF(OR(38=7,$B$43&lt;&gt;1),"",$C$43)</f>
        <v/>
      </c>
      <c r="R43">
        <f>IF(OR(38=8,$B$43&lt;&gt;1),"",$C$43)</f>
        <v/>
      </c>
      <c r="S43">
        <f>IF(OR(38=9,$B$43&lt;&gt;1),"",$C$43)</f>
        <v/>
      </c>
      <c r="T43">
        <f>IF(OR(38=10,$B$43&lt;&gt;1),"",$C$43)</f>
        <v/>
      </c>
      <c r="U43">
        <f>IF(OR(38=11,$B$43&lt;&gt;1),"",$C$43)</f>
        <v/>
      </c>
      <c r="V43">
        <f>IF(OR(38=12,$B$43&lt;&gt;1),"",$C$43)</f>
        <v/>
      </c>
      <c r="W43">
        <f>IF(OR(38=13,$B$43&lt;&gt;1),"",$C$43)</f>
        <v/>
      </c>
      <c r="X43">
        <f>IF(OR(38=14,$B$43&lt;&gt;1),"",$C$43)</f>
        <v/>
      </c>
      <c r="Y43">
        <f>IF(OR(38=15,$B$43&lt;&gt;1),"",$C$43)</f>
        <v/>
      </c>
      <c r="Z43">
        <f>IF(OR(38=16,$B$43&lt;&gt;1),"",$C$43)</f>
        <v/>
      </c>
      <c r="AA43">
        <f>IF(OR(38=17,$B$43&lt;&gt;1),"",$C$43)</f>
        <v/>
      </c>
      <c r="AB43">
        <f>IF(OR(38=18,$B$43&lt;&gt;1),"",$C$43)</f>
        <v/>
      </c>
      <c r="AC43">
        <f>IF(OR(38=19,$B$43&lt;&gt;1),"",$C$43)</f>
        <v/>
      </c>
      <c r="AD43">
        <f>IF(OR(38=20,$B$43&lt;&gt;1),"",$C$43)</f>
        <v/>
      </c>
      <c r="AE43">
        <f>IF(OR(38=21,$B$43&lt;&gt;1),"",$C$43)</f>
        <v/>
      </c>
      <c r="AF43">
        <f>IF(OR(38=22,$B$43&lt;&gt;1),"",$C$43)</f>
        <v/>
      </c>
      <c r="AG43">
        <f>IF(OR(38=23,$B$43&lt;&gt;1),"",$C$43)</f>
        <v/>
      </c>
      <c r="AH43">
        <f>IF(OR(38=24,$B$43&lt;&gt;1),"",$C$43)</f>
        <v/>
      </c>
      <c r="AI43">
        <f>IF(OR(38=25,$B$43&lt;&gt;1),"",$C$43)</f>
        <v/>
      </c>
      <c r="AJ43">
        <f>IF(OR(38=26,$B$43&lt;&gt;1),"",$C$43)</f>
        <v/>
      </c>
      <c r="AK43">
        <f>IF(OR(38=27,$B$43&lt;&gt;1),"",$C$43)</f>
        <v/>
      </c>
      <c r="AL43">
        <f>IF(OR(38=28,$B$43&lt;&gt;1),"",$C$43)</f>
        <v/>
      </c>
      <c r="AM43">
        <f>IF(OR(38=29,$B$43&lt;&gt;1),"",$C$43)</f>
        <v/>
      </c>
      <c r="AN43">
        <f>IF(OR(38=30,$B$43&lt;&gt;1),"",$C$43)</f>
        <v/>
      </c>
      <c r="AO43">
        <f>IF(OR(38=31,$B$43&lt;&gt;1),"",$C$43)</f>
        <v/>
      </c>
      <c r="AP43">
        <f>IF(OR(38=32,$B$43&lt;&gt;1),"",$C$43)</f>
        <v/>
      </c>
      <c r="AQ43">
        <f>IF(OR(38=33,$B$43&lt;&gt;1),"",$C$43)</f>
        <v/>
      </c>
      <c r="AR43">
        <f>IF(OR(38=34,$B$43&lt;&gt;1),"",$C$43)</f>
        <v/>
      </c>
      <c r="AS43">
        <f>IF(OR(38=35,$B$43&lt;&gt;1),"",$C$43)</f>
        <v/>
      </c>
      <c r="AT43">
        <f>IF(OR(38=36,$B$43&lt;&gt;1),"",$C$43)</f>
        <v/>
      </c>
      <c r="AU43">
        <f>IF(OR(38=37,$B$43&lt;&gt;1),"",$C$43)</f>
        <v/>
      </c>
      <c r="AV43">
        <f>IF(OR(38=38,$B$43&lt;&gt;1),"",$C$43)</f>
        <v/>
      </c>
      <c r="AW43">
        <f>IF(OR(38=39,$B$43&lt;&gt;1),"",$C$43)</f>
        <v/>
      </c>
      <c r="AX43">
        <f>IF(OR(38=40,$B$43&lt;&gt;1),"",$C$43)</f>
        <v/>
      </c>
      <c r="AY43">
        <f>IF(OR(38=41,$B$43&lt;&gt;1),"",$C$43)</f>
        <v/>
      </c>
      <c r="AZ43">
        <f>IF(OR(38=42,$B$43&lt;&gt;1),"",$C$43)</f>
        <v/>
      </c>
      <c r="BA43">
        <f>IF(OR(38=43,$B$43&lt;&gt;1),"",$C$43)</f>
        <v/>
      </c>
      <c r="BB43">
        <f>IF(OR(38=44,$B$43&lt;&gt;1),"",$C$43)</f>
        <v/>
      </c>
      <c r="BC43">
        <f>IF(OR(38=45,$B$43&lt;&gt;1),"",$C$43)</f>
        <v/>
      </c>
      <c r="BD43">
        <f>IF(OR(38=46,$B$43&lt;&gt;1),"",$C$43)</f>
        <v/>
      </c>
      <c r="BE43">
        <f>IF(OR(38=47,$B$43&lt;&gt;1),"",$C$43)</f>
        <v/>
      </c>
      <c r="BF43">
        <f>IF(OR(38=48,$B$43&lt;&gt;1),"",$C$43)</f>
        <v/>
      </c>
      <c r="BG43">
        <f>IF(OR(38=49,$B$43&lt;&gt;1),"",$C$43)</f>
        <v/>
      </c>
    </row>
    <row r="44">
      <c r="A44" s="5">
        <f>IF(Clients!A44="","",Clients!A44)</f>
        <v/>
      </c>
      <c r="B44" s="5">
        <f>IF(A44="",0,IF(AND(Clients!K44=1,ISNUMBER(Clients!D44),ISNUMBER(INDEX(Clients!E44:J44,1,MATCH(Setup!$B$7,Clients!$E$4:$J$4,0)))),1,0))</f>
        <v/>
      </c>
      <c r="C44" s="12">
        <f>IF(B44=1,INDEX(Clients!E44:J44,1,MATCH(Setup!$B$7,Clients!$E$4:$J$4,0)),"")</f>
        <v/>
      </c>
      <c r="D44" s="13">
        <f>IF(B44&lt;&gt;1,"",IF(COUNT(AW5:AW54)=0,"",MEDIAN(AW5:AW54)))</f>
        <v/>
      </c>
      <c r="E44" s="12">
        <f>IF(B44=1,Clients!D44,"")</f>
        <v/>
      </c>
      <c r="F44" s="10" t="n"/>
      <c r="G44" s="12">
        <f>IF(AND(B44=1,ISNUMBER(F44)),F44-E44,"")</f>
        <v/>
      </c>
      <c r="J44">
        <f>IF(OR(39=0,$B$44&lt;&gt;1),"",$C$44)</f>
        <v/>
      </c>
      <c r="K44">
        <f>IF(OR(39=1,$B$44&lt;&gt;1),"",$C$44)</f>
        <v/>
      </c>
      <c r="L44">
        <f>IF(OR(39=2,$B$44&lt;&gt;1),"",$C$44)</f>
        <v/>
      </c>
      <c r="M44">
        <f>IF(OR(39=3,$B$44&lt;&gt;1),"",$C$44)</f>
        <v/>
      </c>
      <c r="N44">
        <f>IF(OR(39=4,$B$44&lt;&gt;1),"",$C$44)</f>
        <v/>
      </c>
      <c r="O44">
        <f>IF(OR(39=5,$B$44&lt;&gt;1),"",$C$44)</f>
        <v/>
      </c>
      <c r="P44">
        <f>IF(OR(39=6,$B$44&lt;&gt;1),"",$C$44)</f>
        <v/>
      </c>
      <c r="Q44">
        <f>IF(OR(39=7,$B$44&lt;&gt;1),"",$C$44)</f>
        <v/>
      </c>
      <c r="R44">
        <f>IF(OR(39=8,$B$44&lt;&gt;1),"",$C$44)</f>
        <v/>
      </c>
      <c r="S44">
        <f>IF(OR(39=9,$B$44&lt;&gt;1),"",$C$44)</f>
        <v/>
      </c>
      <c r="T44">
        <f>IF(OR(39=10,$B$44&lt;&gt;1),"",$C$44)</f>
        <v/>
      </c>
      <c r="U44">
        <f>IF(OR(39=11,$B$44&lt;&gt;1),"",$C$44)</f>
        <v/>
      </c>
      <c r="V44">
        <f>IF(OR(39=12,$B$44&lt;&gt;1),"",$C$44)</f>
        <v/>
      </c>
      <c r="W44">
        <f>IF(OR(39=13,$B$44&lt;&gt;1),"",$C$44)</f>
        <v/>
      </c>
      <c r="X44">
        <f>IF(OR(39=14,$B$44&lt;&gt;1),"",$C$44)</f>
        <v/>
      </c>
      <c r="Y44">
        <f>IF(OR(39=15,$B$44&lt;&gt;1),"",$C$44)</f>
        <v/>
      </c>
      <c r="Z44">
        <f>IF(OR(39=16,$B$44&lt;&gt;1),"",$C$44)</f>
        <v/>
      </c>
      <c r="AA44">
        <f>IF(OR(39=17,$B$44&lt;&gt;1),"",$C$44)</f>
        <v/>
      </c>
      <c r="AB44">
        <f>IF(OR(39=18,$B$44&lt;&gt;1),"",$C$44)</f>
        <v/>
      </c>
      <c r="AC44">
        <f>IF(OR(39=19,$B$44&lt;&gt;1),"",$C$44)</f>
        <v/>
      </c>
      <c r="AD44">
        <f>IF(OR(39=20,$B$44&lt;&gt;1),"",$C$44)</f>
        <v/>
      </c>
      <c r="AE44">
        <f>IF(OR(39=21,$B$44&lt;&gt;1),"",$C$44)</f>
        <v/>
      </c>
      <c r="AF44">
        <f>IF(OR(39=22,$B$44&lt;&gt;1),"",$C$44)</f>
        <v/>
      </c>
      <c r="AG44">
        <f>IF(OR(39=23,$B$44&lt;&gt;1),"",$C$44)</f>
        <v/>
      </c>
      <c r="AH44">
        <f>IF(OR(39=24,$B$44&lt;&gt;1),"",$C$44)</f>
        <v/>
      </c>
      <c r="AI44">
        <f>IF(OR(39=25,$B$44&lt;&gt;1),"",$C$44)</f>
        <v/>
      </c>
      <c r="AJ44">
        <f>IF(OR(39=26,$B$44&lt;&gt;1),"",$C$44)</f>
        <v/>
      </c>
      <c r="AK44">
        <f>IF(OR(39=27,$B$44&lt;&gt;1),"",$C$44)</f>
        <v/>
      </c>
      <c r="AL44">
        <f>IF(OR(39=28,$B$44&lt;&gt;1),"",$C$44)</f>
        <v/>
      </c>
      <c r="AM44">
        <f>IF(OR(39=29,$B$44&lt;&gt;1),"",$C$44)</f>
        <v/>
      </c>
      <c r="AN44">
        <f>IF(OR(39=30,$B$44&lt;&gt;1),"",$C$44)</f>
        <v/>
      </c>
      <c r="AO44">
        <f>IF(OR(39=31,$B$44&lt;&gt;1),"",$C$44)</f>
        <v/>
      </c>
      <c r="AP44">
        <f>IF(OR(39=32,$B$44&lt;&gt;1),"",$C$44)</f>
        <v/>
      </c>
      <c r="AQ44">
        <f>IF(OR(39=33,$B$44&lt;&gt;1),"",$C$44)</f>
        <v/>
      </c>
      <c r="AR44">
        <f>IF(OR(39=34,$B$44&lt;&gt;1),"",$C$44)</f>
        <v/>
      </c>
      <c r="AS44">
        <f>IF(OR(39=35,$B$44&lt;&gt;1),"",$C$44)</f>
        <v/>
      </c>
      <c r="AT44">
        <f>IF(OR(39=36,$B$44&lt;&gt;1),"",$C$44)</f>
        <v/>
      </c>
      <c r="AU44">
        <f>IF(OR(39=37,$B$44&lt;&gt;1),"",$C$44)</f>
        <v/>
      </c>
      <c r="AV44">
        <f>IF(OR(39=38,$B$44&lt;&gt;1),"",$C$44)</f>
        <v/>
      </c>
      <c r="AW44">
        <f>IF(OR(39=39,$B$44&lt;&gt;1),"",$C$44)</f>
        <v/>
      </c>
      <c r="AX44">
        <f>IF(OR(39=40,$B$44&lt;&gt;1),"",$C$44)</f>
        <v/>
      </c>
      <c r="AY44">
        <f>IF(OR(39=41,$B$44&lt;&gt;1),"",$C$44)</f>
        <v/>
      </c>
      <c r="AZ44">
        <f>IF(OR(39=42,$B$44&lt;&gt;1),"",$C$44)</f>
        <v/>
      </c>
      <c r="BA44">
        <f>IF(OR(39=43,$B$44&lt;&gt;1),"",$C$44)</f>
        <v/>
      </c>
      <c r="BB44">
        <f>IF(OR(39=44,$B$44&lt;&gt;1),"",$C$44)</f>
        <v/>
      </c>
      <c r="BC44">
        <f>IF(OR(39=45,$B$44&lt;&gt;1),"",$C$44)</f>
        <v/>
      </c>
      <c r="BD44">
        <f>IF(OR(39=46,$B$44&lt;&gt;1),"",$C$44)</f>
        <v/>
      </c>
      <c r="BE44">
        <f>IF(OR(39=47,$B$44&lt;&gt;1),"",$C$44)</f>
        <v/>
      </c>
      <c r="BF44">
        <f>IF(OR(39=48,$B$44&lt;&gt;1),"",$C$44)</f>
        <v/>
      </c>
      <c r="BG44">
        <f>IF(OR(39=49,$B$44&lt;&gt;1),"",$C$44)</f>
        <v/>
      </c>
    </row>
    <row r="45">
      <c r="A45" s="5">
        <f>IF(Clients!A45="","",Clients!A45)</f>
        <v/>
      </c>
      <c r="B45" s="5">
        <f>IF(A45="",0,IF(AND(Clients!K45=1,ISNUMBER(Clients!D45),ISNUMBER(INDEX(Clients!E45:J45,1,MATCH(Setup!$B$7,Clients!$E$4:$J$4,0)))),1,0))</f>
        <v/>
      </c>
      <c r="C45" s="12">
        <f>IF(B45=1,INDEX(Clients!E45:J45,1,MATCH(Setup!$B$7,Clients!$E$4:$J$4,0)),"")</f>
        <v/>
      </c>
      <c r="D45" s="13">
        <f>IF(B45&lt;&gt;1,"",IF(COUNT(AX5:AX54)=0,"",MEDIAN(AX5:AX54)))</f>
        <v/>
      </c>
      <c r="E45" s="12">
        <f>IF(B45=1,Clients!D45,"")</f>
        <v/>
      </c>
      <c r="F45" s="10" t="n"/>
      <c r="G45" s="12">
        <f>IF(AND(B45=1,ISNUMBER(F45)),F45-E45,"")</f>
        <v/>
      </c>
      <c r="J45">
        <f>IF(OR(40=0,$B$45&lt;&gt;1),"",$C$45)</f>
        <v/>
      </c>
      <c r="K45">
        <f>IF(OR(40=1,$B$45&lt;&gt;1),"",$C$45)</f>
        <v/>
      </c>
      <c r="L45">
        <f>IF(OR(40=2,$B$45&lt;&gt;1),"",$C$45)</f>
        <v/>
      </c>
      <c r="M45">
        <f>IF(OR(40=3,$B$45&lt;&gt;1),"",$C$45)</f>
        <v/>
      </c>
      <c r="N45">
        <f>IF(OR(40=4,$B$45&lt;&gt;1),"",$C$45)</f>
        <v/>
      </c>
      <c r="O45">
        <f>IF(OR(40=5,$B$45&lt;&gt;1),"",$C$45)</f>
        <v/>
      </c>
      <c r="P45">
        <f>IF(OR(40=6,$B$45&lt;&gt;1),"",$C$45)</f>
        <v/>
      </c>
      <c r="Q45">
        <f>IF(OR(40=7,$B$45&lt;&gt;1),"",$C$45)</f>
        <v/>
      </c>
      <c r="R45">
        <f>IF(OR(40=8,$B$45&lt;&gt;1),"",$C$45)</f>
        <v/>
      </c>
      <c r="S45">
        <f>IF(OR(40=9,$B$45&lt;&gt;1),"",$C$45)</f>
        <v/>
      </c>
      <c r="T45">
        <f>IF(OR(40=10,$B$45&lt;&gt;1),"",$C$45)</f>
        <v/>
      </c>
      <c r="U45">
        <f>IF(OR(40=11,$B$45&lt;&gt;1),"",$C$45)</f>
        <v/>
      </c>
      <c r="V45">
        <f>IF(OR(40=12,$B$45&lt;&gt;1),"",$C$45)</f>
        <v/>
      </c>
      <c r="W45">
        <f>IF(OR(40=13,$B$45&lt;&gt;1),"",$C$45)</f>
        <v/>
      </c>
      <c r="X45">
        <f>IF(OR(40=14,$B$45&lt;&gt;1),"",$C$45)</f>
        <v/>
      </c>
      <c r="Y45">
        <f>IF(OR(40=15,$B$45&lt;&gt;1),"",$C$45)</f>
        <v/>
      </c>
      <c r="Z45">
        <f>IF(OR(40=16,$B$45&lt;&gt;1),"",$C$45)</f>
        <v/>
      </c>
      <c r="AA45">
        <f>IF(OR(40=17,$B$45&lt;&gt;1),"",$C$45)</f>
        <v/>
      </c>
      <c r="AB45">
        <f>IF(OR(40=18,$B$45&lt;&gt;1),"",$C$45)</f>
        <v/>
      </c>
      <c r="AC45">
        <f>IF(OR(40=19,$B$45&lt;&gt;1),"",$C$45)</f>
        <v/>
      </c>
      <c r="AD45">
        <f>IF(OR(40=20,$B$45&lt;&gt;1),"",$C$45)</f>
        <v/>
      </c>
      <c r="AE45">
        <f>IF(OR(40=21,$B$45&lt;&gt;1),"",$C$45)</f>
        <v/>
      </c>
      <c r="AF45">
        <f>IF(OR(40=22,$B$45&lt;&gt;1),"",$C$45)</f>
        <v/>
      </c>
      <c r="AG45">
        <f>IF(OR(40=23,$B$45&lt;&gt;1),"",$C$45)</f>
        <v/>
      </c>
      <c r="AH45">
        <f>IF(OR(40=24,$B$45&lt;&gt;1),"",$C$45)</f>
        <v/>
      </c>
      <c r="AI45">
        <f>IF(OR(40=25,$B$45&lt;&gt;1),"",$C$45)</f>
        <v/>
      </c>
      <c r="AJ45">
        <f>IF(OR(40=26,$B$45&lt;&gt;1),"",$C$45)</f>
        <v/>
      </c>
      <c r="AK45">
        <f>IF(OR(40=27,$B$45&lt;&gt;1),"",$C$45)</f>
        <v/>
      </c>
      <c r="AL45">
        <f>IF(OR(40=28,$B$45&lt;&gt;1),"",$C$45)</f>
        <v/>
      </c>
      <c r="AM45">
        <f>IF(OR(40=29,$B$45&lt;&gt;1),"",$C$45)</f>
        <v/>
      </c>
      <c r="AN45">
        <f>IF(OR(40=30,$B$45&lt;&gt;1),"",$C$45)</f>
        <v/>
      </c>
      <c r="AO45">
        <f>IF(OR(40=31,$B$45&lt;&gt;1),"",$C$45)</f>
        <v/>
      </c>
      <c r="AP45">
        <f>IF(OR(40=32,$B$45&lt;&gt;1),"",$C$45)</f>
        <v/>
      </c>
      <c r="AQ45">
        <f>IF(OR(40=33,$B$45&lt;&gt;1),"",$C$45)</f>
        <v/>
      </c>
      <c r="AR45">
        <f>IF(OR(40=34,$B$45&lt;&gt;1),"",$C$45)</f>
        <v/>
      </c>
      <c r="AS45">
        <f>IF(OR(40=35,$B$45&lt;&gt;1),"",$C$45)</f>
        <v/>
      </c>
      <c r="AT45">
        <f>IF(OR(40=36,$B$45&lt;&gt;1),"",$C$45)</f>
        <v/>
      </c>
      <c r="AU45">
        <f>IF(OR(40=37,$B$45&lt;&gt;1),"",$C$45)</f>
        <v/>
      </c>
      <c r="AV45">
        <f>IF(OR(40=38,$B$45&lt;&gt;1),"",$C$45)</f>
        <v/>
      </c>
      <c r="AW45">
        <f>IF(OR(40=39,$B$45&lt;&gt;1),"",$C$45)</f>
        <v/>
      </c>
      <c r="AX45">
        <f>IF(OR(40=40,$B$45&lt;&gt;1),"",$C$45)</f>
        <v/>
      </c>
      <c r="AY45">
        <f>IF(OR(40=41,$B$45&lt;&gt;1),"",$C$45)</f>
        <v/>
      </c>
      <c r="AZ45">
        <f>IF(OR(40=42,$B$45&lt;&gt;1),"",$C$45)</f>
        <v/>
      </c>
      <c r="BA45">
        <f>IF(OR(40=43,$B$45&lt;&gt;1),"",$C$45)</f>
        <v/>
      </c>
      <c r="BB45">
        <f>IF(OR(40=44,$B$45&lt;&gt;1),"",$C$45)</f>
        <v/>
      </c>
      <c r="BC45">
        <f>IF(OR(40=45,$B$45&lt;&gt;1),"",$C$45)</f>
        <v/>
      </c>
      <c r="BD45">
        <f>IF(OR(40=46,$B$45&lt;&gt;1),"",$C$45)</f>
        <v/>
      </c>
      <c r="BE45">
        <f>IF(OR(40=47,$B$45&lt;&gt;1),"",$C$45)</f>
        <v/>
      </c>
      <c r="BF45">
        <f>IF(OR(40=48,$B$45&lt;&gt;1),"",$C$45)</f>
        <v/>
      </c>
      <c r="BG45">
        <f>IF(OR(40=49,$B$45&lt;&gt;1),"",$C$45)</f>
        <v/>
      </c>
    </row>
    <row r="46">
      <c r="A46" s="5">
        <f>IF(Clients!A46="","",Clients!A46)</f>
        <v/>
      </c>
      <c r="B46" s="5">
        <f>IF(A46="",0,IF(AND(Clients!K46=1,ISNUMBER(Clients!D46),ISNUMBER(INDEX(Clients!E46:J46,1,MATCH(Setup!$B$7,Clients!$E$4:$J$4,0)))),1,0))</f>
        <v/>
      </c>
      <c r="C46" s="12">
        <f>IF(B46=1,INDEX(Clients!E46:J46,1,MATCH(Setup!$B$7,Clients!$E$4:$J$4,0)),"")</f>
        <v/>
      </c>
      <c r="D46" s="13">
        <f>IF(B46&lt;&gt;1,"",IF(COUNT(AY5:AY54)=0,"",MEDIAN(AY5:AY54)))</f>
        <v/>
      </c>
      <c r="E46" s="12">
        <f>IF(B46=1,Clients!D46,"")</f>
        <v/>
      </c>
      <c r="F46" s="10" t="n"/>
      <c r="G46" s="12">
        <f>IF(AND(B46=1,ISNUMBER(F46)),F46-E46,"")</f>
        <v/>
      </c>
      <c r="J46">
        <f>IF(OR(41=0,$B$46&lt;&gt;1),"",$C$46)</f>
        <v/>
      </c>
      <c r="K46">
        <f>IF(OR(41=1,$B$46&lt;&gt;1),"",$C$46)</f>
        <v/>
      </c>
      <c r="L46">
        <f>IF(OR(41=2,$B$46&lt;&gt;1),"",$C$46)</f>
        <v/>
      </c>
      <c r="M46">
        <f>IF(OR(41=3,$B$46&lt;&gt;1),"",$C$46)</f>
        <v/>
      </c>
      <c r="N46">
        <f>IF(OR(41=4,$B$46&lt;&gt;1),"",$C$46)</f>
        <v/>
      </c>
      <c r="O46">
        <f>IF(OR(41=5,$B$46&lt;&gt;1),"",$C$46)</f>
        <v/>
      </c>
      <c r="P46">
        <f>IF(OR(41=6,$B$46&lt;&gt;1),"",$C$46)</f>
        <v/>
      </c>
      <c r="Q46">
        <f>IF(OR(41=7,$B$46&lt;&gt;1),"",$C$46)</f>
        <v/>
      </c>
      <c r="R46">
        <f>IF(OR(41=8,$B$46&lt;&gt;1),"",$C$46)</f>
        <v/>
      </c>
      <c r="S46">
        <f>IF(OR(41=9,$B$46&lt;&gt;1),"",$C$46)</f>
        <v/>
      </c>
      <c r="T46">
        <f>IF(OR(41=10,$B$46&lt;&gt;1),"",$C$46)</f>
        <v/>
      </c>
      <c r="U46">
        <f>IF(OR(41=11,$B$46&lt;&gt;1),"",$C$46)</f>
        <v/>
      </c>
      <c r="V46">
        <f>IF(OR(41=12,$B$46&lt;&gt;1),"",$C$46)</f>
        <v/>
      </c>
      <c r="W46">
        <f>IF(OR(41=13,$B$46&lt;&gt;1),"",$C$46)</f>
        <v/>
      </c>
      <c r="X46">
        <f>IF(OR(41=14,$B$46&lt;&gt;1),"",$C$46)</f>
        <v/>
      </c>
      <c r="Y46">
        <f>IF(OR(41=15,$B$46&lt;&gt;1),"",$C$46)</f>
        <v/>
      </c>
      <c r="Z46">
        <f>IF(OR(41=16,$B$46&lt;&gt;1),"",$C$46)</f>
        <v/>
      </c>
      <c r="AA46">
        <f>IF(OR(41=17,$B$46&lt;&gt;1),"",$C$46)</f>
        <v/>
      </c>
      <c r="AB46">
        <f>IF(OR(41=18,$B$46&lt;&gt;1),"",$C$46)</f>
        <v/>
      </c>
      <c r="AC46">
        <f>IF(OR(41=19,$B$46&lt;&gt;1),"",$C$46)</f>
        <v/>
      </c>
      <c r="AD46">
        <f>IF(OR(41=20,$B$46&lt;&gt;1),"",$C$46)</f>
        <v/>
      </c>
      <c r="AE46">
        <f>IF(OR(41=21,$B$46&lt;&gt;1),"",$C$46)</f>
        <v/>
      </c>
      <c r="AF46">
        <f>IF(OR(41=22,$B$46&lt;&gt;1),"",$C$46)</f>
        <v/>
      </c>
      <c r="AG46">
        <f>IF(OR(41=23,$B$46&lt;&gt;1),"",$C$46)</f>
        <v/>
      </c>
      <c r="AH46">
        <f>IF(OR(41=24,$B$46&lt;&gt;1),"",$C$46)</f>
        <v/>
      </c>
      <c r="AI46">
        <f>IF(OR(41=25,$B$46&lt;&gt;1),"",$C$46)</f>
        <v/>
      </c>
      <c r="AJ46">
        <f>IF(OR(41=26,$B$46&lt;&gt;1),"",$C$46)</f>
        <v/>
      </c>
      <c r="AK46">
        <f>IF(OR(41=27,$B$46&lt;&gt;1),"",$C$46)</f>
        <v/>
      </c>
      <c r="AL46">
        <f>IF(OR(41=28,$B$46&lt;&gt;1),"",$C$46)</f>
        <v/>
      </c>
      <c r="AM46">
        <f>IF(OR(41=29,$B$46&lt;&gt;1),"",$C$46)</f>
        <v/>
      </c>
      <c r="AN46">
        <f>IF(OR(41=30,$B$46&lt;&gt;1),"",$C$46)</f>
        <v/>
      </c>
      <c r="AO46">
        <f>IF(OR(41=31,$B$46&lt;&gt;1),"",$C$46)</f>
        <v/>
      </c>
      <c r="AP46">
        <f>IF(OR(41=32,$B$46&lt;&gt;1),"",$C$46)</f>
        <v/>
      </c>
      <c r="AQ46">
        <f>IF(OR(41=33,$B$46&lt;&gt;1),"",$C$46)</f>
        <v/>
      </c>
      <c r="AR46">
        <f>IF(OR(41=34,$B$46&lt;&gt;1),"",$C$46)</f>
        <v/>
      </c>
      <c r="AS46">
        <f>IF(OR(41=35,$B$46&lt;&gt;1),"",$C$46)</f>
        <v/>
      </c>
      <c r="AT46">
        <f>IF(OR(41=36,$B$46&lt;&gt;1),"",$C$46)</f>
        <v/>
      </c>
      <c r="AU46">
        <f>IF(OR(41=37,$B$46&lt;&gt;1),"",$C$46)</f>
        <v/>
      </c>
      <c r="AV46">
        <f>IF(OR(41=38,$B$46&lt;&gt;1),"",$C$46)</f>
        <v/>
      </c>
      <c r="AW46">
        <f>IF(OR(41=39,$B$46&lt;&gt;1),"",$C$46)</f>
        <v/>
      </c>
      <c r="AX46">
        <f>IF(OR(41=40,$B$46&lt;&gt;1),"",$C$46)</f>
        <v/>
      </c>
      <c r="AY46">
        <f>IF(OR(41=41,$B$46&lt;&gt;1),"",$C$46)</f>
        <v/>
      </c>
      <c r="AZ46">
        <f>IF(OR(41=42,$B$46&lt;&gt;1),"",$C$46)</f>
        <v/>
      </c>
      <c r="BA46">
        <f>IF(OR(41=43,$B$46&lt;&gt;1),"",$C$46)</f>
        <v/>
      </c>
      <c r="BB46">
        <f>IF(OR(41=44,$B$46&lt;&gt;1),"",$C$46)</f>
        <v/>
      </c>
      <c r="BC46">
        <f>IF(OR(41=45,$B$46&lt;&gt;1),"",$C$46)</f>
        <v/>
      </c>
      <c r="BD46">
        <f>IF(OR(41=46,$B$46&lt;&gt;1),"",$C$46)</f>
        <v/>
      </c>
      <c r="BE46">
        <f>IF(OR(41=47,$B$46&lt;&gt;1),"",$C$46)</f>
        <v/>
      </c>
      <c r="BF46">
        <f>IF(OR(41=48,$B$46&lt;&gt;1),"",$C$46)</f>
        <v/>
      </c>
      <c r="BG46">
        <f>IF(OR(41=49,$B$46&lt;&gt;1),"",$C$46)</f>
        <v/>
      </c>
    </row>
    <row r="47">
      <c r="A47" s="5">
        <f>IF(Clients!A47="","",Clients!A47)</f>
        <v/>
      </c>
      <c r="B47" s="5">
        <f>IF(A47="",0,IF(AND(Clients!K47=1,ISNUMBER(Clients!D47),ISNUMBER(INDEX(Clients!E47:J47,1,MATCH(Setup!$B$7,Clients!$E$4:$J$4,0)))),1,0))</f>
        <v/>
      </c>
      <c r="C47" s="12">
        <f>IF(B47=1,INDEX(Clients!E47:J47,1,MATCH(Setup!$B$7,Clients!$E$4:$J$4,0)),"")</f>
        <v/>
      </c>
      <c r="D47" s="13">
        <f>IF(B47&lt;&gt;1,"",IF(COUNT(AZ5:AZ54)=0,"",MEDIAN(AZ5:AZ54)))</f>
        <v/>
      </c>
      <c r="E47" s="12">
        <f>IF(B47=1,Clients!D47,"")</f>
        <v/>
      </c>
      <c r="F47" s="10" t="n"/>
      <c r="G47" s="12">
        <f>IF(AND(B47=1,ISNUMBER(F47)),F47-E47,"")</f>
        <v/>
      </c>
      <c r="J47">
        <f>IF(OR(42=0,$B$47&lt;&gt;1),"",$C$47)</f>
        <v/>
      </c>
      <c r="K47">
        <f>IF(OR(42=1,$B$47&lt;&gt;1),"",$C$47)</f>
        <v/>
      </c>
      <c r="L47">
        <f>IF(OR(42=2,$B$47&lt;&gt;1),"",$C$47)</f>
        <v/>
      </c>
      <c r="M47">
        <f>IF(OR(42=3,$B$47&lt;&gt;1),"",$C$47)</f>
        <v/>
      </c>
      <c r="N47">
        <f>IF(OR(42=4,$B$47&lt;&gt;1),"",$C$47)</f>
        <v/>
      </c>
      <c r="O47">
        <f>IF(OR(42=5,$B$47&lt;&gt;1),"",$C$47)</f>
        <v/>
      </c>
      <c r="P47">
        <f>IF(OR(42=6,$B$47&lt;&gt;1),"",$C$47)</f>
        <v/>
      </c>
      <c r="Q47">
        <f>IF(OR(42=7,$B$47&lt;&gt;1),"",$C$47)</f>
        <v/>
      </c>
      <c r="R47">
        <f>IF(OR(42=8,$B$47&lt;&gt;1),"",$C$47)</f>
        <v/>
      </c>
      <c r="S47">
        <f>IF(OR(42=9,$B$47&lt;&gt;1),"",$C$47)</f>
        <v/>
      </c>
      <c r="T47">
        <f>IF(OR(42=10,$B$47&lt;&gt;1),"",$C$47)</f>
        <v/>
      </c>
      <c r="U47">
        <f>IF(OR(42=11,$B$47&lt;&gt;1),"",$C$47)</f>
        <v/>
      </c>
      <c r="V47">
        <f>IF(OR(42=12,$B$47&lt;&gt;1),"",$C$47)</f>
        <v/>
      </c>
      <c r="W47">
        <f>IF(OR(42=13,$B$47&lt;&gt;1),"",$C$47)</f>
        <v/>
      </c>
      <c r="X47">
        <f>IF(OR(42=14,$B$47&lt;&gt;1),"",$C$47)</f>
        <v/>
      </c>
      <c r="Y47">
        <f>IF(OR(42=15,$B$47&lt;&gt;1),"",$C$47)</f>
        <v/>
      </c>
      <c r="Z47">
        <f>IF(OR(42=16,$B$47&lt;&gt;1),"",$C$47)</f>
        <v/>
      </c>
      <c r="AA47">
        <f>IF(OR(42=17,$B$47&lt;&gt;1),"",$C$47)</f>
        <v/>
      </c>
      <c r="AB47">
        <f>IF(OR(42=18,$B$47&lt;&gt;1),"",$C$47)</f>
        <v/>
      </c>
      <c r="AC47">
        <f>IF(OR(42=19,$B$47&lt;&gt;1),"",$C$47)</f>
        <v/>
      </c>
      <c r="AD47">
        <f>IF(OR(42=20,$B$47&lt;&gt;1),"",$C$47)</f>
        <v/>
      </c>
      <c r="AE47">
        <f>IF(OR(42=21,$B$47&lt;&gt;1),"",$C$47)</f>
        <v/>
      </c>
      <c r="AF47">
        <f>IF(OR(42=22,$B$47&lt;&gt;1),"",$C$47)</f>
        <v/>
      </c>
      <c r="AG47">
        <f>IF(OR(42=23,$B$47&lt;&gt;1),"",$C$47)</f>
        <v/>
      </c>
      <c r="AH47">
        <f>IF(OR(42=24,$B$47&lt;&gt;1),"",$C$47)</f>
        <v/>
      </c>
      <c r="AI47">
        <f>IF(OR(42=25,$B$47&lt;&gt;1),"",$C$47)</f>
        <v/>
      </c>
      <c r="AJ47">
        <f>IF(OR(42=26,$B$47&lt;&gt;1),"",$C$47)</f>
        <v/>
      </c>
      <c r="AK47">
        <f>IF(OR(42=27,$B$47&lt;&gt;1),"",$C$47)</f>
        <v/>
      </c>
      <c r="AL47">
        <f>IF(OR(42=28,$B$47&lt;&gt;1),"",$C$47)</f>
        <v/>
      </c>
      <c r="AM47">
        <f>IF(OR(42=29,$B$47&lt;&gt;1),"",$C$47)</f>
        <v/>
      </c>
      <c r="AN47">
        <f>IF(OR(42=30,$B$47&lt;&gt;1),"",$C$47)</f>
        <v/>
      </c>
      <c r="AO47">
        <f>IF(OR(42=31,$B$47&lt;&gt;1),"",$C$47)</f>
        <v/>
      </c>
      <c r="AP47">
        <f>IF(OR(42=32,$B$47&lt;&gt;1),"",$C$47)</f>
        <v/>
      </c>
      <c r="AQ47">
        <f>IF(OR(42=33,$B$47&lt;&gt;1),"",$C$47)</f>
        <v/>
      </c>
      <c r="AR47">
        <f>IF(OR(42=34,$B$47&lt;&gt;1),"",$C$47)</f>
        <v/>
      </c>
      <c r="AS47">
        <f>IF(OR(42=35,$B$47&lt;&gt;1),"",$C$47)</f>
        <v/>
      </c>
      <c r="AT47">
        <f>IF(OR(42=36,$B$47&lt;&gt;1),"",$C$47)</f>
        <v/>
      </c>
      <c r="AU47">
        <f>IF(OR(42=37,$B$47&lt;&gt;1),"",$C$47)</f>
        <v/>
      </c>
      <c r="AV47">
        <f>IF(OR(42=38,$B$47&lt;&gt;1),"",$C$47)</f>
        <v/>
      </c>
      <c r="AW47">
        <f>IF(OR(42=39,$B$47&lt;&gt;1),"",$C$47)</f>
        <v/>
      </c>
      <c r="AX47">
        <f>IF(OR(42=40,$B$47&lt;&gt;1),"",$C$47)</f>
        <v/>
      </c>
      <c r="AY47">
        <f>IF(OR(42=41,$B$47&lt;&gt;1),"",$C$47)</f>
        <v/>
      </c>
      <c r="AZ47">
        <f>IF(OR(42=42,$B$47&lt;&gt;1),"",$C$47)</f>
        <v/>
      </c>
      <c r="BA47">
        <f>IF(OR(42=43,$B$47&lt;&gt;1),"",$C$47)</f>
        <v/>
      </c>
      <c r="BB47">
        <f>IF(OR(42=44,$B$47&lt;&gt;1),"",$C$47)</f>
        <v/>
      </c>
      <c r="BC47">
        <f>IF(OR(42=45,$B$47&lt;&gt;1),"",$C$47)</f>
        <v/>
      </c>
      <c r="BD47">
        <f>IF(OR(42=46,$B$47&lt;&gt;1),"",$C$47)</f>
        <v/>
      </c>
      <c r="BE47">
        <f>IF(OR(42=47,$B$47&lt;&gt;1),"",$C$47)</f>
        <v/>
      </c>
      <c r="BF47">
        <f>IF(OR(42=48,$B$47&lt;&gt;1),"",$C$47)</f>
        <v/>
      </c>
      <c r="BG47">
        <f>IF(OR(42=49,$B$47&lt;&gt;1),"",$C$47)</f>
        <v/>
      </c>
    </row>
    <row r="48">
      <c r="A48" s="5">
        <f>IF(Clients!A48="","",Clients!A48)</f>
        <v/>
      </c>
      <c r="B48" s="5">
        <f>IF(A48="",0,IF(AND(Clients!K48=1,ISNUMBER(Clients!D48),ISNUMBER(INDEX(Clients!E48:J48,1,MATCH(Setup!$B$7,Clients!$E$4:$J$4,0)))),1,0))</f>
        <v/>
      </c>
      <c r="C48" s="12">
        <f>IF(B48=1,INDEX(Clients!E48:J48,1,MATCH(Setup!$B$7,Clients!$E$4:$J$4,0)),"")</f>
        <v/>
      </c>
      <c r="D48" s="13">
        <f>IF(B48&lt;&gt;1,"",IF(COUNT(BA5:BA54)=0,"",MEDIAN(BA5:BA54)))</f>
        <v/>
      </c>
      <c r="E48" s="12">
        <f>IF(B48=1,Clients!D48,"")</f>
        <v/>
      </c>
      <c r="F48" s="10" t="n"/>
      <c r="G48" s="12">
        <f>IF(AND(B48=1,ISNUMBER(F48)),F48-E48,"")</f>
        <v/>
      </c>
      <c r="J48">
        <f>IF(OR(43=0,$B$48&lt;&gt;1),"",$C$48)</f>
        <v/>
      </c>
      <c r="K48">
        <f>IF(OR(43=1,$B$48&lt;&gt;1),"",$C$48)</f>
        <v/>
      </c>
      <c r="L48">
        <f>IF(OR(43=2,$B$48&lt;&gt;1),"",$C$48)</f>
        <v/>
      </c>
      <c r="M48">
        <f>IF(OR(43=3,$B$48&lt;&gt;1),"",$C$48)</f>
        <v/>
      </c>
      <c r="N48">
        <f>IF(OR(43=4,$B$48&lt;&gt;1),"",$C$48)</f>
        <v/>
      </c>
      <c r="O48">
        <f>IF(OR(43=5,$B$48&lt;&gt;1),"",$C$48)</f>
        <v/>
      </c>
      <c r="P48">
        <f>IF(OR(43=6,$B$48&lt;&gt;1),"",$C$48)</f>
        <v/>
      </c>
      <c r="Q48">
        <f>IF(OR(43=7,$B$48&lt;&gt;1),"",$C$48)</f>
        <v/>
      </c>
      <c r="R48">
        <f>IF(OR(43=8,$B$48&lt;&gt;1),"",$C$48)</f>
        <v/>
      </c>
      <c r="S48">
        <f>IF(OR(43=9,$B$48&lt;&gt;1),"",$C$48)</f>
        <v/>
      </c>
      <c r="T48">
        <f>IF(OR(43=10,$B$48&lt;&gt;1),"",$C$48)</f>
        <v/>
      </c>
      <c r="U48">
        <f>IF(OR(43=11,$B$48&lt;&gt;1),"",$C$48)</f>
        <v/>
      </c>
      <c r="V48">
        <f>IF(OR(43=12,$B$48&lt;&gt;1),"",$C$48)</f>
        <v/>
      </c>
      <c r="W48">
        <f>IF(OR(43=13,$B$48&lt;&gt;1),"",$C$48)</f>
        <v/>
      </c>
      <c r="X48">
        <f>IF(OR(43=14,$B$48&lt;&gt;1),"",$C$48)</f>
        <v/>
      </c>
      <c r="Y48">
        <f>IF(OR(43=15,$B$48&lt;&gt;1),"",$C$48)</f>
        <v/>
      </c>
      <c r="Z48">
        <f>IF(OR(43=16,$B$48&lt;&gt;1),"",$C$48)</f>
        <v/>
      </c>
      <c r="AA48">
        <f>IF(OR(43=17,$B$48&lt;&gt;1),"",$C$48)</f>
        <v/>
      </c>
      <c r="AB48">
        <f>IF(OR(43=18,$B$48&lt;&gt;1),"",$C$48)</f>
        <v/>
      </c>
      <c r="AC48">
        <f>IF(OR(43=19,$B$48&lt;&gt;1),"",$C$48)</f>
        <v/>
      </c>
      <c r="AD48">
        <f>IF(OR(43=20,$B$48&lt;&gt;1),"",$C$48)</f>
        <v/>
      </c>
      <c r="AE48">
        <f>IF(OR(43=21,$B$48&lt;&gt;1),"",$C$48)</f>
        <v/>
      </c>
      <c r="AF48">
        <f>IF(OR(43=22,$B$48&lt;&gt;1),"",$C$48)</f>
        <v/>
      </c>
      <c r="AG48">
        <f>IF(OR(43=23,$B$48&lt;&gt;1),"",$C$48)</f>
        <v/>
      </c>
      <c r="AH48">
        <f>IF(OR(43=24,$B$48&lt;&gt;1),"",$C$48)</f>
        <v/>
      </c>
      <c r="AI48">
        <f>IF(OR(43=25,$B$48&lt;&gt;1),"",$C$48)</f>
        <v/>
      </c>
      <c r="AJ48">
        <f>IF(OR(43=26,$B$48&lt;&gt;1),"",$C$48)</f>
        <v/>
      </c>
      <c r="AK48">
        <f>IF(OR(43=27,$B$48&lt;&gt;1),"",$C$48)</f>
        <v/>
      </c>
      <c r="AL48">
        <f>IF(OR(43=28,$B$48&lt;&gt;1),"",$C$48)</f>
        <v/>
      </c>
      <c r="AM48">
        <f>IF(OR(43=29,$B$48&lt;&gt;1),"",$C$48)</f>
        <v/>
      </c>
      <c r="AN48">
        <f>IF(OR(43=30,$B$48&lt;&gt;1),"",$C$48)</f>
        <v/>
      </c>
      <c r="AO48">
        <f>IF(OR(43=31,$B$48&lt;&gt;1),"",$C$48)</f>
        <v/>
      </c>
      <c r="AP48">
        <f>IF(OR(43=32,$B$48&lt;&gt;1),"",$C$48)</f>
        <v/>
      </c>
      <c r="AQ48">
        <f>IF(OR(43=33,$B$48&lt;&gt;1),"",$C$48)</f>
        <v/>
      </c>
      <c r="AR48">
        <f>IF(OR(43=34,$B$48&lt;&gt;1),"",$C$48)</f>
        <v/>
      </c>
      <c r="AS48">
        <f>IF(OR(43=35,$B$48&lt;&gt;1),"",$C$48)</f>
        <v/>
      </c>
      <c r="AT48">
        <f>IF(OR(43=36,$B$48&lt;&gt;1),"",$C$48)</f>
        <v/>
      </c>
      <c r="AU48">
        <f>IF(OR(43=37,$B$48&lt;&gt;1),"",$C$48)</f>
        <v/>
      </c>
      <c r="AV48">
        <f>IF(OR(43=38,$B$48&lt;&gt;1),"",$C$48)</f>
        <v/>
      </c>
      <c r="AW48">
        <f>IF(OR(43=39,$B$48&lt;&gt;1),"",$C$48)</f>
        <v/>
      </c>
      <c r="AX48">
        <f>IF(OR(43=40,$B$48&lt;&gt;1),"",$C$48)</f>
        <v/>
      </c>
      <c r="AY48">
        <f>IF(OR(43=41,$B$48&lt;&gt;1),"",$C$48)</f>
        <v/>
      </c>
      <c r="AZ48">
        <f>IF(OR(43=42,$B$48&lt;&gt;1),"",$C$48)</f>
        <v/>
      </c>
      <c r="BA48">
        <f>IF(OR(43=43,$B$48&lt;&gt;1),"",$C$48)</f>
        <v/>
      </c>
      <c r="BB48">
        <f>IF(OR(43=44,$B$48&lt;&gt;1),"",$C$48)</f>
        <v/>
      </c>
      <c r="BC48">
        <f>IF(OR(43=45,$B$48&lt;&gt;1),"",$C$48)</f>
        <v/>
      </c>
      <c r="BD48">
        <f>IF(OR(43=46,$B$48&lt;&gt;1),"",$C$48)</f>
        <v/>
      </c>
      <c r="BE48">
        <f>IF(OR(43=47,$B$48&lt;&gt;1),"",$C$48)</f>
        <v/>
      </c>
      <c r="BF48">
        <f>IF(OR(43=48,$B$48&lt;&gt;1),"",$C$48)</f>
        <v/>
      </c>
      <c r="BG48">
        <f>IF(OR(43=49,$B$48&lt;&gt;1),"",$C$48)</f>
        <v/>
      </c>
    </row>
    <row r="49">
      <c r="A49" s="5">
        <f>IF(Clients!A49="","",Clients!A49)</f>
        <v/>
      </c>
      <c r="B49" s="5">
        <f>IF(A49="",0,IF(AND(Clients!K49=1,ISNUMBER(Clients!D49),ISNUMBER(INDEX(Clients!E49:J49,1,MATCH(Setup!$B$7,Clients!$E$4:$J$4,0)))),1,0))</f>
        <v/>
      </c>
      <c r="C49" s="12">
        <f>IF(B49=1,INDEX(Clients!E49:J49,1,MATCH(Setup!$B$7,Clients!$E$4:$J$4,0)),"")</f>
        <v/>
      </c>
      <c r="D49" s="13">
        <f>IF(B49&lt;&gt;1,"",IF(COUNT(BB5:BB54)=0,"",MEDIAN(BB5:BB54)))</f>
        <v/>
      </c>
      <c r="E49" s="12">
        <f>IF(B49=1,Clients!D49,"")</f>
        <v/>
      </c>
      <c r="F49" s="10" t="n"/>
      <c r="G49" s="12">
        <f>IF(AND(B49=1,ISNUMBER(F49)),F49-E49,"")</f>
        <v/>
      </c>
      <c r="J49">
        <f>IF(OR(44=0,$B$49&lt;&gt;1),"",$C$49)</f>
        <v/>
      </c>
      <c r="K49">
        <f>IF(OR(44=1,$B$49&lt;&gt;1),"",$C$49)</f>
        <v/>
      </c>
      <c r="L49">
        <f>IF(OR(44=2,$B$49&lt;&gt;1),"",$C$49)</f>
        <v/>
      </c>
      <c r="M49">
        <f>IF(OR(44=3,$B$49&lt;&gt;1),"",$C$49)</f>
        <v/>
      </c>
      <c r="N49">
        <f>IF(OR(44=4,$B$49&lt;&gt;1),"",$C$49)</f>
        <v/>
      </c>
      <c r="O49">
        <f>IF(OR(44=5,$B$49&lt;&gt;1),"",$C$49)</f>
        <v/>
      </c>
      <c r="P49">
        <f>IF(OR(44=6,$B$49&lt;&gt;1),"",$C$49)</f>
        <v/>
      </c>
      <c r="Q49">
        <f>IF(OR(44=7,$B$49&lt;&gt;1),"",$C$49)</f>
        <v/>
      </c>
      <c r="R49">
        <f>IF(OR(44=8,$B$49&lt;&gt;1),"",$C$49)</f>
        <v/>
      </c>
      <c r="S49">
        <f>IF(OR(44=9,$B$49&lt;&gt;1),"",$C$49)</f>
        <v/>
      </c>
      <c r="T49">
        <f>IF(OR(44=10,$B$49&lt;&gt;1),"",$C$49)</f>
        <v/>
      </c>
      <c r="U49">
        <f>IF(OR(44=11,$B$49&lt;&gt;1),"",$C$49)</f>
        <v/>
      </c>
      <c r="V49">
        <f>IF(OR(44=12,$B$49&lt;&gt;1),"",$C$49)</f>
        <v/>
      </c>
      <c r="W49">
        <f>IF(OR(44=13,$B$49&lt;&gt;1),"",$C$49)</f>
        <v/>
      </c>
      <c r="X49">
        <f>IF(OR(44=14,$B$49&lt;&gt;1),"",$C$49)</f>
        <v/>
      </c>
      <c r="Y49">
        <f>IF(OR(44=15,$B$49&lt;&gt;1),"",$C$49)</f>
        <v/>
      </c>
      <c r="Z49">
        <f>IF(OR(44=16,$B$49&lt;&gt;1),"",$C$49)</f>
        <v/>
      </c>
      <c r="AA49">
        <f>IF(OR(44=17,$B$49&lt;&gt;1),"",$C$49)</f>
        <v/>
      </c>
      <c r="AB49">
        <f>IF(OR(44=18,$B$49&lt;&gt;1),"",$C$49)</f>
        <v/>
      </c>
      <c r="AC49">
        <f>IF(OR(44=19,$B$49&lt;&gt;1),"",$C$49)</f>
        <v/>
      </c>
      <c r="AD49">
        <f>IF(OR(44=20,$B$49&lt;&gt;1),"",$C$49)</f>
        <v/>
      </c>
      <c r="AE49">
        <f>IF(OR(44=21,$B$49&lt;&gt;1),"",$C$49)</f>
        <v/>
      </c>
      <c r="AF49">
        <f>IF(OR(44=22,$B$49&lt;&gt;1),"",$C$49)</f>
        <v/>
      </c>
      <c r="AG49">
        <f>IF(OR(44=23,$B$49&lt;&gt;1),"",$C$49)</f>
        <v/>
      </c>
      <c r="AH49">
        <f>IF(OR(44=24,$B$49&lt;&gt;1),"",$C$49)</f>
        <v/>
      </c>
      <c r="AI49">
        <f>IF(OR(44=25,$B$49&lt;&gt;1),"",$C$49)</f>
        <v/>
      </c>
      <c r="AJ49">
        <f>IF(OR(44=26,$B$49&lt;&gt;1),"",$C$49)</f>
        <v/>
      </c>
      <c r="AK49">
        <f>IF(OR(44=27,$B$49&lt;&gt;1),"",$C$49)</f>
        <v/>
      </c>
      <c r="AL49">
        <f>IF(OR(44=28,$B$49&lt;&gt;1),"",$C$49)</f>
        <v/>
      </c>
      <c r="AM49">
        <f>IF(OR(44=29,$B$49&lt;&gt;1),"",$C$49)</f>
        <v/>
      </c>
      <c r="AN49">
        <f>IF(OR(44=30,$B$49&lt;&gt;1),"",$C$49)</f>
        <v/>
      </c>
      <c r="AO49">
        <f>IF(OR(44=31,$B$49&lt;&gt;1),"",$C$49)</f>
        <v/>
      </c>
      <c r="AP49">
        <f>IF(OR(44=32,$B$49&lt;&gt;1),"",$C$49)</f>
        <v/>
      </c>
      <c r="AQ49">
        <f>IF(OR(44=33,$B$49&lt;&gt;1),"",$C$49)</f>
        <v/>
      </c>
      <c r="AR49">
        <f>IF(OR(44=34,$B$49&lt;&gt;1),"",$C$49)</f>
        <v/>
      </c>
      <c r="AS49">
        <f>IF(OR(44=35,$B$49&lt;&gt;1),"",$C$49)</f>
        <v/>
      </c>
      <c r="AT49">
        <f>IF(OR(44=36,$B$49&lt;&gt;1),"",$C$49)</f>
        <v/>
      </c>
      <c r="AU49">
        <f>IF(OR(44=37,$B$49&lt;&gt;1),"",$C$49)</f>
        <v/>
      </c>
      <c r="AV49">
        <f>IF(OR(44=38,$B$49&lt;&gt;1),"",$C$49)</f>
        <v/>
      </c>
      <c r="AW49">
        <f>IF(OR(44=39,$B$49&lt;&gt;1),"",$C$49)</f>
        <v/>
      </c>
      <c r="AX49">
        <f>IF(OR(44=40,$B$49&lt;&gt;1),"",$C$49)</f>
        <v/>
      </c>
      <c r="AY49">
        <f>IF(OR(44=41,$B$49&lt;&gt;1),"",$C$49)</f>
        <v/>
      </c>
      <c r="AZ49">
        <f>IF(OR(44=42,$B$49&lt;&gt;1),"",$C$49)</f>
        <v/>
      </c>
      <c r="BA49">
        <f>IF(OR(44=43,$B$49&lt;&gt;1),"",$C$49)</f>
        <v/>
      </c>
      <c r="BB49">
        <f>IF(OR(44=44,$B$49&lt;&gt;1),"",$C$49)</f>
        <v/>
      </c>
      <c r="BC49">
        <f>IF(OR(44=45,$B$49&lt;&gt;1),"",$C$49)</f>
        <v/>
      </c>
      <c r="BD49">
        <f>IF(OR(44=46,$B$49&lt;&gt;1),"",$C$49)</f>
        <v/>
      </c>
      <c r="BE49">
        <f>IF(OR(44=47,$B$49&lt;&gt;1),"",$C$49)</f>
        <v/>
      </c>
      <c r="BF49">
        <f>IF(OR(44=48,$B$49&lt;&gt;1),"",$C$49)</f>
        <v/>
      </c>
      <c r="BG49">
        <f>IF(OR(44=49,$B$49&lt;&gt;1),"",$C$49)</f>
        <v/>
      </c>
    </row>
    <row r="50">
      <c r="A50" s="5">
        <f>IF(Clients!A50="","",Clients!A50)</f>
        <v/>
      </c>
      <c r="B50" s="5">
        <f>IF(A50="",0,IF(AND(Clients!K50=1,ISNUMBER(Clients!D50),ISNUMBER(INDEX(Clients!E50:J50,1,MATCH(Setup!$B$7,Clients!$E$4:$J$4,0)))),1,0))</f>
        <v/>
      </c>
      <c r="C50" s="12">
        <f>IF(B50=1,INDEX(Clients!E50:J50,1,MATCH(Setup!$B$7,Clients!$E$4:$J$4,0)),"")</f>
        <v/>
      </c>
      <c r="D50" s="13">
        <f>IF(B50&lt;&gt;1,"",IF(COUNT(BC5:BC54)=0,"",MEDIAN(BC5:BC54)))</f>
        <v/>
      </c>
      <c r="E50" s="12">
        <f>IF(B50=1,Clients!D50,"")</f>
        <v/>
      </c>
      <c r="F50" s="10" t="n"/>
      <c r="G50" s="12">
        <f>IF(AND(B50=1,ISNUMBER(F50)),F50-E50,"")</f>
        <v/>
      </c>
      <c r="J50">
        <f>IF(OR(45=0,$B$50&lt;&gt;1),"",$C$50)</f>
        <v/>
      </c>
      <c r="K50">
        <f>IF(OR(45=1,$B$50&lt;&gt;1),"",$C$50)</f>
        <v/>
      </c>
      <c r="L50">
        <f>IF(OR(45=2,$B$50&lt;&gt;1),"",$C$50)</f>
        <v/>
      </c>
      <c r="M50">
        <f>IF(OR(45=3,$B$50&lt;&gt;1),"",$C$50)</f>
        <v/>
      </c>
      <c r="N50">
        <f>IF(OR(45=4,$B$50&lt;&gt;1),"",$C$50)</f>
        <v/>
      </c>
      <c r="O50">
        <f>IF(OR(45=5,$B$50&lt;&gt;1),"",$C$50)</f>
        <v/>
      </c>
      <c r="P50">
        <f>IF(OR(45=6,$B$50&lt;&gt;1),"",$C$50)</f>
        <v/>
      </c>
      <c r="Q50">
        <f>IF(OR(45=7,$B$50&lt;&gt;1),"",$C$50)</f>
        <v/>
      </c>
      <c r="R50">
        <f>IF(OR(45=8,$B$50&lt;&gt;1),"",$C$50)</f>
        <v/>
      </c>
      <c r="S50">
        <f>IF(OR(45=9,$B$50&lt;&gt;1),"",$C$50)</f>
        <v/>
      </c>
      <c r="T50">
        <f>IF(OR(45=10,$B$50&lt;&gt;1),"",$C$50)</f>
        <v/>
      </c>
      <c r="U50">
        <f>IF(OR(45=11,$B$50&lt;&gt;1),"",$C$50)</f>
        <v/>
      </c>
      <c r="V50">
        <f>IF(OR(45=12,$B$50&lt;&gt;1),"",$C$50)</f>
        <v/>
      </c>
      <c r="W50">
        <f>IF(OR(45=13,$B$50&lt;&gt;1),"",$C$50)</f>
        <v/>
      </c>
      <c r="X50">
        <f>IF(OR(45=14,$B$50&lt;&gt;1),"",$C$50)</f>
        <v/>
      </c>
      <c r="Y50">
        <f>IF(OR(45=15,$B$50&lt;&gt;1),"",$C$50)</f>
        <v/>
      </c>
      <c r="Z50">
        <f>IF(OR(45=16,$B$50&lt;&gt;1),"",$C$50)</f>
        <v/>
      </c>
      <c r="AA50">
        <f>IF(OR(45=17,$B$50&lt;&gt;1),"",$C$50)</f>
        <v/>
      </c>
      <c r="AB50">
        <f>IF(OR(45=18,$B$50&lt;&gt;1),"",$C$50)</f>
        <v/>
      </c>
      <c r="AC50">
        <f>IF(OR(45=19,$B$50&lt;&gt;1),"",$C$50)</f>
        <v/>
      </c>
      <c r="AD50">
        <f>IF(OR(45=20,$B$50&lt;&gt;1),"",$C$50)</f>
        <v/>
      </c>
      <c r="AE50">
        <f>IF(OR(45=21,$B$50&lt;&gt;1),"",$C$50)</f>
        <v/>
      </c>
      <c r="AF50">
        <f>IF(OR(45=22,$B$50&lt;&gt;1),"",$C$50)</f>
        <v/>
      </c>
      <c r="AG50">
        <f>IF(OR(45=23,$B$50&lt;&gt;1),"",$C$50)</f>
        <v/>
      </c>
      <c r="AH50">
        <f>IF(OR(45=24,$B$50&lt;&gt;1),"",$C$50)</f>
        <v/>
      </c>
      <c r="AI50">
        <f>IF(OR(45=25,$B$50&lt;&gt;1),"",$C$50)</f>
        <v/>
      </c>
      <c r="AJ50">
        <f>IF(OR(45=26,$B$50&lt;&gt;1),"",$C$50)</f>
        <v/>
      </c>
      <c r="AK50">
        <f>IF(OR(45=27,$B$50&lt;&gt;1),"",$C$50)</f>
        <v/>
      </c>
      <c r="AL50">
        <f>IF(OR(45=28,$B$50&lt;&gt;1),"",$C$50)</f>
        <v/>
      </c>
      <c r="AM50">
        <f>IF(OR(45=29,$B$50&lt;&gt;1),"",$C$50)</f>
        <v/>
      </c>
      <c r="AN50">
        <f>IF(OR(45=30,$B$50&lt;&gt;1),"",$C$50)</f>
        <v/>
      </c>
      <c r="AO50">
        <f>IF(OR(45=31,$B$50&lt;&gt;1),"",$C$50)</f>
        <v/>
      </c>
      <c r="AP50">
        <f>IF(OR(45=32,$B$50&lt;&gt;1),"",$C$50)</f>
        <v/>
      </c>
      <c r="AQ50">
        <f>IF(OR(45=33,$B$50&lt;&gt;1),"",$C$50)</f>
        <v/>
      </c>
      <c r="AR50">
        <f>IF(OR(45=34,$B$50&lt;&gt;1),"",$C$50)</f>
        <v/>
      </c>
      <c r="AS50">
        <f>IF(OR(45=35,$B$50&lt;&gt;1),"",$C$50)</f>
        <v/>
      </c>
      <c r="AT50">
        <f>IF(OR(45=36,$B$50&lt;&gt;1),"",$C$50)</f>
        <v/>
      </c>
      <c r="AU50">
        <f>IF(OR(45=37,$B$50&lt;&gt;1),"",$C$50)</f>
        <v/>
      </c>
      <c r="AV50">
        <f>IF(OR(45=38,$B$50&lt;&gt;1),"",$C$50)</f>
        <v/>
      </c>
      <c r="AW50">
        <f>IF(OR(45=39,$B$50&lt;&gt;1),"",$C$50)</f>
        <v/>
      </c>
      <c r="AX50">
        <f>IF(OR(45=40,$B$50&lt;&gt;1),"",$C$50)</f>
        <v/>
      </c>
      <c r="AY50">
        <f>IF(OR(45=41,$B$50&lt;&gt;1),"",$C$50)</f>
        <v/>
      </c>
      <c r="AZ50">
        <f>IF(OR(45=42,$B$50&lt;&gt;1),"",$C$50)</f>
        <v/>
      </c>
      <c r="BA50">
        <f>IF(OR(45=43,$B$50&lt;&gt;1),"",$C$50)</f>
        <v/>
      </c>
      <c r="BB50">
        <f>IF(OR(45=44,$B$50&lt;&gt;1),"",$C$50)</f>
        <v/>
      </c>
      <c r="BC50">
        <f>IF(OR(45=45,$B$50&lt;&gt;1),"",$C$50)</f>
        <v/>
      </c>
      <c r="BD50">
        <f>IF(OR(45=46,$B$50&lt;&gt;1),"",$C$50)</f>
        <v/>
      </c>
      <c r="BE50">
        <f>IF(OR(45=47,$B$50&lt;&gt;1),"",$C$50)</f>
        <v/>
      </c>
      <c r="BF50">
        <f>IF(OR(45=48,$B$50&lt;&gt;1),"",$C$50)</f>
        <v/>
      </c>
      <c r="BG50">
        <f>IF(OR(45=49,$B$50&lt;&gt;1),"",$C$50)</f>
        <v/>
      </c>
    </row>
    <row r="51">
      <c r="A51" s="5">
        <f>IF(Clients!A51="","",Clients!A51)</f>
        <v/>
      </c>
      <c r="B51" s="5">
        <f>IF(A51="",0,IF(AND(Clients!K51=1,ISNUMBER(Clients!D51),ISNUMBER(INDEX(Clients!E51:J51,1,MATCH(Setup!$B$7,Clients!$E$4:$J$4,0)))),1,0))</f>
        <v/>
      </c>
      <c r="C51" s="12">
        <f>IF(B51=1,INDEX(Clients!E51:J51,1,MATCH(Setup!$B$7,Clients!$E$4:$J$4,0)),"")</f>
        <v/>
      </c>
      <c r="D51" s="13">
        <f>IF(B51&lt;&gt;1,"",IF(COUNT(BD5:BD54)=0,"",MEDIAN(BD5:BD54)))</f>
        <v/>
      </c>
      <c r="E51" s="12">
        <f>IF(B51=1,Clients!D51,"")</f>
        <v/>
      </c>
      <c r="F51" s="10" t="n"/>
      <c r="G51" s="12">
        <f>IF(AND(B51=1,ISNUMBER(F51)),F51-E51,"")</f>
        <v/>
      </c>
      <c r="J51">
        <f>IF(OR(46=0,$B$51&lt;&gt;1),"",$C$51)</f>
        <v/>
      </c>
      <c r="K51">
        <f>IF(OR(46=1,$B$51&lt;&gt;1),"",$C$51)</f>
        <v/>
      </c>
      <c r="L51">
        <f>IF(OR(46=2,$B$51&lt;&gt;1),"",$C$51)</f>
        <v/>
      </c>
      <c r="M51">
        <f>IF(OR(46=3,$B$51&lt;&gt;1),"",$C$51)</f>
        <v/>
      </c>
      <c r="N51">
        <f>IF(OR(46=4,$B$51&lt;&gt;1),"",$C$51)</f>
        <v/>
      </c>
      <c r="O51">
        <f>IF(OR(46=5,$B$51&lt;&gt;1),"",$C$51)</f>
        <v/>
      </c>
      <c r="P51">
        <f>IF(OR(46=6,$B$51&lt;&gt;1),"",$C$51)</f>
        <v/>
      </c>
      <c r="Q51">
        <f>IF(OR(46=7,$B$51&lt;&gt;1),"",$C$51)</f>
        <v/>
      </c>
      <c r="R51">
        <f>IF(OR(46=8,$B$51&lt;&gt;1),"",$C$51)</f>
        <v/>
      </c>
      <c r="S51">
        <f>IF(OR(46=9,$B$51&lt;&gt;1),"",$C$51)</f>
        <v/>
      </c>
      <c r="T51">
        <f>IF(OR(46=10,$B$51&lt;&gt;1),"",$C$51)</f>
        <v/>
      </c>
      <c r="U51">
        <f>IF(OR(46=11,$B$51&lt;&gt;1),"",$C$51)</f>
        <v/>
      </c>
      <c r="V51">
        <f>IF(OR(46=12,$B$51&lt;&gt;1),"",$C$51)</f>
        <v/>
      </c>
      <c r="W51">
        <f>IF(OR(46=13,$B$51&lt;&gt;1),"",$C$51)</f>
        <v/>
      </c>
      <c r="X51">
        <f>IF(OR(46=14,$B$51&lt;&gt;1),"",$C$51)</f>
        <v/>
      </c>
      <c r="Y51">
        <f>IF(OR(46=15,$B$51&lt;&gt;1),"",$C$51)</f>
        <v/>
      </c>
      <c r="Z51">
        <f>IF(OR(46=16,$B$51&lt;&gt;1),"",$C$51)</f>
        <v/>
      </c>
      <c r="AA51">
        <f>IF(OR(46=17,$B$51&lt;&gt;1),"",$C$51)</f>
        <v/>
      </c>
      <c r="AB51">
        <f>IF(OR(46=18,$B$51&lt;&gt;1),"",$C$51)</f>
        <v/>
      </c>
      <c r="AC51">
        <f>IF(OR(46=19,$B$51&lt;&gt;1),"",$C$51)</f>
        <v/>
      </c>
      <c r="AD51">
        <f>IF(OR(46=20,$B$51&lt;&gt;1),"",$C$51)</f>
        <v/>
      </c>
      <c r="AE51">
        <f>IF(OR(46=21,$B$51&lt;&gt;1),"",$C$51)</f>
        <v/>
      </c>
      <c r="AF51">
        <f>IF(OR(46=22,$B$51&lt;&gt;1),"",$C$51)</f>
        <v/>
      </c>
      <c r="AG51">
        <f>IF(OR(46=23,$B$51&lt;&gt;1),"",$C$51)</f>
        <v/>
      </c>
      <c r="AH51">
        <f>IF(OR(46=24,$B$51&lt;&gt;1),"",$C$51)</f>
        <v/>
      </c>
      <c r="AI51">
        <f>IF(OR(46=25,$B$51&lt;&gt;1),"",$C$51)</f>
        <v/>
      </c>
      <c r="AJ51">
        <f>IF(OR(46=26,$B$51&lt;&gt;1),"",$C$51)</f>
        <v/>
      </c>
      <c r="AK51">
        <f>IF(OR(46=27,$B$51&lt;&gt;1),"",$C$51)</f>
        <v/>
      </c>
      <c r="AL51">
        <f>IF(OR(46=28,$B$51&lt;&gt;1),"",$C$51)</f>
        <v/>
      </c>
      <c r="AM51">
        <f>IF(OR(46=29,$B$51&lt;&gt;1),"",$C$51)</f>
        <v/>
      </c>
      <c r="AN51">
        <f>IF(OR(46=30,$B$51&lt;&gt;1),"",$C$51)</f>
        <v/>
      </c>
      <c r="AO51">
        <f>IF(OR(46=31,$B$51&lt;&gt;1),"",$C$51)</f>
        <v/>
      </c>
      <c r="AP51">
        <f>IF(OR(46=32,$B$51&lt;&gt;1),"",$C$51)</f>
        <v/>
      </c>
      <c r="AQ51">
        <f>IF(OR(46=33,$B$51&lt;&gt;1),"",$C$51)</f>
        <v/>
      </c>
      <c r="AR51">
        <f>IF(OR(46=34,$B$51&lt;&gt;1),"",$C$51)</f>
        <v/>
      </c>
      <c r="AS51">
        <f>IF(OR(46=35,$B$51&lt;&gt;1),"",$C$51)</f>
        <v/>
      </c>
      <c r="AT51">
        <f>IF(OR(46=36,$B$51&lt;&gt;1),"",$C$51)</f>
        <v/>
      </c>
      <c r="AU51">
        <f>IF(OR(46=37,$B$51&lt;&gt;1),"",$C$51)</f>
        <v/>
      </c>
      <c r="AV51">
        <f>IF(OR(46=38,$B$51&lt;&gt;1),"",$C$51)</f>
        <v/>
      </c>
      <c r="AW51">
        <f>IF(OR(46=39,$B$51&lt;&gt;1),"",$C$51)</f>
        <v/>
      </c>
      <c r="AX51">
        <f>IF(OR(46=40,$B$51&lt;&gt;1),"",$C$51)</f>
        <v/>
      </c>
      <c r="AY51">
        <f>IF(OR(46=41,$B$51&lt;&gt;1),"",$C$51)</f>
        <v/>
      </c>
      <c r="AZ51">
        <f>IF(OR(46=42,$B$51&lt;&gt;1),"",$C$51)</f>
        <v/>
      </c>
      <c r="BA51">
        <f>IF(OR(46=43,$B$51&lt;&gt;1),"",$C$51)</f>
        <v/>
      </c>
      <c r="BB51">
        <f>IF(OR(46=44,$B$51&lt;&gt;1),"",$C$51)</f>
        <v/>
      </c>
      <c r="BC51">
        <f>IF(OR(46=45,$B$51&lt;&gt;1),"",$C$51)</f>
        <v/>
      </c>
      <c r="BD51">
        <f>IF(OR(46=46,$B$51&lt;&gt;1),"",$C$51)</f>
        <v/>
      </c>
      <c r="BE51">
        <f>IF(OR(46=47,$B$51&lt;&gt;1),"",$C$51)</f>
        <v/>
      </c>
      <c r="BF51">
        <f>IF(OR(46=48,$B$51&lt;&gt;1),"",$C$51)</f>
        <v/>
      </c>
      <c r="BG51">
        <f>IF(OR(46=49,$B$51&lt;&gt;1),"",$C$51)</f>
        <v/>
      </c>
    </row>
    <row r="52">
      <c r="A52" s="5">
        <f>IF(Clients!A52="","",Clients!A52)</f>
        <v/>
      </c>
      <c r="B52" s="5">
        <f>IF(A52="",0,IF(AND(Clients!K52=1,ISNUMBER(Clients!D52),ISNUMBER(INDEX(Clients!E52:J52,1,MATCH(Setup!$B$7,Clients!$E$4:$J$4,0)))),1,0))</f>
        <v/>
      </c>
      <c r="C52" s="12">
        <f>IF(B52=1,INDEX(Clients!E52:J52,1,MATCH(Setup!$B$7,Clients!$E$4:$J$4,0)),"")</f>
        <v/>
      </c>
      <c r="D52" s="13">
        <f>IF(B52&lt;&gt;1,"",IF(COUNT(BE5:BE54)=0,"",MEDIAN(BE5:BE54)))</f>
        <v/>
      </c>
      <c r="E52" s="12">
        <f>IF(B52=1,Clients!D52,"")</f>
        <v/>
      </c>
      <c r="F52" s="10" t="n"/>
      <c r="G52" s="12">
        <f>IF(AND(B52=1,ISNUMBER(F52)),F52-E52,"")</f>
        <v/>
      </c>
      <c r="J52">
        <f>IF(OR(47=0,$B$52&lt;&gt;1),"",$C$52)</f>
        <v/>
      </c>
      <c r="K52">
        <f>IF(OR(47=1,$B$52&lt;&gt;1),"",$C$52)</f>
        <v/>
      </c>
      <c r="L52">
        <f>IF(OR(47=2,$B$52&lt;&gt;1),"",$C$52)</f>
        <v/>
      </c>
      <c r="M52">
        <f>IF(OR(47=3,$B$52&lt;&gt;1),"",$C$52)</f>
        <v/>
      </c>
      <c r="N52">
        <f>IF(OR(47=4,$B$52&lt;&gt;1),"",$C$52)</f>
        <v/>
      </c>
      <c r="O52">
        <f>IF(OR(47=5,$B$52&lt;&gt;1),"",$C$52)</f>
        <v/>
      </c>
      <c r="P52">
        <f>IF(OR(47=6,$B$52&lt;&gt;1),"",$C$52)</f>
        <v/>
      </c>
      <c r="Q52">
        <f>IF(OR(47=7,$B$52&lt;&gt;1),"",$C$52)</f>
        <v/>
      </c>
      <c r="R52">
        <f>IF(OR(47=8,$B$52&lt;&gt;1),"",$C$52)</f>
        <v/>
      </c>
      <c r="S52">
        <f>IF(OR(47=9,$B$52&lt;&gt;1),"",$C$52)</f>
        <v/>
      </c>
      <c r="T52">
        <f>IF(OR(47=10,$B$52&lt;&gt;1),"",$C$52)</f>
        <v/>
      </c>
      <c r="U52">
        <f>IF(OR(47=11,$B$52&lt;&gt;1),"",$C$52)</f>
        <v/>
      </c>
      <c r="V52">
        <f>IF(OR(47=12,$B$52&lt;&gt;1),"",$C$52)</f>
        <v/>
      </c>
      <c r="W52">
        <f>IF(OR(47=13,$B$52&lt;&gt;1),"",$C$52)</f>
        <v/>
      </c>
      <c r="X52">
        <f>IF(OR(47=14,$B$52&lt;&gt;1),"",$C$52)</f>
        <v/>
      </c>
      <c r="Y52">
        <f>IF(OR(47=15,$B$52&lt;&gt;1),"",$C$52)</f>
        <v/>
      </c>
      <c r="Z52">
        <f>IF(OR(47=16,$B$52&lt;&gt;1),"",$C$52)</f>
        <v/>
      </c>
      <c r="AA52">
        <f>IF(OR(47=17,$B$52&lt;&gt;1),"",$C$52)</f>
        <v/>
      </c>
      <c r="AB52">
        <f>IF(OR(47=18,$B$52&lt;&gt;1),"",$C$52)</f>
        <v/>
      </c>
      <c r="AC52">
        <f>IF(OR(47=19,$B$52&lt;&gt;1),"",$C$52)</f>
        <v/>
      </c>
      <c r="AD52">
        <f>IF(OR(47=20,$B$52&lt;&gt;1),"",$C$52)</f>
        <v/>
      </c>
      <c r="AE52">
        <f>IF(OR(47=21,$B$52&lt;&gt;1),"",$C$52)</f>
        <v/>
      </c>
      <c r="AF52">
        <f>IF(OR(47=22,$B$52&lt;&gt;1),"",$C$52)</f>
        <v/>
      </c>
      <c r="AG52">
        <f>IF(OR(47=23,$B$52&lt;&gt;1),"",$C$52)</f>
        <v/>
      </c>
      <c r="AH52">
        <f>IF(OR(47=24,$B$52&lt;&gt;1),"",$C$52)</f>
        <v/>
      </c>
      <c r="AI52">
        <f>IF(OR(47=25,$B$52&lt;&gt;1),"",$C$52)</f>
        <v/>
      </c>
      <c r="AJ52">
        <f>IF(OR(47=26,$B$52&lt;&gt;1),"",$C$52)</f>
        <v/>
      </c>
      <c r="AK52">
        <f>IF(OR(47=27,$B$52&lt;&gt;1),"",$C$52)</f>
        <v/>
      </c>
      <c r="AL52">
        <f>IF(OR(47=28,$B$52&lt;&gt;1),"",$C$52)</f>
        <v/>
      </c>
      <c r="AM52">
        <f>IF(OR(47=29,$B$52&lt;&gt;1),"",$C$52)</f>
        <v/>
      </c>
      <c r="AN52">
        <f>IF(OR(47=30,$B$52&lt;&gt;1),"",$C$52)</f>
        <v/>
      </c>
      <c r="AO52">
        <f>IF(OR(47=31,$B$52&lt;&gt;1),"",$C$52)</f>
        <v/>
      </c>
      <c r="AP52">
        <f>IF(OR(47=32,$B$52&lt;&gt;1),"",$C$52)</f>
        <v/>
      </c>
      <c r="AQ52">
        <f>IF(OR(47=33,$B$52&lt;&gt;1),"",$C$52)</f>
        <v/>
      </c>
      <c r="AR52">
        <f>IF(OR(47=34,$B$52&lt;&gt;1),"",$C$52)</f>
        <v/>
      </c>
      <c r="AS52">
        <f>IF(OR(47=35,$B$52&lt;&gt;1),"",$C$52)</f>
        <v/>
      </c>
      <c r="AT52">
        <f>IF(OR(47=36,$B$52&lt;&gt;1),"",$C$52)</f>
        <v/>
      </c>
      <c r="AU52">
        <f>IF(OR(47=37,$B$52&lt;&gt;1),"",$C$52)</f>
        <v/>
      </c>
      <c r="AV52">
        <f>IF(OR(47=38,$B$52&lt;&gt;1),"",$C$52)</f>
        <v/>
      </c>
      <c r="AW52">
        <f>IF(OR(47=39,$B$52&lt;&gt;1),"",$C$52)</f>
        <v/>
      </c>
      <c r="AX52">
        <f>IF(OR(47=40,$B$52&lt;&gt;1),"",$C$52)</f>
        <v/>
      </c>
      <c r="AY52">
        <f>IF(OR(47=41,$B$52&lt;&gt;1),"",$C$52)</f>
        <v/>
      </c>
      <c r="AZ52">
        <f>IF(OR(47=42,$B$52&lt;&gt;1),"",$C$52)</f>
        <v/>
      </c>
      <c r="BA52">
        <f>IF(OR(47=43,$B$52&lt;&gt;1),"",$C$52)</f>
        <v/>
      </c>
      <c r="BB52">
        <f>IF(OR(47=44,$B$52&lt;&gt;1),"",$C$52)</f>
        <v/>
      </c>
      <c r="BC52">
        <f>IF(OR(47=45,$B$52&lt;&gt;1),"",$C$52)</f>
        <v/>
      </c>
      <c r="BD52">
        <f>IF(OR(47=46,$B$52&lt;&gt;1),"",$C$52)</f>
        <v/>
      </c>
      <c r="BE52">
        <f>IF(OR(47=47,$B$52&lt;&gt;1),"",$C$52)</f>
        <v/>
      </c>
      <c r="BF52">
        <f>IF(OR(47=48,$B$52&lt;&gt;1),"",$C$52)</f>
        <v/>
      </c>
      <c r="BG52">
        <f>IF(OR(47=49,$B$52&lt;&gt;1),"",$C$52)</f>
        <v/>
      </c>
    </row>
    <row r="53">
      <c r="A53" s="5">
        <f>IF(Clients!A53="","",Clients!A53)</f>
        <v/>
      </c>
      <c r="B53" s="5">
        <f>IF(A53="",0,IF(AND(Clients!K53=1,ISNUMBER(Clients!D53),ISNUMBER(INDEX(Clients!E53:J53,1,MATCH(Setup!$B$7,Clients!$E$4:$J$4,0)))),1,0))</f>
        <v/>
      </c>
      <c r="C53" s="12">
        <f>IF(B53=1,INDEX(Clients!E53:J53,1,MATCH(Setup!$B$7,Clients!$E$4:$J$4,0)),"")</f>
        <v/>
      </c>
      <c r="D53" s="13">
        <f>IF(B53&lt;&gt;1,"",IF(COUNT(BF5:BF54)=0,"",MEDIAN(BF5:BF54)))</f>
        <v/>
      </c>
      <c r="E53" s="12">
        <f>IF(B53=1,Clients!D53,"")</f>
        <v/>
      </c>
      <c r="F53" s="10" t="n"/>
      <c r="G53" s="12">
        <f>IF(AND(B53=1,ISNUMBER(F53)),F53-E53,"")</f>
        <v/>
      </c>
      <c r="J53">
        <f>IF(OR(48=0,$B$53&lt;&gt;1),"",$C$53)</f>
        <v/>
      </c>
      <c r="K53">
        <f>IF(OR(48=1,$B$53&lt;&gt;1),"",$C$53)</f>
        <v/>
      </c>
      <c r="L53">
        <f>IF(OR(48=2,$B$53&lt;&gt;1),"",$C$53)</f>
        <v/>
      </c>
      <c r="M53">
        <f>IF(OR(48=3,$B$53&lt;&gt;1),"",$C$53)</f>
        <v/>
      </c>
      <c r="N53">
        <f>IF(OR(48=4,$B$53&lt;&gt;1),"",$C$53)</f>
        <v/>
      </c>
      <c r="O53">
        <f>IF(OR(48=5,$B$53&lt;&gt;1),"",$C$53)</f>
        <v/>
      </c>
      <c r="P53">
        <f>IF(OR(48=6,$B$53&lt;&gt;1),"",$C$53)</f>
        <v/>
      </c>
      <c r="Q53">
        <f>IF(OR(48=7,$B$53&lt;&gt;1),"",$C$53)</f>
        <v/>
      </c>
      <c r="R53">
        <f>IF(OR(48=8,$B$53&lt;&gt;1),"",$C$53)</f>
        <v/>
      </c>
      <c r="S53">
        <f>IF(OR(48=9,$B$53&lt;&gt;1),"",$C$53)</f>
        <v/>
      </c>
      <c r="T53">
        <f>IF(OR(48=10,$B$53&lt;&gt;1),"",$C$53)</f>
        <v/>
      </c>
      <c r="U53">
        <f>IF(OR(48=11,$B$53&lt;&gt;1),"",$C$53)</f>
        <v/>
      </c>
      <c r="V53">
        <f>IF(OR(48=12,$B$53&lt;&gt;1),"",$C$53)</f>
        <v/>
      </c>
      <c r="W53">
        <f>IF(OR(48=13,$B$53&lt;&gt;1),"",$C$53)</f>
        <v/>
      </c>
      <c r="X53">
        <f>IF(OR(48=14,$B$53&lt;&gt;1),"",$C$53)</f>
        <v/>
      </c>
      <c r="Y53">
        <f>IF(OR(48=15,$B$53&lt;&gt;1),"",$C$53)</f>
        <v/>
      </c>
      <c r="Z53">
        <f>IF(OR(48=16,$B$53&lt;&gt;1),"",$C$53)</f>
        <v/>
      </c>
      <c r="AA53">
        <f>IF(OR(48=17,$B$53&lt;&gt;1),"",$C$53)</f>
        <v/>
      </c>
      <c r="AB53">
        <f>IF(OR(48=18,$B$53&lt;&gt;1),"",$C$53)</f>
        <v/>
      </c>
      <c r="AC53">
        <f>IF(OR(48=19,$B$53&lt;&gt;1),"",$C$53)</f>
        <v/>
      </c>
      <c r="AD53">
        <f>IF(OR(48=20,$B$53&lt;&gt;1),"",$C$53)</f>
        <v/>
      </c>
      <c r="AE53">
        <f>IF(OR(48=21,$B$53&lt;&gt;1),"",$C$53)</f>
        <v/>
      </c>
      <c r="AF53">
        <f>IF(OR(48=22,$B$53&lt;&gt;1),"",$C$53)</f>
        <v/>
      </c>
      <c r="AG53">
        <f>IF(OR(48=23,$B$53&lt;&gt;1),"",$C$53)</f>
        <v/>
      </c>
      <c r="AH53">
        <f>IF(OR(48=24,$B$53&lt;&gt;1),"",$C$53)</f>
        <v/>
      </c>
      <c r="AI53">
        <f>IF(OR(48=25,$B$53&lt;&gt;1),"",$C$53)</f>
        <v/>
      </c>
      <c r="AJ53">
        <f>IF(OR(48=26,$B$53&lt;&gt;1),"",$C$53)</f>
        <v/>
      </c>
      <c r="AK53">
        <f>IF(OR(48=27,$B$53&lt;&gt;1),"",$C$53)</f>
        <v/>
      </c>
      <c r="AL53">
        <f>IF(OR(48=28,$B$53&lt;&gt;1),"",$C$53)</f>
        <v/>
      </c>
      <c r="AM53">
        <f>IF(OR(48=29,$B$53&lt;&gt;1),"",$C$53)</f>
        <v/>
      </c>
      <c r="AN53">
        <f>IF(OR(48=30,$B$53&lt;&gt;1),"",$C$53)</f>
        <v/>
      </c>
      <c r="AO53">
        <f>IF(OR(48=31,$B$53&lt;&gt;1),"",$C$53)</f>
        <v/>
      </c>
      <c r="AP53">
        <f>IF(OR(48=32,$B$53&lt;&gt;1),"",$C$53)</f>
        <v/>
      </c>
      <c r="AQ53">
        <f>IF(OR(48=33,$B$53&lt;&gt;1),"",$C$53)</f>
        <v/>
      </c>
      <c r="AR53">
        <f>IF(OR(48=34,$B$53&lt;&gt;1),"",$C$53)</f>
        <v/>
      </c>
      <c r="AS53">
        <f>IF(OR(48=35,$B$53&lt;&gt;1),"",$C$53)</f>
        <v/>
      </c>
      <c r="AT53">
        <f>IF(OR(48=36,$B$53&lt;&gt;1),"",$C$53)</f>
        <v/>
      </c>
      <c r="AU53">
        <f>IF(OR(48=37,$B$53&lt;&gt;1),"",$C$53)</f>
        <v/>
      </c>
      <c r="AV53">
        <f>IF(OR(48=38,$B$53&lt;&gt;1),"",$C$53)</f>
        <v/>
      </c>
      <c r="AW53">
        <f>IF(OR(48=39,$B$53&lt;&gt;1),"",$C$53)</f>
        <v/>
      </c>
      <c r="AX53">
        <f>IF(OR(48=40,$B$53&lt;&gt;1),"",$C$53)</f>
        <v/>
      </c>
      <c r="AY53">
        <f>IF(OR(48=41,$B$53&lt;&gt;1),"",$C$53)</f>
        <v/>
      </c>
      <c r="AZ53">
        <f>IF(OR(48=42,$B$53&lt;&gt;1),"",$C$53)</f>
        <v/>
      </c>
      <c r="BA53">
        <f>IF(OR(48=43,$B$53&lt;&gt;1),"",$C$53)</f>
        <v/>
      </c>
      <c r="BB53">
        <f>IF(OR(48=44,$B$53&lt;&gt;1),"",$C$53)</f>
        <v/>
      </c>
      <c r="BC53">
        <f>IF(OR(48=45,$B$53&lt;&gt;1),"",$C$53)</f>
        <v/>
      </c>
      <c r="BD53">
        <f>IF(OR(48=46,$B$53&lt;&gt;1),"",$C$53)</f>
        <v/>
      </c>
      <c r="BE53">
        <f>IF(OR(48=47,$B$53&lt;&gt;1),"",$C$53)</f>
        <v/>
      </c>
      <c r="BF53">
        <f>IF(OR(48=48,$B$53&lt;&gt;1),"",$C$53)</f>
        <v/>
      </c>
      <c r="BG53">
        <f>IF(OR(48=49,$B$53&lt;&gt;1),"",$C$53)</f>
        <v/>
      </c>
    </row>
    <row r="54">
      <c r="A54" s="5">
        <f>IF(Clients!A54="","",Clients!A54)</f>
        <v/>
      </c>
      <c r="B54" s="5">
        <f>IF(A54="",0,IF(AND(Clients!K54=1,ISNUMBER(Clients!D54),ISNUMBER(INDEX(Clients!E54:J54,1,MATCH(Setup!$B$7,Clients!$E$4:$J$4,0)))),1,0))</f>
        <v/>
      </c>
      <c r="C54" s="12">
        <f>IF(B54=1,INDEX(Clients!E54:J54,1,MATCH(Setup!$B$7,Clients!$E$4:$J$4,0)),"")</f>
        <v/>
      </c>
      <c r="D54" s="13">
        <f>IF(B54&lt;&gt;1,"",IF(COUNT(BG5:BG54)=0,"",MEDIAN(BG5:BG54)))</f>
        <v/>
      </c>
      <c r="E54" s="12">
        <f>IF(B54=1,Clients!D54,"")</f>
        <v/>
      </c>
      <c r="F54" s="10" t="n"/>
      <c r="G54" s="12">
        <f>IF(AND(B54=1,ISNUMBER(F54)),F54-E54,"")</f>
        <v/>
      </c>
      <c r="J54">
        <f>IF(OR(49=0,$B$54&lt;&gt;1),"",$C$54)</f>
        <v/>
      </c>
      <c r="K54">
        <f>IF(OR(49=1,$B$54&lt;&gt;1),"",$C$54)</f>
        <v/>
      </c>
      <c r="L54">
        <f>IF(OR(49=2,$B$54&lt;&gt;1),"",$C$54)</f>
        <v/>
      </c>
      <c r="M54">
        <f>IF(OR(49=3,$B$54&lt;&gt;1),"",$C$54)</f>
        <v/>
      </c>
      <c r="N54">
        <f>IF(OR(49=4,$B$54&lt;&gt;1),"",$C$54)</f>
        <v/>
      </c>
      <c r="O54">
        <f>IF(OR(49=5,$B$54&lt;&gt;1),"",$C$54)</f>
        <v/>
      </c>
      <c r="P54">
        <f>IF(OR(49=6,$B$54&lt;&gt;1),"",$C$54)</f>
        <v/>
      </c>
      <c r="Q54">
        <f>IF(OR(49=7,$B$54&lt;&gt;1),"",$C$54)</f>
        <v/>
      </c>
      <c r="R54">
        <f>IF(OR(49=8,$B$54&lt;&gt;1),"",$C$54)</f>
        <v/>
      </c>
      <c r="S54">
        <f>IF(OR(49=9,$B$54&lt;&gt;1),"",$C$54)</f>
        <v/>
      </c>
      <c r="T54">
        <f>IF(OR(49=10,$B$54&lt;&gt;1),"",$C$54)</f>
        <v/>
      </c>
      <c r="U54">
        <f>IF(OR(49=11,$B$54&lt;&gt;1),"",$C$54)</f>
        <v/>
      </c>
      <c r="V54">
        <f>IF(OR(49=12,$B$54&lt;&gt;1),"",$C$54)</f>
        <v/>
      </c>
      <c r="W54">
        <f>IF(OR(49=13,$B$54&lt;&gt;1),"",$C$54)</f>
        <v/>
      </c>
      <c r="X54">
        <f>IF(OR(49=14,$B$54&lt;&gt;1),"",$C$54)</f>
        <v/>
      </c>
      <c r="Y54">
        <f>IF(OR(49=15,$B$54&lt;&gt;1),"",$C$54)</f>
        <v/>
      </c>
      <c r="Z54">
        <f>IF(OR(49=16,$B$54&lt;&gt;1),"",$C$54)</f>
        <v/>
      </c>
      <c r="AA54">
        <f>IF(OR(49=17,$B$54&lt;&gt;1),"",$C$54)</f>
        <v/>
      </c>
      <c r="AB54">
        <f>IF(OR(49=18,$B$54&lt;&gt;1),"",$C$54)</f>
        <v/>
      </c>
      <c r="AC54">
        <f>IF(OR(49=19,$B$54&lt;&gt;1),"",$C$54)</f>
        <v/>
      </c>
      <c r="AD54">
        <f>IF(OR(49=20,$B$54&lt;&gt;1),"",$C$54)</f>
        <v/>
      </c>
      <c r="AE54">
        <f>IF(OR(49=21,$B$54&lt;&gt;1),"",$C$54)</f>
        <v/>
      </c>
      <c r="AF54">
        <f>IF(OR(49=22,$B$54&lt;&gt;1),"",$C$54)</f>
        <v/>
      </c>
      <c r="AG54">
        <f>IF(OR(49=23,$B$54&lt;&gt;1),"",$C$54)</f>
        <v/>
      </c>
      <c r="AH54">
        <f>IF(OR(49=24,$B$54&lt;&gt;1),"",$C$54)</f>
        <v/>
      </c>
      <c r="AI54">
        <f>IF(OR(49=25,$B$54&lt;&gt;1),"",$C$54)</f>
        <v/>
      </c>
      <c r="AJ54">
        <f>IF(OR(49=26,$B$54&lt;&gt;1),"",$C$54)</f>
        <v/>
      </c>
      <c r="AK54">
        <f>IF(OR(49=27,$B$54&lt;&gt;1),"",$C$54)</f>
        <v/>
      </c>
      <c r="AL54">
        <f>IF(OR(49=28,$B$54&lt;&gt;1),"",$C$54)</f>
        <v/>
      </c>
      <c r="AM54">
        <f>IF(OR(49=29,$B$54&lt;&gt;1),"",$C$54)</f>
        <v/>
      </c>
      <c r="AN54">
        <f>IF(OR(49=30,$B$54&lt;&gt;1),"",$C$54)</f>
        <v/>
      </c>
      <c r="AO54">
        <f>IF(OR(49=31,$B$54&lt;&gt;1),"",$C$54)</f>
        <v/>
      </c>
      <c r="AP54">
        <f>IF(OR(49=32,$B$54&lt;&gt;1),"",$C$54)</f>
        <v/>
      </c>
      <c r="AQ54">
        <f>IF(OR(49=33,$B$54&lt;&gt;1),"",$C$54)</f>
        <v/>
      </c>
      <c r="AR54">
        <f>IF(OR(49=34,$B$54&lt;&gt;1),"",$C$54)</f>
        <v/>
      </c>
      <c r="AS54">
        <f>IF(OR(49=35,$B$54&lt;&gt;1),"",$C$54)</f>
        <v/>
      </c>
      <c r="AT54">
        <f>IF(OR(49=36,$B$54&lt;&gt;1),"",$C$54)</f>
        <v/>
      </c>
      <c r="AU54">
        <f>IF(OR(49=37,$B$54&lt;&gt;1),"",$C$54)</f>
        <v/>
      </c>
      <c r="AV54">
        <f>IF(OR(49=38,$B$54&lt;&gt;1),"",$C$54)</f>
        <v/>
      </c>
      <c r="AW54">
        <f>IF(OR(49=39,$B$54&lt;&gt;1),"",$C$54)</f>
        <v/>
      </c>
      <c r="AX54">
        <f>IF(OR(49=40,$B$54&lt;&gt;1),"",$C$54)</f>
        <v/>
      </c>
      <c r="AY54">
        <f>IF(OR(49=41,$B$54&lt;&gt;1),"",$C$54)</f>
        <v/>
      </c>
      <c r="AZ54">
        <f>IF(OR(49=42,$B$54&lt;&gt;1),"",$C$54)</f>
        <v/>
      </c>
      <c r="BA54">
        <f>IF(OR(49=43,$B$54&lt;&gt;1),"",$C$54)</f>
        <v/>
      </c>
      <c r="BB54">
        <f>IF(OR(49=44,$B$54&lt;&gt;1),"",$C$54)</f>
        <v/>
      </c>
      <c r="BC54">
        <f>IF(OR(49=45,$B$54&lt;&gt;1),"",$C$54)</f>
        <v/>
      </c>
      <c r="BD54">
        <f>IF(OR(49=46,$B$54&lt;&gt;1),"",$C$54)</f>
        <v/>
      </c>
      <c r="BE54">
        <f>IF(OR(49=47,$B$54&lt;&gt;1),"",$C$54)</f>
        <v/>
      </c>
      <c r="BF54">
        <f>IF(OR(49=48,$B$54&lt;&gt;1),"",$C$54)</f>
        <v/>
      </c>
      <c r="BG54">
        <f>IF(OR(49=49,$B$54&lt;&gt;1),"",$C$54)</f>
        <v/>
      </c>
    </row>
    <row r="55"/>
    <row r="56"/>
    <row r="57">
      <c r="A57" t="inlineStr">
        <is>
          <t>folds (usable clients)</t>
        </is>
      </c>
      <c r="B57" s="11">
        <f>SUM(B5:B54)</f>
        <v/>
      </c>
    </row>
    <row r="58">
      <c r="A58" t="inlineStr">
        <is>
          <t>folds with new fitness entered</t>
        </is>
      </c>
      <c r="B58" s="11">
        <f>COUNT(G5:G54)</f>
        <v/>
      </c>
    </row>
    <row r="59">
      <c r="A59" t="inlineStr">
        <is>
          <t>mean delta</t>
        </is>
      </c>
      <c r="B59" s="12">
        <f>IF(B58=0,"",AVERAGE(G5:G54))</f>
        <v/>
      </c>
    </row>
    <row r="60">
      <c r="A60" s="3" t="inlineStr">
        <is>
          <t>VALIDATED (&gt;=2 folds and mean delta &lt;= tolerance)</t>
        </is>
      </c>
      <c r="B60" s="4">
        <f>AND(B57&gt;=2,B58=B57,ISNUMBER(B59),N(B59)&lt;=Setup!B8)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4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find_recurring_skills: list (client, generated skill folder) pairs</t>
        </is>
      </c>
    </row>
    <row r="2"/>
    <row r="3"/>
    <row r="4">
      <c r="A4" s="6" t="inlineStr">
        <is>
          <t>client path</t>
        </is>
      </c>
      <c r="B4" s="6" t="inlineStr">
        <is>
          <t>skill folder name</t>
        </is>
      </c>
      <c r="C4" s="6" t="inlineStr">
        <is>
          <t>client type (lookup)</t>
        </is>
      </c>
      <c r="D4" s="6" t="inlineStr">
        <is>
          <t>of chosen type?</t>
        </is>
      </c>
      <c r="E4" s="6" t="inlineStr">
        <is>
          <t>support for this name</t>
        </is>
      </c>
      <c r="F4" s="6" t="inlineStr">
        <is>
          <t>candidate?</t>
        </is>
      </c>
    </row>
    <row r="5">
      <c r="A5" s="7" t="n"/>
      <c r="B5" s="7" t="n"/>
      <c r="C5" s="5">
        <f>IF(A5="","",IFERROR(INDEX(Clients!$B$5:$B$54,MATCH(A5,Clients!$A$5:$A$54,0)),"unknown"))</f>
        <v/>
      </c>
      <c r="D5" s="5">
        <f>IF(OR(A5="",B5="",Setup!$B$4=""),0,IF(C5=Setup!$B$4,1,0))</f>
        <v/>
      </c>
      <c r="E5" s="11">
        <f>IF(D5=1,SUMPRODUCT(($B$5:$B$304=B5)*($D$5:$D$304=1)),"")</f>
        <v/>
      </c>
      <c r="F5" s="5">
        <f>IF(D5=1,E5&gt;=Setup!$B$5,"")</f>
        <v/>
      </c>
    </row>
    <row r="6">
      <c r="A6" s="7" t="n"/>
      <c r="B6" s="7" t="n"/>
      <c r="C6" s="5">
        <f>IF(A6="","",IFERROR(INDEX(Clients!$B$5:$B$54,MATCH(A6,Clients!$A$5:$A$54,0)),"unknown"))</f>
        <v/>
      </c>
      <c r="D6" s="5">
        <f>IF(OR(A6="",B6="",Setup!$B$4=""),0,IF(C6=Setup!$B$4,1,0))</f>
        <v/>
      </c>
      <c r="E6" s="11">
        <f>IF(D6=1,SUMPRODUCT(($B$5:$B$304=B6)*($D$5:$D$304=1)),"")</f>
        <v/>
      </c>
      <c r="F6" s="5">
        <f>IF(D6=1,E6&gt;=Setup!$B$5,"")</f>
        <v/>
      </c>
    </row>
    <row r="7">
      <c r="A7" s="7" t="n"/>
      <c r="B7" s="7" t="n"/>
      <c r="C7" s="5">
        <f>IF(A7="","",IFERROR(INDEX(Clients!$B$5:$B$54,MATCH(A7,Clients!$A$5:$A$54,0)),"unknown"))</f>
        <v/>
      </c>
      <c r="D7" s="5">
        <f>IF(OR(A7="",B7="",Setup!$B$4=""),0,IF(C7=Setup!$B$4,1,0))</f>
        <v/>
      </c>
      <c r="E7" s="11">
        <f>IF(D7=1,SUMPRODUCT(($B$5:$B$304=B7)*($D$5:$D$304=1)),"")</f>
        <v/>
      </c>
      <c r="F7" s="5">
        <f>IF(D7=1,E7&gt;=Setup!$B$5,"")</f>
        <v/>
      </c>
    </row>
    <row r="8">
      <c r="A8" s="7" t="n"/>
      <c r="B8" s="7" t="n"/>
      <c r="C8" s="5">
        <f>IF(A8="","",IFERROR(INDEX(Clients!$B$5:$B$54,MATCH(A8,Clients!$A$5:$A$54,0)),"unknown"))</f>
        <v/>
      </c>
      <c r="D8" s="5">
        <f>IF(OR(A8="",B8="",Setup!$B$4=""),0,IF(C8=Setup!$B$4,1,0))</f>
        <v/>
      </c>
      <c r="E8" s="11">
        <f>IF(D8=1,SUMPRODUCT(($B$5:$B$304=B8)*($D$5:$D$304=1)),"")</f>
        <v/>
      </c>
      <c r="F8" s="5">
        <f>IF(D8=1,E8&gt;=Setup!$B$5,"")</f>
        <v/>
      </c>
    </row>
    <row r="9">
      <c r="A9" s="7" t="n"/>
      <c r="B9" s="7" t="n"/>
      <c r="C9" s="5">
        <f>IF(A9="","",IFERROR(INDEX(Clients!$B$5:$B$54,MATCH(A9,Clients!$A$5:$A$54,0)),"unknown"))</f>
        <v/>
      </c>
      <c r="D9" s="5">
        <f>IF(OR(A9="",B9="",Setup!$B$4=""),0,IF(C9=Setup!$B$4,1,0))</f>
        <v/>
      </c>
      <c r="E9" s="11">
        <f>IF(D9=1,SUMPRODUCT(($B$5:$B$304=B9)*($D$5:$D$304=1)),"")</f>
        <v/>
      </c>
      <c r="F9" s="5">
        <f>IF(D9=1,E9&gt;=Setup!$B$5,"")</f>
        <v/>
      </c>
    </row>
    <row r="10">
      <c r="A10" s="7" t="n"/>
      <c r="B10" s="7" t="n"/>
      <c r="C10" s="5">
        <f>IF(A10="","",IFERROR(INDEX(Clients!$B$5:$B$54,MATCH(A10,Clients!$A$5:$A$54,0)),"unknown"))</f>
        <v/>
      </c>
      <c r="D10" s="5">
        <f>IF(OR(A10="",B10="",Setup!$B$4=""),0,IF(C10=Setup!$B$4,1,0))</f>
        <v/>
      </c>
      <c r="E10" s="11">
        <f>IF(D10=1,SUMPRODUCT(($B$5:$B$304=B10)*($D$5:$D$304=1)),"")</f>
        <v/>
      </c>
      <c r="F10" s="5">
        <f>IF(D10=1,E10&gt;=Setup!$B$5,"")</f>
        <v/>
      </c>
    </row>
    <row r="11">
      <c r="A11" s="7" t="n"/>
      <c r="B11" s="7" t="n"/>
      <c r="C11" s="5">
        <f>IF(A11="","",IFERROR(INDEX(Clients!$B$5:$B$54,MATCH(A11,Clients!$A$5:$A$54,0)),"unknown"))</f>
        <v/>
      </c>
      <c r="D11" s="5">
        <f>IF(OR(A11="",B11="",Setup!$B$4=""),0,IF(C11=Setup!$B$4,1,0))</f>
        <v/>
      </c>
      <c r="E11" s="11">
        <f>IF(D11=1,SUMPRODUCT(($B$5:$B$304=B11)*($D$5:$D$304=1)),"")</f>
        <v/>
      </c>
      <c r="F11" s="5">
        <f>IF(D11=1,E11&gt;=Setup!$B$5,"")</f>
        <v/>
      </c>
    </row>
    <row r="12">
      <c r="A12" s="7" t="n"/>
      <c r="B12" s="7" t="n"/>
      <c r="C12" s="5">
        <f>IF(A12="","",IFERROR(INDEX(Clients!$B$5:$B$54,MATCH(A12,Clients!$A$5:$A$54,0)),"unknown"))</f>
        <v/>
      </c>
      <c r="D12" s="5">
        <f>IF(OR(A12="",B12="",Setup!$B$4=""),0,IF(C12=Setup!$B$4,1,0))</f>
        <v/>
      </c>
      <c r="E12" s="11">
        <f>IF(D12=1,SUMPRODUCT(($B$5:$B$304=B12)*($D$5:$D$304=1)),"")</f>
        <v/>
      </c>
      <c r="F12" s="5">
        <f>IF(D12=1,E12&gt;=Setup!$B$5,"")</f>
        <v/>
      </c>
    </row>
    <row r="13">
      <c r="A13" s="7" t="n"/>
      <c r="B13" s="7" t="n"/>
      <c r="C13" s="5">
        <f>IF(A13="","",IFERROR(INDEX(Clients!$B$5:$B$54,MATCH(A13,Clients!$A$5:$A$54,0)),"unknown"))</f>
        <v/>
      </c>
      <c r="D13" s="5">
        <f>IF(OR(A13="",B13="",Setup!$B$4=""),0,IF(C13=Setup!$B$4,1,0))</f>
        <v/>
      </c>
      <c r="E13" s="11">
        <f>IF(D13=1,SUMPRODUCT(($B$5:$B$304=B13)*($D$5:$D$304=1)),"")</f>
        <v/>
      </c>
      <c r="F13" s="5">
        <f>IF(D13=1,E13&gt;=Setup!$B$5,"")</f>
        <v/>
      </c>
    </row>
    <row r="14">
      <c r="A14" s="7" t="n"/>
      <c r="B14" s="7" t="n"/>
      <c r="C14" s="5">
        <f>IF(A14="","",IFERROR(INDEX(Clients!$B$5:$B$54,MATCH(A14,Clients!$A$5:$A$54,0)),"unknown"))</f>
        <v/>
      </c>
      <c r="D14" s="5">
        <f>IF(OR(A14="",B14="",Setup!$B$4=""),0,IF(C14=Setup!$B$4,1,0))</f>
        <v/>
      </c>
      <c r="E14" s="11">
        <f>IF(D14=1,SUMPRODUCT(($B$5:$B$304=B14)*($D$5:$D$304=1)),"")</f>
        <v/>
      </c>
      <c r="F14" s="5">
        <f>IF(D14=1,E14&gt;=Setup!$B$5,"")</f>
        <v/>
      </c>
    </row>
    <row r="15">
      <c r="A15" s="7" t="n"/>
      <c r="B15" s="7" t="n"/>
      <c r="C15" s="5">
        <f>IF(A15="","",IFERROR(INDEX(Clients!$B$5:$B$54,MATCH(A15,Clients!$A$5:$A$54,0)),"unknown"))</f>
        <v/>
      </c>
      <c r="D15" s="5">
        <f>IF(OR(A15="",B15="",Setup!$B$4=""),0,IF(C15=Setup!$B$4,1,0))</f>
        <v/>
      </c>
      <c r="E15" s="11">
        <f>IF(D15=1,SUMPRODUCT(($B$5:$B$304=B15)*($D$5:$D$304=1)),"")</f>
        <v/>
      </c>
      <c r="F15" s="5">
        <f>IF(D15=1,E15&gt;=Setup!$B$5,"")</f>
        <v/>
      </c>
    </row>
    <row r="16">
      <c r="A16" s="7" t="n"/>
      <c r="B16" s="7" t="n"/>
      <c r="C16" s="5">
        <f>IF(A16="","",IFERROR(INDEX(Clients!$B$5:$B$54,MATCH(A16,Clients!$A$5:$A$54,0)),"unknown"))</f>
        <v/>
      </c>
      <c r="D16" s="5">
        <f>IF(OR(A16="",B16="",Setup!$B$4=""),0,IF(C16=Setup!$B$4,1,0))</f>
        <v/>
      </c>
      <c r="E16" s="11">
        <f>IF(D16=1,SUMPRODUCT(($B$5:$B$304=B16)*($D$5:$D$304=1)),"")</f>
        <v/>
      </c>
      <c r="F16" s="5">
        <f>IF(D16=1,E16&gt;=Setup!$B$5,"")</f>
        <v/>
      </c>
    </row>
    <row r="17">
      <c r="A17" s="7" t="n"/>
      <c r="B17" s="7" t="n"/>
      <c r="C17" s="5">
        <f>IF(A17="","",IFERROR(INDEX(Clients!$B$5:$B$54,MATCH(A17,Clients!$A$5:$A$54,0)),"unknown"))</f>
        <v/>
      </c>
      <c r="D17" s="5">
        <f>IF(OR(A17="",B17="",Setup!$B$4=""),0,IF(C17=Setup!$B$4,1,0))</f>
        <v/>
      </c>
      <c r="E17" s="11">
        <f>IF(D17=1,SUMPRODUCT(($B$5:$B$304=B17)*($D$5:$D$304=1)),"")</f>
        <v/>
      </c>
      <c r="F17" s="5">
        <f>IF(D17=1,E17&gt;=Setup!$B$5,"")</f>
        <v/>
      </c>
    </row>
    <row r="18">
      <c r="A18" s="7" t="n"/>
      <c r="B18" s="7" t="n"/>
      <c r="C18" s="5">
        <f>IF(A18="","",IFERROR(INDEX(Clients!$B$5:$B$54,MATCH(A18,Clients!$A$5:$A$54,0)),"unknown"))</f>
        <v/>
      </c>
      <c r="D18" s="5">
        <f>IF(OR(A18="",B18="",Setup!$B$4=""),0,IF(C18=Setup!$B$4,1,0))</f>
        <v/>
      </c>
      <c r="E18" s="11">
        <f>IF(D18=1,SUMPRODUCT(($B$5:$B$304=B18)*($D$5:$D$304=1)),"")</f>
        <v/>
      </c>
      <c r="F18" s="5">
        <f>IF(D18=1,E18&gt;=Setup!$B$5,"")</f>
        <v/>
      </c>
    </row>
    <row r="19">
      <c r="A19" s="7" t="n"/>
      <c r="B19" s="7" t="n"/>
      <c r="C19" s="5">
        <f>IF(A19="","",IFERROR(INDEX(Clients!$B$5:$B$54,MATCH(A19,Clients!$A$5:$A$54,0)),"unknown"))</f>
        <v/>
      </c>
      <c r="D19" s="5">
        <f>IF(OR(A19="",B19="",Setup!$B$4=""),0,IF(C19=Setup!$B$4,1,0))</f>
        <v/>
      </c>
      <c r="E19" s="11">
        <f>IF(D19=1,SUMPRODUCT(($B$5:$B$304=B19)*($D$5:$D$304=1)),"")</f>
        <v/>
      </c>
      <c r="F19" s="5">
        <f>IF(D19=1,E19&gt;=Setup!$B$5,"")</f>
        <v/>
      </c>
    </row>
    <row r="20">
      <c r="A20" s="7" t="n"/>
      <c r="B20" s="7" t="n"/>
      <c r="C20" s="5">
        <f>IF(A20="","",IFERROR(INDEX(Clients!$B$5:$B$54,MATCH(A20,Clients!$A$5:$A$54,0)),"unknown"))</f>
        <v/>
      </c>
      <c r="D20" s="5">
        <f>IF(OR(A20="",B20="",Setup!$B$4=""),0,IF(C20=Setup!$B$4,1,0))</f>
        <v/>
      </c>
      <c r="E20" s="11">
        <f>IF(D20=1,SUMPRODUCT(($B$5:$B$304=B20)*($D$5:$D$304=1)),"")</f>
        <v/>
      </c>
      <c r="F20" s="5">
        <f>IF(D20=1,E20&gt;=Setup!$B$5,"")</f>
        <v/>
      </c>
    </row>
    <row r="21">
      <c r="A21" s="7" t="n"/>
      <c r="B21" s="7" t="n"/>
      <c r="C21" s="5">
        <f>IF(A21="","",IFERROR(INDEX(Clients!$B$5:$B$54,MATCH(A21,Clients!$A$5:$A$54,0)),"unknown"))</f>
        <v/>
      </c>
      <c r="D21" s="5">
        <f>IF(OR(A21="",B21="",Setup!$B$4=""),0,IF(C21=Setup!$B$4,1,0))</f>
        <v/>
      </c>
      <c r="E21" s="11">
        <f>IF(D21=1,SUMPRODUCT(($B$5:$B$304=B21)*($D$5:$D$304=1)),"")</f>
        <v/>
      </c>
      <c r="F21" s="5">
        <f>IF(D21=1,E21&gt;=Setup!$B$5,"")</f>
        <v/>
      </c>
    </row>
    <row r="22">
      <c r="A22" s="7" t="n"/>
      <c r="B22" s="7" t="n"/>
      <c r="C22" s="5">
        <f>IF(A22="","",IFERROR(INDEX(Clients!$B$5:$B$54,MATCH(A22,Clients!$A$5:$A$54,0)),"unknown"))</f>
        <v/>
      </c>
      <c r="D22" s="5">
        <f>IF(OR(A22="",B22="",Setup!$B$4=""),0,IF(C22=Setup!$B$4,1,0))</f>
        <v/>
      </c>
      <c r="E22" s="11">
        <f>IF(D22=1,SUMPRODUCT(($B$5:$B$304=B22)*($D$5:$D$304=1)),"")</f>
        <v/>
      </c>
      <c r="F22" s="5">
        <f>IF(D22=1,E22&gt;=Setup!$B$5,"")</f>
        <v/>
      </c>
    </row>
    <row r="23">
      <c r="A23" s="7" t="n"/>
      <c r="B23" s="7" t="n"/>
      <c r="C23" s="5">
        <f>IF(A23="","",IFERROR(INDEX(Clients!$B$5:$B$54,MATCH(A23,Clients!$A$5:$A$54,0)),"unknown"))</f>
        <v/>
      </c>
      <c r="D23" s="5">
        <f>IF(OR(A23="",B23="",Setup!$B$4=""),0,IF(C23=Setup!$B$4,1,0))</f>
        <v/>
      </c>
      <c r="E23" s="11">
        <f>IF(D23=1,SUMPRODUCT(($B$5:$B$304=B23)*($D$5:$D$304=1)),"")</f>
        <v/>
      </c>
      <c r="F23" s="5">
        <f>IF(D23=1,E23&gt;=Setup!$B$5,"")</f>
        <v/>
      </c>
    </row>
    <row r="24">
      <c r="A24" s="7" t="n"/>
      <c r="B24" s="7" t="n"/>
      <c r="C24" s="5">
        <f>IF(A24="","",IFERROR(INDEX(Clients!$B$5:$B$54,MATCH(A24,Clients!$A$5:$A$54,0)),"unknown"))</f>
        <v/>
      </c>
      <c r="D24" s="5">
        <f>IF(OR(A24="",B24="",Setup!$B$4=""),0,IF(C24=Setup!$B$4,1,0))</f>
        <v/>
      </c>
      <c r="E24" s="11">
        <f>IF(D24=1,SUMPRODUCT(($B$5:$B$304=B24)*($D$5:$D$304=1)),"")</f>
        <v/>
      </c>
      <c r="F24" s="5">
        <f>IF(D24=1,E24&gt;=Setup!$B$5,"")</f>
        <v/>
      </c>
    </row>
    <row r="25">
      <c r="A25" s="7" t="n"/>
      <c r="B25" s="7" t="n"/>
      <c r="C25" s="5">
        <f>IF(A25="","",IFERROR(INDEX(Clients!$B$5:$B$54,MATCH(A25,Clients!$A$5:$A$54,0)),"unknown"))</f>
        <v/>
      </c>
      <c r="D25" s="5">
        <f>IF(OR(A25="",B25="",Setup!$B$4=""),0,IF(C25=Setup!$B$4,1,0))</f>
        <v/>
      </c>
      <c r="E25" s="11">
        <f>IF(D25=1,SUMPRODUCT(($B$5:$B$304=B25)*($D$5:$D$304=1)),"")</f>
        <v/>
      </c>
      <c r="F25" s="5">
        <f>IF(D25=1,E25&gt;=Setup!$B$5,"")</f>
        <v/>
      </c>
    </row>
    <row r="26">
      <c r="A26" s="7" t="n"/>
      <c r="B26" s="7" t="n"/>
      <c r="C26" s="5">
        <f>IF(A26="","",IFERROR(INDEX(Clients!$B$5:$B$54,MATCH(A26,Clients!$A$5:$A$54,0)),"unknown"))</f>
        <v/>
      </c>
      <c r="D26" s="5">
        <f>IF(OR(A26="",B26="",Setup!$B$4=""),0,IF(C26=Setup!$B$4,1,0))</f>
        <v/>
      </c>
      <c r="E26" s="11">
        <f>IF(D26=1,SUMPRODUCT(($B$5:$B$304=B26)*($D$5:$D$304=1)),"")</f>
        <v/>
      </c>
      <c r="F26" s="5">
        <f>IF(D26=1,E26&gt;=Setup!$B$5,"")</f>
        <v/>
      </c>
    </row>
    <row r="27">
      <c r="A27" s="7" t="n"/>
      <c r="B27" s="7" t="n"/>
      <c r="C27" s="5">
        <f>IF(A27="","",IFERROR(INDEX(Clients!$B$5:$B$54,MATCH(A27,Clients!$A$5:$A$54,0)),"unknown"))</f>
        <v/>
      </c>
      <c r="D27" s="5">
        <f>IF(OR(A27="",B27="",Setup!$B$4=""),0,IF(C27=Setup!$B$4,1,0))</f>
        <v/>
      </c>
      <c r="E27" s="11">
        <f>IF(D27=1,SUMPRODUCT(($B$5:$B$304=B27)*($D$5:$D$304=1)),"")</f>
        <v/>
      </c>
      <c r="F27" s="5">
        <f>IF(D27=1,E27&gt;=Setup!$B$5,"")</f>
        <v/>
      </c>
    </row>
    <row r="28">
      <c r="A28" s="7" t="n"/>
      <c r="B28" s="7" t="n"/>
      <c r="C28" s="5">
        <f>IF(A28="","",IFERROR(INDEX(Clients!$B$5:$B$54,MATCH(A28,Clients!$A$5:$A$54,0)),"unknown"))</f>
        <v/>
      </c>
      <c r="D28" s="5">
        <f>IF(OR(A28="",B28="",Setup!$B$4=""),0,IF(C28=Setup!$B$4,1,0))</f>
        <v/>
      </c>
      <c r="E28" s="11">
        <f>IF(D28=1,SUMPRODUCT(($B$5:$B$304=B28)*($D$5:$D$304=1)),"")</f>
        <v/>
      </c>
      <c r="F28" s="5">
        <f>IF(D28=1,E28&gt;=Setup!$B$5,"")</f>
        <v/>
      </c>
    </row>
    <row r="29">
      <c r="A29" s="7" t="n"/>
      <c r="B29" s="7" t="n"/>
      <c r="C29" s="5">
        <f>IF(A29="","",IFERROR(INDEX(Clients!$B$5:$B$54,MATCH(A29,Clients!$A$5:$A$54,0)),"unknown"))</f>
        <v/>
      </c>
      <c r="D29" s="5">
        <f>IF(OR(A29="",B29="",Setup!$B$4=""),0,IF(C29=Setup!$B$4,1,0))</f>
        <v/>
      </c>
      <c r="E29" s="11">
        <f>IF(D29=1,SUMPRODUCT(($B$5:$B$304=B29)*($D$5:$D$304=1)),"")</f>
        <v/>
      </c>
      <c r="F29" s="5">
        <f>IF(D29=1,E29&gt;=Setup!$B$5,"")</f>
        <v/>
      </c>
    </row>
    <row r="30">
      <c r="A30" s="7" t="n"/>
      <c r="B30" s="7" t="n"/>
      <c r="C30" s="5">
        <f>IF(A30="","",IFERROR(INDEX(Clients!$B$5:$B$54,MATCH(A30,Clients!$A$5:$A$54,0)),"unknown"))</f>
        <v/>
      </c>
      <c r="D30" s="5">
        <f>IF(OR(A30="",B30="",Setup!$B$4=""),0,IF(C30=Setup!$B$4,1,0))</f>
        <v/>
      </c>
      <c r="E30" s="11">
        <f>IF(D30=1,SUMPRODUCT(($B$5:$B$304=B30)*($D$5:$D$304=1)),"")</f>
        <v/>
      </c>
      <c r="F30" s="5">
        <f>IF(D30=1,E30&gt;=Setup!$B$5,"")</f>
        <v/>
      </c>
    </row>
    <row r="31">
      <c r="A31" s="7" t="n"/>
      <c r="B31" s="7" t="n"/>
      <c r="C31" s="5">
        <f>IF(A31="","",IFERROR(INDEX(Clients!$B$5:$B$54,MATCH(A31,Clients!$A$5:$A$54,0)),"unknown"))</f>
        <v/>
      </c>
      <c r="D31" s="5">
        <f>IF(OR(A31="",B31="",Setup!$B$4=""),0,IF(C31=Setup!$B$4,1,0))</f>
        <v/>
      </c>
      <c r="E31" s="11">
        <f>IF(D31=1,SUMPRODUCT(($B$5:$B$304=B31)*($D$5:$D$304=1)),"")</f>
        <v/>
      </c>
      <c r="F31" s="5">
        <f>IF(D31=1,E31&gt;=Setup!$B$5,"")</f>
        <v/>
      </c>
    </row>
    <row r="32">
      <c r="A32" s="7" t="n"/>
      <c r="B32" s="7" t="n"/>
      <c r="C32" s="5">
        <f>IF(A32="","",IFERROR(INDEX(Clients!$B$5:$B$54,MATCH(A32,Clients!$A$5:$A$54,0)),"unknown"))</f>
        <v/>
      </c>
      <c r="D32" s="5">
        <f>IF(OR(A32="",B32="",Setup!$B$4=""),0,IF(C32=Setup!$B$4,1,0))</f>
        <v/>
      </c>
      <c r="E32" s="11">
        <f>IF(D32=1,SUMPRODUCT(($B$5:$B$304=B32)*($D$5:$D$304=1)),"")</f>
        <v/>
      </c>
      <c r="F32" s="5">
        <f>IF(D32=1,E32&gt;=Setup!$B$5,"")</f>
        <v/>
      </c>
    </row>
    <row r="33">
      <c r="A33" s="7" t="n"/>
      <c r="B33" s="7" t="n"/>
      <c r="C33" s="5">
        <f>IF(A33="","",IFERROR(INDEX(Clients!$B$5:$B$54,MATCH(A33,Clients!$A$5:$A$54,0)),"unknown"))</f>
        <v/>
      </c>
      <c r="D33" s="5">
        <f>IF(OR(A33="",B33="",Setup!$B$4=""),0,IF(C33=Setup!$B$4,1,0))</f>
        <v/>
      </c>
      <c r="E33" s="11">
        <f>IF(D33=1,SUMPRODUCT(($B$5:$B$304=B33)*($D$5:$D$304=1)),"")</f>
        <v/>
      </c>
      <c r="F33" s="5">
        <f>IF(D33=1,E33&gt;=Setup!$B$5,"")</f>
        <v/>
      </c>
    </row>
    <row r="34">
      <c r="A34" s="7" t="n"/>
      <c r="B34" s="7" t="n"/>
      <c r="C34" s="5">
        <f>IF(A34="","",IFERROR(INDEX(Clients!$B$5:$B$54,MATCH(A34,Clients!$A$5:$A$54,0)),"unknown"))</f>
        <v/>
      </c>
      <c r="D34" s="5">
        <f>IF(OR(A34="",B34="",Setup!$B$4=""),0,IF(C34=Setup!$B$4,1,0))</f>
        <v/>
      </c>
      <c r="E34" s="11">
        <f>IF(D34=1,SUMPRODUCT(($B$5:$B$304=B34)*($D$5:$D$304=1)),"")</f>
        <v/>
      </c>
      <c r="F34" s="5">
        <f>IF(D34=1,E34&gt;=Setup!$B$5,"")</f>
        <v/>
      </c>
    </row>
    <row r="35">
      <c r="A35" s="7" t="n"/>
      <c r="B35" s="7" t="n"/>
      <c r="C35" s="5">
        <f>IF(A35="","",IFERROR(INDEX(Clients!$B$5:$B$54,MATCH(A35,Clients!$A$5:$A$54,0)),"unknown"))</f>
        <v/>
      </c>
      <c r="D35" s="5">
        <f>IF(OR(A35="",B35="",Setup!$B$4=""),0,IF(C35=Setup!$B$4,1,0))</f>
        <v/>
      </c>
      <c r="E35" s="11">
        <f>IF(D35=1,SUMPRODUCT(($B$5:$B$304=B35)*($D$5:$D$304=1)),"")</f>
        <v/>
      </c>
      <c r="F35" s="5">
        <f>IF(D35=1,E35&gt;=Setup!$B$5,"")</f>
        <v/>
      </c>
    </row>
    <row r="36">
      <c r="A36" s="7" t="n"/>
      <c r="B36" s="7" t="n"/>
      <c r="C36" s="5">
        <f>IF(A36="","",IFERROR(INDEX(Clients!$B$5:$B$54,MATCH(A36,Clients!$A$5:$A$54,0)),"unknown"))</f>
        <v/>
      </c>
      <c r="D36" s="5">
        <f>IF(OR(A36="",B36="",Setup!$B$4=""),0,IF(C36=Setup!$B$4,1,0))</f>
        <v/>
      </c>
      <c r="E36" s="11">
        <f>IF(D36=1,SUMPRODUCT(($B$5:$B$304=B36)*($D$5:$D$304=1)),"")</f>
        <v/>
      </c>
      <c r="F36" s="5">
        <f>IF(D36=1,E36&gt;=Setup!$B$5,"")</f>
        <v/>
      </c>
    </row>
    <row r="37">
      <c r="A37" s="7" t="n"/>
      <c r="B37" s="7" t="n"/>
      <c r="C37" s="5">
        <f>IF(A37="","",IFERROR(INDEX(Clients!$B$5:$B$54,MATCH(A37,Clients!$A$5:$A$54,0)),"unknown"))</f>
        <v/>
      </c>
      <c r="D37" s="5">
        <f>IF(OR(A37="",B37="",Setup!$B$4=""),0,IF(C37=Setup!$B$4,1,0))</f>
        <v/>
      </c>
      <c r="E37" s="11">
        <f>IF(D37=1,SUMPRODUCT(($B$5:$B$304=B37)*($D$5:$D$304=1)),"")</f>
        <v/>
      </c>
      <c r="F37" s="5">
        <f>IF(D37=1,E37&gt;=Setup!$B$5,"")</f>
        <v/>
      </c>
    </row>
    <row r="38">
      <c r="A38" s="7" t="n"/>
      <c r="B38" s="7" t="n"/>
      <c r="C38" s="5">
        <f>IF(A38="","",IFERROR(INDEX(Clients!$B$5:$B$54,MATCH(A38,Clients!$A$5:$A$54,0)),"unknown"))</f>
        <v/>
      </c>
      <c r="D38" s="5">
        <f>IF(OR(A38="",B38="",Setup!$B$4=""),0,IF(C38=Setup!$B$4,1,0))</f>
        <v/>
      </c>
      <c r="E38" s="11">
        <f>IF(D38=1,SUMPRODUCT(($B$5:$B$304=B38)*($D$5:$D$304=1)),"")</f>
        <v/>
      </c>
      <c r="F38" s="5">
        <f>IF(D38=1,E38&gt;=Setup!$B$5,"")</f>
        <v/>
      </c>
    </row>
    <row r="39">
      <c r="A39" s="7" t="n"/>
      <c r="B39" s="7" t="n"/>
      <c r="C39" s="5">
        <f>IF(A39="","",IFERROR(INDEX(Clients!$B$5:$B$54,MATCH(A39,Clients!$A$5:$A$54,0)),"unknown"))</f>
        <v/>
      </c>
      <c r="D39" s="5">
        <f>IF(OR(A39="",B39="",Setup!$B$4=""),0,IF(C39=Setup!$B$4,1,0))</f>
        <v/>
      </c>
      <c r="E39" s="11">
        <f>IF(D39=1,SUMPRODUCT(($B$5:$B$304=B39)*($D$5:$D$304=1)),"")</f>
        <v/>
      </c>
      <c r="F39" s="5">
        <f>IF(D39=1,E39&gt;=Setup!$B$5,"")</f>
        <v/>
      </c>
    </row>
    <row r="40">
      <c r="A40" s="7" t="n"/>
      <c r="B40" s="7" t="n"/>
      <c r="C40" s="5">
        <f>IF(A40="","",IFERROR(INDEX(Clients!$B$5:$B$54,MATCH(A40,Clients!$A$5:$A$54,0)),"unknown"))</f>
        <v/>
      </c>
      <c r="D40" s="5">
        <f>IF(OR(A40="",B40="",Setup!$B$4=""),0,IF(C40=Setup!$B$4,1,0))</f>
        <v/>
      </c>
      <c r="E40" s="11">
        <f>IF(D40=1,SUMPRODUCT(($B$5:$B$304=B40)*($D$5:$D$304=1)),"")</f>
        <v/>
      </c>
      <c r="F40" s="5">
        <f>IF(D40=1,E40&gt;=Setup!$B$5,"")</f>
        <v/>
      </c>
    </row>
    <row r="41">
      <c r="A41" s="7" t="n"/>
      <c r="B41" s="7" t="n"/>
      <c r="C41" s="5">
        <f>IF(A41="","",IFERROR(INDEX(Clients!$B$5:$B$54,MATCH(A41,Clients!$A$5:$A$54,0)),"unknown"))</f>
        <v/>
      </c>
      <c r="D41" s="5">
        <f>IF(OR(A41="",B41="",Setup!$B$4=""),0,IF(C41=Setup!$B$4,1,0))</f>
        <v/>
      </c>
      <c r="E41" s="11">
        <f>IF(D41=1,SUMPRODUCT(($B$5:$B$304=B41)*($D$5:$D$304=1)),"")</f>
        <v/>
      </c>
      <c r="F41" s="5">
        <f>IF(D41=1,E41&gt;=Setup!$B$5,"")</f>
        <v/>
      </c>
    </row>
    <row r="42">
      <c r="A42" s="7" t="n"/>
      <c r="B42" s="7" t="n"/>
      <c r="C42" s="5">
        <f>IF(A42="","",IFERROR(INDEX(Clients!$B$5:$B$54,MATCH(A42,Clients!$A$5:$A$54,0)),"unknown"))</f>
        <v/>
      </c>
      <c r="D42" s="5">
        <f>IF(OR(A42="",B42="",Setup!$B$4=""),0,IF(C42=Setup!$B$4,1,0))</f>
        <v/>
      </c>
      <c r="E42" s="11">
        <f>IF(D42=1,SUMPRODUCT(($B$5:$B$304=B42)*($D$5:$D$304=1)),"")</f>
        <v/>
      </c>
      <c r="F42" s="5">
        <f>IF(D42=1,E42&gt;=Setup!$B$5,"")</f>
        <v/>
      </c>
    </row>
    <row r="43">
      <c r="A43" s="7" t="n"/>
      <c r="B43" s="7" t="n"/>
      <c r="C43" s="5">
        <f>IF(A43="","",IFERROR(INDEX(Clients!$B$5:$B$54,MATCH(A43,Clients!$A$5:$A$54,0)),"unknown"))</f>
        <v/>
      </c>
      <c r="D43" s="5">
        <f>IF(OR(A43="",B43="",Setup!$B$4=""),0,IF(C43=Setup!$B$4,1,0))</f>
        <v/>
      </c>
      <c r="E43" s="11">
        <f>IF(D43=1,SUMPRODUCT(($B$5:$B$304=B43)*($D$5:$D$304=1)),"")</f>
        <v/>
      </c>
      <c r="F43" s="5">
        <f>IF(D43=1,E43&gt;=Setup!$B$5,"")</f>
        <v/>
      </c>
    </row>
    <row r="44">
      <c r="A44" s="7" t="n"/>
      <c r="B44" s="7" t="n"/>
      <c r="C44" s="5">
        <f>IF(A44="","",IFERROR(INDEX(Clients!$B$5:$B$54,MATCH(A44,Clients!$A$5:$A$54,0)),"unknown"))</f>
        <v/>
      </c>
      <c r="D44" s="5">
        <f>IF(OR(A44="",B44="",Setup!$B$4=""),0,IF(C44=Setup!$B$4,1,0))</f>
        <v/>
      </c>
      <c r="E44" s="11">
        <f>IF(D44=1,SUMPRODUCT(($B$5:$B$304=B44)*($D$5:$D$304=1)),"")</f>
        <v/>
      </c>
      <c r="F44" s="5">
        <f>IF(D44=1,E44&gt;=Setup!$B$5,"")</f>
        <v/>
      </c>
    </row>
    <row r="45">
      <c r="A45" s="7" t="n"/>
      <c r="B45" s="7" t="n"/>
      <c r="C45" s="5">
        <f>IF(A45="","",IFERROR(INDEX(Clients!$B$5:$B$54,MATCH(A45,Clients!$A$5:$A$54,0)),"unknown"))</f>
        <v/>
      </c>
      <c r="D45" s="5">
        <f>IF(OR(A45="",B45="",Setup!$B$4=""),0,IF(C45=Setup!$B$4,1,0))</f>
        <v/>
      </c>
      <c r="E45" s="11">
        <f>IF(D45=1,SUMPRODUCT(($B$5:$B$304=B45)*($D$5:$D$304=1)),"")</f>
        <v/>
      </c>
      <c r="F45" s="5">
        <f>IF(D45=1,E45&gt;=Setup!$B$5,"")</f>
        <v/>
      </c>
    </row>
    <row r="46">
      <c r="A46" s="7" t="n"/>
      <c r="B46" s="7" t="n"/>
      <c r="C46" s="5">
        <f>IF(A46="","",IFERROR(INDEX(Clients!$B$5:$B$54,MATCH(A46,Clients!$A$5:$A$54,0)),"unknown"))</f>
        <v/>
      </c>
      <c r="D46" s="5">
        <f>IF(OR(A46="",B46="",Setup!$B$4=""),0,IF(C46=Setup!$B$4,1,0))</f>
        <v/>
      </c>
      <c r="E46" s="11">
        <f>IF(D46=1,SUMPRODUCT(($B$5:$B$304=B46)*($D$5:$D$304=1)),"")</f>
        <v/>
      </c>
      <c r="F46" s="5">
        <f>IF(D46=1,E46&gt;=Setup!$B$5,"")</f>
        <v/>
      </c>
    </row>
    <row r="47">
      <c r="A47" s="7" t="n"/>
      <c r="B47" s="7" t="n"/>
      <c r="C47" s="5">
        <f>IF(A47="","",IFERROR(INDEX(Clients!$B$5:$B$54,MATCH(A47,Clients!$A$5:$A$54,0)),"unknown"))</f>
        <v/>
      </c>
      <c r="D47" s="5">
        <f>IF(OR(A47="",B47="",Setup!$B$4=""),0,IF(C47=Setup!$B$4,1,0))</f>
        <v/>
      </c>
      <c r="E47" s="11">
        <f>IF(D47=1,SUMPRODUCT(($B$5:$B$304=B47)*($D$5:$D$304=1)),"")</f>
        <v/>
      </c>
      <c r="F47" s="5">
        <f>IF(D47=1,E47&gt;=Setup!$B$5,"")</f>
        <v/>
      </c>
    </row>
    <row r="48">
      <c r="A48" s="7" t="n"/>
      <c r="B48" s="7" t="n"/>
      <c r="C48" s="5">
        <f>IF(A48="","",IFERROR(INDEX(Clients!$B$5:$B$54,MATCH(A48,Clients!$A$5:$A$54,0)),"unknown"))</f>
        <v/>
      </c>
      <c r="D48" s="5">
        <f>IF(OR(A48="",B48="",Setup!$B$4=""),0,IF(C48=Setup!$B$4,1,0))</f>
        <v/>
      </c>
      <c r="E48" s="11">
        <f>IF(D48=1,SUMPRODUCT(($B$5:$B$304=B48)*($D$5:$D$304=1)),"")</f>
        <v/>
      </c>
      <c r="F48" s="5">
        <f>IF(D48=1,E48&gt;=Setup!$B$5,"")</f>
        <v/>
      </c>
    </row>
    <row r="49">
      <c r="A49" s="7" t="n"/>
      <c r="B49" s="7" t="n"/>
      <c r="C49" s="5">
        <f>IF(A49="","",IFERROR(INDEX(Clients!$B$5:$B$54,MATCH(A49,Clients!$A$5:$A$54,0)),"unknown"))</f>
        <v/>
      </c>
      <c r="D49" s="5">
        <f>IF(OR(A49="",B49="",Setup!$B$4=""),0,IF(C49=Setup!$B$4,1,0))</f>
        <v/>
      </c>
      <c r="E49" s="11">
        <f>IF(D49=1,SUMPRODUCT(($B$5:$B$304=B49)*($D$5:$D$304=1)),"")</f>
        <v/>
      </c>
      <c r="F49" s="5">
        <f>IF(D49=1,E49&gt;=Setup!$B$5,"")</f>
        <v/>
      </c>
    </row>
    <row r="50">
      <c r="A50" s="7" t="n"/>
      <c r="B50" s="7" t="n"/>
      <c r="C50" s="5">
        <f>IF(A50="","",IFERROR(INDEX(Clients!$B$5:$B$54,MATCH(A50,Clients!$A$5:$A$54,0)),"unknown"))</f>
        <v/>
      </c>
      <c r="D50" s="5">
        <f>IF(OR(A50="",B50="",Setup!$B$4=""),0,IF(C50=Setup!$B$4,1,0))</f>
        <v/>
      </c>
      <c r="E50" s="11">
        <f>IF(D50=1,SUMPRODUCT(($B$5:$B$304=B50)*($D$5:$D$304=1)),"")</f>
        <v/>
      </c>
      <c r="F50" s="5">
        <f>IF(D50=1,E50&gt;=Setup!$B$5,"")</f>
        <v/>
      </c>
    </row>
    <row r="51">
      <c r="A51" s="7" t="n"/>
      <c r="B51" s="7" t="n"/>
      <c r="C51" s="5">
        <f>IF(A51="","",IFERROR(INDEX(Clients!$B$5:$B$54,MATCH(A51,Clients!$A$5:$A$54,0)),"unknown"))</f>
        <v/>
      </c>
      <c r="D51" s="5">
        <f>IF(OR(A51="",B51="",Setup!$B$4=""),0,IF(C51=Setup!$B$4,1,0))</f>
        <v/>
      </c>
      <c r="E51" s="11">
        <f>IF(D51=1,SUMPRODUCT(($B$5:$B$304=B51)*($D$5:$D$304=1)),"")</f>
        <v/>
      </c>
      <c r="F51" s="5">
        <f>IF(D51=1,E51&gt;=Setup!$B$5,"")</f>
        <v/>
      </c>
    </row>
    <row r="52">
      <c r="A52" s="7" t="n"/>
      <c r="B52" s="7" t="n"/>
      <c r="C52" s="5">
        <f>IF(A52="","",IFERROR(INDEX(Clients!$B$5:$B$54,MATCH(A52,Clients!$A$5:$A$54,0)),"unknown"))</f>
        <v/>
      </c>
      <c r="D52" s="5">
        <f>IF(OR(A52="",B52="",Setup!$B$4=""),0,IF(C52=Setup!$B$4,1,0))</f>
        <v/>
      </c>
      <c r="E52" s="11">
        <f>IF(D52=1,SUMPRODUCT(($B$5:$B$304=B52)*($D$5:$D$304=1)),"")</f>
        <v/>
      </c>
      <c r="F52" s="5">
        <f>IF(D52=1,E52&gt;=Setup!$B$5,"")</f>
        <v/>
      </c>
    </row>
    <row r="53">
      <c r="A53" s="7" t="n"/>
      <c r="B53" s="7" t="n"/>
      <c r="C53" s="5">
        <f>IF(A53="","",IFERROR(INDEX(Clients!$B$5:$B$54,MATCH(A53,Clients!$A$5:$A$54,0)),"unknown"))</f>
        <v/>
      </c>
      <c r="D53" s="5">
        <f>IF(OR(A53="",B53="",Setup!$B$4=""),0,IF(C53=Setup!$B$4,1,0))</f>
        <v/>
      </c>
      <c r="E53" s="11">
        <f>IF(D53=1,SUMPRODUCT(($B$5:$B$304=B53)*($D$5:$D$304=1)),"")</f>
        <v/>
      </c>
      <c r="F53" s="5">
        <f>IF(D53=1,E53&gt;=Setup!$B$5,"")</f>
        <v/>
      </c>
    </row>
    <row r="54">
      <c r="A54" s="7" t="n"/>
      <c r="B54" s="7" t="n"/>
      <c r="C54" s="5">
        <f>IF(A54="","",IFERROR(INDEX(Clients!$B$5:$B$54,MATCH(A54,Clients!$A$5:$A$54,0)),"unknown"))</f>
        <v/>
      </c>
      <c r="D54" s="5">
        <f>IF(OR(A54="",B54="",Setup!$B$4=""),0,IF(C54=Setup!$B$4,1,0))</f>
        <v/>
      </c>
      <c r="E54" s="11">
        <f>IF(D54=1,SUMPRODUCT(($B$5:$B$304=B54)*($D$5:$D$304=1)),"")</f>
        <v/>
      </c>
      <c r="F54" s="5">
        <f>IF(D54=1,E54&gt;=Setup!$B$5,"")</f>
        <v/>
      </c>
    </row>
    <row r="55">
      <c r="A55" s="7" t="n"/>
      <c r="B55" s="7" t="n"/>
      <c r="C55" s="5">
        <f>IF(A55="","",IFERROR(INDEX(Clients!$B$5:$B$54,MATCH(A55,Clients!$A$5:$A$54,0)),"unknown"))</f>
        <v/>
      </c>
      <c r="D55" s="5">
        <f>IF(OR(A55="",B55="",Setup!$B$4=""),0,IF(C55=Setup!$B$4,1,0))</f>
        <v/>
      </c>
      <c r="E55" s="11">
        <f>IF(D55=1,SUMPRODUCT(($B$5:$B$304=B55)*($D$5:$D$304=1)),"")</f>
        <v/>
      </c>
      <c r="F55" s="5">
        <f>IF(D55=1,E55&gt;=Setup!$B$5,"")</f>
        <v/>
      </c>
    </row>
    <row r="56">
      <c r="A56" s="7" t="n"/>
      <c r="B56" s="7" t="n"/>
      <c r="C56" s="5">
        <f>IF(A56="","",IFERROR(INDEX(Clients!$B$5:$B$54,MATCH(A56,Clients!$A$5:$A$54,0)),"unknown"))</f>
        <v/>
      </c>
      <c r="D56" s="5">
        <f>IF(OR(A56="",B56="",Setup!$B$4=""),0,IF(C56=Setup!$B$4,1,0))</f>
        <v/>
      </c>
      <c r="E56" s="11">
        <f>IF(D56=1,SUMPRODUCT(($B$5:$B$304=B56)*($D$5:$D$304=1)),"")</f>
        <v/>
      </c>
      <c r="F56" s="5">
        <f>IF(D56=1,E56&gt;=Setup!$B$5,"")</f>
        <v/>
      </c>
    </row>
    <row r="57">
      <c r="A57" s="7" t="n"/>
      <c r="B57" s="7" t="n"/>
      <c r="C57" s="5">
        <f>IF(A57="","",IFERROR(INDEX(Clients!$B$5:$B$54,MATCH(A57,Clients!$A$5:$A$54,0)),"unknown"))</f>
        <v/>
      </c>
      <c r="D57" s="5">
        <f>IF(OR(A57="",B57="",Setup!$B$4=""),0,IF(C57=Setup!$B$4,1,0))</f>
        <v/>
      </c>
      <c r="E57" s="11">
        <f>IF(D57=1,SUMPRODUCT(($B$5:$B$304=B57)*($D$5:$D$304=1)),"")</f>
        <v/>
      </c>
      <c r="F57" s="5">
        <f>IF(D57=1,E57&gt;=Setup!$B$5,"")</f>
        <v/>
      </c>
    </row>
    <row r="58">
      <c r="A58" s="7" t="n"/>
      <c r="B58" s="7" t="n"/>
      <c r="C58" s="5">
        <f>IF(A58="","",IFERROR(INDEX(Clients!$B$5:$B$54,MATCH(A58,Clients!$A$5:$A$54,0)),"unknown"))</f>
        <v/>
      </c>
      <c r="D58" s="5">
        <f>IF(OR(A58="",B58="",Setup!$B$4=""),0,IF(C58=Setup!$B$4,1,0))</f>
        <v/>
      </c>
      <c r="E58" s="11">
        <f>IF(D58=1,SUMPRODUCT(($B$5:$B$304=B58)*($D$5:$D$304=1)),"")</f>
        <v/>
      </c>
      <c r="F58" s="5">
        <f>IF(D58=1,E58&gt;=Setup!$B$5,"")</f>
        <v/>
      </c>
    </row>
    <row r="59">
      <c r="A59" s="7" t="n"/>
      <c r="B59" s="7" t="n"/>
      <c r="C59" s="5">
        <f>IF(A59="","",IFERROR(INDEX(Clients!$B$5:$B$54,MATCH(A59,Clients!$A$5:$A$54,0)),"unknown"))</f>
        <v/>
      </c>
      <c r="D59" s="5">
        <f>IF(OR(A59="",B59="",Setup!$B$4=""),0,IF(C59=Setup!$B$4,1,0))</f>
        <v/>
      </c>
      <c r="E59" s="11">
        <f>IF(D59=1,SUMPRODUCT(($B$5:$B$304=B59)*($D$5:$D$304=1)),"")</f>
        <v/>
      </c>
      <c r="F59" s="5">
        <f>IF(D59=1,E59&gt;=Setup!$B$5,"")</f>
        <v/>
      </c>
    </row>
    <row r="60">
      <c r="A60" s="7" t="n"/>
      <c r="B60" s="7" t="n"/>
      <c r="C60" s="5">
        <f>IF(A60="","",IFERROR(INDEX(Clients!$B$5:$B$54,MATCH(A60,Clients!$A$5:$A$54,0)),"unknown"))</f>
        <v/>
      </c>
      <c r="D60" s="5">
        <f>IF(OR(A60="",B60="",Setup!$B$4=""),0,IF(C60=Setup!$B$4,1,0))</f>
        <v/>
      </c>
      <c r="E60" s="11">
        <f>IF(D60=1,SUMPRODUCT(($B$5:$B$304=B60)*($D$5:$D$304=1)),"")</f>
        <v/>
      </c>
      <c r="F60" s="5">
        <f>IF(D60=1,E60&gt;=Setup!$B$5,"")</f>
        <v/>
      </c>
    </row>
    <row r="61">
      <c r="A61" s="7" t="n"/>
      <c r="B61" s="7" t="n"/>
      <c r="C61" s="5">
        <f>IF(A61="","",IFERROR(INDEX(Clients!$B$5:$B$54,MATCH(A61,Clients!$A$5:$A$54,0)),"unknown"))</f>
        <v/>
      </c>
      <c r="D61" s="5">
        <f>IF(OR(A61="",B61="",Setup!$B$4=""),0,IF(C61=Setup!$B$4,1,0))</f>
        <v/>
      </c>
      <c r="E61" s="11">
        <f>IF(D61=1,SUMPRODUCT(($B$5:$B$304=B61)*($D$5:$D$304=1)),"")</f>
        <v/>
      </c>
      <c r="F61" s="5">
        <f>IF(D61=1,E61&gt;=Setup!$B$5,"")</f>
        <v/>
      </c>
    </row>
    <row r="62">
      <c r="A62" s="7" t="n"/>
      <c r="B62" s="7" t="n"/>
      <c r="C62" s="5">
        <f>IF(A62="","",IFERROR(INDEX(Clients!$B$5:$B$54,MATCH(A62,Clients!$A$5:$A$54,0)),"unknown"))</f>
        <v/>
      </c>
      <c r="D62" s="5">
        <f>IF(OR(A62="",B62="",Setup!$B$4=""),0,IF(C62=Setup!$B$4,1,0))</f>
        <v/>
      </c>
      <c r="E62" s="11">
        <f>IF(D62=1,SUMPRODUCT(($B$5:$B$304=B62)*($D$5:$D$304=1)),"")</f>
        <v/>
      </c>
      <c r="F62" s="5">
        <f>IF(D62=1,E62&gt;=Setup!$B$5,"")</f>
        <v/>
      </c>
    </row>
    <row r="63">
      <c r="A63" s="7" t="n"/>
      <c r="B63" s="7" t="n"/>
      <c r="C63" s="5">
        <f>IF(A63="","",IFERROR(INDEX(Clients!$B$5:$B$54,MATCH(A63,Clients!$A$5:$A$54,0)),"unknown"))</f>
        <v/>
      </c>
      <c r="D63" s="5">
        <f>IF(OR(A63="",B63="",Setup!$B$4=""),0,IF(C63=Setup!$B$4,1,0))</f>
        <v/>
      </c>
      <c r="E63" s="11">
        <f>IF(D63=1,SUMPRODUCT(($B$5:$B$304=B63)*($D$5:$D$304=1)),"")</f>
        <v/>
      </c>
      <c r="F63" s="5">
        <f>IF(D63=1,E63&gt;=Setup!$B$5,"")</f>
        <v/>
      </c>
    </row>
    <row r="64">
      <c r="A64" s="7" t="n"/>
      <c r="B64" s="7" t="n"/>
      <c r="C64" s="5">
        <f>IF(A64="","",IFERROR(INDEX(Clients!$B$5:$B$54,MATCH(A64,Clients!$A$5:$A$54,0)),"unknown"))</f>
        <v/>
      </c>
      <c r="D64" s="5">
        <f>IF(OR(A64="",B64="",Setup!$B$4=""),0,IF(C64=Setup!$B$4,1,0))</f>
        <v/>
      </c>
      <c r="E64" s="11">
        <f>IF(D64=1,SUMPRODUCT(($B$5:$B$304=B64)*($D$5:$D$304=1)),"")</f>
        <v/>
      </c>
      <c r="F64" s="5">
        <f>IF(D64=1,E64&gt;=Setup!$B$5,"")</f>
        <v/>
      </c>
    </row>
    <row r="65">
      <c r="A65" s="7" t="n"/>
      <c r="B65" s="7" t="n"/>
      <c r="C65" s="5">
        <f>IF(A65="","",IFERROR(INDEX(Clients!$B$5:$B$54,MATCH(A65,Clients!$A$5:$A$54,0)),"unknown"))</f>
        <v/>
      </c>
      <c r="D65" s="5">
        <f>IF(OR(A65="",B65="",Setup!$B$4=""),0,IF(C65=Setup!$B$4,1,0))</f>
        <v/>
      </c>
      <c r="E65" s="11">
        <f>IF(D65=1,SUMPRODUCT(($B$5:$B$304=B65)*($D$5:$D$304=1)),"")</f>
        <v/>
      </c>
      <c r="F65" s="5">
        <f>IF(D65=1,E65&gt;=Setup!$B$5,"")</f>
        <v/>
      </c>
    </row>
    <row r="66">
      <c r="A66" s="7" t="n"/>
      <c r="B66" s="7" t="n"/>
      <c r="C66" s="5">
        <f>IF(A66="","",IFERROR(INDEX(Clients!$B$5:$B$54,MATCH(A66,Clients!$A$5:$A$54,0)),"unknown"))</f>
        <v/>
      </c>
      <c r="D66" s="5">
        <f>IF(OR(A66="",B66="",Setup!$B$4=""),0,IF(C66=Setup!$B$4,1,0))</f>
        <v/>
      </c>
      <c r="E66" s="11">
        <f>IF(D66=1,SUMPRODUCT(($B$5:$B$304=B66)*($D$5:$D$304=1)),"")</f>
        <v/>
      </c>
      <c r="F66" s="5">
        <f>IF(D66=1,E66&gt;=Setup!$B$5,"")</f>
        <v/>
      </c>
    </row>
    <row r="67">
      <c r="A67" s="7" t="n"/>
      <c r="B67" s="7" t="n"/>
      <c r="C67" s="5">
        <f>IF(A67="","",IFERROR(INDEX(Clients!$B$5:$B$54,MATCH(A67,Clients!$A$5:$A$54,0)),"unknown"))</f>
        <v/>
      </c>
      <c r="D67" s="5">
        <f>IF(OR(A67="",B67="",Setup!$B$4=""),0,IF(C67=Setup!$B$4,1,0))</f>
        <v/>
      </c>
      <c r="E67" s="11">
        <f>IF(D67=1,SUMPRODUCT(($B$5:$B$304=B67)*($D$5:$D$304=1)),"")</f>
        <v/>
      </c>
      <c r="F67" s="5">
        <f>IF(D67=1,E67&gt;=Setup!$B$5,"")</f>
        <v/>
      </c>
    </row>
    <row r="68">
      <c r="A68" s="7" t="n"/>
      <c r="B68" s="7" t="n"/>
      <c r="C68" s="5">
        <f>IF(A68="","",IFERROR(INDEX(Clients!$B$5:$B$54,MATCH(A68,Clients!$A$5:$A$54,0)),"unknown"))</f>
        <v/>
      </c>
      <c r="D68" s="5">
        <f>IF(OR(A68="",B68="",Setup!$B$4=""),0,IF(C68=Setup!$B$4,1,0))</f>
        <v/>
      </c>
      <c r="E68" s="11">
        <f>IF(D68=1,SUMPRODUCT(($B$5:$B$304=B68)*($D$5:$D$304=1)),"")</f>
        <v/>
      </c>
      <c r="F68" s="5">
        <f>IF(D68=1,E68&gt;=Setup!$B$5,"")</f>
        <v/>
      </c>
    </row>
    <row r="69">
      <c r="A69" s="7" t="n"/>
      <c r="B69" s="7" t="n"/>
      <c r="C69" s="5">
        <f>IF(A69="","",IFERROR(INDEX(Clients!$B$5:$B$54,MATCH(A69,Clients!$A$5:$A$54,0)),"unknown"))</f>
        <v/>
      </c>
      <c r="D69" s="5">
        <f>IF(OR(A69="",B69="",Setup!$B$4=""),0,IF(C69=Setup!$B$4,1,0))</f>
        <v/>
      </c>
      <c r="E69" s="11">
        <f>IF(D69=1,SUMPRODUCT(($B$5:$B$304=B69)*($D$5:$D$304=1)),"")</f>
        <v/>
      </c>
      <c r="F69" s="5">
        <f>IF(D69=1,E69&gt;=Setup!$B$5,"")</f>
        <v/>
      </c>
    </row>
    <row r="70">
      <c r="A70" s="7" t="n"/>
      <c r="B70" s="7" t="n"/>
      <c r="C70" s="5">
        <f>IF(A70="","",IFERROR(INDEX(Clients!$B$5:$B$54,MATCH(A70,Clients!$A$5:$A$54,0)),"unknown"))</f>
        <v/>
      </c>
      <c r="D70" s="5">
        <f>IF(OR(A70="",B70="",Setup!$B$4=""),0,IF(C70=Setup!$B$4,1,0))</f>
        <v/>
      </c>
      <c r="E70" s="11">
        <f>IF(D70=1,SUMPRODUCT(($B$5:$B$304=B70)*($D$5:$D$304=1)),"")</f>
        <v/>
      </c>
      <c r="F70" s="5">
        <f>IF(D70=1,E70&gt;=Setup!$B$5,"")</f>
        <v/>
      </c>
    </row>
    <row r="71">
      <c r="A71" s="7" t="n"/>
      <c r="B71" s="7" t="n"/>
      <c r="C71" s="5">
        <f>IF(A71="","",IFERROR(INDEX(Clients!$B$5:$B$54,MATCH(A71,Clients!$A$5:$A$54,0)),"unknown"))</f>
        <v/>
      </c>
      <c r="D71" s="5">
        <f>IF(OR(A71="",B71="",Setup!$B$4=""),0,IF(C71=Setup!$B$4,1,0))</f>
        <v/>
      </c>
      <c r="E71" s="11">
        <f>IF(D71=1,SUMPRODUCT(($B$5:$B$304=B71)*($D$5:$D$304=1)),"")</f>
        <v/>
      </c>
      <c r="F71" s="5">
        <f>IF(D71=1,E71&gt;=Setup!$B$5,"")</f>
        <v/>
      </c>
    </row>
    <row r="72">
      <c r="A72" s="7" t="n"/>
      <c r="B72" s="7" t="n"/>
      <c r="C72" s="5">
        <f>IF(A72="","",IFERROR(INDEX(Clients!$B$5:$B$54,MATCH(A72,Clients!$A$5:$A$54,0)),"unknown"))</f>
        <v/>
      </c>
      <c r="D72" s="5">
        <f>IF(OR(A72="",B72="",Setup!$B$4=""),0,IF(C72=Setup!$B$4,1,0))</f>
        <v/>
      </c>
      <c r="E72" s="11">
        <f>IF(D72=1,SUMPRODUCT(($B$5:$B$304=B72)*($D$5:$D$304=1)),"")</f>
        <v/>
      </c>
      <c r="F72" s="5">
        <f>IF(D72=1,E72&gt;=Setup!$B$5,"")</f>
        <v/>
      </c>
    </row>
    <row r="73">
      <c r="A73" s="7" t="n"/>
      <c r="B73" s="7" t="n"/>
      <c r="C73" s="5">
        <f>IF(A73="","",IFERROR(INDEX(Clients!$B$5:$B$54,MATCH(A73,Clients!$A$5:$A$54,0)),"unknown"))</f>
        <v/>
      </c>
      <c r="D73" s="5">
        <f>IF(OR(A73="",B73="",Setup!$B$4=""),0,IF(C73=Setup!$B$4,1,0))</f>
        <v/>
      </c>
      <c r="E73" s="11">
        <f>IF(D73=1,SUMPRODUCT(($B$5:$B$304=B73)*($D$5:$D$304=1)),"")</f>
        <v/>
      </c>
      <c r="F73" s="5">
        <f>IF(D73=1,E73&gt;=Setup!$B$5,"")</f>
        <v/>
      </c>
    </row>
    <row r="74">
      <c r="A74" s="7" t="n"/>
      <c r="B74" s="7" t="n"/>
      <c r="C74" s="5">
        <f>IF(A74="","",IFERROR(INDEX(Clients!$B$5:$B$54,MATCH(A74,Clients!$A$5:$A$54,0)),"unknown"))</f>
        <v/>
      </c>
      <c r="D74" s="5">
        <f>IF(OR(A74="",B74="",Setup!$B$4=""),0,IF(C74=Setup!$B$4,1,0))</f>
        <v/>
      </c>
      <c r="E74" s="11">
        <f>IF(D74=1,SUMPRODUCT(($B$5:$B$304=B74)*($D$5:$D$304=1)),"")</f>
        <v/>
      </c>
      <c r="F74" s="5">
        <f>IF(D74=1,E74&gt;=Setup!$B$5,"")</f>
        <v/>
      </c>
    </row>
    <row r="75">
      <c r="A75" s="7" t="n"/>
      <c r="B75" s="7" t="n"/>
      <c r="C75" s="5">
        <f>IF(A75="","",IFERROR(INDEX(Clients!$B$5:$B$54,MATCH(A75,Clients!$A$5:$A$54,0)),"unknown"))</f>
        <v/>
      </c>
      <c r="D75" s="5">
        <f>IF(OR(A75="",B75="",Setup!$B$4=""),0,IF(C75=Setup!$B$4,1,0))</f>
        <v/>
      </c>
      <c r="E75" s="11">
        <f>IF(D75=1,SUMPRODUCT(($B$5:$B$304=B75)*($D$5:$D$304=1)),"")</f>
        <v/>
      </c>
      <c r="F75" s="5">
        <f>IF(D75=1,E75&gt;=Setup!$B$5,"")</f>
        <v/>
      </c>
    </row>
    <row r="76">
      <c r="A76" s="7" t="n"/>
      <c r="B76" s="7" t="n"/>
      <c r="C76" s="5">
        <f>IF(A76="","",IFERROR(INDEX(Clients!$B$5:$B$54,MATCH(A76,Clients!$A$5:$A$54,0)),"unknown"))</f>
        <v/>
      </c>
      <c r="D76" s="5">
        <f>IF(OR(A76="",B76="",Setup!$B$4=""),0,IF(C76=Setup!$B$4,1,0))</f>
        <v/>
      </c>
      <c r="E76" s="11">
        <f>IF(D76=1,SUMPRODUCT(($B$5:$B$304=B76)*($D$5:$D$304=1)),"")</f>
        <v/>
      </c>
      <c r="F76" s="5">
        <f>IF(D76=1,E76&gt;=Setup!$B$5,"")</f>
        <v/>
      </c>
    </row>
    <row r="77">
      <c r="A77" s="7" t="n"/>
      <c r="B77" s="7" t="n"/>
      <c r="C77" s="5">
        <f>IF(A77="","",IFERROR(INDEX(Clients!$B$5:$B$54,MATCH(A77,Clients!$A$5:$A$54,0)),"unknown"))</f>
        <v/>
      </c>
      <c r="D77" s="5">
        <f>IF(OR(A77="",B77="",Setup!$B$4=""),0,IF(C77=Setup!$B$4,1,0))</f>
        <v/>
      </c>
      <c r="E77" s="11">
        <f>IF(D77=1,SUMPRODUCT(($B$5:$B$304=B77)*($D$5:$D$304=1)),"")</f>
        <v/>
      </c>
      <c r="F77" s="5">
        <f>IF(D77=1,E77&gt;=Setup!$B$5,"")</f>
        <v/>
      </c>
    </row>
    <row r="78">
      <c r="A78" s="7" t="n"/>
      <c r="B78" s="7" t="n"/>
      <c r="C78" s="5">
        <f>IF(A78="","",IFERROR(INDEX(Clients!$B$5:$B$54,MATCH(A78,Clients!$A$5:$A$54,0)),"unknown"))</f>
        <v/>
      </c>
      <c r="D78" s="5">
        <f>IF(OR(A78="",B78="",Setup!$B$4=""),0,IF(C78=Setup!$B$4,1,0))</f>
        <v/>
      </c>
      <c r="E78" s="11">
        <f>IF(D78=1,SUMPRODUCT(($B$5:$B$304=B78)*($D$5:$D$304=1)),"")</f>
        <v/>
      </c>
      <c r="F78" s="5">
        <f>IF(D78=1,E78&gt;=Setup!$B$5,"")</f>
        <v/>
      </c>
    </row>
    <row r="79">
      <c r="A79" s="7" t="n"/>
      <c r="B79" s="7" t="n"/>
      <c r="C79" s="5">
        <f>IF(A79="","",IFERROR(INDEX(Clients!$B$5:$B$54,MATCH(A79,Clients!$A$5:$A$54,0)),"unknown"))</f>
        <v/>
      </c>
      <c r="D79" s="5">
        <f>IF(OR(A79="",B79="",Setup!$B$4=""),0,IF(C79=Setup!$B$4,1,0))</f>
        <v/>
      </c>
      <c r="E79" s="11">
        <f>IF(D79=1,SUMPRODUCT(($B$5:$B$304=B79)*($D$5:$D$304=1)),"")</f>
        <v/>
      </c>
      <c r="F79" s="5">
        <f>IF(D79=1,E79&gt;=Setup!$B$5,"")</f>
        <v/>
      </c>
    </row>
    <row r="80">
      <c r="A80" s="7" t="n"/>
      <c r="B80" s="7" t="n"/>
      <c r="C80" s="5">
        <f>IF(A80="","",IFERROR(INDEX(Clients!$B$5:$B$54,MATCH(A80,Clients!$A$5:$A$54,0)),"unknown"))</f>
        <v/>
      </c>
      <c r="D80" s="5">
        <f>IF(OR(A80="",B80="",Setup!$B$4=""),0,IF(C80=Setup!$B$4,1,0))</f>
        <v/>
      </c>
      <c r="E80" s="11">
        <f>IF(D80=1,SUMPRODUCT(($B$5:$B$304=B80)*($D$5:$D$304=1)),"")</f>
        <v/>
      </c>
      <c r="F80" s="5">
        <f>IF(D80=1,E80&gt;=Setup!$B$5,"")</f>
        <v/>
      </c>
    </row>
    <row r="81">
      <c r="A81" s="7" t="n"/>
      <c r="B81" s="7" t="n"/>
      <c r="C81" s="5">
        <f>IF(A81="","",IFERROR(INDEX(Clients!$B$5:$B$54,MATCH(A81,Clients!$A$5:$A$54,0)),"unknown"))</f>
        <v/>
      </c>
      <c r="D81" s="5">
        <f>IF(OR(A81="",B81="",Setup!$B$4=""),0,IF(C81=Setup!$B$4,1,0))</f>
        <v/>
      </c>
      <c r="E81" s="11">
        <f>IF(D81=1,SUMPRODUCT(($B$5:$B$304=B81)*($D$5:$D$304=1)),"")</f>
        <v/>
      </c>
      <c r="F81" s="5">
        <f>IF(D81=1,E81&gt;=Setup!$B$5,"")</f>
        <v/>
      </c>
    </row>
    <row r="82">
      <c r="A82" s="7" t="n"/>
      <c r="B82" s="7" t="n"/>
      <c r="C82" s="5">
        <f>IF(A82="","",IFERROR(INDEX(Clients!$B$5:$B$54,MATCH(A82,Clients!$A$5:$A$54,0)),"unknown"))</f>
        <v/>
      </c>
      <c r="D82" s="5">
        <f>IF(OR(A82="",B82="",Setup!$B$4=""),0,IF(C82=Setup!$B$4,1,0))</f>
        <v/>
      </c>
      <c r="E82" s="11">
        <f>IF(D82=1,SUMPRODUCT(($B$5:$B$304=B82)*($D$5:$D$304=1)),"")</f>
        <v/>
      </c>
      <c r="F82" s="5">
        <f>IF(D82=1,E82&gt;=Setup!$B$5,"")</f>
        <v/>
      </c>
    </row>
    <row r="83">
      <c r="A83" s="7" t="n"/>
      <c r="B83" s="7" t="n"/>
      <c r="C83" s="5">
        <f>IF(A83="","",IFERROR(INDEX(Clients!$B$5:$B$54,MATCH(A83,Clients!$A$5:$A$54,0)),"unknown"))</f>
        <v/>
      </c>
      <c r="D83" s="5">
        <f>IF(OR(A83="",B83="",Setup!$B$4=""),0,IF(C83=Setup!$B$4,1,0))</f>
        <v/>
      </c>
      <c r="E83" s="11">
        <f>IF(D83=1,SUMPRODUCT(($B$5:$B$304=B83)*($D$5:$D$304=1)),"")</f>
        <v/>
      </c>
      <c r="F83" s="5">
        <f>IF(D83=1,E83&gt;=Setup!$B$5,"")</f>
        <v/>
      </c>
    </row>
    <row r="84">
      <c r="A84" s="7" t="n"/>
      <c r="B84" s="7" t="n"/>
      <c r="C84" s="5">
        <f>IF(A84="","",IFERROR(INDEX(Clients!$B$5:$B$54,MATCH(A84,Clients!$A$5:$A$54,0)),"unknown"))</f>
        <v/>
      </c>
      <c r="D84" s="5">
        <f>IF(OR(A84="",B84="",Setup!$B$4=""),0,IF(C84=Setup!$B$4,1,0))</f>
        <v/>
      </c>
      <c r="E84" s="11">
        <f>IF(D84=1,SUMPRODUCT(($B$5:$B$304=B84)*($D$5:$D$304=1)),"")</f>
        <v/>
      </c>
      <c r="F84" s="5">
        <f>IF(D84=1,E84&gt;=Setup!$B$5,"")</f>
        <v/>
      </c>
    </row>
    <row r="85">
      <c r="A85" s="7" t="n"/>
      <c r="B85" s="7" t="n"/>
      <c r="C85" s="5">
        <f>IF(A85="","",IFERROR(INDEX(Clients!$B$5:$B$54,MATCH(A85,Clients!$A$5:$A$54,0)),"unknown"))</f>
        <v/>
      </c>
      <c r="D85" s="5">
        <f>IF(OR(A85="",B85="",Setup!$B$4=""),0,IF(C85=Setup!$B$4,1,0))</f>
        <v/>
      </c>
      <c r="E85" s="11">
        <f>IF(D85=1,SUMPRODUCT(($B$5:$B$304=B85)*($D$5:$D$304=1)),"")</f>
        <v/>
      </c>
      <c r="F85" s="5">
        <f>IF(D85=1,E85&gt;=Setup!$B$5,"")</f>
        <v/>
      </c>
    </row>
    <row r="86">
      <c r="A86" s="7" t="n"/>
      <c r="B86" s="7" t="n"/>
      <c r="C86" s="5">
        <f>IF(A86="","",IFERROR(INDEX(Clients!$B$5:$B$54,MATCH(A86,Clients!$A$5:$A$54,0)),"unknown"))</f>
        <v/>
      </c>
      <c r="D86" s="5">
        <f>IF(OR(A86="",B86="",Setup!$B$4=""),0,IF(C86=Setup!$B$4,1,0))</f>
        <v/>
      </c>
      <c r="E86" s="11">
        <f>IF(D86=1,SUMPRODUCT(($B$5:$B$304=B86)*($D$5:$D$304=1)),"")</f>
        <v/>
      </c>
      <c r="F86" s="5">
        <f>IF(D86=1,E86&gt;=Setup!$B$5,"")</f>
        <v/>
      </c>
    </row>
    <row r="87">
      <c r="A87" s="7" t="n"/>
      <c r="B87" s="7" t="n"/>
      <c r="C87" s="5">
        <f>IF(A87="","",IFERROR(INDEX(Clients!$B$5:$B$54,MATCH(A87,Clients!$A$5:$A$54,0)),"unknown"))</f>
        <v/>
      </c>
      <c r="D87" s="5">
        <f>IF(OR(A87="",B87="",Setup!$B$4=""),0,IF(C87=Setup!$B$4,1,0))</f>
        <v/>
      </c>
      <c r="E87" s="11">
        <f>IF(D87=1,SUMPRODUCT(($B$5:$B$304=B87)*($D$5:$D$304=1)),"")</f>
        <v/>
      </c>
      <c r="F87" s="5">
        <f>IF(D87=1,E87&gt;=Setup!$B$5,"")</f>
        <v/>
      </c>
    </row>
    <row r="88">
      <c r="A88" s="7" t="n"/>
      <c r="B88" s="7" t="n"/>
      <c r="C88" s="5">
        <f>IF(A88="","",IFERROR(INDEX(Clients!$B$5:$B$54,MATCH(A88,Clients!$A$5:$A$54,0)),"unknown"))</f>
        <v/>
      </c>
      <c r="D88" s="5">
        <f>IF(OR(A88="",B88="",Setup!$B$4=""),0,IF(C88=Setup!$B$4,1,0))</f>
        <v/>
      </c>
      <c r="E88" s="11">
        <f>IF(D88=1,SUMPRODUCT(($B$5:$B$304=B88)*($D$5:$D$304=1)),"")</f>
        <v/>
      </c>
      <c r="F88" s="5">
        <f>IF(D88=1,E88&gt;=Setup!$B$5,"")</f>
        <v/>
      </c>
    </row>
    <row r="89">
      <c r="A89" s="7" t="n"/>
      <c r="B89" s="7" t="n"/>
      <c r="C89" s="5">
        <f>IF(A89="","",IFERROR(INDEX(Clients!$B$5:$B$54,MATCH(A89,Clients!$A$5:$A$54,0)),"unknown"))</f>
        <v/>
      </c>
      <c r="D89" s="5">
        <f>IF(OR(A89="",B89="",Setup!$B$4=""),0,IF(C89=Setup!$B$4,1,0))</f>
        <v/>
      </c>
      <c r="E89" s="11">
        <f>IF(D89=1,SUMPRODUCT(($B$5:$B$304=B89)*($D$5:$D$304=1)),"")</f>
        <v/>
      </c>
      <c r="F89" s="5">
        <f>IF(D89=1,E89&gt;=Setup!$B$5,"")</f>
        <v/>
      </c>
    </row>
    <row r="90">
      <c r="A90" s="7" t="n"/>
      <c r="B90" s="7" t="n"/>
      <c r="C90" s="5">
        <f>IF(A90="","",IFERROR(INDEX(Clients!$B$5:$B$54,MATCH(A90,Clients!$A$5:$A$54,0)),"unknown"))</f>
        <v/>
      </c>
      <c r="D90" s="5">
        <f>IF(OR(A90="",B90="",Setup!$B$4=""),0,IF(C90=Setup!$B$4,1,0))</f>
        <v/>
      </c>
      <c r="E90" s="11">
        <f>IF(D90=1,SUMPRODUCT(($B$5:$B$304=B90)*($D$5:$D$304=1)),"")</f>
        <v/>
      </c>
      <c r="F90" s="5">
        <f>IF(D90=1,E90&gt;=Setup!$B$5,"")</f>
        <v/>
      </c>
    </row>
    <row r="91">
      <c r="A91" s="7" t="n"/>
      <c r="B91" s="7" t="n"/>
      <c r="C91" s="5">
        <f>IF(A91="","",IFERROR(INDEX(Clients!$B$5:$B$54,MATCH(A91,Clients!$A$5:$A$54,0)),"unknown"))</f>
        <v/>
      </c>
      <c r="D91" s="5">
        <f>IF(OR(A91="",B91="",Setup!$B$4=""),0,IF(C91=Setup!$B$4,1,0))</f>
        <v/>
      </c>
      <c r="E91" s="11">
        <f>IF(D91=1,SUMPRODUCT(($B$5:$B$304=B91)*($D$5:$D$304=1)),"")</f>
        <v/>
      </c>
      <c r="F91" s="5">
        <f>IF(D91=1,E91&gt;=Setup!$B$5,"")</f>
        <v/>
      </c>
    </row>
    <row r="92">
      <c r="A92" s="7" t="n"/>
      <c r="B92" s="7" t="n"/>
      <c r="C92" s="5">
        <f>IF(A92="","",IFERROR(INDEX(Clients!$B$5:$B$54,MATCH(A92,Clients!$A$5:$A$54,0)),"unknown"))</f>
        <v/>
      </c>
      <c r="D92" s="5">
        <f>IF(OR(A92="",B92="",Setup!$B$4=""),0,IF(C92=Setup!$B$4,1,0))</f>
        <v/>
      </c>
      <c r="E92" s="11">
        <f>IF(D92=1,SUMPRODUCT(($B$5:$B$304=B92)*($D$5:$D$304=1)),"")</f>
        <v/>
      </c>
      <c r="F92" s="5">
        <f>IF(D92=1,E92&gt;=Setup!$B$5,"")</f>
        <v/>
      </c>
    </row>
    <row r="93">
      <c r="A93" s="7" t="n"/>
      <c r="B93" s="7" t="n"/>
      <c r="C93" s="5">
        <f>IF(A93="","",IFERROR(INDEX(Clients!$B$5:$B$54,MATCH(A93,Clients!$A$5:$A$54,0)),"unknown"))</f>
        <v/>
      </c>
      <c r="D93" s="5">
        <f>IF(OR(A93="",B93="",Setup!$B$4=""),0,IF(C93=Setup!$B$4,1,0))</f>
        <v/>
      </c>
      <c r="E93" s="11">
        <f>IF(D93=1,SUMPRODUCT(($B$5:$B$304=B93)*($D$5:$D$304=1)),"")</f>
        <v/>
      </c>
      <c r="F93" s="5">
        <f>IF(D93=1,E93&gt;=Setup!$B$5,"")</f>
        <v/>
      </c>
    </row>
    <row r="94">
      <c r="A94" s="7" t="n"/>
      <c r="B94" s="7" t="n"/>
      <c r="C94" s="5">
        <f>IF(A94="","",IFERROR(INDEX(Clients!$B$5:$B$54,MATCH(A94,Clients!$A$5:$A$54,0)),"unknown"))</f>
        <v/>
      </c>
      <c r="D94" s="5">
        <f>IF(OR(A94="",B94="",Setup!$B$4=""),0,IF(C94=Setup!$B$4,1,0))</f>
        <v/>
      </c>
      <c r="E94" s="11">
        <f>IF(D94=1,SUMPRODUCT(($B$5:$B$304=B94)*($D$5:$D$304=1)),"")</f>
        <v/>
      </c>
      <c r="F94" s="5">
        <f>IF(D94=1,E94&gt;=Setup!$B$5,"")</f>
        <v/>
      </c>
    </row>
    <row r="95">
      <c r="A95" s="7" t="n"/>
      <c r="B95" s="7" t="n"/>
      <c r="C95" s="5">
        <f>IF(A95="","",IFERROR(INDEX(Clients!$B$5:$B$54,MATCH(A95,Clients!$A$5:$A$54,0)),"unknown"))</f>
        <v/>
      </c>
      <c r="D95" s="5">
        <f>IF(OR(A95="",B95="",Setup!$B$4=""),0,IF(C95=Setup!$B$4,1,0))</f>
        <v/>
      </c>
      <c r="E95" s="11">
        <f>IF(D95=1,SUMPRODUCT(($B$5:$B$304=B95)*($D$5:$D$304=1)),"")</f>
        <v/>
      </c>
      <c r="F95" s="5">
        <f>IF(D95=1,E95&gt;=Setup!$B$5,"")</f>
        <v/>
      </c>
    </row>
    <row r="96">
      <c r="A96" s="7" t="n"/>
      <c r="B96" s="7" t="n"/>
      <c r="C96" s="5">
        <f>IF(A96="","",IFERROR(INDEX(Clients!$B$5:$B$54,MATCH(A96,Clients!$A$5:$A$54,0)),"unknown"))</f>
        <v/>
      </c>
      <c r="D96" s="5">
        <f>IF(OR(A96="",B96="",Setup!$B$4=""),0,IF(C96=Setup!$B$4,1,0))</f>
        <v/>
      </c>
      <c r="E96" s="11">
        <f>IF(D96=1,SUMPRODUCT(($B$5:$B$304=B96)*($D$5:$D$304=1)),"")</f>
        <v/>
      </c>
      <c r="F96" s="5">
        <f>IF(D96=1,E96&gt;=Setup!$B$5,"")</f>
        <v/>
      </c>
    </row>
    <row r="97">
      <c r="A97" s="7" t="n"/>
      <c r="B97" s="7" t="n"/>
      <c r="C97" s="5">
        <f>IF(A97="","",IFERROR(INDEX(Clients!$B$5:$B$54,MATCH(A97,Clients!$A$5:$A$54,0)),"unknown"))</f>
        <v/>
      </c>
      <c r="D97" s="5">
        <f>IF(OR(A97="",B97="",Setup!$B$4=""),0,IF(C97=Setup!$B$4,1,0))</f>
        <v/>
      </c>
      <c r="E97" s="11">
        <f>IF(D97=1,SUMPRODUCT(($B$5:$B$304=B97)*($D$5:$D$304=1)),"")</f>
        <v/>
      </c>
      <c r="F97" s="5">
        <f>IF(D97=1,E97&gt;=Setup!$B$5,"")</f>
        <v/>
      </c>
    </row>
    <row r="98">
      <c r="A98" s="7" t="n"/>
      <c r="B98" s="7" t="n"/>
      <c r="C98" s="5">
        <f>IF(A98="","",IFERROR(INDEX(Clients!$B$5:$B$54,MATCH(A98,Clients!$A$5:$A$54,0)),"unknown"))</f>
        <v/>
      </c>
      <c r="D98" s="5">
        <f>IF(OR(A98="",B98="",Setup!$B$4=""),0,IF(C98=Setup!$B$4,1,0))</f>
        <v/>
      </c>
      <c r="E98" s="11">
        <f>IF(D98=1,SUMPRODUCT(($B$5:$B$304=B98)*($D$5:$D$304=1)),"")</f>
        <v/>
      </c>
      <c r="F98" s="5">
        <f>IF(D98=1,E98&gt;=Setup!$B$5,"")</f>
        <v/>
      </c>
    </row>
    <row r="99">
      <c r="A99" s="7" t="n"/>
      <c r="B99" s="7" t="n"/>
      <c r="C99" s="5">
        <f>IF(A99="","",IFERROR(INDEX(Clients!$B$5:$B$54,MATCH(A99,Clients!$A$5:$A$54,0)),"unknown"))</f>
        <v/>
      </c>
      <c r="D99" s="5">
        <f>IF(OR(A99="",B99="",Setup!$B$4=""),0,IF(C99=Setup!$B$4,1,0))</f>
        <v/>
      </c>
      <c r="E99" s="11">
        <f>IF(D99=1,SUMPRODUCT(($B$5:$B$304=B99)*($D$5:$D$304=1)),"")</f>
        <v/>
      </c>
      <c r="F99" s="5">
        <f>IF(D99=1,E99&gt;=Setup!$B$5,"")</f>
        <v/>
      </c>
    </row>
    <row r="100">
      <c r="A100" s="7" t="n"/>
      <c r="B100" s="7" t="n"/>
      <c r="C100" s="5">
        <f>IF(A100="","",IFERROR(INDEX(Clients!$B$5:$B$54,MATCH(A100,Clients!$A$5:$A$54,0)),"unknown"))</f>
        <v/>
      </c>
      <c r="D100" s="5">
        <f>IF(OR(A100="",B100="",Setup!$B$4=""),0,IF(C100=Setup!$B$4,1,0))</f>
        <v/>
      </c>
      <c r="E100" s="11">
        <f>IF(D100=1,SUMPRODUCT(($B$5:$B$304=B100)*($D$5:$D$304=1)),"")</f>
        <v/>
      </c>
      <c r="F100" s="5">
        <f>IF(D100=1,E100&gt;=Setup!$B$5,"")</f>
        <v/>
      </c>
    </row>
    <row r="101">
      <c r="A101" s="7" t="n"/>
      <c r="B101" s="7" t="n"/>
      <c r="C101" s="5">
        <f>IF(A101="","",IFERROR(INDEX(Clients!$B$5:$B$54,MATCH(A101,Clients!$A$5:$A$54,0)),"unknown"))</f>
        <v/>
      </c>
      <c r="D101" s="5">
        <f>IF(OR(A101="",B101="",Setup!$B$4=""),0,IF(C101=Setup!$B$4,1,0))</f>
        <v/>
      </c>
      <c r="E101" s="11">
        <f>IF(D101=1,SUMPRODUCT(($B$5:$B$304=B101)*($D$5:$D$304=1)),"")</f>
        <v/>
      </c>
      <c r="F101" s="5">
        <f>IF(D101=1,E101&gt;=Setup!$B$5,"")</f>
        <v/>
      </c>
    </row>
    <row r="102">
      <c r="A102" s="7" t="n"/>
      <c r="B102" s="7" t="n"/>
      <c r="C102" s="5">
        <f>IF(A102="","",IFERROR(INDEX(Clients!$B$5:$B$54,MATCH(A102,Clients!$A$5:$A$54,0)),"unknown"))</f>
        <v/>
      </c>
      <c r="D102" s="5">
        <f>IF(OR(A102="",B102="",Setup!$B$4=""),0,IF(C102=Setup!$B$4,1,0))</f>
        <v/>
      </c>
      <c r="E102" s="11">
        <f>IF(D102=1,SUMPRODUCT(($B$5:$B$304=B102)*($D$5:$D$304=1)),"")</f>
        <v/>
      </c>
      <c r="F102" s="5">
        <f>IF(D102=1,E102&gt;=Setup!$B$5,"")</f>
        <v/>
      </c>
    </row>
    <row r="103">
      <c r="A103" s="7" t="n"/>
      <c r="B103" s="7" t="n"/>
      <c r="C103" s="5">
        <f>IF(A103="","",IFERROR(INDEX(Clients!$B$5:$B$54,MATCH(A103,Clients!$A$5:$A$54,0)),"unknown"))</f>
        <v/>
      </c>
      <c r="D103" s="5">
        <f>IF(OR(A103="",B103="",Setup!$B$4=""),0,IF(C103=Setup!$B$4,1,0))</f>
        <v/>
      </c>
      <c r="E103" s="11">
        <f>IF(D103=1,SUMPRODUCT(($B$5:$B$304=B103)*($D$5:$D$304=1)),"")</f>
        <v/>
      </c>
      <c r="F103" s="5">
        <f>IF(D103=1,E103&gt;=Setup!$B$5,"")</f>
        <v/>
      </c>
    </row>
    <row r="104">
      <c r="A104" s="7" t="n"/>
      <c r="B104" s="7" t="n"/>
      <c r="C104" s="5">
        <f>IF(A104="","",IFERROR(INDEX(Clients!$B$5:$B$54,MATCH(A104,Clients!$A$5:$A$54,0)),"unknown"))</f>
        <v/>
      </c>
      <c r="D104" s="5">
        <f>IF(OR(A104="",B104="",Setup!$B$4=""),0,IF(C104=Setup!$B$4,1,0))</f>
        <v/>
      </c>
      <c r="E104" s="11">
        <f>IF(D104=1,SUMPRODUCT(($B$5:$B$304=B104)*($D$5:$D$304=1)),"")</f>
        <v/>
      </c>
      <c r="F104" s="5">
        <f>IF(D104=1,E104&gt;=Setup!$B$5,"")</f>
        <v/>
      </c>
    </row>
    <row r="105">
      <c r="A105" s="7" t="n"/>
      <c r="B105" s="7" t="n"/>
      <c r="C105" s="5">
        <f>IF(A105="","",IFERROR(INDEX(Clients!$B$5:$B$54,MATCH(A105,Clients!$A$5:$A$54,0)),"unknown"))</f>
        <v/>
      </c>
      <c r="D105" s="5">
        <f>IF(OR(A105="",B105="",Setup!$B$4=""),0,IF(C105=Setup!$B$4,1,0))</f>
        <v/>
      </c>
      <c r="E105" s="11">
        <f>IF(D105=1,SUMPRODUCT(($B$5:$B$304=B105)*($D$5:$D$304=1)),"")</f>
        <v/>
      </c>
      <c r="F105" s="5">
        <f>IF(D105=1,E105&gt;=Setup!$B$5,"")</f>
        <v/>
      </c>
    </row>
    <row r="106">
      <c r="A106" s="7" t="n"/>
      <c r="B106" s="7" t="n"/>
      <c r="C106" s="5">
        <f>IF(A106="","",IFERROR(INDEX(Clients!$B$5:$B$54,MATCH(A106,Clients!$A$5:$A$54,0)),"unknown"))</f>
        <v/>
      </c>
      <c r="D106" s="5">
        <f>IF(OR(A106="",B106="",Setup!$B$4=""),0,IF(C106=Setup!$B$4,1,0))</f>
        <v/>
      </c>
      <c r="E106" s="11">
        <f>IF(D106=1,SUMPRODUCT(($B$5:$B$304=B106)*($D$5:$D$304=1)),"")</f>
        <v/>
      </c>
      <c r="F106" s="5">
        <f>IF(D106=1,E106&gt;=Setup!$B$5,"")</f>
        <v/>
      </c>
    </row>
    <row r="107">
      <c r="A107" s="7" t="n"/>
      <c r="B107" s="7" t="n"/>
      <c r="C107" s="5">
        <f>IF(A107="","",IFERROR(INDEX(Clients!$B$5:$B$54,MATCH(A107,Clients!$A$5:$A$54,0)),"unknown"))</f>
        <v/>
      </c>
      <c r="D107" s="5">
        <f>IF(OR(A107="",B107="",Setup!$B$4=""),0,IF(C107=Setup!$B$4,1,0))</f>
        <v/>
      </c>
      <c r="E107" s="11">
        <f>IF(D107=1,SUMPRODUCT(($B$5:$B$304=B107)*($D$5:$D$304=1)),"")</f>
        <v/>
      </c>
      <c r="F107" s="5">
        <f>IF(D107=1,E107&gt;=Setup!$B$5,"")</f>
        <v/>
      </c>
    </row>
    <row r="108">
      <c r="A108" s="7" t="n"/>
      <c r="B108" s="7" t="n"/>
      <c r="C108" s="5">
        <f>IF(A108="","",IFERROR(INDEX(Clients!$B$5:$B$54,MATCH(A108,Clients!$A$5:$A$54,0)),"unknown"))</f>
        <v/>
      </c>
      <c r="D108" s="5">
        <f>IF(OR(A108="",B108="",Setup!$B$4=""),0,IF(C108=Setup!$B$4,1,0))</f>
        <v/>
      </c>
      <c r="E108" s="11">
        <f>IF(D108=1,SUMPRODUCT(($B$5:$B$304=B108)*($D$5:$D$304=1)),"")</f>
        <v/>
      </c>
      <c r="F108" s="5">
        <f>IF(D108=1,E108&gt;=Setup!$B$5,"")</f>
        <v/>
      </c>
    </row>
    <row r="109">
      <c r="A109" s="7" t="n"/>
      <c r="B109" s="7" t="n"/>
      <c r="C109" s="5">
        <f>IF(A109="","",IFERROR(INDEX(Clients!$B$5:$B$54,MATCH(A109,Clients!$A$5:$A$54,0)),"unknown"))</f>
        <v/>
      </c>
      <c r="D109" s="5">
        <f>IF(OR(A109="",B109="",Setup!$B$4=""),0,IF(C109=Setup!$B$4,1,0))</f>
        <v/>
      </c>
      <c r="E109" s="11">
        <f>IF(D109=1,SUMPRODUCT(($B$5:$B$304=B109)*($D$5:$D$304=1)),"")</f>
        <v/>
      </c>
      <c r="F109" s="5">
        <f>IF(D109=1,E109&gt;=Setup!$B$5,"")</f>
        <v/>
      </c>
    </row>
    <row r="110">
      <c r="A110" s="7" t="n"/>
      <c r="B110" s="7" t="n"/>
      <c r="C110" s="5">
        <f>IF(A110="","",IFERROR(INDEX(Clients!$B$5:$B$54,MATCH(A110,Clients!$A$5:$A$54,0)),"unknown"))</f>
        <v/>
      </c>
      <c r="D110" s="5">
        <f>IF(OR(A110="",B110="",Setup!$B$4=""),0,IF(C110=Setup!$B$4,1,0))</f>
        <v/>
      </c>
      <c r="E110" s="11">
        <f>IF(D110=1,SUMPRODUCT(($B$5:$B$304=B110)*($D$5:$D$304=1)),"")</f>
        <v/>
      </c>
      <c r="F110" s="5">
        <f>IF(D110=1,E110&gt;=Setup!$B$5,"")</f>
        <v/>
      </c>
    </row>
    <row r="111">
      <c r="A111" s="7" t="n"/>
      <c r="B111" s="7" t="n"/>
      <c r="C111" s="5">
        <f>IF(A111="","",IFERROR(INDEX(Clients!$B$5:$B$54,MATCH(A111,Clients!$A$5:$A$54,0)),"unknown"))</f>
        <v/>
      </c>
      <c r="D111" s="5">
        <f>IF(OR(A111="",B111="",Setup!$B$4=""),0,IF(C111=Setup!$B$4,1,0))</f>
        <v/>
      </c>
      <c r="E111" s="11">
        <f>IF(D111=1,SUMPRODUCT(($B$5:$B$304=B111)*($D$5:$D$304=1)),"")</f>
        <v/>
      </c>
      <c r="F111" s="5">
        <f>IF(D111=1,E111&gt;=Setup!$B$5,"")</f>
        <v/>
      </c>
    </row>
    <row r="112">
      <c r="A112" s="7" t="n"/>
      <c r="B112" s="7" t="n"/>
      <c r="C112" s="5">
        <f>IF(A112="","",IFERROR(INDEX(Clients!$B$5:$B$54,MATCH(A112,Clients!$A$5:$A$54,0)),"unknown"))</f>
        <v/>
      </c>
      <c r="D112" s="5">
        <f>IF(OR(A112="",B112="",Setup!$B$4=""),0,IF(C112=Setup!$B$4,1,0))</f>
        <v/>
      </c>
      <c r="E112" s="11">
        <f>IF(D112=1,SUMPRODUCT(($B$5:$B$304=B112)*($D$5:$D$304=1)),"")</f>
        <v/>
      </c>
      <c r="F112" s="5">
        <f>IF(D112=1,E112&gt;=Setup!$B$5,"")</f>
        <v/>
      </c>
    </row>
    <row r="113">
      <c r="A113" s="7" t="n"/>
      <c r="B113" s="7" t="n"/>
      <c r="C113" s="5">
        <f>IF(A113="","",IFERROR(INDEX(Clients!$B$5:$B$54,MATCH(A113,Clients!$A$5:$A$54,0)),"unknown"))</f>
        <v/>
      </c>
      <c r="D113" s="5">
        <f>IF(OR(A113="",B113="",Setup!$B$4=""),0,IF(C113=Setup!$B$4,1,0))</f>
        <v/>
      </c>
      <c r="E113" s="11">
        <f>IF(D113=1,SUMPRODUCT(($B$5:$B$304=B113)*($D$5:$D$304=1)),"")</f>
        <v/>
      </c>
      <c r="F113" s="5">
        <f>IF(D113=1,E113&gt;=Setup!$B$5,"")</f>
        <v/>
      </c>
    </row>
    <row r="114">
      <c r="A114" s="7" t="n"/>
      <c r="B114" s="7" t="n"/>
      <c r="C114" s="5">
        <f>IF(A114="","",IFERROR(INDEX(Clients!$B$5:$B$54,MATCH(A114,Clients!$A$5:$A$54,0)),"unknown"))</f>
        <v/>
      </c>
      <c r="D114" s="5">
        <f>IF(OR(A114="",B114="",Setup!$B$4=""),0,IF(C114=Setup!$B$4,1,0))</f>
        <v/>
      </c>
      <c r="E114" s="11">
        <f>IF(D114=1,SUMPRODUCT(($B$5:$B$304=B114)*($D$5:$D$304=1)),"")</f>
        <v/>
      </c>
      <c r="F114" s="5">
        <f>IF(D114=1,E114&gt;=Setup!$B$5,"")</f>
        <v/>
      </c>
    </row>
    <row r="115">
      <c r="A115" s="7" t="n"/>
      <c r="B115" s="7" t="n"/>
      <c r="C115" s="5">
        <f>IF(A115="","",IFERROR(INDEX(Clients!$B$5:$B$54,MATCH(A115,Clients!$A$5:$A$54,0)),"unknown"))</f>
        <v/>
      </c>
      <c r="D115" s="5">
        <f>IF(OR(A115="",B115="",Setup!$B$4=""),0,IF(C115=Setup!$B$4,1,0))</f>
        <v/>
      </c>
      <c r="E115" s="11">
        <f>IF(D115=1,SUMPRODUCT(($B$5:$B$304=B115)*($D$5:$D$304=1)),"")</f>
        <v/>
      </c>
      <c r="F115" s="5">
        <f>IF(D115=1,E115&gt;=Setup!$B$5,"")</f>
        <v/>
      </c>
    </row>
    <row r="116">
      <c r="A116" s="7" t="n"/>
      <c r="B116" s="7" t="n"/>
      <c r="C116" s="5">
        <f>IF(A116="","",IFERROR(INDEX(Clients!$B$5:$B$54,MATCH(A116,Clients!$A$5:$A$54,0)),"unknown"))</f>
        <v/>
      </c>
      <c r="D116" s="5">
        <f>IF(OR(A116="",B116="",Setup!$B$4=""),0,IF(C116=Setup!$B$4,1,0))</f>
        <v/>
      </c>
      <c r="E116" s="11">
        <f>IF(D116=1,SUMPRODUCT(($B$5:$B$304=B116)*($D$5:$D$304=1)),"")</f>
        <v/>
      </c>
      <c r="F116" s="5">
        <f>IF(D116=1,E116&gt;=Setup!$B$5,"")</f>
        <v/>
      </c>
    </row>
    <row r="117">
      <c r="A117" s="7" t="n"/>
      <c r="B117" s="7" t="n"/>
      <c r="C117" s="5">
        <f>IF(A117="","",IFERROR(INDEX(Clients!$B$5:$B$54,MATCH(A117,Clients!$A$5:$A$54,0)),"unknown"))</f>
        <v/>
      </c>
      <c r="D117" s="5">
        <f>IF(OR(A117="",B117="",Setup!$B$4=""),0,IF(C117=Setup!$B$4,1,0))</f>
        <v/>
      </c>
      <c r="E117" s="11">
        <f>IF(D117=1,SUMPRODUCT(($B$5:$B$304=B117)*($D$5:$D$304=1)),"")</f>
        <v/>
      </c>
      <c r="F117" s="5">
        <f>IF(D117=1,E117&gt;=Setup!$B$5,"")</f>
        <v/>
      </c>
    </row>
    <row r="118">
      <c r="A118" s="7" t="n"/>
      <c r="B118" s="7" t="n"/>
      <c r="C118" s="5">
        <f>IF(A118="","",IFERROR(INDEX(Clients!$B$5:$B$54,MATCH(A118,Clients!$A$5:$A$54,0)),"unknown"))</f>
        <v/>
      </c>
      <c r="D118" s="5">
        <f>IF(OR(A118="",B118="",Setup!$B$4=""),0,IF(C118=Setup!$B$4,1,0))</f>
        <v/>
      </c>
      <c r="E118" s="11">
        <f>IF(D118=1,SUMPRODUCT(($B$5:$B$304=B118)*($D$5:$D$304=1)),"")</f>
        <v/>
      </c>
      <c r="F118" s="5">
        <f>IF(D118=1,E118&gt;=Setup!$B$5,"")</f>
        <v/>
      </c>
    </row>
    <row r="119">
      <c r="A119" s="7" t="n"/>
      <c r="B119" s="7" t="n"/>
      <c r="C119" s="5">
        <f>IF(A119="","",IFERROR(INDEX(Clients!$B$5:$B$54,MATCH(A119,Clients!$A$5:$A$54,0)),"unknown"))</f>
        <v/>
      </c>
      <c r="D119" s="5">
        <f>IF(OR(A119="",B119="",Setup!$B$4=""),0,IF(C119=Setup!$B$4,1,0))</f>
        <v/>
      </c>
      <c r="E119" s="11">
        <f>IF(D119=1,SUMPRODUCT(($B$5:$B$304=B119)*($D$5:$D$304=1)),"")</f>
        <v/>
      </c>
      <c r="F119" s="5">
        <f>IF(D119=1,E119&gt;=Setup!$B$5,"")</f>
        <v/>
      </c>
    </row>
    <row r="120">
      <c r="A120" s="7" t="n"/>
      <c r="B120" s="7" t="n"/>
      <c r="C120" s="5">
        <f>IF(A120="","",IFERROR(INDEX(Clients!$B$5:$B$54,MATCH(A120,Clients!$A$5:$A$54,0)),"unknown"))</f>
        <v/>
      </c>
      <c r="D120" s="5">
        <f>IF(OR(A120="",B120="",Setup!$B$4=""),0,IF(C120=Setup!$B$4,1,0))</f>
        <v/>
      </c>
      <c r="E120" s="11">
        <f>IF(D120=1,SUMPRODUCT(($B$5:$B$304=B120)*($D$5:$D$304=1)),"")</f>
        <v/>
      </c>
      <c r="F120" s="5">
        <f>IF(D120=1,E120&gt;=Setup!$B$5,"")</f>
        <v/>
      </c>
    </row>
    <row r="121">
      <c r="A121" s="7" t="n"/>
      <c r="B121" s="7" t="n"/>
      <c r="C121" s="5">
        <f>IF(A121="","",IFERROR(INDEX(Clients!$B$5:$B$54,MATCH(A121,Clients!$A$5:$A$54,0)),"unknown"))</f>
        <v/>
      </c>
      <c r="D121" s="5">
        <f>IF(OR(A121="",B121="",Setup!$B$4=""),0,IF(C121=Setup!$B$4,1,0))</f>
        <v/>
      </c>
      <c r="E121" s="11">
        <f>IF(D121=1,SUMPRODUCT(($B$5:$B$304=B121)*($D$5:$D$304=1)),"")</f>
        <v/>
      </c>
      <c r="F121" s="5">
        <f>IF(D121=1,E121&gt;=Setup!$B$5,"")</f>
        <v/>
      </c>
    </row>
    <row r="122">
      <c r="A122" s="7" t="n"/>
      <c r="B122" s="7" t="n"/>
      <c r="C122" s="5">
        <f>IF(A122="","",IFERROR(INDEX(Clients!$B$5:$B$54,MATCH(A122,Clients!$A$5:$A$54,0)),"unknown"))</f>
        <v/>
      </c>
      <c r="D122" s="5">
        <f>IF(OR(A122="",B122="",Setup!$B$4=""),0,IF(C122=Setup!$B$4,1,0))</f>
        <v/>
      </c>
      <c r="E122" s="11">
        <f>IF(D122=1,SUMPRODUCT(($B$5:$B$304=B122)*($D$5:$D$304=1)),"")</f>
        <v/>
      </c>
      <c r="F122" s="5">
        <f>IF(D122=1,E122&gt;=Setup!$B$5,"")</f>
        <v/>
      </c>
    </row>
    <row r="123">
      <c r="A123" s="7" t="n"/>
      <c r="B123" s="7" t="n"/>
      <c r="C123" s="5">
        <f>IF(A123="","",IFERROR(INDEX(Clients!$B$5:$B$54,MATCH(A123,Clients!$A$5:$A$54,0)),"unknown"))</f>
        <v/>
      </c>
      <c r="D123" s="5">
        <f>IF(OR(A123="",B123="",Setup!$B$4=""),0,IF(C123=Setup!$B$4,1,0))</f>
        <v/>
      </c>
      <c r="E123" s="11">
        <f>IF(D123=1,SUMPRODUCT(($B$5:$B$304=B123)*($D$5:$D$304=1)),"")</f>
        <v/>
      </c>
      <c r="F123" s="5">
        <f>IF(D123=1,E123&gt;=Setup!$B$5,"")</f>
        <v/>
      </c>
    </row>
    <row r="124">
      <c r="A124" s="7" t="n"/>
      <c r="B124" s="7" t="n"/>
      <c r="C124" s="5">
        <f>IF(A124="","",IFERROR(INDEX(Clients!$B$5:$B$54,MATCH(A124,Clients!$A$5:$A$54,0)),"unknown"))</f>
        <v/>
      </c>
      <c r="D124" s="5">
        <f>IF(OR(A124="",B124="",Setup!$B$4=""),0,IF(C124=Setup!$B$4,1,0))</f>
        <v/>
      </c>
      <c r="E124" s="11">
        <f>IF(D124=1,SUMPRODUCT(($B$5:$B$304=B124)*($D$5:$D$304=1)),"")</f>
        <v/>
      </c>
      <c r="F124" s="5">
        <f>IF(D124=1,E124&gt;=Setup!$B$5,"")</f>
        <v/>
      </c>
    </row>
    <row r="125">
      <c r="A125" s="7" t="n"/>
      <c r="B125" s="7" t="n"/>
      <c r="C125" s="5">
        <f>IF(A125="","",IFERROR(INDEX(Clients!$B$5:$B$54,MATCH(A125,Clients!$A$5:$A$54,0)),"unknown"))</f>
        <v/>
      </c>
      <c r="D125" s="5">
        <f>IF(OR(A125="",B125="",Setup!$B$4=""),0,IF(C125=Setup!$B$4,1,0))</f>
        <v/>
      </c>
      <c r="E125" s="11">
        <f>IF(D125=1,SUMPRODUCT(($B$5:$B$304=B125)*($D$5:$D$304=1)),"")</f>
        <v/>
      </c>
      <c r="F125" s="5">
        <f>IF(D125=1,E125&gt;=Setup!$B$5,"")</f>
        <v/>
      </c>
    </row>
    <row r="126">
      <c r="A126" s="7" t="n"/>
      <c r="B126" s="7" t="n"/>
      <c r="C126" s="5">
        <f>IF(A126="","",IFERROR(INDEX(Clients!$B$5:$B$54,MATCH(A126,Clients!$A$5:$A$54,0)),"unknown"))</f>
        <v/>
      </c>
      <c r="D126" s="5">
        <f>IF(OR(A126="",B126="",Setup!$B$4=""),0,IF(C126=Setup!$B$4,1,0))</f>
        <v/>
      </c>
      <c r="E126" s="11">
        <f>IF(D126=1,SUMPRODUCT(($B$5:$B$304=B126)*($D$5:$D$304=1)),"")</f>
        <v/>
      </c>
      <c r="F126" s="5">
        <f>IF(D126=1,E126&gt;=Setup!$B$5,"")</f>
        <v/>
      </c>
    </row>
    <row r="127">
      <c r="A127" s="7" t="n"/>
      <c r="B127" s="7" t="n"/>
      <c r="C127" s="5">
        <f>IF(A127="","",IFERROR(INDEX(Clients!$B$5:$B$54,MATCH(A127,Clients!$A$5:$A$54,0)),"unknown"))</f>
        <v/>
      </c>
      <c r="D127" s="5">
        <f>IF(OR(A127="",B127="",Setup!$B$4=""),0,IF(C127=Setup!$B$4,1,0))</f>
        <v/>
      </c>
      <c r="E127" s="11">
        <f>IF(D127=1,SUMPRODUCT(($B$5:$B$304=B127)*($D$5:$D$304=1)),"")</f>
        <v/>
      </c>
      <c r="F127" s="5">
        <f>IF(D127=1,E127&gt;=Setup!$B$5,"")</f>
        <v/>
      </c>
    </row>
    <row r="128">
      <c r="A128" s="7" t="n"/>
      <c r="B128" s="7" t="n"/>
      <c r="C128" s="5">
        <f>IF(A128="","",IFERROR(INDEX(Clients!$B$5:$B$54,MATCH(A128,Clients!$A$5:$A$54,0)),"unknown"))</f>
        <v/>
      </c>
      <c r="D128" s="5">
        <f>IF(OR(A128="",B128="",Setup!$B$4=""),0,IF(C128=Setup!$B$4,1,0))</f>
        <v/>
      </c>
      <c r="E128" s="11">
        <f>IF(D128=1,SUMPRODUCT(($B$5:$B$304=B128)*($D$5:$D$304=1)),"")</f>
        <v/>
      </c>
      <c r="F128" s="5">
        <f>IF(D128=1,E128&gt;=Setup!$B$5,"")</f>
        <v/>
      </c>
    </row>
    <row r="129">
      <c r="A129" s="7" t="n"/>
      <c r="B129" s="7" t="n"/>
      <c r="C129" s="5">
        <f>IF(A129="","",IFERROR(INDEX(Clients!$B$5:$B$54,MATCH(A129,Clients!$A$5:$A$54,0)),"unknown"))</f>
        <v/>
      </c>
      <c r="D129" s="5">
        <f>IF(OR(A129="",B129="",Setup!$B$4=""),0,IF(C129=Setup!$B$4,1,0))</f>
        <v/>
      </c>
      <c r="E129" s="11">
        <f>IF(D129=1,SUMPRODUCT(($B$5:$B$304=B129)*($D$5:$D$304=1)),"")</f>
        <v/>
      </c>
      <c r="F129" s="5">
        <f>IF(D129=1,E129&gt;=Setup!$B$5,"")</f>
        <v/>
      </c>
    </row>
    <row r="130">
      <c r="A130" s="7" t="n"/>
      <c r="B130" s="7" t="n"/>
      <c r="C130" s="5">
        <f>IF(A130="","",IFERROR(INDEX(Clients!$B$5:$B$54,MATCH(A130,Clients!$A$5:$A$54,0)),"unknown"))</f>
        <v/>
      </c>
      <c r="D130" s="5">
        <f>IF(OR(A130="",B130="",Setup!$B$4=""),0,IF(C130=Setup!$B$4,1,0))</f>
        <v/>
      </c>
      <c r="E130" s="11">
        <f>IF(D130=1,SUMPRODUCT(($B$5:$B$304=B130)*($D$5:$D$304=1)),"")</f>
        <v/>
      </c>
      <c r="F130" s="5">
        <f>IF(D130=1,E130&gt;=Setup!$B$5,"")</f>
        <v/>
      </c>
    </row>
    <row r="131">
      <c r="A131" s="7" t="n"/>
      <c r="B131" s="7" t="n"/>
      <c r="C131" s="5">
        <f>IF(A131="","",IFERROR(INDEX(Clients!$B$5:$B$54,MATCH(A131,Clients!$A$5:$A$54,0)),"unknown"))</f>
        <v/>
      </c>
      <c r="D131" s="5">
        <f>IF(OR(A131="",B131="",Setup!$B$4=""),0,IF(C131=Setup!$B$4,1,0))</f>
        <v/>
      </c>
      <c r="E131" s="11">
        <f>IF(D131=1,SUMPRODUCT(($B$5:$B$304=B131)*($D$5:$D$304=1)),"")</f>
        <v/>
      </c>
      <c r="F131" s="5">
        <f>IF(D131=1,E131&gt;=Setup!$B$5,"")</f>
        <v/>
      </c>
    </row>
    <row r="132">
      <c r="A132" s="7" t="n"/>
      <c r="B132" s="7" t="n"/>
      <c r="C132" s="5">
        <f>IF(A132="","",IFERROR(INDEX(Clients!$B$5:$B$54,MATCH(A132,Clients!$A$5:$A$54,0)),"unknown"))</f>
        <v/>
      </c>
      <c r="D132" s="5">
        <f>IF(OR(A132="",B132="",Setup!$B$4=""),0,IF(C132=Setup!$B$4,1,0))</f>
        <v/>
      </c>
      <c r="E132" s="11">
        <f>IF(D132=1,SUMPRODUCT(($B$5:$B$304=B132)*($D$5:$D$304=1)),"")</f>
        <v/>
      </c>
      <c r="F132" s="5">
        <f>IF(D132=1,E132&gt;=Setup!$B$5,"")</f>
        <v/>
      </c>
    </row>
    <row r="133">
      <c r="A133" s="7" t="n"/>
      <c r="B133" s="7" t="n"/>
      <c r="C133" s="5">
        <f>IF(A133="","",IFERROR(INDEX(Clients!$B$5:$B$54,MATCH(A133,Clients!$A$5:$A$54,0)),"unknown"))</f>
        <v/>
      </c>
      <c r="D133" s="5">
        <f>IF(OR(A133="",B133="",Setup!$B$4=""),0,IF(C133=Setup!$B$4,1,0))</f>
        <v/>
      </c>
      <c r="E133" s="11">
        <f>IF(D133=1,SUMPRODUCT(($B$5:$B$304=B133)*($D$5:$D$304=1)),"")</f>
        <v/>
      </c>
      <c r="F133" s="5">
        <f>IF(D133=1,E133&gt;=Setup!$B$5,"")</f>
        <v/>
      </c>
    </row>
    <row r="134">
      <c r="A134" s="7" t="n"/>
      <c r="B134" s="7" t="n"/>
      <c r="C134" s="5">
        <f>IF(A134="","",IFERROR(INDEX(Clients!$B$5:$B$54,MATCH(A134,Clients!$A$5:$A$54,0)),"unknown"))</f>
        <v/>
      </c>
      <c r="D134" s="5">
        <f>IF(OR(A134="",B134="",Setup!$B$4=""),0,IF(C134=Setup!$B$4,1,0))</f>
        <v/>
      </c>
      <c r="E134" s="11">
        <f>IF(D134=1,SUMPRODUCT(($B$5:$B$304=B134)*($D$5:$D$304=1)),"")</f>
        <v/>
      </c>
      <c r="F134" s="5">
        <f>IF(D134=1,E134&gt;=Setup!$B$5,"")</f>
        <v/>
      </c>
    </row>
    <row r="135">
      <c r="A135" s="7" t="n"/>
      <c r="B135" s="7" t="n"/>
      <c r="C135" s="5">
        <f>IF(A135="","",IFERROR(INDEX(Clients!$B$5:$B$54,MATCH(A135,Clients!$A$5:$A$54,0)),"unknown"))</f>
        <v/>
      </c>
      <c r="D135" s="5">
        <f>IF(OR(A135="",B135="",Setup!$B$4=""),0,IF(C135=Setup!$B$4,1,0))</f>
        <v/>
      </c>
      <c r="E135" s="11">
        <f>IF(D135=1,SUMPRODUCT(($B$5:$B$304=B135)*($D$5:$D$304=1)),"")</f>
        <v/>
      </c>
      <c r="F135" s="5">
        <f>IF(D135=1,E135&gt;=Setup!$B$5,"")</f>
        <v/>
      </c>
    </row>
    <row r="136">
      <c r="A136" s="7" t="n"/>
      <c r="B136" s="7" t="n"/>
      <c r="C136" s="5">
        <f>IF(A136="","",IFERROR(INDEX(Clients!$B$5:$B$54,MATCH(A136,Clients!$A$5:$A$54,0)),"unknown"))</f>
        <v/>
      </c>
      <c r="D136" s="5">
        <f>IF(OR(A136="",B136="",Setup!$B$4=""),0,IF(C136=Setup!$B$4,1,0))</f>
        <v/>
      </c>
      <c r="E136" s="11">
        <f>IF(D136=1,SUMPRODUCT(($B$5:$B$304=B136)*($D$5:$D$304=1)),"")</f>
        <v/>
      </c>
      <c r="F136" s="5">
        <f>IF(D136=1,E136&gt;=Setup!$B$5,"")</f>
        <v/>
      </c>
    </row>
    <row r="137">
      <c r="A137" s="7" t="n"/>
      <c r="B137" s="7" t="n"/>
      <c r="C137" s="5">
        <f>IF(A137="","",IFERROR(INDEX(Clients!$B$5:$B$54,MATCH(A137,Clients!$A$5:$A$54,0)),"unknown"))</f>
        <v/>
      </c>
      <c r="D137" s="5">
        <f>IF(OR(A137="",B137="",Setup!$B$4=""),0,IF(C137=Setup!$B$4,1,0))</f>
        <v/>
      </c>
      <c r="E137" s="11">
        <f>IF(D137=1,SUMPRODUCT(($B$5:$B$304=B137)*($D$5:$D$304=1)),"")</f>
        <v/>
      </c>
      <c r="F137" s="5">
        <f>IF(D137=1,E137&gt;=Setup!$B$5,"")</f>
        <v/>
      </c>
    </row>
    <row r="138">
      <c r="A138" s="7" t="n"/>
      <c r="B138" s="7" t="n"/>
      <c r="C138" s="5">
        <f>IF(A138="","",IFERROR(INDEX(Clients!$B$5:$B$54,MATCH(A138,Clients!$A$5:$A$54,0)),"unknown"))</f>
        <v/>
      </c>
      <c r="D138" s="5">
        <f>IF(OR(A138="",B138="",Setup!$B$4=""),0,IF(C138=Setup!$B$4,1,0))</f>
        <v/>
      </c>
      <c r="E138" s="11">
        <f>IF(D138=1,SUMPRODUCT(($B$5:$B$304=B138)*($D$5:$D$304=1)),"")</f>
        <v/>
      </c>
      <c r="F138" s="5">
        <f>IF(D138=1,E138&gt;=Setup!$B$5,"")</f>
        <v/>
      </c>
    </row>
    <row r="139">
      <c r="A139" s="7" t="n"/>
      <c r="B139" s="7" t="n"/>
      <c r="C139" s="5">
        <f>IF(A139="","",IFERROR(INDEX(Clients!$B$5:$B$54,MATCH(A139,Clients!$A$5:$A$54,0)),"unknown"))</f>
        <v/>
      </c>
      <c r="D139" s="5">
        <f>IF(OR(A139="",B139="",Setup!$B$4=""),0,IF(C139=Setup!$B$4,1,0))</f>
        <v/>
      </c>
      <c r="E139" s="11">
        <f>IF(D139=1,SUMPRODUCT(($B$5:$B$304=B139)*($D$5:$D$304=1)),"")</f>
        <v/>
      </c>
      <c r="F139" s="5">
        <f>IF(D139=1,E139&gt;=Setup!$B$5,"")</f>
        <v/>
      </c>
    </row>
    <row r="140">
      <c r="A140" s="7" t="n"/>
      <c r="B140" s="7" t="n"/>
      <c r="C140" s="5">
        <f>IF(A140="","",IFERROR(INDEX(Clients!$B$5:$B$54,MATCH(A140,Clients!$A$5:$A$54,0)),"unknown"))</f>
        <v/>
      </c>
      <c r="D140" s="5">
        <f>IF(OR(A140="",B140="",Setup!$B$4=""),0,IF(C140=Setup!$B$4,1,0))</f>
        <v/>
      </c>
      <c r="E140" s="11">
        <f>IF(D140=1,SUMPRODUCT(($B$5:$B$304=B140)*($D$5:$D$304=1)),"")</f>
        <v/>
      </c>
      <c r="F140" s="5">
        <f>IF(D140=1,E140&gt;=Setup!$B$5,"")</f>
        <v/>
      </c>
    </row>
    <row r="141">
      <c r="A141" s="7" t="n"/>
      <c r="B141" s="7" t="n"/>
      <c r="C141" s="5">
        <f>IF(A141="","",IFERROR(INDEX(Clients!$B$5:$B$54,MATCH(A141,Clients!$A$5:$A$54,0)),"unknown"))</f>
        <v/>
      </c>
      <c r="D141" s="5">
        <f>IF(OR(A141="",B141="",Setup!$B$4=""),0,IF(C141=Setup!$B$4,1,0))</f>
        <v/>
      </c>
      <c r="E141" s="11">
        <f>IF(D141=1,SUMPRODUCT(($B$5:$B$304=B141)*($D$5:$D$304=1)),"")</f>
        <v/>
      </c>
      <c r="F141" s="5">
        <f>IF(D141=1,E141&gt;=Setup!$B$5,"")</f>
        <v/>
      </c>
    </row>
    <row r="142">
      <c r="A142" s="7" t="n"/>
      <c r="B142" s="7" t="n"/>
      <c r="C142" s="5">
        <f>IF(A142="","",IFERROR(INDEX(Clients!$B$5:$B$54,MATCH(A142,Clients!$A$5:$A$54,0)),"unknown"))</f>
        <v/>
      </c>
      <c r="D142" s="5">
        <f>IF(OR(A142="",B142="",Setup!$B$4=""),0,IF(C142=Setup!$B$4,1,0))</f>
        <v/>
      </c>
      <c r="E142" s="11">
        <f>IF(D142=1,SUMPRODUCT(($B$5:$B$304=B142)*($D$5:$D$304=1)),"")</f>
        <v/>
      </c>
      <c r="F142" s="5">
        <f>IF(D142=1,E142&gt;=Setup!$B$5,"")</f>
        <v/>
      </c>
    </row>
    <row r="143">
      <c r="A143" s="7" t="n"/>
      <c r="B143" s="7" t="n"/>
      <c r="C143" s="5">
        <f>IF(A143="","",IFERROR(INDEX(Clients!$B$5:$B$54,MATCH(A143,Clients!$A$5:$A$54,0)),"unknown"))</f>
        <v/>
      </c>
      <c r="D143" s="5">
        <f>IF(OR(A143="",B143="",Setup!$B$4=""),0,IF(C143=Setup!$B$4,1,0))</f>
        <v/>
      </c>
      <c r="E143" s="11">
        <f>IF(D143=1,SUMPRODUCT(($B$5:$B$304=B143)*($D$5:$D$304=1)),"")</f>
        <v/>
      </c>
      <c r="F143" s="5">
        <f>IF(D143=1,E143&gt;=Setup!$B$5,"")</f>
        <v/>
      </c>
    </row>
    <row r="144">
      <c r="A144" s="7" t="n"/>
      <c r="B144" s="7" t="n"/>
      <c r="C144" s="5">
        <f>IF(A144="","",IFERROR(INDEX(Clients!$B$5:$B$54,MATCH(A144,Clients!$A$5:$A$54,0)),"unknown"))</f>
        <v/>
      </c>
      <c r="D144" s="5">
        <f>IF(OR(A144="",B144="",Setup!$B$4=""),0,IF(C144=Setup!$B$4,1,0))</f>
        <v/>
      </c>
      <c r="E144" s="11">
        <f>IF(D144=1,SUMPRODUCT(($B$5:$B$304=B144)*($D$5:$D$304=1)),"")</f>
        <v/>
      </c>
      <c r="F144" s="5">
        <f>IF(D144=1,E144&gt;=Setup!$B$5,"")</f>
        <v/>
      </c>
    </row>
    <row r="145">
      <c r="A145" s="7" t="n"/>
      <c r="B145" s="7" t="n"/>
      <c r="C145" s="5">
        <f>IF(A145="","",IFERROR(INDEX(Clients!$B$5:$B$54,MATCH(A145,Clients!$A$5:$A$54,0)),"unknown"))</f>
        <v/>
      </c>
      <c r="D145" s="5">
        <f>IF(OR(A145="",B145="",Setup!$B$4=""),0,IF(C145=Setup!$B$4,1,0))</f>
        <v/>
      </c>
      <c r="E145" s="11">
        <f>IF(D145=1,SUMPRODUCT(($B$5:$B$304=B145)*($D$5:$D$304=1)),"")</f>
        <v/>
      </c>
      <c r="F145" s="5">
        <f>IF(D145=1,E145&gt;=Setup!$B$5,"")</f>
        <v/>
      </c>
    </row>
    <row r="146">
      <c r="A146" s="7" t="n"/>
      <c r="B146" s="7" t="n"/>
      <c r="C146" s="5">
        <f>IF(A146="","",IFERROR(INDEX(Clients!$B$5:$B$54,MATCH(A146,Clients!$A$5:$A$54,0)),"unknown"))</f>
        <v/>
      </c>
      <c r="D146" s="5">
        <f>IF(OR(A146="",B146="",Setup!$B$4=""),0,IF(C146=Setup!$B$4,1,0))</f>
        <v/>
      </c>
      <c r="E146" s="11">
        <f>IF(D146=1,SUMPRODUCT(($B$5:$B$304=B146)*($D$5:$D$304=1)),"")</f>
        <v/>
      </c>
      <c r="F146" s="5">
        <f>IF(D146=1,E146&gt;=Setup!$B$5,"")</f>
        <v/>
      </c>
    </row>
    <row r="147">
      <c r="A147" s="7" t="n"/>
      <c r="B147" s="7" t="n"/>
      <c r="C147" s="5">
        <f>IF(A147="","",IFERROR(INDEX(Clients!$B$5:$B$54,MATCH(A147,Clients!$A$5:$A$54,0)),"unknown"))</f>
        <v/>
      </c>
      <c r="D147" s="5">
        <f>IF(OR(A147="",B147="",Setup!$B$4=""),0,IF(C147=Setup!$B$4,1,0))</f>
        <v/>
      </c>
      <c r="E147" s="11">
        <f>IF(D147=1,SUMPRODUCT(($B$5:$B$304=B147)*($D$5:$D$304=1)),"")</f>
        <v/>
      </c>
      <c r="F147" s="5">
        <f>IF(D147=1,E147&gt;=Setup!$B$5,"")</f>
        <v/>
      </c>
    </row>
    <row r="148">
      <c r="A148" s="7" t="n"/>
      <c r="B148" s="7" t="n"/>
      <c r="C148" s="5">
        <f>IF(A148="","",IFERROR(INDEX(Clients!$B$5:$B$54,MATCH(A148,Clients!$A$5:$A$54,0)),"unknown"))</f>
        <v/>
      </c>
      <c r="D148" s="5">
        <f>IF(OR(A148="",B148="",Setup!$B$4=""),0,IF(C148=Setup!$B$4,1,0))</f>
        <v/>
      </c>
      <c r="E148" s="11">
        <f>IF(D148=1,SUMPRODUCT(($B$5:$B$304=B148)*($D$5:$D$304=1)),"")</f>
        <v/>
      </c>
      <c r="F148" s="5">
        <f>IF(D148=1,E148&gt;=Setup!$B$5,"")</f>
        <v/>
      </c>
    </row>
    <row r="149">
      <c r="A149" s="7" t="n"/>
      <c r="B149" s="7" t="n"/>
      <c r="C149" s="5">
        <f>IF(A149="","",IFERROR(INDEX(Clients!$B$5:$B$54,MATCH(A149,Clients!$A$5:$A$54,0)),"unknown"))</f>
        <v/>
      </c>
      <c r="D149" s="5">
        <f>IF(OR(A149="",B149="",Setup!$B$4=""),0,IF(C149=Setup!$B$4,1,0))</f>
        <v/>
      </c>
      <c r="E149" s="11">
        <f>IF(D149=1,SUMPRODUCT(($B$5:$B$304=B149)*($D$5:$D$304=1)),"")</f>
        <v/>
      </c>
      <c r="F149" s="5">
        <f>IF(D149=1,E149&gt;=Setup!$B$5,"")</f>
        <v/>
      </c>
    </row>
    <row r="150">
      <c r="A150" s="7" t="n"/>
      <c r="B150" s="7" t="n"/>
      <c r="C150" s="5">
        <f>IF(A150="","",IFERROR(INDEX(Clients!$B$5:$B$54,MATCH(A150,Clients!$A$5:$A$54,0)),"unknown"))</f>
        <v/>
      </c>
      <c r="D150" s="5">
        <f>IF(OR(A150="",B150="",Setup!$B$4=""),0,IF(C150=Setup!$B$4,1,0))</f>
        <v/>
      </c>
      <c r="E150" s="11">
        <f>IF(D150=1,SUMPRODUCT(($B$5:$B$304=B150)*($D$5:$D$304=1)),"")</f>
        <v/>
      </c>
      <c r="F150" s="5">
        <f>IF(D150=1,E150&gt;=Setup!$B$5,"")</f>
        <v/>
      </c>
    </row>
    <row r="151">
      <c r="A151" s="7" t="n"/>
      <c r="B151" s="7" t="n"/>
      <c r="C151" s="5">
        <f>IF(A151="","",IFERROR(INDEX(Clients!$B$5:$B$54,MATCH(A151,Clients!$A$5:$A$54,0)),"unknown"))</f>
        <v/>
      </c>
      <c r="D151" s="5">
        <f>IF(OR(A151="",B151="",Setup!$B$4=""),0,IF(C151=Setup!$B$4,1,0))</f>
        <v/>
      </c>
      <c r="E151" s="11">
        <f>IF(D151=1,SUMPRODUCT(($B$5:$B$304=B151)*($D$5:$D$304=1)),"")</f>
        <v/>
      </c>
      <c r="F151" s="5">
        <f>IF(D151=1,E151&gt;=Setup!$B$5,"")</f>
        <v/>
      </c>
    </row>
    <row r="152">
      <c r="A152" s="7" t="n"/>
      <c r="B152" s="7" t="n"/>
      <c r="C152" s="5">
        <f>IF(A152="","",IFERROR(INDEX(Clients!$B$5:$B$54,MATCH(A152,Clients!$A$5:$A$54,0)),"unknown"))</f>
        <v/>
      </c>
      <c r="D152" s="5">
        <f>IF(OR(A152="",B152="",Setup!$B$4=""),0,IF(C152=Setup!$B$4,1,0))</f>
        <v/>
      </c>
      <c r="E152" s="11">
        <f>IF(D152=1,SUMPRODUCT(($B$5:$B$304=B152)*($D$5:$D$304=1)),"")</f>
        <v/>
      </c>
      <c r="F152" s="5">
        <f>IF(D152=1,E152&gt;=Setup!$B$5,"")</f>
        <v/>
      </c>
    </row>
    <row r="153">
      <c r="A153" s="7" t="n"/>
      <c r="B153" s="7" t="n"/>
      <c r="C153" s="5">
        <f>IF(A153="","",IFERROR(INDEX(Clients!$B$5:$B$54,MATCH(A153,Clients!$A$5:$A$54,0)),"unknown"))</f>
        <v/>
      </c>
      <c r="D153" s="5">
        <f>IF(OR(A153="",B153="",Setup!$B$4=""),0,IF(C153=Setup!$B$4,1,0))</f>
        <v/>
      </c>
      <c r="E153" s="11">
        <f>IF(D153=1,SUMPRODUCT(($B$5:$B$304=B153)*($D$5:$D$304=1)),"")</f>
        <v/>
      </c>
      <c r="F153" s="5">
        <f>IF(D153=1,E153&gt;=Setup!$B$5,"")</f>
        <v/>
      </c>
    </row>
    <row r="154">
      <c r="A154" s="7" t="n"/>
      <c r="B154" s="7" t="n"/>
      <c r="C154" s="5">
        <f>IF(A154="","",IFERROR(INDEX(Clients!$B$5:$B$54,MATCH(A154,Clients!$A$5:$A$54,0)),"unknown"))</f>
        <v/>
      </c>
      <c r="D154" s="5">
        <f>IF(OR(A154="",B154="",Setup!$B$4=""),0,IF(C154=Setup!$B$4,1,0))</f>
        <v/>
      </c>
      <c r="E154" s="11">
        <f>IF(D154=1,SUMPRODUCT(($B$5:$B$304=B154)*($D$5:$D$304=1)),"")</f>
        <v/>
      </c>
      <c r="F154" s="5">
        <f>IF(D154=1,E154&gt;=Setup!$B$5,"")</f>
        <v/>
      </c>
    </row>
    <row r="155">
      <c r="A155" s="7" t="n"/>
      <c r="B155" s="7" t="n"/>
      <c r="C155" s="5">
        <f>IF(A155="","",IFERROR(INDEX(Clients!$B$5:$B$54,MATCH(A155,Clients!$A$5:$A$54,0)),"unknown"))</f>
        <v/>
      </c>
      <c r="D155" s="5">
        <f>IF(OR(A155="",B155="",Setup!$B$4=""),0,IF(C155=Setup!$B$4,1,0))</f>
        <v/>
      </c>
      <c r="E155" s="11">
        <f>IF(D155=1,SUMPRODUCT(($B$5:$B$304=B155)*($D$5:$D$304=1)),"")</f>
        <v/>
      </c>
      <c r="F155" s="5">
        <f>IF(D155=1,E155&gt;=Setup!$B$5,"")</f>
        <v/>
      </c>
    </row>
    <row r="156">
      <c r="A156" s="7" t="n"/>
      <c r="B156" s="7" t="n"/>
      <c r="C156" s="5">
        <f>IF(A156="","",IFERROR(INDEX(Clients!$B$5:$B$54,MATCH(A156,Clients!$A$5:$A$54,0)),"unknown"))</f>
        <v/>
      </c>
      <c r="D156" s="5">
        <f>IF(OR(A156="",B156="",Setup!$B$4=""),0,IF(C156=Setup!$B$4,1,0))</f>
        <v/>
      </c>
      <c r="E156" s="11">
        <f>IF(D156=1,SUMPRODUCT(($B$5:$B$304=B156)*($D$5:$D$304=1)),"")</f>
        <v/>
      </c>
      <c r="F156" s="5">
        <f>IF(D156=1,E156&gt;=Setup!$B$5,"")</f>
        <v/>
      </c>
    </row>
    <row r="157">
      <c r="A157" s="7" t="n"/>
      <c r="B157" s="7" t="n"/>
      <c r="C157" s="5">
        <f>IF(A157="","",IFERROR(INDEX(Clients!$B$5:$B$54,MATCH(A157,Clients!$A$5:$A$54,0)),"unknown"))</f>
        <v/>
      </c>
      <c r="D157" s="5">
        <f>IF(OR(A157="",B157="",Setup!$B$4=""),0,IF(C157=Setup!$B$4,1,0))</f>
        <v/>
      </c>
      <c r="E157" s="11">
        <f>IF(D157=1,SUMPRODUCT(($B$5:$B$304=B157)*($D$5:$D$304=1)),"")</f>
        <v/>
      </c>
      <c r="F157" s="5">
        <f>IF(D157=1,E157&gt;=Setup!$B$5,"")</f>
        <v/>
      </c>
    </row>
    <row r="158">
      <c r="A158" s="7" t="n"/>
      <c r="B158" s="7" t="n"/>
      <c r="C158" s="5">
        <f>IF(A158="","",IFERROR(INDEX(Clients!$B$5:$B$54,MATCH(A158,Clients!$A$5:$A$54,0)),"unknown"))</f>
        <v/>
      </c>
      <c r="D158" s="5">
        <f>IF(OR(A158="",B158="",Setup!$B$4=""),0,IF(C158=Setup!$B$4,1,0))</f>
        <v/>
      </c>
      <c r="E158" s="11">
        <f>IF(D158=1,SUMPRODUCT(($B$5:$B$304=B158)*($D$5:$D$304=1)),"")</f>
        <v/>
      </c>
      <c r="F158" s="5">
        <f>IF(D158=1,E158&gt;=Setup!$B$5,"")</f>
        <v/>
      </c>
    </row>
    <row r="159">
      <c r="A159" s="7" t="n"/>
      <c r="B159" s="7" t="n"/>
      <c r="C159" s="5">
        <f>IF(A159="","",IFERROR(INDEX(Clients!$B$5:$B$54,MATCH(A159,Clients!$A$5:$A$54,0)),"unknown"))</f>
        <v/>
      </c>
      <c r="D159" s="5">
        <f>IF(OR(A159="",B159="",Setup!$B$4=""),0,IF(C159=Setup!$B$4,1,0))</f>
        <v/>
      </c>
      <c r="E159" s="11">
        <f>IF(D159=1,SUMPRODUCT(($B$5:$B$304=B159)*($D$5:$D$304=1)),"")</f>
        <v/>
      </c>
      <c r="F159" s="5">
        <f>IF(D159=1,E159&gt;=Setup!$B$5,"")</f>
        <v/>
      </c>
    </row>
    <row r="160">
      <c r="A160" s="7" t="n"/>
      <c r="B160" s="7" t="n"/>
      <c r="C160" s="5">
        <f>IF(A160="","",IFERROR(INDEX(Clients!$B$5:$B$54,MATCH(A160,Clients!$A$5:$A$54,0)),"unknown"))</f>
        <v/>
      </c>
      <c r="D160" s="5">
        <f>IF(OR(A160="",B160="",Setup!$B$4=""),0,IF(C160=Setup!$B$4,1,0))</f>
        <v/>
      </c>
      <c r="E160" s="11">
        <f>IF(D160=1,SUMPRODUCT(($B$5:$B$304=B160)*($D$5:$D$304=1)),"")</f>
        <v/>
      </c>
      <c r="F160" s="5">
        <f>IF(D160=1,E160&gt;=Setup!$B$5,"")</f>
        <v/>
      </c>
    </row>
    <row r="161">
      <c r="A161" s="7" t="n"/>
      <c r="B161" s="7" t="n"/>
      <c r="C161" s="5">
        <f>IF(A161="","",IFERROR(INDEX(Clients!$B$5:$B$54,MATCH(A161,Clients!$A$5:$A$54,0)),"unknown"))</f>
        <v/>
      </c>
      <c r="D161" s="5">
        <f>IF(OR(A161="",B161="",Setup!$B$4=""),0,IF(C161=Setup!$B$4,1,0))</f>
        <v/>
      </c>
      <c r="E161" s="11">
        <f>IF(D161=1,SUMPRODUCT(($B$5:$B$304=B161)*($D$5:$D$304=1)),"")</f>
        <v/>
      </c>
      <c r="F161" s="5">
        <f>IF(D161=1,E161&gt;=Setup!$B$5,"")</f>
        <v/>
      </c>
    </row>
    <row r="162">
      <c r="A162" s="7" t="n"/>
      <c r="B162" s="7" t="n"/>
      <c r="C162" s="5">
        <f>IF(A162="","",IFERROR(INDEX(Clients!$B$5:$B$54,MATCH(A162,Clients!$A$5:$A$54,0)),"unknown"))</f>
        <v/>
      </c>
      <c r="D162" s="5">
        <f>IF(OR(A162="",B162="",Setup!$B$4=""),0,IF(C162=Setup!$B$4,1,0))</f>
        <v/>
      </c>
      <c r="E162" s="11">
        <f>IF(D162=1,SUMPRODUCT(($B$5:$B$304=B162)*($D$5:$D$304=1)),"")</f>
        <v/>
      </c>
      <c r="F162" s="5">
        <f>IF(D162=1,E162&gt;=Setup!$B$5,"")</f>
        <v/>
      </c>
    </row>
    <row r="163">
      <c r="A163" s="7" t="n"/>
      <c r="B163" s="7" t="n"/>
      <c r="C163" s="5">
        <f>IF(A163="","",IFERROR(INDEX(Clients!$B$5:$B$54,MATCH(A163,Clients!$A$5:$A$54,0)),"unknown"))</f>
        <v/>
      </c>
      <c r="D163" s="5">
        <f>IF(OR(A163="",B163="",Setup!$B$4=""),0,IF(C163=Setup!$B$4,1,0))</f>
        <v/>
      </c>
      <c r="E163" s="11">
        <f>IF(D163=1,SUMPRODUCT(($B$5:$B$304=B163)*($D$5:$D$304=1)),"")</f>
        <v/>
      </c>
      <c r="F163" s="5">
        <f>IF(D163=1,E163&gt;=Setup!$B$5,"")</f>
        <v/>
      </c>
    </row>
    <row r="164">
      <c r="A164" s="7" t="n"/>
      <c r="B164" s="7" t="n"/>
      <c r="C164" s="5">
        <f>IF(A164="","",IFERROR(INDEX(Clients!$B$5:$B$54,MATCH(A164,Clients!$A$5:$A$54,0)),"unknown"))</f>
        <v/>
      </c>
      <c r="D164" s="5">
        <f>IF(OR(A164="",B164="",Setup!$B$4=""),0,IF(C164=Setup!$B$4,1,0))</f>
        <v/>
      </c>
      <c r="E164" s="11">
        <f>IF(D164=1,SUMPRODUCT(($B$5:$B$304=B164)*($D$5:$D$304=1)),"")</f>
        <v/>
      </c>
      <c r="F164" s="5">
        <f>IF(D164=1,E164&gt;=Setup!$B$5,"")</f>
        <v/>
      </c>
    </row>
    <row r="165">
      <c r="A165" s="7" t="n"/>
      <c r="B165" s="7" t="n"/>
      <c r="C165" s="5">
        <f>IF(A165="","",IFERROR(INDEX(Clients!$B$5:$B$54,MATCH(A165,Clients!$A$5:$A$54,0)),"unknown"))</f>
        <v/>
      </c>
      <c r="D165" s="5">
        <f>IF(OR(A165="",B165="",Setup!$B$4=""),0,IF(C165=Setup!$B$4,1,0))</f>
        <v/>
      </c>
      <c r="E165" s="11">
        <f>IF(D165=1,SUMPRODUCT(($B$5:$B$304=B165)*($D$5:$D$304=1)),"")</f>
        <v/>
      </c>
      <c r="F165" s="5">
        <f>IF(D165=1,E165&gt;=Setup!$B$5,"")</f>
        <v/>
      </c>
    </row>
    <row r="166">
      <c r="A166" s="7" t="n"/>
      <c r="B166" s="7" t="n"/>
      <c r="C166" s="5">
        <f>IF(A166="","",IFERROR(INDEX(Clients!$B$5:$B$54,MATCH(A166,Clients!$A$5:$A$54,0)),"unknown"))</f>
        <v/>
      </c>
      <c r="D166" s="5">
        <f>IF(OR(A166="",B166="",Setup!$B$4=""),0,IF(C166=Setup!$B$4,1,0))</f>
        <v/>
      </c>
      <c r="E166" s="11">
        <f>IF(D166=1,SUMPRODUCT(($B$5:$B$304=B166)*($D$5:$D$304=1)),"")</f>
        <v/>
      </c>
      <c r="F166" s="5">
        <f>IF(D166=1,E166&gt;=Setup!$B$5,"")</f>
        <v/>
      </c>
    </row>
    <row r="167">
      <c r="A167" s="7" t="n"/>
      <c r="B167" s="7" t="n"/>
      <c r="C167" s="5">
        <f>IF(A167="","",IFERROR(INDEX(Clients!$B$5:$B$54,MATCH(A167,Clients!$A$5:$A$54,0)),"unknown"))</f>
        <v/>
      </c>
      <c r="D167" s="5">
        <f>IF(OR(A167="",B167="",Setup!$B$4=""),0,IF(C167=Setup!$B$4,1,0))</f>
        <v/>
      </c>
      <c r="E167" s="11">
        <f>IF(D167=1,SUMPRODUCT(($B$5:$B$304=B167)*($D$5:$D$304=1)),"")</f>
        <v/>
      </c>
      <c r="F167" s="5">
        <f>IF(D167=1,E167&gt;=Setup!$B$5,"")</f>
        <v/>
      </c>
    </row>
    <row r="168">
      <c r="A168" s="7" t="n"/>
      <c r="B168" s="7" t="n"/>
      <c r="C168" s="5">
        <f>IF(A168="","",IFERROR(INDEX(Clients!$B$5:$B$54,MATCH(A168,Clients!$A$5:$A$54,0)),"unknown"))</f>
        <v/>
      </c>
      <c r="D168" s="5">
        <f>IF(OR(A168="",B168="",Setup!$B$4=""),0,IF(C168=Setup!$B$4,1,0))</f>
        <v/>
      </c>
      <c r="E168" s="11">
        <f>IF(D168=1,SUMPRODUCT(($B$5:$B$304=B168)*($D$5:$D$304=1)),"")</f>
        <v/>
      </c>
      <c r="F168" s="5">
        <f>IF(D168=1,E168&gt;=Setup!$B$5,"")</f>
        <v/>
      </c>
    </row>
    <row r="169">
      <c r="A169" s="7" t="n"/>
      <c r="B169" s="7" t="n"/>
      <c r="C169" s="5">
        <f>IF(A169="","",IFERROR(INDEX(Clients!$B$5:$B$54,MATCH(A169,Clients!$A$5:$A$54,0)),"unknown"))</f>
        <v/>
      </c>
      <c r="D169" s="5">
        <f>IF(OR(A169="",B169="",Setup!$B$4=""),0,IF(C169=Setup!$B$4,1,0))</f>
        <v/>
      </c>
      <c r="E169" s="11">
        <f>IF(D169=1,SUMPRODUCT(($B$5:$B$304=B169)*($D$5:$D$304=1)),"")</f>
        <v/>
      </c>
      <c r="F169" s="5">
        <f>IF(D169=1,E169&gt;=Setup!$B$5,"")</f>
        <v/>
      </c>
    </row>
    <row r="170">
      <c r="A170" s="7" t="n"/>
      <c r="B170" s="7" t="n"/>
      <c r="C170" s="5">
        <f>IF(A170="","",IFERROR(INDEX(Clients!$B$5:$B$54,MATCH(A170,Clients!$A$5:$A$54,0)),"unknown"))</f>
        <v/>
      </c>
      <c r="D170" s="5">
        <f>IF(OR(A170="",B170="",Setup!$B$4=""),0,IF(C170=Setup!$B$4,1,0))</f>
        <v/>
      </c>
      <c r="E170" s="11">
        <f>IF(D170=1,SUMPRODUCT(($B$5:$B$304=B170)*($D$5:$D$304=1)),"")</f>
        <v/>
      </c>
      <c r="F170" s="5">
        <f>IF(D170=1,E170&gt;=Setup!$B$5,"")</f>
        <v/>
      </c>
    </row>
    <row r="171">
      <c r="A171" s="7" t="n"/>
      <c r="B171" s="7" t="n"/>
      <c r="C171" s="5">
        <f>IF(A171="","",IFERROR(INDEX(Clients!$B$5:$B$54,MATCH(A171,Clients!$A$5:$A$54,0)),"unknown"))</f>
        <v/>
      </c>
      <c r="D171" s="5">
        <f>IF(OR(A171="",B171="",Setup!$B$4=""),0,IF(C171=Setup!$B$4,1,0))</f>
        <v/>
      </c>
      <c r="E171" s="11">
        <f>IF(D171=1,SUMPRODUCT(($B$5:$B$304=B171)*($D$5:$D$304=1)),"")</f>
        <v/>
      </c>
      <c r="F171" s="5">
        <f>IF(D171=1,E171&gt;=Setup!$B$5,"")</f>
        <v/>
      </c>
    </row>
    <row r="172">
      <c r="A172" s="7" t="n"/>
      <c r="B172" s="7" t="n"/>
      <c r="C172" s="5">
        <f>IF(A172="","",IFERROR(INDEX(Clients!$B$5:$B$54,MATCH(A172,Clients!$A$5:$A$54,0)),"unknown"))</f>
        <v/>
      </c>
      <c r="D172" s="5">
        <f>IF(OR(A172="",B172="",Setup!$B$4=""),0,IF(C172=Setup!$B$4,1,0))</f>
        <v/>
      </c>
      <c r="E172" s="11">
        <f>IF(D172=1,SUMPRODUCT(($B$5:$B$304=B172)*($D$5:$D$304=1)),"")</f>
        <v/>
      </c>
      <c r="F172" s="5">
        <f>IF(D172=1,E172&gt;=Setup!$B$5,"")</f>
        <v/>
      </c>
    </row>
    <row r="173">
      <c r="A173" s="7" t="n"/>
      <c r="B173" s="7" t="n"/>
      <c r="C173" s="5">
        <f>IF(A173="","",IFERROR(INDEX(Clients!$B$5:$B$54,MATCH(A173,Clients!$A$5:$A$54,0)),"unknown"))</f>
        <v/>
      </c>
      <c r="D173" s="5">
        <f>IF(OR(A173="",B173="",Setup!$B$4=""),0,IF(C173=Setup!$B$4,1,0))</f>
        <v/>
      </c>
      <c r="E173" s="11">
        <f>IF(D173=1,SUMPRODUCT(($B$5:$B$304=B173)*($D$5:$D$304=1)),"")</f>
        <v/>
      </c>
      <c r="F173" s="5">
        <f>IF(D173=1,E173&gt;=Setup!$B$5,"")</f>
        <v/>
      </c>
    </row>
    <row r="174">
      <c r="A174" s="7" t="n"/>
      <c r="B174" s="7" t="n"/>
      <c r="C174" s="5">
        <f>IF(A174="","",IFERROR(INDEX(Clients!$B$5:$B$54,MATCH(A174,Clients!$A$5:$A$54,0)),"unknown"))</f>
        <v/>
      </c>
      <c r="D174" s="5">
        <f>IF(OR(A174="",B174="",Setup!$B$4=""),0,IF(C174=Setup!$B$4,1,0))</f>
        <v/>
      </c>
      <c r="E174" s="11">
        <f>IF(D174=1,SUMPRODUCT(($B$5:$B$304=B174)*($D$5:$D$304=1)),"")</f>
        <v/>
      </c>
      <c r="F174" s="5">
        <f>IF(D174=1,E174&gt;=Setup!$B$5,"")</f>
        <v/>
      </c>
    </row>
    <row r="175">
      <c r="A175" s="7" t="n"/>
      <c r="B175" s="7" t="n"/>
      <c r="C175" s="5">
        <f>IF(A175="","",IFERROR(INDEX(Clients!$B$5:$B$54,MATCH(A175,Clients!$A$5:$A$54,0)),"unknown"))</f>
        <v/>
      </c>
      <c r="D175" s="5">
        <f>IF(OR(A175="",B175="",Setup!$B$4=""),0,IF(C175=Setup!$B$4,1,0))</f>
        <v/>
      </c>
      <c r="E175" s="11">
        <f>IF(D175=1,SUMPRODUCT(($B$5:$B$304=B175)*($D$5:$D$304=1)),"")</f>
        <v/>
      </c>
      <c r="F175" s="5">
        <f>IF(D175=1,E175&gt;=Setup!$B$5,"")</f>
        <v/>
      </c>
    </row>
    <row r="176">
      <c r="A176" s="7" t="n"/>
      <c r="B176" s="7" t="n"/>
      <c r="C176" s="5">
        <f>IF(A176="","",IFERROR(INDEX(Clients!$B$5:$B$54,MATCH(A176,Clients!$A$5:$A$54,0)),"unknown"))</f>
        <v/>
      </c>
      <c r="D176" s="5">
        <f>IF(OR(A176="",B176="",Setup!$B$4=""),0,IF(C176=Setup!$B$4,1,0))</f>
        <v/>
      </c>
      <c r="E176" s="11">
        <f>IF(D176=1,SUMPRODUCT(($B$5:$B$304=B176)*($D$5:$D$304=1)),"")</f>
        <v/>
      </c>
      <c r="F176" s="5">
        <f>IF(D176=1,E176&gt;=Setup!$B$5,"")</f>
        <v/>
      </c>
    </row>
    <row r="177">
      <c r="A177" s="7" t="n"/>
      <c r="B177" s="7" t="n"/>
      <c r="C177" s="5">
        <f>IF(A177="","",IFERROR(INDEX(Clients!$B$5:$B$54,MATCH(A177,Clients!$A$5:$A$54,0)),"unknown"))</f>
        <v/>
      </c>
      <c r="D177" s="5">
        <f>IF(OR(A177="",B177="",Setup!$B$4=""),0,IF(C177=Setup!$B$4,1,0))</f>
        <v/>
      </c>
      <c r="E177" s="11">
        <f>IF(D177=1,SUMPRODUCT(($B$5:$B$304=B177)*($D$5:$D$304=1)),"")</f>
        <v/>
      </c>
      <c r="F177" s="5">
        <f>IF(D177=1,E177&gt;=Setup!$B$5,"")</f>
        <v/>
      </c>
    </row>
    <row r="178">
      <c r="A178" s="7" t="n"/>
      <c r="B178" s="7" t="n"/>
      <c r="C178" s="5">
        <f>IF(A178="","",IFERROR(INDEX(Clients!$B$5:$B$54,MATCH(A178,Clients!$A$5:$A$54,0)),"unknown"))</f>
        <v/>
      </c>
      <c r="D178" s="5">
        <f>IF(OR(A178="",B178="",Setup!$B$4=""),0,IF(C178=Setup!$B$4,1,0))</f>
        <v/>
      </c>
      <c r="E178" s="11">
        <f>IF(D178=1,SUMPRODUCT(($B$5:$B$304=B178)*($D$5:$D$304=1)),"")</f>
        <v/>
      </c>
      <c r="F178" s="5">
        <f>IF(D178=1,E178&gt;=Setup!$B$5,"")</f>
        <v/>
      </c>
    </row>
    <row r="179">
      <c r="A179" s="7" t="n"/>
      <c r="B179" s="7" t="n"/>
      <c r="C179" s="5">
        <f>IF(A179="","",IFERROR(INDEX(Clients!$B$5:$B$54,MATCH(A179,Clients!$A$5:$A$54,0)),"unknown"))</f>
        <v/>
      </c>
      <c r="D179" s="5">
        <f>IF(OR(A179="",B179="",Setup!$B$4=""),0,IF(C179=Setup!$B$4,1,0))</f>
        <v/>
      </c>
      <c r="E179" s="11">
        <f>IF(D179=1,SUMPRODUCT(($B$5:$B$304=B179)*($D$5:$D$304=1)),"")</f>
        <v/>
      </c>
      <c r="F179" s="5">
        <f>IF(D179=1,E179&gt;=Setup!$B$5,"")</f>
        <v/>
      </c>
    </row>
    <row r="180">
      <c r="A180" s="7" t="n"/>
      <c r="B180" s="7" t="n"/>
      <c r="C180" s="5">
        <f>IF(A180="","",IFERROR(INDEX(Clients!$B$5:$B$54,MATCH(A180,Clients!$A$5:$A$54,0)),"unknown"))</f>
        <v/>
      </c>
      <c r="D180" s="5">
        <f>IF(OR(A180="",B180="",Setup!$B$4=""),0,IF(C180=Setup!$B$4,1,0))</f>
        <v/>
      </c>
      <c r="E180" s="11">
        <f>IF(D180=1,SUMPRODUCT(($B$5:$B$304=B180)*($D$5:$D$304=1)),"")</f>
        <v/>
      </c>
      <c r="F180" s="5">
        <f>IF(D180=1,E180&gt;=Setup!$B$5,"")</f>
        <v/>
      </c>
    </row>
    <row r="181">
      <c r="A181" s="7" t="n"/>
      <c r="B181" s="7" t="n"/>
      <c r="C181" s="5">
        <f>IF(A181="","",IFERROR(INDEX(Clients!$B$5:$B$54,MATCH(A181,Clients!$A$5:$A$54,0)),"unknown"))</f>
        <v/>
      </c>
      <c r="D181" s="5">
        <f>IF(OR(A181="",B181="",Setup!$B$4=""),0,IF(C181=Setup!$B$4,1,0))</f>
        <v/>
      </c>
      <c r="E181" s="11">
        <f>IF(D181=1,SUMPRODUCT(($B$5:$B$304=B181)*($D$5:$D$304=1)),"")</f>
        <v/>
      </c>
      <c r="F181" s="5">
        <f>IF(D181=1,E181&gt;=Setup!$B$5,"")</f>
        <v/>
      </c>
    </row>
    <row r="182">
      <c r="A182" s="7" t="n"/>
      <c r="B182" s="7" t="n"/>
      <c r="C182" s="5">
        <f>IF(A182="","",IFERROR(INDEX(Clients!$B$5:$B$54,MATCH(A182,Clients!$A$5:$A$54,0)),"unknown"))</f>
        <v/>
      </c>
      <c r="D182" s="5">
        <f>IF(OR(A182="",B182="",Setup!$B$4=""),0,IF(C182=Setup!$B$4,1,0))</f>
        <v/>
      </c>
      <c r="E182" s="11">
        <f>IF(D182=1,SUMPRODUCT(($B$5:$B$304=B182)*($D$5:$D$304=1)),"")</f>
        <v/>
      </c>
      <c r="F182" s="5">
        <f>IF(D182=1,E182&gt;=Setup!$B$5,"")</f>
        <v/>
      </c>
    </row>
    <row r="183">
      <c r="A183" s="7" t="n"/>
      <c r="B183" s="7" t="n"/>
      <c r="C183" s="5">
        <f>IF(A183="","",IFERROR(INDEX(Clients!$B$5:$B$54,MATCH(A183,Clients!$A$5:$A$54,0)),"unknown"))</f>
        <v/>
      </c>
      <c r="D183" s="5">
        <f>IF(OR(A183="",B183="",Setup!$B$4=""),0,IF(C183=Setup!$B$4,1,0))</f>
        <v/>
      </c>
      <c r="E183" s="11">
        <f>IF(D183=1,SUMPRODUCT(($B$5:$B$304=B183)*($D$5:$D$304=1)),"")</f>
        <v/>
      </c>
      <c r="F183" s="5">
        <f>IF(D183=1,E183&gt;=Setup!$B$5,"")</f>
        <v/>
      </c>
    </row>
    <row r="184">
      <c r="A184" s="7" t="n"/>
      <c r="B184" s="7" t="n"/>
      <c r="C184" s="5">
        <f>IF(A184="","",IFERROR(INDEX(Clients!$B$5:$B$54,MATCH(A184,Clients!$A$5:$A$54,0)),"unknown"))</f>
        <v/>
      </c>
      <c r="D184" s="5">
        <f>IF(OR(A184="",B184="",Setup!$B$4=""),0,IF(C184=Setup!$B$4,1,0))</f>
        <v/>
      </c>
      <c r="E184" s="11">
        <f>IF(D184=1,SUMPRODUCT(($B$5:$B$304=B184)*($D$5:$D$304=1)),"")</f>
        <v/>
      </c>
      <c r="F184" s="5">
        <f>IF(D184=1,E184&gt;=Setup!$B$5,"")</f>
        <v/>
      </c>
    </row>
    <row r="185">
      <c r="A185" s="7" t="n"/>
      <c r="B185" s="7" t="n"/>
      <c r="C185" s="5">
        <f>IF(A185="","",IFERROR(INDEX(Clients!$B$5:$B$54,MATCH(A185,Clients!$A$5:$A$54,0)),"unknown"))</f>
        <v/>
      </c>
      <c r="D185" s="5">
        <f>IF(OR(A185="",B185="",Setup!$B$4=""),0,IF(C185=Setup!$B$4,1,0))</f>
        <v/>
      </c>
      <c r="E185" s="11">
        <f>IF(D185=1,SUMPRODUCT(($B$5:$B$304=B185)*($D$5:$D$304=1)),"")</f>
        <v/>
      </c>
      <c r="F185" s="5">
        <f>IF(D185=1,E185&gt;=Setup!$B$5,"")</f>
        <v/>
      </c>
    </row>
    <row r="186">
      <c r="A186" s="7" t="n"/>
      <c r="B186" s="7" t="n"/>
      <c r="C186" s="5">
        <f>IF(A186="","",IFERROR(INDEX(Clients!$B$5:$B$54,MATCH(A186,Clients!$A$5:$A$54,0)),"unknown"))</f>
        <v/>
      </c>
      <c r="D186" s="5">
        <f>IF(OR(A186="",B186="",Setup!$B$4=""),0,IF(C186=Setup!$B$4,1,0))</f>
        <v/>
      </c>
      <c r="E186" s="11">
        <f>IF(D186=1,SUMPRODUCT(($B$5:$B$304=B186)*($D$5:$D$304=1)),"")</f>
        <v/>
      </c>
      <c r="F186" s="5">
        <f>IF(D186=1,E186&gt;=Setup!$B$5,"")</f>
        <v/>
      </c>
    </row>
    <row r="187">
      <c r="A187" s="7" t="n"/>
      <c r="B187" s="7" t="n"/>
      <c r="C187" s="5">
        <f>IF(A187="","",IFERROR(INDEX(Clients!$B$5:$B$54,MATCH(A187,Clients!$A$5:$A$54,0)),"unknown"))</f>
        <v/>
      </c>
      <c r="D187" s="5">
        <f>IF(OR(A187="",B187="",Setup!$B$4=""),0,IF(C187=Setup!$B$4,1,0))</f>
        <v/>
      </c>
      <c r="E187" s="11">
        <f>IF(D187=1,SUMPRODUCT(($B$5:$B$304=B187)*($D$5:$D$304=1)),"")</f>
        <v/>
      </c>
      <c r="F187" s="5">
        <f>IF(D187=1,E187&gt;=Setup!$B$5,"")</f>
        <v/>
      </c>
    </row>
    <row r="188">
      <c r="A188" s="7" t="n"/>
      <c r="B188" s="7" t="n"/>
      <c r="C188" s="5">
        <f>IF(A188="","",IFERROR(INDEX(Clients!$B$5:$B$54,MATCH(A188,Clients!$A$5:$A$54,0)),"unknown"))</f>
        <v/>
      </c>
      <c r="D188" s="5">
        <f>IF(OR(A188="",B188="",Setup!$B$4=""),0,IF(C188=Setup!$B$4,1,0))</f>
        <v/>
      </c>
      <c r="E188" s="11">
        <f>IF(D188=1,SUMPRODUCT(($B$5:$B$304=B188)*($D$5:$D$304=1)),"")</f>
        <v/>
      </c>
      <c r="F188" s="5">
        <f>IF(D188=1,E188&gt;=Setup!$B$5,"")</f>
        <v/>
      </c>
    </row>
    <row r="189">
      <c r="A189" s="7" t="n"/>
      <c r="B189" s="7" t="n"/>
      <c r="C189" s="5">
        <f>IF(A189="","",IFERROR(INDEX(Clients!$B$5:$B$54,MATCH(A189,Clients!$A$5:$A$54,0)),"unknown"))</f>
        <v/>
      </c>
      <c r="D189" s="5">
        <f>IF(OR(A189="",B189="",Setup!$B$4=""),0,IF(C189=Setup!$B$4,1,0))</f>
        <v/>
      </c>
      <c r="E189" s="11">
        <f>IF(D189=1,SUMPRODUCT(($B$5:$B$304=B189)*($D$5:$D$304=1)),"")</f>
        <v/>
      </c>
      <c r="F189" s="5">
        <f>IF(D189=1,E189&gt;=Setup!$B$5,"")</f>
        <v/>
      </c>
    </row>
    <row r="190">
      <c r="A190" s="7" t="n"/>
      <c r="B190" s="7" t="n"/>
      <c r="C190" s="5">
        <f>IF(A190="","",IFERROR(INDEX(Clients!$B$5:$B$54,MATCH(A190,Clients!$A$5:$A$54,0)),"unknown"))</f>
        <v/>
      </c>
      <c r="D190" s="5">
        <f>IF(OR(A190="",B190="",Setup!$B$4=""),0,IF(C190=Setup!$B$4,1,0))</f>
        <v/>
      </c>
      <c r="E190" s="11">
        <f>IF(D190=1,SUMPRODUCT(($B$5:$B$304=B190)*($D$5:$D$304=1)),"")</f>
        <v/>
      </c>
      <c r="F190" s="5">
        <f>IF(D190=1,E190&gt;=Setup!$B$5,"")</f>
        <v/>
      </c>
    </row>
    <row r="191">
      <c r="A191" s="7" t="n"/>
      <c r="B191" s="7" t="n"/>
      <c r="C191" s="5">
        <f>IF(A191="","",IFERROR(INDEX(Clients!$B$5:$B$54,MATCH(A191,Clients!$A$5:$A$54,0)),"unknown"))</f>
        <v/>
      </c>
      <c r="D191" s="5">
        <f>IF(OR(A191="",B191="",Setup!$B$4=""),0,IF(C191=Setup!$B$4,1,0))</f>
        <v/>
      </c>
      <c r="E191" s="11">
        <f>IF(D191=1,SUMPRODUCT(($B$5:$B$304=B191)*($D$5:$D$304=1)),"")</f>
        <v/>
      </c>
      <c r="F191" s="5">
        <f>IF(D191=1,E191&gt;=Setup!$B$5,"")</f>
        <v/>
      </c>
    </row>
    <row r="192">
      <c r="A192" s="7" t="n"/>
      <c r="B192" s="7" t="n"/>
      <c r="C192" s="5">
        <f>IF(A192="","",IFERROR(INDEX(Clients!$B$5:$B$54,MATCH(A192,Clients!$A$5:$A$54,0)),"unknown"))</f>
        <v/>
      </c>
      <c r="D192" s="5">
        <f>IF(OR(A192="",B192="",Setup!$B$4=""),0,IF(C192=Setup!$B$4,1,0))</f>
        <v/>
      </c>
      <c r="E192" s="11">
        <f>IF(D192=1,SUMPRODUCT(($B$5:$B$304=B192)*($D$5:$D$304=1)),"")</f>
        <v/>
      </c>
      <c r="F192" s="5">
        <f>IF(D192=1,E192&gt;=Setup!$B$5,"")</f>
        <v/>
      </c>
    </row>
    <row r="193">
      <c r="A193" s="7" t="n"/>
      <c r="B193" s="7" t="n"/>
      <c r="C193" s="5">
        <f>IF(A193="","",IFERROR(INDEX(Clients!$B$5:$B$54,MATCH(A193,Clients!$A$5:$A$54,0)),"unknown"))</f>
        <v/>
      </c>
      <c r="D193" s="5">
        <f>IF(OR(A193="",B193="",Setup!$B$4=""),0,IF(C193=Setup!$B$4,1,0))</f>
        <v/>
      </c>
      <c r="E193" s="11">
        <f>IF(D193=1,SUMPRODUCT(($B$5:$B$304=B193)*($D$5:$D$304=1)),"")</f>
        <v/>
      </c>
      <c r="F193" s="5">
        <f>IF(D193=1,E193&gt;=Setup!$B$5,"")</f>
        <v/>
      </c>
    </row>
    <row r="194">
      <c r="A194" s="7" t="n"/>
      <c r="B194" s="7" t="n"/>
      <c r="C194" s="5">
        <f>IF(A194="","",IFERROR(INDEX(Clients!$B$5:$B$54,MATCH(A194,Clients!$A$5:$A$54,0)),"unknown"))</f>
        <v/>
      </c>
      <c r="D194" s="5">
        <f>IF(OR(A194="",B194="",Setup!$B$4=""),0,IF(C194=Setup!$B$4,1,0))</f>
        <v/>
      </c>
      <c r="E194" s="11">
        <f>IF(D194=1,SUMPRODUCT(($B$5:$B$304=B194)*($D$5:$D$304=1)),"")</f>
        <v/>
      </c>
      <c r="F194" s="5">
        <f>IF(D194=1,E194&gt;=Setup!$B$5,"")</f>
        <v/>
      </c>
    </row>
    <row r="195">
      <c r="A195" s="7" t="n"/>
      <c r="B195" s="7" t="n"/>
      <c r="C195" s="5">
        <f>IF(A195="","",IFERROR(INDEX(Clients!$B$5:$B$54,MATCH(A195,Clients!$A$5:$A$54,0)),"unknown"))</f>
        <v/>
      </c>
      <c r="D195" s="5">
        <f>IF(OR(A195="",B195="",Setup!$B$4=""),0,IF(C195=Setup!$B$4,1,0))</f>
        <v/>
      </c>
      <c r="E195" s="11">
        <f>IF(D195=1,SUMPRODUCT(($B$5:$B$304=B195)*($D$5:$D$304=1)),"")</f>
        <v/>
      </c>
      <c r="F195" s="5">
        <f>IF(D195=1,E195&gt;=Setup!$B$5,"")</f>
        <v/>
      </c>
    </row>
    <row r="196">
      <c r="A196" s="7" t="n"/>
      <c r="B196" s="7" t="n"/>
      <c r="C196" s="5">
        <f>IF(A196="","",IFERROR(INDEX(Clients!$B$5:$B$54,MATCH(A196,Clients!$A$5:$A$54,0)),"unknown"))</f>
        <v/>
      </c>
      <c r="D196" s="5">
        <f>IF(OR(A196="",B196="",Setup!$B$4=""),0,IF(C196=Setup!$B$4,1,0))</f>
        <v/>
      </c>
      <c r="E196" s="11">
        <f>IF(D196=1,SUMPRODUCT(($B$5:$B$304=B196)*($D$5:$D$304=1)),"")</f>
        <v/>
      </c>
      <c r="F196" s="5">
        <f>IF(D196=1,E196&gt;=Setup!$B$5,"")</f>
        <v/>
      </c>
    </row>
    <row r="197">
      <c r="A197" s="7" t="n"/>
      <c r="B197" s="7" t="n"/>
      <c r="C197" s="5">
        <f>IF(A197="","",IFERROR(INDEX(Clients!$B$5:$B$54,MATCH(A197,Clients!$A$5:$A$54,0)),"unknown"))</f>
        <v/>
      </c>
      <c r="D197" s="5">
        <f>IF(OR(A197="",B197="",Setup!$B$4=""),0,IF(C197=Setup!$B$4,1,0))</f>
        <v/>
      </c>
      <c r="E197" s="11">
        <f>IF(D197=1,SUMPRODUCT(($B$5:$B$304=B197)*($D$5:$D$304=1)),"")</f>
        <v/>
      </c>
      <c r="F197" s="5">
        <f>IF(D197=1,E197&gt;=Setup!$B$5,"")</f>
        <v/>
      </c>
    </row>
    <row r="198">
      <c r="A198" s="7" t="n"/>
      <c r="B198" s="7" t="n"/>
      <c r="C198" s="5">
        <f>IF(A198="","",IFERROR(INDEX(Clients!$B$5:$B$54,MATCH(A198,Clients!$A$5:$A$54,0)),"unknown"))</f>
        <v/>
      </c>
      <c r="D198" s="5">
        <f>IF(OR(A198="",B198="",Setup!$B$4=""),0,IF(C198=Setup!$B$4,1,0))</f>
        <v/>
      </c>
      <c r="E198" s="11">
        <f>IF(D198=1,SUMPRODUCT(($B$5:$B$304=B198)*($D$5:$D$304=1)),"")</f>
        <v/>
      </c>
      <c r="F198" s="5">
        <f>IF(D198=1,E198&gt;=Setup!$B$5,"")</f>
        <v/>
      </c>
    </row>
    <row r="199">
      <c r="A199" s="7" t="n"/>
      <c r="B199" s="7" t="n"/>
      <c r="C199" s="5">
        <f>IF(A199="","",IFERROR(INDEX(Clients!$B$5:$B$54,MATCH(A199,Clients!$A$5:$A$54,0)),"unknown"))</f>
        <v/>
      </c>
      <c r="D199" s="5">
        <f>IF(OR(A199="",B199="",Setup!$B$4=""),0,IF(C199=Setup!$B$4,1,0))</f>
        <v/>
      </c>
      <c r="E199" s="11">
        <f>IF(D199=1,SUMPRODUCT(($B$5:$B$304=B199)*($D$5:$D$304=1)),"")</f>
        <v/>
      </c>
      <c r="F199" s="5">
        <f>IF(D199=1,E199&gt;=Setup!$B$5,"")</f>
        <v/>
      </c>
    </row>
    <row r="200">
      <c r="A200" s="7" t="n"/>
      <c r="B200" s="7" t="n"/>
      <c r="C200" s="5">
        <f>IF(A200="","",IFERROR(INDEX(Clients!$B$5:$B$54,MATCH(A200,Clients!$A$5:$A$54,0)),"unknown"))</f>
        <v/>
      </c>
      <c r="D200" s="5">
        <f>IF(OR(A200="",B200="",Setup!$B$4=""),0,IF(C200=Setup!$B$4,1,0))</f>
        <v/>
      </c>
      <c r="E200" s="11">
        <f>IF(D200=1,SUMPRODUCT(($B$5:$B$304=B200)*($D$5:$D$304=1)),"")</f>
        <v/>
      </c>
      <c r="F200" s="5">
        <f>IF(D200=1,E200&gt;=Setup!$B$5,"")</f>
        <v/>
      </c>
    </row>
    <row r="201">
      <c r="A201" s="7" t="n"/>
      <c r="B201" s="7" t="n"/>
      <c r="C201" s="5">
        <f>IF(A201="","",IFERROR(INDEX(Clients!$B$5:$B$54,MATCH(A201,Clients!$A$5:$A$54,0)),"unknown"))</f>
        <v/>
      </c>
      <c r="D201" s="5">
        <f>IF(OR(A201="",B201="",Setup!$B$4=""),0,IF(C201=Setup!$B$4,1,0))</f>
        <v/>
      </c>
      <c r="E201" s="11">
        <f>IF(D201=1,SUMPRODUCT(($B$5:$B$304=B201)*($D$5:$D$304=1)),"")</f>
        <v/>
      </c>
      <c r="F201" s="5">
        <f>IF(D201=1,E201&gt;=Setup!$B$5,"")</f>
        <v/>
      </c>
    </row>
    <row r="202">
      <c r="A202" s="7" t="n"/>
      <c r="B202" s="7" t="n"/>
      <c r="C202" s="5">
        <f>IF(A202="","",IFERROR(INDEX(Clients!$B$5:$B$54,MATCH(A202,Clients!$A$5:$A$54,0)),"unknown"))</f>
        <v/>
      </c>
      <c r="D202" s="5">
        <f>IF(OR(A202="",B202="",Setup!$B$4=""),0,IF(C202=Setup!$B$4,1,0))</f>
        <v/>
      </c>
      <c r="E202" s="11">
        <f>IF(D202=1,SUMPRODUCT(($B$5:$B$304=B202)*($D$5:$D$304=1)),"")</f>
        <v/>
      </c>
      <c r="F202" s="5">
        <f>IF(D202=1,E202&gt;=Setup!$B$5,"")</f>
        <v/>
      </c>
    </row>
    <row r="203">
      <c r="A203" s="7" t="n"/>
      <c r="B203" s="7" t="n"/>
      <c r="C203" s="5">
        <f>IF(A203="","",IFERROR(INDEX(Clients!$B$5:$B$54,MATCH(A203,Clients!$A$5:$A$54,0)),"unknown"))</f>
        <v/>
      </c>
      <c r="D203" s="5">
        <f>IF(OR(A203="",B203="",Setup!$B$4=""),0,IF(C203=Setup!$B$4,1,0))</f>
        <v/>
      </c>
      <c r="E203" s="11">
        <f>IF(D203=1,SUMPRODUCT(($B$5:$B$304=B203)*($D$5:$D$304=1)),"")</f>
        <v/>
      </c>
      <c r="F203" s="5">
        <f>IF(D203=1,E203&gt;=Setup!$B$5,"")</f>
        <v/>
      </c>
    </row>
    <row r="204">
      <c r="A204" s="7" t="n"/>
      <c r="B204" s="7" t="n"/>
      <c r="C204" s="5">
        <f>IF(A204="","",IFERROR(INDEX(Clients!$B$5:$B$54,MATCH(A204,Clients!$A$5:$A$54,0)),"unknown"))</f>
        <v/>
      </c>
      <c r="D204" s="5">
        <f>IF(OR(A204="",B204="",Setup!$B$4=""),0,IF(C204=Setup!$B$4,1,0))</f>
        <v/>
      </c>
      <c r="E204" s="11">
        <f>IF(D204=1,SUMPRODUCT(($B$5:$B$304=B204)*($D$5:$D$304=1)),"")</f>
        <v/>
      </c>
      <c r="F204" s="5">
        <f>IF(D204=1,E204&gt;=Setup!$B$5,"")</f>
        <v/>
      </c>
    </row>
    <row r="205">
      <c r="A205" s="7" t="n"/>
      <c r="B205" s="7" t="n"/>
      <c r="C205" s="5">
        <f>IF(A205="","",IFERROR(INDEX(Clients!$B$5:$B$54,MATCH(A205,Clients!$A$5:$A$54,0)),"unknown"))</f>
        <v/>
      </c>
      <c r="D205" s="5">
        <f>IF(OR(A205="",B205="",Setup!$B$4=""),0,IF(C205=Setup!$B$4,1,0))</f>
        <v/>
      </c>
      <c r="E205" s="11">
        <f>IF(D205=1,SUMPRODUCT(($B$5:$B$304=B205)*($D$5:$D$304=1)),"")</f>
        <v/>
      </c>
      <c r="F205" s="5">
        <f>IF(D205=1,E205&gt;=Setup!$B$5,"")</f>
        <v/>
      </c>
    </row>
    <row r="206">
      <c r="A206" s="7" t="n"/>
      <c r="B206" s="7" t="n"/>
      <c r="C206" s="5">
        <f>IF(A206="","",IFERROR(INDEX(Clients!$B$5:$B$54,MATCH(A206,Clients!$A$5:$A$54,0)),"unknown"))</f>
        <v/>
      </c>
      <c r="D206" s="5">
        <f>IF(OR(A206="",B206="",Setup!$B$4=""),0,IF(C206=Setup!$B$4,1,0))</f>
        <v/>
      </c>
      <c r="E206" s="11">
        <f>IF(D206=1,SUMPRODUCT(($B$5:$B$304=B206)*($D$5:$D$304=1)),"")</f>
        <v/>
      </c>
      <c r="F206" s="5">
        <f>IF(D206=1,E206&gt;=Setup!$B$5,"")</f>
        <v/>
      </c>
    </row>
    <row r="207">
      <c r="A207" s="7" t="n"/>
      <c r="B207" s="7" t="n"/>
      <c r="C207" s="5">
        <f>IF(A207="","",IFERROR(INDEX(Clients!$B$5:$B$54,MATCH(A207,Clients!$A$5:$A$54,0)),"unknown"))</f>
        <v/>
      </c>
      <c r="D207" s="5">
        <f>IF(OR(A207="",B207="",Setup!$B$4=""),0,IF(C207=Setup!$B$4,1,0))</f>
        <v/>
      </c>
      <c r="E207" s="11">
        <f>IF(D207=1,SUMPRODUCT(($B$5:$B$304=B207)*($D$5:$D$304=1)),"")</f>
        <v/>
      </c>
      <c r="F207" s="5">
        <f>IF(D207=1,E207&gt;=Setup!$B$5,"")</f>
        <v/>
      </c>
    </row>
    <row r="208">
      <c r="A208" s="7" t="n"/>
      <c r="B208" s="7" t="n"/>
      <c r="C208" s="5">
        <f>IF(A208="","",IFERROR(INDEX(Clients!$B$5:$B$54,MATCH(A208,Clients!$A$5:$A$54,0)),"unknown"))</f>
        <v/>
      </c>
      <c r="D208" s="5">
        <f>IF(OR(A208="",B208="",Setup!$B$4=""),0,IF(C208=Setup!$B$4,1,0))</f>
        <v/>
      </c>
      <c r="E208" s="11">
        <f>IF(D208=1,SUMPRODUCT(($B$5:$B$304=B208)*($D$5:$D$304=1)),"")</f>
        <v/>
      </c>
      <c r="F208" s="5">
        <f>IF(D208=1,E208&gt;=Setup!$B$5,"")</f>
        <v/>
      </c>
    </row>
    <row r="209">
      <c r="A209" s="7" t="n"/>
      <c r="B209" s="7" t="n"/>
      <c r="C209" s="5">
        <f>IF(A209="","",IFERROR(INDEX(Clients!$B$5:$B$54,MATCH(A209,Clients!$A$5:$A$54,0)),"unknown"))</f>
        <v/>
      </c>
      <c r="D209" s="5">
        <f>IF(OR(A209="",B209="",Setup!$B$4=""),0,IF(C209=Setup!$B$4,1,0))</f>
        <v/>
      </c>
      <c r="E209" s="11">
        <f>IF(D209=1,SUMPRODUCT(($B$5:$B$304=B209)*($D$5:$D$304=1)),"")</f>
        <v/>
      </c>
      <c r="F209" s="5">
        <f>IF(D209=1,E209&gt;=Setup!$B$5,"")</f>
        <v/>
      </c>
    </row>
    <row r="210">
      <c r="A210" s="7" t="n"/>
      <c r="B210" s="7" t="n"/>
      <c r="C210" s="5">
        <f>IF(A210="","",IFERROR(INDEX(Clients!$B$5:$B$54,MATCH(A210,Clients!$A$5:$A$54,0)),"unknown"))</f>
        <v/>
      </c>
      <c r="D210" s="5">
        <f>IF(OR(A210="",B210="",Setup!$B$4=""),0,IF(C210=Setup!$B$4,1,0))</f>
        <v/>
      </c>
      <c r="E210" s="11">
        <f>IF(D210=1,SUMPRODUCT(($B$5:$B$304=B210)*($D$5:$D$304=1)),"")</f>
        <v/>
      </c>
      <c r="F210" s="5">
        <f>IF(D210=1,E210&gt;=Setup!$B$5,"")</f>
        <v/>
      </c>
    </row>
    <row r="211">
      <c r="A211" s="7" t="n"/>
      <c r="B211" s="7" t="n"/>
      <c r="C211" s="5">
        <f>IF(A211="","",IFERROR(INDEX(Clients!$B$5:$B$54,MATCH(A211,Clients!$A$5:$A$54,0)),"unknown"))</f>
        <v/>
      </c>
      <c r="D211" s="5">
        <f>IF(OR(A211="",B211="",Setup!$B$4=""),0,IF(C211=Setup!$B$4,1,0))</f>
        <v/>
      </c>
      <c r="E211" s="11">
        <f>IF(D211=1,SUMPRODUCT(($B$5:$B$304=B211)*($D$5:$D$304=1)),"")</f>
        <v/>
      </c>
      <c r="F211" s="5">
        <f>IF(D211=1,E211&gt;=Setup!$B$5,"")</f>
        <v/>
      </c>
    </row>
    <row r="212">
      <c r="A212" s="7" t="n"/>
      <c r="B212" s="7" t="n"/>
      <c r="C212" s="5">
        <f>IF(A212="","",IFERROR(INDEX(Clients!$B$5:$B$54,MATCH(A212,Clients!$A$5:$A$54,0)),"unknown"))</f>
        <v/>
      </c>
      <c r="D212" s="5">
        <f>IF(OR(A212="",B212="",Setup!$B$4=""),0,IF(C212=Setup!$B$4,1,0))</f>
        <v/>
      </c>
      <c r="E212" s="11">
        <f>IF(D212=1,SUMPRODUCT(($B$5:$B$304=B212)*($D$5:$D$304=1)),"")</f>
        <v/>
      </c>
      <c r="F212" s="5">
        <f>IF(D212=1,E212&gt;=Setup!$B$5,"")</f>
        <v/>
      </c>
    </row>
    <row r="213">
      <c r="A213" s="7" t="n"/>
      <c r="B213" s="7" t="n"/>
      <c r="C213" s="5">
        <f>IF(A213="","",IFERROR(INDEX(Clients!$B$5:$B$54,MATCH(A213,Clients!$A$5:$A$54,0)),"unknown"))</f>
        <v/>
      </c>
      <c r="D213" s="5">
        <f>IF(OR(A213="",B213="",Setup!$B$4=""),0,IF(C213=Setup!$B$4,1,0))</f>
        <v/>
      </c>
      <c r="E213" s="11">
        <f>IF(D213=1,SUMPRODUCT(($B$5:$B$304=B213)*($D$5:$D$304=1)),"")</f>
        <v/>
      </c>
      <c r="F213" s="5">
        <f>IF(D213=1,E213&gt;=Setup!$B$5,"")</f>
        <v/>
      </c>
    </row>
    <row r="214">
      <c r="A214" s="7" t="n"/>
      <c r="B214" s="7" t="n"/>
      <c r="C214" s="5">
        <f>IF(A214="","",IFERROR(INDEX(Clients!$B$5:$B$54,MATCH(A214,Clients!$A$5:$A$54,0)),"unknown"))</f>
        <v/>
      </c>
      <c r="D214" s="5">
        <f>IF(OR(A214="",B214="",Setup!$B$4=""),0,IF(C214=Setup!$B$4,1,0))</f>
        <v/>
      </c>
      <c r="E214" s="11">
        <f>IF(D214=1,SUMPRODUCT(($B$5:$B$304=B214)*($D$5:$D$304=1)),"")</f>
        <v/>
      </c>
      <c r="F214" s="5">
        <f>IF(D214=1,E214&gt;=Setup!$B$5,"")</f>
        <v/>
      </c>
    </row>
    <row r="215">
      <c r="A215" s="7" t="n"/>
      <c r="B215" s="7" t="n"/>
      <c r="C215" s="5">
        <f>IF(A215="","",IFERROR(INDEX(Clients!$B$5:$B$54,MATCH(A215,Clients!$A$5:$A$54,0)),"unknown"))</f>
        <v/>
      </c>
      <c r="D215" s="5">
        <f>IF(OR(A215="",B215="",Setup!$B$4=""),0,IF(C215=Setup!$B$4,1,0))</f>
        <v/>
      </c>
      <c r="E215" s="11">
        <f>IF(D215=1,SUMPRODUCT(($B$5:$B$304=B215)*($D$5:$D$304=1)),"")</f>
        <v/>
      </c>
      <c r="F215" s="5">
        <f>IF(D215=1,E215&gt;=Setup!$B$5,"")</f>
        <v/>
      </c>
    </row>
    <row r="216">
      <c r="A216" s="7" t="n"/>
      <c r="B216" s="7" t="n"/>
      <c r="C216" s="5">
        <f>IF(A216="","",IFERROR(INDEX(Clients!$B$5:$B$54,MATCH(A216,Clients!$A$5:$A$54,0)),"unknown"))</f>
        <v/>
      </c>
      <c r="D216" s="5">
        <f>IF(OR(A216="",B216="",Setup!$B$4=""),0,IF(C216=Setup!$B$4,1,0))</f>
        <v/>
      </c>
      <c r="E216" s="11">
        <f>IF(D216=1,SUMPRODUCT(($B$5:$B$304=B216)*($D$5:$D$304=1)),"")</f>
        <v/>
      </c>
      <c r="F216" s="5">
        <f>IF(D216=1,E216&gt;=Setup!$B$5,"")</f>
        <v/>
      </c>
    </row>
    <row r="217">
      <c r="A217" s="7" t="n"/>
      <c r="B217" s="7" t="n"/>
      <c r="C217" s="5">
        <f>IF(A217="","",IFERROR(INDEX(Clients!$B$5:$B$54,MATCH(A217,Clients!$A$5:$A$54,0)),"unknown"))</f>
        <v/>
      </c>
      <c r="D217" s="5">
        <f>IF(OR(A217="",B217="",Setup!$B$4=""),0,IF(C217=Setup!$B$4,1,0))</f>
        <v/>
      </c>
      <c r="E217" s="11">
        <f>IF(D217=1,SUMPRODUCT(($B$5:$B$304=B217)*($D$5:$D$304=1)),"")</f>
        <v/>
      </c>
      <c r="F217" s="5">
        <f>IF(D217=1,E217&gt;=Setup!$B$5,"")</f>
        <v/>
      </c>
    </row>
    <row r="218">
      <c r="A218" s="7" t="n"/>
      <c r="B218" s="7" t="n"/>
      <c r="C218" s="5">
        <f>IF(A218="","",IFERROR(INDEX(Clients!$B$5:$B$54,MATCH(A218,Clients!$A$5:$A$54,0)),"unknown"))</f>
        <v/>
      </c>
      <c r="D218" s="5">
        <f>IF(OR(A218="",B218="",Setup!$B$4=""),0,IF(C218=Setup!$B$4,1,0))</f>
        <v/>
      </c>
      <c r="E218" s="11">
        <f>IF(D218=1,SUMPRODUCT(($B$5:$B$304=B218)*($D$5:$D$304=1)),"")</f>
        <v/>
      </c>
      <c r="F218" s="5">
        <f>IF(D218=1,E218&gt;=Setup!$B$5,"")</f>
        <v/>
      </c>
    </row>
    <row r="219">
      <c r="A219" s="7" t="n"/>
      <c r="B219" s="7" t="n"/>
      <c r="C219" s="5">
        <f>IF(A219="","",IFERROR(INDEX(Clients!$B$5:$B$54,MATCH(A219,Clients!$A$5:$A$54,0)),"unknown"))</f>
        <v/>
      </c>
      <c r="D219" s="5">
        <f>IF(OR(A219="",B219="",Setup!$B$4=""),0,IF(C219=Setup!$B$4,1,0))</f>
        <v/>
      </c>
      <c r="E219" s="11">
        <f>IF(D219=1,SUMPRODUCT(($B$5:$B$304=B219)*($D$5:$D$304=1)),"")</f>
        <v/>
      </c>
      <c r="F219" s="5">
        <f>IF(D219=1,E219&gt;=Setup!$B$5,"")</f>
        <v/>
      </c>
    </row>
    <row r="220">
      <c r="A220" s="7" t="n"/>
      <c r="B220" s="7" t="n"/>
      <c r="C220" s="5">
        <f>IF(A220="","",IFERROR(INDEX(Clients!$B$5:$B$54,MATCH(A220,Clients!$A$5:$A$54,0)),"unknown"))</f>
        <v/>
      </c>
      <c r="D220" s="5">
        <f>IF(OR(A220="",B220="",Setup!$B$4=""),0,IF(C220=Setup!$B$4,1,0))</f>
        <v/>
      </c>
      <c r="E220" s="11">
        <f>IF(D220=1,SUMPRODUCT(($B$5:$B$304=B220)*($D$5:$D$304=1)),"")</f>
        <v/>
      </c>
      <c r="F220" s="5">
        <f>IF(D220=1,E220&gt;=Setup!$B$5,"")</f>
        <v/>
      </c>
    </row>
    <row r="221">
      <c r="A221" s="7" t="n"/>
      <c r="B221" s="7" t="n"/>
      <c r="C221" s="5">
        <f>IF(A221="","",IFERROR(INDEX(Clients!$B$5:$B$54,MATCH(A221,Clients!$A$5:$A$54,0)),"unknown"))</f>
        <v/>
      </c>
      <c r="D221" s="5">
        <f>IF(OR(A221="",B221="",Setup!$B$4=""),0,IF(C221=Setup!$B$4,1,0))</f>
        <v/>
      </c>
      <c r="E221" s="11">
        <f>IF(D221=1,SUMPRODUCT(($B$5:$B$304=B221)*($D$5:$D$304=1)),"")</f>
        <v/>
      </c>
      <c r="F221" s="5">
        <f>IF(D221=1,E221&gt;=Setup!$B$5,"")</f>
        <v/>
      </c>
    </row>
    <row r="222">
      <c r="A222" s="7" t="n"/>
      <c r="B222" s="7" t="n"/>
      <c r="C222" s="5">
        <f>IF(A222="","",IFERROR(INDEX(Clients!$B$5:$B$54,MATCH(A222,Clients!$A$5:$A$54,0)),"unknown"))</f>
        <v/>
      </c>
      <c r="D222" s="5">
        <f>IF(OR(A222="",B222="",Setup!$B$4=""),0,IF(C222=Setup!$B$4,1,0))</f>
        <v/>
      </c>
      <c r="E222" s="11">
        <f>IF(D222=1,SUMPRODUCT(($B$5:$B$304=B222)*($D$5:$D$304=1)),"")</f>
        <v/>
      </c>
      <c r="F222" s="5">
        <f>IF(D222=1,E222&gt;=Setup!$B$5,"")</f>
        <v/>
      </c>
    </row>
    <row r="223">
      <c r="A223" s="7" t="n"/>
      <c r="B223" s="7" t="n"/>
      <c r="C223" s="5">
        <f>IF(A223="","",IFERROR(INDEX(Clients!$B$5:$B$54,MATCH(A223,Clients!$A$5:$A$54,0)),"unknown"))</f>
        <v/>
      </c>
      <c r="D223" s="5">
        <f>IF(OR(A223="",B223="",Setup!$B$4=""),0,IF(C223=Setup!$B$4,1,0))</f>
        <v/>
      </c>
      <c r="E223" s="11">
        <f>IF(D223=1,SUMPRODUCT(($B$5:$B$304=B223)*($D$5:$D$304=1)),"")</f>
        <v/>
      </c>
      <c r="F223" s="5">
        <f>IF(D223=1,E223&gt;=Setup!$B$5,"")</f>
        <v/>
      </c>
    </row>
    <row r="224">
      <c r="A224" s="7" t="n"/>
      <c r="B224" s="7" t="n"/>
      <c r="C224" s="5">
        <f>IF(A224="","",IFERROR(INDEX(Clients!$B$5:$B$54,MATCH(A224,Clients!$A$5:$A$54,0)),"unknown"))</f>
        <v/>
      </c>
      <c r="D224" s="5">
        <f>IF(OR(A224="",B224="",Setup!$B$4=""),0,IF(C224=Setup!$B$4,1,0))</f>
        <v/>
      </c>
      <c r="E224" s="11">
        <f>IF(D224=1,SUMPRODUCT(($B$5:$B$304=B224)*($D$5:$D$304=1)),"")</f>
        <v/>
      </c>
      <c r="F224" s="5">
        <f>IF(D224=1,E224&gt;=Setup!$B$5,"")</f>
        <v/>
      </c>
    </row>
    <row r="225">
      <c r="A225" s="7" t="n"/>
      <c r="B225" s="7" t="n"/>
      <c r="C225" s="5">
        <f>IF(A225="","",IFERROR(INDEX(Clients!$B$5:$B$54,MATCH(A225,Clients!$A$5:$A$54,0)),"unknown"))</f>
        <v/>
      </c>
      <c r="D225" s="5">
        <f>IF(OR(A225="",B225="",Setup!$B$4=""),0,IF(C225=Setup!$B$4,1,0))</f>
        <v/>
      </c>
      <c r="E225" s="11">
        <f>IF(D225=1,SUMPRODUCT(($B$5:$B$304=B225)*($D$5:$D$304=1)),"")</f>
        <v/>
      </c>
      <c r="F225" s="5">
        <f>IF(D225=1,E225&gt;=Setup!$B$5,"")</f>
        <v/>
      </c>
    </row>
    <row r="226">
      <c r="A226" s="7" t="n"/>
      <c r="B226" s="7" t="n"/>
      <c r="C226" s="5">
        <f>IF(A226="","",IFERROR(INDEX(Clients!$B$5:$B$54,MATCH(A226,Clients!$A$5:$A$54,0)),"unknown"))</f>
        <v/>
      </c>
      <c r="D226" s="5">
        <f>IF(OR(A226="",B226="",Setup!$B$4=""),0,IF(C226=Setup!$B$4,1,0))</f>
        <v/>
      </c>
      <c r="E226" s="11">
        <f>IF(D226=1,SUMPRODUCT(($B$5:$B$304=B226)*($D$5:$D$304=1)),"")</f>
        <v/>
      </c>
      <c r="F226" s="5">
        <f>IF(D226=1,E226&gt;=Setup!$B$5,"")</f>
        <v/>
      </c>
    </row>
    <row r="227">
      <c r="A227" s="7" t="n"/>
      <c r="B227" s="7" t="n"/>
      <c r="C227" s="5">
        <f>IF(A227="","",IFERROR(INDEX(Clients!$B$5:$B$54,MATCH(A227,Clients!$A$5:$A$54,0)),"unknown"))</f>
        <v/>
      </c>
      <c r="D227" s="5">
        <f>IF(OR(A227="",B227="",Setup!$B$4=""),0,IF(C227=Setup!$B$4,1,0))</f>
        <v/>
      </c>
      <c r="E227" s="11">
        <f>IF(D227=1,SUMPRODUCT(($B$5:$B$304=B227)*($D$5:$D$304=1)),"")</f>
        <v/>
      </c>
      <c r="F227" s="5">
        <f>IF(D227=1,E227&gt;=Setup!$B$5,"")</f>
        <v/>
      </c>
    </row>
    <row r="228">
      <c r="A228" s="7" t="n"/>
      <c r="B228" s="7" t="n"/>
      <c r="C228" s="5">
        <f>IF(A228="","",IFERROR(INDEX(Clients!$B$5:$B$54,MATCH(A228,Clients!$A$5:$A$54,0)),"unknown"))</f>
        <v/>
      </c>
      <c r="D228" s="5">
        <f>IF(OR(A228="",B228="",Setup!$B$4=""),0,IF(C228=Setup!$B$4,1,0))</f>
        <v/>
      </c>
      <c r="E228" s="11">
        <f>IF(D228=1,SUMPRODUCT(($B$5:$B$304=B228)*($D$5:$D$304=1)),"")</f>
        <v/>
      </c>
      <c r="F228" s="5">
        <f>IF(D228=1,E228&gt;=Setup!$B$5,"")</f>
        <v/>
      </c>
    </row>
    <row r="229">
      <c r="A229" s="7" t="n"/>
      <c r="B229" s="7" t="n"/>
      <c r="C229" s="5">
        <f>IF(A229="","",IFERROR(INDEX(Clients!$B$5:$B$54,MATCH(A229,Clients!$A$5:$A$54,0)),"unknown"))</f>
        <v/>
      </c>
      <c r="D229" s="5">
        <f>IF(OR(A229="",B229="",Setup!$B$4=""),0,IF(C229=Setup!$B$4,1,0))</f>
        <v/>
      </c>
      <c r="E229" s="11">
        <f>IF(D229=1,SUMPRODUCT(($B$5:$B$304=B229)*($D$5:$D$304=1)),"")</f>
        <v/>
      </c>
      <c r="F229" s="5">
        <f>IF(D229=1,E229&gt;=Setup!$B$5,"")</f>
        <v/>
      </c>
    </row>
    <row r="230">
      <c r="A230" s="7" t="n"/>
      <c r="B230" s="7" t="n"/>
      <c r="C230" s="5">
        <f>IF(A230="","",IFERROR(INDEX(Clients!$B$5:$B$54,MATCH(A230,Clients!$A$5:$A$54,0)),"unknown"))</f>
        <v/>
      </c>
      <c r="D230" s="5">
        <f>IF(OR(A230="",B230="",Setup!$B$4=""),0,IF(C230=Setup!$B$4,1,0))</f>
        <v/>
      </c>
      <c r="E230" s="11">
        <f>IF(D230=1,SUMPRODUCT(($B$5:$B$304=B230)*($D$5:$D$304=1)),"")</f>
        <v/>
      </c>
      <c r="F230" s="5">
        <f>IF(D230=1,E230&gt;=Setup!$B$5,"")</f>
        <v/>
      </c>
    </row>
    <row r="231">
      <c r="A231" s="7" t="n"/>
      <c r="B231" s="7" t="n"/>
      <c r="C231" s="5">
        <f>IF(A231="","",IFERROR(INDEX(Clients!$B$5:$B$54,MATCH(A231,Clients!$A$5:$A$54,0)),"unknown"))</f>
        <v/>
      </c>
      <c r="D231" s="5">
        <f>IF(OR(A231="",B231="",Setup!$B$4=""),0,IF(C231=Setup!$B$4,1,0))</f>
        <v/>
      </c>
      <c r="E231" s="11">
        <f>IF(D231=1,SUMPRODUCT(($B$5:$B$304=B231)*($D$5:$D$304=1)),"")</f>
        <v/>
      </c>
      <c r="F231" s="5">
        <f>IF(D231=1,E231&gt;=Setup!$B$5,"")</f>
        <v/>
      </c>
    </row>
    <row r="232">
      <c r="A232" s="7" t="n"/>
      <c r="B232" s="7" t="n"/>
      <c r="C232" s="5">
        <f>IF(A232="","",IFERROR(INDEX(Clients!$B$5:$B$54,MATCH(A232,Clients!$A$5:$A$54,0)),"unknown"))</f>
        <v/>
      </c>
      <c r="D232" s="5">
        <f>IF(OR(A232="",B232="",Setup!$B$4=""),0,IF(C232=Setup!$B$4,1,0))</f>
        <v/>
      </c>
      <c r="E232" s="11">
        <f>IF(D232=1,SUMPRODUCT(($B$5:$B$304=B232)*($D$5:$D$304=1)),"")</f>
        <v/>
      </c>
      <c r="F232" s="5">
        <f>IF(D232=1,E232&gt;=Setup!$B$5,"")</f>
        <v/>
      </c>
    </row>
    <row r="233">
      <c r="A233" s="7" t="n"/>
      <c r="B233" s="7" t="n"/>
      <c r="C233" s="5">
        <f>IF(A233="","",IFERROR(INDEX(Clients!$B$5:$B$54,MATCH(A233,Clients!$A$5:$A$54,0)),"unknown"))</f>
        <v/>
      </c>
      <c r="D233" s="5">
        <f>IF(OR(A233="",B233="",Setup!$B$4=""),0,IF(C233=Setup!$B$4,1,0))</f>
        <v/>
      </c>
      <c r="E233" s="11">
        <f>IF(D233=1,SUMPRODUCT(($B$5:$B$304=B233)*($D$5:$D$304=1)),"")</f>
        <v/>
      </c>
      <c r="F233" s="5">
        <f>IF(D233=1,E233&gt;=Setup!$B$5,"")</f>
        <v/>
      </c>
    </row>
    <row r="234">
      <c r="A234" s="7" t="n"/>
      <c r="B234" s="7" t="n"/>
      <c r="C234" s="5">
        <f>IF(A234="","",IFERROR(INDEX(Clients!$B$5:$B$54,MATCH(A234,Clients!$A$5:$A$54,0)),"unknown"))</f>
        <v/>
      </c>
      <c r="D234" s="5">
        <f>IF(OR(A234="",B234="",Setup!$B$4=""),0,IF(C234=Setup!$B$4,1,0))</f>
        <v/>
      </c>
      <c r="E234" s="11">
        <f>IF(D234=1,SUMPRODUCT(($B$5:$B$304=B234)*($D$5:$D$304=1)),"")</f>
        <v/>
      </c>
      <c r="F234" s="5">
        <f>IF(D234=1,E234&gt;=Setup!$B$5,"")</f>
        <v/>
      </c>
    </row>
    <row r="235">
      <c r="A235" s="7" t="n"/>
      <c r="B235" s="7" t="n"/>
      <c r="C235" s="5">
        <f>IF(A235="","",IFERROR(INDEX(Clients!$B$5:$B$54,MATCH(A235,Clients!$A$5:$A$54,0)),"unknown"))</f>
        <v/>
      </c>
      <c r="D235" s="5">
        <f>IF(OR(A235="",B235="",Setup!$B$4=""),0,IF(C235=Setup!$B$4,1,0))</f>
        <v/>
      </c>
      <c r="E235" s="11">
        <f>IF(D235=1,SUMPRODUCT(($B$5:$B$304=B235)*($D$5:$D$304=1)),"")</f>
        <v/>
      </c>
      <c r="F235" s="5">
        <f>IF(D235=1,E235&gt;=Setup!$B$5,"")</f>
        <v/>
      </c>
    </row>
    <row r="236">
      <c r="A236" s="7" t="n"/>
      <c r="B236" s="7" t="n"/>
      <c r="C236" s="5">
        <f>IF(A236="","",IFERROR(INDEX(Clients!$B$5:$B$54,MATCH(A236,Clients!$A$5:$A$54,0)),"unknown"))</f>
        <v/>
      </c>
      <c r="D236" s="5">
        <f>IF(OR(A236="",B236="",Setup!$B$4=""),0,IF(C236=Setup!$B$4,1,0))</f>
        <v/>
      </c>
      <c r="E236" s="11">
        <f>IF(D236=1,SUMPRODUCT(($B$5:$B$304=B236)*($D$5:$D$304=1)),"")</f>
        <v/>
      </c>
      <c r="F236" s="5">
        <f>IF(D236=1,E236&gt;=Setup!$B$5,"")</f>
        <v/>
      </c>
    </row>
    <row r="237">
      <c r="A237" s="7" t="n"/>
      <c r="B237" s="7" t="n"/>
      <c r="C237" s="5">
        <f>IF(A237="","",IFERROR(INDEX(Clients!$B$5:$B$54,MATCH(A237,Clients!$A$5:$A$54,0)),"unknown"))</f>
        <v/>
      </c>
      <c r="D237" s="5">
        <f>IF(OR(A237="",B237="",Setup!$B$4=""),0,IF(C237=Setup!$B$4,1,0))</f>
        <v/>
      </c>
      <c r="E237" s="11">
        <f>IF(D237=1,SUMPRODUCT(($B$5:$B$304=B237)*($D$5:$D$304=1)),"")</f>
        <v/>
      </c>
      <c r="F237" s="5">
        <f>IF(D237=1,E237&gt;=Setup!$B$5,"")</f>
        <v/>
      </c>
    </row>
    <row r="238">
      <c r="A238" s="7" t="n"/>
      <c r="B238" s="7" t="n"/>
      <c r="C238" s="5">
        <f>IF(A238="","",IFERROR(INDEX(Clients!$B$5:$B$54,MATCH(A238,Clients!$A$5:$A$54,0)),"unknown"))</f>
        <v/>
      </c>
      <c r="D238" s="5">
        <f>IF(OR(A238="",B238="",Setup!$B$4=""),0,IF(C238=Setup!$B$4,1,0))</f>
        <v/>
      </c>
      <c r="E238" s="11">
        <f>IF(D238=1,SUMPRODUCT(($B$5:$B$304=B238)*($D$5:$D$304=1)),"")</f>
        <v/>
      </c>
      <c r="F238" s="5">
        <f>IF(D238=1,E238&gt;=Setup!$B$5,"")</f>
        <v/>
      </c>
    </row>
    <row r="239">
      <c r="A239" s="7" t="n"/>
      <c r="B239" s="7" t="n"/>
      <c r="C239" s="5">
        <f>IF(A239="","",IFERROR(INDEX(Clients!$B$5:$B$54,MATCH(A239,Clients!$A$5:$A$54,0)),"unknown"))</f>
        <v/>
      </c>
      <c r="D239" s="5">
        <f>IF(OR(A239="",B239="",Setup!$B$4=""),0,IF(C239=Setup!$B$4,1,0))</f>
        <v/>
      </c>
      <c r="E239" s="11">
        <f>IF(D239=1,SUMPRODUCT(($B$5:$B$304=B239)*($D$5:$D$304=1)),"")</f>
        <v/>
      </c>
      <c r="F239" s="5">
        <f>IF(D239=1,E239&gt;=Setup!$B$5,"")</f>
        <v/>
      </c>
    </row>
    <row r="240">
      <c r="A240" s="7" t="n"/>
      <c r="B240" s="7" t="n"/>
      <c r="C240" s="5">
        <f>IF(A240="","",IFERROR(INDEX(Clients!$B$5:$B$54,MATCH(A240,Clients!$A$5:$A$54,0)),"unknown"))</f>
        <v/>
      </c>
      <c r="D240" s="5">
        <f>IF(OR(A240="",B240="",Setup!$B$4=""),0,IF(C240=Setup!$B$4,1,0))</f>
        <v/>
      </c>
      <c r="E240" s="11">
        <f>IF(D240=1,SUMPRODUCT(($B$5:$B$304=B240)*($D$5:$D$304=1)),"")</f>
        <v/>
      </c>
      <c r="F240" s="5">
        <f>IF(D240=1,E240&gt;=Setup!$B$5,"")</f>
        <v/>
      </c>
    </row>
    <row r="241">
      <c r="A241" s="7" t="n"/>
      <c r="B241" s="7" t="n"/>
      <c r="C241" s="5">
        <f>IF(A241="","",IFERROR(INDEX(Clients!$B$5:$B$54,MATCH(A241,Clients!$A$5:$A$54,0)),"unknown"))</f>
        <v/>
      </c>
      <c r="D241" s="5">
        <f>IF(OR(A241="",B241="",Setup!$B$4=""),0,IF(C241=Setup!$B$4,1,0))</f>
        <v/>
      </c>
      <c r="E241" s="11">
        <f>IF(D241=1,SUMPRODUCT(($B$5:$B$304=B241)*($D$5:$D$304=1)),"")</f>
        <v/>
      </c>
      <c r="F241" s="5">
        <f>IF(D241=1,E241&gt;=Setup!$B$5,"")</f>
        <v/>
      </c>
    </row>
    <row r="242">
      <c r="A242" s="7" t="n"/>
      <c r="B242" s="7" t="n"/>
      <c r="C242" s="5">
        <f>IF(A242="","",IFERROR(INDEX(Clients!$B$5:$B$54,MATCH(A242,Clients!$A$5:$A$54,0)),"unknown"))</f>
        <v/>
      </c>
      <c r="D242" s="5">
        <f>IF(OR(A242="",B242="",Setup!$B$4=""),0,IF(C242=Setup!$B$4,1,0))</f>
        <v/>
      </c>
      <c r="E242" s="11">
        <f>IF(D242=1,SUMPRODUCT(($B$5:$B$304=B242)*($D$5:$D$304=1)),"")</f>
        <v/>
      </c>
      <c r="F242" s="5">
        <f>IF(D242=1,E242&gt;=Setup!$B$5,"")</f>
        <v/>
      </c>
    </row>
    <row r="243">
      <c r="A243" s="7" t="n"/>
      <c r="B243" s="7" t="n"/>
      <c r="C243" s="5">
        <f>IF(A243="","",IFERROR(INDEX(Clients!$B$5:$B$54,MATCH(A243,Clients!$A$5:$A$54,0)),"unknown"))</f>
        <v/>
      </c>
      <c r="D243" s="5">
        <f>IF(OR(A243="",B243="",Setup!$B$4=""),0,IF(C243=Setup!$B$4,1,0))</f>
        <v/>
      </c>
      <c r="E243" s="11">
        <f>IF(D243=1,SUMPRODUCT(($B$5:$B$304=B243)*($D$5:$D$304=1)),"")</f>
        <v/>
      </c>
      <c r="F243" s="5">
        <f>IF(D243=1,E243&gt;=Setup!$B$5,"")</f>
        <v/>
      </c>
    </row>
    <row r="244">
      <c r="A244" s="7" t="n"/>
      <c r="B244" s="7" t="n"/>
      <c r="C244" s="5">
        <f>IF(A244="","",IFERROR(INDEX(Clients!$B$5:$B$54,MATCH(A244,Clients!$A$5:$A$54,0)),"unknown"))</f>
        <v/>
      </c>
      <c r="D244" s="5">
        <f>IF(OR(A244="",B244="",Setup!$B$4=""),0,IF(C244=Setup!$B$4,1,0))</f>
        <v/>
      </c>
      <c r="E244" s="11">
        <f>IF(D244=1,SUMPRODUCT(($B$5:$B$304=B244)*($D$5:$D$304=1)),"")</f>
        <v/>
      </c>
      <c r="F244" s="5">
        <f>IF(D244=1,E244&gt;=Setup!$B$5,"")</f>
        <v/>
      </c>
    </row>
    <row r="245">
      <c r="A245" s="7" t="n"/>
      <c r="B245" s="7" t="n"/>
      <c r="C245" s="5">
        <f>IF(A245="","",IFERROR(INDEX(Clients!$B$5:$B$54,MATCH(A245,Clients!$A$5:$A$54,0)),"unknown"))</f>
        <v/>
      </c>
      <c r="D245" s="5">
        <f>IF(OR(A245="",B245="",Setup!$B$4=""),0,IF(C245=Setup!$B$4,1,0))</f>
        <v/>
      </c>
      <c r="E245" s="11">
        <f>IF(D245=1,SUMPRODUCT(($B$5:$B$304=B245)*($D$5:$D$304=1)),"")</f>
        <v/>
      </c>
      <c r="F245" s="5">
        <f>IF(D245=1,E245&gt;=Setup!$B$5,"")</f>
        <v/>
      </c>
    </row>
    <row r="246">
      <c r="A246" s="7" t="n"/>
      <c r="B246" s="7" t="n"/>
      <c r="C246" s="5">
        <f>IF(A246="","",IFERROR(INDEX(Clients!$B$5:$B$54,MATCH(A246,Clients!$A$5:$A$54,0)),"unknown"))</f>
        <v/>
      </c>
      <c r="D246" s="5">
        <f>IF(OR(A246="",B246="",Setup!$B$4=""),0,IF(C246=Setup!$B$4,1,0))</f>
        <v/>
      </c>
      <c r="E246" s="11">
        <f>IF(D246=1,SUMPRODUCT(($B$5:$B$304=B246)*($D$5:$D$304=1)),"")</f>
        <v/>
      </c>
      <c r="F246" s="5">
        <f>IF(D246=1,E246&gt;=Setup!$B$5,"")</f>
        <v/>
      </c>
    </row>
    <row r="247">
      <c r="A247" s="7" t="n"/>
      <c r="B247" s="7" t="n"/>
      <c r="C247" s="5">
        <f>IF(A247="","",IFERROR(INDEX(Clients!$B$5:$B$54,MATCH(A247,Clients!$A$5:$A$54,0)),"unknown"))</f>
        <v/>
      </c>
      <c r="D247" s="5">
        <f>IF(OR(A247="",B247="",Setup!$B$4=""),0,IF(C247=Setup!$B$4,1,0))</f>
        <v/>
      </c>
      <c r="E247" s="11">
        <f>IF(D247=1,SUMPRODUCT(($B$5:$B$304=B247)*($D$5:$D$304=1)),"")</f>
        <v/>
      </c>
      <c r="F247" s="5">
        <f>IF(D247=1,E247&gt;=Setup!$B$5,"")</f>
        <v/>
      </c>
    </row>
    <row r="248">
      <c r="A248" s="7" t="n"/>
      <c r="B248" s="7" t="n"/>
      <c r="C248" s="5">
        <f>IF(A248="","",IFERROR(INDEX(Clients!$B$5:$B$54,MATCH(A248,Clients!$A$5:$A$54,0)),"unknown"))</f>
        <v/>
      </c>
      <c r="D248" s="5">
        <f>IF(OR(A248="",B248="",Setup!$B$4=""),0,IF(C248=Setup!$B$4,1,0))</f>
        <v/>
      </c>
      <c r="E248" s="11">
        <f>IF(D248=1,SUMPRODUCT(($B$5:$B$304=B248)*($D$5:$D$304=1)),"")</f>
        <v/>
      </c>
      <c r="F248" s="5">
        <f>IF(D248=1,E248&gt;=Setup!$B$5,"")</f>
        <v/>
      </c>
    </row>
    <row r="249">
      <c r="A249" s="7" t="n"/>
      <c r="B249" s="7" t="n"/>
      <c r="C249" s="5">
        <f>IF(A249="","",IFERROR(INDEX(Clients!$B$5:$B$54,MATCH(A249,Clients!$A$5:$A$54,0)),"unknown"))</f>
        <v/>
      </c>
      <c r="D249" s="5">
        <f>IF(OR(A249="",B249="",Setup!$B$4=""),0,IF(C249=Setup!$B$4,1,0))</f>
        <v/>
      </c>
      <c r="E249" s="11">
        <f>IF(D249=1,SUMPRODUCT(($B$5:$B$304=B249)*($D$5:$D$304=1)),"")</f>
        <v/>
      </c>
      <c r="F249" s="5">
        <f>IF(D249=1,E249&gt;=Setup!$B$5,"")</f>
        <v/>
      </c>
    </row>
    <row r="250">
      <c r="A250" s="7" t="n"/>
      <c r="B250" s="7" t="n"/>
      <c r="C250" s="5">
        <f>IF(A250="","",IFERROR(INDEX(Clients!$B$5:$B$54,MATCH(A250,Clients!$A$5:$A$54,0)),"unknown"))</f>
        <v/>
      </c>
      <c r="D250" s="5">
        <f>IF(OR(A250="",B250="",Setup!$B$4=""),0,IF(C250=Setup!$B$4,1,0))</f>
        <v/>
      </c>
      <c r="E250" s="11">
        <f>IF(D250=1,SUMPRODUCT(($B$5:$B$304=B250)*($D$5:$D$304=1)),"")</f>
        <v/>
      </c>
      <c r="F250" s="5">
        <f>IF(D250=1,E250&gt;=Setup!$B$5,"")</f>
        <v/>
      </c>
    </row>
    <row r="251">
      <c r="A251" s="7" t="n"/>
      <c r="B251" s="7" t="n"/>
      <c r="C251" s="5">
        <f>IF(A251="","",IFERROR(INDEX(Clients!$B$5:$B$54,MATCH(A251,Clients!$A$5:$A$54,0)),"unknown"))</f>
        <v/>
      </c>
      <c r="D251" s="5">
        <f>IF(OR(A251="",B251="",Setup!$B$4=""),0,IF(C251=Setup!$B$4,1,0))</f>
        <v/>
      </c>
      <c r="E251" s="11">
        <f>IF(D251=1,SUMPRODUCT(($B$5:$B$304=B251)*($D$5:$D$304=1)),"")</f>
        <v/>
      </c>
      <c r="F251" s="5">
        <f>IF(D251=1,E251&gt;=Setup!$B$5,"")</f>
        <v/>
      </c>
    </row>
    <row r="252">
      <c r="A252" s="7" t="n"/>
      <c r="B252" s="7" t="n"/>
      <c r="C252" s="5">
        <f>IF(A252="","",IFERROR(INDEX(Clients!$B$5:$B$54,MATCH(A252,Clients!$A$5:$A$54,0)),"unknown"))</f>
        <v/>
      </c>
      <c r="D252" s="5">
        <f>IF(OR(A252="",B252="",Setup!$B$4=""),0,IF(C252=Setup!$B$4,1,0))</f>
        <v/>
      </c>
      <c r="E252" s="11">
        <f>IF(D252=1,SUMPRODUCT(($B$5:$B$304=B252)*($D$5:$D$304=1)),"")</f>
        <v/>
      </c>
      <c r="F252" s="5">
        <f>IF(D252=1,E252&gt;=Setup!$B$5,"")</f>
        <v/>
      </c>
    </row>
    <row r="253">
      <c r="A253" s="7" t="n"/>
      <c r="B253" s="7" t="n"/>
      <c r="C253" s="5">
        <f>IF(A253="","",IFERROR(INDEX(Clients!$B$5:$B$54,MATCH(A253,Clients!$A$5:$A$54,0)),"unknown"))</f>
        <v/>
      </c>
      <c r="D253" s="5">
        <f>IF(OR(A253="",B253="",Setup!$B$4=""),0,IF(C253=Setup!$B$4,1,0))</f>
        <v/>
      </c>
      <c r="E253" s="11">
        <f>IF(D253=1,SUMPRODUCT(($B$5:$B$304=B253)*($D$5:$D$304=1)),"")</f>
        <v/>
      </c>
      <c r="F253" s="5">
        <f>IF(D253=1,E253&gt;=Setup!$B$5,"")</f>
        <v/>
      </c>
    </row>
    <row r="254">
      <c r="A254" s="7" t="n"/>
      <c r="B254" s="7" t="n"/>
      <c r="C254" s="5">
        <f>IF(A254="","",IFERROR(INDEX(Clients!$B$5:$B$54,MATCH(A254,Clients!$A$5:$A$54,0)),"unknown"))</f>
        <v/>
      </c>
      <c r="D254" s="5">
        <f>IF(OR(A254="",B254="",Setup!$B$4=""),0,IF(C254=Setup!$B$4,1,0))</f>
        <v/>
      </c>
      <c r="E254" s="11">
        <f>IF(D254=1,SUMPRODUCT(($B$5:$B$304=B254)*($D$5:$D$304=1)),"")</f>
        <v/>
      </c>
      <c r="F254" s="5">
        <f>IF(D254=1,E254&gt;=Setup!$B$5,"")</f>
        <v/>
      </c>
    </row>
    <row r="255">
      <c r="A255" s="7" t="n"/>
      <c r="B255" s="7" t="n"/>
      <c r="C255" s="5">
        <f>IF(A255="","",IFERROR(INDEX(Clients!$B$5:$B$54,MATCH(A255,Clients!$A$5:$A$54,0)),"unknown"))</f>
        <v/>
      </c>
      <c r="D255" s="5">
        <f>IF(OR(A255="",B255="",Setup!$B$4=""),0,IF(C255=Setup!$B$4,1,0))</f>
        <v/>
      </c>
      <c r="E255" s="11">
        <f>IF(D255=1,SUMPRODUCT(($B$5:$B$304=B255)*($D$5:$D$304=1)),"")</f>
        <v/>
      </c>
      <c r="F255" s="5">
        <f>IF(D255=1,E255&gt;=Setup!$B$5,"")</f>
        <v/>
      </c>
    </row>
    <row r="256">
      <c r="A256" s="7" t="n"/>
      <c r="B256" s="7" t="n"/>
      <c r="C256" s="5">
        <f>IF(A256="","",IFERROR(INDEX(Clients!$B$5:$B$54,MATCH(A256,Clients!$A$5:$A$54,0)),"unknown"))</f>
        <v/>
      </c>
      <c r="D256" s="5">
        <f>IF(OR(A256="",B256="",Setup!$B$4=""),0,IF(C256=Setup!$B$4,1,0))</f>
        <v/>
      </c>
      <c r="E256" s="11">
        <f>IF(D256=1,SUMPRODUCT(($B$5:$B$304=B256)*($D$5:$D$304=1)),"")</f>
        <v/>
      </c>
      <c r="F256" s="5">
        <f>IF(D256=1,E256&gt;=Setup!$B$5,"")</f>
        <v/>
      </c>
    </row>
    <row r="257">
      <c r="A257" s="7" t="n"/>
      <c r="B257" s="7" t="n"/>
      <c r="C257" s="5">
        <f>IF(A257="","",IFERROR(INDEX(Clients!$B$5:$B$54,MATCH(A257,Clients!$A$5:$A$54,0)),"unknown"))</f>
        <v/>
      </c>
      <c r="D257" s="5">
        <f>IF(OR(A257="",B257="",Setup!$B$4=""),0,IF(C257=Setup!$B$4,1,0))</f>
        <v/>
      </c>
      <c r="E257" s="11">
        <f>IF(D257=1,SUMPRODUCT(($B$5:$B$304=B257)*($D$5:$D$304=1)),"")</f>
        <v/>
      </c>
      <c r="F257" s="5">
        <f>IF(D257=1,E257&gt;=Setup!$B$5,"")</f>
        <v/>
      </c>
    </row>
    <row r="258">
      <c r="A258" s="7" t="n"/>
      <c r="B258" s="7" t="n"/>
      <c r="C258" s="5">
        <f>IF(A258="","",IFERROR(INDEX(Clients!$B$5:$B$54,MATCH(A258,Clients!$A$5:$A$54,0)),"unknown"))</f>
        <v/>
      </c>
      <c r="D258" s="5">
        <f>IF(OR(A258="",B258="",Setup!$B$4=""),0,IF(C258=Setup!$B$4,1,0))</f>
        <v/>
      </c>
      <c r="E258" s="11">
        <f>IF(D258=1,SUMPRODUCT(($B$5:$B$304=B258)*($D$5:$D$304=1)),"")</f>
        <v/>
      </c>
      <c r="F258" s="5">
        <f>IF(D258=1,E258&gt;=Setup!$B$5,"")</f>
        <v/>
      </c>
    </row>
    <row r="259">
      <c r="A259" s="7" t="n"/>
      <c r="B259" s="7" t="n"/>
      <c r="C259" s="5">
        <f>IF(A259="","",IFERROR(INDEX(Clients!$B$5:$B$54,MATCH(A259,Clients!$A$5:$A$54,0)),"unknown"))</f>
        <v/>
      </c>
      <c r="D259" s="5">
        <f>IF(OR(A259="",B259="",Setup!$B$4=""),0,IF(C259=Setup!$B$4,1,0))</f>
        <v/>
      </c>
      <c r="E259" s="11">
        <f>IF(D259=1,SUMPRODUCT(($B$5:$B$304=B259)*($D$5:$D$304=1)),"")</f>
        <v/>
      </c>
      <c r="F259" s="5">
        <f>IF(D259=1,E259&gt;=Setup!$B$5,"")</f>
        <v/>
      </c>
    </row>
    <row r="260">
      <c r="A260" s="7" t="n"/>
      <c r="B260" s="7" t="n"/>
      <c r="C260" s="5">
        <f>IF(A260="","",IFERROR(INDEX(Clients!$B$5:$B$54,MATCH(A260,Clients!$A$5:$A$54,0)),"unknown"))</f>
        <v/>
      </c>
      <c r="D260" s="5">
        <f>IF(OR(A260="",B260="",Setup!$B$4=""),0,IF(C260=Setup!$B$4,1,0))</f>
        <v/>
      </c>
      <c r="E260" s="11">
        <f>IF(D260=1,SUMPRODUCT(($B$5:$B$304=B260)*($D$5:$D$304=1)),"")</f>
        <v/>
      </c>
      <c r="F260" s="5">
        <f>IF(D260=1,E260&gt;=Setup!$B$5,"")</f>
        <v/>
      </c>
    </row>
    <row r="261">
      <c r="A261" s="7" t="n"/>
      <c r="B261" s="7" t="n"/>
      <c r="C261" s="5">
        <f>IF(A261="","",IFERROR(INDEX(Clients!$B$5:$B$54,MATCH(A261,Clients!$A$5:$A$54,0)),"unknown"))</f>
        <v/>
      </c>
      <c r="D261" s="5">
        <f>IF(OR(A261="",B261="",Setup!$B$4=""),0,IF(C261=Setup!$B$4,1,0))</f>
        <v/>
      </c>
      <c r="E261" s="11">
        <f>IF(D261=1,SUMPRODUCT(($B$5:$B$304=B261)*($D$5:$D$304=1)),"")</f>
        <v/>
      </c>
      <c r="F261" s="5">
        <f>IF(D261=1,E261&gt;=Setup!$B$5,"")</f>
        <v/>
      </c>
    </row>
    <row r="262">
      <c r="A262" s="7" t="n"/>
      <c r="B262" s="7" t="n"/>
      <c r="C262" s="5">
        <f>IF(A262="","",IFERROR(INDEX(Clients!$B$5:$B$54,MATCH(A262,Clients!$A$5:$A$54,0)),"unknown"))</f>
        <v/>
      </c>
      <c r="D262" s="5">
        <f>IF(OR(A262="",B262="",Setup!$B$4=""),0,IF(C262=Setup!$B$4,1,0))</f>
        <v/>
      </c>
      <c r="E262" s="11">
        <f>IF(D262=1,SUMPRODUCT(($B$5:$B$304=B262)*($D$5:$D$304=1)),"")</f>
        <v/>
      </c>
      <c r="F262" s="5">
        <f>IF(D262=1,E262&gt;=Setup!$B$5,"")</f>
        <v/>
      </c>
    </row>
    <row r="263">
      <c r="A263" s="7" t="n"/>
      <c r="B263" s="7" t="n"/>
      <c r="C263" s="5">
        <f>IF(A263="","",IFERROR(INDEX(Clients!$B$5:$B$54,MATCH(A263,Clients!$A$5:$A$54,0)),"unknown"))</f>
        <v/>
      </c>
      <c r="D263" s="5">
        <f>IF(OR(A263="",B263="",Setup!$B$4=""),0,IF(C263=Setup!$B$4,1,0))</f>
        <v/>
      </c>
      <c r="E263" s="11">
        <f>IF(D263=1,SUMPRODUCT(($B$5:$B$304=B263)*($D$5:$D$304=1)),"")</f>
        <v/>
      </c>
      <c r="F263" s="5">
        <f>IF(D263=1,E263&gt;=Setup!$B$5,"")</f>
        <v/>
      </c>
    </row>
    <row r="264">
      <c r="A264" s="7" t="n"/>
      <c r="B264" s="7" t="n"/>
      <c r="C264" s="5">
        <f>IF(A264="","",IFERROR(INDEX(Clients!$B$5:$B$54,MATCH(A264,Clients!$A$5:$A$54,0)),"unknown"))</f>
        <v/>
      </c>
      <c r="D264" s="5">
        <f>IF(OR(A264="",B264="",Setup!$B$4=""),0,IF(C264=Setup!$B$4,1,0))</f>
        <v/>
      </c>
      <c r="E264" s="11">
        <f>IF(D264=1,SUMPRODUCT(($B$5:$B$304=B264)*($D$5:$D$304=1)),"")</f>
        <v/>
      </c>
      <c r="F264" s="5">
        <f>IF(D264=1,E264&gt;=Setup!$B$5,"")</f>
        <v/>
      </c>
    </row>
    <row r="265">
      <c r="A265" s="7" t="n"/>
      <c r="B265" s="7" t="n"/>
      <c r="C265" s="5">
        <f>IF(A265="","",IFERROR(INDEX(Clients!$B$5:$B$54,MATCH(A265,Clients!$A$5:$A$54,0)),"unknown"))</f>
        <v/>
      </c>
      <c r="D265" s="5">
        <f>IF(OR(A265="",B265="",Setup!$B$4=""),0,IF(C265=Setup!$B$4,1,0))</f>
        <v/>
      </c>
      <c r="E265" s="11">
        <f>IF(D265=1,SUMPRODUCT(($B$5:$B$304=B265)*($D$5:$D$304=1)),"")</f>
        <v/>
      </c>
      <c r="F265" s="5">
        <f>IF(D265=1,E265&gt;=Setup!$B$5,"")</f>
        <v/>
      </c>
    </row>
    <row r="266">
      <c r="A266" s="7" t="n"/>
      <c r="B266" s="7" t="n"/>
      <c r="C266" s="5">
        <f>IF(A266="","",IFERROR(INDEX(Clients!$B$5:$B$54,MATCH(A266,Clients!$A$5:$A$54,0)),"unknown"))</f>
        <v/>
      </c>
      <c r="D266" s="5">
        <f>IF(OR(A266="",B266="",Setup!$B$4=""),0,IF(C266=Setup!$B$4,1,0))</f>
        <v/>
      </c>
      <c r="E266" s="11">
        <f>IF(D266=1,SUMPRODUCT(($B$5:$B$304=B266)*($D$5:$D$304=1)),"")</f>
        <v/>
      </c>
      <c r="F266" s="5">
        <f>IF(D266=1,E266&gt;=Setup!$B$5,"")</f>
        <v/>
      </c>
    </row>
    <row r="267">
      <c r="A267" s="7" t="n"/>
      <c r="B267" s="7" t="n"/>
      <c r="C267" s="5">
        <f>IF(A267="","",IFERROR(INDEX(Clients!$B$5:$B$54,MATCH(A267,Clients!$A$5:$A$54,0)),"unknown"))</f>
        <v/>
      </c>
      <c r="D267" s="5">
        <f>IF(OR(A267="",B267="",Setup!$B$4=""),0,IF(C267=Setup!$B$4,1,0))</f>
        <v/>
      </c>
      <c r="E267" s="11">
        <f>IF(D267=1,SUMPRODUCT(($B$5:$B$304=B267)*($D$5:$D$304=1)),"")</f>
        <v/>
      </c>
      <c r="F267" s="5">
        <f>IF(D267=1,E267&gt;=Setup!$B$5,"")</f>
        <v/>
      </c>
    </row>
    <row r="268">
      <c r="A268" s="7" t="n"/>
      <c r="B268" s="7" t="n"/>
      <c r="C268" s="5">
        <f>IF(A268="","",IFERROR(INDEX(Clients!$B$5:$B$54,MATCH(A268,Clients!$A$5:$A$54,0)),"unknown"))</f>
        <v/>
      </c>
      <c r="D268" s="5">
        <f>IF(OR(A268="",B268="",Setup!$B$4=""),0,IF(C268=Setup!$B$4,1,0))</f>
        <v/>
      </c>
      <c r="E268" s="11">
        <f>IF(D268=1,SUMPRODUCT(($B$5:$B$304=B268)*($D$5:$D$304=1)),"")</f>
        <v/>
      </c>
      <c r="F268" s="5">
        <f>IF(D268=1,E268&gt;=Setup!$B$5,"")</f>
        <v/>
      </c>
    </row>
    <row r="269">
      <c r="A269" s="7" t="n"/>
      <c r="B269" s="7" t="n"/>
      <c r="C269" s="5">
        <f>IF(A269="","",IFERROR(INDEX(Clients!$B$5:$B$54,MATCH(A269,Clients!$A$5:$A$54,0)),"unknown"))</f>
        <v/>
      </c>
      <c r="D269" s="5">
        <f>IF(OR(A269="",B269="",Setup!$B$4=""),0,IF(C269=Setup!$B$4,1,0))</f>
        <v/>
      </c>
      <c r="E269" s="11">
        <f>IF(D269=1,SUMPRODUCT(($B$5:$B$304=B269)*($D$5:$D$304=1)),"")</f>
        <v/>
      </c>
      <c r="F269" s="5">
        <f>IF(D269=1,E269&gt;=Setup!$B$5,"")</f>
        <v/>
      </c>
    </row>
    <row r="270">
      <c r="A270" s="7" t="n"/>
      <c r="B270" s="7" t="n"/>
      <c r="C270" s="5">
        <f>IF(A270="","",IFERROR(INDEX(Clients!$B$5:$B$54,MATCH(A270,Clients!$A$5:$A$54,0)),"unknown"))</f>
        <v/>
      </c>
      <c r="D270" s="5">
        <f>IF(OR(A270="",B270="",Setup!$B$4=""),0,IF(C270=Setup!$B$4,1,0))</f>
        <v/>
      </c>
      <c r="E270" s="11">
        <f>IF(D270=1,SUMPRODUCT(($B$5:$B$304=B270)*($D$5:$D$304=1)),"")</f>
        <v/>
      </c>
      <c r="F270" s="5">
        <f>IF(D270=1,E270&gt;=Setup!$B$5,"")</f>
        <v/>
      </c>
    </row>
    <row r="271">
      <c r="A271" s="7" t="n"/>
      <c r="B271" s="7" t="n"/>
      <c r="C271" s="5">
        <f>IF(A271="","",IFERROR(INDEX(Clients!$B$5:$B$54,MATCH(A271,Clients!$A$5:$A$54,0)),"unknown"))</f>
        <v/>
      </c>
      <c r="D271" s="5">
        <f>IF(OR(A271="",B271="",Setup!$B$4=""),0,IF(C271=Setup!$B$4,1,0))</f>
        <v/>
      </c>
      <c r="E271" s="11">
        <f>IF(D271=1,SUMPRODUCT(($B$5:$B$304=B271)*($D$5:$D$304=1)),"")</f>
        <v/>
      </c>
      <c r="F271" s="5">
        <f>IF(D271=1,E271&gt;=Setup!$B$5,"")</f>
        <v/>
      </c>
    </row>
    <row r="272">
      <c r="A272" s="7" t="n"/>
      <c r="B272" s="7" t="n"/>
      <c r="C272" s="5">
        <f>IF(A272="","",IFERROR(INDEX(Clients!$B$5:$B$54,MATCH(A272,Clients!$A$5:$A$54,0)),"unknown"))</f>
        <v/>
      </c>
      <c r="D272" s="5">
        <f>IF(OR(A272="",B272="",Setup!$B$4=""),0,IF(C272=Setup!$B$4,1,0))</f>
        <v/>
      </c>
      <c r="E272" s="11">
        <f>IF(D272=1,SUMPRODUCT(($B$5:$B$304=B272)*($D$5:$D$304=1)),"")</f>
        <v/>
      </c>
      <c r="F272" s="5">
        <f>IF(D272=1,E272&gt;=Setup!$B$5,"")</f>
        <v/>
      </c>
    </row>
    <row r="273">
      <c r="A273" s="7" t="n"/>
      <c r="B273" s="7" t="n"/>
      <c r="C273" s="5">
        <f>IF(A273="","",IFERROR(INDEX(Clients!$B$5:$B$54,MATCH(A273,Clients!$A$5:$A$54,0)),"unknown"))</f>
        <v/>
      </c>
      <c r="D273" s="5">
        <f>IF(OR(A273="",B273="",Setup!$B$4=""),0,IF(C273=Setup!$B$4,1,0))</f>
        <v/>
      </c>
      <c r="E273" s="11">
        <f>IF(D273=1,SUMPRODUCT(($B$5:$B$304=B273)*($D$5:$D$304=1)),"")</f>
        <v/>
      </c>
      <c r="F273" s="5">
        <f>IF(D273=1,E273&gt;=Setup!$B$5,"")</f>
        <v/>
      </c>
    </row>
    <row r="274">
      <c r="A274" s="7" t="n"/>
      <c r="B274" s="7" t="n"/>
      <c r="C274" s="5">
        <f>IF(A274="","",IFERROR(INDEX(Clients!$B$5:$B$54,MATCH(A274,Clients!$A$5:$A$54,0)),"unknown"))</f>
        <v/>
      </c>
      <c r="D274" s="5">
        <f>IF(OR(A274="",B274="",Setup!$B$4=""),0,IF(C274=Setup!$B$4,1,0))</f>
        <v/>
      </c>
      <c r="E274" s="11">
        <f>IF(D274=1,SUMPRODUCT(($B$5:$B$304=B274)*($D$5:$D$304=1)),"")</f>
        <v/>
      </c>
      <c r="F274" s="5">
        <f>IF(D274=1,E274&gt;=Setup!$B$5,"")</f>
        <v/>
      </c>
    </row>
    <row r="275">
      <c r="A275" s="7" t="n"/>
      <c r="B275" s="7" t="n"/>
      <c r="C275" s="5">
        <f>IF(A275="","",IFERROR(INDEX(Clients!$B$5:$B$54,MATCH(A275,Clients!$A$5:$A$54,0)),"unknown"))</f>
        <v/>
      </c>
      <c r="D275" s="5">
        <f>IF(OR(A275="",B275="",Setup!$B$4=""),0,IF(C275=Setup!$B$4,1,0))</f>
        <v/>
      </c>
      <c r="E275" s="11">
        <f>IF(D275=1,SUMPRODUCT(($B$5:$B$304=B275)*($D$5:$D$304=1)),"")</f>
        <v/>
      </c>
      <c r="F275" s="5">
        <f>IF(D275=1,E275&gt;=Setup!$B$5,"")</f>
        <v/>
      </c>
    </row>
    <row r="276">
      <c r="A276" s="7" t="n"/>
      <c r="B276" s="7" t="n"/>
      <c r="C276" s="5">
        <f>IF(A276="","",IFERROR(INDEX(Clients!$B$5:$B$54,MATCH(A276,Clients!$A$5:$A$54,0)),"unknown"))</f>
        <v/>
      </c>
      <c r="D276" s="5">
        <f>IF(OR(A276="",B276="",Setup!$B$4=""),0,IF(C276=Setup!$B$4,1,0))</f>
        <v/>
      </c>
      <c r="E276" s="11">
        <f>IF(D276=1,SUMPRODUCT(($B$5:$B$304=B276)*($D$5:$D$304=1)),"")</f>
        <v/>
      </c>
      <c r="F276" s="5">
        <f>IF(D276=1,E276&gt;=Setup!$B$5,"")</f>
        <v/>
      </c>
    </row>
    <row r="277">
      <c r="A277" s="7" t="n"/>
      <c r="B277" s="7" t="n"/>
      <c r="C277" s="5">
        <f>IF(A277="","",IFERROR(INDEX(Clients!$B$5:$B$54,MATCH(A277,Clients!$A$5:$A$54,0)),"unknown"))</f>
        <v/>
      </c>
      <c r="D277" s="5">
        <f>IF(OR(A277="",B277="",Setup!$B$4=""),0,IF(C277=Setup!$B$4,1,0))</f>
        <v/>
      </c>
      <c r="E277" s="11">
        <f>IF(D277=1,SUMPRODUCT(($B$5:$B$304=B277)*($D$5:$D$304=1)),"")</f>
        <v/>
      </c>
      <c r="F277" s="5">
        <f>IF(D277=1,E277&gt;=Setup!$B$5,"")</f>
        <v/>
      </c>
    </row>
    <row r="278">
      <c r="A278" s="7" t="n"/>
      <c r="B278" s="7" t="n"/>
      <c r="C278" s="5">
        <f>IF(A278="","",IFERROR(INDEX(Clients!$B$5:$B$54,MATCH(A278,Clients!$A$5:$A$54,0)),"unknown"))</f>
        <v/>
      </c>
      <c r="D278" s="5">
        <f>IF(OR(A278="",B278="",Setup!$B$4=""),0,IF(C278=Setup!$B$4,1,0))</f>
        <v/>
      </c>
      <c r="E278" s="11">
        <f>IF(D278=1,SUMPRODUCT(($B$5:$B$304=B278)*($D$5:$D$304=1)),"")</f>
        <v/>
      </c>
      <c r="F278" s="5">
        <f>IF(D278=1,E278&gt;=Setup!$B$5,"")</f>
        <v/>
      </c>
    </row>
    <row r="279">
      <c r="A279" s="7" t="n"/>
      <c r="B279" s="7" t="n"/>
      <c r="C279" s="5">
        <f>IF(A279="","",IFERROR(INDEX(Clients!$B$5:$B$54,MATCH(A279,Clients!$A$5:$A$54,0)),"unknown"))</f>
        <v/>
      </c>
      <c r="D279" s="5">
        <f>IF(OR(A279="",B279="",Setup!$B$4=""),0,IF(C279=Setup!$B$4,1,0))</f>
        <v/>
      </c>
      <c r="E279" s="11">
        <f>IF(D279=1,SUMPRODUCT(($B$5:$B$304=B279)*($D$5:$D$304=1)),"")</f>
        <v/>
      </c>
      <c r="F279" s="5">
        <f>IF(D279=1,E279&gt;=Setup!$B$5,"")</f>
        <v/>
      </c>
    </row>
    <row r="280">
      <c r="A280" s="7" t="n"/>
      <c r="B280" s="7" t="n"/>
      <c r="C280" s="5">
        <f>IF(A280="","",IFERROR(INDEX(Clients!$B$5:$B$54,MATCH(A280,Clients!$A$5:$A$54,0)),"unknown"))</f>
        <v/>
      </c>
      <c r="D280" s="5">
        <f>IF(OR(A280="",B280="",Setup!$B$4=""),0,IF(C280=Setup!$B$4,1,0))</f>
        <v/>
      </c>
      <c r="E280" s="11">
        <f>IF(D280=1,SUMPRODUCT(($B$5:$B$304=B280)*($D$5:$D$304=1)),"")</f>
        <v/>
      </c>
      <c r="F280" s="5">
        <f>IF(D280=1,E280&gt;=Setup!$B$5,"")</f>
        <v/>
      </c>
    </row>
    <row r="281">
      <c r="A281" s="7" t="n"/>
      <c r="B281" s="7" t="n"/>
      <c r="C281" s="5">
        <f>IF(A281="","",IFERROR(INDEX(Clients!$B$5:$B$54,MATCH(A281,Clients!$A$5:$A$54,0)),"unknown"))</f>
        <v/>
      </c>
      <c r="D281" s="5">
        <f>IF(OR(A281="",B281="",Setup!$B$4=""),0,IF(C281=Setup!$B$4,1,0))</f>
        <v/>
      </c>
      <c r="E281" s="11">
        <f>IF(D281=1,SUMPRODUCT(($B$5:$B$304=B281)*($D$5:$D$304=1)),"")</f>
        <v/>
      </c>
      <c r="F281" s="5">
        <f>IF(D281=1,E281&gt;=Setup!$B$5,"")</f>
        <v/>
      </c>
    </row>
    <row r="282">
      <c r="A282" s="7" t="n"/>
      <c r="B282" s="7" t="n"/>
      <c r="C282" s="5">
        <f>IF(A282="","",IFERROR(INDEX(Clients!$B$5:$B$54,MATCH(A282,Clients!$A$5:$A$54,0)),"unknown"))</f>
        <v/>
      </c>
      <c r="D282" s="5">
        <f>IF(OR(A282="",B282="",Setup!$B$4=""),0,IF(C282=Setup!$B$4,1,0))</f>
        <v/>
      </c>
      <c r="E282" s="11">
        <f>IF(D282=1,SUMPRODUCT(($B$5:$B$304=B282)*($D$5:$D$304=1)),"")</f>
        <v/>
      </c>
      <c r="F282" s="5">
        <f>IF(D282=1,E282&gt;=Setup!$B$5,"")</f>
        <v/>
      </c>
    </row>
    <row r="283">
      <c r="A283" s="7" t="n"/>
      <c r="B283" s="7" t="n"/>
      <c r="C283" s="5">
        <f>IF(A283="","",IFERROR(INDEX(Clients!$B$5:$B$54,MATCH(A283,Clients!$A$5:$A$54,0)),"unknown"))</f>
        <v/>
      </c>
      <c r="D283" s="5">
        <f>IF(OR(A283="",B283="",Setup!$B$4=""),0,IF(C283=Setup!$B$4,1,0))</f>
        <v/>
      </c>
      <c r="E283" s="11">
        <f>IF(D283=1,SUMPRODUCT(($B$5:$B$304=B283)*($D$5:$D$304=1)),"")</f>
        <v/>
      </c>
      <c r="F283" s="5">
        <f>IF(D283=1,E283&gt;=Setup!$B$5,"")</f>
        <v/>
      </c>
    </row>
    <row r="284">
      <c r="A284" s="7" t="n"/>
      <c r="B284" s="7" t="n"/>
      <c r="C284" s="5">
        <f>IF(A284="","",IFERROR(INDEX(Clients!$B$5:$B$54,MATCH(A284,Clients!$A$5:$A$54,0)),"unknown"))</f>
        <v/>
      </c>
      <c r="D284" s="5">
        <f>IF(OR(A284="",B284="",Setup!$B$4=""),0,IF(C284=Setup!$B$4,1,0))</f>
        <v/>
      </c>
      <c r="E284" s="11">
        <f>IF(D284=1,SUMPRODUCT(($B$5:$B$304=B284)*($D$5:$D$304=1)),"")</f>
        <v/>
      </c>
      <c r="F284" s="5">
        <f>IF(D284=1,E284&gt;=Setup!$B$5,"")</f>
        <v/>
      </c>
    </row>
    <row r="285">
      <c r="A285" s="7" t="n"/>
      <c r="B285" s="7" t="n"/>
      <c r="C285" s="5">
        <f>IF(A285="","",IFERROR(INDEX(Clients!$B$5:$B$54,MATCH(A285,Clients!$A$5:$A$54,0)),"unknown"))</f>
        <v/>
      </c>
      <c r="D285" s="5">
        <f>IF(OR(A285="",B285="",Setup!$B$4=""),0,IF(C285=Setup!$B$4,1,0))</f>
        <v/>
      </c>
      <c r="E285" s="11">
        <f>IF(D285=1,SUMPRODUCT(($B$5:$B$304=B285)*($D$5:$D$304=1)),"")</f>
        <v/>
      </c>
      <c r="F285" s="5">
        <f>IF(D285=1,E285&gt;=Setup!$B$5,"")</f>
        <v/>
      </c>
    </row>
    <row r="286">
      <c r="A286" s="7" t="n"/>
      <c r="B286" s="7" t="n"/>
      <c r="C286" s="5">
        <f>IF(A286="","",IFERROR(INDEX(Clients!$B$5:$B$54,MATCH(A286,Clients!$A$5:$A$54,0)),"unknown"))</f>
        <v/>
      </c>
      <c r="D286" s="5">
        <f>IF(OR(A286="",B286="",Setup!$B$4=""),0,IF(C286=Setup!$B$4,1,0))</f>
        <v/>
      </c>
      <c r="E286" s="11">
        <f>IF(D286=1,SUMPRODUCT(($B$5:$B$304=B286)*($D$5:$D$304=1)),"")</f>
        <v/>
      </c>
      <c r="F286" s="5">
        <f>IF(D286=1,E286&gt;=Setup!$B$5,"")</f>
        <v/>
      </c>
    </row>
    <row r="287">
      <c r="A287" s="7" t="n"/>
      <c r="B287" s="7" t="n"/>
      <c r="C287" s="5">
        <f>IF(A287="","",IFERROR(INDEX(Clients!$B$5:$B$54,MATCH(A287,Clients!$A$5:$A$54,0)),"unknown"))</f>
        <v/>
      </c>
      <c r="D287" s="5">
        <f>IF(OR(A287="",B287="",Setup!$B$4=""),0,IF(C287=Setup!$B$4,1,0))</f>
        <v/>
      </c>
      <c r="E287" s="11">
        <f>IF(D287=1,SUMPRODUCT(($B$5:$B$304=B287)*($D$5:$D$304=1)),"")</f>
        <v/>
      </c>
      <c r="F287" s="5">
        <f>IF(D287=1,E287&gt;=Setup!$B$5,"")</f>
        <v/>
      </c>
    </row>
    <row r="288">
      <c r="A288" s="7" t="n"/>
      <c r="B288" s="7" t="n"/>
      <c r="C288" s="5">
        <f>IF(A288="","",IFERROR(INDEX(Clients!$B$5:$B$54,MATCH(A288,Clients!$A$5:$A$54,0)),"unknown"))</f>
        <v/>
      </c>
      <c r="D288" s="5">
        <f>IF(OR(A288="",B288="",Setup!$B$4=""),0,IF(C288=Setup!$B$4,1,0))</f>
        <v/>
      </c>
      <c r="E288" s="11">
        <f>IF(D288=1,SUMPRODUCT(($B$5:$B$304=B288)*($D$5:$D$304=1)),"")</f>
        <v/>
      </c>
      <c r="F288" s="5">
        <f>IF(D288=1,E288&gt;=Setup!$B$5,"")</f>
        <v/>
      </c>
    </row>
    <row r="289">
      <c r="A289" s="7" t="n"/>
      <c r="B289" s="7" t="n"/>
      <c r="C289" s="5">
        <f>IF(A289="","",IFERROR(INDEX(Clients!$B$5:$B$54,MATCH(A289,Clients!$A$5:$A$54,0)),"unknown"))</f>
        <v/>
      </c>
      <c r="D289" s="5">
        <f>IF(OR(A289="",B289="",Setup!$B$4=""),0,IF(C289=Setup!$B$4,1,0))</f>
        <v/>
      </c>
      <c r="E289" s="11">
        <f>IF(D289=1,SUMPRODUCT(($B$5:$B$304=B289)*($D$5:$D$304=1)),"")</f>
        <v/>
      </c>
      <c r="F289" s="5">
        <f>IF(D289=1,E289&gt;=Setup!$B$5,"")</f>
        <v/>
      </c>
    </row>
    <row r="290">
      <c r="A290" s="7" t="n"/>
      <c r="B290" s="7" t="n"/>
      <c r="C290" s="5">
        <f>IF(A290="","",IFERROR(INDEX(Clients!$B$5:$B$54,MATCH(A290,Clients!$A$5:$A$54,0)),"unknown"))</f>
        <v/>
      </c>
      <c r="D290" s="5">
        <f>IF(OR(A290="",B290="",Setup!$B$4=""),0,IF(C290=Setup!$B$4,1,0))</f>
        <v/>
      </c>
      <c r="E290" s="11">
        <f>IF(D290=1,SUMPRODUCT(($B$5:$B$304=B290)*($D$5:$D$304=1)),"")</f>
        <v/>
      </c>
      <c r="F290" s="5">
        <f>IF(D290=1,E290&gt;=Setup!$B$5,"")</f>
        <v/>
      </c>
    </row>
    <row r="291">
      <c r="A291" s="7" t="n"/>
      <c r="B291" s="7" t="n"/>
      <c r="C291" s="5">
        <f>IF(A291="","",IFERROR(INDEX(Clients!$B$5:$B$54,MATCH(A291,Clients!$A$5:$A$54,0)),"unknown"))</f>
        <v/>
      </c>
      <c r="D291" s="5">
        <f>IF(OR(A291="",B291="",Setup!$B$4=""),0,IF(C291=Setup!$B$4,1,0))</f>
        <v/>
      </c>
      <c r="E291" s="11">
        <f>IF(D291=1,SUMPRODUCT(($B$5:$B$304=B291)*($D$5:$D$304=1)),"")</f>
        <v/>
      </c>
      <c r="F291" s="5">
        <f>IF(D291=1,E291&gt;=Setup!$B$5,"")</f>
        <v/>
      </c>
    </row>
    <row r="292">
      <c r="A292" s="7" t="n"/>
      <c r="B292" s="7" t="n"/>
      <c r="C292" s="5">
        <f>IF(A292="","",IFERROR(INDEX(Clients!$B$5:$B$54,MATCH(A292,Clients!$A$5:$A$54,0)),"unknown"))</f>
        <v/>
      </c>
      <c r="D292" s="5">
        <f>IF(OR(A292="",B292="",Setup!$B$4=""),0,IF(C292=Setup!$B$4,1,0))</f>
        <v/>
      </c>
      <c r="E292" s="11">
        <f>IF(D292=1,SUMPRODUCT(($B$5:$B$304=B292)*($D$5:$D$304=1)),"")</f>
        <v/>
      </c>
      <c r="F292" s="5">
        <f>IF(D292=1,E292&gt;=Setup!$B$5,"")</f>
        <v/>
      </c>
    </row>
    <row r="293">
      <c r="A293" s="7" t="n"/>
      <c r="B293" s="7" t="n"/>
      <c r="C293" s="5">
        <f>IF(A293="","",IFERROR(INDEX(Clients!$B$5:$B$54,MATCH(A293,Clients!$A$5:$A$54,0)),"unknown"))</f>
        <v/>
      </c>
      <c r="D293" s="5">
        <f>IF(OR(A293="",B293="",Setup!$B$4=""),0,IF(C293=Setup!$B$4,1,0))</f>
        <v/>
      </c>
      <c r="E293" s="11">
        <f>IF(D293=1,SUMPRODUCT(($B$5:$B$304=B293)*($D$5:$D$304=1)),"")</f>
        <v/>
      </c>
      <c r="F293" s="5">
        <f>IF(D293=1,E293&gt;=Setup!$B$5,"")</f>
        <v/>
      </c>
    </row>
    <row r="294">
      <c r="A294" s="7" t="n"/>
      <c r="B294" s="7" t="n"/>
      <c r="C294" s="5">
        <f>IF(A294="","",IFERROR(INDEX(Clients!$B$5:$B$54,MATCH(A294,Clients!$A$5:$A$54,0)),"unknown"))</f>
        <v/>
      </c>
      <c r="D294" s="5">
        <f>IF(OR(A294="",B294="",Setup!$B$4=""),0,IF(C294=Setup!$B$4,1,0))</f>
        <v/>
      </c>
      <c r="E294" s="11">
        <f>IF(D294=1,SUMPRODUCT(($B$5:$B$304=B294)*($D$5:$D$304=1)),"")</f>
        <v/>
      </c>
      <c r="F294" s="5">
        <f>IF(D294=1,E294&gt;=Setup!$B$5,"")</f>
        <v/>
      </c>
    </row>
    <row r="295">
      <c r="A295" s="7" t="n"/>
      <c r="B295" s="7" t="n"/>
      <c r="C295" s="5">
        <f>IF(A295="","",IFERROR(INDEX(Clients!$B$5:$B$54,MATCH(A295,Clients!$A$5:$A$54,0)),"unknown"))</f>
        <v/>
      </c>
      <c r="D295" s="5">
        <f>IF(OR(A295="",B295="",Setup!$B$4=""),0,IF(C295=Setup!$B$4,1,0))</f>
        <v/>
      </c>
      <c r="E295" s="11">
        <f>IF(D295=1,SUMPRODUCT(($B$5:$B$304=B295)*($D$5:$D$304=1)),"")</f>
        <v/>
      </c>
      <c r="F295" s="5">
        <f>IF(D295=1,E295&gt;=Setup!$B$5,"")</f>
        <v/>
      </c>
    </row>
    <row r="296">
      <c r="A296" s="7" t="n"/>
      <c r="B296" s="7" t="n"/>
      <c r="C296" s="5">
        <f>IF(A296="","",IFERROR(INDEX(Clients!$B$5:$B$54,MATCH(A296,Clients!$A$5:$A$54,0)),"unknown"))</f>
        <v/>
      </c>
      <c r="D296" s="5">
        <f>IF(OR(A296="",B296="",Setup!$B$4=""),0,IF(C296=Setup!$B$4,1,0))</f>
        <v/>
      </c>
      <c r="E296" s="11">
        <f>IF(D296=1,SUMPRODUCT(($B$5:$B$304=B296)*($D$5:$D$304=1)),"")</f>
        <v/>
      </c>
      <c r="F296" s="5">
        <f>IF(D296=1,E296&gt;=Setup!$B$5,"")</f>
        <v/>
      </c>
    </row>
    <row r="297">
      <c r="A297" s="7" t="n"/>
      <c r="B297" s="7" t="n"/>
      <c r="C297" s="5">
        <f>IF(A297="","",IFERROR(INDEX(Clients!$B$5:$B$54,MATCH(A297,Clients!$A$5:$A$54,0)),"unknown"))</f>
        <v/>
      </c>
      <c r="D297" s="5">
        <f>IF(OR(A297="",B297="",Setup!$B$4=""),0,IF(C297=Setup!$B$4,1,0))</f>
        <v/>
      </c>
      <c r="E297" s="11">
        <f>IF(D297=1,SUMPRODUCT(($B$5:$B$304=B297)*($D$5:$D$304=1)),"")</f>
        <v/>
      </c>
      <c r="F297" s="5">
        <f>IF(D297=1,E297&gt;=Setup!$B$5,"")</f>
        <v/>
      </c>
    </row>
    <row r="298">
      <c r="A298" s="7" t="n"/>
      <c r="B298" s="7" t="n"/>
      <c r="C298" s="5">
        <f>IF(A298="","",IFERROR(INDEX(Clients!$B$5:$B$54,MATCH(A298,Clients!$A$5:$A$54,0)),"unknown"))</f>
        <v/>
      </c>
      <c r="D298" s="5">
        <f>IF(OR(A298="",B298="",Setup!$B$4=""),0,IF(C298=Setup!$B$4,1,0))</f>
        <v/>
      </c>
      <c r="E298" s="11">
        <f>IF(D298=1,SUMPRODUCT(($B$5:$B$304=B298)*($D$5:$D$304=1)),"")</f>
        <v/>
      </c>
      <c r="F298" s="5">
        <f>IF(D298=1,E298&gt;=Setup!$B$5,"")</f>
        <v/>
      </c>
    </row>
    <row r="299">
      <c r="A299" s="7" t="n"/>
      <c r="B299" s="7" t="n"/>
      <c r="C299" s="5">
        <f>IF(A299="","",IFERROR(INDEX(Clients!$B$5:$B$54,MATCH(A299,Clients!$A$5:$A$54,0)),"unknown"))</f>
        <v/>
      </c>
      <c r="D299" s="5">
        <f>IF(OR(A299="",B299="",Setup!$B$4=""),0,IF(C299=Setup!$B$4,1,0))</f>
        <v/>
      </c>
      <c r="E299" s="11">
        <f>IF(D299=1,SUMPRODUCT(($B$5:$B$304=B299)*($D$5:$D$304=1)),"")</f>
        <v/>
      </c>
      <c r="F299" s="5">
        <f>IF(D299=1,E299&gt;=Setup!$B$5,"")</f>
        <v/>
      </c>
    </row>
    <row r="300">
      <c r="A300" s="7" t="n"/>
      <c r="B300" s="7" t="n"/>
      <c r="C300" s="5">
        <f>IF(A300="","",IFERROR(INDEX(Clients!$B$5:$B$54,MATCH(A300,Clients!$A$5:$A$54,0)),"unknown"))</f>
        <v/>
      </c>
      <c r="D300" s="5">
        <f>IF(OR(A300="",B300="",Setup!$B$4=""),0,IF(C300=Setup!$B$4,1,0))</f>
        <v/>
      </c>
      <c r="E300" s="11">
        <f>IF(D300=1,SUMPRODUCT(($B$5:$B$304=B300)*($D$5:$D$304=1)),"")</f>
        <v/>
      </c>
      <c r="F300" s="5">
        <f>IF(D300=1,E300&gt;=Setup!$B$5,"")</f>
        <v/>
      </c>
    </row>
    <row r="301">
      <c r="A301" s="7" t="n"/>
      <c r="B301" s="7" t="n"/>
      <c r="C301" s="5">
        <f>IF(A301="","",IFERROR(INDEX(Clients!$B$5:$B$54,MATCH(A301,Clients!$A$5:$A$54,0)),"unknown"))</f>
        <v/>
      </c>
      <c r="D301" s="5">
        <f>IF(OR(A301="",B301="",Setup!$B$4=""),0,IF(C301=Setup!$B$4,1,0))</f>
        <v/>
      </c>
      <c r="E301" s="11">
        <f>IF(D301=1,SUMPRODUCT(($B$5:$B$304=B301)*($D$5:$D$304=1)),"")</f>
        <v/>
      </c>
      <c r="F301" s="5">
        <f>IF(D301=1,E301&gt;=Setup!$B$5,"")</f>
        <v/>
      </c>
    </row>
    <row r="302">
      <c r="A302" s="7" t="n"/>
      <c r="B302" s="7" t="n"/>
      <c r="C302" s="5">
        <f>IF(A302="","",IFERROR(INDEX(Clients!$B$5:$B$54,MATCH(A302,Clients!$A$5:$A$54,0)),"unknown"))</f>
        <v/>
      </c>
      <c r="D302" s="5">
        <f>IF(OR(A302="",B302="",Setup!$B$4=""),0,IF(C302=Setup!$B$4,1,0))</f>
        <v/>
      </c>
      <c r="E302" s="11">
        <f>IF(D302=1,SUMPRODUCT(($B$5:$B$304=B302)*($D$5:$D$304=1)),"")</f>
        <v/>
      </c>
      <c r="F302" s="5">
        <f>IF(D302=1,E302&gt;=Setup!$B$5,"")</f>
        <v/>
      </c>
    </row>
    <row r="303">
      <c r="A303" s="7" t="n"/>
      <c r="B303" s="7" t="n"/>
      <c r="C303" s="5">
        <f>IF(A303="","",IFERROR(INDEX(Clients!$B$5:$B$54,MATCH(A303,Clients!$A$5:$A$54,0)),"unknown"))</f>
        <v/>
      </c>
      <c r="D303" s="5">
        <f>IF(OR(A303="",B303="",Setup!$B$4=""),0,IF(C303=Setup!$B$4,1,0))</f>
        <v/>
      </c>
      <c r="E303" s="11">
        <f>IF(D303=1,SUMPRODUCT(($B$5:$B$304=B303)*($D$5:$D$304=1)),"")</f>
        <v/>
      </c>
      <c r="F303" s="5">
        <f>IF(D303=1,E303&gt;=Setup!$B$5,"")</f>
        <v/>
      </c>
    </row>
    <row r="304">
      <c r="A304" s="7" t="n"/>
      <c r="B304" s="7" t="n"/>
      <c r="C304" s="5">
        <f>IF(A304="","",IFERROR(INDEX(Clients!$B$5:$B$54,MATCH(A304,Clients!$A$5:$A$54,0)),"unknown"))</f>
        <v/>
      </c>
      <c r="D304" s="5">
        <f>IF(OR(A304="",B304="",Setup!$B$4=""),0,IF(C304=Setup!$B$4,1,0))</f>
        <v/>
      </c>
      <c r="E304" s="11">
        <f>IF(D304=1,SUMPRODUCT(($B$5:$B$304=B304)*($D$5:$D$304=1)),"")</f>
        <v/>
      </c>
      <c r="F304" s="5">
        <f>IF(D304=1,E304&gt;=Setup!$B$5,"")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2026-10-18T16:52:37Z</dcterms:created>
  <dcterms:modified xmlns:dcterms="http://purl.org/dc/terms/" xmlns:xsi="http://www.w3.org/2001/XMLSchema-instance" xsi:type="dcterms:W3CDTF">2026-10-18T16:52:37Z</dcterms:modified>
</cp:coreProperties>
</file>