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core" sheetId="3" state="visible" r:id="rId3"/>
    <sheet xmlns:r="http://schemas.openxmlformats.org/officeDocument/2006/relationships" name="Holdout" sheetId="4" state="visible" r:id="rId4"/>
    <sheet xmlns:r="http://schemas.openxmlformats.org/officeDocument/2006/relationships" name="Snapshots" sheetId="5" state="visible" r:id="rId5"/>
    <sheet xmlns:r="http://schemas.openxmlformats.org/officeDocument/2006/relationships" name="Scorecard" sheetId="6" state="visible" r:id="rId6"/>
    <sheet xmlns:r="http://schemas.openxmlformats.org/officeDocument/2006/relationships" name="Learning_Guards" sheetId="7" state="visible" r:id="rId7"/>
  </sheets>
  <definedNames>
    <definedName name="fitness">'Score'!$C$17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[Red]-#,##0.00"/>
    <numFmt numFmtId="165" formatCode="0.0000"/>
    <numFmt numFmtId="166" formatCode="0.000000"/>
    <numFmt numFmtId="167" formatCode="#,##0;[Red]-#,##0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2" fontId="4" fillId="3" borderId="1" pivotButton="0" quotePrefix="0" xfId="0"/>
    <xf numFmtId="164" fontId="4" fillId="3" borderId="1" pivotButton="0" quotePrefix="0" xfId="0"/>
    <xf numFmtId="165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165" fontId="5" fillId="0" borderId="1" pivotButton="0" quotePrefix="0" xfId="0"/>
    <xf numFmtId="1" fontId="0" fillId="0" borderId="1" pivotButton="0" quotePrefix="0" xfId="0"/>
    <xf numFmtId="1" fontId="4" fillId="3" borderId="1" pivotButton="0" quotePrefix="0" xfId="0"/>
    <xf numFmtId="167" fontId="4" fillId="3" borderId="1" pivotButton="0" quotePrefix="0" xfId="0"/>
    <xf numFmtId="167" fontId="0" fillId="0" borderId="1" pivotButton="0" quotePrefix="0" xfId="0"/>
    <xf numFmtId="165" fontId="4" fillId="3" borderId="1" pivotButton="0" quotePrefix="0" xfId="0"/>
    <xf numFmtId="10" fontId="4" fillId="3" borderId="1" pivotButton="0" quotePrefix="0" xfId="0"/>
    <xf numFmtId="164" fontId="0" fillId="0" borderId="1" pivotButton="0" quotePrefix="0" xfId="0"/>
    <xf numFmtId="168" fontId="4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K04 · Forecast Scoring, Holdout Backtest &amp; Scorecard (no-code kernel)</t>
        </is>
      </c>
    </row>
    <row r="2"/>
    <row r="3">
      <c r="A3" s="2" t="inlineStr">
        <is>
          <t>Replaces openfpa: pyfpa.backtest (extract_lines, aggregate_periods, score_forecast, holdout_backtest, snapshot_forecast, render_scorecard, persistent_miss, magnitude_cap) and portfolio.recover_actuals / best_snapshot; CLI scorecard-render.</t>
        </is>
      </c>
    </row>
    <row r="4">
      <c r="A4" s="3" t="inlineStr">
        <is>
          <t>Score (score_forecast)</t>
        </is>
      </c>
    </row>
    <row r="5">
      <c r="A5" s="2" t="inlineStr">
        <is>
          <t>Lines (default ending_cash 0.4, ebitda 0.3, revenue 0.2, gross_margin 0.1). A line is scored only if it has a predicted value, an actual value, a positive weight and a NON-ZERO actual.</t>
        </is>
      </c>
    </row>
    <row r="6">
      <c r="A6" s="2" t="inlineStr">
        <is>
          <t>Per-line error = predicted/actual - 1 (signed). Weights are renormalised over scored lines. Fitness = sum(weight x |error|) = weighted MAPE; LOWER is better. No scorable line = ERROR (missing evidence is never perfect performance).</t>
        </is>
      </c>
    </row>
    <row r="7">
      <c r="A7" s="3" t="inlineStr">
        <is>
          <t>Holdout (holdout_backtest)</t>
        </is>
      </c>
    </row>
    <row r="8">
      <c r="A8" s="2" t="inlineStr">
        <is>
          <t>Paste actuals by period (chronological). Set holdout N. The last N periods are held out; the model must be fitted ONLY on the fit periods (copy K01, set drivers from fit periods, paste its predicted lines here). Aggregation: flows summed, stock = last period, gross_margin = sum GP / sum revenue.</t>
        </is>
      </c>
    </row>
    <row r="9">
      <c r="A9" s="3" t="inlineStr">
        <is>
          <t>Snapshots and scorecard (render_scorecard)</t>
        </is>
      </c>
    </row>
    <row r="10">
      <c r="A10" s="2" t="inlineStr">
        <is>
          <t>One row per memory/forecasts/&lt;label&gt;.snapshot.md. After close, paste the score. 'Scorecard' renders the markdown for memory/scorecard.md (never hand-edit that file).</t>
        </is>
      </c>
    </row>
    <row r="11">
      <c r="A11" s="3" t="inlineStr">
        <is>
          <t>Learning guards</t>
        </is>
      </c>
    </row>
    <row r="12">
      <c r="A12" s="2" t="inlineStr">
        <is>
          <t>persistent_miss: TRUE when the last K errors of a line are all the same sign and all exceed the threshold (default K=2, threshold 0). magnitude_cap: clamp a proposed driver to +/-25% of the old value per cycle (old = 0 passes through).</t>
        </is>
      </c>
    </row>
    <row r="13">
      <c r="A13" s="2" t="inlineStr">
        <is>
          <t>recover_actuals: actual = predicted / (1 + error) for scored lines (error = -1 is unrecoverable). best_snapshot = lowest fitness scored snapshot.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4" t="inlineStr">
        <is>
          <t>OVERALL</t>
        </is>
      </c>
      <c r="C3" s="5">
        <f>IF(COUNTIF(C5:C7,"PASS")=COUNT(A5:A7),"PASS","FAIL")</f>
        <v/>
      </c>
      <c r="D3" s="6">
        <f>COUNTIF(C5:C7,"PASS")&amp;" pass / "&amp;COUNTIF(C5:C7,"FAIL")&amp;" fail / "&amp;(COUNT(A5:A7)-COUNTIF(C5:C7,"PASS")-COUNTIF(C5:C7,"FAIL"))&amp;"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at least one scorable line</t>
        </is>
      </c>
      <c r="C5" s="6">
        <f>IF(Score!C18&gt;0,"PASS","FAIL")</f>
        <v/>
      </c>
      <c r="D5" s="6">
        <f>Score!C18</f>
        <v/>
      </c>
    </row>
    <row r="6">
      <c r="A6" t="n">
        <v>2</v>
      </c>
      <c r="B6" t="inlineStr">
        <is>
          <t>weights used sum to 1</t>
        </is>
      </c>
      <c r="C6" s="6">
        <f>IF(OR(Score!C18=0,ABS(SUM(Score!G5:G14)-1)&lt;1E-9),"PASS","FAIL")</f>
        <v/>
      </c>
      <c r="D6" s="6">
        <f>SUM(Score!G5:G14)</f>
        <v/>
      </c>
    </row>
    <row r="7">
      <c r="A7" t="n">
        <v>3</v>
      </c>
      <c r="B7" t="inlineStr">
        <is>
          <t>holdout split valid (when used)</t>
        </is>
      </c>
      <c r="C7" s="6">
        <f>IF(OR(Holdout!B4=0,Holdout!B5="PASS"),"PASS","FAIL")</f>
        <v/>
      </c>
      <c r="D7" s="6">
        <f>Holdout!B4&amp;" periods"</f>
        <v/>
      </c>
    </row>
  </sheetData>
  <conditionalFormatting sqref="C3:C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8" customWidth="1" min="4" max="4"/>
    <col width="18" customWidth="1" min="5" max="5"/>
    <col width="10" customWidth="1" min="6" max="6"/>
    <col width="12" customWidth="1" min="7" max="7"/>
    <col width="18" customWidth="1" min="8" max="8"/>
    <col width="16" customWidth="1" min="9" max="9"/>
  </cols>
  <sheetData>
    <row r="1">
      <c r="A1" s="1" t="inlineStr">
        <is>
          <t>Score (score_forecast)</t>
        </is>
      </c>
    </row>
    <row r="2"/>
    <row r="3"/>
    <row r="4">
      <c r="A4" s="7" t="inlineStr">
        <is>
          <t>line</t>
        </is>
      </c>
      <c r="B4" s="7" t="inlineStr">
        <is>
          <t>kind (flow/stock/ratio)</t>
        </is>
      </c>
      <c r="C4" s="7" t="inlineStr">
        <is>
          <t>weight</t>
        </is>
      </c>
      <c r="D4" s="7" t="inlineStr">
        <is>
          <t>predicted</t>
        </is>
      </c>
      <c r="E4" s="7" t="inlineStr">
        <is>
          <t>actual</t>
        </is>
      </c>
      <c r="F4" s="7" t="inlineStr">
        <is>
          <t>scorable?</t>
        </is>
      </c>
      <c r="G4" s="7" t="inlineStr">
        <is>
          <t>weight used</t>
        </is>
      </c>
      <c r="H4" s="7" t="inlineStr">
        <is>
          <t>error (pred/act - 1)</t>
        </is>
      </c>
      <c r="I4" s="7" t="inlineStr">
        <is>
          <t>weighted |error|</t>
        </is>
      </c>
    </row>
    <row r="5">
      <c r="A5" s="8" t="inlineStr">
        <is>
          <t>ending_cash</t>
        </is>
      </c>
      <c r="B5" s="8" t="inlineStr">
        <is>
          <t>stock</t>
        </is>
      </c>
      <c r="C5" s="9" t="n">
        <v>0.4</v>
      </c>
      <c r="D5" s="10" t="n"/>
      <c r="E5" s="10" t="n"/>
      <c r="F5" s="6">
        <f>IF(AND(A5&lt;&gt;"",ISNUMBER(C5),C5&gt;0,ISNUMBER(D5),ISNUMBER(E5)),IF(E5&lt;&gt;0,1,0),0)</f>
        <v/>
      </c>
      <c r="G5" s="11">
        <f>IF(F5=1,C5/SUMPRODUCT($C$5:$C$14*$F$5:$F$14),0)</f>
        <v/>
      </c>
      <c r="H5" s="12">
        <f>IF(F5=1,(D5-E5)/E5,"")</f>
        <v/>
      </c>
      <c r="I5" s="13">
        <f>IF(F5=1,G5*ABS(H5),0)</f>
        <v/>
      </c>
    </row>
    <row r="6">
      <c r="A6" s="8" t="inlineStr">
        <is>
          <t>ebitda</t>
        </is>
      </c>
      <c r="B6" s="8" t="inlineStr">
        <is>
          <t>flow</t>
        </is>
      </c>
      <c r="C6" s="9" t="n">
        <v>0.3</v>
      </c>
      <c r="D6" s="10" t="n"/>
      <c r="E6" s="10" t="n"/>
      <c r="F6" s="6">
        <f>IF(AND(A6&lt;&gt;"",ISNUMBER(C6),C6&gt;0,ISNUMBER(D6),ISNUMBER(E6)),IF(E6&lt;&gt;0,1,0),0)</f>
        <v/>
      </c>
      <c r="G6" s="11">
        <f>IF(F6=1,C6/SUMPRODUCT($C$5:$C$14*$F$5:$F$14),0)</f>
        <v/>
      </c>
      <c r="H6" s="12">
        <f>IF(F6=1,(D6-E6)/E6,"")</f>
        <v/>
      </c>
      <c r="I6" s="13">
        <f>IF(F6=1,G6*ABS(H6),0)</f>
        <v/>
      </c>
    </row>
    <row r="7">
      <c r="A7" s="8" t="inlineStr">
        <is>
          <t>revenue</t>
        </is>
      </c>
      <c r="B7" s="8" t="inlineStr">
        <is>
          <t>flow</t>
        </is>
      </c>
      <c r="C7" s="9" t="n">
        <v>0.2</v>
      </c>
      <c r="D7" s="10" t="n"/>
      <c r="E7" s="10" t="n"/>
      <c r="F7" s="6">
        <f>IF(AND(A7&lt;&gt;"",ISNUMBER(C7),C7&gt;0,ISNUMBER(D7),ISNUMBER(E7)),IF(E7&lt;&gt;0,1,0),0)</f>
        <v/>
      </c>
      <c r="G7" s="11">
        <f>IF(F7=1,C7/SUMPRODUCT($C$5:$C$14*$F$5:$F$14),0)</f>
        <v/>
      </c>
      <c r="H7" s="12">
        <f>IF(F7=1,(D7-E7)/E7,"")</f>
        <v/>
      </c>
      <c r="I7" s="13">
        <f>IF(F7=1,G7*ABS(H7),0)</f>
        <v/>
      </c>
    </row>
    <row r="8">
      <c r="A8" s="8" t="inlineStr">
        <is>
          <t>gross_margin</t>
        </is>
      </c>
      <c r="B8" s="8" t="inlineStr">
        <is>
          <t>ratio</t>
        </is>
      </c>
      <c r="C8" s="9" t="n">
        <v>0.1</v>
      </c>
      <c r="D8" s="10" t="n"/>
      <c r="E8" s="10" t="n"/>
      <c r="F8" s="6">
        <f>IF(AND(A8&lt;&gt;"",ISNUMBER(C8),C8&gt;0,ISNUMBER(D8),ISNUMBER(E8)),IF(E8&lt;&gt;0,1,0),0)</f>
        <v/>
      </c>
      <c r="G8" s="11">
        <f>IF(F8=1,C8/SUMPRODUCT($C$5:$C$14*$F$5:$F$14),0)</f>
        <v/>
      </c>
      <c r="H8" s="12">
        <f>IF(F8=1,(D8-E8)/E8,"")</f>
        <v/>
      </c>
      <c r="I8" s="13">
        <f>IF(F8=1,G8*ABS(H8),0)</f>
        <v/>
      </c>
    </row>
    <row r="9">
      <c r="A9" s="8" t="n"/>
      <c r="B9" s="8" t="n"/>
      <c r="C9" s="9" t="n"/>
      <c r="D9" s="10" t="n"/>
      <c r="E9" s="10" t="n"/>
      <c r="F9" s="6">
        <f>IF(AND(A9&lt;&gt;"",ISNUMBER(C9),C9&gt;0,ISNUMBER(D9),ISNUMBER(E9)),IF(E9&lt;&gt;0,1,0),0)</f>
        <v/>
      </c>
      <c r="G9" s="11">
        <f>IF(F9=1,C9/SUMPRODUCT($C$5:$C$14*$F$5:$F$14),0)</f>
        <v/>
      </c>
      <c r="H9" s="12">
        <f>IF(F9=1,(D9-E9)/E9,"")</f>
        <v/>
      </c>
      <c r="I9" s="13">
        <f>IF(F9=1,G9*ABS(H9),0)</f>
        <v/>
      </c>
    </row>
    <row r="10">
      <c r="A10" s="8" t="n"/>
      <c r="B10" s="8" t="n"/>
      <c r="C10" s="9" t="n"/>
      <c r="D10" s="10" t="n"/>
      <c r="E10" s="10" t="n"/>
      <c r="F10" s="6">
        <f>IF(AND(A10&lt;&gt;"",ISNUMBER(C10),C10&gt;0,ISNUMBER(D10),ISNUMBER(E10)),IF(E10&lt;&gt;0,1,0),0)</f>
        <v/>
      </c>
      <c r="G10" s="11">
        <f>IF(F10=1,C10/SUMPRODUCT($C$5:$C$14*$F$5:$F$14),0)</f>
        <v/>
      </c>
      <c r="H10" s="12">
        <f>IF(F10=1,(D10-E10)/E10,"")</f>
        <v/>
      </c>
      <c r="I10" s="13">
        <f>IF(F10=1,G10*ABS(H10),0)</f>
        <v/>
      </c>
    </row>
    <row r="11">
      <c r="A11" s="8" t="n"/>
      <c r="B11" s="8" t="n"/>
      <c r="C11" s="9" t="n"/>
      <c r="D11" s="10" t="n"/>
      <c r="E11" s="10" t="n"/>
      <c r="F11" s="6">
        <f>IF(AND(A11&lt;&gt;"",ISNUMBER(C11),C11&gt;0,ISNUMBER(D11),ISNUMBER(E11)),IF(E11&lt;&gt;0,1,0),0)</f>
        <v/>
      </c>
      <c r="G11" s="11">
        <f>IF(F11=1,C11/SUMPRODUCT($C$5:$C$14*$F$5:$F$14),0)</f>
        <v/>
      </c>
      <c r="H11" s="12">
        <f>IF(F11=1,(D11-E11)/E11,"")</f>
        <v/>
      </c>
      <c r="I11" s="13">
        <f>IF(F11=1,G11*ABS(H11),0)</f>
        <v/>
      </c>
    </row>
    <row r="12">
      <c r="A12" s="8" t="n"/>
      <c r="B12" s="8" t="n"/>
      <c r="C12" s="9" t="n"/>
      <c r="D12" s="10" t="n"/>
      <c r="E12" s="10" t="n"/>
      <c r="F12" s="6">
        <f>IF(AND(A12&lt;&gt;"",ISNUMBER(C12),C12&gt;0,ISNUMBER(D12),ISNUMBER(E12)),IF(E12&lt;&gt;0,1,0),0)</f>
        <v/>
      </c>
      <c r="G12" s="11">
        <f>IF(F12=1,C12/SUMPRODUCT($C$5:$C$14*$F$5:$F$14),0)</f>
        <v/>
      </c>
      <c r="H12" s="12">
        <f>IF(F12=1,(D12-E12)/E12,"")</f>
        <v/>
      </c>
      <c r="I12" s="13">
        <f>IF(F12=1,G12*ABS(H12),0)</f>
        <v/>
      </c>
    </row>
    <row r="13">
      <c r="A13" s="8" t="n"/>
      <c r="B13" s="8" t="n"/>
      <c r="C13" s="9" t="n"/>
      <c r="D13" s="10" t="n"/>
      <c r="E13" s="10" t="n"/>
      <c r="F13" s="6">
        <f>IF(AND(A13&lt;&gt;"",ISNUMBER(C13),C13&gt;0,ISNUMBER(D13),ISNUMBER(E13)),IF(E13&lt;&gt;0,1,0),0)</f>
        <v/>
      </c>
      <c r="G13" s="11">
        <f>IF(F13=1,C13/SUMPRODUCT($C$5:$C$14*$F$5:$F$14),0)</f>
        <v/>
      </c>
      <c r="H13" s="12">
        <f>IF(F13=1,(D13-E13)/E13,"")</f>
        <v/>
      </c>
      <c r="I13" s="13">
        <f>IF(F13=1,G13*ABS(H13),0)</f>
        <v/>
      </c>
    </row>
    <row r="14">
      <c r="A14" s="8" t="n"/>
      <c r="B14" s="8" t="n"/>
      <c r="C14" s="9" t="n"/>
      <c r="D14" s="10" t="n"/>
      <c r="E14" s="10" t="n"/>
      <c r="F14" s="6">
        <f>IF(AND(A14&lt;&gt;"",ISNUMBER(C14),C14&gt;0,ISNUMBER(D14),ISNUMBER(E14)),IF(E14&lt;&gt;0,1,0),0)</f>
        <v/>
      </c>
      <c r="G14" s="11">
        <f>IF(F14=1,C14/SUMPRODUCT($C$5:$C$14*$F$5:$F$14),0)</f>
        <v/>
      </c>
      <c r="H14" s="12">
        <f>IF(F14=1,(D14-E14)/E14,"")</f>
        <v/>
      </c>
      <c r="I14" s="13">
        <f>IF(F14=1,G14*ABS(H14),0)</f>
        <v/>
      </c>
    </row>
    <row r="15"/>
    <row r="16"/>
    <row r="17">
      <c r="A17" s="4" t="inlineStr">
        <is>
          <t>FITNESS (weighted MAPE, lower = better)</t>
        </is>
      </c>
      <c r="C17" s="14">
        <f>IF(SUM(F5:F14)=0,"ERROR: no scorable lines",SUM(I5:I14))</f>
        <v/>
      </c>
    </row>
    <row r="18">
      <c r="A18" t="inlineStr">
        <is>
          <t>scored lines</t>
        </is>
      </c>
      <c r="C18" s="15">
        <f>SUM(F5:F14)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8" max="8"/>
    <col width="24" customWidth="1" min="11" max="11"/>
    <col width="18" customWidth="1" min="12" max="12"/>
  </cols>
  <sheetData>
    <row r="1">
      <c r="A1" s="1" t="inlineStr">
        <is>
          <t>Holdout backtest: chronological actuals; last N periods held out</t>
        </is>
      </c>
    </row>
    <row r="2"/>
    <row r="3">
      <c r="A3" t="inlineStr">
        <is>
          <t>holdout periods N</t>
        </is>
      </c>
      <c r="B3" s="16" t="n">
        <v>3</v>
      </c>
    </row>
    <row r="4">
      <c r="A4" t="inlineStr">
        <is>
          <t>periods supplied</t>
        </is>
      </c>
      <c r="B4" s="15">
        <f>SUMPRODUCT((A8:A127&lt;&gt;"")*1)</f>
        <v/>
      </c>
    </row>
    <row r="5">
      <c r="A5" t="inlineStr">
        <is>
          <t>valid split? (need more periods than N)</t>
        </is>
      </c>
      <c r="B5" s="6">
        <f>IF(B4&gt;B3,"PASS","FAIL")</f>
        <v/>
      </c>
    </row>
    <row r="6"/>
    <row r="7">
      <c r="A7" s="7" t="inlineStr">
        <is>
          <t>period</t>
        </is>
      </c>
      <c r="B7" s="7" t="inlineStr">
        <is>
          <t>revenue</t>
        </is>
      </c>
      <c r="C7" s="7" t="inlineStr">
        <is>
          <t>gross_profit</t>
        </is>
      </c>
      <c r="D7" s="7" t="inlineStr">
        <is>
          <t>ebitda</t>
        </is>
      </c>
      <c r="E7" s="7" t="inlineStr">
        <is>
          <t>ending_cash</t>
        </is>
      </c>
      <c r="F7" s="7" t="inlineStr">
        <is>
          <t>net_income</t>
        </is>
      </c>
      <c r="G7" s="7" t="inlineStr">
        <is>
          <t>free_cash_flow</t>
        </is>
      </c>
      <c r="H7" s="7" t="inlineStr">
        <is>
          <t>role (formula)</t>
        </is>
      </c>
      <c r="I7" s="7" t="inlineStr">
        <is>
          <t>order</t>
        </is>
      </c>
      <c r="K7" s="7" t="inlineStr">
        <is>
          <t>holdout aggregate line</t>
        </is>
      </c>
      <c r="L7" s="7" t="inlineStr">
        <is>
          <t>actual (aggregated)</t>
        </is>
      </c>
      <c r="M7" s="7" t="inlineStr">
        <is>
          <t>rule</t>
        </is>
      </c>
    </row>
    <row r="8">
      <c r="A8" s="8" t="n"/>
      <c r="B8" s="17" t="n"/>
      <c r="C8" s="17" t="n"/>
      <c r="D8" s="17" t="n"/>
      <c r="E8" s="17" t="n"/>
      <c r="F8" s="17" t="n"/>
      <c r="G8" s="17" t="n"/>
      <c r="H8" s="6">
        <f>IF(A8="","",IF(I8&gt;$B$4-$B$3,"holdout","fit"))</f>
        <v/>
      </c>
      <c r="I8" s="6">
        <f>IF(A8="","",SUMPRODUCT(($A$8:A8&lt;&gt;"")*1))</f>
        <v/>
      </c>
      <c r="K8" t="inlineStr">
        <is>
          <t>revenue</t>
        </is>
      </c>
      <c r="L8" s="18">
        <f>SUMIF($H$8:$H$127,"holdout",B8:B127)</f>
        <v/>
      </c>
      <c r="M8" t="inlineStr">
        <is>
          <t>flow</t>
        </is>
      </c>
    </row>
    <row r="9">
      <c r="A9" s="8" t="n"/>
      <c r="B9" s="17" t="n"/>
      <c r="C9" s="17" t="n"/>
      <c r="D9" s="17" t="n"/>
      <c r="E9" s="17" t="n"/>
      <c r="F9" s="17" t="n"/>
      <c r="G9" s="17" t="n"/>
      <c r="H9" s="6">
        <f>IF(A9="","",IF(I9&gt;$B$4-$B$3,"holdout","fit"))</f>
        <v/>
      </c>
      <c r="I9" s="6">
        <f>IF(A9="","",SUMPRODUCT(($A$8:A9&lt;&gt;"")*1))</f>
        <v/>
      </c>
      <c r="K9" t="inlineStr">
        <is>
          <t>gross_profit</t>
        </is>
      </c>
      <c r="L9" s="18">
        <f>SUMIF($H$8:$H$127,"holdout",C8:C127)</f>
        <v/>
      </c>
      <c r="M9" t="inlineStr">
        <is>
          <t>flow</t>
        </is>
      </c>
    </row>
    <row r="10">
      <c r="A10" s="8" t="n"/>
      <c r="B10" s="17" t="n"/>
      <c r="C10" s="17" t="n"/>
      <c r="D10" s="17" t="n"/>
      <c r="E10" s="17" t="n"/>
      <c r="F10" s="17" t="n"/>
      <c r="G10" s="17" t="n"/>
      <c r="H10" s="6">
        <f>IF(A10="","",IF(I10&gt;$B$4-$B$3,"holdout","fit"))</f>
        <v/>
      </c>
      <c r="I10" s="6">
        <f>IF(A10="","",SUMPRODUCT(($A$8:A10&lt;&gt;"")*1))</f>
        <v/>
      </c>
      <c r="K10" t="inlineStr">
        <is>
          <t>ebitda</t>
        </is>
      </c>
      <c r="L10" s="18">
        <f>SUMIF($H$8:$H$127,"holdout",D8:D127)</f>
        <v/>
      </c>
      <c r="M10" t="inlineStr">
        <is>
          <t>flow</t>
        </is>
      </c>
    </row>
    <row r="11">
      <c r="A11" s="8" t="n"/>
      <c r="B11" s="17" t="n"/>
      <c r="C11" s="17" t="n"/>
      <c r="D11" s="17" t="n"/>
      <c r="E11" s="17" t="n"/>
      <c r="F11" s="17" t="n"/>
      <c r="G11" s="17" t="n"/>
      <c r="H11" s="6">
        <f>IF(A11="","",IF(I11&gt;$B$4-$B$3,"holdout","fit"))</f>
        <v/>
      </c>
      <c r="I11" s="6">
        <f>IF(A11="","",SUMPRODUCT(($A$8:A11&lt;&gt;"")*1))</f>
        <v/>
      </c>
      <c r="K11" t="inlineStr">
        <is>
          <t>ending_cash</t>
        </is>
      </c>
      <c r="L11" s="18">
        <f>IFERROR(INDEX(E8:E127,MATCH($B$4,$I$8:$I$127,0)),0)</f>
        <v/>
      </c>
      <c r="M11" t="inlineStr">
        <is>
          <t>stock</t>
        </is>
      </c>
    </row>
    <row r="12">
      <c r="A12" s="8" t="n"/>
      <c r="B12" s="17" t="n"/>
      <c r="C12" s="17" t="n"/>
      <c r="D12" s="17" t="n"/>
      <c r="E12" s="17" t="n"/>
      <c r="F12" s="17" t="n"/>
      <c r="G12" s="17" t="n"/>
      <c r="H12" s="6">
        <f>IF(A12="","",IF(I12&gt;$B$4-$B$3,"holdout","fit"))</f>
        <v/>
      </c>
      <c r="I12" s="6">
        <f>IF(A12="","",SUMPRODUCT(($A$8:A12&lt;&gt;"")*1))</f>
        <v/>
      </c>
      <c r="K12" t="inlineStr">
        <is>
          <t>net_income</t>
        </is>
      </c>
      <c r="L12" s="18">
        <f>SUMIF($H$8:$H$127,"holdout",F8:F127)</f>
        <v/>
      </c>
      <c r="M12" t="inlineStr">
        <is>
          <t>flow</t>
        </is>
      </c>
    </row>
    <row r="13">
      <c r="A13" s="8" t="n"/>
      <c r="B13" s="17" t="n"/>
      <c r="C13" s="17" t="n"/>
      <c r="D13" s="17" t="n"/>
      <c r="E13" s="17" t="n"/>
      <c r="F13" s="17" t="n"/>
      <c r="G13" s="17" t="n"/>
      <c r="H13" s="6">
        <f>IF(A13="","",IF(I13&gt;$B$4-$B$3,"holdout","fit"))</f>
        <v/>
      </c>
      <c r="I13" s="6">
        <f>IF(A13="","",SUMPRODUCT(($A$8:A13&lt;&gt;"")*1))</f>
        <v/>
      </c>
      <c r="K13" t="inlineStr">
        <is>
          <t>free_cash_flow</t>
        </is>
      </c>
      <c r="L13" s="18">
        <f>SUMIF($H$8:$H$127,"holdout",G8:G127)</f>
        <v/>
      </c>
      <c r="M13" t="inlineStr">
        <is>
          <t>flow</t>
        </is>
      </c>
    </row>
    <row r="14">
      <c r="A14" s="8" t="n"/>
      <c r="B14" s="17" t="n"/>
      <c r="C14" s="17" t="n"/>
      <c r="D14" s="17" t="n"/>
      <c r="E14" s="17" t="n"/>
      <c r="F14" s="17" t="n"/>
      <c r="G14" s="17" t="n"/>
      <c r="H14" s="6">
        <f>IF(A14="","",IF(I14&gt;$B$4-$B$3,"holdout","fit"))</f>
        <v/>
      </c>
      <c r="I14" s="6">
        <f>IF(A14="","",SUMPRODUCT(($A$8:A14&lt;&gt;"")*1))</f>
        <v/>
      </c>
      <c r="K14" t="inlineStr">
        <is>
          <t>gross_margin</t>
        </is>
      </c>
      <c r="L14" s="12">
        <f>IF(L8=0,0,L9/L8)</f>
        <v/>
      </c>
      <c r="M14" t="inlineStr">
        <is>
          <t>ratio</t>
        </is>
      </c>
    </row>
    <row r="15">
      <c r="A15" s="8" t="n"/>
      <c r="B15" s="17" t="n"/>
      <c r="C15" s="17" t="n"/>
      <c r="D15" s="17" t="n"/>
      <c r="E15" s="17" t="n"/>
      <c r="F15" s="17" t="n"/>
      <c r="G15" s="17" t="n"/>
      <c r="H15" s="6">
        <f>IF(A15="","",IF(I15&gt;$B$4-$B$3,"holdout","fit"))</f>
        <v/>
      </c>
      <c r="I15" s="6">
        <f>IF(A15="","",SUMPRODUCT(($A$8:A15&lt;&gt;"")*1))</f>
        <v/>
      </c>
    </row>
    <row r="16">
      <c r="A16" s="8" t="n"/>
      <c r="B16" s="17" t="n"/>
      <c r="C16" s="17" t="n"/>
      <c r="D16" s="17" t="n"/>
      <c r="E16" s="17" t="n"/>
      <c r="F16" s="17" t="n"/>
      <c r="G16" s="17" t="n"/>
      <c r="H16" s="6">
        <f>IF(A16="","",IF(I16&gt;$B$4-$B$3,"holdout","fit"))</f>
        <v/>
      </c>
      <c r="I16" s="6">
        <f>IF(A16="","",SUMPRODUCT(($A$8:A16&lt;&gt;"")*1))</f>
        <v/>
      </c>
      <c r="K16" s="2" t="inlineStr">
        <is>
          <t>Paste these aggregated actuals into Score!E and the fit-only model's predictions into Score!D.</t>
        </is>
      </c>
    </row>
    <row r="17">
      <c r="A17" s="8" t="n"/>
      <c r="B17" s="17" t="n"/>
      <c r="C17" s="17" t="n"/>
      <c r="D17" s="17" t="n"/>
      <c r="E17" s="17" t="n"/>
      <c r="F17" s="17" t="n"/>
      <c r="G17" s="17" t="n"/>
      <c r="H17" s="6">
        <f>IF(A17="","",IF(I17&gt;$B$4-$B$3,"holdout","fit"))</f>
        <v/>
      </c>
      <c r="I17" s="6">
        <f>IF(A17="","",SUMPRODUCT(($A$8:A17&lt;&gt;"")*1))</f>
        <v/>
      </c>
    </row>
    <row r="18">
      <c r="A18" s="8" t="n"/>
      <c r="B18" s="17" t="n"/>
      <c r="C18" s="17" t="n"/>
      <c r="D18" s="17" t="n"/>
      <c r="E18" s="17" t="n"/>
      <c r="F18" s="17" t="n"/>
      <c r="G18" s="17" t="n"/>
      <c r="H18" s="6">
        <f>IF(A18="","",IF(I18&gt;$B$4-$B$3,"holdout","fit"))</f>
        <v/>
      </c>
      <c r="I18" s="6">
        <f>IF(A18="","",SUMPRODUCT(($A$8:A18&lt;&gt;"")*1))</f>
        <v/>
      </c>
    </row>
    <row r="19">
      <c r="A19" s="8" t="n"/>
      <c r="B19" s="17" t="n"/>
      <c r="C19" s="17" t="n"/>
      <c r="D19" s="17" t="n"/>
      <c r="E19" s="17" t="n"/>
      <c r="F19" s="17" t="n"/>
      <c r="G19" s="17" t="n"/>
      <c r="H19" s="6">
        <f>IF(A19="","",IF(I19&gt;$B$4-$B$3,"holdout","fit"))</f>
        <v/>
      </c>
      <c r="I19" s="6">
        <f>IF(A19="","",SUMPRODUCT(($A$8:A19&lt;&gt;"")*1))</f>
        <v/>
      </c>
    </row>
    <row r="20">
      <c r="A20" s="8" t="n"/>
      <c r="B20" s="17" t="n"/>
      <c r="C20" s="17" t="n"/>
      <c r="D20" s="17" t="n"/>
      <c r="E20" s="17" t="n"/>
      <c r="F20" s="17" t="n"/>
      <c r="G20" s="17" t="n"/>
      <c r="H20" s="6">
        <f>IF(A20="","",IF(I20&gt;$B$4-$B$3,"holdout","fit"))</f>
        <v/>
      </c>
      <c r="I20" s="6">
        <f>IF(A20="","",SUMPRODUCT(($A$8:A20&lt;&gt;"")*1))</f>
        <v/>
      </c>
    </row>
    <row r="21">
      <c r="A21" s="8" t="n"/>
      <c r="B21" s="17" t="n"/>
      <c r="C21" s="17" t="n"/>
      <c r="D21" s="17" t="n"/>
      <c r="E21" s="17" t="n"/>
      <c r="F21" s="17" t="n"/>
      <c r="G21" s="17" t="n"/>
      <c r="H21" s="6">
        <f>IF(A21="","",IF(I21&gt;$B$4-$B$3,"holdout","fit"))</f>
        <v/>
      </c>
      <c r="I21" s="6">
        <f>IF(A21="","",SUMPRODUCT(($A$8:A21&lt;&gt;"")*1))</f>
        <v/>
      </c>
    </row>
    <row r="22">
      <c r="A22" s="8" t="n"/>
      <c r="B22" s="17" t="n"/>
      <c r="C22" s="17" t="n"/>
      <c r="D22" s="17" t="n"/>
      <c r="E22" s="17" t="n"/>
      <c r="F22" s="17" t="n"/>
      <c r="G22" s="17" t="n"/>
      <c r="H22" s="6">
        <f>IF(A22="","",IF(I22&gt;$B$4-$B$3,"holdout","fit"))</f>
        <v/>
      </c>
      <c r="I22" s="6">
        <f>IF(A22="","",SUMPRODUCT(($A$8:A22&lt;&gt;"")*1))</f>
        <v/>
      </c>
    </row>
    <row r="23">
      <c r="A23" s="8" t="n"/>
      <c r="B23" s="17" t="n"/>
      <c r="C23" s="17" t="n"/>
      <c r="D23" s="17" t="n"/>
      <c r="E23" s="17" t="n"/>
      <c r="F23" s="17" t="n"/>
      <c r="G23" s="17" t="n"/>
      <c r="H23" s="6">
        <f>IF(A23="","",IF(I23&gt;$B$4-$B$3,"holdout","fit"))</f>
        <v/>
      </c>
      <c r="I23" s="6">
        <f>IF(A23="","",SUMPRODUCT(($A$8:A23&lt;&gt;"")*1))</f>
        <v/>
      </c>
    </row>
    <row r="24">
      <c r="A24" s="8" t="n"/>
      <c r="B24" s="17" t="n"/>
      <c r="C24" s="17" t="n"/>
      <c r="D24" s="17" t="n"/>
      <c r="E24" s="17" t="n"/>
      <c r="F24" s="17" t="n"/>
      <c r="G24" s="17" t="n"/>
      <c r="H24" s="6">
        <f>IF(A24="","",IF(I24&gt;$B$4-$B$3,"holdout","fit"))</f>
        <v/>
      </c>
      <c r="I24" s="6">
        <f>IF(A24="","",SUMPRODUCT(($A$8:A24&lt;&gt;"")*1))</f>
        <v/>
      </c>
    </row>
    <row r="25">
      <c r="A25" s="8" t="n"/>
      <c r="B25" s="17" t="n"/>
      <c r="C25" s="17" t="n"/>
      <c r="D25" s="17" t="n"/>
      <c r="E25" s="17" t="n"/>
      <c r="F25" s="17" t="n"/>
      <c r="G25" s="17" t="n"/>
      <c r="H25" s="6">
        <f>IF(A25="","",IF(I25&gt;$B$4-$B$3,"holdout","fit"))</f>
        <v/>
      </c>
      <c r="I25" s="6">
        <f>IF(A25="","",SUMPRODUCT(($A$8:A25&lt;&gt;"")*1))</f>
        <v/>
      </c>
    </row>
    <row r="26">
      <c r="A26" s="8" t="n"/>
      <c r="B26" s="17" t="n"/>
      <c r="C26" s="17" t="n"/>
      <c r="D26" s="17" t="n"/>
      <c r="E26" s="17" t="n"/>
      <c r="F26" s="17" t="n"/>
      <c r="G26" s="17" t="n"/>
      <c r="H26" s="6">
        <f>IF(A26="","",IF(I26&gt;$B$4-$B$3,"holdout","fit"))</f>
        <v/>
      </c>
      <c r="I26" s="6">
        <f>IF(A26="","",SUMPRODUCT(($A$8:A26&lt;&gt;"")*1))</f>
        <v/>
      </c>
    </row>
    <row r="27">
      <c r="A27" s="8" t="n"/>
      <c r="B27" s="17" t="n"/>
      <c r="C27" s="17" t="n"/>
      <c r="D27" s="17" t="n"/>
      <c r="E27" s="17" t="n"/>
      <c r="F27" s="17" t="n"/>
      <c r="G27" s="17" t="n"/>
      <c r="H27" s="6">
        <f>IF(A27="","",IF(I27&gt;$B$4-$B$3,"holdout","fit"))</f>
        <v/>
      </c>
      <c r="I27" s="6">
        <f>IF(A27="","",SUMPRODUCT(($A$8:A27&lt;&gt;"")*1))</f>
        <v/>
      </c>
    </row>
    <row r="28">
      <c r="A28" s="8" t="n"/>
      <c r="B28" s="17" t="n"/>
      <c r="C28" s="17" t="n"/>
      <c r="D28" s="17" t="n"/>
      <c r="E28" s="17" t="n"/>
      <c r="F28" s="17" t="n"/>
      <c r="G28" s="17" t="n"/>
      <c r="H28" s="6">
        <f>IF(A28="","",IF(I28&gt;$B$4-$B$3,"holdout","fit"))</f>
        <v/>
      </c>
      <c r="I28" s="6">
        <f>IF(A28="","",SUMPRODUCT(($A$8:A28&lt;&gt;"")*1))</f>
        <v/>
      </c>
    </row>
    <row r="29">
      <c r="A29" s="8" t="n"/>
      <c r="B29" s="17" t="n"/>
      <c r="C29" s="17" t="n"/>
      <c r="D29" s="17" t="n"/>
      <c r="E29" s="17" t="n"/>
      <c r="F29" s="17" t="n"/>
      <c r="G29" s="17" t="n"/>
      <c r="H29" s="6">
        <f>IF(A29="","",IF(I29&gt;$B$4-$B$3,"holdout","fit"))</f>
        <v/>
      </c>
      <c r="I29" s="6">
        <f>IF(A29="","",SUMPRODUCT(($A$8:A29&lt;&gt;"")*1))</f>
        <v/>
      </c>
    </row>
    <row r="30">
      <c r="A30" s="8" t="n"/>
      <c r="B30" s="17" t="n"/>
      <c r="C30" s="17" t="n"/>
      <c r="D30" s="17" t="n"/>
      <c r="E30" s="17" t="n"/>
      <c r="F30" s="17" t="n"/>
      <c r="G30" s="17" t="n"/>
      <c r="H30" s="6">
        <f>IF(A30="","",IF(I30&gt;$B$4-$B$3,"holdout","fit"))</f>
        <v/>
      </c>
      <c r="I30" s="6">
        <f>IF(A30="","",SUMPRODUCT(($A$8:A30&lt;&gt;"")*1))</f>
        <v/>
      </c>
    </row>
    <row r="31">
      <c r="A31" s="8" t="n"/>
      <c r="B31" s="17" t="n"/>
      <c r="C31" s="17" t="n"/>
      <c r="D31" s="17" t="n"/>
      <c r="E31" s="17" t="n"/>
      <c r="F31" s="17" t="n"/>
      <c r="G31" s="17" t="n"/>
      <c r="H31" s="6">
        <f>IF(A31="","",IF(I31&gt;$B$4-$B$3,"holdout","fit"))</f>
        <v/>
      </c>
      <c r="I31" s="6">
        <f>IF(A31="","",SUMPRODUCT(($A$8:A31&lt;&gt;"")*1))</f>
        <v/>
      </c>
    </row>
    <row r="32">
      <c r="A32" s="8" t="n"/>
      <c r="B32" s="17" t="n"/>
      <c r="C32" s="17" t="n"/>
      <c r="D32" s="17" t="n"/>
      <c r="E32" s="17" t="n"/>
      <c r="F32" s="17" t="n"/>
      <c r="G32" s="17" t="n"/>
      <c r="H32" s="6">
        <f>IF(A32="","",IF(I32&gt;$B$4-$B$3,"holdout","fit"))</f>
        <v/>
      </c>
      <c r="I32" s="6">
        <f>IF(A32="","",SUMPRODUCT(($A$8:A32&lt;&gt;"")*1))</f>
        <v/>
      </c>
    </row>
    <row r="33">
      <c r="A33" s="8" t="n"/>
      <c r="B33" s="17" t="n"/>
      <c r="C33" s="17" t="n"/>
      <c r="D33" s="17" t="n"/>
      <c r="E33" s="17" t="n"/>
      <c r="F33" s="17" t="n"/>
      <c r="G33" s="17" t="n"/>
      <c r="H33" s="6">
        <f>IF(A33="","",IF(I33&gt;$B$4-$B$3,"holdout","fit"))</f>
        <v/>
      </c>
      <c r="I33" s="6">
        <f>IF(A33="","",SUMPRODUCT(($A$8:A33&lt;&gt;"")*1))</f>
        <v/>
      </c>
    </row>
    <row r="34">
      <c r="A34" s="8" t="n"/>
      <c r="B34" s="17" t="n"/>
      <c r="C34" s="17" t="n"/>
      <c r="D34" s="17" t="n"/>
      <c r="E34" s="17" t="n"/>
      <c r="F34" s="17" t="n"/>
      <c r="G34" s="17" t="n"/>
      <c r="H34" s="6">
        <f>IF(A34="","",IF(I34&gt;$B$4-$B$3,"holdout","fit"))</f>
        <v/>
      </c>
      <c r="I34" s="6">
        <f>IF(A34="","",SUMPRODUCT(($A$8:A34&lt;&gt;"")*1))</f>
        <v/>
      </c>
    </row>
    <row r="35">
      <c r="A35" s="8" t="n"/>
      <c r="B35" s="17" t="n"/>
      <c r="C35" s="17" t="n"/>
      <c r="D35" s="17" t="n"/>
      <c r="E35" s="17" t="n"/>
      <c r="F35" s="17" t="n"/>
      <c r="G35" s="17" t="n"/>
      <c r="H35" s="6">
        <f>IF(A35="","",IF(I35&gt;$B$4-$B$3,"holdout","fit"))</f>
        <v/>
      </c>
      <c r="I35" s="6">
        <f>IF(A35="","",SUMPRODUCT(($A$8:A35&lt;&gt;"")*1))</f>
        <v/>
      </c>
    </row>
    <row r="36">
      <c r="A36" s="8" t="n"/>
      <c r="B36" s="17" t="n"/>
      <c r="C36" s="17" t="n"/>
      <c r="D36" s="17" t="n"/>
      <c r="E36" s="17" t="n"/>
      <c r="F36" s="17" t="n"/>
      <c r="G36" s="17" t="n"/>
      <c r="H36" s="6">
        <f>IF(A36="","",IF(I36&gt;$B$4-$B$3,"holdout","fit"))</f>
        <v/>
      </c>
      <c r="I36" s="6">
        <f>IF(A36="","",SUMPRODUCT(($A$8:A36&lt;&gt;"")*1))</f>
        <v/>
      </c>
    </row>
    <row r="37">
      <c r="A37" s="8" t="n"/>
      <c r="B37" s="17" t="n"/>
      <c r="C37" s="17" t="n"/>
      <c r="D37" s="17" t="n"/>
      <c r="E37" s="17" t="n"/>
      <c r="F37" s="17" t="n"/>
      <c r="G37" s="17" t="n"/>
      <c r="H37" s="6">
        <f>IF(A37="","",IF(I37&gt;$B$4-$B$3,"holdout","fit"))</f>
        <v/>
      </c>
      <c r="I37" s="6">
        <f>IF(A37="","",SUMPRODUCT(($A$8:A37&lt;&gt;"")*1))</f>
        <v/>
      </c>
    </row>
    <row r="38">
      <c r="A38" s="8" t="n"/>
      <c r="B38" s="17" t="n"/>
      <c r="C38" s="17" t="n"/>
      <c r="D38" s="17" t="n"/>
      <c r="E38" s="17" t="n"/>
      <c r="F38" s="17" t="n"/>
      <c r="G38" s="17" t="n"/>
      <c r="H38" s="6">
        <f>IF(A38="","",IF(I38&gt;$B$4-$B$3,"holdout","fit"))</f>
        <v/>
      </c>
      <c r="I38" s="6">
        <f>IF(A38="","",SUMPRODUCT(($A$8:A38&lt;&gt;"")*1))</f>
        <v/>
      </c>
    </row>
    <row r="39">
      <c r="A39" s="8" t="n"/>
      <c r="B39" s="17" t="n"/>
      <c r="C39" s="17" t="n"/>
      <c r="D39" s="17" t="n"/>
      <c r="E39" s="17" t="n"/>
      <c r="F39" s="17" t="n"/>
      <c r="G39" s="17" t="n"/>
      <c r="H39" s="6">
        <f>IF(A39="","",IF(I39&gt;$B$4-$B$3,"holdout","fit"))</f>
        <v/>
      </c>
      <c r="I39" s="6">
        <f>IF(A39="","",SUMPRODUCT(($A$8:A39&lt;&gt;"")*1))</f>
        <v/>
      </c>
    </row>
    <row r="40">
      <c r="A40" s="8" t="n"/>
      <c r="B40" s="17" t="n"/>
      <c r="C40" s="17" t="n"/>
      <c r="D40" s="17" t="n"/>
      <c r="E40" s="17" t="n"/>
      <c r="F40" s="17" t="n"/>
      <c r="G40" s="17" t="n"/>
      <c r="H40" s="6">
        <f>IF(A40="","",IF(I40&gt;$B$4-$B$3,"holdout","fit"))</f>
        <v/>
      </c>
      <c r="I40" s="6">
        <f>IF(A40="","",SUMPRODUCT(($A$8:A40&lt;&gt;"")*1))</f>
        <v/>
      </c>
    </row>
    <row r="41">
      <c r="A41" s="8" t="n"/>
      <c r="B41" s="17" t="n"/>
      <c r="C41" s="17" t="n"/>
      <c r="D41" s="17" t="n"/>
      <c r="E41" s="17" t="n"/>
      <c r="F41" s="17" t="n"/>
      <c r="G41" s="17" t="n"/>
      <c r="H41" s="6">
        <f>IF(A41="","",IF(I41&gt;$B$4-$B$3,"holdout","fit"))</f>
        <v/>
      </c>
      <c r="I41" s="6">
        <f>IF(A41="","",SUMPRODUCT(($A$8:A41&lt;&gt;"")*1))</f>
        <v/>
      </c>
    </row>
    <row r="42">
      <c r="A42" s="8" t="n"/>
      <c r="B42" s="17" t="n"/>
      <c r="C42" s="17" t="n"/>
      <c r="D42" s="17" t="n"/>
      <c r="E42" s="17" t="n"/>
      <c r="F42" s="17" t="n"/>
      <c r="G42" s="17" t="n"/>
      <c r="H42" s="6">
        <f>IF(A42="","",IF(I42&gt;$B$4-$B$3,"holdout","fit"))</f>
        <v/>
      </c>
      <c r="I42" s="6">
        <f>IF(A42="","",SUMPRODUCT(($A$8:A42&lt;&gt;"")*1))</f>
        <v/>
      </c>
    </row>
    <row r="43">
      <c r="A43" s="8" t="n"/>
      <c r="B43" s="17" t="n"/>
      <c r="C43" s="17" t="n"/>
      <c r="D43" s="17" t="n"/>
      <c r="E43" s="17" t="n"/>
      <c r="F43" s="17" t="n"/>
      <c r="G43" s="17" t="n"/>
      <c r="H43" s="6">
        <f>IF(A43="","",IF(I43&gt;$B$4-$B$3,"holdout","fit"))</f>
        <v/>
      </c>
      <c r="I43" s="6">
        <f>IF(A43="","",SUMPRODUCT(($A$8:A43&lt;&gt;"")*1))</f>
        <v/>
      </c>
    </row>
    <row r="44">
      <c r="A44" s="8" t="n"/>
      <c r="B44" s="17" t="n"/>
      <c r="C44" s="17" t="n"/>
      <c r="D44" s="17" t="n"/>
      <c r="E44" s="17" t="n"/>
      <c r="F44" s="17" t="n"/>
      <c r="G44" s="17" t="n"/>
      <c r="H44" s="6">
        <f>IF(A44="","",IF(I44&gt;$B$4-$B$3,"holdout","fit"))</f>
        <v/>
      </c>
      <c r="I44" s="6">
        <f>IF(A44="","",SUMPRODUCT(($A$8:A44&lt;&gt;"")*1))</f>
        <v/>
      </c>
    </row>
    <row r="45">
      <c r="A45" s="8" t="n"/>
      <c r="B45" s="17" t="n"/>
      <c r="C45" s="17" t="n"/>
      <c r="D45" s="17" t="n"/>
      <c r="E45" s="17" t="n"/>
      <c r="F45" s="17" t="n"/>
      <c r="G45" s="17" t="n"/>
      <c r="H45" s="6">
        <f>IF(A45="","",IF(I45&gt;$B$4-$B$3,"holdout","fit"))</f>
        <v/>
      </c>
      <c r="I45" s="6">
        <f>IF(A45="","",SUMPRODUCT(($A$8:A45&lt;&gt;"")*1))</f>
        <v/>
      </c>
    </row>
    <row r="46">
      <c r="A46" s="8" t="n"/>
      <c r="B46" s="17" t="n"/>
      <c r="C46" s="17" t="n"/>
      <c r="D46" s="17" t="n"/>
      <c r="E46" s="17" t="n"/>
      <c r="F46" s="17" t="n"/>
      <c r="G46" s="17" t="n"/>
      <c r="H46" s="6">
        <f>IF(A46="","",IF(I46&gt;$B$4-$B$3,"holdout","fit"))</f>
        <v/>
      </c>
      <c r="I46" s="6">
        <f>IF(A46="","",SUMPRODUCT(($A$8:A46&lt;&gt;"")*1))</f>
        <v/>
      </c>
    </row>
    <row r="47">
      <c r="A47" s="8" t="n"/>
      <c r="B47" s="17" t="n"/>
      <c r="C47" s="17" t="n"/>
      <c r="D47" s="17" t="n"/>
      <c r="E47" s="17" t="n"/>
      <c r="F47" s="17" t="n"/>
      <c r="G47" s="17" t="n"/>
      <c r="H47" s="6">
        <f>IF(A47="","",IF(I47&gt;$B$4-$B$3,"holdout","fit"))</f>
        <v/>
      </c>
      <c r="I47" s="6">
        <f>IF(A47="","",SUMPRODUCT(($A$8:A47&lt;&gt;"")*1))</f>
        <v/>
      </c>
    </row>
    <row r="48">
      <c r="A48" s="8" t="n"/>
      <c r="B48" s="17" t="n"/>
      <c r="C48" s="17" t="n"/>
      <c r="D48" s="17" t="n"/>
      <c r="E48" s="17" t="n"/>
      <c r="F48" s="17" t="n"/>
      <c r="G48" s="17" t="n"/>
      <c r="H48" s="6">
        <f>IF(A48="","",IF(I48&gt;$B$4-$B$3,"holdout","fit"))</f>
        <v/>
      </c>
      <c r="I48" s="6">
        <f>IF(A48="","",SUMPRODUCT(($A$8:A48&lt;&gt;"")*1))</f>
        <v/>
      </c>
    </row>
    <row r="49">
      <c r="A49" s="8" t="n"/>
      <c r="B49" s="17" t="n"/>
      <c r="C49" s="17" t="n"/>
      <c r="D49" s="17" t="n"/>
      <c r="E49" s="17" t="n"/>
      <c r="F49" s="17" t="n"/>
      <c r="G49" s="17" t="n"/>
      <c r="H49" s="6">
        <f>IF(A49="","",IF(I49&gt;$B$4-$B$3,"holdout","fit"))</f>
        <v/>
      </c>
      <c r="I49" s="6">
        <f>IF(A49="","",SUMPRODUCT(($A$8:A49&lt;&gt;"")*1))</f>
        <v/>
      </c>
    </row>
    <row r="50">
      <c r="A50" s="8" t="n"/>
      <c r="B50" s="17" t="n"/>
      <c r="C50" s="17" t="n"/>
      <c r="D50" s="17" t="n"/>
      <c r="E50" s="17" t="n"/>
      <c r="F50" s="17" t="n"/>
      <c r="G50" s="17" t="n"/>
      <c r="H50" s="6">
        <f>IF(A50="","",IF(I50&gt;$B$4-$B$3,"holdout","fit"))</f>
        <v/>
      </c>
      <c r="I50" s="6">
        <f>IF(A50="","",SUMPRODUCT(($A$8:A50&lt;&gt;"")*1))</f>
        <v/>
      </c>
    </row>
    <row r="51">
      <c r="A51" s="8" t="n"/>
      <c r="B51" s="17" t="n"/>
      <c r="C51" s="17" t="n"/>
      <c r="D51" s="17" t="n"/>
      <c r="E51" s="17" t="n"/>
      <c r="F51" s="17" t="n"/>
      <c r="G51" s="17" t="n"/>
      <c r="H51" s="6">
        <f>IF(A51="","",IF(I51&gt;$B$4-$B$3,"holdout","fit"))</f>
        <v/>
      </c>
      <c r="I51" s="6">
        <f>IF(A51="","",SUMPRODUCT(($A$8:A51&lt;&gt;"")*1))</f>
        <v/>
      </c>
    </row>
    <row r="52">
      <c r="A52" s="8" t="n"/>
      <c r="B52" s="17" t="n"/>
      <c r="C52" s="17" t="n"/>
      <c r="D52" s="17" t="n"/>
      <c r="E52" s="17" t="n"/>
      <c r="F52" s="17" t="n"/>
      <c r="G52" s="17" t="n"/>
      <c r="H52" s="6">
        <f>IF(A52="","",IF(I52&gt;$B$4-$B$3,"holdout","fit"))</f>
        <v/>
      </c>
      <c r="I52" s="6">
        <f>IF(A52="","",SUMPRODUCT(($A$8:A52&lt;&gt;"")*1))</f>
        <v/>
      </c>
    </row>
    <row r="53">
      <c r="A53" s="8" t="n"/>
      <c r="B53" s="17" t="n"/>
      <c r="C53" s="17" t="n"/>
      <c r="D53" s="17" t="n"/>
      <c r="E53" s="17" t="n"/>
      <c r="F53" s="17" t="n"/>
      <c r="G53" s="17" t="n"/>
      <c r="H53" s="6">
        <f>IF(A53="","",IF(I53&gt;$B$4-$B$3,"holdout","fit"))</f>
        <v/>
      </c>
      <c r="I53" s="6">
        <f>IF(A53="","",SUMPRODUCT(($A$8:A53&lt;&gt;"")*1))</f>
        <v/>
      </c>
    </row>
    <row r="54">
      <c r="A54" s="8" t="n"/>
      <c r="B54" s="17" t="n"/>
      <c r="C54" s="17" t="n"/>
      <c r="D54" s="17" t="n"/>
      <c r="E54" s="17" t="n"/>
      <c r="F54" s="17" t="n"/>
      <c r="G54" s="17" t="n"/>
      <c r="H54" s="6">
        <f>IF(A54="","",IF(I54&gt;$B$4-$B$3,"holdout","fit"))</f>
        <v/>
      </c>
      <c r="I54" s="6">
        <f>IF(A54="","",SUMPRODUCT(($A$8:A54&lt;&gt;"")*1))</f>
        <v/>
      </c>
    </row>
    <row r="55">
      <c r="A55" s="8" t="n"/>
      <c r="B55" s="17" t="n"/>
      <c r="C55" s="17" t="n"/>
      <c r="D55" s="17" t="n"/>
      <c r="E55" s="17" t="n"/>
      <c r="F55" s="17" t="n"/>
      <c r="G55" s="17" t="n"/>
      <c r="H55" s="6">
        <f>IF(A55="","",IF(I55&gt;$B$4-$B$3,"holdout","fit"))</f>
        <v/>
      </c>
      <c r="I55" s="6">
        <f>IF(A55="","",SUMPRODUCT(($A$8:A55&lt;&gt;"")*1))</f>
        <v/>
      </c>
    </row>
    <row r="56">
      <c r="A56" s="8" t="n"/>
      <c r="B56" s="17" t="n"/>
      <c r="C56" s="17" t="n"/>
      <c r="D56" s="17" t="n"/>
      <c r="E56" s="17" t="n"/>
      <c r="F56" s="17" t="n"/>
      <c r="G56" s="17" t="n"/>
      <c r="H56" s="6">
        <f>IF(A56="","",IF(I56&gt;$B$4-$B$3,"holdout","fit"))</f>
        <v/>
      </c>
      <c r="I56" s="6">
        <f>IF(A56="","",SUMPRODUCT(($A$8:A56&lt;&gt;"")*1))</f>
        <v/>
      </c>
    </row>
    <row r="57">
      <c r="A57" s="8" t="n"/>
      <c r="B57" s="17" t="n"/>
      <c r="C57" s="17" t="n"/>
      <c r="D57" s="17" t="n"/>
      <c r="E57" s="17" t="n"/>
      <c r="F57" s="17" t="n"/>
      <c r="G57" s="17" t="n"/>
      <c r="H57" s="6">
        <f>IF(A57="","",IF(I57&gt;$B$4-$B$3,"holdout","fit"))</f>
        <v/>
      </c>
      <c r="I57" s="6">
        <f>IF(A57="","",SUMPRODUCT(($A$8:A57&lt;&gt;"")*1))</f>
        <v/>
      </c>
    </row>
    <row r="58">
      <c r="A58" s="8" t="n"/>
      <c r="B58" s="17" t="n"/>
      <c r="C58" s="17" t="n"/>
      <c r="D58" s="17" t="n"/>
      <c r="E58" s="17" t="n"/>
      <c r="F58" s="17" t="n"/>
      <c r="G58" s="17" t="n"/>
      <c r="H58" s="6">
        <f>IF(A58="","",IF(I58&gt;$B$4-$B$3,"holdout","fit"))</f>
        <v/>
      </c>
      <c r="I58" s="6">
        <f>IF(A58="","",SUMPRODUCT(($A$8:A58&lt;&gt;"")*1))</f>
        <v/>
      </c>
    </row>
    <row r="59">
      <c r="A59" s="8" t="n"/>
      <c r="B59" s="17" t="n"/>
      <c r="C59" s="17" t="n"/>
      <c r="D59" s="17" t="n"/>
      <c r="E59" s="17" t="n"/>
      <c r="F59" s="17" t="n"/>
      <c r="G59" s="17" t="n"/>
      <c r="H59" s="6">
        <f>IF(A59="","",IF(I59&gt;$B$4-$B$3,"holdout","fit"))</f>
        <v/>
      </c>
      <c r="I59" s="6">
        <f>IF(A59="","",SUMPRODUCT(($A$8:A59&lt;&gt;"")*1))</f>
        <v/>
      </c>
    </row>
    <row r="60">
      <c r="A60" s="8" t="n"/>
      <c r="B60" s="17" t="n"/>
      <c r="C60" s="17" t="n"/>
      <c r="D60" s="17" t="n"/>
      <c r="E60" s="17" t="n"/>
      <c r="F60" s="17" t="n"/>
      <c r="G60" s="17" t="n"/>
      <c r="H60" s="6">
        <f>IF(A60="","",IF(I60&gt;$B$4-$B$3,"holdout","fit"))</f>
        <v/>
      </c>
      <c r="I60" s="6">
        <f>IF(A60="","",SUMPRODUCT(($A$8:A60&lt;&gt;"")*1))</f>
        <v/>
      </c>
    </row>
    <row r="61">
      <c r="A61" s="8" t="n"/>
      <c r="B61" s="17" t="n"/>
      <c r="C61" s="17" t="n"/>
      <c r="D61" s="17" t="n"/>
      <c r="E61" s="17" t="n"/>
      <c r="F61" s="17" t="n"/>
      <c r="G61" s="17" t="n"/>
      <c r="H61" s="6">
        <f>IF(A61="","",IF(I61&gt;$B$4-$B$3,"holdout","fit"))</f>
        <v/>
      </c>
      <c r="I61" s="6">
        <f>IF(A61="","",SUMPRODUCT(($A$8:A61&lt;&gt;"")*1))</f>
        <v/>
      </c>
    </row>
    <row r="62">
      <c r="A62" s="8" t="n"/>
      <c r="B62" s="17" t="n"/>
      <c r="C62" s="17" t="n"/>
      <c r="D62" s="17" t="n"/>
      <c r="E62" s="17" t="n"/>
      <c r="F62" s="17" t="n"/>
      <c r="G62" s="17" t="n"/>
      <c r="H62" s="6">
        <f>IF(A62="","",IF(I62&gt;$B$4-$B$3,"holdout","fit"))</f>
        <v/>
      </c>
      <c r="I62" s="6">
        <f>IF(A62="","",SUMPRODUCT(($A$8:A62&lt;&gt;"")*1))</f>
        <v/>
      </c>
    </row>
    <row r="63">
      <c r="A63" s="8" t="n"/>
      <c r="B63" s="17" t="n"/>
      <c r="C63" s="17" t="n"/>
      <c r="D63" s="17" t="n"/>
      <c r="E63" s="17" t="n"/>
      <c r="F63" s="17" t="n"/>
      <c r="G63" s="17" t="n"/>
      <c r="H63" s="6">
        <f>IF(A63="","",IF(I63&gt;$B$4-$B$3,"holdout","fit"))</f>
        <v/>
      </c>
      <c r="I63" s="6">
        <f>IF(A63="","",SUMPRODUCT(($A$8:A63&lt;&gt;"")*1))</f>
        <v/>
      </c>
    </row>
    <row r="64">
      <c r="A64" s="8" t="n"/>
      <c r="B64" s="17" t="n"/>
      <c r="C64" s="17" t="n"/>
      <c r="D64" s="17" t="n"/>
      <c r="E64" s="17" t="n"/>
      <c r="F64" s="17" t="n"/>
      <c r="G64" s="17" t="n"/>
      <c r="H64" s="6">
        <f>IF(A64="","",IF(I64&gt;$B$4-$B$3,"holdout","fit"))</f>
        <v/>
      </c>
      <c r="I64" s="6">
        <f>IF(A64="","",SUMPRODUCT(($A$8:A64&lt;&gt;"")*1))</f>
        <v/>
      </c>
    </row>
    <row r="65">
      <c r="A65" s="8" t="n"/>
      <c r="B65" s="17" t="n"/>
      <c r="C65" s="17" t="n"/>
      <c r="D65" s="17" t="n"/>
      <c r="E65" s="17" t="n"/>
      <c r="F65" s="17" t="n"/>
      <c r="G65" s="17" t="n"/>
      <c r="H65" s="6">
        <f>IF(A65="","",IF(I65&gt;$B$4-$B$3,"holdout","fit"))</f>
        <v/>
      </c>
      <c r="I65" s="6">
        <f>IF(A65="","",SUMPRODUCT(($A$8:A65&lt;&gt;"")*1))</f>
        <v/>
      </c>
    </row>
    <row r="66">
      <c r="A66" s="8" t="n"/>
      <c r="B66" s="17" t="n"/>
      <c r="C66" s="17" t="n"/>
      <c r="D66" s="17" t="n"/>
      <c r="E66" s="17" t="n"/>
      <c r="F66" s="17" t="n"/>
      <c r="G66" s="17" t="n"/>
      <c r="H66" s="6">
        <f>IF(A66="","",IF(I66&gt;$B$4-$B$3,"holdout","fit"))</f>
        <v/>
      </c>
      <c r="I66" s="6">
        <f>IF(A66="","",SUMPRODUCT(($A$8:A66&lt;&gt;"")*1))</f>
        <v/>
      </c>
    </row>
    <row r="67">
      <c r="A67" s="8" t="n"/>
      <c r="B67" s="17" t="n"/>
      <c r="C67" s="17" t="n"/>
      <c r="D67" s="17" t="n"/>
      <c r="E67" s="17" t="n"/>
      <c r="F67" s="17" t="n"/>
      <c r="G67" s="17" t="n"/>
      <c r="H67" s="6">
        <f>IF(A67="","",IF(I67&gt;$B$4-$B$3,"holdout","fit"))</f>
        <v/>
      </c>
      <c r="I67" s="6">
        <f>IF(A67="","",SUMPRODUCT(($A$8:A67&lt;&gt;"")*1))</f>
        <v/>
      </c>
    </row>
    <row r="68">
      <c r="A68" s="8" t="n"/>
      <c r="B68" s="17" t="n"/>
      <c r="C68" s="17" t="n"/>
      <c r="D68" s="17" t="n"/>
      <c r="E68" s="17" t="n"/>
      <c r="F68" s="17" t="n"/>
      <c r="G68" s="17" t="n"/>
      <c r="H68" s="6">
        <f>IF(A68="","",IF(I68&gt;$B$4-$B$3,"holdout","fit"))</f>
        <v/>
      </c>
      <c r="I68" s="6">
        <f>IF(A68="","",SUMPRODUCT(($A$8:A68&lt;&gt;"")*1))</f>
        <v/>
      </c>
    </row>
    <row r="69">
      <c r="A69" s="8" t="n"/>
      <c r="B69" s="17" t="n"/>
      <c r="C69" s="17" t="n"/>
      <c r="D69" s="17" t="n"/>
      <c r="E69" s="17" t="n"/>
      <c r="F69" s="17" t="n"/>
      <c r="G69" s="17" t="n"/>
      <c r="H69" s="6">
        <f>IF(A69="","",IF(I69&gt;$B$4-$B$3,"holdout","fit"))</f>
        <v/>
      </c>
      <c r="I69" s="6">
        <f>IF(A69="","",SUMPRODUCT(($A$8:A69&lt;&gt;"")*1))</f>
        <v/>
      </c>
    </row>
    <row r="70">
      <c r="A70" s="8" t="n"/>
      <c r="B70" s="17" t="n"/>
      <c r="C70" s="17" t="n"/>
      <c r="D70" s="17" t="n"/>
      <c r="E70" s="17" t="n"/>
      <c r="F70" s="17" t="n"/>
      <c r="G70" s="17" t="n"/>
      <c r="H70" s="6">
        <f>IF(A70="","",IF(I70&gt;$B$4-$B$3,"holdout","fit"))</f>
        <v/>
      </c>
      <c r="I70" s="6">
        <f>IF(A70="","",SUMPRODUCT(($A$8:A70&lt;&gt;"")*1))</f>
        <v/>
      </c>
    </row>
    <row r="71">
      <c r="A71" s="8" t="n"/>
      <c r="B71" s="17" t="n"/>
      <c r="C71" s="17" t="n"/>
      <c r="D71" s="17" t="n"/>
      <c r="E71" s="17" t="n"/>
      <c r="F71" s="17" t="n"/>
      <c r="G71" s="17" t="n"/>
      <c r="H71" s="6">
        <f>IF(A71="","",IF(I71&gt;$B$4-$B$3,"holdout","fit"))</f>
        <v/>
      </c>
      <c r="I71" s="6">
        <f>IF(A71="","",SUMPRODUCT(($A$8:A71&lt;&gt;"")*1))</f>
        <v/>
      </c>
    </row>
    <row r="72">
      <c r="A72" s="8" t="n"/>
      <c r="B72" s="17" t="n"/>
      <c r="C72" s="17" t="n"/>
      <c r="D72" s="17" t="n"/>
      <c r="E72" s="17" t="n"/>
      <c r="F72" s="17" t="n"/>
      <c r="G72" s="17" t="n"/>
      <c r="H72" s="6">
        <f>IF(A72="","",IF(I72&gt;$B$4-$B$3,"holdout","fit"))</f>
        <v/>
      </c>
      <c r="I72" s="6">
        <f>IF(A72="","",SUMPRODUCT(($A$8:A72&lt;&gt;"")*1))</f>
        <v/>
      </c>
    </row>
    <row r="73">
      <c r="A73" s="8" t="n"/>
      <c r="B73" s="17" t="n"/>
      <c r="C73" s="17" t="n"/>
      <c r="D73" s="17" t="n"/>
      <c r="E73" s="17" t="n"/>
      <c r="F73" s="17" t="n"/>
      <c r="G73" s="17" t="n"/>
      <c r="H73" s="6">
        <f>IF(A73="","",IF(I73&gt;$B$4-$B$3,"holdout","fit"))</f>
        <v/>
      </c>
      <c r="I73" s="6">
        <f>IF(A73="","",SUMPRODUCT(($A$8:A73&lt;&gt;"")*1))</f>
        <v/>
      </c>
    </row>
    <row r="74">
      <c r="A74" s="8" t="n"/>
      <c r="B74" s="17" t="n"/>
      <c r="C74" s="17" t="n"/>
      <c r="D74" s="17" t="n"/>
      <c r="E74" s="17" t="n"/>
      <c r="F74" s="17" t="n"/>
      <c r="G74" s="17" t="n"/>
      <c r="H74" s="6">
        <f>IF(A74="","",IF(I74&gt;$B$4-$B$3,"holdout","fit"))</f>
        <v/>
      </c>
      <c r="I74" s="6">
        <f>IF(A74="","",SUMPRODUCT(($A$8:A74&lt;&gt;"")*1))</f>
        <v/>
      </c>
    </row>
    <row r="75">
      <c r="A75" s="8" t="n"/>
      <c r="B75" s="17" t="n"/>
      <c r="C75" s="17" t="n"/>
      <c r="D75" s="17" t="n"/>
      <c r="E75" s="17" t="n"/>
      <c r="F75" s="17" t="n"/>
      <c r="G75" s="17" t="n"/>
      <c r="H75" s="6">
        <f>IF(A75="","",IF(I75&gt;$B$4-$B$3,"holdout","fit"))</f>
        <v/>
      </c>
      <c r="I75" s="6">
        <f>IF(A75="","",SUMPRODUCT(($A$8:A75&lt;&gt;"")*1))</f>
        <v/>
      </c>
    </row>
    <row r="76">
      <c r="A76" s="8" t="n"/>
      <c r="B76" s="17" t="n"/>
      <c r="C76" s="17" t="n"/>
      <c r="D76" s="17" t="n"/>
      <c r="E76" s="17" t="n"/>
      <c r="F76" s="17" t="n"/>
      <c r="G76" s="17" t="n"/>
      <c r="H76" s="6">
        <f>IF(A76="","",IF(I76&gt;$B$4-$B$3,"holdout","fit"))</f>
        <v/>
      </c>
      <c r="I76" s="6">
        <f>IF(A76="","",SUMPRODUCT(($A$8:A76&lt;&gt;"")*1))</f>
        <v/>
      </c>
    </row>
    <row r="77">
      <c r="A77" s="8" t="n"/>
      <c r="B77" s="17" t="n"/>
      <c r="C77" s="17" t="n"/>
      <c r="D77" s="17" t="n"/>
      <c r="E77" s="17" t="n"/>
      <c r="F77" s="17" t="n"/>
      <c r="G77" s="17" t="n"/>
      <c r="H77" s="6">
        <f>IF(A77="","",IF(I77&gt;$B$4-$B$3,"holdout","fit"))</f>
        <v/>
      </c>
      <c r="I77" s="6">
        <f>IF(A77="","",SUMPRODUCT(($A$8:A77&lt;&gt;"")*1))</f>
        <v/>
      </c>
    </row>
    <row r="78">
      <c r="A78" s="8" t="n"/>
      <c r="B78" s="17" t="n"/>
      <c r="C78" s="17" t="n"/>
      <c r="D78" s="17" t="n"/>
      <c r="E78" s="17" t="n"/>
      <c r="F78" s="17" t="n"/>
      <c r="G78" s="17" t="n"/>
      <c r="H78" s="6">
        <f>IF(A78="","",IF(I78&gt;$B$4-$B$3,"holdout","fit"))</f>
        <v/>
      </c>
      <c r="I78" s="6">
        <f>IF(A78="","",SUMPRODUCT(($A$8:A78&lt;&gt;"")*1))</f>
        <v/>
      </c>
    </row>
    <row r="79">
      <c r="A79" s="8" t="n"/>
      <c r="B79" s="17" t="n"/>
      <c r="C79" s="17" t="n"/>
      <c r="D79" s="17" t="n"/>
      <c r="E79" s="17" t="n"/>
      <c r="F79" s="17" t="n"/>
      <c r="G79" s="17" t="n"/>
      <c r="H79" s="6">
        <f>IF(A79="","",IF(I79&gt;$B$4-$B$3,"holdout","fit"))</f>
        <v/>
      </c>
      <c r="I79" s="6">
        <f>IF(A79="","",SUMPRODUCT(($A$8:A79&lt;&gt;"")*1))</f>
        <v/>
      </c>
    </row>
    <row r="80">
      <c r="A80" s="8" t="n"/>
      <c r="B80" s="17" t="n"/>
      <c r="C80" s="17" t="n"/>
      <c r="D80" s="17" t="n"/>
      <c r="E80" s="17" t="n"/>
      <c r="F80" s="17" t="n"/>
      <c r="G80" s="17" t="n"/>
      <c r="H80" s="6">
        <f>IF(A80="","",IF(I80&gt;$B$4-$B$3,"holdout","fit"))</f>
        <v/>
      </c>
      <c r="I80" s="6">
        <f>IF(A80="","",SUMPRODUCT(($A$8:A80&lt;&gt;"")*1))</f>
        <v/>
      </c>
    </row>
    <row r="81">
      <c r="A81" s="8" t="n"/>
      <c r="B81" s="17" t="n"/>
      <c r="C81" s="17" t="n"/>
      <c r="D81" s="17" t="n"/>
      <c r="E81" s="17" t="n"/>
      <c r="F81" s="17" t="n"/>
      <c r="G81" s="17" t="n"/>
      <c r="H81" s="6">
        <f>IF(A81="","",IF(I81&gt;$B$4-$B$3,"holdout","fit"))</f>
        <v/>
      </c>
      <c r="I81" s="6">
        <f>IF(A81="","",SUMPRODUCT(($A$8:A81&lt;&gt;"")*1))</f>
        <v/>
      </c>
    </row>
    <row r="82">
      <c r="A82" s="8" t="n"/>
      <c r="B82" s="17" t="n"/>
      <c r="C82" s="17" t="n"/>
      <c r="D82" s="17" t="n"/>
      <c r="E82" s="17" t="n"/>
      <c r="F82" s="17" t="n"/>
      <c r="G82" s="17" t="n"/>
      <c r="H82" s="6">
        <f>IF(A82="","",IF(I82&gt;$B$4-$B$3,"holdout","fit"))</f>
        <v/>
      </c>
      <c r="I82" s="6">
        <f>IF(A82="","",SUMPRODUCT(($A$8:A82&lt;&gt;"")*1))</f>
        <v/>
      </c>
    </row>
    <row r="83">
      <c r="A83" s="8" t="n"/>
      <c r="B83" s="17" t="n"/>
      <c r="C83" s="17" t="n"/>
      <c r="D83" s="17" t="n"/>
      <c r="E83" s="17" t="n"/>
      <c r="F83" s="17" t="n"/>
      <c r="G83" s="17" t="n"/>
      <c r="H83" s="6">
        <f>IF(A83="","",IF(I83&gt;$B$4-$B$3,"holdout","fit"))</f>
        <v/>
      </c>
      <c r="I83" s="6">
        <f>IF(A83="","",SUMPRODUCT(($A$8:A83&lt;&gt;"")*1))</f>
        <v/>
      </c>
    </row>
    <row r="84">
      <c r="A84" s="8" t="n"/>
      <c r="B84" s="17" t="n"/>
      <c r="C84" s="17" t="n"/>
      <c r="D84" s="17" t="n"/>
      <c r="E84" s="17" t="n"/>
      <c r="F84" s="17" t="n"/>
      <c r="G84" s="17" t="n"/>
      <c r="H84" s="6">
        <f>IF(A84="","",IF(I84&gt;$B$4-$B$3,"holdout","fit"))</f>
        <v/>
      </c>
      <c r="I84" s="6">
        <f>IF(A84="","",SUMPRODUCT(($A$8:A84&lt;&gt;"")*1))</f>
        <v/>
      </c>
    </row>
    <row r="85">
      <c r="A85" s="8" t="n"/>
      <c r="B85" s="17" t="n"/>
      <c r="C85" s="17" t="n"/>
      <c r="D85" s="17" t="n"/>
      <c r="E85" s="17" t="n"/>
      <c r="F85" s="17" t="n"/>
      <c r="G85" s="17" t="n"/>
      <c r="H85" s="6">
        <f>IF(A85="","",IF(I85&gt;$B$4-$B$3,"holdout","fit"))</f>
        <v/>
      </c>
      <c r="I85" s="6">
        <f>IF(A85="","",SUMPRODUCT(($A$8:A85&lt;&gt;"")*1))</f>
        <v/>
      </c>
    </row>
    <row r="86">
      <c r="A86" s="8" t="n"/>
      <c r="B86" s="17" t="n"/>
      <c r="C86" s="17" t="n"/>
      <c r="D86" s="17" t="n"/>
      <c r="E86" s="17" t="n"/>
      <c r="F86" s="17" t="n"/>
      <c r="G86" s="17" t="n"/>
      <c r="H86" s="6">
        <f>IF(A86="","",IF(I86&gt;$B$4-$B$3,"holdout","fit"))</f>
        <v/>
      </c>
      <c r="I86" s="6">
        <f>IF(A86="","",SUMPRODUCT(($A$8:A86&lt;&gt;"")*1))</f>
        <v/>
      </c>
    </row>
    <row r="87">
      <c r="A87" s="8" t="n"/>
      <c r="B87" s="17" t="n"/>
      <c r="C87" s="17" t="n"/>
      <c r="D87" s="17" t="n"/>
      <c r="E87" s="17" t="n"/>
      <c r="F87" s="17" t="n"/>
      <c r="G87" s="17" t="n"/>
      <c r="H87" s="6">
        <f>IF(A87="","",IF(I87&gt;$B$4-$B$3,"holdout","fit"))</f>
        <v/>
      </c>
      <c r="I87" s="6">
        <f>IF(A87="","",SUMPRODUCT(($A$8:A87&lt;&gt;"")*1))</f>
        <v/>
      </c>
    </row>
    <row r="88">
      <c r="A88" s="8" t="n"/>
      <c r="B88" s="17" t="n"/>
      <c r="C88" s="17" t="n"/>
      <c r="D88" s="17" t="n"/>
      <c r="E88" s="17" t="n"/>
      <c r="F88" s="17" t="n"/>
      <c r="G88" s="17" t="n"/>
      <c r="H88" s="6">
        <f>IF(A88="","",IF(I88&gt;$B$4-$B$3,"holdout","fit"))</f>
        <v/>
      </c>
      <c r="I88" s="6">
        <f>IF(A88="","",SUMPRODUCT(($A$8:A88&lt;&gt;"")*1))</f>
        <v/>
      </c>
    </row>
    <row r="89">
      <c r="A89" s="8" t="n"/>
      <c r="B89" s="17" t="n"/>
      <c r="C89" s="17" t="n"/>
      <c r="D89" s="17" t="n"/>
      <c r="E89" s="17" t="n"/>
      <c r="F89" s="17" t="n"/>
      <c r="G89" s="17" t="n"/>
      <c r="H89" s="6">
        <f>IF(A89="","",IF(I89&gt;$B$4-$B$3,"holdout","fit"))</f>
        <v/>
      </c>
      <c r="I89" s="6">
        <f>IF(A89="","",SUMPRODUCT(($A$8:A89&lt;&gt;"")*1))</f>
        <v/>
      </c>
    </row>
    <row r="90">
      <c r="A90" s="8" t="n"/>
      <c r="B90" s="17" t="n"/>
      <c r="C90" s="17" t="n"/>
      <c r="D90" s="17" t="n"/>
      <c r="E90" s="17" t="n"/>
      <c r="F90" s="17" t="n"/>
      <c r="G90" s="17" t="n"/>
      <c r="H90" s="6">
        <f>IF(A90="","",IF(I90&gt;$B$4-$B$3,"holdout","fit"))</f>
        <v/>
      </c>
      <c r="I90" s="6">
        <f>IF(A90="","",SUMPRODUCT(($A$8:A90&lt;&gt;"")*1))</f>
        <v/>
      </c>
    </row>
    <row r="91">
      <c r="A91" s="8" t="n"/>
      <c r="B91" s="17" t="n"/>
      <c r="C91" s="17" t="n"/>
      <c r="D91" s="17" t="n"/>
      <c r="E91" s="17" t="n"/>
      <c r="F91" s="17" t="n"/>
      <c r="G91" s="17" t="n"/>
      <c r="H91" s="6">
        <f>IF(A91="","",IF(I91&gt;$B$4-$B$3,"holdout","fit"))</f>
        <v/>
      </c>
      <c r="I91" s="6">
        <f>IF(A91="","",SUMPRODUCT(($A$8:A91&lt;&gt;"")*1))</f>
        <v/>
      </c>
    </row>
    <row r="92">
      <c r="A92" s="8" t="n"/>
      <c r="B92" s="17" t="n"/>
      <c r="C92" s="17" t="n"/>
      <c r="D92" s="17" t="n"/>
      <c r="E92" s="17" t="n"/>
      <c r="F92" s="17" t="n"/>
      <c r="G92" s="17" t="n"/>
      <c r="H92" s="6">
        <f>IF(A92="","",IF(I92&gt;$B$4-$B$3,"holdout","fit"))</f>
        <v/>
      </c>
      <c r="I92" s="6">
        <f>IF(A92="","",SUMPRODUCT(($A$8:A92&lt;&gt;"")*1))</f>
        <v/>
      </c>
    </row>
    <row r="93">
      <c r="A93" s="8" t="n"/>
      <c r="B93" s="17" t="n"/>
      <c r="C93" s="17" t="n"/>
      <c r="D93" s="17" t="n"/>
      <c r="E93" s="17" t="n"/>
      <c r="F93" s="17" t="n"/>
      <c r="G93" s="17" t="n"/>
      <c r="H93" s="6">
        <f>IF(A93="","",IF(I93&gt;$B$4-$B$3,"holdout","fit"))</f>
        <v/>
      </c>
      <c r="I93" s="6">
        <f>IF(A93="","",SUMPRODUCT(($A$8:A93&lt;&gt;"")*1))</f>
        <v/>
      </c>
    </row>
    <row r="94">
      <c r="A94" s="8" t="n"/>
      <c r="B94" s="17" t="n"/>
      <c r="C94" s="17" t="n"/>
      <c r="D94" s="17" t="n"/>
      <c r="E94" s="17" t="n"/>
      <c r="F94" s="17" t="n"/>
      <c r="G94" s="17" t="n"/>
      <c r="H94" s="6">
        <f>IF(A94="","",IF(I94&gt;$B$4-$B$3,"holdout","fit"))</f>
        <v/>
      </c>
      <c r="I94" s="6">
        <f>IF(A94="","",SUMPRODUCT(($A$8:A94&lt;&gt;"")*1))</f>
        <v/>
      </c>
    </row>
    <row r="95">
      <c r="A95" s="8" t="n"/>
      <c r="B95" s="17" t="n"/>
      <c r="C95" s="17" t="n"/>
      <c r="D95" s="17" t="n"/>
      <c r="E95" s="17" t="n"/>
      <c r="F95" s="17" t="n"/>
      <c r="G95" s="17" t="n"/>
      <c r="H95" s="6">
        <f>IF(A95="","",IF(I95&gt;$B$4-$B$3,"holdout","fit"))</f>
        <v/>
      </c>
      <c r="I95" s="6">
        <f>IF(A95="","",SUMPRODUCT(($A$8:A95&lt;&gt;"")*1))</f>
        <v/>
      </c>
    </row>
    <row r="96">
      <c r="A96" s="8" t="n"/>
      <c r="B96" s="17" t="n"/>
      <c r="C96" s="17" t="n"/>
      <c r="D96" s="17" t="n"/>
      <c r="E96" s="17" t="n"/>
      <c r="F96" s="17" t="n"/>
      <c r="G96" s="17" t="n"/>
      <c r="H96" s="6">
        <f>IF(A96="","",IF(I96&gt;$B$4-$B$3,"holdout","fit"))</f>
        <v/>
      </c>
      <c r="I96" s="6">
        <f>IF(A96="","",SUMPRODUCT(($A$8:A96&lt;&gt;"")*1))</f>
        <v/>
      </c>
    </row>
    <row r="97">
      <c r="A97" s="8" t="n"/>
      <c r="B97" s="17" t="n"/>
      <c r="C97" s="17" t="n"/>
      <c r="D97" s="17" t="n"/>
      <c r="E97" s="17" t="n"/>
      <c r="F97" s="17" t="n"/>
      <c r="G97" s="17" t="n"/>
      <c r="H97" s="6">
        <f>IF(A97="","",IF(I97&gt;$B$4-$B$3,"holdout","fit"))</f>
        <v/>
      </c>
      <c r="I97" s="6">
        <f>IF(A97="","",SUMPRODUCT(($A$8:A97&lt;&gt;"")*1))</f>
        <v/>
      </c>
    </row>
    <row r="98">
      <c r="A98" s="8" t="n"/>
      <c r="B98" s="17" t="n"/>
      <c r="C98" s="17" t="n"/>
      <c r="D98" s="17" t="n"/>
      <c r="E98" s="17" t="n"/>
      <c r="F98" s="17" t="n"/>
      <c r="G98" s="17" t="n"/>
      <c r="H98" s="6">
        <f>IF(A98="","",IF(I98&gt;$B$4-$B$3,"holdout","fit"))</f>
        <v/>
      </c>
      <c r="I98" s="6">
        <f>IF(A98="","",SUMPRODUCT(($A$8:A98&lt;&gt;"")*1))</f>
        <v/>
      </c>
    </row>
    <row r="99">
      <c r="A99" s="8" t="n"/>
      <c r="B99" s="17" t="n"/>
      <c r="C99" s="17" t="n"/>
      <c r="D99" s="17" t="n"/>
      <c r="E99" s="17" t="n"/>
      <c r="F99" s="17" t="n"/>
      <c r="G99" s="17" t="n"/>
      <c r="H99" s="6">
        <f>IF(A99="","",IF(I99&gt;$B$4-$B$3,"holdout","fit"))</f>
        <v/>
      </c>
      <c r="I99" s="6">
        <f>IF(A99="","",SUMPRODUCT(($A$8:A99&lt;&gt;"")*1))</f>
        <v/>
      </c>
    </row>
    <row r="100">
      <c r="A100" s="8" t="n"/>
      <c r="B100" s="17" t="n"/>
      <c r="C100" s="17" t="n"/>
      <c r="D100" s="17" t="n"/>
      <c r="E100" s="17" t="n"/>
      <c r="F100" s="17" t="n"/>
      <c r="G100" s="17" t="n"/>
      <c r="H100" s="6">
        <f>IF(A100="","",IF(I100&gt;$B$4-$B$3,"holdout","fit"))</f>
        <v/>
      </c>
      <c r="I100" s="6">
        <f>IF(A100="","",SUMPRODUCT(($A$8:A100&lt;&gt;"")*1))</f>
        <v/>
      </c>
    </row>
    <row r="101">
      <c r="A101" s="8" t="n"/>
      <c r="B101" s="17" t="n"/>
      <c r="C101" s="17" t="n"/>
      <c r="D101" s="17" t="n"/>
      <c r="E101" s="17" t="n"/>
      <c r="F101" s="17" t="n"/>
      <c r="G101" s="17" t="n"/>
      <c r="H101" s="6">
        <f>IF(A101="","",IF(I101&gt;$B$4-$B$3,"holdout","fit"))</f>
        <v/>
      </c>
      <c r="I101" s="6">
        <f>IF(A101="","",SUMPRODUCT(($A$8:A101&lt;&gt;"")*1))</f>
        <v/>
      </c>
    </row>
    <row r="102">
      <c r="A102" s="8" t="n"/>
      <c r="B102" s="17" t="n"/>
      <c r="C102" s="17" t="n"/>
      <c r="D102" s="17" t="n"/>
      <c r="E102" s="17" t="n"/>
      <c r="F102" s="17" t="n"/>
      <c r="G102" s="17" t="n"/>
      <c r="H102" s="6">
        <f>IF(A102="","",IF(I102&gt;$B$4-$B$3,"holdout","fit"))</f>
        <v/>
      </c>
      <c r="I102" s="6">
        <f>IF(A102="","",SUMPRODUCT(($A$8:A102&lt;&gt;"")*1))</f>
        <v/>
      </c>
    </row>
    <row r="103">
      <c r="A103" s="8" t="n"/>
      <c r="B103" s="17" t="n"/>
      <c r="C103" s="17" t="n"/>
      <c r="D103" s="17" t="n"/>
      <c r="E103" s="17" t="n"/>
      <c r="F103" s="17" t="n"/>
      <c r="G103" s="17" t="n"/>
      <c r="H103" s="6">
        <f>IF(A103="","",IF(I103&gt;$B$4-$B$3,"holdout","fit"))</f>
        <v/>
      </c>
      <c r="I103" s="6">
        <f>IF(A103="","",SUMPRODUCT(($A$8:A103&lt;&gt;"")*1))</f>
        <v/>
      </c>
    </row>
    <row r="104">
      <c r="A104" s="8" t="n"/>
      <c r="B104" s="17" t="n"/>
      <c r="C104" s="17" t="n"/>
      <c r="D104" s="17" t="n"/>
      <c r="E104" s="17" t="n"/>
      <c r="F104" s="17" t="n"/>
      <c r="G104" s="17" t="n"/>
      <c r="H104" s="6">
        <f>IF(A104="","",IF(I104&gt;$B$4-$B$3,"holdout","fit"))</f>
        <v/>
      </c>
      <c r="I104" s="6">
        <f>IF(A104="","",SUMPRODUCT(($A$8:A104&lt;&gt;"")*1))</f>
        <v/>
      </c>
    </row>
    <row r="105">
      <c r="A105" s="8" t="n"/>
      <c r="B105" s="17" t="n"/>
      <c r="C105" s="17" t="n"/>
      <c r="D105" s="17" t="n"/>
      <c r="E105" s="17" t="n"/>
      <c r="F105" s="17" t="n"/>
      <c r="G105" s="17" t="n"/>
      <c r="H105" s="6">
        <f>IF(A105="","",IF(I105&gt;$B$4-$B$3,"holdout","fit"))</f>
        <v/>
      </c>
      <c r="I105" s="6">
        <f>IF(A105="","",SUMPRODUCT(($A$8:A105&lt;&gt;"")*1))</f>
        <v/>
      </c>
    </row>
    <row r="106">
      <c r="A106" s="8" t="n"/>
      <c r="B106" s="17" t="n"/>
      <c r="C106" s="17" t="n"/>
      <c r="D106" s="17" t="n"/>
      <c r="E106" s="17" t="n"/>
      <c r="F106" s="17" t="n"/>
      <c r="G106" s="17" t="n"/>
      <c r="H106" s="6">
        <f>IF(A106="","",IF(I106&gt;$B$4-$B$3,"holdout","fit"))</f>
        <v/>
      </c>
      <c r="I106" s="6">
        <f>IF(A106="","",SUMPRODUCT(($A$8:A106&lt;&gt;"")*1))</f>
        <v/>
      </c>
    </row>
    <row r="107">
      <c r="A107" s="8" t="n"/>
      <c r="B107" s="17" t="n"/>
      <c r="C107" s="17" t="n"/>
      <c r="D107" s="17" t="n"/>
      <c r="E107" s="17" t="n"/>
      <c r="F107" s="17" t="n"/>
      <c r="G107" s="17" t="n"/>
      <c r="H107" s="6">
        <f>IF(A107="","",IF(I107&gt;$B$4-$B$3,"holdout","fit"))</f>
        <v/>
      </c>
      <c r="I107" s="6">
        <f>IF(A107="","",SUMPRODUCT(($A$8:A107&lt;&gt;"")*1))</f>
        <v/>
      </c>
    </row>
    <row r="108">
      <c r="A108" s="8" t="n"/>
      <c r="B108" s="17" t="n"/>
      <c r="C108" s="17" t="n"/>
      <c r="D108" s="17" t="n"/>
      <c r="E108" s="17" t="n"/>
      <c r="F108" s="17" t="n"/>
      <c r="G108" s="17" t="n"/>
      <c r="H108" s="6">
        <f>IF(A108="","",IF(I108&gt;$B$4-$B$3,"holdout","fit"))</f>
        <v/>
      </c>
      <c r="I108" s="6">
        <f>IF(A108="","",SUMPRODUCT(($A$8:A108&lt;&gt;"")*1))</f>
        <v/>
      </c>
    </row>
    <row r="109">
      <c r="A109" s="8" t="n"/>
      <c r="B109" s="17" t="n"/>
      <c r="C109" s="17" t="n"/>
      <c r="D109" s="17" t="n"/>
      <c r="E109" s="17" t="n"/>
      <c r="F109" s="17" t="n"/>
      <c r="G109" s="17" t="n"/>
      <c r="H109" s="6">
        <f>IF(A109="","",IF(I109&gt;$B$4-$B$3,"holdout","fit"))</f>
        <v/>
      </c>
      <c r="I109" s="6">
        <f>IF(A109="","",SUMPRODUCT(($A$8:A109&lt;&gt;"")*1))</f>
        <v/>
      </c>
    </row>
    <row r="110">
      <c r="A110" s="8" t="n"/>
      <c r="B110" s="17" t="n"/>
      <c r="C110" s="17" t="n"/>
      <c r="D110" s="17" t="n"/>
      <c r="E110" s="17" t="n"/>
      <c r="F110" s="17" t="n"/>
      <c r="G110" s="17" t="n"/>
      <c r="H110" s="6">
        <f>IF(A110="","",IF(I110&gt;$B$4-$B$3,"holdout","fit"))</f>
        <v/>
      </c>
      <c r="I110" s="6">
        <f>IF(A110="","",SUMPRODUCT(($A$8:A110&lt;&gt;"")*1))</f>
        <v/>
      </c>
    </row>
    <row r="111">
      <c r="A111" s="8" t="n"/>
      <c r="B111" s="17" t="n"/>
      <c r="C111" s="17" t="n"/>
      <c r="D111" s="17" t="n"/>
      <c r="E111" s="17" t="n"/>
      <c r="F111" s="17" t="n"/>
      <c r="G111" s="17" t="n"/>
      <c r="H111" s="6">
        <f>IF(A111="","",IF(I111&gt;$B$4-$B$3,"holdout","fit"))</f>
        <v/>
      </c>
      <c r="I111" s="6">
        <f>IF(A111="","",SUMPRODUCT(($A$8:A111&lt;&gt;"")*1))</f>
        <v/>
      </c>
    </row>
    <row r="112">
      <c r="A112" s="8" t="n"/>
      <c r="B112" s="17" t="n"/>
      <c r="C112" s="17" t="n"/>
      <c r="D112" s="17" t="n"/>
      <c r="E112" s="17" t="n"/>
      <c r="F112" s="17" t="n"/>
      <c r="G112" s="17" t="n"/>
      <c r="H112" s="6">
        <f>IF(A112="","",IF(I112&gt;$B$4-$B$3,"holdout","fit"))</f>
        <v/>
      </c>
      <c r="I112" s="6">
        <f>IF(A112="","",SUMPRODUCT(($A$8:A112&lt;&gt;"")*1))</f>
        <v/>
      </c>
    </row>
    <row r="113">
      <c r="A113" s="8" t="n"/>
      <c r="B113" s="17" t="n"/>
      <c r="C113" s="17" t="n"/>
      <c r="D113" s="17" t="n"/>
      <c r="E113" s="17" t="n"/>
      <c r="F113" s="17" t="n"/>
      <c r="G113" s="17" t="n"/>
      <c r="H113" s="6">
        <f>IF(A113="","",IF(I113&gt;$B$4-$B$3,"holdout","fit"))</f>
        <v/>
      </c>
      <c r="I113" s="6">
        <f>IF(A113="","",SUMPRODUCT(($A$8:A113&lt;&gt;"")*1))</f>
        <v/>
      </c>
    </row>
    <row r="114">
      <c r="A114" s="8" t="n"/>
      <c r="B114" s="17" t="n"/>
      <c r="C114" s="17" t="n"/>
      <c r="D114" s="17" t="n"/>
      <c r="E114" s="17" t="n"/>
      <c r="F114" s="17" t="n"/>
      <c r="G114" s="17" t="n"/>
      <c r="H114" s="6">
        <f>IF(A114="","",IF(I114&gt;$B$4-$B$3,"holdout","fit"))</f>
        <v/>
      </c>
      <c r="I114" s="6">
        <f>IF(A114="","",SUMPRODUCT(($A$8:A114&lt;&gt;"")*1))</f>
        <v/>
      </c>
    </row>
    <row r="115">
      <c r="A115" s="8" t="n"/>
      <c r="B115" s="17" t="n"/>
      <c r="C115" s="17" t="n"/>
      <c r="D115" s="17" t="n"/>
      <c r="E115" s="17" t="n"/>
      <c r="F115" s="17" t="n"/>
      <c r="G115" s="17" t="n"/>
      <c r="H115" s="6">
        <f>IF(A115="","",IF(I115&gt;$B$4-$B$3,"holdout","fit"))</f>
        <v/>
      </c>
      <c r="I115" s="6">
        <f>IF(A115="","",SUMPRODUCT(($A$8:A115&lt;&gt;"")*1))</f>
        <v/>
      </c>
    </row>
    <row r="116">
      <c r="A116" s="8" t="n"/>
      <c r="B116" s="17" t="n"/>
      <c r="C116" s="17" t="n"/>
      <c r="D116" s="17" t="n"/>
      <c r="E116" s="17" t="n"/>
      <c r="F116" s="17" t="n"/>
      <c r="G116" s="17" t="n"/>
      <c r="H116" s="6">
        <f>IF(A116="","",IF(I116&gt;$B$4-$B$3,"holdout","fit"))</f>
        <v/>
      </c>
      <c r="I116" s="6">
        <f>IF(A116="","",SUMPRODUCT(($A$8:A116&lt;&gt;"")*1))</f>
        <v/>
      </c>
    </row>
    <row r="117">
      <c r="A117" s="8" t="n"/>
      <c r="B117" s="17" t="n"/>
      <c r="C117" s="17" t="n"/>
      <c r="D117" s="17" t="n"/>
      <c r="E117" s="17" t="n"/>
      <c r="F117" s="17" t="n"/>
      <c r="G117" s="17" t="n"/>
      <c r="H117" s="6">
        <f>IF(A117="","",IF(I117&gt;$B$4-$B$3,"holdout","fit"))</f>
        <v/>
      </c>
      <c r="I117" s="6">
        <f>IF(A117="","",SUMPRODUCT(($A$8:A117&lt;&gt;"")*1))</f>
        <v/>
      </c>
    </row>
    <row r="118">
      <c r="A118" s="8" t="n"/>
      <c r="B118" s="17" t="n"/>
      <c r="C118" s="17" t="n"/>
      <c r="D118" s="17" t="n"/>
      <c r="E118" s="17" t="n"/>
      <c r="F118" s="17" t="n"/>
      <c r="G118" s="17" t="n"/>
      <c r="H118" s="6">
        <f>IF(A118="","",IF(I118&gt;$B$4-$B$3,"holdout","fit"))</f>
        <v/>
      </c>
      <c r="I118" s="6">
        <f>IF(A118="","",SUMPRODUCT(($A$8:A118&lt;&gt;"")*1))</f>
        <v/>
      </c>
    </row>
    <row r="119">
      <c r="A119" s="8" t="n"/>
      <c r="B119" s="17" t="n"/>
      <c r="C119" s="17" t="n"/>
      <c r="D119" s="17" t="n"/>
      <c r="E119" s="17" t="n"/>
      <c r="F119" s="17" t="n"/>
      <c r="G119" s="17" t="n"/>
      <c r="H119" s="6">
        <f>IF(A119="","",IF(I119&gt;$B$4-$B$3,"holdout","fit"))</f>
        <v/>
      </c>
      <c r="I119" s="6">
        <f>IF(A119="","",SUMPRODUCT(($A$8:A119&lt;&gt;"")*1))</f>
        <v/>
      </c>
    </row>
    <row r="120">
      <c r="A120" s="8" t="n"/>
      <c r="B120" s="17" t="n"/>
      <c r="C120" s="17" t="n"/>
      <c r="D120" s="17" t="n"/>
      <c r="E120" s="17" t="n"/>
      <c r="F120" s="17" t="n"/>
      <c r="G120" s="17" t="n"/>
      <c r="H120" s="6">
        <f>IF(A120="","",IF(I120&gt;$B$4-$B$3,"holdout","fit"))</f>
        <v/>
      </c>
      <c r="I120" s="6">
        <f>IF(A120="","",SUMPRODUCT(($A$8:A120&lt;&gt;"")*1))</f>
        <v/>
      </c>
    </row>
    <row r="121">
      <c r="A121" s="8" t="n"/>
      <c r="B121" s="17" t="n"/>
      <c r="C121" s="17" t="n"/>
      <c r="D121" s="17" t="n"/>
      <c r="E121" s="17" t="n"/>
      <c r="F121" s="17" t="n"/>
      <c r="G121" s="17" t="n"/>
      <c r="H121" s="6">
        <f>IF(A121="","",IF(I121&gt;$B$4-$B$3,"holdout","fit"))</f>
        <v/>
      </c>
      <c r="I121" s="6">
        <f>IF(A121="","",SUMPRODUCT(($A$8:A121&lt;&gt;"")*1))</f>
        <v/>
      </c>
    </row>
    <row r="122">
      <c r="A122" s="8" t="n"/>
      <c r="B122" s="17" t="n"/>
      <c r="C122" s="17" t="n"/>
      <c r="D122" s="17" t="n"/>
      <c r="E122" s="17" t="n"/>
      <c r="F122" s="17" t="n"/>
      <c r="G122" s="17" t="n"/>
      <c r="H122" s="6">
        <f>IF(A122="","",IF(I122&gt;$B$4-$B$3,"holdout","fit"))</f>
        <v/>
      </c>
      <c r="I122" s="6">
        <f>IF(A122="","",SUMPRODUCT(($A$8:A122&lt;&gt;"")*1))</f>
        <v/>
      </c>
    </row>
    <row r="123">
      <c r="A123" s="8" t="n"/>
      <c r="B123" s="17" t="n"/>
      <c r="C123" s="17" t="n"/>
      <c r="D123" s="17" t="n"/>
      <c r="E123" s="17" t="n"/>
      <c r="F123" s="17" t="n"/>
      <c r="G123" s="17" t="n"/>
      <c r="H123" s="6">
        <f>IF(A123="","",IF(I123&gt;$B$4-$B$3,"holdout","fit"))</f>
        <v/>
      </c>
      <c r="I123" s="6">
        <f>IF(A123="","",SUMPRODUCT(($A$8:A123&lt;&gt;"")*1))</f>
        <v/>
      </c>
    </row>
    <row r="124">
      <c r="A124" s="8" t="n"/>
      <c r="B124" s="17" t="n"/>
      <c r="C124" s="17" t="n"/>
      <c r="D124" s="17" t="n"/>
      <c r="E124" s="17" t="n"/>
      <c r="F124" s="17" t="n"/>
      <c r="G124" s="17" t="n"/>
      <c r="H124" s="6">
        <f>IF(A124="","",IF(I124&gt;$B$4-$B$3,"holdout","fit"))</f>
        <v/>
      </c>
      <c r="I124" s="6">
        <f>IF(A124="","",SUMPRODUCT(($A$8:A124&lt;&gt;"")*1))</f>
        <v/>
      </c>
    </row>
    <row r="125">
      <c r="A125" s="8" t="n"/>
      <c r="B125" s="17" t="n"/>
      <c r="C125" s="17" t="n"/>
      <c r="D125" s="17" t="n"/>
      <c r="E125" s="17" t="n"/>
      <c r="F125" s="17" t="n"/>
      <c r="G125" s="17" t="n"/>
      <c r="H125" s="6">
        <f>IF(A125="","",IF(I125&gt;$B$4-$B$3,"holdout","fit"))</f>
        <v/>
      </c>
      <c r="I125" s="6">
        <f>IF(A125="","",SUMPRODUCT(($A$8:A125&lt;&gt;"")*1))</f>
        <v/>
      </c>
    </row>
    <row r="126">
      <c r="A126" s="8" t="n"/>
      <c r="B126" s="17" t="n"/>
      <c r="C126" s="17" t="n"/>
      <c r="D126" s="17" t="n"/>
      <c r="E126" s="17" t="n"/>
      <c r="F126" s="17" t="n"/>
      <c r="G126" s="17" t="n"/>
      <c r="H126" s="6">
        <f>IF(A126="","",IF(I126&gt;$B$4-$B$3,"holdout","fit"))</f>
        <v/>
      </c>
      <c r="I126" s="6">
        <f>IF(A126="","",SUMPRODUCT(($A$8:A126&lt;&gt;"")*1))</f>
        <v/>
      </c>
    </row>
    <row r="127">
      <c r="A127" s="8" t="n"/>
      <c r="B127" s="17" t="n"/>
      <c r="C127" s="17" t="n"/>
      <c r="D127" s="17" t="n"/>
      <c r="E127" s="17" t="n"/>
      <c r="F127" s="17" t="n"/>
      <c r="G127" s="17" t="n"/>
      <c r="H127" s="6">
        <f>IF(A127="","",IF(I127&gt;$B$4-$B$3,"holdout","fit"))</f>
        <v/>
      </c>
      <c r="I127" s="6">
        <f>IF(A127="","",SUMPRODUCT(($A$8:A127&lt;&gt;"")*1))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0" customWidth="1" min="4" max="4"/>
    <col width="90" customWidth="1" min="17" max="17"/>
  </cols>
  <sheetData>
    <row r="1">
      <c r="A1" s="1" t="inlineStr">
        <is>
          <t>Snapshot ledger (one row per memory/forecasts/*.snapshot.md, chronological)</t>
        </is>
      </c>
    </row>
    <row r="2">
      <c r="F2" t="inlineStr">
        <is>
          <t>best_snapshot (lowest fitness among scored):</t>
        </is>
      </c>
      <c r="I2">
        <f>IFERROR(SMALL(D5:D104,1),"")</f>
        <v/>
      </c>
      <c r="J2" s="6">
        <f>IF(I2="","none",INDEX(A5:A104,MATCH(I2,D5:D104,0)))</f>
        <v/>
      </c>
    </row>
    <row r="3"/>
    <row r="4">
      <c r="A4" s="7" t="inlineStr">
        <is>
          <t>label</t>
        </is>
      </c>
      <c r="B4" s="7" t="inlineStr">
        <is>
          <t>created</t>
        </is>
      </c>
      <c r="C4" s="7" t="inlineStr">
        <is>
          <t>scored? (y/n)</t>
        </is>
      </c>
      <c r="D4" s="7" t="inlineStr">
        <is>
          <t>fitness</t>
        </is>
      </c>
      <c r="E4" s="7" t="inlineStr">
        <is>
          <t>err ending_cash</t>
        </is>
      </c>
      <c r="F4" s="7" t="inlineStr">
        <is>
          <t>err ebitda</t>
        </is>
      </c>
      <c r="G4" s="7" t="inlineStr">
        <is>
          <t>err revenue</t>
        </is>
      </c>
      <c r="H4" s="7" t="inlineStr">
        <is>
          <t>err gross_margin</t>
        </is>
      </c>
      <c r="I4" s="7" t="inlineStr">
        <is>
          <t>pred ending_cash</t>
        </is>
      </c>
      <c r="J4" s="7" t="inlineStr">
        <is>
          <t>pred ebitda</t>
        </is>
      </c>
      <c r="K4" s="7" t="inlineStr">
        <is>
          <t>pred revenue</t>
        </is>
      </c>
      <c r="L4" s="7" t="inlineStr">
        <is>
          <t>pred gross_margin</t>
        </is>
      </c>
      <c r="M4" s="7" t="inlineStr">
        <is>
          <t>recovered actual ending_cash</t>
        </is>
      </c>
      <c r="N4" s="7" t="inlineStr">
        <is>
          <t>recovered actual ebitda</t>
        </is>
      </c>
      <c r="O4" s="7" t="inlineStr">
        <is>
          <t>recovered actual revenue</t>
        </is>
      </c>
      <c r="P4" s="7" t="inlineStr">
        <is>
          <t>recovered actual gross_margin</t>
        </is>
      </c>
      <c r="Q4" s="7" t="inlineStr">
        <is>
          <t>scorecard row (markdown)</t>
        </is>
      </c>
    </row>
    <row r="5">
      <c r="A5" s="8" t="n"/>
      <c r="B5" s="8" t="n"/>
      <c r="C5" s="8" t="n"/>
      <c r="D5" s="19" t="n"/>
      <c r="E5" s="20" t="n"/>
      <c r="F5" s="20" t="n"/>
      <c r="G5" s="20" t="n"/>
      <c r="H5" s="20" t="n"/>
      <c r="I5" s="10" t="n"/>
      <c r="J5" s="10" t="n"/>
      <c r="K5" s="10" t="n"/>
      <c r="L5" s="10" t="n"/>
      <c r="M5" s="21">
        <f>IF(OR(E5="",I5="",E5=-1),"",I5/(1+E5))</f>
        <v/>
      </c>
      <c r="N5" s="21">
        <f>IF(OR(F5="",J5="",F5=-1),"",J5/(1+F5))</f>
        <v/>
      </c>
      <c r="O5" s="21">
        <f>IF(OR(G5="",K5="",G5=-1),"",K5/(1+G5))</f>
        <v/>
      </c>
      <c r="P5" s="21">
        <f>IF(OR(H5="",L5="",H5=-1),"",L5/(1+H5))</f>
        <v/>
      </c>
      <c r="Q5" s="6">
        <f>IF(OR(A5="",LOWER(C5)&lt;&gt;"y"),"","| "&amp;A5&amp;" | "&amp;TEXT(D5,"0.0000")&amp;" | "&amp;IF(E5="","","ending_cash "&amp;IF(E5&lt;0,"-","+")&amp;TEXT(ABS(E5)*100,"0.0")&amp;"%")&amp;IF(AND(LEN(IF(E5="","","ending_cash "&amp;IF(E5&lt;0,"-","+")&amp;TEXT(ABS(E5)*100,"0.0")&amp;"%"))&gt;0,LEN(IF(F5="","","ebitda "&amp;IF(F5&lt;0,"-","+")&amp;TEXT(ABS(F5)*100,"0.0")&amp;"%"))&gt;0),", ","")&amp;IF(F5="","","ebitda "&amp;IF(F5&lt;0,"-","+")&amp;TEXT(ABS(F5)*100,"0.0")&amp;"%")&amp;IF(AND(LEN(IF(E5="","","ending_cash "&amp;IF(E5&lt;0,"-","+")&amp;TEXT(ABS(E5)*100,"0.0")&amp;"%")&amp;IF(AND(LEN(IF(E5="","","ending_cash "&amp;IF(E5&lt;0,"-","+")&amp;TEXT(ABS(E5)*100,"0.0")&amp;"%"))&gt;0,LEN(IF(F5="","","ebitda "&amp;IF(F5&lt;0,"-","+")&amp;TEXT(ABS(F5)*100,"0.0")&amp;"%"))&gt;0),", ","")&amp;IF(F5="","","ebitda "&amp;IF(F5&lt;0,"-","+")&amp;TEXT(ABS(F5)*100,"0.0")&amp;"%"))&gt;0,LEN(IF(G5="","","revenue "&amp;IF(G5&lt;0,"-","+")&amp;TEXT(ABS(G5)*100,"0.0")&amp;"%"))&gt;0),", ","")&amp;IF(G5="","","revenue "&amp;IF(G5&lt;0,"-","+")&amp;TEXT(ABS(G5)*100,"0.0")&amp;"%")&amp;IF(AND(LEN(IF(E5="","","ending_cash "&amp;IF(E5&lt;0,"-","+")&amp;TEXT(ABS(E5)*100,"0.0")&amp;"%")&amp;IF(AND(LEN(IF(E5="","","ending_cash "&amp;IF(E5&lt;0,"-","+")&amp;TEXT(ABS(E5)*100,"0.0")&amp;"%"))&gt;0,LEN(IF(F5="","","ebitda "&amp;IF(F5&lt;0,"-","+")&amp;TEXT(ABS(F5)*100,"0.0")&amp;"%"))&gt;0),", ","")&amp;IF(F5="","","ebitda "&amp;IF(F5&lt;0,"-","+")&amp;TEXT(ABS(F5)*100,"0.0")&amp;"%")&amp;IF(AND(LEN(IF(E5="","","ending_cash "&amp;IF(E5&lt;0,"-","+")&amp;TEXT(ABS(E5)*100,"0.0")&amp;"%")&amp;IF(AND(LEN(IF(E5="","","ending_cash "&amp;IF(E5&lt;0,"-","+")&amp;TEXT(ABS(E5)*100,"0.0")&amp;"%"))&gt;0,LEN(IF(F5="","","ebitda "&amp;IF(F5&lt;0,"-","+")&amp;TEXT(ABS(F5)*100,"0.0")&amp;"%"))&gt;0),", ","")&amp;IF(F5="","","ebitda "&amp;IF(F5&lt;0,"-","+")&amp;TEXT(ABS(F5)*100,"0.0")&amp;"%"))&gt;0,LEN(IF(G5="","","revenue "&amp;IF(G5&lt;0,"-","+")&amp;TEXT(ABS(G5)*100,"0.0")&amp;"%"))&gt;0),", ","")&amp;IF(G5="","","revenue "&amp;IF(G5&lt;0,"-","+")&amp;TEXT(ABS(G5)*100,"0.0")&amp;"%"))&gt;0,LEN(IF(H5="","","gross_margin "&amp;IF(H5&lt;0,"-","+")&amp;TEXT(ABS(H5)*100,"0.0")&amp;"%"))&gt;0),", ","")&amp;IF(H5="","","gross_margin "&amp;IF(H5&lt;0,"-","+")&amp;TEXT(ABS(H5)*100,"0.0")&amp;"%")&amp;" |")</f>
        <v/>
      </c>
      <c r="R5">
        <f>IF(Q5="","",ROW()-4)</f>
        <v/>
      </c>
    </row>
    <row r="6">
      <c r="A6" s="8" t="n"/>
      <c r="B6" s="8" t="n"/>
      <c r="C6" s="8" t="n"/>
      <c r="D6" s="19" t="n"/>
      <c r="E6" s="20" t="n"/>
      <c r="F6" s="20" t="n"/>
      <c r="G6" s="20" t="n"/>
      <c r="H6" s="20" t="n"/>
      <c r="I6" s="10" t="n"/>
      <c r="J6" s="10" t="n"/>
      <c r="K6" s="10" t="n"/>
      <c r="L6" s="10" t="n"/>
      <c r="M6" s="21">
        <f>IF(OR(E6="",I6="",E6=-1),"",I6/(1+E6))</f>
        <v/>
      </c>
      <c r="N6" s="21">
        <f>IF(OR(F6="",J6="",F6=-1),"",J6/(1+F6))</f>
        <v/>
      </c>
      <c r="O6" s="21">
        <f>IF(OR(G6="",K6="",G6=-1),"",K6/(1+G6))</f>
        <v/>
      </c>
      <c r="P6" s="21">
        <f>IF(OR(H6="",L6="",H6=-1),"",L6/(1+H6))</f>
        <v/>
      </c>
      <c r="Q6" s="6">
        <f>IF(OR(A6="",LOWER(C6)&lt;&gt;"y"),"","| "&amp;A6&amp;" | "&amp;TEXT(D6,"0.0000")&amp;" | "&amp;IF(E6="","","ending_cash "&amp;IF(E6&lt;0,"-","+")&amp;TEXT(ABS(E6)*100,"0.0")&amp;"%")&amp;IF(AND(LEN(IF(E6="","","ending_cash "&amp;IF(E6&lt;0,"-","+")&amp;TEXT(ABS(E6)*100,"0.0")&amp;"%"))&gt;0,LEN(IF(F6="","","ebitda "&amp;IF(F6&lt;0,"-","+")&amp;TEXT(ABS(F6)*100,"0.0")&amp;"%"))&gt;0),", ","")&amp;IF(F6="","","ebitda "&amp;IF(F6&lt;0,"-","+")&amp;TEXT(ABS(F6)*100,"0.0")&amp;"%")&amp;IF(AND(LEN(IF(E6="","","ending_cash "&amp;IF(E6&lt;0,"-","+")&amp;TEXT(ABS(E6)*100,"0.0")&amp;"%")&amp;IF(AND(LEN(IF(E6="","","ending_cash "&amp;IF(E6&lt;0,"-","+")&amp;TEXT(ABS(E6)*100,"0.0")&amp;"%"))&gt;0,LEN(IF(F6="","","ebitda "&amp;IF(F6&lt;0,"-","+")&amp;TEXT(ABS(F6)*100,"0.0")&amp;"%"))&gt;0),", ","")&amp;IF(F6="","","ebitda "&amp;IF(F6&lt;0,"-","+")&amp;TEXT(ABS(F6)*100,"0.0")&amp;"%"))&gt;0,LEN(IF(G6="","","revenue "&amp;IF(G6&lt;0,"-","+")&amp;TEXT(ABS(G6)*100,"0.0")&amp;"%"))&gt;0),", ","")&amp;IF(G6="","","revenue "&amp;IF(G6&lt;0,"-","+")&amp;TEXT(ABS(G6)*100,"0.0")&amp;"%")&amp;IF(AND(LEN(IF(E6="","","ending_cash "&amp;IF(E6&lt;0,"-","+")&amp;TEXT(ABS(E6)*100,"0.0")&amp;"%")&amp;IF(AND(LEN(IF(E6="","","ending_cash "&amp;IF(E6&lt;0,"-","+")&amp;TEXT(ABS(E6)*100,"0.0")&amp;"%"))&gt;0,LEN(IF(F6="","","ebitda "&amp;IF(F6&lt;0,"-","+")&amp;TEXT(ABS(F6)*100,"0.0")&amp;"%"))&gt;0),", ","")&amp;IF(F6="","","ebitda "&amp;IF(F6&lt;0,"-","+")&amp;TEXT(ABS(F6)*100,"0.0")&amp;"%")&amp;IF(AND(LEN(IF(E6="","","ending_cash "&amp;IF(E6&lt;0,"-","+")&amp;TEXT(ABS(E6)*100,"0.0")&amp;"%")&amp;IF(AND(LEN(IF(E6="","","ending_cash "&amp;IF(E6&lt;0,"-","+")&amp;TEXT(ABS(E6)*100,"0.0")&amp;"%"))&gt;0,LEN(IF(F6="","","ebitda "&amp;IF(F6&lt;0,"-","+")&amp;TEXT(ABS(F6)*100,"0.0")&amp;"%"))&gt;0),", ","")&amp;IF(F6="","","ebitda "&amp;IF(F6&lt;0,"-","+")&amp;TEXT(ABS(F6)*100,"0.0")&amp;"%"))&gt;0,LEN(IF(G6="","","revenue "&amp;IF(G6&lt;0,"-","+")&amp;TEXT(ABS(G6)*100,"0.0")&amp;"%"))&gt;0),", ","")&amp;IF(G6="","","revenue "&amp;IF(G6&lt;0,"-","+")&amp;TEXT(ABS(G6)*100,"0.0")&amp;"%"))&gt;0,LEN(IF(H6="","","gross_margin "&amp;IF(H6&lt;0,"-","+")&amp;TEXT(ABS(H6)*100,"0.0")&amp;"%"))&gt;0),", ","")&amp;IF(H6="","","gross_margin "&amp;IF(H6&lt;0,"-","+")&amp;TEXT(ABS(H6)*100,"0.0")&amp;"%")&amp;" |")</f>
        <v/>
      </c>
      <c r="R6">
        <f>IF(Q6="","",ROW()-4)</f>
        <v/>
      </c>
    </row>
    <row r="7">
      <c r="A7" s="8" t="n"/>
      <c r="B7" s="8" t="n"/>
      <c r="C7" s="8" t="n"/>
      <c r="D7" s="19" t="n"/>
      <c r="E7" s="20" t="n"/>
      <c r="F7" s="20" t="n"/>
      <c r="G7" s="20" t="n"/>
      <c r="H7" s="20" t="n"/>
      <c r="I7" s="10" t="n"/>
      <c r="J7" s="10" t="n"/>
      <c r="K7" s="10" t="n"/>
      <c r="L7" s="10" t="n"/>
      <c r="M7" s="21">
        <f>IF(OR(E7="",I7="",E7=-1),"",I7/(1+E7))</f>
        <v/>
      </c>
      <c r="N7" s="21">
        <f>IF(OR(F7="",J7="",F7=-1),"",J7/(1+F7))</f>
        <v/>
      </c>
      <c r="O7" s="21">
        <f>IF(OR(G7="",K7="",G7=-1),"",K7/(1+G7))</f>
        <v/>
      </c>
      <c r="P7" s="21">
        <f>IF(OR(H7="",L7="",H7=-1),"",L7/(1+H7))</f>
        <v/>
      </c>
      <c r="Q7" s="6">
        <f>IF(OR(A7="",LOWER(C7)&lt;&gt;"y"),"","| "&amp;A7&amp;" | "&amp;TEXT(D7,"0.0000")&amp;" | "&amp;IF(E7="","","ending_cash "&amp;IF(E7&lt;0,"-","+")&amp;TEXT(ABS(E7)*100,"0.0")&amp;"%")&amp;IF(AND(LEN(IF(E7="","","ending_cash "&amp;IF(E7&lt;0,"-","+")&amp;TEXT(ABS(E7)*100,"0.0")&amp;"%"))&gt;0,LEN(IF(F7="","","ebitda "&amp;IF(F7&lt;0,"-","+")&amp;TEXT(ABS(F7)*100,"0.0")&amp;"%"))&gt;0),", ","")&amp;IF(F7="","","ebitda "&amp;IF(F7&lt;0,"-","+")&amp;TEXT(ABS(F7)*100,"0.0")&amp;"%")&amp;IF(AND(LEN(IF(E7="","","ending_cash "&amp;IF(E7&lt;0,"-","+")&amp;TEXT(ABS(E7)*100,"0.0")&amp;"%")&amp;IF(AND(LEN(IF(E7="","","ending_cash "&amp;IF(E7&lt;0,"-","+")&amp;TEXT(ABS(E7)*100,"0.0")&amp;"%"))&gt;0,LEN(IF(F7="","","ebitda "&amp;IF(F7&lt;0,"-","+")&amp;TEXT(ABS(F7)*100,"0.0")&amp;"%"))&gt;0),", ","")&amp;IF(F7="","","ebitda "&amp;IF(F7&lt;0,"-","+")&amp;TEXT(ABS(F7)*100,"0.0")&amp;"%"))&gt;0,LEN(IF(G7="","","revenue "&amp;IF(G7&lt;0,"-","+")&amp;TEXT(ABS(G7)*100,"0.0")&amp;"%"))&gt;0),", ","")&amp;IF(G7="","","revenue "&amp;IF(G7&lt;0,"-","+")&amp;TEXT(ABS(G7)*100,"0.0")&amp;"%")&amp;IF(AND(LEN(IF(E7="","","ending_cash "&amp;IF(E7&lt;0,"-","+")&amp;TEXT(ABS(E7)*100,"0.0")&amp;"%")&amp;IF(AND(LEN(IF(E7="","","ending_cash "&amp;IF(E7&lt;0,"-","+")&amp;TEXT(ABS(E7)*100,"0.0")&amp;"%"))&gt;0,LEN(IF(F7="","","ebitda "&amp;IF(F7&lt;0,"-","+")&amp;TEXT(ABS(F7)*100,"0.0")&amp;"%"))&gt;0),", ","")&amp;IF(F7="","","ebitda "&amp;IF(F7&lt;0,"-","+")&amp;TEXT(ABS(F7)*100,"0.0")&amp;"%")&amp;IF(AND(LEN(IF(E7="","","ending_cash "&amp;IF(E7&lt;0,"-","+")&amp;TEXT(ABS(E7)*100,"0.0")&amp;"%")&amp;IF(AND(LEN(IF(E7="","","ending_cash "&amp;IF(E7&lt;0,"-","+")&amp;TEXT(ABS(E7)*100,"0.0")&amp;"%"))&gt;0,LEN(IF(F7="","","ebitda "&amp;IF(F7&lt;0,"-","+")&amp;TEXT(ABS(F7)*100,"0.0")&amp;"%"))&gt;0),", ","")&amp;IF(F7="","","ebitda "&amp;IF(F7&lt;0,"-","+")&amp;TEXT(ABS(F7)*100,"0.0")&amp;"%"))&gt;0,LEN(IF(G7="","","revenue "&amp;IF(G7&lt;0,"-","+")&amp;TEXT(ABS(G7)*100,"0.0")&amp;"%"))&gt;0),", ","")&amp;IF(G7="","","revenue "&amp;IF(G7&lt;0,"-","+")&amp;TEXT(ABS(G7)*100,"0.0")&amp;"%"))&gt;0,LEN(IF(H7="","","gross_margin "&amp;IF(H7&lt;0,"-","+")&amp;TEXT(ABS(H7)*100,"0.0")&amp;"%"))&gt;0),", ","")&amp;IF(H7="","","gross_margin "&amp;IF(H7&lt;0,"-","+")&amp;TEXT(ABS(H7)*100,"0.0")&amp;"%")&amp;" |")</f>
        <v/>
      </c>
      <c r="R7">
        <f>IF(Q7="","",ROW()-4)</f>
        <v/>
      </c>
    </row>
    <row r="8">
      <c r="A8" s="8" t="n"/>
      <c r="B8" s="8" t="n"/>
      <c r="C8" s="8" t="n"/>
      <c r="D8" s="19" t="n"/>
      <c r="E8" s="20" t="n"/>
      <c r="F8" s="20" t="n"/>
      <c r="G8" s="20" t="n"/>
      <c r="H8" s="20" t="n"/>
      <c r="I8" s="10" t="n"/>
      <c r="J8" s="10" t="n"/>
      <c r="K8" s="10" t="n"/>
      <c r="L8" s="10" t="n"/>
      <c r="M8" s="21">
        <f>IF(OR(E8="",I8="",E8=-1),"",I8/(1+E8))</f>
        <v/>
      </c>
      <c r="N8" s="21">
        <f>IF(OR(F8="",J8="",F8=-1),"",J8/(1+F8))</f>
        <v/>
      </c>
      <c r="O8" s="21">
        <f>IF(OR(G8="",K8="",G8=-1),"",K8/(1+G8))</f>
        <v/>
      </c>
      <c r="P8" s="21">
        <f>IF(OR(H8="",L8="",H8=-1),"",L8/(1+H8))</f>
        <v/>
      </c>
      <c r="Q8" s="6">
        <f>IF(OR(A8="",LOWER(C8)&lt;&gt;"y"),"","| "&amp;A8&amp;" | "&amp;TEXT(D8,"0.0000")&amp;" | "&amp;IF(E8="","","ending_cash "&amp;IF(E8&lt;0,"-","+")&amp;TEXT(ABS(E8)*100,"0.0")&amp;"%")&amp;IF(AND(LEN(IF(E8="","","ending_cash "&amp;IF(E8&lt;0,"-","+")&amp;TEXT(ABS(E8)*100,"0.0")&amp;"%"))&gt;0,LEN(IF(F8="","","ebitda "&amp;IF(F8&lt;0,"-","+")&amp;TEXT(ABS(F8)*100,"0.0")&amp;"%"))&gt;0),", ","")&amp;IF(F8="","","ebitda "&amp;IF(F8&lt;0,"-","+")&amp;TEXT(ABS(F8)*100,"0.0")&amp;"%")&amp;IF(AND(LEN(IF(E8="","","ending_cash "&amp;IF(E8&lt;0,"-","+")&amp;TEXT(ABS(E8)*100,"0.0")&amp;"%")&amp;IF(AND(LEN(IF(E8="","","ending_cash "&amp;IF(E8&lt;0,"-","+")&amp;TEXT(ABS(E8)*100,"0.0")&amp;"%"))&gt;0,LEN(IF(F8="","","ebitda "&amp;IF(F8&lt;0,"-","+")&amp;TEXT(ABS(F8)*100,"0.0")&amp;"%"))&gt;0),", ","")&amp;IF(F8="","","ebitda "&amp;IF(F8&lt;0,"-","+")&amp;TEXT(ABS(F8)*100,"0.0")&amp;"%"))&gt;0,LEN(IF(G8="","","revenue "&amp;IF(G8&lt;0,"-","+")&amp;TEXT(ABS(G8)*100,"0.0")&amp;"%"))&gt;0),", ","")&amp;IF(G8="","","revenue "&amp;IF(G8&lt;0,"-","+")&amp;TEXT(ABS(G8)*100,"0.0")&amp;"%")&amp;IF(AND(LEN(IF(E8="","","ending_cash "&amp;IF(E8&lt;0,"-","+")&amp;TEXT(ABS(E8)*100,"0.0")&amp;"%")&amp;IF(AND(LEN(IF(E8="","","ending_cash "&amp;IF(E8&lt;0,"-","+")&amp;TEXT(ABS(E8)*100,"0.0")&amp;"%"))&gt;0,LEN(IF(F8="","","ebitda "&amp;IF(F8&lt;0,"-","+")&amp;TEXT(ABS(F8)*100,"0.0")&amp;"%"))&gt;0),", ","")&amp;IF(F8="","","ebitda "&amp;IF(F8&lt;0,"-","+")&amp;TEXT(ABS(F8)*100,"0.0")&amp;"%")&amp;IF(AND(LEN(IF(E8="","","ending_cash "&amp;IF(E8&lt;0,"-","+")&amp;TEXT(ABS(E8)*100,"0.0")&amp;"%")&amp;IF(AND(LEN(IF(E8="","","ending_cash "&amp;IF(E8&lt;0,"-","+")&amp;TEXT(ABS(E8)*100,"0.0")&amp;"%"))&gt;0,LEN(IF(F8="","","ebitda "&amp;IF(F8&lt;0,"-","+")&amp;TEXT(ABS(F8)*100,"0.0")&amp;"%"))&gt;0),", ","")&amp;IF(F8="","","ebitda "&amp;IF(F8&lt;0,"-","+")&amp;TEXT(ABS(F8)*100,"0.0")&amp;"%"))&gt;0,LEN(IF(G8="","","revenue "&amp;IF(G8&lt;0,"-","+")&amp;TEXT(ABS(G8)*100,"0.0")&amp;"%"))&gt;0),", ","")&amp;IF(G8="","","revenue "&amp;IF(G8&lt;0,"-","+")&amp;TEXT(ABS(G8)*100,"0.0")&amp;"%"))&gt;0,LEN(IF(H8="","","gross_margin "&amp;IF(H8&lt;0,"-","+")&amp;TEXT(ABS(H8)*100,"0.0")&amp;"%"))&gt;0),", ","")&amp;IF(H8="","","gross_margin "&amp;IF(H8&lt;0,"-","+")&amp;TEXT(ABS(H8)*100,"0.0")&amp;"%")&amp;" |")</f>
        <v/>
      </c>
      <c r="R8">
        <f>IF(Q8="","",ROW()-4)</f>
        <v/>
      </c>
    </row>
    <row r="9">
      <c r="A9" s="8" t="n"/>
      <c r="B9" s="8" t="n"/>
      <c r="C9" s="8" t="n"/>
      <c r="D9" s="19" t="n"/>
      <c r="E9" s="20" t="n"/>
      <c r="F9" s="20" t="n"/>
      <c r="G9" s="20" t="n"/>
      <c r="H9" s="20" t="n"/>
      <c r="I9" s="10" t="n"/>
      <c r="J9" s="10" t="n"/>
      <c r="K9" s="10" t="n"/>
      <c r="L9" s="10" t="n"/>
      <c r="M9" s="21">
        <f>IF(OR(E9="",I9="",E9=-1),"",I9/(1+E9))</f>
        <v/>
      </c>
      <c r="N9" s="21">
        <f>IF(OR(F9="",J9="",F9=-1),"",J9/(1+F9))</f>
        <v/>
      </c>
      <c r="O9" s="21">
        <f>IF(OR(G9="",K9="",G9=-1),"",K9/(1+G9))</f>
        <v/>
      </c>
      <c r="P9" s="21">
        <f>IF(OR(H9="",L9="",H9=-1),"",L9/(1+H9))</f>
        <v/>
      </c>
      <c r="Q9" s="6">
        <f>IF(OR(A9="",LOWER(C9)&lt;&gt;"y"),"","| "&amp;A9&amp;" | "&amp;TEXT(D9,"0.0000")&amp;" | "&amp;IF(E9="","","ending_cash "&amp;IF(E9&lt;0,"-","+")&amp;TEXT(ABS(E9)*100,"0.0")&amp;"%")&amp;IF(AND(LEN(IF(E9="","","ending_cash "&amp;IF(E9&lt;0,"-","+")&amp;TEXT(ABS(E9)*100,"0.0")&amp;"%"))&gt;0,LEN(IF(F9="","","ebitda "&amp;IF(F9&lt;0,"-","+")&amp;TEXT(ABS(F9)*100,"0.0")&amp;"%"))&gt;0),", ","")&amp;IF(F9="","","ebitda "&amp;IF(F9&lt;0,"-","+")&amp;TEXT(ABS(F9)*100,"0.0")&amp;"%")&amp;IF(AND(LEN(IF(E9="","","ending_cash "&amp;IF(E9&lt;0,"-","+")&amp;TEXT(ABS(E9)*100,"0.0")&amp;"%")&amp;IF(AND(LEN(IF(E9="","","ending_cash "&amp;IF(E9&lt;0,"-","+")&amp;TEXT(ABS(E9)*100,"0.0")&amp;"%"))&gt;0,LEN(IF(F9="","","ebitda "&amp;IF(F9&lt;0,"-","+")&amp;TEXT(ABS(F9)*100,"0.0")&amp;"%"))&gt;0),", ","")&amp;IF(F9="","","ebitda "&amp;IF(F9&lt;0,"-","+")&amp;TEXT(ABS(F9)*100,"0.0")&amp;"%"))&gt;0,LEN(IF(G9="","","revenue "&amp;IF(G9&lt;0,"-","+")&amp;TEXT(ABS(G9)*100,"0.0")&amp;"%"))&gt;0),", ","")&amp;IF(G9="","","revenue "&amp;IF(G9&lt;0,"-","+")&amp;TEXT(ABS(G9)*100,"0.0")&amp;"%")&amp;IF(AND(LEN(IF(E9="","","ending_cash "&amp;IF(E9&lt;0,"-","+")&amp;TEXT(ABS(E9)*100,"0.0")&amp;"%")&amp;IF(AND(LEN(IF(E9="","","ending_cash "&amp;IF(E9&lt;0,"-","+")&amp;TEXT(ABS(E9)*100,"0.0")&amp;"%"))&gt;0,LEN(IF(F9="","","ebitda "&amp;IF(F9&lt;0,"-","+")&amp;TEXT(ABS(F9)*100,"0.0")&amp;"%"))&gt;0),", ","")&amp;IF(F9="","","ebitda "&amp;IF(F9&lt;0,"-","+")&amp;TEXT(ABS(F9)*100,"0.0")&amp;"%")&amp;IF(AND(LEN(IF(E9="","","ending_cash "&amp;IF(E9&lt;0,"-","+")&amp;TEXT(ABS(E9)*100,"0.0")&amp;"%")&amp;IF(AND(LEN(IF(E9="","","ending_cash "&amp;IF(E9&lt;0,"-","+")&amp;TEXT(ABS(E9)*100,"0.0")&amp;"%"))&gt;0,LEN(IF(F9="","","ebitda "&amp;IF(F9&lt;0,"-","+")&amp;TEXT(ABS(F9)*100,"0.0")&amp;"%"))&gt;0),", ","")&amp;IF(F9="","","ebitda "&amp;IF(F9&lt;0,"-","+")&amp;TEXT(ABS(F9)*100,"0.0")&amp;"%"))&gt;0,LEN(IF(G9="","","revenue "&amp;IF(G9&lt;0,"-","+")&amp;TEXT(ABS(G9)*100,"0.0")&amp;"%"))&gt;0),", ","")&amp;IF(G9="","","revenue "&amp;IF(G9&lt;0,"-","+")&amp;TEXT(ABS(G9)*100,"0.0")&amp;"%"))&gt;0,LEN(IF(H9="","","gross_margin "&amp;IF(H9&lt;0,"-","+")&amp;TEXT(ABS(H9)*100,"0.0")&amp;"%"))&gt;0),", ","")&amp;IF(H9="","","gross_margin "&amp;IF(H9&lt;0,"-","+")&amp;TEXT(ABS(H9)*100,"0.0")&amp;"%")&amp;" |")</f>
        <v/>
      </c>
      <c r="R9">
        <f>IF(Q9="","",ROW()-4)</f>
        <v/>
      </c>
    </row>
    <row r="10">
      <c r="A10" s="8" t="n"/>
      <c r="B10" s="8" t="n"/>
      <c r="C10" s="8" t="n"/>
      <c r="D10" s="19" t="n"/>
      <c r="E10" s="20" t="n"/>
      <c r="F10" s="20" t="n"/>
      <c r="G10" s="20" t="n"/>
      <c r="H10" s="20" t="n"/>
      <c r="I10" s="10" t="n"/>
      <c r="J10" s="10" t="n"/>
      <c r="K10" s="10" t="n"/>
      <c r="L10" s="10" t="n"/>
      <c r="M10" s="21">
        <f>IF(OR(E10="",I10="",E10=-1),"",I10/(1+E10))</f>
        <v/>
      </c>
      <c r="N10" s="21">
        <f>IF(OR(F10="",J10="",F10=-1),"",J10/(1+F10))</f>
        <v/>
      </c>
      <c r="O10" s="21">
        <f>IF(OR(G10="",K10="",G10=-1),"",K10/(1+G10))</f>
        <v/>
      </c>
      <c r="P10" s="21">
        <f>IF(OR(H10="",L10="",H10=-1),"",L10/(1+H10))</f>
        <v/>
      </c>
      <c r="Q10" s="6">
        <f>IF(OR(A10="",LOWER(C10)&lt;&gt;"y"),"","| "&amp;A10&amp;" | "&amp;TEXT(D10,"0.0000")&amp;" | "&amp;IF(E10="","","ending_cash "&amp;IF(E10&lt;0,"-","+")&amp;TEXT(ABS(E10)*100,"0.0")&amp;"%")&amp;IF(AND(LEN(IF(E10="","","ending_cash "&amp;IF(E10&lt;0,"-","+")&amp;TEXT(ABS(E10)*100,"0.0")&amp;"%"))&gt;0,LEN(IF(F10="","","ebitda "&amp;IF(F10&lt;0,"-","+")&amp;TEXT(ABS(F10)*100,"0.0")&amp;"%"))&gt;0),", ","")&amp;IF(F10="","","ebitda "&amp;IF(F10&lt;0,"-","+")&amp;TEXT(ABS(F10)*100,"0.0")&amp;"%")&amp;IF(AND(LEN(IF(E10="","","ending_cash "&amp;IF(E10&lt;0,"-","+")&amp;TEXT(ABS(E10)*100,"0.0")&amp;"%")&amp;IF(AND(LEN(IF(E10="","","ending_cash "&amp;IF(E10&lt;0,"-","+")&amp;TEXT(ABS(E10)*100,"0.0")&amp;"%"))&gt;0,LEN(IF(F10="","","ebitda "&amp;IF(F10&lt;0,"-","+")&amp;TEXT(ABS(F10)*100,"0.0")&amp;"%"))&gt;0),", ","")&amp;IF(F10="","","ebitda "&amp;IF(F10&lt;0,"-","+")&amp;TEXT(ABS(F10)*100,"0.0")&amp;"%"))&gt;0,LEN(IF(G10="","","revenue "&amp;IF(G10&lt;0,"-","+")&amp;TEXT(ABS(G10)*100,"0.0")&amp;"%"))&gt;0),", ","")&amp;IF(G10="","","revenue "&amp;IF(G10&lt;0,"-","+")&amp;TEXT(ABS(G10)*100,"0.0")&amp;"%")&amp;IF(AND(LEN(IF(E10="","","ending_cash "&amp;IF(E10&lt;0,"-","+")&amp;TEXT(ABS(E10)*100,"0.0")&amp;"%")&amp;IF(AND(LEN(IF(E10="","","ending_cash "&amp;IF(E10&lt;0,"-","+")&amp;TEXT(ABS(E10)*100,"0.0")&amp;"%"))&gt;0,LEN(IF(F10="","","ebitda "&amp;IF(F10&lt;0,"-","+")&amp;TEXT(ABS(F10)*100,"0.0")&amp;"%"))&gt;0),", ","")&amp;IF(F10="","","ebitda "&amp;IF(F10&lt;0,"-","+")&amp;TEXT(ABS(F10)*100,"0.0")&amp;"%")&amp;IF(AND(LEN(IF(E10="","","ending_cash "&amp;IF(E10&lt;0,"-","+")&amp;TEXT(ABS(E10)*100,"0.0")&amp;"%")&amp;IF(AND(LEN(IF(E10="","","ending_cash "&amp;IF(E10&lt;0,"-","+")&amp;TEXT(ABS(E10)*100,"0.0")&amp;"%"))&gt;0,LEN(IF(F10="","","ebitda "&amp;IF(F10&lt;0,"-","+")&amp;TEXT(ABS(F10)*100,"0.0")&amp;"%"))&gt;0),", ","")&amp;IF(F10="","","ebitda "&amp;IF(F10&lt;0,"-","+")&amp;TEXT(ABS(F10)*100,"0.0")&amp;"%"))&gt;0,LEN(IF(G10="","","revenue "&amp;IF(G10&lt;0,"-","+")&amp;TEXT(ABS(G10)*100,"0.0")&amp;"%"))&gt;0),", ","")&amp;IF(G10="","","revenue "&amp;IF(G10&lt;0,"-","+")&amp;TEXT(ABS(G10)*100,"0.0")&amp;"%"))&gt;0,LEN(IF(H10="","","gross_margin "&amp;IF(H10&lt;0,"-","+")&amp;TEXT(ABS(H10)*100,"0.0")&amp;"%"))&gt;0),", ","")&amp;IF(H10="","","gross_margin "&amp;IF(H10&lt;0,"-","+")&amp;TEXT(ABS(H10)*100,"0.0")&amp;"%")&amp;" |")</f>
        <v/>
      </c>
      <c r="R10">
        <f>IF(Q10="","",ROW()-4)</f>
        <v/>
      </c>
    </row>
    <row r="11">
      <c r="A11" s="8" t="n"/>
      <c r="B11" s="8" t="n"/>
      <c r="C11" s="8" t="n"/>
      <c r="D11" s="19" t="n"/>
      <c r="E11" s="20" t="n"/>
      <c r="F11" s="20" t="n"/>
      <c r="G11" s="20" t="n"/>
      <c r="H11" s="20" t="n"/>
      <c r="I11" s="10" t="n"/>
      <c r="J11" s="10" t="n"/>
      <c r="K11" s="10" t="n"/>
      <c r="L11" s="10" t="n"/>
      <c r="M11" s="21">
        <f>IF(OR(E11="",I11="",E11=-1),"",I11/(1+E11))</f>
        <v/>
      </c>
      <c r="N11" s="21">
        <f>IF(OR(F11="",J11="",F11=-1),"",J11/(1+F11))</f>
        <v/>
      </c>
      <c r="O11" s="21">
        <f>IF(OR(G11="",K11="",G11=-1),"",K11/(1+G11))</f>
        <v/>
      </c>
      <c r="P11" s="21">
        <f>IF(OR(H11="",L11="",H11=-1),"",L11/(1+H11))</f>
        <v/>
      </c>
      <c r="Q11" s="6">
        <f>IF(OR(A11="",LOWER(C11)&lt;&gt;"y"),"","| "&amp;A11&amp;" | "&amp;TEXT(D11,"0.0000")&amp;" | "&amp;IF(E11="","","ending_cash "&amp;IF(E11&lt;0,"-","+")&amp;TEXT(ABS(E11)*100,"0.0")&amp;"%")&amp;IF(AND(LEN(IF(E11="","","ending_cash "&amp;IF(E11&lt;0,"-","+")&amp;TEXT(ABS(E11)*100,"0.0")&amp;"%"))&gt;0,LEN(IF(F11="","","ebitda "&amp;IF(F11&lt;0,"-","+")&amp;TEXT(ABS(F11)*100,"0.0")&amp;"%"))&gt;0),", ","")&amp;IF(F11="","","ebitda "&amp;IF(F11&lt;0,"-","+")&amp;TEXT(ABS(F11)*100,"0.0")&amp;"%")&amp;IF(AND(LEN(IF(E11="","","ending_cash "&amp;IF(E11&lt;0,"-","+")&amp;TEXT(ABS(E11)*100,"0.0")&amp;"%")&amp;IF(AND(LEN(IF(E11="","","ending_cash "&amp;IF(E11&lt;0,"-","+")&amp;TEXT(ABS(E11)*100,"0.0")&amp;"%"))&gt;0,LEN(IF(F11="","","ebitda "&amp;IF(F11&lt;0,"-","+")&amp;TEXT(ABS(F11)*100,"0.0")&amp;"%"))&gt;0),", ","")&amp;IF(F11="","","ebitda "&amp;IF(F11&lt;0,"-","+")&amp;TEXT(ABS(F11)*100,"0.0")&amp;"%"))&gt;0,LEN(IF(G11="","","revenue "&amp;IF(G11&lt;0,"-","+")&amp;TEXT(ABS(G11)*100,"0.0")&amp;"%"))&gt;0),", ","")&amp;IF(G11="","","revenue "&amp;IF(G11&lt;0,"-","+")&amp;TEXT(ABS(G11)*100,"0.0")&amp;"%")&amp;IF(AND(LEN(IF(E11="","","ending_cash "&amp;IF(E11&lt;0,"-","+")&amp;TEXT(ABS(E11)*100,"0.0")&amp;"%")&amp;IF(AND(LEN(IF(E11="","","ending_cash "&amp;IF(E11&lt;0,"-","+")&amp;TEXT(ABS(E11)*100,"0.0")&amp;"%"))&gt;0,LEN(IF(F11="","","ebitda "&amp;IF(F11&lt;0,"-","+")&amp;TEXT(ABS(F11)*100,"0.0")&amp;"%"))&gt;0),", ","")&amp;IF(F11="","","ebitda "&amp;IF(F11&lt;0,"-","+")&amp;TEXT(ABS(F11)*100,"0.0")&amp;"%")&amp;IF(AND(LEN(IF(E11="","","ending_cash "&amp;IF(E11&lt;0,"-","+")&amp;TEXT(ABS(E11)*100,"0.0")&amp;"%")&amp;IF(AND(LEN(IF(E11="","","ending_cash "&amp;IF(E11&lt;0,"-","+")&amp;TEXT(ABS(E11)*100,"0.0")&amp;"%"))&gt;0,LEN(IF(F11="","","ebitda "&amp;IF(F11&lt;0,"-","+")&amp;TEXT(ABS(F11)*100,"0.0")&amp;"%"))&gt;0),", ","")&amp;IF(F11="","","ebitda "&amp;IF(F11&lt;0,"-","+")&amp;TEXT(ABS(F11)*100,"0.0")&amp;"%"))&gt;0,LEN(IF(G11="","","revenue "&amp;IF(G11&lt;0,"-","+")&amp;TEXT(ABS(G11)*100,"0.0")&amp;"%"))&gt;0),", ","")&amp;IF(G11="","","revenue "&amp;IF(G11&lt;0,"-","+")&amp;TEXT(ABS(G11)*100,"0.0")&amp;"%"))&gt;0,LEN(IF(H11="","","gross_margin "&amp;IF(H11&lt;0,"-","+")&amp;TEXT(ABS(H11)*100,"0.0")&amp;"%"))&gt;0),", ","")&amp;IF(H11="","","gross_margin "&amp;IF(H11&lt;0,"-","+")&amp;TEXT(ABS(H11)*100,"0.0")&amp;"%")&amp;" |")</f>
        <v/>
      </c>
      <c r="R11">
        <f>IF(Q11="","",ROW()-4)</f>
        <v/>
      </c>
    </row>
    <row r="12">
      <c r="A12" s="8" t="n"/>
      <c r="B12" s="8" t="n"/>
      <c r="C12" s="8" t="n"/>
      <c r="D12" s="19" t="n"/>
      <c r="E12" s="20" t="n"/>
      <c r="F12" s="20" t="n"/>
      <c r="G12" s="20" t="n"/>
      <c r="H12" s="20" t="n"/>
      <c r="I12" s="10" t="n"/>
      <c r="J12" s="10" t="n"/>
      <c r="K12" s="10" t="n"/>
      <c r="L12" s="10" t="n"/>
      <c r="M12" s="21">
        <f>IF(OR(E12="",I12="",E12=-1),"",I12/(1+E12))</f>
        <v/>
      </c>
      <c r="N12" s="21">
        <f>IF(OR(F12="",J12="",F12=-1),"",J12/(1+F12))</f>
        <v/>
      </c>
      <c r="O12" s="21">
        <f>IF(OR(G12="",K12="",G12=-1),"",K12/(1+G12))</f>
        <v/>
      </c>
      <c r="P12" s="21">
        <f>IF(OR(H12="",L12="",H12=-1),"",L12/(1+H12))</f>
        <v/>
      </c>
      <c r="Q12" s="6">
        <f>IF(OR(A12="",LOWER(C12)&lt;&gt;"y"),"","| "&amp;A12&amp;" | "&amp;TEXT(D12,"0.0000")&amp;" | "&amp;IF(E12="","","ending_cash "&amp;IF(E12&lt;0,"-","+")&amp;TEXT(ABS(E12)*100,"0.0")&amp;"%")&amp;IF(AND(LEN(IF(E12="","","ending_cash "&amp;IF(E12&lt;0,"-","+")&amp;TEXT(ABS(E12)*100,"0.0")&amp;"%"))&gt;0,LEN(IF(F12="","","ebitda "&amp;IF(F12&lt;0,"-","+")&amp;TEXT(ABS(F12)*100,"0.0")&amp;"%"))&gt;0),", ","")&amp;IF(F12="","","ebitda "&amp;IF(F12&lt;0,"-","+")&amp;TEXT(ABS(F12)*100,"0.0")&amp;"%")&amp;IF(AND(LEN(IF(E12="","","ending_cash "&amp;IF(E12&lt;0,"-","+")&amp;TEXT(ABS(E12)*100,"0.0")&amp;"%")&amp;IF(AND(LEN(IF(E12="","","ending_cash "&amp;IF(E12&lt;0,"-","+")&amp;TEXT(ABS(E12)*100,"0.0")&amp;"%"))&gt;0,LEN(IF(F12="","","ebitda "&amp;IF(F12&lt;0,"-","+")&amp;TEXT(ABS(F12)*100,"0.0")&amp;"%"))&gt;0),", ","")&amp;IF(F12="","","ebitda "&amp;IF(F12&lt;0,"-","+")&amp;TEXT(ABS(F12)*100,"0.0")&amp;"%"))&gt;0,LEN(IF(G12="","","revenue "&amp;IF(G12&lt;0,"-","+")&amp;TEXT(ABS(G12)*100,"0.0")&amp;"%"))&gt;0),", ","")&amp;IF(G12="","","revenue "&amp;IF(G12&lt;0,"-","+")&amp;TEXT(ABS(G12)*100,"0.0")&amp;"%")&amp;IF(AND(LEN(IF(E12="","","ending_cash "&amp;IF(E12&lt;0,"-","+")&amp;TEXT(ABS(E12)*100,"0.0")&amp;"%")&amp;IF(AND(LEN(IF(E12="","","ending_cash "&amp;IF(E12&lt;0,"-","+")&amp;TEXT(ABS(E12)*100,"0.0")&amp;"%"))&gt;0,LEN(IF(F12="","","ebitda "&amp;IF(F12&lt;0,"-","+")&amp;TEXT(ABS(F12)*100,"0.0")&amp;"%"))&gt;0),", ","")&amp;IF(F12="","","ebitda "&amp;IF(F12&lt;0,"-","+")&amp;TEXT(ABS(F12)*100,"0.0")&amp;"%")&amp;IF(AND(LEN(IF(E12="","","ending_cash "&amp;IF(E12&lt;0,"-","+")&amp;TEXT(ABS(E12)*100,"0.0")&amp;"%")&amp;IF(AND(LEN(IF(E12="","","ending_cash "&amp;IF(E12&lt;0,"-","+")&amp;TEXT(ABS(E12)*100,"0.0")&amp;"%"))&gt;0,LEN(IF(F12="","","ebitda "&amp;IF(F12&lt;0,"-","+")&amp;TEXT(ABS(F12)*100,"0.0")&amp;"%"))&gt;0),", ","")&amp;IF(F12="","","ebitda "&amp;IF(F12&lt;0,"-","+")&amp;TEXT(ABS(F12)*100,"0.0")&amp;"%"))&gt;0,LEN(IF(G12="","","revenue "&amp;IF(G12&lt;0,"-","+")&amp;TEXT(ABS(G12)*100,"0.0")&amp;"%"))&gt;0),", ","")&amp;IF(G12="","","revenue "&amp;IF(G12&lt;0,"-","+")&amp;TEXT(ABS(G12)*100,"0.0")&amp;"%"))&gt;0,LEN(IF(H12="","","gross_margin "&amp;IF(H12&lt;0,"-","+")&amp;TEXT(ABS(H12)*100,"0.0")&amp;"%"))&gt;0),", ","")&amp;IF(H12="","","gross_margin "&amp;IF(H12&lt;0,"-","+")&amp;TEXT(ABS(H12)*100,"0.0")&amp;"%")&amp;" |")</f>
        <v/>
      </c>
      <c r="R12">
        <f>IF(Q12="","",ROW()-4)</f>
        <v/>
      </c>
    </row>
    <row r="13">
      <c r="A13" s="8" t="n"/>
      <c r="B13" s="8" t="n"/>
      <c r="C13" s="8" t="n"/>
      <c r="D13" s="19" t="n"/>
      <c r="E13" s="20" t="n"/>
      <c r="F13" s="20" t="n"/>
      <c r="G13" s="20" t="n"/>
      <c r="H13" s="20" t="n"/>
      <c r="I13" s="10" t="n"/>
      <c r="J13" s="10" t="n"/>
      <c r="K13" s="10" t="n"/>
      <c r="L13" s="10" t="n"/>
      <c r="M13" s="21">
        <f>IF(OR(E13="",I13="",E13=-1),"",I13/(1+E13))</f>
        <v/>
      </c>
      <c r="N13" s="21">
        <f>IF(OR(F13="",J13="",F13=-1),"",J13/(1+F13))</f>
        <v/>
      </c>
      <c r="O13" s="21">
        <f>IF(OR(G13="",K13="",G13=-1),"",K13/(1+G13))</f>
        <v/>
      </c>
      <c r="P13" s="21">
        <f>IF(OR(H13="",L13="",H13=-1),"",L13/(1+H13))</f>
        <v/>
      </c>
      <c r="Q13" s="6">
        <f>IF(OR(A13="",LOWER(C13)&lt;&gt;"y"),"","| "&amp;A13&amp;" | "&amp;TEXT(D13,"0.0000")&amp;" | "&amp;IF(E13="","","ending_cash "&amp;IF(E13&lt;0,"-","+")&amp;TEXT(ABS(E13)*100,"0.0")&amp;"%")&amp;IF(AND(LEN(IF(E13="","","ending_cash "&amp;IF(E13&lt;0,"-","+")&amp;TEXT(ABS(E13)*100,"0.0")&amp;"%"))&gt;0,LEN(IF(F13="","","ebitda "&amp;IF(F13&lt;0,"-","+")&amp;TEXT(ABS(F13)*100,"0.0")&amp;"%"))&gt;0),", ","")&amp;IF(F13="","","ebitda "&amp;IF(F13&lt;0,"-","+")&amp;TEXT(ABS(F13)*100,"0.0")&amp;"%")&amp;IF(AND(LEN(IF(E13="","","ending_cash "&amp;IF(E13&lt;0,"-","+")&amp;TEXT(ABS(E13)*100,"0.0")&amp;"%")&amp;IF(AND(LEN(IF(E13="","","ending_cash "&amp;IF(E13&lt;0,"-","+")&amp;TEXT(ABS(E13)*100,"0.0")&amp;"%"))&gt;0,LEN(IF(F13="","","ebitda "&amp;IF(F13&lt;0,"-","+")&amp;TEXT(ABS(F13)*100,"0.0")&amp;"%"))&gt;0),", ","")&amp;IF(F13="","","ebitda "&amp;IF(F13&lt;0,"-","+")&amp;TEXT(ABS(F13)*100,"0.0")&amp;"%"))&gt;0,LEN(IF(G13="","","revenue "&amp;IF(G13&lt;0,"-","+")&amp;TEXT(ABS(G13)*100,"0.0")&amp;"%"))&gt;0),", ","")&amp;IF(G13="","","revenue "&amp;IF(G13&lt;0,"-","+")&amp;TEXT(ABS(G13)*100,"0.0")&amp;"%")&amp;IF(AND(LEN(IF(E13="","","ending_cash "&amp;IF(E13&lt;0,"-","+")&amp;TEXT(ABS(E13)*100,"0.0")&amp;"%")&amp;IF(AND(LEN(IF(E13="","","ending_cash "&amp;IF(E13&lt;0,"-","+")&amp;TEXT(ABS(E13)*100,"0.0")&amp;"%"))&gt;0,LEN(IF(F13="","","ebitda "&amp;IF(F13&lt;0,"-","+")&amp;TEXT(ABS(F13)*100,"0.0")&amp;"%"))&gt;0),", ","")&amp;IF(F13="","","ebitda "&amp;IF(F13&lt;0,"-","+")&amp;TEXT(ABS(F13)*100,"0.0")&amp;"%")&amp;IF(AND(LEN(IF(E13="","","ending_cash "&amp;IF(E13&lt;0,"-","+")&amp;TEXT(ABS(E13)*100,"0.0")&amp;"%")&amp;IF(AND(LEN(IF(E13="","","ending_cash "&amp;IF(E13&lt;0,"-","+")&amp;TEXT(ABS(E13)*100,"0.0")&amp;"%"))&gt;0,LEN(IF(F13="","","ebitda "&amp;IF(F13&lt;0,"-","+")&amp;TEXT(ABS(F13)*100,"0.0")&amp;"%"))&gt;0),", ","")&amp;IF(F13="","","ebitda "&amp;IF(F13&lt;0,"-","+")&amp;TEXT(ABS(F13)*100,"0.0")&amp;"%"))&gt;0,LEN(IF(G13="","","revenue "&amp;IF(G13&lt;0,"-","+")&amp;TEXT(ABS(G13)*100,"0.0")&amp;"%"))&gt;0),", ","")&amp;IF(G13="","","revenue "&amp;IF(G13&lt;0,"-","+")&amp;TEXT(ABS(G13)*100,"0.0")&amp;"%"))&gt;0,LEN(IF(H13="","","gross_margin "&amp;IF(H13&lt;0,"-","+")&amp;TEXT(ABS(H13)*100,"0.0")&amp;"%"))&gt;0),", ","")&amp;IF(H13="","","gross_margin "&amp;IF(H13&lt;0,"-","+")&amp;TEXT(ABS(H13)*100,"0.0")&amp;"%")&amp;" |")</f>
        <v/>
      </c>
      <c r="R13">
        <f>IF(Q13="","",ROW()-4)</f>
        <v/>
      </c>
    </row>
    <row r="14">
      <c r="A14" s="8" t="n"/>
      <c r="B14" s="8" t="n"/>
      <c r="C14" s="8" t="n"/>
      <c r="D14" s="19" t="n"/>
      <c r="E14" s="20" t="n"/>
      <c r="F14" s="20" t="n"/>
      <c r="G14" s="20" t="n"/>
      <c r="H14" s="20" t="n"/>
      <c r="I14" s="10" t="n"/>
      <c r="J14" s="10" t="n"/>
      <c r="K14" s="10" t="n"/>
      <c r="L14" s="10" t="n"/>
      <c r="M14" s="21">
        <f>IF(OR(E14="",I14="",E14=-1),"",I14/(1+E14))</f>
        <v/>
      </c>
      <c r="N14" s="21">
        <f>IF(OR(F14="",J14="",F14=-1),"",J14/(1+F14))</f>
        <v/>
      </c>
      <c r="O14" s="21">
        <f>IF(OR(G14="",K14="",G14=-1),"",K14/(1+G14))</f>
        <v/>
      </c>
      <c r="P14" s="21">
        <f>IF(OR(H14="",L14="",H14=-1),"",L14/(1+H14))</f>
        <v/>
      </c>
      <c r="Q14" s="6">
        <f>IF(OR(A14="",LOWER(C14)&lt;&gt;"y"),"","| "&amp;A14&amp;" | "&amp;TEXT(D14,"0.0000")&amp;" | "&amp;IF(E14="","","ending_cash "&amp;IF(E14&lt;0,"-","+")&amp;TEXT(ABS(E14)*100,"0.0")&amp;"%")&amp;IF(AND(LEN(IF(E14="","","ending_cash "&amp;IF(E14&lt;0,"-","+")&amp;TEXT(ABS(E14)*100,"0.0")&amp;"%"))&gt;0,LEN(IF(F14="","","ebitda "&amp;IF(F14&lt;0,"-","+")&amp;TEXT(ABS(F14)*100,"0.0")&amp;"%"))&gt;0),", ","")&amp;IF(F14="","","ebitda "&amp;IF(F14&lt;0,"-","+")&amp;TEXT(ABS(F14)*100,"0.0")&amp;"%")&amp;IF(AND(LEN(IF(E14="","","ending_cash "&amp;IF(E14&lt;0,"-","+")&amp;TEXT(ABS(E14)*100,"0.0")&amp;"%")&amp;IF(AND(LEN(IF(E14="","","ending_cash "&amp;IF(E14&lt;0,"-","+")&amp;TEXT(ABS(E14)*100,"0.0")&amp;"%"))&gt;0,LEN(IF(F14="","","ebitda "&amp;IF(F14&lt;0,"-","+")&amp;TEXT(ABS(F14)*100,"0.0")&amp;"%"))&gt;0),", ","")&amp;IF(F14="","","ebitda "&amp;IF(F14&lt;0,"-","+")&amp;TEXT(ABS(F14)*100,"0.0")&amp;"%"))&gt;0,LEN(IF(G14="","","revenue "&amp;IF(G14&lt;0,"-","+")&amp;TEXT(ABS(G14)*100,"0.0")&amp;"%"))&gt;0),", ","")&amp;IF(G14="","","revenue "&amp;IF(G14&lt;0,"-","+")&amp;TEXT(ABS(G14)*100,"0.0")&amp;"%")&amp;IF(AND(LEN(IF(E14="","","ending_cash "&amp;IF(E14&lt;0,"-","+")&amp;TEXT(ABS(E14)*100,"0.0")&amp;"%")&amp;IF(AND(LEN(IF(E14="","","ending_cash "&amp;IF(E14&lt;0,"-","+")&amp;TEXT(ABS(E14)*100,"0.0")&amp;"%"))&gt;0,LEN(IF(F14="","","ebitda "&amp;IF(F14&lt;0,"-","+")&amp;TEXT(ABS(F14)*100,"0.0")&amp;"%"))&gt;0),", ","")&amp;IF(F14="","","ebitda "&amp;IF(F14&lt;0,"-","+")&amp;TEXT(ABS(F14)*100,"0.0")&amp;"%")&amp;IF(AND(LEN(IF(E14="","","ending_cash "&amp;IF(E14&lt;0,"-","+")&amp;TEXT(ABS(E14)*100,"0.0")&amp;"%")&amp;IF(AND(LEN(IF(E14="","","ending_cash "&amp;IF(E14&lt;0,"-","+")&amp;TEXT(ABS(E14)*100,"0.0")&amp;"%"))&gt;0,LEN(IF(F14="","","ebitda "&amp;IF(F14&lt;0,"-","+")&amp;TEXT(ABS(F14)*100,"0.0")&amp;"%"))&gt;0),", ","")&amp;IF(F14="","","ebitda "&amp;IF(F14&lt;0,"-","+")&amp;TEXT(ABS(F14)*100,"0.0")&amp;"%"))&gt;0,LEN(IF(G14="","","revenue "&amp;IF(G14&lt;0,"-","+")&amp;TEXT(ABS(G14)*100,"0.0")&amp;"%"))&gt;0),", ","")&amp;IF(G14="","","revenue "&amp;IF(G14&lt;0,"-","+")&amp;TEXT(ABS(G14)*100,"0.0")&amp;"%"))&gt;0,LEN(IF(H14="","","gross_margin "&amp;IF(H14&lt;0,"-","+")&amp;TEXT(ABS(H14)*100,"0.0")&amp;"%"))&gt;0),", ","")&amp;IF(H14="","","gross_margin "&amp;IF(H14&lt;0,"-","+")&amp;TEXT(ABS(H14)*100,"0.0")&amp;"%")&amp;" |")</f>
        <v/>
      </c>
      <c r="R14">
        <f>IF(Q14="","",ROW()-4)</f>
        <v/>
      </c>
    </row>
    <row r="15">
      <c r="A15" s="8" t="n"/>
      <c r="B15" s="8" t="n"/>
      <c r="C15" s="8" t="n"/>
      <c r="D15" s="19" t="n"/>
      <c r="E15" s="20" t="n"/>
      <c r="F15" s="20" t="n"/>
      <c r="G15" s="20" t="n"/>
      <c r="H15" s="20" t="n"/>
      <c r="I15" s="10" t="n"/>
      <c r="J15" s="10" t="n"/>
      <c r="K15" s="10" t="n"/>
      <c r="L15" s="10" t="n"/>
      <c r="M15" s="21">
        <f>IF(OR(E15="",I15="",E15=-1),"",I15/(1+E15))</f>
        <v/>
      </c>
      <c r="N15" s="21">
        <f>IF(OR(F15="",J15="",F15=-1),"",J15/(1+F15))</f>
        <v/>
      </c>
      <c r="O15" s="21">
        <f>IF(OR(G15="",K15="",G15=-1),"",K15/(1+G15))</f>
        <v/>
      </c>
      <c r="P15" s="21">
        <f>IF(OR(H15="",L15="",H15=-1),"",L15/(1+H15))</f>
        <v/>
      </c>
      <c r="Q15" s="6">
        <f>IF(OR(A15="",LOWER(C15)&lt;&gt;"y"),"","| "&amp;A15&amp;" | "&amp;TEXT(D15,"0.0000")&amp;" | "&amp;IF(E15="","","ending_cash "&amp;IF(E15&lt;0,"-","+")&amp;TEXT(ABS(E15)*100,"0.0")&amp;"%")&amp;IF(AND(LEN(IF(E15="","","ending_cash "&amp;IF(E15&lt;0,"-","+")&amp;TEXT(ABS(E15)*100,"0.0")&amp;"%"))&gt;0,LEN(IF(F15="","","ebitda "&amp;IF(F15&lt;0,"-","+")&amp;TEXT(ABS(F15)*100,"0.0")&amp;"%"))&gt;0),", ","")&amp;IF(F15="","","ebitda "&amp;IF(F15&lt;0,"-","+")&amp;TEXT(ABS(F15)*100,"0.0")&amp;"%")&amp;IF(AND(LEN(IF(E15="","","ending_cash "&amp;IF(E15&lt;0,"-","+")&amp;TEXT(ABS(E15)*100,"0.0")&amp;"%")&amp;IF(AND(LEN(IF(E15="","","ending_cash "&amp;IF(E15&lt;0,"-","+")&amp;TEXT(ABS(E15)*100,"0.0")&amp;"%"))&gt;0,LEN(IF(F15="","","ebitda "&amp;IF(F15&lt;0,"-","+")&amp;TEXT(ABS(F15)*100,"0.0")&amp;"%"))&gt;0),", ","")&amp;IF(F15="","","ebitda "&amp;IF(F15&lt;0,"-","+")&amp;TEXT(ABS(F15)*100,"0.0")&amp;"%"))&gt;0,LEN(IF(G15="","","revenue "&amp;IF(G15&lt;0,"-","+")&amp;TEXT(ABS(G15)*100,"0.0")&amp;"%"))&gt;0),", ","")&amp;IF(G15="","","revenue "&amp;IF(G15&lt;0,"-","+")&amp;TEXT(ABS(G15)*100,"0.0")&amp;"%")&amp;IF(AND(LEN(IF(E15="","","ending_cash "&amp;IF(E15&lt;0,"-","+")&amp;TEXT(ABS(E15)*100,"0.0")&amp;"%")&amp;IF(AND(LEN(IF(E15="","","ending_cash "&amp;IF(E15&lt;0,"-","+")&amp;TEXT(ABS(E15)*100,"0.0")&amp;"%"))&gt;0,LEN(IF(F15="","","ebitda "&amp;IF(F15&lt;0,"-","+")&amp;TEXT(ABS(F15)*100,"0.0")&amp;"%"))&gt;0),", ","")&amp;IF(F15="","","ebitda "&amp;IF(F15&lt;0,"-","+")&amp;TEXT(ABS(F15)*100,"0.0")&amp;"%")&amp;IF(AND(LEN(IF(E15="","","ending_cash "&amp;IF(E15&lt;0,"-","+")&amp;TEXT(ABS(E15)*100,"0.0")&amp;"%")&amp;IF(AND(LEN(IF(E15="","","ending_cash "&amp;IF(E15&lt;0,"-","+")&amp;TEXT(ABS(E15)*100,"0.0")&amp;"%"))&gt;0,LEN(IF(F15="","","ebitda "&amp;IF(F15&lt;0,"-","+")&amp;TEXT(ABS(F15)*100,"0.0")&amp;"%"))&gt;0),", ","")&amp;IF(F15="","","ebitda "&amp;IF(F15&lt;0,"-","+")&amp;TEXT(ABS(F15)*100,"0.0")&amp;"%"))&gt;0,LEN(IF(G15="","","revenue "&amp;IF(G15&lt;0,"-","+")&amp;TEXT(ABS(G15)*100,"0.0")&amp;"%"))&gt;0),", ","")&amp;IF(G15="","","revenue "&amp;IF(G15&lt;0,"-","+")&amp;TEXT(ABS(G15)*100,"0.0")&amp;"%"))&gt;0,LEN(IF(H15="","","gross_margin "&amp;IF(H15&lt;0,"-","+")&amp;TEXT(ABS(H15)*100,"0.0")&amp;"%"))&gt;0),", ","")&amp;IF(H15="","","gross_margin "&amp;IF(H15&lt;0,"-","+")&amp;TEXT(ABS(H15)*100,"0.0")&amp;"%")&amp;" |")</f>
        <v/>
      </c>
      <c r="R15">
        <f>IF(Q15="","",ROW()-4)</f>
        <v/>
      </c>
    </row>
    <row r="16">
      <c r="A16" s="8" t="n"/>
      <c r="B16" s="8" t="n"/>
      <c r="C16" s="8" t="n"/>
      <c r="D16" s="19" t="n"/>
      <c r="E16" s="20" t="n"/>
      <c r="F16" s="20" t="n"/>
      <c r="G16" s="20" t="n"/>
      <c r="H16" s="20" t="n"/>
      <c r="I16" s="10" t="n"/>
      <c r="J16" s="10" t="n"/>
      <c r="K16" s="10" t="n"/>
      <c r="L16" s="10" t="n"/>
      <c r="M16" s="21">
        <f>IF(OR(E16="",I16="",E16=-1),"",I16/(1+E16))</f>
        <v/>
      </c>
      <c r="N16" s="21">
        <f>IF(OR(F16="",J16="",F16=-1),"",J16/(1+F16))</f>
        <v/>
      </c>
      <c r="O16" s="21">
        <f>IF(OR(G16="",K16="",G16=-1),"",K16/(1+G16))</f>
        <v/>
      </c>
      <c r="P16" s="21">
        <f>IF(OR(H16="",L16="",H16=-1),"",L16/(1+H16))</f>
        <v/>
      </c>
      <c r="Q16" s="6">
        <f>IF(OR(A16="",LOWER(C16)&lt;&gt;"y"),"","| "&amp;A16&amp;" | "&amp;TEXT(D16,"0.0000")&amp;" | "&amp;IF(E16="","","ending_cash "&amp;IF(E16&lt;0,"-","+")&amp;TEXT(ABS(E16)*100,"0.0")&amp;"%")&amp;IF(AND(LEN(IF(E16="","","ending_cash "&amp;IF(E16&lt;0,"-","+")&amp;TEXT(ABS(E16)*100,"0.0")&amp;"%"))&gt;0,LEN(IF(F16="","","ebitda "&amp;IF(F16&lt;0,"-","+")&amp;TEXT(ABS(F16)*100,"0.0")&amp;"%"))&gt;0),", ","")&amp;IF(F16="","","ebitda "&amp;IF(F16&lt;0,"-","+")&amp;TEXT(ABS(F16)*100,"0.0")&amp;"%")&amp;IF(AND(LEN(IF(E16="","","ending_cash "&amp;IF(E16&lt;0,"-","+")&amp;TEXT(ABS(E16)*100,"0.0")&amp;"%")&amp;IF(AND(LEN(IF(E16="","","ending_cash "&amp;IF(E16&lt;0,"-","+")&amp;TEXT(ABS(E16)*100,"0.0")&amp;"%"))&gt;0,LEN(IF(F16="","","ebitda "&amp;IF(F16&lt;0,"-","+")&amp;TEXT(ABS(F16)*100,"0.0")&amp;"%"))&gt;0),", ","")&amp;IF(F16="","","ebitda "&amp;IF(F16&lt;0,"-","+")&amp;TEXT(ABS(F16)*100,"0.0")&amp;"%"))&gt;0,LEN(IF(G16="","","revenue "&amp;IF(G16&lt;0,"-","+")&amp;TEXT(ABS(G16)*100,"0.0")&amp;"%"))&gt;0),", ","")&amp;IF(G16="","","revenue "&amp;IF(G16&lt;0,"-","+")&amp;TEXT(ABS(G16)*100,"0.0")&amp;"%")&amp;IF(AND(LEN(IF(E16="","","ending_cash "&amp;IF(E16&lt;0,"-","+")&amp;TEXT(ABS(E16)*100,"0.0")&amp;"%")&amp;IF(AND(LEN(IF(E16="","","ending_cash "&amp;IF(E16&lt;0,"-","+")&amp;TEXT(ABS(E16)*100,"0.0")&amp;"%"))&gt;0,LEN(IF(F16="","","ebitda "&amp;IF(F16&lt;0,"-","+")&amp;TEXT(ABS(F16)*100,"0.0")&amp;"%"))&gt;0),", ","")&amp;IF(F16="","","ebitda "&amp;IF(F16&lt;0,"-","+")&amp;TEXT(ABS(F16)*100,"0.0")&amp;"%")&amp;IF(AND(LEN(IF(E16="","","ending_cash "&amp;IF(E16&lt;0,"-","+")&amp;TEXT(ABS(E16)*100,"0.0")&amp;"%")&amp;IF(AND(LEN(IF(E16="","","ending_cash "&amp;IF(E16&lt;0,"-","+")&amp;TEXT(ABS(E16)*100,"0.0")&amp;"%"))&gt;0,LEN(IF(F16="","","ebitda "&amp;IF(F16&lt;0,"-","+")&amp;TEXT(ABS(F16)*100,"0.0")&amp;"%"))&gt;0),", ","")&amp;IF(F16="","","ebitda "&amp;IF(F16&lt;0,"-","+")&amp;TEXT(ABS(F16)*100,"0.0")&amp;"%"))&gt;0,LEN(IF(G16="","","revenue "&amp;IF(G16&lt;0,"-","+")&amp;TEXT(ABS(G16)*100,"0.0")&amp;"%"))&gt;0),", ","")&amp;IF(G16="","","revenue "&amp;IF(G16&lt;0,"-","+")&amp;TEXT(ABS(G16)*100,"0.0")&amp;"%"))&gt;0,LEN(IF(H16="","","gross_margin "&amp;IF(H16&lt;0,"-","+")&amp;TEXT(ABS(H16)*100,"0.0")&amp;"%"))&gt;0),", ","")&amp;IF(H16="","","gross_margin "&amp;IF(H16&lt;0,"-","+")&amp;TEXT(ABS(H16)*100,"0.0")&amp;"%")&amp;" |")</f>
        <v/>
      </c>
      <c r="R16">
        <f>IF(Q16="","",ROW()-4)</f>
        <v/>
      </c>
    </row>
    <row r="17">
      <c r="A17" s="8" t="n"/>
      <c r="B17" s="8" t="n"/>
      <c r="C17" s="8" t="n"/>
      <c r="D17" s="19" t="n"/>
      <c r="E17" s="20" t="n"/>
      <c r="F17" s="20" t="n"/>
      <c r="G17" s="20" t="n"/>
      <c r="H17" s="20" t="n"/>
      <c r="I17" s="10" t="n"/>
      <c r="J17" s="10" t="n"/>
      <c r="K17" s="10" t="n"/>
      <c r="L17" s="10" t="n"/>
      <c r="M17" s="21">
        <f>IF(OR(E17="",I17="",E17=-1),"",I17/(1+E17))</f>
        <v/>
      </c>
      <c r="N17" s="21">
        <f>IF(OR(F17="",J17="",F17=-1),"",J17/(1+F17))</f>
        <v/>
      </c>
      <c r="O17" s="21">
        <f>IF(OR(G17="",K17="",G17=-1),"",K17/(1+G17))</f>
        <v/>
      </c>
      <c r="P17" s="21">
        <f>IF(OR(H17="",L17="",H17=-1),"",L17/(1+H17))</f>
        <v/>
      </c>
      <c r="Q17" s="6">
        <f>IF(OR(A17="",LOWER(C17)&lt;&gt;"y"),"","| "&amp;A17&amp;" | "&amp;TEXT(D17,"0.0000")&amp;" | "&amp;IF(E17="","","ending_cash "&amp;IF(E17&lt;0,"-","+")&amp;TEXT(ABS(E17)*100,"0.0")&amp;"%")&amp;IF(AND(LEN(IF(E17="","","ending_cash "&amp;IF(E17&lt;0,"-","+")&amp;TEXT(ABS(E17)*100,"0.0")&amp;"%"))&gt;0,LEN(IF(F17="","","ebitda "&amp;IF(F17&lt;0,"-","+")&amp;TEXT(ABS(F17)*100,"0.0")&amp;"%"))&gt;0),", ","")&amp;IF(F17="","","ebitda "&amp;IF(F17&lt;0,"-","+")&amp;TEXT(ABS(F17)*100,"0.0")&amp;"%")&amp;IF(AND(LEN(IF(E17="","","ending_cash "&amp;IF(E17&lt;0,"-","+")&amp;TEXT(ABS(E17)*100,"0.0")&amp;"%")&amp;IF(AND(LEN(IF(E17="","","ending_cash "&amp;IF(E17&lt;0,"-","+")&amp;TEXT(ABS(E17)*100,"0.0")&amp;"%"))&gt;0,LEN(IF(F17="","","ebitda "&amp;IF(F17&lt;0,"-","+")&amp;TEXT(ABS(F17)*100,"0.0")&amp;"%"))&gt;0),", ","")&amp;IF(F17="","","ebitda "&amp;IF(F17&lt;0,"-","+")&amp;TEXT(ABS(F17)*100,"0.0")&amp;"%"))&gt;0,LEN(IF(G17="","","revenue "&amp;IF(G17&lt;0,"-","+")&amp;TEXT(ABS(G17)*100,"0.0")&amp;"%"))&gt;0),", ","")&amp;IF(G17="","","revenue "&amp;IF(G17&lt;0,"-","+")&amp;TEXT(ABS(G17)*100,"0.0")&amp;"%")&amp;IF(AND(LEN(IF(E17="","","ending_cash "&amp;IF(E17&lt;0,"-","+")&amp;TEXT(ABS(E17)*100,"0.0")&amp;"%")&amp;IF(AND(LEN(IF(E17="","","ending_cash "&amp;IF(E17&lt;0,"-","+")&amp;TEXT(ABS(E17)*100,"0.0")&amp;"%"))&gt;0,LEN(IF(F17="","","ebitda "&amp;IF(F17&lt;0,"-","+")&amp;TEXT(ABS(F17)*100,"0.0")&amp;"%"))&gt;0),", ","")&amp;IF(F17="","","ebitda "&amp;IF(F17&lt;0,"-","+")&amp;TEXT(ABS(F17)*100,"0.0")&amp;"%")&amp;IF(AND(LEN(IF(E17="","","ending_cash "&amp;IF(E17&lt;0,"-","+")&amp;TEXT(ABS(E17)*100,"0.0")&amp;"%")&amp;IF(AND(LEN(IF(E17="","","ending_cash "&amp;IF(E17&lt;0,"-","+")&amp;TEXT(ABS(E17)*100,"0.0")&amp;"%"))&gt;0,LEN(IF(F17="","","ebitda "&amp;IF(F17&lt;0,"-","+")&amp;TEXT(ABS(F17)*100,"0.0")&amp;"%"))&gt;0),", ","")&amp;IF(F17="","","ebitda "&amp;IF(F17&lt;0,"-","+")&amp;TEXT(ABS(F17)*100,"0.0")&amp;"%"))&gt;0,LEN(IF(G17="","","revenue "&amp;IF(G17&lt;0,"-","+")&amp;TEXT(ABS(G17)*100,"0.0")&amp;"%"))&gt;0),", ","")&amp;IF(G17="","","revenue "&amp;IF(G17&lt;0,"-","+")&amp;TEXT(ABS(G17)*100,"0.0")&amp;"%"))&gt;0,LEN(IF(H17="","","gross_margin "&amp;IF(H17&lt;0,"-","+")&amp;TEXT(ABS(H17)*100,"0.0")&amp;"%"))&gt;0),", ","")&amp;IF(H17="","","gross_margin "&amp;IF(H17&lt;0,"-","+")&amp;TEXT(ABS(H17)*100,"0.0")&amp;"%")&amp;" |")</f>
        <v/>
      </c>
      <c r="R17">
        <f>IF(Q17="","",ROW()-4)</f>
        <v/>
      </c>
    </row>
    <row r="18">
      <c r="A18" s="8" t="n"/>
      <c r="B18" s="8" t="n"/>
      <c r="C18" s="8" t="n"/>
      <c r="D18" s="19" t="n"/>
      <c r="E18" s="20" t="n"/>
      <c r="F18" s="20" t="n"/>
      <c r="G18" s="20" t="n"/>
      <c r="H18" s="20" t="n"/>
      <c r="I18" s="10" t="n"/>
      <c r="J18" s="10" t="n"/>
      <c r="K18" s="10" t="n"/>
      <c r="L18" s="10" t="n"/>
      <c r="M18" s="21">
        <f>IF(OR(E18="",I18="",E18=-1),"",I18/(1+E18))</f>
        <v/>
      </c>
      <c r="N18" s="21">
        <f>IF(OR(F18="",J18="",F18=-1),"",J18/(1+F18))</f>
        <v/>
      </c>
      <c r="O18" s="21">
        <f>IF(OR(G18="",K18="",G18=-1),"",K18/(1+G18))</f>
        <v/>
      </c>
      <c r="P18" s="21">
        <f>IF(OR(H18="",L18="",H18=-1),"",L18/(1+H18))</f>
        <v/>
      </c>
      <c r="Q18" s="6">
        <f>IF(OR(A18="",LOWER(C18)&lt;&gt;"y"),"","| "&amp;A18&amp;" | "&amp;TEXT(D18,"0.0000")&amp;" | "&amp;IF(E18="","","ending_cash "&amp;IF(E18&lt;0,"-","+")&amp;TEXT(ABS(E18)*100,"0.0")&amp;"%")&amp;IF(AND(LEN(IF(E18="","","ending_cash "&amp;IF(E18&lt;0,"-","+")&amp;TEXT(ABS(E18)*100,"0.0")&amp;"%"))&gt;0,LEN(IF(F18="","","ebitda "&amp;IF(F18&lt;0,"-","+")&amp;TEXT(ABS(F18)*100,"0.0")&amp;"%"))&gt;0),", ","")&amp;IF(F18="","","ebitda "&amp;IF(F18&lt;0,"-","+")&amp;TEXT(ABS(F18)*100,"0.0")&amp;"%")&amp;IF(AND(LEN(IF(E18="","","ending_cash "&amp;IF(E18&lt;0,"-","+")&amp;TEXT(ABS(E18)*100,"0.0")&amp;"%")&amp;IF(AND(LEN(IF(E18="","","ending_cash "&amp;IF(E18&lt;0,"-","+")&amp;TEXT(ABS(E18)*100,"0.0")&amp;"%"))&gt;0,LEN(IF(F18="","","ebitda "&amp;IF(F18&lt;0,"-","+")&amp;TEXT(ABS(F18)*100,"0.0")&amp;"%"))&gt;0),", ","")&amp;IF(F18="","","ebitda "&amp;IF(F18&lt;0,"-","+")&amp;TEXT(ABS(F18)*100,"0.0")&amp;"%"))&gt;0,LEN(IF(G18="","","revenue "&amp;IF(G18&lt;0,"-","+")&amp;TEXT(ABS(G18)*100,"0.0")&amp;"%"))&gt;0),", ","")&amp;IF(G18="","","revenue "&amp;IF(G18&lt;0,"-","+")&amp;TEXT(ABS(G18)*100,"0.0")&amp;"%")&amp;IF(AND(LEN(IF(E18="","","ending_cash "&amp;IF(E18&lt;0,"-","+")&amp;TEXT(ABS(E18)*100,"0.0")&amp;"%")&amp;IF(AND(LEN(IF(E18="","","ending_cash "&amp;IF(E18&lt;0,"-","+")&amp;TEXT(ABS(E18)*100,"0.0")&amp;"%"))&gt;0,LEN(IF(F18="","","ebitda "&amp;IF(F18&lt;0,"-","+")&amp;TEXT(ABS(F18)*100,"0.0")&amp;"%"))&gt;0),", ","")&amp;IF(F18="","","ebitda "&amp;IF(F18&lt;0,"-","+")&amp;TEXT(ABS(F18)*100,"0.0")&amp;"%")&amp;IF(AND(LEN(IF(E18="","","ending_cash "&amp;IF(E18&lt;0,"-","+")&amp;TEXT(ABS(E18)*100,"0.0")&amp;"%")&amp;IF(AND(LEN(IF(E18="","","ending_cash "&amp;IF(E18&lt;0,"-","+")&amp;TEXT(ABS(E18)*100,"0.0")&amp;"%"))&gt;0,LEN(IF(F18="","","ebitda "&amp;IF(F18&lt;0,"-","+")&amp;TEXT(ABS(F18)*100,"0.0")&amp;"%"))&gt;0),", ","")&amp;IF(F18="","","ebitda "&amp;IF(F18&lt;0,"-","+")&amp;TEXT(ABS(F18)*100,"0.0")&amp;"%"))&gt;0,LEN(IF(G18="","","revenue "&amp;IF(G18&lt;0,"-","+")&amp;TEXT(ABS(G18)*100,"0.0")&amp;"%"))&gt;0),", ","")&amp;IF(G18="","","revenue "&amp;IF(G18&lt;0,"-","+")&amp;TEXT(ABS(G18)*100,"0.0")&amp;"%"))&gt;0,LEN(IF(H18="","","gross_margin "&amp;IF(H18&lt;0,"-","+")&amp;TEXT(ABS(H18)*100,"0.0")&amp;"%"))&gt;0),", ","")&amp;IF(H18="","","gross_margin "&amp;IF(H18&lt;0,"-","+")&amp;TEXT(ABS(H18)*100,"0.0")&amp;"%")&amp;" |")</f>
        <v/>
      </c>
      <c r="R18">
        <f>IF(Q18="","",ROW()-4)</f>
        <v/>
      </c>
    </row>
    <row r="19">
      <c r="A19" s="8" t="n"/>
      <c r="B19" s="8" t="n"/>
      <c r="C19" s="8" t="n"/>
      <c r="D19" s="19" t="n"/>
      <c r="E19" s="20" t="n"/>
      <c r="F19" s="20" t="n"/>
      <c r="G19" s="20" t="n"/>
      <c r="H19" s="20" t="n"/>
      <c r="I19" s="10" t="n"/>
      <c r="J19" s="10" t="n"/>
      <c r="K19" s="10" t="n"/>
      <c r="L19" s="10" t="n"/>
      <c r="M19" s="21">
        <f>IF(OR(E19="",I19="",E19=-1),"",I19/(1+E19))</f>
        <v/>
      </c>
      <c r="N19" s="21">
        <f>IF(OR(F19="",J19="",F19=-1),"",J19/(1+F19))</f>
        <v/>
      </c>
      <c r="O19" s="21">
        <f>IF(OR(G19="",K19="",G19=-1),"",K19/(1+G19))</f>
        <v/>
      </c>
      <c r="P19" s="21">
        <f>IF(OR(H19="",L19="",H19=-1),"",L19/(1+H19))</f>
        <v/>
      </c>
      <c r="Q19" s="6">
        <f>IF(OR(A19="",LOWER(C19)&lt;&gt;"y"),"","| "&amp;A19&amp;" | "&amp;TEXT(D19,"0.0000")&amp;" | "&amp;IF(E19="","","ending_cash "&amp;IF(E19&lt;0,"-","+")&amp;TEXT(ABS(E19)*100,"0.0")&amp;"%")&amp;IF(AND(LEN(IF(E19="","","ending_cash "&amp;IF(E19&lt;0,"-","+")&amp;TEXT(ABS(E19)*100,"0.0")&amp;"%"))&gt;0,LEN(IF(F19="","","ebitda "&amp;IF(F19&lt;0,"-","+")&amp;TEXT(ABS(F19)*100,"0.0")&amp;"%"))&gt;0),", ","")&amp;IF(F19="","","ebitda "&amp;IF(F19&lt;0,"-","+")&amp;TEXT(ABS(F19)*100,"0.0")&amp;"%")&amp;IF(AND(LEN(IF(E19="","","ending_cash "&amp;IF(E19&lt;0,"-","+")&amp;TEXT(ABS(E19)*100,"0.0")&amp;"%")&amp;IF(AND(LEN(IF(E19="","","ending_cash "&amp;IF(E19&lt;0,"-","+")&amp;TEXT(ABS(E19)*100,"0.0")&amp;"%"))&gt;0,LEN(IF(F19="","","ebitda "&amp;IF(F19&lt;0,"-","+")&amp;TEXT(ABS(F19)*100,"0.0")&amp;"%"))&gt;0),", ","")&amp;IF(F19="","","ebitda "&amp;IF(F19&lt;0,"-","+")&amp;TEXT(ABS(F19)*100,"0.0")&amp;"%"))&gt;0,LEN(IF(G19="","","revenue "&amp;IF(G19&lt;0,"-","+")&amp;TEXT(ABS(G19)*100,"0.0")&amp;"%"))&gt;0),", ","")&amp;IF(G19="","","revenue "&amp;IF(G19&lt;0,"-","+")&amp;TEXT(ABS(G19)*100,"0.0")&amp;"%")&amp;IF(AND(LEN(IF(E19="","","ending_cash "&amp;IF(E19&lt;0,"-","+")&amp;TEXT(ABS(E19)*100,"0.0")&amp;"%")&amp;IF(AND(LEN(IF(E19="","","ending_cash "&amp;IF(E19&lt;0,"-","+")&amp;TEXT(ABS(E19)*100,"0.0")&amp;"%"))&gt;0,LEN(IF(F19="","","ebitda "&amp;IF(F19&lt;0,"-","+")&amp;TEXT(ABS(F19)*100,"0.0")&amp;"%"))&gt;0),", ","")&amp;IF(F19="","","ebitda "&amp;IF(F19&lt;0,"-","+")&amp;TEXT(ABS(F19)*100,"0.0")&amp;"%")&amp;IF(AND(LEN(IF(E19="","","ending_cash "&amp;IF(E19&lt;0,"-","+")&amp;TEXT(ABS(E19)*100,"0.0")&amp;"%")&amp;IF(AND(LEN(IF(E19="","","ending_cash "&amp;IF(E19&lt;0,"-","+")&amp;TEXT(ABS(E19)*100,"0.0")&amp;"%"))&gt;0,LEN(IF(F19="","","ebitda "&amp;IF(F19&lt;0,"-","+")&amp;TEXT(ABS(F19)*100,"0.0")&amp;"%"))&gt;0),", ","")&amp;IF(F19="","","ebitda "&amp;IF(F19&lt;0,"-","+")&amp;TEXT(ABS(F19)*100,"0.0")&amp;"%"))&gt;0,LEN(IF(G19="","","revenue "&amp;IF(G19&lt;0,"-","+")&amp;TEXT(ABS(G19)*100,"0.0")&amp;"%"))&gt;0),", ","")&amp;IF(G19="","","revenue "&amp;IF(G19&lt;0,"-","+")&amp;TEXT(ABS(G19)*100,"0.0")&amp;"%"))&gt;0,LEN(IF(H19="","","gross_margin "&amp;IF(H19&lt;0,"-","+")&amp;TEXT(ABS(H19)*100,"0.0")&amp;"%"))&gt;0),", ","")&amp;IF(H19="","","gross_margin "&amp;IF(H19&lt;0,"-","+")&amp;TEXT(ABS(H19)*100,"0.0")&amp;"%")&amp;" |")</f>
        <v/>
      </c>
      <c r="R19">
        <f>IF(Q19="","",ROW()-4)</f>
        <v/>
      </c>
    </row>
    <row r="20">
      <c r="A20" s="8" t="n"/>
      <c r="B20" s="8" t="n"/>
      <c r="C20" s="8" t="n"/>
      <c r="D20" s="19" t="n"/>
      <c r="E20" s="20" t="n"/>
      <c r="F20" s="20" t="n"/>
      <c r="G20" s="20" t="n"/>
      <c r="H20" s="20" t="n"/>
      <c r="I20" s="10" t="n"/>
      <c r="J20" s="10" t="n"/>
      <c r="K20" s="10" t="n"/>
      <c r="L20" s="10" t="n"/>
      <c r="M20" s="21">
        <f>IF(OR(E20="",I20="",E20=-1),"",I20/(1+E20))</f>
        <v/>
      </c>
      <c r="N20" s="21">
        <f>IF(OR(F20="",J20="",F20=-1),"",J20/(1+F20))</f>
        <v/>
      </c>
      <c r="O20" s="21">
        <f>IF(OR(G20="",K20="",G20=-1),"",K20/(1+G20))</f>
        <v/>
      </c>
      <c r="P20" s="21">
        <f>IF(OR(H20="",L20="",H20=-1),"",L20/(1+H20))</f>
        <v/>
      </c>
      <c r="Q20" s="6">
        <f>IF(OR(A20="",LOWER(C20)&lt;&gt;"y"),"","| "&amp;A20&amp;" | "&amp;TEXT(D20,"0.0000")&amp;" | "&amp;IF(E20="","","ending_cash "&amp;IF(E20&lt;0,"-","+")&amp;TEXT(ABS(E20)*100,"0.0")&amp;"%")&amp;IF(AND(LEN(IF(E20="","","ending_cash "&amp;IF(E20&lt;0,"-","+")&amp;TEXT(ABS(E20)*100,"0.0")&amp;"%"))&gt;0,LEN(IF(F20="","","ebitda "&amp;IF(F20&lt;0,"-","+")&amp;TEXT(ABS(F20)*100,"0.0")&amp;"%"))&gt;0),", ","")&amp;IF(F20="","","ebitda "&amp;IF(F20&lt;0,"-","+")&amp;TEXT(ABS(F20)*100,"0.0")&amp;"%")&amp;IF(AND(LEN(IF(E20="","","ending_cash "&amp;IF(E20&lt;0,"-","+")&amp;TEXT(ABS(E20)*100,"0.0")&amp;"%")&amp;IF(AND(LEN(IF(E20="","","ending_cash "&amp;IF(E20&lt;0,"-","+")&amp;TEXT(ABS(E20)*100,"0.0")&amp;"%"))&gt;0,LEN(IF(F20="","","ebitda "&amp;IF(F20&lt;0,"-","+")&amp;TEXT(ABS(F20)*100,"0.0")&amp;"%"))&gt;0),", ","")&amp;IF(F20="","","ebitda "&amp;IF(F20&lt;0,"-","+")&amp;TEXT(ABS(F20)*100,"0.0")&amp;"%"))&gt;0,LEN(IF(G20="","","revenue "&amp;IF(G20&lt;0,"-","+")&amp;TEXT(ABS(G20)*100,"0.0")&amp;"%"))&gt;0),", ","")&amp;IF(G20="","","revenue "&amp;IF(G20&lt;0,"-","+")&amp;TEXT(ABS(G20)*100,"0.0")&amp;"%")&amp;IF(AND(LEN(IF(E20="","","ending_cash "&amp;IF(E20&lt;0,"-","+")&amp;TEXT(ABS(E20)*100,"0.0")&amp;"%")&amp;IF(AND(LEN(IF(E20="","","ending_cash "&amp;IF(E20&lt;0,"-","+")&amp;TEXT(ABS(E20)*100,"0.0")&amp;"%"))&gt;0,LEN(IF(F20="","","ebitda "&amp;IF(F20&lt;0,"-","+")&amp;TEXT(ABS(F20)*100,"0.0")&amp;"%"))&gt;0),", ","")&amp;IF(F20="","","ebitda "&amp;IF(F20&lt;0,"-","+")&amp;TEXT(ABS(F20)*100,"0.0")&amp;"%")&amp;IF(AND(LEN(IF(E20="","","ending_cash "&amp;IF(E20&lt;0,"-","+")&amp;TEXT(ABS(E20)*100,"0.0")&amp;"%")&amp;IF(AND(LEN(IF(E20="","","ending_cash "&amp;IF(E20&lt;0,"-","+")&amp;TEXT(ABS(E20)*100,"0.0")&amp;"%"))&gt;0,LEN(IF(F20="","","ebitda "&amp;IF(F20&lt;0,"-","+")&amp;TEXT(ABS(F20)*100,"0.0")&amp;"%"))&gt;0),", ","")&amp;IF(F20="","","ebitda "&amp;IF(F20&lt;0,"-","+")&amp;TEXT(ABS(F20)*100,"0.0")&amp;"%"))&gt;0,LEN(IF(G20="","","revenue "&amp;IF(G20&lt;0,"-","+")&amp;TEXT(ABS(G20)*100,"0.0")&amp;"%"))&gt;0),", ","")&amp;IF(G20="","","revenue "&amp;IF(G20&lt;0,"-","+")&amp;TEXT(ABS(G20)*100,"0.0")&amp;"%"))&gt;0,LEN(IF(H20="","","gross_margin "&amp;IF(H20&lt;0,"-","+")&amp;TEXT(ABS(H20)*100,"0.0")&amp;"%"))&gt;0),", ","")&amp;IF(H20="","","gross_margin "&amp;IF(H20&lt;0,"-","+")&amp;TEXT(ABS(H20)*100,"0.0")&amp;"%")&amp;" |")</f>
        <v/>
      </c>
      <c r="R20">
        <f>IF(Q20="","",ROW()-4)</f>
        <v/>
      </c>
    </row>
    <row r="21">
      <c r="A21" s="8" t="n"/>
      <c r="B21" s="8" t="n"/>
      <c r="C21" s="8" t="n"/>
      <c r="D21" s="19" t="n"/>
      <c r="E21" s="20" t="n"/>
      <c r="F21" s="20" t="n"/>
      <c r="G21" s="20" t="n"/>
      <c r="H21" s="20" t="n"/>
      <c r="I21" s="10" t="n"/>
      <c r="J21" s="10" t="n"/>
      <c r="K21" s="10" t="n"/>
      <c r="L21" s="10" t="n"/>
      <c r="M21" s="21">
        <f>IF(OR(E21="",I21="",E21=-1),"",I21/(1+E21))</f>
        <v/>
      </c>
      <c r="N21" s="21">
        <f>IF(OR(F21="",J21="",F21=-1),"",J21/(1+F21))</f>
        <v/>
      </c>
      <c r="O21" s="21">
        <f>IF(OR(G21="",K21="",G21=-1),"",K21/(1+G21))</f>
        <v/>
      </c>
      <c r="P21" s="21">
        <f>IF(OR(H21="",L21="",H21=-1),"",L21/(1+H21))</f>
        <v/>
      </c>
      <c r="Q21" s="6">
        <f>IF(OR(A21="",LOWER(C21)&lt;&gt;"y"),"","| "&amp;A21&amp;" | "&amp;TEXT(D21,"0.0000")&amp;" | "&amp;IF(E21="","","ending_cash "&amp;IF(E21&lt;0,"-","+")&amp;TEXT(ABS(E21)*100,"0.0")&amp;"%")&amp;IF(AND(LEN(IF(E21="","","ending_cash "&amp;IF(E21&lt;0,"-","+")&amp;TEXT(ABS(E21)*100,"0.0")&amp;"%"))&gt;0,LEN(IF(F21="","","ebitda "&amp;IF(F21&lt;0,"-","+")&amp;TEXT(ABS(F21)*100,"0.0")&amp;"%"))&gt;0),", ","")&amp;IF(F21="","","ebitda "&amp;IF(F21&lt;0,"-","+")&amp;TEXT(ABS(F21)*100,"0.0")&amp;"%")&amp;IF(AND(LEN(IF(E21="","","ending_cash "&amp;IF(E21&lt;0,"-","+")&amp;TEXT(ABS(E21)*100,"0.0")&amp;"%")&amp;IF(AND(LEN(IF(E21="","","ending_cash "&amp;IF(E21&lt;0,"-","+")&amp;TEXT(ABS(E21)*100,"0.0")&amp;"%"))&gt;0,LEN(IF(F21="","","ebitda "&amp;IF(F21&lt;0,"-","+")&amp;TEXT(ABS(F21)*100,"0.0")&amp;"%"))&gt;0),", ","")&amp;IF(F21="","","ebitda "&amp;IF(F21&lt;0,"-","+")&amp;TEXT(ABS(F21)*100,"0.0")&amp;"%"))&gt;0,LEN(IF(G21="","","revenue "&amp;IF(G21&lt;0,"-","+")&amp;TEXT(ABS(G21)*100,"0.0")&amp;"%"))&gt;0),", ","")&amp;IF(G21="","","revenue "&amp;IF(G21&lt;0,"-","+")&amp;TEXT(ABS(G21)*100,"0.0")&amp;"%")&amp;IF(AND(LEN(IF(E21="","","ending_cash "&amp;IF(E21&lt;0,"-","+")&amp;TEXT(ABS(E21)*100,"0.0")&amp;"%")&amp;IF(AND(LEN(IF(E21="","","ending_cash "&amp;IF(E21&lt;0,"-","+")&amp;TEXT(ABS(E21)*100,"0.0")&amp;"%"))&gt;0,LEN(IF(F21="","","ebitda "&amp;IF(F21&lt;0,"-","+")&amp;TEXT(ABS(F21)*100,"0.0")&amp;"%"))&gt;0),", ","")&amp;IF(F21="","","ebitda "&amp;IF(F21&lt;0,"-","+")&amp;TEXT(ABS(F21)*100,"0.0")&amp;"%")&amp;IF(AND(LEN(IF(E21="","","ending_cash "&amp;IF(E21&lt;0,"-","+")&amp;TEXT(ABS(E21)*100,"0.0")&amp;"%")&amp;IF(AND(LEN(IF(E21="","","ending_cash "&amp;IF(E21&lt;0,"-","+")&amp;TEXT(ABS(E21)*100,"0.0")&amp;"%"))&gt;0,LEN(IF(F21="","","ebitda "&amp;IF(F21&lt;0,"-","+")&amp;TEXT(ABS(F21)*100,"0.0")&amp;"%"))&gt;0),", ","")&amp;IF(F21="","","ebitda "&amp;IF(F21&lt;0,"-","+")&amp;TEXT(ABS(F21)*100,"0.0")&amp;"%"))&gt;0,LEN(IF(G21="","","revenue "&amp;IF(G21&lt;0,"-","+")&amp;TEXT(ABS(G21)*100,"0.0")&amp;"%"))&gt;0),", ","")&amp;IF(G21="","","revenue "&amp;IF(G21&lt;0,"-","+")&amp;TEXT(ABS(G21)*100,"0.0")&amp;"%"))&gt;0,LEN(IF(H21="","","gross_margin "&amp;IF(H21&lt;0,"-","+")&amp;TEXT(ABS(H21)*100,"0.0")&amp;"%"))&gt;0),", ","")&amp;IF(H21="","","gross_margin "&amp;IF(H21&lt;0,"-","+")&amp;TEXT(ABS(H21)*100,"0.0")&amp;"%")&amp;" |")</f>
        <v/>
      </c>
      <c r="R21">
        <f>IF(Q21="","",ROW()-4)</f>
        <v/>
      </c>
    </row>
    <row r="22">
      <c r="A22" s="8" t="n"/>
      <c r="B22" s="8" t="n"/>
      <c r="C22" s="8" t="n"/>
      <c r="D22" s="19" t="n"/>
      <c r="E22" s="20" t="n"/>
      <c r="F22" s="20" t="n"/>
      <c r="G22" s="20" t="n"/>
      <c r="H22" s="20" t="n"/>
      <c r="I22" s="10" t="n"/>
      <c r="J22" s="10" t="n"/>
      <c r="K22" s="10" t="n"/>
      <c r="L22" s="10" t="n"/>
      <c r="M22" s="21">
        <f>IF(OR(E22="",I22="",E22=-1),"",I22/(1+E22))</f>
        <v/>
      </c>
      <c r="N22" s="21">
        <f>IF(OR(F22="",J22="",F22=-1),"",J22/(1+F22))</f>
        <v/>
      </c>
      <c r="O22" s="21">
        <f>IF(OR(G22="",K22="",G22=-1),"",K22/(1+G22))</f>
        <v/>
      </c>
      <c r="P22" s="21">
        <f>IF(OR(H22="",L22="",H22=-1),"",L22/(1+H22))</f>
        <v/>
      </c>
      <c r="Q22" s="6">
        <f>IF(OR(A22="",LOWER(C22)&lt;&gt;"y"),"","| "&amp;A22&amp;" | "&amp;TEXT(D22,"0.0000")&amp;" | "&amp;IF(E22="","","ending_cash "&amp;IF(E22&lt;0,"-","+")&amp;TEXT(ABS(E22)*100,"0.0")&amp;"%")&amp;IF(AND(LEN(IF(E22="","","ending_cash "&amp;IF(E22&lt;0,"-","+")&amp;TEXT(ABS(E22)*100,"0.0")&amp;"%"))&gt;0,LEN(IF(F22="","","ebitda "&amp;IF(F22&lt;0,"-","+")&amp;TEXT(ABS(F22)*100,"0.0")&amp;"%"))&gt;0),", ","")&amp;IF(F22="","","ebitda "&amp;IF(F22&lt;0,"-","+")&amp;TEXT(ABS(F22)*100,"0.0")&amp;"%")&amp;IF(AND(LEN(IF(E22="","","ending_cash "&amp;IF(E22&lt;0,"-","+")&amp;TEXT(ABS(E22)*100,"0.0")&amp;"%")&amp;IF(AND(LEN(IF(E22="","","ending_cash "&amp;IF(E22&lt;0,"-","+")&amp;TEXT(ABS(E22)*100,"0.0")&amp;"%"))&gt;0,LEN(IF(F22="","","ebitda "&amp;IF(F22&lt;0,"-","+")&amp;TEXT(ABS(F22)*100,"0.0")&amp;"%"))&gt;0),", ","")&amp;IF(F22="","","ebitda "&amp;IF(F22&lt;0,"-","+")&amp;TEXT(ABS(F22)*100,"0.0")&amp;"%"))&gt;0,LEN(IF(G22="","","revenue "&amp;IF(G22&lt;0,"-","+")&amp;TEXT(ABS(G22)*100,"0.0")&amp;"%"))&gt;0),", ","")&amp;IF(G22="","","revenue "&amp;IF(G22&lt;0,"-","+")&amp;TEXT(ABS(G22)*100,"0.0")&amp;"%")&amp;IF(AND(LEN(IF(E22="","","ending_cash "&amp;IF(E22&lt;0,"-","+")&amp;TEXT(ABS(E22)*100,"0.0")&amp;"%")&amp;IF(AND(LEN(IF(E22="","","ending_cash "&amp;IF(E22&lt;0,"-","+")&amp;TEXT(ABS(E22)*100,"0.0")&amp;"%"))&gt;0,LEN(IF(F22="","","ebitda "&amp;IF(F22&lt;0,"-","+")&amp;TEXT(ABS(F22)*100,"0.0")&amp;"%"))&gt;0),", ","")&amp;IF(F22="","","ebitda "&amp;IF(F22&lt;0,"-","+")&amp;TEXT(ABS(F22)*100,"0.0")&amp;"%")&amp;IF(AND(LEN(IF(E22="","","ending_cash "&amp;IF(E22&lt;0,"-","+")&amp;TEXT(ABS(E22)*100,"0.0")&amp;"%")&amp;IF(AND(LEN(IF(E22="","","ending_cash "&amp;IF(E22&lt;0,"-","+")&amp;TEXT(ABS(E22)*100,"0.0")&amp;"%"))&gt;0,LEN(IF(F22="","","ebitda "&amp;IF(F22&lt;0,"-","+")&amp;TEXT(ABS(F22)*100,"0.0")&amp;"%"))&gt;0),", ","")&amp;IF(F22="","","ebitda "&amp;IF(F22&lt;0,"-","+")&amp;TEXT(ABS(F22)*100,"0.0")&amp;"%"))&gt;0,LEN(IF(G22="","","revenue "&amp;IF(G22&lt;0,"-","+")&amp;TEXT(ABS(G22)*100,"0.0")&amp;"%"))&gt;0),", ","")&amp;IF(G22="","","revenue "&amp;IF(G22&lt;0,"-","+")&amp;TEXT(ABS(G22)*100,"0.0")&amp;"%"))&gt;0,LEN(IF(H22="","","gross_margin "&amp;IF(H22&lt;0,"-","+")&amp;TEXT(ABS(H22)*100,"0.0")&amp;"%"))&gt;0),", ","")&amp;IF(H22="","","gross_margin "&amp;IF(H22&lt;0,"-","+")&amp;TEXT(ABS(H22)*100,"0.0")&amp;"%")&amp;" |")</f>
        <v/>
      </c>
      <c r="R22">
        <f>IF(Q22="","",ROW()-4)</f>
        <v/>
      </c>
    </row>
    <row r="23">
      <c r="A23" s="8" t="n"/>
      <c r="B23" s="8" t="n"/>
      <c r="C23" s="8" t="n"/>
      <c r="D23" s="19" t="n"/>
      <c r="E23" s="20" t="n"/>
      <c r="F23" s="20" t="n"/>
      <c r="G23" s="20" t="n"/>
      <c r="H23" s="20" t="n"/>
      <c r="I23" s="10" t="n"/>
      <c r="J23" s="10" t="n"/>
      <c r="K23" s="10" t="n"/>
      <c r="L23" s="10" t="n"/>
      <c r="M23" s="21">
        <f>IF(OR(E23="",I23="",E23=-1),"",I23/(1+E23))</f>
        <v/>
      </c>
      <c r="N23" s="21">
        <f>IF(OR(F23="",J23="",F23=-1),"",J23/(1+F23))</f>
        <v/>
      </c>
      <c r="O23" s="21">
        <f>IF(OR(G23="",K23="",G23=-1),"",K23/(1+G23))</f>
        <v/>
      </c>
      <c r="P23" s="21">
        <f>IF(OR(H23="",L23="",H23=-1),"",L23/(1+H23))</f>
        <v/>
      </c>
      <c r="Q23" s="6">
        <f>IF(OR(A23="",LOWER(C23)&lt;&gt;"y"),"","| "&amp;A23&amp;" | "&amp;TEXT(D23,"0.0000")&amp;" | "&amp;IF(E23="","","ending_cash "&amp;IF(E23&lt;0,"-","+")&amp;TEXT(ABS(E23)*100,"0.0")&amp;"%")&amp;IF(AND(LEN(IF(E23="","","ending_cash "&amp;IF(E23&lt;0,"-","+")&amp;TEXT(ABS(E23)*100,"0.0")&amp;"%"))&gt;0,LEN(IF(F23="","","ebitda "&amp;IF(F23&lt;0,"-","+")&amp;TEXT(ABS(F23)*100,"0.0")&amp;"%"))&gt;0),", ","")&amp;IF(F23="","","ebitda "&amp;IF(F23&lt;0,"-","+")&amp;TEXT(ABS(F23)*100,"0.0")&amp;"%")&amp;IF(AND(LEN(IF(E23="","","ending_cash "&amp;IF(E23&lt;0,"-","+")&amp;TEXT(ABS(E23)*100,"0.0")&amp;"%")&amp;IF(AND(LEN(IF(E23="","","ending_cash "&amp;IF(E23&lt;0,"-","+")&amp;TEXT(ABS(E23)*100,"0.0")&amp;"%"))&gt;0,LEN(IF(F23="","","ebitda "&amp;IF(F23&lt;0,"-","+")&amp;TEXT(ABS(F23)*100,"0.0")&amp;"%"))&gt;0),", ","")&amp;IF(F23="","","ebitda "&amp;IF(F23&lt;0,"-","+")&amp;TEXT(ABS(F23)*100,"0.0")&amp;"%"))&gt;0,LEN(IF(G23="","","revenue "&amp;IF(G23&lt;0,"-","+")&amp;TEXT(ABS(G23)*100,"0.0")&amp;"%"))&gt;0),", ","")&amp;IF(G23="","","revenue "&amp;IF(G23&lt;0,"-","+")&amp;TEXT(ABS(G23)*100,"0.0")&amp;"%")&amp;IF(AND(LEN(IF(E23="","","ending_cash "&amp;IF(E23&lt;0,"-","+")&amp;TEXT(ABS(E23)*100,"0.0")&amp;"%")&amp;IF(AND(LEN(IF(E23="","","ending_cash "&amp;IF(E23&lt;0,"-","+")&amp;TEXT(ABS(E23)*100,"0.0")&amp;"%"))&gt;0,LEN(IF(F23="","","ebitda "&amp;IF(F23&lt;0,"-","+")&amp;TEXT(ABS(F23)*100,"0.0")&amp;"%"))&gt;0),", ","")&amp;IF(F23="","","ebitda "&amp;IF(F23&lt;0,"-","+")&amp;TEXT(ABS(F23)*100,"0.0")&amp;"%")&amp;IF(AND(LEN(IF(E23="","","ending_cash "&amp;IF(E23&lt;0,"-","+")&amp;TEXT(ABS(E23)*100,"0.0")&amp;"%")&amp;IF(AND(LEN(IF(E23="","","ending_cash "&amp;IF(E23&lt;0,"-","+")&amp;TEXT(ABS(E23)*100,"0.0")&amp;"%"))&gt;0,LEN(IF(F23="","","ebitda "&amp;IF(F23&lt;0,"-","+")&amp;TEXT(ABS(F23)*100,"0.0")&amp;"%"))&gt;0),", ","")&amp;IF(F23="","","ebitda "&amp;IF(F23&lt;0,"-","+")&amp;TEXT(ABS(F23)*100,"0.0")&amp;"%"))&gt;0,LEN(IF(G23="","","revenue "&amp;IF(G23&lt;0,"-","+")&amp;TEXT(ABS(G23)*100,"0.0")&amp;"%"))&gt;0),", ","")&amp;IF(G23="","","revenue "&amp;IF(G23&lt;0,"-","+")&amp;TEXT(ABS(G23)*100,"0.0")&amp;"%"))&gt;0,LEN(IF(H23="","","gross_margin "&amp;IF(H23&lt;0,"-","+")&amp;TEXT(ABS(H23)*100,"0.0")&amp;"%"))&gt;0),", ","")&amp;IF(H23="","","gross_margin "&amp;IF(H23&lt;0,"-","+")&amp;TEXT(ABS(H23)*100,"0.0")&amp;"%")&amp;" |")</f>
        <v/>
      </c>
      <c r="R23">
        <f>IF(Q23="","",ROW()-4)</f>
        <v/>
      </c>
    </row>
    <row r="24">
      <c r="A24" s="8" t="n"/>
      <c r="B24" s="8" t="n"/>
      <c r="C24" s="8" t="n"/>
      <c r="D24" s="19" t="n"/>
      <c r="E24" s="20" t="n"/>
      <c r="F24" s="20" t="n"/>
      <c r="G24" s="20" t="n"/>
      <c r="H24" s="20" t="n"/>
      <c r="I24" s="10" t="n"/>
      <c r="J24" s="10" t="n"/>
      <c r="K24" s="10" t="n"/>
      <c r="L24" s="10" t="n"/>
      <c r="M24" s="21">
        <f>IF(OR(E24="",I24="",E24=-1),"",I24/(1+E24))</f>
        <v/>
      </c>
      <c r="N24" s="21">
        <f>IF(OR(F24="",J24="",F24=-1),"",J24/(1+F24))</f>
        <v/>
      </c>
      <c r="O24" s="21">
        <f>IF(OR(G24="",K24="",G24=-1),"",K24/(1+G24))</f>
        <v/>
      </c>
      <c r="P24" s="21">
        <f>IF(OR(H24="",L24="",H24=-1),"",L24/(1+H24))</f>
        <v/>
      </c>
      <c r="Q24" s="6">
        <f>IF(OR(A24="",LOWER(C24)&lt;&gt;"y"),"","| "&amp;A24&amp;" | "&amp;TEXT(D24,"0.0000")&amp;" | "&amp;IF(E24="","","ending_cash "&amp;IF(E24&lt;0,"-","+")&amp;TEXT(ABS(E24)*100,"0.0")&amp;"%")&amp;IF(AND(LEN(IF(E24="","","ending_cash "&amp;IF(E24&lt;0,"-","+")&amp;TEXT(ABS(E24)*100,"0.0")&amp;"%"))&gt;0,LEN(IF(F24="","","ebitda "&amp;IF(F24&lt;0,"-","+")&amp;TEXT(ABS(F24)*100,"0.0")&amp;"%"))&gt;0),", ","")&amp;IF(F24="","","ebitda "&amp;IF(F24&lt;0,"-","+")&amp;TEXT(ABS(F24)*100,"0.0")&amp;"%")&amp;IF(AND(LEN(IF(E24="","","ending_cash "&amp;IF(E24&lt;0,"-","+")&amp;TEXT(ABS(E24)*100,"0.0")&amp;"%")&amp;IF(AND(LEN(IF(E24="","","ending_cash "&amp;IF(E24&lt;0,"-","+")&amp;TEXT(ABS(E24)*100,"0.0")&amp;"%"))&gt;0,LEN(IF(F24="","","ebitda "&amp;IF(F24&lt;0,"-","+")&amp;TEXT(ABS(F24)*100,"0.0")&amp;"%"))&gt;0),", ","")&amp;IF(F24="","","ebitda "&amp;IF(F24&lt;0,"-","+")&amp;TEXT(ABS(F24)*100,"0.0")&amp;"%"))&gt;0,LEN(IF(G24="","","revenue "&amp;IF(G24&lt;0,"-","+")&amp;TEXT(ABS(G24)*100,"0.0")&amp;"%"))&gt;0),", ","")&amp;IF(G24="","","revenue "&amp;IF(G24&lt;0,"-","+")&amp;TEXT(ABS(G24)*100,"0.0")&amp;"%")&amp;IF(AND(LEN(IF(E24="","","ending_cash "&amp;IF(E24&lt;0,"-","+")&amp;TEXT(ABS(E24)*100,"0.0")&amp;"%")&amp;IF(AND(LEN(IF(E24="","","ending_cash "&amp;IF(E24&lt;0,"-","+")&amp;TEXT(ABS(E24)*100,"0.0")&amp;"%"))&gt;0,LEN(IF(F24="","","ebitda "&amp;IF(F24&lt;0,"-","+")&amp;TEXT(ABS(F24)*100,"0.0")&amp;"%"))&gt;0),", ","")&amp;IF(F24="","","ebitda "&amp;IF(F24&lt;0,"-","+")&amp;TEXT(ABS(F24)*100,"0.0")&amp;"%")&amp;IF(AND(LEN(IF(E24="","","ending_cash "&amp;IF(E24&lt;0,"-","+")&amp;TEXT(ABS(E24)*100,"0.0")&amp;"%")&amp;IF(AND(LEN(IF(E24="","","ending_cash "&amp;IF(E24&lt;0,"-","+")&amp;TEXT(ABS(E24)*100,"0.0")&amp;"%"))&gt;0,LEN(IF(F24="","","ebitda "&amp;IF(F24&lt;0,"-","+")&amp;TEXT(ABS(F24)*100,"0.0")&amp;"%"))&gt;0),", ","")&amp;IF(F24="","","ebitda "&amp;IF(F24&lt;0,"-","+")&amp;TEXT(ABS(F24)*100,"0.0")&amp;"%"))&gt;0,LEN(IF(G24="","","revenue "&amp;IF(G24&lt;0,"-","+")&amp;TEXT(ABS(G24)*100,"0.0")&amp;"%"))&gt;0),", ","")&amp;IF(G24="","","revenue "&amp;IF(G24&lt;0,"-","+")&amp;TEXT(ABS(G24)*100,"0.0")&amp;"%"))&gt;0,LEN(IF(H24="","","gross_margin "&amp;IF(H24&lt;0,"-","+")&amp;TEXT(ABS(H24)*100,"0.0")&amp;"%"))&gt;0),", ","")&amp;IF(H24="","","gross_margin "&amp;IF(H24&lt;0,"-","+")&amp;TEXT(ABS(H24)*100,"0.0")&amp;"%")&amp;" |")</f>
        <v/>
      </c>
      <c r="R24">
        <f>IF(Q24="","",ROW()-4)</f>
        <v/>
      </c>
    </row>
    <row r="25">
      <c r="A25" s="8" t="n"/>
      <c r="B25" s="8" t="n"/>
      <c r="C25" s="8" t="n"/>
      <c r="D25" s="19" t="n"/>
      <c r="E25" s="20" t="n"/>
      <c r="F25" s="20" t="n"/>
      <c r="G25" s="20" t="n"/>
      <c r="H25" s="20" t="n"/>
      <c r="I25" s="10" t="n"/>
      <c r="J25" s="10" t="n"/>
      <c r="K25" s="10" t="n"/>
      <c r="L25" s="10" t="n"/>
      <c r="M25" s="21">
        <f>IF(OR(E25="",I25="",E25=-1),"",I25/(1+E25))</f>
        <v/>
      </c>
      <c r="N25" s="21">
        <f>IF(OR(F25="",J25="",F25=-1),"",J25/(1+F25))</f>
        <v/>
      </c>
      <c r="O25" s="21">
        <f>IF(OR(G25="",K25="",G25=-1),"",K25/(1+G25))</f>
        <v/>
      </c>
      <c r="P25" s="21">
        <f>IF(OR(H25="",L25="",H25=-1),"",L25/(1+H25))</f>
        <v/>
      </c>
      <c r="Q25" s="6">
        <f>IF(OR(A25="",LOWER(C25)&lt;&gt;"y"),"","| "&amp;A25&amp;" | "&amp;TEXT(D25,"0.0000")&amp;" | "&amp;IF(E25="","","ending_cash "&amp;IF(E25&lt;0,"-","+")&amp;TEXT(ABS(E25)*100,"0.0")&amp;"%")&amp;IF(AND(LEN(IF(E25="","","ending_cash "&amp;IF(E25&lt;0,"-","+")&amp;TEXT(ABS(E25)*100,"0.0")&amp;"%"))&gt;0,LEN(IF(F25="","","ebitda "&amp;IF(F25&lt;0,"-","+")&amp;TEXT(ABS(F25)*100,"0.0")&amp;"%"))&gt;0),", ","")&amp;IF(F25="","","ebitda "&amp;IF(F25&lt;0,"-","+")&amp;TEXT(ABS(F25)*100,"0.0")&amp;"%")&amp;IF(AND(LEN(IF(E25="","","ending_cash "&amp;IF(E25&lt;0,"-","+")&amp;TEXT(ABS(E25)*100,"0.0")&amp;"%")&amp;IF(AND(LEN(IF(E25="","","ending_cash "&amp;IF(E25&lt;0,"-","+")&amp;TEXT(ABS(E25)*100,"0.0")&amp;"%"))&gt;0,LEN(IF(F25="","","ebitda "&amp;IF(F25&lt;0,"-","+")&amp;TEXT(ABS(F25)*100,"0.0")&amp;"%"))&gt;0),", ","")&amp;IF(F25="","","ebitda "&amp;IF(F25&lt;0,"-","+")&amp;TEXT(ABS(F25)*100,"0.0")&amp;"%"))&gt;0,LEN(IF(G25="","","revenue "&amp;IF(G25&lt;0,"-","+")&amp;TEXT(ABS(G25)*100,"0.0")&amp;"%"))&gt;0),", ","")&amp;IF(G25="","","revenue "&amp;IF(G25&lt;0,"-","+")&amp;TEXT(ABS(G25)*100,"0.0")&amp;"%")&amp;IF(AND(LEN(IF(E25="","","ending_cash "&amp;IF(E25&lt;0,"-","+")&amp;TEXT(ABS(E25)*100,"0.0")&amp;"%")&amp;IF(AND(LEN(IF(E25="","","ending_cash "&amp;IF(E25&lt;0,"-","+")&amp;TEXT(ABS(E25)*100,"0.0")&amp;"%"))&gt;0,LEN(IF(F25="","","ebitda "&amp;IF(F25&lt;0,"-","+")&amp;TEXT(ABS(F25)*100,"0.0")&amp;"%"))&gt;0),", ","")&amp;IF(F25="","","ebitda "&amp;IF(F25&lt;0,"-","+")&amp;TEXT(ABS(F25)*100,"0.0")&amp;"%")&amp;IF(AND(LEN(IF(E25="","","ending_cash "&amp;IF(E25&lt;0,"-","+")&amp;TEXT(ABS(E25)*100,"0.0")&amp;"%")&amp;IF(AND(LEN(IF(E25="","","ending_cash "&amp;IF(E25&lt;0,"-","+")&amp;TEXT(ABS(E25)*100,"0.0")&amp;"%"))&gt;0,LEN(IF(F25="","","ebitda "&amp;IF(F25&lt;0,"-","+")&amp;TEXT(ABS(F25)*100,"0.0")&amp;"%"))&gt;0),", ","")&amp;IF(F25="","","ebitda "&amp;IF(F25&lt;0,"-","+")&amp;TEXT(ABS(F25)*100,"0.0")&amp;"%"))&gt;0,LEN(IF(G25="","","revenue "&amp;IF(G25&lt;0,"-","+")&amp;TEXT(ABS(G25)*100,"0.0")&amp;"%"))&gt;0),", ","")&amp;IF(G25="","","revenue "&amp;IF(G25&lt;0,"-","+")&amp;TEXT(ABS(G25)*100,"0.0")&amp;"%"))&gt;0,LEN(IF(H25="","","gross_margin "&amp;IF(H25&lt;0,"-","+")&amp;TEXT(ABS(H25)*100,"0.0")&amp;"%"))&gt;0),", ","")&amp;IF(H25="","","gross_margin "&amp;IF(H25&lt;0,"-","+")&amp;TEXT(ABS(H25)*100,"0.0")&amp;"%")&amp;" |")</f>
        <v/>
      </c>
      <c r="R25">
        <f>IF(Q25="","",ROW()-4)</f>
        <v/>
      </c>
    </row>
    <row r="26">
      <c r="A26" s="8" t="n"/>
      <c r="B26" s="8" t="n"/>
      <c r="C26" s="8" t="n"/>
      <c r="D26" s="19" t="n"/>
      <c r="E26" s="20" t="n"/>
      <c r="F26" s="20" t="n"/>
      <c r="G26" s="20" t="n"/>
      <c r="H26" s="20" t="n"/>
      <c r="I26" s="10" t="n"/>
      <c r="J26" s="10" t="n"/>
      <c r="K26" s="10" t="n"/>
      <c r="L26" s="10" t="n"/>
      <c r="M26" s="21">
        <f>IF(OR(E26="",I26="",E26=-1),"",I26/(1+E26))</f>
        <v/>
      </c>
      <c r="N26" s="21">
        <f>IF(OR(F26="",J26="",F26=-1),"",J26/(1+F26))</f>
        <v/>
      </c>
      <c r="O26" s="21">
        <f>IF(OR(G26="",K26="",G26=-1),"",K26/(1+G26))</f>
        <v/>
      </c>
      <c r="P26" s="21">
        <f>IF(OR(H26="",L26="",H26=-1),"",L26/(1+H26))</f>
        <v/>
      </c>
      <c r="Q26" s="6">
        <f>IF(OR(A26="",LOWER(C26)&lt;&gt;"y"),"","| "&amp;A26&amp;" | "&amp;TEXT(D26,"0.0000")&amp;" | "&amp;IF(E26="","","ending_cash "&amp;IF(E26&lt;0,"-","+")&amp;TEXT(ABS(E26)*100,"0.0")&amp;"%")&amp;IF(AND(LEN(IF(E26="","","ending_cash "&amp;IF(E26&lt;0,"-","+")&amp;TEXT(ABS(E26)*100,"0.0")&amp;"%"))&gt;0,LEN(IF(F26="","","ebitda "&amp;IF(F26&lt;0,"-","+")&amp;TEXT(ABS(F26)*100,"0.0")&amp;"%"))&gt;0),", ","")&amp;IF(F26="","","ebitda "&amp;IF(F26&lt;0,"-","+")&amp;TEXT(ABS(F26)*100,"0.0")&amp;"%")&amp;IF(AND(LEN(IF(E26="","","ending_cash "&amp;IF(E26&lt;0,"-","+")&amp;TEXT(ABS(E26)*100,"0.0")&amp;"%")&amp;IF(AND(LEN(IF(E26="","","ending_cash "&amp;IF(E26&lt;0,"-","+")&amp;TEXT(ABS(E26)*100,"0.0")&amp;"%"))&gt;0,LEN(IF(F26="","","ebitda "&amp;IF(F26&lt;0,"-","+")&amp;TEXT(ABS(F26)*100,"0.0")&amp;"%"))&gt;0),", ","")&amp;IF(F26="","","ebitda "&amp;IF(F26&lt;0,"-","+")&amp;TEXT(ABS(F26)*100,"0.0")&amp;"%"))&gt;0,LEN(IF(G26="","","revenue "&amp;IF(G26&lt;0,"-","+")&amp;TEXT(ABS(G26)*100,"0.0")&amp;"%"))&gt;0),", ","")&amp;IF(G26="","","revenue "&amp;IF(G26&lt;0,"-","+")&amp;TEXT(ABS(G26)*100,"0.0")&amp;"%")&amp;IF(AND(LEN(IF(E26="","","ending_cash "&amp;IF(E26&lt;0,"-","+")&amp;TEXT(ABS(E26)*100,"0.0")&amp;"%")&amp;IF(AND(LEN(IF(E26="","","ending_cash "&amp;IF(E26&lt;0,"-","+")&amp;TEXT(ABS(E26)*100,"0.0")&amp;"%"))&gt;0,LEN(IF(F26="","","ebitda "&amp;IF(F26&lt;0,"-","+")&amp;TEXT(ABS(F26)*100,"0.0")&amp;"%"))&gt;0),", ","")&amp;IF(F26="","","ebitda "&amp;IF(F26&lt;0,"-","+")&amp;TEXT(ABS(F26)*100,"0.0")&amp;"%")&amp;IF(AND(LEN(IF(E26="","","ending_cash "&amp;IF(E26&lt;0,"-","+")&amp;TEXT(ABS(E26)*100,"0.0")&amp;"%")&amp;IF(AND(LEN(IF(E26="","","ending_cash "&amp;IF(E26&lt;0,"-","+")&amp;TEXT(ABS(E26)*100,"0.0")&amp;"%"))&gt;0,LEN(IF(F26="","","ebitda "&amp;IF(F26&lt;0,"-","+")&amp;TEXT(ABS(F26)*100,"0.0")&amp;"%"))&gt;0),", ","")&amp;IF(F26="","","ebitda "&amp;IF(F26&lt;0,"-","+")&amp;TEXT(ABS(F26)*100,"0.0")&amp;"%"))&gt;0,LEN(IF(G26="","","revenue "&amp;IF(G26&lt;0,"-","+")&amp;TEXT(ABS(G26)*100,"0.0")&amp;"%"))&gt;0),", ","")&amp;IF(G26="","","revenue "&amp;IF(G26&lt;0,"-","+")&amp;TEXT(ABS(G26)*100,"0.0")&amp;"%"))&gt;0,LEN(IF(H26="","","gross_margin "&amp;IF(H26&lt;0,"-","+")&amp;TEXT(ABS(H26)*100,"0.0")&amp;"%"))&gt;0),", ","")&amp;IF(H26="","","gross_margin "&amp;IF(H26&lt;0,"-","+")&amp;TEXT(ABS(H26)*100,"0.0")&amp;"%")&amp;" |")</f>
        <v/>
      </c>
      <c r="R26">
        <f>IF(Q26="","",ROW()-4)</f>
        <v/>
      </c>
    </row>
    <row r="27">
      <c r="A27" s="8" t="n"/>
      <c r="B27" s="8" t="n"/>
      <c r="C27" s="8" t="n"/>
      <c r="D27" s="19" t="n"/>
      <c r="E27" s="20" t="n"/>
      <c r="F27" s="20" t="n"/>
      <c r="G27" s="20" t="n"/>
      <c r="H27" s="20" t="n"/>
      <c r="I27" s="10" t="n"/>
      <c r="J27" s="10" t="n"/>
      <c r="K27" s="10" t="n"/>
      <c r="L27" s="10" t="n"/>
      <c r="M27" s="21">
        <f>IF(OR(E27="",I27="",E27=-1),"",I27/(1+E27))</f>
        <v/>
      </c>
      <c r="N27" s="21">
        <f>IF(OR(F27="",J27="",F27=-1),"",J27/(1+F27))</f>
        <v/>
      </c>
      <c r="O27" s="21">
        <f>IF(OR(G27="",K27="",G27=-1),"",K27/(1+G27))</f>
        <v/>
      </c>
      <c r="P27" s="21">
        <f>IF(OR(H27="",L27="",H27=-1),"",L27/(1+H27))</f>
        <v/>
      </c>
      <c r="Q27" s="6">
        <f>IF(OR(A27="",LOWER(C27)&lt;&gt;"y"),"","| "&amp;A27&amp;" | "&amp;TEXT(D27,"0.0000")&amp;" | "&amp;IF(E27="","","ending_cash "&amp;IF(E27&lt;0,"-","+")&amp;TEXT(ABS(E27)*100,"0.0")&amp;"%")&amp;IF(AND(LEN(IF(E27="","","ending_cash "&amp;IF(E27&lt;0,"-","+")&amp;TEXT(ABS(E27)*100,"0.0")&amp;"%"))&gt;0,LEN(IF(F27="","","ebitda "&amp;IF(F27&lt;0,"-","+")&amp;TEXT(ABS(F27)*100,"0.0")&amp;"%"))&gt;0),", ","")&amp;IF(F27="","","ebitda "&amp;IF(F27&lt;0,"-","+")&amp;TEXT(ABS(F27)*100,"0.0")&amp;"%")&amp;IF(AND(LEN(IF(E27="","","ending_cash "&amp;IF(E27&lt;0,"-","+")&amp;TEXT(ABS(E27)*100,"0.0")&amp;"%")&amp;IF(AND(LEN(IF(E27="","","ending_cash "&amp;IF(E27&lt;0,"-","+")&amp;TEXT(ABS(E27)*100,"0.0")&amp;"%"))&gt;0,LEN(IF(F27="","","ebitda "&amp;IF(F27&lt;0,"-","+")&amp;TEXT(ABS(F27)*100,"0.0")&amp;"%"))&gt;0),", ","")&amp;IF(F27="","","ebitda "&amp;IF(F27&lt;0,"-","+")&amp;TEXT(ABS(F27)*100,"0.0")&amp;"%"))&gt;0,LEN(IF(G27="","","revenue "&amp;IF(G27&lt;0,"-","+")&amp;TEXT(ABS(G27)*100,"0.0")&amp;"%"))&gt;0),", ","")&amp;IF(G27="","","revenue "&amp;IF(G27&lt;0,"-","+")&amp;TEXT(ABS(G27)*100,"0.0")&amp;"%")&amp;IF(AND(LEN(IF(E27="","","ending_cash "&amp;IF(E27&lt;0,"-","+")&amp;TEXT(ABS(E27)*100,"0.0")&amp;"%")&amp;IF(AND(LEN(IF(E27="","","ending_cash "&amp;IF(E27&lt;0,"-","+")&amp;TEXT(ABS(E27)*100,"0.0")&amp;"%"))&gt;0,LEN(IF(F27="","","ebitda "&amp;IF(F27&lt;0,"-","+")&amp;TEXT(ABS(F27)*100,"0.0")&amp;"%"))&gt;0),", ","")&amp;IF(F27="","","ebitda "&amp;IF(F27&lt;0,"-","+")&amp;TEXT(ABS(F27)*100,"0.0")&amp;"%")&amp;IF(AND(LEN(IF(E27="","","ending_cash "&amp;IF(E27&lt;0,"-","+")&amp;TEXT(ABS(E27)*100,"0.0")&amp;"%")&amp;IF(AND(LEN(IF(E27="","","ending_cash "&amp;IF(E27&lt;0,"-","+")&amp;TEXT(ABS(E27)*100,"0.0")&amp;"%"))&gt;0,LEN(IF(F27="","","ebitda "&amp;IF(F27&lt;0,"-","+")&amp;TEXT(ABS(F27)*100,"0.0")&amp;"%"))&gt;0),", ","")&amp;IF(F27="","","ebitda "&amp;IF(F27&lt;0,"-","+")&amp;TEXT(ABS(F27)*100,"0.0")&amp;"%"))&gt;0,LEN(IF(G27="","","revenue "&amp;IF(G27&lt;0,"-","+")&amp;TEXT(ABS(G27)*100,"0.0")&amp;"%"))&gt;0),", ","")&amp;IF(G27="","","revenue "&amp;IF(G27&lt;0,"-","+")&amp;TEXT(ABS(G27)*100,"0.0")&amp;"%"))&gt;0,LEN(IF(H27="","","gross_margin "&amp;IF(H27&lt;0,"-","+")&amp;TEXT(ABS(H27)*100,"0.0")&amp;"%"))&gt;0),", ","")&amp;IF(H27="","","gross_margin "&amp;IF(H27&lt;0,"-","+")&amp;TEXT(ABS(H27)*100,"0.0")&amp;"%")&amp;" |")</f>
        <v/>
      </c>
      <c r="R27">
        <f>IF(Q27="","",ROW()-4)</f>
        <v/>
      </c>
    </row>
    <row r="28">
      <c r="A28" s="8" t="n"/>
      <c r="B28" s="8" t="n"/>
      <c r="C28" s="8" t="n"/>
      <c r="D28" s="19" t="n"/>
      <c r="E28" s="20" t="n"/>
      <c r="F28" s="20" t="n"/>
      <c r="G28" s="20" t="n"/>
      <c r="H28" s="20" t="n"/>
      <c r="I28" s="10" t="n"/>
      <c r="J28" s="10" t="n"/>
      <c r="K28" s="10" t="n"/>
      <c r="L28" s="10" t="n"/>
      <c r="M28" s="21">
        <f>IF(OR(E28="",I28="",E28=-1),"",I28/(1+E28))</f>
        <v/>
      </c>
      <c r="N28" s="21">
        <f>IF(OR(F28="",J28="",F28=-1),"",J28/(1+F28))</f>
        <v/>
      </c>
      <c r="O28" s="21">
        <f>IF(OR(G28="",K28="",G28=-1),"",K28/(1+G28))</f>
        <v/>
      </c>
      <c r="P28" s="21">
        <f>IF(OR(H28="",L28="",H28=-1),"",L28/(1+H28))</f>
        <v/>
      </c>
      <c r="Q28" s="6">
        <f>IF(OR(A28="",LOWER(C28)&lt;&gt;"y"),"","| "&amp;A28&amp;" | "&amp;TEXT(D28,"0.0000")&amp;" | "&amp;IF(E28="","","ending_cash "&amp;IF(E28&lt;0,"-","+")&amp;TEXT(ABS(E28)*100,"0.0")&amp;"%")&amp;IF(AND(LEN(IF(E28="","","ending_cash "&amp;IF(E28&lt;0,"-","+")&amp;TEXT(ABS(E28)*100,"0.0")&amp;"%"))&gt;0,LEN(IF(F28="","","ebitda "&amp;IF(F28&lt;0,"-","+")&amp;TEXT(ABS(F28)*100,"0.0")&amp;"%"))&gt;0),", ","")&amp;IF(F28="","","ebitda "&amp;IF(F28&lt;0,"-","+")&amp;TEXT(ABS(F28)*100,"0.0")&amp;"%")&amp;IF(AND(LEN(IF(E28="","","ending_cash "&amp;IF(E28&lt;0,"-","+")&amp;TEXT(ABS(E28)*100,"0.0")&amp;"%")&amp;IF(AND(LEN(IF(E28="","","ending_cash "&amp;IF(E28&lt;0,"-","+")&amp;TEXT(ABS(E28)*100,"0.0")&amp;"%"))&gt;0,LEN(IF(F28="","","ebitda "&amp;IF(F28&lt;0,"-","+")&amp;TEXT(ABS(F28)*100,"0.0")&amp;"%"))&gt;0),", ","")&amp;IF(F28="","","ebitda "&amp;IF(F28&lt;0,"-","+")&amp;TEXT(ABS(F28)*100,"0.0")&amp;"%"))&gt;0,LEN(IF(G28="","","revenue "&amp;IF(G28&lt;0,"-","+")&amp;TEXT(ABS(G28)*100,"0.0")&amp;"%"))&gt;0),", ","")&amp;IF(G28="","","revenue "&amp;IF(G28&lt;0,"-","+")&amp;TEXT(ABS(G28)*100,"0.0")&amp;"%")&amp;IF(AND(LEN(IF(E28="","","ending_cash "&amp;IF(E28&lt;0,"-","+")&amp;TEXT(ABS(E28)*100,"0.0")&amp;"%")&amp;IF(AND(LEN(IF(E28="","","ending_cash "&amp;IF(E28&lt;0,"-","+")&amp;TEXT(ABS(E28)*100,"0.0")&amp;"%"))&gt;0,LEN(IF(F28="","","ebitda "&amp;IF(F28&lt;0,"-","+")&amp;TEXT(ABS(F28)*100,"0.0")&amp;"%"))&gt;0),", ","")&amp;IF(F28="","","ebitda "&amp;IF(F28&lt;0,"-","+")&amp;TEXT(ABS(F28)*100,"0.0")&amp;"%")&amp;IF(AND(LEN(IF(E28="","","ending_cash "&amp;IF(E28&lt;0,"-","+")&amp;TEXT(ABS(E28)*100,"0.0")&amp;"%")&amp;IF(AND(LEN(IF(E28="","","ending_cash "&amp;IF(E28&lt;0,"-","+")&amp;TEXT(ABS(E28)*100,"0.0")&amp;"%"))&gt;0,LEN(IF(F28="","","ebitda "&amp;IF(F28&lt;0,"-","+")&amp;TEXT(ABS(F28)*100,"0.0")&amp;"%"))&gt;0),", ","")&amp;IF(F28="","","ebitda "&amp;IF(F28&lt;0,"-","+")&amp;TEXT(ABS(F28)*100,"0.0")&amp;"%"))&gt;0,LEN(IF(G28="","","revenue "&amp;IF(G28&lt;0,"-","+")&amp;TEXT(ABS(G28)*100,"0.0")&amp;"%"))&gt;0),", ","")&amp;IF(G28="","","revenue "&amp;IF(G28&lt;0,"-","+")&amp;TEXT(ABS(G28)*100,"0.0")&amp;"%"))&gt;0,LEN(IF(H28="","","gross_margin "&amp;IF(H28&lt;0,"-","+")&amp;TEXT(ABS(H28)*100,"0.0")&amp;"%"))&gt;0),", ","")&amp;IF(H28="","","gross_margin "&amp;IF(H28&lt;0,"-","+")&amp;TEXT(ABS(H28)*100,"0.0")&amp;"%")&amp;" |")</f>
        <v/>
      </c>
      <c r="R28">
        <f>IF(Q28="","",ROW()-4)</f>
        <v/>
      </c>
    </row>
    <row r="29">
      <c r="A29" s="8" t="n"/>
      <c r="B29" s="8" t="n"/>
      <c r="C29" s="8" t="n"/>
      <c r="D29" s="19" t="n"/>
      <c r="E29" s="20" t="n"/>
      <c r="F29" s="20" t="n"/>
      <c r="G29" s="20" t="n"/>
      <c r="H29" s="20" t="n"/>
      <c r="I29" s="10" t="n"/>
      <c r="J29" s="10" t="n"/>
      <c r="K29" s="10" t="n"/>
      <c r="L29" s="10" t="n"/>
      <c r="M29" s="21">
        <f>IF(OR(E29="",I29="",E29=-1),"",I29/(1+E29))</f>
        <v/>
      </c>
      <c r="N29" s="21">
        <f>IF(OR(F29="",J29="",F29=-1),"",J29/(1+F29))</f>
        <v/>
      </c>
      <c r="O29" s="21">
        <f>IF(OR(G29="",K29="",G29=-1),"",K29/(1+G29))</f>
        <v/>
      </c>
      <c r="P29" s="21">
        <f>IF(OR(H29="",L29="",H29=-1),"",L29/(1+H29))</f>
        <v/>
      </c>
      <c r="Q29" s="6">
        <f>IF(OR(A29="",LOWER(C29)&lt;&gt;"y"),"","| "&amp;A29&amp;" | "&amp;TEXT(D29,"0.0000")&amp;" | "&amp;IF(E29="","","ending_cash "&amp;IF(E29&lt;0,"-","+")&amp;TEXT(ABS(E29)*100,"0.0")&amp;"%")&amp;IF(AND(LEN(IF(E29="","","ending_cash "&amp;IF(E29&lt;0,"-","+")&amp;TEXT(ABS(E29)*100,"0.0")&amp;"%"))&gt;0,LEN(IF(F29="","","ebitda "&amp;IF(F29&lt;0,"-","+")&amp;TEXT(ABS(F29)*100,"0.0")&amp;"%"))&gt;0),", ","")&amp;IF(F29="","","ebitda "&amp;IF(F29&lt;0,"-","+")&amp;TEXT(ABS(F29)*100,"0.0")&amp;"%")&amp;IF(AND(LEN(IF(E29="","","ending_cash "&amp;IF(E29&lt;0,"-","+")&amp;TEXT(ABS(E29)*100,"0.0")&amp;"%")&amp;IF(AND(LEN(IF(E29="","","ending_cash "&amp;IF(E29&lt;0,"-","+")&amp;TEXT(ABS(E29)*100,"0.0")&amp;"%"))&gt;0,LEN(IF(F29="","","ebitda "&amp;IF(F29&lt;0,"-","+")&amp;TEXT(ABS(F29)*100,"0.0")&amp;"%"))&gt;0),", ","")&amp;IF(F29="","","ebitda "&amp;IF(F29&lt;0,"-","+")&amp;TEXT(ABS(F29)*100,"0.0")&amp;"%"))&gt;0,LEN(IF(G29="","","revenue "&amp;IF(G29&lt;0,"-","+")&amp;TEXT(ABS(G29)*100,"0.0")&amp;"%"))&gt;0),", ","")&amp;IF(G29="","","revenue "&amp;IF(G29&lt;0,"-","+")&amp;TEXT(ABS(G29)*100,"0.0")&amp;"%")&amp;IF(AND(LEN(IF(E29="","","ending_cash "&amp;IF(E29&lt;0,"-","+")&amp;TEXT(ABS(E29)*100,"0.0")&amp;"%")&amp;IF(AND(LEN(IF(E29="","","ending_cash "&amp;IF(E29&lt;0,"-","+")&amp;TEXT(ABS(E29)*100,"0.0")&amp;"%"))&gt;0,LEN(IF(F29="","","ebitda "&amp;IF(F29&lt;0,"-","+")&amp;TEXT(ABS(F29)*100,"0.0")&amp;"%"))&gt;0),", ","")&amp;IF(F29="","","ebitda "&amp;IF(F29&lt;0,"-","+")&amp;TEXT(ABS(F29)*100,"0.0")&amp;"%")&amp;IF(AND(LEN(IF(E29="","","ending_cash "&amp;IF(E29&lt;0,"-","+")&amp;TEXT(ABS(E29)*100,"0.0")&amp;"%")&amp;IF(AND(LEN(IF(E29="","","ending_cash "&amp;IF(E29&lt;0,"-","+")&amp;TEXT(ABS(E29)*100,"0.0")&amp;"%"))&gt;0,LEN(IF(F29="","","ebitda "&amp;IF(F29&lt;0,"-","+")&amp;TEXT(ABS(F29)*100,"0.0")&amp;"%"))&gt;0),", ","")&amp;IF(F29="","","ebitda "&amp;IF(F29&lt;0,"-","+")&amp;TEXT(ABS(F29)*100,"0.0")&amp;"%"))&gt;0,LEN(IF(G29="","","revenue "&amp;IF(G29&lt;0,"-","+")&amp;TEXT(ABS(G29)*100,"0.0")&amp;"%"))&gt;0),", ","")&amp;IF(G29="","","revenue "&amp;IF(G29&lt;0,"-","+")&amp;TEXT(ABS(G29)*100,"0.0")&amp;"%"))&gt;0,LEN(IF(H29="","","gross_margin "&amp;IF(H29&lt;0,"-","+")&amp;TEXT(ABS(H29)*100,"0.0")&amp;"%"))&gt;0),", ","")&amp;IF(H29="","","gross_margin "&amp;IF(H29&lt;0,"-","+")&amp;TEXT(ABS(H29)*100,"0.0")&amp;"%")&amp;" |")</f>
        <v/>
      </c>
      <c r="R29">
        <f>IF(Q29="","",ROW()-4)</f>
        <v/>
      </c>
    </row>
    <row r="30">
      <c r="A30" s="8" t="n"/>
      <c r="B30" s="8" t="n"/>
      <c r="C30" s="8" t="n"/>
      <c r="D30" s="19" t="n"/>
      <c r="E30" s="20" t="n"/>
      <c r="F30" s="20" t="n"/>
      <c r="G30" s="20" t="n"/>
      <c r="H30" s="20" t="n"/>
      <c r="I30" s="10" t="n"/>
      <c r="J30" s="10" t="n"/>
      <c r="K30" s="10" t="n"/>
      <c r="L30" s="10" t="n"/>
      <c r="M30" s="21">
        <f>IF(OR(E30="",I30="",E30=-1),"",I30/(1+E30))</f>
        <v/>
      </c>
      <c r="N30" s="21">
        <f>IF(OR(F30="",J30="",F30=-1),"",J30/(1+F30))</f>
        <v/>
      </c>
      <c r="O30" s="21">
        <f>IF(OR(G30="",K30="",G30=-1),"",K30/(1+G30))</f>
        <v/>
      </c>
      <c r="P30" s="21">
        <f>IF(OR(H30="",L30="",H30=-1),"",L30/(1+H30))</f>
        <v/>
      </c>
      <c r="Q30" s="6">
        <f>IF(OR(A30="",LOWER(C30)&lt;&gt;"y"),"","| "&amp;A30&amp;" | "&amp;TEXT(D30,"0.0000")&amp;" | "&amp;IF(E30="","","ending_cash "&amp;IF(E30&lt;0,"-","+")&amp;TEXT(ABS(E30)*100,"0.0")&amp;"%")&amp;IF(AND(LEN(IF(E30="","","ending_cash "&amp;IF(E30&lt;0,"-","+")&amp;TEXT(ABS(E30)*100,"0.0")&amp;"%"))&gt;0,LEN(IF(F30="","","ebitda "&amp;IF(F30&lt;0,"-","+")&amp;TEXT(ABS(F30)*100,"0.0")&amp;"%"))&gt;0),", ","")&amp;IF(F30="","","ebitda "&amp;IF(F30&lt;0,"-","+")&amp;TEXT(ABS(F30)*100,"0.0")&amp;"%")&amp;IF(AND(LEN(IF(E30="","","ending_cash "&amp;IF(E30&lt;0,"-","+")&amp;TEXT(ABS(E30)*100,"0.0")&amp;"%")&amp;IF(AND(LEN(IF(E30="","","ending_cash "&amp;IF(E30&lt;0,"-","+")&amp;TEXT(ABS(E30)*100,"0.0")&amp;"%"))&gt;0,LEN(IF(F30="","","ebitda "&amp;IF(F30&lt;0,"-","+")&amp;TEXT(ABS(F30)*100,"0.0")&amp;"%"))&gt;0),", ","")&amp;IF(F30="","","ebitda "&amp;IF(F30&lt;0,"-","+")&amp;TEXT(ABS(F30)*100,"0.0")&amp;"%"))&gt;0,LEN(IF(G30="","","revenue "&amp;IF(G30&lt;0,"-","+")&amp;TEXT(ABS(G30)*100,"0.0")&amp;"%"))&gt;0),", ","")&amp;IF(G30="","","revenue "&amp;IF(G30&lt;0,"-","+")&amp;TEXT(ABS(G30)*100,"0.0")&amp;"%")&amp;IF(AND(LEN(IF(E30="","","ending_cash "&amp;IF(E30&lt;0,"-","+")&amp;TEXT(ABS(E30)*100,"0.0")&amp;"%")&amp;IF(AND(LEN(IF(E30="","","ending_cash "&amp;IF(E30&lt;0,"-","+")&amp;TEXT(ABS(E30)*100,"0.0")&amp;"%"))&gt;0,LEN(IF(F30="","","ebitda "&amp;IF(F30&lt;0,"-","+")&amp;TEXT(ABS(F30)*100,"0.0")&amp;"%"))&gt;0),", ","")&amp;IF(F30="","","ebitda "&amp;IF(F30&lt;0,"-","+")&amp;TEXT(ABS(F30)*100,"0.0")&amp;"%")&amp;IF(AND(LEN(IF(E30="","","ending_cash "&amp;IF(E30&lt;0,"-","+")&amp;TEXT(ABS(E30)*100,"0.0")&amp;"%")&amp;IF(AND(LEN(IF(E30="","","ending_cash "&amp;IF(E30&lt;0,"-","+")&amp;TEXT(ABS(E30)*100,"0.0")&amp;"%"))&gt;0,LEN(IF(F30="","","ebitda "&amp;IF(F30&lt;0,"-","+")&amp;TEXT(ABS(F30)*100,"0.0")&amp;"%"))&gt;0),", ","")&amp;IF(F30="","","ebitda "&amp;IF(F30&lt;0,"-","+")&amp;TEXT(ABS(F30)*100,"0.0")&amp;"%"))&gt;0,LEN(IF(G30="","","revenue "&amp;IF(G30&lt;0,"-","+")&amp;TEXT(ABS(G30)*100,"0.0")&amp;"%"))&gt;0),", ","")&amp;IF(G30="","","revenue "&amp;IF(G30&lt;0,"-","+")&amp;TEXT(ABS(G30)*100,"0.0")&amp;"%"))&gt;0,LEN(IF(H30="","","gross_margin "&amp;IF(H30&lt;0,"-","+")&amp;TEXT(ABS(H30)*100,"0.0")&amp;"%"))&gt;0),", ","")&amp;IF(H30="","","gross_margin "&amp;IF(H30&lt;0,"-","+")&amp;TEXT(ABS(H30)*100,"0.0")&amp;"%")&amp;" |")</f>
        <v/>
      </c>
      <c r="R30">
        <f>IF(Q30="","",ROW()-4)</f>
        <v/>
      </c>
    </row>
    <row r="31">
      <c r="A31" s="8" t="n"/>
      <c r="B31" s="8" t="n"/>
      <c r="C31" s="8" t="n"/>
      <c r="D31" s="19" t="n"/>
      <c r="E31" s="20" t="n"/>
      <c r="F31" s="20" t="n"/>
      <c r="G31" s="20" t="n"/>
      <c r="H31" s="20" t="n"/>
      <c r="I31" s="10" t="n"/>
      <c r="J31" s="10" t="n"/>
      <c r="K31" s="10" t="n"/>
      <c r="L31" s="10" t="n"/>
      <c r="M31" s="21">
        <f>IF(OR(E31="",I31="",E31=-1),"",I31/(1+E31))</f>
        <v/>
      </c>
      <c r="N31" s="21">
        <f>IF(OR(F31="",J31="",F31=-1),"",J31/(1+F31))</f>
        <v/>
      </c>
      <c r="O31" s="21">
        <f>IF(OR(G31="",K31="",G31=-1),"",K31/(1+G31))</f>
        <v/>
      </c>
      <c r="P31" s="21">
        <f>IF(OR(H31="",L31="",H31=-1),"",L31/(1+H31))</f>
        <v/>
      </c>
      <c r="Q31" s="6">
        <f>IF(OR(A31="",LOWER(C31)&lt;&gt;"y"),"","| "&amp;A31&amp;" | "&amp;TEXT(D31,"0.0000")&amp;" | "&amp;IF(E31="","","ending_cash "&amp;IF(E31&lt;0,"-","+")&amp;TEXT(ABS(E31)*100,"0.0")&amp;"%")&amp;IF(AND(LEN(IF(E31="","","ending_cash "&amp;IF(E31&lt;0,"-","+")&amp;TEXT(ABS(E31)*100,"0.0")&amp;"%"))&gt;0,LEN(IF(F31="","","ebitda "&amp;IF(F31&lt;0,"-","+")&amp;TEXT(ABS(F31)*100,"0.0")&amp;"%"))&gt;0),", ","")&amp;IF(F31="","","ebitda "&amp;IF(F31&lt;0,"-","+")&amp;TEXT(ABS(F31)*100,"0.0")&amp;"%")&amp;IF(AND(LEN(IF(E31="","","ending_cash "&amp;IF(E31&lt;0,"-","+")&amp;TEXT(ABS(E31)*100,"0.0")&amp;"%")&amp;IF(AND(LEN(IF(E31="","","ending_cash "&amp;IF(E31&lt;0,"-","+")&amp;TEXT(ABS(E31)*100,"0.0")&amp;"%"))&gt;0,LEN(IF(F31="","","ebitda "&amp;IF(F31&lt;0,"-","+")&amp;TEXT(ABS(F31)*100,"0.0")&amp;"%"))&gt;0),", ","")&amp;IF(F31="","","ebitda "&amp;IF(F31&lt;0,"-","+")&amp;TEXT(ABS(F31)*100,"0.0")&amp;"%"))&gt;0,LEN(IF(G31="","","revenue "&amp;IF(G31&lt;0,"-","+")&amp;TEXT(ABS(G31)*100,"0.0")&amp;"%"))&gt;0),", ","")&amp;IF(G31="","","revenue "&amp;IF(G31&lt;0,"-","+")&amp;TEXT(ABS(G31)*100,"0.0")&amp;"%")&amp;IF(AND(LEN(IF(E31="","","ending_cash "&amp;IF(E31&lt;0,"-","+")&amp;TEXT(ABS(E31)*100,"0.0")&amp;"%")&amp;IF(AND(LEN(IF(E31="","","ending_cash "&amp;IF(E31&lt;0,"-","+")&amp;TEXT(ABS(E31)*100,"0.0")&amp;"%"))&gt;0,LEN(IF(F31="","","ebitda "&amp;IF(F31&lt;0,"-","+")&amp;TEXT(ABS(F31)*100,"0.0")&amp;"%"))&gt;0),", ","")&amp;IF(F31="","","ebitda "&amp;IF(F31&lt;0,"-","+")&amp;TEXT(ABS(F31)*100,"0.0")&amp;"%")&amp;IF(AND(LEN(IF(E31="","","ending_cash "&amp;IF(E31&lt;0,"-","+")&amp;TEXT(ABS(E31)*100,"0.0")&amp;"%")&amp;IF(AND(LEN(IF(E31="","","ending_cash "&amp;IF(E31&lt;0,"-","+")&amp;TEXT(ABS(E31)*100,"0.0")&amp;"%"))&gt;0,LEN(IF(F31="","","ebitda "&amp;IF(F31&lt;0,"-","+")&amp;TEXT(ABS(F31)*100,"0.0")&amp;"%"))&gt;0),", ","")&amp;IF(F31="","","ebitda "&amp;IF(F31&lt;0,"-","+")&amp;TEXT(ABS(F31)*100,"0.0")&amp;"%"))&gt;0,LEN(IF(G31="","","revenue "&amp;IF(G31&lt;0,"-","+")&amp;TEXT(ABS(G31)*100,"0.0")&amp;"%"))&gt;0),", ","")&amp;IF(G31="","","revenue "&amp;IF(G31&lt;0,"-","+")&amp;TEXT(ABS(G31)*100,"0.0")&amp;"%"))&gt;0,LEN(IF(H31="","","gross_margin "&amp;IF(H31&lt;0,"-","+")&amp;TEXT(ABS(H31)*100,"0.0")&amp;"%"))&gt;0),", ","")&amp;IF(H31="","","gross_margin "&amp;IF(H31&lt;0,"-","+")&amp;TEXT(ABS(H31)*100,"0.0")&amp;"%")&amp;" |")</f>
        <v/>
      </c>
      <c r="R31">
        <f>IF(Q31="","",ROW()-4)</f>
        <v/>
      </c>
    </row>
    <row r="32">
      <c r="A32" s="8" t="n"/>
      <c r="B32" s="8" t="n"/>
      <c r="C32" s="8" t="n"/>
      <c r="D32" s="19" t="n"/>
      <c r="E32" s="20" t="n"/>
      <c r="F32" s="20" t="n"/>
      <c r="G32" s="20" t="n"/>
      <c r="H32" s="20" t="n"/>
      <c r="I32" s="10" t="n"/>
      <c r="J32" s="10" t="n"/>
      <c r="K32" s="10" t="n"/>
      <c r="L32" s="10" t="n"/>
      <c r="M32" s="21">
        <f>IF(OR(E32="",I32="",E32=-1),"",I32/(1+E32))</f>
        <v/>
      </c>
      <c r="N32" s="21">
        <f>IF(OR(F32="",J32="",F32=-1),"",J32/(1+F32))</f>
        <v/>
      </c>
      <c r="O32" s="21">
        <f>IF(OR(G32="",K32="",G32=-1),"",K32/(1+G32))</f>
        <v/>
      </c>
      <c r="P32" s="21">
        <f>IF(OR(H32="",L32="",H32=-1),"",L32/(1+H32))</f>
        <v/>
      </c>
      <c r="Q32" s="6">
        <f>IF(OR(A32="",LOWER(C32)&lt;&gt;"y"),"","| "&amp;A32&amp;" | "&amp;TEXT(D32,"0.0000")&amp;" | "&amp;IF(E32="","","ending_cash "&amp;IF(E32&lt;0,"-","+")&amp;TEXT(ABS(E32)*100,"0.0")&amp;"%")&amp;IF(AND(LEN(IF(E32="","","ending_cash "&amp;IF(E32&lt;0,"-","+")&amp;TEXT(ABS(E32)*100,"0.0")&amp;"%"))&gt;0,LEN(IF(F32="","","ebitda "&amp;IF(F32&lt;0,"-","+")&amp;TEXT(ABS(F32)*100,"0.0")&amp;"%"))&gt;0),", ","")&amp;IF(F32="","","ebitda "&amp;IF(F32&lt;0,"-","+")&amp;TEXT(ABS(F32)*100,"0.0")&amp;"%")&amp;IF(AND(LEN(IF(E32="","","ending_cash "&amp;IF(E32&lt;0,"-","+")&amp;TEXT(ABS(E32)*100,"0.0")&amp;"%")&amp;IF(AND(LEN(IF(E32="","","ending_cash "&amp;IF(E32&lt;0,"-","+")&amp;TEXT(ABS(E32)*100,"0.0")&amp;"%"))&gt;0,LEN(IF(F32="","","ebitda "&amp;IF(F32&lt;0,"-","+")&amp;TEXT(ABS(F32)*100,"0.0")&amp;"%"))&gt;0),", ","")&amp;IF(F32="","","ebitda "&amp;IF(F32&lt;0,"-","+")&amp;TEXT(ABS(F32)*100,"0.0")&amp;"%"))&gt;0,LEN(IF(G32="","","revenue "&amp;IF(G32&lt;0,"-","+")&amp;TEXT(ABS(G32)*100,"0.0")&amp;"%"))&gt;0),", ","")&amp;IF(G32="","","revenue "&amp;IF(G32&lt;0,"-","+")&amp;TEXT(ABS(G32)*100,"0.0")&amp;"%")&amp;IF(AND(LEN(IF(E32="","","ending_cash "&amp;IF(E32&lt;0,"-","+")&amp;TEXT(ABS(E32)*100,"0.0")&amp;"%")&amp;IF(AND(LEN(IF(E32="","","ending_cash "&amp;IF(E32&lt;0,"-","+")&amp;TEXT(ABS(E32)*100,"0.0")&amp;"%"))&gt;0,LEN(IF(F32="","","ebitda "&amp;IF(F32&lt;0,"-","+")&amp;TEXT(ABS(F32)*100,"0.0")&amp;"%"))&gt;0),", ","")&amp;IF(F32="","","ebitda "&amp;IF(F32&lt;0,"-","+")&amp;TEXT(ABS(F32)*100,"0.0")&amp;"%")&amp;IF(AND(LEN(IF(E32="","","ending_cash "&amp;IF(E32&lt;0,"-","+")&amp;TEXT(ABS(E32)*100,"0.0")&amp;"%")&amp;IF(AND(LEN(IF(E32="","","ending_cash "&amp;IF(E32&lt;0,"-","+")&amp;TEXT(ABS(E32)*100,"0.0")&amp;"%"))&gt;0,LEN(IF(F32="","","ebitda "&amp;IF(F32&lt;0,"-","+")&amp;TEXT(ABS(F32)*100,"0.0")&amp;"%"))&gt;0),", ","")&amp;IF(F32="","","ebitda "&amp;IF(F32&lt;0,"-","+")&amp;TEXT(ABS(F32)*100,"0.0")&amp;"%"))&gt;0,LEN(IF(G32="","","revenue "&amp;IF(G32&lt;0,"-","+")&amp;TEXT(ABS(G32)*100,"0.0")&amp;"%"))&gt;0),", ","")&amp;IF(G32="","","revenue "&amp;IF(G32&lt;0,"-","+")&amp;TEXT(ABS(G32)*100,"0.0")&amp;"%"))&gt;0,LEN(IF(H32="","","gross_margin "&amp;IF(H32&lt;0,"-","+")&amp;TEXT(ABS(H32)*100,"0.0")&amp;"%"))&gt;0),", ","")&amp;IF(H32="","","gross_margin "&amp;IF(H32&lt;0,"-","+")&amp;TEXT(ABS(H32)*100,"0.0")&amp;"%")&amp;" |")</f>
        <v/>
      </c>
      <c r="R32">
        <f>IF(Q32="","",ROW()-4)</f>
        <v/>
      </c>
    </row>
    <row r="33">
      <c r="A33" s="8" t="n"/>
      <c r="B33" s="8" t="n"/>
      <c r="C33" s="8" t="n"/>
      <c r="D33" s="19" t="n"/>
      <c r="E33" s="20" t="n"/>
      <c r="F33" s="20" t="n"/>
      <c r="G33" s="20" t="n"/>
      <c r="H33" s="20" t="n"/>
      <c r="I33" s="10" t="n"/>
      <c r="J33" s="10" t="n"/>
      <c r="K33" s="10" t="n"/>
      <c r="L33" s="10" t="n"/>
      <c r="M33" s="21">
        <f>IF(OR(E33="",I33="",E33=-1),"",I33/(1+E33))</f>
        <v/>
      </c>
      <c r="N33" s="21">
        <f>IF(OR(F33="",J33="",F33=-1),"",J33/(1+F33))</f>
        <v/>
      </c>
      <c r="O33" s="21">
        <f>IF(OR(G33="",K33="",G33=-1),"",K33/(1+G33))</f>
        <v/>
      </c>
      <c r="P33" s="21">
        <f>IF(OR(H33="",L33="",H33=-1),"",L33/(1+H33))</f>
        <v/>
      </c>
      <c r="Q33" s="6">
        <f>IF(OR(A33="",LOWER(C33)&lt;&gt;"y"),"","| "&amp;A33&amp;" | "&amp;TEXT(D33,"0.0000")&amp;" | "&amp;IF(E33="","","ending_cash "&amp;IF(E33&lt;0,"-","+")&amp;TEXT(ABS(E33)*100,"0.0")&amp;"%")&amp;IF(AND(LEN(IF(E33="","","ending_cash "&amp;IF(E33&lt;0,"-","+")&amp;TEXT(ABS(E33)*100,"0.0")&amp;"%"))&gt;0,LEN(IF(F33="","","ebitda "&amp;IF(F33&lt;0,"-","+")&amp;TEXT(ABS(F33)*100,"0.0")&amp;"%"))&gt;0),", ","")&amp;IF(F33="","","ebitda "&amp;IF(F33&lt;0,"-","+")&amp;TEXT(ABS(F33)*100,"0.0")&amp;"%")&amp;IF(AND(LEN(IF(E33="","","ending_cash "&amp;IF(E33&lt;0,"-","+")&amp;TEXT(ABS(E33)*100,"0.0")&amp;"%")&amp;IF(AND(LEN(IF(E33="","","ending_cash "&amp;IF(E33&lt;0,"-","+")&amp;TEXT(ABS(E33)*100,"0.0")&amp;"%"))&gt;0,LEN(IF(F33="","","ebitda "&amp;IF(F33&lt;0,"-","+")&amp;TEXT(ABS(F33)*100,"0.0")&amp;"%"))&gt;0),", ","")&amp;IF(F33="","","ebitda "&amp;IF(F33&lt;0,"-","+")&amp;TEXT(ABS(F33)*100,"0.0")&amp;"%"))&gt;0,LEN(IF(G33="","","revenue "&amp;IF(G33&lt;0,"-","+")&amp;TEXT(ABS(G33)*100,"0.0")&amp;"%"))&gt;0),", ","")&amp;IF(G33="","","revenue "&amp;IF(G33&lt;0,"-","+")&amp;TEXT(ABS(G33)*100,"0.0")&amp;"%")&amp;IF(AND(LEN(IF(E33="","","ending_cash "&amp;IF(E33&lt;0,"-","+")&amp;TEXT(ABS(E33)*100,"0.0")&amp;"%")&amp;IF(AND(LEN(IF(E33="","","ending_cash "&amp;IF(E33&lt;0,"-","+")&amp;TEXT(ABS(E33)*100,"0.0")&amp;"%"))&gt;0,LEN(IF(F33="","","ebitda "&amp;IF(F33&lt;0,"-","+")&amp;TEXT(ABS(F33)*100,"0.0")&amp;"%"))&gt;0),", ","")&amp;IF(F33="","","ebitda "&amp;IF(F33&lt;0,"-","+")&amp;TEXT(ABS(F33)*100,"0.0")&amp;"%")&amp;IF(AND(LEN(IF(E33="","","ending_cash "&amp;IF(E33&lt;0,"-","+")&amp;TEXT(ABS(E33)*100,"0.0")&amp;"%")&amp;IF(AND(LEN(IF(E33="","","ending_cash "&amp;IF(E33&lt;0,"-","+")&amp;TEXT(ABS(E33)*100,"0.0")&amp;"%"))&gt;0,LEN(IF(F33="","","ebitda "&amp;IF(F33&lt;0,"-","+")&amp;TEXT(ABS(F33)*100,"0.0")&amp;"%"))&gt;0),", ","")&amp;IF(F33="","","ebitda "&amp;IF(F33&lt;0,"-","+")&amp;TEXT(ABS(F33)*100,"0.0")&amp;"%"))&gt;0,LEN(IF(G33="","","revenue "&amp;IF(G33&lt;0,"-","+")&amp;TEXT(ABS(G33)*100,"0.0")&amp;"%"))&gt;0),", ","")&amp;IF(G33="","","revenue "&amp;IF(G33&lt;0,"-","+")&amp;TEXT(ABS(G33)*100,"0.0")&amp;"%"))&gt;0,LEN(IF(H33="","","gross_margin "&amp;IF(H33&lt;0,"-","+")&amp;TEXT(ABS(H33)*100,"0.0")&amp;"%"))&gt;0),", ","")&amp;IF(H33="","","gross_margin "&amp;IF(H33&lt;0,"-","+")&amp;TEXT(ABS(H33)*100,"0.0")&amp;"%")&amp;" |")</f>
        <v/>
      </c>
      <c r="R33">
        <f>IF(Q33="","",ROW()-4)</f>
        <v/>
      </c>
    </row>
    <row r="34">
      <c r="A34" s="8" t="n"/>
      <c r="B34" s="8" t="n"/>
      <c r="C34" s="8" t="n"/>
      <c r="D34" s="19" t="n"/>
      <c r="E34" s="20" t="n"/>
      <c r="F34" s="20" t="n"/>
      <c r="G34" s="20" t="n"/>
      <c r="H34" s="20" t="n"/>
      <c r="I34" s="10" t="n"/>
      <c r="J34" s="10" t="n"/>
      <c r="K34" s="10" t="n"/>
      <c r="L34" s="10" t="n"/>
      <c r="M34" s="21">
        <f>IF(OR(E34="",I34="",E34=-1),"",I34/(1+E34))</f>
        <v/>
      </c>
      <c r="N34" s="21">
        <f>IF(OR(F34="",J34="",F34=-1),"",J34/(1+F34))</f>
        <v/>
      </c>
      <c r="O34" s="21">
        <f>IF(OR(G34="",K34="",G34=-1),"",K34/(1+G34))</f>
        <v/>
      </c>
      <c r="P34" s="21">
        <f>IF(OR(H34="",L34="",H34=-1),"",L34/(1+H34))</f>
        <v/>
      </c>
      <c r="Q34" s="6">
        <f>IF(OR(A34="",LOWER(C34)&lt;&gt;"y"),"","| "&amp;A34&amp;" | "&amp;TEXT(D34,"0.0000")&amp;" | "&amp;IF(E34="","","ending_cash "&amp;IF(E34&lt;0,"-","+")&amp;TEXT(ABS(E34)*100,"0.0")&amp;"%")&amp;IF(AND(LEN(IF(E34="","","ending_cash "&amp;IF(E34&lt;0,"-","+")&amp;TEXT(ABS(E34)*100,"0.0")&amp;"%"))&gt;0,LEN(IF(F34="","","ebitda "&amp;IF(F34&lt;0,"-","+")&amp;TEXT(ABS(F34)*100,"0.0")&amp;"%"))&gt;0),", ","")&amp;IF(F34="","","ebitda "&amp;IF(F34&lt;0,"-","+")&amp;TEXT(ABS(F34)*100,"0.0")&amp;"%")&amp;IF(AND(LEN(IF(E34="","","ending_cash "&amp;IF(E34&lt;0,"-","+")&amp;TEXT(ABS(E34)*100,"0.0")&amp;"%")&amp;IF(AND(LEN(IF(E34="","","ending_cash "&amp;IF(E34&lt;0,"-","+")&amp;TEXT(ABS(E34)*100,"0.0")&amp;"%"))&gt;0,LEN(IF(F34="","","ebitda "&amp;IF(F34&lt;0,"-","+")&amp;TEXT(ABS(F34)*100,"0.0")&amp;"%"))&gt;0),", ","")&amp;IF(F34="","","ebitda "&amp;IF(F34&lt;0,"-","+")&amp;TEXT(ABS(F34)*100,"0.0")&amp;"%"))&gt;0,LEN(IF(G34="","","revenue "&amp;IF(G34&lt;0,"-","+")&amp;TEXT(ABS(G34)*100,"0.0")&amp;"%"))&gt;0),", ","")&amp;IF(G34="","","revenue "&amp;IF(G34&lt;0,"-","+")&amp;TEXT(ABS(G34)*100,"0.0")&amp;"%")&amp;IF(AND(LEN(IF(E34="","","ending_cash "&amp;IF(E34&lt;0,"-","+")&amp;TEXT(ABS(E34)*100,"0.0")&amp;"%")&amp;IF(AND(LEN(IF(E34="","","ending_cash "&amp;IF(E34&lt;0,"-","+")&amp;TEXT(ABS(E34)*100,"0.0")&amp;"%"))&gt;0,LEN(IF(F34="","","ebitda "&amp;IF(F34&lt;0,"-","+")&amp;TEXT(ABS(F34)*100,"0.0")&amp;"%"))&gt;0),", ","")&amp;IF(F34="","","ebitda "&amp;IF(F34&lt;0,"-","+")&amp;TEXT(ABS(F34)*100,"0.0")&amp;"%")&amp;IF(AND(LEN(IF(E34="","","ending_cash "&amp;IF(E34&lt;0,"-","+")&amp;TEXT(ABS(E34)*100,"0.0")&amp;"%")&amp;IF(AND(LEN(IF(E34="","","ending_cash "&amp;IF(E34&lt;0,"-","+")&amp;TEXT(ABS(E34)*100,"0.0")&amp;"%"))&gt;0,LEN(IF(F34="","","ebitda "&amp;IF(F34&lt;0,"-","+")&amp;TEXT(ABS(F34)*100,"0.0")&amp;"%"))&gt;0),", ","")&amp;IF(F34="","","ebitda "&amp;IF(F34&lt;0,"-","+")&amp;TEXT(ABS(F34)*100,"0.0")&amp;"%"))&gt;0,LEN(IF(G34="","","revenue "&amp;IF(G34&lt;0,"-","+")&amp;TEXT(ABS(G34)*100,"0.0")&amp;"%"))&gt;0),", ","")&amp;IF(G34="","","revenue "&amp;IF(G34&lt;0,"-","+")&amp;TEXT(ABS(G34)*100,"0.0")&amp;"%"))&gt;0,LEN(IF(H34="","","gross_margin "&amp;IF(H34&lt;0,"-","+")&amp;TEXT(ABS(H34)*100,"0.0")&amp;"%"))&gt;0),", ","")&amp;IF(H34="","","gross_margin "&amp;IF(H34&lt;0,"-","+")&amp;TEXT(ABS(H34)*100,"0.0")&amp;"%")&amp;" |")</f>
        <v/>
      </c>
      <c r="R34">
        <f>IF(Q34="","",ROW()-4)</f>
        <v/>
      </c>
    </row>
    <row r="35">
      <c r="A35" s="8" t="n"/>
      <c r="B35" s="8" t="n"/>
      <c r="C35" s="8" t="n"/>
      <c r="D35" s="19" t="n"/>
      <c r="E35" s="20" t="n"/>
      <c r="F35" s="20" t="n"/>
      <c r="G35" s="20" t="n"/>
      <c r="H35" s="20" t="n"/>
      <c r="I35" s="10" t="n"/>
      <c r="J35" s="10" t="n"/>
      <c r="K35" s="10" t="n"/>
      <c r="L35" s="10" t="n"/>
      <c r="M35" s="21">
        <f>IF(OR(E35="",I35="",E35=-1),"",I35/(1+E35))</f>
        <v/>
      </c>
      <c r="N35" s="21">
        <f>IF(OR(F35="",J35="",F35=-1),"",J35/(1+F35))</f>
        <v/>
      </c>
      <c r="O35" s="21">
        <f>IF(OR(G35="",K35="",G35=-1),"",K35/(1+G35))</f>
        <v/>
      </c>
      <c r="P35" s="21">
        <f>IF(OR(H35="",L35="",H35=-1),"",L35/(1+H35))</f>
        <v/>
      </c>
      <c r="Q35" s="6">
        <f>IF(OR(A35="",LOWER(C35)&lt;&gt;"y"),"","| "&amp;A35&amp;" | "&amp;TEXT(D35,"0.0000")&amp;" | "&amp;IF(E35="","","ending_cash "&amp;IF(E35&lt;0,"-","+")&amp;TEXT(ABS(E35)*100,"0.0")&amp;"%")&amp;IF(AND(LEN(IF(E35="","","ending_cash "&amp;IF(E35&lt;0,"-","+")&amp;TEXT(ABS(E35)*100,"0.0")&amp;"%"))&gt;0,LEN(IF(F35="","","ebitda "&amp;IF(F35&lt;0,"-","+")&amp;TEXT(ABS(F35)*100,"0.0")&amp;"%"))&gt;0),", ","")&amp;IF(F35="","","ebitda "&amp;IF(F35&lt;0,"-","+")&amp;TEXT(ABS(F35)*100,"0.0")&amp;"%")&amp;IF(AND(LEN(IF(E35="","","ending_cash "&amp;IF(E35&lt;0,"-","+")&amp;TEXT(ABS(E35)*100,"0.0")&amp;"%")&amp;IF(AND(LEN(IF(E35="","","ending_cash "&amp;IF(E35&lt;0,"-","+")&amp;TEXT(ABS(E35)*100,"0.0")&amp;"%"))&gt;0,LEN(IF(F35="","","ebitda "&amp;IF(F35&lt;0,"-","+")&amp;TEXT(ABS(F35)*100,"0.0")&amp;"%"))&gt;0),", ","")&amp;IF(F35="","","ebitda "&amp;IF(F35&lt;0,"-","+")&amp;TEXT(ABS(F35)*100,"0.0")&amp;"%"))&gt;0,LEN(IF(G35="","","revenue "&amp;IF(G35&lt;0,"-","+")&amp;TEXT(ABS(G35)*100,"0.0")&amp;"%"))&gt;0),", ","")&amp;IF(G35="","","revenue "&amp;IF(G35&lt;0,"-","+")&amp;TEXT(ABS(G35)*100,"0.0")&amp;"%")&amp;IF(AND(LEN(IF(E35="","","ending_cash "&amp;IF(E35&lt;0,"-","+")&amp;TEXT(ABS(E35)*100,"0.0")&amp;"%")&amp;IF(AND(LEN(IF(E35="","","ending_cash "&amp;IF(E35&lt;0,"-","+")&amp;TEXT(ABS(E35)*100,"0.0")&amp;"%"))&gt;0,LEN(IF(F35="","","ebitda "&amp;IF(F35&lt;0,"-","+")&amp;TEXT(ABS(F35)*100,"0.0")&amp;"%"))&gt;0),", ","")&amp;IF(F35="","","ebitda "&amp;IF(F35&lt;0,"-","+")&amp;TEXT(ABS(F35)*100,"0.0")&amp;"%")&amp;IF(AND(LEN(IF(E35="","","ending_cash "&amp;IF(E35&lt;0,"-","+")&amp;TEXT(ABS(E35)*100,"0.0")&amp;"%")&amp;IF(AND(LEN(IF(E35="","","ending_cash "&amp;IF(E35&lt;0,"-","+")&amp;TEXT(ABS(E35)*100,"0.0")&amp;"%"))&gt;0,LEN(IF(F35="","","ebitda "&amp;IF(F35&lt;0,"-","+")&amp;TEXT(ABS(F35)*100,"0.0")&amp;"%"))&gt;0),", ","")&amp;IF(F35="","","ebitda "&amp;IF(F35&lt;0,"-","+")&amp;TEXT(ABS(F35)*100,"0.0")&amp;"%"))&gt;0,LEN(IF(G35="","","revenue "&amp;IF(G35&lt;0,"-","+")&amp;TEXT(ABS(G35)*100,"0.0")&amp;"%"))&gt;0),", ","")&amp;IF(G35="","","revenue "&amp;IF(G35&lt;0,"-","+")&amp;TEXT(ABS(G35)*100,"0.0")&amp;"%"))&gt;0,LEN(IF(H35="","","gross_margin "&amp;IF(H35&lt;0,"-","+")&amp;TEXT(ABS(H35)*100,"0.0")&amp;"%"))&gt;0),", ","")&amp;IF(H35="","","gross_margin "&amp;IF(H35&lt;0,"-","+")&amp;TEXT(ABS(H35)*100,"0.0")&amp;"%")&amp;" |")</f>
        <v/>
      </c>
      <c r="R35">
        <f>IF(Q35="","",ROW()-4)</f>
        <v/>
      </c>
    </row>
    <row r="36">
      <c r="A36" s="8" t="n"/>
      <c r="B36" s="8" t="n"/>
      <c r="C36" s="8" t="n"/>
      <c r="D36" s="19" t="n"/>
      <c r="E36" s="20" t="n"/>
      <c r="F36" s="20" t="n"/>
      <c r="G36" s="20" t="n"/>
      <c r="H36" s="20" t="n"/>
      <c r="I36" s="10" t="n"/>
      <c r="J36" s="10" t="n"/>
      <c r="K36" s="10" t="n"/>
      <c r="L36" s="10" t="n"/>
      <c r="M36" s="21">
        <f>IF(OR(E36="",I36="",E36=-1),"",I36/(1+E36))</f>
        <v/>
      </c>
      <c r="N36" s="21">
        <f>IF(OR(F36="",J36="",F36=-1),"",J36/(1+F36))</f>
        <v/>
      </c>
      <c r="O36" s="21">
        <f>IF(OR(G36="",K36="",G36=-1),"",K36/(1+G36))</f>
        <v/>
      </c>
      <c r="P36" s="21">
        <f>IF(OR(H36="",L36="",H36=-1),"",L36/(1+H36))</f>
        <v/>
      </c>
      <c r="Q36" s="6">
        <f>IF(OR(A36="",LOWER(C36)&lt;&gt;"y"),"","| "&amp;A36&amp;" | "&amp;TEXT(D36,"0.0000")&amp;" | "&amp;IF(E36="","","ending_cash "&amp;IF(E36&lt;0,"-","+")&amp;TEXT(ABS(E36)*100,"0.0")&amp;"%")&amp;IF(AND(LEN(IF(E36="","","ending_cash "&amp;IF(E36&lt;0,"-","+")&amp;TEXT(ABS(E36)*100,"0.0")&amp;"%"))&gt;0,LEN(IF(F36="","","ebitda "&amp;IF(F36&lt;0,"-","+")&amp;TEXT(ABS(F36)*100,"0.0")&amp;"%"))&gt;0),", ","")&amp;IF(F36="","","ebitda "&amp;IF(F36&lt;0,"-","+")&amp;TEXT(ABS(F36)*100,"0.0")&amp;"%")&amp;IF(AND(LEN(IF(E36="","","ending_cash "&amp;IF(E36&lt;0,"-","+")&amp;TEXT(ABS(E36)*100,"0.0")&amp;"%")&amp;IF(AND(LEN(IF(E36="","","ending_cash "&amp;IF(E36&lt;0,"-","+")&amp;TEXT(ABS(E36)*100,"0.0")&amp;"%"))&gt;0,LEN(IF(F36="","","ebitda "&amp;IF(F36&lt;0,"-","+")&amp;TEXT(ABS(F36)*100,"0.0")&amp;"%"))&gt;0),", ","")&amp;IF(F36="","","ebitda "&amp;IF(F36&lt;0,"-","+")&amp;TEXT(ABS(F36)*100,"0.0")&amp;"%"))&gt;0,LEN(IF(G36="","","revenue "&amp;IF(G36&lt;0,"-","+")&amp;TEXT(ABS(G36)*100,"0.0")&amp;"%"))&gt;0),", ","")&amp;IF(G36="","","revenue "&amp;IF(G36&lt;0,"-","+")&amp;TEXT(ABS(G36)*100,"0.0")&amp;"%")&amp;IF(AND(LEN(IF(E36="","","ending_cash "&amp;IF(E36&lt;0,"-","+")&amp;TEXT(ABS(E36)*100,"0.0")&amp;"%")&amp;IF(AND(LEN(IF(E36="","","ending_cash "&amp;IF(E36&lt;0,"-","+")&amp;TEXT(ABS(E36)*100,"0.0")&amp;"%"))&gt;0,LEN(IF(F36="","","ebitda "&amp;IF(F36&lt;0,"-","+")&amp;TEXT(ABS(F36)*100,"0.0")&amp;"%"))&gt;0),", ","")&amp;IF(F36="","","ebitda "&amp;IF(F36&lt;0,"-","+")&amp;TEXT(ABS(F36)*100,"0.0")&amp;"%")&amp;IF(AND(LEN(IF(E36="","","ending_cash "&amp;IF(E36&lt;0,"-","+")&amp;TEXT(ABS(E36)*100,"0.0")&amp;"%")&amp;IF(AND(LEN(IF(E36="","","ending_cash "&amp;IF(E36&lt;0,"-","+")&amp;TEXT(ABS(E36)*100,"0.0")&amp;"%"))&gt;0,LEN(IF(F36="","","ebitda "&amp;IF(F36&lt;0,"-","+")&amp;TEXT(ABS(F36)*100,"0.0")&amp;"%"))&gt;0),", ","")&amp;IF(F36="","","ebitda "&amp;IF(F36&lt;0,"-","+")&amp;TEXT(ABS(F36)*100,"0.0")&amp;"%"))&gt;0,LEN(IF(G36="","","revenue "&amp;IF(G36&lt;0,"-","+")&amp;TEXT(ABS(G36)*100,"0.0")&amp;"%"))&gt;0),", ","")&amp;IF(G36="","","revenue "&amp;IF(G36&lt;0,"-","+")&amp;TEXT(ABS(G36)*100,"0.0")&amp;"%"))&gt;0,LEN(IF(H36="","","gross_margin "&amp;IF(H36&lt;0,"-","+")&amp;TEXT(ABS(H36)*100,"0.0")&amp;"%"))&gt;0),", ","")&amp;IF(H36="","","gross_margin "&amp;IF(H36&lt;0,"-","+")&amp;TEXT(ABS(H36)*100,"0.0")&amp;"%")&amp;" |")</f>
        <v/>
      </c>
      <c r="R36">
        <f>IF(Q36="","",ROW()-4)</f>
        <v/>
      </c>
    </row>
    <row r="37">
      <c r="A37" s="8" t="n"/>
      <c r="B37" s="8" t="n"/>
      <c r="C37" s="8" t="n"/>
      <c r="D37" s="19" t="n"/>
      <c r="E37" s="20" t="n"/>
      <c r="F37" s="20" t="n"/>
      <c r="G37" s="20" t="n"/>
      <c r="H37" s="20" t="n"/>
      <c r="I37" s="10" t="n"/>
      <c r="J37" s="10" t="n"/>
      <c r="K37" s="10" t="n"/>
      <c r="L37" s="10" t="n"/>
      <c r="M37" s="21">
        <f>IF(OR(E37="",I37="",E37=-1),"",I37/(1+E37))</f>
        <v/>
      </c>
      <c r="N37" s="21">
        <f>IF(OR(F37="",J37="",F37=-1),"",J37/(1+F37))</f>
        <v/>
      </c>
      <c r="O37" s="21">
        <f>IF(OR(G37="",K37="",G37=-1),"",K37/(1+G37))</f>
        <v/>
      </c>
      <c r="P37" s="21">
        <f>IF(OR(H37="",L37="",H37=-1),"",L37/(1+H37))</f>
        <v/>
      </c>
      <c r="Q37" s="6">
        <f>IF(OR(A37="",LOWER(C37)&lt;&gt;"y"),"","| "&amp;A37&amp;" | "&amp;TEXT(D37,"0.0000")&amp;" | "&amp;IF(E37="","","ending_cash "&amp;IF(E37&lt;0,"-","+")&amp;TEXT(ABS(E37)*100,"0.0")&amp;"%")&amp;IF(AND(LEN(IF(E37="","","ending_cash "&amp;IF(E37&lt;0,"-","+")&amp;TEXT(ABS(E37)*100,"0.0")&amp;"%"))&gt;0,LEN(IF(F37="","","ebitda "&amp;IF(F37&lt;0,"-","+")&amp;TEXT(ABS(F37)*100,"0.0")&amp;"%"))&gt;0),", ","")&amp;IF(F37="","","ebitda "&amp;IF(F37&lt;0,"-","+")&amp;TEXT(ABS(F37)*100,"0.0")&amp;"%")&amp;IF(AND(LEN(IF(E37="","","ending_cash "&amp;IF(E37&lt;0,"-","+")&amp;TEXT(ABS(E37)*100,"0.0")&amp;"%")&amp;IF(AND(LEN(IF(E37="","","ending_cash "&amp;IF(E37&lt;0,"-","+")&amp;TEXT(ABS(E37)*100,"0.0")&amp;"%"))&gt;0,LEN(IF(F37="","","ebitda "&amp;IF(F37&lt;0,"-","+")&amp;TEXT(ABS(F37)*100,"0.0")&amp;"%"))&gt;0),", ","")&amp;IF(F37="","","ebitda "&amp;IF(F37&lt;0,"-","+")&amp;TEXT(ABS(F37)*100,"0.0")&amp;"%"))&gt;0,LEN(IF(G37="","","revenue "&amp;IF(G37&lt;0,"-","+")&amp;TEXT(ABS(G37)*100,"0.0")&amp;"%"))&gt;0),", ","")&amp;IF(G37="","","revenue "&amp;IF(G37&lt;0,"-","+")&amp;TEXT(ABS(G37)*100,"0.0")&amp;"%")&amp;IF(AND(LEN(IF(E37="","","ending_cash "&amp;IF(E37&lt;0,"-","+")&amp;TEXT(ABS(E37)*100,"0.0")&amp;"%")&amp;IF(AND(LEN(IF(E37="","","ending_cash "&amp;IF(E37&lt;0,"-","+")&amp;TEXT(ABS(E37)*100,"0.0")&amp;"%"))&gt;0,LEN(IF(F37="","","ebitda "&amp;IF(F37&lt;0,"-","+")&amp;TEXT(ABS(F37)*100,"0.0")&amp;"%"))&gt;0),", ","")&amp;IF(F37="","","ebitda "&amp;IF(F37&lt;0,"-","+")&amp;TEXT(ABS(F37)*100,"0.0")&amp;"%")&amp;IF(AND(LEN(IF(E37="","","ending_cash "&amp;IF(E37&lt;0,"-","+")&amp;TEXT(ABS(E37)*100,"0.0")&amp;"%")&amp;IF(AND(LEN(IF(E37="","","ending_cash "&amp;IF(E37&lt;0,"-","+")&amp;TEXT(ABS(E37)*100,"0.0")&amp;"%"))&gt;0,LEN(IF(F37="","","ebitda "&amp;IF(F37&lt;0,"-","+")&amp;TEXT(ABS(F37)*100,"0.0")&amp;"%"))&gt;0),", ","")&amp;IF(F37="","","ebitda "&amp;IF(F37&lt;0,"-","+")&amp;TEXT(ABS(F37)*100,"0.0")&amp;"%"))&gt;0,LEN(IF(G37="","","revenue "&amp;IF(G37&lt;0,"-","+")&amp;TEXT(ABS(G37)*100,"0.0")&amp;"%"))&gt;0),", ","")&amp;IF(G37="","","revenue "&amp;IF(G37&lt;0,"-","+")&amp;TEXT(ABS(G37)*100,"0.0")&amp;"%"))&gt;0,LEN(IF(H37="","","gross_margin "&amp;IF(H37&lt;0,"-","+")&amp;TEXT(ABS(H37)*100,"0.0")&amp;"%"))&gt;0),", ","")&amp;IF(H37="","","gross_margin "&amp;IF(H37&lt;0,"-","+")&amp;TEXT(ABS(H37)*100,"0.0")&amp;"%")&amp;" |")</f>
        <v/>
      </c>
      <c r="R37">
        <f>IF(Q37="","",ROW()-4)</f>
        <v/>
      </c>
    </row>
    <row r="38">
      <c r="A38" s="8" t="n"/>
      <c r="B38" s="8" t="n"/>
      <c r="C38" s="8" t="n"/>
      <c r="D38" s="19" t="n"/>
      <c r="E38" s="20" t="n"/>
      <c r="F38" s="20" t="n"/>
      <c r="G38" s="20" t="n"/>
      <c r="H38" s="20" t="n"/>
      <c r="I38" s="10" t="n"/>
      <c r="J38" s="10" t="n"/>
      <c r="K38" s="10" t="n"/>
      <c r="L38" s="10" t="n"/>
      <c r="M38" s="21">
        <f>IF(OR(E38="",I38="",E38=-1),"",I38/(1+E38))</f>
        <v/>
      </c>
      <c r="N38" s="21">
        <f>IF(OR(F38="",J38="",F38=-1),"",J38/(1+F38))</f>
        <v/>
      </c>
      <c r="O38" s="21">
        <f>IF(OR(G38="",K38="",G38=-1),"",K38/(1+G38))</f>
        <v/>
      </c>
      <c r="P38" s="21">
        <f>IF(OR(H38="",L38="",H38=-1),"",L38/(1+H38))</f>
        <v/>
      </c>
      <c r="Q38" s="6">
        <f>IF(OR(A38="",LOWER(C38)&lt;&gt;"y"),"","| "&amp;A38&amp;" | "&amp;TEXT(D38,"0.0000")&amp;" | "&amp;IF(E38="","","ending_cash "&amp;IF(E38&lt;0,"-","+")&amp;TEXT(ABS(E38)*100,"0.0")&amp;"%")&amp;IF(AND(LEN(IF(E38="","","ending_cash "&amp;IF(E38&lt;0,"-","+")&amp;TEXT(ABS(E38)*100,"0.0")&amp;"%"))&gt;0,LEN(IF(F38="","","ebitda "&amp;IF(F38&lt;0,"-","+")&amp;TEXT(ABS(F38)*100,"0.0")&amp;"%"))&gt;0),", ","")&amp;IF(F38="","","ebitda "&amp;IF(F38&lt;0,"-","+")&amp;TEXT(ABS(F38)*100,"0.0")&amp;"%")&amp;IF(AND(LEN(IF(E38="","","ending_cash "&amp;IF(E38&lt;0,"-","+")&amp;TEXT(ABS(E38)*100,"0.0")&amp;"%")&amp;IF(AND(LEN(IF(E38="","","ending_cash "&amp;IF(E38&lt;0,"-","+")&amp;TEXT(ABS(E38)*100,"0.0")&amp;"%"))&gt;0,LEN(IF(F38="","","ebitda "&amp;IF(F38&lt;0,"-","+")&amp;TEXT(ABS(F38)*100,"0.0")&amp;"%"))&gt;0),", ","")&amp;IF(F38="","","ebitda "&amp;IF(F38&lt;0,"-","+")&amp;TEXT(ABS(F38)*100,"0.0")&amp;"%"))&gt;0,LEN(IF(G38="","","revenue "&amp;IF(G38&lt;0,"-","+")&amp;TEXT(ABS(G38)*100,"0.0")&amp;"%"))&gt;0),", ","")&amp;IF(G38="","","revenue "&amp;IF(G38&lt;0,"-","+")&amp;TEXT(ABS(G38)*100,"0.0")&amp;"%")&amp;IF(AND(LEN(IF(E38="","","ending_cash "&amp;IF(E38&lt;0,"-","+")&amp;TEXT(ABS(E38)*100,"0.0")&amp;"%")&amp;IF(AND(LEN(IF(E38="","","ending_cash "&amp;IF(E38&lt;0,"-","+")&amp;TEXT(ABS(E38)*100,"0.0")&amp;"%"))&gt;0,LEN(IF(F38="","","ebitda "&amp;IF(F38&lt;0,"-","+")&amp;TEXT(ABS(F38)*100,"0.0")&amp;"%"))&gt;0),", ","")&amp;IF(F38="","","ebitda "&amp;IF(F38&lt;0,"-","+")&amp;TEXT(ABS(F38)*100,"0.0")&amp;"%")&amp;IF(AND(LEN(IF(E38="","","ending_cash "&amp;IF(E38&lt;0,"-","+")&amp;TEXT(ABS(E38)*100,"0.0")&amp;"%")&amp;IF(AND(LEN(IF(E38="","","ending_cash "&amp;IF(E38&lt;0,"-","+")&amp;TEXT(ABS(E38)*100,"0.0")&amp;"%"))&gt;0,LEN(IF(F38="","","ebitda "&amp;IF(F38&lt;0,"-","+")&amp;TEXT(ABS(F38)*100,"0.0")&amp;"%"))&gt;0),", ","")&amp;IF(F38="","","ebitda "&amp;IF(F38&lt;0,"-","+")&amp;TEXT(ABS(F38)*100,"0.0")&amp;"%"))&gt;0,LEN(IF(G38="","","revenue "&amp;IF(G38&lt;0,"-","+")&amp;TEXT(ABS(G38)*100,"0.0")&amp;"%"))&gt;0),", ","")&amp;IF(G38="","","revenue "&amp;IF(G38&lt;0,"-","+")&amp;TEXT(ABS(G38)*100,"0.0")&amp;"%"))&gt;0,LEN(IF(H38="","","gross_margin "&amp;IF(H38&lt;0,"-","+")&amp;TEXT(ABS(H38)*100,"0.0")&amp;"%"))&gt;0),", ","")&amp;IF(H38="","","gross_margin "&amp;IF(H38&lt;0,"-","+")&amp;TEXT(ABS(H38)*100,"0.0")&amp;"%")&amp;" |")</f>
        <v/>
      </c>
      <c r="R38">
        <f>IF(Q38="","",ROW()-4)</f>
        <v/>
      </c>
    </row>
    <row r="39">
      <c r="A39" s="8" t="n"/>
      <c r="B39" s="8" t="n"/>
      <c r="C39" s="8" t="n"/>
      <c r="D39" s="19" t="n"/>
      <c r="E39" s="20" t="n"/>
      <c r="F39" s="20" t="n"/>
      <c r="G39" s="20" t="n"/>
      <c r="H39" s="20" t="n"/>
      <c r="I39" s="10" t="n"/>
      <c r="J39" s="10" t="n"/>
      <c r="K39" s="10" t="n"/>
      <c r="L39" s="10" t="n"/>
      <c r="M39" s="21">
        <f>IF(OR(E39="",I39="",E39=-1),"",I39/(1+E39))</f>
        <v/>
      </c>
      <c r="N39" s="21">
        <f>IF(OR(F39="",J39="",F39=-1),"",J39/(1+F39))</f>
        <v/>
      </c>
      <c r="O39" s="21">
        <f>IF(OR(G39="",K39="",G39=-1),"",K39/(1+G39))</f>
        <v/>
      </c>
      <c r="P39" s="21">
        <f>IF(OR(H39="",L39="",H39=-1),"",L39/(1+H39))</f>
        <v/>
      </c>
      <c r="Q39" s="6">
        <f>IF(OR(A39="",LOWER(C39)&lt;&gt;"y"),"","| "&amp;A39&amp;" | "&amp;TEXT(D39,"0.0000")&amp;" | "&amp;IF(E39="","","ending_cash "&amp;IF(E39&lt;0,"-","+")&amp;TEXT(ABS(E39)*100,"0.0")&amp;"%")&amp;IF(AND(LEN(IF(E39="","","ending_cash "&amp;IF(E39&lt;0,"-","+")&amp;TEXT(ABS(E39)*100,"0.0")&amp;"%"))&gt;0,LEN(IF(F39="","","ebitda "&amp;IF(F39&lt;0,"-","+")&amp;TEXT(ABS(F39)*100,"0.0")&amp;"%"))&gt;0),", ","")&amp;IF(F39="","","ebitda "&amp;IF(F39&lt;0,"-","+")&amp;TEXT(ABS(F39)*100,"0.0")&amp;"%")&amp;IF(AND(LEN(IF(E39="","","ending_cash "&amp;IF(E39&lt;0,"-","+")&amp;TEXT(ABS(E39)*100,"0.0")&amp;"%")&amp;IF(AND(LEN(IF(E39="","","ending_cash "&amp;IF(E39&lt;0,"-","+")&amp;TEXT(ABS(E39)*100,"0.0")&amp;"%"))&gt;0,LEN(IF(F39="","","ebitda "&amp;IF(F39&lt;0,"-","+")&amp;TEXT(ABS(F39)*100,"0.0")&amp;"%"))&gt;0),", ","")&amp;IF(F39="","","ebitda "&amp;IF(F39&lt;0,"-","+")&amp;TEXT(ABS(F39)*100,"0.0")&amp;"%"))&gt;0,LEN(IF(G39="","","revenue "&amp;IF(G39&lt;0,"-","+")&amp;TEXT(ABS(G39)*100,"0.0")&amp;"%"))&gt;0),", ","")&amp;IF(G39="","","revenue "&amp;IF(G39&lt;0,"-","+")&amp;TEXT(ABS(G39)*100,"0.0")&amp;"%")&amp;IF(AND(LEN(IF(E39="","","ending_cash "&amp;IF(E39&lt;0,"-","+")&amp;TEXT(ABS(E39)*100,"0.0")&amp;"%")&amp;IF(AND(LEN(IF(E39="","","ending_cash "&amp;IF(E39&lt;0,"-","+")&amp;TEXT(ABS(E39)*100,"0.0")&amp;"%"))&gt;0,LEN(IF(F39="","","ebitda "&amp;IF(F39&lt;0,"-","+")&amp;TEXT(ABS(F39)*100,"0.0")&amp;"%"))&gt;0),", ","")&amp;IF(F39="","","ebitda "&amp;IF(F39&lt;0,"-","+")&amp;TEXT(ABS(F39)*100,"0.0")&amp;"%")&amp;IF(AND(LEN(IF(E39="","","ending_cash "&amp;IF(E39&lt;0,"-","+")&amp;TEXT(ABS(E39)*100,"0.0")&amp;"%")&amp;IF(AND(LEN(IF(E39="","","ending_cash "&amp;IF(E39&lt;0,"-","+")&amp;TEXT(ABS(E39)*100,"0.0")&amp;"%"))&gt;0,LEN(IF(F39="","","ebitda "&amp;IF(F39&lt;0,"-","+")&amp;TEXT(ABS(F39)*100,"0.0")&amp;"%"))&gt;0),", ","")&amp;IF(F39="","","ebitda "&amp;IF(F39&lt;0,"-","+")&amp;TEXT(ABS(F39)*100,"0.0")&amp;"%"))&gt;0,LEN(IF(G39="","","revenue "&amp;IF(G39&lt;0,"-","+")&amp;TEXT(ABS(G39)*100,"0.0")&amp;"%"))&gt;0),", ","")&amp;IF(G39="","","revenue "&amp;IF(G39&lt;0,"-","+")&amp;TEXT(ABS(G39)*100,"0.0")&amp;"%"))&gt;0,LEN(IF(H39="","","gross_margin "&amp;IF(H39&lt;0,"-","+")&amp;TEXT(ABS(H39)*100,"0.0")&amp;"%"))&gt;0),", ","")&amp;IF(H39="","","gross_margin "&amp;IF(H39&lt;0,"-","+")&amp;TEXT(ABS(H39)*100,"0.0")&amp;"%")&amp;" |")</f>
        <v/>
      </c>
      <c r="R39">
        <f>IF(Q39="","",ROW()-4)</f>
        <v/>
      </c>
    </row>
    <row r="40">
      <c r="A40" s="8" t="n"/>
      <c r="B40" s="8" t="n"/>
      <c r="C40" s="8" t="n"/>
      <c r="D40" s="19" t="n"/>
      <c r="E40" s="20" t="n"/>
      <c r="F40" s="20" t="n"/>
      <c r="G40" s="20" t="n"/>
      <c r="H40" s="20" t="n"/>
      <c r="I40" s="10" t="n"/>
      <c r="J40" s="10" t="n"/>
      <c r="K40" s="10" t="n"/>
      <c r="L40" s="10" t="n"/>
      <c r="M40" s="21">
        <f>IF(OR(E40="",I40="",E40=-1),"",I40/(1+E40))</f>
        <v/>
      </c>
      <c r="N40" s="21">
        <f>IF(OR(F40="",J40="",F40=-1),"",J40/(1+F40))</f>
        <v/>
      </c>
      <c r="O40" s="21">
        <f>IF(OR(G40="",K40="",G40=-1),"",K40/(1+G40))</f>
        <v/>
      </c>
      <c r="P40" s="21">
        <f>IF(OR(H40="",L40="",H40=-1),"",L40/(1+H40))</f>
        <v/>
      </c>
      <c r="Q40" s="6">
        <f>IF(OR(A40="",LOWER(C40)&lt;&gt;"y"),"","| "&amp;A40&amp;" | "&amp;TEXT(D40,"0.0000")&amp;" | "&amp;IF(E40="","","ending_cash "&amp;IF(E40&lt;0,"-","+")&amp;TEXT(ABS(E40)*100,"0.0")&amp;"%")&amp;IF(AND(LEN(IF(E40="","","ending_cash "&amp;IF(E40&lt;0,"-","+")&amp;TEXT(ABS(E40)*100,"0.0")&amp;"%"))&gt;0,LEN(IF(F40="","","ebitda "&amp;IF(F40&lt;0,"-","+")&amp;TEXT(ABS(F40)*100,"0.0")&amp;"%"))&gt;0),", ","")&amp;IF(F40="","","ebitda "&amp;IF(F40&lt;0,"-","+")&amp;TEXT(ABS(F40)*100,"0.0")&amp;"%")&amp;IF(AND(LEN(IF(E40="","","ending_cash "&amp;IF(E40&lt;0,"-","+")&amp;TEXT(ABS(E40)*100,"0.0")&amp;"%")&amp;IF(AND(LEN(IF(E40="","","ending_cash "&amp;IF(E40&lt;0,"-","+")&amp;TEXT(ABS(E40)*100,"0.0")&amp;"%"))&gt;0,LEN(IF(F40="","","ebitda "&amp;IF(F40&lt;0,"-","+")&amp;TEXT(ABS(F40)*100,"0.0")&amp;"%"))&gt;0),", ","")&amp;IF(F40="","","ebitda "&amp;IF(F40&lt;0,"-","+")&amp;TEXT(ABS(F40)*100,"0.0")&amp;"%"))&gt;0,LEN(IF(G40="","","revenue "&amp;IF(G40&lt;0,"-","+")&amp;TEXT(ABS(G40)*100,"0.0")&amp;"%"))&gt;0),", ","")&amp;IF(G40="","","revenue "&amp;IF(G40&lt;0,"-","+")&amp;TEXT(ABS(G40)*100,"0.0")&amp;"%")&amp;IF(AND(LEN(IF(E40="","","ending_cash "&amp;IF(E40&lt;0,"-","+")&amp;TEXT(ABS(E40)*100,"0.0")&amp;"%")&amp;IF(AND(LEN(IF(E40="","","ending_cash "&amp;IF(E40&lt;0,"-","+")&amp;TEXT(ABS(E40)*100,"0.0")&amp;"%"))&gt;0,LEN(IF(F40="","","ebitda "&amp;IF(F40&lt;0,"-","+")&amp;TEXT(ABS(F40)*100,"0.0")&amp;"%"))&gt;0),", ","")&amp;IF(F40="","","ebitda "&amp;IF(F40&lt;0,"-","+")&amp;TEXT(ABS(F40)*100,"0.0")&amp;"%")&amp;IF(AND(LEN(IF(E40="","","ending_cash "&amp;IF(E40&lt;0,"-","+")&amp;TEXT(ABS(E40)*100,"0.0")&amp;"%")&amp;IF(AND(LEN(IF(E40="","","ending_cash "&amp;IF(E40&lt;0,"-","+")&amp;TEXT(ABS(E40)*100,"0.0")&amp;"%"))&gt;0,LEN(IF(F40="","","ebitda "&amp;IF(F40&lt;0,"-","+")&amp;TEXT(ABS(F40)*100,"0.0")&amp;"%"))&gt;0),", ","")&amp;IF(F40="","","ebitda "&amp;IF(F40&lt;0,"-","+")&amp;TEXT(ABS(F40)*100,"0.0")&amp;"%"))&gt;0,LEN(IF(G40="","","revenue "&amp;IF(G40&lt;0,"-","+")&amp;TEXT(ABS(G40)*100,"0.0")&amp;"%"))&gt;0),", ","")&amp;IF(G40="","","revenue "&amp;IF(G40&lt;0,"-","+")&amp;TEXT(ABS(G40)*100,"0.0")&amp;"%"))&gt;0,LEN(IF(H40="","","gross_margin "&amp;IF(H40&lt;0,"-","+")&amp;TEXT(ABS(H40)*100,"0.0")&amp;"%"))&gt;0),", ","")&amp;IF(H40="","","gross_margin "&amp;IF(H40&lt;0,"-","+")&amp;TEXT(ABS(H40)*100,"0.0")&amp;"%")&amp;" |")</f>
        <v/>
      </c>
      <c r="R40">
        <f>IF(Q40="","",ROW()-4)</f>
        <v/>
      </c>
    </row>
    <row r="41">
      <c r="A41" s="8" t="n"/>
      <c r="B41" s="8" t="n"/>
      <c r="C41" s="8" t="n"/>
      <c r="D41" s="19" t="n"/>
      <c r="E41" s="20" t="n"/>
      <c r="F41" s="20" t="n"/>
      <c r="G41" s="20" t="n"/>
      <c r="H41" s="20" t="n"/>
      <c r="I41" s="10" t="n"/>
      <c r="J41" s="10" t="n"/>
      <c r="K41" s="10" t="n"/>
      <c r="L41" s="10" t="n"/>
      <c r="M41" s="21">
        <f>IF(OR(E41="",I41="",E41=-1),"",I41/(1+E41))</f>
        <v/>
      </c>
      <c r="N41" s="21">
        <f>IF(OR(F41="",J41="",F41=-1),"",J41/(1+F41))</f>
        <v/>
      </c>
      <c r="O41" s="21">
        <f>IF(OR(G41="",K41="",G41=-1),"",K41/(1+G41))</f>
        <v/>
      </c>
      <c r="P41" s="21">
        <f>IF(OR(H41="",L41="",H41=-1),"",L41/(1+H41))</f>
        <v/>
      </c>
      <c r="Q41" s="6">
        <f>IF(OR(A41="",LOWER(C41)&lt;&gt;"y"),"","| "&amp;A41&amp;" | "&amp;TEXT(D41,"0.0000")&amp;" | "&amp;IF(E41="","","ending_cash "&amp;IF(E41&lt;0,"-","+")&amp;TEXT(ABS(E41)*100,"0.0")&amp;"%")&amp;IF(AND(LEN(IF(E41="","","ending_cash "&amp;IF(E41&lt;0,"-","+")&amp;TEXT(ABS(E41)*100,"0.0")&amp;"%"))&gt;0,LEN(IF(F41="","","ebitda "&amp;IF(F41&lt;0,"-","+")&amp;TEXT(ABS(F41)*100,"0.0")&amp;"%"))&gt;0),", ","")&amp;IF(F41="","","ebitda "&amp;IF(F41&lt;0,"-","+")&amp;TEXT(ABS(F41)*100,"0.0")&amp;"%")&amp;IF(AND(LEN(IF(E41="","","ending_cash "&amp;IF(E41&lt;0,"-","+")&amp;TEXT(ABS(E41)*100,"0.0")&amp;"%")&amp;IF(AND(LEN(IF(E41="","","ending_cash "&amp;IF(E41&lt;0,"-","+")&amp;TEXT(ABS(E41)*100,"0.0")&amp;"%"))&gt;0,LEN(IF(F41="","","ebitda "&amp;IF(F41&lt;0,"-","+")&amp;TEXT(ABS(F41)*100,"0.0")&amp;"%"))&gt;0),", ","")&amp;IF(F41="","","ebitda "&amp;IF(F41&lt;0,"-","+")&amp;TEXT(ABS(F41)*100,"0.0")&amp;"%"))&gt;0,LEN(IF(G41="","","revenue "&amp;IF(G41&lt;0,"-","+")&amp;TEXT(ABS(G41)*100,"0.0")&amp;"%"))&gt;0),", ","")&amp;IF(G41="","","revenue "&amp;IF(G41&lt;0,"-","+")&amp;TEXT(ABS(G41)*100,"0.0")&amp;"%")&amp;IF(AND(LEN(IF(E41="","","ending_cash "&amp;IF(E41&lt;0,"-","+")&amp;TEXT(ABS(E41)*100,"0.0")&amp;"%")&amp;IF(AND(LEN(IF(E41="","","ending_cash "&amp;IF(E41&lt;0,"-","+")&amp;TEXT(ABS(E41)*100,"0.0")&amp;"%"))&gt;0,LEN(IF(F41="","","ebitda "&amp;IF(F41&lt;0,"-","+")&amp;TEXT(ABS(F41)*100,"0.0")&amp;"%"))&gt;0),", ","")&amp;IF(F41="","","ebitda "&amp;IF(F41&lt;0,"-","+")&amp;TEXT(ABS(F41)*100,"0.0")&amp;"%")&amp;IF(AND(LEN(IF(E41="","","ending_cash "&amp;IF(E41&lt;0,"-","+")&amp;TEXT(ABS(E41)*100,"0.0")&amp;"%")&amp;IF(AND(LEN(IF(E41="","","ending_cash "&amp;IF(E41&lt;0,"-","+")&amp;TEXT(ABS(E41)*100,"0.0")&amp;"%"))&gt;0,LEN(IF(F41="","","ebitda "&amp;IF(F41&lt;0,"-","+")&amp;TEXT(ABS(F41)*100,"0.0")&amp;"%"))&gt;0),", ","")&amp;IF(F41="","","ebitda "&amp;IF(F41&lt;0,"-","+")&amp;TEXT(ABS(F41)*100,"0.0")&amp;"%"))&gt;0,LEN(IF(G41="","","revenue "&amp;IF(G41&lt;0,"-","+")&amp;TEXT(ABS(G41)*100,"0.0")&amp;"%"))&gt;0),", ","")&amp;IF(G41="","","revenue "&amp;IF(G41&lt;0,"-","+")&amp;TEXT(ABS(G41)*100,"0.0")&amp;"%"))&gt;0,LEN(IF(H41="","","gross_margin "&amp;IF(H41&lt;0,"-","+")&amp;TEXT(ABS(H41)*100,"0.0")&amp;"%"))&gt;0),", ","")&amp;IF(H41="","","gross_margin "&amp;IF(H41&lt;0,"-","+")&amp;TEXT(ABS(H41)*100,"0.0")&amp;"%")&amp;" |")</f>
        <v/>
      </c>
      <c r="R41">
        <f>IF(Q41="","",ROW()-4)</f>
        <v/>
      </c>
    </row>
    <row r="42">
      <c r="A42" s="8" t="n"/>
      <c r="B42" s="8" t="n"/>
      <c r="C42" s="8" t="n"/>
      <c r="D42" s="19" t="n"/>
      <c r="E42" s="20" t="n"/>
      <c r="F42" s="20" t="n"/>
      <c r="G42" s="20" t="n"/>
      <c r="H42" s="20" t="n"/>
      <c r="I42" s="10" t="n"/>
      <c r="J42" s="10" t="n"/>
      <c r="K42" s="10" t="n"/>
      <c r="L42" s="10" t="n"/>
      <c r="M42" s="21">
        <f>IF(OR(E42="",I42="",E42=-1),"",I42/(1+E42))</f>
        <v/>
      </c>
      <c r="N42" s="21">
        <f>IF(OR(F42="",J42="",F42=-1),"",J42/(1+F42))</f>
        <v/>
      </c>
      <c r="O42" s="21">
        <f>IF(OR(G42="",K42="",G42=-1),"",K42/(1+G42))</f>
        <v/>
      </c>
      <c r="P42" s="21">
        <f>IF(OR(H42="",L42="",H42=-1),"",L42/(1+H42))</f>
        <v/>
      </c>
      <c r="Q42" s="6">
        <f>IF(OR(A42="",LOWER(C42)&lt;&gt;"y"),"","| "&amp;A42&amp;" | "&amp;TEXT(D42,"0.0000")&amp;" | "&amp;IF(E42="","","ending_cash "&amp;IF(E42&lt;0,"-","+")&amp;TEXT(ABS(E42)*100,"0.0")&amp;"%")&amp;IF(AND(LEN(IF(E42="","","ending_cash "&amp;IF(E42&lt;0,"-","+")&amp;TEXT(ABS(E42)*100,"0.0")&amp;"%"))&gt;0,LEN(IF(F42="","","ebitda "&amp;IF(F42&lt;0,"-","+")&amp;TEXT(ABS(F42)*100,"0.0")&amp;"%"))&gt;0),", ","")&amp;IF(F42="","","ebitda "&amp;IF(F42&lt;0,"-","+")&amp;TEXT(ABS(F42)*100,"0.0")&amp;"%")&amp;IF(AND(LEN(IF(E42="","","ending_cash "&amp;IF(E42&lt;0,"-","+")&amp;TEXT(ABS(E42)*100,"0.0")&amp;"%")&amp;IF(AND(LEN(IF(E42="","","ending_cash "&amp;IF(E42&lt;0,"-","+")&amp;TEXT(ABS(E42)*100,"0.0")&amp;"%"))&gt;0,LEN(IF(F42="","","ebitda "&amp;IF(F42&lt;0,"-","+")&amp;TEXT(ABS(F42)*100,"0.0")&amp;"%"))&gt;0),", ","")&amp;IF(F42="","","ebitda "&amp;IF(F42&lt;0,"-","+")&amp;TEXT(ABS(F42)*100,"0.0")&amp;"%"))&gt;0,LEN(IF(G42="","","revenue "&amp;IF(G42&lt;0,"-","+")&amp;TEXT(ABS(G42)*100,"0.0")&amp;"%"))&gt;0),", ","")&amp;IF(G42="","","revenue "&amp;IF(G42&lt;0,"-","+")&amp;TEXT(ABS(G42)*100,"0.0")&amp;"%")&amp;IF(AND(LEN(IF(E42="","","ending_cash "&amp;IF(E42&lt;0,"-","+")&amp;TEXT(ABS(E42)*100,"0.0")&amp;"%")&amp;IF(AND(LEN(IF(E42="","","ending_cash "&amp;IF(E42&lt;0,"-","+")&amp;TEXT(ABS(E42)*100,"0.0")&amp;"%"))&gt;0,LEN(IF(F42="","","ebitda "&amp;IF(F42&lt;0,"-","+")&amp;TEXT(ABS(F42)*100,"0.0")&amp;"%"))&gt;0),", ","")&amp;IF(F42="","","ebitda "&amp;IF(F42&lt;0,"-","+")&amp;TEXT(ABS(F42)*100,"0.0")&amp;"%")&amp;IF(AND(LEN(IF(E42="","","ending_cash "&amp;IF(E42&lt;0,"-","+")&amp;TEXT(ABS(E42)*100,"0.0")&amp;"%")&amp;IF(AND(LEN(IF(E42="","","ending_cash "&amp;IF(E42&lt;0,"-","+")&amp;TEXT(ABS(E42)*100,"0.0")&amp;"%"))&gt;0,LEN(IF(F42="","","ebitda "&amp;IF(F42&lt;0,"-","+")&amp;TEXT(ABS(F42)*100,"0.0")&amp;"%"))&gt;0),", ","")&amp;IF(F42="","","ebitda "&amp;IF(F42&lt;0,"-","+")&amp;TEXT(ABS(F42)*100,"0.0")&amp;"%"))&gt;0,LEN(IF(G42="","","revenue "&amp;IF(G42&lt;0,"-","+")&amp;TEXT(ABS(G42)*100,"0.0")&amp;"%"))&gt;0),", ","")&amp;IF(G42="","","revenue "&amp;IF(G42&lt;0,"-","+")&amp;TEXT(ABS(G42)*100,"0.0")&amp;"%"))&gt;0,LEN(IF(H42="","","gross_margin "&amp;IF(H42&lt;0,"-","+")&amp;TEXT(ABS(H42)*100,"0.0")&amp;"%"))&gt;0),", ","")&amp;IF(H42="","","gross_margin "&amp;IF(H42&lt;0,"-","+")&amp;TEXT(ABS(H42)*100,"0.0")&amp;"%")&amp;" |")</f>
        <v/>
      </c>
      <c r="R42">
        <f>IF(Q42="","",ROW()-4)</f>
        <v/>
      </c>
    </row>
    <row r="43">
      <c r="A43" s="8" t="n"/>
      <c r="B43" s="8" t="n"/>
      <c r="C43" s="8" t="n"/>
      <c r="D43" s="19" t="n"/>
      <c r="E43" s="20" t="n"/>
      <c r="F43" s="20" t="n"/>
      <c r="G43" s="20" t="n"/>
      <c r="H43" s="20" t="n"/>
      <c r="I43" s="10" t="n"/>
      <c r="J43" s="10" t="n"/>
      <c r="K43" s="10" t="n"/>
      <c r="L43" s="10" t="n"/>
      <c r="M43" s="21">
        <f>IF(OR(E43="",I43="",E43=-1),"",I43/(1+E43))</f>
        <v/>
      </c>
      <c r="N43" s="21">
        <f>IF(OR(F43="",J43="",F43=-1),"",J43/(1+F43))</f>
        <v/>
      </c>
      <c r="O43" s="21">
        <f>IF(OR(G43="",K43="",G43=-1),"",K43/(1+G43))</f>
        <v/>
      </c>
      <c r="P43" s="21">
        <f>IF(OR(H43="",L43="",H43=-1),"",L43/(1+H43))</f>
        <v/>
      </c>
      <c r="Q43" s="6">
        <f>IF(OR(A43="",LOWER(C43)&lt;&gt;"y"),"","| "&amp;A43&amp;" | "&amp;TEXT(D43,"0.0000")&amp;" | "&amp;IF(E43="","","ending_cash "&amp;IF(E43&lt;0,"-","+")&amp;TEXT(ABS(E43)*100,"0.0")&amp;"%")&amp;IF(AND(LEN(IF(E43="","","ending_cash "&amp;IF(E43&lt;0,"-","+")&amp;TEXT(ABS(E43)*100,"0.0")&amp;"%"))&gt;0,LEN(IF(F43="","","ebitda "&amp;IF(F43&lt;0,"-","+")&amp;TEXT(ABS(F43)*100,"0.0")&amp;"%"))&gt;0),", ","")&amp;IF(F43="","","ebitda "&amp;IF(F43&lt;0,"-","+")&amp;TEXT(ABS(F43)*100,"0.0")&amp;"%")&amp;IF(AND(LEN(IF(E43="","","ending_cash "&amp;IF(E43&lt;0,"-","+")&amp;TEXT(ABS(E43)*100,"0.0")&amp;"%")&amp;IF(AND(LEN(IF(E43="","","ending_cash "&amp;IF(E43&lt;0,"-","+")&amp;TEXT(ABS(E43)*100,"0.0")&amp;"%"))&gt;0,LEN(IF(F43="","","ebitda "&amp;IF(F43&lt;0,"-","+")&amp;TEXT(ABS(F43)*100,"0.0")&amp;"%"))&gt;0),", ","")&amp;IF(F43="","","ebitda "&amp;IF(F43&lt;0,"-","+")&amp;TEXT(ABS(F43)*100,"0.0")&amp;"%"))&gt;0,LEN(IF(G43="","","revenue "&amp;IF(G43&lt;0,"-","+")&amp;TEXT(ABS(G43)*100,"0.0")&amp;"%"))&gt;0),", ","")&amp;IF(G43="","","revenue "&amp;IF(G43&lt;0,"-","+")&amp;TEXT(ABS(G43)*100,"0.0")&amp;"%")&amp;IF(AND(LEN(IF(E43="","","ending_cash "&amp;IF(E43&lt;0,"-","+")&amp;TEXT(ABS(E43)*100,"0.0")&amp;"%")&amp;IF(AND(LEN(IF(E43="","","ending_cash "&amp;IF(E43&lt;0,"-","+")&amp;TEXT(ABS(E43)*100,"0.0")&amp;"%"))&gt;0,LEN(IF(F43="","","ebitda "&amp;IF(F43&lt;0,"-","+")&amp;TEXT(ABS(F43)*100,"0.0")&amp;"%"))&gt;0),", ","")&amp;IF(F43="","","ebitda "&amp;IF(F43&lt;0,"-","+")&amp;TEXT(ABS(F43)*100,"0.0")&amp;"%")&amp;IF(AND(LEN(IF(E43="","","ending_cash "&amp;IF(E43&lt;0,"-","+")&amp;TEXT(ABS(E43)*100,"0.0")&amp;"%")&amp;IF(AND(LEN(IF(E43="","","ending_cash "&amp;IF(E43&lt;0,"-","+")&amp;TEXT(ABS(E43)*100,"0.0")&amp;"%"))&gt;0,LEN(IF(F43="","","ebitda "&amp;IF(F43&lt;0,"-","+")&amp;TEXT(ABS(F43)*100,"0.0")&amp;"%"))&gt;0),", ","")&amp;IF(F43="","","ebitda "&amp;IF(F43&lt;0,"-","+")&amp;TEXT(ABS(F43)*100,"0.0")&amp;"%"))&gt;0,LEN(IF(G43="","","revenue "&amp;IF(G43&lt;0,"-","+")&amp;TEXT(ABS(G43)*100,"0.0")&amp;"%"))&gt;0),", ","")&amp;IF(G43="","","revenue "&amp;IF(G43&lt;0,"-","+")&amp;TEXT(ABS(G43)*100,"0.0")&amp;"%"))&gt;0,LEN(IF(H43="","","gross_margin "&amp;IF(H43&lt;0,"-","+")&amp;TEXT(ABS(H43)*100,"0.0")&amp;"%"))&gt;0),", ","")&amp;IF(H43="","","gross_margin "&amp;IF(H43&lt;0,"-","+")&amp;TEXT(ABS(H43)*100,"0.0")&amp;"%")&amp;" |")</f>
        <v/>
      </c>
      <c r="R43">
        <f>IF(Q43="","",ROW()-4)</f>
        <v/>
      </c>
    </row>
    <row r="44">
      <c r="A44" s="8" t="n"/>
      <c r="B44" s="8" t="n"/>
      <c r="C44" s="8" t="n"/>
      <c r="D44" s="19" t="n"/>
      <c r="E44" s="20" t="n"/>
      <c r="F44" s="20" t="n"/>
      <c r="G44" s="20" t="n"/>
      <c r="H44" s="20" t="n"/>
      <c r="I44" s="10" t="n"/>
      <c r="J44" s="10" t="n"/>
      <c r="K44" s="10" t="n"/>
      <c r="L44" s="10" t="n"/>
      <c r="M44" s="21">
        <f>IF(OR(E44="",I44="",E44=-1),"",I44/(1+E44))</f>
        <v/>
      </c>
      <c r="N44" s="21">
        <f>IF(OR(F44="",J44="",F44=-1),"",J44/(1+F44))</f>
        <v/>
      </c>
      <c r="O44" s="21">
        <f>IF(OR(G44="",K44="",G44=-1),"",K44/(1+G44))</f>
        <v/>
      </c>
      <c r="P44" s="21">
        <f>IF(OR(H44="",L44="",H44=-1),"",L44/(1+H44))</f>
        <v/>
      </c>
      <c r="Q44" s="6">
        <f>IF(OR(A44="",LOWER(C44)&lt;&gt;"y"),"","| "&amp;A44&amp;" | "&amp;TEXT(D44,"0.0000")&amp;" | "&amp;IF(E44="","","ending_cash "&amp;IF(E44&lt;0,"-","+")&amp;TEXT(ABS(E44)*100,"0.0")&amp;"%")&amp;IF(AND(LEN(IF(E44="","","ending_cash "&amp;IF(E44&lt;0,"-","+")&amp;TEXT(ABS(E44)*100,"0.0")&amp;"%"))&gt;0,LEN(IF(F44="","","ebitda "&amp;IF(F44&lt;0,"-","+")&amp;TEXT(ABS(F44)*100,"0.0")&amp;"%"))&gt;0),", ","")&amp;IF(F44="","","ebitda "&amp;IF(F44&lt;0,"-","+")&amp;TEXT(ABS(F44)*100,"0.0")&amp;"%")&amp;IF(AND(LEN(IF(E44="","","ending_cash "&amp;IF(E44&lt;0,"-","+")&amp;TEXT(ABS(E44)*100,"0.0")&amp;"%")&amp;IF(AND(LEN(IF(E44="","","ending_cash "&amp;IF(E44&lt;0,"-","+")&amp;TEXT(ABS(E44)*100,"0.0")&amp;"%"))&gt;0,LEN(IF(F44="","","ebitda "&amp;IF(F44&lt;0,"-","+")&amp;TEXT(ABS(F44)*100,"0.0")&amp;"%"))&gt;0),", ","")&amp;IF(F44="","","ebitda "&amp;IF(F44&lt;0,"-","+")&amp;TEXT(ABS(F44)*100,"0.0")&amp;"%"))&gt;0,LEN(IF(G44="","","revenue "&amp;IF(G44&lt;0,"-","+")&amp;TEXT(ABS(G44)*100,"0.0")&amp;"%"))&gt;0),", ","")&amp;IF(G44="","","revenue "&amp;IF(G44&lt;0,"-","+")&amp;TEXT(ABS(G44)*100,"0.0")&amp;"%")&amp;IF(AND(LEN(IF(E44="","","ending_cash "&amp;IF(E44&lt;0,"-","+")&amp;TEXT(ABS(E44)*100,"0.0")&amp;"%")&amp;IF(AND(LEN(IF(E44="","","ending_cash "&amp;IF(E44&lt;0,"-","+")&amp;TEXT(ABS(E44)*100,"0.0")&amp;"%"))&gt;0,LEN(IF(F44="","","ebitda "&amp;IF(F44&lt;0,"-","+")&amp;TEXT(ABS(F44)*100,"0.0")&amp;"%"))&gt;0),", ","")&amp;IF(F44="","","ebitda "&amp;IF(F44&lt;0,"-","+")&amp;TEXT(ABS(F44)*100,"0.0")&amp;"%")&amp;IF(AND(LEN(IF(E44="","","ending_cash "&amp;IF(E44&lt;0,"-","+")&amp;TEXT(ABS(E44)*100,"0.0")&amp;"%")&amp;IF(AND(LEN(IF(E44="","","ending_cash "&amp;IF(E44&lt;0,"-","+")&amp;TEXT(ABS(E44)*100,"0.0")&amp;"%"))&gt;0,LEN(IF(F44="","","ebitda "&amp;IF(F44&lt;0,"-","+")&amp;TEXT(ABS(F44)*100,"0.0")&amp;"%"))&gt;0),", ","")&amp;IF(F44="","","ebitda "&amp;IF(F44&lt;0,"-","+")&amp;TEXT(ABS(F44)*100,"0.0")&amp;"%"))&gt;0,LEN(IF(G44="","","revenue "&amp;IF(G44&lt;0,"-","+")&amp;TEXT(ABS(G44)*100,"0.0")&amp;"%"))&gt;0),", ","")&amp;IF(G44="","","revenue "&amp;IF(G44&lt;0,"-","+")&amp;TEXT(ABS(G44)*100,"0.0")&amp;"%"))&gt;0,LEN(IF(H44="","","gross_margin "&amp;IF(H44&lt;0,"-","+")&amp;TEXT(ABS(H44)*100,"0.0")&amp;"%"))&gt;0),", ","")&amp;IF(H44="","","gross_margin "&amp;IF(H44&lt;0,"-","+")&amp;TEXT(ABS(H44)*100,"0.0")&amp;"%")&amp;" |")</f>
        <v/>
      </c>
      <c r="R44">
        <f>IF(Q44="","",ROW()-4)</f>
        <v/>
      </c>
    </row>
    <row r="45">
      <c r="A45" s="8" t="n"/>
      <c r="B45" s="8" t="n"/>
      <c r="C45" s="8" t="n"/>
      <c r="D45" s="19" t="n"/>
      <c r="E45" s="20" t="n"/>
      <c r="F45" s="20" t="n"/>
      <c r="G45" s="20" t="n"/>
      <c r="H45" s="20" t="n"/>
      <c r="I45" s="10" t="n"/>
      <c r="J45" s="10" t="n"/>
      <c r="K45" s="10" t="n"/>
      <c r="L45" s="10" t="n"/>
      <c r="M45" s="21">
        <f>IF(OR(E45="",I45="",E45=-1),"",I45/(1+E45))</f>
        <v/>
      </c>
      <c r="N45" s="21">
        <f>IF(OR(F45="",J45="",F45=-1),"",J45/(1+F45))</f>
        <v/>
      </c>
      <c r="O45" s="21">
        <f>IF(OR(G45="",K45="",G45=-1),"",K45/(1+G45))</f>
        <v/>
      </c>
      <c r="P45" s="21">
        <f>IF(OR(H45="",L45="",H45=-1),"",L45/(1+H45))</f>
        <v/>
      </c>
      <c r="Q45" s="6">
        <f>IF(OR(A45="",LOWER(C45)&lt;&gt;"y"),"","| "&amp;A45&amp;" | "&amp;TEXT(D45,"0.0000")&amp;" | "&amp;IF(E45="","","ending_cash "&amp;IF(E45&lt;0,"-","+")&amp;TEXT(ABS(E45)*100,"0.0")&amp;"%")&amp;IF(AND(LEN(IF(E45="","","ending_cash "&amp;IF(E45&lt;0,"-","+")&amp;TEXT(ABS(E45)*100,"0.0")&amp;"%"))&gt;0,LEN(IF(F45="","","ebitda "&amp;IF(F45&lt;0,"-","+")&amp;TEXT(ABS(F45)*100,"0.0")&amp;"%"))&gt;0),", ","")&amp;IF(F45="","","ebitda "&amp;IF(F45&lt;0,"-","+")&amp;TEXT(ABS(F45)*100,"0.0")&amp;"%")&amp;IF(AND(LEN(IF(E45="","","ending_cash "&amp;IF(E45&lt;0,"-","+")&amp;TEXT(ABS(E45)*100,"0.0")&amp;"%")&amp;IF(AND(LEN(IF(E45="","","ending_cash "&amp;IF(E45&lt;0,"-","+")&amp;TEXT(ABS(E45)*100,"0.0")&amp;"%"))&gt;0,LEN(IF(F45="","","ebitda "&amp;IF(F45&lt;0,"-","+")&amp;TEXT(ABS(F45)*100,"0.0")&amp;"%"))&gt;0),", ","")&amp;IF(F45="","","ebitda "&amp;IF(F45&lt;0,"-","+")&amp;TEXT(ABS(F45)*100,"0.0")&amp;"%"))&gt;0,LEN(IF(G45="","","revenue "&amp;IF(G45&lt;0,"-","+")&amp;TEXT(ABS(G45)*100,"0.0")&amp;"%"))&gt;0),", ","")&amp;IF(G45="","","revenue "&amp;IF(G45&lt;0,"-","+")&amp;TEXT(ABS(G45)*100,"0.0")&amp;"%")&amp;IF(AND(LEN(IF(E45="","","ending_cash "&amp;IF(E45&lt;0,"-","+")&amp;TEXT(ABS(E45)*100,"0.0")&amp;"%")&amp;IF(AND(LEN(IF(E45="","","ending_cash "&amp;IF(E45&lt;0,"-","+")&amp;TEXT(ABS(E45)*100,"0.0")&amp;"%"))&gt;0,LEN(IF(F45="","","ebitda "&amp;IF(F45&lt;0,"-","+")&amp;TEXT(ABS(F45)*100,"0.0")&amp;"%"))&gt;0),", ","")&amp;IF(F45="","","ebitda "&amp;IF(F45&lt;0,"-","+")&amp;TEXT(ABS(F45)*100,"0.0")&amp;"%")&amp;IF(AND(LEN(IF(E45="","","ending_cash "&amp;IF(E45&lt;0,"-","+")&amp;TEXT(ABS(E45)*100,"0.0")&amp;"%")&amp;IF(AND(LEN(IF(E45="","","ending_cash "&amp;IF(E45&lt;0,"-","+")&amp;TEXT(ABS(E45)*100,"0.0")&amp;"%"))&gt;0,LEN(IF(F45="","","ebitda "&amp;IF(F45&lt;0,"-","+")&amp;TEXT(ABS(F45)*100,"0.0")&amp;"%"))&gt;0),", ","")&amp;IF(F45="","","ebitda "&amp;IF(F45&lt;0,"-","+")&amp;TEXT(ABS(F45)*100,"0.0")&amp;"%"))&gt;0,LEN(IF(G45="","","revenue "&amp;IF(G45&lt;0,"-","+")&amp;TEXT(ABS(G45)*100,"0.0")&amp;"%"))&gt;0),", ","")&amp;IF(G45="","","revenue "&amp;IF(G45&lt;0,"-","+")&amp;TEXT(ABS(G45)*100,"0.0")&amp;"%"))&gt;0,LEN(IF(H45="","","gross_margin "&amp;IF(H45&lt;0,"-","+")&amp;TEXT(ABS(H45)*100,"0.0")&amp;"%"))&gt;0),", ","")&amp;IF(H45="","","gross_margin "&amp;IF(H45&lt;0,"-","+")&amp;TEXT(ABS(H45)*100,"0.0")&amp;"%")&amp;" |")</f>
        <v/>
      </c>
      <c r="R45">
        <f>IF(Q45="","",ROW()-4)</f>
        <v/>
      </c>
    </row>
    <row r="46">
      <c r="A46" s="8" t="n"/>
      <c r="B46" s="8" t="n"/>
      <c r="C46" s="8" t="n"/>
      <c r="D46" s="19" t="n"/>
      <c r="E46" s="20" t="n"/>
      <c r="F46" s="20" t="n"/>
      <c r="G46" s="20" t="n"/>
      <c r="H46" s="20" t="n"/>
      <c r="I46" s="10" t="n"/>
      <c r="J46" s="10" t="n"/>
      <c r="K46" s="10" t="n"/>
      <c r="L46" s="10" t="n"/>
      <c r="M46" s="21">
        <f>IF(OR(E46="",I46="",E46=-1),"",I46/(1+E46))</f>
        <v/>
      </c>
      <c r="N46" s="21">
        <f>IF(OR(F46="",J46="",F46=-1),"",J46/(1+F46))</f>
        <v/>
      </c>
      <c r="O46" s="21">
        <f>IF(OR(G46="",K46="",G46=-1),"",K46/(1+G46))</f>
        <v/>
      </c>
      <c r="P46" s="21">
        <f>IF(OR(H46="",L46="",H46=-1),"",L46/(1+H46))</f>
        <v/>
      </c>
      <c r="Q46" s="6">
        <f>IF(OR(A46="",LOWER(C46)&lt;&gt;"y"),"","| "&amp;A46&amp;" | "&amp;TEXT(D46,"0.0000")&amp;" | "&amp;IF(E46="","","ending_cash "&amp;IF(E46&lt;0,"-","+")&amp;TEXT(ABS(E46)*100,"0.0")&amp;"%")&amp;IF(AND(LEN(IF(E46="","","ending_cash "&amp;IF(E46&lt;0,"-","+")&amp;TEXT(ABS(E46)*100,"0.0")&amp;"%"))&gt;0,LEN(IF(F46="","","ebitda "&amp;IF(F46&lt;0,"-","+")&amp;TEXT(ABS(F46)*100,"0.0")&amp;"%"))&gt;0),", ","")&amp;IF(F46="","","ebitda "&amp;IF(F46&lt;0,"-","+")&amp;TEXT(ABS(F46)*100,"0.0")&amp;"%")&amp;IF(AND(LEN(IF(E46="","","ending_cash "&amp;IF(E46&lt;0,"-","+")&amp;TEXT(ABS(E46)*100,"0.0")&amp;"%")&amp;IF(AND(LEN(IF(E46="","","ending_cash "&amp;IF(E46&lt;0,"-","+")&amp;TEXT(ABS(E46)*100,"0.0")&amp;"%"))&gt;0,LEN(IF(F46="","","ebitda "&amp;IF(F46&lt;0,"-","+")&amp;TEXT(ABS(F46)*100,"0.0")&amp;"%"))&gt;0),", ","")&amp;IF(F46="","","ebitda "&amp;IF(F46&lt;0,"-","+")&amp;TEXT(ABS(F46)*100,"0.0")&amp;"%"))&gt;0,LEN(IF(G46="","","revenue "&amp;IF(G46&lt;0,"-","+")&amp;TEXT(ABS(G46)*100,"0.0")&amp;"%"))&gt;0),", ","")&amp;IF(G46="","","revenue "&amp;IF(G46&lt;0,"-","+")&amp;TEXT(ABS(G46)*100,"0.0")&amp;"%")&amp;IF(AND(LEN(IF(E46="","","ending_cash "&amp;IF(E46&lt;0,"-","+")&amp;TEXT(ABS(E46)*100,"0.0")&amp;"%")&amp;IF(AND(LEN(IF(E46="","","ending_cash "&amp;IF(E46&lt;0,"-","+")&amp;TEXT(ABS(E46)*100,"0.0")&amp;"%"))&gt;0,LEN(IF(F46="","","ebitda "&amp;IF(F46&lt;0,"-","+")&amp;TEXT(ABS(F46)*100,"0.0")&amp;"%"))&gt;0),", ","")&amp;IF(F46="","","ebitda "&amp;IF(F46&lt;0,"-","+")&amp;TEXT(ABS(F46)*100,"0.0")&amp;"%")&amp;IF(AND(LEN(IF(E46="","","ending_cash "&amp;IF(E46&lt;0,"-","+")&amp;TEXT(ABS(E46)*100,"0.0")&amp;"%")&amp;IF(AND(LEN(IF(E46="","","ending_cash "&amp;IF(E46&lt;0,"-","+")&amp;TEXT(ABS(E46)*100,"0.0")&amp;"%"))&gt;0,LEN(IF(F46="","","ebitda "&amp;IF(F46&lt;0,"-","+")&amp;TEXT(ABS(F46)*100,"0.0")&amp;"%"))&gt;0),", ","")&amp;IF(F46="","","ebitda "&amp;IF(F46&lt;0,"-","+")&amp;TEXT(ABS(F46)*100,"0.0")&amp;"%"))&gt;0,LEN(IF(G46="","","revenue "&amp;IF(G46&lt;0,"-","+")&amp;TEXT(ABS(G46)*100,"0.0")&amp;"%"))&gt;0),", ","")&amp;IF(G46="","","revenue "&amp;IF(G46&lt;0,"-","+")&amp;TEXT(ABS(G46)*100,"0.0")&amp;"%"))&gt;0,LEN(IF(H46="","","gross_margin "&amp;IF(H46&lt;0,"-","+")&amp;TEXT(ABS(H46)*100,"0.0")&amp;"%"))&gt;0),", ","")&amp;IF(H46="","","gross_margin "&amp;IF(H46&lt;0,"-","+")&amp;TEXT(ABS(H46)*100,"0.0")&amp;"%")&amp;" |")</f>
        <v/>
      </c>
      <c r="R46">
        <f>IF(Q46="","",ROW()-4)</f>
        <v/>
      </c>
    </row>
    <row r="47">
      <c r="A47" s="8" t="n"/>
      <c r="B47" s="8" t="n"/>
      <c r="C47" s="8" t="n"/>
      <c r="D47" s="19" t="n"/>
      <c r="E47" s="20" t="n"/>
      <c r="F47" s="20" t="n"/>
      <c r="G47" s="20" t="n"/>
      <c r="H47" s="20" t="n"/>
      <c r="I47" s="10" t="n"/>
      <c r="J47" s="10" t="n"/>
      <c r="K47" s="10" t="n"/>
      <c r="L47" s="10" t="n"/>
      <c r="M47" s="21">
        <f>IF(OR(E47="",I47="",E47=-1),"",I47/(1+E47))</f>
        <v/>
      </c>
      <c r="N47" s="21">
        <f>IF(OR(F47="",J47="",F47=-1),"",J47/(1+F47))</f>
        <v/>
      </c>
      <c r="O47" s="21">
        <f>IF(OR(G47="",K47="",G47=-1),"",K47/(1+G47))</f>
        <v/>
      </c>
      <c r="P47" s="21">
        <f>IF(OR(H47="",L47="",H47=-1),"",L47/(1+H47))</f>
        <v/>
      </c>
      <c r="Q47" s="6">
        <f>IF(OR(A47="",LOWER(C47)&lt;&gt;"y"),"","| "&amp;A47&amp;" | "&amp;TEXT(D47,"0.0000")&amp;" | "&amp;IF(E47="","","ending_cash "&amp;IF(E47&lt;0,"-","+")&amp;TEXT(ABS(E47)*100,"0.0")&amp;"%")&amp;IF(AND(LEN(IF(E47="","","ending_cash "&amp;IF(E47&lt;0,"-","+")&amp;TEXT(ABS(E47)*100,"0.0")&amp;"%"))&gt;0,LEN(IF(F47="","","ebitda "&amp;IF(F47&lt;0,"-","+")&amp;TEXT(ABS(F47)*100,"0.0")&amp;"%"))&gt;0),", ","")&amp;IF(F47="","","ebitda "&amp;IF(F47&lt;0,"-","+")&amp;TEXT(ABS(F47)*100,"0.0")&amp;"%")&amp;IF(AND(LEN(IF(E47="","","ending_cash "&amp;IF(E47&lt;0,"-","+")&amp;TEXT(ABS(E47)*100,"0.0")&amp;"%")&amp;IF(AND(LEN(IF(E47="","","ending_cash "&amp;IF(E47&lt;0,"-","+")&amp;TEXT(ABS(E47)*100,"0.0")&amp;"%"))&gt;0,LEN(IF(F47="","","ebitda "&amp;IF(F47&lt;0,"-","+")&amp;TEXT(ABS(F47)*100,"0.0")&amp;"%"))&gt;0),", ","")&amp;IF(F47="","","ebitda "&amp;IF(F47&lt;0,"-","+")&amp;TEXT(ABS(F47)*100,"0.0")&amp;"%"))&gt;0,LEN(IF(G47="","","revenue "&amp;IF(G47&lt;0,"-","+")&amp;TEXT(ABS(G47)*100,"0.0")&amp;"%"))&gt;0),", ","")&amp;IF(G47="","","revenue "&amp;IF(G47&lt;0,"-","+")&amp;TEXT(ABS(G47)*100,"0.0")&amp;"%")&amp;IF(AND(LEN(IF(E47="","","ending_cash "&amp;IF(E47&lt;0,"-","+")&amp;TEXT(ABS(E47)*100,"0.0")&amp;"%")&amp;IF(AND(LEN(IF(E47="","","ending_cash "&amp;IF(E47&lt;0,"-","+")&amp;TEXT(ABS(E47)*100,"0.0")&amp;"%"))&gt;0,LEN(IF(F47="","","ebitda "&amp;IF(F47&lt;0,"-","+")&amp;TEXT(ABS(F47)*100,"0.0")&amp;"%"))&gt;0),", ","")&amp;IF(F47="","","ebitda "&amp;IF(F47&lt;0,"-","+")&amp;TEXT(ABS(F47)*100,"0.0")&amp;"%")&amp;IF(AND(LEN(IF(E47="","","ending_cash "&amp;IF(E47&lt;0,"-","+")&amp;TEXT(ABS(E47)*100,"0.0")&amp;"%")&amp;IF(AND(LEN(IF(E47="","","ending_cash "&amp;IF(E47&lt;0,"-","+")&amp;TEXT(ABS(E47)*100,"0.0")&amp;"%"))&gt;0,LEN(IF(F47="","","ebitda "&amp;IF(F47&lt;0,"-","+")&amp;TEXT(ABS(F47)*100,"0.0")&amp;"%"))&gt;0),", ","")&amp;IF(F47="","","ebitda "&amp;IF(F47&lt;0,"-","+")&amp;TEXT(ABS(F47)*100,"0.0")&amp;"%"))&gt;0,LEN(IF(G47="","","revenue "&amp;IF(G47&lt;0,"-","+")&amp;TEXT(ABS(G47)*100,"0.0")&amp;"%"))&gt;0),", ","")&amp;IF(G47="","","revenue "&amp;IF(G47&lt;0,"-","+")&amp;TEXT(ABS(G47)*100,"0.0")&amp;"%"))&gt;0,LEN(IF(H47="","","gross_margin "&amp;IF(H47&lt;0,"-","+")&amp;TEXT(ABS(H47)*100,"0.0")&amp;"%"))&gt;0),", ","")&amp;IF(H47="","","gross_margin "&amp;IF(H47&lt;0,"-","+")&amp;TEXT(ABS(H47)*100,"0.0")&amp;"%")&amp;" |")</f>
        <v/>
      </c>
      <c r="R47">
        <f>IF(Q47="","",ROW()-4)</f>
        <v/>
      </c>
    </row>
    <row r="48">
      <c r="A48" s="8" t="n"/>
      <c r="B48" s="8" t="n"/>
      <c r="C48" s="8" t="n"/>
      <c r="D48" s="19" t="n"/>
      <c r="E48" s="20" t="n"/>
      <c r="F48" s="20" t="n"/>
      <c r="G48" s="20" t="n"/>
      <c r="H48" s="20" t="n"/>
      <c r="I48" s="10" t="n"/>
      <c r="J48" s="10" t="n"/>
      <c r="K48" s="10" t="n"/>
      <c r="L48" s="10" t="n"/>
      <c r="M48" s="21">
        <f>IF(OR(E48="",I48="",E48=-1),"",I48/(1+E48))</f>
        <v/>
      </c>
      <c r="N48" s="21">
        <f>IF(OR(F48="",J48="",F48=-1),"",J48/(1+F48))</f>
        <v/>
      </c>
      <c r="O48" s="21">
        <f>IF(OR(G48="",K48="",G48=-1),"",K48/(1+G48))</f>
        <v/>
      </c>
      <c r="P48" s="21">
        <f>IF(OR(H48="",L48="",H48=-1),"",L48/(1+H48))</f>
        <v/>
      </c>
      <c r="Q48" s="6">
        <f>IF(OR(A48="",LOWER(C48)&lt;&gt;"y"),"","| "&amp;A48&amp;" | "&amp;TEXT(D48,"0.0000")&amp;" | "&amp;IF(E48="","","ending_cash "&amp;IF(E48&lt;0,"-","+")&amp;TEXT(ABS(E48)*100,"0.0")&amp;"%")&amp;IF(AND(LEN(IF(E48="","","ending_cash "&amp;IF(E48&lt;0,"-","+")&amp;TEXT(ABS(E48)*100,"0.0")&amp;"%"))&gt;0,LEN(IF(F48="","","ebitda "&amp;IF(F48&lt;0,"-","+")&amp;TEXT(ABS(F48)*100,"0.0")&amp;"%"))&gt;0),", ","")&amp;IF(F48="","","ebitda "&amp;IF(F48&lt;0,"-","+")&amp;TEXT(ABS(F48)*100,"0.0")&amp;"%")&amp;IF(AND(LEN(IF(E48="","","ending_cash "&amp;IF(E48&lt;0,"-","+")&amp;TEXT(ABS(E48)*100,"0.0")&amp;"%")&amp;IF(AND(LEN(IF(E48="","","ending_cash "&amp;IF(E48&lt;0,"-","+")&amp;TEXT(ABS(E48)*100,"0.0")&amp;"%"))&gt;0,LEN(IF(F48="","","ebitda "&amp;IF(F48&lt;0,"-","+")&amp;TEXT(ABS(F48)*100,"0.0")&amp;"%"))&gt;0),", ","")&amp;IF(F48="","","ebitda "&amp;IF(F48&lt;0,"-","+")&amp;TEXT(ABS(F48)*100,"0.0")&amp;"%"))&gt;0,LEN(IF(G48="","","revenue "&amp;IF(G48&lt;0,"-","+")&amp;TEXT(ABS(G48)*100,"0.0")&amp;"%"))&gt;0),", ","")&amp;IF(G48="","","revenue "&amp;IF(G48&lt;0,"-","+")&amp;TEXT(ABS(G48)*100,"0.0")&amp;"%")&amp;IF(AND(LEN(IF(E48="","","ending_cash "&amp;IF(E48&lt;0,"-","+")&amp;TEXT(ABS(E48)*100,"0.0")&amp;"%")&amp;IF(AND(LEN(IF(E48="","","ending_cash "&amp;IF(E48&lt;0,"-","+")&amp;TEXT(ABS(E48)*100,"0.0")&amp;"%"))&gt;0,LEN(IF(F48="","","ebitda "&amp;IF(F48&lt;0,"-","+")&amp;TEXT(ABS(F48)*100,"0.0")&amp;"%"))&gt;0),", ","")&amp;IF(F48="","","ebitda "&amp;IF(F48&lt;0,"-","+")&amp;TEXT(ABS(F48)*100,"0.0")&amp;"%")&amp;IF(AND(LEN(IF(E48="","","ending_cash "&amp;IF(E48&lt;0,"-","+")&amp;TEXT(ABS(E48)*100,"0.0")&amp;"%")&amp;IF(AND(LEN(IF(E48="","","ending_cash "&amp;IF(E48&lt;0,"-","+")&amp;TEXT(ABS(E48)*100,"0.0")&amp;"%"))&gt;0,LEN(IF(F48="","","ebitda "&amp;IF(F48&lt;0,"-","+")&amp;TEXT(ABS(F48)*100,"0.0")&amp;"%"))&gt;0),", ","")&amp;IF(F48="","","ebitda "&amp;IF(F48&lt;0,"-","+")&amp;TEXT(ABS(F48)*100,"0.0")&amp;"%"))&gt;0,LEN(IF(G48="","","revenue "&amp;IF(G48&lt;0,"-","+")&amp;TEXT(ABS(G48)*100,"0.0")&amp;"%"))&gt;0),", ","")&amp;IF(G48="","","revenue "&amp;IF(G48&lt;0,"-","+")&amp;TEXT(ABS(G48)*100,"0.0")&amp;"%"))&gt;0,LEN(IF(H48="","","gross_margin "&amp;IF(H48&lt;0,"-","+")&amp;TEXT(ABS(H48)*100,"0.0")&amp;"%"))&gt;0),", ","")&amp;IF(H48="","","gross_margin "&amp;IF(H48&lt;0,"-","+")&amp;TEXT(ABS(H48)*100,"0.0")&amp;"%")&amp;" |")</f>
        <v/>
      </c>
      <c r="R48">
        <f>IF(Q48="","",ROW()-4)</f>
        <v/>
      </c>
    </row>
    <row r="49">
      <c r="A49" s="8" t="n"/>
      <c r="B49" s="8" t="n"/>
      <c r="C49" s="8" t="n"/>
      <c r="D49" s="19" t="n"/>
      <c r="E49" s="20" t="n"/>
      <c r="F49" s="20" t="n"/>
      <c r="G49" s="20" t="n"/>
      <c r="H49" s="20" t="n"/>
      <c r="I49" s="10" t="n"/>
      <c r="J49" s="10" t="n"/>
      <c r="K49" s="10" t="n"/>
      <c r="L49" s="10" t="n"/>
      <c r="M49" s="21">
        <f>IF(OR(E49="",I49="",E49=-1),"",I49/(1+E49))</f>
        <v/>
      </c>
      <c r="N49" s="21">
        <f>IF(OR(F49="",J49="",F49=-1),"",J49/(1+F49))</f>
        <v/>
      </c>
      <c r="O49" s="21">
        <f>IF(OR(G49="",K49="",G49=-1),"",K49/(1+G49))</f>
        <v/>
      </c>
      <c r="P49" s="21">
        <f>IF(OR(H49="",L49="",H49=-1),"",L49/(1+H49))</f>
        <v/>
      </c>
      <c r="Q49" s="6">
        <f>IF(OR(A49="",LOWER(C49)&lt;&gt;"y"),"","| "&amp;A49&amp;" | "&amp;TEXT(D49,"0.0000")&amp;" | "&amp;IF(E49="","","ending_cash "&amp;IF(E49&lt;0,"-","+")&amp;TEXT(ABS(E49)*100,"0.0")&amp;"%")&amp;IF(AND(LEN(IF(E49="","","ending_cash "&amp;IF(E49&lt;0,"-","+")&amp;TEXT(ABS(E49)*100,"0.0")&amp;"%"))&gt;0,LEN(IF(F49="","","ebitda "&amp;IF(F49&lt;0,"-","+")&amp;TEXT(ABS(F49)*100,"0.0")&amp;"%"))&gt;0),", ","")&amp;IF(F49="","","ebitda "&amp;IF(F49&lt;0,"-","+")&amp;TEXT(ABS(F49)*100,"0.0")&amp;"%")&amp;IF(AND(LEN(IF(E49="","","ending_cash "&amp;IF(E49&lt;0,"-","+")&amp;TEXT(ABS(E49)*100,"0.0")&amp;"%")&amp;IF(AND(LEN(IF(E49="","","ending_cash "&amp;IF(E49&lt;0,"-","+")&amp;TEXT(ABS(E49)*100,"0.0")&amp;"%"))&gt;0,LEN(IF(F49="","","ebitda "&amp;IF(F49&lt;0,"-","+")&amp;TEXT(ABS(F49)*100,"0.0")&amp;"%"))&gt;0),", ","")&amp;IF(F49="","","ebitda "&amp;IF(F49&lt;0,"-","+")&amp;TEXT(ABS(F49)*100,"0.0")&amp;"%"))&gt;0,LEN(IF(G49="","","revenue "&amp;IF(G49&lt;0,"-","+")&amp;TEXT(ABS(G49)*100,"0.0")&amp;"%"))&gt;0),", ","")&amp;IF(G49="","","revenue "&amp;IF(G49&lt;0,"-","+")&amp;TEXT(ABS(G49)*100,"0.0")&amp;"%")&amp;IF(AND(LEN(IF(E49="","","ending_cash "&amp;IF(E49&lt;0,"-","+")&amp;TEXT(ABS(E49)*100,"0.0")&amp;"%")&amp;IF(AND(LEN(IF(E49="","","ending_cash "&amp;IF(E49&lt;0,"-","+")&amp;TEXT(ABS(E49)*100,"0.0")&amp;"%"))&gt;0,LEN(IF(F49="","","ebitda "&amp;IF(F49&lt;0,"-","+")&amp;TEXT(ABS(F49)*100,"0.0")&amp;"%"))&gt;0),", ","")&amp;IF(F49="","","ebitda "&amp;IF(F49&lt;0,"-","+")&amp;TEXT(ABS(F49)*100,"0.0")&amp;"%")&amp;IF(AND(LEN(IF(E49="","","ending_cash "&amp;IF(E49&lt;0,"-","+")&amp;TEXT(ABS(E49)*100,"0.0")&amp;"%")&amp;IF(AND(LEN(IF(E49="","","ending_cash "&amp;IF(E49&lt;0,"-","+")&amp;TEXT(ABS(E49)*100,"0.0")&amp;"%"))&gt;0,LEN(IF(F49="","","ebitda "&amp;IF(F49&lt;0,"-","+")&amp;TEXT(ABS(F49)*100,"0.0")&amp;"%"))&gt;0),", ","")&amp;IF(F49="","","ebitda "&amp;IF(F49&lt;0,"-","+")&amp;TEXT(ABS(F49)*100,"0.0")&amp;"%"))&gt;0,LEN(IF(G49="","","revenue "&amp;IF(G49&lt;0,"-","+")&amp;TEXT(ABS(G49)*100,"0.0")&amp;"%"))&gt;0),", ","")&amp;IF(G49="","","revenue "&amp;IF(G49&lt;0,"-","+")&amp;TEXT(ABS(G49)*100,"0.0")&amp;"%"))&gt;0,LEN(IF(H49="","","gross_margin "&amp;IF(H49&lt;0,"-","+")&amp;TEXT(ABS(H49)*100,"0.0")&amp;"%"))&gt;0),", ","")&amp;IF(H49="","","gross_margin "&amp;IF(H49&lt;0,"-","+")&amp;TEXT(ABS(H49)*100,"0.0")&amp;"%")&amp;" |")</f>
        <v/>
      </c>
      <c r="R49">
        <f>IF(Q49="","",ROW()-4)</f>
        <v/>
      </c>
    </row>
    <row r="50">
      <c r="A50" s="8" t="n"/>
      <c r="B50" s="8" t="n"/>
      <c r="C50" s="8" t="n"/>
      <c r="D50" s="19" t="n"/>
      <c r="E50" s="20" t="n"/>
      <c r="F50" s="20" t="n"/>
      <c r="G50" s="20" t="n"/>
      <c r="H50" s="20" t="n"/>
      <c r="I50" s="10" t="n"/>
      <c r="J50" s="10" t="n"/>
      <c r="K50" s="10" t="n"/>
      <c r="L50" s="10" t="n"/>
      <c r="M50" s="21">
        <f>IF(OR(E50="",I50="",E50=-1),"",I50/(1+E50))</f>
        <v/>
      </c>
      <c r="N50" s="21">
        <f>IF(OR(F50="",J50="",F50=-1),"",J50/(1+F50))</f>
        <v/>
      </c>
      <c r="O50" s="21">
        <f>IF(OR(G50="",K50="",G50=-1),"",K50/(1+G50))</f>
        <v/>
      </c>
      <c r="P50" s="21">
        <f>IF(OR(H50="",L50="",H50=-1),"",L50/(1+H50))</f>
        <v/>
      </c>
      <c r="Q50" s="6">
        <f>IF(OR(A50="",LOWER(C50)&lt;&gt;"y"),"","| "&amp;A50&amp;" | "&amp;TEXT(D50,"0.0000")&amp;" | "&amp;IF(E50="","","ending_cash "&amp;IF(E50&lt;0,"-","+")&amp;TEXT(ABS(E50)*100,"0.0")&amp;"%")&amp;IF(AND(LEN(IF(E50="","","ending_cash "&amp;IF(E50&lt;0,"-","+")&amp;TEXT(ABS(E50)*100,"0.0")&amp;"%"))&gt;0,LEN(IF(F50="","","ebitda "&amp;IF(F50&lt;0,"-","+")&amp;TEXT(ABS(F50)*100,"0.0")&amp;"%"))&gt;0),", ","")&amp;IF(F50="","","ebitda "&amp;IF(F50&lt;0,"-","+")&amp;TEXT(ABS(F50)*100,"0.0")&amp;"%")&amp;IF(AND(LEN(IF(E50="","","ending_cash "&amp;IF(E50&lt;0,"-","+")&amp;TEXT(ABS(E50)*100,"0.0")&amp;"%")&amp;IF(AND(LEN(IF(E50="","","ending_cash "&amp;IF(E50&lt;0,"-","+")&amp;TEXT(ABS(E50)*100,"0.0")&amp;"%"))&gt;0,LEN(IF(F50="","","ebitda "&amp;IF(F50&lt;0,"-","+")&amp;TEXT(ABS(F50)*100,"0.0")&amp;"%"))&gt;0),", ","")&amp;IF(F50="","","ebitda "&amp;IF(F50&lt;0,"-","+")&amp;TEXT(ABS(F50)*100,"0.0")&amp;"%"))&gt;0,LEN(IF(G50="","","revenue "&amp;IF(G50&lt;0,"-","+")&amp;TEXT(ABS(G50)*100,"0.0")&amp;"%"))&gt;0),", ","")&amp;IF(G50="","","revenue "&amp;IF(G50&lt;0,"-","+")&amp;TEXT(ABS(G50)*100,"0.0")&amp;"%")&amp;IF(AND(LEN(IF(E50="","","ending_cash "&amp;IF(E50&lt;0,"-","+")&amp;TEXT(ABS(E50)*100,"0.0")&amp;"%")&amp;IF(AND(LEN(IF(E50="","","ending_cash "&amp;IF(E50&lt;0,"-","+")&amp;TEXT(ABS(E50)*100,"0.0")&amp;"%"))&gt;0,LEN(IF(F50="","","ebitda "&amp;IF(F50&lt;0,"-","+")&amp;TEXT(ABS(F50)*100,"0.0")&amp;"%"))&gt;0),", ","")&amp;IF(F50="","","ebitda "&amp;IF(F50&lt;0,"-","+")&amp;TEXT(ABS(F50)*100,"0.0")&amp;"%")&amp;IF(AND(LEN(IF(E50="","","ending_cash "&amp;IF(E50&lt;0,"-","+")&amp;TEXT(ABS(E50)*100,"0.0")&amp;"%")&amp;IF(AND(LEN(IF(E50="","","ending_cash "&amp;IF(E50&lt;0,"-","+")&amp;TEXT(ABS(E50)*100,"0.0")&amp;"%"))&gt;0,LEN(IF(F50="","","ebitda "&amp;IF(F50&lt;0,"-","+")&amp;TEXT(ABS(F50)*100,"0.0")&amp;"%"))&gt;0),", ","")&amp;IF(F50="","","ebitda "&amp;IF(F50&lt;0,"-","+")&amp;TEXT(ABS(F50)*100,"0.0")&amp;"%"))&gt;0,LEN(IF(G50="","","revenue "&amp;IF(G50&lt;0,"-","+")&amp;TEXT(ABS(G50)*100,"0.0")&amp;"%"))&gt;0),", ","")&amp;IF(G50="","","revenue "&amp;IF(G50&lt;0,"-","+")&amp;TEXT(ABS(G50)*100,"0.0")&amp;"%"))&gt;0,LEN(IF(H50="","","gross_margin "&amp;IF(H50&lt;0,"-","+")&amp;TEXT(ABS(H50)*100,"0.0")&amp;"%"))&gt;0),", ","")&amp;IF(H50="","","gross_margin "&amp;IF(H50&lt;0,"-","+")&amp;TEXT(ABS(H50)*100,"0.0")&amp;"%")&amp;" |")</f>
        <v/>
      </c>
      <c r="R50">
        <f>IF(Q50="","",ROW()-4)</f>
        <v/>
      </c>
    </row>
    <row r="51">
      <c r="A51" s="8" t="n"/>
      <c r="B51" s="8" t="n"/>
      <c r="C51" s="8" t="n"/>
      <c r="D51" s="19" t="n"/>
      <c r="E51" s="20" t="n"/>
      <c r="F51" s="20" t="n"/>
      <c r="G51" s="20" t="n"/>
      <c r="H51" s="20" t="n"/>
      <c r="I51" s="10" t="n"/>
      <c r="J51" s="10" t="n"/>
      <c r="K51" s="10" t="n"/>
      <c r="L51" s="10" t="n"/>
      <c r="M51" s="21">
        <f>IF(OR(E51="",I51="",E51=-1),"",I51/(1+E51))</f>
        <v/>
      </c>
      <c r="N51" s="21">
        <f>IF(OR(F51="",J51="",F51=-1),"",J51/(1+F51))</f>
        <v/>
      </c>
      <c r="O51" s="21">
        <f>IF(OR(G51="",K51="",G51=-1),"",K51/(1+G51))</f>
        <v/>
      </c>
      <c r="P51" s="21">
        <f>IF(OR(H51="",L51="",H51=-1),"",L51/(1+H51))</f>
        <v/>
      </c>
      <c r="Q51" s="6">
        <f>IF(OR(A51="",LOWER(C51)&lt;&gt;"y"),"","| "&amp;A51&amp;" | "&amp;TEXT(D51,"0.0000")&amp;" | "&amp;IF(E51="","","ending_cash "&amp;IF(E51&lt;0,"-","+")&amp;TEXT(ABS(E51)*100,"0.0")&amp;"%")&amp;IF(AND(LEN(IF(E51="","","ending_cash "&amp;IF(E51&lt;0,"-","+")&amp;TEXT(ABS(E51)*100,"0.0")&amp;"%"))&gt;0,LEN(IF(F51="","","ebitda "&amp;IF(F51&lt;0,"-","+")&amp;TEXT(ABS(F51)*100,"0.0")&amp;"%"))&gt;0),", ","")&amp;IF(F51="","","ebitda "&amp;IF(F51&lt;0,"-","+")&amp;TEXT(ABS(F51)*100,"0.0")&amp;"%")&amp;IF(AND(LEN(IF(E51="","","ending_cash "&amp;IF(E51&lt;0,"-","+")&amp;TEXT(ABS(E51)*100,"0.0")&amp;"%")&amp;IF(AND(LEN(IF(E51="","","ending_cash "&amp;IF(E51&lt;0,"-","+")&amp;TEXT(ABS(E51)*100,"0.0")&amp;"%"))&gt;0,LEN(IF(F51="","","ebitda "&amp;IF(F51&lt;0,"-","+")&amp;TEXT(ABS(F51)*100,"0.0")&amp;"%"))&gt;0),", ","")&amp;IF(F51="","","ebitda "&amp;IF(F51&lt;0,"-","+")&amp;TEXT(ABS(F51)*100,"0.0")&amp;"%"))&gt;0,LEN(IF(G51="","","revenue "&amp;IF(G51&lt;0,"-","+")&amp;TEXT(ABS(G51)*100,"0.0")&amp;"%"))&gt;0),", ","")&amp;IF(G51="","","revenue "&amp;IF(G51&lt;0,"-","+")&amp;TEXT(ABS(G51)*100,"0.0")&amp;"%")&amp;IF(AND(LEN(IF(E51="","","ending_cash "&amp;IF(E51&lt;0,"-","+")&amp;TEXT(ABS(E51)*100,"0.0")&amp;"%")&amp;IF(AND(LEN(IF(E51="","","ending_cash "&amp;IF(E51&lt;0,"-","+")&amp;TEXT(ABS(E51)*100,"0.0")&amp;"%"))&gt;0,LEN(IF(F51="","","ebitda "&amp;IF(F51&lt;0,"-","+")&amp;TEXT(ABS(F51)*100,"0.0")&amp;"%"))&gt;0),", ","")&amp;IF(F51="","","ebitda "&amp;IF(F51&lt;0,"-","+")&amp;TEXT(ABS(F51)*100,"0.0")&amp;"%")&amp;IF(AND(LEN(IF(E51="","","ending_cash "&amp;IF(E51&lt;0,"-","+")&amp;TEXT(ABS(E51)*100,"0.0")&amp;"%")&amp;IF(AND(LEN(IF(E51="","","ending_cash "&amp;IF(E51&lt;0,"-","+")&amp;TEXT(ABS(E51)*100,"0.0")&amp;"%"))&gt;0,LEN(IF(F51="","","ebitda "&amp;IF(F51&lt;0,"-","+")&amp;TEXT(ABS(F51)*100,"0.0")&amp;"%"))&gt;0),", ","")&amp;IF(F51="","","ebitda "&amp;IF(F51&lt;0,"-","+")&amp;TEXT(ABS(F51)*100,"0.0")&amp;"%"))&gt;0,LEN(IF(G51="","","revenue "&amp;IF(G51&lt;0,"-","+")&amp;TEXT(ABS(G51)*100,"0.0")&amp;"%"))&gt;0),", ","")&amp;IF(G51="","","revenue "&amp;IF(G51&lt;0,"-","+")&amp;TEXT(ABS(G51)*100,"0.0")&amp;"%"))&gt;0,LEN(IF(H51="","","gross_margin "&amp;IF(H51&lt;0,"-","+")&amp;TEXT(ABS(H51)*100,"0.0")&amp;"%"))&gt;0),", ","")&amp;IF(H51="","","gross_margin "&amp;IF(H51&lt;0,"-","+")&amp;TEXT(ABS(H51)*100,"0.0")&amp;"%")&amp;" |")</f>
        <v/>
      </c>
      <c r="R51">
        <f>IF(Q51="","",ROW()-4)</f>
        <v/>
      </c>
    </row>
    <row r="52">
      <c r="A52" s="8" t="n"/>
      <c r="B52" s="8" t="n"/>
      <c r="C52" s="8" t="n"/>
      <c r="D52" s="19" t="n"/>
      <c r="E52" s="20" t="n"/>
      <c r="F52" s="20" t="n"/>
      <c r="G52" s="20" t="n"/>
      <c r="H52" s="20" t="n"/>
      <c r="I52" s="10" t="n"/>
      <c r="J52" s="10" t="n"/>
      <c r="K52" s="10" t="n"/>
      <c r="L52" s="10" t="n"/>
      <c r="M52" s="21">
        <f>IF(OR(E52="",I52="",E52=-1),"",I52/(1+E52))</f>
        <v/>
      </c>
      <c r="N52" s="21">
        <f>IF(OR(F52="",J52="",F52=-1),"",J52/(1+F52))</f>
        <v/>
      </c>
      <c r="O52" s="21">
        <f>IF(OR(G52="",K52="",G52=-1),"",K52/(1+G52))</f>
        <v/>
      </c>
      <c r="P52" s="21">
        <f>IF(OR(H52="",L52="",H52=-1),"",L52/(1+H52))</f>
        <v/>
      </c>
      <c r="Q52" s="6">
        <f>IF(OR(A52="",LOWER(C52)&lt;&gt;"y"),"","| "&amp;A52&amp;" | "&amp;TEXT(D52,"0.0000")&amp;" | "&amp;IF(E52="","","ending_cash "&amp;IF(E52&lt;0,"-","+")&amp;TEXT(ABS(E52)*100,"0.0")&amp;"%")&amp;IF(AND(LEN(IF(E52="","","ending_cash "&amp;IF(E52&lt;0,"-","+")&amp;TEXT(ABS(E52)*100,"0.0")&amp;"%"))&gt;0,LEN(IF(F52="","","ebitda "&amp;IF(F52&lt;0,"-","+")&amp;TEXT(ABS(F52)*100,"0.0")&amp;"%"))&gt;0),", ","")&amp;IF(F52="","","ebitda "&amp;IF(F52&lt;0,"-","+")&amp;TEXT(ABS(F52)*100,"0.0")&amp;"%")&amp;IF(AND(LEN(IF(E52="","","ending_cash "&amp;IF(E52&lt;0,"-","+")&amp;TEXT(ABS(E52)*100,"0.0")&amp;"%")&amp;IF(AND(LEN(IF(E52="","","ending_cash "&amp;IF(E52&lt;0,"-","+")&amp;TEXT(ABS(E52)*100,"0.0")&amp;"%"))&gt;0,LEN(IF(F52="","","ebitda "&amp;IF(F52&lt;0,"-","+")&amp;TEXT(ABS(F52)*100,"0.0")&amp;"%"))&gt;0),", ","")&amp;IF(F52="","","ebitda "&amp;IF(F52&lt;0,"-","+")&amp;TEXT(ABS(F52)*100,"0.0")&amp;"%"))&gt;0,LEN(IF(G52="","","revenue "&amp;IF(G52&lt;0,"-","+")&amp;TEXT(ABS(G52)*100,"0.0")&amp;"%"))&gt;0),", ","")&amp;IF(G52="","","revenue "&amp;IF(G52&lt;0,"-","+")&amp;TEXT(ABS(G52)*100,"0.0")&amp;"%")&amp;IF(AND(LEN(IF(E52="","","ending_cash "&amp;IF(E52&lt;0,"-","+")&amp;TEXT(ABS(E52)*100,"0.0")&amp;"%")&amp;IF(AND(LEN(IF(E52="","","ending_cash "&amp;IF(E52&lt;0,"-","+")&amp;TEXT(ABS(E52)*100,"0.0")&amp;"%"))&gt;0,LEN(IF(F52="","","ebitda "&amp;IF(F52&lt;0,"-","+")&amp;TEXT(ABS(F52)*100,"0.0")&amp;"%"))&gt;0),", ","")&amp;IF(F52="","","ebitda "&amp;IF(F52&lt;0,"-","+")&amp;TEXT(ABS(F52)*100,"0.0")&amp;"%")&amp;IF(AND(LEN(IF(E52="","","ending_cash "&amp;IF(E52&lt;0,"-","+")&amp;TEXT(ABS(E52)*100,"0.0")&amp;"%")&amp;IF(AND(LEN(IF(E52="","","ending_cash "&amp;IF(E52&lt;0,"-","+")&amp;TEXT(ABS(E52)*100,"0.0")&amp;"%"))&gt;0,LEN(IF(F52="","","ebitda "&amp;IF(F52&lt;0,"-","+")&amp;TEXT(ABS(F52)*100,"0.0")&amp;"%"))&gt;0),", ","")&amp;IF(F52="","","ebitda "&amp;IF(F52&lt;0,"-","+")&amp;TEXT(ABS(F52)*100,"0.0")&amp;"%"))&gt;0,LEN(IF(G52="","","revenue "&amp;IF(G52&lt;0,"-","+")&amp;TEXT(ABS(G52)*100,"0.0")&amp;"%"))&gt;0),", ","")&amp;IF(G52="","","revenue "&amp;IF(G52&lt;0,"-","+")&amp;TEXT(ABS(G52)*100,"0.0")&amp;"%"))&gt;0,LEN(IF(H52="","","gross_margin "&amp;IF(H52&lt;0,"-","+")&amp;TEXT(ABS(H52)*100,"0.0")&amp;"%"))&gt;0),", ","")&amp;IF(H52="","","gross_margin "&amp;IF(H52&lt;0,"-","+")&amp;TEXT(ABS(H52)*100,"0.0")&amp;"%")&amp;" |")</f>
        <v/>
      </c>
      <c r="R52">
        <f>IF(Q52="","",ROW()-4)</f>
        <v/>
      </c>
    </row>
    <row r="53">
      <c r="A53" s="8" t="n"/>
      <c r="B53" s="8" t="n"/>
      <c r="C53" s="8" t="n"/>
      <c r="D53" s="19" t="n"/>
      <c r="E53" s="20" t="n"/>
      <c r="F53" s="20" t="n"/>
      <c r="G53" s="20" t="n"/>
      <c r="H53" s="20" t="n"/>
      <c r="I53" s="10" t="n"/>
      <c r="J53" s="10" t="n"/>
      <c r="K53" s="10" t="n"/>
      <c r="L53" s="10" t="n"/>
      <c r="M53" s="21">
        <f>IF(OR(E53="",I53="",E53=-1),"",I53/(1+E53))</f>
        <v/>
      </c>
      <c r="N53" s="21">
        <f>IF(OR(F53="",J53="",F53=-1),"",J53/(1+F53))</f>
        <v/>
      </c>
      <c r="O53" s="21">
        <f>IF(OR(G53="",K53="",G53=-1),"",K53/(1+G53))</f>
        <v/>
      </c>
      <c r="P53" s="21">
        <f>IF(OR(H53="",L53="",H53=-1),"",L53/(1+H53))</f>
        <v/>
      </c>
      <c r="Q53" s="6">
        <f>IF(OR(A53="",LOWER(C53)&lt;&gt;"y"),"","| "&amp;A53&amp;" | "&amp;TEXT(D53,"0.0000")&amp;" | "&amp;IF(E53="","","ending_cash "&amp;IF(E53&lt;0,"-","+")&amp;TEXT(ABS(E53)*100,"0.0")&amp;"%")&amp;IF(AND(LEN(IF(E53="","","ending_cash "&amp;IF(E53&lt;0,"-","+")&amp;TEXT(ABS(E53)*100,"0.0")&amp;"%"))&gt;0,LEN(IF(F53="","","ebitda "&amp;IF(F53&lt;0,"-","+")&amp;TEXT(ABS(F53)*100,"0.0")&amp;"%"))&gt;0),", ","")&amp;IF(F53="","","ebitda "&amp;IF(F53&lt;0,"-","+")&amp;TEXT(ABS(F53)*100,"0.0")&amp;"%")&amp;IF(AND(LEN(IF(E53="","","ending_cash "&amp;IF(E53&lt;0,"-","+")&amp;TEXT(ABS(E53)*100,"0.0")&amp;"%")&amp;IF(AND(LEN(IF(E53="","","ending_cash "&amp;IF(E53&lt;0,"-","+")&amp;TEXT(ABS(E53)*100,"0.0")&amp;"%"))&gt;0,LEN(IF(F53="","","ebitda "&amp;IF(F53&lt;0,"-","+")&amp;TEXT(ABS(F53)*100,"0.0")&amp;"%"))&gt;0),", ","")&amp;IF(F53="","","ebitda "&amp;IF(F53&lt;0,"-","+")&amp;TEXT(ABS(F53)*100,"0.0")&amp;"%"))&gt;0,LEN(IF(G53="","","revenue "&amp;IF(G53&lt;0,"-","+")&amp;TEXT(ABS(G53)*100,"0.0")&amp;"%"))&gt;0),", ","")&amp;IF(G53="","","revenue "&amp;IF(G53&lt;0,"-","+")&amp;TEXT(ABS(G53)*100,"0.0")&amp;"%")&amp;IF(AND(LEN(IF(E53="","","ending_cash "&amp;IF(E53&lt;0,"-","+")&amp;TEXT(ABS(E53)*100,"0.0")&amp;"%")&amp;IF(AND(LEN(IF(E53="","","ending_cash "&amp;IF(E53&lt;0,"-","+")&amp;TEXT(ABS(E53)*100,"0.0")&amp;"%"))&gt;0,LEN(IF(F53="","","ebitda "&amp;IF(F53&lt;0,"-","+")&amp;TEXT(ABS(F53)*100,"0.0")&amp;"%"))&gt;0),", ","")&amp;IF(F53="","","ebitda "&amp;IF(F53&lt;0,"-","+")&amp;TEXT(ABS(F53)*100,"0.0")&amp;"%")&amp;IF(AND(LEN(IF(E53="","","ending_cash "&amp;IF(E53&lt;0,"-","+")&amp;TEXT(ABS(E53)*100,"0.0")&amp;"%")&amp;IF(AND(LEN(IF(E53="","","ending_cash "&amp;IF(E53&lt;0,"-","+")&amp;TEXT(ABS(E53)*100,"0.0")&amp;"%"))&gt;0,LEN(IF(F53="","","ebitda "&amp;IF(F53&lt;0,"-","+")&amp;TEXT(ABS(F53)*100,"0.0")&amp;"%"))&gt;0),", ","")&amp;IF(F53="","","ebitda "&amp;IF(F53&lt;0,"-","+")&amp;TEXT(ABS(F53)*100,"0.0")&amp;"%"))&gt;0,LEN(IF(G53="","","revenue "&amp;IF(G53&lt;0,"-","+")&amp;TEXT(ABS(G53)*100,"0.0")&amp;"%"))&gt;0),", ","")&amp;IF(G53="","","revenue "&amp;IF(G53&lt;0,"-","+")&amp;TEXT(ABS(G53)*100,"0.0")&amp;"%"))&gt;0,LEN(IF(H53="","","gross_margin "&amp;IF(H53&lt;0,"-","+")&amp;TEXT(ABS(H53)*100,"0.0")&amp;"%"))&gt;0),", ","")&amp;IF(H53="","","gross_margin "&amp;IF(H53&lt;0,"-","+")&amp;TEXT(ABS(H53)*100,"0.0")&amp;"%")&amp;" |")</f>
        <v/>
      </c>
      <c r="R53">
        <f>IF(Q53="","",ROW()-4)</f>
        <v/>
      </c>
    </row>
    <row r="54">
      <c r="A54" s="8" t="n"/>
      <c r="B54" s="8" t="n"/>
      <c r="C54" s="8" t="n"/>
      <c r="D54" s="19" t="n"/>
      <c r="E54" s="20" t="n"/>
      <c r="F54" s="20" t="n"/>
      <c r="G54" s="20" t="n"/>
      <c r="H54" s="20" t="n"/>
      <c r="I54" s="10" t="n"/>
      <c r="J54" s="10" t="n"/>
      <c r="K54" s="10" t="n"/>
      <c r="L54" s="10" t="n"/>
      <c r="M54" s="21">
        <f>IF(OR(E54="",I54="",E54=-1),"",I54/(1+E54))</f>
        <v/>
      </c>
      <c r="N54" s="21">
        <f>IF(OR(F54="",J54="",F54=-1),"",J54/(1+F54))</f>
        <v/>
      </c>
      <c r="O54" s="21">
        <f>IF(OR(G54="",K54="",G54=-1),"",K54/(1+G54))</f>
        <v/>
      </c>
      <c r="P54" s="21">
        <f>IF(OR(H54="",L54="",H54=-1),"",L54/(1+H54))</f>
        <v/>
      </c>
      <c r="Q54" s="6">
        <f>IF(OR(A54="",LOWER(C54)&lt;&gt;"y"),"","| "&amp;A54&amp;" | "&amp;TEXT(D54,"0.0000")&amp;" | "&amp;IF(E54="","","ending_cash "&amp;IF(E54&lt;0,"-","+")&amp;TEXT(ABS(E54)*100,"0.0")&amp;"%")&amp;IF(AND(LEN(IF(E54="","","ending_cash "&amp;IF(E54&lt;0,"-","+")&amp;TEXT(ABS(E54)*100,"0.0")&amp;"%"))&gt;0,LEN(IF(F54="","","ebitda "&amp;IF(F54&lt;0,"-","+")&amp;TEXT(ABS(F54)*100,"0.0")&amp;"%"))&gt;0),", ","")&amp;IF(F54="","","ebitda "&amp;IF(F54&lt;0,"-","+")&amp;TEXT(ABS(F54)*100,"0.0")&amp;"%")&amp;IF(AND(LEN(IF(E54="","","ending_cash "&amp;IF(E54&lt;0,"-","+")&amp;TEXT(ABS(E54)*100,"0.0")&amp;"%")&amp;IF(AND(LEN(IF(E54="","","ending_cash "&amp;IF(E54&lt;0,"-","+")&amp;TEXT(ABS(E54)*100,"0.0")&amp;"%"))&gt;0,LEN(IF(F54="","","ebitda "&amp;IF(F54&lt;0,"-","+")&amp;TEXT(ABS(F54)*100,"0.0")&amp;"%"))&gt;0),", ","")&amp;IF(F54="","","ebitda "&amp;IF(F54&lt;0,"-","+")&amp;TEXT(ABS(F54)*100,"0.0")&amp;"%"))&gt;0,LEN(IF(G54="","","revenue "&amp;IF(G54&lt;0,"-","+")&amp;TEXT(ABS(G54)*100,"0.0")&amp;"%"))&gt;0),", ","")&amp;IF(G54="","","revenue "&amp;IF(G54&lt;0,"-","+")&amp;TEXT(ABS(G54)*100,"0.0")&amp;"%")&amp;IF(AND(LEN(IF(E54="","","ending_cash "&amp;IF(E54&lt;0,"-","+")&amp;TEXT(ABS(E54)*100,"0.0")&amp;"%")&amp;IF(AND(LEN(IF(E54="","","ending_cash "&amp;IF(E54&lt;0,"-","+")&amp;TEXT(ABS(E54)*100,"0.0")&amp;"%"))&gt;0,LEN(IF(F54="","","ebitda "&amp;IF(F54&lt;0,"-","+")&amp;TEXT(ABS(F54)*100,"0.0")&amp;"%"))&gt;0),", ","")&amp;IF(F54="","","ebitda "&amp;IF(F54&lt;0,"-","+")&amp;TEXT(ABS(F54)*100,"0.0")&amp;"%")&amp;IF(AND(LEN(IF(E54="","","ending_cash "&amp;IF(E54&lt;0,"-","+")&amp;TEXT(ABS(E54)*100,"0.0")&amp;"%")&amp;IF(AND(LEN(IF(E54="","","ending_cash "&amp;IF(E54&lt;0,"-","+")&amp;TEXT(ABS(E54)*100,"0.0")&amp;"%"))&gt;0,LEN(IF(F54="","","ebitda "&amp;IF(F54&lt;0,"-","+")&amp;TEXT(ABS(F54)*100,"0.0")&amp;"%"))&gt;0),", ","")&amp;IF(F54="","","ebitda "&amp;IF(F54&lt;0,"-","+")&amp;TEXT(ABS(F54)*100,"0.0")&amp;"%"))&gt;0,LEN(IF(G54="","","revenue "&amp;IF(G54&lt;0,"-","+")&amp;TEXT(ABS(G54)*100,"0.0")&amp;"%"))&gt;0),", ","")&amp;IF(G54="","","revenue "&amp;IF(G54&lt;0,"-","+")&amp;TEXT(ABS(G54)*100,"0.0")&amp;"%"))&gt;0,LEN(IF(H54="","","gross_margin "&amp;IF(H54&lt;0,"-","+")&amp;TEXT(ABS(H54)*100,"0.0")&amp;"%"))&gt;0),", ","")&amp;IF(H54="","","gross_margin "&amp;IF(H54&lt;0,"-","+")&amp;TEXT(ABS(H54)*100,"0.0")&amp;"%")&amp;" |")</f>
        <v/>
      </c>
      <c r="R54">
        <f>IF(Q54="","",ROW()-4)</f>
        <v/>
      </c>
    </row>
    <row r="55">
      <c r="A55" s="8" t="n"/>
      <c r="B55" s="8" t="n"/>
      <c r="C55" s="8" t="n"/>
      <c r="D55" s="19" t="n"/>
      <c r="E55" s="20" t="n"/>
      <c r="F55" s="20" t="n"/>
      <c r="G55" s="20" t="n"/>
      <c r="H55" s="20" t="n"/>
      <c r="I55" s="10" t="n"/>
      <c r="J55" s="10" t="n"/>
      <c r="K55" s="10" t="n"/>
      <c r="L55" s="10" t="n"/>
      <c r="M55" s="21">
        <f>IF(OR(E55="",I55="",E55=-1),"",I55/(1+E55))</f>
        <v/>
      </c>
      <c r="N55" s="21">
        <f>IF(OR(F55="",J55="",F55=-1),"",J55/(1+F55))</f>
        <v/>
      </c>
      <c r="O55" s="21">
        <f>IF(OR(G55="",K55="",G55=-1),"",K55/(1+G55))</f>
        <v/>
      </c>
      <c r="P55" s="21">
        <f>IF(OR(H55="",L55="",H55=-1),"",L55/(1+H55))</f>
        <v/>
      </c>
      <c r="Q55" s="6">
        <f>IF(OR(A55="",LOWER(C55)&lt;&gt;"y"),"","| "&amp;A55&amp;" | "&amp;TEXT(D55,"0.0000")&amp;" | "&amp;IF(E55="","","ending_cash "&amp;IF(E55&lt;0,"-","+")&amp;TEXT(ABS(E55)*100,"0.0")&amp;"%")&amp;IF(AND(LEN(IF(E55="","","ending_cash "&amp;IF(E55&lt;0,"-","+")&amp;TEXT(ABS(E55)*100,"0.0")&amp;"%"))&gt;0,LEN(IF(F55="","","ebitda "&amp;IF(F55&lt;0,"-","+")&amp;TEXT(ABS(F55)*100,"0.0")&amp;"%"))&gt;0),", ","")&amp;IF(F55="","","ebitda "&amp;IF(F55&lt;0,"-","+")&amp;TEXT(ABS(F55)*100,"0.0")&amp;"%")&amp;IF(AND(LEN(IF(E55="","","ending_cash "&amp;IF(E55&lt;0,"-","+")&amp;TEXT(ABS(E55)*100,"0.0")&amp;"%")&amp;IF(AND(LEN(IF(E55="","","ending_cash "&amp;IF(E55&lt;0,"-","+")&amp;TEXT(ABS(E55)*100,"0.0")&amp;"%"))&gt;0,LEN(IF(F55="","","ebitda "&amp;IF(F55&lt;0,"-","+")&amp;TEXT(ABS(F55)*100,"0.0")&amp;"%"))&gt;0),", ","")&amp;IF(F55="","","ebitda "&amp;IF(F55&lt;0,"-","+")&amp;TEXT(ABS(F55)*100,"0.0")&amp;"%"))&gt;0,LEN(IF(G55="","","revenue "&amp;IF(G55&lt;0,"-","+")&amp;TEXT(ABS(G55)*100,"0.0")&amp;"%"))&gt;0),", ","")&amp;IF(G55="","","revenue "&amp;IF(G55&lt;0,"-","+")&amp;TEXT(ABS(G55)*100,"0.0")&amp;"%")&amp;IF(AND(LEN(IF(E55="","","ending_cash "&amp;IF(E55&lt;0,"-","+")&amp;TEXT(ABS(E55)*100,"0.0")&amp;"%")&amp;IF(AND(LEN(IF(E55="","","ending_cash "&amp;IF(E55&lt;0,"-","+")&amp;TEXT(ABS(E55)*100,"0.0")&amp;"%"))&gt;0,LEN(IF(F55="","","ebitda "&amp;IF(F55&lt;0,"-","+")&amp;TEXT(ABS(F55)*100,"0.0")&amp;"%"))&gt;0),", ","")&amp;IF(F55="","","ebitda "&amp;IF(F55&lt;0,"-","+")&amp;TEXT(ABS(F55)*100,"0.0")&amp;"%")&amp;IF(AND(LEN(IF(E55="","","ending_cash "&amp;IF(E55&lt;0,"-","+")&amp;TEXT(ABS(E55)*100,"0.0")&amp;"%")&amp;IF(AND(LEN(IF(E55="","","ending_cash "&amp;IF(E55&lt;0,"-","+")&amp;TEXT(ABS(E55)*100,"0.0")&amp;"%"))&gt;0,LEN(IF(F55="","","ebitda "&amp;IF(F55&lt;0,"-","+")&amp;TEXT(ABS(F55)*100,"0.0")&amp;"%"))&gt;0),", ","")&amp;IF(F55="","","ebitda "&amp;IF(F55&lt;0,"-","+")&amp;TEXT(ABS(F55)*100,"0.0")&amp;"%"))&gt;0,LEN(IF(G55="","","revenue "&amp;IF(G55&lt;0,"-","+")&amp;TEXT(ABS(G55)*100,"0.0")&amp;"%"))&gt;0),", ","")&amp;IF(G55="","","revenue "&amp;IF(G55&lt;0,"-","+")&amp;TEXT(ABS(G55)*100,"0.0")&amp;"%"))&gt;0,LEN(IF(H55="","","gross_margin "&amp;IF(H55&lt;0,"-","+")&amp;TEXT(ABS(H55)*100,"0.0")&amp;"%"))&gt;0),", ","")&amp;IF(H55="","","gross_margin "&amp;IF(H55&lt;0,"-","+")&amp;TEXT(ABS(H55)*100,"0.0")&amp;"%")&amp;" |")</f>
        <v/>
      </c>
      <c r="R55">
        <f>IF(Q55="","",ROW()-4)</f>
        <v/>
      </c>
    </row>
    <row r="56">
      <c r="A56" s="8" t="n"/>
      <c r="B56" s="8" t="n"/>
      <c r="C56" s="8" t="n"/>
      <c r="D56" s="19" t="n"/>
      <c r="E56" s="20" t="n"/>
      <c r="F56" s="20" t="n"/>
      <c r="G56" s="20" t="n"/>
      <c r="H56" s="20" t="n"/>
      <c r="I56" s="10" t="n"/>
      <c r="J56" s="10" t="n"/>
      <c r="K56" s="10" t="n"/>
      <c r="L56" s="10" t="n"/>
      <c r="M56" s="21">
        <f>IF(OR(E56="",I56="",E56=-1),"",I56/(1+E56))</f>
        <v/>
      </c>
      <c r="N56" s="21">
        <f>IF(OR(F56="",J56="",F56=-1),"",J56/(1+F56))</f>
        <v/>
      </c>
      <c r="O56" s="21">
        <f>IF(OR(G56="",K56="",G56=-1),"",K56/(1+G56))</f>
        <v/>
      </c>
      <c r="P56" s="21">
        <f>IF(OR(H56="",L56="",H56=-1),"",L56/(1+H56))</f>
        <v/>
      </c>
      <c r="Q56" s="6">
        <f>IF(OR(A56="",LOWER(C56)&lt;&gt;"y"),"","| "&amp;A56&amp;" | "&amp;TEXT(D56,"0.0000")&amp;" | "&amp;IF(E56="","","ending_cash "&amp;IF(E56&lt;0,"-","+")&amp;TEXT(ABS(E56)*100,"0.0")&amp;"%")&amp;IF(AND(LEN(IF(E56="","","ending_cash "&amp;IF(E56&lt;0,"-","+")&amp;TEXT(ABS(E56)*100,"0.0")&amp;"%"))&gt;0,LEN(IF(F56="","","ebitda "&amp;IF(F56&lt;0,"-","+")&amp;TEXT(ABS(F56)*100,"0.0")&amp;"%"))&gt;0),", ","")&amp;IF(F56="","","ebitda "&amp;IF(F56&lt;0,"-","+")&amp;TEXT(ABS(F56)*100,"0.0")&amp;"%")&amp;IF(AND(LEN(IF(E56="","","ending_cash "&amp;IF(E56&lt;0,"-","+")&amp;TEXT(ABS(E56)*100,"0.0")&amp;"%")&amp;IF(AND(LEN(IF(E56="","","ending_cash "&amp;IF(E56&lt;0,"-","+")&amp;TEXT(ABS(E56)*100,"0.0")&amp;"%"))&gt;0,LEN(IF(F56="","","ebitda "&amp;IF(F56&lt;0,"-","+")&amp;TEXT(ABS(F56)*100,"0.0")&amp;"%"))&gt;0),", ","")&amp;IF(F56="","","ebitda "&amp;IF(F56&lt;0,"-","+")&amp;TEXT(ABS(F56)*100,"0.0")&amp;"%"))&gt;0,LEN(IF(G56="","","revenue "&amp;IF(G56&lt;0,"-","+")&amp;TEXT(ABS(G56)*100,"0.0")&amp;"%"))&gt;0),", ","")&amp;IF(G56="","","revenue "&amp;IF(G56&lt;0,"-","+")&amp;TEXT(ABS(G56)*100,"0.0")&amp;"%")&amp;IF(AND(LEN(IF(E56="","","ending_cash "&amp;IF(E56&lt;0,"-","+")&amp;TEXT(ABS(E56)*100,"0.0")&amp;"%")&amp;IF(AND(LEN(IF(E56="","","ending_cash "&amp;IF(E56&lt;0,"-","+")&amp;TEXT(ABS(E56)*100,"0.0")&amp;"%"))&gt;0,LEN(IF(F56="","","ebitda "&amp;IF(F56&lt;0,"-","+")&amp;TEXT(ABS(F56)*100,"0.0")&amp;"%"))&gt;0),", ","")&amp;IF(F56="","","ebitda "&amp;IF(F56&lt;0,"-","+")&amp;TEXT(ABS(F56)*100,"0.0")&amp;"%")&amp;IF(AND(LEN(IF(E56="","","ending_cash "&amp;IF(E56&lt;0,"-","+")&amp;TEXT(ABS(E56)*100,"0.0")&amp;"%")&amp;IF(AND(LEN(IF(E56="","","ending_cash "&amp;IF(E56&lt;0,"-","+")&amp;TEXT(ABS(E56)*100,"0.0")&amp;"%"))&gt;0,LEN(IF(F56="","","ebitda "&amp;IF(F56&lt;0,"-","+")&amp;TEXT(ABS(F56)*100,"0.0")&amp;"%"))&gt;0),", ","")&amp;IF(F56="","","ebitda "&amp;IF(F56&lt;0,"-","+")&amp;TEXT(ABS(F56)*100,"0.0")&amp;"%"))&gt;0,LEN(IF(G56="","","revenue "&amp;IF(G56&lt;0,"-","+")&amp;TEXT(ABS(G56)*100,"0.0")&amp;"%"))&gt;0),", ","")&amp;IF(G56="","","revenue "&amp;IF(G56&lt;0,"-","+")&amp;TEXT(ABS(G56)*100,"0.0")&amp;"%"))&gt;0,LEN(IF(H56="","","gross_margin "&amp;IF(H56&lt;0,"-","+")&amp;TEXT(ABS(H56)*100,"0.0")&amp;"%"))&gt;0),", ","")&amp;IF(H56="","","gross_margin "&amp;IF(H56&lt;0,"-","+")&amp;TEXT(ABS(H56)*100,"0.0")&amp;"%")&amp;" |")</f>
        <v/>
      </c>
      <c r="R56">
        <f>IF(Q56="","",ROW()-4)</f>
        <v/>
      </c>
    </row>
    <row r="57">
      <c r="A57" s="8" t="n"/>
      <c r="B57" s="8" t="n"/>
      <c r="C57" s="8" t="n"/>
      <c r="D57" s="19" t="n"/>
      <c r="E57" s="20" t="n"/>
      <c r="F57" s="20" t="n"/>
      <c r="G57" s="20" t="n"/>
      <c r="H57" s="20" t="n"/>
      <c r="I57" s="10" t="n"/>
      <c r="J57" s="10" t="n"/>
      <c r="K57" s="10" t="n"/>
      <c r="L57" s="10" t="n"/>
      <c r="M57" s="21">
        <f>IF(OR(E57="",I57="",E57=-1),"",I57/(1+E57))</f>
        <v/>
      </c>
      <c r="N57" s="21">
        <f>IF(OR(F57="",J57="",F57=-1),"",J57/(1+F57))</f>
        <v/>
      </c>
      <c r="O57" s="21">
        <f>IF(OR(G57="",K57="",G57=-1),"",K57/(1+G57))</f>
        <v/>
      </c>
      <c r="P57" s="21">
        <f>IF(OR(H57="",L57="",H57=-1),"",L57/(1+H57))</f>
        <v/>
      </c>
      <c r="Q57" s="6">
        <f>IF(OR(A57="",LOWER(C57)&lt;&gt;"y"),"","| "&amp;A57&amp;" | "&amp;TEXT(D57,"0.0000")&amp;" | "&amp;IF(E57="","","ending_cash "&amp;IF(E57&lt;0,"-","+")&amp;TEXT(ABS(E57)*100,"0.0")&amp;"%")&amp;IF(AND(LEN(IF(E57="","","ending_cash "&amp;IF(E57&lt;0,"-","+")&amp;TEXT(ABS(E57)*100,"0.0")&amp;"%"))&gt;0,LEN(IF(F57="","","ebitda "&amp;IF(F57&lt;0,"-","+")&amp;TEXT(ABS(F57)*100,"0.0")&amp;"%"))&gt;0),", ","")&amp;IF(F57="","","ebitda "&amp;IF(F57&lt;0,"-","+")&amp;TEXT(ABS(F57)*100,"0.0")&amp;"%")&amp;IF(AND(LEN(IF(E57="","","ending_cash "&amp;IF(E57&lt;0,"-","+")&amp;TEXT(ABS(E57)*100,"0.0")&amp;"%")&amp;IF(AND(LEN(IF(E57="","","ending_cash "&amp;IF(E57&lt;0,"-","+")&amp;TEXT(ABS(E57)*100,"0.0")&amp;"%"))&gt;0,LEN(IF(F57="","","ebitda "&amp;IF(F57&lt;0,"-","+")&amp;TEXT(ABS(F57)*100,"0.0")&amp;"%"))&gt;0),", ","")&amp;IF(F57="","","ebitda "&amp;IF(F57&lt;0,"-","+")&amp;TEXT(ABS(F57)*100,"0.0")&amp;"%"))&gt;0,LEN(IF(G57="","","revenue "&amp;IF(G57&lt;0,"-","+")&amp;TEXT(ABS(G57)*100,"0.0")&amp;"%"))&gt;0),", ","")&amp;IF(G57="","","revenue "&amp;IF(G57&lt;0,"-","+")&amp;TEXT(ABS(G57)*100,"0.0")&amp;"%")&amp;IF(AND(LEN(IF(E57="","","ending_cash "&amp;IF(E57&lt;0,"-","+")&amp;TEXT(ABS(E57)*100,"0.0")&amp;"%")&amp;IF(AND(LEN(IF(E57="","","ending_cash "&amp;IF(E57&lt;0,"-","+")&amp;TEXT(ABS(E57)*100,"0.0")&amp;"%"))&gt;0,LEN(IF(F57="","","ebitda "&amp;IF(F57&lt;0,"-","+")&amp;TEXT(ABS(F57)*100,"0.0")&amp;"%"))&gt;0),", ","")&amp;IF(F57="","","ebitda "&amp;IF(F57&lt;0,"-","+")&amp;TEXT(ABS(F57)*100,"0.0")&amp;"%")&amp;IF(AND(LEN(IF(E57="","","ending_cash "&amp;IF(E57&lt;0,"-","+")&amp;TEXT(ABS(E57)*100,"0.0")&amp;"%")&amp;IF(AND(LEN(IF(E57="","","ending_cash "&amp;IF(E57&lt;0,"-","+")&amp;TEXT(ABS(E57)*100,"0.0")&amp;"%"))&gt;0,LEN(IF(F57="","","ebitda "&amp;IF(F57&lt;0,"-","+")&amp;TEXT(ABS(F57)*100,"0.0")&amp;"%"))&gt;0),", ","")&amp;IF(F57="","","ebitda "&amp;IF(F57&lt;0,"-","+")&amp;TEXT(ABS(F57)*100,"0.0")&amp;"%"))&gt;0,LEN(IF(G57="","","revenue "&amp;IF(G57&lt;0,"-","+")&amp;TEXT(ABS(G57)*100,"0.0")&amp;"%"))&gt;0),", ","")&amp;IF(G57="","","revenue "&amp;IF(G57&lt;0,"-","+")&amp;TEXT(ABS(G57)*100,"0.0")&amp;"%"))&gt;0,LEN(IF(H57="","","gross_margin "&amp;IF(H57&lt;0,"-","+")&amp;TEXT(ABS(H57)*100,"0.0")&amp;"%"))&gt;0),", ","")&amp;IF(H57="","","gross_margin "&amp;IF(H57&lt;0,"-","+")&amp;TEXT(ABS(H57)*100,"0.0")&amp;"%")&amp;" |")</f>
        <v/>
      </c>
      <c r="R57">
        <f>IF(Q57="","",ROW()-4)</f>
        <v/>
      </c>
    </row>
    <row r="58">
      <c r="A58" s="8" t="n"/>
      <c r="B58" s="8" t="n"/>
      <c r="C58" s="8" t="n"/>
      <c r="D58" s="19" t="n"/>
      <c r="E58" s="20" t="n"/>
      <c r="F58" s="20" t="n"/>
      <c r="G58" s="20" t="n"/>
      <c r="H58" s="20" t="n"/>
      <c r="I58" s="10" t="n"/>
      <c r="J58" s="10" t="n"/>
      <c r="K58" s="10" t="n"/>
      <c r="L58" s="10" t="n"/>
      <c r="M58" s="21">
        <f>IF(OR(E58="",I58="",E58=-1),"",I58/(1+E58))</f>
        <v/>
      </c>
      <c r="N58" s="21">
        <f>IF(OR(F58="",J58="",F58=-1),"",J58/(1+F58))</f>
        <v/>
      </c>
      <c r="O58" s="21">
        <f>IF(OR(G58="",K58="",G58=-1),"",K58/(1+G58))</f>
        <v/>
      </c>
      <c r="P58" s="21">
        <f>IF(OR(H58="",L58="",H58=-1),"",L58/(1+H58))</f>
        <v/>
      </c>
      <c r="Q58" s="6">
        <f>IF(OR(A58="",LOWER(C58)&lt;&gt;"y"),"","| "&amp;A58&amp;" | "&amp;TEXT(D58,"0.0000")&amp;" | "&amp;IF(E58="","","ending_cash "&amp;IF(E58&lt;0,"-","+")&amp;TEXT(ABS(E58)*100,"0.0")&amp;"%")&amp;IF(AND(LEN(IF(E58="","","ending_cash "&amp;IF(E58&lt;0,"-","+")&amp;TEXT(ABS(E58)*100,"0.0")&amp;"%"))&gt;0,LEN(IF(F58="","","ebitda "&amp;IF(F58&lt;0,"-","+")&amp;TEXT(ABS(F58)*100,"0.0")&amp;"%"))&gt;0),", ","")&amp;IF(F58="","","ebitda "&amp;IF(F58&lt;0,"-","+")&amp;TEXT(ABS(F58)*100,"0.0")&amp;"%")&amp;IF(AND(LEN(IF(E58="","","ending_cash "&amp;IF(E58&lt;0,"-","+")&amp;TEXT(ABS(E58)*100,"0.0")&amp;"%")&amp;IF(AND(LEN(IF(E58="","","ending_cash "&amp;IF(E58&lt;0,"-","+")&amp;TEXT(ABS(E58)*100,"0.0")&amp;"%"))&gt;0,LEN(IF(F58="","","ebitda "&amp;IF(F58&lt;0,"-","+")&amp;TEXT(ABS(F58)*100,"0.0")&amp;"%"))&gt;0),", ","")&amp;IF(F58="","","ebitda "&amp;IF(F58&lt;0,"-","+")&amp;TEXT(ABS(F58)*100,"0.0")&amp;"%"))&gt;0,LEN(IF(G58="","","revenue "&amp;IF(G58&lt;0,"-","+")&amp;TEXT(ABS(G58)*100,"0.0")&amp;"%"))&gt;0),", ","")&amp;IF(G58="","","revenue "&amp;IF(G58&lt;0,"-","+")&amp;TEXT(ABS(G58)*100,"0.0")&amp;"%")&amp;IF(AND(LEN(IF(E58="","","ending_cash "&amp;IF(E58&lt;0,"-","+")&amp;TEXT(ABS(E58)*100,"0.0")&amp;"%")&amp;IF(AND(LEN(IF(E58="","","ending_cash "&amp;IF(E58&lt;0,"-","+")&amp;TEXT(ABS(E58)*100,"0.0")&amp;"%"))&gt;0,LEN(IF(F58="","","ebitda "&amp;IF(F58&lt;0,"-","+")&amp;TEXT(ABS(F58)*100,"0.0")&amp;"%"))&gt;0),", ","")&amp;IF(F58="","","ebitda "&amp;IF(F58&lt;0,"-","+")&amp;TEXT(ABS(F58)*100,"0.0")&amp;"%")&amp;IF(AND(LEN(IF(E58="","","ending_cash "&amp;IF(E58&lt;0,"-","+")&amp;TEXT(ABS(E58)*100,"0.0")&amp;"%")&amp;IF(AND(LEN(IF(E58="","","ending_cash "&amp;IF(E58&lt;0,"-","+")&amp;TEXT(ABS(E58)*100,"0.0")&amp;"%"))&gt;0,LEN(IF(F58="","","ebitda "&amp;IF(F58&lt;0,"-","+")&amp;TEXT(ABS(F58)*100,"0.0")&amp;"%"))&gt;0),", ","")&amp;IF(F58="","","ebitda "&amp;IF(F58&lt;0,"-","+")&amp;TEXT(ABS(F58)*100,"0.0")&amp;"%"))&gt;0,LEN(IF(G58="","","revenue "&amp;IF(G58&lt;0,"-","+")&amp;TEXT(ABS(G58)*100,"0.0")&amp;"%"))&gt;0),", ","")&amp;IF(G58="","","revenue "&amp;IF(G58&lt;0,"-","+")&amp;TEXT(ABS(G58)*100,"0.0")&amp;"%"))&gt;0,LEN(IF(H58="","","gross_margin "&amp;IF(H58&lt;0,"-","+")&amp;TEXT(ABS(H58)*100,"0.0")&amp;"%"))&gt;0),", ","")&amp;IF(H58="","","gross_margin "&amp;IF(H58&lt;0,"-","+")&amp;TEXT(ABS(H58)*100,"0.0")&amp;"%")&amp;" |")</f>
        <v/>
      </c>
      <c r="R58">
        <f>IF(Q58="","",ROW()-4)</f>
        <v/>
      </c>
    </row>
    <row r="59">
      <c r="A59" s="8" t="n"/>
      <c r="B59" s="8" t="n"/>
      <c r="C59" s="8" t="n"/>
      <c r="D59" s="19" t="n"/>
      <c r="E59" s="20" t="n"/>
      <c r="F59" s="20" t="n"/>
      <c r="G59" s="20" t="n"/>
      <c r="H59" s="20" t="n"/>
      <c r="I59" s="10" t="n"/>
      <c r="J59" s="10" t="n"/>
      <c r="K59" s="10" t="n"/>
      <c r="L59" s="10" t="n"/>
      <c r="M59" s="21">
        <f>IF(OR(E59="",I59="",E59=-1),"",I59/(1+E59))</f>
        <v/>
      </c>
      <c r="N59" s="21">
        <f>IF(OR(F59="",J59="",F59=-1),"",J59/(1+F59))</f>
        <v/>
      </c>
      <c r="O59" s="21">
        <f>IF(OR(G59="",K59="",G59=-1),"",K59/(1+G59))</f>
        <v/>
      </c>
      <c r="P59" s="21">
        <f>IF(OR(H59="",L59="",H59=-1),"",L59/(1+H59))</f>
        <v/>
      </c>
      <c r="Q59" s="6">
        <f>IF(OR(A59="",LOWER(C59)&lt;&gt;"y"),"","| "&amp;A59&amp;" | "&amp;TEXT(D59,"0.0000")&amp;" | "&amp;IF(E59="","","ending_cash "&amp;IF(E59&lt;0,"-","+")&amp;TEXT(ABS(E59)*100,"0.0")&amp;"%")&amp;IF(AND(LEN(IF(E59="","","ending_cash "&amp;IF(E59&lt;0,"-","+")&amp;TEXT(ABS(E59)*100,"0.0")&amp;"%"))&gt;0,LEN(IF(F59="","","ebitda "&amp;IF(F59&lt;0,"-","+")&amp;TEXT(ABS(F59)*100,"0.0")&amp;"%"))&gt;0),", ","")&amp;IF(F59="","","ebitda "&amp;IF(F59&lt;0,"-","+")&amp;TEXT(ABS(F59)*100,"0.0")&amp;"%")&amp;IF(AND(LEN(IF(E59="","","ending_cash "&amp;IF(E59&lt;0,"-","+")&amp;TEXT(ABS(E59)*100,"0.0")&amp;"%")&amp;IF(AND(LEN(IF(E59="","","ending_cash "&amp;IF(E59&lt;0,"-","+")&amp;TEXT(ABS(E59)*100,"0.0")&amp;"%"))&gt;0,LEN(IF(F59="","","ebitda "&amp;IF(F59&lt;0,"-","+")&amp;TEXT(ABS(F59)*100,"0.0")&amp;"%"))&gt;0),", ","")&amp;IF(F59="","","ebitda "&amp;IF(F59&lt;0,"-","+")&amp;TEXT(ABS(F59)*100,"0.0")&amp;"%"))&gt;0,LEN(IF(G59="","","revenue "&amp;IF(G59&lt;0,"-","+")&amp;TEXT(ABS(G59)*100,"0.0")&amp;"%"))&gt;0),", ","")&amp;IF(G59="","","revenue "&amp;IF(G59&lt;0,"-","+")&amp;TEXT(ABS(G59)*100,"0.0")&amp;"%")&amp;IF(AND(LEN(IF(E59="","","ending_cash "&amp;IF(E59&lt;0,"-","+")&amp;TEXT(ABS(E59)*100,"0.0")&amp;"%")&amp;IF(AND(LEN(IF(E59="","","ending_cash "&amp;IF(E59&lt;0,"-","+")&amp;TEXT(ABS(E59)*100,"0.0")&amp;"%"))&gt;0,LEN(IF(F59="","","ebitda "&amp;IF(F59&lt;0,"-","+")&amp;TEXT(ABS(F59)*100,"0.0")&amp;"%"))&gt;0),", ","")&amp;IF(F59="","","ebitda "&amp;IF(F59&lt;0,"-","+")&amp;TEXT(ABS(F59)*100,"0.0")&amp;"%")&amp;IF(AND(LEN(IF(E59="","","ending_cash "&amp;IF(E59&lt;0,"-","+")&amp;TEXT(ABS(E59)*100,"0.0")&amp;"%")&amp;IF(AND(LEN(IF(E59="","","ending_cash "&amp;IF(E59&lt;0,"-","+")&amp;TEXT(ABS(E59)*100,"0.0")&amp;"%"))&gt;0,LEN(IF(F59="","","ebitda "&amp;IF(F59&lt;0,"-","+")&amp;TEXT(ABS(F59)*100,"0.0")&amp;"%"))&gt;0),", ","")&amp;IF(F59="","","ebitda "&amp;IF(F59&lt;0,"-","+")&amp;TEXT(ABS(F59)*100,"0.0")&amp;"%"))&gt;0,LEN(IF(G59="","","revenue "&amp;IF(G59&lt;0,"-","+")&amp;TEXT(ABS(G59)*100,"0.0")&amp;"%"))&gt;0),", ","")&amp;IF(G59="","","revenue "&amp;IF(G59&lt;0,"-","+")&amp;TEXT(ABS(G59)*100,"0.0")&amp;"%"))&gt;0,LEN(IF(H59="","","gross_margin "&amp;IF(H59&lt;0,"-","+")&amp;TEXT(ABS(H59)*100,"0.0")&amp;"%"))&gt;0),", ","")&amp;IF(H59="","","gross_margin "&amp;IF(H59&lt;0,"-","+")&amp;TEXT(ABS(H59)*100,"0.0")&amp;"%")&amp;" |")</f>
        <v/>
      </c>
      <c r="R59">
        <f>IF(Q59="","",ROW()-4)</f>
        <v/>
      </c>
    </row>
    <row r="60">
      <c r="A60" s="8" t="n"/>
      <c r="B60" s="8" t="n"/>
      <c r="C60" s="8" t="n"/>
      <c r="D60" s="19" t="n"/>
      <c r="E60" s="20" t="n"/>
      <c r="F60" s="20" t="n"/>
      <c r="G60" s="20" t="n"/>
      <c r="H60" s="20" t="n"/>
      <c r="I60" s="10" t="n"/>
      <c r="J60" s="10" t="n"/>
      <c r="K60" s="10" t="n"/>
      <c r="L60" s="10" t="n"/>
      <c r="M60" s="21">
        <f>IF(OR(E60="",I60="",E60=-1),"",I60/(1+E60))</f>
        <v/>
      </c>
      <c r="N60" s="21">
        <f>IF(OR(F60="",J60="",F60=-1),"",J60/(1+F60))</f>
        <v/>
      </c>
      <c r="O60" s="21">
        <f>IF(OR(G60="",K60="",G60=-1),"",K60/(1+G60))</f>
        <v/>
      </c>
      <c r="P60" s="21">
        <f>IF(OR(H60="",L60="",H60=-1),"",L60/(1+H60))</f>
        <v/>
      </c>
      <c r="Q60" s="6">
        <f>IF(OR(A60="",LOWER(C60)&lt;&gt;"y"),"","| "&amp;A60&amp;" | "&amp;TEXT(D60,"0.0000")&amp;" | "&amp;IF(E60="","","ending_cash "&amp;IF(E60&lt;0,"-","+")&amp;TEXT(ABS(E60)*100,"0.0")&amp;"%")&amp;IF(AND(LEN(IF(E60="","","ending_cash "&amp;IF(E60&lt;0,"-","+")&amp;TEXT(ABS(E60)*100,"0.0")&amp;"%"))&gt;0,LEN(IF(F60="","","ebitda "&amp;IF(F60&lt;0,"-","+")&amp;TEXT(ABS(F60)*100,"0.0")&amp;"%"))&gt;0),", ","")&amp;IF(F60="","","ebitda "&amp;IF(F60&lt;0,"-","+")&amp;TEXT(ABS(F60)*100,"0.0")&amp;"%")&amp;IF(AND(LEN(IF(E60="","","ending_cash "&amp;IF(E60&lt;0,"-","+")&amp;TEXT(ABS(E60)*100,"0.0")&amp;"%")&amp;IF(AND(LEN(IF(E60="","","ending_cash "&amp;IF(E60&lt;0,"-","+")&amp;TEXT(ABS(E60)*100,"0.0")&amp;"%"))&gt;0,LEN(IF(F60="","","ebitda "&amp;IF(F60&lt;0,"-","+")&amp;TEXT(ABS(F60)*100,"0.0")&amp;"%"))&gt;0),", ","")&amp;IF(F60="","","ebitda "&amp;IF(F60&lt;0,"-","+")&amp;TEXT(ABS(F60)*100,"0.0")&amp;"%"))&gt;0,LEN(IF(G60="","","revenue "&amp;IF(G60&lt;0,"-","+")&amp;TEXT(ABS(G60)*100,"0.0")&amp;"%"))&gt;0),", ","")&amp;IF(G60="","","revenue "&amp;IF(G60&lt;0,"-","+")&amp;TEXT(ABS(G60)*100,"0.0")&amp;"%")&amp;IF(AND(LEN(IF(E60="","","ending_cash "&amp;IF(E60&lt;0,"-","+")&amp;TEXT(ABS(E60)*100,"0.0")&amp;"%")&amp;IF(AND(LEN(IF(E60="","","ending_cash "&amp;IF(E60&lt;0,"-","+")&amp;TEXT(ABS(E60)*100,"0.0")&amp;"%"))&gt;0,LEN(IF(F60="","","ebitda "&amp;IF(F60&lt;0,"-","+")&amp;TEXT(ABS(F60)*100,"0.0")&amp;"%"))&gt;0),", ","")&amp;IF(F60="","","ebitda "&amp;IF(F60&lt;0,"-","+")&amp;TEXT(ABS(F60)*100,"0.0")&amp;"%")&amp;IF(AND(LEN(IF(E60="","","ending_cash "&amp;IF(E60&lt;0,"-","+")&amp;TEXT(ABS(E60)*100,"0.0")&amp;"%")&amp;IF(AND(LEN(IF(E60="","","ending_cash "&amp;IF(E60&lt;0,"-","+")&amp;TEXT(ABS(E60)*100,"0.0")&amp;"%"))&gt;0,LEN(IF(F60="","","ebitda "&amp;IF(F60&lt;0,"-","+")&amp;TEXT(ABS(F60)*100,"0.0")&amp;"%"))&gt;0),", ","")&amp;IF(F60="","","ebitda "&amp;IF(F60&lt;0,"-","+")&amp;TEXT(ABS(F60)*100,"0.0")&amp;"%"))&gt;0,LEN(IF(G60="","","revenue "&amp;IF(G60&lt;0,"-","+")&amp;TEXT(ABS(G60)*100,"0.0")&amp;"%"))&gt;0),", ","")&amp;IF(G60="","","revenue "&amp;IF(G60&lt;0,"-","+")&amp;TEXT(ABS(G60)*100,"0.0")&amp;"%"))&gt;0,LEN(IF(H60="","","gross_margin "&amp;IF(H60&lt;0,"-","+")&amp;TEXT(ABS(H60)*100,"0.0")&amp;"%"))&gt;0),", ","")&amp;IF(H60="","","gross_margin "&amp;IF(H60&lt;0,"-","+")&amp;TEXT(ABS(H60)*100,"0.0")&amp;"%")&amp;" |")</f>
        <v/>
      </c>
      <c r="R60">
        <f>IF(Q60="","",ROW()-4)</f>
        <v/>
      </c>
    </row>
    <row r="61">
      <c r="A61" s="8" t="n"/>
      <c r="B61" s="8" t="n"/>
      <c r="C61" s="8" t="n"/>
      <c r="D61" s="19" t="n"/>
      <c r="E61" s="20" t="n"/>
      <c r="F61" s="20" t="n"/>
      <c r="G61" s="20" t="n"/>
      <c r="H61" s="20" t="n"/>
      <c r="I61" s="10" t="n"/>
      <c r="J61" s="10" t="n"/>
      <c r="K61" s="10" t="n"/>
      <c r="L61" s="10" t="n"/>
      <c r="M61" s="21">
        <f>IF(OR(E61="",I61="",E61=-1),"",I61/(1+E61))</f>
        <v/>
      </c>
      <c r="N61" s="21">
        <f>IF(OR(F61="",J61="",F61=-1),"",J61/(1+F61))</f>
        <v/>
      </c>
      <c r="O61" s="21">
        <f>IF(OR(G61="",K61="",G61=-1),"",K61/(1+G61))</f>
        <v/>
      </c>
      <c r="P61" s="21">
        <f>IF(OR(H61="",L61="",H61=-1),"",L61/(1+H61))</f>
        <v/>
      </c>
      <c r="Q61" s="6">
        <f>IF(OR(A61="",LOWER(C61)&lt;&gt;"y"),"","| "&amp;A61&amp;" | "&amp;TEXT(D61,"0.0000")&amp;" | "&amp;IF(E61="","","ending_cash "&amp;IF(E61&lt;0,"-","+")&amp;TEXT(ABS(E61)*100,"0.0")&amp;"%")&amp;IF(AND(LEN(IF(E61="","","ending_cash "&amp;IF(E61&lt;0,"-","+")&amp;TEXT(ABS(E61)*100,"0.0")&amp;"%"))&gt;0,LEN(IF(F61="","","ebitda "&amp;IF(F61&lt;0,"-","+")&amp;TEXT(ABS(F61)*100,"0.0")&amp;"%"))&gt;0),", ","")&amp;IF(F61="","","ebitda "&amp;IF(F61&lt;0,"-","+")&amp;TEXT(ABS(F61)*100,"0.0")&amp;"%")&amp;IF(AND(LEN(IF(E61="","","ending_cash "&amp;IF(E61&lt;0,"-","+")&amp;TEXT(ABS(E61)*100,"0.0")&amp;"%")&amp;IF(AND(LEN(IF(E61="","","ending_cash "&amp;IF(E61&lt;0,"-","+")&amp;TEXT(ABS(E61)*100,"0.0")&amp;"%"))&gt;0,LEN(IF(F61="","","ebitda "&amp;IF(F61&lt;0,"-","+")&amp;TEXT(ABS(F61)*100,"0.0")&amp;"%"))&gt;0),", ","")&amp;IF(F61="","","ebitda "&amp;IF(F61&lt;0,"-","+")&amp;TEXT(ABS(F61)*100,"0.0")&amp;"%"))&gt;0,LEN(IF(G61="","","revenue "&amp;IF(G61&lt;0,"-","+")&amp;TEXT(ABS(G61)*100,"0.0")&amp;"%"))&gt;0),", ","")&amp;IF(G61="","","revenue "&amp;IF(G61&lt;0,"-","+")&amp;TEXT(ABS(G61)*100,"0.0")&amp;"%")&amp;IF(AND(LEN(IF(E61="","","ending_cash "&amp;IF(E61&lt;0,"-","+")&amp;TEXT(ABS(E61)*100,"0.0")&amp;"%")&amp;IF(AND(LEN(IF(E61="","","ending_cash "&amp;IF(E61&lt;0,"-","+")&amp;TEXT(ABS(E61)*100,"0.0")&amp;"%"))&gt;0,LEN(IF(F61="","","ebitda "&amp;IF(F61&lt;0,"-","+")&amp;TEXT(ABS(F61)*100,"0.0")&amp;"%"))&gt;0),", ","")&amp;IF(F61="","","ebitda "&amp;IF(F61&lt;0,"-","+")&amp;TEXT(ABS(F61)*100,"0.0")&amp;"%")&amp;IF(AND(LEN(IF(E61="","","ending_cash "&amp;IF(E61&lt;0,"-","+")&amp;TEXT(ABS(E61)*100,"0.0")&amp;"%")&amp;IF(AND(LEN(IF(E61="","","ending_cash "&amp;IF(E61&lt;0,"-","+")&amp;TEXT(ABS(E61)*100,"0.0")&amp;"%"))&gt;0,LEN(IF(F61="","","ebitda "&amp;IF(F61&lt;0,"-","+")&amp;TEXT(ABS(F61)*100,"0.0")&amp;"%"))&gt;0),", ","")&amp;IF(F61="","","ebitda "&amp;IF(F61&lt;0,"-","+")&amp;TEXT(ABS(F61)*100,"0.0")&amp;"%"))&gt;0,LEN(IF(G61="","","revenue "&amp;IF(G61&lt;0,"-","+")&amp;TEXT(ABS(G61)*100,"0.0")&amp;"%"))&gt;0),", ","")&amp;IF(G61="","","revenue "&amp;IF(G61&lt;0,"-","+")&amp;TEXT(ABS(G61)*100,"0.0")&amp;"%"))&gt;0,LEN(IF(H61="","","gross_margin "&amp;IF(H61&lt;0,"-","+")&amp;TEXT(ABS(H61)*100,"0.0")&amp;"%"))&gt;0),", ","")&amp;IF(H61="","","gross_margin "&amp;IF(H61&lt;0,"-","+")&amp;TEXT(ABS(H61)*100,"0.0")&amp;"%")&amp;" |")</f>
        <v/>
      </c>
      <c r="R61">
        <f>IF(Q61="","",ROW()-4)</f>
        <v/>
      </c>
    </row>
    <row r="62">
      <c r="A62" s="8" t="n"/>
      <c r="B62" s="8" t="n"/>
      <c r="C62" s="8" t="n"/>
      <c r="D62" s="19" t="n"/>
      <c r="E62" s="20" t="n"/>
      <c r="F62" s="20" t="n"/>
      <c r="G62" s="20" t="n"/>
      <c r="H62" s="20" t="n"/>
      <c r="I62" s="10" t="n"/>
      <c r="J62" s="10" t="n"/>
      <c r="K62" s="10" t="n"/>
      <c r="L62" s="10" t="n"/>
      <c r="M62" s="21">
        <f>IF(OR(E62="",I62="",E62=-1),"",I62/(1+E62))</f>
        <v/>
      </c>
      <c r="N62" s="21">
        <f>IF(OR(F62="",J62="",F62=-1),"",J62/(1+F62))</f>
        <v/>
      </c>
      <c r="O62" s="21">
        <f>IF(OR(G62="",K62="",G62=-1),"",K62/(1+G62))</f>
        <v/>
      </c>
      <c r="P62" s="21">
        <f>IF(OR(H62="",L62="",H62=-1),"",L62/(1+H62))</f>
        <v/>
      </c>
      <c r="Q62" s="6">
        <f>IF(OR(A62="",LOWER(C62)&lt;&gt;"y"),"","| "&amp;A62&amp;" | "&amp;TEXT(D62,"0.0000")&amp;" | "&amp;IF(E62="","","ending_cash "&amp;IF(E62&lt;0,"-","+")&amp;TEXT(ABS(E62)*100,"0.0")&amp;"%")&amp;IF(AND(LEN(IF(E62="","","ending_cash "&amp;IF(E62&lt;0,"-","+")&amp;TEXT(ABS(E62)*100,"0.0")&amp;"%"))&gt;0,LEN(IF(F62="","","ebitda "&amp;IF(F62&lt;0,"-","+")&amp;TEXT(ABS(F62)*100,"0.0")&amp;"%"))&gt;0),", ","")&amp;IF(F62="","","ebitda "&amp;IF(F62&lt;0,"-","+")&amp;TEXT(ABS(F62)*100,"0.0")&amp;"%")&amp;IF(AND(LEN(IF(E62="","","ending_cash "&amp;IF(E62&lt;0,"-","+")&amp;TEXT(ABS(E62)*100,"0.0")&amp;"%")&amp;IF(AND(LEN(IF(E62="","","ending_cash "&amp;IF(E62&lt;0,"-","+")&amp;TEXT(ABS(E62)*100,"0.0")&amp;"%"))&gt;0,LEN(IF(F62="","","ebitda "&amp;IF(F62&lt;0,"-","+")&amp;TEXT(ABS(F62)*100,"0.0")&amp;"%"))&gt;0),", ","")&amp;IF(F62="","","ebitda "&amp;IF(F62&lt;0,"-","+")&amp;TEXT(ABS(F62)*100,"0.0")&amp;"%"))&gt;0,LEN(IF(G62="","","revenue "&amp;IF(G62&lt;0,"-","+")&amp;TEXT(ABS(G62)*100,"0.0")&amp;"%"))&gt;0),", ","")&amp;IF(G62="","","revenue "&amp;IF(G62&lt;0,"-","+")&amp;TEXT(ABS(G62)*100,"0.0")&amp;"%")&amp;IF(AND(LEN(IF(E62="","","ending_cash "&amp;IF(E62&lt;0,"-","+")&amp;TEXT(ABS(E62)*100,"0.0")&amp;"%")&amp;IF(AND(LEN(IF(E62="","","ending_cash "&amp;IF(E62&lt;0,"-","+")&amp;TEXT(ABS(E62)*100,"0.0")&amp;"%"))&gt;0,LEN(IF(F62="","","ebitda "&amp;IF(F62&lt;0,"-","+")&amp;TEXT(ABS(F62)*100,"0.0")&amp;"%"))&gt;0),", ","")&amp;IF(F62="","","ebitda "&amp;IF(F62&lt;0,"-","+")&amp;TEXT(ABS(F62)*100,"0.0")&amp;"%")&amp;IF(AND(LEN(IF(E62="","","ending_cash "&amp;IF(E62&lt;0,"-","+")&amp;TEXT(ABS(E62)*100,"0.0")&amp;"%")&amp;IF(AND(LEN(IF(E62="","","ending_cash "&amp;IF(E62&lt;0,"-","+")&amp;TEXT(ABS(E62)*100,"0.0")&amp;"%"))&gt;0,LEN(IF(F62="","","ebitda "&amp;IF(F62&lt;0,"-","+")&amp;TEXT(ABS(F62)*100,"0.0")&amp;"%"))&gt;0),", ","")&amp;IF(F62="","","ebitda "&amp;IF(F62&lt;0,"-","+")&amp;TEXT(ABS(F62)*100,"0.0")&amp;"%"))&gt;0,LEN(IF(G62="","","revenue "&amp;IF(G62&lt;0,"-","+")&amp;TEXT(ABS(G62)*100,"0.0")&amp;"%"))&gt;0),", ","")&amp;IF(G62="","","revenue "&amp;IF(G62&lt;0,"-","+")&amp;TEXT(ABS(G62)*100,"0.0")&amp;"%"))&gt;0,LEN(IF(H62="","","gross_margin "&amp;IF(H62&lt;0,"-","+")&amp;TEXT(ABS(H62)*100,"0.0")&amp;"%"))&gt;0),", ","")&amp;IF(H62="","","gross_margin "&amp;IF(H62&lt;0,"-","+")&amp;TEXT(ABS(H62)*100,"0.0")&amp;"%")&amp;" |")</f>
        <v/>
      </c>
      <c r="R62">
        <f>IF(Q62="","",ROW()-4)</f>
        <v/>
      </c>
    </row>
    <row r="63">
      <c r="A63" s="8" t="n"/>
      <c r="B63" s="8" t="n"/>
      <c r="C63" s="8" t="n"/>
      <c r="D63" s="19" t="n"/>
      <c r="E63" s="20" t="n"/>
      <c r="F63" s="20" t="n"/>
      <c r="G63" s="20" t="n"/>
      <c r="H63" s="20" t="n"/>
      <c r="I63" s="10" t="n"/>
      <c r="J63" s="10" t="n"/>
      <c r="K63" s="10" t="n"/>
      <c r="L63" s="10" t="n"/>
      <c r="M63" s="21">
        <f>IF(OR(E63="",I63="",E63=-1),"",I63/(1+E63))</f>
        <v/>
      </c>
      <c r="N63" s="21">
        <f>IF(OR(F63="",J63="",F63=-1),"",J63/(1+F63))</f>
        <v/>
      </c>
      <c r="O63" s="21">
        <f>IF(OR(G63="",K63="",G63=-1),"",K63/(1+G63))</f>
        <v/>
      </c>
      <c r="P63" s="21">
        <f>IF(OR(H63="",L63="",H63=-1),"",L63/(1+H63))</f>
        <v/>
      </c>
      <c r="Q63" s="6">
        <f>IF(OR(A63="",LOWER(C63)&lt;&gt;"y"),"","| "&amp;A63&amp;" | "&amp;TEXT(D63,"0.0000")&amp;" | "&amp;IF(E63="","","ending_cash "&amp;IF(E63&lt;0,"-","+")&amp;TEXT(ABS(E63)*100,"0.0")&amp;"%")&amp;IF(AND(LEN(IF(E63="","","ending_cash "&amp;IF(E63&lt;0,"-","+")&amp;TEXT(ABS(E63)*100,"0.0")&amp;"%"))&gt;0,LEN(IF(F63="","","ebitda "&amp;IF(F63&lt;0,"-","+")&amp;TEXT(ABS(F63)*100,"0.0")&amp;"%"))&gt;0),", ","")&amp;IF(F63="","","ebitda "&amp;IF(F63&lt;0,"-","+")&amp;TEXT(ABS(F63)*100,"0.0")&amp;"%")&amp;IF(AND(LEN(IF(E63="","","ending_cash "&amp;IF(E63&lt;0,"-","+")&amp;TEXT(ABS(E63)*100,"0.0")&amp;"%")&amp;IF(AND(LEN(IF(E63="","","ending_cash "&amp;IF(E63&lt;0,"-","+")&amp;TEXT(ABS(E63)*100,"0.0")&amp;"%"))&gt;0,LEN(IF(F63="","","ebitda "&amp;IF(F63&lt;0,"-","+")&amp;TEXT(ABS(F63)*100,"0.0")&amp;"%"))&gt;0),", ","")&amp;IF(F63="","","ebitda "&amp;IF(F63&lt;0,"-","+")&amp;TEXT(ABS(F63)*100,"0.0")&amp;"%"))&gt;0,LEN(IF(G63="","","revenue "&amp;IF(G63&lt;0,"-","+")&amp;TEXT(ABS(G63)*100,"0.0")&amp;"%"))&gt;0),", ","")&amp;IF(G63="","","revenue "&amp;IF(G63&lt;0,"-","+")&amp;TEXT(ABS(G63)*100,"0.0")&amp;"%")&amp;IF(AND(LEN(IF(E63="","","ending_cash "&amp;IF(E63&lt;0,"-","+")&amp;TEXT(ABS(E63)*100,"0.0")&amp;"%")&amp;IF(AND(LEN(IF(E63="","","ending_cash "&amp;IF(E63&lt;0,"-","+")&amp;TEXT(ABS(E63)*100,"0.0")&amp;"%"))&gt;0,LEN(IF(F63="","","ebitda "&amp;IF(F63&lt;0,"-","+")&amp;TEXT(ABS(F63)*100,"0.0")&amp;"%"))&gt;0),", ","")&amp;IF(F63="","","ebitda "&amp;IF(F63&lt;0,"-","+")&amp;TEXT(ABS(F63)*100,"0.0")&amp;"%")&amp;IF(AND(LEN(IF(E63="","","ending_cash "&amp;IF(E63&lt;0,"-","+")&amp;TEXT(ABS(E63)*100,"0.0")&amp;"%")&amp;IF(AND(LEN(IF(E63="","","ending_cash "&amp;IF(E63&lt;0,"-","+")&amp;TEXT(ABS(E63)*100,"0.0")&amp;"%"))&gt;0,LEN(IF(F63="","","ebitda "&amp;IF(F63&lt;0,"-","+")&amp;TEXT(ABS(F63)*100,"0.0")&amp;"%"))&gt;0),", ","")&amp;IF(F63="","","ebitda "&amp;IF(F63&lt;0,"-","+")&amp;TEXT(ABS(F63)*100,"0.0")&amp;"%"))&gt;0,LEN(IF(G63="","","revenue "&amp;IF(G63&lt;0,"-","+")&amp;TEXT(ABS(G63)*100,"0.0")&amp;"%"))&gt;0),", ","")&amp;IF(G63="","","revenue "&amp;IF(G63&lt;0,"-","+")&amp;TEXT(ABS(G63)*100,"0.0")&amp;"%"))&gt;0,LEN(IF(H63="","","gross_margin "&amp;IF(H63&lt;0,"-","+")&amp;TEXT(ABS(H63)*100,"0.0")&amp;"%"))&gt;0),", ","")&amp;IF(H63="","","gross_margin "&amp;IF(H63&lt;0,"-","+")&amp;TEXT(ABS(H63)*100,"0.0")&amp;"%")&amp;" |")</f>
        <v/>
      </c>
      <c r="R63">
        <f>IF(Q63="","",ROW()-4)</f>
        <v/>
      </c>
    </row>
    <row r="64">
      <c r="A64" s="8" t="n"/>
      <c r="B64" s="8" t="n"/>
      <c r="C64" s="8" t="n"/>
      <c r="D64" s="19" t="n"/>
      <c r="E64" s="20" t="n"/>
      <c r="F64" s="20" t="n"/>
      <c r="G64" s="20" t="n"/>
      <c r="H64" s="20" t="n"/>
      <c r="I64" s="10" t="n"/>
      <c r="J64" s="10" t="n"/>
      <c r="K64" s="10" t="n"/>
      <c r="L64" s="10" t="n"/>
      <c r="M64" s="21">
        <f>IF(OR(E64="",I64="",E64=-1),"",I64/(1+E64))</f>
        <v/>
      </c>
      <c r="N64" s="21">
        <f>IF(OR(F64="",J64="",F64=-1),"",J64/(1+F64))</f>
        <v/>
      </c>
      <c r="O64" s="21">
        <f>IF(OR(G64="",K64="",G64=-1),"",K64/(1+G64))</f>
        <v/>
      </c>
      <c r="P64" s="21">
        <f>IF(OR(H64="",L64="",H64=-1),"",L64/(1+H64))</f>
        <v/>
      </c>
      <c r="Q64" s="6">
        <f>IF(OR(A64="",LOWER(C64)&lt;&gt;"y"),"","| "&amp;A64&amp;" | "&amp;TEXT(D64,"0.0000")&amp;" | "&amp;IF(E64="","","ending_cash "&amp;IF(E64&lt;0,"-","+")&amp;TEXT(ABS(E64)*100,"0.0")&amp;"%")&amp;IF(AND(LEN(IF(E64="","","ending_cash "&amp;IF(E64&lt;0,"-","+")&amp;TEXT(ABS(E64)*100,"0.0")&amp;"%"))&gt;0,LEN(IF(F64="","","ebitda "&amp;IF(F64&lt;0,"-","+")&amp;TEXT(ABS(F64)*100,"0.0")&amp;"%"))&gt;0),", ","")&amp;IF(F64="","","ebitda "&amp;IF(F64&lt;0,"-","+")&amp;TEXT(ABS(F64)*100,"0.0")&amp;"%")&amp;IF(AND(LEN(IF(E64="","","ending_cash "&amp;IF(E64&lt;0,"-","+")&amp;TEXT(ABS(E64)*100,"0.0")&amp;"%")&amp;IF(AND(LEN(IF(E64="","","ending_cash "&amp;IF(E64&lt;0,"-","+")&amp;TEXT(ABS(E64)*100,"0.0")&amp;"%"))&gt;0,LEN(IF(F64="","","ebitda "&amp;IF(F64&lt;0,"-","+")&amp;TEXT(ABS(F64)*100,"0.0")&amp;"%"))&gt;0),", ","")&amp;IF(F64="","","ebitda "&amp;IF(F64&lt;0,"-","+")&amp;TEXT(ABS(F64)*100,"0.0")&amp;"%"))&gt;0,LEN(IF(G64="","","revenue "&amp;IF(G64&lt;0,"-","+")&amp;TEXT(ABS(G64)*100,"0.0")&amp;"%"))&gt;0),", ","")&amp;IF(G64="","","revenue "&amp;IF(G64&lt;0,"-","+")&amp;TEXT(ABS(G64)*100,"0.0")&amp;"%")&amp;IF(AND(LEN(IF(E64="","","ending_cash "&amp;IF(E64&lt;0,"-","+")&amp;TEXT(ABS(E64)*100,"0.0")&amp;"%")&amp;IF(AND(LEN(IF(E64="","","ending_cash "&amp;IF(E64&lt;0,"-","+")&amp;TEXT(ABS(E64)*100,"0.0")&amp;"%"))&gt;0,LEN(IF(F64="","","ebitda "&amp;IF(F64&lt;0,"-","+")&amp;TEXT(ABS(F64)*100,"0.0")&amp;"%"))&gt;0),", ","")&amp;IF(F64="","","ebitda "&amp;IF(F64&lt;0,"-","+")&amp;TEXT(ABS(F64)*100,"0.0")&amp;"%")&amp;IF(AND(LEN(IF(E64="","","ending_cash "&amp;IF(E64&lt;0,"-","+")&amp;TEXT(ABS(E64)*100,"0.0")&amp;"%")&amp;IF(AND(LEN(IF(E64="","","ending_cash "&amp;IF(E64&lt;0,"-","+")&amp;TEXT(ABS(E64)*100,"0.0")&amp;"%"))&gt;0,LEN(IF(F64="","","ebitda "&amp;IF(F64&lt;0,"-","+")&amp;TEXT(ABS(F64)*100,"0.0")&amp;"%"))&gt;0),", ","")&amp;IF(F64="","","ebitda "&amp;IF(F64&lt;0,"-","+")&amp;TEXT(ABS(F64)*100,"0.0")&amp;"%"))&gt;0,LEN(IF(G64="","","revenue "&amp;IF(G64&lt;0,"-","+")&amp;TEXT(ABS(G64)*100,"0.0")&amp;"%"))&gt;0),", ","")&amp;IF(G64="","","revenue "&amp;IF(G64&lt;0,"-","+")&amp;TEXT(ABS(G64)*100,"0.0")&amp;"%"))&gt;0,LEN(IF(H64="","","gross_margin "&amp;IF(H64&lt;0,"-","+")&amp;TEXT(ABS(H64)*100,"0.0")&amp;"%"))&gt;0),", ","")&amp;IF(H64="","","gross_margin "&amp;IF(H64&lt;0,"-","+")&amp;TEXT(ABS(H64)*100,"0.0")&amp;"%")&amp;" |")</f>
        <v/>
      </c>
      <c r="R64">
        <f>IF(Q64="","",ROW()-4)</f>
        <v/>
      </c>
    </row>
    <row r="65">
      <c r="A65" s="8" t="n"/>
      <c r="B65" s="8" t="n"/>
      <c r="C65" s="8" t="n"/>
      <c r="D65" s="19" t="n"/>
      <c r="E65" s="20" t="n"/>
      <c r="F65" s="20" t="n"/>
      <c r="G65" s="20" t="n"/>
      <c r="H65" s="20" t="n"/>
      <c r="I65" s="10" t="n"/>
      <c r="J65" s="10" t="n"/>
      <c r="K65" s="10" t="n"/>
      <c r="L65" s="10" t="n"/>
      <c r="M65" s="21">
        <f>IF(OR(E65="",I65="",E65=-1),"",I65/(1+E65))</f>
        <v/>
      </c>
      <c r="N65" s="21">
        <f>IF(OR(F65="",J65="",F65=-1),"",J65/(1+F65))</f>
        <v/>
      </c>
      <c r="O65" s="21">
        <f>IF(OR(G65="",K65="",G65=-1),"",K65/(1+G65))</f>
        <v/>
      </c>
      <c r="P65" s="21">
        <f>IF(OR(H65="",L65="",H65=-1),"",L65/(1+H65))</f>
        <v/>
      </c>
      <c r="Q65" s="6">
        <f>IF(OR(A65="",LOWER(C65)&lt;&gt;"y"),"","| "&amp;A65&amp;" | "&amp;TEXT(D65,"0.0000")&amp;" | "&amp;IF(E65="","","ending_cash "&amp;IF(E65&lt;0,"-","+")&amp;TEXT(ABS(E65)*100,"0.0")&amp;"%")&amp;IF(AND(LEN(IF(E65="","","ending_cash "&amp;IF(E65&lt;0,"-","+")&amp;TEXT(ABS(E65)*100,"0.0")&amp;"%"))&gt;0,LEN(IF(F65="","","ebitda "&amp;IF(F65&lt;0,"-","+")&amp;TEXT(ABS(F65)*100,"0.0")&amp;"%"))&gt;0),", ","")&amp;IF(F65="","","ebitda "&amp;IF(F65&lt;0,"-","+")&amp;TEXT(ABS(F65)*100,"0.0")&amp;"%")&amp;IF(AND(LEN(IF(E65="","","ending_cash "&amp;IF(E65&lt;0,"-","+")&amp;TEXT(ABS(E65)*100,"0.0")&amp;"%")&amp;IF(AND(LEN(IF(E65="","","ending_cash "&amp;IF(E65&lt;0,"-","+")&amp;TEXT(ABS(E65)*100,"0.0")&amp;"%"))&gt;0,LEN(IF(F65="","","ebitda "&amp;IF(F65&lt;0,"-","+")&amp;TEXT(ABS(F65)*100,"0.0")&amp;"%"))&gt;0),", ","")&amp;IF(F65="","","ebitda "&amp;IF(F65&lt;0,"-","+")&amp;TEXT(ABS(F65)*100,"0.0")&amp;"%"))&gt;0,LEN(IF(G65="","","revenue "&amp;IF(G65&lt;0,"-","+")&amp;TEXT(ABS(G65)*100,"0.0")&amp;"%"))&gt;0),", ","")&amp;IF(G65="","","revenue "&amp;IF(G65&lt;0,"-","+")&amp;TEXT(ABS(G65)*100,"0.0")&amp;"%")&amp;IF(AND(LEN(IF(E65="","","ending_cash "&amp;IF(E65&lt;0,"-","+")&amp;TEXT(ABS(E65)*100,"0.0")&amp;"%")&amp;IF(AND(LEN(IF(E65="","","ending_cash "&amp;IF(E65&lt;0,"-","+")&amp;TEXT(ABS(E65)*100,"0.0")&amp;"%"))&gt;0,LEN(IF(F65="","","ebitda "&amp;IF(F65&lt;0,"-","+")&amp;TEXT(ABS(F65)*100,"0.0")&amp;"%"))&gt;0),", ","")&amp;IF(F65="","","ebitda "&amp;IF(F65&lt;0,"-","+")&amp;TEXT(ABS(F65)*100,"0.0")&amp;"%")&amp;IF(AND(LEN(IF(E65="","","ending_cash "&amp;IF(E65&lt;0,"-","+")&amp;TEXT(ABS(E65)*100,"0.0")&amp;"%")&amp;IF(AND(LEN(IF(E65="","","ending_cash "&amp;IF(E65&lt;0,"-","+")&amp;TEXT(ABS(E65)*100,"0.0")&amp;"%"))&gt;0,LEN(IF(F65="","","ebitda "&amp;IF(F65&lt;0,"-","+")&amp;TEXT(ABS(F65)*100,"0.0")&amp;"%"))&gt;0),", ","")&amp;IF(F65="","","ebitda "&amp;IF(F65&lt;0,"-","+")&amp;TEXT(ABS(F65)*100,"0.0")&amp;"%"))&gt;0,LEN(IF(G65="","","revenue "&amp;IF(G65&lt;0,"-","+")&amp;TEXT(ABS(G65)*100,"0.0")&amp;"%"))&gt;0),", ","")&amp;IF(G65="","","revenue "&amp;IF(G65&lt;0,"-","+")&amp;TEXT(ABS(G65)*100,"0.0")&amp;"%"))&gt;0,LEN(IF(H65="","","gross_margin "&amp;IF(H65&lt;0,"-","+")&amp;TEXT(ABS(H65)*100,"0.0")&amp;"%"))&gt;0),", ","")&amp;IF(H65="","","gross_margin "&amp;IF(H65&lt;0,"-","+")&amp;TEXT(ABS(H65)*100,"0.0")&amp;"%")&amp;" |")</f>
        <v/>
      </c>
      <c r="R65">
        <f>IF(Q65="","",ROW()-4)</f>
        <v/>
      </c>
    </row>
    <row r="66">
      <c r="A66" s="8" t="n"/>
      <c r="B66" s="8" t="n"/>
      <c r="C66" s="8" t="n"/>
      <c r="D66" s="19" t="n"/>
      <c r="E66" s="20" t="n"/>
      <c r="F66" s="20" t="n"/>
      <c r="G66" s="20" t="n"/>
      <c r="H66" s="20" t="n"/>
      <c r="I66" s="10" t="n"/>
      <c r="J66" s="10" t="n"/>
      <c r="K66" s="10" t="n"/>
      <c r="L66" s="10" t="n"/>
      <c r="M66" s="21">
        <f>IF(OR(E66="",I66="",E66=-1),"",I66/(1+E66))</f>
        <v/>
      </c>
      <c r="N66" s="21">
        <f>IF(OR(F66="",J66="",F66=-1),"",J66/(1+F66))</f>
        <v/>
      </c>
      <c r="O66" s="21">
        <f>IF(OR(G66="",K66="",G66=-1),"",K66/(1+G66))</f>
        <v/>
      </c>
      <c r="P66" s="21">
        <f>IF(OR(H66="",L66="",H66=-1),"",L66/(1+H66))</f>
        <v/>
      </c>
      <c r="Q66" s="6">
        <f>IF(OR(A66="",LOWER(C66)&lt;&gt;"y"),"","| "&amp;A66&amp;" | "&amp;TEXT(D66,"0.0000")&amp;" | "&amp;IF(E66="","","ending_cash "&amp;IF(E66&lt;0,"-","+")&amp;TEXT(ABS(E66)*100,"0.0")&amp;"%")&amp;IF(AND(LEN(IF(E66="","","ending_cash "&amp;IF(E66&lt;0,"-","+")&amp;TEXT(ABS(E66)*100,"0.0")&amp;"%"))&gt;0,LEN(IF(F66="","","ebitda "&amp;IF(F66&lt;0,"-","+")&amp;TEXT(ABS(F66)*100,"0.0")&amp;"%"))&gt;0),", ","")&amp;IF(F66="","","ebitda "&amp;IF(F66&lt;0,"-","+")&amp;TEXT(ABS(F66)*100,"0.0")&amp;"%")&amp;IF(AND(LEN(IF(E66="","","ending_cash "&amp;IF(E66&lt;0,"-","+")&amp;TEXT(ABS(E66)*100,"0.0")&amp;"%")&amp;IF(AND(LEN(IF(E66="","","ending_cash "&amp;IF(E66&lt;0,"-","+")&amp;TEXT(ABS(E66)*100,"0.0")&amp;"%"))&gt;0,LEN(IF(F66="","","ebitda "&amp;IF(F66&lt;0,"-","+")&amp;TEXT(ABS(F66)*100,"0.0")&amp;"%"))&gt;0),", ","")&amp;IF(F66="","","ebitda "&amp;IF(F66&lt;0,"-","+")&amp;TEXT(ABS(F66)*100,"0.0")&amp;"%"))&gt;0,LEN(IF(G66="","","revenue "&amp;IF(G66&lt;0,"-","+")&amp;TEXT(ABS(G66)*100,"0.0")&amp;"%"))&gt;0),", ","")&amp;IF(G66="","","revenue "&amp;IF(G66&lt;0,"-","+")&amp;TEXT(ABS(G66)*100,"0.0")&amp;"%")&amp;IF(AND(LEN(IF(E66="","","ending_cash "&amp;IF(E66&lt;0,"-","+")&amp;TEXT(ABS(E66)*100,"0.0")&amp;"%")&amp;IF(AND(LEN(IF(E66="","","ending_cash "&amp;IF(E66&lt;0,"-","+")&amp;TEXT(ABS(E66)*100,"0.0")&amp;"%"))&gt;0,LEN(IF(F66="","","ebitda "&amp;IF(F66&lt;0,"-","+")&amp;TEXT(ABS(F66)*100,"0.0")&amp;"%"))&gt;0),", ","")&amp;IF(F66="","","ebitda "&amp;IF(F66&lt;0,"-","+")&amp;TEXT(ABS(F66)*100,"0.0")&amp;"%")&amp;IF(AND(LEN(IF(E66="","","ending_cash "&amp;IF(E66&lt;0,"-","+")&amp;TEXT(ABS(E66)*100,"0.0")&amp;"%")&amp;IF(AND(LEN(IF(E66="","","ending_cash "&amp;IF(E66&lt;0,"-","+")&amp;TEXT(ABS(E66)*100,"0.0")&amp;"%"))&gt;0,LEN(IF(F66="","","ebitda "&amp;IF(F66&lt;0,"-","+")&amp;TEXT(ABS(F66)*100,"0.0")&amp;"%"))&gt;0),", ","")&amp;IF(F66="","","ebitda "&amp;IF(F66&lt;0,"-","+")&amp;TEXT(ABS(F66)*100,"0.0")&amp;"%"))&gt;0,LEN(IF(G66="","","revenue "&amp;IF(G66&lt;0,"-","+")&amp;TEXT(ABS(G66)*100,"0.0")&amp;"%"))&gt;0),", ","")&amp;IF(G66="","","revenue "&amp;IF(G66&lt;0,"-","+")&amp;TEXT(ABS(G66)*100,"0.0")&amp;"%"))&gt;0,LEN(IF(H66="","","gross_margin "&amp;IF(H66&lt;0,"-","+")&amp;TEXT(ABS(H66)*100,"0.0")&amp;"%"))&gt;0),", ","")&amp;IF(H66="","","gross_margin "&amp;IF(H66&lt;0,"-","+")&amp;TEXT(ABS(H66)*100,"0.0")&amp;"%")&amp;" |")</f>
        <v/>
      </c>
      <c r="R66">
        <f>IF(Q66="","",ROW()-4)</f>
        <v/>
      </c>
    </row>
    <row r="67">
      <c r="A67" s="8" t="n"/>
      <c r="B67" s="8" t="n"/>
      <c r="C67" s="8" t="n"/>
      <c r="D67" s="19" t="n"/>
      <c r="E67" s="20" t="n"/>
      <c r="F67" s="20" t="n"/>
      <c r="G67" s="20" t="n"/>
      <c r="H67" s="20" t="n"/>
      <c r="I67" s="10" t="n"/>
      <c r="J67" s="10" t="n"/>
      <c r="K67" s="10" t="n"/>
      <c r="L67" s="10" t="n"/>
      <c r="M67" s="21">
        <f>IF(OR(E67="",I67="",E67=-1),"",I67/(1+E67))</f>
        <v/>
      </c>
      <c r="N67" s="21">
        <f>IF(OR(F67="",J67="",F67=-1),"",J67/(1+F67))</f>
        <v/>
      </c>
      <c r="O67" s="21">
        <f>IF(OR(G67="",K67="",G67=-1),"",K67/(1+G67))</f>
        <v/>
      </c>
      <c r="P67" s="21">
        <f>IF(OR(H67="",L67="",H67=-1),"",L67/(1+H67))</f>
        <v/>
      </c>
      <c r="Q67" s="6">
        <f>IF(OR(A67="",LOWER(C67)&lt;&gt;"y"),"","| "&amp;A67&amp;" | "&amp;TEXT(D67,"0.0000")&amp;" | "&amp;IF(E67="","","ending_cash "&amp;IF(E67&lt;0,"-","+")&amp;TEXT(ABS(E67)*100,"0.0")&amp;"%")&amp;IF(AND(LEN(IF(E67="","","ending_cash "&amp;IF(E67&lt;0,"-","+")&amp;TEXT(ABS(E67)*100,"0.0")&amp;"%"))&gt;0,LEN(IF(F67="","","ebitda "&amp;IF(F67&lt;0,"-","+")&amp;TEXT(ABS(F67)*100,"0.0")&amp;"%"))&gt;0),", ","")&amp;IF(F67="","","ebitda "&amp;IF(F67&lt;0,"-","+")&amp;TEXT(ABS(F67)*100,"0.0")&amp;"%")&amp;IF(AND(LEN(IF(E67="","","ending_cash "&amp;IF(E67&lt;0,"-","+")&amp;TEXT(ABS(E67)*100,"0.0")&amp;"%")&amp;IF(AND(LEN(IF(E67="","","ending_cash "&amp;IF(E67&lt;0,"-","+")&amp;TEXT(ABS(E67)*100,"0.0")&amp;"%"))&gt;0,LEN(IF(F67="","","ebitda "&amp;IF(F67&lt;0,"-","+")&amp;TEXT(ABS(F67)*100,"0.0")&amp;"%"))&gt;0),", ","")&amp;IF(F67="","","ebitda "&amp;IF(F67&lt;0,"-","+")&amp;TEXT(ABS(F67)*100,"0.0")&amp;"%"))&gt;0,LEN(IF(G67="","","revenue "&amp;IF(G67&lt;0,"-","+")&amp;TEXT(ABS(G67)*100,"0.0")&amp;"%"))&gt;0),", ","")&amp;IF(G67="","","revenue "&amp;IF(G67&lt;0,"-","+")&amp;TEXT(ABS(G67)*100,"0.0")&amp;"%")&amp;IF(AND(LEN(IF(E67="","","ending_cash "&amp;IF(E67&lt;0,"-","+")&amp;TEXT(ABS(E67)*100,"0.0")&amp;"%")&amp;IF(AND(LEN(IF(E67="","","ending_cash "&amp;IF(E67&lt;0,"-","+")&amp;TEXT(ABS(E67)*100,"0.0")&amp;"%"))&gt;0,LEN(IF(F67="","","ebitda "&amp;IF(F67&lt;0,"-","+")&amp;TEXT(ABS(F67)*100,"0.0")&amp;"%"))&gt;0),", ","")&amp;IF(F67="","","ebitda "&amp;IF(F67&lt;0,"-","+")&amp;TEXT(ABS(F67)*100,"0.0")&amp;"%")&amp;IF(AND(LEN(IF(E67="","","ending_cash "&amp;IF(E67&lt;0,"-","+")&amp;TEXT(ABS(E67)*100,"0.0")&amp;"%")&amp;IF(AND(LEN(IF(E67="","","ending_cash "&amp;IF(E67&lt;0,"-","+")&amp;TEXT(ABS(E67)*100,"0.0")&amp;"%"))&gt;0,LEN(IF(F67="","","ebitda "&amp;IF(F67&lt;0,"-","+")&amp;TEXT(ABS(F67)*100,"0.0")&amp;"%"))&gt;0),", ","")&amp;IF(F67="","","ebitda "&amp;IF(F67&lt;0,"-","+")&amp;TEXT(ABS(F67)*100,"0.0")&amp;"%"))&gt;0,LEN(IF(G67="","","revenue "&amp;IF(G67&lt;0,"-","+")&amp;TEXT(ABS(G67)*100,"0.0")&amp;"%"))&gt;0),", ","")&amp;IF(G67="","","revenue "&amp;IF(G67&lt;0,"-","+")&amp;TEXT(ABS(G67)*100,"0.0")&amp;"%"))&gt;0,LEN(IF(H67="","","gross_margin "&amp;IF(H67&lt;0,"-","+")&amp;TEXT(ABS(H67)*100,"0.0")&amp;"%"))&gt;0),", ","")&amp;IF(H67="","","gross_margin "&amp;IF(H67&lt;0,"-","+")&amp;TEXT(ABS(H67)*100,"0.0")&amp;"%")&amp;" |")</f>
        <v/>
      </c>
      <c r="R67">
        <f>IF(Q67="","",ROW()-4)</f>
        <v/>
      </c>
    </row>
    <row r="68">
      <c r="A68" s="8" t="n"/>
      <c r="B68" s="8" t="n"/>
      <c r="C68" s="8" t="n"/>
      <c r="D68" s="19" t="n"/>
      <c r="E68" s="20" t="n"/>
      <c r="F68" s="20" t="n"/>
      <c r="G68" s="20" t="n"/>
      <c r="H68" s="20" t="n"/>
      <c r="I68" s="10" t="n"/>
      <c r="J68" s="10" t="n"/>
      <c r="K68" s="10" t="n"/>
      <c r="L68" s="10" t="n"/>
      <c r="M68" s="21">
        <f>IF(OR(E68="",I68="",E68=-1),"",I68/(1+E68))</f>
        <v/>
      </c>
      <c r="N68" s="21">
        <f>IF(OR(F68="",J68="",F68=-1),"",J68/(1+F68))</f>
        <v/>
      </c>
      <c r="O68" s="21">
        <f>IF(OR(G68="",K68="",G68=-1),"",K68/(1+G68))</f>
        <v/>
      </c>
      <c r="P68" s="21">
        <f>IF(OR(H68="",L68="",H68=-1),"",L68/(1+H68))</f>
        <v/>
      </c>
      <c r="Q68" s="6">
        <f>IF(OR(A68="",LOWER(C68)&lt;&gt;"y"),"","| "&amp;A68&amp;" | "&amp;TEXT(D68,"0.0000")&amp;" | "&amp;IF(E68="","","ending_cash "&amp;IF(E68&lt;0,"-","+")&amp;TEXT(ABS(E68)*100,"0.0")&amp;"%")&amp;IF(AND(LEN(IF(E68="","","ending_cash "&amp;IF(E68&lt;0,"-","+")&amp;TEXT(ABS(E68)*100,"0.0")&amp;"%"))&gt;0,LEN(IF(F68="","","ebitda "&amp;IF(F68&lt;0,"-","+")&amp;TEXT(ABS(F68)*100,"0.0")&amp;"%"))&gt;0),", ","")&amp;IF(F68="","","ebitda "&amp;IF(F68&lt;0,"-","+")&amp;TEXT(ABS(F68)*100,"0.0")&amp;"%")&amp;IF(AND(LEN(IF(E68="","","ending_cash "&amp;IF(E68&lt;0,"-","+")&amp;TEXT(ABS(E68)*100,"0.0")&amp;"%")&amp;IF(AND(LEN(IF(E68="","","ending_cash "&amp;IF(E68&lt;0,"-","+")&amp;TEXT(ABS(E68)*100,"0.0")&amp;"%"))&gt;0,LEN(IF(F68="","","ebitda "&amp;IF(F68&lt;0,"-","+")&amp;TEXT(ABS(F68)*100,"0.0")&amp;"%"))&gt;0),", ","")&amp;IF(F68="","","ebitda "&amp;IF(F68&lt;0,"-","+")&amp;TEXT(ABS(F68)*100,"0.0")&amp;"%"))&gt;0,LEN(IF(G68="","","revenue "&amp;IF(G68&lt;0,"-","+")&amp;TEXT(ABS(G68)*100,"0.0")&amp;"%"))&gt;0),", ","")&amp;IF(G68="","","revenue "&amp;IF(G68&lt;0,"-","+")&amp;TEXT(ABS(G68)*100,"0.0")&amp;"%")&amp;IF(AND(LEN(IF(E68="","","ending_cash "&amp;IF(E68&lt;0,"-","+")&amp;TEXT(ABS(E68)*100,"0.0")&amp;"%")&amp;IF(AND(LEN(IF(E68="","","ending_cash "&amp;IF(E68&lt;0,"-","+")&amp;TEXT(ABS(E68)*100,"0.0")&amp;"%"))&gt;0,LEN(IF(F68="","","ebitda "&amp;IF(F68&lt;0,"-","+")&amp;TEXT(ABS(F68)*100,"0.0")&amp;"%"))&gt;0),", ","")&amp;IF(F68="","","ebitda "&amp;IF(F68&lt;0,"-","+")&amp;TEXT(ABS(F68)*100,"0.0")&amp;"%")&amp;IF(AND(LEN(IF(E68="","","ending_cash "&amp;IF(E68&lt;0,"-","+")&amp;TEXT(ABS(E68)*100,"0.0")&amp;"%")&amp;IF(AND(LEN(IF(E68="","","ending_cash "&amp;IF(E68&lt;0,"-","+")&amp;TEXT(ABS(E68)*100,"0.0")&amp;"%"))&gt;0,LEN(IF(F68="","","ebitda "&amp;IF(F68&lt;0,"-","+")&amp;TEXT(ABS(F68)*100,"0.0")&amp;"%"))&gt;0),", ","")&amp;IF(F68="","","ebitda "&amp;IF(F68&lt;0,"-","+")&amp;TEXT(ABS(F68)*100,"0.0")&amp;"%"))&gt;0,LEN(IF(G68="","","revenue "&amp;IF(G68&lt;0,"-","+")&amp;TEXT(ABS(G68)*100,"0.0")&amp;"%"))&gt;0),", ","")&amp;IF(G68="","","revenue "&amp;IF(G68&lt;0,"-","+")&amp;TEXT(ABS(G68)*100,"0.0")&amp;"%"))&gt;0,LEN(IF(H68="","","gross_margin "&amp;IF(H68&lt;0,"-","+")&amp;TEXT(ABS(H68)*100,"0.0")&amp;"%"))&gt;0),", ","")&amp;IF(H68="","","gross_margin "&amp;IF(H68&lt;0,"-","+")&amp;TEXT(ABS(H68)*100,"0.0")&amp;"%")&amp;" |")</f>
        <v/>
      </c>
      <c r="R68">
        <f>IF(Q68="","",ROW()-4)</f>
        <v/>
      </c>
    </row>
    <row r="69">
      <c r="A69" s="8" t="n"/>
      <c r="B69" s="8" t="n"/>
      <c r="C69" s="8" t="n"/>
      <c r="D69" s="19" t="n"/>
      <c r="E69" s="20" t="n"/>
      <c r="F69" s="20" t="n"/>
      <c r="G69" s="20" t="n"/>
      <c r="H69" s="20" t="n"/>
      <c r="I69" s="10" t="n"/>
      <c r="J69" s="10" t="n"/>
      <c r="K69" s="10" t="n"/>
      <c r="L69" s="10" t="n"/>
      <c r="M69" s="21">
        <f>IF(OR(E69="",I69="",E69=-1),"",I69/(1+E69))</f>
        <v/>
      </c>
      <c r="N69" s="21">
        <f>IF(OR(F69="",J69="",F69=-1),"",J69/(1+F69))</f>
        <v/>
      </c>
      <c r="O69" s="21">
        <f>IF(OR(G69="",K69="",G69=-1),"",K69/(1+G69))</f>
        <v/>
      </c>
      <c r="P69" s="21">
        <f>IF(OR(H69="",L69="",H69=-1),"",L69/(1+H69))</f>
        <v/>
      </c>
      <c r="Q69" s="6">
        <f>IF(OR(A69="",LOWER(C69)&lt;&gt;"y"),"","| "&amp;A69&amp;" | "&amp;TEXT(D69,"0.0000")&amp;" | "&amp;IF(E69="","","ending_cash "&amp;IF(E69&lt;0,"-","+")&amp;TEXT(ABS(E69)*100,"0.0")&amp;"%")&amp;IF(AND(LEN(IF(E69="","","ending_cash "&amp;IF(E69&lt;0,"-","+")&amp;TEXT(ABS(E69)*100,"0.0")&amp;"%"))&gt;0,LEN(IF(F69="","","ebitda "&amp;IF(F69&lt;0,"-","+")&amp;TEXT(ABS(F69)*100,"0.0")&amp;"%"))&gt;0),", ","")&amp;IF(F69="","","ebitda "&amp;IF(F69&lt;0,"-","+")&amp;TEXT(ABS(F69)*100,"0.0")&amp;"%")&amp;IF(AND(LEN(IF(E69="","","ending_cash "&amp;IF(E69&lt;0,"-","+")&amp;TEXT(ABS(E69)*100,"0.0")&amp;"%")&amp;IF(AND(LEN(IF(E69="","","ending_cash "&amp;IF(E69&lt;0,"-","+")&amp;TEXT(ABS(E69)*100,"0.0")&amp;"%"))&gt;0,LEN(IF(F69="","","ebitda "&amp;IF(F69&lt;0,"-","+")&amp;TEXT(ABS(F69)*100,"0.0")&amp;"%"))&gt;0),", ","")&amp;IF(F69="","","ebitda "&amp;IF(F69&lt;0,"-","+")&amp;TEXT(ABS(F69)*100,"0.0")&amp;"%"))&gt;0,LEN(IF(G69="","","revenue "&amp;IF(G69&lt;0,"-","+")&amp;TEXT(ABS(G69)*100,"0.0")&amp;"%"))&gt;0),", ","")&amp;IF(G69="","","revenue "&amp;IF(G69&lt;0,"-","+")&amp;TEXT(ABS(G69)*100,"0.0")&amp;"%")&amp;IF(AND(LEN(IF(E69="","","ending_cash "&amp;IF(E69&lt;0,"-","+")&amp;TEXT(ABS(E69)*100,"0.0")&amp;"%")&amp;IF(AND(LEN(IF(E69="","","ending_cash "&amp;IF(E69&lt;0,"-","+")&amp;TEXT(ABS(E69)*100,"0.0")&amp;"%"))&gt;0,LEN(IF(F69="","","ebitda "&amp;IF(F69&lt;0,"-","+")&amp;TEXT(ABS(F69)*100,"0.0")&amp;"%"))&gt;0),", ","")&amp;IF(F69="","","ebitda "&amp;IF(F69&lt;0,"-","+")&amp;TEXT(ABS(F69)*100,"0.0")&amp;"%")&amp;IF(AND(LEN(IF(E69="","","ending_cash "&amp;IF(E69&lt;0,"-","+")&amp;TEXT(ABS(E69)*100,"0.0")&amp;"%")&amp;IF(AND(LEN(IF(E69="","","ending_cash "&amp;IF(E69&lt;0,"-","+")&amp;TEXT(ABS(E69)*100,"0.0")&amp;"%"))&gt;0,LEN(IF(F69="","","ebitda "&amp;IF(F69&lt;0,"-","+")&amp;TEXT(ABS(F69)*100,"0.0")&amp;"%"))&gt;0),", ","")&amp;IF(F69="","","ebitda "&amp;IF(F69&lt;0,"-","+")&amp;TEXT(ABS(F69)*100,"0.0")&amp;"%"))&gt;0,LEN(IF(G69="","","revenue "&amp;IF(G69&lt;0,"-","+")&amp;TEXT(ABS(G69)*100,"0.0")&amp;"%"))&gt;0),", ","")&amp;IF(G69="","","revenue "&amp;IF(G69&lt;0,"-","+")&amp;TEXT(ABS(G69)*100,"0.0")&amp;"%"))&gt;0,LEN(IF(H69="","","gross_margin "&amp;IF(H69&lt;0,"-","+")&amp;TEXT(ABS(H69)*100,"0.0")&amp;"%"))&gt;0),", ","")&amp;IF(H69="","","gross_margin "&amp;IF(H69&lt;0,"-","+")&amp;TEXT(ABS(H69)*100,"0.0")&amp;"%")&amp;" |")</f>
        <v/>
      </c>
      <c r="R69">
        <f>IF(Q69="","",ROW()-4)</f>
        <v/>
      </c>
    </row>
    <row r="70">
      <c r="A70" s="8" t="n"/>
      <c r="B70" s="8" t="n"/>
      <c r="C70" s="8" t="n"/>
      <c r="D70" s="19" t="n"/>
      <c r="E70" s="20" t="n"/>
      <c r="F70" s="20" t="n"/>
      <c r="G70" s="20" t="n"/>
      <c r="H70" s="20" t="n"/>
      <c r="I70" s="10" t="n"/>
      <c r="J70" s="10" t="n"/>
      <c r="K70" s="10" t="n"/>
      <c r="L70" s="10" t="n"/>
      <c r="M70" s="21">
        <f>IF(OR(E70="",I70="",E70=-1),"",I70/(1+E70))</f>
        <v/>
      </c>
      <c r="N70" s="21">
        <f>IF(OR(F70="",J70="",F70=-1),"",J70/(1+F70))</f>
        <v/>
      </c>
      <c r="O70" s="21">
        <f>IF(OR(G70="",K70="",G70=-1),"",K70/(1+G70))</f>
        <v/>
      </c>
      <c r="P70" s="21">
        <f>IF(OR(H70="",L70="",H70=-1),"",L70/(1+H70))</f>
        <v/>
      </c>
      <c r="Q70" s="6">
        <f>IF(OR(A70="",LOWER(C70)&lt;&gt;"y"),"","| "&amp;A70&amp;" | "&amp;TEXT(D70,"0.0000")&amp;" | "&amp;IF(E70="","","ending_cash "&amp;IF(E70&lt;0,"-","+")&amp;TEXT(ABS(E70)*100,"0.0")&amp;"%")&amp;IF(AND(LEN(IF(E70="","","ending_cash "&amp;IF(E70&lt;0,"-","+")&amp;TEXT(ABS(E70)*100,"0.0")&amp;"%"))&gt;0,LEN(IF(F70="","","ebitda "&amp;IF(F70&lt;0,"-","+")&amp;TEXT(ABS(F70)*100,"0.0")&amp;"%"))&gt;0),", ","")&amp;IF(F70="","","ebitda "&amp;IF(F70&lt;0,"-","+")&amp;TEXT(ABS(F70)*100,"0.0")&amp;"%")&amp;IF(AND(LEN(IF(E70="","","ending_cash "&amp;IF(E70&lt;0,"-","+")&amp;TEXT(ABS(E70)*100,"0.0")&amp;"%")&amp;IF(AND(LEN(IF(E70="","","ending_cash "&amp;IF(E70&lt;0,"-","+")&amp;TEXT(ABS(E70)*100,"0.0")&amp;"%"))&gt;0,LEN(IF(F70="","","ebitda "&amp;IF(F70&lt;0,"-","+")&amp;TEXT(ABS(F70)*100,"0.0")&amp;"%"))&gt;0),", ","")&amp;IF(F70="","","ebitda "&amp;IF(F70&lt;0,"-","+")&amp;TEXT(ABS(F70)*100,"0.0")&amp;"%"))&gt;0,LEN(IF(G70="","","revenue "&amp;IF(G70&lt;0,"-","+")&amp;TEXT(ABS(G70)*100,"0.0")&amp;"%"))&gt;0),", ","")&amp;IF(G70="","","revenue "&amp;IF(G70&lt;0,"-","+")&amp;TEXT(ABS(G70)*100,"0.0")&amp;"%")&amp;IF(AND(LEN(IF(E70="","","ending_cash "&amp;IF(E70&lt;0,"-","+")&amp;TEXT(ABS(E70)*100,"0.0")&amp;"%")&amp;IF(AND(LEN(IF(E70="","","ending_cash "&amp;IF(E70&lt;0,"-","+")&amp;TEXT(ABS(E70)*100,"0.0")&amp;"%"))&gt;0,LEN(IF(F70="","","ebitda "&amp;IF(F70&lt;0,"-","+")&amp;TEXT(ABS(F70)*100,"0.0")&amp;"%"))&gt;0),", ","")&amp;IF(F70="","","ebitda "&amp;IF(F70&lt;0,"-","+")&amp;TEXT(ABS(F70)*100,"0.0")&amp;"%")&amp;IF(AND(LEN(IF(E70="","","ending_cash "&amp;IF(E70&lt;0,"-","+")&amp;TEXT(ABS(E70)*100,"0.0")&amp;"%")&amp;IF(AND(LEN(IF(E70="","","ending_cash "&amp;IF(E70&lt;0,"-","+")&amp;TEXT(ABS(E70)*100,"0.0")&amp;"%"))&gt;0,LEN(IF(F70="","","ebitda "&amp;IF(F70&lt;0,"-","+")&amp;TEXT(ABS(F70)*100,"0.0")&amp;"%"))&gt;0),", ","")&amp;IF(F70="","","ebitda "&amp;IF(F70&lt;0,"-","+")&amp;TEXT(ABS(F70)*100,"0.0")&amp;"%"))&gt;0,LEN(IF(G70="","","revenue "&amp;IF(G70&lt;0,"-","+")&amp;TEXT(ABS(G70)*100,"0.0")&amp;"%"))&gt;0),", ","")&amp;IF(G70="","","revenue "&amp;IF(G70&lt;0,"-","+")&amp;TEXT(ABS(G70)*100,"0.0")&amp;"%"))&gt;0,LEN(IF(H70="","","gross_margin "&amp;IF(H70&lt;0,"-","+")&amp;TEXT(ABS(H70)*100,"0.0")&amp;"%"))&gt;0),", ","")&amp;IF(H70="","","gross_margin "&amp;IF(H70&lt;0,"-","+")&amp;TEXT(ABS(H70)*100,"0.0")&amp;"%")&amp;" |")</f>
        <v/>
      </c>
      <c r="R70">
        <f>IF(Q70="","",ROW()-4)</f>
        <v/>
      </c>
    </row>
    <row r="71">
      <c r="A71" s="8" t="n"/>
      <c r="B71" s="8" t="n"/>
      <c r="C71" s="8" t="n"/>
      <c r="D71" s="19" t="n"/>
      <c r="E71" s="20" t="n"/>
      <c r="F71" s="20" t="n"/>
      <c r="G71" s="20" t="n"/>
      <c r="H71" s="20" t="n"/>
      <c r="I71" s="10" t="n"/>
      <c r="J71" s="10" t="n"/>
      <c r="K71" s="10" t="n"/>
      <c r="L71" s="10" t="n"/>
      <c r="M71" s="21">
        <f>IF(OR(E71="",I71="",E71=-1),"",I71/(1+E71))</f>
        <v/>
      </c>
      <c r="N71" s="21">
        <f>IF(OR(F71="",J71="",F71=-1),"",J71/(1+F71))</f>
        <v/>
      </c>
      <c r="O71" s="21">
        <f>IF(OR(G71="",K71="",G71=-1),"",K71/(1+G71))</f>
        <v/>
      </c>
      <c r="P71" s="21">
        <f>IF(OR(H71="",L71="",H71=-1),"",L71/(1+H71))</f>
        <v/>
      </c>
      <c r="Q71" s="6">
        <f>IF(OR(A71="",LOWER(C71)&lt;&gt;"y"),"","| "&amp;A71&amp;" | "&amp;TEXT(D71,"0.0000")&amp;" | "&amp;IF(E71="","","ending_cash "&amp;IF(E71&lt;0,"-","+")&amp;TEXT(ABS(E71)*100,"0.0")&amp;"%")&amp;IF(AND(LEN(IF(E71="","","ending_cash "&amp;IF(E71&lt;0,"-","+")&amp;TEXT(ABS(E71)*100,"0.0")&amp;"%"))&gt;0,LEN(IF(F71="","","ebitda "&amp;IF(F71&lt;0,"-","+")&amp;TEXT(ABS(F71)*100,"0.0")&amp;"%"))&gt;0),", ","")&amp;IF(F71="","","ebitda "&amp;IF(F71&lt;0,"-","+")&amp;TEXT(ABS(F71)*100,"0.0")&amp;"%")&amp;IF(AND(LEN(IF(E71="","","ending_cash "&amp;IF(E71&lt;0,"-","+")&amp;TEXT(ABS(E71)*100,"0.0")&amp;"%")&amp;IF(AND(LEN(IF(E71="","","ending_cash "&amp;IF(E71&lt;0,"-","+")&amp;TEXT(ABS(E71)*100,"0.0")&amp;"%"))&gt;0,LEN(IF(F71="","","ebitda "&amp;IF(F71&lt;0,"-","+")&amp;TEXT(ABS(F71)*100,"0.0")&amp;"%"))&gt;0),", ","")&amp;IF(F71="","","ebitda "&amp;IF(F71&lt;0,"-","+")&amp;TEXT(ABS(F71)*100,"0.0")&amp;"%"))&gt;0,LEN(IF(G71="","","revenue "&amp;IF(G71&lt;0,"-","+")&amp;TEXT(ABS(G71)*100,"0.0")&amp;"%"))&gt;0),", ","")&amp;IF(G71="","","revenue "&amp;IF(G71&lt;0,"-","+")&amp;TEXT(ABS(G71)*100,"0.0")&amp;"%")&amp;IF(AND(LEN(IF(E71="","","ending_cash "&amp;IF(E71&lt;0,"-","+")&amp;TEXT(ABS(E71)*100,"0.0")&amp;"%")&amp;IF(AND(LEN(IF(E71="","","ending_cash "&amp;IF(E71&lt;0,"-","+")&amp;TEXT(ABS(E71)*100,"0.0")&amp;"%"))&gt;0,LEN(IF(F71="","","ebitda "&amp;IF(F71&lt;0,"-","+")&amp;TEXT(ABS(F71)*100,"0.0")&amp;"%"))&gt;0),", ","")&amp;IF(F71="","","ebitda "&amp;IF(F71&lt;0,"-","+")&amp;TEXT(ABS(F71)*100,"0.0")&amp;"%")&amp;IF(AND(LEN(IF(E71="","","ending_cash "&amp;IF(E71&lt;0,"-","+")&amp;TEXT(ABS(E71)*100,"0.0")&amp;"%")&amp;IF(AND(LEN(IF(E71="","","ending_cash "&amp;IF(E71&lt;0,"-","+")&amp;TEXT(ABS(E71)*100,"0.0")&amp;"%"))&gt;0,LEN(IF(F71="","","ebitda "&amp;IF(F71&lt;0,"-","+")&amp;TEXT(ABS(F71)*100,"0.0")&amp;"%"))&gt;0),", ","")&amp;IF(F71="","","ebitda "&amp;IF(F71&lt;0,"-","+")&amp;TEXT(ABS(F71)*100,"0.0")&amp;"%"))&gt;0,LEN(IF(G71="","","revenue "&amp;IF(G71&lt;0,"-","+")&amp;TEXT(ABS(G71)*100,"0.0")&amp;"%"))&gt;0),", ","")&amp;IF(G71="","","revenue "&amp;IF(G71&lt;0,"-","+")&amp;TEXT(ABS(G71)*100,"0.0")&amp;"%"))&gt;0,LEN(IF(H71="","","gross_margin "&amp;IF(H71&lt;0,"-","+")&amp;TEXT(ABS(H71)*100,"0.0")&amp;"%"))&gt;0),", ","")&amp;IF(H71="","","gross_margin "&amp;IF(H71&lt;0,"-","+")&amp;TEXT(ABS(H71)*100,"0.0")&amp;"%")&amp;" |")</f>
        <v/>
      </c>
      <c r="R71">
        <f>IF(Q71="","",ROW()-4)</f>
        <v/>
      </c>
    </row>
    <row r="72">
      <c r="A72" s="8" t="n"/>
      <c r="B72" s="8" t="n"/>
      <c r="C72" s="8" t="n"/>
      <c r="D72" s="19" t="n"/>
      <c r="E72" s="20" t="n"/>
      <c r="F72" s="20" t="n"/>
      <c r="G72" s="20" t="n"/>
      <c r="H72" s="20" t="n"/>
      <c r="I72" s="10" t="n"/>
      <c r="J72" s="10" t="n"/>
      <c r="K72" s="10" t="n"/>
      <c r="L72" s="10" t="n"/>
      <c r="M72" s="21">
        <f>IF(OR(E72="",I72="",E72=-1),"",I72/(1+E72))</f>
        <v/>
      </c>
      <c r="N72" s="21">
        <f>IF(OR(F72="",J72="",F72=-1),"",J72/(1+F72))</f>
        <v/>
      </c>
      <c r="O72" s="21">
        <f>IF(OR(G72="",K72="",G72=-1),"",K72/(1+G72))</f>
        <v/>
      </c>
      <c r="P72" s="21">
        <f>IF(OR(H72="",L72="",H72=-1),"",L72/(1+H72))</f>
        <v/>
      </c>
      <c r="Q72" s="6">
        <f>IF(OR(A72="",LOWER(C72)&lt;&gt;"y"),"","| "&amp;A72&amp;" | "&amp;TEXT(D72,"0.0000")&amp;" | "&amp;IF(E72="","","ending_cash "&amp;IF(E72&lt;0,"-","+")&amp;TEXT(ABS(E72)*100,"0.0")&amp;"%")&amp;IF(AND(LEN(IF(E72="","","ending_cash "&amp;IF(E72&lt;0,"-","+")&amp;TEXT(ABS(E72)*100,"0.0")&amp;"%"))&gt;0,LEN(IF(F72="","","ebitda "&amp;IF(F72&lt;0,"-","+")&amp;TEXT(ABS(F72)*100,"0.0")&amp;"%"))&gt;0),", ","")&amp;IF(F72="","","ebitda "&amp;IF(F72&lt;0,"-","+")&amp;TEXT(ABS(F72)*100,"0.0")&amp;"%")&amp;IF(AND(LEN(IF(E72="","","ending_cash "&amp;IF(E72&lt;0,"-","+")&amp;TEXT(ABS(E72)*100,"0.0")&amp;"%")&amp;IF(AND(LEN(IF(E72="","","ending_cash "&amp;IF(E72&lt;0,"-","+")&amp;TEXT(ABS(E72)*100,"0.0")&amp;"%"))&gt;0,LEN(IF(F72="","","ebitda "&amp;IF(F72&lt;0,"-","+")&amp;TEXT(ABS(F72)*100,"0.0")&amp;"%"))&gt;0),", ","")&amp;IF(F72="","","ebitda "&amp;IF(F72&lt;0,"-","+")&amp;TEXT(ABS(F72)*100,"0.0")&amp;"%"))&gt;0,LEN(IF(G72="","","revenue "&amp;IF(G72&lt;0,"-","+")&amp;TEXT(ABS(G72)*100,"0.0")&amp;"%"))&gt;0),", ","")&amp;IF(G72="","","revenue "&amp;IF(G72&lt;0,"-","+")&amp;TEXT(ABS(G72)*100,"0.0")&amp;"%")&amp;IF(AND(LEN(IF(E72="","","ending_cash "&amp;IF(E72&lt;0,"-","+")&amp;TEXT(ABS(E72)*100,"0.0")&amp;"%")&amp;IF(AND(LEN(IF(E72="","","ending_cash "&amp;IF(E72&lt;0,"-","+")&amp;TEXT(ABS(E72)*100,"0.0")&amp;"%"))&gt;0,LEN(IF(F72="","","ebitda "&amp;IF(F72&lt;0,"-","+")&amp;TEXT(ABS(F72)*100,"0.0")&amp;"%"))&gt;0),", ","")&amp;IF(F72="","","ebitda "&amp;IF(F72&lt;0,"-","+")&amp;TEXT(ABS(F72)*100,"0.0")&amp;"%")&amp;IF(AND(LEN(IF(E72="","","ending_cash "&amp;IF(E72&lt;0,"-","+")&amp;TEXT(ABS(E72)*100,"0.0")&amp;"%")&amp;IF(AND(LEN(IF(E72="","","ending_cash "&amp;IF(E72&lt;0,"-","+")&amp;TEXT(ABS(E72)*100,"0.0")&amp;"%"))&gt;0,LEN(IF(F72="","","ebitda "&amp;IF(F72&lt;0,"-","+")&amp;TEXT(ABS(F72)*100,"0.0")&amp;"%"))&gt;0),", ","")&amp;IF(F72="","","ebitda "&amp;IF(F72&lt;0,"-","+")&amp;TEXT(ABS(F72)*100,"0.0")&amp;"%"))&gt;0,LEN(IF(G72="","","revenue "&amp;IF(G72&lt;0,"-","+")&amp;TEXT(ABS(G72)*100,"0.0")&amp;"%"))&gt;0),", ","")&amp;IF(G72="","","revenue "&amp;IF(G72&lt;0,"-","+")&amp;TEXT(ABS(G72)*100,"0.0")&amp;"%"))&gt;0,LEN(IF(H72="","","gross_margin "&amp;IF(H72&lt;0,"-","+")&amp;TEXT(ABS(H72)*100,"0.0")&amp;"%"))&gt;0),", ","")&amp;IF(H72="","","gross_margin "&amp;IF(H72&lt;0,"-","+")&amp;TEXT(ABS(H72)*100,"0.0")&amp;"%")&amp;" |")</f>
        <v/>
      </c>
      <c r="R72">
        <f>IF(Q72="","",ROW()-4)</f>
        <v/>
      </c>
    </row>
    <row r="73">
      <c r="A73" s="8" t="n"/>
      <c r="B73" s="8" t="n"/>
      <c r="C73" s="8" t="n"/>
      <c r="D73" s="19" t="n"/>
      <c r="E73" s="20" t="n"/>
      <c r="F73" s="20" t="n"/>
      <c r="G73" s="20" t="n"/>
      <c r="H73" s="20" t="n"/>
      <c r="I73" s="10" t="n"/>
      <c r="J73" s="10" t="n"/>
      <c r="K73" s="10" t="n"/>
      <c r="L73" s="10" t="n"/>
      <c r="M73" s="21">
        <f>IF(OR(E73="",I73="",E73=-1),"",I73/(1+E73))</f>
        <v/>
      </c>
      <c r="N73" s="21">
        <f>IF(OR(F73="",J73="",F73=-1),"",J73/(1+F73))</f>
        <v/>
      </c>
      <c r="O73" s="21">
        <f>IF(OR(G73="",K73="",G73=-1),"",K73/(1+G73))</f>
        <v/>
      </c>
      <c r="P73" s="21">
        <f>IF(OR(H73="",L73="",H73=-1),"",L73/(1+H73))</f>
        <v/>
      </c>
      <c r="Q73" s="6">
        <f>IF(OR(A73="",LOWER(C73)&lt;&gt;"y"),"","| "&amp;A73&amp;" | "&amp;TEXT(D73,"0.0000")&amp;" | "&amp;IF(E73="","","ending_cash "&amp;IF(E73&lt;0,"-","+")&amp;TEXT(ABS(E73)*100,"0.0")&amp;"%")&amp;IF(AND(LEN(IF(E73="","","ending_cash "&amp;IF(E73&lt;0,"-","+")&amp;TEXT(ABS(E73)*100,"0.0")&amp;"%"))&gt;0,LEN(IF(F73="","","ebitda "&amp;IF(F73&lt;0,"-","+")&amp;TEXT(ABS(F73)*100,"0.0")&amp;"%"))&gt;0),", ","")&amp;IF(F73="","","ebitda "&amp;IF(F73&lt;0,"-","+")&amp;TEXT(ABS(F73)*100,"0.0")&amp;"%")&amp;IF(AND(LEN(IF(E73="","","ending_cash "&amp;IF(E73&lt;0,"-","+")&amp;TEXT(ABS(E73)*100,"0.0")&amp;"%")&amp;IF(AND(LEN(IF(E73="","","ending_cash "&amp;IF(E73&lt;0,"-","+")&amp;TEXT(ABS(E73)*100,"0.0")&amp;"%"))&gt;0,LEN(IF(F73="","","ebitda "&amp;IF(F73&lt;0,"-","+")&amp;TEXT(ABS(F73)*100,"0.0")&amp;"%"))&gt;0),", ","")&amp;IF(F73="","","ebitda "&amp;IF(F73&lt;0,"-","+")&amp;TEXT(ABS(F73)*100,"0.0")&amp;"%"))&gt;0,LEN(IF(G73="","","revenue "&amp;IF(G73&lt;0,"-","+")&amp;TEXT(ABS(G73)*100,"0.0")&amp;"%"))&gt;0),", ","")&amp;IF(G73="","","revenue "&amp;IF(G73&lt;0,"-","+")&amp;TEXT(ABS(G73)*100,"0.0")&amp;"%")&amp;IF(AND(LEN(IF(E73="","","ending_cash "&amp;IF(E73&lt;0,"-","+")&amp;TEXT(ABS(E73)*100,"0.0")&amp;"%")&amp;IF(AND(LEN(IF(E73="","","ending_cash "&amp;IF(E73&lt;0,"-","+")&amp;TEXT(ABS(E73)*100,"0.0")&amp;"%"))&gt;0,LEN(IF(F73="","","ebitda "&amp;IF(F73&lt;0,"-","+")&amp;TEXT(ABS(F73)*100,"0.0")&amp;"%"))&gt;0),", ","")&amp;IF(F73="","","ebitda "&amp;IF(F73&lt;0,"-","+")&amp;TEXT(ABS(F73)*100,"0.0")&amp;"%")&amp;IF(AND(LEN(IF(E73="","","ending_cash "&amp;IF(E73&lt;0,"-","+")&amp;TEXT(ABS(E73)*100,"0.0")&amp;"%")&amp;IF(AND(LEN(IF(E73="","","ending_cash "&amp;IF(E73&lt;0,"-","+")&amp;TEXT(ABS(E73)*100,"0.0")&amp;"%"))&gt;0,LEN(IF(F73="","","ebitda "&amp;IF(F73&lt;0,"-","+")&amp;TEXT(ABS(F73)*100,"0.0")&amp;"%"))&gt;0),", ","")&amp;IF(F73="","","ebitda "&amp;IF(F73&lt;0,"-","+")&amp;TEXT(ABS(F73)*100,"0.0")&amp;"%"))&gt;0,LEN(IF(G73="","","revenue "&amp;IF(G73&lt;0,"-","+")&amp;TEXT(ABS(G73)*100,"0.0")&amp;"%"))&gt;0),", ","")&amp;IF(G73="","","revenue "&amp;IF(G73&lt;0,"-","+")&amp;TEXT(ABS(G73)*100,"0.0")&amp;"%"))&gt;0,LEN(IF(H73="","","gross_margin "&amp;IF(H73&lt;0,"-","+")&amp;TEXT(ABS(H73)*100,"0.0")&amp;"%"))&gt;0),", ","")&amp;IF(H73="","","gross_margin "&amp;IF(H73&lt;0,"-","+")&amp;TEXT(ABS(H73)*100,"0.0")&amp;"%")&amp;" |")</f>
        <v/>
      </c>
      <c r="R73">
        <f>IF(Q73="","",ROW()-4)</f>
        <v/>
      </c>
    </row>
    <row r="74">
      <c r="A74" s="8" t="n"/>
      <c r="B74" s="8" t="n"/>
      <c r="C74" s="8" t="n"/>
      <c r="D74" s="19" t="n"/>
      <c r="E74" s="20" t="n"/>
      <c r="F74" s="20" t="n"/>
      <c r="G74" s="20" t="n"/>
      <c r="H74" s="20" t="n"/>
      <c r="I74" s="10" t="n"/>
      <c r="J74" s="10" t="n"/>
      <c r="K74" s="10" t="n"/>
      <c r="L74" s="10" t="n"/>
      <c r="M74" s="21">
        <f>IF(OR(E74="",I74="",E74=-1),"",I74/(1+E74))</f>
        <v/>
      </c>
      <c r="N74" s="21">
        <f>IF(OR(F74="",J74="",F74=-1),"",J74/(1+F74))</f>
        <v/>
      </c>
      <c r="O74" s="21">
        <f>IF(OR(G74="",K74="",G74=-1),"",K74/(1+G74))</f>
        <v/>
      </c>
      <c r="P74" s="21">
        <f>IF(OR(H74="",L74="",H74=-1),"",L74/(1+H74))</f>
        <v/>
      </c>
      <c r="Q74" s="6">
        <f>IF(OR(A74="",LOWER(C74)&lt;&gt;"y"),"","| "&amp;A74&amp;" | "&amp;TEXT(D74,"0.0000")&amp;" | "&amp;IF(E74="","","ending_cash "&amp;IF(E74&lt;0,"-","+")&amp;TEXT(ABS(E74)*100,"0.0")&amp;"%")&amp;IF(AND(LEN(IF(E74="","","ending_cash "&amp;IF(E74&lt;0,"-","+")&amp;TEXT(ABS(E74)*100,"0.0")&amp;"%"))&gt;0,LEN(IF(F74="","","ebitda "&amp;IF(F74&lt;0,"-","+")&amp;TEXT(ABS(F74)*100,"0.0")&amp;"%"))&gt;0),", ","")&amp;IF(F74="","","ebitda "&amp;IF(F74&lt;0,"-","+")&amp;TEXT(ABS(F74)*100,"0.0")&amp;"%")&amp;IF(AND(LEN(IF(E74="","","ending_cash "&amp;IF(E74&lt;0,"-","+")&amp;TEXT(ABS(E74)*100,"0.0")&amp;"%")&amp;IF(AND(LEN(IF(E74="","","ending_cash "&amp;IF(E74&lt;0,"-","+")&amp;TEXT(ABS(E74)*100,"0.0")&amp;"%"))&gt;0,LEN(IF(F74="","","ebitda "&amp;IF(F74&lt;0,"-","+")&amp;TEXT(ABS(F74)*100,"0.0")&amp;"%"))&gt;0),", ","")&amp;IF(F74="","","ebitda "&amp;IF(F74&lt;0,"-","+")&amp;TEXT(ABS(F74)*100,"0.0")&amp;"%"))&gt;0,LEN(IF(G74="","","revenue "&amp;IF(G74&lt;0,"-","+")&amp;TEXT(ABS(G74)*100,"0.0")&amp;"%"))&gt;0),", ","")&amp;IF(G74="","","revenue "&amp;IF(G74&lt;0,"-","+")&amp;TEXT(ABS(G74)*100,"0.0")&amp;"%")&amp;IF(AND(LEN(IF(E74="","","ending_cash "&amp;IF(E74&lt;0,"-","+")&amp;TEXT(ABS(E74)*100,"0.0")&amp;"%")&amp;IF(AND(LEN(IF(E74="","","ending_cash "&amp;IF(E74&lt;0,"-","+")&amp;TEXT(ABS(E74)*100,"0.0")&amp;"%"))&gt;0,LEN(IF(F74="","","ebitda "&amp;IF(F74&lt;0,"-","+")&amp;TEXT(ABS(F74)*100,"0.0")&amp;"%"))&gt;0),", ","")&amp;IF(F74="","","ebitda "&amp;IF(F74&lt;0,"-","+")&amp;TEXT(ABS(F74)*100,"0.0")&amp;"%")&amp;IF(AND(LEN(IF(E74="","","ending_cash "&amp;IF(E74&lt;0,"-","+")&amp;TEXT(ABS(E74)*100,"0.0")&amp;"%")&amp;IF(AND(LEN(IF(E74="","","ending_cash "&amp;IF(E74&lt;0,"-","+")&amp;TEXT(ABS(E74)*100,"0.0")&amp;"%"))&gt;0,LEN(IF(F74="","","ebitda "&amp;IF(F74&lt;0,"-","+")&amp;TEXT(ABS(F74)*100,"0.0")&amp;"%"))&gt;0),", ","")&amp;IF(F74="","","ebitda "&amp;IF(F74&lt;0,"-","+")&amp;TEXT(ABS(F74)*100,"0.0")&amp;"%"))&gt;0,LEN(IF(G74="","","revenue "&amp;IF(G74&lt;0,"-","+")&amp;TEXT(ABS(G74)*100,"0.0")&amp;"%"))&gt;0),", ","")&amp;IF(G74="","","revenue "&amp;IF(G74&lt;0,"-","+")&amp;TEXT(ABS(G74)*100,"0.0")&amp;"%"))&gt;0,LEN(IF(H74="","","gross_margin "&amp;IF(H74&lt;0,"-","+")&amp;TEXT(ABS(H74)*100,"0.0")&amp;"%"))&gt;0),", ","")&amp;IF(H74="","","gross_margin "&amp;IF(H74&lt;0,"-","+")&amp;TEXT(ABS(H74)*100,"0.0")&amp;"%")&amp;" |")</f>
        <v/>
      </c>
      <c r="R74">
        <f>IF(Q74="","",ROW()-4)</f>
        <v/>
      </c>
    </row>
    <row r="75">
      <c r="A75" s="8" t="n"/>
      <c r="B75" s="8" t="n"/>
      <c r="C75" s="8" t="n"/>
      <c r="D75" s="19" t="n"/>
      <c r="E75" s="20" t="n"/>
      <c r="F75" s="20" t="n"/>
      <c r="G75" s="20" t="n"/>
      <c r="H75" s="20" t="n"/>
      <c r="I75" s="10" t="n"/>
      <c r="J75" s="10" t="n"/>
      <c r="K75" s="10" t="n"/>
      <c r="L75" s="10" t="n"/>
      <c r="M75" s="21">
        <f>IF(OR(E75="",I75="",E75=-1),"",I75/(1+E75))</f>
        <v/>
      </c>
      <c r="N75" s="21">
        <f>IF(OR(F75="",J75="",F75=-1),"",J75/(1+F75))</f>
        <v/>
      </c>
      <c r="O75" s="21">
        <f>IF(OR(G75="",K75="",G75=-1),"",K75/(1+G75))</f>
        <v/>
      </c>
      <c r="P75" s="21">
        <f>IF(OR(H75="",L75="",H75=-1),"",L75/(1+H75))</f>
        <v/>
      </c>
      <c r="Q75" s="6">
        <f>IF(OR(A75="",LOWER(C75)&lt;&gt;"y"),"","| "&amp;A75&amp;" | "&amp;TEXT(D75,"0.0000")&amp;" | "&amp;IF(E75="","","ending_cash "&amp;IF(E75&lt;0,"-","+")&amp;TEXT(ABS(E75)*100,"0.0")&amp;"%")&amp;IF(AND(LEN(IF(E75="","","ending_cash "&amp;IF(E75&lt;0,"-","+")&amp;TEXT(ABS(E75)*100,"0.0")&amp;"%"))&gt;0,LEN(IF(F75="","","ebitda "&amp;IF(F75&lt;0,"-","+")&amp;TEXT(ABS(F75)*100,"0.0")&amp;"%"))&gt;0),", ","")&amp;IF(F75="","","ebitda "&amp;IF(F75&lt;0,"-","+")&amp;TEXT(ABS(F75)*100,"0.0")&amp;"%")&amp;IF(AND(LEN(IF(E75="","","ending_cash "&amp;IF(E75&lt;0,"-","+")&amp;TEXT(ABS(E75)*100,"0.0")&amp;"%")&amp;IF(AND(LEN(IF(E75="","","ending_cash "&amp;IF(E75&lt;0,"-","+")&amp;TEXT(ABS(E75)*100,"0.0")&amp;"%"))&gt;0,LEN(IF(F75="","","ebitda "&amp;IF(F75&lt;0,"-","+")&amp;TEXT(ABS(F75)*100,"0.0")&amp;"%"))&gt;0),", ","")&amp;IF(F75="","","ebitda "&amp;IF(F75&lt;0,"-","+")&amp;TEXT(ABS(F75)*100,"0.0")&amp;"%"))&gt;0,LEN(IF(G75="","","revenue "&amp;IF(G75&lt;0,"-","+")&amp;TEXT(ABS(G75)*100,"0.0")&amp;"%"))&gt;0),", ","")&amp;IF(G75="","","revenue "&amp;IF(G75&lt;0,"-","+")&amp;TEXT(ABS(G75)*100,"0.0")&amp;"%")&amp;IF(AND(LEN(IF(E75="","","ending_cash "&amp;IF(E75&lt;0,"-","+")&amp;TEXT(ABS(E75)*100,"0.0")&amp;"%")&amp;IF(AND(LEN(IF(E75="","","ending_cash "&amp;IF(E75&lt;0,"-","+")&amp;TEXT(ABS(E75)*100,"0.0")&amp;"%"))&gt;0,LEN(IF(F75="","","ebitda "&amp;IF(F75&lt;0,"-","+")&amp;TEXT(ABS(F75)*100,"0.0")&amp;"%"))&gt;0),", ","")&amp;IF(F75="","","ebitda "&amp;IF(F75&lt;0,"-","+")&amp;TEXT(ABS(F75)*100,"0.0")&amp;"%")&amp;IF(AND(LEN(IF(E75="","","ending_cash "&amp;IF(E75&lt;0,"-","+")&amp;TEXT(ABS(E75)*100,"0.0")&amp;"%")&amp;IF(AND(LEN(IF(E75="","","ending_cash "&amp;IF(E75&lt;0,"-","+")&amp;TEXT(ABS(E75)*100,"0.0")&amp;"%"))&gt;0,LEN(IF(F75="","","ebitda "&amp;IF(F75&lt;0,"-","+")&amp;TEXT(ABS(F75)*100,"0.0")&amp;"%"))&gt;0),", ","")&amp;IF(F75="","","ebitda "&amp;IF(F75&lt;0,"-","+")&amp;TEXT(ABS(F75)*100,"0.0")&amp;"%"))&gt;0,LEN(IF(G75="","","revenue "&amp;IF(G75&lt;0,"-","+")&amp;TEXT(ABS(G75)*100,"0.0")&amp;"%"))&gt;0),", ","")&amp;IF(G75="","","revenue "&amp;IF(G75&lt;0,"-","+")&amp;TEXT(ABS(G75)*100,"0.0")&amp;"%"))&gt;0,LEN(IF(H75="","","gross_margin "&amp;IF(H75&lt;0,"-","+")&amp;TEXT(ABS(H75)*100,"0.0")&amp;"%"))&gt;0),", ","")&amp;IF(H75="","","gross_margin "&amp;IF(H75&lt;0,"-","+")&amp;TEXT(ABS(H75)*100,"0.0")&amp;"%")&amp;" |")</f>
        <v/>
      </c>
      <c r="R75">
        <f>IF(Q75="","",ROW()-4)</f>
        <v/>
      </c>
    </row>
    <row r="76">
      <c r="A76" s="8" t="n"/>
      <c r="B76" s="8" t="n"/>
      <c r="C76" s="8" t="n"/>
      <c r="D76" s="19" t="n"/>
      <c r="E76" s="20" t="n"/>
      <c r="F76" s="20" t="n"/>
      <c r="G76" s="20" t="n"/>
      <c r="H76" s="20" t="n"/>
      <c r="I76" s="10" t="n"/>
      <c r="J76" s="10" t="n"/>
      <c r="K76" s="10" t="n"/>
      <c r="L76" s="10" t="n"/>
      <c r="M76" s="21">
        <f>IF(OR(E76="",I76="",E76=-1),"",I76/(1+E76))</f>
        <v/>
      </c>
      <c r="N76" s="21">
        <f>IF(OR(F76="",J76="",F76=-1),"",J76/(1+F76))</f>
        <v/>
      </c>
      <c r="O76" s="21">
        <f>IF(OR(G76="",K76="",G76=-1),"",K76/(1+G76))</f>
        <v/>
      </c>
      <c r="P76" s="21">
        <f>IF(OR(H76="",L76="",H76=-1),"",L76/(1+H76))</f>
        <v/>
      </c>
      <c r="Q76" s="6">
        <f>IF(OR(A76="",LOWER(C76)&lt;&gt;"y"),"","| "&amp;A76&amp;" | "&amp;TEXT(D76,"0.0000")&amp;" | "&amp;IF(E76="","","ending_cash "&amp;IF(E76&lt;0,"-","+")&amp;TEXT(ABS(E76)*100,"0.0")&amp;"%")&amp;IF(AND(LEN(IF(E76="","","ending_cash "&amp;IF(E76&lt;0,"-","+")&amp;TEXT(ABS(E76)*100,"0.0")&amp;"%"))&gt;0,LEN(IF(F76="","","ebitda "&amp;IF(F76&lt;0,"-","+")&amp;TEXT(ABS(F76)*100,"0.0")&amp;"%"))&gt;0),", ","")&amp;IF(F76="","","ebitda "&amp;IF(F76&lt;0,"-","+")&amp;TEXT(ABS(F76)*100,"0.0")&amp;"%")&amp;IF(AND(LEN(IF(E76="","","ending_cash "&amp;IF(E76&lt;0,"-","+")&amp;TEXT(ABS(E76)*100,"0.0")&amp;"%")&amp;IF(AND(LEN(IF(E76="","","ending_cash "&amp;IF(E76&lt;0,"-","+")&amp;TEXT(ABS(E76)*100,"0.0")&amp;"%"))&gt;0,LEN(IF(F76="","","ebitda "&amp;IF(F76&lt;0,"-","+")&amp;TEXT(ABS(F76)*100,"0.0")&amp;"%"))&gt;0),", ","")&amp;IF(F76="","","ebitda "&amp;IF(F76&lt;0,"-","+")&amp;TEXT(ABS(F76)*100,"0.0")&amp;"%"))&gt;0,LEN(IF(G76="","","revenue "&amp;IF(G76&lt;0,"-","+")&amp;TEXT(ABS(G76)*100,"0.0")&amp;"%"))&gt;0),", ","")&amp;IF(G76="","","revenue "&amp;IF(G76&lt;0,"-","+")&amp;TEXT(ABS(G76)*100,"0.0")&amp;"%")&amp;IF(AND(LEN(IF(E76="","","ending_cash "&amp;IF(E76&lt;0,"-","+")&amp;TEXT(ABS(E76)*100,"0.0")&amp;"%")&amp;IF(AND(LEN(IF(E76="","","ending_cash "&amp;IF(E76&lt;0,"-","+")&amp;TEXT(ABS(E76)*100,"0.0")&amp;"%"))&gt;0,LEN(IF(F76="","","ebitda "&amp;IF(F76&lt;0,"-","+")&amp;TEXT(ABS(F76)*100,"0.0")&amp;"%"))&gt;0),", ","")&amp;IF(F76="","","ebitda "&amp;IF(F76&lt;0,"-","+")&amp;TEXT(ABS(F76)*100,"0.0")&amp;"%")&amp;IF(AND(LEN(IF(E76="","","ending_cash "&amp;IF(E76&lt;0,"-","+")&amp;TEXT(ABS(E76)*100,"0.0")&amp;"%")&amp;IF(AND(LEN(IF(E76="","","ending_cash "&amp;IF(E76&lt;0,"-","+")&amp;TEXT(ABS(E76)*100,"0.0")&amp;"%"))&gt;0,LEN(IF(F76="","","ebitda "&amp;IF(F76&lt;0,"-","+")&amp;TEXT(ABS(F76)*100,"0.0")&amp;"%"))&gt;0),", ","")&amp;IF(F76="","","ebitda "&amp;IF(F76&lt;0,"-","+")&amp;TEXT(ABS(F76)*100,"0.0")&amp;"%"))&gt;0,LEN(IF(G76="","","revenue "&amp;IF(G76&lt;0,"-","+")&amp;TEXT(ABS(G76)*100,"0.0")&amp;"%"))&gt;0),", ","")&amp;IF(G76="","","revenue "&amp;IF(G76&lt;0,"-","+")&amp;TEXT(ABS(G76)*100,"0.0")&amp;"%"))&gt;0,LEN(IF(H76="","","gross_margin "&amp;IF(H76&lt;0,"-","+")&amp;TEXT(ABS(H76)*100,"0.0")&amp;"%"))&gt;0),", ","")&amp;IF(H76="","","gross_margin "&amp;IF(H76&lt;0,"-","+")&amp;TEXT(ABS(H76)*100,"0.0")&amp;"%")&amp;" |")</f>
        <v/>
      </c>
      <c r="R76">
        <f>IF(Q76="","",ROW()-4)</f>
        <v/>
      </c>
    </row>
    <row r="77">
      <c r="A77" s="8" t="n"/>
      <c r="B77" s="8" t="n"/>
      <c r="C77" s="8" t="n"/>
      <c r="D77" s="19" t="n"/>
      <c r="E77" s="20" t="n"/>
      <c r="F77" s="20" t="n"/>
      <c r="G77" s="20" t="n"/>
      <c r="H77" s="20" t="n"/>
      <c r="I77" s="10" t="n"/>
      <c r="J77" s="10" t="n"/>
      <c r="K77" s="10" t="n"/>
      <c r="L77" s="10" t="n"/>
      <c r="M77" s="21">
        <f>IF(OR(E77="",I77="",E77=-1),"",I77/(1+E77))</f>
        <v/>
      </c>
      <c r="N77" s="21">
        <f>IF(OR(F77="",J77="",F77=-1),"",J77/(1+F77))</f>
        <v/>
      </c>
      <c r="O77" s="21">
        <f>IF(OR(G77="",K77="",G77=-1),"",K77/(1+G77))</f>
        <v/>
      </c>
      <c r="P77" s="21">
        <f>IF(OR(H77="",L77="",H77=-1),"",L77/(1+H77))</f>
        <v/>
      </c>
      <c r="Q77" s="6">
        <f>IF(OR(A77="",LOWER(C77)&lt;&gt;"y"),"","| "&amp;A77&amp;" | "&amp;TEXT(D77,"0.0000")&amp;" | "&amp;IF(E77="","","ending_cash "&amp;IF(E77&lt;0,"-","+")&amp;TEXT(ABS(E77)*100,"0.0")&amp;"%")&amp;IF(AND(LEN(IF(E77="","","ending_cash "&amp;IF(E77&lt;0,"-","+")&amp;TEXT(ABS(E77)*100,"0.0")&amp;"%"))&gt;0,LEN(IF(F77="","","ebitda "&amp;IF(F77&lt;0,"-","+")&amp;TEXT(ABS(F77)*100,"0.0")&amp;"%"))&gt;0),", ","")&amp;IF(F77="","","ebitda "&amp;IF(F77&lt;0,"-","+")&amp;TEXT(ABS(F77)*100,"0.0")&amp;"%")&amp;IF(AND(LEN(IF(E77="","","ending_cash "&amp;IF(E77&lt;0,"-","+")&amp;TEXT(ABS(E77)*100,"0.0")&amp;"%")&amp;IF(AND(LEN(IF(E77="","","ending_cash "&amp;IF(E77&lt;0,"-","+")&amp;TEXT(ABS(E77)*100,"0.0")&amp;"%"))&gt;0,LEN(IF(F77="","","ebitda "&amp;IF(F77&lt;0,"-","+")&amp;TEXT(ABS(F77)*100,"0.0")&amp;"%"))&gt;0),", ","")&amp;IF(F77="","","ebitda "&amp;IF(F77&lt;0,"-","+")&amp;TEXT(ABS(F77)*100,"0.0")&amp;"%"))&gt;0,LEN(IF(G77="","","revenue "&amp;IF(G77&lt;0,"-","+")&amp;TEXT(ABS(G77)*100,"0.0")&amp;"%"))&gt;0),", ","")&amp;IF(G77="","","revenue "&amp;IF(G77&lt;0,"-","+")&amp;TEXT(ABS(G77)*100,"0.0")&amp;"%")&amp;IF(AND(LEN(IF(E77="","","ending_cash "&amp;IF(E77&lt;0,"-","+")&amp;TEXT(ABS(E77)*100,"0.0")&amp;"%")&amp;IF(AND(LEN(IF(E77="","","ending_cash "&amp;IF(E77&lt;0,"-","+")&amp;TEXT(ABS(E77)*100,"0.0")&amp;"%"))&gt;0,LEN(IF(F77="","","ebitda "&amp;IF(F77&lt;0,"-","+")&amp;TEXT(ABS(F77)*100,"0.0")&amp;"%"))&gt;0),", ","")&amp;IF(F77="","","ebitda "&amp;IF(F77&lt;0,"-","+")&amp;TEXT(ABS(F77)*100,"0.0")&amp;"%")&amp;IF(AND(LEN(IF(E77="","","ending_cash "&amp;IF(E77&lt;0,"-","+")&amp;TEXT(ABS(E77)*100,"0.0")&amp;"%")&amp;IF(AND(LEN(IF(E77="","","ending_cash "&amp;IF(E77&lt;0,"-","+")&amp;TEXT(ABS(E77)*100,"0.0")&amp;"%"))&gt;0,LEN(IF(F77="","","ebitda "&amp;IF(F77&lt;0,"-","+")&amp;TEXT(ABS(F77)*100,"0.0")&amp;"%"))&gt;0),", ","")&amp;IF(F77="","","ebitda "&amp;IF(F77&lt;0,"-","+")&amp;TEXT(ABS(F77)*100,"0.0")&amp;"%"))&gt;0,LEN(IF(G77="","","revenue "&amp;IF(G77&lt;0,"-","+")&amp;TEXT(ABS(G77)*100,"0.0")&amp;"%"))&gt;0),", ","")&amp;IF(G77="","","revenue "&amp;IF(G77&lt;0,"-","+")&amp;TEXT(ABS(G77)*100,"0.0")&amp;"%"))&gt;0,LEN(IF(H77="","","gross_margin "&amp;IF(H77&lt;0,"-","+")&amp;TEXT(ABS(H77)*100,"0.0")&amp;"%"))&gt;0),", ","")&amp;IF(H77="","","gross_margin "&amp;IF(H77&lt;0,"-","+")&amp;TEXT(ABS(H77)*100,"0.0")&amp;"%")&amp;" |")</f>
        <v/>
      </c>
      <c r="R77">
        <f>IF(Q77="","",ROW()-4)</f>
        <v/>
      </c>
    </row>
    <row r="78">
      <c r="A78" s="8" t="n"/>
      <c r="B78" s="8" t="n"/>
      <c r="C78" s="8" t="n"/>
      <c r="D78" s="19" t="n"/>
      <c r="E78" s="20" t="n"/>
      <c r="F78" s="20" t="n"/>
      <c r="G78" s="20" t="n"/>
      <c r="H78" s="20" t="n"/>
      <c r="I78" s="10" t="n"/>
      <c r="J78" s="10" t="n"/>
      <c r="K78" s="10" t="n"/>
      <c r="L78" s="10" t="n"/>
      <c r="M78" s="21">
        <f>IF(OR(E78="",I78="",E78=-1),"",I78/(1+E78))</f>
        <v/>
      </c>
      <c r="N78" s="21">
        <f>IF(OR(F78="",J78="",F78=-1),"",J78/(1+F78))</f>
        <v/>
      </c>
      <c r="O78" s="21">
        <f>IF(OR(G78="",K78="",G78=-1),"",K78/(1+G78))</f>
        <v/>
      </c>
      <c r="P78" s="21">
        <f>IF(OR(H78="",L78="",H78=-1),"",L78/(1+H78))</f>
        <v/>
      </c>
      <c r="Q78" s="6">
        <f>IF(OR(A78="",LOWER(C78)&lt;&gt;"y"),"","| "&amp;A78&amp;" | "&amp;TEXT(D78,"0.0000")&amp;" | "&amp;IF(E78="","","ending_cash "&amp;IF(E78&lt;0,"-","+")&amp;TEXT(ABS(E78)*100,"0.0")&amp;"%")&amp;IF(AND(LEN(IF(E78="","","ending_cash "&amp;IF(E78&lt;0,"-","+")&amp;TEXT(ABS(E78)*100,"0.0")&amp;"%"))&gt;0,LEN(IF(F78="","","ebitda "&amp;IF(F78&lt;0,"-","+")&amp;TEXT(ABS(F78)*100,"0.0")&amp;"%"))&gt;0),", ","")&amp;IF(F78="","","ebitda "&amp;IF(F78&lt;0,"-","+")&amp;TEXT(ABS(F78)*100,"0.0")&amp;"%")&amp;IF(AND(LEN(IF(E78="","","ending_cash "&amp;IF(E78&lt;0,"-","+")&amp;TEXT(ABS(E78)*100,"0.0")&amp;"%")&amp;IF(AND(LEN(IF(E78="","","ending_cash "&amp;IF(E78&lt;0,"-","+")&amp;TEXT(ABS(E78)*100,"0.0")&amp;"%"))&gt;0,LEN(IF(F78="","","ebitda "&amp;IF(F78&lt;0,"-","+")&amp;TEXT(ABS(F78)*100,"0.0")&amp;"%"))&gt;0),", ","")&amp;IF(F78="","","ebitda "&amp;IF(F78&lt;0,"-","+")&amp;TEXT(ABS(F78)*100,"0.0")&amp;"%"))&gt;0,LEN(IF(G78="","","revenue "&amp;IF(G78&lt;0,"-","+")&amp;TEXT(ABS(G78)*100,"0.0")&amp;"%"))&gt;0),", ","")&amp;IF(G78="","","revenue "&amp;IF(G78&lt;0,"-","+")&amp;TEXT(ABS(G78)*100,"0.0")&amp;"%")&amp;IF(AND(LEN(IF(E78="","","ending_cash "&amp;IF(E78&lt;0,"-","+")&amp;TEXT(ABS(E78)*100,"0.0")&amp;"%")&amp;IF(AND(LEN(IF(E78="","","ending_cash "&amp;IF(E78&lt;0,"-","+")&amp;TEXT(ABS(E78)*100,"0.0")&amp;"%"))&gt;0,LEN(IF(F78="","","ebitda "&amp;IF(F78&lt;0,"-","+")&amp;TEXT(ABS(F78)*100,"0.0")&amp;"%"))&gt;0),", ","")&amp;IF(F78="","","ebitda "&amp;IF(F78&lt;0,"-","+")&amp;TEXT(ABS(F78)*100,"0.0")&amp;"%")&amp;IF(AND(LEN(IF(E78="","","ending_cash "&amp;IF(E78&lt;0,"-","+")&amp;TEXT(ABS(E78)*100,"0.0")&amp;"%")&amp;IF(AND(LEN(IF(E78="","","ending_cash "&amp;IF(E78&lt;0,"-","+")&amp;TEXT(ABS(E78)*100,"0.0")&amp;"%"))&gt;0,LEN(IF(F78="","","ebitda "&amp;IF(F78&lt;0,"-","+")&amp;TEXT(ABS(F78)*100,"0.0")&amp;"%"))&gt;0),", ","")&amp;IF(F78="","","ebitda "&amp;IF(F78&lt;0,"-","+")&amp;TEXT(ABS(F78)*100,"0.0")&amp;"%"))&gt;0,LEN(IF(G78="","","revenue "&amp;IF(G78&lt;0,"-","+")&amp;TEXT(ABS(G78)*100,"0.0")&amp;"%"))&gt;0),", ","")&amp;IF(G78="","","revenue "&amp;IF(G78&lt;0,"-","+")&amp;TEXT(ABS(G78)*100,"0.0")&amp;"%"))&gt;0,LEN(IF(H78="","","gross_margin "&amp;IF(H78&lt;0,"-","+")&amp;TEXT(ABS(H78)*100,"0.0")&amp;"%"))&gt;0),", ","")&amp;IF(H78="","","gross_margin "&amp;IF(H78&lt;0,"-","+")&amp;TEXT(ABS(H78)*100,"0.0")&amp;"%")&amp;" |")</f>
        <v/>
      </c>
      <c r="R78">
        <f>IF(Q78="","",ROW()-4)</f>
        <v/>
      </c>
    </row>
    <row r="79">
      <c r="A79" s="8" t="n"/>
      <c r="B79" s="8" t="n"/>
      <c r="C79" s="8" t="n"/>
      <c r="D79" s="19" t="n"/>
      <c r="E79" s="20" t="n"/>
      <c r="F79" s="20" t="n"/>
      <c r="G79" s="20" t="n"/>
      <c r="H79" s="20" t="n"/>
      <c r="I79" s="10" t="n"/>
      <c r="J79" s="10" t="n"/>
      <c r="K79" s="10" t="n"/>
      <c r="L79" s="10" t="n"/>
      <c r="M79" s="21">
        <f>IF(OR(E79="",I79="",E79=-1),"",I79/(1+E79))</f>
        <v/>
      </c>
      <c r="N79" s="21">
        <f>IF(OR(F79="",J79="",F79=-1),"",J79/(1+F79))</f>
        <v/>
      </c>
      <c r="O79" s="21">
        <f>IF(OR(G79="",K79="",G79=-1),"",K79/(1+G79))</f>
        <v/>
      </c>
      <c r="P79" s="21">
        <f>IF(OR(H79="",L79="",H79=-1),"",L79/(1+H79))</f>
        <v/>
      </c>
      <c r="Q79" s="6">
        <f>IF(OR(A79="",LOWER(C79)&lt;&gt;"y"),"","| "&amp;A79&amp;" | "&amp;TEXT(D79,"0.0000")&amp;" | "&amp;IF(E79="","","ending_cash "&amp;IF(E79&lt;0,"-","+")&amp;TEXT(ABS(E79)*100,"0.0")&amp;"%")&amp;IF(AND(LEN(IF(E79="","","ending_cash "&amp;IF(E79&lt;0,"-","+")&amp;TEXT(ABS(E79)*100,"0.0")&amp;"%"))&gt;0,LEN(IF(F79="","","ebitda "&amp;IF(F79&lt;0,"-","+")&amp;TEXT(ABS(F79)*100,"0.0")&amp;"%"))&gt;0),", ","")&amp;IF(F79="","","ebitda "&amp;IF(F79&lt;0,"-","+")&amp;TEXT(ABS(F79)*100,"0.0")&amp;"%")&amp;IF(AND(LEN(IF(E79="","","ending_cash "&amp;IF(E79&lt;0,"-","+")&amp;TEXT(ABS(E79)*100,"0.0")&amp;"%")&amp;IF(AND(LEN(IF(E79="","","ending_cash "&amp;IF(E79&lt;0,"-","+")&amp;TEXT(ABS(E79)*100,"0.0")&amp;"%"))&gt;0,LEN(IF(F79="","","ebitda "&amp;IF(F79&lt;0,"-","+")&amp;TEXT(ABS(F79)*100,"0.0")&amp;"%"))&gt;0),", ","")&amp;IF(F79="","","ebitda "&amp;IF(F79&lt;0,"-","+")&amp;TEXT(ABS(F79)*100,"0.0")&amp;"%"))&gt;0,LEN(IF(G79="","","revenue "&amp;IF(G79&lt;0,"-","+")&amp;TEXT(ABS(G79)*100,"0.0")&amp;"%"))&gt;0),", ","")&amp;IF(G79="","","revenue "&amp;IF(G79&lt;0,"-","+")&amp;TEXT(ABS(G79)*100,"0.0")&amp;"%")&amp;IF(AND(LEN(IF(E79="","","ending_cash "&amp;IF(E79&lt;0,"-","+")&amp;TEXT(ABS(E79)*100,"0.0")&amp;"%")&amp;IF(AND(LEN(IF(E79="","","ending_cash "&amp;IF(E79&lt;0,"-","+")&amp;TEXT(ABS(E79)*100,"0.0")&amp;"%"))&gt;0,LEN(IF(F79="","","ebitda "&amp;IF(F79&lt;0,"-","+")&amp;TEXT(ABS(F79)*100,"0.0")&amp;"%"))&gt;0),", ","")&amp;IF(F79="","","ebitda "&amp;IF(F79&lt;0,"-","+")&amp;TEXT(ABS(F79)*100,"0.0")&amp;"%")&amp;IF(AND(LEN(IF(E79="","","ending_cash "&amp;IF(E79&lt;0,"-","+")&amp;TEXT(ABS(E79)*100,"0.0")&amp;"%")&amp;IF(AND(LEN(IF(E79="","","ending_cash "&amp;IF(E79&lt;0,"-","+")&amp;TEXT(ABS(E79)*100,"0.0")&amp;"%"))&gt;0,LEN(IF(F79="","","ebitda "&amp;IF(F79&lt;0,"-","+")&amp;TEXT(ABS(F79)*100,"0.0")&amp;"%"))&gt;0),", ","")&amp;IF(F79="","","ebitda "&amp;IF(F79&lt;0,"-","+")&amp;TEXT(ABS(F79)*100,"0.0")&amp;"%"))&gt;0,LEN(IF(G79="","","revenue "&amp;IF(G79&lt;0,"-","+")&amp;TEXT(ABS(G79)*100,"0.0")&amp;"%"))&gt;0),", ","")&amp;IF(G79="","","revenue "&amp;IF(G79&lt;0,"-","+")&amp;TEXT(ABS(G79)*100,"0.0")&amp;"%"))&gt;0,LEN(IF(H79="","","gross_margin "&amp;IF(H79&lt;0,"-","+")&amp;TEXT(ABS(H79)*100,"0.0")&amp;"%"))&gt;0),", ","")&amp;IF(H79="","","gross_margin "&amp;IF(H79&lt;0,"-","+")&amp;TEXT(ABS(H79)*100,"0.0")&amp;"%")&amp;" |")</f>
        <v/>
      </c>
      <c r="R79">
        <f>IF(Q79="","",ROW()-4)</f>
        <v/>
      </c>
    </row>
    <row r="80">
      <c r="A80" s="8" t="n"/>
      <c r="B80" s="8" t="n"/>
      <c r="C80" s="8" t="n"/>
      <c r="D80" s="19" t="n"/>
      <c r="E80" s="20" t="n"/>
      <c r="F80" s="20" t="n"/>
      <c r="G80" s="20" t="n"/>
      <c r="H80" s="20" t="n"/>
      <c r="I80" s="10" t="n"/>
      <c r="J80" s="10" t="n"/>
      <c r="K80" s="10" t="n"/>
      <c r="L80" s="10" t="n"/>
      <c r="M80" s="21">
        <f>IF(OR(E80="",I80="",E80=-1),"",I80/(1+E80))</f>
        <v/>
      </c>
      <c r="N80" s="21">
        <f>IF(OR(F80="",J80="",F80=-1),"",J80/(1+F80))</f>
        <v/>
      </c>
      <c r="O80" s="21">
        <f>IF(OR(G80="",K80="",G80=-1),"",K80/(1+G80))</f>
        <v/>
      </c>
      <c r="P80" s="21">
        <f>IF(OR(H80="",L80="",H80=-1),"",L80/(1+H80))</f>
        <v/>
      </c>
      <c r="Q80" s="6">
        <f>IF(OR(A80="",LOWER(C80)&lt;&gt;"y"),"","| "&amp;A80&amp;" | "&amp;TEXT(D80,"0.0000")&amp;" | "&amp;IF(E80="","","ending_cash "&amp;IF(E80&lt;0,"-","+")&amp;TEXT(ABS(E80)*100,"0.0")&amp;"%")&amp;IF(AND(LEN(IF(E80="","","ending_cash "&amp;IF(E80&lt;0,"-","+")&amp;TEXT(ABS(E80)*100,"0.0")&amp;"%"))&gt;0,LEN(IF(F80="","","ebitda "&amp;IF(F80&lt;0,"-","+")&amp;TEXT(ABS(F80)*100,"0.0")&amp;"%"))&gt;0),", ","")&amp;IF(F80="","","ebitda "&amp;IF(F80&lt;0,"-","+")&amp;TEXT(ABS(F80)*100,"0.0")&amp;"%")&amp;IF(AND(LEN(IF(E80="","","ending_cash "&amp;IF(E80&lt;0,"-","+")&amp;TEXT(ABS(E80)*100,"0.0")&amp;"%")&amp;IF(AND(LEN(IF(E80="","","ending_cash "&amp;IF(E80&lt;0,"-","+")&amp;TEXT(ABS(E80)*100,"0.0")&amp;"%"))&gt;0,LEN(IF(F80="","","ebitda "&amp;IF(F80&lt;0,"-","+")&amp;TEXT(ABS(F80)*100,"0.0")&amp;"%"))&gt;0),", ","")&amp;IF(F80="","","ebitda "&amp;IF(F80&lt;0,"-","+")&amp;TEXT(ABS(F80)*100,"0.0")&amp;"%"))&gt;0,LEN(IF(G80="","","revenue "&amp;IF(G80&lt;0,"-","+")&amp;TEXT(ABS(G80)*100,"0.0")&amp;"%"))&gt;0),", ","")&amp;IF(G80="","","revenue "&amp;IF(G80&lt;0,"-","+")&amp;TEXT(ABS(G80)*100,"0.0")&amp;"%")&amp;IF(AND(LEN(IF(E80="","","ending_cash "&amp;IF(E80&lt;0,"-","+")&amp;TEXT(ABS(E80)*100,"0.0")&amp;"%")&amp;IF(AND(LEN(IF(E80="","","ending_cash "&amp;IF(E80&lt;0,"-","+")&amp;TEXT(ABS(E80)*100,"0.0")&amp;"%"))&gt;0,LEN(IF(F80="","","ebitda "&amp;IF(F80&lt;0,"-","+")&amp;TEXT(ABS(F80)*100,"0.0")&amp;"%"))&gt;0),", ","")&amp;IF(F80="","","ebitda "&amp;IF(F80&lt;0,"-","+")&amp;TEXT(ABS(F80)*100,"0.0")&amp;"%")&amp;IF(AND(LEN(IF(E80="","","ending_cash "&amp;IF(E80&lt;0,"-","+")&amp;TEXT(ABS(E80)*100,"0.0")&amp;"%")&amp;IF(AND(LEN(IF(E80="","","ending_cash "&amp;IF(E80&lt;0,"-","+")&amp;TEXT(ABS(E80)*100,"0.0")&amp;"%"))&gt;0,LEN(IF(F80="","","ebitda "&amp;IF(F80&lt;0,"-","+")&amp;TEXT(ABS(F80)*100,"0.0")&amp;"%"))&gt;0),", ","")&amp;IF(F80="","","ebitda "&amp;IF(F80&lt;0,"-","+")&amp;TEXT(ABS(F80)*100,"0.0")&amp;"%"))&gt;0,LEN(IF(G80="","","revenue "&amp;IF(G80&lt;0,"-","+")&amp;TEXT(ABS(G80)*100,"0.0")&amp;"%"))&gt;0),", ","")&amp;IF(G80="","","revenue "&amp;IF(G80&lt;0,"-","+")&amp;TEXT(ABS(G80)*100,"0.0")&amp;"%"))&gt;0,LEN(IF(H80="","","gross_margin "&amp;IF(H80&lt;0,"-","+")&amp;TEXT(ABS(H80)*100,"0.0")&amp;"%"))&gt;0),", ","")&amp;IF(H80="","","gross_margin "&amp;IF(H80&lt;0,"-","+")&amp;TEXT(ABS(H80)*100,"0.0")&amp;"%")&amp;" |")</f>
        <v/>
      </c>
      <c r="R80">
        <f>IF(Q80="","",ROW()-4)</f>
        <v/>
      </c>
    </row>
    <row r="81">
      <c r="A81" s="8" t="n"/>
      <c r="B81" s="8" t="n"/>
      <c r="C81" s="8" t="n"/>
      <c r="D81" s="19" t="n"/>
      <c r="E81" s="20" t="n"/>
      <c r="F81" s="20" t="n"/>
      <c r="G81" s="20" t="n"/>
      <c r="H81" s="20" t="n"/>
      <c r="I81" s="10" t="n"/>
      <c r="J81" s="10" t="n"/>
      <c r="K81" s="10" t="n"/>
      <c r="L81" s="10" t="n"/>
      <c r="M81" s="21">
        <f>IF(OR(E81="",I81="",E81=-1),"",I81/(1+E81))</f>
        <v/>
      </c>
      <c r="N81" s="21">
        <f>IF(OR(F81="",J81="",F81=-1),"",J81/(1+F81))</f>
        <v/>
      </c>
      <c r="O81" s="21">
        <f>IF(OR(G81="",K81="",G81=-1),"",K81/(1+G81))</f>
        <v/>
      </c>
      <c r="P81" s="21">
        <f>IF(OR(H81="",L81="",H81=-1),"",L81/(1+H81))</f>
        <v/>
      </c>
      <c r="Q81" s="6">
        <f>IF(OR(A81="",LOWER(C81)&lt;&gt;"y"),"","| "&amp;A81&amp;" | "&amp;TEXT(D81,"0.0000")&amp;" | "&amp;IF(E81="","","ending_cash "&amp;IF(E81&lt;0,"-","+")&amp;TEXT(ABS(E81)*100,"0.0")&amp;"%")&amp;IF(AND(LEN(IF(E81="","","ending_cash "&amp;IF(E81&lt;0,"-","+")&amp;TEXT(ABS(E81)*100,"0.0")&amp;"%"))&gt;0,LEN(IF(F81="","","ebitda "&amp;IF(F81&lt;0,"-","+")&amp;TEXT(ABS(F81)*100,"0.0")&amp;"%"))&gt;0),", ","")&amp;IF(F81="","","ebitda "&amp;IF(F81&lt;0,"-","+")&amp;TEXT(ABS(F81)*100,"0.0")&amp;"%")&amp;IF(AND(LEN(IF(E81="","","ending_cash "&amp;IF(E81&lt;0,"-","+")&amp;TEXT(ABS(E81)*100,"0.0")&amp;"%")&amp;IF(AND(LEN(IF(E81="","","ending_cash "&amp;IF(E81&lt;0,"-","+")&amp;TEXT(ABS(E81)*100,"0.0")&amp;"%"))&gt;0,LEN(IF(F81="","","ebitda "&amp;IF(F81&lt;0,"-","+")&amp;TEXT(ABS(F81)*100,"0.0")&amp;"%"))&gt;0),", ","")&amp;IF(F81="","","ebitda "&amp;IF(F81&lt;0,"-","+")&amp;TEXT(ABS(F81)*100,"0.0")&amp;"%"))&gt;0,LEN(IF(G81="","","revenue "&amp;IF(G81&lt;0,"-","+")&amp;TEXT(ABS(G81)*100,"0.0")&amp;"%"))&gt;0),", ","")&amp;IF(G81="","","revenue "&amp;IF(G81&lt;0,"-","+")&amp;TEXT(ABS(G81)*100,"0.0")&amp;"%")&amp;IF(AND(LEN(IF(E81="","","ending_cash "&amp;IF(E81&lt;0,"-","+")&amp;TEXT(ABS(E81)*100,"0.0")&amp;"%")&amp;IF(AND(LEN(IF(E81="","","ending_cash "&amp;IF(E81&lt;0,"-","+")&amp;TEXT(ABS(E81)*100,"0.0")&amp;"%"))&gt;0,LEN(IF(F81="","","ebitda "&amp;IF(F81&lt;0,"-","+")&amp;TEXT(ABS(F81)*100,"0.0")&amp;"%"))&gt;0),", ","")&amp;IF(F81="","","ebitda "&amp;IF(F81&lt;0,"-","+")&amp;TEXT(ABS(F81)*100,"0.0")&amp;"%")&amp;IF(AND(LEN(IF(E81="","","ending_cash "&amp;IF(E81&lt;0,"-","+")&amp;TEXT(ABS(E81)*100,"0.0")&amp;"%")&amp;IF(AND(LEN(IF(E81="","","ending_cash "&amp;IF(E81&lt;0,"-","+")&amp;TEXT(ABS(E81)*100,"0.0")&amp;"%"))&gt;0,LEN(IF(F81="","","ebitda "&amp;IF(F81&lt;0,"-","+")&amp;TEXT(ABS(F81)*100,"0.0")&amp;"%"))&gt;0),", ","")&amp;IF(F81="","","ebitda "&amp;IF(F81&lt;0,"-","+")&amp;TEXT(ABS(F81)*100,"0.0")&amp;"%"))&gt;0,LEN(IF(G81="","","revenue "&amp;IF(G81&lt;0,"-","+")&amp;TEXT(ABS(G81)*100,"0.0")&amp;"%"))&gt;0),", ","")&amp;IF(G81="","","revenue "&amp;IF(G81&lt;0,"-","+")&amp;TEXT(ABS(G81)*100,"0.0")&amp;"%"))&gt;0,LEN(IF(H81="","","gross_margin "&amp;IF(H81&lt;0,"-","+")&amp;TEXT(ABS(H81)*100,"0.0")&amp;"%"))&gt;0),", ","")&amp;IF(H81="","","gross_margin "&amp;IF(H81&lt;0,"-","+")&amp;TEXT(ABS(H81)*100,"0.0")&amp;"%")&amp;" |")</f>
        <v/>
      </c>
      <c r="R81">
        <f>IF(Q81="","",ROW()-4)</f>
        <v/>
      </c>
    </row>
    <row r="82">
      <c r="A82" s="8" t="n"/>
      <c r="B82" s="8" t="n"/>
      <c r="C82" s="8" t="n"/>
      <c r="D82" s="19" t="n"/>
      <c r="E82" s="20" t="n"/>
      <c r="F82" s="20" t="n"/>
      <c r="G82" s="20" t="n"/>
      <c r="H82" s="20" t="n"/>
      <c r="I82" s="10" t="n"/>
      <c r="J82" s="10" t="n"/>
      <c r="K82" s="10" t="n"/>
      <c r="L82" s="10" t="n"/>
      <c r="M82" s="21">
        <f>IF(OR(E82="",I82="",E82=-1),"",I82/(1+E82))</f>
        <v/>
      </c>
      <c r="N82" s="21">
        <f>IF(OR(F82="",J82="",F82=-1),"",J82/(1+F82))</f>
        <v/>
      </c>
      <c r="O82" s="21">
        <f>IF(OR(G82="",K82="",G82=-1),"",K82/(1+G82))</f>
        <v/>
      </c>
      <c r="P82" s="21">
        <f>IF(OR(H82="",L82="",H82=-1),"",L82/(1+H82))</f>
        <v/>
      </c>
      <c r="Q82" s="6">
        <f>IF(OR(A82="",LOWER(C82)&lt;&gt;"y"),"","| "&amp;A82&amp;" | "&amp;TEXT(D82,"0.0000")&amp;" | "&amp;IF(E82="","","ending_cash "&amp;IF(E82&lt;0,"-","+")&amp;TEXT(ABS(E82)*100,"0.0")&amp;"%")&amp;IF(AND(LEN(IF(E82="","","ending_cash "&amp;IF(E82&lt;0,"-","+")&amp;TEXT(ABS(E82)*100,"0.0")&amp;"%"))&gt;0,LEN(IF(F82="","","ebitda "&amp;IF(F82&lt;0,"-","+")&amp;TEXT(ABS(F82)*100,"0.0")&amp;"%"))&gt;0),", ","")&amp;IF(F82="","","ebitda "&amp;IF(F82&lt;0,"-","+")&amp;TEXT(ABS(F82)*100,"0.0")&amp;"%")&amp;IF(AND(LEN(IF(E82="","","ending_cash "&amp;IF(E82&lt;0,"-","+")&amp;TEXT(ABS(E82)*100,"0.0")&amp;"%")&amp;IF(AND(LEN(IF(E82="","","ending_cash "&amp;IF(E82&lt;0,"-","+")&amp;TEXT(ABS(E82)*100,"0.0")&amp;"%"))&gt;0,LEN(IF(F82="","","ebitda "&amp;IF(F82&lt;0,"-","+")&amp;TEXT(ABS(F82)*100,"0.0")&amp;"%"))&gt;0),", ","")&amp;IF(F82="","","ebitda "&amp;IF(F82&lt;0,"-","+")&amp;TEXT(ABS(F82)*100,"0.0")&amp;"%"))&gt;0,LEN(IF(G82="","","revenue "&amp;IF(G82&lt;0,"-","+")&amp;TEXT(ABS(G82)*100,"0.0")&amp;"%"))&gt;0),", ","")&amp;IF(G82="","","revenue "&amp;IF(G82&lt;0,"-","+")&amp;TEXT(ABS(G82)*100,"0.0")&amp;"%")&amp;IF(AND(LEN(IF(E82="","","ending_cash "&amp;IF(E82&lt;0,"-","+")&amp;TEXT(ABS(E82)*100,"0.0")&amp;"%")&amp;IF(AND(LEN(IF(E82="","","ending_cash "&amp;IF(E82&lt;0,"-","+")&amp;TEXT(ABS(E82)*100,"0.0")&amp;"%"))&gt;0,LEN(IF(F82="","","ebitda "&amp;IF(F82&lt;0,"-","+")&amp;TEXT(ABS(F82)*100,"0.0")&amp;"%"))&gt;0),", ","")&amp;IF(F82="","","ebitda "&amp;IF(F82&lt;0,"-","+")&amp;TEXT(ABS(F82)*100,"0.0")&amp;"%")&amp;IF(AND(LEN(IF(E82="","","ending_cash "&amp;IF(E82&lt;0,"-","+")&amp;TEXT(ABS(E82)*100,"0.0")&amp;"%")&amp;IF(AND(LEN(IF(E82="","","ending_cash "&amp;IF(E82&lt;0,"-","+")&amp;TEXT(ABS(E82)*100,"0.0")&amp;"%"))&gt;0,LEN(IF(F82="","","ebitda "&amp;IF(F82&lt;0,"-","+")&amp;TEXT(ABS(F82)*100,"0.0")&amp;"%"))&gt;0),", ","")&amp;IF(F82="","","ebitda "&amp;IF(F82&lt;0,"-","+")&amp;TEXT(ABS(F82)*100,"0.0")&amp;"%"))&gt;0,LEN(IF(G82="","","revenue "&amp;IF(G82&lt;0,"-","+")&amp;TEXT(ABS(G82)*100,"0.0")&amp;"%"))&gt;0),", ","")&amp;IF(G82="","","revenue "&amp;IF(G82&lt;0,"-","+")&amp;TEXT(ABS(G82)*100,"0.0")&amp;"%"))&gt;0,LEN(IF(H82="","","gross_margin "&amp;IF(H82&lt;0,"-","+")&amp;TEXT(ABS(H82)*100,"0.0")&amp;"%"))&gt;0),", ","")&amp;IF(H82="","","gross_margin "&amp;IF(H82&lt;0,"-","+")&amp;TEXT(ABS(H82)*100,"0.0")&amp;"%")&amp;" |")</f>
        <v/>
      </c>
      <c r="R82">
        <f>IF(Q82="","",ROW()-4)</f>
        <v/>
      </c>
    </row>
    <row r="83">
      <c r="A83" s="8" t="n"/>
      <c r="B83" s="8" t="n"/>
      <c r="C83" s="8" t="n"/>
      <c r="D83" s="19" t="n"/>
      <c r="E83" s="20" t="n"/>
      <c r="F83" s="20" t="n"/>
      <c r="G83" s="20" t="n"/>
      <c r="H83" s="20" t="n"/>
      <c r="I83" s="10" t="n"/>
      <c r="J83" s="10" t="n"/>
      <c r="K83" s="10" t="n"/>
      <c r="L83" s="10" t="n"/>
      <c r="M83" s="21">
        <f>IF(OR(E83="",I83="",E83=-1),"",I83/(1+E83))</f>
        <v/>
      </c>
      <c r="N83" s="21">
        <f>IF(OR(F83="",J83="",F83=-1),"",J83/(1+F83))</f>
        <v/>
      </c>
      <c r="O83" s="21">
        <f>IF(OR(G83="",K83="",G83=-1),"",K83/(1+G83))</f>
        <v/>
      </c>
      <c r="P83" s="21">
        <f>IF(OR(H83="",L83="",H83=-1),"",L83/(1+H83))</f>
        <v/>
      </c>
      <c r="Q83" s="6">
        <f>IF(OR(A83="",LOWER(C83)&lt;&gt;"y"),"","| "&amp;A83&amp;" | "&amp;TEXT(D83,"0.0000")&amp;" | "&amp;IF(E83="","","ending_cash "&amp;IF(E83&lt;0,"-","+")&amp;TEXT(ABS(E83)*100,"0.0")&amp;"%")&amp;IF(AND(LEN(IF(E83="","","ending_cash "&amp;IF(E83&lt;0,"-","+")&amp;TEXT(ABS(E83)*100,"0.0")&amp;"%"))&gt;0,LEN(IF(F83="","","ebitda "&amp;IF(F83&lt;0,"-","+")&amp;TEXT(ABS(F83)*100,"0.0")&amp;"%"))&gt;0),", ","")&amp;IF(F83="","","ebitda "&amp;IF(F83&lt;0,"-","+")&amp;TEXT(ABS(F83)*100,"0.0")&amp;"%")&amp;IF(AND(LEN(IF(E83="","","ending_cash "&amp;IF(E83&lt;0,"-","+")&amp;TEXT(ABS(E83)*100,"0.0")&amp;"%")&amp;IF(AND(LEN(IF(E83="","","ending_cash "&amp;IF(E83&lt;0,"-","+")&amp;TEXT(ABS(E83)*100,"0.0")&amp;"%"))&gt;0,LEN(IF(F83="","","ebitda "&amp;IF(F83&lt;0,"-","+")&amp;TEXT(ABS(F83)*100,"0.0")&amp;"%"))&gt;0),", ","")&amp;IF(F83="","","ebitda "&amp;IF(F83&lt;0,"-","+")&amp;TEXT(ABS(F83)*100,"0.0")&amp;"%"))&gt;0,LEN(IF(G83="","","revenue "&amp;IF(G83&lt;0,"-","+")&amp;TEXT(ABS(G83)*100,"0.0")&amp;"%"))&gt;0),", ","")&amp;IF(G83="","","revenue "&amp;IF(G83&lt;0,"-","+")&amp;TEXT(ABS(G83)*100,"0.0")&amp;"%")&amp;IF(AND(LEN(IF(E83="","","ending_cash "&amp;IF(E83&lt;0,"-","+")&amp;TEXT(ABS(E83)*100,"0.0")&amp;"%")&amp;IF(AND(LEN(IF(E83="","","ending_cash "&amp;IF(E83&lt;0,"-","+")&amp;TEXT(ABS(E83)*100,"0.0")&amp;"%"))&gt;0,LEN(IF(F83="","","ebitda "&amp;IF(F83&lt;0,"-","+")&amp;TEXT(ABS(F83)*100,"0.0")&amp;"%"))&gt;0),", ","")&amp;IF(F83="","","ebitda "&amp;IF(F83&lt;0,"-","+")&amp;TEXT(ABS(F83)*100,"0.0")&amp;"%")&amp;IF(AND(LEN(IF(E83="","","ending_cash "&amp;IF(E83&lt;0,"-","+")&amp;TEXT(ABS(E83)*100,"0.0")&amp;"%")&amp;IF(AND(LEN(IF(E83="","","ending_cash "&amp;IF(E83&lt;0,"-","+")&amp;TEXT(ABS(E83)*100,"0.0")&amp;"%"))&gt;0,LEN(IF(F83="","","ebitda "&amp;IF(F83&lt;0,"-","+")&amp;TEXT(ABS(F83)*100,"0.0")&amp;"%"))&gt;0),", ","")&amp;IF(F83="","","ebitda "&amp;IF(F83&lt;0,"-","+")&amp;TEXT(ABS(F83)*100,"0.0")&amp;"%"))&gt;0,LEN(IF(G83="","","revenue "&amp;IF(G83&lt;0,"-","+")&amp;TEXT(ABS(G83)*100,"0.0")&amp;"%"))&gt;0),", ","")&amp;IF(G83="","","revenue "&amp;IF(G83&lt;0,"-","+")&amp;TEXT(ABS(G83)*100,"0.0")&amp;"%"))&gt;0,LEN(IF(H83="","","gross_margin "&amp;IF(H83&lt;0,"-","+")&amp;TEXT(ABS(H83)*100,"0.0")&amp;"%"))&gt;0),", ","")&amp;IF(H83="","","gross_margin "&amp;IF(H83&lt;0,"-","+")&amp;TEXT(ABS(H83)*100,"0.0")&amp;"%")&amp;" |")</f>
        <v/>
      </c>
      <c r="R83">
        <f>IF(Q83="","",ROW()-4)</f>
        <v/>
      </c>
    </row>
    <row r="84">
      <c r="A84" s="8" t="n"/>
      <c r="B84" s="8" t="n"/>
      <c r="C84" s="8" t="n"/>
      <c r="D84" s="19" t="n"/>
      <c r="E84" s="20" t="n"/>
      <c r="F84" s="20" t="n"/>
      <c r="G84" s="20" t="n"/>
      <c r="H84" s="20" t="n"/>
      <c r="I84" s="10" t="n"/>
      <c r="J84" s="10" t="n"/>
      <c r="K84" s="10" t="n"/>
      <c r="L84" s="10" t="n"/>
      <c r="M84" s="21">
        <f>IF(OR(E84="",I84="",E84=-1),"",I84/(1+E84))</f>
        <v/>
      </c>
      <c r="N84" s="21">
        <f>IF(OR(F84="",J84="",F84=-1),"",J84/(1+F84))</f>
        <v/>
      </c>
      <c r="O84" s="21">
        <f>IF(OR(G84="",K84="",G84=-1),"",K84/(1+G84))</f>
        <v/>
      </c>
      <c r="P84" s="21">
        <f>IF(OR(H84="",L84="",H84=-1),"",L84/(1+H84))</f>
        <v/>
      </c>
      <c r="Q84" s="6">
        <f>IF(OR(A84="",LOWER(C84)&lt;&gt;"y"),"","| "&amp;A84&amp;" | "&amp;TEXT(D84,"0.0000")&amp;" | "&amp;IF(E84="","","ending_cash "&amp;IF(E84&lt;0,"-","+")&amp;TEXT(ABS(E84)*100,"0.0")&amp;"%")&amp;IF(AND(LEN(IF(E84="","","ending_cash "&amp;IF(E84&lt;0,"-","+")&amp;TEXT(ABS(E84)*100,"0.0")&amp;"%"))&gt;0,LEN(IF(F84="","","ebitda "&amp;IF(F84&lt;0,"-","+")&amp;TEXT(ABS(F84)*100,"0.0")&amp;"%"))&gt;0),", ","")&amp;IF(F84="","","ebitda "&amp;IF(F84&lt;0,"-","+")&amp;TEXT(ABS(F84)*100,"0.0")&amp;"%")&amp;IF(AND(LEN(IF(E84="","","ending_cash "&amp;IF(E84&lt;0,"-","+")&amp;TEXT(ABS(E84)*100,"0.0")&amp;"%")&amp;IF(AND(LEN(IF(E84="","","ending_cash "&amp;IF(E84&lt;0,"-","+")&amp;TEXT(ABS(E84)*100,"0.0")&amp;"%"))&gt;0,LEN(IF(F84="","","ebitda "&amp;IF(F84&lt;0,"-","+")&amp;TEXT(ABS(F84)*100,"0.0")&amp;"%"))&gt;0),", ","")&amp;IF(F84="","","ebitda "&amp;IF(F84&lt;0,"-","+")&amp;TEXT(ABS(F84)*100,"0.0")&amp;"%"))&gt;0,LEN(IF(G84="","","revenue "&amp;IF(G84&lt;0,"-","+")&amp;TEXT(ABS(G84)*100,"0.0")&amp;"%"))&gt;0),", ","")&amp;IF(G84="","","revenue "&amp;IF(G84&lt;0,"-","+")&amp;TEXT(ABS(G84)*100,"0.0")&amp;"%")&amp;IF(AND(LEN(IF(E84="","","ending_cash "&amp;IF(E84&lt;0,"-","+")&amp;TEXT(ABS(E84)*100,"0.0")&amp;"%")&amp;IF(AND(LEN(IF(E84="","","ending_cash "&amp;IF(E84&lt;0,"-","+")&amp;TEXT(ABS(E84)*100,"0.0")&amp;"%"))&gt;0,LEN(IF(F84="","","ebitda "&amp;IF(F84&lt;0,"-","+")&amp;TEXT(ABS(F84)*100,"0.0")&amp;"%"))&gt;0),", ","")&amp;IF(F84="","","ebitda "&amp;IF(F84&lt;0,"-","+")&amp;TEXT(ABS(F84)*100,"0.0")&amp;"%")&amp;IF(AND(LEN(IF(E84="","","ending_cash "&amp;IF(E84&lt;0,"-","+")&amp;TEXT(ABS(E84)*100,"0.0")&amp;"%")&amp;IF(AND(LEN(IF(E84="","","ending_cash "&amp;IF(E84&lt;0,"-","+")&amp;TEXT(ABS(E84)*100,"0.0")&amp;"%"))&gt;0,LEN(IF(F84="","","ebitda "&amp;IF(F84&lt;0,"-","+")&amp;TEXT(ABS(F84)*100,"0.0")&amp;"%"))&gt;0),", ","")&amp;IF(F84="","","ebitda "&amp;IF(F84&lt;0,"-","+")&amp;TEXT(ABS(F84)*100,"0.0")&amp;"%"))&gt;0,LEN(IF(G84="","","revenue "&amp;IF(G84&lt;0,"-","+")&amp;TEXT(ABS(G84)*100,"0.0")&amp;"%"))&gt;0),", ","")&amp;IF(G84="","","revenue "&amp;IF(G84&lt;0,"-","+")&amp;TEXT(ABS(G84)*100,"0.0")&amp;"%"))&gt;0,LEN(IF(H84="","","gross_margin "&amp;IF(H84&lt;0,"-","+")&amp;TEXT(ABS(H84)*100,"0.0")&amp;"%"))&gt;0),", ","")&amp;IF(H84="","","gross_margin "&amp;IF(H84&lt;0,"-","+")&amp;TEXT(ABS(H84)*100,"0.0")&amp;"%")&amp;" |")</f>
        <v/>
      </c>
      <c r="R84">
        <f>IF(Q84="","",ROW()-4)</f>
        <v/>
      </c>
    </row>
    <row r="85">
      <c r="A85" s="8" t="n"/>
      <c r="B85" s="8" t="n"/>
      <c r="C85" s="8" t="n"/>
      <c r="D85" s="19" t="n"/>
      <c r="E85" s="20" t="n"/>
      <c r="F85" s="20" t="n"/>
      <c r="G85" s="20" t="n"/>
      <c r="H85" s="20" t="n"/>
      <c r="I85" s="10" t="n"/>
      <c r="J85" s="10" t="n"/>
      <c r="K85" s="10" t="n"/>
      <c r="L85" s="10" t="n"/>
      <c r="M85" s="21">
        <f>IF(OR(E85="",I85="",E85=-1),"",I85/(1+E85))</f>
        <v/>
      </c>
      <c r="N85" s="21">
        <f>IF(OR(F85="",J85="",F85=-1),"",J85/(1+F85))</f>
        <v/>
      </c>
      <c r="O85" s="21">
        <f>IF(OR(G85="",K85="",G85=-1),"",K85/(1+G85))</f>
        <v/>
      </c>
      <c r="P85" s="21">
        <f>IF(OR(H85="",L85="",H85=-1),"",L85/(1+H85))</f>
        <v/>
      </c>
      <c r="Q85" s="6">
        <f>IF(OR(A85="",LOWER(C85)&lt;&gt;"y"),"","| "&amp;A85&amp;" | "&amp;TEXT(D85,"0.0000")&amp;" | "&amp;IF(E85="","","ending_cash "&amp;IF(E85&lt;0,"-","+")&amp;TEXT(ABS(E85)*100,"0.0")&amp;"%")&amp;IF(AND(LEN(IF(E85="","","ending_cash "&amp;IF(E85&lt;0,"-","+")&amp;TEXT(ABS(E85)*100,"0.0")&amp;"%"))&gt;0,LEN(IF(F85="","","ebitda "&amp;IF(F85&lt;0,"-","+")&amp;TEXT(ABS(F85)*100,"0.0")&amp;"%"))&gt;0),", ","")&amp;IF(F85="","","ebitda "&amp;IF(F85&lt;0,"-","+")&amp;TEXT(ABS(F85)*100,"0.0")&amp;"%")&amp;IF(AND(LEN(IF(E85="","","ending_cash "&amp;IF(E85&lt;0,"-","+")&amp;TEXT(ABS(E85)*100,"0.0")&amp;"%")&amp;IF(AND(LEN(IF(E85="","","ending_cash "&amp;IF(E85&lt;0,"-","+")&amp;TEXT(ABS(E85)*100,"0.0")&amp;"%"))&gt;0,LEN(IF(F85="","","ebitda "&amp;IF(F85&lt;0,"-","+")&amp;TEXT(ABS(F85)*100,"0.0")&amp;"%"))&gt;0),", ","")&amp;IF(F85="","","ebitda "&amp;IF(F85&lt;0,"-","+")&amp;TEXT(ABS(F85)*100,"0.0")&amp;"%"))&gt;0,LEN(IF(G85="","","revenue "&amp;IF(G85&lt;0,"-","+")&amp;TEXT(ABS(G85)*100,"0.0")&amp;"%"))&gt;0),", ","")&amp;IF(G85="","","revenue "&amp;IF(G85&lt;0,"-","+")&amp;TEXT(ABS(G85)*100,"0.0")&amp;"%")&amp;IF(AND(LEN(IF(E85="","","ending_cash "&amp;IF(E85&lt;0,"-","+")&amp;TEXT(ABS(E85)*100,"0.0")&amp;"%")&amp;IF(AND(LEN(IF(E85="","","ending_cash "&amp;IF(E85&lt;0,"-","+")&amp;TEXT(ABS(E85)*100,"0.0")&amp;"%"))&gt;0,LEN(IF(F85="","","ebitda "&amp;IF(F85&lt;0,"-","+")&amp;TEXT(ABS(F85)*100,"0.0")&amp;"%"))&gt;0),", ","")&amp;IF(F85="","","ebitda "&amp;IF(F85&lt;0,"-","+")&amp;TEXT(ABS(F85)*100,"0.0")&amp;"%")&amp;IF(AND(LEN(IF(E85="","","ending_cash "&amp;IF(E85&lt;0,"-","+")&amp;TEXT(ABS(E85)*100,"0.0")&amp;"%")&amp;IF(AND(LEN(IF(E85="","","ending_cash "&amp;IF(E85&lt;0,"-","+")&amp;TEXT(ABS(E85)*100,"0.0")&amp;"%"))&gt;0,LEN(IF(F85="","","ebitda "&amp;IF(F85&lt;0,"-","+")&amp;TEXT(ABS(F85)*100,"0.0")&amp;"%"))&gt;0),", ","")&amp;IF(F85="","","ebitda "&amp;IF(F85&lt;0,"-","+")&amp;TEXT(ABS(F85)*100,"0.0")&amp;"%"))&gt;0,LEN(IF(G85="","","revenue "&amp;IF(G85&lt;0,"-","+")&amp;TEXT(ABS(G85)*100,"0.0")&amp;"%"))&gt;0),", ","")&amp;IF(G85="","","revenue "&amp;IF(G85&lt;0,"-","+")&amp;TEXT(ABS(G85)*100,"0.0")&amp;"%"))&gt;0,LEN(IF(H85="","","gross_margin "&amp;IF(H85&lt;0,"-","+")&amp;TEXT(ABS(H85)*100,"0.0")&amp;"%"))&gt;0),", ","")&amp;IF(H85="","","gross_margin "&amp;IF(H85&lt;0,"-","+")&amp;TEXT(ABS(H85)*100,"0.0")&amp;"%")&amp;" |")</f>
        <v/>
      </c>
      <c r="R85">
        <f>IF(Q85="","",ROW()-4)</f>
        <v/>
      </c>
    </row>
    <row r="86">
      <c r="A86" s="8" t="n"/>
      <c r="B86" s="8" t="n"/>
      <c r="C86" s="8" t="n"/>
      <c r="D86" s="19" t="n"/>
      <c r="E86" s="20" t="n"/>
      <c r="F86" s="20" t="n"/>
      <c r="G86" s="20" t="n"/>
      <c r="H86" s="20" t="n"/>
      <c r="I86" s="10" t="n"/>
      <c r="J86" s="10" t="n"/>
      <c r="K86" s="10" t="n"/>
      <c r="L86" s="10" t="n"/>
      <c r="M86" s="21">
        <f>IF(OR(E86="",I86="",E86=-1),"",I86/(1+E86))</f>
        <v/>
      </c>
      <c r="N86" s="21">
        <f>IF(OR(F86="",J86="",F86=-1),"",J86/(1+F86))</f>
        <v/>
      </c>
      <c r="O86" s="21">
        <f>IF(OR(G86="",K86="",G86=-1),"",K86/(1+G86))</f>
        <v/>
      </c>
      <c r="P86" s="21">
        <f>IF(OR(H86="",L86="",H86=-1),"",L86/(1+H86))</f>
        <v/>
      </c>
      <c r="Q86" s="6">
        <f>IF(OR(A86="",LOWER(C86)&lt;&gt;"y"),"","| "&amp;A86&amp;" | "&amp;TEXT(D86,"0.0000")&amp;" | "&amp;IF(E86="","","ending_cash "&amp;IF(E86&lt;0,"-","+")&amp;TEXT(ABS(E86)*100,"0.0")&amp;"%")&amp;IF(AND(LEN(IF(E86="","","ending_cash "&amp;IF(E86&lt;0,"-","+")&amp;TEXT(ABS(E86)*100,"0.0")&amp;"%"))&gt;0,LEN(IF(F86="","","ebitda "&amp;IF(F86&lt;0,"-","+")&amp;TEXT(ABS(F86)*100,"0.0")&amp;"%"))&gt;0),", ","")&amp;IF(F86="","","ebitda "&amp;IF(F86&lt;0,"-","+")&amp;TEXT(ABS(F86)*100,"0.0")&amp;"%")&amp;IF(AND(LEN(IF(E86="","","ending_cash "&amp;IF(E86&lt;0,"-","+")&amp;TEXT(ABS(E86)*100,"0.0")&amp;"%")&amp;IF(AND(LEN(IF(E86="","","ending_cash "&amp;IF(E86&lt;0,"-","+")&amp;TEXT(ABS(E86)*100,"0.0")&amp;"%"))&gt;0,LEN(IF(F86="","","ebitda "&amp;IF(F86&lt;0,"-","+")&amp;TEXT(ABS(F86)*100,"0.0")&amp;"%"))&gt;0),", ","")&amp;IF(F86="","","ebitda "&amp;IF(F86&lt;0,"-","+")&amp;TEXT(ABS(F86)*100,"0.0")&amp;"%"))&gt;0,LEN(IF(G86="","","revenue "&amp;IF(G86&lt;0,"-","+")&amp;TEXT(ABS(G86)*100,"0.0")&amp;"%"))&gt;0),", ","")&amp;IF(G86="","","revenue "&amp;IF(G86&lt;0,"-","+")&amp;TEXT(ABS(G86)*100,"0.0")&amp;"%")&amp;IF(AND(LEN(IF(E86="","","ending_cash "&amp;IF(E86&lt;0,"-","+")&amp;TEXT(ABS(E86)*100,"0.0")&amp;"%")&amp;IF(AND(LEN(IF(E86="","","ending_cash "&amp;IF(E86&lt;0,"-","+")&amp;TEXT(ABS(E86)*100,"0.0")&amp;"%"))&gt;0,LEN(IF(F86="","","ebitda "&amp;IF(F86&lt;0,"-","+")&amp;TEXT(ABS(F86)*100,"0.0")&amp;"%"))&gt;0),", ","")&amp;IF(F86="","","ebitda "&amp;IF(F86&lt;0,"-","+")&amp;TEXT(ABS(F86)*100,"0.0")&amp;"%")&amp;IF(AND(LEN(IF(E86="","","ending_cash "&amp;IF(E86&lt;0,"-","+")&amp;TEXT(ABS(E86)*100,"0.0")&amp;"%")&amp;IF(AND(LEN(IF(E86="","","ending_cash "&amp;IF(E86&lt;0,"-","+")&amp;TEXT(ABS(E86)*100,"0.0")&amp;"%"))&gt;0,LEN(IF(F86="","","ebitda "&amp;IF(F86&lt;0,"-","+")&amp;TEXT(ABS(F86)*100,"0.0")&amp;"%"))&gt;0),", ","")&amp;IF(F86="","","ebitda "&amp;IF(F86&lt;0,"-","+")&amp;TEXT(ABS(F86)*100,"0.0")&amp;"%"))&gt;0,LEN(IF(G86="","","revenue "&amp;IF(G86&lt;0,"-","+")&amp;TEXT(ABS(G86)*100,"0.0")&amp;"%"))&gt;0),", ","")&amp;IF(G86="","","revenue "&amp;IF(G86&lt;0,"-","+")&amp;TEXT(ABS(G86)*100,"0.0")&amp;"%"))&gt;0,LEN(IF(H86="","","gross_margin "&amp;IF(H86&lt;0,"-","+")&amp;TEXT(ABS(H86)*100,"0.0")&amp;"%"))&gt;0),", ","")&amp;IF(H86="","","gross_margin "&amp;IF(H86&lt;0,"-","+")&amp;TEXT(ABS(H86)*100,"0.0")&amp;"%")&amp;" |")</f>
        <v/>
      </c>
      <c r="R86">
        <f>IF(Q86="","",ROW()-4)</f>
        <v/>
      </c>
    </row>
    <row r="87">
      <c r="A87" s="8" t="n"/>
      <c r="B87" s="8" t="n"/>
      <c r="C87" s="8" t="n"/>
      <c r="D87" s="19" t="n"/>
      <c r="E87" s="20" t="n"/>
      <c r="F87" s="20" t="n"/>
      <c r="G87" s="20" t="n"/>
      <c r="H87" s="20" t="n"/>
      <c r="I87" s="10" t="n"/>
      <c r="J87" s="10" t="n"/>
      <c r="K87" s="10" t="n"/>
      <c r="L87" s="10" t="n"/>
      <c r="M87" s="21">
        <f>IF(OR(E87="",I87="",E87=-1),"",I87/(1+E87))</f>
        <v/>
      </c>
      <c r="N87" s="21">
        <f>IF(OR(F87="",J87="",F87=-1),"",J87/(1+F87))</f>
        <v/>
      </c>
      <c r="O87" s="21">
        <f>IF(OR(G87="",K87="",G87=-1),"",K87/(1+G87))</f>
        <v/>
      </c>
      <c r="P87" s="21">
        <f>IF(OR(H87="",L87="",H87=-1),"",L87/(1+H87))</f>
        <v/>
      </c>
      <c r="Q87" s="6">
        <f>IF(OR(A87="",LOWER(C87)&lt;&gt;"y"),"","| "&amp;A87&amp;" | "&amp;TEXT(D87,"0.0000")&amp;" | "&amp;IF(E87="","","ending_cash "&amp;IF(E87&lt;0,"-","+")&amp;TEXT(ABS(E87)*100,"0.0")&amp;"%")&amp;IF(AND(LEN(IF(E87="","","ending_cash "&amp;IF(E87&lt;0,"-","+")&amp;TEXT(ABS(E87)*100,"0.0")&amp;"%"))&gt;0,LEN(IF(F87="","","ebitda "&amp;IF(F87&lt;0,"-","+")&amp;TEXT(ABS(F87)*100,"0.0")&amp;"%"))&gt;0),", ","")&amp;IF(F87="","","ebitda "&amp;IF(F87&lt;0,"-","+")&amp;TEXT(ABS(F87)*100,"0.0")&amp;"%")&amp;IF(AND(LEN(IF(E87="","","ending_cash "&amp;IF(E87&lt;0,"-","+")&amp;TEXT(ABS(E87)*100,"0.0")&amp;"%")&amp;IF(AND(LEN(IF(E87="","","ending_cash "&amp;IF(E87&lt;0,"-","+")&amp;TEXT(ABS(E87)*100,"0.0")&amp;"%"))&gt;0,LEN(IF(F87="","","ebitda "&amp;IF(F87&lt;0,"-","+")&amp;TEXT(ABS(F87)*100,"0.0")&amp;"%"))&gt;0),", ","")&amp;IF(F87="","","ebitda "&amp;IF(F87&lt;0,"-","+")&amp;TEXT(ABS(F87)*100,"0.0")&amp;"%"))&gt;0,LEN(IF(G87="","","revenue "&amp;IF(G87&lt;0,"-","+")&amp;TEXT(ABS(G87)*100,"0.0")&amp;"%"))&gt;0),", ","")&amp;IF(G87="","","revenue "&amp;IF(G87&lt;0,"-","+")&amp;TEXT(ABS(G87)*100,"0.0")&amp;"%")&amp;IF(AND(LEN(IF(E87="","","ending_cash "&amp;IF(E87&lt;0,"-","+")&amp;TEXT(ABS(E87)*100,"0.0")&amp;"%")&amp;IF(AND(LEN(IF(E87="","","ending_cash "&amp;IF(E87&lt;0,"-","+")&amp;TEXT(ABS(E87)*100,"0.0")&amp;"%"))&gt;0,LEN(IF(F87="","","ebitda "&amp;IF(F87&lt;0,"-","+")&amp;TEXT(ABS(F87)*100,"0.0")&amp;"%"))&gt;0),", ","")&amp;IF(F87="","","ebitda "&amp;IF(F87&lt;0,"-","+")&amp;TEXT(ABS(F87)*100,"0.0")&amp;"%")&amp;IF(AND(LEN(IF(E87="","","ending_cash "&amp;IF(E87&lt;0,"-","+")&amp;TEXT(ABS(E87)*100,"0.0")&amp;"%")&amp;IF(AND(LEN(IF(E87="","","ending_cash "&amp;IF(E87&lt;0,"-","+")&amp;TEXT(ABS(E87)*100,"0.0")&amp;"%"))&gt;0,LEN(IF(F87="","","ebitda "&amp;IF(F87&lt;0,"-","+")&amp;TEXT(ABS(F87)*100,"0.0")&amp;"%"))&gt;0),", ","")&amp;IF(F87="","","ebitda "&amp;IF(F87&lt;0,"-","+")&amp;TEXT(ABS(F87)*100,"0.0")&amp;"%"))&gt;0,LEN(IF(G87="","","revenue "&amp;IF(G87&lt;0,"-","+")&amp;TEXT(ABS(G87)*100,"0.0")&amp;"%"))&gt;0),", ","")&amp;IF(G87="","","revenue "&amp;IF(G87&lt;0,"-","+")&amp;TEXT(ABS(G87)*100,"0.0")&amp;"%"))&gt;0,LEN(IF(H87="","","gross_margin "&amp;IF(H87&lt;0,"-","+")&amp;TEXT(ABS(H87)*100,"0.0")&amp;"%"))&gt;0),", ","")&amp;IF(H87="","","gross_margin "&amp;IF(H87&lt;0,"-","+")&amp;TEXT(ABS(H87)*100,"0.0")&amp;"%")&amp;" |")</f>
        <v/>
      </c>
      <c r="R87">
        <f>IF(Q87="","",ROW()-4)</f>
        <v/>
      </c>
    </row>
    <row r="88">
      <c r="A88" s="8" t="n"/>
      <c r="B88" s="8" t="n"/>
      <c r="C88" s="8" t="n"/>
      <c r="D88" s="19" t="n"/>
      <c r="E88" s="20" t="n"/>
      <c r="F88" s="20" t="n"/>
      <c r="G88" s="20" t="n"/>
      <c r="H88" s="20" t="n"/>
      <c r="I88" s="10" t="n"/>
      <c r="J88" s="10" t="n"/>
      <c r="K88" s="10" t="n"/>
      <c r="L88" s="10" t="n"/>
      <c r="M88" s="21">
        <f>IF(OR(E88="",I88="",E88=-1),"",I88/(1+E88))</f>
        <v/>
      </c>
      <c r="N88" s="21">
        <f>IF(OR(F88="",J88="",F88=-1),"",J88/(1+F88))</f>
        <v/>
      </c>
      <c r="O88" s="21">
        <f>IF(OR(G88="",K88="",G88=-1),"",K88/(1+G88))</f>
        <v/>
      </c>
      <c r="P88" s="21">
        <f>IF(OR(H88="",L88="",H88=-1),"",L88/(1+H88))</f>
        <v/>
      </c>
      <c r="Q88" s="6">
        <f>IF(OR(A88="",LOWER(C88)&lt;&gt;"y"),"","| "&amp;A88&amp;" | "&amp;TEXT(D88,"0.0000")&amp;" | "&amp;IF(E88="","","ending_cash "&amp;IF(E88&lt;0,"-","+")&amp;TEXT(ABS(E88)*100,"0.0")&amp;"%")&amp;IF(AND(LEN(IF(E88="","","ending_cash "&amp;IF(E88&lt;0,"-","+")&amp;TEXT(ABS(E88)*100,"0.0")&amp;"%"))&gt;0,LEN(IF(F88="","","ebitda "&amp;IF(F88&lt;0,"-","+")&amp;TEXT(ABS(F88)*100,"0.0")&amp;"%"))&gt;0),", ","")&amp;IF(F88="","","ebitda "&amp;IF(F88&lt;0,"-","+")&amp;TEXT(ABS(F88)*100,"0.0")&amp;"%")&amp;IF(AND(LEN(IF(E88="","","ending_cash "&amp;IF(E88&lt;0,"-","+")&amp;TEXT(ABS(E88)*100,"0.0")&amp;"%")&amp;IF(AND(LEN(IF(E88="","","ending_cash "&amp;IF(E88&lt;0,"-","+")&amp;TEXT(ABS(E88)*100,"0.0")&amp;"%"))&gt;0,LEN(IF(F88="","","ebitda "&amp;IF(F88&lt;0,"-","+")&amp;TEXT(ABS(F88)*100,"0.0")&amp;"%"))&gt;0),", ","")&amp;IF(F88="","","ebitda "&amp;IF(F88&lt;0,"-","+")&amp;TEXT(ABS(F88)*100,"0.0")&amp;"%"))&gt;0,LEN(IF(G88="","","revenue "&amp;IF(G88&lt;0,"-","+")&amp;TEXT(ABS(G88)*100,"0.0")&amp;"%"))&gt;0),", ","")&amp;IF(G88="","","revenue "&amp;IF(G88&lt;0,"-","+")&amp;TEXT(ABS(G88)*100,"0.0")&amp;"%")&amp;IF(AND(LEN(IF(E88="","","ending_cash "&amp;IF(E88&lt;0,"-","+")&amp;TEXT(ABS(E88)*100,"0.0")&amp;"%")&amp;IF(AND(LEN(IF(E88="","","ending_cash "&amp;IF(E88&lt;0,"-","+")&amp;TEXT(ABS(E88)*100,"0.0")&amp;"%"))&gt;0,LEN(IF(F88="","","ebitda "&amp;IF(F88&lt;0,"-","+")&amp;TEXT(ABS(F88)*100,"0.0")&amp;"%"))&gt;0),", ","")&amp;IF(F88="","","ebitda "&amp;IF(F88&lt;0,"-","+")&amp;TEXT(ABS(F88)*100,"0.0")&amp;"%")&amp;IF(AND(LEN(IF(E88="","","ending_cash "&amp;IF(E88&lt;0,"-","+")&amp;TEXT(ABS(E88)*100,"0.0")&amp;"%")&amp;IF(AND(LEN(IF(E88="","","ending_cash "&amp;IF(E88&lt;0,"-","+")&amp;TEXT(ABS(E88)*100,"0.0")&amp;"%"))&gt;0,LEN(IF(F88="","","ebitda "&amp;IF(F88&lt;0,"-","+")&amp;TEXT(ABS(F88)*100,"0.0")&amp;"%"))&gt;0),", ","")&amp;IF(F88="","","ebitda "&amp;IF(F88&lt;0,"-","+")&amp;TEXT(ABS(F88)*100,"0.0")&amp;"%"))&gt;0,LEN(IF(G88="","","revenue "&amp;IF(G88&lt;0,"-","+")&amp;TEXT(ABS(G88)*100,"0.0")&amp;"%"))&gt;0),", ","")&amp;IF(G88="","","revenue "&amp;IF(G88&lt;0,"-","+")&amp;TEXT(ABS(G88)*100,"0.0")&amp;"%"))&gt;0,LEN(IF(H88="","","gross_margin "&amp;IF(H88&lt;0,"-","+")&amp;TEXT(ABS(H88)*100,"0.0")&amp;"%"))&gt;0),", ","")&amp;IF(H88="","","gross_margin "&amp;IF(H88&lt;0,"-","+")&amp;TEXT(ABS(H88)*100,"0.0")&amp;"%")&amp;" |")</f>
        <v/>
      </c>
      <c r="R88">
        <f>IF(Q88="","",ROW()-4)</f>
        <v/>
      </c>
    </row>
    <row r="89">
      <c r="A89" s="8" t="n"/>
      <c r="B89" s="8" t="n"/>
      <c r="C89" s="8" t="n"/>
      <c r="D89" s="19" t="n"/>
      <c r="E89" s="20" t="n"/>
      <c r="F89" s="20" t="n"/>
      <c r="G89" s="20" t="n"/>
      <c r="H89" s="20" t="n"/>
      <c r="I89" s="10" t="n"/>
      <c r="J89" s="10" t="n"/>
      <c r="K89" s="10" t="n"/>
      <c r="L89" s="10" t="n"/>
      <c r="M89" s="21">
        <f>IF(OR(E89="",I89="",E89=-1),"",I89/(1+E89))</f>
        <v/>
      </c>
      <c r="N89" s="21">
        <f>IF(OR(F89="",J89="",F89=-1),"",J89/(1+F89))</f>
        <v/>
      </c>
      <c r="O89" s="21">
        <f>IF(OR(G89="",K89="",G89=-1),"",K89/(1+G89))</f>
        <v/>
      </c>
      <c r="P89" s="21">
        <f>IF(OR(H89="",L89="",H89=-1),"",L89/(1+H89))</f>
        <v/>
      </c>
      <c r="Q89" s="6">
        <f>IF(OR(A89="",LOWER(C89)&lt;&gt;"y"),"","| "&amp;A89&amp;" | "&amp;TEXT(D89,"0.0000")&amp;" | "&amp;IF(E89="","","ending_cash "&amp;IF(E89&lt;0,"-","+")&amp;TEXT(ABS(E89)*100,"0.0")&amp;"%")&amp;IF(AND(LEN(IF(E89="","","ending_cash "&amp;IF(E89&lt;0,"-","+")&amp;TEXT(ABS(E89)*100,"0.0")&amp;"%"))&gt;0,LEN(IF(F89="","","ebitda "&amp;IF(F89&lt;0,"-","+")&amp;TEXT(ABS(F89)*100,"0.0")&amp;"%"))&gt;0),", ","")&amp;IF(F89="","","ebitda "&amp;IF(F89&lt;0,"-","+")&amp;TEXT(ABS(F89)*100,"0.0")&amp;"%")&amp;IF(AND(LEN(IF(E89="","","ending_cash "&amp;IF(E89&lt;0,"-","+")&amp;TEXT(ABS(E89)*100,"0.0")&amp;"%")&amp;IF(AND(LEN(IF(E89="","","ending_cash "&amp;IF(E89&lt;0,"-","+")&amp;TEXT(ABS(E89)*100,"0.0")&amp;"%"))&gt;0,LEN(IF(F89="","","ebitda "&amp;IF(F89&lt;0,"-","+")&amp;TEXT(ABS(F89)*100,"0.0")&amp;"%"))&gt;0),", ","")&amp;IF(F89="","","ebitda "&amp;IF(F89&lt;0,"-","+")&amp;TEXT(ABS(F89)*100,"0.0")&amp;"%"))&gt;0,LEN(IF(G89="","","revenue "&amp;IF(G89&lt;0,"-","+")&amp;TEXT(ABS(G89)*100,"0.0")&amp;"%"))&gt;0),", ","")&amp;IF(G89="","","revenue "&amp;IF(G89&lt;0,"-","+")&amp;TEXT(ABS(G89)*100,"0.0")&amp;"%")&amp;IF(AND(LEN(IF(E89="","","ending_cash "&amp;IF(E89&lt;0,"-","+")&amp;TEXT(ABS(E89)*100,"0.0")&amp;"%")&amp;IF(AND(LEN(IF(E89="","","ending_cash "&amp;IF(E89&lt;0,"-","+")&amp;TEXT(ABS(E89)*100,"0.0")&amp;"%"))&gt;0,LEN(IF(F89="","","ebitda "&amp;IF(F89&lt;0,"-","+")&amp;TEXT(ABS(F89)*100,"0.0")&amp;"%"))&gt;0),", ","")&amp;IF(F89="","","ebitda "&amp;IF(F89&lt;0,"-","+")&amp;TEXT(ABS(F89)*100,"0.0")&amp;"%")&amp;IF(AND(LEN(IF(E89="","","ending_cash "&amp;IF(E89&lt;0,"-","+")&amp;TEXT(ABS(E89)*100,"0.0")&amp;"%")&amp;IF(AND(LEN(IF(E89="","","ending_cash "&amp;IF(E89&lt;0,"-","+")&amp;TEXT(ABS(E89)*100,"0.0")&amp;"%"))&gt;0,LEN(IF(F89="","","ebitda "&amp;IF(F89&lt;0,"-","+")&amp;TEXT(ABS(F89)*100,"0.0")&amp;"%"))&gt;0),", ","")&amp;IF(F89="","","ebitda "&amp;IF(F89&lt;0,"-","+")&amp;TEXT(ABS(F89)*100,"0.0")&amp;"%"))&gt;0,LEN(IF(G89="","","revenue "&amp;IF(G89&lt;0,"-","+")&amp;TEXT(ABS(G89)*100,"0.0")&amp;"%"))&gt;0),", ","")&amp;IF(G89="","","revenue "&amp;IF(G89&lt;0,"-","+")&amp;TEXT(ABS(G89)*100,"0.0")&amp;"%"))&gt;0,LEN(IF(H89="","","gross_margin "&amp;IF(H89&lt;0,"-","+")&amp;TEXT(ABS(H89)*100,"0.0")&amp;"%"))&gt;0),", ","")&amp;IF(H89="","","gross_margin "&amp;IF(H89&lt;0,"-","+")&amp;TEXT(ABS(H89)*100,"0.0")&amp;"%")&amp;" |")</f>
        <v/>
      </c>
      <c r="R89">
        <f>IF(Q89="","",ROW()-4)</f>
        <v/>
      </c>
    </row>
    <row r="90">
      <c r="A90" s="8" t="n"/>
      <c r="B90" s="8" t="n"/>
      <c r="C90" s="8" t="n"/>
      <c r="D90" s="19" t="n"/>
      <c r="E90" s="20" t="n"/>
      <c r="F90" s="20" t="n"/>
      <c r="G90" s="20" t="n"/>
      <c r="H90" s="20" t="n"/>
      <c r="I90" s="10" t="n"/>
      <c r="J90" s="10" t="n"/>
      <c r="K90" s="10" t="n"/>
      <c r="L90" s="10" t="n"/>
      <c r="M90" s="21">
        <f>IF(OR(E90="",I90="",E90=-1),"",I90/(1+E90))</f>
        <v/>
      </c>
      <c r="N90" s="21">
        <f>IF(OR(F90="",J90="",F90=-1),"",J90/(1+F90))</f>
        <v/>
      </c>
      <c r="O90" s="21">
        <f>IF(OR(G90="",K90="",G90=-1),"",K90/(1+G90))</f>
        <v/>
      </c>
      <c r="P90" s="21">
        <f>IF(OR(H90="",L90="",H90=-1),"",L90/(1+H90))</f>
        <v/>
      </c>
      <c r="Q90" s="6">
        <f>IF(OR(A90="",LOWER(C90)&lt;&gt;"y"),"","| "&amp;A90&amp;" | "&amp;TEXT(D90,"0.0000")&amp;" | "&amp;IF(E90="","","ending_cash "&amp;IF(E90&lt;0,"-","+")&amp;TEXT(ABS(E90)*100,"0.0")&amp;"%")&amp;IF(AND(LEN(IF(E90="","","ending_cash "&amp;IF(E90&lt;0,"-","+")&amp;TEXT(ABS(E90)*100,"0.0")&amp;"%"))&gt;0,LEN(IF(F90="","","ebitda "&amp;IF(F90&lt;0,"-","+")&amp;TEXT(ABS(F90)*100,"0.0")&amp;"%"))&gt;0),", ","")&amp;IF(F90="","","ebitda "&amp;IF(F90&lt;0,"-","+")&amp;TEXT(ABS(F90)*100,"0.0")&amp;"%")&amp;IF(AND(LEN(IF(E90="","","ending_cash "&amp;IF(E90&lt;0,"-","+")&amp;TEXT(ABS(E90)*100,"0.0")&amp;"%")&amp;IF(AND(LEN(IF(E90="","","ending_cash "&amp;IF(E90&lt;0,"-","+")&amp;TEXT(ABS(E90)*100,"0.0")&amp;"%"))&gt;0,LEN(IF(F90="","","ebitda "&amp;IF(F90&lt;0,"-","+")&amp;TEXT(ABS(F90)*100,"0.0")&amp;"%"))&gt;0),", ","")&amp;IF(F90="","","ebitda "&amp;IF(F90&lt;0,"-","+")&amp;TEXT(ABS(F90)*100,"0.0")&amp;"%"))&gt;0,LEN(IF(G90="","","revenue "&amp;IF(G90&lt;0,"-","+")&amp;TEXT(ABS(G90)*100,"0.0")&amp;"%"))&gt;0),", ","")&amp;IF(G90="","","revenue "&amp;IF(G90&lt;0,"-","+")&amp;TEXT(ABS(G90)*100,"0.0")&amp;"%")&amp;IF(AND(LEN(IF(E90="","","ending_cash "&amp;IF(E90&lt;0,"-","+")&amp;TEXT(ABS(E90)*100,"0.0")&amp;"%")&amp;IF(AND(LEN(IF(E90="","","ending_cash "&amp;IF(E90&lt;0,"-","+")&amp;TEXT(ABS(E90)*100,"0.0")&amp;"%"))&gt;0,LEN(IF(F90="","","ebitda "&amp;IF(F90&lt;0,"-","+")&amp;TEXT(ABS(F90)*100,"0.0")&amp;"%"))&gt;0),", ","")&amp;IF(F90="","","ebitda "&amp;IF(F90&lt;0,"-","+")&amp;TEXT(ABS(F90)*100,"0.0")&amp;"%")&amp;IF(AND(LEN(IF(E90="","","ending_cash "&amp;IF(E90&lt;0,"-","+")&amp;TEXT(ABS(E90)*100,"0.0")&amp;"%")&amp;IF(AND(LEN(IF(E90="","","ending_cash "&amp;IF(E90&lt;0,"-","+")&amp;TEXT(ABS(E90)*100,"0.0")&amp;"%"))&gt;0,LEN(IF(F90="","","ebitda "&amp;IF(F90&lt;0,"-","+")&amp;TEXT(ABS(F90)*100,"0.0")&amp;"%"))&gt;0),", ","")&amp;IF(F90="","","ebitda "&amp;IF(F90&lt;0,"-","+")&amp;TEXT(ABS(F90)*100,"0.0")&amp;"%"))&gt;0,LEN(IF(G90="","","revenue "&amp;IF(G90&lt;0,"-","+")&amp;TEXT(ABS(G90)*100,"0.0")&amp;"%"))&gt;0),", ","")&amp;IF(G90="","","revenue "&amp;IF(G90&lt;0,"-","+")&amp;TEXT(ABS(G90)*100,"0.0")&amp;"%"))&gt;0,LEN(IF(H90="","","gross_margin "&amp;IF(H90&lt;0,"-","+")&amp;TEXT(ABS(H90)*100,"0.0")&amp;"%"))&gt;0),", ","")&amp;IF(H90="","","gross_margin "&amp;IF(H90&lt;0,"-","+")&amp;TEXT(ABS(H90)*100,"0.0")&amp;"%")&amp;" |")</f>
        <v/>
      </c>
      <c r="R90">
        <f>IF(Q90="","",ROW()-4)</f>
        <v/>
      </c>
    </row>
    <row r="91">
      <c r="A91" s="8" t="n"/>
      <c r="B91" s="8" t="n"/>
      <c r="C91" s="8" t="n"/>
      <c r="D91" s="19" t="n"/>
      <c r="E91" s="20" t="n"/>
      <c r="F91" s="20" t="n"/>
      <c r="G91" s="20" t="n"/>
      <c r="H91" s="20" t="n"/>
      <c r="I91" s="10" t="n"/>
      <c r="J91" s="10" t="n"/>
      <c r="K91" s="10" t="n"/>
      <c r="L91" s="10" t="n"/>
      <c r="M91" s="21">
        <f>IF(OR(E91="",I91="",E91=-1),"",I91/(1+E91))</f>
        <v/>
      </c>
      <c r="N91" s="21">
        <f>IF(OR(F91="",J91="",F91=-1),"",J91/(1+F91))</f>
        <v/>
      </c>
      <c r="O91" s="21">
        <f>IF(OR(G91="",K91="",G91=-1),"",K91/(1+G91))</f>
        <v/>
      </c>
      <c r="P91" s="21">
        <f>IF(OR(H91="",L91="",H91=-1),"",L91/(1+H91))</f>
        <v/>
      </c>
      <c r="Q91" s="6">
        <f>IF(OR(A91="",LOWER(C91)&lt;&gt;"y"),"","| "&amp;A91&amp;" | "&amp;TEXT(D91,"0.0000")&amp;" | "&amp;IF(E91="","","ending_cash "&amp;IF(E91&lt;0,"-","+")&amp;TEXT(ABS(E91)*100,"0.0")&amp;"%")&amp;IF(AND(LEN(IF(E91="","","ending_cash "&amp;IF(E91&lt;0,"-","+")&amp;TEXT(ABS(E91)*100,"0.0")&amp;"%"))&gt;0,LEN(IF(F91="","","ebitda "&amp;IF(F91&lt;0,"-","+")&amp;TEXT(ABS(F91)*100,"0.0")&amp;"%"))&gt;0),", ","")&amp;IF(F91="","","ebitda "&amp;IF(F91&lt;0,"-","+")&amp;TEXT(ABS(F91)*100,"0.0")&amp;"%")&amp;IF(AND(LEN(IF(E91="","","ending_cash "&amp;IF(E91&lt;0,"-","+")&amp;TEXT(ABS(E91)*100,"0.0")&amp;"%")&amp;IF(AND(LEN(IF(E91="","","ending_cash "&amp;IF(E91&lt;0,"-","+")&amp;TEXT(ABS(E91)*100,"0.0")&amp;"%"))&gt;0,LEN(IF(F91="","","ebitda "&amp;IF(F91&lt;0,"-","+")&amp;TEXT(ABS(F91)*100,"0.0")&amp;"%"))&gt;0),", ","")&amp;IF(F91="","","ebitda "&amp;IF(F91&lt;0,"-","+")&amp;TEXT(ABS(F91)*100,"0.0")&amp;"%"))&gt;0,LEN(IF(G91="","","revenue "&amp;IF(G91&lt;0,"-","+")&amp;TEXT(ABS(G91)*100,"0.0")&amp;"%"))&gt;0),", ","")&amp;IF(G91="","","revenue "&amp;IF(G91&lt;0,"-","+")&amp;TEXT(ABS(G91)*100,"0.0")&amp;"%")&amp;IF(AND(LEN(IF(E91="","","ending_cash "&amp;IF(E91&lt;0,"-","+")&amp;TEXT(ABS(E91)*100,"0.0")&amp;"%")&amp;IF(AND(LEN(IF(E91="","","ending_cash "&amp;IF(E91&lt;0,"-","+")&amp;TEXT(ABS(E91)*100,"0.0")&amp;"%"))&gt;0,LEN(IF(F91="","","ebitda "&amp;IF(F91&lt;0,"-","+")&amp;TEXT(ABS(F91)*100,"0.0")&amp;"%"))&gt;0),", ","")&amp;IF(F91="","","ebitda "&amp;IF(F91&lt;0,"-","+")&amp;TEXT(ABS(F91)*100,"0.0")&amp;"%")&amp;IF(AND(LEN(IF(E91="","","ending_cash "&amp;IF(E91&lt;0,"-","+")&amp;TEXT(ABS(E91)*100,"0.0")&amp;"%")&amp;IF(AND(LEN(IF(E91="","","ending_cash "&amp;IF(E91&lt;0,"-","+")&amp;TEXT(ABS(E91)*100,"0.0")&amp;"%"))&gt;0,LEN(IF(F91="","","ebitda "&amp;IF(F91&lt;0,"-","+")&amp;TEXT(ABS(F91)*100,"0.0")&amp;"%"))&gt;0),", ","")&amp;IF(F91="","","ebitda "&amp;IF(F91&lt;0,"-","+")&amp;TEXT(ABS(F91)*100,"0.0")&amp;"%"))&gt;0,LEN(IF(G91="","","revenue "&amp;IF(G91&lt;0,"-","+")&amp;TEXT(ABS(G91)*100,"0.0")&amp;"%"))&gt;0),", ","")&amp;IF(G91="","","revenue "&amp;IF(G91&lt;0,"-","+")&amp;TEXT(ABS(G91)*100,"0.0")&amp;"%"))&gt;0,LEN(IF(H91="","","gross_margin "&amp;IF(H91&lt;0,"-","+")&amp;TEXT(ABS(H91)*100,"0.0")&amp;"%"))&gt;0),", ","")&amp;IF(H91="","","gross_margin "&amp;IF(H91&lt;0,"-","+")&amp;TEXT(ABS(H91)*100,"0.0")&amp;"%")&amp;" |")</f>
        <v/>
      </c>
      <c r="R91">
        <f>IF(Q91="","",ROW()-4)</f>
        <v/>
      </c>
    </row>
    <row r="92">
      <c r="A92" s="8" t="n"/>
      <c r="B92" s="8" t="n"/>
      <c r="C92" s="8" t="n"/>
      <c r="D92" s="19" t="n"/>
      <c r="E92" s="20" t="n"/>
      <c r="F92" s="20" t="n"/>
      <c r="G92" s="20" t="n"/>
      <c r="H92" s="20" t="n"/>
      <c r="I92" s="10" t="n"/>
      <c r="J92" s="10" t="n"/>
      <c r="K92" s="10" t="n"/>
      <c r="L92" s="10" t="n"/>
      <c r="M92" s="21">
        <f>IF(OR(E92="",I92="",E92=-1),"",I92/(1+E92))</f>
        <v/>
      </c>
      <c r="N92" s="21">
        <f>IF(OR(F92="",J92="",F92=-1),"",J92/(1+F92))</f>
        <v/>
      </c>
      <c r="O92" s="21">
        <f>IF(OR(G92="",K92="",G92=-1),"",K92/(1+G92))</f>
        <v/>
      </c>
      <c r="P92" s="21">
        <f>IF(OR(H92="",L92="",H92=-1),"",L92/(1+H92))</f>
        <v/>
      </c>
      <c r="Q92" s="6">
        <f>IF(OR(A92="",LOWER(C92)&lt;&gt;"y"),"","| "&amp;A92&amp;" | "&amp;TEXT(D92,"0.0000")&amp;" | "&amp;IF(E92="","","ending_cash "&amp;IF(E92&lt;0,"-","+")&amp;TEXT(ABS(E92)*100,"0.0")&amp;"%")&amp;IF(AND(LEN(IF(E92="","","ending_cash "&amp;IF(E92&lt;0,"-","+")&amp;TEXT(ABS(E92)*100,"0.0")&amp;"%"))&gt;0,LEN(IF(F92="","","ebitda "&amp;IF(F92&lt;0,"-","+")&amp;TEXT(ABS(F92)*100,"0.0")&amp;"%"))&gt;0),", ","")&amp;IF(F92="","","ebitda "&amp;IF(F92&lt;0,"-","+")&amp;TEXT(ABS(F92)*100,"0.0")&amp;"%")&amp;IF(AND(LEN(IF(E92="","","ending_cash "&amp;IF(E92&lt;0,"-","+")&amp;TEXT(ABS(E92)*100,"0.0")&amp;"%")&amp;IF(AND(LEN(IF(E92="","","ending_cash "&amp;IF(E92&lt;0,"-","+")&amp;TEXT(ABS(E92)*100,"0.0")&amp;"%"))&gt;0,LEN(IF(F92="","","ebitda "&amp;IF(F92&lt;0,"-","+")&amp;TEXT(ABS(F92)*100,"0.0")&amp;"%"))&gt;0),", ","")&amp;IF(F92="","","ebitda "&amp;IF(F92&lt;0,"-","+")&amp;TEXT(ABS(F92)*100,"0.0")&amp;"%"))&gt;0,LEN(IF(G92="","","revenue "&amp;IF(G92&lt;0,"-","+")&amp;TEXT(ABS(G92)*100,"0.0")&amp;"%"))&gt;0),", ","")&amp;IF(G92="","","revenue "&amp;IF(G92&lt;0,"-","+")&amp;TEXT(ABS(G92)*100,"0.0")&amp;"%")&amp;IF(AND(LEN(IF(E92="","","ending_cash "&amp;IF(E92&lt;0,"-","+")&amp;TEXT(ABS(E92)*100,"0.0")&amp;"%")&amp;IF(AND(LEN(IF(E92="","","ending_cash "&amp;IF(E92&lt;0,"-","+")&amp;TEXT(ABS(E92)*100,"0.0")&amp;"%"))&gt;0,LEN(IF(F92="","","ebitda "&amp;IF(F92&lt;0,"-","+")&amp;TEXT(ABS(F92)*100,"0.0")&amp;"%"))&gt;0),", ","")&amp;IF(F92="","","ebitda "&amp;IF(F92&lt;0,"-","+")&amp;TEXT(ABS(F92)*100,"0.0")&amp;"%")&amp;IF(AND(LEN(IF(E92="","","ending_cash "&amp;IF(E92&lt;0,"-","+")&amp;TEXT(ABS(E92)*100,"0.0")&amp;"%")&amp;IF(AND(LEN(IF(E92="","","ending_cash "&amp;IF(E92&lt;0,"-","+")&amp;TEXT(ABS(E92)*100,"0.0")&amp;"%"))&gt;0,LEN(IF(F92="","","ebitda "&amp;IF(F92&lt;0,"-","+")&amp;TEXT(ABS(F92)*100,"0.0")&amp;"%"))&gt;0),", ","")&amp;IF(F92="","","ebitda "&amp;IF(F92&lt;0,"-","+")&amp;TEXT(ABS(F92)*100,"0.0")&amp;"%"))&gt;0,LEN(IF(G92="","","revenue "&amp;IF(G92&lt;0,"-","+")&amp;TEXT(ABS(G92)*100,"0.0")&amp;"%"))&gt;0),", ","")&amp;IF(G92="","","revenue "&amp;IF(G92&lt;0,"-","+")&amp;TEXT(ABS(G92)*100,"0.0")&amp;"%"))&gt;0,LEN(IF(H92="","","gross_margin "&amp;IF(H92&lt;0,"-","+")&amp;TEXT(ABS(H92)*100,"0.0")&amp;"%"))&gt;0),", ","")&amp;IF(H92="","","gross_margin "&amp;IF(H92&lt;0,"-","+")&amp;TEXT(ABS(H92)*100,"0.0")&amp;"%")&amp;" |")</f>
        <v/>
      </c>
      <c r="R92">
        <f>IF(Q92="","",ROW()-4)</f>
        <v/>
      </c>
    </row>
    <row r="93">
      <c r="A93" s="8" t="n"/>
      <c r="B93" s="8" t="n"/>
      <c r="C93" s="8" t="n"/>
      <c r="D93" s="19" t="n"/>
      <c r="E93" s="20" t="n"/>
      <c r="F93" s="20" t="n"/>
      <c r="G93" s="20" t="n"/>
      <c r="H93" s="20" t="n"/>
      <c r="I93" s="10" t="n"/>
      <c r="J93" s="10" t="n"/>
      <c r="K93" s="10" t="n"/>
      <c r="L93" s="10" t="n"/>
      <c r="M93" s="21">
        <f>IF(OR(E93="",I93="",E93=-1),"",I93/(1+E93))</f>
        <v/>
      </c>
      <c r="N93" s="21">
        <f>IF(OR(F93="",J93="",F93=-1),"",J93/(1+F93))</f>
        <v/>
      </c>
      <c r="O93" s="21">
        <f>IF(OR(G93="",K93="",G93=-1),"",K93/(1+G93))</f>
        <v/>
      </c>
      <c r="P93" s="21">
        <f>IF(OR(H93="",L93="",H93=-1),"",L93/(1+H93))</f>
        <v/>
      </c>
      <c r="Q93" s="6">
        <f>IF(OR(A93="",LOWER(C93)&lt;&gt;"y"),"","| "&amp;A93&amp;" | "&amp;TEXT(D93,"0.0000")&amp;" | "&amp;IF(E93="","","ending_cash "&amp;IF(E93&lt;0,"-","+")&amp;TEXT(ABS(E93)*100,"0.0")&amp;"%")&amp;IF(AND(LEN(IF(E93="","","ending_cash "&amp;IF(E93&lt;0,"-","+")&amp;TEXT(ABS(E93)*100,"0.0")&amp;"%"))&gt;0,LEN(IF(F93="","","ebitda "&amp;IF(F93&lt;0,"-","+")&amp;TEXT(ABS(F93)*100,"0.0")&amp;"%"))&gt;0),", ","")&amp;IF(F93="","","ebitda "&amp;IF(F93&lt;0,"-","+")&amp;TEXT(ABS(F93)*100,"0.0")&amp;"%")&amp;IF(AND(LEN(IF(E93="","","ending_cash "&amp;IF(E93&lt;0,"-","+")&amp;TEXT(ABS(E93)*100,"0.0")&amp;"%")&amp;IF(AND(LEN(IF(E93="","","ending_cash "&amp;IF(E93&lt;0,"-","+")&amp;TEXT(ABS(E93)*100,"0.0")&amp;"%"))&gt;0,LEN(IF(F93="","","ebitda "&amp;IF(F93&lt;0,"-","+")&amp;TEXT(ABS(F93)*100,"0.0")&amp;"%"))&gt;0),", ","")&amp;IF(F93="","","ebitda "&amp;IF(F93&lt;0,"-","+")&amp;TEXT(ABS(F93)*100,"0.0")&amp;"%"))&gt;0,LEN(IF(G93="","","revenue "&amp;IF(G93&lt;0,"-","+")&amp;TEXT(ABS(G93)*100,"0.0")&amp;"%"))&gt;0),", ","")&amp;IF(G93="","","revenue "&amp;IF(G93&lt;0,"-","+")&amp;TEXT(ABS(G93)*100,"0.0")&amp;"%")&amp;IF(AND(LEN(IF(E93="","","ending_cash "&amp;IF(E93&lt;0,"-","+")&amp;TEXT(ABS(E93)*100,"0.0")&amp;"%")&amp;IF(AND(LEN(IF(E93="","","ending_cash "&amp;IF(E93&lt;0,"-","+")&amp;TEXT(ABS(E93)*100,"0.0")&amp;"%"))&gt;0,LEN(IF(F93="","","ebitda "&amp;IF(F93&lt;0,"-","+")&amp;TEXT(ABS(F93)*100,"0.0")&amp;"%"))&gt;0),", ","")&amp;IF(F93="","","ebitda "&amp;IF(F93&lt;0,"-","+")&amp;TEXT(ABS(F93)*100,"0.0")&amp;"%")&amp;IF(AND(LEN(IF(E93="","","ending_cash "&amp;IF(E93&lt;0,"-","+")&amp;TEXT(ABS(E93)*100,"0.0")&amp;"%")&amp;IF(AND(LEN(IF(E93="","","ending_cash "&amp;IF(E93&lt;0,"-","+")&amp;TEXT(ABS(E93)*100,"0.0")&amp;"%"))&gt;0,LEN(IF(F93="","","ebitda "&amp;IF(F93&lt;0,"-","+")&amp;TEXT(ABS(F93)*100,"0.0")&amp;"%"))&gt;0),", ","")&amp;IF(F93="","","ebitda "&amp;IF(F93&lt;0,"-","+")&amp;TEXT(ABS(F93)*100,"0.0")&amp;"%"))&gt;0,LEN(IF(G93="","","revenue "&amp;IF(G93&lt;0,"-","+")&amp;TEXT(ABS(G93)*100,"0.0")&amp;"%"))&gt;0),", ","")&amp;IF(G93="","","revenue "&amp;IF(G93&lt;0,"-","+")&amp;TEXT(ABS(G93)*100,"0.0")&amp;"%"))&gt;0,LEN(IF(H93="","","gross_margin "&amp;IF(H93&lt;0,"-","+")&amp;TEXT(ABS(H93)*100,"0.0")&amp;"%"))&gt;0),", ","")&amp;IF(H93="","","gross_margin "&amp;IF(H93&lt;0,"-","+")&amp;TEXT(ABS(H93)*100,"0.0")&amp;"%")&amp;" |")</f>
        <v/>
      </c>
      <c r="R93">
        <f>IF(Q93="","",ROW()-4)</f>
        <v/>
      </c>
    </row>
    <row r="94">
      <c r="A94" s="8" t="n"/>
      <c r="B94" s="8" t="n"/>
      <c r="C94" s="8" t="n"/>
      <c r="D94" s="19" t="n"/>
      <c r="E94" s="20" t="n"/>
      <c r="F94" s="20" t="n"/>
      <c r="G94" s="20" t="n"/>
      <c r="H94" s="20" t="n"/>
      <c r="I94" s="10" t="n"/>
      <c r="J94" s="10" t="n"/>
      <c r="K94" s="10" t="n"/>
      <c r="L94" s="10" t="n"/>
      <c r="M94" s="21">
        <f>IF(OR(E94="",I94="",E94=-1),"",I94/(1+E94))</f>
        <v/>
      </c>
      <c r="N94" s="21">
        <f>IF(OR(F94="",J94="",F94=-1),"",J94/(1+F94))</f>
        <v/>
      </c>
      <c r="O94" s="21">
        <f>IF(OR(G94="",K94="",G94=-1),"",K94/(1+G94))</f>
        <v/>
      </c>
      <c r="P94" s="21">
        <f>IF(OR(H94="",L94="",H94=-1),"",L94/(1+H94))</f>
        <v/>
      </c>
      <c r="Q94" s="6">
        <f>IF(OR(A94="",LOWER(C94)&lt;&gt;"y"),"","| "&amp;A94&amp;" | "&amp;TEXT(D94,"0.0000")&amp;" | "&amp;IF(E94="","","ending_cash "&amp;IF(E94&lt;0,"-","+")&amp;TEXT(ABS(E94)*100,"0.0")&amp;"%")&amp;IF(AND(LEN(IF(E94="","","ending_cash "&amp;IF(E94&lt;0,"-","+")&amp;TEXT(ABS(E94)*100,"0.0")&amp;"%"))&gt;0,LEN(IF(F94="","","ebitda "&amp;IF(F94&lt;0,"-","+")&amp;TEXT(ABS(F94)*100,"0.0")&amp;"%"))&gt;0),", ","")&amp;IF(F94="","","ebitda "&amp;IF(F94&lt;0,"-","+")&amp;TEXT(ABS(F94)*100,"0.0")&amp;"%")&amp;IF(AND(LEN(IF(E94="","","ending_cash "&amp;IF(E94&lt;0,"-","+")&amp;TEXT(ABS(E94)*100,"0.0")&amp;"%")&amp;IF(AND(LEN(IF(E94="","","ending_cash "&amp;IF(E94&lt;0,"-","+")&amp;TEXT(ABS(E94)*100,"0.0")&amp;"%"))&gt;0,LEN(IF(F94="","","ebitda "&amp;IF(F94&lt;0,"-","+")&amp;TEXT(ABS(F94)*100,"0.0")&amp;"%"))&gt;0),", ","")&amp;IF(F94="","","ebitda "&amp;IF(F94&lt;0,"-","+")&amp;TEXT(ABS(F94)*100,"0.0")&amp;"%"))&gt;0,LEN(IF(G94="","","revenue "&amp;IF(G94&lt;0,"-","+")&amp;TEXT(ABS(G94)*100,"0.0")&amp;"%"))&gt;0),", ","")&amp;IF(G94="","","revenue "&amp;IF(G94&lt;0,"-","+")&amp;TEXT(ABS(G94)*100,"0.0")&amp;"%")&amp;IF(AND(LEN(IF(E94="","","ending_cash "&amp;IF(E94&lt;0,"-","+")&amp;TEXT(ABS(E94)*100,"0.0")&amp;"%")&amp;IF(AND(LEN(IF(E94="","","ending_cash "&amp;IF(E94&lt;0,"-","+")&amp;TEXT(ABS(E94)*100,"0.0")&amp;"%"))&gt;0,LEN(IF(F94="","","ebitda "&amp;IF(F94&lt;0,"-","+")&amp;TEXT(ABS(F94)*100,"0.0")&amp;"%"))&gt;0),", ","")&amp;IF(F94="","","ebitda "&amp;IF(F94&lt;0,"-","+")&amp;TEXT(ABS(F94)*100,"0.0")&amp;"%")&amp;IF(AND(LEN(IF(E94="","","ending_cash "&amp;IF(E94&lt;0,"-","+")&amp;TEXT(ABS(E94)*100,"0.0")&amp;"%")&amp;IF(AND(LEN(IF(E94="","","ending_cash "&amp;IF(E94&lt;0,"-","+")&amp;TEXT(ABS(E94)*100,"0.0")&amp;"%"))&gt;0,LEN(IF(F94="","","ebitda "&amp;IF(F94&lt;0,"-","+")&amp;TEXT(ABS(F94)*100,"0.0")&amp;"%"))&gt;0),", ","")&amp;IF(F94="","","ebitda "&amp;IF(F94&lt;0,"-","+")&amp;TEXT(ABS(F94)*100,"0.0")&amp;"%"))&gt;0,LEN(IF(G94="","","revenue "&amp;IF(G94&lt;0,"-","+")&amp;TEXT(ABS(G94)*100,"0.0")&amp;"%"))&gt;0),", ","")&amp;IF(G94="","","revenue "&amp;IF(G94&lt;0,"-","+")&amp;TEXT(ABS(G94)*100,"0.0")&amp;"%"))&gt;0,LEN(IF(H94="","","gross_margin "&amp;IF(H94&lt;0,"-","+")&amp;TEXT(ABS(H94)*100,"0.0")&amp;"%"))&gt;0),", ","")&amp;IF(H94="","","gross_margin "&amp;IF(H94&lt;0,"-","+")&amp;TEXT(ABS(H94)*100,"0.0")&amp;"%")&amp;" |")</f>
        <v/>
      </c>
      <c r="R94">
        <f>IF(Q94="","",ROW()-4)</f>
        <v/>
      </c>
    </row>
    <row r="95">
      <c r="A95" s="8" t="n"/>
      <c r="B95" s="8" t="n"/>
      <c r="C95" s="8" t="n"/>
      <c r="D95" s="19" t="n"/>
      <c r="E95" s="20" t="n"/>
      <c r="F95" s="20" t="n"/>
      <c r="G95" s="20" t="n"/>
      <c r="H95" s="20" t="n"/>
      <c r="I95" s="10" t="n"/>
      <c r="J95" s="10" t="n"/>
      <c r="K95" s="10" t="n"/>
      <c r="L95" s="10" t="n"/>
      <c r="M95" s="21">
        <f>IF(OR(E95="",I95="",E95=-1),"",I95/(1+E95))</f>
        <v/>
      </c>
      <c r="N95" s="21">
        <f>IF(OR(F95="",J95="",F95=-1),"",J95/(1+F95))</f>
        <v/>
      </c>
      <c r="O95" s="21">
        <f>IF(OR(G95="",K95="",G95=-1),"",K95/(1+G95))</f>
        <v/>
      </c>
      <c r="P95" s="21">
        <f>IF(OR(H95="",L95="",H95=-1),"",L95/(1+H95))</f>
        <v/>
      </c>
      <c r="Q95" s="6">
        <f>IF(OR(A95="",LOWER(C95)&lt;&gt;"y"),"","| "&amp;A95&amp;" | "&amp;TEXT(D95,"0.0000")&amp;" | "&amp;IF(E95="","","ending_cash "&amp;IF(E95&lt;0,"-","+")&amp;TEXT(ABS(E95)*100,"0.0")&amp;"%")&amp;IF(AND(LEN(IF(E95="","","ending_cash "&amp;IF(E95&lt;0,"-","+")&amp;TEXT(ABS(E95)*100,"0.0")&amp;"%"))&gt;0,LEN(IF(F95="","","ebitda "&amp;IF(F95&lt;0,"-","+")&amp;TEXT(ABS(F95)*100,"0.0")&amp;"%"))&gt;0),", ","")&amp;IF(F95="","","ebitda "&amp;IF(F95&lt;0,"-","+")&amp;TEXT(ABS(F95)*100,"0.0")&amp;"%")&amp;IF(AND(LEN(IF(E95="","","ending_cash "&amp;IF(E95&lt;0,"-","+")&amp;TEXT(ABS(E95)*100,"0.0")&amp;"%")&amp;IF(AND(LEN(IF(E95="","","ending_cash "&amp;IF(E95&lt;0,"-","+")&amp;TEXT(ABS(E95)*100,"0.0")&amp;"%"))&gt;0,LEN(IF(F95="","","ebitda "&amp;IF(F95&lt;0,"-","+")&amp;TEXT(ABS(F95)*100,"0.0")&amp;"%"))&gt;0),", ","")&amp;IF(F95="","","ebitda "&amp;IF(F95&lt;0,"-","+")&amp;TEXT(ABS(F95)*100,"0.0")&amp;"%"))&gt;0,LEN(IF(G95="","","revenue "&amp;IF(G95&lt;0,"-","+")&amp;TEXT(ABS(G95)*100,"0.0")&amp;"%"))&gt;0),", ","")&amp;IF(G95="","","revenue "&amp;IF(G95&lt;0,"-","+")&amp;TEXT(ABS(G95)*100,"0.0")&amp;"%")&amp;IF(AND(LEN(IF(E95="","","ending_cash "&amp;IF(E95&lt;0,"-","+")&amp;TEXT(ABS(E95)*100,"0.0")&amp;"%")&amp;IF(AND(LEN(IF(E95="","","ending_cash "&amp;IF(E95&lt;0,"-","+")&amp;TEXT(ABS(E95)*100,"0.0")&amp;"%"))&gt;0,LEN(IF(F95="","","ebitda "&amp;IF(F95&lt;0,"-","+")&amp;TEXT(ABS(F95)*100,"0.0")&amp;"%"))&gt;0),", ","")&amp;IF(F95="","","ebitda "&amp;IF(F95&lt;0,"-","+")&amp;TEXT(ABS(F95)*100,"0.0")&amp;"%")&amp;IF(AND(LEN(IF(E95="","","ending_cash "&amp;IF(E95&lt;0,"-","+")&amp;TEXT(ABS(E95)*100,"0.0")&amp;"%")&amp;IF(AND(LEN(IF(E95="","","ending_cash "&amp;IF(E95&lt;0,"-","+")&amp;TEXT(ABS(E95)*100,"0.0")&amp;"%"))&gt;0,LEN(IF(F95="","","ebitda "&amp;IF(F95&lt;0,"-","+")&amp;TEXT(ABS(F95)*100,"0.0")&amp;"%"))&gt;0),", ","")&amp;IF(F95="","","ebitda "&amp;IF(F95&lt;0,"-","+")&amp;TEXT(ABS(F95)*100,"0.0")&amp;"%"))&gt;0,LEN(IF(G95="","","revenue "&amp;IF(G95&lt;0,"-","+")&amp;TEXT(ABS(G95)*100,"0.0")&amp;"%"))&gt;0),", ","")&amp;IF(G95="","","revenue "&amp;IF(G95&lt;0,"-","+")&amp;TEXT(ABS(G95)*100,"0.0")&amp;"%"))&gt;0,LEN(IF(H95="","","gross_margin "&amp;IF(H95&lt;0,"-","+")&amp;TEXT(ABS(H95)*100,"0.0")&amp;"%"))&gt;0),", ","")&amp;IF(H95="","","gross_margin "&amp;IF(H95&lt;0,"-","+")&amp;TEXT(ABS(H95)*100,"0.0")&amp;"%")&amp;" |")</f>
        <v/>
      </c>
      <c r="R95">
        <f>IF(Q95="","",ROW()-4)</f>
        <v/>
      </c>
    </row>
    <row r="96">
      <c r="A96" s="8" t="n"/>
      <c r="B96" s="8" t="n"/>
      <c r="C96" s="8" t="n"/>
      <c r="D96" s="19" t="n"/>
      <c r="E96" s="20" t="n"/>
      <c r="F96" s="20" t="n"/>
      <c r="G96" s="20" t="n"/>
      <c r="H96" s="20" t="n"/>
      <c r="I96" s="10" t="n"/>
      <c r="J96" s="10" t="n"/>
      <c r="K96" s="10" t="n"/>
      <c r="L96" s="10" t="n"/>
      <c r="M96" s="21">
        <f>IF(OR(E96="",I96="",E96=-1),"",I96/(1+E96))</f>
        <v/>
      </c>
      <c r="N96" s="21">
        <f>IF(OR(F96="",J96="",F96=-1),"",J96/(1+F96))</f>
        <v/>
      </c>
      <c r="O96" s="21">
        <f>IF(OR(G96="",K96="",G96=-1),"",K96/(1+G96))</f>
        <v/>
      </c>
      <c r="P96" s="21">
        <f>IF(OR(H96="",L96="",H96=-1),"",L96/(1+H96))</f>
        <v/>
      </c>
      <c r="Q96" s="6">
        <f>IF(OR(A96="",LOWER(C96)&lt;&gt;"y"),"","| "&amp;A96&amp;" | "&amp;TEXT(D96,"0.0000")&amp;" | "&amp;IF(E96="","","ending_cash "&amp;IF(E96&lt;0,"-","+")&amp;TEXT(ABS(E96)*100,"0.0")&amp;"%")&amp;IF(AND(LEN(IF(E96="","","ending_cash "&amp;IF(E96&lt;0,"-","+")&amp;TEXT(ABS(E96)*100,"0.0")&amp;"%"))&gt;0,LEN(IF(F96="","","ebitda "&amp;IF(F96&lt;0,"-","+")&amp;TEXT(ABS(F96)*100,"0.0")&amp;"%"))&gt;0),", ","")&amp;IF(F96="","","ebitda "&amp;IF(F96&lt;0,"-","+")&amp;TEXT(ABS(F96)*100,"0.0")&amp;"%")&amp;IF(AND(LEN(IF(E96="","","ending_cash "&amp;IF(E96&lt;0,"-","+")&amp;TEXT(ABS(E96)*100,"0.0")&amp;"%")&amp;IF(AND(LEN(IF(E96="","","ending_cash "&amp;IF(E96&lt;0,"-","+")&amp;TEXT(ABS(E96)*100,"0.0")&amp;"%"))&gt;0,LEN(IF(F96="","","ebitda "&amp;IF(F96&lt;0,"-","+")&amp;TEXT(ABS(F96)*100,"0.0")&amp;"%"))&gt;0),", ","")&amp;IF(F96="","","ebitda "&amp;IF(F96&lt;0,"-","+")&amp;TEXT(ABS(F96)*100,"0.0")&amp;"%"))&gt;0,LEN(IF(G96="","","revenue "&amp;IF(G96&lt;0,"-","+")&amp;TEXT(ABS(G96)*100,"0.0")&amp;"%"))&gt;0),", ","")&amp;IF(G96="","","revenue "&amp;IF(G96&lt;0,"-","+")&amp;TEXT(ABS(G96)*100,"0.0")&amp;"%")&amp;IF(AND(LEN(IF(E96="","","ending_cash "&amp;IF(E96&lt;0,"-","+")&amp;TEXT(ABS(E96)*100,"0.0")&amp;"%")&amp;IF(AND(LEN(IF(E96="","","ending_cash "&amp;IF(E96&lt;0,"-","+")&amp;TEXT(ABS(E96)*100,"0.0")&amp;"%"))&gt;0,LEN(IF(F96="","","ebitda "&amp;IF(F96&lt;0,"-","+")&amp;TEXT(ABS(F96)*100,"0.0")&amp;"%"))&gt;0),", ","")&amp;IF(F96="","","ebitda "&amp;IF(F96&lt;0,"-","+")&amp;TEXT(ABS(F96)*100,"0.0")&amp;"%")&amp;IF(AND(LEN(IF(E96="","","ending_cash "&amp;IF(E96&lt;0,"-","+")&amp;TEXT(ABS(E96)*100,"0.0")&amp;"%")&amp;IF(AND(LEN(IF(E96="","","ending_cash "&amp;IF(E96&lt;0,"-","+")&amp;TEXT(ABS(E96)*100,"0.0")&amp;"%"))&gt;0,LEN(IF(F96="","","ebitda "&amp;IF(F96&lt;0,"-","+")&amp;TEXT(ABS(F96)*100,"0.0")&amp;"%"))&gt;0),", ","")&amp;IF(F96="","","ebitda "&amp;IF(F96&lt;0,"-","+")&amp;TEXT(ABS(F96)*100,"0.0")&amp;"%"))&gt;0,LEN(IF(G96="","","revenue "&amp;IF(G96&lt;0,"-","+")&amp;TEXT(ABS(G96)*100,"0.0")&amp;"%"))&gt;0),", ","")&amp;IF(G96="","","revenue "&amp;IF(G96&lt;0,"-","+")&amp;TEXT(ABS(G96)*100,"0.0")&amp;"%"))&gt;0,LEN(IF(H96="","","gross_margin "&amp;IF(H96&lt;0,"-","+")&amp;TEXT(ABS(H96)*100,"0.0")&amp;"%"))&gt;0),", ","")&amp;IF(H96="","","gross_margin "&amp;IF(H96&lt;0,"-","+")&amp;TEXT(ABS(H96)*100,"0.0")&amp;"%")&amp;" |")</f>
        <v/>
      </c>
      <c r="R96">
        <f>IF(Q96="","",ROW()-4)</f>
        <v/>
      </c>
    </row>
    <row r="97">
      <c r="A97" s="8" t="n"/>
      <c r="B97" s="8" t="n"/>
      <c r="C97" s="8" t="n"/>
      <c r="D97" s="19" t="n"/>
      <c r="E97" s="20" t="n"/>
      <c r="F97" s="20" t="n"/>
      <c r="G97" s="20" t="n"/>
      <c r="H97" s="20" t="n"/>
      <c r="I97" s="10" t="n"/>
      <c r="J97" s="10" t="n"/>
      <c r="K97" s="10" t="n"/>
      <c r="L97" s="10" t="n"/>
      <c r="M97" s="21">
        <f>IF(OR(E97="",I97="",E97=-1),"",I97/(1+E97))</f>
        <v/>
      </c>
      <c r="N97" s="21">
        <f>IF(OR(F97="",J97="",F97=-1),"",J97/(1+F97))</f>
        <v/>
      </c>
      <c r="O97" s="21">
        <f>IF(OR(G97="",K97="",G97=-1),"",K97/(1+G97))</f>
        <v/>
      </c>
      <c r="P97" s="21">
        <f>IF(OR(H97="",L97="",H97=-1),"",L97/(1+H97))</f>
        <v/>
      </c>
      <c r="Q97" s="6">
        <f>IF(OR(A97="",LOWER(C97)&lt;&gt;"y"),"","| "&amp;A97&amp;" | "&amp;TEXT(D97,"0.0000")&amp;" | "&amp;IF(E97="","","ending_cash "&amp;IF(E97&lt;0,"-","+")&amp;TEXT(ABS(E97)*100,"0.0")&amp;"%")&amp;IF(AND(LEN(IF(E97="","","ending_cash "&amp;IF(E97&lt;0,"-","+")&amp;TEXT(ABS(E97)*100,"0.0")&amp;"%"))&gt;0,LEN(IF(F97="","","ebitda "&amp;IF(F97&lt;0,"-","+")&amp;TEXT(ABS(F97)*100,"0.0")&amp;"%"))&gt;0),", ","")&amp;IF(F97="","","ebitda "&amp;IF(F97&lt;0,"-","+")&amp;TEXT(ABS(F97)*100,"0.0")&amp;"%")&amp;IF(AND(LEN(IF(E97="","","ending_cash "&amp;IF(E97&lt;0,"-","+")&amp;TEXT(ABS(E97)*100,"0.0")&amp;"%")&amp;IF(AND(LEN(IF(E97="","","ending_cash "&amp;IF(E97&lt;0,"-","+")&amp;TEXT(ABS(E97)*100,"0.0")&amp;"%"))&gt;0,LEN(IF(F97="","","ebitda "&amp;IF(F97&lt;0,"-","+")&amp;TEXT(ABS(F97)*100,"0.0")&amp;"%"))&gt;0),", ","")&amp;IF(F97="","","ebitda "&amp;IF(F97&lt;0,"-","+")&amp;TEXT(ABS(F97)*100,"0.0")&amp;"%"))&gt;0,LEN(IF(G97="","","revenue "&amp;IF(G97&lt;0,"-","+")&amp;TEXT(ABS(G97)*100,"0.0")&amp;"%"))&gt;0),", ","")&amp;IF(G97="","","revenue "&amp;IF(G97&lt;0,"-","+")&amp;TEXT(ABS(G97)*100,"0.0")&amp;"%")&amp;IF(AND(LEN(IF(E97="","","ending_cash "&amp;IF(E97&lt;0,"-","+")&amp;TEXT(ABS(E97)*100,"0.0")&amp;"%")&amp;IF(AND(LEN(IF(E97="","","ending_cash "&amp;IF(E97&lt;0,"-","+")&amp;TEXT(ABS(E97)*100,"0.0")&amp;"%"))&gt;0,LEN(IF(F97="","","ebitda "&amp;IF(F97&lt;0,"-","+")&amp;TEXT(ABS(F97)*100,"0.0")&amp;"%"))&gt;0),", ","")&amp;IF(F97="","","ebitda "&amp;IF(F97&lt;0,"-","+")&amp;TEXT(ABS(F97)*100,"0.0")&amp;"%")&amp;IF(AND(LEN(IF(E97="","","ending_cash "&amp;IF(E97&lt;0,"-","+")&amp;TEXT(ABS(E97)*100,"0.0")&amp;"%")&amp;IF(AND(LEN(IF(E97="","","ending_cash "&amp;IF(E97&lt;0,"-","+")&amp;TEXT(ABS(E97)*100,"0.0")&amp;"%"))&gt;0,LEN(IF(F97="","","ebitda "&amp;IF(F97&lt;0,"-","+")&amp;TEXT(ABS(F97)*100,"0.0")&amp;"%"))&gt;0),", ","")&amp;IF(F97="","","ebitda "&amp;IF(F97&lt;0,"-","+")&amp;TEXT(ABS(F97)*100,"0.0")&amp;"%"))&gt;0,LEN(IF(G97="","","revenue "&amp;IF(G97&lt;0,"-","+")&amp;TEXT(ABS(G97)*100,"0.0")&amp;"%"))&gt;0),", ","")&amp;IF(G97="","","revenue "&amp;IF(G97&lt;0,"-","+")&amp;TEXT(ABS(G97)*100,"0.0")&amp;"%"))&gt;0,LEN(IF(H97="","","gross_margin "&amp;IF(H97&lt;0,"-","+")&amp;TEXT(ABS(H97)*100,"0.0")&amp;"%"))&gt;0),", ","")&amp;IF(H97="","","gross_margin "&amp;IF(H97&lt;0,"-","+")&amp;TEXT(ABS(H97)*100,"0.0")&amp;"%")&amp;" |")</f>
        <v/>
      </c>
      <c r="R97">
        <f>IF(Q97="","",ROW()-4)</f>
        <v/>
      </c>
    </row>
    <row r="98">
      <c r="A98" s="8" t="n"/>
      <c r="B98" s="8" t="n"/>
      <c r="C98" s="8" t="n"/>
      <c r="D98" s="19" t="n"/>
      <c r="E98" s="20" t="n"/>
      <c r="F98" s="20" t="n"/>
      <c r="G98" s="20" t="n"/>
      <c r="H98" s="20" t="n"/>
      <c r="I98" s="10" t="n"/>
      <c r="J98" s="10" t="n"/>
      <c r="K98" s="10" t="n"/>
      <c r="L98" s="10" t="n"/>
      <c r="M98" s="21">
        <f>IF(OR(E98="",I98="",E98=-1),"",I98/(1+E98))</f>
        <v/>
      </c>
      <c r="N98" s="21">
        <f>IF(OR(F98="",J98="",F98=-1),"",J98/(1+F98))</f>
        <v/>
      </c>
      <c r="O98" s="21">
        <f>IF(OR(G98="",K98="",G98=-1),"",K98/(1+G98))</f>
        <v/>
      </c>
      <c r="P98" s="21">
        <f>IF(OR(H98="",L98="",H98=-1),"",L98/(1+H98))</f>
        <v/>
      </c>
      <c r="Q98" s="6">
        <f>IF(OR(A98="",LOWER(C98)&lt;&gt;"y"),"","| "&amp;A98&amp;" | "&amp;TEXT(D98,"0.0000")&amp;" | "&amp;IF(E98="","","ending_cash "&amp;IF(E98&lt;0,"-","+")&amp;TEXT(ABS(E98)*100,"0.0")&amp;"%")&amp;IF(AND(LEN(IF(E98="","","ending_cash "&amp;IF(E98&lt;0,"-","+")&amp;TEXT(ABS(E98)*100,"0.0")&amp;"%"))&gt;0,LEN(IF(F98="","","ebitda "&amp;IF(F98&lt;0,"-","+")&amp;TEXT(ABS(F98)*100,"0.0")&amp;"%"))&gt;0),", ","")&amp;IF(F98="","","ebitda "&amp;IF(F98&lt;0,"-","+")&amp;TEXT(ABS(F98)*100,"0.0")&amp;"%")&amp;IF(AND(LEN(IF(E98="","","ending_cash "&amp;IF(E98&lt;0,"-","+")&amp;TEXT(ABS(E98)*100,"0.0")&amp;"%")&amp;IF(AND(LEN(IF(E98="","","ending_cash "&amp;IF(E98&lt;0,"-","+")&amp;TEXT(ABS(E98)*100,"0.0")&amp;"%"))&gt;0,LEN(IF(F98="","","ebitda "&amp;IF(F98&lt;0,"-","+")&amp;TEXT(ABS(F98)*100,"0.0")&amp;"%"))&gt;0),", ","")&amp;IF(F98="","","ebitda "&amp;IF(F98&lt;0,"-","+")&amp;TEXT(ABS(F98)*100,"0.0")&amp;"%"))&gt;0,LEN(IF(G98="","","revenue "&amp;IF(G98&lt;0,"-","+")&amp;TEXT(ABS(G98)*100,"0.0")&amp;"%"))&gt;0),", ","")&amp;IF(G98="","","revenue "&amp;IF(G98&lt;0,"-","+")&amp;TEXT(ABS(G98)*100,"0.0")&amp;"%")&amp;IF(AND(LEN(IF(E98="","","ending_cash "&amp;IF(E98&lt;0,"-","+")&amp;TEXT(ABS(E98)*100,"0.0")&amp;"%")&amp;IF(AND(LEN(IF(E98="","","ending_cash "&amp;IF(E98&lt;0,"-","+")&amp;TEXT(ABS(E98)*100,"0.0")&amp;"%"))&gt;0,LEN(IF(F98="","","ebitda "&amp;IF(F98&lt;0,"-","+")&amp;TEXT(ABS(F98)*100,"0.0")&amp;"%"))&gt;0),", ","")&amp;IF(F98="","","ebitda "&amp;IF(F98&lt;0,"-","+")&amp;TEXT(ABS(F98)*100,"0.0")&amp;"%")&amp;IF(AND(LEN(IF(E98="","","ending_cash "&amp;IF(E98&lt;0,"-","+")&amp;TEXT(ABS(E98)*100,"0.0")&amp;"%")&amp;IF(AND(LEN(IF(E98="","","ending_cash "&amp;IF(E98&lt;0,"-","+")&amp;TEXT(ABS(E98)*100,"0.0")&amp;"%"))&gt;0,LEN(IF(F98="","","ebitda "&amp;IF(F98&lt;0,"-","+")&amp;TEXT(ABS(F98)*100,"0.0")&amp;"%"))&gt;0),", ","")&amp;IF(F98="","","ebitda "&amp;IF(F98&lt;0,"-","+")&amp;TEXT(ABS(F98)*100,"0.0")&amp;"%"))&gt;0,LEN(IF(G98="","","revenue "&amp;IF(G98&lt;0,"-","+")&amp;TEXT(ABS(G98)*100,"0.0")&amp;"%"))&gt;0),", ","")&amp;IF(G98="","","revenue "&amp;IF(G98&lt;0,"-","+")&amp;TEXT(ABS(G98)*100,"0.0")&amp;"%"))&gt;0,LEN(IF(H98="","","gross_margin "&amp;IF(H98&lt;0,"-","+")&amp;TEXT(ABS(H98)*100,"0.0")&amp;"%"))&gt;0),", ","")&amp;IF(H98="","","gross_margin "&amp;IF(H98&lt;0,"-","+")&amp;TEXT(ABS(H98)*100,"0.0")&amp;"%")&amp;" |")</f>
        <v/>
      </c>
      <c r="R98">
        <f>IF(Q98="","",ROW()-4)</f>
        <v/>
      </c>
    </row>
    <row r="99">
      <c r="A99" s="8" t="n"/>
      <c r="B99" s="8" t="n"/>
      <c r="C99" s="8" t="n"/>
      <c r="D99" s="19" t="n"/>
      <c r="E99" s="20" t="n"/>
      <c r="F99" s="20" t="n"/>
      <c r="G99" s="20" t="n"/>
      <c r="H99" s="20" t="n"/>
      <c r="I99" s="10" t="n"/>
      <c r="J99" s="10" t="n"/>
      <c r="K99" s="10" t="n"/>
      <c r="L99" s="10" t="n"/>
      <c r="M99" s="21">
        <f>IF(OR(E99="",I99="",E99=-1),"",I99/(1+E99))</f>
        <v/>
      </c>
      <c r="N99" s="21">
        <f>IF(OR(F99="",J99="",F99=-1),"",J99/(1+F99))</f>
        <v/>
      </c>
      <c r="O99" s="21">
        <f>IF(OR(G99="",K99="",G99=-1),"",K99/(1+G99))</f>
        <v/>
      </c>
      <c r="P99" s="21">
        <f>IF(OR(H99="",L99="",H99=-1),"",L99/(1+H99))</f>
        <v/>
      </c>
      <c r="Q99" s="6">
        <f>IF(OR(A99="",LOWER(C99)&lt;&gt;"y"),"","| "&amp;A99&amp;" | "&amp;TEXT(D99,"0.0000")&amp;" | "&amp;IF(E99="","","ending_cash "&amp;IF(E99&lt;0,"-","+")&amp;TEXT(ABS(E99)*100,"0.0")&amp;"%")&amp;IF(AND(LEN(IF(E99="","","ending_cash "&amp;IF(E99&lt;0,"-","+")&amp;TEXT(ABS(E99)*100,"0.0")&amp;"%"))&gt;0,LEN(IF(F99="","","ebitda "&amp;IF(F99&lt;0,"-","+")&amp;TEXT(ABS(F99)*100,"0.0")&amp;"%"))&gt;0),", ","")&amp;IF(F99="","","ebitda "&amp;IF(F99&lt;0,"-","+")&amp;TEXT(ABS(F99)*100,"0.0")&amp;"%")&amp;IF(AND(LEN(IF(E99="","","ending_cash "&amp;IF(E99&lt;0,"-","+")&amp;TEXT(ABS(E99)*100,"0.0")&amp;"%")&amp;IF(AND(LEN(IF(E99="","","ending_cash "&amp;IF(E99&lt;0,"-","+")&amp;TEXT(ABS(E99)*100,"0.0")&amp;"%"))&gt;0,LEN(IF(F99="","","ebitda "&amp;IF(F99&lt;0,"-","+")&amp;TEXT(ABS(F99)*100,"0.0")&amp;"%"))&gt;0),", ","")&amp;IF(F99="","","ebitda "&amp;IF(F99&lt;0,"-","+")&amp;TEXT(ABS(F99)*100,"0.0")&amp;"%"))&gt;0,LEN(IF(G99="","","revenue "&amp;IF(G99&lt;0,"-","+")&amp;TEXT(ABS(G99)*100,"0.0")&amp;"%"))&gt;0),", ","")&amp;IF(G99="","","revenue "&amp;IF(G99&lt;0,"-","+")&amp;TEXT(ABS(G99)*100,"0.0")&amp;"%")&amp;IF(AND(LEN(IF(E99="","","ending_cash "&amp;IF(E99&lt;0,"-","+")&amp;TEXT(ABS(E99)*100,"0.0")&amp;"%")&amp;IF(AND(LEN(IF(E99="","","ending_cash "&amp;IF(E99&lt;0,"-","+")&amp;TEXT(ABS(E99)*100,"0.0")&amp;"%"))&gt;0,LEN(IF(F99="","","ebitda "&amp;IF(F99&lt;0,"-","+")&amp;TEXT(ABS(F99)*100,"0.0")&amp;"%"))&gt;0),", ","")&amp;IF(F99="","","ebitda "&amp;IF(F99&lt;0,"-","+")&amp;TEXT(ABS(F99)*100,"0.0")&amp;"%")&amp;IF(AND(LEN(IF(E99="","","ending_cash "&amp;IF(E99&lt;0,"-","+")&amp;TEXT(ABS(E99)*100,"0.0")&amp;"%")&amp;IF(AND(LEN(IF(E99="","","ending_cash "&amp;IF(E99&lt;0,"-","+")&amp;TEXT(ABS(E99)*100,"0.0")&amp;"%"))&gt;0,LEN(IF(F99="","","ebitda "&amp;IF(F99&lt;0,"-","+")&amp;TEXT(ABS(F99)*100,"0.0")&amp;"%"))&gt;0),", ","")&amp;IF(F99="","","ebitda "&amp;IF(F99&lt;0,"-","+")&amp;TEXT(ABS(F99)*100,"0.0")&amp;"%"))&gt;0,LEN(IF(G99="","","revenue "&amp;IF(G99&lt;0,"-","+")&amp;TEXT(ABS(G99)*100,"0.0")&amp;"%"))&gt;0),", ","")&amp;IF(G99="","","revenue "&amp;IF(G99&lt;0,"-","+")&amp;TEXT(ABS(G99)*100,"0.0")&amp;"%"))&gt;0,LEN(IF(H99="","","gross_margin "&amp;IF(H99&lt;0,"-","+")&amp;TEXT(ABS(H99)*100,"0.0")&amp;"%"))&gt;0),", ","")&amp;IF(H99="","","gross_margin "&amp;IF(H99&lt;0,"-","+")&amp;TEXT(ABS(H99)*100,"0.0")&amp;"%")&amp;" |")</f>
        <v/>
      </c>
      <c r="R99">
        <f>IF(Q99="","",ROW()-4)</f>
        <v/>
      </c>
    </row>
    <row r="100">
      <c r="A100" s="8" t="n"/>
      <c r="B100" s="8" t="n"/>
      <c r="C100" s="8" t="n"/>
      <c r="D100" s="19" t="n"/>
      <c r="E100" s="20" t="n"/>
      <c r="F100" s="20" t="n"/>
      <c r="G100" s="20" t="n"/>
      <c r="H100" s="20" t="n"/>
      <c r="I100" s="10" t="n"/>
      <c r="J100" s="10" t="n"/>
      <c r="K100" s="10" t="n"/>
      <c r="L100" s="10" t="n"/>
      <c r="M100" s="21">
        <f>IF(OR(E100="",I100="",E100=-1),"",I100/(1+E100))</f>
        <v/>
      </c>
      <c r="N100" s="21">
        <f>IF(OR(F100="",J100="",F100=-1),"",J100/(1+F100))</f>
        <v/>
      </c>
      <c r="O100" s="21">
        <f>IF(OR(G100="",K100="",G100=-1),"",K100/(1+G100))</f>
        <v/>
      </c>
      <c r="P100" s="21">
        <f>IF(OR(H100="",L100="",H100=-1),"",L100/(1+H100))</f>
        <v/>
      </c>
      <c r="Q100" s="6">
        <f>IF(OR(A100="",LOWER(C100)&lt;&gt;"y"),"","| "&amp;A100&amp;" | "&amp;TEXT(D100,"0.0000")&amp;" | "&amp;IF(E100="","","ending_cash "&amp;IF(E100&lt;0,"-","+")&amp;TEXT(ABS(E100)*100,"0.0")&amp;"%")&amp;IF(AND(LEN(IF(E100="","","ending_cash "&amp;IF(E100&lt;0,"-","+")&amp;TEXT(ABS(E100)*100,"0.0")&amp;"%"))&gt;0,LEN(IF(F100="","","ebitda "&amp;IF(F100&lt;0,"-","+")&amp;TEXT(ABS(F100)*100,"0.0")&amp;"%"))&gt;0),", ","")&amp;IF(F100="","","ebitda "&amp;IF(F100&lt;0,"-","+")&amp;TEXT(ABS(F100)*100,"0.0")&amp;"%")&amp;IF(AND(LEN(IF(E100="","","ending_cash "&amp;IF(E100&lt;0,"-","+")&amp;TEXT(ABS(E100)*100,"0.0")&amp;"%")&amp;IF(AND(LEN(IF(E100="","","ending_cash "&amp;IF(E100&lt;0,"-","+")&amp;TEXT(ABS(E100)*100,"0.0")&amp;"%"))&gt;0,LEN(IF(F100="","","ebitda "&amp;IF(F100&lt;0,"-","+")&amp;TEXT(ABS(F100)*100,"0.0")&amp;"%"))&gt;0),", ","")&amp;IF(F100="","","ebitda "&amp;IF(F100&lt;0,"-","+")&amp;TEXT(ABS(F100)*100,"0.0")&amp;"%"))&gt;0,LEN(IF(G100="","","revenue "&amp;IF(G100&lt;0,"-","+")&amp;TEXT(ABS(G100)*100,"0.0")&amp;"%"))&gt;0),", ","")&amp;IF(G100="","","revenue "&amp;IF(G100&lt;0,"-","+")&amp;TEXT(ABS(G100)*100,"0.0")&amp;"%")&amp;IF(AND(LEN(IF(E100="","","ending_cash "&amp;IF(E100&lt;0,"-","+")&amp;TEXT(ABS(E100)*100,"0.0")&amp;"%")&amp;IF(AND(LEN(IF(E100="","","ending_cash "&amp;IF(E100&lt;0,"-","+")&amp;TEXT(ABS(E100)*100,"0.0")&amp;"%"))&gt;0,LEN(IF(F100="","","ebitda "&amp;IF(F100&lt;0,"-","+")&amp;TEXT(ABS(F100)*100,"0.0")&amp;"%"))&gt;0),", ","")&amp;IF(F100="","","ebitda "&amp;IF(F100&lt;0,"-","+")&amp;TEXT(ABS(F100)*100,"0.0")&amp;"%")&amp;IF(AND(LEN(IF(E100="","","ending_cash "&amp;IF(E100&lt;0,"-","+")&amp;TEXT(ABS(E100)*100,"0.0")&amp;"%")&amp;IF(AND(LEN(IF(E100="","","ending_cash "&amp;IF(E100&lt;0,"-","+")&amp;TEXT(ABS(E100)*100,"0.0")&amp;"%"))&gt;0,LEN(IF(F100="","","ebitda "&amp;IF(F100&lt;0,"-","+")&amp;TEXT(ABS(F100)*100,"0.0")&amp;"%"))&gt;0),", ","")&amp;IF(F100="","","ebitda "&amp;IF(F100&lt;0,"-","+")&amp;TEXT(ABS(F100)*100,"0.0")&amp;"%"))&gt;0,LEN(IF(G100="","","revenue "&amp;IF(G100&lt;0,"-","+")&amp;TEXT(ABS(G100)*100,"0.0")&amp;"%"))&gt;0),", ","")&amp;IF(G100="","","revenue "&amp;IF(G100&lt;0,"-","+")&amp;TEXT(ABS(G100)*100,"0.0")&amp;"%"))&gt;0,LEN(IF(H100="","","gross_margin "&amp;IF(H100&lt;0,"-","+")&amp;TEXT(ABS(H100)*100,"0.0")&amp;"%"))&gt;0),", ","")&amp;IF(H100="","","gross_margin "&amp;IF(H100&lt;0,"-","+")&amp;TEXT(ABS(H100)*100,"0.0")&amp;"%")&amp;" |")</f>
        <v/>
      </c>
      <c r="R100">
        <f>IF(Q100="","",ROW()-4)</f>
        <v/>
      </c>
    </row>
    <row r="101">
      <c r="A101" s="8" t="n"/>
      <c r="B101" s="8" t="n"/>
      <c r="C101" s="8" t="n"/>
      <c r="D101" s="19" t="n"/>
      <c r="E101" s="20" t="n"/>
      <c r="F101" s="20" t="n"/>
      <c r="G101" s="20" t="n"/>
      <c r="H101" s="20" t="n"/>
      <c r="I101" s="10" t="n"/>
      <c r="J101" s="10" t="n"/>
      <c r="K101" s="10" t="n"/>
      <c r="L101" s="10" t="n"/>
      <c r="M101" s="21">
        <f>IF(OR(E101="",I101="",E101=-1),"",I101/(1+E101))</f>
        <v/>
      </c>
      <c r="N101" s="21">
        <f>IF(OR(F101="",J101="",F101=-1),"",J101/(1+F101))</f>
        <v/>
      </c>
      <c r="O101" s="21">
        <f>IF(OR(G101="",K101="",G101=-1),"",K101/(1+G101))</f>
        <v/>
      </c>
      <c r="P101" s="21">
        <f>IF(OR(H101="",L101="",H101=-1),"",L101/(1+H101))</f>
        <v/>
      </c>
      <c r="Q101" s="6">
        <f>IF(OR(A101="",LOWER(C101)&lt;&gt;"y"),"","| "&amp;A101&amp;" | "&amp;TEXT(D101,"0.0000")&amp;" | "&amp;IF(E101="","","ending_cash "&amp;IF(E101&lt;0,"-","+")&amp;TEXT(ABS(E101)*100,"0.0")&amp;"%")&amp;IF(AND(LEN(IF(E101="","","ending_cash "&amp;IF(E101&lt;0,"-","+")&amp;TEXT(ABS(E101)*100,"0.0")&amp;"%"))&gt;0,LEN(IF(F101="","","ebitda "&amp;IF(F101&lt;0,"-","+")&amp;TEXT(ABS(F101)*100,"0.0")&amp;"%"))&gt;0),", ","")&amp;IF(F101="","","ebitda "&amp;IF(F101&lt;0,"-","+")&amp;TEXT(ABS(F101)*100,"0.0")&amp;"%")&amp;IF(AND(LEN(IF(E101="","","ending_cash "&amp;IF(E101&lt;0,"-","+")&amp;TEXT(ABS(E101)*100,"0.0")&amp;"%")&amp;IF(AND(LEN(IF(E101="","","ending_cash "&amp;IF(E101&lt;0,"-","+")&amp;TEXT(ABS(E101)*100,"0.0")&amp;"%"))&gt;0,LEN(IF(F101="","","ebitda "&amp;IF(F101&lt;0,"-","+")&amp;TEXT(ABS(F101)*100,"0.0")&amp;"%"))&gt;0),", ","")&amp;IF(F101="","","ebitda "&amp;IF(F101&lt;0,"-","+")&amp;TEXT(ABS(F101)*100,"0.0")&amp;"%"))&gt;0,LEN(IF(G101="","","revenue "&amp;IF(G101&lt;0,"-","+")&amp;TEXT(ABS(G101)*100,"0.0")&amp;"%"))&gt;0),", ","")&amp;IF(G101="","","revenue "&amp;IF(G101&lt;0,"-","+")&amp;TEXT(ABS(G101)*100,"0.0")&amp;"%")&amp;IF(AND(LEN(IF(E101="","","ending_cash "&amp;IF(E101&lt;0,"-","+")&amp;TEXT(ABS(E101)*100,"0.0")&amp;"%")&amp;IF(AND(LEN(IF(E101="","","ending_cash "&amp;IF(E101&lt;0,"-","+")&amp;TEXT(ABS(E101)*100,"0.0")&amp;"%"))&gt;0,LEN(IF(F101="","","ebitda "&amp;IF(F101&lt;0,"-","+")&amp;TEXT(ABS(F101)*100,"0.0")&amp;"%"))&gt;0),", ","")&amp;IF(F101="","","ebitda "&amp;IF(F101&lt;0,"-","+")&amp;TEXT(ABS(F101)*100,"0.0")&amp;"%")&amp;IF(AND(LEN(IF(E101="","","ending_cash "&amp;IF(E101&lt;0,"-","+")&amp;TEXT(ABS(E101)*100,"0.0")&amp;"%")&amp;IF(AND(LEN(IF(E101="","","ending_cash "&amp;IF(E101&lt;0,"-","+")&amp;TEXT(ABS(E101)*100,"0.0")&amp;"%"))&gt;0,LEN(IF(F101="","","ebitda "&amp;IF(F101&lt;0,"-","+")&amp;TEXT(ABS(F101)*100,"0.0")&amp;"%"))&gt;0),", ","")&amp;IF(F101="","","ebitda "&amp;IF(F101&lt;0,"-","+")&amp;TEXT(ABS(F101)*100,"0.0")&amp;"%"))&gt;0,LEN(IF(G101="","","revenue "&amp;IF(G101&lt;0,"-","+")&amp;TEXT(ABS(G101)*100,"0.0")&amp;"%"))&gt;0),", ","")&amp;IF(G101="","","revenue "&amp;IF(G101&lt;0,"-","+")&amp;TEXT(ABS(G101)*100,"0.0")&amp;"%"))&gt;0,LEN(IF(H101="","","gross_margin "&amp;IF(H101&lt;0,"-","+")&amp;TEXT(ABS(H101)*100,"0.0")&amp;"%"))&gt;0),", ","")&amp;IF(H101="","","gross_margin "&amp;IF(H101&lt;0,"-","+")&amp;TEXT(ABS(H101)*100,"0.0")&amp;"%")&amp;" |")</f>
        <v/>
      </c>
      <c r="R101">
        <f>IF(Q101="","",ROW()-4)</f>
        <v/>
      </c>
    </row>
    <row r="102">
      <c r="A102" s="8" t="n"/>
      <c r="B102" s="8" t="n"/>
      <c r="C102" s="8" t="n"/>
      <c r="D102" s="19" t="n"/>
      <c r="E102" s="20" t="n"/>
      <c r="F102" s="20" t="n"/>
      <c r="G102" s="20" t="n"/>
      <c r="H102" s="20" t="n"/>
      <c r="I102" s="10" t="n"/>
      <c r="J102" s="10" t="n"/>
      <c r="K102" s="10" t="n"/>
      <c r="L102" s="10" t="n"/>
      <c r="M102" s="21">
        <f>IF(OR(E102="",I102="",E102=-1),"",I102/(1+E102))</f>
        <v/>
      </c>
      <c r="N102" s="21">
        <f>IF(OR(F102="",J102="",F102=-1),"",J102/(1+F102))</f>
        <v/>
      </c>
      <c r="O102" s="21">
        <f>IF(OR(G102="",K102="",G102=-1),"",K102/(1+G102))</f>
        <v/>
      </c>
      <c r="P102" s="21">
        <f>IF(OR(H102="",L102="",H102=-1),"",L102/(1+H102))</f>
        <v/>
      </c>
      <c r="Q102" s="6">
        <f>IF(OR(A102="",LOWER(C102)&lt;&gt;"y"),"","| "&amp;A102&amp;" | "&amp;TEXT(D102,"0.0000")&amp;" | "&amp;IF(E102="","","ending_cash "&amp;IF(E102&lt;0,"-","+")&amp;TEXT(ABS(E102)*100,"0.0")&amp;"%")&amp;IF(AND(LEN(IF(E102="","","ending_cash "&amp;IF(E102&lt;0,"-","+")&amp;TEXT(ABS(E102)*100,"0.0")&amp;"%"))&gt;0,LEN(IF(F102="","","ebitda "&amp;IF(F102&lt;0,"-","+")&amp;TEXT(ABS(F102)*100,"0.0")&amp;"%"))&gt;0),", ","")&amp;IF(F102="","","ebitda "&amp;IF(F102&lt;0,"-","+")&amp;TEXT(ABS(F102)*100,"0.0")&amp;"%")&amp;IF(AND(LEN(IF(E102="","","ending_cash "&amp;IF(E102&lt;0,"-","+")&amp;TEXT(ABS(E102)*100,"0.0")&amp;"%")&amp;IF(AND(LEN(IF(E102="","","ending_cash "&amp;IF(E102&lt;0,"-","+")&amp;TEXT(ABS(E102)*100,"0.0")&amp;"%"))&gt;0,LEN(IF(F102="","","ebitda "&amp;IF(F102&lt;0,"-","+")&amp;TEXT(ABS(F102)*100,"0.0")&amp;"%"))&gt;0),", ","")&amp;IF(F102="","","ebitda "&amp;IF(F102&lt;0,"-","+")&amp;TEXT(ABS(F102)*100,"0.0")&amp;"%"))&gt;0,LEN(IF(G102="","","revenue "&amp;IF(G102&lt;0,"-","+")&amp;TEXT(ABS(G102)*100,"0.0")&amp;"%"))&gt;0),", ","")&amp;IF(G102="","","revenue "&amp;IF(G102&lt;0,"-","+")&amp;TEXT(ABS(G102)*100,"0.0")&amp;"%")&amp;IF(AND(LEN(IF(E102="","","ending_cash "&amp;IF(E102&lt;0,"-","+")&amp;TEXT(ABS(E102)*100,"0.0")&amp;"%")&amp;IF(AND(LEN(IF(E102="","","ending_cash "&amp;IF(E102&lt;0,"-","+")&amp;TEXT(ABS(E102)*100,"0.0")&amp;"%"))&gt;0,LEN(IF(F102="","","ebitda "&amp;IF(F102&lt;0,"-","+")&amp;TEXT(ABS(F102)*100,"0.0")&amp;"%"))&gt;0),", ","")&amp;IF(F102="","","ebitda "&amp;IF(F102&lt;0,"-","+")&amp;TEXT(ABS(F102)*100,"0.0")&amp;"%")&amp;IF(AND(LEN(IF(E102="","","ending_cash "&amp;IF(E102&lt;0,"-","+")&amp;TEXT(ABS(E102)*100,"0.0")&amp;"%")&amp;IF(AND(LEN(IF(E102="","","ending_cash "&amp;IF(E102&lt;0,"-","+")&amp;TEXT(ABS(E102)*100,"0.0")&amp;"%"))&gt;0,LEN(IF(F102="","","ebitda "&amp;IF(F102&lt;0,"-","+")&amp;TEXT(ABS(F102)*100,"0.0")&amp;"%"))&gt;0),", ","")&amp;IF(F102="","","ebitda "&amp;IF(F102&lt;0,"-","+")&amp;TEXT(ABS(F102)*100,"0.0")&amp;"%"))&gt;0,LEN(IF(G102="","","revenue "&amp;IF(G102&lt;0,"-","+")&amp;TEXT(ABS(G102)*100,"0.0")&amp;"%"))&gt;0),", ","")&amp;IF(G102="","","revenue "&amp;IF(G102&lt;0,"-","+")&amp;TEXT(ABS(G102)*100,"0.0")&amp;"%"))&gt;0,LEN(IF(H102="","","gross_margin "&amp;IF(H102&lt;0,"-","+")&amp;TEXT(ABS(H102)*100,"0.0")&amp;"%"))&gt;0),", ","")&amp;IF(H102="","","gross_margin "&amp;IF(H102&lt;0,"-","+")&amp;TEXT(ABS(H102)*100,"0.0")&amp;"%")&amp;" |")</f>
        <v/>
      </c>
      <c r="R102">
        <f>IF(Q102="","",ROW()-4)</f>
        <v/>
      </c>
    </row>
    <row r="103">
      <c r="A103" s="8" t="n"/>
      <c r="B103" s="8" t="n"/>
      <c r="C103" s="8" t="n"/>
      <c r="D103" s="19" t="n"/>
      <c r="E103" s="20" t="n"/>
      <c r="F103" s="20" t="n"/>
      <c r="G103" s="20" t="n"/>
      <c r="H103" s="20" t="n"/>
      <c r="I103" s="10" t="n"/>
      <c r="J103" s="10" t="n"/>
      <c r="K103" s="10" t="n"/>
      <c r="L103" s="10" t="n"/>
      <c r="M103" s="21">
        <f>IF(OR(E103="",I103="",E103=-1),"",I103/(1+E103))</f>
        <v/>
      </c>
      <c r="N103" s="21">
        <f>IF(OR(F103="",J103="",F103=-1),"",J103/(1+F103))</f>
        <v/>
      </c>
      <c r="O103" s="21">
        <f>IF(OR(G103="",K103="",G103=-1),"",K103/(1+G103))</f>
        <v/>
      </c>
      <c r="P103" s="21">
        <f>IF(OR(H103="",L103="",H103=-1),"",L103/(1+H103))</f>
        <v/>
      </c>
      <c r="Q103" s="6">
        <f>IF(OR(A103="",LOWER(C103)&lt;&gt;"y"),"","| "&amp;A103&amp;" | "&amp;TEXT(D103,"0.0000")&amp;" | "&amp;IF(E103="","","ending_cash "&amp;IF(E103&lt;0,"-","+")&amp;TEXT(ABS(E103)*100,"0.0")&amp;"%")&amp;IF(AND(LEN(IF(E103="","","ending_cash "&amp;IF(E103&lt;0,"-","+")&amp;TEXT(ABS(E103)*100,"0.0")&amp;"%"))&gt;0,LEN(IF(F103="","","ebitda "&amp;IF(F103&lt;0,"-","+")&amp;TEXT(ABS(F103)*100,"0.0")&amp;"%"))&gt;0),", ","")&amp;IF(F103="","","ebitda "&amp;IF(F103&lt;0,"-","+")&amp;TEXT(ABS(F103)*100,"0.0")&amp;"%")&amp;IF(AND(LEN(IF(E103="","","ending_cash "&amp;IF(E103&lt;0,"-","+")&amp;TEXT(ABS(E103)*100,"0.0")&amp;"%")&amp;IF(AND(LEN(IF(E103="","","ending_cash "&amp;IF(E103&lt;0,"-","+")&amp;TEXT(ABS(E103)*100,"0.0")&amp;"%"))&gt;0,LEN(IF(F103="","","ebitda "&amp;IF(F103&lt;0,"-","+")&amp;TEXT(ABS(F103)*100,"0.0")&amp;"%"))&gt;0),", ","")&amp;IF(F103="","","ebitda "&amp;IF(F103&lt;0,"-","+")&amp;TEXT(ABS(F103)*100,"0.0")&amp;"%"))&gt;0,LEN(IF(G103="","","revenue "&amp;IF(G103&lt;0,"-","+")&amp;TEXT(ABS(G103)*100,"0.0")&amp;"%"))&gt;0),", ","")&amp;IF(G103="","","revenue "&amp;IF(G103&lt;0,"-","+")&amp;TEXT(ABS(G103)*100,"0.0")&amp;"%")&amp;IF(AND(LEN(IF(E103="","","ending_cash "&amp;IF(E103&lt;0,"-","+")&amp;TEXT(ABS(E103)*100,"0.0")&amp;"%")&amp;IF(AND(LEN(IF(E103="","","ending_cash "&amp;IF(E103&lt;0,"-","+")&amp;TEXT(ABS(E103)*100,"0.0")&amp;"%"))&gt;0,LEN(IF(F103="","","ebitda "&amp;IF(F103&lt;0,"-","+")&amp;TEXT(ABS(F103)*100,"0.0")&amp;"%"))&gt;0),", ","")&amp;IF(F103="","","ebitda "&amp;IF(F103&lt;0,"-","+")&amp;TEXT(ABS(F103)*100,"0.0")&amp;"%")&amp;IF(AND(LEN(IF(E103="","","ending_cash "&amp;IF(E103&lt;0,"-","+")&amp;TEXT(ABS(E103)*100,"0.0")&amp;"%")&amp;IF(AND(LEN(IF(E103="","","ending_cash "&amp;IF(E103&lt;0,"-","+")&amp;TEXT(ABS(E103)*100,"0.0")&amp;"%"))&gt;0,LEN(IF(F103="","","ebitda "&amp;IF(F103&lt;0,"-","+")&amp;TEXT(ABS(F103)*100,"0.0")&amp;"%"))&gt;0),", ","")&amp;IF(F103="","","ebitda "&amp;IF(F103&lt;0,"-","+")&amp;TEXT(ABS(F103)*100,"0.0")&amp;"%"))&gt;0,LEN(IF(G103="","","revenue "&amp;IF(G103&lt;0,"-","+")&amp;TEXT(ABS(G103)*100,"0.0")&amp;"%"))&gt;0),", ","")&amp;IF(G103="","","revenue "&amp;IF(G103&lt;0,"-","+")&amp;TEXT(ABS(G103)*100,"0.0")&amp;"%"))&gt;0,LEN(IF(H103="","","gross_margin "&amp;IF(H103&lt;0,"-","+")&amp;TEXT(ABS(H103)*100,"0.0")&amp;"%"))&gt;0),", ","")&amp;IF(H103="","","gross_margin "&amp;IF(H103&lt;0,"-","+")&amp;TEXT(ABS(H103)*100,"0.0")&amp;"%")&amp;" |")</f>
        <v/>
      </c>
      <c r="R103">
        <f>IF(Q103="","",ROW()-4)</f>
        <v/>
      </c>
    </row>
    <row r="104">
      <c r="A104" s="8" t="n"/>
      <c r="B104" s="8" t="n"/>
      <c r="C104" s="8" t="n"/>
      <c r="D104" s="19" t="n"/>
      <c r="E104" s="20" t="n"/>
      <c r="F104" s="20" t="n"/>
      <c r="G104" s="20" t="n"/>
      <c r="H104" s="20" t="n"/>
      <c r="I104" s="10" t="n"/>
      <c r="J104" s="10" t="n"/>
      <c r="K104" s="10" t="n"/>
      <c r="L104" s="10" t="n"/>
      <c r="M104" s="21">
        <f>IF(OR(E104="",I104="",E104=-1),"",I104/(1+E104))</f>
        <v/>
      </c>
      <c r="N104" s="21">
        <f>IF(OR(F104="",J104="",F104=-1),"",J104/(1+F104))</f>
        <v/>
      </c>
      <c r="O104" s="21">
        <f>IF(OR(G104="",K104="",G104=-1),"",K104/(1+G104))</f>
        <v/>
      </c>
      <c r="P104" s="21">
        <f>IF(OR(H104="",L104="",H104=-1),"",L104/(1+H104))</f>
        <v/>
      </c>
      <c r="Q104" s="6">
        <f>IF(OR(A104="",LOWER(C104)&lt;&gt;"y"),"","| "&amp;A104&amp;" | "&amp;TEXT(D104,"0.0000")&amp;" | "&amp;IF(E104="","","ending_cash "&amp;IF(E104&lt;0,"-","+")&amp;TEXT(ABS(E104)*100,"0.0")&amp;"%")&amp;IF(AND(LEN(IF(E104="","","ending_cash "&amp;IF(E104&lt;0,"-","+")&amp;TEXT(ABS(E104)*100,"0.0")&amp;"%"))&gt;0,LEN(IF(F104="","","ebitda "&amp;IF(F104&lt;0,"-","+")&amp;TEXT(ABS(F104)*100,"0.0")&amp;"%"))&gt;0),", ","")&amp;IF(F104="","","ebitda "&amp;IF(F104&lt;0,"-","+")&amp;TEXT(ABS(F104)*100,"0.0")&amp;"%")&amp;IF(AND(LEN(IF(E104="","","ending_cash "&amp;IF(E104&lt;0,"-","+")&amp;TEXT(ABS(E104)*100,"0.0")&amp;"%")&amp;IF(AND(LEN(IF(E104="","","ending_cash "&amp;IF(E104&lt;0,"-","+")&amp;TEXT(ABS(E104)*100,"0.0")&amp;"%"))&gt;0,LEN(IF(F104="","","ebitda "&amp;IF(F104&lt;0,"-","+")&amp;TEXT(ABS(F104)*100,"0.0")&amp;"%"))&gt;0),", ","")&amp;IF(F104="","","ebitda "&amp;IF(F104&lt;0,"-","+")&amp;TEXT(ABS(F104)*100,"0.0")&amp;"%"))&gt;0,LEN(IF(G104="","","revenue "&amp;IF(G104&lt;0,"-","+")&amp;TEXT(ABS(G104)*100,"0.0")&amp;"%"))&gt;0),", ","")&amp;IF(G104="","","revenue "&amp;IF(G104&lt;0,"-","+")&amp;TEXT(ABS(G104)*100,"0.0")&amp;"%")&amp;IF(AND(LEN(IF(E104="","","ending_cash "&amp;IF(E104&lt;0,"-","+")&amp;TEXT(ABS(E104)*100,"0.0")&amp;"%")&amp;IF(AND(LEN(IF(E104="","","ending_cash "&amp;IF(E104&lt;0,"-","+")&amp;TEXT(ABS(E104)*100,"0.0")&amp;"%"))&gt;0,LEN(IF(F104="","","ebitda "&amp;IF(F104&lt;0,"-","+")&amp;TEXT(ABS(F104)*100,"0.0")&amp;"%"))&gt;0),", ","")&amp;IF(F104="","","ebitda "&amp;IF(F104&lt;0,"-","+")&amp;TEXT(ABS(F104)*100,"0.0")&amp;"%")&amp;IF(AND(LEN(IF(E104="","","ending_cash "&amp;IF(E104&lt;0,"-","+")&amp;TEXT(ABS(E104)*100,"0.0")&amp;"%")&amp;IF(AND(LEN(IF(E104="","","ending_cash "&amp;IF(E104&lt;0,"-","+")&amp;TEXT(ABS(E104)*100,"0.0")&amp;"%"))&gt;0,LEN(IF(F104="","","ebitda "&amp;IF(F104&lt;0,"-","+")&amp;TEXT(ABS(F104)*100,"0.0")&amp;"%"))&gt;0),", ","")&amp;IF(F104="","","ebitda "&amp;IF(F104&lt;0,"-","+")&amp;TEXT(ABS(F104)*100,"0.0")&amp;"%"))&gt;0,LEN(IF(G104="","","revenue "&amp;IF(G104&lt;0,"-","+")&amp;TEXT(ABS(G104)*100,"0.0")&amp;"%"))&gt;0),", ","")&amp;IF(G104="","","revenue "&amp;IF(G104&lt;0,"-","+")&amp;TEXT(ABS(G104)*100,"0.0")&amp;"%"))&gt;0,LEN(IF(H104="","","gross_margin "&amp;IF(H104&lt;0,"-","+")&amp;TEXT(ABS(H104)*100,"0.0")&amp;"%"))&gt;0),", ","")&amp;IF(H104="","","gross_margin "&amp;IF(H104&lt;0,"-","+")&amp;TEXT(ABS(H104)*100,"0.0")&amp;"%")&amp;" |")</f>
        <v/>
      </c>
      <c r="R104">
        <f>IF(Q104="","",ROW()-4)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Scorecard markdown (paste column A rows 4+ into memory/scorecard.md; never hand-edit that file)</t>
        </is>
      </c>
    </row>
    <row r="2"/>
    <row r="3"/>
    <row r="4">
      <c r="A4" t="inlineStr">
        <is>
          <t># Forecast Scorecard</t>
        </is>
      </c>
    </row>
    <row r="5">
      <c r="A5" t="inlineStr"/>
    </row>
    <row r="6">
      <c r="A6" t="inlineStr">
        <is>
          <t>| Period | Fitness (lower=better) | Per-line error |</t>
        </is>
      </c>
    </row>
    <row r="7">
      <c r="A7" t="inlineStr">
        <is>
          <t>|---|--:|---|</t>
        </is>
      </c>
    </row>
    <row r="8">
      <c r="A8">
        <f>IFERROR(INDEX(Snapshots!$Q$5:$Q$104,SMALL(Snapshots!$R$5:$R$104,1)),"")</f>
        <v/>
      </c>
    </row>
    <row r="9">
      <c r="A9">
        <f>IFERROR(INDEX(Snapshots!$Q$5:$Q$104,SMALL(Snapshots!$R$5:$R$104,2)),"")</f>
        <v/>
      </c>
    </row>
    <row r="10">
      <c r="A10">
        <f>IFERROR(INDEX(Snapshots!$Q$5:$Q$104,SMALL(Snapshots!$R$5:$R$104,3)),"")</f>
        <v/>
      </c>
    </row>
    <row r="11">
      <c r="A11">
        <f>IFERROR(INDEX(Snapshots!$Q$5:$Q$104,SMALL(Snapshots!$R$5:$R$104,4)),"")</f>
        <v/>
      </c>
    </row>
    <row r="12">
      <c r="A12">
        <f>IFERROR(INDEX(Snapshots!$Q$5:$Q$104,SMALL(Snapshots!$R$5:$R$104,5)),"")</f>
        <v/>
      </c>
    </row>
    <row r="13">
      <c r="A13">
        <f>IFERROR(INDEX(Snapshots!$Q$5:$Q$104,SMALL(Snapshots!$R$5:$R$104,6)),"")</f>
        <v/>
      </c>
    </row>
    <row r="14">
      <c r="A14">
        <f>IFERROR(INDEX(Snapshots!$Q$5:$Q$104,SMALL(Snapshots!$R$5:$R$104,7)),"")</f>
        <v/>
      </c>
    </row>
    <row r="15">
      <c r="A15">
        <f>IFERROR(INDEX(Snapshots!$Q$5:$Q$104,SMALL(Snapshots!$R$5:$R$104,8)),"")</f>
        <v/>
      </c>
    </row>
    <row r="16">
      <c r="A16">
        <f>IFERROR(INDEX(Snapshots!$Q$5:$Q$104,SMALL(Snapshots!$R$5:$R$104,9)),"")</f>
        <v/>
      </c>
    </row>
    <row r="17">
      <c r="A17">
        <f>IFERROR(INDEX(Snapshots!$Q$5:$Q$104,SMALL(Snapshots!$R$5:$R$104,10)),"")</f>
        <v/>
      </c>
    </row>
    <row r="18">
      <c r="A18">
        <f>IFERROR(INDEX(Snapshots!$Q$5:$Q$104,SMALL(Snapshots!$R$5:$R$104,11)),"")</f>
        <v/>
      </c>
    </row>
    <row r="19">
      <c r="A19">
        <f>IFERROR(INDEX(Snapshots!$Q$5:$Q$104,SMALL(Snapshots!$R$5:$R$104,12)),"")</f>
        <v/>
      </c>
    </row>
    <row r="20">
      <c r="A20">
        <f>IFERROR(INDEX(Snapshots!$Q$5:$Q$104,SMALL(Snapshots!$R$5:$R$104,13)),"")</f>
        <v/>
      </c>
    </row>
    <row r="21">
      <c r="A21">
        <f>IFERROR(INDEX(Snapshots!$Q$5:$Q$104,SMALL(Snapshots!$R$5:$R$104,14)),"")</f>
        <v/>
      </c>
    </row>
    <row r="22">
      <c r="A22">
        <f>IFERROR(INDEX(Snapshots!$Q$5:$Q$104,SMALL(Snapshots!$R$5:$R$104,15)),"")</f>
        <v/>
      </c>
    </row>
    <row r="23">
      <c r="A23">
        <f>IFERROR(INDEX(Snapshots!$Q$5:$Q$104,SMALL(Snapshots!$R$5:$R$104,16)),"")</f>
        <v/>
      </c>
    </row>
    <row r="24">
      <c r="A24">
        <f>IFERROR(INDEX(Snapshots!$Q$5:$Q$104,SMALL(Snapshots!$R$5:$R$104,17)),"")</f>
        <v/>
      </c>
    </row>
    <row r="25">
      <c r="A25">
        <f>IFERROR(INDEX(Snapshots!$Q$5:$Q$104,SMALL(Snapshots!$R$5:$R$104,18)),"")</f>
        <v/>
      </c>
    </row>
    <row r="26">
      <c r="A26">
        <f>IFERROR(INDEX(Snapshots!$Q$5:$Q$104,SMALL(Snapshots!$R$5:$R$104,19)),"")</f>
        <v/>
      </c>
    </row>
    <row r="27">
      <c r="A27">
        <f>IFERROR(INDEX(Snapshots!$Q$5:$Q$104,SMALL(Snapshots!$R$5:$R$104,20)),"")</f>
        <v/>
      </c>
    </row>
    <row r="28">
      <c r="A28">
        <f>IFERROR(INDEX(Snapshots!$Q$5:$Q$104,SMALL(Snapshots!$R$5:$R$104,21)),"")</f>
        <v/>
      </c>
    </row>
    <row r="29">
      <c r="A29">
        <f>IFERROR(INDEX(Snapshots!$Q$5:$Q$104,SMALL(Snapshots!$R$5:$R$104,22)),"")</f>
        <v/>
      </c>
    </row>
    <row r="30">
      <c r="A30">
        <f>IFERROR(INDEX(Snapshots!$Q$5:$Q$104,SMALL(Snapshots!$R$5:$R$104,23)),"")</f>
        <v/>
      </c>
    </row>
    <row r="31">
      <c r="A31">
        <f>IFERROR(INDEX(Snapshots!$Q$5:$Q$104,SMALL(Snapshots!$R$5:$R$104,24)),"")</f>
        <v/>
      </c>
    </row>
    <row r="32">
      <c r="A32">
        <f>IFERROR(INDEX(Snapshots!$Q$5:$Q$104,SMALL(Snapshots!$R$5:$R$104,25)),"")</f>
        <v/>
      </c>
    </row>
    <row r="33">
      <c r="A33">
        <f>IFERROR(INDEX(Snapshots!$Q$5:$Q$104,SMALL(Snapshots!$R$5:$R$104,26)),"")</f>
        <v/>
      </c>
    </row>
    <row r="34">
      <c r="A34">
        <f>IFERROR(INDEX(Snapshots!$Q$5:$Q$104,SMALL(Snapshots!$R$5:$R$104,27)),"")</f>
        <v/>
      </c>
    </row>
    <row r="35">
      <c r="A35">
        <f>IFERROR(INDEX(Snapshots!$Q$5:$Q$104,SMALL(Snapshots!$R$5:$R$104,28)),"")</f>
        <v/>
      </c>
    </row>
    <row r="36">
      <c r="A36">
        <f>IFERROR(INDEX(Snapshots!$Q$5:$Q$104,SMALL(Snapshots!$R$5:$R$104,29)),"")</f>
        <v/>
      </c>
    </row>
    <row r="37">
      <c r="A37">
        <f>IFERROR(INDEX(Snapshots!$Q$5:$Q$104,SMALL(Snapshots!$R$5:$R$104,30)),"")</f>
        <v/>
      </c>
    </row>
    <row r="38">
      <c r="A38">
        <f>IFERROR(INDEX(Snapshots!$Q$5:$Q$104,SMALL(Snapshots!$R$5:$R$104,31)),"")</f>
        <v/>
      </c>
    </row>
    <row r="39">
      <c r="A39">
        <f>IFERROR(INDEX(Snapshots!$Q$5:$Q$104,SMALL(Snapshots!$R$5:$R$104,32)),"")</f>
        <v/>
      </c>
    </row>
    <row r="40">
      <c r="A40">
        <f>IFERROR(INDEX(Snapshots!$Q$5:$Q$104,SMALL(Snapshots!$R$5:$R$104,33)),"")</f>
        <v/>
      </c>
    </row>
    <row r="41">
      <c r="A41">
        <f>IFERROR(INDEX(Snapshots!$Q$5:$Q$104,SMALL(Snapshots!$R$5:$R$104,34)),"")</f>
        <v/>
      </c>
    </row>
    <row r="42">
      <c r="A42">
        <f>IFERROR(INDEX(Snapshots!$Q$5:$Q$104,SMALL(Snapshots!$R$5:$R$104,35)),"")</f>
        <v/>
      </c>
    </row>
    <row r="43">
      <c r="A43">
        <f>IFERROR(INDEX(Snapshots!$Q$5:$Q$104,SMALL(Snapshots!$R$5:$R$104,36)),"")</f>
        <v/>
      </c>
    </row>
    <row r="44">
      <c r="A44">
        <f>IFERROR(INDEX(Snapshots!$Q$5:$Q$104,SMALL(Snapshots!$R$5:$R$104,37)),"")</f>
        <v/>
      </c>
    </row>
    <row r="45">
      <c r="A45">
        <f>IFERROR(INDEX(Snapshots!$Q$5:$Q$104,SMALL(Snapshots!$R$5:$R$104,38)),"")</f>
        <v/>
      </c>
    </row>
    <row r="46">
      <c r="A46">
        <f>IFERROR(INDEX(Snapshots!$Q$5:$Q$104,SMALL(Snapshots!$R$5:$R$104,39)),"")</f>
        <v/>
      </c>
    </row>
    <row r="47">
      <c r="A47">
        <f>IFERROR(INDEX(Snapshots!$Q$5:$Q$104,SMALL(Snapshots!$R$5:$R$104,40)),"")</f>
        <v/>
      </c>
    </row>
    <row r="48">
      <c r="A48">
        <f>IFERROR(INDEX(Snapshots!$Q$5:$Q$104,SMALL(Snapshots!$R$5:$R$104,41)),"")</f>
        <v/>
      </c>
    </row>
    <row r="49">
      <c r="A49">
        <f>IFERROR(INDEX(Snapshots!$Q$5:$Q$104,SMALL(Snapshots!$R$5:$R$104,42)),"")</f>
        <v/>
      </c>
    </row>
    <row r="50">
      <c r="A50">
        <f>IFERROR(INDEX(Snapshots!$Q$5:$Q$104,SMALL(Snapshots!$R$5:$R$104,43)),"")</f>
        <v/>
      </c>
    </row>
    <row r="51">
      <c r="A51">
        <f>IFERROR(INDEX(Snapshots!$Q$5:$Q$104,SMALL(Snapshots!$R$5:$R$104,44)),"")</f>
        <v/>
      </c>
    </row>
    <row r="52">
      <c r="A52">
        <f>IFERROR(INDEX(Snapshots!$Q$5:$Q$104,SMALL(Snapshots!$R$5:$R$104,45)),"")</f>
        <v/>
      </c>
    </row>
    <row r="53">
      <c r="A53">
        <f>IFERROR(INDEX(Snapshots!$Q$5:$Q$104,SMALL(Snapshots!$R$5:$R$104,46)),"")</f>
        <v/>
      </c>
    </row>
    <row r="54">
      <c r="A54">
        <f>IFERROR(INDEX(Snapshots!$Q$5:$Q$104,SMALL(Snapshots!$R$5:$R$104,47)),"")</f>
        <v/>
      </c>
    </row>
    <row r="55">
      <c r="A55">
        <f>IFERROR(INDEX(Snapshots!$Q$5:$Q$104,SMALL(Snapshots!$R$5:$R$104,48)),"")</f>
        <v/>
      </c>
    </row>
    <row r="56">
      <c r="A56">
        <f>IFERROR(INDEX(Snapshots!$Q$5:$Q$104,SMALL(Snapshots!$R$5:$R$104,49)),"")</f>
        <v/>
      </c>
    </row>
    <row r="57">
      <c r="A57">
        <f>IFERROR(INDEX(Snapshots!$Q$5:$Q$104,SMALL(Snapshots!$R$5:$R$104,50)),"")</f>
        <v/>
      </c>
    </row>
    <row r="58">
      <c r="A58">
        <f>IFERROR(INDEX(Snapshots!$Q$5:$Q$104,SMALL(Snapshots!$R$5:$R$104,51)),"")</f>
        <v/>
      </c>
    </row>
    <row r="59">
      <c r="A59">
        <f>IFERROR(INDEX(Snapshots!$Q$5:$Q$104,SMALL(Snapshots!$R$5:$R$104,52)),"")</f>
        <v/>
      </c>
    </row>
    <row r="60">
      <c r="A60">
        <f>IFERROR(INDEX(Snapshots!$Q$5:$Q$104,SMALL(Snapshots!$R$5:$R$104,53)),"")</f>
        <v/>
      </c>
    </row>
    <row r="61">
      <c r="A61">
        <f>IFERROR(INDEX(Snapshots!$Q$5:$Q$104,SMALL(Snapshots!$R$5:$R$104,54)),"")</f>
        <v/>
      </c>
    </row>
    <row r="62">
      <c r="A62">
        <f>IFERROR(INDEX(Snapshots!$Q$5:$Q$104,SMALL(Snapshots!$R$5:$R$104,55)),"")</f>
        <v/>
      </c>
    </row>
    <row r="63">
      <c r="A63">
        <f>IFERROR(INDEX(Snapshots!$Q$5:$Q$104,SMALL(Snapshots!$R$5:$R$104,56)),"")</f>
        <v/>
      </c>
    </row>
    <row r="64">
      <c r="A64">
        <f>IFERROR(INDEX(Snapshots!$Q$5:$Q$104,SMALL(Snapshots!$R$5:$R$104,57)),"")</f>
        <v/>
      </c>
    </row>
    <row r="65">
      <c r="A65">
        <f>IFERROR(INDEX(Snapshots!$Q$5:$Q$104,SMALL(Snapshots!$R$5:$R$104,58)),"")</f>
        <v/>
      </c>
    </row>
    <row r="66">
      <c r="A66">
        <f>IFERROR(INDEX(Snapshots!$Q$5:$Q$104,SMALL(Snapshots!$R$5:$R$104,59)),"")</f>
        <v/>
      </c>
    </row>
    <row r="67">
      <c r="A67">
        <f>IFERROR(INDEX(Snapshots!$Q$5:$Q$104,SMALL(Snapshots!$R$5:$R$104,60)),"")</f>
        <v/>
      </c>
    </row>
    <row r="68">
      <c r="A68">
        <f>IFERROR(INDEX(Snapshots!$Q$5:$Q$104,SMALL(Snapshots!$R$5:$R$104,61)),"")</f>
        <v/>
      </c>
    </row>
    <row r="69">
      <c r="A69">
        <f>IFERROR(INDEX(Snapshots!$Q$5:$Q$104,SMALL(Snapshots!$R$5:$R$104,62)),"")</f>
        <v/>
      </c>
    </row>
    <row r="70">
      <c r="A70">
        <f>IFERROR(INDEX(Snapshots!$Q$5:$Q$104,SMALL(Snapshots!$R$5:$R$104,63)),"")</f>
        <v/>
      </c>
    </row>
    <row r="71">
      <c r="A71">
        <f>IFERROR(INDEX(Snapshots!$Q$5:$Q$104,SMALL(Snapshots!$R$5:$R$104,64)),"")</f>
        <v/>
      </c>
    </row>
    <row r="72">
      <c r="A72">
        <f>IFERROR(INDEX(Snapshots!$Q$5:$Q$104,SMALL(Snapshots!$R$5:$R$104,65)),"")</f>
        <v/>
      </c>
    </row>
    <row r="73">
      <c r="A73">
        <f>IFERROR(INDEX(Snapshots!$Q$5:$Q$104,SMALL(Snapshots!$R$5:$R$104,66)),"")</f>
        <v/>
      </c>
    </row>
    <row r="74">
      <c r="A74">
        <f>IFERROR(INDEX(Snapshots!$Q$5:$Q$104,SMALL(Snapshots!$R$5:$R$104,67)),"")</f>
        <v/>
      </c>
    </row>
    <row r="75">
      <c r="A75">
        <f>IFERROR(INDEX(Snapshots!$Q$5:$Q$104,SMALL(Snapshots!$R$5:$R$104,68)),"")</f>
        <v/>
      </c>
    </row>
    <row r="76">
      <c r="A76">
        <f>IFERROR(INDEX(Snapshots!$Q$5:$Q$104,SMALL(Snapshots!$R$5:$R$104,69)),"")</f>
        <v/>
      </c>
    </row>
    <row r="77">
      <c r="A77">
        <f>IFERROR(INDEX(Snapshots!$Q$5:$Q$104,SMALL(Snapshots!$R$5:$R$104,70)),"")</f>
        <v/>
      </c>
    </row>
    <row r="78">
      <c r="A78">
        <f>IFERROR(INDEX(Snapshots!$Q$5:$Q$104,SMALL(Snapshots!$R$5:$R$104,71)),"")</f>
        <v/>
      </c>
    </row>
    <row r="79">
      <c r="A79">
        <f>IFERROR(INDEX(Snapshots!$Q$5:$Q$104,SMALL(Snapshots!$R$5:$R$104,72)),"")</f>
        <v/>
      </c>
    </row>
    <row r="80">
      <c r="A80">
        <f>IFERROR(INDEX(Snapshots!$Q$5:$Q$104,SMALL(Snapshots!$R$5:$R$104,73)),"")</f>
        <v/>
      </c>
    </row>
    <row r="81">
      <c r="A81">
        <f>IFERROR(INDEX(Snapshots!$Q$5:$Q$104,SMALL(Snapshots!$R$5:$R$104,74)),"")</f>
        <v/>
      </c>
    </row>
    <row r="82">
      <c r="A82">
        <f>IFERROR(INDEX(Snapshots!$Q$5:$Q$104,SMALL(Snapshots!$R$5:$R$104,75)),"")</f>
        <v/>
      </c>
    </row>
    <row r="83">
      <c r="A83">
        <f>IFERROR(INDEX(Snapshots!$Q$5:$Q$104,SMALL(Snapshots!$R$5:$R$104,76)),"")</f>
        <v/>
      </c>
    </row>
    <row r="84">
      <c r="A84">
        <f>IFERROR(INDEX(Snapshots!$Q$5:$Q$104,SMALL(Snapshots!$R$5:$R$104,77)),"")</f>
        <v/>
      </c>
    </row>
    <row r="85">
      <c r="A85">
        <f>IFERROR(INDEX(Snapshots!$Q$5:$Q$104,SMALL(Snapshots!$R$5:$R$104,78)),"")</f>
        <v/>
      </c>
    </row>
    <row r="86">
      <c r="A86">
        <f>IFERROR(INDEX(Snapshots!$Q$5:$Q$104,SMALL(Snapshots!$R$5:$R$104,79)),"")</f>
        <v/>
      </c>
    </row>
    <row r="87">
      <c r="A87">
        <f>IFERROR(INDEX(Snapshots!$Q$5:$Q$104,SMALL(Snapshots!$R$5:$R$104,80)),"")</f>
        <v/>
      </c>
    </row>
    <row r="88">
      <c r="A88">
        <f>IFERROR(INDEX(Snapshots!$Q$5:$Q$104,SMALL(Snapshots!$R$5:$R$104,81)),"")</f>
        <v/>
      </c>
    </row>
    <row r="89">
      <c r="A89">
        <f>IFERROR(INDEX(Snapshots!$Q$5:$Q$104,SMALL(Snapshots!$R$5:$R$104,82)),"")</f>
        <v/>
      </c>
    </row>
    <row r="90">
      <c r="A90">
        <f>IFERROR(INDEX(Snapshots!$Q$5:$Q$104,SMALL(Snapshots!$R$5:$R$104,83)),"")</f>
        <v/>
      </c>
    </row>
    <row r="91">
      <c r="A91">
        <f>IFERROR(INDEX(Snapshots!$Q$5:$Q$104,SMALL(Snapshots!$R$5:$R$104,84)),"")</f>
        <v/>
      </c>
    </row>
    <row r="92">
      <c r="A92">
        <f>IFERROR(INDEX(Snapshots!$Q$5:$Q$104,SMALL(Snapshots!$R$5:$R$104,85)),"")</f>
        <v/>
      </c>
    </row>
    <row r="93">
      <c r="A93">
        <f>IFERROR(INDEX(Snapshots!$Q$5:$Q$104,SMALL(Snapshots!$R$5:$R$104,86)),"")</f>
        <v/>
      </c>
    </row>
    <row r="94">
      <c r="A94">
        <f>IFERROR(INDEX(Snapshots!$Q$5:$Q$104,SMALL(Snapshots!$R$5:$R$104,87)),"")</f>
        <v/>
      </c>
    </row>
    <row r="95">
      <c r="A95">
        <f>IFERROR(INDEX(Snapshots!$Q$5:$Q$104,SMALL(Snapshots!$R$5:$R$104,88)),"")</f>
        <v/>
      </c>
    </row>
    <row r="96">
      <c r="A96">
        <f>IFERROR(INDEX(Snapshots!$Q$5:$Q$104,SMALL(Snapshots!$R$5:$R$104,89)),"")</f>
        <v/>
      </c>
    </row>
    <row r="97">
      <c r="A97">
        <f>IFERROR(INDEX(Snapshots!$Q$5:$Q$104,SMALL(Snapshots!$R$5:$R$104,90)),"")</f>
        <v/>
      </c>
    </row>
    <row r="98">
      <c r="A98">
        <f>IFERROR(INDEX(Snapshots!$Q$5:$Q$104,SMALL(Snapshots!$R$5:$R$104,91)),"")</f>
        <v/>
      </c>
    </row>
    <row r="99">
      <c r="A99">
        <f>IFERROR(INDEX(Snapshots!$Q$5:$Q$104,SMALL(Snapshots!$R$5:$R$104,92)),"")</f>
        <v/>
      </c>
    </row>
    <row r="100">
      <c r="A100">
        <f>IFERROR(INDEX(Snapshots!$Q$5:$Q$104,SMALL(Snapshots!$R$5:$R$104,93)),"")</f>
        <v/>
      </c>
    </row>
    <row r="101">
      <c r="A101">
        <f>IFERROR(INDEX(Snapshots!$Q$5:$Q$104,SMALL(Snapshots!$R$5:$R$104,94)),"")</f>
        <v/>
      </c>
    </row>
    <row r="102">
      <c r="A102">
        <f>IFERROR(INDEX(Snapshots!$Q$5:$Q$104,SMALL(Snapshots!$R$5:$R$104,95)),"")</f>
        <v/>
      </c>
    </row>
    <row r="103">
      <c r="A103">
        <f>IFERROR(INDEX(Snapshots!$Q$5:$Q$104,SMALL(Snapshots!$R$5:$R$104,96)),"")</f>
        <v/>
      </c>
    </row>
    <row r="104">
      <c r="A104">
        <f>IFERROR(INDEX(Snapshots!$Q$5:$Q$104,SMALL(Snapshots!$R$5:$R$104,97)),"")</f>
        <v/>
      </c>
    </row>
    <row r="105">
      <c r="A105">
        <f>IFERROR(INDEX(Snapshots!$Q$5:$Q$104,SMALL(Snapshots!$R$5:$R$104,98)),"")</f>
        <v/>
      </c>
    </row>
    <row r="106">
      <c r="A106">
        <f>IFERROR(INDEX(Snapshots!$Q$5:$Q$104,SMALL(Snapshots!$R$5:$R$104,99)),"")</f>
        <v/>
      </c>
    </row>
    <row r="107">
      <c r="A107">
        <f>IFERROR(INDEX(Snapshots!$Q$5:$Q$104,SMALL(Snapshots!$R$5:$R$104,100)),"")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4" customWidth="1" min="3" max="3"/>
  </cols>
  <sheetData>
    <row r="1">
      <c r="A1" s="1" t="inlineStr">
        <is>
          <t>persistent_miss and magnitude_cap</t>
        </is>
      </c>
    </row>
    <row r="2"/>
    <row r="3">
      <c r="A3" t="inlineStr">
        <is>
          <t>K (closes)</t>
        </is>
      </c>
      <c r="B3" s="16" t="n">
        <v>2</v>
      </c>
    </row>
    <row r="4">
      <c r="A4" t="inlineStr">
        <is>
          <t>threshold (absolute error)</t>
        </is>
      </c>
      <c r="B4" s="20" t="n">
        <v>0</v>
      </c>
    </row>
    <row r="5">
      <c r="J5" t="inlineStr">
        <is>
          <t>helper: scored errors in order per line (values) and their ordinal</t>
        </is>
      </c>
    </row>
    <row r="6">
      <c r="A6" s="7" t="inlineStr">
        <is>
          <t>line</t>
        </is>
      </c>
      <c r="B6" s="7" t="inlineStr">
        <is>
          <t>scored snapshots</t>
        </is>
      </c>
      <c r="C6" s="7" t="inlineStr">
        <is>
          <t>last K same sign &amp; &gt; threshold (persistent_miss)</t>
        </is>
      </c>
      <c r="D6" s="7" t="inlineStr">
        <is>
          <t>signs of last K</t>
        </is>
      </c>
      <c r="J6" t="inlineStr">
        <is>
          <t>err ending_cash</t>
        </is>
      </c>
      <c r="K6" t="inlineStr">
        <is>
          <t>err ebitda</t>
        </is>
      </c>
      <c r="L6" t="inlineStr">
        <is>
          <t>err revenue</t>
        </is>
      </c>
      <c r="M6" t="inlineStr">
        <is>
          <t>err gross_margin</t>
        </is>
      </c>
      <c r="N6" t="inlineStr">
        <is>
          <t>ordinal ending_cash</t>
        </is>
      </c>
      <c r="O6" t="inlineStr">
        <is>
          <t>ordinal ebitda</t>
        </is>
      </c>
      <c r="P6" t="inlineStr">
        <is>
          <t>ordinal revenue</t>
        </is>
      </c>
      <c r="Q6" t="inlineStr">
        <is>
          <t>ordinal gross_margin</t>
        </is>
      </c>
    </row>
    <row r="7">
      <c r="A7" t="inlineStr">
        <is>
          <t>ending_cash</t>
        </is>
      </c>
      <c r="B7" s="15">
        <f>COUNT(Snapshots!$E$5:$E$104)</f>
        <v/>
      </c>
      <c r="C7" s="6">
        <f>IF(B7&lt;$B$3,FALSE,OR(COUNTIFS(J$7:J$106,"&gt;"&amp;$B$4,N$7:N$106,"&gt;"&amp;(B7-$B$3))=$B$3,COUNTIFS(J$7:J$106,"&lt;"&amp;-$B$4,N$7:N$106,"&gt;"&amp;(B7-$B$3))=$B$3))</f>
        <v/>
      </c>
      <c r="D7" s="6" t="inlineStr"/>
      <c r="J7">
        <f>IF(ISNUMBER(Snapshots!E5),Snapshots!E5,"")</f>
        <v/>
      </c>
      <c r="K7">
        <f>IF(ISNUMBER(Snapshots!F5),Snapshots!F5,"")</f>
        <v/>
      </c>
      <c r="L7">
        <f>IF(ISNUMBER(Snapshots!G5),Snapshots!G5,"")</f>
        <v/>
      </c>
      <c r="M7">
        <f>IF(ISNUMBER(Snapshots!H5),Snapshots!H5,"")</f>
        <v/>
      </c>
      <c r="N7">
        <f>IF(ISNUMBER(Snapshots!E5),COUNT(Snapshots!$E$5:E5),"")</f>
        <v/>
      </c>
      <c r="O7">
        <f>IF(ISNUMBER(Snapshots!F5),COUNT(Snapshots!$F$5:F5),"")</f>
        <v/>
      </c>
      <c r="P7">
        <f>IF(ISNUMBER(Snapshots!G5),COUNT(Snapshots!$G$5:G5),"")</f>
        <v/>
      </c>
      <c r="Q7">
        <f>IF(ISNUMBER(Snapshots!H5),COUNT(Snapshots!$H$5:H5),"")</f>
        <v/>
      </c>
    </row>
    <row r="8">
      <c r="A8" t="inlineStr">
        <is>
          <t>ebitda</t>
        </is>
      </c>
      <c r="B8" s="15">
        <f>COUNT(Snapshots!$F$5:$F$104)</f>
        <v/>
      </c>
      <c r="C8" s="6">
        <f>IF(B8&lt;$B$3,FALSE,OR(COUNTIFS(K$7:K$106,"&gt;"&amp;$B$4,O$7:O$106,"&gt;"&amp;(B8-$B$3))=$B$3,COUNTIFS(K$7:K$106,"&lt;"&amp;-$B$4,O$7:O$106,"&gt;"&amp;(B8-$B$3))=$B$3))</f>
        <v/>
      </c>
      <c r="D8" s="6" t="inlineStr"/>
      <c r="J8">
        <f>IF(ISNUMBER(Snapshots!E6),Snapshots!E6,"")</f>
        <v/>
      </c>
      <c r="K8">
        <f>IF(ISNUMBER(Snapshots!F6),Snapshots!F6,"")</f>
        <v/>
      </c>
      <c r="L8">
        <f>IF(ISNUMBER(Snapshots!G6),Snapshots!G6,"")</f>
        <v/>
      </c>
      <c r="M8">
        <f>IF(ISNUMBER(Snapshots!H6),Snapshots!H6,"")</f>
        <v/>
      </c>
      <c r="N8">
        <f>IF(ISNUMBER(Snapshots!E6),COUNT(Snapshots!$E$5:E6),"")</f>
        <v/>
      </c>
      <c r="O8">
        <f>IF(ISNUMBER(Snapshots!F6),COUNT(Snapshots!$F$5:F6),"")</f>
        <v/>
      </c>
      <c r="P8">
        <f>IF(ISNUMBER(Snapshots!G6),COUNT(Snapshots!$G$5:G6),"")</f>
        <v/>
      </c>
      <c r="Q8">
        <f>IF(ISNUMBER(Snapshots!H6),COUNT(Snapshots!$H$5:H6),"")</f>
        <v/>
      </c>
    </row>
    <row r="9">
      <c r="A9" t="inlineStr">
        <is>
          <t>revenue</t>
        </is>
      </c>
      <c r="B9" s="15">
        <f>COUNT(Snapshots!$G$5:$G$104)</f>
        <v/>
      </c>
      <c r="C9" s="6">
        <f>IF(B9&lt;$B$3,FALSE,OR(COUNTIFS(L$7:L$106,"&gt;"&amp;$B$4,P$7:P$106,"&gt;"&amp;(B9-$B$3))=$B$3,COUNTIFS(L$7:L$106,"&lt;"&amp;-$B$4,P$7:P$106,"&gt;"&amp;(B9-$B$3))=$B$3))</f>
        <v/>
      </c>
      <c r="D9" s="6" t="inlineStr"/>
      <c r="J9">
        <f>IF(ISNUMBER(Snapshots!E7),Snapshots!E7,"")</f>
        <v/>
      </c>
      <c r="K9">
        <f>IF(ISNUMBER(Snapshots!F7),Snapshots!F7,"")</f>
        <v/>
      </c>
      <c r="L9">
        <f>IF(ISNUMBER(Snapshots!G7),Snapshots!G7,"")</f>
        <v/>
      </c>
      <c r="M9">
        <f>IF(ISNUMBER(Snapshots!H7),Snapshots!H7,"")</f>
        <v/>
      </c>
      <c r="N9">
        <f>IF(ISNUMBER(Snapshots!E7),COUNT(Snapshots!$E$5:E7),"")</f>
        <v/>
      </c>
      <c r="O9">
        <f>IF(ISNUMBER(Snapshots!F7),COUNT(Snapshots!$F$5:F7),"")</f>
        <v/>
      </c>
      <c r="P9">
        <f>IF(ISNUMBER(Snapshots!G7),COUNT(Snapshots!$G$5:G7),"")</f>
        <v/>
      </c>
      <c r="Q9">
        <f>IF(ISNUMBER(Snapshots!H7),COUNT(Snapshots!$H$5:H7),"")</f>
        <v/>
      </c>
    </row>
    <row r="10">
      <c r="A10" t="inlineStr">
        <is>
          <t>gross_margin</t>
        </is>
      </c>
      <c r="B10" s="15">
        <f>COUNT(Snapshots!$H$5:$H$104)</f>
        <v/>
      </c>
      <c r="C10" s="6">
        <f>IF(B10&lt;$B$3,FALSE,OR(COUNTIFS(M$7:M$106,"&gt;"&amp;$B$4,Q$7:Q$106,"&gt;"&amp;(B10-$B$3))=$B$3,COUNTIFS(M$7:M$106,"&lt;"&amp;-$B$4,Q$7:Q$106,"&gt;"&amp;(B10-$B$3))=$B$3))</f>
        <v/>
      </c>
      <c r="D10" s="6" t="inlineStr"/>
      <c r="J10">
        <f>IF(ISNUMBER(Snapshots!E8),Snapshots!E8,"")</f>
        <v/>
      </c>
      <c r="K10">
        <f>IF(ISNUMBER(Snapshots!F8),Snapshots!F8,"")</f>
        <v/>
      </c>
      <c r="L10">
        <f>IF(ISNUMBER(Snapshots!G8),Snapshots!G8,"")</f>
        <v/>
      </c>
      <c r="M10">
        <f>IF(ISNUMBER(Snapshots!H8),Snapshots!H8,"")</f>
        <v/>
      </c>
      <c r="N10">
        <f>IF(ISNUMBER(Snapshots!E8),COUNT(Snapshots!$E$5:E8),"")</f>
        <v/>
      </c>
      <c r="O10">
        <f>IF(ISNUMBER(Snapshots!F8),COUNT(Snapshots!$F$5:F8),"")</f>
        <v/>
      </c>
      <c r="P10">
        <f>IF(ISNUMBER(Snapshots!G8),COUNT(Snapshots!$G$5:G8),"")</f>
        <v/>
      </c>
      <c r="Q10">
        <f>IF(ISNUMBER(Snapshots!H8),COUNT(Snapshots!$H$5:H8),"")</f>
        <v/>
      </c>
    </row>
    <row r="11">
      <c r="J11">
        <f>IF(ISNUMBER(Snapshots!E9),Snapshots!E9,"")</f>
        <v/>
      </c>
      <c r="K11">
        <f>IF(ISNUMBER(Snapshots!F9),Snapshots!F9,"")</f>
        <v/>
      </c>
      <c r="L11">
        <f>IF(ISNUMBER(Snapshots!G9),Snapshots!G9,"")</f>
        <v/>
      </c>
      <c r="M11">
        <f>IF(ISNUMBER(Snapshots!H9),Snapshots!H9,"")</f>
        <v/>
      </c>
      <c r="N11">
        <f>IF(ISNUMBER(Snapshots!E9),COUNT(Snapshots!$E$5:E9),"")</f>
        <v/>
      </c>
      <c r="O11">
        <f>IF(ISNUMBER(Snapshots!F9),COUNT(Snapshots!$F$5:F9),"")</f>
        <v/>
      </c>
      <c r="P11">
        <f>IF(ISNUMBER(Snapshots!G9),COUNT(Snapshots!$G$5:G9),"")</f>
        <v/>
      </c>
      <c r="Q11">
        <f>IF(ISNUMBER(Snapshots!H9),COUNT(Snapshots!$H$5:H9),"")</f>
        <v/>
      </c>
    </row>
    <row r="12">
      <c r="J12">
        <f>IF(ISNUMBER(Snapshots!E10),Snapshots!E10,"")</f>
        <v/>
      </c>
      <c r="K12">
        <f>IF(ISNUMBER(Snapshots!F10),Snapshots!F10,"")</f>
        <v/>
      </c>
      <c r="L12">
        <f>IF(ISNUMBER(Snapshots!G10),Snapshots!G10,"")</f>
        <v/>
      </c>
      <c r="M12">
        <f>IF(ISNUMBER(Snapshots!H10),Snapshots!H10,"")</f>
        <v/>
      </c>
      <c r="N12">
        <f>IF(ISNUMBER(Snapshots!E10),COUNT(Snapshots!$E$5:E10),"")</f>
        <v/>
      </c>
      <c r="O12">
        <f>IF(ISNUMBER(Snapshots!F10),COUNT(Snapshots!$F$5:F10),"")</f>
        <v/>
      </c>
      <c r="P12">
        <f>IF(ISNUMBER(Snapshots!G10),COUNT(Snapshots!$G$5:G10),"")</f>
        <v/>
      </c>
      <c r="Q12">
        <f>IF(ISNUMBER(Snapshots!H10),COUNT(Snapshots!$H$5:H10),"")</f>
        <v/>
      </c>
    </row>
    <row r="13">
      <c r="A13" s="7" t="inlineStr">
        <is>
          <t>magnitude_cap</t>
        </is>
      </c>
      <c r="B13" s="7" t="inlineStr">
        <is>
          <t>value</t>
        </is>
      </c>
      <c r="J13">
        <f>IF(ISNUMBER(Snapshots!E11),Snapshots!E11,"")</f>
        <v/>
      </c>
      <c r="K13">
        <f>IF(ISNUMBER(Snapshots!F11),Snapshots!F11,"")</f>
        <v/>
      </c>
      <c r="L13">
        <f>IF(ISNUMBER(Snapshots!G11),Snapshots!G11,"")</f>
        <v/>
      </c>
      <c r="M13">
        <f>IF(ISNUMBER(Snapshots!H11),Snapshots!H11,"")</f>
        <v/>
      </c>
      <c r="N13">
        <f>IF(ISNUMBER(Snapshots!E11),COUNT(Snapshots!$E$5:E11),"")</f>
        <v/>
      </c>
      <c r="O13">
        <f>IF(ISNUMBER(Snapshots!F11),COUNT(Snapshots!$F$5:F11),"")</f>
        <v/>
      </c>
      <c r="P13">
        <f>IF(ISNUMBER(Snapshots!G11),COUNT(Snapshots!$G$5:G11),"")</f>
        <v/>
      </c>
      <c r="Q13">
        <f>IF(ISNUMBER(Snapshots!H11),COUNT(Snapshots!$H$5:H11),"")</f>
        <v/>
      </c>
    </row>
    <row r="14">
      <c r="A14" t="inlineStr">
        <is>
          <t>old value</t>
        </is>
      </c>
      <c r="B14" s="8" t="n"/>
      <c r="J14">
        <f>IF(ISNUMBER(Snapshots!E12),Snapshots!E12,"")</f>
        <v/>
      </c>
      <c r="K14">
        <f>IF(ISNUMBER(Snapshots!F12),Snapshots!F12,"")</f>
        <v/>
      </c>
      <c r="L14">
        <f>IF(ISNUMBER(Snapshots!G12),Snapshots!G12,"")</f>
        <v/>
      </c>
      <c r="M14">
        <f>IF(ISNUMBER(Snapshots!H12),Snapshots!H12,"")</f>
        <v/>
      </c>
      <c r="N14">
        <f>IF(ISNUMBER(Snapshots!E12),COUNT(Snapshots!$E$5:E12),"")</f>
        <v/>
      </c>
      <c r="O14">
        <f>IF(ISNUMBER(Snapshots!F12),COUNT(Snapshots!$F$5:F12),"")</f>
        <v/>
      </c>
      <c r="P14">
        <f>IF(ISNUMBER(Snapshots!G12),COUNT(Snapshots!$G$5:G12),"")</f>
        <v/>
      </c>
      <c r="Q14">
        <f>IF(ISNUMBER(Snapshots!H12),COUNT(Snapshots!$H$5:H12),"")</f>
        <v/>
      </c>
    </row>
    <row r="15">
      <c r="A15" t="inlineStr">
        <is>
          <t>proposed new value</t>
        </is>
      </c>
      <c r="B15" s="8" t="n"/>
      <c r="J15">
        <f>IF(ISNUMBER(Snapshots!E13),Snapshots!E13,"")</f>
        <v/>
      </c>
      <c r="K15">
        <f>IF(ISNUMBER(Snapshots!F13),Snapshots!F13,"")</f>
        <v/>
      </c>
      <c r="L15">
        <f>IF(ISNUMBER(Snapshots!G13),Snapshots!G13,"")</f>
        <v/>
      </c>
      <c r="M15">
        <f>IF(ISNUMBER(Snapshots!H13),Snapshots!H13,"")</f>
        <v/>
      </c>
      <c r="N15">
        <f>IF(ISNUMBER(Snapshots!E13),COUNT(Snapshots!$E$5:E13),"")</f>
        <v/>
      </c>
      <c r="O15">
        <f>IF(ISNUMBER(Snapshots!F13),COUNT(Snapshots!$F$5:F13),"")</f>
        <v/>
      </c>
      <c r="P15">
        <f>IF(ISNUMBER(Snapshots!G13),COUNT(Snapshots!$G$5:G13),"")</f>
        <v/>
      </c>
      <c r="Q15">
        <f>IF(ISNUMBER(Snapshots!H13),COUNT(Snapshots!$H$5:H13),"")</f>
        <v/>
      </c>
    </row>
    <row r="16">
      <c r="A16" t="inlineStr">
        <is>
          <t>cap (relative)</t>
        </is>
      </c>
      <c r="B16" s="22" t="n">
        <v>0.25</v>
      </c>
      <c r="J16">
        <f>IF(ISNUMBER(Snapshots!E14),Snapshots!E14,"")</f>
        <v/>
      </c>
      <c r="K16">
        <f>IF(ISNUMBER(Snapshots!F14),Snapshots!F14,"")</f>
        <v/>
      </c>
      <c r="L16">
        <f>IF(ISNUMBER(Snapshots!G14),Snapshots!G14,"")</f>
        <v/>
      </c>
      <c r="M16">
        <f>IF(ISNUMBER(Snapshots!H14),Snapshots!H14,"")</f>
        <v/>
      </c>
      <c r="N16">
        <f>IF(ISNUMBER(Snapshots!E14),COUNT(Snapshots!$E$5:E14),"")</f>
        <v/>
      </c>
      <c r="O16">
        <f>IF(ISNUMBER(Snapshots!F14),COUNT(Snapshots!$F$5:F14),"")</f>
        <v/>
      </c>
      <c r="P16">
        <f>IF(ISNUMBER(Snapshots!G14),COUNT(Snapshots!$G$5:G14),"")</f>
        <v/>
      </c>
      <c r="Q16">
        <f>IF(ISNUMBER(Snapshots!H14),COUNT(Snapshots!$H$5:H14),"")</f>
        <v/>
      </c>
    </row>
    <row r="17">
      <c r="A17" t="inlineStr">
        <is>
          <t>capped value (use this)</t>
        </is>
      </c>
      <c r="B17" s="5">
        <f>IF(N(B14)=0,B15,MAX(MIN(B14*(1-B16),B14*(1+B16)),MIN(B15,MAX(B14*(1-B16),B14*(1+B16)))))</f>
        <v/>
      </c>
      <c r="J17">
        <f>IF(ISNUMBER(Snapshots!E15),Snapshots!E15,"")</f>
        <v/>
      </c>
      <c r="K17">
        <f>IF(ISNUMBER(Snapshots!F15),Snapshots!F15,"")</f>
        <v/>
      </c>
      <c r="L17">
        <f>IF(ISNUMBER(Snapshots!G15),Snapshots!G15,"")</f>
        <v/>
      </c>
      <c r="M17">
        <f>IF(ISNUMBER(Snapshots!H15),Snapshots!H15,"")</f>
        <v/>
      </c>
      <c r="N17">
        <f>IF(ISNUMBER(Snapshots!E15),COUNT(Snapshots!$E$5:E15),"")</f>
        <v/>
      </c>
      <c r="O17">
        <f>IF(ISNUMBER(Snapshots!F15),COUNT(Snapshots!$F$5:F15),"")</f>
        <v/>
      </c>
      <c r="P17">
        <f>IF(ISNUMBER(Snapshots!G15),COUNT(Snapshots!$G$5:G15),"")</f>
        <v/>
      </c>
      <c r="Q17">
        <f>IF(ISNUMBER(Snapshots!H15),COUNT(Snapshots!$H$5:H15),"")</f>
        <v/>
      </c>
    </row>
    <row r="18">
      <c r="J18">
        <f>IF(ISNUMBER(Snapshots!E16),Snapshots!E16,"")</f>
        <v/>
      </c>
      <c r="K18">
        <f>IF(ISNUMBER(Snapshots!F16),Snapshots!F16,"")</f>
        <v/>
      </c>
      <c r="L18">
        <f>IF(ISNUMBER(Snapshots!G16),Snapshots!G16,"")</f>
        <v/>
      </c>
      <c r="M18">
        <f>IF(ISNUMBER(Snapshots!H16),Snapshots!H16,"")</f>
        <v/>
      </c>
      <c r="N18">
        <f>IF(ISNUMBER(Snapshots!E16),COUNT(Snapshots!$E$5:E16),"")</f>
        <v/>
      </c>
      <c r="O18">
        <f>IF(ISNUMBER(Snapshots!F16),COUNT(Snapshots!$F$5:F16),"")</f>
        <v/>
      </c>
      <c r="P18">
        <f>IF(ISNUMBER(Snapshots!G16),COUNT(Snapshots!$G$5:G16),"")</f>
        <v/>
      </c>
      <c r="Q18">
        <f>IF(ISNUMBER(Snapshots!H16),COUNT(Snapshots!$H$5:H16),"")</f>
        <v/>
      </c>
    </row>
    <row r="19">
      <c r="J19">
        <f>IF(ISNUMBER(Snapshots!E17),Snapshots!E17,"")</f>
        <v/>
      </c>
      <c r="K19">
        <f>IF(ISNUMBER(Snapshots!F17),Snapshots!F17,"")</f>
        <v/>
      </c>
      <c r="L19">
        <f>IF(ISNUMBER(Snapshots!G17),Snapshots!G17,"")</f>
        <v/>
      </c>
      <c r="M19">
        <f>IF(ISNUMBER(Snapshots!H17),Snapshots!H17,"")</f>
        <v/>
      </c>
      <c r="N19">
        <f>IF(ISNUMBER(Snapshots!E17),COUNT(Snapshots!$E$5:E17),"")</f>
        <v/>
      </c>
      <c r="O19">
        <f>IF(ISNUMBER(Snapshots!F17),COUNT(Snapshots!$F$5:F17),"")</f>
        <v/>
      </c>
      <c r="P19">
        <f>IF(ISNUMBER(Snapshots!G17),COUNT(Snapshots!$G$5:G17),"")</f>
        <v/>
      </c>
      <c r="Q19">
        <f>IF(ISNUMBER(Snapshots!H17),COUNT(Snapshots!$H$5:H17),"")</f>
        <v/>
      </c>
    </row>
    <row r="20">
      <c r="J20">
        <f>IF(ISNUMBER(Snapshots!E18),Snapshots!E18,"")</f>
        <v/>
      </c>
      <c r="K20">
        <f>IF(ISNUMBER(Snapshots!F18),Snapshots!F18,"")</f>
        <v/>
      </c>
      <c r="L20">
        <f>IF(ISNUMBER(Snapshots!G18),Snapshots!G18,"")</f>
        <v/>
      </c>
      <c r="M20">
        <f>IF(ISNUMBER(Snapshots!H18),Snapshots!H18,"")</f>
        <v/>
      </c>
      <c r="N20">
        <f>IF(ISNUMBER(Snapshots!E18),COUNT(Snapshots!$E$5:E18),"")</f>
        <v/>
      </c>
      <c r="O20">
        <f>IF(ISNUMBER(Snapshots!F18),COUNT(Snapshots!$F$5:F18),"")</f>
        <v/>
      </c>
      <c r="P20">
        <f>IF(ISNUMBER(Snapshots!G18),COUNT(Snapshots!$G$5:G18),"")</f>
        <v/>
      </c>
      <c r="Q20">
        <f>IF(ISNUMBER(Snapshots!H18),COUNT(Snapshots!$H$5:H18),"")</f>
        <v/>
      </c>
    </row>
    <row r="21">
      <c r="J21">
        <f>IF(ISNUMBER(Snapshots!E19),Snapshots!E19,"")</f>
        <v/>
      </c>
      <c r="K21">
        <f>IF(ISNUMBER(Snapshots!F19),Snapshots!F19,"")</f>
        <v/>
      </c>
      <c r="L21">
        <f>IF(ISNUMBER(Snapshots!G19),Snapshots!G19,"")</f>
        <v/>
      </c>
      <c r="M21">
        <f>IF(ISNUMBER(Snapshots!H19),Snapshots!H19,"")</f>
        <v/>
      </c>
      <c r="N21">
        <f>IF(ISNUMBER(Snapshots!E19),COUNT(Snapshots!$E$5:E19),"")</f>
        <v/>
      </c>
      <c r="O21">
        <f>IF(ISNUMBER(Snapshots!F19),COUNT(Snapshots!$F$5:F19),"")</f>
        <v/>
      </c>
      <c r="P21">
        <f>IF(ISNUMBER(Snapshots!G19),COUNT(Snapshots!$G$5:G19),"")</f>
        <v/>
      </c>
      <c r="Q21">
        <f>IF(ISNUMBER(Snapshots!H19),COUNT(Snapshots!$H$5:H19),"")</f>
        <v/>
      </c>
    </row>
    <row r="22">
      <c r="J22">
        <f>IF(ISNUMBER(Snapshots!E20),Snapshots!E20,"")</f>
        <v/>
      </c>
      <c r="K22">
        <f>IF(ISNUMBER(Snapshots!F20),Snapshots!F20,"")</f>
        <v/>
      </c>
      <c r="L22">
        <f>IF(ISNUMBER(Snapshots!G20),Snapshots!G20,"")</f>
        <v/>
      </c>
      <c r="M22">
        <f>IF(ISNUMBER(Snapshots!H20),Snapshots!H20,"")</f>
        <v/>
      </c>
      <c r="N22">
        <f>IF(ISNUMBER(Snapshots!E20),COUNT(Snapshots!$E$5:E20),"")</f>
        <v/>
      </c>
      <c r="O22">
        <f>IF(ISNUMBER(Snapshots!F20),COUNT(Snapshots!$F$5:F20),"")</f>
        <v/>
      </c>
      <c r="P22">
        <f>IF(ISNUMBER(Snapshots!G20),COUNT(Snapshots!$G$5:G20),"")</f>
        <v/>
      </c>
      <c r="Q22">
        <f>IF(ISNUMBER(Snapshots!H20),COUNT(Snapshots!$H$5:H20),"")</f>
        <v/>
      </c>
    </row>
    <row r="23">
      <c r="J23">
        <f>IF(ISNUMBER(Snapshots!E21),Snapshots!E21,"")</f>
        <v/>
      </c>
      <c r="K23">
        <f>IF(ISNUMBER(Snapshots!F21),Snapshots!F21,"")</f>
        <v/>
      </c>
      <c r="L23">
        <f>IF(ISNUMBER(Snapshots!G21),Snapshots!G21,"")</f>
        <v/>
      </c>
      <c r="M23">
        <f>IF(ISNUMBER(Snapshots!H21),Snapshots!H21,"")</f>
        <v/>
      </c>
      <c r="N23">
        <f>IF(ISNUMBER(Snapshots!E21),COUNT(Snapshots!$E$5:E21),"")</f>
        <v/>
      </c>
      <c r="O23">
        <f>IF(ISNUMBER(Snapshots!F21),COUNT(Snapshots!$F$5:F21),"")</f>
        <v/>
      </c>
      <c r="P23">
        <f>IF(ISNUMBER(Snapshots!G21),COUNT(Snapshots!$G$5:G21),"")</f>
        <v/>
      </c>
      <c r="Q23">
        <f>IF(ISNUMBER(Snapshots!H21),COUNT(Snapshots!$H$5:H21),"")</f>
        <v/>
      </c>
    </row>
    <row r="24">
      <c r="J24">
        <f>IF(ISNUMBER(Snapshots!E22),Snapshots!E22,"")</f>
        <v/>
      </c>
      <c r="K24">
        <f>IF(ISNUMBER(Snapshots!F22),Snapshots!F22,"")</f>
        <v/>
      </c>
      <c r="L24">
        <f>IF(ISNUMBER(Snapshots!G22),Snapshots!G22,"")</f>
        <v/>
      </c>
      <c r="M24">
        <f>IF(ISNUMBER(Snapshots!H22),Snapshots!H22,"")</f>
        <v/>
      </c>
      <c r="N24">
        <f>IF(ISNUMBER(Snapshots!E22),COUNT(Snapshots!$E$5:E22),"")</f>
        <v/>
      </c>
      <c r="O24">
        <f>IF(ISNUMBER(Snapshots!F22),COUNT(Snapshots!$F$5:F22),"")</f>
        <v/>
      </c>
      <c r="P24">
        <f>IF(ISNUMBER(Snapshots!G22),COUNT(Snapshots!$G$5:G22),"")</f>
        <v/>
      </c>
      <c r="Q24">
        <f>IF(ISNUMBER(Snapshots!H22),COUNT(Snapshots!$H$5:H22),"")</f>
        <v/>
      </c>
    </row>
    <row r="25">
      <c r="J25">
        <f>IF(ISNUMBER(Snapshots!E23),Snapshots!E23,"")</f>
        <v/>
      </c>
      <c r="K25">
        <f>IF(ISNUMBER(Snapshots!F23),Snapshots!F23,"")</f>
        <v/>
      </c>
      <c r="L25">
        <f>IF(ISNUMBER(Snapshots!G23),Snapshots!G23,"")</f>
        <v/>
      </c>
      <c r="M25">
        <f>IF(ISNUMBER(Snapshots!H23),Snapshots!H23,"")</f>
        <v/>
      </c>
      <c r="N25">
        <f>IF(ISNUMBER(Snapshots!E23),COUNT(Snapshots!$E$5:E23),"")</f>
        <v/>
      </c>
      <c r="O25">
        <f>IF(ISNUMBER(Snapshots!F23),COUNT(Snapshots!$F$5:F23),"")</f>
        <v/>
      </c>
      <c r="P25">
        <f>IF(ISNUMBER(Snapshots!G23),COUNT(Snapshots!$G$5:G23),"")</f>
        <v/>
      </c>
      <c r="Q25">
        <f>IF(ISNUMBER(Snapshots!H23),COUNT(Snapshots!$H$5:H23),"")</f>
        <v/>
      </c>
    </row>
    <row r="26">
      <c r="J26">
        <f>IF(ISNUMBER(Snapshots!E24),Snapshots!E24,"")</f>
        <v/>
      </c>
      <c r="K26">
        <f>IF(ISNUMBER(Snapshots!F24),Snapshots!F24,"")</f>
        <v/>
      </c>
      <c r="L26">
        <f>IF(ISNUMBER(Snapshots!G24),Snapshots!G24,"")</f>
        <v/>
      </c>
      <c r="M26">
        <f>IF(ISNUMBER(Snapshots!H24),Snapshots!H24,"")</f>
        <v/>
      </c>
      <c r="N26">
        <f>IF(ISNUMBER(Snapshots!E24),COUNT(Snapshots!$E$5:E24),"")</f>
        <v/>
      </c>
      <c r="O26">
        <f>IF(ISNUMBER(Snapshots!F24),COUNT(Snapshots!$F$5:F24),"")</f>
        <v/>
      </c>
      <c r="P26">
        <f>IF(ISNUMBER(Snapshots!G24),COUNT(Snapshots!$G$5:G24),"")</f>
        <v/>
      </c>
      <c r="Q26">
        <f>IF(ISNUMBER(Snapshots!H24),COUNT(Snapshots!$H$5:H24),"")</f>
        <v/>
      </c>
    </row>
    <row r="27">
      <c r="J27">
        <f>IF(ISNUMBER(Snapshots!E25),Snapshots!E25,"")</f>
        <v/>
      </c>
      <c r="K27">
        <f>IF(ISNUMBER(Snapshots!F25),Snapshots!F25,"")</f>
        <v/>
      </c>
      <c r="L27">
        <f>IF(ISNUMBER(Snapshots!G25),Snapshots!G25,"")</f>
        <v/>
      </c>
      <c r="M27">
        <f>IF(ISNUMBER(Snapshots!H25),Snapshots!H25,"")</f>
        <v/>
      </c>
      <c r="N27">
        <f>IF(ISNUMBER(Snapshots!E25),COUNT(Snapshots!$E$5:E25),"")</f>
        <v/>
      </c>
      <c r="O27">
        <f>IF(ISNUMBER(Snapshots!F25),COUNT(Snapshots!$F$5:F25),"")</f>
        <v/>
      </c>
      <c r="P27">
        <f>IF(ISNUMBER(Snapshots!G25),COUNT(Snapshots!$G$5:G25),"")</f>
        <v/>
      </c>
      <c r="Q27">
        <f>IF(ISNUMBER(Snapshots!H25),COUNT(Snapshots!$H$5:H25),"")</f>
        <v/>
      </c>
    </row>
    <row r="28">
      <c r="J28">
        <f>IF(ISNUMBER(Snapshots!E26),Snapshots!E26,"")</f>
        <v/>
      </c>
      <c r="K28">
        <f>IF(ISNUMBER(Snapshots!F26),Snapshots!F26,"")</f>
        <v/>
      </c>
      <c r="L28">
        <f>IF(ISNUMBER(Snapshots!G26),Snapshots!G26,"")</f>
        <v/>
      </c>
      <c r="M28">
        <f>IF(ISNUMBER(Snapshots!H26),Snapshots!H26,"")</f>
        <v/>
      </c>
      <c r="N28">
        <f>IF(ISNUMBER(Snapshots!E26),COUNT(Snapshots!$E$5:E26),"")</f>
        <v/>
      </c>
      <c r="O28">
        <f>IF(ISNUMBER(Snapshots!F26),COUNT(Snapshots!$F$5:F26),"")</f>
        <v/>
      </c>
      <c r="P28">
        <f>IF(ISNUMBER(Snapshots!G26),COUNT(Snapshots!$G$5:G26),"")</f>
        <v/>
      </c>
      <c r="Q28">
        <f>IF(ISNUMBER(Snapshots!H26),COUNT(Snapshots!$H$5:H26),"")</f>
        <v/>
      </c>
    </row>
    <row r="29">
      <c r="J29">
        <f>IF(ISNUMBER(Snapshots!E27),Snapshots!E27,"")</f>
        <v/>
      </c>
      <c r="K29">
        <f>IF(ISNUMBER(Snapshots!F27),Snapshots!F27,"")</f>
        <v/>
      </c>
      <c r="L29">
        <f>IF(ISNUMBER(Snapshots!G27),Snapshots!G27,"")</f>
        <v/>
      </c>
      <c r="M29">
        <f>IF(ISNUMBER(Snapshots!H27),Snapshots!H27,"")</f>
        <v/>
      </c>
      <c r="N29">
        <f>IF(ISNUMBER(Snapshots!E27),COUNT(Snapshots!$E$5:E27),"")</f>
        <v/>
      </c>
      <c r="O29">
        <f>IF(ISNUMBER(Snapshots!F27),COUNT(Snapshots!$F$5:F27),"")</f>
        <v/>
      </c>
      <c r="P29">
        <f>IF(ISNUMBER(Snapshots!G27),COUNT(Snapshots!$G$5:G27),"")</f>
        <v/>
      </c>
      <c r="Q29">
        <f>IF(ISNUMBER(Snapshots!H27),COUNT(Snapshots!$H$5:H27),"")</f>
        <v/>
      </c>
    </row>
    <row r="30">
      <c r="J30">
        <f>IF(ISNUMBER(Snapshots!E28),Snapshots!E28,"")</f>
        <v/>
      </c>
      <c r="K30">
        <f>IF(ISNUMBER(Snapshots!F28),Snapshots!F28,"")</f>
        <v/>
      </c>
      <c r="L30">
        <f>IF(ISNUMBER(Snapshots!G28),Snapshots!G28,"")</f>
        <v/>
      </c>
      <c r="M30">
        <f>IF(ISNUMBER(Snapshots!H28),Snapshots!H28,"")</f>
        <v/>
      </c>
      <c r="N30">
        <f>IF(ISNUMBER(Snapshots!E28),COUNT(Snapshots!$E$5:E28),"")</f>
        <v/>
      </c>
      <c r="O30">
        <f>IF(ISNUMBER(Snapshots!F28),COUNT(Snapshots!$F$5:F28),"")</f>
        <v/>
      </c>
      <c r="P30">
        <f>IF(ISNUMBER(Snapshots!G28),COUNT(Snapshots!$G$5:G28),"")</f>
        <v/>
      </c>
      <c r="Q30">
        <f>IF(ISNUMBER(Snapshots!H28),COUNT(Snapshots!$H$5:H28),"")</f>
        <v/>
      </c>
    </row>
    <row r="31">
      <c r="J31">
        <f>IF(ISNUMBER(Snapshots!E29),Snapshots!E29,"")</f>
        <v/>
      </c>
      <c r="K31">
        <f>IF(ISNUMBER(Snapshots!F29),Snapshots!F29,"")</f>
        <v/>
      </c>
      <c r="L31">
        <f>IF(ISNUMBER(Snapshots!G29),Snapshots!G29,"")</f>
        <v/>
      </c>
      <c r="M31">
        <f>IF(ISNUMBER(Snapshots!H29),Snapshots!H29,"")</f>
        <v/>
      </c>
      <c r="N31">
        <f>IF(ISNUMBER(Snapshots!E29),COUNT(Snapshots!$E$5:E29),"")</f>
        <v/>
      </c>
      <c r="O31">
        <f>IF(ISNUMBER(Snapshots!F29),COUNT(Snapshots!$F$5:F29),"")</f>
        <v/>
      </c>
      <c r="P31">
        <f>IF(ISNUMBER(Snapshots!G29),COUNT(Snapshots!$G$5:G29),"")</f>
        <v/>
      </c>
      <c r="Q31">
        <f>IF(ISNUMBER(Snapshots!H29),COUNT(Snapshots!$H$5:H29),"")</f>
        <v/>
      </c>
    </row>
    <row r="32">
      <c r="J32">
        <f>IF(ISNUMBER(Snapshots!E30),Snapshots!E30,"")</f>
        <v/>
      </c>
      <c r="K32">
        <f>IF(ISNUMBER(Snapshots!F30),Snapshots!F30,"")</f>
        <v/>
      </c>
      <c r="L32">
        <f>IF(ISNUMBER(Snapshots!G30),Snapshots!G30,"")</f>
        <v/>
      </c>
      <c r="M32">
        <f>IF(ISNUMBER(Snapshots!H30),Snapshots!H30,"")</f>
        <v/>
      </c>
      <c r="N32">
        <f>IF(ISNUMBER(Snapshots!E30),COUNT(Snapshots!$E$5:E30),"")</f>
        <v/>
      </c>
      <c r="O32">
        <f>IF(ISNUMBER(Snapshots!F30),COUNT(Snapshots!$F$5:F30),"")</f>
        <v/>
      </c>
      <c r="P32">
        <f>IF(ISNUMBER(Snapshots!G30),COUNT(Snapshots!$G$5:G30),"")</f>
        <v/>
      </c>
      <c r="Q32">
        <f>IF(ISNUMBER(Snapshots!H30),COUNT(Snapshots!$H$5:H30),"")</f>
        <v/>
      </c>
    </row>
    <row r="33">
      <c r="J33">
        <f>IF(ISNUMBER(Snapshots!E31),Snapshots!E31,"")</f>
        <v/>
      </c>
      <c r="K33">
        <f>IF(ISNUMBER(Snapshots!F31),Snapshots!F31,"")</f>
        <v/>
      </c>
      <c r="L33">
        <f>IF(ISNUMBER(Snapshots!G31),Snapshots!G31,"")</f>
        <v/>
      </c>
      <c r="M33">
        <f>IF(ISNUMBER(Snapshots!H31),Snapshots!H31,"")</f>
        <v/>
      </c>
      <c r="N33">
        <f>IF(ISNUMBER(Snapshots!E31),COUNT(Snapshots!$E$5:E31),"")</f>
        <v/>
      </c>
      <c r="O33">
        <f>IF(ISNUMBER(Snapshots!F31),COUNT(Snapshots!$F$5:F31),"")</f>
        <v/>
      </c>
      <c r="P33">
        <f>IF(ISNUMBER(Snapshots!G31),COUNT(Snapshots!$G$5:G31),"")</f>
        <v/>
      </c>
      <c r="Q33">
        <f>IF(ISNUMBER(Snapshots!H31),COUNT(Snapshots!$H$5:H31),"")</f>
        <v/>
      </c>
    </row>
    <row r="34">
      <c r="J34">
        <f>IF(ISNUMBER(Snapshots!E32),Snapshots!E32,"")</f>
        <v/>
      </c>
      <c r="K34">
        <f>IF(ISNUMBER(Snapshots!F32),Snapshots!F32,"")</f>
        <v/>
      </c>
      <c r="L34">
        <f>IF(ISNUMBER(Snapshots!G32),Snapshots!G32,"")</f>
        <v/>
      </c>
      <c r="M34">
        <f>IF(ISNUMBER(Snapshots!H32),Snapshots!H32,"")</f>
        <v/>
      </c>
      <c r="N34">
        <f>IF(ISNUMBER(Snapshots!E32),COUNT(Snapshots!$E$5:E32),"")</f>
        <v/>
      </c>
      <c r="O34">
        <f>IF(ISNUMBER(Snapshots!F32),COUNT(Snapshots!$F$5:F32),"")</f>
        <v/>
      </c>
      <c r="P34">
        <f>IF(ISNUMBER(Snapshots!G32),COUNT(Snapshots!$G$5:G32),"")</f>
        <v/>
      </c>
      <c r="Q34">
        <f>IF(ISNUMBER(Snapshots!H32),COUNT(Snapshots!$H$5:H32),"")</f>
        <v/>
      </c>
    </row>
    <row r="35">
      <c r="J35">
        <f>IF(ISNUMBER(Snapshots!E33),Snapshots!E33,"")</f>
        <v/>
      </c>
      <c r="K35">
        <f>IF(ISNUMBER(Snapshots!F33),Snapshots!F33,"")</f>
        <v/>
      </c>
      <c r="L35">
        <f>IF(ISNUMBER(Snapshots!G33),Snapshots!G33,"")</f>
        <v/>
      </c>
      <c r="M35">
        <f>IF(ISNUMBER(Snapshots!H33),Snapshots!H33,"")</f>
        <v/>
      </c>
      <c r="N35">
        <f>IF(ISNUMBER(Snapshots!E33),COUNT(Snapshots!$E$5:E33),"")</f>
        <v/>
      </c>
      <c r="O35">
        <f>IF(ISNUMBER(Snapshots!F33),COUNT(Snapshots!$F$5:F33),"")</f>
        <v/>
      </c>
      <c r="P35">
        <f>IF(ISNUMBER(Snapshots!G33),COUNT(Snapshots!$G$5:G33),"")</f>
        <v/>
      </c>
      <c r="Q35">
        <f>IF(ISNUMBER(Snapshots!H33),COUNT(Snapshots!$H$5:H33),"")</f>
        <v/>
      </c>
    </row>
    <row r="36">
      <c r="J36">
        <f>IF(ISNUMBER(Snapshots!E34),Snapshots!E34,"")</f>
        <v/>
      </c>
      <c r="K36">
        <f>IF(ISNUMBER(Snapshots!F34),Snapshots!F34,"")</f>
        <v/>
      </c>
      <c r="L36">
        <f>IF(ISNUMBER(Snapshots!G34),Snapshots!G34,"")</f>
        <v/>
      </c>
      <c r="M36">
        <f>IF(ISNUMBER(Snapshots!H34),Snapshots!H34,"")</f>
        <v/>
      </c>
      <c r="N36">
        <f>IF(ISNUMBER(Snapshots!E34),COUNT(Snapshots!$E$5:E34),"")</f>
        <v/>
      </c>
      <c r="O36">
        <f>IF(ISNUMBER(Snapshots!F34),COUNT(Snapshots!$F$5:F34),"")</f>
        <v/>
      </c>
      <c r="P36">
        <f>IF(ISNUMBER(Snapshots!G34),COUNT(Snapshots!$G$5:G34),"")</f>
        <v/>
      </c>
      <c r="Q36">
        <f>IF(ISNUMBER(Snapshots!H34),COUNT(Snapshots!$H$5:H34),"")</f>
        <v/>
      </c>
    </row>
    <row r="37">
      <c r="J37">
        <f>IF(ISNUMBER(Snapshots!E35),Snapshots!E35,"")</f>
        <v/>
      </c>
      <c r="K37">
        <f>IF(ISNUMBER(Snapshots!F35),Snapshots!F35,"")</f>
        <v/>
      </c>
      <c r="L37">
        <f>IF(ISNUMBER(Snapshots!G35),Snapshots!G35,"")</f>
        <v/>
      </c>
      <c r="M37">
        <f>IF(ISNUMBER(Snapshots!H35),Snapshots!H35,"")</f>
        <v/>
      </c>
      <c r="N37">
        <f>IF(ISNUMBER(Snapshots!E35),COUNT(Snapshots!$E$5:E35),"")</f>
        <v/>
      </c>
      <c r="O37">
        <f>IF(ISNUMBER(Snapshots!F35),COUNT(Snapshots!$F$5:F35),"")</f>
        <v/>
      </c>
      <c r="P37">
        <f>IF(ISNUMBER(Snapshots!G35),COUNT(Snapshots!$G$5:G35),"")</f>
        <v/>
      </c>
      <c r="Q37">
        <f>IF(ISNUMBER(Snapshots!H35),COUNT(Snapshots!$H$5:H35),"")</f>
        <v/>
      </c>
    </row>
    <row r="38">
      <c r="J38">
        <f>IF(ISNUMBER(Snapshots!E36),Snapshots!E36,"")</f>
        <v/>
      </c>
      <c r="K38">
        <f>IF(ISNUMBER(Snapshots!F36),Snapshots!F36,"")</f>
        <v/>
      </c>
      <c r="L38">
        <f>IF(ISNUMBER(Snapshots!G36),Snapshots!G36,"")</f>
        <v/>
      </c>
      <c r="M38">
        <f>IF(ISNUMBER(Snapshots!H36),Snapshots!H36,"")</f>
        <v/>
      </c>
      <c r="N38">
        <f>IF(ISNUMBER(Snapshots!E36),COUNT(Snapshots!$E$5:E36),"")</f>
        <v/>
      </c>
      <c r="O38">
        <f>IF(ISNUMBER(Snapshots!F36),COUNT(Snapshots!$F$5:F36),"")</f>
        <v/>
      </c>
      <c r="P38">
        <f>IF(ISNUMBER(Snapshots!G36),COUNT(Snapshots!$G$5:G36),"")</f>
        <v/>
      </c>
      <c r="Q38">
        <f>IF(ISNUMBER(Snapshots!H36),COUNT(Snapshots!$H$5:H36),"")</f>
        <v/>
      </c>
    </row>
    <row r="39">
      <c r="J39">
        <f>IF(ISNUMBER(Snapshots!E37),Snapshots!E37,"")</f>
        <v/>
      </c>
      <c r="K39">
        <f>IF(ISNUMBER(Snapshots!F37),Snapshots!F37,"")</f>
        <v/>
      </c>
      <c r="L39">
        <f>IF(ISNUMBER(Snapshots!G37),Snapshots!G37,"")</f>
        <v/>
      </c>
      <c r="M39">
        <f>IF(ISNUMBER(Snapshots!H37),Snapshots!H37,"")</f>
        <v/>
      </c>
      <c r="N39">
        <f>IF(ISNUMBER(Snapshots!E37),COUNT(Snapshots!$E$5:E37),"")</f>
        <v/>
      </c>
      <c r="O39">
        <f>IF(ISNUMBER(Snapshots!F37),COUNT(Snapshots!$F$5:F37),"")</f>
        <v/>
      </c>
      <c r="P39">
        <f>IF(ISNUMBER(Snapshots!G37),COUNT(Snapshots!$G$5:G37),"")</f>
        <v/>
      </c>
      <c r="Q39">
        <f>IF(ISNUMBER(Snapshots!H37),COUNT(Snapshots!$H$5:H37),"")</f>
        <v/>
      </c>
    </row>
    <row r="40">
      <c r="J40">
        <f>IF(ISNUMBER(Snapshots!E38),Snapshots!E38,"")</f>
        <v/>
      </c>
      <c r="K40">
        <f>IF(ISNUMBER(Snapshots!F38),Snapshots!F38,"")</f>
        <v/>
      </c>
      <c r="L40">
        <f>IF(ISNUMBER(Snapshots!G38),Snapshots!G38,"")</f>
        <v/>
      </c>
      <c r="M40">
        <f>IF(ISNUMBER(Snapshots!H38),Snapshots!H38,"")</f>
        <v/>
      </c>
      <c r="N40">
        <f>IF(ISNUMBER(Snapshots!E38),COUNT(Snapshots!$E$5:E38),"")</f>
        <v/>
      </c>
      <c r="O40">
        <f>IF(ISNUMBER(Snapshots!F38),COUNT(Snapshots!$F$5:F38),"")</f>
        <v/>
      </c>
      <c r="P40">
        <f>IF(ISNUMBER(Snapshots!G38),COUNT(Snapshots!$G$5:G38),"")</f>
        <v/>
      </c>
      <c r="Q40">
        <f>IF(ISNUMBER(Snapshots!H38),COUNT(Snapshots!$H$5:H38),"")</f>
        <v/>
      </c>
    </row>
    <row r="41">
      <c r="J41">
        <f>IF(ISNUMBER(Snapshots!E39),Snapshots!E39,"")</f>
        <v/>
      </c>
      <c r="K41">
        <f>IF(ISNUMBER(Snapshots!F39),Snapshots!F39,"")</f>
        <v/>
      </c>
      <c r="L41">
        <f>IF(ISNUMBER(Snapshots!G39),Snapshots!G39,"")</f>
        <v/>
      </c>
      <c r="M41">
        <f>IF(ISNUMBER(Snapshots!H39),Snapshots!H39,"")</f>
        <v/>
      </c>
      <c r="N41">
        <f>IF(ISNUMBER(Snapshots!E39),COUNT(Snapshots!$E$5:E39),"")</f>
        <v/>
      </c>
      <c r="O41">
        <f>IF(ISNUMBER(Snapshots!F39),COUNT(Snapshots!$F$5:F39),"")</f>
        <v/>
      </c>
      <c r="P41">
        <f>IF(ISNUMBER(Snapshots!G39),COUNT(Snapshots!$G$5:G39),"")</f>
        <v/>
      </c>
      <c r="Q41">
        <f>IF(ISNUMBER(Snapshots!H39),COUNT(Snapshots!$H$5:H39),"")</f>
        <v/>
      </c>
    </row>
    <row r="42">
      <c r="J42">
        <f>IF(ISNUMBER(Snapshots!E40),Snapshots!E40,"")</f>
        <v/>
      </c>
      <c r="K42">
        <f>IF(ISNUMBER(Snapshots!F40),Snapshots!F40,"")</f>
        <v/>
      </c>
      <c r="L42">
        <f>IF(ISNUMBER(Snapshots!G40),Snapshots!G40,"")</f>
        <v/>
      </c>
      <c r="M42">
        <f>IF(ISNUMBER(Snapshots!H40),Snapshots!H40,"")</f>
        <v/>
      </c>
      <c r="N42">
        <f>IF(ISNUMBER(Snapshots!E40),COUNT(Snapshots!$E$5:E40),"")</f>
        <v/>
      </c>
      <c r="O42">
        <f>IF(ISNUMBER(Snapshots!F40),COUNT(Snapshots!$F$5:F40),"")</f>
        <v/>
      </c>
      <c r="P42">
        <f>IF(ISNUMBER(Snapshots!G40),COUNT(Snapshots!$G$5:G40),"")</f>
        <v/>
      </c>
      <c r="Q42">
        <f>IF(ISNUMBER(Snapshots!H40),COUNT(Snapshots!$H$5:H40),"")</f>
        <v/>
      </c>
    </row>
    <row r="43">
      <c r="J43">
        <f>IF(ISNUMBER(Snapshots!E41),Snapshots!E41,"")</f>
        <v/>
      </c>
      <c r="K43">
        <f>IF(ISNUMBER(Snapshots!F41),Snapshots!F41,"")</f>
        <v/>
      </c>
      <c r="L43">
        <f>IF(ISNUMBER(Snapshots!G41),Snapshots!G41,"")</f>
        <v/>
      </c>
      <c r="M43">
        <f>IF(ISNUMBER(Snapshots!H41),Snapshots!H41,"")</f>
        <v/>
      </c>
      <c r="N43">
        <f>IF(ISNUMBER(Snapshots!E41),COUNT(Snapshots!$E$5:E41),"")</f>
        <v/>
      </c>
      <c r="O43">
        <f>IF(ISNUMBER(Snapshots!F41),COUNT(Snapshots!$F$5:F41),"")</f>
        <v/>
      </c>
      <c r="P43">
        <f>IF(ISNUMBER(Snapshots!G41),COUNT(Snapshots!$G$5:G41),"")</f>
        <v/>
      </c>
      <c r="Q43">
        <f>IF(ISNUMBER(Snapshots!H41),COUNT(Snapshots!$H$5:H41),"")</f>
        <v/>
      </c>
    </row>
    <row r="44">
      <c r="J44">
        <f>IF(ISNUMBER(Snapshots!E42),Snapshots!E42,"")</f>
        <v/>
      </c>
      <c r="K44">
        <f>IF(ISNUMBER(Snapshots!F42),Snapshots!F42,"")</f>
        <v/>
      </c>
      <c r="L44">
        <f>IF(ISNUMBER(Snapshots!G42),Snapshots!G42,"")</f>
        <v/>
      </c>
      <c r="M44">
        <f>IF(ISNUMBER(Snapshots!H42),Snapshots!H42,"")</f>
        <v/>
      </c>
      <c r="N44">
        <f>IF(ISNUMBER(Snapshots!E42),COUNT(Snapshots!$E$5:E42),"")</f>
        <v/>
      </c>
      <c r="O44">
        <f>IF(ISNUMBER(Snapshots!F42),COUNT(Snapshots!$F$5:F42),"")</f>
        <v/>
      </c>
      <c r="P44">
        <f>IF(ISNUMBER(Snapshots!G42),COUNT(Snapshots!$G$5:G42),"")</f>
        <v/>
      </c>
      <c r="Q44">
        <f>IF(ISNUMBER(Snapshots!H42),COUNT(Snapshots!$H$5:H42),"")</f>
        <v/>
      </c>
    </row>
    <row r="45">
      <c r="J45">
        <f>IF(ISNUMBER(Snapshots!E43),Snapshots!E43,"")</f>
        <v/>
      </c>
      <c r="K45">
        <f>IF(ISNUMBER(Snapshots!F43),Snapshots!F43,"")</f>
        <v/>
      </c>
      <c r="L45">
        <f>IF(ISNUMBER(Snapshots!G43),Snapshots!G43,"")</f>
        <v/>
      </c>
      <c r="M45">
        <f>IF(ISNUMBER(Snapshots!H43),Snapshots!H43,"")</f>
        <v/>
      </c>
      <c r="N45">
        <f>IF(ISNUMBER(Snapshots!E43),COUNT(Snapshots!$E$5:E43),"")</f>
        <v/>
      </c>
      <c r="O45">
        <f>IF(ISNUMBER(Snapshots!F43),COUNT(Snapshots!$F$5:F43),"")</f>
        <v/>
      </c>
      <c r="P45">
        <f>IF(ISNUMBER(Snapshots!G43),COUNT(Snapshots!$G$5:G43),"")</f>
        <v/>
      </c>
      <c r="Q45">
        <f>IF(ISNUMBER(Snapshots!H43),COUNT(Snapshots!$H$5:H43),"")</f>
        <v/>
      </c>
    </row>
    <row r="46">
      <c r="J46">
        <f>IF(ISNUMBER(Snapshots!E44),Snapshots!E44,"")</f>
        <v/>
      </c>
      <c r="K46">
        <f>IF(ISNUMBER(Snapshots!F44),Snapshots!F44,"")</f>
        <v/>
      </c>
      <c r="L46">
        <f>IF(ISNUMBER(Snapshots!G44),Snapshots!G44,"")</f>
        <v/>
      </c>
      <c r="M46">
        <f>IF(ISNUMBER(Snapshots!H44),Snapshots!H44,"")</f>
        <v/>
      </c>
      <c r="N46">
        <f>IF(ISNUMBER(Snapshots!E44),COUNT(Snapshots!$E$5:E44),"")</f>
        <v/>
      </c>
      <c r="O46">
        <f>IF(ISNUMBER(Snapshots!F44),COUNT(Snapshots!$F$5:F44),"")</f>
        <v/>
      </c>
      <c r="P46">
        <f>IF(ISNUMBER(Snapshots!G44),COUNT(Snapshots!$G$5:G44),"")</f>
        <v/>
      </c>
      <c r="Q46">
        <f>IF(ISNUMBER(Snapshots!H44),COUNT(Snapshots!$H$5:H44),"")</f>
        <v/>
      </c>
    </row>
    <row r="47">
      <c r="J47">
        <f>IF(ISNUMBER(Snapshots!E45),Snapshots!E45,"")</f>
        <v/>
      </c>
      <c r="K47">
        <f>IF(ISNUMBER(Snapshots!F45),Snapshots!F45,"")</f>
        <v/>
      </c>
      <c r="L47">
        <f>IF(ISNUMBER(Snapshots!G45),Snapshots!G45,"")</f>
        <v/>
      </c>
      <c r="M47">
        <f>IF(ISNUMBER(Snapshots!H45),Snapshots!H45,"")</f>
        <v/>
      </c>
      <c r="N47">
        <f>IF(ISNUMBER(Snapshots!E45),COUNT(Snapshots!$E$5:E45),"")</f>
        <v/>
      </c>
      <c r="O47">
        <f>IF(ISNUMBER(Snapshots!F45),COUNT(Snapshots!$F$5:F45),"")</f>
        <v/>
      </c>
      <c r="P47">
        <f>IF(ISNUMBER(Snapshots!G45),COUNT(Snapshots!$G$5:G45),"")</f>
        <v/>
      </c>
      <c r="Q47">
        <f>IF(ISNUMBER(Snapshots!H45),COUNT(Snapshots!$H$5:H45),"")</f>
        <v/>
      </c>
    </row>
    <row r="48">
      <c r="J48">
        <f>IF(ISNUMBER(Snapshots!E46),Snapshots!E46,"")</f>
        <v/>
      </c>
      <c r="K48">
        <f>IF(ISNUMBER(Snapshots!F46),Snapshots!F46,"")</f>
        <v/>
      </c>
      <c r="L48">
        <f>IF(ISNUMBER(Snapshots!G46),Snapshots!G46,"")</f>
        <v/>
      </c>
      <c r="M48">
        <f>IF(ISNUMBER(Snapshots!H46),Snapshots!H46,"")</f>
        <v/>
      </c>
      <c r="N48">
        <f>IF(ISNUMBER(Snapshots!E46),COUNT(Snapshots!$E$5:E46),"")</f>
        <v/>
      </c>
      <c r="O48">
        <f>IF(ISNUMBER(Snapshots!F46),COUNT(Snapshots!$F$5:F46),"")</f>
        <v/>
      </c>
      <c r="P48">
        <f>IF(ISNUMBER(Snapshots!G46),COUNT(Snapshots!$G$5:G46),"")</f>
        <v/>
      </c>
      <c r="Q48">
        <f>IF(ISNUMBER(Snapshots!H46),COUNT(Snapshots!$H$5:H46),"")</f>
        <v/>
      </c>
    </row>
    <row r="49">
      <c r="J49">
        <f>IF(ISNUMBER(Snapshots!E47),Snapshots!E47,"")</f>
        <v/>
      </c>
      <c r="K49">
        <f>IF(ISNUMBER(Snapshots!F47),Snapshots!F47,"")</f>
        <v/>
      </c>
      <c r="L49">
        <f>IF(ISNUMBER(Snapshots!G47),Snapshots!G47,"")</f>
        <v/>
      </c>
      <c r="M49">
        <f>IF(ISNUMBER(Snapshots!H47),Snapshots!H47,"")</f>
        <v/>
      </c>
      <c r="N49">
        <f>IF(ISNUMBER(Snapshots!E47),COUNT(Snapshots!$E$5:E47),"")</f>
        <v/>
      </c>
      <c r="O49">
        <f>IF(ISNUMBER(Snapshots!F47),COUNT(Snapshots!$F$5:F47),"")</f>
        <v/>
      </c>
      <c r="P49">
        <f>IF(ISNUMBER(Snapshots!G47),COUNT(Snapshots!$G$5:G47),"")</f>
        <v/>
      </c>
      <c r="Q49">
        <f>IF(ISNUMBER(Snapshots!H47),COUNT(Snapshots!$H$5:H47),"")</f>
        <v/>
      </c>
    </row>
    <row r="50">
      <c r="J50">
        <f>IF(ISNUMBER(Snapshots!E48),Snapshots!E48,"")</f>
        <v/>
      </c>
      <c r="K50">
        <f>IF(ISNUMBER(Snapshots!F48),Snapshots!F48,"")</f>
        <v/>
      </c>
      <c r="L50">
        <f>IF(ISNUMBER(Snapshots!G48),Snapshots!G48,"")</f>
        <v/>
      </c>
      <c r="M50">
        <f>IF(ISNUMBER(Snapshots!H48),Snapshots!H48,"")</f>
        <v/>
      </c>
      <c r="N50">
        <f>IF(ISNUMBER(Snapshots!E48),COUNT(Snapshots!$E$5:E48),"")</f>
        <v/>
      </c>
      <c r="O50">
        <f>IF(ISNUMBER(Snapshots!F48),COUNT(Snapshots!$F$5:F48),"")</f>
        <v/>
      </c>
      <c r="P50">
        <f>IF(ISNUMBER(Snapshots!G48),COUNT(Snapshots!$G$5:G48),"")</f>
        <v/>
      </c>
      <c r="Q50">
        <f>IF(ISNUMBER(Snapshots!H48),COUNT(Snapshots!$H$5:H48),"")</f>
        <v/>
      </c>
    </row>
    <row r="51">
      <c r="J51">
        <f>IF(ISNUMBER(Snapshots!E49),Snapshots!E49,"")</f>
        <v/>
      </c>
      <c r="K51">
        <f>IF(ISNUMBER(Snapshots!F49),Snapshots!F49,"")</f>
        <v/>
      </c>
      <c r="L51">
        <f>IF(ISNUMBER(Snapshots!G49),Snapshots!G49,"")</f>
        <v/>
      </c>
      <c r="M51">
        <f>IF(ISNUMBER(Snapshots!H49),Snapshots!H49,"")</f>
        <v/>
      </c>
      <c r="N51">
        <f>IF(ISNUMBER(Snapshots!E49),COUNT(Snapshots!$E$5:E49),"")</f>
        <v/>
      </c>
      <c r="O51">
        <f>IF(ISNUMBER(Snapshots!F49),COUNT(Snapshots!$F$5:F49),"")</f>
        <v/>
      </c>
      <c r="P51">
        <f>IF(ISNUMBER(Snapshots!G49),COUNT(Snapshots!$G$5:G49),"")</f>
        <v/>
      </c>
      <c r="Q51">
        <f>IF(ISNUMBER(Snapshots!H49),COUNT(Snapshots!$H$5:H49),"")</f>
        <v/>
      </c>
    </row>
    <row r="52">
      <c r="J52">
        <f>IF(ISNUMBER(Snapshots!E50),Snapshots!E50,"")</f>
        <v/>
      </c>
      <c r="K52">
        <f>IF(ISNUMBER(Snapshots!F50),Snapshots!F50,"")</f>
        <v/>
      </c>
      <c r="L52">
        <f>IF(ISNUMBER(Snapshots!G50),Snapshots!G50,"")</f>
        <v/>
      </c>
      <c r="M52">
        <f>IF(ISNUMBER(Snapshots!H50),Snapshots!H50,"")</f>
        <v/>
      </c>
      <c r="N52">
        <f>IF(ISNUMBER(Snapshots!E50),COUNT(Snapshots!$E$5:E50),"")</f>
        <v/>
      </c>
      <c r="O52">
        <f>IF(ISNUMBER(Snapshots!F50),COUNT(Snapshots!$F$5:F50),"")</f>
        <v/>
      </c>
      <c r="P52">
        <f>IF(ISNUMBER(Snapshots!G50),COUNT(Snapshots!$G$5:G50),"")</f>
        <v/>
      </c>
      <c r="Q52">
        <f>IF(ISNUMBER(Snapshots!H50),COUNT(Snapshots!$H$5:H50),"")</f>
        <v/>
      </c>
    </row>
    <row r="53">
      <c r="J53">
        <f>IF(ISNUMBER(Snapshots!E51),Snapshots!E51,"")</f>
        <v/>
      </c>
      <c r="K53">
        <f>IF(ISNUMBER(Snapshots!F51),Snapshots!F51,"")</f>
        <v/>
      </c>
      <c r="L53">
        <f>IF(ISNUMBER(Snapshots!G51),Snapshots!G51,"")</f>
        <v/>
      </c>
      <c r="M53">
        <f>IF(ISNUMBER(Snapshots!H51),Snapshots!H51,"")</f>
        <v/>
      </c>
      <c r="N53">
        <f>IF(ISNUMBER(Snapshots!E51),COUNT(Snapshots!$E$5:E51),"")</f>
        <v/>
      </c>
      <c r="O53">
        <f>IF(ISNUMBER(Snapshots!F51),COUNT(Snapshots!$F$5:F51),"")</f>
        <v/>
      </c>
      <c r="P53">
        <f>IF(ISNUMBER(Snapshots!G51),COUNT(Snapshots!$G$5:G51),"")</f>
        <v/>
      </c>
      <c r="Q53">
        <f>IF(ISNUMBER(Snapshots!H51),COUNT(Snapshots!$H$5:H51),"")</f>
        <v/>
      </c>
    </row>
    <row r="54">
      <c r="J54">
        <f>IF(ISNUMBER(Snapshots!E52),Snapshots!E52,"")</f>
        <v/>
      </c>
      <c r="K54">
        <f>IF(ISNUMBER(Snapshots!F52),Snapshots!F52,"")</f>
        <v/>
      </c>
      <c r="L54">
        <f>IF(ISNUMBER(Snapshots!G52),Snapshots!G52,"")</f>
        <v/>
      </c>
      <c r="M54">
        <f>IF(ISNUMBER(Snapshots!H52),Snapshots!H52,"")</f>
        <v/>
      </c>
      <c r="N54">
        <f>IF(ISNUMBER(Snapshots!E52),COUNT(Snapshots!$E$5:E52),"")</f>
        <v/>
      </c>
      <c r="O54">
        <f>IF(ISNUMBER(Snapshots!F52),COUNT(Snapshots!$F$5:F52),"")</f>
        <v/>
      </c>
      <c r="P54">
        <f>IF(ISNUMBER(Snapshots!G52),COUNT(Snapshots!$G$5:G52),"")</f>
        <v/>
      </c>
      <c r="Q54">
        <f>IF(ISNUMBER(Snapshots!H52),COUNT(Snapshots!$H$5:H52),"")</f>
        <v/>
      </c>
    </row>
    <row r="55">
      <c r="J55">
        <f>IF(ISNUMBER(Snapshots!E53),Snapshots!E53,"")</f>
        <v/>
      </c>
      <c r="K55">
        <f>IF(ISNUMBER(Snapshots!F53),Snapshots!F53,"")</f>
        <v/>
      </c>
      <c r="L55">
        <f>IF(ISNUMBER(Snapshots!G53),Snapshots!G53,"")</f>
        <v/>
      </c>
      <c r="M55">
        <f>IF(ISNUMBER(Snapshots!H53),Snapshots!H53,"")</f>
        <v/>
      </c>
      <c r="N55">
        <f>IF(ISNUMBER(Snapshots!E53),COUNT(Snapshots!$E$5:E53),"")</f>
        <v/>
      </c>
      <c r="O55">
        <f>IF(ISNUMBER(Snapshots!F53),COUNT(Snapshots!$F$5:F53),"")</f>
        <v/>
      </c>
      <c r="P55">
        <f>IF(ISNUMBER(Snapshots!G53),COUNT(Snapshots!$G$5:G53),"")</f>
        <v/>
      </c>
      <c r="Q55">
        <f>IF(ISNUMBER(Snapshots!H53),COUNT(Snapshots!$H$5:H53),"")</f>
        <v/>
      </c>
    </row>
    <row r="56">
      <c r="J56">
        <f>IF(ISNUMBER(Snapshots!E54),Snapshots!E54,"")</f>
        <v/>
      </c>
      <c r="K56">
        <f>IF(ISNUMBER(Snapshots!F54),Snapshots!F54,"")</f>
        <v/>
      </c>
      <c r="L56">
        <f>IF(ISNUMBER(Snapshots!G54),Snapshots!G54,"")</f>
        <v/>
      </c>
      <c r="M56">
        <f>IF(ISNUMBER(Snapshots!H54),Snapshots!H54,"")</f>
        <v/>
      </c>
      <c r="N56">
        <f>IF(ISNUMBER(Snapshots!E54),COUNT(Snapshots!$E$5:E54),"")</f>
        <v/>
      </c>
      <c r="O56">
        <f>IF(ISNUMBER(Snapshots!F54),COUNT(Snapshots!$F$5:F54),"")</f>
        <v/>
      </c>
      <c r="P56">
        <f>IF(ISNUMBER(Snapshots!G54),COUNT(Snapshots!$G$5:G54),"")</f>
        <v/>
      </c>
      <c r="Q56">
        <f>IF(ISNUMBER(Snapshots!H54),COUNT(Snapshots!$H$5:H54),"")</f>
        <v/>
      </c>
    </row>
    <row r="57">
      <c r="J57">
        <f>IF(ISNUMBER(Snapshots!E55),Snapshots!E55,"")</f>
        <v/>
      </c>
      <c r="K57">
        <f>IF(ISNUMBER(Snapshots!F55),Snapshots!F55,"")</f>
        <v/>
      </c>
      <c r="L57">
        <f>IF(ISNUMBER(Snapshots!G55),Snapshots!G55,"")</f>
        <v/>
      </c>
      <c r="M57">
        <f>IF(ISNUMBER(Snapshots!H55),Snapshots!H55,"")</f>
        <v/>
      </c>
      <c r="N57">
        <f>IF(ISNUMBER(Snapshots!E55),COUNT(Snapshots!$E$5:E55),"")</f>
        <v/>
      </c>
      <c r="O57">
        <f>IF(ISNUMBER(Snapshots!F55),COUNT(Snapshots!$F$5:F55),"")</f>
        <v/>
      </c>
      <c r="P57">
        <f>IF(ISNUMBER(Snapshots!G55),COUNT(Snapshots!$G$5:G55),"")</f>
        <v/>
      </c>
      <c r="Q57">
        <f>IF(ISNUMBER(Snapshots!H55),COUNT(Snapshots!$H$5:H55),"")</f>
        <v/>
      </c>
    </row>
    <row r="58">
      <c r="J58">
        <f>IF(ISNUMBER(Snapshots!E56),Snapshots!E56,"")</f>
        <v/>
      </c>
      <c r="K58">
        <f>IF(ISNUMBER(Snapshots!F56),Snapshots!F56,"")</f>
        <v/>
      </c>
      <c r="L58">
        <f>IF(ISNUMBER(Snapshots!G56),Snapshots!G56,"")</f>
        <v/>
      </c>
      <c r="M58">
        <f>IF(ISNUMBER(Snapshots!H56),Snapshots!H56,"")</f>
        <v/>
      </c>
      <c r="N58">
        <f>IF(ISNUMBER(Snapshots!E56),COUNT(Snapshots!$E$5:E56),"")</f>
        <v/>
      </c>
      <c r="O58">
        <f>IF(ISNUMBER(Snapshots!F56),COUNT(Snapshots!$F$5:F56),"")</f>
        <v/>
      </c>
      <c r="P58">
        <f>IF(ISNUMBER(Snapshots!G56),COUNT(Snapshots!$G$5:G56),"")</f>
        <v/>
      </c>
      <c r="Q58">
        <f>IF(ISNUMBER(Snapshots!H56),COUNT(Snapshots!$H$5:H56),"")</f>
        <v/>
      </c>
    </row>
    <row r="59">
      <c r="J59">
        <f>IF(ISNUMBER(Snapshots!E57),Snapshots!E57,"")</f>
        <v/>
      </c>
      <c r="K59">
        <f>IF(ISNUMBER(Snapshots!F57),Snapshots!F57,"")</f>
        <v/>
      </c>
      <c r="L59">
        <f>IF(ISNUMBER(Snapshots!G57),Snapshots!G57,"")</f>
        <v/>
      </c>
      <c r="M59">
        <f>IF(ISNUMBER(Snapshots!H57),Snapshots!H57,"")</f>
        <v/>
      </c>
      <c r="N59">
        <f>IF(ISNUMBER(Snapshots!E57),COUNT(Snapshots!$E$5:E57),"")</f>
        <v/>
      </c>
      <c r="O59">
        <f>IF(ISNUMBER(Snapshots!F57),COUNT(Snapshots!$F$5:F57),"")</f>
        <v/>
      </c>
      <c r="P59">
        <f>IF(ISNUMBER(Snapshots!G57),COUNT(Snapshots!$G$5:G57),"")</f>
        <v/>
      </c>
      <c r="Q59">
        <f>IF(ISNUMBER(Snapshots!H57),COUNT(Snapshots!$H$5:H57),"")</f>
        <v/>
      </c>
    </row>
    <row r="60">
      <c r="J60">
        <f>IF(ISNUMBER(Snapshots!E58),Snapshots!E58,"")</f>
        <v/>
      </c>
      <c r="K60">
        <f>IF(ISNUMBER(Snapshots!F58),Snapshots!F58,"")</f>
        <v/>
      </c>
      <c r="L60">
        <f>IF(ISNUMBER(Snapshots!G58),Snapshots!G58,"")</f>
        <v/>
      </c>
      <c r="M60">
        <f>IF(ISNUMBER(Snapshots!H58),Snapshots!H58,"")</f>
        <v/>
      </c>
      <c r="N60">
        <f>IF(ISNUMBER(Snapshots!E58),COUNT(Snapshots!$E$5:E58),"")</f>
        <v/>
      </c>
      <c r="O60">
        <f>IF(ISNUMBER(Snapshots!F58),COUNT(Snapshots!$F$5:F58),"")</f>
        <v/>
      </c>
      <c r="P60">
        <f>IF(ISNUMBER(Snapshots!G58),COUNT(Snapshots!$G$5:G58),"")</f>
        <v/>
      </c>
      <c r="Q60">
        <f>IF(ISNUMBER(Snapshots!H58),COUNT(Snapshots!$H$5:H58),"")</f>
        <v/>
      </c>
    </row>
    <row r="61">
      <c r="J61">
        <f>IF(ISNUMBER(Snapshots!E59),Snapshots!E59,"")</f>
        <v/>
      </c>
      <c r="K61">
        <f>IF(ISNUMBER(Snapshots!F59),Snapshots!F59,"")</f>
        <v/>
      </c>
      <c r="L61">
        <f>IF(ISNUMBER(Snapshots!G59),Snapshots!G59,"")</f>
        <v/>
      </c>
      <c r="M61">
        <f>IF(ISNUMBER(Snapshots!H59),Snapshots!H59,"")</f>
        <v/>
      </c>
      <c r="N61">
        <f>IF(ISNUMBER(Snapshots!E59),COUNT(Snapshots!$E$5:E59),"")</f>
        <v/>
      </c>
      <c r="O61">
        <f>IF(ISNUMBER(Snapshots!F59),COUNT(Snapshots!$F$5:F59),"")</f>
        <v/>
      </c>
      <c r="P61">
        <f>IF(ISNUMBER(Snapshots!G59),COUNT(Snapshots!$G$5:G59),"")</f>
        <v/>
      </c>
      <c r="Q61">
        <f>IF(ISNUMBER(Snapshots!H59),COUNT(Snapshots!$H$5:H59),"")</f>
        <v/>
      </c>
    </row>
    <row r="62">
      <c r="J62">
        <f>IF(ISNUMBER(Snapshots!E60),Snapshots!E60,"")</f>
        <v/>
      </c>
      <c r="K62">
        <f>IF(ISNUMBER(Snapshots!F60),Snapshots!F60,"")</f>
        <v/>
      </c>
      <c r="L62">
        <f>IF(ISNUMBER(Snapshots!G60),Snapshots!G60,"")</f>
        <v/>
      </c>
      <c r="M62">
        <f>IF(ISNUMBER(Snapshots!H60),Snapshots!H60,"")</f>
        <v/>
      </c>
      <c r="N62">
        <f>IF(ISNUMBER(Snapshots!E60),COUNT(Snapshots!$E$5:E60),"")</f>
        <v/>
      </c>
      <c r="O62">
        <f>IF(ISNUMBER(Snapshots!F60),COUNT(Snapshots!$F$5:F60),"")</f>
        <v/>
      </c>
      <c r="P62">
        <f>IF(ISNUMBER(Snapshots!G60),COUNT(Snapshots!$G$5:G60),"")</f>
        <v/>
      </c>
      <c r="Q62">
        <f>IF(ISNUMBER(Snapshots!H60),COUNT(Snapshots!$H$5:H60),"")</f>
        <v/>
      </c>
    </row>
    <row r="63">
      <c r="J63">
        <f>IF(ISNUMBER(Snapshots!E61),Snapshots!E61,"")</f>
        <v/>
      </c>
      <c r="K63">
        <f>IF(ISNUMBER(Snapshots!F61),Snapshots!F61,"")</f>
        <v/>
      </c>
      <c r="L63">
        <f>IF(ISNUMBER(Snapshots!G61),Snapshots!G61,"")</f>
        <v/>
      </c>
      <c r="M63">
        <f>IF(ISNUMBER(Snapshots!H61),Snapshots!H61,"")</f>
        <v/>
      </c>
      <c r="N63">
        <f>IF(ISNUMBER(Snapshots!E61),COUNT(Snapshots!$E$5:E61),"")</f>
        <v/>
      </c>
      <c r="O63">
        <f>IF(ISNUMBER(Snapshots!F61),COUNT(Snapshots!$F$5:F61),"")</f>
        <v/>
      </c>
      <c r="P63">
        <f>IF(ISNUMBER(Snapshots!G61),COUNT(Snapshots!$G$5:G61),"")</f>
        <v/>
      </c>
      <c r="Q63">
        <f>IF(ISNUMBER(Snapshots!H61),COUNT(Snapshots!$H$5:H61),"")</f>
        <v/>
      </c>
    </row>
    <row r="64">
      <c r="J64">
        <f>IF(ISNUMBER(Snapshots!E62),Snapshots!E62,"")</f>
        <v/>
      </c>
      <c r="K64">
        <f>IF(ISNUMBER(Snapshots!F62),Snapshots!F62,"")</f>
        <v/>
      </c>
      <c r="L64">
        <f>IF(ISNUMBER(Snapshots!G62),Snapshots!G62,"")</f>
        <v/>
      </c>
      <c r="M64">
        <f>IF(ISNUMBER(Snapshots!H62),Snapshots!H62,"")</f>
        <v/>
      </c>
      <c r="N64">
        <f>IF(ISNUMBER(Snapshots!E62),COUNT(Snapshots!$E$5:E62),"")</f>
        <v/>
      </c>
      <c r="O64">
        <f>IF(ISNUMBER(Snapshots!F62),COUNT(Snapshots!$F$5:F62),"")</f>
        <v/>
      </c>
      <c r="P64">
        <f>IF(ISNUMBER(Snapshots!G62),COUNT(Snapshots!$G$5:G62),"")</f>
        <v/>
      </c>
      <c r="Q64">
        <f>IF(ISNUMBER(Snapshots!H62),COUNT(Snapshots!$H$5:H62),"")</f>
        <v/>
      </c>
    </row>
    <row r="65">
      <c r="J65">
        <f>IF(ISNUMBER(Snapshots!E63),Snapshots!E63,"")</f>
        <v/>
      </c>
      <c r="K65">
        <f>IF(ISNUMBER(Snapshots!F63),Snapshots!F63,"")</f>
        <v/>
      </c>
      <c r="L65">
        <f>IF(ISNUMBER(Snapshots!G63),Snapshots!G63,"")</f>
        <v/>
      </c>
      <c r="M65">
        <f>IF(ISNUMBER(Snapshots!H63),Snapshots!H63,"")</f>
        <v/>
      </c>
      <c r="N65">
        <f>IF(ISNUMBER(Snapshots!E63),COUNT(Snapshots!$E$5:E63),"")</f>
        <v/>
      </c>
      <c r="O65">
        <f>IF(ISNUMBER(Snapshots!F63),COUNT(Snapshots!$F$5:F63),"")</f>
        <v/>
      </c>
      <c r="P65">
        <f>IF(ISNUMBER(Snapshots!G63),COUNT(Snapshots!$G$5:G63),"")</f>
        <v/>
      </c>
      <c r="Q65">
        <f>IF(ISNUMBER(Snapshots!H63),COUNT(Snapshots!$H$5:H63),"")</f>
        <v/>
      </c>
    </row>
    <row r="66">
      <c r="J66">
        <f>IF(ISNUMBER(Snapshots!E64),Snapshots!E64,"")</f>
        <v/>
      </c>
      <c r="K66">
        <f>IF(ISNUMBER(Snapshots!F64),Snapshots!F64,"")</f>
        <v/>
      </c>
      <c r="L66">
        <f>IF(ISNUMBER(Snapshots!G64),Snapshots!G64,"")</f>
        <v/>
      </c>
      <c r="M66">
        <f>IF(ISNUMBER(Snapshots!H64),Snapshots!H64,"")</f>
        <v/>
      </c>
      <c r="N66">
        <f>IF(ISNUMBER(Snapshots!E64),COUNT(Snapshots!$E$5:E64),"")</f>
        <v/>
      </c>
      <c r="O66">
        <f>IF(ISNUMBER(Snapshots!F64),COUNT(Snapshots!$F$5:F64),"")</f>
        <v/>
      </c>
      <c r="P66">
        <f>IF(ISNUMBER(Snapshots!G64),COUNT(Snapshots!$G$5:G64),"")</f>
        <v/>
      </c>
      <c r="Q66">
        <f>IF(ISNUMBER(Snapshots!H64),COUNT(Snapshots!$H$5:H64),"")</f>
        <v/>
      </c>
    </row>
    <row r="67">
      <c r="J67">
        <f>IF(ISNUMBER(Snapshots!E65),Snapshots!E65,"")</f>
        <v/>
      </c>
      <c r="K67">
        <f>IF(ISNUMBER(Snapshots!F65),Snapshots!F65,"")</f>
        <v/>
      </c>
      <c r="L67">
        <f>IF(ISNUMBER(Snapshots!G65),Snapshots!G65,"")</f>
        <v/>
      </c>
      <c r="M67">
        <f>IF(ISNUMBER(Snapshots!H65),Snapshots!H65,"")</f>
        <v/>
      </c>
      <c r="N67">
        <f>IF(ISNUMBER(Snapshots!E65),COUNT(Snapshots!$E$5:E65),"")</f>
        <v/>
      </c>
      <c r="O67">
        <f>IF(ISNUMBER(Snapshots!F65),COUNT(Snapshots!$F$5:F65),"")</f>
        <v/>
      </c>
      <c r="P67">
        <f>IF(ISNUMBER(Snapshots!G65),COUNT(Snapshots!$G$5:G65),"")</f>
        <v/>
      </c>
      <c r="Q67">
        <f>IF(ISNUMBER(Snapshots!H65),COUNT(Snapshots!$H$5:H65),"")</f>
        <v/>
      </c>
    </row>
    <row r="68">
      <c r="J68">
        <f>IF(ISNUMBER(Snapshots!E66),Snapshots!E66,"")</f>
        <v/>
      </c>
      <c r="K68">
        <f>IF(ISNUMBER(Snapshots!F66),Snapshots!F66,"")</f>
        <v/>
      </c>
      <c r="L68">
        <f>IF(ISNUMBER(Snapshots!G66),Snapshots!G66,"")</f>
        <v/>
      </c>
      <c r="M68">
        <f>IF(ISNUMBER(Snapshots!H66),Snapshots!H66,"")</f>
        <v/>
      </c>
      <c r="N68">
        <f>IF(ISNUMBER(Snapshots!E66),COUNT(Snapshots!$E$5:E66),"")</f>
        <v/>
      </c>
      <c r="O68">
        <f>IF(ISNUMBER(Snapshots!F66),COUNT(Snapshots!$F$5:F66),"")</f>
        <v/>
      </c>
      <c r="P68">
        <f>IF(ISNUMBER(Snapshots!G66),COUNT(Snapshots!$G$5:G66),"")</f>
        <v/>
      </c>
      <c r="Q68">
        <f>IF(ISNUMBER(Snapshots!H66),COUNT(Snapshots!$H$5:H66),"")</f>
        <v/>
      </c>
    </row>
    <row r="69">
      <c r="J69">
        <f>IF(ISNUMBER(Snapshots!E67),Snapshots!E67,"")</f>
        <v/>
      </c>
      <c r="K69">
        <f>IF(ISNUMBER(Snapshots!F67),Snapshots!F67,"")</f>
        <v/>
      </c>
      <c r="L69">
        <f>IF(ISNUMBER(Snapshots!G67),Snapshots!G67,"")</f>
        <v/>
      </c>
      <c r="M69">
        <f>IF(ISNUMBER(Snapshots!H67),Snapshots!H67,"")</f>
        <v/>
      </c>
      <c r="N69">
        <f>IF(ISNUMBER(Snapshots!E67),COUNT(Snapshots!$E$5:E67),"")</f>
        <v/>
      </c>
      <c r="O69">
        <f>IF(ISNUMBER(Snapshots!F67),COUNT(Snapshots!$F$5:F67),"")</f>
        <v/>
      </c>
      <c r="P69">
        <f>IF(ISNUMBER(Snapshots!G67),COUNT(Snapshots!$G$5:G67),"")</f>
        <v/>
      </c>
      <c r="Q69">
        <f>IF(ISNUMBER(Snapshots!H67),COUNT(Snapshots!$H$5:H67),"")</f>
        <v/>
      </c>
    </row>
    <row r="70">
      <c r="J70">
        <f>IF(ISNUMBER(Snapshots!E68),Snapshots!E68,"")</f>
        <v/>
      </c>
      <c r="K70">
        <f>IF(ISNUMBER(Snapshots!F68),Snapshots!F68,"")</f>
        <v/>
      </c>
      <c r="L70">
        <f>IF(ISNUMBER(Snapshots!G68),Snapshots!G68,"")</f>
        <v/>
      </c>
      <c r="M70">
        <f>IF(ISNUMBER(Snapshots!H68),Snapshots!H68,"")</f>
        <v/>
      </c>
      <c r="N70">
        <f>IF(ISNUMBER(Snapshots!E68),COUNT(Snapshots!$E$5:E68),"")</f>
        <v/>
      </c>
      <c r="O70">
        <f>IF(ISNUMBER(Snapshots!F68),COUNT(Snapshots!$F$5:F68),"")</f>
        <v/>
      </c>
      <c r="P70">
        <f>IF(ISNUMBER(Snapshots!G68),COUNT(Snapshots!$G$5:G68),"")</f>
        <v/>
      </c>
      <c r="Q70">
        <f>IF(ISNUMBER(Snapshots!H68),COUNT(Snapshots!$H$5:H68),"")</f>
        <v/>
      </c>
    </row>
    <row r="71">
      <c r="J71">
        <f>IF(ISNUMBER(Snapshots!E69),Snapshots!E69,"")</f>
        <v/>
      </c>
      <c r="K71">
        <f>IF(ISNUMBER(Snapshots!F69),Snapshots!F69,"")</f>
        <v/>
      </c>
      <c r="L71">
        <f>IF(ISNUMBER(Snapshots!G69),Snapshots!G69,"")</f>
        <v/>
      </c>
      <c r="M71">
        <f>IF(ISNUMBER(Snapshots!H69),Snapshots!H69,"")</f>
        <v/>
      </c>
      <c r="N71">
        <f>IF(ISNUMBER(Snapshots!E69),COUNT(Snapshots!$E$5:E69),"")</f>
        <v/>
      </c>
      <c r="O71">
        <f>IF(ISNUMBER(Snapshots!F69),COUNT(Snapshots!$F$5:F69),"")</f>
        <v/>
      </c>
      <c r="P71">
        <f>IF(ISNUMBER(Snapshots!G69),COUNT(Snapshots!$G$5:G69),"")</f>
        <v/>
      </c>
      <c r="Q71">
        <f>IF(ISNUMBER(Snapshots!H69),COUNT(Snapshots!$H$5:H69),"")</f>
        <v/>
      </c>
    </row>
    <row r="72">
      <c r="J72">
        <f>IF(ISNUMBER(Snapshots!E70),Snapshots!E70,"")</f>
        <v/>
      </c>
      <c r="K72">
        <f>IF(ISNUMBER(Snapshots!F70),Snapshots!F70,"")</f>
        <v/>
      </c>
      <c r="L72">
        <f>IF(ISNUMBER(Snapshots!G70),Snapshots!G70,"")</f>
        <v/>
      </c>
      <c r="M72">
        <f>IF(ISNUMBER(Snapshots!H70),Snapshots!H70,"")</f>
        <v/>
      </c>
      <c r="N72">
        <f>IF(ISNUMBER(Snapshots!E70),COUNT(Snapshots!$E$5:E70),"")</f>
        <v/>
      </c>
      <c r="O72">
        <f>IF(ISNUMBER(Snapshots!F70),COUNT(Snapshots!$F$5:F70),"")</f>
        <v/>
      </c>
      <c r="P72">
        <f>IF(ISNUMBER(Snapshots!G70),COUNT(Snapshots!$G$5:G70),"")</f>
        <v/>
      </c>
      <c r="Q72">
        <f>IF(ISNUMBER(Snapshots!H70),COUNT(Snapshots!$H$5:H70),"")</f>
        <v/>
      </c>
    </row>
    <row r="73">
      <c r="J73">
        <f>IF(ISNUMBER(Snapshots!E71),Snapshots!E71,"")</f>
        <v/>
      </c>
      <c r="K73">
        <f>IF(ISNUMBER(Snapshots!F71),Snapshots!F71,"")</f>
        <v/>
      </c>
      <c r="L73">
        <f>IF(ISNUMBER(Snapshots!G71),Snapshots!G71,"")</f>
        <v/>
      </c>
      <c r="M73">
        <f>IF(ISNUMBER(Snapshots!H71),Snapshots!H71,"")</f>
        <v/>
      </c>
      <c r="N73">
        <f>IF(ISNUMBER(Snapshots!E71),COUNT(Snapshots!$E$5:E71),"")</f>
        <v/>
      </c>
      <c r="O73">
        <f>IF(ISNUMBER(Snapshots!F71),COUNT(Snapshots!$F$5:F71),"")</f>
        <v/>
      </c>
      <c r="P73">
        <f>IF(ISNUMBER(Snapshots!G71),COUNT(Snapshots!$G$5:G71),"")</f>
        <v/>
      </c>
      <c r="Q73">
        <f>IF(ISNUMBER(Snapshots!H71),COUNT(Snapshots!$H$5:H71),"")</f>
        <v/>
      </c>
    </row>
    <row r="74">
      <c r="J74">
        <f>IF(ISNUMBER(Snapshots!E72),Snapshots!E72,"")</f>
        <v/>
      </c>
      <c r="K74">
        <f>IF(ISNUMBER(Snapshots!F72),Snapshots!F72,"")</f>
        <v/>
      </c>
      <c r="L74">
        <f>IF(ISNUMBER(Snapshots!G72),Snapshots!G72,"")</f>
        <v/>
      </c>
      <c r="M74">
        <f>IF(ISNUMBER(Snapshots!H72),Snapshots!H72,"")</f>
        <v/>
      </c>
      <c r="N74">
        <f>IF(ISNUMBER(Snapshots!E72),COUNT(Snapshots!$E$5:E72),"")</f>
        <v/>
      </c>
      <c r="O74">
        <f>IF(ISNUMBER(Snapshots!F72),COUNT(Snapshots!$F$5:F72),"")</f>
        <v/>
      </c>
      <c r="P74">
        <f>IF(ISNUMBER(Snapshots!G72),COUNT(Snapshots!$G$5:G72),"")</f>
        <v/>
      </c>
      <c r="Q74">
        <f>IF(ISNUMBER(Snapshots!H72),COUNT(Snapshots!$H$5:H72),"")</f>
        <v/>
      </c>
    </row>
    <row r="75">
      <c r="J75">
        <f>IF(ISNUMBER(Snapshots!E73),Snapshots!E73,"")</f>
        <v/>
      </c>
      <c r="K75">
        <f>IF(ISNUMBER(Snapshots!F73),Snapshots!F73,"")</f>
        <v/>
      </c>
      <c r="L75">
        <f>IF(ISNUMBER(Snapshots!G73),Snapshots!G73,"")</f>
        <v/>
      </c>
      <c r="M75">
        <f>IF(ISNUMBER(Snapshots!H73),Snapshots!H73,"")</f>
        <v/>
      </c>
      <c r="N75">
        <f>IF(ISNUMBER(Snapshots!E73),COUNT(Snapshots!$E$5:E73),"")</f>
        <v/>
      </c>
      <c r="O75">
        <f>IF(ISNUMBER(Snapshots!F73),COUNT(Snapshots!$F$5:F73),"")</f>
        <v/>
      </c>
      <c r="P75">
        <f>IF(ISNUMBER(Snapshots!G73),COUNT(Snapshots!$G$5:G73),"")</f>
        <v/>
      </c>
      <c r="Q75">
        <f>IF(ISNUMBER(Snapshots!H73),COUNT(Snapshots!$H$5:H73),"")</f>
        <v/>
      </c>
    </row>
    <row r="76">
      <c r="J76">
        <f>IF(ISNUMBER(Snapshots!E74),Snapshots!E74,"")</f>
        <v/>
      </c>
      <c r="K76">
        <f>IF(ISNUMBER(Snapshots!F74),Snapshots!F74,"")</f>
        <v/>
      </c>
      <c r="L76">
        <f>IF(ISNUMBER(Snapshots!G74),Snapshots!G74,"")</f>
        <v/>
      </c>
      <c r="M76">
        <f>IF(ISNUMBER(Snapshots!H74),Snapshots!H74,"")</f>
        <v/>
      </c>
      <c r="N76">
        <f>IF(ISNUMBER(Snapshots!E74),COUNT(Snapshots!$E$5:E74),"")</f>
        <v/>
      </c>
      <c r="O76">
        <f>IF(ISNUMBER(Snapshots!F74),COUNT(Snapshots!$F$5:F74),"")</f>
        <v/>
      </c>
      <c r="P76">
        <f>IF(ISNUMBER(Snapshots!G74),COUNT(Snapshots!$G$5:G74),"")</f>
        <v/>
      </c>
      <c r="Q76">
        <f>IF(ISNUMBER(Snapshots!H74),COUNT(Snapshots!$H$5:H74),"")</f>
        <v/>
      </c>
    </row>
    <row r="77">
      <c r="J77">
        <f>IF(ISNUMBER(Snapshots!E75),Snapshots!E75,"")</f>
        <v/>
      </c>
      <c r="K77">
        <f>IF(ISNUMBER(Snapshots!F75),Snapshots!F75,"")</f>
        <v/>
      </c>
      <c r="L77">
        <f>IF(ISNUMBER(Snapshots!G75),Snapshots!G75,"")</f>
        <v/>
      </c>
      <c r="M77">
        <f>IF(ISNUMBER(Snapshots!H75),Snapshots!H75,"")</f>
        <v/>
      </c>
      <c r="N77">
        <f>IF(ISNUMBER(Snapshots!E75),COUNT(Snapshots!$E$5:E75),"")</f>
        <v/>
      </c>
      <c r="O77">
        <f>IF(ISNUMBER(Snapshots!F75),COUNT(Snapshots!$F$5:F75),"")</f>
        <v/>
      </c>
      <c r="P77">
        <f>IF(ISNUMBER(Snapshots!G75),COUNT(Snapshots!$G$5:G75),"")</f>
        <v/>
      </c>
      <c r="Q77">
        <f>IF(ISNUMBER(Snapshots!H75),COUNT(Snapshots!$H$5:H75),"")</f>
        <v/>
      </c>
    </row>
    <row r="78">
      <c r="J78">
        <f>IF(ISNUMBER(Snapshots!E76),Snapshots!E76,"")</f>
        <v/>
      </c>
      <c r="K78">
        <f>IF(ISNUMBER(Snapshots!F76),Snapshots!F76,"")</f>
        <v/>
      </c>
      <c r="L78">
        <f>IF(ISNUMBER(Snapshots!G76),Snapshots!G76,"")</f>
        <v/>
      </c>
      <c r="M78">
        <f>IF(ISNUMBER(Snapshots!H76),Snapshots!H76,"")</f>
        <v/>
      </c>
      <c r="N78">
        <f>IF(ISNUMBER(Snapshots!E76),COUNT(Snapshots!$E$5:E76),"")</f>
        <v/>
      </c>
      <c r="O78">
        <f>IF(ISNUMBER(Snapshots!F76),COUNT(Snapshots!$F$5:F76),"")</f>
        <v/>
      </c>
      <c r="P78">
        <f>IF(ISNUMBER(Snapshots!G76),COUNT(Snapshots!$G$5:G76),"")</f>
        <v/>
      </c>
      <c r="Q78">
        <f>IF(ISNUMBER(Snapshots!H76),COUNT(Snapshots!$H$5:H76),"")</f>
        <v/>
      </c>
    </row>
    <row r="79">
      <c r="J79">
        <f>IF(ISNUMBER(Snapshots!E77),Snapshots!E77,"")</f>
        <v/>
      </c>
      <c r="K79">
        <f>IF(ISNUMBER(Snapshots!F77),Snapshots!F77,"")</f>
        <v/>
      </c>
      <c r="L79">
        <f>IF(ISNUMBER(Snapshots!G77),Snapshots!G77,"")</f>
        <v/>
      </c>
      <c r="M79">
        <f>IF(ISNUMBER(Snapshots!H77),Snapshots!H77,"")</f>
        <v/>
      </c>
      <c r="N79">
        <f>IF(ISNUMBER(Snapshots!E77),COUNT(Snapshots!$E$5:E77),"")</f>
        <v/>
      </c>
      <c r="O79">
        <f>IF(ISNUMBER(Snapshots!F77),COUNT(Snapshots!$F$5:F77),"")</f>
        <v/>
      </c>
      <c r="P79">
        <f>IF(ISNUMBER(Snapshots!G77),COUNT(Snapshots!$G$5:G77),"")</f>
        <v/>
      </c>
      <c r="Q79">
        <f>IF(ISNUMBER(Snapshots!H77),COUNT(Snapshots!$H$5:H77),"")</f>
        <v/>
      </c>
    </row>
    <row r="80">
      <c r="J80">
        <f>IF(ISNUMBER(Snapshots!E78),Snapshots!E78,"")</f>
        <v/>
      </c>
      <c r="K80">
        <f>IF(ISNUMBER(Snapshots!F78),Snapshots!F78,"")</f>
        <v/>
      </c>
      <c r="L80">
        <f>IF(ISNUMBER(Snapshots!G78),Snapshots!G78,"")</f>
        <v/>
      </c>
      <c r="M80">
        <f>IF(ISNUMBER(Snapshots!H78),Snapshots!H78,"")</f>
        <v/>
      </c>
      <c r="N80">
        <f>IF(ISNUMBER(Snapshots!E78),COUNT(Snapshots!$E$5:E78),"")</f>
        <v/>
      </c>
      <c r="O80">
        <f>IF(ISNUMBER(Snapshots!F78),COUNT(Snapshots!$F$5:F78),"")</f>
        <v/>
      </c>
      <c r="P80">
        <f>IF(ISNUMBER(Snapshots!G78),COUNT(Snapshots!$G$5:G78),"")</f>
        <v/>
      </c>
      <c r="Q80">
        <f>IF(ISNUMBER(Snapshots!H78),COUNT(Snapshots!$H$5:H78),"")</f>
        <v/>
      </c>
    </row>
    <row r="81">
      <c r="J81">
        <f>IF(ISNUMBER(Snapshots!E79),Snapshots!E79,"")</f>
        <v/>
      </c>
      <c r="K81">
        <f>IF(ISNUMBER(Snapshots!F79),Snapshots!F79,"")</f>
        <v/>
      </c>
      <c r="L81">
        <f>IF(ISNUMBER(Snapshots!G79),Snapshots!G79,"")</f>
        <v/>
      </c>
      <c r="M81">
        <f>IF(ISNUMBER(Snapshots!H79),Snapshots!H79,"")</f>
        <v/>
      </c>
      <c r="N81">
        <f>IF(ISNUMBER(Snapshots!E79),COUNT(Snapshots!$E$5:E79),"")</f>
        <v/>
      </c>
      <c r="O81">
        <f>IF(ISNUMBER(Snapshots!F79),COUNT(Snapshots!$F$5:F79),"")</f>
        <v/>
      </c>
      <c r="P81">
        <f>IF(ISNUMBER(Snapshots!G79),COUNT(Snapshots!$G$5:G79),"")</f>
        <v/>
      </c>
      <c r="Q81">
        <f>IF(ISNUMBER(Snapshots!H79),COUNT(Snapshots!$H$5:H79),"")</f>
        <v/>
      </c>
    </row>
    <row r="82">
      <c r="J82">
        <f>IF(ISNUMBER(Snapshots!E80),Snapshots!E80,"")</f>
        <v/>
      </c>
      <c r="K82">
        <f>IF(ISNUMBER(Snapshots!F80),Snapshots!F80,"")</f>
        <v/>
      </c>
      <c r="L82">
        <f>IF(ISNUMBER(Snapshots!G80),Snapshots!G80,"")</f>
        <v/>
      </c>
      <c r="M82">
        <f>IF(ISNUMBER(Snapshots!H80),Snapshots!H80,"")</f>
        <v/>
      </c>
      <c r="N82">
        <f>IF(ISNUMBER(Snapshots!E80),COUNT(Snapshots!$E$5:E80),"")</f>
        <v/>
      </c>
      <c r="O82">
        <f>IF(ISNUMBER(Snapshots!F80),COUNT(Snapshots!$F$5:F80),"")</f>
        <v/>
      </c>
      <c r="P82">
        <f>IF(ISNUMBER(Snapshots!G80),COUNT(Snapshots!$G$5:G80),"")</f>
        <v/>
      </c>
      <c r="Q82">
        <f>IF(ISNUMBER(Snapshots!H80),COUNT(Snapshots!$H$5:H80),"")</f>
        <v/>
      </c>
    </row>
    <row r="83">
      <c r="J83">
        <f>IF(ISNUMBER(Snapshots!E81),Snapshots!E81,"")</f>
        <v/>
      </c>
      <c r="K83">
        <f>IF(ISNUMBER(Snapshots!F81),Snapshots!F81,"")</f>
        <v/>
      </c>
      <c r="L83">
        <f>IF(ISNUMBER(Snapshots!G81),Snapshots!G81,"")</f>
        <v/>
      </c>
      <c r="M83">
        <f>IF(ISNUMBER(Snapshots!H81),Snapshots!H81,"")</f>
        <v/>
      </c>
      <c r="N83">
        <f>IF(ISNUMBER(Snapshots!E81),COUNT(Snapshots!$E$5:E81),"")</f>
        <v/>
      </c>
      <c r="O83">
        <f>IF(ISNUMBER(Snapshots!F81),COUNT(Snapshots!$F$5:F81),"")</f>
        <v/>
      </c>
      <c r="P83">
        <f>IF(ISNUMBER(Snapshots!G81),COUNT(Snapshots!$G$5:G81),"")</f>
        <v/>
      </c>
      <c r="Q83">
        <f>IF(ISNUMBER(Snapshots!H81),COUNT(Snapshots!$H$5:H81),"")</f>
        <v/>
      </c>
    </row>
    <row r="84">
      <c r="J84">
        <f>IF(ISNUMBER(Snapshots!E82),Snapshots!E82,"")</f>
        <v/>
      </c>
      <c r="K84">
        <f>IF(ISNUMBER(Snapshots!F82),Snapshots!F82,"")</f>
        <v/>
      </c>
      <c r="L84">
        <f>IF(ISNUMBER(Snapshots!G82),Snapshots!G82,"")</f>
        <v/>
      </c>
      <c r="M84">
        <f>IF(ISNUMBER(Snapshots!H82),Snapshots!H82,"")</f>
        <v/>
      </c>
      <c r="N84">
        <f>IF(ISNUMBER(Snapshots!E82),COUNT(Snapshots!$E$5:E82),"")</f>
        <v/>
      </c>
      <c r="O84">
        <f>IF(ISNUMBER(Snapshots!F82),COUNT(Snapshots!$F$5:F82),"")</f>
        <v/>
      </c>
      <c r="P84">
        <f>IF(ISNUMBER(Snapshots!G82),COUNT(Snapshots!$G$5:G82),"")</f>
        <v/>
      </c>
      <c r="Q84">
        <f>IF(ISNUMBER(Snapshots!H82),COUNT(Snapshots!$H$5:H82),"")</f>
        <v/>
      </c>
    </row>
    <row r="85">
      <c r="J85">
        <f>IF(ISNUMBER(Snapshots!E83),Snapshots!E83,"")</f>
        <v/>
      </c>
      <c r="K85">
        <f>IF(ISNUMBER(Snapshots!F83),Snapshots!F83,"")</f>
        <v/>
      </c>
      <c r="L85">
        <f>IF(ISNUMBER(Snapshots!G83),Snapshots!G83,"")</f>
        <v/>
      </c>
      <c r="M85">
        <f>IF(ISNUMBER(Snapshots!H83),Snapshots!H83,"")</f>
        <v/>
      </c>
      <c r="N85">
        <f>IF(ISNUMBER(Snapshots!E83),COUNT(Snapshots!$E$5:E83),"")</f>
        <v/>
      </c>
      <c r="O85">
        <f>IF(ISNUMBER(Snapshots!F83),COUNT(Snapshots!$F$5:F83),"")</f>
        <v/>
      </c>
      <c r="P85">
        <f>IF(ISNUMBER(Snapshots!G83),COUNT(Snapshots!$G$5:G83),"")</f>
        <v/>
      </c>
      <c r="Q85">
        <f>IF(ISNUMBER(Snapshots!H83),COUNT(Snapshots!$H$5:H83),"")</f>
        <v/>
      </c>
    </row>
    <row r="86">
      <c r="J86">
        <f>IF(ISNUMBER(Snapshots!E84),Snapshots!E84,"")</f>
        <v/>
      </c>
      <c r="K86">
        <f>IF(ISNUMBER(Snapshots!F84),Snapshots!F84,"")</f>
        <v/>
      </c>
      <c r="L86">
        <f>IF(ISNUMBER(Snapshots!G84),Snapshots!G84,"")</f>
        <v/>
      </c>
      <c r="M86">
        <f>IF(ISNUMBER(Snapshots!H84),Snapshots!H84,"")</f>
        <v/>
      </c>
      <c r="N86">
        <f>IF(ISNUMBER(Snapshots!E84),COUNT(Snapshots!$E$5:E84),"")</f>
        <v/>
      </c>
      <c r="O86">
        <f>IF(ISNUMBER(Snapshots!F84),COUNT(Snapshots!$F$5:F84),"")</f>
        <v/>
      </c>
      <c r="P86">
        <f>IF(ISNUMBER(Snapshots!G84),COUNT(Snapshots!$G$5:G84),"")</f>
        <v/>
      </c>
      <c r="Q86">
        <f>IF(ISNUMBER(Snapshots!H84),COUNT(Snapshots!$H$5:H84),"")</f>
        <v/>
      </c>
    </row>
    <row r="87">
      <c r="J87">
        <f>IF(ISNUMBER(Snapshots!E85),Snapshots!E85,"")</f>
        <v/>
      </c>
      <c r="K87">
        <f>IF(ISNUMBER(Snapshots!F85),Snapshots!F85,"")</f>
        <v/>
      </c>
      <c r="L87">
        <f>IF(ISNUMBER(Snapshots!G85),Snapshots!G85,"")</f>
        <v/>
      </c>
      <c r="M87">
        <f>IF(ISNUMBER(Snapshots!H85),Snapshots!H85,"")</f>
        <v/>
      </c>
      <c r="N87">
        <f>IF(ISNUMBER(Snapshots!E85),COUNT(Snapshots!$E$5:E85),"")</f>
        <v/>
      </c>
      <c r="O87">
        <f>IF(ISNUMBER(Snapshots!F85),COUNT(Snapshots!$F$5:F85),"")</f>
        <v/>
      </c>
      <c r="P87">
        <f>IF(ISNUMBER(Snapshots!G85),COUNT(Snapshots!$G$5:G85),"")</f>
        <v/>
      </c>
      <c r="Q87">
        <f>IF(ISNUMBER(Snapshots!H85),COUNT(Snapshots!$H$5:H85),"")</f>
        <v/>
      </c>
    </row>
    <row r="88">
      <c r="J88">
        <f>IF(ISNUMBER(Snapshots!E86),Snapshots!E86,"")</f>
        <v/>
      </c>
      <c r="K88">
        <f>IF(ISNUMBER(Snapshots!F86),Snapshots!F86,"")</f>
        <v/>
      </c>
      <c r="L88">
        <f>IF(ISNUMBER(Snapshots!G86),Snapshots!G86,"")</f>
        <v/>
      </c>
      <c r="M88">
        <f>IF(ISNUMBER(Snapshots!H86),Snapshots!H86,"")</f>
        <v/>
      </c>
      <c r="N88">
        <f>IF(ISNUMBER(Snapshots!E86),COUNT(Snapshots!$E$5:E86),"")</f>
        <v/>
      </c>
      <c r="O88">
        <f>IF(ISNUMBER(Snapshots!F86),COUNT(Snapshots!$F$5:F86),"")</f>
        <v/>
      </c>
      <c r="P88">
        <f>IF(ISNUMBER(Snapshots!G86),COUNT(Snapshots!$G$5:G86),"")</f>
        <v/>
      </c>
      <c r="Q88">
        <f>IF(ISNUMBER(Snapshots!H86),COUNT(Snapshots!$H$5:H86),"")</f>
        <v/>
      </c>
    </row>
    <row r="89">
      <c r="J89">
        <f>IF(ISNUMBER(Snapshots!E87),Snapshots!E87,"")</f>
        <v/>
      </c>
      <c r="K89">
        <f>IF(ISNUMBER(Snapshots!F87),Snapshots!F87,"")</f>
        <v/>
      </c>
      <c r="L89">
        <f>IF(ISNUMBER(Snapshots!G87),Snapshots!G87,"")</f>
        <v/>
      </c>
      <c r="M89">
        <f>IF(ISNUMBER(Snapshots!H87),Snapshots!H87,"")</f>
        <v/>
      </c>
      <c r="N89">
        <f>IF(ISNUMBER(Snapshots!E87),COUNT(Snapshots!$E$5:E87),"")</f>
        <v/>
      </c>
      <c r="O89">
        <f>IF(ISNUMBER(Snapshots!F87),COUNT(Snapshots!$F$5:F87),"")</f>
        <v/>
      </c>
      <c r="P89">
        <f>IF(ISNUMBER(Snapshots!G87),COUNT(Snapshots!$G$5:G87),"")</f>
        <v/>
      </c>
      <c r="Q89">
        <f>IF(ISNUMBER(Snapshots!H87),COUNT(Snapshots!$H$5:H87),"")</f>
        <v/>
      </c>
    </row>
    <row r="90">
      <c r="J90">
        <f>IF(ISNUMBER(Snapshots!E88),Snapshots!E88,"")</f>
        <v/>
      </c>
      <c r="K90">
        <f>IF(ISNUMBER(Snapshots!F88),Snapshots!F88,"")</f>
        <v/>
      </c>
      <c r="L90">
        <f>IF(ISNUMBER(Snapshots!G88),Snapshots!G88,"")</f>
        <v/>
      </c>
      <c r="M90">
        <f>IF(ISNUMBER(Snapshots!H88),Snapshots!H88,"")</f>
        <v/>
      </c>
      <c r="N90">
        <f>IF(ISNUMBER(Snapshots!E88),COUNT(Snapshots!$E$5:E88),"")</f>
        <v/>
      </c>
      <c r="O90">
        <f>IF(ISNUMBER(Snapshots!F88),COUNT(Snapshots!$F$5:F88),"")</f>
        <v/>
      </c>
      <c r="P90">
        <f>IF(ISNUMBER(Snapshots!G88),COUNT(Snapshots!$G$5:G88),"")</f>
        <v/>
      </c>
      <c r="Q90">
        <f>IF(ISNUMBER(Snapshots!H88),COUNT(Snapshots!$H$5:H88),"")</f>
        <v/>
      </c>
    </row>
    <row r="91">
      <c r="J91">
        <f>IF(ISNUMBER(Snapshots!E89),Snapshots!E89,"")</f>
        <v/>
      </c>
      <c r="K91">
        <f>IF(ISNUMBER(Snapshots!F89),Snapshots!F89,"")</f>
        <v/>
      </c>
      <c r="L91">
        <f>IF(ISNUMBER(Snapshots!G89),Snapshots!G89,"")</f>
        <v/>
      </c>
      <c r="M91">
        <f>IF(ISNUMBER(Snapshots!H89),Snapshots!H89,"")</f>
        <v/>
      </c>
      <c r="N91">
        <f>IF(ISNUMBER(Snapshots!E89),COUNT(Snapshots!$E$5:E89),"")</f>
        <v/>
      </c>
      <c r="O91">
        <f>IF(ISNUMBER(Snapshots!F89),COUNT(Snapshots!$F$5:F89),"")</f>
        <v/>
      </c>
      <c r="P91">
        <f>IF(ISNUMBER(Snapshots!G89),COUNT(Snapshots!$G$5:G89),"")</f>
        <v/>
      </c>
      <c r="Q91">
        <f>IF(ISNUMBER(Snapshots!H89),COUNT(Snapshots!$H$5:H89),"")</f>
        <v/>
      </c>
    </row>
    <row r="92">
      <c r="J92">
        <f>IF(ISNUMBER(Snapshots!E90),Snapshots!E90,"")</f>
        <v/>
      </c>
      <c r="K92">
        <f>IF(ISNUMBER(Snapshots!F90),Snapshots!F90,"")</f>
        <v/>
      </c>
      <c r="L92">
        <f>IF(ISNUMBER(Snapshots!G90),Snapshots!G90,"")</f>
        <v/>
      </c>
      <c r="M92">
        <f>IF(ISNUMBER(Snapshots!H90),Snapshots!H90,"")</f>
        <v/>
      </c>
      <c r="N92">
        <f>IF(ISNUMBER(Snapshots!E90),COUNT(Snapshots!$E$5:E90),"")</f>
        <v/>
      </c>
      <c r="O92">
        <f>IF(ISNUMBER(Snapshots!F90),COUNT(Snapshots!$F$5:F90),"")</f>
        <v/>
      </c>
      <c r="P92">
        <f>IF(ISNUMBER(Snapshots!G90),COUNT(Snapshots!$G$5:G90),"")</f>
        <v/>
      </c>
      <c r="Q92">
        <f>IF(ISNUMBER(Snapshots!H90),COUNT(Snapshots!$H$5:H90),"")</f>
        <v/>
      </c>
    </row>
    <row r="93">
      <c r="J93">
        <f>IF(ISNUMBER(Snapshots!E91),Snapshots!E91,"")</f>
        <v/>
      </c>
      <c r="K93">
        <f>IF(ISNUMBER(Snapshots!F91),Snapshots!F91,"")</f>
        <v/>
      </c>
      <c r="L93">
        <f>IF(ISNUMBER(Snapshots!G91),Snapshots!G91,"")</f>
        <v/>
      </c>
      <c r="M93">
        <f>IF(ISNUMBER(Snapshots!H91),Snapshots!H91,"")</f>
        <v/>
      </c>
      <c r="N93">
        <f>IF(ISNUMBER(Snapshots!E91),COUNT(Snapshots!$E$5:E91),"")</f>
        <v/>
      </c>
      <c r="O93">
        <f>IF(ISNUMBER(Snapshots!F91),COUNT(Snapshots!$F$5:F91),"")</f>
        <v/>
      </c>
      <c r="P93">
        <f>IF(ISNUMBER(Snapshots!G91),COUNT(Snapshots!$G$5:G91),"")</f>
        <v/>
      </c>
      <c r="Q93">
        <f>IF(ISNUMBER(Snapshots!H91),COUNT(Snapshots!$H$5:H91),"")</f>
        <v/>
      </c>
    </row>
    <row r="94">
      <c r="J94">
        <f>IF(ISNUMBER(Snapshots!E92),Snapshots!E92,"")</f>
        <v/>
      </c>
      <c r="K94">
        <f>IF(ISNUMBER(Snapshots!F92),Snapshots!F92,"")</f>
        <v/>
      </c>
      <c r="L94">
        <f>IF(ISNUMBER(Snapshots!G92),Snapshots!G92,"")</f>
        <v/>
      </c>
      <c r="M94">
        <f>IF(ISNUMBER(Snapshots!H92),Snapshots!H92,"")</f>
        <v/>
      </c>
      <c r="N94">
        <f>IF(ISNUMBER(Snapshots!E92),COUNT(Snapshots!$E$5:E92),"")</f>
        <v/>
      </c>
      <c r="O94">
        <f>IF(ISNUMBER(Snapshots!F92),COUNT(Snapshots!$F$5:F92),"")</f>
        <v/>
      </c>
      <c r="P94">
        <f>IF(ISNUMBER(Snapshots!G92),COUNT(Snapshots!$G$5:G92),"")</f>
        <v/>
      </c>
      <c r="Q94">
        <f>IF(ISNUMBER(Snapshots!H92),COUNT(Snapshots!$H$5:H92),"")</f>
        <v/>
      </c>
    </row>
    <row r="95">
      <c r="J95">
        <f>IF(ISNUMBER(Snapshots!E93),Snapshots!E93,"")</f>
        <v/>
      </c>
      <c r="K95">
        <f>IF(ISNUMBER(Snapshots!F93),Snapshots!F93,"")</f>
        <v/>
      </c>
      <c r="L95">
        <f>IF(ISNUMBER(Snapshots!G93),Snapshots!G93,"")</f>
        <v/>
      </c>
      <c r="M95">
        <f>IF(ISNUMBER(Snapshots!H93),Snapshots!H93,"")</f>
        <v/>
      </c>
      <c r="N95">
        <f>IF(ISNUMBER(Snapshots!E93),COUNT(Snapshots!$E$5:E93),"")</f>
        <v/>
      </c>
      <c r="O95">
        <f>IF(ISNUMBER(Snapshots!F93),COUNT(Snapshots!$F$5:F93),"")</f>
        <v/>
      </c>
      <c r="P95">
        <f>IF(ISNUMBER(Snapshots!G93),COUNT(Snapshots!$G$5:G93),"")</f>
        <v/>
      </c>
      <c r="Q95">
        <f>IF(ISNUMBER(Snapshots!H93),COUNT(Snapshots!$H$5:H93),"")</f>
        <v/>
      </c>
    </row>
    <row r="96">
      <c r="J96">
        <f>IF(ISNUMBER(Snapshots!E94),Snapshots!E94,"")</f>
        <v/>
      </c>
      <c r="K96">
        <f>IF(ISNUMBER(Snapshots!F94),Snapshots!F94,"")</f>
        <v/>
      </c>
      <c r="L96">
        <f>IF(ISNUMBER(Snapshots!G94),Snapshots!G94,"")</f>
        <v/>
      </c>
      <c r="M96">
        <f>IF(ISNUMBER(Snapshots!H94),Snapshots!H94,"")</f>
        <v/>
      </c>
      <c r="N96">
        <f>IF(ISNUMBER(Snapshots!E94),COUNT(Snapshots!$E$5:E94),"")</f>
        <v/>
      </c>
      <c r="O96">
        <f>IF(ISNUMBER(Snapshots!F94),COUNT(Snapshots!$F$5:F94),"")</f>
        <v/>
      </c>
      <c r="P96">
        <f>IF(ISNUMBER(Snapshots!G94),COUNT(Snapshots!$G$5:G94),"")</f>
        <v/>
      </c>
      <c r="Q96">
        <f>IF(ISNUMBER(Snapshots!H94),COUNT(Snapshots!$H$5:H94),"")</f>
        <v/>
      </c>
    </row>
    <row r="97">
      <c r="J97">
        <f>IF(ISNUMBER(Snapshots!E95),Snapshots!E95,"")</f>
        <v/>
      </c>
      <c r="K97">
        <f>IF(ISNUMBER(Snapshots!F95),Snapshots!F95,"")</f>
        <v/>
      </c>
      <c r="L97">
        <f>IF(ISNUMBER(Snapshots!G95),Snapshots!G95,"")</f>
        <v/>
      </c>
      <c r="M97">
        <f>IF(ISNUMBER(Snapshots!H95),Snapshots!H95,"")</f>
        <v/>
      </c>
      <c r="N97">
        <f>IF(ISNUMBER(Snapshots!E95),COUNT(Snapshots!$E$5:E95),"")</f>
        <v/>
      </c>
      <c r="O97">
        <f>IF(ISNUMBER(Snapshots!F95),COUNT(Snapshots!$F$5:F95),"")</f>
        <v/>
      </c>
      <c r="P97">
        <f>IF(ISNUMBER(Snapshots!G95),COUNT(Snapshots!$G$5:G95),"")</f>
        <v/>
      </c>
      <c r="Q97">
        <f>IF(ISNUMBER(Snapshots!H95),COUNT(Snapshots!$H$5:H95),"")</f>
        <v/>
      </c>
    </row>
    <row r="98">
      <c r="J98">
        <f>IF(ISNUMBER(Snapshots!E96),Snapshots!E96,"")</f>
        <v/>
      </c>
      <c r="K98">
        <f>IF(ISNUMBER(Snapshots!F96),Snapshots!F96,"")</f>
        <v/>
      </c>
      <c r="L98">
        <f>IF(ISNUMBER(Snapshots!G96),Snapshots!G96,"")</f>
        <v/>
      </c>
      <c r="M98">
        <f>IF(ISNUMBER(Snapshots!H96),Snapshots!H96,"")</f>
        <v/>
      </c>
      <c r="N98">
        <f>IF(ISNUMBER(Snapshots!E96),COUNT(Snapshots!$E$5:E96),"")</f>
        <v/>
      </c>
      <c r="O98">
        <f>IF(ISNUMBER(Snapshots!F96),COUNT(Snapshots!$F$5:F96),"")</f>
        <v/>
      </c>
      <c r="P98">
        <f>IF(ISNUMBER(Snapshots!G96),COUNT(Snapshots!$G$5:G96),"")</f>
        <v/>
      </c>
      <c r="Q98">
        <f>IF(ISNUMBER(Snapshots!H96),COUNT(Snapshots!$H$5:H96),"")</f>
        <v/>
      </c>
    </row>
    <row r="99">
      <c r="J99">
        <f>IF(ISNUMBER(Snapshots!E97),Snapshots!E97,"")</f>
        <v/>
      </c>
      <c r="K99">
        <f>IF(ISNUMBER(Snapshots!F97),Snapshots!F97,"")</f>
        <v/>
      </c>
      <c r="L99">
        <f>IF(ISNUMBER(Snapshots!G97),Snapshots!G97,"")</f>
        <v/>
      </c>
      <c r="M99">
        <f>IF(ISNUMBER(Snapshots!H97),Snapshots!H97,"")</f>
        <v/>
      </c>
      <c r="N99">
        <f>IF(ISNUMBER(Snapshots!E97),COUNT(Snapshots!$E$5:E97),"")</f>
        <v/>
      </c>
      <c r="O99">
        <f>IF(ISNUMBER(Snapshots!F97),COUNT(Snapshots!$F$5:F97),"")</f>
        <v/>
      </c>
      <c r="P99">
        <f>IF(ISNUMBER(Snapshots!G97),COUNT(Snapshots!$G$5:G97),"")</f>
        <v/>
      </c>
      <c r="Q99">
        <f>IF(ISNUMBER(Snapshots!H97),COUNT(Snapshots!$H$5:H97),"")</f>
        <v/>
      </c>
    </row>
    <row r="100">
      <c r="J100">
        <f>IF(ISNUMBER(Snapshots!E98),Snapshots!E98,"")</f>
        <v/>
      </c>
      <c r="K100">
        <f>IF(ISNUMBER(Snapshots!F98),Snapshots!F98,"")</f>
        <v/>
      </c>
      <c r="L100">
        <f>IF(ISNUMBER(Snapshots!G98),Snapshots!G98,"")</f>
        <v/>
      </c>
      <c r="M100">
        <f>IF(ISNUMBER(Snapshots!H98),Snapshots!H98,"")</f>
        <v/>
      </c>
      <c r="N100">
        <f>IF(ISNUMBER(Snapshots!E98),COUNT(Snapshots!$E$5:E98),"")</f>
        <v/>
      </c>
      <c r="O100">
        <f>IF(ISNUMBER(Snapshots!F98),COUNT(Snapshots!$F$5:F98),"")</f>
        <v/>
      </c>
      <c r="P100">
        <f>IF(ISNUMBER(Snapshots!G98),COUNT(Snapshots!$G$5:G98),"")</f>
        <v/>
      </c>
      <c r="Q100">
        <f>IF(ISNUMBER(Snapshots!H98),COUNT(Snapshots!$H$5:H98),"")</f>
        <v/>
      </c>
    </row>
    <row r="101">
      <c r="J101">
        <f>IF(ISNUMBER(Snapshots!E99),Snapshots!E99,"")</f>
        <v/>
      </c>
      <c r="K101">
        <f>IF(ISNUMBER(Snapshots!F99),Snapshots!F99,"")</f>
        <v/>
      </c>
      <c r="L101">
        <f>IF(ISNUMBER(Snapshots!G99),Snapshots!G99,"")</f>
        <v/>
      </c>
      <c r="M101">
        <f>IF(ISNUMBER(Snapshots!H99),Snapshots!H99,"")</f>
        <v/>
      </c>
      <c r="N101">
        <f>IF(ISNUMBER(Snapshots!E99),COUNT(Snapshots!$E$5:E99),"")</f>
        <v/>
      </c>
      <c r="O101">
        <f>IF(ISNUMBER(Snapshots!F99),COUNT(Snapshots!$F$5:F99),"")</f>
        <v/>
      </c>
      <c r="P101">
        <f>IF(ISNUMBER(Snapshots!G99),COUNT(Snapshots!$G$5:G99),"")</f>
        <v/>
      </c>
      <c r="Q101">
        <f>IF(ISNUMBER(Snapshots!H99),COUNT(Snapshots!$H$5:H99),"")</f>
        <v/>
      </c>
    </row>
    <row r="102">
      <c r="J102">
        <f>IF(ISNUMBER(Snapshots!E100),Snapshots!E100,"")</f>
        <v/>
      </c>
      <c r="K102">
        <f>IF(ISNUMBER(Snapshots!F100),Snapshots!F100,"")</f>
        <v/>
      </c>
      <c r="L102">
        <f>IF(ISNUMBER(Snapshots!G100),Snapshots!G100,"")</f>
        <v/>
      </c>
      <c r="M102">
        <f>IF(ISNUMBER(Snapshots!H100),Snapshots!H100,"")</f>
        <v/>
      </c>
      <c r="N102">
        <f>IF(ISNUMBER(Snapshots!E100),COUNT(Snapshots!$E$5:E100),"")</f>
        <v/>
      </c>
      <c r="O102">
        <f>IF(ISNUMBER(Snapshots!F100),COUNT(Snapshots!$F$5:F100),"")</f>
        <v/>
      </c>
      <c r="P102">
        <f>IF(ISNUMBER(Snapshots!G100),COUNT(Snapshots!$G$5:G100),"")</f>
        <v/>
      </c>
      <c r="Q102">
        <f>IF(ISNUMBER(Snapshots!H100),COUNT(Snapshots!$H$5:H100),"")</f>
        <v/>
      </c>
    </row>
    <row r="103">
      <c r="J103">
        <f>IF(ISNUMBER(Snapshots!E101),Snapshots!E101,"")</f>
        <v/>
      </c>
      <c r="K103">
        <f>IF(ISNUMBER(Snapshots!F101),Snapshots!F101,"")</f>
        <v/>
      </c>
      <c r="L103">
        <f>IF(ISNUMBER(Snapshots!G101),Snapshots!G101,"")</f>
        <v/>
      </c>
      <c r="M103">
        <f>IF(ISNUMBER(Snapshots!H101),Snapshots!H101,"")</f>
        <v/>
      </c>
      <c r="N103">
        <f>IF(ISNUMBER(Snapshots!E101),COUNT(Snapshots!$E$5:E101),"")</f>
        <v/>
      </c>
      <c r="O103">
        <f>IF(ISNUMBER(Snapshots!F101),COUNT(Snapshots!$F$5:F101),"")</f>
        <v/>
      </c>
      <c r="P103">
        <f>IF(ISNUMBER(Snapshots!G101),COUNT(Snapshots!$G$5:G101),"")</f>
        <v/>
      </c>
      <c r="Q103">
        <f>IF(ISNUMBER(Snapshots!H101),COUNT(Snapshots!$H$5:H101),"")</f>
        <v/>
      </c>
    </row>
    <row r="104">
      <c r="J104">
        <f>IF(ISNUMBER(Snapshots!E102),Snapshots!E102,"")</f>
        <v/>
      </c>
      <c r="K104">
        <f>IF(ISNUMBER(Snapshots!F102),Snapshots!F102,"")</f>
        <v/>
      </c>
      <c r="L104">
        <f>IF(ISNUMBER(Snapshots!G102),Snapshots!G102,"")</f>
        <v/>
      </c>
      <c r="M104">
        <f>IF(ISNUMBER(Snapshots!H102),Snapshots!H102,"")</f>
        <v/>
      </c>
      <c r="N104">
        <f>IF(ISNUMBER(Snapshots!E102),COUNT(Snapshots!$E$5:E102),"")</f>
        <v/>
      </c>
      <c r="O104">
        <f>IF(ISNUMBER(Snapshots!F102),COUNT(Snapshots!$F$5:F102),"")</f>
        <v/>
      </c>
      <c r="P104">
        <f>IF(ISNUMBER(Snapshots!G102),COUNT(Snapshots!$G$5:G102),"")</f>
        <v/>
      </c>
      <c r="Q104">
        <f>IF(ISNUMBER(Snapshots!H102),COUNT(Snapshots!$H$5:H102),"")</f>
        <v/>
      </c>
    </row>
    <row r="105">
      <c r="J105">
        <f>IF(ISNUMBER(Snapshots!E103),Snapshots!E103,"")</f>
        <v/>
      </c>
      <c r="K105">
        <f>IF(ISNUMBER(Snapshots!F103),Snapshots!F103,"")</f>
        <v/>
      </c>
      <c r="L105">
        <f>IF(ISNUMBER(Snapshots!G103),Snapshots!G103,"")</f>
        <v/>
      </c>
      <c r="M105">
        <f>IF(ISNUMBER(Snapshots!H103),Snapshots!H103,"")</f>
        <v/>
      </c>
      <c r="N105">
        <f>IF(ISNUMBER(Snapshots!E103),COUNT(Snapshots!$E$5:E103),"")</f>
        <v/>
      </c>
      <c r="O105">
        <f>IF(ISNUMBER(Snapshots!F103),COUNT(Snapshots!$F$5:F103),"")</f>
        <v/>
      </c>
      <c r="P105">
        <f>IF(ISNUMBER(Snapshots!G103),COUNT(Snapshots!$G$5:G103),"")</f>
        <v/>
      </c>
      <c r="Q105">
        <f>IF(ISNUMBER(Snapshots!H103),COUNT(Snapshots!$H$5:H103),"")</f>
        <v/>
      </c>
    </row>
    <row r="106">
      <c r="J106">
        <f>IF(ISNUMBER(Snapshots!E104),Snapshots!E104,"")</f>
        <v/>
      </c>
      <c r="K106">
        <f>IF(ISNUMBER(Snapshots!F104),Snapshots!F104,"")</f>
        <v/>
      </c>
      <c r="L106">
        <f>IF(ISNUMBER(Snapshots!G104),Snapshots!G104,"")</f>
        <v/>
      </c>
      <c r="M106">
        <f>IF(ISNUMBER(Snapshots!H104),Snapshots!H104,"")</f>
        <v/>
      </c>
      <c r="N106">
        <f>IF(ISNUMBER(Snapshots!E104),COUNT(Snapshots!$E$5:E104),"")</f>
        <v/>
      </c>
      <c r="O106">
        <f>IF(ISNUMBER(Snapshots!F104),COUNT(Snapshots!$F$5:F104),"")</f>
        <v/>
      </c>
      <c r="P106">
        <f>IF(ISNUMBER(Snapshots!G104),COUNT(Snapshots!$G$5:G104),"")</f>
        <v/>
      </c>
      <c r="Q106">
        <f>IF(ISNUMBER(Snapshots!H104),COUNT(Snapshots!$H$5:H104),"")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2026-10-18T16:52:32Z</dcterms:created>
  <dcterms:modified xmlns:dcterms="http://purl.org/dc/terms/" xmlns:xsi="http://www.w3.org/2001/XMLSchema-instance" xsi:type="dcterms:W3CDTF">2026-10-18T16:52:32Z</dcterms:modified>
</cp:coreProperties>
</file>