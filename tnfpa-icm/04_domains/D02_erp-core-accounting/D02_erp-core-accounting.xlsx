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TrialBalance" sheetId="3" state="visible" r:id="rId3"/>
    <sheet xmlns:r="http://schemas.openxmlformats.org/officeDocument/2006/relationships" name="Summary" sheetId="4" state="visible" r:id="rId4"/>
  </sheets>
  <definedNames>
    <definedName name="tb_diff">'Summary'!$B$6</definedName>
    <definedName name="tb_unmapped">'Summary'!$B$7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D02 · ERP &amp; core accounting systems</t>
        </is>
      </c>
    </row>
    <row r="2"/>
    <row r="3">
      <c r="A3" s="2" t="inlineStr">
        <is>
          <t>Domain D02: ERP &amp; core accounting systems.</t>
        </is>
      </c>
    </row>
    <row r="4">
      <c r="A4" s="2" t="inlineStr">
        <is>
          <t>Bring the books in cleanly: trial balance integrity (Dr = Cr), ledger → Schedule III → kernel-target mapping, and the export recipe per ERP.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companies/&lt;slug&gt;/domains/D02_erp-core-accounting/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memory/mappings/registry.csv  &lt;=  TrialBalance mapping columns</t>
        </is>
      </c>
    </row>
    <row r="11">
      <c r="A11" s="2" t="inlineStr">
        <is>
          <t>K03 Reconcile  &lt;=  mapped TB</t>
        </is>
      </c>
    </row>
    <row r="12">
      <c r="A12" s="2" t="inlineStr">
        <is>
          <t>K01 opening_balances.*  &lt;=  balance-sheet ledgers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trial balance balances (Dr = Cr)</t>
        </is>
      </c>
      <c r="C5" s="7">
        <f>IF(ABS(Summary!$B$6)&lt;0.01,"PASS","FAIL")</f>
        <v/>
      </c>
    </row>
    <row r="6">
      <c r="A6" t="n">
        <v>2</v>
      </c>
      <c r="B6" t="inlineStr">
        <is>
          <t>every ledger mapped to Schedule III line and kernel target</t>
        </is>
      </c>
      <c r="C6" s="7">
        <f>IF(Summary!$B$7=0,"PASS","FAIL")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7" customWidth="1" min="5" max="5"/>
    <col width="40" customWidth="1" min="6" max="6"/>
    <col width="34" customWidth="1" min="7" max="7"/>
    <col width="12" customWidth="1" min="8" max="8"/>
  </cols>
  <sheetData>
    <row r="1">
      <c r="A1" s="1" t="inlineStr">
        <is>
          <t>Trial balance check (paste Tally Prime / Zoho Books / SAP B1 TB: ledger, group, debit, credit)</t>
        </is>
      </c>
    </row>
    <row r="2"/>
    <row r="3"/>
    <row r="4">
      <c r="A4" s="6" t="inlineStr">
        <is>
          <t>ledger</t>
        </is>
      </c>
      <c r="B4" s="6" t="inlineStr">
        <is>
          <t>Tally group / ERP account group</t>
        </is>
      </c>
      <c r="C4" s="6" t="inlineStr">
        <is>
          <t>debit</t>
        </is>
      </c>
      <c r="D4" s="6" t="inlineStr">
        <is>
          <t>credit</t>
        </is>
      </c>
      <c r="E4" s="6" t="inlineStr">
        <is>
          <t>net (Dr - Cr)</t>
        </is>
      </c>
      <c r="F4" s="6" t="inlineStr">
        <is>
          <t>Schedule III line (from 01_tamil-nadu/schedule-iii-mapping.csv)</t>
        </is>
      </c>
      <c r="G4" s="6" t="inlineStr">
        <is>
          <t>kernel target (mapping target)</t>
        </is>
      </c>
      <c r="H4" s="6" t="inlineStr">
        <is>
          <t>mapped?</t>
        </is>
      </c>
    </row>
    <row r="5">
      <c r="A5" s="8" t="inlineStr">
        <is>
          <t>Sales - Domestic (TN) @18%</t>
        </is>
      </c>
      <c r="B5" s="8" t="inlineStr">
        <is>
          <t>Sales Accounts</t>
        </is>
      </c>
      <c r="C5" s="9" t="n"/>
      <c r="D5" s="9" t="n">
        <v>850000000</v>
      </c>
      <c r="E5" s="10">
        <f>IF(A5="","",N(C5)-N(D5))</f>
        <v/>
      </c>
      <c r="F5" s="8" t="inlineStr">
        <is>
          <t>Revenue from operations</t>
        </is>
      </c>
      <c r="G5" s="8" t="inlineStr">
        <is>
          <t>income_statement.revenue</t>
        </is>
      </c>
      <c r="H5" s="7">
        <f>IF(A5="","",IF(OR(F5="",G5=""),"UNMAPPED","ok"))</f>
        <v/>
      </c>
    </row>
    <row r="6">
      <c r="A6" s="8" t="inlineStr">
        <is>
          <t>Purchase - Raw Material</t>
        </is>
      </c>
      <c r="B6" s="8" t="inlineStr">
        <is>
          <t>Purchase Accounts</t>
        </is>
      </c>
      <c r="C6" s="9" t="n">
        <v>520000000</v>
      </c>
      <c r="D6" s="9" t="n"/>
      <c r="E6" s="10">
        <f>IF(A6="","",N(C6)-N(D6))</f>
        <v/>
      </c>
      <c r="F6" s="8" t="inlineStr">
        <is>
          <t>Cost of materials consumed</t>
        </is>
      </c>
      <c r="G6" s="8" t="inlineStr">
        <is>
          <t>income_statement.cogs</t>
        </is>
      </c>
      <c r="H6" s="7">
        <f>IF(A6="","",IF(OR(F6="",G6=""),"UNMAPPED","ok"))</f>
        <v/>
      </c>
    </row>
    <row r="7">
      <c r="A7" s="8" t="inlineStr">
        <is>
          <t>Salaries &amp; Wages</t>
        </is>
      </c>
      <c r="B7" s="8" t="inlineStr">
        <is>
          <t>Indirect Expenses</t>
        </is>
      </c>
      <c r="C7" s="9" t="n">
        <v>96000000</v>
      </c>
      <c r="D7" s="9" t="n"/>
      <c r="E7" s="10">
        <f>IF(A7="","",N(C7)-N(D7))</f>
        <v/>
      </c>
      <c r="F7" s="8" t="inlineStr">
        <is>
          <t>Employee benefits expense</t>
        </is>
      </c>
      <c r="G7" s="8" t="inlineStr">
        <is>
          <t>opex.payroll</t>
        </is>
      </c>
      <c r="H7" s="7">
        <f>IF(A7="","",IF(OR(F7="",G7=""),"UNMAPPED","ok"))</f>
        <v/>
      </c>
    </row>
    <row r="8">
      <c r="A8" s="8" t="inlineStr">
        <is>
          <t>HDFC Bank CC A/c</t>
        </is>
      </c>
      <c r="B8" s="8" t="inlineStr">
        <is>
          <t>Bank OD A/c</t>
        </is>
      </c>
      <c r="C8" s="9" t="n"/>
      <c r="D8" s="9" t="n">
        <v>45000000</v>
      </c>
      <c r="E8" s="10">
        <f>IF(A8="","",N(C8)-N(D8))</f>
        <v/>
      </c>
      <c r="F8" s="8" t="inlineStr">
        <is>
          <t>Short-term borrowings</t>
        </is>
      </c>
      <c r="G8" s="8" t="inlineStr">
        <is>
          <t>debt.cash_credit</t>
        </is>
      </c>
      <c r="H8" s="7">
        <f>IF(A8="","",IF(OR(F8="",G8=""),"UNMAPPED","ok"))</f>
        <v/>
      </c>
    </row>
    <row r="9">
      <c r="A9" s="8" t="inlineStr">
        <is>
          <t>Sundry Debtors</t>
        </is>
      </c>
      <c r="B9" s="8" t="inlineStr">
        <is>
          <t>Sundry Debtors</t>
        </is>
      </c>
      <c r="C9" s="9" t="n">
        <v>120000000</v>
      </c>
      <c r="D9" s="9" t="n"/>
      <c r="E9" s="10">
        <f>IF(A9="","",N(C9)-N(D9))</f>
        <v/>
      </c>
      <c r="F9" s="8" t="inlineStr">
        <is>
          <t>Trade receivables</t>
        </is>
      </c>
      <c r="G9" s="8" t="inlineStr">
        <is>
          <t>balance_sheet.ar</t>
        </is>
      </c>
      <c r="H9" s="7">
        <f>IF(A9="","",IF(OR(F9="",G9=""),"UNMAPPED","ok"))</f>
        <v/>
      </c>
    </row>
    <row r="10">
      <c r="A10" s="8" t="inlineStr">
        <is>
          <t>Capital Account</t>
        </is>
      </c>
      <c r="B10" s="8" t="inlineStr">
        <is>
          <t>Capital Account</t>
        </is>
      </c>
      <c r="C10" s="9" t="n"/>
      <c r="D10" s="9" t="n">
        <v>241000000</v>
      </c>
      <c r="E10" s="10">
        <f>IF(A10="","",N(C10)-N(D10))</f>
        <v/>
      </c>
      <c r="F10" s="8" t="inlineStr">
        <is>
          <t>Equity share capital</t>
        </is>
      </c>
      <c r="G10" s="8" t="inlineStr">
        <is>
          <t>balance_sheet.equity</t>
        </is>
      </c>
      <c r="H10" s="7">
        <f>IF(A10="","",IF(OR(F10="",G10=""),"UNMAPPED","ok"))</f>
        <v/>
      </c>
    </row>
    <row r="11">
      <c r="A11" s="8" t="inlineStr">
        <is>
          <t>Plant &amp; Machinery</t>
        </is>
      </c>
      <c r="B11" s="8" t="inlineStr">
        <is>
          <t>Fixed Assets</t>
        </is>
      </c>
      <c r="C11" s="9" t="n">
        <v>400000000</v>
      </c>
      <c r="D11" s="9" t="n"/>
      <c r="E11" s="10">
        <f>IF(A11="","",N(C11)-N(D11))</f>
        <v/>
      </c>
      <c r="F11" s="8" t="inlineStr">
        <is>
          <t>Property, plant and equipment</t>
        </is>
      </c>
      <c r="G11" s="8" t="inlineStr">
        <is>
          <t>balance_sheet.ppe</t>
        </is>
      </c>
      <c r="H11" s="7">
        <f>IF(A11="","",IF(OR(F11="",G11=""),"UNMAPPED","ok"))</f>
        <v/>
      </c>
    </row>
    <row r="12">
      <c r="A12" s="8" t="n"/>
      <c r="B12" s="8" t="n"/>
      <c r="C12" s="9" t="n"/>
      <c r="D12" s="9" t="n"/>
      <c r="E12" s="10">
        <f>IF(A12="","",N(C12)-N(D12))</f>
        <v/>
      </c>
      <c r="F12" s="8" t="n"/>
      <c r="G12" s="8" t="n"/>
      <c r="H12" s="7">
        <f>IF(A12="","",IF(OR(F12="",G12=""),"UNMAPPED","ok"))</f>
        <v/>
      </c>
    </row>
    <row r="13">
      <c r="A13" s="8" t="n"/>
      <c r="B13" s="8" t="n"/>
      <c r="C13" s="9" t="n"/>
      <c r="D13" s="9" t="n"/>
      <c r="E13" s="10">
        <f>IF(A13="","",N(C13)-N(D13))</f>
        <v/>
      </c>
      <c r="F13" s="8" t="n"/>
      <c r="G13" s="8" t="n"/>
      <c r="H13" s="7">
        <f>IF(A13="","",IF(OR(F13="",G13=""),"UNMAPPED","ok"))</f>
        <v/>
      </c>
    </row>
    <row r="14">
      <c r="A14" s="8" t="n"/>
      <c r="B14" s="8" t="n"/>
      <c r="C14" s="9" t="n"/>
      <c r="D14" s="9" t="n"/>
      <c r="E14" s="10">
        <f>IF(A14="","",N(C14)-N(D14))</f>
        <v/>
      </c>
      <c r="F14" s="8" t="n"/>
      <c r="G14" s="8" t="n"/>
      <c r="H14" s="7">
        <f>IF(A14="","",IF(OR(F14="",G14=""),"UNMAPPED","ok"))</f>
        <v/>
      </c>
    </row>
    <row r="15">
      <c r="A15" s="8" t="n"/>
      <c r="B15" s="8" t="n"/>
      <c r="C15" s="9" t="n"/>
      <c r="D15" s="9" t="n"/>
      <c r="E15" s="10">
        <f>IF(A15="","",N(C15)-N(D15))</f>
        <v/>
      </c>
      <c r="F15" s="8" t="n"/>
      <c r="G15" s="8" t="n"/>
      <c r="H15" s="7">
        <f>IF(A15="","",IF(OR(F15="",G15=""),"UNMAPPED","ok"))</f>
        <v/>
      </c>
    </row>
    <row r="16">
      <c r="A16" s="8" t="n"/>
      <c r="B16" s="8" t="n"/>
      <c r="C16" s="9" t="n"/>
      <c r="D16" s="9" t="n"/>
      <c r="E16" s="10">
        <f>IF(A16="","",N(C16)-N(D16))</f>
        <v/>
      </c>
      <c r="F16" s="8" t="n"/>
      <c r="G16" s="8" t="n"/>
      <c r="H16" s="7">
        <f>IF(A16="","",IF(OR(F16="",G16=""),"UNMAPPED","ok"))</f>
        <v/>
      </c>
    </row>
    <row r="17">
      <c r="A17" s="8" t="n"/>
      <c r="B17" s="8" t="n"/>
      <c r="C17" s="9" t="n"/>
      <c r="D17" s="9" t="n"/>
      <c r="E17" s="10">
        <f>IF(A17="","",N(C17)-N(D17))</f>
        <v/>
      </c>
      <c r="F17" s="8" t="n"/>
      <c r="G17" s="8" t="n"/>
      <c r="H17" s="7">
        <f>IF(A17="","",IF(OR(F17="",G17=""),"UNMAPPED","ok"))</f>
        <v/>
      </c>
    </row>
    <row r="18">
      <c r="A18" s="8" t="n"/>
      <c r="B18" s="8" t="n"/>
      <c r="C18" s="9" t="n"/>
      <c r="D18" s="9" t="n"/>
      <c r="E18" s="10">
        <f>IF(A18="","",N(C18)-N(D18))</f>
        <v/>
      </c>
      <c r="F18" s="8" t="n"/>
      <c r="G18" s="8" t="n"/>
      <c r="H18" s="7">
        <f>IF(A18="","",IF(OR(F18="",G18=""),"UNMAPPED","ok"))</f>
        <v/>
      </c>
    </row>
    <row r="19">
      <c r="A19" s="8" t="n"/>
      <c r="B19" s="8" t="n"/>
      <c r="C19" s="9" t="n"/>
      <c r="D19" s="9" t="n"/>
      <c r="E19" s="10">
        <f>IF(A19="","",N(C19)-N(D19))</f>
        <v/>
      </c>
      <c r="F19" s="8" t="n"/>
      <c r="G19" s="8" t="n"/>
      <c r="H19" s="7">
        <f>IF(A19="","",IF(OR(F19="",G19=""),"UNMAPPED","ok"))</f>
        <v/>
      </c>
    </row>
    <row r="20">
      <c r="A20" s="8" t="n"/>
      <c r="B20" s="8" t="n"/>
      <c r="C20" s="9" t="n"/>
      <c r="D20" s="9" t="n"/>
      <c r="E20" s="10">
        <f>IF(A20="","",N(C20)-N(D20))</f>
        <v/>
      </c>
      <c r="F20" s="8" t="n"/>
      <c r="G20" s="8" t="n"/>
      <c r="H20" s="7">
        <f>IF(A20="","",IF(OR(F20="",G20=""),"UNMAPPED","ok"))</f>
        <v/>
      </c>
    </row>
    <row r="21">
      <c r="A21" s="8" t="n"/>
      <c r="B21" s="8" t="n"/>
      <c r="C21" s="9" t="n"/>
      <c r="D21" s="9" t="n"/>
      <c r="E21" s="10">
        <f>IF(A21="","",N(C21)-N(D21))</f>
        <v/>
      </c>
      <c r="F21" s="8" t="n"/>
      <c r="G21" s="8" t="n"/>
      <c r="H21" s="7">
        <f>IF(A21="","",IF(OR(F21="",G21=""),"UNMAPPED","ok"))</f>
        <v/>
      </c>
    </row>
    <row r="22">
      <c r="A22" s="8" t="n"/>
      <c r="B22" s="8" t="n"/>
      <c r="C22" s="9" t="n"/>
      <c r="D22" s="9" t="n"/>
      <c r="E22" s="10">
        <f>IF(A22="","",N(C22)-N(D22))</f>
        <v/>
      </c>
      <c r="F22" s="8" t="n"/>
      <c r="G22" s="8" t="n"/>
      <c r="H22" s="7">
        <f>IF(A22="","",IF(OR(F22="",G22=""),"UNMAPPED","ok"))</f>
        <v/>
      </c>
    </row>
    <row r="23">
      <c r="A23" s="8" t="n"/>
      <c r="B23" s="8" t="n"/>
      <c r="C23" s="9" t="n"/>
      <c r="D23" s="9" t="n"/>
      <c r="E23" s="10">
        <f>IF(A23="","",N(C23)-N(D23))</f>
        <v/>
      </c>
      <c r="F23" s="8" t="n"/>
      <c r="G23" s="8" t="n"/>
      <c r="H23" s="7">
        <f>IF(A23="","",IF(OR(F23="",G23=""),"UNMAPPED","ok"))</f>
        <v/>
      </c>
    </row>
    <row r="24">
      <c r="A24" s="8" t="n"/>
      <c r="B24" s="8" t="n"/>
      <c r="C24" s="9" t="n"/>
      <c r="D24" s="9" t="n"/>
      <c r="E24" s="10">
        <f>IF(A24="","",N(C24)-N(D24))</f>
        <v/>
      </c>
      <c r="F24" s="8" t="n"/>
      <c r="G24" s="8" t="n"/>
      <c r="H24" s="7">
        <f>IF(A24="","",IF(OR(F24="",G24=""),"UNMAPPED","ok"))</f>
        <v/>
      </c>
    </row>
    <row r="25">
      <c r="A25" s="8" t="n"/>
      <c r="B25" s="8" t="n"/>
      <c r="C25" s="9" t="n"/>
      <c r="D25" s="9" t="n"/>
      <c r="E25" s="10">
        <f>IF(A25="","",N(C25)-N(D25))</f>
        <v/>
      </c>
      <c r="F25" s="8" t="n"/>
      <c r="G25" s="8" t="n"/>
      <c r="H25" s="7">
        <f>IF(A25="","",IF(OR(F25="",G25=""),"UNMAPPED","ok"))</f>
        <v/>
      </c>
    </row>
    <row r="26">
      <c r="A26" s="8" t="n"/>
      <c r="B26" s="8" t="n"/>
      <c r="C26" s="9" t="n"/>
      <c r="D26" s="9" t="n"/>
      <c r="E26" s="10">
        <f>IF(A26="","",N(C26)-N(D26))</f>
        <v/>
      </c>
      <c r="F26" s="8" t="n"/>
      <c r="G26" s="8" t="n"/>
      <c r="H26" s="7">
        <f>IF(A26="","",IF(OR(F26="",G26=""),"UNMAPPED","ok"))</f>
        <v/>
      </c>
    </row>
    <row r="27">
      <c r="A27" s="8" t="n"/>
      <c r="B27" s="8" t="n"/>
      <c r="C27" s="9" t="n"/>
      <c r="D27" s="9" t="n"/>
      <c r="E27" s="10">
        <f>IF(A27="","",N(C27)-N(D27))</f>
        <v/>
      </c>
      <c r="F27" s="8" t="n"/>
      <c r="G27" s="8" t="n"/>
      <c r="H27" s="7">
        <f>IF(A27="","",IF(OR(F27="",G27=""),"UNMAPPED","ok"))</f>
        <v/>
      </c>
    </row>
    <row r="28">
      <c r="A28" s="8" t="n"/>
      <c r="B28" s="8" t="n"/>
      <c r="C28" s="9" t="n"/>
      <c r="D28" s="9" t="n"/>
      <c r="E28" s="10">
        <f>IF(A28="","",N(C28)-N(D28))</f>
        <v/>
      </c>
      <c r="F28" s="8" t="n"/>
      <c r="G28" s="8" t="n"/>
      <c r="H28" s="7">
        <f>IF(A28="","",IF(OR(F28="",G28=""),"UNMAPPED","ok"))</f>
        <v/>
      </c>
    </row>
    <row r="29">
      <c r="A29" s="8" t="n"/>
      <c r="B29" s="8" t="n"/>
      <c r="C29" s="9" t="n"/>
      <c r="D29" s="9" t="n"/>
      <c r="E29" s="10">
        <f>IF(A29="","",N(C29)-N(D29))</f>
        <v/>
      </c>
      <c r="F29" s="8" t="n"/>
      <c r="G29" s="8" t="n"/>
      <c r="H29" s="7">
        <f>IF(A29="","",IF(OR(F29="",G29=""),"UNMAPPED","ok"))</f>
        <v/>
      </c>
    </row>
    <row r="30">
      <c r="A30" s="8" t="n"/>
      <c r="B30" s="8" t="n"/>
      <c r="C30" s="9" t="n"/>
      <c r="D30" s="9" t="n"/>
      <c r="E30" s="10">
        <f>IF(A30="","",N(C30)-N(D30))</f>
        <v/>
      </c>
      <c r="F30" s="8" t="n"/>
      <c r="G30" s="8" t="n"/>
      <c r="H30" s="7">
        <f>IF(A30="","",IF(OR(F30="",G30=""),"UNMAPPED","ok"))</f>
        <v/>
      </c>
    </row>
    <row r="31">
      <c r="A31" s="8" t="n"/>
      <c r="B31" s="8" t="n"/>
      <c r="C31" s="9" t="n"/>
      <c r="D31" s="9" t="n"/>
      <c r="E31" s="10">
        <f>IF(A31="","",N(C31)-N(D31))</f>
        <v/>
      </c>
      <c r="F31" s="8" t="n"/>
      <c r="G31" s="8" t="n"/>
      <c r="H31" s="7">
        <f>IF(A31="","",IF(OR(F31="",G31=""),"UNMAPPED","ok"))</f>
        <v/>
      </c>
    </row>
    <row r="32">
      <c r="A32" s="8" t="n"/>
      <c r="B32" s="8" t="n"/>
      <c r="C32" s="9" t="n"/>
      <c r="D32" s="9" t="n"/>
      <c r="E32" s="10">
        <f>IF(A32="","",N(C32)-N(D32))</f>
        <v/>
      </c>
      <c r="F32" s="8" t="n"/>
      <c r="G32" s="8" t="n"/>
      <c r="H32" s="7">
        <f>IF(A32="","",IF(OR(F32="",G32=""),"UNMAPPED","ok"))</f>
        <v/>
      </c>
    </row>
    <row r="33">
      <c r="A33" s="8" t="n"/>
      <c r="B33" s="8" t="n"/>
      <c r="C33" s="9" t="n"/>
      <c r="D33" s="9" t="n"/>
      <c r="E33" s="10">
        <f>IF(A33="","",N(C33)-N(D33))</f>
        <v/>
      </c>
      <c r="F33" s="8" t="n"/>
      <c r="G33" s="8" t="n"/>
      <c r="H33" s="7">
        <f>IF(A33="","",IF(OR(F33="",G33=""),"UNMAPPED","ok"))</f>
        <v/>
      </c>
    </row>
    <row r="34">
      <c r="A34" s="8" t="n"/>
      <c r="B34" s="8" t="n"/>
      <c r="C34" s="9" t="n"/>
      <c r="D34" s="9" t="n"/>
      <c r="E34" s="10">
        <f>IF(A34="","",N(C34)-N(D34))</f>
        <v/>
      </c>
      <c r="F34" s="8" t="n"/>
      <c r="G34" s="8" t="n"/>
      <c r="H34" s="7">
        <f>IF(A34="","",IF(OR(F34="",G34=""),"UNMAPPED","ok"))</f>
        <v/>
      </c>
    </row>
    <row r="35">
      <c r="A35" s="8" t="n"/>
      <c r="B35" s="8" t="n"/>
      <c r="C35" s="9" t="n"/>
      <c r="D35" s="9" t="n"/>
      <c r="E35" s="10">
        <f>IF(A35="","",N(C35)-N(D35))</f>
        <v/>
      </c>
      <c r="F35" s="8" t="n"/>
      <c r="G35" s="8" t="n"/>
      <c r="H35" s="7">
        <f>IF(A35="","",IF(OR(F35="",G35=""),"UNMAPPED","ok"))</f>
        <v/>
      </c>
    </row>
    <row r="36">
      <c r="A36" s="8" t="n"/>
      <c r="B36" s="8" t="n"/>
      <c r="C36" s="9" t="n"/>
      <c r="D36" s="9" t="n"/>
      <c r="E36" s="10">
        <f>IF(A36="","",N(C36)-N(D36))</f>
        <v/>
      </c>
      <c r="F36" s="8" t="n"/>
      <c r="G36" s="8" t="n"/>
      <c r="H36" s="7">
        <f>IF(A36="","",IF(OR(F36="",G36=""),"UNMAPPED","ok"))</f>
        <v/>
      </c>
    </row>
    <row r="37">
      <c r="A37" s="8" t="n"/>
      <c r="B37" s="8" t="n"/>
      <c r="C37" s="9" t="n"/>
      <c r="D37" s="9" t="n"/>
      <c r="E37" s="10">
        <f>IF(A37="","",N(C37)-N(D37))</f>
        <v/>
      </c>
      <c r="F37" s="8" t="n"/>
      <c r="G37" s="8" t="n"/>
      <c r="H37" s="7">
        <f>IF(A37="","",IF(OR(F37="",G37=""),"UNMAPPED","ok"))</f>
        <v/>
      </c>
    </row>
    <row r="38">
      <c r="A38" s="8" t="n"/>
      <c r="B38" s="8" t="n"/>
      <c r="C38" s="9" t="n"/>
      <c r="D38" s="9" t="n"/>
      <c r="E38" s="10">
        <f>IF(A38="","",N(C38)-N(D38))</f>
        <v/>
      </c>
      <c r="F38" s="8" t="n"/>
      <c r="G38" s="8" t="n"/>
      <c r="H38" s="7">
        <f>IF(A38="","",IF(OR(F38="",G38=""),"UNMAPPED","ok"))</f>
        <v/>
      </c>
    </row>
    <row r="39">
      <c r="A39" s="8" t="n"/>
      <c r="B39" s="8" t="n"/>
      <c r="C39" s="9" t="n"/>
      <c r="D39" s="9" t="n"/>
      <c r="E39" s="10">
        <f>IF(A39="","",N(C39)-N(D39))</f>
        <v/>
      </c>
      <c r="F39" s="8" t="n"/>
      <c r="G39" s="8" t="n"/>
      <c r="H39" s="7">
        <f>IF(A39="","",IF(OR(F39="",G39=""),"UNMAPPED","ok"))</f>
        <v/>
      </c>
    </row>
    <row r="40">
      <c r="A40" s="8" t="n"/>
      <c r="B40" s="8" t="n"/>
      <c r="C40" s="9" t="n"/>
      <c r="D40" s="9" t="n"/>
      <c r="E40" s="10">
        <f>IF(A40="","",N(C40)-N(D40))</f>
        <v/>
      </c>
      <c r="F40" s="8" t="n"/>
      <c r="G40" s="8" t="n"/>
      <c r="H40" s="7">
        <f>IF(A40="","",IF(OR(F40="",G40=""),"UNMAPPED","ok"))</f>
        <v/>
      </c>
    </row>
    <row r="41">
      <c r="A41" s="8" t="n"/>
      <c r="B41" s="8" t="n"/>
      <c r="C41" s="9" t="n"/>
      <c r="D41" s="9" t="n"/>
      <c r="E41" s="10">
        <f>IF(A41="","",N(C41)-N(D41))</f>
        <v/>
      </c>
      <c r="F41" s="8" t="n"/>
      <c r="G41" s="8" t="n"/>
      <c r="H41" s="7">
        <f>IF(A41="","",IF(OR(F41="",G41=""),"UNMAPPED","ok"))</f>
        <v/>
      </c>
    </row>
    <row r="42">
      <c r="A42" s="8" t="n"/>
      <c r="B42" s="8" t="n"/>
      <c r="C42" s="9" t="n"/>
      <c r="D42" s="9" t="n"/>
      <c r="E42" s="10">
        <f>IF(A42="","",N(C42)-N(D42))</f>
        <v/>
      </c>
      <c r="F42" s="8" t="n"/>
      <c r="G42" s="8" t="n"/>
      <c r="H42" s="7">
        <f>IF(A42="","",IF(OR(F42="",G42=""),"UNMAPPED","ok"))</f>
        <v/>
      </c>
    </row>
    <row r="43">
      <c r="A43" s="8" t="n"/>
      <c r="B43" s="8" t="n"/>
      <c r="C43" s="9" t="n"/>
      <c r="D43" s="9" t="n"/>
      <c r="E43" s="10">
        <f>IF(A43="","",N(C43)-N(D43))</f>
        <v/>
      </c>
      <c r="F43" s="8" t="n"/>
      <c r="G43" s="8" t="n"/>
      <c r="H43" s="7">
        <f>IF(A43="","",IF(OR(F43="",G43=""),"UNMAPPED","ok"))</f>
        <v/>
      </c>
    </row>
    <row r="44">
      <c r="A44" s="8" t="n"/>
      <c r="B44" s="8" t="n"/>
      <c r="C44" s="9" t="n"/>
      <c r="D44" s="9" t="n"/>
      <c r="E44" s="10">
        <f>IF(A44="","",N(C44)-N(D44))</f>
        <v/>
      </c>
      <c r="F44" s="8" t="n"/>
      <c r="G44" s="8" t="n"/>
      <c r="H44" s="7">
        <f>IF(A44="","",IF(OR(F44="",G44=""),"UNMAPPED","ok"))</f>
        <v/>
      </c>
    </row>
    <row r="45">
      <c r="A45" s="8" t="n"/>
      <c r="B45" s="8" t="n"/>
      <c r="C45" s="9" t="n"/>
      <c r="D45" s="9" t="n"/>
      <c r="E45" s="10">
        <f>IF(A45="","",N(C45)-N(D45))</f>
        <v/>
      </c>
      <c r="F45" s="8" t="n"/>
      <c r="G45" s="8" t="n"/>
      <c r="H45" s="7">
        <f>IF(A45="","",IF(OR(F45="",G45=""),"UNMAPPED","ok"))</f>
        <v/>
      </c>
    </row>
    <row r="46">
      <c r="A46" s="8" t="n"/>
      <c r="B46" s="8" t="n"/>
      <c r="C46" s="9" t="n"/>
      <c r="D46" s="9" t="n"/>
      <c r="E46" s="10">
        <f>IF(A46="","",N(C46)-N(D46))</f>
        <v/>
      </c>
      <c r="F46" s="8" t="n"/>
      <c r="G46" s="8" t="n"/>
      <c r="H46" s="7">
        <f>IF(A46="","",IF(OR(F46="",G46=""),"UNMAPPED","ok"))</f>
        <v/>
      </c>
    </row>
    <row r="47">
      <c r="A47" s="8" t="n"/>
      <c r="B47" s="8" t="n"/>
      <c r="C47" s="9" t="n"/>
      <c r="D47" s="9" t="n"/>
      <c r="E47" s="10">
        <f>IF(A47="","",N(C47)-N(D47))</f>
        <v/>
      </c>
      <c r="F47" s="8" t="n"/>
      <c r="G47" s="8" t="n"/>
      <c r="H47" s="7">
        <f>IF(A47="","",IF(OR(F47="",G47=""),"UNMAPPED","ok"))</f>
        <v/>
      </c>
    </row>
    <row r="48">
      <c r="A48" s="8" t="n"/>
      <c r="B48" s="8" t="n"/>
      <c r="C48" s="9" t="n"/>
      <c r="D48" s="9" t="n"/>
      <c r="E48" s="10">
        <f>IF(A48="","",N(C48)-N(D48))</f>
        <v/>
      </c>
      <c r="F48" s="8" t="n"/>
      <c r="G48" s="8" t="n"/>
      <c r="H48" s="7">
        <f>IF(A48="","",IF(OR(F48="",G48=""),"UNMAPPED","ok"))</f>
        <v/>
      </c>
    </row>
    <row r="49">
      <c r="A49" s="8" t="n"/>
      <c r="B49" s="8" t="n"/>
      <c r="C49" s="9" t="n"/>
      <c r="D49" s="9" t="n"/>
      <c r="E49" s="10">
        <f>IF(A49="","",N(C49)-N(D49))</f>
        <v/>
      </c>
      <c r="F49" s="8" t="n"/>
      <c r="G49" s="8" t="n"/>
      <c r="H49" s="7">
        <f>IF(A49="","",IF(OR(F49="",G49=""),"UNMAPPED","ok"))</f>
        <v/>
      </c>
    </row>
    <row r="50">
      <c r="A50" s="8" t="n"/>
      <c r="B50" s="8" t="n"/>
      <c r="C50" s="9" t="n"/>
      <c r="D50" s="9" t="n"/>
      <c r="E50" s="10">
        <f>IF(A50="","",N(C50)-N(D50))</f>
        <v/>
      </c>
      <c r="F50" s="8" t="n"/>
      <c r="G50" s="8" t="n"/>
      <c r="H50" s="7">
        <f>IF(A50="","",IF(OR(F50="",G50=""),"UNMAPPED","ok"))</f>
        <v/>
      </c>
    </row>
    <row r="51">
      <c r="A51" s="8" t="n"/>
      <c r="B51" s="8" t="n"/>
      <c r="C51" s="9" t="n"/>
      <c r="D51" s="9" t="n"/>
      <c r="E51" s="10">
        <f>IF(A51="","",N(C51)-N(D51))</f>
        <v/>
      </c>
      <c r="F51" s="8" t="n"/>
      <c r="G51" s="8" t="n"/>
      <c r="H51" s="7">
        <f>IF(A51="","",IF(OR(F51="",G51=""),"UNMAPPED","ok"))</f>
        <v/>
      </c>
    </row>
    <row r="52">
      <c r="A52" s="8" t="n"/>
      <c r="B52" s="8" t="n"/>
      <c r="C52" s="9" t="n"/>
      <c r="D52" s="9" t="n"/>
      <c r="E52" s="10">
        <f>IF(A52="","",N(C52)-N(D52))</f>
        <v/>
      </c>
      <c r="F52" s="8" t="n"/>
      <c r="G52" s="8" t="n"/>
      <c r="H52" s="7">
        <f>IF(A52="","",IF(OR(F52="",G52=""),"UNMAPPED","ok"))</f>
        <v/>
      </c>
    </row>
    <row r="53">
      <c r="A53" s="8" t="n"/>
      <c r="B53" s="8" t="n"/>
      <c r="C53" s="9" t="n"/>
      <c r="D53" s="9" t="n"/>
      <c r="E53" s="10">
        <f>IF(A53="","",N(C53)-N(D53))</f>
        <v/>
      </c>
      <c r="F53" s="8" t="n"/>
      <c r="G53" s="8" t="n"/>
      <c r="H53" s="7">
        <f>IF(A53="","",IF(OR(F53="",G53=""),"UNMAPPED","ok"))</f>
        <v/>
      </c>
    </row>
    <row r="54">
      <c r="A54" s="8" t="n"/>
      <c r="B54" s="8" t="n"/>
      <c r="C54" s="9" t="n"/>
      <c r="D54" s="9" t="n"/>
      <c r="E54" s="10">
        <f>IF(A54="","",N(C54)-N(D54))</f>
        <v/>
      </c>
      <c r="F54" s="8" t="n"/>
      <c r="G54" s="8" t="n"/>
      <c r="H54" s="7">
        <f>IF(A54="","",IF(OR(F54="",G54=""),"UNMAPPED","ok"))</f>
        <v/>
      </c>
    </row>
    <row r="55">
      <c r="A55" s="8" t="n"/>
      <c r="B55" s="8" t="n"/>
      <c r="C55" s="9" t="n"/>
      <c r="D55" s="9" t="n"/>
      <c r="E55" s="10">
        <f>IF(A55="","",N(C55)-N(D55))</f>
        <v/>
      </c>
      <c r="F55" s="8" t="n"/>
      <c r="G55" s="8" t="n"/>
      <c r="H55" s="7">
        <f>IF(A55="","",IF(OR(F55="",G55=""),"UNMAPPED","ok"))</f>
        <v/>
      </c>
    </row>
    <row r="56">
      <c r="A56" s="8" t="n"/>
      <c r="B56" s="8" t="n"/>
      <c r="C56" s="9" t="n"/>
      <c r="D56" s="9" t="n"/>
      <c r="E56" s="10">
        <f>IF(A56="","",N(C56)-N(D56))</f>
        <v/>
      </c>
      <c r="F56" s="8" t="n"/>
      <c r="G56" s="8" t="n"/>
      <c r="H56" s="7">
        <f>IF(A56="","",IF(OR(F56="",G56=""),"UNMAPPED","ok"))</f>
        <v/>
      </c>
    </row>
    <row r="57">
      <c r="A57" s="8" t="n"/>
      <c r="B57" s="8" t="n"/>
      <c r="C57" s="9" t="n"/>
      <c r="D57" s="9" t="n"/>
      <c r="E57" s="10">
        <f>IF(A57="","",N(C57)-N(D57))</f>
        <v/>
      </c>
      <c r="F57" s="8" t="n"/>
      <c r="G57" s="8" t="n"/>
      <c r="H57" s="7">
        <f>IF(A57="","",IF(OR(F57="",G57=""),"UNMAPPED","ok"))</f>
        <v/>
      </c>
    </row>
    <row r="58">
      <c r="A58" s="8" t="n"/>
      <c r="B58" s="8" t="n"/>
      <c r="C58" s="9" t="n"/>
      <c r="D58" s="9" t="n"/>
      <c r="E58" s="10">
        <f>IF(A58="","",N(C58)-N(D58))</f>
        <v/>
      </c>
      <c r="F58" s="8" t="n"/>
      <c r="G58" s="8" t="n"/>
      <c r="H58" s="7">
        <f>IF(A58="","",IF(OR(F58="",G58=""),"UNMAPPED","ok"))</f>
        <v/>
      </c>
    </row>
    <row r="59">
      <c r="A59" s="8" t="n"/>
      <c r="B59" s="8" t="n"/>
      <c r="C59" s="9" t="n"/>
      <c r="D59" s="9" t="n"/>
      <c r="E59" s="10">
        <f>IF(A59="","",N(C59)-N(D59))</f>
        <v/>
      </c>
      <c r="F59" s="8" t="n"/>
      <c r="G59" s="8" t="n"/>
      <c r="H59" s="7">
        <f>IF(A59="","",IF(OR(F59="",G59=""),"UNMAPPED","ok"))</f>
        <v/>
      </c>
    </row>
    <row r="60">
      <c r="A60" s="8" t="n"/>
      <c r="B60" s="8" t="n"/>
      <c r="C60" s="9" t="n"/>
      <c r="D60" s="9" t="n"/>
      <c r="E60" s="10">
        <f>IF(A60="","",N(C60)-N(D60))</f>
        <v/>
      </c>
      <c r="F60" s="8" t="n"/>
      <c r="G60" s="8" t="n"/>
      <c r="H60" s="7">
        <f>IF(A60="","",IF(OR(F60="",G60=""),"UNMAPPED","ok"))</f>
        <v/>
      </c>
    </row>
    <row r="61">
      <c r="A61" s="8" t="n"/>
      <c r="B61" s="8" t="n"/>
      <c r="C61" s="9" t="n"/>
      <c r="D61" s="9" t="n"/>
      <c r="E61" s="10">
        <f>IF(A61="","",N(C61)-N(D61))</f>
        <v/>
      </c>
      <c r="F61" s="8" t="n"/>
      <c r="G61" s="8" t="n"/>
      <c r="H61" s="7">
        <f>IF(A61="","",IF(OR(F61="",G61=""),"UNMAPPED","ok"))</f>
        <v/>
      </c>
    </row>
    <row r="62">
      <c r="A62" s="8" t="n"/>
      <c r="B62" s="8" t="n"/>
      <c r="C62" s="9" t="n"/>
      <c r="D62" s="9" t="n"/>
      <c r="E62" s="10">
        <f>IF(A62="","",N(C62)-N(D62))</f>
        <v/>
      </c>
      <c r="F62" s="8" t="n"/>
      <c r="G62" s="8" t="n"/>
      <c r="H62" s="7">
        <f>IF(A62="","",IF(OR(F62="",G62=""),"UNMAPPED","ok"))</f>
        <v/>
      </c>
    </row>
    <row r="63">
      <c r="A63" s="8" t="n"/>
      <c r="B63" s="8" t="n"/>
      <c r="C63" s="9" t="n"/>
      <c r="D63" s="9" t="n"/>
      <c r="E63" s="10">
        <f>IF(A63="","",N(C63)-N(D63))</f>
        <v/>
      </c>
      <c r="F63" s="8" t="n"/>
      <c r="G63" s="8" t="n"/>
      <c r="H63" s="7">
        <f>IF(A63="","",IF(OR(F63="",G63=""),"UNMAPPED","ok"))</f>
        <v/>
      </c>
    </row>
    <row r="64">
      <c r="A64" s="8" t="n"/>
      <c r="B64" s="8" t="n"/>
      <c r="C64" s="9" t="n"/>
      <c r="D64" s="9" t="n"/>
      <c r="E64" s="10">
        <f>IF(A64="","",N(C64)-N(D64))</f>
        <v/>
      </c>
      <c r="F64" s="8" t="n"/>
      <c r="G64" s="8" t="n"/>
      <c r="H64" s="7">
        <f>IF(A64="","",IF(OR(F64="",G64=""),"UNMAPPED","ok"))</f>
        <v/>
      </c>
    </row>
    <row r="65">
      <c r="A65" s="8" t="n"/>
      <c r="B65" s="8" t="n"/>
      <c r="C65" s="9" t="n"/>
      <c r="D65" s="9" t="n"/>
      <c r="E65" s="10">
        <f>IF(A65="","",N(C65)-N(D65))</f>
        <v/>
      </c>
      <c r="F65" s="8" t="n"/>
      <c r="G65" s="8" t="n"/>
      <c r="H65" s="7">
        <f>IF(A65="","",IF(OR(F65="",G65=""),"UNMAPPED","ok"))</f>
        <v/>
      </c>
    </row>
    <row r="66">
      <c r="A66" s="8" t="n"/>
      <c r="B66" s="8" t="n"/>
      <c r="C66" s="9" t="n"/>
      <c r="D66" s="9" t="n"/>
      <c r="E66" s="10">
        <f>IF(A66="","",N(C66)-N(D66))</f>
        <v/>
      </c>
      <c r="F66" s="8" t="n"/>
      <c r="G66" s="8" t="n"/>
      <c r="H66" s="7">
        <f>IF(A66="","",IF(OR(F66="",G66=""),"UNMAPPED","ok"))</f>
        <v/>
      </c>
    </row>
    <row r="67">
      <c r="A67" s="8" t="n"/>
      <c r="B67" s="8" t="n"/>
      <c r="C67" s="9" t="n"/>
      <c r="D67" s="9" t="n"/>
      <c r="E67" s="10">
        <f>IF(A67="","",N(C67)-N(D67))</f>
        <v/>
      </c>
      <c r="F67" s="8" t="n"/>
      <c r="G67" s="8" t="n"/>
      <c r="H67" s="7">
        <f>IF(A67="","",IF(OR(F67="",G67=""),"UNMAPPED","ok"))</f>
        <v/>
      </c>
    </row>
    <row r="68">
      <c r="A68" s="8" t="n"/>
      <c r="B68" s="8" t="n"/>
      <c r="C68" s="9" t="n"/>
      <c r="D68" s="9" t="n"/>
      <c r="E68" s="10">
        <f>IF(A68="","",N(C68)-N(D68))</f>
        <v/>
      </c>
      <c r="F68" s="8" t="n"/>
      <c r="G68" s="8" t="n"/>
      <c r="H68" s="7">
        <f>IF(A68="","",IF(OR(F68="",G68=""),"UNMAPPED","ok"))</f>
        <v/>
      </c>
    </row>
    <row r="69">
      <c r="A69" s="8" t="n"/>
      <c r="B69" s="8" t="n"/>
      <c r="C69" s="9" t="n"/>
      <c r="D69" s="9" t="n"/>
      <c r="E69" s="10">
        <f>IF(A69="","",N(C69)-N(D69))</f>
        <v/>
      </c>
      <c r="F69" s="8" t="n"/>
      <c r="G69" s="8" t="n"/>
      <c r="H69" s="7">
        <f>IF(A69="","",IF(OR(F69="",G69=""),"UNMAPPED","ok"))</f>
        <v/>
      </c>
    </row>
    <row r="70">
      <c r="A70" s="8" t="n"/>
      <c r="B70" s="8" t="n"/>
      <c r="C70" s="9" t="n"/>
      <c r="D70" s="9" t="n"/>
      <c r="E70" s="10">
        <f>IF(A70="","",N(C70)-N(D70))</f>
        <v/>
      </c>
      <c r="F70" s="8" t="n"/>
      <c r="G70" s="8" t="n"/>
      <c r="H70" s="7">
        <f>IF(A70="","",IF(OR(F70="",G70=""),"UNMAPPED","ok"))</f>
        <v/>
      </c>
    </row>
    <row r="71">
      <c r="A71" s="8" t="n"/>
      <c r="B71" s="8" t="n"/>
      <c r="C71" s="9" t="n"/>
      <c r="D71" s="9" t="n"/>
      <c r="E71" s="10">
        <f>IF(A71="","",N(C71)-N(D71))</f>
        <v/>
      </c>
      <c r="F71" s="8" t="n"/>
      <c r="G71" s="8" t="n"/>
      <c r="H71" s="7">
        <f>IF(A71="","",IF(OR(F71="",G71=""),"UNMAPPED","ok"))</f>
        <v/>
      </c>
    </row>
    <row r="72">
      <c r="A72" s="8" t="n"/>
      <c r="B72" s="8" t="n"/>
      <c r="C72" s="9" t="n"/>
      <c r="D72" s="9" t="n"/>
      <c r="E72" s="10">
        <f>IF(A72="","",N(C72)-N(D72))</f>
        <v/>
      </c>
      <c r="F72" s="8" t="n"/>
      <c r="G72" s="8" t="n"/>
      <c r="H72" s="7">
        <f>IF(A72="","",IF(OR(F72="",G72=""),"UNMAPPED","ok"))</f>
        <v/>
      </c>
    </row>
    <row r="73">
      <c r="A73" s="8" t="n"/>
      <c r="B73" s="8" t="n"/>
      <c r="C73" s="9" t="n"/>
      <c r="D73" s="9" t="n"/>
      <c r="E73" s="10">
        <f>IF(A73="","",N(C73)-N(D73))</f>
        <v/>
      </c>
      <c r="F73" s="8" t="n"/>
      <c r="G73" s="8" t="n"/>
      <c r="H73" s="7">
        <f>IF(A73="","",IF(OR(F73="",G73=""),"UNMAPPED","ok"))</f>
        <v/>
      </c>
    </row>
    <row r="74">
      <c r="A74" s="8" t="n"/>
      <c r="B74" s="8" t="n"/>
      <c r="C74" s="9" t="n"/>
      <c r="D74" s="9" t="n"/>
      <c r="E74" s="10">
        <f>IF(A74="","",N(C74)-N(D74))</f>
        <v/>
      </c>
      <c r="F74" s="8" t="n"/>
      <c r="G74" s="8" t="n"/>
      <c r="H74" s="7">
        <f>IF(A74="","",IF(OR(F74="",G74=""),"UNMAPPED","ok"))</f>
        <v/>
      </c>
    </row>
    <row r="75">
      <c r="A75" s="8" t="n"/>
      <c r="B75" s="8" t="n"/>
      <c r="C75" s="9" t="n"/>
      <c r="D75" s="9" t="n"/>
      <c r="E75" s="10">
        <f>IF(A75="","",N(C75)-N(D75))</f>
        <v/>
      </c>
      <c r="F75" s="8" t="n"/>
      <c r="G75" s="8" t="n"/>
      <c r="H75" s="7">
        <f>IF(A75="","",IF(OR(F75="",G75=""),"UNMAPPED","ok"))</f>
        <v/>
      </c>
    </row>
    <row r="76">
      <c r="A76" s="8" t="n"/>
      <c r="B76" s="8" t="n"/>
      <c r="C76" s="9" t="n"/>
      <c r="D76" s="9" t="n"/>
      <c r="E76" s="10">
        <f>IF(A76="","",N(C76)-N(D76))</f>
        <v/>
      </c>
      <c r="F76" s="8" t="n"/>
      <c r="G76" s="8" t="n"/>
      <c r="H76" s="7">
        <f>IF(A76="","",IF(OR(F76="",G76=""),"UNMAPPED","ok"))</f>
        <v/>
      </c>
    </row>
    <row r="77">
      <c r="A77" s="8" t="n"/>
      <c r="B77" s="8" t="n"/>
      <c r="C77" s="9" t="n"/>
      <c r="D77" s="9" t="n"/>
      <c r="E77" s="10">
        <f>IF(A77="","",N(C77)-N(D77))</f>
        <v/>
      </c>
      <c r="F77" s="8" t="n"/>
      <c r="G77" s="8" t="n"/>
      <c r="H77" s="7">
        <f>IF(A77="","",IF(OR(F77="",G77=""),"UNMAPPED","ok"))</f>
        <v/>
      </c>
    </row>
    <row r="78">
      <c r="A78" s="8" t="n"/>
      <c r="B78" s="8" t="n"/>
      <c r="C78" s="9" t="n"/>
      <c r="D78" s="9" t="n"/>
      <c r="E78" s="10">
        <f>IF(A78="","",N(C78)-N(D78))</f>
        <v/>
      </c>
      <c r="F78" s="8" t="n"/>
      <c r="G78" s="8" t="n"/>
      <c r="H78" s="7">
        <f>IF(A78="","",IF(OR(F78="",G78=""),"UNMAPPED","ok"))</f>
        <v/>
      </c>
    </row>
    <row r="79">
      <c r="A79" s="8" t="n"/>
      <c r="B79" s="8" t="n"/>
      <c r="C79" s="9" t="n"/>
      <c r="D79" s="9" t="n"/>
      <c r="E79" s="10">
        <f>IF(A79="","",N(C79)-N(D79))</f>
        <v/>
      </c>
      <c r="F79" s="8" t="n"/>
      <c r="G79" s="8" t="n"/>
      <c r="H79" s="7">
        <f>IF(A79="","",IF(OR(F79="",G79=""),"UNMAPPED","ok"))</f>
        <v/>
      </c>
    </row>
    <row r="80">
      <c r="A80" s="8" t="n"/>
      <c r="B80" s="8" t="n"/>
      <c r="C80" s="9" t="n"/>
      <c r="D80" s="9" t="n"/>
      <c r="E80" s="10">
        <f>IF(A80="","",N(C80)-N(D80))</f>
        <v/>
      </c>
      <c r="F80" s="8" t="n"/>
      <c r="G80" s="8" t="n"/>
      <c r="H80" s="7">
        <f>IF(A80="","",IF(OR(F80="",G80=""),"UNMAPPED","ok"))</f>
        <v/>
      </c>
    </row>
    <row r="81">
      <c r="A81" s="8" t="n"/>
      <c r="B81" s="8" t="n"/>
      <c r="C81" s="9" t="n"/>
      <c r="D81" s="9" t="n"/>
      <c r="E81" s="10">
        <f>IF(A81="","",N(C81)-N(D81))</f>
        <v/>
      </c>
      <c r="F81" s="8" t="n"/>
      <c r="G81" s="8" t="n"/>
      <c r="H81" s="7">
        <f>IF(A81="","",IF(OR(F81="",G81=""),"UNMAPPED","ok"))</f>
        <v/>
      </c>
    </row>
    <row r="82">
      <c r="A82" s="8" t="n"/>
      <c r="B82" s="8" t="n"/>
      <c r="C82" s="9" t="n"/>
      <c r="D82" s="9" t="n"/>
      <c r="E82" s="10">
        <f>IF(A82="","",N(C82)-N(D82))</f>
        <v/>
      </c>
      <c r="F82" s="8" t="n"/>
      <c r="G82" s="8" t="n"/>
      <c r="H82" s="7">
        <f>IF(A82="","",IF(OR(F82="",G82=""),"UNMAPPED","ok"))</f>
        <v/>
      </c>
    </row>
    <row r="83">
      <c r="A83" s="8" t="n"/>
      <c r="B83" s="8" t="n"/>
      <c r="C83" s="9" t="n"/>
      <c r="D83" s="9" t="n"/>
      <c r="E83" s="10">
        <f>IF(A83="","",N(C83)-N(D83))</f>
        <v/>
      </c>
      <c r="F83" s="8" t="n"/>
      <c r="G83" s="8" t="n"/>
      <c r="H83" s="7">
        <f>IF(A83="","",IF(OR(F83="",G83=""),"UNMAPPED","ok"))</f>
        <v/>
      </c>
    </row>
    <row r="84">
      <c r="A84" s="8" t="n"/>
      <c r="B84" s="8" t="n"/>
      <c r="C84" s="9" t="n"/>
      <c r="D84" s="9" t="n"/>
      <c r="E84" s="10">
        <f>IF(A84="","",N(C84)-N(D84))</f>
        <v/>
      </c>
      <c r="F84" s="8" t="n"/>
      <c r="G84" s="8" t="n"/>
      <c r="H84" s="7">
        <f>IF(A84="","",IF(OR(F84="",G84=""),"UNMAPPED","ok"))</f>
        <v/>
      </c>
    </row>
    <row r="85">
      <c r="A85" s="8" t="n"/>
      <c r="B85" s="8" t="n"/>
      <c r="C85" s="9" t="n"/>
      <c r="D85" s="9" t="n"/>
      <c r="E85" s="10">
        <f>IF(A85="","",N(C85)-N(D85))</f>
        <v/>
      </c>
      <c r="F85" s="8" t="n"/>
      <c r="G85" s="8" t="n"/>
      <c r="H85" s="7">
        <f>IF(A85="","",IF(OR(F85="",G85=""),"UNMAPPED","ok"))</f>
        <v/>
      </c>
    </row>
    <row r="86">
      <c r="A86" s="8" t="n"/>
      <c r="B86" s="8" t="n"/>
      <c r="C86" s="9" t="n"/>
      <c r="D86" s="9" t="n"/>
      <c r="E86" s="10">
        <f>IF(A86="","",N(C86)-N(D86))</f>
        <v/>
      </c>
      <c r="F86" s="8" t="n"/>
      <c r="G86" s="8" t="n"/>
      <c r="H86" s="7">
        <f>IF(A86="","",IF(OR(F86="",G86=""),"UNMAPPED","ok"))</f>
        <v/>
      </c>
    </row>
    <row r="87">
      <c r="A87" s="8" t="n"/>
      <c r="B87" s="8" t="n"/>
      <c r="C87" s="9" t="n"/>
      <c r="D87" s="9" t="n"/>
      <c r="E87" s="10">
        <f>IF(A87="","",N(C87)-N(D87))</f>
        <v/>
      </c>
      <c r="F87" s="8" t="n"/>
      <c r="G87" s="8" t="n"/>
      <c r="H87" s="7">
        <f>IF(A87="","",IF(OR(F87="",G87=""),"UNMAPPED","ok"))</f>
        <v/>
      </c>
    </row>
    <row r="88">
      <c r="A88" s="8" t="n"/>
      <c r="B88" s="8" t="n"/>
      <c r="C88" s="9" t="n"/>
      <c r="D88" s="9" t="n"/>
      <c r="E88" s="10">
        <f>IF(A88="","",N(C88)-N(D88))</f>
        <v/>
      </c>
      <c r="F88" s="8" t="n"/>
      <c r="G88" s="8" t="n"/>
      <c r="H88" s="7">
        <f>IF(A88="","",IF(OR(F88="",G88=""),"UNMAPPED","ok"))</f>
        <v/>
      </c>
    </row>
    <row r="89">
      <c r="A89" s="8" t="n"/>
      <c r="B89" s="8" t="n"/>
      <c r="C89" s="9" t="n"/>
      <c r="D89" s="9" t="n"/>
      <c r="E89" s="10">
        <f>IF(A89="","",N(C89)-N(D89))</f>
        <v/>
      </c>
      <c r="F89" s="8" t="n"/>
      <c r="G89" s="8" t="n"/>
      <c r="H89" s="7">
        <f>IF(A89="","",IF(OR(F89="",G89=""),"UNMAPPED","ok"))</f>
        <v/>
      </c>
    </row>
    <row r="90">
      <c r="A90" s="8" t="n"/>
      <c r="B90" s="8" t="n"/>
      <c r="C90" s="9" t="n"/>
      <c r="D90" s="9" t="n"/>
      <c r="E90" s="10">
        <f>IF(A90="","",N(C90)-N(D90))</f>
        <v/>
      </c>
      <c r="F90" s="8" t="n"/>
      <c r="G90" s="8" t="n"/>
      <c r="H90" s="7">
        <f>IF(A90="","",IF(OR(F90="",G90=""),"UNMAPPED","ok"))</f>
        <v/>
      </c>
    </row>
    <row r="91">
      <c r="A91" s="8" t="n"/>
      <c r="B91" s="8" t="n"/>
      <c r="C91" s="9" t="n"/>
      <c r="D91" s="9" t="n"/>
      <c r="E91" s="10">
        <f>IF(A91="","",N(C91)-N(D91))</f>
        <v/>
      </c>
      <c r="F91" s="8" t="n"/>
      <c r="G91" s="8" t="n"/>
      <c r="H91" s="7">
        <f>IF(A91="","",IF(OR(F91="",G91=""),"UNMAPPED","ok"))</f>
        <v/>
      </c>
    </row>
    <row r="92">
      <c r="A92" s="8" t="n"/>
      <c r="B92" s="8" t="n"/>
      <c r="C92" s="9" t="n"/>
      <c r="D92" s="9" t="n"/>
      <c r="E92" s="10">
        <f>IF(A92="","",N(C92)-N(D92))</f>
        <v/>
      </c>
      <c r="F92" s="8" t="n"/>
      <c r="G92" s="8" t="n"/>
      <c r="H92" s="7">
        <f>IF(A92="","",IF(OR(F92="",G92=""),"UNMAPPED","ok"))</f>
        <v/>
      </c>
    </row>
    <row r="93">
      <c r="A93" s="8" t="n"/>
      <c r="B93" s="8" t="n"/>
      <c r="C93" s="9" t="n"/>
      <c r="D93" s="9" t="n"/>
      <c r="E93" s="10">
        <f>IF(A93="","",N(C93)-N(D93))</f>
        <v/>
      </c>
      <c r="F93" s="8" t="n"/>
      <c r="G93" s="8" t="n"/>
      <c r="H93" s="7">
        <f>IF(A93="","",IF(OR(F93="",G93=""),"UNMAPPED","ok"))</f>
        <v/>
      </c>
    </row>
    <row r="94">
      <c r="A94" s="8" t="n"/>
      <c r="B94" s="8" t="n"/>
      <c r="C94" s="9" t="n"/>
      <c r="D94" s="9" t="n"/>
      <c r="E94" s="10">
        <f>IF(A94="","",N(C94)-N(D94))</f>
        <v/>
      </c>
      <c r="F94" s="8" t="n"/>
      <c r="G94" s="8" t="n"/>
      <c r="H94" s="7">
        <f>IF(A94="","",IF(OR(F94="",G94=""),"UNMAPPED","ok"))</f>
        <v/>
      </c>
    </row>
    <row r="95">
      <c r="A95" s="8" t="n"/>
      <c r="B95" s="8" t="n"/>
      <c r="C95" s="9" t="n"/>
      <c r="D95" s="9" t="n"/>
      <c r="E95" s="10">
        <f>IF(A95="","",N(C95)-N(D95))</f>
        <v/>
      </c>
      <c r="F95" s="8" t="n"/>
      <c r="G95" s="8" t="n"/>
      <c r="H95" s="7">
        <f>IF(A95="","",IF(OR(F95="",G95=""),"UNMAPPED","ok"))</f>
        <v/>
      </c>
    </row>
    <row r="96">
      <c r="A96" s="8" t="n"/>
      <c r="B96" s="8" t="n"/>
      <c r="C96" s="9" t="n"/>
      <c r="D96" s="9" t="n"/>
      <c r="E96" s="10">
        <f>IF(A96="","",N(C96)-N(D96))</f>
        <v/>
      </c>
      <c r="F96" s="8" t="n"/>
      <c r="G96" s="8" t="n"/>
      <c r="H96" s="7">
        <f>IF(A96="","",IF(OR(F96="",G96=""),"UNMAPPED","ok"))</f>
        <v/>
      </c>
    </row>
    <row r="97">
      <c r="A97" s="8" t="n"/>
      <c r="B97" s="8" t="n"/>
      <c r="C97" s="9" t="n"/>
      <c r="D97" s="9" t="n"/>
      <c r="E97" s="10">
        <f>IF(A97="","",N(C97)-N(D97))</f>
        <v/>
      </c>
      <c r="F97" s="8" t="n"/>
      <c r="G97" s="8" t="n"/>
      <c r="H97" s="7">
        <f>IF(A97="","",IF(OR(F97="",G97=""),"UNMAPPED","ok"))</f>
        <v/>
      </c>
    </row>
    <row r="98">
      <c r="A98" s="8" t="n"/>
      <c r="B98" s="8" t="n"/>
      <c r="C98" s="9" t="n"/>
      <c r="D98" s="9" t="n"/>
      <c r="E98" s="10">
        <f>IF(A98="","",N(C98)-N(D98))</f>
        <v/>
      </c>
      <c r="F98" s="8" t="n"/>
      <c r="G98" s="8" t="n"/>
      <c r="H98" s="7">
        <f>IF(A98="","",IF(OR(F98="",G98=""),"UNMAPPED","ok"))</f>
        <v/>
      </c>
    </row>
    <row r="99">
      <c r="A99" s="8" t="n"/>
      <c r="B99" s="8" t="n"/>
      <c r="C99" s="9" t="n"/>
      <c r="D99" s="9" t="n"/>
      <c r="E99" s="10">
        <f>IF(A99="","",N(C99)-N(D99))</f>
        <v/>
      </c>
      <c r="F99" s="8" t="n"/>
      <c r="G99" s="8" t="n"/>
      <c r="H99" s="7">
        <f>IF(A99="","",IF(OR(F99="",G99=""),"UNMAPPED","ok"))</f>
        <v/>
      </c>
    </row>
    <row r="100">
      <c r="A100" s="8" t="n"/>
      <c r="B100" s="8" t="n"/>
      <c r="C100" s="9" t="n"/>
      <c r="D100" s="9" t="n"/>
      <c r="E100" s="10">
        <f>IF(A100="","",N(C100)-N(D100))</f>
        <v/>
      </c>
      <c r="F100" s="8" t="n"/>
      <c r="G100" s="8" t="n"/>
      <c r="H100" s="7">
        <f>IF(A100="","",IF(OR(F100="",G100=""),"UNMAPPED","ok"))</f>
        <v/>
      </c>
    </row>
    <row r="101">
      <c r="A101" s="8" t="n"/>
      <c r="B101" s="8" t="n"/>
      <c r="C101" s="9" t="n"/>
      <c r="D101" s="9" t="n"/>
      <c r="E101" s="10">
        <f>IF(A101="","",N(C101)-N(D101))</f>
        <v/>
      </c>
      <c r="F101" s="8" t="n"/>
      <c r="G101" s="8" t="n"/>
      <c r="H101" s="7">
        <f>IF(A101="","",IF(OR(F101="",G101=""),"UNMAPPED","ok"))</f>
        <v/>
      </c>
    </row>
    <row r="102">
      <c r="A102" s="8" t="n"/>
      <c r="B102" s="8" t="n"/>
      <c r="C102" s="9" t="n"/>
      <c r="D102" s="9" t="n"/>
      <c r="E102" s="10">
        <f>IF(A102="","",N(C102)-N(D102))</f>
        <v/>
      </c>
      <c r="F102" s="8" t="n"/>
      <c r="G102" s="8" t="n"/>
      <c r="H102" s="7">
        <f>IF(A102="","",IF(OR(F102="",G102=""),"UNMAPPED","ok"))</f>
        <v/>
      </c>
    </row>
    <row r="103">
      <c r="A103" s="8" t="n"/>
      <c r="B103" s="8" t="n"/>
      <c r="C103" s="9" t="n"/>
      <c r="D103" s="9" t="n"/>
      <c r="E103" s="10">
        <f>IF(A103="","",N(C103)-N(D103))</f>
        <v/>
      </c>
      <c r="F103" s="8" t="n"/>
      <c r="G103" s="8" t="n"/>
      <c r="H103" s="7">
        <f>IF(A103="","",IF(OR(F103="",G103=""),"UNMAPPED","ok"))</f>
        <v/>
      </c>
    </row>
    <row r="104">
      <c r="A104" s="8" t="n"/>
      <c r="B104" s="8" t="n"/>
      <c r="C104" s="9" t="n"/>
      <c r="D104" s="9" t="n"/>
      <c r="E104" s="10">
        <f>IF(A104="","",N(C104)-N(D104))</f>
        <v/>
      </c>
      <c r="F104" s="8" t="n"/>
      <c r="G104" s="8" t="n"/>
      <c r="H104" s="7">
        <f>IF(A104="","",IF(OR(F104="",G104=""),"UNMAPPED","ok"))</f>
        <v/>
      </c>
    </row>
    <row r="105">
      <c r="A105" s="8" t="n"/>
      <c r="B105" s="8" t="n"/>
      <c r="C105" s="9" t="n"/>
      <c r="D105" s="9" t="n"/>
      <c r="E105" s="10">
        <f>IF(A105="","",N(C105)-N(D105))</f>
        <v/>
      </c>
      <c r="F105" s="8" t="n"/>
      <c r="G105" s="8" t="n"/>
      <c r="H105" s="7">
        <f>IF(A105="","",IF(OR(F105="",G105=""),"UNMAPPED","ok"))</f>
        <v/>
      </c>
    </row>
    <row r="106">
      <c r="A106" s="8" t="n"/>
      <c r="B106" s="8" t="n"/>
      <c r="C106" s="9" t="n"/>
      <c r="D106" s="9" t="n"/>
      <c r="E106" s="10">
        <f>IF(A106="","",N(C106)-N(D106))</f>
        <v/>
      </c>
      <c r="F106" s="8" t="n"/>
      <c r="G106" s="8" t="n"/>
      <c r="H106" s="7">
        <f>IF(A106="","",IF(OR(F106="",G106=""),"UNMAPPED","ok"))</f>
        <v/>
      </c>
    </row>
    <row r="107">
      <c r="A107" s="8" t="n"/>
      <c r="B107" s="8" t="n"/>
      <c r="C107" s="9" t="n"/>
      <c r="D107" s="9" t="n"/>
      <c r="E107" s="10">
        <f>IF(A107="","",N(C107)-N(D107))</f>
        <v/>
      </c>
      <c r="F107" s="8" t="n"/>
      <c r="G107" s="8" t="n"/>
      <c r="H107" s="7">
        <f>IF(A107="","",IF(OR(F107="",G107=""),"UNMAPPED","ok"))</f>
        <v/>
      </c>
    </row>
    <row r="108">
      <c r="A108" s="8" t="n"/>
      <c r="B108" s="8" t="n"/>
      <c r="C108" s="9" t="n"/>
      <c r="D108" s="9" t="n"/>
      <c r="E108" s="10">
        <f>IF(A108="","",N(C108)-N(D108))</f>
        <v/>
      </c>
      <c r="F108" s="8" t="n"/>
      <c r="G108" s="8" t="n"/>
      <c r="H108" s="7">
        <f>IF(A108="","",IF(OR(F108="",G108=""),"UNMAPPED","ok"))</f>
        <v/>
      </c>
    </row>
    <row r="109">
      <c r="A109" s="8" t="n"/>
      <c r="B109" s="8" t="n"/>
      <c r="C109" s="9" t="n"/>
      <c r="D109" s="9" t="n"/>
      <c r="E109" s="10">
        <f>IF(A109="","",N(C109)-N(D109))</f>
        <v/>
      </c>
      <c r="F109" s="8" t="n"/>
      <c r="G109" s="8" t="n"/>
      <c r="H109" s="7">
        <f>IF(A109="","",IF(OR(F109="",G109=""),"UNMAPPED","ok"))</f>
        <v/>
      </c>
    </row>
    <row r="110">
      <c r="A110" s="8" t="n"/>
      <c r="B110" s="8" t="n"/>
      <c r="C110" s="9" t="n"/>
      <c r="D110" s="9" t="n"/>
      <c r="E110" s="10">
        <f>IF(A110="","",N(C110)-N(D110))</f>
        <v/>
      </c>
      <c r="F110" s="8" t="n"/>
      <c r="G110" s="8" t="n"/>
      <c r="H110" s="7">
        <f>IF(A110="","",IF(OR(F110="",G110=""),"UNMAPPED","ok"))</f>
        <v/>
      </c>
    </row>
    <row r="111">
      <c r="A111" s="8" t="n"/>
      <c r="B111" s="8" t="n"/>
      <c r="C111" s="9" t="n"/>
      <c r="D111" s="9" t="n"/>
      <c r="E111" s="10">
        <f>IF(A111="","",N(C111)-N(D111))</f>
        <v/>
      </c>
      <c r="F111" s="8" t="n"/>
      <c r="G111" s="8" t="n"/>
      <c r="H111" s="7">
        <f>IF(A111="","",IF(OR(F111="",G111=""),"UNMAPPED","ok"))</f>
        <v/>
      </c>
    </row>
    <row r="112">
      <c r="A112" s="8" t="n"/>
      <c r="B112" s="8" t="n"/>
      <c r="C112" s="9" t="n"/>
      <c r="D112" s="9" t="n"/>
      <c r="E112" s="10">
        <f>IF(A112="","",N(C112)-N(D112))</f>
        <v/>
      </c>
      <c r="F112" s="8" t="n"/>
      <c r="G112" s="8" t="n"/>
      <c r="H112" s="7">
        <f>IF(A112="","",IF(OR(F112="",G112=""),"UNMAPPED","ok"))</f>
        <v/>
      </c>
    </row>
    <row r="113">
      <c r="A113" s="8" t="n"/>
      <c r="B113" s="8" t="n"/>
      <c r="C113" s="9" t="n"/>
      <c r="D113" s="9" t="n"/>
      <c r="E113" s="10">
        <f>IF(A113="","",N(C113)-N(D113))</f>
        <v/>
      </c>
      <c r="F113" s="8" t="n"/>
      <c r="G113" s="8" t="n"/>
      <c r="H113" s="7">
        <f>IF(A113="","",IF(OR(F113="",G113=""),"UNMAPPED","ok"))</f>
        <v/>
      </c>
    </row>
    <row r="114">
      <c r="A114" s="8" t="n"/>
      <c r="B114" s="8" t="n"/>
      <c r="C114" s="9" t="n"/>
      <c r="D114" s="9" t="n"/>
      <c r="E114" s="10">
        <f>IF(A114="","",N(C114)-N(D114))</f>
        <v/>
      </c>
      <c r="F114" s="8" t="n"/>
      <c r="G114" s="8" t="n"/>
      <c r="H114" s="7">
        <f>IF(A114="","",IF(OR(F114="",G114=""),"UNMAPPED","ok"))</f>
        <v/>
      </c>
    </row>
    <row r="115">
      <c r="A115" s="8" t="n"/>
      <c r="B115" s="8" t="n"/>
      <c r="C115" s="9" t="n"/>
      <c r="D115" s="9" t="n"/>
      <c r="E115" s="10">
        <f>IF(A115="","",N(C115)-N(D115))</f>
        <v/>
      </c>
      <c r="F115" s="8" t="n"/>
      <c r="G115" s="8" t="n"/>
      <c r="H115" s="7">
        <f>IF(A115="","",IF(OR(F115="",G115=""),"UNMAPPED","ok"))</f>
        <v/>
      </c>
    </row>
    <row r="116">
      <c r="A116" s="8" t="n"/>
      <c r="B116" s="8" t="n"/>
      <c r="C116" s="9" t="n"/>
      <c r="D116" s="9" t="n"/>
      <c r="E116" s="10">
        <f>IF(A116="","",N(C116)-N(D116))</f>
        <v/>
      </c>
      <c r="F116" s="8" t="n"/>
      <c r="G116" s="8" t="n"/>
      <c r="H116" s="7">
        <f>IF(A116="","",IF(OR(F116="",G116=""),"UNMAPPED","ok"))</f>
        <v/>
      </c>
    </row>
    <row r="117">
      <c r="A117" s="8" t="n"/>
      <c r="B117" s="8" t="n"/>
      <c r="C117" s="9" t="n"/>
      <c r="D117" s="9" t="n"/>
      <c r="E117" s="10">
        <f>IF(A117="","",N(C117)-N(D117))</f>
        <v/>
      </c>
      <c r="F117" s="8" t="n"/>
      <c r="G117" s="8" t="n"/>
      <c r="H117" s="7">
        <f>IF(A117="","",IF(OR(F117="",G117=""),"UNMAPPED","ok"))</f>
        <v/>
      </c>
    </row>
    <row r="118">
      <c r="A118" s="8" t="n"/>
      <c r="B118" s="8" t="n"/>
      <c r="C118" s="9" t="n"/>
      <c r="D118" s="9" t="n"/>
      <c r="E118" s="10">
        <f>IF(A118="","",N(C118)-N(D118))</f>
        <v/>
      </c>
      <c r="F118" s="8" t="n"/>
      <c r="G118" s="8" t="n"/>
      <c r="H118" s="7">
        <f>IF(A118="","",IF(OR(F118="",G118=""),"UNMAPPED","ok"))</f>
        <v/>
      </c>
    </row>
    <row r="119">
      <c r="A119" s="8" t="n"/>
      <c r="B119" s="8" t="n"/>
      <c r="C119" s="9" t="n"/>
      <c r="D119" s="9" t="n"/>
      <c r="E119" s="10">
        <f>IF(A119="","",N(C119)-N(D119))</f>
        <v/>
      </c>
      <c r="F119" s="8" t="n"/>
      <c r="G119" s="8" t="n"/>
      <c r="H119" s="7">
        <f>IF(A119="","",IF(OR(F119="",G119=""),"UNMAPPED","ok"))</f>
        <v/>
      </c>
    </row>
    <row r="120">
      <c r="A120" s="8" t="n"/>
      <c r="B120" s="8" t="n"/>
      <c r="C120" s="9" t="n"/>
      <c r="D120" s="9" t="n"/>
      <c r="E120" s="10">
        <f>IF(A120="","",N(C120)-N(D120))</f>
        <v/>
      </c>
      <c r="F120" s="8" t="n"/>
      <c r="G120" s="8" t="n"/>
      <c r="H120" s="7">
        <f>IF(A120="","",IF(OR(F120="",G120=""),"UNMAPPED","ok"))</f>
        <v/>
      </c>
    </row>
    <row r="121">
      <c r="A121" s="8" t="n"/>
      <c r="B121" s="8" t="n"/>
      <c r="C121" s="9" t="n"/>
      <c r="D121" s="9" t="n"/>
      <c r="E121" s="10">
        <f>IF(A121="","",N(C121)-N(D121))</f>
        <v/>
      </c>
      <c r="F121" s="8" t="n"/>
      <c r="G121" s="8" t="n"/>
      <c r="H121" s="7">
        <f>IF(A121="","",IF(OR(F121="",G121=""),"UNMAPPED","ok"))</f>
        <v/>
      </c>
    </row>
    <row r="122">
      <c r="A122" s="8" t="n"/>
      <c r="B122" s="8" t="n"/>
      <c r="C122" s="9" t="n"/>
      <c r="D122" s="9" t="n"/>
      <c r="E122" s="10">
        <f>IF(A122="","",N(C122)-N(D122))</f>
        <v/>
      </c>
      <c r="F122" s="8" t="n"/>
      <c r="G122" s="8" t="n"/>
      <c r="H122" s="7">
        <f>IF(A122="","",IF(OR(F122="",G122=""),"UNMAPPED","ok"))</f>
        <v/>
      </c>
    </row>
    <row r="123">
      <c r="A123" s="8" t="n"/>
      <c r="B123" s="8" t="n"/>
      <c r="C123" s="9" t="n"/>
      <c r="D123" s="9" t="n"/>
      <c r="E123" s="10">
        <f>IF(A123="","",N(C123)-N(D123))</f>
        <v/>
      </c>
      <c r="F123" s="8" t="n"/>
      <c r="G123" s="8" t="n"/>
      <c r="H123" s="7">
        <f>IF(A123="","",IF(OR(F123="",G123=""),"UNMAPPED","ok"))</f>
        <v/>
      </c>
    </row>
    <row r="124">
      <c r="A124" s="8" t="n"/>
      <c r="B124" s="8" t="n"/>
      <c r="C124" s="9" t="n"/>
      <c r="D124" s="9" t="n"/>
      <c r="E124" s="10">
        <f>IF(A124="","",N(C124)-N(D124))</f>
        <v/>
      </c>
      <c r="F124" s="8" t="n"/>
      <c r="G124" s="8" t="n"/>
      <c r="H124" s="7">
        <f>IF(A124="","",IF(OR(F124="",G124=""),"UNMAPPED","ok"))</f>
        <v/>
      </c>
    </row>
    <row r="125">
      <c r="A125" s="8" t="n"/>
      <c r="B125" s="8" t="n"/>
      <c r="C125" s="9" t="n"/>
      <c r="D125" s="9" t="n"/>
      <c r="E125" s="10">
        <f>IF(A125="","",N(C125)-N(D125))</f>
        <v/>
      </c>
      <c r="F125" s="8" t="n"/>
      <c r="G125" s="8" t="n"/>
      <c r="H125" s="7">
        <f>IF(A125="","",IF(OR(F125="",G125=""),"UNMAPPED","ok"))</f>
        <v/>
      </c>
    </row>
    <row r="126">
      <c r="A126" s="8" t="n"/>
      <c r="B126" s="8" t="n"/>
      <c r="C126" s="9" t="n"/>
      <c r="D126" s="9" t="n"/>
      <c r="E126" s="10">
        <f>IF(A126="","",N(C126)-N(D126))</f>
        <v/>
      </c>
      <c r="F126" s="8" t="n"/>
      <c r="G126" s="8" t="n"/>
      <c r="H126" s="7">
        <f>IF(A126="","",IF(OR(F126="",G126=""),"UNMAPPED","ok"))</f>
        <v/>
      </c>
    </row>
    <row r="127">
      <c r="A127" s="8" t="n"/>
      <c r="B127" s="8" t="n"/>
      <c r="C127" s="9" t="n"/>
      <c r="D127" s="9" t="n"/>
      <c r="E127" s="10">
        <f>IF(A127="","",N(C127)-N(D127))</f>
        <v/>
      </c>
      <c r="F127" s="8" t="n"/>
      <c r="G127" s="8" t="n"/>
      <c r="H127" s="7">
        <f>IF(A127="","",IF(OR(F127="",G127=""),"UNMAPPED","ok"))</f>
        <v/>
      </c>
    </row>
    <row r="128">
      <c r="A128" s="8" t="n"/>
      <c r="B128" s="8" t="n"/>
      <c r="C128" s="9" t="n"/>
      <c r="D128" s="9" t="n"/>
      <c r="E128" s="10">
        <f>IF(A128="","",N(C128)-N(D128))</f>
        <v/>
      </c>
      <c r="F128" s="8" t="n"/>
      <c r="G128" s="8" t="n"/>
      <c r="H128" s="7">
        <f>IF(A128="","",IF(OR(F128="",G128=""),"UNMAPPED","ok"))</f>
        <v/>
      </c>
    </row>
    <row r="129">
      <c r="A129" s="8" t="n"/>
      <c r="B129" s="8" t="n"/>
      <c r="C129" s="9" t="n"/>
      <c r="D129" s="9" t="n"/>
      <c r="E129" s="10">
        <f>IF(A129="","",N(C129)-N(D129))</f>
        <v/>
      </c>
      <c r="F129" s="8" t="n"/>
      <c r="G129" s="8" t="n"/>
      <c r="H129" s="7">
        <f>IF(A129="","",IF(OR(F129="",G129=""),"UNMAPPED","ok"))</f>
        <v/>
      </c>
    </row>
    <row r="130">
      <c r="A130" s="8" t="n"/>
      <c r="B130" s="8" t="n"/>
      <c r="C130" s="9" t="n"/>
      <c r="D130" s="9" t="n"/>
      <c r="E130" s="10">
        <f>IF(A130="","",N(C130)-N(D130))</f>
        <v/>
      </c>
      <c r="F130" s="8" t="n"/>
      <c r="G130" s="8" t="n"/>
      <c r="H130" s="7">
        <f>IF(A130="","",IF(OR(F130="",G130=""),"UNMAPPED","ok"))</f>
        <v/>
      </c>
    </row>
    <row r="131">
      <c r="A131" s="8" t="n"/>
      <c r="B131" s="8" t="n"/>
      <c r="C131" s="9" t="n"/>
      <c r="D131" s="9" t="n"/>
      <c r="E131" s="10">
        <f>IF(A131="","",N(C131)-N(D131))</f>
        <v/>
      </c>
      <c r="F131" s="8" t="n"/>
      <c r="G131" s="8" t="n"/>
      <c r="H131" s="7">
        <f>IF(A131="","",IF(OR(F131="",G131=""),"UNMAPPED","ok"))</f>
        <v/>
      </c>
    </row>
    <row r="132">
      <c r="A132" s="8" t="n"/>
      <c r="B132" s="8" t="n"/>
      <c r="C132" s="9" t="n"/>
      <c r="D132" s="9" t="n"/>
      <c r="E132" s="10">
        <f>IF(A132="","",N(C132)-N(D132))</f>
        <v/>
      </c>
      <c r="F132" s="8" t="n"/>
      <c r="G132" s="8" t="n"/>
      <c r="H132" s="7">
        <f>IF(A132="","",IF(OR(F132="",G132=""),"UNMAPPED","ok"))</f>
        <v/>
      </c>
    </row>
    <row r="133">
      <c r="A133" s="8" t="n"/>
      <c r="B133" s="8" t="n"/>
      <c r="C133" s="9" t="n"/>
      <c r="D133" s="9" t="n"/>
      <c r="E133" s="10">
        <f>IF(A133="","",N(C133)-N(D133))</f>
        <v/>
      </c>
      <c r="F133" s="8" t="n"/>
      <c r="G133" s="8" t="n"/>
      <c r="H133" s="7">
        <f>IF(A133="","",IF(OR(F133="",G133=""),"UNMAPPED","ok"))</f>
        <v/>
      </c>
    </row>
    <row r="134">
      <c r="A134" s="8" t="n"/>
      <c r="B134" s="8" t="n"/>
      <c r="C134" s="9" t="n"/>
      <c r="D134" s="9" t="n"/>
      <c r="E134" s="10">
        <f>IF(A134="","",N(C134)-N(D134))</f>
        <v/>
      </c>
      <c r="F134" s="8" t="n"/>
      <c r="G134" s="8" t="n"/>
      <c r="H134" s="7">
        <f>IF(A134="","",IF(OR(F134="",G134=""),"UNMAPPED","ok"))</f>
        <v/>
      </c>
    </row>
    <row r="135">
      <c r="A135" s="8" t="n"/>
      <c r="B135" s="8" t="n"/>
      <c r="C135" s="9" t="n"/>
      <c r="D135" s="9" t="n"/>
      <c r="E135" s="10">
        <f>IF(A135="","",N(C135)-N(D135))</f>
        <v/>
      </c>
      <c r="F135" s="8" t="n"/>
      <c r="G135" s="8" t="n"/>
      <c r="H135" s="7">
        <f>IF(A135="","",IF(OR(F135="",G135=""),"UNMAPPED","ok"))</f>
        <v/>
      </c>
    </row>
    <row r="136">
      <c r="A136" s="8" t="n"/>
      <c r="B136" s="8" t="n"/>
      <c r="C136" s="9" t="n"/>
      <c r="D136" s="9" t="n"/>
      <c r="E136" s="10">
        <f>IF(A136="","",N(C136)-N(D136))</f>
        <v/>
      </c>
      <c r="F136" s="8" t="n"/>
      <c r="G136" s="8" t="n"/>
      <c r="H136" s="7">
        <f>IF(A136="","",IF(OR(F136="",G136=""),"UNMAPPED","ok"))</f>
        <v/>
      </c>
    </row>
    <row r="137">
      <c r="A137" s="8" t="n"/>
      <c r="B137" s="8" t="n"/>
      <c r="C137" s="9" t="n"/>
      <c r="D137" s="9" t="n"/>
      <c r="E137" s="10">
        <f>IF(A137="","",N(C137)-N(D137))</f>
        <v/>
      </c>
      <c r="F137" s="8" t="n"/>
      <c r="G137" s="8" t="n"/>
      <c r="H137" s="7">
        <f>IF(A137="","",IF(OR(F137="",G137=""),"UNMAPPED","ok"))</f>
        <v/>
      </c>
    </row>
    <row r="138">
      <c r="A138" s="8" t="n"/>
      <c r="B138" s="8" t="n"/>
      <c r="C138" s="9" t="n"/>
      <c r="D138" s="9" t="n"/>
      <c r="E138" s="10">
        <f>IF(A138="","",N(C138)-N(D138))</f>
        <v/>
      </c>
      <c r="F138" s="8" t="n"/>
      <c r="G138" s="8" t="n"/>
      <c r="H138" s="7">
        <f>IF(A138="","",IF(OR(F138="",G138=""),"UNMAPPED","ok"))</f>
        <v/>
      </c>
    </row>
    <row r="139">
      <c r="A139" s="8" t="n"/>
      <c r="B139" s="8" t="n"/>
      <c r="C139" s="9" t="n"/>
      <c r="D139" s="9" t="n"/>
      <c r="E139" s="10">
        <f>IF(A139="","",N(C139)-N(D139))</f>
        <v/>
      </c>
      <c r="F139" s="8" t="n"/>
      <c r="G139" s="8" t="n"/>
      <c r="H139" s="7">
        <f>IF(A139="","",IF(OR(F139="",G139=""),"UNMAPPED","ok"))</f>
        <v/>
      </c>
    </row>
    <row r="140">
      <c r="A140" s="8" t="n"/>
      <c r="B140" s="8" t="n"/>
      <c r="C140" s="9" t="n"/>
      <c r="D140" s="9" t="n"/>
      <c r="E140" s="10">
        <f>IF(A140="","",N(C140)-N(D140))</f>
        <v/>
      </c>
      <c r="F140" s="8" t="n"/>
      <c r="G140" s="8" t="n"/>
      <c r="H140" s="7">
        <f>IF(A140="","",IF(OR(F140="",G140=""),"UNMAPPED","ok"))</f>
        <v/>
      </c>
    </row>
    <row r="141">
      <c r="A141" s="8" t="n"/>
      <c r="B141" s="8" t="n"/>
      <c r="C141" s="9" t="n"/>
      <c r="D141" s="9" t="n"/>
      <c r="E141" s="10">
        <f>IF(A141="","",N(C141)-N(D141))</f>
        <v/>
      </c>
      <c r="F141" s="8" t="n"/>
      <c r="G141" s="8" t="n"/>
      <c r="H141" s="7">
        <f>IF(A141="","",IF(OR(F141="",G141=""),"UNMAPPED","ok"))</f>
        <v/>
      </c>
    </row>
    <row r="142">
      <c r="A142" s="8" t="n"/>
      <c r="B142" s="8" t="n"/>
      <c r="C142" s="9" t="n"/>
      <c r="D142" s="9" t="n"/>
      <c r="E142" s="10">
        <f>IF(A142="","",N(C142)-N(D142))</f>
        <v/>
      </c>
      <c r="F142" s="8" t="n"/>
      <c r="G142" s="8" t="n"/>
      <c r="H142" s="7">
        <f>IF(A142="","",IF(OR(F142="",G142=""),"UNMAPPED","ok"))</f>
        <v/>
      </c>
    </row>
    <row r="143">
      <c r="A143" s="8" t="n"/>
      <c r="B143" s="8" t="n"/>
      <c r="C143" s="9" t="n"/>
      <c r="D143" s="9" t="n"/>
      <c r="E143" s="10">
        <f>IF(A143="","",N(C143)-N(D143))</f>
        <v/>
      </c>
      <c r="F143" s="8" t="n"/>
      <c r="G143" s="8" t="n"/>
      <c r="H143" s="7">
        <f>IF(A143="","",IF(OR(F143="",G143=""),"UNMAPPED","ok"))</f>
        <v/>
      </c>
    </row>
    <row r="144">
      <c r="A144" s="8" t="n"/>
      <c r="B144" s="8" t="n"/>
      <c r="C144" s="9" t="n"/>
      <c r="D144" s="9" t="n"/>
      <c r="E144" s="10">
        <f>IF(A144="","",N(C144)-N(D144))</f>
        <v/>
      </c>
      <c r="F144" s="8" t="n"/>
      <c r="G144" s="8" t="n"/>
      <c r="H144" s="7">
        <f>IF(A144="","",IF(OR(F144="",G144=""),"UNMAPPED","ok"))</f>
        <v/>
      </c>
    </row>
    <row r="145">
      <c r="A145" s="8" t="n"/>
      <c r="B145" s="8" t="n"/>
      <c r="C145" s="9" t="n"/>
      <c r="D145" s="9" t="n"/>
      <c r="E145" s="10">
        <f>IF(A145="","",N(C145)-N(D145))</f>
        <v/>
      </c>
      <c r="F145" s="8" t="n"/>
      <c r="G145" s="8" t="n"/>
      <c r="H145" s="7">
        <f>IF(A145="","",IF(OR(F145="",G145=""),"UNMAPPED","ok"))</f>
        <v/>
      </c>
    </row>
    <row r="146">
      <c r="A146" s="8" t="n"/>
      <c r="B146" s="8" t="n"/>
      <c r="C146" s="9" t="n"/>
      <c r="D146" s="9" t="n"/>
      <c r="E146" s="10">
        <f>IF(A146="","",N(C146)-N(D146))</f>
        <v/>
      </c>
      <c r="F146" s="8" t="n"/>
      <c r="G146" s="8" t="n"/>
      <c r="H146" s="7">
        <f>IF(A146="","",IF(OR(F146="",G146=""),"UNMAPPED","ok"))</f>
        <v/>
      </c>
    </row>
    <row r="147">
      <c r="A147" s="8" t="n"/>
      <c r="B147" s="8" t="n"/>
      <c r="C147" s="9" t="n"/>
      <c r="D147" s="9" t="n"/>
      <c r="E147" s="10">
        <f>IF(A147="","",N(C147)-N(D147))</f>
        <v/>
      </c>
      <c r="F147" s="8" t="n"/>
      <c r="G147" s="8" t="n"/>
      <c r="H147" s="7">
        <f>IF(A147="","",IF(OR(F147="",G147=""),"UNMAPPED","ok"))</f>
        <v/>
      </c>
    </row>
    <row r="148">
      <c r="A148" s="8" t="n"/>
      <c r="B148" s="8" t="n"/>
      <c r="C148" s="9" t="n"/>
      <c r="D148" s="9" t="n"/>
      <c r="E148" s="10">
        <f>IF(A148="","",N(C148)-N(D148))</f>
        <v/>
      </c>
      <c r="F148" s="8" t="n"/>
      <c r="G148" s="8" t="n"/>
      <c r="H148" s="7">
        <f>IF(A148="","",IF(OR(F148="",G148=""),"UNMAPPED","ok"))</f>
        <v/>
      </c>
    </row>
    <row r="149">
      <c r="A149" s="8" t="n"/>
      <c r="B149" s="8" t="n"/>
      <c r="C149" s="9" t="n"/>
      <c r="D149" s="9" t="n"/>
      <c r="E149" s="10">
        <f>IF(A149="","",N(C149)-N(D149))</f>
        <v/>
      </c>
      <c r="F149" s="8" t="n"/>
      <c r="G149" s="8" t="n"/>
      <c r="H149" s="7">
        <f>IF(A149="","",IF(OR(F149="",G149=""),"UNMAPPED","ok"))</f>
        <v/>
      </c>
    </row>
    <row r="150">
      <c r="A150" s="8" t="n"/>
      <c r="B150" s="8" t="n"/>
      <c r="C150" s="9" t="n"/>
      <c r="D150" s="9" t="n"/>
      <c r="E150" s="10">
        <f>IF(A150="","",N(C150)-N(D150))</f>
        <v/>
      </c>
      <c r="F150" s="8" t="n"/>
      <c r="G150" s="8" t="n"/>
      <c r="H150" s="7">
        <f>IF(A150="","",IF(OR(F150="",G150=""),"UNMAPPED","ok"))</f>
        <v/>
      </c>
    </row>
    <row r="151">
      <c r="A151" s="8" t="n"/>
      <c r="B151" s="8" t="n"/>
      <c r="C151" s="9" t="n"/>
      <c r="D151" s="9" t="n"/>
      <c r="E151" s="10">
        <f>IF(A151="","",N(C151)-N(D151))</f>
        <v/>
      </c>
      <c r="F151" s="8" t="n"/>
      <c r="G151" s="8" t="n"/>
      <c r="H151" s="7">
        <f>IF(A151="","",IF(OR(F151="",G151=""),"UNMAPPED","ok"))</f>
        <v/>
      </c>
    </row>
    <row r="152">
      <c r="A152" s="8" t="n"/>
      <c r="B152" s="8" t="n"/>
      <c r="C152" s="9" t="n"/>
      <c r="D152" s="9" t="n"/>
      <c r="E152" s="10">
        <f>IF(A152="","",N(C152)-N(D152))</f>
        <v/>
      </c>
      <c r="F152" s="8" t="n"/>
      <c r="G152" s="8" t="n"/>
      <c r="H152" s="7">
        <f>IF(A152="","",IF(OR(F152="",G152=""),"UNMAPPED","ok"))</f>
        <v/>
      </c>
    </row>
    <row r="153">
      <c r="A153" s="8" t="n"/>
      <c r="B153" s="8" t="n"/>
      <c r="C153" s="9" t="n"/>
      <c r="D153" s="9" t="n"/>
      <c r="E153" s="10">
        <f>IF(A153="","",N(C153)-N(D153))</f>
        <v/>
      </c>
      <c r="F153" s="8" t="n"/>
      <c r="G153" s="8" t="n"/>
      <c r="H153" s="7">
        <f>IF(A153="","",IF(OR(F153="",G153=""),"UNMAPPED","ok"))</f>
        <v/>
      </c>
    </row>
    <row r="154">
      <c r="A154" s="8" t="n"/>
      <c r="B154" s="8" t="n"/>
      <c r="C154" s="9" t="n"/>
      <c r="D154" s="9" t="n"/>
      <c r="E154" s="10">
        <f>IF(A154="","",N(C154)-N(D154))</f>
        <v/>
      </c>
      <c r="F154" s="8" t="n"/>
      <c r="G154" s="8" t="n"/>
      <c r="H154" s="7">
        <f>IF(A154="","",IF(OR(F154="",G154=""),"UNMAPPED","ok"))</f>
        <v/>
      </c>
    </row>
    <row r="155">
      <c r="A155" s="8" t="n"/>
      <c r="B155" s="8" t="n"/>
      <c r="C155" s="9" t="n"/>
      <c r="D155" s="9" t="n"/>
      <c r="E155" s="10">
        <f>IF(A155="","",N(C155)-N(D155))</f>
        <v/>
      </c>
      <c r="F155" s="8" t="n"/>
      <c r="G155" s="8" t="n"/>
      <c r="H155" s="7">
        <f>IF(A155="","",IF(OR(F155="",G155=""),"UNMAPPED","ok"))</f>
        <v/>
      </c>
    </row>
    <row r="156">
      <c r="A156" s="8" t="n"/>
      <c r="B156" s="8" t="n"/>
      <c r="C156" s="9" t="n"/>
      <c r="D156" s="9" t="n"/>
      <c r="E156" s="10">
        <f>IF(A156="","",N(C156)-N(D156))</f>
        <v/>
      </c>
      <c r="F156" s="8" t="n"/>
      <c r="G156" s="8" t="n"/>
      <c r="H156" s="7">
        <f>IF(A156="","",IF(OR(F156="",G156=""),"UNMAPPED","ok"))</f>
        <v/>
      </c>
    </row>
    <row r="157">
      <c r="A157" s="8" t="n"/>
      <c r="B157" s="8" t="n"/>
      <c r="C157" s="9" t="n"/>
      <c r="D157" s="9" t="n"/>
      <c r="E157" s="10">
        <f>IF(A157="","",N(C157)-N(D157))</f>
        <v/>
      </c>
      <c r="F157" s="8" t="n"/>
      <c r="G157" s="8" t="n"/>
      <c r="H157" s="7">
        <f>IF(A157="","",IF(OR(F157="",G157=""),"UNMAPPED","ok"))</f>
        <v/>
      </c>
    </row>
    <row r="158">
      <c r="A158" s="8" t="n"/>
      <c r="B158" s="8" t="n"/>
      <c r="C158" s="9" t="n"/>
      <c r="D158" s="9" t="n"/>
      <c r="E158" s="10">
        <f>IF(A158="","",N(C158)-N(D158))</f>
        <v/>
      </c>
      <c r="F158" s="8" t="n"/>
      <c r="G158" s="8" t="n"/>
      <c r="H158" s="7">
        <f>IF(A158="","",IF(OR(F158="",G158=""),"UNMAPPED","ok"))</f>
        <v/>
      </c>
    </row>
    <row r="159">
      <c r="A159" s="8" t="n"/>
      <c r="B159" s="8" t="n"/>
      <c r="C159" s="9" t="n"/>
      <c r="D159" s="9" t="n"/>
      <c r="E159" s="10">
        <f>IF(A159="","",N(C159)-N(D159))</f>
        <v/>
      </c>
      <c r="F159" s="8" t="n"/>
      <c r="G159" s="8" t="n"/>
      <c r="H159" s="7">
        <f>IF(A159="","",IF(OR(F159="",G159=""),"UNMAPPED","ok"))</f>
        <v/>
      </c>
    </row>
    <row r="160">
      <c r="A160" s="8" t="n"/>
      <c r="B160" s="8" t="n"/>
      <c r="C160" s="9" t="n"/>
      <c r="D160" s="9" t="n"/>
      <c r="E160" s="10">
        <f>IF(A160="","",N(C160)-N(D160))</f>
        <v/>
      </c>
      <c r="F160" s="8" t="n"/>
      <c r="G160" s="8" t="n"/>
      <c r="H160" s="7">
        <f>IF(A160="","",IF(OR(F160="",G160=""),"UNMAPPED","ok"))</f>
        <v/>
      </c>
    </row>
    <row r="161">
      <c r="A161" s="8" t="n"/>
      <c r="B161" s="8" t="n"/>
      <c r="C161" s="9" t="n"/>
      <c r="D161" s="9" t="n"/>
      <c r="E161" s="10">
        <f>IF(A161="","",N(C161)-N(D161))</f>
        <v/>
      </c>
      <c r="F161" s="8" t="n"/>
      <c r="G161" s="8" t="n"/>
      <c r="H161" s="7">
        <f>IF(A161="","",IF(OR(F161="",G161=""),"UNMAPPED","ok"))</f>
        <v/>
      </c>
    </row>
    <row r="162">
      <c r="A162" s="8" t="n"/>
      <c r="B162" s="8" t="n"/>
      <c r="C162" s="9" t="n"/>
      <c r="D162" s="9" t="n"/>
      <c r="E162" s="10">
        <f>IF(A162="","",N(C162)-N(D162))</f>
        <v/>
      </c>
      <c r="F162" s="8" t="n"/>
      <c r="G162" s="8" t="n"/>
      <c r="H162" s="7">
        <f>IF(A162="","",IF(OR(F162="",G162=""),"UNMAPPED","ok"))</f>
        <v/>
      </c>
    </row>
    <row r="163">
      <c r="A163" s="8" t="n"/>
      <c r="B163" s="8" t="n"/>
      <c r="C163" s="9" t="n"/>
      <c r="D163" s="9" t="n"/>
      <c r="E163" s="10">
        <f>IF(A163="","",N(C163)-N(D163))</f>
        <v/>
      </c>
      <c r="F163" s="8" t="n"/>
      <c r="G163" s="8" t="n"/>
      <c r="H163" s="7">
        <f>IF(A163="","",IF(OR(F163="",G163=""),"UNMAPPED","ok"))</f>
        <v/>
      </c>
    </row>
    <row r="164">
      <c r="A164" s="8" t="n"/>
      <c r="B164" s="8" t="n"/>
      <c r="C164" s="9" t="n"/>
      <c r="D164" s="9" t="n"/>
      <c r="E164" s="10">
        <f>IF(A164="","",N(C164)-N(D164))</f>
        <v/>
      </c>
      <c r="F164" s="8" t="n"/>
      <c r="G164" s="8" t="n"/>
      <c r="H164" s="7">
        <f>IF(A164="","",IF(OR(F164="",G164=""),"UNMAPPED","ok"))</f>
        <v/>
      </c>
    </row>
    <row r="165">
      <c r="A165" s="8" t="n"/>
      <c r="B165" s="8" t="n"/>
      <c r="C165" s="9" t="n"/>
      <c r="D165" s="9" t="n"/>
      <c r="E165" s="10">
        <f>IF(A165="","",N(C165)-N(D165))</f>
        <v/>
      </c>
      <c r="F165" s="8" t="n"/>
      <c r="G165" s="8" t="n"/>
      <c r="H165" s="7">
        <f>IF(A165="","",IF(OR(F165="",G165=""),"UNMAPPED","ok"))</f>
        <v/>
      </c>
    </row>
    <row r="166">
      <c r="A166" s="8" t="n"/>
      <c r="B166" s="8" t="n"/>
      <c r="C166" s="9" t="n"/>
      <c r="D166" s="9" t="n"/>
      <c r="E166" s="10">
        <f>IF(A166="","",N(C166)-N(D166))</f>
        <v/>
      </c>
      <c r="F166" s="8" t="n"/>
      <c r="G166" s="8" t="n"/>
      <c r="H166" s="7">
        <f>IF(A166="","",IF(OR(F166="",G166=""),"UNMAPPED","ok"))</f>
        <v/>
      </c>
    </row>
    <row r="167">
      <c r="A167" s="8" t="n"/>
      <c r="B167" s="8" t="n"/>
      <c r="C167" s="9" t="n"/>
      <c r="D167" s="9" t="n"/>
      <c r="E167" s="10">
        <f>IF(A167="","",N(C167)-N(D167))</f>
        <v/>
      </c>
      <c r="F167" s="8" t="n"/>
      <c r="G167" s="8" t="n"/>
      <c r="H167" s="7">
        <f>IF(A167="","",IF(OR(F167="",G167=""),"UNMAPPED","ok"))</f>
        <v/>
      </c>
    </row>
    <row r="168">
      <c r="A168" s="8" t="n"/>
      <c r="B168" s="8" t="n"/>
      <c r="C168" s="9" t="n"/>
      <c r="D168" s="9" t="n"/>
      <c r="E168" s="10">
        <f>IF(A168="","",N(C168)-N(D168))</f>
        <v/>
      </c>
      <c r="F168" s="8" t="n"/>
      <c r="G168" s="8" t="n"/>
      <c r="H168" s="7">
        <f>IF(A168="","",IF(OR(F168="",G168=""),"UNMAPPED","ok"))</f>
        <v/>
      </c>
    </row>
    <row r="169">
      <c r="A169" s="8" t="n"/>
      <c r="B169" s="8" t="n"/>
      <c r="C169" s="9" t="n"/>
      <c r="D169" s="9" t="n"/>
      <c r="E169" s="10">
        <f>IF(A169="","",N(C169)-N(D169))</f>
        <v/>
      </c>
      <c r="F169" s="8" t="n"/>
      <c r="G169" s="8" t="n"/>
      <c r="H169" s="7">
        <f>IF(A169="","",IF(OR(F169="",G169=""),"UNMAPPED","ok"))</f>
        <v/>
      </c>
    </row>
    <row r="170">
      <c r="A170" s="8" t="n"/>
      <c r="B170" s="8" t="n"/>
      <c r="C170" s="9" t="n"/>
      <c r="D170" s="9" t="n"/>
      <c r="E170" s="10">
        <f>IF(A170="","",N(C170)-N(D170))</f>
        <v/>
      </c>
      <c r="F170" s="8" t="n"/>
      <c r="G170" s="8" t="n"/>
      <c r="H170" s="7">
        <f>IF(A170="","",IF(OR(F170="",G170=""),"UNMAPPED","ok"))</f>
        <v/>
      </c>
    </row>
    <row r="171">
      <c r="A171" s="8" t="n"/>
      <c r="B171" s="8" t="n"/>
      <c r="C171" s="9" t="n"/>
      <c r="D171" s="9" t="n"/>
      <c r="E171" s="10">
        <f>IF(A171="","",N(C171)-N(D171))</f>
        <v/>
      </c>
      <c r="F171" s="8" t="n"/>
      <c r="G171" s="8" t="n"/>
      <c r="H171" s="7">
        <f>IF(A171="","",IF(OR(F171="",G171=""),"UNMAPPED","ok"))</f>
        <v/>
      </c>
    </row>
    <row r="172">
      <c r="A172" s="8" t="n"/>
      <c r="B172" s="8" t="n"/>
      <c r="C172" s="9" t="n"/>
      <c r="D172" s="9" t="n"/>
      <c r="E172" s="10">
        <f>IF(A172="","",N(C172)-N(D172))</f>
        <v/>
      </c>
      <c r="F172" s="8" t="n"/>
      <c r="G172" s="8" t="n"/>
      <c r="H172" s="7">
        <f>IF(A172="","",IF(OR(F172="",G172=""),"UNMAPPED","ok"))</f>
        <v/>
      </c>
    </row>
    <row r="173">
      <c r="A173" s="8" t="n"/>
      <c r="B173" s="8" t="n"/>
      <c r="C173" s="9" t="n"/>
      <c r="D173" s="9" t="n"/>
      <c r="E173" s="10">
        <f>IF(A173="","",N(C173)-N(D173))</f>
        <v/>
      </c>
      <c r="F173" s="8" t="n"/>
      <c r="G173" s="8" t="n"/>
      <c r="H173" s="7">
        <f>IF(A173="","",IF(OR(F173="",G173=""),"UNMAPPED","ok"))</f>
        <v/>
      </c>
    </row>
    <row r="174">
      <c r="A174" s="8" t="n"/>
      <c r="B174" s="8" t="n"/>
      <c r="C174" s="9" t="n"/>
      <c r="D174" s="9" t="n"/>
      <c r="E174" s="10">
        <f>IF(A174="","",N(C174)-N(D174))</f>
        <v/>
      </c>
      <c r="F174" s="8" t="n"/>
      <c r="G174" s="8" t="n"/>
      <c r="H174" s="7">
        <f>IF(A174="","",IF(OR(F174="",G174=""),"UNMAPPED","ok"))</f>
        <v/>
      </c>
    </row>
    <row r="175">
      <c r="A175" s="8" t="n"/>
      <c r="B175" s="8" t="n"/>
      <c r="C175" s="9" t="n"/>
      <c r="D175" s="9" t="n"/>
      <c r="E175" s="10">
        <f>IF(A175="","",N(C175)-N(D175))</f>
        <v/>
      </c>
      <c r="F175" s="8" t="n"/>
      <c r="G175" s="8" t="n"/>
      <c r="H175" s="7">
        <f>IF(A175="","",IF(OR(F175="",G175=""),"UNMAPPED","ok"))</f>
        <v/>
      </c>
    </row>
    <row r="176">
      <c r="A176" s="8" t="n"/>
      <c r="B176" s="8" t="n"/>
      <c r="C176" s="9" t="n"/>
      <c r="D176" s="9" t="n"/>
      <c r="E176" s="10">
        <f>IF(A176="","",N(C176)-N(D176))</f>
        <v/>
      </c>
      <c r="F176" s="8" t="n"/>
      <c r="G176" s="8" t="n"/>
      <c r="H176" s="7">
        <f>IF(A176="","",IF(OR(F176="",G176=""),"UNMAPPED","ok"))</f>
        <v/>
      </c>
    </row>
    <row r="177">
      <c r="A177" s="8" t="n"/>
      <c r="B177" s="8" t="n"/>
      <c r="C177" s="9" t="n"/>
      <c r="D177" s="9" t="n"/>
      <c r="E177" s="10">
        <f>IF(A177="","",N(C177)-N(D177))</f>
        <v/>
      </c>
      <c r="F177" s="8" t="n"/>
      <c r="G177" s="8" t="n"/>
      <c r="H177" s="7">
        <f>IF(A177="","",IF(OR(F177="",G177=""),"UNMAPPED","ok"))</f>
        <v/>
      </c>
    </row>
    <row r="178">
      <c r="A178" s="8" t="n"/>
      <c r="B178" s="8" t="n"/>
      <c r="C178" s="9" t="n"/>
      <c r="D178" s="9" t="n"/>
      <c r="E178" s="10">
        <f>IF(A178="","",N(C178)-N(D178))</f>
        <v/>
      </c>
      <c r="F178" s="8" t="n"/>
      <c r="G178" s="8" t="n"/>
      <c r="H178" s="7">
        <f>IF(A178="","",IF(OR(F178="",G178=""),"UNMAPPED","ok"))</f>
        <v/>
      </c>
    </row>
    <row r="179">
      <c r="A179" s="8" t="n"/>
      <c r="B179" s="8" t="n"/>
      <c r="C179" s="9" t="n"/>
      <c r="D179" s="9" t="n"/>
      <c r="E179" s="10">
        <f>IF(A179="","",N(C179)-N(D179))</f>
        <v/>
      </c>
      <c r="F179" s="8" t="n"/>
      <c r="G179" s="8" t="n"/>
      <c r="H179" s="7">
        <f>IF(A179="","",IF(OR(F179="",G179=""),"UNMAPPED","ok"))</f>
        <v/>
      </c>
    </row>
    <row r="180">
      <c r="A180" s="8" t="n"/>
      <c r="B180" s="8" t="n"/>
      <c r="C180" s="9" t="n"/>
      <c r="D180" s="9" t="n"/>
      <c r="E180" s="10">
        <f>IF(A180="","",N(C180)-N(D180))</f>
        <v/>
      </c>
      <c r="F180" s="8" t="n"/>
      <c r="G180" s="8" t="n"/>
      <c r="H180" s="7">
        <f>IF(A180="","",IF(OR(F180="",G180=""),"UNMAPPED","ok"))</f>
        <v/>
      </c>
    </row>
    <row r="181">
      <c r="A181" s="8" t="n"/>
      <c r="B181" s="8" t="n"/>
      <c r="C181" s="9" t="n"/>
      <c r="D181" s="9" t="n"/>
      <c r="E181" s="10">
        <f>IF(A181="","",N(C181)-N(D181))</f>
        <v/>
      </c>
      <c r="F181" s="8" t="n"/>
      <c r="G181" s="8" t="n"/>
      <c r="H181" s="7">
        <f>IF(A181="","",IF(OR(F181="",G181=""),"UNMAPPED","ok"))</f>
        <v/>
      </c>
    </row>
    <row r="182">
      <c r="A182" s="8" t="n"/>
      <c r="B182" s="8" t="n"/>
      <c r="C182" s="9" t="n"/>
      <c r="D182" s="9" t="n"/>
      <c r="E182" s="10">
        <f>IF(A182="","",N(C182)-N(D182))</f>
        <v/>
      </c>
      <c r="F182" s="8" t="n"/>
      <c r="G182" s="8" t="n"/>
      <c r="H182" s="7">
        <f>IF(A182="","",IF(OR(F182="",G182=""),"UNMAPPED","ok"))</f>
        <v/>
      </c>
    </row>
    <row r="183">
      <c r="A183" s="8" t="n"/>
      <c r="B183" s="8" t="n"/>
      <c r="C183" s="9" t="n"/>
      <c r="D183" s="9" t="n"/>
      <c r="E183" s="10">
        <f>IF(A183="","",N(C183)-N(D183))</f>
        <v/>
      </c>
      <c r="F183" s="8" t="n"/>
      <c r="G183" s="8" t="n"/>
      <c r="H183" s="7">
        <f>IF(A183="","",IF(OR(F183="",G183=""),"UNMAPPED","ok"))</f>
        <v/>
      </c>
    </row>
    <row r="184">
      <c r="A184" s="8" t="n"/>
      <c r="B184" s="8" t="n"/>
      <c r="C184" s="9" t="n"/>
      <c r="D184" s="9" t="n"/>
      <c r="E184" s="10">
        <f>IF(A184="","",N(C184)-N(D184))</f>
        <v/>
      </c>
      <c r="F184" s="8" t="n"/>
      <c r="G184" s="8" t="n"/>
      <c r="H184" s="7">
        <f>IF(A184="","",IF(OR(F184="",G184=""),"UNMAPPED","ok"))</f>
        <v/>
      </c>
    </row>
    <row r="185">
      <c r="A185" s="8" t="n"/>
      <c r="B185" s="8" t="n"/>
      <c r="C185" s="9" t="n"/>
      <c r="D185" s="9" t="n"/>
      <c r="E185" s="10">
        <f>IF(A185="","",N(C185)-N(D185))</f>
        <v/>
      </c>
      <c r="F185" s="8" t="n"/>
      <c r="G185" s="8" t="n"/>
      <c r="H185" s="7">
        <f>IF(A185="","",IF(OR(F185="",G185=""),"UNMAPPED","ok"))</f>
        <v/>
      </c>
    </row>
    <row r="186">
      <c r="A186" s="8" t="n"/>
      <c r="B186" s="8" t="n"/>
      <c r="C186" s="9" t="n"/>
      <c r="D186" s="9" t="n"/>
      <c r="E186" s="10">
        <f>IF(A186="","",N(C186)-N(D186))</f>
        <v/>
      </c>
      <c r="F186" s="8" t="n"/>
      <c r="G186" s="8" t="n"/>
      <c r="H186" s="7">
        <f>IF(A186="","",IF(OR(F186="",G186=""),"UNMAPPED","ok"))</f>
        <v/>
      </c>
    </row>
    <row r="187">
      <c r="A187" s="8" t="n"/>
      <c r="B187" s="8" t="n"/>
      <c r="C187" s="9" t="n"/>
      <c r="D187" s="9" t="n"/>
      <c r="E187" s="10">
        <f>IF(A187="","",N(C187)-N(D187))</f>
        <v/>
      </c>
      <c r="F187" s="8" t="n"/>
      <c r="G187" s="8" t="n"/>
      <c r="H187" s="7">
        <f>IF(A187="","",IF(OR(F187="",G187=""),"UNMAPPED","ok"))</f>
        <v/>
      </c>
    </row>
    <row r="188">
      <c r="A188" s="8" t="n"/>
      <c r="B188" s="8" t="n"/>
      <c r="C188" s="9" t="n"/>
      <c r="D188" s="9" t="n"/>
      <c r="E188" s="10">
        <f>IF(A188="","",N(C188)-N(D188))</f>
        <v/>
      </c>
      <c r="F188" s="8" t="n"/>
      <c r="G188" s="8" t="n"/>
      <c r="H188" s="7">
        <f>IF(A188="","",IF(OR(F188="",G188=""),"UNMAPPED","ok"))</f>
        <v/>
      </c>
    </row>
    <row r="189">
      <c r="A189" s="8" t="n"/>
      <c r="B189" s="8" t="n"/>
      <c r="C189" s="9" t="n"/>
      <c r="D189" s="9" t="n"/>
      <c r="E189" s="10">
        <f>IF(A189="","",N(C189)-N(D189))</f>
        <v/>
      </c>
      <c r="F189" s="8" t="n"/>
      <c r="G189" s="8" t="n"/>
      <c r="H189" s="7">
        <f>IF(A189="","",IF(OR(F189="",G189=""),"UNMAPPED","ok"))</f>
        <v/>
      </c>
    </row>
    <row r="190">
      <c r="A190" s="8" t="n"/>
      <c r="B190" s="8" t="n"/>
      <c r="C190" s="9" t="n"/>
      <c r="D190" s="9" t="n"/>
      <c r="E190" s="10">
        <f>IF(A190="","",N(C190)-N(D190))</f>
        <v/>
      </c>
      <c r="F190" s="8" t="n"/>
      <c r="G190" s="8" t="n"/>
      <c r="H190" s="7">
        <f>IF(A190="","",IF(OR(F190="",G190=""),"UNMAPPED","ok"))</f>
        <v/>
      </c>
    </row>
    <row r="191">
      <c r="A191" s="8" t="n"/>
      <c r="B191" s="8" t="n"/>
      <c r="C191" s="9" t="n"/>
      <c r="D191" s="9" t="n"/>
      <c r="E191" s="10">
        <f>IF(A191="","",N(C191)-N(D191))</f>
        <v/>
      </c>
      <c r="F191" s="8" t="n"/>
      <c r="G191" s="8" t="n"/>
      <c r="H191" s="7">
        <f>IF(A191="","",IF(OR(F191="",G191=""),"UNMAPPED","ok"))</f>
        <v/>
      </c>
    </row>
    <row r="192">
      <c r="A192" s="8" t="n"/>
      <c r="B192" s="8" t="n"/>
      <c r="C192" s="9" t="n"/>
      <c r="D192" s="9" t="n"/>
      <c r="E192" s="10">
        <f>IF(A192="","",N(C192)-N(D192))</f>
        <v/>
      </c>
      <c r="F192" s="8" t="n"/>
      <c r="G192" s="8" t="n"/>
      <c r="H192" s="7">
        <f>IF(A192="","",IF(OR(F192="",G192=""),"UNMAPPED","ok"))</f>
        <v/>
      </c>
    </row>
    <row r="193">
      <c r="A193" s="8" t="n"/>
      <c r="B193" s="8" t="n"/>
      <c r="C193" s="9" t="n"/>
      <c r="D193" s="9" t="n"/>
      <c r="E193" s="10">
        <f>IF(A193="","",N(C193)-N(D193))</f>
        <v/>
      </c>
      <c r="F193" s="8" t="n"/>
      <c r="G193" s="8" t="n"/>
      <c r="H193" s="7">
        <f>IF(A193="","",IF(OR(F193="",G193=""),"UNMAPPED","ok"))</f>
        <v/>
      </c>
    </row>
    <row r="194">
      <c r="A194" s="8" t="n"/>
      <c r="B194" s="8" t="n"/>
      <c r="C194" s="9" t="n"/>
      <c r="D194" s="9" t="n"/>
      <c r="E194" s="10">
        <f>IF(A194="","",N(C194)-N(D194))</f>
        <v/>
      </c>
      <c r="F194" s="8" t="n"/>
      <c r="G194" s="8" t="n"/>
      <c r="H194" s="7">
        <f>IF(A194="","",IF(OR(F194="",G194=""),"UNMAPPED","ok"))</f>
        <v/>
      </c>
    </row>
    <row r="195">
      <c r="A195" s="8" t="n"/>
      <c r="B195" s="8" t="n"/>
      <c r="C195" s="9" t="n"/>
      <c r="D195" s="9" t="n"/>
      <c r="E195" s="10">
        <f>IF(A195="","",N(C195)-N(D195))</f>
        <v/>
      </c>
      <c r="F195" s="8" t="n"/>
      <c r="G195" s="8" t="n"/>
      <c r="H195" s="7">
        <f>IF(A195="","",IF(OR(F195="",G195=""),"UNMAPPED","ok"))</f>
        <v/>
      </c>
    </row>
    <row r="196">
      <c r="A196" s="8" t="n"/>
      <c r="B196" s="8" t="n"/>
      <c r="C196" s="9" t="n"/>
      <c r="D196" s="9" t="n"/>
      <c r="E196" s="10">
        <f>IF(A196="","",N(C196)-N(D196))</f>
        <v/>
      </c>
      <c r="F196" s="8" t="n"/>
      <c r="G196" s="8" t="n"/>
      <c r="H196" s="7">
        <f>IF(A196="","",IF(OR(F196="",G196=""),"UNMAPPED","ok"))</f>
        <v/>
      </c>
    </row>
    <row r="197">
      <c r="A197" s="8" t="n"/>
      <c r="B197" s="8" t="n"/>
      <c r="C197" s="9" t="n"/>
      <c r="D197" s="9" t="n"/>
      <c r="E197" s="10">
        <f>IF(A197="","",N(C197)-N(D197))</f>
        <v/>
      </c>
      <c r="F197" s="8" t="n"/>
      <c r="G197" s="8" t="n"/>
      <c r="H197" s="7">
        <f>IF(A197="","",IF(OR(F197="",G197=""),"UNMAPPED","ok"))</f>
        <v/>
      </c>
    </row>
    <row r="198">
      <c r="A198" s="8" t="n"/>
      <c r="B198" s="8" t="n"/>
      <c r="C198" s="9" t="n"/>
      <c r="D198" s="9" t="n"/>
      <c r="E198" s="10">
        <f>IF(A198="","",N(C198)-N(D198))</f>
        <v/>
      </c>
      <c r="F198" s="8" t="n"/>
      <c r="G198" s="8" t="n"/>
      <c r="H198" s="7">
        <f>IF(A198="","",IF(OR(F198="",G198=""),"UNMAPPED","ok"))</f>
        <v/>
      </c>
    </row>
    <row r="199">
      <c r="A199" s="8" t="n"/>
      <c r="B199" s="8" t="n"/>
      <c r="C199" s="9" t="n"/>
      <c r="D199" s="9" t="n"/>
      <c r="E199" s="10">
        <f>IF(A199="","",N(C199)-N(D199))</f>
        <v/>
      </c>
      <c r="F199" s="8" t="n"/>
      <c r="G199" s="8" t="n"/>
      <c r="H199" s="7">
        <f>IF(A199="","",IF(OR(F199="",G199=""),"UNMAPPED","ok"))</f>
        <v/>
      </c>
    </row>
    <row r="200">
      <c r="A200" s="8" t="n"/>
      <c r="B200" s="8" t="n"/>
      <c r="C200" s="9" t="n"/>
      <c r="D200" s="9" t="n"/>
      <c r="E200" s="10">
        <f>IF(A200="","",N(C200)-N(D200))</f>
        <v/>
      </c>
      <c r="F200" s="8" t="n"/>
      <c r="G200" s="8" t="n"/>
      <c r="H200" s="7">
        <f>IF(A200="","",IF(OR(F200="",G200=""),"UNMAPPED","ok"))</f>
        <v/>
      </c>
    </row>
    <row r="201">
      <c r="A201" s="8" t="n"/>
      <c r="B201" s="8" t="n"/>
      <c r="C201" s="9" t="n"/>
      <c r="D201" s="9" t="n"/>
      <c r="E201" s="10">
        <f>IF(A201="","",N(C201)-N(D201))</f>
        <v/>
      </c>
      <c r="F201" s="8" t="n"/>
      <c r="G201" s="8" t="n"/>
      <c r="H201" s="7">
        <f>IF(A201="","",IF(OR(F201="",G201=""),"UNMAPPED","ok"))</f>
        <v/>
      </c>
    </row>
    <row r="202">
      <c r="A202" s="8" t="n"/>
      <c r="B202" s="8" t="n"/>
      <c r="C202" s="9" t="n"/>
      <c r="D202" s="9" t="n"/>
      <c r="E202" s="10">
        <f>IF(A202="","",N(C202)-N(D202))</f>
        <v/>
      </c>
      <c r="F202" s="8" t="n"/>
      <c r="G202" s="8" t="n"/>
      <c r="H202" s="7">
        <f>IF(A202="","",IF(OR(F202="",G202=""),"UNMAPPED","ok"))</f>
        <v/>
      </c>
    </row>
    <row r="203">
      <c r="A203" s="8" t="n"/>
      <c r="B203" s="8" t="n"/>
      <c r="C203" s="9" t="n"/>
      <c r="D203" s="9" t="n"/>
      <c r="E203" s="10">
        <f>IF(A203="","",N(C203)-N(D203))</f>
        <v/>
      </c>
      <c r="F203" s="8" t="n"/>
      <c r="G203" s="8" t="n"/>
      <c r="H203" s="7">
        <f>IF(A203="","",IF(OR(F203="",G203=""),"UNMAPPED","ok"))</f>
        <v/>
      </c>
    </row>
    <row r="204">
      <c r="A204" s="8" t="n"/>
      <c r="B204" s="8" t="n"/>
      <c r="C204" s="9" t="n"/>
      <c r="D204" s="9" t="n"/>
      <c r="E204" s="10">
        <f>IF(A204="","",N(C204)-N(D204))</f>
        <v/>
      </c>
      <c r="F204" s="8" t="n"/>
      <c r="G204" s="8" t="n"/>
      <c r="H204" s="7">
        <f>IF(A204="","",IF(OR(F204="",G204=""),"UNMAPPED","ok"))</f>
        <v/>
      </c>
    </row>
    <row r="205">
      <c r="A205" s="8" t="n"/>
      <c r="B205" s="8" t="n"/>
      <c r="C205" s="9" t="n"/>
      <c r="D205" s="9" t="n"/>
      <c r="E205" s="10">
        <f>IF(A205="","",N(C205)-N(D205))</f>
        <v/>
      </c>
      <c r="F205" s="8" t="n"/>
      <c r="G205" s="8" t="n"/>
      <c r="H205" s="7">
        <f>IF(A205="","",IF(OR(F205="",G205=""),"UNMAPPED","ok"))</f>
        <v/>
      </c>
    </row>
    <row r="206">
      <c r="A206" s="8" t="n"/>
      <c r="B206" s="8" t="n"/>
      <c r="C206" s="9" t="n"/>
      <c r="D206" s="9" t="n"/>
      <c r="E206" s="10">
        <f>IF(A206="","",N(C206)-N(D206))</f>
        <v/>
      </c>
      <c r="F206" s="8" t="n"/>
      <c r="G206" s="8" t="n"/>
      <c r="H206" s="7">
        <f>IF(A206="","",IF(OR(F206="",G206=""),"UNMAPPED","ok"))</f>
        <v/>
      </c>
    </row>
    <row r="207">
      <c r="A207" s="8" t="n"/>
      <c r="B207" s="8" t="n"/>
      <c r="C207" s="9" t="n"/>
      <c r="D207" s="9" t="n"/>
      <c r="E207" s="10">
        <f>IF(A207="","",N(C207)-N(D207))</f>
        <v/>
      </c>
      <c r="F207" s="8" t="n"/>
      <c r="G207" s="8" t="n"/>
      <c r="H207" s="7">
        <f>IF(A207="","",IF(OR(F207="",G207=""),"UNMAPPED","ok"))</f>
        <v/>
      </c>
    </row>
    <row r="208">
      <c r="A208" s="8" t="n"/>
      <c r="B208" s="8" t="n"/>
      <c r="C208" s="9" t="n"/>
      <c r="D208" s="9" t="n"/>
      <c r="E208" s="10">
        <f>IF(A208="","",N(C208)-N(D208))</f>
        <v/>
      </c>
      <c r="F208" s="8" t="n"/>
      <c r="G208" s="8" t="n"/>
      <c r="H208" s="7">
        <f>IF(A208="","",IF(OR(F208="",G208=""),"UNMAPPED","ok"))</f>
        <v/>
      </c>
    </row>
    <row r="209">
      <c r="A209" s="8" t="n"/>
      <c r="B209" s="8" t="n"/>
      <c r="C209" s="9" t="n"/>
      <c r="D209" s="9" t="n"/>
      <c r="E209" s="10">
        <f>IF(A209="","",N(C209)-N(D209))</f>
        <v/>
      </c>
      <c r="F209" s="8" t="n"/>
      <c r="G209" s="8" t="n"/>
      <c r="H209" s="7">
        <f>IF(A209="","",IF(OR(F209="",G209=""),"UNMAPPED","ok"))</f>
        <v/>
      </c>
    </row>
    <row r="210">
      <c r="A210" s="8" t="n"/>
      <c r="B210" s="8" t="n"/>
      <c r="C210" s="9" t="n"/>
      <c r="D210" s="9" t="n"/>
      <c r="E210" s="10">
        <f>IF(A210="","",N(C210)-N(D210))</f>
        <v/>
      </c>
      <c r="F210" s="8" t="n"/>
      <c r="G210" s="8" t="n"/>
      <c r="H210" s="7">
        <f>IF(A210="","",IF(OR(F210="",G210=""),"UNMAPPED","ok"))</f>
        <v/>
      </c>
    </row>
    <row r="211">
      <c r="A211" s="8" t="n"/>
      <c r="B211" s="8" t="n"/>
      <c r="C211" s="9" t="n"/>
      <c r="D211" s="9" t="n"/>
      <c r="E211" s="10">
        <f>IF(A211="","",N(C211)-N(D211))</f>
        <v/>
      </c>
      <c r="F211" s="8" t="n"/>
      <c r="G211" s="8" t="n"/>
      <c r="H211" s="7">
        <f>IF(A211="","",IF(OR(F211="",G211=""),"UNMAPPED","ok"))</f>
        <v/>
      </c>
    </row>
    <row r="212">
      <c r="A212" s="8" t="n"/>
      <c r="B212" s="8" t="n"/>
      <c r="C212" s="9" t="n"/>
      <c r="D212" s="9" t="n"/>
      <c r="E212" s="10">
        <f>IF(A212="","",N(C212)-N(D212))</f>
        <v/>
      </c>
      <c r="F212" s="8" t="n"/>
      <c r="G212" s="8" t="n"/>
      <c r="H212" s="7">
        <f>IF(A212="","",IF(OR(F212="",G212=""),"UNMAPPED","ok"))</f>
        <v/>
      </c>
    </row>
    <row r="213">
      <c r="A213" s="8" t="n"/>
      <c r="B213" s="8" t="n"/>
      <c r="C213" s="9" t="n"/>
      <c r="D213" s="9" t="n"/>
      <c r="E213" s="10">
        <f>IF(A213="","",N(C213)-N(D213))</f>
        <v/>
      </c>
      <c r="F213" s="8" t="n"/>
      <c r="G213" s="8" t="n"/>
      <c r="H213" s="7">
        <f>IF(A213="","",IF(OR(F213="",G213=""),"UNMAPPED","ok"))</f>
        <v/>
      </c>
    </row>
    <row r="214">
      <c r="A214" s="8" t="n"/>
      <c r="B214" s="8" t="n"/>
      <c r="C214" s="9" t="n"/>
      <c r="D214" s="9" t="n"/>
      <c r="E214" s="10">
        <f>IF(A214="","",N(C214)-N(D214))</f>
        <v/>
      </c>
      <c r="F214" s="8" t="n"/>
      <c r="G214" s="8" t="n"/>
      <c r="H214" s="7">
        <f>IF(A214="","",IF(OR(F214="",G214=""),"UNMAPPED","ok"))</f>
        <v/>
      </c>
    </row>
    <row r="215">
      <c r="A215" s="8" t="n"/>
      <c r="B215" s="8" t="n"/>
      <c r="C215" s="9" t="n"/>
      <c r="D215" s="9" t="n"/>
      <c r="E215" s="10">
        <f>IF(A215="","",N(C215)-N(D215))</f>
        <v/>
      </c>
      <c r="F215" s="8" t="n"/>
      <c r="G215" s="8" t="n"/>
      <c r="H215" s="7">
        <f>IF(A215="","",IF(OR(F215="",G215=""),"UNMAPPED","ok"))</f>
        <v/>
      </c>
    </row>
    <row r="216">
      <c r="A216" s="8" t="n"/>
      <c r="B216" s="8" t="n"/>
      <c r="C216" s="9" t="n"/>
      <c r="D216" s="9" t="n"/>
      <c r="E216" s="10">
        <f>IF(A216="","",N(C216)-N(D216))</f>
        <v/>
      </c>
      <c r="F216" s="8" t="n"/>
      <c r="G216" s="8" t="n"/>
      <c r="H216" s="7">
        <f>IF(A216="","",IF(OR(F216="",G216=""),"UNMAPPED","ok"))</f>
        <v/>
      </c>
    </row>
    <row r="217">
      <c r="A217" s="8" t="n"/>
      <c r="B217" s="8" t="n"/>
      <c r="C217" s="9" t="n"/>
      <c r="D217" s="9" t="n"/>
      <c r="E217" s="10">
        <f>IF(A217="","",N(C217)-N(D217))</f>
        <v/>
      </c>
      <c r="F217" s="8" t="n"/>
      <c r="G217" s="8" t="n"/>
      <c r="H217" s="7">
        <f>IF(A217="","",IF(OR(F217="",G217=""),"UNMAPPED","ok"))</f>
        <v/>
      </c>
    </row>
    <row r="218">
      <c r="A218" s="8" t="n"/>
      <c r="B218" s="8" t="n"/>
      <c r="C218" s="9" t="n"/>
      <c r="D218" s="9" t="n"/>
      <c r="E218" s="10">
        <f>IF(A218="","",N(C218)-N(D218))</f>
        <v/>
      </c>
      <c r="F218" s="8" t="n"/>
      <c r="G218" s="8" t="n"/>
      <c r="H218" s="7">
        <f>IF(A218="","",IF(OR(F218="",G218=""),"UNMAPPED","ok"))</f>
        <v/>
      </c>
    </row>
    <row r="219">
      <c r="A219" s="8" t="n"/>
      <c r="B219" s="8" t="n"/>
      <c r="C219" s="9" t="n"/>
      <c r="D219" s="9" t="n"/>
      <c r="E219" s="10">
        <f>IF(A219="","",N(C219)-N(D219))</f>
        <v/>
      </c>
      <c r="F219" s="8" t="n"/>
      <c r="G219" s="8" t="n"/>
      <c r="H219" s="7">
        <f>IF(A219="","",IF(OR(F219="",G219=""),"UNMAPPED","ok"))</f>
        <v/>
      </c>
    </row>
    <row r="220">
      <c r="A220" s="8" t="n"/>
      <c r="B220" s="8" t="n"/>
      <c r="C220" s="9" t="n"/>
      <c r="D220" s="9" t="n"/>
      <c r="E220" s="10">
        <f>IF(A220="","",N(C220)-N(D220))</f>
        <v/>
      </c>
      <c r="F220" s="8" t="n"/>
      <c r="G220" s="8" t="n"/>
      <c r="H220" s="7">
        <f>IF(A220="","",IF(OR(F220="",G220=""),"UNMAPPED","ok"))</f>
        <v/>
      </c>
    </row>
    <row r="221">
      <c r="A221" s="8" t="n"/>
      <c r="B221" s="8" t="n"/>
      <c r="C221" s="9" t="n"/>
      <c r="D221" s="9" t="n"/>
      <c r="E221" s="10">
        <f>IF(A221="","",N(C221)-N(D221))</f>
        <v/>
      </c>
      <c r="F221" s="8" t="n"/>
      <c r="G221" s="8" t="n"/>
      <c r="H221" s="7">
        <f>IF(A221="","",IF(OR(F221="",G221=""),"UNMAPPED","ok"))</f>
        <v/>
      </c>
    </row>
    <row r="222">
      <c r="A222" s="8" t="n"/>
      <c r="B222" s="8" t="n"/>
      <c r="C222" s="9" t="n"/>
      <c r="D222" s="9" t="n"/>
      <c r="E222" s="10">
        <f>IF(A222="","",N(C222)-N(D222))</f>
        <v/>
      </c>
      <c r="F222" s="8" t="n"/>
      <c r="G222" s="8" t="n"/>
      <c r="H222" s="7">
        <f>IF(A222="","",IF(OR(F222="",G222=""),"UNMAPPED","ok"))</f>
        <v/>
      </c>
    </row>
    <row r="223">
      <c r="A223" s="8" t="n"/>
      <c r="B223" s="8" t="n"/>
      <c r="C223" s="9" t="n"/>
      <c r="D223" s="9" t="n"/>
      <c r="E223" s="10">
        <f>IF(A223="","",N(C223)-N(D223))</f>
        <v/>
      </c>
      <c r="F223" s="8" t="n"/>
      <c r="G223" s="8" t="n"/>
      <c r="H223" s="7">
        <f>IF(A223="","",IF(OR(F223="",G223=""),"UNMAPPED","ok"))</f>
        <v/>
      </c>
    </row>
    <row r="224">
      <c r="A224" s="8" t="n"/>
      <c r="B224" s="8" t="n"/>
      <c r="C224" s="9" t="n"/>
      <c r="D224" s="9" t="n"/>
      <c r="E224" s="10">
        <f>IF(A224="","",N(C224)-N(D224))</f>
        <v/>
      </c>
      <c r="F224" s="8" t="n"/>
      <c r="G224" s="8" t="n"/>
      <c r="H224" s="7">
        <f>IF(A224="","",IF(OR(F224="",G224=""),"UNMAPPED","ok"))</f>
        <v/>
      </c>
    </row>
    <row r="225">
      <c r="A225" s="8" t="n"/>
      <c r="B225" s="8" t="n"/>
      <c r="C225" s="9" t="n"/>
      <c r="D225" s="9" t="n"/>
      <c r="E225" s="10">
        <f>IF(A225="","",N(C225)-N(D225))</f>
        <v/>
      </c>
      <c r="F225" s="8" t="n"/>
      <c r="G225" s="8" t="n"/>
      <c r="H225" s="7">
        <f>IF(A225="","",IF(OR(F225="",G225=""),"UNMAPPED","ok"))</f>
        <v/>
      </c>
    </row>
    <row r="226">
      <c r="A226" s="8" t="n"/>
      <c r="B226" s="8" t="n"/>
      <c r="C226" s="9" t="n"/>
      <c r="D226" s="9" t="n"/>
      <c r="E226" s="10">
        <f>IF(A226="","",N(C226)-N(D226))</f>
        <v/>
      </c>
      <c r="F226" s="8" t="n"/>
      <c r="G226" s="8" t="n"/>
      <c r="H226" s="7">
        <f>IF(A226="","",IF(OR(F226="",G226=""),"UNMAPPED","ok"))</f>
        <v/>
      </c>
    </row>
    <row r="227">
      <c r="A227" s="8" t="n"/>
      <c r="B227" s="8" t="n"/>
      <c r="C227" s="9" t="n"/>
      <c r="D227" s="9" t="n"/>
      <c r="E227" s="10">
        <f>IF(A227="","",N(C227)-N(D227))</f>
        <v/>
      </c>
      <c r="F227" s="8" t="n"/>
      <c r="G227" s="8" t="n"/>
      <c r="H227" s="7">
        <f>IF(A227="","",IF(OR(F227="",G227=""),"UNMAPPED","ok"))</f>
        <v/>
      </c>
    </row>
    <row r="228">
      <c r="A228" s="8" t="n"/>
      <c r="B228" s="8" t="n"/>
      <c r="C228" s="9" t="n"/>
      <c r="D228" s="9" t="n"/>
      <c r="E228" s="10">
        <f>IF(A228="","",N(C228)-N(D228))</f>
        <v/>
      </c>
      <c r="F228" s="8" t="n"/>
      <c r="G228" s="8" t="n"/>
      <c r="H228" s="7">
        <f>IF(A228="","",IF(OR(F228="",G228=""),"UNMAPPED","ok"))</f>
        <v/>
      </c>
    </row>
    <row r="229">
      <c r="A229" s="8" t="n"/>
      <c r="B229" s="8" t="n"/>
      <c r="C229" s="9" t="n"/>
      <c r="D229" s="9" t="n"/>
      <c r="E229" s="10">
        <f>IF(A229="","",N(C229)-N(D229))</f>
        <v/>
      </c>
      <c r="F229" s="8" t="n"/>
      <c r="G229" s="8" t="n"/>
      <c r="H229" s="7">
        <f>IF(A229="","",IF(OR(F229="",G229=""),"UNMAPPED","ok"))</f>
        <v/>
      </c>
    </row>
    <row r="230">
      <c r="A230" s="8" t="n"/>
      <c r="B230" s="8" t="n"/>
      <c r="C230" s="9" t="n"/>
      <c r="D230" s="9" t="n"/>
      <c r="E230" s="10">
        <f>IF(A230="","",N(C230)-N(D230))</f>
        <v/>
      </c>
      <c r="F230" s="8" t="n"/>
      <c r="G230" s="8" t="n"/>
      <c r="H230" s="7">
        <f>IF(A230="","",IF(OR(F230="",G230=""),"UNMAPPED","ok"))</f>
        <v/>
      </c>
    </row>
    <row r="231">
      <c r="A231" s="8" t="n"/>
      <c r="B231" s="8" t="n"/>
      <c r="C231" s="9" t="n"/>
      <c r="D231" s="9" t="n"/>
      <c r="E231" s="10">
        <f>IF(A231="","",N(C231)-N(D231))</f>
        <v/>
      </c>
      <c r="F231" s="8" t="n"/>
      <c r="G231" s="8" t="n"/>
      <c r="H231" s="7">
        <f>IF(A231="","",IF(OR(F231="",G231=""),"UNMAPPED","ok"))</f>
        <v/>
      </c>
    </row>
    <row r="232">
      <c r="A232" s="8" t="n"/>
      <c r="B232" s="8" t="n"/>
      <c r="C232" s="9" t="n"/>
      <c r="D232" s="9" t="n"/>
      <c r="E232" s="10">
        <f>IF(A232="","",N(C232)-N(D232))</f>
        <v/>
      </c>
      <c r="F232" s="8" t="n"/>
      <c r="G232" s="8" t="n"/>
      <c r="H232" s="7">
        <f>IF(A232="","",IF(OR(F232="",G232=""),"UNMAPPED","ok"))</f>
        <v/>
      </c>
    </row>
    <row r="233">
      <c r="A233" s="8" t="n"/>
      <c r="B233" s="8" t="n"/>
      <c r="C233" s="9" t="n"/>
      <c r="D233" s="9" t="n"/>
      <c r="E233" s="10">
        <f>IF(A233="","",N(C233)-N(D233))</f>
        <v/>
      </c>
      <c r="F233" s="8" t="n"/>
      <c r="G233" s="8" t="n"/>
      <c r="H233" s="7">
        <f>IF(A233="","",IF(OR(F233="",G233=""),"UNMAPPED","ok"))</f>
        <v/>
      </c>
    </row>
    <row r="234">
      <c r="A234" s="8" t="n"/>
      <c r="B234" s="8" t="n"/>
      <c r="C234" s="9" t="n"/>
      <c r="D234" s="9" t="n"/>
      <c r="E234" s="10">
        <f>IF(A234="","",N(C234)-N(D234))</f>
        <v/>
      </c>
      <c r="F234" s="8" t="n"/>
      <c r="G234" s="8" t="n"/>
      <c r="H234" s="7">
        <f>IF(A234="","",IF(OR(F234="",G234=""),"UNMAPPED","ok"))</f>
        <v/>
      </c>
    </row>
    <row r="235">
      <c r="A235" s="8" t="n"/>
      <c r="B235" s="8" t="n"/>
      <c r="C235" s="9" t="n"/>
      <c r="D235" s="9" t="n"/>
      <c r="E235" s="10">
        <f>IF(A235="","",N(C235)-N(D235))</f>
        <v/>
      </c>
      <c r="F235" s="8" t="n"/>
      <c r="G235" s="8" t="n"/>
      <c r="H235" s="7">
        <f>IF(A235="","",IF(OR(F235="",G235=""),"UNMAPPED","ok"))</f>
        <v/>
      </c>
    </row>
    <row r="236">
      <c r="A236" s="8" t="n"/>
      <c r="B236" s="8" t="n"/>
      <c r="C236" s="9" t="n"/>
      <c r="D236" s="9" t="n"/>
      <c r="E236" s="10">
        <f>IF(A236="","",N(C236)-N(D236))</f>
        <v/>
      </c>
      <c r="F236" s="8" t="n"/>
      <c r="G236" s="8" t="n"/>
      <c r="H236" s="7">
        <f>IF(A236="","",IF(OR(F236="",G236=""),"UNMAPPED","ok"))</f>
        <v/>
      </c>
    </row>
    <row r="237">
      <c r="A237" s="8" t="n"/>
      <c r="B237" s="8" t="n"/>
      <c r="C237" s="9" t="n"/>
      <c r="D237" s="9" t="n"/>
      <c r="E237" s="10">
        <f>IF(A237="","",N(C237)-N(D237))</f>
        <v/>
      </c>
      <c r="F237" s="8" t="n"/>
      <c r="G237" s="8" t="n"/>
      <c r="H237" s="7">
        <f>IF(A237="","",IF(OR(F237="",G237=""),"UNMAPPED","ok"))</f>
        <v/>
      </c>
    </row>
    <row r="238">
      <c r="A238" s="8" t="n"/>
      <c r="B238" s="8" t="n"/>
      <c r="C238" s="9" t="n"/>
      <c r="D238" s="9" t="n"/>
      <c r="E238" s="10">
        <f>IF(A238="","",N(C238)-N(D238))</f>
        <v/>
      </c>
      <c r="F238" s="8" t="n"/>
      <c r="G238" s="8" t="n"/>
      <c r="H238" s="7">
        <f>IF(A238="","",IF(OR(F238="",G238=""),"UNMAPPED","ok"))</f>
        <v/>
      </c>
    </row>
    <row r="239">
      <c r="A239" s="8" t="n"/>
      <c r="B239" s="8" t="n"/>
      <c r="C239" s="9" t="n"/>
      <c r="D239" s="9" t="n"/>
      <c r="E239" s="10">
        <f>IF(A239="","",N(C239)-N(D239))</f>
        <v/>
      </c>
      <c r="F239" s="8" t="n"/>
      <c r="G239" s="8" t="n"/>
      <c r="H239" s="7">
        <f>IF(A239="","",IF(OR(F239="",G239=""),"UNMAPPED","ok"))</f>
        <v/>
      </c>
    </row>
    <row r="240">
      <c r="A240" s="8" t="n"/>
      <c r="B240" s="8" t="n"/>
      <c r="C240" s="9" t="n"/>
      <c r="D240" s="9" t="n"/>
      <c r="E240" s="10">
        <f>IF(A240="","",N(C240)-N(D240))</f>
        <v/>
      </c>
      <c r="F240" s="8" t="n"/>
      <c r="G240" s="8" t="n"/>
      <c r="H240" s="7">
        <f>IF(A240="","",IF(OR(F240="",G240=""),"UNMAPPED","ok"))</f>
        <v/>
      </c>
    </row>
    <row r="241">
      <c r="A241" s="8" t="n"/>
      <c r="B241" s="8" t="n"/>
      <c r="C241" s="9" t="n"/>
      <c r="D241" s="9" t="n"/>
      <c r="E241" s="10">
        <f>IF(A241="","",N(C241)-N(D241))</f>
        <v/>
      </c>
      <c r="F241" s="8" t="n"/>
      <c r="G241" s="8" t="n"/>
      <c r="H241" s="7">
        <f>IF(A241="","",IF(OR(F241="",G241=""),"UNMAPPED","ok"))</f>
        <v/>
      </c>
    </row>
    <row r="242">
      <c r="A242" s="8" t="n"/>
      <c r="B242" s="8" t="n"/>
      <c r="C242" s="9" t="n"/>
      <c r="D242" s="9" t="n"/>
      <c r="E242" s="10">
        <f>IF(A242="","",N(C242)-N(D242))</f>
        <v/>
      </c>
      <c r="F242" s="8" t="n"/>
      <c r="G242" s="8" t="n"/>
      <c r="H242" s="7">
        <f>IF(A242="","",IF(OR(F242="",G242=""),"UNMAPPED","ok"))</f>
        <v/>
      </c>
    </row>
    <row r="243">
      <c r="A243" s="8" t="n"/>
      <c r="B243" s="8" t="n"/>
      <c r="C243" s="9" t="n"/>
      <c r="D243" s="9" t="n"/>
      <c r="E243" s="10">
        <f>IF(A243="","",N(C243)-N(D243))</f>
        <v/>
      </c>
      <c r="F243" s="8" t="n"/>
      <c r="G243" s="8" t="n"/>
      <c r="H243" s="7">
        <f>IF(A243="","",IF(OR(F243="",G243=""),"UNMAPPED","ok"))</f>
        <v/>
      </c>
    </row>
    <row r="244">
      <c r="A244" s="8" t="n"/>
      <c r="B244" s="8" t="n"/>
      <c r="C244" s="9" t="n"/>
      <c r="D244" s="9" t="n"/>
      <c r="E244" s="10">
        <f>IF(A244="","",N(C244)-N(D244))</f>
        <v/>
      </c>
      <c r="F244" s="8" t="n"/>
      <c r="G244" s="8" t="n"/>
      <c r="H244" s="7">
        <f>IF(A244="","",IF(OR(F244="",G244=""),"UNMAPPED","ok"))</f>
        <v/>
      </c>
    </row>
    <row r="245">
      <c r="A245" s="8" t="n"/>
      <c r="B245" s="8" t="n"/>
      <c r="C245" s="9" t="n"/>
      <c r="D245" s="9" t="n"/>
      <c r="E245" s="10">
        <f>IF(A245="","",N(C245)-N(D245))</f>
        <v/>
      </c>
      <c r="F245" s="8" t="n"/>
      <c r="G245" s="8" t="n"/>
      <c r="H245" s="7">
        <f>IF(A245="","",IF(OR(F245="",G245=""),"UNMAPPED","ok"))</f>
        <v/>
      </c>
    </row>
    <row r="246">
      <c r="A246" s="8" t="n"/>
      <c r="B246" s="8" t="n"/>
      <c r="C246" s="9" t="n"/>
      <c r="D246" s="9" t="n"/>
      <c r="E246" s="10">
        <f>IF(A246="","",N(C246)-N(D246))</f>
        <v/>
      </c>
      <c r="F246" s="8" t="n"/>
      <c r="G246" s="8" t="n"/>
      <c r="H246" s="7">
        <f>IF(A246="","",IF(OR(F246="",G246=""),"UNMAPPED","ok"))</f>
        <v/>
      </c>
    </row>
    <row r="247">
      <c r="A247" s="8" t="n"/>
      <c r="B247" s="8" t="n"/>
      <c r="C247" s="9" t="n"/>
      <c r="D247" s="9" t="n"/>
      <c r="E247" s="10">
        <f>IF(A247="","",N(C247)-N(D247))</f>
        <v/>
      </c>
      <c r="F247" s="8" t="n"/>
      <c r="G247" s="8" t="n"/>
      <c r="H247" s="7">
        <f>IF(A247="","",IF(OR(F247="",G247=""),"UNMAPPED","ok"))</f>
        <v/>
      </c>
    </row>
    <row r="248">
      <c r="A248" s="8" t="n"/>
      <c r="B248" s="8" t="n"/>
      <c r="C248" s="9" t="n"/>
      <c r="D248" s="9" t="n"/>
      <c r="E248" s="10">
        <f>IF(A248="","",N(C248)-N(D248))</f>
        <v/>
      </c>
      <c r="F248" s="8" t="n"/>
      <c r="G248" s="8" t="n"/>
      <c r="H248" s="7">
        <f>IF(A248="","",IF(OR(F248="",G248=""),"UNMAPPED","ok"))</f>
        <v/>
      </c>
    </row>
    <row r="249">
      <c r="A249" s="8" t="n"/>
      <c r="B249" s="8" t="n"/>
      <c r="C249" s="9" t="n"/>
      <c r="D249" s="9" t="n"/>
      <c r="E249" s="10">
        <f>IF(A249="","",N(C249)-N(D249))</f>
        <v/>
      </c>
      <c r="F249" s="8" t="n"/>
      <c r="G249" s="8" t="n"/>
      <c r="H249" s="7">
        <f>IF(A249="","",IF(OR(F249="",G249=""),"UNMAPPED","ok"))</f>
        <v/>
      </c>
    </row>
    <row r="250">
      <c r="A250" s="8" t="n"/>
      <c r="B250" s="8" t="n"/>
      <c r="C250" s="9" t="n"/>
      <c r="D250" s="9" t="n"/>
      <c r="E250" s="10">
        <f>IF(A250="","",N(C250)-N(D250))</f>
        <v/>
      </c>
      <c r="F250" s="8" t="n"/>
      <c r="G250" s="8" t="n"/>
      <c r="H250" s="7">
        <f>IF(A250="","",IF(OR(F250="",G250=""),"UNMAPPED","ok"))</f>
        <v/>
      </c>
    </row>
    <row r="251">
      <c r="A251" s="8" t="n"/>
      <c r="B251" s="8" t="n"/>
      <c r="C251" s="9" t="n"/>
      <c r="D251" s="9" t="n"/>
      <c r="E251" s="10">
        <f>IF(A251="","",N(C251)-N(D251))</f>
        <v/>
      </c>
      <c r="F251" s="8" t="n"/>
      <c r="G251" s="8" t="n"/>
      <c r="H251" s="7">
        <f>IF(A251="","",IF(OR(F251="",G251=""),"UNMAPPED","ok"))</f>
        <v/>
      </c>
    </row>
    <row r="252">
      <c r="A252" s="8" t="n"/>
      <c r="B252" s="8" t="n"/>
      <c r="C252" s="9" t="n"/>
      <c r="D252" s="9" t="n"/>
      <c r="E252" s="10">
        <f>IF(A252="","",N(C252)-N(D252))</f>
        <v/>
      </c>
      <c r="F252" s="8" t="n"/>
      <c r="G252" s="8" t="n"/>
      <c r="H252" s="7">
        <f>IF(A252="","",IF(OR(F252="",G252=""),"UNMAPPED","ok"))</f>
        <v/>
      </c>
    </row>
    <row r="253">
      <c r="A253" s="8" t="n"/>
      <c r="B253" s="8" t="n"/>
      <c r="C253" s="9" t="n"/>
      <c r="D253" s="9" t="n"/>
      <c r="E253" s="10">
        <f>IF(A253="","",N(C253)-N(D253))</f>
        <v/>
      </c>
      <c r="F253" s="8" t="n"/>
      <c r="G253" s="8" t="n"/>
      <c r="H253" s="7">
        <f>IF(A253="","",IF(OR(F253="",G253=""),"UNMAPPED","ok"))</f>
        <v/>
      </c>
    </row>
    <row r="254">
      <c r="A254" s="8" t="n"/>
      <c r="B254" s="8" t="n"/>
      <c r="C254" s="9" t="n"/>
      <c r="D254" s="9" t="n"/>
      <c r="E254" s="10">
        <f>IF(A254="","",N(C254)-N(D254))</f>
        <v/>
      </c>
      <c r="F254" s="8" t="n"/>
      <c r="G254" s="8" t="n"/>
      <c r="H254" s="7">
        <f>IF(A254="","",IF(OR(F254="",G254=""),"UNMAPPED","ok"))</f>
        <v/>
      </c>
    </row>
    <row r="255">
      <c r="A255" s="8" t="n"/>
      <c r="B255" s="8" t="n"/>
      <c r="C255" s="9" t="n"/>
      <c r="D255" s="9" t="n"/>
      <c r="E255" s="10">
        <f>IF(A255="","",N(C255)-N(D255))</f>
        <v/>
      </c>
      <c r="F255" s="8" t="n"/>
      <c r="G255" s="8" t="n"/>
      <c r="H255" s="7">
        <f>IF(A255="","",IF(OR(F255="",G255=""),"UNMAPPED","ok"))</f>
        <v/>
      </c>
    </row>
    <row r="256">
      <c r="A256" s="8" t="n"/>
      <c r="B256" s="8" t="n"/>
      <c r="C256" s="9" t="n"/>
      <c r="D256" s="9" t="n"/>
      <c r="E256" s="10">
        <f>IF(A256="","",N(C256)-N(D256))</f>
        <v/>
      </c>
      <c r="F256" s="8" t="n"/>
      <c r="G256" s="8" t="n"/>
      <c r="H256" s="7">
        <f>IF(A256="","",IF(OR(F256="",G256=""),"UNMAPPED","ok"))</f>
        <v/>
      </c>
    </row>
    <row r="257">
      <c r="A257" s="8" t="n"/>
      <c r="B257" s="8" t="n"/>
      <c r="C257" s="9" t="n"/>
      <c r="D257" s="9" t="n"/>
      <c r="E257" s="10">
        <f>IF(A257="","",N(C257)-N(D257))</f>
        <v/>
      </c>
      <c r="F257" s="8" t="n"/>
      <c r="G257" s="8" t="n"/>
      <c r="H257" s="7">
        <f>IF(A257="","",IF(OR(F257="",G257=""),"UNMAPPED","ok"))</f>
        <v/>
      </c>
    </row>
    <row r="258">
      <c r="A258" s="8" t="n"/>
      <c r="B258" s="8" t="n"/>
      <c r="C258" s="9" t="n"/>
      <c r="D258" s="9" t="n"/>
      <c r="E258" s="10">
        <f>IF(A258="","",N(C258)-N(D258))</f>
        <v/>
      </c>
      <c r="F258" s="8" t="n"/>
      <c r="G258" s="8" t="n"/>
      <c r="H258" s="7">
        <f>IF(A258="","",IF(OR(F258="",G258=""),"UNMAPPED","ok"))</f>
        <v/>
      </c>
    </row>
    <row r="259">
      <c r="A259" s="8" t="n"/>
      <c r="B259" s="8" t="n"/>
      <c r="C259" s="9" t="n"/>
      <c r="D259" s="9" t="n"/>
      <c r="E259" s="10">
        <f>IF(A259="","",N(C259)-N(D259))</f>
        <v/>
      </c>
      <c r="F259" s="8" t="n"/>
      <c r="G259" s="8" t="n"/>
      <c r="H259" s="7">
        <f>IF(A259="","",IF(OR(F259="",G259=""),"UNMAPPED","ok"))</f>
        <v/>
      </c>
    </row>
    <row r="260">
      <c r="A260" s="8" t="n"/>
      <c r="B260" s="8" t="n"/>
      <c r="C260" s="9" t="n"/>
      <c r="D260" s="9" t="n"/>
      <c r="E260" s="10">
        <f>IF(A260="","",N(C260)-N(D260))</f>
        <v/>
      </c>
      <c r="F260" s="8" t="n"/>
      <c r="G260" s="8" t="n"/>
      <c r="H260" s="7">
        <f>IF(A260="","",IF(OR(F260="",G260=""),"UNMAPPED","ok"))</f>
        <v/>
      </c>
    </row>
    <row r="261">
      <c r="A261" s="8" t="n"/>
      <c r="B261" s="8" t="n"/>
      <c r="C261" s="9" t="n"/>
      <c r="D261" s="9" t="n"/>
      <c r="E261" s="10">
        <f>IF(A261="","",N(C261)-N(D261))</f>
        <v/>
      </c>
      <c r="F261" s="8" t="n"/>
      <c r="G261" s="8" t="n"/>
      <c r="H261" s="7">
        <f>IF(A261="","",IF(OR(F261="",G261=""),"UNMAPPED","ok"))</f>
        <v/>
      </c>
    </row>
    <row r="262">
      <c r="A262" s="8" t="n"/>
      <c r="B262" s="8" t="n"/>
      <c r="C262" s="9" t="n"/>
      <c r="D262" s="9" t="n"/>
      <c r="E262" s="10">
        <f>IF(A262="","",N(C262)-N(D262))</f>
        <v/>
      </c>
      <c r="F262" s="8" t="n"/>
      <c r="G262" s="8" t="n"/>
      <c r="H262" s="7">
        <f>IF(A262="","",IF(OR(F262="",G262=""),"UNMAPPED","ok"))</f>
        <v/>
      </c>
    </row>
    <row r="263">
      <c r="A263" s="8" t="n"/>
      <c r="B263" s="8" t="n"/>
      <c r="C263" s="9" t="n"/>
      <c r="D263" s="9" t="n"/>
      <c r="E263" s="10">
        <f>IF(A263="","",N(C263)-N(D263))</f>
        <v/>
      </c>
      <c r="F263" s="8" t="n"/>
      <c r="G263" s="8" t="n"/>
      <c r="H263" s="7">
        <f>IF(A263="","",IF(OR(F263="",G263=""),"UNMAPPED","ok"))</f>
        <v/>
      </c>
    </row>
    <row r="264">
      <c r="A264" s="8" t="n"/>
      <c r="B264" s="8" t="n"/>
      <c r="C264" s="9" t="n"/>
      <c r="D264" s="9" t="n"/>
      <c r="E264" s="10">
        <f>IF(A264="","",N(C264)-N(D264))</f>
        <v/>
      </c>
      <c r="F264" s="8" t="n"/>
      <c r="G264" s="8" t="n"/>
      <c r="H264" s="7">
        <f>IF(A264="","",IF(OR(F264="",G264=""),"UNMAPPED","ok"))</f>
        <v/>
      </c>
    </row>
    <row r="265">
      <c r="A265" s="8" t="n"/>
      <c r="B265" s="8" t="n"/>
      <c r="C265" s="9" t="n"/>
      <c r="D265" s="9" t="n"/>
      <c r="E265" s="10">
        <f>IF(A265="","",N(C265)-N(D265))</f>
        <v/>
      </c>
      <c r="F265" s="8" t="n"/>
      <c r="G265" s="8" t="n"/>
      <c r="H265" s="7">
        <f>IF(A265="","",IF(OR(F265="",G265=""),"UNMAPPED","ok"))</f>
        <v/>
      </c>
    </row>
    <row r="266">
      <c r="A266" s="8" t="n"/>
      <c r="B266" s="8" t="n"/>
      <c r="C266" s="9" t="n"/>
      <c r="D266" s="9" t="n"/>
      <c r="E266" s="10">
        <f>IF(A266="","",N(C266)-N(D266))</f>
        <v/>
      </c>
      <c r="F266" s="8" t="n"/>
      <c r="G266" s="8" t="n"/>
      <c r="H266" s="7">
        <f>IF(A266="","",IF(OR(F266="",G266=""),"UNMAPPED","ok"))</f>
        <v/>
      </c>
    </row>
    <row r="267">
      <c r="A267" s="8" t="n"/>
      <c r="B267" s="8" t="n"/>
      <c r="C267" s="9" t="n"/>
      <c r="D267" s="9" t="n"/>
      <c r="E267" s="10">
        <f>IF(A267="","",N(C267)-N(D267))</f>
        <v/>
      </c>
      <c r="F267" s="8" t="n"/>
      <c r="G267" s="8" t="n"/>
      <c r="H267" s="7">
        <f>IF(A267="","",IF(OR(F267="",G267=""),"UNMAPPED","ok"))</f>
        <v/>
      </c>
    </row>
    <row r="268">
      <c r="A268" s="8" t="n"/>
      <c r="B268" s="8" t="n"/>
      <c r="C268" s="9" t="n"/>
      <c r="D268" s="9" t="n"/>
      <c r="E268" s="10">
        <f>IF(A268="","",N(C268)-N(D268))</f>
        <v/>
      </c>
      <c r="F268" s="8" t="n"/>
      <c r="G268" s="8" t="n"/>
      <c r="H268" s="7">
        <f>IF(A268="","",IF(OR(F268="",G268=""),"UNMAPPED","ok"))</f>
        <v/>
      </c>
    </row>
    <row r="269">
      <c r="A269" s="8" t="n"/>
      <c r="B269" s="8" t="n"/>
      <c r="C269" s="9" t="n"/>
      <c r="D269" s="9" t="n"/>
      <c r="E269" s="10">
        <f>IF(A269="","",N(C269)-N(D269))</f>
        <v/>
      </c>
      <c r="F269" s="8" t="n"/>
      <c r="G269" s="8" t="n"/>
      <c r="H269" s="7">
        <f>IF(A269="","",IF(OR(F269="",G269=""),"UNMAPPED","ok"))</f>
        <v/>
      </c>
    </row>
    <row r="270">
      <c r="A270" s="8" t="n"/>
      <c r="B270" s="8" t="n"/>
      <c r="C270" s="9" t="n"/>
      <c r="D270" s="9" t="n"/>
      <c r="E270" s="10">
        <f>IF(A270="","",N(C270)-N(D270))</f>
        <v/>
      </c>
      <c r="F270" s="8" t="n"/>
      <c r="G270" s="8" t="n"/>
      <c r="H270" s="7">
        <f>IF(A270="","",IF(OR(F270="",G270=""),"UNMAPPED","ok"))</f>
        <v/>
      </c>
    </row>
    <row r="271">
      <c r="A271" s="8" t="n"/>
      <c r="B271" s="8" t="n"/>
      <c r="C271" s="9" t="n"/>
      <c r="D271" s="9" t="n"/>
      <c r="E271" s="10">
        <f>IF(A271="","",N(C271)-N(D271))</f>
        <v/>
      </c>
      <c r="F271" s="8" t="n"/>
      <c r="G271" s="8" t="n"/>
      <c r="H271" s="7">
        <f>IF(A271="","",IF(OR(F271="",G271=""),"UNMAPPED","ok"))</f>
        <v/>
      </c>
    </row>
    <row r="272">
      <c r="A272" s="8" t="n"/>
      <c r="B272" s="8" t="n"/>
      <c r="C272" s="9" t="n"/>
      <c r="D272" s="9" t="n"/>
      <c r="E272" s="10">
        <f>IF(A272="","",N(C272)-N(D272))</f>
        <v/>
      </c>
      <c r="F272" s="8" t="n"/>
      <c r="G272" s="8" t="n"/>
      <c r="H272" s="7">
        <f>IF(A272="","",IF(OR(F272="",G272=""),"UNMAPPED","ok"))</f>
        <v/>
      </c>
    </row>
    <row r="273">
      <c r="A273" s="8" t="n"/>
      <c r="B273" s="8" t="n"/>
      <c r="C273" s="9" t="n"/>
      <c r="D273" s="9" t="n"/>
      <c r="E273" s="10">
        <f>IF(A273="","",N(C273)-N(D273))</f>
        <v/>
      </c>
      <c r="F273" s="8" t="n"/>
      <c r="G273" s="8" t="n"/>
      <c r="H273" s="7">
        <f>IF(A273="","",IF(OR(F273="",G273=""),"UNMAPPED","ok"))</f>
        <v/>
      </c>
    </row>
    <row r="274">
      <c r="A274" s="8" t="n"/>
      <c r="B274" s="8" t="n"/>
      <c r="C274" s="9" t="n"/>
      <c r="D274" s="9" t="n"/>
      <c r="E274" s="10">
        <f>IF(A274="","",N(C274)-N(D274))</f>
        <v/>
      </c>
      <c r="F274" s="8" t="n"/>
      <c r="G274" s="8" t="n"/>
      <c r="H274" s="7">
        <f>IF(A274="","",IF(OR(F274="",G274=""),"UNMAPPED","ok"))</f>
        <v/>
      </c>
    </row>
    <row r="275">
      <c r="A275" s="8" t="n"/>
      <c r="B275" s="8" t="n"/>
      <c r="C275" s="9" t="n"/>
      <c r="D275" s="9" t="n"/>
      <c r="E275" s="10">
        <f>IF(A275="","",N(C275)-N(D275))</f>
        <v/>
      </c>
      <c r="F275" s="8" t="n"/>
      <c r="G275" s="8" t="n"/>
      <c r="H275" s="7">
        <f>IF(A275="","",IF(OR(F275="",G275=""),"UNMAPPED","ok"))</f>
        <v/>
      </c>
    </row>
    <row r="276">
      <c r="A276" s="8" t="n"/>
      <c r="B276" s="8" t="n"/>
      <c r="C276" s="9" t="n"/>
      <c r="D276" s="9" t="n"/>
      <c r="E276" s="10">
        <f>IF(A276="","",N(C276)-N(D276))</f>
        <v/>
      </c>
      <c r="F276" s="8" t="n"/>
      <c r="G276" s="8" t="n"/>
      <c r="H276" s="7">
        <f>IF(A276="","",IF(OR(F276="",G276=""),"UNMAPPED","ok"))</f>
        <v/>
      </c>
    </row>
    <row r="277">
      <c r="A277" s="8" t="n"/>
      <c r="B277" s="8" t="n"/>
      <c r="C277" s="9" t="n"/>
      <c r="D277" s="9" t="n"/>
      <c r="E277" s="10">
        <f>IF(A277="","",N(C277)-N(D277))</f>
        <v/>
      </c>
      <c r="F277" s="8" t="n"/>
      <c r="G277" s="8" t="n"/>
      <c r="H277" s="7">
        <f>IF(A277="","",IF(OR(F277="",G277=""),"UNMAPPED","ok"))</f>
        <v/>
      </c>
    </row>
    <row r="278">
      <c r="A278" s="8" t="n"/>
      <c r="B278" s="8" t="n"/>
      <c r="C278" s="9" t="n"/>
      <c r="D278" s="9" t="n"/>
      <c r="E278" s="10">
        <f>IF(A278="","",N(C278)-N(D278))</f>
        <v/>
      </c>
      <c r="F278" s="8" t="n"/>
      <c r="G278" s="8" t="n"/>
      <c r="H278" s="7">
        <f>IF(A278="","",IF(OR(F278="",G278=""),"UNMAPPED","ok"))</f>
        <v/>
      </c>
    </row>
    <row r="279">
      <c r="A279" s="8" t="n"/>
      <c r="B279" s="8" t="n"/>
      <c r="C279" s="9" t="n"/>
      <c r="D279" s="9" t="n"/>
      <c r="E279" s="10">
        <f>IF(A279="","",N(C279)-N(D279))</f>
        <v/>
      </c>
      <c r="F279" s="8" t="n"/>
      <c r="G279" s="8" t="n"/>
      <c r="H279" s="7">
        <f>IF(A279="","",IF(OR(F279="",G279=""),"UNMAPPED","ok"))</f>
        <v/>
      </c>
    </row>
    <row r="280">
      <c r="A280" s="8" t="n"/>
      <c r="B280" s="8" t="n"/>
      <c r="C280" s="9" t="n"/>
      <c r="D280" s="9" t="n"/>
      <c r="E280" s="10">
        <f>IF(A280="","",N(C280)-N(D280))</f>
        <v/>
      </c>
      <c r="F280" s="8" t="n"/>
      <c r="G280" s="8" t="n"/>
      <c r="H280" s="7">
        <f>IF(A280="","",IF(OR(F280="",G280=""),"UNMAPPED","ok"))</f>
        <v/>
      </c>
    </row>
    <row r="281">
      <c r="A281" s="8" t="n"/>
      <c r="B281" s="8" t="n"/>
      <c r="C281" s="9" t="n"/>
      <c r="D281" s="9" t="n"/>
      <c r="E281" s="10">
        <f>IF(A281="","",N(C281)-N(D281))</f>
        <v/>
      </c>
      <c r="F281" s="8" t="n"/>
      <c r="G281" s="8" t="n"/>
      <c r="H281" s="7">
        <f>IF(A281="","",IF(OR(F281="",G281=""),"UNMAPPED","ok"))</f>
        <v/>
      </c>
    </row>
    <row r="282">
      <c r="A282" s="8" t="n"/>
      <c r="B282" s="8" t="n"/>
      <c r="C282" s="9" t="n"/>
      <c r="D282" s="9" t="n"/>
      <c r="E282" s="10">
        <f>IF(A282="","",N(C282)-N(D282))</f>
        <v/>
      </c>
      <c r="F282" s="8" t="n"/>
      <c r="G282" s="8" t="n"/>
      <c r="H282" s="7">
        <f>IF(A282="","",IF(OR(F282="",G282=""),"UNMAPPED","ok"))</f>
        <v/>
      </c>
    </row>
    <row r="283">
      <c r="A283" s="8" t="n"/>
      <c r="B283" s="8" t="n"/>
      <c r="C283" s="9" t="n"/>
      <c r="D283" s="9" t="n"/>
      <c r="E283" s="10">
        <f>IF(A283="","",N(C283)-N(D283))</f>
        <v/>
      </c>
      <c r="F283" s="8" t="n"/>
      <c r="G283" s="8" t="n"/>
      <c r="H283" s="7">
        <f>IF(A283="","",IF(OR(F283="",G283=""),"UNMAPPED","ok"))</f>
        <v/>
      </c>
    </row>
    <row r="284">
      <c r="A284" s="8" t="n"/>
      <c r="B284" s="8" t="n"/>
      <c r="C284" s="9" t="n"/>
      <c r="D284" s="9" t="n"/>
      <c r="E284" s="10">
        <f>IF(A284="","",N(C284)-N(D284))</f>
        <v/>
      </c>
      <c r="F284" s="8" t="n"/>
      <c r="G284" s="8" t="n"/>
      <c r="H284" s="7">
        <f>IF(A284="","",IF(OR(F284="",G284=""),"UNMAPPED","ok"))</f>
        <v/>
      </c>
    </row>
    <row r="285">
      <c r="A285" s="8" t="n"/>
      <c r="B285" s="8" t="n"/>
      <c r="C285" s="9" t="n"/>
      <c r="D285" s="9" t="n"/>
      <c r="E285" s="10">
        <f>IF(A285="","",N(C285)-N(D285))</f>
        <v/>
      </c>
      <c r="F285" s="8" t="n"/>
      <c r="G285" s="8" t="n"/>
      <c r="H285" s="7">
        <f>IF(A285="","",IF(OR(F285="",G285=""),"UNMAPPED","ok"))</f>
        <v/>
      </c>
    </row>
    <row r="286">
      <c r="A286" s="8" t="n"/>
      <c r="B286" s="8" t="n"/>
      <c r="C286" s="9" t="n"/>
      <c r="D286" s="9" t="n"/>
      <c r="E286" s="10">
        <f>IF(A286="","",N(C286)-N(D286))</f>
        <v/>
      </c>
      <c r="F286" s="8" t="n"/>
      <c r="G286" s="8" t="n"/>
      <c r="H286" s="7">
        <f>IF(A286="","",IF(OR(F286="",G286=""),"UNMAPPED","ok"))</f>
        <v/>
      </c>
    </row>
    <row r="287">
      <c r="A287" s="8" t="n"/>
      <c r="B287" s="8" t="n"/>
      <c r="C287" s="9" t="n"/>
      <c r="D287" s="9" t="n"/>
      <c r="E287" s="10">
        <f>IF(A287="","",N(C287)-N(D287))</f>
        <v/>
      </c>
      <c r="F287" s="8" t="n"/>
      <c r="G287" s="8" t="n"/>
      <c r="H287" s="7">
        <f>IF(A287="","",IF(OR(F287="",G287=""),"UNMAPPED","ok"))</f>
        <v/>
      </c>
    </row>
    <row r="288">
      <c r="A288" s="8" t="n"/>
      <c r="B288" s="8" t="n"/>
      <c r="C288" s="9" t="n"/>
      <c r="D288" s="9" t="n"/>
      <c r="E288" s="10">
        <f>IF(A288="","",N(C288)-N(D288))</f>
        <v/>
      </c>
      <c r="F288" s="8" t="n"/>
      <c r="G288" s="8" t="n"/>
      <c r="H288" s="7">
        <f>IF(A288="","",IF(OR(F288="",G288=""),"UNMAPPED","ok"))</f>
        <v/>
      </c>
    </row>
    <row r="289">
      <c r="A289" s="8" t="n"/>
      <c r="B289" s="8" t="n"/>
      <c r="C289" s="9" t="n"/>
      <c r="D289" s="9" t="n"/>
      <c r="E289" s="10">
        <f>IF(A289="","",N(C289)-N(D289))</f>
        <v/>
      </c>
      <c r="F289" s="8" t="n"/>
      <c r="G289" s="8" t="n"/>
      <c r="H289" s="7">
        <f>IF(A289="","",IF(OR(F289="",G289=""),"UNMAPPED","ok"))</f>
        <v/>
      </c>
    </row>
    <row r="290">
      <c r="A290" s="8" t="n"/>
      <c r="B290" s="8" t="n"/>
      <c r="C290" s="9" t="n"/>
      <c r="D290" s="9" t="n"/>
      <c r="E290" s="10">
        <f>IF(A290="","",N(C290)-N(D290))</f>
        <v/>
      </c>
      <c r="F290" s="8" t="n"/>
      <c r="G290" s="8" t="n"/>
      <c r="H290" s="7">
        <f>IF(A290="","",IF(OR(F290="",G290=""),"UNMAPPED","ok"))</f>
        <v/>
      </c>
    </row>
    <row r="291">
      <c r="A291" s="8" t="n"/>
      <c r="B291" s="8" t="n"/>
      <c r="C291" s="9" t="n"/>
      <c r="D291" s="9" t="n"/>
      <c r="E291" s="10">
        <f>IF(A291="","",N(C291)-N(D291))</f>
        <v/>
      </c>
      <c r="F291" s="8" t="n"/>
      <c r="G291" s="8" t="n"/>
      <c r="H291" s="7">
        <f>IF(A291="","",IF(OR(F291="",G291=""),"UNMAPPED","ok"))</f>
        <v/>
      </c>
    </row>
    <row r="292">
      <c r="A292" s="8" t="n"/>
      <c r="B292" s="8" t="n"/>
      <c r="C292" s="9" t="n"/>
      <c r="D292" s="9" t="n"/>
      <c r="E292" s="10">
        <f>IF(A292="","",N(C292)-N(D292))</f>
        <v/>
      </c>
      <c r="F292" s="8" t="n"/>
      <c r="G292" s="8" t="n"/>
      <c r="H292" s="7">
        <f>IF(A292="","",IF(OR(F292="",G292=""),"UNMAPPED","ok"))</f>
        <v/>
      </c>
    </row>
    <row r="293">
      <c r="A293" s="8" t="n"/>
      <c r="B293" s="8" t="n"/>
      <c r="C293" s="9" t="n"/>
      <c r="D293" s="9" t="n"/>
      <c r="E293" s="10">
        <f>IF(A293="","",N(C293)-N(D293))</f>
        <v/>
      </c>
      <c r="F293" s="8" t="n"/>
      <c r="G293" s="8" t="n"/>
      <c r="H293" s="7">
        <f>IF(A293="","",IF(OR(F293="",G293=""),"UNMAPPED","ok"))</f>
        <v/>
      </c>
    </row>
    <row r="294">
      <c r="A294" s="8" t="n"/>
      <c r="B294" s="8" t="n"/>
      <c r="C294" s="9" t="n"/>
      <c r="D294" s="9" t="n"/>
      <c r="E294" s="10">
        <f>IF(A294="","",N(C294)-N(D294))</f>
        <v/>
      </c>
      <c r="F294" s="8" t="n"/>
      <c r="G294" s="8" t="n"/>
      <c r="H294" s="7">
        <f>IF(A294="","",IF(OR(F294="",G294=""),"UNMAPPED","ok"))</f>
        <v/>
      </c>
    </row>
    <row r="295">
      <c r="A295" s="8" t="n"/>
      <c r="B295" s="8" t="n"/>
      <c r="C295" s="9" t="n"/>
      <c r="D295" s="9" t="n"/>
      <c r="E295" s="10">
        <f>IF(A295="","",N(C295)-N(D295))</f>
        <v/>
      </c>
      <c r="F295" s="8" t="n"/>
      <c r="G295" s="8" t="n"/>
      <c r="H295" s="7">
        <f>IF(A295="","",IF(OR(F295="",G295=""),"UNMAPPED","ok"))</f>
        <v/>
      </c>
    </row>
    <row r="296">
      <c r="A296" s="8" t="n"/>
      <c r="B296" s="8" t="n"/>
      <c r="C296" s="9" t="n"/>
      <c r="D296" s="9" t="n"/>
      <c r="E296" s="10">
        <f>IF(A296="","",N(C296)-N(D296))</f>
        <v/>
      </c>
      <c r="F296" s="8" t="n"/>
      <c r="G296" s="8" t="n"/>
      <c r="H296" s="7">
        <f>IF(A296="","",IF(OR(F296="",G296=""),"UNMAPPED","ok"))</f>
        <v/>
      </c>
    </row>
    <row r="297">
      <c r="A297" s="8" t="n"/>
      <c r="B297" s="8" t="n"/>
      <c r="C297" s="9" t="n"/>
      <c r="D297" s="9" t="n"/>
      <c r="E297" s="10">
        <f>IF(A297="","",N(C297)-N(D297))</f>
        <v/>
      </c>
      <c r="F297" s="8" t="n"/>
      <c r="G297" s="8" t="n"/>
      <c r="H297" s="7">
        <f>IF(A297="","",IF(OR(F297="",G297=""),"UNMAPPED","ok"))</f>
        <v/>
      </c>
    </row>
    <row r="298">
      <c r="A298" s="8" t="n"/>
      <c r="B298" s="8" t="n"/>
      <c r="C298" s="9" t="n"/>
      <c r="D298" s="9" t="n"/>
      <c r="E298" s="10">
        <f>IF(A298="","",N(C298)-N(D298))</f>
        <v/>
      </c>
      <c r="F298" s="8" t="n"/>
      <c r="G298" s="8" t="n"/>
      <c r="H298" s="7">
        <f>IF(A298="","",IF(OR(F298="",G298=""),"UNMAPPED","ok"))</f>
        <v/>
      </c>
    </row>
    <row r="299">
      <c r="A299" s="8" t="n"/>
      <c r="B299" s="8" t="n"/>
      <c r="C299" s="9" t="n"/>
      <c r="D299" s="9" t="n"/>
      <c r="E299" s="10">
        <f>IF(A299="","",N(C299)-N(D299))</f>
        <v/>
      </c>
      <c r="F299" s="8" t="n"/>
      <c r="G299" s="8" t="n"/>
      <c r="H299" s="7">
        <f>IF(A299="","",IF(OR(F299="",G299=""),"UNMAPPED","ok"))</f>
        <v/>
      </c>
    </row>
    <row r="300">
      <c r="A300" s="8" t="n"/>
      <c r="B300" s="8" t="n"/>
      <c r="C300" s="9" t="n"/>
      <c r="D300" s="9" t="n"/>
      <c r="E300" s="10">
        <f>IF(A300="","",N(C300)-N(D300))</f>
        <v/>
      </c>
      <c r="F300" s="8" t="n"/>
      <c r="G300" s="8" t="n"/>
      <c r="H300" s="7">
        <f>IF(A300="","",IF(OR(F300="",G300=""),"UNMAPPED","ok"))</f>
        <v/>
      </c>
    </row>
    <row r="301">
      <c r="A301" s="8" t="n"/>
      <c r="B301" s="8" t="n"/>
      <c r="C301" s="9" t="n"/>
      <c r="D301" s="9" t="n"/>
      <c r="E301" s="10">
        <f>IF(A301="","",N(C301)-N(D301))</f>
        <v/>
      </c>
      <c r="F301" s="8" t="n"/>
      <c r="G301" s="8" t="n"/>
      <c r="H301" s="7">
        <f>IF(A301="","",IF(OR(F301="",G301=""),"UNMAPPED","ok"))</f>
        <v/>
      </c>
    </row>
    <row r="302">
      <c r="A302" s="8" t="n"/>
      <c r="B302" s="8" t="n"/>
      <c r="C302" s="9" t="n"/>
      <c r="D302" s="9" t="n"/>
      <c r="E302" s="10">
        <f>IF(A302="","",N(C302)-N(D302))</f>
        <v/>
      </c>
      <c r="F302" s="8" t="n"/>
      <c r="G302" s="8" t="n"/>
      <c r="H302" s="7">
        <f>IF(A302="","",IF(OR(F302="",G302=""),"UNMAPPED","ok"))</f>
        <v/>
      </c>
    </row>
    <row r="303">
      <c r="A303" s="8" t="n"/>
      <c r="B303" s="8" t="n"/>
      <c r="C303" s="9" t="n"/>
      <c r="D303" s="9" t="n"/>
      <c r="E303" s="10">
        <f>IF(A303="","",N(C303)-N(D303))</f>
        <v/>
      </c>
      <c r="F303" s="8" t="n"/>
      <c r="G303" s="8" t="n"/>
      <c r="H303" s="7">
        <f>IF(A303="","",IF(OR(F303="",G303=""),"UNMAPPED","ok"))</f>
        <v/>
      </c>
    </row>
    <row r="304">
      <c r="A304" s="8" t="n"/>
      <c r="B304" s="8" t="n"/>
      <c r="C304" s="9" t="n"/>
      <c r="D304" s="9" t="n"/>
      <c r="E304" s="10">
        <f>IF(A304="","",N(C304)-N(D304))</f>
        <v/>
      </c>
      <c r="F304" s="8" t="n"/>
      <c r="G304" s="8" t="n"/>
      <c r="H304" s="7">
        <f>IF(A304="","",IF(OR(F304="",G304=""),"UNMAPPED","ok"))</f>
        <v/>
      </c>
    </row>
    <row r="305">
      <c r="A305" s="8" t="n"/>
      <c r="B305" s="8" t="n"/>
      <c r="C305" s="9" t="n"/>
      <c r="D305" s="9" t="n"/>
      <c r="E305" s="10">
        <f>IF(A305="","",N(C305)-N(D305))</f>
        <v/>
      </c>
      <c r="F305" s="8" t="n"/>
      <c r="G305" s="8" t="n"/>
      <c r="H305" s="7">
        <f>IF(A305="","",IF(OR(F305="",G305=""),"UNMAPPED","ok"))</f>
        <v/>
      </c>
    </row>
    <row r="306">
      <c r="A306" s="8" t="n"/>
      <c r="B306" s="8" t="n"/>
      <c r="C306" s="9" t="n"/>
      <c r="D306" s="9" t="n"/>
      <c r="E306" s="10">
        <f>IF(A306="","",N(C306)-N(D306))</f>
        <v/>
      </c>
      <c r="F306" s="8" t="n"/>
      <c r="G306" s="8" t="n"/>
      <c r="H306" s="7">
        <f>IF(A306="","",IF(OR(F306="",G306=""),"UNMAPPED","ok"))</f>
        <v/>
      </c>
    </row>
    <row r="307">
      <c r="A307" s="8" t="n"/>
      <c r="B307" s="8" t="n"/>
      <c r="C307" s="9" t="n"/>
      <c r="D307" s="9" t="n"/>
      <c r="E307" s="10">
        <f>IF(A307="","",N(C307)-N(D307))</f>
        <v/>
      </c>
      <c r="F307" s="8" t="n"/>
      <c r="G307" s="8" t="n"/>
      <c r="H307" s="7">
        <f>IF(A307="","",IF(OR(F307="",G307=""),"UNMAPPED","ok"))</f>
        <v/>
      </c>
    </row>
    <row r="308">
      <c r="A308" s="8" t="n"/>
      <c r="B308" s="8" t="n"/>
      <c r="C308" s="9" t="n"/>
      <c r="D308" s="9" t="n"/>
      <c r="E308" s="10">
        <f>IF(A308="","",N(C308)-N(D308))</f>
        <v/>
      </c>
      <c r="F308" s="8" t="n"/>
      <c r="G308" s="8" t="n"/>
      <c r="H308" s="7">
        <f>IF(A308="","",IF(OR(F308="",G308=""),"UNMAPPED","ok"))</f>
        <v/>
      </c>
    </row>
    <row r="309">
      <c r="A309" s="8" t="n"/>
      <c r="B309" s="8" t="n"/>
      <c r="C309" s="9" t="n"/>
      <c r="D309" s="9" t="n"/>
      <c r="E309" s="10">
        <f>IF(A309="","",N(C309)-N(D309))</f>
        <v/>
      </c>
      <c r="F309" s="8" t="n"/>
      <c r="G309" s="8" t="n"/>
      <c r="H309" s="7">
        <f>IF(A309="","",IF(OR(F309="",G309=""),"UNMAPPED","ok"))</f>
        <v/>
      </c>
    </row>
    <row r="310">
      <c r="A310" s="8" t="n"/>
      <c r="B310" s="8" t="n"/>
      <c r="C310" s="9" t="n"/>
      <c r="D310" s="9" t="n"/>
      <c r="E310" s="10">
        <f>IF(A310="","",N(C310)-N(D310))</f>
        <v/>
      </c>
      <c r="F310" s="8" t="n"/>
      <c r="G310" s="8" t="n"/>
      <c r="H310" s="7">
        <f>IF(A310="","",IF(OR(F310="",G310=""),"UNMAPPED","ok"))</f>
        <v/>
      </c>
    </row>
    <row r="311">
      <c r="A311" s="8" t="n"/>
      <c r="B311" s="8" t="n"/>
      <c r="C311" s="9" t="n"/>
      <c r="D311" s="9" t="n"/>
      <c r="E311" s="10">
        <f>IF(A311="","",N(C311)-N(D311))</f>
        <v/>
      </c>
      <c r="F311" s="8" t="n"/>
      <c r="G311" s="8" t="n"/>
      <c r="H311" s="7">
        <f>IF(A311="","",IF(OR(F311="",G311=""),"UNMAPPED","ok"))</f>
        <v/>
      </c>
    </row>
    <row r="312">
      <c r="A312" s="8" t="n"/>
      <c r="B312" s="8" t="n"/>
      <c r="C312" s="9" t="n"/>
      <c r="D312" s="9" t="n"/>
      <c r="E312" s="10">
        <f>IF(A312="","",N(C312)-N(D312))</f>
        <v/>
      </c>
      <c r="F312" s="8" t="n"/>
      <c r="G312" s="8" t="n"/>
      <c r="H312" s="7">
        <f>IF(A312="","",IF(OR(F312="",G312=""),"UNMAPPED","ok"))</f>
        <v/>
      </c>
    </row>
    <row r="313">
      <c r="A313" s="8" t="n"/>
      <c r="B313" s="8" t="n"/>
      <c r="C313" s="9" t="n"/>
      <c r="D313" s="9" t="n"/>
      <c r="E313" s="10">
        <f>IF(A313="","",N(C313)-N(D313))</f>
        <v/>
      </c>
      <c r="F313" s="8" t="n"/>
      <c r="G313" s="8" t="n"/>
      <c r="H313" s="7">
        <f>IF(A313="","",IF(OR(F313="",G313=""),"UNMAPPED","ok"))</f>
        <v/>
      </c>
    </row>
    <row r="314">
      <c r="A314" s="8" t="n"/>
      <c r="B314" s="8" t="n"/>
      <c r="C314" s="9" t="n"/>
      <c r="D314" s="9" t="n"/>
      <c r="E314" s="10">
        <f>IF(A314="","",N(C314)-N(D314))</f>
        <v/>
      </c>
      <c r="F314" s="8" t="n"/>
      <c r="G314" s="8" t="n"/>
      <c r="H314" s="7">
        <f>IF(A314="","",IF(OR(F314="",G314=""),"UNMAPPED","ok"))</f>
        <v/>
      </c>
    </row>
    <row r="315">
      <c r="A315" s="8" t="n"/>
      <c r="B315" s="8" t="n"/>
      <c r="C315" s="9" t="n"/>
      <c r="D315" s="9" t="n"/>
      <c r="E315" s="10">
        <f>IF(A315="","",N(C315)-N(D315))</f>
        <v/>
      </c>
      <c r="F315" s="8" t="n"/>
      <c r="G315" s="8" t="n"/>
      <c r="H315" s="7">
        <f>IF(A315="","",IF(OR(F315="",G315=""),"UNMAPPED","ok"))</f>
        <v/>
      </c>
    </row>
    <row r="316">
      <c r="A316" s="8" t="n"/>
      <c r="B316" s="8" t="n"/>
      <c r="C316" s="9" t="n"/>
      <c r="D316" s="9" t="n"/>
      <c r="E316" s="10">
        <f>IF(A316="","",N(C316)-N(D316))</f>
        <v/>
      </c>
      <c r="F316" s="8" t="n"/>
      <c r="G316" s="8" t="n"/>
      <c r="H316" s="7">
        <f>IF(A316="","",IF(OR(F316="",G316=""),"UNMAPPED","ok"))</f>
        <v/>
      </c>
    </row>
    <row r="317">
      <c r="A317" s="8" t="n"/>
      <c r="B317" s="8" t="n"/>
      <c r="C317" s="9" t="n"/>
      <c r="D317" s="9" t="n"/>
      <c r="E317" s="10">
        <f>IF(A317="","",N(C317)-N(D317))</f>
        <v/>
      </c>
      <c r="F317" s="8" t="n"/>
      <c r="G317" s="8" t="n"/>
      <c r="H317" s="7">
        <f>IF(A317="","",IF(OR(F317="",G317=""),"UNMAPPED","ok"))</f>
        <v/>
      </c>
    </row>
    <row r="318">
      <c r="A318" s="8" t="n"/>
      <c r="B318" s="8" t="n"/>
      <c r="C318" s="9" t="n"/>
      <c r="D318" s="9" t="n"/>
      <c r="E318" s="10">
        <f>IF(A318="","",N(C318)-N(D318))</f>
        <v/>
      </c>
      <c r="F318" s="8" t="n"/>
      <c r="G318" s="8" t="n"/>
      <c r="H318" s="7">
        <f>IF(A318="","",IF(OR(F318="",G318=""),"UNMAPPED","ok"))</f>
        <v/>
      </c>
    </row>
    <row r="319">
      <c r="A319" s="8" t="n"/>
      <c r="B319" s="8" t="n"/>
      <c r="C319" s="9" t="n"/>
      <c r="D319" s="9" t="n"/>
      <c r="E319" s="10">
        <f>IF(A319="","",N(C319)-N(D319))</f>
        <v/>
      </c>
      <c r="F319" s="8" t="n"/>
      <c r="G319" s="8" t="n"/>
      <c r="H319" s="7">
        <f>IF(A319="","",IF(OR(F319="",G319=""),"UNMAPPED","ok"))</f>
        <v/>
      </c>
    </row>
    <row r="320">
      <c r="A320" s="8" t="n"/>
      <c r="B320" s="8" t="n"/>
      <c r="C320" s="9" t="n"/>
      <c r="D320" s="9" t="n"/>
      <c r="E320" s="10">
        <f>IF(A320="","",N(C320)-N(D320))</f>
        <v/>
      </c>
      <c r="F320" s="8" t="n"/>
      <c r="G320" s="8" t="n"/>
      <c r="H320" s="7">
        <f>IF(A320="","",IF(OR(F320="",G320=""),"UNMAPPED","ok"))</f>
        <v/>
      </c>
    </row>
    <row r="321">
      <c r="A321" s="8" t="n"/>
      <c r="B321" s="8" t="n"/>
      <c r="C321" s="9" t="n"/>
      <c r="D321" s="9" t="n"/>
      <c r="E321" s="10">
        <f>IF(A321="","",N(C321)-N(D321))</f>
        <v/>
      </c>
      <c r="F321" s="8" t="n"/>
      <c r="G321" s="8" t="n"/>
      <c r="H321" s="7">
        <f>IF(A321="","",IF(OR(F321="",G321=""),"UNMAPPED","ok"))</f>
        <v/>
      </c>
    </row>
    <row r="322">
      <c r="A322" s="8" t="n"/>
      <c r="B322" s="8" t="n"/>
      <c r="C322" s="9" t="n"/>
      <c r="D322" s="9" t="n"/>
      <c r="E322" s="10">
        <f>IF(A322="","",N(C322)-N(D322))</f>
        <v/>
      </c>
      <c r="F322" s="8" t="n"/>
      <c r="G322" s="8" t="n"/>
      <c r="H322" s="7">
        <f>IF(A322="","",IF(OR(F322="",G322=""),"UNMAPPED","ok"))</f>
        <v/>
      </c>
    </row>
    <row r="323">
      <c r="A323" s="8" t="n"/>
      <c r="B323" s="8" t="n"/>
      <c r="C323" s="9" t="n"/>
      <c r="D323" s="9" t="n"/>
      <c r="E323" s="10">
        <f>IF(A323="","",N(C323)-N(D323))</f>
        <v/>
      </c>
      <c r="F323" s="8" t="n"/>
      <c r="G323" s="8" t="n"/>
      <c r="H323" s="7">
        <f>IF(A323="","",IF(OR(F323="",G323=""),"UNMAPPED","ok"))</f>
        <v/>
      </c>
    </row>
    <row r="324">
      <c r="A324" s="8" t="n"/>
      <c r="B324" s="8" t="n"/>
      <c r="C324" s="9" t="n"/>
      <c r="D324" s="9" t="n"/>
      <c r="E324" s="10">
        <f>IF(A324="","",N(C324)-N(D324))</f>
        <v/>
      </c>
      <c r="F324" s="8" t="n"/>
      <c r="G324" s="8" t="n"/>
      <c r="H324" s="7">
        <f>IF(A324="","",IF(OR(F324="",G324=""),"UNMAPPED","ok"))</f>
        <v/>
      </c>
    </row>
    <row r="325">
      <c r="A325" s="8" t="n"/>
      <c r="B325" s="8" t="n"/>
      <c r="C325" s="9" t="n"/>
      <c r="D325" s="9" t="n"/>
      <c r="E325" s="10">
        <f>IF(A325="","",N(C325)-N(D325))</f>
        <v/>
      </c>
      <c r="F325" s="8" t="n"/>
      <c r="G325" s="8" t="n"/>
      <c r="H325" s="7">
        <f>IF(A325="","",IF(OR(F325="",G325=""),"UNMAPPED","ok"))</f>
        <v/>
      </c>
    </row>
    <row r="326">
      <c r="A326" s="8" t="n"/>
      <c r="B326" s="8" t="n"/>
      <c r="C326" s="9" t="n"/>
      <c r="D326" s="9" t="n"/>
      <c r="E326" s="10">
        <f>IF(A326="","",N(C326)-N(D326))</f>
        <v/>
      </c>
      <c r="F326" s="8" t="n"/>
      <c r="G326" s="8" t="n"/>
      <c r="H326" s="7">
        <f>IF(A326="","",IF(OR(F326="",G326=""),"UNMAPPED","ok"))</f>
        <v/>
      </c>
    </row>
    <row r="327">
      <c r="A327" s="8" t="n"/>
      <c r="B327" s="8" t="n"/>
      <c r="C327" s="9" t="n"/>
      <c r="D327" s="9" t="n"/>
      <c r="E327" s="10">
        <f>IF(A327="","",N(C327)-N(D327))</f>
        <v/>
      </c>
      <c r="F327" s="8" t="n"/>
      <c r="G327" s="8" t="n"/>
      <c r="H327" s="7">
        <f>IF(A327="","",IF(OR(F327="",G327=""),"UNMAPPED","ok"))</f>
        <v/>
      </c>
    </row>
    <row r="328">
      <c r="A328" s="8" t="n"/>
      <c r="B328" s="8" t="n"/>
      <c r="C328" s="9" t="n"/>
      <c r="D328" s="9" t="n"/>
      <c r="E328" s="10">
        <f>IF(A328="","",N(C328)-N(D328))</f>
        <v/>
      </c>
      <c r="F328" s="8" t="n"/>
      <c r="G328" s="8" t="n"/>
      <c r="H328" s="7">
        <f>IF(A328="","",IF(OR(F328="",G328=""),"UNMAPPED","ok"))</f>
        <v/>
      </c>
    </row>
    <row r="329">
      <c r="A329" s="8" t="n"/>
      <c r="B329" s="8" t="n"/>
      <c r="C329" s="9" t="n"/>
      <c r="D329" s="9" t="n"/>
      <c r="E329" s="10">
        <f>IF(A329="","",N(C329)-N(D329))</f>
        <v/>
      </c>
      <c r="F329" s="8" t="n"/>
      <c r="G329" s="8" t="n"/>
      <c r="H329" s="7">
        <f>IF(A329="","",IF(OR(F329="",G329=""),"UNMAPPED","ok"))</f>
        <v/>
      </c>
    </row>
    <row r="330">
      <c r="A330" s="8" t="n"/>
      <c r="B330" s="8" t="n"/>
      <c r="C330" s="9" t="n"/>
      <c r="D330" s="9" t="n"/>
      <c r="E330" s="10">
        <f>IF(A330="","",N(C330)-N(D330))</f>
        <v/>
      </c>
      <c r="F330" s="8" t="n"/>
      <c r="G330" s="8" t="n"/>
      <c r="H330" s="7">
        <f>IF(A330="","",IF(OR(F330="",G330=""),"UNMAPPED","ok"))</f>
        <v/>
      </c>
    </row>
    <row r="331">
      <c r="A331" s="8" t="n"/>
      <c r="B331" s="8" t="n"/>
      <c r="C331" s="9" t="n"/>
      <c r="D331" s="9" t="n"/>
      <c r="E331" s="10">
        <f>IF(A331="","",N(C331)-N(D331))</f>
        <v/>
      </c>
      <c r="F331" s="8" t="n"/>
      <c r="G331" s="8" t="n"/>
      <c r="H331" s="7">
        <f>IF(A331="","",IF(OR(F331="",G331=""),"UNMAPPED","ok"))</f>
        <v/>
      </c>
    </row>
    <row r="332">
      <c r="A332" s="8" t="n"/>
      <c r="B332" s="8" t="n"/>
      <c r="C332" s="9" t="n"/>
      <c r="D332" s="9" t="n"/>
      <c r="E332" s="10">
        <f>IF(A332="","",N(C332)-N(D332))</f>
        <v/>
      </c>
      <c r="F332" s="8" t="n"/>
      <c r="G332" s="8" t="n"/>
      <c r="H332" s="7">
        <f>IF(A332="","",IF(OR(F332="",G332=""),"UNMAPPED","ok"))</f>
        <v/>
      </c>
    </row>
    <row r="333">
      <c r="A333" s="8" t="n"/>
      <c r="B333" s="8" t="n"/>
      <c r="C333" s="9" t="n"/>
      <c r="D333" s="9" t="n"/>
      <c r="E333" s="10">
        <f>IF(A333="","",N(C333)-N(D333))</f>
        <v/>
      </c>
      <c r="F333" s="8" t="n"/>
      <c r="G333" s="8" t="n"/>
      <c r="H333" s="7">
        <f>IF(A333="","",IF(OR(F333="",G333=""),"UNMAPPED","ok"))</f>
        <v/>
      </c>
    </row>
    <row r="334">
      <c r="A334" s="8" t="n"/>
      <c r="B334" s="8" t="n"/>
      <c r="C334" s="9" t="n"/>
      <c r="D334" s="9" t="n"/>
      <c r="E334" s="10">
        <f>IF(A334="","",N(C334)-N(D334))</f>
        <v/>
      </c>
      <c r="F334" s="8" t="n"/>
      <c r="G334" s="8" t="n"/>
      <c r="H334" s="7">
        <f>IF(A334="","",IF(OR(F334="",G334=""),"UNMAPPED","ok"))</f>
        <v/>
      </c>
    </row>
    <row r="335">
      <c r="A335" s="8" t="n"/>
      <c r="B335" s="8" t="n"/>
      <c r="C335" s="9" t="n"/>
      <c r="D335" s="9" t="n"/>
      <c r="E335" s="10">
        <f>IF(A335="","",N(C335)-N(D335))</f>
        <v/>
      </c>
      <c r="F335" s="8" t="n"/>
      <c r="G335" s="8" t="n"/>
      <c r="H335" s="7">
        <f>IF(A335="","",IF(OR(F335="",G335=""),"UNMAPPED","ok"))</f>
        <v/>
      </c>
    </row>
    <row r="336">
      <c r="A336" s="8" t="n"/>
      <c r="B336" s="8" t="n"/>
      <c r="C336" s="9" t="n"/>
      <c r="D336" s="9" t="n"/>
      <c r="E336" s="10">
        <f>IF(A336="","",N(C336)-N(D336))</f>
        <v/>
      </c>
      <c r="F336" s="8" t="n"/>
      <c r="G336" s="8" t="n"/>
      <c r="H336" s="7">
        <f>IF(A336="","",IF(OR(F336="",G336=""),"UNMAPPED","ok"))</f>
        <v/>
      </c>
    </row>
    <row r="337">
      <c r="A337" s="8" t="n"/>
      <c r="B337" s="8" t="n"/>
      <c r="C337" s="9" t="n"/>
      <c r="D337" s="9" t="n"/>
      <c r="E337" s="10">
        <f>IF(A337="","",N(C337)-N(D337))</f>
        <v/>
      </c>
      <c r="F337" s="8" t="n"/>
      <c r="G337" s="8" t="n"/>
      <c r="H337" s="7">
        <f>IF(A337="","",IF(OR(F337="",G337=""),"UNMAPPED","ok"))</f>
        <v/>
      </c>
    </row>
    <row r="338">
      <c r="A338" s="8" t="n"/>
      <c r="B338" s="8" t="n"/>
      <c r="C338" s="9" t="n"/>
      <c r="D338" s="9" t="n"/>
      <c r="E338" s="10">
        <f>IF(A338="","",N(C338)-N(D338))</f>
        <v/>
      </c>
      <c r="F338" s="8" t="n"/>
      <c r="G338" s="8" t="n"/>
      <c r="H338" s="7">
        <f>IF(A338="","",IF(OR(F338="",G338=""),"UNMAPPED","ok"))</f>
        <v/>
      </c>
    </row>
    <row r="339">
      <c r="A339" s="8" t="n"/>
      <c r="B339" s="8" t="n"/>
      <c r="C339" s="9" t="n"/>
      <c r="D339" s="9" t="n"/>
      <c r="E339" s="10">
        <f>IF(A339="","",N(C339)-N(D339))</f>
        <v/>
      </c>
      <c r="F339" s="8" t="n"/>
      <c r="G339" s="8" t="n"/>
      <c r="H339" s="7">
        <f>IF(A339="","",IF(OR(F339="",G339=""),"UNMAPPED","ok"))</f>
        <v/>
      </c>
    </row>
    <row r="340">
      <c r="A340" s="8" t="n"/>
      <c r="B340" s="8" t="n"/>
      <c r="C340" s="9" t="n"/>
      <c r="D340" s="9" t="n"/>
      <c r="E340" s="10">
        <f>IF(A340="","",N(C340)-N(D340))</f>
        <v/>
      </c>
      <c r="F340" s="8" t="n"/>
      <c r="G340" s="8" t="n"/>
      <c r="H340" s="7">
        <f>IF(A340="","",IF(OR(F340="",G340=""),"UNMAPPED","ok"))</f>
        <v/>
      </c>
    </row>
    <row r="341">
      <c r="A341" s="8" t="n"/>
      <c r="B341" s="8" t="n"/>
      <c r="C341" s="9" t="n"/>
      <c r="D341" s="9" t="n"/>
      <c r="E341" s="10">
        <f>IF(A341="","",N(C341)-N(D341))</f>
        <v/>
      </c>
      <c r="F341" s="8" t="n"/>
      <c r="G341" s="8" t="n"/>
      <c r="H341" s="7">
        <f>IF(A341="","",IF(OR(F341="",G341=""),"UNMAPPED","ok"))</f>
        <v/>
      </c>
    </row>
    <row r="342">
      <c r="A342" s="8" t="n"/>
      <c r="B342" s="8" t="n"/>
      <c r="C342" s="9" t="n"/>
      <c r="D342" s="9" t="n"/>
      <c r="E342" s="10">
        <f>IF(A342="","",N(C342)-N(D342))</f>
        <v/>
      </c>
      <c r="F342" s="8" t="n"/>
      <c r="G342" s="8" t="n"/>
      <c r="H342" s="7">
        <f>IF(A342="","",IF(OR(F342="",G342=""),"UNMAPPED","ok"))</f>
        <v/>
      </c>
    </row>
    <row r="343">
      <c r="A343" s="8" t="n"/>
      <c r="B343" s="8" t="n"/>
      <c r="C343" s="9" t="n"/>
      <c r="D343" s="9" t="n"/>
      <c r="E343" s="10">
        <f>IF(A343="","",N(C343)-N(D343))</f>
        <v/>
      </c>
      <c r="F343" s="8" t="n"/>
      <c r="G343" s="8" t="n"/>
      <c r="H343" s="7">
        <f>IF(A343="","",IF(OR(F343="",G343=""),"UNMAPPED","ok"))</f>
        <v/>
      </c>
    </row>
    <row r="344">
      <c r="A344" s="8" t="n"/>
      <c r="B344" s="8" t="n"/>
      <c r="C344" s="9" t="n"/>
      <c r="D344" s="9" t="n"/>
      <c r="E344" s="10">
        <f>IF(A344="","",N(C344)-N(D344))</f>
        <v/>
      </c>
      <c r="F344" s="8" t="n"/>
      <c r="G344" s="8" t="n"/>
      <c r="H344" s="7">
        <f>IF(A344="","",IF(OR(F344="",G344=""),"UNMAPPED","ok"))</f>
        <v/>
      </c>
    </row>
    <row r="345">
      <c r="A345" s="8" t="n"/>
      <c r="B345" s="8" t="n"/>
      <c r="C345" s="9" t="n"/>
      <c r="D345" s="9" t="n"/>
      <c r="E345" s="10">
        <f>IF(A345="","",N(C345)-N(D345))</f>
        <v/>
      </c>
      <c r="F345" s="8" t="n"/>
      <c r="G345" s="8" t="n"/>
      <c r="H345" s="7">
        <f>IF(A345="","",IF(OR(F345="",G345=""),"UNMAPPED","ok"))</f>
        <v/>
      </c>
    </row>
    <row r="346">
      <c r="A346" s="8" t="n"/>
      <c r="B346" s="8" t="n"/>
      <c r="C346" s="9" t="n"/>
      <c r="D346" s="9" t="n"/>
      <c r="E346" s="10">
        <f>IF(A346="","",N(C346)-N(D346))</f>
        <v/>
      </c>
      <c r="F346" s="8" t="n"/>
      <c r="G346" s="8" t="n"/>
      <c r="H346" s="7">
        <f>IF(A346="","",IF(OR(F346="",G346=""),"UNMAPPED","ok"))</f>
        <v/>
      </c>
    </row>
    <row r="347">
      <c r="A347" s="8" t="n"/>
      <c r="B347" s="8" t="n"/>
      <c r="C347" s="9" t="n"/>
      <c r="D347" s="9" t="n"/>
      <c r="E347" s="10">
        <f>IF(A347="","",N(C347)-N(D347))</f>
        <v/>
      </c>
      <c r="F347" s="8" t="n"/>
      <c r="G347" s="8" t="n"/>
      <c r="H347" s="7">
        <f>IF(A347="","",IF(OR(F347="",G347=""),"UNMAPPED","ok"))</f>
        <v/>
      </c>
    </row>
    <row r="348">
      <c r="A348" s="8" t="n"/>
      <c r="B348" s="8" t="n"/>
      <c r="C348" s="9" t="n"/>
      <c r="D348" s="9" t="n"/>
      <c r="E348" s="10">
        <f>IF(A348="","",N(C348)-N(D348))</f>
        <v/>
      </c>
      <c r="F348" s="8" t="n"/>
      <c r="G348" s="8" t="n"/>
      <c r="H348" s="7">
        <f>IF(A348="","",IF(OR(F348="",G348=""),"UNMAPPED","ok"))</f>
        <v/>
      </c>
    </row>
    <row r="349">
      <c r="A349" s="8" t="n"/>
      <c r="B349" s="8" t="n"/>
      <c r="C349" s="9" t="n"/>
      <c r="D349" s="9" t="n"/>
      <c r="E349" s="10">
        <f>IF(A349="","",N(C349)-N(D349))</f>
        <v/>
      </c>
      <c r="F349" s="8" t="n"/>
      <c r="G349" s="8" t="n"/>
      <c r="H349" s="7">
        <f>IF(A349="","",IF(OR(F349="",G349=""),"UNMAPPED","ok"))</f>
        <v/>
      </c>
    </row>
    <row r="350">
      <c r="A350" s="8" t="n"/>
      <c r="B350" s="8" t="n"/>
      <c r="C350" s="9" t="n"/>
      <c r="D350" s="9" t="n"/>
      <c r="E350" s="10">
        <f>IF(A350="","",N(C350)-N(D350))</f>
        <v/>
      </c>
      <c r="F350" s="8" t="n"/>
      <c r="G350" s="8" t="n"/>
      <c r="H350" s="7">
        <f>IF(A350="","",IF(OR(F350="",G350=""),"UNMAPPED","ok"))</f>
        <v/>
      </c>
    </row>
    <row r="351">
      <c r="A351" s="8" t="n"/>
      <c r="B351" s="8" t="n"/>
      <c r="C351" s="9" t="n"/>
      <c r="D351" s="9" t="n"/>
      <c r="E351" s="10">
        <f>IF(A351="","",N(C351)-N(D351))</f>
        <v/>
      </c>
      <c r="F351" s="8" t="n"/>
      <c r="G351" s="8" t="n"/>
      <c r="H351" s="7">
        <f>IF(A351="","",IF(OR(F351="",G351=""),"UNMAPPED","ok"))</f>
        <v/>
      </c>
    </row>
    <row r="352">
      <c r="A352" s="8" t="n"/>
      <c r="B352" s="8" t="n"/>
      <c r="C352" s="9" t="n"/>
      <c r="D352" s="9" t="n"/>
      <c r="E352" s="10">
        <f>IF(A352="","",N(C352)-N(D352))</f>
        <v/>
      </c>
      <c r="F352" s="8" t="n"/>
      <c r="G352" s="8" t="n"/>
      <c r="H352" s="7">
        <f>IF(A352="","",IF(OR(F352="",G352=""),"UNMAPPED","ok"))</f>
        <v/>
      </c>
    </row>
    <row r="353">
      <c r="A353" s="8" t="n"/>
      <c r="B353" s="8" t="n"/>
      <c r="C353" s="9" t="n"/>
      <c r="D353" s="9" t="n"/>
      <c r="E353" s="10">
        <f>IF(A353="","",N(C353)-N(D353))</f>
        <v/>
      </c>
      <c r="F353" s="8" t="n"/>
      <c r="G353" s="8" t="n"/>
      <c r="H353" s="7">
        <f>IF(A353="","",IF(OR(F353="",G353=""),"UNMAPPED","ok"))</f>
        <v/>
      </c>
    </row>
    <row r="354">
      <c r="A354" s="8" t="n"/>
      <c r="B354" s="8" t="n"/>
      <c r="C354" s="9" t="n"/>
      <c r="D354" s="9" t="n"/>
      <c r="E354" s="10">
        <f>IF(A354="","",N(C354)-N(D354))</f>
        <v/>
      </c>
      <c r="F354" s="8" t="n"/>
      <c r="G354" s="8" t="n"/>
      <c r="H354" s="7">
        <f>IF(A354="","",IF(OR(F354="",G354=""),"UNMAPPED","ok"))</f>
        <v/>
      </c>
    </row>
    <row r="355">
      <c r="A355" s="8" t="n"/>
      <c r="B355" s="8" t="n"/>
      <c r="C355" s="9" t="n"/>
      <c r="D355" s="9" t="n"/>
      <c r="E355" s="10">
        <f>IF(A355="","",N(C355)-N(D355))</f>
        <v/>
      </c>
      <c r="F355" s="8" t="n"/>
      <c r="G355" s="8" t="n"/>
      <c r="H355" s="7">
        <f>IF(A355="","",IF(OR(F355="",G355=""),"UNMAPPED","ok"))</f>
        <v/>
      </c>
    </row>
    <row r="356">
      <c r="A356" s="8" t="n"/>
      <c r="B356" s="8" t="n"/>
      <c r="C356" s="9" t="n"/>
      <c r="D356" s="9" t="n"/>
      <c r="E356" s="10">
        <f>IF(A356="","",N(C356)-N(D356))</f>
        <v/>
      </c>
      <c r="F356" s="8" t="n"/>
      <c r="G356" s="8" t="n"/>
      <c r="H356" s="7">
        <f>IF(A356="","",IF(OR(F356="",G356=""),"UNMAPPED","ok"))</f>
        <v/>
      </c>
    </row>
    <row r="357">
      <c r="A357" s="8" t="n"/>
      <c r="B357" s="8" t="n"/>
      <c r="C357" s="9" t="n"/>
      <c r="D357" s="9" t="n"/>
      <c r="E357" s="10">
        <f>IF(A357="","",N(C357)-N(D357))</f>
        <v/>
      </c>
      <c r="F357" s="8" t="n"/>
      <c r="G357" s="8" t="n"/>
      <c r="H357" s="7">
        <f>IF(A357="","",IF(OR(F357="",G357=""),"UNMAPPED","ok"))</f>
        <v/>
      </c>
    </row>
    <row r="358">
      <c r="A358" s="8" t="n"/>
      <c r="B358" s="8" t="n"/>
      <c r="C358" s="9" t="n"/>
      <c r="D358" s="9" t="n"/>
      <c r="E358" s="10">
        <f>IF(A358="","",N(C358)-N(D358))</f>
        <v/>
      </c>
      <c r="F358" s="8" t="n"/>
      <c r="G358" s="8" t="n"/>
      <c r="H358" s="7">
        <f>IF(A358="","",IF(OR(F358="",G358=""),"UNMAPPED","ok"))</f>
        <v/>
      </c>
    </row>
    <row r="359">
      <c r="A359" s="8" t="n"/>
      <c r="B359" s="8" t="n"/>
      <c r="C359" s="9" t="n"/>
      <c r="D359" s="9" t="n"/>
      <c r="E359" s="10">
        <f>IF(A359="","",N(C359)-N(D359))</f>
        <v/>
      </c>
      <c r="F359" s="8" t="n"/>
      <c r="G359" s="8" t="n"/>
      <c r="H359" s="7">
        <f>IF(A359="","",IF(OR(F359="",G359=""),"UNMAPPED","ok"))</f>
        <v/>
      </c>
    </row>
    <row r="360">
      <c r="A360" s="8" t="n"/>
      <c r="B360" s="8" t="n"/>
      <c r="C360" s="9" t="n"/>
      <c r="D360" s="9" t="n"/>
      <c r="E360" s="10">
        <f>IF(A360="","",N(C360)-N(D360))</f>
        <v/>
      </c>
      <c r="F360" s="8" t="n"/>
      <c r="G360" s="8" t="n"/>
      <c r="H360" s="7">
        <f>IF(A360="","",IF(OR(F360="",G360=""),"UNMAPPED","ok"))</f>
        <v/>
      </c>
    </row>
    <row r="361">
      <c r="A361" s="8" t="n"/>
      <c r="B361" s="8" t="n"/>
      <c r="C361" s="9" t="n"/>
      <c r="D361" s="9" t="n"/>
      <c r="E361" s="10">
        <f>IF(A361="","",N(C361)-N(D361))</f>
        <v/>
      </c>
      <c r="F361" s="8" t="n"/>
      <c r="G361" s="8" t="n"/>
      <c r="H361" s="7">
        <f>IF(A361="","",IF(OR(F361="",G361=""),"UNMAPPED","ok"))</f>
        <v/>
      </c>
    </row>
    <row r="362">
      <c r="A362" s="8" t="n"/>
      <c r="B362" s="8" t="n"/>
      <c r="C362" s="9" t="n"/>
      <c r="D362" s="9" t="n"/>
      <c r="E362" s="10">
        <f>IF(A362="","",N(C362)-N(D362))</f>
        <v/>
      </c>
      <c r="F362" s="8" t="n"/>
      <c r="G362" s="8" t="n"/>
      <c r="H362" s="7">
        <f>IF(A362="","",IF(OR(F362="",G362=""),"UNMAPPED","ok"))</f>
        <v/>
      </c>
    </row>
    <row r="363">
      <c r="A363" s="8" t="n"/>
      <c r="B363" s="8" t="n"/>
      <c r="C363" s="9" t="n"/>
      <c r="D363" s="9" t="n"/>
      <c r="E363" s="10">
        <f>IF(A363="","",N(C363)-N(D363))</f>
        <v/>
      </c>
      <c r="F363" s="8" t="n"/>
      <c r="G363" s="8" t="n"/>
      <c r="H363" s="7">
        <f>IF(A363="","",IF(OR(F363="",G363=""),"UNMAPPED","ok"))</f>
        <v/>
      </c>
    </row>
    <row r="364">
      <c r="A364" s="8" t="n"/>
      <c r="B364" s="8" t="n"/>
      <c r="C364" s="9" t="n"/>
      <c r="D364" s="9" t="n"/>
      <c r="E364" s="10">
        <f>IF(A364="","",N(C364)-N(D364))</f>
        <v/>
      </c>
      <c r="F364" s="8" t="n"/>
      <c r="G364" s="8" t="n"/>
      <c r="H364" s="7">
        <f>IF(A364="","",IF(OR(F364="",G364=""),"UNMAPPED","ok"))</f>
        <v/>
      </c>
    </row>
    <row r="365">
      <c r="A365" s="8" t="n"/>
      <c r="B365" s="8" t="n"/>
      <c r="C365" s="9" t="n"/>
      <c r="D365" s="9" t="n"/>
      <c r="E365" s="10">
        <f>IF(A365="","",N(C365)-N(D365))</f>
        <v/>
      </c>
      <c r="F365" s="8" t="n"/>
      <c r="G365" s="8" t="n"/>
      <c r="H365" s="7">
        <f>IF(A365="","",IF(OR(F365="",G365=""),"UNMAPPED","ok"))</f>
        <v/>
      </c>
    </row>
    <row r="366">
      <c r="A366" s="8" t="n"/>
      <c r="B366" s="8" t="n"/>
      <c r="C366" s="9" t="n"/>
      <c r="D366" s="9" t="n"/>
      <c r="E366" s="10">
        <f>IF(A366="","",N(C366)-N(D366))</f>
        <v/>
      </c>
      <c r="F366" s="8" t="n"/>
      <c r="G366" s="8" t="n"/>
      <c r="H366" s="7">
        <f>IF(A366="","",IF(OR(F366="",G366=""),"UNMAPPED","ok"))</f>
        <v/>
      </c>
    </row>
    <row r="367">
      <c r="A367" s="8" t="n"/>
      <c r="B367" s="8" t="n"/>
      <c r="C367" s="9" t="n"/>
      <c r="D367" s="9" t="n"/>
      <c r="E367" s="10">
        <f>IF(A367="","",N(C367)-N(D367))</f>
        <v/>
      </c>
      <c r="F367" s="8" t="n"/>
      <c r="G367" s="8" t="n"/>
      <c r="H367" s="7">
        <f>IF(A367="","",IF(OR(F367="",G367=""),"UNMAPPED","ok"))</f>
        <v/>
      </c>
    </row>
    <row r="368">
      <c r="A368" s="8" t="n"/>
      <c r="B368" s="8" t="n"/>
      <c r="C368" s="9" t="n"/>
      <c r="D368" s="9" t="n"/>
      <c r="E368" s="10">
        <f>IF(A368="","",N(C368)-N(D368))</f>
        <v/>
      </c>
      <c r="F368" s="8" t="n"/>
      <c r="G368" s="8" t="n"/>
      <c r="H368" s="7">
        <f>IF(A368="","",IF(OR(F368="",G368=""),"UNMAPPED","ok"))</f>
        <v/>
      </c>
    </row>
    <row r="369">
      <c r="A369" s="8" t="n"/>
      <c r="B369" s="8" t="n"/>
      <c r="C369" s="9" t="n"/>
      <c r="D369" s="9" t="n"/>
      <c r="E369" s="10">
        <f>IF(A369="","",N(C369)-N(D369))</f>
        <v/>
      </c>
      <c r="F369" s="8" t="n"/>
      <c r="G369" s="8" t="n"/>
      <c r="H369" s="7">
        <f>IF(A369="","",IF(OR(F369="",G369=""),"UNMAPPED","ok"))</f>
        <v/>
      </c>
    </row>
    <row r="370">
      <c r="A370" s="8" t="n"/>
      <c r="B370" s="8" t="n"/>
      <c r="C370" s="9" t="n"/>
      <c r="D370" s="9" t="n"/>
      <c r="E370" s="10">
        <f>IF(A370="","",N(C370)-N(D370))</f>
        <v/>
      </c>
      <c r="F370" s="8" t="n"/>
      <c r="G370" s="8" t="n"/>
      <c r="H370" s="7">
        <f>IF(A370="","",IF(OR(F370="",G370=""),"UNMAPPED","ok"))</f>
        <v/>
      </c>
    </row>
    <row r="371">
      <c r="A371" s="8" t="n"/>
      <c r="B371" s="8" t="n"/>
      <c r="C371" s="9" t="n"/>
      <c r="D371" s="9" t="n"/>
      <c r="E371" s="10">
        <f>IF(A371="","",N(C371)-N(D371))</f>
        <v/>
      </c>
      <c r="F371" s="8" t="n"/>
      <c r="G371" s="8" t="n"/>
      <c r="H371" s="7">
        <f>IF(A371="","",IF(OR(F371="",G371=""),"UNMAPPED","ok"))</f>
        <v/>
      </c>
    </row>
    <row r="372">
      <c r="A372" s="8" t="n"/>
      <c r="B372" s="8" t="n"/>
      <c r="C372" s="9" t="n"/>
      <c r="D372" s="9" t="n"/>
      <c r="E372" s="10">
        <f>IF(A372="","",N(C372)-N(D372))</f>
        <v/>
      </c>
      <c r="F372" s="8" t="n"/>
      <c r="G372" s="8" t="n"/>
      <c r="H372" s="7">
        <f>IF(A372="","",IF(OR(F372="",G372=""),"UNMAPPED","ok"))</f>
        <v/>
      </c>
    </row>
    <row r="373">
      <c r="A373" s="8" t="n"/>
      <c r="B373" s="8" t="n"/>
      <c r="C373" s="9" t="n"/>
      <c r="D373" s="9" t="n"/>
      <c r="E373" s="10">
        <f>IF(A373="","",N(C373)-N(D373))</f>
        <v/>
      </c>
      <c r="F373" s="8" t="n"/>
      <c r="G373" s="8" t="n"/>
      <c r="H373" s="7">
        <f>IF(A373="","",IF(OR(F373="",G373=""),"UNMAPPED","ok"))</f>
        <v/>
      </c>
    </row>
    <row r="374">
      <c r="A374" s="8" t="n"/>
      <c r="B374" s="8" t="n"/>
      <c r="C374" s="9" t="n"/>
      <c r="D374" s="9" t="n"/>
      <c r="E374" s="10">
        <f>IF(A374="","",N(C374)-N(D374))</f>
        <v/>
      </c>
      <c r="F374" s="8" t="n"/>
      <c r="G374" s="8" t="n"/>
      <c r="H374" s="7">
        <f>IF(A374="","",IF(OR(F374="",G374=""),"UNMAPPED","ok"))</f>
        <v/>
      </c>
    </row>
    <row r="375">
      <c r="A375" s="8" t="n"/>
      <c r="B375" s="8" t="n"/>
      <c r="C375" s="9" t="n"/>
      <c r="D375" s="9" t="n"/>
      <c r="E375" s="10">
        <f>IF(A375="","",N(C375)-N(D375))</f>
        <v/>
      </c>
      <c r="F375" s="8" t="n"/>
      <c r="G375" s="8" t="n"/>
      <c r="H375" s="7">
        <f>IF(A375="","",IF(OR(F375="",G375=""),"UNMAPPED","ok"))</f>
        <v/>
      </c>
    </row>
    <row r="376">
      <c r="A376" s="8" t="n"/>
      <c r="B376" s="8" t="n"/>
      <c r="C376" s="9" t="n"/>
      <c r="D376" s="9" t="n"/>
      <c r="E376" s="10">
        <f>IF(A376="","",N(C376)-N(D376))</f>
        <v/>
      </c>
      <c r="F376" s="8" t="n"/>
      <c r="G376" s="8" t="n"/>
      <c r="H376" s="7">
        <f>IF(A376="","",IF(OR(F376="",G376=""),"UNMAPPED","ok"))</f>
        <v/>
      </c>
    </row>
    <row r="377">
      <c r="A377" s="8" t="n"/>
      <c r="B377" s="8" t="n"/>
      <c r="C377" s="9" t="n"/>
      <c r="D377" s="9" t="n"/>
      <c r="E377" s="10">
        <f>IF(A377="","",N(C377)-N(D377))</f>
        <v/>
      </c>
      <c r="F377" s="8" t="n"/>
      <c r="G377" s="8" t="n"/>
      <c r="H377" s="7">
        <f>IF(A377="","",IF(OR(F377="",G377=""),"UNMAPPED","ok"))</f>
        <v/>
      </c>
    </row>
    <row r="378">
      <c r="A378" s="8" t="n"/>
      <c r="B378" s="8" t="n"/>
      <c r="C378" s="9" t="n"/>
      <c r="D378" s="9" t="n"/>
      <c r="E378" s="10">
        <f>IF(A378="","",N(C378)-N(D378))</f>
        <v/>
      </c>
      <c r="F378" s="8" t="n"/>
      <c r="G378" s="8" t="n"/>
      <c r="H378" s="7">
        <f>IF(A378="","",IF(OR(F378="",G378=""),"UNMAPPED","ok"))</f>
        <v/>
      </c>
    </row>
    <row r="379">
      <c r="A379" s="8" t="n"/>
      <c r="B379" s="8" t="n"/>
      <c r="C379" s="9" t="n"/>
      <c r="D379" s="9" t="n"/>
      <c r="E379" s="10">
        <f>IF(A379="","",N(C379)-N(D379))</f>
        <v/>
      </c>
      <c r="F379" s="8" t="n"/>
      <c r="G379" s="8" t="n"/>
      <c r="H379" s="7">
        <f>IF(A379="","",IF(OR(F379="",G379=""),"UNMAPPED","ok"))</f>
        <v/>
      </c>
    </row>
    <row r="380">
      <c r="A380" s="8" t="n"/>
      <c r="B380" s="8" t="n"/>
      <c r="C380" s="9" t="n"/>
      <c r="D380" s="9" t="n"/>
      <c r="E380" s="10">
        <f>IF(A380="","",N(C380)-N(D380))</f>
        <v/>
      </c>
      <c r="F380" s="8" t="n"/>
      <c r="G380" s="8" t="n"/>
      <c r="H380" s="7">
        <f>IF(A380="","",IF(OR(F380="",G380=""),"UNMAPPED","ok"))</f>
        <v/>
      </c>
    </row>
    <row r="381">
      <c r="A381" s="8" t="n"/>
      <c r="B381" s="8" t="n"/>
      <c r="C381" s="9" t="n"/>
      <c r="D381" s="9" t="n"/>
      <c r="E381" s="10">
        <f>IF(A381="","",N(C381)-N(D381))</f>
        <v/>
      </c>
      <c r="F381" s="8" t="n"/>
      <c r="G381" s="8" t="n"/>
      <c r="H381" s="7">
        <f>IF(A381="","",IF(OR(F381="",G381=""),"UNMAPPED","ok"))</f>
        <v/>
      </c>
    </row>
    <row r="382">
      <c r="A382" s="8" t="n"/>
      <c r="B382" s="8" t="n"/>
      <c r="C382" s="9" t="n"/>
      <c r="D382" s="9" t="n"/>
      <c r="E382" s="10">
        <f>IF(A382="","",N(C382)-N(D382))</f>
        <v/>
      </c>
      <c r="F382" s="8" t="n"/>
      <c r="G382" s="8" t="n"/>
      <c r="H382" s="7">
        <f>IF(A382="","",IF(OR(F382="",G382=""),"UNMAPPED","ok"))</f>
        <v/>
      </c>
    </row>
    <row r="383">
      <c r="A383" s="8" t="n"/>
      <c r="B383" s="8" t="n"/>
      <c r="C383" s="9" t="n"/>
      <c r="D383" s="9" t="n"/>
      <c r="E383" s="10">
        <f>IF(A383="","",N(C383)-N(D383))</f>
        <v/>
      </c>
      <c r="F383" s="8" t="n"/>
      <c r="G383" s="8" t="n"/>
      <c r="H383" s="7">
        <f>IF(A383="","",IF(OR(F383="",G383=""),"UNMAPPED","ok"))</f>
        <v/>
      </c>
    </row>
    <row r="384">
      <c r="A384" s="8" t="n"/>
      <c r="B384" s="8" t="n"/>
      <c r="C384" s="9" t="n"/>
      <c r="D384" s="9" t="n"/>
      <c r="E384" s="10">
        <f>IF(A384="","",N(C384)-N(D384))</f>
        <v/>
      </c>
      <c r="F384" s="8" t="n"/>
      <c r="G384" s="8" t="n"/>
      <c r="H384" s="7">
        <f>IF(A384="","",IF(OR(F384="",G384=""),"UNMAPPED","ok"))</f>
        <v/>
      </c>
    </row>
    <row r="385">
      <c r="A385" s="8" t="n"/>
      <c r="B385" s="8" t="n"/>
      <c r="C385" s="9" t="n"/>
      <c r="D385" s="9" t="n"/>
      <c r="E385" s="10">
        <f>IF(A385="","",N(C385)-N(D385))</f>
        <v/>
      </c>
      <c r="F385" s="8" t="n"/>
      <c r="G385" s="8" t="n"/>
      <c r="H385" s="7">
        <f>IF(A385="","",IF(OR(F385="",G385=""),"UNMAPPED","ok"))</f>
        <v/>
      </c>
    </row>
    <row r="386">
      <c r="A386" s="8" t="n"/>
      <c r="B386" s="8" t="n"/>
      <c r="C386" s="9" t="n"/>
      <c r="D386" s="9" t="n"/>
      <c r="E386" s="10">
        <f>IF(A386="","",N(C386)-N(D386))</f>
        <v/>
      </c>
      <c r="F386" s="8" t="n"/>
      <c r="G386" s="8" t="n"/>
      <c r="H386" s="7">
        <f>IF(A386="","",IF(OR(F386="",G386=""),"UNMAPPED","ok"))</f>
        <v/>
      </c>
    </row>
    <row r="387">
      <c r="A387" s="8" t="n"/>
      <c r="B387" s="8" t="n"/>
      <c r="C387" s="9" t="n"/>
      <c r="D387" s="9" t="n"/>
      <c r="E387" s="10">
        <f>IF(A387="","",N(C387)-N(D387))</f>
        <v/>
      </c>
      <c r="F387" s="8" t="n"/>
      <c r="G387" s="8" t="n"/>
      <c r="H387" s="7">
        <f>IF(A387="","",IF(OR(F387="",G387=""),"UNMAPPED","ok"))</f>
        <v/>
      </c>
    </row>
    <row r="388">
      <c r="A388" s="8" t="n"/>
      <c r="B388" s="8" t="n"/>
      <c r="C388" s="9" t="n"/>
      <c r="D388" s="9" t="n"/>
      <c r="E388" s="10">
        <f>IF(A388="","",N(C388)-N(D388))</f>
        <v/>
      </c>
      <c r="F388" s="8" t="n"/>
      <c r="G388" s="8" t="n"/>
      <c r="H388" s="7">
        <f>IF(A388="","",IF(OR(F388="",G388=""),"UNMAPPED","ok"))</f>
        <v/>
      </c>
    </row>
    <row r="389">
      <c r="A389" s="8" t="n"/>
      <c r="B389" s="8" t="n"/>
      <c r="C389" s="9" t="n"/>
      <c r="D389" s="9" t="n"/>
      <c r="E389" s="10">
        <f>IF(A389="","",N(C389)-N(D389))</f>
        <v/>
      </c>
      <c r="F389" s="8" t="n"/>
      <c r="G389" s="8" t="n"/>
      <c r="H389" s="7">
        <f>IF(A389="","",IF(OR(F389="",G389=""),"UNMAPPED","ok"))</f>
        <v/>
      </c>
    </row>
    <row r="390">
      <c r="A390" s="8" t="n"/>
      <c r="B390" s="8" t="n"/>
      <c r="C390" s="9" t="n"/>
      <c r="D390" s="9" t="n"/>
      <c r="E390" s="10">
        <f>IF(A390="","",N(C390)-N(D390))</f>
        <v/>
      </c>
      <c r="F390" s="8" t="n"/>
      <c r="G390" s="8" t="n"/>
      <c r="H390" s="7">
        <f>IF(A390="","",IF(OR(F390="",G390=""),"UNMAPPED","ok"))</f>
        <v/>
      </c>
    </row>
    <row r="391">
      <c r="A391" s="8" t="n"/>
      <c r="B391" s="8" t="n"/>
      <c r="C391" s="9" t="n"/>
      <c r="D391" s="9" t="n"/>
      <c r="E391" s="10">
        <f>IF(A391="","",N(C391)-N(D391))</f>
        <v/>
      </c>
      <c r="F391" s="8" t="n"/>
      <c r="G391" s="8" t="n"/>
      <c r="H391" s="7">
        <f>IF(A391="","",IF(OR(F391="",G391=""),"UNMAPPED","ok"))</f>
        <v/>
      </c>
    </row>
    <row r="392">
      <c r="A392" s="8" t="n"/>
      <c r="B392" s="8" t="n"/>
      <c r="C392" s="9" t="n"/>
      <c r="D392" s="9" t="n"/>
      <c r="E392" s="10">
        <f>IF(A392="","",N(C392)-N(D392))</f>
        <v/>
      </c>
      <c r="F392" s="8" t="n"/>
      <c r="G392" s="8" t="n"/>
      <c r="H392" s="7">
        <f>IF(A392="","",IF(OR(F392="",G392=""),"UNMAPPED","ok"))</f>
        <v/>
      </c>
    </row>
    <row r="393">
      <c r="A393" s="8" t="n"/>
      <c r="B393" s="8" t="n"/>
      <c r="C393" s="9" t="n"/>
      <c r="D393" s="9" t="n"/>
      <c r="E393" s="10">
        <f>IF(A393="","",N(C393)-N(D393))</f>
        <v/>
      </c>
      <c r="F393" s="8" t="n"/>
      <c r="G393" s="8" t="n"/>
      <c r="H393" s="7">
        <f>IF(A393="","",IF(OR(F393="",G393=""),"UNMAPPED","ok"))</f>
        <v/>
      </c>
    </row>
    <row r="394">
      <c r="A394" s="8" t="n"/>
      <c r="B394" s="8" t="n"/>
      <c r="C394" s="9" t="n"/>
      <c r="D394" s="9" t="n"/>
      <c r="E394" s="10">
        <f>IF(A394="","",N(C394)-N(D394))</f>
        <v/>
      </c>
      <c r="F394" s="8" t="n"/>
      <c r="G394" s="8" t="n"/>
      <c r="H394" s="7">
        <f>IF(A394="","",IF(OR(F394="",G394=""),"UNMAPPED","ok"))</f>
        <v/>
      </c>
    </row>
    <row r="395">
      <c r="A395" s="8" t="n"/>
      <c r="B395" s="8" t="n"/>
      <c r="C395" s="9" t="n"/>
      <c r="D395" s="9" t="n"/>
      <c r="E395" s="10">
        <f>IF(A395="","",N(C395)-N(D395))</f>
        <v/>
      </c>
      <c r="F395" s="8" t="n"/>
      <c r="G395" s="8" t="n"/>
      <c r="H395" s="7">
        <f>IF(A395="","",IF(OR(F395="",G395=""),"UNMAPPED","ok"))</f>
        <v/>
      </c>
    </row>
    <row r="396">
      <c r="A396" s="8" t="n"/>
      <c r="B396" s="8" t="n"/>
      <c r="C396" s="9" t="n"/>
      <c r="D396" s="9" t="n"/>
      <c r="E396" s="10">
        <f>IF(A396="","",N(C396)-N(D396))</f>
        <v/>
      </c>
      <c r="F396" s="8" t="n"/>
      <c r="G396" s="8" t="n"/>
      <c r="H396" s="7">
        <f>IF(A396="","",IF(OR(F396="",G396=""),"UNMAPPED","ok"))</f>
        <v/>
      </c>
    </row>
    <row r="397">
      <c r="A397" s="8" t="n"/>
      <c r="B397" s="8" t="n"/>
      <c r="C397" s="9" t="n"/>
      <c r="D397" s="9" t="n"/>
      <c r="E397" s="10">
        <f>IF(A397="","",N(C397)-N(D397))</f>
        <v/>
      </c>
      <c r="F397" s="8" t="n"/>
      <c r="G397" s="8" t="n"/>
      <c r="H397" s="7">
        <f>IF(A397="","",IF(OR(F397="",G397=""),"UNMAPPED","ok"))</f>
        <v/>
      </c>
    </row>
    <row r="398">
      <c r="A398" s="8" t="n"/>
      <c r="B398" s="8" t="n"/>
      <c r="C398" s="9" t="n"/>
      <c r="D398" s="9" t="n"/>
      <c r="E398" s="10">
        <f>IF(A398="","",N(C398)-N(D398))</f>
        <v/>
      </c>
      <c r="F398" s="8" t="n"/>
      <c r="G398" s="8" t="n"/>
      <c r="H398" s="7">
        <f>IF(A398="","",IF(OR(F398="",G398=""),"UNMAPPED","ok"))</f>
        <v/>
      </c>
    </row>
    <row r="399">
      <c r="A399" s="8" t="n"/>
      <c r="B399" s="8" t="n"/>
      <c r="C399" s="9" t="n"/>
      <c r="D399" s="9" t="n"/>
      <c r="E399" s="10">
        <f>IF(A399="","",N(C399)-N(D399))</f>
        <v/>
      </c>
      <c r="F399" s="8" t="n"/>
      <c r="G399" s="8" t="n"/>
      <c r="H399" s="7">
        <f>IF(A399="","",IF(OR(F399="",G399=""),"UNMAPPED","ok"))</f>
        <v/>
      </c>
    </row>
    <row r="400">
      <c r="A400" s="8" t="n"/>
      <c r="B400" s="8" t="n"/>
      <c r="C400" s="9" t="n"/>
      <c r="D400" s="9" t="n"/>
      <c r="E400" s="10">
        <f>IF(A400="","",N(C400)-N(D400))</f>
        <v/>
      </c>
      <c r="F400" s="8" t="n"/>
      <c r="G400" s="8" t="n"/>
      <c r="H400" s="7">
        <f>IF(A400="","",IF(OR(F400="",G400=""),"UNMAPPED","ok"))</f>
        <v/>
      </c>
    </row>
    <row r="401">
      <c r="A401" s="8" t="n"/>
      <c r="B401" s="8" t="n"/>
      <c r="C401" s="9" t="n"/>
      <c r="D401" s="9" t="n"/>
      <c r="E401" s="10">
        <f>IF(A401="","",N(C401)-N(D401))</f>
        <v/>
      </c>
      <c r="F401" s="8" t="n"/>
      <c r="G401" s="8" t="n"/>
      <c r="H401" s="7">
        <f>IF(A401="","",IF(OR(F401="",G401=""),"UNMAPPED","ok"))</f>
        <v/>
      </c>
    </row>
    <row r="402">
      <c r="A402" s="8" t="n"/>
      <c r="B402" s="8" t="n"/>
      <c r="C402" s="9" t="n"/>
      <c r="D402" s="9" t="n"/>
      <c r="E402" s="10">
        <f>IF(A402="","",N(C402)-N(D402))</f>
        <v/>
      </c>
      <c r="F402" s="8" t="n"/>
      <c r="G402" s="8" t="n"/>
      <c r="H402" s="7">
        <f>IF(A402="","",IF(OR(F402="",G402=""),"UNMAPPED","ok"))</f>
        <v/>
      </c>
    </row>
    <row r="403">
      <c r="A403" s="8" t="n"/>
      <c r="B403" s="8" t="n"/>
      <c r="C403" s="9" t="n"/>
      <c r="D403" s="9" t="n"/>
      <c r="E403" s="10">
        <f>IF(A403="","",N(C403)-N(D403))</f>
        <v/>
      </c>
      <c r="F403" s="8" t="n"/>
      <c r="G403" s="8" t="n"/>
      <c r="H403" s="7">
        <f>IF(A403="","",IF(OR(F403="",G403=""),"UNMAPPED","ok"))</f>
        <v/>
      </c>
    </row>
    <row r="404">
      <c r="A404" s="8" t="n"/>
      <c r="B404" s="8" t="n"/>
      <c r="C404" s="9" t="n"/>
      <c r="D404" s="9" t="n"/>
      <c r="E404" s="10">
        <f>IF(A404="","",N(C404)-N(D404))</f>
        <v/>
      </c>
      <c r="F404" s="8" t="n"/>
      <c r="G404" s="8" t="n"/>
      <c r="H404" s="7">
        <f>IF(A404="","",IF(OR(F404="",G404=""),"UNMAPPED","ok"))</f>
        <v/>
      </c>
    </row>
    <row r="405">
      <c r="A405" s="8" t="n"/>
      <c r="B405" s="8" t="n"/>
      <c r="C405" s="9" t="n"/>
      <c r="D405" s="9" t="n"/>
      <c r="E405" s="10">
        <f>IF(A405="","",N(C405)-N(D405))</f>
        <v/>
      </c>
      <c r="F405" s="8" t="n"/>
      <c r="G405" s="8" t="n"/>
      <c r="H405" s="7">
        <f>IF(A405="","",IF(OR(F405="",G405=""),"UNMAPPED","ok"))</f>
        <v/>
      </c>
    </row>
    <row r="406">
      <c r="A406" s="8" t="n"/>
      <c r="B406" s="8" t="n"/>
      <c r="C406" s="9" t="n"/>
      <c r="D406" s="9" t="n"/>
      <c r="E406" s="10">
        <f>IF(A406="","",N(C406)-N(D406))</f>
        <v/>
      </c>
      <c r="F406" s="8" t="n"/>
      <c r="G406" s="8" t="n"/>
      <c r="H406" s="7">
        <f>IF(A406="","",IF(OR(F406="",G406=""),"UNMAPPED","ok"))</f>
        <v/>
      </c>
    </row>
    <row r="407">
      <c r="A407" s="8" t="n"/>
      <c r="B407" s="8" t="n"/>
      <c r="C407" s="9" t="n"/>
      <c r="D407" s="9" t="n"/>
      <c r="E407" s="10">
        <f>IF(A407="","",N(C407)-N(D407))</f>
        <v/>
      </c>
      <c r="F407" s="8" t="n"/>
      <c r="G407" s="8" t="n"/>
      <c r="H407" s="7">
        <f>IF(A407="","",IF(OR(F407="",G407=""),"UNMAPPED","ok"))</f>
        <v/>
      </c>
    </row>
    <row r="408">
      <c r="A408" s="8" t="n"/>
      <c r="B408" s="8" t="n"/>
      <c r="C408" s="9" t="n"/>
      <c r="D408" s="9" t="n"/>
      <c r="E408" s="10">
        <f>IF(A408="","",N(C408)-N(D408))</f>
        <v/>
      </c>
      <c r="F408" s="8" t="n"/>
      <c r="G408" s="8" t="n"/>
      <c r="H408" s="7">
        <f>IF(A408="","",IF(OR(F408="",G408=""),"UNMAPPED","ok"))</f>
        <v/>
      </c>
    </row>
    <row r="409">
      <c r="A409" s="8" t="n"/>
      <c r="B409" s="8" t="n"/>
      <c r="C409" s="9" t="n"/>
      <c r="D409" s="9" t="n"/>
      <c r="E409" s="10">
        <f>IF(A409="","",N(C409)-N(D409))</f>
        <v/>
      </c>
      <c r="F409" s="8" t="n"/>
      <c r="G409" s="8" t="n"/>
      <c r="H409" s="7">
        <f>IF(A409="","",IF(OR(F409="",G409=""),"UNMAPPED","ok"))</f>
        <v/>
      </c>
    </row>
    <row r="410">
      <c r="A410" s="8" t="n"/>
      <c r="B410" s="8" t="n"/>
      <c r="C410" s="9" t="n"/>
      <c r="D410" s="9" t="n"/>
      <c r="E410" s="10">
        <f>IF(A410="","",N(C410)-N(D410))</f>
        <v/>
      </c>
      <c r="F410" s="8" t="n"/>
      <c r="G410" s="8" t="n"/>
      <c r="H410" s="7">
        <f>IF(A410="","",IF(OR(F410="",G410=""),"UNMAPPED","ok"))</f>
        <v/>
      </c>
    </row>
    <row r="411">
      <c r="A411" s="8" t="n"/>
      <c r="B411" s="8" t="n"/>
      <c r="C411" s="9" t="n"/>
      <c r="D411" s="9" t="n"/>
      <c r="E411" s="10">
        <f>IF(A411="","",N(C411)-N(D411))</f>
        <v/>
      </c>
      <c r="F411" s="8" t="n"/>
      <c r="G411" s="8" t="n"/>
      <c r="H411" s="7">
        <f>IF(A411="","",IF(OR(F411="",G411=""),"UNMAPPED","ok"))</f>
        <v/>
      </c>
    </row>
    <row r="412">
      <c r="A412" s="8" t="n"/>
      <c r="B412" s="8" t="n"/>
      <c r="C412" s="9" t="n"/>
      <c r="D412" s="9" t="n"/>
      <c r="E412" s="10">
        <f>IF(A412="","",N(C412)-N(D412))</f>
        <v/>
      </c>
      <c r="F412" s="8" t="n"/>
      <c r="G412" s="8" t="n"/>
      <c r="H412" s="7">
        <f>IF(A412="","",IF(OR(F412="",G412=""),"UNMAPPED","ok"))</f>
        <v/>
      </c>
    </row>
    <row r="413">
      <c r="A413" s="8" t="n"/>
      <c r="B413" s="8" t="n"/>
      <c r="C413" s="9" t="n"/>
      <c r="D413" s="9" t="n"/>
      <c r="E413" s="10">
        <f>IF(A413="","",N(C413)-N(D413))</f>
        <v/>
      </c>
      <c r="F413" s="8" t="n"/>
      <c r="G413" s="8" t="n"/>
      <c r="H413" s="7">
        <f>IF(A413="","",IF(OR(F413="",G413=""),"UNMAPPED","ok"))</f>
        <v/>
      </c>
    </row>
    <row r="414">
      <c r="A414" s="8" t="n"/>
      <c r="B414" s="8" t="n"/>
      <c r="C414" s="9" t="n"/>
      <c r="D414" s="9" t="n"/>
      <c r="E414" s="10">
        <f>IF(A414="","",N(C414)-N(D414))</f>
        <v/>
      </c>
      <c r="F414" s="8" t="n"/>
      <c r="G414" s="8" t="n"/>
      <c r="H414" s="7">
        <f>IF(A414="","",IF(OR(F414="",G414=""),"UNMAPPED","ok"))</f>
        <v/>
      </c>
    </row>
    <row r="415">
      <c r="A415" s="8" t="n"/>
      <c r="B415" s="8" t="n"/>
      <c r="C415" s="9" t="n"/>
      <c r="D415" s="9" t="n"/>
      <c r="E415" s="10">
        <f>IF(A415="","",N(C415)-N(D415))</f>
        <v/>
      </c>
      <c r="F415" s="8" t="n"/>
      <c r="G415" s="8" t="n"/>
      <c r="H415" s="7">
        <f>IF(A415="","",IF(OR(F415="",G415=""),"UNMAPPED","ok"))</f>
        <v/>
      </c>
    </row>
    <row r="416">
      <c r="A416" s="8" t="n"/>
      <c r="B416" s="8" t="n"/>
      <c r="C416" s="9" t="n"/>
      <c r="D416" s="9" t="n"/>
      <c r="E416" s="10">
        <f>IF(A416="","",N(C416)-N(D416))</f>
        <v/>
      </c>
      <c r="F416" s="8" t="n"/>
      <c r="G416" s="8" t="n"/>
      <c r="H416" s="7">
        <f>IF(A416="","",IF(OR(F416="",G416=""),"UNMAPPED","ok"))</f>
        <v/>
      </c>
    </row>
    <row r="417">
      <c r="A417" s="8" t="n"/>
      <c r="B417" s="8" t="n"/>
      <c r="C417" s="9" t="n"/>
      <c r="D417" s="9" t="n"/>
      <c r="E417" s="10">
        <f>IF(A417="","",N(C417)-N(D417))</f>
        <v/>
      </c>
      <c r="F417" s="8" t="n"/>
      <c r="G417" s="8" t="n"/>
      <c r="H417" s="7">
        <f>IF(A417="","",IF(OR(F417="",G417=""),"UNMAPPED","ok"))</f>
        <v/>
      </c>
    </row>
    <row r="418">
      <c r="A418" s="8" t="n"/>
      <c r="B418" s="8" t="n"/>
      <c r="C418" s="9" t="n"/>
      <c r="D418" s="9" t="n"/>
      <c r="E418" s="10">
        <f>IF(A418="","",N(C418)-N(D418))</f>
        <v/>
      </c>
      <c r="F418" s="8" t="n"/>
      <c r="G418" s="8" t="n"/>
      <c r="H418" s="7">
        <f>IF(A418="","",IF(OR(F418="",G418=""),"UNMAPPED","ok"))</f>
        <v/>
      </c>
    </row>
    <row r="419">
      <c r="A419" s="8" t="n"/>
      <c r="B419" s="8" t="n"/>
      <c r="C419" s="9" t="n"/>
      <c r="D419" s="9" t="n"/>
      <c r="E419" s="10">
        <f>IF(A419="","",N(C419)-N(D419))</f>
        <v/>
      </c>
      <c r="F419" s="8" t="n"/>
      <c r="G419" s="8" t="n"/>
      <c r="H419" s="7">
        <f>IF(A419="","",IF(OR(F419="",G419=""),"UNMAPPED","ok"))</f>
        <v/>
      </c>
    </row>
    <row r="420">
      <c r="A420" s="8" t="n"/>
      <c r="B420" s="8" t="n"/>
      <c r="C420" s="9" t="n"/>
      <c r="D420" s="9" t="n"/>
      <c r="E420" s="10">
        <f>IF(A420="","",N(C420)-N(D420))</f>
        <v/>
      </c>
      <c r="F420" s="8" t="n"/>
      <c r="G420" s="8" t="n"/>
      <c r="H420" s="7">
        <f>IF(A420="","",IF(OR(F420="",G420=""),"UNMAPPED","ok"))</f>
        <v/>
      </c>
    </row>
    <row r="421">
      <c r="A421" s="8" t="n"/>
      <c r="B421" s="8" t="n"/>
      <c r="C421" s="9" t="n"/>
      <c r="D421" s="9" t="n"/>
      <c r="E421" s="10">
        <f>IF(A421="","",N(C421)-N(D421))</f>
        <v/>
      </c>
      <c r="F421" s="8" t="n"/>
      <c r="G421" s="8" t="n"/>
      <c r="H421" s="7">
        <f>IF(A421="","",IF(OR(F421="",G421=""),"UNMAPPED","ok"))</f>
        <v/>
      </c>
    </row>
    <row r="422">
      <c r="A422" s="8" t="n"/>
      <c r="B422" s="8" t="n"/>
      <c r="C422" s="9" t="n"/>
      <c r="D422" s="9" t="n"/>
      <c r="E422" s="10">
        <f>IF(A422="","",N(C422)-N(D422))</f>
        <v/>
      </c>
      <c r="F422" s="8" t="n"/>
      <c r="G422" s="8" t="n"/>
      <c r="H422" s="7">
        <f>IF(A422="","",IF(OR(F422="",G422=""),"UNMAPPED","ok"))</f>
        <v/>
      </c>
    </row>
    <row r="423">
      <c r="A423" s="8" t="n"/>
      <c r="B423" s="8" t="n"/>
      <c r="C423" s="9" t="n"/>
      <c r="D423" s="9" t="n"/>
      <c r="E423" s="10">
        <f>IF(A423="","",N(C423)-N(D423))</f>
        <v/>
      </c>
      <c r="F423" s="8" t="n"/>
      <c r="G423" s="8" t="n"/>
      <c r="H423" s="7">
        <f>IF(A423="","",IF(OR(F423="",G423=""),"UNMAPPED","ok"))</f>
        <v/>
      </c>
    </row>
    <row r="424">
      <c r="A424" s="8" t="n"/>
      <c r="B424" s="8" t="n"/>
      <c r="C424" s="9" t="n"/>
      <c r="D424" s="9" t="n"/>
      <c r="E424" s="10">
        <f>IF(A424="","",N(C424)-N(D424))</f>
        <v/>
      </c>
      <c r="F424" s="8" t="n"/>
      <c r="G424" s="8" t="n"/>
      <c r="H424" s="7">
        <f>IF(A424="","",IF(OR(F424="",G424=""),"UNMAPPED","ok"))</f>
        <v/>
      </c>
    </row>
    <row r="425">
      <c r="A425" s="8" t="n"/>
      <c r="B425" s="8" t="n"/>
      <c r="C425" s="9" t="n"/>
      <c r="D425" s="9" t="n"/>
      <c r="E425" s="10">
        <f>IF(A425="","",N(C425)-N(D425))</f>
        <v/>
      </c>
      <c r="F425" s="8" t="n"/>
      <c r="G425" s="8" t="n"/>
      <c r="H425" s="7">
        <f>IF(A425="","",IF(OR(F425="",G425=""),"UNMAPPED","ok"))</f>
        <v/>
      </c>
    </row>
    <row r="426">
      <c r="A426" s="8" t="n"/>
      <c r="B426" s="8" t="n"/>
      <c r="C426" s="9" t="n"/>
      <c r="D426" s="9" t="n"/>
      <c r="E426" s="10">
        <f>IF(A426="","",N(C426)-N(D426))</f>
        <v/>
      </c>
      <c r="F426" s="8" t="n"/>
      <c r="G426" s="8" t="n"/>
      <c r="H426" s="7">
        <f>IF(A426="","",IF(OR(F426="",G426=""),"UNMAPPED","ok"))</f>
        <v/>
      </c>
    </row>
    <row r="427">
      <c r="A427" s="8" t="n"/>
      <c r="B427" s="8" t="n"/>
      <c r="C427" s="9" t="n"/>
      <c r="D427" s="9" t="n"/>
      <c r="E427" s="10">
        <f>IF(A427="","",N(C427)-N(D427))</f>
        <v/>
      </c>
      <c r="F427" s="8" t="n"/>
      <c r="G427" s="8" t="n"/>
      <c r="H427" s="7">
        <f>IF(A427="","",IF(OR(F427="",G427=""),"UNMAPPED","ok"))</f>
        <v/>
      </c>
    </row>
    <row r="428">
      <c r="A428" s="8" t="n"/>
      <c r="B428" s="8" t="n"/>
      <c r="C428" s="9" t="n"/>
      <c r="D428" s="9" t="n"/>
      <c r="E428" s="10">
        <f>IF(A428="","",N(C428)-N(D428))</f>
        <v/>
      </c>
      <c r="F428" s="8" t="n"/>
      <c r="G428" s="8" t="n"/>
      <c r="H428" s="7">
        <f>IF(A428="","",IF(OR(F428="",G428=""),"UNMAPPED","ok"))</f>
        <v/>
      </c>
    </row>
    <row r="429">
      <c r="A429" s="8" t="n"/>
      <c r="B429" s="8" t="n"/>
      <c r="C429" s="9" t="n"/>
      <c r="D429" s="9" t="n"/>
      <c r="E429" s="10">
        <f>IF(A429="","",N(C429)-N(D429))</f>
        <v/>
      </c>
      <c r="F429" s="8" t="n"/>
      <c r="G429" s="8" t="n"/>
      <c r="H429" s="7">
        <f>IF(A429="","",IF(OR(F429="",G429=""),"UNMAPPED","ok"))</f>
        <v/>
      </c>
    </row>
    <row r="430">
      <c r="A430" s="8" t="n"/>
      <c r="B430" s="8" t="n"/>
      <c r="C430" s="9" t="n"/>
      <c r="D430" s="9" t="n"/>
      <c r="E430" s="10">
        <f>IF(A430="","",N(C430)-N(D430))</f>
        <v/>
      </c>
      <c r="F430" s="8" t="n"/>
      <c r="G430" s="8" t="n"/>
      <c r="H430" s="7">
        <f>IF(A430="","",IF(OR(F430="",G430=""),"UNMAPPED","ok"))</f>
        <v/>
      </c>
    </row>
    <row r="431">
      <c r="A431" s="8" t="n"/>
      <c r="B431" s="8" t="n"/>
      <c r="C431" s="9" t="n"/>
      <c r="D431" s="9" t="n"/>
      <c r="E431" s="10">
        <f>IF(A431="","",N(C431)-N(D431))</f>
        <v/>
      </c>
      <c r="F431" s="8" t="n"/>
      <c r="G431" s="8" t="n"/>
      <c r="H431" s="7">
        <f>IF(A431="","",IF(OR(F431="",G431=""),"UNMAPPED","ok"))</f>
        <v/>
      </c>
    </row>
    <row r="432">
      <c r="A432" s="8" t="n"/>
      <c r="B432" s="8" t="n"/>
      <c r="C432" s="9" t="n"/>
      <c r="D432" s="9" t="n"/>
      <c r="E432" s="10">
        <f>IF(A432="","",N(C432)-N(D432))</f>
        <v/>
      </c>
      <c r="F432" s="8" t="n"/>
      <c r="G432" s="8" t="n"/>
      <c r="H432" s="7">
        <f>IF(A432="","",IF(OR(F432="",G432=""),"UNMAPPED","ok"))</f>
        <v/>
      </c>
    </row>
    <row r="433">
      <c r="A433" s="8" t="n"/>
      <c r="B433" s="8" t="n"/>
      <c r="C433" s="9" t="n"/>
      <c r="D433" s="9" t="n"/>
      <c r="E433" s="10">
        <f>IF(A433="","",N(C433)-N(D433))</f>
        <v/>
      </c>
      <c r="F433" s="8" t="n"/>
      <c r="G433" s="8" t="n"/>
      <c r="H433" s="7">
        <f>IF(A433="","",IF(OR(F433="",G433=""),"UNMAPPED","ok"))</f>
        <v/>
      </c>
    </row>
    <row r="434">
      <c r="A434" s="8" t="n"/>
      <c r="B434" s="8" t="n"/>
      <c r="C434" s="9" t="n"/>
      <c r="D434" s="9" t="n"/>
      <c r="E434" s="10">
        <f>IF(A434="","",N(C434)-N(D434))</f>
        <v/>
      </c>
      <c r="F434" s="8" t="n"/>
      <c r="G434" s="8" t="n"/>
      <c r="H434" s="7">
        <f>IF(A434="","",IF(OR(F434="",G434=""),"UNMAPPED","ok"))</f>
        <v/>
      </c>
    </row>
    <row r="435">
      <c r="A435" s="8" t="n"/>
      <c r="B435" s="8" t="n"/>
      <c r="C435" s="9" t="n"/>
      <c r="D435" s="9" t="n"/>
      <c r="E435" s="10">
        <f>IF(A435="","",N(C435)-N(D435))</f>
        <v/>
      </c>
      <c r="F435" s="8" t="n"/>
      <c r="G435" s="8" t="n"/>
      <c r="H435" s="7">
        <f>IF(A435="","",IF(OR(F435="",G435=""),"UNMAPPED","ok"))</f>
        <v/>
      </c>
    </row>
    <row r="436">
      <c r="A436" s="8" t="n"/>
      <c r="B436" s="8" t="n"/>
      <c r="C436" s="9" t="n"/>
      <c r="D436" s="9" t="n"/>
      <c r="E436" s="10">
        <f>IF(A436="","",N(C436)-N(D436))</f>
        <v/>
      </c>
      <c r="F436" s="8" t="n"/>
      <c r="G436" s="8" t="n"/>
      <c r="H436" s="7">
        <f>IF(A436="","",IF(OR(F436="",G436=""),"UNMAPPED","ok"))</f>
        <v/>
      </c>
    </row>
    <row r="437">
      <c r="A437" s="8" t="n"/>
      <c r="B437" s="8" t="n"/>
      <c r="C437" s="9" t="n"/>
      <c r="D437" s="9" t="n"/>
      <c r="E437" s="10">
        <f>IF(A437="","",N(C437)-N(D437))</f>
        <v/>
      </c>
      <c r="F437" s="8" t="n"/>
      <c r="G437" s="8" t="n"/>
      <c r="H437" s="7">
        <f>IF(A437="","",IF(OR(F437="",G437=""),"UNMAPPED","ok"))</f>
        <v/>
      </c>
    </row>
    <row r="438">
      <c r="A438" s="8" t="n"/>
      <c r="B438" s="8" t="n"/>
      <c r="C438" s="9" t="n"/>
      <c r="D438" s="9" t="n"/>
      <c r="E438" s="10">
        <f>IF(A438="","",N(C438)-N(D438))</f>
        <v/>
      </c>
      <c r="F438" s="8" t="n"/>
      <c r="G438" s="8" t="n"/>
      <c r="H438" s="7">
        <f>IF(A438="","",IF(OR(F438="",G438=""),"UNMAPPED","ok"))</f>
        <v/>
      </c>
    </row>
    <row r="439">
      <c r="A439" s="8" t="n"/>
      <c r="B439" s="8" t="n"/>
      <c r="C439" s="9" t="n"/>
      <c r="D439" s="9" t="n"/>
      <c r="E439" s="10">
        <f>IF(A439="","",N(C439)-N(D439))</f>
        <v/>
      </c>
      <c r="F439" s="8" t="n"/>
      <c r="G439" s="8" t="n"/>
      <c r="H439" s="7">
        <f>IF(A439="","",IF(OR(F439="",G439=""),"UNMAPPED","ok"))</f>
        <v/>
      </c>
    </row>
    <row r="440">
      <c r="A440" s="8" t="n"/>
      <c r="B440" s="8" t="n"/>
      <c r="C440" s="9" t="n"/>
      <c r="D440" s="9" t="n"/>
      <c r="E440" s="10">
        <f>IF(A440="","",N(C440)-N(D440))</f>
        <v/>
      </c>
      <c r="F440" s="8" t="n"/>
      <c r="G440" s="8" t="n"/>
      <c r="H440" s="7">
        <f>IF(A440="","",IF(OR(F440="",G440=""),"UNMAPPED","ok"))</f>
        <v/>
      </c>
    </row>
    <row r="441">
      <c r="A441" s="8" t="n"/>
      <c r="B441" s="8" t="n"/>
      <c r="C441" s="9" t="n"/>
      <c r="D441" s="9" t="n"/>
      <c r="E441" s="10">
        <f>IF(A441="","",N(C441)-N(D441))</f>
        <v/>
      </c>
      <c r="F441" s="8" t="n"/>
      <c r="G441" s="8" t="n"/>
      <c r="H441" s="7">
        <f>IF(A441="","",IF(OR(F441="",G441=""),"UNMAPPED","ok"))</f>
        <v/>
      </c>
    </row>
    <row r="442">
      <c r="A442" s="8" t="n"/>
      <c r="B442" s="8" t="n"/>
      <c r="C442" s="9" t="n"/>
      <c r="D442" s="9" t="n"/>
      <c r="E442" s="10">
        <f>IF(A442="","",N(C442)-N(D442))</f>
        <v/>
      </c>
      <c r="F442" s="8" t="n"/>
      <c r="G442" s="8" t="n"/>
      <c r="H442" s="7">
        <f>IF(A442="","",IF(OR(F442="",G442=""),"UNMAPPED","ok"))</f>
        <v/>
      </c>
    </row>
    <row r="443">
      <c r="A443" s="8" t="n"/>
      <c r="B443" s="8" t="n"/>
      <c r="C443" s="9" t="n"/>
      <c r="D443" s="9" t="n"/>
      <c r="E443" s="10">
        <f>IF(A443="","",N(C443)-N(D443))</f>
        <v/>
      </c>
      <c r="F443" s="8" t="n"/>
      <c r="G443" s="8" t="n"/>
      <c r="H443" s="7">
        <f>IF(A443="","",IF(OR(F443="",G443=""),"UNMAPPED","ok"))</f>
        <v/>
      </c>
    </row>
    <row r="444">
      <c r="A444" s="8" t="n"/>
      <c r="B444" s="8" t="n"/>
      <c r="C444" s="9" t="n"/>
      <c r="D444" s="9" t="n"/>
      <c r="E444" s="10">
        <f>IF(A444="","",N(C444)-N(D444))</f>
        <v/>
      </c>
      <c r="F444" s="8" t="n"/>
      <c r="G444" s="8" t="n"/>
      <c r="H444" s="7">
        <f>IF(A444="","",IF(OR(F444="",G444=""),"UNMAPPED","ok"))</f>
        <v/>
      </c>
    </row>
    <row r="445">
      <c r="A445" s="8" t="n"/>
      <c r="B445" s="8" t="n"/>
      <c r="C445" s="9" t="n"/>
      <c r="D445" s="9" t="n"/>
      <c r="E445" s="10">
        <f>IF(A445="","",N(C445)-N(D445))</f>
        <v/>
      </c>
      <c r="F445" s="8" t="n"/>
      <c r="G445" s="8" t="n"/>
      <c r="H445" s="7">
        <f>IF(A445="","",IF(OR(F445="",G445=""),"UNMAPPED","ok"))</f>
        <v/>
      </c>
    </row>
    <row r="446">
      <c r="A446" s="8" t="n"/>
      <c r="B446" s="8" t="n"/>
      <c r="C446" s="9" t="n"/>
      <c r="D446" s="9" t="n"/>
      <c r="E446" s="10">
        <f>IF(A446="","",N(C446)-N(D446))</f>
        <v/>
      </c>
      <c r="F446" s="8" t="n"/>
      <c r="G446" s="8" t="n"/>
      <c r="H446" s="7">
        <f>IF(A446="","",IF(OR(F446="",G446=""),"UNMAPPED","ok"))</f>
        <v/>
      </c>
    </row>
    <row r="447">
      <c r="A447" s="8" t="n"/>
      <c r="B447" s="8" t="n"/>
      <c r="C447" s="9" t="n"/>
      <c r="D447" s="9" t="n"/>
      <c r="E447" s="10">
        <f>IF(A447="","",N(C447)-N(D447))</f>
        <v/>
      </c>
      <c r="F447" s="8" t="n"/>
      <c r="G447" s="8" t="n"/>
      <c r="H447" s="7">
        <f>IF(A447="","",IF(OR(F447="",G447=""),"UNMAPPED","ok"))</f>
        <v/>
      </c>
    </row>
    <row r="448">
      <c r="A448" s="8" t="n"/>
      <c r="B448" s="8" t="n"/>
      <c r="C448" s="9" t="n"/>
      <c r="D448" s="9" t="n"/>
      <c r="E448" s="10">
        <f>IF(A448="","",N(C448)-N(D448))</f>
        <v/>
      </c>
      <c r="F448" s="8" t="n"/>
      <c r="G448" s="8" t="n"/>
      <c r="H448" s="7">
        <f>IF(A448="","",IF(OR(F448="",G448=""),"UNMAPPED","ok"))</f>
        <v/>
      </c>
    </row>
    <row r="449">
      <c r="A449" s="8" t="n"/>
      <c r="B449" s="8" t="n"/>
      <c r="C449" s="9" t="n"/>
      <c r="D449" s="9" t="n"/>
      <c r="E449" s="10">
        <f>IF(A449="","",N(C449)-N(D449))</f>
        <v/>
      </c>
      <c r="F449" s="8" t="n"/>
      <c r="G449" s="8" t="n"/>
      <c r="H449" s="7">
        <f>IF(A449="","",IF(OR(F449="",G449=""),"UNMAPPED","ok"))</f>
        <v/>
      </c>
    </row>
    <row r="450">
      <c r="A450" s="8" t="n"/>
      <c r="B450" s="8" t="n"/>
      <c r="C450" s="9" t="n"/>
      <c r="D450" s="9" t="n"/>
      <c r="E450" s="10">
        <f>IF(A450="","",N(C450)-N(D450))</f>
        <v/>
      </c>
      <c r="F450" s="8" t="n"/>
      <c r="G450" s="8" t="n"/>
      <c r="H450" s="7">
        <f>IF(A450="","",IF(OR(F450="",G450=""),"UNMAPPED","ok"))</f>
        <v/>
      </c>
    </row>
    <row r="451">
      <c r="A451" s="8" t="n"/>
      <c r="B451" s="8" t="n"/>
      <c r="C451" s="9" t="n"/>
      <c r="D451" s="9" t="n"/>
      <c r="E451" s="10">
        <f>IF(A451="","",N(C451)-N(D451))</f>
        <v/>
      </c>
      <c r="F451" s="8" t="n"/>
      <c r="G451" s="8" t="n"/>
      <c r="H451" s="7">
        <f>IF(A451="","",IF(OR(F451="",G451=""),"UNMAPPED","ok"))</f>
        <v/>
      </c>
    </row>
    <row r="452">
      <c r="A452" s="8" t="n"/>
      <c r="B452" s="8" t="n"/>
      <c r="C452" s="9" t="n"/>
      <c r="D452" s="9" t="n"/>
      <c r="E452" s="10">
        <f>IF(A452="","",N(C452)-N(D452))</f>
        <v/>
      </c>
      <c r="F452" s="8" t="n"/>
      <c r="G452" s="8" t="n"/>
      <c r="H452" s="7">
        <f>IF(A452="","",IF(OR(F452="",G452=""),"UNMAPPED","ok"))</f>
        <v/>
      </c>
    </row>
    <row r="453">
      <c r="A453" s="8" t="n"/>
      <c r="B453" s="8" t="n"/>
      <c r="C453" s="9" t="n"/>
      <c r="D453" s="9" t="n"/>
      <c r="E453" s="10">
        <f>IF(A453="","",N(C453)-N(D453))</f>
        <v/>
      </c>
      <c r="F453" s="8" t="n"/>
      <c r="G453" s="8" t="n"/>
      <c r="H453" s="7">
        <f>IF(A453="","",IF(OR(F453="",G453=""),"UNMAPPED","ok"))</f>
        <v/>
      </c>
    </row>
    <row r="454">
      <c r="A454" s="8" t="n"/>
      <c r="B454" s="8" t="n"/>
      <c r="C454" s="9" t="n"/>
      <c r="D454" s="9" t="n"/>
      <c r="E454" s="10">
        <f>IF(A454="","",N(C454)-N(D454))</f>
        <v/>
      </c>
      <c r="F454" s="8" t="n"/>
      <c r="G454" s="8" t="n"/>
      <c r="H454" s="7">
        <f>IF(A454="","",IF(OR(F454="",G454=""),"UNMAPPED","ok"))</f>
        <v/>
      </c>
    </row>
    <row r="455">
      <c r="A455" s="8" t="n"/>
      <c r="B455" s="8" t="n"/>
      <c r="C455" s="9" t="n"/>
      <c r="D455" s="9" t="n"/>
      <c r="E455" s="10">
        <f>IF(A455="","",N(C455)-N(D455))</f>
        <v/>
      </c>
      <c r="F455" s="8" t="n"/>
      <c r="G455" s="8" t="n"/>
      <c r="H455" s="7">
        <f>IF(A455="","",IF(OR(F455="",G455=""),"UNMAPPED","ok"))</f>
        <v/>
      </c>
    </row>
    <row r="456">
      <c r="A456" s="8" t="n"/>
      <c r="B456" s="8" t="n"/>
      <c r="C456" s="9" t="n"/>
      <c r="D456" s="9" t="n"/>
      <c r="E456" s="10">
        <f>IF(A456="","",N(C456)-N(D456))</f>
        <v/>
      </c>
      <c r="F456" s="8" t="n"/>
      <c r="G456" s="8" t="n"/>
      <c r="H456" s="7">
        <f>IF(A456="","",IF(OR(F456="",G456=""),"UNMAPPED","ok"))</f>
        <v/>
      </c>
    </row>
    <row r="457">
      <c r="A457" s="8" t="n"/>
      <c r="B457" s="8" t="n"/>
      <c r="C457" s="9" t="n"/>
      <c r="D457" s="9" t="n"/>
      <c r="E457" s="10">
        <f>IF(A457="","",N(C457)-N(D457))</f>
        <v/>
      </c>
      <c r="F457" s="8" t="n"/>
      <c r="G457" s="8" t="n"/>
      <c r="H457" s="7">
        <f>IF(A457="","",IF(OR(F457="",G457=""),"UNMAPPED","ok"))</f>
        <v/>
      </c>
    </row>
    <row r="458">
      <c r="A458" s="8" t="n"/>
      <c r="B458" s="8" t="n"/>
      <c r="C458" s="9" t="n"/>
      <c r="D458" s="9" t="n"/>
      <c r="E458" s="10">
        <f>IF(A458="","",N(C458)-N(D458))</f>
        <v/>
      </c>
      <c r="F458" s="8" t="n"/>
      <c r="G458" s="8" t="n"/>
      <c r="H458" s="7">
        <f>IF(A458="","",IF(OR(F458="",G458=""),"UNMAPPED","ok"))</f>
        <v/>
      </c>
    </row>
    <row r="459">
      <c r="A459" s="8" t="n"/>
      <c r="B459" s="8" t="n"/>
      <c r="C459" s="9" t="n"/>
      <c r="D459" s="9" t="n"/>
      <c r="E459" s="10">
        <f>IF(A459="","",N(C459)-N(D459))</f>
        <v/>
      </c>
      <c r="F459" s="8" t="n"/>
      <c r="G459" s="8" t="n"/>
      <c r="H459" s="7">
        <f>IF(A459="","",IF(OR(F459="",G459=""),"UNMAPPED","ok"))</f>
        <v/>
      </c>
    </row>
    <row r="460">
      <c r="A460" s="8" t="n"/>
      <c r="B460" s="8" t="n"/>
      <c r="C460" s="9" t="n"/>
      <c r="D460" s="9" t="n"/>
      <c r="E460" s="10">
        <f>IF(A460="","",N(C460)-N(D460))</f>
        <v/>
      </c>
      <c r="F460" s="8" t="n"/>
      <c r="G460" s="8" t="n"/>
      <c r="H460" s="7">
        <f>IF(A460="","",IF(OR(F460="",G460=""),"UNMAPPED","ok"))</f>
        <v/>
      </c>
    </row>
    <row r="461">
      <c r="A461" s="8" t="n"/>
      <c r="B461" s="8" t="n"/>
      <c r="C461" s="9" t="n"/>
      <c r="D461" s="9" t="n"/>
      <c r="E461" s="10">
        <f>IF(A461="","",N(C461)-N(D461))</f>
        <v/>
      </c>
      <c r="F461" s="8" t="n"/>
      <c r="G461" s="8" t="n"/>
      <c r="H461" s="7">
        <f>IF(A461="","",IF(OR(F461="",G461=""),"UNMAPPED","ok"))</f>
        <v/>
      </c>
    </row>
    <row r="462">
      <c r="A462" s="8" t="n"/>
      <c r="B462" s="8" t="n"/>
      <c r="C462" s="9" t="n"/>
      <c r="D462" s="9" t="n"/>
      <c r="E462" s="10">
        <f>IF(A462="","",N(C462)-N(D462))</f>
        <v/>
      </c>
      <c r="F462" s="8" t="n"/>
      <c r="G462" s="8" t="n"/>
      <c r="H462" s="7">
        <f>IF(A462="","",IF(OR(F462="",G462=""),"UNMAPPED","ok"))</f>
        <v/>
      </c>
    </row>
    <row r="463">
      <c r="A463" s="8" t="n"/>
      <c r="B463" s="8" t="n"/>
      <c r="C463" s="9" t="n"/>
      <c r="D463" s="9" t="n"/>
      <c r="E463" s="10">
        <f>IF(A463="","",N(C463)-N(D463))</f>
        <v/>
      </c>
      <c r="F463" s="8" t="n"/>
      <c r="G463" s="8" t="n"/>
      <c r="H463" s="7">
        <f>IF(A463="","",IF(OR(F463="",G463=""),"UNMAPPED","ok"))</f>
        <v/>
      </c>
    </row>
    <row r="464">
      <c r="A464" s="8" t="n"/>
      <c r="B464" s="8" t="n"/>
      <c r="C464" s="9" t="n"/>
      <c r="D464" s="9" t="n"/>
      <c r="E464" s="10">
        <f>IF(A464="","",N(C464)-N(D464))</f>
        <v/>
      </c>
      <c r="F464" s="8" t="n"/>
      <c r="G464" s="8" t="n"/>
      <c r="H464" s="7">
        <f>IF(A464="","",IF(OR(F464="",G464=""),"UNMAPPED","ok"))</f>
        <v/>
      </c>
    </row>
    <row r="465">
      <c r="A465" s="8" t="n"/>
      <c r="B465" s="8" t="n"/>
      <c r="C465" s="9" t="n"/>
      <c r="D465" s="9" t="n"/>
      <c r="E465" s="10">
        <f>IF(A465="","",N(C465)-N(D465))</f>
        <v/>
      </c>
      <c r="F465" s="8" t="n"/>
      <c r="G465" s="8" t="n"/>
      <c r="H465" s="7">
        <f>IF(A465="","",IF(OR(F465="",G465=""),"UNMAPPED","ok"))</f>
        <v/>
      </c>
    </row>
    <row r="466">
      <c r="A466" s="8" t="n"/>
      <c r="B466" s="8" t="n"/>
      <c r="C466" s="9" t="n"/>
      <c r="D466" s="9" t="n"/>
      <c r="E466" s="10">
        <f>IF(A466="","",N(C466)-N(D466))</f>
        <v/>
      </c>
      <c r="F466" s="8" t="n"/>
      <c r="G466" s="8" t="n"/>
      <c r="H466" s="7">
        <f>IF(A466="","",IF(OR(F466="",G466=""),"UNMAPPED","ok"))</f>
        <v/>
      </c>
    </row>
    <row r="467">
      <c r="A467" s="8" t="n"/>
      <c r="B467" s="8" t="n"/>
      <c r="C467" s="9" t="n"/>
      <c r="D467" s="9" t="n"/>
      <c r="E467" s="10">
        <f>IF(A467="","",N(C467)-N(D467))</f>
        <v/>
      </c>
      <c r="F467" s="8" t="n"/>
      <c r="G467" s="8" t="n"/>
      <c r="H467" s="7">
        <f>IF(A467="","",IF(OR(F467="",G467=""),"UNMAPPED","ok"))</f>
        <v/>
      </c>
    </row>
    <row r="468">
      <c r="A468" s="8" t="n"/>
      <c r="B468" s="8" t="n"/>
      <c r="C468" s="9" t="n"/>
      <c r="D468" s="9" t="n"/>
      <c r="E468" s="10">
        <f>IF(A468="","",N(C468)-N(D468))</f>
        <v/>
      </c>
      <c r="F468" s="8" t="n"/>
      <c r="G468" s="8" t="n"/>
      <c r="H468" s="7">
        <f>IF(A468="","",IF(OR(F468="",G468=""),"UNMAPPED","ok"))</f>
        <v/>
      </c>
    </row>
    <row r="469">
      <c r="A469" s="8" t="n"/>
      <c r="B469" s="8" t="n"/>
      <c r="C469" s="9" t="n"/>
      <c r="D469" s="9" t="n"/>
      <c r="E469" s="10">
        <f>IF(A469="","",N(C469)-N(D469))</f>
        <v/>
      </c>
      <c r="F469" s="8" t="n"/>
      <c r="G469" s="8" t="n"/>
      <c r="H469" s="7">
        <f>IF(A469="","",IF(OR(F469="",G469=""),"UNMAPPED","ok"))</f>
        <v/>
      </c>
    </row>
    <row r="470">
      <c r="A470" s="8" t="n"/>
      <c r="B470" s="8" t="n"/>
      <c r="C470" s="9" t="n"/>
      <c r="D470" s="9" t="n"/>
      <c r="E470" s="10">
        <f>IF(A470="","",N(C470)-N(D470))</f>
        <v/>
      </c>
      <c r="F470" s="8" t="n"/>
      <c r="G470" s="8" t="n"/>
      <c r="H470" s="7">
        <f>IF(A470="","",IF(OR(F470="",G470=""),"UNMAPPED","ok"))</f>
        <v/>
      </c>
    </row>
    <row r="471">
      <c r="A471" s="8" t="n"/>
      <c r="B471" s="8" t="n"/>
      <c r="C471" s="9" t="n"/>
      <c r="D471" s="9" t="n"/>
      <c r="E471" s="10">
        <f>IF(A471="","",N(C471)-N(D471))</f>
        <v/>
      </c>
      <c r="F471" s="8" t="n"/>
      <c r="G471" s="8" t="n"/>
      <c r="H471" s="7">
        <f>IF(A471="","",IF(OR(F471="",G471=""),"UNMAPPED","ok"))</f>
        <v/>
      </c>
    </row>
    <row r="472">
      <c r="A472" s="8" t="n"/>
      <c r="B472" s="8" t="n"/>
      <c r="C472" s="9" t="n"/>
      <c r="D472" s="9" t="n"/>
      <c r="E472" s="10">
        <f>IF(A472="","",N(C472)-N(D472))</f>
        <v/>
      </c>
      <c r="F472" s="8" t="n"/>
      <c r="G472" s="8" t="n"/>
      <c r="H472" s="7">
        <f>IF(A472="","",IF(OR(F472="",G472=""),"UNMAPPED","ok"))</f>
        <v/>
      </c>
    </row>
    <row r="473">
      <c r="A473" s="8" t="n"/>
      <c r="B473" s="8" t="n"/>
      <c r="C473" s="9" t="n"/>
      <c r="D473" s="9" t="n"/>
      <c r="E473" s="10">
        <f>IF(A473="","",N(C473)-N(D473))</f>
        <v/>
      </c>
      <c r="F473" s="8" t="n"/>
      <c r="G473" s="8" t="n"/>
      <c r="H473" s="7">
        <f>IF(A473="","",IF(OR(F473="",G473=""),"UNMAPPED","ok"))</f>
        <v/>
      </c>
    </row>
    <row r="474">
      <c r="A474" s="8" t="n"/>
      <c r="B474" s="8" t="n"/>
      <c r="C474" s="9" t="n"/>
      <c r="D474" s="9" t="n"/>
      <c r="E474" s="10">
        <f>IF(A474="","",N(C474)-N(D474))</f>
        <v/>
      </c>
      <c r="F474" s="8" t="n"/>
      <c r="G474" s="8" t="n"/>
      <c r="H474" s="7">
        <f>IF(A474="","",IF(OR(F474="",G474=""),"UNMAPPED","ok"))</f>
        <v/>
      </c>
    </row>
    <row r="475">
      <c r="A475" s="8" t="n"/>
      <c r="B475" s="8" t="n"/>
      <c r="C475" s="9" t="n"/>
      <c r="D475" s="9" t="n"/>
      <c r="E475" s="10">
        <f>IF(A475="","",N(C475)-N(D475))</f>
        <v/>
      </c>
      <c r="F475" s="8" t="n"/>
      <c r="G475" s="8" t="n"/>
      <c r="H475" s="7">
        <f>IF(A475="","",IF(OR(F475="",G475=""),"UNMAPPED","ok"))</f>
        <v/>
      </c>
    </row>
    <row r="476">
      <c r="A476" s="8" t="n"/>
      <c r="B476" s="8" t="n"/>
      <c r="C476" s="9" t="n"/>
      <c r="D476" s="9" t="n"/>
      <c r="E476" s="10">
        <f>IF(A476="","",N(C476)-N(D476))</f>
        <v/>
      </c>
      <c r="F476" s="8" t="n"/>
      <c r="G476" s="8" t="n"/>
      <c r="H476" s="7">
        <f>IF(A476="","",IF(OR(F476="",G476=""),"UNMAPPED","ok"))</f>
        <v/>
      </c>
    </row>
    <row r="477">
      <c r="A477" s="8" t="n"/>
      <c r="B477" s="8" t="n"/>
      <c r="C477" s="9" t="n"/>
      <c r="D477" s="9" t="n"/>
      <c r="E477" s="10">
        <f>IF(A477="","",N(C477)-N(D477))</f>
        <v/>
      </c>
      <c r="F477" s="8" t="n"/>
      <c r="G477" s="8" t="n"/>
      <c r="H477" s="7">
        <f>IF(A477="","",IF(OR(F477="",G477=""),"UNMAPPED","ok"))</f>
        <v/>
      </c>
    </row>
    <row r="478">
      <c r="A478" s="8" t="n"/>
      <c r="B478" s="8" t="n"/>
      <c r="C478" s="9" t="n"/>
      <c r="D478" s="9" t="n"/>
      <c r="E478" s="10">
        <f>IF(A478="","",N(C478)-N(D478))</f>
        <v/>
      </c>
      <c r="F478" s="8" t="n"/>
      <c r="G478" s="8" t="n"/>
      <c r="H478" s="7">
        <f>IF(A478="","",IF(OR(F478="",G478=""),"UNMAPPED","ok"))</f>
        <v/>
      </c>
    </row>
    <row r="479">
      <c r="A479" s="8" t="n"/>
      <c r="B479" s="8" t="n"/>
      <c r="C479" s="9" t="n"/>
      <c r="D479" s="9" t="n"/>
      <c r="E479" s="10">
        <f>IF(A479="","",N(C479)-N(D479))</f>
        <v/>
      </c>
      <c r="F479" s="8" t="n"/>
      <c r="G479" s="8" t="n"/>
      <c r="H479" s="7">
        <f>IF(A479="","",IF(OR(F479="",G479=""),"UNMAPPED","ok"))</f>
        <v/>
      </c>
    </row>
    <row r="480">
      <c r="A480" s="8" t="n"/>
      <c r="B480" s="8" t="n"/>
      <c r="C480" s="9" t="n"/>
      <c r="D480" s="9" t="n"/>
      <c r="E480" s="10">
        <f>IF(A480="","",N(C480)-N(D480))</f>
        <v/>
      </c>
      <c r="F480" s="8" t="n"/>
      <c r="G480" s="8" t="n"/>
      <c r="H480" s="7">
        <f>IF(A480="","",IF(OR(F480="",G480=""),"UNMAPPED","ok"))</f>
        <v/>
      </c>
    </row>
    <row r="481">
      <c r="A481" s="8" t="n"/>
      <c r="B481" s="8" t="n"/>
      <c r="C481" s="9" t="n"/>
      <c r="D481" s="9" t="n"/>
      <c r="E481" s="10">
        <f>IF(A481="","",N(C481)-N(D481))</f>
        <v/>
      </c>
      <c r="F481" s="8" t="n"/>
      <c r="G481" s="8" t="n"/>
      <c r="H481" s="7">
        <f>IF(A481="","",IF(OR(F481="",G481=""),"UNMAPPED","ok"))</f>
        <v/>
      </c>
    </row>
    <row r="482">
      <c r="A482" s="8" t="n"/>
      <c r="B482" s="8" t="n"/>
      <c r="C482" s="9" t="n"/>
      <c r="D482" s="9" t="n"/>
      <c r="E482" s="10">
        <f>IF(A482="","",N(C482)-N(D482))</f>
        <v/>
      </c>
      <c r="F482" s="8" t="n"/>
      <c r="G482" s="8" t="n"/>
      <c r="H482" s="7">
        <f>IF(A482="","",IF(OR(F482="",G482=""),"UNMAPPED","ok"))</f>
        <v/>
      </c>
    </row>
    <row r="483">
      <c r="A483" s="8" t="n"/>
      <c r="B483" s="8" t="n"/>
      <c r="C483" s="9" t="n"/>
      <c r="D483" s="9" t="n"/>
      <c r="E483" s="10">
        <f>IF(A483="","",N(C483)-N(D483))</f>
        <v/>
      </c>
      <c r="F483" s="8" t="n"/>
      <c r="G483" s="8" t="n"/>
      <c r="H483" s="7">
        <f>IF(A483="","",IF(OR(F483="",G483=""),"UNMAPPED","ok"))</f>
        <v/>
      </c>
    </row>
    <row r="484">
      <c r="A484" s="8" t="n"/>
      <c r="B484" s="8" t="n"/>
      <c r="C484" s="9" t="n"/>
      <c r="D484" s="9" t="n"/>
      <c r="E484" s="10">
        <f>IF(A484="","",N(C484)-N(D484))</f>
        <v/>
      </c>
      <c r="F484" s="8" t="n"/>
      <c r="G484" s="8" t="n"/>
      <c r="H484" s="7">
        <f>IF(A484="","",IF(OR(F484="",G484=""),"UNMAPPED","ok"))</f>
        <v/>
      </c>
    </row>
    <row r="485">
      <c r="A485" s="8" t="n"/>
      <c r="B485" s="8" t="n"/>
      <c r="C485" s="9" t="n"/>
      <c r="D485" s="9" t="n"/>
      <c r="E485" s="10">
        <f>IF(A485="","",N(C485)-N(D485))</f>
        <v/>
      </c>
      <c r="F485" s="8" t="n"/>
      <c r="G485" s="8" t="n"/>
      <c r="H485" s="7">
        <f>IF(A485="","",IF(OR(F485="",G485=""),"UNMAPPED","ok"))</f>
        <v/>
      </c>
    </row>
    <row r="486">
      <c r="A486" s="8" t="n"/>
      <c r="B486" s="8" t="n"/>
      <c r="C486" s="9" t="n"/>
      <c r="D486" s="9" t="n"/>
      <c r="E486" s="10">
        <f>IF(A486="","",N(C486)-N(D486))</f>
        <v/>
      </c>
      <c r="F486" s="8" t="n"/>
      <c r="G486" s="8" t="n"/>
      <c r="H486" s="7">
        <f>IF(A486="","",IF(OR(F486="",G486=""),"UNMAPPED","ok"))</f>
        <v/>
      </c>
    </row>
    <row r="487">
      <c r="A487" s="8" t="n"/>
      <c r="B487" s="8" t="n"/>
      <c r="C487" s="9" t="n"/>
      <c r="D487" s="9" t="n"/>
      <c r="E487" s="10">
        <f>IF(A487="","",N(C487)-N(D487))</f>
        <v/>
      </c>
      <c r="F487" s="8" t="n"/>
      <c r="G487" s="8" t="n"/>
      <c r="H487" s="7">
        <f>IF(A487="","",IF(OR(F487="",G487=""),"UNMAPPED","ok"))</f>
        <v/>
      </c>
    </row>
    <row r="488">
      <c r="A488" s="8" t="n"/>
      <c r="B488" s="8" t="n"/>
      <c r="C488" s="9" t="n"/>
      <c r="D488" s="9" t="n"/>
      <c r="E488" s="10">
        <f>IF(A488="","",N(C488)-N(D488))</f>
        <v/>
      </c>
      <c r="F488" s="8" t="n"/>
      <c r="G488" s="8" t="n"/>
      <c r="H488" s="7">
        <f>IF(A488="","",IF(OR(F488="",G488=""),"UNMAPPED","ok"))</f>
        <v/>
      </c>
    </row>
    <row r="489">
      <c r="A489" s="8" t="n"/>
      <c r="B489" s="8" t="n"/>
      <c r="C489" s="9" t="n"/>
      <c r="D489" s="9" t="n"/>
      <c r="E489" s="10">
        <f>IF(A489="","",N(C489)-N(D489))</f>
        <v/>
      </c>
      <c r="F489" s="8" t="n"/>
      <c r="G489" s="8" t="n"/>
      <c r="H489" s="7">
        <f>IF(A489="","",IF(OR(F489="",G489=""),"UNMAPPED","ok"))</f>
        <v/>
      </c>
    </row>
    <row r="490">
      <c r="A490" s="8" t="n"/>
      <c r="B490" s="8" t="n"/>
      <c r="C490" s="9" t="n"/>
      <c r="D490" s="9" t="n"/>
      <c r="E490" s="10">
        <f>IF(A490="","",N(C490)-N(D490))</f>
        <v/>
      </c>
      <c r="F490" s="8" t="n"/>
      <c r="G490" s="8" t="n"/>
      <c r="H490" s="7">
        <f>IF(A490="","",IF(OR(F490="",G490=""),"UNMAPPED","ok"))</f>
        <v/>
      </c>
    </row>
    <row r="491">
      <c r="A491" s="8" t="n"/>
      <c r="B491" s="8" t="n"/>
      <c r="C491" s="9" t="n"/>
      <c r="D491" s="9" t="n"/>
      <c r="E491" s="10">
        <f>IF(A491="","",N(C491)-N(D491))</f>
        <v/>
      </c>
      <c r="F491" s="8" t="n"/>
      <c r="G491" s="8" t="n"/>
      <c r="H491" s="7">
        <f>IF(A491="","",IF(OR(F491="",G491=""),"UNMAPPED","ok"))</f>
        <v/>
      </c>
    </row>
    <row r="492">
      <c r="A492" s="8" t="n"/>
      <c r="B492" s="8" t="n"/>
      <c r="C492" s="9" t="n"/>
      <c r="D492" s="9" t="n"/>
      <c r="E492" s="10">
        <f>IF(A492="","",N(C492)-N(D492))</f>
        <v/>
      </c>
      <c r="F492" s="8" t="n"/>
      <c r="G492" s="8" t="n"/>
      <c r="H492" s="7">
        <f>IF(A492="","",IF(OR(F492="",G492=""),"UNMAPPED","ok"))</f>
        <v/>
      </c>
    </row>
    <row r="493">
      <c r="A493" s="8" t="n"/>
      <c r="B493" s="8" t="n"/>
      <c r="C493" s="9" t="n"/>
      <c r="D493" s="9" t="n"/>
      <c r="E493" s="10">
        <f>IF(A493="","",N(C493)-N(D493))</f>
        <v/>
      </c>
      <c r="F493" s="8" t="n"/>
      <c r="G493" s="8" t="n"/>
      <c r="H493" s="7">
        <f>IF(A493="","",IF(OR(F493="",G493=""),"UNMAPPED","ok"))</f>
        <v/>
      </c>
    </row>
    <row r="494">
      <c r="A494" s="8" t="n"/>
      <c r="B494" s="8" t="n"/>
      <c r="C494" s="9" t="n"/>
      <c r="D494" s="9" t="n"/>
      <c r="E494" s="10">
        <f>IF(A494="","",N(C494)-N(D494))</f>
        <v/>
      </c>
      <c r="F494" s="8" t="n"/>
      <c r="G494" s="8" t="n"/>
      <c r="H494" s="7">
        <f>IF(A494="","",IF(OR(F494="",G494=""),"UNMAPPED","ok"))</f>
        <v/>
      </c>
    </row>
    <row r="495">
      <c r="A495" s="8" t="n"/>
      <c r="B495" s="8" t="n"/>
      <c r="C495" s="9" t="n"/>
      <c r="D495" s="9" t="n"/>
      <c r="E495" s="10">
        <f>IF(A495="","",N(C495)-N(D495))</f>
        <v/>
      </c>
      <c r="F495" s="8" t="n"/>
      <c r="G495" s="8" t="n"/>
      <c r="H495" s="7">
        <f>IF(A495="","",IF(OR(F495="",G495=""),"UNMAPPED","ok"))</f>
        <v/>
      </c>
    </row>
    <row r="496">
      <c r="A496" s="8" t="n"/>
      <c r="B496" s="8" t="n"/>
      <c r="C496" s="9" t="n"/>
      <c r="D496" s="9" t="n"/>
      <c r="E496" s="10">
        <f>IF(A496="","",N(C496)-N(D496))</f>
        <v/>
      </c>
      <c r="F496" s="8" t="n"/>
      <c r="G496" s="8" t="n"/>
      <c r="H496" s="7">
        <f>IF(A496="","",IF(OR(F496="",G496=""),"UNMAPPED","ok"))</f>
        <v/>
      </c>
    </row>
    <row r="497">
      <c r="A497" s="8" t="n"/>
      <c r="B497" s="8" t="n"/>
      <c r="C497" s="9" t="n"/>
      <c r="D497" s="9" t="n"/>
      <c r="E497" s="10">
        <f>IF(A497="","",N(C497)-N(D497))</f>
        <v/>
      </c>
      <c r="F497" s="8" t="n"/>
      <c r="G497" s="8" t="n"/>
      <c r="H497" s="7">
        <f>IF(A497="","",IF(OR(F497="",G497=""),"UNMAPPED","ok"))</f>
        <v/>
      </c>
    </row>
    <row r="498">
      <c r="A498" s="8" t="n"/>
      <c r="B498" s="8" t="n"/>
      <c r="C498" s="9" t="n"/>
      <c r="D498" s="9" t="n"/>
      <c r="E498" s="10">
        <f>IF(A498="","",N(C498)-N(D498))</f>
        <v/>
      </c>
      <c r="F498" s="8" t="n"/>
      <c r="G498" s="8" t="n"/>
      <c r="H498" s="7">
        <f>IF(A498="","",IF(OR(F498="",G498=""),"UNMAPPED","ok"))</f>
        <v/>
      </c>
    </row>
    <row r="499">
      <c r="A499" s="8" t="n"/>
      <c r="B499" s="8" t="n"/>
      <c r="C499" s="9" t="n"/>
      <c r="D499" s="9" t="n"/>
      <c r="E499" s="10">
        <f>IF(A499="","",N(C499)-N(D499))</f>
        <v/>
      </c>
      <c r="F499" s="8" t="n"/>
      <c r="G499" s="8" t="n"/>
      <c r="H499" s="7">
        <f>IF(A499="","",IF(OR(F499="",G499=""),"UNMAPPED","ok"))</f>
        <v/>
      </c>
    </row>
    <row r="500">
      <c r="A500" s="8" t="n"/>
      <c r="B500" s="8" t="n"/>
      <c r="C500" s="9" t="n"/>
      <c r="D500" s="9" t="n"/>
      <c r="E500" s="10">
        <f>IF(A500="","",N(C500)-N(D500))</f>
        <v/>
      </c>
      <c r="F500" s="8" t="n"/>
      <c r="G500" s="8" t="n"/>
      <c r="H500" s="7">
        <f>IF(A500="","",IF(OR(F500="",G500=""),"UNMAPPED","ok"))</f>
        <v/>
      </c>
    </row>
    <row r="501">
      <c r="A501" s="8" t="n"/>
      <c r="B501" s="8" t="n"/>
      <c r="C501" s="9" t="n"/>
      <c r="D501" s="9" t="n"/>
      <c r="E501" s="10">
        <f>IF(A501="","",N(C501)-N(D501))</f>
        <v/>
      </c>
      <c r="F501" s="8" t="n"/>
      <c r="G501" s="8" t="n"/>
      <c r="H501" s="7">
        <f>IF(A501="","",IF(OR(F501="",G501=""),"UNMAPPED","ok"))</f>
        <v/>
      </c>
    </row>
    <row r="502">
      <c r="A502" s="8" t="n"/>
      <c r="B502" s="8" t="n"/>
      <c r="C502" s="9" t="n"/>
      <c r="D502" s="9" t="n"/>
      <c r="E502" s="10">
        <f>IF(A502="","",N(C502)-N(D502))</f>
        <v/>
      </c>
      <c r="F502" s="8" t="n"/>
      <c r="G502" s="8" t="n"/>
      <c r="H502" s="7">
        <f>IF(A502="","",IF(OR(F502="",G502=""),"UNMAPPED","ok"))</f>
        <v/>
      </c>
    </row>
    <row r="503">
      <c r="A503" s="8" t="n"/>
      <c r="B503" s="8" t="n"/>
      <c r="C503" s="9" t="n"/>
      <c r="D503" s="9" t="n"/>
      <c r="E503" s="10">
        <f>IF(A503="","",N(C503)-N(D503))</f>
        <v/>
      </c>
      <c r="F503" s="8" t="n"/>
      <c r="G503" s="8" t="n"/>
      <c r="H503" s="7">
        <f>IF(A503="","",IF(OR(F503="",G503=""),"UNMAPPED","ok"))</f>
        <v/>
      </c>
    </row>
    <row r="504">
      <c r="A504" s="8" t="n"/>
      <c r="B504" s="8" t="n"/>
      <c r="C504" s="9" t="n"/>
      <c r="D504" s="9" t="n"/>
      <c r="E504" s="10">
        <f>IF(A504="","",N(C504)-N(D504))</f>
        <v/>
      </c>
      <c r="F504" s="8" t="n"/>
      <c r="G504" s="8" t="n"/>
      <c r="H504" s="7">
        <f>IF(A504="","",IF(OR(F504="",G504=""),"UNMAPPED","ok"))</f>
        <v/>
      </c>
    </row>
    <row r="505">
      <c r="A505" s="8" t="n"/>
      <c r="B505" s="8" t="n"/>
      <c r="C505" s="9" t="n"/>
      <c r="D505" s="9" t="n"/>
      <c r="E505" s="10">
        <f>IF(A505="","",N(C505)-N(D505))</f>
        <v/>
      </c>
      <c r="F505" s="8" t="n"/>
      <c r="G505" s="8" t="n"/>
      <c r="H505" s="7">
        <f>IF(A505="","",IF(OR(F505="",G505=""),"UNMAPPED","ok"))</f>
        <v/>
      </c>
    </row>
    <row r="506">
      <c r="A506" s="8" t="n"/>
      <c r="B506" s="8" t="n"/>
      <c r="C506" s="9" t="n"/>
      <c r="D506" s="9" t="n"/>
      <c r="E506" s="10">
        <f>IF(A506="","",N(C506)-N(D506))</f>
        <v/>
      </c>
      <c r="F506" s="8" t="n"/>
      <c r="G506" s="8" t="n"/>
      <c r="H506" s="7">
        <f>IF(A506="","",IF(OR(F506="",G506=""),"UNMAPPED","ok"))</f>
        <v/>
      </c>
    </row>
    <row r="507">
      <c r="A507" s="8" t="n"/>
      <c r="B507" s="8" t="n"/>
      <c r="C507" s="9" t="n"/>
      <c r="D507" s="9" t="n"/>
      <c r="E507" s="10">
        <f>IF(A507="","",N(C507)-N(D507))</f>
        <v/>
      </c>
      <c r="F507" s="8" t="n"/>
      <c r="G507" s="8" t="n"/>
      <c r="H507" s="7">
        <f>IF(A507="","",IF(OR(F507="",G507=""),"UNMAPPED","ok"))</f>
        <v/>
      </c>
    </row>
    <row r="508">
      <c r="A508" s="8" t="n"/>
      <c r="B508" s="8" t="n"/>
      <c r="C508" s="9" t="n"/>
      <c r="D508" s="9" t="n"/>
      <c r="E508" s="10">
        <f>IF(A508="","",N(C508)-N(D508))</f>
        <v/>
      </c>
      <c r="F508" s="8" t="n"/>
      <c r="G508" s="8" t="n"/>
      <c r="H508" s="7">
        <f>IF(A508="","",IF(OR(F508="",G508=""),"UNMAPPED","ok"))</f>
        <v/>
      </c>
    </row>
    <row r="509">
      <c r="A509" s="8" t="n"/>
      <c r="B509" s="8" t="n"/>
      <c r="C509" s="9" t="n"/>
      <c r="D509" s="9" t="n"/>
      <c r="E509" s="10">
        <f>IF(A509="","",N(C509)-N(D509))</f>
        <v/>
      </c>
      <c r="F509" s="8" t="n"/>
      <c r="G509" s="8" t="n"/>
      <c r="H509" s="7">
        <f>IF(A509="","",IF(OR(F509="",G509=""),"UNMAPPED","ok"))</f>
        <v/>
      </c>
    </row>
    <row r="510">
      <c r="A510" s="8" t="n"/>
      <c r="B510" s="8" t="n"/>
      <c r="C510" s="9" t="n"/>
      <c r="D510" s="9" t="n"/>
      <c r="E510" s="10">
        <f>IF(A510="","",N(C510)-N(D510))</f>
        <v/>
      </c>
      <c r="F510" s="8" t="n"/>
      <c r="G510" s="8" t="n"/>
      <c r="H510" s="7">
        <f>IF(A510="","",IF(OR(F510="",G510=""),"UNMAPPED","ok"))</f>
        <v/>
      </c>
    </row>
    <row r="511">
      <c r="A511" s="8" t="n"/>
      <c r="B511" s="8" t="n"/>
      <c r="C511" s="9" t="n"/>
      <c r="D511" s="9" t="n"/>
      <c r="E511" s="10">
        <f>IF(A511="","",N(C511)-N(D511))</f>
        <v/>
      </c>
      <c r="F511" s="8" t="n"/>
      <c r="G511" s="8" t="n"/>
      <c r="H511" s="7">
        <f>IF(A511="","",IF(OR(F511="",G511=""),"UNMAPPED","ok"))</f>
        <v/>
      </c>
    </row>
    <row r="512">
      <c r="A512" s="8" t="n"/>
      <c r="B512" s="8" t="n"/>
      <c r="C512" s="9" t="n"/>
      <c r="D512" s="9" t="n"/>
      <c r="E512" s="10">
        <f>IF(A512="","",N(C512)-N(D512))</f>
        <v/>
      </c>
      <c r="F512" s="8" t="n"/>
      <c r="G512" s="8" t="n"/>
      <c r="H512" s="7">
        <f>IF(A512="","",IF(OR(F512="",G512=""),"UNMAPPED","ok"))</f>
        <v/>
      </c>
    </row>
    <row r="513">
      <c r="A513" s="8" t="n"/>
      <c r="B513" s="8" t="n"/>
      <c r="C513" s="9" t="n"/>
      <c r="D513" s="9" t="n"/>
      <c r="E513" s="10">
        <f>IF(A513="","",N(C513)-N(D513))</f>
        <v/>
      </c>
      <c r="F513" s="8" t="n"/>
      <c r="G513" s="8" t="n"/>
      <c r="H513" s="7">
        <f>IF(A513="","",IF(OR(F513="",G513=""),"UNMAPPED","ok"))</f>
        <v/>
      </c>
    </row>
    <row r="514">
      <c r="A514" s="8" t="n"/>
      <c r="B514" s="8" t="n"/>
      <c r="C514" s="9" t="n"/>
      <c r="D514" s="9" t="n"/>
      <c r="E514" s="10">
        <f>IF(A514="","",N(C514)-N(D514))</f>
        <v/>
      </c>
      <c r="F514" s="8" t="n"/>
      <c r="G514" s="8" t="n"/>
      <c r="H514" s="7">
        <f>IF(A514="","",IF(OR(F514="",G514=""),"UNMAPPED","ok"))</f>
        <v/>
      </c>
    </row>
    <row r="515">
      <c r="A515" s="8" t="n"/>
      <c r="B515" s="8" t="n"/>
      <c r="C515" s="9" t="n"/>
      <c r="D515" s="9" t="n"/>
      <c r="E515" s="10">
        <f>IF(A515="","",N(C515)-N(D515))</f>
        <v/>
      </c>
      <c r="F515" s="8" t="n"/>
      <c r="G515" s="8" t="n"/>
      <c r="H515" s="7">
        <f>IF(A515="","",IF(OR(F515="",G515=""),"UNMAPPED","ok"))</f>
        <v/>
      </c>
    </row>
    <row r="516">
      <c r="A516" s="8" t="n"/>
      <c r="B516" s="8" t="n"/>
      <c r="C516" s="9" t="n"/>
      <c r="D516" s="9" t="n"/>
      <c r="E516" s="10">
        <f>IF(A516="","",N(C516)-N(D516))</f>
        <v/>
      </c>
      <c r="F516" s="8" t="n"/>
      <c r="G516" s="8" t="n"/>
      <c r="H516" s="7">
        <f>IF(A516="","",IF(OR(F516="",G516=""),"UNMAPPED","ok"))</f>
        <v/>
      </c>
    </row>
    <row r="517">
      <c r="A517" s="8" t="n"/>
      <c r="B517" s="8" t="n"/>
      <c r="C517" s="9" t="n"/>
      <c r="D517" s="9" t="n"/>
      <c r="E517" s="10">
        <f>IF(A517="","",N(C517)-N(D517))</f>
        <v/>
      </c>
      <c r="F517" s="8" t="n"/>
      <c r="G517" s="8" t="n"/>
      <c r="H517" s="7">
        <f>IF(A517="","",IF(OR(F517="",G517=""),"UNMAPPED","ok"))</f>
        <v/>
      </c>
    </row>
    <row r="518">
      <c r="A518" s="8" t="n"/>
      <c r="B518" s="8" t="n"/>
      <c r="C518" s="9" t="n"/>
      <c r="D518" s="9" t="n"/>
      <c r="E518" s="10">
        <f>IF(A518="","",N(C518)-N(D518))</f>
        <v/>
      </c>
      <c r="F518" s="8" t="n"/>
      <c r="G518" s="8" t="n"/>
      <c r="H518" s="7">
        <f>IF(A518="","",IF(OR(F518="",G518=""),"UNMAPPED","ok"))</f>
        <v/>
      </c>
    </row>
    <row r="519">
      <c r="A519" s="8" t="n"/>
      <c r="B519" s="8" t="n"/>
      <c r="C519" s="9" t="n"/>
      <c r="D519" s="9" t="n"/>
      <c r="E519" s="10">
        <f>IF(A519="","",N(C519)-N(D519))</f>
        <v/>
      </c>
      <c r="F519" s="8" t="n"/>
      <c r="G519" s="8" t="n"/>
      <c r="H519" s="7">
        <f>IF(A519="","",IF(OR(F519="",G519=""),"UNMAPPED","ok"))</f>
        <v/>
      </c>
    </row>
    <row r="520">
      <c r="A520" s="8" t="n"/>
      <c r="B520" s="8" t="n"/>
      <c r="C520" s="9" t="n"/>
      <c r="D520" s="9" t="n"/>
      <c r="E520" s="10">
        <f>IF(A520="","",N(C520)-N(D520))</f>
        <v/>
      </c>
      <c r="F520" s="8" t="n"/>
      <c r="G520" s="8" t="n"/>
      <c r="H520" s="7">
        <f>IF(A520="","",IF(OR(F520="",G520=""),"UNMAPPED","ok"))</f>
        <v/>
      </c>
    </row>
    <row r="521">
      <c r="A521" s="8" t="n"/>
      <c r="B521" s="8" t="n"/>
      <c r="C521" s="9" t="n"/>
      <c r="D521" s="9" t="n"/>
      <c r="E521" s="10">
        <f>IF(A521="","",N(C521)-N(D521))</f>
        <v/>
      </c>
      <c r="F521" s="8" t="n"/>
      <c r="G521" s="8" t="n"/>
      <c r="H521" s="7">
        <f>IF(A521="","",IF(OR(F521="",G521=""),"UNMAPPED","ok"))</f>
        <v/>
      </c>
    </row>
    <row r="522">
      <c r="A522" s="8" t="n"/>
      <c r="B522" s="8" t="n"/>
      <c r="C522" s="9" t="n"/>
      <c r="D522" s="9" t="n"/>
      <c r="E522" s="10">
        <f>IF(A522="","",N(C522)-N(D522))</f>
        <v/>
      </c>
      <c r="F522" s="8" t="n"/>
      <c r="G522" s="8" t="n"/>
      <c r="H522" s="7">
        <f>IF(A522="","",IF(OR(F522="",G522=""),"UNMAPPED","ok"))</f>
        <v/>
      </c>
    </row>
    <row r="523">
      <c r="A523" s="8" t="n"/>
      <c r="B523" s="8" t="n"/>
      <c r="C523" s="9" t="n"/>
      <c r="D523" s="9" t="n"/>
      <c r="E523" s="10">
        <f>IF(A523="","",N(C523)-N(D523))</f>
        <v/>
      </c>
      <c r="F523" s="8" t="n"/>
      <c r="G523" s="8" t="n"/>
      <c r="H523" s="7">
        <f>IF(A523="","",IF(OR(F523="",G523=""),"UNMAPPED","ok"))</f>
        <v/>
      </c>
    </row>
    <row r="524">
      <c r="A524" s="8" t="n"/>
      <c r="B524" s="8" t="n"/>
      <c r="C524" s="9" t="n"/>
      <c r="D524" s="9" t="n"/>
      <c r="E524" s="10">
        <f>IF(A524="","",N(C524)-N(D524))</f>
        <v/>
      </c>
      <c r="F524" s="8" t="n"/>
      <c r="G524" s="8" t="n"/>
      <c r="H524" s="7">
        <f>IF(A524="","",IF(OR(F524="",G524=""),"UNMAPPED","ok"))</f>
        <v/>
      </c>
    </row>
    <row r="525">
      <c r="A525" s="8" t="n"/>
      <c r="B525" s="8" t="n"/>
      <c r="C525" s="9" t="n"/>
      <c r="D525" s="9" t="n"/>
      <c r="E525" s="10">
        <f>IF(A525="","",N(C525)-N(D525))</f>
        <v/>
      </c>
      <c r="F525" s="8" t="n"/>
      <c r="G525" s="8" t="n"/>
      <c r="H525" s="7">
        <f>IF(A525="","",IF(OR(F525="",G525=""),"UNMAPPED","ok"))</f>
        <v/>
      </c>
    </row>
    <row r="526">
      <c r="A526" s="8" t="n"/>
      <c r="B526" s="8" t="n"/>
      <c r="C526" s="9" t="n"/>
      <c r="D526" s="9" t="n"/>
      <c r="E526" s="10">
        <f>IF(A526="","",N(C526)-N(D526))</f>
        <v/>
      </c>
      <c r="F526" s="8" t="n"/>
      <c r="G526" s="8" t="n"/>
      <c r="H526" s="7">
        <f>IF(A526="","",IF(OR(F526="",G526=""),"UNMAPPED","ok"))</f>
        <v/>
      </c>
    </row>
    <row r="527">
      <c r="A527" s="8" t="n"/>
      <c r="B527" s="8" t="n"/>
      <c r="C527" s="9" t="n"/>
      <c r="D527" s="9" t="n"/>
      <c r="E527" s="10">
        <f>IF(A527="","",N(C527)-N(D527))</f>
        <v/>
      </c>
      <c r="F527" s="8" t="n"/>
      <c r="G527" s="8" t="n"/>
      <c r="H527" s="7">
        <f>IF(A527="","",IF(OR(F527="",G527=""),"UNMAPPED","ok"))</f>
        <v/>
      </c>
    </row>
    <row r="528">
      <c r="A528" s="8" t="n"/>
      <c r="B528" s="8" t="n"/>
      <c r="C528" s="9" t="n"/>
      <c r="D528" s="9" t="n"/>
      <c r="E528" s="10">
        <f>IF(A528="","",N(C528)-N(D528))</f>
        <v/>
      </c>
      <c r="F528" s="8" t="n"/>
      <c r="G528" s="8" t="n"/>
      <c r="H528" s="7">
        <f>IF(A528="","",IF(OR(F528="",G528=""),"UNMAPPED","ok"))</f>
        <v/>
      </c>
    </row>
    <row r="529">
      <c r="A529" s="8" t="n"/>
      <c r="B529" s="8" t="n"/>
      <c r="C529" s="9" t="n"/>
      <c r="D529" s="9" t="n"/>
      <c r="E529" s="10">
        <f>IF(A529="","",N(C529)-N(D529))</f>
        <v/>
      </c>
      <c r="F529" s="8" t="n"/>
      <c r="G529" s="8" t="n"/>
      <c r="H529" s="7">
        <f>IF(A529="","",IF(OR(F529="",G529=""),"UNMAPPED","ok"))</f>
        <v/>
      </c>
    </row>
    <row r="530">
      <c r="A530" s="8" t="n"/>
      <c r="B530" s="8" t="n"/>
      <c r="C530" s="9" t="n"/>
      <c r="D530" s="9" t="n"/>
      <c r="E530" s="10">
        <f>IF(A530="","",N(C530)-N(D530))</f>
        <v/>
      </c>
      <c r="F530" s="8" t="n"/>
      <c r="G530" s="8" t="n"/>
      <c r="H530" s="7">
        <f>IF(A530="","",IF(OR(F530="",G530=""),"UNMAPPED","ok"))</f>
        <v/>
      </c>
    </row>
    <row r="531">
      <c r="A531" s="8" t="n"/>
      <c r="B531" s="8" t="n"/>
      <c r="C531" s="9" t="n"/>
      <c r="D531" s="9" t="n"/>
      <c r="E531" s="10">
        <f>IF(A531="","",N(C531)-N(D531))</f>
        <v/>
      </c>
      <c r="F531" s="8" t="n"/>
      <c r="G531" s="8" t="n"/>
      <c r="H531" s="7">
        <f>IF(A531="","",IF(OR(F531="",G531=""),"UNMAPPED","ok"))</f>
        <v/>
      </c>
    </row>
    <row r="532">
      <c r="A532" s="8" t="n"/>
      <c r="B532" s="8" t="n"/>
      <c r="C532" s="9" t="n"/>
      <c r="D532" s="9" t="n"/>
      <c r="E532" s="10">
        <f>IF(A532="","",N(C532)-N(D532))</f>
        <v/>
      </c>
      <c r="F532" s="8" t="n"/>
      <c r="G532" s="8" t="n"/>
      <c r="H532" s="7">
        <f>IF(A532="","",IF(OR(F532="",G532=""),"UNMAPPED","ok"))</f>
        <v/>
      </c>
    </row>
    <row r="533">
      <c r="A533" s="8" t="n"/>
      <c r="B533" s="8" t="n"/>
      <c r="C533" s="9" t="n"/>
      <c r="D533" s="9" t="n"/>
      <c r="E533" s="10">
        <f>IF(A533="","",N(C533)-N(D533))</f>
        <v/>
      </c>
      <c r="F533" s="8" t="n"/>
      <c r="G533" s="8" t="n"/>
      <c r="H533" s="7">
        <f>IF(A533="","",IF(OR(F533="",G533=""),"UNMAPPED","ok"))</f>
        <v/>
      </c>
    </row>
    <row r="534">
      <c r="A534" s="8" t="n"/>
      <c r="B534" s="8" t="n"/>
      <c r="C534" s="9" t="n"/>
      <c r="D534" s="9" t="n"/>
      <c r="E534" s="10">
        <f>IF(A534="","",N(C534)-N(D534))</f>
        <v/>
      </c>
      <c r="F534" s="8" t="n"/>
      <c r="G534" s="8" t="n"/>
      <c r="H534" s="7">
        <f>IF(A534="","",IF(OR(F534="",G534=""),"UNMAPPED","ok"))</f>
        <v/>
      </c>
    </row>
    <row r="535">
      <c r="A535" s="8" t="n"/>
      <c r="B535" s="8" t="n"/>
      <c r="C535" s="9" t="n"/>
      <c r="D535" s="9" t="n"/>
      <c r="E535" s="10">
        <f>IF(A535="","",N(C535)-N(D535))</f>
        <v/>
      </c>
      <c r="F535" s="8" t="n"/>
      <c r="G535" s="8" t="n"/>
      <c r="H535" s="7">
        <f>IF(A535="","",IF(OR(F535="",G535=""),"UNMAPPED","ok"))</f>
        <v/>
      </c>
    </row>
    <row r="536">
      <c r="A536" s="8" t="n"/>
      <c r="B536" s="8" t="n"/>
      <c r="C536" s="9" t="n"/>
      <c r="D536" s="9" t="n"/>
      <c r="E536" s="10">
        <f>IF(A536="","",N(C536)-N(D536))</f>
        <v/>
      </c>
      <c r="F536" s="8" t="n"/>
      <c r="G536" s="8" t="n"/>
      <c r="H536" s="7">
        <f>IF(A536="","",IF(OR(F536="",G536=""),"UNMAPPED","ok"))</f>
        <v/>
      </c>
    </row>
    <row r="537">
      <c r="A537" s="8" t="n"/>
      <c r="B537" s="8" t="n"/>
      <c r="C537" s="9" t="n"/>
      <c r="D537" s="9" t="n"/>
      <c r="E537" s="10">
        <f>IF(A537="","",N(C537)-N(D537))</f>
        <v/>
      </c>
      <c r="F537" s="8" t="n"/>
      <c r="G537" s="8" t="n"/>
      <c r="H537" s="7">
        <f>IF(A537="","",IF(OR(F537="",G537=""),"UNMAPPED","ok"))</f>
        <v/>
      </c>
    </row>
    <row r="538">
      <c r="A538" s="8" t="n"/>
      <c r="B538" s="8" t="n"/>
      <c r="C538" s="9" t="n"/>
      <c r="D538" s="9" t="n"/>
      <c r="E538" s="10">
        <f>IF(A538="","",N(C538)-N(D538))</f>
        <v/>
      </c>
      <c r="F538" s="8" t="n"/>
      <c r="G538" s="8" t="n"/>
      <c r="H538" s="7">
        <f>IF(A538="","",IF(OR(F538="",G538=""),"UNMAPPED","ok"))</f>
        <v/>
      </c>
    </row>
    <row r="539">
      <c r="A539" s="8" t="n"/>
      <c r="B539" s="8" t="n"/>
      <c r="C539" s="9" t="n"/>
      <c r="D539" s="9" t="n"/>
      <c r="E539" s="10">
        <f>IF(A539="","",N(C539)-N(D539))</f>
        <v/>
      </c>
      <c r="F539" s="8" t="n"/>
      <c r="G539" s="8" t="n"/>
      <c r="H539" s="7">
        <f>IF(A539="","",IF(OR(F539="",G539=""),"UNMAPPED","ok"))</f>
        <v/>
      </c>
    </row>
    <row r="540">
      <c r="A540" s="8" t="n"/>
      <c r="B540" s="8" t="n"/>
      <c r="C540" s="9" t="n"/>
      <c r="D540" s="9" t="n"/>
      <c r="E540" s="10">
        <f>IF(A540="","",N(C540)-N(D540))</f>
        <v/>
      </c>
      <c r="F540" s="8" t="n"/>
      <c r="G540" s="8" t="n"/>
      <c r="H540" s="7">
        <f>IF(A540="","",IF(OR(F540="",G540=""),"UNMAPPED","ok"))</f>
        <v/>
      </c>
    </row>
    <row r="541">
      <c r="A541" s="8" t="n"/>
      <c r="B541" s="8" t="n"/>
      <c r="C541" s="9" t="n"/>
      <c r="D541" s="9" t="n"/>
      <c r="E541" s="10">
        <f>IF(A541="","",N(C541)-N(D541))</f>
        <v/>
      </c>
      <c r="F541" s="8" t="n"/>
      <c r="G541" s="8" t="n"/>
      <c r="H541" s="7">
        <f>IF(A541="","",IF(OR(F541="",G541=""),"UNMAPPED","ok"))</f>
        <v/>
      </c>
    </row>
    <row r="542">
      <c r="A542" s="8" t="n"/>
      <c r="B542" s="8" t="n"/>
      <c r="C542" s="9" t="n"/>
      <c r="D542" s="9" t="n"/>
      <c r="E542" s="10">
        <f>IF(A542="","",N(C542)-N(D542))</f>
        <v/>
      </c>
      <c r="F542" s="8" t="n"/>
      <c r="G542" s="8" t="n"/>
      <c r="H542" s="7">
        <f>IF(A542="","",IF(OR(F542="",G542=""),"UNMAPPED","ok"))</f>
        <v/>
      </c>
    </row>
    <row r="543">
      <c r="A543" s="8" t="n"/>
      <c r="B543" s="8" t="n"/>
      <c r="C543" s="9" t="n"/>
      <c r="D543" s="9" t="n"/>
      <c r="E543" s="10">
        <f>IF(A543="","",N(C543)-N(D543))</f>
        <v/>
      </c>
      <c r="F543" s="8" t="n"/>
      <c r="G543" s="8" t="n"/>
      <c r="H543" s="7">
        <f>IF(A543="","",IF(OR(F543="",G543=""),"UNMAPPED","ok"))</f>
        <v/>
      </c>
    </row>
    <row r="544">
      <c r="A544" s="8" t="n"/>
      <c r="B544" s="8" t="n"/>
      <c r="C544" s="9" t="n"/>
      <c r="D544" s="9" t="n"/>
      <c r="E544" s="10">
        <f>IF(A544="","",N(C544)-N(D544))</f>
        <v/>
      </c>
      <c r="F544" s="8" t="n"/>
      <c r="G544" s="8" t="n"/>
      <c r="H544" s="7">
        <f>IF(A544="","",IF(OR(F544="",G544=""),"UNMAPPED","ok"))</f>
        <v/>
      </c>
    </row>
    <row r="545">
      <c r="A545" s="8" t="n"/>
      <c r="B545" s="8" t="n"/>
      <c r="C545" s="9" t="n"/>
      <c r="D545" s="9" t="n"/>
      <c r="E545" s="10">
        <f>IF(A545="","",N(C545)-N(D545))</f>
        <v/>
      </c>
      <c r="F545" s="8" t="n"/>
      <c r="G545" s="8" t="n"/>
      <c r="H545" s="7">
        <f>IF(A545="","",IF(OR(F545="",G545=""),"UNMAPPED","ok"))</f>
        <v/>
      </c>
    </row>
    <row r="546">
      <c r="A546" s="8" t="n"/>
      <c r="B546" s="8" t="n"/>
      <c r="C546" s="9" t="n"/>
      <c r="D546" s="9" t="n"/>
      <c r="E546" s="10">
        <f>IF(A546="","",N(C546)-N(D546))</f>
        <v/>
      </c>
      <c r="F546" s="8" t="n"/>
      <c r="G546" s="8" t="n"/>
      <c r="H546" s="7">
        <f>IF(A546="","",IF(OR(F546="",G546=""),"UNMAPPED","ok"))</f>
        <v/>
      </c>
    </row>
    <row r="547">
      <c r="A547" s="8" t="n"/>
      <c r="B547" s="8" t="n"/>
      <c r="C547" s="9" t="n"/>
      <c r="D547" s="9" t="n"/>
      <c r="E547" s="10">
        <f>IF(A547="","",N(C547)-N(D547))</f>
        <v/>
      </c>
      <c r="F547" s="8" t="n"/>
      <c r="G547" s="8" t="n"/>
      <c r="H547" s="7">
        <f>IF(A547="","",IF(OR(F547="",G547=""),"UNMAPPED","ok"))</f>
        <v/>
      </c>
    </row>
    <row r="548">
      <c r="A548" s="8" t="n"/>
      <c r="B548" s="8" t="n"/>
      <c r="C548" s="9" t="n"/>
      <c r="D548" s="9" t="n"/>
      <c r="E548" s="10">
        <f>IF(A548="","",N(C548)-N(D548))</f>
        <v/>
      </c>
      <c r="F548" s="8" t="n"/>
      <c r="G548" s="8" t="n"/>
      <c r="H548" s="7">
        <f>IF(A548="","",IF(OR(F548="",G548=""),"UNMAPPED","ok"))</f>
        <v/>
      </c>
    </row>
    <row r="549">
      <c r="A549" s="8" t="n"/>
      <c r="B549" s="8" t="n"/>
      <c r="C549" s="9" t="n"/>
      <c r="D549" s="9" t="n"/>
      <c r="E549" s="10">
        <f>IF(A549="","",N(C549)-N(D549))</f>
        <v/>
      </c>
      <c r="F549" s="8" t="n"/>
      <c r="G549" s="8" t="n"/>
      <c r="H549" s="7">
        <f>IF(A549="","",IF(OR(F549="",G549=""),"UNMAPPED","ok"))</f>
        <v/>
      </c>
    </row>
    <row r="550">
      <c r="A550" s="8" t="n"/>
      <c r="B550" s="8" t="n"/>
      <c r="C550" s="9" t="n"/>
      <c r="D550" s="9" t="n"/>
      <c r="E550" s="10">
        <f>IF(A550="","",N(C550)-N(D550))</f>
        <v/>
      </c>
      <c r="F550" s="8" t="n"/>
      <c r="G550" s="8" t="n"/>
      <c r="H550" s="7">
        <f>IF(A550="","",IF(OR(F550="",G550=""),"UNMAPPED","ok"))</f>
        <v/>
      </c>
    </row>
    <row r="551">
      <c r="A551" s="8" t="n"/>
      <c r="B551" s="8" t="n"/>
      <c r="C551" s="9" t="n"/>
      <c r="D551" s="9" t="n"/>
      <c r="E551" s="10">
        <f>IF(A551="","",N(C551)-N(D551))</f>
        <v/>
      </c>
      <c r="F551" s="8" t="n"/>
      <c r="G551" s="8" t="n"/>
      <c r="H551" s="7">
        <f>IF(A551="","",IF(OR(F551="",G551=""),"UNMAPPED","ok"))</f>
        <v/>
      </c>
    </row>
    <row r="552">
      <c r="A552" s="8" t="n"/>
      <c r="B552" s="8" t="n"/>
      <c r="C552" s="9" t="n"/>
      <c r="D552" s="9" t="n"/>
      <c r="E552" s="10">
        <f>IF(A552="","",N(C552)-N(D552))</f>
        <v/>
      </c>
      <c r="F552" s="8" t="n"/>
      <c r="G552" s="8" t="n"/>
      <c r="H552" s="7">
        <f>IF(A552="","",IF(OR(F552="",G552=""),"UNMAPPED","ok"))</f>
        <v/>
      </c>
    </row>
    <row r="553">
      <c r="A553" s="8" t="n"/>
      <c r="B553" s="8" t="n"/>
      <c r="C553" s="9" t="n"/>
      <c r="D553" s="9" t="n"/>
      <c r="E553" s="10">
        <f>IF(A553="","",N(C553)-N(D553))</f>
        <v/>
      </c>
      <c r="F553" s="8" t="n"/>
      <c r="G553" s="8" t="n"/>
      <c r="H553" s="7">
        <f>IF(A553="","",IF(OR(F553="",G553=""),"UNMAPPED","ok"))</f>
        <v/>
      </c>
    </row>
    <row r="554">
      <c r="A554" s="8" t="n"/>
      <c r="B554" s="8" t="n"/>
      <c r="C554" s="9" t="n"/>
      <c r="D554" s="9" t="n"/>
      <c r="E554" s="10">
        <f>IF(A554="","",N(C554)-N(D554))</f>
        <v/>
      </c>
      <c r="F554" s="8" t="n"/>
      <c r="G554" s="8" t="n"/>
      <c r="H554" s="7">
        <f>IF(A554="","",IF(OR(F554="",G554=""),"UNMAPPED","ok"))</f>
        <v/>
      </c>
    </row>
    <row r="555">
      <c r="A555" s="8" t="n"/>
      <c r="B555" s="8" t="n"/>
      <c r="C555" s="9" t="n"/>
      <c r="D555" s="9" t="n"/>
      <c r="E555" s="10">
        <f>IF(A555="","",N(C555)-N(D555))</f>
        <v/>
      </c>
      <c r="F555" s="8" t="n"/>
      <c r="G555" s="8" t="n"/>
      <c r="H555" s="7">
        <f>IF(A555="","",IF(OR(F555="",G555=""),"UNMAPPED","ok"))</f>
        <v/>
      </c>
    </row>
    <row r="556">
      <c r="A556" s="8" t="n"/>
      <c r="B556" s="8" t="n"/>
      <c r="C556" s="9" t="n"/>
      <c r="D556" s="9" t="n"/>
      <c r="E556" s="10">
        <f>IF(A556="","",N(C556)-N(D556))</f>
        <v/>
      </c>
      <c r="F556" s="8" t="n"/>
      <c r="G556" s="8" t="n"/>
      <c r="H556" s="7">
        <f>IF(A556="","",IF(OR(F556="",G556=""),"UNMAPPED","ok"))</f>
        <v/>
      </c>
    </row>
    <row r="557">
      <c r="A557" s="8" t="n"/>
      <c r="B557" s="8" t="n"/>
      <c r="C557" s="9" t="n"/>
      <c r="D557" s="9" t="n"/>
      <c r="E557" s="10">
        <f>IF(A557="","",N(C557)-N(D557))</f>
        <v/>
      </c>
      <c r="F557" s="8" t="n"/>
      <c r="G557" s="8" t="n"/>
      <c r="H557" s="7">
        <f>IF(A557="","",IF(OR(F557="",G557=""),"UNMAPPED","ok"))</f>
        <v/>
      </c>
    </row>
    <row r="558">
      <c r="A558" s="8" t="n"/>
      <c r="B558" s="8" t="n"/>
      <c r="C558" s="9" t="n"/>
      <c r="D558" s="9" t="n"/>
      <c r="E558" s="10">
        <f>IF(A558="","",N(C558)-N(D558))</f>
        <v/>
      </c>
      <c r="F558" s="8" t="n"/>
      <c r="G558" s="8" t="n"/>
      <c r="H558" s="7">
        <f>IF(A558="","",IF(OR(F558="",G558=""),"UNMAPPED","ok"))</f>
        <v/>
      </c>
    </row>
    <row r="559">
      <c r="A559" s="8" t="n"/>
      <c r="B559" s="8" t="n"/>
      <c r="C559" s="9" t="n"/>
      <c r="D559" s="9" t="n"/>
      <c r="E559" s="10">
        <f>IF(A559="","",N(C559)-N(D559))</f>
        <v/>
      </c>
      <c r="F559" s="8" t="n"/>
      <c r="G559" s="8" t="n"/>
      <c r="H559" s="7">
        <f>IF(A559="","",IF(OR(F559="",G559=""),"UNMAPPED","ok"))</f>
        <v/>
      </c>
    </row>
    <row r="560">
      <c r="A560" s="8" t="n"/>
      <c r="B560" s="8" t="n"/>
      <c r="C560" s="9" t="n"/>
      <c r="D560" s="9" t="n"/>
      <c r="E560" s="10">
        <f>IF(A560="","",N(C560)-N(D560))</f>
        <v/>
      </c>
      <c r="F560" s="8" t="n"/>
      <c r="G560" s="8" t="n"/>
      <c r="H560" s="7">
        <f>IF(A560="","",IF(OR(F560="",G560=""),"UNMAPPED","ok"))</f>
        <v/>
      </c>
    </row>
    <row r="561">
      <c r="A561" s="8" t="n"/>
      <c r="B561" s="8" t="n"/>
      <c r="C561" s="9" t="n"/>
      <c r="D561" s="9" t="n"/>
      <c r="E561" s="10">
        <f>IF(A561="","",N(C561)-N(D561))</f>
        <v/>
      </c>
      <c r="F561" s="8" t="n"/>
      <c r="G561" s="8" t="n"/>
      <c r="H561" s="7">
        <f>IF(A561="","",IF(OR(F561="",G561=""),"UNMAPPED","ok"))</f>
        <v/>
      </c>
    </row>
    <row r="562">
      <c r="A562" s="8" t="n"/>
      <c r="B562" s="8" t="n"/>
      <c r="C562" s="9" t="n"/>
      <c r="D562" s="9" t="n"/>
      <c r="E562" s="10">
        <f>IF(A562="","",N(C562)-N(D562))</f>
        <v/>
      </c>
      <c r="F562" s="8" t="n"/>
      <c r="G562" s="8" t="n"/>
      <c r="H562" s="7">
        <f>IF(A562="","",IF(OR(F562="",G562=""),"UNMAPPED","ok"))</f>
        <v/>
      </c>
    </row>
    <row r="563">
      <c r="A563" s="8" t="n"/>
      <c r="B563" s="8" t="n"/>
      <c r="C563" s="9" t="n"/>
      <c r="D563" s="9" t="n"/>
      <c r="E563" s="10">
        <f>IF(A563="","",N(C563)-N(D563))</f>
        <v/>
      </c>
      <c r="F563" s="8" t="n"/>
      <c r="G563" s="8" t="n"/>
      <c r="H563" s="7">
        <f>IF(A563="","",IF(OR(F563="",G563=""),"UNMAPPED","ok"))</f>
        <v/>
      </c>
    </row>
    <row r="564">
      <c r="A564" s="8" t="n"/>
      <c r="B564" s="8" t="n"/>
      <c r="C564" s="9" t="n"/>
      <c r="D564" s="9" t="n"/>
      <c r="E564" s="10">
        <f>IF(A564="","",N(C564)-N(D564))</f>
        <v/>
      </c>
      <c r="F564" s="8" t="n"/>
      <c r="G564" s="8" t="n"/>
      <c r="H564" s="7">
        <f>IF(A564="","",IF(OR(F564="",G564=""),"UNMAPPED","ok"))</f>
        <v/>
      </c>
    </row>
    <row r="565">
      <c r="A565" s="8" t="n"/>
      <c r="B565" s="8" t="n"/>
      <c r="C565" s="9" t="n"/>
      <c r="D565" s="9" t="n"/>
      <c r="E565" s="10">
        <f>IF(A565="","",N(C565)-N(D565))</f>
        <v/>
      </c>
      <c r="F565" s="8" t="n"/>
      <c r="G565" s="8" t="n"/>
      <c r="H565" s="7">
        <f>IF(A565="","",IF(OR(F565="",G565=""),"UNMAPPED","ok"))</f>
        <v/>
      </c>
    </row>
    <row r="566">
      <c r="A566" s="8" t="n"/>
      <c r="B566" s="8" t="n"/>
      <c r="C566" s="9" t="n"/>
      <c r="D566" s="9" t="n"/>
      <c r="E566" s="10">
        <f>IF(A566="","",N(C566)-N(D566))</f>
        <v/>
      </c>
      <c r="F566" s="8" t="n"/>
      <c r="G566" s="8" t="n"/>
      <c r="H566" s="7">
        <f>IF(A566="","",IF(OR(F566="",G566=""),"UNMAPPED","ok"))</f>
        <v/>
      </c>
    </row>
    <row r="567">
      <c r="A567" s="8" t="n"/>
      <c r="B567" s="8" t="n"/>
      <c r="C567" s="9" t="n"/>
      <c r="D567" s="9" t="n"/>
      <c r="E567" s="10">
        <f>IF(A567="","",N(C567)-N(D567))</f>
        <v/>
      </c>
      <c r="F567" s="8" t="n"/>
      <c r="G567" s="8" t="n"/>
      <c r="H567" s="7">
        <f>IF(A567="","",IF(OR(F567="",G567=""),"UNMAPPED","ok"))</f>
        <v/>
      </c>
    </row>
    <row r="568">
      <c r="A568" s="8" t="n"/>
      <c r="B568" s="8" t="n"/>
      <c r="C568" s="9" t="n"/>
      <c r="D568" s="9" t="n"/>
      <c r="E568" s="10">
        <f>IF(A568="","",N(C568)-N(D568))</f>
        <v/>
      </c>
      <c r="F568" s="8" t="n"/>
      <c r="G568" s="8" t="n"/>
      <c r="H568" s="7">
        <f>IF(A568="","",IF(OR(F568="",G568=""),"UNMAPPED","ok"))</f>
        <v/>
      </c>
    </row>
    <row r="569">
      <c r="A569" s="8" t="n"/>
      <c r="B569" s="8" t="n"/>
      <c r="C569" s="9" t="n"/>
      <c r="D569" s="9" t="n"/>
      <c r="E569" s="10">
        <f>IF(A569="","",N(C569)-N(D569))</f>
        <v/>
      </c>
      <c r="F569" s="8" t="n"/>
      <c r="G569" s="8" t="n"/>
      <c r="H569" s="7">
        <f>IF(A569="","",IF(OR(F569="",G569=""),"UNMAPPED","ok"))</f>
        <v/>
      </c>
    </row>
    <row r="570">
      <c r="A570" s="8" t="n"/>
      <c r="B570" s="8" t="n"/>
      <c r="C570" s="9" t="n"/>
      <c r="D570" s="9" t="n"/>
      <c r="E570" s="10">
        <f>IF(A570="","",N(C570)-N(D570))</f>
        <v/>
      </c>
      <c r="F570" s="8" t="n"/>
      <c r="G570" s="8" t="n"/>
      <c r="H570" s="7">
        <f>IF(A570="","",IF(OR(F570="",G570=""),"UNMAPPED","ok"))</f>
        <v/>
      </c>
    </row>
    <row r="571">
      <c r="A571" s="8" t="n"/>
      <c r="B571" s="8" t="n"/>
      <c r="C571" s="9" t="n"/>
      <c r="D571" s="9" t="n"/>
      <c r="E571" s="10">
        <f>IF(A571="","",N(C571)-N(D571))</f>
        <v/>
      </c>
      <c r="F571" s="8" t="n"/>
      <c r="G571" s="8" t="n"/>
      <c r="H571" s="7">
        <f>IF(A571="","",IF(OR(F571="",G571=""),"UNMAPPED","ok"))</f>
        <v/>
      </c>
    </row>
    <row r="572">
      <c r="A572" s="8" t="n"/>
      <c r="B572" s="8" t="n"/>
      <c r="C572" s="9" t="n"/>
      <c r="D572" s="9" t="n"/>
      <c r="E572" s="10">
        <f>IF(A572="","",N(C572)-N(D572))</f>
        <v/>
      </c>
      <c r="F572" s="8" t="n"/>
      <c r="G572" s="8" t="n"/>
      <c r="H572" s="7">
        <f>IF(A572="","",IF(OR(F572="",G572=""),"UNMAPPED","ok"))</f>
        <v/>
      </c>
    </row>
    <row r="573">
      <c r="A573" s="8" t="n"/>
      <c r="B573" s="8" t="n"/>
      <c r="C573" s="9" t="n"/>
      <c r="D573" s="9" t="n"/>
      <c r="E573" s="10">
        <f>IF(A573="","",N(C573)-N(D573))</f>
        <v/>
      </c>
      <c r="F573" s="8" t="n"/>
      <c r="G573" s="8" t="n"/>
      <c r="H573" s="7">
        <f>IF(A573="","",IF(OR(F573="",G573=""),"UNMAPPED","ok"))</f>
        <v/>
      </c>
    </row>
    <row r="574">
      <c r="A574" s="8" t="n"/>
      <c r="B574" s="8" t="n"/>
      <c r="C574" s="9" t="n"/>
      <c r="D574" s="9" t="n"/>
      <c r="E574" s="10">
        <f>IF(A574="","",N(C574)-N(D574))</f>
        <v/>
      </c>
      <c r="F574" s="8" t="n"/>
      <c r="G574" s="8" t="n"/>
      <c r="H574" s="7">
        <f>IF(A574="","",IF(OR(F574="",G574=""),"UNMAPPED","ok"))</f>
        <v/>
      </c>
    </row>
    <row r="575">
      <c r="A575" s="8" t="n"/>
      <c r="B575" s="8" t="n"/>
      <c r="C575" s="9" t="n"/>
      <c r="D575" s="9" t="n"/>
      <c r="E575" s="10">
        <f>IF(A575="","",N(C575)-N(D575))</f>
        <v/>
      </c>
      <c r="F575" s="8" t="n"/>
      <c r="G575" s="8" t="n"/>
      <c r="H575" s="7">
        <f>IF(A575="","",IF(OR(F575="",G575=""),"UNMAPPED","ok"))</f>
        <v/>
      </c>
    </row>
    <row r="576">
      <c r="A576" s="8" t="n"/>
      <c r="B576" s="8" t="n"/>
      <c r="C576" s="9" t="n"/>
      <c r="D576" s="9" t="n"/>
      <c r="E576" s="10">
        <f>IF(A576="","",N(C576)-N(D576))</f>
        <v/>
      </c>
      <c r="F576" s="8" t="n"/>
      <c r="G576" s="8" t="n"/>
      <c r="H576" s="7">
        <f>IF(A576="","",IF(OR(F576="",G576=""),"UNMAPPED","ok"))</f>
        <v/>
      </c>
    </row>
    <row r="577">
      <c r="A577" s="8" t="n"/>
      <c r="B577" s="8" t="n"/>
      <c r="C577" s="9" t="n"/>
      <c r="D577" s="9" t="n"/>
      <c r="E577" s="10">
        <f>IF(A577="","",N(C577)-N(D577))</f>
        <v/>
      </c>
      <c r="F577" s="8" t="n"/>
      <c r="G577" s="8" t="n"/>
      <c r="H577" s="7">
        <f>IF(A577="","",IF(OR(F577="",G577=""),"UNMAPPED","ok"))</f>
        <v/>
      </c>
    </row>
    <row r="578">
      <c r="A578" s="8" t="n"/>
      <c r="B578" s="8" t="n"/>
      <c r="C578" s="9" t="n"/>
      <c r="D578" s="9" t="n"/>
      <c r="E578" s="10">
        <f>IF(A578="","",N(C578)-N(D578))</f>
        <v/>
      </c>
      <c r="F578" s="8" t="n"/>
      <c r="G578" s="8" t="n"/>
      <c r="H578" s="7">
        <f>IF(A578="","",IF(OR(F578="",G578=""),"UNMAPPED","ok"))</f>
        <v/>
      </c>
    </row>
    <row r="579">
      <c r="A579" s="8" t="n"/>
      <c r="B579" s="8" t="n"/>
      <c r="C579" s="9" t="n"/>
      <c r="D579" s="9" t="n"/>
      <c r="E579" s="10">
        <f>IF(A579="","",N(C579)-N(D579))</f>
        <v/>
      </c>
      <c r="F579" s="8" t="n"/>
      <c r="G579" s="8" t="n"/>
      <c r="H579" s="7">
        <f>IF(A579="","",IF(OR(F579="",G579=""),"UNMAPPED","ok"))</f>
        <v/>
      </c>
    </row>
    <row r="580">
      <c r="A580" s="8" t="n"/>
      <c r="B580" s="8" t="n"/>
      <c r="C580" s="9" t="n"/>
      <c r="D580" s="9" t="n"/>
      <c r="E580" s="10">
        <f>IF(A580="","",N(C580)-N(D580))</f>
        <v/>
      </c>
      <c r="F580" s="8" t="n"/>
      <c r="G580" s="8" t="n"/>
      <c r="H580" s="7">
        <f>IF(A580="","",IF(OR(F580="",G580=""),"UNMAPPED","ok"))</f>
        <v/>
      </c>
    </row>
    <row r="581">
      <c r="A581" s="8" t="n"/>
      <c r="B581" s="8" t="n"/>
      <c r="C581" s="9" t="n"/>
      <c r="D581" s="9" t="n"/>
      <c r="E581" s="10">
        <f>IF(A581="","",N(C581)-N(D581))</f>
        <v/>
      </c>
      <c r="F581" s="8" t="n"/>
      <c r="G581" s="8" t="n"/>
      <c r="H581" s="7">
        <f>IF(A581="","",IF(OR(F581="",G581=""),"UNMAPPED","ok"))</f>
        <v/>
      </c>
    </row>
    <row r="582">
      <c r="A582" s="8" t="n"/>
      <c r="B582" s="8" t="n"/>
      <c r="C582" s="9" t="n"/>
      <c r="D582" s="9" t="n"/>
      <c r="E582" s="10">
        <f>IF(A582="","",N(C582)-N(D582))</f>
        <v/>
      </c>
      <c r="F582" s="8" t="n"/>
      <c r="G582" s="8" t="n"/>
      <c r="H582" s="7">
        <f>IF(A582="","",IF(OR(F582="",G582=""),"UNMAPPED","ok"))</f>
        <v/>
      </c>
    </row>
    <row r="583">
      <c r="A583" s="8" t="n"/>
      <c r="B583" s="8" t="n"/>
      <c r="C583" s="9" t="n"/>
      <c r="D583" s="9" t="n"/>
      <c r="E583" s="10">
        <f>IF(A583="","",N(C583)-N(D583))</f>
        <v/>
      </c>
      <c r="F583" s="8" t="n"/>
      <c r="G583" s="8" t="n"/>
      <c r="H583" s="7">
        <f>IF(A583="","",IF(OR(F583="",G583=""),"UNMAPPED","ok"))</f>
        <v/>
      </c>
    </row>
    <row r="584">
      <c r="A584" s="8" t="n"/>
      <c r="B584" s="8" t="n"/>
      <c r="C584" s="9" t="n"/>
      <c r="D584" s="9" t="n"/>
      <c r="E584" s="10">
        <f>IF(A584="","",N(C584)-N(D584))</f>
        <v/>
      </c>
      <c r="F584" s="8" t="n"/>
      <c r="G584" s="8" t="n"/>
      <c r="H584" s="7">
        <f>IF(A584="","",IF(OR(F584="",G584=""),"UNMAPPED","ok"))</f>
        <v/>
      </c>
    </row>
    <row r="585">
      <c r="A585" s="8" t="n"/>
      <c r="B585" s="8" t="n"/>
      <c r="C585" s="9" t="n"/>
      <c r="D585" s="9" t="n"/>
      <c r="E585" s="10">
        <f>IF(A585="","",N(C585)-N(D585))</f>
        <v/>
      </c>
      <c r="F585" s="8" t="n"/>
      <c r="G585" s="8" t="n"/>
      <c r="H585" s="7">
        <f>IF(A585="","",IF(OR(F585="",G585=""),"UNMAPPED","ok"))</f>
        <v/>
      </c>
    </row>
    <row r="586">
      <c r="A586" s="8" t="n"/>
      <c r="B586" s="8" t="n"/>
      <c r="C586" s="9" t="n"/>
      <c r="D586" s="9" t="n"/>
      <c r="E586" s="10">
        <f>IF(A586="","",N(C586)-N(D586))</f>
        <v/>
      </c>
      <c r="F586" s="8" t="n"/>
      <c r="G586" s="8" t="n"/>
      <c r="H586" s="7">
        <f>IF(A586="","",IF(OR(F586="",G586=""),"UNMAPPED","ok"))</f>
        <v/>
      </c>
    </row>
    <row r="587">
      <c r="A587" s="8" t="n"/>
      <c r="B587" s="8" t="n"/>
      <c r="C587" s="9" t="n"/>
      <c r="D587" s="9" t="n"/>
      <c r="E587" s="10">
        <f>IF(A587="","",N(C587)-N(D587))</f>
        <v/>
      </c>
      <c r="F587" s="8" t="n"/>
      <c r="G587" s="8" t="n"/>
      <c r="H587" s="7">
        <f>IF(A587="","",IF(OR(F587="",G587=""),"UNMAPPED","ok"))</f>
        <v/>
      </c>
    </row>
    <row r="588">
      <c r="A588" s="8" t="n"/>
      <c r="B588" s="8" t="n"/>
      <c r="C588" s="9" t="n"/>
      <c r="D588" s="9" t="n"/>
      <c r="E588" s="10">
        <f>IF(A588="","",N(C588)-N(D588))</f>
        <v/>
      </c>
      <c r="F588" s="8" t="n"/>
      <c r="G588" s="8" t="n"/>
      <c r="H588" s="7">
        <f>IF(A588="","",IF(OR(F588="",G588=""),"UNMAPPED","ok"))</f>
        <v/>
      </c>
    </row>
    <row r="589">
      <c r="A589" s="8" t="n"/>
      <c r="B589" s="8" t="n"/>
      <c r="C589" s="9" t="n"/>
      <c r="D589" s="9" t="n"/>
      <c r="E589" s="10">
        <f>IF(A589="","",N(C589)-N(D589))</f>
        <v/>
      </c>
      <c r="F589" s="8" t="n"/>
      <c r="G589" s="8" t="n"/>
      <c r="H589" s="7">
        <f>IF(A589="","",IF(OR(F589="",G589=""),"UNMAPPED","ok"))</f>
        <v/>
      </c>
    </row>
    <row r="590">
      <c r="A590" s="8" t="n"/>
      <c r="B590" s="8" t="n"/>
      <c r="C590" s="9" t="n"/>
      <c r="D590" s="9" t="n"/>
      <c r="E590" s="10">
        <f>IF(A590="","",N(C590)-N(D590))</f>
        <v/>
      </c>
      <c r="F590" s="8" t="n"/>
      <c r="G590" s="8" t="n"/>
      <c r="H590" s="7">
        <f>IF(A590="","",IF(OR(F590="",G590=""),"UNMAPPED","ok"))</f>
        <v/>
      </c>
    </row>
    <row r="591">
      <c r="A591" s="8" t="n"/>
      <c r="B591" s="8" t="n"/>
      <c r="C591" s="9" t="n"/>
      <c r="D591" s="9" t="n"/>
      <c r="E591" s="10">
        <f>IF(A591="","",N(C591)-N(D591))</f>
        <v/>
      </c>
      <c r="F591" s="8" t="n"/>
      <c r="G591" s="8" t="n"/>
      <c r="H591" s="7">
        <f>IF(A591="","",IF(OR(F591="",G591=""),"UNMAPPED","ok"))</f>
        <v/>
      </c>
    </row>
    <row r="592">
      <c r="A592" s="8" t="n"/>
      <c r="B592" s="8" t="n"/>
      <c r="C592" s="9" t="n"/>
      <c r="D592" s="9" t="n"/>
      <c r="E592" s="10">
        <f>IF(A592="","",N(C592)-N(D592))</f>
        <v/>
      </c>
      <c r="F592" s="8" t="n"/>
      <c r="G592" s="8" t="n"/>
      <c r="H592" s="7">
        <f>IF(A592="","",IF(OR(F592="",G592=""),"UNMAPPED","ok"))</f>
        <v/>
      </c>
    </row>
    <row r="593">
      <c r="A593" s="8" t="n"/>
      <c r="B593" s="8" t="n"/>
      <c r="C593" s="9" t="n"/>
      <c r="D593" s="9" t="n"/>
      <c r="E593" s="10">
        <f>IF(A593="","",N(C593)-N(D593))</f>
        <v/>
      </c>
      <c r="F593" s="8" t="n"/>
      <c r="G593" s="8" t="n"/>
      <c r="H593" s="7">
        <f>IF(A593="","",IF(OR(F593="",G593=""),"UNMAPPED","ok"))</f>
        <v/>
      </c>
    </row>
    <row r="594">
      <c r="A594" s="8" t="n"/>
      <c r="B594" s="8" t="n"/>
      <c r="C594" s="9" t="n"/>
      <c r="D594" s="9" t="n"/>
      <c r="E594" s="10">
        <f>IF(A594="","",N(C594)-N(D594))</f>
        <v/>
      </c>
      <c r="F594" s="8" t="n"/>
      <c r="G594" s="8" t="n"/>
      <c r="H594" s="7">
        <f>IF(A594="","",IF(OR(F594="",G594=""),"UNMAPPED","ok"))</f>
        <v/>
      </c>
    </row>
    <row r="595">
      <c r="A595" s="8" t="n"/>
      <c r="B595" s="8" t="n"/>
      <c r="C595" s="9" t="n"/>
      <c r="D595" s="9" t="n"/>
      <c r="E595" s="10">
        <f>IF(A595="","",N(C595)-N(D595))</f>
        <v/>
      </c>
      <c r="F595" s="8" t="n"/>
      <c r="G595" s="8" t="n"/>
      <c r="H595" s="7">
        <f>IF(A595="","",IF(OR(F595="",G595=""),"UNMAPPED","ok"))</f>
        <v/>
      </c>
    </row>
    <row r="596">
      <c r="A596" s="8" t="n"/>
      <c r="B596" s="8" t="n"/>
      <c r="C596" s="9" t="n"/>
      <c r="D596" s="9" t="n"/>
      <c r="E596" s="10">
        <f>IF(A596="","",N(C596)-N(D596))</f>
        <v/>
      </c>
      <c r="F596" s="8" t="n"/>
      <c r="G596" s="8" t="n"/>
      <c r="H596" s="7">
        <f>IF(A596="","",IF(OR(F596="",G596=""),"UNMAPPED","ok"))</f>
        <v/>
      </c>
    </row>
    <row r="597">
      <c r="A597" s="8" t="n"/>
      <c r="B597" s="8" t="n"/>
      <c r="C597" s="9" t="n"/>
      <c r="D597" s="9" t="n"/>
      <c r="E597" s="10">
        <f>IF(A597="","",N(C597)-N(D597))</f>
        <v/>
      </c>
      <c r="F597" s="8" t="n"/>
      <c r="G597" s="8" t="n"/>
      <c r="H597" s="7">
        <f>IF(A597="","",IF(OR(F597="",G597=""),"UNMAPPED","ok"))</f>
        <v/>
      </c>
    </row>
    <row r="598">
      <c r="A598" s="8" t="n"/>
      <c r="B598" s="8" t="n"/>
      <c r="C598" s="9" t="n"/>
      <c r="D598" s="9" t="n"/>
      <c r="E598" s="10">
        <f>IF(A598="","",N(C598)-N(D598))</f>
        <v/>
      </c>
      <c r="F598" s="8" t="n"/>
      <c r="G598" s="8" t="n"/>
      <c r="H598" s="7">
        <f>IF(A598="","",IF(OR(F598="",G598=""),"UNMAPPED","ok"))</f>
        <v/>
      </c>
    </row>
    <row r="599">
      <c r="A599" s="8" t="n"/>
      <c r="B599" s="8" t="n"/>
      <c r="C599" s="9" t="n"/>
      <c r="D599" s="9" t="n"/>
      <c r="E599" s="10">
        <f>IF(A599="","",N(C599)-N(D599))</f>
        <v/>
      </c>
      <c r="F599" s="8" t="n"/>
      <c r="G599" s="8" t="n"/>
      <c r="H599" s="7">
        <f>IF(A599="","",IF(OR(F599="",G599=""),"UNMAPPED","ok"))</f>
        <v/>
      </c>
    </row>
    <row r="600">
      <c r="A600" s="8" t="n"/>
      <c r="B600" s="8" t="n"/>
      <c r="C600" s="9" t="n"/>
      <c r="D600" s="9" t="n"/>
      <c r="E600" s="10">
        <f>IF(A600="","",N(C600)-N(D600))</f>
        <v/>
      </c>
      <c r="F600" s="8" t="n"/>
      <c r="G600" s="8" t="n"/>
      <c r="H600" s="7">
        <f>IF(A600="","",IF(OR(F600="",G600=""),"UNMAPPED","ok"))</f>
        <v/>
      </c>
    </row>
    <row r="601">
      <c r="A601" s="8" t="n"/>
      <c r="B601" s="8" t="n"/>
      <c r="C601" s="9" t="n"/>
      <c r="D601" s="9" t="n"/>
      <c r="E601" s="10">
        <f>IF(A601="","",N(C601)-N(D601))</f>
        <v/>
      </c>
      <c r="F601" s="8" t="n"/>
      <c r="G601" s="8" t="n"/>
      <c r="H601" s="7">
        <f>IF(A601="","",IF(OR(F601="",G601=""),"UNMAPPED","ok"))</f>
        <v/>
      </c>
    </row>
    <row r="602">
      <c r="A602" s="8" t="n"/>
      <c r="B602" s="8" t="n"/>
      <c r="C602" s="9" t="n"/>
      <c r="D602" s="9" t="n"/>
      <c r="E602" s="10">
        <f>IF(A602="","",N(C602)-N(D602))</f>
        <v/>
      </c>
      <c r="F602" s="8" t="n"/>
      <c r="G602" s="8" t="n"/>
      <c r="H602" s="7">
        <f>IF(A602="","",IF(OR(F602="",G602=""),"UNMAPPED","ok"))</f>
        <v/>
      </c>
    </row>
    <row r="603">
      <c r="A603" s="8" t="n"/>
      <c r="B603" s="8" t="n"/>
      <c r="C603" s="9" t="n"/>
      <c r="D603" s="9" t="n"/>
      <c r="E603" s="10">
        <f>IF(A603="","",N(C603)-N(D603))</f>
        <v/>
      </c>
      <c r="F603" s="8" t="n"/>
      <c r="G603" s="8" t="n"/>
      <c r="H603" s="7">
        <f>IF(A603="","",IF(OR(F603="",G603=""),"UNMAPPED","ok"))</f>
        <v/>
      </c>
    </row>
    <row r="604">
      <c r="A604" s="8" t="n"/>
      <c r="B604" s="8" t="n"/>
      <c r="C604" s="9" t="n"/>
      <c r="D604" s="9" t="n"/>
      <c r="E604" s="10">
        <f>IF(A604="","",N(C604)-N(D604))</f>
        <v/>
      </c>
      <c r="F604" s="8" t="n"/>
      <c r="G604" s="8" t="n"/>
      <c r="H604" s="7">
        <f>IF(A604="","",IF(OR(F604="",G604=""),"UNMAPPED","ok"))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TB summary</t>
        </is>
      </c>
    </row>
    <row r="2"/>
    <row r="3"/>
    <row r="4">
      <c r="A4" t="inlineStr">
        <is>
          <t>total debit</t>
        </is>
      </c>
      <c r="B4" s="10">
        <f>SUM(TrialBalance!C5:C604)</f>
        <v/>
      </c>
    </row>
    <row r="5">
      <c r="A5" t="inlineStr">
        <is>
          <t>total credit</t>
        </is>
      </c>
      <c r="B5" s="10">
        <f>SUM(TrialBalance!D5:D604)</f>
        <v/>
      </c>
    </row>
    <row r="6">
      <c r="A6" t="inlineStr">
        <is>
          <t>difference (must be 0)</t>
        </is>
      </c>
      <c r="B6" s="11">
        <f>B4-B5</f>
        <v/>
      </c>
    </row>
    <row r="7">
      <c r="A7" t="inlineStr">
        <is>
          <t>unmapped ledgers</t>
        </is>
      </c>
      <c r="B7" s="12">
        <f>COUNTIF(TrialBalance!H5:H604,"UNMAPPED")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2026-10-18T16:52:38Z</dcterms:created>
  <dcterms:modified xmlns:dcterms="http://purl.org/dc/terms/" xmlns:xsi="http://www.w3.org/2001/XMLSchema-instance" xsi:type="dcterms:W3CDTF">2026-10-18T16:52:39Z</dcterms:modified>
</cp:coreProperties>
</file>