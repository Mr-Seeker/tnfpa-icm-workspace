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Scorecard" sheetId="3" state="visible" r:id="rId3"/>
    <sheet xmlns:r="http://schemas.openxmlformats.org/officeDocument/2006/relationships" name="Index" sheetId="4" state="visible" r:id="rId4"/>
    <sheet xmlns:r="http://schemas.openxmlformats.org/officeDocument/2006/relationships" name="RPT" sheetId="5" state="visible" r:id="rId5"/>
    <sheet xmlns:r="http://schemas.openxmlformats.org/officeDocument/2006/relationships" name="CSR" sheetId="6" state="visible" r:id="rId6"/>
  </sheets>
  <definedNames>
    <definedName name="nw">'CSR'!$B$4</definedName>
    <definedName name="to">'CSR'!$B$5</definedName>
    <definedName name="np">'CSR'!$B$6</definedName>
    <definedName name="avgnp">'CSR'!$B$8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[Red]-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1" fontId="4" fillId="3" borderId="1" pivotButton="0" quotePrefix="0" xfId="0"/>
    <xf numFmtId="164" fontId="0" fillId="0" borderId="1" pivotButton="0" quotePrefix="0" xfId="0"/>
    <xf numFmtId="164" fontId="5" fillId="0" borderId="1" pivotButton="0" quotePrefix="0" xfId="0"/>
    <xf numFmtId="165" fontId="4" fillId="3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D28 · Ethical oversight &amp; governance culture</t>
        </is>
      </c>
    </row>
    <row r="2"/>
    <row r="3">
      <c r="A3" s="2" t="inlineStr">
        <is>
          <t>Domain D28: Ethical oversight &amp; governance culture.</t>
        </is>
      </c>
    </row>
    <row r="4">
      <c r="A4" s="2" t="inlineStr">
        <is>
          <t>Evidence-based governance scorecard, related-party transaction register with approval flags, CSR obligation, and the habits that keep forecasts honest.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companies/&lt;slug&gt;/domains/D28_ethics-governance-culture/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D10 evidence register  &lt;=  policies and minutes</t>
        </is>
      </c>
    </row>
    <row r="11">
      <c r="A11" s="2" t="inlineStr">
        <is>
          <t>W10 Gate 2  &lt;=  promotion approvals</t>
        </is>
      </c>
    </row>
    <row r="12">
      <c r="A12" s="2" t="inlineStr">
        <is>
          <t>K01 opex  &lt;=  CSR spend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IF(COUNTIF(C5:C6,"PASS")=COUNT(A5:A6),"PASS","FAIL")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scorecard weights sum to 100%</t>
        </is>
      </c>
      <c r="C5" s="7">
        <f>IF(ABS(Index!B5-1)&lt;1E-9,"PASS","FAIL")</f>
        <v/>
      </c>
    </row>
    <row r="6">
      <c r="A6" t="n">
        <v>2</v>
      </c>
      <c r="B6" t="inlineStr">
        <is>
          <t>scores within 0..3</t>
        </is>
      </c>
      <c r="C6" s="7">
        <f>IF(COUNTIF(Scorecard!D5:D34,"&gt;3")+COUNTIF(Scorecard!D5:D34,"&lt;0")=0,"PASS","FAIL")</f>
        <v/>
      </c>
    </row>
  </sheetData>
  <conditionalFormatting sqref="C3:C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13" customWidth="1" min="4" max="4"/>
    <col width="12" customWidth="1" min="5" max="5"/>
  </cols>
  <sheetData>
    <row r="1">
      <c r="A1" s="1" t="inlineStr">
        <is>
          <t>Governance &amp; ethics culture scorecard (evidence-based; score 0-3)</t>
        </is>
      </c>
    </row>
    <row r="2"/>
    <row r="3"/>
    <row r="4">
      <c r="A4" s="6" t="inlineStr">
        <is>
          <t>criterion</t>
        </is>
      </c>
      <c r="B4" s="6" t="inlineStr">
        <is>
          <t>weight</t>
        </is>
      </c>
      <c r="C4" s="6" t="inlineStr">
        <is>
          <t>evidence (file / link)</t>
        </is>
      </c>
      <c r="D4" s="6" t="inlineStr">
        <is>
          <t>score 0-3</t>
        </is>
      </c>
      <c r="E4" s="6" t="inlineStr">
        <is>
          <t>weighted</t>
        </is>
      </c>
    </row>
    <row r="5">
      <c r="A5" s="8" t="inlineStr">
        <is>
          <t>Code of conduct acknowledged by all staff this year</t>
        </is>
      </c>
      <c r="B5" s="9" t="n">
        <v>0.1</v>
      </c>
      <c r="C5" s="8" t="n"/>
      <c r="D5" s="10" t="n"/>
      <c r="E5" s="11">
        <f>IF(A5="","",B5*D5/3)</f>
        <v/>
      </c>
    </row>
    <row r="6">
      <c r="A6" s="8" t="inlineStr">
        <is>
          <t>Vigil mechanism / whistle-blower channel live (s.177, LODR Reg 22)</t>
        </is>
      </c>
      <c r="B6" s="9" t="n">
        <v>0.15</v>
      </c>
      <c r="C6" s="8" t="n"/>
      <c r="D6" s="10" t="n"/>
      <c r="E6" s="11">
        <f>IF(A6="","",B6*D6/3)</f>
        <v/>
      </c>
    </row>
    <row r="7">
      <c r="A7" s="8" t="inlineStr">
        <is>
          <t>Related-party transactions approved per s.188 / Reg 23</t>
        </is>
      </c>
      <c r="B7" s="9" t="n">
        <v>0.15</v>
      </c>
      <c r="C7" s="8" t="n"/>
      <c r="D7" s="10" t="n"/>
      <c r="E7" s="11">
        <f>IF(A7="","",B7*D7/3)</f>
        <v/>
      </c>
    </row>
    <row r="8">
      <c r="A8" s="8" t="inlineStr">
        <is>
          <t>POSH Internal Committee constituted, annual report filed</t>
        </is>
      </c>
      <c r="B8" s="9" t="n">
        <v>0.1</v>
      </c>
      <c r="C8" s="8" t="n"/>
      <c r="D8" s="10" t="n"/>
      <c r="E8" s="11">
        <f>IF(A8="","",B8*D8/3)</f>
        <v/>
      </c>
    </row>
    <row r="9">
      <c r="A9" s="8" t="inlineStr">
        <is>
          <t>Audit trail enabled in accounting software (Rule 3(1) Accounts Rules)</t>
        </is>
      </c>
      <c r="B9" s="9" t="n">
        <v>0.15</v>
      </c>
      <c r="C9" s="8" t="n"/>
      <c r="D9" s="10" t="n"/>
      <c r="E9" s="11">
        <f>IF(A9="","",B9*D9/3)</f>
        <v/>
      </c>
    </row>
    <row r="10">
      <c r="A10" s="8" t="inlineStr">
        <is>
          <t>CSR spend &amp; unspent account per s.135</t>
        </is>
      </c>
      <c r="B10" s="9" t="n">
        <v>0.1</v>
      </c>
      <c r="C10" s="8" t="n"/>
      <c r="D10" s="10" t="n"/>
      <c r="E10" s="11">
        <f>IF(A10="","",B10*D10/3)</f>
        <v/>
      </c>
    </row>
    <row r="11">
      <c r="A11" s="8" t="inlineStr">
        <is>
          <t>Board / audit committee minutes record challenge of forecasts</t>
        </is>
      </c>
      <c r="B11" s="9" t="n">
        <v>0.1</v>
      </c>
      <c r="C11" s="8" t="n"/>
      <c r="D11" s="10" t="n"/>
      <c r="E11" s="11">
        <f>IF(A11="","",B11*D11/3)</f>
        <v/>
      </c>
    </row>
    <row r="12">
      <c r="A12" s="8" t="inlineStr">
        <is>
          <t>Forecast champion promotions human-approved (K05)</t>
        </is>
      </c>
      <c r="B12" s="9" t="n">
        <v>0.15</v>
      </c>
      <c r="C12" s="8" t="n"/>
      <c r="D12" s="10" t="n"/>
      <c r="E12" s="11">
        <f>IF(A12="","",B12*D12/3)</f>
        <v/>
      </c>
    </row>
    <row r="13">
      <c r="A13" s="8" t="n"/>
      <c r="B13" s="9" t="n"/>
      <c r="C13" s="8" t="n"/>
      <c r="D13" s="10" t="n"/>
      <c r="E13" s="11">
        <f>IF(A13="","",B13*D13/3)</f>
        <v/>
      </c>
    </row>
    <row r="14">
      <c r="A14" s="8" t="n"/>
      <c r="B14" s="9" t="n"/>
      <c r="C14" s="8" t="n"/>
      <c r="D14" s="10" t="n"/>
      <c r="E14" s="11">
        <f>IF(A14="","",B14*D14/3)</f>
        <v/>
      </c>
    </row>
    <row r="15">
      <c r="A15" s="8" t="n"/>
      <c r="B15" s="9" t="n"/>
      <c r="C15" s="8" t="n"/>
      <c r="D15" s="10" t="n"/>
      <c r="E15" s="11">
        <f>IF(A15="","",B15*D15/3)</f>
        <v/>
      </c>
    </row>
    <row r="16">
      <c r="A16" s="8" t="n"/>
      <c r="B16" s="9" t="n"/>
      <c r="C16" s="8" t="n"/>
      <c r="D16" s="10" t="n"/>
      <c r="E16" s="11">
        <f>IF(A16="","",B16*D16/3)</f>
        <v/>
      </c>
    </row>
    <row r="17">
      <c r="A17" s="8" t="n"/>
      <c r="B17" s="9" t="n"/>
      <c r="C17" s="8" t="n"/>
      <c r="D17" s="10" t="n"/>
      <c r="E17" s="11">
        <f>IF(A17="","",B17*D17/3)</f>
        <v/>
      </c>
    </row>
    <row r="18">
      <c r="A18" s="8" t="n"/>
      <c r="B18" s="9" t="n"/>
      <c r="C18" s="8" t="n"/>
      <c r="D18" s="10" t="n"/>
      <c r="E18" s="11">
        <f>IF(A18="","",B18*D18/3)</f>
        <v/>
      </c>
    </row>
    <row r="19">
      <c r="A19" s="8" t="n"/>
      <c r="B19" s="9" t="n"/>
      <c r="C19" s="8" t="n"/>
      <c r="D19" s="10" t="n"/>
      <c r="E19" s="11">
        <f>IF(A19="","",B19*D19/3)</f>
        <v/>
      </c>
    </row>
    <row r="20">
      <c r="A20" s="8" t="n"/>
      <c r="B20" s="9" t="n"/>
      <c r="C20" s="8" t="n"/>
      <c r="D20" s="10" t="n"/>
      <c r="E20" s="11">
        <f>IF(A20="","",B20*D20/3)</f>
        <v/>
      </c>
    </row>
    <row r="21">
      <c r="A21" s="8" t="n"/>
      <c r="B21" s="9" t="n"/>
      <c r="C21" s="8" t="n"/>
      <c r="D21" s="10" t="n"/>
      <c r="E21" s="11">
        <f>IF(A21="","",B21*D21/3)</f>
        <v/>
      </c>
    </row>
    <row r="22">
      <c r="A22" s="8" t="n"/>
      <c r="B22" s="9" t="n"/>
      <c r="C22" s="8" t="n"/>
      <c r="D22" s="10" t="n"/>
      <c r="E22" s="11">
        <f>IF(A22="","",B22*D22/3)</f>
        <v/>
      </c>
    </row>
    <row r="23">
      <c r="A23" s="8" t="n"/>
      <c r="B23" s="9" t="n"/>
      <c r="C23" s="8" t="n"/>
      <c r="D23" s="10" t="n"/>
      <c r="E23" s="11">
        <f>IF(A23="","",B23*D23/3)</f>
        <v/>
      </c>
    </row>
    <row r="24">
      <c r="A24" s="8" t="n"/>
      <c r="B24" s="9" t="n"/>
      <c r="C24" s="8" t="n"/>
      <c r="D24" s="10" t="n"/>
      <c r="E24" s="11">
        <f>IF(A24="","",B24*D24/3)</f>
        <v/>
      </c>
    </row>
    <row r="25">
      <c r="A25" s="8" t="n"/>
      <c r="B25" s="9" t="n"/>
      <c r="C25" s="8" t="n"/>
      <c r="D25" s="10" t="n"/>
      <c r="E25" s="11">
        <f>IF(A25="","",B25*D25/3)</f>
        <v/>
      </c>
    </row>
    <row r="26">
      <c r="A26" s="8" t="n"/>
      <c r="B26" s="9" t="n"/>
      <c r="C26" s="8" t="n"/>
      <c r="D26" s="10" t="n"/>
      <c r="E26" s="11">
        <f>IF(A26="","",B26*D26/3)</f>
        <v/>
      </c>
    </row>
    <row r="27">
      <c r="A27" s="8" t="n"/>
      <c r="B27" s="9" t="n"/>
      <c r="C27" s="8" t="n"/>
      <c r="D27" s="10" t="n"/>
      <c r="E27" s="11">
        <f>IF(A27="","",B27*D27/3)</f>
        <v/>
      </c>
    </row>
    <row r="28">
      <c r="A28" s="8" t="n"/>
      <c r="B28" s="9" t="n"/>
      <c r="C28" s="8" t="n"/>
      <c r="D28" s="10" t="n"/>
      <c r="E28" s="11">
        <f>IF(A28="","",B28*D28/3)</f>
        <v/>
      </c>
    </row>
    <row r="29">
      <c r="A29" s="8" t="n"/>
      <c r="B29" s="9" t="n"/>
      <c r="C29" s="8" t="n"/>
      <c r="D29" s="10" t="n"/>
      <c r="E29" s="11">
        <f>IF(A29="","",B29*D29/3)</f>
        <v/>
      </c>
    </row>
    <row r="30">
      <c r="A30" s="8" t="n"/>
      <c r="B30" s="9" t="n"/>
      <c r="C30" s="8" t="n"/>
      <c r="D30" s="10" t="n"/>
      <c r="E30" s="11">
        <f>IF(A30="","",B30*D30/3)</f>
        <v/>
      </c>
    </row>
    <row r="31">
      <c r="A31" s="8" t="n"/>
      <c r="B31" s="9" t="n"/>
      <c r="C31" s="8" t="n"/>
      <c r="D31" s="10" t="n"/>
      <c r="E31" s="11">
        <f>IF(A31="","",B31*D31/3)</f>
        <v/>
      </c>
    </row>
    <row r="32">
      <c r="A32" s="8" t="n"/>
      <c r="B32" s="9" t="n"/>
      <c r="C32" s="8" t="n"/>
      <c r="D32" s="10" t="n"/>
      <c r="E32" s="11">
        <f>IF(A32="","",B32*D32/3)</f>
        <v/>
      </c>
    </row>
    <row r="33">
      <c r="A33" s="8" t="n"/>
      <c r="B33" s="9" t="n"/>
      <c r="C33" s="8" t="n"/>
      <c r="D33" s="10" t="n"/>
      <c r="E33" s="11">
        <f>IF(A33="","",B33*D33/3)</f>
        <v/>
      </c>
    </row>
    <row r="34">
      <c r="A34" s="8" t="n"/>
      <c r="B34" s="9" t="n"/>
      <c r="C34" s="8" t="n"/>
      <c r="D34" s="10" t="n"/>
      <c r="E34" s="11">
        <f>IF(A34="","",B34*D34/3)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Governance index</t>
        </is>
      </c>
    </row>
    <row r="2"/>
    <row r="3"/>
    <row r="4">
      <c r="A4" t="inlineStr">
        <is>
          <t>weighted index (0-100%)</t>
        </is>
      </c>
      <c r="B4" s="12">
        <f>SUM(Scorecard!E5:E34)</f>
        <v/>
      </c>
    </row>
    <row r="5">
      <c r="A5" t="inlineStr">
        <is>
          <t>weights sum</t>
        </is>
      </c>
      <c r="B5" s="11">
        <f>SUM(Scorecard!B5:B34)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4" customWidth="1" min="4" max="4"/>
    <col width="26" customWidth="1" min="5" max="5"/>
    <col width="24" customWidth="1" min="6" max="6"/>
    <col width="40" customWidth="1" min="7" max="7"/>
    <col width="19" customWidth="1" min="8" max="8"/>
  </cols>
  <sheetData>
    <row r="1">
      <c r="A1" s="1" t="inlineStr">
        <is>
          <t>Related-party transactions register</t>
        </is>
      </c>
    </row>
    <row r="2"/>
    <row r="3"/>
    <row r="4">
      <c r="A4" s="6" t="inlineStr">
        <is>
          <t>related party</t>
        </is>
      </c>
      <c r="B4" s="6" t="inlineStr">
        <is>
          <t>relationship</t>
        </is>
      </c>
      <c r="C4" s="6" t="inlineStr">
        <is>
          <t>nature</t>
        </is>
      </c>
      <c r="D4" s="6" t="inlineStr">
        <is>
          <t>amount (₹)</t>
        </is>
      </c>
      <c r="E4" s="6" t="inlineStr">
        <is>
          <t>arm's length? evidence</t>
        </is>
      </c>
      <c r="F4" s="6" t="inlineStr">
        <is>
          <t>ordinary course? y/n</t>
        </is>
      </c>
      <c r="G4" s="6" t="inlineStr">
        <is>
          <t>approval obtained (audit committee / board / shareholders)</t>
        </is>
      </c>
      <c r="H4" s="6" t="inlineStr">
        <is>
          <t>needs approval?</t>
        </is>
      </c>
    </row>
    <row r="5">
      <c r="A5" s="8" t="inlineStr">
        <is>
          <t>Promoter's spouse firm (Erode)</t>
        </is>
      </c>
      <c r="B5" s="8" t="inlineStr">
        <is>
          <t>relative of director</t>
        </is>
      </c>
      <c r="C5" s="8" t="inlineStr">
        <is>
          <t>job-work</t>
        </is>
      </c>
      <c r="D5" s="13" t="n">
        <v>3600000</v>
      </c>
      <c r="E5" s="8" t="inlineStr">
        <is>
          <t>quotes x3</t>
        </is>
      </c>
      <c r="F5" s="8" t="inlineStr">
        <is>
          <t>y</t>
        </is>
      </c>
      <c r="G5" s="8" t="inlineStr">
        <is>
          <t>audit committee</t>
        </is>
      </c>
      <c r="H5" s="7">
        <f>IF(A5="","",OR(LOWER(F5)="n",E5=""))</f>
        <v/>
      </c>
    </row>
    <row r="6">
      <c r="A6" s="8" t="n"/>
      <c r="B6" s="8" t="n"/>
      <c r="C6" s="8" t="n"/>
      <c r="D6" s="13" t="n"/>
      <c r="E6" s="8" t="n"/>
      <c r="F6" s="8" t="n"/>
      <c r="G6" s="8" t="n"/>
      <c r="H6" s="7">
        <f>IF(A6="","",OR(LOWER(F6)="n",E6=""))</f>
        <v/>
      </c>
    </row>
    <row r="7">
      <c r="A7" s="8" t="n"/>
      <c r="B7" s="8" t="n"/>
      <c r="C7" s="8" t="n"/>
      <c r="D7" s="13" t="n"/>
      <c r="E7" s="8" t="n"/>
      <c r="F7" s="8" t="n"/>
      <c r="G7" s="8" t="n"/>
      <c r="H7" s="7">
        <f>IF(A7="","",OR(LOWER(F7)="n",E7=""))</f>
        <v/>
      </c>
    </row>
    <row r="8">
      <c r="A8" s="8" t="n"/>
      <c r="B8" s="8" t="n"/>
      <c r="C8" s="8" t="n"/>
      <c r="D8" s="13" t="n"/>
      <c r="E8" s="8" t="n"/>
      <c r="F8" s="8" t="n"/>
      <c r="G8" s="8" t="n"/>
      <c r="H8" s="7">
        <f>IF(A8="","",OR(LOWER(F8)="n",E8=""))</f>
        <v/>
      </c>
    </row>
    <row r="9">
      <c r="A9" s="8" t="n"/>
      <c r="B9" s="8" t="n"/>
      <c r="C9" s="8" t="n"/>
      <c r="D9" s="13" t="n"/>
      <c r="E9" s="8" t="n"/>
      <c r="F9" s="8" t="n"/>
      <c r="G9" s="8" t="n"/>
      <c r="H9" s="7">
        <f>IF(A9="","",OR(LOWER(F9)="n",E9=""))</f>
        <v/>
      </c>
    </row>
    <row r="10">
      <c r="A10" s="8" t="n"/>
      <c r="B10" s="8" t="n"/>
      <c r="C10" s="8" t="n"/>
      <c r="D10" s="13" t="n"/>
      <c r="E10" s="8" t="n"/>
      <c r="F10" s="8" t="n"/>
      <c r="G10" s="8" t="n"/>
      <c r="H10" s="7">
        <f>IF(A10="","",OR(LOWER(F10)="n",E10=""))</f>
        <v/>
      </c>
    </row>
    <row r="11">
      <c r="A11" s="8" t="n"/>
      <c r="B11" s="8" t="n"/>
      <c r="C11" s="8" t="n"/>
      <c r="D11" s="13" t="n"/>
      <c r="E11" s="8" t="n"/>
      <c r="F11" s="8" t="n"/>
      <c r="G11" s="8" t="n"/>
      <c r="H11" s="7">
        <f>IF(A11="","",OR(LOWER(F11)="n",E11=""))</f>
        <v/>
      </c>
    </row>
    <row r="12">
      <c r="A12" s="8" t="n"/>
      <c r="B12" s="8" t="n"/>
      <c r="C12" s="8" t="n"/>
      <c r="D12" s="13" t="n"/>
      <c r="E12" s="8" t="n"/>
      <c r="F12" s="8" t="n"/>
      <c r="G12" s="8" t="n"/>
      <c r="H12" s="7">
        <f>IF(A12="","",OR(LOWER(F12)="n",E12=""))</f>
        <v/>
      </c>
    </row>
    <row r="13">
      <c r="A13" s="8" t="n"/>
      <c r="B13" s="8" t="n"/>
      <c r="C13" s="8" t="n"/>
      <c r="D13" s="13" t="n"/>
      <c r="E13" s="8" t="n"/>
      <c r="F13" s="8" t="n"/>
      <c r="G13" s="8" t="n"/>
      <c r="H13" s="7">
        <f>IF(A13="","",OR(LOWER(F13)="n",E13=""))</f>
        <v/>
      </c>
    </row>
    <row r="14">
      <c r="A14" s="8" t="n"/>
      <c r="B14" s="8" t="n"/>
      <c r="C14" s="8" t="n"/>
      <c r="D14" s="13" t="n"/>
      <c r="E14" s="8" t="n"/>
      <c r="F14" s="8" t="n"/>
      <c r="G14" s="8" t="n"/>
      <c r="H14" s="7">
        <f>IF(A14="","",OR(LOWER(F14)="n",E14=""))</f>
        <v/>
      </c>
    </row>
    <row r="15">
      <c r="A15" s="8" t="n"/>
      <c r="B15" s="8" t="n"/>
      <c r="C15" s="8" t="n"/>
      <c r="D15" s="13" t="n"/>
      <c r="E15" s="8" t="n"/>
      <c r="F15" s="8" t="n"/>
      <c r="G15" s="8" t="n"/>
      <c r="H15" s="7">
        <f>IF(A15="","",OR(LOWER(F15)="n",E15=""))</f>
        <v/>
      </c>
    </row>
    <row r="16">
      <c r="A16" s="8" t="n"/>
      <c r="B16" s="8" t="n"/>
      <c r="C16" s="8" t="n"/>
      <c r="D16" s="13" t="n"/>
      <c r="E16" s="8" t="n"/>
      <c r="F16" s="8" t="n"/>
      <c r="G16" s="8" t="n"/>
      <c r="H16" s="7">
        <f>IF(A16="","",OR(LOWER(F16)="n",E16=""))</f>
        <v/>
      </c>
    </row>
    <row r="17">
      <c r="A17" s="8" t="n"/>
      <c r="B17" s="8" t="n"/>
      <c r="C17" s="8" t="n"/>
      <c r="D17" s="13" t="n"/>
      <c r="E17" s="8" t="n"/>
      <c r="F17" s="8" t="n"/>
      <c r="G17" s="8" t="n"/>
      <c r="H17" s="7">
        <f>IF(A17="","",OR(LOWER(F17)="n",E17=""))</f>
        <v/>
      </c>
    </row>
    <row r="18">
      <c r="A18" s="8" t="n"/>
      <c r="B18" s="8" t="n"/>
      <c r="C18" s="8" t="n"/>
      <c r="D18" s="13" t="n"/>
      <c r="E18" s="8" t="n"/>
      <c r="F18" s="8" t="n"/>
      <c r="G18" s="8" t="n"/>
      <c r="H18" s="7">
        <f>IF(A18="","",OR(LOWER(F18)="n",E18=""))</f>
        <v/>
      </c>
    </row>
    <row r="19">
      <c r="A19" s="8" t="n"/>
      <c r="B19" s="8" t="n"/>
      <c r="C19" s="8" t="n"/>
      <c r="D19" s="13" t="n"/>
      <c r="E19" s="8" t="n"/>
      <c r="F19" s="8" t="n"/>
      <c r="G19" s="8" t="n"/>
      <c r="H19" s="7">
        <f>IF(A19="","",OR(LOWER(F19)="n",E19=""))</f>
        <v/>
      </c>
    </row>
    <row r="20">
      <c r="A20" s="8" t="n"/>
      <c r="B20" s="8" t="n"/>
      <c r="C20" s="8" t="n"/>
      <c r="D20" s="13" t="n"/>
      <c r="E20" s="8" t="n"/>
      <c r="F20" s="8" t="n"/>
      <c r="G20" s="8" t="n"/>
      <c r="H20" s="7">
        <f>IF(A20="","",OR(LOWER(F20)="n",E20=""))</f>
        <v/>
      </c>
    </row>
    <row r="21">
      <c r="A21" s="8" t="n"/>
      <c r="B21" s="8" t="n"/>
      <c r="C21" s="8" t="n"/>
      <c r="D21" s="13" t="n"/>
      <c r="E21" s="8" t="n"/>
      <c r="F21" s="8" t="n"/>
      <c r="G21" s="8" t="n"/>
      <c r="H21" s="7">
        <f>IF(A21="","",OR(LOWER(F21)="n",E21=""))</f>
        <v/>
      </c>
    </row>
    <row r="22">
      <c r="A22" s="8" t="n"/>
      <c r="B22" s="8" t="n"/>
      <c r="C22" s="8" t="n"/>
      <c r="D22" s="13" t="n"/>
      <c r="E22" s="8" t="n"/>
      <c r="F22" s="8" t="n"/>
      <c r="G22" s="8" t="n"/>
      <c r="H22" s="7">
        <f>IF(A22="","",OR(LOWER(F22)="n",E22=""))</f>
        <v/>
      </c>
    </row>
    <row r="23">
      <c r="A23" s="8" t="n"/>
      <c r="B23" s="8" t="n"/>
      <c r="C23" s="8" t="n"/>
      <c r="D23" s="13" t="n"/>
      <c r="E23" s="8" t="n"/>
      <c r="F23" s="8" t="n"/>
      <c r="G23" s="8" t="n"/>
      <c r="H23" s="7">
        <f>IF(A23="","",OR(LOWER(F23)="n",E23=""))</f>
        <v/>
      </c>
    </row>
    <row r="24">
      <c r="A24" s="8" t="n"/>
      <c r="B24" s="8" t="n"/>
      <c r="C24" s="8" t="n"/>
      <c r="D24" s="13" t="n"/>
      <c r="E24" s="8" t="n"/>
      <c r="F24" s="8" t="n"/>
      <c r="G24" s="8" t="n"/>
      <c r="H24" s="7">
        <f>IF(A24="","",OR(LOWER(F24)="n",E24=""))</f>
        <v/>
      </c>
    </row>
    <row r="25">
      <c r="A25" s="8" t="n"/>
      <c r="B25" s="8" t="n"/>
      <c r="C25" s="8" t="n"/>
      <c r="D25" s="13" t="n"/>
      <c r="E25" s="8" t="n"/>
      <c r="F25" s="8" t="n"/>
      <c r="G25" s="8" t="n"/>
      <c r="H25" s="7">
        <f>IF(A25="","",OR(LOWER(F25)="n",E25=""))</f>
        <v/>
      </c>
    </row>
    <row r="26">
      <c r="A26" s="8" t="n"/>
      <c r="B26" s="8" t="n"/>
      <c r="C26" s="8" t="n"/>
      <c r="D26" s="13" t="n"/>
      <c r="E26" s="8" t="n"/>
      <c r="F26" s="8" t="n"/>
      <c r="G26" s="8" t="n"/>
      <c r="H26" s="7">
        <f>IF(A26="","",OR(LOWER(F26)="n",E26=""))</f>
        <v/>
      </c>
    </row>
    <row r="27">
      <c r="A27" s="8" t="n"/>
      <c r="B27" s="8" t="n"/>
      <c r="C27" s="8" t="n"/>
      <c r="D27" s="13" t="n"/>
      <c r="E27" s="8" t="n"/>
      <c r="F27" s="8" t="n"/>
      <c r="G27" s="8" t="n"/>
      <c r="H27" s="7">
        <f>IF(A27="","",OR(LOWER(F27)="n",E27=""))</f>
        <v/>
      </c>
    </row>
    <row r="28">
      <c r="A28" s="8" t="n"/>
      <c r="B28" s="8" t="n"/>
      <c r="C28" s="8" t="n"/>
      <c r="D28" s="13" t="n"/>
      <c r="E28" s="8" t="n"/>
      <c r="F28" s="8" t="n"/>
      <c r="G28" s="8" t="n"/>
      <c r="H28" s="7">
        <f>IF(A28="","",OR(LOWER(F28)="n",E28=""))</f>
        <v/>
      </c>
    </row>
    <row r="29">
      <c r="A29" s="8" t="n"/>
      <c r="B29" s="8" t="n"/>
      <c r="C29" s="8" t="n"/>
      <c r="D29" s="13" t="n"/>
      <c r="E29" s="8" t="n"/>
      <c r="F29" s="8" t="n"/>
      <c r="G29" s="8" t="n"/>
      <c r="H29" s="7">
        <f>IF(A29="","",OR(LOWER(F29)="n",E29=""))</f>
        <v/>
      </c>
    </row>
    <row r="30">
      <c r="A30" s="8" t="n"/>
      <c r="B30" s="8" t="n"/>
      <c r="C30" s="8" t="n"/>
      <c r="D30" s="13" t="n"/>
      <c r="E30" s="8" t="n"/>
      <c r="F30" s="8" t="n"/>
      <c r="G30" s="8" t="n"/>
      <c r="H30" s="7">
        <f>IF(A30="","",OR(LOWER(F30)="n",E30=""))</f>
        <v/>
      </c>
    </row>
    <row r="31">
      <c r="A31" s="8" t="n"/>
      <c r="B31" s="8" t="n"/>
      <c r="C31" s="8" t="n"/>
      <c r="D31" s="13" t="n"/>
      <c r="E31" s="8" t="n"/>
      <c r="F31" s="8" t="n"/>
      <c r="G31" s="8" t="n"/>
      <c r="H31" s="7">
        <f>IF(A31="","",OR(LOWER(F31)="n",E31=""))</f>
        <v/>
      </c>
    </row>
    <row r="32">
      <c r="A32" s="8" t="n"/>
      <c r="B32" s="8" t="n"/>
      <c r="C32" s="8" t="n"/>
      <c r="D32" s="13" t="n"/>
      <c r="E32" s="8" t="n"/>
      <c r="F32" s="8" t="n"/>
      <c r="G32" s="8" t="n"/>
      <c r="H32" s="7">
        <f>IF(A32="","",OR(LOWER(F32)="n",E32=""))</f>
        <v/>
      </c>
    </row>
    <row r="33">
      <c r="A33" s="8" t="n"/>
      <c r="B33" s="8" t="n"/>
      <c r="C33" s="8" t="n"/>
      <c r="D33" s="13" t="n"/>
      <c r="E33" s="8" t="n"/>
      <c r="F33" s="8" t="n"/>
      <c r="G33" s="8" t="n"/>
      <c r="H33" s="7">
        <f>IF(A33="","",OR(LOWER(F33)="n",E33=""))</f>
        <v/>
      </c>
    </row>
    <row r="34">
      <c r="A34" s="8" t="n"/>
      <c r="B34" s="8" t="n"/>
      <c r="C34" s="8" t="n"/>
      <c r="D34" s="13" t="n"/>
      <c r="E34" s="8" t="n"/>
      <c r="F34" s="8" t="n"/>
      <c r="G34" s="8" t="n"/>
      <c r="H34" s="7">
        <f>IF(A34="","",OR(LOWER(F34)="n",E34=""))</f>
        <v/>
      </c>
    </row>
    <row r="35">
      <c r="A35" s="8" t="n"/>
      <c r="B35" s="8" t="n"/>
      <c r="C35" s="8" t="n"/>
      <c r="D35" s="13" t="n"/>
      <c r="E35" s="8" t="n"/>
      <c r="F35" s="8" t="n"/>
      <c r="G35" s="8" t="n"/>
      <c r="H35" s="7">
        <f>IF(A35="","",OR(LOWER(F35)="n",E35=""))</f>
        <v/>
      </c>
    </row>
    <row r="36">
      <c r="A36" s="8" t="n"/>
      <c r="B36" s="8" t="n"/>
      <c r="C36" s="8" t="n"/>
      <c r="D36" s="13" t="n"/>
      <c r="E36" s="8" t="n"/>
      <c r="F36" s="8" t="n"/>
      <c r="G36" s="8" t="n"/>
      <c r="H36" s="7">
        <f>IF(A36="","",OR(LOWER(F36)="n",E36=""))</f>
        <v/>
      </c>
    </row>
    <row r="37">
      <c r="A37" s="8" t="n"/>
      <c r="B37" s="8" t="n"/>
      <c r="C37" s="8" t="n"/>
      <c r="D37" s="13" t="n"/>
      <c r="E37" s="8" t="n"/>
      <c r="F37" s="8" t="n"/>
      <c r="G37" s="8" t="n"/>
      <c r="H37" s="7">
        <f>IF(A37="","",OR(LOWER(F37)="n",E37=""))</f>
        <v/>
      </c>
    </row>
    <row r="38">
      <c r="A38" s="8" t="n"/>
      <c r="B38" s="8" t="n"/>
      <c r="C38" s="8" t="n"/>
      <c r="D38" s="13" t="n"/>
      <c r="E38" s="8" t="n"/>
      <c r="F38" s="8" t="n"/>
      <c r="G38" s="8" t="n"/>
      <c r="H38" s="7">
        <f>IF(A38="","",OR(LOWER(F38)="n",E38=""))</f>
        <v/>
      </c>
    </row>
    <row r="39">
      <c r="A39" s="8" t="n"/>
      <c r="B39" s="8" t="n"/>
      <c r="C39" s="8" t="n"/>
      <c r="D39" s="13" t="n"/>
      <c r="E39" s="8" t="n"/>
      <c r="F39" s="8" t="n"/>
      <c r="G39" s="8" t="n"/>
      <c r="H39" s="7">
        <f>IF(A39="","",OR(LOWER(F39)="n",E39=""))</f>
        <v/>
      </c>
    </row>
    <row r="40">
      <c r="A40" s="8" t="n"/>
      <c r="B40" s="8" t="n"/>
      <c r="C40" s="8" t="n"/>
      <c r="D40" s="13" t="n"/>
      <c r="E40" s="8" t="n"/>
      <c r="F40" s="8" t="n"/>
      <c r="G40" s="8" t="n"/>
      <c r="H40" s="7">
        <f>IF(A40="","",OR(LOWER(F40)="n",E40=""))</f>
        <v/>
      </c>
    </row>
    <row r="41">
      <c r="A41" s="8" t="n"/>
      <c r="B41" s="8" t="n"/>
      <c r="C41" s="8" t="n"/>
      <c r="D41" s="13" t="n"/>
      <c r="E41" s="8" t="n"/>
      <c r="F41" s="8" t="n"/>
      <c r="G41" s="8" t="n"/>
      <c r="H41" s="7">
        <f>IF(A41="","",OR(LOWER(F41)="n",E41=""))</f>
        <v/>
      </c>
    </row>
    <row r="42">
      <c r="A42" s="8" t="n"/>
      <c r="B42" s="8" t="n"/>
      <c r="C42" s="8" t="n"/>
      <c r="D42" s="13" t="n"/>
      <c r="E42" s="8" t="n"/>
      <c r="F42" s="8" t="n"/>
      <c r="G42" s="8" t="n"/>
      <c r="H42" s="7">
        <f>IF(A42="","",OR(LOWER(F42)="n",E42=""))</f>
        <v/>
      </c>
    </row>
    <row r="43">
      <c r="A43" s="8" t="n"/>
      <c r="B43" s="8" t="n"/>
      <c r="C43" s="8" t="n"/>
      <c r="D43" s="13" t="n"/>
      <c r="E43" s="8" t="n"/>
      <c r="F43" s="8" t="n"/>
      <c r="G43" s="8" t="n"/>
      <c r="H43" s="7">
        <f>IF(A43="","",OR(LOWER(F43)="n",E43=""))</f>
        <v/>
      </c>
    </row>
    <row r="44">
      <c r="A44" s="8" t="n"/>
      <c r="B44" s="8" t="n"/>
      <c r="C44" s="8" t="n"/>
      <c r="D44" s="13" t="n"/>
      <c r="E44" s="8" t="n"/>
      <c r="F44" s="8" t="n"/>
      <c r="G44" s="8" t="n"/>
      <c r="H44" s="7">
        <f>IF(A44="","",OR(LOWER(F44)="n",E44=""))</f>
        <v/>
      </c>
    </row>
    <row r="45">
      <c r="A45" s="8" t="n"/>
      <c r="B45" s="8" t="n"/>
      <c r="C45" s="8" t="n"/>
      <c r="D45" s="13" t="n"/>
      <c r="E45" s="8" t="n"/>
      <c r="F45" s="8" t="n"/>
      <c r="G45" s="8" t="n"/>
      <c r="H45" s="7">
        <f>IF(A45="","",OR(LOWER(F45)="n",E45=""))</f>
        <v/>
      </c>
    </row>
    <row r="46">
      <c r="A46" s="8" t="n"/>
      <c r="B46" s="8" t="n"/>
      <c r="C46" s="8" t="n"/>
      <c r="D46" s="13" t="n"/>
      <c r="E46" s="8" t="n"/>
      <c r="F46" s="8" t="n"/>
      <c r="G46" s="8" t="n"/>
      <c r="H46" s="7">
        <f>IF(A46="","",OR(LOWER(F46)="n",E46=""))</f>
        <v/>
      </c>
    </row>
    <row r="47">
      <c r="A47" s="8" t="n"/>
      <c r="B47" s="8" t="n"/>
      <c r="C47" s="8" t="n"/>
      <c r="D47" s="13" t="n"/>
      <c r="E47" s="8" t="n"/>
      <c r="F47" s="8" t="n"/>
      <c r="G47" s="8" t="n"/>
      <c r="H47" s="7">
        <f>IF(A47="","",OR(LOWER(F47)="n",E47=""))</f>
        <v/>
      </c>
    </row>
    <row r="48">
      <c r="A48" s="8" t="n"/>
      <c r="B48" s="8" t="n"/>
      <c r="C48" s="8" t="n"/>
      <c r="D48" s="13" t="n"/>
      <c r="E48" s="8" t="n"/>
      <c r="F48" s="8" t="n"/>
      <c r="G48" s="8" t="n"/>
      <c r="H48" s="7">
        <f>IF(A48="","",OR(LOWER(F48)="n",E48=""))</f>
        <v/>
      </c>
    </row>
    <row r="49">
      <c r="A49" s="8" t="n"/>
      <c r="B49" s="8" t="n"/>
      <c r="C49" s="8" t="n"/>
      <c r="D49" s="13" t="n"/>
      <c r="E49" s="8" t="n"/>
      <c r="F49" s="8" t="n"/>
      <c r="G49" s="8" t="n"/>
      <c r="H49" s="7">
        <f>IF(A49="","",OR(LOWER(F49)="n",E49=""))</f>
        <v/>
      </c>
    </row>
    <row r="50">
      <c r="A50" s="8" t="n"/>
      <c r="B50" s="8" t="n"/>
      <c r="C50" s="8" t="n"/>
      <c r="D50" s="13" t="n"/>
      <c r="E50" s="8" t="n"/>
      <c r="F50" s="8" t="n"/>
      <c r="G50" s="8" t="n"/>
      <c r="H50" s="7">
        <f>IF(A50="","",OR(LOWER(F50)="n",E50=""))</f>
        <v/>
      </c>
    </row>
    <row r="51">
      <c r="A51" s="8" t="n"/>
      <c r="B51" s="8" t="n"/>
      <c r="C51" s="8" t="n"/>
      <c r="D51" s="13" t="n"/>
      <c r="E51" s="8" t="n"/>
      <c r="F51" s="8" t="n"/>
      <c r="G51" s="8" t="n"/>
      <c r="H51" s="7">
        <f>IF(A51="","",OR(LOWER(F51)="n",E51=""))</f>
        <v/>
      </c>
    </row>
    <row r="52">
      <c r="A52" s="8" t="n"/>
      <c r="B52" s="8" t="n"/>
      <c r="C52" s="8" t="n"/>
      <c r="D52" s="13" t="n"/>
      <c r="E52" s="8" t="n"/>
      <c r="F52" s="8" t="n"/>
      <c r="G52" s="8" t="n"/>
      <c r="H52" s="7">
        <f>IF(A52="","",OR(LOWER(F52)="n",E52=""))</f>
        <v/>
      </c>
    </row>
    <row r="53">
      <c r="A53" s="8" t="n"/>
      <c r="B53" s="8" t="n"/>
      <c r="C53" s="8" t="n"/>
      <c r="D53" s="13" t="n"/>
      <c r="E53" s="8" t="n"/>
      <c r="F53" s="8" t="n"/>
      <c r="G53" s="8" t="n"/>
      <c r="H53" s="7">
        <f>IF(A53="","",OR(LOWER(F53)="n",E53=""))</f>
        <v/>
      </c>
    </row>
    <row r="54">
      <c r="A54" s="8" t="n"/>
      <c r="B54" s="8" t="n"/>
      <c r="C54" s="8" t="n"/>
      <c r="D54" s="13" t="n"/>
      <c r="E54" s="8" t="n"/>
      <c r="F54" s="8" t="n"/>
      <c r="G54" s="8" t="n"/>
      <c r="H54" s="7">
        <f>IF(A54="","",OR(LOWER(F54)="n",E54=""))</f>
        <v/>
      </c>
    </row>
    <row r="55">
      <c r="A55" s="8" t="n"/>
      <c r="B55" s="8" t="n"/>
      <c r="C55" s="8" t="n"/>
      <c r="D55" s="13" t="n"/>
      <c r="E55" s="8" t="n"/>
      <c r="F55" s="8" t="n"/>
      <c r="G55" s="8" t="n"/>
      <c r="H55" s="7">
        <f>IF(A55="","",OR(LOWER(F55)="n",E55=""))</f>
        <v/>
      </c>
    </row>
    <row r="56">
      <c r="A56" s="8" t="n"/>
      <c r="B56" s="8" t="n"/>
      <c r="C56" s="8" t="n"/>
      <c r="D56" s="13" t="n"/>
      <c r="E56" s="8" t="n"/>
      <c r="F56" s="8" t="n"/>
      <c r="G56" s="8" t="n"/>
      <c r="H56" s="7">
        <f>IF(A56="","",OR(LOWER(F56)="n",E56=""))</f>
        <v/>
      </c>
    </row>
    <row r="57">
      <c r="A57" s="8" t="n"/>
      <c r="B57" s="8" t="n"/>
      <c r="C57" s="8" t="n"/>
      <c r="D57" s="13" t="n"/>
      <c r="E57" s="8" t="n"/>
      <c r="F57" s="8" t="n"/>
      <c r="G57" s="8" t="n"/>
      <c r="H57" s="7">
        <f>IF(A57="","",OR(LOWER(F57)="n",E57=""))</f>
        <v/>
      </c>
    </row>
    <row r="58">
      <c r="A58" s="8" t="n"/>
      <c r="B58" s="8" t="n"/>
      <c r="C58" s="8" t="n"/>
      <c r="D58" s="13" t="n"/>
      <c r="E58" s="8" t="n"/>
      <c r="F58" s="8" t="n"/>
      <c r="G58" s="8" t="n"/>
      <c r="H58" s="7">
        <f>IF(A58="","",OR(LOWER(F58)="n",E58=""))</f>
        <v/>
      </c>
    </row>
    <row r="59">
      <c r="A59" s="8" t="n"/>
      <c r="B59" s="8" t="n"/>
      <c r="C59" s="8" t="n"/>
      <c r="D59" s="13" t="n"/>
      <c r="E59" s="8" t="n"/>
      <c r="F59" s="8" t="n"/>
      <c r="G59" s="8" t="n"/>
      <c r="H59" s="7">
        <f>IF(A59="","",OR(LOWER(F59)="n",E59=""))</f>
        <v/>
      </c>
    </row>
    <row r="60">
      <c r="A60" s="8" t="n"/>
      <c r="B60" s="8" t="n"/>
      <c r="C60" s="8" t="n"/>
      <c r="D60" s="13" t="n"/>
      <c r="E60" s="8" t="n"/>
      <c r="F60" s="8" t="n"/>
      <c r="G60" s="8" t="n"/>
      <c r="H60" s="7">
        <f>IF(A60="","",OR(LOWER(F60)="n",E60=""))</f>
        <v/>
      </c>
    </row>
    <row r="61">
      <c r="A61" s="8" t="n"/>
      <c r="B61" s="8" t="n"/>
      <c r="C61" s="8" t="n"/>
      <c r="D61" s="13" t="n"/>
      <c r="E61" s="8" t="n"/>
      <c r="F61" s="8" t="n"/>
      <c r="G61" s="8" t="n"/>
      <c r="H61" s="7">
        <f>IF(A61="","",OR(LOWER(F61)="n",E61=""))</f>
        <v/>
      </c>
    </row>
    <row r="62">
      <c r="A62" s="8" t="n"/>
      <c r="B62" s="8" t="n"/>
      <c r="C62" s="8" t="n"/>
      <c r="D62" s="13" t="n"/>
      <c r="E62" s="8" t="n"/>
      <c r="F62" s="8" t="n"/>
      <c r="G62" s="8" t="n"/>
      <c r="H62" s="7">
        <f>IF(A62="","",OR(LOWER(F62)="n",E62=""))</f>
        <v/>
      </c>
    </row>
    <row r="63">
      <c r="A63" s="8" t="n"/>
      <c r="B63" s="8" t="n"/>
      <c r="C63" s="8" t="n"/>
      <c r="D63" s="13" t="n"/>
      <c r="E63" s="8" t="n"/>
      <c r="F63" s="8" t="n"/>
      <c r="G63" s="8" t="n"/>
      <c r="H63" s="7">
        <f>IF(A63="","",OR(LOWER(F63)="n",E63=""))</f>
        <v/>
      </c>
    </row>
    <row r="64">
      <c r="A64" s="8" t="n"/>
      <c r="B64" s="8" t="n"/>
      <c r="C64" s="8" t="n"/>
      <c r="D64" s="13" t="n"/>
      <c r="E64" s="8" t="n"/>
      <c r="F64" s="8" t="n"/>
      <c r="G64" s="8" t="n"/>
      <c r="H64" s="7">
        <f>IF(A64="","",OR(LOWER(F64)="n",E64=""))</f>
        <v/>
      </c>
    </row>
    <row r="65">
      <c r="A65" s="8" t="n"/>
      <c r="B65" s="8" t="n"/>
      <c r="C65" s="8" t="n"/>
      <c r="D65" s="13" t="n"/>
      <c r="E65" s="8" t="n"/>
      <c r="F65" s="8" t="n"/>
      <c r="G65" s="8" t="n"/>
      <c r="H65" s="7">
        <f>IF(A65="","",OR(LOWER(F65)="n",E65=""))</f>
        <v/>
      </c>
    </row>
    <row r="66">
      <c r="A66" s="8" t="n"/>
      <c r="B66" s="8" t="n"/>
      <c r="C66" s="8" t="n"/>
      <c r="D66" s="13" t="n"/>
      <c r="E66" s="8" t="n"/>
      <c r="F66" s="8" t="n"/>
      <c r="G66" s="8" t="n"/>
      <c r="H66" s="7">
        <f>IF(A66="","",OR(LOWER(F66)="n",E66=""))</f>
        <v/>
      </c>
    </row>
    <row r="67">
      <c r="A67" s="8" t="n"/>
      <c r="B67" s="8" t="n"/>
      <c r="C67" s="8" t="n"/>
      <c r="D67" s="13" t="n"/>
      <c r="E67" s="8" t="n"/>
      <c r="F67" s="8" t="n"/>
      <c r="G67" s="8" t="n"/>
      <c r="H67" s="7">
        <f>IF(A67="","",OR(LOWER(F67)="n",E67=""))</f>
        <v/>
      </c>
    </row>
    <row r="68">
      <c r="A68" s="8" t="n"/>
      <c r="B68" s="8" t="n"/>
      <c r="C68" s="8" t="n"/>
      <c r="D68" s="13" t="n"/>
      <c r="E68" s="8" t="n"/>
      <c r="F68" s="8" t="n"/>
      <c r="G68" s="8" t="n"/>
      <c r="H68" s="7">
        <f>IF(A68="","",OR(LOWER(F68)="n",E68=""))</f>
        <v/>
      </c>
    </row>
    <row r="69">
      <c r="A69" s="8" t="n"/>
      <c r="B69" s="8" t="n"/>
      <c r="C69" s="8" t="n"/>
      <c r="D69" s="13" t="n"/>
      <c r="E69" s="8" t="n"/>
      <c r="F69" s="8" t="n"/>
      <c r="G69" s="8" t="n"/>
      <c r="H69" s="7">
        <f>IF(A69="","",OR(LOWER(F69)="n",E69=""))</f>
        <v/>
      </c>
    </row>
    <row r="70">
      <c r="A70" s="8" t="n"/>
      <c r="B70" s="8" t="n"/>
      <c r="C70" s="8" t="n"/>
      <c r="D70" s="13" t="n"/>
      <c r="E70" s="8" t="n"/>
      <c r="F70" s="8" t="n"/>
      <c r="G70" s="8" t="n"/>
      <c r="H70" s="7">
        <f>IF(A70="","",OR(LOWER(F70)="n",E70=""))</f>
        <v/>
      </c>
    </row>
    <row r="71">
      <c r="A71" s="8" t="n"/>
      <c r="B71" s="8" t="n"/>
      <c r="C71" s="8" t="n"/>
      <c r="D71" s="13" t="n"/>
      <c r="E71" s="8" t="n"/>
      <c r="F71" s="8" t="n"/>
      <c r="G71" s="8" t="n"/>
      <c r="H71" s="7">
        <f>IF(A71="","",OR(LOWER(F71)="n",E71=""))</f>
        <v/>
      </c>
    </row>
    <row r="72">
      <c r="A72" s="8" t="n"/>
      <c r="B72" s="8" t="n"/>
      <c r="C72" s="8" t="n"/>
      <c r="D72" s="13" t="n"/>
      <c r="E72" s="8" t="n"/>
      <c r="F72" s="8" t="n"/>
      <c r="G72" s="8" t="n"/>
      <c r="H72" s="7">
        <f>IF(A72="","",OR(LOWER(F72)="n",E72=""))</f>
        <v/>
      </c>
    </row>
    <row r="73">
      <c r="A73" s="8" t="n"/>
      <c r="B73" s="8" t="n"/>
      <c r="C73" s="8" t="n"/>
      <c r="D73" s="13" t="n"/>
      <c r="E73" s="8" t="n"/>
      <c r="F73" s="8" t="n"/>
      <c r="G73" s="8" t="n"/>
      <c r="H73" s="7">
        <f>IF(A73="","",OR(LOWER(F73)="n",E73=""))</f>
        <v/>
      </c>
    </row>
    <row r="74">
      <c r="A74" s="8" t="n"/>
      <c r="B74" s="8" t="n"/>
      <c r="C74" s="8" t="n"/>
      <c r="D74" s="13" t="n"/>
      <c r="E74" s="8" t="n"/>
      <c r="F74" s="8" t="n"/>
      <c r="G74" s="8" t="n"/>
      <c r="H74" s="7">
        <f>IF(A74="","",OR(LOWER(F74)="n",E74=""))</f>
        <v/>
      </c>
    </row>
    <row r="75">
      <c r="A75" s="8" t="n"/>
      <c r="B75" s="8" t="n"/>
      <c r="C75" s="8" t="n"/>
      <c r="D75" s="13" t="n"/>
      <c r="E75" s="8" t="n"/>
      <c r="F75" s="8" t="n"/>
      <c r="G75" s="8" t="n"/>
      <c r="H75" s="7">
        <f>IF(A75="","",OR(LOWER(F75)="n",E75=""))</f>
        <v/>
      </c>
    </row>
    <row r="76">
      <c r="A76" s="8" t="n"/>
      <c r="B76" s="8" t="n"/>
      <c r="C76" s="8" t="n"/>
      <c r="D76" s="13" t="n"/>
      <c r="E76" s="8" t="n"/>
      <c r="F76" s="8" t="n"/>
      <c r="G76" s="8" t="n"/>
      <c r="H76" s="7">
        <f>IF(A76="","",OR(LOWER(F76)="n",E76=""))</f>
        <v/>
      </c>
    </row>
    <row r="77">
      <c r="A77" s="8" t="n"/>
      <c r="B77" s="8" t="n"/>
      <c r="C77" s="8" t="n"/>
      <c r="D77" s="13" t="n"/>
      <c r="E77" s="8" t="n"/>
      <c r="F77" s="8" t="n"/>
      <c r="G77" s="8" t="n"/>
      <c r="H77" s="7">
        <f>IF(A77="","",OR(LOWER(F77)="n",E77=""))</f>
        <v/>
      </c>
    </row>
    <row r="78">
      <c r="A78" s="8" t="n"/>
      <c r="B78" s="8" t="n"/>
      <c r="C78" s="8" t="n"/>
      <c r="D78" s="13" t="n"/>
      <c r="E78" s="8" t="n"/>
      <c r="F78" s="8" t="n"/>
      <c r="G78" s="8" t="n"/>
      <c r="H78" s="7">
        <f>IF(A78="","",OR(LOWER(F78)="n",E78=""))</f>
        <v/>
      </c>
    </row>
    <row r="79">
      <c r="A79" s="8" t="n"/>
      <c r="B79" s="8" t="n"/>
      <c r="C79" s="8" t="n"/>
      <c r="D79" s="13" t="n"/>
      <c r="E79" s="8" t="n"/>
      <c r="F79" s="8" t="n"/>
      <c r="G79" s="8" t="n"/>
      <c r="H79" s="7">
        <f>IF(A79="","",OR(LOWER(F79)="n",E79=""))</f>
        <v/>
      </c>
    </row>
    <row r="80">
      <c r="A80" s="8" t="n"/>
      <c r="B80" s="8" t="n"/>
      <c r="C80" s="8" t="n"/>
      <c r="D80" s="13" t="n"/>
      <c r="E80" s="8" t="n"/>
      <c r="F80" s="8" t="n"/>
      <c r="G80" s="8" t="n"/>
      <c r="H80" s="7">
        <f>IF(A80="","",OR(LOWER(F80)="n",E80=""))</f>
        <v/>
      </c>
    </row>
    <row r="81">
      <c r="A81" s="8" t="n"/>
      <c r="B81" s="8" t="n"/>
      <c r="C81" s="8" t="n"/>
      <c r="D81" s="13" t="n"/>
      <c r="E81" s="8" t="n"/>
      <c r="F81" s="8" t="n"/>
      <c r="G81" s="8" t="n"/>
      <c r="H81" s="7">
        <f>IF(A81="","",OR(LOWER(F81)="n",E81=""))</f>
        <v/>
      </c>
    </row>
    <row r="82">
      <c r="A82" s="8" t="n"/>
      <c r="B82" s="8" t="n"/>
      <c r="C82" s="8" t="n"/>
      <c r="D82" s="13" t="n"/>
      <c r="E82" s="8" t="n"/>
      <c r="F82" s="8" t="n"/>
      <c r="G82" s="8" t="n"/>
      <c r="H82" s="7">
        <f>IF(A82="","",OR(LOWER(F82)="n",E82=""))</f>
        <v/>
      </c>
    </row>
    <row r="83">
      <c r="A83" s="8" t="n"/>
      <c r="B83" s="8" t="n"/>
      <c r="C83" s="8" t="n"/>
      <c r="D83" s="13" t="n"/>
      <c r="E83" s="8" t="n"/>
      <c r="F83" s="8" t="n"/>
      <c r="G83" s="8" t="n"/>
      <c r="H83" s="7">
        <f>IF(A83="","",OR(LOWER(F83)="n",E83=""))</f>
        <v/>
      </c>
    </row>
    <row r="84">
      <c r="A84" s="8" t="n"/>
      <c r="B84" s="8" t="n"/>
      <c r="C84" s="8" t="n"/>
      <c r="D84" s="13" t="n"/>
      <c r="E84" s="8" t="n"/>
      <c r="F84" s="8" t="n"/>
      <c r="G84" s="8" t="n"/>
      <c r="H84" s="7">
        <f>IF(A84="","",OR(LOWER(F84)="n",E84=""))</f>
        <v/>
      </c>
    </row>
    <row r="85">
      <c r="A85" s="8" t="n"/>
      <c r="B85" s="8" t="n"/>
      <c r="C85" s="8" t="n"/>
      <c r="D85" s="13" t="n"/>
      <c r="E85" s="8" t="n"/>
      <c r="F85" s="8" t="n"/>
      <c r="G85" s="8" t="n"/>
      <c r="H85" s="7">
        <f>IF(A85="","",OR(LOWER(F85)="n",E85=""))</f>
        <v/>
      </c>
    </row>
    <row r="86">
      <c r="A86" s="8" t="n"/>
      <c r="B86" s="8" t="n"/>
      <c r="C86" s="8" t="n"/>
      <c r="D86" s="13" t="n"/>
      <c r="E86" s="8" t="n"/>
      <c r="F86" s="8" t="n"/>
      <c r="G86" s="8" t="n"/>
      <c r="H86" s="7">
        <f>IF(A86="","",OR(LOWER(F86)="n",E86=""))</f>
        <v/>
      </c>
    </row>
    <row r="87">
      <c r="A87" s="8" t="n"/>
      <c r="B87" s="8" t="n"/>
      <c r="C87" s="8" t="n"/>
      <c r="D87" s="13" t="n"/>
      <c r="E87" s="8" t="n"/>
      <c r="F87" s="8" t="n"/>
      <c r="G87" s="8" t="n"/>
      <c r="H87" s="7">
        <f>IF(A87="","",OR(LOWER(F87)="n",E87=""))</f>
        <v/>
      </c>
    </row>
    <row r="88">
      <c r="A88" s="8" t="n"/>
      <c r="B88" s="8" t="n"/>
      <c r="C88" s="8" t="n"/>
      <c r="D88" s="13" t="n"/>
      <c r="E88" s="8" t="n"/>
      <c r="F88" s="8" t="n"/>
      <c r="G88" s="8" t="n"/>
      <c r="H88" s="7">
        <f>IF(A88="","",OR(LOWER(F88)="n",E88=""))</f>
        <v/>
      </c>
    </row>
    <row r="89">
      <c r="A89" s="8" t="n"/>
      <c r="B89" s="8" t="n"/>
      <c r="C89" s="8" t="n"/>
      <c r="D89" s="13" t="n"/>
      <c r="E89" s="8" t="n"/>
      <c r="F89" s="8" t="n"/>
      <c r="G89" s="8" t="n"/>
      <c r="H89" s="7">
        <f>IF(A89="","",OR(LOWER(F89)="n",E89=""))</f>
        <v/>
      </c>
    </row>
    <row r="90">
      <c r="A90" s="8" t="n"/>
      <c r="B90" s="8" t="n"/>
      <c r="C90" s="8" t="n"/>
      <c r="D90" s="13" t="n"/>
      <c r="E90" s="8" t="n"/>
      <c r="F90" s="8" t="n"/>
      <c r="G90" s="8" t="n"/>
      <c r="H90" s="7">
        <f>IF(A90="","",OR(LOWER(F90)="n",E90=""))</f>
        <v/>
      </c>
    </row>
    <row r="91">
      <c r="A91" s="8" t="n"/>
      <c r="B91" s="8" t="n"/>
      <c r="C91" s="8" t="n"/>
      <c r="D91" s="13" t="n"/>
      <c r="E91" s="8" t="n"/>
      <c r="F91" s="8" t="n"/>
      <c r="G91" s="8" t="n"/>
      <c r="H91" s="7">
        <f>IF(A91="","",OR(LOWER(F91)="n",E91=""))</f>
        <v/>
      </c>
    </row>
    <row r="92">
      <c r="A92" s="8" t="n"/>
      <c r="B92" s="8" t="n"/>
      <c r="C92" s="8" t="n"/>
      <c r="D92" s="13" t="n"/>
      <c r="E92" s="8" t="n"/>
      <c r="F92" s="8" t="n"/>
      <c r="G92" s="8" t="n"/>
      <c r="H92" s="7">
        <f>IF(A92="","",OR(LOWER(F92)="n",E92=""))</f>
        <v/>
      </c>
    </row>
    <row r="93">
      <c r="A93" s="8" t="n"/>
      <c r="B93" s="8" t="n"/>
      <c r="C93" s="8" t="n"/>
      <c r="D93" s="13" t="n"/>
      <c r="E93" s="8" t="n"/>
      <c r="F93" s="8" t="n"/>
      <c r="G93" s="8" t="n"/>
      <c r="H93" s="7">
        <f>IF(A93="","",OR(LOWER(F93)="n",E93=""))</f>
        <v/>
      </c>
    </row>
    <row r="94">
      <c r="A94" s="8" t="n"/>
      <c r="B94" s="8" t="n"/>
      <c r="C94" s="8" t="n"/>
      <c r="D94" s="13" t="n"/>
      <c r="E94" s="8" t="n"/>
      <c r="F94" s="8" t="n"/>
      <c r="G94" s="8" t="n"/>
      <c r="H94" s="7">
        <f>IF(A94="","",OR(LOWER(F94)="n",E94=""))</f>
        <v/>
      </c>
    </row>
    <row r="95">
      <c r="A95" s="8" t="n"/>
      <c r="B95" s="8" t="n"/>
      <c r="C95" s="8" t="n"/>
      <c r="D95" s="13" t="n"/>
      <c r="E95" s="8" t="n"/>
      <c r="F95" s="8" t="n"/>
      <c r="G95" s="8" t="n"/>
      <c r="H95" s="7">
        <f>IF(A95="","",OR(LOWER(F95)="n",E95=""))</f>
        <v/>
      </c>
    </row>
    <row r="96">
      <c r="A96" s="8" t="n"/>
      <c r="B96" s="8" t="n"/>
      <c r="C96" s="8" t="n"/>
      <c r="D96" s="13" t="n"/>
      <c r="E96" s="8" t="n"/>
      <c r="F96" s="8" t="n"/>
      <c r="G96" s="8" t="n"/>
      <c r="H96" s="7">
        <f>IF(A96="","",OR(LOWER(F96)="n",E96=""))</f>
        <v/>
      </c>
    </row>
    <row r="97">
      <c r="A97" s="8" t="n"/>
      <c r="B97" s="8" t="n"/>
      <c r="C97" s="8" t="n"/>
      <c r="D97" s="13" t="n"/>
      <c r="E97" s="8" t="n"/>
      <c r="F97" s="8" t="n"/>
      <c r="G97" s="8" t="n"/>
      <c r="H97" s="7">
        <f>IF(A97="","",OR(LOWER(F97)="n",E97=""))</f>
        <v/>
      </c>
    </row>
    <row r="98">
      <c r="A98" s="8" t="n"/>
      <c r="B98" s="8" t="n"/>
      <c r="C98" s="8" t="n"/>
      <c r="D98" s="13" t="n"/>
      <c r="E98" s="8" t="n"/>
      <c r="F98" s="8" t="n"/>
      <c r="G98" s="8" t="n"/>
      <c r="H98" s="7">
        <f>IF(A98="","",OR(LOWER(F98)="n",E98=""))</f>
        <v/>
      </c>
    </row>
    <row r="99">
      <c r="A99" s="8" t="n"/>
      <c r="B99" s="8" t="n"/>
      <c r="C99" s="8" t="n"/>
      <c r="D99" s="13" t="n"/>
      <c r="E99" s="8" t="n"/>
      <c r="F99" s="8" t="n"/>
      <c r="G99" s="8" t="n"/>
      <c r="H99" s="7">
        <f>IF(A99="","",OR(LOWER(F99)="n",E99=""))</f>
        <v/>
      </c>
    </row>
    <row r="100">
      <c r="A100" s="8" t="n"/>
      <c r="B100" s="8" t="n"/>
      <c r="C100" s="8" t="n"/>
      <c r="D100" s="13" t="n"/>
      <c r="E100" s="8" t="n"/>
      <c r="F100" s="8" t="n"/>
      <c r="G100" s="8" t="n"/>
      <c r="H100" s="7">
        <f>IF(A100="","",OR(LOWER(F100)="n",E100=""))</f>
        <v/>
      </c>
    </row>
    <row r="101">
      <c r="A101" s="8" t="n"/>
      <c r="B101" s="8" t="n"/>
      <c r="C101" s="8" t="n"/>
      <c r="D101" s="13" t="n"/>
      <c r="E101" s="8" t="n"/>
      <c r="F101" s="8" t="n"/>
      <c r="G101" s="8" t="n"/>
      <c r="H101" s="7">
        <f>IF(A101="","",OR(LOWER(F101)="n",E101=""))</f>
        <v/>
      </c>
    </row>
    <row r="102">
      <c r="A102" s="8" t="n"/>
      <c r="B102" s="8" t="n"/>
      <c r="C102" s="8" t="n"/>
      <c r="D102" s="13" t="n"/>
      <c r="E102" s="8" t="n"/>
      <c r="F102" s="8" t="n"/>
      <c r="G102" s="8" t="n"/>
      <c r="H102" s="7">
        <f>IF(A102="","",OR(LOWER(F102)="n",E102=""))</f>
        <v/>
      </c>
    </row>
    <row r="103">
      <c r="A103" s="8" t="n"/>
      <c r="B103" s="8" t="n"/>
      <c r="C103" s="8" t="n"/>
      <c r="D103" s="13" t="n"/>
      <c r="E103" s="8" t="n"/>
      <c r="F103" s="8" t="n"/>
      <c r="G103" s="8" t="n"/>
      <c r="H103" s="7">
        <f>IF(A103="","",OR(LOWER(F103)="n",E103=""))</f>
        <v/>
      </c>
    </row>
    <row r="104">
      <c r="A104" s="8" t="n"/>
      <c r="B104" s="8" t="n"/>
      <c r="C104" s="8" t="n"/>
      <c r="D104" s="13" t="n"/>
      <c r="E104" s="8" t="n"/>
      <c r="F104" s="8" t="n"/>
      <c r="G104" s="8" t="n"/>
      <c r="H104" s="7">
        <f>IF(A104="","",OR(LOWER(F104)="n",E104=""))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CSR obligation (s.135 Companies Act)</t>
        </is>
      </c>
    </row>
    <row r="2"/>
    <row r="3"/>
    <row r="4">
      <c r="A4" t="inlineStr">
        <is>
          <t>net worth</t>
        </is>
      </c>
      <c r="B4" s="13" t="n"/>
    </row>
    <row r="5">
      <c r="A5" t="inlineStr">
        <is>
          <t>turnover</t>
        </is>
      </c>
      <c r="B5" s="13" t="n"/>
    </row>
    <row r="6">
      <c r="A6" t="inlineStr">
        <is>
          <t>net profit (current FY, s.198)</t>
        </is>
      </c>
      <c r="B6" s="13" t="n"/>
    </row>
    <row r="7">
      <c r="A7" t="inlineStr">
        <is>
          <t>applicable? (NW &gt;= 500 cr or TO &gt;= 1000 cr or NP &gt;= 5 cr)</t>
        </is>
      </c>
      <c r="B7" s="5">
        <f>OR(N(CSR!$B$4)&gt;=5000000000,N(CSR!$B$5)&gt;=10000000000,N(CSR!$B$6)&gt;=50000000)</f>
        <v/>
      </c>
    </row>
    <row r="8">
      <c r="A8" t="inlineStr">
        <is>
          <t>average net profit of last 3 FYs (s.198)</t>
        </is>
      </c>
      <c r="B8" s="13" t="n"/>
    </row>
    <row r="9">
      <c r="A9" t="inlineStr">
        <is>
          <t>CSR obligation (2%)</t>
        </is>
      </c>
      <c r="B9" s="14">
        <f>IF(B7,MAX(0,0.02*N(CSR!$B$8)),0)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2026-10-18T16:52:49Z</dcterms:created>
  <dcterms:modified xmlns:dcterms="http://purl.org/dc/terms/" xmlns:xsi="http://www.w3.org/2001/XMLSchema-instance" xsi:type="dcterms:W3CDTF">2026-10-18T16:52:49Z</dcterms:modified>
</cp:coreProperties>
</file>