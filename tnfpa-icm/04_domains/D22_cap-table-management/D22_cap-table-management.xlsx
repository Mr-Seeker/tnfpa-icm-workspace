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Holders" sheetId="3" state="visible" r:id="rId3"/>
    <sheet xmlns:r="http://schemas.openxmlformats.org/officeDocument/2006/relationships" name="Round" sheetId="4" state="visible" r:id="rId4"/>
    <sheet xmlns:r="http://schemas.openxmlformats.org/officeDocument/2006/relationships" name="Waterfall" sheetId="5" state="visible" r:id="rId5"/>
  </sheets>
  <definedNames>
    <definedName name="pre_money">'Round'!$B$4</definedName>
    <definedName name="invest">'Round'!$B$5</definedName>
    <definedName name="pool_pct">'Round'!$B$6</definedName>
    <definedName name="pps">'Round'!$B$8</definedName>
    <definedName name="exit_v">'Waterfall'!$B$4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;[Red]-#,##0"/>
    <numFmt numFmtId="166" formatCode="0.0%"/>
    <numFmt numFmtId="167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b val="1"/>
      <color rgb="00FFFFFF"/>
    </font>
    <font>
      <color rgb="001F4E9E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1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4" fillId="3" borderId="1" pivotButton="0" quotePrefix="0" xfId="0"/>
    <xf numFmtId="167" fontId="5" fillId="0" borderId="1" pivotButton="0" quotePrefix="0" xfId="0"/>
    <xf numFmtId="3" fontId="5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D22 · Cap table management systems</t>
        </is>
      </c>
    </row>
    <row r="2"/>
    <row r="3">
      <c r="A3" s="2" t="inlineStr">
        <is>
          <t>Domain D22: Cap table management systems.</t>
        </is>
      </c>
    </row>
    <row r="4">
      <c r="A4" s="2" t="inlineStr">
        <is>
          <t>Fully diluted cap table, new-round pricing, ESOP pool top-up and a simple liquidation-preference waterfall.</t>
        </is>
      </c>
    </row>
    <row r="5">
      <c r="A5" s="3" t="inlineStr">
        <is>
          <t>How to use</t>
        </is>
      </c>
    </row>
    <row r="6">
      <c r="A6" s="2" t="inlineStr">
        <is>
          <t>Copy this workbook into companies/&lt;slug&gt;/domains/D22_cap-table-management/ before typing. Replace the SAMPLE rows (illustrative Tamil Nadu data) with company data.</t>
        </is>
      </c>
    </row>
    <row r="7">
      <c r="A7" s="2" t="inlineStr">
        <is>
          <t>Type only into pale-yellow cells; white cells are formulas. Checks › OVERALL must be PASS before any value feeds K01/K02.</t>
        </is>
      </c>
    </row>
    <row r="8">
      <c r="A8" s="2" t="inlineStr">
        <is>
          <t>Statutory rates are starting values - verify in 01_tamil-nadu/verification-register.md.</t>
        </is>
      </c>
    </row>
    <row r="9">
      <c r="A9" s="3" t="inlineStr">
        <is>
          <t>Feeds</t>
        </is>
      </c>
    </row>
    <row r="10">
      <c r="A10" s="2" t="inlineStr">
        <is>
          <t>D21 accretion/dilution  &lt;=  shares</t>
        </is>
      </c>
    </row>
    <row r="11">
      <c r="A11" s="2" t="inlineStr">
        <is>
          <t>D19 shareholding  &lt;=  categories</t>
        </is>
      </c>
    </row>
    <row r="12">
      <c r="A12" s="2" t="inlineStr">
        <is>
          <t>K01 opening cash  &lt;=  new money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</cols>
  <sheetData>
    <row r="1">
      <c r="A1" s="1" t="inlineStr">
        <is>
          <t>Checks - OVERALL must be PASS before this domain feeds the kernel</t>
        </is>
      </c>
    </row>
    <row r="2"/>
    <row r="3">
      <c r="B3" s="4" t="inlineStr">
        <is>
          <t>OVERALL</t>
        </is>
      </c>
      <c r="C3" s="5">
        <f>IF(COUNTIF(C5:C6,"PASS")=COUNT(A5:A6),"PASS","FAIL")</f>
        <v/>
      </c>
    </row>
    <row r="4">
      <c r="A4" s="6" t="inlineStr">
        <is>
          <t>#</t>
        </is>
      </c>
      <c r="B4" s="6" t="inlineStr">
        <is>
          <t>check</t>
        </is>
      </c>
      <c r="C4" s="6" t="inlineStr">
        <is>
          <t>result</t>
        </is>
      </c>
    </row>
    <row r="5">
      <c r="A5" t="n">
        <v>1</v>
      </c>
      <c r="B5" t="inlineStr">
        <is>
          <t>pre-round shares positive</t>
        </is>
      </c>
      <c r="C5" s="7">
        <f>IF(Round!B7&gt;0,"PASS","FAIL")</f>
        <v/>
      </c>
    </row>
    <row r="6">
      <c r="A6" t="n">
        <v>2</v>
      </c>
      <c r="B6" t="inlineStr">
        <is>
          <t>pool % below 50%</t>
        </is>
      </c>
      <c r="C6" s="7">
        <f>IF(Round!$B$6&lt;0.5,"PASS","FAIL")</f>
        <v/>
      </c>
    </row>
  </sheetData>
  <conditionalFormatting sqref="C3: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40" customWidth="1" min="4" max="4"/>
    <col width="36" customWidth="1" min="5" max="5"/>
    <col width="31" customWidth="1" min="6" max="6"/>
    <col width="21" customWidth="1" min="7" max="7"/>
    <col width="16" customWidth="1" min="8" max="8"/>
    <col width="30" customWidth="1" min="9" max="9"/>
  </cols>
  <sheetData>
    <row r="1">
      <c r="A1" s="1" t="inlineStr">
        <is>
          <t>Cap table (pre-round)</t>
        </is>
      </c>
    </row>
    <row r="2"/>
    <row r="3"/>
    <row r="4">
      <c r="A4" s="6" t="inlineStr">
        <is>
          <t>holder</t>
        </is>
      </c>
      <c r="B4" s="6" t="inlineStr">
        <is>
          <t>class (equity / CCPS / ESOP granted / ESOP pool unallocated)</t>
        </is>
      </c>
      <c r="C4" s="6" t="inlineStr">
        <is>
          <t>shares (as-converted)</t>
        </is>
      </c>
      <c r="D4" s="6" t="inlineStr">
        <is>
          <t>liquidation preference multiple (CCPS)</t>
        </is>
      </c>
      <c r="E4" s="6" t="inlineStr">
        <is>
          <t>invested amount (for preference)</t>
        </is>
      </c>
      <c r="F4" s="6" t="inlineStr">
        <is>
          <t>pre-round % (fully diluted)</t>
        </is>
      </c>
      <c r="G4" s="6" t="inlineStr">
        <is>
          <t>post-round shares</t>
        </is>
      </c>
      <c r="H4" s="6" t="inlineStr">
        <is>
          <t>post-round %</t>
        </is>
      </c>
      <c r="I4" s="6" t="inlineStr">
        <is>
          <t>preference amount (helper)</t>
        </is>
      </c>
    </row>
    <row r="5">
      <c r="A5" s="8" t="inlineStr">
        <is>
          <t>Founders (Coimbatore)</t>
        </is>
      </c>
      <c r="B5" s="8" t="inlineStr">
        <is>
          <t>equity</t>
        </is>
      </c>
      <c r="C5" s="9" t="n">
        <v>8000000</v>
      </c>
      <c r="D5" s="10" t="n"/>
      <c r="E5" s="11" t="n"/>
      <c r="F5" s="12">
        <f>IF(A5="","",C5/SUM($C$5:$C$54))</f>
        <v/>
      </c>
      <c r="G5" s="13">
        <f>IF(A5="","",C5)</f>
        <v/>
      </c>
      <c r="H5" s="12">
        <f>IF(A5="","",G5/(SUM($G$5:$G$54)+Round!$B$9+Round!$B$10))</f>
        <v/>
      </c>
      <c r="I5" s="14">
        <f>IF(A5="","",N(D5)*N(E5))</f>
        <v/>
      </c>
    </row>
    <row r="6">
      <c r="A6" s="8" t="inlineStr">
        <is>
          <t>Angel syndicate</t>
        </is>
      </c>
      <c r="B6" s="8" t="inlineStr">
        <is>
          <t>CCPS</t>
        </is>
      </c>
      <c r="C6" s="9" t="n">
        <v>1200000</v>
      </c>
      <c r="D6" s="10" t="n">
        <v>1</v>
      </c>
      <c r="E6" s="11" t="n">
        <v>30000000</v>
      </c>
      <c r="F6" s="12">
        <f>IF(A6="","",C6/SUM($C$5:$C$54))</f>
        <v/>
      </c>
      <c r="G6" s="13">
        <f>IF(A6="","",C6)</f>
        <v/>
      </c>
      <c r="H6" s="12">
        <f>IF(A6="","",G6/(SUM($G$5:$G$54)+Round!$B$9+Round!$B$10))</f>
        <v/>
      </c>
      <c r="I6" s="14">
        <f>IF(A6="","",N(D6)*N(E6))</f>
        <v/>
      </c>
    </row>
    <row r="7">
      <c r="A7" s="8" t="inlineStr">
        <is>
          <t>ESOP granted</t>
        </is>
      </c>
      <c r="B7" s="8" t="inlineStr">
        <is>
          <t>ESOP granted</t>
        </is>
      </c>
      <c r="C7" s="9" t="n">
        <v>400000</v>
      </c>
      <c r="D7" s="10" t="n"/>
      <c r="E7" s="11" t="n"/>
      <c r="F7" s="12">
        <f>IF(A7="","",C7/SUM($C$5:$C$54))</f>
        <v/>
      </c>
      <c r="G7" s="13">
        <f>IF(A7="","",C7)</f>
        <v/>
      </c>
      <c r="H7" s="12">
        <f>IF(A7="","",G7/(SUM($G$5:$G$54)+Round!$B$9+Round!$B$10))</f>
        <v/>
      </c>
      <c r="I7" s="14">
        <f>IF(A7="","",N(D7)*N(E7))</f>
        <v/>
      </c>
    </row>
    <row r="8">
      <c r="A8" s="8" t="inlineStr">
        <is>
          <t>ESOP pool unallocated</t>
        </is>
      </c>
      <c r="B8" s="8" t="inlineStr">
        <is>
          <t>ESOP pool unallocated</t>
        </is>
      </c>
      <c r="C8" s="9" t="n">
        <v>400000</v>
      </c>
      <c r="D8" s="10" t="n"/>
      <c r="E8" s="11" t="n"/>
      <c r="F8" s="12">
        <f>IF(A8="","",C8/SUM($C$5:$C$54))</f>
        <v/>
      </c>
      <c r="G8" s="13">
        <f>IF(A8="","",C8)</f>
        <v/>
      </c>
      <c r="H8" s="12">
        <f>IF(A8="","",G8/(SUM($G$5:$G$54)+Round!$B$9+Round!$B$10))</f>
        <v/>
      </c>
      <c r="I8" s="14">
        <f>IF(A8="","",N(D8)*N(E8))</f>
        <v/>
      </c>
    </row>
    <row r="9">
      <c r="A9" s="8" t="n"/>
      <c r="B9" s="8" t="n"/>
      <c r="C9" s="9" t="n"/>
      <c r="D9" s="10" t="n"/>
      <c r="E9" s="11" t="n"/>
      <c r="F9" s="12">
        <f>IF(A9="","",C9/SUM($C$5:$C$54))</f>
        <v/>
      </c>
      <c r="G9" s="13">
        <f>IF(A9="","",C9)</f>
        <v/>
      </c>
      <c r="H9" s="12">
        <f>IF(A9="","",G9/(SUM($G$5:$G$54)+Round!$B$9+Round!$B$10))</f>
        <v/>
      </c>
      <c r="I9" s="14">
        <f>IF(A9="","",N(D9)*N(E9))</f>
        <v/>
      </c>
    </row>
    <row r="10">
      <c r="A10" s="8" t="n"/>
      <c r="B10" s="8" t="n"/>
      <c r="C10" s="9" t="n"/>
      <c r="D10" s="10" t="n"/>
      <c r="E10" s="11" t="n"/>
      <c r="F10" s="12">
        <f>IF(A10="","",C10/SUM($C$5:$C$54))</f>
        <v/>
      </c>
      <c r="G10" s="13">
        <f>IF(A10="","",C10)</f>
        <v/>
      </c>
      <c r="H10" s="12">
        <f>IF(A10="","",G10/(SUM($G$5:$G$54)+Round!$B$9+Round!$B$10))</f>
        <v/>
      </c>
      <c r="I10" s="14">
        <f>IF(A10="","",N(D10)*N(E10))</f>
        <v/>
      </c>
    </row>
    <row r="11">
      <c r="A11" s="8" t="n"/>
      <c r="B11" s="8" t="n"/>
      <c r="C11" s="9" t="n"/>
      <c r="D11" s="10" t="n"/>
      <c r="E11" s="11" t="n"/>
      <c r="F11" s="12">
        <f>IF(A11="","",C11/SUM($C$5:$C$54))</f>
        <v/>
      </c>
      <c r="G11" s="13">
        <f>IF(A11="","",C11)</f>
        <v/>
      </c>
      <c r="H11" s="12">
        <f>IF(A11="","",G11/(SUM($G$5:$G$54)+Round!$B$9+Round!$B$10))</f>
        <v/>
      </c>
      <c r="I11" s="14">
        <f>IF(A11="","",N(D11)*N(E11))</f>
        <v/>
      </c>
    </row>
    <row r="12">
      <c r="A12" s="8" t="n"/>
      <c r="B12" s="8" t="n"/>
      <c r="C12" s="9" t="n"/>
      <c r="D12" s="10" t="n"/>
      <c r="E12" s="11" t="n"/>
      <c r="F12" s="12">
        <f>IF(A12="","",C12/SUM($C$5:$C$54))</f>
        <v/>
      </c>
      <c r="G12" s="13">
        <f>IF(A12="","",C12)</f>
        <v/>
      </c>
      <c r="H12" s="12">
        <f>IF(A12="","",G12/(SUM($G$5:$G$54)+Round!$B$9+Round!$B$10))</f>
        <v/>
      </c>
      <c r="I12" s="14">
        <f>IF(A12="","",N(D12)*N(E12))</f>
        <v/>
      </c>
    </row>
    <row r="13">
      <c r="A13" s="8" t="n"/>
      <c r="B13" s="8" t="n"/>
      <c r="C13" s="9" t="n"/>
      <c r="D13" s="10" t="n"/>
      <c r="E13" s="11" t="n"/>
      <c r="F13" s="12">
        <f>IF(A13="","",C13/SUM($C$5:$C$54))</f>
        <v/>
      </c>
      <c r="G13" s="13">
        <f>IF(A13="","",C13)</f>
        <v/>
      </c>
      <c r="H13" s="12">
        <f>IF(A13="","",G13/(SUM($G$5:$G$54)+Round!$B$9+Round!$B$10))</f>
        <v/>
      </c>
      <c r="I13" s="14">
        <f>IF(A13="","",N(D13)*N(E13))</f>
        <v/>
      </c>
    </row>
    <row r="14">
      <c r="A14" s="8" t="n"/>
      <c r="B14" s="8" t="n"/>
      <c r="C14" s="9" t="n"/>
      <c r="D14" s="10" t="n"/>
      <c r="E14" s="11" t="n"/>
      <c r="F14" s="12">
        <f>IF(A14="","",C14/SUM($C$5:$C$54))</f>
        <v/>
      </c>
      <c r="G14" s="13">
        <f>IF(A14="","",C14)</f>
        <v/>
      </c>
      <c r="H14" s="12">
        <f>IF(A14="","",G14/(SUM($G$5:$G$54)+Round!$B$9+Round!$B$10))</f>
        <v/>
      </c>
      <c r="I14" s="14">
        <f>IF(A14="","",N(D14)*N(E14))</f>
        <v/>
      </c>
    </row>
    <row r="15">
      <c r="A15" s="8" t="n"/>
      <c r="B15" s="8" t="n"/>
      <c r="C15" s="9" t="n"/>
      <c r="D15" s="10" t="n"/>
      <c r="E15" s="11" t="n"/>
      <c r="F15" s="12">
        <f>IF(A15="","",C15/SUM($C$5:$C$54))</f>
        <v/>
      </c>
      <c r="G15" s="13">
        <f>IF(A15="","",C15)</f>
        <v/>
      </c>
      <c r="H15" s="12">
        <f>IF(A15="","",G15/(SUM($G$5:$G$54)+Round!$B$9+Round!$B$10))</f>
        <v/>
      </c>
      <c r="I15" s="14">
        <f>IF(A15="","",N(D15)*N(E15))</f>
        <v/>
      </c>
    </row>
    <row r="16">
      <c r="A16" s="8" t="n"/>
      <c r="B16" s="8" t="n"/>
      <c r="C16" s="9" t="n"/>
      <c r="D16" s="10" t="n"/>
      <c r="E16" s="11" t="n"/>
      <c r="F16" s="12">
        <f>IF(A16="","",C16/SUM($C$5:$C$54))</f>
        <v/>
      </c>
      <c r="G16" s="13">
        <f>IF(A16="","",C16)</f>
        <v/>
      </c>
      <c r="H16" s="12">
        <f>IF(A16="","",G16/(SUM($G$5:$G$54)+Round!$B$9+Round!$B$10))</f>
        <v/>
      </c>
      <c r="I16" s="14">
        <f>IF(A16="","",N(D16)*N(E16))</f>
        <v/>
      </c>
    </row>
    <row r="17">
      <c r="A17" s="8" t="n"/>
      <c r="B17" s="8" t="n"/>
      <c r="C17" s="9" t="n"/>
      <c r="D17" s="10" t="n"/>
      <c r="E17" s="11" t="n"/>
      <c r="F17" s="12">
        <f>IF(A17="","",C17/SUM($C$5:$C$54))</f>
        <v/>
      </c>
      <c r="G17" s="13">
        <f>IF(A17="","",C17)</f>
        <v/>
      </c>
      <c r="H17" s="12">
        <f>IF(A17="","",G17/(SUM($G$5:$G$54)+Round!$B$9+Round!$B$10))</f>
        <v/>
      </c>
      <c r="I17" s="14">
        <f>IF(A17="","",N(D17)*N(E17))</f>
        <v/>
      </c>
    </row>
    <row r="18">
      <c r="A18" s="8" t="n"/>
      <c r="B18" s="8" t="n"/>
      <c r="C18" s="9" t="n"/>
      <c r="D18" s="10" t="n"/>
      <c r="E18" s="11" t="n"/>
      <c r="F18" s="12">
        <f>IF(A18="","",C18/SUM($C$5:$C$54))</f>
        <v/>
      </c>
      <c r="G18" s="13">
        <f>IF(A18="","",C18)</f>
        <v/>
      </c>
      <c r="H18" s="12">
        <f>IF(A18="","",G18/(SUM($G$5:$G$54)+Round!$B$9+Round!$B$10))</f>
        <v/>
      </c>
      <c r="I18" s="14">
        <f>IF(A18="","",N(D18)*N(E18))</f>
        <v/>
      </c>
    </row>
    <row r="19">
      <c r="A19" s="8" t="n"/>
      <c r="B19" s="8" t="n"/>
      <c r="C19" s="9" t="n"/>
      <c r="D19" s="10" t="n"/>
      <c r="E19" s="11" t="n"/>
      <c r="F19" s="12">
        <f>IF(A19="","",C19/SUM($C$5:$C$54))</f>
        <v/>
      </c>
      <c r="G19" s="13">
        <f>IF(A19="","",C19)</f>
        <v/>
      </c>
      <c r="H19" s="12">
        <f>IF(A19="","",G19/(SUM($G$5:$G$54)+Round!$B$9+Round!$B$10))</f>
        <v/>
      </c>
      <c r="I19" s="14">
        <f>IF(A19="","",N(D19)*N(E19))</f>
        <v/>
      </c>
    </row>
    <row r="20">
      <c r="A20" s="8" t="n"/>
      <c r="B20" s="8" t="n"/>
      <c r="C20" s="9" t="n"/>
      <c r="D20" s="10" t="n"/>
      <c r="E20" s="11" t="n"/>
      <c r="F20" s="12">
        <f>IF(A20="","",C20/SUM($C$5:$C$54))</f>
        <v/>
      </c>
      <c r="G20" s="13">
        <f>IF(A20="","",C20)</f>
        <v/>
      </c>
      <c r="H20" s="12">
        <f>IF(A20="","",G20/(SUM($G$5:$G$54)+Round!$B$9+Round!$B$10))</f>
        <v/>
      </c>
      <c r="I20" s="14">
        <f>IF(A20="","",N(D20)*N(E20))</f>
        <v/>
      </c>
    </row>
    <row r="21">
      <c r="A21" s="8" t="n"/>
      <c r="B21" s="8" t="n"/>
      <c r="C21" s="9" t="n"/>
      <c r="D21" s="10" t="n"/>
      <c r="E21" s="11" t="n"/>
      <c r="F21" s="12">
        <f>IF(A21="","",C21/SUM($C$5:$C$54))</f>
        <v/>
      </c>
      <c r="G21" s="13">
        <f>IF(A21="","",C21)</f>
        <v/>
      </c>
      <c r="H21" s="12">
        <f>IF(A21="","",G21/(SUM($G$5:$G$54)+Round!$B$9+Round!$B$10))</f>
        <v/>
      </c>
      <c r="I21" s="14">
        <f>IF(A21="","",N(D21)*N(E21))</f>
        <v/>
      </c>
    </row>
    <row r="22">
      <c r="A22" s="8" t="n"/>
      <c r="B22" s="8" t="n"/>
      <c r="C22" s="9" t="n"/>
      <c r="D22" s="10" t="n"/>
      <c r="E22" s="11" t="n"/>
      <c r="F22" s="12">
        <f>IF(A22="","",C22/SUM($C$5:$C$54))</f>
        <v/>
      </c>
      <c r="G22" s="13">
        <f>IF(A22="","",C22)</f>
        <v/>
      </c>
      <c r="H22" s="12">
        <f>IF(A22="","",G22/(SUM($G$5:$G$54)+Round!$B$9+Round!$B$10))</f>
        <v/>
      </c>
      <c r="I22" s="14">
        <f>IF(A22="","",N(D22)*N(E22))</f>
        <v/>
      </c>
    </row>
    <row r="23">
      <c r="A23" s="8" t="n"/>
      <c r="B23" s="8" t="n"/>
      <c r="C23" s="9" t="n"/>
      <c r="D23" s="10" t="n"/>
      <c r="E23" s="11" t="n"/>
      <c r="F23" s="12">
        <f>IF(A23="","",C23/SUM($C$5:$C$54))</f>
        <v/>
      </c>
      <c r="G23" s="13">
        <f>IF(A23="","",C23)</f>
        <v/>
      </c>
      <c r="H23" s="12">
        <f>IF(A23="","",G23/(SUM($G$5:$G$54)+Round!$B$9+Round!$B$10))</f>
        <v/>
      </c>
      <c r="I23" s="14">
        <f>IF(A23="","",N(D23)*N(E23))</f>
        <v/>
      </c>
    </row>
    <row r="24">
      <c r="A24" s="8" t="n"/>
      <c r="B24" s="8" t="n"/>
      <c r="C24" s="9" t="n"/>
      <c r="D24" s="10" t="n"/>
      <c r="E24" s="11" t="n"/>
      <c r="F24" s="12">
        <f>IF(A24="","",C24/SUM($C$5:$C$54))</f>
        <v/>
      </c>
      <c r="G24" s="13">
        <f>IF(A24="","",C24)</f>
        <v/>
      </c>
      <c r="H24" s="12">
        <f>IF(A24="","",G24/(SUM($G$5:$G$54)+Round!$B$9+Round!$B$10))</f>
        <v/>
      </c>
      <c r="I24" s="14">
        <f>IF(A24="","",N(D24)*N(E24))</f>
        <v/>
      </c>
    </row>
    <row r="25">
      <c r="A25" s="8" t="n"/>
      <c r="B25" s="8" t="n"/>
      <c r="C25" s="9" t="n"/>
      <c r="D25" s="10" t="n"/>
      <c r="E25" s="11" t="n"/>
      <c r="F25" s="12">
        <f>IF(A25="","",C25/SUM($C$5:$C$54))</f>
        <v/>
      </c>
      <c r="G25" s="13">
        <f>IF(A25="","",C25)</f>
        <v/>
      </c>
      <c r="H25" s="12">
        <f>IF(A25="","",G25/(SUM($G$5:$G$54)+Round!$B$9+Round!$B$10))</f>
        <v/>
      </c>
      <c r="I25" s="14">
        <f>IF(A25="","",N(D25)*N(E25))</f>
        <v/>
      </c>
    </row>
    <row r="26">
      <c r="A26" s="8" t="n"/>
      <c r="B26" s="8" t="n"/>
      <c r="C26" s="9" t="n"/>
      <c r="D26" s="10" t="n"/>
      <c r="E26" s="11" t="n"/>
      <c r="F26" s="12">
        <f>IF(A26="","",C26/SUM($C$5:$C$54))</f>
        <v/>
      </c>
      <c r="G26" s="13">
        <f>IF(A26="","",C26)</f>
        <v/>
      </c>
      <c r="H26" s="12">
        <f>IF(A26="","",G26/(SUM($G$5:$G$54)+Round!$B$9+Round!$B$10))</f>
        <v/>
      </c>
      <c r="I26" s="14">
        <f>IF(A26="","",N(D26)*N(E26))</f>
        <v/>
      </c>
    </row>
    <row r="27">
      <c r="A27" s="8" t="n"/>
      <c r="B27" s="8" t="n"/>
      <c r="C27" s="9" t="n"/>
      <c r="D27" s="10" t="n"/>
      <c r="E27" s="11" t="n"/>
      <c r="F27" s="12">
        <f>IF(A27="","",C27/SUM($C$5:$C$54))</f>
        <v/>
      </c>
      <c r="G27" s="13">
        <f>IF(A27="","",C27)</f>
        <v/>
      </c>
      <c r="H27" s="12">
        <f>IF(A27="","",G27/(SUM($G$5:$G$54)+Round!$B$9+Round!$B$10))</f>
        <v/>
      </c>
      <c r="I27" s="14">
        <f>IF(A27="","",N(D27)*N(E27))</f>
        <v/>
      </c>
    </row>
    <row r="28">
      <c r="A28" s="8" t="n"/>
      <c r="B28" s="8" t="n"/>
      <c r="C28" s="9" t="n"/>
      <c r="D28" s="10" t="n"/>
      <c r="E28" s="11" t="n"/>
      <c r="F28" s="12">
        <f>IF(A28="","",C28/SUM($C$5:$C$54))</f>
        <v/>
      </c>
      <c r="G28" s="13">
        <f>IF(A28="","",C28)</f>
        <v/>
      </c>
      <c r="H28" s="12">
        <f>IF(A28="","",G28/(SUM($G$5:$G$54)+Round!$B$9+Round!$B$10))</f>
        <v/>
      </c>
      <c r="I28" s="14">
        <f>IF(A28="","",N(D28)*N(E28))</f>
        <v/>
      </c>
    </row>
    <row r="29">
      <c r="A29" s="8" t="n"/>
      <c r="B29" s="8" t="n"/>
      <c r="C29" s="9" t="n"/>
      <c r="D29" s="10" t="n"/>
      <c r="E29" s="11" t="n"/>
      <c r="F29" s="12">
        <f>IF(A29="","",C29/SUM($C$5:$C$54))</f>
        <v/>
      </c>
      <c r="G29" s="13">
        <f>IF(A29="","",C29)</f>
        <v/>
      </c>
      <c r="H29" s="12">
        <f>IF(A29="","",G29/(SUM($G$5:$G$54)+Round!$B$9+Round!$B$10))</f>
        <v/>
      </c>
      <c r="I29" s="14">
        <f>IF(A29="","",N(D29)*N(E29))</f>
        <v/>
      </c>
    </row>
    <row r="30">
      <c r="A30" s="8" t="n"/>
      <c r="B30" s="8" t="n"/>
      <c r="C30" s="9" t="n"/>
      <c r="D30" s="10" t="n"/>
      <c r="E30" s="11" t="n"/>
      <c r="F30" s="12">
        <f>IF(A30="","",C30/SUM($C$5:$C$54))</f>
        <v/>
      </c>
      <c r="G30" s="13">
        <f>IF(A30="","",C30)</f>
        <v/>
      </c>
      <c r="H30" s="12">
        <f>IF(A30="","",G30/(SUM($G$5:$G$54)+Round!$B$9+Round!$B$10))</f>
        <v/>
      </c>
      <c r="I30" s="14">
        <f>IF(A30="","",N(D30)*N(E30))</f>
        <v/>
      </c>
    </row>
    <row r="31">
      <c r="A31" s="8" t="n"/>
      <c r="B31" s="8" t="n"/>
      <c r="C31" s="9" t="n"/>
      <c r="D31" s="10" t="n"/>
      <c r="E31" s="11" t="n"/>
      <c r="F31" s="12">
        <f>IF(A31="","",C31/SUM($C$5:$C$54))</f>
        <v/>
      </c>
      <c r="G31" s="13">
        <f>IF(A31="","",C31)</f>
        <v/>
      </c>
      <c r="H31" s="12">
        <f>IF(A31="","",G31/(SUM($G$5:$G$54)+Round!$B$9+Round!$B$10))</f>
        <v/>
      </c>
      <c r="I31" s="14">
        <f>IF(A31="","",N(D31)*N(E31))</f>
        <v/>
      </c>
    </row>
    <row r="32">
      <c r="A32" s="8" t="n"/>
      <c r="B32" s="8" t="n"/>
      <c r="C32" s="9" t="n"/>
      <c r="D32" s="10" t="n"/>
      <c r="E32" s="11" t="n"/>
      <c r="F32" s="12">
        <f>IF(A32="","",C32/SUM($C$5:$C$54))</f>
        <v/>
      </c>
      <c r="G32" s="13">
        <f>IF(A32="","",C32)</f>
        <v/>
      </c>
      <c r="H32" s="12">
        <f>IF(A32="","",G32/(SUM($G$5:$G$54)+Round!$B$9+Round!$B$10))</f>
        <v/>
      </c>
      <c r="I32" s="14">
        <f>IF(A32="","",N(D32)*N(E32))</f>
        <v/>
      </c>
    </row>
    <row r="33">
      <c r="A33" s="8" t="n"/>
      <c r="B33" s="8" t="n"/>
      <c r="C33" s="9" t="n"/>
      <c r="D33" s="10" t="n"/>
      <c r="E33" s="11" t="n"/>
      <c r="F33" s="12">
        <f>IF(A33="","",C33/SUM($C$5:$C$54))</f>
        <v/>
      </c>
      <c r="G33" s="13">
        <f>IF(A33="","",C33)</f>
        <v/>
      </c>
      <c r="H33" s="12">
        <f>IF(A33="","",G33/(SUM($G$5:$G$54)+Round!$B$9+Round!$B$10))</f>
        <v/>
      </c>
      <c r="I33" s="14">
        <f>IF(A33="","",N(D33)*N(E33))</f>
        <v/>
      </c>
    </row>
    <row r="34">
      <c r="A34" s="8" t="n"/>
      <c r="B34" s="8" t="n"/>
      <c r="C34" s="9" t="n"/>
      <c r="D34" s="10" t="n"/>
      <c r="E34" s="11" t="n"/>
      <c r="F34" s="12">
        <f>IF(A34="","",C34/SUM($C$5:$C$54))</f>
        <v/>
      </c>
      <c r="G34" s="13">
        <f>IF(A34="","",C34)</f>
        <v/>
      </c>
      <c r="H34" s="12">
        <f>IF(A34="","",G34/(SUM($G$5:$G$54)+Round!$B$9+Round!$B$10))</f>
        <v/>
      </c>
      <c r="I34" s="14">
        <f>IF(A34="","",N(D34)*N(E34))</f>
        <v/>
      </c>
    </row>
    <row r="35">
      <c r="A35" s="8" t="n"/>
      <c r="B35" s="8" t="n"/>
      <c r="C35" s="9" t="n"/>
      <c r="D35" s="10" t="n"/>
      <c r="E35" s="11" t="n"/>
      <c r="F35" s="12">
        <f>IF(A35="","",C35/SUM($C$5:$C$54))</f>
        <v/>
      </c>
      <c r="G35" s="13">
        <f>IF(A35="","",C35)</f>
        <v/>
      </c>
      <c r="H35" s="12">
        <f>IF(A35="","",G35/(SUM($G$5:$G$54)+Round!$B$9+Round!$B$10))</f>
        <v/>
      </c>
      <c r="I35" s="14">
        <f>IF(A35="","",N(D35)*N(E35))</f>
        <v/>
      </c>
    </row>
    <row r="36">
      <c r="A36" s="8" t="n"/>
      <c r="B36" s="8" t="n"/>
      <c r="C36" s="9" t="n"/>
      <c r="D36" s="10" t="n"/>
      <c r="E36" s="11" t="n"/>
      <c r="F36" s="12">
        <f>IF(A36="","",C36/SUM($C$5:$C$54))</f>
        <v/>
      </c>
      <c r="G36" s="13">
        <f>IF(A36="","",C36)</f>
        <v/>
      </c>
      <c r="H36" s="12">
        <f>IF(A36="","",G36/(SUM($G$5:$G$54)+Round!$B$9+Round!$B$10))</f>
        <v/>
      </c>
      <c r="I36" s="14">
        <f>IF(A36="","",N(D36)*N(E36))</f>
        <v/>
      </c>
    </row>
    <row r="37">
      <c r="A37" s="8" t="n"/>
      <c r="B37" s="8" t="n"/>
      <c r="C37" s="9" t="n"/>
      <c r="D37" s="10" t="n"/>
      <c r="E37" s="11" t="n"/>
      <c r="F37" s="12">
        <f>IF(A37="","",C37/SUM($C$5:$C$54))</f>
        <v/>
      </c>
      <c r="G37" s="13">
        <f>IF(A37="","",C37)</f>
        <v/>
      </c>
      <c r="H37" s="12">
        <f>IF(A37="","",G37/(SUM($G$5:$G$54)+Round!$B$9+Round!$B$10))</f>
        <v/>
      </c>
      <c r="I37" s="14">
        <f>IF(A37="","",N(D37)*N(E37))</f>
        <v/>
      </c>
    </row>
    <row r="38">
      <c r="A38" s="8" t="n"/>
      <c r="B38" s="8" t="n"/>
      <c r="C38" s="9" t="n"/>
      <c r="D38" s="10" t="n"/>
      <c r="E38" s="11" t="n"/>
      <c r="F38" s="12">
        <f>IF(A38="","",C38/SUM($C$5:$C$54))</f>
        <v/>
      </c>
      <c r="G38" s="13">
        <f>IF(A38="","",C38)</f>
        <v/>
      </c>
      <c r="H38" s="12">
        <f>IF(A38="","",G38/(SUM($G$5:$G$54)+Round!$B$9+Round!$B$10))</f>
        <v/>
      </c>
      <c r="I38" s="14">
        <f>IF(A38="","",N(D38)*N(E38))</f>
        <v/>
      </c>
    </row>
    <row r="39">
      <c r="A39" s="8" t="n"/>
      <c r="B39" s="8" t="n"/>
      <c r="C39" s="9" t="n"/>
      <c r="D39" s="10" t="n"/>
      <c r="E39" s="11" t="n"/>
      <c r="F39" s="12">
        <f>IF(A39="","",C39/SUM($C$5:$C$54))</f>
        <v/>
      </c>
      <c r="G39" s="13">
        <f>IF(A39="","",C39)</f>
        <v/>
      </c>
      <c r="H39" s="12">
        <f>IF(A39="","",G39/(SUM($G$5:$G$54)+Round!$B$9+Round!$B$10))</f>
        <v/>
      </c>
      <c r="I39" s="14">
        <f>IF(A39="","",N(D39)*N(E39))</f>
        <v/>
      </c>
    </row>
    <row r="40">
      <c r="A40" s="8" t="n"/>
      <c r="B40" s="8" t="n"/>
      <c r="C40" s="9" t="n"/>
      <c r="D40" s="10" t="n"/>
      <c r="E40" s="11" t="n"/>
      <c r="F40" s="12">
        <f>IF(A40="","",C40/SUM($C$5:$C$54))</f>
        <v/>
      </c>
      <c r="G40" s="13">
        <f>IF(A40="","",C40)</f>
        <v/>
      </c>
      <c r="H40" s="12">
        <f>IF(A40="","",G40/(SUM($G$5:$G$54)+Round!$B$9+Round!$B$10))</f>
        <v/>
      </c>
      <c r="I40" s="14">
        <f>IF(A40="","",N(D40)*N(E40))</f>
        <v/>
      </c>
    </row>
    <row r="41">
      <c r="A41" s="8" t="n"/>
      <c r="B41" s="8" t="n"/>
      <c r="C41" s="9" t="n"/>
      <c r="D41" s="10" t="n"/>
      <c r="E41" s="11" t="n"/>
      <c r="F41" s="12">
        <f>IF(A41="","",C41/SUM($C$5:$C$54))</f>
        <v/>
      </c>
      <c r="G41" s="13">
        <f>IF(A41="","",C41)</f>
        <v/>
      </c>
      <c r="H41" s="12">
        <f>IF(A41="","",G41/(SUM($G$5:$G$54)+Round!$B$9+Round!$B$10))</f>
        <v/>
      </c>
      <c r="I41" s="14">
        <f>IF(A41="","",N(D41)*N(E41))</f>
        <v/>
      </c>
    </row>
    <row r="42">
      <c r="A42" s="8" t="n"/>
      <c r="B42" s="8" t="n"/>
      <c r="C42" s="9" t="n"/>
      <c r="D42" s="10" t="n"/>
      <c r="E42" s="11" t="n"/>
      <c r="F42" s="12">
        <f>IF(A42="","",C42/SUM($C$5:$C$54))</f>
        <v/>
      </c>
      <c r="G42" s="13">
        <f>IF(A42="","",C42)</f>
        <v/>
      </c>
      <c r="H42" s="12">
        <f>IF(A42="","",G42/(SUM($G$5:$G$54)+Round!$B$9+Round!$B$10))</f>
        <v/>
      </c>
      <c r="I42" s="14">
        <f>IF(A42="","",N(D42)*N(E42))</f>
        <v/>
      </c>
    </row>
    <row r="43">
      <c r="A43" s="8" t="n"/>
      <c r="B43" s="8" t="n"/>
      <c r="C43" s="9" t="n"/>
      <c r="D43" s="10" t="n"/>
      <c r="E43" s="11" t="n"/>
      <c r="F43" s="12">
        <f>IF(A43="","",C43/SUM($C$5:$C$54))</f>
        <v/>
      </c>
      <c r="G43" s="13">
        <f>IF(A43="","",C43)</f>
        <v/>
      </c>
      <c r="H43" s="12">
        <f>IF(A43="","",G43/(SUM($G$5:$G$54)+Round!$B$9+Round!$B$10))</f>
        <v/>
      </c>
      <c r="I43" s="14">
        <f>IF(A43="","",N(D43)*N(E43))</f>
        <v/>
      </c>
    </row>
    <row r="44">
      <c r="A44" s="8" t="n"/>
      <c r="B44" s="8" t="n"/>
      <c r="C44" s="9" t="n"/>
      <c r="D44" s="10" t="n"/>
      <c r="E44" s="11" t="n"/>
      <c r="F44" s="12">
        <f>IF(A44="","",C44/SUM($C$5:$C$54))</f>
        <v/>
      </c>
      <c r="G44" s="13">
        <f>IF(A44="","",C44)</f>
        <v/>
      </c>
      <c r="H44" s="12">
        <f>IF(A44="","",G44/(SUM($G$5:$G$54)+Round!$B$9+Round!$B$10))</f>
        <v/>
      </c>
      <c r="I44" s="14">
        <f>IF(A44="","",N(D44)*N(E44))</f>
        <v/>
      </c>
    </row>
    <row r="45">
      <c r="A45" s="8" t="n"/>
      <c r="B45" s="8" t="n"/>
      <c r="C45" s="9" t="n"/>
      <c r="D45" s="10" t="n"/>
      <c r="E45" s="11" t="n"/>
      <c r="F45" s="12">
        <f>IF(A45="","",C45/SUM($C$5:$C$54))</f>
        <v/>
      </c>
      <c r="G45" s="13">
        <f>IF(A45="","",C45)</f>
        <v/>
      </c>
      <c r="H45" s="12">
        <f>IF(A45="","",G45/(SUM($G$5:$G$54)+Round!$B$9+Round!$B$10))</f>
        <v/>
      </c>
      <c r="I45" s="14">
        <f>IF(A45="","",N(D45)*N(E45))</f>
        <v/>
      </c>
    </row>
    <row r="46">
      <c r="A46" s="8" t="n"/>
      <c r="B46" s="8" t="n"/>
      <c r="C46" s="9" t="n"/>
      <c r="D46" s="10" t="n"/>
      <c r="E46" s="11" t="n"/>
      <c r="F46" s="12">
        <f>IF(A46="","",C46/SUM($C$5:$C$54))</f>
        <v/>
      </c>
      <c r="G46" s="13">
        <f>IF(A46="","",C46)</f>
        <v/>
      </c>
      <c r="H46" s="12">
        <f>IF(A46="","",G46/(SUM($G$5:$G$54)+Round!$B$9+Round!$B$10))</f>
        <v/>
      </c>
      <c r="I46" s="14">
        <f>IF(A46="","",N(D46)*N(E46))</f>
        <v/>
      </c>
    </row>
    <row r="47">
      <c r="A47" s="8" t="n"/>
      <c r="B47" s="8" t="n"/>
      <c r="C47" s="9" t="n"/>
      <c r="D47" s="10" t="n"/>
      <c r="E47" s="11" t="n"/>
      <c r="F47" s="12">
        <f>IF(A47="","",C47/SUM($C$5:$C$54))</f>
        <v/>
      </c>
      <c r="G47" s="13">
        <f>IF(A47="","",C47)</f>
        <v/>
      </c>
      <c r="H47" s="12">
        <f>IF(A47="","",G47/(SUM($G$5:$G$54)+Round!$B$9+Round!$B$10))</f>
        <v/>
      </c>
      <c r="I47" s="14">
        <f>IF(A47="","",N(D47)*N(E47))</f>
        <v/>
      </c>
    </row>
    <row r="48">
      <c r="A48" s="8" t="n"/>
      <c r="B48" s="8" t="n"/>
      <c r="C48" s="9" t="n"/>
      <c r="D48" s="10" t="n"/>
      <c r="E48" s="11" t="n"/>
      <c r="F48" s="12">
        <f>IF(A48="","",C48/SUM($C$5:$C$54))</f>
        <v/>
      </c>
      <c r="G48" s="13">
        <f>IF(A48="","",C48)</f>
        <v/>
      </c>
      <c r="H48" s="12">
        <f>IF(A48="","",G48/(SUM($G$5:$G$54)+Round!$B$9+Round!$B$10))</f>
        <v/>
      </c>
      <c r="I48" s="14">
        <f>IF(A48="","",N(D48)*N(E48))</f>
        <v/>
      </c>
    </row>
    <row r="49">
      <c r="A49" s="8" t="n"/>
      <c r="B49" s="8" t="n"/>
      <c r="C49" s="9" t="n"/>
      <c r="D49" s="10" t="n"/>
      <c r="E49" s="11" t="n"/>
      <c r="F49" s="12">
        <f>IF(A49="","",C49/SUM($C$5:$C$54))</f>
        <v/>
      </c>
      <c r="G49" s="13">
        <f>IF(A49="","",C49)</f>
        <v/>
      </c>
      <c r="H49" s="12">
        <f>IF(A49="","",G49/(SUM($G$5:$G$54)+Round!$B$9+Round!$B$10))</f>
        <v/>
      </c>
      <c r="I49" s="14">
        <f>IF(A49="","",N(D49)*N(E49))</f>
        <v/>
      </c>
    </row>
    <row r="50">
      <c r="A50" s="8" t="n"/>
      <c r="B50" s="8" t="n"/>
      <c r="C50" s="9" t="n"/>
      <c r="D50" s="10" t="n"/>
      <c r="E50" s="11" t="n"/>
      <c r="F50" s="12">
        <f>IF(A50="","",C50/SUM($C$5:$C$54))</f>
        <v/>
      </c>
      <c r="G50" s="13">
        <f>IF(A50="","",C50)</f>
        <v/>
      </c>
      <c r="H50" s="12">
        <f>IF(A50="","",G50/(SUM($G$5:$G$54)+Round!$B$9+Round!$B$10))</f>
        <v/>
      </c>
      <c r="I50" s="14">
        <f>IF(A50="","",N(D50)*N(E50))</f>
        <v/>
      </c>
    </row>
    <row r="51">
      <c r="A51" s="8" t="n"/>
      <c r="B51" s="8" t="n"/>
      <c r="C51" s="9" t="n"/>
      <c r="D51" s="10" t="n"/>
      <c r="E51" s="11" t="n"/>
      <c r="F51" s="12">
        <f>IF(A51="","",C51/SUM($C$5:$C$54))</f>
        <v/>
      </c>
      <c r="G51" s="13">
        <f>IF(A51="","",C51)</f>
        <v/>
      </c>
      <c r="H51" s="12">
        <f>IF(A51="","",G51/(SUM($G$5:$G$54)+Round!$B$9+Round!$B$10))</f>
        <v/>
      </c>
      <c r="I51" s="14">
        <f>IF(A51="","",N(D51)*N(E51))</f>
        <v/>
      </c>
    </row>
    <row r="52">
      <c r="A52" s="8" t="n"/>
      <c r="B52" s="8" t="n"/>
      <c r="C52" s="9" t="n"/>
      <c r="D52" s="10" t="n"/>
      <c r="E52" s="11" t="n"/>
      <c r="F52" s="12">
        <f>IF(A52="","",C52/SUM($C$5:$C$54))</f>
        <v/>
      </c>
      <c r="G52" s="13">
        <f>IF(A52="","",C52)</f>
        <v/>
      </c>
      <c r="H52" s="12">
        <f>IF(A52="","",G52/(SUM($G$5:$G$54)+Round!$B$9+Round!$B$10))</f>
        <v/>
      </c>
      <c r="I52" s="14">
        <f>IF(A52="","",N(D52)*N(E52))</f>
        <v/>
      </c>
    </row>
    <row r="53">
      <c r="A53" s="8" t="n"/>
      <c r="B53" s="8" t="n"/>
      <c r="C53" s="9" t="n"/>
      <c r="D53" s="10" t="n"/>
      <c r="E53" s="11" t="n"/>
      <c r="F53" s="12">
        <f>IF(A53="","",C53/SUM($C$5:$C$54))</f>
        <v/>
      </c>
      <c r="G53" s="13">
        <f>IF(A53="","",C53)</f>
        <v/>
      </c>
      <c r="H53" s="12">
        <f>IF(A53="","",G53/(SUM($G$5:$G$54)+Round!$B$9+Round!$B$10))</f>
        <v/>
      </c>
      <c r="I53" s="14">
        <f>IF(A53="","",N(D53)*N(E53))</f>
        <v/>
      </c>
    </row>
    <row r="54">
      <c r="A54" s="8" t="n"/>
      <c r="B54" s="8" t="n"/>
      <c r="C54" s="9" t="n"/>
      <c r="D54" s="10" t="n"/>
      <c r="E54" s="11" t="n"/>
      <c r="F54" s="12">
        <f>IF(A54="","",C54/SUM($C$5:$C$54))</f>
        <v/>
      </c>
      <c r="G54" s="13">
        <f>IF(A54="","",C54)</f>
        <v/>
      </c>
      <c r="H54" s="12">
        <f>IF(A54="","",G54/(SUM($G$5:$G$54)+Round!$B$9+Round!$B$10))</f>
        <v/>
      </c>
      <c r="I54" s="14">
        <f>IF(A54="","",N(D54)*N(E54))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New round</t>
        </is>
      </c>
    </row>
    <row r="2"/>
    <row r="3"/>
    <row r="4">
      <c r="A4" t="inlineStr">
        <is>
          <t>pre-money valuation (fully diluted)</t>
        </is>
      </c>
      <c r="B4" s="11" t="n">
        <v>600000000</v>
      </c>
    </row>
    <row r="5">
      <c r="A5" t="inlineStr">
        <is>
          <t>investment</t>
        </is>
      </c>
      <c r="B5" s="11" t="n">
        <v>150000000</v>
      </c>
    </row>
    <row r="6">
      <c r="A6" t="inlineStr">
        <is>
          <t>target post-round ESOP pool % (unallocated + granted)</t>
        </is>
      </c>
      <c r="B6" s="15" t="n">
        <v>0.1</v>
      </c>
    </row>
    <row r="7">
      <c r="A7" t="inlineStr">
        <is>
          <t>pre-round fully diluted shares</t>
        </is>
      </c>
      <c r="B7" s="13">
        <f>SUM(Holders!C5:C54)</f>
        <v/>
      </c>
    </row>
    <row r="8">
      <c r="A8" t="inlineStr">
        <is>
          <t>price per share</t>
        </is>
      </c>
      <c r="B8" s="16">
        <f>Round!$B$4/B7</f>
        <v/>
      </c>
    </row>
    <row r="9">
      <c r="A9" t="inlineStr">
        <is>
          <t>new investor shares</t>
        </is>
      </c>
      <c r="B9" s="17">
        <f>ROUND(Round!$B$5/Round!$B$8,0)</f>
        <v/>
      </c>
    </row>
    <row r="10">
      <c r="A10" t="inlineStr">
        <is>
          <t>ESOP top-up shares needed (post-money basis, simplified)</t>
        </is>
      </c>
      <c r="B10" s="17">
        <f>MAX(0,ROUND((Round!$B$6*(B7+B9)-SUMIF(Holders!B5:B54,"ESOP*",Holders!C5:C54))/(1-Round!$B$6),0))</f>
        <v/>
      </c>
    </row>
    <row r="11">
      <c r="A11" t="inlineStr">
        <is>
          <t>post-money valuation</t>
        </is>
      </c>
      <c r="B11" s="18">
        <f>Round!$B$4+Round!$B$5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Exit waterfall (1x non-participating CCPS; investor takes the greater of preference or as-converted)</t>
        </is>
      </c>
    </row>
    <row r="2"/>
    <row r="3"/>
    <row r="4">
      <c r="A4" t="inlineStr">
        <is>
          <t>exit equity value</t>
        </is>
      </c>
      <c r="B4" s="11" t="n">
        <v>2000000000</v>
      </c>
    </row>
    <row r="5">
      <c r="A5" t="inlineStr">
        <is>
          <t>total preference (multiple x invested, existing CCPS + new round 1x)</t>
        </is>
      </c>
      <c r="B5" s="14">
        <f>SUM(Holders!I5:I54)+Round!$B$5</f>
        <v/>
      </c>
    </row>
    <row r="6">
      <c r="A6" t="inlineStr">
        <is>
          <t>new investor as-converted value</t>
        </is>
      </c>
      <c r="B6" s="14">
        <f>Waterfall!$B$4*Round!B9/(SUM(Holders!G5:G54)+Round!B9+Round!B10)</f>
        <v/>
      </c>
    </row>
    <row r="7">
      <c r="A7" t="inlineStr">
        <is>
          <t>new investor takes</t>
        </is>
      </c>
      <c r="B7" s="18">
        <f>MAX(MIN(Round!$B$5,Waterfall!$B$4),B6)</f>
        <v/>
      </c>
    </row>
    <row r="8">
      <c r="A8" t="inlineStr">
        <is>
          <t>note</t>
        </is>
      </c>
      <c r="B8" s="8" t="inlineStr">
        <is>
          <t>Model each CCPS series separately in a copy for participating / &gt;1x terms; follow SHA, Companies Act and FEMA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2026-10-18T16:52:47Z</dcterms:created>
  <dcterms:modified xmlns:dcterms="http://purl.org/dc/terms/" xmlns:xsi="http://www.w3.org/2001/XMLSchema-instance" xsi:type="dcterms:W3CDTF">2026-10-18T16:52:47Z</dcterms:modified>
</cp:coreProperties>
</file>