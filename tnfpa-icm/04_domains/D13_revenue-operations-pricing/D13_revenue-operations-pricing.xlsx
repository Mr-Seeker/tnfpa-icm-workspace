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hecks" sheetId="2" state="visible" r:id="rId2"/>
    <sheet xmlns:r="http://schemas.openxmlformats.org/officeDocument/2006/relationships" name="PVM" sheetId="3" state="visible" r:id="rId3"/>
    <sheet xmlns:r="http://schemas.openxmlformats.org/officeDocument/2006/relationships" name="Bridge" sheetId="4" state="visible" r:id="rId4"/>
    <sheet xmlns:r="http://schemas.openxmlformats.org/officeDocument/2006/relationships" name="Waterfall" sheetId="5" state="visible" r:id="rId5"/>
  </sheets>
  <definedNames>
    <definedName name="pvm_diff">'Bridge'!$B$9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[Red]-#,##0.00"/>
    <numFmt numFmtId="165" formatCode="#,##0;[Red]-#,##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2"/>
    </font>
    <font>
      <b val="1"/>
      <color rgb="00FFFFFF"/>
    </font>
    <font>
      <color rgb="001F4E9E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5" fillId="0" borderId="1" pivotButton="0" quotePrefix="0" xfId="0"/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1" pivotButton="0" quotePrefix="0" xfId="0"/>
    <xf numFmtId="3" fontId="4" fillId="3" borderId="1" pivotButton="0" quotePrefix="0" xfId="0"/>
    <xf numFmtId="164" fontId="4" fillId="3" borderId="1" pivotButton="0" quotePrefix="0" xfId="0"/>
    <xf numFmtId="165" fontId="0" fillId="0" borderId="1" pivotButton="0" quotePrefix="0" xfId="0"/>
    <xf numFmtId="165" fontId="5" fillId="0" borderId="1" pivotButton="0" quotePrefix="0" xfId="0"/>
    <xf numFmtId="166" fontId="4" fillId="3" borderId="1" pivotButton="0" quotePrefix="0" xfId="0"/>
    <xf numFmtId="164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D13 · Revenue operations &amp; pricing optimisation</t>
        </is>
      </c>
    </row>
    <row r="2"/>
    <row r="3">
      <c r="A3" s="2" t="inlineStr">
        <is>
          <t>Domain D13: Revenue operations &amp; pricing optimisation.</t>
        </is>
      </c>
    </row>
    <row r="4">
      <c r="A4" s="2" t="inlineStr">
        <is>
          <t>Explain revenue with a price–volume–mix bridge and see true pocket price after GST, dealer discounts, schemes, marketplace commission and freight.</t>
        </is>
      </c>
    </row>
    <row r="5">
      <c r="A5" s="3" t="inlineStr">
        <is>
          <t>How to use</t>
        </is>
      </c>
    </row>
    <row r="6">
      <c r="A6" s="2" t="inlineStr">
        <is>
          <t>Copy this workbook into companies/&lt;slug&gt;/domains/D13_revenue-operations-pricing/ before typing. Replace the SAMPLE rows (illustrative Tamil Nadu data) with company data.</t>
        </is>
      </c>
    </row>
    <row r="7">
      <c r="A7" s="2" t="inlineStr">
        <is>
          <t>Type only into pale-yellow cells; white cells are formulas. Checks › OVERALL must be PASS before any value feeds K01/K02.</t>
        </is>
      </c>
    </row>
    <row r="8">
      <c r="A8" s="2" t="inlineStr">
        <is>
          <t>Statutory rates are starting values - verify in 01_tamil-nadu/verification-register.md.</t>
        </is>
      </c>
    </row>
    <row r="9">
      <c r="A9" s="3" t="inlineStr">
        <is>
          <t>Feeds</t>
        </is>
      </c>
    </row>
    <row r="10">
      <c r="A10" s="2" t="inlineStr">
        <is>
          <t>K01 channels growth_rate / cogs_pct  &lt;=  PVM trends</t>
        </is>
      </c>
    </row>
    <row r="11">
      <c r="A11" s="2" t="inlineStr">
        <is>
          <t>W04 variance drivers  &lt;=  volume / price / mix</t>
        </is>
      </c>
    </row>
    <row r="12">
      <c r="A12" s="2" t="inlineStr">
        <is>
          <t>K06 SKU economics  &lt;=  pocket price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" customWidth="1" min="1" max="1"/>
    <col width="90" customWidth="1" min="2" max="2"/>
    <col width="10" customWidth="1" min="3" max="3"/>
  </cols>
  <sheetData>
    <row r="1">
      <c r="A1" s="1" t="inlineStr">
        <is>
          <t>Checks - OVERALL must be PASS before this domain feeds the kernel</t>
        </is>
      </c>
    </row>
    <row r="2"/>
    <row r="3">
      <c r="B3" s="4" t="inlineStr">
        <is>
          <t>OVERALL</t>
        </is>
      </c>
      <c r="C3" s="5">
        <f>IF(COUNTIF(C5:C5,"PASS")=COUNT(A5:A5),"PASS","FAIL")</f>
        <v/>
      </c>
    </row>
    <row r="4">
      <c r="A4" s="6" t="inlineStr">
        <is>
          <t>#</t>
        </is>
      </c>
      <c r="B4" s="6" t="inlineStr">
        <is>
          <t>check</t>
        </is>
      </c>
      <c r="C4" s="6" t="inlineStr">
        <is>
          <t>result</t>
        </is>
      </c>
    </row>
    <row r="5">
      <c r="A5" t="n">
        <v>1</v>
      </c>
      <c r="B5" t="inlineStr">
        <is>
          <t>bridge reconciles to current revenue</t>
        </is>
      </c>
      <c r="C5" s="7">
        <f>IF(ABS(Bridge!$B$9)&lt;1,"PASS","FAIL")</f>
        <v/>
      </c>
    </row>
  </sheetData>
  <conditionalFormatting sqref="C3:C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0">
      <formula>TRUE</formula>
    </cfRule>
    <cfRule type="cellIs" priority="4" operator="equal" dxfId="1">
      <formula>FALSE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17" customWidth="1" min="4" max="4"/>
    <col width="21" customWidth="1" min="5" max="5"/>
    <col width="17" customWidth="1" min="6" max="6"/>
    <col width="19" customWidth="1" min="7" max="7"/>
    <col width="40" customWidth="1" min="8" max="8"/>
    <col width="14" customWidth="1" min="9" max="9"/>
    <col width="16" customWidth="1" min="10" max="10"/>
  </cols>
  <sheetData>
    <row r="1">
      <c r="A1" s="1" t="inlineStr">
        <is>
          <t>Price-volume-mix bridge (prior period vs current, per product)</t>
        </is>
      </c>
    </row>
    <row r="2"/>
    <row r="3"/>
    <row r="4">
      <c r="A4" s="6" t="inlineStr">
        <is>
          <t>product</t>
        </is>
      </c>
      <c r="B4" s="6" t="inlineStr">
        <is>
          <t>prior units</t>
        </is>
      </c>
      <c r="C4" s="6" t="inlineStr">
        <is>
          <t>prior net price</t>
        </is>
      </c>
      <c r="D4" s="6" t="inlineStr">
        <is>
          <t>current units</t>
        </is>
      </c>
      <c r="E4" s="6" t="inlineStr">
        <is>
          <t>current net price</t>
        </is>
      </c>
      <c r="F4" s="6" t="inlineStr">
        <is>
          <t>prior revenue</t>
        </is>
      </c>
      <c r="G4" s="6" t="inlineStr">
        <is>
          <t>current revenue</t>
        </is>
      </c>
      <c r="H4" s="6" t="inlineStr">
        <is>
          <t>volume effect (at prior mix &amp; price)</t>
        </is>
      </c>
      <c r="I4" s="6" t="inlineStr">
        <is>
          <t>mix effect</t>
        </is>
      </c>
      <c r="J4" s="6" t="inlineStr">
        <is>
          <t>price effect</t>
        </is>
      </c>
    </row>
    <row r="5">
      <c r="A5" s="8" t="inlineStr">
        <is>
          <t>Office chair - mesh</t>
        </is>
      </c>
      <c r="B5" s="9" t="n">
        <v>12000</v>
      </c>
      <c r="C5" s="10" t="n">
        <v>6200</v>
      </c>
      <c r="D5" s="9" t="n">
        <v>13500</v>
      </c>
      <c r="E5" s="10" t="n">
        <v>6400</v>
      </c>
      <c r="F5" s="11">
        <f>IF(A5="","",B5*C5)</f>
        <v/>
      </c>
      <c r="G5" s="11">
        <f>IF(A5="","",D5*E5)</f>
        <v/>
      </c>
      <c r="H5" s="11">
        <f>IF(A5="","",(SUM($D$5:$D$104)-SUM($B$5:$B$104))*IF(SUM($B$5:$B$104)=0,0,B5/SUM($B$5:$B$104))*C5)</f>
        <v/>
      </c>
      <c r="I5" s="11">
        <f>IF(A5="","",(D5-SUM($D$5:$D$104)*IF(SUM($B$5:$B$104)=0,0,B5/SUM($B$5:$B$104)))*C5)</f>
        <v/>
      </c>
      <c r="J5" s="11">
        <f>IF(A5="","",(E5-C5)*D5)</f>
        <v/>
      </c>
    </row>
    <row r="6">
      <c r="A6" s="8" t="inlineStr">
        <is>
          <t>Plastic chair (bulk)</t>
        </is>
      </c>
      <c r="B6" s="9" t="n">
        <v>90000</v>
      </c>
      <c r="C6" s="10" t="n">
        <v>420</v>
      </c>
      <c r="D6" s="9" t="n">
        <v>82000</v>
      </c>
      <c r="E6" s="10" t="n">
        <v>445</v>
      </c>
      <c r="F6" s="11">
        <f>IF(A6="","",B6*C6)</f>
        <v/>
      </c>
      <c r="G6" s="11">
        <f>IF(A6="","",D6*E6)</f>
        <v/>
      </c>
      <c r="H6" s="11">
        <f>IF(A6="","",(SUM($D$5:$D$104)-SUM($B$5:$B$104))*IF(SUM($B$5:$B$104)=0,0,B6/SUM($B$5:$B$104))*C6)</f>
        <v/>
      </c>
      <c r="I6" s="11">
        <f>IF(A6="","",(D6-SUM($D$5:$D$104)*IF(SUM($B$5:$B$104)=0,0,B6/SUM($B$5:$B$104)))*C6)</f>
        <v/>
      </c>
      <c r="J6" s="11">
        <f>IF(A6="","",(E6-C6)*D6)</f>
        <v/>
      </c>
    </row>
    <row r="7">
      <c r="A7" s="8" t="inlineStr">
        <is>
          <t>Recliner</t>
        </is>
      </c>
      <c r="B7" s="9" t="n">
        <v>2500</v>
      </c>
      <c r="C7" s="10" t="n">
        <v>18500</v>
      </c>
      <c r="D7" s="9" t="n">
        <v>2900</v>
      </c>
      <c r="E7" s="10" t="n">
        <v>18200</v>
      </c>
      <c r="F7" s="11">
        <f>IF(A7="","",B7*C7)</f>
        <v/>
      </c>
      <c r="G7" s="11">
        <f>IF(A7="","",D7*E7)</f>
        <v/>
      </c>
      <c r="H7" s="11">
        <f>IF(A7="","",(SUM($D$5:$D$104)-SUM($B$5:$B$104))*IF(SUM($B$5:$B$104)=0,0,B7/SUM($B$5:$B$104))*C7)</f>
        <v/>
      </c>
      <c r="I7" s="11">
        <f>IF(A7="","",(D7-SUM($D$5:$D$104)*IF(SUM($B$5:$B$104)=0,0,B7/SUM($B$5:$B$104)))*C7)</f>
        <v/>
      </c>
      <c r="J7" s="11">
        <f>IF(A7="","",(E7-C7)*D7)</f>
        <v/>
      </c>
    </row>
    <row r="8">
      <c r="A8" s="8" t="n"/>
      <c r="B8" s="9" t="n"/>
      <c r="C8" s="10" t="n"/>
      <c r="D8" s="9" t="n"/>
      <c r="E8" s="10" t="n"/>
      <c r="F8" s="11">
        <f>IF(A8="","",B8*C8)</f>
        <v/>
      </c>
      <c r="G8" s="11">
        <f>IF(A8="","",D8*E8)</f>
        <v/>
      </c>
      <c r="H8" s="11">
        <f>IF(A8="","",(SUM($D$5:$D$104)-SUM($B$5:$B$104))*IF(SUM($B$5:$B$104)=0,0,B8/SUM($B$5:$B$104))*C8)</f>
        <v/>
      </c>
      <c r="I8" s="11">
        <f>IF(A8="","",(D8-SUM($D$5:$D$104)*IF(SUM($B$5:$B$104)=0,0,B8/SUM($B$5:$B$104)))*C8)</f>
        <v/>
      </c>
      <c r="J8" s="11">
        <f>IF(A8="","",(E8-C8)*D8)</f>
        <v/>
      </c>
    </row>
    <row r="9">
      <c r="A9" s="8" t="n"/>
      <c r="B9" s="9" t="n"/>
      <c r="C9" s="10" t="n"/>
      <c r="D9" s="9" t="n"/>
      <c r="E9" s="10" t="n"/>
      <c r="F9" s="11">
        <f>IF(A9="","",B9*C9)</f>
        <v/>
      </c>
      <c r="G9" s="11">
        <f>IF(A9="","",D9*E9)</f>
        <v/>
      </c>
      <c r="H9" s="11">
        <f>IF(A9="","",(SUM($D$5:$D$104)-SUM($B$5:$B$104))*IF(SUM($B$5:$B$104)=0,0,B9/SUM($B$5:$B$104))*C9)</f>
        <v/>
      </c>
      <c r="I9" s="11">
        <f>IF(A9="","",(D9-SUM($D$5:$D$104)*IF(SUM($B$5:$B$104)=0,0,B9/SUM($B$5:$B$104)))*C9)</f>
        <v/>
      </c>
      <c r="J9" s="11">
        <f>IF(A9="","",(E9-C9)*D9)</f>
        <v/>
      </c>
    </row>
    <row r="10">
      <c r="A10" s="8" t="n"/>
      <c r="B10" s="9" t="n"/>
      <c r="C10" s="10" t="n"/>
      <c r="D10" s="9" t="n"/>
      <c r="E10" s="10" t="n"/>
      <c r="F10" s="11">
        <f>IF(A10="","",B10*C10)</f>
        <v/>
      </c>
      <c r="G10" s="11">
        <f>IF(A10="","",D10*E10)</f>
        <v/>
      </c>
      <c r="H10" s="11">
        <f>IF(A10="","",(SUM($D$5:$D$104)-SUM($B$5:$B$104))*IF(SUM($B$5:$B$104)=0,0,B10/SUM($B$5:$B$104))*C10)</f>
        <v/>
      </c>
      <c r="I10" s="11">
        <f>IF(A10="","",(D10-SUM($D$5:$D$104)*IF(SUM($B$5:$B$104)=0,0,B10/SUM($B$5:$B$104)))*C10)</f>
        <v/>
      </c>
      <c r="J10" s="11">
        <f>IF(A10="","",(E10-C10)*D10)</f>
        <v/>
      </c>
    </row>
    <row r="11">
      <c r="A11" s="8" t="n"/>
      <c r="B11" s="9" t="n"/>
      <c r="C11" s="10" t="n"/>
      <c r="D11" s="9" t="n"/>
      <c r="E11" s="10" t="n"/>
      <c r="F11" s="11">
        <f>IF(A11="","",B11*C11)</f>
        <v/>
      </c>
      <c r="G11" s="11">
        <f>IF(A11="","",D11*E11)</f>
        <v/>
      </c>
      <c r="H11" s="11">
        <f>IF(A11="","",(SUM($D$5:$D$104)-SUM($B$5:$B$104))*IF(SUM($B$5:$B$104)=0,0,B11/SUM($B$5:$B$104))*C11)</f>
        <v/>
      </c>
      <c r="I11" s="11">
        <f>IF(A11="","",(D11-SUM($D$5:$D$104)*IF(SUM($B$5:$B$104)=0,0,B11/SUM($B$5:$B$104)))*C11)</f>
        <v/>
      </c>
      <c r="J11" s="11">
        <f>IF(A11="","",(E11-C11)*D11)</f>
        <v/>
      </c>
    </row>
    <row r="12">
      <c r="A12" s="8" t="n"/>
      <c r="B12" s="9" t="n"/>
      <c r="C12" s="10" t="n"/>
      <c r="D12" s="9" t="n"/>
      <c r="E12" s="10" t="n"/>
      <c r="F12" s="11">
        <f>IF(A12="","",B12*C12)</f>
        <v/>
      </c>
      <c r="G12" s="11">
        <f>IF(A12="","",D12*E12)</f>
        <v/>
      </c>
      <c r="H12" s="11">
        <f>IF(A12="","",(SUM($D$5:$D$104)-SUM($B$5:$B$104))*IF(SUM($B$5:$B$104)=0,0,B12/SUM($B$5:$B$104))*C12)</f>
        <v/>
      </c>
      <c r="I12" s="11">
        <f>IF(A12="","",(D12-SUM($D$5:$D$104)*IF(SUM($B$5:$B$104)=0,0,B12/SUM($B$5:$B$104)))*C12)</f>
        <v/>
      </c>
      <c r="J12" s="11">
        <f>IF(A12="","",(E12-C12)*D12)</f>
        <v/>
      </c>
    </row>
    <row r="13">
      <c r="A13" s="8" t="n"/>
      <c r="B13" s="9" t="n"/>
      <c r="C13" s="10" t="n"/>
      <c r="D13" s="9" t="n"/>
      <c r="E13" s="10" t="n"/>
      <c r="F13" s="11">
        <f>IF(A13="","",B13*C13)</f>
        <v/>
      </c>
      <c r="G13" s="11">
        <f>IF(A13="","",D13*E13)</f>
        <v/>
      </c>
      <c r="H13" s="11">
        <f>IF(A13="","",(SUM($D$5:$D$104)-SUM($B$5:$B$104))*IF(SUM($B$5:$B$104)=0,0,B13/SUM($B$5:$B$104))*C13)</f>
        <v/>
      </c>
      <c r="I13" s="11">
        <f>IF(A13="","",(D13-SUM($D$5:$D$104)*IF(SUM($B$5:$B$104)=0,0,B13/SUM($B$5:$B$104)))*C13)</f>
        <v/>
      </c>
      <c r="J13" s="11">
        <f>IF(A13="","",(E13-C13)*D13)</f>
        <v/>
      </c>
    </row>
    <row r="14">
      <c r="A14" s="8" t="n"/>
      <c r="B14" s="9" t="n"/>
      <c r="C14" s="10" t="n"/>
      <c r="D14" s="9" t="n"/>
      <c r="E14" s="10" t="n"/>
      <c r="F14" s="11">
        <f>IF(A14="","",B14*C14)</f>
        <v/>
      </c>
      <c r="G14" s="11">
        <f>IF(A14="","",D14*E14)</f>
        <v/>
      </c>
      <c r="H14" s="11">
        <f>IF(A14="","",(SUM($D$5:$D$104)-SUM($B$5:$B$104))*IF(SUM($B$5:$B$104)=0,0,B14/SUM($B$5:$B$104))*C14)</f>
        <v/>
      </c>
      <c r="I14" s="11">
        <f>IF(A14="","",(D14-SUM($D$5:$D$104)*IF(SUM($B$5:$B$104)=0,0,B14/SUM($B$5:$B$104)))*C14)</f>
        <v/>
      </c>
      <c r="J14" s="11">
        <f>IF(A14="","",(E14-C14)*D14)</f>
        <v/>
      </c>
    </row>
    <row r="15">
      <c r="A15" s="8" t="n"/>
      <c r="B15" s="9" t="n"/>
      <c r="C15" s="10" t="n"/>
      <c r="D15" s="9" t="n"/>
      <c r="E15" s="10" t="n"/>
      <c r="F15" s="11">
        <f>IF(A15="","",B15*C15)</f>
        <v/>
      </c>
      <c r="G15" s="11">
        <f>IF(A15="","",D15*E15)</f>
        <v/>
      </c>
      <c r="H15" s="11">
        <f>IF(A15="","",(SUM($D$5:$D$104)-SUM($B$5:$B$104))*IF(SUM($B$5:$B$104)=0,0,B15/SUM($B$5:$B$104))*C15)</f>
        <v/>
      </c>
      <c r="I15" s="11">
        <f>IF(A15="","",(D15-SUM($D$5:$D$104)*IF(SUM($B$5:$B$104)=0,0,B15/SUM($B$5:$B$104)))*C15)</f>
        <v/>
      </c>
      <c r="J15" s="11">
        <f>IF(A15="","",(E15-C15)*D15)</f>
        <v/>
      </c>
    </row>
    <row r="16">
      <c r="A16" s="8" t="n"/>
      <c r="B16" s="9" t="n"/>
      <c r="C16" s="10" t="n"/>
      <c r="D16" s="9" t="n"/>
      <c r="E16" s="10" t="n"/>
      <c r="F16" s="11">
        <f>IF(A16="","",B16*C16)</f>
        <v/>
      </c>
      <c r="G16" s="11">
        <f>IF(A16="","",D16*E16)</f>
        <v/>
      </c>
      <c r="H16" s="11">
        <f>IF(A16="","",(SUM($D$5:$D$104)-SUM($B$5:$B$104))*IF(SUM($B$5:$B$104)=0,0,B16/SUM($B$5:$B$104))*C16)</f>
        <v/>
      </c>
      <c r="I16" s="11">
        <f>IF(A16="","",(D16-SUM($D$5:$D$104)*IF(SUM($B$5:$B$104)=0,0,B16/SUM($B$5:$B$104)))*C16)</f>
        <v/>
      </c>
      <c r="J16" s="11">
        <f>IF(A16="","",(E16-C16)*D16)</f>
        <v/>
      </c>
    </row>
    <row r="17">
      <c r="A17" s="8" t="n"/>
      <c r="B17" s="9" t="n"/>
      <c r="C17" s="10" t="n"/>
      <c r="D17" s="9" t="n"/>
      <c r="E17" s="10" t="n"/>
      <c r="F17" s="11">
        <f>IF(A17="","",B17*C17)</f>
        <v/>
      </c>
      <c r="G17" s="11">
        <f>IF(A17="","",D17*E17)</f>
        <v/>
      </c>
      <c r="H17" s="11">
        <f>IF(A17="","",(SUM($D$5:$D$104)-SUM($B$5:$B$104))*IF(SUM($B$5:$B$104)=0,0,B17/SUM($B$5:$B$104))*C17)</f>
        <v/>
      </c>
      <c r="I17" s="11">
        <f>IF(A17="","",(D17-SUM($D$5:$D$104)*IF(SUM($B$5:$B$104)=0,0,B17/SUM($B$5:$B$104)))*C17)</f>
        <v/>
      </c>
      <c r="J17" s="11">
        <f>IF(A17="","",(E17-C17)*D17)</f>
        <v/>
      </c>
    </row>
    <row r="18">
      <c r="A18" s="8" t="n"/>
      <c r="B18" s="9" t="n"/>
      <c r="C18" s="10" t="n"/>
      <c r="D18" s="9" t="n"/>
      <c r="E18" s="10" t="n"/>
      <c r="F18" s="11">
        <f>IF(A18="","",B18*C18)</f>
        <v/>
      </c>
      <c r="G18" s="11">
        <f>IF(A18="","",D18*E18)</f>
        <v/>
      </c>
      <c r="H18" s="11">
        <f>IF(A18="","",(SUM($D$5:$D$104)-SUM($B$5:$B$104))*IF(SUM($B$5:$B$104)=0,0,B18/SUM($B$5:$B$104))*C18)</f>
        <v/>
      </c>
      <c r="I18" s="11">
        <f>IF(A18="","",(D18-SUM($D$5:$D$104)*IF(SUM($B$5:$B$104)=0,0,B18/SUM($B$5:$B$104)))*C18)</f>
        <v/>
      </c>
      <c r="J18" s="11">
        <f>IF(A18="","",(E18-C18)*D18)</f>
        <v/>
      </c>
    </row>
    <row r="19">
      <c r="A19" s="8" t="n"/>
      <c r="B19" s="9" t="n"/>
      <c r="C19" s="10" t="n"/>
      <c r="D19" s="9" t="n"/>
      <c r="E19" s="10" t="n"/>
      <c r="F19" s="11">
        <f>IF(A19="","",B19*C19)</f>
        <v/>
      </c>
      <c r="G19" s="11">
        <f>IF(A19="","",D19*E19)</f>
        <v/>
      </c>
      <c r="H19" s="11">
        <f>IF(A19="","",(SUM($D$5:$D$104)-SUM($B$5:$B$104))*IF(SUM($B$5:$B$104)=0,0,B19/SUM($B$5:$B$104))*C19)</f>
        <v/>
      </c>
      <c r="I19" s="11">
        <f>IF(A19="","",(D19-SUM($D$5:$D$104)*IF(SUM($B$5:$B$104)=0,0,B19/SUM($B$5:$B$104)))*C19)</f>
        <v/>
      </c>
      <c r="J19" s="11">
        <f>IF(A19="","",(E19-C19)*D19)</f>
        <v/>
      </c>
    </row>
    <row r="20">
      <c r="A20" s="8" t="n"/>
      <c r="B20" s="9" t="n"/>
      <c r="C20" s="10" t="n"/>
      <c r="D20" s="9" t="n"/>
      <c r="E20" s="10" t="n"/>
      <c r="F20" s="11">
        <f>IF(A20="","",B20*C20)</f>
        <v/>
      </c>
      <c r="G20" s="11">
        <f>IF(A20="","",D20*E20)</f>
        <v/>
      </c>
      <c r="H20" s="11">
        <f>IF(A20="","",(SUM($D$5:$D$104)-SUM($B$5:$B$104))*IF(SUM($B$5:$B$104)=0,0,B20/SUM($B$5:$B$104))*C20)</f>
        <v/>
      </c>
      <c r="I20" s="11">
        <f>IF(A20="","",(D20-SUM($D$5:$D$104)*IF(SUM($B$5:$B$104)=0,0,B20/SUM($B$5:$B$104)))*C20)</f>
        <v/>
      </c>
      <c r="J20" s="11">
        <f>IF(A20="","",(E20-C20)*D20)</f>
        <v/>
      </c>
    </row>
    <row r="21">
      <c r="A21" s="8" t="n"/>
      <c r="B21" s="9" t="n"/>
      <c r="C21" s="10" t="n"/>
      <c r="D21" s="9" t="n"/>
      <c r="E21" s="10" t="n"/>
      <c r="F21" s="11">
        <f>IF(A21="","",B21*C21)</f>
        <v/>
      </c>
      <c r="G21" s="11">
        <f>IF(A21="","",D21*E21)</f>
        <v/>
      </c>
      <c r="H21" s="11">
        <f>IF(A21="","",(SUM($D$5:$D$104)-SUM($B$5:$B$104))*IF(SUM($B$5:$B$104)=0,0,B21/SUM($B$5:$B$104))*C21)</f>
        <v/>
      </c>
      <c r="I21" s="11">
        <f>IF(A21="","",(D21-SUM($D$5:$D$104)*IF(SUM($B$5:$B$104)=0,0,B21/SUM($B$5:$B$104)))*C21)</f>
        <v/>
      </c>
      <c r="J21" s="11">
        <f>IF(A21="","",(E21-C21)*D21)</f>
        <v/>
      </c>
    </row>
    <row r="22">
      <c r="A22" s="8" t="n"/>
      <c r="B22" s="9" t="n"/>
      <c r="C22" s="10" t="n"/>
      <c r="D22" s="9" t="n"/>
      <c r="E22" s="10" t="n"/>
      <c r="F22" s="11">
        <f>IF(A22="","",B22*C22)</f>
        <v/>
      </c>
      <c r="G22" s="11">
        <f>IF(A22="","",D22*E22)</f>
        <v/>
      </c>
      <c r="H22" s="11">
        <f>IF(A22="","",(SUM($D$5:$D$104)-SUM($B$5:$B$104))*IF(SUM($B$5:$B$104)=0,0,B22/SUM($B$5:$B$104))*C22)</f>
        <v/>
      </c>
      <c r="I22" s="11">
        <f>IF(A22="","",(D22-SUM($D$5:$D$104)*IF(SUM($B$5:$B$104)=0,0,B22/SUM($B$5:$B$104)))*C22)</f>
        <v/>
      </c>
      <c r="J22" s="11">
        <f>IF(A22="","",(E22-C22)*D22)</f>
        <v/>
      </c>
    </row>
    <row r="23">
      <c r="A23" s="8" t="n"/>
      <c r="B23" s="9" t="n"/>
      <c r="C23" s="10" t="n"/>
      <c r="D23" s="9" t="n"/>
      <c r="E23" s="10" t="n"/>
      <c r="F23" s="11">
        <f>IF(A23="","",B23*C23)</f>
        <v/>
      </c>
      <c r="G23" s="11">
        <f>IF(A23="","",D23*E23)</f>
        <v/>
      </c>
      <c r="H23" s="11">
        <f>IF(A23="","",(SUM($D$5:$D$104)-SUM($B$5:$B$104))*IF(SUM($B$5:$B$104)=0,0,B23/SUM($B$5:$B$104))*C23)</f>
        <v/>
      </c>
      <c r="I23" s="11">
        <f>IF(A23="","",(D23-SUM($D$5:$D$104)*IF(SUM($B$5:$B$104)=0,0,B23/SUM($B$5:$B$104)))*C23)</f>
        <v/>
      </c>
      <c r="J23" s="11">
        <f>IF(A23="","",(E23-C23)*D23)</f>
        <v/>
      </c>
    </row>
    <row r="24">
      <c r="A24" s="8" t="n"/>
      <c r="B24" s="9" t="n"/>
      <c r="C24" s="10" t="n"/>
      <c r="D24" s="9" t="n"/>
      <c r="E24" s="10" t="n"/>
      <c r="F24" s="11">
        <f>IF(A24="","",B24*C24)</f>
        <v/>
      </c>
      <c r="G24" s="11">
        <f>IF(A24="","",D24*E24)</f>
        <v/>
      </c>
      <c r="H24" s="11">
        <f>IF(A24="","",(SUM($D$5:$D$104)-SUM($B$5:$B$104))*IF(SUM($B$5:$B$104)=0,0,B24/SUM($B$5:$B$104))*C24)</f>
        <v/>
      </c>
      <c r="I24" s="11">
        <f>IF(A24="","",(D24-SUM($D$5:$D$104)*IF(SUM($B$5:$B$104)=0,0,B24/SUM($B$5:$B$104)))*C24)</f>
        <v/>
      </c>
      <c r="J24" s="11">
        <f>IF(A24="","",(E24-C24)*D24)</f>
        <v/>
      </c>
    </row>
    <row r="25">
      <c r="A25" s="8" t="n"/>
      <c r="B25" s="9" t="n"/>
      <c r="C25" s="10" t="n"/>
      <c r="D25" s="9" t="n"/>
      <c r="E25" s="10" t="n"/>
      <c r="F25" s="11">
        <f>IF(A25="","",B25*C25)</f>
        <v/>
      </c>
      <c r="G25" s="11">
        <f>IF(A25="","",D25*E25)</f>
        <v/>
      </c>
      <c r="H25" s="11">
        <f>IF(A25="","",(SUM($D$5:$D$104)-SUM($B$5:$B$104))*IF(SUM($B$5:$B$104)=0,0,B25/SUM($B$5:$B$104))*C25)</f>
        <v/>
      </c>
      <c r="I25" s="11">
        <f>IF(A25="","",(D25-SUM($D$5:$D$104)*IF(SUM($B$5:$B$104)=0,0,B25/SUM($B$5:$B$104)))*C25)</f>
        <v/>
      </c>
      <c r="J25" s="11">
        <f>IF(A25="","",(E25-C25)*D25)</f>
        <v/>
      </c>
    </row>
    <row r="26">
      <c r="A26" s="8" t="n"/>
      <c r="B26" s="9" t="n"/>
      <c r="C26" s="10" t="n"/>
      <c r="D26" s="9" t="n"/>
      <c r="E26" s="10" t="n"/>
      <c r="F26" s="11">
        <f>IF(A26="","",B26*C26)</f>
        <v/>
      </c>
      <c r="G26" s="11">
        <f>IF(A26="","",D26*E26)</f>
        <v/>
      </c>
      <c r="H26" s="11">
        <f>IF(A26="","",(SUM($D$5:$D$104)-SUM($B$5:$B$104))*IF(SUM($B$5:$B$104)=0,0,B26/SUM($B$5:$B$104))*C26)</f>
        <v/>
      </c>
      <c r="I26" s="11">
        <f>IF(A26="","",(D26-SUM($D$5:$D$104)*IF(SUM($B$5:$B$104)=0,0,B26/SUM($B$5:$B$104)))*C26)</f>
        <v/>
      </c>
      <c r="J26" s="11">
        <f>IF(A26="","",(E26-C26)*D26)</f>
        <v/>
      </c>
    </row>
    <row r="27">
      <c r="A27" s="8" t="n"/>
      <c r="B27" s="9" t="n"/>
      <c r="C27" s="10" t="n"/>
      <c r="D27" s="9" t="n"/>
      <c r="E27" s="10" t="n"/>
      <c r="F27" s="11">
        <f>IF(A27="","",B27*C27)</f>
        <v/>
      </c>
      <c r="G27" s="11">
        <f>IF(A27="","",D27*E27)</f>
        <v/>
      </c>
      <c r="H27" s="11">
        <f>IF(A27="","",(SUM($D$5:$D$104)-SUM($B$5:$B$104))*IF(SUM($B$5:$B$104)=0,0,B27/SUM($B$5:$B$104))*C27)</f>
        <v/>
      </c>
      <c r="I27" s="11">
        <f>IF(A27="","",(D27-SUM($D$5:$D$104)*IF(SUM($B$5:$B$104)=0,0,B27/SUM($B$5:$B$104)))*C27)</f>
        <v/>
      </c>
      <c r="J27" s="11">
        <f>IF(A27="","",(E27-C27)*D27)</f>
        <v/>
      </c>
    </row>
    <row r="28">
      <c r="A28" s="8" t="n"/>
      <c r="B28" s="9" t="n"/>
      <c r="C28" s="10" t="n"/>
      <c r="D28" s="9" t="n"/>
      <c r="E28" s="10" t="n"/>
      <c r="F28" s="11">
        <f>IF(A28="","",B28*C28)</f>
        <v/>
      </c>
      <c r="G28" s="11">
        <f>IF(A28="","",D28*E28)</f>
        <v/>
      </c>
      <c r="H28" s="11">
        <f>IF(A28="","",(SUM($D$5:$D$104)-SUM($B$5:$B$104))*IF(SUM($B$5:$B$104)=0,0,B28/SUM($B$5:$B$104))*C28)</f>
        <v/>
      </c>
      <c r="I28" s="11">
        <f>IF(A28="","",(D28-SUM($D$5:$D$104)*IF(SUM($B$5:$B$104)=0,0,B28/SUM($B$5:$B$104)))*C28)</f>
        <v/>
      </c>
      <c r="J28" s="11">
        <f>IF(A28="","",(E28-C28)*D28)</f>
        <v/>
      </c>
    </row>
    <row r="29">
      <c r="A29" s="8" t="n"/>
      <c r="B29" s="9" t="n"/>
      <c r="C29" s="10" t="n"/>
      <c r="D29" s="9" t="n"/>
      <c r="E29" s="10" t="n"/>
      <c r="F29" s="11">
        <f>IF(A29="","",B29*C29)</f>
        <v/>
      </c>
      <c r="G29" s="11">
        <f>IF(A29="","",D29*E29)</f>
        <v/>
      </c>
      <c r="H29" s="11">
        <f>IF(A29="","",(SUM($D$5:$D$104)-SUM($B$5:$B$104))*IF(SUM($B$5:$B$104)=0,0,B29/SUM($B$5:$B$104))*C29)</f>
        <v/>
      </c>
      <c r="I29" s="11">
        <f>IF(A29="","",(D29-SUM($D$5:$D$104)*IF(SUM($B$5:$B$104)=0,0,B29/SUM($B$5:$B$104)))*C29)</f>
        <v/>
      </c>
      <c r="J29" s="11">
        <f>IF(A29="","",(E29-C29)*D29)</f>
        <v/>
      </c>
    </row>
    <row r="30">
      <c r="A30" s="8" t="n"/>
      <c r="B30" s="9" t="n"/>
      <c r="C30" s="10" t="n"/>
      <c r="D30" s="9" t="n"/>
      <c r="E30" s="10" t="n"/>
      <c r="F30" s="11">
        <f>IF(A30="","",B30*C30)</f>
        <v/>
      </c>
      <c r="G30" s="11">
        <f>IF(A30="","",D30*E30)</f>
        <v/>
      </c>
      <c r="H30" s="11">
        <f>IF(A30="","",(SUM($D$5:$D$104)-SUM($B$5:$B$104))*IF(SUM($B$5:$B$104)=0,0,B30/SUM($B$5:$B$104))*C30)</f>
        <v/>
      </c>
      <c r="I30" s="11">
        <f>IF(A30="","",(D30-SUM($D$5:$D$104)*IF(SUM($B$5:$B$104)=0,0,B30/SUM($B$5:$B$104)))*C30)</f>
        <v/>
      </c>
      <c r="J30" s="11">
        <f>IF(A30="","",(E30-C30)*D30)</f>
        <v/>
      </c>
    </row>
    <row r="31">
      <c r="A31" s="8" t="n"/>
      <c r="B31" s="9" t="n"/>
      <c r="C31" s="10" t="n"/>
      <c r="D31" s="9" t="n"/>
      <c r="E31" s="10" t="n"/>
      <c r="F31" s="11">
        <f>IF(A31="","",B31*C31)</f>
        <v/>
      </c>
      <c r="G31" s="11">
        <f>IF(A31="","",D31*E31)</f>
        <v/>
      </c>
      <c r="H31" s="11">
        <f>IF(A31="","",(SUM($D$5:$D$104)-SUM($B$5:$B$104))*IF(SUM($B$5:$B$104)=0,0,B31/SUM($B$5:$B$104))*C31)</f>
        <v/>
      </c>
      <c r="I31" s="11">
        <f>IF(A31="","",(D31-SUM($D$5:$D$104)*IF(SUM($B$5:$B$104)=0,0,B31/SUM($B$5:$B$104)))*C31)</f>
        <v/>
      </c>
      <c r="J31" s="11">
        <f>IF(A31="","",(E31-C31)*D31)</f>
        <v/>
      </c>
    </row>
    <row r="32">
      <c r="A32" s="8" t="n"/>
      <c r="B32" s="9" t="n"/>
      <c r="C32" s="10" t="n"/>
      <c r="D32" s="9" t="n"/>
      <c r="E32" s="10" t="n"/>
      <c r="F32" s="11">
        <f>IF(A32="","",B32*C32)</f>
        <v/>
      </c>
      <c r="G32" s="11">
        <f>IF(A32="","",D32*E32)</f>
        <v/>
      </c>
      <c r="H32" s="11">
        <f>IF(A32="","",(SUM($D$5:$D$104)-SUM($B$5:$B$104))*IF(SUM($B$5:$B$104)=0,0,B32/SUM($B$5:$B$104))*C32)</f>
        <v/>
      </c>
      <c r="I32" s="11">
        <f>IF(A32="","",(D32-SUM($D$5:$D$104)*IF(SUM($B$5:$B$104)=0,0,B32/SUM($B$5:$B$104)))*C32)</f>
        <v/>
      </c>
      <c r="J32" s="11">
        <f>IF(A32="","",(E32-C32)*D32)</f>
        <v/>
      </c>
    </row>
    <row r="33">
      <c r="A33" s="8" t="n"/>
      <c r="B33" s="9" t="n"/>
      <c r="C33" s="10" t="n"/>
      <c r="D33" s="9" t="n"/>
      <c r="E33" s="10" t="n"/>
      <c r="F33" s="11">
        <f>IF(A33="","",B33*C33)</f>
        <v/>
      </c>
      <c r="G33" s="11">
        <f>IF(A33="","",D33*E33)</f>
        <v/>
      </c>
      <c r="H33" s="11">
        <f>IF(A33="","",(SUM($D$5:$D$104)-SUM($B$5:$B$104))*IF(SUM($B$5:$B$104)=0,0,B33/SUM($B$5:$B$104))*C33)</f>
        <v/>
      </c>
      <c r="I33" s="11">
        <f>IF(A33="","",(D33-SUM($D$5:$D$104)*IF(SUM($B$5:$B$104)=0,0,B33/SUM($B$5:$B$104)))*C33)</f>
        <v/>
      </c>
      <c r="J33" s="11">
        <f>IF(A33="","",(E33-C33)*D33)</f>
        <v/>
      </c>
    </row>
    <row r="34">
      <c r="A34" s="8" t="n"/>
      <c r="B34" s="9" t="n"/>
      <c r="C34" s="10" t="n"/>
      <c r="D34" s="9" t="n"/>
      <c r="E34" s="10" t="n"/>
      <c r="F34" s="11">
        <f>IF(A34="","",B34*C34)</f>
        <v/>
      </c>
      <c r="G34" s="11">
        <f>IF(A34="","",D34*E34)</f>
        <v/>
      </c>
      <c r="H34" s="11">
        <f>IF(A34="","",(SUM($D$5:$D$104)-SUM($B$5:$B$104))*IF(SUM($B$5:$B$104)=0,0,B34/SUM($B$5:$B$104))*C34)</f>
        <v/>
      </c>
      <c r="I34" s="11">
        <f>IF(A34="","",(D34-SUM($D$5:$D$104)*IF(SUM($B$5:$B$104)=0,0,B34/SUM($B$5:$B$104)))*C34)</f>
        <v/>
      </c>
      <c r="J34" s="11">
        <f>IF(A34="","",(E34-C34)*D34)</f>
        <v/>
      </c>
    </row>
    <row r="35">
      <c r="A35" s="8" t="n"/>
      <c r="B35" s="9" t="n"/>
      <c r="C35" s="10" t="n"/>
      <c r="D35" s="9" t="n"/>
      <c r="E35" s="10" t="n"/>
      <c r="F35" s="11">
        <f>IF(A35="","",B35*C35)</f>
        <v/>
      </c>
      <c r="G35" s="11">
        <f>IF(A35="","",D35*E35)</f>
        <v/>
      </c>
      <c r="H35" s="11">
        <f>IF(A35="","",(SUM($D$5:$D$104)-SUM($B$5:$B$104))*IF(SUM($B$5:$B$104)=0,0,B35/SUM($B$5:$B$104))*C35)</f>
        <v/>
      </c>
      <c r="I35" s="11">
        <f>IF(A35="","",(D35-SUM($D$5:$D$104)*IF(SUM($B$5:$B$104)=0,0,B35/SUM($B$5:$B$104)))*C35)</f>
        <v/>
      </c>
      <c r="J35" s="11">
        <f>IF(A35="","",(E35-C35)*D35)</f>
        <v/>
      </c>
    </row>
    <row r="36">
      <c r="A36" s="8" t="n"/>
      <c r="B36" s="9" t="n"/>
      <c r="C36" s="10" t="n"/>
      <c r="D36" s="9" t="n"/>
      <c r="E36" s="10" t="n"/>
      <c r="F36" s="11">
        <f>IF(A36="","",B36*C36)</f>
        <v/>
      </c>
      <c r="G36" s="11">
        <f>IF(A36="","",D36*E36)</f>
        <v/>
      </c>
      <c r="H36" s="11">
        <f>IF(A36="","",(SUM($D$5:$D$104)-SUM($B$5:$B$104))*IF(SUM($B$5:$B$104)=0,0,B36/SUM($B$5:$B$104))*C36)</f>
        <v/>
      </c>
      <c r="I36" s="11">
        <f>IF(A36="","",(D36-SUM($D$5:$D$104)*IF(SUM($B$5:$B$104)=0,0,B36/SUM($B$5:$B$104)))*C36)</f>
        <v/>
      </c>
      <c r="J36" s="11">
        <f>IF(A36="","",(E36-C36)*D36)</f>
        <v/>
      </c>
    </row>
    <row r="37">
      <c r="A37" s="8" t="n"/>
      <c r="B37" s="9" t="n"/>
      <c r="C37" s="10" t="n"/>
      <c r="D37" s="9" t="n"/>
      <c r="E37" s="10" t="n"/>
      <c r="F37" s="11">
        <f>IF(A37="","",B37*C37)</f>
        <v/>
      </c>
      <c r="G37" s="11">
        <f>IF(A37="","",D37*E37)</f>
        <v/>
      </c>
      <c r="H37" s="11">
        <f>IF(A37="","",(SUM($D$5:$D$104)-SUM($B$5:$B$104))*IF(SUM($B$5:$B$104)=0,0,B37/SUM($B$5:$B$104))*C37)</f>
        <v/>
      </c>
      <c r="I37" s="11">
        <f>IF(A37="","",(D37-SUM($D$5:$D$104)*IF(SUM($B$5:$B$104)=0,0,B37/SUM($B$5:$B$104)))*C37)</f>
        <v/>
      </c>
      <c r="J37" s="11">
        <f>IF(A37="","",(E37-C37)*D37)</f>
        <v/>
      </c>
    </row>
    <row r="38">
      <c r="A38" s="8" t="n"/>
      <c r="B38" s="9" t="n"/>
      <c r="C38" s="10" t="n"/>
      <c r="D38" s="9" t="n"/>
      <c r="E38" s="10" t="n"/>
      <c r="F38" s="11">
        <f>IF(A38="","",B38*C38)</f>
        <v/>
      </c>
      <c r="G38" s="11">
        <f>IF(A38="","",D38*E38)</f>
        <v/>
      </c>
      <c r="H38" s="11">
        <f>IF(A38="","",(SUM($D$5:$D$104)-SUM($B$5:$B$104))*IF(SUM($B$5:$B$104)=0,0,B38/SUM($B$5:$B$104))*C38)</f>
        <v/>
      </c>
      <c r="I38" s="11">
        <f>IF(A38="","",(D38-SUM($D$5:$D$104)*IF(SUM($B$5:$B$104)=0,0,B38/SUM($B$5:$B$104)))*C38)</f>
        <v/>
      </c>
      <c r="J38" s="11">
        <f>IF(A38="","",(E38-C38)*D38)</f>
        <v/>
      </c>
    </row>
    <row r="39">
      <c r="A39" s="8" t="n"/>
      <c r="B39" s="9" t="n"/>
      <c r="C39" s="10" t="n"/>
      <c r="D39" s="9" t="n"/>
      <c r="E39" s="10" t="n"/>
      <c r="F39" s="11">
        <f>IF(A39="","",B39*C39)</f>
        <v/>
      </c>
      <c r="G39" s="11">
        <f>IF(A39="","",D39*E39)</f>
        <v/>
      </c>
      <c r="H39" s="11">
        <f>IF(A39="","",(SUM($D$5:$D$104)-SUM($B$5:$B$104))*IF(SUM($B$5:$B$104)=0,0,B39/SUM($B$5:$B$104))*C39)</f>
        <v/>
      </c>
      <c r="I39" s="11">
        <f>IF(A39="","",(D39-SUM($D$5:$D$104)*IF(SUM($B$5:$B$104)=0,0,B39/SUM($B$5:$B$104)))*C39)</f>
        <v/>
      </c>
      <c r="J39" s="11">
        <f>IF(A39="","",(E39-C39)*D39)</f>
        <v/>
      </c>
    </row>
    <row r="40">
      <c r="A40" s="8" t="n"/>
      <c r="B40" s="9" t="n"/>
      <c r="C40" s="10" t="n"/>
      <c r="D40" s="9" t="n"/>
      <c r="E40" s="10" t="n"/>
      <c r="F40" s="11">
        <f>IF(A40="","",B40*C40)</f>
        <v/>
      </c>
      <c r="G40" s="11">
        <f>IF(A40="","",D40*E40)</f>
        <v/>
      </c>
      <c r="H40" s="11">
        <f>IF(A40="","",(SUM($D$5:$D$104)-SUM($B$5:$B$104))*IF(SUM($B$5:$B$104)=0,0,B40/SUM($B$5:$B$104))*C40)</f>
        <v/>
      </c>
      <c r="I40" s="11">
        <f>IF(A40="","",(D40-SUM($D$5:$D$104)*IF(SUM($B$5:$B$104)=0,0,B40/SUM($B$5:$B$104)))*C40)</f>
        <v/>
      </c>
      <c r="J40" s="11">
        <f>IF(A40="","",(E40-C40)*D40)</f>
        <v/>
      </c>
    </row>
    <row r="41">
      <c r="A41" s="8" t="n"/>
      <c r="B41" s="9" t="n"/>
      <c r="C41" s="10" t="n"/>
      <c r="D41" s="9" t="n"/>
      <c r="E41" s="10" t="n"/>
      <c r="F41" s="11">
        <f>IF(A41="","",B41*C41)</f>
        <v/>
      </c>
      <c r="G41" s="11">
        <f>IF(A41="","",D41*E41)</f>
        <v/>
      </c>
      <c r="H41" s="11">
        <f>IF(A41="","",(SUM($D$5:$D$104)-SUM($B$5:$B$104))*IF(SUM($B$5:$B$104)=0,0,B41/SUM($B$5:$B$104))*C41)</f>
        <v/>
      </c>
      <c r="I41" s="11">
        <f>IF(A41="","",(D41-SUM($D$5:$D$104)*IF(SUM($B$5:$B$104)=0,0,B41/SUM($B$5:$B$104)))*C41)</f>
        <v/>
      </c>
      <c r="J41" s="11">
        <f>IF(A41="","",(E41-C41)*D41)</f>
        <v/>
      </c>
    </row>
    <row r="42">
      <c r="A42" s="8" t="n"/>
      <c r="B42" s="9" t="n"/>
      <c r="C42" s="10" t="n"/>
      <c r="D42" s="9" t="n"/>
      <c r="E42" s="10" t="n"/>
      <c r="F42" s="11">
        <f>IF(A42="","",B42*C42)</f>
        <v/>
      </c>
      <c r="G42" s="11">
        <f>IF(A42="","",D42*E42)</f>
        <v/>
      </c>
      <c r="H42" s="11">
        <f>IF(A42="","",(SUM($D$5:$D$104)-SUM($B$5:$B$104))*IF(SUM($B$5:$B$104)=0,0,B42/SUM($B$5:$B$104))*C42)</f>
        <v/>
      </c>
      <c r="I42" s="11">
        <f>IF(A42="","",(D42-SUM($D$5:$D$104)*IF(SUM($B$5:$B$104)=0,0,B42/SUM($B$5:$B$104)))*C42)</f>
        <v/>
      </c>
      <c r="J42" s="11">
        <f>IF(A42="","",(E42-C42)*D42)</f>
        <v/>
      </c>
    </row>
    <row r="43">
      <c r="A43" s="8" t="n"/>
      <c r="B43" s="9" t="n"/>
      <c r="C43" s="10" t="n"/>
      <c r="D43" s="9" t="n"/>
      <c r="E43" s="10" t="n"/>
      <c r="F43" s="11">
        <f>IF(A43="","",B43*C43)</f>
        <v/>
      </c>
      <c r="G43" s="11">
        <f>IF(A43="","",D43*E43)</f>
        <v/>
      </c>
      <c r="H43" s="11">
        <f>IF(A43="","",(SUM($D$5:$D$104)-SUM($B$5:$B$104))*IF(SUM($B$5:$B$104)=0,0,B43/SUM($B$5:$B$104))*C43)</f>
        <v/>
      </c>
      <c r="I43" s="11">
        <f>IF(A43="","",(D43-SUM($D$5:$D$104)*IF(SUM($B$5:$B$104)=0,0,B43/SUM($B$5:$B$104)))*C43)</f>
        <v/>
      </c>
      <c r="J43" s="11">
        <f>IF(A43="","",(E43-C43)*D43)</f>
        <v/>
      </c>
    </row>
    <row r="44">
      <c r="A44" s="8" t="n"/>
      <c r="B44" s="9" t="n"/>
      <c r="C44" s="10" t="n"/>
      <c r="D44" s="9" t="n"/>
      <c r="E44" s="10" t="n"/>
      <c r="F44" s="11">
        <f>IF(A44="","",B44*C44)</f>
        <v/>
      </c>
      <c r="G44" s="11">
        <f>IF(A44="","",D44*E44)</f>
        <v/>
      </c>
      <c r="H44" s="11">
        <f>IF(A44="","",(SUM($D$5:$D$104)-SUM($B$5:$B$104))*IF(SUM($B$5:$B$104)=0,0,B44/SUM($B$5:$B$104))*C44)</f>
        <v/>
      </c>
      <c r="I44" s="11">
        <f>IF(A44="","",(D44-SUM($D$5:$D$104)*IF(SUM($B$5:$B$104)=0,0,B44/SUM($B$5:$B$104)))*C44)</f>
        <v/>
      </c>
      <c r="J44" s="11">
        <f>IF(A44="","",(E44-C44)*D44)</f>
        <v/>
      </c>
    </row>
    <row r="45">
      <c r="A45" s="8" t="n"/>
      <c r="B45" s="9" t="n"/>
      <c r="C45" s="10" t="n"/>
      <c r="D45" s="9" t="n"/>
      <c r="E45" s="10" t="n"/>
      <c r="F45" s="11">
        <f>IF(A45="","",B45*C45)</f>
        <v/>
      </c>
      <c r="G45" s="11">
        <f>IF(A45="","",D45*E45)</f>
        <v/>
      </c>
      <c r="H45" s="11">
        <f>IF(A45="","",(SUM($D$5:$D$104)-SUM($B$5:$B$104))*IF(SUM($B$5:$B$104)=0,0,B45/SUM($B$5:$B$104))*C45)</f>
        <v/>
      </c>
      <c r="I45" s="11">
        <f>IF(A45="","",(D45-SUM($D$5:$D$104)*IF(SUM($B$5:$B$104)=0,0,B45/SUM($B$5:$B$104)))*C45)</f>
        <v/>
      </c>
      <c r="J45" s="11">
        <f>IF(A45="","",(E45-C45)*D45)</f>
        <v/>
      </c>
    </row>
    <row r="46">
      <c r="A46" s="8" t="n"/>
      <c r="B46" s="9" t="n"/>
      <c r="C46" s="10" t="n"/>
      <c r="D46" s="9" t="n"/>
      <c r="E46" s="10" t="n"/>
      <c r="F46" s="11">
        <f>IF(A46="","",B46*C46)</f>
        <v/>
      </c>
      <c r="G46" s="11">
        <f>IF(A46="","",D46*E46)</f>
        <v/>
      </c>
      <c r="H46" s="11">
        <f>IF(A46="","",(SUM($D$5:$D$104)-SUM($B$5:$B$104))*IF(SUM($B$5:$B$104)=0,0,B46/SUM($B$5:$B$104))*C46)</f>
        <v/>
      </c>
      <c r="I46" s="11">
        <f>IF(A46="","",(D46-SUM($D$5:$D$104)*IF(SUM($B$5:$B$104)=0,0,B46/SUM($B$5:$B$104)))*C46)</f>
        <v/>
      </c>
      <c r="J46" s="11">
        <f>IF(A46="","",(E46-C46)*D46)</f>
        <v/>
      </c>
    </row>
    <row r="47">
      <c r="A47" s="8" t="n"/>
      <c r="B47" s="9" t="n"/>
      <c r="C47" s="10" t="n"/>
      <c r="D47" s="9" t="n"/>
      <c r="E47" s="10" t="n"/>
      <c r="F47" s="11">
        <f>IF(A47="","",B47*C47)</f>
        <v/>
      </c>
      <c r="G47" s="11">
        <f>IF(A47="","",D47*E47)</f>
        <v/>
      </c>
      <c r="H47" s="11">
        <f>IF(A47="","",(SUM($D$5:$D$104)-SUM($B$5:$B$104))*IF(SUM($B$5:$B$104)=0,0,B47/SUM($B$5:$B$104))*C47)</f>
        <v/>
      </c>
      <c r="I47" s="11">
        <f>IF(A47="","",(D47-SUM($D$5:$D$104)*IF(SUM($B$5:$B$104)=0,0,B47/SUM($B$5:$B$104)))*C47)</f>
        <v/>
      </c>
      <c r="J47" s="11">
        <f>IF(A47="","",(E47-C47)*D47)</f>
        <v/>
      </c>
    </row>
    <row r="48">
      <c r="A48" s="8" t="n"/>
      <c r="B48" s="9" t="n"/>
      <c r="C48" s="10" t="n"/>
      <c r="D48" s="9" t="n"/>
      <c r="E48" s="10" t="n"/>
      <c r="F48" s="11">
        <f>IF(A48="","",B48*C48)</f>
        <v/>
      </c>
      <c r="G48" s="11">
        <f>IF(A48="","",D48*E48)</f>
        <v/>
      </c>
      <c r="H48" s="11">
        <f>IF(A48="","",(SUM($D$5:$D$104)-SUM($B$5:$B$104))*IF(SUM($B$5:$B$104)=0,0,B48/SUM($B$5:$B$104))*C48)</f>
        <v/>
      </c>
      <c r="I48" s="11">
        <f>IF(A48="","",(D48-SUM($D$5:$D$104)*IF(SUM($B$5:$B$104)=0,0,B48/SUM($B$5:$B$104)))*C48)</f>
        <v/>
      </c>
      <c r="J48" s="11">
        <f>IF(A48="","",(E48-C48)*D48)</f>
        <v/>
      </c>
    </row>
    <row r="49">
      <c r="A49" s="8" t="n"/>
      <c r="B49" s="9" t="n"/>
      <c r="C49" s="10" t="n"/>
      <c r="D49" s="9" t="n"/>
      <c r="E49" s="10" t="n"/>
      <c r="F49" s="11">
        <f>IF(A49="","",B49*C49)</f>
        <v/>
      </c>
      <c r="G49" s="11">
        <f>IF(A49="","",D49*E49)</f>
        <v/>
      </c>
      <c r="H49" s="11">
        <f>IF(A49="","",(SUM($D$5:$D$104)-SUM($B$5:$B$104))*IF(SUM($B$5:$B$104)=0,0,B49/SUM($B$5:$B$104))*C49)</f>
        <v/>
      </c>
      <c r="I49" s="11">
        <f>IF(A49="","",(D49-SUM($D$5:$D$104)*IF(SUM($B$5:$B$104)=0,0,B49/SUM($B$5:$B$104)))*C49)</f>
        <v/>
      </c>
      <c r="J49" s="11">
        <f>IF(A49="","",(E49-C49)*D49)</f>
        <v/>
      </c>
    </row>
    <row r="50">
      <c r="A50" s="8" t="n"/>
      <c r="B50" s="9" t="n"/>
      <c r="C50" s="10" t="n"/>
      <c r="D50" s="9" t="n"/>
      <c r="E50" s="10" t="n"/>
      <c r="F50" s="11">
        <f>IF(A50="","",B50*C50)</f>
        <v/>
      </c>
      <c r="G50" s="11">
        <f>IF(A50="","",D50*E50)</f>
        <v/>
      </c>
      <c r="H50" s="11">
        <f>IF(A50="","",(SUM($D$5:$D$104)-SUM($B$5:$B$104))*IF(SUM($B$5:$B$104)=0,0,B50/SUM($B$5:$B$104))*C50)</f>
        <v/>
      </c>
      <c r="I50" s="11">
        <f>IF(A50="","",(D50-SUM($D$5:$D$104)*IF(SUM($B$5:$B$104)=0,0,B50/SUM($B$5:$B$104)))*C50)</f>
        <v/>
      </c>
      <c r="J50" s="11">
        <f>IF(A50="","",(E50-C50)*D50)</f>
        <v/>
      </c>
    </row>
    <row r="51">
      <c r="A51" s="8" t="n"/>
      <c r="B51" s="9" t="n"/>
      <c r="C51" s="10" t="n"/>
      <c r="D51" s="9" t="n"/>
      <c r="E51" s="10" t="n"/>
      <c r="F51" s="11">
        <f>IF(A51="","",B51*C51)</f>
        <v/>
      </c>
      <c r="G51" s="11">
        <f>IF(A51="","",D51*E51)</f>
        <v/>
      </c>
      <c r="H51" s="11">
        <f>IF(A51="","",(SUM($D$5:$D$104)-SUM($B$5:$B$104))*IF(SUM($B$5:$B$104)=0,0,B51/SUM($B$5:$B$104))*C51)</f>
        <v/>
      </c>
      <c r="I51" s="11">
        <f>IF(A51="","",(D51-SUM($D$5:$D$104)*IF(SUM($B$5:$B$104)=0,0,B51/SUM($B$5:$B$104)))*C51)</f>
        <v/>
      </c>
      <c r="J51" s="11">
        <f>IF(A51="","",(E51-C51)*D51)</f>
        <v/>
      </c>
    </row>
    <row r="52">
      <c r="A52" s="8" t="n"/>
      <c r="B52" s="9" t="n"/>
      <c r="C52" s="10" t="n"/>
      <c r="D52" s="9" t="n"/>
      <c r="E52" s="10" t="n"/>
      <c r="F52" s="11">
        <f>IF(A52="","",B52*C52)</f>
        <v/>
      </c>
      <c r="G52" s="11">
        <f>IF(A52="","",D52*E52)</f>
        <v/>
      </c>
      <c r="H52" s="11">
        <f>IF(A52="","",(SUM($D$5:$D$104)-SUM($B$5:$B$104))*IF(SUM($B$5:$B$104)=0,0,B52/SUM($B$5:$B$104))*C52)</f>
        <v/>
      </c>
      <c r="I52" s="11">
        <f>IF(A52="","",(D52-SUM($D$5:$D$104)*IF(SUM($B$5:$B$104)=0,0,B52/SUM($B$5:$B$104)))*C52)</f>
        <v/>
      </c>
      <c r="J52" s="11">
        <f>IF(A52="","",(E52-C52)*D52)</f>
        <v/>
      </c>
    </row>
    <row r="53">
      <c r="A53" s="8" t="n"/>
      <c r="B53" s="9" t="n"/>
      <c r="C53" s="10" t="n"/>
      <c r="D53" s="9" t="n"/>
      <c r="E53" s="10" t="n"/>
      <c r="F53" s="11">
        <f>IF(A53="","",B53*C53)</f>
        <v/>
      </c>
      <c r="G53" s="11">
        <f>IF(A53="","",D53*E53)</f>
        <v/>
      </c>
      <c r="H53" s="11">
        <f>IF(A53="","",(SUM($D$5:$D$104)-SUM($B$5:$B$104))*IF(SUM($B$5:$B$104)=0,0,B53/SUM($B$5:$B$104))*C53)</f>
        <v/>
      </c>
      <c r="I53" s="11">
        <f>IF(A53="","",(D53-SUM($D$5:$D$104)*IF(SUM($B$5:$B$104)=0,0,B53/SUM($B$5:$B$104)))*C53)</f>
        <v/>
      </c>
      <c r="J53" s="11">
        <f>IF(A53="","",(E53-C53)*D53)</f>
        <v/>
      </c>
    </row>
    <row r="54">
      <c r="A54" s="8" t="n"/>
      <c r="B54" s="9" t="n"/>
      <c r="C54" s="10" t="n"/>
      <c r="D54" s="9" t="n"/>
      <c r="E54" s="10" t="n"/>
      <c r="F54" s="11">
        <f>IF(A54="","",B54*C54)</f>
        <v/>
      </c>
      <c r="G54" s="11">
        <f>IF(A54="","",D54*E54)</f>
        <v/>
      </c>
      <c r="H54" s="11">
        <f>IF(A54="","",(SUM($D$5:$D$104)-SUM($B$5:$B$104))*IF(SUM($B$5:$B$104)=0,0,B54/SUM($B$5:$B$104))*C54)</f>
        <v/>
      </c>
      <c r="I54" s="11">
        <f>IF(A54="","",(D54-SUM($D$5:$D$104)*IF(SUM($B$5:$B$104)=0,0,B54/SUM($B$5:$B$104)))*C54)</f>
        <v/>
      </c>
      <c r="J54" s="11">
        <f>IF(A54="","",(E54-C54)*D54)</f>
        <v/>
      </c>
    </row>
    <row r="55">
      <c r="A55" s="8" t="n"/>
      <c r="B55" s="9" t="n"/>
      <c r="C55" s="10" t="n"/>
      <c r="D55" s="9" t="n"/>
      <c r="E55" s="10" t="n"/>
      <c r="F55" s="11">
        <f>IF(A55="","",B55*C55)</f>
        <v/>
      </c>
      <c r="G55" s="11">
        <f>IF(A55="","",D55*E55)</f>
        <v/>
      </c>
      <c r="H55" s="11">
        <f>IF(A55="","",(SUM($D$5:$D$104)-SUM($B$5:$B$104))*IF(SUM($B$5:$B$104)=0,0,B55/SUM($B$5:$B$104))*C55)</f>
        <v/>
      </c>
      <c r="I55" s="11">
        <f>IF(A55="","",(D55-SUM($D$5:$D$104)*IF(SUM($B$5:$B$104)=0,0,B55/SUM($B$5:$B$104)))*C55)</f>
        <v/>
      </c>
      <c r="J55" s="11">
        <f>IF(A55="","",(E55-C55)*D55)</f>
        <v/>
      </c>
    </row>
    <row r="56">
      <c r="A56" s="8" t="n"/>
      <c r="B56" s="9" t="n"/>
      <c r="C56" s="10" t="n"/>
      <c r="D56" s="9" t="n"/>
      <c r="E56" s="10" t="n"/>
      <c r="F56" s="11">
        <f>IF(A56="","",B56*C56)</f>
        <v/>
      </c>
      <c r="G56" s="11">
        <f>IF(A56="","",D56*E56)</f>
        <v/>
      </c>
      <c r="H56" s="11">
        <f>IF(A56="","",(SUM($D$5:$D$104)-SUM($B$5:$B$104))*IF(SUM($B$5:$B$104)=0,0,B56/SUM($B$5:$B$104))*C56)</f>
        <v/>
      </c>
      <c r="I56" s="11">
        <f>IF(A56="","",(D56-SUM($D$5:$D$104)*IF(SUM($B$5:$B$104)=0,0,B56/SUM($B$5:$B$104)))*C56)</f>
        <v/>
      </c>
      <c r="J56" s="11">
        <f>IF(A56="","",(E56-C56)*D56)</f>
        <v/>
      </c>
    </row>
    <row r="57">
      <c r="A57" s="8" t="n"/>
      <c r="B57" s="9" t="n"/>
      <c r="C57" s="10" t="n"/>
      <c r="D57" s="9" t="n"/>
      <c r="E57" s="10" t="n"/>
      <c r="F57" s="11">
        <f>IF(A57="","",B57*C57)</f>
        <v/>
      </c>
      <c r="G57" s="11">
        <f>IF(A57="","",D57*E57)</f>
        <v/>
      </c>
      <c r="H57" s="11">
        <f>IF(A57="","",(SUM($D$5:$D$104)-SUM($B$5:$B$104))*IF(SUM($B$5:$B$104)=0,0,B57/SUM($B$5:$B$104))*C57)</f>
        <v/>
      </c>
      <c r="I57" s="11">
        <f>IF(A57="","",(D57-SUM($D$5:$D$104)*IF(SUM($B$5:$B$104)=0,0,B57/SUM($B$5:$B$104)))*C57)</f>
        <v/>
      </c>
      <c r="J57" s="11">
        <f>IF(A57="","",(E57-C57)*D57)</f>
        <v/>
      </c>
    </row>
    <row r="58">
      <c r="A58" s="8" t="n"/>
      <c r="B58" s="9" t="n"/>
      <c r="C58" s="10" t="n"/>
      <c r="D58" s="9" t="n"/>
      <c r="E58" s="10" t="n"/>
      <c r="F58" s="11">
        <f>IF(A58="","",B58*C58)</f>
        <v/>
      </c>
      <c r="G58" s="11">
        <f>IF(A58="","",D58*E58)</f>
        <v/>
      </c>
      <c r="H58" s="11">
        <f>IF(A58="","",(SUM($D$5:$D$104)-SUM($B$5:$B$104))*IF(SUM($B$5:$B$104)=0,0,B58/SUM($B$5:$B$104))*C58)</f>
        <v/>
      </c>
      <c r="I58" s="11">
        <f>IF(A58="","",(D58-SUM($D$5:$D$104)*IF(SUM($B$5:$B$104)=0,0,B58/SUM($B$5:$B$104)))*C58)</f>
        <v/>
      </c>
      <c r="J58" s="11">
        <f>IF(A58="","",(E58-C58)*D58)</f>
        <v/>
      </c>
    </row>
    <row r="59">
      <c r="A59" s="8" t="n"/>
      <c r="B59" s="9" t="n"/>
      <c r="C59" s="10" t="n"/>
      <c r="D59" s="9" t="n"/>
      <c r="E59" s="10" t="n"/>
      <c r="F59" s="11">
        <f>IF(A59="","",B59*C59)</f>
        <v/>
      </c>
      <c r="G59" s="11">
        <f>IF(A59="","",D59*E59)</f>
        <v/>
      </c>
      <c r="H59" s="11">
        <f>IF(A59="","",(SUM($D$5:$D$104)-SUM($B$5:$B$104))*IF(SUM($B$5:$B$104)=0,0,B59/SUM($B$5:$B$104))*C59)</f>
        <v/>
      </c>
      <c r="I59" s="11">
        <f>IF(A59="","",(D59-SUM($D$5:$D$104)*IF(SUM($B$5:$B$104)=0,0,B59/SUM($B$5:$B$104)))*C59)</f>
        <v/>
      </c>
      <c r="J59" s="11">
        <f>IF(A59="","",(E59-C59)*D59)</f>
        <v/>
      </c>
    </row>
    <row r="60">
      <c r="A60" s="8" t="n"/>
      <c r="B60" s="9" t="n"/>
      <c r="C60" s="10" t="n"/>
      <c r="D60" s="9" t="n"/>
      <c r="E60" s="10" t="n"/>
      <c r="F60" s="11">
        <f>IF(A60="","",B60*C60)</f>
        <v/>
      </c>
      <c r="G60" s="11">
        <f>IF(A60="","",D60*E60)</f>
        <v/>
      </c>
      <c r="H60" s="11">
        <f>IF(A60="","",(SUM($D$5:$D$104)-SUM($B$5:$B$104))*IF(SUM($B$5:$B$104)=0,0,B60/SUM($B$5:$B$104))*C60)</f>
        <v/>
      </c>
      <c r="I60" s="11">
        <f>IF(A60="","",(D60-SUM($D$5:$D$104)*IF(SUM($B$5:$B$104)=0,0,B60/SUM($B$5:$B$104)))*C60)</f>
        <v/>
      </c>
      <c r="J60" s="11">
        <f>IF(A60="","",(E60-C60)*D60)</f>
        <v/>
      </c>
    </row>
    <row r="61">
      <c r="A61" s="8" t="n"/>
      <c r="B61" s="9" t="n"/>
      <c r="C61" s="10" t="n"/>
      <c r="D61" s="9" t="n"/>
      <c r="E61" s="10" t="n"/>
      <c r="F61" s="11">
        <f>IF(A61="","",B61*C61)</f>
        <v/>
      </c>
      <c r="G61" s="11">
        <f>IF(A61="","",D61*E61)</f>
        <v/>
      </c>
      <c r="H61" s="11">
        <f>IF(A61="","",(SUM($D$5:$D$104)-SUM($B$5:$B$104))*IF(SUM($B$5:$B$104)=0,0,B61/SUM($B$5:$B$104))*C61)</f>
        <v/>
      </c>
      <c r="I61" s="11">
        <f>IF(A61="","",(D61-SUM($D$5:$D$104)*IF(SUM($B$5:$B$104)=0,0,B61/SUM($B$5:$B$104)))*C61)</f>
        <v/>
      </c>
      <c r="J61" s="11">
        <f>IF(A61="","",(E61-C61)*D61)</f>
        <v/>
      </c>
    </row>
    <row r="62">
      <c r="A62" s="8" t="n"/>
      <c r="B62" s="9" t="n"/>
      <c r="C62" s="10" t="n"/>
      <c r="D62" s="9" t="n"/>
      <c r="E62" s="10" t="n"/>
      <c r="F62" s="11">
        <f>IF(A62="","",B62*C62)</f>
        <v/>
      </c>
      <c r="G62" s="11">
        <f>IF(A62="","",D62*E62)</f>
        <v/>
      </c>
      <c r="H62" s="11">
        <f>IF(A62="","",(SUM($D$5:$D$104)-SUM($B$5:$B$104))*IF(SUM($B$5:$B$104)=0,0,B62/SUM($B$5:$B$104))*C62)</f>
        <v/>
      </c>
      <c r="I62" s="11">
        <f>IF(A62="","",(D62-SUM($D$5:$D$104)*IF(SUM($B$5:$B$104)=0,0,B62/SUM($B$5:$B$104)))*C62)</f>
        <v/>
      </c>
      <c r="J62" s="11">
        <f>IF(A62="","",(E62-C62)*D62)</f>
        <v/>
      </c>
    </row>
    <row r="63">
      <c r="A63" s="8" t="n"/>
      <c r="B63" s="9" t="n"/>
      <c r="C63" s="10" t="n"/>
      <c r="D63" s="9" t="n"/>
      <c r="E63" s="10" t="n"/>
      <c r="F63" s="11">
        <f>IF(A63="","",B63*C63)</f>
        <v/>
      </c>
      <c r="G63" s="11">
        <f>IF(A63="","",D63*E63)</f>
        <v/>
      </c>
      <c r="H63" s="11">
        <f>IF(A63="","",(SUM($D$5:$D$104)-SUM($B$5:$B$104))*IF(SUM($B$5:$B$104)=0,0,B63/SUM($B$5:$B$104))*C63)</f>
        <v/>
      </c>
      <c r="I63" s="11">
        <f>IF(A63="","",(D63-SUM($D$5:$D$104)*IF(SUM($B$5:$B$104)=0,0,B63/SUM($B$5:$B$104)))*C63)</f>
        <v/>
      </c>
      <c r="J63" s="11">
        <f>IF(A63="","",(E63-C63)*D63)</f>
        <v/>
      </c>
    </row>
    <row r="64">
      <c r="A64" s="8" t="n"/>
      <c r="B64" s="9" t="n"/>
      <c r="C64" s="10" t="n"/>
      <c r="D64" s="9" t="n"/>
      <c r="E64" s="10" t="n"/>
      <c r="F64" s="11">
        <f>IF(A64="","",B64*C64)</f>
        <v/>
      </c>
      <c r="G64" s="11">
        <f>IF(A64="","",D64*E64)</f>
        <v/>
      </c>
      <c r="H64" s="11">
        <f>IF(A64="","",(SUM($D$5:$D$104)-SUM($B$5:$B$104))*IF(SUM($B$5:$B$104)=0,0,B64/SUM($B$5:$B$104))*C64)</f>
        <v/>
      </c>
      <c r="I64" s="11">
        <f>IF(A64="","",(D64-SUM($D$5:$D$104)*IF(SUM($B$5:$B$104)=0,0,B64/SUM($B$5:$B$104)))*C64)</f>
        <v/>
      </c>
      <c r="J64" s="11">
        <f>IF(A64="","",(E64-C64)*D64)</f>
        <v/>
      </c>
    </row>
    <row r="65">
      <c r="A65" s="8" t="n"/>
      <c r="B65" s="9" t="n"/>
      <c r="C65" s="10" t="n"/>
      <c r="D65" s="9" t="n"/>
      <c r="E65" s="10" t="n"/>
      <c r="F65" s="11">
        <f>IF(A65="","",B65*C65)</f>
        <v/>
      </c>
      <c r="G65" s="11">
        <f>IF(A65="","",D65*E65)</f>
        <v/>
      </c>
      <c r="H65" s="11">
        <f>IF(A65="","",(SUM($D$5:$D$104)-SUM($B$5:$B$104))*IF(SUM($B$5:$B$104)=0,0,B65/SUM($B$5:$B$104))*C65)</f>
        <v/>
      </c>
      <c r="I65" s="11">
        <f>IF(A65="","",(D65-SUM($D$5:$D$104)*IF(SUM($B$5:$B$104)=0,0,B65/SUM($B$5:$B$104)))*C65)</f>
        <v/>
      </c>
      <c r="J65" s="11">
        <f>IF(A65="","",(E65-C65)*D65)</f>
        <v/>
      </c>
    </row>
    <row r="66">
      <c r="A66" s="8" t="n"/>
      <c r="B66" s="9" t="n"/>
      <c r="C66" s="10" t="n"/>
      <c r="D66" s="9" t="n"/>
      <c r="E66" s="10" t="n"/>
      <c r="F66" s="11">
        <f>IF(A66="","",B66*C66)</f>
        <v/>
      </c>
      <c r="G66" s="11">
        <f>IF(A66="","",D66*E66)</f>
        <v/>
      </c>
      <c r="H66" s="11">
        <f>IF(A66="","",(SUM($D$5:$D$104)-SUM($B$5:$B$104))*IF(SUM($B$5:$B$104)=0,0,B66/SUM($B$5:$B$104))*C66)</f>
        <v/>
      </c>
      <c r="I66" s="11">
        <f>IF(A66="","",(D66-SUM($D$5:$D$104)*IF(SUM($B$5:$B$104)=0,0,B66/SUM($B$5:$B$104)))*C66)</f>
        <v/>
      </c>
      <c r="J66" s="11">
        <f>IF(A66="","",(E66-C66)*D66)</f>
        <v/>
      </c>
    </row>
    <row r="67">
      <c r="A67" s="8" t="n"/>
      <c r="B67" s="9" t="n"/>
      <c r="C67" s="10" t="n"/>
      <c r="D67" s="9" t="n"/>
      <c r="E67" s="10" t="n"/>
      <c r="F67" s="11">
        <f>IF(A67="","",B67*C67)</f>
        <v/>
      </c>
      <c r="G67" s="11">
        <f>IF(A67="","",D67*E67)</f>
        <v/>
      </c>
      <c r="H67" s="11">
        <f>IF(A67="","",(SUM($D$5:$D$104)-SUM($B$5:$B$104))*IF(SUM($B$5:$B$104)=0,0,B67/SUM($B$5:$B$104))*C67)</f>
        <v/>
      </c>
      <c r="I67" s="11">
        <f>IF(A67="","",(D67-SUM($D$5:$D$104)*IF(SUM($B$5:$B$104)=0,0,B67/SUM($B$5:$B$104)))*C67)</f>
        <v/>
      </c>
      <c r="J67" s="11">
        <f>IF(A67="","",(E67-C67)*D67)</f>
        <v/>
      </c>
    </row>
    <row r="68">
      <c r="A68" s="8" t="n"/>
      <c r="B68" s="9" t="n"/>
      <c r="C68" s="10" t="n"/>
      <c r="D68" s="9" t="n"/>
      <c r="E68" s="10" t="n"/>
      <c r="F68" s="11">
        <f>IF(A68="","",B68*C68)</f>
        <v/>
      </c>
      <c r="G68" s="11">
        <f>IF(A68="","",D68*E68)</f>
        <v/>
      </c>
      <c r="H68" s="11">
        <f>IF(A68="","",(SUM($D$5:$D$104)-SUM($B$5:$B$104))*IF(SUM($B$5:$B$104)=0,0,B68/SUM($B$5:$B$104))*C68)</f>
        <v/>
      </c>
      <c r="I68" s="11">
        <f>IF(A68="","",(D68-SUM($D$5:$D$104)*IF(SUM($B$5:$B$104)=0,0,B68/SUM($B$5:$B$104)))*C68)</f>
        <v/>
      </c>
      <c r="J68" s="11">
        <f>IF(A68="","",(E68-C68)*D68)</f>
        <v/>
      </c>
    </row>
    <row r="69">
      <c r="A69" s="8" t="n"/>
      <c r="B69" s="9" t="n"/>
      <c r="C69" s="10" t="n"/>
      <c r="D69" s="9" t="n"/>
      <c r="E69" s="10" t="n"/>
      <c r="F69" s="11">
        <f>IF(A69="","",B69*C69)</f>
        <v/>
      </c>
      <c r="G69" s="11">
        <f>IF(A69="","",D69*E69)</f>
        <v/>
      </c>
      <c r="H69" s="11">
        <f>IF(A69="","",(SUM($D$5:$D$104)-SUM($B$5:$B$104))*IF(SUM($B$5:$B$104)=0,0,B69/SUM($B$5:$B$104))*C69)</f>
        <v/>
      </c>
      <c r="I69" s="11">
        <f>IF(A69="","",(D69-SUM($D$5:$D$104)*IF(SUM($B$5:$B$104)=0,0,B69/SUM($B$5:$B$104)))*C69)</f>
        <v/>
      </c>
      <c r="J69" s="11">
        <f>IF(A69="","",(E69-C69)*D69)</f>
        <v/>
      </c>
    </row>
    <row r="70">
      <c r="A70" s="8" t="n"/>
      <c r="B70" s="9" t="n"/>
      <c r="C70" s="10" t="n"/>
      <c r="D70" s="9" t="n"/>
      <c r="E70" s="10" t="n"/>
      <c r="F70" s="11">
        <f>IF(A70="","",B70*C70)</f>
        <v/>
      </c>
      <c r="G70" s="11">
        <f>IF(A70="","",D70*E70)</f>
        <v/>
      </c>
      <c r="H70" s="11">
        <f>IF(A70="","",(SUM($D$5:$D$104)-SUM($B$5:$B$104))*IF(SUM($B$5:$B$104)=0,0,B70/SUM($B$5:$B$104))*C70)</f>
        <v/>
      </c>
      <c r="I70" s="11">
        <f>IF(A70="","",(D70-SUM($D$5:$D$104)*IF(SUM($B$5:$B$104)=0,0,B70/SUM($B$5:$B$104)))*C70)</f>
        <v/>
      </c>
      <c r="J70" s="11">
        <f>IF(A70="","",(E70-C70)*D70)</f>
        <v/>
      </c>
    </row>
    <row r="71">
      <c r="A71" s="8" t="n"/>
      <c r="B71" s="9" t="n"/>
      <c r="C71" s="10" t="n"/>
      <c r="D71" s="9" t="n"/>
      <c r="E71" s="10" t="n"/>
      <c r="F71" s="11">
        <f>IF(A71="","",B71*C71)</f>
        <v/>
      </c>
      <c r="G71" s="11">
        <f>IF(A71="","",D71*E71)</f>
        <v/>
      </c>
      <c r="H71" s="11">
        <f>IF(A71="","",(SUM($D$5:$D$104)-SUM($B$5:$B$104))*IF(SUM($B$5:$B$104)=0,0,B71/SUM($B$5:$B$104))*C71)</f>
        <v/>
      </c>
      <c r="I71" s="11">
        <f>IF(A71="","",(D71-SUM($D$5:$D$104)*IF(SUM($B$5:$B$104)=0,0,B71/SUM($B$5:$B$104)))*C71)</f>
        <v/>
      </c>
      <c r="J71" s="11">
        <f>IF(A71="","",(E71-C71)*D71)</f>
        <v/>
      </c>
    </row>
    <row r="72">
      <c r="A72" s="8" t="n"/>
      <c r="B72" s="9" t="n"/>
      <c r="C72" s="10" t="n"/>
      <c r="D72" s="9" t="n"/>
      <c r="E72" s="10" t="n"/>
      <c r="F72" s="11">
        <f>IF(A72="","",B72*C72)</f>
        <v/>
      </c>
      <c r="G72" s="11">
        <f>IF(A72="","",D72*E72)</f>
        <v/>
      </c>
      <c r="H72" s="11">
        <f>IF(A72="","",(SUM($D$5:$D$104)-SUM($B$5:$B$104))*IF(SUM($B$5:$B$104)=0,0,B72/SUM($B$5:$B$104))*C72)</f>
        <v/>
      </c>
      <c r="I72" s="11">
        <f>IF(A72="","",(D72-SUM($D$5:$D$104)*IF(SUM($B$5:$B$104)=0,0,B72/SUM($B$5:$B$104)))*C72)</f>
        <v/>
      </c>
      <c r="J72" s="11">
        <f>IF(A72="","",(E72-C72)*D72)</f>
        <v/>
      </c>
    </row>
    <row r="73">
      <c r="A73" s="8" t="n"/>
      <c r="B73" s="9" t="n"/>
      <c r="C73" s="10" t="n"/>
      <c r="D73" s="9" t="n"/>
      <c r="E73" s="10" t="n"/>
      <c r="F73" s="11">
        <f>IF(A73="","",B73*C73)</f>
        <v/>
      </c>
      <c r="G73" s="11">
        <f>IF(A73="","",D73*E73)</f>
        <v/>
      </c>
      <c r="H73" s="11">
        <f>IF(A73="","",(SUM($D$5:$D$104)-SUM($B$5:$B$104))*IF(SUM($B$5:$B$104)=0,0,B73/SUM($B$5:$B$104))*C73)</f>
        <v/>
      </c>
      <c r="I73" s="11">
        <f>IF(A73="","",(D73-SUM($D$5:$D$104)*IF(SUM($B$5:$B$104)=0,0,B73/SUM($B$5:$B$104)))*C73)</f>
        <v/>
      </c>
      <c r="J73" s="11">
        <f>IF(A73="","",(E73-C73)*D73)</f>
        <v/>
      </c>
    </row>
    <row r="74">
      <c r="A74" s="8" t="n"/>
      <c r="B74" s="9" t="n"/>
      <c r="C74" s="10" t="n"/>
      <c r="D74" s="9" t="n"/>
      <c r="E74" s="10" t="n"/>
      <c r="F74" s="11">
        <f>IF(A74="","",B74*C74)</f>
        <v/>
      </c>
      <c r="G74" s="11">
        <f>IF(A74="","",D74*E74)</f>
        <v/>
      </c>
      <c r="H74" s="11">
        <f>IF(A74="","",(SUM($D$5:$D$104)-SUM($B$5:$B$104))*IF(SUM($B$5:$B$104)=0,0,B74/SUM($B$5:$B$104))*C74)</f>
        <v/>
      </c>
      <c r="I74" s="11">
        <f>IF(A74="","",(D74-SUM($D$5:$D$104)*IF(SUM($B$5:$B$104)=0,0,B74/SUM($B$5:$B$104)))*C74)</f>
        <v/>
      </c>
      <c r="J74" s="11">
        <f>IF(A74="","",(E74-C74)*D74)</f>
        <v/>
      </c>
    </row>
    <row r="75">
      <c r="A75" s="8" t="n"/>
      <c r="B75" s="9" t="n"/>
      <c r="C75" s="10" t="n"/>
      <c r="D75" s="9" t="n"/>
      <c r="E75" s="10" t="n"/>
      <c r="F75" s="11">
        <f>IF(A75="","",B75*C75)</f>
        <v/>
      </c>
      <c r="G75" s="11">
        <f>IF(A75="","",D75*E75)</f>
        <v/>
      </c>
      <c r="H75" s="11">
        <f>IF(A75="","",(SUM($D$5:$D$104)-SUM($B$5:$B$104))*IF(SUM($B$5:$B$104)=0,0,B75/SUM($B$5:$B$104))*C75)</f>
        <v/>
      </c>
      <c r="I75" s="11">
        <f>IF(A75="","",(D75-SUM($D$5:$D$104)*IF(SUM($B$5:$B$104)=0,0,B75/SUM($B$5:$B$104)))*C75)</f>
        <v/>
      </c>
      <c r="J75" s="11">
        <f>IF(A75="","",(E75-C75)*D75)</f>
        <v/>
      </c>
    </row>
    <row r="76">
      <c r="A76" s="8" t="n"/>
      <c r="B76" s="9" t="n"/>
      <c r="C76" s="10" t="n"/>
      <c r="D76" s="9" t="n"/>
      <c r="E76" s="10" t="n"/>
      <c r="F76" s="11">
        <f>IF(A76="","",B76*C76)</f>
        <v/>
      </c>
      <c r="G76" s="11">
        <f>IF(A76="","",D76*E76)</f>
        <v/>
      </c>
      <c r="H76" s="11">
        <f>IF(A76="","",(SUM($D$5:$D$104)-SUM($B$5:$B$104))*IF(SUM($B$5:$B$104)=0,0,B76/SUM($B$5:$B$104))*C76)</f>
        <v/>
      </c>
      <c r="I76" s="11">
        <f>IF(A76="","",(D76-SUM($D$5:$D$104)*IF(SUM($B$5:$B$104)=0,0,B76/SUM($B$5:$B$104)))*C76)</f>
        <v/>
      </c>
      <c r="J76" s="11">
        <f>IF(A76="","",(E76-C76)*D76)</f>
        <v/>
      </c>
    </row>
    <row r="77">
      <c r="A77" s="8" t="n"/>
      <c r="B77" s="9" t="n"/>
      <c r="C77" s="10" t="n"/>
      <c r="D77" s="9" t="n"/>
      <c r="E77" s="10" t="n"/>
      <c r="F77" s="11">
        <f>IF(A77="","",B77*C77)</f>
        <v/>
      </c>
      <c r="G77" s="11">
        <f>IF(A77="","",D77*E77)</f>
        <v/>
      </c>
      <c r="H77" s="11">
        <f>IF(A77="","",(SUM($D$5:$D$104)-SUM($B$5:$B$104))*IF(SUM($B$5:$B$104)=0,0,B77/SUM($B$5:$B$104))*C77)</f>
        <v/>
      </c>
      <c r="I77" s="11">
        <f>IF(A77="","",(D77-SUM($D$5:$D$104)*IF(SUM($B$5:$B$104)=0,0,B77/SUM($B$5:$B$104)))*C77)</f>
        <v/>
      </c>
      <c r="J77" s="11">
        <f>IF(A77="","",(E77-C77)*D77)</f>
        <v/>
      </c>
    </row>
    <row r="78">
      <c r="A78" s="8" t="n"/>
      <c r="B78" s="9" t="n"/>
      <c r="C78" s="10" t="n"/>
      <c r="D78" s="9" t="n"/>
      <c r="E78" s="10" t="n"/>
      <c r="F78" s="11">
        <f>IF(A78="","",B78*C78)</f>
        <v/>
      </c>
      <c r="G78" s="11">
        <f>IF(A78="","",D78*E78)</f>
        <v/>
      </c>
      <c r="H78" s="11">
        <f>IF(A78="","",(SUM($D$5:$D$104)-SUM($B$5:$B$104))*IF(SUM($B$5:$B$104)=0,0,B78/SUM($B$5:$B$104))*C78)</f>
        <v/>
      </c>
      <c r="I78" s="11">
        <f>IF(A78="","",(D78-SUM($D$5:$D$104)*IF(SUM($B$5:$B$104)=0,0,B78/SUM($B$5:$B$104)))*C78)</f>
        <v/>
      </c>
      <c r="J78" s="11">
        <f>IF(A78="","",(E78-C78)*D78)</f>
        <v/>
      </c>
    </row>
    <row r="79">
      <c r="A79" s="8" t="n"/>
      <c r="B79" s="9" t="n"/>
      <c r="C79" s="10" t="n"/>
      <c r="D79" s="9" t="n"/>
      <c r="E79" s="10" t="n"/>
      <c r="F79" s="11">
        <f>IF(A79="","",B79*C79)</f>
        <v/>
      </c>
      <c r="G79" s="11">
        <f>IF(A79="","",D79*E79)</f>
        <v/>
      </c>
      <c r="H79" s="11">
        <f>IF(A79="","",(SUM($D$5:$D$104)-SUM($B$5:$B$104))*IF(SUM($B$5:$B$104)=0,0,B79/SUM($B$5:$B$104))*C79)</f>
        <v/>
      </c>
      <c r="I79" s="11">
        <f>IF(A79="","",(D79-SUM($D$5:$D$104)*IF(SUM($B$5:$B$104)=0,0,B79/SUM($B$5:$B$104)))*C79)</f>
        <v/>
      </c>
      <c r="J79" s="11">
        <f>IF(A79="","",(E79-C79)*D79)</f>
        <v/>
      </c>
    </row>
    <row r="80">
      <c r="A80" s="8" t="n"/>
      <c r="B80" s="9" t="n"/>
      <c r="C80" s="10" t="n"/>
      <c r="D80" s="9" t="n"/>
      <c r="E80" s="10" t="n"/>
      <c r="F80" s="11">
        <f>IF(A80="","",B80*C80)</f>
        <v/>
      </c>
      <c r="G80" s="11">
        <f>IF(A80="","",D80*E80)</f>
        <v/>
      </c>
      <c r="H80" s="11">
        <f>IF(A80="","",(SUM($D$5:$D$104)-SUM($B$5:$B$104))*IF(SUM($B$5:$B$104)=0,0,B80/SUM($B$5:$B$104))*C80)</f>
        <v/>
      </c>
      <c r="I80" s="11">
        <f>IF(A80="","",(D80-SUM($D$5:$D$104)*IF(SUM($B$5:$B$104)=0,0,B80/SUM($B$5:$B$104)))*C80)</f>
        <v/>
      </c>
      <c r="J80" s="11">
        <f>IF(A80="","",(E80-C80)*D80)</f>
        <v/>
      </c>
    </row>
    <row r="81">
      <c r="A81" s="8" t="n"/>
      <c r="B81" s="9" t="n"/>
      <c r="C81" s="10" t="n"/>
      <c r="D81" s="9" t="n"/>
      <c r="E81" s="10" t="n"/>
      <c r="F81" s="11">
        <f>IF(A81="","",B81*C81)</f>
        <v/>
      </c>
      <c r="G81" s="11">
        <f>IF(A81="","",D81*E81)</f>
        <v/>
      </c>
      <c r="H81" s="11">
        <f>IF(A81="","",(SUM($D$5:$D$104)-SUM($B$5:$B$104))*IF(SUM($B$5:$B$104)=0,0,B81/SUM($B$5:$B$104))*C81)</f>
        <v/>
      </c>
      <c r="I81" s="11">
        <f>IF(A81="","",(D81-SUM($D$5:$D$104)*IF(SUM($B$5:$B$104)=0,0,B81/SUM($B$5:$B$104)))*C81)</f>
        <v/>
      </c>
      <c r="J81" s="11">
        <f>IF(A81="","",(E81-C81)*D81)</f>
        <v/>
      </c>
    </row>
    <row r="82">
      <c r="A82" s="8" t="n"/>
      <c r="B82" s="9" t="n"/>
      <c r="C82" s="10" t="n"/>
      <c r="D82" s="9" t="n"/>
      <c r="E82" s="10" t="n"/>
      <c r="F82" s="11">
        <f>IF(A82="","",B82*C82)</f>
        <v/>
      </c>
      <c r="G82" s="11">
        <f>IF(A82="","",D82*E82)</f>
        <v/>
      </c>
      <c r="H82" s="11">
        <f>IF(A82="","",(SUM($D$5:$D$104)-SUM($B$5:$B$104))*IF(SUM($B$5:$B$104)=0,0,B82/SUM($B$5:$B$104))*C82)</f>
        <v/>
      </c>
      <c r="I82" s="11">
        <f>IF(A82="","",(D82-SUM($D$5:$D$104)*IF(SUM($B$5:$B$104)=0,0,B82/SUM($B$5:$B$104)))*C82)</f>
        <v/>
      </c>
      <c r="J82" s="11">
        <f>IF(A82="","",(E82-C82)*D82)</f>
        <v/>
      </c>
    </row>
    <row r="83">
      <c r="A83" s="8" t="n"/>
      <c r="B83" s="9" t="n"/>
      <c r="C83" s="10" t="n"/>
      <c r="D83" s="9" t="n"/>
      <c r="E83" s="10" t="n"/>
      <c r="F83" s="11">
        <f>IF(A83="","",B83*C83)</f>
        <v/>
      </c>
      <c r="G83" s="11">
        <f>IF(A83="","",D83*E83)</f>
        <v/>
      </c>
      <c r="H83" s="11">
        <f>IF(A83="","",(SUM($D$5:$D$104)-SUM($B$5:$B$104))*IF(SUM($B$5:$B$104)=0,0,B83/SUM($B$5:$B$104))*C83)</f>
        <v/>
      </c>
      <c r="I83" s="11">
        <f>IF(A83="","",(D83-SUM($D$5:$D$104)*IF(SUM($B$5:$B$104)=0,0,B83/SUM($B$5:$B$104)))*C83)</f>
        <v/>
      </c>
      <c r="J83" s="11">
        <f>IF(A83="","",(E83-C83)*D83)</f>
        <v/>
      </c>
    </row>
    <row r="84">
      <c r="A84" s="8" t="n"/>
      <c r="B84" s="9" t="n"/>
      <c r="C84" s="10" t="n"/>
      <c r="D84" s="9" t="n"/>
      <c r="E84" s="10" t="n"/>
      <c r="F84" s="11">
        <f>IF(A84="","",B84*C84)</f>
        <v/>
      </c>
      <c r="G84" s="11">
        <f>IF(A84="","",D84*E84)</f>
        <v/>
      </c>
      <c r="H84" s="11">
        <f>IF(A84="","",(SUM($D$5:$D$104)-SUM($B$5:$B$104))*IF(SUM($B$5:$B$104)=0,0,B84/SUM($B$5:$B$104))*C84)</f>
        <v/>
      </c>
      <c r="I84" s="11">
        <f>IF(A84="","",(D84-SUM($D$5:$D$104)*IF(SUM($B$5:$B$104)=0,0,B84/SUM($B$5:$B$104)))*C84)</f>
        <v/>
      </c>
      <c r="J84" s="11">
        <f>IF(A84="","",(E84-C84)*D84)</f>
        <v/>
      </c>
    </row>
    <row r="85">
      <c r="A85" s="8" t="n"/>
      <c r="B85" s="9" t="n"/>
      <c r="C85" s="10" t="n"/>
      <c r="D85" s="9" t="n"/>
      <c r="E85" s="10" t="n"/>
      <c r="F85" s="11">
        <f>IF(A85="","",B85*C85)</f>
        <v/>
      </c>
      <c r="G85" s="11">
        <f>IF(A85="","",D85*E85)</f>
        <v/>
      </c>
      <c r="H85" s="11">
        <f>IF(A85="","",(SUM($D$5:$D$104)-SUM($B$5:$B$104))*IF(SUM($B$5:$B$104)=0,0,B85/SUM($B$5:$B$104))*C85)</f>
        <v/>
      </c>
      <c r="I85" s="11">
        <f>IF(A85="","",(D85-SUM($D$5:$D$104)*IF(SUM($B$5:$B$104)=0,0,B85/SUM($B$5:$B$104)))*C85)</f>
        <v/>
      </c>
      <c r="J85" s="11">
        <f>IF(A85="","",(E85-C85)*D85)</f>
        <v/>
      </c>
    </row>
    <row r="86">
      <c r="A86" s="8" t="n"/>
      <c r="B86" s="9" t="n"/>
      <c r="C86" s="10" t="n"/>
      <c r="D86" s="9" t="n"/>
      <c r="E86" s="10" t="n"/>
      <c r="F86" s="11">
        <f>IF(A86="","",B86*C86)</f>
        <v/>
      </c>
      <c r="G86" s="11">
        <f>IF(A86="","",D86*E86)</f>
        <v/>
      </c>
      <c r="H86" s="11">
        <f>IF(A86="","",(SUM($D$5:$D$104)-SUM($B$5:$B$104))*IF(SUM($B$5:$B$104)=0,0,B86/SUM($B$5:$B$104))*C86)</f>
        <v/>
      </c>
      <c r="I86" s="11">
        <f>IF(A86="","",(D86-SUM($D$5:$D$104)*IF(SUM($B$5:$B$104)=0,0,B86/SUM($B$5:$B$104)))*C86)</f>
        <v/>
      </c>
      <c r="J86" s="11">
        <f>IF(A86="","",(E86-C86)*D86)</f>
        <v/>
      </c>
    </row>
    <row r="87">
      <c r="A87" s="8" t="n"/>
      <c r="B87" s="9" t="n"/>
      <c r="C87" s="10" t="n"/>
      <c r="D87" s="9" t="n"/>
      <c r="E87" s="10" t="n"/>
      <c r="F87" s="11">
        <f>IF(A87="","",B87*C87)</f>
        <v/>
      </c>
      <c r="G87" s="11">
        <f>IF(A87="","",D87*E87)</f>
        <v/>
      </c>
      <c r="H87" s="11">
        <f>IF(A87="","",(SUM($D$5:$D$104)-SUM($B$5:$B$104))*IF(SUM($B$5:$B$104)=0,0,B87/SUM($B$5:$B$104))*C87)</f>
        <v/>
      </c>
      <c r="I87" s="11">
        <f>IF(A87="","",(D87-SUM($D$5:$D$104)*IF(SUM($B$5:$B$104)=0,0,B87/SUM($B$5:$B$104)))*C87)</f>
        <v/>
      </c>
      <c r="J87" s="11">
        <f>IF(A87="","",(E87-C87)*D87)</f>
        <v/>
      </c>
    </row>
    <row r="88">
      <c r="A88" s="8" t="n"/>
      <c r="B88" s="9" t="n"/>
      <c r="C88" s="10" t="n"/>
      <c r="D88" s="9" t="n"/>
      <c r="E88" s="10" t="n"/>
      <c r="F88" s="11">
        <f>IF(A88="","",B88*C88)</f>
        <v/>
      </c>
      <c r="G88" s="11">
        <f>IF(A88="","",D88*E88)</f>
        <v/>
      </c>
      <c r="H88" s="11">
        <f>IF(A88="","",(SUM($D$5:$D$104)-SUM($B$5:$B$104))*IF(SUM($B$5:$B$104)=0,0,B88/SUM($B$5:$B$104))*C88)</f>
        <v/>
      </c>
      <c r="I88" s="11">
        <f>IF(A88="","",(D88-SUM($D$5:$D$104)*IF(SUM($B$5:$B$104)=0,0,B88/SUM($B$5:$B$104)))*C88)</f>
        <v/>
      </c>
      <c r="J88" s="11">
        <f>IF(A88="","",(E88-C88)*D88)</f>
        <v/>
      </c>
    </row>
    <row r="89">
      <c r="A89" s="8" t="n"/>
      <c r="B89" s="9" t="n"/>
      <c r="C89" s="10" t="n"/>
      <c r="D89" s="9" t="n"/>
      <c r="E89" s="10" t="n"/>
      <c r="F89" s="11">
        <f>IF(A89="","",B89*C89)</f>
        <v/>
      </c>
      <c r="G89" s="11">
        <f>IF(A89="","",D89*E89)</f>
        <v/>
      </c>
      <c r="H89" s="11">
        <f>IF(A89="","",(SUM($D$5:$D$104)-SUM($B$5:$B$104))*IF(SUM($B$5:$B$104)=0,0,B89/SUM($B$5:$B$104))*C89)</f>
        <v/>
      </c>
      <c r="I89" s="11">
        <f>IF(A89="","",(D89-SUM($D$5:$D$104)*IF(SUM($B$5:$B$104)=0,0,B89/SUM($B$5:$B$104)))*C89)</f>
        <v/>
      </c>
      <c r="J89" s="11">
        <f>IF(A89="","",(E89-C89)*D89)</f>
        <v/>
      </c>
    </row>
    <row r="90">
      <c r="A90" s="8" t="n"/>
      <c r="B90" s="9" t="n"/>
      <c r="C90" s="10" t="n"/>
      <c r="D90" s="9" t="n"/>
      <c r="E90" s="10" t="n"/>
      <c r="F90" s="11">
        <f>IF(A90="","",B90*C90)</f>
        <v/>
      </c>
      <c r="G90" s="11">
        <f>IF(A90="","",D90*E90)</f>
        <v/>
      </c>
      <c r="H90" s="11">
        <f>IF(A90="","",(SUM($D$5:$D$104)-SUM($B$5:$B$104))*IF(SUM($B$5:$B$104)=0,0,B90/SUM($B$5:$B$104))*C90)</f>
        <v/>
      </c>
      <c r="I90" s="11">
        <f>IF(A90="","",(D90-SUM($D$5:$D$104)*IF(SUM($B$5:$B$104)=0,0,B90/SUM($B$5:$B$104)))*C90)</f>
        <v/>
      </c>
      <c r="J90" s="11">
        <f>IF(A90="","",(E90-C90)*D90)</f>
        <v/>
      </c>
    </row>
    <row r="91">
      <c r="A91" s="8" t="n"/>
      <c r="B91" s="9" t="n"/>
      <c r="C91" s="10" t="n"/>
      <c r="D91" s="9" t="n"/>
      <c r="E91" s="10" t="n"/>
      <c r="F91" s="11">
        <f>IF(A91="","",B91*C91)</f>
        <v/>
      </c>
      <c r="G91" s="11">
        <f>IF(A91="","",D91*E91)</f>
        <v/>
      </c>
      <c r="H91" s="11">
        <f>IF(A91="","",(SUM($D$5:$D$104)-SUM($B$5:$B$104))*IF(SUM($B$5:$B$104)=0,0,B91/SUM($B$5:$B$104))*C91)</f>
        <v/>
      </c>
      <c r="I91" s="11">
        <f>IF(A91="","",(D91-SUM($D$5:$D$104)*IF(SUM($B$5:$B$104)=0,0,B91/SUM($B$5:$B$104)))*C91)</f>
        <v/>
      </c>
      <c r="J91" s="11">
        <f>IF(A91="","",(E91-C91)*D91)</f>
        <v/>
      </c>
    </row>
    <row r="92">
      <c r="A92" s="8" t="n"/>
      <c r="B92" s="9" t="n"/>
      <c r="C92" s="10" t="n"/>
      <c r="D92" s="9" t="n"/>
      <c r="E92" s="10" t="n"/>
      <c r="F92" s="11">
        <f>IF(A92="","",B92*C92)</f>
        <v/>
      </c>
      <c r="G92" s="11">
        <f>IF(A92="","",D92*E92)</f>
        <v/>
      </c>
      <c r="H92" s="11">
        <f>IF(A92="","",(SUM($D$5:$D$104)-SUM($B$5:$B$104))*IF(SUM($B$5:$B$104)=0,0,B92/SUM($B$5:$B$104))*C92)</f>
        <v/>
      </c>
      <c r="I92" s="11">
        <f>IF(A92="","",(D92-SUM($D$5:$D$104)*IF(SUM($B$5:$B$104)=0,0,B92/SUM($B$5:$B$104)))*C92)</f>
        <v/>
      </c>
      <c r="J92" s="11">
        <f>IF(A92="","",(E92-C92)*D92)</f>
        <v/>
      </c>
    </row>
    <row r="93">
      <c r="A93" s="8" t="n"/>
      <c r="B93" s="9" t="n"/>
      <c r="C93" s="10" t="n"/>
      <c r="D93" s="9" t="n"/>
      <c r="E93" s="10" t="n"/>
      <c r="F93" s="11">
        <f>IF(A93="","",B93*C93)</f>
        <v/>
      </c>
      <c r="G93" s="11">
        <f>IF(A93="","",D93*E93)</f>
        <v/>
      </c>
      <c r="H93" s="11">
        <f>IF(A93="","",(SUM($D$5:$D$104)-SUM($B$5:$B$104))*IF(SUM($B$5:$B$104)=0,0,B93/SUM($B$5:$B$104))*C93)</f>
        <v/>
      </c>
      <c r="I93" s="11">
        <f>IF(A93="","",(D93-SUM($D$5:$D$104)*IF(SUM($B$5:$B$104)=0,0,B93/SUM($B$5:$B$104)))*C93)</f>
        <v/>
      </c>
      <c r="J93" s="11">
        <f>IF(A93="","",(E93-C93)*D93)</f>
        <v/>
      </c>
    </row>
    <row r="94">
      <c r="A94" s="8" t="n"/>
      <c r="B94" s="9" t="n"/>
      <c r="C94" s="10" t="n"/>
      <c r="D94" s="9" t="n"/>
      <c r="E94" s="10" t="n"/>
      <c r="F94" s="11">
        <f>IF(A94="","",B94*C94)</f>
        <v/>
      </c>
      <c r="G94" s="11">
        <f>IF(A94="","",D94*E94)</f>
        <v/>
      </c>
      <c r="H94" s="11">
        <f>IF(A94="","",(SUM($D$5:$D$104)-SUM($B$5:$B$104))*IF(SUM($B$5:$B$104)=0,0,B94/SUM($B$5:$B$104))*C94)</f>
        <v/>
      </c>
      <c r="I94" s="11">
        <f>IF(A94="","",(D94-SUM($D$5:$D$104)*IF(SUM($B$5:$B$104)=0,0,B94/SUM($B$5:$B$104)))*C94)</f>
        <v/>
      </c>
      <c r="J94" s="11">
        <f>IF(A94="","",(E94-C94)*D94)</f>
        <v/>
      </c>
    </row>
    <row r="95">
      <c r="A95" s="8" t="n"/>
      <c r="B95" s="9" t="n"/>
      <c r="C95" s="10" t="n"/>
      <c r="D95" s="9" t="n"/>
      <c r="E95" s="10" t="n"/>
      <c r="F95" s="11">
        <f>IF(A95="","",B95*C95)</f>
        <v/>
      </c>
      <c r="G95" s="11">
        <f>IF(A95="","",D95*E95)</f>
        <v/>
      </c>
      <c r="H95" s="11">
        <f>IF(A95="","",(SUM($D$5:$D$104)-SUM($B$5:$B$104))*IF(SUM($B$5:$B$104)=0,0,B95/SUM($B$5:$B$104))*C95)</f>
        <v/>
      </c>
      <c r="I95" s="11">
        <f>IF(A95="","",(D95-SUM($D$5:$D$104)*IF(SUM($B$5:$B$104)=0,0,B95/SUM($B$5:$B$104)))*C95)</f>
        <v/>
      </c>
      <c r="J95" s="11">
        <f>IF(A95="","",(E95-C95)*D95)</f>
        <v/>
      </c>
    </row>
    <row r="96">
      <c r="A96" s="8" t="n"/>
      <c r="B96" s="9" t="n"/>
      <c r="C96" s="10" t="n"/>
      <c r="D96" s="9" t="n"/>
      <c r="E96" s="10" t="n"/>
      <c r="F96" s="11">
        <f>IF(A96="","",B96*C96)</f>
        <v/>
      </c>
      <c r="G96" s="11">
        <f>IF(A96="","",D96*E96)</f>
        <v/>
      </c>
      <c r="H96" s="11">
        <f>IF(A96="","",(SUM($D$5:$D$104)-SUM($B$5:$B$104))*IF(SUM($B$5:$B$104)=0,0,B96/SUM($B$5:$B$104))*C96)</f>
        <v/>
      </c>
      <c r="I96" s="11">
        <f>IF(A96="","",(D96-SUM($D$5:$D$104)*IF(SUM($B$5:$B$104)=0,0,B96/SUM($B$5:$B$104)))*C96)</f>
        <v/>
      </c>
      <c r="J96" s="11">
        <f>IF(A96="","",(E96-C96)*D96)</f>
        <v/>
      </c>
    </row>
    <row r="97">
      <c r="A97" s="8" t="n"/>
      <c r="B97" s="9" t="n"/>
      <c r="C97" s="10" t="n"/>
      <c r="D97" s="9" t="n"/>
      <c r="E97" s="10" t="n"/>
      <c r="F97" s="11">
        <f>IF(A97="","",B97*C97)</f>
        <v/>
      </c>
      <c r="G97" s="11">
        <f>IF(A97="","",D97*E97)</f>
        <v/>
      </c>
      <c r="H97" s="11">
        <f>IF(A97="","",(SUM($D$5:$D$104)-SUM($B$5:$B$104))*IF(SUM($B$5:$B$104)=0,0,B97/SUM($B$5:$B$104))*C97)</f>
        <v/>
      </c>
      <c r="I97" s="11">
        <f>IF(A97="","",(D97-SUM($D$5:$D$104)*IF(SUM($B$5:$B$104)=0,0,B97/SUM($B$5:$B$104)))*C97)</f>
        <v/>
      </c>
      <c r="J97" s="11">
        <f>IF(A97="","",(E97-C97)*D97)</f>
        <v/>
      </c>
    </row>
    <row r="98">
      <c r="A98" s="8" t="n"/>
      <c r="B98" s="9" t="n"/>
      <c r="C98" s="10" t="n"/>
      <c r="D98" s="9" t="n"/>
      <c r="E98" s="10" t="n"/>
      <c r="F98" s="11">
        <f>IF(A98="","",B98*C98)</f>
        <v/>
      </c>
      <c r="G98" s="11">
        <f>IF(A98="","",D98*E98)</f>
        <v/>
      </c>
      <c r="H98" s="11">
        <f>IF(A98="","",(SUM($D$5:$D$104)-SUM($B$5:$B$104))*IF(SUM($B$5:$B$104)=0,0,B98/SUM($B$5:$B$104))*C98)</f>
        <v/>
      </c>
      <c r="I98" s="11">
        <f>IF(A98="","",(D98-SUM($D$5:$D$104)*IF(SUM($B$5:$B$104)=0,0,B98/SUM($B$5:$B$104)))*C98)</f>
        <v/>
      </c>
      <c r="J98" s="11">
        <f>IF(A98="","",(E98-C98)*D98)</f>
        <v/>
      </c>
    </row>
    <row r="99">
      <c r="A99" s="8" t="n"/>
      <c r="B99" s="9" t="n"/>
      <c r="C99" s="10" t="n"/>
      <c r="D99" s="9" t="n"/>
      <c r="E99" s="10" t="n"/>
      <c r="F99" s="11">
        <f>IF(A99="","",B99*C99)</f>
        <v/>
      </c>
      <c r="G99" s="11">
        <f>IF(A99="","",D99*E99)</f>
        <v/>
      </c>
      <c r="H99" s="11">
        <f>IF(A99="","",(SUM($D$5:$D$104)-SUM($B$5:$B$104))*IF(SUM($B$5:$B$104)=0,0,B99/SUM($B$5:$B$104))*C99)</f>
        <v/>
      </c>
      <c r="I99" s="11">
        <f>IF(A99="","",(D99-SUM($D$5:$D$104)*IF(SUM($B$5:$B$104)=0,0,B99/SUM($B$5:$B$104)))*C99)</f>
        <v/>
      </c>
      <c r="J99" s="11">
        <f>IF(A99="","",(E99-C99)*D99)</f>
        <v/>
      </c>
    </row>
    <row r="100">
      <c r="A100" s="8" t="n"/>
      <c r="B100" s="9" t="n"/>
      <c r="C100" s="10" t="n"/>
      <c r="D100" s="9" t="n"/>
      <c r="E100" s="10" t="n"/>
      <c r="F100" s="11">
        <f>IF(A100="","",B100*C100)</f>
        <v/>
      </c>
      <c r="G100" s="11">
        <f>IF(A100="","",D100*E100)</f>
        <v/>
      </c>
      <c r="H100" s="11">
        <f>IF(A100="","",(SUM($D$5:$D$104)-SUM($B$5:$B$104))*IF(SUM($B$5:$B$104)=0,0,B100/SUM($B$5:$B$104))*C100)</f>
        <v/>
      </c>
      <c r="I100" s="11">
        <f>IF(A100="","",(D100-SUM($D$5:$D$104)*IF(SUM($B$5:$B$104)=0,0,B100/SUM($B$5:$B$104)))*C100)</f>
        <v/>
      </c>
      <c r="J100" s="11">
        <f>IF(A100="","",(E100-C100)*D100)</f>
        <v/>
      </c>
    </row>
    <row r="101">
      <c r="A101" s="8" t="n"/>
      <c r="B101" s="9" t="n"/>
      <c r="C101" s="10" t="n"/>
      <c r="D101" s="9" t="n"/>
      <c r="E101" s="10" t="n"/>
      <c r="F101" s="11">
        <f>IF(A101="","",B101*C101)</f>
        <v/>
      </c>
      <c r="G101" s="11">
        <f>IF(A101="","",D101*E101)</f>
        <v/>
      </c>
      <c r="H101" s="11">
        <f>IF(A101="","",(SUM($D$5:$D$104)-SUM($B$5:$B$104))*IF(SUM($B$5:$B$104)=0,0,B101/SUM($B$5:$B$104))*C101)</f>
        <v/>
      </c>
      <c r="I101" s="11">
        <f>IF(A101="","",(D101-SUM($D$5:$D$104)*IF(SUM($B$5:$B$104)=0,0,B101/SUM($B$5:$B$104)))*C101)</f>
        <v/>
      </c>
      <c r="J101" s="11">
        <f>IF(A101="","",(E101-C101)*D101)</f>
        <v/>
      </c>
    </row>
    <row r="102">
      <c r="A102" s="8" t="n"/>
      <c r="B102" s="9" t="n"/>
      <c r="C102" s="10" t="n"/>
      <c r="D102" s="9" t="n"/>
      <c r="E102" s="10" t="n"/>
      <c r="F102" s="11">
        <f>IF(A102="","",B102*C102)</f>
        <v/>
      </c>
      <c r="G102" s="11">
        <f>IF(A102="","",D102*E102)</f>
        <v/>
      </c>
      <c r="H102" s="11">
        <f>IF(A102="","",(SUM($D$5:$D$104)-SUM($B$5:$B$104))*IF(SUM($B$5:$B$104)=0,0,B102/SUM($B$5:$B$104))*C102)</f>
        <v/>
      </c>
      <c r="I102" s="11">
        <f>IF(A102="","",(D102-SUM($D$5:$D$104)*IF(SUM($B$5:$B$104)=0,0,B102/SUM($B$5:$B$104)))*C102)</f>
        <v/>
      </c>
      <c r="J102" s="11">
        <f>IF(A102="","",(E102-C102)*D102)</f>
        <v/>
      </c>
    </row>
    <row r="103">
      <c r="A103" s="8" t="n"/>
      <c r="B103" s="9" t="n"/>
      <c r="C103" s="10" t="n"/>
      <c r="D103" s="9" t="n"/>
      <c r="E103" s="10" t="n"/>
      <c r="F103" s="11">
        <f>IF(A103="","",B103*C103)</f>
        <v/>
      </c>
      <c r="G103" s="11">
        <f>IF(A103="","",D103*E103)</f>
        <v/>
      </c>
      <c r="H103" s="11">
        <f>IF(A103="","",(SUM($D$5:$D$104)-SUM($B$5:$B$104))*IF(SUM($B$5:$B$104)=0,0,B103/SUM($B$5:$B$104))*C103)</f>
        <v/>
      </c>
      <c r="I103" s="11">
        <f>IF(A103="","",(D103-SUM($D$5:$D$104)*IF(SUM($B$5:$B$104)=0,0,B103/SUM($B$5:$B$104)))*C103)</f>
        <v/>
      </c>
      <c r="J103" s="11">
        <f>IF(A103="","",(E103-C103)*D103)</f>
        <v/>
      </c>
    </row>
    <row r="104">
      <c r="A104" s="8" t="n"/>
      <c r="B104" s="9" t="n"/>
      <c r="C104" s="10" t="n"/>
      <c r="D104" s="9" t="n"/>
      <c r="E104" s="10" t="n"/>
      <c r="F104" s="11">
        <f>IF(A104="","",B104*C104)</f>
        <v/>
      </c>
      <c r="G104" s="11">
        <f>IF(A104="","",D104*E104)</f>
        <v/>
      </c>
      <c r="H104" s="11">
        <f>IF(A104="","",(SUM($D$5:$D$104)-SUM($B$5:$B$104))*IF(SUM($B$5:$B$104)=0,0,B104/SUM($B$5:$B$104))*C104)</f>
        <v/>
      </c>
      <c r="I104" s="11">
        <f>IF(A104="","",(D104-SUM($D$5:$D$104)*IF(SUM($B$5:$B$104)=0,0,B104/SUM($B$5:$B$104)))*C104)</f>
        <v/>
      </c>
      <c r="J104" s="11">
        <f>IF(A104="","",(E104-C104)*D104)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Revenue bridge</t>
        </is>
      </c>
    </row>
    <row r="2"/>
    <row r="3"/>
    <row r="4">
      <c r="A4" t="inlineStr">
        <is>
          <t>prior revenue</t>
        </is>
      </c>
      <c r="B4" s="11">
        <f>SUM(PVM!F5:F104)</f>
        <v/>
      </c>
    </row>
    <row r="5">
      <c r="A5" t="inlineStr">
        <is>
          <t>+ volume</t>
        </is>
      </c>
      <c r="B5" s="11">
        <f>SUM(PVM!H5:H104)</f>
        <v/>
      </c>
    </row>
    <row r="6">
      <c r="A6" t="inlineStr">
        <is>
          <t>+ mix</t>
        </is>
      </c>
      <c r="B6" s="11">
        <f>SUM(PVM!I5:I104)</f>
        <v/>
      </c>
    </row>
    <row r="7">
      <c r="A7" t="inlineStr">
        <is>
          <t>+ price</t>
        </is>
      </c>
      <c r="B7" s="11">
        <f>SUM(PVM!J5:J104)</f>
        <v/>
      </c>
    </row>
    <row r="8">
      <c r="A8" t="inlineStr">
        <is>
          <t>current revenue (sum of bridge)</t>
        </is>
      </c>
      <c r="B8" s="12">
        <f>B4+B5+B6+B7</f>
        <v/>
      </c>
    </row>
    <row r="9">
      <c r="A9" t="inlineStr">
        <is>
          <t>check vs actual current revenue</t>
        </is>
      </c>
      <c r="B9" s="12">
        <f>ROUND(B8-SUM(PVM!G5:G104),2)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29" customWidth="1" min="4" max="4"/>
    <col width="28" customWidth="1" min="5" max="5"/>
    <col width="40" customWidth="1" min="6" max="6"/>
    <col width="20" customWidth="1" min="7" max="7"/>
    <col width="19" customWidth="1" min="8" max="8"/>
    <col width="27" customWidth="1" min="9" max="9"/>
    <col width="16" customWidth="1" min="10" max="10"/>
    <col width="29" customWidth="1" min="11" max="11"/>
  </cols>
  <sheetData>
    <row r="1">
      <c r="A1" s="1" t="inlineStr">
        <is>
          <t>Price waterfall (MRP is GST-inclusive under Legal Metrology rules)</t>
        </is>
      </c>
    </row>
    <row r="2"/>
    <row r="3"/>
    <row r="4">
      <c r="A4" s="6" t="inlineStr">
        <is>
          <t>SKU</t>
        </is>
      </c>
      <c r="B4" s="6" t="inlineStr">
        <is>
          <t>MRP incl. GST</t>
        </is>
      </c>
      <c r="C4" s="6" t="inlineStr">
        <is>
          <t>GST rate</t>
        </is>
      </c>
      <c r="D4" s="6" t="inlineStr">
        <is>
          <t>trade / dealer discount %</t>
        </is>
      </c>
      <c r="E4" s="6" t="inlineStr">
        <is>
          <t>scheme / cash discount %</t>
        </is>
      </c>
      <c r="F4" s="6" t="inlineStr">
        <is>
          <t>marketplace commission % (if e-commerce)</t>
        </is>
      </c>
      <c r="G4" s="6" t="inlineStr">
        <is>
          <t>freight per unit</t>
        </is>
      </c>
      <c r="H4" s="6" t="inlineStr">
        <is>
          <t>price excl. GST</t>
        </is>
      </c>
      <c r="I4" s="6" t="inlineStr">
        <is>
          <t>invoice price to dealer</t>
        </is>
      </c>
      <c r="J4" s="6" t="inlineStr">
        <is>
          <t>pocket price</t>
        </is>
      </c>
      <c r="K4" s="6" t="inlineStr">
        <is>
          <t>pocket as % of ex-GST MRP</t>
        </is>
      </c>
    </row>
    <row r="5">
      <c r="A5" s="8" t="inlineStr">
        <is>
          <t>CH-MESH-01</t>
        </is>
      </c>
      <c r="B5" s="10" t="n">
        <v>7499</v>
      </c>
      <c r="C5" s="13" t="n">
        <v>0.18</v>
      </c>
      <c r="D5" s="13" t="n">
        <v>0.22</v>
      </c>
      <c r="E5" s="13" t="n">
        <v>0.02</v>
      </c>
      <c r="F5" s="13" t="n">
        <v>0</v>
      </c>
      <c r="G5" s="10" t="n">
        <v>180</v>
      </c>
      <c r="H5" s="14">
        <f>IF(A5="","",B5/(1+C5))</f>
        <v/>
      </c>
      <c r="I5" s="14">
        <f>IF(A5="","",H5*(1-D5))</f>
        <v/>
      </c>
      <c r="J5" s="14">
        <f>IF(A5="","",I5*(1-E5)*(1-F5)-N(G5))</f>
        <v/>
      </c>
      <c r="K5" s="15">
        <f>IF(OR(A5="",N(H5)=0),"",J5/H5)</f>
        <v/>
      </c>
    </row>
    <row r="6">
      <c r="A6" s="8" t="n"/>
      <c r="B6" s="10" t="n"/>
      <c r="C6" s="13" t="n"/>
      <c r="D6" s="13" t="n"/>
      <c r="E6" s="13" t="n"/>
      <c r="F6" s="13" t="n"/>
      <c r="G6" s="10" t="n"/>
      <c r="H6" s="14">
        <f>IF(A6="","",B6/(1+C6))</f>
        <v/>
      </c>
      <c r="I6" s="14">
        <f>IF(A6="","",H6*(1-D6))</f>
        <v/>
      </c>
      <c r="J6" s="14">
        <f>IF(A6="","",I6*(1-E6)*(1-F6)-N(G6))</f>
        <v/>
      </c>
      <c r="K6" s="15">
        <f>IF(OR(A6="",N(H6)=0),"",J6/H6)</f>
        <v/>
      </c>
    </row>
    <row r="7">
      <c r="A7" s="8" t="n"/>
      <c r="B7" s="10" t="n"/>
      <c r="C7" s="13" t="n"/>
      <c r="D7" s="13" t="n"/>
      <c r="E7" s="13" t="n"/>
      <c r="F7" s="13" t="n"/>
      <c r="G7" s="10" t="n"/>
      <c r="H7" s="14">
        <f>IF(A7="","",B7/(1+C7))</f>
        <v/>
      </c>
      <c r="I7" s="14">
        <f>IF(A7="","",H7*(1-D7))</f>
        <v/>
      </c>
      <c r="J7" s="14">
        <f>IF(A7="","",I7*(1-E7)*(1-F7)-N(G7))</f>
        <v/>
      </c>
      <c r="K7" s="15">
        <f>IF(OR(A7="",N(H7)=0),"",J7/H7)</f>
        <v/>
      </c>
    </row>
    <row r="8">
      <c r="A8" s="8" t="n"/>
      <c r="B8" s="10" t="n"/>
      <c r="C8" s="13" t="n"/>
      <c r="D8" s="13" t="n"/>
      <c r="E8" s="13" t="n"/>
      <c r="F8" s="13" t="n"/>
      <c r="G8" s="10" t="n"/>
      <c r="H8" s="14">
        <f>IF(A8="","",B8/(1+C8))</f>
        <v/>
      </c>
      <c r="I8" s="14">
        <f>IF(A8="","",H8*(1-D8))</f>
        <v/>
      </c>
      <c r="J8" s="14">
        <f>IF(A8="","",I8*(1-E8)*(1-F8)-N(G8))</f>
        <v/>
      </c>
      <c r="K8" s="15">
        <f>IF(OR(A8="",N(H8)=0),"",J8/H8)</f>
        <v/>
      </c>
    </row>
    <row r="9">
      <c r="A9" s="8" t="n"/>
      <c r="B9" s="10" t="n"/>
      <c r="C9" s="13" t="n"/>
      <c r="D9" s="13" t="n"/>
      <c r="E9" s="13" t="n"/>
      <c r="F9" s="13" t="n"/>
      <c r="G9" s="10" t="n"/>
      <c r="H9" s="14">
        <f>IF(A9="","",B9/(1+C9))</f>
        <v/>
      </c>
      <c r="I9" s="14">
        <f>IF(A9="","",H9*(1-D9))</f>
        <v/>
      </c>
      <c r="J9" s="14">
        <f>IF(A9="","",I9*(1-E9)*(1-F9)-N(G9))</f>
        <v/>
      </c>
      <c r="K9" s="15">
        <f>IF(OR(A9="",N(H9)=0),"",J9/H9)</f>
        <v/>
      </c>
    </row>
    <row r="10">
      <c r="A10" s="8" t="n"/>
      <c r="B10" s="10" t="n"/>
      <c r="C10" s="13" t="n"/>
      <c r="D10" s="13" t="n"/>
      <c r="E10" s="13" t="n"/>
      <c r="F10" s="13" t="n"/>
      <c r="G10" s="10" t="n"/>
      <c r="H10" s="14">
        <f>IF(A10="","",B10/(1+C10))</f>
        <v/>
      </c>
      <c r="I10" s="14">
        <f>IF(A10="","",H10*(1-D10))</f>
        <v/>
      </c>
      <c r="J10" s="14">
        <f>IF(A10="","",I10*(1-E10)*(1-F10)-N(G10))</f>
        <v/>
      </c>
      <c r="K10" s="15">
        <f>IF(OR(A10="",N(H10)=0),"",J10/H10)</f>
        <v/>
      </c>
    </row>
    <row r="11">
      <c r="A11" s="8" t="n"/>
      <c r="B11" s="10" t="n"/>
      <c r="C11" s="13" t="n"/>
      <c r="D11" s="13" t="n"/>
      <c r="E11" s="13" t="n"/>
      <c r="F11" s="13" t="n"/>
      <c r="G11" s="10" t="n"/>
      <c r="H11" s="14">
        <f>IF(A11="","",B11/(1+C11))</f>
        <v/>
      </c>
      <c r="I11" s="14">
        <f>IF(A11="","",H11*(1-D11))</f>
        <v/>
      </c>
      <c r="J11" s="14">
        <f>IF(A11="","",I11*(1-E11)*(1-F11)-N(G11))</f>
        <v/>
      </c>
      <c r="K11" s="15">
        <f>IF(OR(A11="",N(H11)=0),"",J11/H11)</f>
        <v/>
      </c>
    </row>
    <row r="12">
      <c r="A12" s="8" t="n"/>
      <c r="B12" s="10" t="n"/>
      <c r="C12" s="13" t="n"/>
      <c r="D12" s="13" t="n"/>
      <c r="E12" s="13" t="n"/>
      <c r="F12" s="13" t="n"/>
      <c r="G12" s="10" t="n"/>
      <c r="H12" s="14">
        <f>IF(A12="","",B12/(1+C12))</f>
        <v/>
      </c>
      <c r="I12" s="14">
        <f>IF(A12="","",H12*(1-D12))</f>
        <v/>
      </c>
      <c r="J12" s="14">
        <f>IF(A12="","",I12*(1-E12)*(1-F12)-N(G12))</f>
        <v/>
      </c>
      <c r="K12" s="15">
        <f>IF(OR(A12="",N(H12)=0),"",J12/H12)</f>
        <v/>
      </c>
    </row>
    <row r="13">
      <c r="A13" s="8" t="n"/>
      <c r="B13" s="10" t="n"/>
      <c r="C13" s="13" t="n"/>
      <c r="D13" s="13" t="n"/>
      <c r="E13" s="13" t="n"/>
      <c r="F13" s="13" t="n"/>
      <c r="G13" s="10" t="n"/>
      <c r="H13" s="14">
        <f>IF(A13="","",B13/(1+C13))</f>
        <v/>
      </c>
      <c r="I13" s="14">
        <f>IF(A13="","",H13*(1-D13))</f>
        <v/>
      </c>
      <c r="J13" s="14">
        <f>IF(A13="","",I13*(1-E13)*(1-F13)-N(G13))</f>
        <v/>
      </c>
      <c r="K13" s="15">
        <f>IF(OR(A13="",N(H13)=0),"",J13/H13)</f>
        <v/>
      </c>
    </row>
    <row r="14">
      <c r="A14" s="8" t="n"/>
      <c r="B14" s="10" t="n"/>
      <c r="C14" s="13" t="n"/>
      <c r="D14" s="13" t="n"/>
      <c r="E14" s="13" t="n"/>
      <c r="F14" s="13" t="n"/>
      <c r="G14" s="10" t="n"/>
      <c r="H14" s="14">
        <f>IF(A14="","",B14/(1+C14))</f>
        <v/>
      </c>
      <c r="I14" s="14">
        <f>IF(A14="","",H14*(1-D14))</f>
        <v/>
      </c>
      <c r="J14" s="14">
        <f>IF(A14="","",I14*(1-E14)*(1-F14)-N(G14))</f>
        <v/>
      </c>
      <c r="K14" s="15">
        <f>IF(OR(A14="",N(H14)=0),"",J14/H14)</f>
        <v/>
      </c>
    </row>
    <row r="15">
      <c r="A15" s="8" t="n"/>
      <c r="B15" s="10" t="n"/>
      <c r="C15" s="13" t="n"/>
      <c r="D15" s="13" t="n"/>
      <c r="E15" s="13" t="n"/>
      <c r="F15" s="13" t="n"/>
      <c r="G15" s="10" t="n"/>
      <c r="H15" s="14">
        <f>IF(A15="","",B15/(1+C15))</f>
        <v/>
      </c>
      <c r="I15" s="14">
        <f>IF(A15="","",H15*(1-D15))</f>
        <v/>
      </c>
      <c r="J15" s="14">
        <f>IF(A15="","",I15*(1-E15)*(1-F15)-N(G15))</f>
        <v/>
      </c>
      <c r="K15" s="15">
        <f>IF(OR(A15="",N(H15)=0),"",J15/H15)</f>
        <v/>
      </c>
    </row>
    <row r="16">
      <c r="A16" s="8" t="n"/>
      <c r="B16" s="10" t="n"/>
      <c r="C16" s="13" t="n"/>
      <c r="D16" s="13" t="n"/>
      <c r="E16" s="13" t="n"/>
      <c r="F16" s="13" t="n"/>
      <c r="G16" s="10" t="n"/>
      <c r="H16" s="14">
        <f>IF(A16="","",B16/(1+C16))</f>
        <v/>
      </c>
      <c r="I16" s="14">
        <f>IF(A16="","",H16*(1-D16))</f>
        <v/>
      </c>
      <c r="J16" s="14">
        <f>IF(A16="","",I16*(1-E16)*(1-F16)-N(G16))</f>
        <v/>
      </c>
      <c r="K16" s="15">
        <f>IF(OR(A16="",N(H16)=0),"",J16/H16)</f>
        <v/>
      </c>
    </row>
    <row r="17">
      <c r="A17" s="8" t="n"/>
      <c r="B17" s="10" t="n"/>
      <c r="C17" s="13" t="n"/>
      <c r="D17" s="13" t="n"/>
      <c r="E17" s="13" t="n"/>
      <c r="F17" s="13" t="n"/>
      <c r="G17" s="10" t="n"/>
      <c r="H17" s="14">
        <f>IF(A17="","",B17/(1+C17))</f>
        <v/>
      </c>
      <c r="I17" s="14">
        <f>IF(A17="","",H17*(1-D17))</f>
        <v/>
      </c>
      <c r="J17" s="14">
        <f>IF(A17="","",I17*(1-E17)*(1-F17)-N(G17))</f>
        <v/>
      </c>
      <c r="K17" s="15">
        <f>IF(OR(A17="",N(H17)=0),"",J17/H17)</f>
        <v/>
      </c>
    </row>
    <row r="18">
      <c r="A18" s="8" t="n"/>
      <c r="B18" s="10" t="n"/>
      <c r="C18" s="13" t="n"/>
      <c r="D18" s="13" t="n"/>
      <c r="E18" s="13" t="n"/>
      <c r="F18" s="13" t="n"/>
      <c r="G18" s="10" t="n"/>
      <c r="H18" s="14">
        <f>IF(A18="","",B18/(1+C18))</f>
        <v/>
      </c>
      <c r="I18" s="14">
        <f>IF(A18="","",H18*(1-D18))</f>
        <v/>
      </c>
      <c r="J18" s="14">
        <f>IF(A18="","",I18*(1-E18)*(1-F18)-N(G18))</f>
        <v/>
      </c>
      <c r="K18" s="15">
        <f>IF(OR(A18="",N(H18)=0),"",J18/H18)</f>
        <v/>
      </c>
    </row>
    <row r="19">
      <c r="A19" s="8" t="n"/>
      <c r="B19" s="10" t="n"/>
      <c r="C19" s="13" t="n"/>
      <c r="D19" s="13" t="n"/>
      <c r="E19" s="13" t="n"/>
      <c r="F19" s="13" t="n"/>
      <c r="G19" s="10" t="n"/>
      <c r="H19" s="14">
        <f>IF(A19="","",B19/(1+C19))</f>
        <v/>
      </c>
      <c r="I19" s="14">
        <f>IF(A19="","",H19*(1-D19))</f>
        <v/>
      </c>
      <c r="J19" s="14">
        <f>IF(A19="","",I19*(1-E19)*(1-F19)-N(G19))</f>
        <v/>
      </c>
      <c r="K19" s="15">
        <f>IF(OR(A19="",N(H19)=0),"",J19/H19)</f>
        <v/>
      </c>
    </row>
    <row r="20">
      <c r="A20" s="8" t="n"/>
      <c r="B20" s="10" t="n"/>
      <c r="C20" s="13" t="n"/>
      <c r="D20" s="13" t="n"/>
      <c r="E20" s="13" t="n"/>
      <c r="F20" s="13" t="n"/>
      <c r="G20" s="10" t="n"/>
      <c r="H20" s="14">
        <f>IF(A20="","",B20/(1+C20))</f>
        <v/>
      </c>
      <c r="I20" s="14">
        <f>IF(A20="","",H20*(1-D20))</f>
        <v/>
      </c>
      <c r="J20" s="14">
        <f>IF(A20="","",I20*(1-E20)*(1-F20)-N(G20))</f>
        <v/>
      </c>
      <c r="K20" s="15">
        <f>IF(OR(A20="",N(H20)=0),"",J20/H20)</f>
        <v/>
      </c>
    </row>
    <row r="21">
      <c r="A21" s="8" t="n"/>
      <c r="B21" s="10" t="n"/>
      <c r="C21" s="13" t="n"/>
      <c r="D21" s="13" t="n"/>
      <c r="E21" s="13" t="n"/>
      <c r="F21" s="13" t="n"/>
      <c r="G21" s="10" t="n"/>
      <c r="H21" s="14">
        <f>IF(A21="","",B21/(1+C21))</f>
        <v/>
      </c>
      <c r="I21" s="14">
        <f>IF(A21="","",H21*(1-D21))</f>
        <v/>
      </c>
      <c r="J21" s="14">
        <f>IF(A21="","",I21*(1-E21)*(1-F21)-N(G21))</f>
        <v/>
      </c>
      <c r="K21" s="15">
        <f>IF(OR(A21="",N(H21)=0),"",J21/H21)</f>
        <v/>
      </c>
    </row>
    <row r="22">
      <c r="A22" s="8" t="n"/>
      <c r="B22" s="10" t="n"/>
      <c r="C22" s="13" t="n"/>
      <c r="D22" s="13" t="n"/>
      <c r="E22" s="13" t="n"/>
      <c r="F22" s="13" t="n"/>
      <c r="G22" s="10" t="n"/>
      <c r="H22" s="14">
        <f>IF(A22="","",B22/(1+C22))</f>
        <v/>
      </c>
      <c r="I22" s="14">
        <f>IF(A22="","",H22*(1-D22))</f>
        <v/>
      </c>
      <c r="J22" s="14">
        <f>IF(A22="","",I22*(1-E22)*(1-F22)-N(G22))</f>
        <v/>
      </c>
      <c r="K22" s="15">
        <f>IF(OR(A22="",N(H22)=0),"",J22/H22)</f>
        <v/>
      </c>
    </row>
    <row r="23">
      <c r="A23" s="8" t="n"/>
      <c r="B23" s="10" t="n"/>
      <c r="C23" s="13" t="n"/>
      <c r="D23" s="13" t="n"/>
      <c r="E23" s="13" t="n"/>
      <c r="F23" s="13" t="n"/>
      <c r="G23" s="10" t="n"/>
      <c r="H23" s="14">
        <f>IF(A23="","",B23/(1+C23))</f>
        <v/>
      </c>
      <c r="I23" s="14">
        <f>IF(A23="","",H23*(1-D23))</f>
        <v/>
      </c>
      <c r="J23" s="14">
        <f>IF(A23="","",I23*(1-E23)*(1-F23)-N(G23))</f>
        <v/>
      </c>
      <c r="K23" s="15">
        <f>IF(OR(A23="",N(H23)=0),"",J23/H23)</f>
        <v/>
      </c>
    </row>
    <row r="24">
      <c r="A24" s="8" t="n"/>
      <c r="B24" s="10" t="n"/>
      <c r="C24" s="13" t="n"/>
      <c r="D24" s="13" t="n"/>
      <c r="E24" s="13" t="n"/>
      <c r="F24" s="13" t="n"/>
      <c r="G24" s="10" t="n"/>
      <c r="H24" s="14">
        <f>IF(A24="","",B24/(1+C24))</f>
        <v/>
      </c>
      <c r="I24" s="14">
        <f>IF(A24="","",H24*(1-D24))</f>
        <v/>
      </c>
      <c r="J24" s="14">
        <f>IF(A24="","",I24*(1-E24)*(1-F24)-N(G24))</f>
        <v/>
      </c>
      <c r="K24" s="15">
        <f>IF(OR(A24="",N(H24)=0),"",J24/H24)</f>
        <v/>
      </c>
    </row>
    <row r="25">
      <c r="A25" s="8" t="n"/>
      <c r="B25" s="10" t="n"/>
      <c r="C25" s="13" t="n"/>
      <c r="D25" s="13" t="n"/>
      <c r="E25" s="13" t="n"/>
      <c r="F25" s="13" t="n"/>
      <c r="G25" s="10" t="n"/>
      <c r="H25" s="14">
        <f>IF(A25="","",B25/(1+C25))</f>
        <v/>
      </c>
      <c r="I25" s="14">
        <f>IF(A25="","",H25*(1-D25))</f>
        <v/>
      </c>
      <c r="J25" s="14">
        <f>IF(A25="","",I25*(1-E25)*(1-F25)-N(G25))</f>
        <v/>
      </c>
      <c r="K25" s="15">
        <f>IF(OR(A25="",N(H25)=0),"",J25/H25)</f>
        <v/>
      </c>
    </row>
    <row r="26">
      <c r="A26" s="8" t="n"/>
      <c r="B26" s="10" t="n"/>
      <c r="C26" s="13" t="n"/>
      <c r="D26" s="13" t="n"/>
      <c r="E26" s="13" t="n"/>
      <c r="F26" s="13" t="n"/>
      <c r="G26" s="10" t="n"/>
      <c r="H26" s="14">
        <f>IF(A26="","",B26/(1+C26))</f>
        <v/>
      </c>
      <c r="I26" s="14">
        <f>IF(A26="","",H26*(1-D26))</f>
        <v/>
      </c>
      <c r="J26" s="14">
        <f>IF(A26="","",I26*(1-E26)*(1-F26)-N(G26))</f>
        <v/>
      </c>
      <c r="K26" s="15">
        <f>IF(OR(A26="",N(H26)=0),"",J26/H26)</f>
        <v/>
      </c>
    </row>
    <row r="27">
      <c r="A27" s="8" t="n"/>
      <c r="B27" s="10" t="n"/>
      <c r="C27" s="13" t="n"/>
      <c r="D27" s="13" t="n"/>
      <c r="E27" s="13" t="n"/>
      <c r="F27" s="13" t="n"/>
      <c r="G27" s="10" t="n"/>
      <c r="H27" s="14">
        <f>IF(A27="","",B27/(1+C27))</f>
        <v/>
      </c>
      <c r="I27" s="14">
        <f>IF(A27="","",H27*(1-D27))</f>
        <v/>
      </c>
      <c r="J27" s="14">
        <f>IF(A27="","",I27*(1-E27)*(1-F27)-N(G27))</f>
        <v/>
      </c>
      <c r="K27" s="15">
        <f>IF(OR(A27="",N(H27)=0),"",J27/H27)</f>
        <v/>
      </c>
    </row>
    <row r="28">
      <c r="A28" s="8" t="n"/>
      <c r="B28" s="10" t="n"/>
      <c r="C28" s="13" t="n"/>
      <c r="D28" s="13" t="n"/>
      <c r="E28" s="13" t="n"/>
      <c r="F28" s="13" t="n"/>
      <c r="G28" s="10" t="n"/>
      <c r="H28" s="14">
        <f>IF(A28="","",B28/(1+C28))</f>
        <v/>
      </c>
      <c r="I28" s="14">
        <f>IF(A28="","",H28*(1-D28))</f>
        <v/>
      </c>
      <c r="J28" s="14">
        <f>IF(A28="","",I28*(1-E28)*(1-F28)-N(G28))</f>
        <v/>
      </c>
      <c r="K28" s="15">
        <f>IF(OR(A28="",N(H28)=0),"",J28/H28)</f>
        <v/>
      </c>
    </row>
    <row r="29">
      <c r="A29" s="8" t="n"/>
      <c r="B29" s="10" t="n"/>
      <c r="C29" s="13" t="n"/>
      <c r="D29" s="13" t="n"/>
      <c r="E29" s="13" t="n"/>
      <c r="F29" s="13" t="n"/>
      <c r="G29" s="10" t="n"/>
      <c r="H29" s="14">
        <f>IF(A29="","",B29/(1+C29))</f>
        <v/>
      </c>
      <c r="I29" s="14">
        <f>IF(A29="","",H29*(1-D29))</f>
        <v/>
      </c>
      <c r="J29" s="14">
        <f>IF(A29="","",I29*(1-E29)*(1-F29)-N(G29))</f>
        <v/>
      </c>
      <c r="K29" s="15">
        <f>IF(OR(A29="",N(H29)=0),"",J29/H29)</f>
        <v/>
      </c>
    </row>
    <row r="30">
      <c r="A30" s="8" t="n"/>
      <c r="B30" s="10" t="n"/>
      <c r="C30" s="13" t="n"/>
      <c r="D30" s="13" t="n"/>
      <c r="E30" s="13" t="n"/>
      <c r="F30" s="13" t="n"/>
      <c r="G30" s="10" t="n"/>
      <c r="H30" s="14">
        <f>IF(A30="","",B30/(1+C30))</f>
        <v/>
      </c>
      <c r="I30" s="14">
        <f>IF(A30="","",H30*(1-D30))</f>
        <v/>
      </c>
      <c r="J30" s="14">
        <f>IF(A30="","",I30*(1-E30)*(1-F30)-N(G30))</f>
        <v/>
      </c>
      <c r="K30" s="15">
        <f>IF(OR(A30="",N(H30)=0),"",J30/H30)</f>
        <v/>
      </c>
    </row>
    <row r="31">
      <c r="A31" s="8" t="n"/>
      <c r="B31" s="10" t="n"/>
      <c r="C31" s="13" t="n"/>
      <c r="D31" s="13" t="n"/>
      <c r="E31" s="13" t="n"/>
      <c r="F31" s="13" t="n"/>
      <c r="G31" s="10" t="n"/>
      <c r="H31" s="14">
        <f>IF(A31="","",B31/(1+C31))</f>
        <v/>
      </c>
      <c r="I31" s="14">
        <f>IF(A31="","",H31*(1-D31))</f>
        <v/>
      </c>
      <c r="J31" s="14">
        <f>IF(A31="","",I31*(1-E31)*(1-F31)-N(G31))</f>
        <v/>
      </c>
      <c r="K31" s="15">
        <f>IF(OR(A31="",N(H31)=0),"",J31/H31)</f>
        <v/>
      </c>
    </row>
    <row r="32">
      <c r="A32" s="8" t="n"/>
      <c r="B32" s="10" t="n"/>
      <c r="C32" s="13" t="n"/>
      <c r="D32" s="13" t="n"/>
      <c r="E32" s="13" t="n"/>
      <c r="F32" s="13" t="n"/>
      <c r="G32" s="10" t="n"/>
      <c r="H32" s="14">
        <f>IF(A32="","",B32/(1+C32))</f>
        <v/>
      </c>
      <c r="I32" s="14">
        <f>IF(A32="","",H32*(1-D32))</f>
        <v/>
      </c>
      <c r="J32" s="14">
        <f>IF(A32="","",I32*(1-E32)*(1-F32)-N(G32))</f>
        <v/>
      </c>
      <c r="K32" s="15">
        <f>IF(OR(A32="",N(H32)=0),"",J32/H32)</f>
        <v/>
      </c>
    </row>
    <row r="33">
      <c r="A33" s="8" t="n"/>
      <c r="B33" s="10" t="n"/>
      <c r="C33" s="13" t="n"/>
      <c r="D33" s="13" t="n"/>
      <c r="E33" s="13" t="n"/>
      <c r="F33" s="13" t="n"/>
      <c r="G33" s="10" t="n"/>
      <c r="H33" s="14">
        <f>IF(A33="","",B33/(1+C33))</f>
        <v/>
      </c>
      <c r="I33" s="14">
        <f>IF(A33="","",H33*(1-D33))</f>
        <v/>
      </c>
      <c r="J33" s="14">
        <f>IF(A33="","",I33*(1-E33)*(1-F33)-N(G33))</f>
        <v/>
      </c>
      <c r="K33" s="15">
        <f>IF(OR(A33="",N(H33)=0),"",J33/H33)</f>
        <v/>
      </c>
    </row>
    <row r="34">
      <c r="A34" s="8" t="n"/>
      <c r="B34" s="10" t="n"/>
      <c r="C34" s="13" t="n"/>
      <c r="D34" s="13" t="n"/>
      <c r="E34" s="13" t="n"/>
      <c r="F34" s="13" t="n"/>
      <c r="G34" s="10" t="n"/>
      <c r="H34" s="14">
        <f>IF(A34="","",B34/(1+C34))</f>
        <v/>
      </c>
      <c r="I34" s="14">
        <f>IF(A34="","",H34*(1-D34))</f>
        <v/>
      </c>
      <c r="J34" s="14">
        <f>IF(A34="","",I34*(1-E34)*(1-F34)-N(G34))</f>
        <v/>
      </c>
      <c r="K34" s="15">
        <f>IF(OR(A34="",N(H34)=0),"",J34/H34)</f>
        <v/>
      </c>
    </row>
    <row r="35">
      <c r="A35" s="8" t="n"/>
      <c r="B35" s="10" t="n"/>
      <c r="C35" s="13" t="n"/>
      <c r="D35" s="13" t="n"/>
      <c r="E35" s="13" t="n"/>
      <c r="F35" s="13" t="n"/>
      <c r="G35" s="10" t="n"/>
      <c r="H35" s="14">
        <f>IF(A35="","",B35/(1+C35))</f>
        <v/>
      </c>
      <c r="I35" s="14">
        <f>IF(A35="","",H35*(1-D35))</f>
        <v/>
      </c>
      <c r="J35" s="14">
        <f>IF(A35="","",I35*(1-E35)*(1-F35)-N(G35))</f>
        <v/>
      </c>
      <c r="K35" s="15">
        <f>IF(OR(A35="",N(H35)=0),"",J35/H35)</f>
        <v/>
      </c>
    </row>
    <row r="36">
      <c r="A36" s="8" t="n"/>
      <c r="B36" s="10" t="n"/>
      <c r="C36" s="13" t="n"/>
      <c r="D36" s="13" t="n"/>
      <c r="E36" s="13" t="n"/>
      <c r="F36" s="13" t="n"/>
      <c r="G36" s="10" t="n"/>
      <c r="H36" s="14">
        <f>IF(A36="","",B36/(1+C36))</f>
        <v/>
      </c>
      <c r="I36" s="14">
        <f>IF(A36="","",H36*(1-D36))</f>
        <v/>
      </c>
      <c r="J36" s="14">
        <f>IF(A36="","",I36*(1-E36)*(1-F36)-N(G36))</f>
        <v/>
      </c>
      <c r="K36" s="15">
        <f>IF(OR(A36="",N(H36)=0),"",J36/H36)</f>
        <v/>
      </c>
    </row>
    <row r="37">
      <c r="A37" s="8" t="n"/>
      <c r="B37" s="10" t="n"/>
      <c r="C37" s="13" t="n"/>
      <c r="D37" s="13" t="n"/>
      <c r="E37" s="13" t="n"/>
      <c r="F37" s="13" t="n"/>
      <c r="G37" s="10" t="n"/>
      <c r="H37" s="14">
        <f>IF(A37="","",B37/(1+C37))</f>
        <v/>
      </c>
      <c r="I37" s="14">
        <f>IF(A37="","",H37*(1-D37))</f>
        <v/>
      </c>
      <c r="J37" s="14">
        <f>IF(A37="","",I37*(1-E37)*(1-F37)-N(G37))</f>
        <v/>
      </c>
      <c r="K37" s="15">
        <f>IF(OR(A37="",N(H37)=0),"",J37/H37)</f>
        <v/>
      </c>
    </row>
    <row r="38">
      <c r="A38" s="8" t="n"/>
      <c r="B38" s="10" t="n"/>
      <c r="C38" s="13" t="n"/>
      <c r="D38" s="13" t="n"/>
      <c r="E38" s="13" t="n"/>
      <c r="F38" s="13" t="n"/>
      <c r="G38" s="10" t="n"/>
      <c r="H38" s="14">
        <f>IF(A38="","",B38/(1+C38))</f>
        <v/>
      </c>
      <c r="I38" s="14">
        <f>IF(A38="","",H38*(1-D38))</f>
        <v/>
      </c>
      <c r="J38" s="14">
        <f>IF(A38="","",I38*(1-E38)*(1-F38)-N(G38))</f>
        <v/>
      </c>
      <c r="K38" s="15">
        <f>IF(OR(A38="",N(H38)=0),"",J38/H38)</f>
        <v/>
      </c>
    </row>
    <row r="39">
      <c r="A39" s="8" t="n"/>
      <c r="B39" s="10" t="n"/>
      <c r="C39" s="13" t="n"/>
      <c r="D39" s="13" t="n"/>
      <c r="E39" s="13" t="n"/>
      <c r="F39" s="13" t="n"/>
      <c r="G39" s="10" t="n"/>
      <c r="H39" s="14">
        <f>IF(A39="","",B39/(1+C39))</f>
        <v/>
      </c>
      <c r="I39" s="14">
        <f>IF(A39="","",H39*(1-D39))</f>
        <v/>
      </c>
      <c r="J39" s="14">
        <f>IF(A39="","",I39*(1-E39)*(1-F39)-N(G39))</f>
        <v/>
      </c>
      <c r="K39" s="15">
        <f>IF(OR(A39="",N(H39)=0),"",J39/H39)</f>
        <v/>
      </c>
    </row>
    <row r="40">
      <c r="A40" s="8" t="n"/>
      <c r="B40" s="10" t="n"/>
      <c r="C40" s="13" t="n"/>
      <c r="D40" s="13" t="n"/>
      <c r="E40" s="13" t="n"/>
      <c r="F40" s="13" t="n"/>
      <c r="G40" s="10" t="n"/>
      <c r="H40" s="14">
        <f>IF(A40="","",B40/(1+C40))</f>
        <v/>
      </c>
      <c r="I40" s="14">
        <f>IF(A40="","",H40*(1-D40))</f>
        <v/>
      </c>
      <c r="J40" s="14">
        <f>IF(A40="","",I40*(1-E40)*(1-F40)-N(G40))</f>
        <v/>
      </c>
      <c r="K40" s="15">
        <f>IF(OR(A40="",N(H40)=0),"",J40/H40)</f>
        <v/>
      </c>
    </row>
    <row r="41">
      <c r="A41" s="8" t="n"/>
      <c r="B41" s="10" t="n"/>
      <c r="C41" s="13" t="n"/>
      <c r="D41" s="13" t="n"/>
      <c r="E41" s="13" t="n"/>
      <c r="F41" s="13" t="n"/>
      <c r="G41" s="10" t="n"/>
      <c r="H41" s="14">
        <f>IF(A41="","",B41/(1+C41))</f>
        <v/>
      </c>
      <c r="I41" s="14">
        <f>IF(A41="","",H41*(1-D41))</f>
        <v/>
      </c>
      <c r="J41" s="14">
        <f>IF(A41="","",I41*(1-E41)*(1-F41)-N(G41))</f>
        <v/>
      </c>
      <c r="K41" s="15">
        <f>IF(OR(A41="",N(H41)=0),"",J41/H41)</f>
        <v/>
      </c>
    </row>
    <row r="42">
      <c r="A42" s="8" t="n"/>
      <c r="B42" s="10" t="n"/>
      <c r="C42" s="13" t="n"/>
      <c r="D42" s="13" t="n"/>
      <c r="E42" s="13" t="n"/>
      <c r="F42" s="13" t="n"/>
      <c r="G42" s="10" t="n"/>
      <c r="H42" s="14">
        <f>IF(A42="","",B42/(1+C42))</f>
        <v/>
      </c>
      <c r="I42" s="14">
        <f>IF(A42="","",H42*(1-D42))</f>
        <v/>
      </c>
      <c r="J42" s="14">
        <f>IF(A42="","",I42*(1-E42)*(1-F42)-N(G42))</f>
        <v/>
      </c>
      <c r="K42" s="15">
        <f>IF(OR(A42="",N(H42)=0),"",J42/H42)</f>
        <v/>
      </c>
    </row>
    <row r="43">
      <c r="A43" s="8" t="n"/>
      <c r="B43" s="10" t="n"/>
      <c r="C43" s="13" t="n"/>
      <c r="D43" s="13" t="n"/>
      <c r="E43" s="13" t="n"/>
      <c r="F43" s="13" t="n"/>
      <c r="G43" s="10" t="n"/>
      <c r="H43" s="14">
        <f>IF(A43="","",B43/(1+C43))</f>
        <v/>
      </c>
      <c r="I43" s="14">
        <f>IF(A43="","",H43*(1-D43))</f>
        <v/>
      </c>
      <c r="J43" s="14">
        <f>IF(A43="","",I43*(1-E43)*(1-F43)-N(G43))</f>
        <v/>
      </c>
      <c r="K43" s="15">
        <f>IF(OR(A43="",N(H43)=0),"",J43/H43)</f>
        <v/>
      </c>
    </row>
    <row r="44">
      <c r="A44" s="8" t="n"/>
      <c r="B44" s="10" t="n"/>
      <c r="C44" s="13" t="n"/>
      <c r="D44" s="13" t="n"/>
      <c r="E44" s="13" t="n"/>
      <c r="F44" s="13" t="n"/>
      <c r="G44" s="10" t="n"/>
      <c r="H44" s="14">
        <f>IF(A44="","",B44/(1+C44))</f>
        <v/>
      </c>
      <c r="I44" s="14">
        <f>IF(A44="","",H44*(1-D44))</f>
        <v/>
      </c>
      <c r="J44" s="14">
        <f>IF(A44="","",I44*(1-E44)*(1-F44)-N(G44))</f>
        <v/>
      </c>
      <c r="K44" s="15">
        <f>IF(OR(A44="",N(H44)=0),"",J44/H44)</f>
        <v/>
      </c>
    </row>
    <row r="45">
      <c r="A45" s="8" t="n"/>
      <c r="B45" s="10" t="n"/>
      <c r="C45" s="13" t="n"/>
      <c r="D45" s="13" t="n"/>
      <c r="E45" s="13" t="n"/>
      <c r="F45" s="13" t="n"/>
      <c r="G45" s="10" t="n"/>
      <c r="H45" s="14">
        <f>IF(A45="","",B45/(1+C45))</f>
        <v/>
      </c>
      <c r="I45" s="14">
        <f>IF(A45="","",H45*(1-D45))</f>
        <v/>
      </c>
      <c r="J45" s="14">
        <f>IF(A45="","",I45*(1-E45)*(1-F45)-N(G45))</f>
        <v/>
      </c>
      <c r="K45" s="15">
        <f>IF(OR(A45="",N(H45)=0),"",J45/H45)</f>
        <v/>
      </c>
    </row>
    <row r="46">
      <c r="A46" s="8" t="n"/>
      <c r="B46" s="10" t="n"/>
      <c r="C46" s="13" t="n"/>
      <c r="D46" s="13" t="n"/>
      <c r="E46" s="13" t="n"/>
      <c r="F46" s="13" t="n"/>
      <c r="G46" s="10" t="n"/>
      <c r="H46" s="14">
        <f>IF(A46="","",B46/(1+C46))</f>
        <v/>
      </c>
      <c r="I46" s="14">
        <f>IF(A46="","",H46*(1-D46))</f>
        <v/>
      </c>
      <c r="J46" s="14">
        <f>IF(A46="","",I46*(1-E46)*(1-F46)-N(G46))</f>
        <v/>
      </c>
      <c r="K46" s="15">
        <f>IF(OR(A46="",N(H46)=0),"",J46/H46)</f>
        <v/>
      </c>
    </row>
    <row r="47">
      <c r="A47" s="8" t="n"/>
      <c r="B47" s="10" t="n"/>
      <c r="C47" s="13" t="n"/>
      <c r="D47" s="13" t="n"/>
      <c r="E47" s="13" t="n"/>
      <c r="F47" s="13" t="n"/>
      <c r="G47" s="10" t="n"/>
      <c r="H47" s="14">
        <f>IF(A47="","",B47/(1+C47))</f>
        <v/>
      </c>
      <c r="I47" s="14">
        <f>IF(A47="","",H47*(1-D47))</f>
        <v/>
      </c>
      <c r="J47" s="14">
        <f>IF(A47="","",I47*(1-E47)*(1-F47)-N(G47))</f>
        <v/>
      </c>
      <c r="K47" s="15">
        <f>IF(OR(A47="",N(H47)=0),"",J47/H47)</f>
        <v/>
      </c>
    </row>
    <row r="48">
      <c r="A48" s="8" t="n"/>
      <c r="B48" s="10" t="n"/>
      <c r="C48" s="13" t="n"/>
      <c r="D48" s="13" t="n"/>
      <c r="E48" s="13" t="n"/>
      <c r="F48" s="13" t="n"/>
      <c r="G48" s="10" t="n"/>
      <c r="H48" s="14">
        <f>IF(A48="","",B48/(1+C48))</f>
        <v/>
      </c>
      <c r="I48" s="14">
        <f>IF(A48="","",H48*(1-D48))</f>
        <v/>
      </c>
      <c r="J48" s="14">
        <f>IF(A48="","",I48*(1-E48)*(1-F48)-N(G48))</f>
        <v/>
      </c>
      <c r="K48" s="15">
        <f>IF(OR(A48="",N(H48)=0),"",J48/H48)</f>
        <v/>
      </c>
    </row>
    <row r="49">
      <c r="A49" s="8" t="n"/>
      <c r="B49" s="10" t="n"/>
      <c r="C49" s="13" t="n"/>
      <c r="D49" s="13" t="n"/>
      <c r="E49" s="13" t="n"/>
      <c r="F49" s="13" t="n"/>
      <c r="G49" s="10" t="n"/>
      <c r="H49" s="14">
        <f>IF(A49="","",B49/(1+C49))</f>
        <v/>
      </c>
      <c r="I49" s="14">
        <f>IF(A49="","",H49*(1-D49))</f>
        <v/>
      </c>
      <c r="J49" s="14">
        <f>IF(A49="","",I49*(1-E49)*(1-F49)-N(G49))</f>
        <v/>
      </c>
      <c r="K49" s="15">
        <f>IF(OR(A49="",N(H49)=0),"",J49/H49)</f>
        <v/>
      </c>
    </row>
    <row r="50">
      <c r="A50" s="8" t="n"/>
      <c r="B50" s="10" t="n"/>
      <c r="C50" s="13" t="n"/>
      <c r="D50" s="13" t="n"/>
      <c r="E50" s="13" t="n"/>
      <c r="F50" s="13" t="n"/>
      <c r="G50" s="10" t="n"/>
      <c r="H50" s="14">
        <f>IF(A50="","",B50/(1+C50))</f>
        <v/>
      </c>
      <c r="I50" s="14">
        <f>IF(A50="","",H50*(1-D50))</f>
        <v/>
      </c>
      <c r="J50" s="14">
        <f>IF(A50="","",I50*(1-E50)*(1-F50)-N(G50))</f>
        <v/>
      </c>
      <c r="K50" s="15">
        <f>IF(OR(A50="",N(H50)=0),"",J50/H50)</f>
        <v/>
      </c>
    </row>
    <row r="51">
      <c r="A51" s="8" t="n"/>
      <c r="B51" s="10" t="n"/>
      <c r="C51" s="13" t="n"/>
      <c r="D51" s="13" t="n"/>
      <c r="E51" s="13" t="n"/>
      <c r="F51" s="13" t="n"/>
      <c r="G51" s="10" t="n"/>
      <c r="H51" s="14">
        <f>IF(A51="","",B51/(1+C51))</f>
        <v/>
      </c>
      <c r="I51" s="14">
        <f>IF(A51="","",H51*(1-D51))</f>
        <v/>
      </c>
      <c r="J51" s="14">
        <f>IF(A51="","",I51*(1-E51)*(1-F51)-N(G51))</f>
        <v/>
      </c>
      <c r="K51" s="15">
        <f>IF(OR(A51="",N(H51)=0),"",J51/H51)</f>
        <v/>
      </c>
    </row>
    <row r="52">
      <c r="A52" s="8" t="n"/>
      <c r="B52" s="10" t="n"/>
      <c r="C52" s="13" t="n"/>
      <c r="D52" s="13" t="n"/>
      <c r="E52" s="13" t="n"/>
      <c r="F52" s="13" t="n"/>
      <c r="G52" s="10" t="n"/>
      <c r="H52" s="14">
        <f>IF(A52="","",B52/(1+C52))</f>
        <v/>
      </c>
      <c r="I52" s="14">
        <f>IF(A52="","",H52*(1-D52))</f>
        <v/>
      </c>
      <c r="J52" s="14">
        <f>IF(A52="","",I52*(1-E52)*(1-F52)-N(G52))</f>
        <v/>
      </c>
      <c r="K52" s="15">
        <f>IF(OR(A52="",N(H52)=0),"",J52/H52)</f>
        <v/>
      </c>
    </row>
    <row r="53">
      <c r="A53" s="8" t="n"/>
      <c r="B53" s="10" t="n"/>
      <c r="C53" s="13" t="n"/>
      <c r="D53" s="13" t="n"/>
      <c r="E53" s="13" t="n"/>
      <c r="F53" s="13" t="n"/>
      <c r="G53" s="10" t="n"/>
      <c r="H53" s="14">
        <f>IF(A53="","",B53/(1+C53))</f>
        <v/>
      </c>
      <c r="I53" s="14">
        <f>IF(A53="","",H53*(1-D53))</f>
        <v/>
      </c>
      <c r="J53" s="14">
        <f>IF(A53="","",I53*(1-E53)*(1-F53)-N(G53))</f>
        <v/>
      </c>
      <c r="K53" s="15">
        <f>IF(OR(A53="",N(H53)=0),"",J53/H53)</f>
        <v/>
      </c>
    </row>
    <row r="54">
      <c r="A54" s="8" t="n"/>
      <c r="B54" s="10" t="n"/>
      <c r="C54" s="13" t="n"/>
      <c r="D54" s="13" t="n"/>
      <c r="E54" s="13" t="n"/>
      <c r="F54" s="13" t="n"/>
      <c r="G54" s="10" t="n"/>
      <c r="H54" s="14">
        <f>IF(A54="","",B54/(1+C54))</f>
        <v/>
      </c>
      <c r="I54" s="14">
        <f>IF(A54="","",H54*(1-D54))</f>
        <v/>
      </c>
      <c r="J54" s="14">
        <f>IF(A54="","",I54*(1-E54)*(1-F54)-N(G54))</f>
        <v/>
      </c>
      <c r="K54" s="15">
        <f>IF(OR(A54="",N(H54)=0),"",J54/H54)</f>
        <v/>
      </c>
    </row>
    <row r="55">
      <c r="A55" s="8" t="n"/>
      <c r="B55" s="10" t="n"/>
      <c r="C55" s="13" t="n"/>
      <c r="D55" s="13" t="n"/>
      <c r="E55" s="13" t="n"/>
      <c r="F55" s="13" t="n"/>
      <c r="G55" s="10" t="n"/>
      <c r="H55" s="14">
        <f>IF(A55="","",B55/(1+C55))</f>
        <v/>
      </c>
      <c r="I55" s="14">
        <f>IF(A55="","",H55*(1-D55))</f>
        <v/>
      </c>
      <c r="J55" s="14">
        <f>IF(A55="","",I55*(1-E55)*(1-F55)-N(G55))</f>
        <v/>
      </c>
      <c r="K55" s="15">
        <f>IF(OR(A55="",N(H55)=0),"",J55/H55)</f>
        <v/>
      </c>
    </row>
    <row r="56">
      <c r="A56" s="8" t="n"/>
      <c r="B56" s="10" t="n"/>
      <c r="C56" s="13" t="n"/>
      <c r="D56" s="13" t="n"/>
      <c r="E56" s="13" t="n"/>
      <c r="F56" s="13" t="n"/>
      <c r="G56" s="10" t="n"/>
      <c r="H56" s="14">
        <f>IF(A56="","",B56/(1+C56))</f>
        <v/>
      </c>
      <c r="I56" s="14">
        <f>IF(A56="","",H56*(1-D56))</f>
        <v/>
      </c>
      <c r="J56" s="14">
        <f>IF(A56="","",I56*(1-E56)*(1-F56)-N(G56))</f>
        <v/>
      </c>
      <c r="K56" s="15">
        <f>IF(OR(A56="",N(H56)=0),"",J56/H56)</f>
        <v/>
      </c>
    </row>
    <row r="57">
      <c r="A57" s="8" t="n"/>
      <c r="B57" s="10" t="n"/>
      <c r="C57" s="13" t="n"/>
      <c r="D57" s="13" t="n"/>
      <c r="E57" s="13" t="n"/>
      <c r="F57" s="13" t="n"/>
      <c r="G57" s="10" t="n"/>
      <c r="H57" s="14">
        <f>IF(A57="","",B57/(1+C57))</f>
        <v/>
      </c>
      <c r="I57" s="14">
        <f>IF(A57="","",H57*(1-D57))</f>
        <v/>
      </c>
      <c r="J57" s="14">
        <f>IF(A57="","",I57*(1-E57)*(1-F57)-N(G57))</f>
        <v/>
      </c>
      <c r="K57" s="15">
        <f>IF(OR(A57="",N(H57)=0),"",J57/H57)</f>
        <v/>
      </c>
    </row>
    <row r="58">
      <c r="A58" s="8" t="n"/>
      <c r="B58" s="10" t="n"/>
      <c r="C58" s="13" t="n"/>
      <c r="D58" s="13" t="n"/>
      <c r="E58" s="13" t="n"/>
      <c r="F58" s="13" t="n"/>
      <c r="G58" s="10" t="n"/>
      <c r="H58" s="14">
        <f>IF(A58="","",B58/(1+C58))</f>
        <v/>
      </c>
      <c r="I58" s="14">
        <f>IF(A58="","",H58*(1-D58))</f>
        <v/>
      </c>
      <c r="J58" s="14">
        <f>IF(A58="","",I58*(1-E58)*(1-F58)-N(G58))</f>
        <v/>
      </c>
      <c r="K58" s="15">
        <f>IF(OR(A58="",N(H58)=0),"",J58/H58)</f>
        <v/>
      </c>
    </row>
    <row r="59">
      <c r="A59" s="8" t="n"/>
      <c r="B59" s="10" t="n"/>
      <c r="C59" s="13" t="n"/>
      <c r="D59" s="13" t="n"/>
      <c r="E59" s="13" t="n"/>
      <c r="F59" s="13" t="n"/>
      <c r="G59" s="10" t="n"/>
      <c r="H59" s="14">
        <f>IF(A59="","",B59/(1+C59))</f>
        <v/>
      </c>
      <c r="I59" s="14">
        <f>IF(A59="","",H59*(1-D59))</f>
        <v/>
      </c>
      <c r="J59" s="14">
        <f>IF(A59="","",I59*(1-E59)*(1-F59)-N(G59))</f>
        <v/>
      </c>
      <c r="K59" s="15">
        <f>IF(OR(A59="",N(H59)=0),"",J59/H59)</f>
        <v/>
      </c>
    </row>
    <row r="60">
      <c r="A60" s="8" t="n"/>
      <c r="B60" s="10" t="n"/>
      <c r="C60" s="13" t="n"/>
      <c r="D60" s="13" t="n"/>
      <c r="E60" s="13" t="n"/>
      <c r="F60" s="13" t="n"/>
      <c r="G60" s="10" t="n"/>
      <c r="H60" s="14">
        <f>IF(A60="","",B60/(1+C60))</f>
        <v/>
      </c>
      <c r="I60" s="14">
        <f>IF(A60="","",H60*(1-D60))</f>
        <v/>
      </c>
      <c r="J60" s="14">
        <f>IF(A60="","",I60*(1-E60)*(1-F60)-N(G60))</f>
        <v/>
      </c>
      <c r="K60" s="15">
        <f>IF(OR(A60="",N(H60)=0),"",J60/H60)</f>
        <v/>
      </c>
    </row>
    <row r="61">
      <c r="A61" s="8" t="n"/>
      <c r="B61" s="10" t="n"/>
      <c r="C61" s="13" t="n"/>
      <c r="D61" s="13" t="n"/>
      <c r="E61" s="13" t="n"/>
      <c r="F61" s="13" t="n"/>
      <c r="G61" s="10" t="n"/>
      <c r="H61" s="14">
        <f>IF(A61="","",B61/(1+C61))</f>
        <v/>
      </c>
      <c r="I61" s="14">
        <f>IF(A61="","",H61*(1-D61))</f>
        <v/>
      </c>
      <c r="J61" s="14">
        <f>IF(A61="","",I61*(1-E61)*(1-F61)-N(G61))</f>
        <v/>
      </c>
      <c r="K61" s="15">
        <f>IF(OR(A61="",N(H61)=0),"",J61/H61)</f>
        <v/>
      </c>
    </row>
    <row r="62">
      <c r="A62" s="8" t="n"/>
      <c r="B62" s="10" t="n"/>
      <c r="C62" s="13" t="n"/>
      <c r="D62" s="13" t="n"/>
      <c r="E62" s="13" t="n"/>
      <c r="F62" s="13" t="n"/>
      <c r="G62" s="10" t="n"/>
      <c r="H62" s="14">
        <f>IF(A62="","",B62/(1+C62))</f>
        <v/>
      </c>
      <c r="I62" s="14">
        <f>IF(A62="","",H62*(1-D62))</f>
        <v/>
      </c>
      <c r="J62" s="14">
        <f>IF(A62="","",I62*(1-E62)*(1-F62)-N(G62))</f>
        <v/>
      </c>
      <c r="K62" s="15">
        <f>IF(OR(A62="",N(H62)=0),"",J62/H62)</f>
        <v/>
      </c>
    </row>
    <row r="63">
      <c r="A63" s="8" t="n"/>
      <c r="B63" s="10" t="n"/>
      <c r="C63" s="13" t="n"/>
      <c r="D63" s="13" t="n"/>
      <c r="E63" s="13" t="n"/>
      <c r="F63" s="13" t="n"/>
      <c r="G63" s="10" t="n"/>
      <c r="H63" s="14">
        <f>IF(A63="","",B63/(1+C63))</f>
        <v/>
      </c>
      <c r="I63" s="14">
        <f>IF(A63="","",H63*(1-D63))</f>
        <v/>
      </c>
      <c r="J63" s="14">
        <f>IF(A63="","",I63*(1-E63)*(1-F63)-N(G63))</f>
        <v/>
      </c>
      <c r="K63" s="15">
        <f>IF(OR(A63="",N(H63)=0),"",J63/H63)</f>
        <v/>
      </c>
    </row>
    <row r="64">
      <c r="A64" s="8" t="n"/>
      <c r="B64" s="10" t="n"/>
      <c r="C64" s="13" t="n"/>
      <c r="D64" s="13" t="n"/>
      <c r="E64" s="13" t="n"/>
      <c r="F64" s="13" t="n"/>
      <c r="G64" s="10" t="n"/>
      <c r="H64" s="14">
        <f>IF(A64="","",B64/(1+C64))</f>
        <v/>
      </c>
      <c r="I64" s="14">
        <f>IF(A64="","",H64*(1-D64))</f>
        <v/>
      </c>
      <c r="J64" s="14">
        <f>IF(A64="","",I64*(1-E64)*(1-F64)-N(G64))</f>
        <v/>
      </c>
      <c r="K64" s="15">
        <f>IF(OR(A64="",N(H64)=0),"",J64/H64)</f>
        <v/>
      </c>
    </row>
    <row r="65">
      <c r="A65" s="8" t="n"/>
      <c r="B65" s="10" t="n"/>
      <c r="C65" s="13" t="n"/>
      <c r="D65" s="13" t="n"/>
      <c r="E65" s="13" t="n"/>
      <c r="F65" s="13" t="n"/>
      <c r="G65" s="10" t="n"/>
      <c r="H65" s="14">
        <f>IF(A65="","",B65/(1+C65))</f>
        <v/>
      </c>
      <c r="I65" s="14">
        <f>IF(A65="","",H65*(1-D65))</f>
        <v/>
      </c>
      <c r="J65" s="14">
        <f>IF(A65="","",I65*(1-E65)*(1-F65)-N(G65))</f>
        <v/>
      </c>
      <c r="K65" s="15">
        <f>IF(OR(A65="",N(H65)=0),"",J65/H65)</f>
        <v/>
      </c>
    </row>
    <row r="66">
      <c r="A66" s="8" t="n"/>
      <c r="B66" s="10" t="n"/>
      <c r="C66" s="13" t="n"/>
      <c r="D66" s="13" t="n"/>
      <c r="E66" s="13" t="n"/>
      <c r="F66" s="13" t="n"/>
      <c r="G66" s="10" t="n"/>
      <c r="H66" s="14">
        <f>IF(A66="","",B66/(1+C66))</f>
        <v/>
      </c>
      <c r="I66" s="14">
        <f>IF(A66="","",H66*(1-D66))</f>
        <v/>
      </c>
      <c r="J66" s="14">
        <f>IF(A66="","",I66*(1-E66)*(1-F66)-N(G66))</f>
        <v/>
      </c>
      <c r="K66" s="15">
        <f>IF(OR(A66="",N(H66)=0),"",J66/H66)</f>
        <v/>
      </c>
    </row>
    <row r="67">
      <c r="A67" s="8" t="n"/>
      <c r="B67" s="10" t="n"/>
      <c r="C67" s="13" t="n"/>
      <c r="D67" s="13" t="n"/>
      <c r="E67" s="13" t="n"/>
      <c r="F67" s="13" t="n"/>
      <c r="G67" s="10" t="n"/>
      <c r="H67" s="14">
        <f>IF(A67="","",B67/(1+C67))</f>
        <v/>
      </c>
      <c r="I67" s="14">
        <f>IF(A67="","",H67*(1-D67))</f>
        <v/>
      </c>
      <c r="J67" s="14">
        <f>IF(A67="","",I67*(1-E67)*(1-F67)-N(G67))</f>
        <v/>
      </c>
      <c r="K67" s="15">
        <f>IF(OR(A67="",N(H67)=0),"",J67/H67)</f>
        <v/>
      </c>
    </row>
    <row r="68">
      <c r="A68" s="8" t="n"/>
      <c r="B68" s="10" t="n"/>
      <c r="C68" s="13" t="n"/>
      <c r="D68" s="13" t="n"/>
      <c r="E68" s="13" t="n"/>
      <c r="F68" s="13" t="n"/>
      <c r="G68" s="10" t="n"/>
      <c r="H68" s="14">
        <f>IF(A68="","",B68/(1+C68))</f>
        <v/>
      </c>
      <c r="I68" s="14">
        <f>IF(A68="","",H68*(1-D68))</f>
        <v/>
      </c>
      <c r="J68" s="14">
        <f>IF(A68="","",I68*(1-E68)*(1-F68)-N(G68))</f>
        <v/>
      </c>
      <c r="K68" s="15">
        <f>IF(OR(A68="",N(H68)=0),"",J68/H68)</f>
        <v/>
      </c>
    </row>
    <row r="69">
      <c r="A69" s="8" t="n"/>
      <c r="B69" s="10" t="n"/>
      <c r="C69" s="13" t="n"/>
      <c r="D69" s="13" t="n"/>
      <c r="E69" s="13" t="n"/>
      <c r="F69" s="13" t="n"/>
      <c r="G69" s="10" t="n"/>
      <c r="H69" s="14">
        <f>IF(A69="","",B69/(1+C69))</f>
        <v/>
      </c>
      <c r="I69" s="14">
        <f>IF(A69="","",H69*(1-D69))</f>
        <v/>
      </c>
      <c r="J69" s="14">
        <f>IF(A69="","",I69*(1-E69)*(1-F69)-N(G69))</f>
        <v/>
      </c>
      <c r="K69" s="15">
        <f>IF(OR(A69="",N(H69)=0),"",J69/H69)</f>
        <v/>
      </c>
    </row>
    <row r="70">
      <c r="A70" s="8" t="n"/>
      <c r="B70" s="10" t="n"/>
      <c r="C70" s="13" t="n"/>
      <c r="D70" s="13" t="n"/>
      <c r="E70" s="13" t="n"/>
      <c r="F70" s="13" t="n"/>
      <c r="G70" s="10" t="n"/>
      <c r="H70" s="14">
        <f>IF(A70="","",B70/(1+C70))</f>
        <v/>
      </c>
      <c r="I70" s="14">
        <f>IF(A70="","",H70*(1-D70))</f>
        <v/>
      </c>
      <c r="J70" s="14">
        <f>IF(A70="","",I70*(1-E70)*(1-F70)-N(G70))</f>
        <v/>
      </c>
      <c r="K70" s="15">
        <f>IF(OR(A70="",N(H70)=0),"",J70/H70)</f>
        <v/>
      </c>
    </row>
    <row r="71">
      <c r="A71" s="8" t="n"/>
      <c r="B71" s="10" t="n"/>
      <c r="C71" s="13" t="n"/>
      <c r="D71" s="13" t="n"/>
      <c r="E71" s="13" t="n"/>
      <c r="F71" s="13" t="n"/>
      <c r="G71" s="10" t="n"/>
      <c r="H71" s="14">
        <f>IF(A71="","",B71/(1+C71))</f>
        <v/>
      </c>
      <c r="I71" s="14">
        <f>IF(A71="","",H71*(1-D71))</f>
        <v/>
      </c>
      <c r="J71" s="14">
        <f>IF(A71="","",I71*(1-E71)*(1-F71)-N(G71))</f>
        <v/>
      </c>
      <c r="K71" s="15">
        <f>IF(OR(A71="",N(H71)=0),"",J71/H71)</f>
        <v/>
      </c>
    </row>
    <row r="72">
      <c r="A72" s="8" t="n"/>
      <c r="B72" s="10" t="n"/>
      <c r="C72" s="13" t="n"/>
      <c r="D72" s="13" t="n"/>
      <c r="E72" s="13" t="n"/>
      <c r="F72" s="13" t="n"/>
      <c r="G72" s="10" t="n"/>
      <c r="H72" s="14">
        <f>IF(A72="","",B72/(1+C72))</f>
        <v/>
      </c>
      <c r="I72" s="14">
        <f>IF(A72="","",H72*(1-D72))</f>
        <v/>
      </c>
      <c r="J72" s="14">
        <f>IF(A72="","",I72*(1-E72)*(1-F72)-N(G72))</f>
        <v/>
      </c>
      <c r="K72" s="15">
        <f>IF(OR(A72="",N(H72)=0),"",J72/H72)</f>
        <v/>
      </c>
    </row>
    <row r="73">
      <c r="A73" s="8" t="n"/>
      <c r="B73" s="10" t="n"/>
      <c r="C73" s="13" t="n"/>
      <c r="D73" s="13" t="n"/>
      <c r="E73" s="13" t="n"/>
      <c r="F73" s="13" t="n"/>
      <c r="G73" s="10" t="n"/>
      <c r="H73" s="14">
        <f>IF(A73="","",B73/(1+C73))</f>
        <v/>
      </c>
      <c r="I73" s="14">
        <f>IF(A73="","",H73*(1-D73))</f>
        <v/>
      </c>
      <c r="J73" s="14">
        <f>IF(A73="","",I73*(1-E73)*(1-F73)-N(G73))</f>
        <v/>
      </c>
      <c r="K73" s="15">
        <f>IF(OR(A73="",N(H73)=0),"",J73/H73)</f>
        <v/>
      </c>
    </row>
    <row r="74">
      <c r="A74" s="8" t="n"/>
      <c r="B74" s="10" t="n"/>
      <c r="C74" s="13" t="n"/>
      <c r="D74" s="13" t="n"/>
      <c r="E74" s="13" t="n"/>
      <c r="F74" s="13" t="n"/>
      <c r="G74" s="10" t="n"/>
      <c r="H74" s="14">
        <f>IF(A74="","",B74/(1+C74))</f>
        <v/>
      </c>
      <c r="I74" s="14">
        <f>IF(A74="","",H74*(1-D74))</f>
        <v/>
      </c>
      <c r="J74" s="14">
        <f>IF(A74="","",I74*(1-E74)*(1-F74)-N(G74))</f>
        <v/>
      </c>
      <c r="K74" s="15">
        <f>IF(OR(A74="",N(H74)=0),"",J74/H74)</f>
        <v/>
      </c>
    </row>
    <row r="75">
      <c r="A75" s="8" t="n"/>
      <c r="B75" s="10" t="n"/>
      <c r="C75" s="13" t="n"/>
      <c r="D75" s="13" t="n"/>
      <c r="E75" s="13" t="n"/>
      <c r="F75" s="13" t="n"/>
      <c r="G75" s="10" t="n"/>
      <c r="H75" s="14">
        <f>IF(A75="","",B75/(1+C75))</f>
        <v/>
      </c>
      <c r="I75" s="14">
        <f>IF(A75="","",H75*(1-D75))</f>
        <v/>
      </c>
      <c r="J75" s="14">
        <f>IF(A75="","",I75*(1-E75)*(1-F75)-N(G75))</f>
        <v/>
      </c>
      <c r="K75" s="15">
        <f>IF(OR(A75="",N(H75)=0),"",J75/H75)</f>
        <v/>
      </c>
    </row>
    <row r="76">
      <c r="A76" s="8" t="n"/>
      <c r="B76" s="10" t="n"/>
      <c r="C76" s="13" t="n"/>
      <c r="D76" s="13" t="n"/>
      <c r="E76" s="13" t="n"/>
      <c r="F76" s="13" t="n"/>
      <c r="G76" s="10" t="n"/>
      <c r="H76" s="14">
        <f>IF(A76="","",B76/(1+C76))</f>
        <v/>
      </c>
      <c r="I76" s="14">
        <f>IF(A76="","",H76*(1-D76))</f>
        <v/>
      </c>
      <c r="J76" s="14">
        <f>IF(A76="","",I76*(1-E76)*(1-F76)-N(G76))</f>
        <v/>
      </c>
      <c r="K76" s="15">
        <f>IF(OR(A76="",N(H76)=0),"",J76/H76)</f>
        <v/>
      </c>
    </row>
    <row r="77">
      <c r="A77" s="8" t="n"/>
      <c r="B77" s="10" t="n"/>
      <c r="C77" s="13" t="n"/>
      <c r="D77" s="13" t="n"/>
      <c r="E77" s="13" t="n"/>
      <c r="F77" s="13" t="n"/>
      <c r="G77" s="10" t="n"/>
      <c r="H77" s="14">
        <f>IF(A77="","",B77/(1+C77))</f>
        <v/>
      </c>
      <c r="I77" s="14">
        <f>IF(A77="","",H77*(1-D77))</f>
        <v/>
      </c>
      <c r="J77" s="14">
        <f>IF(A77="","",I77*(1-E77)*(1-F77)-N(G77))</f>
        <v/>
      </c>
      <c r="K77" s="15">
        <f>IF(OR(A77="",N(H77)=0),"",J77/H77)</f>
        <v/>
      </c>
    </row>
    <row r="78">
      <c r="A78" s="8" t="n"/>
      <c r="B78" s="10" t="n"/>
      <c r="C78" s="13" t="n"/>
      <c r="D78" s="13" t="n"/>
      <c r="E78" s="13" t="n"/>
      <c r="F78" s="13" t="n"/>
      <c r="G78" s="10" t="n"/>
      <c r="H78" s="14">
        <f>IF(A78="","",B78/(1+C78))</f>
        <v/>
      </c>
      <c r="I78" s="14">
        <f>IF(A78="","",H78*(1-D78))</f>
        <v/>
      </c>
      <c r="J78" s="14">
        <f>IF(A78="","",I78*(1-E78)*(1-F78)-N(G78))</f>
        <v/>
      </c>
      <c r="K78" s="15">
        <f>IF(OR(A78="",N(H78)=0),"",J78/H78)</f>
        <v/>
      </c>
    </row>
    <row r="79">
      <c r="A79" s="8" t="n"/>
      <c r="B79" s="10" t="n"/>
      <c r="C79" s="13" t="n"/>
      <c r="D79" s="13" t="n"/>
      <c r="E79" s="13" t="n"/>
      <c r="F79" s="13" t="n"/>
      <c r="G79" s="10" t="n"/>
      <c r="H79" s="14">
        <f>IF(A79="","",B79/(1+C79))</f>
        <v/>
      </c>
      <c r="I79" s="14">
        <f>IF(A79="","",H79*(1-D79))</f>
        <v/>
      </c>
      <c r="J79" s="14">
        <f>IF(A79="","",I79*(1-E79)*(1-F79)-N(G79))</f>
        <v/>
      </c>
      <c r="K79" s="15">
        <f>IF(OR(A79="",N(H79)=0),"",J79/H79)</f>
        <v/>
      </c>
    </row>
    <row r="80">
      <c r="A80" s="8" t="n"/>
      <c r="B80" s="10" t="n"/>
      <c r="C80" s="13" t="n"/>
      <c r="D80" s="13" t="n"/>
      <c r="E80" s="13" t="n"/>
      <c r="F80" s="13" t="n"/>
      <c r="G80" s="10" t="n"/>
      <c r="H80" s="14">
        <f>IF(A80="","",B80/(1+C80))</f>
        <v/>
      </c>
      <c r="I80" s="14">
        <f>IF(A80="","",H80*(1-D80))</f>
        <v/>
      </c>
      <c r="J80" s="14">
        <f>IF(A80="","",I80*(1-E80)*(1-F80)-N(G80))</f>
        <v/>
      </c>
      <c r="K80" s="15">
        <f>IF(OR(A80="",N(H80)=0),"",J80/H80)</f>
        <v/>
      </c>
    </row>
    <row r="81">
      <c r="A81" s="8" t="n"/>
      <c r="B81" s="10" t="n"/>
      <c r="C81" s="13" t="n"/>
      <c r="D81" s="13" t="n"/>
      <c r="E81" s="13" t="n"/>
      <c r="F81" s="13" t="n"/>
      <c r="G81" s="10" t="n"/>
      <c r="H81" s="14">
        <f>IF(A81="","",B81/(1+C81))</f>
        <v/>
      </c>
      <c r="I81" s="14">
        <f>IF(A81="","",H81*(1-D81))</f>
        <v/>
      </c>
      <c r="J81" s="14">
        <f>IF(A81="","",I81*(1-E81)*(1-F81)-N(G81))</f>
        <v/>
      </c>
      <c r="K81" s="15">
        <f>IF(OR(A81="",N(H81)=0),"",J81/H81)</f>
        <v/>
      </c>
    </row>
    <row r="82">
      <c r="A82" s="8" t="n"/>
      <c r="B82" s="10" t="n"/>
      <c r="C82" s="13" t="n"/>
      <c r="D82" s="13" t="n"/>
      <c r="E82" s="13" t="n"/>
      <c r="F82" s="13" t="n"/>
      <c r="G82" s="10" t="n"/>
      <c r="H82" s="14">
        <f>IF(A82="","",B82/(1+C82))</f>
        <v/>
      </c>
      <c r="I82" s="14">
        <f>IF(A82="","",H82*(1-D82))</f>
        <v/>
      </c>
      <c r="J82" s="14">
        <f>IF(A82="","",I82*(1-E82)*(1-F82)-N(G82))</f>
        <v/>
      </c>
      <c r="K82" s="15">
        <f>IF(OR(A82="",N(H82)=0),"",J82/H82)</f>
        <v/>
      </c>
    </row>
    <row r="83">
      <c r="A83" s="8" t="n"/>
      <c r="B83" s="10" t="n"/>
      <c r="C83" s="13" t="n"/>
      <c r="D83" s="13" t="n"/>
      <c r="E83" s="13" t="n"/>
      <c r="F83" s="13" t="n"/>
      <c r="G83" s="10" t="n"/>
      <c r="H83" s="14">
        <f>IF(A83="","",B83/(1+C83))</f>
        <v/>
      </c>
      <c r="I83" s="14">
        <f>IF(A83="","",H83*(1-D83))</f>
        <v/>
      </c>
      <c r="J83" s="14">
        <f>IF(A83="","",I83*(1-E83)*(1-F83)-N(G83))</f>
        <v/>
      </c>
      <c r="K83" s="15">
        <f>IF(OR(A83="",N(H83)=0),"",J83/H83)</f>
        <v/>
      </c>
    </row>
    <row r="84">
      <c r="A84" s="8" t="n"/>
      <c r="B84" s="10" t="n"/>
      <c r="C84" s="13" t="n"/>
      <c r="D84" s="13" t="n"/>
      <c r="E84" s="13" t="n"/>
      <c r="F84" s="13" t="n"/>
      <c r="G84" s="10" t="n"/>
      <c r="H84" s="14">
        <f>IF(A84="","",B84/(1+C84))</f>
        <v/>
      </c>
      <c r="I84" s="14">
        <f>IF(A84="","",H84*(1-D84))</f>
        <v/>
      </c>
      <c r="J84" s="14">
        <f>IF(A84="","",I84*(1-E84)*(1-F84)-N(G84))</f>
        <v/>
      </c>
      <c r="K84" s="15">
        <f>IF(OR(A84="",N(H84)=0),"",J84/H84)</f>
        <v/>
      </c>
    </row>
    <row r="85">
      <c r="A85" s="8" t="n"/>
      <c r="B85" s="10" t="n"/>
      <c r="C85" s="13" t="n"/>
      <c r="D85" s="13" t="n"/>
      <c r="E85" s="13" t="n"/>
      <c r="F85" s="13" t="n"/>
      <c r="G85" s="10" t="n"/>
      <c r="H85" s="14">
        <f>IF(A85="","",B85/(1+C85))</f>
        <v/>
      </c>
      <c r="I85" s="14">
        <f>IF(A85="","",H85*(1-D85))</f>
        <v/>
      </c>
      <c r="J85" s="14">
        <f>IF(A85="","",I85*(1-E85)*(1-F85)-N(G85))</f>
        <v/>
      </c>
      <c r="K85" s="15">
        <f>IF(OR(A85="",N(H85)=0),"",J85/H85)</f>
        <v/>
      </c>
    </row>
    <row r="86">
      <c r="A86" s="8" t="n"/>
      <c r="B86" s="10" t="n"/>
      <c r="C86" s="13" t="n"/>
      <c r="D86" s="13" t="n"/>
      <c r="E86" s="13" t="n"/>
      <c r="F86" s="13" t="n"/>
      <c r="G86" s="10" t="n"/>
      <c r="H86" s="14">
        <f>IF(A86="","",B86/(1+C86))</f>
        <v/>
      </c>
      <c r="I86" s="14">
        <f>IF(A86="","",H86*(1-D86))</f>
        <v/>
      </c>
      <c r="J86" s="14">
        <f>IF(A86="","",I86*(1-E86)*(1-F86)-N(G86))</f>
        <v/>
      </c>
      <c r="K86" s="15">
        <f>IF(OR(A86="",N(H86)=0),"",J86/H86)</f>
        <v/>
      </c>
    </row>
    <row r="87">
      <c r="A87" s="8" t="n"/>
      <c r="B87" s="10" t="n"/>
      <c r="C87" s="13" t="n"/>
      <c r="D87" s="13" t="n"/>
      <c r="E87" s="13" t="n"/>
      <c r="F87" s="13" t="n"/>
      <c r="G87" s="10" t="n"/>
      <c r="H87" s="14">
        <f>IF(A87="","",B87/(1+C87))</f>
        <v/>
      </c>
      <c r="I87" s="14">
        <f>IF(A87="","",H87*(1-D87))</f>
        <v/>
      </c>
      <c r="J87" s="14">
        <f>IF(A87="","",I87*(1-E87)*(1-F87)-N(G87))</f>
        <v/>
      </c>
      <c r="K87" s="15">
        <f>IF(OR(A87="",N(H87)=0),"",J87/H87)</f>
        <v/>
      </c>
    </row>
    <row r="88">
      <c r="A88" s="8" t="n"/>
      <c r="B88" s="10" t="n"/>
      <c r="C88" s="13" t="n"/>
      <c r="D88" s="13" t="n"/>
      <c r="E88" s="13" t="n"/>
      <c r="F88" s="13" t="n"/>
      <c r="G88" s="10" t="n"/>
      <c r="H88" s="14">
        <f>IF(A88="","",B88/(1+C88))</f>
        <v/>
      </c>
      <c r="I88" s="14">
        <f>IF(A88="","",H88*(1-D88))</f>
        <v/>
      </c>
      <c r="J88" s="14">
        <f>IF(A88="","",I88*(1-E88)*(1-F88)-N(G88))</f>
        <v/>
      </c>
      <c r="K88" s="15">
        <f>IF(OR(A88="",N(H88)=0),"",J88/H88)</f>
        <v/>
      </c>
    </row>
    <row r="89">
      <c r="A89" s="8" t="n"/>
      <c r="B89" s="10" t="n"/>
      <c r="C89" s="13" t="n"/>
      <c r="D89" s="13" t="n"/>
      <c r="E89" s="13" t="n"/>
      <c r="F89" s="13" t="n"/>
      <c r="G89" s="10" t="n"/>
      <c r="H89" s="14">
        <f>IF(A89="","",B89/(1+C89))</f>
        <v/>
      </c>
      <c r="I89" s="14">
        <f>IF(A89="","",H89*(1-D89))</f>
        <v/>
      </c>
      <c r="J89" s="14">
        <f>IF(A89="","",I89*(1-E89)*(1-F89)-N(G89))</f>
        <v/>
      </c>
      <c r="K89" s="15">
        <f>IF(OR(A89="",N(H89)=0),"",J89/H89)</f>
        <v/>
      </c>
    </row>
    <row r="90">
      <c r="A90" s="8" t="n"/>
      <c r="B90" s="10" t="n"/>
      <c r="C90" s="13" t="n"/>
      <c r="D90" s="13" t="n"/>
      <c r="E90" s="13" t="n"/>
      <c r="F90" s="13" t="n"/>
      <c r="G90" s="10" t="n"/>
      <c r="H90" s="14">
        <f>IF(A90="","",B90/(1+C90))</f>
        <v/>
      </c>
      <c r="I90" s="14">
        <f>IF(A90="","",H90*(1-D90))</f>
        <v/>
      </c>
      <c r="J90" s="14">
        <f>IF(A90="","",I90*(1-E90)*(1-F90)-N(G90))</f>
        <v/>
      </c>
      <c r="K90" s="15">
        <f>IF(OR(A90="",N(H90)=0),"",J90/H90)</f>
        <v/>
      </c>
    </row>
    <row r="91">
      <c r="A91" s="8" t="n"/>
      <c r="B91" s="10" t="n"/>
      <c r="C91" s="13" t="n"/>
      <c r="D91" s="13" t="n"/>
      <c r="E91" s="13" t="n"/>
      <c r="F91" s="13" t="n"/>
      <c r="G91" s="10" t="n"/>
      <c r="H91" s="14">
        <f>IF(A91="","",B91/(1+C91))</f>
        <v/>
      </c>
      <c r="I91" s="14">
        <f>IF(A91="","",H91*(1-D91))</f>
        <v/>
      </c>
      <c r="J91" s="14">
        <f>IF(A91="","",I91*(1-E91)*(1-F91)-N(G91))</f>
        <v/>
      </c>
      <c r="K91" s="15">
        <f>IF(OR(A91="",N(H91)=0),"",J91/H91)</f>
        <v/>
      </c>
    </row>
    <row r="92">
      <c r="A92" s="8" t="n"/>
      <c r="B92" s="10" t="n"/>
      <c r="C92" s="13" t="n"/>
      <c r="D92" s="13" t="n"/>
      <c r="E92" s="13" t="n"/>
      <c r="F92" s="13" t="n"/>
      <c r="G92" s="10" t="n"/>
      <c r="H92" s="14">
        <f>IF(A92="","",B92/(1+C92))</f>
        <v/>
      </c>
      <c r="I92" s="14">
        <f>IF(A92="","",H92*(1-D92))</f>
        <v/>
      </c>
      <c r="J92" s="14">
        <f>IF(A92="","",I92*(1-E92)*(1-F92)-N(G92))</f>
        <v/>
      </c>
      <c r="K92" s="15">
        <f>IF(OR(A92="",N(H92)=0),"",J92/H92)</f>
        <v/>
      </c>
    </row>
    <row r="93">
      <c r="A93" s="8" t="n"/>
      <c r="B93" s="10" t="n"/>
      <c r="C93" s="13" t="n"/>
      <c r="D93" s="13" t="n"/>
      <c r="E93" s="13" t="n"/>
      <c r="F93" s="13" t="n"/>
      <c r="G93" s="10" t="n"/>
      <c r="H93" s="14">
        <f>IF(A93="","",B93/(1+C93))</f>
        <v/>
      </c>
      <c r="I93" s="14">
        <f>IF(A93="","",H93*(1-D93))</f>
        <v/>
      </c>
      <c r="J93" s="14">
        <f>IF(A93="","",I93*(1-E93)*(1-F93)-N(G93))</f>
        <v/>
      </c>
      <c r="K93" s="15">
        <f>IF(OR(A93="",N(H93)=0),"",J93/H93)</f>
        <v/>
      </c>
    </row>
    <row r="94">
      <c r="A94" s="8" t="n"/>
      <c r="B94" s="10" t="n"/>
      <c r="C94" s="13" t="n"/>
      <c r="D94" s="13" t="n"/>
      <c r="E94" s="13" t="n"/>
      <c r="F94" s="13" t="n"/>
      <c r="G94" s="10" t="n"/>
      <c r="H94" s="14">
        <f>IF(A94="","",B94/(1+C94))</f>
        <v/>
      </c>
      <c r="I94" s="14">
        <f>IF(A94="","",H94*(1-D94))</f>
        <v/>
      </c>
      <c r="J94" s="14">
        <f>IF(A94="","",I94*(1-E94)*(1-F94)-N(G94))</f>
        <v/>
      </c>
      <c r="K94" s="15">
        <f>IF(OR(A94="",N(H94)=0),"",J94/H94)</f>
        <v/>
      </c>
    </row>
    <row r="95">
      <c r="A95" s="8" t="n"/>
      <c r="B95" s="10" t="n"/>
      <c r="C95" s="13" t="n"/>
      <c r="D95" s="13" t="n"/>
      <c r="E95" s="13" t="n"/>
      <c r="F95" s="13" t="n"/>
      <c r="G95" s="10" t="n"/>
      <c r="H95" s="14">
        <f>IF(A95="","",B95/(1+C95))</f>
        <v/>
      </c>
      <c r="I95" s="14">
        <f>IF(A95="","",H95*(1-D95))</f>
        <v/>
      </c>
      <c r="J95" s="14">
        <f>IF(A95="","",I95*(1-E95)*(1-F95)-N(G95))</f>
        <v/>
      </c>
      <c r="K95" s="15">
        <f>IF(OR(A95="",N(H95)=0),"",J95/H95)</f>
        <v/>
      </c>
    </row>
    <row r="96">
      <c r="A96" s="8" t="n"/>
      <c r="B96" s="10" t="n"/>
      <c r="C96" s="13" t="n"/>
      <c r="D96" s="13" t="n"/>
      <c r="E96" s="13" t="n"/>
      <c r="F96" s="13" t="n"/>
      <c r="G96" s="10" t="n"/>
      <c r="H96" s="14">
        <f>IF(A96="","",B96/(1+C96))</f>
        <v/>
      </c>
      <c r="I96" s="14">
        <f>IF(A96="","",H96*(1-D96))</f>
        <v/>
      </c>
      <c r="J96" s="14">
        <f>IF(A96="","",I96*(1-E96)*(1-F96)-N(G96))</f>
        <v/>
      </c>
      <c r="K96" s="15">
        <f>IF(OR(A96="",N(H96)=0),"",J96/H96)</f>
        <v/>
      </c>
    </row>
    <row r="97">
      <c r="A97" s="8" t="n"/>
      <c r="B97" s="10" t="n"/>
      <c r="C97" s="13" t="n"/>
      <c r="D97" s="13" t="n"/>
      <c r="E97" s="13" t="n"/>
      <c r="F97" s="13" t="n"/>
      <c r="G97" s="10" t="n"/>
      <c r="H97" s="14">
        <f>IF(A97="","",B97/(1+C97))</f>
        <v/>
      </c>
      <c r="I97" s="14">
        <f>IF(A97="","",H97*(1-D97))</f>
        <v/>
      </c>
      <c r="J97" s="14">
        <f>IF(A97="","",I97*(1-E97)*(1-F97)-N(G97))</f>
        <v/>
      </c>
      <c r="K97" s="15">
        <f>IF(OR(A97="",N(H97)=0),"",J97/H97)</f>
        <v/>
      </c>
    </row>
    <row r="98">
      <c r="A98" s="8" t="n"/>
      <c r="B98" s="10" t="n"/>
      <c r="C98" s="13" t="n"/>
      <c r="D98" s="13" t="n"/>
      <c r="E98" s="13" t="n"/>
      <c r="F98" s="13" t="n"/>
      <c r="G98" s="10" t="n"/>
      <c r="H98" s="14">
        <f>IF(A98="","",B98/(1+C98))</f>
        <v/>
      </c>
      <c r="I98" s="14">
        <f>IF(A98="","",H98*(1-D98))</f>
        <v/>
      </c>
      <c r="J98" s="14">
        <f>IF(A98="","",I98*(1-E98)*(1-F98)-N(G98))</f>
        <v/>
      </c>
      <c r="K98" s="15">
        <f>IF(OR(A98="",N(H98)=0),"",J98/H98)</f>
        <v/>
      </c>
    </row>
    <row r="99">
      <c r="A99" s="8" t="n"/>
      <c r="B99" s="10" t="n"/>
      <c r="C99" s="13" t="n"/>
      <c r="D99" s="13" t="n"/>
      <c r="E99" s="13" t="n"/>
      <c r="F99" s="13" t="n"/>
      <c r="G99" s="10" t="n"/>
      <c r="H99" s="14">
        <f>IF(A99="","",B99/(1+C99))</f>
        <v/>
      </c>
      <c r="I99" s="14">
        <f>IF(A99="","",H99*(1-D99))</f>
        <v/>
      </c>
      <c r="J99" s="14">
        <f>IF(A99="","",I99*(1-E99)*(1-F99)-N(G99))</f>
        <v/>
      </c>
      <c r="K99" s="15">
        <f>IF(OR(A99="",N(H99)=0),"",J99/H99)</f>
        <v/>
      </c>
    </row>
    <row r="100">
      <c r="A100" s="8" t="n"/>
      <c r="B100" s="10" t="n"/>
      <c r="C100" s="13" t="n"/>
      <c r="D100" s="13" t="n"/>
      <c r="E100" s="13" t="n"/>
      <c r="F100" s="13" t="n"/>
      <c r="G100" s="10" t="n"/>
      <c r="H100" s="14">
        <f>IF(A100="","",B100/(1+C100))</f>
        <v/>
      </c>
      <c r="I100" s="14">
        <f>IF(A100="","",H100*(1-D100))</f>
        <v/>
      </c>
      <c r="J100" s="14">
        <f>IF(A100="","",I100*(1-E100)*(1-F100)-N(G100))</f>
        <v/>
      </c>
      <c r="K100" s="15">
        <f>IF(OR(A100="",N(H100)=0),"",J100/H100)</f>
        <v/>
      </c>
    </row>
    <row r="101">
      <c r="A101" s="8" t="n"/>
      <c r="B101" s="10" t="n"/>
      <c r="C101" s="13" t="n"/>
      <c r="D101" s="13" t="n"/>
      <c r="E101" s="13" t="n"/>
      <c r="F101" s="13" t="n"/>
      <c r="G101" s="10" t="n"/>
      <c r="H101" s="14">
        <f>IF(A101="","",B101/(1+C101))</f>
        <v/>
      </c>
      <c r="I101" s="14">
        <f>IF(A101="","",H101*(1-D101))</f>
        <v/>
      </c>
      <c r="J101" s="14">
        <f>IF(A101="","",I101*(1-E101)*(1-F101)-N(G101))</f>
        <v/>
      </c>
      <c r="K101" s="15">
        <f>IF(OR(A101="",N(H101)=0),"",J101/H101)</f>
        <v/>
      </c>
    </row>
    <row r="102">
      <c r="A102" s="8" t="n"/>
      <c r="B102" s="10" t="n"/>
      <c r="C102" s="13" t="n"/>
      <c r="D102" s="13" t="n"/>
      <c r="E102" s="13" t="n"/>
      <c r="F102" s="13" t="n"/>
      <c r="G102" s="10" t="n"/>
      <c r="H102" s="14">
        <f>IF(A102="","",B102/(1+C102))</f>
        <v/>
      </c>
      <c r="I102" s="14">
        <f>IF(A102="","",H102*(1-D102))</f>
        <v/>
      </c>
      <c r="J102" s="14">
        <f>IF(A102="","",I102*(1-E102)*(1-F102)-N(G102))</f>
        <v/>
      </c>
      <c r="K102" s="15">
        <f>IF(OR(A102="",N(H102)=0),"",J102/H102)</f>
        <v/>
      </c>
    </row>
    <row r="103">
      <c r="A103" s="8" t="n"/>
      <c r="B103" s="10" t="n"/>
      <c r="C103" s="13" t="n"/>
      <c r="D103" s="13" t="n"/>
      <c r="E103" s="13" t="n"/>
      <c r="F103" s="13" t="n"/>
      <c r="G103" s="10" t="n"/>
      <c r="H103" s="14">
        <f>IF(A103="","",B103/(1+C103))</f>
        <v/>
      </c>
      <c r="I103" s="14">
        <f>IF(A103="","",H103*(1-D103))</f>
        <v/>
      </c>
      <c r="J103" s="14">
        <f>IF(A103="","",I103*(1-E103)*(1-F103)-N(G103))</f>
        <v/>
      </c>
      <c r="K103" s="15">
        <f>IF(OR(A103="",N(H103)=0),"",J103/H103)</f>
        <v/>
      </c>
    </row>
    <row r="104">
      <c r="A104" s="8" t="n"/>
      <c r="B104" s="10" t="n"/>
      <c r="C104" s="13" t="n"/>
      <c r="D104" s="13" t="n"/>
      <c r="E104" s="13" t="n"/>
      <c r="F104" s="13" t="n"/>
      <c r="G104" s="10" t="n"/>
      <c r="H104" s="14">
        <f>IF(A104="","",B104/(1+C104))</f>
        <v/>
      </c>
      <c r="I104" s="14">
        <f>IF(A104="","",H104*(1-D104))</f>
        <v/>
      </c>
      <c r="J104" s="14">
        <f>IF(A104="","",I104*(1-E104)*(1-F104)-N(G104))</f>
        <v/>
      </c>
      <c r="K104" s="15">
        <f>IF(OR(A104="",N(H104)=0),"",J104/H104)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2026-10-18T16:52:44Z</dcterms:created>
  <dcterms:modified xmlns:dcterms="http://purl.org/dc/terms/" xmlns:xsi="http://www.w3.org/2001/XMLSchema-instance" xsi:type="dcterms:W3CDTF">2026-10-18T16:52:44Z</dcterms:modified>
</cp:coreProperties>
</file>