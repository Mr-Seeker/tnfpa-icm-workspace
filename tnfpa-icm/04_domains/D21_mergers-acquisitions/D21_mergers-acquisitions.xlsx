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Multiples" sheetId="5" state="visible" r:id="rId5"/>
    <sheet xmlns:r="http://schemas.openxmlformats.org/officeDocument/2006/relationships" name="AccretionDilution" sheetId="6" state="visible" r:id="rId6"/>
  </sheets>
  <definedNames>
    <definedName name="m_wacc">'DCF'!$B$4</definedName>
    <definedName name="m_g">'DCF'!$B$5</definedName>
    <definedName name="f1">'DCF'!$B$6</definedName>
    <definedName name="f2">'DCF'!$B$7</definedName>
    <definedName name="f3">'DCF'!$B$8</definedName>
    <definedName name="f4">'DCF'!$B$9</definedName>
    <definedName name="f5">'DCF'!$B$10</definedName>
    <definedName name="ev_dcf">'DCF'!$B$14</definedName>
    <definedName name="t_nd">'DCF'!$B$15</definedName>
    <definedName name="t_ebitda">'Multiples'!$B$5</definedName>
    <definedName name="a_ni">'AccretionDilution'!$B$4</definedName>
    <definedName name="a_sh">'AccretionDilution'!$B$5</definedName>
    <definedName name="t_ni">'AccretionDilution'!$B$6</definedName>
    <definedName name="pp">'AccretionDilution'!$B$7</definedName>
    <definedName name="pct_sh">'AccretionDilution'!$B$8</definedName>
    <definedName name="a_px">'AccretionDilution'!$B$9</definedName>
    <definedName name="c_debt">'AccretionDilution'!$B$10</definedName>
    <definedName name="a_tax">'AccretionDilution'!$B$11</definedName>
    <definedName name="syn">'AccretionDilution'!$B$12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0.0x"/>
    <numFmt numFmtId="166" formatCode="0.0"/>
    <numFmt numFmtId="167" formatCode="0.0%"/>
    <numFmt numFmtId="168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5" fillId="3" borderId="1" applyAlignment="1" pivotButton="0" quotePrefix="0" xfId="0">
      <alignment vertical="center" wrapText="1"/>
    </xf>
    <xf numFmtId="0" fontId="0" fillId="0" borderId="1" pivotButton="0" quotePrefix="0" xfId="0"/>
    <xf numFmtId="10" fontId="3" fillId="2" borderId="1" pivotButton="0" quotePrefix="0" xfId="0"/>
    <xf numFmtId="164" fontId="3" fillId="2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3" fillId="2" borderId="1" pivotButton="0" quotePrefix="0" xfId="0"/>
    <xf numFmtId="165" fontId="0" fillId="0" borderId="1" pivotButton="0" quotePrefix="0" xfId="0"/>
    <xf numFmtId="166" fontId="4" fillId="0" borderId="1" pivotButton="0" quotePrefix="0" xfId="0"/>
    <xf numFmtId="3" fontId="3" fillId="2" borderId="1" pivotButton="0" quotePrefix="0" xfId="0"/>
    <xf numFmtId="167" fontId="3" fillId="2" borderId="1" pivotButton="0" quotePrefix="0" xfId="0"/>
    <xf numFmtId="168" fontId="3" fillId="2" borderId="1" pivotButton="0" quotePrefix="0" xfId="0"/>
    <xf numFmtId="3" fontId="0" fillId="0" borderId="1" pivotButton="0" quotePrefix="0" xfId="0"/>
    <xf numFmtId="168" fontId="0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D21 · M&amp;A systems</t>
        </is>
      </c>
    </row>
    <row r="2"/>
    <row r="3">
      <c r="A3" s="2" t="inlineStr">
        <is>
          <t>Domain D21: M&amp;A systems.</t>
        </is>
      </c>
    </row>
    <row r="4">
      <c r="A4" s="2" t="inlineStr">
        <is>
          <t>Target valuation (DCF from a K01 copy of the target, trading/transaction multiples), accretion/dilution, and divestiture via K08.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companies/&lt;slug&gt;/domains/D21_mergers-acquisitions/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copy of target  &lt;=  FCF</t>
        </is>
      </c>
    </row>
    <row r="11">
      <c r="A11" s="2" t="inlineStr">
        <is>
          <t>K08 divestiture  &lt;=  carve-outs</t>
        </is>
      </c>
    </row>
    <row r="12">
      <c r="A12" s="2" t="inlineStr">
        <is>
          <t>D22 cap table  &lt;=  share-funded deals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WACC above terminal growth</t>
        </is>
      </c>
      <c r="C5" s="7">
        <f>IF(DCF!$B$4&gt;DCF!$B$5,"PASS","FAIL")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Target DCF (₹) - use K01 copy of the target for FCF</t>
        </is>
      </c>
    </row>
    <row r="2"/>
    <row r="3"/>
    <row r="4">
      <c r="A4" t="inlineStr">
        <is>
          <t>WACC</t>
        </is>
      </c>
      <c r="B4" s="8" t="n">
        <v>0.13</v>
      </c>
    </row>
    <row r="5">
      <c r="A5" t="inlineStr">
        <is>
          <t>terminal growth</t>
        </is>
      </c>
      <c r="B5" s="8" t="n">
        <v>0.05</v>
      </c>
    </row>
    <row r="6">
      <c r="A6" t="inlineStr">
        <is>
          <t>FCF Y1</t>
        </is>
      </c>
      <c r="B6" s="9" t="n"/>
    </row>
    <row r="7">
      <c r="A7" t="inlineStr">
        <is>
          <t>FCF Y2</t>
        </is>
      </c>
      <c r="B7" s="9" t="n"/>
    </row>
    <row r="8">
      <c r="A8" t="inlineStr">
        <is>
          <t>FCF Y3</t>
        </is>
      </c>
      <c r="B8" s="9" t="n"/>
    </row>
    <row r="9">
      <c r="A9" t="inlineStr">
        <is>
          <t>FCF Y4</t>
        </is>
      </c>
      <c r="B9" s="9" t="n"/>
    </row>
    <row r="10">
      <c r="A10" t="inlineStr">
        <is>
          <t>FCF Y5</t>
        </is>
      </c>
      <c r="B10" s="9" t="n"/>
    </row>
    <row r="11">
      <c r="A11" t="inlineStr">
        <is>
          <t>PV of explicit FCF</t>
        </is>
      </c>
      <c r="B11" s="10">
        <f>NPV(DCF!$B$4,DCF!$B$6,DCF!$B$7,DCF!$B$8,DCF!$B$9,DCF!$B$10)</f>
        <v/>
      </c>
    </row>
    <row r="12">
      <c r="A12" t="inlineStr">
        <is>
          <t>terminal value (Gordon)</t>
        </is>
      </c>
      <c r="B12" s="10">
        <f>IF(DCF!$B$4&lt;=DCF!$B$5,"",DCF!$B$10*(1+DCF!$B$5)/(DCF!$B$4-DCF!$B$5))</f>
        <v/>
      </c>
    </row>
    <row r="13">
      <c r="A13" t="inlineStr">
        <is>
          <t>PV of terminal value</t>
        </is>
      </c>
      <c r="B13" s="10">
        <f>IF(B12="","",B12/(1+DCF!$B$4)^5)</f>
        <v/>
      </c>
    </row>
    <row r="14">
      <c r="A14" t="inlineStr">
        <is>
          <t>enterprise value (DCF)</t>
        </is>
      </c>
      <c r="B14" s="11">
        <f>IF(B13="","",B11+B13)</f>
        <v/>
      </c>
    </row>
    <row r="15">
      <c r="A15" t="inlineStr">
        <is>
          <t>net debt of target</t>
        </is>
      </c>
      <c r="B15" s="9" t="n"/>
    </row>
    <row r="16">
      <c r="A16" t="inlineStr">
        <is>
          <t>equity value (DCF)</t>
        </is>
      </c>
      <c r="B16" s="11">
        <f>IF(DCF!$B$14="","",DCF!$B$14-DCF!$B$15)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Trading / transaction comparables</t>
        </is>
      </c>
    </row>
    <row r="2"/>
    <row r="3"/>
    <row r="4">
      <c r="A4" s="6" t="inlineStr">
        <is>
          <t>company</t>
        </is>
      </c>
      <c r="B4" s="6" t="inlineStr">
        <is>
          <t>EV</t>
        </is>
      </c>
      <c r="C4" s="6" t="inlineStr">
        <is>
          <t>EBITDA</t>
        </is>
      </c>
      <c r="D4" s="6" t="inlineStr">
        <is>
          <t>EV/EBITDA</t>
        </is>
      </c>
    </row>
    <row r="5">
      <c r="A5" s="12" t="n"/>
      <c r="B5" s="9" t="n"/>
      <c r="C5" s="9" t="n"/>
      <c r="D5" s="13">
        <f>IF(OR(A5="",N(C5)=0),"",B5/C5)</f>
        <v/>
      </c>
    </row>
    <row r="6">
      <c r="A6" s="12" t="n"/>
      <c r="B6" s="9" t="n"/>
      <c r="C6" s="9" t="n"/>
      <c r="D6" s="13">
        <f>IF(OR(A6="",N(C6)=0),"",B6/C6)</f>
        <v/>
      </c>
    </row>
    <row r="7">
      <c r="A7" s="12" t="n"/>
      <c r="B7" s="9" t="n"/>
      <c r="C7" s="9" t="n"/>
      <c r="D7" s="13">
        <f>IF(OR(A7="",N(C7)=0),"",B7/C7)</f>
        <v/>
      </c>
    </row>
    <row r="8">
      <c r="A8" s="12" t="n"/>
      <c r="B8" s="9" t="n"/>
      <c r="C8" s="9" t="n"/>
      <c r="D8" s="13">
        <f>IF(OR(A8="",N(C8)=0),"",B8/C8)</f>
        <v/>
      </c>
    </row>
    <row r="9">
      <c r="A9" s="12" t="n"/>
      <c r="B9" s="9" t="n"/>
      <c r="C9" s="9" t="n"/>
      <c r="D9" s="13">
        <f>IF(OR(A9="",N(C9)=0),"",B9/C9)</f>
        <v/>
      </c>
    </row>
    <row r="10">
      <c r="A10" s="12" t="n"/>
      <c r="B10" s="9" t="n"/>
      <c r="C10" s="9" t="n"/>
      <c r="D10" s="13">
        <f>IF(OR(A10="",N(C10)=0),"",B10/C10)</f>
        <v/>
      </c>
    </row>
    <row r="11">
      <c r="A11" s="12" t="n"/>
      <c r="B11" s="9" t="n"/>
      <c r="C11" s="9" t="n"/>
      <c r="D11" s="13">
        <f>IF(OR(A11="",N(C11)=0),"",B11/C11)</f>
        <v/>
      </c>
    </row>
    <row r="12">
      <c r="A12" s="12" t="n"/>
      <c r="B12" s="9" t="n"/>
      <c r="C12" s="9" t="n"/>
      <c r="D12" s="13">
        <f>IF(OR(A12="",N(C12)=0),"",B12/C12)</f>
        <v/>
      </c>
    </row>
    <row r="13">
      <c r="A13" s="12" t="n"/>
      <c r="B13" s="9" t="n"/>
      <c r="C13" s="9" t="n"/>
      <c r="D13" s="13">
        <f>IF(OR(A13="",N(C13)=0),"",B13/C13)</f>
        <v/>
      </c>
    </row>
    <row r="14">
      <c r="A14" s="12" t="n"/>
      <c r="B14" s="9" t="n"/>
      <c r="C14" s="9" t="n"/>
      <c r="D14" s="13">
        <f>IF(OR(A14="",N(C14)=0),"",B14/C14)</f>
        <v/>
      </c>
    </row>
    <row r="15">
      <c r="A15" s="12" t="n"/>
      <c r="B15" s="9" t="n"/>
      <c r="C15" s="9" t="n"/>
      <c r="D15" s="13">
        <f>IF(OR(A15="",N(C15)=0),"",B15/C15)</f>
        <v/>
      </c>
    </row>
    <row r="16">
      <c r="A16" s="12" t="n"/>
      <c r="B16" s="9" t="n"/>
      <c r="C16" s="9" t="n"/>
      <c r="D16" s="13">
        <f>IF(OR(A16="",N(C16)=0),"",B16/C16)</f>
        <v/>
      </c>
    </row>
    <row r="17">
      <c r="A17" s="12" t="n"/>
      <c r="B17" s="9" t="n"/>
      <c r="C17" s="9" t="n"/>
      <c r="D17" s="13">
        <f>IF(OR(A17="",N(C17)=0),"",B17/C17)</f>
        <v/>
      </c>
    </row>
    <row r="18">
      <c r="A18" s="12" t="n"/>
      <c r="B18" s="9" t="n"/>
      <c r="C18" s="9" t="n"/>
      <c r="D18" s="13">
        <f>IF(OR(A18="",N(C18)=0),"",B18/C18)</f>
        <v/>
      </c>
    </row>
    <row r="19">
      <c r="A19" s="12" t="n"/>
      <c r="B19" s="9" t="n"/>
      <c r="C19" s="9" t="n"/>
      <c r="D19" s="13">
        <f>IF(OR(A19="",N(C19)=0),"",B19/C19)</f>
        <v/>
      </c>
    </row>
    <row r="20">
      <c r="A20" s="12" t="n"/>
      <c r="B20" s="9" t="n"/>
      <c r="C20" s="9" t="n"/>
      <c r="D20" s="13">
        <f>IF(OR(A20="",N(C20)=0),"",B20/C20)</f>
        <v/>
      </c>
    </row>
    <row r="21">
      <c r="A21" s="12" t="n"/>
      <c r="B21" s="9" t="n"/>
      <c r="C21" s="9" t="n"/>
      <c r="D21" s="13">
        <f>IF(OR(A21="",N(C21)=0),"",B21/C21)</f>
        <v/>
      </c>
    </row>
    <row r="22">
      <c r="A22" s="12" t="n"/>
      <c r="B22" s="9" t="n"/>
      <c r="C22" s="9" t="n"/>
      <c r="D22" s="13">
        <f>IF(OR(A22="",N(C22)=0),"",B22/C22)</f>
        <v/>
      </c>
    </row>
    <row r="23">
      <c r="A23" s="12" t="n"/>
      <c r="B23" s="9" t="n"/>
      <c r="C23" s="9" t="n"/>
      <c r="D23" s="13">
        <f>IF(OR(A23="",N(C23)=0),"",B23/C23)</f>
        <v/>
      </c>
    </row>
    <row r="24">
      <c r="A24" s="12" t="n"/>
      <c r="B24" s="9" t="n"/>
      <c r="C24" s="9" t="n"/>
      <c r="D24" s="13">
        <f>IF(OR(A24="",N(C24)=0),"",B24/C24)</f>
        <v/>
      </c>
    </row>
    <row r="25">
      <c r="A25" s="12" t="n"/>
      <c r="B25" s="9" t="n"/>
      <c r="C25" s="9" t="n"/>
      <c r="D25" s="13">
        <f>IF(OR(A25="",N(C25)=0),"",B25/C25)</f>
        <v/>
      </c>
    </row>
    <row r="26">
      <c r="A26" s="12" t="n"/>
      <c r="B26" s="9" t="n"/>
      <c r="C26" s="9" t="n"/>
      <c r="D26" s="13">
        <f>IF(OR(A26="",N(C26)=0),"",B26/C26)</f>
        <v/>
      </c>
    </row>
    <row r="27">
      <c r="A27" s="12" t="n"/>
      <c r="B27" s="9" t="n"/>
      <c r="C27" s="9" t="n"/>
      <c r="D27" s="13">
        <f>IF(OR(A27="",N(C27)=0),"",B27/C27)</f>
        <v/>
      </c>
    </row>
    <row r="28">
      <c r="A28" s="12" t="n"/>
      <c r="B28" s="9" t="n"/>
      <c r="C28" s="9" t="n"/>
      <c r="D28" s="13">
        <f>IF(OR(A28="",N(C28)=0),"",B28/C28)</f>
        <v/>
      </c>
    </row>
    <row r="29">
      <c r="A29" s="12" t="n"/>
      <c r="B29" s="9" t="n"/>
      <c r="C29" s="9" t="n"/>
      <c r="D29" s="13">
        <f>IF(OR(A29="",N(C29)=0),"",B29/C29)</f>
        <v/>
      </c>
    </row>
    <row r="30">
      <c r="A30" s="12" t="n"/>
      <c r="B30" s="9" t="n"/>
      <c r="C30" s="9" t="n"/>
      <c r="D30" s="13">
        <f>IF(OR(A30="",N(C30)=0),"",B30/C30)</f>
        <v/>
      </c>
    </row>
    <row r="31">
      <c r="A31" s="12" t="n"/>
      <c r="B31" s="9" t="n"/>
      <c r="C31" s="9" t="n"/>
      <c r="D31" s="13">
        <f>IF(OR(A31="",N(C31)=0),"",B31/C31)</f>
        <v/>
      </c>
    </row>
    <row r="32">
      <c r="A32" s="12" t="n"/>
      <c r="B32" s="9" t="n"/>
      <c r="C32" s="9" t="n"/>
      <c r="D32" s="13">
        <f>IF(OR(A32="",N(C32)=0),"",B32/C32)</f>
        <v/>
      </c>
    </row>
    <row r="33">
      <c r="A33" s="12" t="n"/>
      <c r="B33" s="9" t="n"/>
      <c r="C33" s="9" t="n"/>
      <c r="D33" s="13">
        <f>IF(OR(A33="",N(C33)=0),"",B33/C33)</f>
        <v/>
      </c>
    </row>
    <row r="34">
      <c r="A34" s="12" t="n"/>
      <c r="B34" s="9" t="n"/>
      <c r="C34" s="9" t="n"/>
      <c r="D34" s="13">
        <f>IF(OR(A34="",N(C34)=0),"",B34/C34)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Multiples valuation</t>
        </is>
      </c>
    </row>
    <row r="2"/>
    <row r="3"/>
    <row r="4">
      <c r="A4" t="inlineStr">
        <is>
          <t>median EV/EBITDA of comps</t>
        </is>
      </c>
      <c r="B4" s="14">
        <f>IFERROR(MEDIAN(Comps!D5:D34),"")</f>
        <v/>
      </c>
    </row>
    <row r="5">
      <c r="A5" t="inlineStr">
        <is>
          <t>target EBITDA (TTM)</t>
        </is>
      </c>
      <c r="B5" s="9" t="n"/>
    </row>
    <row r="6">
      <c r="A6" t="inlineStr">
        <is>
          <t>EV (multiples)</t>
        </is>
      </c>
      <c r="B6" s="11">
        <f>IF(B4="","",B4*Multiples!$B$5)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Accretion / dilution (year 1)</t>
        </is>
      </c>
    </row>
    <row r="2"/>
    <row r="3"/>
    <row r="4">
      <c r="A4" t="inlineStr">
        <is>
          <t>acquirer net income</t>
        </is>
      </c>
      <c r="B4" s="9" t="n"/>
    </row>
    <row r="5">
      <c r="A5" t="inlineStr">
        <is>
          <t>acquirer shares outstanding</t>
        </is>
      </c>
      <c r="B5" s="15" t="n"/>
    </row>
    <row r="6">
      <c r="A6" t="inlineStr">
        <is>
          <t>target net income</t>
        </is>
      </c>
      <c r="B6" s="9" t="n"/>
    </row>
    <row r="7">
      <c r="A7" t="inlineStr">
        <is>
          <t>purchase price (equity)</t>
        </is>
      </c>
      <c r="B7" s="9" t="n"/>
    </row>
    <row r="8">
      <c r="A8" t="inlineStr">
        <is>
          <t>% paid in new shares</t>
        </is>
      </c>
      <c r="B8" s="16" t="n">
        <v>0</v>
      </c>
    </row>
    <row r="9">
      <c r="A9" t="inlineStr">
        <is>
          <t>acquirer share price</t>
        </is>
      </c>
      <c r="B9" s="17" t="n"/>
    </row>
    <row r="10">
      <c r="A10" t="inlineStr">
        <is>
          <t>pre-tax cost of new debt / lost interest on cash</t>
        </is>
      </c>
      <c r="B10" s="8" t="n">
        <v>0.09</v>
      </c>
    </row>
    <row r="11">
      <c r="A11" t="inlineStr">
        <is>
          <t>tax rate</t>
        </is>
      </c>
      <c r="B11" s="8" t="n">
        <v>0.2517</v>
      </c>
    </row>
    <row r="12">
      <c r="A12" t="inlineStr">
        <is>
          <t>after-tax synergies year 1</t>
        </is>
      </c>
      <c r="B12" s="9" t="n">
        <v>0</v>
      </c>
    </row>
    <row r="13">
      <c r="A13" t="inlineStr">
        <is>
          <t>new shares issued</t>
        </is>
      </c>
      <c r="B13" s="18">
        <f>IF(OR(N(AccretionDilution!$B$9)=0,N(AccretionDilution!$B$7)=0),0,AccretionDilution!$B$7*AccretionDilution!$B$8/AccretionDilution!$B$9)</f>
        <v/>
      </c>
    </row>
    <row r="14">
      <c r="A14" t="inlineStr">
        <is>
          <t>after-tax financing cost</t>
        </is>
      </c>
      <c r="B14" s="10">
        <f>AccretionDilution!$B$7*(1-AccretionDilution!$B$8)*AccretionDilution!$B$10*(1-AccretionDilution!$B$11)</f>
        <v/>
      </c>
    </row>
    <row r="15">
      <c r="A15" t="inlineStr">
        <is>
          <t>pro-forma EPS</t>
        </is>
      </c>
      <c r="B15" s="19">
        <f>IF(N(AccretionDilution!$B$5)=0,"",(AccretionDilution!$B$4+AccretionDilution!$B$6+AccretionDilution!$B$12-B14)/(AccretionDilution!$B$5+B13))</f>
        <v/>
      </c>
    </row>
    <row r="16">
      <c r="A16" t="inlineStr">
        <is>
          <t>standalone EPS</t>
        </is>
      </c>
      <c r="B16" s="19">
        <f>IF(N(AccretionDilution!$B$5)=0,"",AccretionDilution!$B$4/AccretionDilution!$B$5)</f>
        <v/>
      </c>
    </row>
    <row r="17">
      <c r="A17" t="inlineStr">
        <is>
          <t>accretion / (dilution) %</t>
        </is>
      </c>
      <c r="B17" s="20">
        <f>IF(OR(B15="",N(B16)=0),"",B15/B16-1)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2026-10-18T16:52:47Z</dcterms:created>
  <dcterms:modified xmlns:dcterms="http://purl.org/dc/terms/" xmlns:xsi="http://www.w3.org/2001/XMLSchema-instance" xsi:type="dcterms:W3CDTF">2026-10-18T16:52:47Z</dcterms:modified>
</cp:coreProperties>
</file>