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Insurance" sheetId="6" state="visible" r:id="rId6"/>
  </sheets>
  <definedNames>
    <definedName name="g_disc">'Assumptions'!$B$4</definedName>
    <definedName name="g_esc">'Assumptions'!$B$5</definedName>
    <definedName name="g_wd">'Assumptions'!$B$6</definedName>
    <definedName name="g_mort">'Assumptions'!$B$7</definedName>
    <definedName name="g_ret">'Assumptions'!$B$8</definedName>
    <definedName name="g_cap">'Assumptions'!$B$9</definedName>
    <definedName name="g_vest">'Assumptions'!$B$10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#,##0;[Red]-#,##0"/>
    <numFmt numFmtId="166" formatCode="0.0"/>
    <numFmt numFmtId="167" formatCode="0.0000"/>
    <numFmt numFmtId="168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0" fontId="3" fillId="2" borderId="1" pivotButton="0" quotePrefix="0" xfId="0"/>
    <xf numFmtId="164" fontId="3" fillId="2" borderId="1" pivotButton="0" quotePrefix="0" xfId="0"/>
    <xf numFmtId="1" fontId="3" fillId="2" borderId="1" pivotButton="0" quotePrefix="0" xfId="0"/>
    <xf numFmtId="165" fontId="3" fillId="2" borderId="1" pivotButton="0" quotePrefix="0" xfId="0"/>
    <xf numFmtId="0" fontId="3" fillId="2" borderId="1" pivotButton="0" quotePrefix="0" xfId="0"/>
    <xf numFmtId="166" fontId="3" fillId="2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65" fontId="5" fillId="0" borderId="1" pivotButton="0" quotePrefix="0" xfId="0"/>
    <xf numFmtId="168" fontId="3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D16 · Actuarial &amp; insurance / risk modelling engines</t>
        </is>
      </c>
    </row>
    <row r="2"/>
    <row r="3">
      <c r="A3" s="2" t="inlineStr">
        <is>
          <t>Domain D16: Actuarial &amp; insurance / risk modelling engines.</t>
        </is>
      </c>
    </row>
    <row r="4">
      <c r="A4" s="2" t="inlineStr">
        <is>
          <t>Simplified projected-unit-credit gratuity liability, insurance programme register, and catastrophe business-interruption loss estimate.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companies/&lt;slug&gt;/domains/D16_actuarial-insurance-risk/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opex payroll benefits  &lt;=  service cost</t>
        </is>
      </c>
    </row>
    <row r="11">
      <c r="A11" s="2" t="inlineStr">
        <is>
          <t>K02 gratuity payouts on exit  &lt;=  Employees</t>
        </is>
      </c>
    </row>
    <row r="12">
      <c r="A12" s="2" t="inlineStr">
        <is>
          <t>D27 crisis scenarios  &lt;=  BI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discount rate positive</t>
        </is>
      </c>
      <c r="C5" s="7">
        <f>IF(Assumptions!$B$4&gt;0,"PASS","FAIL")</f>
        <v/>
      </c>
    </row>
    <row r="6">
      <c r="A6" t="n">
        <v>2</v>
      </c>
      <c r="B6" t="inlineStr">
        <is>
          <t>ages below retirement</t>
        </is>
      </c>
      <c r="C6" s="7">
        <f>IF(SUMPRODUCT((Employees!A5:A504&lt;&gt;"")*(Employees!B5:B504&gt;=Assumptions!$B$8))=0,"PASS","FAIL")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Gratuity (Payment of Gratuity Act) - simplified projected-unit-credit; replace with the actuary's Ind AS 19 report when available</t>
        </is>
      </c>
    </row>
    <row r="2"/>
    <row r="3"/>
    <row r="4">
      <c r="A4" t="inlineStr">
        <is>
          <t>discount rate (G-sec yield matching duration)</t>
        </is>
      </c>
      <c r="B4" s="8" t="n">
        <v>0.07000000000000001</v>
      </c>
    </row>
    <row r="5">
      <c r="A5" t="inlineStr">
        <is>
          <t>salary escalation</t>
        </is>
      </c>
      <c r="B5" s="8" t="n">
        <v>0.07000000000000001</v>
      </c>
    </row>
    <row r="6">
      <c r="A6" t="inlineStr">
        <is>
          <t>annual withdrawal (attrition) rate</t>
        </is>
      </c>
      <c r="B6" s="8" t="n">
        <v>0.08</v>
      </c>
    </row>
    <row r="7">
      <c r="A7" t="inlineStr">
        <is>
          <t>annual mortality (IALM 2012-14 average proxy)</t>
        </is>
      </c>
      <c r="B7" s="9" t="n">
        <v>0.001</v>
      </c>
    </row>
    <row r="8">
      <c r="A8" t="inlineStr">
        <is>
          <t>retirement age</t>
        </is>
      </c>
      <c r="B8" s="10" t="n">
        <v>58</v>
      </c>
    </row>
    <row r="9">
      <c r="A9" t="inlineStr">
        <is>
          <t>gratuity ceiling (₹)</t>
        </is>
      </c>
      <c r="B9" s="11" t="n">
        <v>2000000</v>
      </c>
    </row>
    <row r="10">
      <c r="A10" t="inlineStr">
        <is>
          <t>minimum service for vesting (years)</t>
        </is>
      </c>
      <c r="B10" s="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22" customWidth="1" min="4" max="4"/>
    <col width="23" customWidth="1" min="5" max="5"/>
    <col width="28" customWidth="1" min="6" max="6"/>
    <col width="40" customWidth="1" min="7" max="7"/>
    <col width="26" customWidth="1" min="8" max="8"/>
    <col width="37" customWidth="1" min="9" max="9"/>
    <col width="27" customWidth="1" min="10" max="10"/>
  </cols>
  <sheetData>
    <row r="1">
      <c r="A1" s="1" t="inlineStr">
        <is>
          <t>Employee data (from D04 / payroll)</t>
        </is>
      </c>
    </row>
    <row r="2"/>
    <row r="3"/>
    <row r="4">
      <c r="A4" s="6" t="inlineStr">
        <is>
          <t>employee id</t>
        </is>
      </c>
      <c r="B4" s="6" t="inlineStr">
        <is>
          <t>age</t>
        </is>
      </c>
      <c r="C4" s="6" t="inlineStr">
        <is>
          <t>past service (years)</t>
        </is>
      </c>
      <c r="D4" s="6" t="inlineStr">
        <is>
          <t>monthly basic + DA</t>
        </is>
      </c>
      <c r="E4" s="6" t="inlineStr">
        <is>
          <t>years to retirement</t>
        </is>
      </c>
      <c r="F4" s="6" t="inlineStr">
        <is>
          <t>projected salary at exit</t>
        </is>
      </c>
      <c r="G4" s="6" t="inlineStr">
        <is>
          <t>accrued benefit at exit (15/26 x salary x past service, capped)</t>
        </is>
      </c>
      <c r="H4" s="6" t="inlineStr">
        <is>
          <t>survival to retirement</t>
        </is>
      </c>
      <c r="I4" s="6" t="inlineStr">
        <is>
          <t>PV of accrued benefit (DBO proxy)</t>
        </is>
      </c>
      <c r="J4" s="6" t="inlineStr">
        <is>
          <t>current-service vested?</t>
        </is>
      </c>
    </row>
    <row r="5">
      <c r="A5" s="12" t="inlineStr">
        <is>
          <t>E001</t>
        </is>
      </c>
      <c r="B5" s="10" t="n">
        <v>34</v>
      </c>
      <c r="C5" s="13" t="n">
        <v>6</v>
      </c>
      <c r="D5" s="11" t="n">
        <v>14000</v>
      </c>
      <c r="E5" s="14">
        <f>IF(A5="","",MAX(0,Assumptions!$B$8-B5))</f>
        <v/>
      </c>
      <c r="F5" s="15">
        <f>IF(A5="","",D5*(1+Assumptions!$B$5)^E5)</f>
        <v/>
      </c>
      <c r="G5" s="15">
        <f>IF(A5="","",MIN(Assumptions!$B$9,15/26*F5*C5))</f>
        <v/>
      </c>
      <c r="H5" s="16">
        <f>IF(A5="","",(1-Assumptions!$B$6-Assumptions!$B$7)^E5)</f>
        <v/>
      </c>
      <c r="I5" s="15">
        <f>IF(A5="","",G5*H5/(1+Assumptions!$B$4)^E5)</f>
        <v/>
      </c>
      <c r="J5" s="7">
        <f>IF(A5="","",C5&gt;=Assumptions!$B$10)</f>
        <v/>
      </c>
    </row>
    <row r="6">
      <c r="A6" s="12" t="inlineStr">
        <is>
          <t>E002</t>
        </is>
      </c>
      <c r="B6" s="10" t="n">
        <v>47</v>
      </c>
      <c r="C6" s="13" t="n">
        <v>12</v>
      </c>
      <c r="D6" s="11" t="n">
        <v>34000</v>
      </c>
      <c r="E6" s="14">
        <f>IF(A6="","",MAX(0,Assumptions!$B$8-B6))</f>
        <v/>
      </c>
      <c r="F6" s="15">
        <f>IF(A6="","",D6*(1+Assumptions!$B$5)^E6)</f>
        <v/>
      </c>
      <c r="G6" s="15">
        <f>IF(A6="","",MIN(Assumptions!$B$9,15/26*F6*C6))</f>
        <v/>
      </c>
      <c r="H6" s="16">
        <f>IF(A6="","",(1-Assumptions!$B$6-Assumptions!$B$7)^E6)</f>
        <v/>
      </c>
      <c r="I6" s="15">
        <f>IF(A6="","",G6*H6/(1+Assumptions!$B$4)^E6)</f>
        <v/>
      </c>
      <c r="J6" s="7">
        <f>IF(A6="","",C6&gt;=Assumptions!$B$10)</f>
        <v/>
      </c>
    </row>
    <row r="7">
      <c r="A7" s="12" t="inlineStr">
        <is>
          <t>E003</t>
        </is>
      </c>
      <c r="B7" s="10" t="n">
        <v>29</v>
      </c>
      <c r="C7" s="13" t="n">
        <v>2</v>
      </c>
      <c r="D7" s="11" t="n">
        <v>18000</v>
      </c>
      <c r="E7" s="14">
        <f>IF(A7="","",MAX(0,Assumptions!$B$8-B7))</f>
        <v/>
      </c>
      <c r="F7" s="15">
        <f>IF(A7="","",D7*(1+Assumptions!$B$5)^E7)</f>
        <v/>
      </c>
      <c r="G7" s="15">
        <f>IF(A7="","",MIN(Assumptions!$B$9,15/26*F7*C7))</f>
        <v/>
      </c>
      <c r="H7" s="16">
        <f>IF(A7="","",(1-Assumptions!$B$6-Assumptions!$B$7)^E7)</f>
        <v/>
      </c>
      <c r="I7" s="15">
        <f>IF(A7="","",G7*H7/(1+Assumptions!$B$4)^E7)</f>
        <v/>
      </c>
      <c r="J7" s="7">
        <f>IF(A7="","",C7&gt;=Assumptions!$B$10)</f>
        <v/>
      </c>
    </row>
    <row r="8">
      <c r="A8" s="12" t="n"/>
      <c r="B8" s="10" t="n"/>
      <c r="C8" s="13" t="n"/>
      <c r="D8" s="11" t="n"/>
      <c r="E8" s="14">
        <f>IF(A8="","",MAX(0,Assumptions!$B$8-B8))</f>
        <v/>
      </c>
      <c r="F8" s="15">
        <f>IF(A8="","",D8*(1+Assumptions!$B$5)^E8)</f>
        <v/>
      </c>
      <c r="G8" s="15">
        <f>IF(A8="","",MIN(Assumptions!$B$9,15/26*F8*C8))</f>
        <v/>
      </c>
      <c r="H8" s="16">
        <f>IF(A8="","",(1-Assumptions!$B$6-Assumptions!$B$7)^E8)</f>
        <v/>
      </c>
      <c r="I8" s="15">
        <f>IF(A8="","",G8*H8/(1+Assumptions!$B$4)^E8)</f>
        <v/>
      </c>
      <c r="J8" s="7">
        <f>IF(A8="","",C8&gt;=Assumptions!$B$10)</f>
        <v/>
      </c>
    </row>
    <row r="9">
      <c r="A9" s="12" t="n"/>
      <c r="B9" s="10" t="n"/>
      <c r="C9" s="13" t="n"/>
      <c r="D9" s="11" t="n"/>
      <c r="E9" s="14">
        <f>IF(A9="","",MAX(0,Assumptions!$B$8-B9))</f>
        <v/>
      </c>
      <c r="F9" s="15">
        <f>IF(A9="","",D9*(1+Assumptions!$B$5)^E9)</f>
        <v/>
      </c>
      <c r="G9" s="15">
        <f>IF(A9="","",MIN(Assumptions!$B$9,15/26*F9*C9))</f>
        <v/>
      </c>
      <c r="H9" s="16">
        <f>IF(A9="","",(1-Assumptions!$B$6-Assumptions!$B$7)^E9)</f>
        <v/>
      </c>
      <c r="I9" s="15">
        <f>IF(A9="","",G9*H9/(1+Assumptions!$B$4)^E9)</f>
        <v/>
      </c>
      <c r="J9" s="7">
        <f>IF(A9="","",C9&gt;=Assumptions!$B$10)</f>
        <v/>
      </c>
    </row>
    <row r="10">
      <c r="A10" s="12" t="n"/>
      <c r="B10" s="10" t="n"/>
      <c r="C10" s="13" t="n"/>
      <c r="D10" s="11" t="n"/>
      <c r="E10" s="14">
        <f>IF(A10="","",MAX(0,Assumptions!$B$8-B10))</f>
        <v/>
      </c>
      <c r="F10" s="15">
        <f>IF(A10="","",D10*(1+Assumptions!$B$5)^E10)</f>
        <v/>
      </c>
      <c r="G10" s="15">
        <f>IF(A10="","",MIN(Assumptions!$B$9,15/26*F10*C10))</f>
        <v/>
      </c>
      <c r="H10" s="16">
        <f>IF(A10="","",(1-Assumptions!$B$6-Assumptions!$B$7)^E10)</f>
        <v/>
      </c>
      <c r="I10" s="15">
        <f>IF(A10="","",G10*H10/(1+Assumptions!$B$4)^E10)</f>
        <v/>
      </c>
      <c r="J10" s="7">
        <f>IF(A10="","",C10&gt;=Assumptions!$B$10)</f>
        <v/>
      </c>
    </row>
    <row r="11">
      <c r="A11" s="12" t="n"/>
      <c r="B11" s="10" t="n"/>
      <c r="C11" s="13" t="n"/>
      <c r="D11" s="11" t="n"/>
      <c r="E11" s="14">
        <f>IF(A11="","",MAX(0,Assumptions!$B$8-B11))</f>
        <v/>
      </c>
      <c r="F11" s="15">
        <f>IF(A11="","",D11*(1+Assumptions!$B$5)^E11)</f>
        <v/>
      </c>
      <c r="G11" s="15">
        <f>IF(A11="","",MIN(Assumptions!$B$9,15/26*F11*C11))</f>
        <v/>
      </c>
      <c r="H11" s="16">
        <f>IF(A11="","",(1-Assumptions!$B$6-Assumptions!$B$7)^E11)</f>
        <v/>
      </c>
      <c r="I11" s="15">
        <f>IF(A11="","",G11*H11/(1+Assumptions!$B$4)^E11)</f>
        <v/>
      </c>
      <c r="J11" s="7">
        <f>IF(A11="","",C11&gt;=Assumptions!$B$10)</f>
        <v/>
      </c>
    </row>
    <row r="12">
      <c r="A12" s="12" t="n"/>
      <c r="B12" s="10" t="n"/>
      <c r="C12" s="13" t="n"/>
      <c r="D12" s="11" t="n"/>
      <c r="E12" s="14">
        <f>IF(A12="","",MAX(0,Assumptions!$B$8-B12))</f>
        <v/>
      </c>
      <c r="F12" s="15">
        <f>IF(A12="","",D12*(1+Assumptions!$B$5)^E12)</f>
        <v/>
      </c>
      <c r="G12" s="15">
        <f>IF(A12="","",MIN(Assumptions!$B$9,15/26*F12*C12))</f>
        <v/>
      </c>
      <c r="H12" s="16">
        <f>IF(A12="","",(1-Assumptions!$B$6-Assumptions!$B$7)^E12)</f>
        <v/>
      </c>
      <c r="I12" s="15">
        <f>IF(A12="","",G12*H12/(1+Assumptions!$B$4)^E12)</f>
        <v/>
      </c>
      <c r="J12" s="7">
        <f>IF(A12="","",C12&gt;=Assumptions!$B$10)</f>
        <v/>
      </c>
    </row>
    <row r="13">
      <c r="A13" s="12" t="n"/>
      <c r="B13" s="10" t="n"/>
      <c r="C13" s="13" t="n"/>
      <c r="D13" s="11" t="n"/>
      <c r="E13" s="14">
        <f>IF(A13="","",MAX(0,Assumptions!$B$8-B13))</f>
        <v/>
      </c>
      <c r="F13" s="15">
        <f>IF(A13="","",D13*(1+Assumptions!$B$5)^E13)</f>
        <v/>
      </c>
      <c r="G13" s="15">
        <f>IF(A13="","",MIN(Assumptions!$B$9,15/26*F13*C13))</f>
        <v/>
      </c>
      <c r="H13" s="16">
        <f>IF(A13="","",(1-Assumptions!$B$6-Assumptions!$B$7)^E13)</f>
        <v/>
      </c>
      <c r="I13" s="15">
        <f>IF(A13="","",G13*H13/(1+Assumptions!$B$4)^E13)</f>
        <v/>
      </c>
      <c r="J13" s="7">
        <f>IF(A13="","",C13&gt;=Assumptions!$B$10)</f>
        <v/>
      </c>
    </row>
    <row r="14">
      <c r="A14" s="12" t="n"/>
      <c r="B14" s="10" t="n"/>
      <c r="C14" s="13" t="n"/>
      <c r="D14" s="11" t="n"/>
      <c r="E14" s="14">
        <f>IF(A14="","",MAX(0,Assumptions!$B$8-B14))</f>
        <v/>
      </c>
      <c r="F14" s="15">
        <f>IF(A14="","",D14*(1+Assumptions!$B$5)^E14)</f>
        <v/>
      </c>
      <c r="G14" s="15">
        <f>IF(A14="","",MIN(Assumptions!$B$9,15/26*F14*C14))</f>
        <v/>
      </c>
      <c r="H14" s="16">
        <f>IF(A14="","",(1-Assumptions!$B$6-Assumptions!$B$7)^E14)</f>
        <v/>
      </c>
      <c r="I14" s="15">
        <f>IF(A14="","",G14*H14/(1+Assumptions!$B$4)^E14)</f>
        <v/>
      </c>
      <c r="J14" s="7">
        <f>IF(A14="","",C14&gt;=Assumptions!$B$10)</f>
        <v/>
      </c>
    </row>
    <row r="15">
      <c r="A15" s="12" t="n"/>
      <c r="B15" s="10" t="n"/>
      <c r="C15" s="13" t="n"/>
      <c r="D15" s="11" t="n"/>
      <c r="E15" s="14">
        <f>IF(A15="","",MAX(0,Assumptions!$B$8-B15))</f>
        <v/>
      </c>
      <c r="F15" s="15">
        <f>IF(A15="","",D15*(1+Assumptions!$B$5)^E15)</f>
        <v/>
      </c>
      <c r="G15" s="15">
        <f>IF(A15="","",MIN(Assumptions!$B$9,15/26*F15*C15))</f>
        <v/>
      </c>
      <c r="H15" s="16">
        <f>IF(A15="","",(1-Assumptions!$B$6-Assumptions!$B$7)^E15)</f>
        <v/>
      </c>
      <c r="I15" s="15">
        <f>IF(A15="","",G15*H15/(1+Assumptions!$B$4)^E15)</f>
        <v/>
      </c>
      <c r="J15" s="7">
        <f>IF(A15="","",C15&gt;=Assumptions!$B$10)</f>
        <v/>
      </c>
    </row>
    <row r="16">
      <c r="A16" s="12" t="n"/>
      <c r="B16" s="10" t="n"/>
      <c r="C16" s="13" t="n"/>
      <c r="D16" s="11" t="n"/>
      <c r="E16" s="14">
        <f>IF(A16="","",MAX(0,Assumptions!$B$8-B16))</f>
        <v/>
      </c>
      <c r="F16" s="15">
        <f>IF(A16="","",D16*(1+Assumptions!$B$5)^E16)</f>
        <v/>
      </c>
      <c r="G16" s="15">
        <f>IF(A16="","",MIN(Assumptions!$B$9,15/26*F16*C16))</f>
        <v/>
      </c>
      <c r="H16" s="16">
        <f>IF(A16="","",(1-Assumptions!$B$6-Assumptions!$B$7)^E16)</f>
        <v/>
      </c>
      <c r="I16" s="15">
        <f>IF(A16="","",G16*H16/(1+Assumptions!$B$4)^E16)</f>
        <v/>
      </c>
      <c r="J16" s="7">
        <f>IF(A16="","",C16&gt;=Assumptions!$B$10)</f>
        <v/>
      </c>
    </row>
    <row r="17">
      <c r="A17" s="12" t="n"/>
      <c r="B17" s="10" t="n"/>
      <c r="C17" s="13" t="n"/>
      <c r="D17" s="11" t="n"/>
      <c r="E17" s="14">
        <f>IF(A17="","",MAX(0,Assumptions!$B$8-B17))</f>
        <v/>
      </c>
      <c r="F17" s="15">
        <f>IF(A17="","",D17*(1+Assumptions!$B$5)^E17)</f>
        <v/>
      </c>
      <c r="G17" s="15">
        <f>IF(A17="","",MIN(Assumptions!$B$9,15/26*F17*C17))</f>
        <v/>
      </c>
      <c r="H17" s="16">
        <f>IF(A17="","",(1-Assumptions!$B$6-Assumptions!$B$7)^E17)</f>
        <v/>
      </c>
      <c r="I17" s="15">
        <f>IF(A17="","",G17*H17/(1+Assumptions!$B$4)^E17)</f>
        <v/>
      </c>
      <c r="J17" s="7">
        <f>IF(A17="","",C17&gt;=Assumptions!$B$10)</f>
        <v/>
      </c>
    </row>
    <row r="18">
      <c r="A18" s="12" t="n"/>
      <c r="B18" s="10" t="n"/>
      <c r="C18" s="13" t="n"/>
      <c r="D18" s="11" t="n"/>
      <c r="E18" s="14">
        <f>IF(A18="","",MAX(0,Assumptions!$B$8-B18))</f>
        <v/>
      </c>
      <c r="F18" s="15">
        <f>IF(A18="","",D18*(1+Assumptions!$B$5)^E18)</f>
        <v/>
      </c>
      <c r="G18" s="15">
        <f>IF(A18="","",MIN(Assumptions!$B$9,15/26*F18*C18))</f>
        <v/>
      </c>
      <c r="H18" s="16">
        <f>IF(A18="","",(1-Assumptions!$B$6-Assumptions!$B$7)^E18)</f>
        <v/>
      </c>
      <c r="I18" s="15">
        <f>IF(A18="","",G18*H18/(1+Assumptions!$B$4)^E18)</f>
        <v/>
      </c>
      <c r="J18" s="7">
        <f>IF(A18="","",C18&gt;=Assumptions!$B$10)</f>
        <v/>
      </c>
    </row>
    <row r="19">
      <c r="A19" s="12" t="n"/>
      <c r="B19" s="10" t="n"/>
      <c r="C19" s="13" t="n"/>
      <c r="D19" s="11" t="n"/>
      <c r="E19" s="14">
        <f>IF(A19="","",MAX(0,Assumptions!$B$8-B19))</f>
        <v/>
      </c>
      <c r="F19" s="15">
        <f>IF(A19="","",D19*(1+Assumptions!$B$5)^E19)</f>
        <v/>
      </c>
      <c r="G19" s="15">
        <f>IF(A19="","",MIN(Assumptions!$B$9,15/26*F19*C19))</f>
        <v/>
      </c>
      <c r="H19" s="16">
        <f>IF(A19="","",(1-Assumptions!$B$6-Assumptions!$B$7)^E19)</f>
        <v/>
      </c>
      <c r="I19" s="15">
        <f>IF(A19="","",G19*H19/(1+Assumptions!$B$4)^E19)</f>
        <v/>
      </c>
      <c r="J19" s="7">
        <f>IF(A19="","",C19&gt;=Assumptions!$B$10)</f>
        <v/>
      </c>
    </row>
    <row r="20">
      <c r="A20" s="12" t="n"/>
      <c r="B20" s="10" t="n"/>
      <c r="C20" s="13" t="n"/>
      <c r="D20" s="11" t="n"/>
      <c r="E20" s="14">
        <f>IF(A20="","",MAX(0,Assumptions!$B$8-B20))</f>
        <v/>
      </c>
      <c r="F20" s="15">
        <f>IF(A20="","",D20*(1+Assumptions!$B$5)^E20)</f>
        <v/>
      </c>
      <c r="G20" s="15">
        <f>IF(A20="","",MIN(Assumptions!$B$9,15/26*F20*C20))</f>
        <v/>
      </c>
      <c r="H20" s="16">
        <f>IF(A20="","",(1-Assumptions!$B$6-Assumptions!$B$7)^E20)</f>
        <v/>
      </c>
      <c r="I20" s="15">
        <f>IF(A20="","",G20*H20/(1+Assumptions!$B$4)^E20)</f>
        <v/>
      </c>
      <c r="J20" s="7">
        <f>IF(A20="","",C20&gt;=Assumptions!$B$10)</f>
        <v/>
      </c>
    </row>
    <row r="21">
      <c r="A21" s="12" t="n"/>
      <c r="B21" s="10" t="n"/>
      <c r="C21" s="13" t="n"/>
      <c r="D21" s="11" t="n"/>
      <c r="E21" s="14">
        <f>IF(A21="","",MAX(0,Assumptions!$B$8-B21))</f>
        <v/>
      </c>
      <c r="F21" s="15">
        <f>IF(A21="","",D21*(1+Assumptions!$B$5)^E21)</f>
        <v/>
      </c>
      <c r="G21" s="15">
        <f>IF(A21="","",MIN(Assumptions!$B$9,15/26*F21*C21))</f>
        <v/>
      </c>
      <c r="H21" s="16">
        <f>IF(A21="","",(1-Assumptions!$B$6-Assumptions!$B$7)^E21)</f>
        <v/>
      </c>
      <c r="I21" s="15">
        <f>IF(A21="","",G21*H21/(1+Assumptions!$B$4)^E21)</f>
        <v/>
      </c>
      <c r="J21" s="7">
        <f>IF(A21="","",C21&gt;=Assumptions!$B$10)</f>
        <v/>
      </c>
    </row>
    <row r="22">
      <c r="A22" s="12" t="n"/>
      <c r="B22" s="10" t="n"/>
      <c r="C22" s="13" t="n"/>
      <c r="D22" s="11" t="n"/>
      <c r="E22" s="14">
        <f>IF(A22="","",MAX(0,Assumptions!$B$8-B22))</f>
        <v/>
      </c>
      <c r="F22" s="15">
        <f>IF(A22="","",D22*(1+Assumptions!$B$5)^E22)</f>
        <v/>
      </c>
      <c r="G22" s="15">
        <f>IF(A22="","",MIN(Assumptions!$B$9,15/26*F22*C22))</f>
        <v/>
      </c>
      <c r="H22" s="16">
        <f>IF(A22="","",(1-Assumptions!$B$6-Assumptions!$B$7)^E22)</f>
        <v/>
      </c>
      <c r="I22" s="15">
        <f>IF(A22="","",G22*H22/(1+Assumptions!$B$4)^E22)</f>
        <v/>
      </c>
      <c r="J22" s="7">
        <f>IF(A22="","",C22&gt;=Assumptions!$B$10)</f>
        <v/>
      </c>
    </row>
    <row r="23">
      <c r="A23" s="12" t="n"/>
      <c r="B23" s="10" t="n"/>
      <c r="C23" s="13" t="n"/>
      <c r="D23" s="11" t="n"/>
      <c r="E23" s="14">
        <f>IF(A23="","",MAX(0,Assumptions!$B$8-B23))</f>
        <v/>
      </c>
      <c r="F23" s="15">
        <f>IF(A23="","",D23*(1+Assumptions!$B$5)^E23)</f>
        <v/>
      </c>
      <c r="G23" s="15">
        <f>IF(A23="","",MIN(Assumptions!$B$9,15/26*F23*C23))</f>
        <v/>
      </c>
      <c r="H23" s="16">
        <f>IF(A23="","",(1-Assumptions!$B$6-Assumptions!$B$7)^E23)</f>
        <v/>
      </c>
      <c r="I23" s="15">
        <f>IF(A23="","",G23*H23/(1+Assumptions!$B$4)^E23)</f>
        <v/>
      </c>
      <c r="J23" s="7">
        <f>IF(A23="","",C23&gt;=Assumptions!$B$10)</f>
        <v/>
      </c>
    </row>
    <row r="24">
      <c r="A24" s="12" t="n"/>
      <c r="B24" s="10" t="n"/>
      <c r="C24" s="13" t="n"/>
      <c r="D24" s="11" t="n"/>
      <c r="E24" s="14">
        <f>IF(A24="","",MAX(0,Assumptions!$B$8-B24))</f>
        <v/>
      </c>
      <c r="F24" s="15">
        <f>IF(A24="","",D24*(1+Assumptions!$B$5)^E24)</f>
        <v/>
      </c>
      <c r="G24" s="15">
        <f>IF(A24="","",MIN(Assumptions!$B$9,15/26*F24*C24))</f>
        <v/>
      </c>
      <c r="H24" s="16">
        <f>IF(A24="","",(1-Assumptions!$B$6-Assumptions!$B$7)^E24)</f>
        <v/>
      </c>
      <c r="I24" s="15">
        <f>IF(A24="","",G24*H24/(1+Assumptions!$B$4)^E24)</f>
        <v/>
      </c>
      <c r="J24" s="7">
        <f>IF(A24="","",C24&gt;=Assumptions!$B$10)</f>
        <v/>
      </c>
    </row>
    <row r="25">
      <c r="A25" s="12" t="n"/>
      <c r="B25" s="10" t="n"/>
      <c r="C25" s="13" t="n"/>
      <c r="D25" s="11" t="n"/>
      <c r="E25" s="14">
        <f>IF(A25="","",MAX(0,Assumptions!$B$8-B25))</f>
        <v/>
      </c>
      <c r="F25" s="15">
        <f>IF(A25="","",D25*(1+Assumptions!$B$5)^E25)</f>
        <v/>
      </c>
      <c r="G25" s="15">
        <f>IF(A25="","",MIN(Assumptions!$B$9,15/26*F25*C25))</f>
        <v/>
      </c>
      <c r="H25" s="16">
        <f>IF(A25="","",(1-Assumptions!$B$6-Assumptions!$B$7)^E25)</f>
        <v/>
      </c>
      <c r="I25" s="15">
        <f>IF(A25="","",G25*H25/(1+Assumptions!$B$4)^E25)</f>
        <v/>
      </c>
      <c r="J25" s="7">
        <f>IF(A25="","",C25&gt;=Assumptions!$B$10)</f>
        <v/>
      </c>
    </row>
    <row r="26">
      <c r="A26" s="12" t="n"/>
      <c r="B26" s="10" t="n"/>
      <c r="C26" s="13" t="n"/>
      <c r="D26" s="11" t="n"/>
      <c r="E26" s="14">
        <f>IF(A26="","",MAX(0,Assumptions!$B$8-B26))</f>
        <v/>
      </c>
      <c r="F26" s="15">
        <f>IF(A26="","",D26*(1+Assumptions!$B$5)^E26)</f>
        <v/>
      </c>
      <c r="G26" s="15">
        <f>IF(A26="","",MIN(Assumptions!$B$9,15/26*F26*C26))</f>
        <v/>
      </c>
      <c r="H26" s="16">
        <f>IF(A26="","",(1-Assumptions!$B$6-Assumptions!$B$7)^E26)</f>
        <v/>
      </c>
      <c r="I26" s="15">
        <f>IF(A26="","",G26*H26/(1+Assumptions!$B$4)^E26)</f>
        <v/>
      </c>
      <c r="J26" s="7">
        <f>IF(A26="","",C26&gt;=Assumptions!$B$10)</f>
        <v/>
      </c>
    </row>
    <row r="27">
      <c r="A27" s="12" t="n"/>
      <c r="B27" s="10" t="n"/>
      <c r="C27" s="13" t="n"/>
      <c r="D27" s="11" t="n"/>
      <c r="E27" s="14">
        <f>IF(A27="","",MAX(0,Assumptions!$B$8-B27))</f>
        <v/>
      </c>
      <c r="F27" s="15">
        <f>IF(A27="","",D27*(1+Assumptions!$B$5)^E27)</f>
        <v/>
      </c>
      <c r="G27" s="15">
        <f>IF(A27="","",MIN(Assumptions!$B$9,15/26*F27*C27))</f>
        <v/>
      </c>
      <c r="H27" s="16">
        <f>IF(A27="","",(1-Assumptions!$B$6-Assumptions!$B$7)^E27)</f>
        <v/>
      </c>
      <c r="I27" s="15">
        <f>IF(A27="","",G27*H27/(1+Assumptions!$B$4)^E27)</f>
        <v/>
      </c>
      <c r="J27" s="7">
        <f>IF(A27="","",C27&gt;=Assumptions!$B$10)</f>
        <v/>
      </c>
    </row>
    <row r="28">
      <c r="A28" s="12" t="n"/>
      <c r="B28" s="10" t="n"/>
      <c r="C28" s="13" t="n"/>
      <c r="D28" s="11" t="n"/>
      <c r="E28" s="14">
        <f>IF(A28="","",MAX(0,Assumptions!$B$8-B28))</f>
        <v/>
      </c>
      <c r="F28" s="15">
        <f>IF(A28="","",D28*(1+Assumptions!$B$5)^E28)</f>
        <v/>
      </c>
      <c r="G28" s="15">
        <f>IF(A28="","",MIN(Assumptions!$B$9,15/26*F28*C28))</f>
        <v/>
      </c>
      <c r="H28" s="16">
        <f>IF(A28="","",(1-Assumptions!$B$6-Assumptions!$B$7)^E28)</f>
        <v/>
      </c>
      <c r="I28" s="15">
        <f>IF(A28="","",G28*H28/(1+Assumptions!$B$4)^E28)</f>
        <v/>
      </c>
      <c r="J28" s="7">
        <f>IF(A28="","",C28&gt;=Assumptions!$B$10)</f>
        <v/>
      </c>
    </row>
    <row r="29">
      <c r="A29" s="12" t="n"/>
      <c r="B29" s="10" t="n"/>
      <c r="C29" s="13" t="n"/>
      <c r="D29" s="11" t="n"/>
      <c r="E29" s="14">
        <f>IF(A29="","",MAX(0,Assumptions!$B$8-B29))</f>
        <v/>
      </c>
      <c r="F29" s="15">
        <f>IF(A29="","",D29*(1+Assumptions!$B$5)^E29)</f>
        <v/>
      </c>
      <c r="G29" s="15">
        <f>IF(A29="","",MIN(Assumptions!$B$9,15/26*F29*C29))</f>
        <v/>
      </c>
      <c r="H29" s="16">
        <f>IF(A29="","",(1-Assumptions!$B$6-Assumptions!$B$7)^E29)</f>
        <v/>
      </c>
      <c r="I29" s="15">
        <f>IF(A29="","",G29*H29/(1+Assumptions!$B$4)^E29)</f>
        <v/>
      </c>
      <c r="J29" s="7">
        <f>IF(A29="","",C29&gt;=Assumptions!$B$10)</f>
        <v/>
      </c>
    </row>
    <row r="30">
      <c r="A30" s="12" t="n"/>
      <c r="B30" s="10" t="n"/>
      <c r="C30" s="13" t="n"/>
      <c r="D30" s="11" t="n"/>
      <c r="E30" s="14">
        <f>IF(A30="","",MAX(0,Assumptions!$B$8-B30))</f>
        <v/>
      </c>
      <c r="F30" s="15">
        <f>IF(A30="","",D30*(1+Assumptions!$B$5)^E30)</f>
        <v/>
      </c>
      <c r="G30" s="15">
        <f>IF(A30="","",MIN(Assumptions!$B$9,15/26*F30*C30))</f>
        <v/>
      </c>
      <c r="H30" s="16">
        <f>IF(A30="","",(1-Assumptions!$B$6-Assumptions!$B$7)^E30)</f>
        <v/>
      </c>
      <c r="I30" s="15">
        <f>IF(A30="","",G30*H30/(1+Assumptions!$B$4)^E30)</f>
        <v/>
      </c>
      <c r="J30" s="7">
        <f>IF(A30="","",C30&gt;=Assumptions!$B$10)</f>
        <v/>
      </c>
    </row>
    <row r="31">
      <c r="A31" s="12" t="n"/>
      <c r="B31" s="10" t="n"/>
      <c r="C31" s="13" t="n"/>
      <c r="D31" s="11" t="n"/>
      <c r="E31" s="14">
        <f>IF(A31="","",MAX(0,Assumptions!$B$8-B31))</f>
        <v/>
      </c>
      <c r="F31" s="15">
        <f>IF(A31="","",D31*(1+Assumptions!$B$5)^E31)</f>
        <v/>
      </c>
      <c r="G31" s="15">
        <f>IF(A31="","",MIN(Assumptions!$B$9,15/26*F31*C31))</f>
        <v/>
      </c>
      <c r="H31" s="16">
        <f>IF(A31="","",(1-Assumptions!$B$6-Assumptions!$B$7)^E31)</f>
        <v/>
      </c>
      <c r="I31" s="15">
        <f>IF(A31="","",G31*H31/(1+Assumptions!$B$4)^E31)</f>
        <v/>
      </c>
      <c r="J31" s="7">
        <f>IF(A31="","",C31&gt;=Assumptions!$B$10)</f>
        <v/>
      </c>
    </row>
    <row r="32">
      <c r="A32" s="12" t="n"/>
      <c r="B32" s="10" t="n"/>
      <c r="C32" s="13" t="n"/>
      <c r="D32" s="11" t="n"/>
      <c r="E32" s="14">
        <f>IF(A32="","",MAX(0,Assumptions!$B$8-B32))</f>
        <v/>
      </c>
      <c r="F32" s="15">
        <f>IF(A32="","",D32*(1+Assumptions!$B$5)^E32)</f>
        <v/>
      </c>
      <c r="G32" s="15">
        <f>IF(A32="","",MIN(Assumptions!$B$9,15/26*F32*C32))</f>
        <v/>
      </c>
      <c r="H32" s="16">
        <f>IF(A32="","",(1-Assumptions!$B$6-Assumptions!$B$7)^E32)</f>
        <v/>
      </c>
      <c r="I32" s="15">
        <f>IF(A32="","",G32*H32/(1+Assumptions!$B$4)^E32)</f>
        <v/>
      </c>
      <c r="J32" s="7">
        <f>IF(A32="","",C32&gt;=Assumptions!$B$10)</f>
        <v/>
      </c>
    </row>
    <row r="33">
      <c r="A33" s="12" t="n"/>
      <c r="B33" s="10" t="n"/>
      <c r="C33" s="13" t="n"/>
      <c r="D33" s="11" t="n"/>
      <c r="E33" s="14">
        <f>IF(A33="","",MAX(0,Assumptions!$B$8-B33))</f>
        <v/>
      </c>
      <c r="F33" s="15">
        <f>IF(A33="","",D33*(1+Assumptions!$B$5)^E33)</f>
        <v/>
      </c>
      <c r="G33" s="15">
        <f>IF(A33="","",MIN(Assumptions!$B$9,15/26*F33*C33))</f>
        <v/>
      </c>
      <c r="H33" s="16">
        <f>IF(A33="","",(1-Assumptions!$B$6-Assumptions!$B$7)^E33)</f>
        <v/>
      </c>
      <c r="I33" s="15">
        <f>IF(A33="","",G33*H33/(1+Assumptions!$B$4)^E33)</f>
        <v/>
      </c>
      <c r="J33" s="7">
        <f>IF(A33="","",C33&gt;=Assumptions!$B$10)</f>
        <v/>
      </c>
    </row>
    <row r="34">
      <c r="A34" s="12" t="n"/>
      <c r="B34" s="10" t="n"/>
      <c r="C34" s="13" t="n"/>
      <c r="D34" s="11" t="n"/>
      <c r="E34" s="14">
        <f>IF(A34="","",MAX(0,Assumptions!$B$8-B34))</f>
        <v/>
      </c>
      <c r="F34" s="15">
        <f>IF(A34="","",D34*(1+Assumptions!$B$5)^E34)</f>
        <v/>
      </c>
      <c r="G34" s="15">
        <f>IF(A34="","",MIN(Assumptions!$B$9,15/26*F34*C34))</f>
        <v/>
      </c>
      <c r="H34" s="16">
        <f>IF(A34="","",(1-Assumptions!$B$6-Assumptions!$B$7)^E34)</f>
        <v/>
      </c>
      <c r="I34" s="15">
        <f>IF(A34="","",G34*H34/(1+Assumptions!$B$4)^E34)</f>
        <v/>
      </c>
      <c r="J34" s="7">
        <f>IF(A34="","",C34&gt;=Assumptions!$B$10)</f>
        <v/>
      </c>
    </row>
    <row r="35">
      <c r="A35" s="12" t="n"/>
      <c r="B35" s="10" t="n"/>
      <c r="C35" s="13" t="n"/>
      <c r="D35" s="11" t="n"/>
      <c r="E35" s="14">
        <f>IF(A35="","",MAX(0,Assumptions!$B$8-B35))</f>
        <v/>
      </c>
      <c r="F35" s="15">
        <f>IF(A35="","",D35*(1+Assumptions!$B$5)^E35)</f>
        <v/>
      </c>
      <c r="G35" s="15">
        <f>IF(A35="","",MIN(Assumptions!$B$9,15/26*F35*C35))</f>
        <v/>
      </c>
      <c r="H35" s="16">
        <f>IF(A35="","",(1-Assumptions!$B$6-Assumptions!$B$7)^E35)</f>
        <v/>
      </c>
      <c r="I35" s="15">
        <f>IF(A35="","",G35*H35/(1+Assumptions!$B$4)^E35)</f>
        <v/>
      </c>
      <c r="J35" s="7">
        <f>IF(A35="","",C35&gt;=Assumptions!$B$10)</f>
        <v/>
      </c>
    </row>
    <row r="36">
      <c r="A36" s="12" t="n"/>
      <c r="B36" s="10" t="n"/>
      <c r="C36" s="13" t="n"/>
      <c r="D36" s="11" t="n"/>
      <c r="E36" s="14">
        <f>IF(A36="","",MAX(0,Assumptions!$B$8-B36))</f>
        <v/>
      </c>
      <c r="F36" s="15">
        <f>IF(A36="","",D36*(1+Assumptions!$B$5)^E36)</f>
        <v/>
      </c>
      <c r="G36" s="15">
        <f>IF(A36="","",MIN(Assumptions!$B$9,15/26*F36*C36))</f>
        <v/>
      </c>
      <c r="H36" s="16">
        <f>IF(A36="","",(1-Assumptions!$B$6-Assumptions!$B$7)^E36)</f>
        <v/>
      </c>
      <c r="I36" s="15">
        <f>IF(A36="","",G36*H36/(1+Assumptions!$B$4)^E36)</f>
        <v/>
      </c>
      <c r="J36" s="7">
        <f>IF(A36="","",C36&gt;=Assumptions!$B$10)</f>
        <v/>
      </c>
    </row>
    <row r="37">
      <c r="A37" s="12" t="n"/>
      <c r="B37" s="10" t="n"/>
      <c r="C37" s="13" t="n"/>
      <c r="D37" s="11" t="n"/>
      <c r="E37" s="14">
        <f>IF(A37="","",MAX(0,Assumptions!$B$8-B37))</f>
        <v/>
      </c>
      <c r="F37" s="15">
        <f>IF(A37="","",D37*(1+Assumptions!$B$5)^E37)</f>
        <v/>
      </c>
      <c r="G37" s="15">
        <f>IF(A37="","",MIN(Assumptions!$B$9,15/26*F37*C37))</f>
        <v/>
      </c>
      <c r="H37" s="16">
        <f>IF(A37="","",(1-Assumptions!$B$6-Assumptions!$B$7)^E37)</f>
        <v/>
      </c>
      <c r="I37" s="15">
        <f>IF(A37="","",G37*H37/(1+Assumptions!$B$4)^E37)</f>
        <v/>
      </c>
      <c r="J37" s="7">
        <f>IF(A37="","",C37&gt;=Assumptions!$B$10)</f>
        <v/>
      </c>
    </row>
    <row r="38">
      <c r="A38" s="12" t="n"/>
      <c r="B38" s="10" t="n"/>
      <c r="C38" s="13" t="n"/>
      <c r="D38" s="11" t="n"/>
      <c r="E38" s="14">
        <f>IF(A38="","",MAX(0,Assumptions!$B$8-B38))</f>
        <v/>
      </c>
      <c r="F38" s="15">
        <f>IF(A38="","",D38*(1+Assumptions!$B$5)^E38)</f>
        <v/>
      </c>
      <c r="G38" s="15">
        <f>IF(A38="","",MIN(Assumptions!$B$9,15/26*F38*C38))</f>
        <v/>
      </c>
      <c r="H38" s="16">
        <f>IF(A38="","",(1-Assumptions!$B$6-Assumptions!$B$7)^E38)</f>
        <v/>
      </c>
      <c r="I38" s="15">
        <f>IF(A38="","",G38*H38/(1+Assumptions!$B$4)^E38)</f>
        <v/>
      </c>
      <c r="J38" s="7">
        <f>IF(A38="","",C38&gt;=Assumptions!$B$10)</f>
        <v/>
      </c>
    </row>
    <row r="39">
      <c r="A39" s="12" t="n"/>
      <c r="B39" s="10" t="n"/>
      <c r="C39" s="13" t="n"/>
      <c r="D39" s="11" t="n"/>
      <c r="E39" s="14">
        <f>IF(A39="","",MAX(0,Assumptions!$B$8-B39))</f>
        <v/>
      </c>
      <c r="F39" s="15">
        <f>IF(A39="","",D39*(1+Assumptions!$B$5)^E39)</f>
        <v/>
      </c>
      <c r="G39" s="15">
        <f>IF(A39="","",MIN(Assumptions!$B$9,15/26*F39*C39))</f>
        <v/>
      </c>
      <c r="H39" s="16">
        <f>IF(A39="","",(1-Assumptions!$B$6-Assumptions!$B$7)^E39)</f>
        <v/>
      </c>
      <c r="I39" s="15">
        <f>IF(A39="","",G39*H39/(1+Assumptions!$B$4)^E39)</f>
        <v/>
      </c>
      <c r="J39" s="7">
        <f>IF(A39="","",C39&gt;=Assumptions!$B$10)</f>
        <v/>
      </c>
    </row>
    <row r="40">
      <c r="A40" s="12" t="n"/>
      <c r="B40" s="10" t="n"/>
      <c r="C40" s="13" t="n"/>
      <c r="D40" s="11" t="n"/>
      <c r="E40" s="14">
        <f>IF(A40="","",MAX(0,Assumptions!$B$8-B40))</f>
        <v/>
      </c>
      <c r="F40" s="15">
        <f>IF(A40="","",D40*(1+Assumptions!$B$5)^E40)</f>
        <v/>
      </c>
      <c r="G40" s="15">
        <f>IF(A40="","",MIN(Assumptions!$B$9,15/26*F40*C40))</f>
        <v/>
      </c>
      <c r="H40" s="16">
        <f>IF(A40="","",(1-Assumptions!$B$6-Assumptions!$B$7)^E40)</f>
        <v/>
      </c>
      <c r="I40" s="15">
        <f>IF(A40="","",G40*H40/(1+Assumptions!$B$4)^E40)</f>
        <v/>
      </c>
      <c r="J40" s="7">
        <f>IF(A40="","",C40&gt;=Assumptions!$B$10)</f>
        <v/>
      </c>
    </row>
    <row r="41">
      <c r="A41" s="12" t="n"/>
      <c r="B41" s="10" t="n"/>
      <c r="C41" s="13" t="n"/>
      <c r="D41" s="11" t="n"/>
      <c r="E41" s="14">
        <f>IF(A41="","",MAX(0,Assumptions!$B$8-B41))</f>
        <v/>
      </c>
      <c r="F41" s="15">
        <f>IF(A41="","",D41*(1+Assumptions!$B$5)^E41)</f>
        <v/>
      </c>
      <c r="G41" s="15">
        <f>IF(A41="","",MIN(Assumptions!$B$9,15/26*F41*C41))</f>
        <v/>
      </c>
      <c r="H41" s="16">
        <f>IF(A41="","",(1-Assumptions!$B$6-Assumptions!$B$7)^E41)</f>
        <v/>
      </c>
      <c r="I41" s="15">
        <f>IF(A41="","",G41*H41/(1+Assumptions!$B$4)^E41)</f>
        <v/>
      </c>
      <c r="J41" s="7">
        <f>IF(A41="","",C41&gt;=Assumptions!$B$10)</f>
        <v/>
      </c>
    </row>
    <row r="42">
      <c r="A42" s="12" t="n"/>
      <c r="B42" s="10" t="n"/>
      <c r="C42" s="13" t="n"/>
      <c r="D42" s="11" t="n"/>
      <c r="E42" s="14">
        <f>IF(A42="","",MAX(0,Assumptions!$B$8-B42))</f>
        <v/>
      </c>
      <c r="F42" s="15">
        <f>IF(A42="","",D42*(1+Assumptions!$B$5)^E42)</f>
        <v/>
      </c>
      <c r="G42" s="15">
        <f>IF(A42="","",MIN(Assumptions!$B$9,15/26*F42*C42))</f>
        <v/>
      </c>
      <c r="H42" s="16">
        <f>IF(A42="","",(1-Assumptions!$B$6-Assumptions!$B$7)^E42)</f>
        <v/>
      </c>
      <c r="I42" s="15">
        <f>IF(A42="","",G42*H42/(1+Assumptions!$B$4)^E42)</f>
        <v/>
      </c>
      <c r="J42" s="7">
        <f>IF(A42="","",C42&gt;=Assumptions!$B$10)</f>
        <v/>
      </c>
    </row>
    <row r="43">
      <c r="A43" s="12" t="n"/>
      <c r="B43" s="10" t="n"/>
      <c r="C43" s="13" t="n"/>
      <c r="D43" s="11" t="n"/>
      <c r="E43" s="14">
        <f>IF(A43="","",MAX(0,Assumptions!$B$8-B43))</f>
        <v/>
      </c>
      <c r="F43" s="15">
        <f>IF(A43="","",D43*(1+Assumptions!$B$5)^E43)</f>
        <v/>
      </c>
      <c r="G43" s="15">
        <f>IF(A43="","",MIN(Assumptions!$B$9,15/26*F43*C43))</f>
        <v/>
      </c>
      <c r="H43" s="16">
        <f>IF(A43="","",(1-Assumptions!$B$6-Assumptions!$B$7)^E43)</f>
        <v/>
      </c>
      <c r="I43" s="15">
        <f>IF(A43="","",G43*H43/(1+Assumptions!$B$4)^E43)</f>
        <v/>
      </c>
      <c r="J43" s="7">
        <f>IF(A43="","",C43&gt;=Assumptions!$B$10)</f>
        <v/>
      </c>
    </row>
    <row r="44">
      <c r="A44" s="12" t="n"/>
      <c r="B44" s="10" t="n"/>
      <c r="C44" s="13" t="n"/>
      <c r="D44" s="11" t="n"/>
      <c r="E44" s="14">
        <f>IF(A44="","",MAX(0,Assumptions!$B$8-B44))</f>
        <v/>
      </c>
      <c r="F44" s="15">
        <f>IF(A44="","",D44*(1+Assumptions!$B$5)^E44)</f>
        <v/>
      </c>
      <c r="G44" s="15">
        <f>IF(A44="","",MIN(Assumptions!$B$9,15/26*F44*C44))</f>
        <v/>
      </c>
      <c r="H44" s="16">
        <f>IF(A44="","",(1-Assumptions!$B$6-Assumptions!$B$7)^E44)</f>
        <v/>
      </c>
      <c r="I44" s="15">
        <f>IF(A44="","",G44*H44/(1+Assumptions!$B$4)^E44)</f>
        <v/>
      </c>
      <c r="J44" s="7">
        <f>IF(A44="","",C44&gt;=Assumptions!$B$10)</f>
        <v/>
      </c>
    </row>
    <row r="45">
      <c r="A45" s="12" t="n"/>
      <c r="B45" s="10" t="n"/>
      <c r="C45" s="13" t="n"/>
      <c r="D45" s="11" t="n"/>
      <c r="E45" s="14">
        <f>IF(A45="","",MAX(0,Assumptions!$B$8-B45))</f>
        <v/>
      </c>
      <c r="F45" s="15">
        <f>IF(A45="","",D45*(1+Assumptions!$B$5)^E45)</f>
        <v/>
      </c>
      <c r="G45" s="15">
        <f>IF(A45="","",MIN(Assumptions!$B$9,15/26*F45*C45))</f>
        <v/>
      </c>
      <c r="H45" s="16">
        <f>IF(A45="","",(1-Assumptions!$B$6-Assumptions!$B$7)^E45)</f>
        <v/>
      </c>
      <c r="I45" s="15">
        <f>IF(A45="","",G45*H45/(1+Assumptions!$B$4)^E45)</f>
        <v/>
      </c>
      <c r="J45" s="7">
        <f>IF(A45="","",C45&gt;=Assumptions!$B$10)</f>
        <v/>
      </c>
    </row>
    <row r="46">
      <c r="A46" s="12" t="n"/>
      <c r="B46" s="10" t="n"/>
      <c r="C46" s="13" t="n"/>
      <c r="D46" s="11" t="n"/>
      <c r="E46" s="14">
        <f>IF(A46="","",MAX(0,Assumptions!$B$8-B46))</f>
        <v/>
      </c>
      <c r="F46" s="15">
        <f>IF(A46="","",D46*(1+Assumptions!$B$5)^E46)</f>
        <v/>
      </c>
      <c r="G46" s="15">
        <f>IF(A46="","",MIN(Assumptions!$B$9,15/26*F46*C46))</f>
        <v/>
      </c>
      <c r="H46" s="16">
        <f>IF(A46="","",(1-Assumptions!$B$6-Assumptions!$B$7)^E46)</f>
        <v/>
      </c>
      <c r="I46" s="15">
        <f>IF(A46="","",G46*H46/(1+Assumptions!$B$4)^E46)</f>
        <v/>
      </c>
      <c r="J46" s="7">
        <f>IF(A46="","",C46&gt;=Assumptions!$B$10)</f>
        <v/>
      </c>
    </row>
    <row r="47">
      <c r="A47" s="12" t="n"/>
      <c r="B47" s="10" t="n"/>
      <c r="C47" s="13" t="n"/>
      <c r="D47" s="11" t="n"/>
      <c r="E47" s="14">
        <f>IF(A47="","",MAX(0,Assumptions!$B$8-B47))</f>
        <v/>
      </c>
      <c r="F47" s="15">
        <f>IF(A47="","",D47*(1+Assumptions!$B$5)^E47)</f>
        <v/>
      </c>
      <c r="G47" s="15">
        <f>IF(A47="","",MIN(Assumptions!$B$9,15/26*F47*C47))</f>
        <v/>
      </c>
      <c r="H47" s="16">
        <f>IF(A47="","",(1-Assumptions!$B$6-Assumptions!$B$7)^E47)</f>
        <v/>
      </c>
      <c r="I47" s="15">
        <f>IF(A47="","",G47*H47/(1+Assumptions!$B$4)^E47)</f>
        <v/>
      </c>
      <c r="J47" s="7">
        <f>IF(A47="","",C47&gt;=Assumptions!$B$10)</f>
        <v/>
      </c>
    </row>
    <row r="48">
      <c r="A48" s="12" t="n"/>
      <c r="B48" s="10" t="n"/>
      <c r="C48" s="13" t="n"/>
      <c r="D48" s="11" t="n"/>
      <c r="E48" s="14">
        <f>IF(A48="","",MAX(0,Assumptions!$B$8-B48))</f>
        <v/>
      </c>
      <c r="F48" s="15">
        <f>IF(A48="","",D48*(1+Assumptions!$B$5)^E48)</f>
        <v/>
      </c>
      <c r="G48" s="15">
        <f>IF(A48="","",MIN(Assumptions!$B$9,15/26*F48*C48))</f>
        <v/>
      </c>
      <c r="H48" s="16">
        <f>IF(A48="","",(1-Assumptions!$B$6-Assumptions!$B$7)^E48)</f>
        <v/>
      </c>
      <c r="I48" s="15">
        <f>IF(A48="","",G48*H48/(1+Assumptions!$B$4)^E48)</f>
        <v/>
      </c>
      <c r="J48" s="7">
        <f>IF(A48="","",C48&gt;=Assumptions!$B$10)</f>
        <v/>
      </c>
    </row>
    <row r="49">
      <c r="A49" s="12" t="n"/>
      <c r="B49" s="10" t="n"/>
      <c r="C49" s="13" t="n"/>
      <c r="D49" s="11" t="n"/>
      <c r="E49" s="14">
        <f>IF(A49="","",MAX(0,Assumptions!$B$8-B49))</f>
        <v/>
      </c>
      <c r="F49" s="15">
        <f>IF(A49="","",D49*(1+Assumptions!$B$5)^E49)</f>
        <v/>
      </c>
      <c r="G49" s="15">
        <f>IF(A49="","",MIN(Assumptions!$B$9,15/26*F49*C49))</f>
        <v/>
      </c>
      <c r="H49" s="16">
        <f>IF(A49="","",(1-Assumptions!$B$6-Assumptions!$B$7)^E49)</f>
        <v/>
      </c>
      <c r="I49" s="15">
        <f>IF(A49="","",G49*H49/(1+Assumptions!$B$4)^E49)</f>
        <v/>
      </c>
      <c r="J49" s="7">
        <f>IF(A49="","",C49&gt;=Assumptions!$B$10)</f>
        <v/>
      </c>
    </row>
    <row r="50">
      <c r="A50" s="12" t="n"/>
      <c r="B50" s="10" t="n"/>
      <c r="C50" s="13" t="n"/>
      <c r="D50" s="11" t="n"/>
      <c r="E50" s="14">
        <f>IF(A50="","",MAX(0,Assumptions!$B$8-B50))</f>
        <v/>
      </c>
      <c r="F50" s="15">
        <f>IF(A50="","",D50*(1+Assumptions!$B$5)^E50)</f>
        <v/>
      </c>
      <c r="G50" s="15">
        <f>IF(A50="","",MIN(Assumptions!$B$9,15/26*F50*C50))</f>
        <v/>
      </c>
      <c r="H50" s="16">
        <f>IF(A50="","",(1-Assumptions!$B$6-Assumptions!$B$7)^E50)</f>
        <v/>
      </c>
      <c r="I50" s="15">
        <f>IF(A50="","",G50*H50/(1+Assumptions!$B$4)^E50)</f>
        <v/>
      </c>
      <c r="J50" s="7">
        <f>IF(A50="","",C50&gt;=Assumptions!$B$10)</f>
        <v/>
      </c>
    </row>
    <row r="51">
      <c r="A51" s="12" t="n"/>
      <c r="B51" s="10" t="n"/>
      <c r="C51" s="13" t="n"/>
      <c r="D51" s="11" t="n"/>
      <c r="E51" s="14">
        <f>IF(A51="","",MAX(0,Assumptions!$B$8-B51))</f>
        <v/>
      </c>
      <c r="F51" s="15">
        <f>IF(A51="","",D51*(1+Assumptions!$B$5)^E51)</f>
        <v/>
      </c>
      <c r="G51" s="15">
        <f>IF(A51="","",MIN(Assumptions!$B$9,15/26*F51*C51))</f>
        <v/>
      </c>
      <c r="H51" s="16">
        <f>IF(A51="","",(1-Assumptions!$B$6-Assumptions!$B$7)^E51)</f>
        <v/>
      </c>
      <c r="I51" s="15">
        <f>IF(A51="","",G51*H51/(1+Assumptions!$B$4)^E51)</f>
        <v/>
      </c>
      <c r="J51" s="7">
        <f>IF(A51="","",C51&gt;=Assumptions!$B$10)</f>
        <v/>
      </c>
    </row>
    <row r="52">
      <c r="A52" s="12" t="n"/>
      <c r="B52" s="10" t="n"/>
      <c r="C52" s="13" t="n"/>
      <c r="D52" s="11" t="n"/>
      <c r="E52" s="14">
        <f>IF(A52="","",MAX(0,Assumptions!$B$8-B52))</f>
        <v/>
      </c>
      <c r="F52" s="15">
        <f>IF(A52="","",D52*(1+Assumptions!$B$5)^E52)</f>
        <v/>
      </c>
      <c r="G52" s="15">
        <f>IF(A52="","",MIN(Assumptions!$B$9,15/26*F52*C52))</f>
        <v/>
      </c>
      <c r="H52" s="16">
        <f>IF(A52="","",(1-Assumptions!$B$6-Assumptions!$B$7)^E52)</f>
        <v/>
      </c>
      <c r="I52" s="15">
        <f>IF(A52="","",G52*H52/(1+Assumptions!$B$4)^E52)</f>
        <v/>
      </c>
      <c r="J52" s="7">
        <f>IF(A52="","",C52&gt;=Assumptions!$B$10)</f>
        <v/>
      </c>
    </row>
    <row r="53">
      <c r="A53" s="12" t="n"/>
      <c r="B53" s="10" t="n"/>
      <c r="C53" s="13" t="n"/>
      <c r="D53" s="11" t="n"/>
      <c r="E53" s="14">
        <f>IF(A53="","",MAX(0,Assumptions!$B$8-B53))</f>
        <v/>
      </c>
      <c r="F53" s="15">
        <f>IF(A53="","",D53*(1+Assumptions!$B$5)^E53)</f>
        <v/>
      </c>
      <c r="G53" s="15">
        <f>IF(A53="","",MIN(Assumptions!$B$9,15/26*F53*C53))</f>
        <v/>
      </c>
      <c r="H53" s="16">
        <f>IF(A53="","",(1-Assumptions!$B$6-Assumptions!$B$7)^E53)</f>
        <v/>
      </c>
      <c r="I53" s="15">
        <f>IF(A53="","",G53*H53/(1+Assumptions!$B$4)^E53)</f>
        <v/>
      </c>
      <c r="J53" s="7">
        <f>IF(A53="","",C53&gt;=Assumptions!$B$10)</f>
        <v/>
      </c>
    </row>
    <row r="54">
      <c r="A54" s="12" t="n"/>
      <c r="B54" s="10" t="n"/>
      <c r="C54" s="13" t="n"/>
      <c r="D54" s="11" t="n"/>
      <c r="E54" s="14">
        <f>IF(A54="","",MAX(0,Assumptions!$B$8-B54))</f>
        <v/>
      </c>
      <c r="F54" s="15">
        <f>IF(A54="","",D54*(1+Assumptions!$B$5)^E54)</f>
        <v/>
      </c>
      <c r="G54" s="15">
        <f>IF(A54="","",MIN(Assumptions!$B$9,15/26*F54*C54))</f>
        <v/>
      </c>
      <c r="H54" s="16">
        <f>IF(A54="","",(1-Assumptions!$B$6-Assumptions!$B$7)^E54)</f>
        <v/>
      </c>
      <c r="I54" s="15">
        <f>IF(A54="","",G54*H54/(1+Assumptions!$B$4)^E54)</f>
        <v/>
      </c>
      <c r="J54" s="7">
        <f>IF(A54="","",C54&gt;=Assumptions!$B$10)</f>
        <v/>
      </c>
    </row>
    <row r="55">
      <c r="A55" s="12" t="n"/>
      <c r="B55" s="10" t="n"/>
      <c r="C55" s="13" t="n"/>
      <c r="D55" s="11" t="n"/>
      <c r="E55" s="14">
        <f>IF(A55="","",MAX(0,Assumptions!$B$8-B55))</f>
        <v/>
      </c>
      <c r="F55" s="15">
        <f>IF(A55="","",D55*(1+Assumptions!$B$5)^E55)</f>
        <v/>
      </c>
      <c r="G55" s="15">
        <f>IF(A55="","",MIN(Assumptions!$B$9,15/26*F55*C55))</f>
        <v/>
      </c>
      <c r="H55" s="16">
        <f>IF(A55="","",(1-Assumptions!$B$6-Assumptions!$B$7)^E55)</f>
        <v/>
      </c>
      <c r="I55" s="15">
        <f>IF(A55="","",G55*H55/(1+Assumptions!$B$4)^E55)</f>
        <v/>
      </c>
      <c r="J55" s="7">
        <f>IF(A55="","",C55&gt;=Assumptions!$B$10)</f>
        <v/>
      </c>
    </row>
    <row r="56">
      <c r="A56" s="12" t="n"/>
      <c r="B56" s="10" t="n"/>
      <c r="C56" s="13" t="n"/>
      <c r="D56" s="11" t="n"/>
      <c r="E56" s="14">
        <f>IF(A56="","",MAX(0,Assumptions!$B$8-B56))</f>
        <v/>
      </c>
      <c r="F56" s="15">
        <f>IF(A56="","",D56*(1+Assumptions!$B$5)^E56)</f>
        <v/>
      </c>
      <c r="G56" s="15">
        <f>IF(A56="","",MIN(Assumptions!$B$9,15/26*F56*C56))</f>
        <v/>
      </c>
      <c r="H56" s="16">
        <f>IF(A56="","",(1-Assumptions!$B$6-Assumptions!$B$7)^E56)</f>
        <v/>
      </c>
      <c r="I56" s="15">
        <f>IF(A56="","",G56*H56/(1+Assumptions!$B$4)^E56)</f>
        <v/>
      </c>
      <c r="J56" s="7">
        <f>IF(A56="","",C56&gt;=Assumptions!$B$10)</f>
        <v/>
      </c>
    </row>
    <row r="57">
      <c r="A57" s="12" t="n"/>
      <c r="B57" s="10" t="n"/>
      <c r="C57" s="13" t="n"/>
      <c r="D57" s="11" t="n"/>
      <c r="E57" s="14">
        <f>IF(A57="","",MAX(0,Assumptions!$B$8-B57))</f>
        <v/>
      </c>
      <c r="F57" s="15">
        <f>IF(A57="","",D57*(1+Assumptions!$B$5)^E57)</f>
        <v/>
      </c>
      <c r="G57" s="15">
        <f>IF(A57="","",MIN(Assumptions!$B$9,15/26*F57*C57))</f>
        <v/>
      </c>
      <c r="H57" s="16">
        <f>IF(A57="","",(1-Assumptions!$B$6-Assumptions!$B$7)^E57)</f>
        <v/>
      </c>
      <c r="I57" s="15">
        <f>IF(A57="","",G57*H57/(1+Assumptions!$B$4)^E57)</f>
        <v/>
      </c>
      <c r="J57" s="7">
        <f>IF(A57="","",C57&gt;=Assumptions!$B$10)</f>
        <v/>
      </c>
    </row>
    <row r="58">
      <c r="A58" s="12" t="n"/>
      <c r="B58" s="10" t="n"/>
      <c r="C58" s="13" t="n"/>
      <c r="D58" s="11" t="n"/>
      <c r="E58" s="14">
        <f>IF(A58="","",MAX(0,Assumptions!$B$8-B58))</f>
        <v/>
      </c>
      <c r="F58" s="15">
        <f>IF(A58="","",D58*(1+Assumptions!$B$5)^E58)</f>
        <v/>
      </c>
      <c r="G58" s="15">
        <f>IF(A58="","",MIN(Assumptions!$B$9,15/26*F58*C58))</f>
        <v/>
      </c>
      <c r="H58" s="16">
        <f>IF(A58="","",(1-Assumptions!$B$6-Assumptions!$B$7)^E58)</f>
        <v/>
      </c>
      <c r="I58" s="15">
        <f>IF(A58="","",G58*H58/(1+Assumptions!$B$4)^E58)</f>
        <v/>
      </c>
      <c r="J58" s="7">
        <f>IF(A58="","",C58&gt;=Assumptions!$B$10)</f>
        <v/>
      </c>
    </row>
    <row r="59">
      <c r="A59" s="12" t="n"/>
      <c r="B59" s="10" t="n"/>
      <c r="C59" s="13" t="n"/>
      <c r="D59" s="11" t="n"/>
      <c r="E59" s="14">
        <f>IF(A59="","",MAX(0,Assumptions!$B$8-B59))</f>
        <v/>
      </c>
      <c r="F59" s="15">
        <f>IF(A59="","",D59*(1+Assumptions!$B$5)^E59)</f>
        <v/>
      </c>
      <c r="G59" s="15">
        <f>IF(A59="","",MIN(Assumptions!$B$9,15/26*F59*C59))</f>
        <v/>
      </c>
      <c r="H59" s="16">
        <f>IF(A59="","",(1-Assumptions!$B$6-Assumptions!$B$7)^E59)</f>
        <v/>
      </c>
      <c r="I59" s="15">
        <f>IF(A59="","",G59*H59/(1+Assumptions!$B$4)^E59)</f>
        <v/>
      </c>
      <c r="J59" s="7">
        <f>IF(A59="","",C59&gt;=Assumptions!$B$10)</f>
        <v/>
      </c>
    </row>
    <row r="60">
      <c r="A60" s="12" t="n"/>
      <c r="B60" s="10" t="n"/>
      <c r="C60" s="13" t="n"/>
      <c r="D60" s="11" t="n"/>
      <c r="E60" s="14">
        <f>IF(A60="","",MAX(0,Assumptions!$B$8-B60))</f>
        <v/>
      </c>
      <c r="F60" s="15">
        <f>IF(A60="","",D60*(1+Assumptions!$B$5)^E60)</f>
        <v/>
      </c>
      <c r="G60" s="15">
        <f>IF(A60="","",MIN(Assumptions!$B$9,15/26*F60*C60))</f>
        <v/>
      </c>
      <c r="H60" s="16">
        <f>IF(A60="","",(1-Assumptions!$B$6-Assumptions!$B$7)^E60)</f>
        <v/>
      </c>
      <c r="I60" s="15">
        <f>IF(A60="","",G60*H60/(1+Assumptions!$B$4)^E60)</f>
        <v/>
      </c>
      <c r="J60" s="7">
        <f>IF(A60="","",C60&gt;=Assumptions!$B$10)</f>
        <v/>
      </c>
    </row>
    <row r="61">
      <c r="A61" s="12" t="n"/>
      <c r="B61" s="10" t="n"/>
      <c r="C61" s="13" t="n"/>
      <c r="D61" s="11" t="n"/>
      <c r="E61" s="14">
        <f>IF(A61="","",MAX(0,Assumptions!$B$8-B61))</f>
        <v/>
      </c>
      <c r="F61" s="15">
        <f>IF(A61="","",D61*(1+Assumptions!$B$5)^E61)</f>
        <v/>
      </c>
      <c r="G61" s="15">
        <f>IF(A61="","",MIN(Assumptions!$B$9,15/26*F61*C61))</f>
        <v/>
      </c>
      <c r="H61" s="16">
        <f>IF(A61="","",(1-Assumptions!$B$6-Assumptions!$B$7)^E61)</f>
        <v/>
      </c>
      <c r="I61" s="15">
        <f>IF(A61="","",G61*H61/(1+Assumptions!$B$4)^E61)</f>
        <v/>
      </c>
      <c r="J61" s="7">
        <f>IF(A61="","",C61&gt;=Assumptions!$B$10)</f>
        <v/>
      </c>
    </row>
    <row r="62">
      <c r="A62" s="12" t="n"/>
      <c r="B62" s="10" t="n"/>
      <c r="C62" s="13" t="n"/>
      <c r="D62" s="11" t="n"/>
      <c r="E62" s="14">
        <f>IF(A62="","",MAX(0,Assumptions!$B$8-B62))</f>
        <v/>
      </c>
      <c r="F62" s="15">
        <f>IF(A62="","",D62*(1+Assumptions!$B$5)^E62)</f>
        <v/>
      </c>
      <c r="G62" s="15">
        <f>IF(A62="","",MIN(Assumptions!$B$9,15/26*F62*C62))</f>
        <v/>
      </c>
      <c r="H62" s="16">
        <f>IF(A62="","",(1-Assumptions!$B$6-Assumptions!$B$7)^E62)</f>
        <v/>
      </c>
      <c r="I62" s="15">
        <f>IF(A62="","",G62*H62/(1+Assumptions!$B$4)^E62)</f>
        <v/>
      </c>
      <c r="J62" s="7">
        <f>IF(A62="","",C62&gt;=Assumptions!$B$10)</f>
        <v/>
      </c>
    </row>
    <row r="63">
      <c r="A63" s="12" t="n"/>
      <c r="B63" s="10" t="n"/>
      <c r="C63" s="13" t="n"/>
      <c r="D63" s="11" t="n"/>
      <c r="E63" s="14">
        <f>IF(A63="","",MAX(0,Assumptions!$B$8-B63))</f>
        <v/>
      </c>
      <c r="F63" s="15">
        <f>IF(A63="","",D63*(1+Assumptions!$B$5)^E63)</f>
        <v/>
      </c>
      <c r="G63" s="15">
        <f>IF(A63="","",MIN(Assumptions!$B$9,15/26*F63*C63))</f>
        <v/>
      </c>
      <c r="H63" s="16">
        <f>IF(A63="","",(1-Assumptions!$B$6-Assumptions!$B$7)^E63)</f>
        <v/>
      </c>
      <c r="I63" s="15">
        <f>IF(A63="","",G63*H63/(1+Assumptions!$B$4)^E63)</f>
        <v/>
      </c>
      <c r="J63" s="7">
        <f>IF(A63="","",C63&gt;=Assumptions!$B$10)</f>
        <v/>
      </c>
    </row>
    <row r="64">
      <c r="A64" s="12" t="n"/>
      <c r="B64" s="10" t="n"/>
      <c r="C64" s="13" t="n"/>
      <c r="D64" s="11" t="n"/>
      <c r="E64" s="14">
        <f>IF(A64="","",MAX(0,Assumptions!$B$8-B64))</f>
        <v/>
      </c>
      <c r="F64" s="15">
        <f>IF(A64="","",D64*(1+Assumptions!$B$5)^E64)</f>
        <v/>
      </c>
      <c r="G64" s="15">
        <f>IF(A64="","",MIN(Assumptions!$B$9,15/26*F64*C64))</f>
        <v/>
      </c>
      <c r="H64" s="16">
        <f>IF(A64="","",(1-Assumptions!$B$6-Assumptions!$B$7)^E64)</f>
        <v/>
      </c>
      <c r="I64" s="15">
        <f>IF(A64="","",G64*H64/(1+Assumptions!$B$4)^E64)</f>
        <v/>
      </c>
      <c r="J64" s="7">
        <f>IF(A64="","",C64&gt;=Assumptions!$B$10)</f>
        <v/>
      </c>
    </row>
    <row r="65">
      <c r="A65" s="12" t="n"/>
      <c r="B65" s="10" t="n"/>
      <c r="C65" s="13" t="n"/>
      <c r="D65" s="11" t="n"/>
      <c r="E65" s="14">
        <f>IF(A65="","",MAX(0,Assumptions!$B$8-B65))</f>
        <v/>
      </c>
      <c r="F65" s="15">
        <f>IF(A65="","",D65*(1+Assumptions!$B$5)^E65)</f>
        <v/>
      </c>
      <c r="G65" s="15">
        <f>IF(A65="","",MIN(Assumptions!$B$9,15/26*F65*C65))</f>
        <v/>
      </c>
      <c r="H65" s="16">
        <f>IF(A65="","",(1-Assumptions!$B$6-Assumptions!$B$7)^E65)</f>
        <v/>
      </c>
      <c r="I65" s="15">
        <f>IF(A65="","",G65*H65/(1+Assumptions!$B$4)^E65)</f>
        <v/>
      </c>
      <c r="J65" s="7">
        <f>IF(A65="","",C65&gt;=Assumptions!$B$10)</f>
        <v/>
      </c>
    </row>
    <row r="66">
      <c r="A66" s="12" t="n"/>
      <c r="B66" s="10" t="n"/>
      <c r="C66" s="13" t="n"/>
      <c r="D66" s="11" t="n"/>
      <c r="E66" s="14">
        <f>IF(A66="","",MAX(0,Assumptions!$B$8-B66))</f>
        <v/>
      </c>
      <c r="F66" s="15">
        <f>IF(A66="","",D66*(1+Assumptions!$B$5)^E66)</f>
        <v/>
      </c>
      <c r="G66" s="15">
        <f>IF(A66="","",MIN(Assumptions!$B$9,15/26*F66*C66))</f>
        <v/>
      </c>
      <c r="H66" s="16">
        <f>IF(A66="","",(1-Assumptions!$B$6-Assumptions!$B$7)^E66)</f>
        <v/>
      </c>
      <c r="I66" s="15">
        <f>IF(A66="","",G66*H66/(1+Assumptions!$B$4)^E66)</f>
        <v/>
      </c>
      <c r="J66" s="7">
        <f>IF(A66="","",C66&gt;=Assumptions!$B$10)</f>
        <v/>
      </c>
    </row>
    <row r="67">
      <c r="A67" s="12" t="n"/>
      <c r="B67" s="10" t="n"/>
      <c r="C67" s="13" t="n"/>
      <c r="D67" s="11" t="n"/>
      <c r="E67" s="14">
        <f>IF(A67="","",MAX(0,Assumptions!$B$8-B67))</f>
        <v/>
      </c>
      <c r="F67" s="15">
        <f>IF(A67="","",D67*(1+Assumptions!$B$5)^E67)</f>
        <v/>
      </c>
      <c r="G67" s="15">
        <f>IF(A67="","",MIN(Assumptions!$B$9,15/26*F67*C67))</f>
        <v/>
      </c>
      <c r="H67" s="16">
        <f>IF(A67="","",(1-Assumptions!$B$6-Assumptions!$B$7)^E67)</f>
        <v/>
      </c>
      <c r="I67" s="15">
        <f>IF(A67="","",G67*H67/(1+Assumptions!$B$4)^E67)</f>
        <v/>
      </c>
      <c r="J67" s="7">
        <f>IF(A67="","",C67&gt;=Assumptions!$B$10)</f>
        <v/>
      </c>
    </row>
    <row r="68">
      <c r="A68" s="12" t="n"/>
      <c r="B68" s="10" t="n"/>
      <c r="C68" s="13" t="n"/>
      <c r="D68" s="11" t="n"/>
      <c r="E68" s="14">
        <f>IF(A68="","",MAX(0,Assumptions!$B$8-B68))</f>
        <v/>
      </c>
      <c r="F68" s="15">
        <f>IF(A68="","",D68*(1+Assumptions!$B$5)^E68)</f>
        <v/>
      </c>
      <c r="G68" s="15">
        <f>IF(A68="","",MIN(Assumptions!$B$9,15/26*F68*C68))</f>
        <v/>
      </c>
      <c r="H68" s="16">
        <f>IF(A68="","",(1-Assumptions!$B$6-Assumptions!$B$7)^E68)</f>
        <v/>
      </c>
      <c r="I68" s="15">
        <f>IF(A68="","",G68*H68/(1+Assumptions!$B$4)^E68)</f>
        <v/>
      </c>
      <c r="J68" s="7">
        <f>IF(A68="","",C68&gt;=Assumptions!$B$10)</f>
        <v/>
      </c>
    </row>
    <row r="69">
      <c r="A69" s="12" t="n"/>
      <c r="B69" s="10" t="n"/>
      <c r="C69" s="13" t="n"/>
      <c r="D69" s="11" t="n"/>
      <c r="E69" s="14">
        <f>IF(A69="","",MAX(0,Assumptions!$B$8-B69))</f>
        <v/>
      </c>
      <c r="F69" s="15">
        <f>IF(A69="","",D69*(1+Assumptions!$B$5)^E69)</f>
        <v/>
      </c>
      <c r="G69" s="15">
        <f>IF(A69="","",MIN(Assumptions!$B$9,15/26*F69*C69))</f>
        <v/>
      </c>
      <c r="H69" s="16">
        <f>IF(A69="","",(1-Assumptions!$B$6-Assumptions!$B$7)^E69)</f>
        <v/>
      </c>
      <c r="I69" s="15">
        <f>IF(A69="","",G69*H69/(1+Assumptions!$B$4)^E69)</f>
        <v/>
      </c>
      <c r="J69" s="7">
        <f>IF(A69="","",C69&gt;=Assumptions!$B$10)</f>
        <v/>
      </c>
    </row>
    <row r="70">
      <c r="A70" s="12" t="n"/>
      <c r="B70" s="10" t="n"/>
      <c r="C70" s="13" t="n"/>
      <c r="D70" s="11" t="n"/>
      <c r="E70" s="14">
        <f>IF(A70="","",MAX(0,Assumptions!$B$8-B70))</f>
        <v/>
      </c>
      <c r="F70" s="15">
        <f>IF(A70="","",D70*(1+Assumptions!$B$5)^E70)</f>
        <v/>
      </c>
      <c r="G70" s="15">
        <f>IF(A70="","",MIN(Assumptions!$B$9,15/26*F70*C70))</f>
        <v/>
      </c>
      <c r="H70" s="16">
        <f>IF(A70="","",(1-Assumptions!$B$6-Assumptions!$B$7)^E70)</f>
        <v/>
      </c>
      <c r="I70" s="15">
        <f>IF(A70="","",G70*H70/(1+Assumptions!$B$4)^E70)</f>
        <v/>
      </c>
      <c r="J70" s="7">
        <f>IF(A70="","",C70&gt;=Assumptions!$B$10)</f>
        <v/>
      </c>
    </row>
    <row r="71">
      <c r="A71" s="12" t="n"/>
      <c r="B71" s="10" t="n"/>
      <c r="C71" s="13" t="n"/>
      <c r="D71" s="11" t="n"/>
      <c r="E71" s="14">
        <f>IF(A71="","",MAX(0,Assumptions!$B$8-B71))</f>
        <v/>
      </c>
      <c r="F71" s="15">
        <f>IF(A71="","",D71*(1+Assumptions!$B$5)^E71)</f>
        <v/>
      </c>
      <c r="G71" s="15">
        <f>IF(A71="","",MIN(Assumptions!$B$9,15/26*F71*C71))</f>
        <v/>
      </c>
      <c r="H71" s="16">
        <f>IF(A71="","",(1-Assumptions!$B$6-Assumptions!$B$7)^E71)</f>
        <v/>
      </c>
      <c r="I71" s="15">
        <f>IF(A71="","",G71*H71/(1+Assumptions!$B$4)^E71)</f>
        <v/>
      </c>
      <c r="J71" s="7">
        <f>IF(A71="","",C71&gt;=Assumptions!$B$10)</f>
        <v/>
      </c>
    </row>
    <row r="72">
      <c r="A72" s="12" t="n"/>
      <c r="B72" s="10" t="n"/>
      <c r="C72" s="13" t="n"/>
      <c r="D72" s="11" t="n"/>
      <c r="E72" s="14">
        <f>IF(A72="","",MAX(0,Assumptions!$B$8-B72))</f>
        <v/>
      </c>
      <c r="F72" s="15">
        <f>IF(A72="","",D72*(1+Assumptions!$B$5)^E72)</f>
        <v/>
      </c>
      <c r="G72" s="15">
        <f>IF(A72="","",MIN(Assumptions!$B$9,15/26*F72*C72))</f>
        <v/>
      </c>
      <c r="H72" s="16">
        <f>IF(A72="","",(1-Assumptions!$B$6-Assumptions!$B$7)^E72)</f>
        <v/>
      </c>
      <c r="I72" s="15">
        <f>IF(A72="","",G72*H72/(1+Assumptions!$B$4)^E72)</f>
        <v/>
      </c>
      <c r="J72" s="7">
        <f>IF(A72="","",C72&gt;=Assumptions!$B$10)</f>
        <v/>
      </c>
    </row>
    <row r="73">
      <c r="A73" s="12" t="n"/>
      <c r="B73" s="10" t="n"/>
      <c r="C73" s="13" t="n"/>
      <c r="D73" s="11" t="n"/>
      <c r="E73" s="14">
        <f>IF(A73="","",MAX(0,Assumptions!$B$8-B73))</f>
        <v/>
      </c>
      <c r="F73" s="15">
        <f>IF(A73="","",D73*(1+Assumptions!$B$5)^E73)</f>
        <v/>
      </c>
      <c r="G73" s="15">
        <f>IF(A73="","",MIN(Assumptions!$B$9,15/26*F73*C73))</f>
        <v/>
      </c>
      <c r="H73" s="16">
        <f>IF(A73="","",(1-Assumptions!$B$6-Assumptions!$B$7)^E73)</f>
        <v/>
      </c>
      <c r="I73" s="15">
        <f>IF(A73="","",G73*H73/(1+Assumptions!$B$4)^E73)</f>
        <v/>
      </c>
      <c r="J73" s="7">
        <f>IF(A73="","",C73&gt;=Assumptions!$B$10)</f>
        <v/>
      </c>
    </row>
    <row r="74">
      <c r="A74" s="12" t="n"/>
      <c r="B74" s="10" t="n"/>
      <c r="C74" s="13" t="n"/>
      <c r="D74" s="11" t="n"/>
      <c r="E74" s="14">
        <f>IF(A74="","",MAX(0,Assumptions!$B$8-B74))</f>
        <v/>
      </c>
      <c r="F74" s="15">
        <f>IF(A74="","",D74*(1+Assumptions!$B$5)^E74)</f>
        <v/>
      </c>
      <c r="G74" s="15">
        <f>IF(A74="","",MIN(Assumptions!$B$9,15/26*F74*C74))</f>
        <v/>
      </c>
      <c r="H74" s="16">
        <f>IF(A74="","",(1-Assumptions!$B$6-Assumptions!$B$7)^E74)</f>
        <v/>
      </c>
      <c r="I74" s="15">
        <f>IF(A74="","",G74*H74/(1+Assumptions!$B$4)^E74)</f>
        <v/>
      </c>
      <c r="J74" s="7">
        <f>IF(A74="","",C74&gt;=Assumptions!$B$10)</f>
        <v/>
      </c>
    </row>
    <row r="75">
      <c r="A75" s="12" t="n"/>
      <c r="B75" s="10" t="n"/>
      <c r="C75" s="13" t="n"/>
      <c r="D75" s="11" t="n"/>
      <c r="E75" s="14">
        <f>IF(A75="","",MAX(0,Assumptions!$B$8-B75))</f>
        <v/>
      </c>
      <c r="F75" s="15">
        <f>IF(A75="","",D75*(1+Assumptions!$B$5)^E75)</f>
        <v/>
      </c>
      <c r="G75" s="15">
        <f>IF(A75="","",MIN(Assumptions!$B$9,15/26*F75*C75))</f>
        <v/>
      </c>
      <c r="H75" s="16">
        <f>IF(A75="","",(1-Assumptions!$B$6-Assumptions!$B$7)^E75)</f>
        <v/>
      </c>
      <c r="I75" s="15">
        <f>IF(A75="","",G75*H75/(1+Assumptions!$B$4)^E75)</f>
        <v/>
      </c>
      <c r="J75" s="7">
        <f>IF(A75="","",C75&gt;=Assumptions!$B$10)</f>
        <v/>
      </c>
    </row>
    <row r="76">
      <c r="A76" s="12" t="n"/>
      <c r="B76" s="10" t="n"/>
      <c r="C76" s="13" t="n"/>
      <c r="D76" s="11" t="n"/>
      <c r="E76" s="14">
        <f>IF(A76="","",MAX(0,Assumptions!$B$8-B76))</f>
        <v/>
      </c>
      <c r="F76" s="15">
        <f>IF(A76="","",D76*(1+Assumptions!$B$5)^E76)</f>
        <v/>
      </c>
      <c r="G76" s="15">
        <f>IF(A76="","",MIN(Assumptions!$B$9,15/26*F76*C76))</f>
        <v/>
      </c>
      <c r="H76" s="16">
        <f>IF(A76="","",(1-Assumptions!$B$6-Assumptions!$B$7)^E76)</f>
        <v/>
      </c>
      <c r="I76" s="15">
        <f>IF(A76="","",G76*H76/(1+Assumptions!$B$4)^E76)</f>
        <v/>
      </c>
      <c r="J76" s="7">
        <f>IF(A76="","",C76&gt;=Assumptions!$B$10)</f>
        <v/>
      </c>
    </row>
    <row r="77">
      <c r="A77" s="12" t="n"/>
      <c r="B77" s="10" t="n"/>
      <c r="C77" s="13" t="n"/>
      <c r="D77" s="11" t="n"/>
      <c r="E77" s="14">
        <f>IF(A77="","",MAX(0,Assumptions!$B$8-B77))</f>
        <v/>
      </c>
      <c r="F77" s="15">
        <f>IF(A77="","",D77*(1+Assumptions!$B$5)^E77)</f>
        <v/>
      </c>
      <c r="G77" s="15">
        <f>IF(A77="","",MIN(Assumptions!$B$9,15/26*F77*C77))</f>
        <v/>
      </c>
      <c r="H77" s="16">
        <f>IF(A77="","",(1-Assumptions!$B$6-Assumptions!$B$7)^E77)</f>
        <v/>
      </c>
      <c r="I77" s="15">
        <f>IF(A77="","",G77*H77/(1+Assumptions!$B$4)^E77)</f>
        <v/>
      </c>
      <c r="J77" s="7">
        <f>IF(A77="","",C77&gt;=Assumptions!$B$10)</f>
        <v/>
      </c>
    </row>
    <row r="78">
      <c r="A78" s="12" t="n"/>
      <c r="B78" s="10" t="n"/>
      <c r="C78" s="13" t="n"/>
      <c r="D78" s="11" t="n"/>
      <c r="E78" s="14">
        <f>IF(A78="","",MAX(0,Assumptions!$B$8-B78))</f>
        <v/>
      </c>
      <c r="F78" s="15">
        <f>IF(A78="","",D78*(1+Assumptions!$B$5)^E78)</f>
        <v/>
      </c>
      <c r="G78" s="15">
        <f>IF(A78="","",MIN(Assumptions!$B$9,15/26*F78*C78))</f>
        <v/>
      </c>
      <c r="H78" s="16">
        <f>IF(A78="","",(1-Assumptions!$B$6-Assumptions!$B$7)^E78)</f>
        <v/>
      </c>
      <c r="I78" s="15">
        <f>IF(A78="","",G78*H78/(1+Assumptions!$B$4)^E78)</f>
        <v/>
      </c>
      <c r="J78" s="7">
        <f>IF(A78="","",C78&gt;=Assumptions!$B$10)</f>
        <v/>
      </c>
    </row>
    <row r="79">
      <c r="A79" s="12" t="n"/>
      <c r="B79" s="10" t="n"/>
      <c r="C79" s="13" t="n"/>
      <c r="D79" s="11" t="n"/>
      <c r="E79" s="14">
        <f>IF(A79="","",MAX(0,Assumptions!$B$8-B79))</f>
        <v/>
      </c>
      <c r="F79" s="15">
        <f>IF(A79="","",D79*(1+Assumptions!$B$5)^E79)</f>
        <v/>
      </c>
      <c r="G79" s="15">
        <f>IF(A79="","",MIN(Assumptions!$B$9,15/26*F79*C79))</f>
        <v/>
      </c>
      <c r="H79" s="16">
        <f>IF(A79="","",(1-Assumptions!$B$6-Assumptions!$B$7)^E79)</f>
        <v/>
      </c>
      <c r="I79" s="15">
        <f>IF(A79="","",G79*H79/(1+Assumptions!$B$4)^E79)</f>
        <v/>
      </c>
      <c r="J79" s="7">
        <f>IF(A79="","",C79&gt;=Assumptions!$B$10)</f>
        <v/>
      </c>
    </row>
    <row r="80">
      <c r="A80" s="12" t="n"/>
      <c r="B80" s="10" t="n"/>
      <c r="C80" s="13" t="n"/>
      <c r="D80" s="11" t="n"/>
      <c r="E80" s="14">
        <f>IF(A80="","",MAX(0,Assumptions!$B$8-B80))</f>
        <v/>
      </c>
      <c r="F80" s="15">
        <f>IF(A80="","",D80*(1+Assumptions!$B$5)^E80)</f>
        <v/>
      </c>
      <c r="G80" s="15">
        <f>IF(A80="","",MIN(Assumptions!$B$9,15/26*F80*C80))</f>
        <v/>
      </c>
      <c r="H80" s="16">
        <f>IF(A80="","",(1-Assumptions!$B$6-Assumptions!$B$7)^E80)</f>
        <v/>
      </c>
      <c r="I80" s="15">
        <f>IF(A80="","",G80*H80/(1+Assumptions!$B$4)^E80)</f>
        <v/>
      </c>
      <c r="J80" s="7">
        <f>IF(A80="","",C80&gt;=Assumptions!$B$10)</f>
        <v/>
      </c>
    </row>
    <row r="81">
      <c r="A81" s="12" t="n"/>
      <c r="B81" s="10" t="n"/>
      <c r="C81" s="13" t="n"/>
      <c r="D81" s="11" t="n"/>
      <c r="E81" s="14">
        <f>IF(A81="","",MAX(0,Assumptions!$B$8-B81))</f>
        <v/>
      </c>
      <c r="F81" s="15">
        <f>IF(A81="","",D81*(1+Assumptions!$B$5)^E81)</f>
        <v/>
      </c>
      <c r="G81" s="15">
        <f>IF(A81="","",MIN(Assumptions!$B$9,15/26*F81*C81))</f>
        <v/>
      </c>
      <c r="H81" s="16">
        <f>IF(A81="","",(1-Assumptions!$B$6-Assumptions!$B$7)^E81)</f>
        <v/>
      </c>
      <c r="I81" s="15">
        <f>IF(A81="","",G81*H81/(1+Assumptions!$B$4)^E81)</f>
        <v/>
      </c>
      <c r="J81" s="7">
        <f>IF(A81="","",C81&gt;=Assumptions!$B$10)</f>
        <v/>
      </c>
    </row>
    <row r="82">
      <c r="A82" s="12" t="n"/>
      <c r="B82" s="10" t="n"/>
      <c r="C82" s="13" t="n"/>
      <c r="D82" s="11" t="n"/>
      <c r="E82" s="14">
        <f>IF(A82="","",MAX(0,Assumptions!$B$8-B82))</f>
        <v/>
      </c>
      <c r="F82" s="15">
        <f>IF(A82="","",D82*(1+Assumptions!$B$5)^E82)</f>
        <v/>
      </c>
      <c r="G82" s="15">
        <f>IF(A82="","",MIN(Assumptions!$B$9,15/26*F82*C82))</f>
        <v/>
      </c>
      <c r="H82" s="16">
        <f>IF(A82="","",(1-Assumptions!$B$6-Assumptions!$B$7)^E82)</f>
        <v/>
      </c>
      <c r="I82" s="15">
        <f>IF(A82="","",G82*H82/(1+Assumptions!$B$4)^E82)</f>
        <v/>
      </c>
      <c r="J82" s="7">
        <f>IF(A82="","",C82&gt;=Assumptions!$B$10)</f>
        <v/>
      </c>
    </row>
    <row r="83">
      <c r="A83" s="12" t="n"/>
      <c r="B83" s="10" t="n"/>
      <c r="C83" s="13" t="n"/>
      <c r="D83" s="11" t="n"/>
      <c r="E83" s="14">
        <f>IF(A83="","",MAX(0,Assumptions!$B$8-B83))</f>
        <v/>
      </c>
      <c r="F83" s="15">
        <f>IF(A83="","",D83*(1+Assumptions!$B$5)^E83)</f>
        <v/>
      </c>
      <c r="G83" s="15">
        <f>IF(A83="","",MIN(Assumptions!$B$9,15/26*F83*C83))</f>
        <v/>
      </c>
      <c r="H83" s="16">
        <f>IF(A83="","",(1-Assumptions!$B$6-Assumptions!$B$7)^E83)</f>
        <v/>
      </c>
      <c r="I83" s="15">
        <f>IF(A83="","",G83*H83/(1+Assumptions!$B$4)^E83)</f>
        <v/>
      </c>
      <c r="J83" s="7">
        <f>IF(A83="","",C83&gt;=Assumptions!$B$10)</f>
        <v/>
      </c>
    </row>
    <row r="84">
      <c r="A84" s="12" t="n"/>
      <c r="B84" s="10" t="n"/>
      <c r="C84" s="13" t="n"/>
      <c r="D84" s="11" t="n"/>
      <c r="E84" s="14">
        <f>IF(A84="","",MAX(0,Assumptions!$B$8-B84))</f>
        <v/>
      </c>
      <c r="F84" s="15">
        <f>IF(A84="","",D84*(1+Assumptions!$B$5)^E84)</f>
        <v/>
      </c>
      <c r="G84" s="15">
        <f>IF(A84="","",MIN(Assumptions!$B$9,15/26*F84*C84))</f>
        <v/>
      </c>
      <c r="H84" s="16">
        <f>IF(A84="","",(1-Assumptions!$B$6-Assumptions!$B$7)^E84)</f>
        <v/>
      </c>
      <c r="I84" s="15">
        <f>IF(A84="","",G84*H84/(1+Assumptions!$B$4)^E84)</f>
        <v/>
      </c>
      <c r="J84" s="7">
        <f>IF(A84="","",C84&gt;=Assumptions!$B$10)</f>
        <v/>
      </c>
    </row>
    <row r="85">
      <c r="A85" s="12" t="n"/>
      <c r="B85" s="10" t="n"/>
      <c r="C85" s="13" t="n"/>
      <c r="D85" s="11" t="n"/>
      <c r="E85" s="14">
        <f>IF(A85="","",MAX(0,Assumptions!$B$8-B85))</f>
        <v/>
      </c>
      <c r="F85" s="15">
        <f>IF(A85="","",D85*(1+Assumptions!$B$5)^E85)</f>
        <v/>
      </c>
      <c r="G85" s="15">
        <f>IF(A85="","",MIN(Assumptions!$B$9,15/26*F85*C85))</f>
        <v/>
      </c>
      <c r="H85" s="16">
        <f>IF(A85="","",(1-Assumptions!$B$6-Assumptions!$B$7)^E85)</f>
        <v/>
      </c>
      <c r="I85" s="15">
        <f>IF(A85="","",G85*H85/(1+Assumptions!$B$4)^E85)</f>
        <v/>
      </c>
      <c r="J85" s="7">
        <f>IF(A85="","",C85&gt;=Assumptions!$B$10)</f>
        <v/>
      </c>
    </row>
    <row r="86">
      <c r="A86" s="12" t="n"/>
      <c r="B86" s="10" t="n"/>
      <c r="C86" s="13" t="n"/>
      <c r="D86" s="11" t="n"/>
      <c r="E86" s="14">
        <f>IF(A86="","",MAX(0,Assumptions!$B$8-B86))</f>
        <v/>
      </c>
      <c r="F86" s="15">
        <f>IF(A86="","",D86*(1+Assumptions!$B$5)^E86)</f>
        <v/>
      </c>
      <c r="G86" s="15">
        <f>IF(A86="","",MIN(Assumptions!$B$9,15/26*F86*C86))</f>
        <v/>
      </c>
      <c r="H86" s="16">
        <f>IF(A86="","",(1-Assumptions!$B$6-Assumptions!$B$7)^E86)</f>
        <v/>
      </c>
      <c r="I86" s="15">
        <f>IF(A86="","",G86*H86/(1+Assumptions!$B$4)^E86)</f>
        <v/>
      </c>
      <c r="J86" s="7">
        <f>IF(A86="","",C86&gt;=Assumptions!$B$10)</f>
        <v/>
      </c>
    </row>
    <row r="87">
      <c r="A87" s="12" t="n"/>
      <c r="B87" s="10" t="n"/>
      <c r="C87" s="13" t="n"/>
      <c r="D87" s="11" t="n"/>
      <c r="E87" s="14">
        <f>IF(A87="","",MAX(0,Assumptions!$B$8-B87))</f>
        <v/>
      </c>
      <c r="F87" s="15">
        <f>IF(A87="","",D87*(1+Assumptions!$B$5)^E87)</f>
        <v/>
      </c>
      <c r="G87" s="15">
        <f>IF(A87="","",MIN(Assumptions!$B$9,15/26*F87*C87))</f>
        <v/>
      </c>
      <c r="H87" s="16">
        <f>IF(A87="","",(1-Assumptions!$B$6-Assumptions!$B$7)^E87)</f>
        <v/>
      </c>
      <c r="I87" s="15">
        <f>IF(A87="","",G87*H87/(1+Assumptions!$B$4)^E87)</f>
        <v/>
      </c>
      <c r="J87" s="7">
        <f>IF(A87="","",C87&gt;=Assumptions!$B$10)</f>
        <v/>
      </c>
    </row>
    <row r="88">
      <c r="A88" s="12" t="n"/>
      <c r="B88" s="10" t="n"/>
      <c r="C88" s="13" t="n"/>
      <c r="D88" s="11" t="n"/>
      <c r="E88" s="14">
        <f>IF(A88="","",MAX(0,Assumptions!$B$8-B88))</f>
        <v/>
      </c>
      <c r="F88" s="15">
        <f>IF(A88="","",D88*(1+Assumptions!$B$5)^E88)</f>
        <v/>
      </c>
      <c r="G88" s="15">
        <f>IF(A88="","",MIN(Assumptions!$B$9,15/26*F88*C88))</f>
        <v/>
      </c>
      <c r="H88" s="16">
        <f>IF(A88="","",(1-Assumptions!$B$6-Assumptions!$B$7)^E88)</f>
        <v/>
      </c>
      <c r="I88" s="15">
        <f>IF(A88="","",G88*H88/(1+Assumptions!$B$4)^E88)</f>
        <v/>
      </c>
      <c r="J88" s="7">
        <f>IF(A88="","",C88&gt;=Assumptions!$B$10)</f>
        <v/>
      </c>
    </row>
    <row r="89">
      <c r="A89" s="12" t="n"/>
      <c r="B89" s="10" t="n"/>
      <c r="C89" s="13" t="n"/>
      <c r="D89" s="11" t="n"/>
      <c r="E89" s="14">
        <f>IF(A89="","",MAX(0,Assumptions!$B$8-B89))</f>
        <v/>
      </c>
      <c r="F89" s="15">
        <f>IF(A89="","",D89*(1+Assumptions!$B$5)^E89)</f>
        <v/>
      </c>
      <c r="G89" s="15">
        <f>IF(A89="","",MIN(Assumptions!$B$9,15/26*F89*C89))</f>
        <v/>
      </c>
      <c r="H89" s="16">
        <f>IF(A89="","",(1-Assumptions!$B$6-Assumptions!$B$7)^E89)</f>
        <v/>
      </c>
      <c r="I89" s="15">
        <f>IF(A89="","",G89*H89/(1+Assumptions!$B$4)^E89)</f>
        <v/>
      </c>
      <c r="J89" s="7">
        <f>IF(A89="","",C89&gt;=Assumptions!$B$10)</f>
        <v/>
      </c>
    </row>
    <row r="90">
      <c r="A90" s="12" t="n"/>
      <c r="B90" s="10" t="n"/>
      <c r="C90" s="13" t="n"/>
      <c r="D90" s="11" t="n"/>
      <c r="E90" s="14">
        <f>IF(A90="","",MAX(0,Assumptions!$B$8-B90))</f>
        <v/>
      </c>
      <c r="F90" s="15">
        <f>IF(A90="","",D90*(1+Assumptions!$B$5)^E90)</f>
        <v/>
      </c>
      <c r="G90" s="15">
        <f>IF(A90="","",MIN(Assumptions!$B$9,15/26*F90*C90))</f>
        <v/>
      </c>
      <c r="H90" s="16">
        <f>IF(A90="","",(1-Assumptions!$B$6-Assumptions!$B$7)^E90)</f>
        <v/>
      </c>
      <c r="I90" s="15">
        <f>IF(A90="","",G90*H90/(1+Assumptions!$B$4)^E90)</f>
        <v/>
      </c>
      <c r="J90" s="7">
        <f>IF(A90="","",C90&gt;=Assumptions!$B$10)</f>
        <v/>
      </c>
    </row>
    <row r="91">
      <c r="A91" s="12" t="n"/>
      <c r="B91" s="10" t="n"/>
      <c r="C91" s="13" t="n"/>
      <c r="D91" s="11" t="n"/>
      <c r="E91" s="14">
        <f>IF(A91="","",MAX(0,Assumptions!$B$8-B91))</f>
        <v/>
      </c>
      <c r="F91" s="15">
        <f>IF(A91="","",D91*(1+Assumptions!$B$5)^E91)</f>
        <v/>
      </c>
      <c r="G91" s="15">
        <f>IF(A91="","",MIN(Assumptions!$B$9,15/26*F91*C91))</f>
        <v/>
      </c>
      <c r="H91" s="16">
        <f>IF(A91="","",(1-Assumptions!$B$6-Assumptions!$B$7)^E91)</f>
        <v/>
      </c>
      <c r="I91" s="15">
        <f>IF(A91="","",G91*H91/(1+Assumptions!$B$4)^E91)</f>
        <v/>
      </c>
      <c r="J91" s="7">
        <f>IF(A91="","",C91&gt;=Assumptions!$B$10)</f>
        <v/>
      </c>
    </row>
    <row r="92">
      <c r="A92" s="12" t="n"/>
      <c r="B92" s="10" t="n"/>
      <c r="C92" s="13" t="n"/>
      <c r="D92" s="11" t="n"/>
      <c r="E92" s="14">
        <f>IF(A92="","",MAX(0,Assumptions!$B$8-B92))</f>
        <v/>
      </c>
      <c r="F92" s="15">
        <f>IF(A92="","",D92*(1+Assumptions!$B$5)^E92)</f>
        <v/>
      </c>
      <c r="G92" s="15">
        <f>IF(A92="","",MIN(Assumptions!$B$9,15/26*F92*C92))</f>
        <v/>
      </c>
      <c r="H92" s="16">
        <f>IF(A92="","",(1-Assumptions!$B$6-Assumptions!$B$7)^E92)</f>
        <v/>
      </c>
      <c r="I92" s="15">
        <f>IF(A92="","",G92*H92/(1+Assumptions!$B$4)^E92)</f>
        <v/>
      </c>
      <c r="J92" s="7">
        <f>IF(A92="","",C92&gt;=Assumptions!$B$10)</f>
        <v/>
      </c>
    </row>
    <row r="93">
      <c r="A93" s="12" t="n"/>
      <c r="B93" s="10" t="n"/>
      <c r="C93" s="13" t="n"/>
      <c r="D93" s="11" t="n"/>
      <c r="E93" s="14">
        <f>IF(A93="","",MAX(0,Assumptions!$B$8-B93))</f>
        <v/>
      </c>
      <c r="F93" s="15">
        <f>IF(A93="","",D93*(1+Assumptions!$B$5)^E93)</f>
        <v/>
      </c>
      <c r="G93" s="15">
        <f>IF(A93="","",MIN(Assumptions!$B$9,15/26*F93*C93))</f>
        <v/>
      </c>
      <c r="H93" s="16">
        <f>IF(A93="","",(1-Assumptions!$B$6-Assumptions!$B$7)^E93)</f>
        <v/>
      </c>
      <c r="I93" s="15">
        <f>IF(A93="","",G93*H93/(1+Assumptions!$B$4)^E93)</f>
        <v/>
      </c>
      <c r="J93" s="7">
        <f>IF(A93="","",C93&gt;=Assumptions!$B$10)</f>
        <v/>
      </c>
    </row>
    <row r="94">
      <c r="A94" s="12" t="n"/>
      <c r="B94" s="10" t="n"/>
      <c r="C94" s="13" t="n"/>
      <c r="D94" s="11" t="n"/>
      <c r="E94" s="14">
        <f>IF(A94="","",MAX(0,Assumptions!$B$8-B94))</f>
        <v/>
      </c>
      <c r="F94" s="15">
        <f>IF(A94="","",D94*(1+Assumptions!$B$5)^E94)</f>
        <v/>
      </c>
      <c r="G94" s="15">
        <f>IF(A94="","",MIN(Assumptions!$B$9,15/26*F94*C94))</f>
        <v/>
      </c>
      <c r="H94" s="16">
        <f>IF(A94="","",(1-Assumptions!$B$6-Assumptions!$B$7)^E94)</f>
        <v/>
      </c>
      <c r="I94" s="15">
        <f>IF(A94="","",G94*H94/(1+Assumptions!$B$4)^E94)</f>
        <v/>
      </c>
      <c r="J94" s="7">
        <f>IF(A94="","",C94&gt;=Assumptions!$B$10)</f>
        <v/>
      </c>
    </row>
    <row r="95">
      <c r="A95" s="12" t="n"/>
      <c r="B95" s="10" t="n"/>
      <c r="C95" s="13" t="n"/>
      <c r="D95" s="11" t="n"/>
      <c r="E95" s="14">
        <f>IF(A95="","",MAX(0,Assumptions!$B$8-B95))</f>
        <v/>
      </c>
      <c r="F95" s="15">
        <f>IF(A95="","",D95*(1+Assumptions!$B$5)^E95)</f>
        <v/>
      </c>
      <c r="G95" s="15">
        <f>IF(A95="","",MIN(Assumptions!$B$9,15/26*F95*C95))</f>
        <v/>
      </c>
      <c r="H95" s="16">
        <f>IF(A95="","",(1-Assumptions!$B$6-Assumptions!$B$7)^E95)</f>
        <v/>
      </c>
      <c r="I95" s="15">
        <f>IF(A95="","",G95*H95/(1+Assumptions!$B$4)^E95)</f>
        <v/>
      </c>
      <c r="J95" s="7">
        <f>IF(A95="","",C95&gt;=Assumptions!$B$10)</f>
        <v/>
      </c>
    </row>
    <row r="96">
      <c r="A96" s="12" t="n"/>
      <c r="B96" s="10" t="n"/>
      <c r="C96" s="13" t="n"/>
      <c r="D96" s="11" t="n"/>
      <c r="E96" s="14">
        <f>IF(A96="","",MAX(0,Assumptions!$B$8-B96))</f>
        <v/>
      </c>
      <c r="F96" s="15">
        <f>IF(A96="","",D96*(1+Assumptions!$B$5)^E96)</f>
        <v/>
      </c>
      <c r="G96" s="15">
        <f>IF(A96="","",MIN(Assumptions!$B$9,15/26*F96*C96))</f>
        <v/>
      </c>
      <c r="H96" s="16">
        <f>IF(A96="","",(1-Assumptions!$B$6-Assumptions!$B$7)^E96)</f>
        <v/>
      </c>
      <c r="I96" s="15">
        <f>IF(A96="","",G96*H96/(1+Assumptions!$B$4)^E96)</f>
        <v/>
      </c>
      <c r="J96" s="7">
        <f>IF(A96="","",C96&gt;=Assumptions!$B$10)</f>
        <v/>
      </c>
    </row>
    <row r="97">
      <c r="A97" s="12" t="n"/>
      <c r="B97" s="10" t="n"/>
      <c r="C97" s="13" t="n"/>
      <c r="D97" s="11" t="n"/>
      <c r="E97" s="14">
        <f>IF(A97="","",MAX(0,Assumptions!$B$8-B97))</f>
        <v/>
      </c>
      <c r="F97" s="15">
        <f>IF(A97="","",D97*(1+Assumptions!$B$5)^E97)</f>
        <v/>
      </c>
      <c r="G97" s="15">
        <f>IF(A97="","",MIN(Assumptions!$B$9,15/26*F97*C97))</f>
        <v/>
      </c>
      <c r="H97" s="16">
        <f>IF(A97="","",(1-Assumptions!$B$6-Assumptions!$B$7)^E97)</f>
        <v/>
      </c>
      <c r="I97" s="15">
        <f>IF(A97="","",G97*H97/(1+Assumptions!$B$4)^E97)</f>
        <v/>
      </c>
      <c r="J97" s="7">
        <f>IF(A97="","",C97&gt;=Assumptions!$B$10)</f>
        <v/>
      </c>
    </row>
    <row r="98">
      <c r="A98" s="12" t="n"/>
      <c r="B98" s="10" t="n"/>
      <c r="C98" s="13" t="n"/>
      <c r="D98" s="11" t="n"/>
      <c r="E98" s="14">
        <f>IF(A98="","",MAX(0,Assumptions!$B$8-B98))</f>
        <v/>
      </c>
      <c r="F98" s="15">
        <f>IF(A98="","",D98*(1+Assumptions!$B$5)^E98)</f>
        <v/>
      </c>
      <c r="G98" s="15">
        <f>IF(A98="","",MIN(Assumptions!$B$9,15/26*F98*C98))</f>
        <v/>
      </c>
      <c r="H98" s="16">
        <f>IF(A98="","",(1-Assumptions!$B$6-Assumptions!$B$7)^E98)</f>
        <v/>
      </c>
      <c r="I98" s="15">
        <f>IF(A98="","",G98*H98/(1+Assumptions!$B$4)^E98)</f>
        <v/>
      </c>
      <c r="J98" s="7">
        <f>IF(A98="","",C98&gt;=Assumptions!$B$10)</f>
        <v/>
      </c>
    </row>
    <row r="99">
      <c r="A99" s="12" t="n"/>
      <c r="B99" s="10" t="n"/>
      <c r="C99" s="13" t="n"/>
      <c r="D99" s="11" t="n"/>
      <c r="E99" s="14">
        <f>IF(A99="","",MAX(0,Assumptions!$B$8-B99))</f>
        <v/>
      </c>
      <c r="F99" s="15">
        <f>IF(A99="","",D99*(1+Assumptions!$B$5)^E99)</f>
        <v/>
      </c>
      <c r="G99" s="15">
        <f>IF(A99="","",MIN(Assumptions!$B$9,15/26*F99*C99))</f>
        <v/>
      </c>
      <c r="H99" s="16">
        <f>IF(A99="","",(1-Assumptions!$B$6-Assumptions!$B$7)^E99)</f>
        <v/>
      </c>
      <c r="I99" s="15">
        <f>IF(A99="","",G99*H99/(1+Assumptions!$B$4)^E99)</f>
        <v/>
      </c>
      <c r="J99" s="7">
        <f>IF(A99="","",C99&gt;=Assumptions!$B$10)</f>
        <v/>
      </c>
    </row>
    <row r="100">
      <c r="A100" s="12" t="n"/>
      <c r="B100" s="10" t="n"/>
      <c r="C100" s="13" t="n"/>
      <c r="D100" s="11" t="n"/>
      <c r="E100" s="14">
        <f>IF(A100="","",MAX(0,Assumptions!$B$8-B100))</f>
        <v/>
      </c>
      <c r="F100" s="15">
        <f>IF(A100="","",D100*(1+Assumptions!$B$5)^E100)</f>
        <v/>
      </c>
      <c r="G100" s="15">
        <f>IF(A100="","",MIN(Assumptions!$B$9,15/26*F100*C100))</f>
        <v/>
      </c>
      <c r="H100" s="16">
        <f>IF(A100="","",(1-Assumptions!$B$6-Assumptions!$B$7)^E100)</f>
        <v/>
      </c>
      <c r="I100" s="15">
        <f>IF(A100="","",G100*H100/(1+Assumptions!$B$4)^E100)</f>
        <v/>
      </c>
      <c r="J100" s="7">
        <f>IF(A100="","",C100&gt;=Assumptions!$B$10)</f>
        <v/>
      </c>
    </row>
    <row r="101">
      <c r="A101" s="12" t="n"/>
      <c r="B101" s="10" t="n"/>
      <c r="C101" s="13" t="n"/>
      <c r="D101" s="11" t="n"/>
      <c r="E101" s="14">
        <f>IF(A101="","",MAX(0,Assumptions!$B$8-B101))</f>
        <v/>
      </c>
      <c r="F101" s="15">
        <f>IF(A101="","",D101*(1+Assumptions!$B$5)^E101)</f>
        <v/>
      </c>
      <c r="G101" s="15">
        <f>IF(A101="","",MIN(Assumptions!$B$9,15/26*F101*C101))</f>
        <v/>
      </c>
      <c r="H101" s="16">
        <f>IF(A101="","",(1-Assumptions!$B$6-Assumptions!$B$7)^E101)</f>
        <v/>
      </c>
      <c r="I101" s="15">
        <f>IF(A101="","",G101*H101/(1+Assumptions!$B$4)^E101)</f>
        <v/>
      </c>
      <c r="J101" s="7">
        <f>IF(A101="","",C101&gt;=Assumptions!$B$10)</f>
        <v/>
      </c>
    </row>
    <row r="102">
      <c r="A102" s="12" t="n"/>
      <c r="B102" s="10" t="n"/>
      <c r="C102" s="13" t="n"/>
      <c r="D102" s="11" t="n"/>
      <c r="E102" s="14">
        <f>IF(A102="","",MAX(0,Assumptions!$B$8-B102))</f>
        <v/>
      </c>
      <c r="F102" s="15">
        <f>IF(A102="","",D102*(1+Assumptions!$B$5)^E102)</f>
        <v/>
      </c>
      <c r="G102" s="15">
        <f>IF(A102="","",MIN(Assumptions!$B$9,15/26*F102*C102))</f>
        <v/>
      </c>
      <c r="H102" s="16">
        <f>IF(A102="","",(1-Assumptions!$B$6-Assumptions!$B$7)^E102)</f>
        <v/>
      </c>
      <c r="I102" s="15">
        <f>IF(A102="","",G102*H102/(1+Assumptions!$B$4)^E102)</f>
        <v/>
      </c>
      <c r="J102" s="7">
        <f>IF(A102="","",C102&gt;=Assumptions!$B$10)</f>
        <v/>
      </c>
    </row>
    <row r="103">
      <c r="A103" s="12" t="n"/>
      <c r="B103" s="10" t="n"/>
      <c r="C103" s="13" t="n"/>
      <c r="D103" s="11" t="n"/>
      <c r="E103" s="14">
        <f>IF(A103="","",MAX(0,Assumptions!$B$8-B103))</f>
        <v/>
      </c>
      <c r="F103" s="15">
        <f>IF(A103="","",D103*(1+Assumptions!$B$5)^E103)</f>
        <v/>
      </c>
      <c r="G103" s="15">
        <f>IF(A103="","",MIN(Assumptions!$B$9,15/26*F103*C103))</f>
        <v/>
      </c>
      <c r="H103" s="16">
        <f>IF(A103="","",(1-Assumptions!$B$6-Assumptions!$B$7)^E103)</f>
        <v/>
      </c>
      <c r="I103" s="15">
        <f>IF(A103="","",G103*H103/(1+Assumptions!$B$4)^E103)</f>
        <v/>
      </c>
      <c r="J103" s="7">
        <f>IF(A103="","",C103&gt;=Assumptions!$B$10)</f>
        <v/>
      </c>
    </row>
    <row r="104">
      <c r="A104" s="12" t="n"/>
      <c r="B104" s="10" t="n"/>
      <c r="C104" s="13" t="n"/>
      <c r="D104" s="11" t="n"/>
      <c r="E104" s="14">
        <f>IF(A104="","",MAX(0,Assumptions!$B$8-B104))</f>
        <v/>
      </c>
      <c r="F104" s="15">
        <f>IF(A104="","",D104*(1+Assumptions!$B$5)^E104)</f>
        <v/>
      </c>
      <c r="G104" s="15">
        <f>IF(A104="","",MIN(Assumptions!$B$9,15/26*F104*C104))</f>
        <v/>
      </c>
      <c r="H104" s="16">
        <f>IF(A104="","",(1-Assumptions!$B$6-Assumptions!$B$7)^E104)</f>
        <v/>
      </c>
      <c r="I104" s="15">
        <f>IF(A104="","",G104*H104/(1+Assumptions!$B$4)^E104)</f>
        <v/>
      </c>
      <c r="J104" s="7">
        <f>IF(A104="","",C104&gt;=Assumptions!$B$10)</f>
        <v/>
      </c>
    </row>
    <row r="105">
      <c r="A105" s="12" t="n"/>
      <c r="B105" s="10" t="n"/>
      <c r="C105" s="13" t="n"/>
      <c r="D105" s="11" t="n"/>
      <c r="E105" s="14">
        <f>IF(A105="","",MAX(0,Assumptions!$B$8-B105))</f>
        <v/>
      </c>
      <c r="F105" s="15">
        <f>IF(A105="","",D105*(1+Assumptions!$B$5)^E105)</f>
        <v/>
      </c>
      <c r="G105" s="15">
        <f>IF(A105="","",MIN(Assumptions!$B$9,15/26*F105*C105))</f>
        <v/>
      </c>
      <c r="H105" s="16">
        <f>IF(A105="","",(1-Assumptions!$B$6-Assumptions!$B$7)^E105)</f>
        <v/>
      </c>
      <c r="I105" s="15">
        <f>IF(A105="","",G105*H105/(1+Assumptions!$B$4)^E105)</f>
        <v/>
      </c>
      <c r="J105" s="7">
        <f>IF(A105="","",C105&gt;=Assumptions!$B$10)</f>
        <v/>
      </c>
    </row>
    <row r="106">
      <c r="A106" s="12" t="n"/>
      <c r="B106" s="10" t="n"/>
      <c r="C106" s="13" t="n"/>
      <c r="D106" s="11" t="n"/>
      <c r="E106" s="14">
        <f>IF(A106="","",MAX(0,Assumptions!$B$8-B106))</f>
        <v/>
      </c>
      <c r="F106" s="15">
        <f>IF(A106="","",D106*(1+Assumptions!$B$5)^E106)</f>
        <v/>
      </c>
      <c r="G106" s="15">
        <f>IF(A106="","",MIN(Assumptions!$B$9,15/26*F106*C106))</f>
        <v/>
      </c>
      <c r="H106" s="16">
        <f>IF(A106="","",(1-Assumptions!$B$6-Assumptions!$B$7)^E106)</f>
        <v/>
      </c>
      <c r="I106" s="15">
        <f>IF(A106="","",G106*H106/(1+Assumptions!$B$4)^E106)</f>
        <v/>
      </c>
      <c r="J106" s="7">
        <f>IF(A106="","",C106&gt;=Assumptions!$B$10)</f>
        <v/>
      </c>
    </row>
    <row r="107">
      <c r="A107" s="12" t="n"/>
      <c r="B107" s="10" t="n"/>
      <c r="C107" s="13" t="n"/>
      <c r="D107" s="11" t="n"/>
      <c r="E107" s="14">
        <f>IF(A107="","",MAX(0,Assumptions!$B$8-B107))</f>
        <v/>
      </c>
      <c r="F107" s="15">
        <f>IF(A107="","",D107*(1+Assumptions!$B$5)^E107)</f>
        <v/>
      </c>
      <c r="G107" s="15">
        <f>IF(A107="","",MIN(Assumptions!$B$9,15/26*F107*C107))</f>
        <v/>
      </c>
      <c r="H107" s="16">
        <f>IF(A107="","",(1-Assumptions!$B$6-Assumptions!$B$7)^E107)</f>
        <v/>
      </c>
      <c r="I107" s="15">
        <f>IF(A107="","",G107*H107/(1+Assumptions!$B$4)^E107)</f>
        <v/>
      </c>
      <c r="J107" s="7">
        <f>IF(A107="","",C107&gt;=Assumptions!$B$10)</f>
        <v/>
      </c>
    </row>
    <row r="108">
      <c r="A108" s="12" t="n"/>
      <c r="B108" s="10" t="n"/>
      <c r="C108" s="13" t="n"/>
      <c r="D108" s="11" t="n"/>
      <c r="E108" s="14">
        <f>IF(A108="","",MAX(0,Assumptions!$B$8-B108))</f>
        <v/>
      </c>
      <c r="F108" s="15">
        <f>IF(A108="","",D108*(1+Assumptions!$B$5)^E108)</f>
        <v/>
      </c>
      <c r="G108" s="15">
        <f>IF(A108="","",MIN(Assumptions!$B$9,15/26*F108*C108))</f>
        <v/>
      </c>
      <c r="H108" s="16">
        <f>IF(A108="","",(1-Assumptions!$B$6-Assumptions!$B$7)^E108)</f>
        <v/>
      </c>
      <c r="I108" s="15">
        <f>IF(A108="","",G108*H108/(1+Assumptions!$B$4)^E108)</f>
        <v/>
      </c>
      <c r="J108" s="7">
        <f>IF(A108="","",C108&gt;=Assumptions!$B$10)</f>
        <v/>
      </c>
    </row>
    <row r="109">
      <c r="A109" s="12" t="n"/>
      <c r="B109" s="10" t="n"/>
      <c r="C109" s="13" t="n"/>
      <c r="D109" s="11" t="n"/>
      <c r="E109" s="14">
        <f>IF(A109="","",MAX(0,Assumptions!$B$8-B109))</f>
        <v/>
      </c>
      <c r="F109" s="15">
        <f>IF(A109="","",D109*(1+Assumptions!$B$5)^E109)</f>
        <v/>
      </c>
      <c r="G109" s="15">
        <f>IF(A109="","",MIN(Assumptions!$B$9,15/26*F109*C109))</f>
        <v/>
      </c>
      <c r="H109" s="16">
        <f>IF(A109="","",(1-Assumptions!$B$6-Assumptions!$B$7)^E109)</f>
        <v/>
      </c>
      <c r="I109" s="15">
        <f>IF(A109="","",G109*H109/(1+Assumptions!$B$4)^E109)</f>
        <v/>
      </c>
      <c r="J109" s="7">
        <f>IF(A109="","",C109&gt;=Assumptions!$B$10)</f>
        <v/>
      </c>
    </row>
    <row r="110">
      <c r="A110" s="12" t="n"/>
      <c r="B110" s="10" t="n"/>
      <c r="C110" s="13" t="n"/>
      <c r="D110" s="11" t="n"/>
      <c r="E110" s="14">
        <f>IF(A110="","",MAX(0,Assumptions!$B$8-B110))</f>
        <v/>
      </c>
      <c r="F110" s="15">
        <f>IF(A110="","",D110*(1+Assumptions!$B$5)^E110)</f>
        <v/>
      </c>
      <c r="G110" s="15">
        <f>IF(A110="","",MIN(Assumptions!$B$9,15/26*F110*C110))</f>
        <v/>
      </c>
      <c r="H110" s="16">
        <f>IF(A110="","",(1-Assumptions!$B$6-Assumptions!$B$7)^E110)</f>
        <v/>
      </c>
      <c r="I110" s="15">
        <f>IF(A110="","",G110*H110/(1+Assumptions!$B$4)^E110)</f>
        <v/>
      </c>
      <c r="J110" s="7">
        <f>IF(A110="","",C110&gt;=Assumptions!$B$10)</f>
        <v/>
      </c>
    </row>
    <row r="111">
      <c r="A111" s="12" t="n"/>
      <c r="B111" s="10" t="n"/>
      <c r="C111" s="13" t="n"/>
      <c r="D111" s="11" t="n"/>
      <c r="E111" s="14">
        <f>IF(A111="","",MAX(0,Assumptions!$B$8-B111))</f>
        <v/>
      </c>
      <c r="F111" s="15">
        <f>IF(A111="","",D111*(1+Assumptions!$B$5)^E111)</f>
        <v/>
      </c>
      <c r="G111" s="15">
        <f>IF(A111="","",MIN(Assumptions!$B$9,15/26*F111*C111))</f>
        <v/>
      </c>
      <c r="H111" s="16">
        <f>IF(A111="","",(1-Assumptions!$B$6-Assumptions!$B$7)^E111)</f>
        <v/>
      </c>
      <c r="I111" s="15">
        <f>IF(A111="","",G111*H111/(1+Assumptions!$B$4)^E111)</f>
        <v/>
      </c>
      <c r="J111" s="7">
        <f>IF(A111="","",C111&gt;=Assumptions!$B$10)</f>
        <v/>
      </c>
    </row>
    <row r="112">
      <c r="A112" s="12" t="n"/>
      <c r="B112" s="10" t="n"/>
      <c r="C112" s="13" t="n"/>
      <c r="D112" s="11" t="n"/>
      <c r="E112" s="14">
        <f>IF(A112="","",MAX(0,Assumptions!$B$8-B112))</f>
        <v/>
      </c>
      <c r="F112" s="15">
        <f>IF(A112="","",D112*(1+Assumptions!$B$5)^E112)</f>
        <v/>
      </c>
      <c r="G112" s="15">
        <f>IF(A112="","",MIN(Assumptions!$B$9,15/26*F112*C112))</f>
        <v/>
      </c>
      <c r="H112" s="16">
        <f>IF(A112="","",(1-Assumptions!$B$6-Assumptions!$B$7)^E112)</f>
        <v/>
      </c>
      <c r="I112" s="15">
        <f>IF(A112="","",G112*H112/(1+Assumptions!$B$4)^E112)</f>
        <v/>
      </c>
      <c r="J112" s="7">
        <f>IF(A112="","",C112&gt;=Assumptions!$B$10)</f>
        <v/>
      </c>
    </row>
    <row r="113">
      <c r="A113" s="12" t="n"/>
      <c r="B113" s="10" t="n"/>
      <c r="C113" s="13" t="n"/>
      <c r="D113" s="11" t="n"/>
      <c r="E113" s="14">
        <f>IF(A113="","",MAX(0,Assumptions!$B$8-B113))</f>
        <v/>
      </c>
      <c r="F113" s="15">
        <f>IF(A113="","",D113*(1+Assumptions!$B$5)^E113)</f>
        <v/>
      </c>
      <c r="G113" s="15">
        <f>IF(A113="","",MIN(Assumptions!$B$9,15/26*F113*C113))</f>
        <v/>
      </c>
      <c r="H113" s="16">
        <f>IF(A113="","",(1-Assumptions!$B$6-Assumptions!$B$7)^E113)</f>
        <v/>
      </c>
      <c r="I113" s="15">
        <f>IF(A113="","",G113*H113/(1+Assumptions!$B$4)^E113)</f>
        <v/>
      </c>
      <c r="J113" s="7">
        <f>IF(A113="","",C113&gt;=Assumptions!$B$10)</f>
        <v/>
      </c>
    </row>
    <row r="114">
      <c r="A114" s="12" t="n"/>
      <c r="B114" s="10" t="n"/>
      <c r="C114" s="13" t="n"/>
      <c r="D114" s="11" t="n"/>
      <c r="E114" s="14">
        <f>IF(A114="","",MAX(0,Assumptions!$B$8-B114))</f>
        <v/>
      </c>
      <c r="F114" s="15">
        <f>IF(A114="","",D114*(1+Assumptions!$B$5)^E114)</f>
        <v/>
      </c>
      <c r="G114" s="15">
        <f>IF(A114="","",MIN(Assumptions!$B$9,15/26*F114*C114))</f>
        <v/>
      </c>
      <c r="H114" s="16">
        <f>IF(A114="","",(1-Assumptions!$B$6-Assumptions!$B$7)^E114)</f>
        <v/>
      </c>
      <c r="I114" s="15">
        <f>IF(A114="","",G114*H114/(1+Assumptions!$B$4)^E114)</f>
        <v/>
      </c>
      <c r="J114" s="7">
        <f>IF(A114="","",C114&gt;=Assumptions!$B$10)</f>
        <v/>
      </c>
    </row>
    <row r="115">
      <c r="A115" s="12" t="n"/>
      <c r="B115" s="10" t="n"/>
      <c r="C115" s="13" t="n"/>
      <c r="D115" s="11" t="n"/>
      <c r="E115" s="14">
        <f>IF(A115="","",MAX(0,Assumptions!$B$8-B115))</f>
        <v/>
      </c>
      <c r="F115" s="15">
        <f>IF(A115="","",D115*(1+Assumptions!$B$5)^E115)</f>
        <v/>
      </c>
      <c r="G115" s="15">
        <f>IF(A115="","",MIN(Assumptions!$B$9,15/26*F115*C115))</f>
        <v/>
      </c>
      <c r="H115" s="16">
        <f>IF(A115="","",(1-Assumptions!$B$6-Assumptions!$B$7)^E115)</f>
        <v/>
      </c>
      <c r="I115" s="15">
        <f>IF(A115="","",G115*H115/(1+Assumptions!$B$4)^E115)</f>
        <v/>
      </c>
      <c r="J115" s="7">
        <f>IF(A115="","",C115&gt;=Assumptions!$B$10)</f>
        <v/>
      </c>
    </row>
    <row r="116">
      <c r="A116" s="12" t="n"/>
      <c r="B116" s="10" t="n"/>
      <c r="C116" s="13" t="n"/>
      <c r="D116" s="11" t="n"/>
      <c r="E116" s="14">
        <f>IF(A116="","",MAX(0,Assumptions!$B$8-B116))</f>
        <v/>
      </c>
      <c r="F116" s="15">
        <f>IF(A116="","",D116*(1+Assumptions!$B$5)^E116)</f>
        <v/>
      </c>
      <c r="G116" s="15">
        <f>IF(A116="","",MIN(Assumptions!$B$9,15/26*F116*C116))</f>
        <v/>
      </c>
      <c r="H116" s="16">
        <f>IF(A116="","",(1-Assumptions!$B$6-Assumptions!$B$7)^E116)</f>
        <v/>
      </c>
      <c r="I116" s="15">
        <f>IF(A116="","",G116*H116/(1+Assumptions!$B$4)^E116)</f>
        <v/>
      </c>
      <c r="J116" s="7">
        <f>IF(A116="","",C116&gt;=Assumptions!$B$10)</f>
        <v/>
      </c>
    </row>
    <row r="117">
      <c r="A117" s="12" t="n"/>
      <c r="B117" s="10" t="n"/>
      <c r="C117" s="13" t="n"/>
      <c r="D117" s="11" t="n"/>
      <c r="E117" s="14">
        <f>IF(A117="","",MAX(0,Assumptions!$B$8-B117))</f>
        <v/>
      </c>
      <c r="F117" s="15">
        <f>IF(A117="","",D117*(1+Assumptions!$B$5)^E117)</f>
        <v/>
      </c>
      <c r="G117" s="15">
        <f>IF(A117="","",MIN(Assumptions!$B$9,15/26*F117*C117))</f>
        <v/>
      </c>
      <c r="H117" s="16">
        <f>IF(A117="","",(1-Assumptions!$B$6-Assumptions!$B$7)^E117)</f>
        <v/>
      </c>
      <c r="I117" s="15">
        <f>IF(A117="","",G117*H117/(1+Assumptions!$B$4)^E117)</f>
        <v/>
      </c>
      <c r="J117" s="7">
        <f>IF(A117="","",C117&gt;=Assumptions!$B$10)</f>
        <v/>
      </c>
    </row>
    <row r="118">
      <c r="A118" s="12" t="n"/>
      <c r="B118" s="10" t="n"/>
      <c r="C118" s="13" t="n"/>
      <c r="D118" s="11" t="n"/>
      <c r="E118" s="14">
        <f>IF(A118="","",MAX(0,Assumptions!$B$8-B118))</f>
        <v/>
      </c>
      <c r="F118" s="15">
        <f>IF(A118="","",D118*(1+Assumptions!$B$5)^E118)</f>
        <v/>
      </c>
      <c r="G118" s="15">
        <f>IF(A118="","",MIN(Assumptions!$B$9,15/26*F118*C118))</f>
        <v/>
      </c>
      <c r="H118" s="16">
        <f>IF(A118="","",(1-Assumptions!$B$6-Assumptions!$B$7)^E118)</f>
        <v/>
      </c>
      <c r="I118" s="15">
        <f>IF(A118="","",G118*H118/(1+Assumptions!$B$4)^E118)</f>
        <v/>
      </c>
      <c r="J118" s="7">
        <f>IF(A118="","",C118&gt;=Assumptions!$B$10)</f>
        <v/>
      </c>
    </row>
    <row r="119">
      <c r="A119" s="12" t="n"/>
      <c r="B119" s="10" t="n"/>
      <c r="C119" s="13" t="n"/>
      <c r="D119" s="11" t="n"/>
      <c r="E119" s="14">
        <f>IF(A119="","",MAX(0,Assumptions!$B$8-B119))</f>
        <v/>
      </c>
      <c r="F119" s="15">
        <f>IF(A119="","",D119*(1+Assumptions!$B$5)^E119)</f>
        <v/>
      </c>
      <c r="G119" s="15">
        <f>IF(A119="","",MIN(Assumptions!$B$9,15/26*F119*C119))</f>
        <v/>
      </c>
      <c r="H119" s="16">
        <f>IF(A119="","",(1-Assumptions!$B$6-Assumptions!$B$7)^E119)</f>
        <v/>
      </c>
      <c r="I119" s="15">
        <f>IF(A119="","",G119*H119/(1+Assumptions!$B$4)^E119)</f>
        <v/>
      </c>
      <c r="J119" s="7">
        <f>IF(A119="","",C119&gt;=Assumptions!$B$10)</f>
        <v/>
      </c>
    </row>
    <row r="120">
      <c r="A120" s="12" t="n"/>
      <c r="B120" s="10" t="n"/>
      <c r="C120" s="13" t="n"/>
      <c r="D120" s="11" t="n"/>
      <c r="E120" s="14">
        <f>IF(A120="","",MAX(0,Assumptions!$B$8-B120))</f>
        <v/>
      </c>
      <c r="F120" s="15">
        <f>IF(A120="","",D120*(1+Assumptions!$B$5)^E120)</f>
        <v/>
      </c>
      <c r="G120" s="15">
        <f>IF(A120="","",MIN(Assumptions!$B$9,15/26*F120*C120))</f>
        <v/>
      </c>
      <c r="H120" s="16">
        <f>IF(A120="","",(1-Assumptions!$B$6-Assumptions!$B$7)^E120)</f>
        <v/>
      </c>
      <c r="I120" s="15">
        <f>IF(A120="","",G120*H120/(1+Assumptions!$B$4)^E120)</f>
        <v/>
      </c>
      <c r="J120" s="7">
        <f>IF(A120="","",C120&gt;=Assumptions!$B$10)</f>
        <v/>
      </c>
    </row>
    <row r="121">
      <c r="A121" s="12" t="n"/>
      <c r="B121" s="10" t="n"/>
      <c r="C121" s="13" t="n"/>
      <c r="D121" s="11" t="n"/>
      <c r="E121" s="14">
        <f>IF(A121="","",MAX(0,Assumptions!$B$8-B121))</f>
        <v/>
      </c>
      <c r="F121" s="15">
        <f>IF(A121="","",D121*(1+Assumptions!$B$5)^E121)</f>
        <v/>
      </c>
      <c r="G121" s="15">
        <f>IF(A121="","",MIN(Assumptions!$B$9,15/26*F121*C121))</f>
        <v/>
      </c>
      <c r="H121" s="16">
        <f>IF(A121="","",(1-Assumptions!$B$6-Assumptions!$B$7)^E121)</f>
        <v/>
      </c>
      <c r="I121" s="15">
        <f>IF(A121="","",G121*H121/(1+Assumptions!$B$4)^E121)</f>
        <v/>
      </c>
      <c r="J121" s="7">
        <f>IF(A121="","",C121&gt;=Assumptions!$B$10)</f>
        <v/>
      </c>
    </row>
    <row r="122">
      <c r="A122" s="12" t="n"/>
      <c r="B122" s="10" t="n"/>
      <c r="C122" s="13" t="n"/>
      <c r="D122" s="11" t="n"/>
      <c r="E122" s="14">
        <f>IF(A122="","",MAX(0,Assumptions!$B$8-B122))</f>
        <v/>
      </c>
      <c r="F122" s="15">
        <f>IF(A122="","",D122*(1+Assumptions!$B$5)^E122)</f>
        <v/>
      </c>
      <c r="G122" s="15">
        <f>IF(A122="","",MIN(Assumptions!$B$9,15/26*F122*C122))</f>
        <v/>
      </c>
      <c r="H122" s="16">
        <f>IF(A122="","",(1-Assumptions!$B$6-Assumptions!$B$7)^E122)</f>
        <v/>
      </c>
      <c r="I122" s="15">
        <f>IF(A122="","",G122*H122/(1+Assumptions!$B$4)^E122)</f>
        <v/>
      </c>
      <c r="J122" s="7">
        <f>IF(A122="","",C122&gt;=Assumptions!$B$10)</f>
        <v/>
      </c>
    </row>
    <row r="123">
      <c r="A123" s="12" t="n"/>
      <c r="B123" s="10" t="n"/>
      <c r="C123" s="13" t="n"/>
      <c r="D123" s="11" t="n"/>
      <c r="E123" s="14">
        <f>IF(A123="","",MAX(0,Assumptions!$B$8-B123))</f>
        <v/>
      </c>
      <c r="F123" s="15">
        <f>IF(A123="","",D123*(1+Assumptions!$B$5)^E123)</f>
        <v/>
      </c>
      <c r="G123" s="15">
        <f>IF(A123="","",MIN(Assumptions!$B$9,15/26*F123*C123))</f>
        <v/>
      </c>
      <c r="H123" s="16">
        <f>IF(A123="","",(1-Assumptions!$B$6-Assumptions!$B$7)^E123)</f>
        <v/>
      </c>
      <c r="I123" s="15">
        <f>IF(A123="","",G123*H123/(1+Assumptions!$B$4)^E123)</f>
        <v/>
      </c>
      <c r="J123" s="7">
        <f>IF(A123="","",C123&gt;=Assumptions!$B$10)</f>
        <v/>
      </c>
    </row>
    <row r="124">
      <c r="A124" s="12" t="n"/>
      <c r="B124" s="10" t="n"/>
      <c r="C124" s="13" t="n"/>
      <c r="D124" s="11" t="n"/>
      <c r="E124" s="14">
        <f>IF(A124="","",MAX(0,Assumptions!$B$8-B124))</f>
        <v/>
      </c>
      <c r="F124" s="15">
        <f>IF(A124="","",D124*(1+Assumptions!$B$5)^E124)</f>
        <v/>
      </c>
      <c r="G124" s="15">
        <f>IF(A124="","",MIN(Assumptions!$B$9,15/26*F124*C124))</f>
        <v/>
      </c>
      <c r="H124" s="16">
        <f>IF(A124="","",(1-Assumptions!$B$6-Assumptions!$B$7)^E124)</f>
        <v/>
      </c>
      <c r="I124" s="15">
        <f>IF(A124="","",G124*H124/(1+Assumptions!$B$4)^E124)</f>
        <v/>
      </c>
      <c r="J124" s="7">
        <f>IF(A124="","",C124&gt;=Assumptions!$B$10)</f>
        <v/>
      </c>
    </row>
    <row r="125">
      <c r="A125" s="12" t="n"/>
      <c r="B125" s="10" t="n"/>
      <c r="C125" s="13" t="n"/>
      <c r="D125" s="11" t="n"/>
      <c r="E125" s="14">
        <f>IF(A125="","",MAX(0,Assumptions!$B$8-B125))</f>
        <v/>
      </c>
      <c r="F125" s="15">
        <f>IF(A125="","",D125*(1+Assumptions!$B$5)^E125)</f>
        <v/>
      </c>
      <c r="G125" s="15">
        <f>IF(A125="","",MIN(Assumptions!$B$9,15/26*F125*C125))</f>
        <v/>
      </c>
      <c r="H125" s="16">
        <f>IF(A125="","",(1-Assumptions!$B$6-Assumptions!$B$7)^E125)</f>
        <v/>
      </c>
      <c r="I125" s="15">
        <f>IF(A125="","",G125*H125/(1+Assumptions!$B$4)^E125)</f>
        <v/>
      </c>
      <c r="J125" s="7">
        <f>IF(A125="","",C125&gt;=Assumptions!$B$10)</f>
        <v/>
      </c>
    </row>
    <row r="126">
      <c r="A126" s="12" t="n"/>
      <c r="B126" s="10" t="n"/>
      <c r="C126" s="13" t="n"/>
      <c r="D126" s="11" t="n"/>
      <c r="E126" s="14">
        <f>IF(A126="","",MAX(0,Assumptions!$B$8-B126))</f>
        <v/>
      </c>
      <c r="F126" s="15">
        <f>IF(A126="","",D126*(1+Assumptions!$B$5)^E126)</f>
        <v/>
      </c>
      <c r="G126" s="15">
        <f>IF(A126="","",MIN(Assumptions!$B$9,15/26*F126*C126))</f>
        <v/>
      </c>
      <c r="H126" s="16">
        <f>IF(A126="","",(1-Assumptions!$B$6-Assumptions!$B$7)^E126)</f>
        <v/>
      </c>
      <c r="I126" s="15">
        <f>IF(A126="","",G126*H126/(1+Assumptions!$B$4)^E126)</f>
        <v/>
      </c>
      <c r="J126" s="7">
        <f>IF(A126="","",C126&gt;=Assumptions!$B$10)</f>
        <v/>
      </c>
    </row>
    <row r="127">
      <c r="A127" s="12" t="n"/>
      <c r="B127" s="10" t="n"/>
      <c r="C127" s="13" t="n"/>
      <c r="D127" s="11" t="n"/>
      <c r="E127" s="14">
        <f>IF(A127="","",MAX(0,Assumptions!$B$8-B127))</f>
        <v/>
      </c>
      <c r="F127" s="15">
        <f>IF(A127="","",D127*(1+Assumptions!$B$5)^E127)</f>
        <v/>
      </c>
      <c r="G127" s="15">
        <f>IF(A127="","",MIN(Assumptions!$B$9,15/26*F127*C127))</f>
        <v/>
      </c>
      <c r="H127" s="16">
        <f>IF(A127="","",(1-Assumptions!$B$6-Assumptions!$B$7)^E127)</f>
        <v/>
      </c>
      <c r="I127" s="15">
        <f>IF(A127="","",G127*H127/(1+Assumptions!$B$4)^E127)</f>
        <v/>
      </c>
      <c r="J127" s="7">
        <f>IF(A127="","",C127&gt;=Assumptions!$B$10)</f>
        <v/>
      </c>
    </row>
    <row r="128">
      <c r="A128" s="12" t="n"/>
      <c r="B128" s="10" t="n"/>
      <c r="C128" s="13" t="n"/>
      <c r="D128" s="11" t="n"/>
      <c r="E128" s="14">
        <f>IF(A128="","",MAX(0,Assumptions!$B$8-B128))</f>
        <v/>
      </c>
      <c r="F128" s="15">
        <f>IF(A128="","",D128*(1+Assumptions!$B$5)^E128)</f>
        <v/>
      </c>
      <c r="G128" s="15">
        <f>IF(A128="","",MIN(Assumptions!$B$9,15/26*F128*C128))</f>
        <v/>
      </c>
      <c r="H128" s="16">
        <f>IF(A128="","",(1-Assumptions!$B$6-Assumptions!$B$7)^E128)</f>
        <v/>
      </c>
      <c r="I128" s="15">
        <f>IF(A128="","",G128*H128/(1+Assumptions!$B$4)^E128)</f>
        <v/>
      </c>
      <c r="J128" s="7">
        <f>IF(A128="","",C128&gt;=Assumptions!$B$10)</f>
        <v/>
      </c>
    </row>
    <row r="129">
      <c r="A129" s="12" t="n"/>
      <c r="B129" s="10" t="n"/>
      <c r="C129" s="13" t="n"/>
      <c r="D129" s="11" t="n"/>
      <c r="E129" s="14">
        <f>IF(A129="","",MAX(0,Assumptions!$B$8-B129))</f>
        <v/>
      </c>
      <c r="F129" s="15">
        <f>IF(A129="","",D129*(1+Assumptions!$B$5)^E129)</f>
        <v/>
      </c>
      <c r="G129" s="15">
        <f>IF(A129="","",MIN(Assumptions!$B$9,15/26*F129*C129))</f>
        <v/>
      </c>
      <c r="H129" s="16">
        <f>IF(A129="","",(1-Assumptions!$B$6-Assumptions!$B$7)^E129)</f>
        <v/>
      </c>
      <c r="I129" s="15">
        <f>IF(A129="","",G129*H129/(1+Assumptions!$B$4)^E129)</f>
        <v/>
      </c>
      <c r="J129" s="7">
        <f>IF(A129="","",C129&gt;=Assumptions!$B$10)</f>
        <v/>
      </c>
    </row>
    <row r="130">
      <c r="A130" s="12" t="n"/>
      <c r="B130" s="10" t="n"/>
      <c r="C130" s="13" t="n"/>
      <c r="D130" s="11" t="n"/>
      <c r="E130" s="14">
        <f>IF(A130="","",MAX(0,Assumptions!$B$8-B130))</f>
        <v/>
      </c>
      <c r="F130" s="15">
        <f>IF(A130="","",D130*(1+Assumptions!$B$5)^E130)</f>
        <v/>
      </c>
      <c r="G130" s="15">
        <f>IF(A130="","",MIN(Assumptions!$B$9,15/26*F130*C130))</f>
        <v/>
      </c>
      <c r="H130" s="16">
        <f>IF(A130="","",(1-Assumptions!$B$6-Assumptions!$B$7)^E130)</f>
        <v/>
      </c>
      <c r="I130" s="15">
        <f>IF(A130="","",G130*H130/(1+Assumptions!$B$4)^E130)</f>
        <v/>
      </c>
      <c r="J130" s="7">
        <f>IF(A130="","",C130&gt;=Assumptions!$B$10)</f>
        <v/>
      </c>
    </row>
    <row r="131">
      <c r="A131" s="12" t="n"/>
      <c r="B131" s="10" t="n"/>
      <c r="C131" s="13" t="n"/>
      <c r="D131" s="11" t="n"/>
      <c r="E131" s="14">
        <f>IF(A131="","",MAX(0,Assumptions!$B$8-B131))</f>
        <v/>
      </c>
      <c r="F131" s="15">
        <f>IF(A131="","",D131*(1+Assumptions!$B$5)^E131)</f>
        <v/>
      </c>
      <c r="G131" s="15">
        <f>IF(A131="","",MIN(Assumptions!$B$9,15/26*F131*C131))</f>
        <v/>
      </c>
      <c r="H131" s="16">
        <f>IF(A131="","",(1-Assumptions!$B$6-Assumptions!$B$7)^E131)</f>
        <v/>
      </c>
      <c r="I131" s="15">
        <f>IF(A131="","",G131*H131/(1+Assumptions!$B$4)^E131)</f>
        <v/>
      </c>
      <c r="J131" s="7">
        <f>IF(A131="","",C131&gt;=Assumptions!$B$10)</f>
        <v/>
      </c>
    </row>
    <row r="132">
      <c r="A132" s="12" t="n"/>
      <c r="B132" s="10" t="n"/>
      <c r="C132" s="13" t="n"/>
      <c r="D132" s="11" t="n"/>
      <c r="E132" s="14">
        <f>IF(A132="","",MAX(0,Assumptions!$B$8-B132))</f>
        <v/>
      </c>
      <c r="F132" s="15">
        <f>IF(A132="","",D132*(1+Assumptions!$B$5)^E132)</f>
        <v/>
      </c>
      <c r="G132" s="15">
        <f>IF(A132="","",MIN(Assumptions!$B$9,15/26*F132*C132))</f>
        <v/>
      </c>
      <c r="H132" s="16">
        <f>IF(A132="","",(1-Assumptions!$B$6-Assumptions!$B$7)^E132)</f>
        <v/>
      </c>
      <c r="I132" s="15">
        <f>IF(A132="","",G132*H132/(1+Assumptions!$B$4)^E132)</f>
        <v/>
      </c>
      <c r="J132" s="7">
        <f>IF(A132="","",C132&gt;=Assumptions!$B$10)</f>
        <v/>
      </c>
    </row>
    <row r="133">
      <c r="A133" s="12" t="n"/>
      <c r="B133" s="10" t="n"/>
      <c r="C133" s="13" t="n"/>
      <c r="D133" s="11" t="n"/>
      <c r="E133" s="14">
        <f>IF(A133="","",MAX(0,Assumptions!$B$8-B133))</f>
        <v/>
      </c>
      <c r="F133" s="15">
        <f>IF(A133="","",D133*(1+Assumptions!$B$5)^E133)</f>
        <v/>
      </c>
      <c r="G133" s="15">
        <f>IF(A133="","",MIN(Assumptions!$B$9,15/26*F133*C133))</f>
        <v/>
      </c>
      <c r="H133" s="16">
        <f>IF(A133="","",(1-Assumptions!$B$6-Assumptions!$B$7)^E133)</f>
        <v/>
      </c>
      <c r="I133" s="15">
        <f>IF(A133="","",G133*H133/(1+Assumptions!$B$4)^E133)</f>
        <v/>
      </c>
      <c r="J133" s="7">
        <f>IF(A133="","",C133&gt;=Assumptions!$B$10)</f>
        <v/>
      </c>
    </row>
    <row r="134">
      <c r="A134" s="12" t="n"/>
      <c r="B134" s="10" t="n"/>
      <c r="C134" s="13" t="n"/>
      <c r="D134" s="11" t="n"/>
      <c r="E134" s="14">
        <f>IF(A134="","",MAX(0,Assumptions!$B$8-B134))</f>
        <v/>
      </c>
      <c r="F134" s="15">
        <f>IF(A134="","",D134*(1+Assumptions!$B$5)^E134)</f>
        <v/>
      </c>
      <c r="G134" s="15">
        <f>IF(A134="","",MIN(Assumptions!$B$9,15/26*F134*C134))</f>
        <v/>
      </c>
      <c r="H134" s="16">
        <f>IF(A134="","",(1-Assumptions!$B$6-Assumptions!$B$7)^E134)</f>
        <v/>
      </c>
      <c r="I134" s="15">
        <f>IF(A134="","",G134*H134/(1+Assumptions!$B$4)^E134)</f>
        <v/>
      </c>
      <c r="J134" s="7">
        <f>IF(A134="","",C134&gt;=Assumptions!$B$10)</f>
        <v/>
      </c>
    </row>
    <row r="135">
      <c r="A135" s="12" t="n"/>
      <c r="B135" s="10" t="n"/>
      <c r="C135" s="13" t="n"/>
      <c r="D135" s="11" t="n"/>
      <c r="E135" s="14">
        <f>IF(A135="","",MAX(0,Assumptions!$B$8-B135))</f>
        <v/>
      </c>
      <c r="F135" s="15">
        <f>IF(A135="","",D135*(1+Assumptions!$B$5)^E135)</f>
        <v/>
      </c>
      <c r="G135" s="15">
        <f>IF(A135="","",MIN(Assumptions!$B$9,15/26*F135*C135))</f>
        <v/>
      </c>
      <c r="H135" s="16">
        <f>IF(A135="","",(1-Assumptions!$B$6-Assumptions!$B$7)^E135)</f>
        <v/>
      </c>
      <c r="I135" s="15">
        <f>IF(A135="","",G135*H135/(1+Assumptions!$B$4)^E135)</f>
        <v/>
      </c>
      <c r="J135" s="7">
        <f>IF(A135="","",C135&gt;=Assumptions!$B$10)</f>
        <v/>
      </c>
    </row>
    <row r="136">
      <c r="A136" s="12" t="n"/>
      <c r="B136" s="10" t="n"/>
      <c r="C136" s="13" t="n"/>
      <c r="D136" s="11" t="n"/>
      <c r="E136" s="14">
        <f>IF(A136="","",MAX(0,Assumptions!$B$8-B136))</f>
        <v/>
      </c>
      <c r="F136" s="15">
        <f>IF(A136="","",D136*(1+Assumptions!$B$5)^E136)</f>
        <v/>
      </c>
      <c r="G136" s="15">
        <f>IF(A136="","",MIN(Assumptions!$B$9,15/26*F136*C136))</f>
        <v/>
      </c>
      <c r="H136" s="16">
        <f>IF(A136="","",(1-Assumptions!$B$6-Assumptions!$B$7)^E136)</f>
        <v/>
      </c>
      <c r="I136" s="15">
        <f>IF(A136="","",G136*H136/(1+Assumptions!$B$4)^E136)</f>
        <v/>
      </c>
      <c r="J136" s="7">
        <f>IF(A136="","",C136&gt;=Assumptions!$B$10)</f>
        <v/>
      </c>
    </row>
    <row r="137">
      <c r="A137" s="12" t="n"/>
      <c r="B137" s="10" t="n"/>
      <c r="C137" s="13" t="n"/>
      <c r="D137" s="11" t="n"/>
      <c r="E137" s="14">
        <f>IF(A137="","",MAX(0,Assumptions!$B$8-B137))</f>
        <v/>
      </c>
      <c r="F137" s="15">
        <f>IF(A137="","",D137*(1+Assumptions!$B$5)^E137)</f>
        <v/>
      </c>
      <c r="G137" s="15">
        <f>IF(A137="","",MIN(Assumptions!$B$9,15/26*F137*C137))</f>
        <v/>
      </c>
      <c r="H137" s="16">
        <f>IF(A137="","",(1-Assumptions!$B$6-Assumptions!$B$7)^E137)</f>
        <v/>
      </c>
      <c r="I137" s="15">
        <f>IF(A137="","",G137*H137/(1+Assumptions!$B$4)^E137)</f>
        <v/>
      </c>
      <c r="J137" s="7">
        <f>IF(A137="","",C137&gt;=Assumptions!$B$10)</f>
        <v/>
      </c>
    </row>
    <row r="138">
      <c r="A138" s="12" t="n"/>
      <c r="B138" s="10" t="n"/>
      <c r="C138" s="13" t="n"/>
      <c r="D138" s="11" t="n"/>
      <c r="E138" s="14">
        <f>IF(A138="","",MAX(0,Assumptions!$B$8-B138))</f>
        <v/>
      </c>
      <c r="F138" s="15">
        <f>IF(A138="","",D138*(1+Assumptions!$B$5)^E138)</f>
        <v/>
      </c>
      <c r="G138" s="15">
        <f>IF(A138="","",MIN(Assumptions!$B$9,15/26*F138*C138))</f>
        <v/>
      </c>
      <c r="H138" s="16">
        <f>IF(A138="","",(1-Assumptions!$B$6-Assumptions!$B$7)^E138)</f>
        <v/>
      </c>
      <c r="I138" s="15">
        <f>IF(A138="","",G138*H138/(1+Assumptions!$B$4)^E138)</f>
        <v/>
      </c>
      <c r="J138" s="7">
        <f>IF(A138="","",C138&gt;=Assumptions!$B$10)</f>
        <v/>
      </c>
    </row>
    <row r="139">
      <c r="A139" s="12" t="n"/>
      <c r="B139" s="10" t="n"/>
      <c r="C139" s="13" t="n"/>
      <c r="D139" s="11" t="n"/>
      <c r="E139" s="14">
        <f>IF(A139="","",MAX(0,Assumptions!$B$8-B139))</f>
        <v/>
      </c>
      <c r="F139" s="15">
        <f>IF(A139="","",D139*(1+Assumptions!$B$5)^E139)</f>
        <v/>
      </c>
      <c r="G139" s="15">
        <f>IF(A139="","",MIN(Assumptions!$B$9,15/26*F139*C139))</f>
        <v/>
      </c>
      <c r="H139" s="16">
        <f>IF(A139="","",(1-Assumptions!$B$6-Assumptions!$B$7)^E139)</f>
        <v/>
      </c>
      <c r="I139" s="15">
        <f>IF(A139="","",G139*H139/(1+Assumptions!$B$4)^E139)</f>
        <v/>
      </c>
      <c r="J139" s="7">
        <f>IF(A139="","",C139&gt;=Assumptions!$B$10)</f>
        <v/>
      </c>
    </row>
    <row r="140">
      <c r="A140" s="12" t="n"/>
      <c r="B140" s="10" t="n"/>
      <c r="C140" s="13" t="n"/>
      <c r="D140" s="11" t="n"/>
      <c r="E140" s="14">
        <f>IF(A140="","",MAX(0,Assumptions!$B$8-B140))</f>
        <v/>
      </c>
      <c r="F140" s="15">
        <f>IF(A140="","",D140*(1+Assumptions!$B$5)^E140)</f>
        <v/>
      </c>
      <c r="G140" s="15">
        <f>IF(A140="","",MIN(Assumptions!$B$9,15/26*F140*C140))</f>
        <v/>
      </c>
      <c r="H140" s="16">
        <f>IF(A140="","",(1-Assumptions!$B$6-Assumptions!$B$7)^E140)</f>
        <v/>
      </c>
      <c r="I140" s="15">
        <f>IF(A140="","",G140*H140/(1+Assumptions!$B$4)^E140)</f>
        <v/>
      </c>
      <c r="J140" s="7">
        <f>IF(A140="","",C140&gt;=Assumptions!$B$10)</f>
        <v/>
      </c>
    </row>
    <row r="141">
      <c r="A141" s="12" t="n"/>
      <c r="B141" s="10" t="n"/>
      <c r="C141" s="13" t="n"/>
      <c r="D141" s="11" t="n"/>
      <c r="E141" s="14">
        <f>IF(A141="","",MAX(0,Assumptions!$B$8-B141))</f>
        <v/>
      </c>
      <c r="F141" s="15">
        <f>IF(A141="","",D141*(1+Assumptions!$B$5)^E141)</f>
        <v/>
      </c>
      <c r="G141" s="15">
        <f>IF(A141="","",MIN(Assumptions!$B$9,15/26*F141*C141))</f>
        <v/>
      </c>
      <c r="H141" s="16">
        <f>IF(A141="","",(1-Assumptions!$B$6-Assumptions!$B$7)^E141)</f>
        <v/>
      </c>
      <c r="I141" s="15">
        <f>IF(A141="","",G141*H141/(1+Assumptions!$B$4)^E141)</f>
        <v/>
      </c>
      <c r="J141" s="7">
        <f>IF(A141="","",C141&gt;=Assumptions!$B$10)</f>
        <v/>
      </c>
    </row>
    <row r="142">
      <c r="A142" s="12" t="n"/>
      <c r="B142" s="10" t="n"/>
      <c r="C142" s="13" t="n"/>
      <c r="D142" s="11" t="n"/>
      <c r="E142" s="14">
        <f>IF(A142="","",MAX(0,Assumptions!$B$8-B142))</f>
        <v/>
      </c>
      <c r="F142" s="15">
        <f>IF(A142="","",D142*(1+Assumptions!$B$5)^E142)</f>
        <v/>
      </c>
      <c r="G142" s="15">
        <f>IF(A142="","",MIN(Assumptions!$B$9,15/26*F142*C142))</f>
        <v/>
      </c>
      <c r="H142" s="16">
        <f>IF(A142="","",(1-Assumptions!$B$6-Assumptions!$B$7)^E142)</f>
        <v/>
      </c>
      <c r="I142" s="15">
        <f>IF(A142="","",G142*H142/(1+Assumptions!$B$4)^E142)</f>
        <v/>
      </c>
      <c r="J142" s="7">
        <f>IF(A142="","",C142&gt;=Assumptions!$B$10)</f>
        <v/>
      </c>
    </row>
    <row r="143">
      <c r="A143" s="12" t="n"/>
      <c r="B143" s="10" t="n"/>
      <c r="C143" s="13" t="n"/>
      <c r="D143" s="11" t="n"/>
      <c r="E143" s="14">
        <f>IF(A143="","",MAX(0,Assumptions!$B$8-B143))</f>
        <v/>
      </c>
      <c r="F143" s="15">
        <f>IF(A143="","",D143*(1+Assumptions!$B$5)^E143)</f>
        <v/>
      </c>
      <c r="G143" s="15">
        <f>IF(A143="","",MIN(Assumptions!$B$9,15/26*F143*C143))</f>
        <v/>
      </c>
      <c r="H143" s="16">
        <f>IF(A143="","",(1-Assumptions!$B$6-Assumptions!$B$7)^E143)</f>
        <v/>
      </c>
      <c r="I143" s="15">
        <f>IF(A143="","",G143*H143/(1+Assumptions!$B$4)^E143)</f>
        <v/>
      </c>
      <c r="J143" s="7">
        <f>IF(A143="","",C143&gt;=Assumptions!$B$10)</f>
        <v/>
      </c>
    </row>
    <row r="144">
      <c r="A144" s="12" t="n"/>
      <c r="B144" s="10" t="n"/>
      <c r="C144" s="13" t="n"/>
      <c r="D144" s="11" t="n"/>
      <c r="E144" s="14">
        <f>IF(A144="","",MAX(0,Assumptions!$B$8-B144))</f>
        <v/>
      </c>
      <c r="F144" s="15">
        <f>IF(A144="","",D144*(1+Assumptions!$B$5)^E144)</f>
        <v/>
      </c>
      <c r="G144" s="15">
        <f>IF(A144="","",MIN(Assumptions!$B$9,15/26*F144*C144))</f>
        <v/>
      </c>
      <c r="H144" s="16">
        <f>IF(A144="","",(1-Assumptions!$B$6-Assumptions!$B$7)^E144)</f>
        <v/>
      </c>
      <c r="I144" s="15">
        <f>IF(A144="","",G144*H144/(1+Assumptions!$B$4)^E144)</f>
        <v/>
      </c>
      <c r="J144" s="7">
        <f>IF(A144="","",C144&gt;=Assumptions!$B$10)</f>
        <v/>
      </c>
    </row>
    <row r="145">
      <c r="A145" s="12" t="n"/>
      <c r="B145" s="10" t="n"/>
      <c r="C145" s="13" t="n"/>
      <c r="D145" s="11" t="n"/>
      <c r="E145" s="14">
        <f>IF(A145="","",MAX(0,Assumptions!$B$8-B145))</f>
        <v/>
      </c>
      <c r="F145" s="15">
        <f>IF(A145="","",D145*(1+Assumptions!$B$5)^E145)</f>
        <v/>
      </c>
      <c r="G145" s="15">
        <f>IF(A145="","",MIN(Assumptions!$B$9,15/26*F145*C145))</f>
        <v/>
      </c>
      <c r="H145" s="16">
        <f>IF(A145="","",(1-Assumptions!$B$6-Assumptions!$B$7)^E145)</f>
        <v/>
      </c>
      <c r="I145" s="15">
        <f>IF(A145="","",G145*H145/(1+Assumptions!$B$4)^E145)</f>
        <v/>
      </c>
      <c r="J145" s="7">
        <f>IF(A145="","",C145&gt;=Assumptions!$B$10)</f>
        <v/>
      </c>
    </row>
    <row r="146">
      <c r="A146" s="12" t="n"/>
      <c r="B146" s="10" t="n"/>
      <c r="C146" s="13" t="n"/>
      <c r="D146" s="11" t="n"/>
      <c r="E146" s="14">
        <f>IF(A146="","",MAX(0,Assumptions!$B$8-B146))</f>
        <v/>
      </c>
      <c r="F146" s="15">
        <f>IF(A146="","",D146*(1+Assumptions!$B$5)^E146)</f>
        <v/>
      </c>
      <c r="G146" s="15">
        <f>IF(A146="","",MIN(Assumptions!$B$9,15/26*F146*C146))</f>
        <v/>
      </c>
      <c r="H146" s="16">
        <f>IF(A146="","",(1-Assumptions!$B$6-Assumptions!$B$7)^E146)</f>
        <v/>
      </c>
      <c r="I146" s="15">
        <f>IF(A146="","",G146*H146/(1+Assumptions!$B$4)^E146)</f>
        <v/>
      </c>
      <c r="J146" s="7">
        <f>IF(A146="","",C146&gt;=Assumptions!$B$10)</f>
        <v/>
      </c>
    </row>
    <row r="147">
      <c r="A147" s="12" t="n"/>
      <c r="B147" s="10" t="n"/>
      <c r="C147" s="13" t="n"/>
      <c r="D147" s="11" t="n"/>
      <c r="E147" s="14">
        <f>IF(A147="","",MAX(0,Assumptions!$B$8-B147))</f>
        <v/>
      </c>
      <c r="F147" s="15">
        <f>IF(A147="","",D147*(1+Assumptions!$B$5)^E147)</f>
        <v/>
      </c>
      <c r="G147" s="15">
        <f>IF(A147="","",MIN(Assumptions!$B$9,15/26*F147*C147))</f>
        <v/>
      </c>
      <c r="H147" s="16">
        <f>IF(A147="","",(1-Assumptions!$B$6-Assumptions!$B$7)^E147)</f>
        <v/>
      </c>
      <c r="I147" s="15">
        <f>IF(A147="","",G147*H147/(1+Assumptions!$B$4)^E147)</f>
        <v/>
      </c>
      <c r="J147" s="7">
        <f>IF(A147="","",C147&gt;=Assumptions!$B$10)</f>
        <v/>
      </c>
    </row>
    <row r="148">
      <c r="A148" s="12" t="n"/>
      <c r="B148" s="10" t="n"/>
      <c r="C148" s="13" t="n"/>
      <c r="D148" s="11" t="n"/>
      <c r="E148" s="14">
        <f>IF(A148="","",MAX(0,Assumptions!$B$8-B148))</f>
        <v/>
      </c>
      <c r="F148" s="15">
        <f>IF(A148="","",D148*(1+Assumptions!$B$5)^E148)</f>
        <v/>
      </c>
      <c r="G148" s="15">
        <f>IF(A148="","",MIN(Assumptions!$B$9,15/26*F148*C148))</f>
        <v/>
      </c>
      <c r="H148" s="16">
        <f>IF(A148="","",(1-Assumptions!$B$6-Assumptions!$B$7)^E148)</f>
        <v/>
      </c>
      <c r="I148" s="15">
        <f>IF(A148="","",G148*H148/(1+Assumptions!$B$4)^E148)</f>
        <v/>
      </c>
      <c r="J148" s="7">
        <f>IF(A148="","",C148&gt;=Assumptions!$B$10)</f>
        <v/>
      </c>
    </row>
    <row r="149">
      <c r="A149" s="12" t="n"/>
      <c r="B149" s="10" t="n"/>
      <c r="C149" s="13" t="n"/>
      <c r="D149" s="11" t="n"/>
      <c r="E149" s="14">
        <f>IF(A149="","",MAX(0,Assumptions!$B$8-B149))</f>
        <v/>
      </c>
      <c r="F149" s="15">
        <f>IF(A149="","",D149*(1+Assumptions!$B$5)^E149)</f>
        <v/>
      </c>
      <c r="G149" s="15">
        <f>IF(A149="","",MIN(Assumptions!$B$9,15/26*F149*C149))</f>
        <v/>
      </c>
      <c r="H149" s="16">
        <f>IF(A149="","",(1-Assumptions!$B$6-Assumptions!$B$7)^E149)</f>
        <v/>
      </c>
      <c r="I149" s="15">
        <f>IF(A149="","",G149*H149/(1+Assumptions!$B$4)^E149)</f>
        <v/>
      </c>
      <c r="J149" s="7">
        <f>IF(A149="","",C149&gt;=Assumptions!$B$10)</f>
        <v/>
      </c>
    </row>
    <row r="150">
      <c r="A150" s="12" t="n"/>
      <c r="B150" s="10" t="n"/>
      <c r="C150" s="13" t="n"/>
      <c r="D150" s="11" t="n"/>
      <c r="E150" s="14">
        <f>IF(A150="","",MAX(0,Assumptions!$B$8-B150))</f>
        <v/>
      </c>
      <c r="F150" s="15">
        <f>IF(A150="","",D150*(1+Assumptions!$B$5)^E150)</f>
        <v/>
      </c>
      <c r="G150" s="15">
        <f>IF(A150="","",MIN(Assumptions!$B$9,15/26*F150*C150))</f>
        <v/>
      </c>
      <c r="H150" s="16">
        <f>IF(A150="","",(1-Assumptions!$B$6-Assumptions!$B$7)^E150)</f>
        <v/>
      </c>
      <c r="I150" s="15">
        <f>IF(A150="","",G150*H150/(1+Assumptions!$B$4)^E150)</f>
        <v/>
      </c>
      <c r="J150" s="7">
        <f>IF(A150="","",C150&gt;=Assumptions!$B$10)</f>
        <v/>
      </c>
    </row>
    <row r="151">
      <c r="A151" s="12" t="n"/>
      <c r="B151" s="10" t="n"/>
      <c r="C151" s="13" t="n"/>
      <c r="D151" s="11" t="n"/>
      <c r="E151" s="14">
        <f>IF(A151="","",MAX(0,Assumptions!$B$8-B151))</f>
        <v/>
      </c>
      <c r="F151" s="15">
        <f>IF(A151="","",D151*(1+Assumptions!$B$5)^E151)</f>
        <v/>
      </c>
      <c r="G151" s="15">
        <f>IF(A151="","",MIN(Assumptions!$B$9,15/26*F151*C151))</f>
        <v/>
      </c>
      <c r="H151" s="16">
        <f>IF(A151="","",(1-Assumptions!$B$6-Assumptions!$B$7)^E151)</f>
        <v/>
      </c>
      <c r="I151" s="15">
        <f>IF(A151="","",G151*H151/(1+Assumptions!$B$4)^E151)</f>
        <v/>
      </c>
      <c r="J151" s="7">
        <f>IF(A151="","",C151&gt;=Assumptions!$B$10)</f>
        <v/>
      </c>
    </row>
    <row r="152">
      <c r="A152" s="12" t="n"/>
      <c r="B152" s="10" t="n"/>
      <c r="C152" s="13" t="n"/>
      <c r="D152" s="11" t="n"/>
      <c r="E152" s="14">
        <f>IF(A152="","",MAX(0,Assumptions!$B$8-B152))</f>
        <v/>
      </c>
      <c r="F152" s="15">
        <f>IF(A152="","",D152*(1+Assumptions!$B$5)^E152)</f>
        <v/>
      </c>
      <c r="G152" s="15">
        <f>IF(A152="","",MIN(Assumptions!$B$9,15/26*F152*C152))</f>
        <v/>
      </c>
      <c r="H152" s="16">
        <f>IF(A152="","",(1-Assumptions!$B$6-Assumptions!$B$7)^E152)</f>
        <v/>
      </c>
      <c r="I152" s="15">
        <f>IF(A152="","",G152*H152/(1+Assumptions!$B$4)^E152)</f>
        <v/>
      </c>
      <c r="J152" s="7">
        <f>IF(A152="","",C152&gt;=Assumptions!$B$10)</f>
        <v/>
      </c>
    </row>
    <row r="153">
      <c r="A153" s="12" t="n"/>
      <c r="B153" s="10" t="n"/>
      <c r="C153" s="13" t="n"/>
      <c r="D153" s="11" t="n"/>
      <c r="E153" s="14">
        <f>IF(A153="","",MAX(0,Assumptions!$B$8-B153))</f>
        <v/>
      </c>
      <c r="F153" s="15">
        <f>IF(A153="","",D153*(1+Assumptions!$B$5)^E153)</f>
        <v/>
      </c>
      <c r="G153" s="15">
        <f>IF(A153="","",MIN(Assumptions!$B$9,15/26*F153*C153))</f>
        <v/>
      </c>
      <c r="H153" s="16">
        <f>IF(A153="","",(1-Assumptions!$B$6-Assumptions!$B$7)^E153)</f>
        <v/>
      </c>
      <c r="I153" s="15">
        <f>IF(A153="","",G153*H153/(1+Assumptions!$B$4)^E153)</f>
        <v/>
      </c>
      <c r="J153" s="7">
        <f>IF(A153="","",C153&gt;=Assumptions!$B$10)</f>
        <v/>
      </c>
    </row>
    <row r="154">
      <c r="A154" s="12" t="n"/>
      <c r="B154" s="10" t="n"/>
      <c r="C154" s="13" t="n"/>
      <c r="D154" s="11" t="n"/>
      <c r="E154" s="14">
        <f>IF(A154="","",MAX(0,Assumptions!$B$8-B154))</f>
        <v/>
      </c>
      <c r="F154" s="15">
        <f>IF(A154="","",D154*(1+Assumptions!$B$5)^E154)</f>
        <v/>
      </c>
      <c r="G154" s="15">
        <f>IF(A154="","",MIN(Assumptions!$B$9,15/26*F154*C154))</f>
        <v/>
      </c>
      <c r="H154" s="16">
        <f>IF(A154="","",(1-Assumptions!$B$6-Assumptions!$B$7)^E154)</f>
        <v/>
      </c>
      <c r="I154" s="15">
        <f>IF(A154="","",G154*H154/(1+Assumptions!$B$4)^E154)</f>
        <v/>
      </c>
      <c r="J154" s="7">
        <f>IF(A154="","",C154&gt;=Assumptions!$B$10)</f>
        <v/>
      </c>
    </row>
    <row r="155">
      <c r="A155" s="12" t="n"/>
      <c r="B155" s="10" t="n"/>
      <c r="C155" s="13" t="n"/>
      <c r="D155" s="11" t="n"/>
      <c r="E155" s="14">
        <f>IF(A155="","",MAX(0,Assumptions!$B$8-B155))</f>
        <v/>
      </c>
      <c r="F155" s="15">
        <f>IF(A155="","",D155*(1+Assumptions!$B$5)^E155)</f>
        <v/>
      </c>
      <c r="G155" s="15">
        <f>IF(A155="","",MIN(Assumptions!$B$9,15/26*F155*C155))</f>
        <v/>
      </c>
      <c r="H155" s="16">
        <f>IF(A155="","",(1-Assumptions!$B$6-Assumptions!$B$7)^E155)</f>
        <v/>
      </c>
      <c r="I155" s="15">
        <f>IF(A155="","",G155*H155/(1+Assumptions!$B$4)^E155)</f>
        <v/>
      </c>
      <c r="J155" s="7">
        <f>IF(A155="","",C155&gt;=Assumptions!$B$10)</f>
        <v/>
      </c>
    </row>
    <row r="156">
      <c r="A156" s="12" t="n"/>
      <c r="B156" s="10" t="n"/>
      <c r="C156" s="13" t="n"/>
      <c r="D156" s="11" t="n"/>
      <c r="E156" s="14">
        <f>IF(A156="","",MAX(0,Assumptions!$B$8-B156))</f>
        <v/>
      </c>
      <c r="F156" s="15">
        <f>IF(A156="","",D156*(1+Assumptions!$B$5)^E156)</f>
        <v/>
      </c>
      <c r="G156" s="15">
        <f>IF(A156="","",MIN(Assumptions!$B$9,15/26*F156*C156))</f>
        <v/>
      </c>
      <c r="H156" s="16">
        <f>IF(A156="","",(1-Assumptions!$B$6-Assumptions!$B$7)^E156)</f>
        <v/>
      </c>
      <c r="I156" s="15">
        <f>IF(A156="","",G156*H156/(1+Assumptions!$B$4)^E156)</f>
        <v/>
      </c>
      <c r="J156" s="7">
        <f>IF(A156="","",C156&gt;=Assumptions!$B$10)</f>
        <v/>
      </c>
    </row>
    <row r="157">
      <c r="A157" s="12" t="n"/>
      <c r="B157" s="10" t="n"/>
      <c r="C157" s="13" t="n"/>
      <c r="D157" s="11" t="n"/>
      <c r="E157" s="14">
        <f>IF(A157="","",MAX(0,Assumptions!$B$8-B157))</f>
        <v/>
      </c>
      <c r="F157" s="15">
        <f>IF(A157="","",D157*(1+Assumptions!$B$5)^E157)</f>
        <v/>
      </c>
      <c r="G157" s="15">
        <f>IF(A157="","",MIN(Assumptions!$B$9,15/26*F157*C157))</f>
        <v/>
      </c>
      <c r="H157" s="16">
        <f>IF(A157="","",(1-Assumptions!$B$6-Assumptions!$B$7)^E157)</f>
        <v/>
      </c>
      <c r="I157" s="15">
        <f>IF(A157="","",G157*H157/(1+Assumptions!$B$4)^E157)</f>
        <v/>
      </c>
      <c r="J157" s="7">
        <f>IF(A157="","",C157&gt;=Assumptions!$B$10)</f>
        <v/>
      </c>
    </row>
    <row r="158">
      <c r="A158" s="12" t="n"/>
      <c r="B158" s="10" t="n"/>
      <c r="C158" s="13" t="n"/>
      <c r="D158" s="11" t="n"/>
      <c r="E158" s="14">
        <f>IF(A158="","",MAX(0,Assumptions!$B$8-B158))</f>
        <v/>
      </c>
      <c r="F158" s="15">
        <f>IF(A158="","",D158*(1+Assumptions!$B$5)^E158)</f>
        <v/>
      </c>
      <c r="G158" s="15">
        <f>IF(A158="","",MIN(Assumptions!$B$9,15/26*F158*C158))</f>
        <v/>
      </c>
      <c r="H158" s="16">
        <f>IF(A158="","",(1-Assumptions!$B$6-Assumptions!$B$7)^E158)</f>
        <v/>
      </c>
      <c r="I158" s="15">
        <f>IF(A158="","",G158*H158/(1+Assumptions!$B$4)^E158)</f>
        <v/>
      </c>
      <c r="J158" s="7">
        <f>IF(A158="","",C158&gt;=Assumptions!$B$10)</f>
        <v/>
      </c>
    </row>
    <row r="159">
      <c r="A159" s="12" t="n"/>
      <c r="B159" s="10" t="n"/>
      <c r="C159" s="13" t="n"/>
      <c r="D159" s="11" t="n"/>
      <c r="E159" s="14">
        <f>IF(A159="","",MAX(0,Assumptions!$B$8-B159))</f>
        <v/>
      </c>
      <c r="F159" s="15">
        <f>IF(A159="","",D159*(1+Assumptions!$B$5)^E159)</f>
        <v/>
      </c>
      <c r="G159" s="15">
        <f>IF(A159="","",MIN(Assumptions!$B$9,15/26*F159*C159))</f>
        <v/>
      </c>
      <c r="H159" s="16">
        <f>IF(A159="","",(1-Assumptions!$B$6-Assumptions!$B$7)^E159)</f>
        <v/>
      </c>
      <c r="I159" s="15">
        <f>IF(A159="","",G159*H159/(1+Assumptions!$B$4)^E159)</f>
        <v/>
      </c>
      <c r="J159" s="7">
        <f>IF(A159="","",C159&gt;=Assumptions!$B$10)</f>
        <v/>
      </c>
    </row>
    <row r="160">
      <c r="A160" s="12" t="n"/>
      <c r="B160" s="10" t="n"/>
      <c r="C160" s="13" t="n"/>
      <c r="D160" s="11" t="n"/>
      <c r="E160" s="14">
        <f>IF(A160="","",MAX(0,Assumptions!$B$8-B160))</f>
        <v/>
      </c>
      <c r="F160" s="15">
        <f>IF(A160="","",D160*(1+Assumptions!$B$5)^E160)</f>
        <v/>
      </c>
      <c r="G160" s="15">
        <f>IF(A160="","",MIN(Assumptions!$B$9,15/26*F160*C160))</f>
        <v/>
      </c>
      <c r="H160" s="16">
        <f>IF(A160="","",(1-Assumptions!$B$6-Assumptions!$B$7)^E160)</f>
        <v/>
      </c>
      <c r="I160" s="15">
        <f>IF(A160="","",G160*H160/(1+Assumptions!$B$4)^E160)</f>
        <v/>
      </c>
      <c r="J160" s="7">
        <f>IF(A160="","",C160&gt;=Assumptions!$B$10)</f>
        <v/>
      </c>
    </row>
    <row r="161">
      <c r="A161" s="12" t="n"/>
      <c r="B161" s="10" t="n"/>
      <c r="C161" s="13" t="n"/>
      <c r="D161" s="11" t="n"/>
      <c r="E161" s="14">
        <f>IF(A161="","",MAX(0,Assumptions!$B$8-B161))</f>
        <v/>
      </c>
      <c r="F161" s="15">
        <f>IF(A161="","",D161*(1+Assumptions!$B$5)^E161)</f>
        <v/>
      </c>
      <c r="G161" s="15">
        <f>IF(A161="","",MIN(Assumptions!$B$9,15/26*F161*C161))</f>
        <v/>
      </c>
      <c r="H161" s="16">
        <f>IF(A161="","",(1-Assumptions!$B$6-Assumptions!$B$7)^E161)</f>
        <v/>
      </c>
      <c r="I161" s="15">
        <f>IF(A161="","",G161*H161/(1+Assumptions!$B$4)^E161)</f>
        <v/>
      </c>
      <c r="J161" s="7">
        <f>IF(A161="","",C161&gt;=Assumptions!$B$10)</f>
        <v/>
      </c>
    </row>
    <row r="162">
      <c r="A162" s="12" t="n"/>
      <c r="B162" s="10" t="n"/>
      <c r="C162" s="13" t="n"/>
      <c r="D162" s="11" t="n"/>
      <c r="E162" s="14">
        <f>IF(A162="","",MAX(0,Assumptions!$B$8-B162))</f>
        <v/>
      </c>
      <c r="F162" s="15">
        <f>IF(A162="","",D162*(1+Assumptions!$B$5)^E162)</f>
        <v/>
      </c>
      <c r="G162" s="15">
        <f>IF(A162="","",MIN(Assumptions!$B$9,15/26*F162*C162))</f>
        <v/>
      </c>
      <c r="H162" s="16">
        <f>IF(A162="","",(1-Assumptions!$B$6-Assumptions!$B$7)^E162)</f>
        <v/>
      </c>
      <c r="I162" s="15">
        <f>IF(A162="","",G162*H162/(1+Assumptions!$B$4)^E162)</f>
        <v/>
      </c>
      <c r="J162" s="7">
        <f>IF(A162="","",C162&gt;=Assumptions!$B$10)</f>
        <v/>
      </c>
    </row>
    <row r="163">
      <c r="A163" s="12" t="n"/>
      <c r="B163" s="10" t="n"/>
      <c r="C163" s="13" t="n"/>
      <c r="D163" s="11" t="n"/>
      <c r="E163" s="14">
        <f>IF(A163="","",MAX(0,Assumptions!$B$8-B163))</f>
        <v/>
      </c>
      <c r="F163" s="15">
        <f>IF(A163="","",D163*(1+Assumptions!$B$5)^E163)</f>
        <v/>
      </c>
      <c r="G163" s="15">
        <f>IF(A163="","",MIN(Assumptions!$B$9,15/26*F163*C163))</f>
        <v/>
      </c>
      <c r="H163" s="16">
        <f>IF(A163="","",(1-Assumptions!$B$6-Assumptions!$B$7)^E163)</f>
        <v/>
      </c>
      <c r="I163" s="15">
        <f>IF(A163="","",G163*H163/(1+Assumptions!$B$4)^E163)</f>
        <v/>
      </c>
      <c r="J163" s="7">
        <f>IF(A163="","",C163&gt;=Assumptions!$B$10)</f>
        <v/>
      </c>
    </row>
    <row r="164">
      <c r="A164" s="12" t="n"/>
      <c r="B164" s="10" t="n"/>
      <c r="C164" s="13" t="n"/>
      <c r="D164" s="11" t="n"/>
      <c r="E164" s="14">
        <f>IF(A164="","",MAX(0,Assumptions!$B$8-B164))</f>
        <v/>
      </c>
      <c r="F164" s="15">
        <f>IF(A164="","",D164*(1+Assumptions!$B$5)^E164)</f>
        <v/>
      </c>
      <c r="G164" s="15">
        <f>IF(A164="","",MIN(Assumptions!$B$9,15/26*F164*C164))</f>
        <v/>
      </c>
      <c r="H164" s="16">
        <f>IF(A164="","",(1-Assumptions!$B$6-Assumptions!$B$7)^E164)</f>
        <v/>
      </c>
      <c r="I164" s="15">
        <f>IF(A164="","",G164*H164/(1+Assumptions!$B$4)^E164)</f>
        <v/>
      </c>
      <c r="J164" s="7">
        <f>IF(A164="","",C164&gt;=Assumptions!$B$10)</f>
        <v/>
      </c>
    </row>
    <row r="165">
      <c r="A165" s="12" t="n"/>
      <c r="B165" s="10" t="n"/>
      <c r="C165" s="13" t="n"/>
      <c r="D165" s="11" t="n"/>
      <c r="E165" s="14">
        <f>IF(A165="","",MAX(0,Assumptions!$B$8-B165))</f>
        <v/>
      </c>
      <c r="F165" s="15">
        <f>IF(A165="","",D165*(1+Assumptions!$B$5)^E165)</f>
        <v/>
      </c>
      <c r="G165" s="15">
        <f>IF(A165="","",MIN(Assumptions!$B$9,15/26*F165*C165))</f>
        <v/>
      </c>
      <c r="H165" s="16">
        <f>IF(A165="","",(1-Assumptions!$B$6-Assumptions!$B$7)^E165)</f>
        <v/>
      </c>
      <c r="I165" s="15">
        <f>IF(A165="","",G165*H165/(1+Assumptions!$B$4)^E165)</f>
        <v/>
      </c>
      <c r="J165" s="7">
        <f>IF(A165="","",C165&gt;=Assumptions!$B$10)</f>
        <v/>
      </c>
    </row>
    <row r="166">
      <c r="A166" s="12" t="n"/>
      <c r="B166" s="10" t="n"/>
      <c r="C166" s="13" t="n"/>
      <c r="D166" s="11" t="n"/>
      <c r="E166" s="14">
        <f>IF(A166="","",MAX(0,Assumptions!$B$8-B166))</f>
        <v/>
      </c>
      <c r="F166" s="15">
        <f>IF(A166="","",D166*(1+Assumptions!$B$5)^E166)</f>
        <v/>
      </c>
      <c r="G166" s="15">
        <f>IF(A166="","",MIN(Assumptions!$B$9,15/26*F166*C166))</f>
        <v/>
      </c>
      <c r="H166" s="16">
        <f>IF(A166="","",(1-Assumptions!$B$6-Assumptions!$B$7)^E166)</f>
        <v/>
      </c>
      <c r="I166" s="15">
        <f>IF(A166="","",G166*H166/(1+Assumptions!$B$4)^E166)</f>
        <v/>
      </c>
      <c r="J166" s="7">
        <f>IF(A166="","",C166&gt;=Assumptions!$B$10)</f>
        <v/>
      </c>
    </row>
    <row r="167">
      <c r="A167" s="12" t="n"/>
      <c r="B167" s="10" t="n"/>
      <c r="C167" s="13" t="n"/>
      <c r="D167" s="11" t="n"/>
      <c r="E167" s="14">
        <f>IF(A167="","",MAX(0,Assumptions!$B$8-B167))</f>
        <v/>
      </c>
      <c r="F167" s="15">
        <f>IF(A167="","",D167*(1+Assumptions!$B$5)^E167)</f>
        <v/>
      </c>
      <c r="G167" s="15">
        <f>IF(A167="","",MIN(Assumptions!$B$9,15/26*F167*C167))</f>
        <v/>
      </c>
      <c r="H167" s="16">
        <f>IF(A167="","",(1-Assumptions!$B$6-Assumptions!$B$7)^E167)</f>
        <v/>
      </c>
      <c r="I167" s="15">
        <f>IF(A167="","",G167*H167/(1+Assumptions!$B$4)^E167)</f>
        <v/>
      </c>
      <c r="J167" s="7">
        <f>IF(A167="","",C167&gt;=Assumptions!$B$10)</f>
        <v/>
      </c>
    </row>
    <row r="168">
      <c r="A168" s="12" t="n"/>
      <c r="B168" s="10" t="n"/>
      <c r="C168" s="13" t="n"/>
      <c r="D168" s="11" t="n"/>
      <c r="E168" s="14">
        <f>IF(A168="","",MAX(0,Assumptions!$B$8-B168))</f>
        <v/>
      </c>
      <c r="F168" s="15">
        <f>IF(A168="","",D168*(1+Assumptions!$B$5)^E168)</f>
        <v/>
      </c>
      <c r="G168" s="15">
        <f>IF(A168="","",MIN(Assumptions!$B$9,15/26*F168*C168))</f>
        <v/>
      </c>
      <c r="H168" s="16">
        <f>IF(A168="","",(1-Assumptions!$B$6-Assumptions!$B$7)^E168)</f>
        <v/>
      </c>
      <c r="I168" s="15">
        <f>IF(A168="","",G168*H168/(1+Assumptions!$B$4)^E168)</f>
        <v/>
      </c>
      <c r="J168" s="7">
        <f>IF(A168="","",C168&gt;=Assumptions!$B$10)</f>
        <v/>
      </c>
    </row>
    <row r="169">
      <c r="A169" s="12" t="n"/>
      <c r="B169" s="10" t="n"/>
      <c r="C169" s="13" t="n"/>
      <c r="D169" s="11" t="n"/>
      <c r="E169" s="14">
        <f>IF(A169="","",MAX(0,Assumptions!$B$8-B169))</f>
        <v/>
      </c>
      <c r="F169" s="15">
        <f>IF(A169="","",D169*(1+Assumptions!$B$5)^E169)</f>
        <v/>
      </c>
      <c r="G169" s="15">
        <f>IF(A169="","",MIN(Assumptions!$B$9,15/26*F169*C169))</f>
        <v/>
      </c>
      <c r="H169" s="16">
        <f>IF(A169="","",(1-Assumptions!$B$6-Assumptions!$B$7)^E169)</f>
        <v/>
      </c>
      <c r="I169" s="15">
        <f>IF(A169="","",G169*H169/(1+Assumptions!$B$4)^E169)</f>
        <v/>
      </c>
      <c r="J169" s="7">
        <f>IF(A169="","",C169&gt;=Assumptions!$B$10)</f>
        <v/>
      </c>
    </row>
    <row r="170">
      <c r="A170" s="12" t="n"/>
      <c r="B170" s="10" t="n"/>
      <c r="C170" s="13" t="n"/>
      <c r="D170" s="11" t="n"/>
      <c r="E170" s="14">
        <f>IF(A170="","",MAX(0,Assumptions!$B$8-B170))</f>
        <v/>
      </c>
      <c r="F170" s="15">
        <f>IF(A170="","",D170*(1+Assumptions!$B$5)^E170)</f>
        <v/>
      </c>
      <c r="G170" s="15">
        <f>IF(A170="","",MIN(Assumptions!$B$9,15/26*F170*C170))</f>
        <v/>
      </c>
      <c r="H170" s="16">
        <f>IF(A170="","",(1-Assumptions!$B$6-Assumptions!$B$7)^E170)</f>
        <v/>
      </c>
      <c r="I170" s="15">
        <f>IF(A170="","",G170*H170/(1+Assumptions!$B$4)^E170)</f>
        <v/>
      </c>
      <c r="J170" s="7">
        <f>IF(A170="","",C170&gt;=Assumptions!$B$10)</f>
        <v/>
      </c>
    </row>
    <row r="171">
      <c r="A171" s="12" t="n"/>
      <c r="B171" s="10" t="n"/>
      <c r="C171" s="13" t="n"/>
      <c r="D171" s="11" t="n"/>
      <c r="E171" s="14">
        <f>IF(A171="","",MAX(0,Assumptions!$B$8-B171))</f>
        <v/>
      </c>
      <c r="F171" s="15">
        <f>IF(A171="","",D171*(1+Assumptions!$B$5)^E171)</f>
        <v/>
      </c>
      <c r="G171" s="15">
        <f>IF(A171="","",MIN(Assumptions!$B$9,15/26*F171*C171))</f>
        <v/>
      </c>
      <c r="H171" s="16">
        <f>IF(A171="","",(1-Assumptions!$B$6-Assumptions!$B$7)^E171)</f>
        <v/>
      </c>
      <c r="I171" s="15">
        <f>IF(A171="","",G171*H171/(1+Assumptions!$B$4)^E171)</f>
        <v/>
      </c>
      <c r="J171" s="7">
        <f>IF(A171="","",C171&gt;=Assumptions!$B$10)</f>
        <v/>
      </c>
    </row>
    <row r="172">
      <c r="A172" s="12" t="n"/>
      <c r="B172" s="10" t="n"/>
      <c r="C172" s="13" t="n"/>
      <c r="D172" s="11" t="n"/>
      <c r="E172" s="14">
        <f>IF(A172="","",MAX(0,Assumptions!$B$8-B172))</f>
        <v/>
      </c>
      <c r="F172" s="15">
        <f>IF(A172="","",D172*(1+Assumptions!$B$5)^E172)</f>
        <v/>
      </c>
      <c r="G172" s="15">
        <f>IF(A172="","",MIN(Assumptions!$B$9,15/26*F172*C172))</f>
        <v/>
      </c>
      <c r="H172" s="16">
        <f>IF(A172="","",(1-Assumptions!$B$6-Assumptions!$B$7)^E172)</f>
        <v/>
      </c>
      <c r="I172" s="15">
        <f>IF(A172="","",G172*H172/(1+Assumptions!$B$4)^E172)</f>
        <v/>
      </c>
      <c r="J172" s="7">
        <f>IF(A172="","",C172&gt;=Assumptions!$B$10)</f>
        <v/>
      </c>
    </row>
    <row r="173">
      <c r="A173" s="12" t="n"/>
      <c r="B173" s="10" t="n"/>
      <c r="C173" s="13" t="n"/>
      <c r="D173" s="11" t="n"/>
      <c r="E173" s="14">
        <f>IF(A173="","",MAX(0,Assumptions!$B$8-B173))</f>
        <v/>
      </c>
      <c r="F173" s="15">
        <f>IF(A173="","",D173*(1+Assumptions!$B$5)^E173)</f>
        <v/>
      </c>
      <c r="G173" s="15">
        <f>IF(A173="","",MIN(Assumptions!$B$9,15/26*F173*C173))</f>
        <v/>
      </c>
      <c r="H173" s="16">
        <f>IF(A173="","",(1-Assumptions!$B$6-Assumptions!$B$7)^E173)</f>
        <v/>
      </c>
      <c r="I173" s="15">
        <f>IF(A173="","",G173*H173/(1+Assumptions!$B$4)^E173)</f>
        <v/>
      </c>
      <c r="J173" s="7">
        <f>IF(A173="","",C173&gt;=Assumptions!$B$10)</f>
        <v/>
      </c>
    </row>
    <row r="174">
      <c r="A174" s="12" t="n"/>
      <c r="B174" s="10" t="n"/>
      <c r="C174" s="13" t="n"/>
      <c r="D174" s="11" t="n"/>
      <c r="E174" s="14">
        <f>IF(A174="","",MAX(0,Assumptions!$B$8-B174))</f>
        <v/>
      </c>
      <c r="F174" s="15">
        <f>IF(A174="","",D174*(1+Assumptions!$B$5)^E174)</f>
        <v/>
      </c>
      <c r="G174" s="15">
        <f>IF(A174="","",MIN(Assumptions!$B$9,15/26*F174*C174))</f>
        <v/>
      </c>
      <c r="H174" s="16">
        <f>IF(A174="","",(1-Assumptions!$B$6-Assumptions!$B$7)^E174)</f>
        <v/>
      </c>
      <c r="I174" s="15">
        <f>IF(A174="","",G174*H174/(1+Assumptions!$B$4)^E174)</f>
        <v/>
      </c>
      <c r="J174" s="7">
        <f>IF(A174="","",C174&gt;=Assumptions!$B$10)</f>
        <v/>
      </c>
    </row>
    <row r="175">
      <c r="A175" s="12" t="n"/>
      <c r="B175" s="10" t="n"/>
      <c r="C175" s="13" t="n"/>
      <c r="D175" s="11" t="n"/>
      <c r="E175" s="14">
        <f>IF(A175="","",MAX(0,Assumptions!$B$8-B175))</f>
        <v/>
      </c>
      <c r="F175" s="15">
        <f>IF(A175="","",D175*(1+Assumptions!$B$5)^E175)</f>
        <v/>
      </c>
      <c r="G175" s="15">
        <f>IF(A175="","",MIN(Assumptions!$B$9,15/26*F175*C175))</f>
        <v/>
      </c>
      <c r="H175" s="16">
        <f>IF(A175="","",(1-Assumptions!$B$6-Assumptions!$B$7)^E175)</f>
        <v/>
      </c>
      <c r="I175" s="15">
        <f>IF(A175="","",G175*H175/(1+Assumptions!$B$4)^E175)</f>
        <v/>
      </c>
      <c r="J175" s="7">
        <f>IF(A175="","",C175&gt;=Assumptions!$B$10)</f>
        <v/>
      </c>
    </row>
    <row r="176">
      <c r="A176" s="12" t="n"/>
      <c r="B176" s="10" t="n"/>
      <c r="C176" s="13" t="n"/>
      <c r="D176" s="11" t="n"/>
      <c r="E176" s="14">
        <f>IF(A176="","",MAX(0,Assumptions!$B$8-B176))</f>
        <v/>
      </c>
      <c r="F176" s="15">
        <f>IF(A176="","",D176*(1+Assumptions!$B$5)^E176)</f>
        <v/>
      </c>
      <c r="G176" s="15">
        <f>IF(A176="","",MIN(Assumptions!$B$9,15/26*F176*C176))</f>
        <v/>
      </c>
      <c r="H176" s="16">
        <f>IF(A176="","",(1-Assumptions!$B$6-Assumptions!$B$7)^E176)</f>
        <v/>
      </c>
      <c r="I176" s="15">
        <f>IF(A176="","",G176*H176/(1+Assumptions!$B$4)^E176)</f>
        <v/>
      </c>
      <c r="J176" s="7">
        <f>IF(A176="","",C176&gt;=Assumptions!$B$10)</f>
        <v/>
      </c>
    </row>
    <row r="177">
      <c r="A177" s="12" t="n"/>
      <c r="B177" s="10" t="n"/>
      <c r="C177" s="13" t="n"/>
      <c r="D177" s="11" t="n"/>
      <c r="E177" s="14">
        <f>IF(A177="","",MAX(0,Assumptions!$B$8-B177))</f>
        <v/>
      </c>
      <c r="F177" s="15">
        <f>IF(A177="","",D177*(1+Assumptions!$B$5)^E177)</f>
        <v/>
      </c>
      <c r="G177" s="15">
        <f>IF(A177="","",MIN(Assumptions!$B$9,15/26*F177*C177))</f>
        <v/>
      </c>
      <c r="H177" s="16">
        <f>IF(A177="","",(1-Assumptions!$B$6-Assumptions!$B$7)^E177)</f>
        <v/>
      </c>
      <c r="I177" s="15">
        <f>IF(A177="","",G177*H177/(1+Assumptions!$B$4)^E177)</f>
        <v/>
      </c>
      <c r="J177" s="7">
        <f>IF(A177="","",C177&gt;=Assumptions!$B$10)</f>
        <v/>
      </c>
    </row>
    <row r="178">
      <c r="A178" s="12" t="n"/>
      <c r="B178" s="10" t="n"/>
      <c r="C178" s="13" t="n"/>
      <c r="D178" s="11" t="n"/>
      <c r="E178" s="14">
        <f>IF(A178="","",MAX(0,Assumptions!$B$8-B178))</f>
        <v/>
      </c>
      <c r="F178" s="15">
        <f>IF(A178="","",D178*(1+Assumptions!$B$5)^E178)</f>
        <v/>
      </c>
      <c r="G178" s="15">
        <f>IF(A178="","",MIN(Assumptions!$B$9,15/26*F178*C178))</f>
        <v/>
      </c>
      <c r="H178" s="16">
        <f>IF(A178="","",(1-Assumptions!$B$6-Assumptions!$B$7)^E178)</f>
        <v/>
      </c>
      <c r="I178" s="15">
        <f>IF(A178="","",G178*H178/(1+Assumptions!$B$4)^E178)</f>
        <v/>
      </c>
      <c r="J178" s="7">
        <f>IF(A178="","",C178&gt;=Assumptions!$B$10)</f>
        <v/>
      </c>
    </row>
    <row r="179">
      <c r="A179" s="12" t="n"/>
      <c r="B179" s="10" t="n"/>
      <c r="C179" s="13" t="n"/>
      <c r="D179" s="11" t="n"/>
      <c r="E179" s="14">
        <f>IF(A179="","",MAX(0,Assumptions!$B$8-B179))</f>
        <v/>
      </c>
      <c r="F179" s="15">
        <f>IF(A179="","",D179*(1+Assumptions!$B$5)^E179)</f>
        <v/>
      </c>
      <c r="G179" s="15">
        <f>IF(A179="","",MIN(Assumptions!$B$9,15/26*F179*C179))</f>
        <v/>
      </c>
      <c r="H179" s="16">
        <f>IF(A179="","",(1-Assumptions!$B$6-Assumptions!$B$7)^E179)</f>
        <v/>
      </c>
      <c r="I179" s="15">
        <f>IF(A179="","",G179*H179/(1+Assumptions!$B$4)^E179)</f>
        <v/>
      </c>
      <c r="J179" s="7">
        <f>IF(A179="","",C179&gt;=Assumptions!$B$10)</f>
        <v/>
      </c>
    </row>
    <row r="180">
      <c r="A180" s="12" t="n"/>
      <c r="B180" s="10" t="n"/>
      <c r="C180" s="13" t="n"/>
      <c r="D180" s="11" t="n"/>
      <c r="E180" s="14">
        <f>IF(A180="","",MAX(0,Assumptions!$B$8-B180))</f>
        <v/>
      </c>
      <c r="F180" s="15">
        <f>IF(A180="","",D180*(1+Assumptions!$B$5)^E180)</f>
        <v/>
      </c>
      <c r="G180" s="15">
        <f>IF(A180="","",MIN(Assumptions!$B$9,15/26*F180*C180))</f>
        <v/>
      </c>
      <c r="H180" s="16">
        <f>IF(A180="","",(1-Assumptions!$B$6-Assumptions!$B$7)^E180)</f>
        <v/>
      </c>
      <c r="I180" s="15">
        <f>IF(A180="","",G180*H180/(1+Assumptions!$B$4)^E180)</f>
        <v/>
      </c>
      <c r="J180" s="7">
        <f>IF(A180="","",C180&gt;=Assumptions!$B$10)</f>
        <v/>
      </c>
    </row>
    <row r="181">
      <c r="A181" s="12" t="n"/>
      <c r="B181" s="10" t="n"/>
      <c r="C181" s="13" t="n"/>
      <c r="D181" s="11" t="n"/>
      <c r="E181" s="14">
        <f>IF(A181="","",MAX(0,Assumptions!$B$8-B181))</f>
        <v/>
      </c>
      <c r="F181" s="15">
        <f>IF(A181="","",D181*(1+Assumptions!$B$5)^E181)</f>
        <v/>
      </c>
      <c r="G181" s="15">
        <f>IF(A181="","",MIN(Assumptions!$B$9,15/26*F181*C181))</f>
        <v/>
      </c>
      <c r="H181" s="16">
        <f>IF(A181="","",(1-Assumptions!$B$6-Assumptions!$B$7)^E181)</f>
        <v/>
      </c>
      <c r="I181" s="15">
        <f>IF(A181="","",G181*H181/(1+Assumptions!$B$4)^E181)</f>
        <v/>
      </c>
      <c r="J181" s="7">
        <f>IF(A181="","",C181&gt;=Assumptions!$B$10)</f>
        <v/>
      </c>
    </row>
    <row r="182">
      <c r="A182" s="12" t="n"/>
      <c r="B182" s="10" t="n"/>
      <c r="C182" s="13" t="n"/>
      <c r="D182" s="11" t="n"/>
      <c r="E182" s="14">
        <f>IF(A182="","",MAX(0,Assumptions!$B$8-B182))</f>
        <v/>
      </c>
      <c r="F182" s="15">
        <f>IF(A182="","",D182*(1+Assumptions!$B$5)^E182)</f>
        <v/>
      </c>
      <c r="G182" s="15">
        <f>IF(A182="","",MIN(Assumptions!$B$9,15/26*F182*C182))</f>
        <v/>
      </c>
      <c r="H182" s="16">
        <f>IF(A182="","",(1-Assumptions!$B$6-Assumptions!$B$7)^E182)</f>
        <v/>
      </c>
      <c r="I182" s="15">
        <f>IF(A182="","",G182*H182/(1+Assumptions!$B$4)^E182)</f>
        <v/>
      </c>
      <c r="J182" s="7">
        <f>IF(A182="","",C182&gt;=Assumptions!$B$10)</f>
        <v/>
      </c>
    </row>
    <row r="183">
      <c r="A183" s="12" t="n"/>
      <c r="B183" s="10" t="n"/>
      <c r="C183" s="13" t="n"/>
      <c r="D183" s="11" t="n"/>
      <c r="E183" s="14">
        <f>IF(A183="","",MAX(0,Assumptions!$B$8-B183))</f>
        <v/>
      </c>
      <c r="F183" s="15">
        <f>IF(A183="","",D183*(1+Assumptions!$B$5)^E183)</f>
        <v/>
      </c>
      <c r="G183" s="15">
        <f>IF(A183="","",MIN(Assumptions!$B$9,15/26*F183*C183))</f>
        <v/>
      </c>
      <c r="H183" s="16">
        <f>IF(A183="","",(1-Assumptions!$B$6-Assumptions!$B$7)^E183)</f>
        <v/>
      </c>
      <c r="I183" s="15">
        <f>IF(A183="","",G183*H183/(1+Assumptions!$B$4)^E183)</f>
        <v/>
      </c>
      <c r="J183" s="7">
        <f>IF(A183="","",C183&gt;=Assumptions!$B$10)</f>
        <v/>
      </c>
    </row>
    <row r="184">
      <c r="A184" s="12" t="n"/>
      <c r="B184" s="10" t="n"/>
      <c r="C184" s="13" t="n"/>
      <c r="D184" s="11" t="n"/>
      <c r="E184" s="14">
        <f>IF(A184="","",MAX(0,Assumptions!$B$8-B184))</f>
        <v/>
      </c>
      <c r="F184" s="15">
        <f>IF(A184="","",D184*(1+Assumptions!$B$5)^E184)</f>
        <v/>
      </c>
      <c r="G184" s="15">
        <f>IF(A184="","",MIN(Assumptions!$B$9,15/26*F184*C184))</f>
        <v/>
      </c>
      <c r="H184" s="16">
        <f>IF(A184="","",(1-Assumptions!$B$6-Assumptions!$B$7)^E184)</f>
        <v/>
      </c>
      <c r="I184" s="15">
        <f>IF(A184="","",G184*H184/(1+Assumptions!$B$4)^E184)</f>
        <v/>
      </c>
      <c r="J184" s="7">
        <f>IF(A184="","",C184&gt;=Assumptions!$B$10)</f>
        <v/>
      </c>
    </row>
    <row r="185">
      <c r="A185" s="12" t="n"/>
      <c r="B185" s="10" t="n"/>
      <c r="C185" s="13" t="n"/>
      <c r="D185" s="11" t="n"/>
      <c r="E185" s="14">
        <f>IF(A185="","",MAX(0,Assumptions!$B$8-B185))</f>
        <v/>
      </c>
      <c r="F185" s="15">
        <f>IF(A185="","",D185*(1+Assumptions!$B$5)^E185)</f>
        <v/>
      </c>
      <c r="G185" s="15">
        <f>IF(A185="","",MIN(Assumptions!$B$9,15/26*F185*C185))</f>
        <v/>
      </c>
      <c r="H185" s="16">
        <f>IF(A185="","",(1-Assumptions!$B$6-Assumptions!$B$7)^E185)</f>
        <v/>
      </c>
      <c r="I185" s="15">
        <f>IF(A185="","",G185*H185/(1+Assumptions!$B$4)^E185)</f>
        <v/>
      </c>
      <c r="J185" s="7">
        <f>IF(A185="","",C185&gt;=Assumptions!$B$10)</f>
        <v/>
      </c>
    </row>
    <row r="186">
      <c r="A186" s="12" t="n"/>
      <c r="B186" s="10" t="n"/>
      <c r="C186" s="13" t="n"/>
      <c r="D186" s="11" t="n"/>
      <c r="E186" s="14">
        <f>IF(A186="","",MAX(0,Assumptions!$B$8-B186))</f>
        <v/>
      </c>
      <c r="F186" s="15">
        <f>IF(A186="","",D186*(1+Assumptions!$B$5)^E186)</f>
        <v/>
      </c>
      <c r="G186" s="15">
        <f>IF(A186="","",MIN(Assumptions!$B$9,15/26*F186*C186))</f>
        <v/>
      </c>
      <c r="H186" s="16">
        <f>IF(A186="","",(1-Assumptions!$B$6-Assumptions!$B$7)^E186)</f>
        <v/>
      </c>
      <c r="I186" s="15">
        <f>IF(A186="","",G186*H186/(1+Assumptions!$B$4)^E186)</f>
        <v/>
      </c>
      <c r="J186" s="7">
        <f>IF(A186="","",C186&gt;=Assumptions!$B$10)</f>
        <v/>
      </c>
    </row>
    <row r="187">
      <c r="A187" s="12" t="n"/>
      <c r="B187" s="10" t="n"/>
      <c r="C187" s="13" t="n"/>
      <c r="D187" s="11" t="n"/>
      <c r="E187" s="14">
        <f>IF(A187="","",MAX(0,Assumptions!$B$8-B187))</f>
        <v/>
      </c>
      <c r="F187" s="15">
        <f>IF(A187="","",D187*(1+Assumptions!$B$5)^E187)</f>
        <v/>
      </c>
      <c r="G187" s="15">
        <f>IF(A187="","",MIN(Assumptions!$B$9,15/26*F187*C187))</f>
        <v/>
      </c>
      <c r="H187" s="16">
        <f>IF(A187="","",(1-Assumptions!$B$6-Assumptions!$B$7)^E187)</f>
        <v/>
      </c>
      <c r="I187" s="15">
        <f>IF(A187="","",G187*H187/(1+Assumptions!$B$4)^E187)</f>
        <v/>
      </c>
      <c r="J187" s="7">
        <f>IF(A187="","",C187&gt;=Assumptions!$B$10)</f>
        <v/>
      </c>
    </row>
    <row r="188">
      <c r="A188" s="12" t="n"/>
      <c r="B188" s="10" t="n"/>
      <c r="C188" s="13" t="n"/>
      <c r="D188" s="11" t="n"/>
      <c r="E188" s="14">
        <f>IF(A188="","",MAX(0,Assumptions!$B$8-B188))</f>
        <v/>
      </c>
      <c r="F188" s="15">
        <f>IF(A188="","",D188*(1+Assumptions!$B$5)^E188)</f>
        <v/>
      </c>
      <c r="G188" s="15">
        <f>IF(A188="","",MIN(Assumptions!$B$9,15/26*F188*C188))</f>
        <v/>
      </c>
      <c r="H188" s="16">
        <f>IF(A188="","",(1-Assumptions!$B$6-Assumptions!$B$7)^E188)</f>
        <v/>
      </c>
      <c r="I188" s="15">
        <f>IF(A188="","",G188*H188/(1+Assumptions!$B$4)^E188)</f>
        <v/>
      </c>
      <c r="J188" s="7">
        <f>IF(A188="","",C188&gt;=Assumptions!$B$10)</f>
        <v/>
      </c>
    </row>
    <row r="189">
      <c r="A189" s="12" t="n"/>
      <c r="B189" s="10" t="n"/>
      <c r="C189" s="13" t="n"/>
      <c r="D189" s="11" t="n"/>
      <c r="E189" s="14">
        <f>IF(A189="","",MAX(0,Assumptions!$B$8-B189))</f>
        <v/>
      </c>
      <c r="F189" s="15">
        <f>IF(A189="","",D189*(1+Assumptions!$B$5)^E189)</f>
        <v/>
      </c>
      <c r="G189" s="15">
        <f>IF(A189="","",MIN(Assumptions!$B$9,15/26*F189*C189))</f>
        <v/>
      </c>
      <c r="H189" s="16">
        <f>IF(A189="","",(1-Assumptions!$B$6-Assumptions!$B$7)^E189)</f>
        <v/>
      </c>
      <c r="I189" s="15">
        <f>IF(A189="","",G189*H189/(1+Assumptions!$B$4)^E189)</f>
        <v/>
      </c>
      <c r="J189" s="7">
        <f>IF(A189="","",C189&gt;=Assumptions!$B$10)</f>
        <v/>
      </c>
    </row>
    <row r="190">
      <c r="A190" s="12" t="n"/>
      <c r="B190" s="10" t="n"/>
      <c r="C190" s="13" t="n"/>
      <c r="D190" s="11" t="n"/>
      <c r="E190" s="14">
        <f>IF(A190="","",MAX(0,Assumptions!$B$8-B190))</f>
        <v/>
      </c>
      <c r="F190" s="15">
        <f>IF(A190="","",D190*(1+Assumptions!$B$5)^E190)</f>
        <v/>
      </c>
      <c r="G190" s="15">
        <f>IF(A190="","",MIN(Assumptions!$B$9,15/26*F190*C190))</f>
        <v/>
      </c>
      <c r="H190" s="16">
        <f>IF(A190="","",(1-Assumptions!$B$6-Assumptions!$B$7)^E190)</f>
        <v/>
      </c>
      <c r="I190" s="15">
        <f>IF(A190="","",G190*H190/(1+Assumptions!$B$4)^E190)</f>
        <v/>
      </c>
      <c r="J190" s="7">
        <f>IF(A190="","",C190&gt;=Assumptions!$B$10)</f>
        <v/>
      </c>
    </row>
    <row r="191">
      <c r="A191" s="12" t="n"/>
      <c r="B191" s="10" t="n"/>
      <c r="C191" s="13" t="n"/>
      <c r="D191" s="11" t="n"/>
      <c r="E191" s="14">
        <f>IF(A191="","",MAX(0,Assumptions!$B$8-B191))</f>
        <v/>
      </c>
      <c r="F191" s="15">
        <f>IF(A191="","",D191*(1+Assumptions!$B$5)^E191)</f>
        <v/>
      </c>
      <c r="G191" s="15">
        <f>IF(A191="","",MIN(Assumptions!$B$9,15/26*F191*C191))</f>
        <v/>
      </c>
      <c r="H191" s="16">
        <f>IF(A191="","",(1-Assumptions!$B$6-Assumptions!$B$7)^E191)</f>
        <v/>
      </c>
      <c r="I191" s="15">
        <f>IF(A191="","",G191*H191/(1+Assumptions!$B$4)^E191)</f>
        <v/>
      </c>
      <c r="J191" s="7">
        <f>IF(A191="","",C191&gt;=Assumptions!$B$10)</f>
        <v/>
      </c>
    </row>
    <row r="192">
      <c r="A192" s="12" t="n"/>
      <c r="B192" s="10" t="n"/>
      <c r="C192" s="13" t="n"/>
      <c r="D192" s="11" t="n"/>
      <c r="E192" s="14">
        <f>IF(A192="","",MAX(0,Assumptions!$B$8-B192))</f>
        <v/>
      </c>
      <c r="F192" s="15">
        <f>IF(A192="","",D192*(1+Assumptions!$B$5)^E192)</f>
        <v/>
      </c>
      <c r="G192" s="15">
        <f>IF(A192="","",MIN(Assumptions!$B$9,15/26*F192*C192))</f>
        <v/>
      </c>
      <c r="H192" s="16">
        <f>IF(A192="","",(1-Assumptions!$B$6-Assumptions!$B$7)^E192)</f>
        <v/>
      </c>
      <c r="I192" s="15">
        <f>IF(A192="","",G192*H192/(1+Assumptions!$B$4)^E192)</f>
        <v/>
      </c>
      <c r="J192" s="7">
        <f>IF(A192="","",C192&gt;=Assumptions!$B$10)</f>
        <v/>
      </c>
    </row>
    <row r="193">
      <c r="A193" s="12" t="n"/>
      <c r="B193" s="10" t="n"/>
      <c r="C193" s="13" t="n"/>
      <c r="D193" s="11" t="n"/>
      <c r="E193" s="14">
        <f>IF(A193="","",MAX(0,Assumptions!$B$8-B193))</f>
        <v/>
      </c>
      <c r="F193" s="15">
        <f>IF(A193="","",D193*(1+Assumptions!$B$5)^E193)</f>
        <v/>
      </c>
      <c r="G193" s="15">
        <f>IF(A193="","",MIN(Assumptions!$B$9,15/26*F193*C193))</f>
        <v/>
      </c>
      <c r="H193" s="16">
        <f>IF(A193="","",(1-Assumptions!$B$6-Assumptions!$B$7)^E193)</f>
        <v/>
      </c>
      <c r="I193" s="15">
        <f>IF(A193="","",G193*H193/(1+Assumptions!$B$4)^E193)</f>
        <v/>
      </c>
      <c r="J193" s="7">
        <f>IF(A193="","",C193&gt;=Assumptions!$B$10)</f>
        <v/>
      </c>
    </row>
    <row r="194">
      <c r="A194" s="12" t="n"/>
      <c r="B194" s="10" t="n"/>
      <c r="C194" s="13" t="n"/>
      <c r="D194" s="11" t="n"/>
      <c r="E194" s="14">
        <f>IF(A194="","",MAX(0,Assumptions!$B$8-B194))</f>
        <v/>
      </c>
      <c r="F194" s="15">
        <f>IF(A194="","",D194*(1+Assumptions!$B$5)^E194)</f>
        <v/>
      </c>
      <c r="G194" s="15">
        <f>IF(A194="","",MIN(Assumptions!$B$9,15/26*F194*C194))</f>
        <v/>
      </c>
      <c r="H194" s="16">
        <f>IF(A194="","",(1-Assumptions!$B$6-Assumptions!$B$7)^E194)</f>
        <v/>
      </c>
      <c r="I194" s="15">
        <f>IF(A194="","",G194*H194/(1+Assumptions!$B$4)^E194)</f>
        <v/>
      </c>
      <c r="J194" s="7">
        <f>IF(A194="","",C194&gt;=Assumptions!$B$10)</f>
        <v/>
      </c>
    </row>
    <row r="195">
      <c r="A195" s="12" t="n"/>
      <c r="B195" s="10" t="n"/>
      <c r="C195" s="13" t="n"/>
      <c r="D195" s="11" t="n"/>
      <c r="E195" s="14">
        <f>IF(A195="","",MAX(0,Assumptions!$B$8-B195))</f>
        <v/>
      </c>
      <c r="F195" s="15">
        <f>IF(A195="","",D195*(1+Assumptions!$B$5)^E195)</f>
        <v/>
      </c>
      <c r="G195" s="15">
        <f>IF(A195="","",MIN(Assumptions!$B$9,15/26*F195*C195))</f>
        <v/>
      </c>
      <c r="H195" s="16">
        <f>IF(A195="","",(1-Assumptions!$B$6-Assumptions!$B$7)^E195)</f>
        <v/>
      </c>
      <c r="I195" s="15">
        <f>IF(A195="","",G195*H195/(1+Assumptions!$B$4)^E195)</f>
        <v/>
      </c>
      <c r="J195" s="7">
        <f>IF(A195="","",C195&gt;=Assumptions!$B$10)</f>
        <v/>
      </c>
    </row>
    <row r="196">
      <c r="A196" s="12" t="n"/>
      <c r="B196" s="10" t="n"/>
      <c r="C196" s="13" t="n"/>
      <c r="D196" s="11" t="n"/>
      <c r="E196" s="14">
        <f>IF(A196="","",MAX(0,Assumptions!$B$8-B196))</f>
        <v/>
      </c>
      <c r="F196" s="15">
        <f>IF(A196="","",D196*(1+Assumptions!$B$5)^E196)</f>
        <v/>
      </c>
      <c r="G196" s="15">
        <f>IF(A196="","",MIN(Assumptions!$B$9,15/26*F196*C196))</f>
        <v/>
      </c>
      <c r="H196" s="16">
        <f>IF(A196="","",(1-Assumptions!$B$6-Assumptions!$B$7)^E196)</f>
        <v/>
      </c>
      <c r="I196" s="15">
        <f>IF(A196="","",G196*H196/(1+Assumptions!$B$4)^E196)</f>
        <v/>
      </c>
      <c r="J196" s="7">
        <f>IF(A196="","",C196&gt;=Assumptions!$B$10)</f>
        <v/>
      </c>
    </row>
    <row r="197">
      <c r="A197" s="12" t="n"/>
      <c r="B197" s="10" t="n"/>
      <c r="C197" s="13" t="n"/>
      <c r="D197" s="11" t="n"/>
      <c r="E197" s="14">
        <f>IF(A197="","",MAX(0,Assumptions!$B$8-B197))</f>
        <v/>
      </c>
      <c r="F197" s="15">
        <f>IF(A197="","",D197*(1+Assumptions!$B$5)^E197)</f>
        <v/>
      </c>
      <c r="G197" s="15">
        <f>IF(A197="","",MIN(Assumptions!$B$9,15/26*F197*C197))</f>
        <v/>
      </c>
      <c r="H197" s="16">
        <f>IF(A197="","",(1-Assumptions!$B$6-Assumptions!$B$7)^E197)</f>
        <v/>
      </c>
      <c r="I197" s="15">
        <f>IF(A197="","",G197*H197/(1+Assumptions!$B$4)^E197)</f>
        <v/>
      </c>
      <c r="J197" s="7">
        <f>IF(A197="","",C197&gt;=Assumptions!$B$10)</f>
        <v/>
      </c>
    </row>
    <row r="198">
      <c r="A198" s="12" t="n"/>
      <c r="B198" s="10" t="n"/>
      <c r="C198" s="13" t="n"/>
      <c r="D198" s="11" t="n"/>
      <c r="E198" s="14">
        <f>IF(A198="","",MAX(0,Assumptions!$B$8-B198))</f>
        <v/>
      </c>
      <c r="F198" s="15">
        <f>IF(A198="","",D198*(1+Assumptions!$B$5)^E198)</f>
        <v/>
      </c>
      <c r="G198" s="15">
        <f>IF(A198="","",MIN(Assumptions!$B$9,15/26*F198*C198))</f>
        <v/>
      </c>
      <c r="H198" s="16">
        <f>IF(A198="","",(1-Assumptions!$B$6-Assumptions!$B$7)^E198)</f>
        <v/>
      </c>
      <c r="I198" s="15">
        <f>IF(A198="","",G198*H198/(1+Assumptions!$B$4)^E198)</f>
        <v/>
      </c>
      <c r="J198" s="7">
        <f>IF(A198="","",C198&gt;=Assumptions!$B$10)</f>
        <v/>
      </c>
    </row>
    <row r="199">
      <c r="A199" s="12" t="n"/>
      <c r="B199" s="10" t="n"/>
      <c r="C199" s="13" t="n"/>
      <c r="D199" s="11" t="n"/>
      <c r="E199" s="14">
        <f>IF(A199="","",MAX(0,Assumptions!$B$8-B199))</f>
        <v/>
      </c>
      <c r="F199" s="15">
        <f>IF(A199="","",D199*(1+Assumptions!$B$5)^E199)</f>
        <v/>
      </c>
      <c r="G199" s="15">
        <f>IF(A199="","",MIN(Assumptions!$B$9,15/26*F199*C199))</f>
        <v/>
      </c>
      <c r="H199" s="16">
        <f>IF(A199="","",(1-Assumptions!$B$6-Assumptions!$B$7)^E199)</f>
        <v/>
      </c>
      <c r="I199" s="15">
        <f>IF(A199="","",G199*H199/(1+Assumptions!$B$4)^E199)</f>
        <v/>
      </c>
      <c r="J199" s="7">
        <f>IF(A199="","",C199&gt;=Assumptions!$B$10)</f>
        <v/>
      </c>
    </row>
    <row r="200">
      <c r="A200" s="12" t="n"/>
      <c r="B200" s="10" t="n"/>
      <c r="C200" s="13" t="n"/>
      <c r="D200" s="11" t="n"/>
      <c r="E200" s="14">
        <f>IF(A200="","",MAX(0,Assumptions!$B$8-B200))</f>
        <v/>
      </c>
      <c r="F200" s="15">
        <f>IF(A200="","",D200*(1+Assumptions!$B$5)^E200)</f>
        <v/>
      </c>
      <c r="G200" s="15">
        <f>IF(A200="","",MIN(Assumptions!$B$9,15/26*F200*C200))</f>
        <v/>
      </c>
      <c r="H200" s="16">
        <f>IF(A200="","",(1-Assumptions!$B$6-Assumptions!$B$7)^E200)</f>
        <v/>
      </c>
      <c r="I200" s="15">
        <f>IF(A200="","",G200*H200/(1+Assumptions!$B$4)^E200)</f>
        <v/>
      </c>
      <c r="J200" s="7">
        <f>IF(A200="","",C200&gt;=Assumptions!$B$10)</f>
        <v/>
      </c>
    </row>
    <row r="201">
      <c r="A201" s="12" t="n"/>
      <c r="B201" s="10" t="n"/>
      <c r="C201" s="13" t="n"/>
      <c r="D201" s="11" t="n"/>
      <c r="E201" s="14">
        <f>IF(A201="","",MAX(0,Assumptions!$B$8-B201))</f>
        <v/>
      </c>
      <c r="F201" s="15">
        <f>IF(A201="","",D201*(1+Assumptions!$B$5)^E201)</f>
        <v/>
      </c>
      <c r="G201" s="15">
        <f>IF(A201="","",MIN(Assumptions!$B$9,15/26*F201*C201))</f>
        <v/>
      </c>
      <c r="H201" s="16">
        <f>IF(A201="","",(1-Assumptions!$B$6-Assumptions!$B$7)^E201)</f>
        <v/>
      </c>
      <c r="I201" s="15">
        <f>IF(A201="","",G201*H201/(1+Assumptions!$B$4)^E201)</f>
        <v/>
      </c>
      <c r="J201" s="7">
        <f>IF(A201="","",C201&gt;=Assumptions!$B$10)</f>
        <v/>
      </c>
    </row>
    <row r="202">
      <c r="A202" s="12" t="n"/>
      <c r="B202" s="10" t="n"/>
      <c r="C202" s="13" t="n"/>
      <c r="D202" s="11" t="n"/>
      <c r="E202" s="14">
        <f>IF(A202="","",MAX(0,Assumptions!$B$8-B202))</f>
        <v/>
      </c>
      <c r="F202" s="15">
        <f>IF(A202="","",D202*(1+Assumptions!$B$5)^E202)</f>
        <v/>
      </c>
      <c r="G202" s="15">
        <f>IF(A202="","",MIN(Assumptions!$B$9,15/26*F202*C202))</f>
        <v/>
      </c>
      <c r="H202" s="16">
        <f>IF(A202="","",(1-Assumptions!$B$6-Assumptions!$B$7)^E202)</f>
        <v/>
      </c>
      <c r="I202" s="15">
        <f>IF(A202="","",G202*H202/(1+Assumptions!$B$4)^E202)</f>
        <v/>
      </c>
      <c r="J202" s="7">
        <f>IF(A202="","",C202&gt;=Assumptions!$B$10)</f>
        <v/>
      </c>
    </row>
    <row r="203">
      <c r="A203" s="12" t="n"/>
      <c r="B203" s="10" t="n"/>
      <c r="C203" s="13" t="n"/>
      <c r="D203" s="11" t="n"/>
      <c r="E203" s="14">
        <f>IF(A203="","",MAX(0,Assumptions!$B$8-B203))</f>
        <v/>
      </c>
      <c r="F203" s="15">
        <f>IF(A203="","",D203*(1+Assumptions!$B$5)^E203)</f>
        <v/>
      </c>
      <c r="G203" s="15">
        <f>IF(A203="","",MIN(Assumptions!$B$9,15/26*F203*C203))</f>
        <v/>
      </c>
      <c r="H203" s="16">
        <f>IF(A203="","",(1-Assumptions!$B$6-Assumptions!$B$7)^E203)</f>
        <v/>
      </c>
      <c r="I203" s="15">
        <f>IF(A203="","",G203*H203/(1+Assumptions!$B$4)^E203)</f>
        <v/>
      </c>
      <c r="J203" s="7">
        <f>IF(A203="","",C203&gt;=Assumptions!$B$10)</f>
        <v/>
      </c>
    </row>
    <row r="204">
      <c r="A204" s="12" t="n"/>
      <c r="B204" s="10" t="n"/>
      <c r="C204" s="13" t="n"/>
      <c r="D204" s="11" t="n"/>
      <c r="E204" s="14">
        <f>IF(A204="","",MAX(0,Assumptions!$B$8-B204))</f>
        <v/>
      </c>
      <c r="F204" s="15">
        <f>IF(A204="","",D204*(1+Assumptions!$B$5)^E204)</f>
        <v/>
      </c>
      <c r="G204" s="15">
        <f>IF(A204="","",MIN(Assumptions!$B$9,15/26*F204*C204))</f>
        <v/>
      </c>
      <c r="H204" s="16">
        <f>IF(A204="","",(1-Assumptions!$B$6-Assumptions!$B$7)^E204)</f>
        <v/>
      </c>
      <c r="I204" s="15">
        <f>IF(A204="","",G204*H204/(1+Assumptions!$B$4)^E204)</f>
        <v/>
      </c>
      <c r="J204" s="7">
        <f>IF(A204="","",C204&gt;=Assumptions!$B$10)</f>
        <v/>
      </c>
    </row>
    <row r="205">
      <c r="A205" s="12" t="n"/>
      <c r="B205" s="10" t="n"/>
      <c r="C205" s="13" t="n"/>
      <c r="D205" s="11" t="n"/>
      <c r="E205" s="14">
        <f>IF(A205="","",MAX(0,Assumptions!$B$8-B205))</f>
        <v/>
      </c>
      <c r="F205" s="15">
        <f>IF(A205="","",D205*(1+Assumptions!$B$5)^E205)</f>
        <v/>
      </c>
      <c r="G205" s="15">
        <f>IF(A205="","",MIN(Assumptions!$B$9,15/26*F205*C205))</f>
        <v/>
      </c>
      <c r="H205" s="16">
        <f>IF(A205="","",(1-Assumptions!$B$6-Assumptions!$B$7)^E205)</f>
        <v/>
      </c>
      <c r="I205" s="15">
        <f>IF(A205="","",G205*H205/(1+Assumptions!$B$4)^E205)</f>
        <v/>
      </c>
      <c r="J205" s="7">
        <f>IF(A205="","",C205&gt;=Assumptions!$B$10)</f>
        <v/>
      </c>
    </row>
    <row r="206">
      <c r="A206" s="12" t="n"/>
      <c r="B206" s="10" t="n"/>
      <c r="C206" s="13" t="n"/>
      <c r="D206" s="11" t="n"/>
      <c r="E206" s="14">
        <f>IF(A206="","",MAX(0,Assumptions!$B$8-B206))</f>
        <v/>
      </c>
      <c r="F206" s="15">
        <f>IF(A206="","",D206*(1+Assumptions!$B$5)^E206)</f>
        <v/>
      </c>
      <c r="G206" s="15">
        <f>IF(A206="","",MIN(Assumptions!$B$9,15/26*F206*C206))</f>
        <v/>
      </c>
      <c r="H206" s="16">
        <f>IF(A206="","",(1-Assumptions!$B$6-Assumptions!$B$7)^E206)</f>
        <v/>
      </c>
      <c r="I206" s="15">
        <f>IF(A206="","",G206*H206/(1+Assumptions!$B$4)^E206)</f>
        <v/>
      </c>
      <c r="J206" s="7">
        <f>IF(A206="","",C206&gt;=Assumptions!$B$10)</f>
        <v/>
      </c>
    </row>
    <row r="207">
      <c r="A207" s="12" t="n"/>
      <c r="B207" s="10" t="n"/>
      <c r="C207" s="13" t="n"/>
      <c r="D207" s="11" t="n"/>
      <c r="E207" s="14">
        <f>IF(A207="","",MAX(0,Assumptions!$B$8-B207))</f>
        <v/>
      </c>
      <c r="F207" s="15">
        <f>IF(A207="","",D207*(1+Assumptions!$B$5)^E207)</f>
        <v/>
      </c>
      <c r="G207" s="15">
        <f>IF(A207="","",MIN(Assumptions!$B$9,15/26*F207*C207))</f>
        <v/>
      </c>
      <c r="H207" s="16">
        <f>IF(A207="","",(1-Assumptions!$B$6-Assumptions!$B$7)^E207)</f>
        <v/>
      </c>
      <c r="I207" s="15">
        <f>IF(A207="","",G207*H207/(1+Assumptions!$B$4)^E207)</f>
        <v/>
      </c>
      <c r="J207" s="7">
        <f>IF(A207="","",C207&gt;=Assumptions!$B$10)</f>
        <v/>
      </c>
    </row>
    <row r="208">
      <c r="A208" s="12" t="n"/>
      <c r="B208" s="10" t="n"/>
      <c r="C208" s="13" t="n"/>
      <c r="D208" s="11" t="n"/>
      <c r="E208" s="14">
        <f>IF(A208="","",MAX(0,Assumptions!$B$8-B208))</f>
        <v/>
      </c>
      <c r="F208" s="15">
        <f>IF(A208="","",D208*(1+Assumptions!$B$5)^E208)</f>
        <v/>
      </c>
      <c r="G208" s="15">
        <f>IF(A208="","",MIN(Assumptions!$B$9,15/26*F208*C208))</f>
        <v/>
      </c>
      <c r="H208" s="16">
        <f>IF(A208="","",(1-Assumptions!$B$6-Assumptions!$B$7)^E208)</f>
        <v/>
      </c>
      <c r="I208" s="15">
        <f>IF(A208="","",G208*H208/(1+Assumptions!$B$4)^E208)</f>
        <v/>
      </c>
      <c r="J208" s="7">
        <f>IF(A208="","",C208&gt;=Assumptions!$B$10)</f>
        <v/>
      </c>
    </row>
    <row r="209">
      <c r="A209" s="12" t="n"/>
      <c r="B209" s="10" t="n"/>
      <c r="C209" s="13" t="n"/>
      <c r="D209" s="11" t="n"/>
      <c r="E209" s="14">
        <f>IF(A209="","",MAX(0,Assumptions!$B$8-B209))</f>
        <v/>
      </c>
      <c r="F209" s="15">
        <f>IF(A209="","",D209*(1+Assumptions!$B$5)^E209)</f>
        <v/>
      </c>
      <c r="G209" s="15">
        <f>IF(A209="","",MIN(Assumptions!$B$9,15/26*F209*C209))</f>
        <v/>
      </c>
      <c r="H209" s="16">
        <f>IF(A209="","",(1-Assumptions!$B$6-Assumptions!$B$7)^E209)</f>
        <v/>
      </c>
      <c r="I209" s="15">
        <f>IF(A209="","",G209*H209/(1+Assumptions!$B$4)^E209)</f>
        <v/>
      </c>
      <c r="J209" s="7">
        <f>IF(A209="","",C209&gt;=Assumptions!$B$10)</f>
        <v/>
      </c>
    </row>
    <row r="210">
      <c r="A210" s="12" t="n"/>
      <c r="B210" s="10" t="n"/>
      <c r="C210" s="13" t="n"/>
      <c r="D210" s="11" t="n"/>
      <c r="E210" s="14">
        <f>IF(A210="","",MAX(0,Assumptions!$B$8-B210))</f>
        <v/>
      </c>
      <c r="F210" s="15">
        <f>IF(A210="","",D210*(1+Assumptions!$B$5)^E210)</f>
        <v/>
      </c>
      <c r="G210" s="15">
        <f>IF(A210="","",MIN(Assumptions!$B$9,15/26*F210*C210))</f>
        <v/>
      </c>
      <c r="H210" s="16">
        <f>IF(A210="","",(1-Assumptions!$B$6-Assumptions!$B$7)^E210)</f>
        <v/>
      </c>
      <c r="I210" s="15">
        <f>IF(A210="","",G210*H210/(1+Assumptions!$B$4)^E210)</f>
        <v/>
      </c>
      <c r="J210" s="7">
        <f>IF(A210="","",C210&gt;=Assumptions!$B$10)</f>
        <v/>
      </c>
    </row>
    <row r="211">
      <c r="A211" s="12" t="n"/>
      <c r="B211" s="10" t="n"/>
      <c r="C211" s="13" t="n"/>
      <c r="D211" s="11" t="n"/>
      <c r="E211" s="14">
        <f>IF(A211="","",MAX(0,Assumptions!$B$8-B211))</f>
        <v/>
      </c>
      <c r="F211" s="15">
        <f>IF(A211="","",D211*(1+Assumptions!$B$5)^E211)</f>
        <v/>
      </c>
      <c r="G211" s="15">
        <f>IF(A211="","",MIN(Assumptions!$B$9,15/26*F211*C211))</f>
        <v/>
      </c>
      <c r="H211" s="16">
        <f>IF(A211="","",(1-Assumptions!$B$6-Assumptions!$B$7)^E211)</f>
        <v/>
      </c>
      <c r="I211" s="15">
        <f>IF(A211="","",G211*H211/(1+Assumptions!$B$4)^E211)</f>
        <v/>
      </c>
      <c r="J211" s="7">
        <f>IF(A211="","",C211&gt;=Assumptions!$B$10)</f>
        <v/>
      </c>
    </row>
    <row r="212">
      <c r="A212" s="12" t="n"/>
      <c r="B212" s="10" t="n"/>
      <c r="C212" s="13" t="n"/>
      <c r="D212" s="11" t="n"/>
      <c r="E212" s="14">
        <f>IF(A212="","",MAX(0,Assumptions!$B$8-B212))</f>
        <v/>
      </c>
      <c r="F212" s="15">
        <f>IF(A212="","",D212*(1+Assumptions!$B$5)^E212)</f>
        <v/>
      </c>
      <c r="G212" s="15">
        <f>IF(A212="","",MIN(Assumptions!$B$9,15/26*F212*C212))</f>
        <v/>
      </c>
      <c r="H212" s="16">
        <f>IF(A212="","",(1-Assumptions!$B$6-Assumptions!$B$7)^E212)</f>
        <v/>
      </c>
      <c r="I212" s="15">
        <f>IF(A212="","",G212*H212/(1+Assumptions!$B$4)^E212)</f>
        <v/>
      </c>
      <c r="J212" s="7">
        <f>IF(A212="","",C212&gt;=Assumptions!$B$10)</f>
        <v/>
      </c>
    </row>
    <row r="213">
      <c r="A213" s="12" t="n"/>
      <c r="B213" s="10" t="n"/>
      <c r="C213" s="13" t="n"/>
      <c r="D213" s="11" t="n"/>
      <c r="E213" s="14">
        <f>IF(A213="","",MAX(0,Assumptions!$B$8-B213))</f>
        <v/>
      </c>
      <c r="F213" s="15">
        <f>IF(A213="","",D213*(1+Assumptions!$B$5)^E213)</f>
        <v/>
      </c>
      <c r="G213" s="15">
        <f>IF(A213="","",MIN(Assumptions!$B$9,15/26*F213*C213))</f>
        <v/>
      </c>
      <c r="H213" s="16">
        <f>IF(A213="","",(1-Assumptions!$B$6-Assumptions!$B$7)^E213)</f>
        <v/>
      </c>
      <c r="I213" s="15">
        <f>IF(A213="","",G213*H213/(1+Assumptions!$B$4)^E213)</f>
        <v/>
      </c>
      <c r="J213" s="7">
        <f>IF(A213="","",C213&gt;=Assumptions!$B$10)</f>
        <v/>
      </c>
    </row>
    <row r="214">
      <c r="A214" s="12" t="n"/>
      <c r="B214" s="10" t="n"/>
      <c r="C214" s="13" t="n"/>
      <c r="D214" s="11" t="n"/>
      <c r="E214" s="14">
        <f>IF(A214="","",MAX(0,Assumptions!$B$8-B214))</f>
        <v/>
      </c>
      <c r="F214" s="15">
        <f>IF(A214="","",D214*(1+Assumptions!$B$5)^E214)</f>
        <v/>
      </c>
      <c r="G214" s="15">
        <f>IF(A214="","",MIN(Assumptions!$B$9,15/26*F214*C214))</f>
        <v/>
      </c>
      <c r="H214" s="16">
        <f>IF(A214="","",(1-Assumptions!$B$6-Assumptions!$B$7)^E214)</f>
        <v/>
      </c>
      <c r="I214" s="15">
        <f>IF(A214="","",G214*H214/(1+Assumptions!$B$4)^E214)</f>
        <v/>
      </c>
      <c r="J214" s="7">
        <f>IF(A214="","",C214&gt;=Assumptions!$B$10)</f>
        <v/>
      </c>
    </row>
    <row r="215">
      <c r="A215" s="12" t="n"/>
      <c r="B215" s="10" t="n"/>
      <c r="C215" s="13" t="n"/>
      <c r="D215" s="11" t="n"/>
      <c r="E215" s="14">
        <f>IF(A215="","",MAX(0,Assumptions!$B$8-B215))</f>
        <v/>
      </c>
      <c r="F215" s="15">
        <f>IF(A215="","",D215*(1+Assumptions!$B$5)^E215)</f>
        <v/>
      </c>
      <c r="G215" s="15">
        <f>IF(A215="","",MIN(Assumptions!$B$9,15/26*F215*C215))</f>
        <v/>
      </c>
      <c r="H215" s="16">
        <f>IF(A215="","",(1-Assumptions!$B$6-Assumptions!$B$7)^E215)</f>
        <v/>
      </c>
      <c r="I215" s="15">
        <f>IF(A215="","",G215*H215/(1+Assumptions!$B$4)^E215)</f>
        <v/>
      </c>
      <c r="J215" s="7">
        <f>IF(A215="","",C215&gt;=Assumptions!$B$10)</f>
        <v/>
      </c>
    </row>
    <row r="216">
      <c r="A216" s="12" t="n"/>
      <c r="B216" s="10" t="n"/>
      <c r="C216" s="13" t="n"/>
      <c r="D216" s="11" t="n"/>
      <c r="E216" s="14">
        <f>IF(A216="","",MAX(0,Assumptions!$B$8-B216))</f>
        <v/>
      </c>
      <c r="F216" s="15">
        <f>IF(A216="","",D216*(1+Assumptions!$B$5)^E216)</f>
        <v/>
      </c>
      <c r="G216" s="15">
        <f>IF(A216="","",MIN(Assumptions!$B$9,15/26*F216*C216))</f>
        <v/>
      </c>
      <c r="H216" s="16">
        <f>IF(A216="","",(1-Assumptions!$B$6-Assumptions!$B$7)^E216)</f>
        <v/>
      </c>
      <c r="I216" s="15">
        <f>IF(A216="","",G216*H216/(1+Assumptions!$B$4)^E216)</f>
        <v/>
      </c>
      <c r="J216" s="7">
        <f>IF(A216="","",C216&gt;=Assumptions!$B$10)</f>
        <v/>
      </c>
    </row>
    <row r="217">
      <c r="A217" s="12" t="n"/>
      <c r="B217" s="10" t="n"/>
      <c r="C217" s="13" t="n"/>
      <c r="D217" s="11" t="n"/>
      <c r="E217" s="14">
        <f>IF(A217="","",MAX(0,Assumptions!$B$8-B217))</f>
        <v/>
      </c>
      <c r="F217" s="15">
        <f>IF(A217="","",D217*(1+Assumptions!$B$5)^E217)</f>
        <v/>
      </c>
      <c r="G217" s="15">
        <f>IF(A217="","",MIN(Assumptions!$B$9,15/26*F217*C217))</f>
        <v/>
      </c>
      <c r="H217" s="16">
        <f>IF(A217="","",(1-Assumptions!$B$6-Assumptions!$B$7)^E217)</f>
        <v/>
      </c>
      <c r="I217" s="15">
        <f>IF(A217="","",G217*H217/(1+Assumptions!$B$4)^E217)</f>
        <v/>
      </c>
      <c r="J217" s="7">
        <f>IF(A217="","",C217&gt;=Assumptions!$B$10)</f>
        <v/>
      </c>
    </row>
    <row r="218">
      <c r="A218" s="12" t="n"/>
      <c r="B218" s="10" t="n"/>
      <c r="C218" s="13" t="n"/>
      <c r="D218" s="11" t="n"/>
      <c r="E218" s="14">
        <f>IF(A218="","",MAX(0,Assumptions!$B$8-B218))</f>
        <v/>
      </c>
      <c r="F218" s="15">
        <f>IF(A218="","",D218*(1+Assumptions!$B$5)^E218)</f>
        <v/>
      </c>
      <c r="G218" s="15">
        <f>IF(A218="","",MIN(Assumptions!$B$9,15/26*F218*C218))</f>
        <v/>
      </c>
      <c r="H218" s="16">
        <f>IF(A218="","",(1-Assumptions!$B$6-Assumptions!$B$7)^E218)</f>
        <v/>
      </c>
      <c r="I218" s="15">
        <f>IF(A218="","",G218*H218/(1+Assumptions!$B$4)^E218)</f>
        <v/>
      </c>
      <c r="J218" s="7">
        <f>IF(A218="","",C218&gt;=Assumptions!$B$10)</f>
        <v/>
      </c>
    </row>
    <row r="219">
      <c r="A219" s="12" t="n"/>
      <c r="B219" s="10" t="n"/>
      <c r="C219" s="13" t="n"/>
      <c r="D219" s="11" t="n"/>
      <c r="E219" s="14">
        <f>IF(A219="","",MAX(0,Assumptions!$B$8-B219))</f>
        <v/>
      </c>
      <c r="F219" s="15">
        <f>IF(A219="","",D219*(1+Assumptions!$B$5)^E219)</f>
        <v/>
      </c>
      <c r="G219" s="15">
        <f>IF(A219="","",MIN(Assumptions!$B$9,15/26*F219*C219))</f>
        <v/>
      </c>
      <c r="H219" s="16">
        <f>IF(A219="","",(1-Assumptions!$B$6-Assumptions!$B$7)^E219)</f>
        <v/>
      </c>
      <c r="I219" s="15">
        <f>IF(A219="","",G219*H219/(1+Assumptions!$B$4)^E219)</f>
        <v/>
      </c>
      <c r="J219" s="7">
        <f>IF(A219="","",C219&gt;=Assumptions!$B$10)</f>
        <v/>
      </c>
    </row>
    <row r="220">
      <c r="A220" s="12" t="n"/>
      <c r="B220" s="10" t="n"/>
      <c r="C220" s="13" t="n"/>
      <c r="D220" s="11" t="n"/>
      <c r="E220" s="14">
        <f>IF(A220="","",MAX(0,Assumptions!$B$8-B220))</f>
        <v/>
      </c>
      <c r="F220" s="15">
        <f>IF(A220="","",D220*(1+Assumptions!$B$5)^E220)</f>
        <v/>
      </c>
      <c r="G220" s="15">
        <f>IF(A220="","",MIN(Assumptions!$B$9,15/26*F220*C220))</f>
        <v/>
      </c>
      <c r="H220" s="16">
        <f>IF(A220="","",(1-Assumptions!$B$6-Assumptions!$B$7)^E220)</f>
        <v/>
      </c>
      <c r="I220" s="15">
        <f>IF(A220="","",G220*H220/(1+Assumptions!$B$4)^E220)</f>
        <v/>
      </c>
      <c r="J220" s="7">
        <f>IF(A220="","",C220&gt;=Assumptions!$B$10)</f>
        <v/>
      </c>
    </row>
    <row r="221">
      <c r="A221" s="12" t="n"/>
      <c r="B221" s="10" t="n"/>
      <c r="C221" s="13" t="n"/>
      <c r="D221" s="11" t="n"/>
      <c r="E221" s="14">
        <f>IF(A221="","",MAX(0,Assumptions!$B$8-B221))</f>
        <v/>
      </c>
      <c r="F221" s="15">
        <f>IF(A221="","",D221*(1+Assumptions!$B$5)^E221)</f>
        <v/>
      </c>
      <c r="G221" s="15">
        <f>IF(A221="","",MIN(Assumptions!$B$9,15/26*F221*C221))</f>
        <v/>
      </c>
      <c r="H221" s="16">
        <f>IF(A221="","",(1-Assumptions!$B$6-Assumptions!$B$7)^E221)</f>
        <v/>
      </c>
      <c r="I221" s="15">
        <f>IF(A221="","",G221*H221/(1+Assumptions!$B$4)^E221)</f>
        <v/>
      </c>
      <c r="J221" s="7">
        <f>IF(A221="","",C221&gt;=Assumptions!$B$10)</f>
        <v/>
      </c>
    </row>
    <row r="222">
      <c r="A222" s="12" t="n"/>
      <c r="B222" s="10" t="n"/>
      <c r="C222" s="13" t="n"/>
      <c r="D222" s="11" t="n"/>
      <c r="E222" s="14">
        <f>IF(A222="","",MAX(0,Assumptions!$B$8-B222))</f>
        <v/>
      </c>
      <c r="F222" s="15">
        <f>IF(A222="","",D222*(1+Assumptions!$B$5)^E222)</f>
        <v/>
      </c>
      <c r="G222" s="15">
        <f>IF(A222="","",MIN(Assumptions!$B$9,15/26*F222*C222))</f>
        <v/>
      </c>
      <c r="H222" s="16">
        <f>IF(A222="","",(1-Assumptions!$B$6-Assumptions!$B$7)^E222)</f>
        <v/>
      </c>
      <c r="I222" s="15">
        <f>IF(A222="","",G222*H222/(1+Assumptions!$B$4)^E222)</f>
        <v/>
      </c>
      <c r="J222" s="7">
        <f>IF(A222="","",C222&gt;=Assumptions!$B$10)</f>
        <v/>
      </c>
    </row>
    <row r="223">
      <c r="A223" s="12" t="n"/>
      <c r="B223" s="10" t="n"/>
      <c r="C223" s="13" t="n"/>
      <c r="D223" s="11" t="n"/>
      <c r="E223" s="14">
        <f>IF(A223="","",MAX(0,Assumptions!$B$8-B223))</f>
        <v/>
      </c>
      <c r="F223" s="15">
        <f>IF(A223="","",D223*(1+Assumptions!$B$5)^E223)</f>
        <v/>
      </c>
      <c r="G223" s="15">
        <f>IF(A223="","",MIN(Assumptions!$B$9,15/26*F223*C223))</f>
        <v/>
      </c>
      <c r="H223" s="16">
        <f>IF(A223="","",(1-Assumptions!$B$6-Assumptions!$B$7)^E223)</f>
        <v/>
      </c>
      <c r="I223" s="15">
        <f>IF(A223="","",G223*H223/(1+Assumptions!$B$4)^E223)</f>
        <v/>
      </c>
      <c r="J223" s="7">
        <f>IF(A223="","",C223&gt;=Assumptions!$B$10)</f>
        <v/>
      </c>
    </row>
    <row r="224">
      <c r="A224" s="12" t="n"/>
      <c r="B224" s="10" t="n"/>
      <c r="C224" s="13" t="n"/>
      <c r="D224" s="11" t="n"/>
      <c r="E224" s="14">
        <f>IF(A224="","",MAX(0,Assumptions!$B$8-B224))</f>
        <v/>
      </c>
      <c r="F224" s="15">
        <f>IF(A224="","",D224*(1+Assumptions!$B$5)^E224)</f>
        <v/>
      </c>
      <c r="G224" s="15">
        <f>IF(A224="","",MIN(Assumptions!$B$9,15/26*F224*C224))</f>
        <v/>
      </c>
      <c r="H224" s="16">
        <f>IF(A224="","",(1-Assumptions!$B$6-Assumptions!$B$7)^E224)</f>
        <v/>
      </c>
      <c r="I224" s="15">
        <f>IF(A224="","",G224*H224/(1+Assumptions!$B$4)^E224)</f>
        <v/>
      </c>
      <c r="J224" s="7">
        <f>IF(A224="","",C224&gt;=Assumptions!$B$10)</f>
        <v/>
      </c>
    </row>
    <row r="225">
      <c r="A225" s="12" t="n"/>
      <c r="B225" s="10" t="n"/>
      <c r="C225" s="13" t="n"/>
      <c r="D225" s="11" t="n"/>
      <c r="E225" s="14">
        <f>IF(A225="","",MAX(0,Assumptions!$B$8-B225))</f>
        <v/>
      </c>
      <c r="F225" s="15">
        <f>IF(A225="","",D225*(1+Assumptions!$B$5)^E225)</f>
        <v/>
      </c>
      <c r="G225" s="15">
        <f>IF(A225="","",MIN(Assumptions!$B$9,15/26*F225*C225))</f>
        <v/>
      </c>
      <c r="H225" s="16">
        <f>IF(A225="","",(1-Assumptions!$B$6-Assumptions!$B$7)^E225)</f>
        <v/>
      </c>
      <c r="I225" s="15">
        <f>IF(A225="","",G225*H225/(1+Assumptions!$B$4)^E225)</f>
        <v/>
      </c>
      <c r="J225" s="7">
        <f>IF(A225="","",C225&gt;=Assumptions!$B$10)</f>
        <v/>
      </c>
    </row>
    <row r="226">
      <c r="A226" s="12" t="n"/>
      <c r="B226" s="10" t="n"/>
      <c r="C226" s="13" t="n"/>
      <c r="D226" s="11" t="n"/>
      <c r="E226" s="14">
        <f>IF(A226="","",MAX(0,Assumptions!$B$8-B226))</f>
        <v/>
      </c>
      <c r="F226" s="15">
        <f>IF(A226="","",D226*(1+Assumptions!$B$5)^E226)</f>
        <v/>
      </c>
      <c r="G226" s="15">
        <f>IF(A226="","",MIN(Assumptions!$B$9,15/26*F226*C226))</f>
        <v/>
      </c>
      <c r="H226" s="16">
        <f>IF(A226="","",(1-Assumptions!$B$6-Assumptions!$B$7)^E226)</f>
        <v/>
      </c>
      <c r="I226" s="15">
        <f>IF(A226="","",G226*H226/(1+Assumptions!$B$4)^E226)</f>
        <v/>
      </c>
      <c r="J226" s="7">
        <f>IF(A226="","",C226&gt;=Assumptions!$B$10)</f>
        <v/>
      </c>
    </row>
    <row r="227">
      <c r="A227" s="12" t="n"/>
      <c r="B227" s="10" t="n"/>
      <c r="C227" s="13" t="n"/>
      <c r="D227" s="11" t="n"/>
      <c r="E227" s="14">
        <f>IF(A227="","",MAX(0,Assumptions!$B$8-B227))</f>
        <v/>
      </c>
      <c r="F227" s="15">
        <f>IF(A227="","",D227*(1+Assumptions!$B$5)^E227)</f>
        <v/>
      </c>
      <c r="G227" s="15">
        <f>IF(A227="","",MIN(Assumptions!$B$9,15/26*F227*C227))</f>
        <v/>
      </c>
      <c r="H227" s="16">
        <f>IF(A227="","",(1-Assumptions!$B$6-Assumptions!$B$7)^E227)</f>
        <v/>
      </c>
      <c r="I227" s="15">
        <f>IF(A227="","",G227*H227/(1+Assumptions!$B$4)^E227)</f>
        <v/>
      </c>
      <c r="J227" s="7">
        <f>IF(A227="","",C227&gt;=Assumptions!$B$10)</f>
        <v/>
      </c>
    </row>
    <row r="228">
      <c r="A228" s="12" t="n"/>
      <c r="B228" s="10" t="n"/>
      <c r="C228" s="13" t="n"/>
      <c r="D228" s="11" t="n"/>
      <c r="E228" s="14">
        <f>IF(A228="","",MAX(0,Assumptions!$B$8-B228))</f>
        <v/>
      </c>
      <c r="F228" s="15">
        <f>IF(A228="","",D228*(1+Assumptions!$B$5)^E228)</f>
        <v/>
      </c>
      <c r="G228" s="15">
        <f>IF(A228="","",MIN(Assumptions!$B$9,15/26*F228*C228))</f>
        <v/>
      </c>
      <c r="H228" s="16">
        <f>IF(A228="","",(1-Assumptions!$B$6-Assumptions!$B$7)^E228)</f>
        <v/>
      </c>
      <c r="I228" s="15">
        <f>IF(A228="","",G228*H228/(1+Assumptions!$B$4)^E228)</f>
        <v/>
      </c>
      <c r="J228" s="7">
        <f>IF(A228="","",C228&gt;=Assumptions!$B$10)</f>
        <v/>
      </c>
    </row>
    <row r="229">
      <c r="A229" s="12" t="n"/>
      <c r="B229" s="10" t="n"/>
      <c r="C229" s="13" t="n"/>
      <c r="D229" s="11" t="n"/>
      <c r="E229" s="14">
        <f>IF(A229="","",MAX(0,Assumptions!$B$8-B229))</f>
        <v/>
      </c>
      <c r="F229" s="15">
        <f>IF(A229="","",D229*(1+Assumptions!$B$5)^E229)</f>
        <v/>
      </c>
      <c r="G229" s="15">
        <f>IF(A229="","",MIN(Assumptions!$B$9,15/26*F229*C229))</f>
        <v/>
      </c>
      <c r="H229" s="16">
        <f>IF(A229="","",(1-Assumptions!$B$6-Assumptions!$B$7)^E229)</f>
        <v/>
      </c>
      <c r="I229" s="15">
        <f>IF(A229="","",G229*H229/(1+Assumptions!$B$4)^E229)</f>
        <v/>
      </c>
      <c r="J229" s="7">
        <f>IF(A229="","",C229&gt;=Assumptions!$B$10)</f>
        <v/>
      </c>
    </row>
    <row r="230">
      <c r="A230" s="12" t="n"/>
      <c r="B230" s="10" t="n"/>
      <c r="C230" s="13" t="n"/>
      <c r="D230" s="11" t="n"/>
      <c r="E230" s="14">
        <f>IF(A230="","",MAX(0,Assumptions!$B$8-B230))</f>
        <v/>
      </c>
      <c r="F230" s="15">
        <f>IF(A230="","",D230*(1+Assumptions!$B$5)^E230)</f>
        <v/>
      </c>
      <c r="G230" s="15">
        <f>IF(A230="","",MIN(Assumptions!$B$9,15/26*F230*C230))</f>
        <v/>
      </c>
      <c r="H230" s="16">
        <f>IF(A230="","",(1-Assumptions!$B$6-Assumptions!$B$7)^E230)</f>
        <v/>
      </c>
      <c r="I230" s="15">
        <f>IF(A230="","",G230*H230/(1+Assumptions!$B$4)^E230)</f>
        <v/>
      </c>
      <c r="J230" s="7">
        <f>IF(A230="","",C230&gt;=Assumptions!$B$10)</f>
        <v/>
      </c>
    </row>
    <row r="231">
      <c r="A231" s="12" t="n"/>
      <c r="B231" s="10" t="n"/>
      <c r="C231" s="13" t="n"/>
      <c r="D231" s="11" t="n"/>
      <c r="E231" s="14">
        <f>IF(A231="","",MAX(0,Assumptions!$B$8-B231))</f>
        <v/>
      </c>
      <c r="F231" s="15">
        <f>IF(A231="","",D231*(1+Assumptions!$B$5)^E231)</f>
        <v/>
      </c>
      <c r="G231" s="15">
        <f>IF(A231="","",MIN(Assumptions!$B$9,15/26*F231*C231))</f>
        <v/>
      </c>
      <c r="H231" s="16">
        <f>IF(A231="","",(1-Assumptions!$B$6-Assumptions!$B$7)^E231)</f>
        <v/>
      </c>
      <c r="I231" s="15">
        <f>IF(A231="","",G231*H231/(1+Assumptions!$B$4)^E231)</f>
        <v/>
      </c>
      <c r="J231" s="7">
        <f>IF(A231="","",C231&gt;=Assumptions!$B$10)</f>
        <v/>
      </c>
    </row>
    <row r="232">
      <c r="A232" s="12" t="n"/>
      <c r="B232" s="10" t="n"/>
      <c r="C232" s="13" t="n"/>
      <c r="D232" s="11" t="n"/>
      <c r="E232" s="14">
        <f>IF(A232="","",MAX(0,Assumptions!$B$8-B232))</f>
        <v/>
      </c>
      <c r="F232" s="15">
        <f>IF(A232="","",D232*(1+Assumptions!$B$5)^E232)</f>
        <v/>
      </c>
      <c r="G232" s="15">
        <f>IF(A232="","",MIN(Assumptions!$B$9,15/26*F232*C232))</f>
        <v/>
      </c>
      <c r="H232" s="16">
        <f>IF(A232="","",(1-Assumptions!$B$6-Assumptions!$B$7)^E232)</f>
        <v/>
      </c>
      <c r="I232" s="15">
        <f>IF(A232="","",G232*H232/(1+Assumptions!$B$4)^E232)</f>
        <v/>
      </c>
      <c r="J232" s="7">
        <f>IF(A232="","",C232&gt;=Assumptions!$B$10)</f>
        <v/>
      </c>
    </row>
    <row r="233">
      <c r="A233" s="12" t="n"/>
      <c r="B233" s="10" t="n"/>
      <c r="C233" s="13" t="n"/>
      <c r="D233" s="11" t="n"/>
      <c r="E233" s="14">
        <f>IF(A233="","",MAX(0,Assumptions!$B$8-B233))</f>
        <v/>
      </c>
      <c r="F233" s="15">
        <f>IF(A233="","",D233*(1+Assumptions!$B$5)^E233)</f>
        <v/>
      </c>
      <c r="G233" s="15">
        <f>IF(A233="","",MIN(Assumptions!$B$9,15/26*F233*C233))</f>
        <v/>
      </c>
      <c r="H233" s="16">
        <f>IF(A233="","",(1-Assumptions!$B$6-Assumptions!$B$7)^E233)</f>
        <v/>
      </c>
      <c r="I233" s="15">
        <f>IF(A233="","",G233*H233/(1+Assumptions!$B$4)^E233)</f>
        <v/>
      </c>
      <c r="J233" s="7">
        <f>IF(A233="","",C233&gt;=Assumptions!$B$10)</f>
        <v/>
      </c>
    </row>
    <row r="234">
      <c r="A234" s="12" t="n"/>
      <c r="B234" s="10" t="n"/>
      <c r="C234" s="13" t="n"/>
      <c r="D234" s="11" t="n"/>
      <c r="E234" s="14">
        <f>IF(A234="","",MAX(0,Assumptions!$B$8-B234))</f>
        <v/>
      </c>
      <c r="F234" s="15">
        <f>IF(A234="","",D234*(1+Assumptions!$B$5)^E234)</f>
        <v/>
      </c>
      <c r="G234" s="15">
        <f>IF(A234="","",MIN(Assumptions!$B$9,15/26*F234*C234))</f>
        <v/>
      </c>
      <c r="H234" s="16">
        <f>IF(A234="","",(1-Assumptions!$B$6-Assumptions!$B$7)^E234)</f>
        <v/>
      </c>
      <c r="I234" s="15">
        <f>IF(A234="","",G234*H234/(1+Assumptions!$B$4)^E234)</f>
        <v/>
      </c>
      <c r="J234" s="7">
        <f>IF(A234="","",C234&gt;=Assumptions!$B$10)</f>
        <v/>
      </c>
    </row>
    <row r="235">
      <c r="A235" s="12" t="n"/>
      <c r="B235" s="10" t="n"/>
      <c r="C235" s="13" t="n"/>
      <c r="D235" s="11" t="n"/>
      <c r="E235" s="14">
        <f>IF(A235="","",MAX(0,Assumptions!$B$8-B235))</f>
        <v/>
      </c>
      <c r="F235" s="15">
        <f>IF(A235="","",D235*(1+Assumptions!$B$5)^E235)</f>
        <v/>
      </c>
      <c r="G235" s="15">
        <f>IF(A235="","",MIN(Assumptions!$B$9,15/26*F235*C235))</f>
        <v/>
      </c>
      <c r="H235" s="16">
        <f>IF(A235="","",(1-Assumptions!$B$6-Assumptions!$B$7)^E235)</f>
        <v/>
      </c>
      <c r="I235" s="15">
        <f>IF(A235="","",G235*H235/(1+Assumptions!$B$4)^E235)</f>
        <v/>
      </c>
      <c r="J235" s="7">
        <f>IF(A235="","",C235&gt;=Assumptions!$B$10)</f>
        <v/>
      </c>
    </row>
    <row r="236">
      <c r="A236" s="12" t="n"/>
      <c r="B236" s="10" t="n"/>
      <c r="C236" s="13" t="n"/>
      <c r="D236" s="11" t="n"/>
      <c r="E236" s="14">
        <f>IF(A236="","",MAX(0,Assumptions!$B$8-B236))</f>
        <v/>
      </c>
      <c r="F236" s="15">
        <f>IF(A236="","",D236*(1+Assumptions!$B$5)^E236)</f>
        <v/>
      </c>
      <c r="G236" s="15">
        <f>IF(A236="","",MIN(Assumptions!$B$9,15/26*F236*C236))</f>
        <v/>
      </c>
      <c r="H236" s="16">
        <f>IF(A236="","",(1-Assumptions!$B$6-Assumptions!$B$7)^E236)</f>
        <v/>
      </c>
      <c r="I236" s="15">
        <f>IF(A236="","",G236*H236/(1+Assumptions!$B$4)^E236)</f>
        <v/>
      </c>
      <c r="J236" s="7">
        <f>IF(A236="","",C236&gt;=Assumptions!$B$10)</f>
        <v/>
      </c>
    </row>
    <row r="237">
      <c r="A237" s="12" t="n"/>
      <c r="B237" s="10" t="n"/>
      <c r="C237" s="13" t="n"/>
      <c r="D237" s="11" t="n"/>
      <c r="E237" s="14">
        <f>IF(A237="","",MAX(0,Assumptions!$B$8-B237))</f>
        <v/>
      </c>
      <c r="F237" s="15">
        <f>IF(A237="","",D237*(1+Assumptions!$B$5)^E237)</f>
        <v/>
      </c>
      <c r="G237" s="15">
        <f>IF(A237="","",MIN(Assumptions!$B$9,15/26*F237*C237))</f>
        <v/>
      </c>
      <c r="H237" s="16">
        <f>IF(A237="","",(1-Assumptions!$B$6-Assumptions!$B$7)^E237)</f>
        <v/>
      </c>
      <c r="I237" s="15">
        <f>IF(A237="","",G237*H237/(1+Assumptions!$B$4)^E237)</f>
        <v/>
      </c>
      <c r="J237" s="7">
        <f>IF(A237="","",C237&gt;=Assumptions!$B$10)</f>
        <v/>
      </c>
    </row>
    <row r="238">
      <c r="A238" s="12" t="n"/>
      <c r="B238" s="10" t="n"/>
      <c r="C238" s="13" t="n"/>
      <c r="D238" s="11" t="n"/>
      <c r="E238" s="14">
        <f>IF(A238="","",MAX(0,Assumptions!$B$8-B238))</f>
        <v/>
      </c>
      <c r="F238" s="15">
        <f>IF(A238="","",D238*(1+Assumptions!$B$5)^E238)</f>
        <v/>
      </c>
      <c r="G238" s="15">
        <f>IF(A238="","",MIN(Assumptions!$B$9,15/26*F238*C238))</f>
        <v/>
      </c>
      <c r="H238" s="16">
        <f>IF(A238="","",(1-Assumptions!$B$6-Assumptions!$B$7)^E238)</f>
        <v/>
      </c>
      <c r="I238" s="15">
        <f>IF(A238="","",G238*H238/(1+Assumptions!$B$4)^E238)</f>
        <v/>
      </c>
      <c r="J238" s="7">
        <f>IF(A238="","",C238&gt;=Assumptions!$B$10)</f>
        <v/>
      </c>
    </row>
    <row r="239">
      <c r="A239" s="12" t="n"/>
      <c r="B239" s="10" t="n"/>
      <c r="C239" s="13" t="n"/>
      <c r="D239" s="11" t="n"/>
      <c r="E239" s="14">
        <f>IF(A239="","",MAX(0,Assumptions!$B$8-B239))</f>
        <v/>
      </c>
      <c r="F239" s="15">
        <f>IF(A239="","",D239*(1+Assumptions!$B$5)^E239)</f>
        <v/>
      </c>
      <c r="G239" s="15">
        <f>IF(A239="","",MIN(Assumptions!$B$9,15/26*F239*C239))</f>
        <v/>
      </c>
      <c r="H239" s="16">
        <f>IF(A239="","",(1-Assumptions!$B$6-Assumptions!$B$7)^E239)</f>
        <v/>
      </c>
      <c r="I239" s="15">
        <f>IF(A239="","",G239*H239/(1+Assumptions!$B$4)^E239)</f>
        <v/>
      </c>
      <c r="J239" s="7">
        <f>IF(A239="","",C239&gt;=Assumptions!$B$10)</f>
        <v/>
      </c>
    </row>
    <row r="240">
      <c r="A240" s="12" t="n"/>
      <c r="B240" s="10" t="n"/>
      <c r="C240" s="13" t="n"/>
      <c r="D240" s="11" t="n"/>
      <c r="E240" s="14">
        <f>IF(A240="","",MAX(0,Assumptions!$B$8-B240))</f>
        <v/>
      </c>
      <c r="F240" s="15">
        <f>IF(A240="","",D240*(1+Assumptions!$B$5)^E240)</f>
        <v/>
      </c>
      <c r="G240" s="15">
        <f>IF(A240="","",MIN(Assumptions!$B$9,15/26*F240*C240))</f>
        <v/>
      </c>
      <c r="H240" s="16">
        <f>IF(A240="","",(1-Assumptions!$B$6-Assumptions!$B$7)^E240)</f>
        <v/>
      </c>
      <c r="I240" s="15">
        <f>IF(A240="","",G240*H240/(1+Assumptions!$B$4)^E240)</f>
        <v/>
      </c>
      <c r="J240" s="7">
        <f>IF(A240="","",C240&gt;=Assumptions!$B$10)</f>
        <v/>
      </c>
    </row>
    <row r="241">
      <c r="A241" s="12" t="n"/>
      <c r="B241" s="10" t="n"/>
      <c r="C241" s="13" t="n"/>
      <c r="D241" s="11" t="n"/>
      <c r="E241" s="14">
        <f>IF(A241="","",MAX(0,Assumptions!$B$8-B241))</f>
        <v/>
      </c>
      <c r="F241" s="15">
        <f>IF(A241="","",D241*(1+Assumptions!$B$5)^E241)</f>
        <v/>
      </c>
      <c r="G241" s="15">
        <f>IF(A241="","",MIN(Assumptions!$B$9,15/26*F241*C241))</f>
        <v/>
      </c>
      <c r="H241" s="16">
        <f>IF(A241="","",(1-Assumptions!$B$6-Assumptions!$B$7)^E241)</f>
        <v/>
      </c>
      <c r="I241" s="15">
        <f>IF(A241="","",G241*H241/(1+Assumptions!$B$4)^E241)</f>
        <v/>
      </c>
      <c r="J241" s="7">
        <f>IF(A241="","",C241&gt;=Assumptions!$B$10)</f>
        <v/>
      </c>
    </row>
    <row r="242">
      <c r="A242" s="12" t="n"/>
      <c r="B242" s="10" t="n"/>
      <c r="C242" s="13" t="n"/>
      <c r="D242" s="11" t="n"/>
      <c r="E242" s="14">
        <f>IF(A242="","",MAX(0,Assumptions!$B$8-B242))</f>
        <v/>
      </c>
      <c r="F242" s="15">
        <f>IF(A242="","",D242*(1+Assumptions!$B$5)^E242)</f>
        <v/>
      </c>
      <c r="G242" s="15">
        <f>IF(A242="","",MIN(Assumptions!$B$9,15/26*F242*C242))</f>
        <v/>
      </c>
      <c r="H242" s="16">
        <f>IF(A242="","",(1-Assumptions!$B$6-Assumptions!$B$7)^E242)</f>
        <v/>
      </c>
      <c r="I242" s="15">
        <f>IF(A242="","",G242*H242/(1+Assumptions!$B$4)^E242)</f>
        <v/>
      </c>
      <c r="J242" s="7">
        <f>IF(A242="","",C242&gt;=Assumptions!$B$10)</f>
        <v/>
      </c>
    </row>
    <row r="243">
      <c r="A243" s="12" t="n"/>
      <c r="B243" s="10" t="n"/>
      <c r="C243" s="13" t="n"/>
      <c r="D243" s="11" t="n"/>
      <c r="E243" s="14">
        <f>IF(A243="","",MAX(0,Assumptions!$B$8-B243))</f>
        <v/>
      </c>
      <c r="F243" s="15">
        <f>IF(A243="","",D243*(1+Assumptions!$B$5)^E243)</f>
        <v/>
      </c>
      <c r="G243" s="15">
        <f>IF(A243="","",MIN(Assumptions!$B$9,15/26*F243*C243))</f>
        <v/>
      </c>
      <c r="H243" s="16">
        <f>IF(A243="","",(1-Assumptions!$B$6-Assumptions!$B$7)^E243)</f>
        <v/>
      </c>
      <c r="I243" s="15">
        <f>IF(A243="","",G243*H243/(1+Assumptions!$B$4)^E243)</f>
        <v/>
      </c>
      <c r="J243" s="7">
        <f>IF(A243="","",C243&gt;=Assumptions!$B$10)</f>
        <v/>
      </c>
    </row>
    <row r="244">
      <c r="A244" s="12" t="n"/>
      <c r="B244" s="10" t="n"/>
      <c r="C244" s="13" t="n"/>
      <c r="D244" s="11" t="n"/>
      <c r="E244" s="14">
        <f>IF(A244="","",MAX(0,Assumptions!$B$8-B244))</f>
        <v/>
      </c>
      <c r="F244" s="15">
        <f>IF(A244="","",D244*(1+Assumptions!$B$5)^E244)</f>
        <v/>
      </c>
      <c r="G244" s="15">
        <f>IF(A244="","",MIN(Assumptions!$B$9,15/26*F244*C244))</f>
        <v/>
      </c>
      <c r="H244" s="16">
        <f>IF(A244="","",(1-Assumptions!$B$6-Assumptions!$B$7)^E244)</f>
        <v/>
      </c>
      <c r="I244" s="15">
        <f>IF(A244="","",G244*H244/(1+Assumptions!$B$4)^E244)</f>
        <v/>
      </c>
      <c r="J244" s="7">
        <f>IF(A244="","",C244&gt;=Assumptions!$B$10)</f>
        <v/>
      </c>
    </row>
    <row r="245">
      <c r="A245" s="12" t="n"/>
      <c r="B245" s="10" t="n"/>
      <c r="C245" s="13" t="n"/>
      <c r="D245" s="11" t="n"/>
      <c r="E245" s="14">
        <f>IF(A245="","",MAX(0,Assumptions!$B$8-B245))</f>
        <v/>
      </c>
      <c r="F245" s="15">
        <f>IF(A245="","",D245*(1+Assumptions!$B$5)^E245)</f>
        <v/>
      </c>
      <c r="G245" s="15">
        <f>IF(A245="","",MIN(Assumptions!$B$9,15/26*F245*C245))</f>
        <v/>
      </c>
      <c r="H245" s="16">
        <f>IF(A245="","",(1-Assumptions!$B$6-Assumptions!$B$7)^E245)</f>
        <v/>
      </c>
      <c r="I245" s="15">
        <f>IF(A245="","",G245*H245/(1+Assumptions!$B$4)^E245)</f>
        <v/>
      </c>
      <c r="J245" s="7">
        <f>IF(A245="","",C245&gt;=Assumptions!$B$10)</f>
        <v/>
      </c>
    </row>
    <row r="246">
      <c r="A246" s="12" t="n"/>
      <c r="B246" s="10" t="n"/>
      <c r="C246" s="13" t="n"/>
      <c r="D246" s="11" t="n"/>
      <c r="E246" s="14">
        <f>IF(A246="","",MAX(0,Assumptions!$B$8-B246))</f>
        <v/>
      </c>
      <c r="F246" s="15">
        <f>IF(A246="","",D246*(1+Assumptions!$B$5)^E246)</f>
        <v/>
      </c>
      <c r="G246" s="15">
        <f>IF(A246="","",MIN(Assumptions!$B$9,15/26*F246*C246))</f>
        <v/>
      </c>
      <c r="H246" s="16">
        <f>IF(A246="","",(1-Assumptions!$B$6-Assumptions!$B$7)^E246)</f>
        <v/>
      </c>
      <c r="I246" s="15">
        <f>IF(A246="","",G246*H246/(1+Assumptions!$B$4)^E246)</f>
        <v/>
      </c>
      <c r="J246" s="7">
        <f>IF(A246="","",C246&gt;=Assumptions!$B$10)</f>
        <v/>
      </c>
    </row>
    <row r="247">
      <c r="A247" s="12" t="n"/>
      <c r="B247" s="10" t="n"/>
      <c r="C247" s="13" t="n"/>
      <c r="D247" s="11" t="n"/>
      <c r="E247" s="14">
        <f>IF(A247="","",MAX(0,Assumptions!$B$8-B247))</f>
        <v/>
      </c>
      <c r="F247" s="15">
        <f>IF(A247="","",D247*(1+Assumptions!$B$5)^E247)</f>
        <v/>
      </c>
      <c r="G247" s="15">
        <f>IF(A247="","",MIN(Assumptions!$B$9,15/26*F247*C247))</f>
        <v/>
      </c>
      <c r="H247" s="16">
        <f>IF(A247="","",(1-Assumptions!$B$6-Assumptions!$B$7)^E247)</f>
        <v/>
      </c>
      <c r="I247" s="15">
        <f>IF(A247="","",G247*H247/(1+Assumptions!$B$4)^E247)</f>
        <v/>
      </c>
      <c r="J247" s="7">
        <f>IF(A247="","",C247&gt;=Assumptions!$B$10)</f>
        <v/>
      </c>
    </row>
    <row r="248">
      <c r="A248" s="12" t="n"/>
      <c r="B248" s="10" t="n"/>
      <c r="C248" s="13" t="n"/>
      <c r="D248" s="11" t="n"/>
      <c r="E248" s="14">
        <f>IF(A248="","",MAX(0,Assumptions!$B$8-B248))</f>
        <v/>
      </c>
      <c r="F248" s="15">
        <f>IF(A248="","",D248*(1+Assumptions!$B$5)^E248)</f>
        <v/>
      </c>
      <c r="G248" s="15">
        <f>IF(A248="","",MIN(Assumptions!$B$9,15/26*F248*C248))</f>
        <v/>
      </c>
      <c r="H248" s="16">
        <f>IF(A248="","",(1-Assumptions!$B$6-Assumptions!$B$7)^E248)</f>
        <v/>
      </c>
      <c r="I248" s="15">
        <f>IF(A248="","",G248*H248/(1+Assumptions!$B$4)^E248)</f>
        <v/>
      </c>
      <c r="J248" s="7">
        <f>IF(A248="","",C248&gt;=Assumptions!$B$10)</f>
        <v/>
      </c>
    </row>
    <row r="249">
      <c r="A249" s="12" t="n"/>
      <c r="B249" s="10" t="n"/>
      <c r="C249" s="13" t="n"/>
      <c r="D249" s="11" t="n"/>
      <c r="E249" s="14">
        <f>IF(A249="","",MAX(0,Assumptions!$B$8-B249))</f>
        <v/>
      </c>
      <c r="F249" s="15">
        <f>IF(A249="","",D249*(1+Assumptions!$B$5)^E249)</f>
        <v/>
      </c>
      <c r="G249" s="15">
        <f>IF(A249="","",MIN(Assumptions!$B$9,15/26*F249*C249))</f>
        <v/>
      </c>
      <c r="H249" s="16">
        <f>IF(A249="","",(1-Assumptions!$B$6-Assumptions!$B$7)^E249)</f>
        <v/>
      </c>
      <c r="I249" s="15">
        <f>IF(A249="","",G249*H249/(1+Assumptions!$B$4)^E249)</f>
        <v/>
      </c>
      <c r="J249" s="7">
        <f>IF(A249="","",C249&gt;=Assumptions!$B$10)</f>
        <v/>
      </c>
    </row>
    <row r="250">
      <c r="A250" s="12" t="n"/>
      <c r="B250" s="10" t="n"/>
      <c r="C250" s="13" t="n"/>
      <c r="D250" s="11" t="n"/>
      <c r="E250" s="14">
        <f>IF(A250="","",MAX(0,Assumptions!$B$8-B250))</f>
        <v/>
      </c>
      <c r="F250" s="15">
        <f>IF(A250="","",D250*(1+Assumptions!$B$5)^E250)</f>
        <v/>
      </c>
      <c r="G250" s="15">
        <f>IF(A250="","",MIN(Assumptions!$B$9,15/26*F250*C250))</f>
        <v/>
      </c>
      <c r="H250" s="16">
        <f>IF(A250="","",(1-Assumptions!$B$6-Assumptions!$B$7)^E250)</f>
        <v/>
      </c>
      <c r="I250" s="15">
        <f>IF(A250="","",G250*H250/(1+Assumptions!$B$4)^E250)</f>
        <v/>
      </c>
      <c r="J250" s="7">
        <f>IF(A250="","",C250&gt;=Assumptions!$B$10)</f>
        <v/>
      </c>
    </row>
    <row r="251">
      <c r="A251" s="12" t="n"/>
      <c r="B251" s="10" t="n"/>
      <c r="C251" s="13" t="n"/>
      <c r="D251" s="11" t="n"/>
      <c r="E251" s="14">
        <f>IF(A251="","",MAX(0,Assumptions!$B$8-B251))</f>
        <v/>
      </c>
      <c r="F251" s="15">
        <f>IF(A251="","",D251*(1+Assumptions!$B$5)^E251)</f>
        <v/>
      </c>
      <c r="G251" s="15">
        <f>IF(A251="","",MIN(Assumptions!$B$9,15/26*F251*C251))</f>
        <v/>
      </c>
      <c r="H251" s="16">
        <f>IF(A251="","",(1-Assumptions!$B$6-Assumptions!$B$7)^E251)</f>
        <v/>
      </c>
      <c r="I251" s="15">
        <f>IF(A251="","",G251*H251/(1+Assumptions!$B$4)^E251)</f>
        <v/>
      </c>
      <c r="J251" s="7">
        <f>IF(A251="","",C251&gt;=Assumptions!$B$10)</f>
        <v/>
      </c>
    </row>
    <row r="252">
      <c r="A252" s="12" t="n"/>
      <c r="B252" s="10" t="n"/>
      <c r="C252" s="13" t="n"/>
      <c r="D252" s="11" t="n"/>
      <c r="E252" s="14">
        <f>IF(A252="","",MAX(0,Assumptions!$B$8-B252))</f>
        <v/>
      </c>
      <c r="F252" s="15">
        <f>IF(A252="","",D252*(1+Assumptions!$B$5)^E252)</f>
        <v/>
      </c>
      <c r="G252" s="15">
        <f>IF(A252="","",MIN(Assumptions!$B$9,15/26*F252*C252))</f>
        <v/>
      </c>
      <c r="H252" s="16">
        <f>IF(A252="","",(1-Assumptions!$B$6-Assumptions!$B$7)^E252)</f>
        <v/>
      </c>
      <c r="I252" s="15">
        <f>IF(A252="","",G252*H252/(1+Assumptions!$B$4)^E252)</f>
        <v/>
      </c>
      <c r="J252" s="7">
        <f>IF(A252="","",C252&gt;=Assumptions!$B$10)</f>
        <v/>
      </c>
    </row>
    <row r="253">
      <c r="A253" s="12" t="n"/>
      <c r="B253" s="10" t="n"/>
      <c r="C253" s="13" t="n"/>
      <c r="D253" s="11" t="n"/>
      <c r="E253" s="14">
        <f>IF(A253="","",MAX(0,Assumptions!$B$8-B253))</f>
        <v/>
      </c>
      <c r="F253" s="15">
        <f>IF(A253="","",D253*(1+Assumptions!$B$5)^E253)</f>
        <v/>
      </c>
      <c r="G253" s="15">
        <f>IF(A253="","",MIN(Assumptions!$B$9,15/26*F253*C253))</f>
        <v/>
      </c>
      <c r="H253" s="16">
        <f>IF(A253="","",(1-Assumptions!$B$6-Assumptions!$B$7)^E253)</f>
        <v/>
      </c>
      <c r="I253" s="15">
        <f>IF(A253="","",G253*H253/(1+Assumptions!$B$4)^E253)</f>
        <v/>
      </c>
      <c r="J253" s="7">
        <f>IF(A253="","",C253&gt;=Assumptions!$B$10)</f>
        <v/>
      </c>
    </row>
    <row r="254">
      <c r="A254" s="12" t="n"/>
      <c r="B254" s="10" t="n"/>
      <c r="C254" s="13" t="n"/>
      <c r="D254" s="11" t="n"/>
      <c r="E254" s="14">
        <f>IF(A254="","",MAX(0,Assumptions!$B$8-B254))</f>
        <v/>
      </c>
      <c r="F254" s="15">
        <f>IF(A254="","",D254*(1+Assumptions!$B$5)^E254)</f>
        <v/>
      </c>
      <c r="G254" s="15">
        <f>IF(A254="","",MIN(Assumptions!$B$9,15/26*F254*C254))</f>
        <v/>
      </c>
      <c r="H254" s="16">
        <f>IF(A254="","",(1-Assumptions!$B$6-Assumptions!$B$7)^E254)</f>
        <v/>
      </c>
      <c r="I254" s="15">
        <f>IF(A254="","",G254*H254/(1+Assumptions!$B$4)^E254)</f>
        <v/>
      </c>
      <c r="J254" s="7">
        <f>IF(A254="","",C254&gt;=Assumptions!$B$10)</f>
        <v/>
      </c>
    </row>
    <row r="255">
      <c r="A255" s="12" t="n"/>
      <c r="B255" s="10" t="n"/>
      <c r="C255" s="13" t="n"/>
      <c r="D255" s="11" t="n"/>
      <c r="E255" s="14">
        <f>IF(A255="","",MAX(0,Assumptions!$B$8-B255))</f>
        <v/>
      </c>
      <c r="F255" s="15">
        <f>IF(A255="","",D255*(1+Assumptions!$B$5)^E255)</f>
        <v/>
      </c>
      <c r="G255" s="15">
        <f>IF(A255="","",MIN(Assumptions!$B$9,15/26*F255*C255))</f>
        <v/>
      </c>
      <c r="H255" s="16">
        <f>IF(A255="","",(1-Assumptions!$B$6-Assumptions!$B$7)^E255)</f>
        <v/>
      </c>
      <c r="I255" s="15">
        <f>IF(A255="","",G255*H255/(1+Assumptions!$B$4)^E255)</f>
        <v/>
      </c>
      <c r="J255" s="7">
        <f>IF(A255="","",C255&gt;=Assumptions!$B$10)</f>
        <v/>
      </c>
    </row>
    <row r="256">
      <c r="A256" s="12" t="n"/>
      <c r="B256" s="10" t="n"/>
      <c r="C256" s="13" t="n"/>
      <c r="D256" s="11" t="n"/>
      <c r="E256" s="14">
        <f>IF(A256="","",MAX(0,Assumptions!$B$8-B256))</f>
        <v/>
      </c>
      <c r="F256" s="15">
        <f>IF(A256="","",D256*(1+Assumptions!$B$5)^E256)</f>
        <v/>
      </c>
      <c r="G256" s="15">
        <f>IF(A256="","",MIN(Assumptions!$B$9,15/26*F256*C256))</f>
        <v/>
      </c>
      <c r="H256" s="16">
        <f>IF(A256="","",(1-Assumptions!$B$6-Assumptions!$B$7)^E256)</f>
        <v/>
      </c>
      <c r="I256" s="15">
        <f>IF(A256="","",G256*H256/(1+Assumptions!$B$4)^E256)</f>
        <v/>
      </c>
      <c r="J256" s="7">
        <f>IF(A256="","",C256&gt;=Assumptions!$B$10)</f>
        <v/>
      </c>
    </row>
    <row r="257">
      <c r="A257" s="12" t="n"/>
      <c r="B257" s="10" t="n"/>
      <c r="C257" s="13" t="n"/>
      <c r="D257" s="11" t="n"/>
      <c r="E257" s="14">
        <f>IF(A257="","",MAX(0,Assumptions!$B$8-B257))</f>
        <v/>
      </c>
      <c r="F257" s="15">
        <f>IF(A257="","",D257*(1+Assumptions!$B$5)^E257)</f>
        <v/>
      </c>
      <c r="G257" s="15">
        <f>IF(A257="","",MIN(Assumptions!$B$9,15/26*F257*C257))</f>
        <v/>
      </c>
      <c r="H257" s="16">
        <f>IF(A257="","",(1-Assumptions!$B$6-Assumptions!$B$7)^E257)</f>
        <v/>
      </c>
      <c r="I257" s="15">
        <f>IF(A257="","",G257*H257/(1+Assumptions!$B$4)^E257)</f>
        <v/>
      </c>
      <c r="J257" s="7">
        <f>IF(A257="","",C257&gt;=Assumptions!$B$10)</f>
        <v/>
      </c>
    </row>
    <row r="258">
      <c r="A258" s="12" t="n"/>
      <c r="B258" s="10" t="n"/>
      <c r="C258" s="13" t="n"/>
      <c r="D258" s="11" t="n"/>
      <c r="E258" s="14">
        <f>IF(A258="","",MAX(0,Assumptions!$B$8-B258))</f>
        <v/>
      </c>
      <c r="F258" s="15">
        <f>IF(A258="","",D258*(1+Assumptions!$B$5)^E258)</f>
        <v/>
      </c>
      <c r="G258" s="15">
        <f>IF(A258="","",MIN(Assumptions!$B$9,15/26*F258*C258))</f>
        <v/>
      </c>
      <c r="H258" s="16">
        <f>IF(A258="","",(1-Assumptions!$B$6-Assumptions!$B$7)^E258)</f>
        <v/>
      </c>
      <c r="I258" s="15">
        <f>IF(A258="","",G258*H258/(1+Assumptions!$B$4)^E258)</f>
        <v/>
      </c>
      <c r="J258" s="7">
        <f>IF(A258="","",C258&gt;=Assumptions!$B$10)</f>
        <v/>
      </c>
    </row>
    <row r="259">
      <c r="A259" s="12" t="n"/>
      <c r="B259" s="10" t="n"/>
      <c r="C259" s="13" t="n"/>
      <c r="D259" s="11" t="n"/>
      <c r="E259" s="14">
        <f>IF(A259="","",MAX(0,Assumptions!$B$8-B259))</f>
        <v/>
      </c>
      <c r="F259" s="15">
        <f>IF(A259="","",D259*(1+Assumptions!$B$5)^E259)</f>
        <v/>
      </c>
      <c r="G259" s="15">
        <f>IF(A259="","",MIN(Assumptions!$B$9,15/26*F259*C259))</f>
        <v/>
      </c>
      <c r="H259" s="16">
        <f>IF(A259="","",(1-Assumptions!$B$6-Assumptions!$B$7)^E259)</f>
        <v/>
      </c>
      <c r="I259" s="15">
        <f>IF(A259="","",G259*H259/(1+Assumptions!$B$4)^E259)</f>
        <v/>
      </c>
      <c r="J259" s="7">
        <f>IF(A259="","",C259&gt;=Assumptions!$B$10)</f>
        <v/>
      </c>
    </row>
    <row r="260">
      <c r="A260" s="12" t="n"/>
      <c r="B260" s="10" t="n"/>
      <c r="C260" s="13" t="n"/>
      <c r="D260" s="11" t="n"/>
      <c r="E260" s="14">
        <f>IF(A260="","",MAX(0,Assumptions!$B$8-B260))</f>
        <v/>
      </c>
      <c r="F260" s="15">
        <f>IF(A260="","",D260*(1+Assumptions!$B$5)^E260)</f>
        <v/>
      </c>
      <c r="G260" s="15">
        <f>IF(A260="","",MIN(Assumptions!$B$9,15/26*F260*C260))</f>
        <v/>
      </c>
      <c r="H260" s="16">
        <f>IF(A260="","",(1-Assumptions!$B$6-Assumptions!$B$7)^E260)</f>
        <v/>
      </c>
      <c r="I260" s="15">
        <f>IF(A260="","",G260*H260/(1+Assumptions!$B$4)^E260)</f>
        <v/>
      </c>
      <c r="J260" s="7">
        <f>IF(A260="","",C260&gt;=Assumptions!$B$10)</f>
        <v/>
      </c>
    </row>
    <row r="261">
      <c r="A261" s="12" t="n"/>
      <c r="B261" s="10" t="n"/>
      <c r="C261" s="13" t="n"/>
      <c r="D261" s="11" t="n"/>
      <c r="E261" s="14">
        <f>IF(A261="","",MAX(0,Assumptions!$B$8-B261))</f>
        <v/>
      </c>
      <c r="F261" s="15">
        <f>IF(A261="","",D261*(1+Assumptions!$B$5)^E261)</f>
        <v/>
      </c>
      <c r="G261" s="15">
        <f>IF(A261="","",MIN(Assumptions!$B$9,15/26*F261*C261))</f>
        <v/>
      </c>
      <c r="H261" s="16">
        <f>IF(A261="","",(1-Assumptions!$B$6-Assumptions!$B$7)^E261)</f>
        <v/>
      </c>
      <c r="I261" s="15">
        <f>IF(A261="","",G261*H261/(1+Assumptions!$B$4)^E261)</f>
        <v/>
      </c>
      <c r="J261" s="7">
        <f>IF(A261="","",C261&gt;=Assumptions!$B$10)</f>
        <v/>
      </c>
    </row>
    <row r="262">
      <c r="A262" s="12" t="n"/>
      <c r="B262" s="10" t="n"/>
      <c r="C262" s="13" t="n"/>
      <c r="D262" s="11" t="n"/>
      <c r="E262" s="14">
        <f>IF(A262="","",MAX(0,Assumptions!$B$8-B262))</f>
        <v/>
      </c>
      <c r="F262" s="15">
        <f>IF(A262="","",D262*(1+Assumptions!$B$5)^E262)</f>
        <v/>
      </c>
      <c r="G262" s="15">
        <f>IF(A262="","",MIN(Assumptions!$B$9,15/26*F262*C262))</f>
        <v/>
      </c>
      <c r="H262" s="16">
        <f>IF(A262="","",(1-Assumptions!$B$6-Assumptions!$B$7)^E262)</f>
        <v/>
      </c>
      <c r="I262" s="15">
        <f>IF(A262="","",G262*H262/(1+Assumptions!$B$4)^E262)</f>
        <v/>
      </c>
      <c r="J262" s="7">
        <f>IF(A262="","",C262&gt;=Assumptions!$B$10)</f>
        <v/>
      </c>
    </row>
    <row r="263">
      <c r="A263" s="12" t="n"/>
      <c r="B263" s="10" t="n"/>
      <c r="C263" s="13" t="n"/>
      <c r="D263" s="11" t="n"/>
      <c r="E263" s="14">
        <f>IF(A263="","",MAX(0,Assumptions!$B$8-B263))</f>
        <v/>
      </c>
      <c r="F263" s="15">
        <f>IF(A263="","",D263*(1+Assumptions!$B$5)^E263)</f>
        <v/>
      </c>
      <c r="G263" s="15">
        <f>IF(A263="","",MIN(Assumptions!$B$9,15/26*F263*C263))</f>
        <v/>
      </c>
      <c r="H263" s="16">
        <f>IF(A263="","",(1-Assumptions!$B$6-Assumptions!$B$7)^E263)</f>
        <v/>
      </c>
      <c r="I263" s="15">
        <f>IF(A263="","",G263*H263/(1+Assumptions!$B$4)^E263)</f>
        <v/>
      </c>
      <c r="J263" s="7">
        <f>IF(A263="","",C263&gt;=Assumptions!$B$10)</f>
        <v/>
      </c>
    </row>
    <row r="264">
      <c r="A264" s="12" t="n"/>
      <c r="B264" s="10" t="n"/>
      <c r="C264" s="13" t="n"/>
      <c r="D264" s="11" t="n"/>
      <c r="E264" s="14">
        <f>IF(A264="","",MAX(0,Assumptions!$B$8-B264))</f>
        <v/>
      </c>
      <c r="F264" s="15">
        <f>IF(A264="","",D264*(1+Assumptions!$B$5)^E264)</f>
        <v/>
      </c>
      <c r="G264" s="15">
        <f>IF(A264="","",MIN(Assumptions!$B$9,15/26*F264*C264))</f>
        <v/>
      </c>
      <c r="H264" s="16">
        <f>IF(A264="","",(1-Assumptions!$B$6-Assumptions!$B$7)^E264)</f>
        <v/>
      </c>
      <c r="I264" s="15">
        <f>IF(A264="","",G264*H264/(1+Assumptions!$B$4)^E264)</f>
        <v/>
      </c>
      <c r="J264" s="7">
        <f>IF(A264="","",C264&gt;=Assumptions!$B$10)</f>
        <v/>
      </c>
    </row>
    <row r="265">
      <c r="A265" s="12" t="n"/>
      <c r="B265" s="10" t="n"/>
      <c r="C265" s="13" t="n"/>
      <c r="D265" s="11" t="n"/>
      <c r="E265" s="14">
        <f>IF(A265="","",MAX(0,Assumptions!$B$8-B265))</f>
        <v/>
      </c>
      <c r="F265" s="15">
        <f>IF(A265="","",D265*(1+Assumptions!$B$5)^E265)</f>
        <v/>
      </c>
      <c r="G265" s="15">
        <f>IF(A265="","",MIN(Assumptions!$B$9,15/26*F265*C265))</f>
        <v/>
      </c>
      <c r="H265" s="16">
        <f>IF(A265="","",(1-Assumptions!$B$6-Assumptions!$B$7)^E265)</f>
        <v/>
      </c>
      <c r="I265" s="15">
        <f>IF(A265="","",G265*H265/(1+Assumptions!$B$4)^E265)</f>
        <v/>
      </c>
      <c r="J265" s="7">
        <f>IF(A265="","",C265&gt;=Assumptions!$B$10)</f>
        <v/>
      </c>
    </row>
    <row r="266">
      <c r="A266" s="12" t="n"/>
      <c r="B266" s="10" t="n"/>
      <c r="C266" s="13" t="n"/>
      <c r="D266" s="11" t="n"/>
      <c r="E266" s="14">
        <f>IF(A266="","",MAX(0,Assumptions!$B$8-B266))</f>
        <v/>
      </c>
      <c r="F266" s="15">
        <f>IF(A266="","",D266*(1+Assumptions!$B$5)^E266)</f>
        <v/>
      </c>
      <c r="G266" s="15">
        <f>IF(A266="","",MIN(Assumptions!$B$9,15/26*F266*C266))</f>
        <v/>
      </c>
      <c r="H266" s="16">
        <f>IF(A266="","",(1-Assumptions!$B$6-Assumptions!$B$7)^E266)</f>
        <v/>
      </c>
      <c r="I266" s="15">
        <f>IF(A266="","",G266*H266/(1+Assumptions!$B$4)^E266)</f>
        <v/>
      </c>
      <c r="J266" s="7">
        <f>IF(A266="","",C266&gt;=Assumptions!$B$10)</f>
        <v/>
      </c>
    </row>
    <row r="267">
      <c r="A267" s="12" t="n"/>
      <c r="B267" s="10" t="n"/>
      <c r="C267" s="13" t="n"/>
      <c r="D267" s="11" t="n"/>
      <c r="E267" s="14">
        <f>IF(A267="","",MAX(0,Assumptions!$B$8-B267))</f>
        <v/>
      </c>
      <c r="F267" s="15">
        <f>IF(A267="","",D267*(1+Assumptions!$B$5)^E267)</f>
        <v/>
      </c>
      <c r="G267" s="15">
        <f>IF(A267="","",MIN(Assumptions!$B$9,15/26*F267*C267))</f>
        <v/>
      </c>
      <c r="H267" s="16">
        <f>IF(A267="","",(1-Assumptions!$B$6-Assumptions!$B$7)^E267)</f>
        <v/>
      </c>
      <c r="I267" s="15">
        <f>IF(A267="","",G267*H267/(1+Assumptions!$B$4)^E267)</f>
        <v/>
      </c>
      <c r="J267" s="7">
        <f>IF(A267="","",C267&gt;=Assumptions!$B$10)</f>
        <v/>
      </c>
    </row>
    <row r="268">
      <c r="A268" s="12" t="n"/>
      <c r="B268" s="10" t="n"/>
      <c r="C268" s="13" t="n"/>
      <c r="D268" s="11" t="n"/>
      <c r="E268" s="14">
        <f>IF(A268="","",MAX(0,Assumptions!$B$8-B268))</f>
        <v/>
      </c>
      <c r="F268" s="15">
        <f>IF(A268="","",D268*(1+Assumptions!$B$5)^E268)</f>
        <v/>
      </c>
      <c r="G268" s="15">
        <f>IF(A268="","",MIN(Assumptions!$B$9,15/26*F268*C268))</f>
        <v/>
      </c>
      <c r="H268" s="16">
        <f>IF(A268="","",(1-Assumptions!$B$6-Assumptions!$B$7)^E268)</f>
        <v/>
      </c>
      <c r="I268" s="15">
        <f>IF(A268="","",G268*H268/(1+Assumptions!$B$4)^E268)</f>
        <v/>
      </c>
      <c r="J268" s="7">
        <f>IF(A268="","",C268&gt;=Assumptions!$B$10)</f>
        <v/>
      </c>
    </row>
    <row r="269">
      <c r="A269" s="12" t="n"/>
      <c r="B269" s="10" t="n"/>
      <c r="C269" s="13" t="n"/>
      <c r="D269" s="11" t="n"/>
      <c r="E269" s="14">
        <f>IF(A269="","",MAX(0,Assumptions!$B$8-B269))</f>
        <v/>
      </c>
      <c r="F269" s="15">
        <f>IF(A269="","",D269*(1+Assumptions!$B$5)^E269)</f>
        <v/>
      </c>
      <c r="G269" s="15">
        <f>IF(A269="","",MIN(Assumptions!$B$9,15/26*F269*C269))</f>
        <v/>
      </c>
      <c r="H269" s="16">
        <f>IF(A269="","",(1-Assumptions!$B$6-Assumptions!$B$7)^E269)</f>
        <v/>
      </c>
      <c r="I269" s="15">
        <f>IF(A269="","",G269*H269/(1+Assumptions!$B$4)^E269)</f>
        <v/>
      </c>
      <c r="J269" s="7">
        <f>IF(A269="","",C269&gt;=Assumptions!$B$10)</f>
        <v/>
      </c>
    </row>
    <row r="270">
      <c r="A270" s="12" t="n"/>
      <c r="B270" s="10" t="n"/>
      <c r="C270" s="13" t="n"/>
      <c r="D270" s="11" t="n"/>
      <c r="E270" s="14">
        <f>IF(A270="","",MAX(0,Assumptions!$B$8-B270))</f>
        <v/>
      </c>
      <c r="F270" s="15">
        <f>IF(A270="","",D270*(1+Assumptions!$B$5)^E270)</f>
        <v/>
      </c>
      <c r="G270" s="15">
        <f>IF(A270="","",MIN(Assumptions!$B$9,15/26*F270*C270))</f>
        <v/>
      </c>
      <c r="H270" s="16">
        <f>IF(A270="","",(1-Assumptions!$B$6-Assumptions!$B$7)^E270)</f>
        <v/>
      </c>
      <c r="I270" s="15">
        <f>IF(A270="","",G270*H270/(1+Assumptions!$B$4)^E270)</f>
        <v/>
      </c>
      <c r="J270" s="7">
        <f>IF(A270="","",C270&gt;=Assumptions!$B$10)</f>
        <v/>
      </c>
    </row>
    <row r="271">
      <c r="A271" s="12" t="n"/>
      <c r="B271" s="10" t="n"/>
      <c r="C271" s="13" t="n"/>
      <c r="D271" s="11" t="n"/>
      <c r="E271" s="14">
        <f>IF(A271="","",MAX(0,Assumptions!$B$8-B271))</f>
        <v/>
      </c>
      <c r="F271" s="15">
        <f>IF(A271="","",D271*(1+Assumptions!$B$5)^E271)</f>
        <v/>
      </c>
      <c r="G271" s="15">
        <f>IF(A271="","",MIN(Assumptions!$B$9,15/26*F271*C271))</f>
        <v/>
      </c>
      <c r="H271" s="16">
        <f>IF(A271="","",(1-Assumptions!$B$6-Assumptions!$B$7)^E271)</f>
        <v/>
      </c>
      <c r="I271" s="15">
        <f>IF(A271="","",G271*H271/(1+Assumptions!$B$4)^E271)</f>
        <v/>
      </c>
      <c r="J271" s="7">
        <f>IF(A271="","",C271&gt;=Assumptions!$B$10)</f>
        <v/>
      </c>
    </row>
    <row r="272">
      <c r="A272" s="12" t="n"/>
      <c r="B272" s="10" t="n"/>
      <c r="C272" s="13" t="n"/>
      <c r="D272" s="11" t="n"/>
      <c r="E272" s="14">
        <f>IF(A272="","",MAX(0,Assumptions!$B$8-B272))</f>
        <v/>
      </c>
      <c r="F272" s="15">
        <f>IF(A272="","",D272*(1+Assumptions!$B$5)^E272)</f>
        <v/>
      </c>
      <c r="G272" s="15">
        <f>IF(A272="","",MIN(Assumptions!$B$9,15/26*F272*C272))</f>
        <v/>
      </c>
      <c r="H272" s="16">
        <f>IF(A272="","",(1-Assumptions!$B$6-Assumptions!$B$7)^E272)</f>
        <v/>
      </c>
      <c r="I272" s="15">
        <f>IF(A272="","",G272*H272/(1+Assumptions!$B$4)^E272)</f>
        <v/>
      </c>
      <c r="J272" s="7">
        <f>IF(A272="","",C272&gt;=Assumptions!$B$10)</f>
        <v/>
      </c>
    </row>
    <row r="273">
      <c r="A273" s="12" t="n"/>
      <c r="B273" s="10" t="n"/>
      <c r="C273" s="13" t="n"/>
      <c r="D273" s="11" t="n"/>
      <c r="E273" s="14">
        <f>IF(A273="","",MAX(0,Assumptions!$B$8-B273))</f>
        <v/>
      </c>
      <c r="F273" s="15">
        <f>IF(A273="","",D273*(1+Assumptions!$B$5)^E273)</f>
        <v/>
      </c>
      <c r="G273" s="15">
        <f>IF(A273="","",MIN(Assumptions!$B$9,15/26*F273*C273))</f>
        <v/>
      </c>
      <c r="H273" s="16">
        <f>IF(A273="","",(1-Assumptions!$B$6-Assumptions!$B$7)^E273)</f>
        <v/>
      </c>
      <c r="I273" s="15">
        <f>IF(A273="","",G273*H273/(1+Assumptions!$B$4)^E273)</f>
        <v/>
      </c>
      <c r="J273" s="7">
        <f>IF(A273="","",C273&gt;=Assumptions!$B$10)</f>
        <v/>
      </c>
    </row>
    <row r="274">
      <c r="A274" s="12" t="n"/>
      <c r="B274" s="10" t="n"/>
      <c r="C274" s="13" t="n"/>
      <c r="D274" s="11" t="n"/>
      <c r="E274" s="14">
        <f>IF(A274="","",MAX(0,Assumptions!$B$8-B274))</f>
        <v/>
      </c>
      <c r="F274" s="15">
        <f>IF(A274="","",D274*(1+Assumptions!$B$5)^E274)</f>
        <v/>
      </c>
      <c r="G274" s="15">
        <f>IF(A274="","",MIN(Assumptions!$B$9,15/26*F274*C274))</f>
        <v/>
      </c>
      <c r="H274" s="16">
        <f>IF(A274="","",(1-Assumptions!$B$6-Assumptions!$B$7)^E274)</f>
        <v/>
      </c>
      <c r="I274" s="15">
        <f>IF(A274="","",G274*H274/(1+Assumptions!$B$4)^E274)</f>
        <v/>
      </c>
      <c r="J274" s="7">
        <f>IF(A274="","",C274&gt;=Assumptions!$B$10)</f>
        <v/>
      </c>
    </row>
    <row r="275">
      <c r="A275" s="12" t="n"/>
      <c r="B275" s="10" t="n"/>
      <c r="C275" s="13" t="n"/>
      <c r="D275" s="11" t="n"/>
      <c r="E275" s="14">
        <f>IF(A275="","",MAX(0,Assumptions!$B$8-B275))</f>
        <v/>
      </c>
      <c r="F275" s="15">
        <f>IF(A275="","",D275*(1+Assumptions!$B$5)^E275)</f>
        <v/>
      </c>
      <c r="G275" s="15">
        <f>IF(A275="","",MIN(Assumptions!$B$9,15/26*F275*C275))</f>
        <v/>
      </c>
      <c r="H275" s="16">
        <f>IF(A275="","",(1-Assumptions!$B$6-Assumptions!$B$7)^E275)</f>
        <v/>
      </c>
      <c r="I275" s="15">
        <f>IF(A275="","",G275*H275/(1+Assumptions!$B$4)^E275)</f>
        <v/>
      </c>
      <c r="J275" s="7">
        <f>IF(A275="","",C275&gt;=Assumptions!$B$10)</f>
        <v/>
      </c>
    </row>
    <row r="276">
      <c r="A276" s="12" t="n"/>
      <c r="B276" s="10" t="n"/>
      <c r="C276" s="13" t="n"/>
      <c r="D276" s="11" t="n"/>
      <c r="E276" s="14">
        <f>IF(A276="","",MAX(0,Assumptions!$B$8-B276))</f>
        <v/>
      </c>
      <c r="F276" s="15">
        <f>IF(A276="","",D276*(1+Assumptions!$B$5)^E276)</f>
        <v/>
      </c>
      <c r="G276" s="15">
        <f>IF(A276="","",MIN(Assumptions!$B$9,15/26*F276*C276))</f>
        <v/>
      </c>
      <c r="H276" s="16">
        <f>IF(A276="","",(1-Assumptions!$B$6-Assumptions!$B$7)^E276)</f>
        <v/>
      </c>
      <c r="I276" s="15">
        <f>IF(A276="","",G276*H276/(1+Assumptions!$B$4)^E276)</f>
        <v/>
      </c>
      <c r="J276" s="7">
        <f>IF(A276="","",C276&gt;=Assumptions!$B$10)</f>
        <v/>
      </c>
    </row>
    <row r="277">
      <c r="A277" s="12" t="n"/>
      <c r="B277" s="10" t="n"/>
      <c r="C277" s="13" t="n"/>
      <c r="D277" s="11" t="n"/>
      <c r="E277" s="14">
        <f>IF(A277="","",MAX(0,Assumptions!$B$8-B277))</f>
        <v/>
      </c>
      <c r="F277" s="15">
        <f>IF(A277="","",D277*(1+Assumptions!$B$5)^E277)</f>
        <v/>
      </c>
      <c r="G277" s="15">
        <f>IF(A277="","",MIN(Assumptions!$B$9,15/26*F277*C277))</f>
        <v/>
      </c>
      <c r="H277" s="16">
        <f>IF(A277="","",(1-Assumptions!$B$6-Assumptions!$B$7)^E277)</f>
        <v/>
      </c>
      <c r="I277" s="15">
        <f>IF(A277="","",G277*H277/(1+Assumptions!$B$4)^E277)</f>
        <v/>
      </c>
      <c r="J277" s="7">
        <f>IF(A277="","",C277&gt;=Assumptions!$B$10)</f>
        <v/>
      </c>
    </row>
    <row r="278">
      <c r="A278" s="12" t="n"/>
      <c r="B278" s="10" t="n"/>
      <c r="C278" s="13" t="n"/>
      <c r="D278" s="11" t="n"/>
      <c r="E278" s="14">
        <f>IF(A278="","",MAX(0,Assumptions!$B$8-B278))</f>
        <v/>
      </c>
      <c r="F278" s="15">
        <f>IF(A278="","",D278*(1+Assumptions!$B$5)^E278)</f>
        <v/>
      </c>
      <c r="G278" s="15">
        <f>IF(A278="","",MIN(Assumptions!$B$9,15/26*F278*C278))</f>
        <v/>
      </c>
      <c r="H278" s="16">
        <f>IF(A278="","",(1-Assumptions!$B$6-Assumptions!$B$7)^E278)</f>
        <v/>
      </c>
      <c r="I278" s="15">
        <f>IF(A278="","",G278*H278/(1+Assumptions!$B$4)^E278)</f>
        <v/>
      </c>
      <c r="J278" s="7">
        <f>IF(A278="","",C278&gt;=Assumptions!$B$10)</f>
        <v/>
      </c>
    </row>
    <row r="279">
      <c r="A279" s="12" t="n"/>
      <c r="B279" s="10" t="n"/>
      <c r="C279" s="13" t="n"/>
      <c r="D279" s="11" t="n"/>
      <c r="E279" s="14">
        <f>IF(A279="","",MAX(0,Assumptions!$B$8-B279))</f>
        <v/>
      </c>
      <c r="F279" s="15">
        <f>IF(A279="","",D279*(1+Assumptions!$B$5)^E279)</f>
        <v/>
      </c>
      <c r="G279" s="15">
        <f>IF(A279="","",MIN(Assumptions!$B$9,15/26*F279*C279))</f>
        <v/>
      </c>
      <c r="H279" s="16">
        <f>IF(A279="","",(1-Assumptions!$B$6-Assumptions!$B$7)^E279)</f>
        <v/>
      </c>
      <c r="I279" s="15">
        <f>IF(A279="","",G279*H279/(1+Assumptions!$B$4)^E279)</f>
        <v/>
      </c>
      <c r="J279" s="7">
        <f>IF(A279="","",C279&gt;=Assumptions!$B$10)</f>
        <v/>
      </c>
    </row>
    <row r="280">
      <c r="A280" s="12" t="n"/>
      <c r="B280" s="10" t="n"/>
      <c r="C280" s="13" t="n"/>
      <c r="D280" s="11" t="n"/>
      <c r="E280" s="14">
        <f>IF(A280="","",MAX(0,Assumptions!$B$8-B280))</f>
        <v/>
      </c>
      <c r="F280" s="15">
        <f>IF(A280="","",D280*(1+Assumptions!$B$5)^E280)</f>
        <v/>
      </c>
      <c r="G280" s="15">
        <f>IF(A280="","",MIN(Assumptions!$B$9,15/26*F280*C280))</f>
        <v/>
      </c>
      <c r="H280" s="16">
        <f>IF(A280="","",(1-Assumptions!$B$6-Assumptions!$B$7)^E280)</f>
        <v/>
      </c>
      <c r="I280" s="15">
        <f>IF(A280="","",G280*H280/(1+Assumptions!$B$4)^E280)</f>
        <v/>
      </c>
      <c r="J280" s="7">
        <f>IF(A280="","",C280&gt;=Assumptions!$B$10)</f>
        <v/>
      </c>
    </row>
    <row r="281">
      <c r="A281" s="12" t="n"/>
      <c r="B281" s="10" t="n"/>
      <c r="C281" s="13" t="n"/>
      <c r="D281" s="11" t="n"/>
      <c r="E281" s="14">
        <f>IF(A281="","",MAX(0,Assumptions!$B$8-B281))</f>
        <v/>
      </c>
      <c r="F281" s="15">
        <f>IF(A281="","",D281*(1+Assumptions!$B$5)^E281)</f>
        <v/>
      </c>
      <c r="G281" s="15">
        <f>IF(A281="","",MIN(Assumptions!$B$9,15/26*F281*C281))</f>
        <v/>
      </c>
      <c r="H281" s="16">
        <f>IF(A281="","",(1-Assumptions!$B$6-Assumptions!$B$7)^E281)</f>
        <v/>
      </c>
      <c r="I281" s="15">
        <f>IF(A281="","",G281*H281/(1+Assumptions!$B$4)^E281)</f>
        <v/>
      </c>
      <c r="J281" s="7">
        <f>IF(A281="","",C281&gt;=Assumptions!$B$10)</f>
        <v/>
      </c>
    </row>
    <row r="282">
      <c r="A282" s="12" t="n"/>
      <c r="B282" s="10" t="n"/>
      <c r="C282" s="13" t="n"/>
      <c r="D282" s="11" t="n"/>
      <c r="E282" s="14">
        <f>IF(A282="","",MAX(0,Assumptions!$B$8-B282))</f>
        <v/>
      </c>
      <c r="F282" s="15">
        <f>IF(A282="","",D282*(1+Assumptions!$B$5)^E282)</f>
        <v/>
      </c>
      <c r="G282" s="15">
        <f>IF(A282="","",MIN(Assumptions!$B$9,15/26*F282*C282))</f>
        <v/>
      </c>
      <c r="H282" s="16">
        <f>IF(A282="","",(1-Assumptions!$B$6-Assumptions!$B$7)^E282)</f>
        <v/>
      </c>
      <c r="I282" s="15">
        <f>IF(A282="","",G282*H282/(1+Assumptions!$B$4)^E282)</f>
        <v/>
      </c>
      <c r="J282" s="7">
        <f>IF(A282="","",C282&gt;=Assumptions!$B$10)</f>
        <v/>
      </c>
    </row>
    <row r="283">
      <c r="A283" s="12" t="n"/>
      <c r="B283" s="10" t="n"/>
      <c r="C283" s="13" t="n"/>
      <c r="D283" s="11" t="n"/>
      <c r="E283" s="14">
        <f>IF(A283="","",MAX(0,Assumptions!$B$8-B283))</f>
        <v/>
      </c>
      <c r="F283" s="15">
        <f>IF(A283="","",D283*(1+Assumptions!$B$5)^E283)</f>
        <v/>
      </c>
      <c r="G283" s="15">
        <f>IF(A283="","",MIN(Assumptions!$B$9,15/26*F283*C283))</f>
        <v/>
      </c>
      <c r="H283" s="16">
        <f>IF(A283="","",(1-Assumptions!$B$6-Assumptions!$B$7)^E283)</f>
        <v/>
      </c>
      <c r="I283" s="15">
        <f>IF(A283="","",G283*H283/(1+Assumptions!$B$4)^E283)</f>
        <v/>
      </c>
      <c r="J283" s="7">
        <f>IF(A283="","",C283&gt;=Assumptions!$B$10)</f>
        <v/>
      </c>
    </row>
    <row r="284">
      <c r="A284" s="12" t="n"/>
      <c r="B284" s="10" t="n"/>
      <c r="C284" s="13" t="n"/>
      <c r="D284" s="11" t="n"/>
      <c r="E284" s="14">
        <f>IF(A284="","",MAX(0,Assumptions!$B$8-B284))</f>
        <v/>
      </c>
      <c r="F284" s="15">
        <f>IF(A284="","",D284*(1+Assumptions!$B$5)^E284)</f>
        <v/>
      </c>
      <c r="G284" s="15">
        <f>IF(A284="","",MIN(Assumptions!$B$9,15/26*F284*C284))</f>
        <v/>
      </c>
      <c r="H284" s="16">
        <f>IF(A284="","",(1-Assumptions!$B$6-Assumptions!$B$7)^E284)</f>
        <v/>
      </c>
      <c r="I284" s="15">
        <f>IF(A284="","",G284*H284/(1+Assumptions!$B$4)^E284)</f>
        <v/>
      </c>
      <c r="J284" s="7">
        <f>IF(A284="","",C284&gt;=Assumptions!$B$10)</f>
        <v/>
      </c>
    </row>
    <row r="285">
      <c r="A285" s="12" t="n"/>
      <c r="B285" s="10" t="n"/>
      <c r="C285" s="13" t="n"/>
      <c r="D285" s="11" t="n"/>
      <c r="E285" s="14">
        <f>IF(A285="","",MAX(0,Assumptions!$B$8-B285))</f>
        <v/>
      </c>
      <c r="F285" s="15">
        <f>IF(A285="","",D285*(1+Assumptions!$B$5)^E285)</f>
        <v/>
      </c>
      <c r="G285" s="15">
        <f>IF(A285="","",MIN(Assumptions!$B$9,15/26*F285*C285))</f>
        <v/>
      </c>
      <c r="H285" s="16">
        <f>IF(A285="","",(1-Assumptions!$B$6-Assumptions!$B$7)^E285)</f>
        <v/>
      </c>
      <c r="I285" s="15">
        <f>IF(A285="","",G285*H285/(1+Assumptions!$B$4)^E285)</f>
        <v/>
      </c>
      <c r="J285" s="7">
        <f>IF(A285="","",C285&gt;=Assumptions!$B$10)</f>
        <v/>
      </c>
    </row>
    <row r="286">
      <c r="A286" s="12" t="n"/>
      <c r="B286" s="10" t="n"/>
      <c r="C286" s="13" t="n"/>
      <c r="D286" s="11" t="n"/>
      <c r="E286" s="14">
        <f>IF(A286="","",MAX(0,Assumptions!$B$8-B286))</f>
        <v/>
      </c>
      <c r="F286" s="15">
        <f>IF(A286="","",D286*(1+Assumptions!$B$5)^E286)</f>
        <v/>
      </c>
      <c r="G286" s="15">
        <f>IF(A286="","",MIN(Assumptions!$B$9,15/26*F286*C286))</f>
        <v/>
      </c>
      <c r="H286" s="16">
        <f>IF(A286="","",(1-Assumptions!$B$6-Assumptions!$B$7)^E286)</f>
        <v/>
      </c>
      <c r="I286" s="15">
        <f>IF(A286="","",G286*H286/(1+Assumptions!$B$4)^E286)</f>
        <v/>
      </c>
      <c r="J286" s="7">
        <f>IF(A286="","",C286&gt;=Assumptions!$B$10)</f>
        <v/>
      </c>
    </row>
    <row r="287">
      <c r="A287" s="12" t="n"/>
      <c r="B287" s="10" t="n"/>
      <c r="C287" s="13" t="n"/>
      <c r="D287" s="11" t="n"/>
      <c r="E287" s="14">
        <f>IF(A287="","",MAX(0,Assumptions!$B$8-B287))</f>
        <v/>
      </c>
      <c r="F287" s="15">
        <f>IF(A287="","",D287*(1+Assumptions!$B$5)^E287)</f>
        <v/>
      </c>
      <c r="G287" s="15">
        <f>IF(A287="","",MIN(Assumptions!$B$9,15/26*F287*C287))</f>
        <v/>
      </c>
      <c r="H287" s="16">
        <f>IF(A287="","",(1-Assumptions!$B$6-Assumptions!$B$7)^E287)</f>
        <v/>
      </c>
      <c r="I287" s="15">
        <f>IF(A287="","",G287*H287/(1+Assumptions!$B$4)^E287)</f>
        <v/>
      </c>
      <c r="J287" s="7">
        <f>IF(A287="","",C287&gt;=Assumptions!$B$10)</f>
        <v/>
      </c>
    </row>
    <row r="288">
      <c r="A288" s="12" t="n"/>
      <c r="B288" s="10" t="n"/>
      <c r="C288" s="13" t="n"/>
      <c r="D288" s="11" t="n"/>
      <c r="E288" s="14">
        <f>IF(A288="","",MAX(0,Assumptions!$B$8-B288))</f>
        <v/>
      </c>
      <c r="F288" s="15">
        <f>IF(A288="","",D288*(1+Assumptions!$B$5)^E288)</f>
        <v/>
      </c>
      <c r="G288" s="15">
        <f>IF(A288="","",MIN(Assumptions!$B$9,15/26*F288*C288))</f>
        <v/>
      </c>
      <c r="H288" s="16">
        <f>IF(A288="","",(1-Assumptions!$B$6-Assumptions!$B$7)^E288)</f>
        <v/>
      </c>
      <c r="I288" s="15">
        <f>IF(A288="","",G288*H288/(1+Assumptions!$B$4)^E288)</f>
        <v/>
      </c>
      <c r="J288" s="7">
        <f>IF(A288="","",C288&gt;=Assumptions!$B$10)</f>
        <v/>
      </c>
    </row>
    <row r="289">
      <c r="A289" s="12" t="n"/>
      <c r="B289" s="10" t="n"/>
      <c r="C289" s="13" t="n"/>
      <c r="D289" s="11" t="n"/>
      <c r="E289" s="14">
        <f>IF(A289="","",MAX(0,Assumptions!$B$8-B289))</f>
        <v/>
      </c>
      <c r="F289" s="15">
        <f>IF(A289="","",D289*(1+Assumptions!$B$5)^E289)</f>
        <v/>
      </c>
      <c r="G289" s="15">
        <f>IF(A289="","",MIN(Assumptions!$B$9,15/26*F289*C289))</f>
        <v/>
      </c>
      <c r="H289" s="16">
        <f>IF(A289="","",(1-Assumptions!$B$6-Assumptions!$B$7)^E289)</f>
        <v/>
      </c>
      <c r="I289" s="15">
        <f>IF(A289="","",G289*H289/(1+Assumptions!$B$4)^E289)</f>
        <v/>
      </c>
      <c r="J289" s="7">
        <f>IF(A289="","",C289&gt;=Assumptions!$B$10)</f>
        <v/>
      </c>
    </row>
    <row r="290">
      <c r="A290" s="12" t="n"/>
      <c r="B290" s="10" t="n"/>
      <c r="C290" s="13" t="n"/>
      <c r="D290" s="11" t="n"/>
      <c r="E290" s="14">
        <f>IF(A290="","",MAX(0,Assumptions!$B$8-B290))</f>
        <v/>
      </c>
      <c r="F290" s="15">
        <f>IF(A290="","",D290*(1+Assumptions!$B$5)^E290)</f>
        <v/>
      </c>
      <c r="G290" s="15">
        <f>IF(A290="","",MIN(Assumptions!$B$9,15/26*F290*C290))</f>
        <v/>
      </c>
      <c r="H290" s="16">
        <f>IF(A290="","",(1-Assumptions!$B$6-Assumptions!$B$7)^E290)</f>
        <v/>
      </c>
      <c r="I290" s="15">
        <f>IF(A290="","",G290*H290/(1+Assumptions!$B$4)^E290)</f>
        <v/>
      </c>
      <c r="J290" s="7">
        <f>IF(A290="","",C290&gt;=Assumptions!$B$10)</f>
        <v/>
      </c>
    </row>
    <row r="291">
      <c r="A291" s="12" t="n"/>
      <c r="B291" s="10" t="n"/>
      <c r="C291" s="13" t="n"/>
      <c r="D291" s="11" t="n"/>
      <c r="E291" s="14">
        <f>IF(A291="","",MAX(0,Assumptions!$B$8-B291))</f>
        <v/>
      </c>
      <c r="F291" s="15">
        <f>IF(A291="","",D291*(1+Assumptions!$B$5)^E291)</f>
        <v/>
      </c>
      <c r="G291" s="15">
        <f>IF(A291="","",MIN(Assumptions!$B$9,15/26*F291*C291))</f>
        <v/>
      </c>
      <c r="H291" s="16">
        <f>IF(A291="","",(1-Assumptions!$B$6-Assumptions!$B$7)^E291)</f>
        <v/>
      </c>
      <c r="I291" s="15">
        <f>IF(A291="","",G291*H291/(1+Assumptions!$B$4)^E291)</f>
        <v/>
      </c>
      <c r="J291" s="7">
        <f>IF(A291="","",C291&gt;=Assumptions!$B$10)</f>
        <v/>
      </c>
    </row>
    <row r="292">
      <c r="A292" s="12" t="n"/>
      <c r="B292" s="10" t="n"/>
      <c r="C292" s="13" t="n"/>
      <c r="D292" s="11" t="n"/>
      <c r="E292" s="14">
        <f>IF(A292="","",MAX(0,Assumptions!$B$8-B292))</f>
        <v/>
      </c>
      <c r="F292" s="15">
        <f>IF(A292="","",D292*(1+Assumptions!$B$5)^E292)</f>
        <v/>
      </c>
      <c r="G292" s="15">
        <f>IF(A292="","",MIN(Assumptions!$B$9,15/26*F292*C292))</f>
        <v/>
      </c>
      <c r="H292" s="16">
        <f>IF(A292="","",(1-Assumptions!$B$6-Assumptions!$B$7)^E292)</f>
        <v/>
      </c>
      <c r="I292" s="15">
        <f>IF(A292="","",G292*H292/(1+Assumptions!$B$4)^E292)</f>
        <v/>
      </c>
      <c r="J292" s="7">
        <f>IF(A292="","",C292&gt;=Assumptions!$B$10)</f>
        <v/>
      </c>
    </row>
    <row r="293">
      <c r="A293" s="12" t="n"/>
      <c r="B293" s="10" t="n"/>
      <c r="C293" s="13" t="n"/>
      <c r="D293" s="11" t="n"/>
      <c r="E293" s="14">
        <f>IF(A293="","",MAX(0,Assumptions!$B$8-B293))</f>
        <v/>
      </c>
      <c r="F293" s="15">
        <f>IF(A293="","",D293*(1+Assumptions!$B$5)^E293)</f>
        <v/>
      </c>
      <c r="G293" s="15">
        <f>IF(A293="","",MIN(Assumptions!$B$9,15/26*F293*C293))</f>
        <v/>
      </c>
      <c r="H293" s="16">
        <f>IF(A293="","",(1-Assumptions!$B$6-Assumptions!$B$7)^E293)</f>
        <v/>
      </c>
      <c r="I293" s="15">
        <f>IF(A293="","",G293*H293/(1+Assumptions!$B$4)^E293)</f>
        <v/>
      </c>
      <c r="J293" s="7">
        <f>IF(A293="","",C293&gt;=Assumptions!$B$10)</f>
        <v/>
      </c>
    </row>
    <row r="294">
      <c r="A294" s="12" t="n"/>
      <c r="B294" s="10" t="n"/>
      <c r="C294" s="13" t="n"/>
      <c r="D294" s="11" t="n"/>
      <c r="E294" s="14">
        <f>IF(A294="","",MAX(0,Assumptions!$B$8-B294))</f>
        <v/>
      </c>
      <c r="F294" s="15">
        <f>IF(A294="","",D294*(1+Assumptions!$B$5)^E294)</f>
        <v/>
      </c>
      <c r="G294" s="15">
        <f>IF(A294="","",MIN(Assumptions!$B$9,15/26*F294*C294))</f>
        <v/>
      </c>
      <c r="H294" s="16">
        <f>IF(A294="","",(1-Assumptions!$B$6-Assumptions!$B$7)^E294)</f>
        <v/>
      </c>
      <c r="I294" s="15">
        <f>IF(A294="","",G294*H294/(1+Assumptions!$B$4)^E294)</f>
        <v/>
      </c>
      <c r="J294" s="7">
        <f>IF(A294="","",C294&gt;=Assumptions!$B$10)</f>
        <v/>
      </c>
    </row>
    <row r="295">
      <c r="A295" s="12" t="n"/>
      <c r="B295" s="10" t="n"/>
      <c r="C295" s="13" t="n"/>
      <c r="D295" s="11" t="n"/>
      <c r="E295" s="14">
        <f>IF(A295="","",MAX(0,Assumptions!$B$8-B295))</f>
        <v/>
      </c>
      <c r="F295" s="15">
        <f>IF(A295="","",D295*(1+Assumptions!$B$5)^E295)</f>
        <v/>
      </c>
      <c r="G295" s="15">
        <f>IF(A295="","",MIN(Assumptions!$B$9,15/26*F295*C295))</f>
        <v/>
      </c>
      <c r="H295" s="16">
        <f>IF(A295="","",(1-Assumptions!$B$6-Assumptions!$B$7)^E295)</f>
        <v/>
      </c>
      <c r="I295" s="15">
        <f>IF(A295="","",G295*H295/(1+Assumptions!$B$4)^E295)</f>
        <v/>
      </c>
      <c r="J295" s="7">
        <f>IF(A295="","",C295&gt;=Assumptions!$B$10)</f>
        <v/>
      </c>
    </row>
    <row r="296">
      <c r="A296" s="12" t="n"/>
      <c r="B296" s="10" t="n"/>
      <c r="C296" s="13" t="n"/>
      <c r="D296" s="11" t="n"/>
      <c r="E296" s="14">
        <f>IF(A296="","",MAX(0,Assumptions!$B$8-B296))</f>
        <v/>
      </c>
      <c r="F296" s="15">
        <f>IF(A296="","",D296*(1+Assumptions!$B$5)^E296)</f>
        <v/>
      </c>
      <c r="G296" s="15">
        <f>IF(A296="","",MIN(Assumptions!$B$9,15/26*F296*C296))</f>
        <v/>
      </c>
      <c r="H296" s="16">
        <f>IF(A296="","",(1-Assumptions!$B$6-Assumptions!$B$7)^E296)</f>
        <v/>
      </c>
      <c r="I296" s="15">
        <f>IF(A296="","",G296*H296/(1+Assumptions!$B$4)^E296)</f>
        <v/>
      </c>
      <c r="J296" s="7">
        <f>IF(A296="","",C296&gt;=Assumptions!$B$10)</f>
        <v/>
      </c>
    </row>
    <row r="297">
      <c r="A297" s="12" t="n"/>
      <c r="B297" s="10" t="n"/>
      <c r="C297" s="13" t="n"/>
      <c r="D297" s="11" t="n"/>
      <c r="E297" s="14">
        <f>IF(A297="","",MAX(0,Assumptions!$B$8-B297))</f>
        <v/>
      </c>
      <c r="F297" s="15">
        <f>IF(A297="","",D297*(1+Assumptions!$B$5)^E297)</f>
        <v/>
      </c>
      <c r="G297" s="15">
        <f>IF(A297="","",MIN(Assumptions!$B$9,15/26*F297*C297))</f>
        <v/>
      </c>
      <c r="H297" s="16">
        <f>IF(A297="","",(1-Assumptions!$B$6-Assumptions!$B$7)^E297)</f>
        <v/>
      </c>
      <c r="I297" s="15">
        <f>IF(A297="","",G297*H297/(1+Assumptions!$B$4)^E297)</f>
        <v/>
      </c>
      <c r="J297" s="7">
        <f>IF(A297="","",C297&gt;=Assumptions!$B$10)</f>
        <v/>
      </c>
    </row>
    <row r="298">
      <c r="A298" s="12" t="n"/>
      <c r="B298" s="10" t="n"/>
      <c r="C298" s="13" t="n"/>
      <c r="D298" s="11" t="n"/>
      <c r="E298" s="14">
        <f>IF(A298="","",MAX(0,Assumptions!$B$8-B298))</f>
        <v/>
      </c>
      <c r="F298" s="15">
        <f>IF(A298="","",D298*(1+Assumptions!$B$5)^E298)</f>
        <v/>
      </c>
      <c r="G298" s="15">
        <f>IF(A298="","",MIN(Assumptions!$B$9,15/26*F298*C298))</f>
        <v/>
      </c>
      <c r="H298" s="16">
        <f>IF(A298="","",(1-Assumptions!$B$6-Assumptions!$B$7)^E298)</f>
        <v/>
      </c>
      <c r="I298" s="15">
        <f>IF(A298="","",G298*H298/(1+Assumptions!$B$4)^E298)</f>
        <v/>
      </c>
      <c r="J298" s="7">
        <f>IF(A298="","",C298&gt;=Assumptions!$B$10)</f>
        <v/>
      </c>
    </row>
    <row r="299">
      <c r="A299" s="12" t="n"/>
      <c r="B299" s="10" t="n"/>
      <c r="C299" s="13" t="n"/>
      <c r="D299" s="11" t="n"/>
      <c r="E299" s="14">
        <f>IF(A299="","",MAX(0,Assumptions!$B$8-B299))</f>
        <v/>
      </c>
      <c r="F299" s="15">
        <f>IF(A299="","",D299*(1+Assumptions!$B$5)^E299)</f>
        <v/>
      </c>
      <c r="G299" s="15">
        <f>IF(A299="","",MIN(Assumptions!$B$9,15/26*F299*C299))</f>
        <v/>
      </c>
      <c r="H299" s="16">
        <f>IF(A299="","",(1-Assumptions!$B$6-Assumptions!$B$7)^E299)</f>
        <v/>
      </c>
      <c r="I299" s="15">
        <f>IF(A299="","",G299*H299/(1+Assumptions!$B$4)^E299)</f>
        <v/>
      </c>
      <c r="J299" s="7">
        <f>IF(A299="","",C299&gt;=Assumptions!$B$10)</f>
        <v/>
      </c>
    </row>
    <row r="300">
      <c r="A300" s="12" t="n"/>
      <c r="B300" s="10" t="n"/>
      <c r="C300" s="13" t="n"/>
      <c r="D300" s="11" t="n"/>
      <c r="E300" s="14">
        <f>IF(A300="","",MAX(0,Assumptions!$B$8-B300))</f>
        <v/>
      </c>
      <c r="F300" s="15">
        <f>IF(A300="","",D300*(1+Assumptions!$B$5)^E300)</f>
        <v/>
      </c>
      <c r="G300" s="15">
        <f>IF(A300="","",MIN(Assumptions!$B$9,15/26*F300*C300))</f>
        <v/>
      </c>
      <c r="H300" s="16">
        <f>IF(A300="","",(1-Assumptions!$B$6-Assumptions!$B$7)^E300)</f>
        <v/>
      </c>
      <c r="I300" s="15">
        <f>IF(A300="","",G300*H300/(1+Assumptions!$B$4)^E300)</f>
        <v/>
      </c>
      <c r="J300" s="7">
        <f>IF(A300="","",C300&gt;=Assumptions!$B$10)</f>
        <v/>
      </c>
    </row>
    <row r="301">
      <c r="A301" s="12" t="n"/>
      <c r="B301" s="10" t="n"/>
      <c r="C301" s="13" t="n"/>
      <c r="D301" s="11" t="n"/>
      <c r="E301" s="14">
        <f>IF(A301="","",MAX(0,Assumptions!$B$8-B301))</f>
        <v/>
      </c>
      <c r="F301" s="15">
        <f>IF(A301="","",D301*(1+Assumptions!$B$5)^E301)</f>
        <v/>
      </c>
      <c r="G301" s="15">
        <f>IF(A301="","",MIN(Assumptions!$B$9,15/26*F301*C301))</f>
        <v/>
      </c>
      <c r="H301" s="16">
        <f>IF(A301="","",(1-Assumptions!$B$6-Assumptions!$B$7)^E301)</f>
        <v/>
      </c>
      <c r="I301" s="15">
        <f>IF(A301="","",G301*H301/(1+Assumptions!$B$4)^E301)</f>
        <v/>
      </c>
      <c r="J301" s="7">
        <f>IF(A301="","",C301&gt;=Assumptions!$B$10)</f>
        <v/>
      </c>
    </row>
    <row r="302">
      <c r="A302" s="12" t="n"/>
      <c r="B302" s="10" t="n"/>
      <c r="C302" s="13" t="n"/>
      <c r="D302" s="11" t="n"/>
      <c r="E302" s="14">
        <f>IF(A302="","",MAX(0,Assumptions!$B$8-B302))</f>
        <v/>
      </c>
      <c r="F302" s="15">
        <f>IF(A302="","",D302*(1+Assumptions!$B$5)^E302)</f>
        <v/>
      </c>
      <c r="G302" s="15">
        <f>IF(A302="","",MIN(Assumptions!$B$9,15/26*F302*C302))</f>
        <v/>
      </c>
      <c r="H302" s="16">
        <f>IF(A302="","",(1-Assumptions!$B$6-Assumptions!$B$7)^E302)</f>
        <v/>
      </c>
      <c r="I302" s="15">
        <f>IF(A302="","",G302*H302/(1+Assumptions!$B$4)^E302)</f>
        <v/>
      </c>
      <c r="J302" s="7">
        <f>IF(A302="","",C302&gt;=Assumptions!$B$10)</f>
        <v/>
      </c>
    </row>
    <row r="303">
      <c r="A303" s="12" t="n"/>
      <c r="B303" s="10" t="n"/>
      <c r="C303" s="13" t="n"/>
      <c r="D303" s="11" t="n"/>
      <c r="E303" s="14">
        <f>IF(A303="","",MAX(0,Assumptions!$B$8-B303))</f>
        <v/>
      </c>
      <c r="F303" s="15">
        <f>IF(A303="","",D303*(1+Assumptions!$B$5)^E303)</f>
        <v/>
      </c>
      <c r="G303" s="15">
        <f>IF(A303="","",MIN(Assumptions!$B$9,15/26*F303*C303))</f>
        <v/>
      </c>
      <c r="H303" s="16">
        <f>IF(A303="","",(1-Assumptions!$B$6-Assumptions!$B$7)^E303)</f>
        <v/>
      </c>
      <c r="I303" s="15">
        <f>IF(A303="","",G303*H303/(1+Assumptions!$B$4)^E303)</f>
        <v/>
      </c>
      <c r="J303" s="7">
        <f>IF(A303="","",C303&gt;=Assumptions!$B$10)</f>
        <v/>
      </c>
    </row>
    <row r="304">
      <c r="A304" s="12" t="n"/>
      <c r="B304" s="10" t="n"/>
      <c r="C304" s="13" t="n"/>
      <c r="D304" s="11" t="n"/>
      <c r="E304" s="14">
        <f>IF(A304="","",MAX(0,Assumptions!$B$8-B304))</f>
        <v/>
      </c>
      <c r="F304" s="15">
        <f>IF(A304="","",D304*(1+Assumptions!$B$5)^E304)</f>
        <v/>
      </c>
      <c r="G304" s="15">
        <f>IF(A304="","",MIN(Assumptions!$B$9,15/26*F304*C304))</f>
        <v/>
      </c>
      <c r="H304" s="16">
        <f>IF(A304="","",(1-Assumptions!$B$6-Assumptions!$B$7)^E304)</f>
        <v/>
      </c>
      <c r="I304" s="15">
        <f>IF(A304="","",G304*H304/(1+Assumptions!$B$4)^E304)</f>
        <v/>
      </c>
      <c r="J304" s="7">
        <f>IF(A304="","",C304&gt;=Assumptions!$B$10)</f>
        <v/>
      </c>
    </row>
    <row r="305">
      <c r="A305" s="12" t="n"/>
      <c r="B305" s="10" t="n"/>
      <c r="C305" s="13" t="n"/>
      <c r="D305" s="11" t="n"/>
      <c r="E305" s="14">
        <f>IF(A305="","",MAX(0,Assumptions!$B$8-B305))</f>
        <v/>
      </c>
      <c r="F305" s="15">
        <f>IF(A305="","",D305*(1+Assumptions!$B$5)^E305)</f>
        <v/>
      </c>
      <c r="G305" s="15">
        <f>IF(A305="","",MIN(Assumptions!$B$9,15/26*F305*C305))</f>
        <v/>
      </c>
      <c r="H305" s="16">
        <f>IF(A305="","",(1-Assumptions!$B$6-Assumptions!$B$7)^E305)</f>
        <v/>
      </c>
      <c r="I305" s="15">
        <f>IF(A305="","",G305*H305/(1+Assumptions!$B$4)^E305)</f>
        <v/>
      </c>
      <c r="J305" s="7">
        <f>IF(A305="","",C305&gt;=Assumptions!$B$10)</f>
        <v/>
      </c>
    </row>
    <row r="306">
      <c r="A306" s="12" t="n"/>
      <c r="B306" s="10" t="n"/>
      <c r="C306" s="13" t="n"/>
      <c r="D306" s="11" t="n"/>
      <c r="E306" s="14">
        <f>IF(A306="","",MAX(0,Assumptions!$B$8-B306))</f>
        <v/>
      </c>
      <c r="F306" s="15">
        <f>IF(A306="","",D306*(1+Assumptions!$B$5)^E306)</f>
        <v/>
      </c>
      <c r="G306" s="15">
        <f>IF(A306="","",MIN(Assumptions!$B$9,15/26*F306*C306))</f>
        <v/>
      </c>
      <c r="H306" s="16">
        <f>IF(A306="","",(1-Assumptions!$B$6-Assumptions!$B$7)^E306)</f>
        <v/>
      </c>
      <c r="I306" s="15">
        <f>IF(A306="","",G306*H306/(1+Assumptions!$B$4)^E306)</f>
        <v/>
      </c>
      <c r="J306" s="7">
        <f>IF(A306="","",C306&gt;=Assumptions!$B$10)</f>
        <v/>
      </c>
    </row>
    <row r="307">
      <c r="A307" s="12" t="n"/>
      <c r="B307" s="10" t="n"/>
      <c r="C307" s="13" t="n"/>
      <c r="D307" s="11" t="n"/>
      <c r="E307" s="14">
        <f>IF(A307="","",MAX(0,Assumptions!$B$8-B307))</f>
        <v/>
      </c>
      <c r="F307" s="15">
        <f>IF(A307="","",D307*(1+Assumptions!$B$5)^E307)</f>
        <v/>
      </c>
      <c r="G307" s="15">
        <f>IF(A307="","",MIN(Assumptions!$B$9,15/26*F307*C307))</f>
        <v/>
      </c>
      <c r="H307" s="16">
        <f>IF(A307="","",(1-Assumptions!$B$6-Assumptions!$B$7)^E307)</f>
        <v/>
      </c>
      <c r="I307" s="15">
        <f>IF(A307="","",G307*H307/(1+Assumptions!$B$4)^E307)</f>
        <v/>
      </c>
      <c r="J307" s="7">
        <f>IF(A307="","",C307&gt;=Assumptions!$B$10)</f>
        <v/>
      </c>
    </row>
    <row r="308">
      <c r="A308" s="12" t="n"/>
      <c r="B308" s="10" t="n"/>
      <c r="C308" s="13" t="n"/>
      <c r="D308" s="11" t="n"/>
      <c r="E308" s="14">
        <f>IF(A308="","",MAX(0,Assumptions!$B$8-B308))</f>
        <v/>
      </c>
      <c r="F308" s="15">
        <f>IF(A308="","",D308*(1+Assumptions!$B$5)^E308)</f>
        <v/>
      </c>
      <c r="G308" s="15">
        <f>IF(A308="","",MIN(Assumptions!$B$9,15/26*F308*C308))</f>
        <v/>
      </c>
      <c r="H308" s="16">
        <f>IF(A308="","",(1-Assumptions!$B$6-Assumptions!$B$7)^E308)</f>
        <v/>
      </c>
      <c r="I308" s="15">
        <f>IF(A308="","",G308*H308/(1+Assumptions!$B$4)^E308)</f>
        <v/>
      </c>
      <c r="J308" s="7">
        <f>IF(A308="","",C308&gt;=Assumptions!$B$10)</f>
        <v/>
      </c>
    </row>
    <row r="309">
      <c r="A309" s="12" t="n"/>
      <c r="B309" s="10" t="n"/>
      <c r="C309" s="13" t="n"/>
      <c r="D309" s="11" t="n"/>
      <c r="E309" s="14">
        <f>IF(A309="","",MAX(0,Assumptions!$B$8-B309))</f>
        <v/>
      </c>
      <c r="F309" s="15">
        <f>IF(A309="","",D309*(1+Assumptions!$B$5)^E309)</f>
        <v/>
      </c>
      <c r="G309" s="15">
        <f>IF(A309="","",MIN(Assumptions!$B$9,15/26*F309*C309))</f>
        <v/>
      </c>
      <c r="H309" s="16">
        <f>IF(A309="","",(1-Assumptions!$B$6-Assumptions!$B$7)^E309)</f>
        <v/>
      </c>
      <c r="I309" s="15">
        <f>IF(A309="","",G309*H309/(1+Assumptions!$B$4)^E309)</f>
        <v/>
      </c>
      <c r="J309" s="7">
        <f>IF(A309="","",C309&gt;=Assumptions!$B$10)</f>
        <v/>
      </c>
    </row>
    <row r="310">
      <c r="A310" s="12" t="n"/>
      <c r="B310" s="10" t="n"/>
      <c r="C310" s="13" t="n"/>
      <c r="D310" s="11" t="n"/>
      <c r="E310" s="14">
        <f>IF(A310="","",MAX(0,Assumptions!$B$8-B310))</f>
        <v/>
      </c>
      <c r="F310" s="15">
        <f>IF(A310="","",D310*(1+Assumptions!$B$5)^E310)</f>
        <v/>
      </c>
      <c r="G310" s="15">
        <f>IF(A310="","",MIN(Assumptions!$B$9,15/26*F310*C310))</f>
        <v/>
      </c>
      <c r="H310" s="16">
        <f>IF(A310="","",(1-Assumptions!$B$6-Assumptions!$B$7)^E310)</f>
        <v/>
      </c>
      <c r="I310" s="15">
        <f>IF(A310="","",G310*H310/(1+Assumptions!$B$4)^E310)</f>
        <v/>
      </c>
      <c r="J310" s="7">
        <f>IF(A310="","",C310&gt;=Assumptions!$B$10)</f>
        <v/>
      </c>
    </row>
    <row r="311">
      <c r="A311" s="12" t="n"/>
      <c r="B311" s="10" t="n"/>
      <c r="C311" s="13" t="n"/>
      <c r="D311" s="11" t="n"/>
      <c r="E311" s="14">
        <f>IF(A311="","",MAX(0,Assumptions!$B$8-B311))</f>
        <v/>
      </c>
      <c r="F311" s="15">
        <f>IF(A311="","",D311*(1+Assumptions!$B$5)^E311)</f>
        <v/>
      </c>
      <c r="G311" s="15">
        <f>IF(A311="","",MIN(Assumptions!$B$9,15/26*F311*C311))</f>
        <v/>
      </c>
      <c r="H311" s="16">
        <f>IF(A311="","",(1-Assumptions!$B$6-Assumptions!$B$7)^E311)</f>
        <v/>
      </c>
      <c r="I311" s="15">
        <f>IF(A311="","",G311*H311/(1+Assumptions!$B$4)^E311)</f>
        <v/>
      </c>
      <c r="J311" s="7">
        <f>IF(A311="","",C311&gt;=Assumptions!$B$10)</f>
        <v/>
      </c>
    </row>
    <row r="312">
      <c r="A312" s="12" t="n"/>
      <c r="B312" s="10" t="n"/>
      <c r="C312" s="13" t="n"/>
      <c r="D312" s="11" t="n"/>
      <c r="E312" s="14">
        <f>IF(A312="","",MAX(0,Assumptions!$B$8-B312))</f>
        <v/>
      </c>
      <c r="F312" s="15">
        <f>IF(A312="","",D312*(1+Assumptions!$B$5)^E312)</f>
        <v/>
      </c>
      <c r="G312" s="15">
        <f>IF(A312="","",MIN(Assumptions!$B$9,15/26*F312*C312))</f>
        <v/>
      </c>
      <c r="H312" s="16">
        <f>IF(A312="","",(1-Assumptions!$B$6-Assumptions!$B$7)^E312)</f>
        <v/>
      </c>
      <c r="I312" s="15">
        <f>IF(A312="","",G312*H312/(1+Assumptions!$B$4)^E312)</f>
        <v/>
      </c>
      <c r="J312" s="7">
        <f>IF(A312="","",C312&gt;=Assumptions!$B$10)</f>
        <v/>
      </c>
    </row>
    <row r="313">
      <c r="A313" s="12" t="n"/>
      <c r="B313" s="10" t="n"/>
      <c r="C313" s="13" t="n"/>
      <c r="D313" s="11" t="n"/>
      <c r="E313" s="14">
        <f>IF(A313="","",MAX(0,Assumptions!$B$8-B313))</f>
        <v/>
      </c>
      <c r="F313" s="15">
        <f>IF(A313="","",D313*(1+Assumptions!$B$5)^E313)</f>
        <v/>
      </c>
      <c r="G313" s="15">
        <f>IF(A313="","",MIN(Assumptions!$B$9,15/26*F313*C313))</f>
        <v/>
      </c>
      <c r="H313" s="16">
        <f>IF(A313="","",(1-Assumptions!$B$6-Assumptions!$B$7)^E313)</f>
        <v/>
      </c>
      <c r="I313" s="15">
        <f>IF(A313="","",G313*H313/(1+Assumptions!$B$4)^E313)</f>
        <v/>
      </c>
      <c r="J313" s="7">
        <f>IF(A313="","",C313&gt;=Assumptions!$B$10)</f>
        <v/>
      </c>
    </row>
    <row r="314">
      <c r="A314" s="12" t="n"/>
      <c r="B314" s="10" t="n"/>
      <c r="C314" s="13" t="n"/>
      <c r="D314" s="11" t="n"/>
      <c r="E314" s="14">
        <f>IF(A314="","",MAX(0,Assumptions!$B$8-B314))</f>
        <v/>
      </c>
      <c r="F314" s="15">
        <f>IF(A314="","",D314*(1+Assumptions!$B$5)^E314)</f>
        <v/>
      </c>
      <c r="G314" s="15">
        <f>IF(A314="","",MIN(Assumptions!$B$9,15/26*F314*C314))</f>
        <v/>
      </c>
      <c r="H314" s="16">
        <f>IF(A314="","",(1-Assumptions!$B$6-Assumptions!$B$7)^E314)</f>
        <v/>
      </c>
      <c r="I314" s="15">
        <f>IF(A314="","",G314*H314/(1+Assumptions!$B$4)^E314)</f>
        <v/>
      </c>
      <c r="J314" s="7">
        <f>IF(A314="","",C314&gt;=Assumptions!$B$10)</f>
        <v/>
      </c>
    </row>
    <row r="315">
      <c r="A315" s="12" t="n"/>
      <c r="B315" s="10" t="n"/>
      <c r="C315" s="13" t="n"/>
      <c r="D315" s="11" t="n"/>
      <c r="E315" s="14">
        <f>IF(A315="","",MAX(0,Assumptions!$B$8-B315))</f>
        <v/>
      </c>
      <c r="F315" s="15">
        <f>IF(A315="","",D315*(1+Assumptions!$B$5)^E315)</f>
        <v/>
      </c>
      <c r="G315" s="15">
        <f>IF(A315="","",MIN(Assumptions!$B$9,15/26*F315*C315))</f>
        <v/>
      </c>
      <c r="H315" s="16">
        <f>IF(A315="","",(1-Assumptions!$B$6-Assumptions!$B$7)^E315)</f>
        <v/>
      </c>
      <c r="I315" s="15">
        <f>IF(A315="","",G315*H315/(1+Assumptions!$B$4)^E315)</f>
        <v/>
      </c>
      <c r="J315" s="7">
        <f>IF(A315="","",C315&gt;=Assumptions!$B$10)</f>
        <v/>
      </c>
    </row>
    <row r="316">
      <c r="A316" s="12" t="n"/>
      <c r="B316" s="10" t="n"/>
      <c r="C316" s="13" t="n"/>
      <c r="D316" s="11" t="n"/>
      <c r="E316" s="14">
        <f>IF(A316="","",MAX(0,Assumptions!$B$8-B316))</f>
        <v/>
      </c>
      <c r="F316" s="15">
        <f>IF(A316="","",D316*(1+Assumptions!$B$5)^E316)</f>
        <v/>
      </c>
      <c r="G316" s="15">
        <f>IF(A316="","",MIN(Assumptions!$B$9,15/26*F316*C316))</f>
        <v/>
      </c>
      <c r="H316" s="16">
        <f>IF(A316="","",(1-Assumptions!$B$6-Assumptions!$B$7)^E316)</f>
        <v/>
      </c>
      <c r="I316" s="15">
        <f>IF(A316="","",G316*H316/(1+Assumptions!$B$4)^E316)</f>
        <v/>
      </c>
      <c r="J316" s="7">
        <f>IF(A316="","",C316&gt;=Assumptions!$B$10)</f>
        <v/>
      </c>
    </row>
    <row r="317">
      <c r="A317" s="12" t="n"/>
      <c r="B317" s="10" t="n"/>
      <c r="C317" s="13" t="n"/>
      <c r="D317" s="11" t="n"/>
      <c r="E317" s="14">
        <f>IF(A317="","",MAX(0,Assumptions!$B$8-B317))</f>
        <v/>
      </c>
      <c r="F317" s="15">
        <f>IF(A317="","",D317*(1+Assumptions!$B$5)^E317)</f>
        <v/>
      </c>
      <c r="G317" s="15">
        <f>IF(A317="","",MIN(Assumptions!$B$9,15/26*F317*C317))</f>
        <v/>
      </c>
      <c r="H317" s="16">
        <f>IF(A317="","",(1-Assumptions!$B$6-Assumptions!$B$7)^E317)</f>
        <v/>
      </c>
      <c r="I317" s="15">
        <f>IF(A317="","",G317*H317/(1+Assumptions!$B$4)^E317)</f>
        <v/>
      </c>
      <c r="J317" s="7">
        <f>IF(A317="","",C317&gt;=Assumptions!$B$10)</f>
        <v/>
      </c>
    </row>
    <row r="318">
      <c r="A318" s="12" t="n"/>
      <c r="B318" s="10" t="n"/>
      <c r="C318" s="13" t="n"/>
      <c r="D318" s="11" t="n"/>
      <c r="E318" s="14">
        <f>IF(A318="","",MAX(0,Assumptions!$B$8-B318))</f>
        <v/>
      </c>
      <c r="F318" s="15">
        <f>IF(A318="","",D318*(1+Assumptions!$B$5)^E318)</f>
        <v/>
      </c>
      <c r="G318" s="15">
        <f>IF(A318="","",MIN(Assumptions!$B$9,15/26*F318*C318))</f>
        <v/>
      </c>
      <c r="H318" s="16">
        <f>IF(A318="","",(1-Assumptions!$B$6-Assumptions!$B$7)^E318)</f>
        <v/>
      </c>
      <c r="I318" s="15">
        <f>IF(A318="","",G318*H318/(1+Assumptions!$B$4)^E318)</f>
        <v/>
      </c>
      <c r="J318" s="7">
        <f>IF(A318="","",C318&gt;=Assumptions!$B$10)</f>
        <v/>
      </c>
    </row>
    <row r="319">
      <c r="A319" s="12" t="n"/>
      <c r="B319" s="10" t="n"/>
      <c r="C319" s="13" t="n"/>
      <c r="D319" s="11" t="n"/>
      <c r="E319" s="14">
        <f>IF(A319="","",MAX(0,Assumptions!$B$8-B319))</f>
        <v/>
      </c>
      <c r="F319" s="15">
        <f>IF(A319="","",D319*(1+Assumptions!$B$5)^E319)</f>
        <v/>
      </c>
      <c r="G319" s="15">
        <f>IF(A319="","",MIN(Assumptions!$B$9,15/26*F319*C319))</f>
        <v/>
      </c>
      <c r="H319" s="16">
        <f>IF(A319="","",(1-Assumptions!$B$6-Assumptions!$B$7)^E319)</f>
        <v/>
      </c>
      <c r="I319" s="15">
        <f>IF(A319="","",G319*H319/(1+Assumptions!$B$4)^E319)</f>
        <v/>
      </c>
      <c r="J319" s="7">
        <f>IF(A319="","",C319&gt;=Assumptions!$B$10)</f>
        <v/>
      </c>
    </row>
    <row r="320">
      <c r="A320" s="12" t="n"/>
      <c r="B320" s="10" t="n"/>
      <c r="C320" s="13" t="n"/>
      <c r="D320" s="11" t="n"/>
      <c r="E320" s="14">
        <f>IF(A320="","",MAX(0,Assumptions!$B$8-B320))</f>
        <v/>
      </c>
      <c r="F320" s="15">
        <f>IF(A320="","",D320*(1+Assumptions!$B$5)^E320)</f>
        <v/>
      </c>
      <c r="G320" s="15">
        <f>IF(A320="","",MIN(Assumptions!$B$9,15/26*F320*C320))</f>
        <v/>
      </c>
      <c r="H320" s="16">
        <f>IF(A320="","",(1-Assumptions!$B$6-Assumptions!$B$7)^E320)</f>
        <v/>
      </c>
      <c r="I320" s="15">
        <f>IF(A320="","",G320*H320/(1+Assumptions!$B$4)^E320)</f>
        <v/>
      </c>
      <c r="J320" s="7">
        <f>IF(A320="","",C320&gt;=Assumptions!$B$10)</f>
        <v/>
      </c>
    </row>
    <row r="321">
      <c r="A321" s="12" t="n"/>
      <c r="B321" s="10" t="n"/>
      <c r="C321" s="13" t="n"/>
      <c r="D321" s="11" t="n"/>
      <c r="E321" s="14">
        <f>IF(A321="","",MAX(0,Assumptions!$B$8-B321))</f>
        <v/>
      </c>
      <c r="F321" s="15">
        <f>IF(A321="","",D321*(1+Assumptions!$B$5)^E321)</f>
        <v/>
      </c>
      <c r="G321" s="15">
        <f>IF(A321="","",MIN(Assumptions!$B$9,15/26*F321*C321))</f>
        <v/>
      </c>
      <c r="H321" s="16">
        <f>IF(A321="","",(1-Assumptions!$B$6-Assumptions!$B$7)^E321)</f>
        <v/>
      </c>
      <c r="I321" s="15">
        <f>IF(A321="","",G321*H321/(1+Assumptions!$B$4)^E321)</f>
        <v/>
      </c>
      <c r="J321" s="7">
        <f>IF(A321="","",C321&gt;=Assumptions!$B$10)</f>
        <v/>
      </c>
    </row>
    <row r="322">
      <c r="A322" s="12" t="n"/>
      <c r="B322" s="10" t="n"/>
      <c r="C322" s="13" t="n"/>
      <c r="D322" s="11" t="n"/>
      <c r="E322" s="14">
        <f>IF(A322="","",MAX(0,Assumptions!$B$8-B322))</f>
        <v/>
      </c>
      <c r="F322" s="15">
        <f>IF(A322="","",D322*(1+Assumptions!$B$5)^E322)</f>
        <v/>
      </c>
      <c r="G322" s="15">
        <f>IF(A322="","",MIN(Assumptions!$B$9,15/26*F322*C322))</f>
        <v/>
      </c>
      <c r="H322" s="16">
        <f>IF(A322="","",(1-Assumptions!$B$6-Assumptions!$B$7)^E322)</f>
        <v/>
      </c>
      <c r="I322" s="15">
        <f>IF(A322="","",G322*H322/(1+Assumptions!$B$4)^E322)</f>
        <v/>
      </c>
      <c r="J322" s="7">
        <f>IF(A322="","",C322&gt;=Assumptions!$B$10)</f>
        <v/>
      </c>
    </row>
    <row r="323">
      <c r="A323" s="12" t="n"/>
      <c r="B323" s="10" t="n"/>
      <c r="C323" s="13" t="n"/>
      <c r="D323" s="11" t="n"/>
      <c r="E323" s="14">
        <f>IF(A323="","",MAX(0,Assumptions!$B$8-B323))</f>
        <v/>
      </c>
      <c r="F323" s="15">
        <f>IF(A323="","",D323*(1+Assumptions!$B$5)^E323)</f>
        <v/>
      </c>
      <c r="G323" s="15">
        <f>IF(A323="","",MIN(Assumptions!$B$9,15/26*F323*C323))</f>
        <v/>
      </c>
      <c r="H323" s="16">
        <f>IF(A323="","",(1-Assumptions!$B$6-Assumptions!$B$7)^E323)</f>
        <v/>
      </c>
      <c r="I323" s="15">
        <f>IF(A323="","",G323*H323/(1+Assumptions!$B$4)^E323)</f>
        <v/>
      </c>
      <c r="J323" s="7">
        <f>IF(A323="","",C323&gt;=Assumptions!$B$10)</f>
        <v/>
      </c>
    </row>
    <row r="324">
      <c r="A324" s="12" t="n"/>
      <c r="B324" s="10" t="n"/>
      <c r="C324" s="13" t="n"/>
      <c r="D324" s="11" t="n"/>
      <c r="E324" s="14">
        <f>IF(A324="","",MAX(0,Assumptions!$B$8-B324))</f>
        <v/>
      </c>
      <c r="F324" s="15">
        <f>IF(A324="","",D324*(1+Assumptions!$B$5)^E324)</f>
        <v/>
      </c>
      <c r="G324" s="15">
        <f>IF(A324="","",MIN(Assumptions!$B$9,15/26*F324*C324))</f>
        <v/>
      </c>
      <c r="H324" s="16">
        <f>IF(A324="","",(1-Assumptions!$B$6-Assumptions!$B$7)^E324)</f>
        <v/>
      </c>
      <c r="I324" s="15">
        <f>IF(A324="","",G324*H324/(1+Assumptions!$B$4)^E324)</f>
        <v/>
      </c>
      <c r="J324" s="7">
        <f>IF(A324="","",C324&gt;=Assumptions!$B$10)</f>
        <v/>
      </c>
    </row>
    <row r="325">
      <c r="A325" s="12" t="n"/>
      <c r="B325" s="10" t="n"/>
      <c r="C325" s="13" t="n"/>
      <c r="D325" s="11" t="n"/>
      <c r="E325" s="14">
        <f>IF(A325="","",MAX(0,Assumptions!$B$8-B325))</f>
        <v/>
      </c>
      <c r="F325" s="15">
        <f>IF(A325="","",D325*(1+Assumptions!$B$5)^E325)</f>
        <v/>
      </c>
      <c r="G325" s="15">
        <f>IF(A325="","",MIN(Assumptions!$B$9,15/26*F325*C325))</f>
        <v/>
      </c>
      <c r="H325" s="16">
        <f>IF(A325="","",(1-Assumptions!$B$6-Assumptions!$B$7)^E325)</f>
        <v/>
      </c>
      <c r="I325" s="15">
        <f>IF(A325="","",G325*H325/(1+Assumptions!$B$4)^E325)</f>
        <v/>
      </c>
      <c r="J325" s="7">
        <f>IF(A325="","",C325&gt;=Assumptions!$B$10)</f>
        <v/>
      </c>
    </row>
    <row r="326">
      <c r="A326" s="12" t="n"/>
      <c r="B326" s="10" t="n"/>
      <c r="C326" s="13" t="n"/>
      <c r="D326" s="11" t="n"/>
      <c r="E326" s="14">
        <f>IF(A326="","",MAX(0,Assumptions!$B$8-B326))</f>
        <v/>
      </c>
      <c r="F326" s="15">
        <f>IF(A326="","",D326*(1+Assumptions!$B$5)^E326)</f>
        <v/>
      </c>
      <c r="G326" s="15">
        <f>IF(A326="","",MIN(Assumptions!$B$9,15/26*F326*C326))</f>
        <v/>
      </c>
      <c r="H326" s="16">
        <f>IF(A326="","",(1-Assumptions!$B$6-Assumptions!$B$7)^E326)</f>
        <v/>
      </c>
      <c r="I326" s="15">
        <f>IF(A326="","",G326*H326/(1+Assumptions!$B$4)^E326)</f>
        <v/>
      </c>
      <c r="J326" s="7">
        <f>IF(A326="","",C326&gt;=Assumptions!$B$10)</f>
        <v/>
      </c>
    </row>
    <row r="327">
      <c r="A327" s="12" t="n"/>
      <c r="B327" s="10" t="n"/>
      <c r="C327" s="13" t="n"/>
      <c r="D327" s="11" t="n"/>
      <c r="E327" s="14">
        <f>IF(A327="","",MAX(0,Assumptions!$B$8-B327))</f>
        <v/>
      </c>
      <c r="F327" s="15">
        <f>IF(A327="","",D327*(1+Assumptions!$B$5)^E327)</f>
        <v/>
      </c>
      <c r="G327" s="15">
        <f>IF(A327="","",MIN(Assumptions!$B$9,15/26*F327*C327))</f>
        <v/>
      </c>
      <c r="H327" s="16">
        <f>IF(A327="","",(1-Assumptions!$B$6-Assumptions!$B$7)^E327)</f>
        <v/>
      </c>
      <c r="I327" s="15">
        <f>IF(A327="","",G327*H327/(1+Assumptions!$B$4)^E327)</f>
        <v/>
      </c>
      <c r="J327" s="7">
        <f>IF(A327="","",C327&gt;=Assumptions!$B$10)</f>
        <v/>
      </c>
    </row>
    <row r="328">
      <c r="A328" s="12" t="n"/>
      <c r="B328" s="10" t="n"/>
      <c r="C328" s="13" t="n"/>
      <c r="D328" s="11" t="n"/>
      <c r="E328" s="14">
        <f>IF(A328="","",MAX(0,Assumptions!$B$8-B328))</f>
        <v/>
      </c>
      <c r="F328" s="15">
        <f>IF(A328="","",D328*(1+Assumptions!$B$5)^E328)</f>
        <v/>
      </c>
      <c r="G328" s="15">
        <f>IF(A328="","",MIN(Assumptions!$B$9,15/26*F328*C328))</f>
        <v/>
      </c>
      <c r="H328" s="16">
        <f>IF(A328="","",(1-Assumptions!$B$6-Assumptions!$B$7)^E328)</f>
        <v/>
      </c>
      <c r="I328" s="15">
        <f>IF(A328="","",G328*H328/(1+Assumptions!$B$4)^E328)</f>
        <v/>
      </c>
      <c r="J328" s="7">
        <f>IF(A328="","",C328&gt;=Assumptions!$B$10)</f>
        <v/>
      </c>
    </row>
    <row r="329">
      <c r="A329" s="12" t="n"/>
      <c r="B329" s="10" t="n"/>
      <c r="C329" s="13" t="n"/>
      <c r="D329" s="11" t="n"/>
      <c r="E329" s="14">
        <f>IF(A329="","",MAX(0,Assumptions!$B$8-B329))</f>
        <v/>
      </c>
      <c r="F329" s="15">
        <f>IF(A329="","",D329*(1+Assumptions!$B$5)^E329)</f>
        <v/>
      </c>
      <c r="G329" s="15">
        <f>IF(A329="","",MIN(Assumptions!$B$9,15/26*F329*C329))</f>
        <v/>
      </c>
      <c r="H329" s="16">
        <f>IF(A329="","",(1-Assumptions!$B$6-Assumptions!$B$7)^E329)</f>
        <v/>
      </c>
      <c r="I329" s="15">
        <f>IF(A329="","",G329*H329/(1+Assumptions!$B$4)^E329)</f>
        <v/>
      </c>
      <c r="J329" s="7">
        <f>IF(A329="","",C329&gt;=Assumptions!$B$10)</f>
        <v/>
      </c>
    </row>
    <row r="330">
      <c r="A330" s="12" t="n"/>
      <c r="B330" s="10" t="n"/>
      <c r="C330" s="13" t="n"/>
      <c r="D330" s="11" t="n"/>
      <c r="E330" s="14">
        <f>IF(A330="","",MAX(0,Assumptions!$B$8-B330))</f>
        <v/>
      </c>
      <c r="F330" s="15">
        <f>IF(A330="","",D330*(1+Assumptions!$B$5)^E330)</f>
        <v/>
      </c>
      <c r="G330" s="15">
        <f>IF(A330="","",MIN(Assumptions!$B$9,15/26*F330*C330))</f>
        <v/>
      </c>
      <c r="H330" s="16">
        <f>IF(A330="","",(1-Assumptions!$B$6-Assumptions!$B$7)^E330)</f>
        <v/>
      </c>
      <c r="I330" s="15">
        <f>IF(A330="","",G330*H330/(1+Assumptions!$B$4)^E330)</f>
        <v/>
      </c>
      <c r="J330" s="7">
        <f>IF(A330="","",C330&gt;=Assumptions!$B$10)</f>
        <v/>
      </c>
    </row>
    <row r="331">
      <c r="A331" s="12" t="n"/>
      <c r="B331" s="10" t="n"/>
      <c r="C331" s="13" t="n"/>
      <c r="D331" s="11" t="n"/>
      <c r="E331" s="14">
        <f>IF(A331="","",MAX(0,Assumptions!$B$8-B331))</f>
        <v/>
      </c>
      <c r="F331" s="15">
        <f>IF(A331="","",D331*(1+Assumptions!$B$5)^E331)</f>
        <v/>
      </c>
      <c r="G331" s="15">
        <f>IF(A331="","",MIN(Assumptions!$B$9,15/26*F331*C331))</f>
        <v/>
      </c>
      <c r="H331" s="16">
        <f>IF(A331="","",(1-Assumptions!$B$6-Assumptions!$B$7)^E331)</f>
        <v/>
      </c>
      <c r="I331" s="15">
        <f>IF(A331="","",G331*H331/(1+Assumptions!$B$4)^E331)</f>
        <v/>
      </c>
      <c r="J331" s="7">
        <f>IF(A331="","",C331&gt;=Assumptions!$B$10)</f>
        <v/>
      </c>
    </row>
    <row r="332">
      <c r="A332" s="12" t="n"/>
      <c r="B332" s="10" t="n"/>
      <c r="C332" s="13" t="n"/>
      <c r="D332" s="11" t="n"/>
      <c r="E332" s="14">
        <f>IF(A332="","",MAX(0,Assumptions!$B$8-B332))</f>
        <v/>
      </c>
      <c r="F332" s="15">
        <f>IF(A332="","",D332*(1+Assumptions!$B$5)^E332)</f>
        <v/>
      </c>
      <c r="G332" s="15">
        <f>IF(A332="","",MIN(Assumptions!$B$9,15/26*F332*C332))</f>
        <v/>
      </c>
      <c r="H332" s="16">
        <f>IF(A332="","",(1-Assumptions!$B$6-Assumptions!$B$7)^E332)</f>
        <v/>
      </c>
      <c r="I332" s="15">
        <f>IF(A332="","",G332*H332/(1+Assumptions!$B$4)^E332)</f>
        <v/>
      </c>
      <c r="J332" s="7">
        <f>IF(A332="","",C332&gt;=Assumptions!$B$10)</f>
        <v/>
      </c>
    </row>
    <row r="333">
      <c r="A333" s="12" t="n"/>
      <c r="B333" s="10" t="n"/>
      <c r="C333" s="13" t="n"/>
      <c r="D333" s="11" t="n"/>
      <c r="E333" s="14">
        <f>IF(A333="","",MAX(0,Assumptions!$B$8-B333))</f>
        <v/>
      </c>
      <c r="F333" s="15">
        <f>IF(A333="","",D333*(1+Assumptions!$B$5)^E333)</f>
        <v/>
      </c>
      <c r="G333" s="15">
        <f>IF(A333="","",MIN(Assumptions!$B$9,15/26*F333*C333))</f>
        <v/>
      </c>
      <c r="H333" s="16">
        <f>IF(A333="","",(1-Assumptions!$B$6-Assumptions!$B$7)^E333)</f>
        <v/>
      </c>
      <c r="I333" s="15">
        <f>IF(A333="","",G333*H333/(1+Assumptions!$B$4)^E333)</f>
        <v/>
      </c>
      <c r="J333" s="7">
        <f>IF(A333="","",C333&gt;=Assumptions!$B$10)</f>
        <v/>
      </c>
    </row>
    <row r="334">
      <c r="A334" s="12" t="n"/>
      <c r="B334" s="10" t="n"/>
      <c r="C334" s="13" t="n"/>
      <c r="D334" s="11" t="n"/>
      <c r="E334" s="14">
        <f>IF(A334="","",MAX(0,Assumptions!$B$8-B334))</f>
        <v/>
      </c>
      <c r="F334" s="15">
        <f>IF(A334="","",D334*(1+Assumptions!$B$5)^E334)</f>
        <v/>
      </c>
      <c r="G334" s="15">
        <f>IF(A334="","",MIN(Assumptions!$B$9,15/26*F334*C334))</f>
        <v/>
      </c>
      <c r="H334" s="16">
        <f>IF(A334="","",(1-Assumptions!$B$6-Assumptions!$B$7)^E334)</f>
        <v/>
      </c>
      <c r="I334" s="15">
        <f>IF(A334="","",G334*H334/(1+Assumptions!$B$4)^E334)</f>
        <v/>
      </c>
      <c r="J334" s="7">
        <f>IF(A334="","",C334&gt;=Assumptions!$B$10)</f>
        <v/>
      </c>
    </row>
    <row r="335">
      <c r="A335" s="12" t="n"/>
      <c r="B335" s="10" t="n"/>
      <c r="C335" s="13" t="n"/>
      <c r="D335" s="11" t="n"/>
      <c r="E335" s="14">
        <f>IF(A335="","",MAX(0,Assumptions!$B$8-B335))</f>
        <v/>
      </c>
      <c r="F335" s="15">
        <f>IF(A335="","",D335*(1+Assumptions!$B$5)^E335)</f>
        <v/>
      </c>
      <c r="G335" s="15">
        <f>IF(A335="","",MIN(Assumptions!$B$9,15/26*F335*C335))</f>
        <v/>
      </c>
      <c r="H335" s="16">
        <f>IF(A335="","",(1-Assumptions!$B$6-Assumptions!$B$7)^E335)</f>
        <v/>
      </c>
      <c r="I335" s="15">
        <f>IF(A335="","",G335*H335/(1+Assumptions!$B$4)^E335)</f>
        <v/>
      </c>
      <c r="J335" s="7">
        <f>IF(A335="","",C335&gt;=Assumptions!$B$10)</f>
        <v/>
      </c>
    </row>
    <row r="336">
      <c r="A336" s="12" t="n"/>
      <c r="B336" s="10" t="n"/>
      <c r="C336" s="13" t="n"/>
      <c r="D336" s="11" t="n"/>
      <c r="E336" s="14">
        <f>IF(A336="","",MAX(0,Assumptions!$B$8-B336))</f>
        <v/>
      </c>
      <c r="F336" s="15">
        <f>IF(A336="","",D336*(1+Assumptions!$B$5)^E336)</f>
        <v/>
      </c>
      <c r="G336" s="15">
        <f>IF(A336="","",MIN(Assumptions!$B$9,15/26*F336*C336))</f>
        <v/>
      </c>
      <c r="H336" s="16">
        <f>IF(A336="","",(1-Assumptions!$B$6-Assumptions!$B$7)^E336)</f>
        <v/>
      </c>
      <c r="I336" s="15">
        <f>IF(A336="","",G336*H336/(1+Assumptions!$B$4)^E336)</f>
        <v/>
      </c>
      <c r="J336" s="7">
        <f>IF(A336="","",C336&gt;=Assumptions!$B$10)</f>
        <v/>
      </c>
    </row>
    <row r="337">
      <c r="A337" s="12" t="n"/>
      <c r="B337" s="10" t="n"/>
      <c r="C337" s="13" t="n"/>
      <c r="D337" s="11" t="n"/>
      <c r="E337" s="14">
        <f>IF(A337="","",MAX(0,Assumptions!$B$8-B337))</f>
        <v/>
      </c>
      <c r="F337" s="15">
        <f>IF(A337="","",D337*(1+Assumptions!$B$5)^E337)</f>
        <v/>
      </c>
      <c r="G337" s="15">
        <f>IF(A337="","",MIN(Assumptions!$B$9,15/26*F337*C337))</f>
        <v/>
      </c>
      <c r="H337" s="16">
        <f>IF(A337="","",(1-Assumptions!$B$6-Assumptions!$B$7)^E337)</f>
        <v/>
      </c>
      <c r="I337" s="15">
        <f>IF(A337="","",G337*H337/(1+Assumptions!$B$4)^E337)</f>
        <v/>
      </c>
      <c r="J337" s="7">
        <f>IF(A337="","",C337&gt;=Assumptions!$B$10)</f>
        <v/>
      </c>
    </row>
    <row r="338">
      <c r="A338" s="12" t="n"/>
      <c r="B338" s="10" t="n"/>
      <c r="C338" s="13" t="n"/>
      <c r="D338" s="11" t="n"/>
      <c r="E338" s="14">
        <f>IF(A338="","",MAX(0,Assumptions!$B$8-B338))</f>
        <v/>
      </c>
      <c r="F338" s="15">
        <f>IF(A338="","",D338*(1+Assumptions!$B$5)^E338)</f>
        <v/>
      </c>
      <c r="G338" s="15">
        <f>IF(A338="","",MIN(Assumptions!$B$9,15/26*F338*C338))</f>
        <v/>
      </c>
      <c r="H338" s="16">
        <f>IF(A338="","",(1-Assumptions!$B$6-Assumptions!$B$7)^E338)</f>
        <v/>
      </c>
      <c r="I338" s="15">
        <f>IF(A338="","",G338*H338/(1+Assumptions!$B$4)^E338)</f>
        <v/>
      </c>
      <c r="J338" s="7">
        <f>IF(A338="","",C338&gt;=Assumptions!$B$10)</f>
        <v/>
      </c>
    </row>
    <row r="339">
      <c r="A339" s="12" t="n"/>
      <c r="B339" s="10" t="n"/>
      <c r="C339" s="13" t="n"/>
      <c r="D339" s="11" t="n"/>
      <c r="E339" s="14">
        <f>IF(A339="","",MAX(0,Assumptions!$B$8-B339))</f>
        <v/>
      </c>
      <c r="F339" s="15">
        <f>IF(A339="","",D339*(1+Assumptions!$B$5)^E339)</f>
        <v/>
      </c>
      <c r="G339" s="15">
        <f>IF(A339="","",MIN(Assumptions!$B$9,15/26*F339*C339))</f>
        <v/>
      </c>
      <c r="H339" s="16">
        <f>IF(A339="","",(1-Assumptions!$B$6-Assumptions!$B$7)^E339)</f>
        <v/>
      </c>
      <c r="I339" s="15">
        <f>IF(A339="","",G339*H339/(1+Assumptions!$B$4)^E339)</f>
        <v/>
      </c>
      <c r="J339" s="7">
        <f>IF(A339="","",C339&gt;=Assumptions!$B$10)</f>
        <v/>
      </c>
    </row>
    <row r="340">
      <c r="A340" s="12" t="n"/>
      <c r="B340" s="10" t="n"/>
      <c r="C340" s="13" t="n"/>
      <c r="D340" s="11" t="n"/>
      <c r="E340" s="14">
        <f>IF(A340="","",MAX(0,Assumptions!$B$8-B340))</f>
        <v/>
      </c>
      <c r="F340" s="15">
        <f>IF(A340="","",D340*(1+Assumptions!$B$5)^E340)</f>
        <v/>
      </c>
      <c r="G340" s="15">
        <f>IF(A340="","",MIN(Assumptions!$B$9,15/26*F340*C340))</f>
        <v/>
      </c>
      <c r="H340" s="16">
        <f>IF(A340="","",(1-Assumptions!$B$6-Assumptions!$B$7)^E340)</f>
        <v/>
      </c>
      <c r="I340" s="15">
        <f>IF(A340="","",G340*H340/(1+Assumptions!$B$4)^E340)</f>
        <v/>
      </c>
      <c r="J340" s="7">
        <f>IF(A340="","",C340&gt;=Assumptions!$B$10)</f>
        <v/>
      </c>
    </row>
    <row r="341">
      <c r="A341" s="12" t="n"/>
      <c r="B341" s="10" t="n"/>
      <c r="C341" s="13" t="n"/>
      <c r="D341" s="11" t="n"/>
      <c r="E341" s="14">
        <f>IF(A341="","",MAX(0,Assumptions!$B$8-B341))</f>
        <v/>
      </c>
      <c r="F341" s="15">
        <f>IF(A341="","",D341*(1+Assumptions!$B$5)^E341)</f>
        <v/>
      </c>
      <c r="G341" s="15">
        <f>IF(A341="","",MIN(Assumptions!$B$9,15/26*F341*C341))</f>
        <v/>
      </c>
      <c r="H341" s="16">
        <f>IF(A341="","",(1-Assumptions!$B$6-Assumptions!$B$7)^E341)</f>
        <v/>
      </c>
      <c r="I341" s="15">
        <f>IF(A341="","",G341*H341/(1+Assumptions!$B$4)^E341)</f>
        <v/>
      </c>
      <c r="J341" s="7">
        <f>IF(A341="","",C341&gt;=Assumptions!$B$10)</f>
        <v/>
      </c>
    </row>
    <row r="342">
      <c r="A342" s="12" t="n"/>
      <c r="B342" s="10" t="n"/>
      <c r="C342" s="13" t="n"/>
      <c r="D342" s="11" t="n"/>
      <c r="E342" s="14">
        <f>IF(A342="","",MAX(0,Assumptions!$B$8-B342))</f>
        <v/>
      </c>
      <c r="F342" s="15">
        <f>IF(A342="","",D342*(1+Assumptions!$B$5)^E342)</f>
        <v/>
      </c>
      <c r="G342" s="15">
        <f>IF(A342="","",MIN(Assumptions!$B$9,15/26*F342*C342))</f>
        <v/>
      </c>
      <c r="H342" s="16">
        <f>IF(A342="","",(1-Assumptions!$B$6-Assumptions!$B$7)^E342)</f>
        <v/>
      </c>
      <c r="I342" s="15">
        <f>IF(A342="","",G342*H342/(1+Assumptions!$B$4)^E342)</f>
        <v/>
      </c>
      <c r="J342" s="7">
        <f>IF(A342="","",C342&gt;=Assumptions!$B$10)</f>
        <v/>
      </c>
    </row>
    <row r="343">
      <c r="A343" s="12" t="n"/>
      <c r="B343" s="10" t="n"/>
      <c r="C343" s="13" t="n"/>
      <c r="D343" s="11" t="n"/>
      <c r="E343" s="14">
        <f>IF(A343="","",MAX(0,Assumptions!$B$8-B343))</f>
        <v/>
      </c>
      <c r="F343" s="15">
        <f>IF(A343="","",D343*(1+Assumptions!$B$5)^E343)</f>
        <v/>
      </c>
      <c r="G343" s="15">
        <f>IF(A343="","",MIN(Assumptions!$B$9,15/26*F343*C343))</f>
        <v/>
      </c>
      <c r="H343" s="16">
        <f>IF(A343="","",(1-Assumptions!$B$6-Assumptions!$B$7)^E343)</f>
        <v/>
      </c>
      <c r="I343" s="15">
        <f>IF(A343="","",G343*H343/(1+Assumptions!$B$4)^E343)</f>
        <v/>
      </c>
      <c r="J343" s="7">
        <f>IF(A343="","",C343&gt;=Assumptions!$B$10)</f>
        <v/>
      </c>
    </row>
    <row r="344">
      <c r="A344" s="12" t="n"/>
      <c r="B344" s="10" t="n"/>
      <c r="C344" s="13" t="n"/>
      <c r="D344" s="11" t="n"/>
      <c r="E344" s="14">
        <f>IF(A344="","",MAX(0,Assumptions!$B$8-B344))</f>
        <v/>
      </c>
      <c r="F344" s="15">
        <f>IF(A344="","",D344*(1+Assumptions!$B$5)^E344)</f>
        <v/>
      </c>
      <c r="G344" s="15">
        <f>IF(A344="","",MIN(Assumptions!$B$9,15/26*F344*C344))</f>
        <v/>
      </c>
      <c r="H344" s="16">
        <f>IF(A344="","",(1-Assumptions!$B$6-Assumptions!$B$7)^E344)</f>
        <v/>
      </c>
      <c r="I344" s="15">
        <f>IF(A344="","",G344*H344/(1+Assumptions!$B$4)^E344)</f>
        <v/>
      </c>
      <c r="J344" s="7">
        <f>IF(A344="","",C344&gt;=Assumptions!$B$10)</f>
        <v/>
      </c>
    </row>
    <row r="345">
      <c r="A345" s="12" t="n"/>
      <c r="B345" s="10" t="n"/>
      <c r="C345" s="13" t="n"/>
      <c r="D345" s="11" t="n"/>
      <c r="E345" s="14">
        <f>IF(A345="","",MAX(0,Assumptions!$B$8-B345))</f>
        <v/>
      </c>
      <c r="F345" s="15">
        <f>IF(A345="","",D345*(1+Assumptions!$B$5)^E345)</f>
        <v/>
      </c>
      <c r="G345" s="15">
        <f>IF(A345="","",MIN(Assumptions!$B$9,15/26*F345*C345))</f>
        <v/>
      </c>
      <c r="H345" s="16">
        <f>IF(A345="","",(1-Assumptions!$B$6-Assumptions!$B$7)^E345)</f>
        <v/>
      </c>
      <c r="I345" s="15">
        <f>IF(A345="","",G345*H345/(1+Assumptions!$B$4)^E345)</f>
        <v/>
      </c>
      <c r="J345" s="7">
        <f>IF(A345="","",C345&gt;=Assumptions!$B$10)</f>
        <v/>
      </c>
    </row>
    <row r="346">
      <c r="A346" s="12" t="n"/>
      <c r="B346" s="10" t="n"/>
      <c r="C346" s="13" t="n"/>
      <c r="D346" s="11" t="n"/>
      <c r="E346" s="14">
        <f>IF(A346="","",MAX(0,Assumptions!$B$8-B346))</f>
        <v/>
      </c>
      <c r="F346" s="15">
        <f>IF(A346="","",D346*(1+Assumptions!$B$5)^E346)</f>
        <v/>
      </c>
      <c r="G346" s="15">
        <f>IF(A346="","",MIN(Assumptions!$B$9,15/26*F346*C346))</f>
        <v/>
      </c>
      <c r="H346" s="16">
        <f>IF(A346="","",(1-Assumptions!$B$6-Assumptions!$B$7)^E346)</f>
        <v/>
      </c>
      <c r="I346" s="15">
        <f>IF(A346="","",G346*H346/(1+Assumptions!$B$4)^E346)</f>
        <v/>
      </c>
      <c r="J346" s="7">
        <f>IF(A346="","",C346&gt;=Assumptions!$B$10)</f>
        <v/>
      </c>
    </row>
    <row r="347">
      <c r="A347" s="12" t="n"/>
      <c r="B347" s="10" t="n"/>
      <c r="C347" s="13" t="n"/>
      <c r="D347" s="11" t="n"/>
      <c r="E347" s="14">
        <f>IF(A347="","",MAX(0,Assumptions!$B$8-B347))</f>
        <v/>
      </c>
      <c r="F347" s="15">
        <f>IF(A347="","",D347*(1+Assumptions!$B$5)^E347)</f>
        <v/>
      </c>
      <c r="G347" s="15">
        <f>IF(A347="","",MIN(Assumptions!$B$9,15/26*F347*C347))</f>
        <v/>
      </c>
      <c r="H347" s="16">
        <f>IF(A347="","",(1-Assumptions!$B$6-Assumptions!$B$7)^E347)</f>
        <v/>
      </c>
      <c r="I347" s="15">
        <f>IF(A347="","",G347*H347/(1+Assumptions!$B$4)^E347)</f>
        <v/>
      </c>
      <c r="J347" s="7">
        <f>IF(A347="","",C347&gt;=Assumptions!$B$10)</f>
        <v/>
      </c>
    </row>
    <row r="348">
      <c r="A348" s="12" t="n"/>
      <c r="B348" s="10" t="n"/>
      <c r="C348" s="13" t="n"/>
      <c r="D348" s="11" t="n"/>
      <c r="E348" s="14">
        <f>IF(A348="","",MAX(0,Assumptions!$B$8-B348))</f>
        <v/>
      </c>
      <c r="F348" s="15">
        <f>IF(A348="","",D348*(1+Assumptions!$B$5)^E348)</f>
        <v/>
      </c>
      <c r="G348" s="15">
        <f>IF(A348="","",MIN(Assumptions!$B$9,15/26*F348*C348))</f>
        <v/>
      </c>
      <c r="H348" s="16">
        <f>IF(A348="","",(1-Assumptions!$B$6-Assumptions!$B$7)^E348)</f>
        <v/>
      </c>
      <c r="I348" s="15">
        <f>IF(A348="","",G348*H348/(1+Assumptions!$B$4)^E348)</f>
        <v/>
      </c>
      <c r="J348" s="7">
        <f>IF(A348="","",C348&gt;=Assumptions!$B$10)</f>
        <v/>
      </c>
    </row>
    <row r="349">
      <c r="A349" s="12" t="n"/>
      <c r="B349" s="10" t="n"/>
      <c r="C349" s="13" t="n"/>
      <c r="D349" s="11" t="n"/>
      <c r="E349" s="14">
        <f>IF(A349="","",MAX(0,Assumptions!$B$8-B349))</f>
        <v/>
      </c>
      <c r="F349" s="15">
        <f>IF(A349="","",D349*(1+Assumptions!$B$5)^E349)</f>
        <v/>
      </c>
      <c r="G349" s="15">
        <f>IF(A349="","",MIN(Assumptions!$B$9,15/26*F349*C349))</f>
        <v/>
      </c>
      <c r="H349" s="16">
        <f>IF(A349="","",(1-Assumptions!$B$6-Assumptions!$B$7)^E349)</f>
        <v/>
      </c>
      <c r="I349" s="15">
        <f>IF(A349="","",G349*H349/(1+Assumptions!$B$4)^E349)</f>
        <v/>
      </c>
      <c r="J349" s="7">
        <f>IF(A349="","",C349&gt;=Assumptions!$B$10)</f>
        <v/>
      </c>
    </row>
    <row r="350">
      <c r="A350" s="12" t="n"/>
      <c r="B350" s="10" t="n"/>
      <c r="C350" s="13" t="n"/>
      <c r="D350" s="11" t="n"/>
      <c r="E350" s="14">
        <f>IF(A350="","",MAX(0,Assumptions!$B$8-B350))</f>
        <v/>
      </c>
      <c r="F350" s="15">
        <f>IF(A350="","",D350*(1+Assumptions!$B$5)^E350)</f>
        <v/>
      </c>
      <c r="G350" s="15">
        <f>IF(A350="","",MIN(Assumptions!$B$9,15/26*F350*C350))</f>
        <v/>
      </c>
      <c r="H350" s="16">
        <f>IF(A350="","",(1-Assumptions!$B$6-Assumptions!$B$7)^E350)</f>
        <v/>
      </c>
      <c r="I350" s="15">
        <f>IF(A350="","",G350*H350/(1+Assumptions!$B$4)^E350)</f>
        <v/>
      </c>
      <c r="J350" s="7">
        <f>IF(A350="","",C350&gt;=Assumptions!$B$10)</f>
        <v/>
      </c>
    </row>
    <row r="351">
      <c r="A351" s="12" t="n"/>
      <c r="B351" s="10" t="n"/>
      <c r="C351" s="13" t="n"/>
      <c r="D351" s="11" t="n"/>
      <c r="E351" s="14">
        <f>IF(A351="","",MAX(0,Assumptions!$B$8-B351))</f>
        <v/>
      </c>
      <c r="F351" s="15">
        <f>IF(A351="","",D351*(1+Assumptions!$B$5)^E351)</f>
        <v/>
      </c>
      <c r="G351" s="15">
        <f>IF(A351="","",MIN(Assumptions!$B$9,15/26*F351*C351))</f>
        <v/>
      </c>
      <c r="H351" s="16">
        <f>IF(A351="","",(1-Assumptions!$B$6-Assumptions!$B$7)^E351)</f>
        <v/>
      </c>
      <c r="I351" s="15">
        <f>IF(A351="","",G351*H351/(1+Assumptions!$B$4)^E351)</f>
        <v/>
      </c>
      <c r="J351" s="7">
        <f>IF(A351="","",C351&gt;=Assumptions!$B$10)</f>
        <v/>
      </c>
    </row>
    <row r="352">
      <c r="A352" s="12" t="n"/>
      <c r="B352" s="10" t="n"/>
      <c r="C352" s="13" t="n"/>
      <c r="D352" s="11" t="n"/>
      <c r="E352" s="14">
        <f>IF(A352="","",MAX(0,Assumptions!$B$8-B352))</f>
        <v/>
      </c>
      <c r="F352" s="15">
        <f>IF(A352="","",D352*(1+Assumptions!$B$5)^E352)</f>
        <v/>
      </c>
      <c r="G352" s="15">
        <f>IF(A352="","",MIN(Assumptions!$B$9,15/26*F352*C352))</f>
        <v/>
      </c>
      <c r="H352" s="16">
        <f>IF(A352="","",(1-Assumptions!$B$6-Assumptions!$B$7)^E352)</f>
        <v/>
      </c>
      <c r="I352" s="15">
        <f>IF(A352="","",G352*H352/(1+Assumptions!$B$4)^E352)</f>
        <v/>
      </c>
      <c r="J352" s="7">
        <f>IF(A352="","",C352&gt;=Assumptions!$B$10)</f>
        <v/>
      </c>
    </row>
    <row r="353">
      <c r="A353" s="12" t="n"/>
      <c r="B353" s="10" t="n"/>
      <c r="C353" s="13" t="n"/>
      <c r="D353" s="11" t="n"/>
      <c r="E353" s="14">
        <f>IF(A353="","",MAX(0,Assumptions!$B$8-B353))</f>
        <v/>
      </c>
      <c r="F353" s="15">
        <f>IF(A353="","",D353*(1+Assumptions!$B$5)^E353)</f>
        <v/>
      </c>
      <c r="G353" s="15">
        <f>IF(A353="","",MIN(Assumptions!$B$9,15/26*F353*C353))</f>
        <v/>
      </c>
      <c r="H353" s="16">
        <f>IF(A353="","",(1-Assumptions!$B$6-Assumptions!$B$7)^E353)</f>
        <v/>
      </c>
      <c r="I353" s="15">
        <f>IF(A353="","",G353*H353/(1+Assumptions!$B$4)^E353)</f>
        <v/>
      </c>
      <c r="J353" s="7">
        <f>IF(A353="","",C353&gt;=Assumptions!$B$10)</f>
        <v/>
      </c>
    </row>
    <row r="354">
      <c r="A354" s="12" t="n"/>
      <c r="B354" s="10" t="n"/>
      <c r="C354" s="13" t="n"/>
      <c r="D354" s="11" t="n"/>
      <c r="E354" s="14">
        <f>IF(A354="","",MAX(0,Assumptions!$B$8-B354))</f>
        <v/>
      </c>
      <c r="F354" s="15">
        <f>IF(A354="","",D354*(1+Assumptions!$B$5)^E354)</f>
        <v/>
      </c>
      <c r="G354" s="15">
        <f>IF(A354="","",MIN(Assumptions!$B$9,15/26*F354*C354))</f>
        <v/>
      </c>
      <c r="H354" s="16">
        <f>IF(A354="","",(1-Assumptions!$B$6-Assumptions!$B$7)^E354)</f>
        <v/>
      </c>
      <c r="I354" s="15">
        <f>IF(A354="","",G354*H354/(1+Assumptions!$B$4)^E354)</f>
        <v/>
      </c>
      <c r="J354" s="7">
        <f>IF(A354="","",C354&gt;=Assumptions!$B$10)</f>
        <v/>
      </c>
    </row>
    <row r="355">
      <c r="A355" s="12" t="n"/>
      <c r="B355" s="10" t="n"/>
      <c r="C355" s="13" t="n"/>
      <c r="D355" s="11" t="n"/>
      <c r="E355" s="14">
        <f>IF(A355="","",MAX(0,Assumptions!$B$8-B355))</f>
        <v/>
      </c>
      <c r="F355" s="15">
        <f>IF(A355="","",D355*(1+Assumptions!$B$5)^E355)</f>
        <v/>
      </c>
      <c r="G355" s="15">
        <f>IF(A355="","",MIN(Assumptions!$B$9,15/26*F355*C355))</f>
        <v/>
      </c>
      <c r="H355" s="16">
        <f>IF(A355="","",(1-Assumptions!$B$6-Assumptions!$B$7)^E355)</f>
        <v/>
      </c>
      <c r="I355" s="15">
        <f>IF(A355="","",G355*H355/(1+Assumptions!$B$4)^E355)</f>
        <v/>
      </c>
      <c r="J355" s="7">
        <f>IF(A355="","",C355&gt;=Assumptions!$B$10)</f>
        <v/>
      </c>
    </row>
    <row r="356">
      <c r="A356" s="12" t="n"/>
      <c r="B356" s="10" t="n"/>
      <c r="C356" s="13" t="n"/>
      <c r="D356" s="11" t="n"/>
      <c r="E356" s="14">
        <f>IF(A356="","",MAX(0,Assumptions!$B$8-B356))</f>
        <v/>
      </c>
      <c r="F356" s="15">
        <f>IF(A356="","",D356*(1+Assumptions!$B$5)^E356)</f>
        <v/>
      </c>
      <c r="G356" s="15">
        <f>IF(A356="","",MIN(Assumptions!$B$9,15/26*F356*C356))</f>
        <v/>
      </c>
      <c r="H356" s="16">
        <f>IF(A356="","",(1-Assumptions!$B$6-Assumptions!$B$7)^E356)</f>
        <v/>
      </c>
      <c r="I356" s="15">
        <f>IF(A356="","",G356*H356/(1+Assumptions!$B$4)^E356)</f>
        <v/>
      </c>
      <c r="J356" s="7">
        <f>IF(A356="","",C356&gt;=Assumptions!$B$10)</f>
        <v/>
      </c>
    </row>
    <row r="357">
      <c r="A357" s="12" t="n"/>
      <c r="B357" s="10" t="n"/>
      <c r="C357" s="13" t="n"/>
      <c r="D357" s="11" t="n"/>
      <c r="E357" s="14">
        <f>IF(A357="","",MAX(0,Assumptions!$B$8-B357))</f>
        <v/>
      </c>
      <c r="F357" s="15">
        <f>IF(A357="","",D357*(1+Assumptions!$B$5)^E357)</f>
        <v/>
      </c>
      <c r="G357" s="15">
        <f>IF(A357="","",MIN(Assumptions!$B$9,15/26*F357*C357))</f>
        <v/>
      </c>
      <c r="H357" s="16">
        <f>IF(A357="","",(1-Assumptions!$B$6-Assumptions!$B$7)^E357)</f>
        <v/>
      </c>
      <c r="I357" s="15">
        <f>IF(A357="","",G357*H357/(1+Assumptions!$B$4)^E357)</f>
        <v/>
      </c>
      <c r="J357" s="7">
        <f>IF(A357="","",C357&gt;=Assumptions!$B$10)</f>
        <v/>
      </c>
    </row>
    <row r="358">
      <c r="A358" s="12" t="n"/>
      <c r="B358" s="10" t="n"/>
      <c r="C358" s="13" t="n"/>
      <c r="D358" s="11" t="n"/>
      <c r="E358" s="14">
        <f>IF(A358="","",MAX(0,Assumptions!$B$8-B358))</f>
        <v/>
      </c>
      <c r="F358" s="15">
        <f>IF(A358="","",D358*(1+Assumptions!$B$5)^E358)</f>
        <v/>
      </c>
      <c r="G358" s="15">
        <f>IF(A358="","",MIN(Assumptions!$B$9,15/26*F358*C358))</f>
        <v/>
      </c>
      <c r="H358" s="16">
        <f>IF(A358="","",(1-Assumptions!$B$6-Assumptions!$B$7)^E358)</f>
        <v/>
      </c>
      <c r="I358" s="15">
        <f>IF(A358="","",G358*H358/(1+Assumptions!$B$4)^E358)</f>
        <v/>
      </c>
      <c r="J358" s="7">
        <f>IF(A358="","",C358&gt;=Assumptions!$B$10)</f>
        <v/>
      </c>
    </row>
    <row r="359">
      <c r="A359" s="12" t="n"/>
      <c r="B359" s="10" t="n"/>
      <c r="C359" s="13" t="n"/>
      <c r="D359" s="11" t="n"/>
      <c r="E359" s="14">
        <f>IF(A359="","",MAX(0,Assumptions!$B$8-B359))</f>
        <v/>
      </c>
      <c r="F359" s="15">
        <f>IF(A359="","",D359*(1+Assumptions!$B$5)^E359)</f>
        <v/>
      </c>
      <c r="G359" s="15">
        <f>IF(A359="","",MIN(Assumptions!$B$9,15/26*F359*C359))</f>
        <v/>
      </c>
      <c r="H359" s="16">
        <f>IF(A359="","",(1-Assumptions!$B$6-Assumptions!$B$7)^E359)</f>
        <v/>
      </c>
      <c r="I359" s="15">
        <f>IF(A359="","",G359*H359/(1+Assumptions!$B$4)^E359)</f>
        <v/>
      </c>
      <c r="J359" s="7">
        <f>IF(A359="","",C359&gt;=Assumptions!$B$10)</f>
        <v/>
      </c>
    </row>
    <row r="360">
      <c r="A360" s="12" t="n"/>
      <c r="B360" s="10" t="n"/>
      <c r="C360" s="13" t="n"/>
      <c r="D360" s="11" t="n"/>
      <c r="E360" s="14">
        <f>IF(A360="","",MAX(0,Assumptions!$B$8-B360))</f>
        <v/>
      </c>
      <c r="F360" s="15">
        <f>IF(A360="","",D360*(1+Assumptions!$B$5)^E360)</f>
        <v/>
      </c>
      <c r="G360" s="15">
        <f>IF(A360="","",MIN(Assumptions!$B$9,15/26*F360*C360))</f>
        <v/>
      </c>
      <c r="H360" s="16">
        <f>IF(A360="","",(1-Assumptions!$B$6-Assumptions!$B$7)^E360)</f>
        <v/>
      </c>
      <c r="I360" s="15">
        <f>IF(A360="","",G360*H360/(1+Assumptions!$B$4)^E360)</f>
        <v/>
      </c>
      <c r="J360" s="7">
        <f>IF(A360="","",C360&gt;=Assumptions!$B$10)</f>
        <v/>
      </c>
    </row>
    <row r="361">
      <c r="A361" s="12" t="n"/>
      <c r="B361" s="10" t="n"/>
      <c r="C361" s="13" t="n"/>
      <c r="D361" s="11" t="n"/>
      <c r="E361" s="14">
        <f>IF(A361="","",MAX(0,Assumptions!$B$8-B361))</f>
        <v/>
      </c>
      <c r="F361" s="15">
        <f>IF(A361="","",D361*(1+Assumptions!$B$5)^E361)</f>
        <v/>
      </c>
      <c r="G361" s="15">
        <f>IF(A361="","",MIN(Assumptions!$B$9,15/26*F361*C361))</f>
        <v/>
      </c>
      <c r="H361" s="16">
        <f>IF(A361="","",(1-Assumptions!$B$6-Assumptions!$B$7)^E361)</f>
        <v/>
      </c>
      <c r="I361" s="15">
        <f>IF(A361="","",G361*H361/(1+Assumptions!$B$4)^E361)</f>
        <v/>
      </c>
      <c r="J361" s="7">
        <f>IF(A361="","",C361&gt;=Assumptions!$B$10)</f>
        <v/>
      </c>
    </row>
    <row r="362">
      <c r="A362" s="12" t="n"/>
      <c r="B362" s="10" t="n"/>
      <c r="C362" s="13" t="n"/>
      <c r="D362" s="11" t="n"/>
      <c r="E362" s="14">
        <f>IF(A362="","",MAX(0,Assumptions!$B$8-B362))</f>
        <v/>
      </c>
      <c r="F362" s="15">
        <f>IF(A362="","",D362*(1+Assumptions!$B$5)^E362)</f>
        <v/>
      </c>
      <c r="G362" s="15">
        <f>IF(A362="","",MIN(Assumptions!$B$9,15/26*F362*C362))</f>
        <v/>
      </c>
      <c r="H362" s="16">
        <f>IF(A362="","",(1-Assumptions!$B$6-Assumptions!$B$7)^E362)</f>
        <v/>
      </c>
      <c r="I362" s="15">
        <f>IF(A362="","",G362*H362/(1+Assumptions!$B$4)^E362)</f>
        <v/>
      </c>
      <c r="J362" s="7">
        <f>IF(A362="","",C362&gt;=Assumptions!$B$10)</f>
        <v/>
      </c>
    </row>
    <row r="363">
      <c r="A363" s="12" t="n"/>
      <c r="B363" s="10" t="n"/>
      <c r="C363" s="13" t="n"/>
      <c r="D363" s="11" t="n"/>
      <c r="E363" s="14">
        <f>IF(A363="","",MAX(0,Assumptions!$B$8-B363))</f>
        <v/>
      </c>
      <c r="F363" s="15">
        <f>IF(A363="","",D363*(1+Assumptions!$B$5)^E363)</f>
        <v/>
      </c>
      <c r="G363" s="15">
        <f>IF(A363="","",MIN(Assumptions!$B$9,15/26*F363*C363))</f>
        <v/>
      </c>
      <c r="H363" s="16">
        <f>IF(A363="","",(1-Assumptions!$B$6-Assumptions!$B$7)^E363)</f>
        <v/>
      </c>
      <c r="I363" s="15">
        <f>IF(A363="","",G363*H363/(1+Assumptions!$B$4)^E363)</f>
        <v/>
      </c>
      <c r="J363" s="7">
        <f>IF(A363="","",C363&gt;=Assumptions!$B$10)</f>
        <v/>
      </c>
    </row>
    <row r="364">
      <c r="A364" s="12" t="n"/>
      <c r="B364" s="10" t="n"/>
      <c r="C364" s="13" t="n"/>
      <c r="D364" s="11" t="n"/>
      <c r="E364" s="14">
        <f>IF(A364="","",MAX(0,Assumptions!$B$8-B364))</f>
        <v/>
      </c>
      <c r="F364" s="15">
        <f>IF(A364="","",D364*(1+Assumptions!$B$5)^E364)</f>
        <v/>
      </c>
      <c r="G364" s="15">
        <f>IF(A364="","",MIN(Assumptions!$B$9,15/26*F364*C364))</f>
        <v/>
      </c>
      <c r="H364" s="16">
        <f>IF(A364="","",(1-Assumptions!$B$6-Assumptions!$B$7)^E364)</f>
        <v/>
      </c>
      <c r="I364" s="15">
        <f>IF(A364="","",G364*H364/(1+Assumptions!$B$4)^E364)</f>
        <v/>
      </c>
      <c r="J364" s="7">
        <f>IF(A364="","",C364&gt;=Assumptions!$B$10)</f>
        <v/>
      </c>
    </row>
    <row r="365">
      <c r="A365" s="12" t="n"/>
      <c r="B365" s="10" t="n"/>
      <c r="C365" s="13" t="n"/>
      <c r="D365" s="11" t="n"/>
      <c r="E365" s="14">
        <f>IF(A365="","",MAX(0,Assumptions!$B$8-B365))</f>
        <v/>
      </c>
      <c r="F365" s="15">
        <f>IF(A365="","",D365*(1+Assumptions!$B$5)^E365)</f>
        <v/>
      </c>
      <c r="G365" s="15">
        <f>IF(A365="","",MIN(Assumptions!$B$9,15/26*F365*C365))</f>
        <v/>
      </c>
      <c r="H365" s="16">
        <f>IF(A365="","",(1-Assumptions!$B$6-Assumptions!$B$7)^E365)</f>
        <v/>
      </c>
      <c r="I365" s="15">
        <f>IF(A365="","",G365*H365/(1+Assumptions!$B$4)^E365)</f>
        <v/>
      </c>
      <c r="J365" s="7">
        <f>IF(A365="","",C365&gt;=Assumptions!$B$10)</f>
        <v/>
      </c>
    </row>
    <row r="366">
      <c r="A366" s="12" t="n"/>
      <c r="B366" s="10" t="n"/>
      <c r="C366" s="13" t="n"/>
      <c r="D366" s="11" t="n"/>
      <c r="E366" s="14">
        <f>IF(A366="","",MAX(0,Assumptions!$B$8-B366))</f>
        <v/>
      </c>
      <c r="F366" s="15">
        <f>IF(A366="","",D366*(1+Assumptions!$B$5)^E366)</f>
        <v/>
      </c>
      <c r="G366" s="15">
        <f>IF(A366="","",MIN(Assumptions!$B$9,15/26*F366*C366))</f>
        <v/>
      </c>
      <c r="H366" s="16">
        <f>IF(A366="","",(1-Assumptions!$B$6-Assumptions!$B$7)^E366)</f>
        <v/>
      </c>
      <c r="I366" s="15">
        <f>IF(A366="","",G366*H366/(1+Assumptions!$B$4)^E366)</f>
        <v/>
      </c>
      <c r="J366" s="7">
        <f>IF(A366="","",C366&gt;=Assumptions!$B$10)</f>
        <v/>
      </c>
    </row>
    <row r="367">
      <c r="A367" s="12" t="n"/>
      <c r="B367" s="10" t="n"/>
      <c r="C367" s="13" t="n"/>
      <c r="D367" s="11" t="n"/>
      <c r="E367" s="14">
        <f>IF(A367="","",MAX(0,Assumptions!$B$8-B367))</f>
        <v/>
      </c>
      <c r="F367" s="15">
        <f>IF(A367="","",D367*(1+Assumptions!$B$5)^E367)</f>
        <v/>
      </c>
      <c r="G367" s="15">
        <f>IF(A367="","",MIN(Assumptions!$B$9,15/26*F367*C367))</f>
        <v/>
      </c>
      <c r="H367" s="16">
        <f>IF(A367="","",(1-Assumptions!$B$6-Assumptions!$B$7)^E367)</f>
        <v/>
      </c>
      <c r="I367" s="15">
        <f>IF(A367="","",G367*H367/(1+Assumptions!$B$4)^E367)</f>
        <v/>
      </c>
      <c r="J367" s="7">
        <f>IF(A367="","",C367&gt;=Assumptions!$B$10)</f>
        <v/>
      </c>
    </row>
    <row r="368">
      <c r="A368" s="12" t="n"/>
      <c r="B368" s="10" t="n"/>
      <c r="C368" s="13" t="n"/>
      <c r="D368" s="11" t="n"/>
      <c r="E368" s="14">
        <f>IF(A368="","",MAX(0,Assumptions!$B$8-B368))</f>
        <v/>
      </c>
      <c r="F368" s="15">
        <f>IF(A368="","",D368*(1+Assumptions!$B$5)^E368)</f>
        <v/>
      </c>
      <c r="G368" s="15">
        <f>IF(A368="","",MIN(Assumptions!$B$9,15/26*F368*C368))</f>
        <v/>
      </c>
      <c r="H368" s="16">
        <f>IF(A368="","",(1-Assumptions!$B$6-Assumptions!$B$7)^E368)</f>
        <v/>
      </c>
      <c r="I368" s="15">
        <f>IF(A368="","",G368*H368/(1+Assumptions!$B$4)^E368)</f>
        <v/>
      </c>
      <c r="J368" s="7">
        <f>IF(A368="","",C368&gt;=Assumptions!$B$10)</f>
        <v/>
      </c>
    </row>
    <row r="369">
      <c r="A369" s="12" t="n"/>
      <c r="B369" s="10" t="n"/>
      <c r="C369" s="13" t="n"/>
      <c r="D369" s="11" t="n"/>
      <c r="E369" s="14">
        <f>IF(A369="","",MAX(0,Assumptions!$B$8-B369))</f>
        <v/>
      </c>
      <c r="F369" s="15">
        <f>IF(A369="","",D369*(1+Assumptions!$B$5)^E369)</f>
        <v/>
      </c>
      <c r="G369" s="15">
        <f>IF(A369="","",MIN(Assumptions!$B$9,15/26*F369*C369))</f>
        <v/>
      </c>
      <c r="H369" s="16">
        <f>IF(A369="","",(1-Assumptions!$B$6-Assumptions!$B$7)^E369)</f>
        <v/>
      </c>
      <c r="I369" s="15">
        <f>IF(A369="","",G369*H369/(1+Assumptions!$B$4)^E369)</f>
        <v/>
      </c>
      <c r="J369" s="7">
        <f>IF(A369="","",C369&gt;=Assumptions!$B$10)</f>
        <v/>
      </c>
    </row>
    <row r="370">
      <c r="A370" s="12" t="n"/>
      <c r="B370" s="10" t="n"/>
      <c r="C370" s="13" t="n"/>
      <c r="D370" s="11" t="n"/>
      <c r="E370" s="14">
        <f>IF(A370="","",MAX(0,Assumptions!$B$8-B370))</f>
        <v/>
      </c>
      <c r="F370" s="15">
        <f>IF(A370="","",D370*(1+Assumptions!$B$5)^E370)</f>
        <v/>
      </c>
      <c r="G370" s="15">
        <f>IF(A370="","",MIN(Assumptions!$B$9,15/26*F370*C370))</f>
        <v/>
      </c>
      <c r="H370" s="16">
        <f>IF(A370="","",(1-Assumptions!$B$6-Assumptions!$B$7)^E370)</f>
        <v/>
      </c>
      <c r="I370" s="15">
        <f>IF(A370="","",G370*H370/(1+Assumptions!$B$4)^E370)</f>
        <v/>
      </c>
      <c r="J370" s="7">
        <f>IF(A370="","",C370&gt;=Assumptions!$B$10)</f>
        <v/>
      </c>
    </row>
    <row r="371">
      <c r="A371" s="12" t="n"/>
      <c r="B371" s="10" t="n"/>
      <c r="C371" s="13" t="n"/>
      <c r="D371" s="11" t="n"/>
      <c r="E371" s="14">
        <f>IF(A371="","",MAX(0,Assumptions!$B$8-B371))</f>
        <v/>
      </c>
      <c r="F371" s="15">
        <f>IF(A371="","",D371*(1+Assumptions!$B$5)^E371)</f>
        <v/>
      </c>
      <c r="G371" s="15">
        <f>IF(A371="","",MIN(Assumptions!$B$9,15/26*F371*C371))</f>
        <v/>
      </c>
      <c r="H371" s="16">
        <f>IF(A371="","",(1-Assumptions!$B$6-Assumptions!$B$7)^E371)</f>
        <v/>
      </c>
      <c r="I371" s="15">
        <f>IF(A371="","",G371*H371/(1+Assumptions!$B$4)^E371)</f>
        <v/>
      </c>
      <c r="J371" s="7">
        <f>IF(A371="","",C371&gt;=Assumptions!$B$10)</f>
        <v/>
      </c>
    </row>
    <row r="372">
      <c r="A372" s="12" t="n"/>
      <c r="B372" s="10" t="n"/>
      <c r="C372" s="13" t="n"/>
      <c r="D372" s="11" t="n"/>
      <c r="E372" s="14">
        <f>IF(A372="","",MAX(0,Assumptions!$B$8-B372))</f>
        <v/>
      </c>
      <c r="F372" s="15">
        <f>IF(A372="","",D372*(1+Assumptions!$B$5)^E372)</f>
        <v/>
      </c>
      <c r="G372" s="15">
        <f>IF(A372="","",MIN(Assumptions!$B$9,15/26*F372*C372))</f>
        <v/>
      </c>
      <c r="H372" s="16">
        <f>IF(A372="","",(1-Assumptions!$B$6-Assumptions!$B$7)^E372)</f>
        <v/>
      </c>
      <c r="I372" s="15">
        <f>IF(A372="","",G372*H372/(1+Assumptions!$B$4)^E372)</f>
        <v/>
      </c>
      <c r="J372" s="7">
        <f>IF(A372="","",C372&gt;=Assumptions!$B$10)</f>
        <v/>
      </c>
    </row>
    <row r="373">
      <c r="A373" s="12" t="n"/>
      <c r="B373" s="10" t="n"/>
      <c r="C373" s="13" t="n"/>
      <c r="D373" s="11" t="n"/>
      <c r="E373" s="14">
        <f>IF(A373="","",MAX(0,Assumptions!$B$8-B373))</f>
        <v/>
      </c>
      <c r="F373" s="15">
        <f>IF(A373="","",D373*(1+Assumptions!$B$5)^E373)</f>
        <v/>
      </c>
      <c r="G373" s="15">
        <f>IF(A373="","",MIN(Assumptions!$B$9,15/26*F373*C373))</f>
        <v/>
      </c>
      <c r="H373" s="16">
        <f>IF(A373="","",(1-Assumptions!$B$6-Assumptions!$B$7)^E373)</f>
        <v/>
      </c>
      <c r="I373" s="15">
        <f>IF(A373="","",G373*H373/(1+Assumptions!$B$4)^E373)</f>
        <v/>
      </c>
      <c r="J373" s="7">
        <f>IF(A373="","",C373&gt;=Assumptions!$B$10)</f>
        <v/>
      </c>
    </row>
    <row r="374">
      <c r="A374" s="12" t="n"/>
      <c r="B374" s="10" t="n"/>
      <c r="C374" s="13" t="n"/>
      <c r="D374" s="11" t="n"/>
      <c r="E374" s="14">
        <f>IF(A374="","",MAX(0,Assumptions!$B$8-B374))</f>
        <v/>
      </c>
      <c r="F374" s="15">
        <f>IF(A374="","",D374*(1+Assumptions!$B$5)^E374)</f>
        <v/>
      </c>
      <c r="G374" s="15">
        <f>IF(A374="","",MIN(Assumptions!$B$9,15/26*F374*C374))</f>
        <v/>
      </c>
      <c r="H374" s="16">
        <f>IF(A374="","",(1-Assumptions!$B$6-Assumptions!$B$7)^E374)</f>
        <v/>
      </c>
      <c r="I374" s="15">
        <f>IF(A374="","",G374*H374/(1+Assumptions!$B$4)^E374)</f>
        <v/>
      </c>
      <c r="J374" s="7">
        <f>IF(A374="","",C374&gt;=Assumptions!$B$10)</f>
        <v/>
      </c>
    </row>
    <row r="375">
      <c r="A375" s="12" t="n"/>
      <c r="B375" s="10" t="n"/>
      <c r="C375" s="13" t="n"/>
      <c r="D375" s="11" t="n"/>
      <c r="E375" s="14">
        <f>IF(A375="","",MAX(0,Assumptions!$B$8-B375))</f>
        <v/>
      </c>
      <c r="F375" s="15">
        <f>IF(A375="","",D375*(1+Assumptions!$B$5)^E375)</f>
        <v/>
      </c>
      <c r="G375" s="15">
        <f>IF(A375="","",MIN(Assumptions!$B$9,15/26*F375*C375))</f>
        <v/>
      </c>
      <c r="H375" s="16">
        <f>IF(A375="","",(1-Assumptions!$B$6-Assumptions!$B$7)^E375)</f>
        <v/>
      </c>
      <c r="I375" s="15">
        <f>IF(A375="","",G375*H375/(1+Assumptions!$B$4)^E375)</f>
        <v/>
      </c>
      <c r="J375" s="7">
        <f>IF(A375="","",C375&gt;=Assumptions!$B$10)</f>
        <v/>
      </c>
    </row>
    <row r="376">
      <c r="A376" s="12" t="n"/>
      <c r="B376" s="10" t="n"/>
      <c r="C376" s="13" t="n"/>
      <c r="D376" s="11" t="n"/>
      <c r="E376" s="14">
        <f>IF(A376="","",MAX(0,Assumptions!$B$8-B376))</f>
        <v/>
      </c>
      <c r="F376" s="15">
        <f>IF(A376="","",D376*(1+Assumptions!$B$5)^E376)</f>
        <v/>
      </c>
      <c r="G376" s="15">
        <f>IF(A376="","",MIN(Assumptions!$B$9,15/26*F376*C376))</f>
        <v/>
      </c>
      <c r="H376" s="16">
        <f>IF(A376="","",(1-Assumptions!$B$6-Assumptions!$B$7)^E376)</f>
        <v/>
      </c>
      <c r="I376" s="15">
        <f>IF(A376="","",G376*H376/(1+Assumptions!$B$4)^E376)</f>
        <v/>
      </c>
      <c r="J376" s="7">
        <f>IF(A376="","",C376&gt;=Assumptions!$B$10)</f>
        <v/>
      </c>
    </row>
    <row r="377">
      <c r="A377" s="12" t="n"/>
      <c r="B377" s="10" t="n"/>
      <c r="C377" s="13" t="n"/>
      <c r="D377" s="11" t="n"/>
      <c r="E377" s="14">
        <f>IF(A377="","",MAX(0,Assumptions!$B$8-B377))</f>
        <v/>
      </c>
      <c r="F377" s="15">
        <f>IF(A377="","",D377*(1+Assumptions!$B$5)^E377)</f>
        <v/>
      </c>
      <c r="G377" s="15">
        <f>IF(A377="","",MIN(Assumptions!$B$9,15/26*F377*C377))</f>
        <v/>
      </c>
      <c r="H377" s="16">
        <f>IF(A377="","",(1-Assumptions!$B$6-Assumptions!$B$7)^E377)</f>
        <v/>
      </c>
      <c r="I377" s="15">
        <f>IF(A377="","",G377*H377/(1+Assumptions!$B$4)^E377)</f>
        <v/>
      </c>
      <c r="J377" s="7">
        <f>IF(A377="","",C377&gt;=Assumptions!$B$10)</f>
        <v/>
      </c>
    </row>
    <row r="378">
      <c r="A378" s="12" t="n"/>
      <c r="B378" s="10" t="n"/>
      <c r="C378" s="13" t="n"/>
      <c r="D378" s="11" t="n"/>
      <c r="E378" s="14">
        <f>IF(A378="","",MAX(0,Assumptions!$B$8-B378))</f>
        <v/>
      </c>
      <c r="F378" s="15">
        <f>IF(A378="","",D378*(1+Assumptions!$B$5)^E378)</f>
        <v/>
      </c>
      <c r="G378" s="15">
        <f>IF(A378="","",MIN(Assumptions!$B$9,15/26*F378*C378))</f>
        <v/>
      </c>
      <c r="H378" s="16">
        <f>IF(A378="","",(1-Assumptions!$B$6-Assumptions!$B$7)^E378)</f>
        <v/>
      </c>
      <c r="I378" s="15">
        <f>IF(A378="","",G378*H378/(1+Assumptions!$B$4)^E378)</f>
        <v/>
      </c>
      <c r="J378" s="7">
        <f>IF(A378="","",C378&gt;=Assumptions!$B$10)</f>
        <v/>
      </c>
    </row>
    <row r="379">
      <c r="A379" s="12" t="n"/>
      <c r="B379" s="10" t="n"/>
      <c r="C379" s="13" t="n"/>
      <c r="D379" s="11" t="n"/>
      <c r="E379" s="14">
        <f>IF(A379="","",MAX(0,Assumptions!$B$8-B379))</f>
        <v/>
      </c>
      <c r="F379" s="15">
        <f>IF(A379="","",D379*(1+Assumptions!$B$5)^E379)</f>
        <v/>
      </c>
      <c r="G379" s="15">
        <f>IF(A379="","",MIN(Assumptions!$B$9,15/26*F379*C379))</f>
        <v/>
      </c>
      <c r="H379" s="16">
        <f>IF(A379="","",(1-Assumptions!$B$6-Assumptions!$B$7)^E379)</f>
        <v/>
      </c>
      <c r="I379" s="15">
        <f>IF(A379="","",G379*H379/(1+Assumptions!$B$4)^E379)</f>
        <v/>
      </c>
      <c r="J379" s="7">
        <f>IF(A379="","",C379&gt;=Assumptions!$B$10)</f>
        <v/>
      </c>
    </row>
    <row r="380">
      <c r="A380" s="12" t="n"/>
      <c r="B380" s="10" t="n"/>
      <c r="C380" s="13" t="n"/>
      <c r="D380" s="11" t="n"/>
      <c r="E380" s="14">
        <f>IF(A380="","",MAX(0,Assumptions!$B$8-B380))</f>
        <v/>
      </c>
      <c r="F380" s="15">
        <f>IF(A380="","",D380*(1+Assumptions!$B$5)^E380)</f>
        <v/>
      </c>
      <c r="G380" s="15">
        <f>IF(A380="","",MIN(Assumptions!$B$9,15/26*F380*C380))</f>
        <v/>
      </c>
      <c r="H380" s="16">
        <f>IF(A380="","",(1-Assumptions!$B$6-Assumptions!$B$7)^E380)</f>
        <v/>
      </c>
      <c r="I380" s="15">
        <f>IF(A380="","",G380*H380/(1+Assumptions!$B$4)^E380)</f>
        <v/>
      </c>
      <c r="J380" s="7">
        <f>IF(A380="","",C380&gt;=Assumptions!$B$10)</f>
        <v/>
      </c>
    </row>
    <row r="381">
      <c r="A381" s="12" t="n"/>
      <c r="B381" s="10" t="n"/>
      <c r="C381" s="13" t="n"/>
      <c r="D381" s="11" t="n"/>
      <c r="E381" s="14">
        <f>IF(A381="","",MAX(0,Assumptions!$B$8-B381))</f>
        <v/>
      </c>
      <c r="F381" s="15">
        <f>IF(A381="","",D381*(1+Assumptions!$B$5)^E381)</f>
        <v/>
      </c>
      <c r="G381" s="15">
        <f>IF(A381="","",MIN(Assumptions!$B$9,15/26*F381*C381))</f>
        <v/>
      </c>
      <c r="H381" s="16">
        <f>IF(A381="","",(1-Assumptions!$B$6-Assumptions!$B$7)^E381)</f>
        <v/>
      </c>
      <c r="I381" s="15">
        <f>IF(A381="","",G381*H381/(1+Assumptions!$B$4)^E381)</f>
        <v/>
      </c>
      <c r="J381" s="7">
        <f>IF(A381="","",C381&gt;=Assumptions!$B$10)</f>
        <v/>
      </c>
    </row>
    <row r="382">
      <c r="A382" s="12" t="n"/>
      <c r="B382" s="10" t="n"/>
      <c r="C382" s="13" t="n"/>
      <c r="D382" s="11" t="n"/>
      <c r="E382" s="14">
        <f>IF(A382="","",MAX(0,Assumptions!$B$8-B382))</f>
        <v/>
      </c>
      <c r="F382" s="15">
        <f>IF(A382="","",D382*(1+Assumptions!$B$5)^E382)</f>
        <v/>
      </c>
      <c r="G382" s="15">
        <f>IF(A382="","",MIN(Assumptions!$B$9,15/26*F382*C382))</f>
        <v/>
      </c>
      <c r="H382" s="16">
        <f>IF(A382="","",(1-Assumptions!$B$6-Assumptions!$B$7)^E382)</f>
        <v/>
      </c>
      <c r="I382" s="15">
        <f>IF(A382="","",G382*H382/(1+Assumptions!$B$4)^E382)</f>
        <v/>
      </c>
      <c r="J382" s="7">
        <f>IF(A382="","",C382&gt;=Assumptions!$B$10)</f>
        <v/>
      </c>
    </row>
    <row r="383">
      <c r="A383" s="12" t="n"/>
      <c r="B383" s="10" t="n"/>
      <c r="C383" s="13" t="n"/>
      <c r="D383" s="11" t="n"/>
      <c r="E383" s="14">
        <f>IF(A383="","",MAX(0,Assumptions!$B$8-B383))</f>
        <v/>
      </c>
      <c r="F383" s="15">
        <f>IF(A383="","",D383*(1+Assumptions!$B$5)^E383)</f>
        <v/>
      </c>
      <c r="G383" s="15">
        <f>IF(A383="","",MIN(Assumptions!$B$9,15/26*F383*C383))</f>
        <v/>
      </c>
      <c r="H383" s="16">
        <f>IF(A383="","",(1-Assumptions!$B$6-Assumptions!$B$7)^E383)</f>
        <v/>
      </c>
      <c r="I383" s="15">
        <f>IF(A383="","",G383*H383/(1+Assumptions!$B$4)^E383)</f>
        <v/>
      </c>
      <c r="J383" s="7">
        <f>IF(A383="","",C383&gt;=Assumptions!$B$10)</f>
        <v/>
      </c>
    </row>
    <row r="384">
      <c r="A384" s="12" t="n"/>
      <c r="B384" s="10" t="n"/>
      <c r="C384" s="13" t="n"/>
      <c r="D384" s="11" t="n"/>
      <c r="E384" s="14">
        <f>IF(A384="","",MAX(0,Assumptions!$B$8-B384))</f>
        <v/>
      </c>
      <c r="F384" s="15">
        <f>IF(A384="","",D384*(1+Assumptions!$B$5)^E384)</f>
        <v/>
      </c>
      <c r="G384" s="15">
        <f>IF(A384="","",MIN(Assumptions!$B$9,15/26*F384*C384))</f>
        <v/>
      </c>
      <c r="H384" s="16">
        <f>IF(A384="","",(1-Assumptions!$B$6-Assumptions!$B$7)^E384)</f>
        <v/>
      </c>
      <c r="I384" s="15">
        <f>IF(A384="","",G384*H384/(1+Assumptions!$B$4)^E384)</f>
        <v/>
      </c>
      <c r="J384" s="7">
        <f>IF(A384="","",C384&gt;=Assumptions!$B$10)</f>
        <v/>
      </c>
    </row>
    <row r="385">
      <c r="A385" s="12" t="n"/>
      <c r="B385" s="10" t="n"/>
      <c r="C385" s="13" t="n"/>
      <c r="D385" s="11" t="n"/>
      <c r="E385" s="14">
        <f>IF(A385="","",MAX(0,Assumptions!$B$8-B385))</f>
        <v/>
      </c>
      <c r="F385" s="15">
        <f>IF(A385="","",D385*(1+Assumptions!$B$5)^E385)</f>
        <v/>
      </c>
      <c r="G385" s="15">
        <f>IF(A385="","",MIN(Assumptions!$B$9,15/26*F385*C385))</f>
        <v/>
      </c>
      <c r="H385" s="16">
        <f>IF(A385="","",(1-Assumptions!$B$6-Assumptions!$B$7)^E385)</f>
        <v/>
      </c>
      <c r="I385" s="15">
        <f>IF(A385="","",G385*H385/(1+Assumptions!$B$4)^E385)</f>
        <v/>
      </c>
      <c r="J385" s="7">
        <f>IF(A385="","",C385&gt;=Assumptions!$B$10)</f>
        <v/>
      </c>
    </row>
    <row r="386">
      <c r="A386" s="12" t="n"/>
      <c r="B386" s="10" t="n"/>
      <c r="C386" s="13" t="n"/>
      <c r="D386" s="11" t="n"/>
      <c r="E386" s="14">
        <f>IF(A386="","",MAX(0,Assumptions!$B$8-B386))</f>
        <v/>
      </c>
      <c r="F386" s="15">
        <f>IF(A386="","",D386*(1+Assumptions!$B$5)^E386)</f>
        <v/>
      </c>
      <c r="G386" s="15">
        <f>IF(A386="","",MIN(Assumptions!$B$9,15/26*F386*C386))</f>
        <v/>
      </c>
      <c r="H386" s="16">
        <f>IF(A386="","",(1-Assumptions!$B$6-Assumptions!$B$7)^E386)</f>
        <v/>
      </c>
      <c r="I386" s="15">
        <f>IF(A386="","",G386*H386/(1+Assumptions!$B$4)^E386)</f>
        <v/>
      </c>
      <c r="J386" s="7">
        <f>IF(A386="","",C386&gt;=Assumptions!$B$10)</f>
        <v/>
      </c>
    </row>
    <row r="387">
      <c r="A387" s="12" t="n"/>
      <c r="B387" s="10" t="n"/>
      <c r="C387" s="13" t="n"/>
      <c r="D387" s="11" t="n"/>
      <c r="E387" s="14">
        <f>IF(A387="","",MAX(0,Assumptions!$B$8-B387))</f>
        <v/>
      </c>
      <c r="F387" s="15">
        <f>IF(A387="","",D387*(1+Assumptions!$B$5)^E387)</f>
        <v/>
      </c>
      <c r="G387" s="15">
        <f>IF(A387="","",MIN(Assumptions!$B$9,15/26*F387*C387))</f>
        <v/>
      </c>
      <c r="H387" s="16">
        <f>IF(A387="","",(1-Assumptions!$B$6-Assumptions!$B$7)^E387)</f>
        <v/>
      </c>
      <c r="I387" s="15">
        <f>IF(A387="","",G387*H387/(1+Assumptions!$B$4)^E387)</f>
        <v/>
      </c>
      <c r="J387" s="7">
        <f>IF(A387="","",C387&gt;=Assumptions!$B$10)</f>
        <v/>
      </c>
    </row>
    <row r="388">
      <c r="A388" s="12" t="n"/>
      <c r="B388" s="10" t="n"/>
      <c r="C388" s="13" t="n"/>
      <c r="D388" s="11" t="n"/>
      <c r="E388" s="14">
        <f>IF(A388="","",MAX(0,Assumptions!$B$8-B388))</f>
        <v/>
      </c>
      <c r="F388" s="15">
        <f>IF(A388="","",D388*(1+Assumptions!$B$5)^E388)</f>
        <v/>
      </c>
      <c r="G388" s="15">
        <f>IF(A388="","",MIN(Assumptions!$B$9,15/26*F388*C388))</f>
        <v/>
      </c>
      <c r="H388" s="16">
        <f>IF(A388="","",(1-Assumptions!$B$6-Assumptions!$B$7)^E388)</f>
        <v/>
      </c>
      <c r="I388" s="15">
        <f>IF(A388="","",G388*H388/(1+Assumptions!$B$4)^E388)</f>
        <v/>
      </c>
      <c r="J388" s="7">
        <f>IF(A388="","",C388&gt;=Assumptions!$B$10)</f>
        <v/>
      </c>
    </row>
    <row r="389">
      <c r="A389" s="12" t="n"/>
      <c r="B389" s="10" t="n"/>
      <c r="C389" s="13" t="n"/>
      <c r="D389" s="11" t="n"/>
      <c r="E389" s="14">
        <f>IF(A389="","",MAX(0,Assumptions!$B$8-B389))</f>
        <v/>
      </c>
      <c r="F389" s="15">
        <f>IF(A389="","",D389*(1+Assumptions!$B$5)^E389)</f>
        <v/>
      </c>
      <c r="G389" s="15">
        <f>IF(A389="","",MIN(Assumptions!$B$9,15/26*F389*C389))</f>
        <v/>
      </c>
      <c r="H389" s="16">
        <f>IF(A389="","",(1-Assumptions!$B$6-Assumptions!$B$7)^E389)</f>
        <v/>
      </c>
      <c r="I389" s="15">
        <f>IF(A389="","",G389*H389/(1+Assumptions!$B$4)^E389)</f>
        <v/>
      </c>
      <c r="J389" s="7">
        <f>IF(A389="","",C389&gt;=Assumptions!$B$10)</f>
        <v/>
      </c>
    </row>
    <row r="390">
      <c r="A390" s="12" t="n"/>
      <c r="B390" s="10" t="n"/>
      <c r="C390" s="13" t="n"/>
      <c r="D390" s="11" t="n"/>
      <c r="E390" s="14">
        <f>IF(A390="","",MAX(0,Assumptions!$B$8-B390))</f>
        <v/>
      </c>
      <c r="F390" s="15">
        <f>IF(A390="","",D390*(1+Assumptions!$B$5)^E390)</f>
        <v/>
      </c>
      <c r="G390" s="15">
        <f>IF(A390="","",MIN(Assumptions!$B$9,15/26*F390*C390))</f>
        <v/>
      </c>
      <c r="H390" s="16">
        <f>IF(A390="","",(1-Assumptions!$B$6-Assumptions!$B$7)^E390)</f>
        <v/>
      </c>
      <c r="I390" s="15">
        <f>IF(A390="","",G390*H390/(1+Assumptions!$B$4)^E390)</f>
        <v/>
      </c>
      <c r="J390" s="7">
        <f>IF(A390="","",C390&gt;=Assumptions!$B$10)</f>
        <v/>
      </c>
    </row>
    <row r="391">
      <c r="A391" s="12" t="n"/>
      <c r="B391" s="10" t="n"/>
      <c r="C391" s="13" t="n"/>
      <c r="D391" s="11" t="n"/>
      <c r="E391" s="14">
        <f>IF(A391="","",MAX(0,Assumptions!$B$8-B391))</f>
        <v/>
      </c>
      <c r="F391" s="15">
        <f>IF(A391="","",D391*(1+Assumptions!$B$5)^E391)</f>
        <v/>
      </c>
      <c r="G391" s="15">
        <f>IF(A391="","",MIN(Assumptions!$B$9,15/26*F391*C391))</f>
        <v/>
      </c>
      <c r="H391" s="16">
        <f>IF(A391="","",(1-Assumptions!$B$6-Assumptions!$B$7)^E391)</f>
        <v/>
      </c>
      <c r="I391" s="15">
        <f>IF(A391="","",G391*H391/(1+Assumptions!$B$4)^E391)</f>
        <v/>
      </c>
      <c r="J391" s="7">
        <f>IF(A391="","",C391&gt;=Assumptions!$B$10)</f>
        <v/>
      </c>
    </row>
    <row r="392">
      <c r="A392" s="12" t="n"/>
      <c r="B392" s="10" t="n"/>
      <c r="C392" s="13" t="n"/>
      <c r="D392" s="11" t="n"/>
      <c r="E392" s="14">
        <f>IF(A392="","",MAX(0,Assumptions!$B$8-B392))</f>
        <v/>
      </c>
      <c r="F392" s="15">
        <f>IF(A392="","",D392*(1+Assumptions!$B$5)^E392)</f>
        <v/>
      </c>
      <c r="G392" s="15">
        <f>IF(A392="","",MIN(Assumptions!$B$9,15/26*F392*C392))</f>
        <v/>
      </c>
      <c r="H392" s="16">
        <f>IF(A392="","",(1-Assumptions!$B$6-Assumptions!$B$7)^E392)</f>
        <v/>
      </c>
      <c r="I392" s="15">
        <f>IF(A392="","",G392*H392/(1+Assumptions!$B$4)^E392)</f>
        <v/>
      </c>
      <c r="J392" s="7">
        <f>IF(A392="","",C392&gt;=Assumptions!$B$10)</f>
        <v/>
      </c>
    </row>
    <row r="393">
      <c r="A393" s="12" t="n"/>
      <c r="B393" s="10" t="n"/>
      <c r="C393" s="13" t="n"/>
      <c r="D393" s="11" t="n"/>
      <c r="E393" s="14">
        <f>IF(A393="","",MAX(0,Assumptions!$B$8-B393))</f>
        <v/>
      </c>
      <c r="F393" s="15">
        <f>IF(A393="","",D393*(1+Assumptions!$B$5)^E393)</f>
        <v/>
      </c>
      <c r="G393" s="15">
        <f>IF(A393="","",MIN(Assumptions!$B$9,15/26*F393*C393))</f>
        <v/>
      </c>
      <c r="H393" s="16">
        <f>IF(A393="","",(1-Assumptions!$B$6-Assumptions!$B$7)^E393)</f>
        <v/>
      </c>
      <c r="I393" s="15">
        <f>IF(A393="","",G393*H393/(1+Assumptions!$B$4)^E393)</f>
        <v/>
      </c>
      <c r="J393" s="7">
        <f>IF(A393="","",C393&gt;=Assumptions!$B$10)</f>
        <v/>
      </c>
    </row>
    <row r="394">
      <c r="A394" s="12" t="n"/>
      <c r="B394" s="10" t="n"/>
      <c r="C394" s="13" t="n"/>
      <c r="D394" s="11" t="n"/>
      <c r="E394" s="14">
        <f>IF(A394="","",MAX(0,Assumptions!$B$8-B394))</f>
        <v/>
      </c>
      <c r="F394" s="15">
        <f>IF(A394="","",D394*(1+Assumptions!$B$5)^E394)</f>
        <v/>
      </c>
      <c r="G394" s="15">
        <f>IF(A394="","",MIN(Assumptions!$B$9,15/26*F394*C394))</f>
        <v/>
      </c>
      <c r="H394" s="16">
        <f>IF(A394="","",(1-Assumptions!$B$6-Assumptions!$B$7)^E394)</f>
        <v/>
      </c>
      <c r="I394" s="15">
        <f>IF(A394="","",G394*H394/(1+Assumptions!$B$4)^E394)</f>
        <v/>
      </c>
      <c r="J394" s="7">
        <f>IF(A394="","",C394&gt;=Assumptions!$B$10)</f>
        <v/>
      </c>
    </row>
    <row r="395">
      <c r="A395" s="12" t="n"/>
      <c r="B395" s="10" t="n"/>
      <c r="C395" s="13" t="n"/>
      <c r="D395" s="11" t="n"/>
      <c r="E395" s="14">
        <f>IF(A395="","",MAX(0,Assumptions!$B$8-B395))</f>
        <v/>
      </c>
      <c r="F395" s="15">
        <f>IF(A395="","",D395*(1+Assumptions!$B$5)^E395)</f>
        <v/>
      </c>
      <c r="G395" s="15">
        <f>IF(A395="","",MIN(Assumptions!$B$9,15/26*F395*C395))</f>
        <v/>
      </c>
      <c r="H395" s="16">
        <f>IF(A395="","",(1-Assumptions!$B$6-Assumptions!$B$7)^E395)</f>
        <v/>
      </c>
      <c r="I395" s="15">
        <f>IF(A395="","",G395*H395/(1+Assumptions!$B$4)^E395)</f>
        <v/>
      </c>
      <c r="J395" s="7">
        <f>IF(A395="","",C395&gt;=Assumptions!$B$10)</f>
        <v/>
      </c>
    </row>
    <row r="396">
      <c r="A396" s="12" t="n"/>
      <c r="B396" s="10" t="n"/>
      <c r="C396" s="13" t="n"/>
      <c r="D396" s="11" t="n"/>
      <c r="E396" s="14">
        <f>IF(A396="","",MAX(0,Assumptions!$B$8-B396))</f>
        <v/>
      </c>
      <c r="F396" s="15">
        <f>IF(A396="","",D396*(1+Assumptions!$B$5)^E396)</f>
        <v/>
      </c>
      <c r="G396" s="15">
        <f>IF(A396="","",MIN(Assumptions!$B$9,15/26*F396*C396))</f>
        <v/>
      </c>
      <c r="H396" s="16">
        <f>IF(A396="","",(1-Assumptions!$B$6-Assumptions!$B$7)^E396)</f>
        <v/>
      </c>
      <c r="I396" s="15">
        <f>IF(A396="","",G396*H396/(1+Assumptions!$B$4)^E396)</f>
        <v/>
      </c>
      <c r="J396" s="7">
        <f>IF(A396="","",C396&gt;=Assumptions!$B$10)</f>
        <v/>
      </c>
    </row>
    <row r="397">
      <c r="A397" s="12" t="n"/>
      <c r="B397" s="10" t="n"/>
      <c r="C397" s="13" t="n"/>
      <c r="D397" s="11" t="n"/>
      <c r="E397" s="14">
        <f>IF(A397="","",MAX(0,Assumptions!$B$8-B397))</f>
        <v/>
      </c>
      <c r="F397" s="15">
        <f>IF(A397="","",D397*(1+Assumptions!$B$5)^E397)</f>
        <v/>
      </c>
      <c r="G397" s="15">
        <f>IF(A397="","",MIN(Assumptions!$B$9,15/26*F397*C397))</f>
        <v/>
      </c>
      <c r="H397" s="16">
        <f>IF(A397="","",(1-Assumptions!$B$6-Assumptions!$B$7)^E397)</f>
        <v/>
      </c>
      <c r="I397" s="15">
        <f>IF(A397="","",G397*H397/(1+Assumptions!$B$4)^E397)</f>
        <v/>
      </c>
      <c r="J397" s="7">
        <f>IF(A397="","",C397&gt;=Assumptions!$B$10)</f>
        <v/>
      </c>
    </row>
    <row r="398">
      <c r="A398" s="12" t="n"/>
      <c r="B398" s="10" t="n"/>
      <c r="C398" s="13" t="n"/>
      <c r="D398" s="11" t="n"/>
      <c r="E398" s="14">
        <f>IF(A398="","",MAX(0,Assumptions!$B$8-B398))</f>
        <v/>
      </c>
      <c r="F398" s="15">
        <f>IF(A398="","",D398*(1+Assumptions!$B$5)^E398)</f>
        <v/>
      </c>
      <c r="G398" s="15">
        <f>IF(A398="","",MIN(Assumptions!$B$9,15/26*F398*C398))</f>
        <v/>
      </c>
      <c r="H398" s="16">
        <f>IF(A398="","",(1-Assumptions!$B$6-Assumptions!$B$7)^E398)</f>
        <v/>
      </c>
      <c r="I398" s="15">
        <f>IF(A398="","",G398*H398/(1+Assumptions!$B$4)^E398)</f>
        <v/>
      </c>
      <c r="J398" s="7">
        <f>IF(A398="","",C398&gt;=Assumptions!$B$10)</f>
        <v/>
      </c>
    </row>
    <row r="399">
      <c r="A399" s="12" t="n"/>
      <c r="B399" s="10" t="n"/>
      <c r="C399" s="13" t="n"/>
      <c r="D399" s="11" t="n"/>
      <c r="E399" s="14">
        <f>IF(A399="","",MAX(0,Assumptions!$B$8-B399))</f>
        <v/>
      </c>
      <c r="F399" s="15">
        <f>IF(A399="","",D399*(1+Assumptions!$B$5)^E399)</f>
        <v/>
      </c>
      <c r="G399" s="15">
        <f>IF(A399="","",MIN(Assumptions!$B$9,15/26*F399*C399))</f>
        <v/>
      </c>
      <c r="H399" s="16">
        <f>IF(A399="","",(1-Assumptions!$B$6-Assumptions!$B$7)^E399)</f>
        <v/>
      </c>
      <c r="I399" s="15">
        <f>IF(A399="","",G399*H399/(1+Assumptions!$B$4)^E399)</f>
        <v/>
      </c>
      <c r="J399" s="7">
        <f>IF(A399="","",C399&gt;=Assumptions!$B$10)</f>
        <v/>
      </c>
    </row>
    <row r="400">
      <c r="A400" s="12" t="n"/>
      <c r="B400" s="10" t="n"/>
      <c r="C400" s="13" t="n"/>
      <c r="D400" s="11" t="n"/>
      <c r="E400" s="14">
        <f>IF(A400="","",MAX(0,Assumptions!$B$8-B400))</f>
        <v/>
      </c>
      <c r="F400" s="15">
        <f>IF(A400="","",D400*(1+Assumptions!$B$5)^E400)</f>
        <v/>
      </c>
      <c r="G400" s="15">
        <f>IF(A400="","",MIN(Assumptions!$B$9,15/26*F400*C400))</f>
        <v/>
      </c>
      <c r="H400" s="16">
        <f>IF(A400="","",(1-Assumptions!$B$6-Assumptions!$B$7)^E400)</f>
        <v/>
      </c>
      <c r="I400" s="15">
        <f>IF(A400="","",G400*H400/(1+Assumptions!$B$4)^E400)</f>
        <v/>
      </c>
      <c r="J400" s="7">
        <f>IF(A400="","",C400&gt;=Assumptions!$B$10)</f>
        <v/>
      </c>
    </row>
    <row r="401">
      <c r="A401" s="12" t="n"/>
      <c r="B401" s="10" t="n"/>
      <c r="C401" s="13" t="n"/>
      <c r="D401" s="11" t="n"/>
      <c r="E401" s="14">
        <f>IF(A401="","",MAX(0,Assumptions!$B$8-B401))</f>
        <v/>
      </c>
      <c r="F401" s="15">
        <f>IF(A401="","",D401*(1+Assumptions!$B$5)^E401)</f>
        <v/>
      </c>
      <c r="G401" s="15">
        <f>IF(A401="","",MIN(Assumptions!$B$9,15/26*F401*C401))</f>
        <v/>
      </c>
      <c r="H401" s="16">
        <f>IF(A401="","",(1-Assumptions!$B$6-Assumptions!$B$7)^E401)</f>
        <v/>
      </c>
      <c r="I401" s="15">
        <f>IF(A401="","",G401*H401/(1+Assumptions!$B$4)^E401)</f>
        <v/>
      </c>
      <c r="J401" s="7">
        <f>IF(A401="","",C401&gt;=Assumptions!$B$10)</f>
        <v/>
      </c>
    </row>
    <row r="402">
      <c r="A402" s="12" t="n"/>
      <c r="B402" s="10" t="n"/>
      <c r="C402" s="13" t="n"/>
      <c r="D402" s="11" t="n"/>
      <c r="E402" s="14">
        <f>IF(A402="","",MAX(0,Assumptions!$B$8-B402))</f>
        <v/>
      </c>
      <c r="F402" s="15">
        <f>IF(A402="","",D402*(1+Assumptions!$B$5)^E402)</f>
        <v/>
      </c>
      <c r="G402" s="15">
        <f>IF(A402="","",MIN(Assumptions!$B$9,15/26*F402*C402))</f>
        <v/>
      </c>
      <c r="H402" s="16">
        <f>IF(A402="","",(1-Assumptions!$B$6-Assumptions!$B$7)^E402)</f>
        <v/>
      </c>
      <c r="I402" s="15">
        <f>IF(A402="","",G402*H402/(1+Assumptions!$B$4)^E402)</f>
        <v/>
      </c>
      <c r="J402" s="7">
        <f>IF(A402="","",C402&gt;=Assumptions!$B$10)</f>
        <v/>
      </c>
    </row>
    <row r="403">
      <c r="A403" s="12" t="n"/>
      <c r="B403" s="10" t="n"/>
      <c r="C403" s="13" t="n"/>
      <c r="D403" s="11" t="n"/>
      <c r="E403" s="14">
        <f>IF(A403="","",MAX(0,Assumptions!$B$8-B403))</f>
        <v/>
      </c>
      <c r="F403" s="15">
        <f>IF(A403="","",D403*(1+Assumptions!$B$5)^E403)</f>
        <v/>
      </c>
      <c r="G403" s="15">
        <f>IF(A403="","",MIN(Assumptions!$B$9,15/26*F403*C403))</f>
        <v/>
      </c>
      <c r="H403" s="16">
        <f>IF(A403="","",(1-Assumptions!$B$6-Assumptions!$B$7)^E403)</f>
        <v/>
      </c>
      <c r="I403" s="15">
        <f>IF(A403="","",G403*H403/(1+Assumptions!$B$4)^E403)</f>
        <v/>
      </c>
      <c r="J403" s="7">
        <f>IF(A403="","",C403&gt;=Assumptions!$B$10)</f>
        <v/>
      </c>
    </row>
    <row r="404">
      <c r="A404" s="12" t="n"/>
      <c r="B404" s="10" t="n"/>
      <c r="C404" s="13" t="n"/>
      <c r="D404" s="11" t="n"/>
      <c r="E404" s="14">
        <f>IF(A404="","",MAX(0,Assumptions!$B$8-B404))</f>
        <v/>
      </c>
      <c r="F404" s="15">
        <f>IF(A404="","",D404*(1+Assumptions!$B$5)^E404)</f>
        <v/>
      </c>
      <c r="G404" s="15">
        <f>IF(A404="","",MIN(Assumptions!$B$9,15/26*F404*C404))</f>
        <v/>
      </c>
      <c r="H404" s="16">
        <f>IF(A404="","",(1-Assumptions!$B$6-Assumptions!$B$7)^E404)</f>
        <v/>
      </c>
      <c r="I404" s="15">
        <f>IF(A404="","",G404*H404/(1+Assumptions!$B$4)^E404)</f>
        <v/>
      </c>
      <c r="J404" s="7">
        <f>IF(A404="","",C404&gt;=Assumptions!$B$10)</f>
        <v/>
      </c>
    </row>
    <row r="405">
      <c r="A405" s="12" t="n"/>
      <c r="B405" s="10" t="n"/>
      <c r="C405" s="13" t="n"/>
      <c r="D405" s="11" t="n"/>
      <c r="E405" s="14">
        <f>IF(A405="","",MAX(0,Assumptions!$B$8-B405))</f>
        <v/>
      </c>
      <c r="F405" s="15">
        <f>IF(A405="","",D405*(1+Assumptions!$B$5)^E405)</f>
        <v/>
      </c>
      <c r="G405" s="15">
        <f>IF(A405="","",MIN(Assumptions!$B$9,15/26*F405*C405))</f>
        <v/>
      </c>
      <c r="H405" s="16">
        <f>IF(A405="","",(1-Assumptions!$B$6-Assumptions!$B$7)^E405)</f>
        <v/>
      </c>
      <c r="I405" s="15">
        <f>IF(A405="","",G405*H405/(1+Assumptions!$B$4)^E405)</f>
        <v/>
      </c>
      <c r="J405" s="7">
        <f>IF(A405="","",C405&gt;=Assumptions!$B$10)</f>
        <v/>
      </c>
    </row>
    <row r="406">
      <c r="A406" s="12" t="n"/>
      <c r="B406" s="10" t="n"/>
      <c r="C406" s="13" t="n"/>
      <c r="D406" s="11" t="n"/>
      <c r="E406" s="14">
        <f>IF(A406="","",MAX(0,Assumptions!$B$8-B406))</f>
        <v/>
      </c>
      <c r="F406" s="15">
        <f>IF(A406="","",D406*(1+Assumptions!$B$5)^E406)</f>
        <v/>
      </c>
      <c r="G406" s="15">
        <f>IF(A406="","",MIN(Assumptions!$B$9,15/26*F406*C406))</f>
        <v/>
      </c>
      <c r="H406" s="16">
        <f>IF(A406="","",(1-Assumptions!$B$6-Assumptions!$B$7)^E406)</f>
        <v/>
      </c>
      <c r="I406" s="15">
        <f>IF(A406="","",G406*H406/(1+Assumptions!$B$4)^E406)</f>
        <v/>
      </c>
      <c r="J406" s="7">
        <f>IF(A406="","",C406&gt;=Assumptions!$B$10)</f>
        <v/>
      </c>
    </row>
    <row r="407">
      <c r="A407" s="12" t="n"/>
      <c r="B407" s="10" t="n"/>
      <c r="C407" s="13" t="n"/>
      <c r="D407" s="11" t="n"/>
      <c r="E407" s="14">
        <f>IF(A407="","",MAX(0,Assumptions!$B$8-B407))</f>
        <v/>
      </c>
      <c r="F407" s="15">
        <f>IF(A407="","",D407*(1+Assumptions!$B$5)^E407)</f>
        <v/>
      </c>
      <c r="G407" s="15">
        <f>IF(A407="","",MIN(Assumptions!$B$9,15/26*F407*C407))</f>
        <v/>
      </c>
      <c r="H407" s="16">
        <f>IF(A407="","",(1-Assumptions!$B$6-Assumptions!$B$7)^E407)</f>
        <v/>
      </c>
      <c r="I407" s="15">
        <f>IF(A407="","",G407*H407/(1+Assumptions!$B$4)^E407)</f>
        <v/>
      </c>
      <c r="J407" s="7">
        <f>IF(A407="","",C407&gt;=Assumptions!$B$10)</f>
        <v/>
      </c>
    </row>
    <row r="408">
      <c r="A408" s="12" t="n"/>
      <c r="B408" s="10" t="n"/>
      <c r="C408" s="13" t="n"/>
      <c r="D408" s="11" t="n"/>
      <c r="E408" s="14">
        <f>IF(A408="","",MAX(0,Assumptions!$B$8-B408))</f>
        <v/>
      </c>
      <c r="F408" s="15">
        <f>IF(A408="","",D408*(1+Assumptions!$B$5)^E408)</f>
        <v/>
      </c>
      <c r="G408" s="15">
        <f>IF(A408="","",MIN(Assumptions!$B$9,15/26*F408*C408))</f>
        <v/>
      </c>
      <c r="H408" s="16">
        <f>IF(A408="","",(1-Assumptions!$B$6-Assumptions!$B$7)^E408)</f>
        <v/>
      </c>
      <c r="I408" s="15">
        <f>IF(A408="","",G408*H408/(1+Assumptions!$B$4)^E408)</f>
        <v/>
      </c>
      <c r="J408" s="7">
        <f>IF(A408="","",C408&gt;=Assumptions!$B$10)</f>
        <v/>
      </c>
    </row>
    <row r="409">
      <c r="A409" s="12" t="n"/>
      <c r="B409" s="10" t="n"/>
      <c r="C409" s="13" t="n"/>
      <c r="D409" s="11" t="n"/>
      <c r="E409" s="14">
        <f>IF(A409="","",MAX(0,Assumptions!$B$8-B409))</f>
        <v/>
      </c>
      <c r="F409" s="15">
        <f>IF(A409="","",D409*(1+Assumptions!$B$5)^E409)</f>
        <v/>
      </c>
      <c r="G409" s="15">
        <f>IF(A409="","",MIN(Assumptions!$B$9,15/26*F409*C409))</f>
        <v/>
      </c>
      <c r="H409" s="16">
        <f>IF(A409="","",(1-Assumptions!$B$6-Assumptions!$B$7)^E409)</f>
        <v/>
      </c>
      <c r="I409" s="15">
        <f>IF(A409="","",G409*H409/(1+Assumptions!$B$4)^E409)</f>
        <v/>
      </c>
      <c r="J409" s="7">
        <f>IF(A409="","",C409&gt;=Assumptions!$B$10)</f>
        <v/>
      </c>
    </row>
    <row r="410">
      <c r="A410" s="12" t="n"/>
      <c r="B410" s="10" t="n"/>
      <c r="C410" s="13" t="n"/>
      <c r="D410" s="11" t="n"/>
      <c r="E410" s="14">
        <f>IF(A410="","",MAX(0,Assumptions!$B$8-B410))</f>
        <v/>
      </c>
      <c r="F410" s="15">
        <f>IF(A410="","",D410*(1+Assumptions!$B$5)^E410)</f>
        <v/>
      </c>
      <c r="G410" s="15">
        <f>IF(A410="","",MIN(Assumptions!$B$9,15/26*F410*C410))</f>
        <v/>
      </c>
      <c r="H410" s="16">
        <f>IF(A410="","",(1-Assumptions!$B$6-Assumptions!$B$7)^E410)</f>
        <v/>
      </c>
      <c r="I410" s="15">
        <f>IF(A410="","",G410*H410/(1+Assumptions!$B$4)^E410)</f>
        <v/>
      </c>
      <c r="J410" s="7">
        <f>IF(A410="","",C410&gt;=Assumptions!$B$10)</f>
        <v/>
      </c>
    </row>
    <row r="411">
      <c r="A411" s="12" t="n"/>
      <c r="B411" s="10" t="n"/>
      <c r="C411" s="13" t="n"/>
      <c r="D411" s="11" t="n"/>
      <c r="E411" s="14">
        <f>IF(A411="","",MAX(0,Assumptions!$B$8-B411))</f>
        <v/>
      </c>
      <c r="F411" s="15">
        <f>IF(A411="","",D411*(1+Assumptions!$B$5)^E411)</f>
        <v/>
      </c>
      <c r="G411" s="15">
        <f>IF(A411="","",MIN(Assumptions!$B$9,15/26*F411*C411))</f>
        <v/>
      </c>
      <c r="H411" s="16">
        <f>IF(A411="","",(1-Assumptions!$B$6-Assumptions!$B$7)^E411)</f>
        <v/>
      </c>
      <c r="I411" s="15">
        <f>IF(A411="","",G411*H411/(1+Assumptions!$B$4)^E411)</f>
        <v/>
      </c>
      <c r="J411" s="7">
        <f>IF(A411="","",C411&gt;=Assumptions!$B$10)</f>
        <v/>
      </c>
    </row>
    <row r="412">
      <c r="A412" s="12" t="n"/>
      <c r="B412" s="10" t="n"/>
      <c r="C412" s="13" t="n"/>
      <c r="D412" s="11" t="n"/>
      <c r="E412" s="14">
        <f>IF(A412="","",MAX(0,Assumptions!$B$8-B412))</f>
        <v/>
      </c>
      <c r="F412" s="15">
        <f>IF(A412="","",D412*(1+Assumptions!$B$5)^E412)</f>
        <v/>
      </c>
      <c r="G412" s="15">
        <f>IF(A412="","",MIN(Assumptions!$B$9,15/26*F412*C412))</f>
        <v/>
      </c>
      <c r="H412" s="16">
        <f>IF(A412="","",(1-Assumptions!$B$6-Assumptions!$B$7)^E412)</f>
        <v/>
      </c>
      <c r="I412" s="15">
        <f>IF(A412="","",G412*H412/(1+Assumptions!$B$4)^E412)</f>
        <v/>
      </c>
      <c r="J412" s="7">
        <f>IF(A412="","",C412&gt;=Assumptions!$B$10)</f>
        <v/>
      </c>
    </row>
    <row r="413">
      <c r="A413" s="12" t="n"/>
      <c r="B413" s="10" t="n"/>
      <c r="C413" s="13" t="n"/>
      <c r="D413" s="11" t="n"/>
      <c r="E413" s="14">
        <f>IF(A413="","",MAX(0,Assumptions!$B$8-B413))</f>
        <v/>
      </c>
      <c r="F413" s="15">
        <f>IF(A413="","",D413*(1+Assumptions!$B$5)^E413)</f>
        <v/>
      </c>
      <c r="G413" s="15">
        <f>IF(A413="","",MIN(Assumptions!$B$9,15/26*F413*C413))</f>
        <v/>
      </c>
      <c r="H413" s="16">
        <f>IF(A413="","",(1-Assumptions!$B$6-Assumptions!$B$7)^E413)</f>
        <v/>
      </c>
      <c r="I413" s="15">
        <f>IF(A413="","",G413*H413/(1+Assumptions!$B$4)^E413)</f>
        <v/>
      </c>
      <c r="J413" s="7">
        <f>IF(A413="","",C413&gt;=Assumptions!$B$10)</f>
        <v/>
      </c>
    </row>
    <row r="414">
      <c r="A414" s="12" t="n"/>
      <c r="B414" s="10" t="n"/>
      <c r="C414" s="13" t="n"/>
      <c r="D414" s="11" t="n"/>
      <c r="E414" s="14">
        <f>IF(A414="","",MAX(0,Assumptions!$B$8-B414))</f>
        <v/>
      </c>
      <c r="F414" s="15">
        <f>IF(A414="","",D414*(1+Assumptions!$B$5)^E414)</f>
        <v/>
      </c>
      <c r="G414" s="15">
        <f>IF(A414="","",MIN(Assumptions!$B$9,15/26*F414*C414))</f>
        <v/>
      </c>
      <c r="H414" s="16">
        <f>IF(A414="","",(1-Assumptions!$B$6-Assumptions!$B$7)^E414)</f>
        <v/>
      </c>
      <c r="I414" s="15">
        <f>IF(A414="","",G414*H414/(1+Assumptions!$B$4)^E414)</f>
        <v/>
      </c>
      <c r="J414" s="7">
        <f>IF(A414="","",C414&gt;=Assumptions!$B$10)</f>
        <v/>
      </c>
    </row>
    <row r="415">
      <c r="A415" s="12" t="n"/>
      <c r="B415" s="10" t="n"/>
      <c r="C415" s="13" t="n"/>
      <c r="D415" s="11" t="n"/>
      <c r="E415" s="14">
        <f>IF(A415="","",MAX(0,Assumptions!$B$8-B415))</f>
        <v/>
      </c>
      <c r="F415" s="15">
        <f>IF(A415="","",D415*(1+Assumptions!$B$5)^E415)</f>
        <v/>
      </c>
      <c r="G415" s="15">
        <f>IF(A415="","",MIN(Assumptions!$B$9,15/26*F415*C415))</f>
        <v/>
      </c>
      <c r="H415" s="16">
        <f>IF(A415="","",(1-Assumptions!$B$6-Assumptions!$B$7)^E415)</f>
        <v/>
      </c>
      <c r="I415" s="15">
        <f>IF(A415="","",G415*H415/(1+Assumptions!$B$4)^E415)</f>
        <v/>
      </c>
      <c r="J415" s="7">
        <f>IF(A415="","",C415&gt;=Assumptions!$B$10)</f>
        <v/>
      </c>
    </row>
    <row r="416">
      <c r="A416" s="12" t="n"/>
      <c r="B416" s="10" t="n"/>
      <c r="C416" s="13" t="n"/>
      <c r="D416" s="11" t="n"/>
      <c r="E416" s="14">
        <f>IF(A416="","",MAX(0,Assumptions!$B$8-B416))</f>
        <v/>
      </c>
      <c r="F416" s="15">
        <f>IF(A416="","",D416*(1+Assumptions!$B$5)^E416)</f>
        <v/>
      </c>
      <c r="G416" s="15">
        <f>IF(A416="","",MIN(Assumptions!$B$9,15/26*F416*C416))</f>
        <v/>
      </c>
      <c r="H416" s="16">
        <f>IF(A416="","",(1-Assumptions!$B$6-Assumptions!$B$7)^E416)</f>
        <v/>
      </c>
      <c r="I416" s="15">
        <f>IF(A416="","",G416*H416/(1+Assumptions!$B$4)^E416)</f>
        <v/>
      </c>
      <c r="J416" s="7">
        <f>IF(A416="","",C416&gt;=Assumptions!$B$10)</f>
        <v/>
      </c>
    </row>
    <row r="417">
      <c r="A417" s="12" t="n"/>
      <c r="B417" s="10" t="n"/>
      <c r="C417" s="13" t="n"/>
      <c r="D417" s="11" t="n"/>
      <c r="E417" s="14">
        <f>IF(A417="","",MAX(0,Assumptions!$B$8-B417))</f>
        <v/>
      </c>
      <c r="F417" s="15">
        <f>IF(A417="","",D417*(1+Assumptions!$B$5)^E417)</f>
        <v/>
      </c>
      <c r="G417" s="15">
        <f>IF(A417="","",MIN(Assumptions!$B$9,15/26*F417*C417))</f>
        <v/>
      </c>
      <c r="H417" s="16">
        <f>IF(A417="","",(1-Assumptions!$B$6-Assumptions!$B$7)^E417)</f>
        <v/>
      </c>
      <c r="I417" s="15">
        <f>IF(A417="","",G417*H417/(1+Assumptions!$B$4)^E417)</f>
        <v/>
      </c>
      <c r="J417" s="7">
        <f>IF(A417="","",C417&gt;=Assumptions!$B$10)</f>
        <v/>
      </c>
    </row>
    <row r="418">
      <c r="A418" s="12" t="n"/>
      <c r="B418" s="10" t="n"/>
      <c r="C418" s="13" t="n"/>
      <c r="D418" s="11" t="n"/>
      <c r="E418" s="14">
        <f>IF(A418="","",MAX(0,Assumptions!$B$8-B418))</f>
        <v/>
      </c>
      <c r="F418" s="15">
        <f>IF(A418="","",D418*(1+Assumptions!$B$5)^E418)</f>
        <v/>
      </c>
      <c r="G418" s="15">
        <f>IF(A418="","",MIN(Assumptions!$B$9,15/26*F418*C418))</f>
        <v/>
      </c>
      <c r="H418" s="16">
        <f>IF(A418="","",(1-Assumptions!$B$6-Assumptions!$B$7)^E418)</f>
        <v/>
      </c>
      <c r="I418" s="15">
        <f>IF(A418="","",G418*H418/(1+Assumptions!$B$4)^E418)</f>
        <v/>
      </c>
      <c r="J418" s="7">
        <f>IF(A418="","",C418&gt;=Assumptions!$B$10)</f>
        <v/>
      </c>
    </row>
    <row r="419">
      <c r="A419" s="12" t="n"/>
      <c r="B419" s="10" t="n"/>
      <c r="C419" s="13" t="n"/>
      <c r="D419" s="11" t="n"/>
      <c r="E419" s="14">
        <f>IF(A419="","",MAX(0,Assumptions!$B$8-B419))</f>
        <v/>
      </c>
      <c r="F419" s="15">
        <f>IF(A419="","",D419*(1+Assumptions!$B$5)^E419)</f>
        <v/>
      </c>
      <c r="G419" s="15">
        <f>IF(A419="","",MIN(Assumptions!$B$9,15/26*F419*C419))</f>
        <v/>
      </c>
      <c r="H419" s="16">
        <f>IF(A419="","",(1-Assumptions!$B$6-Assumptions!$B$7)^E419)</f>
        <v/>
      </c>
      <c r="I419" s="15">
        <f>IF(A419="","",G419*H419/(1+Assumptions!$B$4)^E419)</f>
        <v/>
      </c>
      <c r="J419" s="7">
        <f>IF(A419="","",C419&gt;=Assumptions!$B$10)</f>
        <v/>
      </c>
    </row>
    <row r="420">
      <c r="A420" s="12" t="n"/>
      <c r="B420" s="10" t="n"/>
      <c r="C420" s="13" t="n"/>
      <c r="D420" s="11" t="n"/>
      <c r="E420" s="14">
        <f>IF(A420="","",MAX(0,Assumptions!$B$8-B420))</f>
        <v/>
      </c>
      <c r="F420" s="15">
        <f>IF(A420="","",D420*(1+Assumptions!$B$5)^E420)</f>
        <v/>
      </c>
      <c r="G420" s="15">
        <f>IF(A420="","",MIN(Assumptions!$B$9,15/26*F420*C420))</f>
        <v/>
      </c>
      <c r="H420" s="16">
        <f>IF(A420="","",(1-Assumptions!$B$6-Assumptions!$B$7)^E420)</f>
        <v/>
      </c>
      <c r="I420" s="15">
        <f>IF(A420="","",G420*H420/(1+Assumptions!$B$4)^E420)</f>
        <v/>
      </c>
      <c r="J420" s="7">
        <f>IF(A420="","",C420&gt;=Assumptions!$B$10)</f>
        <v/>
      </c>
    </row>
    <row r="421">
      <c r="A421" s="12" t="n"/>
      <c r="B421" s="10" t="n"/>
      <c r="C421" s="13" t="n"/>
      <c r="D421" s="11" t="n"/>
      <c r="E421" s="14">
        <f>IF(A421="","",MAX(0,Assumptions!$B$8-B421))</f>
        <v/>
      </c>
      <c r="F421" s="15">
        <f>IF(A421="","",D421*(1+Assumptions!$B$5)^E421)</f>
        <v/>
      </c>
      <c r="G421" s="15">
        <f>IF(A421="","",MIN(Assumptions!$B$9,15/26*F421*C421))</f>
        <v/>
      </c>
      <c r="H421" s="16">
        <f>IF(A421="","",(1-Assumptions!$B$6-Assumptions!$B$7)^E421)</f>
        <v/>
      </c>
      <c r="I421" s="15">
        <f>IF(A421="","",G421*H421/(1+Assumptions!$B$4)^E421)</f>
        <v/>
      </c>
      <c r="J421" s="7">
        <f>IF(A421="","",C421&gt;=Assumptions!$B$10)</f>
        <v/>
      </c>
    </row>
    <row r="422">
      <c r="A422" s="12" t="n"/>
      <c r="B422" s="10" t="n"/>
      <c r="C422" s="13" t="n"/>
      <c r="D422" s="11" t="n"/>
      <c r="E422" s="14">
        <f>IF(A422="","",MAX(0,Assumptions!$B$8-B422))</f>
        <v/>
      </c>
      <c r="F422" s="15">
        <f>IF(A422="","",D422*(1+Assumptions!$B$5)^E422)</f>
        <v/>
      </c>
      <c r="G422" s="15">
        <f>IF(A422="","",MIN(Assumptions!$B$9,15/26*F422*C422))</f>
        <v/>
      </c>
      <c r="H422" s="16">
        <f>IF(A422="","",(1-Assumptions!$B$6-Assumptions!$B$7)^E422)</f>
        <v/>
      </c>
      <c r="I422" s="15">
        <f>IF(A422="","",G422*H422/(1+Assumptions!$B$4)^E422)</f>
        <v/>
      </c>
      <c r="J422" s="7">
        <f>IF(A422="","",C422&gt;=Assumptions!$B$10)</f>
        <v/>
      </c>
    </row>
    <row r="423">
      <c r="A423" s="12" t="n"/>
      <c r="B423" s="10" t="n"/>
      <c r="C423" s="13" t="n"/>
      <c r="D423" s="11" t="n"/>
      <c r="E423" s="14">
        <f>IF(A423="","",MAX(0,Assumptions!$B$8-B423))</f>
        <v/>
      </c>
      <c r="F423" s="15">
        <f>IF(A423="","",D423*(1+Assumptions!$B$5)^E423)</f>
        <v/>
      </c>
      <c r="G423" s="15">
        <f>IF(A423="","",MIN(Assumptions!$B$9,15/26*F423*C423))</f>
        <v/>
      </c>
      <c r="H423" s="16">
        <f>IF(A423="","",(1-Assumptions!$B$6-Assumptions!$B$7)^E423)</f>
        <v/>
      </c>
      <c r="I423" s="15">
        <f>IF(A423="","",G423*H423/(1+Assumptions!$B$4)^E423)</f>
        <v/>
      </c>
      <c r="J423" s="7">
        <f>IF(A423="","",C423&gt;=Assumptions!$B$10)</f>
        <v/>
      </c>
    </row>
    <row r="424">
      <c r="A424" s="12" t="n"/>
      <c r="B424" s="10" t="n"/>
      <c r="C424" s="13" t="n"/>
      <c r="D424" s="11" t="n"/>
      <c r="E424" s="14">
        <f>IF(A424="","",MAX(0,Assumptions!$B$8-B424))</f>
        <v/>
      </c>
      <c r="F424" s="15">
        <f>IF(A424="","",D424*(1+Assumptions!$B$5)^E424)</f>
        <v/>
      </c>
      <c r="G424" s="15">
        <f>IF(A424="","",MIN(Assumptions!$B$9,15/26*F424*C424))</f>
        <v/>
      </c>
      <c r="H424" s="16">
        <f>IF(A424="","",(1-Assumptions!$B$6-Assumptions!$B$7)^E424)</f>
        <v/>
      </c>
      <c r="I424" s="15">
        <f>IF(A424="","",G424*H424/(1+Assumptions!$B$4)^E424)</f>
        <v/>
      </c>
      <c r="J424" s="7">
        <f>IF(A424="","",C424&gt;=Assumptions!$B$10)</f>
        <v/>
      </c>
    </row>
    <row r="425">
      <c r="A425" s="12" t="n"/>
      <c r="B425" s="10" t="n"/>
      <c r="C425" s="13" t="n"/>
      <c r="D425" s="11" t="n"/>
      <c r="E425" s="14">
        <f>IF(A425="","",MAX(0,Assumptions!$B$8-B425))</f>
        <v/>
      </c>
      <c r="F425" s="15">
        <f>IF(A425="","",D425*(1+Assumptions!$B$5)^E425)</f>
        <v/>
      </c>
      <c r="G425" s="15">
        <f>IF(A425="","",MIN(Assumptions!$B$9,15/26*F425*C425))</f>
        <v/>
      </c>
      <c r="H425" s="16">
        <f>IF(A425="","",(1-Assumptions!$B$6-Assumptions!$B$7)^E425)</f>
        <v/>
      </c>
      <c r="I425" s="15">
        <f>IF(A425="","",G425*H425/(1+Assumptions!$B$4)^E425)</f>
        <v/>
      </c>
      <c r="J425" s="7">
        <f>IF(A425="","",C425&gt;=Assumptions!$B$10)</f>
        <v/>
      </c>
    </row>
    <row r="426">
      <c r="A426" s="12" t="n"/>
      <c r="B426" s="10" t="n"/>
      <c r="C426" s="13" t="n"/>
      <c r="D426" s="11" t="n"/>
      <c r="E426" s="14">
        <f>IF(A426="","",MAX(0,Assumptions!$B$8-B426))</f>
        <v/>
      </c>
      <c r="F426" s="15">
        <f>IF(A426="","",D426*(1+Assumptions!$B$5)^E426)</f>
        <v/>
      </c>
      <c r="G426" s="15">
        <f>IF(A426="","",MIN(Assumptions!$B$9,15/26*F426*C426))</f>
        <v/>
      </c>
      <c r="H426" s="16">
        <f>IF(A426="","",(1-Assumptions!$B$6-Assumptions!$B$7)^E426)</f>
        <v/>
      </c>
      <c r="I426" s="15">
        <f>IF(A426="","",G426*H426/(1+Assumptions!$B$4)^E426)</f>
        <v/>
      </c>
      <c r="J426" s="7">
        <f>IF(A426="","",C426&gt;=Assumptions!$B$10)</f>
        <v/>
      </c>
    </row>
    <row r="427">
      <c r="A427" s="12" t="n"/>
      <c r="B427" s="10" t="n"/>
      <c r="C427" s="13" t="n"/>
      <c r="D427" s="11" t="n"/>
      <c r="E427" s="14">
        <f>IF(A427="","",MAX(0,Assumptions!$B$8-B427))</f>
        <v/>
      </c>
      <c r="F427" s="15">
        <f>IF(A427="","",D427*(1+Assumptions!$B$5)^E427)</f>
        <v/>
      </c>
      <c r="G427" s="15">
        <f>IF(A427="","",MIN(Assumptions!$B$9,15/26*F427*C427))</f>
        <v/>
      </c>
      <c r="H427" s="16">
        <f>IF(A427="","",(1-Assumptions!$B$6-Assumptions!$B$7)^E427)</f>
        <v/>
      </c>
      <c r="I427" s="15">
        <f>IF(A427="","",G427*H427/(1+Assumptions!$B$4)^E427)</f>
        <v/>
      </c>
      <c r="J427" s="7">
        <f>IF(A427="","",C427&gt;=Assumptions!$B$10)</f>
        <v/>
      </c>
    </row>
    <row r="428">
      <c r="A428" s="12" t="n"/>
      <c r="B428" s="10" t="n"/>
      <c r="C428" s="13" t="n"/>
      <c r="D428" s="11" t="n"/>
      <c r="E428" s="14">
        <f>IF(A428="","",MAX(0,Assumptions!$B$8-B428))</f>
        <v/>
      </c>
      <c r="F428" s="15">
        <f>IF(A428="","",D428*(1+Assumptions!$B$5)^E428)</f>
        <v/>
      </c>
      <c r="G428" s="15">
        <f>IF(A428="","",MIN(Assumptions!$B$9,15/26*F428*C428))</f>
        <v/>
      </c>
      <c r="H428" s="16">
        <f>IF(A428="","",(1-Assumptions!$B$6-Assumptions!$B$7)^E428)</f>
        <v/>
      </c>
      <c r="I428" s="15">
        <f>IF(A428="","",G428*H428/(1+Assumptions!$B$4)^E428)</f>
        <v/>
      </c>
      <c r="J428" s="7">
        <f>IF(A428="","",C428&gt;=Assumptions!$B$10)</f>
        <v/>
      </c>
    </row>
    <row r="429">
      <c r="A429" s="12" t="n"/>
      <c r="B429" s="10" t="n"/>
      <c r="C429" s="13" t="n"/>
      <c r="D429" s="11" t="n"/>
      <c r="E429" s="14">
        <f>IF(A429="","",MAX(0,Assumptions!$B$8-B429))</f>
        <v/>
      </c>
      <c r="F429" s="15">
        <f>IF(A429="","",D429*(1+Assumptions!$B$5)^E429)</f>
        <v/>
      </c>
      <c r="G429" s="15">
        <f>IF(A429="","",MIN(Assumptions!$B$9,15/26*F429*C429))</f>
        <v/>
      </c>
      <c r="H429" s="16">
        <f>IF(A429="","",(1-Assumptions!$B$6-Assumptions!$B$7)^E429)</f>
        <v/>
      </c>
      <c r="I429" s="15">
        <f>IF(A429="","",G429*H429/(1+Assumptions!$B$4)^E429)</f>
        <v/>
      </c>
      <c r="J429" s="7">
        <f>IF(A429="","",C429&gt;=Assumptions!$B$10)</f>
        <v/>
      </c>
    </row>
    <row r="430">
      <c r="A430" s="12" t="n"/>
      <c r="B430" s="10" t="n"/>
      <c r="C430" s="13" t="n"/>
      <c r="D430" s="11" t="n"/>
      <c r="E430" s="14">
        <f>IF(A430="","",MAX(0,Assumptions!$B$8-B430))</f>
        <v/>
      </c>
      <c r="F430" s="15">
        <f>IF(A430="","",D430*(1+Assumptions!$B$5)^E430)</f>
        <v/>
      </c>
      <c r="G430" s="15">
        <f>IF(A430="","",MIN(Assumptions!$B$9,15/26*F430*C430))</f>
        <v/>
      </c>
      <c r="H430" s="16">
        <f>IF(A430="","",(1-Assumptions!$B$6-Assumptions!$B$7)^E430)</f>
        <v/>
      </c>
      <c r="I430" s="15">
        <f>IF(A430="","",G430*H430/(1+Assumptions!$B$4)^E430)</f>
        <v/>
      </c>
      <c r="J430" s="7">
        <f>IF(A430="","",C430&gt;=Assumptions!$B$10)</f>
        <v/>
      </c>
    </row>
    <row r="431">
      <c r="A431" s="12" t="n"/>
      <c r="B431" s="10" t="n"/>
      <c r="C431" s="13" t="n"/>
      <c r="D431" s="11" t="n"/>
      <c r="E431" s="14">
        <f>IF(A431="","",MAX(0,Assumptions!$B$8-B431))</f>
        <v/>
      </c>
      <c r="F431" s="15">
        <f>IF(A431="","",D431*(1+Assumptions!$B$5)^E431)</f>
        <v/>
      </c>
      <c r="G431" s="15">
        <f>IF(A431="","",MIN(Assumptions!$B$9,15/26*F431*C431))</f>
        <v/>
      </c>
      <c r="H431" s="16">
        <f>IF(A431="","",(1-Assumptions!$B$6-Assumptions!$B$7)^E431)</f>
        <v/>
      </c>
      <c r="I431" s="15">
        <f>IF(A431="","",G431*H431/(1+Assumptions!$B$4)^E431)</f>
        <v/>
      </c>
      <c r="J431" s="7">
        <f>IF(A431="","",C431&gt;=Assumptions!$B$10)</f>
        <v/>
      </c>
    </row>
    <row r="432">
      <c r="A432" s="12" t="n"/>
      <c r="B432" s="10" t="n"/>
      <c r="C432" s="13" t="n"/>
      <c r="D432" s="11" t="n"/>
      <c r="E432" s="14">
        <f>IF(A432="","",MAX(0,Assumptions!$B$8-B432))</f>
        <v/>
      </c>
      <c r="F432" s="15">
        <f>IF(A432="","",D432*(1+Assumptions!$B$5)^E432)</f>
        <v/>
      </c>
      <c r="G432" s="15">
        <f>IF(A432="","",MIN(Assumptions!$B$9,15/26*F432*C432))</f>
        <v/>
      </c>
      <c r="H432" s="16">
        <f>IF(A432="","",(1-Assumptions!$B$6-Assumptions!$B$7)^E432)</f>
        <v/>
      </c>
      <c r="I432" s="15">
        <f>IF(A432="","",G432*H432/(1+Assumptions!$B$4)^E432)</f>
        <v/>
      </c>
      <c r="J432" s="7">
        <f>IF(A432="","",C432&gt;=Assumptions!$B$10)</f>
        <v/>
      </c>
    </row>
    <row r="433">
      <c r="A433" s="12" t="n"/>
      <c r="B433" s="10" t="n"/>
      <c r="C433" s="13" t="n"/>
      <c r="D433" s="11" t="n"/>
      <c r="E433" s="14">
        <f>IF(A433="","",MAX(0,Assumptions!$B$8-B433))</f>
        <v/>
      </c>
      <c r="F433" s="15">
        <f>IF(A433="","",D433*(1+Assumptions!$B$5)^E433)</f>
        <v/>
      </c>
      <c r="G433" s="15">
        <f>IF(A433="","",MIN(Assumptions!$B$9,15/26*F433*C433))</f>
        <v/>
      </c>
      <c r="H433" s="16">
        <f>IF(A433="","",(1-Assumptions!$B$6-Assumptions!$B$7)^E433)</f>
        <v/>
      </c>
      <c r="I433" s="15">
        <f>IF(A433="","",G433*H433/(1+Assumptions!$B$4)^E433)</f>
        <v/>
      </c>
      <c r="J433" s="7">
        <f>IF(A433="","",C433&gt;=Assumptions!$B$10)</f>
        <v/>
      </c>
    </row>
    <row r="434">
      <c r="A434" s="12" t="n"/>
      <c r="B434" s="10" t="n"/>
      <c r="C434" s="13" t="n"/>
      <c r="D434" s="11" t="n"/>
      <c r="E434" s="14">
        <f>IF(A434="","",MAX(0,Assumptions!$B$8-B434))</f>
        <v/>
      </c>
      <c r="F434" s="15">
        <f>IF(A434="","",D434*(1+Assumptions!$B$5)^E434)</f>
        <v/>
      </c>
      <c r="G434" s="15">
        <f>IF(A434="","",MIN(Assumptions!$B$9,15/26*F434*C434))</f>
        <v/>
      </c>
      <c r="H434" s="16">
        <f>IF(A434="","",(1-Assumptions!$B$6-Assumptions!$B$7)^E434)</f>
        <v/>
      </c>
      <c r="I434" s="15">
        <f>IF(A434="","",G434*H434/(1+Assumptions!$B$4)^E434)</f>
        <v/>
      </c>
      <c r="J434" s="7">
        <f>IF(A434="","",C434&gt;=Assumptions!$B$10)</f>
        <v/>
      </c>
    </row>
    <row r="435">
      <c r="A435" s="12" t="n"/>
      <c r="B435" s="10" t="n"/>
      <c r="C435" s="13" t="n"/>
      <c r="D435" s="11" t="n"/>
      <c r="E435" s="14">
        <f>IF(A435="","",MAX(0,Assumptions!$B$8-B435))</f>
        <v/>
      </c>
      <c r="F435" s="15">
        <f>IF(A435="","",D435*(1+Assumptions!$B$5)^E435)</f>
        <v/>
      </c>
      <c r="G435" s="15">
        <f>IF(A435="","",MIN(Assumptions!$B$9,15/26*F435*C435))</f>
        <v/>
      </c>
      <c r="H435" s="16">
        <f>IF(A435="","",(1-Assumptions!$B$6-Assumptions!$B$7)^E435)</f>
        <v/>
      </c>
      <c r="I435" s="15">
        <f>IF(A435="","",G435*H435/(1+Assumptions!$B$4)^E435)</f>
        <v/>
      </c>
      <c r="J435" s="7">
        <f>IF(A435="","",C435&gt;=Assumptions!$B$10)</f>
        <v/>
      </c>
    </row>
    <row r="436">
      <c r="A436" s="12" t="n"/>
      <c r="B436" s="10" t="n"/>
      <c r="C436" s="13" t="n"/>
      <c r="D436" s="11" t="n"/>
      <c r="E436" s="14">
        <f>IF(A436="","",MAX(0,Assumptions!$B$8-B436))</f>
        <v/>
      </c>
      <c r="F436" s="15">
        <f>IF(A436="","",D436*(1+Assumptions!$B$5)^E436)</f>
        <v/>
      </c>
      <c r="G436" s="15">
        <f>IF(A436="","",MIN(Assumptions!$B$9,15/26*F436*C436))</f>
        <v/>
      </c>
      <c r="H436" s="16">
        <f>IF(A436="","",(1-Assumptions!$B$6-Assumptions!$B$7)^E436)</f>
        <v/>
      </c>
      <c r="I436" s="15">
        <f>IF(A436="","",G436*H436/(1+Assumptions!$B$4)^E436)</f>
        <v/>
      </c>
      <c r="J436" s="7">
        <f>IF(A436="","",C436&gt;=Assumptions!$B$10)</f>
        <v/>
      </c>
    </row>
    <row r="437">
      <c r="A437" s="12" t="n"/>
      <c r="B437" s="10" t="n"/>
      <c r="C437" s="13" t="n"/>
      <c r="D437" s="11" t="n"/>
      <c r="E437" s="14">
        <f>IF(A437="","",MAX(0,Assumptions!$B$8-B437))</f>
        <v/>
      </c>
      <c r="F437" s="15">
        <f>IF(A437="","",D437*(1+Assumptions!$B$5)^E437)</f>
        <v/>
      </c>
      <c r="G437" s="15">
        <f>IF(A437="","",MIN(Assumptions!$B$9,15/26*F437*C437))</f>
        <v/>
      </c>
      <c r="H437" s="16">
        <f>IF(A437="","",(1-Assumptions!$B$6-Assumptions!$B$7)^E437)</f>
        <v/>
      </c>
      <c r="I437" s="15">
        <f>IF(A437="","",G437*H437/(1+Assumptions!$B$4)^E437)</f>
        <v/>
      </c>
      <c r="J437" s="7">
        <f>IF(A437="","",C437&gt;=Assumptions!$B$10)</f>
        <v/>
      </c>
    </row>
    <row r="438">
      <c r="A438" s="12" t="n"/>
      <c r="B438" s="10" t="n"/>
      <c r="C438" s="13" t="n"/>
      <c r="D438" s="11" t="n"/>
      <c r="E438" s="14">
        <f>IF(A438="","",MAX(0,Assumptions!$B$8-B438))</f>
        <v/>
      </c>
      <c r="F438" s="15">
        <f>IF(A438="","",D438*(1+Assumptions!$B$5)^E438)</f>
        <v/>
      </c>
      <c r="G438" s="15">
        <f>IF(A438="","",MIN(Assumptions!$B$9,15/26*F438*C438))</f>
        <v/>
      </c>
      <c r="H438" s="16">
        <f>IF(A438="","",(1-Assumptions!$B$6-Assumptions!$B$7)^E438)</f>
        <v/>
      </c>
      <c r="I438" s="15">
        <f>IF(A438="","",G438*H438/(1+Assumptions!$B$4)^E438)</f>
        <v/>
      </c>
      <c r="J438" s="7">
        <f>IF(A438="","",C438&gt;=Assumptions!$B$10)</f>
        <v/>
      </c>
    </row>
    <row r="439">
      <c r="A439" s="12" t="n"/>
      <c r="B439" s="10" t="n"/>
      <c r="C439" s="13" t="n"/>
      <c r="D439" s="11" t="n"/>
      <c r="E439" s="14">
        <f>IF(A439="","",MAX(0,Assumptions!$B$8-B439))</f>
        <v/>
      </c>
      <c r="F439" s="15">
        <f>IF(A439="","",D439*(1+Assumptions!$B$5)^E439)</f>
        <v/>
      </c>
      <c r="G439" s="15">
        <f>IF(A439="","",MIN(Assumptions!$B$9,15/26*F439*C439))</f>
        <v/>
      </c>
      <c r="H439" s="16">
        <f>IF(A439="","",(1-Assumptions!$B$6-Assumptions!$B$7)^E439)</f>
        <v/>
      </c>
      <c r="I439" s="15">
        <f>IF(A439="","",G439*H439/(1+Assumptions!$B$4)^E439)</f>
        <v/>
      </c>
      <c r="J439" s="7">
        <f>IF(A439="","",C439&gt;=Assumptions!$B$10)</f>
        <v/>
      </c>
    </row>
    <row r="440">
      <c r="A440" s="12" t="n"/>
      <c r="B440" s="10" t="n"/>
      <c r="C440" s="13" t="n"/>
      <c r="D440" s="11" t="n"/>
      <c r="E440" s="14">
        <f>IF(A440="","",MAX(0,Assumptions!$B$8-B440))</f>
        <v/>
      </c>
      <c r="F440" s="15">
        <f>IF(A440="","",D440*(1+Assumptions!$B$5)^E440)</f>
        <v/>
      </c>
      <c r="G440" s="15">
        <f>IF(A440="","",MIN(Assumptions!$B$9,15/26*F440*C440))</f>
        <v/>
      </c>
      <c r="H440" s="16">
        <f>IF(A440="","",(1-Assumptions!$B$6-Assumptions!$B$7)^E440)</f>
        <v/>
      </c>
      <c r="I440" s="15">
        <f>IF(A440="","",G440*H440/(1+Assumptions!$B$4)^E440)</f>
        <v/>
      </c>
      <c r="J440" s="7">
        <f>IF(A440="","",C440&gt;=Assumptions!$B$10)</f>
        <v/>
      </c>
    </row>
    <row r="441">
      <c r="A441" s="12" t="n"/>
      <c r="B441" s="10" t="n"/>
      <c r="C441" s="13" t="n"/>
      <c r="D441" s="11" t="n"/>
      <c r="E441" s="14">
        <f>IF(A441="","",MAX(0,Assumptions!$B$8-B441))</f>
        <v/>
      </c>
      <c r="F441" s="15">
        <f>IF(A441="","",D441*(1+Assumptions!$B$5)^E441)</f>
        <v/>
      </c>
      <c r="G441" s="15">
        <f>IF(A441="","",MIN(Assumptions!$B$9,15/26*F441*C441))</f>
        <v/>
      </c>
      <c r="H441" s="16">
        <f>IF(A441="","",(1-Assumptions!$B$6-Assumptions!$B$7)^E441)</f>
        <v/>
      </c>
      <c r="I441" s="15">
        <f>IF(A441="","",G441*H441/(1+Assumptions!$B$4)^E441)</f>
        <v/>
      </c>
      <c r="J441" s="7">
        <f>IF(A441="","",C441&gt;=Assumptions!$B$10)</f>
        <v/>
      </c>
    </row>
    <row r="442">
      <c r="A442" s="12" t="n"/>
      <c r="B442" s="10" t="n"/>
      <c r="C442" s="13" t="n"/>
      <c r="D442" s="11" t="n"/>
      <c r="E442" s="14">
        <f>IF(A442="","",MAX(0,Assumptions!$B$8-B442))</f>
        <v/>
      </c>
      <c r="F442" s="15">
        <f>IF(A442="","",D442*(1+Assumptions!$B$5)^E442)</f>
        <v/>
      </c>
      <c r="G442" s="15">
        <f>IF(A442="","",MIN(Assumptions!$B$9,15/26*F442*C442))</f>
        <v/>
      </c>
      <c r="H442" s="16">
        <f>IF(A442="","",(1-Assumptions!$B$6-Assumptions!$B$7)^E442)</f>
        <v/>
      </c>
      <c r="I442" s="15">
        <f>IF(A442="","",G442*H442/(1+Assumptions!$B$4)^E442)</f>
        <v/>
      </c>
      <c r="J442" s="7">
        <f>IF(A442="","",C442&gt;=Assumptions!$B$10)</f>
        <v/>
      </c>
    </row>
    <row r="443">
      <c r="A443" s="12" t="n"/>
      <c r="B443" s="10" t="n"/>
      <c r="C443" s="13" t="n"/>
      <c r="D443" s="11" t="n"/>
      <c r="E443" s="14">
        <f>IF(A443="","",MAX(0,Assumptions!$B$8-B443))</f>
        <v/>
      </c>
      <c r="F443" s="15">
        <f>IF(A443="","",D443*(1+Assumptions!$B$5)^E443)</f>
        <v/>
      </c>
      <c r="G443" s="15">
        <f>IF(A443="","",MIN(Assumptions!$B$9,15/26*F443*C443))</f>
        <v/>
      </c>
      <c r="H443" s="16">
        <f>IF(A443="","",(1-Assumptions!$B$6-Assumptions!$B$7)^E443)</f>
        <v/>
      </c>
      <c r="I443" s="15">
        <f>IF(A443="","",G443*H443/(1+Assumptions!$B$4)^E443)</f>
        <v/>
      </c>
      <c r="J443" s="7">
        <f>IF(A443="","",C443&gt;=Assumptions!$B$10)</f>
        <v/>
      </c>
    </row>
    <row r="444">
      <c r="A444" s="12" t="n"/>
      <c r="B444" s="10" t="n"/>
      <c r="C444" s="13" t="n"/>
      <c r="D444" s="11" t="n"/>
      <c r="E444" s="14">
        <f>IF(A444="","",MAX(0,Assumptions!$B$8-B444))</f>
        <v/>
      </c>
      <c r="F444" s="15">
        <f>IF(A444="","",D444*(1+Assumptions!$B$5)^E444)</f>
        <v/>
      </c>
      <c r="G444" s="15">
        <f>IF(A444="","",MIN(Assumptions!$B$9,15/26*F444*C444))</f>
        <v/>
      </c>
      <c r="H444" s="16">
        <f>IF(A444="","",(1-Assumptions!$B$6-Assumptions!$B$7)^E444)</f>
        <v/>
      </c>
      <c r="I444" s="15">
        <f>IF(A444="","",G444*H444/(1+Assumptions!$B$4)^E444)</f>
        <v/>
      </c>
      <c r="J444" s="7">
        <f>IF(A444="","",C444&gt;=Assumptions!$B$10)</f>
        <v/>
      </c>
    </row>
    <row r="445">
      <c r="A445" s="12" t="n"/>
      <c r="B445" s="10" t="n"/>
      <c r="C445" s="13" t="n"/>
      <c r="D445" s="11" t="n"/>
      <c r="E445" s="14">
        <f>IF(A445="","",MAX(0,Assumptions!$B$8-B445))</f>
        <v/>
      </c>
      <c r="F445" s="15">
        <f>IF(A445="","",D445*(1+Assumptions!$B$5)^E445)</f>
        <v/>
      </c>
      <c r="G445" s="15">
        <f>IF(A445="","",MIN(Assumptions!$B$9,15/26*F445*C445))</f>
        <v/>
      </c>
      <c r="H445" s="16">
        <f>IF(A445="","",(1-Assumptions!$B$6-Assumptions!$B$7)^E445)</f>
        <v/>
      </c>
      <c r="I445" s="15">
        <f>IF(A445="","",G445*H445/(1+Assumptions!$B$4)^E445)</f>
        <v/>
      </c>
      <c r="J445" s="7">
        <f>IF(A445="","",C445&gt;=Assumptions!$B$10)</f>
        <v/>
      </c>
    </row>
    <row r="446">
      <c r="A446" s="12" t="n"/>
      <c r="B446" s="10" t="n"/>
      <c r="C446" s="13" t="n"/>
      <c r="D446" s="11" t="n"/>
      <c r="E446" s="14">
        <f>IF(A446="","",MAX(0,Assumptions!$B$8-B446))</f>
        <v/>
      </c>
      <c r="F446" s="15">
        <f>IF(A446="","",D446*(1+Assumptions!$B$5)^E446)</f>
        <v/>
      </c>
      <c r="G446" s="15">
        <f>IF(A446="","",MIN(Assumptions!$B$9,15/26*F446*C446))</f>
        <v/>
      </c>
      <c r="H446" s="16">
        <f>IF(A446="","",(1-Assumptions!$B$6-Assumptions!$B$7)^E446)</f>
        <v/>
      </c>
      <c r="I446" s="15">
        <f>IF(A446="","",G446*H446/(1+Assumptions!$B$4)^E446)</f>
        <v/>
      </c>
      <c r="J446" s="7">
        <f>IF(A446="","",C446&gt;=Assumptions!$B$10)</f>
        <v/>
      </c>
    </row>
    <row r="447">
      <c r="A447" s="12" t="n"/>
      <c r="B447" s="10" t="n"/>
      <c r="C447" s="13" t="n"/>
      <c r="D447" s="11" t="n"/>
      <c r="E447" s="14">
        <f>IF(A447="","",MAX(0,Assumptions!$B$8-B447))</f>
        <v/>
      </c>
      <c r="F447" s="15">
        <f>IF(A447="","",D447*(1+Assumptions!$B$5)^E447)</f>
        <v/>
      </c>
      <c r="G447" s="15">
        <f>IF(A447="","",MIN(Assumptions!$B$9,15/26*F447*C447))</f>
        <v/>
      </c>
      <c r="H447" s="16">
        <f>IF(A447="","",(1-Assumptions!$B$6-Assumptions!$B$7)^E447)</f>
        <v/>
      </c>
      <c r="I447" s="15">
        <f>IF(A447="","",G447*H447/(1+Assumptions!$B$4)^E447)</f>
        <v/>
      </c>
      <c r="J447" s="7">
        <f>IF(A447="","",C447&gt;=Assumptions!$B$10)</f>
        <v/>
      </c>
    </row>
    <row r="448">
      <c r="A448" s="12" t="n"/>
      <c r="B448" s="10" t="n"/>
      <c r="C448" s="13" t="n"/>
      <c r="D448" s="11" t="n"/>
      <c r="E448" s="14">
        <f>IF(A448="","",MAX(0,Assumptions!$B$8-B448))</f>
        <v/>
      </c>
      <c r="F448" s="15">
        <f>IF(A448="","",D448*(1+Assumptions!$B$5)^E448)</f>
        <v/>
      </c>
      <c r="G448" s="15">
        <f>IF(A448="","",MIN(Assumptions!$B$9,15/26*F448*C448))</f>
        <v/>
      </c>
      <c r="H448" s="16">
        <f>IF(A448="","",(1-Assumptions!$B$6-Assumptions!$B$7)^E448)</f>
        <v/>
      </c>
      <c r="I448" s="15">
        <f>IF(A448="","",G448*H448/(1+Assumptions!$B$4)^E448)</f>
        <v/>
      </c>
      <c r="J448" s="7">
        <f>IF(A448="","",C448&gt;=Assumptions!$B$10)</f>
        <v/>
      </c>
    </row>
    <row r="449">
      <c r="A449" s="12" t="n"/>
      <c r="B449" s="10" t="n"/>
      <c r="C449" s="13" t="n"/>
      <c r="D449" s="11" t="n"/>
      <c r="E449" s="14">
        <f>IF(A449="","",MAX(0,Assumptions!$B$8-B449))</f>
        <v/>
      </c>
      <c r="F449" s="15">
        <f>IF(A449="","",D449*(1+Assumptions!$B$5)^E449)</f>
        <v/>
      </c>
      <c r="G449" s="15">
        <f>IF(A449="","",MIN(Assumptions!$B$9,15/26*F449*C449))</f>
        <v/>
      </c>
      <c r="H449" s="16">
        <f>IF(A449="","",(1-Assumptions!$B$6-Assumptions!$B$7)^E449)</f>
        <v/>
      </c>
      <c r="I449" s="15">
        <f>IF(A449="","",G449*H449/(1+Assumptions!$B$4)^E449)</f>
        <v/>
      </c>
      <c r="J449" s="7">
        <f>IF(A449="","",C449&gt;=Assumptions!$B$10)</f>
        <v/>
      </c>
    </row>
    <row r="450">
      <c r="A450" s="12" t="n"/>
      <c r="B450" s="10" t="n"/>
      <c r="C450" s="13" t="n"/>
      <c r="D450" s="11" t="n"/>
      <c r="E450" s="14">
        <f>IF(A450="","",MAX(0,Assumptions!$B$8-B450))</f>
        <v/>
      </c>
      <c r="F450" s="15">
        <f>IF(A450="","",D450*(1+Assumptions!$B$5)^E450)</f>
        <v/>
      </c>
      <c r="G450" s="15">
        <f>IF(A450="","",MIN(Assumptions!$B$9,15/26*F450*C450))</f>
        <v/>
      </c>
      <c r="H450" s="16">
        <f>IF(A450="","",(1-Assumptions!$B$6-Assumptions!$B$7)^E450)</f>
        <v/>
      </c>
      <c r="I450" s="15">
        <f>IF(A450="","",G450*H450/(1+Assumptions!$B$4)^E450)</f>
        <v/>
      </c>
      <c r="J450" s="7">
        <f>IF(A450="","",C450&gt;=Assumptions!$B$10)</f>
        <v/>
      </c>
    </row>
    <row r="451">
      <c r="A451" s="12" t="n"/>
      <c r="B451" s="10" t="n"/>
      <c r="C451" s="13" t="n"/>
      <c r="D451" s="11" t="n"/>
      <c r="E451" s="14">
        <f>IF(A451="","",MAX(0,Assumptions!$B$8-B451))</f>
        <v/>
      </c>
      <c r="F451" s="15">
        <f>IF(A451="","",D451*(1+Assumptions!$B$5)^E451)</f>
        <v/>
      </c>
      <c r="G451" s="15">
        <f>IF(A451="","",MIN(Assumptions!$B$9,15/26*F451*C451))</f>
        <v/>
      </c>
      <c r="H451" s="16">
        <f>IF(A451="","",(1-Assumptions!$B$6-Assumptions!$B$7)^E451)</f>
        <v/>
      </c>
      <c r="I451" s="15">
        <f>IF(A451="","",G451*H451/(1+Assumptions!$B$4)^E451)</f>
        <v/>
      </c>
      <c r="J451" s="7">
        <f>IF(A451="","",C451&gt;=Assumptions!$B$10)</f>
        <v/>
      </c>
    </row>
    <row r="452">
      <c r="A452" s="12" t="n"/>
      <c r="B452" s="10" t="n"/>
      <c r="C452" s="13" t="n"/>
      <c r="D452" s="11" t="n"/>
      <c r="E452" s="14">
        <f>IF(A452="","",MAX(0,Assumptions!$B$8-B452))</f>
        <v/>
      </c>
      <c r="F452" s="15">
        <f>IF(A452="","",D452*(1+Assumptions!$B$5)^E452)</f>
        <v/>
      </c>
      <c r="G452" s="15">
        <f>IF(A452="","",MIN(Assumptions!$B$9,15/26*F452*C452))</f>
        <v/>
      </c>
      <c r="H452" s="16">
        <f>IF(A452="","",(1-Assumptions!$B$6-Assumptions!$B$7)^E452)</f>
        <v/>
      </c>
      <c r="I452" s="15">
        <f>IF(A452="","",G452*H452/(1+Assumptions!$B$4)^E452)</f>
        <v/>
      </c>
      <c r="J452" s="7">
        <f>IF(A452="","",C452&gt;=Assumptions!$B$10)</f>
        <v/>
      </c>
    </row>
    <row r="453">
      <c r="A453" s="12" t="n"/>
      <c r="B453" s="10" t="n"/>
      <c r="C453" s="13" t="n"/>
      <c r="D453" s="11" t="n"/>
      <c r="E453" s="14">
        <f>IF(A453="","",MAX(0,Assumptions!$B$8-B453))</f>
        <v/>
      </c>
      <c r="F453" s="15">
        <f>IF(A453="","",D453*(1+Assumptions!$B$5)^E453)</f>
        <v/>
      </c>
      <c r="G453" s="15">
        <f>IF(A453="","",MIN(Assumptions!$B$9,15/26*F453*C453))</f>
        <v/>
      </c>
      <c r="H453" s="16">
        <f>IF(A453="","",(1-Assumptions!$B$6-Assumptions!$B$7)^E453)</f>
        <v/>
      </c>
      <c r="I453" s="15">
        <f>IF(A453="","",G453*H453/(1+Assumptions!$B$4)^E453)</f>
        <v/>
      </c>
      <c r="J453" s="7">
        <f>IF(A453="","",C453&gt;=Assumptions!$B$10)</f>
        <v/>
      </c>
    </row>
    <row r="454">
      <c r="A454" s="12" t="n"/>
      <c r="B454" s="10" t="n"/>
      <c r="C454" s="13" t="n"/>
      <c r="D454" s="11" t="n"/>
      <c r="E454" s="14">
        <f>IF(A454="","",MAX(0,Assumptions!$B$8-B454))</f>
        <v/>
      </c>
      <c r="F454" s="15">
        <f>IF(A454="","",D454*(1+Assumptions!$B$5)^E454)</f>
        <v/>
      </c>
      <c r="G454" s="15">
        <f>IF(A454="","",MIN(Assumptions!$B$9,15/26*F454*C454))</f>
        <v/>
      </c>
      <c r="H454" s="16">
        <f>IF(A454="","",(1-Assumptions!$B$6-Assumptions!$B$7)^E454)</f>
        <v/>
      </c>
      <c r="I454" s="15">
        <f>IF(A454="","",G454*H454/(1+Assumptions!$B$4)^E454)</f>
        <v/>
      </c>
      <c r="J454" s="7">
        <f>IF(A454="","",C454&gt;=Assumptions!$B$10)</f>
        <v/>
      </c>
    </row>
    <row r="455">
      <c r="A455" s="12" t="n"/>
      <c r="B455" s="10" t="n"/>
      <c r="C455" s="13" t="n"/>
      <c r="D455" s="11" t="n"/>
      <c r="E455" s="14">
        <f>IF(A455="","",MAX(0,Assumptions!$B$8-B455))</f>
        <v/>
      </c>
      <c r="F455" s="15">
        <f>IF(A455="","",D455*(1+Assumptions!$B$5)^E455)</f>
        <v/>
      </c>
      <c r="G455" s="15">
        <f>IF(A455="","",MIN(Assumptions!$B$9,15/26*F455*C455))</f>
        <v/>
      </c>
      <c r="H455" s="16">
        <f>IF(A455="","",(1-Assumptions!$B$6-Assumptions!$B$7)^E455)</f>
        <v/>
      </c>
      <c r="I455" s="15">
        <f>IF(A455="","",G455*H455/(1+Assumptions!$B$4)^E455)</f>
        <v/>
      </c>
      <c r="J455" s="7">
        <f>IF(A455="","",C455&gt;=Assumptions!$B$10)</f>
        <v/>
      </c>
    </row>
    <row r="456">
      <c r="A456" s="12" t="n"/>
      <c r="B456" s="10" t="n"/>
      <c r="C456" s="13" t="n"/>
      <c r="D456" s="11" t="n"/>
      <c r="E456" s="14">
        <f>IF(A456="","",MAX(0,Assumptions!$B$8-B456))</f>
        <v/>
      </c>
      <c r="F456" s="15">
        <f>IF(A456="","",D456*(1+Assumptions!$B$5)^E456)</f>
        <v/>
      </c>
      <c r="G456" s="15">
        <f>IF(A456="","",MIN(Assumptions!$B$9,15/26*F456*C456))</f>
        <v/>
      </c>
      <c r="H456" s="16">
        <f>IF(A456="","",(1-Assumptions!$B$6-Assumptions!$B$7)^E456)</f>
        <v/>
      </c>
      <c r="I456" s="15">
        <f>IF(A456="","",G456*H456/(1+Assumptions!$B$4)^E456)</f>
        <v/>
      </c>
      <c r="J456" s="7">
        <f>IF(A456="","",C456&gt;=Assumptions!$B$10)</f>
        <v/>
      </c>
    </row>
    <row r="457">
      <c r="A457" s="12" t="n"/>
      <c r="B457" s="10" t="n"/>
      <c r="C457" s="13" t="n"/>
      <c r="D457" s="11" t="n"/>
      <c r="E457" s="14">
        <f>IF(A457="","",MAX(0,Assumptions!$B$8-B457))</f>
        <v/>
      </c>
      <c r="F457" s="15">
        <f>IF(A457="","",D457*(1+Assumptions!$B$5)^E457)</f>
        <v/>
      </c>
      <c r="G457" s="15">
        <f>IF(A457="","",MIN(Assumptions!$B$9,15/26*F457*C457))</f>
        <v/>
      </c>
      <c r="H457" s="16">
        <f>IF(A457="","",(1-Assumptions!$B$6-Assumptions!$B$7)^E457)</f>
        <v/>
      </c>
      <c r="I457" s="15">
        <f>IF(A457="","",G457*H457/(1+Assumptions!$B$4)^E457)</f>
        <v/>
      </c>
      <c r="J457" s="7">
        <f>IF(A457="","",C457&gt;=Assumptions!$B$10)</f>
        <v/>
      </c>
    </row>
    <row r="458">
      <c r="A458" s="12" t="n"/>
      <c r="B458" s="10" t="n"/>
      <c r="C458" s="13" t="n"/>
      <c r="D458" s="11" t="n"/>
      <c r="E458" s="14">
        <f>IF(A458="","",MAX(0,Assumptions!$B$8-B458))</f>
        <v/>
      </c>
      <c r="F458" s="15">
        <f>IF(A458="","",D458*(1+Assumptions!$B$5)^E458)</f>
        <v/>
      </c>
      <c r="G458" s="15">
        <f>IF(A458="","",MIN(Assumptions!$B$9,15/26*F458*C458))</f>
        <v/>
      </c>
      <c r="H458" s="16">
        <f>IF(A458="","",(1-Assumptions!$B$6-Assumptions!$B$7)^E458)</f>
        <v/>
      </c>
      <c r="I458" s="15">
        <f>IF(A458="","",G458*H458/(1+Assumptions!$B$4)^E458)</f>
        <v/>
      </c>
      <c r="J458" s="7">
        <f>IF(A458="","",C458&gt;=Assumptions!$B$10)</f>
        <v/>
      </c>
    </row>
    <row r="459">
      <c r="A459" s="12" t="n"/>
      <c r="B459" s="10" t="n"/>
      <c r="C459" s="13" t="n"/>
      <c r="D459" s="11" t="n"/>
      <c r="E459" s="14">
        <f>IF(A459="","",MAX(0,Assumptions!$B$8-B459))</f>
        <v/>
      </c>
      <c r="F459" s="15">
        <f>IF(A459="","",D459*(1+Assumptions!$B$5)^E459)</f>
        <v/>
      </c>
      <c r="G459" s="15">
        <f>IF(A459="","",MIN(Assumptions!$B$9,15/26*F459*C459))</f>
        <v/>
      </c>
      <c r="H459" s="16">
        <f>IF(A459="","",(1-Assumptions!$B$6-Assumptions!$B$7)^E459)</f>
        <v/>
      </c>
      <c r="I459" s="15">
        <f>IF(A459="","",G459*H459/(1+Assumptions!$B$4)^E459)</f>
        <v/>
      </c>
      <c r="J459" s="7">
        <f>IF(A459="","",C459&gt;=Assumptions!$B$10)</f>
        <v/>
      </c>
    </row>
    <row r="460">
      <c r="A460" s="12" t="n"/>
      <c r="B460" s="10" t="n"/>
      <c r="C460" s="13" t="n"/>
      <c r="D460" s="11" t="n"/>
      <c r="E460" s="14">
        <f>IF(A460="","",MAX(0,Assumptions!$B$8-B460))</f>
        <v/>
      </c>
      <c r="F460" s="15">
        <f>IF(A460="","",D460*(1+Assumptions!$B$5)^E460)</f>
        <v/>
      </c>
      <c r="G460" s="15">
        <f>IF(A460="","",MIN(Assumptions!$B$9,15/26*F460*C460))</f>
        <v/>
      </c>
      <c r="H460" s="16">
        <f>IF(A460="","",(1-Assumptions!$B$6-Assumptions!$B$7)^E460)</f>
        <v/>
      </c>
      <c r="I460" s="15">
        <f>IF(A460="","",G460*H460/(1+Assumptions!$B$4)^E460)</f>
        <v/>
      </c>
      <c r="J460" s="7">
        <f>IF(A460="","",C460&gt;=Assumptions!$B$10)</f>
        <v/>
      </c>
    </row>
    <row r="461">
      <c r="A461" s="12" t="n"/>
      <c r="B461" s="10" t="n"/>
      <c r="C461" s="13" t="n"/>
      <c r="D461" s="11" t="n"/>
      <c r="E461" s="14">
        <f>IF(A461="","",MAX(0,Assumptions!$B$8-B461))</f>
        <v/>
      </c>
      <c r="F461" s="15">
        <f>IF(A461="","",D461*(1+Assumptions!$B$5)^E461)</f>
        <v/>
      </c>
      <c r="G461" s="15">
        <f>IF(A461="","",MIN(Assumptions!$B$9,15/26*F461*C461))</f>
        <v/>
      </c>
      <c r="H461" s="16">
        <f>IF(A461="","",(1-Assumptions!$B$6-Assumptions!$B$7)^E461)</f>
        <v/>
      </c>
      <c r="I461" s="15">
        <f>IF(A461="","",G461*H461/(1+Assumptions!$B$4)^E461)</f>
        <v/>
      </c>
      <c r="J461" s="7">
        <f>IF(A461="","",C461&gt;=Assumptions!$B$10)</f>
        <v/>
      </c>
    </row>
    <row r="462">
      <c r="A462" s="12" t="n"/>
      <c r="B462" s="10" t="n"/>
      <c r="C462" s="13" t="n"/>
      <c r="D462" s="11" t="n"/>
      <c r="E462" s="14">
        <f>IF(A462="","",MAX(0,Assumptions!$B$8-B462))</f>
        <v/>
      </c>
      <c r="F462" s="15">
        <f>IF(A462="","",D462*(1+Assumptions!$B$5)^E462)</f>
        <v/>
      </c>
      <c r="G462" s="15">
        <f>IF(A462="","",MIN(Assumptions!$B$9,15/26*F462*C462))</f>
        <v/>
      </c>
      <c r="H462" s="16">
        <f>IF(A462="","",(1-Assumptions!$B$6-Assumptions!$B$7)^E462)</f>
        <v/>
      </c>
      <c r="I462" s="15">
        <f>IF(A462="","",G462*H462/(1+Assumptions!$B$4)^E462)</f>
        <v/>
      </c>
      <c r="J462" s="7">
        <f>IF(A462="","",C462&gt;=Assumptions!$B$10)</f>
        <v/>
      </c>
    </row>
    <row r="463">
      <c r="A463" s="12" t="n"/>
      <c r="B463" s="10" t="n"/>
      <c r="C463" s="13" t="n"/>
      <c r="D463" s="11" t="n"/>
      <c r="E463" s="14">
        <f>IF(A463="","",MAX(0,Assumptions!$B$8-B463))</f>
        <v/>
      </c>
      <c r="F463" s="15">
        <f>IF(A463="","",D463*(1+Assumptions!$B$5)^E463)</f>
        <v/>
      </c>
      <c r="G463" s="15">
        <f>IF(A463="","",MIN(Assumptions!$B$9,15/26*F463*C463))</f>
        <v/>
      </c>
      <c r="H463" s="16">
        <f>IF(A463="","",(1-Assumptions!$B$6-Assumptions!$B$7)^E463)</f>
        <v/>
      </c>
      <c r="I463" s="15">
        <f>IF(A463="","",G463*H463/(1+Assumptions!$B$4)^E463)</f>
        <v/>
      </c>
      <c r="J463" s="7">
        <f>IF(A463="","",C463&gt;=Assumptions!$B$10)</f>
        <v/>
      </c>
    </row>
    <row r="464">
      <c r="A464" s="12" t="n"/>
      <c r="B464" s="10" t="n"/>
      <c r="C464" s="13" t="n"/>
      <c r="D464" s="11" t="n"/>
      <c r="E464" s="14">
        <f>IF(A464="","",MAX(0,Assumptions!$B$8-B464))</f>
        <v/>
      </c>
      <c r="F464" s="15">
        <f>IF(A464="","",D464*(1+Assumptions!$B$5)^E464)</f>
        <v/>
      </c>
      <c r="G464" s="15">
        <f>IF(A464="","",MIN(Assumptions!$B$9,15/26*F464*C464))</f>
        <v/>
      </c>
      <c r="H464" s="16">
        <f>IF(A464="","",(1-Assumptions!$B$6-Assumptions!$B$7)^E464)</f>
        <v/>
      </c>
      <c r="I464" s="15">
        <f>IF(A464="","",G464*H464/(1+Assumptions!$B$4)^E464)</f>
        <v/>
      </c>
      <c r="J464" s="7">
        <f>IF(A464="","",C464&gt;=Assumptions!$B$10)</f>
        <v/>
      </c>
    </row>
    <row r="465">
      <c r="A465" s="12" t="n"/>
      <c r="B465" s="10" t="n"/>
      <c r="C465" s="13" t="n"/>
      <c r="D465" s="11" t="n"/>
      <c r="E465" s="14">
        <f>IF(A465="","",MAX(0,Assumptions!$B$8-B465))</f>
        <v/>
      </c>
      <c r="F465" s="15">
        <f>IF(A465="","",D465*(1+Assumptions!$B$5)^E465)</f>
        <v/>
      </c>
      <c r="G465" s="15">
        <f>IF(A465="","",MIN(Assumptions!$B$9,15/26*F465*C465))</f>
        <v/>
      </c>
      <c r="H465" s="16">
        <f>IF(A465="","",(1-Assumptions!$B$6-Assumptions!$B$7)^E465)</f>
        <v/>
      </c>
      <c r="I465" s="15">
        <f>IF(A465="","",G465*H465/(1+Assumptions!$B$4)^E465)</f>
        <v/>
      </c>
      <c r="J465" s="7">
        <f>IF(A465="","",C465&gt;=Assumptions!$B$10)</f>
        <v/>
      </c>
    </row>
    <row r="466">
      <c r="A466" s="12" t="n"/>
      <c r="B466" s="10" t="n"/>
      <c r="C466" s="13" t="n"/>
      <c r="D466" s="11" t="n"/>
      <c r="E466" s="14">
        <f>IF(A466="","",MAX(0,Assumptions!$B$8-B466))</f>
        <v/>
      </c>
      <c r="F466" s="15">
        <f>IF(A466="","",D466*(1+Assumptions!$B$5)^E466)</f>
        <v/>
      </c>
      <c r="G466" s="15">
        <f>IF(A466="","",MIN(Assumptions!$B$9,15/26*F466*C466))</f>
        <v/>
      </c>
      <c r="H466" s="16">
        <f>IF(A466="","",(1-Assumptions!$B$6-Assumptions!$B$7)^E466)</f>
        <v/>
      </c>
      <c r="I466" s="15">
        <f>IF(A466="","",G466*H466/(1+Assumptions!$B$4)^E466)</f>
        <v/>
      </c>
      <c r="J466" s="7">
        <f>IF(A466="","",C466&gt;=Assumptions!$B$10)</f>
        <v/>
      </c>
    </row>
    <row r="467">
      <c r="A467" s="12" t="n"/>
      <c r="B467" s="10" t="n"/>
      <c r="C467" s="13" t="n"/>
      <c r="D467" s="11" t="n"/>
      <c r="E467" s="14">
        <f>IF(A467="","",MAX(0,Assumptions!$B$8-B467))</f>
        <v/>
      </c>
      <c r="F467" s="15">
        <f>IF(A467="","",D467*(1+Assumptions!$B$5)^E467)</f>
        <v/>
      </c>
      <c r="G467" s="15">
        <f>IF(A467="","",MIN(Assumptions!$B$9,15/26*F467*C467))</f>
        <v/>
      </c>
      <c r="H467" s="16">
        <f>IF(A467="","",(1-Assumptions!$B$6-Assumptions!$B$7)^E467)</f>
        <v/>
      </c>
      <c r="I467" s="15">
        <f>IF(A467="","",G467*H467/(1+Assumptions!$B$4)^E467)</f>
        <v/>
      </c>
      <c r="J467" s="7">
        <f>IF(A467="","",C467&gt;=Assumptions!$B$10)</f>
        <v/>
      </c>
    </row>
    <row r="468">
      <c r="A468" s="12" t="n"/>
      <c r="B468" s="10" t="n"/>
      <c r="C468" s="13" t="n"/>
      <c r="D468" s="11" t="n"/>
      <c r="E468" s="14">
        <f>IF(A468="","",MAX(0,Assumptions!$B$8-B468))</f>
        <v/>
      </c>
      <c r="F468" s="15">
        <f>IF(A468="","",D468*(1+Assumptions!$B$5)^E468)</f>
        <v/>
      </c>
      <c r="G468" s="15">
        <f>IF(A468="","",MIN(Assumptions!$B$9,15/26*F468*C468))</f>
        <v/>
      </c>
      <c r="H468" s="16">
        <f>IF(A468="","",(1-Assumptions!$B$6-Assumptions!$B$7)^E468)</f>
        <v/>
      </c>
      <c r="I468" s="15">
        <f>IF(A468="","",G468*H468/(1+Assumptions!$B$4)^E468)</f>
        <v/>
      </c>
      <c r="J468" s="7">
        <f>IF(A468="","",C468&gt;=Assumptions!$B$10)</f>
        <v/>
      </c>
    </row>
    <row r="469">
      <c r="A469" s="12" t="n"/>
      <c r="B469" s="10" t="n"/>
      <c r="C469" s="13" t="n"/>
      <c r="D469" s="11" t="n"/>
      <c r="E469" s="14">
        <f>IF(A469="","",MAX(0,Assumptions!$B$8-B469))</f>
        <v/>
      </c>
      <c r="F469" s="15">
        <f>IF(A469="","",D469*(1+Assumptions!$B$5)^E469)</f>
        <v/>
      </c>
      <c r="G469" s="15">
        <f>IF(A469="","",MIN(Assumptions!$B$9,15/26*F469*C469))</f>
        <v/>
      </c>
      <c r="H469" s="16">
        <f>IF(A469="","",(1-Assumptions!$B$6-Assumptions!$B$7)^E469)</f>
        <v/>
      </c>
      <c r="I469" s="15">
        <f>IF(A469="","",G469*H469/(1+Assumptions!$B$4)^E469)</f>
        <v/>
      </c>
      <c r="J469" s="7">
        <f>IF(A469="","",C469&gt;=Assumptions!$B$10)</f>
        <v/>
      </c>
    </row>
    <row r="470">
      <c r="A470" s="12" t="n"/>
      <c r="B470" s="10" t="n"/>
      <c r="C470" s="13" t="n"/>
      <c r="D470" s="11" t="n"/>
      <c r="E470" s="14">
        <f>IF(A470="","",MAX(0,Assumptions!$B$8-B470))</f>
        <v/>
      </c>
      <c r="F470" s="15">
        <f>IF(A470="","",D470*(1+Assumptions!$B$5)^E470)</f>
        <v/>
      </c>
      <c r="G470" s="15">
        <f>IF(A470="","",MIN(Assumptions!$B$9,15/26*F470*C470))</f>
        <v/>
      </c>
      <c r="H470" s="16">
        <f>IF(A470="","",(1-Assumptions!$B$6-Assumptions!$B$7)^E470)</f>
        <v/>
      </c>
      <c r="I470" s="15">
        <f>IF(A470="","",G470*H470/(1+Assumptions!$B$4)^E470)</f>
        <v/>
      </c>
      <c r="J470" s="7">
        <f>IF(A470="","",C470&gt;=Assumptions!$B$10)</f>
        <v/>
      </c>
    </row>
    <row r="471">
      <c r="A471" s="12" t="n"/>
      <c r="B471" s="10" t="n"/>
      <c r="C471" s="13" t="n"/>
      <c r="D471" s="11" t="n"/>
      <c r="E471" s="14">
        <f>IF(A471="","",MAX(0,Assumptions!$B$8-B471))</f>
        <v/>
      </c>
      <c r="F471" s="15">
        <f>IF(A471="","",D471*(1+Assumptions!$B$5)^E471)</f>
        <v/>
      </c>
      <c r="G471" s="15">
        <f>IF(A471="","",MIN(Assumptions!$B$9,15/26*F471*C471))</f>
        <v/>
      </c>
      <c r="H471" s="16">
        <f>IF(A471="","",(1-Assumptions!$B$6-Assumptions!$B$7)^E471)</f>
        <v/>
      </c>
      <c r="I471" s="15">
        <f>IF(A471="","",G471*H471/(1+Assumptions!$B$4)^E471)</f>
        <v/>
      </c>
      <c r="J471" s="7">
        <f>IF(A471="","",C471&gt;=Assumptions!$B$10)</f>
        <v/>
      </c>
    </row>
    <row r="472">
      <c r="A472" s="12" t="n"/>
      <c r="B472" s="10" t="n"/>
      <c r="C472" s="13" t="n"/>
      <c r="D472" s="11" t="n"/>
      <c r="E472" s="14">
        <f>IF(A472="","",MAX(0,Assumptions!$B$8-B472))</f>
        <v/>
      </c>
      <c r="F472" s="15">
        <f>IF(A472="","",D472*(1+Assumptions!$B$5)^E472)</f>
        <v/>
      </c>
      <c r="G472" s="15">
        <f>IF(A472="","",MIN(Assumptions!$B$9,15/26*F472*C472))</f>
        <v/>
      </c>
      <c r="H472" s="16">
        <f>IF(A472="","",(1-Assumptions!$B$6-Assumptions!$B$7)^E472)</f>
        <v/>
      </c>
      <c r="I472" s="15">
        <f>IF(A472="","",G472*H472/(1+Assumptions!$B$4)^E472)</f>
        <v/>
      </c>
      <c r="J472" s="7">
        <f>IF(A472="","",C472&gt;=Assumptions!$B$10)</f>
        <v/>
      </c>
    </row>
    <row r="473">
      <c r="A473" s="12" t="n"/>
      <c r="B473" s="10" t="n"/>
      <c r="C473" s="13" t="n"/>
      <c r="D473" s="11" t="n"/>
      <c r="E473" s="14">
        <f>IF(A473="","",MAX(0,Assumptions!$B$8-B473))</f>
        <v/>
      </c>
      <c r="F473" s="15">
        <f>IF(A473="","",D473*(1+Assumptions!$B$5)^E473)</f>
        <v/>
      </c>
      <c r="G473" s="15">
        <f>IF(A473="","",MIN(Assumptions!$B$9,15/26*F473*C473))</f>
        <v/>
      </c>
      <c r="H473" s="16">
        <f>IF(A473="","",(1-Assumptions!$B$6-Assumptions!$B$7)^E473)</f>
        <v/>
      </c>
      <c r="I473" s="15">
        <f>IF(A473="","",G473*H473/(1+Assumptions!$B$4)^E473)</f>
        <v/>
      </c>
      <c r="J473" s="7">
        <f>IF(A473="","",C473&gt;=Assumptions!$B$10)</f>
        <v/>
      </c>
    </row>
    <row r="474">
      <c r="A474" s="12" t="n"/>
      <c r="B474" s="10" t="n"/>
      <c r="C474" s="13" t="n"/>
      <c r="D474" s="11" t="n"/>
      <c r="E474" s="14">
        <f>IF(A474="","",MAX(0,Assumptions!$B$8-B474))</f>
        <v/>
      </c>
      <c r="F474" s="15">
        <f>IF(A474="","",D474*(1+Assumptions!$B$5)^E474)</f>
        <v/>
      </c>
      <c r="G474" s="15">
        <f>IF(A474="","",MIN(Assumptions!$B$9,15/26*F474*C474))</f>
        <v/>
      </c>
      <c r="H474" s="16">
        <f>IF(A474="","",(1-Assumptions!$B$6-Assumptions!$B$7)^E474)</f>
        <v/>
      </c>
      <c r="I474" s="15">
        <f>IF(A474="","",G474*H474/(1+Assumptions!$B$4)^E474)</f>
        <v/>
      </c>
      <c r="J474" s="7">
        <f>IF(A474="","",C474&gt;=Assumptions!$B$10)</f>
        <v/>
      </c>
    </row>
    <row r="475">
      <c r="A475" s="12" t="n"/>
      <c r="B475" s="10" t="n"/>
      <c r="C475" s="13" t="n"/>
      <c r="D475" s="11" t="n"/>
      <c r="E475" s="14">
        <f>IF(A475="","",MAX(0,Assumptions!$B$8-B475))</f>
        <v/>
      </c>
      <c r="F475" s="15">
        <f>IF(A475="","",D475*(1+Assumptions!$B$5)^E475)</f>
        <v/>
      </c>
      <c r="G475" s="15">
        <f>IF(A475="","",MIN(Assumptions!$B$9,15/26*F475*C475))</f>
        <v/>
      </c>
      <c r="H475" s="16">
        <f>IF(A475="","",(1-Assumptions!$B$6-Assumptions!$B$7)^E475)</f>
        <v/>
      </c>
      <c r="I475" s="15">
        <f>IF(A475="","",G475*H475/(1+Assumptions!$B$4)^E475)</f>
        <v/>
      </c>
      <c r="J475" s="7">
        <f>IF(A475="","",C475&gt;=Assumptions!$B$10)</f>
        <v/>
      </c>
    </row>
    <row r="476">
      <c r="A476" s="12" t="n"/>
      <c r="B476" s="10" t="n"/>
      <c r="C476" s="13" t="n"/>
      <c r="D476" s="11" t="n"/>
      <c r="E476" s="14">
        <f>IF(A476="","",MAX(0,Assumptions!$B$8-B476))</f>
        <v/>
      </c>
      <c r="F476" s="15">
        <f>IF(A476="","",D476*(1+Assumptions!$B$5)^E476)</f>
        <v/>
      </c>
      <c r="G476" s="15">
        <f>IF(A476="","",MIN(Assumptions!$B$9,15/26*F476*C476))</f>
        <v/>
      </c>
      <c r="H476" s="16">
        <f>IF(A476="","",(1-Assumptions!$B$6-Assumptions!$B$7)^E476)</f>
        <v/>
      </c>
      <c r="I476" s="15">
        <f>IF(A476="","",G476*H476/(1+Assumptions!$B$4)^E476)</f>
        <v/>
      </c>
      <c r="J476" s="7">
        <f>IF(A476="","",C476&gt;=Assumptions!$B$10)</f>
        <v/>
      </c>
    </row>
    <row r="477">
      <c r="A477" s="12" t="n"/>
      <c r="B477" s="10" t="n"/>
      <c r="C477" s="13" t="n"/>
      <c r="D477" s="11" t="n"/>
      <c r="E477" s="14">
        <f>IF(A477="","",MAX(0,Assumptions!$B$8-B477))</f>
        <v/>
      </c>
      <c r="F477" s="15">
        <f>IF(A477="","",D477*(1+Assumptions!$B$5)^E477)</f>
        <v/>
      </c>
      <c r="G477" s="15">
        <f>IF(A477="","",MIN(Assumptions!$B$9,15/26*F477*C477))</f>
        <v/>
      </c>
      <c r="H477" s="16">
        <f>IF(A477="","",(1-Assumptions!$B$6-Assumptions!$B$7)^E477)</f>
        <v/>
      </c>
      <c r="I477" s="15">
        <f>IF(A477="","",G477*H477/(1+Assumptions!$B$4)^E477)</f>
        <v/>
      </c>
      <c r="J477" s="7">
        <f>IF(A477="","",C477&gt;=Assumptions!$B$10)</f>
        <v/>
      </c>
    </row>
    <row r="478">
      <c r="A478" s="12" t="n"/>
      <c r="B478" s="10" t="n"/>
      <c r="C478" s="13" t="n"/>
      <c r="D478" s="11" t="n"/>
      <c r="E478" s="14">
        <f>IF(A478="","",MAX(0,Assumptions!$B$8-B478))</f>
        <v/>
      </c>
      <c r="F478" s="15">
        <f>IF(A478="","",D478*(1+Assumptions!$B$5)^E478)</f>
        <v/>
      </c>
      <c r="G478" s="15">
        <f>IF(A478="","",MIN(Assumptions!$B$9,15/26*F478*C478))</f>
        <v/>
      </c>
      <c r="H478" s="16">
        <f>IF(A478="","",(1-Assumptions!$B$6-Assumptions!$B$7)^E478)</f>
        <v/>
      </c>
      <c r="I478" s="15">
        <f>IF(A478="","",G478*H478/(1+Assumptions!$B$4)^E478)</f>
        <v/>
      </c>
      <c r="J478" s="7">
        <f>IF(A478="","",C478&gt;=Assumptions!$B$10)</f>
        <v/>
      </c>
    </row>
    <row r="479">
      <c r="A479" s="12" t="n"/>
      <c r="B479" s="10" t="n"/>
      <c r="C479" s="13" t="n"/>
      <c r="D479" s="11" t="n"/>
      <c r="E479" s="14">
        <f>IF(A479="","",MAX(0,Assumptions!$B$8-B479))</f>
        <v/>
      </c>
      <c r="F479" s="15">
        <f>IF(A479="","",D479*(1+Assumptions!$B$5)^E479)</f>
        <v/>
      </c>
      <c r="G479" s="15">
        <f>IF(A479="","",MIN(Assumptions!$B$9,15/26*F479*C479))</f>
        <v/>
      </c>
      <c r="H479" s="16">
        <f>IF(A479="","",(1-Assumptions!$B$6-Assumptions!$B$7)^E479)</f>
        <v/>
      </c>
      <c r="I479" s="15">
        <f>IF(A479="","",G479*H479/(1+Assumptions!$B$4)^E479)</f>
        <v/>
      </c>
      <c r="J479" s="7">
        <f>IF(A479="","",C479&gt;=Assumptions!$B$10)</f>
        <v/>
      </c>
    </row>
    <row r="480">
      <c r="A480" s="12" t="n"/>
      <c r="B480" s="10" t="n"/>
      <c r="C480" s="13" t="n"/>
      <c r="D480" s="11" t="n"/>
      <c r="E480" s="14">
        <f>IF(A480="","",MAX(0,Assumptions!$B$8-B480))</f>
        <v/>
      </c>
      <c r="F480" s="15">
        <f>IF(A480="","",D480*(1+Assumptions!$B$5)^E480)</f>
        <v/>
      </c>
      <c r="G480" s="15">
        <f>IF(A480="","",MIN(Assumptions!$B$9,15/26*F480*C480))</f>
        <v/>
      </c>
      <c r="H480" s="16">
        <f>IF(A480="","",(1-Assumptions!$B$6-Assumptions!$B$7)^E480)</f>
        <v/>
      </c>
      <c r="I480" s="15">
        <f>IF(A480="","",G480*H480/(1+Assumptions!$B$4)^E480)</f>
        <v/>
      </c>
      <c r="J480" s="7">
        <f>IF(A480="","",C480&gt;=Assumptions!$B$10)</f>
        <v/>
      </c>
    </row>
    <row r="481">
      <c r="A481" s="12" t="n"/>
      <c r="B481" s="10" t="n"/>
      <c r="C481" s="13" t="n"/>
      <c r="D481" s="11" t="n"/>
      <c r="E481" s="14">
        <f>IF(A481="","",MAX(0,Assumptions!$B$8-B481))</f>
        <v/>
      </c>
      <c r="F481" s="15">
        <f>IF(A481="","",D481*(1+Assumptions!$B$5)^E481)</f>
        <v/>
      </c>
      <c r="G481" s="15">
        <f>IF(A481="","",MIN(Assumptions!$B$9,15/26*F481*C481))</f>
        <v/>
      </c>
      <c r="H481" s="16">
        <f>IF(A481="","",(1-Assumptions!$B$6-Assumptions!$B$7)^E481)</f>
        <v/>
      </c>
      <c r="I481" s="15">
        <f>IF(A481="","",G481*H481/(1+Assumptions!$B$4)^E481)</f>
        <v/>
      </c>
      <c r="J481" s="7">
        <f>IF(A481="","",C481&gt;=Assumptions!$B$10)</f>
        <v/>
      </c>
    </row>
    <row r="482">
      <c r="A482" s="12" t="n"/>
      <c r="B482" s="10" t="n"/>
      <c r="C482" s="13" t="n"/>
      <c r="D482" s="11" t="n"/>
      <c r="E482" s="14">
        <f>IF(A482="","",MAX(0,Assumptions!$B$8-B482))</f>
        <v/>
      </c>
      <c r="F482" s="15">
        <f>IF(A482="","",D482*(1+Assumptions!$B$5)^E482)</f>
        <v/>
      </c>
      <c r="G482" s="15">
        <f>IF(A482="","",MIN(Assumptions!$B$9,15/26*F482*C482))</f>
        <v/>
      </c>
      <c r="H482" s="16">
        <f>IF(A482="","",(1-Assumptions!$B$6-Assumptions!$B$7)^E482)</f>
        <v/>
      </c>
      <c r="I482" s="15">
        <f>IF(A482="","",G482*H482/(1+Assumptions!$B$4)^E482)</f>
        <v/>
      </c>
      <c r="J482" s="7">
        <f>IF(A482="","",C482&gt;=Assumptions!$B$10)</f>
        <v/>
      </c>
    </row>
    <row r="483">
      <c r="A483" s="12" t="n"/>
      <c r="B483" s="10" t="n"/>
      <c r="C483" s="13" t="n"/>
      <c r="D483" s="11" t="n"/>
      <c r="E483" s="14">
        <f>IF(A483="","",MAX(0,Assumptions!$B$8-B483))</f>
        <v/>
      </c>
      <c r="F483" s="15">
        <f>IF(A483="","",D483*(1+Assumptions!$B$5)^E483)</f>
        <v/>
      </c>
      <c r="G483" s="15">
        <f>IF(A483="","",MIN(Assumptions!$B$9,15/26*F483*C483))</f>
        <v/>
      </c>
      <c r="H483" s="16">
        <f>IF(A483="","",(1-Assumptions!$B$6-Assumptions!$B$7)^E483)</f>
        <v/>
      </c>
      <c r="I483" s="15">
        <f>IF(A483="","",G483*H483/(1+Assumptions!$B$4)^E483)</f>
        <v/>
      </c>
      <c r="J483" s="7">
        <f>IF(A483="","",C483&gt;=Assumptions!$B$10)</f>
        <v/>
      </c>
    </row>
    <row r="484">
      <c r="A484" s="12" t="n"/>
      <c r="B484" s="10" t="n"/>
      <c r="C484" s="13" t="n"/>
      <c r="D484" s="11" t="n"/>
      <c r="E484" s="14">
        <f>IF(A484="","",MAX(0,Assumptions!$B$8-B484))</f>
        <v/>
      </c>
      <c r="F484" s="15">
        <f>IF(A484="","",D484*(1+Assumptions!$B$5)^E484)</f>
        <v/>
      </c>
      <c r="G484" s="15">
        <f>IF(A484="","",MIN(Assumptions!$B$9,15/26*F484*C484))</f>
        <v/>
      </c>
      <c r="H484" s="16">
        <f>IF(A484="","",(1-Assumptions!$B$6-Assumptions!$B$7)^E484)</f>
        <v/>
      </c>
      <c r="I484" s="15">
        <f>IF(A484="","",G484*H484/(1+Assumptions!$B$4)^E484)</f>
        <v/>
      </c>
      <c r="J484" s="7">
        <f>IF(A484="","",C484&gt;=Assumptions!$B$10)</f>
        <v/>
      </c>
    </row>
    <row r="485">
      <c r="A485" s="12" t="n"/>
      <c r="B485" s="10" t="n"/>
      <c r="C485" s="13" t="n"/>
      <c r="D485" s="11" t="n"/>
      <c r="E485" s="14">
        <f>IF(A485="","",MAX(0,Assumptions!$B$8-B485))</f>
        <v/>
      </c>
      <c r="F485" s="15">
        <f>IF(A485="","",D485*(1+Assumptions!$B$5)^E485)</f>
        <v/>
      </c>
      <c r="G485" s="15">
        <f>IF(A485="","",MIN(Assumptions!$B$9,15/26*F485*C485))</f>
        <v/>
      </c>
      <c r="H485" s="16">
        <f>IF(A485="","",(1-Assumptions!$B$6-Assumptions!$B$7)^E485)</f>
        <v/>
      </c>
      <c r="I485" s="15">
        <f>IF(A485="","",G485*H485/(1+Assumptions!$B$4)^E485)</f>
        <v/>
      </c>
      <c r="J485" s="7">
        <f>IF(A485="","",C485&gt;=Assumptions!$B$10)</f>
        <v/>
      </c>
    </row>
    <row r="486">
      <c r="A486" s="12" t="n"/>
      <c r="B486" s="10" t="n"/>
      <c r="C486" s="13" t="n"/>
      <c r="D486" s="11" t="n"/>
      <c r="E486" s="14">
        <f>IF(A486="","",MAX(0,Assumptions!$B$8-B486))</f>
        <v/>
      </c>
      <c r="F486" s="15">
        <f>IF(A486="","",D486*(1+Assumptions!$B$5)^E486)</f>
        <v/>
      </c>
      <c r="G486" s="15">
        <f>IF(A486="","",MIN(Assumptions!$B$9,15/26*F486*C486))</f>
        <v/>
      </c>
      <c r="H486" s="16">
        <f>IF(A486="","",(1-Assumptions!$B$6-Assumptions!$B$7)^E486)</f>
        <v/>
      </c>
      <c r="I486" s="15">
        <f>IF(A486="","",G486*H486/(1+Assumptions!$B$4)^E486)</f>
        <v/>
      </c>
      <c r="J486" s="7">
        <f>IF(A486="","",C486&gt;=Assumptions!$B$10)</f>
        <v/>
      </c>
    </row>
    <row r="487">
      <c r="A487" s="12" t="n"/>
      <c r="B487" s="10" t="n"/>
      <c r="C487" s="13" t="n"/>
      <c r="D487" s="11" t="n"/>
      <c r="E487" s="14">
        <f>IF(A487="","",MAX(0,Assumptions!$B$8-B487))</f>
        <v/>
      </c>
      <c r="F487" s="15">
        <f>IF(A487="","",D487*(1+Assumptions!$B$5)^E487)</f>
        <v/>
      </c>
      <c r="G487" s="15">
        <f>IF(A487="","",MIN(Assumptions!$B$9,15/26*F487*C487))</f>
        <v/>
      </c>
      <c r="H487" s="16">
        <f>IF(A487="","",(1-Assumptions!$B$6-Assumptions!$B$7)^E487)</f>
        <v/>
      </c>
      <c r="I487" s="15">
        <f>IF(A487="","",G487*H487/(1+Assumptions!$B$4)^E487)</f>
        <v/>
      </c>
      <c r="J487" s="7">
        <f>IF(A487="","",C487&gt;=Assumptions!$B$10)</f>
        <v/>
      </c>
    </row>
    <row r="488">
      <c r="A488" s="12" t="n"/>
      <c r="B488" s="10" t="n"/>
      <c r="C488" s="13" t="n"/>
      <c r="D488" s="11" t="n"/>
      <c r="E488" s="14">
        <f>IF(A488="","",MAX(0,Assumptions!$B$8-B488))</f>
        <v/>
      </c>
      <c r="F488" s="15">
        <f>IF(A488="","",D488*(1+Assumptions!$B$5)^E488)</f>
        <v/>
      </c>
      <c r="G488" s="15">
        <f>IF(A488="","",MIN(Assumptions!$B$9,15/26*F488*C488))</f>
        <v/>
      </c>
      <c r="H488" s="16">
        <f>IF(A488="","",(1-Assumptions!$B$6-Assumptions!$B$7)^E488)</f>
        <v/>
      </c>
      <c r="I488" s="15">
        <f>IF(A488="","",G488*H488/(1+Assumptions!$B$4)^E488)</f>
        <v/>
      </c>
      <c r="J488" s="7">
        <f>IF(A488="","",C488&gt;=Assumptions!$B$10)</f>
        <v/>
      </c>
    </row>
    <row r="489">
      <c r="A489" s="12" t="n"/>
      <c r="B489" s="10" t="n"/>
      <c r="C489" s="13" t="n"/>
      <c r="D489" s="11" t="n"/>
      <c r="E489" s="14">
        <f>IF(A489="","",MAX(0,Assumptions!$B$8-B489))</f>
        <v/>
      </c>
      <c r="F489" s="15">
        <f>IF(A489="","",D489*(1+Assumptions!$B$5)^E489)</f>
        <v/>
      </c>
      <c r="G489" s="15">
        <f>IF(A489="","",MIN(Assumptions!$B$9,15/26*F489*C489))</f>
        <v/>
      </c>
      <c r="H489" s="16">
        <f>IF(A489="","",(1-Assumptions!$B$6-Assumptions!$B$7)^E489)</f>
        <v/>
      </c>
      <c r="I489" s="15">
        <f>IF(A489="","",G489*H489/(1+Assumptions!$B$4)^E489)</f>
        <v/>
      </c>
      <c r="J489" s="7">
        <f>IF(A489="","",C489&gt;=Assumptions!$B$10)</f>
        <v/>
      </c>
    </row>
    <row r="490">
      <c r="A490" s="12" t="n"/>
      <c r="B490" s="10" t="n"/>
      <c r="C490" s="13" t="n"/>
      <c r="D490" s="11" t="n"/>
      <c r="E490" s="14">
        <f>IF(A490="","",MAX(0,Assumptions!$B$8-B490))</f>
        <v/>
      </c>
      <c r="F490" s="15">
        <f>IF(A490="","",D490*(1+Assumptions!$B$5)^E490)</f>
        <v/>
      </c>
      <c r="G490" s="15">
        <f>IF(A490="","",MIN(Assumptions!$B$9,15/26*F490*C490))</f>
        <v/>
      </c>
      <c r="H490" s="16">
        <f>IF(A490="","",(1-Assumptions!$B$6-Assumptions!$B$7)^E490)</f>
        <v/>
      </c>
      <c r="I490" s="15">
        <f>IF(A490="","",G490*H490/(1+Assumptions!$B$4)^E490)</f>
        <v/>
      </c>
      <c r="J490" s="7">
        <f>IF(A490="","",C490&gt;=Assumptions!$B$10)</f>
        <v/>
      </c>
    </row>
    <row r="491">
      <c r="A491" s="12" t="n"/>
      <c r="B491" s="10" t="n"/>
      <c r="C491" s="13" t="n"/>
      <c r="D491" s="11" t="n"/>
      <c r="E491" s="14">
        <f>IF(A491="","",MAX(0,Assumptions!$B$8-B491))</f>
        <v/>
      </c>
      <c r="F491" s="15">
        <f>IF(A491="","",D491*(1+Assumptions!$B$5)^E491)</f>
        <v/>
      </c>
      <c r="G491" s="15">
        <f>IF(A491="","",MIN(Assumptions!$B$9,15/26*F491*C491))</f>
        <v/>
      </c>
      <c r="H491" s="16">
        <f>IF(A491="","",(1-Assumptions!$B$6-Assumptions!$B$7)^E491)</f>
        <v/>
      </c>
      <c r="I491" s="15">
        <f>IF(A491="","",G491*H491/(1+Assumptions!$B$4)^E491)</f>
        <v/>
      </c>
      <c r="J491" s="7">
        <f>IF(A491="","",C491&gt;=Assumptions!$B$10)</f>
        <v/>
      </c>
    </row>
    <row r="492">
      <c r="A492" s="12" t="n"/>
      <c r="B492" s="10" t="n"/>
      <c r="C492" s="13" t="n"/>
      <c r="D492" s="11" t="n"/>
      <c r="E492" s="14">
        <f>IF(A492="","",MAX(0,Assumptions!$B$8-B492))</f>
        <v/>
      </c>
      <c r="F492" s="15">
        <f>IF(A492="","",D492*(1+Assumptions!$B$5)^E492)</f>
        <v/>
      </c>
      <c r="G492" s="15">
        <f>IF(A492="","",MIN(Assumptions!$B$9,15/26*F492*C492))</f>
        <v/>
      </c>
      <c r="H492" s="16">
        <f>IF(A492="","",(1-Assumptions!$B$6-Assumptions!$B$7)^E492)</f>
        <v/>
      </c>
      <c r="I492" s="15">
        <f>IF(A492="","",G492*H492/(1+Assumptions!$B$4)^E492)</f>
        <v/>
      </c>
      <c r="J492" s="7">
        <f>IF(A492="","",C492&gt;=Assumptions!$B$10)</f>
        <v/>
      </c>
    </row>
    <row r="493">
      <c r="A493" s="12" t="n"/>
      <c r="B493" s="10" t="n"/>
      <c r="C493" s="13" t="n"/>
      <c r="D493" s="11" t="n"/>
      <c r="E493" s="14">
        <f>IF(A493="","",MAX(0,Assumptions!$B$8-B493))</f>
        <v/>
      </c>
      <c r="F493" s="15">
        <f>IF(A493="","",D493*(1+Assumptions!$B$5)^E493)</f>
        <v/>
      </c>
      <c r="G493" s="15">
        <f>IF(A493="","",MIN(Assumptions!$B$9,15/26*F493*C493))</f>
        <v/>
      </c>
      <c r="H493" s="16">
        <f>IF(A493="","",(1-Assumptions!$B$6-Assumptions!$B$7)^E493)</f>
        <v/>
      </c>
      <c r="I493" s="15">
        <f>IF(A493="","",G493*H493/(1+Assumptions!$B$4)^E493)</f>
        <v/>
      </c>
      <c r="J493" s="7">
        <f>IF(A493="","",C493&gt;=Assumptions!$B$10)</f>
        <v/>
      </c>
    </row>
    <row r="494">
      <c r="A494" s="12" t="n"/>
      <c r="B494" s="10" t="n"/>
      <c r="C494" s="13" t="n"/>
      <c r="D494" s="11" t="n"/>
      <c r="E494" s="14">
        <f>IF(A494="","",MAX(0,Assumptions!$B$8-B494))</f>
        <v/>
      </c>
      <c r="F494" s="15">
        <f>IF(A494="","",D494*(1+Assumptions!$B$5)^E494)</f>
        <v/>
      </c>
      <c r="G494" s="15">
        <f>IF(A494="","",MIN(Assumptions!$B$9,15/26*F494*C494))</f>
        <v/>
      </c>
      <c r="H494" s="16">
        <f>IF(A494="","",(1-Assumptions!$B$6-Assumptions!$B$7)^E494)</f>
        <v/>
      </c>
      <c r="I494" s="15">
        <f>IF(A494="","",G494*H494/(1+Assumptions!$B$4)^E494)</f>
        <v/>
      </c>
      <c r="J494" s="7">
        <f>IF(A494="","",C494&gt;=Assumptions!$B$10)</f>
        <v/>
      </c>
    </row>
    <row r="495">
      <c r="A495" s="12" t="n"/>
      <c r="B495" s="10" t="n"/>
      <c r="C495" s="13" t="n"/>
      <c r="D495" s="11" t="n"/>
      <c r="E495" s="14">
        <f>IF(A495="","",MAX(0,Assumptions!$B$8-B495))</f>
        <v/>
      </c>
      <c r="F495" s="15">
        <f>IF(A495="","",D495*(1+Assumptions!$B$5)^E495)</f>
        <v/>
      </c>
      <c r="G495" s="15">
        <f>IF(A495="","",MIN(Assumptions!$B$9,15/26*F495*C495))</f>
        <v/>
      </c>
      <c r="H495" s="16">
        <f>IF(A495="","",(1-Assumptions!$B$6-Assumptions!$B$7)^E495)</f>
        <v/>
      </c>
      <c r="I495" s="15">
        <f>IF(A495="","",G495*H495/(1+Assumptions!$B$4)^E495)</f>
        <v/>
      </c>
      <c r="J495" s="7">
        <f>IF(A495="","",C495&gt;=Assumptions!$B$10)</f>
        <v/>
      </c>
    </row>
    <row r="496">
      <c r="A496" s="12" t="n"/>
      <c r="B496" s="10" t="n"/>
      <c r="C496" s="13" t="n"/>
      <c r="D496" s="11" t="n"/>
      <c r="E496" s="14">
        <f>IF(A496="","",MAX(0,Assumptions!$B$8-B496))</f>
        <v/>
      </c>
      <c r="F496" s="15">
        <f>IF(A496="","",D496*(1+Assumptions!$B$5)^E496)</f>
        <v/>
      </c>
      <c r="G496" s="15">
        <f>IF(A496="","",MIN(Assumptions!$B$9,15/26*F496*C496))</f>
        <v/>
      </c>
      <c r="H496" s="16">
        <f>IF(A496="","",(1-Assumptions!$B$6-Assumptions!$B$7)^E496)</f>
        <v/>
      </c>
      <c r="I496" s="15">
        <f>IF(A496="","",G496*H496/(1+Assumptions!$B$4)^E496)</f>
        <v/>
      </c>
      <c r="J496" s="7">
        <f>IF(A496="","",C496&gt;=Assumptions!$B$10)</f>
        <v/>
      </c>
    </row>
    <row r="497">
      <c r="A497" s="12" t="n"/>
      <c r="B497" s="10" t="n"/>
      <c r="C497" s="13" t="n"/>
      <c r="D497" s="11" t="n"/>
      <c r="E497" s="14">
        <f>IF(A497="","",MAX(0,Assumptions!$B$8-B497))</f>
        <v/>
      </c>
      <c r="F497" s="15">
        <f>IF(A497="","",D497*(1+Assumptions!$B$5)^E497)</f>
        <v/>
      </c>
      <c r="G497" s="15">
        <f>IF(A497="","",MIN(Assumptions!$B$9,15/26*F497*C497))</f>
        <v/>
      </c>
      <c r="H497" s="16">
        <f>IF(A497="","",(1-Assumptions!$B$6-Assumptions!$B$7)^E497)</f>
        <v/>
      </c>
      <c r="I497" s="15">
        <f>IF(A497="","",G497*H497/(1+Assumptions!$B$4)^E497)</f>
        <v/>
      </c>
      <c r="J497" s="7">
        <f>IF(A497="","",C497&gt;=Assumptions!$B$10)</f>
        <v/>
      </c>
    </row>
    <row r="498">
      <c r="A498" s="12" t="n"/>
      <c r="B498" s="10" t="n"/>
      <c r="C498" s="13" t="n"/>
      <c r="D498" s="11" t="n"/>
      <c r="E498" s="14">
        <f>IF(A498="","",MAX(0,Assumptions!$B$8-B498))</f>
        <v/>
      </c>
      <c r="F498" s="15">
        <f>IF(A498="","",D498*(1+Assumptions!$B$5)^E498)</f>
        <v/>
      </c>
      <c r="G498" s="15">
        <f>IF(A498="","",MIN(Assumptions!$B$9,15/26*F498*C498))</f>
        <v/>
      </c>
      <c r="H498" s="16">
        <f>IF(A498="","",(1-Assumptions!$B$6-Assumptions!$B$7)^E498)</f>
        <v/>
      </c>
      <c r="I498" s="15">
        <f>IF(A498="","",G498*H498/(1+Assumptions!$B$4)^E498)</f>
        <v/>
      </c>
      <c r="J498" s="7">
        <f>IF(A498="","",C498&gt;=Assumptions!$B$10)</f>
        <v/>
      </c>
    </row>
    <row r="499">
      <c r="A499" s="12" t="n"/>
      <c r="B499" s="10" t="n"/>
      <c r="C499" s="13" t="n"/>
      <c r="D499" s="11" t="n"/>
      <c r="E499" s="14">
        <f>IF(A499="","",MAX(0,Assumptions!$B$8-B499))</f>
        <v/>
      </c>
      <c r="F499" s="15">
        <f>IF(A499="","",D499*(1+Assumptions!$B$5)^E499)</f>
        <v/>
      </c>
      <c r="G499" s="15">
        <f>IF(A499="","",MIN(Assumptions!$B$9,15/26*F499*C499))</f>
        <v/>
      </c>
      <c r="H499" s="16">
        <f>IF(A499="","",(1-Assumptions!$B$6-Assumptions!$B$7)^E499)</f>
        <v/>
      </c>
      <c r="I499" s="15">
        <f>IF(A499="","",G499*H499/(1+Assumptions!$B$4)^E499)</f>
        <v/>
      </c>
      <c r="J499" s="7">
        <f>IF(A499="","",C499&gt;=Assumptions!$B$10)</f>
        <v/>
      </c>
    </row>
    <row r="500">
      <c r="A500" s="12" t="n"/>
      <c r="B500" s="10" t="n"/>
      <c r="C500" s="13" t="n"/>
      <c r="D500" s="11" t="n"/>
      <c r="E500" s="14">
        <f>IF(A500="","",MAX(0,Assumptions!$B$8-B500))</f>
        <v/>
      </c>
      <c r="F500" s="15">
        <f>IF(A500="","",D500*(1+Assumptions!$B$5)^E500)</f>
        <v/>
      </c>
      <c r="G500" s="15">
        <f>IF(A500="","",MIN(Assumptions!$B$9,15/26*F500*C500))</f>
        <v/>
      </c>
      <c r="H500" s="16">
        <f>IF(A500="","",(1-Assumptions!$B$6-Assumptions!$B$7)^E500)</f>
        <v/>
      </c>
      <c r="I500" s="15">
        <f>IF(A500="","",G500*H500/(1+Assumptions!$B$4)^E500)</f>
        <v/>
      </c>
      <c r="J500" s="7">
        <f>IF(A500="","",C500&gt;=Assumptions!$B$10)</f>
        <v/>
      </c>
    </row>
    <row r="501">
      <c r="A501" s="12" t="n"/>
      <c r="B501" s="10" t="n"/>
      <c r="C501" s="13" t="n"/>
      <c r="D501" s="11" t="n"/>
      <c r="E501" s="14">
        <f>IF(A501="","",MAX(0,Assumptions!$B$8-B501))</f>
        <v/>
      </c>
      <c r="F501" s="15">
        <f>IF(A501="","",D501*(1+Assumptions!$B$5)^E501)</f>
        <v/>
      </c>
      <c r="G501" s="15">
        <f>IF(A501="","",MIN(Assumptions!$B$9,15/26*F501*C501))</f>
        <v/>
      </c>
      <c r="H501" s="16">
        <f>IF(A501="","",(1-Assumptions!$B$6-Assumptions!$B$7)^E501)</f>
        <v/>
      </c>
      <c r="I501" s="15">
        <f>IF(A501="","",G501*H501/(1+Assumptions!$B$4)^E501)</f>
        <v/>
      </c>
      <c r="J501" s="7">
        <f>IF(A501="","",C501&gt;=Assumptions!$B$10)</f>
        <v/>
      </c>
    </row>
    <row r="502">
      <c r="A502" s="12" t="n"/>
      <c r="B502" s="10" t="n"/>
      <c r="C502" s="13" t="n"/>
      <c r="D502" s="11" t="n"/>
      <c r="E502" s="14">
        <f>IF(A502="","",MAX(0,Assumptions!$B$8-B502))</f>
        <v/>
      </c>
      <c r="F502" s="15">
        <f>IF(A502="","",D502*(1+Assumptions!$B$5)^E502)</f>
        <v/>
      </c>
      <c r="G502" s="15">
        <f>IF(A502="","",MIN(Assumptions!$B$9,15/26*F502*C502))</f>
        <v/>
      </c>
      <c r="H502" s="16">
        <f>IF(A502="","",(1-Assumptions!$B$6-Assumptions!$B$7)^E502)</f>
        <v/>
      </c>
      <c r="I502" s="15">
        <f>IF(A502="","",G502*H502/(1+Assumptions!$B$4)^E502)</f>
        <v/>
      </c>
      <c r="J502" s="7">
        <f>IF(A502="","",C502&gt;=Assumptions!$B$10)</f>
        <v/>
      </c>
    </row>
    <row r="503">
      <c r="A503" s="12" t="n"/>
      <c r="B503" s="10" t="n"/>
      <c r="C503" s="13" t="n"/>
      <c r="D503" s="11" t="n"/>
      <c r="E503" s="14">
        <f>IF(A503="","",MAX(0,Assumptions!$B$8-B503))</f>
        <v/>
      </c>
      <c r="F503" s="15">
        <f>IF(A503="","",D503*(1+Assumptions!$B$5)^E503)</f>
        <v/>
      </c>
      <c r="G503" s="15">
        <f>IF(A503="","",MIN(Assumptions!$B$9,15/26*F503*C503))</f>
        <v/>
      </c>
      <c r="H503" s="16">
        <f>IF(A503="","",(1-Assumptions!$B$6-Assumptions!$B$7)^E503)</f>
        <v/>
      </c>
      <c r="I503" s="15">
        <f>IF(A503="","",G503*H503/(1+Assumptions!$B$4)^E503)</f>
        <v/>
      </c>
      <c r="J503" s="7">
        <f>IF(A503="","",C503&gt;=Assumptions!$B$10)</f>
        <v/>
      </c>
    </row>
    <row r="504">
      <c r="A504" s="12" t="n"/>
      <c r="B504" s="10" t="n"/>
      <c r="C504" s="13" t="n"/>
      <c r="D504" s="11" t="n"/>
      <c r="E504" s="14">
        <f>IF(A504="","",MAX(0,Assumptions!$B$8-B504))</f>
        <v/>
      </c>
      <c r="F504" s="15">
        <f>IF(A504="","",D504*(1+Assumptions!$B$5)^E504)</f>
        <v/>
      </c>
      <c r="G504" s="15">
        <f>IF(A504="","",MIN(Assumptions!$B$9,15/26*F504*C504))</f>
        <v/>
      </c>
      <c r="H504" s="16">
        <f>IF(A504="","",(1-Assumptions!$B$6-Assumptions!$B$7)^E504)</f>
        <v/>
      </c>
      <c r="I504" s="15">
        <f>IF(A504="","",G504*H504/(1+Assumptions!$B$4)^E504)</f>
        <v/>
      </c>
      <c r="J504" s="7">
        <f>IF(A504="","",C504&gt;=Assumptions!$B$10)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Results</t>
        </is>
      </c>
    </row>
    <row r="2"/>
    <row r="3"/>
    <row r="4">
      <c r="A4" t="inlineStr">
        <is>
          <t>DBO proxy (sum of PV)</t>
        </is>
      </c>
      <c r="B4" s="17">
        <f>SUM(Employees!I5:I504)</f>
        <v/>
      </c>
    </row>
    <row r="5">
      <c r="A5" t="inlineStr">
        <is>
          <t>note</t>
        </is>
      </c>
      <c r="B5" s="12" t="inlineStr">
        <is>
          <t>Book via K01 opex (payroll benefits) as annual service cost; gratuity paid in cash only on exit (K02).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35" customWidth="1" min="6" max="6"/>
    <col width="30" customWidth="1" min="7" max="7"/>
    <col width="25" customWidth="1" min="8" max="8"/>
    <col width="19" customWidth="1" min="9" max="9"/>
    <col width="19" customWidth="1" min="10" max="10"/>
    <col width="21" customWidth="1" min="11" max="11"/>
  </cols>
  <sheetData>
    <row r="1">
      <c r="A1" s="1" t="inlineStr">
        <is>
          <t>Insurance programme &amp; catastrophe BI scenario (Chennai floods 2015, Cyclone Michaung 2023 are reference events)</t>
        </is>
      </c>
    </row>
    <row r="2"/>
    <row r="3"/>
    <row r="4">
      <c r="A4" s="6" t="inlineStr">
        <is>
          <t>policy</t>
        </is>
      </c>
      <c r="B4" s="6" t="inlineStr">
        <is>
          <t>insurer</t>
        </is>
      </c>
      <c r="C4" s="6" t="inlineStr">
        <is>
          <t>sum insured</t>
        </is>
      </c>
      <c r="D4" s="6" t="inlineStr">
        <is>
          <t>premium</t>
        </is>
      </c>
      <c r="E4" s="6" t="inlineStr">
        <is>
          <t>renewal date</t>
        </is>
      </c>
      <c r="F4" s="6" t="inlineStr">
        <is>
          <t>days of interruption (scenario)</t>
        </is>
      </c>
      <c r="G4" s="6" t="inlineStr">
        <is>
          <t>daily gross profit at risk</t>
        </is>
      </c>
      <c r="H4" s="6" t="inlineStr">
        <is>
          <t>indemnity period days</t>
        </is>
      </c>
      <c r="I4" s="6" t="inlineStr">
        <is>
          <t>deductible days</t>
        </is>
      </c>
      <c r="J4" s="6" t="inlineStr">
        <is>
          <t>insured BI loss</t>
        </is>
      </c>
      <c r="K4" s="6" t="inlineStr">
        <is>
          <t>uninsured BI loss</t>
        </is>
      </c>
    </row>
    <row r="5">
      <c r="A5" s="12" t="inlineStr">
        <is>
          <t>Fire &amp; special perils + BI</t>
        </is>
      </c>
      <c r="B5" s="12" t="inlineStr">
        <is>
          <t>New India Assurance</t>
        </is>
      </c>
      <c r="C5" s="11" t="n">
        <v>450000000</v>
      </c>
      <c r="D5" s="11" t="n">
        <v>1250000</v>
      </c>
      <c r="E5" s="18" t="n">
        <v>46477</v>
      </c>
      <c r="F5" s="10" t="n">
        <v>10</v>
      </c>
      <c r="G5" s="11" t="n">
        <v>1100000</v>
      </c>
      <c r="H5" s="10" t="n">
        <v>90</v>
      </c>
      <c r="I5" s="10" t="n">
        <v>3</v>
      </c>
      <c r="J5" s="15">
        <f>IF(A5="","",MAX(0,MIN(F5,N(H5))-N(I5))*N(G5))</f>
        <v/>
      </c>
      <c r="K5" s="15">
        <f>IF(A5="","",N(F5)*N(G5)-J5)</f>
        <v/>
      </c>
    </row>
    <row r="6">
      <c r="A6" s="12" t="n"/>
      <c r="B6" s="12" t="n"/>
      <c r="C6" s="11" t="n"/>
      <c r="D6" s="11" t="n"/>
      <c r="E6" s="18" t="n"/>
      <c r="F6" s="10" t="n"/>
      <c r="G6" s="11" t="n"/>
      <c r="H6" s="10" t="n"/>
      <c r="I6" s="10" t="n"/>
      <c r="J6" s="15">
        <f>IF(A6="","",MAX(0,MIN(F6,N(H6))-N(I6))*N(G6))</f>
        <v/>
      </c>
      <c r="K6" s="15">
        <f>IF(A6="","",N(F6)*N(G6)-J6)</f>
        <v/>
      </c>
    </row>
    <row r="7">
      <c r="A7" s="12" t="n"/>
      <c r="B7" s="12" t="n"/>
      <c r="C7" s="11" t="n"/>
      <c r="D7" s="11" t="n"/>
      <c r="E7" s="18" t="n"/>
      <c r="F7" s="10" t="n"/>
      <c r="G7" s="11" t="n"/>
      <c r="H7" s="10" t="n"/>
      <c r="I7" s="10" t="n"/>
      <c r="J7" s="15">
        <f>IF(A7="","",MAX(0,MIN(F7,N(H7))-N(I7))*N(G7))</f>
        <v/>
      </c>
      <c r="K7" s="15">
        <f>IF(A7="","",N(F7)*N(G7)-J7)</f>
        <v/>
      </c>
    </row>
    <row r="8">
      <c r="A8" s="12" t="n"/>
      <c r="B8" s="12" t="n"/>
      <c r="C8" s="11" t="n"/>
      <c r="D8" s="11" t="n"/>
      <c r="E8" s="18" t="n"/>
      <c r="F8" s="10" t="n"/>
      <c r="G8" s="11" t="n"/>
      <c r="H8" s="10" t="n"/>
      <c r="I8" s="10" t="n"/>
      <c r="J8" s="15">
        <f>IF(A8="","",MAX(0,MIN(F8,N(H8))-N(I8))*N(G8))</f>
        <v/>
      </c>
      <c r="K8" s="15">
        <f>IF(A8="","",N(F8)*N(G8)-J8)</f>
        <v/>
      </c>
    </row>
    <row r="9">
      <c r="A9" s="12" t="n"/>
      <c r="B9" s="12" t="n"/>
      <c r="C9" s="11" t="n"/>
      <c r="D9" s="11" t="n"/>
      <c r="E9" s="18" t="n"/>
      <c r="F9" s="10" t="n"/>
      <c r="G9" s="11" t="n"/>
      <c r="H9" s="10" t="n"/>
      <c r="I9" s="10" t="n"/>
      <c r="J9" s="15">
        <f>IF(A9="","",MAX(0,MIN(F9,N(H9))-N(I9))*N(G9))</f>
        <v/>
      </c>
      <c r="K9" s="15">
        <f>IF(A9="","",N(F9)*N(G9)-J9)</f>
        <v/>
      </c>
    </row>
    <row r="10">
      <c r="A10" s="12" t="n"/>
      <c r="B10" s="12" t="n"/>
      <c r="C10" s="11" t="n"/>
      <c r="D10" s="11" t="n"/>
      <c r="E10" s="18" t="n"/>
      <c r="F10" s="10" t="n"/>
      <c r="G10" s="11" t="n"/>
      <c r="H10" s="10" t="n"/>
      <c r="I10" s="10" t="n"/>
      <c r="J10" s="15">
        <f>IF(A10="","",MAX(0,MIN(F10,N(H10))-N(I10))*N(G10))</f>
        <v/>
      </c>
      <c r="K10" s="15">
        <f>IF(A10="","",N(F10)*N(G10)-J10)</f>
        <v/>
      </c>
    </row>
    <row r="11">
      <c r="A11" s="12" t="n"/>
      <c r="B11" s="12" t="n"/>
      <c r="C11" s="11" t="n"/>
      <c r="D11" s="11" t="n"/>
      <c r="E11" s="18" t="n"/>
      <c r="F11" s="10" t="n"/>
      <c r="G11" s="11" t="n"/>
      <c r="H11" s="10" t="n"/>
      <c r="I11" s="10" t="n"/>
      <c r="J11" s="15">
        <f>IF(A11="","",MAX(0,MIN(F11,N(H11))-N(I11))*N(G11))</f>
        <v/>
      </c>
      <c r="K11" s="15">
        <f>IF(A11="","",N(F11)*N(G11)-J11)</f>
        <v/>
      </c>
    </row>
    <row r="12">
      <c r="A12" s="12" t="n"/>
      <c r="B12" s="12" t="n"/>
      <c r="C12" s="11" t="n"/>
      <c r="D12" s="11" t="n"/>
      <c r="E12" s="18" t="n"/>
      <c r="F12" s="10" t="n"/>
      <c r="G12" s="11" t="n"/>
      <c r="H12" s="10" t="n"/>
      <c r="I12" s="10" t="n"/>
      <c r="J12" s="15">
        <f>IF(A12="","",MAX(0,MIN(F12,N(H12))-N(I12))*N(G12))</f>
        <v/>
      </c>
      <c r="K12" s="15">
        <f>IF(A12="","",N(F12)*N(G12)-J12)</f>
        <v/>
      </c>
    </row>
    <row r="13">
      <c r="A13" s="12" t="n"/>
      <c r="B13" s="12" t="n"/>
      <c r="C13" s="11" t="n"/>
      <c r="D13" s="11" t="n"/>
      <c r="E13" s="18" t="n"/>
      <c r="F13" s="10" t="n"/>
      <c r="G13" s="11" t="n"/>
      <c r="H13" s="10" t="n"/>
      <c r="I13" s="10" t="n"/>
      <c r="J13" s="15">
        <f>IF(A13="","",MAX(0,MIN(F13,N(H13))-N(I13))*N(G13))</f>
        <v/>
      </c>
      <c r="K13" s="15">
        <f>IF(A13="","",N(F13)*N(G13)-J13)</f>
        <v/>
      </c>
    </row>
    <row r="14">
      <c r="A14" s="12" t="n"/>
      <c r="B14" s="12" t="n"/>
      <c r="C14" s="11" t="n"/>
      <c r="D14" s="11" t="n"/>
      <c r="E14" s="18" t="n"/>
      <c r="F14" s="10" t="n"/>
      <c r="G14" s="11" t="n"/>
      <c r="H14" s="10" t="n"/>
      <c r="I14" s="10" t="n"/>
      <c r="J14" s="15">
        <f>IF(A14="","",MAX(0,MIN(F14,N(H14))-N(I14))*N(G14))</f>
        <v/>
      </c>
      <c r="K14" s="15">
        <f>IF(A14="","",N(F14)*N(G14)-J14)</f>
        <v/>
      </c>
    </row>
    <row r="15">
      <c r="A15" s="12" t="n"/>
      <c r="B15" s="12" t="n"/>
      <c r="C15" s="11" t="n"/>
      <c r="D15" s="11" t="n"/>
      <c r="E15" s="18" t="n"/>
      <c r="F15" s="10" t="n"/>
      <c r="G15" s="11" t="n"/>
      <c r="H15" s="10" t="n"/>
      <c r="I15" s="10" t="n"/>
      <c r="J15" s="15">
        <f>IF(A15="","",MAX(0,MIN(F15,N(H15))-N(I15))*N(G15))</f>
        <v/>
      </c>
      <c r="K15" s="15">
        <f>IF(A15="","",N(F15)*N(G15)-J15)</f>
        <v/>
      </c>
    </row>
    <row r="16">
      <c r="A16" s="12" t="n"/>
      <c r="B16" s="12" t="n"/>
      <c r="C16" s="11" t="n"/>
      <c r="D16" s="11" t="n"/>
      <c r="E16" s="18" t="n"/>
      <c r="F16" s="10" t="n"/>
      <c r="G16" s="11" t="n"/>
      <c r="H16" s="10" t="n"/>
      <c r="I16" s="10" t="n"/>
      <c r="J16" s="15">
        <f>IF(A16="","",MAX(0,MIN(F16,N(H16))-N(I16))*N(G16))</f>
        <v/>
      </c>
      <c r="K16" s="15">
        <f>IF(A16="","",N(F16)*N(G16)-J16)</f>
        <v/>
      </c>
    </row>
    <row r="17">
      <c r="A17" s="12" t="n"/>
      <c r="B17" s="12" t="n"/>
      <c r="C17" s="11" t="n"/>
      <c r="D17" s="11" t="n"/>
      <c r="E17" s="18" t="n"/>
      <c r="F17" s="10" t="n"/>
      <c r="G17" s="11" t="n"/>
      <c r="H17" s="10" t="n"/>
      <c r="I17" s="10" t="n"/>
      <c r="J17" s="15">
        <f>IF(A17="","",MAX(0,MIN(F17,N(H17))-N(I17))*N(G17))</f>
        <v/>
      </c>
      <c r="K17" s="15">
        <f>IF(A17="","",N(F17)*N(G17)-J17)</f>
        <v/>
      </c>
    </row>
    <row r="18">
      <c r="A18" s="12" t="n"/>
      <c r="B18" s="12" t="n"/>
      <c r="C18" s="11" t="n"/>
      <c r="D18" s="11" t="n"/>
      <c r="E18" s="18" t="n"/>
      <c r="F18" s="10" t="n"/>
      <c r="G18" s="11" t="n"/>
      <c r="H18" s="10" t="n"/>
      <c r="I18" s="10" t="n"/>
      <c r="J18" s="15">
        <f>IF(A18="","",MAX(0,MIN(F18,N(H18))-N(I18))*N(G18))</f>
        <v/>
      </c>
      <c r="K18" s="15">
        <f>IF(A18="","",N(F18)*N(G18)-J18)</f>
        <v/>
      </c>
    </row>
    <row r="19">
      <c r="A19" s="12" t="n"/>
      <c r="B19" s="12" t="n"/>
      <c r="C19" s="11" t="n"/>
      <c r="D19" s="11" t="n"/>
      <c r="E19" s="18" t="n"/>
      <c r="F19" s="10" t="n"/>
      <c r="G19" s="11" t="n"/>
      <c r="H19" s="10" t="n"/>
      <c r="I19" s="10" t="n"/>
      <c r="J19" s="15">
        <f>IF(A19="","",MAX(0,MIN(F19,N(H19))-N(I19))*N(G19))</f>
        <v/>
      </c>
      <c r="K19" s="15">
        <f>IF(A19="","",N(F19)*N(G19)-J19)</f>
        <v/>
      </c>
    </row>
    <row r="20">
      <c r="A20" s="12" t="n"/>
      <c r="B20" s="12" t="n"/>
      <c r="C20" s="11" t="n"/>
      <c r="D20" s="11" t="n"/>
      <c r="E20" s="18" t="n"/>
      <c r="F20" s="10" t="n"/>
      <c r="G20" s="11" t="n"/>
      <c r="H20" s="10" t="n"/>
      <c r="I20" s="10" t="n"/>
      <c r="J20" s="15">
        <f>IF(A20="","",MAX(0,MIN(F20,N(H20))-N(I20))*N(G20))</f>
        <v/>
      </c>
      <c r="K20" s="15">
        <f>IF(A20="","",N(F20)*N(G20)-J20)</f>
        <v/>
      </c>
    </row>
    <row r="21">
      <c r="A21" s="12" t="n"/>
      <c r="B21" s="12" t="n"/>
      <c r="C21" s="11" t="n"/>
      <c r="D21" s="11" t="n"/>
      <c r="E21" s="18" t="n"/>
      <c r="F21" s="10" t="n"/>
      <c r="G21" s="11" t="n"/>
      <c r="H21" s="10" t="n"/>
      <c r="I21" s="10" t="n"/>
      <c r="J21" s="15">
        <f>IF(A21="","",MAX(0,MIN(F21,N(H21))-N(I21))*N(G21))</f>
        <v/>
      </c>
      <c r="K21" s="15">
        <f>IF(A21="","",N(F21)*N(G21)-J21)</f>
        <v/>
      </c>
    </row>
    <row r="22">
      <c r="A22" s="12" t="n"/>
      <c r="B22" s="12" t="n"/>
      <c r="C22" s="11" t="n"/>
      <c r="D22" s="11" t="n"/>
      <c r="E22" s="18" t="n"/>
      <c r="F22" s="10" t="n"/>
      <c r="G22" s="11" t="n"/>
      <c r="H22" s="10" t="n"/>
      <c r="I22" s="10" t="n"/>
      <c r="J22" s="15">
        <f>IF(A22="","",MAX(0,MIN(F22,N(H22))-N(I22))*N(G22))</f>
        <v/>
      </c>
      <c r="K22" s="15">
        <f>IF(A22="","",N(F22)*N(G22)-J22)</f>
        <v/>
      </c>
    </row>
    <row r="23">
      <c r="A23" s="12" t="n"/>
      <c r="B23" s="12" t="n"/>
      <c r="C23" s="11" t="n"/>
      <c r="D23" s="11" t="n"/>
      <c r="E23" s="18" t="n"/>
      <c r="F23" s="10" t="n"/>
      <c r="G23" s="11" t="n"/>
      <c r="H23" s="10" t="n"/>
      <c r="I23" s="10" t="n"/>
      <c r="J23" s="15">
        <f>IF(A23="","",MAX(0,MIN(F23,N(H23))-N(I23))*N(G23))</f>
        <v/>
      </c>
      <c r="K23" s="15">
        <f>IF(A23="","",N(F23)*N(G23)-J23)</f>
        <v/>
      </c>
    </row>
    <row r="24">
      <c r="A24" s="12" t="n"/>
      <c r="B24" s="12" t="n"/>
      <c r="C24" s="11" t="n"/>
      <c r="D24" s="11" t="n"/>
      <c r="E24" s="18" t="n"/>
      <c r="F24" s="10" t="n"/>
      <c r="G24" s="11" t="n"/>
      <c r="H24" s="10" t="n"/>
      <c r="I24" s="10" t="n"/>
      <c r="J24" s="15">
        <f>IF(A24="","",MAX(0,MIN(F24,N(H24))-N(I24))*N(G24))</f>
        <v/>
      </c>
      <c r="K24" s="15">
        <f>IF(A24="","",N(F24)*N(G24)-J24)</f>
        <v/>
      </c>
    </row>
    <row r="25">
      <c r="A25" s="12" t="n"/>
      <c r="B25" s="12" t="n"/>
      <c r="C25" s="11" t="n"/>
      <c r="D25" s="11" t="n"/>
      <c r="E25" s="18" t="n"/>
      <c r="F25" s="10" t="n"/>
      <c r="G25" s="11" t="n"/>
      <c r="H25" s="10" t="n"/>
      <c r="I25" s="10" t="n"/>
      <c r="J25" s="15">
        <f>IF(A25="","",MAX(0,MIN(F25,N(H25))-N(I25))*N(G25))</f>
        <v/>
      </c>
      <c r="K25" s="15">
        <f>IF(A25="","",N(F25)*N(G25)-J25)</f>
        <v/>
      </c>
    </row>
    <row r="26">
      <c r="A26" s="12" t="n"/>
      <c r="B26" s="12" t="n"/>
      <c r="C26" s="11" t="n"/>
      <c r="D26" s="11" t="n"/>
      <c r="E26" s="18" t="n"/>
      <c r="F26" s="10" t="n"/>
      <c r="G26" s="11" t="n"/>
      <c r="H26" s="10" t="n"/>
      <c r="I26" s="10" t="n"/>
      <c r="J26" s="15">
        <f>IF(A26="","",MAX(0,MIN(F26,N(H26))-N(I26))*N(G26))</f>
        <v/>
      </c>
      <c r="K26" s="15">
        <f>IF(A26="","",N(F26)*N(G26)-J26)</f>
        <v/>
      </c>
    </row>
    <row r="27">
      <c r="A27" s="12" t="n"/>
      <c r="B27" s="12" t="n"/>
      <c r="C27" s="11" t="n"/>
      <c r="D27" s="11" t="n"/>
      <c r="E27" s="18" t="n"/>
      <c r="F27" s="10" t="n"/>
      <c r="G27" s="11" t="n"/>
      <c r="H27" s="10" t="n"/>
      <c r="I27" s="10" t="n"/>
      <c r="J27" s="15">
        <f>IF(A27="","",MAX(0,MIN(F27,N(H27))-N(I27))*N(G27))</f>
        <v/>
      </c>
      <c r="K27" s="15">
        <f>IF(A27="","",N(F27)*N(G27)-J27)</f>
        <v/>
      </c>
    </row>
    <row r="28">
      <c r="A28" s="12" t="n"/>
      <c r="B28" s="12" t="n"/>
      <c r="C28" s="11" t="n"/>
      <c r="D28" s="11" t="n"/>
      <c r="E28" s="18" t="n"/>
      <c r="F28" s="10" t="n"/>
      <c r="G28" s="11" t="n"/>
      <c r="H28" s="10" t="n"/>
      <c r="I28" s="10" t="n"/>
      <c r="J28" s="15">
        <f>IF(A28="","",MAX(0,MIN(F28,N(H28))-N(I28))*N(G28))</f>
        <v/>
      </c>
      <c r="K28" s="15">
        <f>IF(A28="","",N(F28)*N(G28)-J28)</f>
        <v/>
      </c>
    </row>
    <row r="29">
      <c r="A29" s="12" t="n"/>
      <c r="B29" s="12" t="n"/>
      <c r="C29" s="11" t="n"/>
      <c r="D29" s="11" t="n"/>
      <c r="E29" s="18" t="n"/>
      <c r="F29" s="10" t="n"/>
      <c r="G29" s="11" t="n"/>
      <c r="H29" s="10" t="n"/>
      <c r="I29" s="10" t="n"/>
      <c r="J29" s="15">
        <f>IF(A29="","",MAX(0,MIN(F29,N(H29))-N(I29))*N(G29))</f>
        <v/>
      </c>
      <c r="K29" s="15">
        <f>IF(A29="","",N(F29)*N(G29)-J29)</f>
        <v/>
      </c>
    </row>
    <row r="30">
      <c r="A30" s="12" t="n"/>
      <c r="B30" s="12" t="n"/>
      <c r="C30" s="11" t="n"/>
      <c r="D30" s="11" t="n"/>
      <c r="E30" s="18" t="n"/>
      <c r="F30" s="10" t="n"/>
      <c r="G30" s="11" t="n"/>
      <c r="H30" s="10" t="n"/>
      <c r="I30" s="10" t="n"/>
      <c r="J30" s="15">
        <f>IF(A30="","",MAX(0,MIN(F30,N(H30))-N(I30))*N(G30))</f>
        <v/>
      </c>
      <c r="K30" s="15">
        <f>IF(A30="","",N(F30)*N(G30)-J30)</f>
        <v/>
      </c>
    </row>
    <row r="31">
      <c r="A31" s="12" t="n"/>
      <c r="B31" s="12" t="n"/>
      <c r="C31" s="11" t="n"/>
      <c r="D31" s="11" t="n"/>
      <c r="E31" s="18" t="n"/>
      <c r="F31" s="10" t="n"/>
      <c r="G31" s="11" t="n"/>
      <c r="H31" s="10" t="n"/>
      <c r="I31" s="10" t="n"/>
      <c r="J31" s="15">
        <f>IF(A31="","",MAX(0,MIN(F31,N(H31))-N(I31))*N(G31))</f>
        <v/>
      </c>
      <c r="K31" s="15">
        <f>IF(A31="","",N(F31)*N(G31)-J31)</f>
        <v/>
      </c>
    </row>
    <row r="32">
      <c r="A32" s="12" t="n"/>
      <c r="B32" s="12" t="n"/>
      <c r="C32" s="11" t="n"/>
      <c r="D32" s="11" t="n"/>
      <c r="E32" s="18" t="n"/>
      <c r="F32" s="10" t="n"/>
      <c r="G32" s="11" t="n"/>
      <c r="H32" s="10" t="n"/>
      <c r="I32" s="10" t="n"/>
      <c r="J32" s="15">
        <f>IF(A32="","",MAX(0,MIN(F32,N(H32))-N(I32))*N(G32))</f>
        <v/>
      </c>
      <c r="K32" s="15">
        <f>IF(A32="","",N(F32)*N(G32)-J32)</f>
        <v/>
      </c>
    </row>
    <row r="33">
      <c r="A33" s="12" t="n"/>
      <c r="B33" s="12" t="n"/>
      <c r="C33" s="11" t="n"/>
      <c r="D33" s="11" t="n"/>
      <c r="E33" s="18" t="n"/>
      <c r="F33" s="10" t="n"/>
      <c r="G33" s="11" t="n"/>
      <c r="H33" s="10" t="n"/>
      <c r="I33" s="10" t="n"/>
      <c r="J33" s="15">
        <f>IF(A33="","",MAX(0,MIN(F33,N(H33))-N(I33))*N(G33))</f>
        <v/>
      </c>
      <c r="K33" s="15">
        <f>IF(A33="","",N(F33)*N(G33)-J33)</f>
        <v/>
      </c>
    </row>
    <row r="34">
      <c r="A34" s="12" t="n"/>
      <c r="B34" s="12" t="n"/>
      <c r="C34" s="11" t="n"/>
      <c r="D34" s="11" t="n"/>
      <c r="E34" s="18" t="n"/>
      <c r="F34" s="10" t="n"/>
      <c r="G34" s="11" t="n"/>
      <c r="H34" s="10" t="n"/>
      <c r="I34" s="10" t="n"/>
      <c r="J34" s="15">
        <f>IF(A34="","",MAX(0,MIN(F34,N(H34))-N(I34))*N(G34))</f>
        <v/>
      </c>
      <c r="K34" s="15">
        <f>IF(A34="","",N(F34)*N(G34)-J34)</f>
        <v/>
      </c>
    </row>
    <row r="35">
      <c r="A35" s="12" t="n"/>
      <c r="B35" s="12" t="n"/>
      <c r="C35" s="11" t="n"/>
      <c r="D35" s="11" t="n"/>
      <c r="E35" s="18" t="n"/>
      <c r="F35" s="10" t="n"/>
      <c r="G35" s="11" t="n"/>
      <c r="H35" s="10" t="n"/>
      <c r="I35" s="10" t="n"/>
      <c r="J35" s="15">
        <f>IF(A35="","",MAX(0,MIN(F35,N(H35))-N(I35))*N(G35))</f>
        <v/>
      </c>
      <c r="K35" s="15">
        <f>IF(A35="","",N(F35)*N(G35)-J35)</f>
        <v/>
      </c>
    </row>
    <row r="36">
      <c r="A36" s="12" t="n"/>
      <c r="B36" s="12" t="n"/>
      <c r="C36" s="11" t="n"/>
      <c r="D36" s="11" t="n"/>
      <c r="E36" s="18" t="n"/>
      <c r="F36" s="10" t="n"/>
      <c r="G36" s="11" t="n"/>
      <c r="H36" s="10" t="n"/>
      <c r="I36" s="10" t="n"/>
      <c r="J36" s="15">
        <f>IF(A36="","",MAX(0,MIN(F36,N(H36))-N(I36))*N(G36))</f>
        <v/>
      </c>
      <c r="K36" s="15">
        <f>IF(A36="","",N(F36)*N(G36)-J36)</f>
        <v/>
      </c>
    </row>
    <row r="37">
      <c r="A37" s="12" t="n"/>
      <c r="B37" s="12" t="n"/>
      <c r="C37" s="11" t="n"/>
      <c r="D37" s="11" t="n"/>
      <c r="E37" s="18" t="n"/>
      <c r="F37" s="10" t="n"/>
      <c r="G37" s="11" t="n"/>
      <c r="H37" s="10" t="n"/>
      <c r="I37" s="10" t="n"/>
      <c r="J37" s="15">
        <f>IF(A37="","",MAX(0,MIN(F37,N(H37))-N(I37))*N(G37))</f>
        <v/>
      </c>
      <c r="K37" s="15">
        <f>IF(A37="","",N(F37)*N(G37)-J37)</f>
        <v/>
      </c>
    </row>
    <row r="38">
      <c r="A38" s="12" t="n"/>
      <c r="B38" s="12" t="n"/>
      <c r="C38" s="11" t="n"/>
      <c r="D38" s="11" t="n"/>
      <c r="E38" s="18" t="n"/>
      <c r="F38" s="10" t="n"/>
      <c r="G38" s="11" t="n"/>
      <c r="H38" s="10" t="n"/>
      <c r="I38" s="10" t="n"/>
      <c r="J38" s="15">
        <f>IF(A38="","",MAX(0,MIN(F38,N(H38))-N(I38))*N(G38))</f>
        <v/>
      </c>
      <c r="K38" s="15">
        <f>IF(A38="","",N(F38)*N(G38)-J38)</f>
        <v/>
      </c>
    </row>
    <row r="39">
      <c r="A39" s="12" t="n"/>
      <c r="B39" s="12" t="n"/>
      <c r="C39" s="11" t="n"/>
      <c r="D39" s="11" t="n"/>
      <c r="E39" s="18" t="n"/>
      <c r="F39" s="10" t="n"/>
      <c r="G39" s="11" t="n"/>
      <c r="H39" s="10" t="n"/>
      <c r="I39" s="10" t="n"/>
      <c r="J39" s="15">
        <f>IF(A39="","",MAX(0,MIN(F39,N(H39))-N(I39))*N(G39))</f>
        <v/>
      </c>
      <c r="K39" s="15">
        <f>IF(A39="","",N(F39)*N(G39)-J39)</f>
        <v/>
      </c>
    </row>
    <row r="40">
      <c r="A40" s="12" t="n"/>
      <c r="B40" s="12" t="n"/>
      <c r="C40" s="11" t="n"/>
      <c r="D40" s="11" t="n"/>
      <c r="E40" s="18" t="n"/>
      <c r="F40" s="10" t="n"/>
      <c r="G40" s="11" t="n"/>
      <c r="H40" s="10" t="n"/>
      <c r="I40" s="10" t="n"/>
      <c r="J40" s="15">
        <f>IF(A40="","",MAX(0,MIN(F40,N(H40))-N(I40))*N(G40))</f>
        <v/>
      </c>
      <c r="K40" s="15">
        <f>IF(A40="","",N(F40)*N(G40)-J40)</f>
        <v/>
      </c>
    </row>
    <row r="41">
      <c r="A41" s="12" t="n"/>
      <c r="B41" s="12" t="n"/>
      <c r="C41" s="11" t="n"/>
      <c r="D41" s="11" t="n"/>
      <c r="E41" s="18" t="n"/>
      <c r="F41" s="10" t="n"/>
      <c r="G41" s="11" t="n"/>
      <c r="H41" s="10" t="n"/>
      <c r="I41" s="10" t="n"/>
      <c r="J41" s="15">
        <f>IF(A41="","",MAX(0,MIN(F41,N(H41))-N(I41))*N(G41))</f>
        <v/>
      </c>
      <c r="K41" s="15">
        <f>IF(A41="","",N(F41)*N(G41)-J41)</f>
        <v/>
      </c>
    </row>
    <row r="42">
      <c r="A42" s="12" t="n"/>
      <c r="B42" s="12" t="n"/>
      <c r="C42" s="11" t="n"/>
      <c r="D42" s="11" t="n"/>
      <c r="E42" s="18" t="n"/>
      <c r="F42" s="10" t="n"/>
      <c r="G42" s="11" t="n"/>
      <c r="H42" s="10" t="n"/>
      <c r="I42" s="10" t="n"/>
      <c r="J42" s="15">
        <f>IF(A42="","",MAX(0,MIN(F42,N(H42))-N(I42))*N(G42))</f>
        <v/>
      </c>
      <c r="K42" s="15">
        <f>IF(A42="","",N(F42)*N(G42)-J42)</f>
        <v/>
      </c>
    </row>
    <row r="43">
      <c r="A43" s="12" t="n"/>
      <c r="B43" s="12" t="n"/>
      <c r="C43" s="11" t="n"/>
      <c r="D43" s="11" t="n"/>
      <c r="E43" s="18" t="n"/>
      <c r="F43" s="10" t="n"/>
      <c r="G43" s="11" t="n"/>
      <c r="H43" s="10" t="n"/>
      <c r="I43" s="10" t="n"/>
      <c r="J43" s="15">
        <f>IF(A43="","",MAX(0,MIN(F43,N(H43))-N(I43))*N(G43))</f>
        <v/>
      </c>
      <c r="K43" s="15">
        <f>IF(A43="","",N(F43)*N(G43)-J43)</f>
        <v/>
      </c>
    </row>
    <row r="44">
      <c r="A44" s="12" t="n"/>
      <c r="B44" s="12" t="n"/>
      <c r="C44" s="11" t="n"/>
      <c r="D44" s="11" t="n"/>
      <c r="E44" s="18" t="n"/>
      <c r="F44" s="10" t="n"/>
      <c r="G44" s="11" t="n"/>
      <c r="H44" s="10" t="n"/>
      <c r="I44" s="10" t="n"/>
      <c r="J44" s="15">
        <f>IF(A44="","",MAX(0,MIN(F44,N(H44))-N(I44))*N(G44))</f>
        <v/>
      </c>
      <c r="K44" s="15">
        <f>IF(A44="","",N(F44)*N(G44)-J44)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2026-10-18T16:52:45Z</dcterms:created>
  <dcterms:modified xmlns:dcterms="http://purl.org/dc/terms/" xmlns:xsi="http://www.w3.org/2001/XMLSchema-instance" xsi:type="dcterms:W3CDTF">2026-10-18T16:52:45Z</dcterms:modified>
</cp:coreProperties>
</file>