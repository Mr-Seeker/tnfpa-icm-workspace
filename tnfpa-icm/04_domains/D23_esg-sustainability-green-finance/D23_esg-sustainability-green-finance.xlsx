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Factors" sheetId="3" state="visible" r:id="rId3"/>
    <sheet xmlns:r="http://schemas.openxmlformats.org/officeDocument/2006/relationships" name="Activity" sheetId="4" state="visible" r:id="rId4"/>
    <sheet xmlns:r="http://schemas.openxmlformats.org/officeDocument/2006/relationships" name="BRSR" sheetId="5" state="visible" r:id="rId5"/>
    <sheet xmlns:r="http://schemas.openxmlformats.org/officeDocument/2006/relationships" name="GreenFinance" sheetId="6" state="visible" r:id="rId6"/>
  </sheets>
  <definedNames>
    <definedName name="rev_cr">'BRSR'!$B$6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#,##0;[Red]-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" fontId="4" fillId="3" borderId="1" pivotButton="0" quotePrefix="0" xfId="0"/>
    <xf numFmtId="4" fontId="4" fillId="3" borderId="1" pivotButton="0" quotePrefix="0" xfId="0"/>
    <xf numFmtId="3" fontId="0" fillId="0" borderId="1" pivotButton="0" quotePrefix="0" xfId="0"/>
    <xf numFmtId="1" fontId="0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166" fontId="5" fillId="0" borderId="1" pivotButton="0" quotePrefix="0" xfId="0"/>
    <xf numFmtId="3" fontId="4" fillId="3" borderId="1" pivotButton="0" quotePrefix="0" xfId="0"/>
    <xf numFmtId="165" fontId="4" fillId="3" borderId="1" pivotButton="0" quotePrefix="0" xfId="0"/>
    <xf numFmtId="167" fontId="4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D23 · ESG &amp; sustainability accounting / green finance platforms</t>
        </is>
      </c>
    </row>
    <row r="2"/>
    <row r="3">
      <c r="A3" s="2" t="inlineStr">
        <is>
          <t>Domain D23: ESG &amp; sustainability accounting / green finance platforms.</t>
        </is>
      </c>
    </row>
    <row r="4">
      <c r="A4" s="2" t="inlineStr">
        <is>
          <t>Scope 1/2 GHG inventory from activity data and dated emission factors, intensity per ₹ crore, BRSR KPIs, and green-finance use of proceeds.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companies/&lt;slug&gt;/domains/D23_esg-sustainability-green-finance/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opex (energy costs)  &lt;=  Activity</t>
        </is>
      </c>
    </row>
    <row r="11">
      <c r="A11" s="2" t="inlineStr">
        <is>
          <t>D09 projects (solar/efficiency)  &lt;=  GreenFinance</t>
        </is>
      </c>
    </row>
    <row r="12">
      <c r="A12" s="2" t="inlineStr">
        <is>
          <t>D19 BRSR disclosures  &lt;=  BRSR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every activity matches a factor</t>
        </is>
      </c>
      <c r="C5" s="7">
        <f>IF(COUNTIF(Activity!F5:F1004,"UNMATCHED")=0,"PASS","FAIL")</f>
        <v/>
      </c>
    </row>
    <row r="6">
      <c r="A6" t="n">
        <v>2</v>
      </c>
      <c r="B6" t="inlineStr">
        <is>
          <t>every factor has a source</t>
        </is>
      </c>
      <c r="C6" s="7">
        <f>IF(SUMPRODUCT((Factors!A5:A34&lt;&gt;"")*(Factors!E5:E34=""))=0,"PASS","FAIL")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7" customWidth="1" min="5" max="5"/>
  </cols>
  <sheetData>
    <row r="1">
      <c r="A1" s="1" t="inlineStr">
        <is>
          <t>Emission factors (edit with source + year; never undated)</t>
        </is>
      </c>
    </row>
    <row r="2"/>
    <row r="3"/>
    <row r="4">
      <c r="A4" s="6" t="inlineStr">
        <is>
          <t>activity</t>
        </is>
      </c>
      <c r="B4" s="6" t="inlineStr">
        <is>
          <t>unit</t>
        </is>
      </c>
      <c r="C4" s="6" t="inlineStr">
        <is>
          <t>kgCO2e per unit</t>
        </is>
      </c>
      <c r="D4" s="6" t="inlineStr">
        <is>
          <t>scope</t>
        </is>
      </c>
      <c r="E4" s="6" t="inlineStr">
        <is>
          <t>source &amp; year</t>
        </is>
      </c>
    </row>
    <row r="5">
      <c r="A5" s="8" t="inlineStr">
        <is>
          <t>Grid electricity (India)</t>
        </is>
      </c>
      <c r="B5" s="8" t="inlineStr">
        <is>
          <t>kWh</t>
        </is>
      </c>
      <c r="C5" s="9" t="n">
        <v>0.71</v>
      </c>
      <c r="D5" s="10" t="n">
        <v>2</v>
      </c>
      <c r="E5" s="8" t="inlineStr">
        <is>
          <t>CEA CO2 Baseline Database (verify latest version)</t>
        </is>
      </c>
    </row>
    <row r="6">
      <c r="A6" s="8" t="inlineStr">
        <is>
          <t>Diesel (DG sets, vehicles)</t>
        </is>
      </c>
      <c r="B6" s="8" t="inlineStr">
        <is>
          <t>litre</t>
        </is>
      </c>
      <c r="C6" s="9" t="n">
        <v>2.68</v>
      </c>
      <c r="D6" s="10" t="n">
        <v>1</v>
      </c>
      <c r="E6" s="8" t="inlineStr">
        <is>
          <t>IPCC 2006 / GHG Protocol</t>
        </is>
      </c>
    </row>
    <row r="7">
      <c r="A7" s="8" t="inlineStr">
        <is>
          <t>LPG</t>
        </is>
      </c>
      <c r="B7" s="8" t="inlineStr">
        <is>
          <t>kg</t>
        </is>
      </c>
      <c r="C7" s="9" t="n">
        <v>2.98</v>
      </c>
      <c r="D7" s="10" t="n">
        <v>1</v>
      </c>
      <c r="E7" s="8" t="inlineStr">
        <is>
          <t>IPCC 2006</t>
        </is>
      </c>
    </row>
    <row r="8">
      <c r="A8" s="8" t="inlineStr">
        <is>
          <t>Rooftop solar / green open access</t>
        </is>
      </c>
      <c r="B8" s="8" t="inlineStr">
        <is>
          <t>kWh</t>
        </is>
      </c>
      <c r="C8" s="9" t="n">
        <v>0</v>
      </c>
      <c r="D8" s="10" t="n">
        <v>2</v>
      </c>
      <c r="E8" s="8" t="inlineStr">
        <is>
          <t>market-based, with RECs / green tariff evidence</t>
        </is>
      </c>
    </row>
    <row r="9">
      <c r="A9" s="8" t="inlineStr">
        <is>
          <t>Petrol</t>
        </is>
      </c>
      <c r="B9" s="8" t="inlineStr">
        <is>
          <t>litre</t>
        </is>
      </c>
      <c r="C9" s="9" t="n">
        <v>2.31</v>
      </c>
      <c r="D9" s="10" t="n">
        <v>1</v>
      </c>
      <c r="E9" s="8" t="inlineStr">
        <is>
          <t>IPCC 2006</t>
        </is>
      </c>
    </row>
    <row r="10">
      <c r="A10" s="8" t="inlineStr">
        <is>
          <t>Furnace oil</t>
        </is>
      </c>
      <c r="B10" s="8" t="inlineStr">
        <is>
          <t>litre</t>
        </is>
      </c>
      <c r="C10" s="9" t="n">
        <v>3.1</v>
      </c>
      <c r="D10" s="10" t="n">
        <v>1</v>
      </c>
      <c r="E10" s="8" t="inlineStr">
        <is>
          <t>IPCC 2006 (verify density)</t>
        </is>
      </c>
    </row>
    <row r="11">
      <c r="A11" s="8" t="n"/>
      <c r="B11" s="8" t="n"/>
      <c r="C11" s="9" t="n"/>
      <c r="D11" s="10" t="n"/>
      <c r="E11" s="8" t="n"/>
    </row>
    <row r="12">
      <c r="A12" s="8" t="n"/>
      <c r="B12" s="8" t="n"/>
      <c r="C12" s="9" t="n"/>
      <c r="D12" s="10" t="n"/>
      <c r="E12" s="8" t="n"/>
    </row>
    <row r="13">
      <c r="A13" s="8" t="n"/>
      <c r="B13" s="8" t="n"/>
      <c r="C13" s="9" t="n"/>
      <c r="D13" s="10" t="n"/>
      <c r="E13" s="8" t="n"/>
    </row>
    <row r="14">
      <c r="A14" s="8" t="n"/>
      <c r="B14" s="8" t="n"/>
      <c r="C14" s="9" t="n"/>
      <c r="D14" s="10" t="n"/>
      <c r="E14" s="8" t="n"/>
    </row>
    <row r="15">
      <c r="A15" s="8" t="n"/>
      <c r="B15" s="8" t="n"/>
      <c r="C15" s="9" t="n"/>
      <c r="D15" s="10" t="n"/>
      <c r="E15" s="8" t="n"/>
    </row>
    <row r="16">
      <c r="A16" s="8" t="n"/>
      <c r="B16" s="8" t="n"/>
      <c r="C16" s="9" t="n"/>
      <c r="D16" s="10" t="n"/>
      <c r="E16" s="8" t="n"/>
    </row>
    <row r="17">
      <c r="A17" s="8" t="n"/>
      <c r="B17" s="8" t="n"/>
      <c r="C17" s="9" t="n"/>
      <c r="D17" s="10" t="n"/>
      <c r="E17" s="8" t="n"/>
    </row>
    <row r="18">
      <c r="A18" s="8" t="n"/>
      <c r="B18" s="8" t="n"/>
      <c r="C18" s="9" t="n"/>
      <c r="D18" s="10" t="n"/>
      <c r="E18" s="8" t="n"/>
    </row>
    <row r="19">
      <c r="A19" s="8" t="n"/>
      <c r="B19" s="8" t="n"/>
      <c r="C19" s="9" t="n"/>
      <c r="D19" s="10" t="n"/>
      <c r="E19" s="8" t="n"/>
    </row>
    <row r="20">
      <c r="A20" s="8" t="n"/>
      <c r="B20" s="8" t="n"/>
      <c r="C20" s="9" t="n"/>
      <c r="D20" s="10" t="n"/>
      <c r="E20" s="8" t="n"/>
    </row>
    <row r="21">
      <c r="A21" s="8" t="n"/>
      <c r="B21" s="8" t="n"/>
      <c r="C21" s="9" t="n"/>
      <c r="D21" s="10" t="n"/>
      <c r="E21" s="8" t="n"/>
    </row>
    <row r="22">
      <c r="A22" s="8" t="n"/>
      <c r="B22" s="8" t="n"/>
      <c r="C22" s="9" t="n"/>
      <c r="D22" s="10" t="n"/>
      <c r="E22" s="8" t="n"/>
    </row>
    <row r="23">
      <c r="A23" s="8" t="n"/>
      <c r="B23" s="8" t="n"/>
      <c r="C23" s="9" t="n"/>
      <c r="D23" s="10" t="n"/>
      <c r="E23" s="8" t="n"/>
    </row>
    <row r="24">
      <c r="A24" s="8" t="n"/>
      <c r="B24" s="8" t="n"/>
      <c r="C24" s="9" t="n"/>
      <c r="D24" s="10" t="n"/>
      <c r="E24" s="8" t="n"/>
    </row>
    <row r="25">
      <c r="A25" s="8" t="n"/>
      <c r="B25" s="8" t="n"/>
      <c r="C25" s="9" t="n"/>
      <c r="D25" s="10" t="n"/>
      <c r="E25" s="8" t="n"/>
    </row>
    <row r="26">
      <c r="A26" s="8" t="n"/>
      <c r="B26" s="8" t="n"/>
      <c r="C26" s="9" t="n"/>
      <c r="D26" s="10" t="n"/>
      <c r="E26" s="8" t="n"/>
    </row>
    <row r="27">
      <c r="A27" s="8" t="n"/>
      <c r="B27" s="8" t="n"/>
      <c r="C27" s="9" t="n"/>
      <c r="D27" s="10" t="n"/>
      <c r="E27" s="8" t="n"/>
    </row>
    <row r="28">
      <c r="A28" s="8" t="n"/>
      <c r="B28" s="8" t="n"/>
      <c r="C28" s="9" t="n"/>
      <c r="D28" s="10" t="n"/>
      <c r="E28" s="8" t="n"/>
    </row>
    <row r="29">
      <c r="A29" s="8" t="n"/>
      <c r="B29" s="8" t="n"/>
      <c r="C29" s="9" t="n"/>
      <c r="D29" s="10" t="n"/>
      <c r="E29" s="8" t="n"/>
    </row>
    <row r="30">
      <c r="A30" s="8" t="n"/>
      <c r="B30" s="8" t="n"/>
      <c r="C30" s="9" t="n"/>
      <c r="D30" s="10" t="n"/>
      <c r="E30" s="8" t="n"/>
    </row>
    <row r="31">
      <c r="A31" s="8" t="n"/>
      <c r="B31" s="8" t="n"/>
      <c r="C31" s="9" t="n"/>
      <c r="D31" s="10" t="n"/>
      <c r="E31" s="8" t="n"/>
    </row>
    <row r="32">
      <c r="A32" s="8" t="n"/>
      <c r="B32" s="8" t="n"/>
      <c r="C32" s="9" t="n"/>
      <c r="D32" s="10" t="n"/>
      <c r="E32" s="8" t="n"/>
    </row>
    <row r="33">
      <c r="A33" s="8" t="n"/>
      <c r="B33" s="8" t="n"/>
      <c r="C33" s="9" t="n"/>
      <c r="D33" s="10" t="n"/>
      <c r="E33" s="8" t="n"/>
    </row>
    <row r="34">
      <c r="A34" s="8" t="n"/>
      <c r="B34" s="8" t="n"/>
      <c r="C34" s="9" t="n"/>
      <c r="D34" s="10" t="n"/>
      <c r="E34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Activity data by site and month</t>
        </is>
      </c>
    </row>
    <row r="2"/>
    <row r="3"/>
    <row r="4">
      <c r="A4" s="6" t="inlineStr">
        <is>
          <t>site</t>
        </is>
      </c>
      <c r="B4" s="6" t="inlineStr">
        <is>
          <t>month</t>
        </is>
      </c>
      <c r="C4" s="6" t="inlineStr">
        <is>
          <t>activity (must match Factors)</t>
        </is>
      </c>
      <c r="D4" s="6" t="inlineStr">
        <is>
          <t>quantity</t>
        </is>
      </c>
      <c r="E4" s="6" t="inlineStr">
        <is>
          <t>kgCO2e</t>
        </is>
      </c>
      <c r="F4" s="6" t="inlineStr">
        <is>
          <t>scope</t>
        </is>
      </c>
    </row>
    <row r="5">
      <c r="A5" s="8" t="inlineStr">
        <is>
          <t>Coimbatore plant</t>
        </is>
      </c>
      <c r="B5" s="8" t="inlineStr">
        <is>
          <t>2026-04</t>
        </is>
      </c>
      <c r="C5" s="8" t="inlineStr">
        <is>
          <t>Grid electricity (India)</t>
        </is>
      </c>
      <c r="D5" s="11" t="n">
        <v>410000</v>
      </c>
      <c r="E5" s="12">
        <f>IF(A5="","",D5*IFERROR(INDEX(Factors!$C$5:$C$34,MATCH(C5,Factors!$A$5:$A$34,0)),0))</f>
        <v/>
      </c>
      <c r="F5" s="13">
        <f>IF(A5="","",IFERROR(INDEX(Factors!$D$5:$D$34,MATCH(C5,Factors!$A$5:$A$34,0)),"UNMATCHED"))</f>
        <v/>
      </c>
    </row>
    <row r="6">
      <c r="A6" s="8" t="inlineStr">
        <is>
          <t>Coimbatore plant</t>
        </is>
      </c>
      <c r="B6" s="8" t="inlineStr">
        <is>
          <t>2026-04</t>
        </is>
      </c>
      <c r="C6" s="8" t="inlineStr">
        <is>
          <t>Rooftop solar / green open access</t>
        </is>
      </c>
      <c r="D6" s="11" t="n">
        <v>120000</v>
      </c>
      <c r="E6" s="12">
        <f>IF(A6="","",D6*IFERROR(INDEX(Factors!$C$5:$C$34,MATCH(C6,Factors!$A$5:$A$34,0)),0))</f>
        <v/>
      </c>
      <c r="F6" s="13">
        <f>IF(A6="","",IFERROR(INDEX(Factors!$D$5:$D$34,MATCH(C6,Factors!$A$5:$A$34,0)),"UNMATCHED"))</f>
        <v/>
      </c>
    </row>
    <row r="7">
      <c r="A7" s="8" t="inlineStr">
        <is>
          <t>Coimbatore plant</t>
        </is>
      </c>
      <c r="B7" s="8" t="inlineStr">
        <is>
          <t>2026-04</t>
        </is>
      </c>
      <c r="C7" s="8" t="inlineStr">
        <is>
          <t>Diesel (DG sets, vehicles)</t>
        </is>
      </c>
      <c r="D7" s="11" t="n">
        <v>3800</v>
      </c>
      <c r="E7" s="12">
        <f>IF(A7="","",D7*IFERROR(INDEX(Factors!$C$5:$C$34,MATCH(C7,Factors!$A$5:$A$34,0)),0))</f>
        <v/>
      </c>
      <c r="F7" s="13">
        <f>IF(A7="","",IFERROR(INDEX(Factors!$D$5:$D$34,MATCH(C7,Factors!$A$5:$A$34,0)),"UNMATCHED"))</f>
        <v/>
      </c>
    </row>
    <row r="8">
      <c r="A8" s="8" t="n"/>
      <c r="B8" s="8" t="n"/>
      <c r="C8" s="8" t="n"/>
      <c r="D8" s="11" t="n"/>
      <c r="E8" s="12">
        <f>IF(A8="","",D8*IFERROR(INDEX(Factors!$C$5:$C$34,MATCH(C8,Factors!$A$5:$A$34,0)),0))</f>
        <v/>
      </c>
      <c r="F8" s="13">
        <f>IF(A8="","",IFERROR(INDEX(Factors!$D$5:$D$34,MATCH(C8,Factors!$A$5:$A$34,0)),"UNMATCHED"))</f>
        <v/>
      </c>
    </row>
    <row r="9">
      <c r="A9" s="8" t="n"/>
      <c r="B9" s="8" t="n"/>
      <c r="C9" s="8" t="n"/>
      <c r="D9" s="11" t="n"/>
      <c r="E9" s="12">
        <f>IF(A9="","",D9*IFERROR(INDEX(Factors!$C$5:$C$34,MATCH(C9,Factors!$A$5:$A$34,0)),0))</f>
        <v/>
      </c>
      <c r="F9" s="13">
        <f>IF(A9="","",IFERROR(INDEX(Factors!$D$5:$D$34,MATCH(C9,Factors!$A$5:$A$34,0)),"UNMATCHED"))</f>
        <v/>
      </c>
    </row>
    <row r="10">
      <c r="A10" s="8" t="n"/>
      <c r="B10" s="8" t="n"/>
      <c r="C10" s="8" t="n"/>
      <c r="D10" s="11" t="n"/>
      <c r="E10" s="12">
        <f>IF(A10="","",D10*IFERROR(INDEX(Factors!$C$5:$C$34,MATCH(C10,Factors!$A$5:$A$34,0)),0))</f>
        <v/>
      </c>
      <c r="F10" s="13">
        <f>IF(A10="","",IFERROR(INDEX(Factors!$D$5:$D$34,MATCH(C10,Factors!$A$5:$A$34,0)),"UNMATCHED"))</f>
        <v/>
      </c>
    </row>
    <row r="11">
      <c r="A11" s="8" t="n"/>
      <c r="B11" s="8" t="n"/>
      <c r="C11" s="8" t="n"/>
      <c r="D11" s="11" t="n"/>
      <c r="E11" s="12">
        <f>IF(A11="","",D11*IFERROR(INDEX(Factors!$C$5:$C$34,MATCH(C11,Factors!$A$5:$A$34,0)),0))</f>
        <v/>
      </c>
      <c r="F11" s="13">
        <f>IF(A11="","",IFERROR(INDEX(Factors!$D$5:$D$34,MATCH(C11,Factors!$A$5:$A$34,0)),"UNMATCHED"))</f>
        <v/>
      </c>
    </row>
    <row r="12">
      <c r="A12" s="8" t="n"/>
      <c r="B12" s="8" t="n"/>
      <c r="C12" s="8" t="n"/>
      <c r="D12" s="11" t="n"/>
      <c r="E12" s="12">
        <f>IF(A12="","",D12*IFERROR(INDEX(Factors!$C$5:$C$34,MATCH(C12,Factors!$A$5:$A$34,0)),0))</f>
        <v/>
      </c>
      <c r="F12" s="13">
        <f>IF(A12="","",IFERROR(INDEX(Factors!$D$5:$D$34,MATCH(C12,Factors!$A$5:$A$34,0)),"UNMATCHED"))</f>
        <v/>
      </c>
    </row>
    <row r="13">
      <c r="A13" s="8" t="n"/>
      <c r="B13" s="8" t="n"/>
      <c r="C13" s="8" t="n"/>
      <c r="D13" s="11" t="n"/>
      <c r="E13" s="12">
        <f>IF(A13="","",D13*IFERROR(INDEX(Factors!$C$5:$C$34,MATCH(C13,Factors!$A$5:$A$34,0)),0))</f>
        <v/>
      </c>
      <c r="F13" s="13">
        <f>IF(A13="","",IFERROR(INDEX(Factors!$D$5:$D$34,MATCH(C13,Factors!$A$5:$A$34,0)),"UNMATCHED"))</f>
        <v/>
      </c>
    </row>
    <row r="14">
      <c r="A14" s="8" t="n"/>
      <c r="B14" s="8" t="n"/>
      <c r="C14" s="8" t="n"/>
      <c r="D14" s="11" t="n"/>
      <c r="E14" s="12">
        <f>IF(A14="","",D14*IFERROR(INDEX(Factors!$C$5:$C$34,MATCH(C14,Factors!$A$5:$A$34,0)),0))</f>
        <v/>
      </c>
      <c r="F14" s="13">
        <f>IF(A14="","",IFERROR(INDEX(Factors!$D$5:$D$34,MATCH(C14,Factors!$A$5:$A$34,0)),"UNMATCHED"))</f>
        <v/>
      </c>
    </row>
    <row r="15">
      <c r="A15" s="8" t="n"/>
      <c r="B15" s="8" t="n"/>
      <c r="C15" s="8" t="n"/>
      <c r="D15" s="11" t="n"/>
      <c r="E15" s="12">
        <f>IF(A15="","",D15*IFERROR(INDEX(Factors!$C$5:$C$34,MATCH(C15,Factors!$A$5:$A$34,0)),0))</f>
        <v/>
      </c>
      <c r="F15" s="13">
        <f>IF(A15="","",IFERROR(INDEX(Factors!$D$5:$D$34,MATCH(C15,Factors!$A$5:$A$34,0)),"UNMATCHED"))</f>
        <v/>
      </c>
    </row>
    <row r="16">
      <c r="A16" s="8" t="n"/>
      <c r="B16" s="8" t="n"/>
      <c r="C16" s="8" t="n"/>
      <c r="D16" s="11" t="n"/>
      <c r="E16" s="12">
        <f>IF(A16="","",D16*IFERROR(INDEX(Factors!$C$5:$C$34,MATCH(C16,Factors!$A$5:$A$34,0)),0))</f>
        <v/>
      </c>
      <c r="F16" s="13">
        <f>IF(A16="","",IFERROR(INDEX(Factors!$D$5:$D$34,MATCH(C16,Factors!$A$5:$A$34,0)),"UNMATCHED"))</f>
        <v/>
      </c>
    </row>
    <row r="17">
      <c r="A17" s="8" t="n"/>
      <c r="B17" s="8" t="n"/>
      <c r="C17" s="8" t="n"/>
      <c r="D17" s="11" t="n"/>
      <c r="E17" s="12">
        <f>IF(A17="","",D17*IFERROR(INDEX(Factors!$C$5:$C$34,MATCH(C17,Factors!$A$5:$A$34,0)),0))</f>
        <v/>
      </c>
      <c r="F17" s="13">
        <f>IF(A17="","",IFERROR(INDEX(Factors!$D$5:$D$34,MATCH(C17,Factors!$A$5:$A$34,0)),"UNMATCHED"))</f>
        <v/>
      </c>
    </row>
    <row r="18">
      <c r="A18" s="8" t="n"/>
      <c r="B18" s="8" t="n"/>
      <c r="C18" s="8" t="n"/>
      <c r="D18" s="11" t="n"/>
      <c r="E18" s="12">
        <f>IF(A18="","",D18*IFERROR(INDEX(Factors!$C$5:$C$34,MATCH(C18,Factors!$A$5:$A$34,0)),0))</f>
        <v/>
      </c>
      <c r="F18" s="13">
        <f>IF(A18="","",IFERROR(INDEX(Factors!$D$5:$D$34,MATCH(C18,Factors!$A$5:$A$34,0)),"UNMATCHED"))</f>
        <v/>
      </c>
    </row>
    <row r="19">
      <c r="A19" s="8" t="n"/>
      <c r="B19" s="8" t="n"/>
      <c r="C19" s="8" t="n"/>
      <c r="D19" s="11" t="n"/>
      <c r="E19" s="12">
        <f>IF(A19="","",D19*IFERROR(INDEX(Factors!$C$5:$C$34,MATCH(C19,Factors!$A$5:$A$34,0)),0))</f>
        <v/>
      </c>
      <c r="F19" s="13">
        <f>IF(A19="","",IFERROR(INDEX(Factors!$D$5:$D$34,MATCH(C19,Factors!$A$5:$A$34,0)),"UNMATCHED"))</f>
        <v/>
      </c>
    </row>
    <row r="20">
      <c r="A20" s="8" t="n"/>
      <c r="B20" s="8" t="n"/>
      <c r="C20" s="8" t="n"/>
      <c r="D20" s="11" t="n"/>
      <c r="E20" s="12">
        <f>IF(A20="","",D20*IFERROR(INDEX(Factors!$C$5:$C$34,MATCH(C20,Factors!$A$5:$A$34,0)),0))</f>
        <v/>
      </c>
      <c r="F20" s="13">
        <f>IF(A20="","",IFERROR(INDEX(Factors!$D$5:$D$34,MATCH(C20,Factors!$A$5:$A$34,0)),"UNMATCHED"))</f>
        <v/>
      </c>
    </row>
    <row r="21">
      <c r="A21" s="8" t="n"/>
      <c r="B21" s="8" t="n"/>
      <c r="C21" s="8" t="n"/>
      <c r="D21" s="11" t="n"/>
      <c r="E21" s="12">
        <f>IF(A21="","",D21*IFERROR(INDEX(Factors!$C$5:$C$34,MATCH(C21,Factors!$A$5:$A$34,0)),0))</f>
        <v/>
      </c>
      <c r="F21" s="13">
        <f>IF(A21="","",IFERROR(INDEX(Factors!$D$5:$D$34,MATCH(C21,Factors!$A$5:$A$34,0)),"UNMATCHED"))</f>
        <v/>
      </c>
    </row>
    <row r="22">
      <c r="A22" s="8" t="n"/>
      <c r="B22" s="8" t="n"/>
      <c r="C22" s="8" t="n"/>
      <c r="D22" s="11" t="n"/>
      <c r="E22" s="12">
        <f>IF(A22="","",D22*IFERROR(INDEX(Factors!$C$5:$C$34,MATCH(C22,Factors!$A$5:$A$34,0)),0))</f>
        <v/>
      </c>
      <c r="F22" s="13">
        <f>IF(A22="","",IFERROR(INDEX(Factors!$D$5:$D$34,MATCH(C22,Factors!$A$5:$A$34,0)),"UNMATCHED"))</f>
        <v/>
      </c>
    </row>
    <row r="23">
      <c r="A23" s="8" t="n"/>
      <c r="B23" s="8" t="n"/>
      <c r="C23" s="8" t="n"/>
      <c r="D23" s="11" t="n"/>
      <c r="E23" s="12">
        <f>IF(A23="","",D23*IFERROR(INDEX(Factors!$C$5:$C$34,MATCH(C23,Factors!$A$5:$A$34,0)),0))</f>
        <v/>
      </c>
      <c r="F23" s="13">
        <f>IF(A23="","",IFERROR(INDEX(Factors!$D$5:$D$34,MATCH(C23,Factors!$A$5:$A$34,0)),"UNMATCHED"))</f>
        <v/>
      </c>
    </row>
    <row r="24">
      <c r="A24" s="8" t="n"/>
      <c r="B24" s="8" t="n"/>
      <c r="C24" s="8" t="n"/>
      <c r="D24" s="11" t="n"/>
      <c r="E24" s="12">
        <f>IF(A24="","",D24*IFERROR(INDEX(Factors!$C$5:$C$34,MATCH(C24,Factors!$A$5:$A$34,0)),0))</f>
        <v/>
      </c>
      <c r="F24" s="13">
        <f>IF(A24="","",IFERROR(INDEX(Factors!$D$5:$D$34,MATCH(C24,Factors!$A$5:$A$34,0)),"UNMATCHED"))</f>
        <v/>
      </c>
    </row>
    <row r="25">
      <c r="A25" s="8" t="n"/>
      <c r="B25" s="8" t="n"/>
      <c r="C25" s="8" t="n"/>
      <c r="D25" s="11" t="n"/>
      <c r="E25" s="12">
        <f>IF(A25="","",D25*IFERROR(INDEX(Factors!$C$5:$C$34,MATCH(C25,Factors!$A$5:$A$34,0)),0))</f>
        <v/>
      </c>
      <c r="F25" s="13">
        <f>IF(A25="","",IFERROR(INDEX(Factors!$D$5:$D$34,MATCH(C25,Factors!$A$5:$A$34,0)),"UNMATCHED"))</f>
        <v/>
      </c>
    </row>
    <row r="26">
      <c r="A26" s="8" t="n"/>
      <c r="B26" s="8" t="n"/>
      <c r="C26" s="8" t="n"/>
      <c r="D26" s="11" t="n"/>
      <c r="E26" s="12">
        <f>IF(A26="","",D26*IFERROR(INDEX(Factors!$C$5:$C$34,MATCH(C26,Factors!$A$5:$A$34,0)),0))</f>
        <v/>
      </c>
      <c r="F26" s="13">
        <f>IF(A26="","",IFERROR(INDEX(Factors!$D$5:$D$34,MATCH(C26,Factors!$A$5:$A$34,0)),"UNMATCHED"))</f>
        <v/>
      </c>
    </row>
    <row r="27">
      <c r="A27" s="8" t="n"/>
      <c r="B27" s="8" t="n"/>
      <c r="C27" s="8" t="n"/>
      <c r="D27" s="11" t="n"/>
      <c r="E27" s="12">
        <f>IF(A27="","",D27*IFERROR(INDEX(Factors!$C$5:$C$34,MATCH(C27,Factors!$A$5:$A$34,0)),0))</f>
        <v/>
      </c>
      <c r="F27" s="13">
        <f>IF(A27="","",IFERROR(INDEX(Factors!$D$5:$D$34,MATCH(C27,Factors!$A$5:$A$34,0)),"UNMATCHED"))</f>
        <v/>
      </c>
    </row>
    <row r="28">
      <c r="A28" s="8" t="n"/>
      <c r="B28" s="8" t="n"/>
      <c r="C28" s="8" t="n"/>
      <c r="D28" s="11" t="n"/>
      <c r="E28" s="12">
        <f>IF(A28="","",D28*IFERROR(INDEX(Factors!$C$5:$C$34,MATCH(C28,Factors!$A$5:$A$34,0)),0))</f>
        <v/>
      </c>
      <c r="F28" s="13">
        <f>IF(A28="","",IFERROR(INDEX(Factors!$D$5:$D$34,MATCH(C28,Factors!$A$5:$A$34,0)),"UNMATCHED"))</f>
        <v/>
      </c>
    </row>
    <row r="29">
      <c r="A29" s="8" t="n"/>
      <c r="B29" s="8" t="n"/>
      <c r="C29" s="8" t="n"/>
      <c r="D29" s="11" t="n"/>
      <c r="E29" s="12">
        <f>IF(A29="","",D29*IFERROR(INDEX(Factors!$C$5:$C$34,MATCH(C29,Factors!$A$5:$A$34,0)),0))</f>
        <v/>
      </c>
      <c r="F29" s="13">
        <f>IF(A29="","",IFERROR(INDEX(Factors!$D$5:$D$34,MATCH(C29,Factors!$A$5:$A$34,0)),"UNMATCHED"))</f>
        <v/>
      </c>
    </row>
    <row r="30">
      <c r="A30" s="8" t="n"/>
      <c r="B30" s="8" t="n"/>
      <c r="C30" s="8" t="n"/>
      <c r="D30" s="11" t="n"/>
      <c r="E30" s="12">
        <f>IF(A30="","",D30*IFERROR(INDEX(Factors!$C$5:$C$34,MATCH(C30,Factors!$A$5:$A$34,0)),0))</f>
        <v/>
      </c>
      <c r="F30" s="13">
        <f>IF(A30="","",IFERROR(INDEX(Factors!$D$5:$D$34,MATCH(C30,Factors!$A$5:$A$34,0)),"UNMATCHED"))</f>
        <v/>
      </c>
    </row>
    <row r="31">
      <c r="A31" s="8" t="n"/>
      <c r="B31" s="8" t="n"/>
      <c r="C31" s="8" t="n"/>
      <c r="D31" s="11" t="n"/>
      <c r="E31" s="12">
        <f>IF(A31="","",D31*IFERROR(INDEX(Factors!$C$5:$C$34,MATCH(C31,Factors!$A$5:$A$34,0)),0))</f>
        <v/>
      </c>
      <c r="F31" s="13">
        <f>IF(A31="","",IFERROR(INDEX(Factors!$D$5:$D$34,MATCH(C31,Factors!$A$5:$A$34,0)),"UNMATCHED"))</f>
        <v/>
      </c>
    </row>
    <row r="32">
      <c r="A32" s="8" t="n"/>
      <c r="B32" s="8" t="n"/>
      <c r="C32" s="8" t="n"/>
      <c r="D32" s="11" t="n"/>
      <c r="E32" s="12">
        <f>IF(A32="","",D32*IFERROR(INDEX(Factors!$C$5:$C$34,MATCH(C32,Factors!$A$5:$A$34,0)),0))</f>
        <v/>
      </c>
      <c r="F32" s="13">
        <f>IF(A32="","",IFERROR(INDEX(Factors!$D$5:$D$34,MATCH(C32,Factors!$A$5:$A$34,0)),"UNMATCHED"))</f>
        <v/>
      </c>
    </row>
    <row r="33">
      <c r="A33" s="8" t="n"/>
      <c r="B33" s="8" t="n"/>
      <c r="C33" s="8" t="n"/>
      <c r="D33" s="11" t="n"/>
      <c r="E33" s="12">
        <f>IF(A33="","",D33*IFERROR(INDEX(Factors!$C$5:$C$34,MATCH(C33,Factors!$A$5:$A$34,0)),0))</f>
        <v/>
      </c>
      <c r="F33" s="13">
        <f>IF(A33="","",IFERROR(INDEX(Factors!$D$5:$D$34,MATCH(C33,Factors!$A$5:$A$34,0)),"UNMATCHED"))</f>
        <v/>
      </c>
    </row>
    <row r="34">
      <c r="A34" s="8" t="n"/>
      <c r="B34" s="8" t="n"/>
      <c r="C34" s="8" t="n"/>
      <c r="D34" s="11" t="n"/>
      <c r="E34" s="12">
        <f>IF(A34="","",D34*IFERROR(INDEX(Factors!$C$5:$C$34,MATCH(C34,Factors!$A$5:$A$34,0)),0))</f>
        <v/>
      </c>
      <c r="F34" s="13">
        <f>IF(A34="","",IFERROR(INDEX(Factors!$D$5:$D$34,MATCH(C34,Factors!$A$5:$A$34,0)),"UNMATCHED"))</f>
        <v/>
      </c>
    </row>
    <row r="35">
      <c r="A35" s="8" t="n"/>
      <c r="B35" s="8" t="n"/>
      <c r="C35" s="8" t="n"/>
      <c r="D35" s="11" t="n"/>
      <c r="E35" s="12">
        <f>IF(A35="","",D35*IFERROR(INDEX(Factors!$C$5:$C$34,MATCH(C35,Factors!$A$5:$A$34,0)),0))</f>
        <v/>
      </c>
      <c r="F35" s="13">
        <f>IF(A35="","",IFERROR(INDEX(Factors!$D$5:$D$34,MATCH(C35,Factors!$A$5:$A$34,0)),"UNMATCHED"))</f>
        <v/>
      </c>
    </row>
    <row r="36">
      <c r="A36" s="8" t="n"/>
      <c r="B36" s="8" t="n"/>
      <c r="C36" s="8" t="n"/>
      <c r="D36" s="11" t="n"/>
      <c r="E36" s="12">
        <f>IF(A36="","",D36*IFERROR(INDEX(Factors!$C$5:$C$34,MATCH(C36,Factors!$A$5:$A$34,0)),0))</f>
        <v/>
      </c>
      <c r="F36" s="13">
        <f>IF(A36="","",IFERROR(INDEX(Factors!$D$5:$D$34,MATCH(C36,Factors!$A$5:$A$34,0)),"UNMATCHED"))</f>
        <v/>
      </c>
    </row>
    <row r="37">
      <c r="A37" s="8" t="n"/>
      <c r="B37" s="8" t="n"/>
      <c r="C37" s="8" t="n"/>
      <c r="D37" s="11" t="n"/>
      <c r="E37" s="12">
        <f>IF(A37="","",D37*IFERROR(INDEX(Factors!$C$5:$C$34,MATCH(C37,Factors!$A$5:$A$34,0)),0))</f>
        <v/>
      </c>
      <c r="F37" s="13">
        <f>IF(A37="","",IFERROR(INDEX(Factors!$D$5:$D$34,MATCH(C37,Factors!$A$5:$A$34,0)),"UNMATCHED"))</f>
        <v/>
      </c>
    </row>
    <row r="38">
      <c r="A38" s="8" t="n"/>
      <c r="B38" s="8" t="n"/>
      <c r="C38" s="8" t="n"/>
      <c r="D38" s="11" t="n"/>
      <c r="E38" s="12">
        <f>IF(A38="","",D38*IFERROR(INDEX(Factors!$C$5:$C$34,MATCH(C38,Factors!$A$5:$A$34,0)),0))</f>
        <v/>
      </c>
      <c r="F38" s="13">
        <f>IF(A38="","",IFERROR(INDEX(Factors!$D$5:$D$34,MATCH(C38,Factors!$A$5:$A$34,0)),"UNMATCHED"))</f>
        <v/>
      </c>
    </row>
    <row r="39">
      <c r="A39" s="8" t="n"/>
      <c r="B39" s="8" t="n"/>
      <c r="C39" s="8" t="n"/>
      <c r="D39" s="11" t="n"/>
      <c r="E39" s="12">
        <f>IF(A39="","",D39*IFERROR(INDEX(Factors!$C$5:$C$34,MATCH(C39,Factors!$A$5:$A$34,0)),0))</f>
        <v/>
      </c>
      <c r="F39" s="13">
        <f>IF(A39="","",IFERROR(INDEX(Factors!$D$5:$D$34,MATCH(C39,Factors!$A$5:$A$34,0)),"UNMATCHED"))</f>
        <v/>
      </c>
    </row>
    <row r="40">
      <c r="A40" s="8" t="n"/>
      <c r="B40" s="8" t="n"/>
      <c r="C40" s="8" t="n"/>
      <c r="D40" s="11" t="n"/>
      <c r="E40" s="12">
        <f>IF(A40="","",D40*IFERROR(INDEX(Factors!$C$5:$C$34,MATCH(C40,Factors!$A$5:$A$34,0)),0))</f>
        <v/>
      </c>
      <c r="F40" s="13">
        <f>IF(A40="","",IFERROR(INDEX(Factors!$D$5:$D$34,MATCH(C40,Factors!$A$5:$A$34,0)),"UNMATCHED"))</f>
        <v/>
      </c>
    </row>
    <row r="41">
      <c r="A41" s="8" t="n"/>
      <c r="B41" s="8" t="n"/>
      <c r="C41" s="8" t="n"/>
      <c r="D41" s="11" t="n"/>
      <c r="E41" s="12">
        <f>IF(A41="","",D41*IFERROR(INDEX(Factors!$C$5:$C$34,MATCH(C41,Factors!$A$5:$A$34,0)),0))</f>
        <v/>
      </c>
      <c r="F41" s="13">
        <f>IF(A41="","",IFERROR(INDEX(Factors!$D$5:$D$34,MATCH(C41,Factors!$A$5:$A$34,0)),"UNMATCHED"))</f>
        <v/>
      </c>
    </row>
    <row r="42">
      <c r="A42" s="8" t="n"/>
      <c r="B42" s="8" t="n"/>
      <c r="C42" s="8" t="n"/>
      <c r="D42" s="11" t="n"/>
      <c r="E42" s="12">
        <f>IF(A42="","",D42*IFERROR(INDEX(Factors!$C$5:$C$34,MATCH(C42,Factors!$A$5:$A$34,0)),0))</f>
        <v/>
      </c>
      <c r="F42" s="13">
        <f>IF(A42="","",IFERROR(INDEX(Factors!$D$5:$D$34,MATCH(C42,Factors!$A$5:$A$34,0)),"UNMATCHED"))</f>
        <v/>
      </c>
    </row>
    <row r="43">
      <c r="A43" s="8" t="n"/>
      <c r="B43" s="8" t="n"/>
      <c r="C43" s="8" t="n"/>
      <c r="D43" s="11" t="n"/>
      <c r="E43" s="12">
        <f>IF(A43="","",D43*IFERROR(INDEX(Factors!$C$5:$C$34,MATCH(C43,Factors!$A$5:$A$34,0)),0))</f>
        <v/>
      </c>
      <c r="F43" s="13">
        <f>IF(A43="","",IFERROR(INDEX(Factors!$D$5:$D$34,MATCH(C43,Factors!$A$5:$A$34,0)),"UNMATCHED"))</f>
        <v/>
      </c>
    </row>
    <row r="44">
      <c r="A44" s="8" t="n"/>
      <c r="B44" s="8" t="n"/>
      <c r="C44" s="8" t="n"/>
      <c r="D44" s="11" t="n"/>
      <c r="E44" s="12">
        <f>IF(A44="","",D44*IFERROR(INDEX(Factors!$C$5:$C$34,MATCH(C44,Factors!$A$5:$A$34,0)),0))</f>
        <v/>
      </c>
      <c r="F44" s="13">
        <f>IF(A44="","",IFERROR(INDEX(Factors!$D$5:$D$34,MATCH(C44,Factors!$A$5:$A$34,0)),"UNMATCHED"))</f>
        <v/>
      </c>
    </row>
    <row r="45">
      <c r="A45" s="8" t="n"/>
      <c r="B45" s="8" t="n"/>
      <c r="C45" s="8" t="n"/>
      <c r="D45" s="11" t="n"/>
      <c r="E45" s="12">
        <f>IF(A45="","",D45*IFERROR(INDEX(Factors!$C$5:$C$34,MATCH(C45,Factors!$A$5:$A$34,0)),0))</f>
        <v/>
      </c>
      <c r="F45" s="13">
        <f>IF(A45="","",IFERROR(INDEX(Factors!$D$5:$D$34,MATCH(C45,Factors!$A$5:$A$34,0)),"UNMATCHED"))</f>
        <v/>
      </c>
    </row>
    <row r="46">
      <c r="A46" s="8" t="n"/>
      <c r="B46" s="8" t="n"/>
      <c r="C46" s="8" t="n"/>
      <c r="D46" s="11" t="n"/>
      <c r="E46" s="12">
        <f>IF(A46="","",D46*IFERROR(INDEX(Factors!$C$5:$C$34,MATCH(C46,Factors!$A$5:$A$34,0)),0))</f>
        <v/>
      </c>
      <c r="F46" s="13">
        <f>IF(A46="","",IFERROR(INDEX(Factors!$D$5:$D$34,MATCH(C46,Factors!$A$5:$A$34,0)),"UNMATCHED"))</f>
        <v/>
      </c>
    </row>
    <row r="47">
      <c r="A47" s="8" t="n"/>
      <c r="B47" s="8" t="n"/>
      <c r="C47" s="8" t="n"/>
      <c r="D47" s="11" t="n"/>
      <c r="E47" s="12">
        <f>IF(A47="","",D47*IFERROR(INDEX(Factors!$C$5:$C$34,MATCH(C47,Factors!$A$5:$A$34,0)),0))</f>
        <v/>
      </c>
      <c r="F47" s="13">
        <f>IF(A47="","",IFERROR(INDEX(Factors!$D$5:$D$34,MATCH(C47,Factors!$A$5:$A$34,0)),"UNMATCHED"))</f>
        <v/>
      </c>
    </row>
    <row r="48">
      <c r="A48" s="8" t="n"/>
      <c r="B48" s="8" t="n"/>
      <c r="C48" s="8" t="n"/>
      <c r="D48" s="11" t="n"/>
      <c r="E48" s="12">
        <f>IF(A48="","",D48*IFERROR(INDEX(Factors!$C$5:$C$34,MATCH(C48,Factors!$A$5:$A$34,0)),0))</f>
        <v/>
      </c>
      <c r="F48" s="13">
        <f>IF(A48="","",IFERROR(INDEX(Factors!$D$5:$D$34,MATCH(C48,Factors!$A$5:$A$34,0)),"UNMATCHED"))</f>
        <v/>
      </c>
    </row>
    <row r="49">
      <c r="A49" s="8" t="n"/>
      <c r="B49" s="8" t="n"/>
      <c r="C49" s="8" t="n"/>
      <c r="D49" s="11" t="n"/>
      <c r="E49" s="12">
        <f>IF(A49="","",D49*IFERROR(INDEX(Factors!$C$5:$C$34,MATCH(C49,Factors!$A$5:$A$34,0)),0))</f>
        <v/>
      </c>
      <c r="F49" s="13">
        <f>IF(A49="","",IFERROR(INDEX(Factors!$D$5:$D$34,MATCH(C49,Factors!$A$5:$A$34,0)),"UNMATCHED"))</f>
        <v/>
      </c>
    </row>
    <row r="50">
      <c r="A50" s="8" t="n"/>
      <c r="B50" s="8" t="n"/>
      <c r="C50" s="8" t="n"/>
      <c r="D50" s="11" t="n"/>
      <c r="E50" s="12">
        <f>IF(A50="","",D50*IFERROR(INDEX(Factors!$C$5:$C$34,MATCH(C50,Factors!$A$5:$A$34,0)),0))</f>
        <v/>
      </c>
      <c r="F50" s="13">
        <f>IF(A50="","",IFERROR(INDEX(Factors!$D$5:$D$34,MATCH(C50,Factors!$A$5:$A$34,0)),"UNMATCHED"))</f>
        <v/>
      </c>
    </row>
    <row r="51">
      <c r="A51" s="8" t="n"/>
      <c r="B51" s="8" t="n"/>
      <c r="C51" s="8" t="n"/>
      <c r="D51" s="11" t="n"/>
      <c r="E51" s="12">
        <f>IF(A51="","",D51*IFERROR(INDEX(Factors!$C$5:$C$34,MATCH(C51,Factors!$A$5:$A$34,0)),0))</f>
        <v/>
      </c>
      <c r="F51" s="13">
        <f>IF(A51="","",IFERROR(INDEX(Factors!$D$5:$D$34,MATCH(C51,Factors!$A$5:$A$34,0)),"UNMATCHED"))</f>
        <v/>
      </c>
    </row>
    <row r="52">
      <c r="A52" s="8" t="n"/>
      <c r="B52" s="8" t="n"/>
      <c r="C52" s="8" t="n"/>
      <c r="D52" s="11" t="n"/>
      <c r="E52" s="12">
        <f>IF(A52="","",D52*IFERROR(INDEX(Factors!$C$5:$C$34,MATCH(C52,Factors!$A$5:$A$34,0)),0))</f>
        <v/>
      </c>
      <c r="F52" s="13">
        <f>IF(A52="","",IFERROR(INDEX(Factors!$D$5:$D$34,MATCH(C52,Factors!$A$5:$A$34,0)),"UNMATCHED"))</f>
        <v/>
      </c>
    </row>
    <row r="53">
      <c r="A53" s="8" t="n"/>
      <c r="B53" s="8" t="n"/>
      <c r="C53" s="8" t="n"/>
      <c r="D53" s="11" t="n"/>
      <c r="E53" s="12">
        <f>IF(A53="","",D53*IFERROR(INDEX(Factors!$C$5:$C$34,MATCH(C53,Factors!$A$5:$A$34,0)),0))</f>
        <v/>
      </c>
      <c r="F53" s="13">
        <f>IF(A53="","",IFERROR(INDEX(Factors!$D$5:$D$34,MATCH(C53,Factors!$A$5:$A$34,0)),"UNMATCHED"))</f>
        <v/>
      </c>
    </row>
    <row r="54">
      <c r="A54" s="8" t="n"/>
      <c r="B54" s="8" t="n"/>
      <c r="C54" s="8" t="n"/>
      <c r="D54" s="11" t="n"/>
      <c r="E54" s="12">
        <f>IF(A54="","",D54*IFERROR(INDEX(Factors!$C$5:$C$34,MATCH(C54,Factors!$A$5:$A$34,0)),0))</f>
        <v/>
      </c>
      <c r="F54" s="13">
        <f>IF(A54="","",IFERROR(INDEX(Factors!$D$5:$D$34,MATCH(C54,Factors!$A$5:$A$34,0)),"UNMATCHED"))</f>
        <v/>
      </c>
    </row>
    <row r="55">
      <c r="A55" s="8" t="n"/>
      <c r="B55" s="8" t="n"/>
      <c r="C55" s="8" t="n"/>
      <c r="D55" s="11" t="n"/>
      <c r="E55" s="12">
        <f>IF(A55="","",D55*IFERROR(INDEX(Factors!$C$5:$C$34,MATCH(C55,Factors!$A$5:$A$34,0)),0))</f>
        <v/>
      </c>
      <c r="F55" s="13">
        <f>IF(A55="","",IFERROR(INDEX(Factors!$D$5:$D$34,MATCH(C55,Factors!$A$5:$A$34,0)),"UNMATCHED"))</f>
        <v/>
      </c>
    </row>
    <row r="56">
      <c r="A56" s="8" t="n"/>
      <c r="B56" s="8" t="n"/>
      <c r="C56" s="8" t="n"/>
      <c r="D56" s="11" t="n"/>
      <c r="E56" s="12">
        <f>IF(A56="","",D56*IFERROR(INDEX(Factors!$C$5:$C$34,MATCH(C56,Factors!$A$5:$A$34,0)),0))</f>
        <v/>
      </c>
      <c r="F56" s="13">
        <f>IF(A56="","",IFERROR(INDEX(Factors!$D$5:$D$34,MATCH(C56,Factors!$A$5:$A$34,0)),"UNMATCHED"))</f>
        <v/>
      </c>
    </row>
    <row r="57">
      <c r="A57" s="8" t="n"/>
      <c r="B57" s="8" t="n"/>
      <c r="C57" s="8" t="n"/>
      <c r="D57" s="11" t="n"/>
      <c r="E57" s="12">
        <f>IF(A57="","",D57*IFERROR(INDEX(Factors!$C$5:$C$34,MATCH(C57,Factors!$A$5:$A$34,0)),0))</f>
        <v/>
      </c>
      <c r="F57" s="13">
        <f>IF(A57="","",IFERROR(INDEX(Factors!$D$5:$D$34,MATCH(C57,Factors!$A$5:$A$34,0)),"UNMATCHED"))</f>
        <v/>
      </c>
    </row>
    <row r="58">
      <c r="A58" s="8" t="n"/>
      <c r="B58" s="8" t="n"/>
      <c r="C58" s="8" t="n"/>
      <c r="D58" s="11" t="n"/>
      <c r="E58" s="12">
        <f>IF(A58="","",D58*IFERROR(INDEX(Factors!$C$5:$C$34,MATCH(C58,Factors!$A$5:$A$34,0)),0))</f>
        <v/>
      </c>
      <c r="F58" s="13">
        <f>IF(A58="","",IFERROR(INDEX(Factors!$D$5:$D$34,MATCH(C58,Factors!$A$5:$A$34,0)),"UNMATCHED"))</f>
        <v/>
      </c>
    </row>
    <row r="59">
      <c r="A59" s="8" t="n"/>
      <c r="B59" s="8" t="n"/>
      <c r="C59" s="8" t="n"/>
      <c r="D59" s="11" t="n"/>
      <c r="E59" s="12">
        <f>IF(A59="","",D59*IFERROR(INDEX(Factors!$C$5:$C$34,MATCH(C59,Factors!$A$5:$A$34,0)),0))</f>
        <v/>
      </c>
      <c r="F59" s="13">
        <f>IF(A59="","",IFERROR(INDEX(Factors!$D$5:$D$34,MATCH(C59,Factors!$A$5:$A$34,0)),"UNMATCHED"))</f>
        <v/>
      </c>
    </row>
    <row r="60">
      <c r="A60" s="8" t="n"/>
      <c r="B60" s="8" t="n"/>
      <c r="C60" s="8" t="n"/>
      <c r="D60" s="11" t="n"/>
      <c r="E60" s="12">
        <f>IF(A60="","",D60*IFERROR(INDEX(Factors!$C$5:$C$34,MATCH(C60,Factors!$A$5:$A$34,0)),0))</f>
        <v/>
      </c>
      <c r="F60" s="13">
        <f>IF(A60="","",IFERROR(INDEX(Factors!$D$5:$D$34,MATCH(C60,Factors!$A$5:$A$34,0)),"UNMATCHED"))</f>
        <v/>
      </c>
    </row>
    <row r="61">
      <c r="A61" s="8" t="n"/>
      <c r="B61" s="8" t="n"/>
      <c r="C61" s="8" t="n"/>
      <c r="D61" s="11" t="n"/>
      <c r="E61" s="12">
        <f>IF(A61="","",D61*IFERROR(INDEX(Factors!$C$5:$C$34,MATCH(C61,Factors!$A$5:$A$34,0)),0))</f>
        <v/>
      </c>
      <c r="F61" s="13">
        <f>IF(A61="","",IFERROR(INDEX(Factors!$D$5:$D$34,MATCH(C61,Factors!$A$5:$A$34,0)),"UNMATCHED"))</f>
        <v/>
      </c>
    </row>
    <row r="62">
      <c r="A62" s="8" t="n"/>
      <c r="B62" s="8" t="n"/>
      <c r="C62" s="8" t="n"/>
      <c r="D62" s="11" t="n"/>
      <c r="E62" s="12">
        <f>IF(A62="","",D62*IFERROR(INDEX(Factors!$C$5:$C$34,MATCH(C62,Factors!$A$5:$A$34,0)),0))</f>
        <v/>
      </c>
      <c r="F62" s="13">
        <f>IF(A62="","",IFERROR(INDEX(Factors!$D$5:$D$34,MATCH(C62,Factors!$A$5:$A$34,0)),"UNMATCHED"))</f>
        <v/>
      </c>
    </row>
    <row r="63">
      <c r="A63" s="8" t="n"/>
      <c r="B63" s="8" t="n"/>
      <c r="C63" s="8" t="n"/>
      <c r="D63" s="11" t="n"/>
      <c r="E63" s="12">
        <f>IF(A63="","",D63*IFERROR(INDEX(Factors!$C$5:$C$34,MATCH(C63,Factors!$A$5:$A$34,0)),0))</f>
        <v/>
      </c>
      <c r="F63" s="13">
        <f>IF(A63="","",IFERROR(INDEX(Factors!$D$5:$D$34,MATCH(C63,Factors!$A$5:$A$34,0)),"UNMATCHED"))</f>
        <v/>
      </c>
    </row>
    <row r="64">
      <c r="A64" s="8" t="n"/>
      <c r="B64" s="8" t="n"/>
      <c r="C64" s="8" t="n"/>
      <c r="D64" s="11" t="n"/>
      <c r="E64" s="12">
        <f>IF(A64="","",D64*IFERROR(INDEX(Factors!$C$5:$C$34,MATCH(C64,Factors!$A$5:$A$34,0)),0))</f>
        <v/>
      </c>
      <c r="F64" s="13">
        <f>IF(A64="","",IFERROR(INDEX(Factors!$D$5:$D$34,MATCH(C64,Factors!$A$5:$A$34,0)),"UNMATCHED"))</f>
        <v/>
      </c>
    </row>
    <row r="65">
      <c r="A65" s="8" t="n"/>
      <c r="B65" s="8" t="n"/>
      <c r="C65" s="8" t="n"/>
      <c r="D65" s="11" t="n"/>
      <c r="E65" s="12">
        <f>IF(A65="","",D65*IFERROR(INDEX(Factors!$C$5:$C$34,MATCH(C65,Factors!$A$5:$A$34,0)),0))</f>
        <v/>
      </c>
      <c r="F65" s="13">
        <f>IF(A65="","",IFERROR(INDEX(Factors!$D$5:$D$34,MATCH(C65,Factors!$A$5:$A$34,0)),"UNMATCHED"))</f>
        <v/>
      </c>
    </row>
    <row r="66">
      <c r="A66" s="8" t="n"/>
      <c r="B66" s="8" t="n"/>
      <c r="C66" s="8" t="n"/>
      <c r="D66" s="11" t="n"/>
      <c r="E66" s="12">
        <f>IF(A66="","",D66*IFERROR(INDEX(Factors!$C$5:$C$34,MATCH(C66,Factors!$A$5:$A$34,0)),0))</f>
        <v/>
      </c>
      <c r="F66" s="13">
        <f>IF(A66="","",IFERROR(INDEX(Factors!$D$5:$D$34,MATCH(C66,Factors!$A$5:$A$34,0)),"UNMATCHED"))</f>
        <v/>
      </c>
    </row>
    <row r="67">
      <c r="A67" s="8" t="n"/>
      <c r="B67" s="8" t="n"/>
      <c r="C67" s="8" t="n"/>
      <c r="D67" s="11" t="n"/>
      <c r="E67" s="12">
        <f>IF(A67="","",D67*IFERROR(INDEX(Factors!$C$5:$C$34,MATCH(C67,Factors!$A$5:$A$34,0)),0))</f>
        <v/>
      </c>
      <c r="F67" s="13">
        <f>IF(A67="","",IFERROR(INDEX(Factors!$D$5:$D$34,MATCH(C67,Factors!$A$5:$A$34,0)),"UNMATCHED"))</f>
        <v/>
      </c>
    </row>
    <row r="68">
      <c r="A68" s="8" t="n"/>
      <c r="B68" s="8" t="n"/>
      <c r="C68" s="8" t="n"/>
      <c r="D68" s="11" t="n"/>
      <c r="E68" s="12">
        <f>IF(A68="","",D68*IFERROR(INDEX(Factors!$C$5:$C$34,MATCH(C68,Factors!$A$5:$A$34,0)),0))</f>
        <v/>
      </c>
      <c r="F68" s="13">
        <f>IF(A68="","",IFERROR(INDEX(Factors!$D$5:$D$34,MATCH(C68,Factors!$A$5:$A$34,0)),"UNMATCHED"))</f>
        <v/>
      </c>
    </row>
    <row r="69">
      <c r="A69" s="8" t="n"/>
      <c r="B69" s="8" t="n"/>
      <c r="C69" s="8" t="n"/>
      <c r="D69" s="11" t="n"/>
      <c r="E69" s="12">
        <f>IF(A69="","",D69*IFERROR(INDEX(Factors!$C$5:$C$34,MATCH(C69,Factors!$A$5:$A$34,0)),0))</f>
        <v/>
      </c>
      <c r="F69" s="13">
        <f>IF(A69="","",IFERROR(INDEX(Factors!$D$5:$D$34,MATCH(C69,Factors!$A$5:$A$34,0)),"UNMATCHED"))</f>
        <v/>
      </c>
    </row>
    <row r="70">
      <c r="A70" s="8" t="n"/>
      <c r="B70" s="8" t="n"/>
      <c r="C70" s="8" t="n"/>
      <c r="D70" s="11" t="n"/>
      <c r="E70" s="12">
        <f>IF(A70="","",D70*IFERROR(INDEX(Factors!$C$5:$C$34,MATCH(C70,Factors!$A$5:$A$34,0)),0))</f>
        <v/>
      </c>
      <c r="F70" s="13">
        <f>IF(A70="","",IFERROR(INDEX(Factors!$D$5:$D$34,MATCH(C70,Factors!$A$5:$A$34,0)),"UNMATCHED"))</f>
        <v/>
      </c>
    </row>
    <row r="71">
      <c r="A71" s="8" t="n"/>
      <c r="B71" s="8" t="n"/>
      <c r="C71" s="8" t="n"/>
      <c r="D71" s="11" t="n"/>
      <c r="E71" s="12">
        <f>IF(A71="","",D71*IFERROR(INDEX(Factors!$C$5:$C$34,MATCH(C71,Factors!$A$5:$A$34,0)),0))</f>
        <v/>
      </c>
      <c r="F71" s="13">
        <f>IF(A71="","",IFERROR(INDEX(Factors!$D$5:$D$34,MATCH(C71,Factors!$A$5:$A$34,0)),"UNMATCHED"))</f>
        <v/>
      </c>
    </row>
    <row r="72">
      <c r="A72" s="8" t="n"/>
      <c r="B72" s="8" t="n"/>
      <c r="C72" s="8" t="n"/>
      <c r="D72" s="11" t="n"/>
      <c r="E72" s="12">
        <f>IF(A72="","",D72*IFERROR(INDEX(Factors!$C$5:$C$34,MATCH(C72,Factors!$A$5:$A$34,0)),0))</f>
        <v/>
      </c>
      <c r="F72" s="13">
        <f>IF(A72="","",IFERROR(INDEX(Factors!$D$5:$D$34,MATCH(C72,Factors!$A$5:$A$34,0)),"UNMATCHED"))</f>
        <v/>
      </c>
    </row>
    <row r="73">
      <c r="A73" s="8" t="n"/>
      <c r="B73" s="8" t="n"/>
      <c r="C73" s="8" t="n"/>
      <c r="D73" s="11" t="n"/>
      <c r="E73" s="12">
        <f>IF(A73="","",D73*IFERROR(INDEX(Factors!$C$5:$C$34,MATCH(C73,Factors!$A$5:$A$34,0)),0))</f>
        <v/>
      </c>
      <c r="F73" s="13">
        <f>IF(A73="","",IFERROR(INDEX(Factors!$D$5:$D$34,MATCH(C73,Factors!$A$5:$A$34,0)),"UNMATCHED"))</f>
        <v/>
      </c>
    </row>
    <row r="74">
      <c r="A74" s="8" t="n"/>
      <c r="B74" s="8" t="n"/>
      <c r="C74" s="8" t="n"/>
      <c r="D74" s="11" t="n"/>
      <c r="E74" s="12">
        <f>IF(A74="","",D74*IFERROR(INDEX(Factors!$C$5:$C$34,MATCH(C74,Factors!$A$5:$A$34,0)),0))</f>
        <v/>
      </c>
      <c r="F74" s="13">
        <f>IF(A74="","",IFERROR(INDEX(Factors!$D$5:$D$34,MATCH(C74,Factors!$A$5:$A$34,0)),"UNMATCHED"))</f>
        <v/>
      </c>
    </row>
    <row r="75">
      <c r="A75" s="8" t="n"/>
      <c r="B75" s="8" t="n"/>
      <c r="C75" s="8" t="n"/>
      <c r="D75" s="11" t="n"/>
      <c r="E75" s="12">
        <f>IF(A75="","",D75*IFERROR(INDEX(Factors!$C$5:$C$34,MATCH(C75,Factors!$A$5:$A$34,0)),0))</f>
        <v/>
      </c>
      <c r="F75" s="13">
        <f>IF(A75="","",IFERROR(INDEX(Factors!$D$5:$D$34,MATCH(C75,Factors!$A$5:$A$34,0)),"UNMATCHED"))</f>
        <v/>
      </c>
    </row>
    <row r="76">
      <c r="A76" s="8" t="n"/>
      <c r="B76" s="8" t="n"/>
      <c r="C76" s="8" t="n"/>
      <c r="D76" s="11" t="n"/>
      <c r="E76" s="12">
        <f>IF(A76="","",D76*IFERROR(INDEX(Factors!$C$5:$C$34,MATCH(C76,Factors!$A$5:$A$34,0)),0))</f>
        <v/>
      </c>
      <c r="F76" s="13">
        <f>IF(A76="","",IFERROR(INDEX(Factors!$D$5:$D$34,MATCH(C76,Factors!$A$5:$A$34,0)),"UNMATCHED"))</f>
        <v/>
      </c>
    </row>
    <row r="77">
      <c r="A77" s="8" t="n"/>
      <c r="B77" s="8" t="n"/>
      <c r="C77" s="8" t="n"/>
      <c r="D77" s="11" t="n"/>
      <c r="E77" s="12">
        <f>IF(A77="","",D77*IFERROR(INDEX(Factors!$C$5:$C$34,MATCH(C77,Factors!$A$5:$A$34,0)),0))</f>
        <v/>
      </c>
      <c r="F77" s="13">
        <f>IF(A77="","",IFERROR(INDEX(Factors!$D$5:$D$34,MATCH(C77,Factors!$A$5:$A$34,0)),"UNMATCHED"))</f>
        <v/>
      </c>
    </row>
    <row r="78">
      <c r="A78" s="8" t="n"/>
      <c r="B78" s="8" t="n"/>
      <c r="C78" s="8" t="n"/>
      <c r="D78" s="11" t="n"/>
      <c r="E78" s="12">
        <f>IF(A78="","",D78*IFERROR(INDEX(Factors!$C$5:$C$34,MATCH(C78,Factors!$A$5:$A$34,0)),0))</f>
        <v/>
      </c>
      <c r="F78" s="13">
        <f>IF(A78="","",IFERROR(INDEX(Factors!$D$5:$D$34,MATCH(C78,Factors!$A$5:$A$34,0)),"UNMATCHED"))</f>
        <v/>
      </c>
    </row>
    <row r="79">
      <c r="A79" s="8" t="n"/>
      <c r="B79" s="8" t="n"/>
      <c r="C79" s="8" t="n"/>
      <c r="D79" s="11" t="n"/>
      <c r="E79" s="12">
        <f>IF(A79="","",D79*IFERROR(INDEX(Factors!$C$5:$C$34,MATCH(C79,Factors!$A$5:$A$34,0)),0))</f>
        <v/>
      </c>
      <c r="F79" s="13">
        <f>IF(A79="","",IFERROR(INDEX(Factors!$D$5:$D$34,MATCH(C79,Factors!$A$5:$A$34,0)),"UNMATCHED"))</f>
        <v/>
      </c>
    </row>
    <row r="80">
      <c r="A80" s="8" t="n"/>
      <c r="B80" s="8" t="n"/>
      <c r="C80" s="8" t="n"/>
      <c r="D80" s="11" t="n"/>
      <c r="E80" s="12">
        <f>IF(A80="","",D80*IFERROR(INDEX(Factors!$C$5:$C$34,MATCH(C80,Factors!$A$5:$A$34,0)),0))</f>
        <v/>
      </c>
      <c r="F80" s="13">
        <f>IF(A80="","",IFERROR(INDEX(Factors!$D$5:$D$34,MATCH(C80,Factors!$A$5:$A$34,0)),"UNMATCHED"))</f>
        <v/>
      </c>
    </row>
    <row r="81">
      <c r="A81" s="8" t="n"/>
      <c r="B81" s="8" t="n"/>
      <c r="C81" s="8" t="n"/>
      <c r="D81" s="11" t="n"/>
      <c r="E81" s="12">
        <f>IF(A81="","",D81*IFERROR(INDEX(Factors!$C$5:$C$34,MATCH(C81,Factors!$A$5:$A$34,0)),0))</f>
        <v/>
      </c>
      <c r="F81" s="13">
        <f>IF(A81="","",IFERROR(INDEX(Factors!$D$5:$D$34,MATCH(C81,Factors!$A$5:$A$34,0)),"UNMATCHED"))</f>
        <v/>
      </c>
    </row>
    <row r="82">
      <c r="A82" s="8" t="n"/>
      <c r="B82" s="8" t="n"/>
      <c r="C82" s="8" t="n"/>
      <c r="D82" s="11" t="n"/>
      <c r="E82" s="12">
        <f>IF(A82="","",D82*IFERROR(INDEX(Factors!$C$5:$C$34,MATCH(C82,Factors!$A$5:$A$34,0)),0))</f>
        <v/>
      </c>
      <c r="F82" s="13">
        <f>IF(A82="","",IFERROR(INDEX(Factors!$D$5:$D$34,MATCH(C82,Factors!$A$5:$A$34,0)),"UNMATCHED"))</f>
        <v/>
      </c>
    </row>
    <row r="83">
      <c r="A83" s="8" t="n"/>
      <c r="B83" s="8" t="n"/>
      <c r="C83" s="8" t="n"/>
      <c r="D83" s="11" t="n"/>
      <c r="E83" s="12">
        <f>IF(A83="","",D83*IFERROR(INDEX(Factors!$C$5:$C$34,MATCH(C83,Factors!$A$5:$A$34,0)),0))</f>
        <v/>
      </c>
      <c r="F83" s="13">
        <f>IF(A83="","",IFERROR(INDEX(Factors!$D$5:$D$34,MATCH(C83,Factors!$A$5:$A$34,0)),"UNMATCHED"))</f>
        <v/>
      </c>
    </row>
    <row r="84">
      <c r="A84" s="8" t="n"/>
      <c r="B84" s="8" t="n"/>
      <c r="C84" s="8" t="n"/>
      <c r="D84" s="11" t="n"/>
      <c r="E84" s="12">
        <f>IF(A84="","",D84*IFERROR(INDEX(Factors!$C$5:$C$34,MATCH(C84,Factors!$A$5:$A$34,0)),0))</f>
        <v/>
      </c>
      <c r="F84" s="13">
        <f>IF(A84="","",IFERROR(INDEX(Factors!$D$5:$D$34,MATCH(C84,Factors!$A$5:$A$34,0)),"UNMATCHED"))</f>
        <v/>
      </c>
    </row>
    <row r="85">
      <c r="A85" s="8" t="n"/>
      <c r="B85" s="8" t="n"/>
      <c r="C85" s="8" t="n"/>
      <c r="D85" s="11" t="n"/>
      <c r="E85" s="12">
        <f>IF(A85="","",D85*IFERROR(INDEX(Factors!$C$5:$C$34,MATCH(C85,Factors!$A$5:$A$34,0)),0))</f>
        <v/>
      </c>
      <c r="F85" s="13">
        <f>IF(A85="","",IFERROR(INDEX(Factors!$D$5:$D$34,MATCH(C85,Factors!$A$5:$A$34,0)),"UNMATCHED"))</f>
        <v/>
      </c>
    </row>
    <row r="86">
      <c r="A86" s="8" t="n"/>
      <c r="B86" s="8" t="n"/>
      <c r="C86" s="8" t="n"/>
      <c r="D86" s="11" t="n"/>
      <c r="E86" s="12">
        <f>IF(A86="","",D86*IFERROR(INDEX(Factors!$C$5:$C$34,MATCH(C86,Factors!$A$5:$A$34,0)),0))</f>
        <v/>
      </c>
      <c r="F86" s="13">
        <f>IF(A86="","",IFERROR(INDEX(Factors!$D$5:$D$34,MATCH(C86,Factors!$A$5:$A$34,0)),"UNMATCHED"))</f>
        <v/>
      </c>
    </row>
    <row r="87">
      <c r="A87" s="8" t="n"/>
      <c r="B87" s="8" t="n"/>
      <c r="C87" s="8" t="n"/>
      <c r="D87" s="11" t="n"/>
      <c r="E87" s="12">
        <f>IF(A87="","",D87*IFERROR(INDEX(Factors!$C$5:$C$34,MATCH(C87,Factors!$A$5:$A$34,0)),0))</f>
        <v/>
      </c>
      <c r="F87" s="13">
        <f>IF(A87="","",IFERROR(INDEX(Factors!$D$5:$D$34,MATCH(C87,Factors!$A$5:$A$34,0)),"UNMATCHED"))</f>
        <v/>
      </c>
    </row>
    <row r="88">
      <c r="A88" s="8" t="n"/>
      <c r="B88" s="8" t="n"/>
      <c r="C88" s="8" t="n"/>
      <c r="D88" s="11" t="n"/>
      <c r="E88" s="12">
        <f>IF(A88="","",D88*IFERROR(INDEX(Factors!$C$5:$C$34,MATCH(C88,Factors!$A$5:$A$34,0)),0))</f>
        <v/>
      </c>
      <c r="F88" s="13">
        <f>IF(A88="","",IFERROR(INDEX(Factors!$D$5:$D$34,MATCH(C88,Factors!$A$5:$A$34,0)),"UNMATCHED"))</f>
        <v/>
      </c>
    </row>
    <row r="89">
      <c r="A89" s="8" t="n"/>
      <c r="B89" s="8" t="n"/>
      <c r="C89" s="8" t="n"/>
      <c r="D89" s="11" t="n"/>
      <c r="E89" s="12">
        <f>IF(A89="","",D89*IFERROR(INDEX(Factors!$C$5:$C$34,MATCH(C89,Factors!$A$5:$A$34,0)),0))</f>
        <v/>
      </c>
      <c r="F89" s="13">
        <f>IF(A89="","",IFERROR(INDEX(Factors!$D$5:$D$34,MATCH(C89,Factors!$A$5:$A$34,0)),"UNMATCHED"))</f>
        <v/>
      </c>
    </row>
    <row r="90">
      <c r="A90" s="8" t="n"/>
      <c r="B90" s="8" t="n"/>
      <c r="C90" s="8" t="n"/>
      <c r="D90" s="11" t="n"/>
      <c r="E90" s="12">
        <f>IF(A90="","",D90*IFERROR(INDEX(Factors!$C$5:$C$34,MATCH(C90,Factors!$A$5:$A$34,0)),0))</f>
        <v/>
      </c>
      <c r="F90" s="13">
        <f>IF(A90="","",IFERROR(INDEX(Factors!$D$5:$D$34,MATCH(C90,Factors!$A$5:$A$34,0)),"UNMATCHED"))</f>
        <v/>
      </c>
    </row>
    <row r="91">
      <c r="A91" s="8" t="n"/>
      <c r="B91" s="8" t="n"/>
      <c r="C91" s="8" t="n"/>
      <c r="D91" s="11" t="n"/>
      <c r="E91" s="12">
        <f>IF(A91="","",D91*IFERROR(INDEX(Factors!$C$5:$C$34,MATCH(C91,Factors!$A$5:$A$34,0)),0))</f>
        <v/>
      </c>
      <c r="F91" s="13">
        <f>IF(A91="","",IFERROR(INDEX(Factors!$D$5:$D$34,MATCH(C91,Factors!$A$5:$A$34,0)),"UNMATCHED"))</f>
        <v/>
      </c>
    </row>
    <row r="92">
      <c r="A92" s="8" t="n"/>
      <c r="B92" s="8" t="n"/>
      <c r="C92" s="8" t="n"/>
      <c r="D92" s="11" t="n"/>
      <c r="E92" s="12">
        <f>IF(A92="","",D92*IFERROR(INDEX(Factors!$C$5:$C$34,MATCH(C92,Factors!$A$5:$A$34,0)),0))</f>
        <v/>
      </c>
      <c r="F92" s="13">
        <f>IF(A92="","",IFERROR(INDEX(Factors!$D$5:$D$34,MATCH(C92,Factors!$A$5:$A$34,0)),"UNMATCHED"))</f>
        <v/>
      </c>
    </row>
    <row r="93">
      <c r="A93" s="8" t="n"/>
      <c r="B93" s="8" t="n"/>
      <c r="C93" s="8" t="n"/>
      <c r="D93" s="11" t="n"/>
      <c r="E93" s="12">
        <f>IF(A93="","",D93*IFERROR(INDEX(Factors!$C$5:$C$34,MATCH(C93,Factors!$A$5:$A$34,0)),0))</f>
        <v/>
      </c>
      <c r="F93" s="13">
        <f>IF(A93="","",IFERROR(INDEX(Factors!$D$5:$D$34,MATCH(C93,Factors!$A$5:$A$34,0)),"UNMATCHED"))</f>
        <v/>
      </c>
    </row>
    <row r="94">
      <c r="A94" s="8" t="n"/>
      <c r="B94" s="8" t="n"/>
      <c r="C94" s="8" t="n"/>
      <c r="D94" s="11" t="n"/>
      <c r="E94" s="12">
        <f>IF(A94="","",D94*IFERROR(INDEX(Factors!$C$5:$C$34,MATCH(C94,Factors!$A$5:$A$34,0)),0))</f>
        <v/>
      </c>
      <c r="F94" s="13">
        <f>IF(A94="","",IFERROR(INDEX(Factors!$D$5:$D$34,MATCH(C94,Factors!$A$5:$A$34,0)),"UNMATCHED"))</f>
        <v/>
      </c>
    </row>
    <row r="95">
      <c r="A95" s="8" t="n"/>
      <c r="B95" s="8" t="n"/>
      <c r="C95" s="8" t="n"/>
      <c r="D95" s="11" t="n"/>
      <c r="E95" s="12">
        <f>IF(A95="","",D95*IFERROR(INDEX(Factors!$C$5:$C$34,MATCH(C95,Factors!$A$5:$A$34,0)),0))</f>
        <v/>
      </c>
      <c r="F95" s="13">
        <f>IF(A95="","",IFERROR(INDEX(Factors!$D$5:$D$34,MATCH(C95,Factors!$A$5:$A$34,0)),"UNMATCHED"))</f>
        <v/>
      </c>
    </row>
    <row r="96">
      <c r="A96" s="8" t="n"/>
      <c r="B96" s="8" t="n"/>
      <c r="C96" s="8" t="n"/>
      <c r="D96" s="11" t="n"/>
      <c r="E96" s="12">
        <f>IF(A96="","",D96*IFERROR(INDEX(Factors!$C$5:$C$34,MATCH(C96,Factors!$A$5:$A$34,0)),0))</f>
        <v/>
      </c>
      <c r="F96" s="13">
        <f>IF(A96="","",IFERROR(INDEX(Factors!$D$5:$D$34,MATCH(C96,Factors!$A$5:$A$34,0)),"UNMATCHED"))</f>
        <v/>
      </c>
    </row>
    <row r="97">
      <c r="A97" s="8" t="n"/>
      <c r="B97" s="8" t="n"/>
      <c r="C97" s="8" t="n"/>
      <c r="D97" s="11" t="n"/>
      <c r="E97" s="12">
        <f>IF(A97="","",D97*IFERROR(INDEX(Factors!$C$5:$C$34,MATCH(C97,Factors!$A$5:$A$34,0)),0))</f>
        <v/>
      </c>
      <c r="F97" s="13">
        <f>IF(A97="","",IFERROR(INDEX(Factors!$D$5:$D$34,MATCH(C97,Factors!$A$5:$A$34,0)),"UNMATCHED"))</f>
        <v/>
      </c>
    </row>
    <row r="98">
      <c r="A98" s="8" t="n"/>
      <c r="B98" s="8" t="n"/>
      <c r="C98" s="8" t="n"/>
      <c r="D98" s="11" t="n"/>
      <c r="E98" s="12">
        <f>IF(A98="","",D98*IFERROR(INDEX(Factors!$C$5:$C$34,MATCH(C98,Factors!$A$5:$A$34,0)),0))</f>
        <v/>
      </c>
      <c r="F98" s="13">
        <f>IF(A98="","",IFERROR(INDEX(Factors!$D$5:$D$34,MATCH(C98,Factors!$A$5:$A$34,0)),"UNMATCHED"))</f>
        <v/>
      </c>
    </row>
    <row r="99">
      <c r="A99" s="8" t="n"/>
      <c r="B99" s="8" t="n"/>
      <c r="C99" s="8" t="n"/>
      <c r="D99" s="11" t="n"/>
      <c r="E99" s="12">
        <f>IF(A99="","",D99*IFERROR(INDEX(Factors!$C$5:$C$34,MATCH(C99,Factors!$A$5:$A$34,0)),0))</f>
        <v/>
      </c>
      <c r="F99" s="13">
        <f>IF(A99="","",IFERROR(INDEX(Factors!$D$5:$D$34,MATCH(C99,Factors!$A$5:$A$34,0)),"UNMATCHED"))</f>
        <v/>
      </c>
    </row>
    <row r="100">
      <c r="A100" s="8" t="n"/>
      <c r="B100" s="8" t="n"/>
      <c r="C100" s="8" t="n"/>
      <c r="D100" s="11" t="n"/>
      <c r="E100" s="12">
        <f>IF(A100="","",D100*IFERROR(INDEX(Factors!$C$5:$C$34,MATCH(C100,Factors!$A$5:$A$34,0)),0))</f>
        <v/>
      </c>
      <c r="F100" s="13">
        <f>IF(A100="","",IFERROR(INDEX(Factors!$D$5:$D$34,MATCH(C100,Factors!$A$5:$A$34,0)),"UNMATCHED"))</f>
        <v/>
      </c>
    </row>
    <row r="101">
      <c r="A101" s="8" t="n"/>
      <c r="B101" s="8" t="n"/>
      <c r="C101" s="8" t="n"/>
      <c r="D101" s="11" t="n"/>
      <c r="E101" s="12">
        <f>IF(A101="","",D101*IFERROR(INDEX(Factors!$C$5:$C$34,MATCH(C101,Factors!$A$5:$A$34,0)),0))</f>
        <v/>
      </c>
      <c r="F101" s="13">
        <f>IF(A101="","",IFERROR(INDEX(Factors!$D$5:$D$34,MATCH(C101,Factors!$A$5:$A$34,0)),"UNMATCHED"))</f>
        <v/>
      </c>
    </row>
    <row r="102">
      <c r="A102" s="8" t="n"/>
      <c r="B102" s="8" t="n"/>
      <c r="C102" s="8" t="n"/>
      <c r="D102" s="11" t="n"/>
      <c r="E102" s="12">
        <f>IF(A102="","",D102*IFERROR(INDEX(Factors!$C$5:$C$34,MATCH(C102,Factors!$A$5:$A$34,0)),0))</f>
        <v/>
      </c>
      <c r="F102" s="13">
        <f>IF(A102="","",IFERROR(INDEX(Factors!$D$5:$D$34,MATCH(C102,Factors!$A$5:$A$34,0)),"UNMATCHED"))</f>
        <v/>
      </c>
    </row>
    <row r="103">
      <c r="A103" s="8" t="n"/>
      <c r="B103" s="8" t="n"/>
      <c r="C103" s="8" t="n"/>
      <c r="D103" s="11" t="n"/>
      <c r="E103" s="12">
        <f>IF(A103="","",D103*IFERROR(INDEX(Factors!$C$5:$C$34,MATCH(C103,Factors!$A$5:$A$34,0)),0))</f>
        <v/>
      </c>
      <c r="F103" s="13">
        <f>IF(A103="","",IFERROR(INDEX(Factors!$D$5:$D$34,MATCH(C103,Factors!$A$5:$A$34,0)),"UNMATCHED"))</f>
        <v/>
      </c>
    </row>
    <row r="104">
      <c r="A104" s="8" t="n"/>
      <c r="B104" s="8" t="n"/>
      <c r="C104" s="8" t="n"/>
      <c r="D104" s="11" t="n"/>
      <c r="E104" s="12">
        <f>IF(A104="","",D104*IFERROR(INDEX(Factors!$C$5:$C$34,MATCH(C104,Factors!$A$5:$A$34,0)),0))</f>
        <v/>
      </c>
      <c r="F104" s="13">
        <f>IF(A104="","",IFERROR(INDEX(Factors!$D$5:$D$34,MATCH(C104,Factors!$A$5:$A$34,0)),"UNMATCHED"))</f>
        <v/>
      </c>
    </row>
    <row r="105">
      <c r="A105" s="8" t="n"/>
      <c r="B105" s="8" t="n"/>
      <c r="C105" s="8" t="n"/>
      <c r="D105" s="11" t="n"/>
      <c r="E105" s="12">
        <f>IF(A105="","",D105*IFERROR(INDEX(Factors!$C$5:$C$34,MATCH(C105,Factors!$A$5:$A$34,0)),0))</f>
        <v/>
      </c>
      <c r="F105" s="13">
        <f>IF(A105="","",IFERROR(INDEX(Factors!$D$5:$D$34,MATCH(C105,Factors!$A$5:$A$34,0)),"UNMATCHED"))</f>
        <v/>
      </c>
    </row>
    <row r="106">
      <c r="A106" s="8" t="n"/>
      <c r="B106" s="8" t="n"/>
      <c r="C106" s="8" t="n"/>
      <c r="D106" s="11" t="n"/>
      <c r="E106" s="12">
        <f>IF(A106="","",D106*IFERROR(INDEX(Factors!$C$5:$C$34,MATCH(C106,Factors!$A$5:$A$34,0)),0))</f>
        <v/>
      </c>
      <c r="F106" s="13">
        <f>IF(A106="","",IFERROR(INDEX(Factors!$D$5:$D$34,MATCH(C106,Factors!$A$5:$A$34,0)),"UNMATCHED"))</f>
        <v/>
      </c>
    </row>
    <row r="107">
      <c r="A107" s="8" t="n"/>
      <c r="B107" s="8" t="n"/>
      <c r="C107" s="8" t="n"/>
      <c r="D107" s="11" t="n"/>
      <c r="E107" s="12">
        <f>IF(A107="","",D107*IFERROR(INDEX(Factors!$C$5:$C$34,MATCH(C107,Factors!$A$5:$A$34,0)),0))</f>
        <v/>
      </c>
      <c r="F107" s="13">
        <f>IF(A107="","",IFERROR(INDEX(Factors!$D$5:$D$34,MATCH(C107,Factors!$A$5:$A$34,0)),"UNMATCHED"))</f>
        <v/>
      </c>
    </row>
    <row r="108">
      <c r="A108" s="8" t="n"/>
      <c r="B108" s="8" t="n"/>
      <c r="C108" s="8" t="n"/>
      <c r="D108" s="11" t="n"/>
      <c r="E108" s="12">
        <f>IF(A108="","",D108*IFERROR(INDEX(Factors!$C$5:$C$34,MATCH(C108,Factors!$A$5:$A$34,0)),0))</f>
        <v/>
      </c>
      <c r="F108" s="13">
        <f>IF(A108="","",IFERROR(INDEX(Factors!$D$5:$D$34,MATCH(C108,Factors!$A$5:$A$34,0)),"UNMATCHED"))</f>
        <v/>
      </c>
    </row>
    <row r="109">
      <c r="A109" s="8" t="n"/>
      <c r="B109" s="8" t="n"/>
      <c r="C109" s="8" t="n"/>
      <c r="D109" s="11" t="n"/>
      <c r="E109" s="12">
        <f>IF(A109="","",D109*IFERROR(INDEX(Factors!$C$5:$C$34,MATCH(C109,Factors!$A$5:$A$34,0)),0))</f>
        <v/>
      </c>
      <c r="F109" s="13">
        <f>IF(A109="","",IFERROR(INDEX(Factors!$D$5:$D$34,MATCH(C109,Factors!$A$5:$A$34,0)),"UNMATCHED"))</f>
        <v/>
      </c>
    </row>
    <row r="110">
      <c r="A110" s="8" t="n"/>
      <c r="B110" s="8" t="n"/>
      <c r="C110" s="8" t="n"/>
      <c r="D110" s="11" t="n"/>
      <c r="E110" s="12">
        <f>IF(A110="","",D110*IFERROR(INDEX(Factors!$C$5:$C$34,MATCH(C110,Factors!$A$5:$A$34,0)),0))</f>
        <v/>
      </c>
      <c r="F110" s="13">
        <f>IF(A110="","",IFERROR(INDEX(Factors!$D$5:$D$34,MATCH(C110,Factors!$A$5:$A$34,0)),"UNMATCHED"))</f>
        <v/>
      </c>
    </row>
    <row r="111">
      <c r="A111" s="8" t="n"/>
      <c r="B111" s="8" t="n"/>
      <c r="C111" s="8" t="n"/>
      <c r="D111" s="11" t="n"/>
      <c r="E111" s="12">
        <f>IF(A111="","",D111*IFERROR(INDEX(Factors!$C$5:$C$34,MATCH(C111,Factors!$A$5:$A$34,0)),0))</f>
        <v/>
      </c>
      <c r="F111" s="13">
        <f>IF(A111="","",IFERROR(INDEX(Factors!$D$5:$D$34,MATCH(C111,Factors!$A$5:$A$34,0)),"UNMATCHED"))</f>
        <v/>
      </c>
    </row>
    <row r="112">
      <c r="A112" s="8" t="n"/>
      <c r="B112" s="8" t="n"/>
      <c r="C112" s="8" t="n"/>
      <c r="D112" s="11" t="n"/>
      <c r="E112" s="12">
        <f>IF(A112="","",D112*IFERROR(INDEX(Factors!$C$5:$C$34,MATCH(C112,Factors!$A$5:$A$34,0)),0))</f>
        <v/>
      </c>
      <c r="F112" s="13">
        <f>IF(A112="","",IFERROR(INDEX(Factors!$D$5:$D$34,MATCH(C112,Factors!$A$5:$A$34,0)),"UNMATCHED"))</f>
        <v/>
      </c>
    </row>
    <row r="113">
      <c r="A113" s="8" t="n"/>
      <c r="B113" s="8" t="n"/>
      <c r="C113" s="8" t="n"/>
      <c r="D113" s="11" t="n"/>
      <c r="E113" s="12">
        <f>IF(A113="","",D113*IFERROR(INDEX(Factors!$C$5:$C$34,MATCH(C113,Factors!$A$5:$A$34,0)),0))</f>
        <v/>
      </c>
      <c r="F113" s="13">
        <f>IF(A113="","",IFERROR(INDEX(Factors!$D$5:$D$34,MATCH(C113,Factors!$A$5:$A$34,0)),"UNMATCHED"))</f>
        <v/>
      </c>
    </row>
    <row r="114">
      <c r="A114" s="8" t="n"/>
      <c r="B114" s="8" t="n"/>
      <c r="C114" s="8" t="n"/>
      <c r="D114" s="11" t="n"/>
      <c r="E114" s="12">
        <f>IF(A114="","",D114*IFERROR(INDEX(Factors!$C$5:$C$34,MATCH(C114,Factors!$A$5:$A$34,0)),0))</f>
        <v/>
      </c>
      <c r="F114" s="13">
        <f>IF(A114="","",IFERROR(INDEX(Factors!$D$5:$D$34,MATCH(C114,Factors!$A$5:$A$34,0)),"UNMATCHED"))</f>
        <v/>
      </c>
    </row>
    <row r="115">
      <c r="A115" s="8" t="n"/>
      <c r="B115" s="8" t="n"/>
      <c r="C115" s="8" t="n"/>
      <c r="D115" s="11" t="n"/>
      <c r="E115" s="12">
        <f>IF(A115="","",D115*IFERROR(INDEX(Factors!$C$5:$C$34,MATCH(C115,Factors!$A$5:$A$34,0)),0))</f>
        <v/>
      </c>
      <c r="F115" s="13">
        <f>IF(A115="","",IFERROR(INDEX(Factors!$D$5:$D$34,MATCH(C115,Factors!$A$5:$A$34,0)),"UNMATCHED"))</f>
        <v/>
      </c>
    </row>
    <row r="116">
      <c r="A116" s="8" t="n"/>
      <c r="B116" s="8" t="n"/>
      <c r="C116" s="8" t="n"/>
      <c r="D116" s="11" t="n"/>
      <c r="E116" s="12">
        <f>IF(A116="","",D116*IFERROR(INDEX(Factors!$C$5:$C$34,MATCH(C116,Factors!$A$5:$A$34,0)),0))</f>
        <v/>
      </c>
      <c r="F116" s="13">
        <f>IF(A116="","",IFERROR(INDEX(Factors!$D$5:$D$34,MATCH(C116,Factors!$A$5:$A$34,0)),"UNMATCHED"))</f>
        <v/>
      </c>
    </row>
    <row r="117">
      <c r="A117" s="8" t="n"/>
      <c r="B117" s="8" t="n"/>
      <c r="C117" s="8" t="n"/>
      <c r="D117" s="11" t="n"/>
      <c r="E117" s="12">
        <f>IF(A117="","",D117*IFERROR(INDEX(Factors!$C$5:$C$34,MATCH(C117,Factors!$A$5:$A$34,0)),0))</f>
        <v/>
      </c>
      <c r="F117" s="13">
        <f>IF(A117="","",IFERROR(INDEX(Factors!$D$5:$D$34,MATCH(C117,Factors!$A$5:$A$34,0)),"UNMATCHED"))</f>
        <v/>
      </c>
    </row>
    <row r="118">
      <c r="A118" s="8" t="n"/>
      <c r="B118" s="8" t="n"/>
      <c r="C118" s="8" t="n"/>
      <c r="D118" s="11" t="n"/>
      <c r="E118" s="12">
        <f>IF(A118="","",D118*IFERROR(INDEX(Factors!$C$5:$C$34,MATCH(C118,Factors!$A$5:$A$34,0)),0))</f>
        <v/>
      </c>
      <c r="F118" s="13">
        <f>IF(A118="","",IFERROR(INDEX(Factors!$D$5:$D$34,MATCH(C118,Factors!$A$5:$A$34,0)),"UNMATCHED"))</f>
        <v/>
      </c>
    </row>
    <row r="119">
      <c r="A119" s="8" t="n"/>
      <c r="B119" s="8" t="n"/>
      <c r="C119" s="8" t="n"/>
      <c r="D119" s="11" t="n"/>
      <c r="E119" s="12">
        <f>IF(A119="","",D119*IFERROR(INDEX(Factors!$C$5:$C$34,MATCH(C119,Factors!$A$5:$A$34,0)),0))</f>
        <v/>
      </c>
      <c r="F119" s="13">
        <f>IF(A119="","",IFERROR(INDEX(Factors!$D$5:$D$34,MATCH(C119,Factors!$A$5:$A$34,0)),"UNMATCHED"))</f>
        <v/>
      </c>
    </row>
    <row r="120">
      <c r="A120" s="8" t="n"/>
      <c r="B120" s="8" t="n"/>
      <c r="C120" s="8" t="n"/>
      <c r="D120" s="11" t="n"/>
      <c r="E120" s="12">
        <f>IF(A120="","",D120*IFERROR(INDEX(Factors!$C$5:$C$34,MATCH(C120,Factors!$A$5:$A$34,0)),0))</f>
        <v/>
      </c>
      <c r="F120" s="13">
        <f>IF(A120="","",IFERROR(INDEX(Factors!$D$5:$D$34,MATCH(C120,Factors!$A$5:$A$34,0)),"UNMATCHED"))</f>
        <v/>
      </c>
    </row>
    <row r="121">
      <c r="A121" s="8" t="n"/>
      <c r="B121" s="8" t="n"/>
      <c r="C121" s="8" t="n"/>
      <c r="D121" s="11" t="n"/>
      <c r="E121" s="12">
        <f>IF(A121="","",D121*IFERROR(INDEX(Factors!$C$5:$C$34,MATCH(C121,Factors!$A$5:$A$34,0)),0))</f>
        <v/>
      </c>
      <c r="F121" s="13">
        <f>IF(A121="","",IFERROR(INDEX(Factors!$D$5:$D$34,MATCH(C121,Factors!$A$5:$A$34,0)),"UNMATCHED"))</f>
        <v/>
      </c>
    </row>
    <row r="122">
      <c r="A122" s="8" t="n"/>
      <c r="B122" s="8" t="n"/>
      <c r="C122" s="8" t="n"/>
      <c r="D122" s="11" t="n"/>
      <c r="E122" s="12">
        <f>IF(A122="","",D122*IFERROR(INDEX(Factors!$C$5:$C$34,MATCH(C122,Factors!$A$5:$A$34,0)),0))</f>
        <v/>
      </c>
      <c r="F122" s="13">
        <f>IF(A122="","",IFERROR(INDEX(Factors!$D$5:$D$34,MATCH(C122,Factors!$A$5:$A$34,0)),"UNMATCHED"))</f>
        <v/>
      </c>
    </row>
    <row r="123">
      <c r="A123" s="8" t="n"/>
      <c r="B123" s="8" t="n"/>
      <c r="C123" s="8" t="n"/>
      <c r="D123" s="11" t="n"/>
      <c r="E123" s="12">
        <f>IF(A123="","",D123*IFERROR(INDEX(Factors!$C$5:$C$34,MATCH(C123,Factors!$A$5:$A$34,0)),0))</f>
        <v/>
      </c>
      <c r="F123" s="13">
        <f>IF(A123="","",IFERROR(INDEX(Factors!$D$5:$D$34,MATCH(C123,Factors!$A$5:$A$34,0)),"UNMATCHED"))</f>
        <v/>
      </c>
    </row>
    <row r="124">
      <c r="A124" s="8" t="n"/>
      <c r="B124" s="8" t="n"/>
      <c r="C124" s="8" t="n"/>
      <c r="D124" s="11" t="n"/>
      <c r="E124" s="12">
        <f>IF(A124="","",D124*IFERROR(INDEX(Factors!$C$5:$C$34,MATCH(C124,Factors!$A$5:$A$34,0)),0))</f>
        <v/>
      </c>
      <c r="F124" s="13">
        <f>IF(A124="","",IFERROR(INDEX(Factors!$D$5:$D$34,MATCH(C124,Factors!$A$5:$A$34,0)),"UNMATCHED"))</f>
        <v/>
      </c>
    </row>
    <row r="125">
      <c r="A125" s="8" t="n"/>
      <c r="B125" s="8" t="n"/>
      <c r="C125" s="8" t="n"/>
      <c r="D125" s="11" t="n"/>
      <c r="E125" s="12">
        <f>IF(A125="","",D125*IFERROR(INDEX(Factors!$C$5:$C$34,MATCH(C125,Factors!$A$5:$A$34,0)),0))</f>
        <v/>
      </c>
      <c r="F125" s="13">
        <f>IF(A125="","",IFERROR(INDEX(Factors!$D$5:$D$34,MATCH(C125,Factors!$A$5:$A$34,0)),"UNMATCHED"))</f>
        <v/>
      </c>
    </row>
    <row r="126">
      <c r="A126" s="8" t="n"/>
      <c r="B126" s="8" t="n"/>
      <c r="C126" s="8" t="n"/>
      <c r="D126" s="11" t="n"/>
      <c r="E126" s="12">
        <f>IF(A126="","",D126*IFERROR(INDEX(Factors!$C$5:$C$34,MATCH(C126,Factors!$A$5:$A$34,0)),0))</f>
        <v/>
      </c>
      <c r="F126" s="13">
        <f>IF(A126="","",IFERROR(INDEX(Factors!$D$5:$D$34,MATCH(C126,Factors!$A$5:$A$34,0)),"UNMATCHED"))</f>
        <v/>
      </c>
    </row>
    <row r="127">
      <c r="A127" s="8" t="n"/>
      <c r="B127" s="8" t="n"/>
      <c r="C127" s="8" t="n"/>
      <c r="D127" s="11" t="n"/>
      <c r="E127" s="12">
        <f>IF(A127="","",D127*IFERROR(INDEX(Factors!$C$5:$C$34,MATCH(C127,Factors!$A$5:$A$34,0)),0))</f>
        <v/>
      </c>
      <c r="F127" s="13">
        <f>IF(A127="","",IFERROR(INDEX(Factors!$D$5:$D$34,MATCH(C127,Factors!$A$5:$A$34,0)),"UNMATCHED"))</f>
        <v/>
      </c>
    </row>
    <row r="128">
      <c r="A128" s="8" t="n"/>
      <c r="B128" s="8" t="n"/>
      <c r="C128" s="8" t="n"/>
      <c r="D128" s="11" t="n"/>
      <c r="E128" s="12">
        <f>IF(A128="","",D128*IFERROR(INDEX(Factors!$C$5:$C$34,MATCH(C128,Factors!$A$5:$A$34,0)),0))</f>
        <v/>
      </c>
      <c r="F128" s="13">
        <f>IF(A128="","",IFERROR(INDEX(Factors!$D$5:$D$34,MATCH(C128,Factors!$A$5:$A$34,0)),"UNMATCHED"))</f>
        <v/>
      </c>
    </row>
    <row r="129">
      <c r="A129" s="8" t="n"/>
      <c r="B129" s="8" t="n"/>
      <c r="C129" s="8" t="n"/>
      <c r="D129" s="11" t="n"/>
      <c r="E129" s="12">
        <f>IF(A129="","",D129*IFERROR(INDEX(Factors!$C$5:$C$34,MATCH(C129,Factors!$A$5:$A$34,0)),0))</f>
        <v/>
      </c>
      <c r="F129" s="13">
        <f>IF(A129="","",IFERROR(INDEX(Factors!$D$5:$D$34,MATCH(C129,Factors!$A$5:$A$34,0)),"UNMATCHED"))</f>
        <v/>
      </c>
    </row>
    <row r="130">
      <c r="A130" s="8" t="n"/>
      <c r="B130" s="8" t="n"/>
      <c r="C130" s="8" t="n"/>
      <c r="D130" s="11" t="n"/>
      <c r="E130" s="12">
        <f>IF(A130="","",D130*IFERROR(INDEX(Factors!$C$5:$C$34,MATCH(C130,Factors!$A$5:$A$34,0)),0))</f>
        <v/>
      </c>
      <c r="F130" s="13">
        <f>IF(A130="","",IFERROR(INDEX(Factors!$D$5:$D$34,MATCH(C130,Factors!$A$5:$A$34,0)),"UNMATCHED"))</f>
        <v/>
      </c>
    </row>
    <row r="131">
      <c r="A131" s="8" t="n"/>
      <c r="B131" s="8" t="n"/>
      <c r="C131" s="8" t="n"/>
      <c r="D131" s="11" t="n"/>
      <c r="E131" s="12">
        <f>IF(A131="","",D131*IFERROR(INDEX(Factors!$C$5:$C$34,MATCH(C131,Factors!$A$5:$A$34,0)),0))</f>
        <v/>
      </c>
      <c r="F131" s="13">
        <f>IF(A131="","",IFERROR(INDEX(Factors!$D$5:$D$34,MATCH(C131,Factors!$A$5:$A$34,0)),"UNMATCHED"))</f>
        <v/>
      </c>
    </row>
    <row r="132">
      <c r="A132" s="8" t="n"/>
      <c r="B132" s="8" t="n"/>
      <c r="C132" s="8" t="n"/>
      <c r="D132" s="11" t="n"/>
      <c r="E132" s="12">
        <f>IF(A132="","",D132*IFERROR(INDEX(Factors!$C$5:$C$34,MATCH(C132,Factors!$A$5:$A$34,0)),0))</f>
        <v/>
      </c>
      <c r="F132" s="13">
        <f>IF(A132="","",IFERROR(INDEX(Factors!$D$5:$D$34,MATCH(C132,Factors!$A$5:$A$34,0)),"UNMATCHED"))</f>
        <v/>
      </c>
    </row>
    <row r="133">
      <c r="A133" s="8" t="n"/>
      <c r="B133" s="8" t="n"/>
      <c r="C133" s="8" t="n"/>
      <c r="D133" s="11" t="n"/>
      <c r="E133" s="12">
        <f>IF(A133="","",D133*IFERROR(INDEX(Factors!$C$5:$C$34,MATCH(C133,Factors!$A$5:$A$34,0)),0))</f>
        <v/>
      </c>
      <c r="F133" s="13">
        <f>IF(A133="","",IFERROR(INDEX(Factors!$D$5:$D$34,MATCH(C133,Factors!$A$5:$A$34,0)),"UNMATCHED"))</f>
        <v/>
      </c>
    </row>
    <row r="134">
      <c r="A134" s="8" t="n"/>
      <c r="B134" s="8" t="n"/>
      <c r="C134" s="8" t="n"/>
      <c r="D134" s="11" t="n"/>
      <c r="E134" s="12">
        <f>IF(A134="","",D134*IFERROR(INDEX(Factors!$C$5:$C$34,MATCH(C134,Factors!$A$5:$A$34,0)),0))</f>
        <v/>
      </c>
      <c r="F134" s="13">
        <f>IF(A134="","",IFERROR(INDEX(Factors!$D$5:$D$34,MATCH(C134,Factors!$A$5:$A$34,0)),"UNMATCHED"))</f>
        <v/>
      </c>
    </row>
    <row r="135">
      <c r="A135" s="8" t="n"/>
      <c r="B135" s="8" t="n"/>
      <c r="C135" s="8" t="n"/>
      <c r="D135" s="11" t="n"/>
      <c r="E135" s="12">
        <f>IF(A135="","",D135*IFERROR(INDEX(Factors!$C$5:$C$34,MATCH(C135,Factors!$A$5:$A$34,0)),0))</f>
        <v/>
      </c>
      <c r="F135" s="13">
        <f>IF(A135="","",IFERROR(INDEX(Factors!$D$5:$D$34,MATCH(C135,Factors!$A$5:$A$34,0)),"UNMATCHED"))</f>
        <v/>
      </c>
    </row>
    <row r="136">
      <c r="A136" s="8" t="n"/>
      <c r="B136" s="8" t="n"/>
      <c r="C136" s="8" t="n"/>
      <c r="D136" s="11" t="n"/>
      <c r="E136" s="12">
        <f>IF(A136="","",D136*IFERROR(INDEX(Factors!$C$5:$C$34,MATCH(C136,Factors!$A$5:$A$34,0)),0))</f>
        <v/>
      </c>
      <c r="F136" s="13">
        <f>IF(A136="","",IFERROR(INDEX(Factors!$D$5:$D$34,MATCH(C136,Factors!$A$5:$A$34,0)),"UNMATCHED"))</f>
        <v/>
      </c>
    </row>
    <row r="137">
      <c r="A137" s="8" t="n"/>
      <c r="B137" s="8" t="n"/>
      <c r="C137" s="8" t="n"/>
      <c r="D137" s="11" t="n"/>
      <c r="E137" s="12">
        <f>IF(A137="","",D137*IFERROR(INDEX(Factors!$C$5:$C$34,MATCH(C137,Factors!$A$5:$A$34,0)),0))</f>
        <v/>
      </c>
      <c r="F137" s="13">
        <f>IF(A137="","",IFERROR(INDEX(Factors!$D$5:$D$34,MATCH(C137,Factors!$A$5:$A$34,0)),"UNMATCHED"))</f>
        <v/>
      </c>
    </row>
    <row r="138">
      <c r="A138" s="8" t="n"/>
      <c r="B138" s="8" t="n"/>
      <c r="C138" s="8" t="n"/>
      <c r="D138" s="11" t="n"/>
      <c r="E138" s="12">
        <f>IF(A138="","",D138*IFERROR(INDEX(Factors!$C$5:$C$34,MATCH(C138,Factors!$A$5:$A$34,0)),0))</f>
        <v/>
      </c>
      <c r="F138" s="13">
        <f>IF(A138="","",IFERROR(INDEX(Factors!$D$5:$D$34,MATCH(C138,Factors!$A$5:$A$34,0)),"UNMATCHED"))</f>
        <v/>
      </c>
    </row>
    <row r="139">
      <c r="A139" s="8" t="n"/>
      <c r="B139" s="8" t="n"/>
      <c r="C139" s="8" t="n"/>
      <c r="D139" s="11" t="n"/>
      <c r="E139" s="12">
        <f>IF(A139="","",D139*IFERROR(INDEX(Factors!$C$5:$C$34,MATCH(C139,Factors!$A$5:$A$34,0)),0))</f>
        <v/>
      </c>
      <c r="F139" s="13">
        <f>IF(A139="","",IFERROR(INDEX(Factors!$D$5:$D$34,MATCH(C139,Factors!$A$5:$A$34,0)),"UNMATCHED"))</f>
        <v/>
      </c>
    </row>
    <row r="140">
      <c r="A140" s="8" t="n"/>
      <c r="B140" s="8" t="n"/>
      <c r="C140" s="8" t="n"/>
      <c r="D140" s="11" t="n"/>
      <c r="E140" s="12">
        <f>IF(A140="","",D140*IFERROR(INDEX(Factors!$C$5:$C$34,MATCH(C140,Factors!$A$5:$A$34,0)),0))</f>
        <v/>
      </c>
      <c r="F140" s="13">
        <f>IF(A140="","",IFERROR(INDEX(Factors!$D$5:$D$34,MATCH(C140,Factors!$A$5:$A$34,0)),"UNMATCHED"))</f>
        <v/>
      </c>
    </row>
    <row r="141">
      <c r="A141" s="8" t="n"/>
      <c r="B141" s="8" t="n"/>
      <c r="C141" s="8" t="n"/>
      <c r="D141" s="11" t="n"/>
      <c r="E141" s="12">
        <f>IF(A141="","",D141*IFERROR(INDEX(Factors!$C$5:$C$34,MATCH(C141,Factors!$A$5:$A$34,0)),0))</f>
        <v/>
      </c>
      <c r="F141" s="13">
        <f>IF(A141="","",IFERROR(INDEX(Factors!$D$5:$D$34,MATCH(C141,Factors!$A$5:$A$34,0)),"UNMATCHED"))</f>
        <v/>
      </c>
    </row>
    <row r="142">
      <c r="A142" s="8" t="n"/>
      <c r="B142" s="8" t="n"/>
      <c r="C142" s="8" t="n"/>
      <c r="D142" s="11" t="n"/>
      <c r="E142" s="12">
        <f>IF(A142="","",D142*IFERROR(INDEX(Factors!$C$5:$C$34,MATCH(C142,Factors!$A$5:$A$34,0)),0))</f>
        <v/>
      </c>
      <c r="F142" s="13">
        <f>IF(A142="","",IFERROR(INDEX(Factors!$D$5:$D$34,MATCH(C142,Factors!$A$5:$A$34,0)),"UNMATCHED"))</f>
        <v/>
      </c>
    </row>
    <row r="143">
      <c r="A143" s="8" t="n"/>
      <c r="B143" s="8" t="n"/>
      <c r="C143" s="8" t="n"/>
      <c r="D143" s="11" t="n"/>
      <c r="E143" s="12">
        <f>IF(A143="","",D143*IFERROR(INDEX(Factors!$C$5:$C$34,MATCH(C143,Factors!$A$5:$A$34,0)),0))</f>
        <v/>
      </c>
      <c r="F143" s="13">
        <f>IF(A143="","",IFERROR(INDEX(Factors!$D$5:$D$34,MATCH(C143,Factors!$A$5:$A$34,0)),"UNMATCHED"))</f>
        <v/>
      </c>
    </row>
    <row r="144">
      <c r="A144" s="8" t="n"/>
      <c r="B144" s="8" t="n"/>
      <c r="C144" s="8" t="n"/>
      <c r="D144" s="11" t="n"/>
      <c r="E144" s="12">
        <f>IF(A144="","",D144*IFERROR(INDEX(Factors!$C$5:$C$34,MATCH(C144,Factors!$A$5:$A$34,0)),0))</f>
        <v/>
      </c>
      <c r="F144" s="13">
        <f>IF(A144="","",IFERROR(INDEX(Factors!$D$5:$D$34,MATCH(C144,Factors!$A$5:$A$34,0)),"UNMATCHED"))</f>
        <v/>
      </c>
    </row>
    <row r="145">
      <c r="A145" s="8" t="n"/>
      <c r="B145" s="8" t="n"/>
      <c r="C145" s="8" t="n"/>
      <c r="D145" s="11" t="n"/>
      <c r="E145" s="12">
        <f>IF(A145="","",D145*IFERROR(INDEX(Factors!$C$5:$C$34,MATCH(C145,Factors!$A$5:$A$34,0)),0))</f>
        <v/>
      </c>
      <c r="F145" s="13">
        <f>IF(A145="","",IFERROR(INDEX(Factors!$D$5:$D$34,MATCH(C145,Factors!$A$5:$A$34,0)),"UNMATCHED"))</f>
        <v/>
      </c>
    </row>
    <row r="146">
      <c r="A146" s="8" t="n"/>
      <c r="B146" s="8" t="n"/>
      <c r="C146" s="8" t="n"/>
      <c r="D146" s="11" t="n"/>
      <c r="E146" s="12">
        <f>IF(A146="","",D146*IFERROR(INDEX(Factors!$C$5:$C$34,MATCH(C146,Factors!$A$5:$A$34,0)),0))</f>
        <v/>
      </c>
      <c r="F146" s="13">
        <f>IF(A146="","",IFERROR(INDEX(Factors!$D$5:$D$34,MATCH(C146,Factors!$A$5:$A$34,0)),"UNMATCHED"))</f>
        <v/>
      </c>
    </row>
    <row r="147">
      <c r="A147" s="8" t="n"/>
      <c r="B147" s="8" t="n"/>
      <c r="C147" s="8" t="n"/>
      <c r="D147" s="11" t="n"/>
      <c r="E147" s="12">
        <f>IF(A147="","",D147*IFERROR(INDEX(Factors!$C$5:$C$34,MATCH(C147,Factors!$A$5:$A$34,0)),0))</f>
        <v/>
      </c>
      <c r="F147" s="13">
        <f>IF(A147="","",IFERROR(INDEX(Factors!$D$5:$D$34,MATCH(C147,Factors!$A$5:$A$34,0)),"UNMATCHED"))</f>
        <v/>
      </c>
    </row>
    <row r="148">
      <c r="A148" s="8" t="n"/>
      <c r="B148" s="8" t="n"/>
      <c r="C148" s="8" t="n"/>
      <c r="D148" s="11" t="n"/>
      <c r="E148" s="12">
        <f>IF(A148="","",D148*IFERROR(INDEX(Factors!$C$5:$C$34,MATCH(C148,Factors!$A$5:$A$34,0)),0))</f>
        <v/>
      </c>
      <c r="F148" s="13">
        <f>IF(A148="","",IFERROR(INDEX(Factors!$D$5:$D$34,MATCH(C148,Factors!$A$5:$A$34,0)),"UNMATCHED"))</f>
        <v/>
      </c>
    </row>
    <row r="149">
      <c r="A149" s="8" t="n"/>
      <c r="B149" s="8" t="n"/>
      <c r="C149" s="8" t="n"/>
      <c r="D149" s="11" t="n"/>
      <c r="E149" s="12">
        <f>IF(A149="","",D149*IFERROR(INDEX(Factors!$C$5:$C$34,MATCH(C149,Factors!$A$5:$A$34,0)),0))</f>
        <v/>
      </c>
      <c r="F149" s="13">
        <f>IF(A149="","",IFERROR(INDEX(Factors!$D$5:$D$34,MATCH(C149,Factors!$A$5:$A$34,0)),"UNMATCHED"))</f>
        <v/>
      </c>
    </row>
    <row r="150">
      <c r="A150" s="8" t="n"/>
      <c r="B150" s="8" t="n"/>
      <c r="C150" s="8" t="n"/>
      <c r="D150" s="11" t="n"/>
      <c r="E150" s="12">
        <f>IF(A150="","",D150*IFERROR(INDEX(Factors!$C$5:$C$34,MATCH(C150,Factors!$A$5:$A$34,0)),0))</f>
        <v/>
      </c>
      <c r="F150" s="13">
        <f>IF(A150="","",IFERROR(INDEX(Factors!$D$5:$D$34,MATCH(C150,Factors!$A$5:$A$34,0)),"UNMATCHED"))</f>
        <v/>
      </c>
    </row>
    <row r="151">
      <c r="A151" s="8" t="n"/>
      <c r="B151" s="8" t="n"/>
      <c r="C151" s="8" t="n"/>
      <c r="D151" s="11" t="n"/>
      <c r="E151" s="12">
        <f>IF(A151="","",D151*IFERROR(INDEX(Factors!$C$5:$C$34,MATCH(C151,Factors!$A$5:$A$34,0)),0))</f>
        <v/>
      </c>
      <c r="F151" s="13">
        <f>IF(A151="","",IFERROR(INDEX(Factors!$D$5:$D$34,MATCH(C151,Factors!$A$5:$A$34,0)),"UNMATCHED"))</f>
        <v/>
      </c>
    </row>
    <row r="152">
      <c r="A152" s="8" t="n"/>
      <c r="B152" s="8" t="n"/>
      <c r="C152" s="8" t="n"/>
      <c r="D152" s="11" t="n"/>
      <c r="E152" s="12">
        <f>IF(A152="","",D152*IFERROR(INDEX(Factors!$C$5:$C$34,MATCH(C152,Factors!$A$5:$A$34,0)),0))</f>
        <v/>
      </c>
      <c r="F152" s="13">
        <f>IF(A152="","",IFERROR(INDEX(Factors!$D$5:$D$34,MATCH(C152,Factors!$A$5:$A$34,0)),"UNMATCHED"))</f>
        <v/>
      </c>
    </row>
    <row r="153">
      <c r="A153" s="8" t="n"/>
      <c r="B153" s="8" t="n"/>
      <c r="C153" s="8" t="n"/>
      <c r="D153" s="11" t="n"/>
      <c r="E153" s="12">
        <f>IF(A153="","",D153*IFERROR(INDEX(Factors!$C$5:$C$34,MATCH(C153,Factors!$A$5:$A$34,0)),0))</f>
        <v/>
      </c>
      <c r="F153" s="13">
        <f>IF(A153="","",IFERROR(INDEX(Factors!$D$5:$D$34,MATCH(C153,Factors!$A$5:$A$34,0)),"UNMATCHED"))</f>
        <v/>
      </c>
    </row>
    <row r="154">
      <c r="A154" s="8" t="n"/>
      <c r="B154" s="8" t="n"/>
      <c r="C154" s="8" t="n"/>
      <c r="D154" s="11" t="n"/>
      <c r="E154" s="12">
        <f>IF(A154="","",D154*IFERROR(INDEX(Factors!$C$5:$C$34,MATCH(C154,Factors!$A$5:$A$34,0)),0))</f>
        <v/>
      </c>
      <c r="F154" s="13">
        <f>IF(A154="","",IFERROR(INDEX(Factors!$D$5:$D$34,MATCH(C154,Factors!$A$5:$A$34,0)),"UNMATCHED"))</f>
        <v/>
      </c>
    </row>
    <row r="155">
      <c r="A155" s="8" t="n"/>
      <c r="B155" s="8" t="n"/>
      <c r="C155" s="8" t="n"/>
      <c r="D155" s="11" t="n"/>
      <c r="E155" s="12">
        <f>IF(A155="","",D155*IFERROR(INDEX(Factors!$C$5:$C$34,MATCH(C155,Factors!$A$5:$A$34,0)),0))</f>
        <v/>
      </c>
      <c r="F155" s="13">
        <f>IF(A155="","",IFERROR(INDEX(Factors!$D$5:$D$34,MATCH(C155,Factors!$A$5:$A$34,0)),"UNMATCHED"))</f>
        <v/>
      </c>
    </row>
    <row r="156">
      <c r="A156" s="8" t="n"/>
      <c r="B156" s="8" t="n"/>
      <c r="C156" s="8" t="n"/>
      <c r="D156" s="11" t="n"/>
      <c r="E156" s="12">
        <f>IF(A156="","",D156*IFERROR(INDEX(Factors!$C$5:$C$34,MATCH(C156,Factors!$A$5:$A$34,0)),0))</f>
        <v/>
      </c>
      <c r="F156" s="13">
        <f>IF(A156="","",IFERROR(INDEX(Factors!$D$5:$D$34,MATCH(C156,Factors!$A$5:$A$34,0)),"UNMATCHED"))</f>
        <v/>
      </c>
    </row>
    <row r="157">
      <c r="A157" s="8" t="n"/>
      <c r="B157" s="8" t="n"/>
      <c r="C157" s="8" t="n"/>
      <c r="D157" s="11" t="n"/>
      <c r="E157" s="12">
        <f>IF(A157="","",D157*IFERROR(INDEX(Factors!$C$5:$C$34,MATCH(C157,Factors!$A$5:$A$34,0)),0))</f>
        <v/>
      </c>
      <c r="F157" s="13">
        <f>IF(A157="","",IFERROR(INDEX(Factors!$D$5:$D$34,MATCH(C157,Factors!$A$5:$A$34,0)),"UNMATCHED"))</f>
        <v/>
      </c>
    </row>
    <row r="158">
      <c r="A158" s="8" t="n"/>
      <c r="B158" s="8" t="n"/>
      <c r="C158" s="8" t="n"/>
      <c r="D158" s="11" t="n"/>
      <c r="E158" s="12">
        <f>IF(A158="","",D158*IFERROR(INDEX(Factors!$C$5:$C$34,MATCH(C158,Factors!$A$5:$A$34,0)),0))</f>
        <v/>
      </c>
      <c r="F158" s="13">
        <f>IF(A158="","",IFERROR(INDEX(Factors!$D$5:$D$34,MATCH(C158,Factors!$A$5:$A$34,0)),"UNMATCHED"))</f>
        <v/>
      </c>
    </row>
    <row r="159">
      <c r="A159" s="8" t="n"/>
      <c r="B159" s="8" t="n"/>
      <c r="C159" s="8" t="n"/>
      <c r="D159" s="11" t="n"/>
      <c r="E159" s="12">
        <f>IF(A159="","",D159*IFERROR(INDEX(Factors!$C$5:$C$34,MATCH(C159,Factors!$A$5:$A$34,0)),0))</f>
        <v/>
      </c>
      <c r="F159" s="13">
        <f>IF(A159="","",IFERROR(INDEX(Factors!$D$5:$D$34,MATCH(C159,Factors!$A$5:$A$34,0)),"UNMATCHED"))</f>
        <v/>
      </c>
    </row>
    <row r="160">
      <c r="A160" s="8" t="n"/>
      <c r="B160" s="8" t="n"/>
      <c r="C160" s="8" t="n"/>
      <c r="D160" s="11" t="n"/>
      <c r="E160" s="12">
        <f>IF(A160="","",D160*IFERROR(INDEX(Factors!$C$5:$C$34,MATCH(C160,Factors!$A$5:$A$34,0)),0))</f>
        <v/>
      </c>
      <c r="F160" s="13">
        <f>IF(A160="","",IFERROR(INDEX(Factors!$D$5:$D$34,MATCH(C160,Factors!$A$5:$A$34,0)),"UNMATCHED"))</f>
        <v/>
      </c>
    </row>
    <row r="161">
      <c r="A161" s="8" t="n"/>
      <c r="B161" s="8" t="n"/>
      <c r="C161" s="8" t="n"/>
      <c r="D161" s="11" t="n"/>
      <c r="E161" s="12">
        <f>IF(A161="","",D161*IFERROR(INDEX(Factors!$C$5:$C$34,MATCH(C161,Factors!$A$5:$A$34,0)),0))</f>
        <v/>
      </c>
      <c r="F161" s="13">
        <f>IF(A161="","",IFERROR(INDEX(Factors!$D$5:$D$34,MATCH(C161,Factors!$A$5:$A$34,0)),"UNMATCHED"))</f>
        <v/>
      </c>
    </row>
    <row r="162">
      <c r="A162" s="8" t="n"/>
      <c r="B162" s="8" t="n"/>
      <c r="C162" s="8" t="n"/>
      <c r="D162" s="11" t="n"/>
      <c r="E162" s="12">
        <f>IF(A162="","",D162*IFERROR(INDEX(Factors!$C$5:$C$34,MATCH(C162,Factors!$A$5:$A$34,0)),0))</f>
        <v/>
      </c>
      <c r="F162" s="13">
        <f>IF(A162="","",IFERROR(INDEX(Factors!$D$5:$D$34,MATCH(C162,Factors!$A$5:$A$34,0)),"UNMATCHED"))</f>
        <v/>
      </c>
    </row>
    <row r="163">
      <c r="A163" s="8" t="n"/>
      <c r="B163" s="8" t="n"/>
      <c r="C163" s="8" t="n"/>
      <c r="D163" s="11" t="n"/>
      <c r="E163" s="12">
        <f>IF(A163="","",D163*IFERROR(INDEX(Factors!$C$5:$C$34,MATCH(C163,Factors!$A$5:$A$34,0)),0))</f>
        <v/>
      </c>
      <c r="F163" s="13">
        <f>IF(A163="","",IFERROR(INDEX(Factors!$D$5:$D$34,MATCH(C163,Factors!$A$5:$A$34,0)),"UNMATCHED"))</f>
        <v/>
      </c>
    </row>
    <row r="164">
      <c r="A164" s="8" t="n"/>
      <c r="B164" s="8" t="n"/>
      <c r="C164" s="8" t="n"/>
      <c r="D164" s="11" t="n"/>
      <c r="E164" s="12">
        <f>IF(A164="","",D164*IFERROR(INDEX(Factors!$C$5:$C$34,MATCH(C164,Factors!$A$5:$A$34,0)),0))</f>
        <v/>
      </c>
      <c r="F164" s="13">
        <f>IF(A164="","",IFERROR(INDEX(Factors!$D$5:$D$34,MATCH(C164,Factors!$A$5:$A$34,0)),"UNMATCHED"))</f>
        <v/>
      </c>
    </row>
    <row r="165">
      <c r="A165" s="8" t="n"/>
      <c r="B165" s="8" t="n"/>
      <c r="C165" s="8" t="n"/>
      <c r="D165" s="11" t="n"/>
      <c r="E165" s="12">
        <f>IF(A165="","",D165*IFERROR(INDEX(Factors!$C$5:$C$34,MATCH(C165,Factors!$A$5:$A$34,0)),0))</f>
        <v/>
      </c>
      <c r="F165" s="13">
        <f>IF(A165="","",IFERROR(INDEX(Factors!$D$5:$D$34,MATCH(C165,Factors!$A$5:$A$34,0)),"UNMATCHED"))</f>
        <v/>
      </c>
    </row>
    <row r="166">
      <c r="A166" s="8" t="n"/>
      <c r="B166" s="8" t="n"/>
      <c r="C166" s="8" t="n"/>
      <c r="D166" s="11" t="n"/>
      <c r="E166" s="12">
        <f>IF(A166="","",D166*IFERROR(INDEX(Factors!$C$5:$C$34,MATCH(C166,Factors!$A$5:$A$34,0)),0))</f>
        <v/>
      </c>
      <c r="F166" s="13">
        <f>IF(A166="","",IFERROR(INDEX(Factors!$D$5:$D$34,MATCH(C166,Factors!$A$5:$A$34,0)),"UNMATCHED"))</f>
        <v/>
      </c>
    </row>
    <row r="167">
      <c r="A167" s="8" t="n"/>
      <c r="B167" s="8" t="n"/>
      <c r="C167" s="8" t="n"/>
      <c r="D167" s="11" t="n"/>
      <c r="E167" s="12">
        <f>IF(A167="","",D167*IFERROR(INDEX(Factors!$C$5:$C$34,MATCH(C167,Factors!$A$5:$A$34,0)),0))</f>
        <v/>
      </c>
      <c r="F167" s="13">
        <f>IF(A167="","",IFERROR(INDEX(Factors!$D$5:$D$34,MATCH(C167,Factors!$A$5:$A$34,0)),"UNMATCHED"))</f>
        <v/>
      </c>
    </row>
    <row r="168">
      <c r="A168" s="8" t="n"/>
      <c r="B168" s="8" t="n"/>
      <c r="C168" s="8" t="n"/>
      <c r="D168" s="11" t="n"/>
      <c r="E168" s="12">
        <f>IF(A168="","",D168*IFERROR(INDEX(Factors!$C$5:$C$34,MATCH(C168,Factors!$A$5:$A$34,0)),0))</f>
        <v/>
      </c>
      <c r="F168" s="13">
        <f>IF(A168="","",IFERROR(INDEX(Factors!$D$5:$D$34,MATCH(C168,Factors!$A$5:$A$34,0)),"UNMATCHED"))</f>
        <v/>
      </c>
    </row>
    <row r="169">
      <c r="A169" s="8" t="n"/>
      <c r="B169" s="8" t="n"/>
      <c r="C169" s="8" t="n"/>
      <c r="D169" s="11" t="n"/>
      <c r="E169" s="12">
        <f>IF(A169="","",D169*IFERROR(INDEX(Factors!$C$5:$C$34,MATCH(C169,Factors!$A$5:$A$34,0)),0))</f>
        <v/>
      </c>
      <c r="F169" s="13">
        <f>IF(A169="","",IFERROR(INDEX(Factors!$D$5:$D$34,MATCH(C169,Factors!$A$5:$A$34,0)),"UNMATCHED"))</f>
        <v/>
      </c>
    </row>
    <row r="170">
      <c r="A170" s="8" t="n"/>
      <c r="B170" s="8" t="n"/>
      <c r="C170" s="8" t="n"/>
      <c r="D170" s="11" t="n"/>
      <c r="E170" s="12">
        <f>IF(A170="","",D170*IFERROR(INDEX(Factors!$C$5:$C$34,MATCH(C170,Factors!$A$5:$A$34,0)),0))</f>
        <v/>
      </c>
      <c r="F170" s="13">
        <f>IF(A170="","",IFERROR(INDEX(Factors!$D$5:$D$34,MATCH(C170,Factors!$A$5:$A$34,0)),"UNMATCHED"))</f>
        <v/>
      </c>
    </row>
    <row r="171">
      <c r="A171" s="8" t="n"/>
      <c r="B171" s="8" t="n"/>
      <c r="C171" s="8" t="n"/>
      <c r="D171" s="11" t="n"/>
      <c r="E171" s="12">
        <f>IF(A171="","",D171*IFERROR(INDEX(Factors!$C$5:$C$34,MATCH(C171,Factors!$A$5:$A$34,0)),0))</f>
        <v/>
      </c>
      <c r="F171" s="13">
        <f>IF(A171="","",IFERROR(INDEX(Factors!$D$5:$D$34,MATCH(C171,Factors!$A$5:$A$34,0)),"UNMATCHED"))</f>
        <v/>
      </c>
    </row>
    <row r="172">
      <c r="A172" s="8" t="n"/>
      <c r="B172" s="8" t="n"/>
      <c r="C172" s="8" t="n"/>
      <c r="D172" s="11" t="n"/>
      <c r="E172" s="12">
        <f>IF(A172="","",D172*IFERROR(INDEX(Factors!$C$5:$C$34,MATCH(C172,Factors!$A$5:$A$34,0)),0))</f>
        <v/>
      </c>
      <c r="F172" s="13">
        <f>IF(A172="","",IFERROR(INDEX(Factors!$D$5:$D$34,MATCH(C172,Factors!$A$5:$A$34,0)),"UNMATCHED"))</f>
        <v/>
      </c>
    </row>
    <row r="173">
      <c r="A173" s="8" t="n"/>
      <c r="B173" s="8" t="n"/>
      <c r="C173" s="8" t="n"/>
      <c r="D173" s="11" t="n"/>
      <c r="E173" s="12">
        <f>IF(A173="","",D173*IFERROR(INDEX(Factors!$C$5:$C$34,MATCH(C173,Factors!$A$5:$A$34,0)),0))</f>
        <v/>
      </c>
      <c r="F173" s="13">
        <f>IF(A173="","",IFERROR(INDEX(Factors!$D$5:$D$34,MATCH(C173,Factors!$A$5:$A$34,0)),"UNMATCHED"))</f>
        <v/>
      </c>
    </row>
    <row r="174">
      <c r="A174" s="8" t="n"/>
      <c r="B174" s="8" t="n"/>
      <c r="C174" s="8" t="n"/>
      <c r="D174" s="11" t="n"/>
      <c r="E174" s="12">
        <f>IF(A174="","",D174*IFERROR(INDEX(Factors!$C$5:$C$34,MATCH(C174,Factors!$A$5:$A$34,0)),0))</f>
        <v/>
      </c>
      <c r="F174" s="13">
        <f>IF(A174="","",IFERROR(INDEX(Factors!$D$5:$D$34,MATCH(C174,Factors!$A$5:$A$34,0)),"UNMATCHED"))</f>
        <v/>
      </c>
    </row>
    <row r="175">
      <c r="A175" s="8" t="n"/>
      <c r="B175" s="8" t="n"/>
      <c r="C175" s="8" t="n"/>
      <c r="D175" s="11" t="n"/>
      <c r="E175" s="12">
        <f>IF(A175="","",D175*IFERROR(INDEX(Factors!$C$5:$C$34,MATCH(C175,Factors!$A$5:$A$34,0)),0))</f>
        <v/>
      </c>
      <c r="F175" s="13">
        <f>IF(A175="","",IFERROR(INDEX(Factors!$D$5:$D$34,MATCH(C175,Factors!$A$5:$A$34,0)),"UNMATCHED"))</f>
        <v/>
      </c>
    </row>
    <row r="176">
      <c r="A176" s="8" t="n"/>
      <c r="B176" s="8" t="n"/>
      <c r="C176" s="8" t="n"/>
      <c r="D176" s="11" t="n"/>
      <c r="E176" s="12">
        <f>IF(A176="","",D176*IFERROR(INDEX(Factors!$C$5:$C$34,MATCH(C176,Factors!$A$5:$A$34,0)),0))</f>
        <v/>
      </c>
      <c r="F176" s="13">
        <f>IF(A176="","",IFERROR(INDEX(Factors!$D$5:$D$34,MATCH(C176,Factors!$A$5:$A$34,0)),"UNMATCHED"))</f>
        <v/>
      </c>
    </row>
    <row r="177">
      <c r="A177" s="8" t="n"/>
      <c r="B177" s="8" t="n"/>
      <c r="C177" s="8" t="n"/>
      <c r="D177" s="11" t="n"/>
      <c r="E177" s="12">
        <f>IF(A177="","",D177*IFERROR(INDEX(Factors!$C$5:$C$34,MATCH(C177,Factors!$A$5:$A$34,0)),0))</f>
        <v/>
      </c>
      <c r="F177" s="13">
        <f>IF(A177="","",IFERROR(INDEX(Factors!$D$5:$D$34,MATCH(C177,Factors!$A$5:$A$34,0)),"UNMATCHED"))</f>
        <v/>
      </c>
    </row>
    <row r="178">
      <c r="A178" s="8" t="n"/>
      <c r="B178" s="8" t="n"/>
      <c r="C178" s="8" t="n"/>
      <c r="D178" s="11" t="n"/>
      <c r="E178" s="12">
        <f>IF(A178="","",D178*IFERROR(INDEX(Factors!$C$5:$C$34,MATCH(C178,Factors!$A$5:$A$34,0)),0))</f>
        <v/>
      </c>
      <c r="F178" s="13">
        <f>IF(A178="","",IFERROR(INDEX(Factors!$D$5:$D$34,MATCH(C178,Factors!$A$5:$A$34,0)),"UNMATCHED"))</f>
        <v/>
      </c>
    </row>
    <row r="179">
      <c r="A179" s="8" t="n"/>
      <c r="B179" s="8" t="n"/>
      <c r="C179" s="8" t="n"/>
      <c r="D179" s="11" t="n"/>
      <c r="E179" s="12">
        <f>IF(A179="","",D179*IFERROR(INDEX(Factors!$C$5:$C$34,MATCH(C179,Factors!$A$5:$A$34,0)),0))</f>
        <v/>
      </c>
      <c r="F179" s="13">
        <f>IF(A179="","",IFERROR(INDEX(Factors!$D$5:$D$34,MATCH(C179,Factors!$A$5:$A$34,0)),"UNMATCHED"))</f>
        <v/>
      </c>
    </row>
    <row r="180">
      <c r="A180" s="8" t="n"/>
      <c r="B180" s="8" t="n"/>
      <c r="C180" s="8" t="n"/>
      <c r="D180" s="11" t="n"/>
      <c r="E180" s="12">
        <f>IF(A180="","",D180*IFERROR(INDEX(Factors!$C$5:$C$34,MATCH(C180,Factors!$A$5:$A$34,0)),0))</f>
        <v/>
      </c>
      <c r="F180" s="13">
        <f>IF(A180="","",IFERROR(INDEX(Factors!$D$5:$D$34,MATCH(C180,Factors!$A$5:$A$34,0)),"UNMATCHED"))</f>
        <v/>
      </c>
    </row>
    <row r="181">
      <c r="A181" s="8" t="n"/>
      <c r="B181" s="8" t="n"/>
      <c r="C181" s="8" t="n"/>
      <c r="D181" s="11" t="n"/>
      <c r="E181" s="12">
        <f>IF(A181="","",D181*IFERROR(INDEX(Factors!$C$5:$C$34,MATCH(C181,Factors!$A$5:$A$34,0)),0))</f>
        <v/>
      </c>
      <c r="F181" s="13">
        <f>IF(A181="","",IFERROR(INDEX(Factors!$D$5:$D$34,MATCH(C181,Factors!$A$5:$A$34,0)),"UNMATCHED"))</f>
        <v/>
      </c>
    </row>
    <row r="182">
      <c r="A182" s="8" t="n"/>
      <c r="B182" s="8" t="n"/>
      <c r="C182" s="8" t="n"/>
      <c r="D182" s="11" t="n"/>
      <c r="E182" s="12">
        <f>IF(A182="","",D182*IFERROR(INDEX(Factors!$C$5:$C$34,MATCH(C182,Factors!$A$5:$A$34,0)),0))</f>
        <v/>
      </c>
      <c r="F182" s="13">
        <f>IF(A182="","",IFERROR(INDEX(Factors!$D$5:$D$34,MATCH(C182,Factors!$A$5:$A$34,0)),"UNMATCHED"))</f>
        <v/>
      </c>
    </row>
    <row r="183">
      <c r="A183" s="8" t="n"/>
      <c r="B183" s="8" t="n"/>
      <c r="C183" s="8" t="n"/>
      <c r="D183" s="11" t="n"/>
      <c r="E183" s="12">
        <f>IF(A183="","",D183*IFERROR(INDEX(Factors!$C$5:$C$34,MATCH(C183,Factors!$A$5:$A$34,0)),0))</f>
        <v/>
      </c>
      <c r="F183" s="13">
        <f>IF(A183="","",IFERROR(INDEX(Factors!$D$5:$D$34,MATCH(C183,Factors!$A$5:$A$34,0)),"UNMATCHED"))</f>
        <v/>
      </c>
    </row>
    <row r="184">
      <c r="A184" s="8" t="n"/>
      <c r="B184" s="8" t="n"/>
      <c r="C184" s="8" t="n"/>
      <c r="D184" s="11" t="n"/>
      <c r="E184" s="12">
        <f>IF(A184="","",D184*IFERROR(INDEX(Factors!$C$5:$C$34,MATCH(C184,Factors!$A$5:$A$34,0)),0))</f>
        <v/>
      </c>
      <c r="F184" s="13">
        <f>IF(A184="","",IFERROR(INDEX(Factors!$D$5:$D$34,MATCH(C184,Factors!$A$5:$A$34,0)),"UNMATCHED"))</f>
        <v/>
      </c>
    </row>
    <row r="185">
      <c r="A185" s="8" t="n"/>
      <c r="B185" s="8" t="n"/>
      <c r="C185" s="8" t="n"/>
      <c r="D185" s="11" t="n"/>
      <c r="E185" s="12">
        <f>IF(A185="","",D185*IFERROR(INDEX(Factors!$C$5:$C$34,MATCH(C185,Factors!$A$5:$A$34,0)),0))</f>
        <v/>
      </c>
      <c r="F185" s="13">
        <f>IF(A185="","",IFERROR(INDEX(Factors!$D$5:$D$34,MATCH(C185,Factors!$A$5:$A$34,0)),"UNMATCHED"))</f>
        <v/>
      </c>
    </row>
    <row r="186">
      <c r="A186" s="8" t="n"/>
      <c r="B186" s="8" t="n"/>
      <c r="C186" s="8" t="n"/>
      <c r="D186" s="11" t="n"/>
      <c r="E186" s="12">
        <f>IF(A186="","",D186*IFERROR(INDEX(Factors!$C$5:$C$34,MATCH(C186,Factors!$A$5:$A$34,0)),0))</f>
        <v/>
      </c>
      <c r="F186" s="13">
        <f>IF(A186="","",IFERROR(INDEX(Factors!$D$5:$D$34,MATCH(C186,Factors!$A$5:$A$34,0)),"UNMATCHED"))</f>
        <v/>
      </c>
    </row>
    <row r="187">
      <c r="A187" s="8" t="n"/>
      <c r="B187" s="8" t="n"/>
      <c r="C187" s="8" t="n"/>
      <c r="D187" s="11" t="n"/>
      <c r="E187" s="12">
        <f>IF(A187="","",D187*IFERROR(INDEX(Factors!$C$5:$C$34,MATCH(C187,Factors!$A$5:$A$34,0)),0))</f>
        <v/>
      </c>
      <c r="F187" s="13">
        <f>IF(A187="","",IFERROR(INDEX(Factors!$D$5:$D$34,MATCH(C187,Factors!$A$5:$A$34,0)),"UNMATCHED"))</f>
        <v/>
      </c>
    </row>
    <row r="188">
      <c r="A188" s="8" t="n"/>
      <c r="B188" s="8" t="n"/>
      <c r="C188" s="8" t="n"/>
      <c r="D188" s="11" t="n"/>
      <c r="E188" s="12">
        <f>IF(A188="","",D188*IFERROR(INDEX(Factors!$C$5:$C$34,MATCH(C188,Factors!$A$5:$A$34,0)),0))</f>
        <v/>
      </c>
      <c r="F188" s="13">
        <f>IF(A188="","",IFERROR(INDEX(Factors!$D$5:$D$34,MATCH(C188,Factors!$A$5:$A$34,0)),"UNMATCHED"))</f>
        <v/>
      </c>
    </row>
    <row r="189">
      <c r="A189" s="8" t="n"/>
      <c r="B189" s="8" t="n"/>
      <c r="C189" s="8" t="n"/>
      <c r="D189" s="11" t="n"/>
      <c r="E189" s="12">
        <f>IF(A189="","",D189*IFERROR(INDEX(Factors!$C$5:$C$34,MATCH(C189,Factors!$A$5:$A$34,0)),0))</f>
        <v/>
      </c>
      <c r="F189" s="13">
        <f>IF(A189="","",IFERROR(INDEX(Factors!$D$5:$D$34,MATCH(C189,Factors!$A$5:$A$34,0)),"UNMATCHED"))</f>
        <v/>
      </c>
    </row>
    <row r="190">
      <c r="A190" s="8" t="n"/>
      <c r="B190" s="8" t="n"/>
      <c r="C190" s="8" t="n"/>
      <c r="D190" s="11" t="n"/>
      <c r="E190" s="12">
        <f>IF(A190="","",D190*IFERROR(INDEX(Factors!$C$5:$C$34,MATCH(C190,Factors!$A$5:$A$34,0)),0))</f>
        <v/>
      </c>
      <c r="F190" s="13">
        <f>IF(A190="","",IFERROR(INDEX(Factors!$D$5:$D$34,MATCH(C190,Factors!$A$5:$A$34,0)),"UNMATCHED"))</f>
        <v/>
      </c>
    </row>
    <row r="191">
      <c r="A191" s="8" t="n"/>
      <c r="B191" s="8" t="n"/>
      <c r="C191" s="8" t="n"/>
      <c r="D191" s="11" t="n"/>
      <c r="E191" s="12">
        <f>IF(A191="","",D191*IFERROR(INDEX(Factors!$C$5:$C$34,MATCH(C191,Factors!$A$5:$A$34,0)),0))</f>
        <v/>
      </c>
      <c r="F191" s="13">
        <f>IF(A191="","",IFERROR(INDEX(Factors!$D$5:$D$34,MATCH(C191,Factors!$A$5:$A$34,0)),"UNMATCHED"))</f>
        <v/>
      </c>
    </row>
    <row r="192">
      <c r="A192" s="8" t="n"/>
      <c r="B192" s="8" t="n"/>
      <c r="C192" s="8" t="n"/>
      <c r="D192" s="11" t="n"/>
      <c r="E192" s="12">
        <f>IF(A192="","",D192*IFERROR(INDEX(Factors!$C$5:$C$34,MATCH(C192,Factors!$A$5:$A$34,0)),0))</f>
        <v/>
      </c>
      <c r="F192" s="13">
        <f>IF(A192="","",IFERROR(INDEX(Factors!$D$5:$D$34,MATCH(C192,Factors!$A$5:$A$34,0)),"UNMATCHED"))</f>
        <v/>
      </c>
    </row>
    <row r="193">
      <c r="A193" s="8" t="n"/>
      <c r="B193" s="8" t="n"/>
      <c r="C193" s="8" t="n"/>
      <c r="D193" s="11" t="n"/>
      <c r="E193" s="12">
        <f>IF(A193="","",D193*IFERROR(INDEX(Factors!$C$5:$C$34,MATCH(C193,Factors!$A$5:$A$34,0)),0))</f>
        <v/>
      </c>
      <c r="F193" s="13">
        <f>IF(A193="","",IFERROR(INDEX(Factors!$D$5:$D$34,MATCH(C193,Factors!$A$5:$A$34,0)),"UNMATCHED"))</f>
        <v/>
      </c>
    </row>
    <row r="194">
      <c r="A194" s="8" t="n"/>
      <c r="B194" s="8" t="n"/>
      <c r="C194" s="8" t="n"/>
      <c r="D194" s="11" t="n"/>
      <c r="E194" s="12">
        <f>IF(A194="","",D194*IFERROR(INDEX(Factors!$C$5:$C$34,MATCH(C194,Factors!$A$5:$A$34,0)),0))</f>
        <v/>
      </c>
      <c r="F194" s="13">
        <f>IF(A194="","",IFERROR(INDEX(Factors!$D$5:$D$34,MATCH(C194,Factors!$A$5:$A$34,0)),"UNMATCHED"))</f>
        <v/>
      </c>
    </row>
    <row r="195">
      <c r="A195" s="8" t="n"/>
      <c r="B195" s="8" t="n"/>
      <c r="C195" s="8" t="n"/>
      <c r="D195" s="11" t="n"/>
      <c r="E195" s="12">
        <f>IF(A195="","",D195*IFERROR(INDEX(Factors!$C$5:$C$34,MATCH(C195,Factors!$A$5:$A$34,0)),0))</f>
        <v/>
      </c>
      <c r="F195" s="13">
        <f>IF(A195="","",IFERROR(INDEX(Factors!$D$5:$D$34,MATCH(C195,Factors!$A$5:$A$34,0)),"UNMATCHED"))</f>
        <v/>
      </c>
    </row>
    <row r="196">
      <c r="A196" s="8" t="n"/>
      <c r="B196" s="8" t="n"/>
      <c r="C196" s="8" t="n"/>
      <c r="D196" s="11" t="n"/>
      <c r="E196" s="12">
        <f>IF(A196="","",D196*IFERROR(INDEX(Factors!$C$5:$C$34,MATCH(C196,Factors!$A$5:$A$34,0)),0))</f>
        <v/>
      </c>
      <c r="F196" s="13">
        <f>IF(A196="","",IFERROR(INDEX(Factors!$D$5:$D$34,MATCH(C196,Factors!$A$5:$A$34,0)),"UNMATCHED"))</f>
        <v/>
      </c>
    </row>
    <row r="197">
      <c r="A197" s="8" t="n"/>
      <c r="B197" s="8" t="n"/>
      <c r="C197" s="8" t="n"/>
      <c r="D197" s="11" t="n"/>
      <c r="E197" s="12">
        <f>IF(A197="","",D197*IFERROR(INDEX(Factors!$C$5:$C$34,MATCH(C197,Factors!$A$5:$A$34,0)),0))</f>
        <v/>
      </c>
      <c r="F197" s="13">
        <f>IF(A197="","",IFERROR(INDEX(Factors!$D$5:$D$34,MATCH(C197,Factors!$A$5:$A$34,0)),"UNMATCHED"))</f>
        <v/>
      </c>
    </row>
    <row r="198">
      <c r="A198" s="8" t="n"/>
      <c r="B198" s="8" t="n"/>
      <c r="C198" s="8" t="n"/>
      <c r="D198" s="11" t="n"/>
      <c r="E198" s="12">
        <f>IF(A198="","",D198*IFERROR(INDEX(Factors!$C$5:$C$34,MATCH(C198,Factors!$A$5:$A$34,0)),0))</f>
        <v/>
      </c>
      <c r="F198" s="13">
        <f>IF(A198="","",IFERROR(INDEX(Factors!$D$5:$D$34,MATCH(C198,Factors!$A$5:$A$34,0)),"UNMATCHED"))</f>
        <v/>
      </c>
    </row>
    <row r="199">
      <c r="A199" s="8" t="n"/>
      <c r="B199" s="8" t="n"/>
      <c r="C199" s="8" t="n"/>
      <c r="D199" s="11" t="n"/>
      <c r="E199" s="12">
        <f>IF(A199="","",D199*IFERROR(INDEX(Factors!$C$5:$C$34,MATCH(C199,Factors!$A$5:$A$34,0)),0))</f>
        <v/>
      </c>
      <c r="F199" s="13">
        <f>IF(A199="","",IFERROR(INDEX(Factors!$D$5:$D$34,MATCH(C199,Factors!$A$5:$A$34,0)),"UNMATCHED"))</f>
        <v/>
      </c>
    </row>
    <row r="200">
      <c r="A200" s="8" t="n"/>
      <c r="B200" s="8" t="n"/>
      <c r="C200" s="8" t="n"/>
      <c r="D200" s="11" t="n"/>
      <c r="E200" s="12">
        <f>IF(A200="","",D200*IFERROR(INDEX(Factors!$C$5:$C$34,MATCH(C200,Factors!$A$5:$A$34,0)),0))</f>
        <v/>
      </c>
      <c r="F200" s="13">
        <f>IF(A200="","",IFERROR(INDEX(Factors!$D$5:$D$34,MATCH(C200,Factors!$A$5:$A$34,0)),"UNMATCHED"))</f>
        <v/>
      </c>
    </row>
    <row r="201">
      <c r="A201" s="8" t="n"/>
      <c r="B201" s="8" t="n"/>
      <c r="C201" s="8" t="n"/>
      <c r="D201" s="11" t="n"/>
      <c r="E201" s="12">
        <f>IF(A201="","",D201*IFERROR(INDEX(Factors!$C$5:$C$34,MATCH(C201,Factors!$A$5:$A$34,0)),0))</f>
        <v/>
      </c>
      <c r="F201" s="13">
        <f>IF(A201="","",IFERROR(INDEX(Factors!$D$5:$D$34,MATCH(C201,Factors!$A$5:$A$34,0)),"UNMATCHED"))</f>
        <v/>
      </c>
    </row>
    <row r="202">
      <c r="A202" s="8" t="n"/>
      <c r="B202" s="8" t="n"/>
      <c r="C202" s="8" t="n"/>
      <c r="D202" s="11" t="n"/>
      <c r="E202" s="12">
        <f>IF(A202="","",D202*IFERROR(INDEX(Factors!$C$5:$C$34,MATCH(C202,Factors!$A$5:$A$34,0)),0))</f>
        <v/>
      </c>
      <c r="F202" s="13">
        <f>IF(A202="","",IFERROR(INDEX(Factors!$D$5:$D$34,MATCH(C202,Factors!$A$5:$A$34,0)),"UNMATCHED"))</f>
        <v/>
      </c>
    </row>
    <row r="203">
      <c r="A203" s="8" t="n"/>
      <c r="B203" s="8" t="n"/>
      <c r="C203" s="8" t="n"/>
      <c r="D203" s="11" t="n"/>
      <c r="E203" s="12">
        <f>IF(A203="","",D203*IFERROR(INDEX(Factors!$C$5:$C$34,MATCH(C203,Factors!$A$5:$A$34,0)),0))</f>
        <v/>
      </c>
      <c r="F203" s="13">
        <f>IF(A203="","",IFERROR(INDEX(Factors!$D$5:$D$34,MATCH(C203,Factors!$A$5:$A$34,0)),"UNMATCHED"))</f>
        <v/>
      </c>
    </row>
    <row r="204">
      <c r="A204" s="8" t="n"/>
      <c r="B204" s="8" t="n"/>
      <c r="C204" s="8" t="n"/>
      <c r="D204" s="11" t="n"/>
      <c r="E204" s="12">
        <f>IF(A204="","",D204*IFERROR(INDEX(Factors!$C$5:$C$34,MATCH(C204,Factors!$A$5:$A$34,0)),0))</f>
        <v/>
      </c>
      <c r="F204" s="13">
        <f>IF(A204="","",IFERROR(INDEX(Factors!$D$5:$D$34,MATCH(C204,Factors!$A$5:$A$34,0)),"UNMATCHED"))</f>
        <v/>
      </c>
    </row>
    <row r="205">
      <c r="A205" s="8" t="n"/>
      <c r="B205" s="8" t="n"/>
      <c r="C205" s="8" t="n"/>
      <c r="D205" s="11" t="n"/>
      <c r="E205" s="12">
        <f>IF(A205="","",D205*IFERROR(INDEX(Factors!$C$5:$C$34,MATCH(C205,Factors!$A$5:$A$34,0)),0))</f>
        <v/>
      </c>
      <c r="F205" s="13">
        <f>IF(A205="","",IFERROR(INDEX(Factors!$D$5:$D$34,MATCH(C205,Factors!$A$5:$A$34,0)),"UNMATCHED"))</f>
        <v/>
      </c>
    </row>
    <row r="206">
      <c r="A206" s="8" t="n"/>
      <c r="B206" s="8" t="n"/>
      <c r="C206" s="8" t="n"/>
      <c r="D206" s="11" t="n"/>
      <c r="E206" s="12">
        <f>IF(A206="","",D206*IFERROR(INDEX(Factors!$C$5:$C$34,MATCH(C206,Factors!$A$5:$A$34,0)),0))</f>
        <v/>
      </c>
      <c r="F206" s="13">
        <f>IF(A206="","",IFERROR(INDEX(Factors!$D$5:$D$34,MATCH(C206,Factors!$A$5:$A$34,0)),"UNMATCHED"))</f>
        <v/>
      </c>
    </row>
    <row r="207">
      <c r="A207" s="8" t="n"/>
      <c r="B207" s="8" t="n"/>
      <c r="C207" s="8" t="n"/>
      <c r="D207" s="11" t="n"/>
      <c r="E207" s="12">
        <f>IF(A207="","",D207*IFERROR(INDEX(Factors!$C$5:$C$34,MATCH(C207,Factors!$A$5:$A$34,0)),0))</f>
        <v/>
      </c>
      <c r="F207" s="13">
        <f>IF(A207="","",IFERROR(INDEX(Factors!$D$5:$D$34,MATCH(C207,Factors!$A$5:$A$34,0)),"UNMATCHED"))</f>
        <v/>
      </c>
    </row>
    <row r="208">
      <c r="A208" s="8" t="n"/>
      <c r="B208" s="8" t="n"/>
      <c r="C208" s="8" t="n"/>
      <c r="D208" s="11" t="n"/>
      <c r="E208" s="12">
        <f>IF(A208="","",D208*IFERROR(INDEX(Factors!$C$5:$C$34,MATCH(C208,Factors!$A$5:$A$34,0)),0))</f>
        <v/>
      </c>
      <c r="F208" s="13">
        <f>IF(A208="","",IFERROR(INDEX(Factors!$D$5:$D$34,MATCH(C208,Factors!$A$5:$A$34,0)),"UNMATCHED"))</f>
        <v/>
      </c>
    </row>
    <row r="209">
      <c r="A209" s="8" t="n"/>
      <c r="B209" s="8" t="n"/>
      <c r="C209" s="8" t="n"/>
      <c r="D209" s="11" t="n"/>
      <c r="E209" s="12">
        <f>IF(A209="","",D209*IFERROR(INDEX(Factors!$C$5:$C$34,MATCH(C209,Factors!$A$5:$A$34,0)),0))</f>
        <v/>
      </c>
      <c r="F209" s="13">
        <f>IF(A209="","",IFERROR(INDEX(Factors!$D$5:$D$34,MATCH(C209,Factors!$A$5:$A$34,0)),"UNMATCHED"))</f>
        <v/>
      </c>
    </row>
    <row r="210">
      <c r="A210" s="8" t="n"/>
      <c r="B210" s="8" t="n"/>
      <c r="C210" s="8" t="n"/>
      <c r="D210" s="11" t="n"/>
      <c r="E210" s="12">
        <f>IF(A210="","",D210*IFERROR(INDEX(Factors!$C$5:$C$34,MATCH(C210,Factors!$A$5:$A$34,0)),0))</f>
        <v/>
      </c>
      <c r="F210" s="13">
        <f>IF(A210="","",IFERROR(INDEX(Factors!$D$5:$D$34,MATCH(C210,Factors!$A$5:$A$34,0)),"UNMATCHED"))</f>
        <v/>
      </c>
    </row>
    <row r="211">
      <c r="A211" s="8" t="n"/>
      <c r="B211" s="8" t="n"/>
      <c r="C211" s="8" t="n"/>
      <c r="D211" s="11" t="n"/>
      <c r="E211" s="12">
        <f>IF(A211="","",D211*IFERROR(INDEX(Factors!$C$5:$C$34,MATCH(C211,Factors!$A$5:$A$34,0)),0))</f>
        <v/>
      </c>
      <c r="F211" s="13">
        <f>IF(A211="","",IFERROR(INDEX(Factors!$D$5:$D$34,MATCH(C211,Factors!$A$5:$A$34,0)),"UNMATCHED"))</f>
        <v/>
      </c>
    </row>
    <row r="212">
      <c r="A212" s="8" t="n"/>
      <c r="B212" s="8" t="n"/>
      <c r="C212" s="8" t="n"/>
      <c r="D212" s="11" t="n"/>
      <c r="E212" s="12">
        <f>IF(A212="","",D212*IFERROR(INDEX(Factors!$C$5:$C$34,MATCH(C212,Factors!$A$5:$A$34,0)),0))</f>
        <v/>
      </c>
      <c r="F212" s="13">
        <f>IF(A212="","",IFERROR(INDEX(Factors!$D$5:$D$34,MATCH(C212,Factors!$A$5:$A$34,0)),"UNMATCHED"))</f>
        <v/>
      </c>
    </row>
    <row r="213">
      <c r="A213" s="8" t="n"/>
      <c r="B213" s="8" t="n"/>
      <c r="C213" s="8" t="n"/>
      <c r="D213" s="11" t="n"/>
      <c r="E213" s="12">
        <f>IF(A213="","",D213*IFERROR(INDEX(Factors!$C$5:$C$34,MATCH(C213,Factors!$A$5:$A$34,0)),0))</f>
        <v/>
      </c>
      <c r="F213" s="13">
        <f>IF(A213="","",IFERROR(INDEX(Factors!$D$5:$D$34,MATCH(C213,Factors!$A$5:$A$34,0)),"UNMATCHED"))</f>
        <v/>
      </c>
    </row>
    <row r="214">
      <c r="A214" s="8" t="n"/>
      <c r="B214" s="8" t="n"/>
      <c r="C214" s="8" t="n"/>
      <c r="D214" s="11" t="n"/>
      <c r="E214" s="12">
        <f>IF(A214="","",D214*IFERROR(INDEX(Factors!$C$5:$C$34,MATCH(C214,Factors!$A$5:$A$34,0)),0))</f>
        <v/>
      </c>
      <c r="F214" s="13">
        <f>IF(A214="","",IFERROR(INDEX(Factors!$D$5:$D$34,MATCH(C214,Factors!$A$5:$A$34,0)),"UNMATCHED"))</f>
        <v/>
      </c>
    </row>
    <row r="215">
      <c r="A215" s="8" t="n"/>
      <c r="B215" s="8" t="n"/>
      <c r="C215" s="8" t="n"/>
      <c r="D215" s="11" t="n"/>
      <c r="E215" s="12">
        <f>IF(A215="","",D215*IFERROR(INDEX(Factors!$C$5:$C$34,MATCH(C215,Factors!$A$5:$A$34,0)),0))</f>
        <v/>
      </c>
      <c r="F215" s="13">
        <f>IF(A215="","",IFERROR(INDEX(Factors!$D$5:$D$34,MATCH(C215,Factors!$A$5:$A$34,0)),"UNMATCHED"))</f>
        <v/>
      </c>
    </row>
    <row r="216">
      <c r="A216" s="8" t="n"/>
      <c r="B216" s="8" t="n"/>
      <c r="C216" s="8" t="n"/>
      <c r="D216" s="11" t="n"/>
      <c r="E216" s="12">
        <f>IF(A216="","",D216*IFERROR(INDEX(Factors!$C$5:$C$34,MATCH(C216,Factors!$A$5:$A$34,0)),0))</f>
        <v/>
      </c>
      <c r="F216" s="13">
        <f>IF(A216="","",IFERROR(INDEX(Factors!$D$5:$D$34,MATCH(C216,Factors!$A$5:$A$34,0)),"UNMATCHED"))</f>
        <v/>
      </c>
    </row>
    <row r="217">
      <c r="A217" s="8" t="n"/>
      <c r="B217" s="8" t="n"/>
      <c r="C217" s="8" t="n"/>
      <c r="D217" s="11" t="n"/>
      <c r="E217" s="12">
        <f>IF(A217="","",D217*IFERROR(INDEX(Factors!$C$5:$C$34,MATCH(C217,Factors!$A$5:$A$34,0)),0))</f>
        <v/>
      </c>
      <c r="F217" s="13">
        <f>IF(A217="","",IFERROR(INDEX(Factors!$D$5:$D$34,MATCH(C217,Factors!$A$5:$A$34,0)),"UNMATCHED"))</f>
        <v/>
      </c>
    </row>
    <row r="218">
      <c r="A218" s="8" t="n"/>
      <c r="B218" s="8" t="n"/>
      <c r="C218" s="8" t="n"/>
      <c r="D218" s="11" t="n"/>
      <c r="E218" s="12">
        <f>IF(A218="","",D218*IFERROR(INDEX(Factors!$C$5:$C$34,MATCH(C218,Factors!$A$5:$A$34,0)),0))</f>
        <v/>
      </c>
      <c r="F218" s="13">
        <f>IF(A218="","",IFERROR(INDEX(Factors!$D$5:$D$34,MATCH(C218,Factors!$A$5:$A$34,0)),"UNMATCHED"))</f>
        <v/>
      </c>
    </row>
    <row r="219">
      <c r="A219" s="8" t="n"/>
      <c r="B219" s="8" t="n"/>
      <c r="C219" s="8" t="n"/>
      <c r="D219" s="11" t="n"/>
      <c r="E219" s="12">
        <f>IF(A219="","",D219*IFERROR(INDEX(Factors!$C$5:$C$34,MATCH(C219,Factors!$A$5:$A$34,0)),0))</f>
        <v/>
      </c>
      <c r="F219" s="13">
        <f>IF(A219="","",IFERROR(INDEX(Factors!$D$5:$D$34,MATCH(C219,Factors!$A$5:$A$34,0)),"UNMATCHED"))</f>
        <v/>
      </c>
    </row>
    <row r="220">
      <c r="A220" s="8" t="n"/>
      <c r="B220" s="8" t="n"/>
      <c r="C220" s="8" t="n"/>
      <c r="D220" s="11" t="n"/>
      <c r="E220" s="12">
        <f>IF(A220="","",D220*IFERROR(INDEX(Factors!$C$5:$C$34,MATCH(C220,Factors!$A$5:$A$34,0)),0))</f>
        <v/>
      </c>
      <c r="F220" s="13">
        <f>IF(A220="","",IFERROR(INDEX(Factors!$D$5:$D$34,MATCH(C220,Factors!$A$5:$A$34,0)),"UNMATCHED"))</f>
        <v/>
      </c>
    </row>
    <row r="221">
      <c r="A221" s="8" t="n"/>
      <c r="B221" s="8" t="n"/>
      <c r="C221" s="8" t="n"/>
      <c r="D221" s="11" t="n"/>
      <c r="E221" s="12">
        <f>IF(A221="","",D221*IFERROR(INDEX(Factors!$C$5:$C$34,MATCH(C221,Factors!$A$5:$A$34,0)),0))</f>
        <v/>
      </c>
      <c r="F221" s="13">
        <f>IF(A221="","",IFERROR(INDEX(Factors!$D$5:$D$34,MATCH(C221,Factors!$A$5:$A$34,0)),"UNMATCHED"))</f>
        <v/>
      </c>
    </row>
    <row r="222">
      <c r="A222" s="8" t="n"/>
      <c r="B222" s="8" t="n"/>
      <c r="C222" s="8" t="n"/>
      <c r="D222" s="11" t="n"/>
      <c r="E222" s="12">
        <f>IF(A222="","",D222*IFERROR(INDEX(Factors!$C$5:$C$34,MATCH(C222,Factors!$A$5:$A$34,0)),0))</f>
        <v/>
      </c>
      <c r="F222" s="13">
        <f>IF(A222="","",IFERROR(INDEX(Factors!$D$5:$D$34,MATCH(C222,Factors!$A$5:$A$34,0)),"UNMATCHED"))</f>
        <v/>
      </c>
    </row>
    <row r="223">
      <c r="A223" s="8" t="n"/>
      <c r="B223" s="8" t="n"/>
      <c r="C223" s="8" t="n"/>
      <c r="D223" s="11" t="n"/>
      <c r="E223" s="12">
        <f>IF(A223="","",D223*IFERROR(INDEX(Factors!$C$5:$C$34,MATCH(C223,Factors!$A$5:$A$34,0)),0))</f>
        <v/>
      </c>
      <c r="F223" s="13">
        <f>IF(A223="","",IFERROR(INDEX(Factors!$D$5:$D$34,MATCH(C223,Factors!$A$5:$A$34,0)),"UNMATCHED"))</f>
        <v/>
      </c>
    </row>
    <row r="224">
      <c r="A224" s="8" t="n"/>
      <c r="B224" s="8" t="n"/>
      <c r="C224" s="8" t="n"/>
      <c r="D224" s="11" t="n"/>
      <c r="E224" s="12">
        <f>IF(A224="","",D224*IFERROR(INDEX(Factors!$C$5:$C$34,MATCH(C224,Factors!$A$5:$A$34,0)),0))</f>
        <v/>
      </c>
      <c r="F224" s="13">
        <f>IF(A224="","",IFERROR(INDEX(Factors!$D$5:$D$34,MATCH(C224,Factors!$A$5:$A$34,0)),"UNMATCHED"))</f>
        <v/>
      </c>
    </row>
    <row r="225">
      <c r="A225" s="8" t="n"/>
      <c r="B225" s="8" t="n"/>
      <c r="C225" s="8" t="n"/>
      <c r="D225" s="11" t="n"/>
      <c r="E225" s="12">
        <f>IF(A225="","",D225*IFERROR(INDEX(Factors!$C$5:$C$34,MATCH(C225,Factors!$A$5:$A$34,0)),0))</f>
        <v/>
      </c>
      <c r="F225" s="13">
        <f>IF(A225="","",IFERROR(INDEX(Factors!$D$5:$D$34,MATCH(C225,Factors!$A$5:$A$34,0)),"UNMATCHED"))</f>
        <v/>
      </c>
    </row>
    <row r="226">
      <c r="A226" s="8" t="n"/>
      <c r="B226" s="8" t="n"/>
      <c r="C226" s="8" t="n"/>
      <c r="D226" s="11" t="n"/>
      <c r="E226" s="12">
        <f>IF(A226="","",D226*IFERROR(INDEX(Factors!$C$5:$C$34,MATCH(C226,Factors!$A$5:$A$34,0)),0))</f>
        <v/>
      </c>
      <c r="F226" s="13">
        <f>IF(A226="","",IFERROR(INDEX(Factors!$D$5:$D$34,MATCH(C226,Factors!$A$5:$A$34,0)),"UNMATCHED"))</f>
        <v/>
      </c>
    </row>
    <row r="227">
      <c r="A227" s="8" t="n"/>
      <c r="B227" s="8" t="n"/>
      <c r="C227" s="8" t="n"/>
      <c r="D227" s="11" t="n"/>
      <c r="E227" s="12">
        <f>IF(A227="","",D227*IFERROR(INDEX(Factors!$C$5:$C$34,MATCH(C227,Factors!$A$5:$A$34,0)),0))</f>
        <v/>
      </c>
      <c r="F227" s="13">
        <f>IF(A227="","",IFERROR(INDEX(Factors!$D$5:$D$34,MATCH(C227,Factors!$A$5:$A$34,0)),"UNMATCHED"))</f>
        <v/>
      </c>
    </row>
    <row r="228">
      <c r="A228" s="8" t="n"/>
      <c r="B228" s="8" t="n"/>
      <c r="C228" s="8" t="n"/>
      <c r="D228" s="11" t="n"/>
      <c r="E228" s="12">
        <f>IF(A228="","",D228*IFERROR(INDEX(Factors!$C$5:$C$34,MATCH(C228,Factors!$A$5:$A$34,0)),0))</f>
        <v/>
      </c>
      <c r="F228" s="13">
        <f>IF(A228="","",IFERROR(INDEX(Factors!$D$5:$D$34,MATCH(C228,Factors!$A$5:$A$34,0)),"UNMATCHED"))</f>
        <v/>
      </c>
    </row>
    <row r="229">
      <c r="A229" s="8" t="n"/>
      <c r="B229" s="8" t="n"/>
      <c r="C229" s="8" t="n"/>
      <c r="D229" s="11" t="n"/>
      <c r="E229" s="12">
        <f>IF(A229="","",D229*IFERROR(INDEX(Factors!$C$5:$C$34,MATCH(C229,Factors!$A$5:$A$34,0)),0))</f>
        <v/>
      </c>
      <c r="F229" s="13">
        <f>IF(A229="","",IFERROR(INDEX(Factors!$D$5:$D$34,MATCH(C229,Factors!$A$5:$A$34,0)),"UNMATCHED"))</f>
        <v/>
      </c>
    </row>
    <row r="230">
      <c r="A230" s="8" t="n"/>
      <c r="B230" s="8" t="n"/>
      <c r="C230" s="8" t="n"/>
      <c r="D230" s="11" t="n"/>
      <c r="E230" s="12">
        <f>IF(A230="","",D230*IFERROR(INDEX(Factors!$C$5:$C$34,MATCH(C230,Factors!$A$5:$A$34,0)),0))</f>
        <v/>
      </c>
      <c r="F230" s="13">
        <f>IF(A230="","",IFERROR(INDEX(Factors!$D$5:$D$34,MATCH(C230,Factors!$A$5:$A$34,0)),"UNMATCHED"))</f>
        <v/>
      </c>
    </row>
    <row r="231">
      <c r="A231" s="8" t="n"/>
      <c r="B231" s="8" t="n"/>
      <c r="C231" s="8" t="n"/>
      <c r="D231" s="11" t="n"/>
      <c r="E231" s="12">
        <f>IF(A231="","",D231*IFERROR(INDEX(Factors!$C$5:$C$34,MATCH(C231,Factors!$A$5:$A$34,0)),0))</f>
        <v/>
      </c>
      <c r="F231" s="13">
        <f>IF(A231="","",IFERROR(INDEX(Factors!$D$5:$D$34,MATCH(C231,Factors!$A$5:$A$34,0)),"UNMATCHED"))</f>
        <v/>
      </c>
    </row>
    <row r="232">
      <c r="A232" s="8" t="n"/>
      <c r="B232" s="8" t="n"/>
      <c r="C232" s="8" t="n"/>
      <c r="D232" s="11" t="n"/>
      <c r="E232" s="12">
        <f>IF(A232="","",D232*IFERROR(INDEX(Factors!$C$5:$C$34,MATCH(C232,Factors!$A$5:$A$34,0)),0))</f>
        <v/>
      </c>
      <c r="F232" s="13">
        <f>IF(A232="","",IFERROR(INDEX(Factors!$D$5:$D$34,MATCH(C232,Factors!$A$5:$A$34,0)),"UNMATCHED"))</f>
        <v/>
      </c>
    </row>
    <row r="233">
      <c r="A233" s="8" t="n"/>
      <c r="B233" s="8" t="n"/>
      <c r="C233" s="8" t="n"/>
      <c r="D233" s="11" t="n"/>
      <c r="E233" s="12">
        <f>IF(A233="","",D233*IFERROR(INDEX(Factors!$C$5:$C$34,MATCH(C233,Factors!$A$5:$A$34,0)),0))</f>
        <v/>
      </c>
      <c r="F233" s="13">
        <f>IF(A233="","",IFERROR(INDEX(Factors!$D$5:$D$34,MATCH(C233,Factors!$A$5:$A$34,0)),"UNMATCHED"))</f>
        <v/>
      </c>
    </row>
    <row r="234">
      <c r="A234" s="8" t="n"/>
      <c r="B234" s="8" t="n"/>
      <c r="C234" s="8" t="n"/>
      <c r="D234" s="11" t="n"/>
      <c r="E234" s="12">
        <f>IF(A234="","",D234*IFERROR(INDEX(Factors!$C$5:$C$34,MATCH(C234,Factors!$A$5:$A$34,0)),0))</f>
        <v/>
      </c>
      <c r="F234" s="13">
        <f>IF(A234="","",IFERROR(INDEX(Factors!$D$5:$D$34,MATCH(C234,Factors!$A$5:$A$34,0)),"UNMATCHED"))</f>
        <v/>
      </c>
    </row>
    <row r="235">
      <c r="A235" s="8" t="n"/>
      <c r="B235" s="8" t="n"/>
      <c r="C235" s="8" t="n"/>
      <c r="D235" s="11" t="n"/>
      <c r="E235" s="12">
        <f>IF(A235="","",D235*IFERROR(INDEX(Factors!$C$5:$C$34,MATCH(C235,Factors!$A$5:$A$34,0)),0))</f>
        <v/>
      </c>
      <c r="F235" s="13">
        <f>IF(A235="","",IFERROR(INDEX(Factors!$D$5:$D$34,MATCH(C235,Factors!$A$5:$A$34,0)),"UNMATCHED"))</f>
        <v/>
      </c>
    </row>
    <row r="236">
      <c r="A236" s="8" t="n"/>
      <c r="B236" s="8" t="n"/>
      <c r="C236" s="8" t="n"/>
      <c r="D236" s="11" t="n"/>
      <c r="E236" s="12">
        <f>IF(A236="","",D236*IFERROR(INDEX(Factors!$C$5:$C$34,MATCH(C236,Factors!$A$5:$A$34,0)),0))</f>
        <v/>
      </c>
      <c r="F236" s="13">
        <f>IF(A236="","",IFERROR(INDEX(Factors!$D$5:$D$34,MATCH(C236,Factors!$A$5:$A$34,0)),"UNMATCHED"))</f>
        <v/>
      </c>
    </row>
    <row r="237">
      <c r="A237" s="8" t="n"/>
      <c r="B237" s="8" t="n"/>
      <c r="C237" s="8" t="n"/>
      <c r="D237" s="11" t="n"/>
      <c r="E237" s="12">
        <f>IF(A237="","",D237*IFERROR(INDEX(Factors!$C$5:$C$34,MATCH(C237,Factors!$A$5:$A$34,0)),0))</f>
        <v/>
      </c>
      <c r="F237" s="13">
        <f>IF(A237="","",IFERROR(INDEX(Factors!$D$5:$D$34,MATCH(C237,Factors!$A$5:$A$34,0)),"UNMATCHED"))</f>
        <v/>
      </c>
    </row>
    <row r="238">
      <c r="A238" s="8" t="n"/>
      <c r="B238" s="8" t="n"/>
      <c r="C238" s="8" t="n"/>
      <c r="D238" s="11" t="n"/>
      <c r="E238" s="12">
        <f>IF(A238="","",D238*IFERROR(INDEX(Factors!$C$5:$C$34,MATCH(C238,Factors!$A$5:$A$34,0)),0))</f>
        <v/>
      </c>
      <c r="F238" s="13">
        <f>IF(A238="","",IFERROR(INDEX(Factors!$D$5:$D$34,MATCH(C238,Factors!$A$5:$A$34,0)),"UNMATCHED"))</f>
        <v/>
      </c>
    </row>
    <row r="239">
      <c r="A239" s="8" t="n"/>
      <c r="B239" s="8" t="n"/>
      <c r="C239" s="8" t="n"/>
      <c r="D239" s="11" t="n"/>
      <c r="E239" s="12">
        <f>IF(A239="","",D239*IFERROR(INDEX(Factors!$C$5:$C$34,MATCH(C239,Factors!$A$5:$A$34,0)),0))</f>
        <v/>
      </c>
      <c r="F239" s="13">
        <f>IF(A239="","",IFERROR(INDEX(Factors!$D$5:$D$34,MATCH(C239,Factors!$A$5:$A$34,0)),"UNMATCHED"))</f>
        <v/>
      </c>
    </row>
    <row r="240">
      <c r="A240" s="8" t="n"/>
      <c r="B240" s="8" t="n"/>
      <c r="C240" s="8" t="n"/>
      <c r="D240" s="11" t="n"/>
      <c r="E240" s="12">
        <f>IF(A240="","",D240*IFERROR(INDEX(Factors!$C$5:$C$34,MATCH(C240,Factors!$A$5:$A$34,0)),0))</f>
        <v/>
      </c>
      <c r="F240" s="13">
        <f>IF(A240="","",IFERROR(INDEX(Factors!$D$5:$D$34,MATCH(C240,Factors!$A$5:$A$34,0)),"UNMATCHED"))</f>
        <v/>
      </c>
    </row>
    <row r="241">
      <c r="A241" s="8" t="n"/>
      <c r="B241" s="8" t="n"/>
      <c r="C241" s="8" t="n"/>
      <c r="D241" s="11" t="n"/>
      <c r="E241" s="12">
        <f>IF(A241="","",D241*IFERROR(INDEX(Factors!$C$5:$C$34,MATCH(C241,Factors!$A$5:$A$34,0)),0))</f>
        <v/>
      </c>
      <c r="F241" s="13">
        <f>IF(A241="","",IFERROR(INDEX(Factors!$D$5:$D$34,MATCH(C241,Factors!$A$5:$A$34,0)),"UNMATCHED"))</f>
        <v/>
      </c>
    </row>
    <row r="242">
      <c r="A242" s="8" t="n"/>
      <c r="B242" s="8" t="n"/>
      <c r="C242" s="8" t="n"/>
      <c r="D242" s="11" t="n"/>
      <c r="E242" s="12">
        <f>IF(A242="","",D242*IFERROR(INDEX(Factors!$C$5:$C$34,MATCH(C242,Factors!$A$5:$A$34,0)),0))</f>
        <v/>
      </c>
      <c r="F242" s="13">
        <f>IF(A242="","",IFERROR(INDEX(Factors!$D$5:$D$34,MATCH(C242,Factors!$A$5:$A$34,0)),"UNMATCHED"))</f>
        <v/>
      </c>
    </row>
    <row r="243">
      <c r="A243" s="8" t="n"/>
      <c r="B243" s="8" t="n"/>
      <c r="C243" s="8" t="n"/>
      <c r="D243" s="11" t="n"/>
      <c r="E243" s="12">
        <f>IF(A243="","",D243*IFERROR(INDEX(Factors!$C$5:$C$34,MATCH(C243,Factors!$A$5:$A$34,0)),0))</f>
        <v/>
      </c>
      <c r="F243" s="13">
        <f>IF(A243="","",IFERROR(INDEX(Factors!$D$5:$D$34,MATCH(C243,Factors!$A$5:$A$34,0)),"UNMATCHED"))</f>
        <v/>
      </c>
    </row>
    <row r="244">
      <c r="A244" s="8" t="n"/>
      <c r="B244" s="8" t="n"/>
      <c r="C244" s="8" t="n"/>
      <c r="D244" s="11" t="n"/>
      <c r="E244" s="12">
        <f>IF(A244="","",D244*IFERROR(INDEX(Factors!$C$5:$C$34,MATCH(C244,Factors!$A$5:$A$34,0)),0))</f>
        <v/>
      </c>
      <c r="F244" s="13">
        <f>IF(A244="","",IFERROR(INDEX(Factors!$D$5:$D$34,MATCH(C244,Factors!$A$5:$A$34,0)),"UNMATCHED"))</f>
        <v/>
      </c>
    </row>
    <row r="245">
      <c r="A245" s="8" t="n"/>
      <c r="B245" s="8" t="n"/>
      <c r="C245" s="8" t="n"/>
      <c r="D245" s="11" t="n"/>
      <c r="E245" s="12">
        <f>IF(A245="","",D245*IFERROR(INDEX(Factors!$C$5:$C$34,MATCH(C245,Factors!$A$5:$A$34,0)),0))</f>
        <v/>
      </c>
      <c r="F245" s="13">
        <f>IF(A245="","",IFERROR(INDEX(Factors!$D$5:$D$34,MATCH(C245,Factors!$A$5:$A$34,0)),"UNMATCHED"))</f>
        <v/>
      </c>
    </row>
    <row r="246">
      <c r="A246" s="8" t="n"/>
      <c r="B246" s="8" t="n"/>
      <c r="C246" s="8" t="n"/>
      <c r="D246" s="11" t="n"/>
      <c r="E246" s="12">
        <f>IF(A246="","",D246*IFERROR(INDEX(Factors!$C$5:$C$34,MATCH(C246,Factors!$A$5:$A$34,0)),0))</f>
        <v/>
      </c>
      <c r="F246" s="13">
        <f>IF(A246="","",IFERROR(INDEX(Factors!$D$5:$D$34,MATCH(C246,Factors!$A$5:$A$34,0)),"UNMATCHED"))</f>
        <v/>
      </c>
    </row>
    <row r="247">
      <c r="A247" s="8" t="n"/>
      <c r="B247" s="8" t="n"/>
      <c r="C247" s="8" t="n"/>
      <c r="D247" s="11" t="n"/>
      <c r="E247" s="12">
        <f>IF(A247="","",D247*IFERROR(INDEX(Factors!$C$5:$C$34,MATCH(C247,Factors!$A$5:$A$34,0)),0))</f>
        <v/>
      </c>
      <c r="F247" s="13">
        <f>IF(A247="","",IFERROR(INDEX(Factors!$D$5:$D$34,MATCH(C247,Factors!$A$5:$A$34,0)),"UNMATCHED"))</f>
        <v/>
      </c>
    </row>
    <row r="248">
      <c r="A248" s="8" t="n"/>
      <c r="B248" s="8" t="n"/>
      <c r="C248" s="8" t="n"/>
      <c r="D248" s="11" t="n"/>
      <c r="E248" s="12">
        <f>IF(A248="","",D248*IFERROR(INDEX(Factors!$C$5:$C$34,MATCH(C248,Factors!$A$5:$A$34,0)),0))</f>
        <v/>
      </c>
      <c r="F248" s="13">
        <f>IF(A248="","",IFERROR(INDEX(Factors!$D$5:$D$34,MATCH(C248,Factors!$A$5:$A$34,0)),"UNMATCHED"))</f>
        <v/>
      </c>
    </row>
    <row r="249">
      <c r="A249" s="8" t="n"/>
      <c r="B249" s="8" t="n"/>
      <c r="C249" s="8" t="n"/>
      <c r="D249" s="11" t="n"/>
      <c r="E249" s="12">
        <f>IF(A249="","",D249*IFERROR(INDEX(Factors!$C$5:$C$34,MATCH(C249,Factors!$A$5:$A$34,0)),0))</f>
        <v/>
      </c>
      <c r="F249" s="13">
        <f>IF(A249="","",IFERROR(INDEX(Factors!$D$5:$D$34,MATCH(C249,Factors!$A$5:$A$34,0)),"UNMATCHED"))</f>
        <v/>
      </c>
    </row>
    <row r="250">
      <c r="A250" s="8" t="n"/>
      <c r="B250" s="8" t="n"/>
      <c r="C250" s="8" t="n"/>
      <c r="D250" s="11" t="n"/>
      <c r="E250" s="12">
        <f>IF(A250="","",D250*IFERROR(INDEX(Factors!$C$5:$C$34,MATCH(C250,Factors!$A$5:$A$34,0)),0))</f>
        <v/>
      </c>
      <c r="F250" s="13">
        <f>IF(A250="","",IFERROR(INDEX(Factors!$D$5:$D$34,MATCH(C250,Factors!$A$5:$A$34,0)),"UNMATCHED"))</f>
        <v/>
      </c>
    </row>
    <row r="251">
      <c r="A251" s="8" t="n"/>
      <c r="B251" s="8" t="n"/>
      <c r="C251" s="8" t="n"/>
      <c r="D251" s="11" t="n"/>
      <c r="E251" s="12">
        <f>IF(A251="","",D251*IFERROR(INDEX(Factors!$C$5:$C$34,MATCH(C251,Factors!$A$5:$A$34,0)),0))</f>
        <v/>
      </c>
      <c r="F251" s="13">
        <f>IF(A251="","",IFERROR(INDEX(Factors!$D$5:$D$34,MATCH(C251,Factors!$A$5:$A$34,0)),"UNMATCHED"))</f>
        <v/>
      </c>
    </row>
    <row r="252">
      <c r="A252" s="8" t="n"/>
      <c r="B252" s="8" t="n"/>
      <c r="C252" s="8" t="n"/>
      <c r="D252" s="11" t="n"/>
      <c r="E252" s="12">
        <f>IF(A252="","",D252*IFERROR(INDEX(Factors!$C$5:$C$34,MATCH(C252,Factors!$A$5:$A$34,0)),0))</f>
        <v/>
      </c>
      <c r="F252" s="13">
        <f>IF(A252="","",IFERROR(INDEX(Factors!$D$5:$D$34,MATCH(C252,Factors!$A$5:$A$34,0)),"UNMATCHED"))</f>
        <v/>
      </c>
    </row>
    <row r="253">
      <c r="A253" s="8" t="n"/>
      <c r="B253" s="8" t="n"/>
      <c r="C253" s="8" t="n"/>
      <c r="D253" s="11" t="n"/>
      <c r="E253" s="12">
        <f>IF(A253="","",D253*IFERROR(INDEX(Factors!$C$5:$C$34,MATCH(C253,Factors!$A$5:$A$34,0)),0))</f>
        <v/>
      </c>
      <c r="F253" s="13">
        <f>IF(A253="","",IFERROR(INDEX(Factors!$D$5:$D$34,MATCH(C253,Factors!$A$5:$A$34,0)),"UNMATCHED"))</f>
        <v/>
      </c>
    </row>
    <row r="254">
      <c r="A254" s="8" t="n"/>
      <c r="B254" s="8" t="n"/>
      <c r="C254" s="8" t="n"/>
      <c r="D254" s="11" t="n"/>
      <c r="E254" s="12">
        <f>IF(A254="","",D254*IFERROR(INDEX(Factors!$C$5:$C$34,MATCH(C254,Factors!$A$5:$A$34,0)),0))</f>
        <v/>
      </c>
      <c r="F254" s="13">
        <f>IF(A254="","",IFERROR(INDEX(Factors!$D$5:$D$34,MATCH(C254,Factors!$A$5:$A$34,0)),"UNMATCHED"))</f>
        <v/>
      </c>
    </row>
    <row r="255">
      <c r="A255" s="8" t="n"/>
      <c r="B255" s="8" t="n"/>
      <c r="C255" s="8" t="n"/>
      <c r="D255" s="11" t="n"/>
      <c r="E255" s="12">
        <f>IF(A255="","",D255*IFERROR(INDEX(Factors!$C$5:$C$34,MATCH(C255,Factors!$A$5:$A$34,0)),0))</f>
        <v/>
      </c>
      <c r="F255" s="13">
        <f>IF(A255="","",IFERROR(INDEX(Factors!$D$5:$D$34,MATCH(C255,Factors!$A$5:$A$34,0)),"UNMATCHED"))</f>
        <v/>
      </c>
    </row>
    <row r="256">
      <c r="A256" s="8" t="n"/>
      <c r="B256" s="8" t="n"/>
      <c r="C256" s="8" t="n"/>
      <c r="D256" s="11" t="n"/>
      <c r="E256" s="12">
        <f>IF(A256="","",D256*IFERROR(INDEX(Factors!$C$5:$C$34,MATCH(C256,Factors!$A$5:$A$34,0)),0))</f>
        <v/>
      </c>
      <c r="F256" s="13">
        <f>IF(A256="","",IFERROR(INDEX(Factors!$D$5:$D$34,MATCH(C256,Factors!$A$5:$A$34,0)),"UNMATCHED"))</f>
        <v/>
      </c>
    </row>
    <row r="257">
      <c r="A257" s="8" t="n"/>
      <c r="B257" s="8" t="n"/>
      <c r="C257" s="8" t="n"/>
      <c r="D257" s="11" t="n"/>
      <c r="E257" s="12">
        <f>IF(A257="","",D257*IFERROR(INDEX(Factors!$C$5:$C$34,MATCH(C257,Factors!$A$5:$A$34,0)),0))</f>
        <v/>
      </c>
      <c r="F257" s="13">
        <f>IF(A257="","",IFERROR(INDEX(Factors!$D$5:$D$34,MATCH(C257,Factors!$A$5:$A$34,0)),"UNMATCHED"))</f>
        <v/>
      </c>
    </row>
    <row r="258">
      <c r="A258" s="8" t="n"/>
      <c r="B258" s="8" t="n"/>
      <c r="C258" s="8" t="n"/>
      <c r="D258" s="11" t="n"/>
      <c r="E258" s="12">
        <f>IF(A258="","",D258*IFERROR(INDEX(Factors!$C$5:$C$34,MATCH(C258,Factors!$A$5:$A$34,0)),0))</f>
        <v/>
      </c>
      <c r="F258" s="13">
        <f>IF(A258="","",IFERROR(INDEX(Factors!$D$5:$D$34,MATCH(C258,Factors!$A$5:$A$34,0)),"UNMATCHED"))</f>
        <v/>
      </c>
    </row>
    <row r="259">
      <c r="A259" s="8" t="n"/>
      <c r="B259" s="8" t="n"/>
      <c r="C259" s="8" t="n"/>
      <c r="D259" s="11" t="n"/>
      <c r="E259" s="12">
        <f>IF(A259="","",D259*IFERROR(INDEX(Factors!$C$5:$C$34,MATCH(C259,Factors!$A$5:$A$34,0)),0))</f>
        <v/>
      </c>
      <c r="F259" s="13">
        <f>IF(A259="","",IFERROR(INDEX(Factors!$D$5:$D$34,MATCH(C259,Factors!$A$5:$A$34,0)),"UNMATCHED"))</f>
        <v/>
      </c>
    </row>
    <row r="260">
      <c r="A260" s="8" t="n"/>
      <c r="B260" s="8" t="n"/>
      <c r="C260" s="8" t="n"/>
      <c r="D260" s="11" t="n"/>
      <c r="E260" s="12">
        <f>IF(A260="","",D260*IFERROR(INDEX(Factors!$C$5:$C$34,MATCH(C260,Factors!$A$5:$A$34,0)),0))</f>
        <v/>
      </c>
      <c r="F260" s="13">
        <f>IF(A260="","",IFERROR(INDEX(Factors!$D$5:$D$34,MATCH(C260,Factors!$A$5:$A$34,0)),"UNMATCHED"))</f>
        <v/>
      </c>
    </row>
    <row r="261">
      <c r="A261" s="8" t="n"/>
      <c r="B261" s="8" t="n"/>
      <c r="C261" s="8" t="n"/>
      <c r="D261" s="11" t="n"/>
      <c r="E261" s="12">
        <f>IF(A261="","",D261*IFERROR(INDEX(Factors!$C$5:$C$34,MATCH(C261,Factors!$A$5:$A$34,0)),0))</f>
        <v/>
      </c>
      <c r="F261" s="13">
        <f>IF(A261="","",IFERROR(INDEX(Factors!$D$5:$D$34,MATCH(C261,Factors!$A$5:$A$34,0)),"UNMATCHED"))</f>
        <v/>
      </c>
    </row>
    <row r="262">
      <c r="A262" s="8" t="n"/>
      <c r="B262" s="8" t="n"/>
      <c r="C262" s="8" t="n"/>
      <c r="D262" s="11" t="n"/>
      <c r="E262" s="12">
        <f>IF(A262="","",D262*IFERROR(INDEX(Factors!$C$5:$C$34,MATCH(C262,Factors!$A$5:$A$34,0)),0))</f>
        <v/>
      </c>
      <c r="F262" s="13">
        <f>IF(A262="","",IFERROR(INDEX(Factors!$D$5:$D$34,MATCH(C262,Factors!$A$5:$A$34,0)),"UNMATCHED"))</f>
        <v/>
      </c>
    </row>
    <row r="263">
      <c r="A263" s="8" t="n"/>
      <c r="B263" s="8" t="n"/>
      <c r="C263" s="8" t="n"/>
      <c r="D263" s="11" t="n"/>
      <c r="E263" s="12">
        <f>IF(A263="","",D263*IFERROR(INDEX(Factors!$C$5:$C$34,MATCH(C263,Factors!$A$5:$A$34,0)),0))</f>
        <v/>
      </c>
      <c r="F263" s="13">
        <f>IF(A263="","",IFERROR(INDEX(Factors!$D$5:$D$34,MATCH(C263,Factors!$A$5:$A$34,0)),"UNMATCHED"))</f>
        <v/>
      </c>
    </row>
    <row r="264">
      <c r="A264" s="8" t="n"/>
      <c r="B264" s="8" t="n"/>
      <c r="C264" s="8" t="n"/>
      <c r="D264" s="11" t="n"/>
      <c r="E264" s="12">
        <f>IF(A264="","",D264*IFERROR(INDEX(Factors!$C$5:$C$34,MATCH(C264,Factors!$A$5:$A$34,0)),0))</f>
        <v/>
      </c>
      <c r="F264" s="13">
        <f>IF(A264="","",IFERROR(INDEX(Factors!$D$5:$D$34,MATCH(C264,Factors!$A$5:$A$34,0)),"UNMATCHED"))</f>
        <v/>
      </c>
    </row>
    <row r="265">
      <c r="A265" s="8" t="n"/>
      <c r="B265" s="8" t="n"/>
      <c r="C265" s="8" t="n"/>
      <c r="D265" s="11" t="n"/>
      <c r="E265" s="12">
        <f>IF(A265="","",D265*IFERROR(INDEX(Factors!$C$5:$C$34,MATCH(C265,Factors!$A$5:$A$34,0)),0))</f>
        <v/>
      </c>
      <c r="F265" s="13">
        <f>IF(A265="","",IFERROR(INDEX(Factors!$D$5:$D$34,MATCH(C265,Factors!$A$5:$A$34,0)),"UNMATCHED"))</f>
        <v/>
      </c>
    </row>
    <row r="266">
      <c r="A266" s="8" t="n"/>
      <c r="B266" s="8" t="n"/>
      <c r="C266" s="8" t="n"/>
      <c r="D266" s="11" t="n"/>
      <c r="E266" s="12">
        <f>IF(A266="","",D266*IFERROR(INDEX(Factors!$C$5:$C$34,MATCH(C266,Factors!$A$5:$A$34,0)),0))</f>
        <v/>
      </c>
      <c r="F266" s="13">
        <f>IF(A266="","",IFERROR(INDEX(Factors!$D$5:$D$34,MATCH(C266,Factors!$A$5:$A$34,0)),"UNMATCHED"))</f>
        <v/>
      </c>
    </row>
    <row r="267">
      <c r="A267" s="8" t="n"/>
      <c r="B267" s="8" t="n"/>
      <c r="C267" s="8" t="n"/>
      <c r="D267" s="11" t="n"/>
      <c r="E267" s="12">
        <f>IF(A267="","",D267*IFERROR(INDEX(Factors!$C$5:$C$34,MATCH(C267,Factors!$A$5:$A$34,0)),0))</f>
        <v/>
      </c>
      <c r="F267" s="13">
        <f>IF(A267="","",IFERROR(INDEX(Factors!$D$5:$D$34,MATCH(C267,Factors!$A$5:$A$34,0)),"UNMATCHED"))</f>
        <v/>
      </c>
    </row>
    <row r="268">
      <c r="A268" s="8" t="n"/>
      <c r="B268" s="8" t="n"/>
      <c r="C268" s="8" t="n"/>
      <c r="D268" s="11" t="n"/>
      <c r="E268" s="12">
        <f>IF(A268="","",D268*IFERROR(INDEX(Factors!$C$5:$C$34,MATCH(C268,Factors!$A$5:$A$34,0)),0))</f>
        <v/>
      </c>
      <c r="F268" s="13">
        <f>IF(A268="","",IFERROR(INDEX(Factors!$D$5:$D$34,MATCH(C268,Factors!$A$5:$A$34,0)),"UNMATCHED"))</f>
        <v/>
      </c>
    </row>
    <row r="269">
      <c r="A269" s="8" t="n"/>
      <c r="B269" s="8" t="n"/>
      <c r="C269" s="8" t="n"/>
      <c r="D269" s="11" t="n"/>
      <c r="E269" s="12">
        <f>IF(A269="","",D269*IFERROR(INDEX(Factors!$C$5:$C$34,MATCH(C269,Factors!$A$5:$A$34,0)),0))</f>
        <v/>
      </c>
      <c r="F269" s="13">
        <f>IF(A269="","",IFERROR(INDEX(Factors!$D$5:$D$34,MATCH(C269,Factors!$A$5:$A$34,0)),"UNMATCHED"))</f>
        <v/>
      </c>
    </row>
    <row r="270">
      <c r="A270" s="8" t="n"/>
      <c r="B270" s="8" t="n"/>
      <c r="C270" s="8" t="n"/>
      <c r="D270" s="11" t="n"/>
      <c r="E270" s="12">
        <f>IF(A270="","",D270*IFERROR(INDEX(Factors!$C$5:$C$34,MATCH(C270,Factors!$A$5:$A$34,0)),0))</f>
        <v/>
      </c>
      <c r="F270" s="13">
        <f>IF(A270="","",IFERROR(INDEX(Factors!$D$5:$D$34,MATCH(C270,Factors!$A$5:$A$34,0)),"UNMATCHED"))</f>
        <v/>
      </c>
    </row>
    <row r="271">
      <c r="A271" s="8" t="n"/>
      <c r="B271" s="8" t="n"/>
      <c r="C271" s="8" t="n"/>
      <c r="D271" s="11" t="n"/>
      <c r="E271" s="12">
        <f>IF(A271="","",D271*IFERROR(INDEX(Factors!$C$5:$C$34,MATCH(C271,Factors!$A$5:$A$34,0)),0))</f>
        <v/>
      </c>
      <c r="F271" s="13">
        <f>IF(A271="","",IFERROR(INDEX(Factors!$D$5:$D$34,MATCH(C271,Factors!$A$5:$A$34,0)),"UNMATCHED"))</f>
        <v/>
      </c>
    </row>
    <row r="272">
      <c r="A272" s="8" t="n"/>
      <c r="B272" s="8" t="n"/>
      <c r="C272" s="8" t="n"/>
      <c r="D272" s="11" t="n"/>
      <c r="E272" s="12">
        <f>IF(A272="","",D272*IFERROR(INDEX(Factors!$C$5:$C$34,MATCH(C272,Factors!$A$5:$A$34,0)),0))</f>
        <v/>
      </c>
      <c r="F272" s="13">
        <f>IF(A272="","",IFERROR(INDEX(Factors!$D$5:$D$34,MATCH(C272,Factors!$A$5:$A$34,0)),"UNMATCHED"))</f>
        <v/>
      </c>
    </row>
    <row r="273">
      <c r="A273" s="8" t="n"/>
      <c r="B273" s="8" t="n"/>
      <c r="C273" s="8" t="n"/>
      <c r="D273" s="11" t="n"/>
      <c r="E273" s="12">
        <f>IF(A273="","",D273*IFERROR(INDEX(Factors!$C$5:$C$34,MATCH(C273,Factors!$A$5:$A$34,0)),0))</f>
        <v/>
      </c>
      <c r="F273" s="13">
        <f>IF(A273="","",IFERROR(INDEX(Factors!$D$5:$D$34,MATCH(C273,Factors!$A$5:$A$34,0)),"UNMATCHED"))</f>
        <v/>
      </c>
    </row>
    <row r="274">
      <c r="A274" s="8" t="n"/>
      <c r="B274" s="8" t="n"/>
      <c r="C274" s="8" t="n"/>
      <c r="D274" s="11" t="n"/>
      <c r="E274" s="12">
        <f>IF(A274="","",D274*IFERROR(INDEX(Factors!$C$5:$C$34,MATCH(C274,Factors!$A$5:$A$34,0)),0))</f>
        <v/>
      </c>
      <c r="F274" s="13">
        <f>IF(A274="","",IFERROR(INDEX(Factors!$D$5:$D$34,MATCH(C274,Factors!$A$5:$A$34,0)),"UNMATCHED"))</f>
        <v/>
      </c>
    </row>
    <row r="275">
      <c r="A275" s="8" t="n"/>
      <c r="B275" s="8" t="n"/>
      <c r="C275" s="8" t="n"/>
      <c r="D275" s="11" t="n"/>
      <c r="E275" s="12">
        <f>IF(A275="","",D275*IFERROR(INDEX(Factors!$C$5:$C$34,MATCH(C275,Factors!$A$5:$A$34,0)),0))</f>
        <v/>
      </c>
      <c r="F275" s="13">
        <f>IF(A275="","",IFERROR(INDEX(Factors!$D$5:$D$34,MATCH(C275,Factors!$A$5:$A$34,0)),"UNMATCHED"))</f>
        <v/>
      </c>
    </row>
    <row r="276">
      <c r="A276" s="8" t="n"/>
      <c r="B276" s="8" t="n"/>
      <c r="C276" s="8" t="n"/>
      <c r="D276" s="11" t="n"/>
      <c r="E276" s="12">
        <f>IF(A276="","",D276*IFERROR(INDEX(Factors!$C$5:$C$34,MATCH(C276,Factors!$A$5:$A$34,0)),0))</f>
        <v/>
      </c>
      <c r="F276" s="13">
        <f>IF(A276="","",IFERROR(INDEX(Factors!$D$5:$D$34,MATCH(C276,Factors!$A$5:$A$34,0)),"UNMATCHED"))</f>
        <v/>
      </c>
    </row>
    <row r="277">
      <c r="A277" s="8" t="n"/>
      <c r="B277" s="8" t="n"/>
      <c r="C277" s="8" t="n"/>
      <c r="D277" s="11" t="n"/>
      <c r="E277" s="12">
        <f>IF(A277="","",D277*IFERROR(INDEX(Factors!$C$5:$C$34,MATCH(C277,Factors!$A$5:$A$34,0)),0))</f>
        <v/>
      </c>
      <c r="F277" s="13">
        <f>IF(A277="","",IFERROR(INDEX(Factors!$D$5:$D$34,MATCH(C277,Factors!$A$5:$A$34,0)),"UNMATCHED"))</f>
        <v/>
      </c>
    </row>
    <row r="278">
      <c r="A278" s="8" t="n"/>
      <c r="B278" s="8" t="n"/>
      <c r="C278" s="8" t="n"/>
      <c r="D278" s="11" t="n"/>
      <c r="E278" s="12">
        <f>IF(A278="","",D278*IFERROR(INDEX(Factors!$C$5:$C$34,MATCH(C278,Factors!$A$5:$A$34,0)),0))</f>
        <v/>
      </c>
      <c r="F278" s="13">
        <f>IF(A278="","",IFERROR(INDEX(Factors!$D$5:$D$34,MATCH(C278,Factors!$A$5:$A$34,0)),"UNMATCHED"))</f>
        <v/>
      </c>
    </row>
    <row r="279">
      <c r="A279" s="8" t="n"/>
      <c r="B279" s="8" t="n"/>
      <c r="C279" s="8" t="n"/>
      <c r="D279" s="11" t="n"/>
      <c r="E279" s="12">
        <f>IF(A279="","",D279*IFERROR(INDEX(Factors!$C$5:$C$34,MATCH(C279,Factors!$A$5:$A$34,0)),0))</f>
        <v/>
      </c>
      <c r="F279" s="13">
        <f>IF(A279="","",IFERROR(INDEX(Factors!$D$5:$D$34,MATCH(C279,Factors!$A$5:$A$34,0)),"UNMATCHED"))</f>
        <v/>
      </c>
    </row>
    <row r="280">
      <c r="A280" s="8" t="n"/>
      <c r="B280" s="8" t="n"/>
      <c r="C280" s="8" t="n"/>
      <c r="D280" s="11" t="n"/>
      <c r="E280" s="12">
        <f>IF(A280="","",D280*IFERROR(INDEX(Factors!$C$5:$C$34,MATCH(C280,Factors!$A$5:$A$34,0)),0))</f>
        <v/>
      </c>
      <c r="F280" s="13">
        <f>IF(A280="","",IFERROR(INDEX(Factors!$D$5:$D$34,MATCH(C280,Factors!$A$5:$A$34,0)),"UNMATCHED"))</f>
        <v/>
      </c>
    </row>
    <row r="281">
      <c r="A281" s="8" t="n"/>
      <c r="B281" s="8" t="n"/>
      <c r="C281" s="8" t="n"/>
      <c r="D281" s="11" t="n"/>
      <c r="E281" s="12">
        <f>IF(A281="","",D281*IFERROR(INDEX(Factors!$C$5:$C$34,MATCH(C281,Factors!$A$5:$A$34,0)),0))</f>
        <v/>
      </c>
      <c r="F281" s="13">
        <f>IF(A281="","",IFERROR(INDEX(Factors!$D$5:$D$34,MATCH(C281,Factors!$A$5:$A$34,0)),"UNMATCHED"))</f>
        <v/>
      </c>
    </row>
    <row r="282">
      <c r="A282" s="8" t="n"/>
      <c r="B282" s="8" t="n"/>
      <c r="C282" s="8" t="n"/>
      <c r="D282" s="11" t="n"/>
      <c r="E282" s="12">
        <f>IF(A282="","",D282*IFERROR(INDEX(Factors!$C$5:$C$34,MATCH(C282,Factors!$A$5:$A$34,0)),0))</f>
        <v/>
      </c>
      <c r="F282" s="13">
        <f>IF(A282="","",IFERROR(INDEX(Factors!$D$5:$D$34,MATCH(C282,Factors!$A$5:$A$34,0)),"UNMATCHED"))</f>
        <v/>
      </c>
    </row>
    <row r="283">
      <c r="A283" s="8" t="n"/>
      <c r="B283" s="8" t="n"/>
      <c r="C283" s="8" t="n"/>
      <c r="D283" s="11" t="n"/>
      <c r="E283" s="12">
        <f>IF(A283="","",D283*IFERROR(INDEX(Factors!$C$5:$C$34,MATCH(C283,Factors!$A$5:$A$34,0)),0))</f>
        <v/>
      </c>
      <c r="F283" s="13">
        <f>IF(A283="","",IFERROR(INDEX(Factors!$D$5:$D$34,MATCH(C283,Factors!$A$5:$A$34,0)),"UNMATCHED"))</f>
        <v/>
      </c>
    </row>
    <row r="284">
      <c r="A284" s="8" t="n"/>
      <c r="B284" s="8" t="n"/>
      <c r="C284" s="8" t="n"/>
      <c r="D284" s="11" t="n"/>
      <c r="E284" s="12">
        <f>IF(A284="","",D284*IFERROR(INDEX(Factors!$C$5:$C$34,MATCH(C284,Factors!$A$5:$A$34,0)),0))</f>
        <v/>
      </c>
      <c r="F284" s="13">
        <f>IF(A284="","",IFERROR(INDEX(Factors!$D$5:$D$34,MATCH(C284,Factors!$A$5:$A$34,0)),"UNMATCHED"))</f>
        <v/>
      </c>
    </row>
    <row r="285">
      <c r="A285" s="8" t="n"/>
      <c r="B285" s="8" t="n"/>
      <c r="C285" s="8" t="n"/>
      <c r="D285" s="11" t="n"/>
      <c r="E285" s="12">
        <f>IF(A285="","",D285*IFERROR(INDEX(Factors!$C$5:$C$34,MATCH(C285,Factors!$A$5:$A$34,0)),0))</f>
        <v/>
      </c>
      <c r="F285" s="13">
        <f>IF(A285="","",IFERROR(INDEX(Factors!$D$5:$D$34,MATCH(C285,Factors!$A$5:$A$34,0)),"UNMATCHED"))</f>
        <v/>
      </c>
    </row>
    <row r="286">
      <c r="A286" s="8" t="n"/>
      <c r="B286" s="8" t="n"/>
      <c r="C286" s="8" t="n"/>
      <c r="D286" s="11" t="n"/>
      <c r="E286" s="12">
        <f>IF(A286="","",D286*IFERROR(INDEX(Factors!$C$5:$C$34,MATCH(C286,Factors!$A$5:$A$34,0)),0))</f>
        <v/>
      </c>
      <c r="F286" s="13">
        <f>IF(A286="","",IFERROR(INDEX(Factors!$D$5:$D$34,MATCH(C286,Factors!$A$5:$A$34,0)),"UNMATCHED"))</f>
        <v/>
      </c>
    </row>
    <row r="287">
      <c r="A287" s="8" t="n"/>
      <c r="B287" s="8" t="n"/>
      <c r="C287" s="8" t="n"/>
      <c r="D287" s="11" t="n"/>
      <c r="E287" s="12">
        <f>IF(A287="","",D287*IFERROR(INDEX(Factors!$C$5:$C$34,MATCH(C287,Factors!$A$5:$A$34,0)),0))</f>
        <v/>
      </c>
      <c r="F287" s="13">
        <f>IF(A287="","",IFERROR(INDEX(Factors!$D$5:$D$34,MATCH(C287,Factors!$A$5:$A$34,0)),"UNMATCHED"))</f>
        <v/>
      </c>
    </row>
    <row r="288">
      <c r="A288" s="8" t="n"/>
      <c r="B288" s="8" t="n"/>
      <c r="C288" s="8" t="n"/>
      <c r="D288" s="11" t="n"/>
      <c r="E288" s="12">
        <f>IF(A288="","",D288*IFERROR(INDEX(Factors!$C$5:$C$34,MATCH(C288,Factors!$A$5:$A$34,0)),0))</f>
        <v/>
      </c>
      <c r="F288" s="13">
        <f>IF(A288="","",IFERROR(INDEX(Factors!$D$5:$D$34,MATCH(C288,Factors!$A$5:$A$34,0)),"UNMATCHED"))</f>
        <v/>
      </c>
    </row>
    <row r="289">
      <c r="A289" s="8" t="n"/>
      <c r="B289" s="8" t="n"/>
      <c r="C289" s="8" t="n"/>
      <c r="D289" s="11" t="n"/>
      <c r="E289" s="12">
        <f>IF(A289="","",D289*IFERROR(INDEX(Factors!$C$5:$C$34,MATCH(C289,Factors!$A$5:$A$34,0)),0))</f>
        <v/>
      </c>
      <c r="F289" s="13">
        <f>IF(A289="","",IFERROR(INDEX(Factors!$D$5:$D$34,MATCH(C289,Factors!$A$5:$A$34,0)),"UNMATCHED"))</f>
        <v/>
      </c>
    </row>
    <row r="290">
      <c r="A290" s="8" t="n"/>
      <c r="B290" s="8" t="n"/>
      <c r="C290" s="8" t="n"/>
      <c r="D290" s="11" t="n"/>
      <c r="E290" s="12">
        <f>IF(A290="","",D290*IFERROR(INDEX(Factors!$C$5:$C$34,MATCH(C290,Factors!$A$5:$A$34,0)),0))</f>
        <v/>
      </c>
      <c r="F290" s="13">
        <f>IF(A290="","",IFERROR(INDEX(Factors!$D$5:$D$34,MATCH(C290,Factors!$A$5:$A$34,0)),"UNMATCHED"))</f>
        <v/>
      </c>
    </row>
    <row r="291">
      <c r="A291" s="8" t="n"/>
      <c r="B291" s="8" t="n"/>
      <c r="C291" s="8" t="n"/>
      <c r="D291" s="11" t="n"/>
      <c r="E291" s="12">
        <f>IF(A291="","",D291*IFERROR(INDEX(Factors!$C$5:$C$34,MATCH(C291,Factors!$A$5:$A$34,0)),0))</f>
        <v/>
      </c>
      <c r="F291" s="13">
        <f>IF(A291="","",IFERROR(INDEX(Factors!$D$5:$D$34,MATCH(C291,Factors!$A$5:$A$34,0)),"UNMATCHED"))</f>
        <v/>
      </c>
    </row>
    <row r="292">
      <c r="A292" s="8" t="n"/>
      <c r="B292" s="8" t="n"/>
      <c r="C292" s="8" t="n"/>
      <c r="D292" s="11" t="n"/>
      <c r="E292" s="12">
        <f>IF(A292="","",D292*IFERROR(INDEX(Factors!$C$5:$C$34,MATCH(C292,Factors!$A$5:$A$34,0)),0))</f>
        <v/>
      </c>
      <c r="F292" s="13">
        <f>IF(A292="","",IFERROR(INDEX(Factors!$D$5:$D$34,MATCH(C292,Factors!$A$5:$A$34,0)),"UNMATCHED"))</f>
        <v/>
      </c>
    </row>
    <row r="293">
      <c r="A293" s="8" t="n"/>
      <c r="B293" s="8" t="n"/>
      <c r="C293" s="8" t="n"/>
      <c r="D293" s="11" t="n"/>
      <c r="E293" s="12">
        <f>IF(A293="","",D293*IFERROR(INDEX(Factors!$C$5:$C$34,MATCH(C293,Factors!$A$5:$A$34,0)),0))</f>
        <v/>
      </c>
      <c r="F293" s="13">
        <f>IF(A293="","",IFERROR(INDEX(Factors!$D$5:$D$34,MATCH(C293,Factors!$A$5:$A$34,0)),"UNMATCHED"))</f>
        <v/>
      </c>
    </row>
    <row r="294">
      <c r="A294" s="8" t="n"/>
      <c r="B294" s="8" t="n"/>
      <c r="C294" s="8" t="n"/>
      <c r="D294" s="11" t="n"/>
      <c r="E294" s="12">
        <f>IF(A294="","",D294*IFERROR(INDEX(Factors!$C$5:$C$34,MATCH(C294,Factors!$A$5:$A$34,0)),0))</f>
        <v/>
      </c>
      <c r="F294" s="13">
        <f>IF(A294="","",IFERROR(INDEX(Factors!$D$5:$D$34,MATCH(C294,Factors!$A$5:$A$34,0)),"UNMATCHED"))</f>
        <v/>
      </c>
    </row>
    <row r="295">
      <c r="A295" s="8" t="n"/>
      <c r="B295" s="8" t="n"/>
      <c r="C295" s="8" t="n"/>
      <c r="D295" s="11" t="n"/>
      <c r="E295" s="12">
        <f>IF(A295="","",D295*IFERROR(INDEX(Factors!$C$5:$C$34,MATCH(C295,Factors!$A$5:$A$34,0)),0))</f>
        <v/>
      </c>
      <c r="F295" s="13">
        <f>IF(A295="","",IFERROR(INDEX(Factors!$D$5:$D$34,MATCH(C295,Factors!$A$5:$A$34,0)),"UNMATCHED"))</f>
        <v/>
      </c>
    </row>
    <row r="296">
      <c r="A296" s="8" t="n"/>
      <c r="B296" s="8" t="n"/>
      <c r="C296" s="8" t="n"/>
      <c r="D296" s="11" t="n"/>
      <c r="E296" s="12">
        <f>IF(A296="","",D296*IFERROR(INDEX(Factors!$C$5:$C$34,MATCH(C296,Factors!$A$5:$A$34,0)),0))</f>
        <v/>
      </c>
      <c r="F296" s="13">
        <f>IF(A296="","",IFERROR(INDEX(Factors!$D$5:$D$34,MATCH(C296,Factors!$A$5:$A$34,0)),"UNMATCHED"))</f>
        <v/>
      </c>
    </row>
    <row r="297">
      <c r="A297" s="8" t="n"/>
      <c r="B297" s="8" t="n"/>
      <c r="C297" s="8" t="n"/>
      <c r="D297" s="11" t="n"/>
      <c r="E297" s="12">
        <f>IF(A297="","",D297*IFERROR(INDEX(Factors!$C$5:$C$34,MATCH(C297,Factors!$A$5:$A$34,0)),0))</f>
        <v/>
      </c>
      <c r="F297" s="13">
        <f>IF(A297="","",IFERROR(INDEX(Factors!$D$5:$D$34,MATCH(C297,Factors!$A$5:$A$34,0)),"UNMATCHED"))</f>
        <v/>
      </c>
    </row>
    <row r="298">
      <c r="A298" s="8" t="n"/>
      <c r="B298" s="8" t="n"/>
      <c r="C298" s="8" t="n"/>
      <c r="D298" s="11" t="n"/>
      <c r="E298" s="12">
        <f>IF(A298="","",D298*IFERROR(INDEX(Factors!$C$5:$C$34,MATCH(C298,Factors!$A$5:$A$34,0)),0))</f>
        <v/>
      </c>
      <c r="F298" s="13">
        <f>IF(A298="","",IFERROR(INDEX(Factors!$D$5:$D$34,MATCH(C298,Factors!$A$5:$A$34,0)),"UNMATCHED"))</f>
        <v/>
      </c>
    </row>
    <row r="299">
      <c r="A299" s="8" t="n"/>
      <c r="B299" s="8" t="n"/>
      <c r="C299" s="8" t="n"/>
      <c r="D299" s="11" t="n"/>
      <c r="E299" s="12">
        <f>IF(A299="","",D299*IFERROR(INDEX(Factors!$C$5:$C$34,MATCH(C299,Factors!$A$5:$A$34,0)),0))</f>
        <v/>
      </c>
      <c r="F299" s="13">
        <f>IF(A299="","",IFERROR(INDEX(Factors!$D$5:$D$34,MATCH(C299,Factors!$A$5:$A$34,0)),"UNMATCHED"))</f>
        <v/>
      </c>
    </row>
    <row r="300">
      <c r="A300" s="8" t="n"/>
      <c r="B300" s="8" t="n"/>
      <c r="C300" s="8" t="n"/>
      <c r="D300" s="11" t="n"/>
      <c r="E300" s="12">
        <f>IF(A300="","",D300*IFERROR(INDEX(Factors!$C$5:$C$34,MATCH(C300,Factors!$A$5:$A$34,0)),0))</f>
        <v/>
      </c>
      <c r="F300" s="13">
        <f>IF(A300="","",IFERROR(INDEX(Factors!$D$5:$D$34,MATCH(C300,Factors!$A$5:$A$34,0)),"UNMATCHED"))</f>
        <v/>
      </c>
    </row>
    <row r="301">
      <c r="A301" s="8" t="n"/>
      <c r="B301" s="8" t="n"/>
      <c r="C301" s="8" t="n"/>
      <c r="D301" s="11" t="n"/>
      <c r="E301" s="12">
        <f>IF(A301="","",D301*IFERROR(INDEX(Factors!$C$5:$C$34,MATCH(C301,Factors!$A$5:$A$34,0)),0))</f>
        <v/>
      </c>
      <c r="F301" s="13">
        <f>IF(A301="","",IFERROR(INDEX(Factors!$D$5:$D$34,MATCH(C301,Factors!$A$5:$A$34,0)),"UNMATCHED"))</f>
        <v/>
      </c>
    </row>
    <row r="302">
      <c r="A302" s="8" t="n"/>
      <c r="B302" s="8" t="n"/>
      <c r="C302" s="8" t="n"/>
      <c r="D302" s="11" t="n"/>
      <c r="E302" s="12">
        <f>IF(A302="","",D302*IFERROR(INDEX(Factors!$C$5:$C$34,MATCH(C302,Factors!$A$5:$A$34,0)),0))</f>
        <v/>
      </c>
      <c r="F302" s="13">
        <f>IF(A302="","",IFERROR(INDEX(Factors!$D$5:$D$34,MATCH(C302,Factors!$A$5:$A$34,0)),"UNMATCHED"))</f>
        <v/>
      </c>
    </row>
    <row r="303">
      <c r="A303" s="8" t="n"/>
      <c r="B303" s="8" t="n"/>
      <c r="C303" s="8" t="n"/>
      <c r="D303" s="11" t="n"/>
      <c r="E303" s="12">
        <f>IF(A303="","",D303*IFERROR(INDEX(Factors!$C$5:$C$34,MATCH(C303,Factors!$A$5:$A$34,0)),0))</f>
        <v/>
      </c>
      <c r="F303" s="13">
        <f>IF(A303="","",IFERROR(INDEX(Factors!$D$5:$D$34,MATCH(C303,Factors!$A$5:$A$34,0)),"UNMATCHED"))</f>
        <v/>
      </c>
    </row>
    <row r="304">
      <c r="A304" s="8" t="n"/>
      <c r="B304" s="8" t="n"/>
      <c r="C304" s="8" t="n"/>
      <c r="D304" s="11" t="n"/>
      <c r="E304" s="12">
        <f>IF(A304="","",D304*IFERROR(INDEX(Factors!$C$5:$C$34,MATCH(C304,Factors!$A$5:$A$34,0)),0))</f>
        <v/>
      </c>
      <c r="F304" s="13">
        <f>IF(A304="","",IFERROR(INDEX(Factors!$D$5:$D$34,MATCH(C304,Factors!$A$5:$A$34,0)),"UNMATCHED"))</f>
        <v/>
      </c>
    </row>
    <row r="305">
      <c r="A305" s="8" t="n"/>
      <c r="B305" s="8" t="n"/>
      <c r="C305" s="8" t="n"/>
      <c r="D305" s="11" t="n"/>
      <c r="E305" s="12">
        <f>IF(A305="","",D305*IFERROR(INDEX(Factors!$C$5:$C$34,MATCH(C305,Factors!$A$5:$A$34,0)),0))</f>
        <v/>
      </c>
      <c r="F305" s="13">
        <f>IF(A305="","",IFERROR(INDEX(Factors!$D$5:$D$34,MATCH(C305,Factors!$A$5:$A$34,0)),"UNMATCHED"))</f>
        <v/>
      </c>
    </row>
    <row r="306">
      <c r="A306" s="8" t="n"/>
      <c r="B306" s="8" t="n"/>
      <c r="C306" s="8" t="n"/>
      <c r="D306" s="11" t="n"/>
      <c r="E306" s="12">
        <f>IF(A306="","",D306*IFERROR(INDEX(Factors!$C$5:$C$34,MATCH(C306,Factors!$A$5:$A$34,0)),0))</f>
        <v/>
      </c>
      <c r="F306" s="13">
        <f>IF(A306="","",IFERROR(INDEX(Factors!$D$5:$D$34,MATCH(C306,Factors!$A$5:$A$34,0)),"UNMATCHED"))</f>
        <v/>
      </c>
    </row>
    <row r="307">
      <c r="A307" s="8" t="n"/>
      <c r="B307" s="8" t="n"/>
      <c r="C307" s="8" t="n"/>
      <c r="D307" s="11" t="n"/>
      <c r="E307" s="12">
        <f>IF(A307="","",D307*IFERROR(INDEX(Factors!$C$5:$C$34,MATCH(C307,Factors!$A$5:$A$34,0)),0))</f>
        <v/>
      </c>
      <c r="F307" s="13">
        <f>IF(A307="","",IFERROR(INDEX(Factors!$D$5:$D$34,MATCH(C307,Factors!$A$5:$A$34,0)),"UNMATCHED"))</f>
        <v/>
      </c>
    </row>
    <row r="308">
      <c r="A308" s="8" t="n"/>
      <c r="B308" s="8" t="n"/>
      <c r="C308" s="8" t="n"/>
      <c r="D308" s="11" t="n"/>
      <c r="E308" s="12">
        <f>IF(A308="","",D308*IFERROR(INDEX(Factors!$C$5:$C$34,MATCH(C308,Factors!$A$5:$A$34,0)),0))</f>
        <v/>
      </c>
      <c r="F308" s="13">
        <f>IF(A308="","",IFERROR(INDEX(Factors!$D$5:$D$34,MATCH(C308,Factors!$A$5:$A$34,0)),"UNMATCHED"))</f>
        <v/>
      </c>
    </row>
    <row r="309">
      <c r="A309" s="8" t="n"/>
      <c r="B309" s="8" t="n"/>
      <c r="C309" s="8" t="n"/>
      <c r="D309" s="11" t="n"/>
      <c r="E309" s="12">
        <f>IF(A309="","",D309*IFERROR(INDEX(Factors!$C$5:$C$34,MATCH(C309,Factors!$A$5:$A$34,0)),0))</f>
        <v/>
      </c>
      <c r="F309" s="13">
        <f>IF(A309="","",IFERROR(INDEX(Factors!$D$5:$D$34,MATCH(C309,Factors!$A$5:$A$34,0)),"UNMATCHED"))</f>
        <v/>
      </c>
    </row>
    <row r="310">
      <c r="A310" s="8" t="n"/>
      <c r="B310" s="8" t="n"/>
      <c r="C310" s="8" t="n"/>
      <c r="D310" s="11" t="n"/>
      <c r="E310" s="12">
        <f>IF(A310="","",D310*IFERROR(INDEX(Factors!$C$5:$C$34,MATCH(C310,Factors!$A$5:$A$34,0)),0))</f>
        <v/>
      </c>
      <c r="F310" s="13">
        <f>IF(A310="","",IFERROR(INDEX(Factors!$D$5:$D$34,MATCH(C310,Factors!$A$5:$A$34,0)),"UNMATCHED"))</f>
        <v/>
      </c>
    </row>
    <row r="311">
      <c r="A311" s="8" t="n"/>
      <c r="B311" s="8" t="n"/>
      <c r="C311" s="8" t="n"/>
      <c r="D311" s="11" t="n"/>
      <c r="E311" s="12">
        <f>IF(A311="","",D311*IFERROR(INDEX(Factors!$C$5:$C$34,MATCH(C311,Factors!$A$5:$A$34,0)),0))</f>
        <v/>
      </c>
      <c r="F311" s="13">
        <f>IF(A311="","",IFERROR(INDEX(Factors!$D$5:$D$34,MATCH(C311,Factors!$A$5:$A$34,0)),"UNMATCHED"))</f>
        <v/>
      </c>
    </row>
    <row r="312">
      <c r="A312" s="8" t="n"/>
      <c r="B312" s="8" t="n"/>
      <c r="C312" s="8" t="n"/>
      <c r="D312" s="11" t="n"/>
      <c r="E312" s="12">
        <f>IF(A312="","",D312*IFERROR(INDEX(Factors!$C$5:$C$34,MATCH(C312,Factors!$A$5:$A$34,0)),0))</f>
        <v/>
      </c>
      <c r="F312" s="13">
        <f>IF(A312="","",IFERROR(INDEX(Factors!$D$5:$D$34,MATCH(C312,Factors!$A$5:$A$34,0)),"UNMATCHED"))</f>
        <v/>
      </c>
    </row>
    <row r="313">
      <c r="A313" s="8" t="n"/>
      <c r="B313" s="8" t="n"/>
      <c r="C313" s="8" t="n"/>
      <c r="D313" s="11" t="n"/>
      <c r="E313" s="12">
        <f>IF(A313="","",D313*IFERROR(INDEX(Factors!$C$5:$C$34,MATCH(C313,Factors!$A$5:$A$34,0)),0))</f>
        <v/>
      </c>
      <c r="F313" s="13">
        <f>IF(A313="","",IFERROR(INDEX(Factors!$D$5:$D$34,MATCH(C313,Factors!$A$5:$A$34,0)),"UNMATCHED"))</f>
        <v/>
      </c>
    </row>
    <row r="314">
      <c r="A314" s="8" t="n"/>
      <c r="B314" s="8" t="n"/>
      <c r="C314" s="8" t="n"/>
      <c r="D314" s="11" t="n"/>
      <c r="E314" s="12">
        <f>IF(A314="","",D314*IFERROR(INDEX(Factors!$C$5:$C$34,MATCH(C314,Factors!$A$5:$A$34,0)),0))</f>
        <v/>
      </c>
      <c r="F314" s="13">
        <f>IF(A314="","",IFERROR(INDEX(Factors!$D$5:$D$34,MATCH(C314,Factors!$A$5:$A$34,0)),"UNMATCHED"))</f>
        <v/>
      </c>
    </row>
    <row r="315">
      <c r="A315" s="8" t="n"/>
      <c r="B315" s="8" t="n"/>
      <c r="C315" s="8" t="n"/>
      <c r="D315" s="11" t="n"/>
      <c r="E315" s="12">
        <f>IF(A315="","",D315*IFERROR(INDEX(Factors!$C$5:$C$34,MATCH(C315,Factors!$A$5:$A$34,0)),0))</f>
        <v/>
      </c>
      <c r="F315" s="13">
        <f>IF(A315="","",IFERROR(INDEX(Factors!$D$5:$D$34,MATCH(C315,Factors!$A$5:$A$34,0)),"UNMATCHED"))</f>
        <v/>
      </c>
    </row>
    <row r="316">
      <c r="A316" s="8" t="n"/>
      <c r="B316" s="8" t="n"/>
      <c r="C316" s="8" t="n"/>
      <c r="D316" s="11" t="n"/>
      <c r="E316" s="12">
        <f>IF(A316="","",D316*IFERROR(INDEX(Factors!$C$5:$C$34,MATCH(C316,Factors!$A$5:$A$34,0)),0))</f>
        <v/>
      </c>
      <c r="F316" s="13">
        <f>IF(A316="","",IFERROR(INDEX(Factors!$D$5:$D$34,MATCH(C316,Factors!$A$5:$A$34,0)),"UNMATCHED"))</f>
        <v/>
      </c>
    </row>
    <row r="317">
      <c r="A317" s="8" t="n"/>
      <c r="B317" s="8" t="n"/>
      <c r="C317" s="8" t="n"/>
      <c r="D317" s="11" t="n"/>
      <c r="E317" s="12">
        <f>IF(A317="","",D317*IFERROR(INDEX(Factors!$C$5:$C$34,MATCH(C317,Factors!$A$5:$A$34,0)),0))</f>
        <v/>
      </c>
      <c r="F317" s="13">
        <f>IF(A317="","",IFERROR(INDEX(Factors!$D$5:$D$34,MATCH(C317,Factors!$A$5:$A$34,0)),"UNMATCHED"))</f>
        <v/>
      </c>
    </row>
    <row r="318">
      <c r="A318" s="8" t="n"/>
      <c r="B318" s="8" t="n"/>
      <c r="C318" s="8" t="n"/>
      <c r="D318" s="11" t="n"/>
      <c r="E318" s="12">
        <f>IF(A318="","",D318*IFERROR(INDEX(Factors!$C$5:$C$34,MATCH(C318,Factors!$A$5:$A$34,0)),0))</f>
        <v/>
      </c>
      <c r="F318" s="13">
        <f>IF(A318="","",IFERROR(INDEX(Factors!$D$5:$D$34,MATCH(C318,Factors!$A$5:$A$34,0)),"UNMATCHED"))</f>
        <v/>
      </c>
    </row>
    <row r="319">
      <c r="A319" s="8" t="n"/>
      <c r="B319" s="8" t="n"/>
      <c r="C319" s="8" t="n"/>
      <c r="D319" s="11" t="n"/>
      <c r="E319" s="12">
        <f>IF(A319="","",D319*IFERROR(INDEX(Factors!$C$5:$C$34,MATCH(C319,Factors!$A$5:$A$34,0)),0))</f>
        <v/>
      </c>
      <c r="F319" s="13">
        <f>IF(A319="","",IFERROR(INDEX(Factors!$D$5:$D$34,MATCH(C319,Factors!$A$5:$A$34,0)),"UNMATCHED"))</f>
        <v/>
      </c>
    </row>
    <row r="320">
      <c r="A320" s="8" t="n"/>
      <c r="B320" s="8" t="n"/>
      <c r="C320" s="8" t="n"/>
      <c r="D320" s="11" t="n"/>
      <c r="E320" s="12">
        <f>IF(A320="","",D320*IFERROR(INDEX(Factors!$C$5:$C$34,MATCH(C320,Factors!$A$5:$A$34,0)),0))</f>
        <v/>
      </c>
      <c r="F320" s="13">
        <f>IF(A320="","",IFERROR(INDEX(Factors!$D$5:$D$34,MATCH(C320,Factors!$A$5:$A$34,0)),"UNMATCHED"))</f>
        <v/>
      </c>
    </row>
    <row r="321">
      <c r="A321" s="8" t="n"/>
      <c r="B321" s="8" t="n"/>
      <c r="C321" s="8" t="n"/>
      <c r="D321" s="11" t="n"/>
      <c r="E321" s="12">
        <f>IF(A321="","",D321*IFERROR(INDEX(Factors!$C$5:$C$34,MATCH(C321,Factors!$A$5:$A$34,0)),0))</f>
        <v/>
      </c>
      <c r="F321" s="13">
        <f>IF(A321="","",IFERROR(INDEX(Factors!$D$5:$D$34,MATCH(C321,Factors!$A$5:$A$34,0)),"UNMATCHED"))</f>
        <v/>
      </c>
    </row>
    <row r="322">
      <c r="A322" s="8" t="n"/>
      <c r="B322" s="8" t="n"/>
      <c r="C322" s="8" t="n"/>
      <c r="D322" s="11" t="n"/>
      <c r="E322" s="12">
        <f>IF(A322="","",D322*IFERROR(INDEX(Factors!$C$5:$C$34,MATCH(C322,Factors!$A$5:$A$34,0)),0))</f>
        <v/>
      </c>
      <c r="F322" s="13">
        <f>IF(A322="","",IFERROR(INDEX(Factors!$D$5:$D$34,MATCH(C322,Factors!$A$5:$A$34,0)),"UNMATCHED"))</f>
        <v/>
      </c>
    </row>
    <row r="323">
      <c r="A323" s="8" t="n"/>
      <c r="B323" s="8" t="n"/>
      <c r="C323" s="8" t="n"/>
      <c r="D323" s="11" t="n"/>
      <c r="E323" s="12">
        <f>IF(A323="","",D323*IFERROR(INDEX(Factors!$C$5:$C$34,MATCH(C323,Factors!$A$5:$A$34,0)),0))</f>
        <v/>
      </c>
      <c r="F323" s="13">
        <f>IF(A323="","",IFERROR(INDEX(Factors!$D$5:$D$34,MATCH(C323,Factors!$A$5:$A$34,0)),"UNMATCHED"))</f>
        <v/>
      </c>
    </row>
    <row r="324">
      <c r="A324" s="8" t="n"/>
      <c r="B324" s="8" t="n"/>
      <c r="C324" s="8" t="n"/>
      <c r="D324" s="11" t="n"/>
      <c r="E324" s="12">
        <f>IF(A324="","",D324*IFERROR(INDEX(Factors!$C$5:$C$34,MATCH(C324,Factors!$A$5:$A$34,0)),0))</f>
        <v/>
      </c>
      <c r="F324" s="13">
        <f>IF(A324="","",IFERROR(INDEX(Factors!$D$5:$D$34,MATCH(C324,Factors!$A$5:$A$34,0)),"UNMATCHED"))</f>
        <v/>
      </c>
    </row>
    <row r="325">
      <c r="A325" s="8" t="n"/>
      <c r="B325" s="8" t="n"/>
      <c r="C325" s="8" t="n"/>
      <c r="D325" s="11" t="n"/>
      <c r="E325" s="12">
        <f>IF(A325="","",D325*IFERROR(INDEX(Factors!$C$5:$C$34,MATCH(C325,Factors!$A$5:$A$34,0)),0))</f>
        <v/>
      </c>
      <c r="F325" s="13">
        <f>IF(A325="","",IFERROR(INDEX(Factors!$D$5:$D$34,MATCH(C325,Factors!$A$5:$A$34,0)),"UNMATCHED"))</f>
        <v/>
      </c>
    </row>
    <row r="326">
      <c r="A326" s="8" t="n"/>
      <c r="B326" s="8" t="n"/>
      <c r="C326" s="8" t="n"/>
      <c r="D326" s="11" t="n"/>
      <c r="E326" s="12">
        <f>IF(A326="","",D326*IFERROR(INDEX(Factors!$C$5:$C$34,MATCH(C326,Factors!$A$5:$A$34,0)),0))</f>
        <v/>
      </c>
      <c r="F326" s="13">
        <f>IF(A326="","",IFERROR(INDEX(Factors!$D$5:$D$34,MATCH(C326,Factors!$A$5:$A$34,0)),"UNMATCHED"))</f>
        <v/>
      </c>
    </row>
    <row r="327">
      <c r="A327" s="8" t="n"/>
      <c r="B327" s="8" t="n"/>
      <c r="C327" s="8" t="n"/>
      <c r="D327" s="11" t="n"/>
      <c r="E327" s="12">
        <f>IF(A327="","",D327*IFERROR(INDEX(Factors!$C$5:$C$34,MATCH(C327,Factors!$A$5:$A$34,0)),0))</f>
        <v/>
      </c>
      <c r="F327" s="13">
        <f>IF(A327="","",IFERROR(INDEX(Factors!$D$5:$D$34,MATCH(C327,Factors!$A$5:$A$34,0)),"UNMATCHED"))</f>
        <v/>
      </c>
    </row>
    <row r="328">
      <c r="A328" s="8" t="n"/>
      <c r="B328" s="8" t="n"/>
      <c r="C328" s="8" t="n"/>
      <c r="D328" s="11" t="n"/>
      <c r="E328" s="12">
        <f>IF(A328="","",D328*IFERROR(INDEX(Factors!$C$5:$C$34,MATCH(C328,Factors!$A$5:$A$34,0)),0))</f>
        <v/>
      </c>
      <c r="F328" s="13">
        <f>IF(A328="","",IFERROR(INDEX(Factors!$D$5:$D$34,MATCH(C328,Factors!$A$5:$A$34,0)),"UNMATCHED"))</f>
        <v/>
      </c>
    </row>
    <row r="329">
      <c r="A329" s="8" t="n"/>
      <c r="B329" s="8" t="n"/>
      <c r="C329" s="8" t="n"/>
      <c r="D329" s="11" t="n"/>
      <c r="E329" s="12">
        <f>IF(A329="","",D329*IFERROR(INDEX(Factors!$C$5:$C$34,MATCH(C329,Factors!$A$5:$A$34,0)),0))</f>
        <v/>
      </c>
      <c r="F329" s="13">
        <f>IF(A329="","",IFERROR(INDEX(Factors!$D$5:$D$34,MATCH(C329,Factors!$A$5:$A$34,0)),"UNMATCHED"))</f>
        <v/>
      </c>
    </row>
    <row r="330">
      <c r="A330" s="8" t="n"/>
      <c r="B330" s="8" t="n"/>
      <c r="C330" s="8" t="n"/>
      <c r="D330" s="11" t="n"/>
      <c r="E330" s="12">
        <f>IF(A330="","",D330*IFERROR(INDEX(Factors!$C$5:$C$34,MATCH(C330,Factors!$A$5:$A$34,0)),0))</f>
        <v/>
      </c>
      <c r="F330" s="13">
        <f>IF(A330="","",IFERROR(INDEX(Factors!$D$5:$D$34,MATCH(C330,Factors!$A$5:$A$34,0)),"UNMATCHED"))</f>
        <v/>
      </c>
    </row>
    <row r="331">
      <c r="A331" s="8" t="n"/>
      <c r="B331" s="8" t="n"/>
      <c r="C331" s="8" t="n"/>
      <c r="D331" s="11" t="n"/>
      <c r="E331" s="12">
        <f>IF(A331="","",D331*IFERROR(INDEX(Factors!$C$5:$C$34,MATCH(C331,Factors!$A$5:$A$34,0)),0))</f>
        <v/>
      </c>
      <c r="F331" s="13">
        <f>IF(A331="","",IFERROR(INDEX(Factors!$D$5:$D$34,MATCH(C331,Factors!$A$5:$A$34,0)),"UNMATCHED"))</f>
        <v/>
      </c>
    </row>
    <row r="332">
      <c r="A332" s="8" t="n"/>
      <c r="B332" s="8" t="n"/>
      <c r="C332" s="8" t="n"/>
      <c r="D332" s="11" t="n"/>
      <c r="E332" s="12">
        <f>IF(A332="","",D332*IFERROR(INDEX(Factors!$C$5:$C$34,MATCH(C332,Factors!$A$5:$A$34,0)),0))</f>
        <v/>
      </c>
      <c r="F332" s="13">
        <f>IF(A332="","",IFERROR(INDEX(Factors!$D$5:$D$34,MATCH(C332,Factors!$A$5:$A$34,0)),"UNMATCHED"))</f>
        <v/>
      </c>
    </row>
    <row r="333">
      <c r="A333" s="8" t="n"/>
      <c r="B333" s="8" t="n"/>
      <c r="C333" s="8" t="n"/>
      <c r="D333" s="11" t="n"/>
      <c r="E333" s="12">
        <f>IF(A333="","",D333*IFERROR(INDEX(Factors!$C$5:$C$34,MATCH(C333,Factors!$A$5:$A$34,0)),0))</f>
        <v/>
      </c>
      <c r="F333" s="13">
        <f>IF(A333="","",IFERROR(INDEX(Factors!$D$5:$D$34,MATCH(C333,Factors!$A$5:$A$34,0)),"UNMATCHED"))</f>
        <v/>
      </c>
    </row>
    <row r="334">
      <c r="A334" s="8" t="n"/>
      <c r="B334" s="8" t="n"/>
      <c r="C334" s="8" t="n"/>
      <c r="D334" s="11" t="n"/>
      <c r="E334" s="12">
        <f>IF(A334="","",D334*IFERROR(INDEX(Factors!$C$5:$C$34,MATCH(C334,Factors!$A$5:$A$34,0)),0))</f>
        <v/>
      </c>
      <c r="F334" s="13">
        <f>IF(A334="","",IFERROR(INDEX(Factors!$D$5:$D$34,MATCH(C334,Factors!$A$5:$A$34,0)),"UNMATCHED"))</f>
        <v/>
      </c>
    </row>
    <row r="335">
      <c r="A335" s="8" t="n"/>
      <c r="B335" s="8" t="n"/>
      <c r="C335" s="8" t="n"/>
      <c r="D335" s="11" t="n"/>
      <c r="E335" s="12">
        <f>IF(A335="","",D335*IFERROR(INDEX(Factors!$C$5:$C$34,MATCH(C335,Factors!$A$5:$A$34,0)),0))</f>
        <v/>
      </c>
      <c r="F335" s="13">
        <f>IF(A335="","",IFERROR(INDEX(Factors!$D$5:$D$34,MATCH(C335,Factors!$A$5:$A$34,0)),"UNMATCHED"))</f>
        <v/>
      </c>
    </row>
    <row r="336">
      <c r="A336" s="8" t="n"/>
      <c r="B336" s="8" t="n"/>
      <c r="C336" s="8" t="n"/>
      <c r="D336" s="11" t="n"/>
      <c r="E336" s="12">
        <f>IF(A336="","",D336*IFERROR(INDEX(Factors!$C$5:$C$34,MATCH(C336,Factors!$A$5:$A$34,0)),0))</f>
        <v/>
      </c>
      <c r="F336" s="13">
        <f>IF(A336="","",IFERROR(INDEX(Factors!$D$5:$D$34,MATCH(C336,Factors!$A$5:$A$34,0)),"UNMATCHED"))</f>
        <v/>
      </c>
    </row>
    <row r="337">
      <c r="A337" s="8" t="n"/>
      <c r="B337" s="8" t="n"/>
      <c r="C337" s="8" t="n"/>
      <c r="D337" s="11" t="n"/>
      <c r="E337" s="12">
        <f>IF(A337="","",D337*IFERROR(INDEX(Factors!$C$5:$C$34,MATCH(C337,Factors!$A$5:$A$34,0)),0))</f>
        <v/>
      </c>
      <c r="F337" s="13">
        <f>IF(A337="","",IFERROR(INDEX(Factors!$D$5:$D$34,MATCH(C337,Factors!$A$5:$A$34,0)),"UNMATCHED"))</f>
        <v/>
      </c>
    </row>
    <row r="338">
      <c r="A338" s="8" t="n"/>
      <c r="B338" s="8" t="n"/>
      <c r="C338" s="8" t="n"/>
      <c r="D338" s="11" t="n"/>
      <c r="E338" s="12">
        <f>IF(A338="","",D338*IFERROR(INDEX(Factors!$C$5:$C$34,MATCH(C338,Factors!$A$5:$A$34,0)),0))</f>
        <v/>
      </c>
      <c r="F338" s="13">
        <f>IF(A338="","",IFERROR(INDEX(Factors!$D$5:$D$34,MATCH(C338,Factors!$A$5:$A$34,0)),"UNMATCHED"))</f>
        <v/>
      </c>
    </row>
    <row r="339">
      <c r="A339" s="8" t="n"/>
      <c r="B339" s="8" t="n"/>
      <c r="C339" s="8" t="n"/>
      <c r="D339" s="11" t="n"/>
      <c r="E339" s="12">
        <f>IF(A339="","",D339*IFERROR(INDEX(Factors!$C$5:$C$34,MATCH(C339,Factors!$A$5:$A$34,0)),0))</f>
        <v/>
      </c>
      <c r="F339" s="13">
        <f>IF(A339="","",IFERROR(INDEX(Factors!$D$5:$D$34,MATCH(C339,Factors!$A$5:$A$34,0)),"UNMATCHED"))</f>
        <v/>
      </c>
    </row>
    <row r="340">
      <c r="A340" s="8" t="n"/>
      <c r="B340" s="8" t="n"/>
      <c r="C340" s="8" t="n"/>
      <c r="D340" s="11" t="n"/>
      <c r="E340" s="12">
        <f>IF(A340="","",D340*IFERROR(INDEX(Factors!$C$5:$C$34,MATCH(C340,Factors!$A$5:$A$34,0)),0))</f>
        <v/>
      </c>
      <c r="F340" s="13">
        <f>IF(A340="","",IFERROR(INDEX(Factors!$D$5:$D$34,MATCH(C340,Factors!$A$5:$A$34,0)),"UNMATCHED"))</f>
        <v/>
      </c>
    </row>
    <row r="341">
      <c r="A341" s="8" t="n"/>
      <c r="B341" s="8" t="n"/>
      <c r="C341" s="8" t="n"/>
      <c r="D341" s="11" t="n"/>
      <c r="E341" s="12">
        <f>IF(A341="","",D341*IFERROR(INDEX(Factors!$C$5:$C$34,MATCH(C341,Factors!$A$5:$A$34,0)),0))</f>
        <v/>
      </c>
      <c r="F341" s="13">
        <f>IF(A341="","",IFERROR(INDEX(Factors!$D$5:$D$34,MATCH(C341,Factors!$A$5:$A$34,0)),"UNMATCHED"))</f>
        <v/>
      </c>
    </row>
    <row r="342">
      <c r="A342" s="8" t="n"/>
      <c r="B342" s="8" t="n"/>
      <c r="C342" s="8" t="n"/>
      <c r="D342" s="11" t="n"/>
      <c r="E342" s="12">
        <f>IF(A342="","",D342*IFERROR(INDEX(Factors!$C$5:$C$34,MATCH(C342,Factors!$A$5:$A$34,0)),0))</f>
        <v/>
      </c>
      <c r="F342" s="13">
        <f>IF(A342="","",IFERROR(INDEX(Factors!$D$5:$D$34,MATCH(C342,Factors!$A$5:$A$34,0)),"UNMATCHED"))</f>
        <v/>
      </c>
    </row>
    <row r="343">
      <c r="A343" s="8" t="n"/>
      <c r="B343" s="8" t="n"/>
      <c r="C343" s="8" t="n"/>
      <c r="D343" s="11" t="n"/>
      <c r="E343" s="12">
        <f>IF(A343="","",D343*IFERROR(INDEX(Factors!$C$5:$C$34,MATCH(C343,Factors!$A$5:$A$34,0)),0))</f>
        <v/>
      </c>
      <c r="F343" s="13">
        <f>IF(A343="","",IFERROR(INDEX(Factors!$D$5:$D$34,MATCH(C343,Factors!$A$5:$A$34,0)),"UNMATCHED"))</f>
        <v/>
      </c>
    </row>
    <row r="344">
      <c r="A344" s="8" t="n"/>
      <c r="B344" s="8" t="n"/>
      <c r="C344" s="8" t="n"/>
      <c r="D344" s="11" t="n"/>
      <c r="E344" s="12">
        <f>IF(A344="","",D344*IFERROR(INDEX(Factors!$C$5:$C$34,MATCH(C344,Factors!$A$5:$A$34,0)),0))</f>
        <v/>
      </c>
      <c r="F344" s="13">
        <f>IF(A344="","",IFERROR(INDEX(Factors!$D$5:$D$34,MATCH(C344,Factors!$A$5:$A$34,0)),"UNMATCHED"))</f>
        <v/>
      </c>
    </row>
    <row r="345">
      <c r="A345" s="8" t="n"/>
      <c r="B345" s="8" t="n"/>
      <c r="C345" s="8" t="n"/>
      <c r="D345" s="11" t="n"/>
      <c r="E345" s="12">
        <f>IF(A345="","",D345*IFERROR(INDEX(Factors!$C$5:$C$34,MATCH(C345,Factors!$A$5:$A$34,0)),0))</f>
        <v/>
      </c>
      <c r="F345" s="13">
        <f>IF(A345="","",IFERROR(INDEX(Factors!$D$5:$D$34,MATCH(C345,Factors!$A$5:$A$34,0)),"UNMATCHED"))</f>
        <v/>
      </c>
    </row>
    <row r="346">
      <c r="A346" s="8" t="n"/>
      <c r="B346" s="8" t="n"/>
      <c r="C346" s="8" t="n"/>
      <c r="D346" s="11" t="n"/>
      <c r="E346" s="12">
        <f>IF(A346="","",D346*IFERROR(INDEX(Factors!$C$5:$C$34,MATCH(C346,Factors!$A$5:$A$34,0)),0))</f>
        <v/>
      </c>
      <c r="F346" s="13">
        <f>IF(A346="","",IFERROR(INDEX(Factors!$D$5:$D$34,MATCH(C346,Factors!$A$5:$A$34,0)),"UNMATCHED"))</f>
        <v/>
      </c>
    </row>
    <row r="347">
      <c r="A347" s="8" t="n"/>
      <c r="B347" s="8" t="n"/>
      <c r="C347" s="8" t="n"/>
      <c r="D347" s="11" t="n"/>
      <c r="E347" s="12">
        <f>IF(A347="","",D347*IFERROR(INDEX(Factors!$C$5:$C$34,MATCH(C347,Factors!$A$5:$A$34,0)),0))</f>
        <v/>
      </c>
      <c r="F347" s="13">
        <f>IF(A347="","",IFERROR(INDEX(Factors!$D$5:$D$34,MATCH(C347,Factors!$A$5:$A$34,0)),"UNMATCHED"))</f>
        <v/>
      </c>
    </row>
    <row r="348">
      <c r="A348" s="8" t="n"/>
      <c r="B348" s="8" t="n"/>
      <c r="C348" s="8" t="n"/>
      <c r="D348" s="11" t="n"/>
      <c r="E348" s="12">
        <f>IF(A348="","",D348*IFERROR(INDEX(Factors!$C$5:$C$34,MATCH(C348,Factors!$A$5:$A$34,0)),0))</f>
        <v/>
      </c>
      <c r="F348" s="13">
        <f>IF(A348="","",IFERROR(INDEX(Factors!$D$5:$D$34,MATCH(C348,Factors!$A$5:$A$34,0)),"UNMATCHED"))</f>
        <v/>
      </c>
    </row>
    <row r="349">
      <c r="A349" s="8" t="n"/>
      <c r="B349" s="8" t="n"/>
      <c r="C349" s="8" t="n"/>
      <c r="D349" s="11" t="n"/>
      <c r="E349" s="12">
        <f>IF(A349="","",D349*IFERROR(INDEX(Factors!$C$5:$C$34,MATCH(C349,Factors!$A$5:$A$34,0)),0))</f>
        <v/>
      </c>
      <c r="F349" s="13">
        <f>IF(A349="","",IFERROR(INDEX(Factors!$D$5:$D$34,MATCH(C349,Factors!$A$5:$A$34,0)),"UNMATCHED"))</f>
        <v/>
      </c>
    </row>
    <row r="350">
      <c r="A350" s="8" t="n"/>
      <c r="B350" s="8" t="n"/>
      <c r="C350" s="8" t="n"/>
      <c r="D350" s="11" t="n"/>
      <c r="E350" s="12">
        <f>IF(A350="","",D350*IFERROR(INDEX(Factors!$C$5:$C$34,MATCH(C350,Factors!$A$5:$A$34,0)),0))</f>
        <v/>
      </c>
      <c r="F350" s="13">
        <f>IF(A350="","",IFERROR(INDEX(Factors!$D$5:$D$34,MATCH(C350,Factors!$A$5:$A$34,0)),"UNMATCHED"))</f>
        <v/>
      </c>
    </row>
    <row r="351">
      <c r="A351" s="8" t="n"/>
      <c r="B351" s="8" t="n"/>
      <c r="C351" s="8" t="n"/>
      <c r="D351" s="11" t="n"/>
      <c r="E351" s="12">
        <f>IF(A351="","",D351*IFERROR(INDEX(Factors!$C$5:$C$34,MATCH(C351,Factors!$A$5:$A$34,0)),0))</f>
        <v/>
      </c>
      <c r="F351" s="13">
        <f>IF(A351="","",IFERROR(INDEX(Factors!$D$5:$D$34,MATCH(C351,Factors!$A$5:$A$34,0)),"UNMATCHED"))</f>
        <v/>
      </c>
    </row>
    <row r="352">
      <c r="A352" s="8" t="n"/>
      <c r="B352" s="8" t="n"/>
      <c r="C352" s="8" t="n"/>
      <c r="D352" s="11" t="n"/>
      <c r="E352" s="12">
        <f>IF(A352="","",D352*IFERROR(INDEX(Factors!$C$5:$C$34,MATCH(C352,Factors!$A$5:$A$34,0)),0))</f>
        <v/>
      </c>
      <c r="F352" s="13">
        <f>IF(A352="","",IFERROR(INDEX(Factors!$D$5:$D$34,MATCH(C352,Factors!$A$5:$A$34,0)),"UNMATCHED"))</f>
        <v/>
      </c>
    </row>
    <row r="353">
      <c r="A353" s="8" t="n"/>
      <c r="B353" s="8" t="n"/>
      <c r="C353" s="8" t="n"/>
      <c r="D353" s="11" t="n"/>
      <c r="E353" s="12">
        <f>IF(A353="","",D353*IFERROR(INDEX(Factors!$C$5:$C$34,MATCH(C353,Factors!$A$5:$A$34,0)),0))</f>
        <v/>
      </c>
      <c r="F353" s="13">
        <f>IF(A353="","",IFERROR(INDEX(Factors!$D$5:$D$34,MATCH(C353,Factors!$A$5:$A$34,0)),"UNMATCHED"))</f>
        <v/>
      </c>
    </row>
    <row r="354">
      <c r="A354" s="8" t="n"/>
      <c r="B354" s="8" t="n"/>
      <c r="C354" s="8" t="n"/>
      <c r="D354" s="11" t="n"/>
      <c r="E354" s="12">
        <f>IF(A354="","",D354*IFERROR(INDEX(Factors!$C$5:$C$34,MATCH(C354,Factors!$A$5:$A$34,0)),0))</f>
        <v/>
      </c>
      <c r="F354" s="13">
        <f>IF(A354="","",IFERROR(INDEX(Factors!$D$5:$D$34,MATCH(C354,Factors!$A$5:$A$34,0)),"UNMATCHED"))</f>
        <v/>
      </c>
    </row>
    <row r="355">
      <c r="A355" s="8" t="n"/>
      <c r="B355" s="8" t="n"/>
      <c r="C355" s="8" t="n"/>
      <c r="D355" s="11" t="n"/>
      <c r="E355" s="12">
        <f>IF(A355="","",D355*IFERROR(INDEX(Factors!$C$5:$C$34,MATCH(C355,Factors!$A$5:$A$34,0)),0))</f>
        <v/>
      </c>
      <c r="F355" s="13">
        <f>IF(A355="","",IFERROR(INDEX(Factors!$D$5:$D$34,MATCH(C355,Factors!$A$5:$A$34,0)),"UNMATCHED"))</f>
        <v/>
      </c>
    </row>
    <row r="356">
      <c r="A356" s="8" t="n"/>
      <c r="B356" s="8" t="n"/>
      <c r="C356" s="8" t="n"/>
      <c r="D356" s="11" t="n"/>
      <c r="E356" s="12">
        <f>IF(A356="","",D356*IFERROR(INDEX(Factors!$C$5:$C$34,MATCH(C356,Factors!$A$5:$A$34,0)),0))</f>
        <v/>
      </c>
      <c r="F356" s="13">
        <f>IF(A356="","",IFERROR(INDEX(Factors!$D$5:$D$34,MATCH(C356,Factors!$A$5:$A$34,0)),"UNMATCHED"))</f>
        <v/>
      </c>
    </row>
    <row r="357">
      <c r="A357" s="8" t="n"/>
      <c r="B357" s="8" t="n"/>
      <c r="C357" s="8" t="n"/>
      <c r="D357" s="11" t="n"/>
      <c r="E357" s="12">
        <f>IF(A357="","",D357*IFERROR(INDEX(Factors!$C$5:$C$34,MATCH(C357,Factors!$A$5:$A$34,0)),0))</f>
        <v/>
      </c>
      <c r="F357" s="13">
        <f>IF(A357="","",IFERROR(INDEX(Factors!$D$5:$D$34,MATCH(C357,Factors!$A$5:$A$34,0)),"UNMATCHED"))</f>
        <v/>
      </c>
    </row>
    <row r="358">
      <c r="A358" s="8" t="n"/>
      <c r="B358" s="8" t="n"/>
      <c r="C358" s="8" t="n"/>
      <c r="D358" s="11" t="n"/>
      <c r="E358" s="12">
        <f>IF(A358="","",D358*IFERROR(INDEX(Factors!$C$5:$C$34,MATCH(C358,Factors!$A$5:$A$34,0)),0))</f>
        <v/>
      </c>
      <c r="F358" s="13">
        <f>IF(A358="","",IFERROR(INDEX(Factors!$D$5:$D$34,MATCH(C358,Factors!$A$5:$A$34,0)),"UNMATCHED"))</f>
        <v/>
      </c>
    </row>
    <row r="359">
      <c r="A359" s="8" t="n"/>
      <c r="B359" s="8" t="n"/>
      <c r="C359" s="8" t="n"/>
      <c r="D359" s="11" t="n"/>
      <c r="E359" s="12">
        <f>IF(A359="","",D359*IFERROR(INDEX(Factors!$C$5:$C$34,MATCH(C359,Factors!$A$5:$A$34,0)),0))</f>
        <v/>
      </c>
      <c r="F359" s="13">
        <f>IF(A359="","",IFERROR(INDEX(Factors!$D$5:$D$34,MATCH(C359,Factors!$A$5:$A$34,0)),"UNMATCHED"))</f>
        <v/>
      </c>
    </row>
    <row r="360">
      <c r="A360" s="8" t="n"/>
      <c r="B360" s="8" t="n"/>
      <c r="C360" s="8" t="n"/>
      <c r="D360" s="11" t="n"/>
      <c r="E360" s="12">
        <f>IF(A360="","",D360*IFERROR(INDEX(Factors!$C$5:$C$34,MATCH(C360,Factors!$A$5:$A$34,0)),0))</f>
        <v/>
      </c>
      <c r="F360" s="13">
        <f>IF(A360="","",IFERROR(INDEX(Factors!$D$5:$D$34,MATCH(C360,Factors!$A$5:$A$34,0)),"UNMATCHED"))</f>
        <v/>
      </c>
    </row>
    <row r="361">
      <c r="A361" s="8" t="n"/>
      <c r="B361" s="8" t="n"/>
      <c r="C361" s="8" t="n"/>
      <c r="D361" s="11" t="n"/>
      <c r="E361" s="12">
        <f>IF(A361="","",D361*IFERROR(INDEX(Factors!$C$5:$C$34,MATCH(C361,Factors!$A$5:$A$34,0)),0))</f>
        <v/>
      </c>
      <c r="F361" s="13">
        <f>IF(A361="","",IFERROR(INDEX(Factors!$D$5:$D$34,MATCH(C361,Factors!$A$5:$A$34,0)),"UNMATCHED"))</f>
        <v/>
      </c>
    </row>
    <row r="362">
      <c r="A362" s="8" t="n"/>
      <c r="B362" s="8" t="n"/>
      <c r="C362" s="8" t="n"/>
      <c r="D362" s="11" t="n"/>
      <c r="E362" s="12">
        <f>IF(A362="","",D362*IFERROR(INDEX(Factors!$C$5:$C$34,MATCH(C362,Factors!$A$5:$A$34,0)),0))</f>
        <v/>
      </c>
      <c r="F362" s="13">
        <f>IF(A362="","",IFERROR(INDEX(Factors!$D$5:$D$34,MATCH(C362,Factors!$A$5:$A$34,0)),"UNMATCHED"))</f>
        <v/>
      </c>
    </row>
    <row r="363">
      <c r="A363" s="8" t="n"/>
      <c r="B363" s="8" t="n"/>
      <c r="C363" s="8" t="n"/>
      <c r="D363" s="11" t="n"/>
      <c r="E363" s="12">
        <f>IF(A363="","",D363*IFERROR(INDEX(Factors!$C$5:$C$34,MATCH(C363,Factors!$A$5:$A$34,0)),0))</f>
        <v/>
      </c>
      <c r="F363" s="13">
        <f>IF(A363="","",IFERROR(INDEX(Factors!$D$5:$D$34,MATCH(C363,Factors!$A$5:$A$34,0)),"UNMATCHED"))</f>
        <v/>
      </c>
    </row>
    <row r="364">
      <c r="A364" s="8" t="n"/>
      <c r="B364" s="8" t="n"/>
      <c r="C364" s="8" t="n"/>
      <c r="D364" s="11" t="n"/>
      <c r="E364" s="12">
        <f>IF(A364="","",D364*IFERROR(INDEX(Factors!$C$5:$C$34,MATCH(C364,Factors!$A$5:$A$34,0)),0))</f>
        <v/>
      </c>
      <c r="F364" s="13">
        <f>IF(A364="","",IFERROR(INDEX(Factors!$D$5:$D$34,MATCH(C364,Factors!$A$5:$A$34,0)),"UNMATCHED"))</f>
        <v/>
      </c>
    </row>
    <row r="365">
      <c r="A365" s="8" t="n"/>
      <c r="B365" s="8" t="n"/>
      <c r="C365" s="8" t="n"/>
      <c r="D365" s="11" t="n"/>
      <c r="E365" s="12">
        <f>IF(A365="","",D365*IFERROR(INDEX(Factors!$C$5:$C$34,MATCH(C365,Factors!$A$5:$A$34,0)),0))</f>
        <v/>
      </c>
      <c r="F365" s="13">
        <f>IF(A365="","",IFERROR(INDEX(Factors!$D$5:$D$34,MATCH(C365,Factors!$A$5:$A$34,0)),"UNMATCHED"))</f>
        <v/>
      </c>
    </row>
    <row r="366">
      <c r="A366" s="8" t="n"/>
      <c r="B366" s="8" t="n"/>
      <c r="C366" s="8" t="n"/>
      <c r="D366" s="11" t="n"/>
      <c r="E366" s="12">
        <f>IF(A366="","",D366*IFERROR(INDEX(Factors!$C$5:$C$34,MATCH(C366,Factors!$A$5:$A$34,0)),0))</f>
        <v/>
      </c>
      <c r="F366" s="13">
        <f>IF(A366="","",IFERROR(INDEX(Factors!$D$5:$D$34,MATCH(C366,Factors!$A$5:$A$34,0)),"UNMATCHED"))</f>
        <v/>
      </c>
    </row>
    <row r="367">
      <c r="A367" s="8" t="n"/>
      <c r="B367" s="8" t="n"/>
      <c r="C367" s="8" t="n"/>
      <c r="D367" s="11" t="n"/>
      <c r="E367" s="12">
        <f>IF(A367="","",D367*IFERROR(INDEX(Factors!$C$5:$C$34,MATCH(C367,Factors!$A$5:$A$34,0)),0))</f>
        <v/>
      </c>
      <c r="F367" s="13">
        <f>IF(A367="","",IFERROR(INDEX(Factors!$D$5:$D$34,MATCH(C367,Factors!$A$5:$A$34,0)),"UNMATCHED"))</f>
        <v/>
      </c>
    </row>
    <row r="368">
      <c r="A368" s="8" t="n"/>
      <c r="B368" s="8" t="n"/>
      <c r="C368" s="8" t="n"/>
      <c r="D368" s="11" t="n"/>
      <c r="E368" s="12">
        <f>IF(A368="","",D368*IFERROR(INDEX(Factors!$C$5:$C$34,MATCH(C368,Factors!$A$5:$A$34,0)),0))</f>
        <v/>
      </c>
      <c r="F368" s="13">
        <f>IF(A368="","",IFERROR(INDEX(Factors!$D$5:$D$34,MATCH(C368,Factors!$A$5:$A$34,0)),"UNMATCHED"))</f>
        <v/>
      </c>
    </row>
    <row r="369">
      <c r="A369" s="8" t="n"/>
      <c r="B369" s="8" t="n"/>
      <c r="C369" s="8" t="n"/>
      <c r="D369" s="11" t="n"/>
      <c r="E369" s="12">
        <f>IF(A369="","",D369*IFERROR(INDEX(Factors!$C$5:$C$34,MATCH(C369,Factors!$A$5:$A$34,0)),0))</f>
        <v/>
      </c>
      <c r="F369" s="13">
        <f>IF(A369="","",IFERROR(INDEX(Factors!$D$5:$D$34,MATCH(C369,Factors!$A$5:$A$34,0)),"UNMATCHED"))</f>
        <v/>
      </c>
    </row>
    <row r="370">
      <c r="A370" s="8" t="n"/>
      <c r="B370" s="8" t="n"/>
      <c r="C370" s="8" t="n"/>
      <c r="D370" s="11" t="n"/>
      <c r="E370" s="12">
        <f>IF(A370="","",D370*IFERROR(INDEX(Factors!$C$5:$C$34,MATCH(C370,Factors!$A$5:$A$34,0)),0))</f>
        <v/>
      </c>
      <c r="F370" s="13">
        <f>IF(A370="","",IFERROR(INDEX(Factors!$D$5:$D$34,MATCH(C370,Factors!$A$5:$A$34,0)),"UNMATCHED"))</f>
        <v/>
      </c>
    </row>
    <row r="371">
      <c r="A371" s="8" t="n"/>
      <c r="B371" s="8" t="n"/>
      <c r="C371" s="8" t="n"/>
      <c r="D371" s="11" t="n"/>
      <c r="E371" s="12">
        <f>IF(A371="","",D371*IFERROR(INDEX(Factors!$C$5:$C$34,MATCH(C371,Factors!$A$5:$A$34,0)),0))</f>
        <v/>
      </c>
      <c r="F371" s="13">
        <f>IF(A371="","",IFERROR(INDEX(Factors!$D$5:$D$34,MATCH(C371,Factors!$A$5:$A$34,0)),"UNMATCHED"))</f>
        <v/>
      </c>
    </row>
    <row r="372">
      <c r="A372" s="8" t="n"/>
      <c r="B372" s="8" t="n"/>
      <c r="C372" s="8" t="n"/>
      <c r="D372" s="11" t="n"/>
      <c r="E372" s="12">
        <f>IF(A372="","",D372*IFERROR(INDEX(Factors!$C$5:$C$34,MATCH(C372,Factors!$A$5:$A$34,0)),0))</f>
        <v/>
      </c>
      <c r="F372" s="13">
        <f>IF(A372="","",IFERROR(INDEX(Factors!$D$5:$D$34,MATCH(C372,Factors!$A$5:$A$34,0)),"UNMATCHED"))</f>
        <v/>
      </c>
    </row>
    <row r="373">
      <c r="A373" s="8" t="n"/>
      <c r="B373" s="8" t="n"/>
      <c r="C373" s="8" t="n"/>
      <c r="D373" s="11" t="n"/>
      <c r="E373" s="12">
        <f>IF(A373="","",D373*IFERROR(INDEX(Factors!$C$5:$C$34,MATCH(C373,Factors!$A$5:$A$34,0)),0))</f>
        <v/>
      </c>
      <c r="F373" s="13">
        <f>IF(A373="","",IFERROR(INDEX(Factors!$D$5:$D$34,MATCH(C373,Factors!$A$5:$A$34,0)),"UNMATCHED"))</f>
        <v/>
      </c>
    </row>
    <row r="374">
      <c r="A374" s="8" t="n"/>
      <c r="B374" s="8" t="n"/>
      <c r="C374" s="8" t="n"/>
      <c r="D374" s="11" t="n"/>
      <c r="E374" s="12">
        <f>IF(A374="","",D374*IFERROR(INDEX(Factors!$C$5:$C$34,MATCH(C374,Factors!$A$5:$A$34,0)),0))</f>
        <v/>
      </c>
      <c r="F374" s="13">
        <f>IF(A374="","",IFERROR(INDEX(Factors!$D$5:$D$34,MATCH(C374,Factors!$A$5:$A$34,0)),"UNMATCHED"))</f>
        <v/>
      </c>
    </row>
    <row r="375">
      <c r="A375" s="8" t="n"/>
      <c r="B375" s="8" t="n"/>
      <c r="C375" s="8" t="n"/>
      <c r="D375" s="11" t="n"/>
      <c r="E375" s="12">
        <f>IF(A375="","",D375*IFERROR(INDEX(Factors!$C$5:$C$34,MATCH(C375,Factors!$A$5:$A$34,0)),0))</f>
        <v/>
      </c>
      <c r="F375" s="13">
        <f>IF(A375="","",IFERROR(INDEX(Factors!$D$5:$D$34,MATCH(C375,Factors!$A$5:$A$34,0)),"UNMATCHED"))</f>
        <v/>
      </c>
    </row>
    <row r="376">
      <c r="A376" s="8" t="n"/>
      <c r="B376" s="8" t="n"/>
      <c r="C376" s="8" t="n"/>
      <c r="D376" s="11" t="n"/>
      <c r="E376" s="12">
        <f>IF(A376="","",D376*IFERROR(INDEX(Factors!$C$5:$C$34,MATCH(C376,Factors!$A$5:$A$34,0)),0))</f>
        <v/>
      </c>
      <c r="F376" s="13">
        <f>IF(A376="","",IFERROR(INDEX(Factors!$D$5:$D$34,MATCH(C376,Factors!$A$5:$A$34,0)),"UNMATCHED"))</f>
        <v/>
      </c>
    </row>
    <row r="377">
      <c r="A377" s="8" t="n"/>
      <c r="B377" s="8" t="n"/>
      <c r="C377" s="8" t="n"/>
      <c r="D377" s="11" t="n"/>
      <c r="E377" s="12">
        <f>IF(A377="","",D377*IFERROR(INDEX(Factors!$C$5:$C$34,MATCH(C377,Factors!$A$5:$A$34,0)),0))</f>
        <v/>
      </c>
      <c r="F377" s="13">
        <f>IF(A377="","",IFERROR(INDEX(Factors!$D$5:$D$34,MATCH(C377,Factors!$A$5:$A$34,0)),"UNMATCHED"))</f>
        <v/>
      </c>
    </row>
    <row r="378">
      <c r="A378" s="8" t="n"/>
      <c r="B378" s="8" t="n"/>
      <c r="C378" s="8" t="n"/>
      <c r="D378" s="11" t="n"/>
      <c r="E378" s="12">
        <f>IF(A378="","",D378*IFERROR(INDEX(Factors!$C$5:$C$34,MATCH(C378,Factors!$A$5:$A$34,0)),0))</f>
        <v/>
      </c>
      <c r="F378" s="13">
        <f>IF(A378="","",IFERROR(INDEX(Factors!$D$5:$D$34,MATCH(C378,Factors!$A$5:$A$34,0)),"UNMATCHED"))</f>
        <v/>
      </c>
    </row>
    <row r="379">
      <c r="A379" s="8" t="n"/>
      <c r="B379" s="8" t="n"/>
      <c r="C379" s="8" t="n"/>
      <c r="D379" s="11" t="n"/>
      <c r="E379" s="12">
        <f>IF(A379="","",D379*IFERROR(INDEX(Factors!$C$5:$C$34,MATCH(C379,Factors!$A$5:$A$34,0)),0))</f>
        <v/>
      </c>
      <c r="F379" s="13">
        <f>IF(A379="","",IFERROR(INDEX(Factors!$D$5:$D$34,MATCH(C379,Factors!$A$5:$A$34,0)),"UNMATCHED"))</f>
        <v/>
      </c>
    </row>
    <row r="380">
      <c r="A380" s="8" t="n"/>
      <c r="B380" s="8" t="n"/>
      <c r="C380" s="8" t="n"/>
      <c r="D380" s="11" t="n"/>
      <c r="E380" s="12">
        <f>IF(A380="","",D380*IFERROR(INDEX(Factors!$C$5:$C$34,MATCH(C380,Factors!$A$5:$A$34,0)),0))</f>
        <v/>
      </c>
      <c r="F380" s="13">
        <f>IF(A380="","",IFERROR(INDEX(Factors!$D$5:$D$34,MATCH(C380,Factors!$A$5:$A$34,0)),"UNMATCHED"))</f>
        <v/>
      </c>
    </row>
    <row r="381">
      <c r="A381" s="8" t="n"/>
      <c r="B381" s="8" t="n"/>
      <c r="C381" s="8" t="n"/>
      <c r="D381" s="11" t="n"/>
      <c r="E381" s="12">
        <f>IF(A381="","",D381*IFERROR(INDEX(Factors!$C$5:$C$34,MATCH(C381,Factors!$A$5:$A$34,0)),0))</f>
        <v/>
      </c>
      <c r="F381" s="13">
        <f>IF(A381="","",IFERROR(INDEX(Factors!$D$5:$D$34,MATCH(C381,Factors!$A$5:$A$34,0)),"UNMATCHED"))</f>
        <v/>
      </c>
    </row>
    <row r="382">
      <c r="A382" s="8" t="n"/>
      <c r="B382" s="8" t="n"/>
      <c r="C382" s="8" t="n"/>
      <c r="D382" s="11" t="n"/>
      <c r="E382" s="12">
        <f>IF(A382="","",D382*IFERROR(INDEX(Factors!$C$5:$C$34,MATCH(C382,Factors!$A$5:$A$34,0)),0))</f>
        <v/>
      </c>
      <c r="F382" s="13">
        <f>IF(A382="","",IFERROR(INDEX(Factors!$D$5:$D$34,MATCH(C382,Factors!$A$5:$A$34,0)),"UNMATCHED"))</f>
        <v/>
      </c>
    </row>
    <row r="383">
      <c r="A383" s="8" t="n"/>
      <c r="B383" s="8" t="n"/>
      <c r="C383" s="8" t="n"/>
      <c r="D383" s="11" t="n"/>
      <c r="E383" s="12">
        <f>IF(A383="","",D383*IFERROR(INDEX(Factors!$C$5:$C$34,MATCH(C383,Factors!$A$5:$A$34,0)),0))</f>
        <v/>
      </c>
      <c r="F383" s="13">
        <f>IF(A383="","",IFERROR(INDEX(Factors!$D$5:$D$34,MATCH(C383,Factors!$A$5:$A$34,0)),"UNMATCHED"))</f>
        <v/>
      </c>
    </row>
    <row r="384">
      <c r="A384" s="8" t="n"/>
      <c r="B384" s="8" t="n"/>
      <c r="C384" s="8" t="n"/>
      <c r="D384" s="11" t="n"/>
      <c r="E384" s="12">
        <f>IF(A384="","",D384*IFERROR(INDEX(Factors!$C$5:$C$34,MATCH(C384,Factors!$A$5:$A$34,0)),0))</f>
        <v/>
      </c>
      <c r="F384" s="13">
        <f>IF(A384="","",IFERROR(INDEX(Factors!$D$5:$D$34,MATCH(C384,Factors!$A$5:$A$34,0)),"UNMATCHED"))</f>
        <v/>
      </c>
    </row>
    <row r="385">
      <c r="A385" s="8" t="n"/>
      <c r="B385" s="8" t="n"/>
      <c r="C385" s="8" t="n"/>
      <c r="D385" s="11" t="n"/>
      <c r="E385" s="12">
        <f>IF(A385="","",D385*IFERROR(INDEX(Factors!$C$5:$C$34,MATCH(C385,Factors!$A$5:$A$34,0)),0))</f>
        <v/>
      </c>
      <c r="F385" s="13">
        <f>IF(A385="","",IFERROR(INDEX(Factors!$D$5:$D$34,MATCH(C385,Factors!$A$5:$A$34,0)),"UNMATCHED"))</f>
        <v/>
      </c>
    </row>
    <row r="386">
      <c r="A386" s="8" t="n"/>
      <c r="B386" s="8" t="n"/>
      <c r="C386" s="8" t="n"/>
      <c r="D386" s="11" t="n"/>
      <c r="E386" s="12">
        <f>IF(A386="","",D386*IFERROR(INDEX(Factors!$C$5:$C$34,MATCH(C386,Factors!$A$5:$A$34,0)),0))</f>
        <v/>
      </c>
      <c r="F386" s="13">
        <f>IF(A386="","",IFERROR(INDEX(Factors!$D$5:$D$34,MATCH(C386,Factors!$A$5:$A$34,0)),"UNMATCHED"))</f>
        <v/>
      </c>
    </row>
    <row r="387">
      <c r="A387" s="8" t="n"/>
      <c r="B387" s="8" t="n"/>
      <c r="C387" s="8" t="n"/>
      <c r="D387" s="11" t="n"/>
      <c r="E387" s="12">
        <f>IF(A387="","",D387*IFERROR(INDEX(Factors!$C$5:$C$34,MATCH(C387,Factors!$A$5:$A$34,0)),0))</f>
        <v/>
      </c>
      <c r="F387" s="13">
        <f>IF(A387="","",IFERROR(INDEX(Factors!$D$5:$D$34,MATCH(C387,Factors!$A$5:$A$34,0)),"UNMATCHED"))</f>
        <v/>
      </c>
    </row>
    <row r="388">
      <c r="A388" s="8" t="n"/>
      <c r="B388" s="8" t="n"/>
      <c r="C388" s="8" t="n"/>
      <c r="D388" s="11" t="n"/>
      <c r="E388" s="12">
        <f>IF(A388="","",D388*IFERROR(INDEX(Factors!$C$5:$C$34,MATCH(C388,Factors!$A$5:$A$34,0)),0))</f>
        <v/>
      </c>
      <c r="F388" s="13">
        <f>IF(A388="","",IFERROR(INDEX(Factors!$D$5:$D$34,MATCH(C388,Factors!$A$5:$A$34,0)),"UNMATCHED"))</f>
        <v/>
      </c>
    </row>
    <row r="389">
      <c r="A389" s="8" t="n"/>
      <c r="B389" s="8" t="n"/>
      <c r="C389" s="8" t="n"/>
      <c r="D389" s="11" t="n"/>
      <c r="E389" s="12">
        <f>IF(A389="","",D389*IFERROR(INDEX(Factors!$C$5:$C$34,MATCH(C389,Factors!$A$5:$A$34,0)),0))</f>
        <v/>
      </c>
      <c r="F389" s="13">
        <f>IF(A389="","",IFERROR(INDEX(Factors!$D$5:$D$34,MATCH(C389,Factors!$A$5:$A$34,0)),"UNMATCHED"))</f>
        <v/>
      </c>
    </row>
    <row r="390">
      <c r="A390" s="8" t="n"/>
      <c r="B390" s="8" t="n"/>
      <c r="C390" s="8" t="n"/>
      <c r="D390" s="11" t="n"/>
      <c r="E390" s="12">
        <f>IF(A390="","",D390*IFERROR(INDEX(Factors!$C$5:$C$34,MATCH(C390,Factors!$A$5:$A$34,0)),0))</f>
        <v/>
      </c>
      <c r="F390" s="13">
        <f>IF(A390="","",IFERROR(INDEX(Factors!$D$5:$D$34,MATCH(C390,Factors!$A$5:$A$34,0)),"UNMATCHED"))</f>
        <v/>
      </c>
    </row>
    <row r="391">
      <c r="A391" s="8" t="n"/>
      <c r="B391" s="8" t="n"/>
      <c r="C391" s="8" t="n"/>
      <c r="D391" s="11" t="n"/>
      <c r="E391" s="12">
        <f>IF(A391="","",D391*IFERROR(INDEX(Factors!$C$5:$C$34,MATCH(C391,Factors!$A$5:$A$34,0)),0))</f>
        <v/>
      </c>
      <c r="F391" s="13">
        <f>IF(A391="","",IFERROR(INDEX(Factors!$D$5:$D$34,MATCH(C391,Factors!$A$5:$A$34,0)),"UNMATCHED"))</f>
        <v/>
      </c>
    </row>
    <row r="392">
      <c r="A392" s="8" t="n"/>
      <c r="B392" s="8" t="n"/>
      <c r="C392" s="8" t="n"/>
      <c r="D392" s="11" t="n"/>
      <c r="E392" s="12">
        <f>IF(A392="","",D392*IFERROR(INDEX(Factors!$C$5:$C$34,MATCH(C392,Factors!$A$5:$A$34,0)),0))</f>
        <v/>
      </c>
      <c r="F392" s="13">
        <f>IF(A392="","",IFERROR(INDEX(Factors!$D$5:$D$34,MATCH(C392,Factors!$A$5:$A$34,0)),"UNMATCHED"))</f>
        <v/>
      </c>
    </row>
    <row r="393">
      <c r="A393" s="8" t="n"/>
      <c r="B393" s="8" t="n"/>
      <c r="C393" s="8" t="n"/>
      <c r="D393" s="11" t="n"/>
      <c r="E393" s="12">
        <f>IF(A393="","",D393*IFERROR(INDEX(Factors!$C$5:$C$34,MATCH(C393,Factors!$A$5:$A$34,0)),0))</f>
        <v/>
      </c>
      <c r="F393" s="13">
        <f>IF(A393="","",IFERROR(INDEX(Factors!$D$5:$D$34,MATCH(C393,Factors!$A$5:$A$34,0)),"UNMATCHED"))</f>
        <v/>
      </c>
    </row>
    <row r="394">
      <c r="A394" s="8" t="n"/>
      <c r="B394" s="8" t="n"/>
      <c r="C394" s="8" t="n"/>
      <c r="D394" s="11" t="n"/>
      <c r="E394" s="12">
        <f>IF(A394="","",D394*IFERROR(INDEX(Factors!$C$5:$C$34,MATCH(C394,Factors!$A$5:$A$34,0)),0))</f>
        <v/>
      </c>
      <c r="F394" s="13">
        <f>IF(A394="","",IFERROR(INDEX(Factors!$D$5:$D$34,MATCH(C394,Factors!$A$5:$A$34,0)),"UNMATCHED"))</f>
        <v/>
      </c>
    </row>
    <row r="395">
      <c r="A395" s="8" t="n"/>
      <c r="B395" s="8" t="n"/>
      <c r="C395" s="8" t="n"/>
      <c r="D395" s="11" t="n"/>
      <c r="E395" s="12">
        <f>IF(A395="","",D395*IFERROR(INDEX(Factors!$C$5:$C$34,MATCH(C395,Factors!$A$5:$A$34,0)),0))</f>
        <v/>
      </c>
      <c r="F395" s="13">
        <f>IF(A395="","",IFERROR(INDEX(Factors!$D$5:$D$34,MATCH(C395,Factors!$A$5:$A$34,0)),"UNMATCHED"))</f>
        <v/>
      </c>
    </row>
    <row r="396">
      <c r="A396" s="8" t="n"/>
      <c r="B396" s="8" t="n"/>
      <c r="C396" s="8" t="n"/>
      <c r="D396" s="11" t="n"/>
      <c r="E396" s="12">
        <f>IF(A396="","",D396*IFERROR(INDEX(Factors!$C$5:$C$34,MATCH(C396,Factors!$A$5:$A$34,0)),0))</f>
        <v/>
      </c>
      <c r="F396" s="13">
        <f>IF(A396="","",IFERROR(INDEX(Factors!$D$5:$D$34,MATCH(C396,Factors!$A$5:$A$34,0)),"UNMATCHED"))</f>
        <v/>
      </c>
    </row>
    <row r="397">
      <c r="A397" s="8" t="n"/>
      <c r="B397" s="8" t="n"/>
      <c r="C397" s="8" t="n"/>
      <c r="D397" s="11" t="n"/>
      <c r="E397" s="12">
        <f>IF(A397="","",D397*IFERROR(INDEX(Factors!$C$5:$C$34,MATCH(C397,Factors!$A$5:$A$34,0)),0))</f>
        <v/>
      </c>
      <c r="F397" s="13">
        <f>IF(A397="","",IFERROR(INDEX(Factors!$D$5:$D$34,MATCH(C397,Factors!$A$5:$A$34,0)),"UNMATCHED"))</f>
        <v/>
      </c>
    </row>
    <row r="398">
      <c r="A398" s="8" t="n"/>
      <c r="B398" s="8" t="n"/>
      <c r="C398" s="8" t="n"/>
      <c r="D398" s="11" t="n"/>
      <c r="E398" s="12">
        <f>IF(A398="","",D398*IFERROR(INDEX(Factors!$C$5:$C$34,MATCH(C398,Factors!$A$5:$A$34,0)),0))</f>
        <v/>
      </c>
      <c r="F398" s="13">
        <f>IF(A398="","",IFERROR(INDEX(Factors!$D$5:$D$34,MATCH(C398,Factors!$A$5:$A$34,0)),"UNMATCHED"))</f>
        <v/>
      </c>
    </row>
    <row r="399">
      <c r="A399" s="8" t="n"/>
      <c r="B399" s="8" t="n"/>
      <c r="C399" s="8" t="n"/>
      <c r="D399" s="11" t="n"/>
      <c r="E399" s="12">
        <f>IF(A399="","",D399*IFERROR(INDEX(Factors!$C$5:$C$34,MATCH(C399,Factors!$A$5:$A$34,0)),0))</f>
        <v/>
      </c>
      <c r="F399" s="13">
        <f>IF(A399="","",IFERROR(INDEX(Factors!$D$5:$D$34,MATCH(C399,Factors!$A$5:$A$34,0)),"UNMATCHED"))</f>
        <v/>
      </c>
    </row>
    <row r="400">
      <c r="A400" s="8" t="n"/>
      <c r="B400" s="8" t="n"/>
      <c r="C400" s="8" t="n"/>
      <c r="D400" s="11" t="n"/>
      <c r="E400" s="12">
        <f>IF(A400="","",D400*IFERROR(INDEX(Factors!$C$5:$C$34,MATCH(C400,Factors!$A$5:$A$34,0)),0))</f>
        <v/>
      </c>
      <c r="F400" s="13">
        <f>IF(A400="","",IFERROR(INDEX(Factors!$D$5:$D$34,MATCH(C400,Factors!$A$5:$A$34,0)),"UNMATCHED"))</f>
        <v/>
      </c>
    </row>
    <row r="401">
      <c r="A401" s="8" t="n"/>
      <c r="B401" s="8" t="n"/>
      <c r="C401" s="8" t="n"/>
      <c r="D401" s="11" t="n"/>
      <c r="E401" s="12">
        <f>IF(A401="","",D401*IFERROR(INDEX(Factors!$C$5:$C$34,MATCH(C401,Factors!$A$5:$A$34,0)),0))</f>
        <v/>
      </c>
      <c r="F401" s="13">
        <f>IF(A401="","",IFERROR(INDEX(Factors!$D$5:$D$34,MATCH(C401,Factors!$A$5:$A$34,0)),"UNMATCHED"))</f>
        <v/>
      </c>
    </row>
    <row r="402">
      <c r="A402" s="8" t="n"/>
      <c r="B402" s="8" t="n"/>
      <c r="C402" s="8" t="n"/>
      <c r="D402" s="11" t="n"/>
      <c r="E402" s="12">
        <f>IF(A402="","",D402*IFERROR(INDEX(Factors!$C$5:$C$34,MATCH(C402,Factors!$A$5:$A$34,0)),0))</f>
        <v/>
      </c>
      <c r="F402" s="13">
        <f>IF(A402="","",IFERROR(INDEX(Factors!$D$5:$D$34,MATCH(C402,Factors!$A$5:$A$34,0)),"UNMATCHED"))</f>
        <v/>
      </c>
    </row>
    <row r="403">
      <c r="A403" s="8" t="n"/>
      <c r="B403" s="8" t="n"/>
      <c r="C403" s="8" t="n"/>
      <c r="D403" s="11" t="n"/>
      <c r="E403" s="12">
        <f>IF(A403="","",D403*IFERROR(INDEX(Factors!$C$5:$C$34,MATCH(C403,Factors!$A$5:$A$34,0)),0))</f>
        <v/>
      </c>
      <c r="F403" s="13">
        <f>IF(A403="","",IFERROR(INDEX(Factors!$D$5:$D$34,MATCH(C403,Factors!$A$5:$A$34,0)),"UNMATCHED"))</f>
        <v/>
      </c>
    </row>
    <row r="404">
      <c r="A404" s="8" t="n"/>
      <c r="B404" s="8" t="n"/>
      <c r="C404" s="8" t="n"/>
      <c r="D404" s="11" t="n"/>
      <c r="E404" s="12">
        <f>IF(A404="","",D404*IFERROR(INDEX(Factors!$C$5:$C$34,MATCH(C404,Factors!$A$5:$A$34,0)),0))</f>
        <v/>
      </c>
      <c r="F404" s="13">
        <f>IF(A404="","",IFERROR(INDEX(Factors!$D$5:$D$34,MATCH(C404,Factors!$A$5:$A$34,0)),"UNMATCHED"))</f>
        <v/>
      </c>
    </row>
    <row r="405">
      <c r="A405" s="8" t="n"/>
      <c r="B405" s="8" t="n"/>
      <c r="C405" s="8" t="n"/>
      <c r="D405" s="11" t="n"/>
      <c r="E405" s="12">
        <f>IF(A405="","",D405*IFERROR(INDEX(Factors!$C$5:$C$34,MATCH(C405,Factors!$A$5:$A$34,0)),0))</f>
        <v/>
      </c>
      <c r="F405" s="13">
        <f>IF(A405="","",IFERROR(INDEX(Factors!$D$5:$D$34,MATCH(C405,Factors!$A$5:$A$34,0)),"UNMATCHED"))</f>
        <v/>
      </c>
    </row>
    <row r="406">
      <c r="A406" s="8" t="n"/>
      <c r="B406" s="8" t="n"/>
      <c r="C406" s="8" t="n"/>
      <c r="D406" s="11" t="n"/>
      <c r="E406" s="12">
        <f>IF(A406="","",D406*IFERROR(INDEX(Factors!$C$5:$C$34,MATCH(C406,Factors!$A$5:$A$34,0)),0))</f>
        <v/>
      </c>
      <c r="F406" s="13">
        <f>IF(A406="","",IFERROR(INDEX(Factors!$D$5:$D$34,MATCH(C406,Factors!$A$5:$A$34,0)),"UNMATCHED"))</f>
        <v/>
      </c>
    </row>
    <row r="407">
      <c r="A407" s="8" t="n"/>
      <c r="B407" s="8" t="n"/>
      <c r="C407" s="8" t="n"/>
      <c r="D407" s="11" t="n"/>
      <c r="E407" s="12">
        <f>IF(A407="","",D407*IFERROR(INDEX(Factors!$C$5:$C$34,MATCH(C407,Factors!$A$5:$A$34,0)),0))</f>
        <v/>
      </c>
      <c r="F407" s="13">
        <f>IF(A407="","",IFERROR(INDEX(Factors!$D$5:$D$34,MATCH(C407,Factors!$A$5:$A$34,0)),"UNMATCHED"))</f>
        <v/>
      </c>
    </row>
    <row r="408">
      <c r="A408" s="8" t="n"/>
      <c r="B408" s="8" t="n"/>
      <c r="C408" s="8" t="n"/>
      <c r="D408" s="11" t="n"/>
      <c r="E408" s="12">
        <f>IF(A408="","",D408*IFERROR(INDEX(Factors!$C$5:$C$34,MATCH(C408,Factors!$A$5:$A$34,0)),0))</f>
        <v/>
      </c>
      <c r="F408" s="13">
        <f>IF(A408="","",IFERROR(INDEX(Factors!$D$5:$D$34,MATCH(C408,Factors!$A$5:$A$34,0)),"UNMATCHED"))</f>
        <v/>
      </c>
    </row>
    <row r="409">
      <c r="A409" s="8" t="n"/>
      <c r="B409" s="8" t="n"/>
      <c r="C409" s="8" t="n"/>
      <c r="D409" s="11" t="n"/>
      <c r="E409" s="12">
        <f>IF(A409="","",D409*IFERROR(INDEX(Factors!$C$5:$C$34,MATCH(C409,Factors!$A$5:$A$34,0)),0))</f>
        <v/>
      </c>
      <c r="F409" s="13">
        <f>IF(A409="","",IFERROR(INDEX(Factors!$D$5:$D$34,MATCH(C409,Factors!$A$5:$A$34,0)),"UNMATCHED"))</f>
        <v/>
      </c>
    </row>
    <row r="410">
      <c r="A410" s="8" t="n"/>
      <c r="B410" s="8" t="n"/>
      <c r="C410" s="8" t="n"/>
      <c r="D410" s="11" t="n"/>
      <c r="E410" s="12">
        <f>IF(A410="","",D410*IFERROR(INDEX(Factors!$C$5:$C$34,MATCH(C410,Factors!$A$5:$A$34,0)),0))</f>
        <v/>
      </c>
      <c r="F410" s="13">
        <f>IF(A410="","",IFERROR(INDEX(Factors!$D$5:$D$34,MATCH(C410,Factors!$A$5:$A$34,0)),"UNMATCHED"))</f>
        <v/>
      </c>
    </row>
    <row r="411">
      <c r="A411" s="8" t="n"/>
      <c r="B411" s="8" t="n"/>
      <c r="C411" s="8" t="n"/>
      <c r="D411" s="11" t="n"/>
      <c r="E411" s="12">
        <f>IF(A411="","",D411*IFERROR(INDEX(Factors!$C$5:$C$34,MATCH(C411,Factors!$A$5:$A$34,0)),0))</f>
        <v/>
      </c>
      <c r="F411" s="13">
        <f>IF(A411="","",IFERROR(INDEX(Factors!$D$5:$D$34,MATCH(C411,Factors!$A$5:$A$34,0)),"UNMATCHED"))</f>
        <v/>
      </c>
    </row>
    <row r="412">
      <c r="A412" s="8" t="n"/>
      <c r="B412" s="8" t="n"/>
      <c r="C412" s="8" t="n"/>
      <c r="D412" s="11" t="n"/>
      <c r="E412" s="12">
        <f>IF(A412="","",D412*IFERROR(INDEX(Factors!$C$5:$C$34,MATCH(C412,Factors!$A$5:$A$34,0)),0))</f>
        <v/>
      </c>
      <c r="F412" s="13">
        <f>IF(A412="","",IFERROR(INDEX(Factors!$D$5:$D$34,MATCH(C412,Factors!$A$5:$A$34,0)),"UNMATCHED"))</f>
        <v/>
      </c>
    </row>
    <row r="413">
      <c r="A413" s="8" t="n"/>
      <c r="B413" s="8" t="n"/>
      <c r="C413" s="8" t="n"/>
      <c r="D413" s="11" t="n"/>
      <c r="E413" s="12">
        <f>IF(A413="","",D413*IFERROR(INDEX(Factors!$C$5:$C$34,MATCH(C413,Factors!$A$5:$A$34,0)),0))</f>
        <v/>
      </c>
      <c r="F413" s="13">
        <f>IF(A413="","",IFERROR(INDEX(Factors!$D$5:$D$34,MATCH(C413,Factors!$A$5:$A$34,0)),"UNMATCHED"))</f>
        <v/>
      </c>
    </row>
    <row r="414">
      <c r="A414" s="8" t="n"/>
      <c r="B414" s="8" t="n"/>
      <c r="C414" s="8" t="n"/>
      <c r="D414" s="11" t="n"/>
      <c r="E414" s="12">
        <f>IF(A414="","",D414*IFERROR(INDEX(Factors!$C$5:$C$34,MATCH(C414,Factors!$A$5:$A$34,0)),0))</f>
        <v/>
      </c>
      <c r="F414" s="13">
        <f>IF(A414="","",IFERROR(INDEX(Factors!$D$5:$D$34,MATCH(C414,Factors!$A$5:$A$34,0)),"UNMATCHED"))</f>
        <v/>
      </c>
    </row>
    <row r="415">
      <c r="A415" s="8" t="n"/>
      <c r="B415" s="8" t="n"/>
      <c r="C415" s="8" t="n"/>
      <c r="D415" s="11" t="n"/>
      <c r="E415" s="12">
        <f>IF(A415="","",D415*IFERROR(INDEX(Factors!$C$5:$C$34,MATCH(C415,Factors!$A$5:$A$34,0)),0))</f>
        <v/>
      </c>
      <c r="F415" s="13">
        <f>IF(A415="","",IFERROR(INDEX(Factors!$D$5:$D$34,MATCH(C415,Factors!$A$5:$A$34,0)),"UNMATCHED"))</f>
        <v/>
      </c>
    </row>
    <row r="416">
      <c r="A416" s="8" t="n"/>
      <c r="B416" s="8" t="n"/>
      <c r="C416" s="8" t="n"/>
      <c r="D416" s="11" t="n"/>
      <c r="E416" s="12">
        <f>IF(A416="","",D416*IFERROR(INDEX(Factors!$C$5:$C$34,MATCH(C416,Factors!$A$5:$A$34,0)),0))</f>
        <v/>
      </c>
      <c r="F416" s="13">
        <f>IF(A416="","",IFERROR(INDEX(Factors!$D$5:$D$34,MATCH(C416,Factors!$A$5:$A$34,0)),"UNMATCHED"))</f>
        <v/>
      </c>
    </row>
    <row r="417">
      <c r="A417" s="8" t="n"/>
      <c r="B417" s="8" t="n"/>
      <c r="C417" s="8" t="n"/>
      <c r="D417" s="11" t="n"/>
      <c r="E417" s="12">
        <f>IF(A417="","",D417*IFERROR(INDEX(Factors!$C$5:$C$34,MATCH(C417,Factors!$A$5:$A$34,0)),0))</f>
        <v/>
      </c>
      <c r="F417" s="13">
        <f>IF(A417="","",IFERROR(INDEX(Factors!$D$5:$D$34,MATCH(C417,Factors!$A$5:$A$34,0)),"UNMATCHED"))</f>
        <v/>
      </c>
    </row>
    <row r="418">
      <c r="A418" s="8" t="n"/>
      <c r="B418" s="8" t="n"/>
      <c r="C418" s="8" t="n"/>
      <c r="D418" s="11" t="n"/>
      <c r="E418" s="12">
        <f>IF(A418="","",D418*IFERROR(INDEX(Factors!$C$5:$C$34,MATCH(C418,Factors!$A$5:$A$34,0)),0))</f>
        <v/>
      </c>
      <c r="F418" s="13">
        <f>IF(A418="","",IFERROR(INDEX(Factors!$D$5:$D$34,MATCH(C418,Factors!$A$5:$A$34,0)),"UNMATCHED"))</f>
        <v/>
      </c>
    </row>
    <row r="419">
      <c r="A419" s="8" t="n"/>
      <c r="B419" s="8" t="n"/>
      <c r="C419" s="8" t="n"/>
      <c r="D419" s="11" t="n"/>
      <c r="E419" s="12">
        <f>IF(A419="","",D419*IFERROR(INDEX(Factors!$C$5:$C$34,MATCH(C419,Factors!$A$5:$A$34,0)),0))</f>
        <v/>
      </c>
      <c r="F419" s="13">
        <f>IF(A419="","",IFERROR(INDEX(Factors!$D$5:$D$34,MATCH(C419,Factors!$A$5:$A$34,0)),"UNMATCHED"))</f>
        <v/>
      </c>
    </row>
    <row r="420">
      <c r="A420" s="8" t="n"/>
      <c r="B420" s="8" t="n"/>
      <c r="C420" s="8" t="n"/>
      <c r="D420" s="11" t="n"/>
      <c r="E420" s="12">
        <f>IF(A420="","",D420*IFERROR(INDEX(Factors!$C$5:$C$34,MATCH(C420,Factors!$A$5:$A$34,0)),0))</f>
        <v/>
      </c>
      <c r="F420" s="13">
        <f>IF(A420="","",IFERROR(INDEX(Factors!$D$5:$D$34,MATCH(C420,Factors!$A$5:$A$34,0)),"UNMATCHED"))</f>
        <v/>
      </c>
    </row>
    <row r="421">
      <c r="A421" s="8" t="n"/>
      <c r="B421" s="8" t="n"/>
      <c r="C421" s="8" t="n"/>
      <c r="D421" s="11" t="n"/>
      <c r="E421" s="12">
        <f>IF(A421="","",D421*IFERROR(INDEX(Factors!$C$5:$C$34,MATCH(C421,Factors!$A$5:$A$34,0)),0))</f>
        <v/>
      </c>
      <c r="F421" s="13">
        <f>IF(A421="","",IFERROR(INDEX(Factors!$D$5:$D$34,MATCH(C421,Factors!$A$5:$A$34,0)),"UNMATCHED"))</f>
        <v/>
      </c>
    </row>
    <row r="422">
      <c r="A422" s="8" t="n"/>
      <c r="B422" s="8" t="n"/>
      <c r="C422" s="8" t="n"/>
      <c r="D422" s="11" t="n"/>
      <c r="E422" s="12">
        <f>IF(A422="","",D422*IFERROR(INDEX(Factors!$C$5:$C$34,MATCH(C422,Factors!$A$5:$A$34,0)),0))</f>
        <v/>
      </c>
      <c r="F422" s="13">
        <f>IF(A422="","",IFERROR(INDEX(Factors!$D$5:$D$34,MATCH(C422,Factors!$A$5:$A$34,0)),"UNMATCHED"))</f>
        <v/>
      </c>
    </row>
    <row r="423">
      <c r="A423" s="8" t="n"/>
      <c r="B423" s="8" t="n"/>
      <c r="C423" s="8" t="n"/>
      <c r="D423" s="11" t="n"/>
      <c r="E423" s="12">
        <f>IF(A423="","",D423*IFERROR(INDEX(Factors!$C$5:$C$34,MATCH(C423,Factors!$A$5:$A$34,0)),0))</f>
        <v/>
      </c>
      <c r="F423" s="13">
        <f>IF(A423="","",IFERROR(INDEX(Factors!$D$5:$D$34,MATCH(C423,Factors!$A$5:$A$34,0)),"UNMATCHED"))</f>
        <v/>
      </c>
    </row>
    <row r="424">
      <c r="A424" s="8" t="n"/>
      <c r="B424" s="8" t="n"/>
      <c r="C424" s="8" t="n"/>
      <c r="D424" s="11" t="n"/>
      <c r="E424" s="12">
        <f>IF(A424="","",D424*IFERROR(INDEX(Factors!$C$5:$C$34,MATCH(C424,Factors!$A$5:$A$34,0)),0))</f>
        <v/>
      </c>
      <c r="F424" s="13">
        <f>IF(A424="","",IFERROR(INDEX(Factors!$D$5:$D$34,MATCH(C424,Factors!$A$5:$A$34,0)),"UNMATCHED"))</f>
        <v/>
      </c>
    </row>
    <row r="425">
      <c r="A425" s="8" t="n"/>
      <c r="B425" s="8" t="n"/>
      <c r="C425" s="8" t="n"/>
      <c r="D425" s="11" t="n"/>
      <c r="E425" s="12">
        <f>IF(A425="","",D425*IFERROR(INDEX(Factors!$C$5:$C$34,MATCH(C425,Factors!$A$5:$A$34,0)),0))</f>
        <v/>
      </c>
      <c r="F425" s="13">
        <f>IF(A425="","",IFERROR(INDEX(Factors!$D$5:$D$34,MATCH(C425,Factors!$A$5:$A$34,0)),"UNMATCHED"))</f>
        <v/>
      </c>
    </row>
    <row r="426">
      <c r="A426" s="8" t="n"/>
      <c r="B426" s="8" t="n"/>
      <c r="C426" s="8" t="n"/>
      <c r="D426" s="11" t="n"/>
      <c r="E426" s="12">
        <f>IF(A426="","",D426*IFERROR(INDEX(Factors!$C$5:$C$34,MATCH(C426,Factors!$A$5:$A$34,0)),0))</f>
        <v/>
      </c>
      <c r="F426" s="13">
        <f>IF(A426="","",IFERROR(INDEX(Factors!$D$5:$D$34,MATCH(C426,Factors!$A$5:$A$34,0)),"UNMATCHED"))</f>
        <v/>
      </c>
    </row>
    <row r="427">
      <c r="A427" s="8" t="n"/>
      <c r="B427" s="8" t="n"/>
      <c r="C427" s="8" t="n"/>
      <c r="D427" s="11" t="n"/>
      <c r="E427" s="12">
        <f>IF(A427="","",D427*IFERROR(INDEX(Factors!$C$5:$C$34,MATCH(C427,Factors!$A$5:$A$34,0)),0))</f>
        <v/>
      </c>
      <c r="F427" s="13">
        <f>IF(A427="","",IFERROR(INDEX(Factors!$D$5:$D$34,MATCH(C427,Factors!$A$5:$A$34,0)),"UNMATCHED"))</f>
        <v/>
      </c>
    </row>
    <row r="428">
      <c r="A428" s="8" t="n"/>
      <c r="B428" s="8" t="n"/>
      <c r="C428" s="8" t="n"/>
      <c r="D428" s="11" t="n"/>
      <c r="E428" s="12">
        <f>IF(A428="","",D428*IFERROR(INDEX(Factors!$C$5:$C$34,MATCH(C428,Factors!$A$5:$A$34,0)),0))</f>
        <v/>
      </c>
      <c r="F428" s="13">
        <f>IF(A428="","",IFERROR(INDEX(Factors!$D$5:$D$34,MATCH(C428,Factors!$A$5:$A$34,0)),"UNMATCHED"))</f>
        <v/>
      </c>
    </row>
    <row r="429">
      <c r="A429" s="8" t="n"/>
      <c r="B429" s="8" t="n"/>
      <c r="C429" s="8" t="n"/>
      <c r="D429" s="11" t="n"/>
      <c r="E429" s="12">
        <f>IF(A429="","",D429*IFERROR(INDEX(Factors!$C$5:$C$34,MATCH(C429,Factors!$A$5:$A$34,0)),0))</f>
        <v/>
      </c>
      <c r="F429" s="13">
        <f>IF(A429="","",IFERROR(INDEX(Factors!$D$5:$D$34,MATCH(C429,Factors!$A$5:$A$34,0)),"UNMATCHED"))</f>
        <v/>
      </c>
    </row>
    <row r="430">
      <c r="A430" s="8" t="n"/>
      <c r="B430" s="8" t="n"/>
      <c r="C430" s="8" t="n"/>
      <c r="D430" s="11" t="n"/>
      <c r="E430" s="12">
        <f>IF(A430="","",D430*IFERROR(INDEX(Factors!$C$5:$C$34,MATCH(C430,Factors!$A$5:$A$34,0)),0))</f>
        <v/>
      </c>
      <c r="F430" s="13">
        <f>IF(A430="","",IFERROR(INDEX(Factors!$D$5:$D$34,MATCH(C430,Factors!$A$5:$A$34,0)),"UNMATCHED"))</f>
        <v/>
      </c>
    </row>
    <row r="431">
      <c r="A431" s="8" t="n"/>
      <c r="B431" s="8" t="n"/>
      <c r="C431" s="8" t="n"/>
      <c r="D431" s="11" t="n"/>
      <c r="E431" s="12">
        <f>IF(A431="","",D431*IFERROR(INDEX(Factors!$C$5:$C$34,MATCH(C431,Factors!$A$5:$A$34,0)),0))</f>
        <v/>
      </c>
      <c r="F431" s="13">
        <f>IF(A431="","",IFERROR(INDEX(Factors!$D$5:$D$34,MATCH(C431,Factors!$A$5:$A$34,0)),"UNMATCHED"))</f>
        <v/>
      </c>
    </row>
    <row r="432">
      <c r="A432" s="8" t="n"/>
      <c r="B432" s="8" t="n"/>
      <c r="C432" s="8" t="n"/>
      <c r="D432" s="11" t="n"/>
      <c r="E432" s="12">
        <f>IF(A432="","",D432*IFERROR(INDEX(Factors!$C$5:$C$34,MATCH(C432,Factors!$A$5:$A$34,0)),0))</f>
        <v/>
      </c>
      <c r="F432" s="13">
        <f>IF(A432="","",IFERROR(INDEX(Factors!$D$5:$D$34,MATCH(C432,Factors!$A$5:$A$34,0)),"UNMATCHED"))</f>
        <v/>
      </c>
    </row>
    <row r="433">
      <c r="A433" s="8" t="n"/>
      <c r="B433" s="8" t="n"/>
      <c r="C433" s="8" t="n"/>
      <c r="D433" s="11" t="n"/>
      <c r="E433" s="12">
        <f>IF(A433="","",D433*IFERROR(INDEX(Factors!$C$5:$C$34,MATCH(C433,Factors!$A$5:$A$34,0)),0))</f>
        <v/>
      </c>
      <c r="F433" s="13">
        <f>IF(A433="","",IFERROR(INDEX(Factors!$D$5:$D$34,MATCH(C433,Factors!$A$5:$A$34,0)),"UNMATCHED"))</f>
        <v/>
      </c>
    </row>
    <row r="434">
      <c r="A434" s="8" t="n"/>
      <c r="B434" s="8" t="n"/>
      <c r="C434" s="8" t="n"/>
      <c r="D434" s="11" t="n"/>
      <c r="E434" s="12">
        <f>IF(A434="","",D434*IFERROR(INDEX(Factors!$C$5:$C$34,MATCH(C434,Factors!$A$5:$A$34,0)),0))</f>
        <v/>
      </c>
      <c r="F434" s="13">
        <f>IF(A434="","",IFERROR(INDEX(Factors!$D$5:$D$34,MATCH(C434,Factors!$A$5:$A$34,0)),"UNMATCHED"))</f>
        <v/>
      </c>
    </row>
    <row r="435">
      <c r="A435" s="8" t="n"/>
      <c r="B435" s="8" t="n"/>
      <c r="C435" s="8" t="n"/>
      <c r="D435" s="11" t="n"/>
      <c r="E435" s="12">
        <f>IF(A435="","",D435*IFERROR(INDEX(Factors!$C$5:$C$34,MATCH(C435,Factors!$A$5:$A$34,0)),0))</f>
        <v/>
      </c>
      <c r="F435" s="13">
        <f>IF(A435="","",IFERROR(INDEX(Factors!$D$5:$D$34,MATCH(C435,Factors!$A$5:$A$34,0)),"UNMATCHED"))</f>
        <v/>
      </c>
    </row>
    <row r="436">
      <c r="A436" s="8" t="n"/>
      <c r="B436" s="8" t="n"/>
      <c r="C436" s="8" t="n"/>
      <c r="D436" s="11" t="n"/>
      <c r="E436" s="12">
        <f>IF(A436="","",D436*IFERROR(INDEX(Factors!$C$5:$C$34,MATCH(C436,Factors!$A$5:$A$34,0)),0))</f>
        <v/>
      </c>
      <c r="F436" s="13">
        <f>IF(A436="","",IFERROR(INDEX(Factors!$D$5:$D$34,MATCH(C436,Factors!$A$5:$A$34,0)),"UNMATCHED"))</f>
        <v/>
      </c>
    </row>
    <row r="437">
      <c r="A437" s="8" t="n"/>
      <c r="B437" s="8" t="n"/>
      <c r="C437" s="8" t="n"/>
      <c r="D437" s="11" t="n"/>
      <c r="E437" s="12">
        <f>IF(A437="","",D437*IFERROR(INDEX(Factors!$C$5:$C$34,MATCH(C437,Factors!$A$5:$A$34,0)),0))</f>
        <v/>
      </c>
      <c r="F437" s="13">
        <f>IF(A437="","",IFERROR(INDEX(Factors!$D$5:$D$34,MATCH(C437,Factors!$A$5:$A$34,0)),"UNMATCHED"))</f>
        <v/>
      </c>
    </row>
    <row r="438">
      <c r="A438" s="8" t="n"/>
      <c r="B438" s="8" t="n"/>
      <c r="C438" s="8" t="n"/>
      <c r="D438" s="11" t="n"/>
      <c r="E438" s="12">
        <f>IF(A438="","",D438*IFERROR(INDEX(Factors!$C$5:$C$34,MATCH(C438,Factors!$A$5:$A$34,0)),0))</f>
        <v/>
      </c>
      <c r="F438" s="13">
        <f>IF(A438="","",IFERROR(INDEX(Factors!$D$5:$D$34,MATCH(C438,Factors!$A$5:$A$34,0)),"UNMATCHED"))</f>
        <v/>
      </c>
    </row>
    <row r="439">
      <c r="A439" s="8" t="n"/>
      <c r="B439" s="8" t="n"/>
      <c r="C439" s="8" t="n"/>
      <c r="D439" s="11" t="n"/>
      <c r="E439" s="12">
        <f>IF(A439="","",D439*IFERROR(INDEX(Factors!$C$5:$C$34,MATCH(C439,Factors!$A$5:$A$34,0)),0))</f>
        <v/>
      </c>
      <c r="F439" s="13">
        <f>IF(A439="","",IFERROR(INDEX(Factors!$D$5:$D$34,MATCH(C439,Factors!$A$5:$A$34,0)),"UNMATCHED"))</f>
        <v/>
      </c>
    </row>
    <row r="440">
      <c r="A440" s="8" t="n"/>
      <c r="B440" s="8" t="n"/>
      <c r="C440" s="8" t="n"/>
      <c r="D440" s="11" t="n"/>
      <c r="E440" s="12">
        <f>IF(A440="","",D440*IFERROR(INDEX(Factors!$C$5:$C$34,MATCH(C440,Factors!$A$5:$A$34,0)),0))</f>
        <v/>
      </c>
      <c r="F440" s="13">
        <f>IF(A440="","",IFERROR(INDEX(Factors!$D$5:$D$34,MATCH(C440,Factors!$A$5:$A$34,0)),"UNMATCHED"))</f>
        <v/>
      </c>
    </row>
    <row r="441">
      <c r="A441" s="8" t="n"/>
      <c r="B441" s="8" t="n"/>
      <c r="C441" s="8" t="n"/>
      <c r="D441" s="11" t="n"/>
      <c r="E441" s="12">
        <f>IF(A441="","",D441*IFERROR(INDEX(Factors!$C$5:$C$34,MATCH(C441,Factors!$A$5:$A$34,0)),0))</f>
        <v/>
      </c>
      <c r="F441" s="13">
        <f>IF(A441="","",IFERROR(INDEX(Factors!$D$5:$D$34,MATCH(C441,Factors!$A$5:$A$34,0)),"UNMATCHED"))</f>
        <v/>
      </c>
    </row>
    <row r="442">
      <c r="A442" s="8" t="n"/>
      <c r="B442" s="8" t="n"/>
      <c r="C442" s="8" t="n"/>
      <c r="D442" s="11" t="n"/>
      <c r="E442" s="12">
        <f>IF(A442="","",D442*IFERROR(INDEX(Factors!$C$5:$C$34,MATCH(C442,Factors!$A$5:$A$34,0)),0))</f>
        <v/>
      </c>
      <c r="F442" s="13">
        <f>IF(A442="","",IFERROR(INDEX(Factors!$D$5:$D$34,MATCH(C442,Factors!$A$5:$A$34,0)),"UNMATCHED"))</f>
        <v/>
      </c>
    </row>
    <row r="443">
      <c r="A443" s="8" t="n"/>
      <c r="B443" s="8" t="n"/>
      <c r="C443" s="8" t="n"/>
      <c r="D443" s="11" t="n"/>
      <c r="E443" s="12">
        <f>IF(A443="","",D443*IFERROR(INDEX(Factors!$C$5:$C$34,MATCH(C443,Factors!$A$5:$A$34,0)),0))</f>
        <v/>
      </c>
      <c r="F443" s="13">
        <f>IF(A443="","",IFERROR(INDEX(Factors!$D$5:$D$34,MATCH(C443,Factors!$A$5:$A$34,0)),"UNMATCHED"))</f>
        <v/>
      </c>
    </row>
    <row r="444">
      <c r="A444" s="8" t="n"/>
      <c r="B444" s="8" t="n"/>
      <c r="C444" s="8" t="n"/>
      <c r="D444" s="11" t="n"/>
      <c r="E444" s="12">
        <f>IF(A444="","",D444*IFERROR(INDEX(Factors!$C$5:$C$34,MATCH(C444,Factors!$A$5:$A$34,0)),0))</f>
        <v/>
      </c>
      <c r="F444" s="13">
        <f>IF(A444="","",IFERROR(INDEX(Factors!$D$5:$D$34,MATCH(C444,Factors!$A$5:$A$34,0)),"UNMATCHED"))</f>
        <v/>
      </c>
    </row>
    <row r="445">
      <c r="A445" s="8" t="n"/>
      <c r="B445" s="8" t="n"/>
      <c r="C445" s="8" t="n"/>
      <c r="D445" s="11" t="n"/>
      <c r="E445" s="12">
        <f>IF(A445="","",D445*IFERROR(INDEX(Factors!$C$5:$C$34,MATCH(C445,Factors!$A$5:$A$34,0)),0))</f>
        <v/>
      </c>
      <c r="F445" s="13">
        <f>IF(A445="","",IFERROR(INDEX(Factors!$D$5:$D$34,MATCH(C445,Factors!$A$5:$A$34,0)),"UNMATCHED"))</f>
        <v/>
      </c>
    </row>
    <row r="446">
      <c r="A446" s="8" t="n"/>
      <c r="B446" s="8" t="n"/>
      <c r="C446" s="8" t="n"/>
      <c r="D446" s="11" t="n"/>
      <c r="E446" s="12">
        <f>IF(A446="","",D446*IFERROR(INDEX(Factors!$C$5:$C$34,MATCH(C446,Factors!$A$5:$A$34,0)),0))</f>
        <v/>
      </c>
      <c r="F446" s="13">
        <f>IF(A446="","",IFERROR(INDEX(Factors!$D$5:$D$34,MATCH(C446,Factors!$A$5:$A$34,0)),"UNMATCHED"))</f>
        <v/>
      </c>
    </row>
    <row r="447">
      <c r="A447" s="8" t="n"/>
      <c r="B447" s="8" t="n"/>
      <c r="C447" s="8" t="n"/>
      <c r="D447" s="11" t="n"/>
      <c r="E447" s="12">
        <f>IF(A447="","",D447*IFERROR(INDEX(Factors!$C$5:$C$34,MATCH(C447,Factors!$A$5:$A$34,0)),0))</f>
        <v/>
      </c>
      <c r="F447" s="13">
        <f>IF(A447="","",IFERROR(INDEX(Factors!$D$5:$D$34,MATCH(C447,Factors!$A$5:$A$34,0)),"UNMATCHED"))</f>
        <v/>
      </c>
    </row>
    <row r="448">
      <c r="A448" s="8" t="n"/>
      <c r="B448" s="8" t="n"/>
      <c r="C448" s="8" t="n"/>
      <c r="D448" s="11" t="n"/>
      <c r="E448" s="12">
        <f>IF(A448="","",D448*IFERROR(INDEX(Factors!$C$5:$C$34,MATCH(C448,Factors!$A$5:$A$34,0)),0))</f>
        <v/>
      </c>
      <c r="F448" s="13">
        <f>IF(A448="","",IFERROR(INDEX(Factors!$D$5:$D$34,MATCH(C448,Factors!$A$5:$A$34,0)),"UNMATCHED"))</f>
        <v/>
      </c>
    </row>
    <row r="449">
      <c r="A449" s="8" t="n"/>
      <c r="B449" s="8" t="n"/>
      <c r="C449" s="8" t="n"/>
      <c r="D449" s="11" t="n"/>
      <c r="E449" s="12">
        <f>IF(A449="","",D449*IFERROR(INDEX(Factors!$C$5:$C$34,MATCH(C449,Factors!$A$5:$A$34,0)),0))</f>
        <v/>
      </c>
      <c r="F449" s="13">
        <f>IF(A449="","",IFERROR(INDEX(Factors!$D$5:$D$34,MATCH(C449,Factors!$A$5:$A$34,0)),"UNMATCHED"))</f>
        <v/>
      </c>
    </row>
    <row r="450">
      <c r="A450" s="8" t="n"/>
      <c r="B450" s="8" t="n"/>
      <c r="C450" s="8" t="n"/>
      <c r="D450" s="11" t="n"/>
      <c r="E450" s="12">
        <f>IF(A450="","",D450*IFERROR(INDEX(Factors!$C$5:$C$34,MATCH(C450,Factors!$A$5:$A$34,0)),0))</f>
        <v/>
      </c>
      <c r="F450" s="13">
        <f>IF(A450="","",IFERROR(INDEX(Factors!$D$5:$D$34,MATCH(C450,Factors!$A$5:$A$34,0)),"UNMATCHED"))</f>
        <v/>
      </c>
    </row>
    <row r="451">
      <c r="A451" s="8" t="n"/>
      <c r="B451" s="8" t="n"/>
      <c r="C451" s="8" t="n"/>
      <c r="D451" s="11" t="n"/>
      <c r="E451" s="12">
        <f>IF(A451="","",D451*IFERROR(INDEX(Factors!$C$5:$C$34,MATCH(C451,Factors!$A$5:$A$34,0)),0))</f>
        <v/>
      </c>
      <c r="F451" s="13">
        <f>IF(A451="","",IFERROR(INDEX(Factors!$D$5:$D$34,MATCH(C451,Factors!$A$5:$A$34,0)),"UNMATCHED"))</f>
        <v/>
      </c>
    </row>
    <row r="452">
      <c r="A452" s="8" t="n"/>
      <c r="B452" s="8" t="n"/>
      <c r="C452" s="8" t="n"/>
      <c r="D452" s="11" t="n"/>
      <c r="E452" s="12">
        <f>IF(A452="","",D452*IFERROR(INDEX(Factors!$C$5:$C$34,MATCH(C452,Factors!$A$5:$A$34,0)),0))</f>
        <v/>
      </c>
      <c r="F452" s="13">
        <f>IF(A452="","",IFERROR(INDEX(Factors!$D$5:$D$34,MATCH(C452,Factors!$A$5:$A$34,0)),"UNMATCHED"))</f>
        <v/>
      </c>
    </row>
    <row r="453">
      <c r="A453" s="8" t="n"/>
      <c r="B453" s="8" t="n"/>
      <c r="C453" s="8" t="n"/>
      <c r="D453" s="11" t="n"/>
      <c r="E453" s="12">
        <f>IF(A453="","",D453*IFERROR(INDEX(Factors!$C$5:$C$34,MATCH(C453,Factors!$A$5:$A$34,0)),0))</f>
        <v/>
      </c>
      <c r="F453" s="13">
        <f>IF(A453="","",IFERROR(INDEX(Factors!$D$5:$D$34,MATCH(C453,Factors!$A$5:$A$34,0)),"UNMATCHED"))</f>
        <v/>
      </c>
    </row>
    <row r="454">
      <c r="A454" s="8" t="n"/>
      <c r="B454" s="8" t="n"/>
      <c r="C454" s="8" t="n"/>
      <c r="D454" s="11" t="n"/>
      <c r="E454" s="12">
        <f>IF(A454="","",D454*IFERROR(INDEX(Factors!$C$5:$C$34,MATCH(C454,Factors!$A$5:$A$34,0)),0))</f>
        <v/>
      </c>
      <c r="F454" s="13">
        <f>IF(A454="","",IFERROR(INDEX(Factors!$D$5:$D$34,MATCH(C454,Factors!$A$5:$A$34,0)),"UNMATCHED"))</f>
        <v/>
      </c>
    </row>
    <row r="455">
      <c r="A455" s="8" t="n"/>
      <c r="B455" s="8" t="n"/>
      <c r="C455" s="8" t="n"/>
      <c r="D455" s="11" t="n"/>
      <c r="E455" s="12">
        <f>IF(A455="","",D455*IFERROR(INDEX(Factors!$C$5:$C$34,MATCH(C455,Factors!$A$5:$A$34,0)),0))</f>
        <v/>
      </c>
      <c r="F455" s="13">
        <f>IF(A455="","",IFERROR(INDEX(Factors!$D$5:$D$34,MATCH(C455,Factors!$A$5:$A$34,0)),"UNMATCHED"))</f>
        <v/>
      </c>
    </row>
    <row r="456">
      <c r="A456" s="8" t="n"/>
      <c r="B456" s="8" t="n"/>
      <c r="C456" s="8" t="n"/>
      <c r="D456" s="11" t="n"/>
      <c r="E456" s="12">
        <f>IF(A456="","",D456*IFERROR(INDEX(Factors!$C$5:$C$34,MATCH(C456,Factors!$A$5:$A$34,0)),0))</f>
        <v/>
      </c>
      <c r="F456" s="13">
        <f>IF(A456="","",IFERROR(INDEX(Factors!$D$5:$D$34,MATCH(C456,Factors!$A$5:$A$34,0)),"UNMATCHED"))</f>
        <v/>
      </c>
    </row>
    <row r="457">
      <c r="A457" s="8" t="n"/>
      <c r="B457" s="8" t="n"/>
      <c r="C457" s="8" t="n"/>
      <c r="D457" s="11" t="n"/>
      <c r="E457" s="12">
        <f>IF(A457="","",D457*IFERROR(INDEX(Factors!$C$5:$C$34,MATCH(C457,Factors!$A$5:$A$34,0)),0))</f>
        <v/>
      </c>
      <c r="F457" s="13">
        <f>IF(A457="","",IFERROR(INDEX(Factors!$D$5:$D$34,MATCH(C457,Factors!$A$5:$A$34,0)),"UNMATCHED"))</f>
        <v/>
      </c>
    </row>
    <row r="458">
      <c r="A458" s="8" t="n"/>
      <c r="B458" s="8" t="n"/>
      <c r="C458" s="8" t="n"/>
      <c r="D458" s="11" t="n"/>
      <c r="E458" s="12">
        <f>IF(A458="","",D458*IFERROR(INDEX(Factors!$C$5:$C$34,MATCH(C458,Factors!$A$5:$A$34,0)),0))</f>
        <v/>
      </c>
      <c r="F458" s="13">
        <f>IF(A458="","",IFERROR(INDEX(Factors!$D$5:$D$34,MATCH(C458,Factors!$A$5:$A$34,0)),"UNMATCHED"))</f>
        <v/>
      </c>
    </row>
    <row r="459">
      <c r="A459" s="8" t="n"/>
      <c r="B459" s="8" t="n"/>
      <c r="C459" s="8" t="n"/>
      <c r="D459" s="11" t="n"/>
      <c r="E459" s="12">
        <f>IF(A459="","",D459*IFERROR(INDEX(Factors!$C$5:$C$34,MATCH(C459,Factors!$A$5:$A$34,0)),0))</f>
        <v/>
      </c>
      <c r="F459" s="13">
        <f>IF(A459="","",IFERROR(INDEX(Factors!$D$5:$D$34,MATCH(C459,Factors!$A$5:$A$34,0)),"UNMATCHED"))</f>
        <v/>
      </c>
    </row>
    <row r="460">
      <c r="A460" s="8" t="n"/>
      <c r="B460" s="8" t="n"/>
      <c r="C460" s="8" t="n"/>
      <c r="D460" s="11" t="n"/>
      <c r="E460" s="12">
        <f>IF(A460="","",D460*IFERROR(INDEX(Factors!$C$5:$C$34,MATCH(C460,Factors!$A$5:$A$34,0)),0))</f>
        <v/>
      </c>
      <c r="F460" s="13">
        <f>IF(A460="","",IFERROR(INDEX(Factors!$D$5:$D$34,MATCH(C460,Factors!$A$5:$A$34,0)),"UNMATCHED"))</f>
        <v/>
      </c>
    </row>
    <row r="461">
      <c r="A461" s="8" t="n"/>
      <c r="B461" s="8" t="n"/>
      <c r="C461" s="8" t="n"/>
      <c r="D461" s="11" t="n"/>
      <c r="E461" s="12">
        <f>IF(A461="","",D461*IFERROR(INDEX(Factors!$C$5:$C$34,MATCH(C461,Factors!$A$5:$A$34,0)),0))</f>
        <v/>
      </c>
      <c r="F461" s="13">
        <f>IF(A461="","",IFERROR(INDEX(Factors!$D$5:$D$34,MATCH(C461,Factors!$A$5:$A$34,0)),"UNMATCHED"))</f>
        <v/>
      </c>
    </row>
    <row r="462">
      <c r="A462" s="8" t="n"/>
      <c r="B462" s="8" t="n"/>
      <c r="C462" s="8" t="n"/>
      <c r="D462" s="11" t="n"/>
      <c r="E462" s="12">
        <f>IF(A462="","",D462*IFERROR(INDEX(Factors!$C$5:$C$34,MATCH(C462,Factors!$A$5:$A$34,0)),0))</f>
        <v/>
      </c>
      <c r="F462" s="13">
        <f>IF(A462="","",IFERROR(INDEX(Factors!$D$5:$D$34,MATCH(C462,Factors!$A$5:$A$34,0)),"UNMATCHED"))</f>
        <v/>
      </c>
    </row>
    <row r="463">
      <c r="A463" s="8" t="n"/>
      <c r="B463" s="8" t="n"/>
      <c r="C463" s="8" t="n"/>
      <c r="D463" s="11" t="n"/>
      <c r="E463" s="12">
        <f>IF(A463="","",D463*IFERROR(INDEX(Factors!$C$5:$C$34,MATCH(C463,Factors!$A$5:$A$34,0)),0))</f>
        <v/>
      </c>
      <c r="F463" s="13">
        <f>IF(A463="","",IFERROR(INDEX(Factors!$D$5:$D$34,MATCH(C463,Factors!$A$5:$A$34,0)),"UNMATCHED"))</f>
        <v/>
      </c>
    </row>
    <row r="464">
      <c r="A464" s="8" t="n"/>
      <c r="B464" s="8" t="n"/>
      <c r="C464" s="8" t="n"/>
      <c r="D464" s="11" t="n"/>
      <c r="E464" s="12">
        <f>IF(A464="","",D464*IFERROR(INDEX(Factors!$C$5:$C$34,MATCH(C464,Factors!$A$5:$A$34,0)),0))</f>
        <v/>
      </c>
      <c r="F464" s="13">
        <f>IF(A464="","",IFERROR(INDEX(Factors!$D$5:$D$34,MATCH(C464,Factors!$A$5:$A$34,0)),"UNMATCHED"))</f>
        <v/>
      </c>
    </row>
    <row r="465">
      <c r="A465" s="8" t="n"/>
      <c r="B465" s="8" t="n"/>
      <c r="C465" s="8" t="n"/>
      <c r="D465" s="11" t="n"/>
      <c r="E465" s="12">
        <f>IF(A465="","",D465*IFERROR(INDEX(Factors!$C$5:$C$34,MATCH(C465,Factors!$A$5:$A$34,0)),0))</f>
        <v/>
      </c>
      <c r="F465" s="13">
        <f>IF(A465="","",IFERROR(INDEX(Factors!$D$5:$D$34,MATCH(C465,Factors!$A$5:$A$34,0)),"UNMATCHED"))</f>
        <v/>
      </c>
    </row>
    <row r="466">
      <c r="A466" s="8" t="n"/>
      <c r="B466" s="8" t="n"/>
      <c r="C466" s="8" t="n"/>
      <c r="D466" s="11" t="n"/>
      <c r="E466" s="12">
        <f>IF(A466="","",D466*IFERROR(INDEX(Factors!$C$5:$C$34,MATCH(C466,Factors!$A$5:$A$34,0)),0))</f>
        <v/>
      </c>
      <c r="F466" s="13">
        <f>IF(A466="","",IFERROR(INDEX(Factors!$D$5:$D$34,MATCH(C466,Factors!$A$5:$A$34,0)),"UNMATCHED"))</f>
        <v/>
      </c>
    </row>
    <row r="467">
      <c r="A467" s="8" t="n"/>
      <c r="B467" s="8" t="n"/>
      <c r="C467" s="8" t="n"/>
      <c r="D467" s="11" t="n"/>
      <c r="E467" s="12">
        <f>IF(A467="","",D467*IFERROR(INDEX(Factors!$C$5:$C$34,MATCH(C467,Factors!$A$5:$A$34,0)),0))</f>
        <v/>
      </c>
      <c r="F467" s="13">
        <f>IF(A467="","",IFERROR(INDEX(Factors!$D$5:$D$34,MATCH(C467,Factors!$A$5:$A$34,0)),"UNMATCHED"))</f>
        <v/>
      </c>
    </row>
    <row r="468">
      <c r="A468" s="8" t="n"/>
      <c r="B468" s="8" t="n"/>
      <c r="C468" s="8" t="n"/>
      <c r="D468" s="11" t="n"/>
      <c r="E468" s="12">
        <f>IF(A468="","",D468*IFERROR(INDEX(Factors!$C$5:$C$34,MATCH(C468,Factors!$A$5:$A$34,0)),0))</f>
        <v/>
      </c>
      <c r="F468" s="13">
        <f>IF(A468="","",IFERROR(INDEX(Factors!$D$5:$D$34,MATCH(C468,Factors!$A$5:$A$34,0)),"UNMATCHED"))</f>
        <v/>
      </c>
    </row>
    <row r="469">
      <c r="A469" s="8" t="n"/>
      <c r="B469" s="8" t="n"/>
      <c r="C469" s="8" t="n"/>
      <c r="D469" s="11" t="n"/>
      <c r="E469" s="12">
        <f>IF(A469="","",D469*IFERROR(INDEX(Factors!$C$5:$C$34,MATCH(C469,Factors!$A$5:$A$34,0)),0))</f>
        <v/>
      </c>
      <c r="F469" s="13">
        <f>IF(A469="","",IFERROR(INDEX(Factors!$D$5:$D$34,MATCH(C469,Factors!$A$5:$A$34,0)),"UNMATCHED"))</f>
        <v/>
      </c>
    </row>
    <row r="470">
      <c r="A470" s="8" t="n"/>
      <c r="B470" s="8" t="n"/>
      <c r="C470" s="8" t="n"/>
      <c r="D470" s="11" t="n"/>
      <c r="E470" s="12">
        <f>IF(A470="","",D470*IFERROR(INDEX(Factors!$C$5:$C$34,MATCH(C470,Factors!$A$5:$A$34,0)),0))</f>
        <v/>
      </c>
      <c r="F470" s="13">
        <f>IF(A470="","",IFERROR(INDEX(Factors!$D$5:$D$34,MATCH(C470,Factors!$A$5:$A$34,0)),"UNMATCHED"))</f>
        <v/>
      </c>
    </row>
    <row r="471">
      <c r="A471" s="8" t="n"/>
      <c r="B471" s="8" t="n"/>
      <c r="C471" s="8" t="n"/>
      <c r="D471" s="11" t="n"/>
      <c r="E471" s="12">
        <f>IF(A471="","",D471*IFERROR(INDEX(Factors!$C$5:$C$34,MATCH(C471,Factors!$A$5:$A$34,0)),0))</f>
        <v/>
      </c>
      <c r="F471" s="13">
        <f>IF(A471="","",IFERROR(INDEX(Factors!$D$5:$D$34,MATCH(C471,Factors!$A$5:$A$34,0)),"UNMATCHED"))</f>
        <v/>
      </c>
    </row>
    <row r="472">
      <c r="A472" s="8" t="n"/>
      <c r="B472" s="8" t="n"/>
      <c r="C472" s="8" t="n"/>
      <c r="D472" s="11" t="n"/>
      <c r="E472" s="12">
        <f>IF(A472="","",D472*IFERROR(INDEX(Factors!$C$5:$C$34,MATCH(C472,Factors!$A$5:$A$34,0)),0))</f>
        <v/>
      </c>
      <c r="F472" s="13">
        <f>IF(A472="","",IFERROR(INDEX(Factors!$D$5:$D$34,MATCH(C472,Factors!$A$5:$A$34,0)),"UNMATCHED"))</f>
        <v/>
      </c>
    </row>
    <row r="473">
      <c r="A473" s="8" t="n"/>
      <c r="B473" s="8" t="n"/>
      <c r="C473" s="8" t="n"/>
      <c r="D473" s="11" t="n"/>
      <c r="E473" s="12">
        <f>IF(A473="","",D473*IFERROR(INDEX(Factors!$C$5:$C$34,MATCH(C473,Factors!$A$5:$A$34,0)),0))</f>
        <v/>
      </c>
      <c r="F473" s="13">
        <f>IF(A473="","",IFERROR(INDEX(Factors!$D$5:$D$34,MATCH(C473,Factors!$A$5:$A$34,0)),"UNMATCHED"))</f>
        <v/>
      </c>
    </row>
    <row r="474">
      <c r="A474" s="8" t="n"/>
      <c r="B474" s="8" t="n"/>
      <c r="C474" s="8" t="n"/>
      <c r="D474" s="11" t="n"/>
      <c r="E474" s="12">
        <f>IF(A474="","",D474*IFERROR(INDEX(Factors!$C$5:$C$34,MATCH(C474,Factors!$A$5:$A$34,0)),0))</f>
        <v/>
      </c>
      <c r="F474" s="13">
        <f>IF(A474="","",IFERROR(INDEX(Factors!$D$5:$D$34,MATCH(C474,Factors!$A$5:$A$34,0)),"UNMATCHED"))</f>
        <v/>
      </c>
    </row>
    <row r="475">
      <c r="A475" s="8" t="n"/>
      <c r="B475" s="8" t="n"/>
      <c r="C475" s="8" t="n"/>
      <c r="D475" s="11" t="n"/>
      <c r="E475" s="12">
        <f>IF(A475="","",D475*IFERROR(INDEX(Factors!$C$5:$C$34,MATCH(C475,Factors!$A$5:$A$34,0)),0))</f>
        <v/>
      </c>
      <c r="F475" s="13">
        <f>IF(A475="","",IFERROR(INDEX(Factors!$D$5:$D$34,MATCH(C475,Factors!$A$5:$A$34,0)),"UNMATCHED"))</f>
        <v/>
      </c>
    </row>
    <row r="476">
      <c r="A476" s="8" t="n"/>
      <c r="B476" s="8" t="n"/>
      <c r="C476" s="8" t="n"/>
      <c r="D476" s="11" t="n"/>
      <c r="E476" s="12">
        <f>IF(A476="","",D476*IFERROR(INDEX(Factors!$C$5:$C$34,MATCH(C476,Factors!$A$5:$A$34,0)),0))</f>
        <v/>
      </c>
      <c r="F476" s="13">
        <f>IF(A476="","",IFERROR(INDEX(Factors!$D$5:$D$34,MATCH(C476,Factors!$A$5:$A$34,0)),"UNMATCHED"))</f>
        <v/>
      </c>
    </row>
    <row r="477">
      <c r="A477" s="8" t="n"/>
      <c r="B477" s="8" t="n"/>
      <c r="C477" s="8" t="n"/>
      <c r="D477" s="11" t="n"/>
      <c r="E477" s="12">
        <f>IF(A477="","",D477*IFERROR(INDEX(Factors!$C$5:$C$34,MATCH(C477,Factors!$A$5:$A$34,0)),0))</f>
        <v/>
      </c>
      <c r="F477" s="13">
        <f>IF(A477="","",IFERROR(INDEX(Factors!$D$5:$D$34,MATCH(C477,Factors!$A$5:$A$34,0)),"UNMATCHED"))</f>
        <v/>
      </c>
    </row>
    <row r="478">
      <c r="A478" s="8" t="n"/>
      <c r="B478" s="8" t="n"/>
      <c r="C478" s="8" t="n"/>
      <c r="D478" s="11" t="n"/>
      <c r="E478" s="12">
        <f>IF(A478="","",D478*IFERROR(INDEX(Factors!$C$5:$C$34,MATCH(C478,Factors!$A$5:$A$34,0)),0))</f>
        <v/>
      </c>
      <c r="F478" s="13">
        <f>IF(A478="","",IFERROR(INDEX(Factors!$D$5:$D$34,MATCH(C478,Factors!$A$5:$A$34,0)),"UNMATCHED"))</f>
        <v/>
      </c>
    </row>
    <row r="479">
      <c r="A479" s="8" t="n"/>
      <c r="B479" s="8" t="n"/>
      <c r="C479" s="8" t="n"/>
      <c r="D479" s="11" t="n"/>
      <c r="E479" s="12">
        <f>IF(A479="","",D479*IFERROR(INDEX(Factors!$C$5:$C$34,MATCH(C479,Factors!$A$5:$A$34,0)),0))</f>
        <v/>
      </c>
      <c r="F479" s="13">
        <f>IF(A479="","",IFERROR(INDEX(Factors!$D$5:$D$34,MATCH(C479,Factors!$A$5:$A$34,0)),"UNMATCHED"))</f>
        <v/>
      </c>
    </row>
    <row r="480">
      <c r="A480" s="8" t="n"/>
      <c r="B480" s="8" t="n"/>
      <c r="C480" s="8" t="n"/>
      <c r="D480" s="11" t="n"/>
      <c r="E480" s="12">
        <f>IF(A480="","",D480*IFERROR(INDEX(Factors!$C$5:$C$34,MATCH(C480,Factors!$A$5:$A$34,0)),0))</f>
        <v/>
      </c>
      <c r="F480" s="13">
        <f>IF(A480="","",IFERROR(INDEX(Factors!$D$5:$D$34,MATCH(C480,Factors!$A$5:$A$34,0)),"UNMATCHED"))</f>
        <v/>
      </c>
    </row>
    <row r="481">
      <c r="A481" s="8" t="n"/>
      <c r="B481" s="8" t="n"/>
      <c r="C481" s="8" t="n"/>
      <c r="D481" s="11" t="n"/>
      <c r="E481" s="12">
        <f>IF(A481="","",D481*IFERROR(INDEX(Factors!$C$5:$C$34,MATCH(C481,Factors!$A$5:$A$34,0)),0))</f>
        <v/>
      </c>
      <c r="F481" s="13">
        <f>IF(A481="","",IFERROR(INDEX(Factors!$D$5:$D$34,MATCH(C481,Factors!$A$5:$A$34,0)),"UNMATCHED"))</f>
        <v/>
      </c>
    </row>
    <row r="482">
      <c r="A482" s="8" t="n"/>
      <c r="B482" s="8" t="n"/>
      <c r="C482" s="8" t="n"/>
      <c r="D482" s="11" t="n"/>
      <c r="E482" s="12">
        <f>IF(A482="","",D482*IFERROR(INDEX(Factors!$C$5:$C$34,MATCH(C482,Factors!$A$5:$A$34,0)),0))</f>
        <v/>
      </c>
      <c r="F482" s="13">
        <f>IF(A482="","",IFERROR(INDEX(Factors!$D$5:$D$34,MATCH(C482,Factors!$A$5:$A$34,0)),"UNMATCHED"))</f>
        <v/>
      </c>
    </row>
    <row r="483">
      <c r="A483" s="8" t="n"/>
      <c r="B483" s="8" t="n"/>
      <c r="C483" s="8" t="n"/>
      <c r="D483" s="11" t="n"/>
      <c r="E483" s="12">
        <f>IF(A483="","",D483*IFERROR(INDEX(Factors!$C$5:$C$34,MATCH(C483,Factors!$A$5:$A$34,0)),0))</f>
        <v/>
      </c>
      <c r="F483" s="13">
        <f>IF(A483="","",IFERROR(INDEX(Factors!$D$5:$D$34,MATCH(C483,Factors!$A$5:$A$34,0)),"UNMATCHED"))</f>
        <v/>
      </c>
    </row>
    <row r="484">
      <c r="A484" s="8" t="n"/>
      <c r="B484" s="8" t="n"/>
      <c r="C484" s="8" t="n"/>
      <c r="D484" s="11" t="n"/>
      <c r="E484" s="12">
        <f>IF(A484="","",D484*IFERROR(INDEX(Factors!$C$5:$C$34,MATCH(C484,Factors!$A$5:$A$34,0)),0))</f>
        <v/>
      </c>
      <c r="F484" s="13">
        <f>IF(A484="","",IFERROR(INDEX(Factors!$D$5:$D$34,MATCH(C484,Factors!$A$5:$A$34,0)),"UNMATCHED"))</f>
        <v/>
      </c>
    </row>
    <row r="485">
      <c r="A485" s="8" t="n"/>
      <c r="B485" s="8" t="n"/>
      <c r="C485" s="8" t="n"/>
      <c r="D485" s="11" t="n"/>
      <c r="E485" s="12">
        <f>IF(A485="","",D485*IFERROR(INDEX(Factors!$C$5:$C$34,MATCH(C485,Factors!$A$5:$A$34,0)),0))</f>
        <v/>
      </c>
      <c r="F485" s="13">
        <f>IF(A485="","",IFERROR(INDEX(Factors!$D$5:$D$34,MATCH(C485,Factors!$A$5:$A$34,0)),"UNMATCHED"))</f>
        <v/>
      </c>
    </row>
    <row r="486">
      <c r="A486" s="8" t="n"/>
      <c r="B486" s="8" t="n"/>
      <c r="C486" s="8" t="n"/>
      <c r="D486" s="11" t="n"/>
      <c r="E486" s="12">
        <f>IF(A486="","",D486*IFERROR(INDEX(Factors!$C$5:$C$34,MATCH(C486,Factors!$A$5:$A$34,0)),0))</f>
        <v/>
      </c>
      <c r="F486" s="13">
        <f>IF(A486="","",IFERROR(INDEX(Factors!$D$5:$D$34,MATCH(C486,Factors!$A$5:$A$34,0)),"UNMATCHED"))</f>
        <v/>
      </c>
    </row>
    <row r="487">
      <c r="A487" s="8" t="n"/>
      <c r="B487" s="8" t="n"/>
      <c r="C487" s="8" t="n"/>
      <c r="D487" s="11" t="n"/>
      <c r="E487" s="12">
        <f>IF(A487="","",D487*IFERROR(INDEX(Factors!$C$5:$C$34,MATCH(C487,Factors!$A$5:$A$34,0)),0))</f>
        <v/>
      </c>
      <c r="F487" s="13">
        <f>IF(A487="","",IFERROR(INDEX(Factors!$D$5:$D$34,MATCH(C487,Factors!$A$5:$A$34,0)),"UNMATCHED"))</f>
        <v/>
      </c>
    </row>
    <row r="488">
      <c r="A488" s="8" t="n"/>
      <c r="B488" s="8" t="n"/>
      <c r="C488" s="8" t="n"/>
      <c r="D488" s="11" t="n"/>
      <c r="E488" s="12">
        <f>IF(A488="","",D488*IFERROR(INDEX(Factors!$C$5:$C$34,MATCH(C488,Factors!$A$5:$A$34,0)),0))</f>
        <v/>
      </c>
      <c r="F488" s="13">
        <f>IF(A488="","",IFERROR(INDEX(Factors!$D$5:$D$34,MATCH(C488,Factors!$A$5:$A$34,0)),"UNMATCHED"))</f>
        <v/>
      </c>
    </row>
    <row r="489">
      <c r="A489" s="8" t="n"/>
      <c r="B489" s="8" t="n"/>
      <c r="C489" s="8" t="n"/>
      <c r="D489" s="11" t="n"/>
      <c r="E489" s="12">
        <f>IF(A489="","",D489*IFERROR(INDEX(Factors!$C$5:$C$34,MATCH(C489,Factors!$A$5:$A$34,0)),0))</f>
        <v/>
      </c>
      <c r="F489" s="13">
        <f>IF(A489="","",IFERROR(INDEX(Factors!$D$5:$D$34,MATCH(C489,Factors!$A$5:$A$34,0)),"UNMATCHED"))</f>
        <v/>
      </c>
    </row>
    <row r="490">
      <c r="A490" s="8" t="n"/>
      <c r="B490" s="8" t="n"/>
      <c r="C490" s="8" t="n"/>
      <c r="D490" s="11" t="n"/>
      <c r="E490" s="12">
        <f>IF(A490="","",D490*IFERROR(INDEX(Factors!$C$5:$C$34,MATCH(C490,Factors!$A$5:$A$34,0)),0))</f>
        <v/>
      </c>
      <c r="F490" s="13">
        <f>IF(A490="","",IFERROR(INDEX(Factors!$D$5:$D$34,MATCH(C490,Factors!$A$5:$A$34,0)),"UNMATCHED"))</f>
        <v/>
      </c>
    </row>
    <row r="491">
      <c r="A491" s="8" t="n"/>
      <c r="B491" s="8" t="n"/>
      <c r="C491" s="8" t="n"/>
      <c r="D491" s="11" t="n"/>
      <c r="E491" s="12">
        <f>IF(A491="","",D491*IFERROR(INDEX(Factors!$C$5:$C$34,MATCH(C491,Factors!$A$5:$A$34,0)),0))</f>
        <v/>
      </c>
      <c r="F491" s="13">
        <f>IF(A491="","",IFERROR(INDEX(Factors!$D$5:$D$34,MATCH(C491,Factors!$A$5:$A$34,0)),"UNMATCHED"))</f>
        <v/>
      </c>
    </row>
    <row r="492">
      <c r="A492" s="8" t="n"/>
      <c r="B492" s="8" t="n"/>
      <c r="C492" s="8" t="n"/>
      <c r="D492" s="11" t="n"/>
      <c r="E492" s="12">
        <f>IF(A492="","",D492*IFERROR(INDEX(Factors!$C$5:$C$34,MATCH(C492,Factors!$A$5:$A$34,0)),0))</f>
        <v/>
      </c>
      <c r="F492" s="13">
        <f>IF(A492="","",IFERROR(INDEX(Factors!$D$5:$D$34,MATCH(C492,Factors!$A$5:$A$34,0)),"UNMATCHED"))</f>
        <v/>
      </c>
    </row>
    <row r="493">
      <c r="A493" s="8" t="n"/>
      <c r="B493" s="8" t="n"/>
      <c r="C493" s="8" t="n"/>
      <c r="D493" s="11" t="n"/>
      <c r="E493" s="12">
        <f>IF(A493="","",D493*IFERROR(INDEX(Factors!$C$5:$C$34,MATCH(C493,Factors!$A$5:$A$34,0)),0))</f>
        <v/>
      </c>
      <c r="F493" s="13">
        <f>IF(A493="","",IFERROR(INDEX(Factors!$D$5:$D$34,MATCH(C493,Factors!$A$5:$A$34,0)),"UNMATCHED"))</f>
        <v/>
      </c>
    </row>
    <row r="494">
      <c r="A494" s="8" t="n"/>
      <c r="B494" s="8" t="n"/>
      <c r="C494" s="8" t="n"/>
      <c r="D494" s="11" t="n"/>
      <c r="E494" s="12">
        <f>IF(A494="","",D494*IFERROR(INDEX(Factors!$C$5:$C$34,MATCH(C494,Factors!$A$5:$A$34,0)),0))</f>
        <v/>
      </c>
      <c r="F494" s="13">
        <f>IF(A494="","",IFERROR(INDEX(Factors!$D$5:$D$34,MATCH(C494,Factors!$A$5:$A$34,0)),"UNMATCHED"))</f>
        <v/>
      </c>
    </row>
    <row r="495">
      <c r="A495" s="8" t="n"/>
      <c r="B495" s="8" t="n"/>
      <c r="C495" s="8" t="n"/>
      <c r="D495" s="11" t="n"/>
      <c r="E495" s="12">
        <f>IF(A495="","",D495*IFERROR(INDEX(Factors!$C$5:$C$34,MATCH(C495,Factors!$A$5:$A$34,0)),0))</f>
        <v/>
      </c>
      <c r="F495" s="13">
        <f>IF(A495="","",IFERROR(INDEX(Factors!$D$5:$D$34,MATCH(C495,Factors!$A$5:$A$34,0)),"UNMATCHED"))</f>
        <v/>
      </c>
    </row>
    <row r="496">
      <c r="A496" s="8" t="n"/>
      <c r="B496" s="8" t="n"/>
      <c r="C496" s="8" t="n"/>
      <c r="D496" s="11" t="n"/>
      <c r="E496" s="12">
        <f>IF(A496="","",D496*IFERROR(INDEX(Factors!$C$5:$C$34,MATCH(C496,Factors!$A$5:$A$34,0)),0))</f>
        <v/>
      </c>
      <c r="F496" s="13">
        <f>IF(A496="","",IFERROR(INDEX(Factors!$D$5:$D$34,MATCH(C496,Factors!$A$5:$A$34,0)),"UNMATCHED"))</f>
        <v/>
      </c>
    </row>
    <row r="497">
      <c r="A497" s="8" t="n"/>
      <c r="B497" s="8" t="n"/>
      <c r="C497" s="8" t="n"/>
      <c r="D497" s="11" t="n"/>
      <c r="E497" s="12">
        <f>IF(A497="","",D497*IFERROR(INDEX(Factors!$C$5:$C$34,MATCH(C497,Factors!$A$5:$A$34,0)),0))</f>
        <v/>
      </c>
      <c r="F497" s="13">
        <f>IF(A497="","",IFERROR(INDEX(Factors!$D$5:$D$34,MATCH(C497,Factors!$A$5:$A$34,0)),"UNMATCHED"))</f>
        <v/>
      </c>
    </row>
    <row r="498">
      <c r="A498" s="8" t="n"/>
      <c r="B498" s="8" t="n"/>
      <c r="C498" s="8" t="n"/>
      <c r="D498" s="11" t="n"/>
      <c r="E498" s="12">
        <f>IF(A498="","",D498*IFERROR(INDEX(Factors!$C$5:$C$34,MATCH(C498,Factors!$A$5:$A$34,0)),0))</f>
        <v/>
      </c>
      <c r="F498" s="13">
        <f>IF(A498="","",IFERROR(INDEX(Factors!$D$5:$D$34,MATCH(C498,Factors!$A$5:$A$34,0)),"UNMATCHED"))</f>
        <v/>
      </c>
    </row>
    <row r="499">
      <c r="A499" s="8" t="n"/>
      <c r="B499" s="8" t="n"/>
      <c r="C499" s="8" t="n"/>
      <c r="D499" s="11" t="n"/>
      <c r="E499" s="12">
        <f>IF(A499="","",D499*IFERROR(INDEX(Factors!$C$5:$C$34,MATCH(C499,Factors!$A$5:$A$34,0)),0))</f>
        <v/>
      </c>
      <c r="F499" s="13">
        <f>IF(A499="","",IFERROR(INDEX(Factors!$D$5:$D$34,MATCH(C499,Factors!$A$5:$A$34,0)),"UNMATCHED"))</f>
        <v/>
      </c>
    </row>
    <row r="500">
      <c r="A500" s="8" t="n"/>
      <c r="B500" s="8" t="n"/>
      <c r="C500" s="8" t="n"/>
      <c r="D500" s="11" t="n"/>
      <c r="E500" s="12">
        <f>IF(A500="","",D500*IFERROR(INDEX(Factors!$C$5:$C$34,MATCH(C500,Factors!$A$5:$A$34,0)),0))</f>
        <v/>
      </c>
      <c r="F500" s="13">
        <f>IF(A500="","",IFERROR(INDEX(Factors!$D$5:$D$34,MATCH(C500,Factors!$A$5:$A$34,0)),"UNMATCHED"))</f>
        <v/>
      </c>
    </row>
    <row r="501">
      <c r="A501" s="8" t="n"/>
      <c r="B501" s="8" t="n"/>
      <c r="C501" s="8" t="n"/>
      <c r="D501" s="11" t="n"/>
      <c r="E501" s="12">
        <f>IF(A501="","",D501*IFERROR(INDEX(Factors!$C$5:$C$34,MATCH(C501,Factors!$A$5:$A$34,0)),0))</f>
        <v/>
      </c>
      <c r="F501" s="13">
        <f>IF(A501="","",IFERROR(INDEX(Factors!$D$5:$D$34,MATCH(C501,Factors!$A$5:$A$34,0)),"UNMATCHED"))</f>
        <v/>
      </c>
    </row>
    <row r="502">
      <c r="A502" s="8" t="n"/>
      <c r="B502" s="8" t="n"/>
      <c r="C502" s="8" t="n"/>
      <c r="D502" s="11" t="n"/>
      <c r="E502" s="12">
        <f>IF(A502="","",D502*IFERROR(INDEX(Factors!$C$5:$C$34,MATCH(C502,Factors!$A$5:$A$34,0)),0))</f>
        <v/>
      </c>
      <c r="F502" s="13">
        <f>IF(A502="","",IFERROR(INDEX(Factors!$D$5:$D$34,MATCH(C502,Factors!$A$5:$A$34,0)),"UNMATCHED"))</f>
        <v/>
      </c>
    </row>
    <row r="503">
      <c r="A503" s="8" t="n"/>
      <c r="B503" s="8" t="n"/>
      <c r="C503" s="8" t="n"/>
      <c r="D503" s="11" t="n"/>
      <c r="E503" s="12">
        <f>IF(A503="","",D503*IFERROR(INDEX(Factors!$C$5:$C$34,MATCH(C503,Factors!$A$5:$A$34,0)),0))</f>
        <v/>
      </c>
      <c r="F503" s="13">
        <f>IF(A503="","",IFERROR(INDEX(Factors!$D$5:$D$34,MATCH(C503,Factors!$A$5:$A$34,0)),"UNMATCHED"))</f>
        <v/>
      </c>
    </row>
    <row r="504">
      <c r="A504" s="8" t="n"/>
      <c r="B504" s="8" t="n"/>
      <c r="C504" s="8" t="n"/>
      <c r="D504" s="11" t="n"/>
      <c r="E504" s="12">
        <f>IF(A504="","",D504*IFERROR(INDEX(Factors!$C$5:$C$34,MATCH(C504,Factors!$A$5:$A$34,0)),0))</f>
        <v/>
      </c>
      <c r="F504" s="13">
        <f>IF(A504="","",IFERROR(INDEX(Factors!$D$5:$D$34,MATCH(C504,Factors!$A$5:$A$34,0)),"UNMATCHED"))</f>
        <v/>
      </c>
    </row>
    <row r="505">
      <c r="A505" s="8" t="n"/>
      <c r="B505" s="8" t="n"/>
      <c r="C505" s="8" t="n"/>
      <c r="D505" s="11" t="n"/>
      <c r="E505" s="12">
        <f>IF(A505="","",D505*IFERROR(INDEX(Factors!$C$5:$C$34,MATCH(C505,Factors!$A$5:$A$34,0)),0))</f>
        <v/>
      </c>
      <c r="F505" s="13">
        <f>IF(A505="","",IFERROR(INDEX(Factors!$D$5:$D$34,MATCH(C505,Factors!$A$5:$A$34,0)),"UNMATCHED"))</f>
        <v/>
      </c>
    </row>
    <row r="506">
      <c r="A506" s="8" t="n"/>
      <c r="B506" s="8" t="n"/>
      <c r="C506" s="8" t="n"/>
      <c r="D506" s="11" t="n"/>
      <c r="E506" s="12">
        <f>IF(A506="","",D506*IFERROR(INDEX(Factors!$C$5:$C$34,MATCH(C506,Factors!$A$5:$A$34,0)),0))</f>
        <v/>
      </c>
      <c r="F506" s="13">
        <f>IF(A506="","",IFERROR(INDEX(Factors!$D$5:$D$34,MATCH(C506,Factors!$A$5:$A$34,0)),"UNMATCHED"))</f>
        <v/>
      </c>
    </row>
    <row r="507">
      <c r="A507" s="8" t="n"/>
      <c r="B507" s="8" t="n"/>
      <c r="C507" s="8" t="n"/>
      <c r="D507" s="11" t="n"/>
      <c r="E507" s="12">
        <f>IF(A507="","",D507*IFERROR(INDEX(Factors!$C$5:$C$34,MATCH(C507,Factors!$A$5:$A$34,0)),0))</f>
        <v/>
      </c>
      <c r="F507" s="13">
        <f>IF(A507="","",IFERROR(INDEX(Factors!$D$5:$D$34,MATCH(C507,Factors!$A$5:$A$34,0)),"UNMATCHED"))</f>
        <v/>
      </c>
    </row>
    <row r="508">
      <c r="A508" s="8" t="n"/>
      <c r="B508" s="8" t="n"/>
      <c r="C508" s="8" t="n"/>
      <c r="D508" s="11" t="n"/>
      <c r="E508" s="12">
        <f>IF(A508="","",D508*IFERROR(INDEX(Factors!$C$5:$C$34,MATCH(C508,Factors!$A$5:$A$34,0)),0))</f>
        <v/>
      </c>
      <c r="F508" s="13">
        <f>IF(A508="","",IFERROR(INDEX(Factors!$D$5:$D$34,MATCH(C508,Factors!$A$5:$A$34,0)),"UNMATCHED"))</f>
        <v/>
      </c>
    </row>
    <row r="509">
      <c r="A509" s="8" t="n"/>
      <c r="B509" s="8" t="n"/>
      <c r="C509" s="8" t="n"/>
      <c r="D509" s="11" t="n"/>
      <c r="E509" s="12">
        <f>IF(A509="","",D509*IFERROR(INDEX(Factors!$C$5:$C$34,MATCH(C509,Factors!$A$5:$A$34,0)),0))</f>
        <v/>
      </c>
      <c r="F509" s="13">
        <f>IF(A509="","",IFERROR(INDEX(Factors!$D$5:$D$34,MATCH(C509,Factors!$A$5:$A$34,0)),"UNMATCHED"))</f>
        <v/>
      </c>
    </row>
    <row r="510">
      <c r="A510" s="8" t="n"/>
      <c r="B510" s="8" t="n"/>
      <c r="C510" s="8" t="n"/>
      <c r="D510" s="11" t="n"/>
      <c r="E510" s="12">
        <f>IF(A510="","",D510*IFERROR(INDEX(Factors!$C$5:$C$34,MATCH(C510,Factors!$A$5:$A$34,0)),0))</f>
        <v/>
      </c>
      <c r="F510" s="13">
        <f>IF(A510="","",IFERROR(INDEX(Factors!$D$5:$D$34,MATCH(C510,Factors!$A$5:$A$34,0)),"UNMATCHED"))</f>
        <v/>
      </c>
    </row>
    <row r="511">
      <c r="A511" s="8" t="n"/>
      <c r="B511" s="8" t="n"/>
      <c r="C511" s="8" t="n"/>
      <c r="D511" s="11" t="n"/>
      <c r="E511" s="12">
        <f>IF(A511="","",D511*IFERROR(INDEX(Factors!$C$5:$C$34,MATCH(C511,Factors!$A$5:$A$34,0)),0))</f>
        <v/>
      </c>
      <c r="F511" s="13">
        <f>IF(A511="","",IFERROR(INDEX(Factors!$D$5:$D$34,MATCH(C511,Factors!$A$5:$A$34,0)),"UNMATCHED"))</f>
        <v/>
      </c>
    </row>
    <row r="512">
      <c r="A512" s="8" t="n"/>
      <c r="B512" s="8" t="n"/>
      <c r="C512" s="8" t="n"/>
      <c r="D512" s="11" t="n"/>
      <c r="E512" s="12">
        <f>IF(A512="","",D512*IFERROR(INDEX(Factors!$C$5:$C$34,MATCH(C512,Factors!$A$5:$A$34,0)),0))</f>
        <v/>
      </c>
      <c r="F512" s="13">
        <f>IF(A512="","",IFERROR(INDEX(Factors!$D$5:$D$34,MATCH(C512,Factors!$A$5:$A$34,0)),"UNMATCHED"))</f>
        <v/>
      </c>
    </row>
    <row r="513">
      <c r="A513" s="8" t="n"/>
      <c r="B513" s="8" t="n"/>
      <c r="C513" s="8" t="n"/>
      <c r="D513" s="11" t="n"/>
      <c r="E513" s="12">
        <f>IF(A513="","",D513*IFERROR(INDEX(Factors!$C$5:$C$34,MATCH(C513,Factors!$A$5:$A$34,0)),0))</f>
        <v/>
      </c>
      <c r="F513" s="13">
        <f>IF(A513="","",IFERROR(INDEX(Factors!$D$5:$D$34,MATCH(C513,Factors!$A$5:$A$34,0)),"UNMATCHED"))</f>
        <v/>
      </c>
    </row>
    <row r="514">
      <c r="A514" s="8" t="n"/>
      <c r="B514" s="8" t="n"/>
      <c r="C514" s="8" t="n"/>
      <c r="D514" s="11" t="n"/>
      <c r="E514" s="12">
        <f>IF(A514="","",D514*IFERROR(INDEX(Factors!$C$5:$C$34,MATCH(C514,Factors!$A$5:$A$34,0)),0))</f>
        <v/>
      </c>
      <c r="F514" s="13">
        <f>IF(A514="","",IFERROR(INDEX(Factors!$D$5:$D$34,MATCH(C514,Factors!$A$5:$A$34,0)),"UNMATCHED"))</f>
        <v/>
      </c>
    </row>
    <row r="515">
      <c r="A515" s="8" t="n"/>
      <c r="B515" s="8" t="n"/>
      <c r="C515" s="8" t="n"/>
      <c r="D515" s="11" t="n"/>
      <c r="E515" s="12">
        <f>IF(A515="","",D515*IFERROR(INDEX(Factors!$C$5:$C$34,MATCH(C515,Factors!$A$5:$A$34,0)),0))</f>
        <v/>
      </c>
      <c r="F515" s="13">
        <f>IF(A515="","",IFERROR(INDEX(Factors!$D$5:$D$34,MATCH(C515,Factors!$A$5:$A$34,0)),"UNMATCHED"))</f>
        <v/>
      </c>
    </row>
    <row r="516">
      <c r="A516" s="8" t="n"/>
      <c r="B516" s="8" t="n"/>
      <c r="C516" s="8" t="n"/>
      <c r="D516" s="11" t="n"/>
      <c r="E516" s="12">
        <f>IF(A516="","",D516*IFERROR(INDEX(Factors!$C$5:$C$34,MATCH(C516,Factors!$A$5:$A$34,0)),0))</f>
        <v/>
      </c>
      <c r="F516" s="13">
        <f>IF(A516="","",IFERROR(INDEX(Factors!$D$5:$D$34,MATCH(C516,Factors!$A$5:$A$34,0)),"UNMATCHED"))</f>
        <v/>
      </c>
    </row>
    <row r="517">
      <c r="A517" s="8" t="n"/>
      <c r="B517" s="8" t="n"/>
      <c r="C517" s="8" t="n"/>
      <c r="D517" s="11" t="n"/>
      <c r="E517" s="12">
        <f>IF(A517="","",D517*IFERROR(INDEX(Factors!$C$5:$C$34,MATCH(C517,Factors!$A$5:$A$34,0)),0))</f>
        <v/>
      </c>
      <c r="F517" s="13">
        <f>IF(A517="","",IFERROR(INDEX(Factors!$D$5:$D$34,MATCH(C517,Factors!$A$5:$A$34,0)),"UNMATCHED"))</f>
        <v/>
      </c>
    </row>
    <row r="518">
      <c r="A518" s="8" t="n"/>
      <c r="B518" s="8" t="n"/>
      <c r="C518" s="8" t="n"/>
      <c r="D518" s="11" t="n"/>
      <c r="E518" s="12">
        <f>IF(A518="","",D518*IFERROR(INDEX(Factors!$C$5:$C$34,MATCH(C518,Factors!$A$5:$A$34,0)),0))</f>
        <v/>
      </c>
      <c r="F518" s="13">
        <f>IF(A518="","",IFERROR(INDEX(Factors!$D$5:$D$34,MATCH(C518,Factors!$A$5:$A$34,0)),"UNMATCHED"))</f>
        <v/>
      </c>
    </row>
    <row r="519">
      <c r="A519" s="8" t="n"/>
      <c r="B519" s="8" t="n"/>
      <c r="C519" s="8" t="n"/>
      <c r="D519" s="11" t="n"/>
      <c r="E519" s="12">
        <f>IF(A519="","",D519*IFERROR(INDEX(Factors!$C$5:$C$34,MATCH(C519,Factors!$A$5:$A$34,0)),0))</f>
        <v/>
      </c>
      <c r="F519" s="13">
        <f>IF(A519="","",IFERROR(INDEX(Factors!$D$5:$D$34,MATCH(C519,Factors!$A$5:$A$34,0)),"UNMATCHED"))</f>
        <v/>
      </c>
    </row>
    <row r="520">
      <c r="A520" s="8" t="n"/>
      <c r="B520" s="8" t="n"/>
      <c r="C520" s="8" t="n"/>
      <c r="D520" s="11" t="n"/>
      <c r="E520" s="12">
        <f>IF(A520="","",D520*IFERROR(INDEX(Factors!$C$5:$C$34,MATCH(C520,Factors!$A$5:$A$34,0)),0))</f>
        <v/>
      </c>
      <c r="F520" s="13">
        <f>IF(A520="","",IFERROR(INDEX(Factors!$D$5:$D$34,MATCH(C520,Factors!$A$5:$A$34,0)),"UNMATCHED"))</f>
        <v/>
      </c>
    </row>
    <row r="521">
      <c r="A521" s="8" t="n"/>
      <c r="B521" s="8" t="n"/>
      <c r="C521" s="8" t="n"/>
      <c r="D521" s="11" t="n"/>
      <c r="E521" s="12">
        <f>IF(A521="","",D521*IFERROR(INDEX(Factors!$C$5:$C$34,MATCH(C521,Factors!$A$5:$A$34,0)),0))</f>
        <v/>
      </c>
      <c r="F521" s="13">
        <f>IF(A521="","",IFERROR(INDEX(Factors!$D$5:$D$34,MATCH(C521,Factors!$A$5:$A$34,0)),"UNMATCHED"))</f>
        <v/>
      </c>
    </row>
    <row r="522">
      <c r="A522" s="8" t="n"/>
      <c r="B522" s="8" t="n"/>
      <c r="C522" s="8" t="n"/>
      <c r="D522" s="11" t="n"/>
      <c r="E522" s="12">
        <f>IF(A522="","",D522*IFERROR(INDEX(Factors!$C$5:$C$34,MATCH(C522,Factors!$A$5:$A$34,0)),0))</f>
        <v/>
      </c>
      <c r="F522" s="13">
        <f>IF(A522="","",IFERROR(INDEX(Factors!$D$5:$D$34,MATCH(C522,Factors!$A$5:$A$34,0)),"UNMATCHED"))</f>
        <v/>
      </c>
    </row>
    <row r="523">
      <c r="A523" s="8" t="n"/>
      <c r="B523" s="8" t="n"/>
      <c r="C523" s="8" t="n"/>
      <c r="D523" s="11" t="n"/>
      <c r="E523" s="12">
        <f>IF(A523="","",D523*IFERROR(INDEX(Factors!$C$5:$C$34,MATCH(C523,Factors!$A$5:$A$34,0)),0))</f>
        <v/>
      </c>
      <c r="F523" s="13">
        <f>IF(A523="","",IFERROR(INDEX(Factors!$D$5:$D$34,MATCH(C523,Factors!$A$5:$A$34,0)),"UNMATCHED"))</f>
        <v/>
      </c>
    </row>
    <row r="524">
      <c r="A524" s="8" t="n"/>
      <c r="B524" s="8" t="n"/>
      <c r="C524" s="8" t="n"/>
      <c r="D524" s="11" t="n"/>
      <c r="E524" s="12">
        <f>IF(A524="","",D524*IFERROR(INDEX(Factors!$C$5:$C$34,MATCH(C524,Factors!$A$5:$A$34,0)),0))</f>
        <v/>
      </c>
      <c r="F524" s="13">
        <f>IF(A524="","",IFERROR(INDEX(Factors!$D$5:$D$34,MATCH(C524,Factors!$A$5:$A$34,0)),"UNMATCHED"))</f>
        <v/>
      </c>
    </row>
    <row r="525">
      <c r="A525" s="8" t="n"/>
      <c r="B525" s="8" t="n"/>
      <c r="C525" s="8" t="n"/>
      <c r="D525" s="11" t="n"/>
      <c r="E525" s="12">
        <f>IF(A525="","",D525*IFERROR(INDEX(Factors!$C$5:$C$34,MATCH(C525,Factors!$A$5:$A$34,0)),0))</f>
        <v/>
      </c>
      <c r="F525" s="13">
        <f>IF(A525="","",IFERROR(INDEX(Factors!$D$5:$D$34,MATCH(C525,Factors!$A$5:$A$34,0)),"UNMATCHED"))</f>
        <v/>
      </c>
    </row>
    <row r="526">
      <c r="A526" s="8" t="n"/>
      <c r="B526" s="8" t="n"/>
      <c r="C526" s="8" t="n"/>
      <c r="D526" s="11" t="n"/>
      <c r="E526" s="12">
        <f>IF(A526="","",D526*IFERROR(INDEX(Factors!$C$5:$C$34,MATCH(C526,Factors!$A$5:$A$34,0)),0))</f>
        <v/>
      </c>
      <c r="F526" s="13">
        <f>IF(A526="","",IFERROR(INDEX(Factors!$D$5:$D$34,MATCH(C526,Factors!$A$5:$A$34,0)),"UNMATCHED"))</f>
        <v/>
      </c>
    </row>
    <row r="527">
      <c r="A527" s="8" t="n"/>
      <c r="B527" s="8" t="n"/>
      <c r="C527" s="8" t="n"/>
      <c r="D527" s="11" t="n"/>
      <c r="E527" s="12">
        <f>IF(A527="","",D527*IFERROR(INDEX(Factors!$C$5:$C$34,MATCH(C527,Factors!$A$5:$A$34,0)),0))</f>
        <v/>
      </c>
      <c r="F527" s="13">
        <f>IF(A527="","",IFERROR(INDEX(Factors!$D$5:$D$34,MATCH(C527,Factors!$A$5:$A$34,0)),"UNMATCHED"))</f>
        <v/>
      </c>
    </row>
    <row r="528">
      <c r="A528" s="8" t="n"/>
      <c r="B528" s="8" t="n"/>
      <c r="C528" s="8" t="n"/>
      <c r="D528" s="11" t="n"/>
      <c r="E528" s="12">
        <f>IF(A528="","",D528*IFERROR(INDEX(Factors!$C$5:$C$34,MATCH(C528,Factors!$A$5:$A$34,0)),0))</f>
        <v/>
      </c>
      <c r="F528" s="13">
        <f>IF(A528="","",IFERROR(INDEX(Factors!$D$5:$D$34,MATCH(C528,Factors!$A$5:$A$34,0)),"UNMATCHED"))</f>
        <v/>
      </c>
    </row>
    <row r="529">
      <c r="A529" s="8" t="n"/>
      <c r="B529" s="8" t="n"/>
      <c r="C529" s="8" t="n"/>
      <c r="D529" s="11" t="n"/>
      <c r="E529" s="12">
        <f>IF(A529="","",D529*IFERROR(INDEX(Factors!$C$5:$C$34,MATCH(C529,Factors!$A$5:$A$34,0)),0))</f>
        <v/>
      </c>
      <c r="F529" s="13">
        <f>IF(A529="","",IFERROR(INDEX(Factors!$D$5:$D$34,MATCH(C529,Factors!$A$5:$A$34,0)),"UNMATCHED"))</f>
        <v/>
      </c>
    </row>
    <row r="530">
      <c r="A530" s="8" t="n"/>
      <c r="B530" s="8" t="n"/>
      <c r="C530" s="8" t="n"/>
      <c r="D530" s="11" t="n"/>
      <c r="E530" s="12">
        <f>IF(A530="","",D530*IFERROR(INDEX(Factors!$C$5:$C$34,MATCH(C530,Factors!$A$5:$A$34,0)),0))</f>
        <v/>
      </c>
      <c r="F530" s="13">
        <f>IF(A530="","",IFERROR(INDEX(Factors!$D$5:$D$34,MATCH(C530,Factors!$A$5:$A$34,0)),"UNMATCHED"))</f>
        <v/>
      </c>
    </row>
    <row r="531">
      <c r="A531" s="8" t="n"/>
      <c r="B531" s="8" t="n"/>
      <c r="C531" s="8" t="n"/>
      <c r="D531" s="11" t="n"/>
      <c r="E531" s="12">
        <f>IF(A531="","",D531*IFERROR(INDEX(Factors!$C$5:$C$34,MATCH(C531,Factors!$A$5:$A$34,0)),0))</f>
        <v/>
      </c>
      <c r="F531" s="13">
        <f>IF(A531="","",IFERROR(INDEX(Factors!$D$5:$D$34,MATCH(C531,Factors!$A$5:$A$34,0)),"UNMATCHED"))</f>
        <v/>
      </c>
    </row>
    <row r="532">
      <c r="A532" s="8" t="n"/>
      <c r="B532" s="8" t="n"/>
      <c r="C532" s="8" t="n"/>
      <c r="D532" s="11" t="n"/>
      <c r="E532" s="12">
        <f>IF(A532="","",D532*IFERROR(INDEX(Factors!$C$5:$C$34,MATCH(C532,Factors!$A$5:$A$34,0)),0))</f>
        <v/>
      </c>
      <c r="F532" s="13">
        <f>IF(A532="","",IFERROR(INDEX(Factors!$D$5:$D$34,MATCH(C532,Factors!$A$5:$A$34,0)),"UNMATCHED"))</f>
        <v/>
      </c>
    </row>
    <row r="533">
      <c r="A533" s="8" t="n"/>
      <c r="B533" s="8" t="n"/>
      <c r="C533" s="8" t="n"/>
      <c r="D533" s="11" t="n"/>
      <c r="E533" s="12">
        <f>IF(A533="","",D533*IFERROR(INDEX(Factors!$C$5:$C$34,MATCH(C533,Factors!$A$5:$A$34,0)),0))</f>
        <v/>
      </c>
      <c r="F533" s="13">
        <f>IF(A533="","",IFERROR(INDEX(Factors!$D$5:$D$34,MATCH(C533,Factors!$A$5:$A$34,0)),"UNMATCHED"))</f>
        <v/>
      </c>
    </row>
    <row r="534">
      <c r="A534" s="8" t="n"/>
      <c r="B534" s="8" t="n"/>
      <c r="C534" s="8" t="n"/>
      <c r="D534" s="11" t="n"/>
      <c r="E534" s="12">
        <f>IF(A534="","",D534*IFERROR(INDEX(Factors!$C$5:$C$34,MATCH(C534,Factors!$A$5:$A$34,0)),0))</f>
        <v/>
      </c>
      <c r="F534" s="13">
        <f>IF(A534="","",IFERROR(INDEX(Factors!$D$5:$D$34,MATCH(C534,Factors!$A$5:$A$34,0)),"UNMATCHED"))</f>
        <v/>
      </c>
    </row>
    <row r="535">
      <c r="A535" s="8" t="n"/>
      <c r="B535" s="8" t="n"/>
      <c r="C535" s="8" t="n"/>
      <c r="D535" s="11" t="n"/>
      <c r="E535" s="12">
        <f>IF(A535="","",D535*IFERROR(INDEX(Factors!$C$5:$C$34,MATCH(C535,Factors!$A$5:$A$34,0)),0))</f>
        <v/>
      </c>
      <c r="F535" s="13">
        <f>IF(A535="","",IFERROR(INDEX(Factors!$D$5:$D$34,MATCH(C535,Factors!$A$5:$A$34,0)),"UNMATCHED"))</f>
        <v/>
      </c>
    </row>
    <row r="536">
      <c r="A536" s="8" t="n"/>
      <c r="B536" s="8" t="n"/>
      <c r="C536" s="8" t="n"/>
      <c r="D536" s="11" t="n"/>
      <c r="E536" s="12">
        <f>IF(A536="","",D536*IFERROR(INDEX(Factors!$C$5:$C$34,MATCH(C536,Factors!$A$5:$A$34,0)),0))</f>
        <v/>
      </c>
      <c r="F536" s="13">
        <f>IF(A536="","",IFERROR(INDEX(Factors!$D$5:$D$34,MATCH(C536,Factors!$A$5:$A$34,0)),"UNMATCHED"))</f>
        <v/>
      </c>
    </row>
    <row r="537">
      <c r="A537" s="8" t="n"/>
      <c r="B537" s="8" t="n"/>
      <c r="C537" s="8" t="n"/>
      <c r="D537" s="11" t="n"/>
      <c r="E537" s="12">
        <f>IF(A537="","",D537*IFERROR(INDEX(Factors!$C$5:$C$34,MATCH(C537,Factors!$A$5:$A$34,0)),0))</f>
        <v/>
      </c>
      <c r="F537" s="13">
        <f>IF(A537="","",IFERROR(INDEX(Factors!$D$5:$D$34,MATCH(C537,Factors!$A$5:$A$34,0)),"UNMATCHED"))</f>
        <v/>
      </c>
    </row>
    <row r="538">
      <c r="A538" s="8" t="n"/>
      <c r="B538" s="8" t="n"/>
      <c r="C538" s="8" t="n"/>
      <c r="D538" s="11" t="n"/>
      <c r="E538" s="12">
        <f>IF(A538="","",D538*IFERROR(INDEX(Factors!$C$5:$C$34,MATCH(C538,Factors!$A$5:$A$34,0)),0))</f>
        <v/>
      </c>
      <c r="F538" s="13">
        <f>IF(A538="","",IFERROR(INDEX(Factors!$D$5:$D$34,MATCH(C538,Factors!$A$5:$A$34,0)),"UNMATCHED"))</f>
        <v/>
      </c>
    </row>
    <row r="539">
      <c r="A539" s="8" t="n"/>
      <c r="B539" s="8" t="n"/>
      <c r="C539" s="8" t="n"/>
      <c r="D539" s="11" t="n"/>
      <c r="E539" s="12">
        <f>IF(A539="","",D539*IFERROR(INDEX(Factors!$C$5:$C$34,MATCH(C539,Factors!$A$5:$A$34,0)),0))</f>
        <v/>
      </c>
      <c r="F539" s="13">
        <f>IF(A539="","",IFERROR(INDEX(Factors!$D$5:$D$34,MATCH(C539,Factors!$A$5:$A$34,0)),"UNMATCHED"))</f>
        <v/>
      </c>
    </row>
    <row r="540">
      <c r="A540" s="8" t="n"/>
      <c r="B540" s="8" t="n"/>
      <c r="C540" s="8" t="n"/>
      <c r="D540" s="11" t="n"/>
      <c r="E540" s="12">
        <f>IF(A540="","",D540*IFERROR(INDEX(Factors!$C$5:$C$34,MATCH(C540,Factors!$A$5:$A$34,0)),0))</f>
        <v/>
      </c>
      <c r="F540" s="13">
        <f>IF(A540="","",IFERROR(INDEX(Factors!$D$5:$D$34,MATCH(C540,Factors!$A$5:$A$34,0)),"UNMATCHED"))</f>
        <v/>
      </c>
    </row>
    <row r="541">
      <c r="A541" s="8" t="n"/>
      <c r="B541" s="8" t="n"/>
      <c r="C541" s="8" t="n"/>
      <c r="D541" s="11" t="n"/>
      <c r="E541" s="12">
        <f>IF(A541="","",D541*IFERROR(INDEX(Factors!$C$5:$C$34,MATCH(C541,Factors!$A$5:$A$34,0)),0))</f>
        <v/>
      </c>
      <c r="F541" s="13">
        <f>IF(A541="","",IFERROR(INDEX(Factors!$D$5:$D$34,MATCH(C541,Factors!$A$5:$A$34,0)),"UNMATCHED"))</f>
        <v/>
      </c>
    </row>
    <row r="542">
      <c r="A542" s="8" t="n"/>
      <c r="B542" s="8" t="n"/>
      <c r="C542" s="8" t="n"/>
      <c r="D542" s="11" t="n"/>
      <c r="E542" s="12">
        <f>IF(A542="","",D542*IFERROR(INDEX(Factors!$C$5:$C$34,MATCH(C542,Factors!$A$5:$A$34,0)),0))</f>
        <v/>
      </c>
      <c r="F542" s="13">
        <f>IF(A542="","",IFERROR(INDEX(Factors!$D$5:$D$34,MATCH(C542,Factors!$A$5:$A$34,0)),"UNMATCHED"))</f>
        <v/>
      </c>
    </row>
    <row r="543">
      <c r="A543" s="8" t="n"/>
      <c r="B543" s="8" t="n"/>
      <c r="C543" s="8" t="n"/>
      <c r="D543" s="11" t="n"/>
      <c r="E543" s="12">
        <f>IF(A543="","",D543*IFERROR(INDEX(Factors!$C$5:$C$34,MATCH(C543,Factors!$A$5:$A$34,0)),0))</f>
        <v/>
      </c>
      <c r="F543" s="13">
        <f>IF(A543="","",IFERROR(INDEX(Factors!$D$5:$D$34,MATCH(C543,Factors!$A$5:$A$34,0)),"UNMATCHED"))</f>
        <v/>
      </c>
    </row>
    <row r="544">
      <c r="A544" s="8" t="n"/>
      <c r="B544" s="8" t="n"/>
      <c r="C544" s="8" t="n"/>
      <c r="D544" s="11" t="n"/>
      <c r="E544" s="12">
        <f>IF(A544="","",D544*IFERROR(INDEX(Factors!$C$5:$C$34,MATCH(C544,Factors!$A$5:$A$34,0)),0))</f>
        <v/>
      </c>
      <c r="F544" s="13">
        <f>IF(A544="","",IFERROR(INDEX(Factors!$D$5:$D$34,MATCH(C544,Factors!$A$5:$A$34,0)),"UNMATCHED"))</f>
        <v/>
      </c>
    </row>
    <row r="545">
      <c r="A545" s="8" t="n"/>
      <c r="B545" s="8" t="n"/>
      <c r="C545" s="8" t="n"/>
      <c r="D545" s="11" t="n"/>
      <c r="E545" s="12">
        <f>IF(A545="","",D545*IFERROR(INDEX(Factors!$C$5:$C$34,MATCH(C545,Factors!$A$5:$A$34,0)),0))</f>
        <v/>
      </c>
      <c r="F545" s="13">
        <f>IF(A545="","",IFERROR(INDEX(Factors!$D$5:$D$34,MATCH(C545,Factors!$A$5:$A$34,0)),"UNMATCHED"))</f>
        <v/>
      </c>
    </row>
    <row r="546">
      <c r="A546" s="8" t="n"/>
      <c r="B546" s="8" t="n"/>
      <c r="C546" s="8" t="n"/>
      <c r="D546" s="11" t="n"/>
      <c r="E546" s="12">
        <f>IF(A546="","",D546*IFERROR(INDEX(Factors!$C$5:$C$34,MATCH(C546,Factors!$A$5:$A$34,0)),0))</f>
        <v/>
      </c>
      <c r="F546" s="13">
        <f>IF(A546="","",IFERROR(INDEX(Factors!$D$5:$D$34,MATCH(C546,Factors!$A$5:$A$34,0)),"UNMATCHED"))</f>
        <v/>
      </c>
    </row>
    <row r="547">
      <c r="A547" s="8" t="n"/>
      <c r="B547" s="8" t="n"/>
      <c r="C547" s="8" t="n"/>
      <c r="D547" s="11" t="n"/>
      <c r="E547" s="12">
        <f>IF(A547="","",D547*IFERROR(INDEX(Factors!$C$5:$C$34,MATCH(C547,Factors!$A$5:$A$34,0)),0))</f>
        <v/>
      </c>
      <c r="F547" s="13">
        <f>IF(A547="","",IFERROR(INDEX(Factors!$D$5:$D$34,MATCH(C547,Factors!$A$5:$A$34,0)),"UNMATCHED"))</f>
        <v/>
      </c>
    </row>
    <row r="548">
      <c r="A548" s="8" t="n"/>
      <c r="B548" s="8" t="n"/>
      <c r="C548" s="8" t="n"/>
      <c r="D548" s="11" t="n"/>
      <c r="E548" s="12">
        <f>IF(A548="","",D548*IFERROR(INDEX(Factors!$C$5:$C$34,MATCH(C548,Factors!$A$5:$A$34,0)),0))</f>
        <v/>
      </c>
      <c r="F548" s="13">
        <f>IF(A548="","",IFERROR(INDEX(Factors!$D$5:$D$34,MATCH(C548,Factors!$A$5:$A$34,0)),"UNMATCHED"))</f>
        <v/>
      </c>
    </row>
    <row r="549">
      <c r="A549" s="8" t="n"/>
      <c r="B549" s="8" t="n"/>
      <c r="C549" s="8" t="n"/>
      <c r="D549" s="11" t="n"/>
      <c r="E549" s="12">
        <f>IF(A549="","",D549*IFERROR(INDEX(Factors!$C$5:$C$34,MATCH(C549,Factors!$A$5:$A$34,0)),0))</f>
        <v/>
      </c>
      <c r="F549" s="13">
        <f>IF(A549="","",IFERROR(INDEX(Factors!$D$5:$D$34,MATCH(C549,Factors!$A$5:$A$34,0)),"UNMATCHED"))</f>
        <v/>
      </c>
    </row>
    <row r="550">
      <c r="A550" s="8" t="n"/>
      <c r="B550" s="8" t="n"/>
      <c r="C550" s="8" t="n"/>
      <c r="D550" s="11" t="n"/>
      <c r="E550" s="12">
        <f>IF(A550="","",D550*IFERROR(INDEX(Factors!$C$5:$C$34,MATCH(C550,Factors!$A$5:$A$34,0)),0))</f>
        <v/>
      </c>
      <c r="F550" s="13">
        <f>IF(A550="","",IFERROR(INDEX(Factors!$D$5:$D$34,MATCH(C550,Factors!$A$5:$A$34,0)),"UNMATCHED"))</f>
        <v/>
      </c>
    </row>
    <row r="551">
      <c r="A551" s="8" t="n"/>
      <c r="B551" s="8" t="n"/>
      <c r="C551" s="8" t="n"/>
      <c r="D551" s="11" t="n"/>
      <c r="E551" s="12">
        <f>IF(A551="","",D551*IFERROR(INDEX(Factors!$C$5:$C$34,MATCH(C551,Factors!$A$5:$A$34,0)),0))</f>
        <v/>
      </c>
      <c r="F551" s="13">
        <f>IF(A551="","",IFERROR(INDEX(Factors!$D$5:$D$34,MATCH(C551,Factors!$A$5:$A$34,0)),"UNMATCHED"))</f>
        <v/>
      </c>
    </row>
    <row r="552">
      <c r="A552" s="8" t="n"/>
      <c r="B552" s="8" t="n"/>
      <c r="C552" s="8" t="n"/>
      <c r="D552" s="11" t="n"/>
      <c r="E552" s="12">
        <f>IF(A552="","",D552*IFERROR(INDEX(Factors!$C$5:$C$34,MATCH(C552,Factors!$A$5:$A$34,0)),0))</f>
        <v/>
      </c>
      <c r="F552" s="13">
        <f>IF(A552="","",IFERROR(INDEX(Factors!$D$5:$D$34,MATCH(C552,Factors!$A$5:$A$34,0)),"UNMATCHED"))</f>
        <v/>
      </c>
    </row>
    <row r="553">
      <c r="A553" s="8" t="n"/>
      <c r="B553" s="8" t="n"/>
      <c r="C553" s="8" t="n"/>
      <c r="D553" s="11" t="n"/>
      <c r="E553" s="12">
        <f>IF(A553="","",D553*IFERROR(INDEX(Factors!$C$5:$C$34,MATCH(C553,Factors!$A$5:$A$34,0)),0))</f>
        <v/>
      </c>
      <c r="F553" s="13">
        <f>IF(A553="","",IFERROR(INDEX(Factors!$D$5:$D$34,MATCH(C553,Factors!$A$5:$A$34,0)),"UNMATCHED"))</f>
        <v/>
      </c>
    </row>
    <row r="554">
      <c r="A554" s="8" t="n"/>
      <c r="B554" s="8" t="n"/>
      <c r="C554" s="8" t="n"/>
      <c r="D554" s="11" t="n"/>
      <c r="E554" s="12">
        <f>IF(A554="","",D554*IFERROR(INDEX(Factors!$C$5:$C$34,MATCH(C554,Factors!$A$5:$A$34,0)),0))</f>
        <v/>
      </c>
      <c r="F554" s="13">
        <f>IF(A554="","",IFERROR(INDEX(Factors!$D$5:$D$34,MATCH(C554,Factors!$A$5:$A$34,0)),"UNMATCHED"))</f>
        <v/>
      </c>
    </row>
    <row r="555">
      <c r="A555" s="8" t="n"/>
      <c r="B555" s="8" t="n"/>
      <c r="C555" s="8" t="n"/>
      <c r="D555" s="11" t="n"/>
      <c r="E555" s="12">
        <f>IF(A555="","",D555*IFERROR(INDEX(Factors!$C$5:$C$34,MATCH(C555,Factors!$A$5:$A$34,0)),0))</f>
        <v/>
      </c>
      <c r="F555" s="13">
        <f>IF(A555="","",IFERROR(INDEX(Factors!$D$5:$D$34,MATCH(C555,Factors!$A$5:$A$34,0)),"UNMATCHED"))</f>
        <v/>
      </c>
    </row>
    <row r="556">
      <c r="A556" s="8" t="n"/>
      <c r="B556" s="8" t="n"/>
      <c r="C556" s="8" t="n"/>
      <c r="D556" s="11" t="n"/>
      <c r="E556" s="12">
        <f>IF(A556="","",D556*IFERROR(INDEX(Factors!$C$5:$C$34,MATCH(C556,Factors!$A$5:$A$34,0)),0))</f>
        <v/>
      </c>
      <c r="F556" s="13">
        <f>IF(A556="","",IFERROR(INDEX(Factors!$D$5:$D$34,MATCH(C556,Factors!$A$5:$A$34,0)),"UNMATCHED"))</f>
        <v/>
      </c>
    </row>
    <row r="557">
      <c r="A557" s="8" t="n"/>
      <c r="B557" s="8" t="n"/>
      <c r="C557" s="8" t="n"/>
      <c r="D557" s="11" t="n"/>
      <c r="E557" s="12">
        <f>IF(A557="","",D557*IFERROR(INDEX(Factors!$C$5:$C$34,MATCH(C557,Factors!$A$5:$A$34,0)),0))</f>
        <v/>
      </c>
      <c r="F557" s="13">
        <f>IF(A557="","",IFERROR(INDEX(Factors!$D$5:$D$34,MATCH(C557,Factors!$A$5:$A$34,0)),"UNMATCHED"))</f>
        <v/>
      </c>
    </row>
    <row r="558">
      <c r="A558" s="8" t="n"/>
      <c r="B558" s="8" t="n"/>
      <c r="C558" s="8" t="n"/>
      <c r="D558" s="11" t="n"/>
      <c r="E558" s="12">
        <f>IF(A558="","",D558*IFERROR(INDEX(Factors!$C$5:$C$34,MATCH(C558,Factors!$A$5:$A$34,0)),0))</f>
        <v/>
      </c>
      <c r="F558" s="13">
        <f>IF(A558="","",IFERROR(INDEX(Factors!$D$5:$D$34,MATCH(C558,Factors!$A$5:$A$34,0)),"UNMATCHED"))</f>
        <v/>
      </c>
    </row>
    <row r="559">
      <c r="A559" s="8" t="n"/>
      <c r="B559" s="8" t="n"/>
      <c r="C559" s="8" t="n"/>
      <c r="D559" s="11" t="n"/>
      <c r="E559" s="12">
        <f>IF(A559="","",D559*IFERROR(INDEX(Factors!$C$5:$C$34,MATCH(C559,Factors!$A$5:$A$34,0)),0))</f>
        <v/>
      </c>
      <c r="F559" s="13">
        <f>IF(A559="","",IFERROR(INDEX(Factors!$D$5:$D$34,MATCH(C559,Factors!$A$5:$A$34,0)),"UNMATCHED"))</f>
        <v/>
      </c>
    </row>
    <row r="560">
      <c r="A560" s="8" t="n"/>
      <c r="B560" s="8" t="n"/>
      <c r="C560" s="8" t="n"/>
      <c r="D560" s="11" t="n"/>
      <c r="E560" s="12">
        <f>IF(A560="","",D560*IFERROR(INDEX(Factors!$C$5:$C$34,MATCH(C560,Factors!$A$5:$A$34,0)),0))</f>
        <v/>
      </c>
      <c r="F560" s="13">
        <f>IF(A560="","",IFERROR(INDEX(Factors!$D$5:$D$34,MATCH(C560,Factors!$A$5:$A$34,0)),"UNMATCHED"))</f>
        <v/>
      </c>
    </row>
    <row r="561">
      <c r="A561" s="8" t="n"/>
      <c r="B561" s="8" t="n"/>
      <c r="C561" s="8" t="n"/>
      <c r="D561" s="11" t="n"/>
      <c r="E561" s="12">
        <f>IF(A561="","",D561*IFERROR(INDEX(Factors!$C$5:$C$34,MATCH(C561,Factors!$A$5:$A$34,0)),0))</f>
        <v/>
      </c>
      <c r="F561" s="13">
        <f>IF(A561="","",IFERROR(INDEX(Factors!$D$5:$D$34,MATCH(C561,Factors!$A$5:$A$34,0)),"UNMATCHED"))</f>
        <v/>
      </c>
    </row>
    <row r="562">
      <c r="A562" s="8" t="n"/>
      <c r="B562" s="8" t="n"/>
      <c r="C562" s="8" t="n"/>
      <c r="D562" s="11" t="n"/>
      <c r="E562" s="12">
        <f>IF(A562="","",D562*IFERROR(INDEX(Factors!$C$5:$C$34,MATCH(C562,Factors!$A$5:$A$34,0)),0))</f>
        <v/>
      </c>
      <c r="F562" s="13">
        <f>IF(A562="","",IFERROR(INDEX(Factors!$D$5:$D$34,MATCH(C562,Factors!$A$5:$A$34,0)),"UNMATCHED"))</f>
        <v/>
      </c>
    </row>
    <row r="563">
      <c r="A563" s="8" t="n"/>
      <c r="B563" s="8" t="n"/>
      <c r="C563" s="8" t="n"/>
      <c r="D563" s="11" t="n"/>
      <c r="E563" s="12">
        <f>IF(A563="","",D563*IFERROR(INDEX(Factors!$C$5:$C$34,MATCH(C563,Factors!$A$5:$A$34,0)),0))</f>
        <v/>
      </c>
      <c r="F563" s="13">
        <f>IF(A563="","",IFERROR(INDEX(Factors!$D$5:$D$34,MATCH(C563,Factors!$A$5:$A$34,0)),"UNMATCHED"))</f>
        <v/>
      </c>
    </row>
    <row r="564">
      <c r="A564" s="8" t="n"/>
      <c r="B564" s="8" t="n"/>
      <c r="C564" s="8" t="n"/>
      <c r="D564" s="11" t="n"/>
      <c r="E564" s="12">
        <f>IF(A564="","",D564*IFERROR(INDEX(Factors!$C$5:$C$34,MATCH(C564,Factors!$A$5:$A$34,0)),0))</f>
        <v/>
      </c>
      <c r="F564" s="13">
        <f>IF(A564="","",IFERROR(INDEX(Factors!$D$5:$D$34,MATCH(C564,Factors!$A$5:$A$34,0)),"UNMATCHED"))</f>
        <v/>
      </c>
    </row>
    <row r="565">
      <c r="A565" s="8" t="n"/>
      <c r="B565" s="8" t="n"/>
      <c r="C565" s="8" t="n"/>
      <c r="D565" s="11" t="n"/>
      <c r="E565" s="12">
        <f>IF(A565="","",D565*IFERROR(INDEX(Factors!$C$5:$C$34,MATCH(C565,Factors!$A$5:$A$34,0)),0))</f>
        <v/>
      </c>
      <c r="F565" s="13">
        <f>IF(A565="","",IFERROR(INDEX(Factors!$D$5:$D$34,MATCH(C565,Factors!$A$5:$A$34,0)),"UNMATCHED"))</f>
        <v/>
      </c>
    </row>
    <row r="566">
      <c r="A566" s="8" t="n"/>
      <c r="B566" s="8" t="n"/>
      <c r="C566" s="8" t="n"/>
      <c r="D566" s="11" t="n"/>
      <c r="E566" s="12">
        <f>IF(A566="","",D566*IFERROR(INDEX(Factors!$C$5:$C$34,MATCH(C566,Factors!$A$5:$A$34,0)),0))</f>
        <v/>
      </c>
      <c r="F566" s="13">
        <f>IF(A566="","",IFERROR(INDEX(Factors!$D$5:$D$34,MATCH(C566,Factors!$A$5:$A$34,0)),"UNMATCHED"))</f>
        <v/>
      </c>
    </row>
    <row r="567">
      <c r="A567" s="8" t="n"/>
      <c r="B567" s="8" t="n"/>
      <c r="C567" s="8" t="n"/>
      <c r="D567" s="11" t="n"/>
      <c r="E567" s="12">
        <f>IF(A567="","",D567*IFERROR(INDEX(Factors!$C$5:$C$34,MATCH(C567,Factors!$A$5:$A$34,0)),0))</f>
        <v/>
      </c>
      <c r="F567" s="13">
        <f>IF(A567="","",IFERROR(INDEX(Factors!$D$5:$D$34,MATCH(C567,Factors!$A$5:$A$34,0)),"UNMATCHED"))</f>
        <v/>
      </c>
    </row>
    <row r="568">
      <c r="A568" s="8" t="n"/>
      <c r="B568" s="8" t="n"/>
      <c r="C568" s="8" t="n"/>
      <c r="D568" s="11" t="n"/>
      <c r="E568" s="12">
        <f>IF(A568="","",D568*IFERROR(INDEX(Factors!$C$5:$C$34,MATCH(C568,Factors!$A$5:$A$34,0)),0))</f>
        <v/>
      </c>
      <c r="F568" s="13">
        <f>IF(A568="","",IFERROR(INDEX(Factors!$D$5:$D$34,MATCH(C568,Factors!$A$5:$A$34,0)),"UNMATCHED"))</f>
        <v/>
      </c>
    </row>
    <row r="569">
      <c r="A569" s="8" t="n"/>
      <c r="B569" s="8" t="n"/>
      <c r="C569" s="8" t="n"/>
      <c r="D569" s="11" t="n"/>
      <c r="E569" s="12">
        <f>IF(A569="","",D569*IFERROR(INDEX(Factors!$C$5:$C$34,MATCH(C569,Factors!$A$5:$A$34,0)),0))</f>
        <v/>
      </c>
      <c r="F569" s="13">
        <f>IF(A569="","",IFERROR(INDEX(Factors!$D$5:$D$34,MATCH(C569,Factors!$A$5:$A$34,0)),"UNMATCHED"))</f>
        <v/>
      </c>
    </row>
    <row r="570">
      <c r="A570" s="8" t="n"/>
      <c r="B570" s="8" t="n"/>
      <c r="C570" s="8" t="n"/>
      <c r="D570" s="11" t="n"/>
      <c r="E570" s="12">
        <f>IF(A570="","",D570*IFERROR(INDEX(Factors!$C$5:$C$34,MATCH(C570,Factors!$A$5:$A$34,0)),0))</f>
        <v/>
      </c>
      <c r="F570" s="13">
        <f>IF(A570="","",IFERROR(INDEX(Factors!$D$5:$D$34,MATCH(C570,Factors!$A$5:$A$34,0)),"UNMATCHED"))</f>
        <v/>
      </c>
    </row>
    <row r="571">
      <c r="A571" s="8" t="n"/>
      <c r="B571" s="8" t="n"/>
      <c r="C571" s="8" t="n"/>
      <c r="D571" s="11" t="n"/>
      <c r="E571" s="12">
        <f>IF(A571="","",D571*IFERROR(INDEX(Factors!$C$5:$C$34,MATCH(C571,Factors!$A$5:$A$34,0)),0))</f>
        <v/>
      </c>
      <c r="F571" s="13">
        <f>IF(A571="","",IFERROR(INDEX(Factors!$D$5:$D$34,MATCH(C571,Factors!$A$5:$A$34,0)),"UNMATCHED"))</f>
        <v/>
      </c>
    </row>
    <row r="572">
      <c r="A572" s="8" t="n"/>
      <c r="B572" s="8" t="n"/>
      <c r="C572" s="8" t="n"/>
      <c r="D572" s="11" t="n"/>
      <c r="E572" s="12">
        <f>IF(A572="","",D572*IFERROR(INDEX(Factors!$C$5:$C$34,MATCH(C572,Factors!$A$5:$A$34,0)),0))</f>
        <v/>
      </c>
      <c r="F572" s="13">
        <f>IF(A572="","",IFERROR(INDEX(Factors!$D$5:$D$34,MATCH(C572,Factors!$A$5:$A$34,0)),"UNMATCHED"))</f>
        <v/>
      </c>
    </row>
    <row r="573">
      <c r="A573" s="8" t="n"/>
      <c r="B573" s="8" t="n"/>
      <c r="C573" s="8" t="n"/>
      <c r="D573" s="11" t="n"/>
      <c r="E573" s="12">
        <f>IF(A573="","",D573*IFERROR(INDEX(Factors!$C$5:$C$34,MATCH(C573,Factors!$A$5:$A$34,0)),0))</f>
        <v/>
      </c>
      <c r="F573" s="13">
        <f>IF(A573="","",IFERROR(INDEX(Factors!$D$5:$D$34,MATCH(C573,Factors!$A$5:$A$34,0)),"UNMATCHED"))</f>
        <v/>
      </c>
    </row>
    <row r="574">
      <c r="A574" s="8" t="n"/>
      <c r="B574" s="8" t="n"/>
      <c r="C574" s="8" t="n"/>
      <c r="D574" s="11" t="n"/>
      <c r="E574" s="12">
        <f>IF(A574="","",D574*IFERROR(INDEX(Factors!$C$5:$C$34,MATCH(C574,Factors!$A$5:$A$34,0)),0))</f>
        <v/>
      </c>
      <c r="F574" s="13">
        <f>IF(A574="","",IFERROR(INDEX(Factors!$D$5:$D$34,MATCH(C574,Factors!$A$5:$A$34,0)),"UNMATCHED"))</f>
        <v/>
      </c>
    </row>
    <row r="575">
      <c r="A575" s="8" t="n"/>
      <c r="B575" s="8" t="n"/>
      <c r="C575" s="8" t="n"/>
      <c r="D575" s="11" t="n"/>
      <c r="E575" s="12">
        <f>IF(A575="","",D575*IFERROR(INDEX(Factors!$C$5:$C$34,MATCH(C575,Factors!$A$5:$A$34,0)),0))</f>
        <v/>
      </c>
      <c r="F575" s="13">
        <f>IF(A575="","",IFERROR(INDEX(Factors!$D$5:$D$34,MATCH(C575,Factors!$A$5:$A$34,0)),"UNMATCHED"))</f>
        <v/>
      </c>
    </row>
    <row r="576">
      <c r="A576" s="8" t="n"/>
      <c r="B576" s="8" t="n"/>
      <c r="C576" s="8" t="n"/>
      <c r="D576" s="11" t="n"/>
      <c r="E576" s="12">
        <f>IF(A576="","",D576*IFERROR(INDEX(Factors!$C$5:$C$34,MATCH(C576,Factors!$A$5:$A$34,0)),0))</f>
        <v/>
      </c>
      <c r="F576" s="13">
        <f>IF(A576="","",IFERROR(INDEX(Factors!$D$5:$D$34,MATCH(C576,Factors!$A$5:$A$34,0)),"UNMATCHED"))</f>
        <v/>
      </c>
    </row>
    <row r="577">
      <c r="A577" s="8" t="n"/>
      <c r="B577" s="8" t="n"/>
      <c r="C577" s="8" t="n"/>
      <c r="D577" s="11" t="n"/>
      <c r="E577" s="12">
        <f>IF(A577="","",D577*IFERROR(INDEX(Factors!$C$5:$C$34,MATCH(C577,Factors!$A$5:$A$34,0)),0))</f>
        <v/>
      </c>
      <c r="F577" s="13">
        <f>IF(A577="","",IFERROR(INDEX(Factors!$D$5:$D$34,MATCH(C577,Factors!$A$5:$A$34,0)),"UNMATCHED"))</f>
        <v/>
      </c>
    </row>
    <row r="578">
      <c r="A578" s="8" t="n"/>
      <c r="B578" s="8" t="n"/>
      <c r="C578" s="8" t="n"/>
      <c r="D578" s="11" t="n"/>
      <c r="E578" s="12">
        <f>IF(A578="","",D578*IFERROR(INDEX(Factors!$C$5:$C$34,MATCH(C578,Factors!$A$5:$A$34,0)),0))</f>
        <v/>
      </c>
      <c r="F578" s="13">
        <f>IF(A578="","",IFERROR(INDEX(Factors!$D$5:$D$34,MATCH(C578,Factors!$A$5:$A$34,0)),"UNMATCHED"))</f>
        <v/>
      </c>
    </row>
    <row r="579">
      <c r="A579" s="8" t="n"/>
      <c r="B579" s="8" t="n"/>
      <c r="C579" s="8" t="n"/>
      <c r="D579" s="11" t="n"/>
      <c r="E579" s="12">
        <f>IF(A579="","",D579*IFERROR(INDEX(Factors!$C$5:$C$34,MATCH(C579,Factors!$A$5:$A$34,0)),0))</f>
        <v/>
      </c>
      <c r="F579" s="13">
        <f>IF(A579="","",IFERROR(INDEX(Factors!$D$5:$D$34,MATCH(C579,Factors!$A$5:$A$34,0)),"UNMATCHED"))</f>
        <v/>
      </c>
    </row>
    <row r="580">
      <c r="A580" s="8" t="n"/>
      <c r="B580" s="8" t="n"/>
      <c r="C580" s="8" t="n"/>
      <c r="D580" s="11" t="n"/>
      <c r="E580" s="12">
        <f>IF(A580="","",D580*IFERROR(INDEX(Factors!$C$5:$C$34,MATCH(C580,Factors!$A$5:$A$34,0)),0))</f>
        <v/>
      </c>
      <c r="F580" s="13">
        <f>IF(A580="","",IFERROR(INDEX(Factors!$D$5:$D$34,MATCH(C580,Factors!$A$5:$A$34,0)),"UNMATCHED"))</f>
        <v/>
      </c>
    </row>
    <row r="581">
      <c r="A581" s="8" t="n"/>
      <c r="B581" s="8" t="n"/>
      <c r="C581" s="8" t="n"/>
      <c r="D581" s="11" t="n"/>
      <c r="E581" s="12">
        <f>IF(A581="","",D581*IFERROR(INDEX(Factors!$C$5:$C$34,MATCH(C581,Factors!$A$5:$A$34,0)),0))</f>
        <v/>
      </c>
      <c r="F581" s="13">
        <f>IF(A581="","",IFERROR(INDEX(Factors!$D$5:$D$34,MATCH(C581,Factors!$A$5:$A$34,0)),"UNMATCHED"))</f>
        <v/>
      </c>
    </row>
    <row r="582">
      <c r="A582" s="8" t="n"/>
      <c r="B582" s="8" t="n"/>
      <c r="C582" s="8" t="n"/>
      <c r="D582" s="11" t="n"/>
      <c r="E582" s="12">
        <f>IF(A582="","",D582*IFERROR(INDEX(Factors!$C$5:$C$34,MATCH(C582,Factors!$A$5:$A$34,0)),0))</f>
        <v/>
      </c>
      <c r="F582" s="13">
        <f>IF(A582="","",IFERROR(INDEX(Factors!$D$5:$D$34,MATCH(C582,Factors!$A$5:$A$34,0)),"UNMATCHED"))</f>
        <v/>
      </c>
    </row>
    <row r="583">
      <c r="A583" s="8" t="n"/>
      <c r="B583" s="8" t="n"/>
      <c r="C583" s="8" t="n"/>
      <c r="D583" s="11" t="n"/>
      <c r="E583" s="12">
        <f>IF(A583="","",D583*IFERROR(INDEX(Factors!$C$5:$C$34,MATCH(C583,Factors!$A$5:$A$34,0)),0))</f>
        <v/>
      </c>
      <c r="F583" s="13">
        <f>IF(A583="","",IFERROR(INDEX(Factors!$D$5:$D$34,MATCH(C583,Factors!$A$5:$A$34,0)),"UNMATCHED"))</f>
        <v/>
      </c>
    </row>
    <row r="584">
      <c r="A584" s="8" t="n"/>
      <c r="B584" s="8" t="n"/>
      <c r="C584" s="8" t="n"/>
      <c r="D584" s="11" t="n"/>
      <c r="E584" s="12">
        <f>IF(A584="","",D584*IFERROR(INDEX(Factors!$C$5:$C$34,MATCH(C584,Factors!$A$5:$A$34,0)),0))</f>
        <v/>
      </c>
      <c r="F584" s="13">
        <f>IF(A584="","",IFERROR(INDEX(Factors!$D$5:$D$34,MATCH(C584,Factors!$A$5:$A$34,0)),"UNMATCHED"))</f>
        <v/>
      </c>
    </row>
    <row r="585">
      <c r="A585" s="8" t="n"/>
      <c r="B585" s="8" t="n"/>
      <c r="C585" s="8" t="n"/>
      <c r="D585" s="11" t="n"/>
      <c r="E585" s="12">
        <f>IF(A585="","",D585*IFERROR(INDEX(Factors!$C$5:$C$34,MATCH(C585,Factors!$A$5:$A$34,0)),0))</f>
        <v/>
      </c>
      <c r="F585" s="13">
        <f>IF(A585="","",IFERROR(INDEX(Factors!$D$5:$D$34,MATCH(C585,Factors!$A$5:$A$34,0)),"UNMATCHED"))</f>
        <v/>
      </c>
    </row>
    <row r="586">
      <c r="A586" s="8" t="n"/>
      <c r="B586" s="8" t="n"/>
      <c r="C586" s="8" t="n"/>
      <c r="D586" s="11" t="n"/>
      <c r="E586" s="12">
        <f>IF(A586="","",D586*IFERROR(INDEX(Factors!$C$5:$C$34,MATCH(C586,Factors!$A$5:$A$34,0)),0))</f>
        <v/>
      </c>
      <c r="F586" s="13">
        <f>IF(A586="","",IFERROR(INDEX(Factors!$D$5:$D$34,MATCH(C586,Factors!$A$5:$A$34,0)),"UNMATCHED"))</f>
        <v/>
      </c>
    </row>
    <row r="587">
      <c r="A587" s="8" t="n"/>
      <c r="B587" s="8" t="n"/>
      <c r="C587" s="8" t="n"/>
      <c r="D587" s="11" t="n"/>
      <c r="E587" s="12">
        <f>IF(A587="","",D587*IFERROR(INDEX(Factors!$C$5:$C$34,MATCH(C587,Factors!$A$5:$A$34,0)),0))</f>
        <v/>
      </c>
      <c r="F587" s="13">
        <f>IF(A587="","",IFERROR(INDEX(Factors!$D$5:$D$34,MATCH(C587,Factors!$A$5:$A$34,0)),"UNMATCHED"))</f>
        <v/>
      </c>
    </row>
    <row r="588">
      <c r="A588" s="8" t="n"/>
      <c r="B588" s="8" t="n"/>
      <c r="C588" s="8" t="n"/>
      <c r="D588" s="11" t="n"/>
      <c r="E588" s="12">
        <f>IF(A588="","",D588*IFERROR(INDEX(Factors!$C$5:$C$34,MATCH(C588,Factors!$A$5:$A$34,0)),0))</f>
        <v/>
      </c>
      <c r="F588" s="13">
        <f>IF(A588="","",IFERROR(INDEX(Factors!$D$5:$D$34,MATCH(C588,Factors!$A$5:$A$34,0)),"UNMATCHED"))</f>
        <v/>
      </c>
    </row>
    <row r="589">
      <c r="A589" s="8" t="n"/>
      <c r="B589" s="8" t="n"/>
      <c r="C589" s="8" t="n"/>
      <c r="D589" s="11" t="n"/>
      <c r="E589" s="12">
        <f>IF(A589="","",D589*IFERROR(INDEX(Factors!$C$5:$C$34,MATCH(C589,Factors!$A$5:$A$34,0)),0))</f>
        <v/>
      </c>
      <c r="F589" s="13">
        <f>IF(A589="","",IFERROR(INDEX(Factors!$D$5:$D$34,MATCH(C589,Factors!$A$5:$A$34,0)),"UNMATCHED"))</f>
        <v/>
      </c>
    </row>
    <row r="590">
      <c r="A590" s="8" t="n"/>
      <c r="B590" s="8" t="n"/>
      <c r="C590" s="8" t="n"/>
      <c r="D590" s="11" t="n"/>
      <c r="E590" s="12">
        <f>IF(A590="","",D590*IFERROR(INDEX(Factors!$C$5:$C$34,MATCH(C590,Factors!$A$5:$A$34,0)),0))</f>
        <v/>
      </c>
      <c r="F590" s="13">
        <f>IF(A590="","",IFERROR(INDEX(Factors!$D$5:$D$34,MATCH(C590,Factors!$A$5:$A$34,0)),"UNMATCHED"))</f>
        <v/>
      </c>
    </row>
    <row r="591">
      <c r="A591" s="8" t="n"/>
      <c r="B591" s="8" t="n"/>
      <c r="C591" s="8" t="n"/>
      <c r="D591" s="11" t="n"/>
      <c r="E591" s="12">
        <f>IF(A591="","",D591*IFERROR(INDEX(Factors!$C$5:$C$34,MATCH(C591,Factors!$A$5:$A$34,0)),0))</f>
        <v/>
      </c>
      <c r="F591" s="13">
        <f>IF(A591="","",IFERROR(INDEX(Factors!$D$5:$D$34,MATCH(C591,Factors!$A$5:$A$34,0)),"UNMATCHED"))</f>
        <v/>
      </c>
    </row>
    <row r="592">
      <c r="A592" s="8" t="n"/>
      <c r="B592" s="8" t="n"/>
      <c r="C592" s="8" t="n"/>
      <c r="D592" s="11" t="n"/>
      <c r="E592" s="12">
        <f>IF(A592="","",D592*IFERROR(INDEX(Factors!$C$5:$C$34,MATCH(C592,Factors!$A$5:$A$34,0)),0))</f>
        <v/>
      </c>
      <c r="F592" s="13">
        <f>IF(A592="","",IFERROR(INDEX(Factors!$D$5:$D$34,MATCH(C592,Factors!$A$5:$A$34,0)),"UNMATCHED"))</f>
        <v/>
      </c>
    </row>
    <row r="593">
      <c r="A593" s="8" t="n"/>
      <c r="B593" s="8" t="n"/>
      <c r="C593" s="8" t="n"/>
      <c r="D593" s="11" t="n"/>
      <c r="E593" s="12">
        <f>IF(A593="","",D593*IFERROR(INDEX(Factors!$C$5:$C$34,MATCH(C593,Factors!$A$5:$A$34,0)),0))</f>
        <v/>
      </c>
      <c r="F593" s="13">
        <f>IF(A593="","",IFERROR(INDEX(Factors!$D$5:$D$34,MATCH(C593,Factors!$A$5:$A$34,0)),"UNMATCHED"))</f>
        <v/>
      </c>
    </row>
    <row r="594">
      <c r="A594" s="8" t="n"/>
      <c r="B594" s="8" t="n"/>
      <c r="C594" s="8" t="n"/>
      <c r="D594" s="11" t="n"/>
      <c r="E594" s="12">
        <f>IF(A594="","",D594*IFERROR(INDEX(Factors!$C$5:$C$34,MATCH(C594,Factors!$A$5:$A$34,0)),0))</f>
        <v/>
      </c>
      <c r="F594" s="13">
        <f>IF(A594="","",IFERROR(INDEX(Factors!$D$5:$D$34,MATCH(C594,Factors!$A$5:$A$34,0)),"UNMATCHED"))</f>
        <v/>
      </c>
    </row>
    <row r="595">
      <c r="A595" s="8" t="n"/>
      <c r="B595" s="8" t="n"/>
      <c r="C595" s="8" t="n"/>
      <c r="D595" s="11" t="n"/>
      <c r="E595" s="12">
        <f>IF(A595="","",D595*IFERROR(INDEX(Factors!$C$5:$C$34,MATCH(C595,Factors!$A$5:$A$34,0)),0))</f>
        <v/>
      </c>
      <c r="F595" s="13">
        <f>IF(A595="","",IFERROR(INDEX(Factors!$D$5:$D$34,MATCH(C595,Factors!$A$5:$A$34,0)),"UNMATCHED"))</f>
        <v/>
      </c>
    </row>
    <row r="596">
      <c r="A596" s="8" t="n"/>
      <c r="B596" s="8" t="n"/>
      <c r="C596" s="8" t="n"/>
      <c r="D596" s="11" t="n"/>
      <c r="E596" s="12">
        <f>IF(A596="","",D596*IFERROR(INDEX(Factors!$C$5:$C$34,MATCH(C596,Factors!$A$5:$A$34,0)),0))</f>
        <v/>
      </c>
      <c r="F596" s="13">
        <f>IF(A596="","",IFERROR(INDEX(Factors!$D$5:$D$34,MATCH(C596,Factors!$A$5:$A$34,0)),"UNMATCHED"))</f>
        <v/>
      </c>
    </row>
    <row r="597">
      <c r="A597" s="8" t="n"/>
      <c r="B597" s="8" t="n"/>
      <c r="C597" s="8" t="n"/>
      <c r="D597" s="11" t="n"/>
      <c r="E597" s="12">
        <f>IF(A597="","",D597*IFERROR(INDEX(Factors!$C$5:$C$34,MATCH(C597,Factors!$A$5:$A$34,0)),0))</f>
        <v/>
      </c>
      <c r="F597" s="13">
        <f>IF(A597="","",IFERROR(INDEX(Factors!$D$5:$D$34,MATCH(C597,Factors!$A$5:$A$34,0)),"UNMATCHED"))</f>
        <v/>
      </c>
    </row>
    <row r="598">
      <c r="A598" s="8" t="n"/>
      <c r="B598" s="8" t="n"/>
      <c r="C598" s="8" t="n"/>
      <c r="D598" s="11" t="n"/>
      <c r="E598" s="12">
        <f>IF(A598="","",D598*IFERROR(INDEX(Factors!$C$5:$C$34,MATCH(C598,Factors!$A$5:$A$34,0)),0))</f>
        <v/>
      </c>
      <c r="F598" s="13">
        <f>IF(A598="","",IFERROR(INDEX(Factors!$D$5:$D$34,MATCH(C598,Factors!$A$5:$A$34,0)),"UNMATCHED"))</f>
        <v/>
      </c>
    </row>
    <row r="599">
      <c r="A599" s="8" t="n"/>
      <c r="B599" s="8" t="n"/>
      <c r="C599" s="8" t="n"/>
      <c r="D599" s="11" t="n"/>
      <c r="E599" s="12">
        <f>IF(A599="","",D599*IFERROR(INDEX(Factors!$C$5:$C$34,MATCH(C599,Factors!$A$5:$A$34,0)),0))</f>
        <v/>
      </c>
      <c r="F599" s="13">
        <f>IF(A599="","",IFERROR(INDEX(Factors!$D$5:$D$34,MATCH(C599,Factors!$A$5:$A$34,0)),"UNMATCHED"))</f>
        <v/>
      </c>
    </row>
    <row r="600">
      <c r="A600" s="8" t="n"/>
      <c r="B600" s="8" t="n"/>
      <c r="C600" s="8" t="n"/>
      <c r="D600" s="11" t="n"/>
      <c r="E600" s="12">
        <f>IF(A600="","",D600*IFERROR(INDEX(Factors!$C$5:$C$34,MATCH(C600,Factors!$A$5:$A$34,0)),0))</f>
        <v/>
      </c>
      <c r="F600" s="13">
        <f>IF(A600="","",IFERROR(INDEX(Factors!$D$5:$D$34,MATCH(C600,Factors!$A$5:$A$34,0)),"UNMATCHED"))</f>
        <v/>
      </c>
    </row>
    <row r="601">
      <c r="A601" s="8" t="n"/>
      <c r="B601" s="8" t="n"/>
      <c r="C601" s="8" t="n"/>
      <c r="D601" s="11" t="n"/>
      <c r="E601" s="12">
        <f>IF(A601="","",D601*IFERROR(INDEX(Factors!$C$5:$C$34,MATCH(C601,Factors!$A$5:$A$34,0)),0))</f>
        <v/>
      </c>
      <c r="F601" s="13">
        <f>IF(A601="","",IFERROR(INDEX(Factors!$D$5:$D$34,MATCH(C601,Factors!$A$5:$A$34,0)),"UNMATCHED"))</f>
        <v/>
      </c>
    </row>
    <row r="602">
      <c r="A602" s="8" t="n"/>
      <c r="B602" s="8" t="n"/>
      <c r="C602" s="8" t="n"/>
      <c r="D602" s="11" t="n"/>
      <c r="E602" s="12">
        <f>IF(A602="","",D602*IFERROR(INDEX(Factors!$C$5:$C$34,MATCH(C602,Factors!$A$5:$A$34,0)),0))</f>
        <v/>
      </c>
      <c r="F602" s="13">
        <f>IF(A602="","",IFERROR(INDEX(Factors!$D$5:$D$34,MATCH(C602,Factors!$A$5:$A$34,0)),"UNMATCHED"))</f>
        <v/>
      </c>
    </row>
    <row r="603">
      <c r="A603" s="8" t="n"/>
      <c r="B603" s="8" t="n"/>
      <c r="C603" s="8" t="n"/>
      <c r="D603" s="11" t="n"/>
      <c r="E603" s="12">
        <f>IF(A603="","",D603*IFERROR(INDEX(Factors!$C$5:$C$34,MATCH(C603,Factors!$A$5:$A$34,0)),0))</f>
        <v/>
      </c>
      <c r="F603" s="13">
        <f>IF(A603="","",IFERROR(INDEX(Factors!$D$5:$D$34,MATCH(C603,Factors!$A$5:$A$34,0)),"UNMATCHED"))</f>
        <v/>
      </c>
    </row>
    <row r="604">
      <c r="A604" s="8" t="n"/>
      <c r="B604" s="8" t="n"/>
      <c r="C604" s="8" t="n"/>
      <c r="D604" s="11" t="n"/>
      <c r="E604" s="12">
        <f>IF(A604="","",D604*IFERROR(INDEX(Factors!$C$5:$C$34,MATCH(C604,Factors!$A$5:$A$34,0)),0))</f>
        <v/>
      </c>
      <c r="F604" s="13">
        <f>IF(A604="","",IFERROR(INDEX(Factors!$D$5:$D$34,MATCH(C604,Factors!$A$5:$A$34,0)),"UNMATCHED"))</f>
        <v/>
      </c>
    </row>
    <row r="605">
      <c r="A605" s="8" t="n"/>
      <c r="B605" s="8" t="n"/>
      <c r="C605" s="8" t="n"/>
      <c r="D605" s="11" t="n"/>
      <c r="E605" s="12">
        <f>IF(A605="","",D605*IFERROR(INDEX(Factors!$C$5:$C$34,MATCH(C605,Factors!$A$5:$A$34,0)),0))</f>
        <v/>
      </c>
      <c r="F605" s="13">
        <f>IF(A605="","",IFERROR(INDEX(Factors!$D$5:$D$34,MATCH(C605,Factors!$A$5:$A$34,0)),"UNMATCHED"))</f>
        <v/>
      </c>
    </row>
    <row r="606">
      <c r="A606" s="8" t="n"/>
      <c r="B606" s="8" t="n"/>
      <c r="C606" s="8" t="n"/>
      <c r="D606" s="11" t="n"/>
      <c r="E606" s="12">
        <f>IF(A606="","",D606*IFERROR(INDEX(Factors!$C$5:$C$34,MATCH(C606,Factors!$A$5:$A$34,0)),0))</f>
        <v/>
      </c>
      <c r="F606" s="13">
        <f>IF(A606="","",IFERROR(INDEX(Factors!$D$5:$D$34,MATCH(C606,Factors!$A$5:$A$34,0)),"UNMATCHED"))</f>
        <v/>
      </c>
    </row>
    <row r="607">
      <c r="A607" s="8" t="n"/>
      <c r="B607" s="8" t="n"/>
      <c r="C607" s="8" t="n"/>
      <c r="D607" s="11" t="n"/>
      <c r="E607" s="12">
        <f>IF(A607="","",D607*IFERROR(INDEX(Factors!$C$5:$C$34,MATCH(C607,Factors!$A$5:$A$34,0)),0))</f>
        <v/>
      </c>
      <c r="F607" s="13">
        <f>IF(A607="","",IFERROR(INDEX(Factors!$D$5:$D$34,MATCH(C607,Factors!$A$5:$A$34,0)),"UNMATCHED"))</f>
        <v/>
      </c>
    </row>
    <row r="608">
      <c r="A608" s="8" t="n"/>
      <c r="B608" s="8" t="n"/>
      <c r="C608" s="8" t="n"/>
      <c r="D608" s="11" t="n"/>
      <c r="E608" s="12">
        <f>IF(A608="","",D608*IFERROR(INDEX(Factors!$C$5:$C$34,MATCH(C608,Factors!$A$5:$A$34,0)),0))</f>
        <v/>
      </c>
      <c r="F608" s="13">
        <f>IF(A608="","",IFERROR(INDEX(Factors!$D$5:$D$34,MATCH(C608,Factors!$A$5:$A$34,0)),"UNMATCHED"))</f>
        <v/>
      </c>
    </row>
    <row r="609">
      <c r="A609" s="8" t="n"/>
      <c r="B609" s="8" t="n"/>
      <c r="C609" s="8" t="n"/>
      <c r="D609" s="11" t="n"/>
      <c r="E609" s="12">
        <f>IF(A609="","",D609*IFERROR(INDEX(Factors!$C$5:$C$34,MATCH(C609,Factors!$A$5:$A$34,0)),0))</f>
        <v/>
      </c>
      <c r="F609" s="13">
        <f>IF(A609="","",IFERROR(INDEX(Factors!$D$5:$D$34,MATCH(C609,Factors!$A$5:$A$34,0)),"UNMATCHED"))</f>
        <v/>
      </c>
    </row>
    <row r="610">
      <c r="A610" s="8" t="n"/>
      <c r="B610" s="8" t="n"/>
      <c r="C610" s="8" t="n"/>
      <c r="D610" s="11" t="n"/>
      <c r="E610" s="12">
        <f>IF(A610="","",D610*IFERROR(INDEX(Factors!$C$5:$C$34,MATCH(C610,Factors!$A$5:$A$34,0)),0))</f>
        <v/>
      </c>
      <c r="F610" s="13">
        <f>IF(A610="","",IFERROR(INDEX(Factors!$D$5:$D$34,MATCH(C610,Factors!$A$5:$A$34,0)),"UNMATCHED"))</f>
        <v/>
      </c>
    </row>
    <row r="611">
      <c r="A611" s="8" t="n"/>
      <c r="B611" s="8" t="n"/>
      <c r="C611" s="8" t="n"/>
      <c r="D611" s="11" t="n"/>
      <c r="E611" s="12">
        <f>IF(A611="","",D611*IFERROR(INDEX(Factors!$C$5:$C$34,MATCH(C611,Factors!$A$5:$A$34,0)),0))</f>
        <v/>
      </c>
      <c r="F611" s="13">
        <f>IF(A611="","",IFERROR(INDEX(Factors!$D$5:$D$34,MATCH(C611,Factors!$A$5:$A$34,0)),"UNMATCHED"))</f>
        <v/>
      </c>
    </row>
    <row r="612">
      <c r="A612" s="8" t="n"/>
      <c r="B612" s="8" t="n"/>
      <c r="C612" s="8" t="n"/>
      <c r="D612" s="11" t="n"/>
      <c r="E612" s="12">
        <f>IF(A612="","",D612*IFERROR(INDEX(Factors!$C$5:$C$34,MATCH(C612,Factors!$A$5:$A$34,0)),0))</f>
        <v/>
      </c>
      <c r="F612" s="13">
        <f>IF(A612="","",IFERROR(INDEX(Factors!$D$5:$D$34,MATCH(C612,Factors!$A$5:$A$34,0)),"UNMATCHED"))</f>
        <v/>
      </c>
    </row>
    <row r="613">
      <c r="A613" s="8" t="n"/>
      <c r="B613" s="8" t="n"/>
      <c r="C613" s="8" t="n"/>
      <c r="D613" s="11" t="n"/>
      <c r="E613" s="12">
        <f>IF(A613="","",D613*IFERROR(INDEX(Factors!$C$5:$C$34,MATCH(C613,Factors!$A$5:$A$34,0)),0))</f>
        <v/>
      </c>
      <c r="F613" s="13">
        <f>IF(A613="","",IFERROR(INDEX(Factors!$D$5:$D$34,MATCH(C613,Factors!$A$5:$A$34,0)),"UNMATCHED"))</f>
        <v/>
      </c>
    </row>
    <row r="614">
      <c r="A614" s="8" t="n"/>
      <c r="B614" s="8" t="n"/>
      <c r="C614" s="8" t="n"/>
      <c r="D614" s="11" t="n"/>
      <c r="E614" s="12">
        <f>IF(A614="","",D614*IFERROR(INDEX(Factors!$C$5:$C$34,MATCH(C614,Factors!$A$5:$A$34,0)),0))</f>
        <v/>
      </c>
      <c r="F614" s="13">
        <f>IF(A614="","",IFERROR(INDEX(Factors!$D$5:$D$34,MATCH(C614,Factors!$A$5:$A$34,0)),"UNMATCHED"))</f>
        <v/>
      </c>
    </row>
    <row r="615">
      <c r="A615" s="8" t="n"/>
      <c r="B615" s="8" t="n"/>
      <c r="C615" s="8" t="n"/>
      <c r="D615" s="11" t="n"/>
      <c r="E615" s="12">
        <f>IF(A615="","",D615*IFERROR(INDEX(Factors!$C$5:$C$34,MATCH(C615,Factors!$A$5:$A$34,0)),0))</f>
        <v/>
      </c>
      <c r="F615" s="13">
        <f>IF(A615="","",IFERROR(INDEX(Factors!$D$5:$D$34,MATCH(C615,Factors!$A$5:$A$34,0)),"UNMATCHED"))</f>
        <v/>
      </c>
    </row>
    <row r="616">
      <c r="A616" s="8" t="n"/>
      <c r="B616" s="8" t="n"/>
      <c r="C616" s="8" t="n"/>
      <c r="D616" s="11" t="n"/>
      <c r="E616" s="12">
        <f>IF(A616="","",D616*IFERROR(INDEX(Factors!$C$5:$C$34,MATCH(C616,Factors!$A$5:$A$34,0)),0))</f>
        <v/>
      </c>
      <c r="F616" s="13">
        <f>IF(A616="","",IFERROR(INDEX(Factors!$D$5:$D$34,MATCH(C616,Factors!$A$5:$A$34,0)),"UNMATCHED"))</f>
        <v/>
      </c>
    </row>
    <row r="617">
      <c r="A617" s="8" t="n"/>
      <c r="B617" s="8" t="n"/>
      <c r="C617" s="8" t="n"/>
      <c r="D617" s="11" t="n"/>
      <c r="E617" s="12">
        <f>IF(A617="","",D617*IFERROR(INDEX(Factors!$C$5:$C$34,MATCH(C617,Factors!$A$5:$A$34,0)),0))</f>
        <v/>
      </c>
      <c r="F617" s="13">
        <f>IF(A617="","",IFERROR(INDEX(Factors!$D$5:$D$34,MATCH(C617,Factors!$A$5:$A$34,0)),"UNMATCHED"))</f>
        <v/>
      </c>
    </row>
    <row r="618">
      <c r="A618" s="8" t="n"/>
      <c r="B618" s="8" t="n"/>
      <c r="C618" s="8" t="n"/>
      <c r="D618" s="11" t="n"/>
      <c r="E618" s="12">
        <f>IF(A618="","",D618*IFERROR(INDEX(Factors!$C$5:$C$34,MATCH(C618,Factors!$A$5:$A$34,0)),0))</f>
        <v/>
      </c>
      <c r="F618" s="13">
        <f>IF(A618="","",IFERROR(INDEX(Factors!$D$5:$D$34,MATCH(C618,Factors!$A$5:$A$34,0)),"UNMATCHED"))</f>
        <v/>
      </c>
    </row>
    <row r="619">
      <c r="A619" s="8" t="n"/>
      <c r="B619" s="8" t="n"/>
      <c r="C619" s="8" t="n"/>
      <c r="D619" s="11" t="n"/>
      <c r="E619" s="12">
        <f>IF(A619="","",D619*IFERROR(INDEX(Factors!$C$5:$C$34,MATCH(C619,Factors!$A$5:$A$34,0)),0))</f>
        <v/>
      </c>
      <c r="F619" s="13">
        <f>IF(A619="","",IFERROR(INDEX(Factors!$D$5:$D$34,MATCH(C619,Factors!$A$5:$A$34,0)),"UNMATCHED"))</f>
        <v/>
      </c>
    </row>
    <row r="620">
      <c r="A620" s="8" t="n"/>
      <c r="B620" s="8" t="n"/>
      <c r="C620" s="8" t="n"/>
      <c r="D620" s="11" t="n"/>
      <c r="E620" s="12">
        <f>IF(A620="","",D620*IFERROR(INDEX(Factors!$C$5:$C$34,MATCH(C620,Factors!$A$5:$A$34,0)),0))</f>
        <v/>
      </c>
      <c r="F620" s="13">
        <f>IF(A620="","",IFERROR(INDEX(Factors!$D$5:$D$34,MATCH(C620,Factors!$A$5:$A$34,0)),"UNMATCHED"))</f>
        <v/>
      </c>
    </row>
    <row r="621">
      <c r="A621" s="8" t="n"/>
      <c r="B621" s="8" t="n"/>
      <c r="C621" s="8" t="n"/>
      <c r="D621" s="11" t="n"/>
      <c r="E621" s="12">
        <f>IF(A621="","",D621*IFERROR(INDEX(Factors!$C$5:$C$34,MATCH(C621,Factors!$A$5:$A$34,0)),0))</f>
        <v/>
      </c>
      <c r="F621" s="13">
        <f>IF(A621="","",IFERROR(INDEX(Factors!$D$5:$D$34,MATCH(C621,Factors!$A$5:$A$34,0)),"UNMATCHED"))</f>
        <v/>
      </c>
    </row>
    <row r="622">
      <c r="A622" s="8" t="n"/>
      <c r="B622" s="8" t="n"/>
      <c r="C622" s="8" t="n"/>
      <c r="D622" s="11" t="n"/>
      <c r="E622" s="12">
        <f>IF(A622="","",D622*IFERROR(INDEX(Factors!$C$5:$C$34,MATCH(C622,Factors!$A$5:$A$34,0)),0))</f>
        <v/>
      </c>
      <c r="F622" s="13">
        <f>IF(A622="","",IFERROR(INDEX(Factors!$D$5:$D$34,MATCH(C622,Factors!$A$5:$A$34,0)),"UNMATCHED"))</f>
        <v/>
      </c>
    </row>
    <row r="623">
      <c r="A623" s="8" t="n"/>
      <c r="B623" s="8" t="n"/>
      <c r="C623" s="8" t="n"/>
      <c r="D623" s="11" t="n"/>
      <c r="E623" s="12">
        <f>IF(A623="","",D623*IFERROR(INDEX(Factors!$C$5:$C$34,MATCH(C623,Factors!$A$5:$A$34,0)),0))</f>
        <v/>
      </c>
      <c r="F623" s="13">
        <f>IF(A623="","",IFERROR(INDEX(Factors!$D$5:$D$34,MATCH(C623,Factors!$A$5:$A$34,0)),"UNMATCHED"))</f>
        <v/>
      </c>
    </row>
    <row r="624">
      <c r="A624" s="8" t="n"/>
      <c r="B624" s="8" t="n"/>
      <c r="C624" s="8" t="n"/>
      <c r="D624" s="11" t="n"/>
      <c r="E624" s="12">
        <f>IF(A624="","",D624*IFERROR(INDEX(Factors!$C$5:$C$34,MATCH(C624,Factors!$A$5:$A$34,0)),0))</f>
        <v/>
      </c>
      <c r="F624" s="13">
        <f>IF(A624="","",IFERROR(INDEX(Factors!$D$5:$D$34,MATCH(C624,Factors!$A$5:$A$34,0)),"UNMATCHED"))</f>
        <v/>
      </c>
    </row>
    <row r="625">
      <c r="A625" s="8" t="n"/>
      <c r="B625" s="8" t="n"/>
      <c r="C625" s="8" t="n"/>
      <c r="D625" s="11" t="n"/>
      <c r="E625" s="12">
        <f>IF(A625="","",D625*IFERROR(INDEX(Factors!$C$5:$C$34,MATCH(C625,Factors!$A$5:$A$34,0)),0))</f>
        <v/>
      </c>
      <c r="F625" s="13">
        <f>IF(A625="","",IFERROR(INDEX(Factors!$D$5:$D$34,MATCH(C625,Factors!$A$5:$A$34,0)),"UNMATCHED"))</f>
        <v/>
      </c>
    </row>
    <row r="626">
      <c r="A626" s="8" t="n"/>
      <c r="B626" s="8" t="n"/>
      <c r="C626" s="8" t="n"/>
      <c r="D626" s="11" t="n"/>
      <c r="E626" s="12">
        <f>IF(A626="","",D626*IFERROR(INDEX(Factors!$C$5:$C$34,MATCH(C626,Factors!$A$5:$A$34,0)),0))</f>
        <v/>
      </c>
      <c r="F626" s="13">
        <f>IF(A626="","",IFERROR(INDEX(Factors!$D$5:$D$34,MATCH(C626,Factors!$A$5:$A$34,0)),"UNMATCHED"))</f>
        <v/>
      </c>
    </row>
    <row r="627">
      <c r="A627" s="8" t="n"/>
      <c r="B627" s="8" t="n"/>
      <c r="C627" s="8" t="n"/>
      <c r="D627" s="11" t="n"/>
      <c r="E627" s="12">
        <f>IF(A627="","",D627*IFERROR(INDEX(Factors!$C$5:$C$34,MATCH(C627,Factors!$A$5:$A$34,0)),0))</f>
        <v/>
      </c>
      <c r="F627" s="13">
        <f>IF(A627="","",IFERROR(INDEX(Factors!$D$5:$D$34,MATCH(C627,Factors!$A$5:$A$34,0)),"UNMATCHED"))</f>
        <v/>
      </c>
    </row>
    <row r="628">
      <c r="A628" s="8" t="n"/>
      <c r="B628" s="8" t="n"/>
      <c r="C628" s="8" t="n"/>
      <c r="D628" s="11" t="n"/>
      <c r="E628" s="12">
        <f>IF(A628="","",D628*IFERROR(INDEX(Factors!$C$5:$C$34,MATCH(C628,Factors!$A$5:$A$34,0)),0))</f>
        <v/>
      </c>
      <c r="F628" s="13">
        <f>IF(A628="","",IFERROR(INDEX(Factors!$D$5:$D$34,MATCH(C628,Factors!$A$5:$A$34,0)),"UNMATCHED"))</f>
        <v/>
      </c>
    </row>
    <row r="629">
      <c r="A629" s="8" t="n"/>
      <c r="B629" s="8" t="n"/>
      <c r="C629" s="8" t="n"/>
      <c r="D629" s="11" t="n"/>
      <c r="E629" s="12">
        <f>IF(A629="","",D629*IFERROR(INDEX(Factors!$C$5:$C$34,MATCH(C629,Factors!$A$5:$A$34,0)),0))</f>
        <v/>
      </c>
      <c r="F629" s="13">
        <f>IF(A629="","",IFERROR(INDEX(Factors!$D$5:$D$34,MATCH(C629,Factors!$A$5:$A$34,0)),"UNMATCHED"))</f>
        <v/>
      </c>
    </row>
    <row r="630">
      <c r="A630" s="8" t="n"/>
      <c r="B630" s="8" t="n"/>
      <c r="C630" s="8" t="n"/>
      <c r="D630" s="11" t="n"/>
      <c r="E630" s="12">
        <f>IF(A630="","",D630*IFERROR(INDEX(Factors!$C$5:$C$34,MATCH(C630,Factors!$A$5:$A$34,0)),0))</f>
        <v/>
      </c>
      <c r="F630" s="13">
        <f>IF(A630="","",IFERROR(INDEX(Factors!$D$5:$D$34,MATCH(C630,Factors!$A$5:$A$34,0)),"UNMATCHED"))</f>
        <v/>
      </c>
    </row>
    <row r="631">
      <c r="A631" s="8" t="n"/>
      <c r="B631" s="8" t="n"/>
      <c r="C631" s="8" t="n"/>
      <c r="D631" s="11" t="n"/>
      <c r="E631" s="12">
        <f>IF(A631="","",D631*IFERROR(INDEX(Factors!$C$5:$C$34,MATCH(C631,Factors!$A$5:$A$34,0)),0))</f>
        <v/>
      </c>
      <c r="F631" s="13">
        <f>IF(A631="","",IFERROR(INDEX(Factors!$D$5:$D$34,MATCH(C631,Factors!$A$5:$A$34,0)),"UNMATCHED"))</f>
        <v/>
      </c>
    </row>
    <row r="632">
      <c r="A632" s="8" t="n"/>
      <c r="B632" s="8" t="n"/>
      <c r="C632" s="8" t="n"/>
      <c r="D632" s="11" t="n"/>
      <c r="E632" s="12">
        <f>IF(A632="","",D632*IFERROR(INDEX(Factors!$C$5:$C$34,MATCH(C632,Factors!$A$5:$A$34,0)),0))</f>
        <v/>
      </c>
      <c r="F632" s="13">
        <f>IF(A632="","",IFERROR(INDEX(Factors!$D$5:$D$34,MATCH(C632,Factors!$A$5:$A$34,0)),"UNMATCHED"))</f>
        <v/>
      </c>
    </row>
    <row r="633">
      <c r="A633" s="8" t="n"/>
      <c r="B633" s="8" t="n"/>
      <c r="C633" s="8" t="n"/>
      <c r="D633" s="11" t="n"/>
      <c r="E633" s="12">
        <f>IF(A633="","",D633*IFERROR(INDEX(Factors!$C$5:$C$34,MATCH(C633,Factors!$A$5:$A$34,0)),0))</f>
        <v/>
      </c>
      <c r="F633" s="13">
        <f>IF(A633="","",IFERROR(INDEX(Factors!$D$5:$D$34,MATCH(C633,Factors!$A$5:$A$34,0)),"UNMATCHED"))</f>
        <v/>
      </c>
    </row>
    <row r="634">
      <c r="A634" s="8" t="n"/>
      <c r="B634" s="8" t="n"/>
      <c r="C634" s="8" t="n"/>
      <c r="D634" s="11" t="n"/>
      <c r="E634" s="12">
        <f>IF(A634="","",D634*IFERROR(INDEX(Factors!$C$5:$C$34,MATCH(C634,Factors!$A$5:$A$34,0)),0))</f>
        <v/>
      </c>
      <c r="F634" s="13">
        <f>IF(A634="","",IFERROR(INDEX(Factors!$D$5:$D$34,MATCH(C634,Factors!$A$5:$A$34,0)),"UNMATCHED"))</f>
        <v/>
      </c>
    </row>
    <row r="635">
      <c r="A635" s="8" t="n"/>
      <c r="B635" s="8" t="n"/>
      <c r="C635" s="8" t="n"/>
      <c r="D635" s="11" t="n"/>
      <c r="E635" s="12">
        <f>IF(A635="","",D635*IFERROR(INDEX(Factors!$C$5:$C$34,MATCH(C635,Factors!$A$5:$A$34,0)),0))</f>
        <v/>
      </c>
      <c r="F635" s="13">
        <f>IF(A635="","",IFERROR(INDEX(Factors!$D$5:$D$34,MATCH(C635,Factors!$A$5:$A$34,0)),"UNMATCHED"))</f>
        <v/>
      </c>
    </row>
    <row r="636">
      <c r="A636" s="8" t="n"/>
      <c r="B636" s="8" t="n"/>
      <c r="C636" s="8" t="n"/>
      <c r="D636" s="11" t="n"/>
      <c r="E636" s="12">
        <f>IF(A636="","",D636*IFERROR(INDEX(Factors!$C$5:$C$34,MATCH(C636,Factors!$A$5:$A$34,0)),0))</f>
        <v/>
      </c>
      <c r="F636" s="13">
        <f>IF(A636="","",IFERROR(INDEX(Factors!$D$5:$D$34,MATCH(C636,Factors!$A$5:$A$34,0)),"UNMATCHED"))</f>
        <v/>
      </c>
    </row>
    <row r="637">
      <c r="A637" s="8" t="n"/>
      <c r="B637" s="8" t="n"/>
      <c r="C637" s="8" t="n"/>
      <c r="D637" s="11" t="n"/>
      <c r="E637" s="12">
        <f>IF(A637="","",D637*IFERROR(INDEX(Factors!$C$5:$C$34,MATCH(C637,Factors!$A$5:$A$34,0)),0))</f>
        <v/>
      </c>
      <c r="F637" s="13">
        <f>IF(A637="","",IFERROR(INDEX(Factors!$D$5:$D$34,MATCH(C637,Factors!$A$5:$A$34,0)),"UNMATCHED"))</f>
        <v/>
      </c>
    </row>
    <row r="638">
      <c r="A638" s="8" t="n"/>
      <c r="B638" s="8" t="n"/>
      <c r="C638" s="8" t="n"/>
      <c r="D638" s="11" t="n"/>
      <c r="E638" s="12">
        <f>IF(A638="","",D638*IFERROR(INDEX(Factors!$C$5:$C$34,MATCH(C638,Factors!$A$5:$A$34,0)),0))</f>
        <v/>
      </c>
      <c r="F638" s="13">
        <f>IF(A638="","",IFERROR(INDEX(Factors!$D$5:$D$34,MATCH(C638,Factors!$A$5:$A$34,0)),"UNMATCHED"))</f>
        <v/>
      </c>
    </row>
    <row r="639">
      <c r="A639" s="8" t="n"/>
      <c r="B639" s="8" t="n"/>
      <c r="C639" s="8" t="n"/>
      <c r="D639" s="11" t="n"/>
      <c r="E639" s="12">
        <f>IF(A639="","",D639*IFERROR(INDEX(Factors!$C$5:$C$34,MATCH(C639,Factors!$A$5:$A$34,0)),0))</f>
        <v/>
      </c>
      <c r="F639" s="13">
        <f>IF(A639="","",IFERROR(INDEX(Factors!$D$5:$D$34,MATCH(C639,Factors!$A$5:$A$34,0)),"UNMATCHED"))</f>
        <v/>
      </c>
    </row>
    <row r="640">
      <c r="A640" s="8" t="n"/>
      <c r="B640" s="8" t="n"/>
      <c r="C640" s="8" t="n"/>
      <c r="D640" s="11" t="n"/>
      <c r="E640" s="12">
        <f>IF(A640="","",D640*IFERROR(INDEX(Factors!$C$5:$C$34,MATCH(C640,Factors!$A$5:$A$34,0)),0))</f>
        <v/>
      </c>
      <c r="F640" s="13">
        <f>IF(A640="","",IFERROR(INDEX(Factors!$D$5:$D$34,MATCH(C640,Factors!$A$5:$A$34,0)),"UNMATCHED"))</f>
        <v/>
      </c>
    </row>
    <row r="641">
      <c r="A641" s="8" t="n"/>
      <c r="B641" s="8" t="n"/>
      <c r="C641" s="8" t="n"/>
      <c r="D641" s="11" t="n"/>
      <c r="E641" s="12">
        <f>IF(A641="","",D641*IFERROR(INDEX(Factors!$C$5:$C$34,MATCH(C641,Factors!$A$5:$A$34,0)),0))</f>
        <v/>
      </c>
      <c r="F641" s="13">
        <f>IF(A641="","",IFERROR(INDEX(Factors!$D$5:$D$34,MATCH(C641,Factors!$A$5:$A$34,0)),"UNMATCHED"))</f>
        <v/>
      </c>
    </row>
    <row r="642">
      <c r="A642" s="8" t="n"/>
      <c r="B642" s="8" t="n"/>
      <c r="C642" s="8" t="n"/>
      <c r="D642" s="11" t="n"/>
      <c r="E642" s="12">
        <f>IF(A642="","",D642*IFERROR(INDEX(Factors!$C$5:$C$34,MATCH(C642,Factors!$A$5:$A$34,0)),0))</f>
        <v/>
      </c>
      <c r="F642" s="13">
        <f>IF(A642="","",IFERROR(INDEX(Factors!$D$5:$D$34,MATCH(C642,Factors!$A$5:$A$34,0)),"UNMATCHED"))</f>
        <v/>
      </c>
    </row>
    <row r="643">
      <c r="A643" s="8" t="n"/>
      <c r="B643" s="8" t="n"/>
      <c r="C643" s="8" t="n"/>
      <c r="D643" s="11" t="n"/>
      <c r="E643" s="12">
        <f>IF(A643="","",D643*IFERROR(INDEX(Factors!$C$5:$C$34,MATCH(C643,Factors!$A$5:$A$34,0)),0))</f>
        <v/>
      </c>
      <c r="F643" s="13">
        <f>IF(A643="","",IFERROR(INDEX(Factors!$D$5:$D$34,MATCH(C643,Factors!$A$5:$A$34,0)),"UNMATCHED"))</f>
        <v/>
      </c>
    </row>
    <row r="644">
      <c r="A644" s="8" t="n"/>
      <c r="B644" s="8" t="n"/>
      <c r="C644" s="8" t="n"/>
      <c r="D644" s="11" t="n"/>
      <c r="E644" s="12">
        <f>IF(A644="","",D644*IFERROR(INDEX(Factors!$C$5:$C$34,MATCH(C644,Factors!$A$5:$A$34,0)),0))</f>
        <v/>
      </c>
      <c r="F644" s="13">
        <f>IF(A644="","",IFERROR(INDEX(Factors!$D$5:$D$34,MATCH(C644,Factors!$A$5:$A$34,0)),"UNMATCHED"))</f>
        <v/>
      </c>
    </row>
    <row r="645">
      <c r="A645" s="8" t="n"/>
      <c r="B645" s="8" t="n"/>
      <c r="C645" s="8" t="n"/>
      <c r="D645" s="11" t="n"/>
      <c r="E645" s="12">
        <f>IF(A645="","",D645*IFERROR(INDEX(Factors!$C$5:$C$34,MATCH(C645,Factors!$A$5:$A$34,0)),0))</f>
        <v/>
      </c>
      <c r="F645" s="13">
        <f>IF(A645="","",IFERROR(INDEX(Factors!$D$5:$D$34,MATCH(C645,Factors!$A$5:$A$34,0)),"UNMATCHED"))</f>
        <v/>
      </c>
    </row>
    <row r="646">
      <c r="A646" s="8" t="n"/>
      <c r="B646" s="8" t="n"/>
      <c r="C646" s="8" t="n"/>
      <c r="D646" s="11" t="n"/>
      <c r="E646" s="12">
        <f>IF(A646="","",D646*IFERROR(INDEX(Factors!$C$5:$C$34,MATCH(C646,Factors!$A$5:$A$34,0)),0))</f>
        <v/>
      </c>
      <c r="F646" s="13">
        <f>IF(A646="","",IFERROR(INDEX(Factors!$D$5:$D$34,MATCH(C646,Factors!$A$5:$A$34,0)),"UNMATCHED"))</f>
        <v/>
      </c>
    </row>
    <row r="647">
      <c r="A647" s="8" t="n"/>
      <c r="B647" s="8" t="n"/>
      <c r="C647" s="8" t="n"/>
      <c r="D647" s="11" t="n"/>
      <c r="E647" s="12">
        <f>IF(A647="","",D647*IFERROR(INDEX(Factors!$C$5:$C$34,MATCH(C647,Factors!$A$5:$A$34,0)),0))</f>
        <v/>
      </c>
      <c r="F647" s="13">
        <f>IF(A647="","",IFERROR(INDEX(Factors!$D$5:$D$34,MATCH(C647,Factors!$A$5:$A$34,0)),"UNMATCHED"))</f>
        <v/>
      </c>
    </row>
    <row r="648">
      <c r="A648" s="8" t="n"/>
      <c r="B648" s="8" t="n"/>
      <c r="C648" s="8" t="n"/>
      <c r="D648" s="11" t="n"/>
      <c r="E648" s="12">
        <f>IF(A648="","",D648*IFERROR(INDEX(Factors!$C$5:$C$34,MATCH(C648,Factors!$A$5:$A$34,0)),0))</f>
        <v/>
      </c>
      <c r="F648" s="13">
        <f>IF(A648="","",IFERROR(INDEX(Factors!$D$5:$D$34,MATCH(C648,Factors!$A$5:$A$34,0)),"UNMATCHED"))</f>
        <v/>
      </c>
    </row>
    <row r="649">
      <c r="A649" s="8" t="n"/>
      <c r="B649" s="8" t="n"/>
      <c r="C649" s="8" t="n"/>
      <c r="D649" s="11" t="n"/>
      <c r="E649" s="12">
        <f>IF(A649="","",D649*IFERROR(INDEX(Factors!$C$5:$C$34,MATCH(C649,Factors!$A$5:$A$34,0)),0))</f>
        <v/>
      </c>
      <c r="F649" s="13">
        <f>IF(A649="","",IFERROR(INDEX(Factors!$D$5:$D$34,MATCH(C649,Factors!$A$5:$A$34,0)),"UNMATCHED"))</f>
        <v/>
      </c>
    </row>
    <row r="650">
      <c r="A650" s="8" t="n"/>
      <c r="B650" s="8" t="n"/>
      <c r="C650" s="8" t="n"/>
      <c r="D650" s="11" t="n"/>
      <c r="E650" s="12">
        <f>IF(A650="","",D650*IFERROR(INDEX(Factors!$C$5:$C$34,MATCH(C650,Factors!$A$5:$A$34,0)),0))</f>
        <v/>
      </c>
      <c r="F650" s="13">
        <f>IF(A650="","",IFERROR(INDEX(Factors!$D$5:$D$34,MATCH(C650,Factors!$A$5:$A$34,0)),"UNMATCHED"))</f>
        <v/>
      </c>
    </row>
    <row r="651">
      <c r="A651" s="8" t="n"/>
      <c r="B651" s="8" t="n"/>
      <c r="C651" s="8" t="n"/>
      <c r="D651" s="11" t="n"/>
      <c r="E651" s="12">
        <f>IF(A651="","",D651*IFERROR(INDEX(Factors!$C$5:$C$34,MATCH(C651,Factors!$A$5:$A$34,0)),0))</f>
        <v/>
      </c>
      <c r="F651" s="13">
        <f>IF(A651="","",IFERROR(INDEX(Factors!$D$5:$D$34,MATCH(C651,Factors!$A$5:$A$34,0)),"UNMATCHED"))</f>
        <v/>
      </c>
    </row>
    <row r="652">
      <c r="A652" s="8" t="n"/>
      <c r="B652" s="8" t="n"/>
      <c r="C652" s="8" t="n"/>
      <c r="D652" s="11" t="n"/>
      <c r="E652" s="12">
        <f>IF(A652="","",D652*IFERROR(INDEX(Factors!$C$5:$C$34,MATCH(C652,Factors!$A$5:$A$34,0)),0))</f>
        <v/>
      </c>
      <c r="F652" s="13">
        <f>IF(A652="","",IFERROR(INDEX(Factors!$D$5:$D$34,MATCH(C652,Factors!$A$5:$A$34,0)),"UNMATCHED"))</f>
        <v/>
      </c>
    </row>
    <row r="653">
      <c r="A653" s="8" t="n"/>
      <c r="B653" s="8" t="n"/>
      <c r="C653" s="8" t="n"/>
      <c r="D653" s="11" t="n"/>
      <c r="E653" s="12">
        <f>IF(A653="","",D653*IFERROR(INDEX(Factors!$C$5:$C$34,MATCH(C653,Factors!$A$5:$A$34,0)),0))</f>
        <v/>
      </c>
      <c r="F653" s="13">
        <f>IF(A653="","",IFERROR(INDEX(Factors!$D$5:$D$34,MATCH(C653,Factors!$A$5:$A$34,0)),"UNMATCHED"))</f>
        <v/>
      </c>
    </row>
    <row r="654">
      <c r="A654" s="8" t="n"/>
      <c r="B654" s="8" t="n"/>
      <c r="C654" s="8" t="n"/>
      <c r="D654" s="11" t="n"/>
      <c r="E654" s="12">
        <f>IF(A654="","",D654*IFERROR(INDEX(Factors!$C$5:$C$34,MATCH(C654,Factors!$A$5:$A$34,0)),0))</f>
        <v/>
      </c>
      <c r="F654" s="13">
        <f>IF(A654="","",IFERROR(INDEX(Factors!$D$5:$D$34,MATCH(C654,Factors!$A$5:$A$34,0)),"UNMATCHED"))</f>
        <v/>
      </c>
    </row>
    <row r="655">
      <c r="A655" s="8" t="n"/>
      <c r="B655" s="8" t="n"/>
      <c r="C655" s="8" t="n"/>
      <c r="D655" s="11" t="n"/>
      <c r="E655" s="12">
        <f>IF(A655="","",D655*IFERROR(INDEX(Factors!$C$5:$C$34,MATCH(C655,Factors!$A$5:$A$34,0)),0))</f>
        <v/>
      </c>
      <c r="F655" s="13">
        <f>IF(A655="","",IFERROR(INDEX(Factors!$D$5:$D$34,MATCH(C655,Factors!$A$5:$A$34,0)),"UNMATCHED"))</f>
        <v/>
      </c>
    </row>
    <row r="656">
      <c r="A656" s="8" t="n"/>
      <c r="B656" s="8" t="n"/>
      <c r="C656" s="8" t="n"/>
      <c r="D656" s="11" t="n"/>
      <c r="E656" s="12">
        <f>IF(A656="","",D656*IFERROR(INDEX(Factors!$C$5:$C$34,MATCH(C656,Factors!$A$5:$A$34,0)),0))</f>
        <v/>
      </c>
      <c r="F656" s="13">
        <f>IF(A656="","",IFERROR(INDEX(Factors!$D$5:$D$34,MATCH(C656,Factors!$A$5:$A$34,0)),"UNMATCHED"))</f>
        <v/>
      </c>
    </row>
    <row r="657">
      <c r="A657" s="8" t="n"/>
      <c r="B657" s="8" t="n"/>
      <c r="C657" s="8" t="n"/>
      <c r="D657" s="11" t="n"/>
      <c r="E657" s="12">
        <f>IF(A657="","",D657*IFERROR(INDEX(Factors!$C$5:$C$34,MATCH(C657,Factors!$A$5:$A$34,0)),0))</f>
        <v/>
      </c>
      <c r="F657" s="13">
        <f>IF(A657="","",IFERROR(INDEX(Factors!$D$5:$D$34,MATCH(C657,Factors!$A$5:$A$34,0)),"UNMATCHED"))</f>
        <v/>
      </c>
    </row>
    <row r="658">
      <c r="A658" s="8" t="n"/>
      <c r="B658" s="8" t="n"/>
      <c r="C658" s="8" t="n"/>
      <c r="D658" s="11" t="n"/>
      <c r="E658" s="12">
        <f>IF(A658="","",D658*IFERROR(INDEX(Factors!$C$5:$C$34,MATCH(C658,Factors!$A$5:$A$34,0)),0))</f>
        <v/>
      </c>
      <c r="F658" s="13">
        <f>IF(A658="","",IFERROR(INDEX(Factors!$D$5:$D$34,MATCH(C658,Factors!$A$5:$A$34,0)),"UNMATCHED"))</f>
        <v/>
      </c>
    </row>
    <row r="659">
      <c r="A659" s="8" t="n"/>
      <c r="B659" s="8" t="n"/>
      <c r="C659" s="8" t="n"/>
      <c r="D659" s="11" t="n"/>
      <c r="E659" s="12">
        <f>IF(A659="","",D659*IFERROR(INDEX(Factors!$C$5:$C$34,MATCH(C659,Factors!$A$5:$A$34,0)),0))</f>
        <v/>
      </c>
      <c r="F659" s="13">
        <f>IF(A659="","",IFERROR(INDEX(Factors!$D$5:$D$34,MATCH(C659,Factors!$A$5:$A$34,0)),"UNMATCHED"))</f>
        <v/>
      </c>
    </row>
    <row r="660">
      <c r="A660" s="8" t="n"/>
      <c r="B660" s="8" t="n"/>
      <c r="C660" s="8" t="n"/>
      <c r="D660" s="11" t="n"/>
      <c r="E660" s="12">
        <f>IF(A660="","",D660*IFERROR(INDEX(Factors!$C$5:$C$34,MATCH(C660,Factors!$A$5:$A$34,0)),0))</f>
        <v/>
      </c>
      <c r="F660" s="13">
        <f>IF(A660="","",IFERROR(INDEX(Factors!$D$5:$D$34,MATCH(C660,Factors!$A$5:$A$34,0)),"UNMATCHED"))</f>
        <v/>
      </c>
    </row>
    <row r="661">
      <c r="A661" s="8" t="n"/>
      <c r="B661" s="8" t="n"/>
      <c r="C661" s="8" t="n"/>
      <c r="D661" s="11" t="n"/>
      <c r="E661" s="12">
        <f>IF(A661="","",D661*IFERROR(INDEX(Factors!$C$5:$C$34,MATCH(C661,Factors!$A$5:$A$34,0)),0))</f>
        <v/>
      </c>
      <c r="F661" s="13">
        <f>IF(A661="","",IFERROR(INDEX(Factors!$D$5:$D$34,MATCH(C661,Factors!$A$5:$A$34,0)),"UNMATCHED"))</f>
        <v/>
      </c>
    </row>
    <row r="662">
      <c r="A662" s="8" t="n"/>
      <c r="B662" s="8" t="n"/>
      <c r="C662" s="8" t="n"/>
      <c r="D662" s="11" t="n"/>
      <c r="E662" s="12">
        <f>IF(A662="","",D662*IFERROR(INDEX(Factors!$C$5:$C$34,MATCH(C662,Factors!$A$5:$A$34,0)),0))</f>
        <v/>
      </c>
      <c r="F662" s="13">
        <f>IF(A662="","",IFERROR(INDEX(Factors!$D$5:$D$34,MATCH(C662,Factors!$A$5:$A$34,0)),"UNMATCHED"))</f>
        <v/>
      </c>
    </row>
    <row r="663">
      <c r="A663" s="8" t="n"/>
      <c r="B663" s="8" t="n"/>
      <c r="C663" s="8" t="n"/>
      <c r="D663" s="11" t="n"/>
      <c r="E663" s="12">
        <f>IF(A663="","",D663*IFERROR(INDEX(Factors!$C$5:$C$34,MATCH(C663,Factors!$A$5:$A$34,0)),0))</f>
        <v/>
      </c>
      <c r="F663" s="13">
        <f>IF(A663="","",IFERROR(INDEX(Factors!$D$5:$D$34,MATCH(C663,Factors!$A$5:$A$34,0)),"UNMATCHED"))</f>
        <v/>
      </c>
    </row>
    <row r="664">
      <c r="A664" s="8" t="n"/>
      <c r="B664" s="8" t="n"/>
      <c r="C664" s="8" t="n"/>
      <c r="D664" s="11" t="n"/>
      <c r="E664" s="12">
        <f>IF(A664="","",D664*IFERROR(INDEX(Factors!$C$5:$C$34,MATCH(C664,Factors!$A$5:$A$34,0)),0))</f>
        <v/>
      </c>
      <c r="F664" s="13">
        <f>IF(A664="","",IFERROR(INDEX(Factors!$D$5:$D$34,MATCH(C664,Factors!$A$5:$A$34,0)),"UNMATCHED"))</f>
        <v/>
      </c>
    </row>
    <row r="665">
      <c r="A665" s="8" t="n"/>
      <c r="B665" s="8" t="n"/>
      <c r="C665" s="8" t="n"/>
      <c r="D665" s="11" t="n"/>
      <c r="E665" s="12">
        <f>IF(A665="","",D665*IFERROR(INDEX(Factors!$C$5:$C$34,MATCH(C665,Factors!$A$5:$A$34,0)),0))</f>
        <v/>
      </c>
      <c r="F665" s="13">
        <f>IF(A665="","",IFERROR(INDEX(Factors!$D$5:$D$34,MATCH(C665,Factors!$A$5:$A$34,0)),"UNMATCHED"))</f>
        <v/>
      </c>
    </row>
    <row r="666">
      <c r="A666" s="8" t="n"/>
      <c r="B666" s="8" t="n"/>
      <c r="C666" s="8" t="n"/>
      <c r="D666" s="11" t="n"/>
      <c r="E666" s="12">
        <f>IF(A666="","",D666*IFERROR(INDEX(Factors!$C$5:$C$34,MATCH(C666,Factors!$A$5:$A$34,0)),0))</f>
        <v/>
      </c>
      <c r="F666" s="13">
        <f>IF(A666="","",IFERROR(INDEX(Factors!$D$5:$D$34,MATCH(C666,Factors!$A$5:$A$34,0)),"UNMATCHED"))</f>
        <v/>
      </c>
    </row>
    <row r="667">
      <c r="A667" s="8" t="n"/>
      <c r="B667" s="8" t="n"/>
      <c r="C667" s="8" t="n"/>
      <c r="D667" s="11" t="n"/>
      <c r="E667" s="12">
        <f>IF(A667="","",D667*IFERROR(INDEX(Factors!$C$5:$C$34,MATCH(C667,Factors!$A$5:$A$34,0)),0))</f>
        <v/>
      </c>
      <c r="F667" s="13">
        <f>IF(A667="","",IFERROR(INDEX(Factors!$D$5:$D$34,MATCH(C667,Factors!$A$5:$A$34,0)),"UNMATCHED"))</f>
        <v/>
      </c>
    </row>
    <row r="668">
      <c r="A668" s="8" t="n"/>
      <c r="B668" s="8" t="n"/>
      <c r="C668" s="8" t="n"/>
      <c r="D668" s="11" t="n"/>
      <c r="E668" s="12">
        <f>IF(A668="","",D668*IFERROR(INDEX(Factors!$C$5:$C$34,MATCH(C668,Factors!$A$5:$A$34,0)),0))</f>
        <v/>
      </c>
      <c r="F668" s="13">
        <f>IF(A668="","",IFERROR(INDEX(Factors!$D$5:$D$34,MATCH(C668,Factors!$A$5:$A$34,0)),"UNMATCHED"))</f>
        <v/>
      </c>
    </row>
    <row r="669">
      <c r="A669" s="8" t="n"/>
      <c r="B669" s="8" t="n"/>
      <c r="C669" s="8" t="n"/>
      <c r="D669" s="11" t="n"/>
      <c r="E669" s="12">
        <f>IF(A669="","",D669*IFERROR(INDEX(Factors!$C$5:$C$34,MATCH(C669,Factors!$A$5:$A$34,0)),0))</f>
        <v/>
      </c>
      <c r="F669" s="13">
        <f>IF(A669="","",IFERROR(INDEX(Factors!$D$5:$D$34,MATCH(C669,Factors!$A$5:$A$34,0)),"UNMATCHED"))</f>
        <v/>
      </c>
    </row>
    <row r="670">
      <c r="A670" s="8" t="n"/>
      <c r="B670" s="8" t="n"/>
      <c r="C670" s="8" t="n"/>
      <c r="D670" s="11" t="n"/>
      <c r="E670" s="12">
        <f>IF(A670="","",D670*IFERROR(INDEX(Factors!$C$5:$C$34,MATCH(C670,Factors!$A$5:$A$34,0)),0))</f>
        <v/>
      </c>
      <c r="F670" s="13">
        <f>IF(A670="","",IFERROR(INDEX(Factors!$D$5:$D$34,MATCH(C670,Factors!$A$5:$A$34,0)),"UNMATCHED"))</f>
        <v/>
      </c>
    </row>
    <row r="671">
      <c r="A671" s="8" t="n"/>
      <c r="B671" s="8" t="n"/>
      <c r="C671" s="8" t="n"/>
      <c r="D671" s="11" t="n"/>
      <c r="E671" s="12">
        <f>IF(A671="","",D671*IFERROR(INDEX(Factors!$C$5:$C$34,MATCH(C671,Factors!$A$5:$A$34,0)),0))</f>
        <v/>
      </c>
      <c r="F671" s="13">
        <f>IF(A671="","",IFERROR(INDEX(Factors!$D$5:$D$34,MATCH(C671,Factors!$A$5:$A$34,0)),"UNMATCHED"))</f>
        <v/>
      </c>
    </row>
    <row r="672">
      <c r="A672" s="8" t="n"/>
      <c r="B672" s="8" t="n"/>
      <c r="C672" s="8" t="n"/>
      <c r="D672" s="11" t="n"/>
      <c r="E672" s="12">
        <f>IF(A672="","",D672*IFERROR(INDEX(Factors!$C$5:$C$34,MATCH(C672,Factors!$A$5:$A$34,0)),0))</f>
        <v/>
      </c>
      <c r="F672" s="13">
        <f>IF(A672="","",IFERROR(INDEX(Factors!$D$5:$D$34,MATCH(C672,Factors!$A$5:$A$34,0)),"UNMATCHED"))</f>
        <v/>
      </c>
    </row>
    <row r="673">
      <c r="A673" s="8" t="n"/>
      <c r="B673" s="8" t="n"/>
      <c r="C673" s="8" t="n"/>
      <c r="D673" s="11" t="n"/>
      <c r="E673" s="12">
        <f>IF(A673="","",D673*IFERROR(INDEX(Factors!$C$5:$C$34,MATCH(C673,Factors!$A$5:$A$34,0)),0))</f>
        <v/>
      </c>
      <c r="F673" s="13">
        <f>IF(A673="","",IFERROR(INDEX(Factors!$D$5:$D$34,MATCH(C673,Factors!$A$5:$A$34,0)),"UNMATCHED"))</f>
        <v/>
      </c>
    </row>
    <row r="674">
      <c r="A674" s="8" t="n"/>
      <c r="B674" s="8" t="n"/>
      <c r="C674" s="8" t="n"/>
      <c r="D674" s="11" t="n"/>
      <c r="E674" s="12">
        <f>IF(A674="","",D674*IFERROR(INDEX(Factors!$C$5:$C$34,MATCH(C674,Factors!$A$5:$A$34,0)),0))</f>
        <v/>
      </c>
      <c r="F674" s="13">
        <f>IF(A674="","",IFERROR(INDEX(Factors!$D$5:$D$34,MATCH(C674,Factors!$A$5:$A$34,0)),"UNMATCHED"))</f>
        <v/>
      </c>
    </row>
    <row r="675">
      <c r="A675" s="8" t="n"/>
      <c r="B675" s="8" t="n"/>
      <c r="C675" s="8" t="n"/>
      <c r="D675" s="11" t="n"/>
      <c r="E675" s="12">
        <f>IF(A675="","",D675*IFERROR(INDEX(Factors!$C$5:$C$34,MATCH(C675,Factors!$A$5:$A$34,0)),0))</f>
        <v/>
      </c>
      <c r="F675" s="13">
        <f>IF(A675="","",IFERROR(INDEX(Factors!$D$5:$D$34,MATCH(C675,Factors!$A$5:$A$34,0)),"UNMATCHED"))</f>
        <v/>
      </c>
    </row>
    <row r="676">
      <c r="A676" s="8" t="n"/>
      <c r="B676" s="8" t="n"/>
      <c r="C676" s="8" t="n"/>
      <c r="D676" s="11" t="n"/>
      <c r="E676" s="12">
        <f>IF(A676="","",D676*IFERROR(INDEX(Factors!$C$5:$C$34,MATCH(C676,Factors!$A$5:$A$34,0)),0))</f>
        <v/>
      </c>
      <c r="F676" s="13">
        <f>IF(A676="","",IFERROR(INDEX(Factors!$D$5:$D$34,MATCH(C676,Factors!$A$5:$A$34,0)),"UNMATCHED"))</f>
        <v/>
      </c>
    </row>
    <row r="677">
      <c r="A677" s="8" t="n"/>
      <c r="B677" s="8" t="n"/>
      <c r="C677" s="8" t="n"/>
      <c r="D677" s="11" t="n"/>
      <c r="E677" s="12">
        <f>IF(A677="","",D677*IFERROR(INDEX(Factors!$C$5:$C$34,MATCH(C677,Factors!$A$5:$A$34,0)),0))</f>
        <v/>
      </c>
      <c r="F677" s="13">
        <f>IF(A677="","",IFERROR(INDEX(Factors!$D$5:$D$34,MATCH(C677,Factors!$A$5:$A$34,0)),"UNMATCHED"))</f>
        <v/>
      </c>
    </row>
    <row r="678">
      <c r="A678" s="8" t="n"/>
      <c r="B678" s="8" t="n"/>
      <c r="C678" s="8" t="n"/>
      <c r="D678" s="11" t="n"/>
      <c r="E678" s="12">
        <f>IF(A678="","",D678*IFERROR(INDEX(Factors!$C$5:$C$34,MATCH(C678,Factors!$A$5:$A$34,0)),0))</f>
        <v/>
      </c>
      <c r="F678" s="13">
        <f>IF(A678="","",IFERROR(INDEX(Factors!$D$5:$D$34,MATCH(C678,Factors!$A$5:$A$34,0)),"UNMATCHED"))</f>
        <v/>
      </c>
    </row>
    <row r="679">
      <c r="A679" s="8" t="n"/>
      <c r="B679" s="8" t="n"/>
      <c r="C679" s="8" t="n"/>
      <c r="D679" s="11" t="n"/>
      <c r="E679" s="12">
        <f>IF(A679="","",D679*IFERROR(INDEX(Factors!$C$5:$C$34,MATCH(C679,Factors!$A$5:$A$34,0)),0))</f>
        <v/>
      </c>
      <c r="F679" s="13">
        <f>IF(A679="","",IFERROR(INDEX(Factors!$D$5:$D$34,MATCH(C679,Factors!$A$5:$A$34,0)),"UNMATCHED"))</f>
        <v/>
      </c>
    </row>
    <row r="680">
      <c r="A680" s="8" t="n"/>
      <c r="B680" s="8" t="n"/>
      <c r="C680" s="8" t="n"/>
      <c r="D680" s="11" t="n"/>
      <c r="E680" s="12">
        <f>IF(A680="","",D680*IFERROR(INDEX(Factors!$C$5:$C$34,MATCH(C680,Factors!$A$5:$A$34,0)),0))</f>
        <v/>
      </c>
      <c r="F680" s="13">
        <f>IF(A680="","",IFERROR(INDEX(Factors!$D$5:$D$34,MATCH(C680,Factors!$A$5:$A$34,0)),"UNMATCHED"))</f>
        <v/>
      </c>
    </row>
    <row r="681">
      <c r="A681" s="8" t="n"/>
      <c r="B681" s="8" t="n"/>
      <c r="C681" s="8" t="n"/>
      <c r="D681" s="11" t="n"/>
      <c r="E681" s="12">
        <f>IF(A681="","",D681*IFERROR(INDEX(Factors!$C$5:$C$34,MATCH(C681,Factors!$A$5:$A$34,0)),0))</f>
        <v/>
      </c>
      <c r="F681" s="13">
        <f>IF(A681="","",IFERROR(INDEX(Factors!$D$5:$D$34,MATCH(C681,Factors!$A$5:$A$34,0)),"UNMATCHED"))</f>
        <v/>
      </c>
    </row>
    <row r="682">
      <c r="A682" s="8" t="n"/>
      <c r="B682" s="8" t="n"/>
      <c r="C682" s="8" t="n"/>
      <c r="D682" s="11" t="n"/>
      <c r="E682" s="12">
        <f>IF(A682="","",D682*IFERROR(INDEX(Factors!$C$5:$C$34,MATCH(C682,Factors!$A$5:$A$34,0)),0))</f>
        <v/>
      </c>
      <c r="F682" s="13">
        <f>IF(A682="","",IFERROR(INDEX(Factors!$D$5:$D$34,MATCH(C682,Factors!$A$5:$A$34,0)),"UNMATCHED"))</f>
        <v/>
      </c>
    </row>
    <row r="683">
      <c r="A683" s="8" t="n"/>
      <c r="B683" s="8" t="n"/>
      <c r="C683" s="8" t="n"/>
      <c r="D683" s="11" t="n"/>
      <c r="E683" s="12">
        <f>IF(A683="","",D683*IFERROR(INDEX(Factors!$C$5:$C$34,MATCH(C683,Factors!$A$5:$A$34,0)),0))</f>
        <v/>
      </c>
      <c r="F683" s="13">
        <f>IF(A683="","",IFERROR(INDEX(Factors!$D$5:$D$34,MATCH(C683,Factors!$A$5:$A$34,0)),"UNMATCHED"))</f>
        <v/>
      </c>
    </row>
    <row r="684">
      <c r="A684" s="8" t="n"/>
      <c r="B684" s="8" t="n"/>
      <c r="C684" s="8" t="n"/>
      <c r="D684" s="11" t="n"/>
      <c r="E684" s="12">
        <f>IF(A684="","",D684*IFERROR(INDEX(Factors!$C$5:$C$34,MATCH(C684,Factors!$A$5:$A$34,0)),0))</f>
        <v/>
      </c>
      <c r="F684" s="13">
        <f>IF(A684="","",IFERROR(INDEX(Factors!$D$5:$D$34,MATCH(C684,Factors!$A$5:$A$34,0)),"UNMATCHED"))</f>
        <v/>
      </c>
    </row>
    <row r="685">
      <c r="A685" s="8" t="n"/>
      <c r="B685" s="8" t="n"/>
      <c r="C685" s="8" t="n"/>
      <c r="D685" s="11" t="n"/>
      <c r="E685" s="12">
        <f>IF(A685="","",D685*IFERROR(INDEX(Factors!$C$5:$C$34,MATCH(C685,Factors!$A$5:$A$34,0)),0))</f>
        <v/>
      </c>
      <c r="F685" s="13">
        <f>IF(A685="","",IFERROR(INDEX(Factors!$D$5:$D$34,MATCH(C685,Factors!$A$5:$A$34,0)),"UNMATCHED"))</f>
        <v/>
      </c>
    </row>
    <row r="686">
      <c r="A686" s="8" t="n"/>
      <c r="B686" s="8" t="n"/>
      <c r="C686" s="8" t="n"/>
      <c r="D686" s="11" t="n"/>
      <c r="E686" s="12">
        <f>IF(A686="","",D686*IFERROR(INDEX(Factors!$C$5:$C$34,MATCH(C686,Factors!$A$5:$A$34,0)),0))</f>
        <v/>
      </c>
      <c r="F686" s="13">
        <f>IF(A686="","",IFERROR(INDEX(Factors!$D$5:$D$34,MATCH(C686,Factors!$A$5:$A$34,0)),"UNMATCHED"))</f>
        <v/>
      </c>
    </row>
    <row r="687">
      <c r="A687" s="8" t="n"/>
      <c r="B687" s="8" t="n"/>
      <c r="C687" s="8" t="n"/>
      <c r="D687" s="11" t="n"/>
      <c r="E687" s="12">
        <f>IF(A687="","",D687*IFERROR(INDEX(Factors!$C$5:$C$34,MATCH(C687,Factors!$A$5:$A$34,0)),0))</f>
        <v/>
      </c>
      <c r="F687" s="13">
        <f>IF(A687="","",IFERROR(INDEX(Factors!$D$5:$D$34,MATCH(C687,Factors!$A$5:$A$34,0)),"UNMATCHED"))</f>
        <v/>
      </c>
    </row>
    <row r="688">
      <c r="A688" s="8" t="n"/>
      <c r="B688" s="8" t="n"/>
      <c r="C688" s="8" t="n"/>
      <c r="D688" s="11" t="n"/>
      <c r="E688" s="12">
        <f>IF(A688="","",D688*IFERROR(INDEX(Factors!$C$5:$C$34,MATCH(C688,Factors!$A$5:$A$34,0)),0))</f>
        <v/>
      </c>
      <c r="F688" s="13">
        <f>IF(A688="","",IFERROR(INDEX(Factors!$D$5:$D$34,MATCH(C688,Factors!$A$5:$A$34,0)),"UNMATCHED"))</f>
        <v/>
      </c>
    </row>
    <row r="689">
      <c r="A689" s="8" t="n"/>
      <c r="B689" s="8" t="n"/>
      <c r="C689" s="8" t="n"/>
      <c r="D689" s="11" t="n"/>
      <c r="E689" s="12">
        <f>IF(A689="","",D689*IFERROR(INDEX(Factors!$C$5:$C$34,MATCH(C689,Factors!$A$5:$A$34,0)),0))</f>
        <v/>
      </c>
      <c r="F689" s="13">
        <f>IF(A689="","",IFERROR(INDEX(Factors!$D$5:$D$34,MATCH(C689,Factors!$A$5:$A$34,0)),"UNMATCHED"))</f>
        <v/>
      </c>
    </row>
    <row r="690">
      <c r="A690" s="8" t="n"/>
      <c r="B690" s="8" t="n"/>
      <c r="C690" s="8" t="n"/>
      <c r="D690" s="11" t="n"/>
      <c r="E690" s="12">
        <f>IF(A690="","",D690*IFERROR(INDEX(Factors!$C$5:$C$34,MATCH(C690,Factors!$A$5:$A$34,0)),0))</f>
        <v/>
      </c>
      <c r="F690" s="13">
        <f>IF(A690="","",IFERROR(INDEX(Factors!$D$5:$D$34,MATCH(C690,Factors!$A$5:$A$34,0)),"UNMATCHED"))</f>
        <v/>
      </c>
    </row>
    <row r="691">
      <c r="A691" s="8" t="n"/>
      <c r="B691" s="8" t="n"/>
      <c r="C691" s="8" t="n"/>
      <c r="D691" s="11" t="n"/>
      <c r="E691" s="12">
        <f>IF(A691="","",D691*IFERROR(INDEX(Factors!$C$5:$C$34,MATCH(C691,Factors!$A$5:$A$34,0)),0))</f>
        <v/>
      </c>
      <c r="F691" s="13">
        <f>IF(A691="","",IFERROR(INDEX(Factors!$D$5:$D$34,MATCH(C691,Factors!$A$5:$A$34,0)),"UNMATCHED"))</f>
        <v/>
      </c>
    </row>
    <row r="692">
      <c r="A692" s="8" t="n"/>
      <c r="B692" s="8" t="n"/>
      <c r="C692" s="8" t="n"/>
      <c r="D692" s="11" t="n"/>
      <c r="E692" s="12">
        <f>IF(A692="","",D692*IFERROR(INDEX(Factors!$C$5:$C$34,MATCH(C692,Factors!$A$5:$A$34,0)),0))</f>
        <v/>
      </c>
      <c r="F692" s="13">
        <f>IF(A692="","",IFERROR(INDEX(Factors!$D$5:$D$34,MATCH(C692,Factors!$A$5:$A$34,0)),"UNMATCHED"))</f>
        <v/>
      </c>
    </row>
    <row r="693">
      <c r="A693" s="8" t="n"/>
      <c r="B693" s="8" t="n"/>
      <c r="C693" s="8" t="n"/>
      <c r="D693" s="11" t="n"/>
      <c r="E693" s="12">
        <f>IF(A693="","",D693*IFERROR(INDEX(Factors!$C$5:$C$34,MATCH(C693,Factors!$A$5:$A$34,0)),0))</f>
        <v/>
      </c>
      <c r="F693" s="13">
        <f>IF(A693="","",IFERROR(INDEX(Factors!$D$5:$D$34,MATCH(C693,Factors!$A$5:$A$34,0)),"UNMATCHED"))</f>
        <v/>
      </c>
    </row>
    <row r="694">
      <c r="A694" s="8" t="n"/>
      <c r="B694" s="8" t="n"/>
      <c r="C694" s="8" t="n"/>
      <c r="D694" s="11" t="n"/>
      <c r="E694" s="12">
        <f>IF(A694="","",D694*IFERROR(INDEX(Factors!$C$5:$C$34,MATCH(C694,Factors!$A$5:$A$34,0)),0))</f>
        <v/>
      </c>
      <c r="F694" s="13">
        <f>IF(A694="","",IFERROR(INDEX(Factors!$D$5:$D$34,MATCH(C694,Factors!$A$5:$A$34,0)),"UNMATCHED"))</f>
        <v/>
      </c>
    </row>
    <row r="695">
      <c r="A695" s="8" t="n"/>
      <c r="B695" s="8" t="n"/>
      <c r="C695" s="8" t="n"/>
      <c r="D695" s="11" t="n"/>
      <c r="E695" s="12">
        <f>IF(A695="","",D695*IFERROR(INDEX(Factors!$C$5:$C$34,MATCH(C695,Factors!$A$5:$A$34,0)),0))</f>
        <v/>
      </c>
      <c r="F695" s="13">
        <f>IF(A695="","",IFERROR(INDEX(Factors!$D$5:$D$34,MATCH(C695,Factors!$A$5:$A$34,0)),"UNMATCHED"))</f>
        <v/>
      </c>
    </row>
    <row r="696">
      <c r="A696" s="8" t="n"/>
      <c r="B696" s="8" t="n"/>
      <c r="C696" s="8" t="n"/>
      <c r="D696" s="11" t="n"/>
      <c r="E696" s="12">
        <f>IF(A696="","",D696*IFERROR(INDEX(Factors!$C$5:$C$34,MATCH(C696,Factors!$A$5:$A$34,0)),0))</f>
        <v/>
      </c>
      <c r="F696" s="13">
        <f>IF(A696="","",IFERROR(INDEX(Factors!$D$5:$D$34,MATCH(C696,Factors!$A$5:$A$34,0)),"UNMATCHED"))</f>
        <v/>
      </c>
    </row>
    <row r="697">
      <c r="A697" s="8" t="n"/>
      <c r="B697" s="8" t="n"/>
      <c r="C697" s="8" t="n"/>
      <c r="D697" s="11" t="n"/>
      <c r="E697" s="12">
        <f>IF(A697="","",D697*IFERROR(INDEX(Factors!$C$5:$C$34,MATCH(C697,Factors!$A$5:$A$34,0)),0))</f>
        <v/>
      </c>
      <c r="F697" s="13">
        <f>IF(A697="","",IFERROR(INDEX(Factors!$D$5:$D$34,MATCH(C697,Factors!$A$5:$A$34,0)),"UNMATCHED"))</f>
        <v/>
      </c>
    </row>
    <row r="698">
      <c r="A698" s="8" t="n"/>
      <c r="B698" s="8" t="n"/>
      <c r="C698" s="8" t="n"/>
      <c r="D698" s="11" t="n"/>
      <c r="E698" s="12">
        <f>IF(A698="","",D698*IFERROR(INDEX(Factors!$C$5:$C$34,MATCH(C698,Factors!$A$5:$A$34,0)),0))</f>
        <v/>
      </c>
      <c r="F698" s="13">
        <f>IF(A698="","",IFERROR(INDEX(Factors!$D$5:$D$34,MATCH(C698,Factors!$A$5:$A$34,0)),"UNMATCHED"))</f>
        <v/>
      </c>
    </row>
    <row r="699">
      <c r="A699" s="8" t="n"/>
      <c r="B699" s="8" t="n"/>
      <c r="C699" s="8" t="n"/>
      <c r="D699" s="11" t="n"/>
      <c r="E699" s="12">
        <f>IF(A699="","",D699*IFERROR(INDEX(Factors!$C$5:$C$34,MATCH(C699,Factors!$A$5:$A$34,0)),0))</f>
        <v/>
      </c>
      <c r="F699" s="13">
        <f>IF(A699="","",IFERROR(INDEX(Factors!$D$5:$D$34,MATCH(C699,Factors!$A$5:$A$34,0)),"UNMATCHED"))</f>
        <v/>
      </c>
    </row>
    <row r="700">
      <c r="A700" s="8" t="n"/>
      <c r="B700" s="8" t="n"/>
      <c r="C700" s="8" t="n"/>
      <c r="D700" s="11" t="n"/>
      <c r="E700" s="12">
        <f>IF(A700="","",D700*IFERROR(INDEX(Factors!$C$5:$C$34,MATCH(C700,Factors!$A$5:$A$34,0)),0))</f>
        <v/>
      </c>
      <c r="F700" s="13">
        <f>IF(A700="","",IFERROR(INDEX(Factors!$D$5:$D$34,MATCH(C700,Factors!$A$5:$A$34,0)),"UNMATCHED"))</f>
        <v/>
      </c>
    </row>
    <row r="701">
      <c r="A701" s="8" t="n"/>
      <c r="B701" s="8" t="n"/>
      <c r="C701" s="8" t="n"/>
      <c r="D701" s="11" t="n"/>
      <c r="E701" s="12">
        <f>IF(A701="","",D701*IFERROR(INDEX(Factors!$C$5:$C$34,MATCH(C701,Factors!$A$5:$A$34,0)),0))</f>
        <v/>
      </c>
      <c r="F701" s="13">
        <f>IF(A701="","",IFERROR(INDEX(Factors!$D$5:$D$34,MATCH(C701,Factors!$A$5:$A$34,0)),"UNMATCHED"))</f>
        <v/>
      </c>
    </row>
    <row r="702">
      <c r="A702" s="8" t="n"/>
      <c r="B702" s="8" t="n"/>
      <c r="C702" s="8" t="n"/>
      <c r="D702" s="11" t="n"/>
      <c r="E702" s="12">
        <f>IF(A702="","",D702*IFERROR(INDEX(Factors!$C$5:$C$34,MATCH(C702,Factors!$A$5:$A$34,0)),0))</f>
        <v/>
      </c>
      <c r="F702" s="13">
        <f>IF(A702="","",IFERROR(INDEX(Factors!$D$5:$D$34,MATCH(C702,Factors!$A$5:$A$34,0)),"UNMATCHED"))</f>
        <v/>
      </c>
    </row>
    <row r="703">
      <c r="A703" s="8" t="n"/>
      <c r="B703" s="8" t="n"/>
      <c r="C703" s="8" t="n"/>
      <c r="D703" s="11" t="n"/>
      <c r="E703" s="12">
        <f>IF(A703="","",D703*IFERROR(INDEX(Factors!$C$5:$C$34,MATCH(C703,Factors!$A$5:$A$34,0)),0))</f>
        <v/>
      </c>
      <c r="F703" s="13">
        <f>IF(A703="","",IFERROR(INDEX(Factors!$D$5:$D$34,MATCH(C703,Factors!$A$5:$A$34,0)),"UNMATCHED"))</f>
        <v/>
      </c>
    </row>
    <row r="704">
      <c r="A704" s="8" t="n"/>
      <c r="B704" s="8" t="n"/>
      <c r="C704" s="8" t="n"/>
      <c r="D704" s="11" t="n"/>
      <c r="E704" s="12">
        <f>IF(A704="","",D704*IFERROR(INDEX(Factors!$C$5:$C$34,MATCH(C704,Factors!$A$5:$A$34,0)),0))</f>
        <v/>
      </c>
      <c r="F704" s="13">
        <f>IF(A704="","",IFERROR(INDEX(Factors!$D$5:$D$34,MATCH(C704,Factors!$A$5:$A$34,0)),"UNMATCHED"))</f>
        <v/>
      </c>
    </row>
    <row r="705">
      <c r="A705" s="8" t="n"/>
      <c r="B705" s="8" t="n"/>
      <c r="C705" s="8" t="n"/>
      <c r="D705" s="11" t="n"/>
      <c r="E705" s="12">
        <f>IF(A705="","",D705*IFERROR(INDEX(Factors!$C$5:$C$34,MATCH(C705,Factors!$A$5:$A$34,0)),0))</f>
        <v/>
      </c>
      <c r="F705" s="13">
        <f>IF(A705="","",IFERROR(INDEX(Factors!$D$5:$D$34,MATCH(C705,Factors!$A$5:$A$34,0)),"UNMATCHED"))</f>
        <v/>
      </c>
    </row>
    <row r="706">
      <c r="A706" s="8" t="n"/>
      <c r="B706" s="8" t="n"/>
      <c r="C706" s="8" t="n"/>
      <c r="D706" s="11" t="n"/>
      <c r="E706" s="12">
        <f>IF(A706="","",D706*IFERROR(INDEX(Factors!$C$5:$C$34,MATCH(C706,Factors!$A$5:$A$34,0)),0))</f>
        <v/>
      </c>
      <c r="F706" s="13">
        <f>IF(A706="","",IFERROR(INDEX(Factors!$D$5:$D$34,MATCH(C706,Factors!$A$5:$A$34,0)),"UNMATCHED"))</f>
        <v/>
      </c>
    </row>
    <row r="707">
      <c r="A707" s="8" t="n"/>
      <c r="B707" s="8" t="n"/>
      <c r="C707" s="8" t="n"/>
      <c r="D707" s="11" t="n"/>
      <c r="E707" s="12">
        <f>IF(A707="","",D707*IFERROR(INDEX(Factors!$C$5:$C$34,MATCH(C707,Factors!$A$5:$A$34,0)),0))</f>
        <v/>
      </c>
      <c r="F707" s="13">
        <f>IF(A707="","",IFERROR(INDEX(Factors!$D$5:$D$34,MATCH(C707,Factors!$A$5:$A$34,0)),"UNMATCHED"))</f>
        <v/>
      </c>
    </row>
    <row r="708">
      <c r="A708" s="8" t="n"/>
      <c r="B708" s="8" t="n"/>
      <c r="C708" s="8" t="n"/>
      <c r="D708" s="11" t="n"/>
      <c r="E708" s="12">
        <f>IF(A708="","",D708*IFERROR(INDEX(Factors!$C$5:$C$34,MATCH(C708,Factors!$A$5:$A$34,0)),0))</f>
        <v/>
      </c>
      <c r="F708" s="13">
        <f>IF(A708="","",IFERROR(INDEX(Factors!$D$5:$D$34,MATCH(C708,Factors!$A$5:$A$34,0)),"UNMATCHED"))</f>
        <v/>
      </c>
    </row>
    <row r="709">
      <c r="A709" s="8" t="n"/>
      <c r="B709" s="8" t="n"/>
      <c r="C709" s="8" t="n"/>
      <c r="D709" s="11" t="n"/>
      <c r="E709" s="12">
        <f>IF(A709="","",D709*IFERROR(INDEX(Factors!$C$5:$C$34,MATCH(C709,Factors!$A$5:$A$34,0)),0))</f>
        <v/>
      </c>
      <c r="F709" s="13">
        <f>IF(A709="","",IFERROR(INDEX(Factors!$D$5:$D$34,MATCH(C709,Factors!$A$5:$A$34,0)),"UNMATCHED"))</f>
        <v/>
      </c>
    </row>
    <row r="710">
      <c r="A710" s="8" t="n"/>
      <c r="B710" s="8" t="n"/>
      <c r="C710" s="8" t="n"/>
      <c r="D710" s="11" t="n"/>
      <c r="E710" s="12">
        <f>IF(A710="","",D710*IFERROR(INDEX(Factors!$C$5:$C$34,MATCH(C710,Factors!$A$5:$A$34,0)),0))</f>
        <v/>
      </c>
      <c r="F710" s="13">
        <f>IF(A710="","",IFERROR(INDEX(Factors!$D$5:$D$34,MATCH(C710,Factors!$A$5:$A$34,0)),"UNMATCHED"))</f>
        <v/>
      </c>
    </row>
    <row r="711">
      <c r="A711" s="8" t="n"/>
      <c r="B711" s="8" t="n"/>
      <c r="C711" s="8" t="n"/>
      <c r="D711" s="11" t="n"/>
      <c r="E711" s="12">
        <f>IF(A711="","",D711*IFERROR(INDEX(Factors!$C$5:$C$34,MATCH(C711,Factors!$A$5:$A$34,0)),0))</f>
        <v/>
      </c>
      <c r="F711" s="13">
        <f>IF(A711="","",IFERROR(INDEX(Factors!$D$5:$D$34,MATCH(C711,Factors!$A$5:$A$34,0)),"UNMATCHED"))</f>
        <v/>
      </c>
    </row>
    <row r="712">
      <c r="A712" s="8" t="n"/>
      <c r="B712" s="8" t="n"/>
      <c r="C712" s="8" t="n"/>
      <c r="D712" s="11" t="n"/>
      <c r="E712" s="12">
        <f>IF(A712="","",D712*IFERROR(INDEX(Factors!$C$5:$C$34,MATCH(C712,Factors!$A$5:$A$34,0)),0))</f>
        <v/>
      </c>
      <c r="F712" s="13">
        <f>IF(A712="","",IFERROR(INDEX(Factors!$D$5:$D$34,MATCH(C712,Factors!$A$5:$A$34,0)),"UNMATCHED"))</f>
        <v/>
      </c>
    </row>
    <row r="713">
      <c r="A713" s="8" t="n"/>
      <c r="B713" s="8" t="n"/>
      <c r="C713" s="8" t="n"/>
      <c r="D713" s="11" t="n"/>
      <c r="E713" s="12">
        <f>IF(A713="","",D713*IFERROR(INDEX(Factors!$C$5:$C$34,MATCH(C713,Factors!$A$5:$A$34,0)),0))</f>
        <v/>
      </c>
      <c r="F713" s="13">
        <f>IF(A713="","",IFERROR(INDEX(Factors!$D$5:$D$34,MATCH(C713,Factors!$A$5:$A$34,0)),"UNMATCHED"))</f>
        <v/>
      </c>
    </row>
    <row r="714">
      <c r="A714" s="8" t="n"/>
      <c r="B714" s="8" t="n"/>
      <c r="C714" s="8" t="n"/>
      <c r="D714" s="11" t="n"/>
      <c r="E714" s="12">
        <f>IF(A714="","",D714*IFERROR(INDEX(Factors!$C$5:$C$34,MATCH(C714,Factors!$A$5:$A$34,0)),0))</f>
        <v/>
      </c>
      <c r="F714" s="13">
        <f>IF(A714="","",IFERROR(INDEX(Factors!$D$5:$D$34,MATCH(C714,Factors!$A$5:$A$34,0)),"UNMATCHED"))</f>
        <v/>
      </c>
    </row>
    <row r="715">
      <c r="A715" s="8" t="n"/>
      <c r="B715" s="8" t="n"/>
      <c r="C715" s="8" t="n"/>
      <c r="D715" s="11" t="n"/>
      <c r="E715" s="12">
        <f>IF(A715="","",D715*IFERROR(INDEX(Factors!$C$5:$C$34,MATCH(C715,Factors!$A$5:$A$34,0)),0))</f>
        <v/>
      </c>
      <c r="F715" s="13">
        <f>IF(A715="","",IFERROR(INDEX(Factors!$D$5:$D$34,MATCH(C715,Factors!$A$5:$A$34,0)),"UNMATCHED"))</f>
        <v/>
      </c>
    </row>
    <row r="716">
      <c r="A716" s="8" t="n"/>
      <c r="B716" s="8" t="n"/>
      <c r="C716" s="8" t="n"/>
      <c r="D716" s="11" t="n"/>
      <c r="E716" s="12">
        <f>IF(A716="","",D716*IFERROR(INDEX(Factors!$C$5:$C$34,MATCH(C716,Factors!$A$5:$A$34,0)),0))</f>
        <v/>
      </c>
      <c r="F716" s="13">
        <f>IF(A716="","",IFERROR(INDEX(Factors!$D$5:$D$34,MATCH(C716,Factors!$A$5:$A$34,0)),"UNMATCHED"))</f>
        <v/>
      </c>
    </row>
    <row r="717">
      <c r="A717" s="8" t="n"/>
      <c r="B717" s="8" t="n"/>
      <c r="C717" s="8" t="n"/>
      <c r="D717" s="11" t="n"/>
      <c r="E717" s="12">
        <f>IF(A717="","",D717*IFERROR(INDEX(Factors!$C$5:$C$34,MATCH(C717,Factors!$A$5:$A$34,0)),0))</f>
        <v/>
      </c>
      <c r="F717" s="13">
        <f>IF(A717="","",IFERROR(INDEX(Factors!$D$5:$D$34,MATCH(C717,Factors!$A$5:$A$34,0)),"UNMATCHED"))</f>
        <v/>
      </c>
    </row>
    <row r="718">
      <c r="A718" s="8" t="n"/>
      <c r="B718" s="8" t="n"/>
      <c r="C718" s="8" t="n"/>
      <c r="D718" s="11" t="n"/>
      <c r="E718" s="12">
        <f>IF(A718="","",D718*IFERROR(INDEX(Factors!$C$5:$C$34,MATCH(C718,Factors!$A$5:$A$34,0)),0))</f>
        <v/>
      </c>
      <c r="F718" s="13">
        <f>IF(A718="","",IFERROR(INDEX(Factors!$D$5:$D$34,MATCH(C718,Factors!$A$5:$A$34,0)),"UNMATCHED"))</f>
        <v/>
      </c>
    </row>
    <row r="719">
      <c r="A719" s="8" t="n"/>
      <c r="B719" s="8" t="n"/>
      <c r="C719" s="8" t="n"/>
      <c r="D719" s="11" t="n"/>
      <c r="E719" s="12">
        <f>IF(A719="","",D719*IFERROR(INDEX(Factors!$C$5:$C$34,MATCH(C719,Factors!$A$5:$A$34,0)),0))</f>
        <v/>
      </c>
      <c r="F719" s="13">
        <f>IF(A719="","",IFERROR(INDEX(Factors!$D$5:$D$34,MATCH(C719,Factors!$A$5:$A$34,0)),"UNMATCHED"))</f>
        <v/>
      </c>
    </row>
    <row r="720">
      <c r="A720" s="8" t="n"/>
      <c r="B720" s="8" t="n"/>
      <c r="C720" s="8" t="n"/>
      <c r="D720" s="11" t="n"/>
      <c r="E720" s="12">
        <f>IF(A720="","",D720*IFERROR(INDEX(Factors!$C$5:$C$34,MATCH(C720,Factors!$A$5:$A$34,0)),0))</f>
        <v/>
      </c>
      <c r="F720" s="13">
        <f>IF(A720="","",IFERROR(INDEX(Factors!$D$5:$D$34,MATCH(C720,Factors!$A$5:$A$34,0)),"UNMATCHED"))</f>
        <v/>
      </c>
    </row>
    <row r="721">
      <c r="A721" s="8" t="n"/>
      <c r="B721" s="8" t="n"/>
      <c r="C721" s="8" t="n"/>
      <c r="D721" s="11" t="n"/>
      <c r="E721" s="12">
        <f>IF(A721="","",D721*IFERROR(INDEX(Factors!$C$5:$C$34,MATCH(C721,Factors!$A$5:$A$34,0)),0))</f>
        <v/>
      </c>
      <c r="F721" s="13">
        <f>IF(A721="","",IFERROR(INDEX(Factors!$D$5:$D$34,MATCH(C721,Factors!$A$5:$A$34,0)),"UNMATCHED"))</f>
        <v/>
      </c>
    </row>
    <row r="722">
      <c r="A722" s="8" t="n"/>
      <c r="B722" s="8" t="n"/>
      <c r="C722" s="8" t="n"/>
      <c r="D722" s="11" t="n"/>
      <c r="E722" s="12">
        <f>IF(A722="","",D722*IFERROR(INDEX(Factors!$C$5:$C$34,MATCH(C722,Factors!$A$5:$A$34,0)),0))</f>
        <v/>
      </c>
      <c r="F722" s="13">
        <f>IF(A722="","",IFERROR(INDEX(Factors!$D$5:$D$34,MATCH(C722,Factors!$A$5:$A$34,0)),"UNMATCHED"))</f>
        <v/>
      </c>
    </row>
    <row r="723">
      <c r="A723" s="8" t="n"/>
      <c r="B723" s="8" t="n"/>
      <c r="C723" s="8" t="n"/>
      <c r="D723" s="11" t="n"/>
      <c r="E723" s="12">
        <f>IF(A723="","",D723*IFERROR(INDEX(Factors!$C$5:$C$34,MATCH(C723,Factors!$A$5:$A$34,0)),0))</f>
        <v/>
      </c>
      <c r="F723" s="13">
        <f>IF(A723="","",IFERROR(INDEX(Factors!$D$5:$D$34,MATCH(C723,Factors!$A$5:$A$34,0)),"UNMATCHED"))</f>
        <v/>
      </c>
    </row>
    <row r="724">
      <c r="A724" s="8" t="n"/>
      <c r="B724" s="8" t="n"/>
      <c r="C724" s="8" t="n"/>
      <c r="D724" s="11" t="n"/>
      <c r="E724" s="12">
        <f>IF(A724="","",D724*IFERROR(INDEX(Factors!$C$5:$C$34,MATCH(C724,Factors!$A$5:$A$34,0)),0))</f>
        <v/>
      </c>
      <c r="F724" s="13">
        <f>IF(A724="","",IFERROR(INDEX(Factors!$D$5:$D$34,MATCH(C724,Factors!$A$5:$A$34,0)),"UNMATCHED"))</f>
        <v/>
      </c>
    </row>
    <row r="725">
      <c r="A725" s="8" t="n"/>
      <c r="B725" s="8" t="n"/>
      <c r="C725" s="8" t="n"/>
      <c r="D725" s="11" t="n"/>
      <c r="E725" s="12">
        <f>IF(A725="","",D725*IFERROR(INDEX(Factors!$C$5:$C$34,MATCH(C725,Factors!$A$5:$A$34,0)),0))</f>
        <v/>
      </c>
      <c r="F725" s="13">
        <f>IF(A725="","",IFERROR(INDEX(Factors!$D$5:$D$34,MATCH(C725,Factors!$A$5:$A$34,0)),"UNMATCHED"))</f>
        <v/>
      </c>
    </row>
    <row r="726">
      <c r="A726" s="8" t="n"/>
      <c r="B726" s="8" t="n"/>
      <c r="C726" s="8" t="n"/>
      <c r="D726" s="11" t="n"/>
      <c r="E726" s="12">
        <f>IF(A726="","",D726*IFERROR(INDEX(Factors!$C$5:$C$34,MATCH(C726,Factors!$A$5:$A$34,0)),0))</f>
        <v/>
      </c>
      <c r="F726" s="13">
        <f>IF(A726="","",IFERROR(INDEX(Factors!$D$5:$D$34,MATCH(C726,Factors!$A$5:$A$34,0)),"UNMATCHED"))</f>
        <v/>
      </c>
    </row>
    <row r="727">
      <c r="A727" s="8" t="n"/>
      <c r="B727" s="8" t="n"/>
      <c r="C727" s="8" t="n"/>
      <c r="D727" s="11" t="n"/>
      <c r="E727" s="12">
        <f>IF(A727="","",D727*IFERROR(INDEX(Factors!$C$5:$C$34,MATCH(C727,Factors!$A$5:$A$34,0)),0))</f>
        <v/>
      </c>
      <c r="F727" s="13">
        <f>IF(A727="","",IFERROR(INDEX(Factors!$D$5:$D$34,MATCH(C727,Factors!$A$5:$A$34,0)),"UNMATCHED"))</f>
        <v/>
      </c>
    </row>
    <row r="728">
      <c r="A728" s="8" t="n"/>
      <c r="B728" s="8" t="n"/>
      <c r="C728" s="8" t="n"/>
      <c r="D728" s="11" t="n"/>
      <c r="E728" s="12">
        <f>IF(A728="","",D728*IFERROR(INDEX(Factors!$C$5:$C$34,MATCH(C728,Factors!$A$5:$A$34,0)),0))</f>
        <v/>
      </c>
      <c r="F728" s="13">
        <f>IF(A728="","",IFERROR(INDEX(Factors!$D$5:$D$34,MATCH(C728,Factors!$A$5:$A$34,0)),"UNMATCHED"))</f>
        <v/>
      </c>
    </row>
    <row r="729">
      <c r="A729" s="8" t="n"/>
      <c r="B729" s="8" t="n"/>
      <c r="C729" s="8" t="n"/>
      <c r="D729" s="11" t="n"/>
      <c r="E729" s="12">
        <f>IF(A729="","",D729*IFERROR(INDEX(Factors!$C$5:$C$34,MATCH(C729,Factors!$A$5:$A$34,0)),0))</f>
        <v/>
      </c>
      <c r="F729" s="13">
        <f>IF(A729="","",IFERROR(INDEX(Factors!$D$5:$D$34,MATCH(C729,Factors!$A$5:$A$34,0)),"UNMATCHED"))</f>
        <v/>
      </c>
    </row>
    <row r="730">
      <c r="A730" s="8" t="n"/>
      <c r="B730" s="8" t="n"/>
      <c r="C730" s="8" t="n"/>
      <c r="D730" s="11" t="n"/>
      <c r="E730" s="12">
        <f>IF(A730="","",D730*IFERROR(INDEX(Factors!$C$5:$C$34,MATCH(C730,Factors!$A$5:$A$34,0)),0))</f>
        <v/>
      </c>
      <c r="F730" s="13">
        <f>IF(A730="","",IFERROR(INDEX(Factors!$D$5:$D$34,MATCH(C730,Factors!$A$5:$A$34,0)),"UNMATCHED"))</f>
        <v/>
      </c>
    </row>
    <row r="731">
      <c r="A731" s="8" t="n"/>
      <c r="B731" s="8" t="n"/>
      <c r="C731" s="8" t="n"/>
      <c r="D731" s="11" t="n"/>
      <c r="E731" s="12">
        <f>IF(A731="","",D731*IFERROR(INDEX(Factors!$C$5:$C$34,MATCH(C731,Factors!$A$5:$A$34,0)),0))</f>
        <v/>
      </c>
      <c r="F731" s="13">
        <f>IF(A731="","",IFERROR(INDEX(Factors!$D$5:$D$34,MATCH(C731,Factors!$A$5:$A$34,0)),"UNMATCHED"))</f>
        <v/>
      </c>
    </row>
    <row r="732">
      <c r="A732" s="8" t="n"/>
      <c r="B732" s="8" t="n"/>
      <c r="C732" s="8" t="n"/>
      <c r="D732" s="11" t="n"/>
      <c r="E732" s="12">
        <f>IF(A732="","",D732*IFERROR(INDEX(Factors!$C$5:$C$34,MATCH(C732,Factors!$A$5:$A$34,0)),0))</f>
        <v/>
      </c>
      <c r="F732" s="13">
        <f>IF(A732="","",IFERROR(INDEX(Factors!$D$5:$D$34,MATCH(C732,Factors!$A$5:$A$34,0)),"UNMATCHED"))</f>
        <v/>
      </c>
    </row>
    <row r="733">
      <c r="A733" s="8" t="n"/>
      <c r="B733" s="8" t="n"/>
      <c r="C733" s="8" t="n"/>
      <c r="D733" s="11" t="n"/>
      <c r="E733" s="12">
        <f>IF(A733="","",D733*IFERROR(INDEX(Factors!$C$5:$C$34,MATCH(C733,Factors!$A$5:$A$34,0)),0))</f>
        <v/>
      </c>
      <c r="F733" s="13">
        <f>IF(A733="","",IFERROR(INDEX(Factors!$D$5:$D$34,MATCH(C733,Factors!$A$5:$A$34,0)),"UNMATCHED"))</f>
        <v/>
      </c>
    </row>
    <row r="734">
      <c r="A734" s="8" t="n"/>
      <c r="B734" s="8" t="n"/>
      <c r="C734" s="8" t="n"/>
      <c r="D734" s="11" t="n"/>
      <c r="E734" s="12">
        <f>IF(A734="","",D734*IFERROR(INDEX(Factors!$C$5:$C$34,MATCH(C734,Factors!$A$5:$A$34,0)),0))</f>
        <v/>
      </c>
      <c r="F734" s="13">
        <f>IF(A734="","",IFERROR(INDEX(Factors!$D$5:$D$34,MATCH(C734,Factors!$A$5:$A$34,0)),"UNMATCHED"))</f>
        <v/>
      </c>
    </row>
    <row r="735">
      <c r="A735" s="8" t="n"/>
      <c r="B735" s="8" t="n"/>
      <c r="C735" s="8" t="n"/>
      <c r="D735" s="11" t="n"/>
      <c r="E735" s="12">
        <f>IF(A735="","",D735*IFERROR(INDEX(Factors!$C$5:$C$34,MATCH(C735,Factors!$A$5:$A$34,0)),0))</f>
        <v/>
      </c>
      <c r="F735" s="13">
        <f>IF(A735="","",IFERROR(INDEX(Factors!$D$5:$D$34,MATCH(C735,Factors!$A$5:$A$34,0)),"UNMATCHED"))</f>
        <v/>
      </c>
    </row>
    <row r="736">
      <c r="A736" s="8" t="n"/>
      <c r="B736" s="8" t="n"/>
      <c r="C736" s="8" t="n"/>
      <c r="D736" s="11" t="n"/>
      <c r="E736" s="12">
        <f>IF(A736="","",D736*IFERROR(INDEX(Factors!$C$5:$C$34,MATCH(C736,Factors!$A$5:$A$34,0)),0))</f>
        <v/>
      </c>
      <c r="F736" s="13">
        <f>IF(A736="","",IFERROR(INDEX(Factors!$D$5:$D$34,MATCH(C736,Factors!$A$5:$A$34,0)),"UNMATCHED"))</f>
        <v/>
      </c>
    </row>
    <row r="737">
      <c r="A737" s="8" t="n"/>
      <c r="B737" s="8" t="n"/>
      <c r="C737" s="8" t="n"/>
      <c r="D737" s="11" t="n"/>
      <c r="E737" s="12">
        <f>IF(A737="","",D737*IFERROR(INDEX(Factors!$C$5:$C$34,MATCH(C737,Factors!$A$5:$A$34,0)),0))</f>
        <v/>
      </c>
      <c r="F737" s="13">
        <f>IF(A737="","",IFERROR(INDEX(Factors!$D$5:$D$34,MATCH(C737,Factors!$A$5:$A$34,0)),"UNMATCHED"))</f>
        <v/>
      </c>
    </row>
    <row r="738">
      <c r="A738" s="8" t="n"/>
      <c r="B738" s="8" t="n"/>
      <c r="C738" s="8" t="n"/>
      <c r="D738" s="11" t="n"/>
      <c r="E738" s="12">
        <f>IF(A738="","",D738*IFERROR(INDEX(Factors!$C$5:$C$34,MATCH(C738,Factors!$A$5:$A$34,0)),0))</f>
        <v/>
      </c>
      <c r="F738" s="13">
        <f>IF(A738="","",IFERROR(INDEX(Factors!$D$5:$D$34,MATCH(C738,Factors!$A$5:$A$34,0)),"UNMATCHED"))</f>
        <v/>
      </c>
    </row>
    <row r="739">
      <c r="A739" s="8" t="n"/>
      <c r="B739" s="8" t="n"/>
      <c r="C739" s="8" t="n"/>
      <c r="D739" s="11" t="n"/>
      <c r="E739" s="12">
        <f>IF(A739="","",D739*IFERROR(INDEX(Factors!$C$5:$C$34,MATCH(C739,Factors!$A$5:$A$34,0)),0))</f>
        <v/>
      </c>
      <c r="F739" s="13">
        <f>IF(A739="","",IFERROR(INDEX(Factors!$D$5:$D$34,MATCH(C739,Factors!$A$5:$A$34,0)),"UNMATCHED"))</f>
        <v/>
      </c>
    </row>
    <row r="740">
      <c r="A740" s="8" t="n"/>
      <c r="B740" s="8" t="n"/>
      <c r="C740" s="8" t="n"/>
      <c r="D740" s="11" t="n"/>
      <c r="E740" s="12">
        <f>IF(A740="","",D740*IFERROR(INDEX(Factors!$C$5:$C$34,MATCH(C740,Factors!$A$5:$A$34,0)),0))</f>
        <v/>
      </c>
      <c r="F740" s="13">
        <f>IF(A740="","",IFERROR(INDEX(Factors!$D$5:$D$34,MATCH(C740,Factors!$A$5:$A$34,0)),"UNMATCHED"))</f>
        <v/>
      </c>
    </row>
    <row r="741">
      <c r="A741" s="8" t="n"/>
      <c r="B741" s="8" t="n"/>
      <c r="C741" s="8" t="n"/>
      <c r="D741" s="11" t="n"/>
      <c r="E741" s="12">
        <f>IF(A741="","",D741*IFERROR(INDEX(Factors!$C$5:$C$34,MATCH(C741,Factors!$A$5:$A$34,0)),0))</f>
        <v/>
      </c>
      <c r="F741" s="13">
        <f>IF(A741="","",IFERROR(INDEX(Factors!$D$5:$D$34,MATCH(C741,Factors!$A$5:$A$34,0)),"UNMATCHED"))</f>
        <v/>
      </c>
    </row>
    <row r="742">
      <c r="A742" s="8" t="n"/>
      <c r="B742" s="8" t="n"/>
      <c r="C742" s="8" t="n"/>
      <c r="D742" s="11" t="n"/>
      <c r="E742" s="12">
        <f>IF(A742="","",D742*IFERROR(INDEX(Factors!$C$5:$C$34,MATCH(C742,Factors!$A$5:$A$34,0)),0))</f>
        <v/>
      </c>
      <c r="F742" s="13">
        <f>IF(A742="","",IFERROR(INDEX(Factors!$D$5:$D$34,MATCH(C742,Factors!$A$5:$A$34,0)),"UNMATCHED"))</f>
        <v/>
      </c>
    </row>
    <row r="743">
      <c r="A743" s="8" t="n"/>
      <c r="B743" s="8" t="n"/>
      <c r="C743" s="8" t="n"/>
      <c r="D743" s="11" t="n"/>
      <c r="E743" s="12">
        <f>IF(A743="","",D743*IFERROR(INDEX(Factors!$C$5:$C$34,MATCH(C743,Factors!$A$5:$A$34,0)),0))</f>
        <v/>
      </c>
      <c r="F743" s="13">
        <f>IF(A743="","",IFERROR(INDEX(Factors!$D$5:$D$34,MATCH(C743,Factors!$A$5:$A$34,0)),"UNMATCHED"))</f>
        <v/>
      </c>
    </row>
    <row r="744">
      <c r="A744" s="8" t="n"/>
      <c r="B744" s="8" t="n"/>
      <c r="C744" s="8" t="n"/>
      <c r="D744" s="11" t="n"/>
      <c r="E744" s="12">
        <f>IF(A744="","",D744*IFERROR(INDEX(Factors!$C$5:$C$34,MATCH(C744,Factors!$A$5:$A$34,0)),0))</f>
        <v/>
      </c>
      <c r="F744" s="13">
        <f>IF(A744="","",IFERROR(INDEX(Factors!$D$5:$D$34,MATCH(C744,Factors!$A$5:$A$34,0)),"UNMATCHED"))</f>
        <v/>
      </c>
    </row>
    <row r="745">
      <c r="A745" s="8" t="n"/>
      <c r="B745" s="8" t="n"/>
      <c r="C745" s="8" t="n"/>
      <c r="D745" s="11" t="n"/>
      <c r="E745" s="12">
        <f>IF(A745="","",D745*IFERROR(INDEX(Factors!$C$5:$C$34,MATCH(C745,Factors!$A$5:$A$34,0)),0))</f>
        <v/>
      </c>
      <c r="F745" s="13">
        <f>IF(A745="","",IFERROR(INDEX(Factors!$D$5:$D$34,MATCH(C745,Factors!$A$5:$A$34,0)),"UNMATCHED"))</f>
        <v/>
      </c>
    </row>
    <row r="746">
      <c r="A746" s="8" t="n"/>
      <c r="B746" s="8" t="n"/>
      <c r="C746" s="8" t="n"/>
      <c r="D746" s="11" t="n"/>
      <c r="E746" s="12">
        <f>IF(A746="","",D746*IFERROR(INDEX(Factors!$C$5:$C$34,MATCH(C746,Factors!$A$5:$A$34,0)),0))</f>
        <v/>
      </c>
      <c r="F746" s="13">
        <f>IF(A746="","",IFERROR(INDEX(Factors!$D$5:$D$34,MATCH(C746,Factors!$A$5:$A$34,0)),"UNMATCHED"))</f>
        <v/>
      </c>
    </row>
    <row r="747">
      <c r="A747" s="8" t="n"/>
      <c r="B747" s="8" t="n"/>
      <c r="C747" s="8" t="n"/>
      <c r="D747" s="11" t="n"/>
      <c r="E747" s="12">
        <f>IF(A747="","",D747*IFERROR(INDEX(Factors!$C$5:$C$34,MATCH(C747,Factors!$A$5:$A$34,0)),0))</f>
        <v/>
      </c>
      <c r="F747" s="13">
        <f>IF(A747="","",IFERROR(INDEX(Factors!$D$5:$D$34,MATCH(C747,Factors!$A$5:$A$34,0)),"UNMATCHED"))</f>
        <v/>
      </c>
    </row>
    <row r="748">
      <c r="A748" s="8" t="n"/>
      <c r="B748" s="8" t="n"/>
      <c r="C748" s="8" t="n"/>
      <c r="D748" s="11" t="n"/>
      <c r="E748" s="12">
        <f>IF(A748="","",D748*IFERROR(INDEX(Factors!$C$5:$C$34,MATCH(C748,Factors!$A$5:$A$34,0)),0))</f>
        <v/>
      </c>
      <c r="F748" s="13">
        <f>IF(A748="","",IFERROR(INDEX(Factors!$D$5:$D$34,MATCH(C748,Factors!$A$5:$A$34,0)),"UNMATCHED"))</f>
        <v/>
      </c>
    </row>
    <row r="749">
      <c r="A749" s="8" t="n"/>
      <c r="B749" s="8" t="n"/>
      <c r="C749" s="8" t="n"/>
      <c r="D749" s="11" t="n"/>
      <c r="E749" s="12">
        <f>IF(A749="","",D749*IFERROR(INDEX(Factors!$C$5:$C$34,MATCH(C749,Factors!$A$5:$A$34,0)),0))</f>
        <v/>
      </c>
      <c r="F749" s="13">
        <f>IF(A749="","",IFERROR(INDEX(Factors!$D$5:$D$34,MATCH(C749,Factors!$A$5:$A$34,0)),"UNMATCHED"))</f>
        <v/>
      </c>
    </row>
    <row r="750">
      <c r="A750" s="8" t="n"/>
      <c r="B750" s="8" t="n"/>
      <c r="C750" s="8" t="n"/>
      <c r="D750" s="11" t="n"/>
      <c r="E750" s="12">
        <f>IF(A750="","",D750*IFERROR(INDEX(Factors!$C$5:$C$34,MATCH(C750,Factors!$A$5:$A$34,0)),0))</f>
        <v/>
      </c>
      <c r="F750" s="13">
        <f>IF(A750="","",IFERROR(INDEX(Factors!$D$5:$D$34,MATCH(C750,Factors!$A$5:$A$34,0)),"UNMATCHED"))</f>
        <v/>
      </c>
    </row>
    <row r="751">
      <c r="A751" s="8" t="n"/>
      <c r="B751" s="8" t="n"/>
      <c r="C751" s="8" t="n"/>
      <c r="D751" s="11" t="n"/>
      <c r="E751" s="12">
        <f>IF(A751="","",D751*IFERROR(INDEX(Factors!$C$5:$C$34,MATCH(C751,Factors!$A$5:$A$34,0)),0))</f>
        <v/>
      </c>
      <c r="F751" s="13">
        <f>IF(A751="","",IFERROR(INDEX(Factors!$D$5:$D$34,MATCH(C751,Factors!$A$5:$A$34,0)),"UNMATCHED"))</f>
        <v/>
      </c>
    </row>
    <row r="752">
      <c r="A752" s="8" t="n"/>
      <c r="B752" s="8" t="n"/>
      <c r="C752" s="8" t="n"/>
      <c r="D752" s="11" t="n"/>
      <c r="E752" s="12">
        <f>IF(A752="","",D752*IFERROR(INDEX(Factors!$C$5:$C$34,MATCH(C752,Factors!$A$5:$A$34,0)),0))</f>
        <v/>
      </c>
      <c r="F752" s="13">
        <f>IF(A752="","",IFERROR(INDEX(Factors!$D$5:$D$34,MATCH(C752,Factors!$A$5:$A$34,0)),"UNMATCHED"))</f>
        <v/>
      </c>
    </row>
    <row r="753">
      <c r="A753" s="8" t="n"/>
      <c r="B753" s="8" t="n"/>
      <c r="C753" s="8" t="n"/>
      <c r="D753" s="11" t="n"/>
      <c r="E753" s="12">
        <f>IF(A753="","",D753*IFERROR(INDEX(Factors!$C$5:$C$34,MATCH(C753,Factors!$A$5:$A$34,0)),0))</f>
        <v/>
      </c>
      <c r="F753" s="13">
        <f>IF(A753="","",IFERROR(INDEX(Factors!$D$5:$D$34,MATCH(C753,Factors!$A$5:$A$34,0)),"UNMATCHED"))</f>
        <v/>
      </c>
    </row>
    <row r="754">
      <c r="A754" s="8" t="n"/>
      <c r="B754" s="8" t="n"/>
      <c r="C754" s="8" t="n"/>
      <c r="D754" s="11" t="n"/>
      <c r="E754" s="12">
        <f>IF(A754="","",D754*IFERROR(INDEX(Factors!$C$5:$C$34,MATCH(C754,Factors!$A$5:$A$34,0)),0))</f>
        <v/>
      </c>
      <c r="F754" s="13">
        <f>IF(A754="","",IFERROR(INDEX(Factors!$D$5:$D$34,MATCH(C754,Factors!$A$5:$A$34,0)),"UNMATCHED"))</f>
        <v/>
      </c>
    </row>
    <row r="755">
      <c r="A755" s="8" t="n"/>
      <c r="B755" s="8" t="n"/>
      <c r="C755" s="8" t="n"/>
      <c r="D755" s="11" t="n"/>
      <c r="E755" s="12">
        <f>IF(A755="","",D755*IFERROR(INDEX(Factors!$C$5:$C$34,MATCH(C755,Factors!$A$5:$A$34,0)),0))</f>
        <v/>
      </c>
      <c r="F755" s="13">
        <f>IF(A755="","",IFERROR(INDEX(Factors!$D$5:$D$34,MATCH(C755,Factors!$A$5:$A$34,0)),"UNMATCHED"))</f>
        <v/>
      </c>
    </row>
    <row r="756">
      <c r="A756" s="8" t="n"/>
      <c r="B756" s="8" t="n"/>
      <c r="C756" s="8" t="n"/>
      <c r="D756" s="11" t="n"/>
      <c r="E756" s="12">
        <f>IF(A756="","",D756*IFERROR(INDEX(Factors!$C$5:$C$34,MATCH(C756,Factors!$A$5:$A$34,0)),0))</f>
        <v/>
      </c>
      <c r="F756" s="13">
        <f>IF(A756="","",IFERROR(INDEX(Factors!$D$5:$D$34,MATCH(C756,Factors!$A$5:$A$34,0)),"UNMATCHED"))</f>
        <v/>
      </c>
    </row>
    <row r="757">
      <c r="A757" s="8" t="n"/>
      <c r="B757" s="8" t="n"/>
      <c r="C757" s="8" t="n"/>
      <c r="D757" s="11" t="n"/>
      <c r="E757" s="12">
        <f>IF(A757="","",D757*IFERROR(INDEX(Factors!$C$5:$C$34,MATCH(C757,Factors!$A$5:$A$34,0)),0))</f>
        <v/>
      </c>
      <c r="F757" s="13">
        <f>IF(A757="","",IFERROR(INDEX(Factors!$D$5:$D$34,MATCH(C757,Factors!$A$5:$A$34,0)),"UNMATCHED"))</f>
        <v/>
      </c>
    </row>
    <row r="758">
      <c r="A758" s="8" t="n"/>
      <c r="B758" s="8" t="n"/>
      <c r="C758" s="8" t="n"/>
      <c r="D758" s="11" t="n"/>
      <c r="E758" s="12">
        <f>IF(A758="","",D758*IFERROR(INDEX(Factors!$C$5:$C$34,MATCH(C758,Factors!$A$5:$A$34,0)),0))</f>
        <v/>
      </c>
      <c r="F758" s="13">
        <f>IF(A758="","",IFERROR(INDEX(Factors!$D$5:$D$34,MATCH(C758,Factors!$A$5:$A$34,0)),"UNMATCHED"))</f>
        <v/>
      </c>
    </row>
    <row r="759">
      <c r="A759" s="8" t="n"/>
      <c r="B759" s="8" t="n"/>
      <c r="C759" s="8" t="n"/>
      <c r="D759" s="11" t="n"/>
      <c r="E759" s="12">
        <f>IF(A759="","",D759*IFERROR(INDEX(Factors!$C$5:$C$34,MATCH(C759,Factors!$A$5:$A$34,0)),0))</f>
        <v/>
      </c>
      <c r="F759" s="13">
        <f>IF(A759="","",IFERROR(INDEX(Factors!$D$5:$D$34,MATCH(C759,Factors!$A$5:$A$34,0)),"UNMATCHED"))</f>
        <v/>
      </c>
    </row>
    <row r="760">
      <c r="A760" s="8" t="n"/>
      <c r="B760" s="8" t="n"/>
      <c r="C760" s="8" t="n"/>
      <c r="D760" s="11" t="n"/>
      <c r="E760" s="12">
        <f>IF(A760="","",D760*IFERROR(INDEX(Factors!$C$5:$C$34,MATCH(C760,Factors!$A$5:$A$34,0)),0))</f>
        <v/>
      </c>
      <c r="F760" s="13">
        <f>IF(A760="","",IFERROR(INDEX(Factors!$D$5:$D$34,MATCH(C760,Factors!$A$5:$A$34,0)),"UNMATCHED"))</f>
        <v/>
      </c>
    </row>
    <row r="761">
      <c r="A761" s="8" t="n"/>
      <c r="B761" s="8" t="n"/>
      <c r="C761" s="8" t="n"/>
      <c r="D761" s="11" t="n"/>
      <c r="E761" s="12">
        <f>IF(A761="","",D761*IFERROR(INDEX(Factors!$C$5:$C$34,MATCH(C761,Factors!$A$5:$A$34,0)),0))</f>
        <v/>
      </c>
      <c r="F761" s="13">
        <f>IF(A761="","",IFERROR(INDEX(Factors!$D$5:$D$34,MATCH(C761,Factors!$A$5:$A$34,0)),"UNMATCHED"))</f>
        <v/>
      </c>
    </row>
    <row r="762">
      <c r="A762" s="8" t="n"/>
      <c r="B762" s="8" t="n"/>
      <c r="C762" s="8" t="n"/>
      <c r="D762" s="11" t="n"/>
      <c r="E762" s="12">
        <f>IF(A762="","",D762*IFERROR(INDEX(Factors!$C$5:$C$34,MATCH(C762,Factors!$A$5:$A$34,0)),0))</f>
        <v/>
      </c>
      <c r="F762" s="13">
        <f>IF(A762="","",IFERROR(INDEX(Factors!$D$5:$D$34,MATCH(C762,Factors!$A$5:$A$34,0)),"UNMATCHED"))</f>
        <v/>
      </c>
    </row>
    <row r="763">
      <c r="A763" s="8" t="n"/>
      <c r="B763" s="8" t="n"/>
      <c r="C763" s="8" t="n"/>
      <c r="D763" s="11" t="n"/>
      <c r="E763" s="12">
        <f>IF(A763="","",D763*IFERROR(INDEX(Factors!$C$5:$C$34,MATCH(C763,Factors!$A$5:$A$34,0)),0))</f>
        <v/>
      </c>
      <c r="F763" s="13">
        <f>IF(A763="","",IFERROR(INDEX(Factors!$D$5:$D$34,MATCH(C763,Factors!$A$5:$A$34,0)),"UNMATCHED"))</f>
        <v/>
      </c>
    </row>
    <row r="764">
      <c r="A764" s="8" t="n"/>
      <c r="B764" s="8" t="n"/>
      <c r="C764" s="8" t="n"/>
      <c r="D764" s="11" t="n"/>
      <c r="E764" s="12">
        <f>IF(A764="","",D764*IFERROR(INDEX(Factors!$C$5:$C$34,MATCH(C764,Factors!$A$5:$A$34,0)),0))</f>
        <v/>
      </c>
      <c r="F764" s="13">
        <f>IF(A764="","",IFERROR(INDEX(Factors!$D$5:$D$34,MATCH(C764,Factors!$A$5:$A$34,0)),"UNMATCHED"))</f>
        <v/>
      </c>
    </row>
    <row r="765">
      <c r="A765" s="8" t="n"/>
      <c r="B765" s="8" t="n"/>
      <c r="C765" s="8" t="n"/>
      <c r="D765" s="11" t="n"/>
      <c r="E765" s="12">
        <f>IF(A765="","",D765*IFERROR(INDEX(Factors!$C$5:$C$34,MATCH(C765,Factors!$A$5:$A$34,0)),0))</f>
        <v/>
      </c>
      <c r="F765" s="13">
        <f>IF(A765="","",IFERROR(INDEX(Factors!$D$5:$D$34,MATCH(C765,Factors!$A$5:$A$34,0)),"UNMATCHED"))</f>
        <v/>
      </c>
    </row>
    <row r="766">
      <c r="A766" s="8" t="n"/>
      <c r="B766" s="8" t="n"/>
      <c r="C766" s="8" t="n"/>
      <c r="D766" s="11" t="n"/>
      <c r="E766" s="12">
        <f>IF(A766="","",D766*IFERROR(INDEX(Factors!$C$5:$C$34,MATCH(C766,Factors!$A$5:$A$34,0)),0))</f>
        <v/>
      </c>
      <c r="F766" s="13">
        <f>IF(A766="","",IFERROR(INDEX(Factors!$D$5:$D$34,MATCH(C766,Factors!$A$5:$A$34,0)),"UNMATCHED"))</f>
        <v/>
      </c>
    </row>
    <row r="767">
      <c r="A767" s="8" t="n"/>
      <c r="B767" s="8" t="n"/>
      <c r="C767" s="8" t="n"/>
      <c r="D767" s="11" t="n"/>
      <c r="E767" s="12">
        <f>IF(A767="","",D767*IFERROR(INDEX(Factors!$C$5:$C$34,MATCH(C767,Factors!$A$5:$A$34,0)),0))</f>
        <v/>
      </c>
      <c r="F767" s="13">
        <f>IF(A767="","",IFERROR(INDEX(Factors!$D$5:$D$34,MATCH(C767,Factors!$A$5:$A$34,0)),"UNMATCHED"))</f>
        <v/>
      </c>
    </row>
    <row r="768">
      <c r="A768" s="8" t="n"/>
      <c r="B768" s="8" t="n"/>
      <c r="C768" s="8" t="n"/>
      <c r="D768" s="11" t="n"/>
      <c r="E768" s="12">
        <f>IF(A768="","",D768*IFERROR(INDEX(Factors!$C$5:$C$34,MATCH(C768,Factors!$A$5:$A$34,0)),0))</f>
        <v/>
      </c>
      <c r="F768" s="13">
        <f>IF(A768="","",IFERROR(INDEX(Factors!$D$5:$D$34,MATCH(C768,Factors!$A$5:$A$34,0)),"UNMATCHED"))</f>
        <v/>
      </c>
    </row>
    <row r="769">
      <c r="A769" s="8" t="n"/>
      <c r="B769" s="8" t="n"/>
      <c r="C769" s="8" t="n"/>
      <c r="D769" s="11" t="n"/>
      <c r="E769" s="12">
        <f>IF(A769="","",D769*IFERROR(INDEX(Factors!$C$5:$C$34,MATCH(C769,Factors!$A$5:$A$34,0)),0))</f>
        <v/>
      </c>
      <c r="F769" s="13">
        <f>IF(A769="","",IFERROR(INDEX(Factors!$D$5:$D$34,MATCH(C769,Factors!$A$5:$A$34,0)),"UNMATCHED"))</f>
        <v/>
      </c>
    </row>
    <row r="770">
      <c r="A770" s="8" t="n"/>
      <c r="B770" s="8" t="n"/>
      <c r="C770" s="8" t="n"/>
      <c r="D770" s="11" t="n"/>
      <c r="E770" s="12">
        <f>IF(A770="","",D770*IFERROR(INDEX(Factors!$C$5:$C$34,MATCH(C770,Factors!$A$5:$A$34,0)),0))</f>
        <v/>
      </c>
      <c r="F770" s="13">
        <f>IF(A770="","",IFERROR(INDEX(Factors!$D$5:$D$34,MATCH(C770,Factors!$A$5:$A$34,0)),"UNMATCHED"))</f>
        <v/>
      </c>
    </row>
    <row r="771">
      <c r="A771" s="8" t="n"/>
      <c r="B771" s="8" t="n"/>
      <c r="C771" s="8" t="n"/>
      <c r="D771" s="11" t="n"/>
      <c r="E771" s="12">
        <f>IF(A771="","",D771*IFERROR(INDEX(Factors!$C$5:$C$34,MATCH(C771,Factors!$A$5:$A$34,0)),0))</f>
        <v/>
      </c>
      <c r="F771" s="13">
        <f>IF(A771="","",IFERROR(INDEX(Factors!$D$5:$D$34,MATCH(C771,Factors!$A$5:$A$34,0)),"UNMATCHED"))</f>
        <v/>
      </c>
    </row>
    <row r="772">
      <c r="A772" s="8" t="n"/>
      <c r="B772" s="8" t="n"/>
      <c r="C772" s="8" t="n"/>
      <c r="D772" s="11" t="n"/>
      <c r="E772" s="12">
        <f>IF(A772="","",D772*IFERROR(INDEX(Factors!$C$5:$C$34,MATCH(C772,Factors!$A$5:$A$34,0)),0))</f>
        <v/>
      </c>
      <c r="F772" s="13">
        <f>IF(A772="","",IFERROR(INDEX(Factors!$D$5:$D$34,MATCH(C772,Factors!$A$5:$A$34,0)),"UNMATCHED"))</f>
        <v/>
      </c>
    </row>
    <row r="773">
      <c r="A773" s="8" t="n"/>
      <c r="B773" s="8" t="n"/>
      <c r="C773" s="8" t="n"/>
      <c r="D773" s="11" t="n"/>
      <c r="E773" s="12">
        <f>IF(A773="","",D773*IFERROR(INDEX(Factors!$C$5:$C$34,MATCH(C773,Factors!$A$5:$A$34,0)),0))</f>
        <v/>
      </c>
      <c r="F773" s="13">
        <f>IF(A773="","",IFERROR(INDEX(Factors!$D$5:$D$34,MATCH(C773,Factors!$A$5:$A$34,0)),"UNMATCHED"))</f>
        <v/>
      </c>
    </row>
    <row r="774">
      <c r="A774" s="8" t="n"/>
      <c r="B774" s="8" t="n"/>
      <c r="C774" s="8" t="n"/>
      <c r="D774" s="11" t="n"/>
      <c r="E774" s="12">
        <f>IF(A774="","",D774*IFERROR(INDEX(Factors!$C$5:$C$34,MATCH(C774,Factors!$A$5:$A$34,0)),0))</f>
        <v/>
      </c>
      <c r="F774" s="13">
        <f>IF(A774="","",IFERROR(INDEX(Factors!$D$5:$D$34,MATCH(C774,Factors!$A$5:$A$34,0)),"UNMATCHED"))</f>
        <v/>
      </c>
    </row>
    <row r="775">
      <c r="A775" s="8" t="n"/>
      <c r="B775" s="8" t="n"/>
      <c r="C775" s="8" t="n"/>
      <c r="D775" s="11" t="n"/>
      <c r="E775" s="12">
        <f>IF(A775="","",D775*IFERROR(INDEX(Factors!$C$5:$C$34,MATCH(C775,Factors!$A$5:$A$34,0)),0))</f>
        <v/>
      </c>
      <c r="F775" s="13">
        <f>IF(A775="","",IFERROR(INDEX(Factors!$D$5:$D$34,MATCH(C775,Factors!$A$5:$A$34,0)),"UNMATCHED"))</f>
        <v/>
      </c>
    </row>
    <row r="776">
      <c r="A776" s="8" t="n"/>
      <c r="B776" s="8" t="n"/>
      <c r="C776" s="8" t="n"/>
      <c r="D776" s="11" t="n"/>
      <c r="E776" s="12">
        <f>IF(A776="","",D776*IFERROR(INDEX(Factors!$C$5:$C$34,MATCH(C776,Factors!$A$5:$A$34,0)),0))</f>
        <v/>
      </c>
      <c r="F776" s="13">
        <f>IF(A776="","",IFERROR(INDEX(Factors!$D$5:$D$34,MATCH(C776,Factors!$A$5:$A$34,0)),"UNMATCHED"))</f>
        <v/>
      </c>
    </row>
    <row r="777">
      <c r="A777" s="8" t="n"/>
      <c r="B777" s="8" t="n"/>
      <c r="C777" s="8" t="n"/>
      <c r="D777" s="11" t="n"/>
      <c r="E777" s="12">
        <f>IF(A777="","",D777*IFERROR(INDEX(Factors!$C$5:$C$34,MATCH(C777,Factors!$A$5:$A$34,0)),0))</f>
        <v/>
      </c>
      <c r="F777" s="13">
        <f>IF(A777="","",IFERROR(INDEX(Factors!$D$5:$D$34,MATCH(C777,Factors!$A$5:$A$34,0)),"UNMATCHED"))</f>
        <v/>
      </c>
    </row>
    <row r="778">
      <c r="A778" s="8" t="n"/>
      <c r="B778" s="8" t="n"/>
      <c r="C778" s="8" t="n"/>
      <c r="D778" s="11" t="n"/>
      <c r="E778" s="12">
        <f>IF(A778="","",D778*IFERROR(INDEX(Factors!$C$5:$C$34,MATCH(C778,Factors!$A$5:$A$34,0)),0))</f>
        <v/>
      </c>
      <c r="F778" s="13">
        <f>IF(A778="","",IFERROR(INDEX(Factors!$D$5:$D$34,MATCH(C778,Factors!$A$5:$A$34,0)),"UNMATCHED"))</f>
        <v/>
      </c>
    </row>
    <row r="779">
      <c r="A779" s="8" t="n"/>
      <c r="B779" s="8" t="n"/>
      <c r="C779" s="8" t="n"/>
      <c r="D779" s="11" t="n"/>
      <c r="E779" s="12">
        <f>IF(A779="","",D779*IFERROR(INDEX(Factors!$C$5:$C$34,MATCH(C779,Factors!$A$5:$A$34,0)),0))</f>
        <v/>
      </c>
      <c r="F779" s="13">
        <f>IF(A779="","",IFERROR(INDEX(Factors!$D$5:$D$34,MATCH(C779,Factors!$A$5:$A$34,0)),"UNMATCHED"))</f>
        <v/>
      </c>
    </row>
    <row r="780">
      <c r="A780" s="8" t="n"/>
      <c r="B780" s="8" t="n"/>
      <c r="C780" s="8" t="n"/>
      <c r="D780" s="11" t="n"/>
      <c r="E780" s="12">
        <f>IF(A780="","",D780*IFERROR(INDEX(Factors!$C$5:$C$34,MATCH(C780,Factors!$A$5:$A$34,0)),0))</f>
        <v/>
      </c>
      <c r="F780" s="13">
        <f>IF(A780="","",IFERROR(INDEX(Factors!$D$5:$D$34,MATCH(C780,Factors!$A$5:$A$34,0)),"UNMATCHED"))</f>
        <v/>
      </c>
    </row>
    <row r="781">
      <c r="A781" s="8" t="n"/>
      <c r="B781" s="8" t="n"/>
      <c r="C781" s="8" t="n"/>
      <c r="D781" s="11" t="n"/>
      <c r="E781" s="12">
        <f>IF(A781="","",D781*IFERROR(INDEX(Factors!$C$5:$C$34,MATCH(C781,Factors!$A$5:$A$34,0)),0))</f>
        <v/>
      </c>
      <c r="F781" s="13">
        <f>IF(A781="","",IFERROR(INDEX(Factors!$D$5:$D$34,MATCH(C781,Factors!$A$5:$A$34,0)),"UNMATCHED"))</f>
        <v/>
      </c>
    </row>
    <row r="782">
      <c r="A782" s="8" t="n"/>
      <c r="B782" s="8" t="n"/>
      <c r="C782" s="8" t="n"/>
      <c r="D782" s="11" t="n"/>
      <c r="E782" s="12">
        <f>IF(A782="","",D782*IFERROR(INDEX(Factors!$C$5:$C$34,MATCH(C782,Factors!$A$5:$A$34,0)),0))</f>
        <v/>
      </c>
      <c r="F782" s="13">
        <f>IF(A782="","",IFERROR(INDEX(Factors!$D$5:$D$34,MATCH(C782,Factors!$A$5:$A$34,0)),"UNMATCHED"))</f>
        <v/>
      </c>
    </row>
    <row r="783">
      <c r="A783" s="8" t="n"/>
      <c r="B783" s="8" t="n"/>
      <c r="C783" s="8" t="n"/>
      <c r="D783" s="11" t="n"/>
      <c r="E783" s="12">
        <f>IF(A783="","",D783*IFERROR(INDEX(Factors!$C$5:$C$34,MATCH(C783,Factors!$A$5:$A$34,0)),0))</f>
        <v/>
      </c>
      <c r="F783" s="13">
        <f>IF(A783="","",IFERROR(INDEX(Factors!$D$5:$D$34,MATCH(C783,Factors!$A$5:$A$34,0)),"UNMATCHED"))</f>
        <v/>
      </c>
    </row>
    <row r="784">
      <c r="A784" s="8" t="n"/>
      <c r="B784" s="8" t="n"/>
      <c r="C784" s="8" t="n"/>
      <c r="D784" s="11" t="n"/>
      <c r="E784" s="12">
        <f>IF(A784="","",D784*IFERROR(INDEX(Factors!$C$5:$C$34,MATCH(C784,Factors!$A$5:$A$34,0)),0))</f>
        <v/>
      </c>
      <c r="F784" s="13">
        <f>IF(A784="","",IFERROR(INDEX(Factors!$D$5:$D$34,MATCH(C784,Factors!$A$5:$A$34,0)),"UNMATCHED"))</f>
        <v/>
      </c>
    </row>
    <row r="785">
      <c r="A785" s="8" t="n"/>
      <c r="B785" s="8" t="n"/>
      <c r="C785" s="8" t="n"/>
      <c r="D785" s="11" t="n"/>
      <c r="E785" s="12">
        <f>IF(A785="","",D785*IFERROR(INDEX(Factors!$C$5:$C$34,MATCH(C785,Factors!$A$5:$A$34,0)),0))</f>
        <v/>
      </c>
      <c r="F785" s="13">
        <f>IF(A785="","",IFERROR(INDEX(Factors!$D$5:$D$34,MATCH(C785,Factors!$A$5:$A$34,0)),"UNMATCHED"))</f>
        <v/>
      </c>
    </row>
    <row r="786">
      <c r="A786" s="8" t="n"/>
      <c r="B786" s="8" t="n"/>
      <c r="C786" s="8" t="n"/>
      <c r="D786" s="11" t="n"/>
      <c r="E786" s="12">
        <f>IF(A786="","",D786*IFERROR(INDEX(Factors!$C$5:$C$34,MATCH(C786,Factors!$A$5:$A$34,0)),0))</f>
        <v/>
      </c>
      <c r="F786" s="13">
        <f>IF(A786="","",IFERROR(INDEX(Factors!$D$5:$D$34,MATCH(C786,Factors!$A$5:$A$34,0)),"UNMATCHED"))</f>
        <v/>
      </c>
    </row>
    <row r="787">
      <c r="A787" s="8" t="n"/>
      <c r="B787" s="8" t="n"/>
      <c r="C787" s="8" t="n"/>
      <c r="D787" s="11" t="n"/>
      <c r="E787" s="12">
        <f>IF(A787="","",D787*IFERROR(INDEX(Factors!$C$5:$C$34,MATCH(C787,Factors!$A$5:$A$34,0)),0))</f>
        <v/>
      </c>
      <c r="F787" s="13">
        <f>IF(A787="","",IFERROR(INDEX(Factors!$D$5:$D$34,MATCH(C787,Factors!$A$5:$A$34,0)),"UNMATCHED"))</f>
        <v/>
      </c>
    </row>
    <row r="788">
      <c r="A788" s="8" t="n"/>
      <c r="B788" s="8" t="n"/>
      <c r="C788" s="8" t="n"/>
      <c r="D788" s="11" t="n"/>
      <c r="E788" s="12">
        <f>IF(A788="","",D788*IFERROR(INDEX(Factors!$C$5:$C$34,MATCH(C788,Factors!$A$5:$A$34,0)),0))</f>
        <v/>
      </c>
      <c r="F788" s="13">
        <f>IF(A788="","",IFERROR(INDEX(Factors!$D$5:$D$34,MATCH(C788,Factors!$A$5:$A$34,0)),"UNMATCHED"))</f>
        <v/>
      </c>
    </row>
    <row r="789">
      <c r="A789" s="8" t="n"/>
      <c r="B789" s="8" t="n"/>
      <c r="C789" s="8" t="n"/>
      <c r="D789" s="11" t="n"/>
      <c r="E789" s="12">
        <f>IF(A789="","",D789*IFERROR(INDEX(Factors!$C$5:$C$34,MATCH(C789,Factors!$A$5:$A$34,0)),0))</f>
        <v/>
      </c>
      <c r="F789" s="13">
        <f>IF(A789="","",IFERROR(INDEX(Factors!$D$5:$D$34,MATCH(C789,Factors!$A$5:$A$34,0)),"UNMATCHED"))</f>
        <v/>
      </c>
    </row>
    <row r="790">
      <c r="A790" s="8" t="n"/>
      <c r="B790" s="8" t="n"/>
      <c r="C790" s="8" t="n"/>
      <c r="D790" s="11" t="n"/>
      <c r="E790" s="12">
        <f>IF(A790="","",D790*IFERROR(INDEX(Factors!$C$5:$C$34,MATCH(C790,Factors!$A$5:$A$34,0)),0))</f>
        <v/>
      </c>
      <c r="F790" s="13">
        <f>IF(A790="","",IFERROR(INDEX(Factors!$D$5:$D$34,MATCH(C790,Factors!$A$5:$A$34,0)),"UNMATCHED"))</f>
        <v/>
      </c>
    </row>
    <row r="791">
      <c r="A791" s="8" t="n"/>
      <c r="B791" s="8" t="n"/>
      <c r="C791" s="8" t="n"/>
      <c r="D791" s="11" t="n"/>
      <c r="E791" s="12">
        <f>IF(A791="","",D791*IFERROR(INDEX(Factors!$C$5:$C$34,MATCH(C791,Factors!$A$5:$A$34,0)),0))</f>
        <v/>
      </c>
      <c r="F791" s="13">
        <f>IF(A791="","",IFERROR(INDEX(Factors!$D$5:$D$34,MATCH(C791,Factors!$A$5:$A$34,0)),"UNMATCHED"))</f>
        <v/>
      </c>
    </row>
    <row r="792">
      <c r="A792" s="8" t="n"/>
      <c r="B792" s="8" t="n"/>
      <c r="C792" s="8" t="n"/>
      <c r="D792" s="11" t="n"/>
      <c r="E792" s="12">
        <f>IF(A792="","",D792*IFERROR(INDEX(Factors!$C$5:$C$34,MATCH(C792,Factors!$A$5:$A$34,0)),0))</f>
        <v/>
      </c>
      <c r="F792" s="13">
        <f>IF(A792="","",IFERROR(INDEX(Factors!$D$5:$D$34,MATCH(C792,Factors!$A$5:$A$34,0)),"UNMATCHED"))</f>
        <v/>
      </c>
    </row>
    <row r="793">
      <c r="A793" s="8" t="n"/>
      <c r="B793" s="8" t="n"/>
      <c r="C793" s="8" t="n"/>
      <c r="D793" s="11" t="n"/>
      <c r="E793" s="12">
        <f>IF(A793="","",D793*IFERROR(INDEX(Factors!$C$5:$C$34,MATCH(C793,Factors!$A$5:$A$34,0)),0))</f>
        <v/>
      </c>
      <c r="F793" s="13">
        <f>IF(A793="","",IFERROR(INDEX(Factors!$D$5:$D$34,MATCH(C793,Factors!$A$5:$A$34,0)),"UNMATCHED"))</f>
        <v/>
      </c>
    </row>
    <row r="794">
      <c r="A794" s="8" t="n"/>
      <c r="B794" s="8" t="n"/>
      <c r="C794" s="8" t="n"/>
      <c r="D794" s="11" t="n"/>
      <c r="E794" s="12">
        <f>IF(A794="","",D794*IFERROR(INDEX(Factors!$C$5:$C$34,MATCH(C794,Factors!$A$5:$A$34,0)),0))</f>
        <v/>
      </c>
      <c r="F794" s="13">
        <f>IF(A794="","",IFERROR(INDEX(Factors!$D$5:$D$34,MATCH(C794,Factors!$A$5:$A$34,0)),"UNMATCHED"))</f>
        <v/>
      </c>
    </row>
    <row r="795">
      <c r="A795" s="8" t="n"/>
      <c r="B795" s="8" t="n"/>
      <c r="C795" s="8" t="n"/>
      <c r="D795" s="11" t="n"/>
      <c r="E795" s="12">
        <f>IF(A795="","",D795*IFERROR(INDEX(Factors!$C$5:$C$34,MATCH(C795,Factors!$A$5:$A$34,0)),0))</f>
        <v/>
      </c>
      <c r="F795" s="13">
        <f>IF(A795="","",IFERROR(INDEX(Factors!$D$5:$D$34,MATCH(C795,Factors!$A$5:$A$34,0)),"UNMATCHED"))</f>
        <v/>
      </c>
    </row>
    <row r="796">
      <c r="A796" s="8" t="n"/>
      <c r="B796" s="8" t="n"/>
      <c r="C796" s="8" t="n"/>
      <c r="D796" s="11" t="n"/>
      <c r="E796" s="12">
        <f>IF(A796="","",D796*IFERROR(INDEX(Factors!$C$5:$C$34,MATCH(C796,Factors!$A$5:$A$34,0)),0))</f>
        <v/>
      </c>
      <c r="F796" s="13">
        <f>IF(A796="","",IFERROR(INDEX(Factors!$D$5:$D$34,MATCH(C796,Factors!$A$5:$A$34,0)),"UNMATCHED"))</f>
        <v/>
      </c>
    </row>
    <row r="797">
      <c r="A797" s="8" t="n"/>
      <c r="B797" s="8" t="n"/>
      <c r="C797" s="8" t="n"/>
      <c r="D797" s="11" t="n"/>
      <c r="E797" s="12">
        <f>IF(A797="","",D797*IFERROR(INDEX(Factors!$C$5:$C$34,MATCH(C797,Factors!$A$5:$A$34,0)),0))</f>
        <v/>
      </c>
      <c r="F797" s="13">
        <f>IF(A797="","",IFERROR(INDEX(Factors!$D$5:$D$34,MATCH(C797,Factors!$A$5:$A$34,0)),"UNMATCHED"))</f>
        <v/>
      </c>
    </row>
    <row r="798">
      <c r="A798" s="8" t="n"/>
      <c r="B798" s="8" t="n"/>
      <c r="C798" s="8" t="n"/>
      <c r="D798" s="11" t="n"/>
      <c r="E798" s="12">
        <f>IF(A798="","",D798*IFERROR(INDEX(Factors!$C$5:$C$34,MATCH(C798,Factors!$A$5:$A$34,0)),0))</f>
        <v/>
      </c>
      <c r="F798" s="13">
        <f>IF(A798="","",IFERROR(INDEX(Factors!$D$5:$D$34,MATCH(C798,Factors!$A$5:$A$34,0)),"UNMATCHED"))</f>
        <v/>
      </c>
    </row>
    <row r="799">
      <c r="A799" s="8" t="n"/>
      <c r="B799" s="8" t="n"/>
      <c r="C799" s="8" t="n"/>
      <c r="D799" s="11" t="n"/>
      <c r="E799" s="12">
        <f>IF(A799="","",D799*IFERROR(INDEX(Factors!$C$5:$C$34,MATCH(C799,Factors!$A$5:$A$34,0)),0))</f>
        <v/>
      </c>
      <c r="F799" s="13">
        <f>IF(A799="","",IFERROR(INDEX(Factors!$D$5:$D$34,MATCH(C799,Factors!$A$5:$A$34,0)),"UNMATCHED"))</f>
        <v/>
      </c>
    </row>
    <row r="800">
      <c r="A800" s="8" t="n"/>
      <c r="B800" s="8" t="n"/>
      <c r="C800" s="8" t="n"/>
      <c r="D800" s="11" t="n"/>
      <c r="E800" s="12">
        <f>IF(A800="","",D800*IFERROR(INDEX(Factors!$C$5:$C$34,MATCH(C800,Factors!$A$5:$A$34,0)),0))</f>
        <v/>
      </c>
      <c r="F800" s="13">
        <f>IF(A800="","",IFERROR(INDEX(Factors!$D$5:$D$34,MATCH(C800,Factors!$A$5:$A$34,0)),"UNMATCHED"))</f>
        <v/>
      </c>
    </row>
    <row r="801">
      <c r="A801" s="8" t="n"/>
      <c r="B801" s="8" t="n"/>
      <c r="C801" s="8" t="n"/>
      <c r="D801" s="11" t="n"/>
      <c r="E801" s="12">
        <f>IF(A801="","",D801*IFERROR(INDEX(Factors!$C$5:$C$34,MATCH(C801,Factors!$A$5:$A$34,0)),0))</f>
        <v/>
      </c>
      <c r="F801" s="13">
        <f>IF(A801="","",IFERROR(INDEX(Factors!$D$5:$D$34,MATCH(C801,Factors!$A$5:$A$34,0)),"UNMATCHED"))</f>
        <v/>
      </c>
    </row>
    <row r="802">
      <c r="A802" s="8" t="n"/>
      <c r="B802" s="8" t="n"/>
      <c r="C802" s="8" t="n"/>
      <c r="D802" s="11" t="n"/>
      <c r="E802" s="12">
        <f>IF(A802="","",D802*IFERROR(INDEX(Factors!$C$5:$C$34,MATCH(C802,Factors!$A$5:$A$34,0)),0))</f>
        <v/>
      </c>
      <c r="F802" s="13">
        <f>IF(A802="","",IFERROR(INDEX(Factors!$D$5:$D$34,MATCH(C802,Factors!$A$5:$A$34,0)),"UNMATCHED"))</f>
        <v/>
      </c>
    </row>
    <row r="803">
      <c r="A803" s="8" t="n"/>
      <c r="B803" s="8" t="n"/>
      <c r="C803" s="8" t="n"/>
      <c r="D803" s="11" t="n"/>
      <c r="E803" s="12">
        <f>IF(A803="","",D803*IFERROR(INDEX(Factors!$C$5:$C$34,MATCH(C803,Factors!$A$5:$A$34,0)),0))</f>
        <v/>
      </c>
      <c r="F803" s="13">
        <f>IF(A803="","",IFERROR(INDEX(Factors!$D$5:$D$34,MATCH(C803,Factors!$A$5:$A$34,0)),"UNMATCHED"))</f>
        <v/>
      </c>
    </row>
    <row r="804">
      <c r="A804" s="8" t="n"/>
      <c r="B804" s="8" t="n"/>
      <c r="C804" s="8" t="n"/>
      <c r="D804" s="11" t="n"/>
      <c r="E804" s="12">
        <f>IF(A804="","",D804*IFERROR(INDEX(Factors!$C$5:$C$34,MATCH(C804,Factors!$A$5:$A$34,0)),0))</f>
        <v/>
      </c>
      <c r="F804" s="13">
        <f>IF(A804="","",IFERROR(INDEX(Factors!$D$5:$D$34,MATCH(C804,Factors!$A$5:$A$34,0)),"UNMATCHED"))</f>
        <v/>
      </c>
    </row>
    <row r="805">
      <c r="A805" s="8" t="n"/>
      <c r="B805" s="8" t="n"/>
      <c r="C805" s="8" t="n"/>
      <c r="D805" s="11" t="n"/>
      <c r="E805" s="12">
        <f>IF(A805="","",D805*IFERROR(INDEX(Factors!$C$5:$C$34,MATCH(C805,Factors!$A$5:$A$34,0)),0))</f>
        <v/>
      </c>
      <c r="F805" s="13">
        <f>IF(A805="","",IFERROR(INDEX(Factors!$D$5:$D$34,MATCH(C805,Factors!$A$5:$A$34,0)),"UNMATCHED"))</f>
        <v/>
      </c>
    </row>
    <row r="806">
      <c r="A806" s="8" t="n"/>
      <c r="B806" s="8" t="n"/>
      <c r="C806" s="8" t="n"/>
      <c r="D806" s="11" t="n"/>
      <c r="E806" s="12">
        <f>IF(A806="","",D806*IFERROR(INDEX(Factors!$C$5:$C$34,MATCH(C806,Factors!$A$5:$A$34,0)),0))</f>
        <v/>
      </c>
      <c r="F806" s="13">
        <f>IF(A806="","",IFERROR(INDEX(Factors!$D$5:$D$34,MATCH(C806,Factors!$A$5:$A$34,0)),"UNMATCHED"))</f>
        <v/>
      </c>
    </row>
    <row r="807">
      <c r="A807" s="8" t="n"/>
      <c r="B807" s="8" t="n"/>
      <c r="C807" s="8" t="n"/>
      <c r="D807" s="11" t="n"/>
      <c r="E807" s="12">
        <f>IF(A807="","",D807*IFERROR(INDEX(Factors!$C$5:$C$34,MATCH(C807,Factors!$A$5:$A$34,0)),0))</f>
        <v/>
      </c>
      <c r="F807" s="13">
        <f>IF(A807="","",IFERROR(INDEX(Factors!$D$5:$D$34,MATCH(C807,Factors!$A$5:$A$34,0)),"UNMATCHED"))</f>
        <v/>
      </c>
    </row>
    <row r="808">
      <c r="A808" s="8" t="n"/>
      <c r="B808" s="8" t="n"/>
      <c r="C808" s="8" t="n"/>
      <c r="D808" s="11" t="n"/>
      <c r="E808" s="12">
        <f>IF(A808="","",D808*IFERROR(INDEX(Factors!$C$5:$C$34,MATCH(C808,Factors!$A$5:$A$34,0)),0))</f>
        <v/>
      </c>
      <c r="F808" s="13">
        <f>IF(A808="","",IFERROR(INDEX(Factors!$D$5:$D$34,MATCH(C808,Factors!$A$5:$A$34,0)),"UNMATCHED"))</f>
        <v/>
      </c>
    </row>
    <row r="809">
      <c r="A809" s="8" t="n"/>
      <c r="B809" s="8" t="n"/>
      <c r="C809" s="8" t="n"/>
      <c r="D809" s="11" t="n"/>
      <c r="E809" s="12">
        <f>IF(A809="","",D809*IFERROR(INDEX(Factors!$C$5:$C$34,MATCH(C809,Factors!$A$5:$A$34,0)),0))</f>
        <v/>
      </c>
      <c r="F809" s="13">
        <f>IF(A809="","",IFERROR(INDEX(Factors!$D$5:$D$34,MATCH(C809,Factors!$A$5:$A$34,0)),"UNMATCHED"))</f>
        <v/>
      </c>
    </row>
    <row r="810">
      <c r="A810" s="8" t="n"/>
      <c r="B810" s="8" t="n"/>
      <c r="C810" s="8" t="n"/>
      <c r="D810" s="11" t="n"/>
      <c r="E810" s="12">
        <f>IF(A810="","",D810*IFERROR(INDEX(Factors!$C$5:$C$34,MATCH(C810,Factors!$A$5:$A$34,0)),0))</f>
        <v/>
      </c>
      <c r="F810" s="13">
        <f>IF(A810="","",IFERROR(INDEX(Factors!$D$5:$D$34,MATCH(C810,Factors!$A$5:$A$34,0)),"UNMATCHED"))</f>
        <v/>
      </c>
    </row>
    <row r="811">
      <c r="A811" s="8" t="n"/>
      <c r="B811" s="8" t="n"/>
      <c r="C811" s="8" t="n"/>
      <c r="D811" s="11" t="n"/>
      <c r="E811" s="12">
        <f>IF(A811="","",D811*IFERROR(INDEX(Factors!$C$5:$C$34,MATCH(C811,Factors!$A$5:$A$34,0)),0))</f>
        <v/>
      </c>
      <c r="F811" s="13">
        <f>IF(A811="","",IFERROR(INDEX(Factors!$D$5:$D$34,MATCH(C811,Factors!$A$5:$A$34,0)),"UNMATCHED"))</f>
        <v/>
      </c>
    </row>
    <row r="812">
      <c r="A812" s="8" t="n"/>
      <c r="B812" s="8" t="n"/>
      <c r="C812" s="8" t="n"/>
      <c r="D812" s="11" t="n"/>
      <c r="E812" s="12">
        <f>IF(A812="","",D812*IFERROR(INDEX(Factors!$C$5:$C$34,MATCH(C812,Factors!$A$5:$A$34,0)),0))</f>
        <v/>
      </c>
      <c r="F812" s="13">
        <f>IF(A812="","",IFERROR(INDEX(Factors!$D$5:$D$34,MATCH(C812,Factors!$A$5:$A$34,0)),"UNMATCHED"))</f>
        <v/>
      </c>
    </row>
    <row r="813">
      <c r="A813" s="8" t="n"/>
      <c r="B813" s="8" t="n"/>
      <c r="C813" s="8" t="n"/>
      <c r="D813" s="11" t="n"/>
      <c r="E813" s="12">
        <f>IF(A813="","",D813*IFERROR(INDEX(Factors!$C$5:$C$34,MATCH(C813,Factors!$A$5:$A$34,0)),0))</f>
        <v/>
      </c>
      <c r="F813" s="13">
        <f>IF(A813="","",IFERROR(INDEX(Factors!$D$5:$D$34,MATCH(C813,Factors!$A$5:$A$34,0)),"UNMATCHED"))</f>
        <v/>
      </c>
    </row>
    <row r="814">
      <c r="A814" s="8" t="n"/>
      <c r="B814" s="8" t="n"/>
      <c r="C814" s="8" t="n"/>
      <c r="D814" s="11" t="n"/>
      <c r="E814" s="12">
        <f>IF(A814="","",D814*IFERROR(INDEX(Factors!$C$5:$C$34,MATCH(C814,Factors!$A$5:$A$34,0)),0))</f>
        <v/>
      </c>
      <c r="F814" s="13">
        <f>IF(A814="","",IFERROR(INDEX(Factors!$D$5:$D$34,MATCH(C814,Factors!$A$5:$A$34,0)),"UNMATCHED"))</f>
        <v/>
      </c>
    </row>
    <row r="815">
      <c r="A815" s="8" t="n"/>
      <c r="B815" s="8" t="n"/>
      <c r="C815" s="8" t="n"/>
      <c r="D815" s="11" t="n"/>
      <c r="E815" s="12">
        <f>IF(A815="","",D815*IFERROR(INDEX(Factors!$C$5:$C$34,MATCH(C815,Factors!$A$5:$A$34,0)),0))</f>
        <v/>
      </c>
      <c r="F815" s="13">
        <f>IF(A815="","",IFERROR(INDEX(Factors!$D$5:$D$34,MATCH(C815,Factors!$A$5:$A$34,0)),"UNMATCHED"))</f>
        <v/>
      </c>
    </row>
    <row r="816">
      <c r="A816" s="8" t="n"/>
      <c r="B816" s="8" t="n"/>
      <c r="C816" s="8" t="n"/>
      <c r="D816" s="11" t="n"/>
      <c r="E816" s="12">
        <f>IF(A816="","",D816*IFERROR(INDEX(Factors!$C$5:$C$34,MATCH(C816,Factors!$A$5:$A$34,0)),0))</f>
        <v/>
      </c>
      <c r="F816" s="13">
        <f>IF(A816="","",IFERROR(INDEX(Factors!$D$5:$D$34,MATCH(C816,Factors!$A$5:$A$34,0)),"UNMATCHED"))</f>
        <v/>
      </c>
    </row>
    <row r="817">
      <c r="A817" s="8" t="n"/>
      <c r="B817" s="8" t="n"/>
      <c r="C817" s="8" t="n"/>
      <c r="D817" s="11" t="n"/>
      <c r="E817" s="12">
        <f>IF(A817="","",D817*IFERROR(INDEX(Factors!$C$5:$C$34,MATCH(C817,Factors!$A$5:$A$34,0)),0))</f>
        <v/>
      </c>
      <c r="F817" s="13">
        <f>IF(A817="","",IFERROR(INDEX(Factors!$D$5:$D$34,MATCH(C817,Factors!$A$5:$A$34,0)),"UNMATCHED"))</f>
        <v/>
      </c>
    </row>
    <row r="818">
      <c r="A818" s="8" t="n"/>
      <c r="B818" s="8" t="n"/>
      <c r="C818" s="8" t="n"/>
      <c r="D818" s="11" t="n"/>
      <c r="E818" s="12">
        <f>IF(A818="","",D818*IFERROR(INDEX(Factors!$C$5:$C$34,MATCH(C818,Factors!$A$5:$A$34,0)),0))</f>
        <v/>
      </c>
      <c r="F818" s="13">
        <f>IF(A818="","",IFERROR(INDEX(Factors!$D$5:$D$34,MATCH(C818,Factors!$A$5:$A$34,0)),"UNMATCHED"))</f>
        <v/>
      </c>
    </row>
    <row r="819">
      <c r="A819" s="8" t="n"/>
      <c r="B819" s="8" t="n"/>
      <c r="C819" s="8" t="n"/>
      <c r="D819" s="11" t="n"/>
      <c r="E819" s="12">
        <f>IF(A819="","",D819*IFERROR(INDEX(Factors!$C$5:$C$34,MATCH(C819,Factors!$A$5:$A$34,0)),0))</f>
        <v/>
      </c>
      <c r="F819" s="13">
        <f>IF(A819="","",IFERROR(INDEX(Factors!$D$5:$D$34,MATCH(C819,Factors!$A$5:$A$34,0)),"UNMATCHED"))</f>
        <v/>
      </c>
    </row>
    <row r="820">
      <c r="A820" s="8" t="n"/>
      <c r="B820" s="8" t="n"/>
      <c r="C820" s="8" t="n"/>
      <c r="D820" s="11" t="n"/>
      <c r="E820" s="12">
        <f>IF(A820="","",D820*IFERROR(INDEX(Factors!$C$5:$C$34,MATCH(C820,Factors!$A$5:$A$34,0)),0))</f>
        <v/>
      </c>
      <c r="F820" s="13">
        <f>IF(A820="","",IFERROR(INDEX(Factors!$D$5:$D$34,MATCH(C820,Factors!$A$5:$A$34,0)),"UNMATCHED"))</f>
        <v/>
      </c>
    </row>
    <row r="821">
      <c r="A821" s="8" t="n"/>
      <c r="B821" s="8" t="n"/>
      <c r="C821" s="8" t="n"/>
      <c r="D821" s="11" t="n"/>
      <c r="E821" s="12">
        <f>IF(A821="","",D821*IFERROR(INDEX(Factors!$C$5:$C$34,MATCH(C821,Factors!$A$5:$A$34,0)),0))</f>
        <v/>
      </c>
      <c r="F821" s="13">
        <f>IF(A821="","",IFERROR(INDEX(Factors!$D$5:$D$34,MATCH(C821,Factors!$A$5:$A$34,0)),"UNMATCHED"))</f>
        <v/>
      </c>
    </row>
    <row r="822">
      <c r="A822" s="8" t="n"/>
      <c r="B822" s="8" t="n"/>
      <c r="C822" s="8" t="n"/>
      <c r="D822" s="11" t="n"/>
      <c r="E822" s="12">
        <f>IF(A822="","",D822*IFERROR(INDEX(Factors!$C$5:$C$34,MATCH(C822,Factors!$A$5:$A$34,0)),0))</f>
        <v/>
      </c>
      <c r="F822" s="13">
        <f>IF(A822="","",IFERROR(INDEX(Factors!$D$5:$D$34,MATCH(C822,Factors!$A$5:$A$34,0)),"UNMATCHED"))</f>
        <v/>
      </c>
    </row>
    <row r="823">
      <c r="A823" s="8" t="n"/>
      <c r="B823" s="8" t="n"/>
      <c r="C823" s="8" t="n"/>
      <c r="D823" s="11" t="n"/>
      <c r="E823" s="12">
        <f>IF(A823="","",D823*IFERROR(INDEX(Factors!$C$5:$C$34,MATCH(C823,Factors!$A$5:$A$34,0)),0))</f>
        <v/>
      </c>
      <c r="F823" s="13">
        <f>IF(A823="","",IFERROR(INDEX(Factors!$D$5:$D$34,MATCH(C823,Factors!$A$5:$A$34,0)),"UNMATCHED"))</f>
        <v/>
      </c>
    </row>
    <row r="824">
      <c r="A824" s="8" t="n"/>
      <c r="B824" s="8" t="n"/>
      <c r="C824" s="8" t="n"/>
      <c r="D824" s="11" t="n"/>
      <c r="E824" s="12">
        <f>IF(A824="","",D824*IFERROR(INDEX(Factors!$C$5:$C$34,MATCH(C824,Factors!$A$5:$A$34,0)),0))</f>
        <v/>
      </c>
      <c r="F824" s="13">
        <f>IF(A824="","",IFERROR(INDEX(Factors!$D$5:$D$34,MATCH(C824,Factors!$A$5:$A$34,0)),"UNMATCHED"))</f>
        <v/>
      </c>
    </row>
    <row r="825">
      <c r="A825" s="8" t="n"/>
      <c r="B825" s="8" t="n"/>
      <c r="C825" s="8" t="n"/>
      <c r="D825" s="11" t="n"/>
      <c r="E825" s="12">
        <f>IF(A825="","",D825*IFERROR(INDEX(Factors!$C$5:$C$34,MATCH(C825,Factors!$A$5:$A$34,0)),0))</f>
        <v/>
      </c>
      <c r="F825" s="13">
        <f>IF(A825="","",IFERROR(INDEX(Factors!$D$5:$D$34,MATCH(C825,Factors!$A$5:$A$34,0)),"UNMATCHED"))</f>
        <v/>
      </c>
    </row>
    <row r="826">
      <c r="A826" s="8" t="n"/>
      <c r="B826" s="8" t="n"/>
      <c r="C826" s="8" t="n"/>
      <c r="D826" s="11" t="n"/>
      <c r="E826" s="12">
        <f>IF(A826="","",D826*IFERROR(INDEX(Factors!$C$5:$C$34,MATCH(C826,Factors!$A$5:$A$34,0)),0))</f>
        <v/>
      </c>
      <c r="F826" s="13">
        <f>IF(A826="","",IFERROR(INDEX(Factors!$D$5:$D$34,MATCH(C826,Factors!$A$5:$A$34,0)),"UNMATCHED"))</f>
        <v/>
      </c>
    </row>
    <row r="827">
      <c r="A827" s="8" t="n"/>
      <c r="B827" s="8" t="n"/>
      <c r="C827" s="8" t="n"/>
      <c r="D827" s="11" t="n"/>
      <c r="E827" s="12">
        <f>IF(A827="","",D827*IFERROR(INDEX(Factors!$C$5:$C$34,MATCH(C827,Factors!$A$5:$A$34,0)),0))</f>
        <v/>
      </c>
      <c r="F827" s="13">
        <f>IF(A827="","",IFERROR(INDEX(Factors!$D$5:$D$34,MATCH(C827,Factors!$A$5:$A$34,0)),"UNMATCHED"))</f>
        <v/>
      </c>
    </row>
    <row r="828">
      <c r="A828" s="8" t="n"/>
      <c r="B828" s="8" t="n"/>
      <c r="C828" s="8" t="n"/>
      <c r="D828" s="11" t="n"/>
      <c r="E828" s="12">
        <f>IF(A828="","",D828*IFERROR(INDEX(Factors!$C$5:$C$34,MATCH(C828,Factors!$A$5:$A$34,0)),0))</f>
        <v/>
      </c>
      <c r="F828" s="13">
        <f>IF(A828="","",IFERROR(INDEX(Factors!$D$5:$D$34,MATCH(C828,Factors!$A$5:$A$34,0)),"UNMATCHED"))</f>
        <v/>
      </c>
    </row>
    <row r="829">
      <c r="A829" s="8" t="n"/>
      <c r="B829" s="8" t="n"/>
      <c r="C829" s="8" t="n"/>
      <c r="D829" s="11" t="n"/>
      <c r="E829" s="12">
        <f>IF(A829="","",D829*IFERROR(INDEX(Factors!$C$5:$C$34,MATCH(C829,Factors!$A$5:$A$34,0)),0))</f>
        <v/>
      </c>
      <c r="F829" s="13">
        <f>IF(A829="","",IFERROR(INDEX(Factors!$D$5:$D$34,MATCH(C829,Factors!$A$5:$A$34,0)),"UNMATCHED"))</f>
        <v/>
      </c>
    </row>
    <row r="830">
      <c r="A830" s="8" t="n"/>
      <c r="B830" s="8" t="n"/>
      <c r="C830" s="8" t="n"/>
      <c r="D830" s="11" t="n"/>
      <c r="E830" s="12">
        <f>IF(A830="","",D830*IFERROR(INDEX(Factors!$C$5:$C$34,MATCH(C830,Factors!$A$5:$A$34,0)),0))</f>
        <v/>
      </c>
      <c r="F830" s="13">
        <f>IF(A830="","",IFERROR(INDEX(Factors!$D$5:$D$34,MATCH(C830,Factors!$A$5:$A$34,0)),"UNMATCHED"))</f>
        <v/>
      </c>
    </row>
    <row r="831">
      <c r="A831" s="8" t="n"/>
      <c r="B831" s="8" t="n"/>
      <c r="C831" s="8" t="n"/>
      <c r="D831" s="11" t="n"/>
      <c r="E831" s="12">
        <f>IF(A831="","",D831*IFERROR(INDEX(Factors!$C$5:$C$34,MATCH(C831,Factors!$A$5:$A$34,0)),0))</f>
        <v/>
      </c>
      <c r="F831" s="13">
        <f>IF(A831="","",IFERROR(INDEX(Factors!$D$5:$D$34,MATCH(C831,Factors!$A$5:$A$34,0)),"UNMATCHED"))</f>
        <v/>
      </c>
    </row>
    <row r="832">
      <c r="A832" s="8" t="n"/>
      <c r="B832" s="8" t="n"/>
      <c r="C832" s="8" t="n"/>
      <c r="D832" s="11" t="n"/>
      <c r="E832" s="12">
        <f>IF(A832="","",D832*IFERROR(INDEX(Factors!$C$5:$C$34,MATCH(C832,Factors!$A$5:$A$34,0)),0))</f>
        <v/>
      </c>
      <c r="F832" s="13">
        <f>IF(A832="","",IFERROR(INDEX(Factors!$D$5:$D$34,MATCH(C832,Factors!$A$5:$A$34,0)),"UNMATCHED"))</f>
        <v/>
      </c>
    </row>
    <row r="833">
      <c r="A833" s="8" t="n"/>
      <c r="B833" s="8" t="n"/>
      <c r="C833" s="8" t="n"/>
      <c r="D833" s="11" t="n"/>
      <c r="E833" s="12">
        <f>IF(A833="","",D833*IFERROR(INDEX(Factors!$C$5:$C$34,MATCH(C833,Factors!$A$5:$A$34,0)),0))</f>
        <v/>
      </c>
      <c r="F833" s="13">
        <f>IF(A833="","",IFERROR(INDEX(Factors!$D$5:$D$34,MATCH(C833,Factors!$A$5:$A$34,0)),"UNMATCHED"))</f>
        <v/>
      </c>
    </row>
    <row r="834">
      <c r="A834" s="8" t="n"/>
      <c r="B834" s="8" t="n"/>
      <c r="C834" s="8" t="n"/>
      <c r="D834" s="11" t="n"/>
      <c r="E834" s="12">
        <f>IF(A834="","",D834*IFERROR(INDEX(Factors!$C$5:$C$34,MATCH(C834,Factors!$A$5:$A$34,0)),0))</f>
        <v/>
      </c>
      <c r="F834" s="13">
        <f>IF(A834="","",IFERROR(INDEX(Factors!$D$5:$D$34,MATCH(C834,Factors!$A$5:$A$34,0)),"UNMATCHED"))</f>
        <v/>
      </c>
    </row>
    <row r="835">
      <c r="A835" s="8" t="n"/>
      <c r="B835" s="8" t="n"/>
      <c r="C835" s="8" t="n"/>
      <c r="D835" s="11" t="n"/>
      <c r="E835" s="12">
        <f>IF(A835="","",D835*IFERROR(INDEX(Factors!$C$5:$C$34,MATCH(C835,Factors!$A$5:$A$34,0)),0))</f>
        <v/>
      </c>
      <c r="F835" s="13">
        <f>IF(A835="","",IFERROR(INDEX(Factors!$D$5:$D$34,MATCH(C835,Factors!$A$5:$A$34,0)),"UNMATCHED"))</f>
        <v/>
      </c>
    </row>
    <row r="836">
      <c r="A836" s="8" t="n"/>
      <c r="B836" s="8" t="n"/>
      <c r="C836" s="8" t="n"/>
      <c r="D836" s="11" t="n"/>
      <c r="E836" s="12">
        <f>IF(A836="","",D836*IFERROR(INDEX(Factors!$C$5:$C$34,MATCH(C836,Factors!$A$5:$A$34,0)),0))</f>
        <v/>
      </c>
      <c r="F836" s="13">
        <f>IF(A836="","",IFERROR(INDEX(Factors!$D$5:$D$34,MATCH(C836,Factors!$A$5:$A$34,0)),"UNMATCHED"))</f>
        <v/>
      </c>
    </row>
    <row r="837">
      <c r="A837" s="8" t="n"/>
      <c r="B837" s="8" t="n"/>
      <c r="C837" s="8" t="n"/>
      <c r="D837" s="11" t="n"/>
      <c r="E837" s="12">
        <f>IF(A837="","",D837*IFERROR(INDEX(Factors!$C$5:$C$34,MATCH(C837,Factors!$A$5:$A$34,0)),0))</f>
        <v/>
      </c>
      <c r="F837" s="13">
        <f>IF(A837="","",IFERROR(INDEX(Factors!$D$5:$D$34,MATCH(C837,Factors!$A$5:$A$34,0)),"UNMATCHED"))</f>
        <v/>
      </c>
    </row>
    <row r="838">
      <c r="A838" s="8" t="n"/>
      <c r="B838" s="8" t="n"/>
      <c r="C838" s="8" t="n"/>
      <c r="D838" s="11" t="n"/>
      <c r="E838" s="12">
        <f>IF(A838="","",D838*IFERROR(INDEX(Factors!$C$5:$C$34,MATCH(C838,Factors!$A$5:$A$34,0)),0))</f>
        <v/>
      </c>
      <c r="F838" s="13">
        <f>IF(A838="","",IFERROR(INDEX(Factors!$D$5:$D$34,MATCH(C838,Factors!$A$5:$A$34,0)),"UNMATCHED"))</f>
        <v/>
      </c>
    </row>
    <row r="839">
      <c r="A839" s="8" t="n"/>
      <c r="B839" s="8" t="n"/>
      <c r="C839" s="8" t="n"/>
      <c r="D839" s="11" t="n"/>
      <c r="E839" s="12">
        <f>IF(A839="","",D839*IFERROR(INDEX(Factors!$C$5:$C$34,MATCH(C839,Factors!$A$5:$A$34,0)),0))</f>
        <v/>
      </c>
      <c r="F839" s="13">
        <f>IF(A839="","",IFERROR(INDEX(Factors!$D$5:$D$34,MATCH(C839,Factors!$A$5:$A$34,0)),"UNMATCHED"))</f>
        <v/>
      </c>
    </row>
    <row r="840">
      <c r="A840" s="8" t="n"/>
      <c r="B840" s="8" t="n"/>
      <c r="C840" s="8" t="n"/>
      <c r="D840" s="11" t="n"/>
      <c r="E840" s="12">
        <f>IF(A840="","",D840*IFERROR(INDEX(Factors!$C$5:$C$34,MATCH(C840,Factors!$A$5:$A$34,0)),0))</f>
        <v/>
      </c>
      <c r="F840" s="13">
        <f>IF(A840="","",IFERROR(INDEX(Factors!$D$5:$D$34,MATCH(C840,Factors!$A$5:$A$34,0)),"UNMATCHED"))</f>
        <v/>
      </c>
    </row>
    <row r="841">
      <c r="A841" s="8" t="n"/>
      <c r="B841" s="8" t="n"/>
      <c r="C841" s="8" t="n"/>
      <c r="D841" s="11" t="n"/>
      <c r="E841" s="12">
        <f>IF(A841="","",D841*IFERROR(INDEX(Factors!$C$5:$C$34,MATCH(C841,Factors!$A$5:$A$34,0)),0))</f>
        <v/>
      </c>
      <c r="F841" s="13">
        <f>IF(A841="","",IFERROR(INDEX(Factors!$D$5:$D$34,MATCH(C841,Factors!$A$5:$A$34,0)),"UNMATCHED"))</f>
        <v/>
      </c>
    </row>
    <row r="842">
      <c r="A842" s="8" t="n"/>
      <c r="B842" s="8" t="n"/>
      <c r="C842" s="8" t="n"/>
      <c r="D842" s="11" t="n"/>
      <c r="E842" s="12">
        <f>IF(A842="","",D842*IFERROR(INDEX(Factors!$C$5:$C$34,MATCH(C842,Factors!$A$5:$A$34,0)),0))</f>
        <v/>
      </c>
      <c r="F842" s="13">
        <f>IF(A842="","",IFERROR(INDEX(Factors!$D$5:$D$34,MATCH(C842,Factors!$A$5:$A$34,0)),"UNMATCHED"))</f>
        <v/>
      </c>
    </row>
    <row r="843">
      <c r="A843" s="8" t="n"/>
      <c r="B843" s="8" t="n"/>
      <c r="C843" s="8" t="n"/>
      <c r="D843" s="11" t="n"/>
      <c r="E843" s="12">
        <f>IF(A843="","",D843*IFERROR(INDEX(Factors!$C$5:$C$34,MATCH(C843,Factors!$A$5:$A$34,0)),0))</f>
        <v/>
      </c>
      <c r="F843" s="13">
        <f>IF(A843="","",IFERROR(INDEX(Factors!$D$5:$D$34,MATCH(C843,Factors!$A$5:$A$34,0)),"UNMATCHED"))</f>
        <v/>
      </c>
    </row>
    <row r="844">
      <c r="A844" s="8" t="n"/>
      <c r="B844" s="8" t="n"/>
      <c r="C844" s="8" t="n"/>
      <c r="D844" s="11" t="n"/>
      <c r="E844" s="12">
        <f>IF(A844="","",D844*IFERROR(INDEX(Factors!$C$5:$C$34,MATCH(C844,Factors!$A$5:$A$34,0)),0))</f>
        <v/>
      </c>
      <c r="F844" s="13">
        <f>IF(A844="","",IFERROR(INDEX(Factors!$D$5:$D$34,MATCH(C844,Factors!$A$5:$A$34,0)),"UNMATCHED"))</f>
        <v/>
      </c>
    </row>
    <row r="845">
      <c r="A845" s="8" t="n"/>
      <c r="B845" s="8" t="n"/>
      <c r="C845" s="8" t="n"/>
      <c r="D845" s="11" t="n"/>
      <c r="E845" s="12">
        <f>IF(A845="","",D845*IFERROR(INDEX(Factors!$C$5:$C$34,MATCH(C845,Factors!$A$5:$A$34,0)),0))</f>
        <v/>
      </c>
      <c r="F845" s="13">
        <f>IF(A845="","",IFERROR(INDEX(Factors!$D$5:$D$34,MATCH(C845,Factors!$A$5:$A$34,0)),"UNMATCHED"))</f>
        <v/>
      </c>
    </row>
    <row r="846">
      <c r="A846" s="8" t="n"/>
      <c r="B846" s="8" t="n"/>
      <c r="C846" s="8" t="n"/>
      <c r="D846" s="11" t="n"/>
      <c r="E846" s="12">
        <f>IF(A846="","",D846*IFERROR(INDEX(Factors!$C$5:$C$34,MATCH(C846,Factors!$A$5:$A$34,0)),0))</f>
        <v/>
      </c>
      <c r="F846" s="13">
        <f>IF(A846="","",IFERROR(INDEX(Factors!$D$5:$D$34,MATCH(C846,Factors!$A$5:$A$34,0)),"UNMATCHED"))</f>
        <v/>
      </c>
    </row>
    <row r="847">
      <c r="A847" s="8" t="n"/>
      <c r="B847" s="8" t="n"/>
      <c r="C847" s="8" t="n"/>
      <c r="D847" s="11" t="n"/>
      <c r="E847" s="12">
        <f>IF(A847="","",D847*IFERROR(INDEX(Factors!$C$5:$C$34,MATCH(C847,Factors!$A$5:$A$34,0)),0))</f>
        <v/>
      </c>
      <c r="F847" s="13">
        <f>IF(A847="","",IFERROR(INDEX(Factors!$D$5:$D$34,MATCH(C847,Factors!$A$5:$A$34,0)),"UNMATCHED"))</f>
        <v/>
      </c>
    </row>
    <row r="848">
      <c r="A848" s="8" t="n"/>
      <c r="B848" s="8" t="n"/>
      <c r="C848" s="8" t="n"/>
      <c r="D848" s="11" t="n"/>
      <c r="E848" s="12">
        <f>IF(A848="","",D848*IFERROR(INDEX(Factors!$C$5:$C$34,MATCH(C848,Factors!$A$5:$A$34,0)),0))</f>
        <v/>
      </c>
      <c r="F848" s="13">
        <f>IF(A848="","",IFERROR(INDEX(Factors!$D$5:$D$34,MATCH(C848,Factors!$A$5:$A$34,0)),"UNMATCHED"))</f>
        <v/>
      </c>
    </row>
    <row r="849">
      <c r="A849" s="8" t="n"/>
      <c r="B849" s="8" t="n"/>
      <c r="C849" s="8" t="n"/>
      <c r="D849" s="11" t="n"/>
      <c r="E849" s="12">
        <f>IF(A849="","",D849*IFERROR(INDEX(Factors!$C$5:$C$34,MATCH(C849,Factors!$A$5:$A$34,0)),0))</f>
        <v/>
      </c>
      <c r="F849" s="13">
        <f>IF(A849="","",IFERROR(INDEX(Factors!$D$5:$D$34,MATCH(C849,Factors!$A$5:$A$34,0)),"UNMATCHED"))</f>
        <v/>
      </c>
    </row>
    <row r="850">
      <c r="A850" s="8" t="n"/>
      <c r="B850" s="8" t="n"/>
      <c r="C850" s="8" t="n"/>
      <c r="D850" s="11" t="n"/>
      <c r="E850" s="12">
        <f>IF(A850="","",D850*IFERROR(INDEX(Factors!$C$5:$C$34,MATCH(C850,Factors!$A$5:$A$34,0)),0))</f>
        <v/>
      </c>
      <c r="F850" s="13">
        <f>IF(A850="","",IFERROR(INDEX(Factors!$D$5:$D$34,MATCH(C850,Factors!$A$5:$A$34,0)),"UNMATCHED"))</f>
        <v/>
      </c>
    </row>
    <row r="851">
      <c r="A851" s="8" t="n"/>
      <c r="B851" s="8" t="n"/>
      <c r="C851" s="8" t="n"/>
      <c r="D851" s="11" t="n"/>
      <c r="E851" s="12">
        <f>IF(A851="","",D851*IFERROR(INDEX(Factors!$C$5:$C$34,MATCH(C851,Factors!$A$5:$A$34,0)),0))</f>
        <v/>
      </c>
      <c r="F851" s="13">
        <f>IF(A851="","",IFERROR(INDEX(Factors!$D$5:$D$34,MATCH(C851,Factors!$A$5:$A$34,0)),"UNMATCHED"))</f>
        <v/>
      </c>
    </row>
    <row r="852">
      <c r="A852" s="8" t="n"/>
      <c r="B852" s="8" t="n"/>
      <c r="C852" s="8" t="n"/>
      <c r="D852" s="11" t="n"/>
      <c r="E852" s="12">
        <f>IF(A852="","",D852*IFERROR(INDEX(Factors!$C$5:$C$34,MATCH(C852,Factors!$A$5:$A$34,0)),0))</f>
        <v/>
      </c>
      <c r="F852" s="13">
        <f>IF(A852="","",IFERROR(INDEX(Factors!$D$5:$D$34,MATCH(C852,Factors!$A$5:$A$34,0)),"UNMATCHED"))</f>
        <v/>
      </c>
    </row>
    <row r="853">
      <c r="A853" s="8" t="n"/>
      <c r="B853" s="8" t="n"/>
      <c r="C853" s="8" t="n"/>
      <c r="D853" s="11" t="n"/>
      <c r="E853" s="12">
        <f>IF(A853="","",D853*IFERROR(INDEX(Factors!$C$5:$C$34,MATCH(C853,Factors!$A$5:$A$34,0)),0))</f>
        <v/>
      </c>
      <c r="F853" s="13">
        <f>IF(A853="","",IFERROR(INDEX(Factors!$D$5:$D$34,MATCH(C853,Factors!$A$5:$A$34,0)),"UNMATCHED"))</f>
        <v/>
      </c>
    </row>
    <row r="854">
      <c r="A854" s="8" t="n"/>
      <c r="B854" s="8" t="n"/>
      <c r="C854" s="8" t="n"/>
      <c r="D854" s="11" t="n"/>
      <c r="E854" s="12">
        <f>IF(A854="","",D854*IFERROR(INDEX(Factors!$C$5:$C$34,MATCH(C854,Factors!$A$5:$A$34,0)),0))</f>
        <v/>
      </c>
      <c r="F854" s="13">
        <f>IF(A854="","",IFERROR(INDEX(Factors!$D$5:$D$34,MATCH(C854,Factors!$A$5:$A$34,0)),"UNMATCHED"))</f>
        <v/>
      </c>
    </row>
    <row r="855">
      <c r="A855" s="8" t="n"/>
      <c r="B855" s="8" t="n"/>
      <c r="C855" s="8" t="n"/>
      <c r="D855" s="11" t="n"/>
      <c r="E855" s="12">
        <f>IF(A855="","",D855*IFERROR(INDEX(Factors!$C$5:$C$34,MATCH(C855,Factors!$A$5:$A$34,0)),0))</f>
        <v/>
      </c>
      <c r="F855" s="13">
        <f>IF(A855="","",IFERROR(INDEX(Factors!$D$5:$D$34,MATCH(C855,Factors!$A$5:$A$34,0)),"UNMATCHED"))</f>
        <v/>
      </c>
    </row>
    <row r="856">
      <c r="A856" s="8" t="n"/>
      <c r="B856" s="8" t="n"/>
      <c r="C856" s="8" t="n"/>
      <c r="D856" s="11" t="n"/>
      <c r="E856" s="12">
        <f>IF(A856="","",D856*IFERROR(INDEX(Factors!$C$5:$C$34,MATCH(C856,Factors!$A$5:$A$34,0)),0))</f>
        <v/>
      </c>
      <c r="F856" s="13">
        <f>IF(A856="","",IFERROR(INDEX(Factors!$D$5:$D$34,MATCH(C856,Factors!$A$5:$A$34,0)),"UNMATCHED"))</f>
        <v/>
      </c>
    </row>
    <row r="857">
      <c r="A857" s="8" t="n"/>
      <c r="B857" s="8" t="n"/>
      <c r="C857" s="8" t="n"/>
      <c r="D857" s="11" t="n"/>
      <c r="E857" s="12">
        <f>IF(A857="","",D857*IFERROR(INDEX(Factors!$C$5:$C$34,MATCH(C857,Factors!$A$5:$A$34,0)),0))</f>
        <v/>
      </c>
      <c r="F857" s="13">
        <f>IF(A857="","",IFERROR(INDEX(Factors!$D$5:$D$34,MATCH(C857,Factors!$A$5:$A$34,0)),"UNMATCHED"))</f>
        <v/>
      </c>
    </row>
    <row r="858">
      <c r="A858" s="8" t="n"/>
      <c r="B858" s="8" t="n"/>
      <c r="C858" s="8" t="n"/>
      <c r="D858" s="11" t="n"/>
      <c r="E858" s="12">
        <f>IF(A858="","",D858*IFERROR(INDEX(Factors!$C$5:$C$34,MATCH(C858,Factors!$A$5:$A$34,0)),0))</f>
        <v/>
      </c>
      <c r="F858" s="13">
        <f>IF(A858="","",IFERROR(INDEX(Factors!$D$5:$D$34,MATCH(C858,Factors!$A$5:$A$34,0)),"UNMATCHED"))</f>
        <v/>
      </c>
    </row>
    <row r="859">
      <c r="A859" s="8" t="n"/>
      <c r="B859" s="8" t="n"/>
      <c r="C859" s="8" t="n"/>
      <c r="D859" s="11" t="n"/>
      <c r="E859" s="12">
        <f>IF(A859="","",D859*IFERROR(INDEX(Factors!$C$5:$C$34,MATCH(C859,Factors!$A$5:$A$34,0)),0))</f>
        <v/>
      </c>
      <c r="F859" s="13">
        <f>IF(A859="","",IFERROR(INDEX(Factors!$D$5:$D$34,MATCH(C859,Factors!$A$5:$A$34,0)),"UNMATCHED"))</f>
        <v/>
      </c>
    </row>
    <row r="860">
      <c r="A860" s="8" t="n"/>
      <c r="B860" s="8" t="n"/>
      <c r="C860" s="8" t="n"/>
      <c r="D860" s="11" t="n"/>
      <c r="E860" s="12">
        <f>IF(A860="","",D860*IFERROR(INDEX(Factors!$C$5:$C$34,MATCH(C860,Factors!$A$5:$A$34,0)),0))</f>
        <v/>
      </c>
      <c r="F860" s="13">
        <f>IF(A860="","",IFERROR(INDEX(Factors!$D$5:$D$34,MATCH(C860,Factors!$A$5:$A$34,0)),"UNMATCHED"))</f>
        <v/>
      </c>
    </row>
    <row r="861">
      <c r="A861" s="8" t="n"/>
      <c r="B861" s="8" t="n"/>
      <c r="C861" s="8" t="n"/>
      <c r="D861" s="11" t="n"/>
      <c r="E861" s="12">
        <f>IF(A861="","",D861*IFERROR(INDEX(Factors!$C$5:$C$34,MATCH(C861,Factors!$A$5:$A$34,0)),0))</f>
        <v/>
      </c>
      <c r="F861" s="13">
        <f>IF(A861="","",IFERROR(INDEX(Factors!$D$5:$D$34,MATCH(C861,Factors!$A$5:$A$34,0)),"UNMATCHED"))</f>
        <v/>
      </c>
    </row>
    <row r="862">
      <c r="A862" s="8" t="n"/>
      <c r="B862" s="8" t="n"/>
      <c r="C862" s="8" t="n"/>
      <c r="D862" s="11" t="n"/>
      <c r="E862" s="12">
        <f>IF(A862="","",D862*IFERROR(INDEX(Factors!$C$5:$C$34,MATCH(C862,Factors!$A$5:$A$34,0)),0))</f>
        <v/>
      </c>
      <c r="F862" s="13">
        <f>IF(A862="","",IFERROR(INDEX(Factors!$D$5:$D$34,MATCH(C862,Factors!$A$5:$A$34,0)),"UNMATCHED"))</f>
        <v/>
      </c>
    </row>
    <row r="863">
      <c r="A863" s="8" t="n"/>
      <c r="B863" s="8" t="n"/>
      <c r="C863" s="8" t="n"/>
      <c r="D863" s="11" t="n"/>
      <c r="E863" s="12">
        <f>IF(A863="","",D863*IFERROR(INDEX(Factors!$C$5:$C$34,MATCH(C863,Factors!$A$5:$A$34,0)),0))</f>
        <v/>
      </c>
      <c r="F863" s="13">
        <f>IF(A863="","",IFERROR(INDEX(Factors!$D$5:$D$34,MATCH(C863,Factors!$A$5:$A$34,0)),"UNMATCHED"))</f>
        <v/>
      </c>
    </row>
    <row r="864">
      <c r="A864" s="8" t="n"/>
      <c r="B864" s="8" t="n"/>
      <c r="C864" s="8" t="n"/>
      <c r="D864" s="11" t="n"/>
      <c r="E864" s="12">
        <f>IF(A864="","",D864*IFERROR(INDEX(Factors!$C$5:$C$34,MATCH(C864,Factors!$A$5:$A$34,0)),0))</f>
        <v/>
      </c>
      <c r="F864" s="13">
        <f>IF(A864="","",IFERROR(INDEX(Factors!$D$5:$D$34,MATCH(C864,Factors!$A$5:$A$34,0)),"UNMATCHED"))</f>
        <v/>
      </c>
    </row>
    <row r="865">
      <c r="A865" s="8" t="n"/>
      <c r="B865" s="8" t="n"/>
      <c r="C865" s="8" t="n"/>
      <c r="D865" s="11" t="n"/>
      <c r="E865" s="12">
        <f>IF(A865="","",D865*IFERROR(INDEX(Factors!$C$5:$C$34,MATCH(C865,Factors!$A$5:$A$34,0)),0))</f>
        <v/>
      </c>
      <c r="F865" s="13">
        <f>IF(A865="","",IFERROR(INDEX(Factors!$D$5:$D$34,MATCH(C865,Factors!$A$5:$A$34,0)),"UNMATCHED"))</f>
        <v/>
      </c>
    </row>
    <row r="866">
      <c r="A866" s="8" t="n"/>
      <c r="B866" s="8" t="n"/>
      <c r="C866" s="8" t="n"/>
      <c r="D866" s="11" t="n"/>
      <c r="E866" s="12">
        <f>IF(A866="","",D866*IFERROR(INDEX(Factors!$C$5:$C$34,MATCH(C866,Factors!$A$5:$A$34,0)),0))</f>
        <v/>
      </c>
      <c r="F866" s="13">
        <f>IF(A866="","",IFERROR(INDEX(Factors!$D$5:$D$34,MATCH(C866,Factors!$A$5:$A$34,0)),"UNMATCHED"))</f>
        <v/>
      </c>
    </row>
    <row r="867">
      <c r="A867" s="8" t="n"/>
      <c r="B867" s="8" t="n"/>
      <c r="C867" s="8" t="n"/>
      <c r="D867" s="11" t="n"/>
      <c r="E867" s="12">
        <f>IF(A867="","",D867*IFERROR(INDEX(Factors!$C$5:$C$34,MATCH(C867,Factors!$A$5:$A$34,0)),0))</f>
        <v/>
      </c>
      <c r="F867" s="13">
        <f>IF(A867="","",IFERROR(INDEX(Factors!$D$5:$D$34,MATCH(C867,Factors!$A$5:$A$34,0)),"UNMATCHED"))</f>
        <v/>
      </c>
    </row>
    <row r="868">
      <c r="A868" s="8" t="n"/>
      <c r="B868" s="8" t="n"/>
      <c r="C868" s="8" t="n"/>
      <c r="D868" s="11" t="n"/>
      <c r="E868" s="12">
        <f>IF(A868="","",D868*IFERROR(INDEX(Factors!$C$5:$C$34,MATCH(C868,Factors!$A$5:$A$34,0)),0))</f>
        <v/>
      </c>
      <c r="F868" s="13">
        <f>IF(A868="","",IFERROR(INDEX(Factors!$D$5:$D$34,MATCH(C868,Factors!$A$5:$A$34,0)),"UNMATCHED"))</f>
        <v/>
      </c>
    </row>
    <row r="869">
      <c r="A869" s="8" t="n"/>
      <c r="B869" s="8" t="n"/>
      <c r="C869" s="8" t="n"/>
      <c r="D869" s="11" t="n"/>
      <c r="E869" s="12">
        <f>IF(A869="","",D869*IFERROR(INDEX(Factors!$C$5:$C$34,MATCH(C869,Factors!$A$5:$A$34,0)),0))</f>
        <v/>
      </c>
      <c r="F869" s="13">
        <f>IF(A869="","",IFERROR(INDEX(Factors!$D$5:$D$34,MATCH(C869,Factors!$A$5:$A$34,0)),"UNMATCHED"))</f>
        <v/>
      </c>
    </row>
    <row r="870">
      <c r="A870" s="8" t="n"/>
      <c r="B870" s="8" t="n"/>
      <c r="C870" s="8" t="n"/>
      <c r="D870" s="11" t="n"/>
      <c r="E870" s="12">
        <f>IF(A870="","",D870*IFERROR(INDEX(Factors!$C$5:$C$34,MATCH(C870,Factors!$A$5:$A$34,0)),0))</f>
        <v/>
      </c>
      <c r="F870" s="13">
        <f>IF(A870="","",IFERROR(INDEX(Factors!$D$5:$D$34,MATCH(C870,Factors!$A$5:$A$34,0)),"UNMATCHED"))</f>
        <v/>
      </c>
    </row>
    <row r="871">
      <c r="A871" s="8" t="n"/>
      <c r="B871" s="8" t="n"/>
      <c r="C871" s="8" t="n"/>
      <c r="D871" s="11" t="n"/>
      <c r="E871" s="12">
        <f>IF(A871="","",D871*IFERROR(INDEX(Factors!$C$5:$C$34,MATCH(C871,Factors!$A$5:$A$34,0)),0))</f>
        <v/>
      </c>
      <c r="F871" s="13">
        <f>IF(A871="","",IFERROR(INDEX(Factors!$D$5:$D$34,MATCH(C871,Factors!$A$5:$A$34,0)),"UNMATCHED"))</f>
        <v/>
      </c>
    </row>
    <row r="872">
      <c r="A872" s="8" t="n"/>
      <c r="B872" s="8" t="n"/>
      <c r="C872" s="8" t="n"/>
      <c r="D872" s="11" t="n"/>
      <c r="E872" s="12">
        <f>IF(A872="","",D872*IFERROR(INDEX(Factors!$C$5:$C$34,MATCH(C872,Factors!$A$5:$A$34,0)),0))</f>
        <v/>
      </c>
      <c r="F872" s="13">
        <f>IF(A872="","",IFERROR(INDEX(Factors!$D$5:$D$34,MATCH(C872,Factors!$A$5:$A$34,0)),"UNMATCHED"))</f>
        <v/>
      </c>
    </row>
    <row r="873">
      <c r="A873" s="8" t="n"/>
      <c r="B873" s="8" t="n"/>
      <c r="C873" s="8" t="n"/>
      <c r="D873" s="11" t="n"/>
      <c r="E873" s="12">
        <f>IF(A873="","",D873*IFERROR(INDEX(Factors!$C$5:$C$34,MATCH(C873,Factors!$A$5:$A$34,0)),0))</f>
        <v/>
      </c>
      <c r="F873" s="13">
        <f>IF(A873="","",IFERROR(INDEX(Factors!$D$5:$D$34,MATCH(C873,Factors!$A$5:$A$34,0)),"UNMATCHED"))</f>
        <v/>
      </c>
    </row>
    <row r="874">
      <c r="A874" s="8" t="n"/>
      <c r="B874" s="8" t="n"/>
      <c r="C874" s="8" t="n"/>
      <c r="D874" s="11" t="n"/>
      <c r="E874" s="12">
        <f>IF(A874="","",D874*IFERROR(INDEX(Factors!$C$5:$C$34,MATCH(C874,Factors!$A$5:$A$34,0)),0))</f>
        <v/>
      </c>
      <c r="F874" s="13">
        <f>IF(A874="","",IFERROR(INDEX(Factors!$D$5:$D$34,MATCH(C874,Factors!$A$5:$A$34,0)),"UNMATCHED"))</f>
        <v/>
      </c>
    </row>
    <row r="875">
      <c r="A875" s="8" t="n"/>
      <c r="B875" s="8" t="n"/>
      <c r="C875" s="8" t="n"/>
      <c r="D875" s="11" t="n"/>
      <c r="E875" s="12">
        <f>IF(A875="","",D875*IFERROR(INDEX(Factors!$C$5:$C$34,MATCH(C875,Factors!$A$5:$A$34,0)),0))</f>
        <v/>
      </c>
      <c r="F875" s="13">
        <f>IF(A875="","",IFERROR(INDEX(Factors!$D$5:$D$34,MATCH(C875,Factors!$A$5:$A$34,0)),"UNMATCHED"))</f>
        <v/>
      </c>
    </row>
    <row r="876">
      <c r="A876" s="8" t="n"/>
      <c r="B876" s="8" t="n"/>
      <c r="C876" s="8" t="n"/>
      <c r="D876" s="11" t="n"/>
      <c r="E876" s="12">
        <f>IF(A876="","",D876*IFERROR(INDEX(Factors!$C$5:$C$34,MATCH(C876,Factors!$A$5:$A$34,0)),0))</f>
        <v/>
      </c>
      <c r="F876" s="13">
        <f>IF(A876="","",IFERROR(INDEX(Factors!$D$5:$D$34,MATCH(C876,Factors!$A$5:$A$34,0)),"UNMATCHED"))</f>
        <v/>
      </c>
    </row>
    <row r="877">
      <c r="A877" s="8" t="n"/>
      <c r="B877" s="8" t="n"/>
      <c r="C877" s="8" t="n"/>
      <c r="D877" s="11" t="n"/>
      <c r="E877" s="12">
        <f>IF(A877="","",D877*IFERROR(INDEX(Factors!$C$5:$C$34,MATCH(C877,Factors!$A$5:$A$34,0)),0))</f>
        <v/>
      </c>
      <c r="F877" s="13">
        <f>IF(A877="","",IFERROR(INDEX(Factors!$D$5:$D$34,MATCH(C877,Factors!$A$5:$A$34,0)),"UNMATCHED"))</f>
        <v/>
      </c>
    </row>
    <row r="878">
      <c r="A878" s="8" t="n"/>
      <c r="B878" s="8" t="n"/>
      <c r="C878" s="8" t="n"/>
      <c r="D878" s="11" t="n"/>
      <c r="E878" s="12">
        <f>IF(A878="","",D878*IFERROR(INDEX(Factors!$C$5:$C$34,MATCH(C878,Factors!$A$5:$A$34,0)),0))</f>
        <v/>
      </c>
      <c r="F878" s="13">
        <f>IF(A878="","",IFERROR(INDEX(Factors!$D$5:$D$34,MATCH(C878,Factors!$A$5:$A$34,0)),"UNMATCHED"))</f>
        <v/>
      </c>
    </row>
    <row r="879">
      <c r="A879" s="8" t="n"/>
      <c r="B879" s="8" t="n"/>
      <c r="C879" s="8" t="n"/>
      <c r="D879" s="11" t="n"/>
      <c r="E879" s="12">
        <f>IF(A879="","",D879*IFERROR(INDEX(Factors!$C$5:$C$34,MATCH(C879,Factors!$A$5:$A$34,0)),0))</f>
        <v/>
      </c>
      <c r="F879" s="13">
        <f>IF(A879="","",IFERROR(INDEX(Factors!$D$5:$D$34,MATCH(C879,Factors!$A$5:$A$34,0)),"UNMATCHED"))</f>
        <v/>
      </c>
    </row>
    <row r="880">
      <c r="A880" s="8" t="n"/>
      <c r="B880" s="8" t="n"/>
      <c r="C880" s="8" t="n"/>
      <c r="D880" s="11" t="n"/>
      <c r="E880" s="12">
        <f>IF(A880="","",D880*IFERROR(INDEX(Factors!$C$5:$C$34,MATCH(C880,Factors!$A$5:$A$34,0)),0))</f>
        <v/>
      </c>
      <c r="F880" s="13">
        <f>IF(A880="","",IFERROR(INDEX(Factors!$D$5:$D$34,MATCH(C880,Factors!$A$5:$A$34,0)),"UNMATCHED"))</f>
        <v/>
      </c>
    </row>
    <row r="881">
      <c r="A881" s="8" t="n"/>
      <c r="B881" s="8" t="n"/>
      <c r="C881" s="8" t="n"/>
      <c r="D881" s="11" t="n"/>
      <c r="E881" s="12">
        <f>IF(A881="","",D881*IFERROR(INDEX(Factors!$C$5:$C$34,MATCH(C881,Factors!$A$5:$A$34,0)),0))</f>
        <v/>
      </c>
      <c r="F881" s="13">
        <f>IF(A881="","",IFERROR(INDEX(Factors!$D$5:$D$34,MATCH(C881,Factors!$A$5:$A$34,0)),"UNMATCHED"))</f>
        <v/>
      </c>
    </row>
    <row r="882">
      <c r="A882" s="8" t="n"/>
      <c r="B882" s="8" t="n"/>
      <c r="C882" s="8" t="n"/>
      <c r="D882" s="11" t="n"/>
      <c r="E882" s="12">
        <f>IF(A882="","",D882*IFERROR(INDEX(Factors!$C$5:$C$34,MATCH(C882,Factors!$A$5:$A$34,0)),0))</f>
        <v/>
      </c>
      <c r="F882" s="13">
        <f>IF(A882="","",IFERROR(INDEX(Factors!$D$5:$D$34,MATCH(C882,Factors!$A$5:$A$34,0)),"UNMATCHED"))</f>
        <v/>
      </c>
    </row>
    <row r="883">
      <c r="A883" s="8" t="n"/>
      <c r="B883" s="8" t="n"/>
      <c r="C883" s="8" t="n"/>
      <c r="D883" s="11" t="n"/>
      <c r="E883" s="12">
        <f>IF(A883="","",D883*IFERROR(INDEX(Factors!$C$5:$C$34,MATCH(C883,Factors!$A$5:$A$34,0)),0))</f>
        <v/>
      </c>
      <c r="F883" s="13">
        <f>IF(A883="","",IFERROR(INDEX(Factors!$D$5:$D$34,MATCH(C883,Factors!$A$5:$A$34,0)),"UNMATCHED"))</f>
        <v/>
      </c>
    </row>
    <row r="884">
      <c r="A884" s="8" t="n"/>
      <c r="B884" s="8" t="n"/>
      <c r="C884" s="8" t="n"/>
      <c r="D884" s="11" t="n"/>
      <c r="E884" s="12">
        <f>IF(A884="","",D884*IFERROR(INDEX(Factors!$C$5:$C$34,MATCH(C884,Factors!$A$5:$A$34,0)),0))</f>
        <v/>
      </c>
      <c r="F884" s="13">
        <f>IF(A884="","",IFERROR(INDEX(Factors!$D$5:$D$34,MATCH(C884,Factors!$A$5:$A$34,0)),"UNMATCHED"))</f>
        <v/>
      </c>
    </row>
    <row r="885">
      <c r="A885" s="8" t="n"/>
      <c r="B885" s="8" t="n"/>
      <c r="C885" s="8" t="n"/>
      <c r="D885" s="11" t="n"/>
      <c r="E885" s="12">
        <f>IF(A885="","",D885*IFERROR(INDEX(Factors!$C$5:$C$34,MATCH(C885,Factors!$A$5:$A$34,0)),0))</f>
        <v/>
      </c>
      <c r="F885" s="13">
        <f>IF(A885="","",IFERROR(INDEX(Factors!$D$5:$D$34,MATCH(C885,Factors!$A$5:$A$34,0)),"UNMATCHED"))</f>
        <v/>
      </c>
    </row>
    <row r="886">
      <c r="A886" s="8" t="n"/>
      <c r="B886" s="8" t="n"/>
      <c r="C886" s="8" t="n"/>
      <c r="D886" s="11" t="n"/>
      <c r="E886" s="12">
        <f>IF(A886="","",D886*IFERROR(INDEX(Factors!$C$5:$C$34,MATCH(C886,Factors!$A$5:$A$34,0)),0))</f>
        <v/>
      </c>
      <c r="F886" s="13">
        <f>IF(A886="","",IFERROR(INDEX(Factors!$D$5:$D$34,MATCH(C886,Factors!$A$5:$A$34,0)),"UNMATCHED"))</f>
        <v/>
      </c>
    </row>
    <row r="887">
      <c r="A887" s="8" t="n"/>
      <c r="B887" s="8" t="n"/>
      <c r="C887" s="8" t="n"/>
      <c r="D887" s="11" t="n"/>
      <c r="E887" s="12">
        <f>IF(A887="","",D887*IFERROR(INDEX(Factors!$C$5:$C$34,MATCH(C887,Factors!$A$5:$A$34,0)),0))</f>
        <v/>
      </c>
      <c r="F887" s="13">
        <f>IF(A887="","",IFERROR(INDEX(Factors!$D$5:$D$34,MATCH(C887,Factors!$A$5:$A$34,0)),"UNMATCHED"))</f>
        <v/>
      </c>
    </row>
    <row r="888">
      <c r="A888" s="8" t="n"/>
      <c r="B888" s="8" t="n"/>
      <c r="C888" s="8" t="n"/>
      <c r="D888" s="11" t="n"/>
      <c r="E888" s="12">
        <f>IF(A888="","",D888*IFERROR(INDEX(Factors!$C$5:$C$34,MATCH(C888,Factors!$A$5:$A$34,0)),0))</f>
        <v/>
      </c>
      <c r="F888" s="13">
        <f>IF(A888="","",IFERROR(INDEX(Factors!$D$5:$D$34,MATCH(C888,Factors!$A$5:$A$34,0)),"UNMATCHED"))</f>
        <v/>
      </c>
    </row>
    <row r="889">
      <c r="A889" s="8" t="n"/>
      <c r="B889" s="8" t="n"/>
      <c r="C889" s="8" t="n"/>
      <c r="D889" s="11" t="n"/>
      <c r="E889" s="12">
        <f>IF(A889="","",D889*IFERROR(INDEX(Factors!$C$5:$C$34,MATCH(C889,Factors!$A$5:$A$34,0)),0))</f>
        <v/>
      </c>
      <c r="F889" s="13">
        <f>IF(A889="","",IFERROR(INDEX(Factors!$D$5:$D$34,MATCH(C889,Factors!$A$5:$A$34,0)),"UNMATCHED"))</f>
        <v/>
      </c>
    </row>
    <row r="890">
      <c r="A890" s="8" t="n"/>
      <c r="B890" s="8" t="n"/>
      <c r="C890" s="8" t="n"/>
      <c r="D890" s="11" t="n"/>
      <c r="E890" s="12">
        <f>IF(A890="","",D890*IFERROR(INDEX(Factors!$C$5:$C$34,MATCH(C890,Factors!$A$5:$A$34,0)),0))</f>
        <v/>
      </c>
      <c r="F890" s="13">
        <f>IF(A890="","",IFERROR(INDEX(Factors!$D$5:$D$34,MATCH(C890,Factors!$A$5:$A$34,0)),"UNMATCHED"))</f>
        <v/>
      </c>
    </row>
    <row r="891">
      <c r="A891" s="8" t="n"/>
      <c r="B891" s="8" t="n"/>
      <c r="C891" s="8" t="n"/>
      <c r="D891" s="11" t="n"/>
      <c r="E891" s="12">
        <f>IF(A891="","",D891*IFERROR(INDEX(Factors!$C$5:$C$34,MATCH(C891,Factors!$A$5:$A$34,0)),0))</f>
        <v/>
      </c>
      <c r="F891" s="13">
        <f>IF(A891="","",IFERROR(INDEX(Factors!$D$5:$D$34,MATCH(C891,Factors!$A$5:$A$34,0)),"UNMATCHED"))</f>
        <v/>
      </c>
    </row>
    <row r="892">
      <c r="A892" s="8" t="n"/>
      <c r="B892" s="8" t="n"/>
      <c r="C892" s="8" t="n"/>
      <c r="D892" s="11" t="n"/>
      <c r="E892" s="12">
        <f>IF(A892="","",D892*IFERROR(INDEX(Factors!$C$5:$C$34,MATCH(C892,Factors!$A$5:$A$34,0)),0))</f>
        <v/>
      </c>
      <c r="F892" s="13">
        <f>IF(A892="","",IFERROR(INDEX(Factors!$D$5:$D$34,MATCH(C892,Factors!$A$5:$A$34,0)),"UNMATCHED"))</f>
        <v/>
      </c>
    </row>
    <row r="893">
      <c r="A893" s="8" t="n"/>
      <c r="B893" s="8" t="n"/>
      <c r="C893" s="8" t="n"/>
      <c r="D893" s="11" t="n"/>
      <c r="E893" s="12">
        <f>IF(A893="","",D893*IFERROR(INDEX(Factors!$C$5:$C$34,MATCH(C893,Factors!$A$5:$A$34,0)),0))</f>
        <v/>
      </c>
      <c r="F893" s="13">
        <f>IF(A893="","",IFERROR(INDEX(Factors!$D$5:$D$34,MATCH(C893,Factors!$A$5:$A$34,0)),"UNMATCHED"))</f>
        <v/>
      </c>
    </row>
    <row r="894">
      <c r="A894" s="8" t="n"/>
      <c r="B894" s="8" t="n"/>
      <c r="C894" s="8" t="n"/>
      <c r="D894" s="11" t="n"/>
      <c r="E894" s="12">
        <f>IF(A894="","",D894*IFERROR(INDEX(Factors!$C$5:$C$34,MATCH(C894,Factors!$A$5:$A$34,0)),0))</f>
        <v/>
      </c>
      <c r="F894" s="13">
        <f>IF(A894="","",IFERROR(INDEX(Factors!$D$5:$D$34,MATCH(C894,Factors!$A$5:$A$34,0)),"UNMATCHED"))</f>
        <v/>
      </c>
    </row>
    <row r="895">
      <c r="A895" s="8" t="n"/>
      <c r="B895" s="8" t="n"/>
      <c r="C895" s="8" t="n"/>
      <c r="D895" s="11" t="n"/>
      <c r="E895" s="12">
        <f>IF(A895="","",D895*IFERROR(INDEX(Factors!$C$5:$C$34,MATCH(C895,Factors!$A$5:$A$34,0)),0))</f>
        <v/>
      </c>
      <c r="F895" s="13">
        <f>IF(A895="","",IFERROR(INDEX(Factors!$D$5:$D$34,MATCH(C895,Factors!$A$5:$A$34,0)),"UNMATCHED"))</f>
        <v/>
      </c>
    </row>
    <row r="896">
      <c r="A896" s="8" t="n"/>
      <c r="B896" s="8" t="n"/>
      <c r="C896" s="8" t="n"/>
      <c r="D896" s="11" t="n"/>
      <c r="E896" s="12">
        <f>IF(A896="","",D896*IFERROR(INDEX(Factors!$C$5:$C$34,MATCH(C896,Factors!$A$5:$A$34,0)),0))</f>
        <v/>
      </c>
      <c r="F896" s="13">
        <f>IF(A896="","",IFERROR(INDEX(Factors!$D$5:$D$34,MATCH(C896,Factors!$A$5:$A$34,0)),"UNMATCHED"))</f>
        <v/>
      </c>
    </row>
    <row r="897">
      <c r="A897" s="8" t="n"/>
      <c r="B897" s="8" t="n"/>
      <c r="C897" s="8" t="n"/>
      <c r="D897" s="11" t="n"/>
      <c r="E897" s="12">
        <f>IF(A897="","",D897*IFERROR(INDEX(Factors!$C$5:$C$34,MATCH(C897,Factors!$A$5:$A$34,0)),0))</f>
        <v/>
      </c>
      <c r="F897" s="13">
        <f>IF(A897="","",IFERROR(INDEX(Factors!$D$5:$D$34,MATCH(C897,Factors!$A$5:$A$34,0)),"UNMATCHED"))</f>
        <v/>
      </c>
    </row>
    <row r="898">
      <c r="A898" s="8" t="n"/>
      <c r="B898" s="8" t="n"/>
      <c r="C898" s="8" t="n"/>
      <c r="D898" s="11" t="n"/>
      <c r="E898" s="12">
        <f>IF(A898="","",D898*IFERROR(INDEX(Factors!$C$5:$C$34,MATCH(C898,Factors!$A$5:$A$34,0)),0))</f>
        <v/>
      </c>
      <c r="F898" s="13">
        <f>IF(A898="","",IFERROR(INDEX(Factors!$D$5:$D$34,MATCH(C898,Factors!$A$5:$A$34,0)),"UNMATCHED"))</f>
        <v/>
      </c>
    </row>
    <row r="899">
      <c r="A899" s="8" t="n"/>
      <c r="B899" s="8" t="n"/>
      <c r="C899" s="8" t="n"/>
      <c r="D899" s="11" t="n"/>
      <c r="E899" s="12">
        <f>IF(A899="","",D899*IFERROR(INDEX(Factors!$C$5:$C$34,MATCH(C899,Factors!$A$5:$A$34,0)),0))</f>
        <v/>
      </c>
      <c r="F899" s="13">
        <f>IF(A899="","",IFERROR(INDEX(Factors!$D$5:$D$34,MATCH(C899,Factors!$A$5:$A$34,0)),"UNMATCHED"))</f>
        <v/>
      </c>
    </row>
    <row r="900">
      <c r="A900" s="8" t="n"/>
      <c r="B900" s="8" t="n"/>
      <c r="C900" s="8" t="n"/>
      <c r="D900" s="11" t="n"/>
      <c r="E900" s="12">
        <f>IF(A900="","",D900*IFERROR(INDEX(Factors!$C$5:$C$34,MATCH(C900,Factors!$A$5:$A$34,0)),0))</f>
        <v/>
      </c>
      <c r="F900" s="13">
        <f>IF(A900="","",IFERROR(INDEX(Factors!$D$5:$D$34,MATCH(C900,Factors!$A$5:$A$34,0)),"UNMATCHED"))</f>
        <v/>
      </c>
    </row>
    <row r="901">
      <c r="A901" s="8" t="n"/>
      <c r="B901" s="8" t="n"/>
      <c r="C901" s="8" t="n"/>
      <c r="D901" s="11" t="n"/>
      <c r="E901" s="12">
        <f>IF(A901="","",D901*IFERROR(INDEX(Factors!$C$5:$C$34,MATCH(C901,Factors!$A$5:$A$34,0)),0))</f>
        <v/>
      </c>
      <c r="F901" s="13">
        <f>IF(A901="","",IFERROR(INDEX(Factors!$D$5:$D$34,MATCH(C901,Factors!$A$5:$A$34,0)),"UNMATCHED"))</f>
        <v/>
      </c>
    </row>
    <row r="902">
      <c r="A902" s="8" t="n"/>
      <c r="B902" s="8" t="n"/>
      <c r="C902" s="8" t="n"/>
      <c r="D902" s="11" t="n"/>
      <c r="E902" s="12">
        <f>IF(A902="","",D902*IFERROR(INDEX(Factors!$C$5:$C$34,MATCH(C902,Factors!$A$5:$A$34,0)),0))</f>
        <v/>
      </c>
      <c r="F902" s="13">
        <f>IF(A902="","",IFERROR(INDEX(Factors!$D$5:$D$34,MATCH(C902,Factors!$A$5:$A$34,0)),"UNMATCHED"))</f>
        <v/>
      </c>
    </row>
    <row r="903">
      <c r="A903" s="8" t="n"/>
      <c r="B903" s="8" t="n"/>
      <c r="C903" s="8" t="n"/>
      <c r="D903" s="11" t="n"/>
      <c r="E903" s="12">
        <f>IF(A903="","",D903*IFERROR(INDEX(Factors!$C$5:$C$34,MATCH(C903,Factors!$A$5:$A$34,0)),0))</f>
        <v/>
      </c>
      <c r="F903" s="13">
        <f>IF(A903="","",IFERROR(INDEX(Factors!$D$5:$D$34,MATCH(C903,Factors!$A$5:$A$34,0)),"UNMATCHED"))</f>
        <v/>
      </c>
    </row>
    <row r="904">
      <c r="A904" s="8" t="n"/>
      <c r="B904" s="8" t="n"/>
      <c r="C904" s="8" t="n"/>
      <c r="D904" s="11" t="n"/>
      <c r="E904" s="12">
        <f>IF(A904="","",D904*IFERROR(INDEX(Factors!$C$5:$C$34,MATCH(C904,Factors!$A$5:$A$34,0)),0))</f>
        <v/>
      </c>
      <c r="F904" s="13">
        <f>IF(A904="","",IFERROR(INDEX(Factors!$D$5:$D$34,MATCH(C904,Factors!$A$5:$A$34,0)),"UNMATCHED"))</f>
        <v/>
      </c>
    </row>
    <row r="905">
      <c r="A905" s="8" t="n"/>
      <c r="B905" s="8" t="n"/>
      <c r="C905" s="8" t="n"/>
      <c r="D905" s="11" t="n"/>
      <c r="E905" s="12">
        <f>IF(A905="","",D905*IFERROR(INDEX(Factors!$C$5:$C$34,MATCH(C905,Factors!$A$5:$A$34,0)),0))</f>
        <v/>
      </c>
      <c r="F905" s="13">
        <f>IF(A905="","",IFERROR(INDEX(Factors!$D$5:$D$34,MATCH(C905,Factors!$A$5:$A$34,0)),"UNMATCHED"))</f>
        <v/>
      </c>
    </row>
    <row r="906">
      <c r="A906" s="8" t="n"/>
      <c r="B906" s="8" t="n"/>
      <c r="C906" s="8" t="n"/>
      <c r="D906" s="11" t="n"/>
      <c r="E906" s="12">
        <f>IF(A906="","",D906*IFERROR(INDEX(Factors!$C$5:$C$34,MATCH(C906,Factors!$A$5:$A$34,0)),0))</f>
        <v/>
      </c>
      <c r="F906" s="13">
        <f>IF(A906="","",IFERROR(INDEX(Factors!$D$5:$D$34,MATCH(C906,Factors!$A$5:$A$34,0)),"UNMATCHED"))</f>
        <v/>
      </c>
    </row>
    <row r="907">
      <c r="A907" s="8" t="n"/>
      <c r="B907" s="8" t="n"/>
      <c r="C907" s="8" t="n"/>
      <c r="D907" s="11" t="n"/>
      <c r="E907" s="12">
        <f>IF(A907="","",D907*IFERROR(INDEX(Factors!$C$5:$C$34,MATCH(C907,Factors!$A$5:$A$34,0)),0))</f>
        <v/>
      </c>
      <c r="F907" s="13">
        <f>IF(A907="","",IFERROR(INDEX(Factors!$D$5:$D$34,MATCH(C907,Factors!$A$5:$A$34,0)),"UNMATCHED"))</f>
        <v/>
      </c>
    </row>
    <row r="908">
      <c r="A908" s="8" t="n"/>
      <c r="B908" s="8" t="n"/>
      <c r="C908" s="8" t="n"/>
      <c r="D908" s="11" t="n"/>
      <c r="E908" s="12">
        <f>IF(A908="","",D908*IFERROR(INDEX(Factors!$C$5:$C$34,MATCH(C908,Factors!$A$5:$A$34,0)),0))</f>
        <v/>
      </c>
      <c r="F908" s="13">
        <f>IF(A908="","",IFERROR(INDEX(Factors!$D$5:$D$34,MATCH(C908,Factors!$A$5:$A$34,0)),"UNMATCHED"))</f>
        <v/>
      </c>
    </row>
    <row r="909">
      <c r="A909" s="8" t="n"/>
      <c r="B909" s="8" t="n"/>
      <c r="C909" s="8" t="n"/>
      <c r="D909" s="11" t="n"/>
      <c r="E909" s="12">
        <f>IF(A909="","",D909*IFERROR(INDEX(Factors!$C$5:$C$34,MATCH(C909,Factors!$A$5:$A$34,0)),0))</f>
        <v/>
      </c>
      <c r="F909" s="13">
        <f>IF(A909="","",IFERROR(INDEX(Factors!$D$5:$D$34,MATCH(C909,Factors!$A$5:$A$34,0)),"UNMATCHED"))</f>
        <v/>
      </c>
    </row>
    <row r="910">
      <c r="A910" s="8" t="n"/>
      <c r="B910" s="8" t="n"/>
      <c r="C910" s="8" t="n"/>
      <c r="D910" s="11" t="n"/>
      <c r="E910" s="12">
        <f>IF(A910="","",D910*IFERROR(INDEX(Factors!$C$5:$C$34,MATCH(C910,Factors!$A$5:$A$34,0)),0))</f>
        <v/>
      </c>
      <c r="F910" s="13">
        <f>IF(A910="","",IFERROR(INDEX(Factors!$D$5:$D$34,MATCH(C910,Factors!$A$5:$A$34,0)),"UNMATCHED"))</f>
        <v/>
      </c>
    </row>
    <row r="911">
      <c r="A911" s="8" t="n"/>
      <c r="B911" s="8" t="n"/>
      <c r="C911" s="8" t="n"/>
      <c r="D911" s="11" t="n"/>
      <c r="E911" s="12">
        <f>IF(A911="","",D911*IFERROR(INDEX(Factors!$C$5:$C$34,MATCH(C911,Factors!$A$5:$A$34,0)),0))</f>
        <v/>
      </c>
      <c r="F911" s="13">
        <f>IF(A911="","",IFERROR(INDEX(Factors!$D$5:$D$34,MATCH(C911,Factors!$A$5:$A$34,0)),"UNMATCHED"))</f>
        <v/>
      </c>
    </row>
    <row r="912">
      <c r="A912" s="8" t="n"/>
      <c r="B912" s="8" t="n"/>
      <c r="C912" s="8" t="n"/>
      <c r="D912" s="11" t="n"/>
      <c r="E912" s="12">
        <f>IF(A912="","",D912*IFERROR(INDEX(Factors!$C$5:$C$34,MATCH(C912,Factors!$A$5:$A$34,0)),0))</f>
        <v/>
      </c>
      <c r="F912" s="13">
        <f>IF(A912="","",IFERROR(INDEX(Factors!$D$5:$D$34,MATCH(C912,Factors!$A$5:$A$34,0)),"UNMATCHED"))</f>
        <v/>
      </c>
    </row>
    <row r="913">
      <c r="A913" s="8" t="n"/>
      <c r="B913" s="8" t="n"/>
      <c r="C913" s="8" t="n"/>
      <c r="D913" s="11" t="n"/>
      <c r="E913" s="12">
        <f>IF(A913="","",D913*IFERROR(INDEX(Factors!$C$5:$C$34,MATCH(C913,Factors!$A$5:$A$34,0)),0))</f>
        <v/>
      </c>
      <c r="F913" s="13">
        <f>IF(A913="","",IFERROR(INDEX(Factors!$D$5:$D$34,MATCH(C913,Factors!$A$5:$A$34,0)),"UNMATCHED"))</f>
        <v/>
      </c>
    </row>
    <row r="914">
      <c r="A914" s="8" t="n"/>
      <c r="B914" s="8" t="n"/>
      <c r="C914" s="8" t="n"/>
      <c r="D914" s="11" t="n"/>
      <c r="E914" s="12">
        <f>IF(A914="","",D914*IFERROR(INDEX(Factors!$C$5:$C$34,MATCH(C914,Factors!$A$5:$A$34,0)),0))</f>
        <v/>
      </c>
      <c r="F914" s="13">
        <f>IF(A914="","",IFERROR(INDEX(Factors!$D$5:$D$34,MATCH(C914,Factors!$A$5:$A$34,0)),"UNMATCHED"))</f>
        <v/>
      </c>
    </row>
    <row r="915">
      <c r="A915" s="8" t="n"/>
      <c r="B915" s="8" t="n"/>
      <c r="C915" s="8" t="n"/>
      <c r="D915" s="11" t="n"/>
      <c r="E915" s="12">
        <f>IF(A915="","",D915*IFERROR(INDEX(Factors!$C$5:$C$34,MATCH(C915,Factors!$A$5:$A$34,0)),0))</f>
        <v/>
      </c>
      <c r="F915" s="13">
        <f>IF(A915="","",IFERROR(INDEX(Factors!$D$5:$D$34,MATCH(C915,Factors!$A$5:$A$34,0)),"UNMATCHED"))</f>
        <v/>
      </c>
    </row>
    <row r="916">
      <c r="A916" s="8" t="n"/>
      <c r="B916" s="8" t="n"/>
      <c r="C916" s="8" t="n"/>
      <c r="D916" s="11" t="n"/>
      <c r="E916" s="12">
        <f>IF(A916="","",D916*IFERROR(INDEX(Factors!$C$5:$C$34,MATCH(C916,Factors!$A$5:$A$34,0)),0))</f>
        <v/>
      </c>
      <c r="F916" s="13">
        <f>IF(A916="","",IFERROR(INDEX(Factors!$D$5:$D$34,MATCH(C916,Factors!$A$5:$A$34,0)),"UNMATCHED"))</f>
        <v/>
      </c>
    </row>
    <row r="917">
      <c r="A917" s="8" t="n"/>
      <c r="B917" s="8" t="n"/>
      <c r="C917" s="8" t="n"/>
      <c r="D917" s="11" t="n"/>
      <c r="E917" s="12">
        <f>IF(A917="","",D917*IFERROR(INDEX(Factors!$C$5:$C$34,MATCH(C917,Factors!$A$5:$A$34,0)),0))</f>
        <v/>
      </c>
      <c r="F917" s="13">
        <f>IF(A917="","",IFERROR(INDEX(Factors!$D$5:$D$34,MATCH(C917,Factors!$A$5:$A$34,0)),"UNMATCHED"))</f>
        <v/>
      </c>
    </row>
    <row r="918">
      <c r="A918" s="8" t="n"/>
      <c r="B918" s="8" t="n"/>
      <c r="C918" s="8" t="n"/>
      <c r="D918" s="11" t="n"/>
      <c r="E918" s="12">
        <f>IF(A918="","",D918*IFERROR(INDEX(Factors!$C$5:$C$34,MATCH(C918,Factors!$A$5:$A$34,0)),0))</f>
        <v/>
      </c>
      <c r="F918" s="13">
        <f>IF(A918="","",IFERROR(INDEX(Factors!$D$5:$D$34,MATCH(C918,Factors!$A$5:$A$34,0)),"UNMATCHED"))</f>
        <v/>
      </c>
    </row>
    <row r="919">
      <c r="A919" s="8" t="n"/>
      <c r="B919" s="8" t="n"/>
      <c r="C919" s="8" t="n"/>
      <c r="D919" s="11" t="n"/>
      <c r="E919" s="12">
        <f>IF(A919="","",D919*IFERROR(INDEX(Factors!$C$5:$C$34,MATCH(C919,Factors!$A$5:$A$34,0)),0))</f>
        <v/>
      </c>
      <c r="F919" s="13">
        <f>IF(A919="","",IFERROR(INDEX(Factors!$D$5:$D$34,MATCH(C919,Factors!$A$5:$A$34,0)),"UNMATCHED"))</f>
        <v/>
      </c>
    </row>
    <row r="920">
      <c r="A920" s="8" t="n"/>
      <c r="B920" s="8" t="n"/>
      <c r="C920" s="8" t="n"/>
      <c r="D920" s="11" t="n"/>
      <c r="E920" s="12">
        <f>IF(A920="","",D920*IFERROR(INDEX(Factors!$C$5:$C$34,MATCH(C920,Factors!$A$5:$A$34,0)),0))</f>
        <v/>
      </c>
      <c r="F920" s="13">
        <f>IF(A920="","",IFERROR(INDEX(Factors!$D$5:$D$34,MATCH(C920,Factors!$A$5:$A$34,0)),"UNMATCHED"))</f>
        <v/>
      </c>
    </row>
    <row r="921">
      <c r="A921" s="8" t="n"/>
      <c r="B921" s="8" t="n"/>
      <c r="C921" s="8" t="n"/>
      <c r="D921" s="11" t="n"/>
      <c r="E921" s="12">
        <f>IF(A921="","",D921*IFERROR(INDEX(Factors!$C$5:$C$34,MATCH(C921,Factors!$A$5:$A$34,0)),0))</f>
        <v/>
      </c>
      <c r="F921" s="13">
        <f>IF(A921="","",IFERROR(INDEX(Factors!$D$5:$D$34,MATCH(C921,Factors!$A$5:$A$34,0)),"UNMATCHED"))</f>
        <v/>
      </c>
    </row>
    <row r="922">
      <c r="A922" s="8" t="n"/>
      <c r="B922" s="8" t="n"/>
      <c r="C922" s="8" t="n"/>
      <c r="D922" s="11" t="n"/>
      <c r="E922" s="12">
        <f>IF(A922="","",D922*IFERROR(INDEX(Factors!$C$5:$C$34,MATCH(C922,Factors!$A$5:$A$34,0)),0))</f>
        <v/>
      </c>
      <c r="F922" s="13">
        <f>IF(A922="","",IFERROR(INDEX(Factors!$D$5:$D$34,MATCH(C922,Factors!$A$5:$A$34,0)),"UNMATCHED"))</f>
        <v/>
      </c>
    </row>
    <row r="923">
      <c r="A923" s="8" t="n"/>
      <c r="B923" s="8" t="n"/>
      <c r="C923" s="8" t="n"/>
      <c r="D923" s="11" t="n"/>
      <c r="E923" s="12">
        <f>IF(A923="","",D923*IFERROR(INDEX(Factors!$C$5:$C$34,MATCH(C923,Factors!$A$5:$A$34,0)),0))</f>
        <v/>
      </c>
      <c r="F923" s="13">
        <f>IF(A923="","",IFERROR(INDEX(Factors!$D$5:$D$34,MATCH(C923,Factors!$A$5:$A$34,0)),"UNMATCHED"))</f>
        <v/>
      </c>
    </row>
    <row r="924">
      <c r="A924" s="8" t="n"/>
      <c r="B924" s="8" t="n"/>
      <c r="C924" s="8" t="n"/>
      <c r="D924" s="11" t="n"/>
      <c r="E924" s="12">
        <f>IF(A924="","",D924*IFERROR(INDEX(Factors!$C$5:$C$34,MATCH(C924,Factors!$A$5:$A$34,0)),0))</f>
        <v/>
      </c>
      <c r="F924" s="13">
        <f>IF(A924="","",IFERROR(INDEX(Factors!$D$5:$D$34,MATCH(C924,Factors!$A$5:$A$34,0)),"UNMATCHED"))</f>
        <v/>
      </c>
    </row>
    <row r="925">
      <c r="A925" s="8" t="n"/>
      <c r="B925" s="8" t="n"/>
      <c r="C925" s="8" t="n"/>
      <c r="D925" s="11" t="n"/>
      <c r="E925" s="12">
        <f>IF(A925="","",D925*IFERROR(INDEX(Factors!$C$5:$C$34,MATCH(C925,Factors!$A$5:$A$34,0)),0))</f>
        <v/>
      </c>
      <c r="F925" s="13">
        <f>IF(A925="","",IFERROR(INDEX(Factors!$D$5:$D$34,MATCH(C925,Factors!$A$5:$A$34,0)),"UNMATCHED"))</f>
        <v/>
      </c>
    </row>
    <row r="926">
      <c r="A926" s="8" t="n"/>
      <c r="B926" s="8" t="n"/>
      <c r="C926" s="8" t="n"/>
      <c r="D926" s="11" t="n"/>
      <c r="E926" s="12">
        <f>IF(A926="","",D926*IFERROR(INDEX(Factors!$C$5:$C$34,MATCH(C926,Factors!$A$5:$A$34,0)),0))</f>
        <v/>
      </c>
      <c r="F926" s="13">
        <f>IF(A926="","",IFERROR(INDEX(Factors!$D$5:$D$34,MATCH(C926,Factors!$A$5:$A$34,0)),"UNMATCHED"))</f>
        <v/>
      </c>
    </row>
    <row r="927">
      <c r="A927" s="8" t="n"/>
      <c r="B927" s="8" t="n"/>
      <c r="C927" s="8" t="n"/>
      <c r="D927" s="11" t="n"/>
      <c r="E927" s="12">
        <f>IF(A927="","",D927*IFERROR(INDEX(Factors!$C$5:$C$34,MATCH(C927,Factors!$A$5:$A$34,0)),0))</f>
        <v/>
      </c>
      <c r="F927" s="13">
        <f>IF(A927="","",IFERROR(INDEX(Factors!$D$5:$D$34,MATCH(C927,Factors!$A$5:$A$34,0)),"UNMATCHED"))</f>
        <v/>
      </c>
    </row>
    <row r="928">
      <c r="A928" s="8" t="n"/>
      <c r="B928" s="8" t="n"/>
      <c r="C928" s="8" t="n"/>
      <c r="D928" s="11" t="n"/>
      <c r="E928" s="12">
        <f>IF(A928="","",D928*IFERROR(INDEX(Factors!$C$5:$C$34,MATCH(C928,Factors!$A$5:$A$34,0)),0))</f>
        <v/>
      </c>
      <c r="F928" s="13">
        <f>IF(A928="","",IFERROR(INDEX(Factors!$D$5:$D$34,MATCH(C928,Factors!$A$5:$A$34,0)),"UNMATCHED"))</f>
        <v/>
      </c>
    </row>
    <row r="929">
      <c r="A929" s="8" t="n"/>
      <c r="B929" s="8" t="n"/>
      <c r="C929" s="8" t="n"/>
      <c r="D929" s="11" t="n"/>
      <c r="E929" s="12">
        <f>IF(A929="","",D929*IFERROR(INDEX(Factors!$C$5:$C$34,MATCH(C929,Factors!$A$5:$A$34,0)),0))</f>
        <v/>
      </c>
      <c r="F929" s="13">
        <f>IF(A929="","",IFERROR(INDEX(Factors!$D$5:$D$34,MATCH(C929,Factors!$A$5:$A$34,0)),"UNMATCHED"))</f>
        <v/>
      </c>
    </row>
    <row r="930">
      <c r="A930" s="8" t="n"/>
      <c r="B930" s="8" t="n"/>
      <c r="C930" s="8" t="n"/>
      <c r="D930" s="11" t="n"/>
      <c r="E930" s="12">
        <f>IF(A930="","",D930*IFERROR(INDEX(Factors!$C$5:$C$34,MATCH(C930,Factors!$A$5:$A$34,0)),0))</f>
        <v/>
      </c>
      <c r="F930" s="13">
        <f>IF(A930="","",IFERROR(INDEX(Factors!$D$5:$D$34,MATCH(C930,Factors!$A$5:$A$34,0)),"UNMATCHED"))</f>
        <v/>
      </c>
    </row>
    <row r="931">
      <c r="A931" s="8" t="n"/>
      <c r="B931" s="8" t="n"/>
      <c r="C931" s="8" t="n"/>
      <c r="D931" s="11" t="n"/>
      <c r="E931" s="12">
        <f>IF(A931="","",D931*IFERROR(INDEX(Factors!$C$5:$C$34,MATCH(C931,Factors!$A$5:$A$34,0)),0))</f>
        <v/>
      </c>
      <c r="F931" s="13">
        <f>IF(A931="","",IFERROR(INDEX(Factors!$D$5:$D$34,MATCH(C931,Factors!$A$5:$A$34,0)),"UNMATCHED"))</f>
        <v/>
      </c>
    </row>
    <row r="932">
      <c r="A932" s="8" t="n"/>
      <c r="B932" s="8" t="n"/>
      <c r="C932" s="8" t="n"/>
      <c r="D932" s="11" t="n"/>
      <c r="E932" s="12">
        <f>IF(A932="","",D932*IFERROR(INDEX(Factors!$C$5:$C$34,MATCH(C932,Factors!$A$5:$A$34,0)),0))</f>
        <v/>
      </c>
      <c r="F932" s="13">
        <f>IF(A932="","",IFERROR(INDEX(Factors!$D$5:$D$34,MATCH(C932,Factors!$A$5:$A$34,0)),"UNMATCHED"))</f>
        <v/>
      </c>
    </row>
    <row r="933">
      <c r="A933" s="8" t="n"/>
      <c r="B933" s="8" t="n"/>
      <c r="C933" s="8" t="n"/>
      <c r="D933" s="11" t="n"/>
      <c r="E933" s="12">
        <f>IF(A933="","",D933*IFERROR(INDEX(Factors!$C$5:$C$34,MATCH(C933,Factors!$A$5:$A$34,0)),0))</f>
        <v/>
      </c>
      <c r="F933" s="13">
        <f>IF(A933="","",IFERROR(INDEX(Factors!$D$5:$D$34,MATCH(C933,Factors!$A$5:$A$34,0)),"UNMATCHED"))</f>
        <v/>
      </c>
    </row>
    <row r="934">
      <c r="A934" s="8" t="n"/>
      <c r="B934" s="8" t="n"/>
      <c r="C934" s="8" t="n"/>
      <c r="D934" s="11" t="n"/>
      <c r="E934" s="12">
        <f>IF(A934="","",D934*IFERROR(INDEX(Factors!$C$5:$C$34,MATCH(C934,Factors!$A$5:$A$34,0)),0))</f>
        <v/>
      </c>
      <c r="F934" s="13">
        <f>IF(A934="","",IFERROR(INDEX(Factors!$D$5:$D$34,MATCH(C934,Factors!$A$5:$A$34,0)),"UNMATCHED"))</f>
        <v/>
      </c>
    </row>
    <row r="935">
      <c r="A935" s="8" t="n"/>
      <c r="B935" s="8" t="n"/>
      <c r="C935" s="8" t="n"/>
      <c r="D935" s="11" t="n"/>
      <c r="E935" s="12">
        <f>IF(A935="","",D935*IFERROR(INDEX(Factors!$C$5:$C$34,MATCH(C935,Factors!$A$5:$A$34,0)),0))</f>
        <v/>
      </c>
      <c r="F935" s="13">
        <f>IF(A935="","",IFERROR(INDEX(Factors!$D$5:$D$34,MATCH(C935,Factors!$A$5:$A$34,0)),"UNMATCHED"))</f>
        <v/>
      </c>
    </row>
    <row r="936">
      <c r="A936" s="8" t="n"/>
      <c r="B936" s="8" t="n"/>
      <c r="C936" s="8" t="n"/>
      <c r="D936" s="11" t="n"/>
      <c r="E936" s="12">
        <f>IF(A936="","",D936*IFERROR(INDEX(Factors!$C$5:$C$34,MATCH(C936,Factors!$A$5:$A$34,0)),0))</f>
        <v/>
      </c>
      <c r="F936" s="13">
        <f>IF(A936="","",IFERROR(INDEX(Factors!$D$5:$D$34,MATCH(C936,Factors!$A$5:$A$34,0)),"UNMATCHED"))</f>
        <v/>
      </c>
    </row>
    <row r="937">
      <c r="A937" s="8" t="n"/>
      <c r="B937" s="8" t="n"/>
      <c r="C937" s="8" t="n"/>
      <c r="D937" s="11" t="n"/>
      <c r="E937" s="12">
        <f>IF(A937="","",D937*IFERROR(INDEX(Factors!$C$5:$C$34,MATCH(C937,Factors!$A$5:$A$34,0)),0))</f>
        <v/>
      </c>
      <c r="F937" s="13">
        <f>IF(A937="","",IFERROR(INDEX(Factors!$D$5:$D$34,MATCH(C937,Factors!$A$5:$A$34,0)),"UNMATCHED"))</f>
        <v/>
      </c>
    </row>
    <row r="938">
      <c r="A938" s="8" t="n"/>
      <c r="B938" s="8" t="n"/>
      <c r="C938" s="8" t="n"/>
      <c r="D938" s="11" t="n"/>
      <c r="E938" s="12">
        <f>IF(A938="","",D938*IFERROR(INDEX(Factors!$C$5:$C$34,MATCH(C938,Factors!$A$5:$A$34,0)),0))</f>
        <v/>
      </c>
      <c r="F938" s="13">
        <f>IF(A938="","",IFERROR(INDEX(Factors!$D$5:$D$34,MATCH(C938,Factors!$A$5:$A$34,0)),"UNMATCHED"))</f>
        <v/>
      </c>
    </row>
    <row r="939">
      <c r="A939" s="8" t="n"/>
      <c r="B939" s="8" t="n"/>
      <c r="C939" s="8" t="n"/>
      <c r="D939" s="11" t="n"/>
      <c r="E939" s="12">
        <f>IF(A939="","",D939*IFERROR(INDEX(Factors!$C$5:$C$34,MATCH(C939,Factors!$A$5:$A$34,0)),0))</f>
        <v/>
      </c>
      <c r="F939" s="13">
        <f>IF(A939="","",IFERROR(INDEX(Factors!$D$5:$D$34,MATCH(C939,Factors!$A$5:$A$34,0)),"UNMATCHED"))</f>
        <v/>
      </c>
    </row>
    <row r="940">
      <c r="A940" s="8" t="n"/>
      <c r="B940" s="8" t="n"/>
      <c r="C940" s="8" t="n"/>
      <c r="D940" s="11" t="n"/>
      <c r="E940" s="12">
        <f>IF(A940="","",D940*IFERROR(INDEX(Factors!$C$5:$C$34,MATCH(C940,Factors!$A$5:$A$34,0)),0))</f>
        <v/>
      </c>
      <c r="F940" s="13">
        <f>IF(A940="","",IFERROR(INDEX(Factors!$D$5:$D$34,MATCH(C940,Factors!$A$5:$A$34,0)),"UNMATCHED"))</f>
        <v/>
      </c>
    </row>
    <row r="941">
      <c r="A941" s="8" t="n"/>
      <c r="B941" s="8" t="n"/>
      <c r="C941" s="8" t="n"/>
      <c r="D941" s="11" t="n"/>
      <c r="E941" s="12">
        <f>IF(A941="","",D941*IFERROR(INDEX(Factors!$C$5:$C$34,MATCH(C941,Factors!$A$5:$A$34,0)),0))</f>
        <v/>
      </c>
      <c r="F941" s="13">
        <f>IF(A941="","",IFERROR(INDEX(Factors!$D$5:$D$34,MATCH(C941,Factors!$A$5:$A$34,0)),"UNMATCHED"))</f>
        <v/>
      </c>
    </row>
    <row r="942">
      <c r="A942" s="8" t="n"/>
      <c r="B942" s="8" t="n"/>
      <c r="C942" s="8" t="n"/>
      <c r="D942" s="11" t="n"/>
      <c r="E942" s="12">
        <f>IF(A942="","",D942*IFERROR(INDEX(Factors!$C$5:$C$34,MATCH(C942,Factors!$A$5:$A$34,0)),0))</f>
        <v/>
      </c>
      <c r="F942" s="13">
        <f>IF(A942="","",IFERROR(INDEX(Factors!$D$5:$D$34,MATCH(C942,Factors!$A$5:$A$34,0)),"UNMATCHED"))</f>
        <v/>
      </c>
    </row>
    <row r="943">
      <c r="A943" s="8" t="n"/>
      <c r="B943" s="8" t="n"/>
      <c r="C943" s="8" t="n"/>
      <c r="D943" s="11" t="n"/>
      <c r="E943" s="12">
        <f>IF(A943="","",D943*IFERROR(INDEX(Factors!$C$5:$C$34,MATCH(C943,Factors!$A$5:$A$34,0)),0))</f>
        <v/>
      </c>
      <c r="F943" s="13">
        <f>IF(A943="","",IFERROR(INDEX(Factors!$D$5:$D$34,MATCH(C943,Factors!$A$5:$A$34,0)),"UNMATCHED"))</f>
        <v/>
      </c>
    </row>
    <row r="944">
      <c r="A944" s="8" t="n"/>
      <c r="B944" s="8" t="n"/>
      <c r="C944" s="8" t="n"/>
      <c r="D944" s="11" t="n"/>
      <c r="E944" s="12">
        <f>IF(A944="","",D944*IFERROR(INDEX(Factors!$C$5:$C$34,MATCH(C944,Factors!$A$5:$A$34,0)),0))</f>
        <v/>
      </c>
      <c r="F944" s="13">
        <f>IF(A944="","",IFERROR(INDEX(Factors!$D$5:$D$34,MATCH(C944,Factors!$A$5:$A$34,0)),"UNMATCHED"))</f>
        <v/>
      </c>
    </row>
    <row r="945">
      <c r="A945" s="8" t="n"/>
      <c r="B945" s="8" t="n"/>
      <c r="C945" s="8" t="n"/>
      <c r="D945" s="11" t="n"/>
      <c r="E945" s="12">
        <f>IF(A945="","",D945*IFERROR(INDEX(Factors!$C$5:$C$34,MATCH(C945,Factors!$A$5:$A$34,0)),0))</f>
        <v/>
      </c>
      <c r="F945" s="13">
        <f>IF(A945="","",IFERROR(INDEX(Factors!$D$5:$D$34,MATCH(C945,Factors!$A$5:$A$34,0)),"UNMATCHED"))</f>
        <v/>
      </c>
    </row>
    <row r="946">
      <c r="A946" s="8" t="n"/>
      <c r="B946" s="8" t="n"/>
      <c r="C946" s="8" t="n"/>
      <c r="D946" s="11" t="n"/>
      <c r="E946" s="12">
        <f>IF(A946="","",D946*IFERROR(INDEX(Factors!$C$5:$C$34,MATCH(C946,Factors!$A$5:$A$34,0)),0))</f>
        <v/>
      </c>
      <c r="F946" s="13">
        <f>IF(A946="","",IFERROR(INDEX(Factors!$D$5:$D$34,MATCH(C946,Factors!$A$5:$A$34,0)),"UNMATCHED"))</f>
        <v/>
      </c>
    </row>
    <row r="947">
      <c r="A947" s="8" t="n"/>
      <c r="B947" s="8" t="n"/>
      <c r="C947" s="8" t="n"/>
      <c r="D947" s="11" t="n"/>
      <c r="E947" s="12">
        <f>IF(A947="","",D947*IFERROR(INDEX(Factors!$C$5:$C$34,MATCH(C947,Factors!$A$5:$A$34,0)),0))</f>
        <v/>
      </c>
      <c r="F947" s="13">
        <f>IF(A947="","",IFERROR(INDEX(Factors!$D$5:$D$34,MATCH(C947,Factors!$A$5:$A$34,0)),"UNMATCHED"))</f>
        <v/>
      </c>
    </row>
    <row r="948">
      <c r="A948" s="8" t="n"/>
      <c r="B948" s="8" t="n"/>
      <c r="C948" s="8" t="n"/>
      <c r="D948" s="11" t="n"/>
      <c r="E948" s="12">
        <f>IF(A948="","",D948*IFERROR(INDEX(Factors!$C$5:$C$34,MATCH(C948,Factors!$A$5:$A$34,0)),0))</f>
        <v/>
      </c>
      <c r="F948" s="13">
        <f>IF(A948="","",IFERROR(INDEX(Factors!$D$5:$D$34,MATCH(C948,Factors!$A$5:$A$34,0)),"UNMATCHED"))</f>
        <v/>
      </c>
    </row>
    <row r="949">
      <c r="A949" s="8" t="n"/>
      <c r="B949" s="8" t="n"/>
      <c r="C949" s="8" t="n"/>
      <c r="D949" s="11" t="n"/>
      <c r="E949" s="12">
        <f>IF(A949="","",D949*IFERROR(INDEX(Factors!$C$5:$C$34,MATCH(C949,Factors!$A$5:$A$34,0)),0))</f>
        <v/>
      </c>
      <c r="F949" s="13">
        <f>IF(A949="","",IFERROR(INDEX(Factors!$D$5:$D$34,MATCH(C949,Factors!$A$5:$A$34,0)),"UNMATCHED"))</f>
        <v/>
      </c>
    </row>
    <row r="950">
      <c r="A950" s="8" t="n"/>
      <c r="B950" s="8" t="n"/>
      <c r="C950" s="8" t="n"/>
      <c r="D950" s="11" t="n"/>
      <c r="E950" s="12">
        <f>IF(A950="","",D950*IFERROR(INDEX(Factors!$C$5:$C$34,MATCH(C950,Factors!$A$5:$A$34,0)),0))</f>
        <v/>
      </c>
      <c r="F950" s="13">
        <f>IF(A950="","",IFERROR(INDEX(Factors!$D$5:$D$34,MATCH(C950,Factors!$A$5:$A$34,0)),"UNMATCHED"))</f>
        <v/>
      </c>
    </row>
    <row r="951">
      <c r="A951" s="8" t="n"/>
      <c r="B951" s="8" t="n"/>
      <c r="C951" s="8" t="n"/>
      <c r="D951" s="11" t="n"/>
      <c r="E951" s="12">
        <f>IF(A951="","",D951*IFERROR(INDEX(Factors!$C$5:$C$34,MATCH(C951,Factors!$A$5:$A$34,0)),0))</f>
        <v/>
      </c>
      <c r="F951" s="13">
        <f>IF(A951="","",IFERROR(INDEX(Factors!$D$5:$D$34,MATCH(C951,Factors!$A$5:$A$34,0)),"UNMATCHED"))</f>
        <v/>
      </c>
    </row>
    <row r="952">
      <c r="A952" s="8" t="n"/>
      <c r="B952" s="8" t="n"/>
      <c r="C952" s="8" t="n"/>
      <c r="D952" s="11" t="n"/>
      <c r="E952" s="12">
        <f>IF(A952="","",D952*IFERROR(INDEX(Factors!$C$5:$C$34,MATCH(C952,Factors!$A$5:$A$34,0)),0))</f>
        <v/>
      </c>
      <c r="F952" s="13">
        <f>IF(A952="","",IFERROR(INDEX(Factors!$D$5:$D$34,MATCH(C952,Factors!$A$5:$A$34,0)),"UNMATCHED"))</f>
        <v/>
      </c>
    </row>
    <row r="953">
      <c r="A953" s="8" t="n"/>
      <c r="B953" s="8" t="n"/>
      <c r="C953" s="8" t="n"/>
      <c r="D953" s="11" t="n"/>
      <c r="E953" s="12">
        <f>IF(A953="","",D953*IFERROR(INDEX(Factors!$C$5:$C$34,MATCH(C953,Factors!$A$5:$A$34,0)),0))</f>
        <v/>
      </c>
      <c r="F953" s="13">
        <f>IF(A953="","",IFERROR(INDEX(Factors!$D$5:$D$34,MATCH(C953,Factors!$A$5:$A$34,0)),"UNMATCHED"))</f>
        <v/>
      </c>
    </row>
    <row r="954">
      <c r="A954" s="8" t="n"/>
      <c r="B954" s="8" t="n"/>
      <c r="C954" s="8" t="n"/>
      <c r="D954" s="11" t="n"/>
      <c r="E954" s="12">
        <f>IF(A954="","",D954*IFERROR(INDEX(Factors!$C$5:$C$34,MATCH(C954,Factors!$A$5:$A$34,0)),0))</f>
        <v/>
      </c>
      <c r="F954" s="13">
        <f>IF(A954="","",IFERROR(INDEX(Factors!$D$5:$D$34,MATCH(C954,Factors!$A$5:$A$34,0)),"UNMATCHED"))</f>
        <v/>
      </c>
    </row>
    <row r="955">
      <c r="A955" s="8" t="n"/>
      <c r="B955" s="8" t="n"/>
      <c r="C955" s="8" t="n"/>
      <c r="D955" s="11" t="n"/>
      <c r="E955" s="12">
        <f>IF(A955="","",D955*IFERROR(INDEX(Factors!$C$5:$C$34,MATCH(C955,Factors!$A$5:$A$34,0)),0))</f>
        <v/>
      </c>
      <c r="F955" s="13">
        <f>IF(A955="","",IFERROR(INDEX(Factors!$D$5:$D$34,MATCH(C955,Factors!$A$5:$A$34,0)),"UNMATCHED"))</f>
        <v/>
      </c>
    </row>
    <row r="956">
      <c r="A956" s="8" t="n"/>
      <c r="B956" s="8" t="n"/>
      <c r="C956" s="8" t="n"/>
      <c r="D956" s="11" t="n"/>
      <c r="E956" s="12">
        <f>IF(A956="","",D956*IFERROR(INDEX(Factors!$C$5:$C$34,MATCH(C956,Factors!$A$5:$A$34,0)),0))</f>
        <v/>
      </c>
      <c r="F956" s="13">
        <f>IF(A956="","",IFERROR(INDEX(Factors!$D$5:$D$34,MATCH(C956,Factors!$A$5:$A$34,0)),"UNMATCHED"))</f>
        <v/>
      </c>
    </row>
    <row r="957">
      <c r="A957" s="8" t="n"/>
      <c r="B957" s="8" t="n"/>
      <c r="C957" s="8" t="n"/>
      <c r="D957" s="11" t="n"/>
      <c r="E957" s="12">
        <f>IF(A957="","",D957*IFERROR(INDEX(Factors!$C$5:$C$34,MATCH(C957,Factors!$A$5:$A$34,0)),0))</f>
        <v/>
      </c>
      <c r="F957" s="13">
        <f>IF(A957="","",IFERROR(INDEX(Factors!$D$5:$D$34,MATCH(C957,Factors!$A$5:$A$34,0)),"UNMATCHED"))</f>
        <v/>
      </c>
    </row>
    <row r="958">
      <c r="A958" s="8" t="n"/>
      <c r="B958" s="8" t="n"/>
      <c r="C958" s="8" t="n"/>
      <c r="D958" s="11" t="n"/>
      <c r="E958" s="12">
        <f>IF(A958="","",D958*IFERROR(INDEX(Factors!$C$5:$C$34,MATCH(C958,Factors!$A$5:$A$34,0)),0))</f>
        <v/>
      </c>
      <c r="F958" s="13">
        <f>IF(A958="","",IFERROR(INDEX(Factors!$D$5:$D$34,MATCH(C958,Factors!$A$5:$A$34,0)),"UNMATCHED"))</f>
        <v/>
      </c>
    </row>
    <row r="959">
      <c r="A959" s="8" t="n"/>
      <c r="B959" s="8" t="n"/>
      <c r="C959" s="8" t="n"/>
      <c r="D959" s="11" t="n"/>
      <c r="E959" s="12">
        <f>IF(A959="","",D959*IFERROR(INDEX(Factors!$C$5:$C$34,MATCH(C959,Factors!$A$5:$A$34,0)),0))</f>
        <v/>
      </c>
      <c r="F959" s="13">
        <f>IF(A959="","",IFERROR(INDEX(Factors!$D$5:$D$34,MATCH(C959,Factors!$A$5:$A$34,0)),"UNMATCHED"))</f>
        <v/>
      </c>
    </row>
    <row r="960">
      <c r="A960" s="8" t="n"/>
      <c r="B960" s="8" t="n"/>
      <c r="C960" s="8" t="n"/>
      <c r="D960" s="11" t="n"/>
      <c r="E960" s="12">
        <f>IF(A960="","",D960*IFERROR(INDEX(Factors!$C$5:$C$34,MATCH(C960,Factors!$A$5:$A$34,0)),0))</f>
        <v/>
      </c>
      <c r="F960" s="13">
        <f>IF(A960="","",IFERROR(INDEX(Factors!$D$5:$D$34,MATCH(C960,Factors!$A$5:$A$34,0)),"UNMATCHED"))</f>
        <v/>
      </c>
    </row>
    <row r="961">
      <c r="A961" s="8" t="n"/>
      <c r="B961" s="8" t="n"/>
      <c r="C961" s="8" t="n"/>
      <c r="D961" s="11" t="n"/>
      <c r="E961" s="12">
        <f>IF(A961="","",D961*IFERROR(INDEX(Factors!$C$5:$C$34,MATCH(C961,Factors!$A$5:$A$34,0)),0))</f>
        <v/>
      </c>
      <c r="F961" s="13">
        <f>IF(A961="","",IFERROR(INDEX(Factors!$D$5:$D$34,MATCH(C961,Factors!$A$5:$A$34,0)),"UNMATCHED"))</f>
        <v/>
      </c>
    </row>
    <row r="962">
      <c r="A962" s="8" t="n"/>
      <c r="B962" s="8" t="n"/>
      <c r="C962" s="8" t="n"/>
      <c r="D962" s="11" t="n"/>
      <c r="E962" s="12">
        <f>IF(A962="","",D962*IFERROR(INDEX(Factors!$C$5:$C$34,MATCH(C962,Factors!$A$5:$A$34,0)),0))</f>
        <v/>
      </c>
      <c r="F962" s="13">
        <f>IF(A962="","",IFERROR(INDEX(Factors!$D$5:$D$34,MATCH(C962,Factors!$A$5:$A$34,0)),"UNMATCHED"))</f>
        <v/>
      </c>
    </row>
    <row r="963">
      <c r="A963" s="8" t="n"/>
      <c r="B963" s="8" t="n"/>
      <c r="C963" s="8" t="n"/>
      <c r="D963" s="11" t="n"/>
      <c r="E963" s="12">
        <f>IF(A963="","",D963*IFERROR(INDEX(Factors!$C$5:$C$34,MATCH(C963,Factors!$A$5:$A$34,0)),0))</f>
        <v/>
      </c>
      <c r="F963" s="13">
        <f>IF(A963="","",IFERROR(INDEX(Factors!$D$5:$D$34,MATCH(C963,Factors!$A$5:$A$34,0)),"UNMATCHED"))</f>
        <v/>
      </c>
    </row>
    <row r="964">
      <c r="A964" s="8" t="n"/>
      <c r="B964" s="8" t="n"/>
      <c r="C964" s="8" t="n"/>
      <c r="D964" s="11" t="n"/>
      <c r="E964" s="12">
        <f>IF(A964="","",D964*IFERROR(INDEX(Factors!$C$5:$C$34,MATCH(C964,Factors!$A$5:$A$34,0)),0))</f>
        <v/>
      </c>
      <c r="F964" s="13">
        <f>IF(A964="","",IFERROR(INDEX(Factors!$D$5:$D$34,MATCH(C964,Factors!$A$5:$A$34,0)),"UNMATCHED"))</f>
        <v/>
      </c>
    </row>
    <row r="965">
      <c r="A965" s="8" t="n"/>
      <c r="B965" s="8" t="n"/>
      <c r="C965" s="8" t="n"/>
      <c r="D965" s="11" t="n"/>
      <c r="E965" s="12">
        <f>IF(A965="","",D965*IFERROR(INDEX(Factors!$C$5:$C$34,MATCH(C965,Factors!$A$5:$A$34,0)),0))</f>
        <v/>
      </c>
      <c r="F965" s="13">
        <f>IF(A965="","",IFERROR(INDEX(Factors!$D$5:$D$34,MATCH(C965,Factors!$A$5:$A$34,0)),"UNMATCHED"))</f>
        <v/>
      </c>
    </row>
    <row r="966">
      <c r="A966" s="8" t="n"/>
      <c r="B966" s="8" t="n"/>
      <c r="C966" s="8" t="n"/>
      <c r="D966" s="11" t="n"/>
      <c r="E966" s="12">
        <f>IF(A966="","",D966*IFERROR(INDEX(Factors!$C$5:$C$34,MATCH(C966,Factors!$A$5:$A$34,0)),0))</f>
        <v/>
      </c>
      <c r="F966" s="13">
        <f>IF(A966="","",IFERROR(INDEX(Factors!$D$5:$D$34,MATCH(C966,Factors!$A$5:$A$34,0)),"UNMATCHED"))</f>
        <v/>
      </c>
    </row>
    <row r="967">
      <c r="A967" s="8" t="n"/>
      <c r="B967" s="8" t="n"/>
      <c r="C967" s="8" t="n"/>
      <c r="D967" s="11" t="n"/>
      <c r="E967" s="12">
        <f>IF(A967="","",D967*IFERROR(INDEX(Factors!$C$5:$C$34,MATCH(C967,Factors!$A$5:$A$34,0)),0))</f>
        <v/>
      </c>
      <c r="F967" s="13">
        <f>IF(A967="","",IFERROR(INDEX(Factors!$D$5:$D$34,MATCH(C967,Factors!$A$5:$A$34,0)),"UNMATCHED"))</f>
        <v/>
      </c>
    </row>
    <row r="968">
      <c r="A968" s="8" t="n"/>
      <c r="B968" s="8" t="n"/>
      <c r="C968" s="8" t="n"/>
      <c r="D968" s="11" t="n"/>
      <c r="E968" s="12">
        <f>IF(A968="","",D968*IFERROR(INDEX(Factors!$C$5:$C$34,MATCH(C968,Factors!$A$5:$A$34,0)),0))</f>
        <v/>
      </c>
      <c r="F968" s="13">
        <f>IF(A968="","",IFERROR(INDEX(Factors!$D$5:$D$34,MATCH(C968,Factors!$A$5:$A$34,0)),"UNMATCHED"))</f>
        <v/>
      </c>
    </row>
    <row r="969">
      <c r="A969" s="8" t="n"/>
      <c r="B969" s="8" t="n"/>
      <c r="C969" s="8" t="n"/>
      <c r="D969" s="11" t="n"/>
      <c r="E969" s="12">
        <f>IF(A969="","",D969*IFERROR(INDEX(Factors!$C$5:$C$34,MATCH(C969,Factors!$A$5:$A$34,0)),0))</f>
        <v/>
      </c>
      <c r="F969" s="13">
        <f>IF(A969="","",IFERROR(INDEX(Factors!$D$5:$D$34,MATCH(C969,Factors!$A$5:$A$34,0)),"UNMATCHED"))</f>
        <v/>
      </c>
    </row>
    <row r="970">
      <c r="A970" s="8" t="n"/>
      <c r="B970" s="8" t="n"/>
      <c r="C970" s="8" t="n"/>
      <c r="D970" s="11" t="n"/>
      <c r="E970" s="12">
        <f>IF(A970="","",D970*IFERROR(INDEX(Factors!$C$5:$C$34,MATCH(C970,Factors!$A$5:$A$34,0)),0))</f>
        <v/>
      </c>
      <c r="F970" s="13">
        <f>IF(A970="","",IFERROR(INDEX(Factors!$D$5:$D$34,MATCH(C970,Factors!$A$5:$A$34,0)),"UNMATCHED"))</f>
        <v/>
      </c>
    </row>
    <row r="971">
      <c r="A971" s="8" t="n"/>
      <c r="B971" s="8" t="n"/>
      <c r="C971" s="8" t="n"/>
      <c r="D971" s="11" t="n"/>
      <c r="E971" s="12">
        <f>IF(A971="","",D971*IFERROR(INDEX(Factors!$C$5:$C$34,MATCH(C971,Factors!$A$5:$A$34,0)),0))</f>
        <v/>
      </c>
      <c r="F971" s="13">
        <f>IF(A971="","",IFERROR(INDEX(Factors!$D$5:$D$34,MATCH(C971,Factors!$A$5:$A$34,0)),"UNMATCHED"))</f>
        <v/>
      </c>
    </row>
    <row r="972">
      <c r="A972" s="8" t="n"/>
      <c r="B972" s="8" t="n"/>
      <c r="C972" s="8" t="n"/>
      <c r="D972" s="11" t="n"/>
      <c r="E972" s="12">
        <f>IF(A972="","",D972*IFERROR(INDEX(Factors!$C$5:$C$34,MATCH(C972,Factors!$A$5:$A$34,0)),0))</f>
        <v/>
      </c>
      <c r="F972" s="13">
        <f>IF(A972="","",IFERROR(INDEX(Factors!$D$5:$D$34,MATCH(C972,Factors!$A$5:$A$34,0)),"UNMATCHED"))</f>
        <v/>
      </c>
    </row>
    <row r="973">
      <c r="A973" s="8" t="n"/>
      <c r="B973" s="8" t="n"/>
      <c r="C973" s="8" t="n"/>
      <c r="D973" s="11" t="n"/>
      <c r="E973" s="12">
        <f>IF(A973="","",D973*IFERROR(INDEX(Factors!$C$5:$C$34,MATCH(C973,Factors!$A$5:$A$34,0)),0))</f>
        <v/>
      </c>
      <c r="F973" s="13">
        <f>IF(A973="","",IFERROR(INDEX(Factors!$D$5:$D$34,MATCH(C973,Factors!$A$5:$A$34,0)),"UNMATCHED"))</f>
        <v/>
      </c>
    </row>
    <row r="974">
      <c r="A974" s="8" t="n"/>
      <c r="B974" s="8" t="n"/>
      <c r="C974" s="8" t="n"/>
      <c r="D974" s="11" t="n"/>
      <c r="E974" s="12">
        <f>IF(A974="","",D974*IFERROR(INDEX(Factors!$C$5:$C$34,MATCH(C974,Factors!$A$5:$A$34,0)),0))</f>
        <v/>
      </c>
      <c r="F974" s="13">
        <f>IF(A974="","",IFERROR(INDEX(Factors!$D$5:$D$34,MATCH(C974,Factors!$A$5:$A$34,0)),"UNMATCHED"))</f>
        <v/>
      </c>
    </row>
    <row r="975">
      <c r="A975" s="8" t="n"/>
      <c r="B975" s="8" t="n"/>
      <c r="C975" s="8" t="n"/>
      <c r="D975" s="11" t="n"/>
      <c r="E975" s="12">
        <f>IF(A975="","",D975*IFERROR(INDEX(Factors!$C$5:$C$34,MATCH(C975,Factors!$A$5:$A$34,0)),0))</f>
        <v/>
      </c>
      <c r="F975" s="13">
        <f>IF(A975="","",IFERROR(INDEX(Factors!$D$5:$D$34,MATCH(C975,Factors!$A$5:$A$34,0)),"UNMATCHED"))</f>
        <v/>
      </c>
    </row>
    <row r="976">
      <c r="A976" s="8" t="n"/>
      <c r="B976" s="8" t="n"/>
      <c r="C976" s="8" t="n"/>
      <c r="D976" s="11" t="n"/>
      <c r="E976" s="12">
        <f>IF(A976="","",D976*IFERROR(INDEX(Factors!$C$5:$C$34,MATCH(C976,Factors!$A$5:$A$34,0)),0))</f>
        <v/>
      </c>
      <c r="F976" s="13">
        <f>IF(A976="","",IFERROR(INDEX(Factors!$D$5:$D$34,MATCH(C976,Factors!$A$5:$A$34,0)),"UNMATCHED"))</f>
        <v/>
      </c>
    </row>
    <row r="977">
      <c r="A977" s="8" t="n"/>
      <c r="B977" s="8" t="n"/>
      <c r="C977" s="8" t="n"/>
      <c r="D977" s="11" t="n"/>
      <c r="E977" s="12">
        <f>IF(A977="","",D977*IFERROR(INDEX(Factors!$C$5:$C$34,MATCH(C977,Factors!$A$5:$A$34,0)),0))</f>
        <v/>
      </c>
      <c r="F977" s="13">
        <f>IF(A977="","",IFERROR(INDEX(Factors!$D$5:$D$34,MATCH(C977,Factors!$A$5:$A$34,0)),"UNMATCHED"))</f>
        <v/>
      </c>
    </row>
    <row r="978">
      <c r="A978" s="8" t="n"/>
      <c r="B978" s="8" t="n"/>
      <c r="C978" s="8" t="n"/>
      <c r="D978" s="11" t="n"/>
      <c r="E978" s="12">
        <f>IF(A978="","",D978*IFERROR(INDEX(Factors!$C$5:$C$34,MATCH(C978,Factors!$A$5:$A$34,0)),0))</f>
        <v/>
      </c>
      <c r="F978" s="13">
        <f>IF(A978="","",IFERROR(INDEX(Factors!$D$5:$D$34,MATCH(C978,Factors!$A$5:$A$34,0)),"UNMATCHED"))</f>
        <v/>
      </c>
    </row>
    <row r="979">
      <c r="A979" s="8" t="n"/>
      <c r="B979" s="8" t="n"/>
      <c r="C979" s="8" t="n"/>
      <c r="D979" s="11" t="n"/>
      <c r="E979" s="12">
        <f>IF(A979="","",D979*IFERROR(INDEX(Factors!$C$5:$C$34,MATCH(C979,Factors!$A$5:$A$34,0)),0))</f>
        <v/>
      </c>
      <c r="F979" s="13">
        <f>IF(A979="","",IFERROR(INDEX(Factors!$D$5:$D$34,MATCH(C979,Factors!$A$5:$A$34,0)),"UNMATCHED"))</f>
        <v/>
      </c>
    </row>
    <row r="980">
      <c r="A980" s="8" t="n"/>
      <c r="B980" s="8" t="n"/>
      <c r="C980" s="8" t="n"/>
      <c r="D980" s="11" t="n"/>
      <c r="E980" s="12">
        <f>IF(A980="","",D980*IFERROR(INDEX(Factors!$C$5:$C$34,MATCH(C980,Factors!$A$5:$A$34,0)),0))</f>
        <v/>
      </c>
      <c r="F980" s="13">
        <f>IF(A980="","",IFERROR(INDEX(Factors!$D$5:$D$34,MATCH(C980,Factors!$A$5:$A$34,0)),"UNMATCHED"))</f>
        <v/>
      </c>
    </row>
    <row r="981">
      <c r="A981" s="8" t="n"/>
      <c r="B981" s="8" t="n"/>
      <c r="C981" s="8" t="n"/>
      <c r="D981" s="11" t="n"/>
      <c r="E981" s="12">
        <f>IF(A981="","",D981*IFERROR(INDEX(Factors!$C$5:$C$34,MATCH(C981,Factors!$A$5:$A$34,0)),0))</f>
        <v/>
      </c>
      <c r="F981" s="13">
        <f>IF(A981="","",IFERROR(INDEX(Factors!$D$5:$D$34,MATCH(C981,Factors!$A$5:$A$34,0)),"UNMATCHED"))</f>
        <v/>
      </c>
    </row>
    <row r="982">
      <c r="A982" s="8" t="n"/>
      <c r="B982" s="8" t="n"/>
      <c r="C982" s="8" t="n"/>
      <c r="D982" s="11" t="n"/>
      <c r="E982" s="12">
        <f>IF(A982="","",D982*IFERROR(INDEX(Factors!$C$5:$C$34,MATCH(C982,Factors!$A$5:$A$34,0)),0))</f>
        <v/>
      </c>
      <c r="F982" s="13">
        <f>IF(A982="","",IFERROR(INDEX(Factors!$D$5:$D$34,MATCH(C982,Factors!$A$5:$A$34,0)),"UNMATCHED"))</f>
        <v/>
      </c>
    </row>
    <row r="983">
      <c r="A983" s="8" t="n"/>
      <c r="B983" s="8" t="n"/>
      <c r="C983" s="8" t="n"/>
      <c r="D983" s="11" t="n"/>
      <c r="E983" s="12">
        <f>IF(A983="","",D983*IFERROR(INDEX(Factors!$C$5:$C$34,MATCH(C983,Factors!$A$5:$A$34,0)),0))</f>
        <v/>
      </c>
      <c r="F983" s="13">
        <f>IF(A983="","",IFERROR(INDEX(Factors!$D$5:$D$34,MATCH(C983,Factors!$A$5:$A$34,0)),"UNMATCHED"))</f>
        <v/>
      </c>
    </row>
    <row r="984">
      <c r="A984" s="8" t="n"/>
      <c r="B984" s="8" t="n"/>
      <c r="C984" s="8" t="n"/>
      <c r="D984" s="11" t="n"/>
      <c r="E984" s="12">
        <f>IF(A984="","",D984*IFERROR(INDEX(Factors!$C$5:$C$34,MATCH(C984,Factors!$A$5:$A$34,0)),0))</f>
        <v/>
      </c>
      <c r="F984" s="13">
        <f>IF(A984="","",IFERROR(INDEX(Factors!$D$5:$D$34,MATCH(C984,Factors!$A$5:$A$34,0)),"UNMATCHED"))</f>
        <v/>
      </c>
    </row>
    <row r="985">
      <c r="A985" s="8" t="n"/>
      <c r="B985" s="8" t="n"/>
      <c r="C985" s="8" t="n"/>
      <c r="D985" s="11" t="n"/>
      <c r="E985" s="12">
        <f>IF(A985="","",D985*IFERROR(INDEX(Factors!$C$5:$C$34,MATCH(C985,Factors!$A$5:$A$34,0)),0))</f>
        <v/>
      </c>
      <c r="F985" s="13">
        <f>IF(A985="","",IFERROR(INDEX(Factors!$D$5:$D$34,MATCH(C985,Factors!$A$5:$A$34,0)),"UNMATCHED"))</f>
        <v/>
      </c>
    </row>
    <row r="986">
      <c r="A986" s="8" t="n"/>
      <c r="B986" s="8" t="n"/>
      <c r="C986" s="8" t="n"/>
      <c r="D986" s="11" t="n"/>
      <c r="E986" s="12">
        <f>IF(A986="","",D986*IFERROR(INDEX(Factors!$C$5:$C$34,MATCH(C986,Factors!$A$5:$A$34,0)),0))</f>
        <v/>
      </c>
      <c r="F986" s="13">
        <f>IF(A986="","",IFERROR(INDEX(Factors!$D$5:$D$34,MATCH(C986,Factors!$A$5:$A$34,0)),"UNMATCHED"))</f>
        <v/>
      </c>
    </row>
    <row r="987">
      <c r="A987" s="8" t="n"/>
      <c r="B987" s="8" t="n"/>
      <c r="C987" s="8" t="n"/>
      <c r="D987" s="11" t="n"/>
      <c r="E987" s="12">
        <f>IF(A987="","",D987*IFERROR(INDEX(Factors!$C$5:$C$34,MATCH(C987,Factors!$A$5:$A$34,0)),0))</f>
        <v/>
      </c>
      <c r="F987" s="13">
        <f>IF(A987="","",IFERROR(INDEX(Factors!$D$5:$D$34,MATCH(C987,Factors!$A$5:$A$34,0)),"UNMATCHED"))</f>
        <v/>
      </c>
    </row>
    <row r="988">
      <c r="A988" s="8" t="n"/>
      <c r="B988" s="8" t="n"/>
      <c r="C988" s="8" t="n"/>
      <c r="D988" s="11" t="n"/>
      <c r="E988" s="12">
        <f>IF(A988="","",D988*IFERROR(INDEX(Factors!$C$5:$C$34,MATCH(C988,Factors!$A$5:$A$34,0)),0))</f>
        <v/>
      </c>
      <c r="F988" s="13">
        <f>IF(A988="","",IFERROR(INDEX(Factors!$D$5:$D$34,MATCH(C988,Factors!$A$5:$A$34,0)),"UNMATCHED"))</f>
        <v/>
      </c>
    </row>
    <row r="989">
      <c r="A989" s="8" t="n"/>
      <c r="B989" s="8" t="n"/>
      <c r="C989" s="8" t="n"/>
      <c r="D989" s="11" t="n"/>
      <c r="E989" s="12">
        <f>IF(A989="","",D989*IFERROR(INDEX(Factors!$C$5:$C$34,MATCH(C989,Factors!$A$5:$A$34,0)),0))</f>
        <v/>
      </c>
      <c r="F989" s="13">
        <f>IF(A989="","",IFERROR(INDEX(Factors!$D$5:$D$34,MATCH(C989,Factors!$A$5:$A$34,0)),"UNMATCHED"))</f>
        <v/>
      </c>
    </row>
    <row r="990">
      <c r="A990" s="8" t="n"/>
      <c r="B990" s="8" t="n"/>
      <c r="C990" s="8" t="n"/>
      <c r="D990" s="11" t="n"/>
      <c r="E990" s="12">
        <f>IF(A990="","",D990*IFERROR(INDEX(Factors!$C$5:$C$34,MATCH(C990,Factors!$A$5:$A$34,0)),0))</f>
        <v/>
      </c>
      <c r="F990" s="13">
        <f>IF(A990="","",IFERROR(INDEX(Factors!$D$5:$D$34,MATCH(C990,Factors!$A$5:$A$34,0)),"UNMATCHED"))</f>
        <v/>
      </c>
    </row>
    <row r="991">
      <c r="A991" s="8" t="n"/>
      <c r="B991" s="8" t="n"/>
      <c r="C991" s="8" t="n"/>
      <c r="D991" s="11" t="n"/>
      <c r="E991" s="12">
        <f>IF(A991="","",D991*IFERROR(INDEX(Factors!$C$5:$C$34,MATCH(C991,Factors!$A$5:$A$34,0)),0))</f>
        <v/>
      </c>
      <c r="F991" s="13">
        <f>IF(A991="","",IFERROR(INDEX(Factors!$D$5:$D$34,MATCH(C991,Factors!$A$5:$A$34,0)),"UNMATCHED"))</f>
        <v/>
      </c>
    </row>
    <row r="992">
      <c r="A992" s="8" t="n"/>
      <c r="B992" s="8" t="n"/>
      <c r="C992" s="8" t="n"/>
      <c r="D992" s="11" t="n"/>
      <c r="E992" s="12">
        <f>IF(A992="","",D992*IFERROR(INDEX(Factors!$C$5:$C$34,MATCH(C992,Factors!$A$5:$A$34,0)),0))</f>
        <v/>
      </c>
      <c r="F992" s="13">
        <f>IF(A992="","",IFERROR(INDEX(Factors!$D$5:$D$34,MATCH(C992,Factors!$A$5:$A$34,0)),"UNMATCHED"))</f>
        <v/>
      </c>
    </row>
    <row r="993">
      <c r="A993" s="8" t="n"/>
      <c r="B993" s="8" t="n"/>
      <c r="C993" s="8" t="n"/>
      <c r="D993" s="11" t="n"/>
      <c r="E993" s="12">
        <f>IF(A993="","",D993*IFERROR(INDEX(Factors!$C$5:$C$34,MATCH(C993,Factors!$A$5:$A$34,0)),0))</f>
        <v/>
      </c>
      <c r="F993" s="13">
        <f>IF(A993="","",IFERROR(INDEX(Factors!$D$5:$D$34,MATCH(C993,Factors!$A$5:$A$34,0)),"UNMATCHED"))</f>
        <v/>
      </c>
    </row>
    <row r="994">
      <c r="A994" s="8" t="n"/>
      <c r="B994" s="8" t="n"/>
      <c r="C994" s="8" t="n"/>
      <c r="D994" s="11" t="n"/>
      <c r="E994" s="12">
        <f>IF(A994="","",D994*IFERROR(INDEX(Factors!$C$5:$C$34,MATCH(C994,Factors!$A$5:$A$34,0)),0))</f>
        <v/>
      </c>
      <c r="F994" s="13">
        <f>IF(A994="","",IFERROR(INDEX(Factors!$D$5:$D$34,MATCH(C994,Factors!$A$5:$A$34,0)),"UNMATCHED"))</f>
        <v/>
      </c>
    </row>
    <row r="995">
      <c r="A995" s="8" t="n"/>
      <c r="B995" s="8" t="n"/>
      <c r="C995" s="8" t="n"/>
      <c r="D995" s="11" t="n"/>
      <c r="E995" s="12">
        <f>IF(A995="","",D995*IFERROR(INDEX(Factors!$C$5:$C$34,MATCH(C995,Factors!$A$5:$A$34,0)),0))</f>
        <v/>
      </c>
      <c r="F995" s="13">
        <f>IF(A995="","",IFERROR(INDEX(Factors!$D$5:$D$34,MATCH(C995,Factors!$A$5:$A$34,0)),"UNMATCHED"))</f>
        <v/>
      </c>
    </row>
    <row r="996">
      <c r="A996" s="8" t="n"/>
      <c r="B996" s="8" t="n"/>
      <c r="C996" s="8" t="n"/>
      <c r="D996" s="11" t="n"/>
      <c r="E996" s="12">
        <f>IF(A996="","",D996*IFERROR(INDEX(Factors!$C$5:$C$34,MATCH(C996,Factors!$A$5:$A$34,0)),0))</f>
        <v/>
      </c>
      <c r="F996" s="13">
        <f>IF(A996="","",IFERROR(INDEX(Factors!$D$5:$D$34,MATCH(C996,Factors!$A$5:$A$34,0)),"UNMATCHED"))</f>
        <v/>
      </c>
    </row>
    <row r="997">
      <c r="A997" s="8" t="n"/>
      <c r="B997" s="8" t="n"/>
      <c r="C997" s="8" t="n"/>
      <c r="D997" s="11" t="n"/>
      <c r="E997" s="12">
        <f>IF(A997="","",D997*IFERROR(INDEX(Factors!$C$5:$C$34,MATCH(C997,Factors!$A$5:$A$34,0)),0))</f>
        <v/>
      </c>
      <c r="F997" s="13">
        <f>IF(A997="","",IFERROR(INDEX(Factors!$D$5:$D$34,MATCH(C997,Factors!$A$5:$A$34,0)),"UNMATCHED"))</f>
        <v/>
      </c>
    </row>
    <row r="998">
      <c r="A998" s="8" t="n"/>
      <c r="B998" s="8" t="n"/>
      <c r="C998" s="8" t="n"/>
      <c r="D998" s="11" t="n"/>
      <c r="E998" s="12">
        <f>IF(A998="","",D998*IFERROR(INDEX(Factors!$C$5:$C$34,MATCH(C998,Factors!$A$5:$A$34,0)),0))</f>
        <v/>
      </c>
      <c r="F998" s="13">
        <f>IF(A998="","",IFERROR(INDEX(Factors!$D$5:$D$34,MATCH(C998,Factors!$A$5:$A$34,0)),"UNMATCHED"))</f>
        <v/>
      </c>
    </row>
    <row r="999">
      <c r="A999" s="8" t="n"/>
      <c r="B999" s="8" t="n"/>
      <c r="C999" s="8" t="n"/>
      <c r="D999" s="11" t="n"/>
      <c r="E999" s="12">
        <f>IF(A999="","",D999*IFERROR(INDEX(Factors!$C$5:$C$34,MATCH(C999,Factors!$A$5:$A$34,0)),0))</f>
        <v/>
      </c>
      <c r="F999" s="13">
        <f>IF(A999="","",IFERROR(INDEX(Factors!$D$5:$D$34,MATCH(C999,Factors!$A$5:$A$34,0)),"UNMATCHED"))</f>
        <v/>
      </c>
    </row>
    <row r="1000">
      <c r="A1000" s="8" t="n"/>
      <c r="B1000" s="8" t="n"/>
      <c r="C1000" s="8" t="n"/>
      <c r="D1000" s="11" t="n"/>
      <c r="E1000" s="12">
        <f>IF(A1000="","",D1000*IFERROR(INDEX(Factors!$C$5:$C$34,MATCH(C1000,Factors!$A$5:$A$34,0)),0))</f>
        <v/>
      </c>
      <c r="F1000" s="13">
        <f>IF(A1000="","",IFERROR(INDEX(Factors!$D$5:$D$34,MATCH(C1000,Factors!$A$5:$A$34,0)),"UNMATCHED"))</f>
        <v/>
      </c>
    </row>
    <row r="1001">
      <c r="A1001" s="8" t="n"/>
      <c r="B1001" s="8" t="n"/>
      <c r="C1001" s="8" t="n"/>
      <c r="D1001" s="11" t="n"/>
      <c r="E1001" s="12">
        <f>IF(A1001="","",D1001*IFERROR(INDEX(Factors!$C$5:$C$34,MATCH(C1001,Factors!$A$5:$A$34,0)),0))</f>
        <v/>
      </c>
      <c r="F1001" s="13">
        <f>IF(A1001="","",IFERROR(INDEX(Factors!$D$5:$D$34,MATCH(C1001,Factors!$A$5:$A$34,0)),"UNMATCHED"))</f>
        <v/>
      </c>
    </row>
    <row r="1002">
      <c r="A1002" s="8" t="n"/>
      <c r="B1002" s="8" t="n"/>
      <c r="C1002" s="8" t="n"/>
      <c r="D1002" s="11" t="n"/>
      <c r="E1002" s="12">
        <f>IF(A1002="","",D1002*IFERROR(INDEX(Factors!$C$5:$C$34,MATCH(C1002,Factors!$A$5:$A$34,0)),0))</f>
        <v/>
      </c>
      <c r="F1002" s="13">
        <f>IF(A1002="","",IFERROR(INDEX(Factors!$D$5:$D$34,MATCH(C1002,Factors!$A$5:$A$34,0)),"UNMATCHED"))</f>
        <v/>
      </c>
    </row>
    <row r="1003">
      <c r="A1003" s="8" t="n"/>
      <c r="B1003" s="8" t="n"/>
      <c r="C1003" s="8" t="n"/>
      <c r="D1003" s="11" t="n"/>
      <c r="E1003" s="12">
        <f>IF(A1003="","",D1003*IFERROR(INDEX(Factors!$C$5:$C$34,MATCH(C1003,Factors!$A$5:$A$34,0)),0))</f>
        <v/>
      </c>
      <c r="F1003" s="13">
        <f>IF(A1003="","",IFERROR(INDEX(Factors!$D$5:$D$34,MATCH(C1003,Factors!$A$5:$A$34,0)),"UNMATCHED"))</f>
        <v/>
      </c>
    </row>
    <row r="1004">
      <c r="A1004" s="8" t="n"/>
      <c r="B1004" s="8" t="n"/>
      <c r="C1004" s="8" t="n"/>
      <c r="D1004" s="11" t="n"/>
      <c r="E1004" s="12">
        <f>IF(A1004="","",D1004*IFERROR(INDEX(Factors!$C$5:$C$34,MATCH(C1004,Factors!$A$5:$A$34,0)),0))</f>
        <v/>
      </c>
      <c r="F1004" s="13">
        <f>IF(A1004="","",IFERROR(INDEX(Factors!$D$5:$D$34,MATCH(C1004,Factors!$A$5:$A$34,0)),"UNMATCHED"))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BRSR / sustainability KPIs</t>
        </is>
      </c>
    </row>
    <row r="2"/>
    <row r="3"/>
    <row r="4">
      <c r="A4" t="inlineStr">
        <is>
          <t>Scope 1 tCO2e</t>
        </is>
      </c>
      <c r="B4" s="14">
        <f>SUMIF(Activity!F5:F1004,1,Activity!E5:E1004)/1000</f>
        <v/>
      </c>
    </row>
    <row r="5">
      <c r="A5" t="inlineStr">
        <is>
          <t>Scope 2 tCO2e (location/market per factor table)</t>
        </is>
      </c>
      <c r="B5" s="14">
        <f>SUMIF(Activity!F5:F1004,2,Activity!E5:E1004)/1000</f>
        <v/>
      </c>
    </row>
    <row r="6">
      <c r="A6" t="inlineStr">
        <is>
          <t>revenue (₹ crore) for intensity</t>
        </is>
      </c>
      <c r="B6" s="11" t="n"/>
    </row>
    <row r="7">
      <c r="A7" t="inlineStr">
        <is>
          <t>Scope 1+2 intensity (tCO2e per ₹ crore)</t>
        </is>
      </c>
      <c r="B7" s="15">
        <f>IF(N(BRSR!$B$6)=0,"",(B4+B5)/BRSR!$B$6)</f>
        <v/>
      </c>
    </row>
    <row r="8">
      <c r="A8" t="inlineStr">
        <is>
          <t>renewable share of electricity</t>
        </is>
      </c>
      <c r="B8" s="16">
        <f>IFERROR(SUMIF(Activity!C5:C1004,"Rooftop solar / green open access",Activity!D5:D1004)/(SUMIF(Activity!C5:C1004,"Rooftop solar / green open access",Activity!D5:D1004)+SUMIF(Activity!C5:C1004,"Grid electricity (India)",Activity!D5:D1004)),"")</f>
        <v/>
      </c>
    </row>
    <row r="9">
      <c r="A9" t="inlineStr">
        <is>
          <t>water withdrawal (kL)</t>
        </is>
      </c>
      <c r="B9" s="17" t="n"/>
    </row>
    <row r="10">
      <c r="A10" t="inlineStr">
        <is>
          <t>hazardous waste (t) - TNPCB authorisation</t>
        </is>
      </c>
      <c r="B10" s="1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29" customWidth="1" min="4" max="4"/>
    <col width="21" customWidth="1" min="5" max="5"/>
    <col width="15" customWidth="1" min="6" max="6"/>
    <col width="13" customWidth="1" min="7" max="7"/>
  </cols>
  <sheetData>
    <row r="1">
      <c r="A1" s="1" t="inlineStr">
        <is>
          <t>Green / sustainability-linked finance use-of-proceeds</t>
        </is>
      </c>
    </row>
    <row r="2"/>
    <row r="3"/>
    <row r="4">
      <c r="A4" s="6" t="inlineStr">
        <is>
          <t>instrument</t>
        </is>
      </c>
      <c r="B4" s="6" t="inlineStr">
        <is>
          <t>lender / investor</t>
        </is>
      </c>
      <c r="C4" s="6" t="inlineStr">
        <is>
          <t>amount</t>
        </is>
      </c>
      <c r="D4" s="6" t="inlineStr">
        <is>
          <t>eligible project (D09 id)</t>
        </is>
      </c>
      <c r="E4" s="6" t="inlineStr">
        <is>
          <t>allocated to date</t>
        </is>
      </c>
      <c r="F4" s="6" t="inlineStr">
        <is>
          <t>unallocated</t>
        </is>
      </c>
      <c r="G4" s="6" t="inlineStr">
        <is>
          <t>KPI / SPT</t>
        </is>
      </c>
    </row>
    <row r="5">
      <c r="A5" s="8" t="inlineStr">
        <is>
          <t>Green term loan</t>
        </is>
      </c>
      <c r="B5" s="8" t="inlineStr">
        <is>
          <t>SIDBI / bank</t>
        </is>
      </c>
      <c r="C5" s="19" t="n">
        <v>90000000</v>
      </c>
      <c r="D5" s="8" t="inlineStr">
        <is>
          <t>Rooftop solar 2 MW (Coimbatore)</t>
        </is>
      </c>
      <c r="E5" s="19" t="n">
        <v>60000000</v>
      </c>
      <c r="F5" s="20">
        <f>IF(A5="","",C5-E5)</f>
        <v/>
      </c>
      <c r="G5" s="8" t="inlineStr">
        <is>
          <t>renewable share &gt;= 40%</t>
        </is>
      </c>
    </row>
    <row r="6">
      <c r="A6" s="8" t="n"/>
      <c r="B6" s="8" t="n"/>
      <c r="C6" s="19" t="n"/>
      <c r="D6" s="8" t="n"/>
      <c r="E6" s="19" t="n"/>
      <c r="F6" s="20">
        <f>IF(A6="","",C6-E6)</f>
        <v/>
      </c>
      <c r="G6" s="8" t="n"/>
    </row>
    <row r="7">
      <c r="A7" s="8" t="n"/>
      <c r="B7" s="8" t="n"/>
      <c r="C7" s="19" t="n"/>
      <c r="D7" s="8" t="n"/>
      <c r="E7" s="19" t="n"/>
      <c r="F7" s="20">
        <f>IF(A7="","",C7-E7)</f>
        <v/>
      </c>
      <c r="G7" s="8" t="n"/>
    </row>
    <row r="8">
      <c r="A8" s="8" t="n"/>
      <c r="B8" s="8" t="n"/>
      <c r="C8" s="19" t="n"/>
      <c r="D8" s="8" t="n"/>
      <c r="E8" s="19" t="n"/>
      <c r="F8" s="20">
        <f>IF(A8="","",C8-E8)</f>
        <v/>
      </c>
      <c r="G8" s="8" t="n"/>
    </row>
    <row r="9">
      <c r="A9" s="8" t="n"/>
      <c r="B9" s="8" t="n"/>
      <c r="C9" s="19" t="n"/>
      <c r="D9" s="8" t="n"/>
      <c r="E9" s="19" t="n"/>
      <c r="F9" s="20">
        <f>IF(A9="","",C9-E9)</f>
        <v/>
      </c>
      <c r="G9" s="8" t="n"/>
    </row>
    <row r="10">
      <c r="A10" s="8" t="n"/>
      <c r="B10" s="8" t="n"/>
      <c r="C10" s="19" t="n"/>
      <c r="D10" s="8" t="n"/>
      <c r="E10" s="19" t="n"/>
      <c r="F10" s="20">
        <f>IF(A10="","",C10-E10)</f>
        <v/>
      </c>
      <c r="G10" s="8" t="n"/>
    </row>
    <row r="11">
      <c r="A11" s="8" t="n"/>
      <c r="B11" s="8" t="n"/>
      <c r="C11" s="19" t="n"/>
      <c r="D11" s="8" t="n"/>
      <c r="E11" s="19" t="n"/>
      <c r="F11" s="20">
        <f>IF(A11="","",C11-E11)</f>
        <v/>
      </c>
      <c r="G11" s="8" t="n"/>
    </row>
    <row r="12">
      <c r="A12" s="8" t="n"/>
      <c r="B12" s="8" t="n"/>
      <c r="C12" s="19" t="n"/>
      <c r="D12" s="8" t="n"/>
      <c r="E12" s="19" t="n"/>
      <c r="F12" s="20">
        <f>IF(A12="","",C12-E12)</f>
        <v/>
      </c>
      <c r="G12" s="8" t="n"/>
    </row>
    <row r="13">
      <c r="A13" s="8" t="n"/>
      <c r="B13" s="8" t="n"/>
      <c r="C13" s="19" t="n"/>
      <c r="D13" s="8" t="n"/>
      <c r="E13" s="19" t="n"/>
      <c r="F13" s="20">
        <f>IF(A13="","",C13-E13)</f>
        <v/>
      </c>
      <c r="G13" s="8" t="n"/>
    </row>
    <row r="14">
      <c r="A14" s="8" t="n"/>
      <c r="B14" s="8" t="n"/>
      <c r="C14" s="19" t="n"/>
      <c r="D14" s="8" t="n"/>
      <c r="E14" s="19" t="n"/>
      <c r="F14" s="20">
        <f>IF(A14="","",C14-E14)</f>
        <v/>
      </c>
      <c r="G14" s="8" t="n"/>
    </row>
    <row r="15">
      <c r="A15" s="8" t="n"/>
      <c r="B15" s="8" t="n"/>
      <c r="C15" s="19" t="n"/>
      <c r="D15" s="8" t="n"/>
      <c r="E15" s="19" t="n"/>
      <c r="F15" s="20">
        <f>IF(A15="","",C15-E15)</f>
        <v/>
      </c>
      <c r="G15" s="8" t="n"/>
    </row>
    <row r="16">
      <c r="A16" s="8" t="n"/>
      <c r="B16" s="8" t="n"/>
      <c r="C16" s="19" t="n"/>
      <c r="D16" s="8" t="n"/>
      <c r="E16" s="19" t="n"/>
      <c r="F16" s="20">
        <f>IF(A16="","",C16-E16)</f>
        <v/>
      </c>
      <c r="G16" s="8" t="n"/>
    </row>
    <row r="17">
      <c r="A17" s="8" t="n"/>
      <c r="B17" s="8" t="n"/>
      <c r="C17" s="19" t="n"/>
      <c r="D17" s="8" t="n"/>
      <c r="E17" s="19" t="n"/>
      <c r="F17" s="20">
        <f>IF(A17="","",C17-E17)</f>
        <v/>
      </c>
      <c r="G17" s="8" t="n"/>
    </row>
    <row r="18">
      <c r="A18" s="8" t="n"/>
      <c r="B18" s="8" t="n"/>
      <c r="C18" s="19" t="n"/>
      <c r="D18" s="8" t="n"/>
      <c r="E18" s="19" t="n"/>
      <c r="F18" s="20">
        <f>IF(A18="","",C18-E18)</f>
        <v/>
      </c>
      <c r="G18" s="8" t="n"/>
    </row>
    <row r="19">
      <c r="A19" s="8" t="n"/>
      <c r="B19" s="8" t="n"/>
      <c r="C19" s="19" t="n"/>
      <c r="D19" s="8" t="n"/>
      <c r="E19" s="19" t="n"/>
      <c r="F19" s="20">
        <f>IF(A19="","",C19-E19)</f>
        <v/>
      </c>
      <c r="G19" s="8" t="n"/>
    </row>
    <row r="20">
      <c r="A20" s="8" t="n"/>
      <c r="B20" s="8" t="n"/>
      <c r="C20" s="19" t="n"/>
      <c r="D20" s="8" t="n"/>
      <c r="E20" s="19" t="n"/>
      <c r="F20" s="20">
        <f>IF(A20="","",C20-E20)</f>
        <v/>
      </c>
      <c r="G20" s="8" t="n"/>
    </row>
    <row r="21">
      <c r="A21" s="8" t="n"/>
      <c r="B21" s="8" t="n"/>
      <c r="C21" s="19" t="n"/>
      <c r="D21" s="8" t="n"/>
      <c r="E21" s="19" t="n"/>
      <c r="F21" s="20">
        <f>IF(A21="","",C21-E21)</f>
        <v/>
      </c>
      <c r="G21" s="8" t="n"/>
    </row>
    <row r="22">
      <c r="A22" s="8" t="n"/>
      <c r="B22" s="8" t="n"/>
      <c r="C22" s="19" t="n"/>
      <c r="D22" s="8" t="n"/>
      <c r="E22" s="19" t="n"/>
      <c r="F22" s="20">
        <f>IF(A22="","",C22-E22)</f>
        <v/>
      </c>
      <c r="G22" s="8" t="n"/>
    </row>
    <row r="23">
      <c r="A23" s="8" t="n"/>
      <c r="B23" s="8" t="n"/>
      <c r="C23" s="19" t="n"/>
      <c r="D23" s="8" t="n"/>
      <c r="E23" s="19" t="n"/>
      <c r="F23" s="20">
        <f>IF(A23="","",C23-E23)</f>
        <v/>
      </c>
      <c r="G23" s="8" t="n"/>
    </row>
    <row r="24">
      <c r="A24" s="8" t="n"/>
      <c r="B24" s="8" t="n"/>
      <c r="C24" s="19" t="n"/>
      <c r="D24" s="8" t="n"/>
      <c r="E24" s="19" t="n"/>
      <c r="F24" s="20">
        <f>IF(A24="","",C24-E24)</f>
        <v/>
      </c>
      <c r="G24" s="8" t="n"/>
    </row>
    <row r="25">
      <c r="A25" s="8" t="n"/>
      <c r="B25" s="8" t="n"/>
      <c r="C25" s="19" t="n"/>
      <c r="D25" s="8" t="n"/>
      <c r="E25" s="19" t="n"/>
      <c r="F25" s="20">
        <f>IF(A25="","",C25-E25)</f>
        <v/>
      </c>
      <c r="G25" s="8" t="n"/>
    </row>
    <row r="26">
      <c r="A26" s="8" t="n"/>
      <c r="B26" s="8" t="n"/>
      <c r="C26" s="19" t="n"/>
      <c r="D26" s="8" t="n"/>
      <c r="E26" s="19" t="n"/>
      <c r="F26" s="20">
        <f>IF(A26="","",C26-E26)</f>
        <v/>
      </c>
      <c r="G26" s="8" t="n"/>
    </row>
    <row r="27">
      <c r="A27" s="8" t="n"/>
      <c r="B27" s="8" t="n"/>
      <c r="C27" s="19" t="n"/>
      <c r="D27" s="8" t="n"/>
      <c r="E27" s="19" t="n"/>
      <c r="F27" s="20">
        <f>IF(A27="","",C27-E27)</f>
        <v/>
      </c>
      <c r="G27" s="8" t="n"/>
    </row>
    <row r="28">
      <c r="A28" s="8" t="n"/>
      <c r="B28" s="8" t="n"/>
      <c r="C28" s="19" t="n"/>
      <c r="D28" s="8" t="n"/>
      <c r="E28" s="19" t="n"/>
      <c r="F28" s="20">
        <f>IF(A28="","",C28-E28)</f>
        <v/>
      </c>
      <c r="G28" s="8" t="n"/>
    </row>
    <row r="29">
      <c r="A29" s="8" t="n"/>
      <c r="B29" s="8" t="n"/>
      <c r="C29" s="19" t="n"/>
      <c r="D29" s="8" t="n"/>
      <c r="E29" s="19" t="n"/>
      <c r="F29" s="20">
        <f>IF(A29="","",C29-E29)</f>
        <v/>
      </c>
      <c r="G29" s="8" t="n"/>
    </row>
    <row r="30">
      <c r="A30" s="8" t="n"/>
      <c r="B30" s="8" t="n"/>
      <c r="C30" s="19" t="n"/>
      <c r="D30" s="8" t="n"/>
      <c r="E30" s="19" t="n"/>
      <c r="F30" s="20">
        <f>IF(A30="","",C30-E30)</f>
        <v/>
      </c>
      <c r="G30" s="8" t="n"/>
    </row>
    <row r="31">
      <c r="A31" s="8" t="n"/>
      <c r="B31" s="8" t="n"/>
      <c r="C31" s="19" t="n"/>
      <c r="D31" s="8" t="n"/>
      <c r="E31" s="19" t="n"/>
      <c r="F31" s="20">
        <f>IF(A31="","",C31-E31)</f>
        <v/>
      </c>
      <c r="G31" s="8" t="n"/>
    </row>
    <row r="32">
      <c r="A32" s="8" t="n"/>
      <c r="B32" s="8" t="n"/>
      <c r="C32" s="19" t="n"/>
      <c r="D32" s="8" t="n"/>
      <c r="E32" s="19" t="n"/>
      <c r="F32" s="20">
        <f>IF(A32="","",C32-E32)</f>
        <v/>
      </c>
      <c r="G32" s="8" t="n"/>
    </row>
    <row r="33">
      <c r="A33" s="8" t="n"/>
      <c r="B33" s="8" t="n"/>
      <c r="C33" s="19" t="n"/>
      <c r="D33" s="8" t="n"/>
      <c r="E33" s="19" t="n"/>
      <c r="F33" s="20">
        <f>IF(A33="","",C33-E33)</f>
        <v/>
      </c>
      <c r="G33" s="8" t="n"/>
    </row>
    <row r="34">
      <c r="A34" s="8" t="n"/>
      <c r="B34" s="8" t="n"/>
      <c r="C34" s="19" t="n"/>
      <c r="D34" s="8" t="n"/>
      <c r="E34" s="19" t="n"/>
      <c r="F34" s="20">
        <f>IF(A34="","",C34-E34)</f>
        <v/>
      </c>
      <c r="G3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2026-10-18T16:52:48Z</dcterms:created>
  <dcterms:modified xmlns:dcterms="http://purl.org/dc/terms/" xmlns:xsi="http://www.w3.org/2001/XMLSchema-instance" xsi:type="dcterms:W3CDTF">2026-10-18T16:52:48Z</dcterms:modified>
</cp:coreProperties>
</file>