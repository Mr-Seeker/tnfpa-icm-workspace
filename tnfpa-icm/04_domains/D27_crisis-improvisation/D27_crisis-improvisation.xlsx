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Shock" sheetId="4" state="visible" r:id="rId4"/>
    <sheet xmlns:r="http://schemas.openxmlformats.org/officeDocument/2006/relationships" name="Stressed" sheetId="5" state="visible" r:id="rId5"/>
    <sheet xmlns:r="http://schemas.openxmlformats.org/officeDocument/2006/relationships" name="Result" sheetId="6" state="visible" r:id="rId6"/>
  </sheets>
  <definedNames>
    <definedName name="s_open">'Shock'!$B$5</definedName>
    <definedName name="s_loss">'Shock'!$B$6</definedName>
    <definedName name="s_from">'Shock'!$B$7</definedName>
    <definedName name="s_to">'Shock'!$B$8</definedName>
    <definedName name="s_rec">'Shock'!$B$9</definedName>
    <definedName name="s_recw">'Shock'!$B$10</definedName>
    <definedName name="s_extra">'Shock'!$B$11</definedName>
    <definedName name="s_extraw">'Shock'!$B$12</definedName>
    <definedName name="s_defer">'Shock'!$B$13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" fontId="4" fillId="3" borderId="1" pivotButton="0" quotePrefix="0" xfId="0"/>
    <xf numFmtId="164" fontId="4" fillId="3" borderId="1" pivotButton="0" quotePrefix="0" xfId="0"/>
    <xf numFmtId="0" fontId="4" fillId="3" borderId="1" pivotButton="0" quotePrefix="0" xfId="0"/>
    <xf numFmtId="165" fontId="4" fillId="3" borderId="1" pivotButton="0" quotePrefix="0" xfId="0"/>
    <xf numFmtId="1" fontId="0" fillId="0" borderId="1" pivotButton="0" quotePrefix="0" xfId="0"/>
    <xf numFmtId="164" fontId="0" fillId="0" borderId="1" pivotButton="0" quotePrefix="0" xfId="0"/>
    <xf numFmtId="164" fontId="5" fillId="0" borderId="1" pivotButton="0" quotePrefix="0" xfId="0"/>
    <xf numFmtId="1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D27 · Ad-hoc crisis improvisation</t>
        </is>
      </c>
    </row>
    <row r="2"/>
    <row r="3">
      <c r="A3" s="2" t="inlineStr">
        <is>
          <t>Domain D27: Ad-hoc crisis improvisation.</t>
        </is>
      </c>
    </row>
    <row r="4">
      <c r="A4" s="2" t="inlineStr">
        <is>
          <t>Fast, disciplined response when the plan breaks: crisis playbooks, a stressed 13-week cash view from K02, a crisis log of decisions, and stakeholder communication templates.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companies/&lt;slug&gt;/domains/D27_crisis-improvisation/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K02 baseline weekly cash  &lt;=  Baseline</t>
        </is>
      </c>
    </row>
    <row r="11">
      <c r="A11" s="2" t="inlineStr">
        <is>
          <t>D15 risk register  &lt;=  scenario ids</t>
        </is>
      </c>
    </row>
    <row r="12">
      <c r="A12" s="2" t="inlineStr">
        <is>
          <t>W08 context corrections  &lt;=  one-off events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from week &lt;= to week</t>
        </is>
      </c>
      <c r="C5" s="7">
        <f>IF(Shock!$B$7&lt;=Shock!$B$8,"PASS","FAIL")</f>
        <v/>
      </c>
    </row>
    <row r="6">
      <c r="A6" t="n">
        <v>2</v>
      </c>
      <c r="B6" t="inlineStr">
        <is>
          <t>loss % within 0..100%</t>
        </is>
      </c>
      <c r="C6" s="7">
        <f>IF(AND(Shock!$B$6&gt;=0,Shock!$B$6&lt;=1),"PASS","FAIL")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1" t="inlineStr">
        <is>
          <t>Baseline weekly cash (paste K02 Weekly: week, receipts, disbursements)</t>
        </is>
      </c>
    </row>
    <row r="2"/>
    <row r="3"/>
    <row r="4">
      <c r="A4" s="6" t="inlineStr">
        <is>
          <t>week</t>
        </is>
      </c>
      <c r="B4" s="6" t="inlineStr">
        <is>
          <t>receipts</t>
        </is>
      </c>
      <c r="C4" s="6" t="inlineStr">
        <is>
          <t>disbursements</t>
        </is>
      </c>
    </row>
    <row r="5">
      <c r="A5" s="8" t="n"/>
      <c r="B5" s="9" t="n"/>
      <c r="C5" s="9" t="n"/>
    </row>
    <row r="6">
      <c r="A6" s="8" t="n"/>
      <c r="B6" s="9" t="n"/>
      <c r="C6" s="9" t="n"/>
    </row>
    <row r="7">
      <c r="A7" s="8" t="n"/>
      <c r="B7" s="9" t="n"/>
      <c r="C7" s="9" t="n"/>
    </row>
    <row r="8">
      <c r="A8" s="8" t="n"/>
      <c r="B8" s="9" t="n"/>
      <c r="C8" s="9" t="n"/>
    </row>
    <row r="9">
      <c r="A9" s="8" t="n"/>
      <c r="B9" s="9" t="n"/>
      <c r="C9" s="9" t="n"/>
    </row>
    <row r="10">
      <c r="A10" s="8" t="n"/>
      <c r="B10" s="9" t="n"/>
      <c r="C10" s="9" t="n"/>
    </row>
    <row r="11">
      <c r="A11" s="8" t="n"/>
      <c r="B11" s="9" t="n"/>
      <c r="C11" s="9" t="n"/>
    </row>
    <row r="12">
      <c r="A12" s="8" t="n"/>
      <c r="B12" s="9" t="n"/>
      <c r="C12" s="9" t="n"/>
    </row>
    <row r="13">
      <c r="A13" s="8" t="n"/>
      <c r="B13" s="9" t="n"/>
      <c r="C13" s="9" t="n"/>
    </row>
    <row r="14">
      <c r="A14" s="8" t="n"/>
      <c r="B14" s="9" t="n"/>
      <c r="C14" s="9" t="n"/>
    </row>
    <row r="15">
      <c r="A15" s="8" t="n"/>
      <c r="B15" s="9" t="n"/>
      <c r="C15" s="9" t="n"/>
    </row>
    <row r="16">
      <c r="A16" s="8" t="n"/>
      <c r="B16" s="9" t="n"/>
      <c r="C16" s="9" t="n"/>
    </row>
    <row r="17">
      <c r="A17" s="8" t="n"/>
      <c r="B17" s="9" t="n"/>
      <c r="C17" s="9" t="n"/>
    </row>
    <row r="18">
      <c r="A18" s="8" t="n"/>
      <c r="B18" s="9" t="n"/>
      <c r="C18" s="9" t="n"/>
    </row>
    <row r="19">
      <c r="A19" s="8" t="n"/>
      <c r="B19" s="9" t="n"/>
      <c r="C19" s="9" t="n"/>
    </row>
    <row r="20">
      <c r="A20" s="8" t="n"/>
      <c r="B20" s="9" t="n"/>
      <c r="C20" s="9" t="n"/>
    </row>
    <row r="21">
      <c r="A21" s="8" t="n"/>
      <c r="B21" s="9" t="n"/>
      <c r="C21" s="9" t="n"/>
    </row>
    <row r="22">
      <c r="A22" s="8" t="n"/>
      <c r="B22" s="9" t="n"/>
      <c r="C22" s="9" t="n"/>
    </row>
    <row r="23">
      <c r="A23" s="8" t="n"/>
      <c r="B23" s="9" t="n"/>
      <c r="C23" s="9" t="n"/>
    </row>
    <row r="24">
      <c r="A24" s="8" t="n"/>
      <c r="B24" s="9" t="n"/>
      <c r="C24" s="9" t="n"/>
    </row>
    <row r="25">
      <c r="A25" s="8" t="n"/>
      <c r="B25" s="9" t="n"/>
      <c r="C25" s="9" t="n"/>
    </row>
    <row r="26">
      <c r="A26" s="8" t="n"/>
      <c r="B26" s="9" t="n"/>
      <c r="C26" s="9" t="n"/>
    </row>
    <row r="27">
      <c r="A27" s="8" t="n"/>
      <c r="B27" s="9" t="n"/>
      <c r="C27" s="9" t="n"/>
    </row>
    <row r="28">
      <c r="A28" s="8" t="n"/>
      <c r="B28" s="9" t="n"/>
      <c r="C28" s="9" t="n"/>
    </row>
    <row r="29">
      <c r="A29" s="8" t="n"/>
      <c r="B29" s="9" t="n"/>
      <c r="C29" s="9" t="n"/>
    </row>
    <row r="30">
      <c r="A30" s="8" t="n"/>
      <c r="B30" s="9" t="n"/>
      <c r="C30" s="9" t="n"/>
    </row>
    <row r="31">
      <c r="A31" s="8" t="n"/>
      <c r="B31" s="9" t="n"/>
      <c r="C31" s="9" t="n"/>
    </row>
    <row r="32">
      <c r="A32" s="8" t="n"/>
      <c r="B32" s="9" t="n"/>
      <c r="C32" s="9" t="n"/>
    </row>
    <row r="33">
      <c r="A33" s="8" t="n"/>
      <c r="B33" s="9" t="n"/>
      <c r="C33" s="9" t="n"/>
    </row>
    <row r="34">
      <c r="A34" s="8" t="n"/>
      <c r="B34" s="9" t="n"/>
      <c r="C34" s="9" t="n"/>
    </row>
    <row r="35">
      <c r="A35" s="8" t="n"/>
      <c r="B35" s="9" t="n"/>
      <c r="C35" s="9" t="n"/>
    </row>
    <row r="36">
      <c r="A36" s="8" t="n"/>
      <c r="B36" s="9" t="n"/>
      <c r="C36" s="9" t="n"/>
    </row>
    <row r="37">
      <c r="A37" s="8" t="n"/>
      <c r="B37" s="9" t="n"/>
      <c r="C37" s="9" t="n"/>
    </row>
    <row r="38">
      <c r="A38" s="8" t="n"/>
      <c r="B38" s="9" t="n"/>
      <c r="C38" s="9" t="n"/>
    </row>
    <row r="39">
      <c r="A39" s="8" t="n"/>
      <c r="B39" s="9" t="n"/>
      <c r="C39" s="9" t="n"/>
    </row>
    <row r="40">
      <c r="A40" s="8" t="n"/>
      <c r="B40" s="9" t="n"/>
      <c r="C40" s="9" t="n"/>
    </row>
    <row r="41">
      <c r="A41" s="8" t="n"/>
      <c r="B41" s="9" t="n"/>
      <c r="C41" s="9" t="n"/>
    </row>
    <row r="42">
      <c r="A42" s="8" t="n"/>
      <c r="B42" s="9" t="n"/>
      <c r="C42" s="9" t="n"/>
    </row>
    <row r="43">
      <c r="A43" s="8" t="n"/>
      <c r="B43" s="9" t="n"/>
      <c r="C43" s="9" t="n"/>
    </row>
    <row r="44">
      <c r="A44" s="8" t="n"/>
      <c r="B44" s="9" t="n"/>
      <c r="C44" s="9" t="n"/>
    </row>
    <row r="45">
      <c r="A45" s="8" t="n"/>
      <c r="B45" s="9" t="n"/>
      <c r="C45" s="9" t="n"/>
    </row>
    <row r="46">
      <c r="A46" s="8" t="n"/>
      <c r="B46" s="9" t="n"/>
      <c r="C46" s="9" t="n"/>
    </row>
    <row r="47">
      <c r="A47" s="8" t="n"/>
      <c r="B47" s="9" t="n"/>
      <c r="C47" s="9" t="n"/>
    </row>
    <row r="48">
      <c r="A48" s="8" t="n"/>
      <c r="B48" s="9" t="n"/>
      <c r="C48" s="9" t="n"/>
    </row>
    <row r="49">
      <c r="A49" s="8" t="n"/>
      <c r="B49" s="9" t="n"/>
      <c r="C49" s="9" t="n"/>
    </row>
    <row r="50">
      <c r="A50" s="8" t="n"/>
      <c r="B50" s="9" t="n"/>
      <c r="C50" s="9" t="n"/>
    </row>
    <row r="51">
      <c r="A51" s="8" t="n"/>
      <c r="B51" s="9" t="n"/>
      <c r="C51" s="9" t="n"/>
    </row>
    <row r="52">
      <c r="A52" s="8" t="n"/>
      <c r="B52" s="9" t="n"/>
      <c r="C52" s="9" t="n"/>
    </row>
    <row r="53">
      <c r="A53" s="8" t="n"/>
      <c r="B53" s="9" t="n"/>
      <c r="C53" s="9" t="n"/>
    </row>
    <row r="54">
      <c r="A54" s="8" t="n"/>
      <c r="B54" s="9" t="n"/>
      <c r="C54" s="9" t="n"/>
    </row>
    <row r="55">
      <c r="A55" s="8" t="n"/>
      <c r="B55" s="9" t="n"/>
      <c r="C55" s="9" t="n"/>
    </row>
    <row r="56">
      <c r="A56" s="8" t="n"/>
      <c r="B56" s="9" t="n"/>
      <c r="C56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Crisis shock levers (one scenario per copy; id e.g. CR-FLOOD)</t>
        </is>
      </c>
    </row>
    <row r="2"/>
    <row r="3"/>
    <row r="4">
      <c r="A4" t="inlineStr">
        <is>
          <t>scenario id</t>
        </is>
      </c>
      <c r="B4" s="10" t="inlineStr">
        <is>
          <t>CR-FLOOD</t>
        </is>
      </c>
    </row>
    <row r="5">
      <c r="A5" t="inlineStr">
        <is>
          <t>opening cash</t>
        </is>
      </c>
      <c r="B5" s="9" t="n"/>
    </row>
    <row r="6">
      <c r="A6" t="inlineStr">
        <is>
          <t xml:space="preserve">receipts lost % </t>
        </is>
      </c>
      <c r="B6" s="11" t="n">
        <v>0.6</v>
      </c>
    </row>
    <row r="7">
      <c r="A7" t="inlineStr">
        <is>
          <t>from week</t>
        </is>
      </c>
      <c r="B7" s="8" t="n">
        <v>2</v>
      </c>
    </row>
    <row r="8">
      <c r="A8" t="inlineStr">
        <is>
          <t>to week</t>
        </is>
      </c>
      <c r="B8" s="8" t="n">
        <v>4</v>
      </c>
    </row>
    <row r="9">
      <c r="A9" t="inlineStr">
        <is>
          <t>share of lost receipts recovered later</t>
        </is>
      </c>
      <c r="B9" s="11" t="n">
        <v>0.7</v>
      </c>
    </row>
    <row r="10">
      <c r="A10" t="inlineStr">
        <is>
          <t>recovered in week</t>
        </is>
      </c>
      <c r="B10" s="8" t="n">
        <v>8</v>
      </c>
    </row>
    <row r="11">
      <c r="A11" t="inlineStr">
        <is>
          <t>extra one-off disbursement</t>
        </is>
      </c>
      <c r="B11" s="9" t="n">
        <v>2500000</v>
      </c>
    </row>
    <row r="12">
      <c r="A12" t="inlineStr">
        <is>
          <t>extra disbursement week</t>
        </is>
      </c>
      <c r="B12" s="8" t="n">
        <v>3</v>
      </c>
    </row>
    <row r="13">
      <c r="A13" t="inlineStr">
        <is>
          <t>disbursements deferred % (with consent: vendors, statutory extensions if notified)</t>
        </is>
      </c>
      <c r="B13" s="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3" customWidth="1" min="4" max="4"/>
    <col width="28" customWidth="1" min="5" max="5"/>
    <col width="26" customWidth="1" min="6" max="6"/>
    <col width="24" customWidth="1" min="7" max="7"/>
  </cols>
  <sheetData>
    <row r="1">
      <c r="A1" s="1" t="inlineStr">
        <is>
          <t>Stressed weekly cash</t>
        </is>
      </c>
    </row>
    <row r="2"/>
    <row r="3"/>
    <row r="4">
      <c r="A4" s="6" t="inlineStr">
        <is>
          <t>week</t>
        </is>
      </c>
      <c r="B4" s="6" t="inlineStr">
        <is>
          <t>lost receipts</t>
        </is>
      </c>
      <c r="C4" s="6" t="inlineStr">
        <is>
          <t>recovered receipts</t>
        </is>
      </c>
      <c r="D4" s="6" t="inlineStr">
        <is>
          <t>receipts (stressed)</t>
        </is>
      </c>
      <c r="E4" s="6" t="inlineStr">
        <is>
          <t>disbursements (stressed)</t>
        </is>
      </c>
      <c r="F4" s="6" t="inlineStr">
        <is>
          <t>ending cash (stressed)</t>
        </is>
      </c>
      <c r="G4" s="6" t="inlineStr">
        <is>
          <t>negative week helper</t>
        </is>
      </c>
    </row>
    <row r="5">
      <c r="A5" s="12">
        <f>Baseline!A5</f>
        <v/>
      </c>
      <c r="B5" s="13">
        <f>IF(Baseline!A5="",0,IF(AND(Baseline!A5&gt;=Shock!$B$7,Baseline!A5&lt;=Shock!$B$8),N(Baseline!B5)*Shock!$B$6,0))</f>
        <v/>
      </c>
      <c r="C5" s="13">
        <f>IF(Baseline!A5="",0,IF(Baseline!A5=Shock!$B$10,SUM($B$5:$B$56)*Shock!$B$9,0))</f>
        <v/>
      </c>
      <c r="D5" s="13">
        <f>N(Baseline!B5)-B5+C5</f>
        <v/>
      </c>
      <c r="E5" s="13">
        <f>N(Baseline!C5)*(1-IF(AND(Baseline!A5&gt;=Shock!$B$7,Baseline!A5&lt;=Shock!$B$8),Shock!$B$13,0))+IF(Baseline!A5=Shock!$B$12,Shock!$B$11,0)</f>
        <v/>
      </c>
      <c r="F5" s="13">
        <f>IF(Baseline!A5="","",N(Shock!$B$5)+D5-E5)</f>
        <v/>
      </c>
      <c r="G5" s="12">
        <f>IF(AND(Baseline!A5&lt;&gt;"",N(F5)&lt;0),Baseline!A5,9999)</f>
        <v/>
      </c>
    </row>
    <row r="6">
      <c r="A6" s="12">
        <f>Baseline!A6</f>
        <v/>
      </c>
      <c r="B6" s="13">
        <f>IF(Baseline!A6="",0,IF(AND(Baseline!A6&gt;=Shock!$B$7,Baseline!A6&lt;=Shock!$B$8),N(Baseline!B6)*Shock!$B$6,0))</f>
        <v/>
      </c>
      <c r="C6" s="13">
        <f>IF(Baseline!A6="",0,IF(Baseline!A6=Shock!$B$10,SUM($B$5:$B$56)*Shock!$B$9,0))</f>
        <v/>
      </c>
      <c r="D6" s="13">
        <f>N(Baseline!B6)-B6+C6</f>
        <v/>
      </c>
      <c r="E6" s="13">
        <f>N(Baseline!C6)*(1-IF(AND(Baseline!A6&gt;=Shock!$B$7,Baseline!A6&lt;=Shock!$B$8),Shock!$B$13,0))+IF(Baseline!A6=Shock!$B$12,Shock!$B$11,0)</f>
        <v/>
      </c>
      <c r="F6" s="13">
        <f>IF(Baseline!A6="","",F5+D6-E6)</f>
        <v/>
      </c>
      <c r="G6" s="12">
        <f>IF(AND(Baseline!A6&lt;&gt;"",N(F6)&lt;0),Baseline!A6,9999)</f>
        <v/>
      </c>
    </row>
    <row r="7">
      <c r="A7" s="12">
        <f>Baseline!A7</f>
        <v/>
      </c>
      <c r="B7" s="13">
        <f>IF(Baseline!A7="",0,IF(AND(Baseline!A7&gt;=Shock!$B$7,Baseline!A7&lt;=Shock!$B$8),N(Baseline!B7)*Shock!$B$6,0))</f>
        <v/>
      </c>
      <c r="C7" s="13">
        <f>IF(Baseline!A7="",0,IF(Baseline!A7=Shock!$B$10,SUM($B$5:$B$56)*Shock!$B$9,0))</f>
        <v/>
      </c>
      <c r="D7" s="13">
        <f>N(Baseline!B7)-B7+C7</f>
        <v/>
      </c>
      <c r="E7" s="13">
        <f>N(Baseline!C7)*(1-IF(AND(Baseline!A7&gt;=Shock!$B$7,Baseline!A7&lt;=Shock!$B$8),Shock!$B$13,0))+IF(Baseline!A7=Shock!$B$12,Shock!$B$11,0)</f>
        <v/>
      </c>
      <c r="F7" s="13">
        <f>IF(Baseline!A7="","",F6+D7-E7)</f>
        <v/>
      </c>
      <c r="G7" s="12">
        <f>IF(AND(Baseline!A7&lt;&gt;"",N(F7)&lt;0),Baseline!A7,9999)</f>
        <v/>
      </c>
    </row>
    <row r="8">
      <c r="A8" s="12">
        <f>Baseline!A8</f>
        <v/>
      </c>
      <c r="B8" s="13">
        <f>IF(Baseline!A8="",0,IF(AND(Baseline!A8&gt;=Shock!$B$7,Baseline!A8&lt;=Shock!$B$8),N(Baseline!B8)*Shock!$B$6,0))</f>
        <v/>
      </c>
      <c r="C8" s="13">
        <f>IF(Baseline!A8="",0,IF(Baseline!A8=Shock!$B$10,SUM($B$5:$B$56)*Shock!$B$9,0))</f>
        <v/>
      </c>
      <c r="D8" s="13">
        <f>N(Baseline!B8)-B8+C8</f>
        <v/>
      </c>
      <c r="E8" s="13">
        <f>N(Baseline!C8)*(1-IF(AND(Baseline!A8&gt;=Shock!$B$7,Baseline!A8&lt;=Shock!$B$8),Shock!$B$13,0))+IF(Baseline!A8=Shock!$B$12,Shock!$B$11,0)</f>
        <v/>
      </c>
      <c r="F8" s="13">
        <f>IF(Baseline!A8="","",F7+D8-E8)</f>
        <v/>
      </c>
      <c r="G8" s="12">
        <f>IF(AND(Baseline!A8&lt;&gt;"",N(F8)&lt;0),Baseline!A8,9999)</f>
        <v/>
      </c>
    </row>
    <row r="9">
      <c r="A9" s="12">
        <f>Baseline!A9</f>
        <v/>
      </c>
      <c r="B9" s="13">
        <f>IF(Baseline!A9="",0,IF(AND(Baseline!A9&gt;=Shock!$B$7,Baseline!A9&lt;=Shock!$B$8),N(Baseline!B9)*Shock!$B$6,0))</f>
        <v/>
      </c>
      <c r="C9" s="13">
        <f>IF(Baseline!A9="",0,IF(Baseline!A9=Shock!$B$10,SUM($B$5:$B$56)*Shock!$B$9,0))</f>
        <v/>
      </c>
      <c r="D9" s="13">
        <f>N(Baseline!B9)-B9+C9</f>
        <v/>
      </c>
      <c r="E9" s="13">
        <f>N(Baseline!C9)*(1-IF(AND(Baseline!A9&gt;=Shock!$B$7,Baseline!A9&lt;=Shock!$B$8),Shock!$B$13,0))+IF(Baseline!A9=Shock!$B$12,Shock!$B$11,0)</f>
        <v/>
      </c>
      <c r="F9" s="13">
        <f>IF(Baseline!A9="","",F8+D9-E9)</f>
        <v/>
      </c>
      <c r="G9" s="12">
        <f>IF(AND(Baseline!A9&lt;&gt;"",N(F9)&lt;0),Baseline!A9,9999)</f>
        <v/>
      </c>
    </row>
    <row r="10">
      <c r="A10" s="12">
        <f>Baseline!A10</f>
        <v/>
      </c>
      <c r="B10" s="13">
        <f>IF(Baseline!A10="",0,IF(AND(Baseline!A10&gt;=Shock!$B$7,Baseline!A10&lt;=Shock!$B$8),N(Baseline!B10)*Shock!$B$6,0))</f>
        <v/>
      </c>
      <c r="C10" s="13">
        <f>IF(Baseline!A10="",0,IF(Baseline!A10=Shock!$B$10,SUM($B$5:$B$56)*Shock!$B$9,0))</f>
        <v/>
      </c>
      <c r="D10" s="13">
        <f>N(Baseline!B10)-B10+C10</f>
        <v/>
      </c>
      <c r="E10" s="13">
        <f>N(Baseline!C10)*(1-IF(AND(Baseline!A10&gt;=Shock!$B$7,Baseline!A10&lt;=Shock!$B$8),Shock!$B$13,0))+IF(Baseline!A10=Shock!$B$12,Shock!$B$11,0)</f>
        <v/>
      </c>
      <c r="F10" s="13">
        <f>IF(Baseline!A10="","",F9+D10-E10)</f>
        <v/>
      </c>
      <c r="G10" s="12">
        <f>IF(AND(Baseline!A10&lt;&gt;"",N(F10)&lt;0),Baseline!A10,9999)</f>
        <v/>
      </c>
    </row>
    <row r="11">
      <c r="A11" s="12">
        <f>Baseline!A11</f>
        <v/>
      </c>
      <c r="B11" s="13">
        <f>IF(Baseline!A11="",0,IF(AND(Baseline!A11&gt;=Shock!$B$7,Baseline!A11&lt;=Shock!$B$8),N(Baseline!B11)*Shock!$B$6,0))</f>
        <v/>
      </c>
      <c r="C11" s="13">
        <f>IF(Baseline!A11="",0,IF(Baseline!A11=Shock!$B$10,SUM($B$5:$B$56)*Shock!$B$9,0))</f>
        <v/>
      </c>
      <c r="D11" s="13">
        <f>N(Baseline!B11)-B11+C11</f>
        <v/>
      </c>
      <c r="E11" s="13">
        <f>N(Baseline!C11)*(1-IF(AND(Baseline!A11&gt;=Shock!$B$7,Baseline!A11&lt;=Shock!$B$8),Shock!$B$13,0))+IF(Baseline!A11=Shock!$B$12,Shock!$B$11,0)</f>
        <v/>
      </c>
      <c r="F11" s="13">
        <f>IF(Baseline!A11="","",F10+D11-E11)</f>
        <v/>
      </c>
      <c r="G11" s="12">
        <f>IF(AND(Baseline!A11&lt;&gt;"",N(F11)&lt;0),Baseline!A11,9999)</f>
        <v/>
      </c>
    </row>
    <row r="12">
      <c r="A12" s="12">
        <f>Baseline!A12</f>
        <v/>
      </c>
      <c r="B12" s="13">
        <f>IF(Baseline!A12="",0,IF(AND(Baseline!A12&gt;=Shock!$B$7,Baseline!A12&lt;=Shock!$B$8),N(Baseline!B12)*Shock!$B$6,0))</f>
        <v/>
      </c>
      <c r="C12" s="13">
        <f>IF(Baseline!A12="",0,IF(Baseline!A12=Shock!$B$10,SUM($B$5:$B$56)*Shock!$B$9,0))</f>
        <v/>
      </c>
      <c r="D12" s="13">
        <f>N(Baseline!B12)-B12+C12</f>
        <v/>
      </c>
      <c r="E12" s="13">
        <f>N(Baseline!C12)*(1-IF(AND(Baseline!A12&gt;=Shock!$B$7,Baseline!A12&lt;=Shock!$B$8),Shock!$B$13,0))+IF(Baseline!A12=Shock!$B$12,Shock!$B$11,0)</f>
        <v/>
      </c>
      <c r="F12" s="13">
        <f>IF(Baseline!A12="","",F11+D12-E12)</f>
        <v/>
      </c>
      <c r="G12" s="12">
        <f>IF(AND(Baseline!A12&lt;&gt;"",N(F12)&lt;0),Baseline!A12,9999)</f>
        <v/>
      </c>
    </row>
    <row r="13">
      <c r="A13" s="12">
        <f>Baseline!A13</f>
        <v/>
      </c>
      <c r="B13" s="13">
        <f>IF(Baseline!A13="",0,IF(AND(Baseline!A13&gt;=Shock!$B$7,Baseline!A13&lt;=Shock!$B$8),N(Baseline!B13)*Shock!$B$6,0))</f>
        <v/>
      </c>
      <c r="C13" s="13">
        <f>IF(Baseline!A13="",0,IF(Baseline!A13=Shock!$B$10,SUM($B$5:$B$56)*Shock!$B$9,0))</f>
        <v/>
      </c>
      <c r="D13" s="13">
        <f>N(Baseline!B13)-B13+C13</f>
        <v/>
      </c>
      <c r="E13" s="13">
        <f>N(Baseline!C13)*(1-IF(AND(Baseline!A13&gt;=Shock!$B$7,Baseline!A13&lt;=Shock!$B$8),Shock!$B$13,0))+IF(Baseline!A13=Shock!$B$12,Shock!$B$11,0)</f>
        <v/>
      </c>
      <c r="F13" s="13">
        <f>IF(Baseline!A13="","",F12+D13-E13)</f>
        <v/>
      </c>
      <c r="G13" s="12">
        <f>IF(AND(Baseline!A13&lt;&gt;"",N(F13)&lt;0),Baseline!A13,9999)</f>
        <v/>
      </c>
    </row>
    <row r="14">
      <c r="A14" s="12">
        <f>Baseline!A14</f>
        <v/>
      </c>
      <c r="B14" s="13">
        <f>IF(Baseline!A14="",0,IF(AND(Baseline!A14&gt;=Shock!$B$7,Baseline!A14&lt;=Shock!$B$8),N(Baseline!B14)*Shock!$B$6,0))</f>
        <v/>
      </c>
      <c r="C14" s="13">
        <f>IF(Baseline!A14="",0,IF(Baseline!A14=Shock!$B$10,SUM($B$5:$B$56)*Shock!$B$9,0))</f>
        <v/>
      </c>
      <c r="D14" s="13">
        <f>N(Baseline!B14)-B14+C14</f>
        <v/>
      </c>
      <c r="E14" s="13">
        <f>N(Baseline!C14)*(1-IF(AND(Baseline!A14&gt;=Shock!$B$7,Baseline!A14&lt;=Shock!$B$8),Shock!$B$13,0))+IF(Baseline!A14=Shock!$B$12,Shock!$B$11,0)</f>
        <v/>
      </c>
      <c r="F14" s="13">
        <f>IF(Baseline!A14="","",F13+D14-E14)</f>
        <v/>
      </c>
      <c r="G14" s="12">
        <f>IF(AND(Baseline!A14&lt;&gt;"",N(F14)&lt;0),Baseline!A14,9999)</f>
        <v/>
      </c>
    </row>
    <row r="15">
      <c r="A15" s="12">
        <f>Baseline!A15</f>
        <v/>
      </c>
      <c r="B15" s="13">
        <f>IF(Baseline!A15="",0,IF(AND(Baseline!A15&gt;=Shock!$B$7,Baseline!A15&lt;=Shock!$B$8),N(Baseline!B15)*Shock!$B$6,0))</f>
        <v/>
      </c>
      <c r="C15" s="13">
        <f>IF(Baseline!A15="",0,IF(Baseline!A15=Shock!$B$10,SUM($B$5:$B$56)*Shock!$B$9,0))</f>
        <v/>
      </c>
      <c r="D15" s="13">
        <f>N(Baseline!B15)-B15+C15</f>
        <v/>
      </c>
      <c r="E15" s="13">
        <f>N(Baseline!C15)*(1-IF(AND(Baseline!A15&gt;=Shock!$B$7,Baseline!A15&lt;=Shock!$B$8),Shock!$B$13,0))+IF(Baseline!A15=Shock!$B$12,Shock!$B$11,0)</f>
        <v/>
      </c>
      <c r="F15" s="13">
        <f>IF(Baseline!A15="","",F14+D15-E15)</f>
        <v/>
      </c>
      <c r="G15" s="12">
        <f>IF(AND(Baseline!A15&lt;&gt;"",N(F15)&lt;0),Baseline!A15,9999)</f>
        <v/>
      </c>
    </row>
    <row r="16">
      <c r="A16" s="12">
        <f>Baseline!A16</f>
        <v/>
      </c>
      <c r="B16" s="13">
        <f>IF(Baseline!A16="",0,IF(AND(Baseline!A16&gt;=Shock!$B$7,Baseline!A16&lt;=Shock!$B$8),N(Baseline!B16)*Shock!$B$6,0))</f>
        <v/>
      </c>
      <c r="C16" s="13">
        <f>IF(Baseline!A16="",0,IF(Baseline!A16=Shock!$B$10,SUM($B$5:$B$56)*Shock!$B$9,0))</f>
        <v/>
      </c>
      <c r="D16" s="13">
        <f>N(Baseline!B16)-B16+C16</f>
        <v/>
      </c>
      <c r="E16" s="13">
        <f>N(Baseline!C16)*(1-IF(AND(Baseline!A16&gt;=Shock!$B$7,Baseline!A16&lt;=Shock!$B$8),Shock!$B$13,0))+IF(Baseline!A16=Shock!$B$12,Shock!$B$11,0)</f>
        <v/>
      </c>
      <c r="F16" s="13">
        <f>IF(Baseline!A16="","",F15+D16-E16)</f>
        <v/>
      </c>
      <c r="G16" s="12">
        <f>IF(AND(Baseline!A16&lt;&gt;"",N(F16)&lt;0),Baseline!A16,9999)</f>
        <v/>
      </c>
    </row>
    <row r="17">
      <c r="A17" s="12">
        <f>Baseline!A17</f>
        <v/>
      </c>
      <c r="B17" s="13">
        <f>IF(Baseline!A17="",0,IF(AND(Baseline!A17&gt;=Shock!$B$7,Baseline!A17&lt;=Shock!$B$8),N(Baseline!B17)*Shock!$B$6,0))</f>
        <v/>
      </c>
      <c r="C17" s="13">
        <f>IF(Baseline!A17="",0,IF(Baseline!A17=Shock!$B$10,SUM($B$5:$B$56)*Shock!$B$9,0))</f>
        <v/>
      </c>
      <c r="D17" s="13">
        <f>N(Baseline!B17)-B17+C17</f>
        <v/>
      </c>
      <c r="E17" s="13">
        <f>N(Baseline!C17)*(1-IF(AND(Baseline!A17&gt;=Shock!$B$7,Baseline!A17&lt;=Shock!$B$8),Shock!$B$13,0))+IF(Baseline!A17=Shock!$B$12,Shock!$B$11,0)</f>
        <v/>
      </c>
      <c r="F17" s="13">
        <f>IF(Baseline!A17="","",F16+D17-E17)</f>
        <v/>
      </c>
      <c r="G17" s="12">
        <f>IF(AND(Baseline!A17&lt;&gt;"",N(F17)&lt;0),Baseline!A17,9999)</f>
        <v/>
      </c>
    </row>
    <row r="18">
      <c r="A18" s="12">
        <f>Baseline!A18</f>
        <v/>
      </c>
      <c r="B18" s="13">
        <f>IF(Baseline!A18="",0,IF(AND(Baseline!A18&gt;=Shock!$B$7,Baseline!A18&lt;=Shock!$B$8),N(Baseline!B18)*Shock!$B$6,0))</f>
        <v/>
      </c>
      <c r="C18" s="13">
        <f>IF(Baseline!A18="",0,IF(Baseline!A18=Shock!$B$10,SUM($B$5:$B$56)*Shock!$B$9,0))</f>
        <v/>
      </c>
      <c r="D18" s="13">
        <f>N(Baseline!B18)-B18+C18</f>
        <v/>
      </c>
      <c r="E18" s="13">
        <f>N(Baseline!C18)*(1-IF(AND(Baseline!A18&gt;=Shock!$B$7,Baseline!A18&lt;=Shock!$B$8),Shock!$B$13,0))+IF(Baseline!A18=Shock!$B$12,Shock!$B$11,0)</f>
        <v/>
      </c>
      <c r="F18" s="13">
        <f>IF(Baseline!A18="","",F17+D18-E18)</f>
        <v/>
      </c>
      <c r="G18" s="12">
        <f>IF(AND(Baseline!A18&lt;&gt;"",N(F18)&lt;0),Baseline!A18,9999)</f>
        <v/>
      </c>
    </row>
    <row r="19">
      <c r="A19" s="12">
        <f>Baseline!A19</f>
        <v/>
      </c>
      <c r="B19" s="13">
        <f>IF(Baseline!A19="",0,IF(AND(Baseline!A19&gt;=Shock!$B$7,Baseline!A19&lt;=Shock!$B$8),N(Baseline!B19)*Shock!$B$6,0))</f>
        <v/>
      </c>
      <c r="C19" s="13">
        <f>IF(Baseline!A19="",0,IF(Baseline!A19=Shock!$B$10,SUM($B$5:$B$56)*Shock!$B$9,0))</f>
        <v/>
      </c>
      <c r="D19" s="13">
        <f>N(Baseline!B19)-B19+C19</f>
        <v/>
      </c>
      <c r="E19" s="13">
        <f>N(Baseline!C19)*(1-IF(AND(Baseline!A19&gt;=Shock!$B$7,Baseline!A19&lt;=Shock!$B$8),Shock!$B$13,0))+IF(Baseline!A19=Shock!$B$12,Shock!$B$11,0)</f>
        <v/>
      </c>
      <c r="F19" s="13">
        <f>IF(Baseline!A19="","",F18+D19-E19)</f>
        <v/>
      </c>
      <c r="G19" s="12">
        <f>IF(AND(Baseline!A19&lt;&gt;"",N(F19)&lt;0),Baseline!A19,9999)</f>
        <v/>
      </c>
    </row>
    <row r="20">
      <c r="A20" s="12">
        <f>Baseline!A20</f>
        <v/>
      </c>
      <c r="B20" s="13">
        <f>IF(Baseline!A20="",0,IF(AND(Baseline!A20&gt;=Shock!$B$7,Baseline!A20&lt;=Shock!$B$8),N(Baseline!B20)*Shock!$B$6,0))</f>
        <v/>
      </c>
      <c r="C20" s="13">
        <f>IF(Baseline!A20="",0,IF(Baseline!A20=Shock!$B$10,SUM($B$5:$B$56)*Shock!$B$9,0))</f>
        <v/>
      </c>
      <c r="D20" s="13">
        <f>N(Baseline!B20)-B20+C20</f>
        <v/>
      </c>
      <c r="E20" s="13">
        <f>N(Baseline!C20)*(1-IF(AND(Baseline!A20&gt;=Shock!$B$7,Baseline!A20&lt;=Shock!$B$8),Shock!$B$13,0))+IF(Baseline!A20=Shock!$B$12,Shock!$B$11,0)</f>
        <v/>
      </c>
      <c r="F20" s="13">
        <f>IF(Baseline!A20="","",F19+D20-E20)</f>
        <v/>
      </c>
      <c r="G20" s="12">
        <f>IF(AND(Baseline!A20&lt;&gt;"",N(F20)&lt;0),Baseline!A20,9999)</f>
        <v/>
      </c>
    </row>
    <row r="21">
      <c r="A21" s="12">
        <f>Baseline!A21</f>
        <v/>
      </c>
      <c r="B21" s="13">
        <f>IF(Baseline!A21="",0,IF(AND(Baseline!A21&gt;=Shock!$B$7,Baseline!A21&lt;=Shock!$B$8),N(Baseline!B21)*Shock!$B$6,0))</f>
        <v/>
      </c>
      <c r="C21" s="13">
        <f>IF(Baseline!A21="",0,IF(Baseline!A21=Shock!$B$10,SUM($B$5:$B$56)*Shock!$B$9,0))</f>
        <v/>
      </c>
      <c r="D21" s="13">
        <f>N(Baseline!B21)-B21+C21</f>
        <v/>
      </c>
      <c r="E21" s="13">
        <f>N(Baseline!C21)*(1-IF(AND(Baseline!A21&gt;=Shock!$B$7,Baseline!A21&lt;=Shock!$B$8),Shock!$B$13,0))+IF(Baseline!A21=Shock!$B$12,Shock!$B$11,0)</f>
        <v/>
      </c>
      <c r="F21" s="13">
        <f>IF(Baseline!A21="","",F20+D21-E21)</f>
        <v/>
      </c>
      <c r="G21" s="12">
        <f>IF(AND(Baseline!A21&lt;&gt;"",N(F21)&lt;0),Baseline!A21,9999)</f>
        <v/>
      </c>
    </row>
    <row r="22">
      <c r="A22" s="12">
        <f>Baseline!A22</f>
        <v/>
      </c>
      <c r="B22" s="13">
        <f>IF(Baseline!A22="",0,IF(AND(Baseline!A22&gt;=Shock!$B$7,Baseline!A22&lt;=Shock!$B$8),N(Baseline!B22)*Shock!$B$6,0))</f>
        <v/>
      </c>
      <c r="C22" s="13">
        <f>IF(Baseline!A22="",0,IF(Baseline!A22=Shock!$B$10,SUM($B$5:$B$56)*Shock!$B$9,0))</f>
        <v/>
      </c>
      <c r="D22" s="13">
        <f>N(Baseline!B22)-B22+C22</f>
        <v/>
      </c>
      <c r="E22" s="13">
        <f>N(Baseline!C22)*(1-IF(AND(Baseline!A22&gt;=Shock!$B$7,Baseline!A22&lt;=Shock!$B$8),Shock!$B$13,0))+IF(Baseline!A22=Shock!$B$12,Shock!$B$11,0)</f>
        <v/>
      </c>
      <c r="F22" s="13">
        <f>IF(Baseline!A22="","",F21+D22-E22)</f>
        <v/>
      </c>
      <c r="G22" s="12">
        <f>IF(AND(Baseline!A22&lt;&gt;"",N(F22)&lt;0),Baseline!A22,9999)</f>
        <v/>
      </c>
    </row>
    <row r="23">
      <c r="A23" s="12">
        <f>Baseline!A23</f>
        <v/>
      </c>
      <c r="B23" s="13">
        <f>IF(Baseline!A23="",0,IF(AND(Baseline!A23&gt;=Shock!$B$7,Baseline!A23&lt;=Shock!$B$8),N(Baseline!B23)*Shock!$B$6,0))</f>
        <v/>
      </c>
      <c r="C23" s="13">
        <f>IF(Baseline!A23="",0,IF(Baseline!A23=Shock!$B$10,SUM($B$5:$B$56)*Shock!$B$9,0))</f>
        <v/>
      </c>
      <c r="D23" s="13">
        <f>N(Baseline!B23)-B23+C23</f>
        <v/>
      </c>
      <c r="E23" s="13">
        <f>N(Baseline!C23)*(1-IF(AND(Baseline!A23&gt;=Shock!$B$7,Baseline!A23&lt;=Shock!$B$8),Shock!$B$13,0))+IF(Baseline!A23=Shock!$B$12,Shock!$B$11,0)</f>
        <v/>
      </c>
      <c r="F23" s="13">
        <f>IF(Baseline!A23="","",F22+D23-E23)</f>
        <v/>
      </c>
      <c r="G23" s="12">
        <f>IF(AND(Baseline!A23&lt;&gt;"",N(F23)&lt;0),Baseline!A23,9999)</f>
        <v/>
      </c>
    </row>
    <row r="24">
      <c r="A24" s="12">
        <f>Baseline!A24</f>
        <v/>
      </c>
      <c r="B24" s="13">
        <f>IF(Baseline!A24="",0,IF(AND(Baseline!A24&gt;=Shock!$B$7,Baseline!A24&lt;=Shock!$B$8),N(Baseline!B24)*Shock!$B$6,0))</f>
        <v/>
      </c>
      <c r="C24" s="13">
        <f>IF(Baseline!A24="",0,IF(Baseline!A24=Shock!$B$10,SUM($B$5:$B$56)*Shock!$B$9,0))</f>
        <v/>
      </c>
      <c r="D24" s="13">
        <f>N(Baseline!B24)-B24+C24</f>
        <v/>
      </c>
      <c r="E24" s="13">
        <f>N(Baseline!C24)*(1-IF(AND(Baseline!A24&gt;=Shock!$B$7,Baseline!A24&lt;=Shock!$B$8),Shock!$B$13,0))+IF(Baseline!A24=Shock!$B$12,Shock!$B$11,0)</f>
        <v/>
      </c>
      <c r="F24" s="13">
        <f>IF(Baseline!A24="","",F23+D24-E24)</f>
        <v/>
      </c>
      <c r="G24" s="12">
        <f>IF(AND(Baseline!A24&lt;&gt;"",N(F24)&lt;0),Baseline!A24,9999)</f>
        <v/>
      </c>
    </row>
    <row r="25">
      <c r="A25" s="12">
        <f>Baseline!A25</f>
        <v/>
      </c>
      <c r="B25" s="13">
        <f>IF(Baseline!A25="",0,IF(AND(Baseline!A25&gt;=Shock!$B$7,Baseline!A25&lt;=Shock!$B$8),N(Baseline!B25)*Shock!$B$6,0))</f>
        <v/>
      </c>
      <c r="C25" s="13">
        <f>IF(Baseline!A25="",0,IF(Baseline!A25=Shock!$B$10,SUM($B$5:$B$56)*Shock!$B$9,0))</f>
        <v/>
      </c>
      <c r="D25" s="13">
        <f>N(Baseline!B25)-B25+C25</f>
        <v/>
      </c>
      <c r="E25" s="13">
        <f>N(Baseline!C25)*(1-IF(AND(Baseline!A25&gt;=Shock!$B$7,Baseline!A25&lt;=Shock!$B$8),Shock!$B$13,0))+IF(Baseline!A25=Shock!$B$12,Shock!$B$11,0)</f>
        <v/>
      </c>
      <c r="F25" s="13">
        <f>IF(Baseline!A25="","",F24+D25-E25)</f>
        <v/>
      </c>
      <c r="G25" s="12">
        <f>IF(AND(Baseline!A25&lt;&gt;"",N(F25)&lt;0),Baseline!A25,9999)</f>
        <v/>
      </c>
    </row>
    <row r="26">
      <c r="A26" s="12">
        <f>Baseline!A26</f>
        <v/>
      </c>
      <c r="B26" s="13">
        <f>IF(Baseline!A26="",0,IF(AND(Baseline!A26&gt;=Shock!$B$7,Baseline!A26&lt;=Shock!$B$8),N(Baseline!B26)*Shock!$B$6,0))</f>
        <v/>
      </c>
      <c r="C26" s="13">
        <f>IF(Baseline!A26="",0,IF(Baseline!A26=Shock!$B$10,SUM($B$5:$B$56)*Shock!$B$9,0))</f>
        <v/>
      </c>
      <c r="D26" s="13">
        <f>N(Baseline!B26)-B26+C26</f>
        <v/>
      </c>
      <c r="E26" s="13">
        <f>N(Baseline!C26)*(1-IF(AND(Baseline!A26&gt;=Shock!$B$7,Baseline!A26&lt;=Shock!$B$8),Shock!$B$13,0))+IF(Baseline!A26=Shock!$B$12,Shock!$B$11,0)</f>
        <v/>
      </c>
      <c r="F26" s="13">
        <f>IF(Baseline!A26="","",F25+D26-E26)</f>
        <v/>
      </c>
      <c r="G26" s="12">
        <f>IF(AND(Baseline!A26&lt;&gt;"",N(F26)&lt;0),Baseline!A26,9999)</f>
        <v/>
      </c>
    </row>
    <row r="27">
      <c r="A27" s="12">
        <f>Baseline!A27</f>
        <v/>
      </c>
      <c r="B27" s="13">
        <f>IF(Baseline!A27="",0,IF(AND(Baseline!A27&gt;=Shock!$B$7,Baseline!A27&lt;=Shock!$B$8),N(Baseline!B27)*Shock!$B$6,0))</f>
        <v/>
      </c>
      <c r="C27" s="13">
        <f>IF(Baseline!A27="",0,IF(Baseline!A27=Shock!$B$10,SUM($B$5:$B$56)*Shock!$B$9,0))</f>
        <v/>
      </c>
      <c r="D27" s="13">
        <f>N(Baseline!B27)-B27+C27</f>
        <v/>
      </c>
      <c r="E27" s="13">
        <f>N(Baseline!C27)*(1-IF(AND(Baseline!A27&gt;=Shock!$B$7,Baseline!A27&lt;=Shock!$B$8),Shock!$B$13,0))+IF(Baseline!A27=Shock!$B$12,Shock!$B$11,0)</f>
        <v/>
      </c>
      <c r="F27" s="13">
        <f>IF(Baseline!A27="","",F26+D27-E27)</f>
        <v/>
      </c>
      <c r="G27" s="12">
        <f>IF(AND(Baseline!A27&lt;&gt;"",N(F27)&lt;0),Baseline!A27,9999)</f>
        <v/>
      </c>
    </row>
    <row r="28">
      <c r="A28" s="12">
        <f>Baseline!A28</f>
        <v/>
      </c>
      <c r="B28" s="13">
        <f>IF(Baseline!A28="",0,IF(AND(Baseline!A28&gt;=Shock!$B$7,Baseline!A28&lt;=Shock!$B$8),N(Baseline!B28)*Shock!$B$6,0))</f>
        <v/>
      </c>
      <c r="C28" s="13">
        <f>IF(Baseline!A28="",0,IF(Baseline!A28=Shock!$B$10,SUM($B$5:$B$56)*Shock!$B$9,0))</f>
        <v/>
      </c>
      <c r="D28" s="13">
        <f>N(Baseline!B28)-B28+C28</f>
        <v/>
      </c>
      <c r="E28" s="13">
        <f>N(Baseline!C28)*(1-IF(AND(Baseline!A28&gt;=Shock!$B$7,Baseline!A28&lt;=Shock!$B$8),Shock!$B$13,0))+IF(Baseline!A28=Shock!$B$12,Shock!$B$11,0)</f>
        <v/>
      </c>
      <c r="F28" s="13">
        <f>IF(Baseline!A28="","",F27+D28-E28)</f>
        <v/>
      </c>
      <c r="G28" s="12">
        <f>IF(AND(Baseline!A28&lt;&gt;"",N(F28)&lt;0),Baseline!A28,9999)</f>
        <v/>
      </c>
    </row>
    <row r="29">
      <c r="A29" s="12">
        <f>Baseline!A29</f>
        <v/>
      </c>
      <c r="B29" s="13">
        <f>IF(Baseline!A29="",0,IF(AND(Baseline!A29&gt;=Shock!$B$7,Baseline!A29&lt;=Shock!$B$8),N(Baseline!B29)*Shock!$B$6,0))</f>
        <v/>
      </c>
      <c r="C29" s="13">
        <f>IF(Baseline!A29="",0,IF(Baseline!A29=Shock!$B$10,SUM($B$5:$B$56)*Shock!$B$9,0))</f>
        <v/>
      </c>
      <c r="D29" s="13">
        <f>N(Baseline!B29)-B29+C29</f>
        <v/>
      </c>
      <c r="E29" s="13">
        <f>N(Baseline!C29)*(1-IF(AND(Baseline!A29&gt;=Shock!$B$7,Baseline!A29&lt;=Shock!$B$8),Shock!$B$13,0))+IF(Baseline!A29=Shock!$B$12,Shock!$B$11,0)</f>
        <v/>
      </c>
      <c r="F29" s="13">
        <f>IF(Baseline!A29="","",F28+D29-E29)</f>
        <v/>
      </c>
      <c r="G29" s="12">
        <f>IF(AND(Baseline!A29&lt;&gt;"",N(F29)&lt;0),Baseline!A29,9999)</f>
        <v/>
      </c>
    </row>
    <row r="30">
      <c r="A30" s="12">
        <f>Baseline!A30</f>
        <v/>
      </c>
      <c r="B30" s="13">
        <f>IF(Baseline!A30="",0,IF(AND(Baseline!A30&gt;=Shock!$B$7,Baseline!A30&lt;=Shock!$B$8),N(Baseline!B30)*Shock!$B$6,0))</f>
        <v/>
      </c>
      <c r="C30" s="13">
        <f>IF(Baseline!A30="",0,IF(Baseline!A30=Shock!$B$10,SUM($B$5:$B$56)*Shock!$B$9,0))</f>
        <v/>
      </c>
      <c r="D30" s="13">
        <f>N(Baseline!B30)-B30+C30</f>
        <v/>
      </c>
      <c r="E30" s="13">
        <f>N(Baseline!C30)*(1-IF(AND(Baseline!A30&gt;=Shock!$B$7,Baseline!A30&lt;=Shock!$B$8),Shock!$B$13,0))+IF(Baseline!A30=Shock!$B$12,Shock!$B$11,0)</f>
        <v/>
      </c>
      <c r="F30" s="13">
        <f>IF(Baseline!A30="","",F29+D30-E30)</f>
        <v/>
      </c>
      <c r="G30" s="12">
        <f>IF(AND(Baseline!A30&lt;&gt;"",N(F30)&lt;0),Baseline!A30,9999)</f>
        <v/>
      </c>
    </row>
    <row r="31">
      <c r="A31" s="12">
        <f>Baseline!A31</f>
        <v/>
      </c>
      <c r="B31" s="13">
        <f>IF(Baseline!A31="",0,IF(AND(Baseline!A31&gt;=Shock!$B$7,Baseline!A31&lt;=Shock!$B$8),N(Baseline!B31)*Shock!$B$6,0))</f>
        <v/>
      </c>
      <c r="C31" s="13">
        <f>IF(Baseline!A31="",0,IF(Baseline!A31=Shock!$B$10,SUM($B$5:$B$56)*Shock!$B$9,0))</f>
        <v/>
      </c>
      <c r="D31" s="13">
        <f>N(Baseline!B31)-B31+C31</f>
        <v/>
      </c>
      <c r="E31" s="13">
        <f>N(Baseline!C31)*(1-IF(AND(Baseline!A31&gt;=Shock!$B$7,Baseline!A31&lt;=Shock!$B$8),Shock!$B$13,0))+IF(Baseline!A31=Shock!$B$12,Shock!$B$11,0)</f>
        <v/>
      </c>
      <c r="F31" s="13">
        <f>IF(Baseline!A31="","",F30+D31-E31)</f>
        <v/>
      </c>
      <c r="G31" s="12">
        <f>IF(AND(Baseline!A31&lt;&gt;"",N(F31)&lt;0),Baseline!A31,9999)</f>
        <v/>
      </c>
    </row>
    <row r="32">
      <c r="A32" s="12">
        <f>Baseline!A32</f>
        <v/>
      </c>
      <c r="B32" s="13">
        <f>IF(Baseline!A32="",0,IF(AND(Baseline!A32&gt;=Shock!$B$7,Baseline!A32&lt;=Shock!$B$8),N(Baseline!B32)*Shock!$B$6,0))</f>
        <v/>
      </c>
      <c r="C32" s="13">
        <f>IF(Baseline!A32="",0,IF(Baseline!A32=Shock!$B$10,SUM($B$5:$B$56)*Shock!$B$9,0))</f>
        <v/>
      </c>
      <c r="D32" s="13">
        <f>N(Baseline!B32)-B32+C32</f>
        <v/>
      </c>
      <c r="E32" s="13">
        <f>N(Baseline!C32)*(1-IF(AND(Baseline!A32&gt;=Shock!$B$7,Baseline!A32&lt;=Shock!$B$8),Shock!$B$13,0))+IF(Baseline!A32=Shock!$B$12,Shock!$B$11,0)</f>
        <v/>
      </c>
      <c r="F32" s="13">
        <f>IF(Baseline!A32="","",F31+D32-E32)</f>
        <v/>
      </c>
      <c r="G32" s="12">
        <f>IF(AND(Baseline!A32&lt;&gt;"",N(F32)&lt;0),Baseline!A32,9999)</f>
        <v/>
      </c>
    </row>
    <row r="33">
      <c r="A33" s="12">
        <f>Baseline!A33</f>
        <v/>
      </c>
      <c r="B33" s="13">
        <f>IF(Baseline!A33="",0,IF(AND(Baseline!A33&gt;=Shock!$B$7,Baseline!A33&lt;=Shock!$B$8),N(Baseline!B33)*Shock!$B$6,0))</f>
        <v/>
      </c>
      <c r="C33" s="13">
        <f>IF(Baseline!A33="",0,IF(Baseline!A33=Shock!$B$10,SUM($B$5:$B$56)*Shock!$B$9,0))</f>
        <v/>
      </c>
      <c r="D33" s="13">
        <f>N(Baseline!B33)-B33+C33</f>
        <v/>
      </c>
      <c r="E33" s="13">
        <f>N(Baseline!C33)*(1-IF(AND(Baseline!A33&gt;=Shock!$B$7,Baseline!A33&lt;=Shock!$B$8),Shock!$B$13,0))+IF(Baseline!A33=Shock!$B$12,Shock!$B$11,0)</f>
        <v/>
      </c>
      <c r="F33" s="13">
        <f>IF(Baseline!A33="","",F32+D33-E33)</f>
        <v/>
      </c>
      <c r="G33" s="12">
        <f>IF(AND(Baseline!A33&lt;&gt;"",N(F33)&lt;0),Baseline!A33,9999)</f>
        <v/>
      </c>
    </row>
    <row r="34">
      <c r="A34" s="12">
        <f>Baseline!A34</f>
        <v/>
      </c>
      <c r="B34" s="13">
        <f>IF(Baseline!A34="",0,IF(AND(Baseline!A34&gt;=Shock!$B$7,Baseline!A34&lt;=Shock!$B$8),N(Baseline!B34)*Shock!$B$6,0))</f>
        <v/>
      </c>
      <c r="C34" s="13">
        <f>IF(Baseline!A34="",0,IF(Baseline!A34=Shock!$B$10,SUM($B$5:$B$56)*Shock!$B$9,0))</f>
        <v/>
      </c>
      <c r="D34" s="13">
        <f>N(Baseline!B34)-B34+C34</f>
        <v/>
      </c>
      <c r="E34" s="13">
        <f>N(Baseline!C34)*(1-IF(AND(Baseline!A34&gt;=Shock!$B$7,Baseline!A34&lt;=Shock!$B$8),Shock!$B$13,0))+IF(Baseline!A34=Shock!$B$12,Shock!$B$11,0)</f>
        <v/>
      </c>
      <c r="F34" s="13">
        <f>IF(Baseline!A34="","",F33+D34-E34)</f>
        <v/>
      </c>
      <c r="G34" s="12">
        <f>IF(AND(Baseline!A34&lt;&gt;"",N(F34)&lt;0),Baseline!A34,9999)</f>
        <v/>
      </c>
    </row>
    <row r="35">
      <c r="A35" s="12">
        <f>Baseline!A35</f>
        <v/>
      </c>
      <c r="B35" s="13">
        <f>IF(Baseline!A35="",0,IF(AND(Baseline!A35&gt;=Shock!$B$7,Baseline!A35&lt;=Shock!$B$8),N(Baseline!B35)*Shock!$B$6,0))</f>
        <v/>
      </c>
      <c r="C35" s="13">
        <f>IF(Baseline!A35="",0,IF(Baseline!A35=Shock!$B$10,SUM($B$5:$B$56)*Shock!$B$9,0))</f>
        <v/>
      </c>
      <c r="D35" s="13">
        <f>N(Baseline!B35)-B35+C35</f>
        <v/>
      </c>
      <c r="E35" s="13">
        <f>N(Baseline!C35)*(1-IF(AND(Baseline!A35&gt;=Shock!$B$7,Baseline!A35&lt;=Shock!$B$8),Shock!$B$13,0))+IF(Baseline!A35=Shock!$B$12,Shock!$B$11,0)</f>
        <v/>
      </c>
      <c r="F35" s="13">
        <f>IF(Baseline!A35="","",F34+D35-E35)</f>
        <v/>
      </c>
      <c r="G35" s="12">
        <f>IF(AND(Baseline!A35&lt;&gt;"",N(F35)&lt;0),Baseline!A35,9999)</f>
        <v/>
      </c>
    </row>
    <row r="36">
      <c r="A36" s="12">
        <f>Baseline!A36</f>
        <v/>
      </c>
      <c r="B36" s="13">
        <f>IF(Baseline!A36="",0,IF(AND(Baseline!A36&gt;=Shock!$B$7,Baseline!A36&lt;=Shock!$B$8),N(Baseline!B36)*Shock!$B$6,0))</f>
        <v/>
      </c>
      <c r="C36" s="13">
        <f>IF(Baseline!A36="",0,IF(Baseline!A36=Shock!$B$10,SUM($B$5:$B$56)*Shock!$B$9,0))</f>
        <v/>
      </c>
      <c r="D36" s="13">
        <f>N(Baseline!B36)-B36+C36</f>
        <v/>
      </c>
      <c r="E36" s="13">
        <f>N(Baseline!C36)*(1-IF(AND(Baseline!A36&gt;=Shock!$B$7,Baseline!A36&lt;=Shock!$B$8),Shock!$B$13,0))+IF(Baseline!A36=Shock!$B$12,Shock!$B$11,0)</f>
        <v/>
      </c>
      <c r="F36" s="13">
        <f>IF(Baseline!A36="","",F35+D36-E36)</f>
        <v/>
      </c>
      <c r="G36" s="12">
        <f>IF(AND(Baseline!A36&lt;&gt;"",N(F36)&lt;0),Baseline!A36,9999)</f>
        <v/>
      </c>
    </row>
    <row r="37">
      <c r="A37" s="12">
        <f>Baseline!A37</f>
        <v/>
      </c>
      <c r="B37" s="13">
        <f>IF(Baseline!A37="",0,IF(AND(Baseline!A37&gt;=Shock!$B$7,Baseline!A37&lt;=Shock!$B$8),N(Baseline!B37)*Shock!$B$6,0))</f>
        <v/>
      </c>
      <c r="C37" s="13">
        <f>IF(Baseline!A37="",0,IF(Baseline!A37=Shock!$B$10,SUM($B$5:$B$56)*Shock!$B$9,0))</f>
        <v/>
      </c>
      <c r="D37" s="13">
        <f>N(Baseline!B37)-B37+C37</f>
        <v/>
      </c>
      <c r="E37" s="13">
        <f>N(Baseline!C37)*(1-IF(AND(Baseline!A37&gt;=Shock!$B$7,Baseline!A37&lt;=Shock!$B$8),Shock!$B$13,0))+IF(Baseline!A37=Shock!$B$12,Shock!$B$11,0)</f>
        <v/>
      </c>
      <c r="F37" s="13">
        <f>IF(Baseline!A37="","",F36+D37-E37)</f>
        <v/>
      </c>
      <c r="G37" s="12">
        <f>IF(AND(Baseline!A37&lt;&gt;"",N(F37)&lt;0),Baseline!A37,9999)</f>
        <v/>
      </c>
    </row>
    <row r="38">
      <c r="A38" s="12">
        <f>Baseline!A38</f>
        <v/>
      </c>
      <c r="B38" s="13">
        <f>IF(Baseline!A38="",0,IF(AND(Baseline!A38&gt;=Shock!$B$7,Baseline!A38&lt;=Shock!$B$8),N(Baseline!B38)*Shock!$B$6,0))</f>
        <v/>
      </c>
      <c r="C38" s="13">
        <f>IF(Baseline!A38="",0,IF(Baseline!A38=Shock!$B$10,SUM($B$5:$B$56)*Shock!$B$9,0))</f>
        <v/>
      </c>
      <c r="D38" s="13">
        <f>N(Baseline!B38)-B38+C38</f>
        <v/>
      </c>
      <c r="E38" s="13">
        <f>N(Baseline!C38)*(1-IF(AND(Baseline!A38&gt;=Shock!$B$7,Baseline!A38&lt;=Shock!$B$8),Shock!$B$13,0))+IF(Baseline!A38=Shock!$B$12,Shock!$B$11,0)</f>
        <v/>
      </c>
      <c r="F38" s="13">
        <f>IF(Baseline!A38="","",F37+D38-E38)</f>
        <v/>
      </c>
      <c r="G38" s="12">
        <f>IF(AND(Baseline!A38&lt;&gt;"",N(F38)&lt;0),Baseline!A38,9999)</f>
        <v/>
      </c>
    </row>
    <row r="39">
      <c r="A39" s="12">
        <f>Baseline!A39</f>
        <v/>
      </c>
      <c r="B39" s="13">
        <f>IF(Baseline!A39="",0,IF(AND(Baseline!A39&gt;=Shock!$B$7,Baseline!A39&lt;=Shock!$B$8),N(Baseline!B39)*Shock!$B$6,0))</f>
        <v/>
      </c>
      <c r="C39" s="13">
        <f>IF(Baseline!A39="",0,IF(Baseline!A39=Shock!$B$10,SUM($B$5:$B$56)*Shock!$B$9,0))</f>
        <v/>
      </c>
      <c r="D39" s="13">
        <f>N(Baseline!B39)-B39+C39</f>
        <v/>
      </c>
      <c r="E39" s="13">
        <f>N(Baseline!C39)*(1-IF(AND(Baseline!A39&gt;=Shock!$B$7,Baseline!A39&lt;=Shock!$B$8),Shock!$B$13,0))+IF(Baseline!A39=Shock!$B$12,Shock!$B$11,0)</f>
        <v/>
      </c>
      <c r="F39" s="13">
        <f>IF(Baseline!A39="","",F38+D39-E39)</f>
        <v/>
      </c>
      <c r="G39" s="12">
        <f>IF(AND(Baseline!A39&lt;&gt;"",N(F39)&lt;0),Baseline!A39,9999)</f>
        <v/>
      </c>
    </row>
    <row r="40">
      <c r="A40" s="12">
        <f>Baseline!A40</f>
        <v/>
      </c>
      <c r="B40" s="13">
        <f>IF(Baseline!A40="",0,IF(AND(Baseline!A40&gt;=Shock!$B$7,Baseline!A40&lt;=Shock!$B$8),N(Baseline!B40)*Shock!$B$6,0))</f>
        <v/>
      </c>
      <c r="C40" s="13">
        <f>IF(Baseline!A40="",0,IF(Baseline!A40=Shock!$B$10,SUM($B$5:$B$56)*Shock!$B$9,0))</f>
        <v/>
      </c>
      <c r="D40" s="13">
        <f>N(Baseline!B40)-B40+C40</f>
        <v/>
      </c>
      <c r="E40" s="13">
        <f>N(Baseline!C40)*(1-IF(AND(Baseline!A40&gt;=Shock!$B$7,Baseline!A40&lt;=Shock!$B$8),Shock!$B$13,0))+IF(Baseline!A40=Shock!$B$12,Shock!$B$11,0)</f>
        <v/>
      </c>
      <c r="F40" s="13">
        <f>IF(Baseline!A40="","",F39+D40-E40)</f>
        <v/>
      </c>
      <c r="G40" s="12">
        <f>IF(AND(Baseline!A40&lt;&gt;"",N(F40)&lt;0),Baseline!A40,9999)</f>
        <v/>
      </c>
    </row>
    <row r="41">
      <c r="A41" s="12">
        <f>Baseline!A41</f>
        <v/>
      </c>
      <c r="B41" s="13">
        <f>IF(Baseline!A41="",0,IF(AND(Baseline!A41&gt;=Shock!$B$7,Baseline!A41&lt;=Shock!$B$8),N(Baseline!B41)*Shock!$B$6,0))</f>
        <v/>
      </c>
      <c r="C41" s="13">
        <f>IF(Baseline!A41="",0,IF(Baseline!A41=Shock!$B$10,SUM($B$5:$B$56)*Shock!$B$9,0))</f>
        <v/>
      </c>
      <c r="D41" s="13">
        <f>N(Baseline!B41)-B41+C41</f>
        <v/>
      </c>
      <c r="E41" s="13">
        <f>N(Baseline!C41)*(1-IF(AND(Baseline!A41&gt;=Shock!$B$7,Baseline!A41&lt;=Shock!$B$8),Shock!$B$13,0))+IF(Baseline!A41=Shock!$B$12,Shock!$B$11,0)</f>
        <v/>
      </c>
      <c r="F41" s="13">
        <f>IF(Baseline!A41="","",F40+D41-E41)</f>
        <v/>
      </c>
      <c r="G41" s="12">
        <f>IF(AND(Baseline!A41&lt;&gt;"",N(F41)&lt;0),Baseline!A41,9999)</f>
        <v/>
      </c>
    </row>
    <row r="42">
      <c r="A42" s="12">
        <f>Baseline!A42</f>
        <v/>
      </c>
      <c r="B42" s="13">
        <f>IF(Baseline!A42="",0,IF(AND(Baseline!A42&gt;=Shock!$B$7,Baseline!A42&lt;=Shock!$B$8),N(Baseline!B42)*Shock!$B$6,0))</f>
        <v/>
      </c>
      <c r="C42" s="13">
        <f>IF(Baseline!A42="",0,IF(Baseline!A42=Shock!$B$10,SUM($B$5:$B$56)*Shock!$B$9,0))</f>
        <v/>
      </c>
      <c r="D42" s="13">
        <f>N(Baseline!B42)-B42+C42</f>
        <v/>
      </c>
      <c r="E42" s="13">
        <f>N(Baseline!C42)*(1-IF(AND(Baseline!A42&gt;=Shock!$B$7,Baseline!A42&lt;=Shock!$B$8),Shock!$B$13,0))+IF(Baseline!A42=Shock!$B$12,Shock!$B$11,0)</f>
        <v/>
      </c>
      <c r="F42" s="13">
        <f>IF(Baseline!A42="","",F41+D42-E42)</f>
        <v/>
      </c>
      <c r="G42" s="12">
        <f>IF(AND(Baseline!A42&lt;&gt;"",N(F42)&lt;0),Baseline!A42,9999)</f>
        <v/>
      </c>
    </row>
    <row r="43">
      <c r="A43" s="12">
        <f>Baseline!A43</f>
        <v/>
      </c>
      <c r="B43" s="13">
        <f>IF(Baseline!A43="",0,IF(AND(Baseline!A43&gt;=Shock!$B$7,Baseline!A43&lt;=Shock!$B$8),N(Baseline!B43)*Shock!$B$6,0))</f>
        <v/>
      </c>
      <c r="C43" s="13">
        <f>IF(Baseline!A43="",0,IF(Baseline!A43=Shock!$B$10,SUM($B$5:$B$56)*Shock!$B$9,0))</f>
        <v/>
      </c>
      <c r="D43" s="13">
        <f>N(Baseline!B43)-B43+C43</f>
        <v/>
      </c>
      <c r="E43" s="13">
        <f>N(Baseline!C43)*(1-IF(AND(Baseline!A43&gt;=Shock!$B$7,Baseline!A43&lt;=Shock!$B$8),Shock!$B$13,0))+IF(Baseline!A43=Shock!$B$12,Shock!$B$11,0)</f>
        <v/>
      </c>
      <c r="F43" s="13">
        <f>IF(Baseline!A43="","",F42+D43-E43)</f>
        <v/>
      </c>
      <c r="G43" s="12">
        <f>IF(AND(Baseline!A43&lt;&gt;"",N(F43)&lt;0),Baseline!A43,9999)</f>
        <v/>
      </c>
    </row>
    <row r="44">
      <c r="A44" s="12">
        <f>Baseline!A44</f>
        <v/>
      </c>
      <c r="B44" s="13">
        <f>IF(Baseline!A44="",0,IF(AND(Baseline!A44&gt;=Shock!$B$7,Baseline!A44&lt;=Shock!$B$8),N(Baseline!B44)*Shock!$B$6,0))</f>
        <v/>
      </c>
      <c r="C44" s="13">
        <f>IF(Baseline!A44="",0,IF(Baseline!A44=Shock!$B$10,SUM($B$5:$B$56)*Shock!$B$9,0))</f>
        <v/>
      </c>
      <c r="D44" s="13">
        <f>N(Baseline!B44)-B44+C44</f>
        <v/>
      </c>
      <c r="E44" s="13">
        <f>N(Baseline!C44)*(1-IF(AND(Baseline!A44&gt;=Shock!$B$7,Baseline!A44&lt;=Shock!$B$8),Shock!$B$13,0))+IF(Baseline!A44=Shock!$B$12,Shock!$B$11,0)</f>
        <v/>
      </c>
      <c r="F44" s="13">
        <f>IF(Baseline!A44="","",F43+D44-E44)</f>
        <v/>
      </c>
      <c r="G44" s="12">
        <f>IF(AND(Baseline!A44&lt;&gt;"",N(F44)&lt;0),Baseline!A44,9999)</f>
        <v/>
      </c>
    </row>
    <row r="45">
      <c r="A45" s="12">
        <f>Baseline!A45</f>
        <v/>
      </c>
      <c r="B45" s="13">
        <f>IF(Baseline!A45="",0,IF(AND(Baseline!A45&gt;=Shock!$B$7,Baseline!A45&lt;=Shock!$B$8),N(Baseline!B45)*Shock!$B$6,0))</f>
        <v/>
      </c>
      <c r="C45" s="13">
        <f>IF(Baseline!A45="",0,IF(Baseline!A45=Shock!$B$10,SUM($B$5:$B$56)*Shock!$B$9,0))</f>
        <v/>
      </c>
      <c r="D45" s="13">
        <f>N(Baseline!B45)-B45+C45</f>
        <v/>
      </c>
      <c r="E45" s="13">
        <f>N(Baseline!C45)*(1-IF(AND(Baseline!A45&gt;=Shock!$B$7,Baseline!A45&lt;=Shock!$B$8),Shock!$B$13,0))+IF(Baseline!A45=Shock!$B$12,Shock!$B$11,0)</f>
        <v/>
      </c>
      <c r="F45" s="13">
        <f>IF(Baseline!A45="","",F44+D45-E45)</f>
        <v/>
      </c>
      <c r="G45" s="12">
        <f>IF(AND(Baseline!A45&lt;&gt;"",N(F45)&lt;0),Baseline!A45,9999)</f>
        <v/>
      </c>
    </row>
    <row r="46">
      <c r="A46" s="12">
        <f>Baseline!A46</f>
        <v/>
      </c>
      <c r="B46" s="13">
        <f>IF(Baseline!A46="",0,IF(AND(Baseline!A46&gt;=Shock!$B$7,Baseline!A46&lt;=Shock!$B$8),N(Baseline!B46)*Shock!$B$6,0))</f>
        <v/>
      </c>
      <c r="C46" s="13">
        <f>IF(Baseline!A46="",0,IF(Baseline!A46=Shock!$B$10,SUM($B$5:$B$56)*Shock!$B$9,0))</f>
        <v/>
      </c>
      <c r="D46" s="13">
        <f>N(Baseline!B46)-B46+C46</f>
        <v/>
      </c>
      <c r="E46" s="13">
        <f>N(Baseline!C46)*(1-IF(AND(Baseline!A46&gt;=Shock!$B$7,Baseline!A46&lt;=Shock!$B$8),Shock!$B$13,0))+IF(Baseline!A46=Shock!$B$12,Shock!$B$11,0)</f>
        <v/>
      </c>
      <c r="F46" s="13">
        <f>IF(Baseline!A46="","",F45+D46-E46)</f>
        <v/>
      </c>
      <c r="G46" s="12">
        <f>IF(AND(Baseline!A46&lt;&gt;"",N(F46)&lt;0),Baseline!A46,9999)</f>
        <v/>
      </c>
    </row>
    <row r="47">
      <c r="A47" s="12">
        <f>Baseline!A47</f>
        <v/>
      </c>
      <c r="B47" s="13">
        <f>IF(Baseline!A47="",0,IF(AND(Baseline!A47&gt;=Shock!$B$7,Baseline!A47&lt;=Shock!$B$8),N(Baseline!B47)*Shock!$B$6,0))</f>
        <v/>
      </c>
      <c r="C47" s="13">
        <f>IF(Baseline!A47="",0,IF(Baseline!A47=Shock!$B$10,SUM($B$5:$B$56)*Shock!$B$9,0))</f>
        <v/>
      </c>
      <c r="D47" s="13">
        <f>N(Baseline!B47)-B47+C47</f>
        <v/>
      </c>
      <c r="E47" s="13">
        <f>N(Baseline!C47)*(1-IF(AND(Baseline!A47&gt;=Shock!$B$7,Baseline!A47&lt;=Shock!$B$8),Shock!$B$13,0))+IF(Baseline!A47=Shock!$B$12,Shock!$B$11,0)</f>
        <v/>
      </c>
      <c r="F47" s="13">
        <f>IF(Baseline!A47="","",F46+D47-E47)</f>
        <v/>
      </c>
      <c r="G47" s="12">
        <f>IF(AND(Baseline!A47&lt;&gt;"",N(F47)&lt;0),Baseline!A47,9999)</f>
        <v/>
      </c>
    </row>
    <row r="48">
      <c r="A48" s="12">
        <f>Baseline!A48</f>
        <v/>
      </c>
      <c r="B48" s="13">
        <f>IF(Baseline!A48="",0,IF(AND(Baseline!A48&gt;=Shock!$B$7,Baseline!A48&lt;=Shock!$B$8),N(Baseline!B48)*Shock!$B$6,0))</f>
        <v/>
      </c>
      <c r="C48" s="13">
        <f>IF(Baseline!A48="",0,IF(Baseline!A48=Shock!$B$10,SUM($B$5:$B$56)*Shock!$B$9,0))</f>
        <v/>
      </c>
      <c r="D48" s="13">
        <f>N(Baseline!B48)-B48+C48</f>
        <v/>
      </c>
      <c r="E48" s="13">
        <f>N(Baseline!C48)*(1-IF(AND(Baseline!A48&gt;=Shock!$B$7,Baseline!A48&lt;=Shock!$B$8),Shock!$B$13,0))+IF(Baseline!A48=Shock!$B$12,Shock!$B$11,0)</f>
        <v/>
      </c>
      <c r="F48" s="13">
        <f>IF(Baseline!A48="","",F47+D48-E48)</f>
        <v/>
      </c>
      <c r="G48" s="12">
        <f>IF(AND(Baseline!A48&lt;&gt;"",N(F48)&lt;0),Baseline!A48,9999)</f>
        <v/>
      </c>
    </row>
    <row r="49">
      <c r="A49" s="12">
        <f>Baseline!A49</f>
        <v/>
      </c>
      <c r="B49" s="13">
        <f>IF(Baseline!A49="",0,IF(AND(Baseline!A49&gt;=Shock!$B$7,Baseline!A49&lt;=Shock!$B$8),N(Baseline!B49)*Shock!$B$6,0))</f>
        <v/>
      </c>
      <c r="C49" s="13">
        <f>IF(Baseline!A49="",0,IF(Baseline!A49=Shock!$B$10,SUM($B$5:$B$56)*Shock!$B$9,0))</f>
        <v/>
      </c>
      <c r="D49" s="13">
        <f>N(Baseline!B49)-B49+C49</f>
        <v/>
      </c>
      <c r="E49" s="13">
        <f>N(Baseline!C49)*(1-IF(AND(Baseline!A49&gt;=Shock!$B$7,Baseline!A49&lt;=Shock!$B$8),Shock!$B$13,0))+IF(Baseline!A49=Shock!$B$12,Shock!$B$11,0)</f>
        <v/>
      </c>
      <c r="F49" s="13">
        <f>IF(Baseline!A49="","",F48+D49-E49)</f>
        <v/>
      </c>
      <c r="G49" s="12">
        <f>IF(AND(Baseline!A49&lt;&gt;"",N(F49)&lt;0),Baseline!A49,9999)</f>
        <v/>
      </c>
    </row>
    <row r="50">
      <c r="A50" s="12">
        <f>Baseline!A50</f>
        <v/>
      </c>
      <c r="B50" s="13">
        <f>IF(Baseline!A50="",0,IF(AND(Baseline!A50&gt;=Shock!$B$7,Baseline!A50&lt;=Shock!$B$8),N(Baseline!B50)*Shock!$B$6,0))</f>
        <v/>
      </c>
      <c r="C50" s="13">
        <f>IF(Baseline!A50="",0,IF(Baseline!A50=Shock!$B$10,SUM($B$5:$B$56)*Shock!$B$9,0))</f>
        <v/>
      </c>
      <c r="D50" s="13">
        <f>N(Baseline!B50)-B50+C50</f>
        <v/>
      </c>
      <c r="E50" s="13">
        <f>N(Baseline!C50)*(1-IF(AND(Baseline!A50&gt;=Shock!$B$7,Baseline!A50&lt;=Shock!$B$8),Shock!$B$13,0))+IF(Baseline!A50=Shock!$B$12,Shock!$B$11,0)</f>
        <v/>
      </c>
      <c r="F50" s="13">
        <f>IF(Baseline!A50="","",F49+D50-E50)</f>
        <v/>
      </c>
      <c r="G50" s="12">
        <f>IF(AND(Baseline!A50&lt;&gt;"",N(F50)&lt;0),Baseline!A50,9999)</f>
        <v/>
      </c>
    </row>
    <row r="51">
      <c r="A51" s="12">
        <f>Baseline!A51</f>
        <v/>
      </c>
      <c r="B51" s="13">
        <f>IF(Baseline!A51="",0,IF(AND(Baseline!A51&gt;=Shock!$B$7,Baseline!A51&lt;=Shock!$B$8),N(Baseline!B51)*Shock!$B$6,0))</f>
        <v/>
      </c>
      <c r="C51" s="13">
        <f>IF(Baseline!A51="",0,IF(Baseline!A51=Shock!$B$10,SUM($B$5:$B$56)*Shock!$B$9,0))</f>
        <v/>
      </c>
      <c r="D51" s="13">
        <f>N(Baseline!B51)-B51+C51</f>
        <v/>
      </c>
      <c r="E51" s="13">
        <f>N(Baseline!C51)*(1-IF(AND(Baseline!A51&gt;=Shock!$B$7,Baseline!A51&lt;=Shock!$B$8),Shock!$B$13,0))+IF(Baseline!A51=Shock!$B$12,Shock!$B$11,0)</f>
        <v/>
      </c>
      <c r="F51" s="13">
        <f>IF(Baseline!A51="","",F50+D51-E51)</f>
        <v/>
      </c>
      <c r="G51" s="12">
        <f>IF(AND(Baseline!A51&lt;&gt;"",N(F51)&lt;0),Baseline!A51,9999)</f>
        <v/>
      </c>
    </row>
    <row r="52">
      <c r="A52" s="12">
        <f>Baseline!A52</f>
        <v/>
      </c>
      <c r="B52" s="13">
        <f>IF(Baseline!A52="",0,IF(AND(Baseline!A52&gt;=Shock!$B$7,Baseline!A52&lt;=Shock!$B$8),N(Baseline!B52)*Shock!$B$6,0))</f>
        <v/>
      </c>
      <c r="C52" s="13">
        <f>IF(Baseline!A52="",0,IF(Baseline!A52=Shock!$B$10,SUM($B$5:$B$56)*Shock!$B$9,0))</f>
        <v/>
      </c>
      <c r="D52" s="13">
        <f>N(Baseline!B52)-B52+C52</f>
        <v/>
      </c>
      <c r="E52" s="13">
        <f>N(Baseline!C52)*(1-IF(AND(Baseline!A52&gt;=Shock!$B$7,Baseline!A52&lt;=Shock!$B$8),Shock!$B$13,0))+IF(Baseline!A52=Shock!$B$12,Shock!$B$11,0)</f>
        <v/>
      </c>
      <c r="F52" s="13">
        <f>IF(Baseline!A52="","",F51+D52-E52)</f>
        <v/>
      </c>
      <c r="G52" s="12">
        <f>IF(AND(Baseline!A52&lt;&gt;"",N(F52)&lt;0),Baseline!A52,9999)</f>
        <v/>
      </c>
    </row>
    <row r="53">
      <c r="A53" s="12">
        <f>Baseline!A53</f>
        <v/>
      </c>
      <c r="B53" s="13">
        <f>IF(Baseline!A53="",0,IF(AND(Baseline!A53&gt;=Shock!$B$7,Baseline!A53&lt;=Shock!$B$8),N(Baseline!B53)*Shock!$B$6,0))</f>
        <v/>
      </c>
      <c r="C53" s="13">
        <f>IF(Baseline!A53="",0,IF(Baseline!A53=Shock!$B$10,SUM($B$5:$B$56)*Shock!$B$9,0))</f>
        <v/>
      </c>
      <c r="D53" s="13">
        <f>N(Baseline!B53)-B53+C53</f>
        <v/>
      </c>
      <c r="E53" s="13">
        <f>N(Baseline!C53)*(1-IF(AND(Baseline!A53&gt;=Shock!$B$7,Baseline!A53&lt;=Shock!$B$8),Shock!$B$13,0))+IF(Baseline!A53=Shock!$B$12,Shock!$B$11,0)</f>
        <v/>
      </c>
      <c r="F53" s="13">
        <f>IF(Baseline!A53="","",F52+D53-E53)</f>
        <v/>
      </c>
      <c r="G53" s="12">
        <f>IF(AND(Baseline!A53&lt;&gt;"",N(F53)&lt;0),Baseline!A53,9999)</f>
        <v/>
      </c>
    </row>
    <row r="54">
      <c r="A54" s="12">
        <f>Baseline!A54</f>
        <v/>
      </c>
      <c r="B54" s="13">
        <f>IF(Baseline!A54="",0,IF(AND(Baseline!A54&gt;=Shock!$B$7,Baseline!A54&lt;=Shock!$B$8),N(Baseline!B54)*Shock!$B$6,0))</f>
        <v/>
      </c>
      <c r="C54" s="13">
        <f>IF(Baseline!A54="",0,IF(Baseline!A54=Shock!$B$10,SUM($B$5:$B$56)*Shock!$B$9,0))</f>
        <v/>
      </c>
      <c r="D54" s="13">
        <f>N(Baseline!B54)-B54+C54</f>
        <v/>
      </c>
      <c r="E54" s="13">
        <f>N(Baseline!C54)*(1-IF(AND(Baseline!A54&gt;=Shock!$B$7,Baseline!A54&lt;=Shock!$B$8),Shock!$B$13,0))+IF(Baseline!A54=Shock!$B$12,Shock!$B$11,0)</f>
        <v/>
      </c>
      <c r="F54" s="13">
        <f>IF(Baseline!A54="","",F53+D54-E54)</f>
        <v/>
      </c>
      <c r="G54" s="12">
        <f>IF(AND(Baseline!A54&lt;&gt;"",N(F54)&lt;0),Baseline!A54,9999)</f>
        <v/>
      </c>
    </row>
    <row r="55">
      <c r="A55" s="12">
        <f>Baseline!A55</f>
        <v/>
      </c>
      <c r="B55" s="13">
        <f>IF(Baseline!A55="",0,IF(AND(Baseline!A55&gt;=Shock!$B$7,Baseline!A55&lt;=Shock!$B$8),N(Baseline!B55)*Shock!$B$6,0))</f>
        <v/>
      </c>
      <c r="C55" s="13">
        <f>IF(Baseline!A55="",0,IF(Baseline!A55=Shock!$B$10,SUM($B$5:$B$56)*Shock!$B$9,0))</f>
        <v/>
      </c>
      <c r="D55" s="13">
        <f>N(Baseline!B55)-B55+C55</f>
        <v/>
      </c>
      <c r="E55" s="13">
        <f>N(Baseline!C55)*(1-IF(AND(Baseline!A55&gt;=Shock!$B$7,Baseline!A55&lt;=Shock!$B$8),Shock!$B$13,0))+IF(Baseline!A55=Shock!$B$12,Shock!$B$11,0)</f>
        <v/>
      </c>
      <c r="F55" s="13">
        <f>IF(Baseline!A55="","",F54+D55-E55)</f>
        <v/>
      </c>
      <c r="G55" s="12">
        <f>IF(AND(Baseline!A55&lt;&gt;"",N(F55)&lt;0),Baseline!A55,9999)</f>
        <v/>
      </c>
    </row>
    <row r="56">
      <c r="A56" s="12">
        <f>Baseline!A56</f>
        <v/>
      </c>
      <c r="B56" s="13">
        <f>IF(Baseline!A56="",0,IF(AND(Baseline!A56&gt;=Shock!$B$7,Baseline!A56&lt;=Shock!$B$8),N(Baseline!B56)*Shock!$B$6,0))</f>
        <v/>
      </c>
      <c r="C56" s="13">
        <f>IF(Baseline!A56="",0,IF(Baseline!A56=Shock!$B$10,SUM($B$5:$B$56)*Shock!$B$9,0))</f>
        <v/>
      </c>
      <c r="D56" s="13">
        <f>N(Baseline!B56)-B56+C56</f>
        <v/>
      </c>
      <c r="E56" s="13">
        <f>N(Baseline!C56)*(1-IF(AND(Baseline!A56&gt;=Shock!$B$7,Baseline!A56&lt;=Shock!$B$8),Shock!$B$13,0))+IF(Baseline!A56=Shock!$B$12,Shock!$B$11,0)</f>
        <v/>
      </c>
      <c r="F56" s="13">
        <f>IF(Baseline!A56="","",F55+D56-E56)</f>
        <v/>
      </c>
      <c r="G56" s="12">
        <f>IF(AND(Baseline!A56&lt;&gt;"",N(F56)&lt;0),Baseline!A56,9999)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Stress result</t>
        </is>
      </c>
    </row>
    <row r="2"/>
    <row r="3"/>
    <row r="4">
      <c r="A4" t="inlineStr">
        <is>
          <t>stressed trough</t>
        </is>
      </c>
      <c r="B4" s="14">
        <f>MIN(Stressed!F5:F56)</f>
        <v/>
      </c>
    </row>
    <row r="5">
      <c r="A5" t="inlineStr">
        <is>
          <t>first negative week</t>
        </is>
      </c>
      <c r="B5" s="15">
        <f>IF(MIN(Stressed!G5:G56)=9999,"none",MIN(Stressed!G5:G56))</f>
        <v/>
      </c>
    </row>
    <row r="6">
      <c r="A6" t="inlineStr">
        <is>
          <t>decision log entry required (crisis-log.csv)</t>
        </is>
      </c>
      <c r="B6" s="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2026-10-18T16:52:49Z</dcterms:created>
  <dcterms:modified xmlns:dcterms="http://purl.org/dc/terms/" xmlns:xsi="http://www.w3.org/2001/XMLSchema-instance" xsi:type="dcterms:W3CDTF">2026-10-18T16:52:49Z</dcterms:modified>
</cp:coreProperties>
</file>