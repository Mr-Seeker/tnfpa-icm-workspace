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hareholding" sheetId="3" state="visible" r:id="rId3"/>
    <sheet xmlns:r="http://schemas.openxmlformats.org/officeDocument/2006/relationships" name="Guidance" sheetId="4" state="visible" r:id="rId4"/>
    <sheet xmlns:r="http://schemas.openxmlformats.org/officeDocument/2006/relationships"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0" fontId="0" fillId="0" borderId="1" pivotButton="0" quotePrefix="0" xfId="0"/>
    <xf numFmtId="164" fontId="4" fillId="3" borderId="1" pivotButton="0" quotePrefix="0" xfId="0"/>
    <xf numFmtId="165" fontId="0" fillId="0" borderId="1" pivotButton="0" quotePrefix="0" xfId="0"/>
    <xf numFmtId="166" fontId="4" fillId="3" borderId="1" pivotButton="0" quotePrefix="0" xfId="0"/>
    <xf numFmtId="1" fontId="4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D19 · Investor relations &amp; shareholder intelligence platforms</t>
        </is>
      </c>
    </row>
    <row r="2"/>
    <row r="3">
      <c r="A3" s="2" t="inlineStr">
        <is>
          <t>Domain D19: Investor relations &amp; shareholder intelligence platforms.</t>
        </is>
      </c>
    </row>
    <row r="4">
      <c r="A4" s="2" t="inlineStr">
        <is>
          <t>Shareholding-pattern movements, guidance vs consensus vs model gaps (disclosure risk), and the results/disclosure calendar.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companies/&lt;slug&gt;/domains/D19_investor-relations-shareholder-intelligence/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W07 investor update  &lt;=  Guidance gaps</t>
        </is>
      </c>
    </row>
    <row r="11">
      <c r="A11" s="2" t="inlineStr">
        <is>
          <t>K01 champion  &lt;=  model column</t>
        </is>
      </c>
    </row>
    <row r="12">
      <c r="A12" s="2" t="inlineStr">
        <is>
          <t>D28 governance  &lt;=  disclosure discipline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IF(COUNTIF(C5:C5,"PASS")=COUNT(A5:A5),"PASS","FAIL")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percentages sum to 100%</t>
        </is>
      </c>
      <c r="C5" s="7">
        <f>IF(OR(SUM(Shareholding!C5:C24)=0,ABS(SUM(Shareholding!D5:D24)-1)&lt;1E-9),"PASS","FAIL")</f>
        <v/>
      </c>
    </row>
  </sheetData>
  <conditionalFormatting sqref="C3: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25" customWidth="1" min="3" max="3"/>
    <col width="18" customWidth="1" min="4" max="4"/>
    <col width="22" customWidth="1" min="5" max="5"/>
  </cols>
  <sheetData>
    <row r="1">
      <c r="A1" s="1" t="inlineStr">
        <is>
          <t>Shareholding pattern (LODR Reg 31 categories) - quarter over quarter</t>
        </is>
      </c>
    </row>
    <row r="2"/>
    <row r="3"/>
    <row r="4">
      <c r="A4" s="6" t="inlineStr">
        <is>
          <t>category</t>
        </is>
      </c>
      <c r="B4" s="6" t="inlineStr">
        <is>
          <t>shares - previous quarter</t>
        </is>
      </c>
      <c r="C4" s="6" t="inlineStr">
        <is>
          <t>shares - this quarter</t>
        </is>
      </c>
      <c r="D4" s="6" t="inlineStr">
        <is>
          <t>% this quarter</t>
        </is>
      </c>
      <c r="E4" s="6" t="inlineStr">
        <is>
          <t>change in % points</t>
        </is>
      </c>
    </row>
    <row r="5">
      <c r="A5" s="8" t="inlineStr">
        <is>
          <t>Promoter &amp; promoter group</t>
        </is>
      </c>
      <c r="B5" s="9" t="n">
        <v>31500000</v>
      </c>
      <c r="C5" s="9" t="n">
        <v>31500000</v>
      </c>
      <c r="D5" s="10">
        <f>IF(A5="","",IF(SUM($C$5:$C$24)=0,0,C5/SUM($C$5:$C$24)))</f>
        <v/>
      </c>
      <c r="E5" s="10">
        <f>IF(A5="","",D5-IF(SUM($B$5:$B$24)=0,0,B5/SUM($B$5:$B$24)))</f>
        <v/>
      </c>
    </row>
    <row r="6">
      <c r="A6" s="8" t="inlineStr">
        <is>
          <t>Foreign portfolio investors</t>
        </is>
      </c>
      <c r="B6" s="9" t="n">
        <v>6200000</v>
      </c>
      <c r="C6" s="9" t="n">
        <v>6900000</v>
      </c>
      <c r="D6" s="10">
        <f>IF(A6="","",IF(SUM($C$5:$C$24)=0,0,C6/SUM($C$5:$C$24)))</f>
        <v/>
      </c>
      <c r="E6" s="10">
        <f>IF(A6="","",D6-IF(SUM($B$5:$B$24)=0,0,B6/SUM($B$5:$B$24)))</f>
        <v/>
      </c>
    </row>
    <row r="7">
      <c r="A7" s="8" t="inlineStr">
        <is>
          <t>Mutual funds</t>
        </is>
      </c>
      <c r="B7" s="9" t="n">
        <v>4100000</v>
      </c>
      <c r="C7" s="9" t="n">
        <v>4600000</v>
      </c>
      <c r="D7" s="10">
        <f>IF(A7="","",IF(SUM($C$5:$C$24)=0,0,C7/SUM($C$5:$C$24)))</f>
        <v/>
      </c>
      <c r="E7" s="10">
        <f>IF(A7="","",D7-IF(SUM($B$5:$B$24)=0,0,B7/SUM($B$5:$B$24)))</f>
        <v/>
      </c>
    </row>
    <row r="8">
      <c r="A8" s="8" t="inlineStr">
        <is>
          <t>Insurance companies / other DIIs</t>
        </is>
      </c>
      <c r="B8" s="9" t="n">
        <v>1800000</v>
      </c>
      <c r="C8" s="9" t="n">
        <v>1700000</v>
      </c>
      <c r="D8" s="10">
        <f>IF(A8="","",IF(SUM($C$5:$C$24)=0,0,C8/SUM($C$5:$C$24)))</f>
        <v/>
      </c>
      <c r="E8" s="10">
        <f>IF(A8="","",D8-IF(SUM($B$5:$B$24)=0,0,B8/SUM($B$5:$B$24)))</f>
        <v/>
      </c>
    </row>
    <row r="9">
      <c r="A9" s="8" t="inlineStr">
        <is>
          <t>Resident individuals</t>
        </is>
      </c>
      <c r="B9" s="9" t="n">
        <v>9400000</v>
      </c>
      <c r="C9" s="9" t="n">
        <v>8300000</v>
      </c>
      <c r="D9" s="10">
        <f>IF(A9="","",IF(SUM($C$5:$C$24)=0,0,C9/SUM($C$5:$C$24)))</f>
        <v/>
      </c>
      <c r="E9" s="10">
        <f>IF(A9="","",D9-IF(SUM($B$5:$B$24)=0,0,B9/SUM($B$5:$B$24)))</f>
        <v/>
      </c>
    </row>
    <row r="10">
      <c r="A10" s="8" t="inlineStr">
        <is>
          <t>Others (bodies corporate, HUF, IEPF)</t>
        </is>
      </c>
      <c r="B10" s="9" t="n">
        <v>1000000</v>
      </c>
      <c r="C10" s="9" t="n">
        <v>1000000</v>
      </c>
      <c r="D10" s="10">
        <f>IF(A10="","",IF(SUM($C$5:$C$24)=0,0,C10/SUM($C$5:$C$24)))</f>
        <v/>
      </c>
      <c r="E10" s="10">
        <f>IF(A10="","",D10-IF(SUM($B$5:$B$24)=0,0,B10/SUM($B$5:$B$24)))</f>
        <v/>
      </c>
    </row>
    <row r="11">
      <c r="A11" s="8" t="n"/>
      <c r="B11" s="9" t="n"/>
      <c r="C11" s="9" t="n"/>
      <c r="D11" s="10">
        <f>IF(A11="","",IF(SUM($C$5:$C$24)=0,0,C11/SUM($C$5:$C$24)))</f>
        <v/>
      </c>
      <c r="E11" s="10">
        <f>IF(A11="","",D11-IF(SUM($B$5:$B$24)=0,0,B11/SUM($B$5:$B$24)))</f>
        <v/>
      </c>
    </row>
    <row r="12">
      <c r="A12" s="8" t="n"/>
      <c r="B12" s="9" t="n"/>
      <c r="C12" s="9" t="n"/>
      <c r="D12" s="10">
        <f>IF(A12="","",IF(SUM($C$5:$C$24)=0,0,C12/SUM($C$5:$C$24)))</f>
        <v/>
      </c>
      <c r="E12" s="10">
        <f>IF(A12="","",D12-IF(SUM($B$5:$B$24)=0,0,B12/SUM($B$5:$B$24)))</f>
        <v/>
      </c>
    </row>
    <row r="13">
      <c r="A13" s="8" t="n"/>
      <c r="B13" s="9" t="n"/>
      <c r="C13" s="9" t="n"/>
      <c r="D13" s="10">
        <f>IF(A13="","",IF(SUM($C$5:$C$24)=0,0,C13/SUM($C$5:$C$24)))</f>
        <v/>
      </c>
      <c r="E13" s="10">
        <f>IF(A13="","",D13-IF(SUM($B$5:$B$24)=0,0,B13/SUM($B$5:$B$24)))</f>
        <v/>
      </c>
    </row>
    <row r="14">
      <c r="A14" s="8" t="n"/>
      <c r="B14" s="9" t="n"/>
      <c r="C14" s="9" t="n"/>
      <c r="D14" s="10">
        <f>IF(A14="","",IF(SUM($C$5:$C$24)=0,0,C14/SUM($C$5:$C$24)))</f>
        <v/>
      </c>
      <c r="E14" s="10">
        <f>IF(A14="","",D14-IF(SUM($B$5:$B$24)=0,0,B14/SUM($B$5:$B$24)))</f>
        <v/>
      </c>
    </row>
    <row r="15">
      <c r="A15" s="8" t="n"/>
      <c r="B15" s="9" t="n"/>
      <c r="C15" s="9" t="n"/>
      <c r="D15" s="10">
        <f>IF(A15="","",IF(SUM($C$5:$C$24)=0,0,C15/SUM($C$5:$C$24)))</f>
        <v/>
      </c>
      <c r="E15" s="10">
        <f>IF(A15="","",D15-IF(SUM($B$5:$B$24)=0,0,B15/SUM($B$5:$B$24)))</f>
        <v/>
      </c>
    </row>
    <row r="16">
      <c r="A16" s="8" t="n"/>
      <c r="B16" s="9" t="n"/>
      <c r="C16" s="9" t="n"/>
      <c r="D16" s="10">
        <f>IF(A16="","",IF(SUM($C$5:$C$24)=0,0,C16/SUM($C$5:$C$24)))</f>
        <v/>
      </c>
      <c r="E16" s="10">
        <f>IF(A16="","",D16-IF(SUM($B$5:$B$24)=0,0,B16/SUM($B$5:$B$24)))</f>
        <v/>
      </c>
    </row>
    <row r="17">
      <c r="A17" s="8" t="n"/>
      <c r="B17" s="9" t="n"/>
      <c r="C17" s="9" t="n"/>
      <c r="D17" s="10">
        <f>IF(A17="","",IF(SUM($C$5:$C$24)=0,0,C17/SUM($C$5:$C$24)))</f>
        <v/>
      </c>
      <c r="E17" s="10">
        <f>IF(A17="","",D17-IF(SUM($B$5:$B$24)=0,0,B17/SUM($B$5:$B$24)))</f>
        <v/>
      </c>
    </row>
    <row r="18">
      <c r="A18" s="8" t="n"/>
      <c r="B18" s="9" t="n"/>
      <c r="C18" s="9" t="n"/>
      <c r="D18" s="10">
        <f>IF(A18="","",IF(SUM($C$5:$C$24)=0,0,C18/SUM($C$5:$C$24)))</f>
        <v/>
      </c>
      <c r="E18" s="10">
        <f>IF(A18="","",D18-IF(SUM($B$5:$B$24)=0,0,B18/SUM($B$5:$B$24)))</f>
        <v/>
      </c>
    </row>
    <row r="19">
      <c r="A19" s="8" t="n"/>
      <c r="B19" s="9" t="n"/>
      <c r="C19" s="9" t="n"/>
      <c r="D19" s="10">
        <f>IF(A19="","",IF(SUM($C$5:$C$24)=0,0,C19/SUM($C$5:$C$24)))</f>
        <v/>
      </c>
      <c r="E19" s="10">
        <f>IF(A19="","",D19-IF(SUM($B$5:$B$24)=0,0,B19/SUM($B$5:$B$24)))</f>
        <v/>
      </c>
    </row>
    <row r="20">
      <c r="A20" s="8" t="n"/>
      <c r="B20" s="9" t="n"/>
      <c r="C20" s="9" t="n"/>
      <c r="D20" s="10">
        <f>IF(A20="","",IF(SUM($C$5:$C$24)=0,0,C20/SUM($C$5:$C$24)))</f>
        <v/>
      </c>
      <c r="E20" s="10">
        <f>IF(A20="","",D20-IF(SUM($B$5:$B$24)=0,0,B20/SUM($B$5:$B$24)))</f>
        <v/>
      </c>
    </row>
    <row r="21">
      <c r="A21" s="8" t="n"/>
      <c r="B21" s="9" t="n"/>
      <c r="C21" s="9" t="n"/>
      <c r="D21" s="10">
        <f>IF(A21="","",IF(SUM($C$5:$C$24)=0,0,C21/SUM($C$5:$C$24)))</f>
        <v/>
      </c>
      <c r="E21" s="10">
        <f>IF(A21="","",D21-IF(SUM($B$5:$B$24)=0,0,B21/SUM($B$5:$B$24)))</f>
        <v/>
      </c>
    </row>
    <row r="22">
      <c r="A22" s="8" t="n"/>
      <c r="B22" s="9" t="n"/>
      <c r="C22" s="9" t="n"/>
      <c r="D22" s="10">
        <f>IF(A22="","",IF(SUM($C$5:$C$24)=0,0,C22/SUM($C$5:$C$24)))</f>
        <v/>
      </c>
      <c r="E22" s="10">
        <f>IF(A22="","",D22-IF(SUM($B$5:$B$24)=0,0,B22/SUM($B$5:$B$24)))</f>
        <v/>
      </c>
    </row>
    <row r="23">
      <c r="A23" s="8" t="n"/>
      <c r="B23" s="9" t="n"/>
      <c r="C23" s="9" t="n"/>
      <c r="D23" s="10">
        <f>IF(A23="","",IF(SUM($C$5:$C$24)=0,0,C23/SUM($C$5:$C$24)))</f>
        <v/>
      </c>
      <c r="E23" s="10">
        <f>IF(A23="","",D23-IF(SUM($B$5:$B$24)=0,0,B23/SUM($B$5:$B$24)))</f>
        <v/>
      </c>
    </row>
    <row r="24">
      <c r="A24" s="8" t="n"/>
      <c r="B24" s="9" t="n"/>
      <c r="C24" s="9" t="n"/>
      <c r="D24" s="10">
        <f>IF(A24="","",IF(SUM($C$5:$C$24)=0,0,C24/SUM($C$5:$C$24)))</f>
        <v/>
      </c>
      <c r="E24" s="10">
        <f>IF(A24="","",D24-IF(SUM($B$5:$B$24)=0,0,B24/SUM($B$5:$B$24)))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5" customWidth="1" min="4" max="4"/>
    <col width="24" customWidth="1" min="5" max="5"/>
    <col width="34" customWidth="1" min="6" max="6"/>
  </cols>
  <sheetData>
    <row r="1">
      <c r="A1" s="1" t="inlineStr">
        <is>
          <t>Guidance vs consensus vs model (K01)</t>
        </is>
      </c>
    </row>
    <row r="2"/>
    <row r="3"/>
    <row r="4">
      <c r="A4" s="6" t="inlineStr">
        <is>
          <t>metric</t>
        </is>
      </c>
      <c r="B4" s="6" t="inlineStr">
        <is>
          <t>company guidance</t>
        </is>
      </c>
      <c r="C4" s="6" t="inlineStr">
        <is>
          <t>analyst consensus</t>
        </is>
      </c>
      <c r="D4" s="6" t="inlineStr">
        <is>
          <t>K01 champion forecast</t>
        </is>
      </c>
      <c r="E4" s="6" t="inlineStr">
        <is>
          <t>model vs consensus %</t>
        </is>
      </c>
      <c r="F4" s="6" t="inlineStr">
        <is>
          <t>disclosure risk? (|gap| &gt; 10%)</t>
        </is>
      </c>
    </row>
    <row r="5">
      <c r="A5" s="8" t="inlineStr">
        <is>
          <t>FY revenue</t>
        </is>
      </c>
      <c r="B5" s="11" t="n">
        <v>12000000000</v>
      </c>
      <c r="C5" s="11" t="n">
        <v>12300000000</v>
      </c>
      <c r="D5" s="11" t="n">
        <v>11800000000</v>
      </c>
      <c r="E5" s="12">
        <f>IF(OR(A5="",N(C5)=0),"",D5/C5-1)</f>
        <v/>
      </c>
      <c r="F5" s="7">
        <f>IF(E5="","",ABS(E5)&gt;0.1)</f>
        <v/>
      </c>
    </row>
    <row r="6">
      <c r="A6" s="8" t="inlineStr">
        <is>
          <t>FY EBITDA</t>
        </is>
      </c>
      <c r="B6" s="11" t="n">
        <v>1500000000</v>
      </c>
      <c r="C6" s="11" t="n">
        <v>1580000000</v>
      </c>
      <c r="D6" s="11" t="n">
        <v>1440000000</v>
      </c>
      <c r="E6" s="12">
        <f>IF(OR(A6="",N(C6)=0),"",D6/C6-1)</f>
        <v/>
      </c>
      <c r="F6" s="7">
        <f>IF(E6="","",ABS(E6)&gt;0.1)</f>
        <v/>
      </c>
    </row>
    <row r="7">
      <c r="A7" s="8" t="n"/>
      <c r="B7" s="11" t="n"/>
      <c r="C7" s="11" t="n"/>
      <c r="D7" s="11" t="n"/>
      <c r="E7" s="12">
        <f>IF(OR(A7="",N(C7)=0),"",D7/C7-1)</f>
        <v/>
      </c>
      <c r="F7" s="7">
        <f>IF(E7="","",ABS(E7)&gt;0.1)</f>
        <v/>
      </c>
    </row>
    <row r="8">
      <c r="A8" s="8" t="n"/>
      <c r="B8" s="11" t="n"/>
      <c r="C8" s="11" t="n"/>
      <c r="D8" s="11" t="n"/>
      <c r="E8" s="12">
        <f>IF(OR(A8="",N(C8)=0),"",D8/C8-1)</f>
        <v/>
      </c>
      <c r="F8" s="7">
        <f>IF(E8="","",ABS(E8)&gt;0.1)</f>
        <v/>
      </c>
    </row>
    <row r="9">
      <c r="A9" s="8" t="n"/>
      <c r="B9" s="11" t="n"/>
      <c r="C9" s="11" t="n"/>
      <c r="D9" s="11" t="n"/>
      <c r="E9" s="12">
        <f>IF(OR(A9="",N(C9)=0),"",D9/C9-1)</f>
        <v/>
      </c>
      <c r="F9" s="7">
        <f>IF(E9="","",ABS(E9)&gt;0.1)</f>
        <v/>
      </c>
    </row>
    <row r="10">
      <c r="A10" s="8" t="n"/>
      <c r="B10" s="11" t="n"/>
      <c r="C10" s="11" t="n"/>
      <c r="D10" s="11" t="n"/>
      <c r="E10" s="12">
        <f>IF(OR(A10="",N(C10)=0),"",D10/C10-1)</f>
        <v/>
      </c>
      <c r="F10" s="7">
        <f>IF(E10="","",ABS(E10)&gt;0.1)</f>
        <v/>
      </c>
    </row>
    <row r="11">
      <c r="A11" s="8" t="n"/>
      <c r="B11" s="11" t="n"/>
      <c r="C11" s="11" t="n"/>
      <c r="D11" s="11" t="n"/>
      <c r="E11" s="12">
        <f>IF(OR(A11="",N(C11)=0),"",D11/C11-1)</f>
        <v/>
      </c>
      <c r="F11" s="7">
        <f>IF(E11="","",ABS(E11)&gt;0.1)</f>
        <v/>
      </c>
    </row>
    <row r="12">
      <c r="A12" s="8" t="n"/>
      <c r="B12" s="11" t="n"/>
      <c r="C12" s="11" t="n"/>
      <c r="D12" s="11" t="n"/>
      <c r="E12" s="12">
        <f>IF(OR(A12="",N(C12)=0),"",D12/C12-1)</f>
        <v/>
      </c>
      <c r="F12" s="7">
        <f>IF(E12="","",ABS(E12)&gt;0.1)</f>
        <v/>
      </c>
    </row>
    <row r="13">
      <c r="A13" s="8" t="n"/>
      <c r="B13" s="11" t="n"/>
      <c r="C13" s="11" t="n"/>
      <c r="D13" s="11" t="n"/>
      <c r="E13" s="12">
        <f>IF(OR(A13="",N(C13)=0),"",D13/C13-1)</f>
        <v/>
      </c>
      <c r="F13" s="7">
        <f>IF(E13="","",ABS(E13)&gt;0.1)</f>
        <v/>
      </c>
    </row>
    <row r="14">
      <c r="A14" s="8" t="n"/>
      <c r="B14" s="11" t="n"/>
      <c r="C14" s="11" t="n"/>
      <c r="D14" s="11" t="n"/>
      <c r="E14" s="12">
        <f>IF(OR(A14="",N(C14)=0),"",D14/C14-1)</f>
        <v/>
      </c>
      <c r="F14" s="7">
        <f>IF(E14="","",ABS(E14)&gt;0.1)</f>
        <v/>
      </c>
    </row>
    <row r="15">
      <c r="A15" s="8" t="n"/>
      <c r="B15" s="11" t="n"/>
      <c r="C15" s="11" t="n"/>
      <c r="D15" s="11" t="n"/>
      <c r="E15" s="12">
        <f>IF(OR(A15="",N(C15)=0),"",D15/C15-1)</f>
        <v/>
      </c>
      <c r="F15" s="7">
        <f>IF(E15="","",ABS(E15)&gt;0.1)</f>
        <v/>
      </c>
    </row>
    <row r="16">
      <c r="A16" s="8" t="n"/>
      <c r="B16" s="11" t="n"/>
      <c r="C16" s="11" t="n"/>
      <c r="D16" s="11" t="n"/>
      <c r="E16" s="12">
        <f>IF(OR(A16="",N(C16)=0),"",D16/C16-1)</f>
        <v/>
      </c>
      <c r="F16" s="7">
        <f>IF(E16="","",ABS(E16)&gt;0.1)</f>
        <v/>
      </c>
    </row>
    <row r="17">
      <c r="A17" s="8" t="n"/>
      <c r="B17" s="11" t="n"/>
      <c r="C17" s="11" t="n"/>
      <c r="D17" s="11" t="n"/>
      <c r="E17" s="12">
        <f>IF(OR(A17="",N(C17)=0),"",D17/C17-1)</f>
        <v/>
      </c>
      <c r="F17" s="7">
        <f>IF(E17="","",ABS(E17)&gt;0.1)</f>
        <v/>
      </c>
    </row>
    <row r="18">
      <c r="A18" s="8" t="n"/>
      <c r="B18" s="11" t="n"/>
      <c r="C18" s="11" t="n"/>
      <c r="D18" s="11" t="n"/>
      <c r="E18" s="12">
        <f>IF(OR(A18="",N(C18)=0),"",D18/C18-1)</f>
        <v/>
      </c>
      <c r="F18" s="7">
        <f>IF(E18="","",ABS(E18)&gt;0.1)</f>
        <v/>
      </c>
    </row>
    <row r="19">
      <c r="A19" s="8" t="n"/>
      <c r="B19" s="11" t="n"/>
      <c r="C19" s="11" t="n"/>
      <c r="D19" s="11" t="n"/>
      <c r="E19" s="12">
        <f>IF(OR(A19="",N(C19)=0),"",D19/C19-1)</f>
        <v/>
      </c>
      <c r="F19" s="7">
        <f>IF(E19="","",ABS(E19)&gt;0.1)</f>
        <v/>
      </c>
    </row>
    <row r="20">
      <c r="A20" s="8" t="n"/>
      <c r="B20" s="11" t="n"/>
      <c r="C20" s="11" t="n"/>
      <c r="D20" s="11" t="n"/>
      <c r="E20" s="12">
        <f>IF(OR(A20="",N(C20)=0),"",D20/C20-1)</f>
        <v/>
      </c>
      <c r="F20" s="7">
        <f>IF(E20="","",ABS(E20)&gt;0.1)</f>
        <v/>
      </c>
    </row>
    <row r="21">
      <c r="A21" s="8" t="n"/>
      <c r="B21" s="11" t="n"/>
      <c r="C21" s="11" t="n"/>
      <c r="D21" s="11" t="n"/>
      <c r="E21" s="12">
        <f>IF(OR(A21="",N(C21)=0),"",D21/C21-1)</f>
        <v/>
      </c>
      <c r="F21" s="7">
        <f>IF(E21="","",ABS(E21)&gt;0.1)</f>
        <v/>
      </c>
    </row>
    <row r="22">
      <c r="A22" s="8" t="n"/>
      <c r="B22" s="11" t="n"/>
      <c r="C22" s="11" t="n"/>
      <c r="D22" s="11" t="n"/>
      <c r="E22" s="12">
        <f>IF(OR(A22="",N(C22)=0),"",D22/C22-1)</f>
        <v/>
      </c>
      <c r="F22" s="7">
        <f>IF(E22="","",ABS(E22)&gt;0.1)</f>
        <v/>
      </c>
    </row>
    <row r="23">
      <c r="A23" s="8" t="n"/>
      <c r="B23" s="11" t="n"/>
      <c r="C23" s="11" t="n"/>
      <c r="D23" s="11" t="n"/>
      <c r="E23" s="12">
        <f>IF(OR(A23="",N(C23)=0),"",D23/C23-1)</f>
        <v/>
      </c>
      <c r="F23" s="7">
        <f>IF(E23="","",ABS(E23)&gt;0.1)</f>
        <v/>
      </c>
    </row>
    <row r="24">
      <c r="A24" s="8" t="n"/>
      <c r="B24" s="11" t="n"/>
      <c r="C24" s="11" t="n"/>
      <c r="D24" s="11" t="n"/>
      <c r="E24" s="12">
        <f>IF(OR(A24="",N(C24)=0),"",D24/C24-1)</f>
        <v/>
      </c>
      <c r="F24" s="7">
        <f>IF(E24="","",ABS(E24)&gt;0.1)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</cols>
  <sheetData>
    <row r="1">
      <c r="A1" s="1" t="inlineStr">
        <is>
          <t>Results &amp; disclosure calendar</t>
        </is>
      </c>
    </row>
    <row r="2"/>
    <row r="3"/>
    <row r="4">
      <c r="A4" s="6" t="inlineStr">
        <is>
          <t>event</t>
        </is>
      </c>
      <c r="B4" s="6" t="inlineStr">
        <is>
          <t>period end</t>
        </is>
      </c>
      <c r="C4" s="6" t="inlineStr">
        <is>
          <t>days allowed</t>
        </is>
      </c>
      <c r="D4" s="6" t="inlineStr">
        <is>
          <t>deadline</t>
        </is>
      </c>
    </row>
    <row r="5">
      <c r="A5" s="8" t="inlineStr">
        <is>
          <t>Q2 results (standalone + consolidated)</t>
        </is>
      </c>
      <c r="B5" s="13" t="n">
        <v>46295</v>
      </c>
      <c r="C5" s="14" t="n">
        <v>45</v>
      </c>
      <c r="D5" s="15">
        <f>IF(A5="","",B5+C5)</f>
        <v/>
      </c>
    </row>
    <row r="6">
      <c r="A6" s="8" t="inlineStr">
        <is>
          <t>Annual audited results</t>
        </is>
      </c>
      <c r="B6" s="13" t="n">
        <v>46477</v>
      </c>
      <c r="C6" s="14" t="n">
        <v>60</v>
      </c>
      <c r="D6" s="15">
        <f>IF(A6="","",B6+C6)</f>
        <v/>
      </c>
    </row>
    <row r="7">
      <c r="A7" s="8" t="inlineStr">
        <is>
          <t>Shareholding pattern</t>
        </is>
      </c>
      <c r="B7" s="13" t="n">
        <v>46295</v>
      </c>
      <c r="C7" s="14" t="n">
        <v>21</v>
      </c>
      <c r="D7" s="15">
        <f>IF(A7="","",B7+C7)</f>
        <v/>
      </c>
    </row>
    <row r="8">
      <c r="A8" s="8" t="n"/>
      <c r="B8" s="13" t="n"/>
      <c r="C8" s="14" t="n"/>
      <c r="D8" s="15">
        <f>IF(A8="","",B8+C8)</f>
        <v/>
      </c>
    </row>
    <row r="9">
      <c r="A9" s="8" t="n"/>
      <c r="B9" s="13" t="n"/>
      <c r="C9" s="14" t="n"/>
      <c r="D9" s="15">
        <f>IF(A9="","",B9+C9)</f>
        <v/>
      </c>
    </row>
    <row r="10">
      <c r="A10" s="8" t="n"/>
      <c r="B10" s="13" t="n"/>
      <c r="C10" s="14" t="n"/>
      <c r="D10" s="15">
        <f>IF(A10="","",B10+C10)</f>
        <v/>
      </c>
    </row>
    <row r="11">
      <c r="A11" s="8" t="n"/>
      <c r="B11" s="13" t="n"/>
      <c r="C11" s="14" t="n"/>
      <c r="D11" s="15">
        <f>IF(A11="","",B11+C11)</f>
        <v/>
      </c>
    </row>
    <row r="12">
      <c r="A12" s="8" t="n"/>
      <c r="B12" s="13" t="n"/>
      <c r="C12" s="14" t="n"/>
      <c r="D12" s="15">
        <f>IF(A12="","",B12+C12)</f>
        <v/>
      </c>
    </row>
    <row r="13">
      <c r="A13" s="8" t="n"/>
      <c r="B13" s="13" t="n"/>
      <c r="C13" s="14" t="n"/>
      <c r="D13" s="15">
        <f>IF(A13="","",B13+C13)</f>
        <v/>
      </c>
    </row>
    <row r="14">
      <c r="A14" s="8" t="n"/>
      <c r="B14" s="13" t="n"/>
      <c r="C14" s="14" t="n"/>
      <c r="D14" s="15">
        <f>IF(A14="","",B14+C14)</f>
        <v/>
      </c>
    </row>
    <row r="15">
      <c r="A15" s="8" t="n"/>
      <c r="B15" s="13" t="n"/>
      <c r="C15" s="14" t="n"/>
      <c r="D15" s="15">
        <f>IF(A15="","",B15+C15)</f>
        <v/>
      </c>
    </row>
    <row r="16">
      <c r="A16" s="8" t="n"/>
      <c r="B16" s="13" t="n"/>
      <c r="C16" s="14" t="n"/>
      <c r="D16" s="15">
        <f>IF(A16="","",B16+C16)</f>
        <v/>
      </c>
    </row>
    <row r="17">
      <c r="A17" s="8" t="n"/>
      <c r="B17" s="13" t="n"/>
      <c r="C17" s="14" t="n"/>
      <c r="D17" s="15">
        <f>IF(A17="","",B17+C17)</f>
        <v/>
      </c>
    </row>
    <row r="18">
      <c r="A18" s="8" t="n"/>
      <c r="B18" s="13" t="n"/>
      <c r="C18" s="14" t="n"/>
      <c r="D18" s="15">
        <f>IF(A18="","",B18+C18)</f>
        <v/>
      </c>
    </row>
    <row r="19">
      <c r="A19" s="8" t="n"/>
      <c r="B19" s="13" t="n"/>
      <c r="C19" s="14" t="n"/>
      <c r="D19" s="15">
        <f>IF(A19="","",B19+C19)</f>
        <v/>
      </c>
    </row>
    <row r="20">
      <c r="A20" s="8" t="n"/>
      <c r="B20" s="13" t="n"/>
      <c r="C20" s="14" t="n"/>
      <c r="D20" s="15">
        <f>IF(A20="","",B20+C20)</f>
        <v/>
      </c>
    </row>
    <row r="21">
      <c r="A21" s="8" t="n"/>
      <c r="B21" s="13" t="n"/>
      <c r="C21" s="14" t="n"/>
      <c r="D21" s="15">
        <f>IF(A21="","",B21+C21)</f>
        <v/>
      </c>
    </row>
    <row r="22">
      <c r="A22" s="8" t="n"/>
      <c r="B22" s="13" t="n"/>
      <c r="C22" s="14" t="n"/>
      <c r="D22" s="15">
        <f>IF(A22="","",B22+C22)</f>
        <v/>
      </c>
    </row>
    <row r="23">
      <c r="A23" s="8" t="n"/>
      <c r="B23" s="13" t="n"/>
      <c r="C23" s="14" t="n"/>
      <c r="D23" s="15">
        <f>IF(A23="","",B23+C23)</f>
        <v/>
      </c>
    </row>
    <row r="24">
      <c r="A24" s="8" t="n"/>
      <c r="B24" s="13" t="n"/>
      <c r="C24" s="14" t="n"/>
      <c r="D24" s="15">
        <f>IF(A24="","",B24+C24)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2026-10-18T16:52:47Z</dcterms:created>
  <dcterms:modified xmlns:dcterms="http://purl.org/dc/terms/" xmlns:xsi="http://www.w3.org/2001/XMLSchema-instance" xsi:type="dcterms:W3CDTF">2026-10-18T16:52:47Z</dcterms:modified>
</cp:coreProperties>
</file>