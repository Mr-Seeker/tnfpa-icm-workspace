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Projects" sheetId="4" state="visible" r:id="rId4"/>
  </sheets>
  <definedNames>
    <definedName name="hurdle">'Setup'!$B$4</definedName>
    <definedName name="cap_budget">'Setup'!$B$5</definedName>
    <definedName name="w_fin">'Setup'!$B$6</definedName>
    <definedName name="w_fit">'Setup'!$B$7</definedName>
    <definedName name="w_risk">'Setup'!$B$8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0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0" fontId="3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" fontId="3" fillId="2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D09 · Strategic portfolio &amp; capital allocation systems</t>
        </is>
      </c>
    </row>
    <row r="2"/>
    <row r="3">
      <c r="A3" s="2" t="inlineStr">
        <is>
          <t>Domain D09: Strategic portfolio &amp; capital allocation systems.</t>
        </is>
      </c>
    </row>
    <row r="4">
      <c r="A4" s="2" t="inlineStr">
        <is>
          <t>Rank projects by NPV at the hurdle rate, IRR, profitability index and strategic/risk scores, and fund within the capital budget.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companies/&lt;slug&gt;/domains/D09_strategic-portfolio-capital-allocation/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D17 CapexPlan → K01 capex_monthly, da_monthly  &lt;=  funded projects</t>
        </is>
      </c>
    </row>
    <row r="11">
      <c r="A11" s="2" t="inlineStr">
        <is>
          <t>D23 green finance  &lt;=  eligible projects</t>
        </is>
      </c>
    </row>
    <row r="12">
      <c r="A12" s="2" t="inlineStr">
        <is>
          <t>W07 the ask  &lt;=  funding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hurdle rate between 0 and 50%</t>
        </is>
      </c>
      <c r="C5" s="7">
        <f>IF(AND(Setup!$B$4&gt;0,Setup!$B$4&lt;0.5),"PASS","FAIL")</f>
        <v/>
      </c>
    </row>
    <row r="6">
      <c r="A6" t="n">
        <v>2</v>
      </c>
      <c r="B6" t="inlineStr">
        <is>
          <t>weights sum to 100%</t>
        </is>
      </c>
      <c r="C6" s="7">
        <f>IF(ABS(Setup!$B$6+Setup!$B$7+Setup!$B$8-1)&lt;1E-9,"PASS","FAIL")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Capital allocation setup</t>
        </is>
      </c>
    </row>
    <row r="2"/>
    <row r="3"/>
    <row r="4">
      <c r="A4" t="inlineStr">
        <is>
          <t>hurdle rate (post-tax WACC, INR)</t>
        </is>
      </c>
      <c r="B4" s="8" t="n">
        <v>0.13</v>
      </c>
    </row>
    <row r="5">
      <c r="A5" t="inlineStr">
        <is>
          <t>capital budget available (₹)</t>
        </is>
      </c>
      <c r="B5" s="9" t="n">
        <v>150000000</v>
      </c>
    </row>
    <row r="6">
      <c r="A6" t="inlineStr">
        <is>
          <t>weight: financial (NPV index)</t>
        </is>
      </c>
      <c r="B6" s="10" t="n">
        <v>0.6</v>
      </c>
    </row>
    <row r="7">
      <c r="A7" t="inlineStr">
        <is>
          <t>weight: strategic fit (1-5)</t>
        </is>
      </c>
      <c r="B7" s="10" t="n">
        <v>0.25</v>
      </c>
    </row>
    <row r="8">
      <c r="A8" t="inlineStr">
        <is>
          <t>weight: risk (1-5, 5 = low risk)</t>
        </is>
      </c>
      <c r="B8" s="10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16" customWidth="1" min="13" max="13"/>
    <col width="12" customWidth="1" min="14" max="14"/>
    <col width="23" customWidth="1" min="15" max="15"/>
    <col width="21" customWidth="1" min="16" max="16"/>
    <col width="22" customWidth="1" min="17" max="17"/>
    <col width="19" customWidth="1" min="18" max="18"/>
    <col width="12" customWidth="1" min="19" max="19"/>
    <col width="28" customWidth="1" min="20" max="20"/>
    <col width="25" customWidth="1" min="21" max="21"/>
  </cols>
  <sheetData>
    <row r="1">
      <c r="A1" s="1" t="inlineStr">
        <is>
          <t>Projects (cash flows in ₹, after tax)</t>
        </is>
      </c>
    </row>
    <row r="2"/>
    <row r="3"/>
    <row r="4">
      <c r="A4" s="6" t="inlineStr">
        <is>
          <t>project</t>
        </is>
      </c>
      <c r="B4" s="6" t="inlineStr">
        <is>
          <t>year-0 cash flow (capex as NEGATIVE)</t>
        </is>
      </c>
      <c r="C4" s="6" t="inlineStr">
        <is>
          <t>net cash flow Y1</t>
        </is>
      </c>
      <c r="D4" s="6" t="inlineStr">
        <is>
          <t>net cash flow Y2</t>
        </is>
      </c>
      <c r="E4" s="6" t="inlineStr">
        <is>
          <t>net cash flow Y3</t>
        </is>
      </c>
      <c r="F4" s="6" t="inlineStr">
        <is>
          <t>net cash flow Y4</t>
        </is>
      </c>
      <c r="G4" s="6" t="inlineStr">
        <is>
          <t>net cash flow Y5</t>
        </is>
      </c>
      <c r="H4" s="6" t="inlineStr">
        <is>
          <t>net cash flow Y6</t>
        </is>
      </c>
      <c r="I4" s="6" t="inlineStr">
        <is>
          <t>net cash flow Y7</t>
        </is>
      </c>
      <c r="J4" s="6" t="inlineStr">
        <is>
          <t>net cash flow Y8</t>
        </is>
      </c>
      <c r="K4" s="6" t="inlineStr">
        <is>
          <t>net cash flow Y9</t>
        </is>
      </c>
      <c r="L4" s="6" t="inlineStr">
        <is>
          <t>net cash flow Y10</t>
        </is>
      </c>
      <c r="M4" s="6" t="inlineStr">
        <is>
          <t>NPV @ hurdle</t>
        </is>
      </c>
      <c r="N4" s="6" t="inlineStr">
        <is>
          <t>IRR</t>
        </is>
      </c>
      <c r="O4" s="6" t="inlineStr">
        <is>
          <t>profitability index</t>
        </is>
      </c>
      <c r="P4" s="6" t="inlineStr">
        <is>
          <t>strategic fit 1-5</t>
        </is>
      </c>
      <c r="Q4" s="6" t="inlineStr">
        <is>
          <t>risk 1-5 (5 = low)</t>
        </is>
      </c>
      <c r="R4" s="6" t="inlineStr">
        <is>
          <t>composite score</t>
        </is>
      </c>
      <c r="S4" s="6" t="inlineStr">
        <is>
          <t>rank</t>
        </is>
      </c>
      <c r="T4" s="6" t="inlineStr">
        <is>
          <t>cumulative capex by rank</t>
        </is>
      </c>
      <c r="U4" s="6" t="inlineStr">
        <is>
          <t>funded within budget?</t>
        </is>
      </c>
    </row>
    <row r="5">
      <c r="A5" s="11" t="inlineStr">
        <is>
          <t>Hosur EV-component line</t>
        </is>
      </c>
      <c r="B5" s="9" t="n">
        <v>-80000000</v>
      </c>
      <c r="C5" s="9" t="n">
        <v>15000000</v>
      </c>
      <c r="D5" s="9" t="n">
        <v>20000000</v>
      </c>
      <c r="E5" s="9" t="n">
        <v>24000000</v>
      </c>
      <c r="F5" s="9" t="n">
        <v>26000000</v>
      </c>
      <c r="G5" s="9" t="n">
        <v>26000000</v>
      </c>
      <c r="H5" s="9" t="n">
        <v>26000000</v>
      </c>
      <c r="I5" s="9" t="n">
        <v>24000000</v>
      </c>
      <c r="J5" s="9" t="n">
        <v>22000000</v>
      </c>
      <c r="K5" s="9" t="n">
        <v>20000000</v>
      </c>
      <c r="L5" s="9" t="n">
        <v>18000000</v>
      </c>
      <c r="M5" s="12">
        <f>IF(A5="","",B5+NPV(Setup!$B$4,C5:L5))</f>
        <v/>
      </c>
      <c r="N5" s="13">
        <f>IF(A5="","",IFERROR(IRR(B5:L5),""))</f>
        <v/>
      </c>
      <c r="O5" s="14">
        <f>IF(OR(A5="",N(B5)=0),"",(M5-B5)/(-B5))</f>
        <v/>
      </c>
      <c r="P5" s="15" t="n">
        <v>4</v>
      </c>
      <c r="Q5" s="15" t="n">
        <v>3</v>
      </c>
      <c r="R5" s="14">
        <f>IF(A5="","",Setup!$B$6*MIN(5,MAX(0,O5*2.5))+Setup!$B$7*N(P5)+Setup!$B$8*N(Q5))</f>
        <v/>
      </c>
      <c r="S5" s="16">
        <f>IF(A5="","",COUNTIF($R$5:$R$54,"&gt;"&amp;R5)+COUNTIF($R$5:R5,R5))</f>
        <v/>
      </c>
      <c r="T5" s="12">
        <f>IF(A5="","",-SUMIF($S$5:$S$54,"&lt;="&amp;S5,$B$5:$B$54))</f>
        <v/>
      </c>
      <c r="U5" s="7">
        <f>IF(A5="","",AND(T5&lt;=Setup!$B$5,M5&gt;0))</f>
        <v/>
      </c>
    </row>
    <row r="6">
      <c r="A6" s="11" t="inlineStr">
        <is>
          <t>Rooftop solar 2 MW (Coimbatore)</t>
        </is>
      </c>
      <c r="B6" s="9" t="n">
        <v>-90000000</v>
      </c>
      <c r="C6" s="9" t="n">
        <v>14000000</v>
      </c>
      <c r="D6" s="9" t="n">
        <v>14000000</v>
      </c>
      <c r="E6" s="9" t="n">
        <v>14000000</v>
      </c>
      <c r="F6" s="9" t="n">
        <v>14000000</v>
      </c>
      <c r="G6" s="9" t="n">
        <v>14000000</v>
      </c>
      <c r="H6" s="9" t="n">
        <v>14000000</v>
      </c>
      <c r="I6" s="9" t="n">
        <v>14000000</v>
      </c>
      <c r="J6" s="9" t="n">
        <v>14000000</v>
      </c>
      <c r="K6" s="9" t="n">
        <v>14000000</v>
      </c>
      <c r="L6" s="9" t="n">
        <v>14000000</v>
      </c>
      <c r="M6" s="12">
        <f>IF(A6="","",B6+NPV(Setup!$B$4,C6:L6))</f>
        <v/>
      </c>
      <c r="N6" s="13">
        <f>IF(A6="","",IFERROR(IRR(B6:L6),""))</f>
        <v/>
      </c>
      <c r="O6" s="14">
        <f>IF(OR(A6="",N(B6)=0),"",(M6-B6)/(-B6))</f>
        <v/>
      </c>
      <c r="P6" s="15" t="n">
        <v>3</v>
      </c>
      <c r="Q6" s="15" t="n">
        <v>5</v>
      </c>
      <c r="R6" s="14">
        <f>IF(A6="","",Setup!$B$6*MIN(5,MAX(0,O6*2.5))+Setup!$B$7*N(P6)+Setup!$B$8*N(Q6))</f>
        <v/>
      </c>
      <c r="S6" s="16">
        <f>IF(A6="","",COUNTIF($R$5:$R$54,"&gt;"&amp;R6)+COUNTIF($R$5:R6,R6))</f>
        <v/>
      </c>
      <c r="T6" s="12">
        <f>IF(A6="","",-SUMIF($S$5:$S$54,"&lt;="&amp;S6,$B$5:$B$54))</f>
        <v/>
      </c>
      <c r="U6" s="7">
        <f>IF(A6="","",AND(T6&lt;=Setup!$B$5,M6&gt;0))</f>
        <v/>
      </c>
    </row>
    <row r="7">
      <c r="A7" s="11" t="inlineStr">
        <is>
          <t>ERP upgrade (Tally -&gt; Zoho/SAP)</t>
        </is>
      </c>
      <c r="B7" s="9" t="n">
        <v>-12000000</v>
      </c>
      <c r="C7" s="9" t="n">
        <v>3000000</v>
      </c>
      <c r="D7" s="9" t="n">
        <v>4000000</v>
      </c>
      <c r="E7" s="9" t="n">
        <v>4000000</v>
      </c>
      <c r="F7" s="9" t="n">
        <v>4000000</v>
      </c>
      <c r="G7" s="9" t="n">
        <v>3000000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12">
        <f>IF(A7="","",B7+NPV(Setup!$B$4,C7:L7))</f>
        <v/>
      </c>
      <c r="N7" s="13">
        <f>IF(A7="","",IFERROR(IRR(B7:L7),""))</f>
        <v/>
      </c>
      <c r="O7" s="14">
        <f>IF(OR(A7="",N(B7)=0),"",(M7-B7)/(-B7))</f>
        <v/>
      </c>
      <c r="P7" s="15" t="n">
        <v>4</v>
      </c>
      <c r="Q7" s="15" t="n">
        <v>4</v>
      </c>
      <c r="R7" s="14">
        <f>IF(A7="","",Setup!$B$6*MIN(5,MAX(0,O7*2.5))+Setup!$B$7*N(P7)+Setup!$B$8*N(Q7))</f>
        <v/>
      </c>
      <c r="S7" s="16">
        <f>IF(A7="","",COUNTIF($R$5:$R$54,"&gt;"&amp;R7)+COUNTIF($R$5:R7,R7))</f>
        <v/>
      </c>
      <c r="T7" s="12">
        <f>IF(A7="","",-SUMIF($S$5:$S$54,"&lt;="&amp;S7,$B$5:$B$54))</f>
        <v/>
      </c>
      <c r="U7" s="7">
        <f>IF(A7="","",AND(T7&lt;=Setup!$B$5,M7&gt;0))</f>
        <v/>
      </c>
    </row>
    <row r="8">
      <c r="A8" s="11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12">
        <f>IF(A8="","",B8+NPV(Setup!$B$4,C8:L8))</f>
        <v/>
      </c>
      <c r="N8" s="13">
        <f>IF(A8="","",IFERROR(IRR(B8:L8),""))</f>
        <v/>
      </c>
      <c r="O8" s="14">
        <f>IF(OR(A8="",N(B8)=0),"",(M8-B8)/(-B8))</f>
        <v/>
      </c>
      <c r="P8" s="15" t="n"/>
      <c r="Q8" s="15" t="n"/>
      <c r="R8" s="14">
        <f>IF(A8="","",Setup!$B$6*MIN(5,MAX(0,O8*2.5))+Setup!$B$7*N(P8)+Setup!$B$8*N(Q8))</f>
        <v/>
      </c>
      <c r="S8" s="16">
        <f>IF(A8="","",COUNTIF($R$5:$R$54,"&gt;"&amp;R8)+COUNTIF($R$5:R8,R8))</f>
        <v/>
      </c>
      <c r="T8" s="12">
        <f>IF(A8="","",-SUMIF($S$5:$S$54,"&lt;="&amp;S8,$B$5:$B$54))</f>
        <v/>
      </c>
      <c r="U8" s="7">
        <f>IF(A8="","",AND(T8&lt;=Setup!$B$5,M8&gt;0))</f>
        <v/>
      </c>
    </row>
    <row r="9">
      <c r="A9" s="11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12">
        <f>IF(A9="","",B9+NPV(Setup!$B$4,C9:L9))</f>
        <v/>
      </c>
      <c r="N9" s="13">
        <f>IF(A9="","",IFERROR(IRR(B9:L9),""))</f>
        <v/>
      </c>
      <c r="O9" s="14">
        <f>IF(OR(A9="",N(B9)=0),"",(M9-B9)/(-B9))</f>
        <v/>
      </c>
      <c r="P9" s="15" t="n"/>
      <c r="Q9" s="15" t="n"/>
      <c r="R9" s="14">
        <f>IF(A9="","",Setup!$B$6*MIN(5,MAX(0,O9*2.5))+Setup!$B$7*N(P9)+Setup!$B$8*N(Q9))</f>
        <v/>
      </c>
      <c r="S9" s="16">
        <f>IF(A9="","",COUNTIF($R$5:$R$54,"&gt;"&amp;R9)+COUNTIF($R$5:R9,R9))</f>
        <v/>
      </c>
      <c r="T9" s="12">
        <f>IF(A9="","",-SUMIF($S$5:$S$54,"&lt;="&amp;S9,$B$5:$B$54))</f>
        <v/>
      </c>
      <c r="U9" s="7">
        <f>IF(A9="","",AND(T9&lt;=Setup!$B$5,M9&gt;0))</f>
        <v/>
      </c>
    </row>
    <row r="10">
      <c r="A10" s="11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12">
        <f>IF(A10="","",B10+NPV(Setup!$B$4,C10:L10))</f>
        <v/>
      </c>
      <c r="N10" s="13">
        <f>IF(A10="","",IFERROR(IRR(B10:L10),""))</f>
        <v/>
      </c>
      <c r="O10" s="14">
        <f>IF(OR(A10="",N(B10)=0),"",(M10-B10)/(-B10))</f>
        <v/>
      </c>
      <c r="P10" s="15" t="n"/>
      <c r="Q10" s="15" t="n"/>
      <c r="R10" s="14">
        <f>IF(A10="","",Setup!$B$6*MIN(5,MAX(0,O10*2.5))+Setup!$B$7*N(P10)+Setup!$B$8*N(Q10))</f>
        <v/>
      </c>
      <c r="S10" s="16">
        <f>IF(A10="","",COUNTIF($R$5:$R$54,"&gt;"&amp;R10)+COUNTIF($R$5:R10,R10))</f>
        <v/>
      </c>
      <c r="T10" s="12">
        <f>IF(A10="","",-SUMIF($S$5:$S$54,"&lt;="&amp;S10,$B$5:$B$54))</f>
        <v/>
      </c>
      <c r="U10" s="7">
        <f>IF(A10="","",AND(T10&lt;=Setup!$B$5,M10&gt;0))</f>
        <v/>
      </c>
    </row>
    <row r="11">
      <c r="A11" s="11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12">
        <f>IF(A11="","",B11+NPV(Setup!$B$4,C11:L11))</f>
        <v/>
      </c>
      <c r="N11" s="13">
        <f>IF(A11="","",IFERROR(IRR(B11:L11),""))</f>
        <v/>
      </c>
      <c r="O11" s="14">
        <f>IF(OR(A11="",N(B11)=0),"",(M11-B11)/(-B11))</f>
        <v/>
      </c>
      <c r="P11" s="15" t="n"/>
      <c r="Q11" s="15" t="n"/>
      <c r="R11" s="14">
        <f>IF(A11="","",Setup!$B$6*MIN(5,MAX(0,O11*2.5))+Setup!$B$7*N(P11)+Setup!$B$8*N(Q11))</f>
        <v/>
      </c>
      <c r="S11" s="16">
        <f>IF(A11="","",COUNTIF($R$5:$R$54,"&gt;"&amp;R11)+COUNTIF($R$5:R11,R11))</f>
        <v/>
      </c>
      <c r="T11" s="12">
        <f>IF(A11="","",-SUMIF($S$5:$S$54,"&lt;="&amp;S11,$B$5:$B$54))</f>
        <v/>
      </c>
      <c r="U11" s="7">
        <f>IF(A11="","",AND(T11&lt;=Setup!$B$5,M11&gt;0))</f>
        <v/>
      </c>
    </row>
    <row r="12">
      <c r="A12" s="11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12">
        <f>IF(A12="","",B12+NPV(Setup!$B$4,C12:L12))</f>
        <v/>
      </c>
      <c r="N12" s="13">
        <f>IF(A12="","",IFERROR(IRR(B12:L12),""))</f>
        <v/>
      </c>
      <c r="O12" s="14">
        <f>IF(OR(A12="",N(B12)=0),"",(M12-B12)/(-B12))</f>
        <v/>
      </c>
      <c r="P12" s="15" t="n"/>
      <c r="Q12" s="15" t="n"/>
      <c r="R12" s="14">
        <f>IF(A12="","",Setup!$B$6*MIN(5,MAX(0,O12*2.5))+Setup!$B$7*N(P12)+Setup!$B$8*N(Q12))</f>
        <v/>
      </c>
      <c r="S12" s="16">
        <f>IF(A12="","",COUNTIF($R$5:$R$54,"&gt;"&amp;R12)+COUNTIF($R$5:R12,R12))</f>
        <v/>
      </c>
      <c r="T12" s="12">
        <f>IF(A12="","",-SUMIF($S$5:$S$54,"&lt;="&amp;S12,$B$5:$B$54))</f>
        <v/>
      </c>
      <c r="U12" s="7">
        <f>IF(A12="","",AND(T12&lt;=Setup!$B$5,M12&gt;0))</f>
        <v/>
      </c>
    </row>
    <row r="13">
      <c r="A13" s="11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12">
        <f>IF(A13="","",B13+NPV(Setup!$B$4,C13:L13))</f>
        <v/>
      </c>
      <c r="N13" s="13">
        <f>IF(A13="","",IFERROR(IRR(B13:L13),""))</f>
        <v/>
      </c>
      <c r="O13" s="14">
        <f>IF(OR(A13="",N(B13)=0),"",(M13-B13)/(-B13))</f>
        <v/>
      </c>
      <c r="P13" s="15" t="n"/>
      <c r="Q13" s="15" t="n"/>
      <c r="R13" s="14">
        <f>IF(A13="","",Setup!$B$6*MIN(5,MAX(0,O13*2.5))+Setup!$B$7*N(P13)+Setup!$B$8*N(Q13))</f>
        <v/>
      </c>
      <c r="S13" s="16">
        <f>IF(A13="","",COUNTIF($R$5:$R$54,"&gt;"&amp;R13)+COUNTIF($R$5:R13,R13))</f>
        <v/>
      </c>
      <c r="T13" s="12">
        <f>IF(A13="","",-SUMIF($S$5:$S$54,"&lt;="&amp;S13,$B$5:$B$54))</f>
        <v/>
      </c>
      <c r="U13" s="7">
        <f>IF(A13="","",AND(T13&lt;=Setup!$B$5,M13&gt;0))</f>
        <v/>
      </c>
    </row>
    <row r="14">
      <c r="A14" s="11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12">
        <f>IF(A14="","",B14+NPV(Setup!$B$4,C14:L14))</f>
        <v/>
      </c>
      <c r="N14" s="13">
        <f>IF(A14="","",IFERROR(IRR(B14:L14),""))</f>
        <v/>
      </c>
      <c r="O14" s="14">
        <f>IF(OR(A14="",N(B14)=0),"",(M14-B14)/(-B14))</f>
        <v/>
      </c>
      <c r="P14" s="15" t="n"/>
      <c r="Q14" s="15" t="n"/>
      <c r="R14" s="14">
        <f>IF(A14="","",Setup!$B$6*MIN(5,MAX(0,O14*2.5))+Setup!$B$7*N(P14)+Setup!$B$8*N(Q14))</f>
        <v/>
      </c>
      <c r="S14" s="16">
        <f>IF(A14="","",COUNTIF($R$5:$R$54,"&gt;"&amp;R14)+COUNTIF($R$5:R14,R14))</f>
        <v/>
      </c>
      <c r="T14" s="12">
        <f>IF(A14="","",-SUMIF($S$5:$S$54,"&lt;="&amp;S14,$B$5:$B$54))</f>
        <v/>
      </c>
      <c r="U14" s="7">
        <f>IF(A14="","",AND(T14&lt;=Setup!$B$5,M14&gt;0))</f>
        <v/>
      </c>
    </row>
    <row r="15">
      <c r="A15" s="11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12">
        <f>IF(A15="","",B15+NPV(Setup!$B$4,C15:L15))</f>
        <v/>
      </c>
      <c r="N15" s="13">
        <f>IF(A15="","",IFERROR(IRR(B15:L15),""))</f>
        <v/>
      </c>
      <c r="O15" s="14">
        <f>IF(OR(A15="",N(B15)=0),"",(M15-B15)/(-B15))</f>
        <v/>
      </c>
      <c r="P15" s="15" t="n"/>
      <c r="Q15" s="15" t="n"/>
      <c r="R15" s="14">
        <f>IF(A15="","",Setup!$B$6*MIN(5,MAX(0,O15*2.5))+Setup!$B$7*N(P15)+Setup!$B$8*N(Q15))</f>
        <v/>
      </c>
      <c r="S15" s="16">
        <f>IF(A15="","",COUNTIF($R$5:$R$54,"&gt;"&amp;R15)+COUNTIF($R$5:R15,R15))</f>
        <v/>
      </c>
      <c r="T15" s="12">
        <f>IF(A15="","",-SUMIF($S$5:$S$54,"&lt;="&amp;S15,$B$5:$B$54))</f>
        <v/>
      </c>
      <c r="U15" s="7">
        <f>IF(A15="","",AND(T15&lt;=Setup!$B$5,M15&gt;0))</f>
        <v/>
      </c>
    </row>
    <row r="16">
      <c r="A16" s="11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12">
        <f>IF(A16="","",B16+NPV(Setup!$B$4,C16:L16))</f>
        <v/>
      </c>
      <c r="N16" s="13">
        <f>IF(A16="","",IFERROR(IRR(B16:L16),""))</f>
        <v/>
      </c>
      <c r="O16" s="14">
        <f>IF(OR(A16="",N(B16)=0),"",(M16-B16)/(-B16))</f>
        <v/>
      </c>
      <c r="P16" s="15" t="n"/>
      <c r="Q16" s="15" t="n"/>
      <c r="R16" s="14">
        <f>IF(A16="","",Setup!$B$6*MIN(5,MAX(0,O16*2.5))+Setup!$B$7*N(P16)+Setup!$B$8*N(Q16))</f>
        <v/>
      </c>
      <c r="S16" s="16">
        <f>IF(A16="","",COUNTIF($R$5:$R$54,"&gt;"&amp;R16)+COUNTIF($R$5:R16,R16))</f>
        <v/>
      </c>
      <c r="T16" s="12">
        <f>IF(A16="","",-SUMIF($S$5:$S$54,"&lt;="&amp;S16,$B$5:$B$54))</f>
        <v/>
      </c>
      <c r="U16" s="7">
        <f>IF(A16="","",AND(T16&lt;=Setup!$B$5,M16&gt;0))</f>
        <v/>
      </c>
    </row>
    <row r="17">
      <c r="A17" s="11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12">
        <f>IF(A17="","",B17+NPV(Setup!$B$4,C17:L17))</f>
        <v/>
      </c>
      <c r="N17" s="13">
        <f>IF(A17="","",IFERROR(IRR(B17:L17),""))</f>
        <v/>
      </c>
      <c r="O17" s="14">
        <f>IF(OR(A17="",N(B17)=0),"",(M17-B17)/(-B17))</f>
        <v/>
      </c>
      <c r="P17" s="15" t="n"/>
      <c r="Q17" s="15" t="n"/>
      <c r="R17" s="14">
        <f>IF(A17="","",Setup!$B$6*MIN(5,MAX(0,O17*2.5))+Setup!$B$7*N(P17)+Setup!$B$8*N(Q17))</f>
        <v/>
      </c>
      <c r="S17" s="16">
        <f>IF(A17="","",COUNTIF($R$5:$R$54,"&gt;"&amp;R17)+COUNTIF($R$5:R17,R17))</f>
        <v/>
      </c>
      <c r="T17" s="12">
        <f>IF(A17="","",-SUMIF($S$5:$S$54,"&lt;="&amp;S17,$B$5:$B$54))</f>
        <v/>
      </c>
      <c r="U17" s="7">
        <f>IF(A17="","",AND(T17&lt;=Setup!$B$5,M17&gt;0))</f>
        <v/>
      </c>
    </row>
    <row r="18">
      <c r="A18" s="1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12">
        <f>IF(A18="","",B18+NPV(Setup!$B$4,C18:L18))</f>
        <v/>
      </c>
      <c r="N18" s="13">
        <f>IF(A18="","",IFERROR(IRR(B18:L18),""))</f>
        <v/>
      </c>
      <c r="O18" s="14">
        <f>IF(OR(A18="",N(B18)=0),"",(M18-B18)/(-B18))</f>
        <v/>
      </c>
      <c r="P18" s="15" t="n"/>
      <c r="Q18" s="15" t="n"/>
      <c r="R18" s="14">
        <f>IF(A18="","",Setup!$B$6*MIN(5,MAX(0,O18*2.5))+Setup!$B$7*N(P18)+Setup!$B$8*N(Q18))</f>
        <v/>
      </c>
      <c r="S18" s="16">
        <f>IF(A18="","",COUNTIF($R$5:$R$54,"&gt;"&amp;R18)+COUNTIF($R$5:R18,R18))</f>
        <v/>
      </c>
      <c r="T18" s="12">
        <f>IF(A18="","",-SUMIF($S$5:$S$54,"&lt;="&amp;S18,$B$5:$B$54))</f>
        <v/>
      </c>
      <c r="U18" s="7">
        <f>IF(A18="","",AND(T18&lt;=Setup!$B$5,M18&gt;0))</f>
        <v/>
      </c>
    </row>
    <row r="19">
      <c r="A19" s="1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12">
        <f>IF(A19="","",B19+NPV(Setup!$B$4,C19:L19))</f>
        <v/>
      </c>
      <c r="N19" s="13">
        <f>IF(A19="","",IFERROR(IRR(B19:L19),""))</f>
        <v/>
      </c>
      <c r="O19" s="14">
        <f>IF(OR(A19="",N(B19)=0),"",(M19-B19)/(-B19))</f>
        <v/>
      </c>
      <c r="P19" s="15" t="n"/>
      <c r="Q19" s="15" t="n"/>
      <c r="R19" s="14">
        <f>IF(A19="","",Setup!$B$6*MIN(5,MAX(0,O19*2.5))+Setup!$B$7*N(P19)+Setup!$B$8*N(Q19))</f>
        <v/>
      </c>
      <c r="S19" s="16">
        <f>IF(A19="","",COUNTIF($R$5:$R$54,"&gt;"&amp;R19)+COUNTIF($R$5:R19,R19))</f>
        <v/>
      </c>
      <c r="T19" s="12">
        <f>IF(A19="","",-SUMIF($S$5:$S$54,"&lt;="&amp;S19,$B$5:$B$54))</f>
        <v/>
      </c>
      <c r="U19" s="7">
        <f>IF(A19="","",AND(T19&lt;=Setup!$B$5,M19&gt;0))</f>
        <v/>
      </c>
    </row>
    <row r="20">
      <c r="A20" s="1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12">
        <f>IF(A20="","",B20+NPV(Setup!$B$4,C20:L20))</f>
        <v/>
      </c>
      <c r="N20" s="13">
        <f>IF(A20="","",IFERROR(IRR(B20:L20),""))</f>
        <v/>
      </c>
      <c r="O20" s="14">
        <f>IF(OR(A20="",N(B20)=0),"",(M20-B20)/(-B20))</f>
        <v/>
      </c>
      <c r="P20" s="15" t="n"/>
      <c r="Q20" s="15" t="n"/>
      <c r="R20" s="14">
        <f>IF(A20="","",Setup!$B$6*MIN(5,MAX(0,O20*2.5))+Setup!$B$7*N(P20)+Setup!$B$8*N(Q20))</f>
        <v/>
      </c>
      <c r="S20" s="16">
        <f>IF(A20="","",COUNTIF($R$5:$R$54,"&gt;"&amp;R20)+COUNTIF($R$5:R20,R20))</f>
        <v/>
      </c>
      <c r="T20" s="12">
        <f>IF(A20="","",-SUMIF($S$5:$S$54,"&lt;="&amp;S20,$B$5:$B$54))</f>
        <v/>
      </c>
      <c r="U20" s="7">
        <f>IF(A20="","",AND(T20&lt;=Setup!$B$5,M20&gt;0))</f>
        <v/>
      </c>
    </row>
    <row r="21">
      <c r="A21" s="1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12">
        <f>IF(A21="","",B21+NPV(Setup!$B$4,C21:L21))</f>
        <v/>
      </c>
      <c r="N21" s="13">
        <f>IF(A21="","",IFERROR(IRR(B21:L21),""))</f>
        <v/>
      </c>
      <c r="O21" s="14">
        <f>IF(OR(A21="",N(B21)=0),"",(M21-B21)/(-B21))</f>
        <v/>
      </c>
      <c r="P21" s="15" t="n"/>
      <c r="Q21" s="15" t="n"/>
      <c r="R21" s="14">
        <f>IF(A21="","",Setup!$B$6*MIN(5,MAX(0,O21*2.5))+Setup!$B$7*N(P21)+Setup!$B$8*N(Q21))</f>
        <v/>
      </c>
      <c r="S21" s="16">
        <f>IF(A21="","",COUNTIF($R$5:$R$54,"&gt;"&amp;R21)+COUNTIF($R$5:R21,R21))</f>
        <v/>
      </c>
      <c r="T21" s="12">
        <f>IF(A21="","",-SUMIF($S$5:$S$54,"&lt;="&amp;S21,$B$5:$B$54))</f>
        <v/>
      </c>
      <c r="U21" s="7">
        <f>IF(A21="","",AND(T21&lt;=Setup!$B$5,M21&gt;0))</f>
        <v/>
      </c>
    </row>
    <row r="22">
      <c r="A22" s="1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12">
        <f>IF(A22="","",B22+NPV(Setup!$B$4,C22:L22))</f>
        <v/>
      </c>
      <c r="N22" s="13">
        <f>IF(A22="","",IFERROR(IRR(B22:L22),""))</f>
        <v/>
      </c>
      <c r="O22" s="14">
        <f>IF(OR(A22="",N(B22)=0),"",(M22-B22)/(-B22))</f>
        <v/>
      </c>
      <c r="P22" s="15" t="n"/>
      <c r="Q22" s="15" t="n"/>
      <c r="R22" s="14">
        <f>IF(A22="","",Setup!$B$6*MIN(5,MAX(0,O22*2.5))+Setup!$B$7*N(P22)+Setup!$B$8*N(Q22))</f>
        <v/>
      </c>
      <c r="S22" s="16">
        <f>IF(A22="","",COUNTIF($R$5:$R$54,"&gt;"&amp;R22)+COUNTIF($R$5:R22,R22))</f>
        <v/>
      </c>
      <c r="T22" s="12">
        <f>IF(A22="","",-SUMIF($S$5:$S$54,"&lt;="&amp;S22,$B$5:$B$54))</f>
        <v/>
      </c>
      <c r="U22" s="7">
        <f>IF(A22="","",AND(T22&lt;=Setup!$B$5,M22&gt;0))</f>
        <v/>
      </c>
    </row>
    <row r="23">
      <c r="A23" s="1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12">
        <f>IF(A23="","",B23+NPV(Setup!$B$4,C23:L23))</f>
        <v/>
      </c>
      <c r="N23" s="13">
        <f>IF(A23="","",IFERROR(IRR(B23:L23),""))</f>
        <v/>
      </c>
      <c r="O23" s="14">
        <f>IF(OR(A23="",N(B23)=0),"",(M23-B23)/(-B23))</f>
        <v/>
      </c>
      <c r="P23" s="15" t="n"/>
      <c r="Q23" s="15" t="n"/>
      <c r="R23" s="14">
        <f>IF(A23="","",Setup!$B$6*MIN(5,MAX(0,O23*2.5))+Setup!$B$7*N(P23)+Setup!$B$8*N(Q23))</f>
        <v/>
      </c>
      <c r="S23" s="16">
        <f>IF(A23="","",COUNTIF($R$5:$R$54,"&gt;"&amp;R23)+COUNTIF($R$5:R23,R23))</f>
        <v/>
      </c>
      <c r="T23" s="12">
        <f>IF(A23="","",-SUMIF($S$5:$S$54,"&lt;="&amp;S23,$B$5:$B$54))</f>
        <v/>
      </c>
      <c r="U23" s="7">
        <f>IF(A23="","",AND(T23&lt;=Setup!$B$5,M23&gt;0))</f>
        <v/>
      </c>
    </row>
    <row r="24">
      <c r="A24" s="1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12">
        <f>IF(A24="","",B24+NPV(Setup!$B$4,C24:L24))</f>
        <v/>
      </c>
      <c r="N24" s="13">
        <f>IF(A24="","",IFERROR(IRR(B24:L24),""))</f>
        <v/>
      </c>
      <c r="O24" s="14">
        <f>IF(OR(A24="",N(B24)=0),"",(M24-B24)/(-B24))</f>
        <v/>
      </c>
      <c r="P24" s="15" t="n"/>
      <c r="Q24" s="15" t="n"/>
      <c r="R24" s="14">
        <f>IF(A24="","",Setup!$B$6*MIN(5,MAX(0,O24*2.5))+Setup!$B$7*N(P24)+Setup!$B$8*N(Q24))</f>
        <v/>
      </c>
      <c r="S24" s="16">
        <f>IF(A24="","",COUNTIF($R$5:$R$54,"&gt;"&amp;R24)+COUNTIF($R$5:R24,R24))</f>
        <v/>
      </c>
      <c r="T24" s="12">
        <f>IF(A24="","",-SUMIF($S$5:$S$54,"&lt;="&amp;S24,$B$5:$B$54))</f>
        <v/>
      </c>
      <c r="U24" s="7">
        <f>IF(A24="","",AND(T24&lt;=Setup!$B$5,M24&gt;0))</f>
        <v/>
      </c>
    </row>
    <row r="25">
      <c r="A25" s="1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12">
        <f>IF(A25="","",B25+NPV(Setup!$B$4,C25:L25))</f>
        <v/>
      </c>
      <c r="N25" s="13">
        <f>IF(A25="","",IFERROR(IRR(B25:L25),""))</f>
        <v/>
      </c>
      <c r="O25" s="14">
        <f>IF(OR(A25="",N(B25)=0),"",(M25-B25)/(-B25))</f>
        <v/>
      </c>
      <c r="P25" s="15" t="n"/>
      <c r="Q25" s="15" t="n"/>
      <c r="R25" s="14">
        <f>IF(A25="","",Setup!$B$6*MIN(5,MAX(0,O25*2.5))+Setup!$B$7*N(P25)+Setup!$B$8*N(Q25))</f>
        <v/>
      </c>
      <c r="S25" s="16">
        <f>IF(A25="","",COUNTIF($R$5:$R$54,"&gt;"&amp;R25)+COUNTIF($R$5:R25,R25))</f>
        <v/>
      </c>
      <c r="T25" s="12">
        <f>IF(A25="","",-SUMIF($S$5:$S$54,"&lt;="&amp;S25,$B$5:$B$54))</f>
        <v/>
      </c>
      <c r="U25" s="7">
        <f>IF(A25="","",AND(T25&lt;=Setup!$B$5,M25&gt;0))</f>
        <v/>
      </c>
    </row>
    <row r="26">
      <c r="A26" s="1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12">
        <f>IF(A26="","",B26+NPV(Setup!$B$4,C26:L26))</f>
        <v/>
      </c>
      <c r="N26" s="13">
        <f>IF(A26="","",IFERROR(IRR(B26:L26),""))</f>
        <v/>
      </c>
      <c r="O26" s="14">
        <f>IF(OR(A26="",N(B26)=0),"",(M26-B26)/(-B26))</f>
        <v/>
      </c>
      <c r="P26" s="15" t="n"/>
      <c r="Q26" s="15" t="n"/>
      <c r="R26" s="14">
        <f>IF(A26="","",Setup!$B$6*MIN(5,MAX(0,O26*2.5))+Setup!$B$7*N(P26)+Setup!$B$8*N(Q26))</f>
        <v/>
      </c>
      <c r="S26" s="16">
        <f>IF(A26="","",COUNTIF($R$5:$R$54,"&gt;"&amp;R26)+COUNTIF($R$5:R26,R26))</f>
        <v/>
      </c>
      <c r="T26" s="12">
        <f>IF(A26="","",-SUMIF($S$5:$S$54,"&lt;="&amp;S26,$B$5:$B$54))</f>
        <v/>
      </c>
      <c r="U26" s="7">
        <f>IF(A26="","",AND(T26&lt;=Setup!$B$5,M26&gt;0))</f>
        <v/>
      </c>
    </row>
    <row r="27">
      <c r="A27" s="1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12">
        <f>IF(A27="","",B27+NPV(Setup!$B$4,C27:L27))</f>
        <v/>
      </c>
      <c r="N27" s="13">
        <f>IF(A27="","",IFERROR(IRR(B27:L27),""))</f>
        <v/>
      </c>
      <c r="O27" s="14">
        <f>IF(OR(A27="",N(B27)=0),"",(M27-B27)/(-B27))</f>
        <v/>
      </c>
      <c r="P27" s="15" t="n"/>
      <c r="Q27" s="15" t="n"/>
      <c r="R27" s="14">
        <f>IF(A27="","",Setup!$B$6*MIN(5,MAX(0,O27*2.5))+Setup!$B$7*N(P27)+Setup!$B$8*N(Q27))</f>
        <v/>
      </c>
      <c r="S27" s="16">
        <f>IF(A27="","",COUNTIF($R$5:$R$54,"&gt;"&amp;R27)+COUNTIF($R$5:R27,R27))</f>
        <v/>
      </c>
      <c r="T27" s="12">
        <f>IF(A27="","",-SUMIF($S$5:$S$54,"&lt;="&amp;S27,$B$5:$B$54))</f>
        <v/>
      </c>
      <c r="U27" s="7">
        <f>IF(A27="","",AND(T27&lt;=Setup!$B$5,M27&gt;0))</f>
        <v/>
      </c>
    </row>
    <row r="28">
      <c r="A28" s="1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12">
        <f>IF(A28="","",B28+NPV(Setup!$B$4,C28:L28))</f>
        <v/>
      </c>
      <c r="N28" s="13">
        <f>IF(A28="","",IFERROR(IRR(B28:L28),""))</f>
        <v/>
      </c>
      <c r="O28" s="14">
        <f>IF(OR(A28="",N(B28)=0),"",(M28-B28)/(-B28))</f>
        <v/>
      </c>
      <c r="P28" s="15" t="n"/>
      <c r="Q28" s="15" t="n"/>
      <c r="R28" s="14">
        <f>IF(A28="","",Setup!$B$6*MIN(5,MAX(0,O28*2.5))+Setup!$B$7*N(P28)+Setup!$B$8*N(Q28))</f>
        <v/>
      </c>
      <c r="S28" s="16">
        <f>IF(A28="","",COUNTIF($R$5:$R$54,"&gt;"&amp;R28)+COUNTIF($R$5:R28,R28))</f>
        <v/>
      </c>
      <c r="T28" s="12">
        <f>IF(A28="","",-SUMIF($S$5:$S$54,"&lt;="&amp;S28,$B$5:$B$54))</f>
        <v/>
      </c>
      <c r="U28" s="7">
        <f>IF(A28="","",AND(T28&lt;=Setup!$B$5,M28&gt;0))</f>
        <v/>
      </c>
    </row>
    <row r="29">
      <c r="A29" s="1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12">
        <f>IF(A29="","",B29+NPV(Setup!$B$4,C29:L29))</f>
        <v/>
      </c>
      <c r="N29" s="13">
        <f>IF(A29="","",IFERROR(IRR(B29:L29),""))</f>
        <v/>
      </c>
      <c r="O29" s="14">
        <f>IF(OR(A29="",N(B29)=0),"",(M29-B29)/(-B29))</f>
        <v/>
      </c>
      <c r="P29" s="15" t="n"/>
      <c r="Q29" s="15" t="n"/>
      <c r="R29" s="14">
        <f>IF(A29="","",Setup!$B$6*MIN(5,MAX(0,O29*2.5))+Setup!$B$7*N(P29)+Setup!$B$8*N(Q29))</f>
        <v/>
      </c>
      <c r="S29" s="16">
        <f>IF(A29="","",COUNTIF($R$5:$R$54,"&gt;"&amp;R29)+COUNTIF($R$5:R29,R29))</f>
        <v/>
      </c>
      <c r="T29" s="12">
        <f>IF(A29="","",-SUMIF($S$5:$S$54,"&lt;="&amp;S29,$B$5:$B$54))</f>
        <v/>
      </c>
      <c r="U29" s="7">
        <f>IF(A29="","",AND(T29&lt;=Setup!$B$5,M29&gt;0))</f>
        <v/>
      </c>
    </row>
    <row r="30">
      <c r="A30" s="1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2">
        <f>IF(A30="","",B30+NPV(Setup!$B$4,C30:L30))</f>
        <v/>
      </c>
      <c r="N30" s="13">
        <f>IF(A30="","",IFERROR(IRR(B30:L30),""))</f>
        <v/>
      </c>
      <c r="O30" s="14">
        <f>IF(OR(A30="",N(B30)=0),"",(M30-B30)/(-B30))</f>
        <v/>
      </c>
      <c r="P30" s="15" t="n"/>
      <c r="Q30" s="15" t="n"/>
      <c r="R30" s="14">
        <f>IF(A30="","",Setup!$B$6*MIN(5,MAX(0,O30*2.5))+Setup!$B$7*N(P30)+Setup!$B$8*N(Q30))</f>
        <v/>
      </c>
      <c r="S30" s="16">
        <f>IF(A30="","",COUNTIF($R$5:$R$54,"&gt;"&amp;R30)+COUNTIF($R$5:R30,R30))</f>
        <v/>
      </c>
      <c r="T30" s="12">
        <f>IF(A30="","",-SUMIF($S$5:$S$54,"&lt;="&amp;S30,$B$5:$B$54))</f>
        <v/>
      </c>
      <c r="U30" s="7">
        <f>IF(A30="","",AND(T30&lt;=Setup!$B$5,M30&gt;0))</f>
        <v/>
      </c>
    </row>
    <row r="31">
      <c r="A31" s="1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12">
        <f>IF(A31="","",B31+NPV(Setup!$B$4,C31:L31))</f>
        <v/>
      </c>
      <c r="N31" s="13">
        <f>IF(A31="","",IFERROR(IRR(B31:L31),""))</f>
        <v/>
      </c>
      <c r="O31" s="14">
        <f>IF(OR(A31="",N(B31)=0),"",(M31-B31)/(-B31))</f>
        <v/>
      </c>
      <c r="P31" s="15" t="n"/>
      <c r="Q31" s="15" t="n"/>
      <c r="R31" s="14">
        <f>IF(A31="","",Setup!$B$6*MIN(5,MAX(0,O31*2.5))+Setup!$B$7*N(P31)+Setup!$B$8*N(Q31))</f>
        <v/>
      </c>
      <c r="S31" s="16">
        <f>IF(A31="","",COUNTIF($R$5:$R$54,"&gt;"&amp;R31)+COUNTIF($R$5:R31,R31))</f>
        <v/>
      </c>
      <c r="T31" s="12">
        <f>IF(A31="","",-SUMIF($S$5:$S$54,"&lt;="&amp;S31,$B$5:$B$54))</f>
        <v/>
      </c>
      <c r="U31" s="7">
        <f>IF(A31="","",AND(T31&lt;=Setup!$B$5,M31&gt;0))</f>
        <v/>
      </c>
    </row>
    <row r="32">
      <c r="A32" s="1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12">
        <f>IF(A32="","",B32+NPV(Setup!$B$4,C32:L32))</f>
        <v/>
      </c>
      <c r="N32" s="13">
        <f>IF(A32="","",IFERROR(IRR(B32:L32),""))</f>
        <v/>
      </c>
      <c r="O32" s="14">
        <f>IF(OR(A32="",N(B32)=0),"",(M32-B32)/(-B32))</f>
        <v/>
      </c>
      <c r="P32" s="15" t="n"/>
      <c r="Q32" s="15" t="n"/>
      <c r="R32" s="14">
        <f>IF(A32="","",Setup!$B$6*MIN(5,MAX(0,O32*2.5))+Setup!$B$7*N(P32)+Setup!$B$8*N(Q32))</f>
        <v/>
      </c>
      <c r="S32" s="16">
        <f>IF(A32="","",COUNTIF($R$5:$R$54,"&gt;"&amp;R32)+COUNTIF($R$5:R32,R32))</f>
        <v/>
      </c>
      <c r="T32" s="12">
        <f>IF(A32="","",-SUMIF($S$5:$S$54,"&lt;="&amp;S32,$B$5:$B$54))</f>
        <v/>
      </c>
      <c r="U32" s="7">
        <f>IF(A32="","",AND(T32&lt;=Setup!$B$5,M32&gt;0))</f>
        <v/>
      </c>
    </row>
    <row r="33">
      <c r="A33" s="1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12">
        <f>IF(A33="","",B33+NPV(Setup!$B$4,C33:L33))</f>
        <v/>
      </c>
      <c r="N33" s="13">
        <f>IF(A33="","",IFERROR(IRR(B33:L33),""))</f>
        <v/>
      </c>
      <c r="O33" s="14">
        <f>IF(OR(A33="",N(B33)=0),"",(M33-B33)/(-B33))</f>
        <v/>
      </c>
      <c r="P33" s="15" t="n"/>
      <c r="Q33" s="15" t="n"/>
      <c r="R33" s="14">
        <f>IF(A33="","",Setup!$B$6*MIN(5,MAX(0,O33*2.5))+Setup!$B$7*N(P33)+Setup!$B$8*N(Q33))</f>
        <v/>
      </c>
      <c r="S33" s="16">
        <f>IF(A33="","",COUNTIF($R$5:$R$54,"&gt;"&amp;R33)+COUNTIF($R$5:R33,R33))</f>
        <v/>
      </c>
      <c r="T33" s="12">
        <f>IF(A33="","",-SUMIF($S$5:$S$54,"&lt;="&amp;S33,$B$5:$B$54))</f>
        <v/>
      </c>
      <c r="U33" s="7">
        <f>IF(A33="","",AND(T33&lt;=Setup!$B$5,M33&gt;0))</f>
        <v/>
      </c>
    </row>
    <row r="34">
      <c r="A34" s="1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12">
        <f>IF(A34="","",B34+NPV(Setup!$B$4,C34:L34))</f>
        <v/>
      </c>
      <c r="N34" s="13">
        <f>IF(A34="","",IFERROR(IRR(B34:L34),""))</f>
        <v/>
      </c>
      <c r="O34" s="14">
        <f>IF(OR(A34="",N(B34)=0),"",(M34-B34)/(-B34))</f>
        <v/>
      </c>
      <c r="P34" s="15" t="n"/>
      <c r="Q34" s="15" t="n"/>
      <c r="R34" s="14">
        <f>IF(A34="","",Setup!$B$6*MIN(5,MAX(0,O34*2.5))+Setup!$B$7*N(P34)+Setup!$B$8*N(Q34))</f>
        <v/>
      </c>
      <c r="S34" s="16">
        <f>IF(A34="","",COUNTIF($R$5:$R$54,"&gt;"&amp;R34)+COUNTIF($R$5:R34,R34))</f>
        <v/>
      </c>
      <c r="T34" s="12">
        <f>IF(A34="","",-SUMIF($S$5:$S$54,"&lt;="&amp;S34,$B$5:$B$54))</f>
        <v/>
      </c>
      <c r="U34" s="7">
        <f>IF(A34="","",AND(T34&lt;=Setup!$B$5,M34&gt;0))</f>
        <v/>
      </c>
    </row>
    <row r="35">
      <c r="A35" s="1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12">
        <f>IF(A35="","",B35+NPV(Setup!$B$4,C35:L35))</f>
        <v/>
      </c>
      <c r="N35" s="13">
        <f>IF(A35="","",IFERROR(IRR(B35:L35),""))</f>
        <v/>
      </c>
      <c r="O35" s="14">
        <f>IF(OR(A35="",N(B35)=0),"",(M35-B35)/(-B35))</f>
        <v/>
      </c>
      <c r="P35" s="15" t="n"/>
      <c r="Q35" s="15" t="n"/>
      <c r="R35" s="14">
        <f>IF(A35="","",Setup!$B$6*MIN(5,MAX(0,O35*2.5))+Setup!$B$7*N(P35)+Setup!$B$8*N(Q35))</f>
        <v/>
      </c>
      <c r="S35" s="16">
        <f>IF(A35="","",COUNTIF($R$5:$R$54,"&gt;"&amp;R35)+COUNTIF($R$5:R35,R35))</f>
        <v/>
      </c>
      <c r="T35" s="12">
        <f>IF(A35="","",-SUMIF($S$5:$S$54,"&lt;="&amp;S35,$B$5:$B$54))</f>
        <v/>
      </c>
      <c r="U35" s="7">
        <f>IF(A35="","",AND(T35&lt;=Setup!$B$5,M35&gt;0))</f>
        <v/>
      </c>
    </row>
    <row r="36">
      <c r="A36" s="1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12">
        <f>IF(A36="","",B36+NPV(Setup!$B$4,C36:L36))</f>
        <v/>
      </c>
      <c r="N36" s="13">
        <f>IF(A36="","",IFERROR(IRR(B36:L36),""))</f>
        <v/>
      </c>
      <c r="O36" s="14">
        <f>IF(OR(A36="",N(B36)=0),"",(M36-B36)/(-B36))</f>
        <v/>
      </c>
      <c r="P36" s="15" t="n"/>
      <c r="Q36" s="15" t="n"/>
      <c r="R36" s="14">
        <f>IF(A36="","",Setup!$B$6*MIN(5,MAX(0,O36*2.5))+Setup!$B$7*N(P36)+Setup!$B$8*N(Q36))</f>
        <v/>
      </c>
      <c r="S36" s="16">
        <f>IF(A36="","",COUNTIF($R$5:$R$54,"&gt;"&amp;R36)+COUNTIF($R$5:R36,R36))</f>
        <v/>
      </c>
      <c r="T36" s="12">
        <f>IF(A36="","",-SUMIF($S$5:$S$54,"&lt;="&amp;S36,$B$5:$B$54))</f>
        <v/>
      </c>
      <c r="U36" s="7">
        <f>IF(A36="","",AND(T36&lt;=Setup!$B$5,M36&gt;0))</f>
        <v/>
      </c>
    </row>
    <row r="37">
      <c r="A37" s="1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12">
        <f>IF(A37="","",B37+NPV(Setup!$B$4,C37:L37))</f>
        <v/>
      </c>
      <c r="N37" s="13">
        <f>IF(A37="","",IFERROR(IRR(B37:L37),""))</f>
        <v/>
      </c>
      <c r="O37" s="14">
        <f>IF(OR(A37="",N(B37)=0),"",(M37-B37)/(-B37))</f>
        <v/>
      </c>
      <c r="P37" s="15" t="n"/>
      <c r="Q37" s="15" t="n"/>
      <c r="R37" s="14">
        <f>IF(A37="","",Setup!$B$6*MIN(5,MAX(0,O37*2.5))+Setup!$B$7*N(P37)+Setup!$B$8*N(Q37))</f>
        <v/>
      </c>
      <c r="S37" s="16">
        <f>IF(A37="","",COUNTIF($R$5:$R$54,"&gt;"&amp;R37)+COUNTIF($R$5:R37,R37))</f>
        <v/>
      </c>
      <c r="T37" s="12">
        <f>IF(A37="","",-SUMIF($S$5:$S$54,"&lt;="&amp;S37,$B$5:$B$54))</f>
        <v/>
      </c>
      <c r="U37" s="7">
        <f>IF(A37="","",AND(T37&lt;=Setup!$B$5,M37&gt;0))</f>
        <v/>
      </c>
    </row>
    <row r="38">
      <c r="A38" s="1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12">
        <f>IF(A38="","",B38+NPV(Setup!$B$4,C38:L38))</f>
        <v/>
      </c>
      <c r="N38" s="13">
        <f>IF(A38="","",IFERROR(IRR(B38:L38),""))</f>
        <v/>
      </c>
      <c r="O38" s="14">
        <f>IF(OR(A38="",N(B38)=0),"",(M38-B38)/(-B38))</f>
        <v/>
      </c>
      <c r="P38" s="15" t="n"/>
      <c r="Q38" s="15" t="n"/>
      <c r="R38" s="14">
        <f>IF(A38="","",Setup!$B$6*MIN(5,MAX(0,O38*2.5))+Setup!$B$7*N(P38)+Setup!$B$8*N(Q38))</f>
        <v/>
      </c>
      <c r="S38" s="16">
        <f>IF(A38="","",COUNTIF($R$5:$R$54,"&gt;"&amp;R38)+COUNTIF($R$5:R38,R38))</f>
        <v/>
      </c>
      <c r="T38" s="12">
        <f>IF(A38="","",-SUMIF($S$5:$S$54,"&lt;="&amp;S38,$B$5:$B$54))</f>
        <v/>
      </c>
      <c r="U38" s="7">
        <f>IF(A38="","",AND(T38&lt;=Setup!$B$5,M38&gt;0))</f>
        <v/>
      </c>
    </row>
    <row r="39">
      <c r="A39" s="1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12">
        <f>IF(A39="","",B39+NPV(Setup!$B$4,C39:L39))</f>
        <v/>
      </c>
      <c r="N39" s="13">
        <f>IF(A39="","",IFERROR(IRR(B39:L39),""))</f>
        <v/>
      </c>
      <c r="O39" s="14">
        <f>IF(OR(A39="",N(B39)=0),"",(M39-B39)/(-B39))</f>
        <v/>
      </c>
      <c r="P39" s="15" t="n"/>
      <c r="Q39" s="15" t="n"/>
      <c r="R39" s="14">
        <f>IF(A39="","",Setup!$B$6*MIN(5,MAX(0,O39*2.5))+Setup!$B$7*N(P39)+Setup!$B$8*N(Q39))</f>
        <v/>
      </c>
      <c r="S39" s="16">
        <f>IF(A39="","",COUNTIF($R$5:$R$54,"&gt;"&amp;R39)+COUNTIF($R$5:R39,R39))</f>
        <v/>
      </c>
      <c r="T39" s="12">
        <f>IF(A39="","",-SUMIF($S$5:$S$54,"&lt;="&amp;S39,$B$5:$B$54))</f>
        <v/>
      </c>
      <c r="U39" s="7">
        <f>IF(A39="","",AND(T39&lt;=Setup!$B$5,M39&gt;0))</f>
        <v/>
      </c>
    </row>
    <row r="40">
      <c r="A40" s="1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12">
        <f>IF(A40="","",B40+NPV(Setup!$B$4,C40:L40))</f>
        <v/>
      </c>
      <c r="N40" s="13">
        <f>IF(A40="","",IFERROR(IRR(B40:L40),""))</f>
        <v/>
      </c>
      <c r="O40" s="14">
        <f>IF(OR(A40="",N(B40)=0),"",(M40-B40)/(-B40))</f>
        <v/>
      </c>
      <c r="P40" s="15" t="n"/>
      <c r="Q40" s="15" t="n"/>
      <c r="R40" s="14">
        <f>IF(A40="","",Setup!$B$6*MIN(5,MAX(0,O40*2.5))+Setup!$B$7*N(P40)+Setup!$B$8*N(Q40))</f>
        <v/>
      </c>
      <c r="S40" s="16">
        <f>IF(A40="","",COUNTIF($R$5:$R$54,"&gt;"&amp;R40)+COUNTIF($R$5:R40,R40))</f>
        <v/>
      </c>
      <c r="T40" s="12">
        <f>IF(A40="","",-SUMIF($S$5:$S$54,"&lt;="&amp;S40,$B$5:$B$54))</f>
        <v/>
      </c>
      <c r="U40" s="7">
        <f>IF(A40="","",AND(T40&lt;=Setup!$B$5,M40&gt;0))</f>
        <v/>
      </c>
    </row>
    <row r="41">
      <c r="A41" s="1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12">
        <f>IF(A41="","",B41+NPV(Setup!$B$4,C41:L41))</f>
        <v/>
      </c>
      <c r="N41" s="13">
        <f>IF(A41="","",IFERROR(IRR(B41:L41),""))</f>
        <v/>
      </c>
      <c r="O41" s="14">
        <f>IF(OR(A41="",N(B41)=0),"",(M41-B41)/(-B41))</f>
        <v/>
      </c>
      <c r="P41" s="15" t="n"/>
      <c r="Q41" s="15" t="n"/>
      <c r="R41" s="14">
        <f>IF(A41="","",Setup!$B$6*MIN(5,MAX(0,O41*2.5))+Setup!$B$7*N(P41)+Setup!$B$8*N(Q41))</f>
        <v/>
      </c>
      <c r="S41" s="16">
        <f>IF(A41="","",COUNTIF($R$5:$R$54,"&gt;"&amp;R41)+COUNTIF($R$5:R41,R41))</f>
        <v/>
      </c>
      <c r="T41" s="12">
        <f>IF(A41="","",-SUMIF($S$5:$S$54,"&lt;="&amp;S41,$B$5:$B$54))</f>
        <v/>
      </c>
      <c r="U41" s="7">
        <f>IF(A41="","",AND(T41&lt;=Setup!$B$5,M41&gt;0))</f>
        <v/>
      </c>
    </row>
    <row r="42">
      <c r="A42" s="1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12">
        <f>IF(A42="","",B42+NPV(Setup!$B$4,C42:L42))</f>
        <v/>
      </c>
      <c r="N42" s="13">
        <f>IF(A42="","",IFERROR(IRR(B42:L42),""))</f>
        <v/>
      </c>
      <c r="O42" s="14">
        <f>IF(OR(A42="",N(B42)=0),"",(M42-B42)/(-B42))</f>
        <v/>
      </c>
      <c r="P42" s="15" t="n"/>
      <c r="Q42" s="15" t="n"/>
      <c r="R42" s="14">
        <f>IF(A42="","",Setup!$B$6*MIN(5,MAX(0,O42*2.5))+Setup!$B$7*N(P42)+Setup!$B$8*N(Q42))</f>
        <v/>
      </c>
      <c r="S42" s="16">
        <f>IF(A42="","",COUNTIF($R$5:$R$54,"&gt;"&amp;R42)+COUNTIF($R$5:R42,R42))</f>
        <v/>
      </c>
      <c r="T42" s="12">
        <f>IF(A42="","",-SUMIF($S$5:$S$54,"&lt;="&amp;S42,$B$5:$B$54))</f>
        <v/>
      </c>
      <c r="U42" s="7">
        <f>IF(A42="","",AND(T42&lt;=Setup!$B$5,M42&gt;0))</f>
        <v/>
      </c>
    </row>
    <row r="43">
      <c r="A43" s="1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12">
        <f>IF(A43="","",B43+NPV(Setup!$B$4,C43:L43))</f>
        <v/>
      </c>
      <c r="N43" s="13">
        <f>IF(A43="","",IFERROR(IRR(B43:L43),""))</f>
        <v/>
      </c>
      <c r="O43" s="14">
        <f>IF(OR(A43="",N(B43)=0),"",(M43-B43)/(-B43))</f>
        <v/>
      </c>
      <c r="P43" s="15" t="n"/>
      <c r="Q43" s="15" t="n"/>
      <c r="R43" s="14">
        <f>IF(A43="","",Setup!$B$6*MIN(5,MAX(0,O43*2.5))+Setup!$B$7*N(P43)+Setup!$B$8*N(Q43))</f>
        <v/>
      </c>
      <c r="S43" s="16">
        <f>IF(A43="","",COUNTIF($R$5:$R$54,"&gt;"&amp;R43)+COUNTIF($R$5:R43,R43))</f>
        <v/>
      </c>
      <c r="T43" s="12">
        <f>IF(A43="","",-SUMIF($S$5:$S$54,"&lt;="&amp;S43,$B$5:$B$54))</f>
        <v/>
      </c>
      <c r="U43" s="7">
        <f>IF(A43="","",AND(T43&lt;=Setup!$B$5,M43&gt;0))</f>
        <v/>
      </c>
    </row>
    <row r="44">
      <c r="A44" s="1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12">
        <f>IF(A44="","",B44+NPV(Setup!$B$4,C44:L44))</f>
        <v/>
      </c>
      <c r="N44" s="13">
        <f>IF(A44="","",IFERROR(IRR(B44:L44),""))</f>
        <v/>
      </c>
      <c r="O44" s="14">
        <f>IF(OR(A44="",N(B44)=0),"",(M44-B44)/(-B44))</f>
        <v/>
      </c>
      <c r="P44" s="15" t="n"/>
      <c r="Q44" s="15" t="n"/>
      <c r="R44" s="14">
        <f>IF(A44="","",Setup!$B$6*MIN(5,MAX(0,O44*2.5))+Setup!$B$7*N(P44)+Setup!$B$8*N(Q44))</f>
        <v/>
      </c>
      <c r="S44" s="16">
        <f>IF(A44="","",COUNTIF($R$5:$R$54,"&gt;"&amp;R44)+COUNTIF($R$5:R44,R44))</f>
        <v/>
      </c>
      <c r="T44" s="12">
        <f>IF(A44="","",-SUMIF($S$5:$S$54,"&lt;="&amp;S44,$B$5:$B$54))</f>
        <v/>
      </c>
      <c r="U44" s="7">
        <f>IF(A44="","",AND(T44&lt;=Setup!$B$5,M44&gt;0))</f>
        <v/>
      </c>
    </row>
    <row r="45">
      <c r="A45" s="1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12">
        <f>IF(A45="","",B45+NPV(Setup!$B$4,C45:L45))</f>
        <v/>
      </c>
      <c r="N45" s="13">
        <f>IF(A45="","",IFERROR(IRR(B45:L45),""))</f>
        <v/>
      </c>
      <c r="O45" s="14">
        <f>IF(OR(A45="",N(B45)=0),"",(M45-B45)/(-B45))</f>
        <v/>
      </c>
      <c r="P45" s="15" t="n"/>
      <c r="Q45" s="15" t="n"/>
      <c r="R45" s="14">
        <f>IF(A45="","",Setup!$B$6*MIN(5,MAX(0,O45*2.5))+Setup!$B$7*N(P45)+Setup!$B$8*N(Q45))</f>
        <v/>
      </c>
      <c r="S45" s="16">
        <f>IF(A45="","",COUNTIF($R$5:$R$54,"&gt;"&amp;R45)+COUNTIF($R$5:R45,R45))</f>
        <v/>
      </c>
      <c r="T45" s="12">
        <f>IF(A45="","",-SUMIF($S$5:$S$54,"&lt;="&amp;S45,$B$5:$B$54))</f>
        <v/>
      </c>
      <c r="U45" s="7">
        <f>IF(A45="","",AND(T45&lt;=Setup!$B$5,M45&gt;0))</f>
        <v/>
      </c>
    </row>
    <row r="46">
      <c r="A46" s="1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12">
        <f>IF(A46="","",B46+NPV(Setup!$B$4,C46:L46))</f>
        <v/>
      </c>
      <c r="N46" s="13">
        <f>IF(A46="","",IFERROR(IRR(B46:L46),""))</f>
        <v/>
      </c>
      <c r="O46" s="14">
        <f>IF(OR(A46="",N(B46)=0),"",(M46-B46)/(-B46))</f>
        <v/>
      </c>
      <c r="P46" s="15" t="n"/>
      <c r="Q46" s="15" t="n"/>
      <c r="R46" s="14">
        <f>IF(A46="","",Setup!$B$6*MIN(5,MAX(0,O46*2.5))+Setup!$B$7*N(P46)+Setup!$B$8*N(Q46))</f>
        <v/>
      </c>
      <c r="S46" s="16">
        <f>IF(A46="","",COUNTIF($R$5:$R$54,"&gt;"&amp;R46)+COUNTIF($R$5:R46,R46))</f>
        <v/>
      </c>
      <c r="T46" s="12">
        <f>IF(A46="","",-SUMIF($S$5:$S$54,"&lt;="&amp;S46,$B$5:$B$54))</f>
        <v/>
      </c>
      <c r="U46" s="7">
        <f>IF(A46="","",AND(T46&lt;=Setup!$B$5,M46&gt;0))</f>
        <v/>
      </c>
    </row>
    <row r="47">
      <c r="A47" s="1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12">
        <f>IF(A47="","",B47+NPV(Setup!$B$4,C47:L47))</f>
        <v/>
      </c>
      <c r="N47" s="13">
        <f>IF(A47="","",IFERROR(IRR(B47:L47),""))</f>
        <v/>
      </c>
      <c r="O47" s="14">
        <f>IF(OR(A47="",N(B47)=0),"",(M47-B47)/(-B47))</f>
        <v/>
      </c>
      <c r="P47" s="15" t="n"/>
      <c r="Q47" s="15" t="n"/>
      <c r="R47" s="14">
        <f>IF(A47="","",Setup!$B$6*MIN(5,MAX(0,O47*2.5))+Setup!$B$7*N(P47)+Setup!$B$8*N(Q47))</f>
        <v/>
      </c>
      <c r="S47" s="16">
        <f>IF(A47="","",COUNTIF($R$5:$R$54,"&gt;"&amp;R47)+COUNTIF($R$5:R47,R47))</f>
        <v/>
      </c>
      <c r="T47" s="12">
        <f>IF(A47="","",-SUMIF($S$5:$S$54,"&lt;="&amp;S47,$B$5:$B$54))</f>
        <v/>
      </c>
      <c r="U47" s="7">
        <f>IF(A47="","",AND(T47&lt;=Setup!$B$5,M47&gt;0))</f>
        <v/>
      </c>
    </row>
    <row r="48">
      <c r="A48" s="1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12">
        <f>IF(A48="","",B48+NPV(Setup!$B$4,C48:L48))</f>
        <v/>
      </c>
      <c r="N48" s="13">
        <f>IF(A48="","",IFERROR(IRR(B48:L48),""))</f>
        <v/>
      </c>
      <c r="O48" s="14">
        <f>IF(OR(A48="",N(B48)=0),"",(M48-B48)/(-B48))</f>
        <v/>
      </c>
      <c r="P48" s="15" t="n"/>
      <c r="Q48" s="15" t="n"/>
      <c r="R48" s="14">
        <f>IF(A48="","",Setup!$B$6*MIN(5,MAX(0,O48*2.5))+Setup!$B$7*N(P48)+Setup!$B$8*N(Q48))</f>
        <v/>
      </c>
      <c r="S48" s="16">
        <f>IF(A48="","",COUNTIF($R$5:$R$54,"&gt;"&amp;R48)+COUNTIF($R$5:R48,R48))</f>
        <v/>
      </c>
      <c r="T48" s="12">
        <f>IF(A48="","",-SUMIF($S$5:$S$54,"&lt;="&amp;S48,$B$5:$B$54))</f>
        <v/>
      </c>
      <c r="U48" s="7">
        <f>IF(A48="","",AND(T48&lt;=Setup!$B$5,M48&gt;0))</f>
        <v/>
      </c>
    </row>
    <row r="49">
      <c r="A49" s="1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12">
        <f>IF(A49="","",B49+NPV(Setup!$B$4,C49:L49))</f>
        <v/>
      </c>
      <c r="N49" s="13">
        <f>IF(A49="","",IFERROR(IRR(B49:L49),""))</f>
        <v/>
      </c>
      <c r="O49" s="14">
        <f>IF(OR(A49="",N(B49)=0),"",(M49-B49)/(-B49))</f>
        <v/>
      </c>
      <c r="P49" s="15" t="n"/>
      <c r="Q49" s="15" t="n"/>
      <c r="R49" s="14">
        <f>IF(A49="","",Setup!$B$6*MIN(5,MAX(0,O49*2.5))+Setup!$B$7*N(P49)+Setup!$B$8*N(Q49))</f>
        <v/>
      </c>
      <c r="S49" s="16">
        <f>IF(A49="","",COUNTIF($R$5:$R$54,"&gt;"&amp;R49)+COUNTIF($R$5:R49,R49))</f>
        <v/>
      </c>
      <c r="T49" s="12">
        <f>IF(A49="","",-SUMIF($S$5:$S$54,"&lt;="&amp;S49,$B$5:$B$54))</f>
        <v/>
      </c>
      <c r="U49" s="7">
        <f>IF(A49="","",AND(T49&lt;=Setup!$B$5,M49&gt;0))</f>
        <v/>
      </c>
    </row>
    <row r="50">
      <c r="A50" s="1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12">
        <f>IF(A50="","",B50+NPV(Setup!$B$4,C50:L50))</f>
        <v/>
      </c>
      <c r="N50" s="13">
        <f>IF(A50="","",IFERROR(IRR(B50:L50),""))</f>
        <v/>
      </c>
      <c r="O50" s="14">
        <f>IF(OR(A50="",N(B50)=0),"",(M50-B50)/(-B50))</f>
        <v/>
      </c>
      <c r="P50" s="15" t="n"/>
      <c r="Q50" s="15" t="n"/>
      <c r="R50" s="14">
        <f>IF(A50="","",Setup!$B$6*MIN(5,MAX(0,O50*2.5))+Setup!$B$7*N(P50)+Setup!$B$8*N(Q50))</f>
        <v/>
      </c>
      <c r="S50" s="16">
        <f>IF(A50="","",COUNTIF($R$5:$R$54,"&gt;"&amp;R50)+COUNTIF($R$5:R50,R50))</f>
        <v/>
      </c>
      <c r="T50" s="12">
        <f>IF(A50="","",-SUMIF($S$5:$S$54,"&lt;="&amp;S50,$B$5:$B$54))</f>
        <v/>
      </c>
      <c r="U50" s="7">
        <f>IF(A50="","",AND(T50&lt;=Setup!$B$5,M50&gt;0))</f>
        <v/>
      </c>
    </row>
    <row r="51">
      <c r="A51" s="1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12">
        <f>IF(A51="","",B51+NPV(Setup!$B$4,C51:L51))</f>
        <v/>
      </c>
      <c r="N51" s="13">
        <f>IF(A51="","",IFERROR(IRR(B51:L51),""))</f>
        <v/>
      </c>
      <c r="O51" s="14">
        <f>IF(OR(A51="",N(B51)=0),"",(M51-B51)/(-B51))</f>
        <v/>
      </c>
      <c r="P51" s="15" t="n"/>
      <c r="Q51" s="15" t="n"/>
      <c r="R51" s="14">
        <f>IF(A51="","",Setup!$B$6*MIN(5,MAX(0,O51*2.5))+Setup!$B$7*N(P51)+Setup!$B$8*N(Q51))</f>
        <v/>
      </c>
      <c r="S51" s="16">
        <f>IF(A51="","",COUNTIF($R$5:$R$54,"&gt;"&amp;R51)+COUNTIF($R$5:R51,R51))</f>
        <v/>
      </c>
      <c r="T51" s="12">
        <f>IF(A51="","",-SUMIF($S$5:$S$54,"&lt;="&amp;S51,$B$5:$B$54))</f>
        <v/>
      </c>
      <c r="U51" s="7">
        <f>IF(A51="","",AND(T51&lt;=Setup!$B$5,M51&gt;0))</f>
        <v/>
      </c>
    </row>
    <row r="52">
      <c r="A52" s="1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12">
        <f>IF(A52="","",B52+NPV(Setup!$B$4,C52:L52))</f>
        <v/>
      </c>
      <c r="N52" s="13">
        <f>IF(A52="","",IFERROR(IRR(B52:L52),""))</f>
        <v/>
      </c>
      <c r="O52" s="14">
        <f>IF(OR(A52="",N(B52)=0),"",(M52-B52)/(-B52))</f>
        <v/>
      </c>
      <c r="P52" s="15" t="n"/>
      <c r="Q52" s="15" t="n"/>
      <c r="R52" s="14">
        <f>IF(A52="","",Setup!$B$6*MIN(5,MAX(0,O52*2.5))+Setup!$B$7*N(P52)+Setup!$B$8*N(Q52))</f>
        <v/>
      </c>
      <c r="S52" s="16">
        <f>IF(A52="","",COUNTIF($R$5:$R$54,"&gt;"&amp;R52)+COUNTIF($R$5:R52,R52))</f>
        <v/>
      </c>
      <c r="T52" s="12">
        <f>IF(A52="","",-SUMIF($S$5:$S$54,"&lt;="&amp;S52,$B$5:$B$54))</f>
        <v/>
      </c>
      <c r="U52" s="7">
        <f>IF(A52="","",AND(T52&lt;=Setup!$B$5,M52&gt;0))</f>
        <v/>
      </c>
    </row>
    <row r="53">
      <c r="A53" s="1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12">
        <f>IF(A53="","",B53+NPV(Setup!$B$4,C53:L53))</f>
        <v/>
      </c>
      <c r="N53" s="13">
        <f>IF(A53="","",IFERROR(IRR(B53:L53),""))</f>
        <v/>
      </c>
      <c r="O53" s="14">
        <f>IF(OR(A53="",N(B53)=0),"",(M53-B53)/(-B53))</f>
        <v/>
      </c>
      <c r="P53" s="15" t="n"/>
      <c r="Q53" s="15" t="n"/>
      <c r="R53" s="14">
        <f>IF(A53="","",Setup!$B$6*MIN(5,MAX(0,O53*2.5))+Setup!$B$7*N(P53)+Setup!$B$8*N(Q53))</f>
        <v/>
      </c>
      <c r="S53" s="16">
        <f>IF(A53="","",COUNTIF($R$5:$R$54,"&gt;"&amp;R53)+COUNTIF($R$5:R53,R53))</f>
        <v/>
      </c>
      <c r="T53" s="12">
        <f>IF(A53="","",-SUMIF($S$5:$S$54,"&lt;="&amp;S53,$B$5:$B$54))</f>
        <v/>
      </c>
      <c r="U53" s="7">
        <f>IF(A53="","",AND(T53&lt;=Setup!$B$5,M53&gt;0))</f>
        <v/>
      </c>
    </row>
    <row r="54">
      <c r="A54" s="1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12">
        <f>IF(A54="","",B54+NPV(Setup!$B$4,C54:L54))</f>
        <v/>
      </c>
      <c r="N54" s="13">
        <f>IF(A54="","",IFERROR(IRR(B54:L54),""))</f>
        <v/>
      </c>
      <c r="O54" s="14">
        <f>IF(OR(A54="",N(B54)=0),"",(M54-B54)/(-B54))</f>
        <v/>
      </c>
      <c r="P54" s="15" t="n"/>
      <c r="Q54" s="15" t="n"/>
      <c r="R54" s="14">
        <f>IF(A54="","",Setup!$B$6*MIN(5,MAX(0,O54*2.5))+Setup!$B$7*N(P54)+Setup!$B$8*N(Q54))</f>
        <v/>
      </c>
      <c r="S54" s="16">
        <f>IF(A54="","",COUNTIF($R$5:$R$54,"&gt;"&amp;R54)+COUNTIF($R$5:R54,R54))</f>
        <v/>
      </c>
      <c r="T54" s="12">
        <f>IF(A54="","",-SUMIF($S$5:$S$54,"&lt;="&amp;S54,$B$5:$B$54))</f>
        <v/>
      </c>
      <c r="U54" s="7">
        <f>IF(A54="","",AND(T54&lt;=Setup!$B$5,M54&gt;0))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2026-10-18T16:52:42Z</dcterms:created>
  <dcterms:modified xmlns:dcterms="http://purl.org/dc/terms/" xmlns:xsi="http://www.w3.org/2001/XMLSchema-instance" xsi:type="dcterms:W3CDTF">2026-10-18T16:52:42Z</dcterms:modified>
</cp:coreProperties>
</file>