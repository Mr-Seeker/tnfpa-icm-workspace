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CapexPlan" sheetId="5" state="visible" r:id="rId5"/>
    <sheet xmlns:r="http://schemas.openxmlformats.org/officeDocument/2006/relationships" name="CWIP" sheetId="6" state="visible" r:id="rId6"/>
    <sheet xmlns:r="http://schemas.openxmlformats.org/officeDocument/2006/relationships" name="ToKernel" sheetId="7" state="visible" r:id="rId7"/>
  </sheets>
  <definedNames>
    <definedName name="fy_start">'Setup'!$B$4</definedName>
    <definedName name="resid">'Setup'!$B$5</definedName>
    <definedName name="h_months">'ToKernel'!$B$4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#,##0;[Red]-#,##0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3" fillId="2" borderId="1" pivotButton="0" quotePrefix="0" xfId="0"/>
    <xf numFmtId="1" fontId="3" fillId="2" borderId="1" pivotButton="0" quotePrefix="0" xfId="0"/>
    <xf numFmtId="166" fontId="3" fillId="2" borderId="1" pivotButton="0" quotePrefix="0" xfId="0"/>
    <xf numFmtId="166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D17 · Capex &amp; asset lifecycle management systems</t>
        </is>
      </c>
    </row>
    <row r="2"/>
    <row r="3">
      <c r="A3" s="2" t="inlineStr">
        <is>
          <t>Domain D17: Capex &amp; asset lifecycle management systems.</t>
        </is>
      </c>
    </row>
    <row r="4">
      <c r="A4" s="2" t="inlineStr">
        <is>
          <t>Fixed asset register with Schedule II book depreciation and income-tax WDV depreciation, CWIP ageing, and a capex plan that sets K01 capex_monthly and da_monthly.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companies/&lt;slug&gt;/domains/D17_capex-asset-lifecycle/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capex_monthly  &lt;=  ToKernel</t>
        </is>
      </c>
    </row>
    <row r="11">
      <c r="A11" s="2" t="inlineStr">
        <is>
          <t>K01 da_monthly  &lt;=  ToKernel</t>
        </is>
      </c>
    </row>
    <row r="12">
      <c r="A12" s="2" t="inlineStr">
        <is>
          <t>D24 deferred tax view  &lt;=  timing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useful lives positive</t>
        </is>
      </c>
      <c r="C5" s="7">
        <f>IF(SUMPRODUCT((Assets!A5:A504&lt;&gt;"")*(Assets!C5:C504&lt;=0))=0,"PASS","FAIL")</f>
        <v/>
      </c>
    </row>
    <row r="6">
      <c r="A6" t="n">
        <v>2</v>
      </c>
      <c r="B6" t="inlineStr">
        <is>
          <t>asset ids unique</t>
        </is>
      </c>
      <c r="C6" s="7">
        <f>IF(SUMPRODUCT((Assets!A5:A504&lt;&gt;"")*(COUNTIF(Assets!A5:A504,Assets!A5:A504)&gt;1))=0,"PASS","FAIL")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FY start (1 April)</t>
        </is>
      </c>
      <c r="B4" s="8" t="n">
        <v>46113</v>
      </c>
    </row>
    <row r="5">
      <c r="A5" t="inlineStr">
        <is>
          <t>residual value % (Schedule II default)</t>
        </is>
      </c>
      <c r="B5" s="9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24" customWidth="1" min="4" max="4"/>
    <col width="12" customWidth="1" min="5" max="5"/>
    <col width="19" customWidth="1" min="6" max="6"/>
    <col width="12" customWidth="1" min="7" max="7"/>
    <col width="35" customWidth="1" min="8" max="8"/>
    <col width="26" customWidth="1" min="9" max="9"/>
    <col width="29" customWidth="1" min="10" max="10"/>
    <col width="40" customWidth="1" min="11" max="11"/>
    <col width="34" customWidth="1" min="12" max="12"/>
    <col width="26" customWidth="1" min="13" max="13"/>
  </cols>
  <sheetData>
    <row r="1">
      <c r="A1" s="1" t="inlineStr">
        <is>
          <t>Fixed asset register (Companies Act Schedule II SLM for books; Income-tax WDV block for tax)</t>
        </is>
      </c>
    </row>
    <row r="2"/>
    <row r="3"/>
    <row r="4">
      <c r="A4" s="6" t="inlineStr">
        <is>
          <t>asset id</t>
        </is>
      </c>
      <c r="B4" s="6" t="inlineStr">
        <is>
          <t>description</t>
        </is>
      </c>
      <c r="C4" s="6" t="inlineStr">
        <is>
          <t>Schedule II useful life (years)</t>
        </is>
      </c>
      <c r="D4" s="6" t="inlineStr">
        <is>
          <t>tax block rate (WDV)</t>
        </is>
      </c>
      <c r="E4" s="6" t="inlineStr">
        <is>
          <t>cost</t>
        </is>
      </c>
      <c r="F4" s="6" t="inlineStr">
        <is>
          <t>put to use date</t>
        </is>
      </c>
      <c r="G4" s="6" t="inlineStr">
        <is>
          <t>location</t>
        </is>
      </c>
      <c r="H4" s="6" t="inlineStr">
        <is>
          <t>book depreciation / month (SLM)</t>
        </is>
      </c>
      <c r="I4" s="6" t="inlineStr">
        <is>
          <t>months used in this FY</t>
        </is>
      </c>
      <c r="J4" s="6" t="inlineStr">
        <is>
          <t>book depreciation this FY</t>
        </is>
      </c>
      <c r="K4" s="6" t="inlineStr">
        <is>
          <t>tax depreciation this FY (half rate if &lt; 180 days)</t>
        </is>
      </c>
      <c r="L4" s="6" t="inlineStr">
        <is>
          <t>timing difference (tax - book)</t>
        </is>
      </c>
      <c r="M4" s="6" t="inlineStr">
        <is>
          <t>physically verified on</t>
        </is>
      </c>
    </row>
    <row r="5">
      <c r="A5" s="10" t="inlineStr">
        <is>
          <t>PM-0001</t>
        </is>
      </c>
      <c r="B5" s="10" t="inlineStr">
        <is>
          <t>CNC turning centre</t>
        </is>
      </c>
      <c r="C5" s="11" t="n">
        <v>15</v>
      </c>
      <c r="D5" s="9" t="n">
        <v>0.15</v>
      </c>
      <c r="E5" s="12" t="n">
        <v>6500000</v>
      </c>
      <c r="F5" s="8" t="n">
        <v>45818</v>
      </c>
      <c r="G5" s="10" t="inlineStr">
        <is>
          <t>Coimbatore</t>
        </is>
      </c>
      <c r="H5" s="13">
        <f>IF(A5="","",E5*(1-Setup!$B$5)/(C5*12))</f>
        <v/>
      </c>
      <c r="I5" s="14">
        <f>IF(A5="","",MAX(0,MIN(12,DATEDIF(MAX(F5,Setup!$B$4),EDATE(Setup!$B$4,12),"m"))))</f>
        <v/>
      </c>
      <c r="J5" s="13">
        <f>IF(A5="","",H5*I5)</f>
        <v/>
      </c>
      <c r="K5" s="13">
        <f>IF(A5="","",E5*D5*IF(AND(F5&gt;=Setup!$B$4,EDATE(Setup!$B$4,12)-F5&lt;180),0.5,1))</f>
        <v/>
      </c>
      <c r="L5" s="13">
        <f>IF(A5="","",K5-J5)</f>
        <v/>
      </c>
      <c r="M5" s="8" t="n"/>
    </row>
    <row r="6">
      <c r="A6" s="10" t="inlineStr">
        <is>
          <t>IT-0042</t>
        </is>
      </c>
      <c r="B6" s="10" t="inlineStr">
        <is>
          <t>Laptops (20)</t>
        </is>
      </c>
      <c r="C6" s="11" t="n">
        <v>3</v>
      </c>
      <c r="D6" s="9" t="n">
        <v>0.4</v>
      </c>
      <c r="E6" s="12" t="n">
        <v>1400000</v>
      </c>
      <c r="F6" s="8" t="n">
        <v>46346</v>
      </c>
      <c r="G6" s="10" t="inlineStr">
        <is>
          <t>Chennai</t>
        </is>
      </c>
      <c r="H6" s="13">
        <f>IF(A6="","",E6*(1-Setup!$B$5)/(C6*12))</f>
        <v/>
      </c>
      <c r="I6" s="14">
        <f>IF(A6="","",MAX(0,MIN(12,DATEDIF(MAX(F6,Setup!$B$4),EDATE(Setup!$B$4,12),"m"))))</f>
        <v/>
      </c>
      <c r="J6" s="13">
        <f>IF(A6="","",H6*I6)</f>
        <v/>
      </c>
      <c r="K6" s="13">
        <f>IF(A6="","",E6*D6*IF(AND(F6&gt;=Setup!$B$4,EDATE(Setup!$B$4,12)-F6&lt;180),0.5,1))</f>
        <v/>
      </c>
      <c r="L6" s="13">
        <f>IF(A6="","",K6-J6)</f>
        <v/>
      </c>
      <c r="M6" s="8" t="n"/>
    </row>
    <row r="7">
      <c r="A7" s="10" t="inlineStr">
        <is>
          <t>BLD-0003</t>
        </is>
      </c>
      <c r="B7" s="10" t="inlineStr">
        <is>
          <t>Factory building</t>
        </is>
      </c>
      <c r="C7" s="11" t="n">
        <v>30</v>
      </c>
      <c r="D7" s="9" t="n">
        <v>0.1</v>
      </c>
      <c r="E7" s="12" t="n">
        <v>42000000</v>
      </c>
      <c r="F7" s="8" t="n">
        <v>43556</v>
      </c>
      <c r="G7" s="10" t="inlineStr">
        <is>
          <t>Hosur</t>
        </is>
      </c>
      <c r="H7" s="13">
        <f>IF(A7="","",E7*(1-Setup!$B$5)/(C7*12))</f>
        <v/>
      </c>
      <c r="I7" s="14">
        <f>IF(A7="","",MAX(0,MIN(12,DATEDIF(MAX(F7,Setup!$B$4),EDATE(Setup!$B$4,12),"m"))))</f>
        <v/>
      </c>
      <c r="J7" s="13">
        <f>IF(A7="","",H7*I7)</f>
        <v/>
      </c>
      <c r="K7" s="13">
        <f>IF(A7="","",E7*D7*IF(AND(F7&gt;=Setup!$B$4,EDATE(Setup!$B$4,12)-F7&lt;180),0.5,1))</f>
        <v/>
      </c>
      <c r="L7" s="13">
        <f>IF(A7="","",K7-J7)</f>
        <v/>
      </c>
      <c r="M7" s="8" t="n"/>
    </row>
    <row r="8">
      <c r="A8" s="10" t="n"/>
      <c r="B8" s="10" t="n"/>
      <c r="C8" s="11" t="n"/>
      <c r="D8" s="9" t="n"/>
      <c r="E8" s="12" t="n"/>
      <c r="F8" s="8" t="n"/>
      <c r="G8" s="10" t="n"/>
      <c r="H8" s="13">
        <f>IF(A8="","",E8*(1-Setup!$B$5)/(C8*12))</f>
        <v/>
      </c>
      <c r="I8" s="14">
        <f>IF(A8="","",MAX(0,MIN(12,DATEDIF(MAX(F8,Setup!$B$4),EDATE(Setup!$B$4,12),"m"))))</f>
        <v/>
      </c>
      <c r="J8" s="13">
        <f>IF(A8="","",H8*I8)</f>
        <v/>
      </c>
      <c r="K8" s="13">
        <f>IF(A8="","",E8*D8*IF(AND(F8&gt;=Setup!$B$4,EDATE(Setup!$B$4,12)-F8&lt;180),0.5,1))</f>
        <v/>
      </c>
      <c r="L8" s="13">
        <f>IF(A8="","",K8-J8)</f>
        <v/>
      </c>
      <c r="M8" s="8" t="n"/>
    </row>
    <row r="9">
      <c r="A9" s="10" t="n"/>
      <c r="B9" s="10" t="n"/>
      <c r="C9" s="11" t="n"/>
      <c r="D9" s="9" t="n"/>
      <c r="E9" s="12" t="n"/>
      <c r="F9" s="8" t="n"/>
      <c r="G9" s="10" t="n"/>
      <c r="H9" s="13">
        <f>IF(A9="","",E9*(1-Setup!$B$5)/(C9*12))</f>
        <v/>
      </c>
      <c r="I9" s="14">
        <f>IF(A9="","",MAX(0,MIN(12,DATEDIF(MAX(F9,Setup!$B$4),EDATE(Setup!$B$4,12),"m"))))</f>
        <v/>
      </c>
      <c r="J9" s="13">
        <f>IF(A9="","",H9*I9)</f>
        <v/>
      </c>
      <c r="K9" s="13">
        <f>IF(A9="","",E9*D9*IF(AND(F9&gt;=Setup!$B$4,EDATE(Setup!$B$4,12)-F9&lt;180),0.5,1))</f>
        <v/>
      </c>
      <c r="L9" s="13">
        <f>IF(A9="","",K9-J9)</f>
        <v/>
      </c>
      <c r="M9" s="8" t="n"/>
    </row>
    <row r="10">
      <c r="A10" s="10" t="n"/>
      <c r="B10" s="10" t="n"/>
      <c r="C10" s="11" t="n"/>
      <c r="D10" s="9" t="n"/>
      <c r="E10" s="12" t="n"/>
      <c r="F10" s="8" t="n"/>
      <c r="G10" s="10" t="n"/>
      <c r="H10" s="13">
        <f>IF(A10="","",E10*(1-Setup!$B$5)/(C10*12))</f>
        <v/>
      </c>
      <c r="I10" s="14">
        <f>IF(A10="","",MAX(0,MIN(12,DATEDIF(MAX(F10,Setup!$B$4),EDATE(Setup!$B$4,12),"m"))))</f>
        <v/>
      </c>
      <c r="J10" s="13">
        <f>IF(A10="","",H10*I10)</f>
        <v/>
      </c>
      <c r="K10" s="13">
        <f>IF(A10="","",E10*D10*IF(AND(F10&gt;=Setup!$B$4,EDATE(Setup!$B$4,12)-F10&lt;180),0.5,1))</f>
        <v/>
      </c>
      <c r="L10" s="13">
        <f>IF(A10="","",K10-J10)</f>
        <v/>
      </c>
      <c r="M10" s="8" t="n"/>
    </row>
    <row r="11">
      <c r="A11" s="10" t="n"/>
      <c r="B11" s="10" t="n"/>
      <c r="C11" s="11" t="n"/>
      <c r="D11" s="9" t="n"/>
      <c r="E11" s="12" t="n"/>
      <c r="F11" s="8" t="n"/>
      <c r="G11" s="10" t="n"/>
      <c r="H11" s="13">
        <f>IF(A11="","",E11*(1-Setup!$B$5)/(C11*12))</f>
        <v/>
      </c>
      <c r="I11" s="14">
        <f>IF(A11="","",MAX(0,MIN(12,DATEDIF(MAX(F11,Setup!$B$4),EDATE(Setup!$B$4,12),"m"))))</f>
        <v/>
      </c>
      <c r="J11" s="13">
        <f>IF(A11="","",H11*I11)</f>
        <v/>
      </c>
      <c r="K11" s="13">
        <f>IF(A11="","",E11*D11*IF(AND(F11&gt;=Setup!$B$4,EDATE(Setup!$B$4,12)-F11&lt;180),0.5,1))</f>
        <v/>
      </c>
      <c r="L11" s="13">
        <f>IF(A11="","",K11-J11)</f>
        <v/>
      </c>
      <c r="M11" s="8" t="n"/>
    </row>
    <row r="12">
      <c r="A12" s="10" t="n"/>
      <c r="B12" s="10" t="n"/>
      <c r="C12" s="11" t="n"/>
      <c r="D12" s="9" t="n"/>
      <c r="E12" s="12" t="n"/>
      <c r="F12" s="8" t="n"/>
      <c r="G12" s="10" t="n"/>
      <c r="H12" s="13">
        <f>IF(A12="","",E12*(1-Setup!$B$5)/(C12*12))</f>
        <v/>
      </c>
      <c r="I12" s="14">
        <f>IF(A12="","",MAX(0,MIN(12,DATEDIF(MAX(F12,Setup!$B$4),EDATE(Setup!$B$4,12),"m"))))</f>
        <v/>
      </c>
      <c r="J12" s="13">
        <f>IF(A12="","",H12*I12)</f>
        <v/>
      </c>
      <c r="K12" s="13">
        <f>IF(A12="","",E12*D12*IF(AND(F12&gt;=Setup!$B$4,EDATE(Setup!$B$4,12)-F12&lt;180),0.5,1))</f>
        <v/>
      </c>
      <c r="L12" s="13">
        <f>IF(A12="","",K12-J12)</f>
        <v/>
      </c>
      <c r="M12" s="8" t="n"/>
    </row>
    <row r="13">
      <c r="A13" s="10" t="n"/>
      <c r="B13" s="10" t="n"/>
      <c r="C13" s="11" t="n"/>
      <c r="D13" s="9" t="n"/>
      <c r="E13" s="12" t="n"/>
      <c r="F13" s="8" t="n"/>
      <c r="G13" s="10" t="n"/>
      <c r="H13" s="13">
        <f>IF(A13="","",E13*(1-Setup!$B$5)/(C13*12))</f>
        <v/>
      </c>
      <c r="I13" s="14">
        <f>IF(A13="","",MAX(0,MIN(12,DATEDIF(MAX(F13,Setup!$B$4),EDATE(Setup!$B$4,12),"m"))))</f>
        <v/>
      </c>
      <c r="J13" s="13">
        <f>IF(A13="","",H13*I13)</f>
        <v/>
      </c>
      <c r="K13" s="13">
        <f>IF(A13="","",E13*D13*IF(AND(F13&gt;=Setup!$B$4,EDATE(Setup!$B$4,12)-F13&lt;180),0.5,1))</f>
        <v/>
      </c>
      <c r="L13" s="13">
        <f>IF(A13="","",K13-J13)</f>
        <v/>
      </c>
      <c r="M13" s="8" t="n"/>
    </row>
    <row r="14">
      <c r="A14" s="10" t="n"/>
      <c r="B14" s="10" t="n"/>
      <c r="C14" s="11" t="n"/>
      <c r="D14" s="9" t="n"/>
      <c r="E14" s="12" t="n"/>
      <c r="F14" s="8" t="n"/>
      <c r="G14" s="10" t="n"/>
      <c r="H14" s="13">
        <f>IF(A14="","",E14*(1-Setup!$B$5)/(C14*12))</f>
        <v/>
      </c>
      <c r="I14" s="14">
        <f>IF(A14="","",MAX(0,MIN(12,DATEDIF(MAX(F14,Setup!$B$4),EDATE(Setup!$B$4,12),"m"))))</f>
        <v/>
      </c>
      <c r="J14" s="13">
        <f>IF(A14="","",H14*I14)</f>
        <v/>
      </c>
      <c r="K14" s="13">
        <f>IF(A14="","",E14*D14*IF(AND(F14&gt;=Setup!$B$4,EDATE(Setup!$B$4,12)-F14&lt;180),0.5,1))</f>
        <v/>
      </c>
      <c r="L14" s="13">
        <f>IF(A14="","",K14-J14)</f>
        <v/>
      </c>
      <c r="M14" s="8" t="n"/>
    </row>
    <row r="15">
      <c r="A15" s="10" t="n"/>
      <c r="B15" s="10" t="n"/>
      <c r="C15" s="11" t="n"/>
      <c r="D15" s="9" t="n"/>
      <c r="E15" s="12" t="n"/>
      <c r="F15" s="8" t="n"/>
      <c r="G15" s="10" t="n"/>
      <c r="H15" s="13">
        <f>IF(A15="","",E15*(1-Setup!$B$5)/(C15*12))</f>
        <v/>
      </c>
      <c r="I15" s="14">
        <f>IF(A15="","",MAX(0,MIN(12,DATEDIF(MAX(F15,Setup!$B$4),EDATE(Setup!$B$4,12),"m"))))</f>
        <v/>
      </c>
      <c r="J15" s="13">
        <f>IF(A15="","",H15*I15)</f>
        <v/>
      </c>
      <c r="K15" s="13">
        <f>IF(A15="","",E15*D15*IF(AND(F15&gt;=Setup!$B$4,EDATE(Setup!$B$4,12)-F15&lt;180),0.5,1))</f>
        <v/>
      </c>
      <c r="L15" s="13">
        <f>IF(A15="","",K15-J15)</f>
        <v/>
      </c>
      <c r="M15" s="8" t="n"/>
    </row>
    <row r="16">
      <c r="A16" s="10" t="n"/>
      <c r="B16" s="10" t="n"/>
      <c r="C16" s="11" t="n"/>
      <c r="D16" s="9" t="n"/>
      <c r="E16" s="12" t="n"/>
      <c r="F16" s="8" t="n"/>
      <c r="G16" s="10" t="n"/>
      <c r="H16" s="13">
        <f>IF(A16="","",E16*(1-Setup!$B$5)/(C16*12))</f>
        <v/>
      </c>
      <c r="I16" s="14">
        <f>IF(A16="","",MAX(0,MIN(12,DATEDIF(MAX(F16,Setup!$B$4),EDATE(Setup!$B$4,12),"m"))))</f>
        <v/>
      </c>
      <c r="J16" s="13">
        <f>IF(A16="","",H16*I16)</f>
        <v/>
      </c>
      <c r="K16" s="13">
        <f>IF(A16="","",E16*D16*IF(AND(F16&gt;=Setup!$B$4,EDATE(Setup!$B$4,12)-F16&lt;180),0.5,1))</f>
        <v/>
      </c>
      <c r="L16" s="13">
        <f>IF(A16="","",K16-J16)</f>
        <v/>
      </c>
      <c r="M16" s="8" t="n"/>
    </row>
    <row r="17">
      <c r="A17" s="10" t="n"/>
      <c r="B17" s="10" t="n"/>
      <c r="C17" s="11" t="n"/>
      <c r="D17" s="9" t="n"/>
      <c r="E17" s="12" t="n"/>
      <c r="F17" s="8" t="n"/>
      <c r="G17" s="10" t="n"/>
      <c r="H17" s="13">
        <f>IF(A17="","",E17*(1-Setup!$B$5)/(C17*12))</f>
        <v/>
      </c>
      <c r="I17" s="14">
        <f>IF(A17="","",MAX(0,MIN(12,DATEDIF(MAX(F17,Setup!$B$4),EDATE(Setup!$B$4,12),"m"))))</f>
        <v/>
      </c>
      <c r="J17" s="13">
        <f>IF(A17="","",H17*I17)</f>
        <v/>
      </c>
      <c r="K17" s="13">
        <f>IF(A17="","",E17*D17*IF(AND(F17&gt;=Setup!$B$4,EDATE(Setup!$B$4,12)-F17&lt;180),0.5,1))</f>
        <v/>
      </c>
      <c r="L17" s="13">
        <f>IF(A17="","",K17-J17)</f>
        <v/>
      </c>
      <c r="M17" s="8" t="n"/>
    </row>
    <row r="18">
      <c r="A18" s="10" t="n"/>
      <c r="B18" s="10" t="n"/>
      <c r="C18" s="11" t="n"/>
      <c r="D18" s="9" t="n"/>
      <c r="E18" s="12" t="n"/>
      <c r="F18" s="8" t="n"/>
      <c r="G18" s="10" t="n"/>
      <c r="H18" s="13">
        <f>IF(A18="","",E18*(1-Setup!$B$5)/(C18*12))</f>
        <v/>
      </c>
      <c r="I18" s="14">
        <f>IF(A18="","",MAX(0,MIN(12,DATEDIF(MAX(F18,Setup!$B$4),EDATE(Setup!$B$4,12),"m"))))</f>
        <v/>
      </c>
      <c r="J18" s="13">
        <f>IF(A18="","",H18*I18)</f>
        <v/>
      </c>
      <c r="K18" s="13">
        <f>IF(A18="","",E18*D18*IF(AND(F18&gt;=Setup!$B$4,EDATE(Setup!$B$4,12)-F18&lt;180),0.5,1))</f>
        <v/>
      </c>
      <c r="L18" s="13">
        <f>IF(A18="","",K18-J18)</f>
        <v/>
      </c>
      <c r="M18" s="8" t="n"/>
    </row>
    <row r="19">
      <c r="A19" s="10" t="n"/>
      <c r="B19" s="10" t="n"/>
      <c r="C19" s="11" t="n"/>
      <c r="D19" s="9" t="n"/>
      <c r="E19" s="12" t="n"/>
      <c r="F19" s="8" t="n"/>
      <c r="G19" s="10" t="n"/>
      <c r="H19" s="13">
        <f>IF(A19="","",E19*(1-Setup!$B$5)/(C19*12))</f>
        <v/>
      </c>
      <c r="I19" s="14">
        <f>IF(A19="","",MAX(0,MIN(12,DATEDIF(MAX(F19,Setup!$B$4),EDATE(Setup!$B$4,12),"m"))))</f>
        <v/>
      </c>
      <c r="J19" s="13">
        <f>IF(A19="","",H19*I19)</f>
        <v/>
      </c>
      <c r="K19" s="13">
        <f>IF(A19="","",E19*D19*IF(AND(F19&gt;=Setup!$B$4,EDATE(Setup!$B$4,12)-F19&lt;180),0.5,1))</f>
        <v/>
      </c>
      <c r="L19" s="13">
        <f>IF(A19="","",K19-J19)</f>
        <v/>
      </c>
      <c r="M19" s="8" t="n"/>
    </row>
    <row r="20">
      <c r="A20" s="10" t="n"/>
      <c r="B20" s="10" t="n"/>
      <c r="C20" s="11" t="n"/>
      <c r="D20" s="9" t="n"/>
      <c r="E20" s="12" t="n"/>
      <c r="F20" s="8" t="n"/>
      <c r="G20" s="10" t="n"/>
      <c r="H20" s="13">
        <f>IF(A20="","",E20*(1-Setup!$B$5)/(C20*12))</f>
        <v/>
      </c>
      <c r="I20" s="14">
        <f>IF(A20="","",MAX(0,MIN(12,DATEDIF(MAX(F20,Setup!$B$4),EDATE(Setup!$B$4,12),"m"))))</f>
        <v/>
      </c>
      <c r="J20" s="13">
        <f>IF(A20="","",H20*I20)</f>
        <v/>
      </c>
      <c r="K20" s="13">
        <f>IF(A20="","",E20*D20*IF(AND(F20&gt;=Setup!$B$4,EDATE(Setup!$B$4,12)-F20&lt;180),0.5,1))</f>
        <v/>
      </c>
      <c r="L20" s="13">
        <f>IF(A20="","",K20-J20)</f>
        <v/>
      </c>
      <c r="M20" s="8" t="n"/>
    </row>
    <row r="21">
      <c r="A21" s="10" t="n"/>
      <c r="B21" s="10" t="n"/>
      <c r="C21" s="11" t="n"/>
      <c r="D21" s="9" t="n"/>
      <c r="E21" s="12" t="n"/>
      <c r="F21" s="8" t="n"/>
      <c r="G21" s="10" t="n"/>
      <c r="H21" s="13">
        <f>IF(A21="","",E21*(1-Setup!$B$5)/(C21*12))</f>
        <v/>
      </c>
      <c r="I21" s="14">
        <f>IF(A21="","",MAX(0,MIN(12,DATEDIF(MAX(F21,Setup!$B$4),EDATE(Setup!$B$4,12),"m"))))</f>
        <v/>
      </c>
      <c r="J21" s="13">
        <f>IF(A21="","",H21*I21)</f>
        <v/>
      </c>
      <c r="K21" s="13">
        <f>IF(A21="","",E21*D21*IF(AND(F21&gt;=Setup!$B$4,EDATE(Setup!$B$4,12)-F21&lt;180),0.5,1))</f>
        <v/>
      </c>
      <c r="L21" s="13">
        <f>IF(A21="","",K21-J21)</f>
        <v/>
      </c>
      <c r="M21" s="8" t="n"/>
    </row>
    <row r="22">
      <c r="A22" s="10" t="n"/>
      <c r="B22" s="10" t="n"/>
      <c r="C22" s="11" t="n"/>
      <c r="D22" s="9" t="n"/>
      <c r="E22" s="12" t="n"/>
      <c r="F22" s="8" t="n"/>
      <c r="G22" s="10" t="n"/>
      <c r="H22" s="13">
        <f>IF(A22="","",E22*(1-Setup!$B$5)/(C22*12))</f>
        <v/>
      </c>
      <c r="I22" s="14">
        <f>IF(A22="","",MAX(0,MIN(12,DATEDIF(MAX(F22,Setup!$B$4),EDATE(Setup!$B$4,12),"m"))))</f>
        <v/>
      </c>
      <c r="J22" s="13">
        <f>IF(A22="","",H22*I22)</f>
        <v/>
      </c>
      <c r="K22" s="13">
        <f>IF(A22="","",E22*D22*IF(AND(F22&gt;=Setup!$B$4,EDATE(Setup!$B$4,12)-F22&lt;180),0.5,1))</f>
        <v/>
      </c>
      <c r="L22" s="13">
        <f>IF(A22="","",K22-J22)</f>
        <v/>
      </c>
      <c r="M22" s="8" t="n"/>
    </row>
    <row r="23">
      <c r="A23" s="10" t="n"/>
      <c r="B23" s="10" t="n"/>
      <c r="C23" s="11" t="n"/>
      <c r="D23" s="9" t="n"/>
      <c r="E23" s="12" t="n"/>
      <c r="F23" s="8" t="n"/>
      <c r="G23" s="10" t="n"/>
      <c r="H23" s="13">
        <f>IF(A23="","",E23*(1-Setup!$B$5)/(C23*12))</f>
        <v/>
      </c>
      <c r="I23" s="14">
        <f>IF(A23="","",MAX(0,MIN(12,DATEDIF(MAX(F23,Setup!$B$4),EDATE(Setup!$B$4,12),"m"))))</f>
        <v/>
      </c>
      <c r="J23" s="13">
        <f>IF(A23="","",H23*I23)</f>
        <v/>
      </c>
      <c r="K23" s="13">
        <f>IF(A23="","",E23*D23*IF(AND(F23&gt;=Setup!$B$4,EDATE(Setup!$B$4,12)-F23&lt;180),0.5,1))</f>
        <v/>
      </c>
      <c r="L23" s="13">
        <f>IF(A23="","",K23-J23)</f>
        <v/>
      </c>
      <c r="M23" s="8" t="n"/>
    </row>
    <row r="24">
      <c r="A24" s="10" t="n"/>
      <c r="B24" s="10" t="n"/>
      <c r="C24" s="11" t="n"/>
      <c r="D24" s="9" t="n"/>
      <c r="E24" s="12" t="n"/>
      <c r="F24" s="8" t="n"/>
      <c r="G24" s="10" t="n"/>
      <c r="H24" s="13">
        <f>IF(A24="","",E24*(1-Setup!$B$5)/(C24*12))</f>
        <v/>
      </c>
      <c r="I24" s="14">
        <f>IF(A24="","",MAX(0,MIN(12,DATEDIF(MAX(F24,Setup!$B$4),EDATE(Setup!$B$4,12),"m"))))</f>
        <v/>
      </c>
      <c r="J24" s="13">
        <f>IF(A24="","",H24*I24)</f>
        <v/>
      </c>
      <c r="K24" s="13">
        <f>IF(A24="","",E24*D24*IF(AND(F24&gt;=Setup!$B$4,EDATE(Setup!$B$4,12)-F24&lt;180),0.5,1))</f>
        <v/>
      </c>
      <c r="L24" s="13">
        <f>IF(A24="","",K24-J24)</f>
        <v/>
      </c>
      <c r="M24" s="8" t="n"/>
    </row>
    <row r="25">
      <c r="A25" s="10" t="n"/>
      <c r="B25" s="10" t="n"/>
      <c r="C25" s="11" t="n"/>
      <c r="D25" s="9" t="n"/>
      <c r="E25" s="12" t="n"/>
      <c r="F25" s="8" t="n"/>
      <c r="G25" s="10" t="n"/>
      <c r="H25" s="13">
        <f>IF(A25="","",E25*(1-Setup!$B$5)/(C25*12))</f>
        <v/>
      </c>
      <c r="I25" s="14">
        <f>IF(A25="","",MAX(0,MIN(12,DATEDIF(MAX(F25,Setup!$B$4),EDATE(Setup!$B$4,12),"m"))))</f>
        <v/>
      </c>
      <c r="J25" s="13">
        <f>IF(A25="","",H25*I25)</f>
        <v/>
      </c>
      <c r="K25" s="13">
        <f>IF(A25="","",E25*D25*IF(AND(F25&gt;=Setup!$B$4,EDATE(Setup!$B$4,12)-F25&lt;180),0.5,1))</f>
        <v/>
      </c>
      <c r="L25" s="13">
        <f>IF(A25="","",K25-J25)</f>
        <v/>
      </c>
      <c r="M25" s="8" t="n"/>
    </row>
    <row r="26">
      <c r="A26" s="10" t="n"/>
      <c r="B26" s="10" t="n"/>
      <c r="C26" s="11" t="n"/>
      <c r="D26" s="9" t="n"/>
      <c r="E26" s="12" t="n"/>
      <c r="F26" s="8" t="n"/>
      <c r="G26" s="10" t="n"/>
      <c r="H26" s="13">
        <f>IF(A26="","",E26*(1-Setup!$B$5)/(C26*12))</f>
        <v/>
      </c>
      <c r="I26" s="14">
        <f>IF(A26="","",MAX(0,MIN(12,DATEDIF(MAX(F26,Setup!$B$4),EDATE(Setup!$B$4,12),"m"))))</f>
        <v/>
      </c>
      <c r="J26" s="13">
        <f>IF(A26="","",H26*I26)</f>
        <v/>
      </c>
      <c r="K26" s="13">
        <f>IF(A26="","",E26*D26*IF(AND(F26&gt;=Setup!$B$4,EDATE(Setup!$B$4,12)-F26&lt;180),0.5,1))</f>
        <v/>
      </c>
      <c r="L26" s="13">
        <f>IF(A26="","",K26-J26)</f>
        <v/>
      </c>
      <c r="M26" s="8" t="n"/>
    </row>
    <row r="27">
      <c r="A27" s="10" t="n"/>
      <c r="B27" s="10" t="n"/>
      <c r="C27" s="11" t="n"/>
      <c r="D27" s="9" t="n"/>
      <c r="E27" s="12" t="n"/>
      <c r="F27" s="8" t="n"/>
      <c r="G27" s="10" t="n"/>
      <c r="H27" s="13">
        <f>IF(A27="","",E27*(1-Setup!$B$5)/(C27*12))</f>
        <v/>
      </c>
      <c r="I27" s="14">
        <f>IF(A27="","",MAX(0,MIN(12,DATEDIF(MAX(F27,Setup!$B$4),EDATE(Setup!$B$4,12),"m"))))</f>
        <v/>
      </c>
      <c r="J27" s="13">
        <f>IF(A27="","",H27*I27)</f>
        <v/>
      </c>
      <c r="K27" s="13">
        <f>IF(A27="","",E27*D27*IF(AND(F27&gt;=Setup!$B$4,EDATE(Setup!$B$4,12)-F27&lt;180),0.5,1))</f>
        <v/>
      </c>
      <c r="L27" s="13">
        <f>IF(A27="","",K27-J27)</f>
        <v/>
      </c>
      <c r="M27" s="8" t="n"/>
    </row>
    <row r="28">
      <c r="A28" s="10" t="n"/>
      <c r="B28" s="10" t="n"/>
      <c r="C28" s="11" t="n"/>
      <c r="D28" s="9" t="n"/>
      <c r="E28" s="12" t="n"/>
      <c r="F28" s="8" t="n"/>
      <c r="G28" s="10" t="n"/>
      <c r="H28" s="13">
        <f>IF(A28="","",E28*(1-Setup!$B$5)/(C28*12))</f>
        <v/>
      </c>
      <c r="I28" s="14">
        <f>IF(A28="","",MAX(0,MIN(12,DATEDIF(MAX(F28,Setup!$B$4),EDATE(Setup!$B$4,12),"m"))))</f>
        <v/>
      </c>
      <c r="J28" s="13">
        <f>IF(A28="","",H28*I28)</f>
        <v/>
      </c>
      <c r="K28" s="13">
        <f>IF(A28="","",E28*D28*IF(AND(F28&gt;=Setup!$B$4,EDATE(Setup!$B$4,12)-F28&lt;180),0.5,1))</f>
        <v/>
      </c>
      <c r="L28" s="13">
        <f>IF(A28="","",K28-J28)</f>
        <v/>
      </c>
      <c r="M28" s="8" t="n"/>
    </row>
    <row r="29">
      <c r="A29" s="10" t="n"/>
      <c r="B29" s="10" t="n"/>
      <c r="C29" s="11" t="n"/>
      <c r="D29" s="9" t="n"/>
      <c r="E29" s="12" t="n"/>
      <c r="F29" s="8" t="n"/>
      <c r="G29" s="10" t="n"/>
      <c r="H29" s="13">
        <f>IF(A29="","",E29*(1-Setup!$B$5)/(C29*12))</f>
        <v/>
      </c>
      <c r="I29" s="14">
        <f>IF(A29="","",MAX(0,MIN(12,DATEDIF(MAX(F29,Setup!$B$4),EDATE(Setup!$B$4,12),"m"))))</f>
        <v/>
      </c>
      <c r="J29" s="13">
        <f>IF(A29="","",H29*I29)</f>
        <v/>
      </c>
      <c r="K29" s="13">
        <f>IF(A29="","",E29*D29*IF(AND(F29&gt;=Setup!$B$4,EDATE(Setup!$B$4,12)-F29&lt;180),0.5,1))</f>
        <v/>
      </c>
      <c r="L29" s="13">
        <f>IF(A29="","",K29-J29)</f>
        <v/>
      </c>
      <c r="M29" s="8" t="n"/>
    </row>
    <row r="30">
      <c r="A30" s="10" t="n"/>
      <c r="B30" s="10" t="n"/>
      <c r="C30" s="11" t="n"/>
      <c r="D30" s="9" t="n"/>
      <c r="E30" s="12" t="n"/>
      <c r="F30" s="8" t="n"/>
      <c r="G30" s="10" t="n"/>
      <c r="H30" s="13">
        <f>IF(A30="","",E30*(1-Setup!$B$5)/(C30*12))</f>
        <v/>
      </c>
      <c r="I30" s="14">
        <f>IF(A30="","",MAX(0,MIN(12,DATEDIF(MAX(F30,Setup!$B$4),EDATE(Setup!$B$4,12),"m"))))</f>
        <v/>
      </c>
      <c r="J30" s="13">
        <f>IF(A30="","",H30*I30)</f>
        <v/>
      </c>
      <c r="K30" s="13">
        <f>IF(A30="","",E30*D30*IF(AND(F30&gt;=Setup!$B$4,EDATE(Setup!$B$4,12)-F30&lt;180),0.5,1))</f>
        <v/>
      </c>
      <c r="L30" s="13">
        <f>IF(A30="","",K30-J30)</f>
        <v/>
      </c>
      <c r="M30" s="8" t="n"/>
    </row>
    <row r="31">
      <c r="A31" s="10" t="n"/>
      <c r="B31" s="10" t="n"/>
      <c r="C31" s="11" t="n"/>
      <c r="D31" s="9" t="n"/>
      <c r="E31" s="12" t="n"/>
      <c r="F31" s="8" t="n"/>
      <c r="G31" s="10" t="n"/>
      <c r="H31" s="13">
        <f>IF(A31="","",E31*(1-Setup!$B$5)/(C31*12))</f>
        <v/>
      </c>
      <c r="I31" s="14">
        <f>IF(A31="","",MAX(0,MIN(12,DATEDIF(MAX(F31,Setup!$B$4),EDATE(Setup!$B$4,12),"m"))))</f>
        <v/>
      </c>
      <c r="J31" s="13">
        <f>IF(A31="","",H31*I31)</f>
        <v/>
      </c>
      <c r="K31" s="13">
        <f>IF(A31="","",E31*D31*IF(AND(F31&gt;=Setup!$B$4,EDATE(Setup!$B$4,12)-F31&lt;180),0.5,1))</f>
        <v/>
      </c>
      <c r="L31" s="13">
        <f>IF(A31="","",K31-J31)</f>
        <v/>
      </c>
      <c r="M31" s="8" t="n"/>
    </row>
    <row r="32">
      <c r="A32" s="10" t="n"/>
      <c r="B32" s="10" t="n"/>
      <c r="C32" s="11" t="n"/>
      <c r="D32" s="9" t="n"/>
      <c r="E32" s="12" t="n"/>
      <c r="F32" s="8" t="n"/>
      <c r="G32" s="10" t="n"/>
      <c r="H32" s="13">
        <f>IF(A32="","",E32*(1-Setup!$B$5)/(C32*12))</f>
        <v/>
      </c>
      <c r="I32" s="14">
        <f>IF(A32="","",MAX(0,MIN(12,DATEDIF(MAX(F32,Setup!$B$4),EDATE(Setup!$B$4,12),"m"))))</f>
        <v/>
      </c>
      <c r="J32" s="13">
        <f>IF(A32="","",H32*I32)</f>
        <v/>
      </c>
      <c r="K32" s="13">
        <f>IF(A32="","",E32*D32*IF(AND(F32&gt;=Setup!$B$4,EDATE(Setup!$B$4,12)-F32&lt;180),0.5,1))</f>
        <v/>
      </c>
      <c r="L32" s="13">
        <f>IF(A32="","",K32-J32)</f>
        <v/>
      </c>
      <c r="M32" s="8" t="n"/>
    </row>
    <row r="33">
      <c r="A33" s="10" t="n"/>
      <c r="B33" s="10" t="n"/>
      <c r="C33" s="11" t="n"/>
      <c r="D33" s="9" t="n"/>
      <c r="E33" s="12" t="n"/>
      <c r="F33" s="8" t="n"/>
      <c r="G33" s="10" t="n"/>
      <c r="H33" s="13">
        <f>IF(A33="","",E33*(1-Setup!$B$5)/(C33*12))</f>
        <v/>
      </c>
      <c r="I33" s="14">
        <f>IF(A33="","",MAX(0,MIN(12,DATEDIF(MAX(F33,Setup!$B$4),EDATE(Setup!$B$4,12),"m"))))</f>
        <v/>
      </c>
      <c r="J33" s="13">
        <f>IF(A33="","",H33*I33)</f>
        <v/>
      </c>
      <c r="K33" s="13">
        <f>IF(A33="","",E33*D33*IF(AND(F33&gt;=Setup!$B$4,EDATE(Setup!$B$4,12)-F33&lt;180),0.5,1))</f>
        <v/>
      </c>
      <c r="L33" s="13">
        <f>IF(A33="","",K33-J33)</f>
        <v/>
      </c>
      <c r="M33" s="8" t="n"/>
    </row>
    <row r="34">
      <c r="A34" s="10" t="n"/>
      <c r="B34" s="10" t="n"/>
      <c r="C34" s="11" t="n"/>
      <c r="D34" s="9" t="n"/>
      <c r="E34" s="12" t="n"/>
      <c r="F34" s="8" t="n"/>
      <c r="G34" s="10" t="n"/>
      <c r="H34" s="13">
        <f>IF(A34="","",E34*(1-Setup!$B$5)/(C34*12))</f>
        <v/>
      </c>
      <c r="I34" s="14">
        <f>IF(A34="","",MAX(0,MIN(12,DATEDIF(MAX(F34,Setup!$B$4),EDATE(Setup!$B$4,12),"m"))))</f>
        <v/>
      </c>
      <c r="J34" s="13">
        <f>IF(A34="","",H34*I34)</f>
        <v/>
      </c>
      <c r="K34" s="13">
        <f>IF(A34="","",E34*D34*IF(AND(F34&gt;=Setup!$B$4,EDATE(Setup!$B$4,12)-F34&lt;180),0.5,1))</f>
        <v/>
      </c>
      <c r="L34" s="13">
        <f>IF(A34="","",K34-J34)</f>
        <v/>
      </c>
      <c r="M34" s="8" t="n"/>
    </row>
    <row r="35">
      <c r="A35" s="10" t="n"/>
      <c r="B35" s="10" t="n"/>
      <c r="C35" s="11" t="n"/>
      <c r="D35" s="9" t="n"/>
      <c r="E35" s="12" t="n"/>
      <c r="F35" s="8" t="n"/>
      <c r="G35" s="10" t="n"/>
      <c r="H35" s="13">
        <f>IF(A35="","",E35*(1-Setup!$B$5)/(C35*12))</f>
        <v/>
      </c>
      <c r="I35" s="14">
        <f>IF(A35="","",MAX(0,MIN(12,DATEDIF(MAX(F35,Setup!$B$4),EDATE(Setup!$B$4,12),"m"))))</f>
        <v/>
      </c>
      <c r="J35" s="13">
        <f>IF(A35="","",H35*I35)</f>
        <v/>
      </c>
      <c r="K35" s="13">
        <f>IF(A35="","",E35*D35*IF(AND(F35&gt;=Setup!$B$4,EDATE(Setup!$B$4,12)-F35&lt;180),0.5,1))</f>
        <v/>
      </c>
      <c r="L35" s="13">
        <f>IF(A35="","",K35-J35)</f>
        <v/>
      </c>
      <c r="M35" s="8" t="n"/>
    </row>
    <row r="36">
      <c r="A36" s="10" t="n"/>
      <c r="B36" s="10" t="n"/>
      <c r="C36" s="11" t="n"/>
      <c r="D36" s="9" t="n"/>
      <c r="E36" s="12" t="n"/>
      <c r="F36" s="8" t="n"/>
      <c r="G36" s="10" t="n"/>
      <c r="H36" s="13">
        <f>IF(A36="","",E36*(1-Setup!$B$5)/(C36*12))</f>
        <v/>
      </c>
      <c r="I36" s="14">
        <f>IF(A36="","",MAX(0,MIN(12,DATEDIF(MAX(F36,Setup!$B$4),EDATE(Setup!$B$4,12),"m"))))</f>
        <v/>
      </c>
      <c r="J36" s="13">
        <f>IF(A36="","",H36*I36)</f>
        <v/>
      </c>
      <c r="K36" s="13">
        <f>IF(A36="","",E36*D36*IF(AND(F36&gt;=Setup!$B$4,EDATE(Setup!$B$4,12)-F36&lt;180),0.5,1))</f>
        <v/>
      </c>
      <c r="L36" s="13">
        <f>IF(A36="","",K36-J36)</f>
        <v/>
      </c>
      <c r="M36" s="8" t="n"/>
    </row>
    <row r="37">
      <c r="A37" s="10" t="n"/>
      <c r="B37" s="10" t="n"/>
      <c r="C37" s="11" t="n"/>
      <c r="D37" s="9" t="n"/>
      <c r="E37" s="12" t="n"/>
      <c r="F37" s="8" t="n"/>
      <c r="G37" s="10" t="n"/>
      <c r="H37" s="13">
        <f>IF(A37="","",E37*(1-Setup!$B$5)/(C37*12))</f>
        <v/>
      </c>
      <c r="I37" s="14">
        <f>IF(A37="","",MAX(0,MIN(12,DATEDIF(MAX(F37,Setup!$B$4),EDATE(Setup!$B$4,12),"m"))))</f>
        <v/>
      </c>
      <c r="J37" s="13">
        <f>IF(A37="","",H37*I37)</f>
        <v/>
      </c>
      <c r="K37" s="13">
        <f>IF(A37="","",E37*D37*IF(AND(F37&gt;=Setup!$B$4,EDATE(Setup!$B$4,12)-F37&lt;180),0.5,1))</f>
        <v/>
      </c>
      <c r="L37" s="13">
        <f>IF(A37="","",K37-J37)</f>
        <v/>
      </c>
      <c r="M37" s="8" t="n"/>
    </row>
    <row r="38">
      <c r="A38" s="10" t="n"/>
      <c r="B38" s="10" t="n"/>
      <c r="C38" s="11" t="n"/>
      <c r="D38" s="9" t="n"/>
      <c r="E38" s="12" t="n"/>
      <c r="F38" s="8" t="n"/>
      <c r="G38" s="10" t="n"/>
      <c r="H38" s="13">
        <f>IF(A38="","",E38*(1-Setup!$B$5)/(C38*12))</f>
        <v/>
      </c>
      <c r="I38" s="14">
        <f>IF(A38="","",MAX(0,MIN(12,DATEDIF(MAX(F38,Setup!$B$4),EDATE(Setup!$B$4,12),"m"))))</f>
        <v/>
      </c>
      <c r="J38" s="13">
        <f>IF(A38="","",H38*I38)</f>
        <v/>
      </c>
      <c r="K38" s="13">
        <f>IF(A38="","",E38*D38*IF(AND(F38&gt;=Setup!$B$4,EDATE(Setup!$B$4,12)-F38&lt;180),0.5,1))</f>
        <v/>
      </c>
      <c r="L38" s="13">
        <f>IF(A38="","",K38-J38)</f>
        <v/>
      </c>
      <c r="M38" s="8" t="n"/>
    </row>
    <row r="39">
      <c r="A39" s="10" t="n"/>
      <c r="B39" s="10" t="n"/>
      <c r="C39" s="11" t="n"/>
      <c r="D39" s="9" t="n"/>
      <c r="E39" s="12" t="n"/>
      <c r="F39" s="8" t="n"/>
      <c r="G39" s="10" t="n"/>
      <c r="H39" s="13">
        <f>IF(A39="","",E39*(1-Setup!$B$5)/(C39*12))</f>
        <v/>
      </c>
      <c r="I39" s="14">
        <f>IF(A39="","",MAX(0,MIN(12,DATEDIF(MAX(F39,Setup!$B$4),EDATE(Setup!$B$4,12),"m"))))</f>
        <v/>
      </c>
      <c r="J39" s="13">
        <f>IF(A39="","",H39*I39)</f>
        <v/>
      </c>
      <c r="K39" s="13">
        <f>IF(A39="","",E39*D39*IF(AND(F39&gt;=Setup!$B$4,EDATE(Setup!$B$4,12)-F39&lt;180),0.5,1))</f>
        <v/>
      </c>
      <c r="L39" s="13">
        <f>IF(A39="","",K39-J39)</f>
        <v/>
      </c>
      <c r="M39" s="8" t="n"/>
    </row>
    <row r="40">
      <c r="A40" s="10" t="n"/>
      <c r="B40" s="10" t="n"/>
      <c r="C40" s="11" t="n"/>
      <c r="D40" s="9" t="n"/>
      <c r="E40" s="12" t="n"/>
      <c r="F40" s="8" t="n"/>
      <c r="G40" s="10" t="n"/>
      <c r="H40" s="13">
        <f>IF(A40="","",E40*(1-Setup!$B$5)/(C40*12))</f>
        <v/>
      </c>
      <c r="I40" s="14">
        <f>IF(A40="","",MAX(0,MIN(12,DATEDIF(MAX(F40,Setup!$B$4),EDATE(Setup!$B$4,12),"m"))))</f>
        <v/>
      </c>
      <c r="J40" s="13">
        <f>IF(A40="","",H40*I40)</f>
        <v/>
      </c>
      <c r="K40" s="13">
        <f>IF(A40="","",E40*D40*IF(AND(F40&gt;=Setup!$B$4,EDATE(Setup!$B$4,12)-F40&lt;180),0.5,1))</f>
        <v/>
      </c>
      <c r="L40" s="13">
        <f>IF(A40="","",K40-J40)</f>
        <v/>
      </c>
      <c r="M40" s="8" t="n"/>
    </row>
    <row r="41">
      <c r="A41" s="10" t="n"/>
      <c r="B41" s="10" t="n"/>
      <c r="C41" s="11" t="n"/>
      <c r="D41" s="9" t="n"/>
      <c r="E41" s="12" t="n"/>
      <c r="F41" s="8" t="n"/>
      <c r="G41" s="10" t="n"/>
      <c r="H41" s="13">
        <f>IF(A41="","",E41*(1-Setup!$B$5)/(C41*12))</f>
        <v/>
      </c>
      <c r="I41" s="14">
        <f>IF(A41="","",MAX(0,MIN(12,DATEDIF(MAX(F41,Setup!$B$4),EDATE(Setup!$B$4,12),"m"))))</f>
        <v/>
      </c>
      <c r="J41" s="13">
        <f>IF(A41="","",H41*I41)</f>
        <v/>
      </c>
      <c r="K41" s="13">
        <f>IF(A41="","",E41*D41*IF(AND(F41&gt;=Setup!$B$4,EDATE(Setup!$B$4,12)-F41&lt;180),0.5,1))</f>
        <v/>
      </c>
      <c r="L41" s="13">
        <f>IF(A41="","",K41-J41)</f>
        <v/>
      </c>
      <c r="M41" s="8" t="n"/>
    </row>
    <row r="42">
      <c r="A42" s="10" t="n"/>
      <c r="B42" s="10" t="n"/>
      <c r="C42" s="11" t="n"/>
      <c r="D42" s="9" t="n"/>
      <c r="E42" s="12" t="n"/>
      <c r="F42" s="8" t="n"/>
      <c r="G42" s="10" t="n"/>
      <c r="H42" s="13">
        <f>IF(A42="","",E42*(1-Setup!$B$5)/(C42*12))</f>
        <v/>
      </c>
      <c r="I42" s="14">
        <f>IF(A42="","",MAX(0,MIN(12,DATEDIF(MAX(F42,Setup!$B$4),EDATE(Setup!$B$4,12),"m"))))</f>
        <v/>
      </c>
      <c r="J42" s="13">
        <f>IF(A42="","",H42*I42)</f>
        <v/>
      </c>
      <c r="K42" s="13">
        <f>IF(A42="","",E42*D42*IF(AND(F42&gt;=Setup!$B$4,EDATE(Setup!$B$4,12)-F42&lt;180),0.5,1))</f>
        <v/>
      </c>
      <c r="L42" s="13">
        <f>IF(A42="","",K42-J42)</f>
        <v/>
      </c>
      <c r="M42" s="8" t="n"/>
    </row>
    <row r="43">
      <c r="A43" s="10" t="n"/>
      <c r="B43" s="10" t="n"/>
      <c r="C43" s="11" t="n"/>
      <c r="D43" s="9" t="n"/>
      <c r="E43" s="12" t="n"/>
      <c r="F43" s="8" t="n"/>
      <c r="G43" s="10" t="n"/>
      <c r="H43" s="13">
        <f>IF(A43="","",E43*(1-Setup!$B$5)/(C43*12))</f>
        <v/>
      </c>
      <c r="I43" s="14">
        <f>IF(A43="","",MAX(0,MIN(12,DATEDIF(MAX(F43,Setup!$B$4),EDATE(Setup!$B$4,12),"m"))))</f>
        <v/>
      </c>
      <c r="J43" s="13">
        <f>IF(A43="","",H43*I43)</f>
        <v/>
      </c>
      <c r="K43" s="13">
        <f>IF(A43="","",E43*D43*IF(AND(F43&gt;=Setup!$B$4,EDATE(Setup!$B$4,12)-F43&lt;180),0.5,1))</f>
        <v/>
      </c>
      <c r="L43" s="13">
        <f>IF(A43="","",K43-J43)</f>
        <v/>
      </c>
      <c r="M43" s="8" t="n"/>
    </row>
    <row r="44">
      <c r="A44" s="10" t="n"/>
      <c r="B44" s="10" t="n"/>
      <c r="C44" s="11" t="n"/>
      <c r="D44" s="9" t="n"/>
      <c r="E44" s="12" t="n"/>
      <c r="F44" s="8" t="n"/>
      <c r="G44" s="10" t="n"/>
      <c r="H44" s="13">
        <f>IF(A44="","",E44*(1-Setup!$B$5)/(C44*12))</f>
        <v/>
      </c>
      <c r="I44" s="14">
        <f>IF(A44="","",MAX(0,MIN(12,DATEDIF(MAX(F44,Setup!$B$4),EDATE(Setup!$B$4,12),"m"))))</f>
        <v/>
      </c>
      <c r="J44" s="13">
        <f>IF(A44="","",H44*I44)</f>
        <v/>
      </c>
      <c r="K44" s="13">
        <f>IF(A44="","",E44*D44*IF(AND(F44&gt;=Setup!$B$4,EDATE(Setup!$B$4,12)-F44&lt;180),0.5,1))</f>
        <v/>
      </c>
      <c r="L44" s="13">
        <f>IF(A44="","",K44-J44)</f>
        <v/>
      </c>
      <c r="M44" s="8" t="n"/>
    </row>
    <row r="45">
      <c r="A45" s="10" t="n"/>
      <c r="B45" s="10" t="n"/>
      <c r="C45" s="11" t="n"/>
      <c r="D45" s="9" t="n"/>
      <c r="E45" s="12" t="n"/>
      <c r="F45" s="8" t="n"/>
      <c r="G45" s="10" t="n"/>
      <c r="H45" s="13">
        <f>IF(A45="","",E45*(1-Setup!$B$5)/(C45*12))</f>
        <v/>
      </c>
      <c r="I45" s="14">
        <f>IF(A45="","",MAX(0,MIN(12,DATEDIF(MAX(F45,Setup!$B$4),EDATE(Setup!$B$4,12),"m"))))</f>
        <v/>
      </c>
      <c r="J45" s="13">
        <f>IF(A45="","",H45*I45)</f>
        <v/>
      </c>
      <c r="K45" s="13">
        <f>IF(A45="","",E45*D45*IF(AND(F45&gt;=Setup!$B$4,EDATE(Setup!$B$4,12)-F45&lt;180),0.5,1))</f>
        <v/>
      </c>
      <c r="L45" s="13">
        <f>IF(A45="","",K45-J45)</f>
        <v/>
      </c>
      <c r="M45" s="8" t="n"/>
    </row>
    <row r="46">
      <c r="A46" s="10" t="n"/>
      <c r="B46" s="10" t="n"/>
      <c r="C46" s="11" t="n"/>
      <c r="D46" s="9" t="n"/>
      <c r="E46" s="12" t="n"/>
      <c r="F46" s="8" t="n"/>
      <c r="G46" s="10" t="n"/>
      <c r="H46" s="13">
        <f>IF(A46="","",E46*(1-Setup!$B$5)/(C46*12))</f>
        <v/>
      </c>
      <c r="I46" s="14">
        <f>IF(A46="","",MAX(0,MIN(12,DATEDIF(MAX(F46,Setup!$B$4),EDATE(Setup!$B$4,12),"m"))))</f>
        <v/>
      </c>
      <c r="J46" s="13">
        <f>IF(A46="","",H46*I46)</f>
        <v/>
      </c>
      <c r="K46" s="13">
        <f>IF(A46="","",E46*D46*IF(AND(F46&gt;=Setup!$B$4,EDATE(Setup!$B$4,12)-F46&lt;180),0.5,1))</f>
        <v/>
      </c>
      <c r="L46" s="13">
        <f>IF(A46="","",K46-J46)</f>
        <v/>
      </c>
      <c r="M46" s="8" t="n"/>
    </row>
    <row r="47">
      <c r="A47" s="10" t="n"/>
      <c r="B47" s="10" t="n"/>
      <c r="C47" s="11" t="n"/>
      <c r="D47" s="9" t="n"/>
      <c r="E47" s="12" t="n"/>
      <c r="F47" s="8" t="n"/>
      <c r="G47" s="10" t="n"/>
      <c r="H47" s="13">
        <f>IF(A47="","",E47*(1-Setup!$B$5)/(C47*12))</f>
        <v/>
      </c>
      <c r="I47" s="14">
        <f>IF(A47="","",MAX(0,MIN(12,DATEDIF(MAX(F47,Setup!$B$4),EDATE(Setup!$B$4,12),"m"))))</f>
        <v/>
      </c>
      <c r="J47" s="13">
        <f>IF(A47="","",H47*I47)</f>
        <v/>
      </c>
      <c r="K47" s="13">
        <f>IF(A47="","",E47*D47*IF(AND(F47&gt;=Setup!$B$4,EDATE(Setup!$B$4,12)-F47&lt;180),0.5,1))</f>
        <v/>
      </c>
      <c r="L47" s="13">
        <f>IF(A47="","",K47-J47)</f>
        <v/>
      </c>
      <c r="M47" s="8" t="n"/>
    </row>
    <row r="48">
      <c r="A48" s="10" t="n"/>
      <c r="B48" s="10" t="n"/>
      <c r="C48" s="11" t="n"/>
      <c r="D48" s="9" t="n"/>
      <c r="E48" s="12" t="n"/>
      <c r="F48" s="8" t="n"/>
      <c r="G48" s="10" t="n"/>
      <c r="H48" s="13">
        <f>IF(A48="","",E48*(1-Setup!$B$5)/(C48*12))</f>
        <v/>
      </c>
      <c r="I48" s="14">
        <f>IF(A48="","",MAX(0,MIN(12,DATEDIF(MAX(F48,Setup!$B$4),EDATE(Setup!$B$4,12),"m"))))</f>
        <v/>
      </c>
      <c r="J48" s="13">
        <f>IF(A48="","",H48*I48)</f>
        <v/>
      </c>
      <c r="K48" s="13">
        <f>IF(A48="","",E48*D48*IF(AND(F48&gt;=Setup!$B$4,EDATE(Setup!$B$4,12)-F48&lt;180),0.5,1))</f>
        <v/>
      </c>
      <c r="L48" s="13">
        <f>IF(A48="","",K48-J48)</f>
        <v/>
      </c>
      <c r="M48" s="8" t="n"/>
    </row>
    <row r="49">
      <c r="A49" s="10" t="n"/>
      <c r="B49" s="10" t="n"/>
      <c r="C49" s="11" t="n"/>
      <c r="D49" s="9" t="n"/>
      <c r="E49" s="12" t="n"/>
      <c r="F49" s="8" t="n"/>
      <c r="G49" s="10" t="n"/>
      <c r="H49" s="13">
        <f>IF(A49="","",E49*(1-Setup!$B$5)/(C49*12))</f>
        <v/>
      </c>
      <c r="I49" s="14">
        <f>IF(A49="","",MAX(0,MIN(12,DATEDIF(MAX(F49,Setup!$B$4),EDATE(Setup!$B$4,12),"m"))))</f>
        <v/>
      </c>
      <c r="J49" s="13">
        <f>IF(A49="","",H49*I49)</f>
        <v/>
      </c>
      <c r="K49" s="13">
        <f>IF(A49="","",E49*D49*IF(AND(F49&gt;=Setup!$B$4,EDATE(Setup!$B$4,12)-F49&lt;180),0.5,1))</f>
        <v/>
      </c>
      <c r="L49" s="13">
        <f>IF(A49="","",K49-J49)</f>
        <v/>
      </c>
      <c r="M49" s="8" t="n"/>
    </row>
    <row r="50">
      <c r="A50" s="10" t="n"/>
      <c r="B50" s="10" t="n"/>
      <c r="C50" s="11" t="n"/>
      <c r="D50" s="9" t="n"/>
      <c r="E50" s="12" t="n"/>
      <c r="F50" s="8" t="n"/>
      <c r="G50" s="10" t="n"/>
      <c r="H50" s="13">
        <f>IF(A50="","",E50*(1-Setup!$B$5)/(C50*12))</f>
        <v/>
      </c>
      <c r="I50" s="14">
        <f>IF(A50="","",MAX(0,MIN(12,DATEDIF(MAX(F50,Setup!$B$4),EDATE(Setup!$B$4,12),"m"))))</f>
        <v/>
      </c>
      <c r="J50" s="13">
        <f>IF(A50="","",H50*I50)</f>
        <v/>
      </c>
      <c r="K50" s="13">
        <f>IF(A50="","",E50*D50*IF(AND(F50&gt;=Setup!$B$4,EDATE(Setup!$B$4,12)-F50&lt;180),0.5,1))</f>
        <v/>
      </c>
      <c r="L50" s="13">
        <f>IF(A50="","",K50-J50)</f>
        <v/>
      </c>
      <c r="M50" s="8" t="n"/>
    </row>
    <row r="51">
      <c r="A51" s="10" t="n"/>
      <c r="B51" s="10" t="n"/>
      <c r="C51" s="11" t="n"/>
      <c r="D51" s="9" t="n"/>
      <c r="E51" s="12" t="n"/>
      <c r="F51" s="8" t="n"/>
      <c r="G51" s="10" t="n"/>
      <c r="H51" s="13">
        <f>IF(A51="","",E51*(1-Setup!$B$5)/(C51*12))</f>
        <v/>
      </c>
      <c r="I51" s="14">
        <f>IF(A51="","",MAX(0,MIN(12,DATEDIF(MAX(F51,Setup!$B$4),EDATE(Setup!$B$4,12),"m"))))</f>
        <v/>
      </c>
      <c r="J51" s="13">
        <f>IF(A51="","",H51*I51)</f>
        <v/>
      </c>
      <c r="K51" s="13">
        <f>IF(A51="","",E51*D51*IF(AND(F51&gt;=Setup!$B$4,EDATE(Setup!$B$4,12)-F51&lt;180),0.5,1))</f>
        <v/>
      </c>
      <c r="L51" s="13">
        <f>IF(A51="","",K51-J51)</f>
        <v/>
      </c>
      <c r="M51" s="8" t="n"/>
    </row>
    <row r="52">
      <c r="A52" s="10" t="n"/>
      <c r="B52" s="10" t="n"/>
      <c r="C52" s="11" t="n"/>
      <c r="D52" s="9" t="n"/>
      <c r="E52" s="12" t="n"/>
      <c r="F52" s="8" t="n"/>
      <c r="G52" s="10" t="n"/>
      <c r="H52" s="13">
        <f>IF(A52="","",E52*(1-Setup!$B$5)/(C52*12))</f>
        <v/>
      </c>
      <c r="I52" s="14">
        <f>IF(A52="","",MAX(0,MIN(12,DATEDIF(MAX(F52,Setup!$B$4),EDATE(Setup!$B$4,12),"m"))))</f>
        <v/>
      </c>
      <c r="J52" s="13">
        <f>IF(A52="","",H52*I52)</f>
        <v/>
      </c>
      <c r="K52" s="13">
        <f>IF(A52="","",E52*D52*IF(AND(F52&gt;=Setup!$B$4,EDATE(Setup!$B$4,12)-F52&lt;180),0.5,1))</f>
        <v/>
      </c>
      <c r="L52" s="13">
        <f>IF(A52="","",K52-J52)</f>
        <v/>
      </c>
      <c r="M52" s="8" t="n"/>
    </row>
    <row r="53">
      <c r="A53" s="10" t="n"/>
      <c r="B53" s="10" t="n"/>
      <c r="C53" s="11" t="n"/>
      <c r="D53" s="9" t="n"/>
      <c r="E53" s="12" t="n"/>
      <c r="F53" s="8" t="n"/>
      <c r="G53" s="10" t="n"/>
      <c r="H53" s="13">
        <f>IF(A53="","",E53*(1-Setup!$B$5)/(C53*12))</f>
        <v/>
      </c>
      <c r="I53" s="14">
        <f>IF(A53="","",MAX(0,MIN(12,DATEDIF(MAX(F53,Setup!$B$4),EDATE(Setup!$B$4,12),"m"))))</f>
        <v/>
      </c>
      <c r="J53" s="13">
        <f>IF(A53="","",H53*I53)</f>
        <v/>
      </c>
      <c r="K53" s="13">
        <f>IF(A53="","",E53*D53*IF(AND(F53&gt;=Setup!$B$4,EDATE(Setup!$B$4,12)-F53&lt;180),0.5,1))</f>
        <v/>
      </c>
      <c r="L53" s="13">
        <f>IF(A53="","",K53-J53)</f>
        <v/>
      </c>
      <c r="M53" s="8" t="n"/>
    </row>
    <row r="54">
      <c r="A54" s="10" t="n"/>
      <c r="B54" s="10" t="n"/>
      <c r="C54" s="11" t="n"/>
      <c r="D54" s="9" t="n"/>
      <c r="E54" s="12" t="n"/>
      <c r="F54" s="8" t="n"/>
      <c r="G54" s="10" t="n"/>
      <c r="H54" s="13">
        <f>IF(A54="","",E54*(1-Setup!$B$5)/(C54*12))</f>
        <v/>
      </c>
      <c r="I54" s="14">
        <f>IF(A54="","",MAX(0,MIN(12,DATEDIF(MAX(F54,Setup!$B$4),EDATE(Setup!$B$4,12),"m"))))</f>
        <v/>
      </c>
      <c r="J54" s="13">
        <f>IF(A54="","",H54*I54)</f>
        <v/>
      </c>
      <c r="K54" s="13">
        <f>IF(A54="","",E54*D54*IF(AND(F54&gt;=Setup!$B$4,EDATE(Setup!$B$4,12)-F54&lt;180),0.5,1))</f>
        <v/>
      </c>
      <c r="L54" s="13">
        <f>IF(A54="","",K54-J54)</f>
        <v/>
      </c>
      <c r="M54" s="8" t="n"/>
    </row>
    <row r="55">
      <c r="A55" s="10" t="n"/>
      <c r="B55" s="10" t="n"/>
      <c r="C55" s="11" t="n"/>
      <c r="D55" s="9" t="n"/>
      <c r="E55" s="12" t="n"/>
      <c r="F55" s="8" t="n"/>
      <c r="G55" s="10" t="n"/>
      <c r="H55" s="13">
        <f>IF(A55="","",E55*(1-Setup!$B$5)/(C55*12))</f>
        <v/>
      </c>
      <c r="I55" s="14">
        <f>IF(A55="","",MAX(0,MIN(12,DATEDIF(MAX(F55,Setup!$B$4),EDATE(Setup!$B$4,12),"m"))))</f>
        <v/>
      </c>
      <c r="J55" s="13">
        <f>IF(A55="","",H55*I55)</f>
        <v/>
      </c>
      <c r="K55" s="13">
        <f>IF(A55="","",E55*D55*IF(AND(F55&gt;=Setup!$B$4,EDATE(Setup!$B$4,12)-F55&lt;180),0.5,1))</f>
        <v/>
      </c>
      <c r="L55" s="13">
        <f>IF(A55="","",K55-J55)</f>
        <v/>
      </c>
      <c r="M55" s="8" t="n"/>
    </row>
    <row r="56">
      <c r="A56" s="10" t="n"/>
      <c r="B56" s="10" t="n"/>
      <c r="C56" s="11" t="n"/>
      <c r="D56" s="9" t="n"/>
      <c r="E56" s="12" t="n"/>
      <c r="F56" s="8" t="n"/>
      <c r="G56" s="10" t="n"/>
      <c r="H56" s="13">
        <f>IF(A56="","",E56*(1-Setup!$B$5)/(C56*12))</f>
        <v/>
      </c>
      <c r="I56" s="14">
        <f>IF(A56="","",MAX(0,MIN(12,DATEDIF(MAX(F56,Setup!$B$4),EDATE(Setup!$B$4,12),"m"))))</f>
        <v/>
      </c>
      <c r="J56" s="13">
        <f>IF(A56="","",H56*I56)</f>
        <v/>
      </c>
      <c r="K56" s="13">
        <f>IF(A56="","",E56*D56*IF(AND(F56&gt;=Setup!$B$4,EDATE(Setup!$B$4,12)-F56&lt;180),0.5,1))</f>
        <v/>
      </c>
      <c r="L56" s="13">
        <f>IF(A56="","",K56-J56)</f>
        <v/>
      </c>
      <c r="M56" s="8" t="n"/>
    </row>
    <row r="57">
      <c r="A57" s="10" t="n"/>
      <c r="B57" s="10" t="n"/>
      <c r="C57" s="11" t="n"/>
      <c r="D57" s="9" t="n"/>
      <c r="E57" s="12" t="n"/>
      <c r="F57" s="8" t="n"/>
      <c r="G57" s="10" t="n"/>
      <c r="H57" s="13">
        <f>IF(A57="","",E57*(1-Setup!$B$5)/(C57*12))</f>
        <v/>
      </c>
      <c r="I57" s="14">
        <f>IF(A57="","",MAX(0,MIN(12,DATEDIF(MAX(F57,Setup!$B$4),EDATE(Setup!$B$4,12),"m"))))</f>
        <v/>
      </c>
      <c r="J57" s="13">
        <f>IF(A57="","",H57*I57)</f>
        <v/>
      </c>
      <c r="K57" s="13">
        <f>IF(A57="","",E57*D57*IF(AND(F57&gt;=Setup!$B$4,EDATE(Setup!$B$4,12)-F57&lt;180),0.5,1))</f>
        <v/>
      </c>
      <c r="L57" s="13">
        <f>IF(A57="","",K57-J57)</f>
        <v/>
      </c>
      <c r="M57" s="8" t="n"/>
    </row>
    <row r="58">
      <c r="A58" s="10" t="n"/>
      <c r="B58" s="10" t="n"/>
      <c r="C58" s="11" t="n"/>
      <c r="D58" s="9" t="n"/>
      <c r="E58" s="12" t="n"/>
      <c r="F58" s="8" t="n"/>
      <c r="G58" s="10" t="n"/>
      <c r="H58" s="13">
        <f>IF(A58="","",E58*(1-Setup!$B$5)/(C58*12))</f>
        <v/>
      </c>
      <c r="I58" s="14">
        <f>IF(A58="","",MAX(0,MIN(12,DATEDIF(MAX(F58,Setup!$B$4),EDATE(Setup!$B$4,12),"m"))))</f>
        <v/>
      </c>
      <c r="J58" s="13">
        <f>IF(A58="","",H58*I58)</f>
        <v/>
      </c>
      <c r="K58" s="13">
        <f>IF(A58="","",E58*D58*IF(AND(F58&gt;=Setup!$B$4,EDATE(Setup!$B$4,12)-F58&lt;180),0.5,1))</f>
        <v/>
      </c>
      <c r="L58" s="13">
        <f>IF(A58="","",K58-J58)</f>
        <v/>
      </c>
      <c r="M58" s="8" t="n"/>
    </row>
    <row r="59">
      <c r="A59" s="10" t="n"/>
      <c r="B59" s="10" t="n"/>
      <c r="C59" s="11" t="n"/>
      <c r="D59" s="9" t="n"/>
      <c r="E59" s="12" t="n"/>
      <c r="F59" s="8" t="n"/>
      <c r="G59" s="10" t="n"/>
      <c r="H59" s="13">
        <f>IF(A59="","",E59*(1-Setup!$B$5)/(C59*12))</f>
        <v/>
      </c>
      <c r="I59" s="14">
        <f>IF(A59="","",MAX(0,MIN(12,DATEDIF(MAX(F59,Setup!$B$4),EDATE(Setup!$B$4,12),"m"))))</f>
        <v/>
      </c>
      <c r="J59" s="13">
        <f>IF(A59="","",H59*I59)</f>
        <v/>
      </c>
      <c r="K59" s="13">
        <f>IF(A59="","",E59*D59*IF(AND(F59&gt;=Setup!$B$4,EDATE(Setup!$B$4,12)-F59&lt;180),0.5,1))</f>
        <v/>
      </c>
      <c r="L59" s="13">
        <f>IF(A59="","",K59-J59)</f>
        <v/>
      </c>
      <c r="M59" s="8" t="n"/>
    </row>
    <row r="60">
      <c r="A60" s="10" t="n"/>
      <c r="B60" s="10" t="n"/>
      <c r="C60" s="11" t="n"/>
      <c r="D60" s="9" t="n"/>
      <c r="E60" s="12" t="n"/>
      <c r="F60" s="8" t="n"/>
      <c r="G60" s="10" t="n"/>
      <c r="H60" s="13">
        <f>IF(A60="","",E60*(1-Setup!$B$5)/(C60*12))</f>
        <v/>
      </c>
      <c r="I60" s="14">
        <f>IF(A60="","",MAX(0,MIN(12,DATEDIF(MAX(F60,Setup!$B$4),EDATE(Setup!$B$4,12),"m"))))</f>
        <v/>
      </c>
      <c r="J60" s="13">
        <f>IF(A60="","",H60*I60)</f>
        <v/>
      </c>
      <c r="K60" s="13">
        <f>IF(A60="","",E60*D60*IF(AND(F60&gt;=Setup!$B$4,EDATE(Setup!$B$4,12)-F60&lt;180),0.5,1))</f>
        <v/>
      </c>
      <c r="L60" s="13">
        <f>IF(A60="","",K60-J60)</f>
        <v/>
      </c>
      <c r="M60" s="8" t="n"/>
    </row>
    <row r="61">
      <c r="A61" s="10" t="n"/>
      <c r="B61" s="10" t="n"/>
      <c r="C61" s="11" t="n"/>
      <c r="D61" s="9" t="n"/>
      <c r="E61" s="12" t="n"/>
      <c r="F61" s="8" t="n"/>
      <c r="G61" s="10" t="n"/>
      <c r="H61" s="13">
        <f>IF(A61="","",E61*(1-Setup!$B$5)/(C61*12))</f>
        <v/>
      </c>
      <c r="I61" s="14">
        <f>IF(A61="","",MAX(0,MIN(12,DATEDIF(MAX(F61,Setup!$B$4),EDATE(Setup!$B$4,12),"m"))))</f>
        <v/>
      </c>
      <c r="J61" s="13">
        <f>IF(A61="","",H61*I61)</f>
        <v/>
      </c>
      <c r="K61" s="13">
        <f>IF(A61="","",E61*D61*IF(AND(F61&gt;=Setup!$B$4,EDATE(Setup!$B$4,12)-F61&lt;180),0.5,1))</f>
        <v/>
      </c>
      <c r="L61" s="13">
        <f>IF(A61="","",K61-J61)</f>
        <v/>
      </c>
      <c r="M61" s="8" t="n"/>
    </row>
    <row r="62">
      <c r="A62" s="10" t="n"/>
      <c r="B62" s="10" t="n"/>
      <c r="C62" s="11" t="n"/>
      <c r="D62" s="9" t="n"/>
      <c r="E62" s="12" t="n"/>
      <c r="F62" s="8" t="n"/>
      <c r="G62" s="10" t="n"/>
      <c r="H62" s="13">
        <f>IF(A62="","",E62*(1-Setup!$B$5)/(C62*12))</f>
        <v/>
      </c>
      <c r="I62" s="14">
        <f>IF(A62="","",MAX(0,MIN(12,DATEDIF(MAX(F62,Setup!$B$4),EDATE(Setup!$B$4,12),"m"))))</f>
        <v/>
      </c>
      <c r="J62" s="13">
        <f>IF(A62="","",H62*I62)</f>
        <v/>
      </c>
      <c r="K62" s="13">
        <f>IF(A62="","",E62*D62*IF(AND(F62&gt;=Setup!$B$4,EDATE(Setup!$B$4,12)-F62&lt;180),0.5,1))</f>
        <v/>
      </c>
      <c r="L62" s="13">
        <f>IF(A62="","",K62-J62)</f>
        <v/>
      </c>
      <c r="M62" s="8" t="n"/>
    </row>
    <row r="63">
      <c r="A63" s="10" t="n"/>
      <c r="B63" s="10" t="n"/>
      <c r="C63" s="11" t="n"/>
      <c r="D63" s="9" t="n"/>
      <c r="E63" s="12" t="n"/>
      <c r="F63" s="8" t="n"/>
      <c r="G63" s="10" t="n"/>
      <c r="H63" s="13">
        <f>IF(A63="","",E63*(1-Setup!$B$5)/(C63*12))</f>
        <v/>
      </c>
      <c r="I63" s="14">
        <f>IF(A63="","",MAX(0,MIN(12,DATEDIF(MAX(F63,Setup!$B$4),EDATE(Setup!$B$4,12),"m"))))</f>
        <v/>
      </c>
      <c r="J63" s="13">
        <f>IF(A63="","",H63*I63)</f>
        <v/>
      </c>
      <c r="K63" s="13">
        <f>IF(A63="","",E63*D63*IF(AND(F63&gt;=Setup!$B$4,EDATE(Setup!$B$4,12)-F63&lt;180),0.5,1))</f>
        <v/>
      </c>
      <c r="L63" s="13">
        <f>IF(A63="","",K63-J63)</f>
        <v/>
      </c>
      <c r="M63" s="8" t="n"/>
    </row>
    <row r="64">
      <c r="A64" s="10" t="n"/>
      <c r="B64" s="10" t="n"/>
      <c r="C64" s="11" t="n"/>
      <c r="D64" s="9" t="n"/>
      <c r="E64" s="12" t="n"/>
      <c r="F64" s="8" t="n"/>
      <c r="G64" s="10" t="n"/>
      <c r="H64" s="13">
        <f>IF(A64="","",E64*(1-Setup!$B$5)/(C64*12))</f>
        <v/>
      </c>
      <c r="I64" s="14">
        <f>IF(A64="","",MAX(0,MIN(12,DATEDIF(MAX(F64,Setup!$B$4),EDATE(Setup!$B$4,12),"m"))))</f>
        <v/>
      </c>
      <c r="J64" s="13">
        <f>IF(A64="","",H64*I64)</f>
        <v/>
      </c>
      <c r="K64" s="13">
        <f>IF(A64="","",E64*D64*IF(AND(F64&gt;=Setup!$B$4,EDATE(Setup!$B$4,12)-F64&lt;180),0.5,1))</f>
        <v/>
      </c>
      <c r="L64" s="13">
        <f>IF(A64="","",K64-J64)</f>
        <v/>
      </c>
      <c r="M64" s="8" t="n"/>
    </row>
    <row r="65">
      <c r="A65" s="10" t="n"/>
      <c r="B65" s="10" t="n"/>
      <c r="C65" s="11" t="n"/>
      <c r="D65" s="9" t="n"/>
      <c r="E65" s="12" t="n"/>
      <c r="F65" s="8" t="n"/>
      <c r="G65" s="10" t="n"/>
      <c r="H65" s="13">
        <f>IF(A65="","",E65*(1-Setup!$B$5)/(C65*12))</f>
        <v/>
      </c>
      <c r="I65" s="14">
        <f>IF(A65="","",MAX(0,MIN(12,DATEDIF(MAX(F65,Setup!$B$4),EDATE(Setup!$B$4,12),"m"))))</f>
        <v/>
      </c>
      <c r="J65" s="13">
        <f>IF(A65="","",H65*I65)</f>
        <v/>
      </c>
      <c r="K65" s="13">
        <f>IF(A65="","",E65*D65*IF(AND(F65&gt;=Setup!$B$4,EDATE(Setup!$B$4,12)-F65&lt;180),0.5,1))</f>
        <v/>
      </c>
      <c r="L65" s="13">
        <f>IF(A65="","",K65-J65)</f>
        <v/>
      </c>
      <c r="M65" s="8" t="n"/>
    </row>
    <row r="66">
      <c r="A66" s="10" t="n"/>
      <c r="B66" s="10" t="n"/>
      <c r="C66" s="11" t="n"/>
      <c r="D66" s="9" t="n"/>
      <c r="E66" s="12" t="n"/>
      <c r="F66" s="8" t="n"/>
      <c r="G66" s="10" t="n"/>
      <c r="H66" s="13">
        <f>IF(A66="","",E66*(1-Setup!$B$5)/(C66*12))</f>
        <v/>
      </c>
      <c r="I66" s="14">
        <f>IF(A66="","",MAX(0,MIN(12,DATEDIF(MAX(F66,Setup!$B$4),EDATE(Setup!$B$4,12),"m"))))</f>
        <v/>
      </c>
      <c r="J66" s="13">
        <f>IF(A66="","",H66*I66)</f>
        <v/>
      </c>
      <c r="K66" s="13">
        <f>IF(A66="","",E66*D66*IF(AND(F66&gt;=Setup!$B$4,EDATE(Setup!$B$4,12)-F66&lt;180),0.5,1))</f>
        <v/>
      </c>
      <c r="L66" s="13">
        <f>IF(A66="","",K66-J66)</f>
        <v/>
      </c>
      <c r="M66" s="8" t="n"/>
    </row>
    <row r="67">
      <c r="A67" s="10" t="n"/>
      <c r="B67" s="10" t="n"/>
      <c r="C67" s="11" t="n"/>
      <c r="D67" s="9" t="n"/>
      <c r="E67" s="12" t="n"/>
      <c r="F67" s="8" t="n"/>
      <c r="G67" s="10" t="n"/>
      <c r="H67" s="13">
        <f>IF(A67="","",E67*(1-Setup!$B$5)/(C67*12))</f>
        <v/>
      </c>
      <c r="I67" s="14">
        <f>IF(A67="","",MAX(0,MIN(12,DATEDIF(MAX(F67,Setup!$B$4),EDATE(Setup!$B$4,12),"m"))))</f>
        <v/>
      </c>
      <c r="J67" s="13">
        <f>IF(A67="","",H67*I67)</f>
        <v/>
      </c>
      <c r="K67" s="13">
        <f>IF(A67="","",E67*D67*IF(AND(F67&gt;=Setup!$B$4,EDATE(Setup!$B$4,12)-F67&lt;180),0.5,1))</f>
        <v/>
      </c>
      <c r="L67" s="13">
        <f>IF(A67="","",K67-J67)</f>
        <v/>
      </c>
      <c r="M67" s="8" t="n"/>
    </row>
    <row r="68">
      <c r="A68" s="10" t="n"/>
      <c r="B68" s="10" t="n"/>
      <c r="C68" s="11" t="n"/>
      <c r="D68" s="9" t="n"/>
      <c r="E68" s="12" t="n"/>
      <c r="F68" s="8" t="n"/>
      <c r="G68" s="10" t="n"/>
      <c r="H68" s="13">
        <f>IF(A68="","",E68*(1-Setup!$B$5)/(C68*12))</f>
        <v/>
      </c>
      <c r="I68" s="14">
        <f>IF(A68="","",MAX(0,MIN(12,DATEDIF(MAX(F68,Setup!$B$4),EDATE(Setup!$B$4,12),"m"))))</f>
        <v/>
      </c>
      <c r="J68" s="13">
        <f>IF(A68="","",H68*I68)</f>
        <v/>
      </c>
      <c r="K68" s="13">
        <f>IF(A68="","",E68*D68*IF(AND(F68&gt;=Setup!$B$4,EDATE(Setup!$B$4,12)-F68&lt;180),0.5,1))</f>
        <v/>
      </c>
      <c r="L68" s="13">
        <f>IF(A68="","",K68-J68)</f>
        <v/>
      </c>
      <c r="M68" s="8" t="n"/>
    </row>
    <row r="69">
      <c r="A69" s="10" t="n"/>
      <c r="B69" s="10" t="n"/>
      <c r="C69" s="11" t="n"/>
      <c r="D69" s="9" t="n"/>
      <c r="E69" s="12" t="n"/>
      <c r="F69" s="8" t="n"/>
      <c r="G69" s="10" t="n"/>
      <c r="H69" s="13">
        <f>IF(A69="","",E69*(1-Setup!$B$5)/(C69*12))</f>
        <v/>
      </c>
      <c r="I69" s="14">
        <f>IF(A69="","",MAX(0,MIN(12,DATEDIF(MAX(F69,Setup!$B$4),EDATE(Setup!$B$4,12),"m"))))</f>
        <v/>
      </c>
      <c r="J69" s="13">
        <f>IF(A69="","",H69*I69)</f>
        <v/>
      </c>
      <c r="K69" s="13">
        <f>IF(A69="","",E69*D69*IF(AND(F69&gt;=Setup!$B$4,EDATE(Setup!$B$4,12)-F69&lt;180),0.5,1))</f>
        <v/>
      </c>
      <c r="L69" s="13">
        <f>IF(A69="","",K69-J69)</f>
        <v/>
      </c>
      <c r="M69" s="8" t="n"/>
    </row>
    <row r="70">
      <c r="A70" s="10" t="n"/>
      <c r="B70" s="10" t="n"/>
      <c r="C70" s="11" t="n"/>
      <c r="D70" s="9" t="n"/>
      <c r="E70" s="12" t="n"/>
      <c r="F70" s="8" t="n"/>
      <c r="G70" s="10" t="n"/>
      <c r="H70" s="13">
        <f>IF(A70="","",E70*(1-Setup!$B$5)/(C70*12))</f>
        <v/>
      </c>
      <c r="I70" s="14">
        <f>IF(A70="","",MAX(0,MIN(12,DATEDIF(MAX(F70,Setup!$B$4),EDATE(Setup!$B$4,12),"m"))))</f>
        <v/>
      </c>
      <c r="J70" s="13">
        <f>IF(A70="","",H70*I70)</f>
        <v/>
      </c>
      <c r="K70" s="13">
        <f>IF(A70="","",E70*D70*IF(AND(F70&gt;=Setup!$B$4,EDATE(Setup!$B$4,12)-F70&lt;180),0.5,1))</f>
        <v/>
      </c>
      <c r="L70" s="13">
        <f>IF(A70="","",K70-J70)</f>
        <v/>
      </c>
      <c r="M70" s="8" t="n"/>
    </row>
    <row r="71">
      <c r="A71" s="10" t="n"/>
      <c r="B71" s="10" t="n"/>
      <c r="C71" s="11" t="n"/>
      <c r="D71" s="9" t="n"/>
      <c r="E71" s="12" t="n"/>
      <c r="F71" s="8" t="n"/>
      <c r="G71" s="10" t="n"/>
      <c r="H71" s="13">
        <f>IF(A71="","",E71*(1-Setup!$B$5)/(C71*12))</f>
        <v/>
      </c>
      <c r="I71" s="14">
        <f>IF(A71="","",MAX(0,MIN(12,DATEDIF(MAX(F71,Setup!$B$4),EDATE(Setup!$B$4,12),"m"))))</f>
        <v/>
      </c>
      <c r="J71" s="13">
        <f>IF(A71="","",H71*I71)</f>
        <v/>
      </c>
      <c r="K71" s="13">
        <f>IF(A71="","",E71*D71*IF(AND(F71&gt;=Setup!$B$4,EDATE(Setup!$B$4,12)-F71&lt;180),0.5,1))</f>
        <v/>
      </c>
      <c r="L71" s="13">
        <f>IF(A71="","",K71-J71)</f>
        <v/>
      </c>
      <c r="M71" s="8" t="n"/>
    </row>
    <row r="72">
      <c r="A72" s="10" t="n"/>
      <c r="B72" s="10" t="n"/>
      <c r="C72" s="11" t="n"/>
      <c r="D72" s="9" t="n"/>
      <c r="E72" s="12" t="n"/>
      <c r="F72" s="8" t="n"/>
      <c r="G72" s="10" t="n"/>
      <c r="H72" s="13">
        <f>IF(A72="","",E72*(1-Setup!$B$5)/(C72*12))</f>
        <v/>
      </c>
      <c r="I72" s="14">
        <f>IF(A72="","",MAX(0,MIN(12,DATEDIF(MAX(F72,Setup!$B$4),EDATE(Setup!$B$4,12),"m"))))</f>
        <v/>
      </c>
      <c r="J72" s="13">
        <f>IF(A72="","",H72*I72)</f>
        <v/>
      </c>
      <c r="K72" s="13">
        <f>IF(A72="","",E72*D72*IF(AND(F72&gt;=Setup!$B$4,EDATE(Setup!$B$4,12)-F72&lt;180),0.5,1))</f>
        <v/>
      </c>
      <c r="L72" s="13">
        <f>IF(A72="","",K72-J72)</f>
        <v/>
      </c>
      <c r="M72" s="8" t="n"/>
    </row>
    <row r="73">
      <c r="A73" s="10" t="n"/>
      <c r="B73" s="10" t="n"/>
      <c r="C73" s="11" t="n"/>
      <c r="D73" s="9" t="n"/>
      <c r="E73" s="12" t="n"/>
      <c r="F73" s="8" t="n"/>
      <c r="G73" s="10" t="n"/>
      <c r="H73" s="13">
        <f>IF(A73="","",E73*(1-Setup!$B$5)/(C73*12))</f>
        <v/>
      </c>
      <c r="I73" s="14">
        <f>IF(A73="","",MAX(0,MIN(12,DATEDIF(MAX(F73,Setup!$B$4),EDATE(Setup!$B$4,12),"m"))))</f>
        <v/>
      </c>
      <c r="J73" s="13">
        <f>IF(A73="","",H73*I73)</f>
        <v/>
      </c>
      <c r="K73" s="13">
        <f>IF(A73="","",E73*D73*IF(AND(F73&gt;=Setup!$B$4,EDATE(Setup!$B$4,12)-F73&lt;180),0.5,1))</f>
        <v/>
      </c>
      <c r="L73" s="13">
        <f>IF(A73="","",K73-J73)</f>
        <v/>
      </c>
      <c r="M73" s="8" t="n"/>
    </row>
    <row r="74">
      <c r="A74" s="10" t="n"/>
      <c r="B74" s="10" t="n"/>
      <c r="C74" s="11" t="n"/>
      <c r="D74" s="9" t="n"/>
      <c r="E74" s="12" t="n"/>
      <c r="F74" s="8" t="n"/>
      <c r="G74" s="10" t="n"/>
      <c r="H74" s="13">
        <f>IF(A74="","",E74*(1-Setup!$B$5)/(C74*12))</f>
        <v/>
      </c>
      <c r="I74" s="14">
        <f>IF(A74="","",MAX(0,MIN(12,DATEDIF(MAX(F74,Setup!$B$4),EDATE(Setup!$B$4,12),"m"))))</f>
        <v/>
      </c>
      <c r="J74" s="13">
        <f>IF(A74="","",H74*I74)</f>
        <v/>
      </c>
      <c r="K74" s="13">
        <f>IF(A74="","",E74*D74*IF(AND(F74&gt;=Setup!$B$4,EDATE(Setup!$B$4,12)-F74&lt;180),0.5,1))</f>
        <v/>
      </c>
      <c r="L74" s="13">
        <f>IF(A74="","",K74-J74)</f>
        <v/>
      </c>
      <c r="M74" s="8" t="n"/>
    </row>
    <row r="75">
      <c r="A75" s="10" t="n"/>
      <c r="B75" s="10" t="n"/>
      <c r="C75" s="11" t="n"/>
      <c r="D75" s="9" t="n"/>
      <c r="E75" s="12" t="n"/>
      <c r="F75" s="8" t="n"/>
      <c r="G75" s="10" t="n"/>
      <c r="H75" s="13">
        <f>IF(A75="","",E75*(1-Setup!$B$5)/(C75*12))</f>
        <v/>
      </c>
      <c r="I75" s="14">
        <f>IF(A75="","",MAX(0,MIN(12,DATEDIF(MAX(F75,Setup!$B$4),EDATE(Setup!$B$4,12),"m"))))</f>
        <v/>
      </c>
      <c r="J75" s="13">
        <f>IF(A75="","",H75*I75)</f>
        <v/>
      </c>
      <c r="K75" s="13">
        <f>IF(A75="","",E75*D75*IF(AND(F75&gt;=Setup!$B$4,EDATE(Setup!$B$4,12)-F75&lt;180),0.5,1))</f>
        <v/>
      </c>
      <c r="L75" s="13">
        <f>IF(A75="","",K75-J75)</f>
        <v/>
      </c>
      <c r="M75" s="8" t="n"/>
    </row>
    <row r="76">
      <c r="A76" s="10" t="n"/>
      <c r="B76" s="10" t="n"/>
      <c r="C76" s="11" t="n"/>
      <c r="D76" s="9" t="n"/>
      <c r="E76" s="12" t="n"/>
      <c r="F76" s="8" t="n"/>
      <c r="G76" s="10" t="n"/>
      <c r="H76" s="13">
        <f>IF(A76="","",E76*(1-Setup!$B$5)/(C76*12))</f>
        <v/>
      </c>
      <c r="I76" s="14">
        <f>IF(A76="","",MAX(0,MIN(12,DATEDIF(MAX(F76,Setup!$B$4),EDATE(Setup!$B$4,12),"m"))))</f>
        <v/>
      </c>
      <c r="J76" s="13">
        <f>IF(A76="","",H76*I76)</f>
        <v/>
      </c>
      <c r="K76" s="13">
        <f>IF(A76="","",E76*D76*IF(AND(F76&gt;=Setup!$B$4,EDATE(Setup!$B$4,12)-F76&lt;180),0.5,1))</f>
        <v/>
      </c>
      <c r="L76" s="13">
        <f>IF(A76="","",K76-J76)</f>
        <v/>
      </c>
      <c r="M76" s="8" t="n"/>
    </row>
    <row r="77">
      <c r="A77" s="10" t="n"/>
      <c r="B77" s="10" t="n"/>
      <c r="C77" s="11" t="n"/>
      <c r="D77" s="9" t="n"/>
      <c r="E77" s="12" t="n"/>
      <c r="F77" s="8" t="n"/>
      <c r="G77" s="10" t="n"/>
      <c r="H77" s="13">
        <f>IF(A77="","",E77*(1-Setup!$B$5)/(C77*12))</f>
        <v/>
      </c>
      <c r="I77" s="14">
        <f>IF(A77="","",MAX(0,MIN(12,DATEDIF(MAX(F77,Setup!$B$4),EDATE(Setup!$B$4,12),"m"))))</f>
        <v/>
      </c>
      <c r="J77" s="13">
        <f>IF(A77="","",H77*I77)</f>
        <v/>
      </c>
      <c r="K77" s="13">
        <f>IF(A77="","",E77*D77*IF(AND(F77&gt;=Setup!$B$4,EDATE(Setup!$B$4,12)-F77&lt;180),0.5,1))</f>
        <v/>
      </c>
      <c r="L77" s="13">
        <f>IF(A77="","",K77-J77)</f>
        <v/>
      </c>
      <c r="M77" s="8" t="n"/>
    </row>
    <row r="78">
      <c r="A78" s="10" t="n"/>
      <c r="B78" s="10" t="n"/>
      <c r="C78" s="11" t="n"/>
      <c r="D78" s="9" t="n"/>
      <c r="E78" s="12" t="n"/>
      <c r="F78" s="8" t="n"/>
      <c r="G78" s="10" t="n"/>
      <c r="H78" s="13">
        <f>IF(A78="","",E78*(1-Setup!$B$5)/(C78*12))</f>
        <v/>
      </c>
      <c r="I78" s="14">
        <f>IF(A78="","",MAX(0,MIN(12,DATEDIF(MAX(F78,Setup!$B$4),EDATE(Setup!$B$4,12),"m"))))</f>
        <v/>
      </c>
      <c r="J78" s="13">
        <f>IF(A78="","",H78*I78)</f>
        <v/>
      </c>
      <c r="K78" s="13">
        <f>IF(A78="","",E78*D78*IF(AND(F78&gt;=Setup!$B$4,EDATE(Setup!$B$4,12)-F78&lt;180),0.5,1))</f>
        <v/>
      </c>
      <c r="L78" s="13">
        <f>IF(A78="","",K78-J78)</f>
        <v/>
      </c>
      <c r="M78" s="8" t="n"/>
    </row>
    <row r="79">
      <c r="A79" s="10" t="n"/>
      <c r="B79" s="10" t="n"/>
      <c r="C79" s="11" t="n"/>
      <c r="D79" s="9" t="n"/>
      <c r="E79" s="12" t="n"/>
      <c r="F79" s="8" t="n"/>
      <c r="G79" s="10" t="n"/>
      <c r="H79" s="13">
        <f>IF(A79="","",E79*(1-Setup!$B$5)/(C79*12))</f>
        <v/>
      </c>
      <c r="I79" s="14">
        <f>IF(A79="","",MAX(0,MIN(12,DATEDIF(MAX(F79,Setup!$B$4),EDATE(Setup!$B$4,12),"m"))))</f>
        <v/>
      </c>
      <c r="J79" s="13">
        <f>IF(A79="","",H79*I79)</f>
        <v/>
      </c>
      <c r="K79" s="13">
        <f>IF(A79="","",E79*D79*IF(AND(F79&gt;=Setup!$B$4,EDATE(Setup!$B$4,12)-F79&lt;180),0.5,1))</f>
        <v/>
      </c>
      <c r="L79" s="13">
        <f>IF(A79="","",K79-J79)</f>
        <v/>
      </c>
      <c r="M79" s="8" t="n"/>
    </row>
    <row r="80">
      <c r="A80" s="10" t="n"/>
      <c r="B80" s="10" t="n"/>
      <c r="C80" s="11" t="n"/>
      <c r="D80" s="9" t="n"/>
      <c r="E80" s="12" t="n"/>
      <c r="F80" s="8" t="n"/>
      <c r="G80" s="10" t="n"/>
      <c r="H80" s="13">
        <f>IF(A80="","",E80*(1-Setup!$B$5)/(C80*12))</f>
        <v/>
      </c>
      <c r="I80" s="14">
        <f>IF(A80="","",MAX(0,MIN(12,DATEDIF(MAX(F80,Setup!$B$4),EDATE(Setup!$B$4,12),"m"))))</f>
        <v/>
      </c>
      <c r="J80" s="13">
        <f>IF(A80="","",H80*I80)</f>
        <v/>
      </c>
      <c r="K80" s="13">
        <f>IF(A80="","",E80*D80*IF(AND(F80&gt;=Setup!$B$4,EDATE(Setup!$B$4,12)-F80&lt;180),0.5,1))</f>
        <v/>
      </c>
      <c r="L80" s="13">
        <f>IF(A80="","",K80-J80)</f>
        <v/>
      </c>
      <c r="M80" s="8" t="n"/>
    </row>
    <row r="81">
      <c r="A81" s="10" t="n"/>
      <c r="B81" s="10" t="n"/>
      <c r="C81" s="11" t="n"/>
      <c r="D81" s="9" t="n"/>
      <c r="E81" s="12" t="n"/>
      <c r="F81" s="8" t="n"/>
      <c r="G81" s="10" t="n"/>
      <c r="H81" s="13">
        <f>IF(A81="","",E81*(1-Setup!$B$5)/(C81*12))</f>
        <v/>
      </c>
      <c r="I81" s="14">
        <f>IF(A81="","",MAX(0,MIN(12,DATEDIF(MAX(F81,Setup!$B$4),EDATE(Setup!$B$4,12),"m"))))</f>
        <v/>
      </c>
      <c r="J81" s="13">
        <f>IF(A81="","",H81*I81)</f>
        <v/>
      </c>
      <c r="K81" s="13">
        <f>IF(A81="","",E81*D81*IF(AND(F81&gt;=Setup!$B$4,EDATE(Setup!$B$4,12)-F81&lt;180),0.5,1))</f>
        <v/>
      </c>
      <c r="L81" s="13">
        <f>IF(A81="","",K81-J81)</f>
        <v/>
      </c>
      <c r="M81" s="8" t="n"/>
    </row>
    <row r="82">
      <c r="A82" s="10" t="n"/>
      <c r="B82" s="10" t="n"/>
      <c r="C82" s="11" t="n"/>
      <c r="D82" s="9" t="n"/>
      <c r="E82" s="12" t="n"/>
      <c r="F82" s="8" t="n"/>
      <c r="G82" s="10" t="n"/>
      <c r="H82" s="13">
        <f>IF(A82="","",E82*(1-Setup!$B$5)/(C82*12))</f>
        <v/>
      </c>
      <c r="I82" s="14">
        <f>IF(A82="","",MAX(0,MIN(12,DATEDIF(MAX(F82,Setup!$B$4),EDATE(Setup!$B$4,12),"m"))))</f>
        <v/>
      </c>
      <c r="J82" s="13">
        <f>IF(A82="","",H82*I82)</f>
        <v/>
      </c>
      <c r="K82" s="13">
        <f>IF(A82="","",E82*D82*IF(AND(F82&gt;=Setup!$B$4,EDATE(Setup!$B$4,12)-F82&lt;180),0.5,1))</f>
        <v/>
      </c>
      <c r="L82" s="13">
        <f>IF(A82="","",K82-J82)</f>
        <v/>
      </c>
      <c r="M82" s="8" t="n"/>
    </row>
    <row r="83">
      <c r="A83" s="10" t="n"/>
      <c r="B83" s="10" t="n"/>
      <c r="C83" s="11" t="n"/>
      <c r="D83" s="9" t="n"/>
      <c r="E83" s="12" t="n"/>
      <c r="F83" s="8" t="n"/>
      <c r="G83" s="10" t="n"/>
      <c r="H83" s="13">
        <f>IF(A83="","",E83*(1-Setup!$B$5)/(C83*12))</f>
        <v/>
      </c>
      <c r="I83" s="14">
        <f>IF(A83="","",MAX(0,MIN(12,DATEDIF(MAX(F83,Setup!$B$4),EDATE(Setup!$B$4,12),"m"))))</f>
        <v/>
      </c>
      <c r="J83" s="13">
        <f>IF(A83="","",H83*I83)</f>
        <v/>
      </c>
      <c r="K83" s="13">
        <f>IF(A83="","",E83*D83*IF(AND(F83&gt;=Setup!$B$4,EDATE(Setup!$B$4,12)-F83&lt;180),0.5,1))</f>
        <v/>
      </c>
      <c r="L83" s="13">
        <f>IF(A83="","",K83-J83)</f>
        <v/>
      </c>
      <c r="M83" s="8" t="n"/>
    </row>
    <row r="84">
      <c r="A84" s="10" t="n"/>
      <c r="B84" s="10" t="n"/>
      <c r="C84" s="11" t="n"/>
      <c r="D84" s="9" t="n"/>
      <c r="E84" s="12" t="n"/>
      <c r="F84" s="8" t="n"/>
      <c r="G84" s="10" t="n"/>
      <c r="H84" s="13">
        <f>IF(A84="","",E84*(1-Setup!$B$5)/(C84*12))</f>
        <v/>
      </c>
      <c r="I84" s="14">
        <f>IF(A84="","",MAX(0,MIN(12,DATEDIF(MAX(F84,Setup!$B$4),EDATE(Setup!$B$4,12),"m"))))</f>
        <v/>
      </c>
      <c r="J84" s="13">
        <f>IF(A84="","",H84*I84)</f>
        <v/>
      </c>
      <c r="K84" s="13">
        <f>IF(A84="","",E84*D84*IF(AND(F84&gt;=Setup!$B$4,EDATE(Setup!$B$4,12)-F84&lt;180),0.5,1))</f>
        <v/>
      </c>
      <c r="L84" s="13">
        <f>IF(A84="","",K84-J84)</f>
        <v/>
      </c>
      <c r="M84" s="8" t="n"/>
    </row>
    <row r="85">
      <c r="A85" s="10" t="n"/>
      <c r="B85" s="10" t="n"/>
      <c r="C85" s="11" t="n"/>
      <c r="D85" s="9" t="n"/>
      <c r="E85" s="12" t="n"/>
      <c r="F85" s="8" t="n"/>
      <c r="G85" s="10" t="n"/>
      <c r="H85" s="13">
        <f>IF(A85="","",E85*(1-Setup!$B$5)/(C85*12))</f>
        <v/>
      </c>
      <c r="I85" s="14">
        <f>IF(A85="","",MAX(0,MIN(12,DATEDIF(MAX(F85,Setup!$B$4),EDATE(Setup!$B$4,12),"m"))))</f>
        <v/>
      </c>
      <c r="J85" s="13">
        <f>IF(A85="","",H85*I85)</f>
        <v/>
      </c>
      <c r="K85" s="13">
        <f>IF(A85="","",E85*D85*IF(AND(F85&gt;=Setup!$B$4,EDATE(Setup!$B$4,12)-F85&lt;180),0.5,1))</f>
        <v/>
      </c>
      <c r="L85" s="13">
        <f>IF(A85="","",K85-J85)</f>
        <v/>
      </c>
      <c r="M85" s="8" t="n"/>
    </row>
    <row r="86">
      <c r="A86" s="10" t="n"/>
      <c r="B86" s="10" t="n"/>
      <c r="C86" s="11" t="n"/>
      <c r="D86" s="9" t="n"/>
      <c r="E86" s="12" t="n"/>
      <c r="F86" s="8" t="n"/>
      <c r="G86" s="10" t="n"/>
      <c r="H86" s="13">
        <f>IF(A86="","",E86*(1-Setup!$B$5)/(C86*12))</f>
        <v/>
      </c>
      <c r="I86" s="14">
        <f>IF(A86="","",MAX(0,MIN(12,DATEDIF(MAX(F86,Setup!$B$4),EDATE(Setup!$B$4,12),"m"))))</f>
        <v/>
      </c>
      <c r="J86" s="13">
        <f>IF(A86="","",H86*I86)</f>
        <v/>
      </c>
      <c r="K86" s="13">
        <f>IF(A86="","",E86*D86*IF(AND(F86&gt;=Setup!$B$4,EDATE(Setup!$B$4,12)-F86&lt;180),0.5,1))</f>
        <v/>
      </c>
      <c r="L86" s="13">
        <f>IF(A86="","",K86-J86)</f>
        <v/>
      </c>
      <c r="M86" s="8" t="n"/>
    </row>
    <row r="87">
      <c r="A87" s="10" t="n"/>
      <c r="B87" s="10" t="n"/>
      <c r="C87" s="11" t="n"/>
      <c r="D87" s="9" t="n"/>
      <c r="E87" s="12" t="n"/>
      <c r="F87" s="8" t="n"/>
      <c r="G87" s="10" t="n"/>
      <c r="H87" s="13">
        <f>IF(A87="","",E87*(1-Setup!$B$5)/(C87*12))</f>
        <v/>
      </c>
      <c r="I87" s="14">
        <f>IF(A87="","",MAX(0,MIN(12,DATEDIF(MAX(F87,Setup!$B$4),EDATE(Setup!$B$4,12),"m"))))</f>
        <v/>
      </c>
      <c r="J87" s="13">
        <f>IF(A87="","",H87*I87)</f>
        <v/>
      </c>
      <c r="K87" s="13">
        <f>IF(A87="","",E87*D87*IF(AND(F87&gt;=Setup!$B$4,EDATE(Setup!$B$4,12)-F87&lt;180),0.5,1))</f>
        <v/>
      </c>
      <c r="L87" s="13">
        <f>IF(A87="","",K87-J87)</f>
        <v/>
      </c>
      <c r="M87" s="8" t="n"/>
    </row>
    <row r="88">
      <c r="A88" s="10" t="n"/>
      <c r="B88" s="10" t="n"/>
      <c r="C88" s="11" t="n"/>
      <c r="D88" s="9" t="n"/>
      <c r="E88" s="12" t="n"/>
      <c r="F88" s="8" t="n"/>
      <c r="G88" s="10" t="n"/>
      <c r="H88" s="13">
        <f>IF(A88="","",E88*(1-Setup!$B$5)/(C88*12))</f>
        <v/>
      </c>
      <c r="I88" s="14">
        <f>IF(A88="","",MAX(0,MIN(12,DATEDIF(MAX(F88,Setup!$B$4),EDATE(Setup!$B$4,12),"m"))))</f>
        <v/>
      </c>
      <c r="J88" s="13">
        <f>IF(A88="","",H88*I88)</f>
        <v/>
      </c>
      <c r="K88" s="13">
        <f>IF(A88="","",E88*D88*IF(AND(F88&gt;=Setup!$B$4,EDATE(Setup!$B$4,12)-F88&lt;180),0.5,1))</f>
        <v/>
      </c>
      <c r="L88" s="13">
        <f>IF(A88="","",K88-J88)</f>
        <v/>
      </c>
      <c r="M88" s="8" t="n"/>
    </row>
    <row r="89">
      <c r="A89" s="10" t="n"/>
      <c r="B89" s="10" t="n"/>
      <c r="C89" s="11" t="n"/>
      <c r="D89" s="9" t="n"/>
      <c r="E89" s="12" t="n"/>
      <c r="F89" s="8" t="n"/>
      <c r="G89" s="10" t="n"/>
      <c r="H89" s="13">
        <f>IF(A89="","",E89*(1-Setup!$B$5)/(C89*12))</f>
        <v/>
      </c>
      <c r="I89" s="14">
        <f>IF(A89="","",MAX(0,MIN(12,DATEDIF(MAX(F89,Setup!$B$4),EDATE(Setup!$B$4,12),"m"))))</f>
        <v/>
      </c>
      <c r="J89" s="13">
        <f>IF(A89="","",H89*I89)</f>
        <v/>
      </c>
      <c r="K89" s="13">
        <f>IF(A89="","",E89*D89*IF(AND(F89&gt;=Setup!$B$4,EDATE(Setup!$B$4,12)-F89&lt;180),0.5,1))</f>
        <v/>
      </c>
      <c r="L89" s="13">
        <f>IF(A89="","",K89-J89)</f>
        <v/>
      </c>
      <c r="M89" s="8" t="n"/>
    </row>
    <row r="90">
      <c r="A90" s="10" t="n"/>
      <c r="B90" s="10" t="n"/>
      <c r="C90" s="11" t="n"/>
      <c r="D90" s="9" t="n"/>
      <c r="E90" s="12" t="n"/>
      <c r="F90" s="8" t="n"/>
      <c r="G90" s="10" t="n"/>
      <c r="H90" s="13">
        <f>IF(A90="","",E90*(1-Setup!$B$5)/(C90*12))</f>
        <v/>
      </c>
      <c r="I90" s="14">
        <f>IF(A90="","",MAX(0,MIN(12,DATEDIF(MAX(F90,Setup!$B$4),EDATE(Setup!$B$4,12),"m"))))</f>
        <v/>
      </c>
      <c r="J90" s="13">
        <f>IF(A90="","",H90*I90)</f>
        <v/>
      </c>
      <c r="K90" s="13">
        <f>IF(A90="","",E90*D90*IF(AND(F90&gt;=Setup!$B$4,EDATE(Setup!$B$4,12)-F90&lt;180),0.5,1))</f>
        <v/>
      </c>
      <c r="L90" s="13">
        <f>IF(A90="","",K90-J90)</f>
        <v/>
      </c>
      <c r="M90" s="8" t="n"/>
    </row>
    <row r="91">
      <c r="A91" s="10" t="n"/>
      <c r="B91" s="10" t="n"/>
      <c r="C91" s="11" t="n"/>
      <c r="D91" s="9" t="n"/>
      <c r="E91" s="12" t="n"/>
      <c r="F91" s="8" t="n"/>
      <c r="G91" s="10" t="n"/>
      <c r="H91" s="13">
        <f>IF(A91="","",E91*(1-Setup!$B$5)/(C91*12))</f>
        <v/>
      </c>
      <c r="I91" s="14">
        <f>IF(A91="","",MAX(0,MIN(12,DATEDIF(MAX(F91,Setup!$B$4),EDATE(Setup!$B$4,12),"m"))))</f>
        <v/>
      </c>
      <c r="J91" s="13">
        <f>IF(A91="","",H91*I91)</f>
        <v/>
      </c>
      <c r="K91" s="13">
        <f>IF(A91="","",E91*D91*IF(AND(F91&gt;=Setup!$B$4,EDATE(Setup!$B$4,12)-F91&lt;180),0.5,1))</f>
        <v/>
      </c>
      <c r="L91" s="13">
        <f>IF(A91="","",K91-J91)</f>
        <v/>
      </c>
      <c r="M91" s="8" t="n"/>
    </row>
    <row r="92">
      <c r="A92" s="10" t="n"/>
      <c r="B92" s="10" t="n"/>
      <c r="C92" s="11" t="n"/>
      <c r="D92" s="9" t="n"/>
      <c r="E92" s="12" t="n"/>
      <c r="F92" s="8" t="n"/>
      <c r="G92" s="10" t="n"/>
      <c r="H92" s="13">
        <f>IF(A92="","",E92*(1-Setup!$B$5)/(C92*12))</f>
        <v/>
      </c>
      <c r="I92" s="14">
        <f>IF(A92="","",MAX(0,MIN(12,DATEDIF(MAX(F92,Setup!$B$4),EDATE(Setup!$B$4,12),"m"))))</f>
        <v/>
      </c>
      <c r="J92" s="13">
        <f>IF(A92="","",H92*I92)</f>
        <v/>
      </c>
      <c r="K92" s="13">
        <f>IF(A92="","",E92*D92*IF(AND(F92&gt;=Setup!$B$4,EDATE(Setup!$B$4,12)-F92&lt;180),0.5,1))</f>
        <v/>
      </c>
      <c r="L92" s="13">
        <f>IF(A92="","",K92-J92)</f>
        <v/>
      </c>
      <c r="M92" s="8" t="n"/>
    </row>
    <row r="93">
      <c r="A93" s="10" t="n"/>
      <c r="B93" s="10" t="n"/>
      <c r="C93" s="11" t="n"/>
      <c r="D93" s="9" t="n"/>
      <c r="E93" s="12" t="n"/>
      <c r="F93" s="8" t="n"/>
      <c r="G93" s="10" t="n"/>
      <c r="H93" s="13">
        <f>IF(A93="","",E93*(1-Setup!$B$5)/(C93*12))</f>
        <v/>
      </c>
      <c r="I93" s="14">
        <f>IF(A93="","",MAX(0,MIN(12,DATEDIF(MAX(F93,Setup!$B$4),EDATE(Setup!$B$4,12),"m"))))</f>
        <v/>
      </c>
      <c r="J93" s="13">
        <f>IF(A93="","",H93*I93)</f>
        <v/>
      </c>
      <c r="K93" s="13">
        <f>IF(A93="","",E93*D93*IF(AND(F93&gt;=Setup!$B$4,EDATE(Setup!$B$4,12)-F93&lt;180),0.5,1))</f>
        <v/>
      </c>
      <c r="L93" s="13">
        <f>IF(A93="","",K93-J93)</f>
        <v/>
      </c>
      <c r="M93" s="8" t="n"/>
    </row>
    <row r="94">
      <c r="A94" s="10" t="n"/>
      <c r="B94" s="10" t="n"/>
      <c r="C94" s="11" t="n"/>
      <c r="D94" s="9" t="n"/>
      <c r="E94" s="12" t="n"/>
      <c r="F94" s="8" t="n"/>
      <c r="G94" s="10" t="n"/>
      <c r="H94" s="13">
        <f>IF(A94="","",E94*(1-Setup!$B$5)/(C94*12))</f>
        <v/>
      </c>
      <c r="I94" s="14">
        <f>IF(A94="","",MAX(0,MIN(12,DATEDIF(MAX(F94,Setup!$B$4),EDATE(Setup!$B$4,12),"m"))))</f>
        <v/>
      </c>
      <c r="J94" s="13">
        <f>IF(A94="","",H94*I94)</f>
        <v/>
      </c>
      <c r="K94" s="13">
        <f>IF(A94="","",E94*D94*IF(AND(F94&gt;=Setup!$B$4,EDATE(Setup!$B$4,12)-F94&lt;180),0.5,1))</f>
        <v/>
      </c>
      <c r="L94" s="13">
        <f>IF(A94="","",K94-J94)</f>
        <v/>
      </c>
      <c r="M94" s="8" t="n"/>
    </row>
    <row r="95">
      <c r="A95" s="10" t="n"/>
      <c r="B95" s="10" t="n"/>
      <c r="C95" s="11" t="n"/>
      <c r="D95" s="9" t="n"/>
      <c r="E95" s="12" t="n"/>
      <c r="F95" s="8" t="n"/>
      <c r="G95" s="10" t="n"/>
      <c r="H95" s="13">
        <f>IF(A95="","",E95*(1-Setup!$B$5)/(C95*12))</f>
        <v/>
      </c>
      <c r="I95" s="14">
        <f>IF(A95="","",MAX(0,MIN(12,DATEDIF(MAX(F95,Setup!$B$4),EDATE(Setup!$B$4,12),"m"))))</f>
        <v/>
      </c>
      <c r="J95" s="13">
        <f>IF(A95="","",H95*I95)</f>
        <v/>
      </c>
      <c r="K95" s="13">
        <f>IF(A95="","",E95*D95*IF(AND(F95&gt;=Setup!$B$4,EDATE(Setup!$B$4,12)-F95&lt;180),0.5,1))</f>
        <v/>
      </c>
      <c r="L95" s="13">
        <f>IF(A95="","",K95-J95)</f>
        <v/>
      </c>
      <c r="M95" s="8" t="n"/>
    </row>
    <row r="96">
      <c r="A96" s="10" t="n"/>
      <c r="B96" s="10" t="n"/>
      <c r="C96" s="11" t="n"/>
      <c r="D96" s="9" t="n"/>
      <c r="E96" s="12" t="n"/>
      <c r="F96" s="8" t="n"/>
      <c r="G96" s="10" t="n"/>
      <c r="H96" s="13">
        <f>IF(A96="","",E96*(1-Setup!$B$5)/(C96*12))</f>
        <v/>
      </c>
      <c r="I96" s="14">
        <f>IF(A96="","",MAX(0,MIN(12,DATEDIF(MAX(F96,Setup!$B$4),EDATE(Setup!$B$4,12),"m"))))</f>
        <v/>
      </c>
      <c r="J96" s="13">
        <f>IF(A96="","",H96*I96)</f>
        <v/>
      </c>
      <c r="K96" s="13">
        <f>IF(A96="","",E96*D96*IF(AND(F96&gt;=Setup!$B$4,EDATE(Setup!$B$4,12)-F96&lt;180),0.5,1))</f>
        <v/>
      </c>
      <c r="L96" s="13">
        <f>IF(A96="","",K96-J96)</f>
        <v/>
      </c>
      <c r="M96" s="8" t="n"/>
    </row>
    <row r="97">
      <c r="A97" s="10" t="n"/>
      <c r="B97" s="10" t="n"/>
      <c r="C97" s="11" t="n"/>
      <c r="D97" s="9" t="n"/>
      <c r="E97" s="12" t="n"/>
      <c r="F97" s="8" t="n"/>
      <c r="G97" s="10" t="n"/>
      <c r="H97" s="13">
        <f>IF(A97="","",E97*(1-Setup!$B$5)/(C97*12))</f>
        <v/>
      </c>
      <c r="I97" s="14">
        <f>IF(A97="","",MAX(0,MIN(12,DATEDIF(MAX(F97,Setup!$B$4),EDATE(Setup!$B$4,12),"m"))))</f>
        <v/>
      </c>
      <c r="J97" s="13">
        <f>IF(A97="","",H97*I97)</f>
        <v/>
      </c>
      <c r="K97" s="13">
        <f>IF(A97="","",E97*D97*IF(AND(F97&gt;=Setup!$B$4,EDATE(Setup!$B$4,12)-F97&lt;180),0.5,1))</f>
        <v/>
      </c>
      <c r="L97" s="13">
        <f>IF(A97="","",K97-J97)</f>
        <v/>
      </c>
      <c r="M97" s="8" t="n"/>
    </row>
    <row r="98">
      <c r="A98" s="10" t="n"/>
      <c r="B98" s="10" t="n"/>
      <c r="C98" s="11" t="n"/>
      <c r="D98" s="9" t="n"/>
      <c r="E98" s="12" t="n"/>
      <c r="F98" s="8" t="n"/>
      <c r="G98" s="10" t="n"/>
      <c r="H98" s="13">
        <f>IF(A98="","",E98*(1-Setup!$B$5)/(C98*12))</f>
        <v/>
      </c>
      <c r="I98" s="14">
        <f>IF(A98="","",MAX(0,MIN(12,DATEDIF(MAX(F98,Setup!$B$4),EDATE(Setup!$B$4,12),"m"))))</f>
        <v/>
      </c>
      <c r="J98" s="13">
        <f>IF(A98="","",H98*I98)</f>
        <v/>
      </c>
      <c r="K98" s="13">
        <f>IF(A98="","",E98*D98*IF(AND(F98&gt;=Setup!$B$4,EDATE(Setup!$B$4,12)-F98&lt;180),0.5,1))</f>
        <v/>
      </c>
      <c r="L98" s="13">
        <f>IF(A98="","",K98-J98)</f>
        <v/>
      </c>
      <c r="M98" s="8" t="n"/>
    </row>
    <row r="99">
      <c r="A99" s="10" t="n"/>
      <c r="B99" s="10" t="n"/>
      <c r="C99" s="11" t="n"/>
      <c r="D99" s="9" t="n"/>
      <c r="E99" s="12" t="n"/>
      <c r="F99" s="8" t="n"/>
      <c r="G99" s="10" t="n"/>
      <c r="H99" s="13">
        <f>IF(A99="","",E99*(1-Setup!$B$5)/(C99*12))</f>
        <v/>
      </c>
      <c r="I99" s="14">
        <f>IF(A99="","",MAX(0,MIN(12,DATEDIF(MAX(F99,Setup!$B$4),EDATE(Setup!$B$4,12),"m"))))</f>
        <v/>
      </c>
      <c r="J99" s="13">
        <f>IF(A99="","",H99*I99)</f>
        <v/>
      </c>
      <c r="K99" s="13">
        <f>IF(A99="","",E99*D99*IF(AND(F99&gt;=Setup!$B$4,EDATE(Setup!$B$4,12)-F99&lt;180),0.5,1))</f>
        <v/>
      </c>
      <c r="L99" s="13">
        <f>IF(A99="","",K99-J99)</f>
        <v/>
      </c>
      <c r="M99" s="8" t="n"/>
    </row>
    <row r="100">
      <c r="A100" s="10" t="n"/>
      <c r="B100" s="10" t="n"/>
      <c r="C100" s="11" t="n"/>
      <c r="D100" s="9" t="n"/>
      <c r="E100" s="12" t="n"/>
      <c r="F100" s="8" t="n"/>
      <c r="G100" s="10" t="n"/>
      <c r="H100" s="13">
        <f>IF(A100="","",E100*(1-Setup!$B$5)/(C100*12))</f>
        <v/>
      </c>
      <c r="I100" s="14">
        <f>IF(A100="","",MAX(0,MIN(12,DATEDIF(MAX(F100,Setup!$B$4),EDATE(Setup!$B$4,12),"m"))))</f>
        <v/>
      </c>
      <c r="J100" s="13">
        <f>IF(A100="","",H100*I100)</f>
        <v/>
      </c>
      <c r="K100" s="13">
        <f>IF(A100="","",E100*D100*IF(AND(F100&gt;=Setup!$B$4,EDATE(Setup!$B$4,12)-F100&lt;180),0.5,1))</f>
        <v/>
      </c>
      <c r="L100" s="13">
        <f>IF(A100="","",K100-J100)</f>
        <v/>
      </c>
      <c r="M100" s="8" t="n"/>
    </row>
    <row r="101">
      <c r="A101" s="10" t="n"/>
      <c r="B101" s="10" t="n"/>
      <c r="C101" s="11" t="n"/>
      <c r="D101" s="9" t="n"/>
      <c r="E101" s="12" t="n"/>
      <c r="F101" s="8" t="n"/>
      <c r="G101" s="10" t="n"/>
      <c r="H101" s="13">
        <f>IF(A101="","",E101*(1-Setup!$B$5)/(C101*12))</f>
        <v/>
      </c>
      <c r="I101" s="14">
        <f>IF(A101="","",MAX(0,MIN(12,DATEDIF(MAX(F101,Setup!$B$4),EDATE(Setup!$B$4,12),"m"))))</f>
        <v/>
      </c>
      <c r="J101" s="13">
        <f>IF(A101="","",H101*I101)</f>
        <v/>
      </c>
      <c r="K101" s="13">
        <f>IF(A101="","",E101*D101*IF(AND(F101&gt;=Setup!$B$4,EDATE(Setup!$B$4,12)-F101&lt;180),0.5,1))</f>
        <v/>
      </c>
      <c r="L101" s="13">
        <f>IF(A101="","",K101-J101)</f>
        <v/>
      </c>
      <c r="M101" s="8" t="n"/>
    </row>
    <row r="102">
      <c r="A102" s="10" t="n"/>
      <c r="B102" s="10" t="n"/>
      <c r="C102" s="11" t="n"/>
      <c r="D102" s="9" t="n"/>
      <c r="E102" s="12" t="n"/>
      <c r="F102" s="8" t="n"/>
      <c r="G102" s="10" t="n"/>
      <c r="H102" s="13">
        <f>IF(A102="","",E102*(1-Setup!$B$5)/(C102*12))</f>
        <v/>
      </c>
      <c r="I102" s="14">
        <f>IF(A102="","",MAX(0,MIN(12,DATEDIF(MAX(F102,Setup!$B$4),EDATE(Setup!$B$4,12),"m"))))</f>
        <v/>
      </c>
      <c r="J102" s="13">
        <f>IF(A102="","",H102*I102)</f>
        <v/>
      </c>
      <c r="K102" s="13">
        <f>IF(A102="","",E102*D102*IF(AND(F102&gt;=Setup!$B$4,EDATE(Setup!$B$4,12)-F102&lt;180),0.5,1))</f>
        <v/>
      </c>
      <c r="L102" s="13">
        <f>IF(A102="","",K102-J102)</f>
        <v/>
      </c>
      <c r="M102" s="8" t="n"/>
    </row>
    <row r="103">
      <c r="A103" s="10" t="n"/>
      <c r="B103" s="10" t="n"/>
      <c r="C103" s="11" t="n"/>
      <c r="D103" s="9" t="n"/>
      <c r="E103" s="12" t="n"/>
      <c r="F103" s="8" t="n"/>
      <c r="G103" s="10" t="n"/>
      <c r="H103" s="13">
        <f>IF(A103="","",E103*(1-Setup!$B$5)/(C103*12))</f>
        <v/>
      </c>
      <c r="I103" s="14">
        <f>IF(A103="","",MAX(0,MIN(12,DATEDIF(MAX(F103,Setup!$B$4),EDATE(Setup!$B$4,12),"m"))))</f>
        <v/>
      </c>
      <c r="J103" s="13">
        <f>IF(A103="","",H103*I103)</f>
        <v/>
      </c>
      <c r="K103" s="13">
        <f>IF(A103="","",E103*D103*IF(AND(F103&gt;=Setup!$B$4,EDATE(Setup!$B$4,12)-F103&lt;180),0.5,1))</f>
        <v/>
      </c>
      <c r="L103" s="13">
        <f>IF(A103="","",K103-J103)</f>
        <v/>
      </c>
      <c r="M103" s="8" t="n"/>
    </row>
    <row r="104">
      <c r="A104" s="10" t="n"/>
      <c r="B104" s="10" t="n"/>
      <c r="C104" s="11" t="n"/>
      <c r="D104" s="9" t="n"/>
      <c r="E104" s="12" t="n"/>
      <c r="F104" s="8" t="n"/>
      <c r="G104" s="10" t="n"/>
      <c r="H104" s="13">
        <f>IF(A104="","",E104*(1-Setup!$B$5)/(C104*12))</f>
        <v/>
      </c>
      <c r="I104" s="14">
        <f>IF(A104="","",MAX(0,MIN(12,DATEDIF(MAX(F104,Setup!$B$4),EDATE(Setup!$B$4,12),"m"))))</f>
        <v/>
      </c>
      <c r="J104" s="13">
        <f>IF(A104="","",H104*I104)</f>
        <v/>
      </c>
      <c r="K104" s="13">
        <f>IF(A104="","",E104*D104*IF(AND(F104&gt;=Setup!$B$4,EDATE(Setup!$B$4,12)-F104&lt;180),0.5,1))</f>
        <v/>
      </c>
      <c r="L104" s="13">
        <f>IF(A104="","",K104-J104)</f>
        <v/>
      </c>
      <c r="M104" s="8" t="n"/>
    </row>
    <row r="105">
      <c r="A105" s="10" t="n"/>
      <c r="B105" s="10" t="n"/>
      <c r="C105" s="11" t="n"/>
      <c r="D105" s="9" t="n"/>
      <c r="E105" s="12" t="n"/>
      <c r="F105" s="8" t="n"/>
      <c r="G105" s="10" t="n"/>
      <c r="H105" s="13">
        <f>IF(A105="","",E105*(1-Setup!$B$5)/(C105*12))</f>
        <v/>
      </c>
      <c r="I105" s="14">
        <f>IF(A105="","",MAX(0,MIN(12,DATEDIF(MAX(F105,Setup!$B$4),EDATE(Setup!$B$4,12),"m"))))</f>
        <v/>
      </c>
      <c r="J105" s="13">
        <f>IF(A105="","",H105*I105)</f>
        <v/>
      </c>
      <c r="K105" s="13">
        <f>IF(A105="","",E105*D105*IF(AND(F105&gt;=Setup!$B$4,EDATE(Setup!$B$4,12)-F105&lt;180),0.5,1))</f>
        <v/>
      </c>
      <c r="L105" s="13">
        <f>IF(A105="","",K105-J105)</f>
        <v/>
      </c>
      <c r="M105" s="8" t="n"/>
    </row>
    <row r="106">
      <c r="A106" s="10" t="n"/>
      <c r="B106" s="10" t="n"/>
      <c r="C106" s="11" t="n"/>
      <c r="D106" s="9" t="n"/>
      <c r="E106" s="12" t="n"/>
      <c r="F106" s="8" t="n"/>
      <c r="G106" s="10" t="n"/>
      <c r="H106" s="13">
        <f>IF(A106="","",E106*(1-Setup!$B$5)/(C106*12))</f>
        <v/>
      </c>
      <c r="I106" s="14">
        <f>IF(A106="","",MAX(0,MIN(12,DATEDIF(MAX(F106,Setup!$B$4),EDATE(Setup!$B$4,12),"m"))))</f>
        <v/>
      </c>
      <c r="J106" s="13">
        <f>IF(A106="","",H106*I106)</f>
        <v/>
      </c>
      <c r="K106" s="13">
        <f>IF(A106="","",E106*D106*IF(AND(F106&gt;=Setup!$B$4,EDATE(Setup!$B$4,12)-F106&lt;180),0.5,1))</f>
        <v/>
      </c>
      <c r="L106" s="13">
        <f>IF(A106="","",K106-J106)</f>
        <v/>
      </c>
      <c r="M106" s="8" t="n"/>
    </row>
    <row r="107">
      <c r="A107" s="10" t="n"/>
      <c r="B107" s="10" t="n"/>
      <c r="C107" s="11" t="n"/>
      <c r="D107" s="9" t="n"/>
      <c r="E107" s="12" t="n"/>
      <c r="F107" s="8" t="n"/>
      <c r="G107" s="10" t="n"/>
      <c r="H107" s="13">
        <f>IF(A107="","",E107*(1-Setup!$B$5)/(C107*12))</f>
        <v/>
      </c>
      <c r="I107" s="14">
        <f>IF(A107="","",MAX(0,MIN(12,DATEDIF(MAX(F107,Setup!$B$4),EDATE(Setup!$B$4,12),"m"))))</f>
        <v/>
      </c>
      <c r="J107" s="13">
        <f>IF(A107="","",H107*I107)</f>
        <v/>
      </c>
      <c r="K107" s="13">
        <f>IF(A107="","",E107*D107*IF(AND(F107&gt;=Setup!$B$4,EDATE(Setup!$B$4,12)-F107&lt;180),0.5,1))</f>
        <v/>
      </c>
      <c r="L107" s="13">
        <f>IF(A107="","",K107-J107)</f>
        <v/>
      </c>
      <c r="M107" s="8" t="n"/>
    </row>
    <row r="108">
      <c r="A108" s="10" t="n"/>
      <c r="B108" s="10" t="n"/>
      <c r="C108" s="11" t="n"/>
      <c r="D108" s="9" t="n"/>
      <c r="E108" s="12" t="n"/>
      <c r="F108" s="8" t="n"/>
      <c r="G108" s="10" t="n"/>
      <c r="H108" s="13">
        <f>IF(A108="","",E108*(1-Setup!$B$5)/(C108*12))</f>
        <v/>
      </c>
      <c r="I108" s="14">
        <f>IF(A108="","",MAX(0,MIN(12,DATEDIF(MAX(F108,Setup!$B$4),EDATE(Setup!$B$4,12),"m"))))</f>
        <v/>
      </c>
      <c r="J108" s="13">
        <f>IF(A108="","",H108*I108)</f>
        <v/>
      </c>
      <c r="K108" s="13">
        <f>IF(A108="","",E108*D108*IF(AND(F108&gt;=Setup!$B$4,EDATE(Setup!$B$4,12)-F108&lt;180),0.5,1))</f>
        <v/>
      </c>
      <c r="L108" s="13">
        <f>IF(A108="","",K108-J108)</f>
        <v/>
      </c>
      <c r="M108" s="8" t="n"/>
    </row>
    <row r="109">
      <c r="A109" s="10" t="n"/>
      <c r="B109" s="10" t="n"/>
      <c r="C109" s="11" t="n"/>
      <c r="D109" s="9" t="n"/>
      <c r="E109" s="12" t="n"/>
      <c r="F109" s="8" t="n"/>
      <c r="G109" s="10" t="n"/>
      <c r="H109" s="13">
        <f>IF(A109="","",E109*(1-Setup!$B$5)/(C109*12))</f>
        <v/>
      </c>
      <c r="I109" s="14">
        <f>IF(A109="","",MAX(0,MIN(12,DATEDIF(MAX(F109,Setup!$B$4),EDATE(Setup!$B$4,12),"m"))))</f>
        <v/>
      </c>
      <c r="J109" s="13">
        <f>IF(A109="","",H109*I109)</f>
        <v/>
      </c>
      <c r="K109" s="13">
        <f>IF(A109="","",E109*D109*IF(AND(F109&gt;=Setup!$B$4,EDATE(Setup!$B$4,12)-F109&lt;180),0.5,1))</f>
        <v/>
      </c>
      <c r="L109" s="13">
        <f>IF(A109="","",K109-J109)</f>
        <v/>
      </c>
      <c r="M109" s="8" t="n"/>
    </row>
    <row r="110">
      <c r="A110" s="10" t="n"/>
      <c r="B110" s="10" t="n"/>
      <c r="C110" s="11" t="n"/>
      <c r="D110" s="9" t="n"/>
      <c r="E110" s="12" t="n"/>
      <c r="F110" s="8" t="n"/>
      <c r="G110" s="10" t="n"/>
      <c r="H110" s="13">
        <f>IF(A110="","",E110*(1-Setup!$B$5)/(C110*12))</f>
        <v/>
      </c>
      <c r="I110" s="14">
        <f>IF(A110="","",MAX(0,MIN(12,DATEDIF(MAX(F110,Setup!$B$4),EDATE(Setup!$B$4,12),"m"))))</f>
        <v/>
      </c>
      <c r="J110" s="13">
        <f>IF(A110="","",H110*I110)</f>
        <v/>
      </c>
      <c r="K110" s="13">
        <f>IF(A110="","",E110*D110*IF(AND(F110&gt;=Setup!$B$4,EDATE(Setup!$B$4,12)-F110&lt;180),0.5,1))</f>
        <v/>
      </c>
      <c r="L110" s="13">
        <f>IF(A110="","",K110-J110)</f>
        <v/>
      </c>
      <c r="M110" s="8" t="n"/>
    </row>
    <row r="111">
      <c r="A111" s="10" t="n"/>
      <c r="B111" s="10" t="n"/>
      <c r="C111" s="11" t="n"/>
      <c r="D111" s="9" t="n"/>
      <c r="E111" s="12" t="n"/>
      <c r="F111" s="8" t="n"/>
      <c r="G111" s="10" t="n"/>
      <c r="H111" s="13">
        <f>IF(A111="","",E111*(1-Setup!$B$5)/(C111*12))</f>
        <v/>
      </c>
      <c r="I111" s="14">
        <f>IF(A111="","",MAX(0,MIN(12,DATEDIF(MAX(F111,Setup!$B$4),EDATE(Setup!$B$4,12),"m"))))</f>
        <v/>
      </c>
      <c r="J111" s="13">
        <f>IF(A111="","",H111*I111)</f>
        <v/>
      </c>
      <c r="K111" s="13">
        <f>IF(A111="","",E111*D111*IF(AND(F111&gt;=Setup!$B$4,EDATE(Setup!$B$4,12)-F111&lt;180),0.5,1))</f>
        <v/>
      </c>
      <c r="L111" s="13">
        <f>IF(A111="","",K111-J111)</f>
        <v/>
      </c>
      <c r="M111" s="8" t="n"/>
    </row>
    <row r="112">
      <c r="A112" s="10" t="n"/>
      <c r="B112" s="10" t="n"/>
      <c r="C112" s="11" t="n"/>
      <c r="D112" s="9" t="n"/>
      <c r="E112" s="12" t="n"/>
      <c r="F112" s="8" t="n"/>
      <c r="G112" s="10" t="n"/>
      <c r="H112" s="13">
        <f>IF(A112="","",E112*(1-Setup!$B$5)/(C112*12))</f>
        <v/>
      </c>
      <c r="I112" s="14">
        <f>IF(A112="","",MAX(0,MIN(12,DATEDIF(MAX(F112,Setup!$B$4),EDATE(Setup!$B$4,12),"m"))))</f>
        <v/>
      </c>
      <c r="J112" s="13">
        <f>IF(A112="","",H112*I112)</f>
        <v/>
      </c>
      <c r="K112" s="13">
        <f>IF(A112="","",E112*D112*IF(AND(F112&gt;=Setup!$B$4,EDATE(Setup!$B$4,12)-F112&lt;180),0.5,1))</f>
        <v/>
      </c>
      <c r="L112" s="13">
        <f>IF(A112="","",K112-J112)</f>
        <v/>
      </c>
      <c r="M112" s="8" t="n"/>
    </row>
    <row r="113">
      <c r="A113" s="10" t="n"/>
      <c r="B113" s="10" t="n"/>
      <c r="C113" s="11" t="n"/>
      <c r="D113" s="9" t="n"/>
      <c r="E113" s="12" t="n"/>
      <c r="F113" s="8" t="n"/>
      <c r="G113" s="10" t="n"/>
      <c r="H113" s="13">
        <f>IF(A113="","",E113*(1-Setup!$B$5)/(C113*12))</f>
        <v/>
      </c>
      <c r="I113" s="14">
        <f>IF(A113="","",MAX(0,MIN(12,DATEDIF(MAX(F113,Setup!$B$4),EDATE(Setup!$B$4,12),"m"))))</f>
        <v/>
      </c>
      <c r="J113" s="13">
        <f>IF(A113="","",H113*I113)</f>
        <v/>
      </c>
      <c r="K113" s="13">
        <f>IF(A113="","",E113*D113*IF(AND(F113&gt;=Setup!$B$4,EDATE(Setup!$B$4,12)-F113&lt;180),0.5,1))</f>
        <v/>
      </c>
      <c r="L113" s="13">
        <f>IF(A113="","",K113-J113)</f>
        <v/>
      </c>
      <c r="M113" s="8" t="n"/>
    </row>
    <row r="114">
      <c r="A114" s="10" t="n"/>
      <c r="B114" s="10" t="n"/>
      <c r="C114" s="11" t="n"/>
      <c r="D114" s="9" t="n"/>
      <c r="E114" s="12" t="n"/>
      <c r="F114" s="8" t="n"/>
      <c r="G114" s="10" t="n"/>
      <c r="H114" s="13">
        <f>IF(A114="","",E114*(1-Setup!$B$5)/(C114*12))</f>
        <v/>
      </c>
      <c r="I114" s="14">
        <f>IF(A114="","",MAX(0,MIN(12,DATEDIF(MAX(F114,Setup!$B$4),EDATE(Setup!$B$4,12),"m"))))</f>
        <v/>
      </c>
      <c r="J114" s="13">
        <f>IF(A114="","",H114*I114)</f>
        <v/>
      </c>
      <c r="K114" s="13">
        <f>IF(A114="","",E114*D114*IF(AND(F114&gt;=Setup!$B$4,EDATE(Setup!$B$4,12)-F114&lt;180),0.5,1))</f>
        <v/>
      </c>
      <c r="L114" s="13">
        <f>IF(A114="","",K114-J114)</f>
        <v/>
      </c>
      <c r="M114" s="8" t="n"/>
    </row>
    <row r="115">
      <c r="A115" s="10" t="n"/>
      <c r="B115" s="10" t="n"/>
      <c r="C115" s="11" t="n"/>
      <c r="D115" s="9" t="n"/>
      <c r="E115" s="12" t="n"/>
      <c r="F115" s="8" t="n"/>
      <c r="G115" s="10" t="n"/>
      <c r="H115" s="13">
        <f>IF(A115="","",E115*(1-Setup!$B$5)/(C115*12))</f>
        <v/>
      </c>
      <c r="I115" s="14">
        <f>IF(A115="","",MAX(0,MIN(12,DATEDIF(MAX(F115,Setup!$B$4),EDATE(Setup!$B$4,12),"m"))))</f>
        <v/>
      </c>
      <c r="J115" s="13">
        <f>IF(A115="","",H115*I115)</f>
        <v/>
      </c>
      <c r="K115" s="13">
        <f>IF(A115="","",E115*D115*IF(AND(F115&gt;=Setup!$B$4,EDATE(Setup!$B$4,12)-F115&lt;180),0.5,1))</f>
        <v/>
      </c>
      <c r="L115" s="13">
        <f>IF(A115="","",K115-J115)</f>
        <v/>
      </c>
      <c r="M115" s="8" t="n"/>
    </row>
    <row r="116">
      <c r="A116" s="10" t="n"/>
      <c r="B116" s="10" t="n"/>
      <c r="C116" s="11" t="n"/>
      <c r="D116" s="9" t="n"/>
      <c r="E116" s="12" t="n"/>
      <c r="F116" s="8" t="n"/>
      <c r="G116" s="10" t="n"/>
      <c r="H116" s="13">
        <f>IF(A116="","",E116*(1-Setup!$B$5)/(C116*12))</f>
        <v/>
      </c>
      <c r="I116" s="14">
        <f>IF(A116="","",MAX(0,MIN(12,DATEDIF(MAX(F116,Setup!$B$4),EDATE(Setup!$B$4,12),"m"))))</f>
        <v/>
      </c>
      <c r="J116" s="13">
        <f>IF(A116="","",H116*I116)</f>
        <v/>
      </c>
      <c r="K116" s="13">
        <f>IF(A116="","",E116*D116*IF(AND(F116&gt;=Setup!$B$4,EDATE(Setup!$B$4,12)-F116&lt;180),0.5,1))</f>
        <v/>
      </c>
      <c r="L116" s="13">
        <f>IF(A116="","",K116-J116)</f>
        <v/>
      </c>
      <c r="M116" s="8" t="n"/>
    </row>
    <row r="117">
      <c r="A117" s="10" t="n"/>
      <c r="B117" s="10" t="n"/>
      <c r="C117" s="11" t="n"/>
      <c r="D117" s="9" t="n"/>
      <c r="E117" s="12" t="n"/>
      <c r="F117" s="8" t="n"/>
      <c r="G117" s="10" t="n"/>
      <c r="H117" s="13">
        <f>IF(A117="","",E117*(1-Setup!$B$5)/(C117*12))</f>
        <v/>
      </c>
      <c r="I117" s="14">
        <f>IF(A117="","",MAX(0,MIN(12,DATEDIF(MAX(F117,Setup!$B$4),EDATE(Setup!$B$4,12),"m"))))</f>
        <v/>
      </c>
      <c r="J117" s="13">
        <f>IF(A117="","",H117*I117)</f>
        <v/>
      </c>
      <c r="K117" s="13">
        <f>IF(A117="","",E117*D117*IF(AND(F117&gt;=Setup!$B$4,EDATE(Setup!$B$4,12)-F117&lt;180),0.5,1))</f>
        <v/>
      </c>
      <c r="L117" s="13">
        <f>IF(A117="","",K117-J117)</f>
        <v/>
      </c>
      <c r="M117" s="8" t="n"/>
    </row>
    <row r="118">
      <c r="A118" s="10" t="n"/>
      <c r="B118" s="10" t="n"/>
      <c r="C118" s="11" t="n"/>
      <c r="D118" s="9" t="n"/>
      <c r="E118" s="12" t="n"/>
      <c r="F118" s="8" t="n"/>
      <c r="G118" s="10" t="n"/>
      <c r="H118" s="13">
        <f>IF(A118="","",E118*(1-Setup!$B$5)/(C118*12))</f>
        <v/>
      </c>
      <c r="I118" s="14">
        <f>IF(A118="","",MAX(0,MIN(12,DATEDIF(MAX(F118,Setup!$B$4),EDATE(Setup!$B$4,12),"m"))))</f>
        <v/>
      </c>
      <c r="J118" s="13">
        <f>IF(A118="","",H118*I118)</f>
        <v/>
      </c>
      <c r="K118" s="13">
        <f>IF(A118="","",E118*D118*IF(AND(F118&gt;=Setup!$B$4,EDATE(Setup!$B$4,12)-F118&lt;180),0.5,1))</f>
        <v/>
      </c>
      <c r="L118" s="13">
        <f>IF(A118="","",K118-J118)</f>
        <v/>
      </c>
      <c r="M118" s="8" t="n"/>
    </row>
    <row r="119">
      <c r="A119" s="10" t="n"/>
      <c r="B119" s="10" t="n"/>
      <c r="C119" s="11" t="n"/>
      <c r="D119" s="9" t="n"/>
      <c r="E119" s="12" t="n"/>
      <c r="F119" s="8" t="n"/>
      <c r="G119" s="10" t="n"/>
      <c r="H119" s="13">
        <f>IF(A119="","",E119*(1-Setup!$B$5)/(C119*12))</f>
        <v/>
      </c>
      <c r="I119" s="14">
        <f>IF(A119="","",MAX(0,MIN(12,DATEDIF(MAX(F119,Setup!$B$4),EDATE(Setup!$B$4,12),"m"))))</f>
        <v/>
      </c>
      <c r="J119" s="13">
        <f>IF(A119="","",H119*I119)</f>
        <v/>
      </c>
      <c r="K119" s="13">
        <f>IF(A119="","",E119*D119*IF(AND(F119&gt;=Setup!$B$4,EDATE(Setup!$B$4,12)-F119&lt;180),0.5,1))</f>
        <v/>
      </c>
      <c r="L119" s="13">
        <f>IF(A119="","",K119-J119)</f>
        <v/>
      </c>
      <c r="M119" s="8" t="n"/>
    </row>
    <row r="120">
      <c r="A120" s="10" t="n"/>
      <c r="B120" s="10" t="n"/>
      <c r="C120" s="11" t="n"/>
      <c r="D120" s="9" t="n"/>
      <c r="E120" s="12" t="n"/>
      <c r="F120" s="8" t="n"/>
      <c r="G120" s="10" t="n"/>
      <c r="H120" s="13">
        <f>IF(A120="","",E120*(1-Setup!$B$5)/(C120*12))</f>
        <v/>
      </c>
      <c r="I120" s="14">
        <f>IF(A120="","",MAX(0,MIN(12,DATEDIF(MAX(F120,Setup!$B$4),EDATE(Setup!$B$4,12),"m"))))</f>
        <v/>
      </c>
      <c r="J120" s="13">
        <f>IF(A120="","",H120*I120)</f>
        <v/>
      </c>
      <c r="K120" s="13">
        <f>IF(A120="","",E120*D120*IF(AND(F120&gt;=Setup!$B$4,EDATE(Setup!$B$4,12)-F120&lt;180),0.5,1))</f>
        <v/>
      </c>
      <c r="L120" s="13">
        <f>IF(A120="","",K120-J120)</f>
        <v/>
      </c>
      <c r="M120" s="8" t="n"/>
    </row>
    <row r="121">
      <c r="A121" s="10" t="n"/>
      <c r="B121" s="10" t="n"/>
      <c r="C121" s="11" t="n"/>
      <c r="D121" s="9" t="n"/>
      <c r="E121" s="12" t="n"/>
      <c r="F121" s="8" t="n"/>
      <c r="G121" s="10" t="n"/>
      <c r="H121" s="13">
        <f>IF(A121="","",E121*(1-Setup!$B$5)/(C121*12))</f>
        <v/>
      </c>
      <c r="I121" s="14">
        <f>IF(A121="","",MAX(0,MIN(12,DATEDIF(MAX(F121,Setup!$B$4),EDATE(Setup!$B$4,12),"m"))))</f>
        <v/>
      </c>
      <c r="J121" s="13">
        <f>IF(A121="","",H121*I121)</f>
        <v/>
      </c>
      <c r="K121" s="13">
        <f>IF(A121="","",E121*D121*IF(AND(F121&gt;=Setup!$B$4,EDATE(Setup!$B$4,12)-F121&lt;180),0.5,1))</f>
        <v/>
      </c>
      <c r="L121" s="13">
        <f>IF(A121="","",K121-J121)</f>
        <v/>
      </c>
      <c r="M121" s="8" t="n"/>
    </row>
    <row r="122">
      <c r="A122" s="10" t="n"/>
      <c r="B122" s="10" t="n"/>
      <c r="C122" s="11" t="n"/>
      <c r="D122" s="9" t="n"/>
      <c r="E122" s="12" t="n"/>
      <c r="F122" s="8" t="n"/>
      <c r="G122" s="10" t="n"/>
      <c r="H122" s="13">
        <f>IF(A122="","",E122*(1-Setup!$B$5)/(C122*12))</f>
        <v/>
      </c>
      <c r="I122" s="14">
        <f>IF(A122="","",MAX(0,MIN(12,DATEDIF(MAX(F122,Setup!$B$4),EDATE(Setup!$B$4,12),"m"))))</f>
        <v/>
      </c>
      <c r="J122" s="13">
        <f>IF(A122="","",H122*I122)</f>
        <v/>
      </c>
      <c r="K122" s="13">
        <f>IF(A122="","",E122*D122*IF(AND(F122&gt;=Setup!$B$4,EDATE(Setup!$B$4,12)-F122&lt;180),0.5,1))</f>
        <v/>
      </c>
      <c r="L122" s="13">
        <f>IF(A122="","",K122-J122)</f>
        <v/>
      </c>
      <c r="M122" s="8" t="n"/>
    </row>
    <row r="123">
      <c r="A123" s="10" t="n"/>
      <c r="B123" s="10" t="n"/>
      <c r="C123" s="11" t="n"/>
      <c r="D123" s="9" t="n"/>
      <c r="E123" s="12" t="n"/>
      <c r="F123" s="8" t="n"/>
      <c r="G123" s="10" t="n"/>
      <c r="H123" s="13">
        <f>IF(A123="","",E123*(1-Setup!$B$5)/(C123*12))</f>
        <v/>
      </c>
      <c r="I123" s="14">
        <f>IF(A123="","",MAX(0,MIN(12,DATEDIF(MAX(F123,Setup!$B$4),EDATE(Setup!$B$4,12),"m"))))</f>
        <v/>
      </c>
      <c r="J123" s="13">
        <f>IF(A123="","",H123*I123)</f>
        <v/>
      </c>
      <c r="K123" s="13">
        <f>IF(A123="","",E123*D123*IF(AND(F123&gt;=Setup!$B$4,EDATE(Setup!$B$4,12)-F123&lt;180),0.5,1))</f>
        <v/>
      </c>
      <c r="L123" s="13">
        <f>IF(A123="","",K123-J123)</f>
        <v/>
      </c>
      <c r="M123" s="8" t="n"/>
    </row>
    <row r="124">
      <c r="A124" s="10" t="n"/>
      <c r="B124" s="10" t="n"/>
      <c r="C124" s="11" t="n"/>
      <c r="D124" s="9" t="n"/>
      <c r="E124" s="12" t="n"/>
      <c r="F124" s="8" t="n"/>
      <c r="G124" s="10" t="n"/>
      <c r="H124" s="13">
        <f>IF(A124="","",E124*(1-Setup!$B$5)/(C124*12))</f>
        <v/>
      </c>
      <c r="I124" s="14">
        <f>IF(A124="","",MAX(0,MIN(12,DATEDIF(MAX(F124,Setup!$B$4),EDATE(Setup!$B$4,12),"m"))))</f>
        <v/>
      </c>
      <c r="J124" s="13">
        <f>IF(A124="","",H124*I124)</f>
        <v/>
      </c>
      <c r="K124" s="13">
        <f>IF(A124="","",E124*D124*IF(AND(F124&gt;=Setup!$B$4,EDATE(Setup!$B$4,12)-F124&lt;180),0.5,1))</f>
        <v/>
      </c>
      <c r="L124" s="13">
        <f>IF(A124="","",K124-J124)</f>
        <v/>
      </c>
      <c r="M124" s="8" t="n"/>
    </row>
    <row r="125">
      <c r="A125" s="10" t="n"/>
      <c r="B125" s="10" t="n"/>
      <c r="C125" s="11" t="n"/>
      <c r="D125" s="9" t="n"/>
      <c r="E125" s="12" t="n"/>
      <c r="F125" s="8" t="n"/>
      <c r="G125" s="10" t="n"/>
      <c r="H125" s="13">
        <f>IF(A125="","",E125*(1-Setup!$B$5)/(C125*12))</f>
        <v/>
      </c>
      <c r="I125" s="14">
        <f>IF(A125="","",MAX(0,MIN(12,DATEDIF(MAX(F125,Setup!$B$4),EDATE(Setup!$B$4,12),"m"))))</f>
        <v/>
      </c>
      <c r="J125" s="13">
        <f>IF(A125="","",H125*I125)</f>
        <v/>
      </c>
      <c r="K125" s="13">
        <f>IF(A125="","",E125*D125*IF(AND(F125&gt;=Setup!$B$4,EDATE(Setup!$B$4,12)-F125&lt;180),0.5,1))</f>
        <v/>
      </c>
      <c r="L125" s="13">
        <f>IF(A125="","",K125-J125)</f>
        <v/>
      </c>
      <c r="M125" s="8" t="n"/>
    </row>
    <row r="126">
      <c r="A126" s="10" t="n"/>
      <c r="B126" s="10" t="n"/>
      <c r="C126" s="11" t="n"/>
      <c r="D126" s="9" t="n"/>
      <c r="E126" s="12" t="n"/>
      <c r="F126" s="8" t="n"/>
      <c r="G126" s="10" t="n"/>
      <c r="H126" s="13">
        <f>IF(A126="","",E126*(1-Setup!$B$5)/(C126*12))</f>
        <v/>
      </c>
      <c r="I126" s="14">
        <f>IF(A126="","",MAX(0,MIN(12,DATEDIF(MAX(F126,Setup!$B$4),EDATE(Setup!$B$4,12),"m"))))</f>
        <v/>
      </c>
      <c r="J126" s="13">
        <f>IF(A126="","",H126*I126)</f>
        <v/>
      </c>
      <c r="K126" s="13">
        <f>IF(A126="","",E126*D126*IF(AND(F126&gt;=Setup!$B$4,EDATE(Setup!$B$4,12)-F126&lt;180),0.5,1))</f>
        <v/>
      </c>
      <c r="L126" s="13">
        <f>IF(A126="","",K126-J126)</f>
        <v/>
      </c>
      <c r="M126" s="8" t="n"/>
    </row>
    <row r="127">
      <c r="A127" s="10" t="n"/>
      <c r="B127" s="10" t="n"/>
      <c r="C127" s="11" t="n"/>
      <c r="D127" s="9" t="n"/>
      <c r="E127" s="12" t="n"/>
      <c r="F127" s="8" t="n"/>
      <c r="G127" s="10" t="n"/>
      <c r="H127" s="13">
        <f>IF(A127="","",E127*(1-Setup!$B$5)/(C127*12))</f>
        <v/>
      </c>
      <c r="I127" s="14">
        <f>IF(A127="","",MAX(0,MIN(12,DATEDIF(MAX(F127,Setup!$B$4),EDATE(Setup!$B$4,12),"m"))))</f>
        <v/>
      </c>
      <c r="J127" s="13">
        <f>IF(A127="","",H127*I127)</f>
        <v/>
      </c>
      <c r="K127" s="13">
        <f>IF(A127="","",E127*D127*IF(AND(F127&gt;=Setup!$B$4,EDATE(Setup!$B$4,12)-F127&lt;180),0.5,1))</f>
        <v/>
      </c>
      <c r="L127" s="13">
        <f>IF(A127="","",K127-J127)</f>
        <v/>
      </c>
      <c r="M127" s="8" t="n"/>
    </row>
    <row r="128">
      <c r="A128" s="10" t="n"/>
      <c r="B128" s="10" t="n"/>
      <c r="C128" s="11" t="n"/>
      <c r="D128" s="9" t="n"/>
      <c r="E128" s="12" t="n"/>
      <c r="F128" s="8" t="n"/>
      <c r="G128" s="10" t="n"/>
      <c r="H128" s="13">
        <f>IF(A128="","",E128*(1-Setup!$B$5)/(C128*12))</f>
        <v/>
      </c>
      <c r="I128" s="14">
        <f>IF(A128="","",MAX(0,MIN(12,DATEDIF(MAX(F128,Setup!$B$4),EDATE(Setup!$B$4,12),"m"))))</f>
        <v/>
      </c>
      <c r="J128" s="13">
        <f>IF(A128="","",H128*I128)</f>
        <v/>
      </c>
      <c r="K128" s="13">
        <f>IF(A128="","",E128*D128*IF(AND(F128&gt;=Setup!$B$4,EDATE(Setup!$B$4,12)-F128&lt;180),0.5,1))</f>
        <v/>
      </c>
      <c r="L128" s="13">
        <f>IF(A128="","",K128-J128)</f>
        <v/>
      </c>
      <c r="M128" s="8" t="n"/>
    </row>
    <row r="129">
      <c r="A129" s="10" t="n"/>
      <c r="B129" s="10" t="n"/>
      <c r="C129" s="11" t="n"/>
      <c r="D129" s="9" t="n"/>
      <c r="E129" s="12" t="n"/>
      <c r="F129" s="8" t="n"/>
      <c r="G129" s="10" t="n"/>
      <c r="H129" s="13">
        <f>IF(A129="","",E129*(1-Setup!$B$5)/(C129*12))</f>
        <v/>
      </c>
      <c r="I129" s="14">
        <f>IF(A129="","",MAX(0,MIN(12,DATEDIF(MAX(F129,Setup!$B$4),EDATE(Setup!$B$4,12),"m"))))</f>
        <v/>
      </c>
      <c r="J129" s="13">
        <f>IF(A129="","",H129*I129)</f>
        <v/>
      </c>
      <c r="K129" s="13">
        <f>IF(A129="","",E129*D129*IF(AND(F129&gt;=Setup!$B$4,EDATE(Setup!$B$4,12)-F129&lt;180),0.5,1))</f>
        <v/>
      </c>
      <c r="L129" s="13">
        <f>IF(A129="","",K129-J129)</f>
        <v/>
      </c>
      <c r="M129" s="8" t="n"/>
    </row>
    <row r="130">
      <c r="A130" s="10" t="n"/>
      <c r="B130" s="10" t="n"/>
      <c r="C130" s="11" t="n"/>
      <c r="D130" s="9" t="n"/>
      <c r="E130" s="12" t="n"/>
      <c r="F130" s="8" t="n"/>
      <c r="G130" s="10" t="n"/>
      <c r="H130" s="13">
        <f>IF(A130="","",E130*(1-Setup!$B$5)/(C130*12))</f>
        <v/>
      </c>
      <c r="I130" s="14">
        <f>IF(A130="","",MAX(0,MIN(12,DATEDIF(MAX(F130,Setup!$B$4),EDATE(Setup!$B$4,12),"m"))))</f>
        <v/>
      </c>
      <c r="J130" s="13">
        <f>IF(A130="","",H130*I130)</f>
        <v/>
      </c>
      <c r="K130" s="13">
        <f>IF(A130="","",E130*D130*IF(AND(F130&gt;=Setup!$B$4,EDATE(Setup!$B$4,12)-F130&lt;180),0.5,1))</f>
        <v/>
      </c>
      <c r="L130" s="13">
        <f>IF(A130="","",K130-J130)</f>
        <v/>
      </c>
      <c r="M130" s="8" t="n"/>
    </row>
    <row r="131">
      <c r="A131" s="10" t="n"/>
      <c r="B131" s="10" t="n"/>
      <c r="C131" s="11" t="n"/>
      <c r="D131" s="9" t="n"/>
      <c r="E131" s="12" t="n"/>
      <c r="F131" s="8" t="n"/>
      <c r="G131" s="10" t="n"/>
      <c r="H131" s="13">
        <f>IF(A131="","",E131*(1-Setup!$B$5)/(C131*12))</f>
        <v/>
      </c>
      <c r="I131" s="14">
        <f>IF(A131="","",MAX(0,MIN(12,DATEDIF(MAX(F131,Setup!$B$4),EDATE(Setup!$B$4,12),"m"))))</f>
        <v/>
      </c>
      <c r="J131" s="13">
        <f>IF(A131="","",H131*I131)</f>
        <v/>
      </c>
      <c r="K131" s="13">
        <f>IF(A131="","",E131*D131*IF(AND(F131&gt;=Setup!$B$4,EDATE(Setup!$B$4,12)-F131&lt;180),0.5,1))</f>
        <v/>
      </c>
      <c r="L131" s="13">
        <f>IF(A131="","",K131-J131)</f>
        <v/>
      </c>
      <c r="M131" s="8" t="n"/>
    </row>
    <row r="132">
      <c r="A132" s="10" t="n"/>
      <c r="B132" s="10" t="n"/>
      <c r="C132" s="11" t="n"/>
      <c r="D132" s="9" t="n"/>
      <c r="E132" s="12" t="n"/>
      <c r="F132" s="8" t="n"/>
      <c r="G132" s="10" t="n"/>
      <c r="H132" s="13">
        <f>IF(A132="","",E132*(1-Setup!$B$5)/(C132*12))</f>
        <v/>
      </c>
      <c r="I132" s="14">
        <f>IF(A132="","",MAX(0,MIN(12,DATEDIF(MAX(F132,Setup!$B$4),EDATE(Setup!$B$4,12),"m"))))</f>
        <v/>
      </c>
      <c r="J132" s="13">
        <f>IF(A132="","",H132*I132)</f>
        <v/>
      </c>
      <c r="K132" s="13">
        <f>IF(A132="","",E132*D132*IF(AND(F132&gt;=Setup!$B$4,EDATE(Setup!$B$4,12)-F132&lt;180),0.5,1))</f>
        <v/>
      </c>
      <c r="L132" s="13">
        <f>IF(A132="","",K132-J132)</f>
        <v/>
      </c>
      <c r="M132" s="8" t="n"/>
    </row>
    <row r="133">
      <c r="A133" s="10" t="n"/>
      <c r="B133" s="10" t="n"/>
      <c r="C133" s="11" t="n"/>
      <c r="D133" s="9" t="n"/>
      <c r="E133" s="12" t="n"/>
      <c r="F133" s="8" t="n"/>
      <c r="G133" s="10" t="n"/>
      <c r="H133" s="13">
        <f>IF(A133="","",E133*(1-Setup!$B$5)/(C133*12))</f>
        <v/>
      </c>
      <c r="I133" s="14">
        <f>IF(A133="","",MAX(0,MIN(12,DATEDIF(MAX(F133,Setup!$B$4),EDATE(Setup!$B$4,12),"m"))))</f>
        <v/>
      </c>
      <c r="J133" s="13">
        <f>IF(A133="","",H133*I133)</f>
        <v/>
      </c>
      <c r="K133" s="13">
        <f>IF(A133="","",E133*D133*IF(AND(F133&gt;=Setup!$B$4,EDATE(Setup!$B$4,12)-F133&lt;180),0.5,1))</f>
        <v/>
      </c>
      <c r="L133" s="13">
        <f>IF(A133="","",K133-J133)</f>
        <v/>
      </c>
      <c r="M133" s="8" t="n"/>
    </row>
    <row r="134">
      <c r="A134" s="10" t="n"/>
      <c r="B134" s="10" t="n"/>
      <c r="C134" s="11" t="n"/>
      <c r="D134" s="9" t="n"/>
      <c r="E134" s="12" t="n"/>
      <c r="F134" s="8" t="n"/>
      <c r="G134" s="10" t="n"/>
      <c r="H134" s="13">
        <f>IF(A134="","",E134*(1-Setup!$B$5)/(C134*12))</f>
        <v/>
      </c>
      <c r="I134" s="14">
        <f>IF(A134="","",MAX(0,MIN(12,DATEDIF(MAX(F134,Setup!$B$4),EDATE(Setup!$B$4,12),"m"))))</f>
        <v/>
      </c>
      <c r="J134" s="13">
        <f>IF(A134="","",H134*I134)</f>
        <v/>
      </c>
      <c r="K134" s="13">
        <f>IF(A134="","",E134*D134*IF(AND(F134&gt;=Setup!$B$4,EDATE(Setup!$B$4,12)-F134&lt;180),0.5,1))</f>
        <v/>
      </c>
      <c r="L134" s="13">
        <f>IF(A134="","",K134-J134)</f>
        <v/>
      </c>
      <c r="M134" s="8" t="n"/>
    </row>
    <row r="135">
      <c r="A135" s="10" t="n"/>
      <c r="B135" s="10" t="n"/>
      <c r="C135" s="11" t="n"/>
      <c r="D135" s="9" t="n"/>
      <c r="E135" s="12" t="n"/>
      <c r="F135" s="8" t="n"/>
      <c r="G135" s="10" t="n"/>
      <c r="H135" s="13">
        <f>IF(A135="","",E135*(1-Setup!$B$5)/(C135*12))</f>
        <v/>
      </c>
      <c r="I135" s="14">
        <f>IF(A135="","",MAX(0,MIN(12,DATEDIF(MAX(F135,Setup!$B$4),EDATE(Setup!$B$4,12),"m"))))</f>
        <v/>
      </c>
      <c r="J135" s="13">
        <f>IF(A135="","",H135*I135)</f>
        <v/>
      </c>
      <c r="K135" s="13">
        <f>IF(A135="","",E135*D135*IF(AND(F135&gt;=Setup!$B$4,EDATE(Setup!$B$4,12)-F135&lt;180),0.5,1))</f>
        <v/>
      </c>
      <c r="L135" s="13">
        <f>IF(A135="","",K135-J135)</f>
        <v/>
      </c>
      <c r="M135" s="8" t="n"/>
    </row>
    <row r="136">
      <c r="A136" s="10" t="n"/>
      <c r="B136" s="10" t="n"/>
      <c r="C136" s="11" t="n"/>
      <c r="D136" s="9" t="n"/>
      <c r="E136" s="12" t="n"/>
      <c r="F136" s="8" t="n"/>
      <c r="G136" s="10" t="n"/>
      <c r="H136" s="13">
        <f>IF(A136="","",E136*(1-Setup!$B$5)/(C136*12))</f>
        <v/>
      </c>
      <c r="I136" s="14">
        <f>IF(A136="","",MAX(0,MIN(12,DATEDIF(MAX(F136,Setup!$B$4),EDATE(Setup!$B$4,12),"m"))))</f>
        <v/>
      </c>
      <c r="J136" s="13">
        <f>IF(A136="","",H136*I136)</f>
        <v/>
      </c>
      <c r="K136" s="13">
        <f>IF(A136="","",E136*D136*IF(AND(F136&gt;=Setup!$B$4,EDATE(Setup!$B$4,12)-F136&lt;180),0.5,1))</f>
        <v/>
      </c>
      <c r="L136" s="13">
        <f>IF(A136="","",K136-J136)</f>
        <v/>
      </c>
      <c r="M136" s="8" t="n"/>
    </row>
    <row r="137">
      <c r="A137" s="10" t="n"/>
      <c r="B137" s="10" t="n"/>
      <c r="C137" s="11" t="n"/>
      <c r="D137" s="9" t="n"/>
      <c r="E137" s="12" t="n"/>
      <c r="F137" s="8" t="n"/>
      <c r="G137" s="10" t="n"/>
      <c r="H137" s="13">
        <f>IF(A137="","",E137*(1-Setup!$B$5)/(C137*12))</f>
        <v/>
      </c>
      <c r="I137" s="14">
        <f>IF(A137="","",MAX(0,MIN(12,DATEDIF(MAX(F137,Setup!$B$4),EDATE(Setup!$B$4,12),"m"))))</f>
        <v/>
      </c>
      <c r="J137" s="13">
        <f>IF(A137="","",H137*I137)</f>
        <v/>
      </c>
      <c r="K137" s="13">
        <f>IF(A137="","",E137*D137*IF(AND(F137&gt;=Setup!$B$4,EDATE(Setup!$B$4,12)-F137&lt;180),0.5,1))</f>
        <v/>
      </c>
      <c r="L137" s="13">
        <f>IF(A137="","",K137-J137)</f>
        <v/>
      </c>
      <c r="M137" s="8" t="n"/>
    </row>
    <row r="138">
      <c r="A138" s="10" t="n"/>
      <c r="B138" s="10" t="n"/>
      <c r="C138" s="11" t="n"/>
      <c r="D138" s="9" t="n"/>
      <c r="E138" s="12" t="n"/>
      <c r="F138" s="8" t="n"/>
      <c r="G138" s="10" t="n"/>
      <c r="H138" s="13">
        <f>IF(A138="","",E138*(1-Setup!$B$5)/(C138*12))</f>
        <v/>
      </c>
      <c r="I138" s="14">
        <f>IF(A138="","",MAX(0,MIN(12,DATEDIF(MAX(F138,Setup!$B$4),EDATE(Setup!$B$4,12),"m"))))</f>
        <v/>
      </c>
      <c r="J138" s="13">
        <f>IF(A138="","",H138*I138)</f>
        <v/>
      </c>
      <c r="K138" s="13">
        <f>IF(A138="","",E138*D138*IF(AND(F138&gt;=Setup!$B$4,EDATE(Setup!$B$4,12)-F138&lt;180),0.5,1))</f>
        <v/>
      </c>
      <c r="L138" s="13">
        <f>IF(A138="","",K138-J138)</f>
        <v/>
      </c>
      <c r="M138" s="8" t="n"/>
    </row>
    <row r="139">
      <c r="A139" s="10" t="n"/>
      <c r="B139" s="10" t="n"/>
      <c r="C139" s="11" t="n"/>
      <c r="D139" s="9" t="n"/>
      <c r="E139" s="12" t="n"/>
      <c r="F139" s="8" t="n"/>
      <c r="G139" s="10" t="n"/>
      <c r="H139" s="13">
        <f>IF(A139="","",E139*(1-Setup!$B$5)/(C139*12))</f>
        <v/>
      </c>
      <c r="I139" s="14">
        <f>IF(A139="","",MAX(0,MIN(12,DATEDIF(MAX(F139,Setup!$B$4),EDATE(Setup!$B$4,12),"m"))))</f>
        <v/>
      </c>
      <c r="J139" s="13">
        <f>IF(A139="","",H139*I139)</f>
        <v/>
      </c>
      <c r="K139" s="13">
        <f>IF(A139="","",E139*D139*IF(AND(F139&gt;=Setup!$B$4,EDATE(Setup!$B$4,12)-F139&lt;180),0.5,1))</f>
        <v/>
      </c>
      <c r="L139" s="13">
        <f>IF(A139="","",K139-J139)</f>
        <v/>
      </c>
      <c r="M139" s="8" t="n"/>
    </row>
    <row r="140">
      <c r="A140" s="10" t="n"/>
      <c r="B140" s="10" t="n"/>
      <c r="C140" s="11" t="n"/>
      <c r="D140" s="9" t="n"/>
      <c r="E140" s="12" t="n"/>
      <c r="F140" s="8" t="n"/>
      <c r="G140" s="10" t="n"/>
      <c r="H140" s="13">
        <f>IF(A140="","",E140*(1-Setup!$B$5)/(C140*12))</f>
        <v/>
      </c>
      <c r="I140" s="14">
        <f>IF(A140="","",MAX(0,MIN(12,DATEDIF(MAX(F140,Setup!$B$4),EDATE(Setup!$B$4,12),"m"))))</f>
        <v/>
      </c>
      <c r="J140" s="13">
        <f>IF(A140="","",H140*I140)</f>
        <v/>
      </c>
      <c r="K140" s="13">
        <f>IF(A140="","",E140*D140*IF(AND(F140&gt;=Setup!$B$4,EDATE(Setup!$B$4,12)-F140&lt;180),0.5,1))</f>
        <v/>
      </c>
      <c r="L140" s="13">
        <f>IF(A140="","",K140-J140)</f>
        <v/>
      </c>
      <c r="M140" s="8" t="n"/>
    </row>
    <row r="141">
      <c r="A141" s="10" t="n"/>
      <c r="B141" s="10" t="n"/>
      <c r="C141" s="11" t="n"/>
      <c r="D141" s="9" t="n"/>
      <c r="E141" s="12" t="n"/>
      <c r="F141" s="8" t="n"/>
      <c r="G141" s="10" t="n"/>
      <c r="H141" s="13">
        <f>IF(A141="","",E141*(1-Setup!$B$5)/(C141*12))</f>
        <v/>
      </c>
      <c r="I141" s="14">
        <f>IF(A141="","",MAX(0,MIN(12,DATEDIF(MAX(F141,Setup!$B$4),EDATE(Setup!$B$4,12),"m"))))</f>
        <v/>
      </c>
      <c r="J141" s="13">
        <f>IF(A141="","",H141*I141)</f>
        <v/>
      </c>
      <c r="K141" s="13">
        <f>IF(A141="","",E141*D141*IF(AND(F141&gt;=Setup!$B$4,EDATE(Setup!$B$4,12)-F141&lt;180),0.5,1))</f>
        <v/>
      </c>
      <c r="L141" s="13">
        <f>IF(A141="","",K141-J141)</f>
        <v/>
      </c>
      <c r="M141" s="8" t="n"/>
    </row>
    <row r="142">
      <c r="A142" s="10" t="n"/>
      <c r="B142" s="10" t="n"/>
      <c r="C142" s="11" t="n"/>
      <c r="D142" s="9" t="n"/>
      <c r="E142" s="12" t="n"/>
      <c r="F142" s="8" t="n"/>
      <c r="G142" s="10" t="n"/>
      <c r="H142" s="13">
        <f>IF(A142="","",E142*(1-Setup!$B$5)/(C142*12))</f>
        <v/>
      </c>
      <c r="I142" s="14">
        <f>IF(A142="","",MAX(0,MIN(12,DATEDIF(MAX(F142,Setup!$B$4),EDATE(Setup!$B$4,12),"m"))))</f>
        <v/>
      </c>
      <c r="J142" s="13">
        <f>IF(A142="","",H142*I142)</f>
        <v/>
      </c>
      <c r="K142" s="13">
        <f>IF(A142="","",E142*D142*IF(AND(F142&gt;=Setup!$B$4,EDATE(Setup!$B$4,12)-F142&lt;180),0.5,1))</f>
        <v/>
      </c>
      <c r="L142" s="13">
        <f>IF(A142="","",K142-J142)</f>
        <v/>
      </c>
      <c r="M142" s="8" t="n"/>
    </row>
    <row r="143">
      <c r="A143" s="10" t="n"/>
      <c r="B143" s="10" t="n"/>
      <c r="C143" s="11" t="n"/>
      <c r="D143" s="9" t="n"/>
      <c r="E143" s="12" t="n"/>
      <c r="F143" s="8" t="n"/>
      <c r="G143" s="10" t="n"/>
      <c r="H143" s="13">
        <f>IF(A143="","",E143*(1-Setup!$B$5)/(C143*12))</f>
        <v/>
      </c>
      <c r="I143" s="14">
        <f>IF(A143="","",MAX(0,MIN(12,DATEDIF(MAX(F143,Setup!$B$4),EDATE(Setup!$B$4,12),"m"))))</f>
        <v/>
      </c>
      <c r="J143" s="13">
        <f>IF(A143="","",H143*I143)</f>
        <v/>
      </c>
      <c r="K143" s="13">
        <f>IF(A143="","",E143*D143*IF(AND(F143&gt;=Setup!$B$4,EDATE(Setup!$B$4,12)-F143&lt;180),0.5,1))</f>
        <v/>
      </c>
      <c r="L143" s="13">
        <f>IF(A143="","",K143-J143)</f>
        <v/>
      </c>
      <c r="M143" s="8" t="n"/>
    </row>
    <row r="144">
      <c r="A144" s="10" t="n"/>
      <c r="B144" s="10" t="n"/>
      <c r="C144" s="11" t="n"/>
      <c r="D144" s="9" t="n"/>
      <c r="E144" s="12" t="n"/>
      <c r="F144" s="8" t="n"/>
      <c r="G144" s="10" t="n"/>
      <c r="H144" s="13">
        <f>IF(A144="","",E144*(1-Setup!$B$5)/(C144*12))</f>
        <v/>
      </c>
      <c r="I144" s="14">
        <f>IF(A144="","",MAX(0,MIN(12,DATEDIF(MAX(F144,Setup!$B$4),EDATE(Setup!$B$4,12),"m"))))</f>
        <v/>
      </c>
      <c r="J144" s="13">
        <f>IF(A144="","",H144*I144)</f>
        <v/>
      </c>
      <c r="K144" s="13">
        <f>IF(A144="","",E144*D144*IF(AND(F144&gt;=Setup!$B$4,EDATE(Setup!$B$4,12)-F144&lt;180),0.5,1))</f>
        <v/>
      </c>
      <c r="L144" s="13">
        <f>IF(A144="","",K144-J144)</f>
        <v/>
      </c>
      <c r="M144" s="8" t="n"/>
    </row>
    <row r="145">
      <c r="A145" s="10" t="n"/>
      <c r="B145" s="10" t="n"/>
      <c r="C145" s="11" t="n"/>
      <c r="D145" s="9" t="n"/>
      <c r="E145" s="12" t="n"/>
      <c r="F145" s="8" t="n"/>
      <c r="G145" s="10" t="n"/>
      <c r="H145" s="13">
        <f>IF(A145="","",E145*(1-Setup!$B$5)/(C145*12))</f>
        <v/>
      </c>
      <c r="I145" s="14">
        <f>IF(A145="","",MAX(0,MIN(12,DATEDIF(MAX(F145,Setup!$B$4),EDATE(Setup!$B$4,12),"m"))))</f>
        <v/>
      </c>
      <c r="J145" s="13">
        <f>IF(A145="","",H145*I145)</f>
        <v/>
      </c>
      <c r="K145" s="13">
        <f>IF(A145="","",E145*D145*IF(AND(F145&gt;=Setup!$B$4,EDATE(Setup!$B$4,12)-F145&lt;180),0.5,1))</f>
        <v/>
      </c>
      <c r="L145" s="13">
        <f>IF(A145="","",K145-J145)</f>
        <v/>
      </c>
      <c r="M145" s="8" t="n"/>
    </row>
    <row r="146">
      <c r="A146" s="10" t="n"/>
      <c r="B146" s="10" t="n"/>
      <c r="C146" s="11" t="n"/>
      <c r="D146" s="9" t="n"/>
      <c r="E146" s="12" t="n"/>
      <c r="F146" s="8" t="n"/>
      <c r="G146" s="10" t="n"/>
      <c r="H146" s="13">
        <f>IF(A146="","",E146*(1-Setup!$B$5)/(C146*12))</f>
        <v/>
      </c>
      <c r="I146" s="14">
        <f>IF(A146="","",MAX(0,MIN(12,DATEDIF(MAX(F146,Setup!$B$4),EDATE(Setup!$B$4,12),"m"))))</f>
        <v/>
      </c>
      <c r="J146" s="13">
        <f>IF(A146="","",H146*I146)</f>
        <v/>
      </c>
      <c r="K146" s="13">
        <f>IF(A146="","",E146*D146*IF(AND(F146&gt;=Setup!$B$4,EDATE(Setup!$B$4,12)-F146&lt;180),0.5,1))</f>
        <v/>
      </c>
      <c r="L146" s="13">
        <f>IF(A146="","",K146-J146)</f>
        <v/>
      </c>
      <c r="M146" s="8" t="n"/>
    </row>
    <row r="147">
      <c r="A147" s="10" t="n"/>
      <c r="B147" s="10" t="n"/>
      <c r="C147" s="11" t="n"/>
      <c r="D147" s="9" t="n"/>
      <c r="E147" s="12" t="n"/>
      <c r="F147" s="8" t="n"/>
      <c r="G147" s="10" t="n"/>
      <c r="H147" s="13">
        <f>IF(A147="","",E147*(1-Setup!$B$5)/(C147*12))</f>
        <v/>
      </c>
      <c r="I147" s="14">
        <f>IF(A147="","",MAX(0,MIN(12,DATEDIF(MAX(F147,Setup!$B$4),EDATE(Setup!$B$4,12),"m"))))</f>
        <v/>
      </c>
      <c r="J147" s="13">
        <f>IF(A147="","",H147*I147)</f>
        <v/>
      </c>
      <c r="K147" s="13">
        <f>IF(A147="","",E147*D147*IF(AND(F147&gt;=Setup!$B$4,EDATE(Setup!$B$4,12)-F147&lt;180),0.5,1))</f>
        <v/>
      </c>
      <c r="L147" s="13">
        <f>IF(A147="","",K147-J147)</f>
        <v/>
      </c>
      <c r="M147" s="8" t="n"/>
    </row>
    <row r="148">
      <c r="A148" s="10" t="n"/>
      <c r="B148" s="10" t="n"/>
      <c r="C148" s="11" t="n"/>
      <c r="D148" s="9" t="n"/>
      <c r="E148" s="12" t="n"/>
      <c r="F148" s="8" t="n"/>
      <c r="G148" s="10" t="n"/>
      <c r="H148" s="13">
        <f>IF(A148="","",E148*(1-Setup!$B$5)/(C148*12))</f>
        <v/>
      </c>
      <c r="I148" s="14">
        <f>IF(A148="","",MAX(0,MIN(12,DATEDIF(MAX(F148,Setup!$B$4),EDATE(Setup!$B$4,12),"m"))))</f>
        <v/>
      </c>
      <c r="J148" s="13">
        <f>IF(A148="","",H148*I148)</f>
        <v/>
      </c>
      <c r="K148" s="13">
        <f>IF(A148="","",E148*D148*IF(AND(F148&gt;=Setup!$B$4,EDATE(Setup!$B$4,12)-F148&lt;180),0.5,1))</f>
        <v/>
      </c>
      <c r="L148" s="13">
        <f>IF(A148="","",K148-J148)</f>
        <v/>
      </c>
      <c r="M148" s="8" t="n"/>
    </row>
    <row r="149">
      <c r="A149" s="10" t="n"/>
      <c r="B149" s="10" t="n"/>
      <c r="C149" s="11" t="n"/>
      <c r="D149" s="9" t="n"/>
      <c r="E149" s="12" t="n"/>
      <c r="F149" s="8" t="n"/>
      <c r="G149" s="10" t="n"/>
      <c r="H149" s="13">
        <f>IF(A149="","",E149*(1-Setup!$B$5)/(C149*12))</f>
        <v/>
      </c>
      <c r="I149" s="14">
        <f>IF(A149="","",MAX(0,MIN(12,DATEDIF(MAX(F149,Setup!$B$4),EDATE(Setup!$B$4,12),"m"))))</f>
        <v/>
      </c>
      <c r="J149" s="13">
        <f>IF(A149="","",H149*I149)</f>
        <v/>
      </c>
      <c r="K149" s="13">
        <f>IF(A149="","",E149*D149*IF(AND(F149&gt;=Setup!$B$4,EDATE(Setup!$B$4,12)-F149&lt;180),0.5,1))</f>
        <v/>
      </c>
      <c r="L149" s="13">
        <f>IF(A149="","",K149-J149)</f>
        <v/>
      </c>
      <c r="M149" s="8" t="n"/>
    </row>
    <row r="150">
      <c r="A150" s="10" t="n"/>
      <c r="B150" s="10" t="n"/>
      <c r="C150" s="11" t="n"/>
      <c r="D150" s="9" t="n"/>
      <c r="E150" s="12" t="n"/>
      <c r="F150" s="8" t="n"/>
      <c r="G150" s="10" t="n"/>
      <c r="H150" s="13">
        <f>IF(A150="","",E150*(1-Setup!$B$5)/(C150*12))</f>
        <v/>
      </c>
      <c r="I150" s="14">
        <f>IF(A150="","",MAX(0,MIN(12,DATEDIF(MAX(F150,Setup!$B$4),EDATE(Setup!$B$4,12),"m"))))</f>
        <v/>
      </c>
      <c r="J150" s="13">
        <f>IF(A150="","",H150*I150)</f>
        <v/>
      </c>
      <c r="K150" s="13">
        <f>IF(A150="","",E150*D150*IF(AND(F150&gt;=Setup!$B$4,EDATE(Setup!$B$4,12)-F150&lt;180),0.5,1))</f>
        <v/>
      </c>
      <c r="L150" s="13">
        <f>IF(A150="","",K150-J150)</f>
        <v/>
      </c>
      <c r="M150" s="8" t="n"/>
    </row>
    <row r="151">
      <c r="A151" s="10" t="n"/>
      <c r="B151" s="10" t="n"/>
      <c r="C151" s="11" t="n"/>
      <c r="D151" s="9" t="n"/>
      <c r="E151" s="12" t="n"/>
      <c r="F151" s="8" t="n"/>
      <c r="G151" s="10" t="n"/>
      <c r="H151" s="13">
        <f>IF(A151="","",E151*(1-Setup!$B$5)/(C151*12))</f>
        <v/>
      </c>
      <c r="I151" s="14">
        <f>IF(A151="","",MAX(0,MIN(12,DATEDIF(MAX(F151,Setup!$B$4),EDATE(Setup!$B$4,12),"m"))))</f>
        <v/>
      </c>
      <c r="J151" s="13">
        <f>IF(A151="","",H151*I151)</f>
        <v/>
      </c>
      <c r="K151" s="13">
        <f>IF(A151="","",E151*D151*IF(AND(F151&gt;=Setup!$B$4,EDATE(Setup!$B$4,12)-F151&lt;180),0.5,1))</f>
        <v/>
      </c>
      <c r="L151" s="13">
        <f>IF(A151="","",K151-J151)</f>
        <v/>
      </c>
      <c r="M151" s="8" t="n"/>
    </row>
    <row r="152">
      <c r="A152" s="10" t="n"/>
      <c r="B152" s="10" t="n"/>
      <c r="C152" s="11" t="n"/>
      <c r="D152" s="9" t="n"/>
      <c r="E152" s="12" t="n"/>
      <c r="F152" s="8" t="n"/>
      <c r="G152" s="10" t="n"/>
      <c r="H152" s="13">
        <f>IF(A152="","",E152*(1-Setup!$B$5)/(C152*12))</f>
        <v/>
      </c>
      <c r="I152" s="14">
        <f>IF(A152="","",MAX(0,MIN(12,DATEDIF(MAX(F152,Setup!$B$4),EDATE(Setup!$B$4,12),"m"))))</f>
        <v/>
      </c>
      <c r="J152" s="13">
        <f>IF(A152="","",H152*I152)</f>
        <v/>
      </c>
      <c r="K152" s="13">
        <f>IF(A152="","",E152*D152*IF(AND(F152&gt;=Setup!$B$4,EDATE(Setup!$B$4,12)-F152&lt;180),0.5,1))</f>
        <v/>
      </c>
      <c r="L152" s="13">
        <f>IF(A152="","",K152-J152)</f>
        <v/>
      </c>
      <c r="M152" s="8" t="n"/>
    </row>
    <row r="153">
      <c r="A153" s="10" t="n"/>
      <c r="B153" s="10" t="n"/>
      <c r="C153" s="11" t="n"/>
      <c r="D153" s="9" t="n"/>
      <c r="E153" s="12" t="n"/>
      <c r="F153" s="8" t="n"/>
      <c r="G153" s="10" t="n"/>
      <c r="H153" s="13">
        <f>IF(A153="","",E153*(1-Setup!$B$5)/(C153*12))</f>
        <v/>
      </c>
      <c r="I153" s="14">
        <f>IF(A153="","",MAX(0,MIN(12,DATEDIF(MAX(F153,Setup!$B$4),EDATE(Setup!$B$4,12),"m"))))</f>
        <v/>
      </c>
      <c r="J153" s="13">
        <f>IF(A153="","",H153*I153)</f>
        <v/>
      </c>
      <c r="K153" s="13">
        <f>IF(A153="","",E153*D153*IF(AND(F153&gt;=Setup!$B$4,EDATE(Setup!$B$4,12)-F153&lt;180),0.5,1))</f>
        <v/>
      </c>
      <c r="L153" s="13">
        <f>IF(A153="","",K153-J153)</f>
        <v/>
      </c>
      <c r="M153" s="8" t="n"/>
    </row>
    <row r="154">
      <c r="A154" s="10" t="n"/>
      <c r="B154" s="10" t="n"/>
      <c r="C154" s="11" t="n"/>
      <c r="D154" s="9" t="n"/>
      <c r="E154" s="12" t="n"/>
      <c r="F154" s="8" t="n"/>
      <c r="G154" s="10" t="n"/>
      <c r="H154" s="13">
        <f>IF(A154="","",E154*(1-Setup!$B$5)/(C154*12))</f>
        <v/>
      </c>
      <c r="I154" s="14">
        <f>IF(A154="","",MAX(0,MIN(12,DATEDIF(MAX(F154,Setup!$B$4),EDATE(Setup!$B$4,12),"m"))))</f>
        <v/>
      </c>
      <c r="J154" s="13">
        <f>IF(A154="","",H154*I154)</f>
        <v/>
      </c>
      <c r="K154" s="13">
        <f>IF(A154="","",E154*D154*IF(AND(F154&gt;=Setup!$B$4,EDATE(Setup!$B$4,12)-F154&lt;180),0.5,1))</f>
        <v/>
      </c>
      <c r="L154" s="13">
        <f>IF(A154="","",K154-J154)</f>
        <v/>
      </c>
      <c r="M154" s="8" t="n"/>
    </row>
    <row r="155">
      <c r="A155" s="10" t="n"/>
      <c r="B155" s="10" t="n"/>
      <c r="C155" s="11" t="n"/>
      <c r="D155" s="9" t="n"/>
      <c r="E155" s="12" t="n"/>
      <c r="F155" s="8" t="n"/>
      <c r="G155" s="10" t="n"/>
      <c r="H155" s="13">
        <f>IF(A155="","",E155*(1-Setup!$B$5)/(C155*12))</f>
        <v/>
      </c>
      <c r="I155" s="14">
        <f>IF(A155="","",MAX(0,MIN(12,DATEDIF(MAX(F155,Setup!$B$4),EDATE(Setup!$B$4,12),"m"))))</f>
        <v/>
      </c>
      <c r="J155" s="13">
        <f>IF(A155="","",H155*I155)</f>
        <v/>
      </c>
      <c r="K155" s="13">
        <f>IF(A155="","",E155*D155*IF(AND(F155&gt;=Setup!$B$4,EDATE(Setup!$B$4,12)-F155&lt;180),0.5,1))</f>
        <v/>
      </c>
      <c r="L155" s="13">
        <f>IF(A155="","",K155-J155)</f>
        <v/>
      </c>
      <c r="M155" s="8" t="n"/>
    </row>
    <row r="156">
      <c r="A156" s="10" t="n"/>
      <c r="B156" s="10" t="n"/>
      <c r="C156" s="11" t="n"/>
      <c r="D156" s="9" t="n"/>
      <c r="E156" s="12" t="n"/>
      <c r="F156" s="8" t="n"/>
      <c r="G156" s="10" t="n"/>
      <c r="H156" s="13">
        <f>IF(A156="","",E156*(1-Setup!$B$5)/(C156*12))</f>
        <v/>
      </c>
      <c r="I156" s="14">
        <f>IF(A156="","",MAX(0,MIN(12,DATEDIF(MAX(F156,Setup!$B$4),EDATE(Setup!$B$4,12),"m"))))</f>
        <v/>
      </c>
      <c r="J156" s="13">
        <f>IF(A156="","",H156*I156)</f>
        <v/>
      </c>
      <c r="K156" s="13">
        <f>IF(A156="","",E156*D156*IF(AND(F156&gt;=Setup!$B$4,EDATE(Setup!$B$4,12)-F156&lt;180),0.5,1))</f>
        <v/>
      </c>
      <c r="L156" s="13">
        <f>IF(A156="","",K156-J156)</f>
        <v/>
      </c>
      <c r="M156" s="8" t="n"/>
    </row>
    <row r="157">
      <c r="A157" s="10" t="n"/>
      <c r="B157" s="10" t="n"/>
      <c r="C157" s="11" t="n"/>
      <c r="D157" s="9" t="n"/>
      <c r="E157" s="12" t="n"/>
      <c r="F157" s="8" t="n"/>
      <c r="G157" s="10" t="n"/>
      <c r="H157" s="13">
        <f>IF(A157="","",E157*(1-Setup!$B$5)/(C157*12))</f>
        <v/>
      </c>
      <c r="I157" s="14">
        <f>IF(A157="","",MAX(0,MIN(12,DATEDIF(MAX(F157,Setup!$B$4),EDATE(Setup!$B$4,12),"m"))))</f>
        <v/>
      </c>
      <c r="J157" s="13">
        <f>IF(A157="","",H157*I157)</f>
        <v/>
      </c>
      <c r="K157" s="13">
        <f>IF(A157="","",E157*D157*IF(AND(F157&gt;=Setup!$B$4,EDATE(Setup!$B$4,12)-F157&lt;180),0.5,1))</f>
        <v/>
      </c>
      <c r="L157" s="13">
        <f>IF(A157="","",K157-J157)</f>
        <v/>
      </c>
      <c r="M157" s="8" t="n"/>
    </row>
    <row r="158">
      <c r="A158" s="10" t="n"/>
      <c r="B158" s="10" t="n"/>
      <c r="C158" s="11" t="n"/>
      <c r="D158" s="9" t="n"/>
      <c r="E158" s="12" t="n"/>
      <c r="F158" s="8" t="n"/>
      <c r="G158" s="10" t="n"/>
      <c r="H158" s="13">
        <f>IF(A158="","",E158*(1-Setup!$B$5)/(C158*12))</f>
        <v/>
      </c>
      <c r="I158" s="14">
        <f>IF(A158="","",MAX(0,MIN(12,DATEDIF(MAX(F158,Setup!$B$4),EDATE(Setup!$B$4,12),"m"))))</f>
        <v/>
      </c>
      <c r="J158" s="13">
        <f>IF(A158="","",H158*I158)</f>
        <v/>
      </c>
      <c r="K158" s="13">
        <f>IF(A158="","",E158*D158*IF(AND(F158&gt;=Setup!$B$4,EDATE(Setup!$B$4,12)-F158&lt;180),0.5,1))</f>
        <v/>
      </c>
      <c r="L158" s="13">
        <f>IF(A158="","",K158-J158)</f>
        <v/>
      </c>
      <c r="M158" s="8" t="n"/>
    </row>
    <row r="159">
      <c r="A159" s="10" t="n"/>
      <c r="B159" s="10" t="n"/>
      <c r="C159" s="11" t="n"/>
      <c r="D159" s="9" t="n"/>
      <c r="E159" s="12" t="n"/>
      <c r="F159" s="8" t="n"/>
      <c r="G159" s="10" t="n"/>
      <c r="H159" s="13">
        <f>IF(A159="","",E159*(1-Setup!$B$5)/(C159*12))</f>
        <v/>
      </c>
      <c r="I159" s="14">
        <f>IF(A159="","",MAX(0,MIN(12,DATEDIF(MAX(F159,Setup!$B$4),EDATE(Setup!$B$4,12),"m"))))</f>
        <v/>
      </c>
      <c r="J159" s="13">
        <f>IF(A159="","",H159*I159)</f>
        <v/>
      </c>
      <c r="K159" s="13">
        <f>IF(A159="","",E159*D159*IF(AND(F159&gt;=Setup!$B$4,EDATE(Setup!$B$4,12)-F159&lt;180),0.5,1))</f>
        <v/>
      </c>
      <c r="L159" s="13">
        <f>IF(A159="","",K159-J159)</f>
        <v/>
      </c>
      <c r="M159" s="8" t="n"/>
    </row>
    <row r="160">
      <c r="A160" s="10" t="n"/>
      <c r="B160" s="10" t="n"/>
      <c r="C160" s="11" t="n"/>
      <c r="D160" s="9" t="n"/>
      <c r="E160" s="12" t="n"/>
      <c r="F160" s="8" t="n"/>
      <c r="G160" s="10" t="n"/>
      <c r="H160" s="13">
        <f>IF(A160="","",E160*(1-Setup!$B$5)/(C160*12))</f>
        <v/>
      </c>
      <c r="I160" s="14">
        <f>IF(A160="","",MAX(0,MIN(12,DATEDIF(MAX(F160,Setup!$B$4),EDATE(Setup!$B$4,12),"m"))))</f>
        <v/>
      </c>
      <c r="J160" s="13">
        <f>IF(A160="","",H160*I160)</f>
        <v/>
      </c>
      <c r="K160" s="13">
        <f>IF(A160="","",E160*D160*IF(AND(F160&gt;=Setup!$B$4,EDATE(Setup!$B$4,12)-F160&lt;180),0.5,1))</f>
        <v/>
      </c>
      <c r="L160" s="13">
        <f>IF(A160="","",K160-J160)</f>
        <v/>
      </c>
      <c r="M160" s="8" t="n"/>
    </row>
    <row r="161">
      <c r="A161" s="10" t="n"/>
      <c r="B161" s="10" t="n"/>
      <c r="C161" s="11" t="n"/>
      <c r="D161" s="9" t="n"/>
      <c r="E161" s="12" t="n"/>
      <c r="F161" s="8" t="n"/>
      <c r="G161" s="10" t="n"/>
      <c r="H161" s="13">
        <f>IF(A161="","",E161*(1-Setup!$B$5)/(C161*12))</f>
        <v/>
      </c>
      <c r="I161" s="14">
        <f>IF(A161="","",MAX(0,MIN(12,DATEDIF(MAX(F161,Setup!$B$4),EDATE(Setup!$B$4,12),"m"))))</f>
        <v/>
      </c>
      <c r="J161" s="13">
        <f>IF(A161="","",H161*I161)</f>
        <v/>
      </c>
      <c r="K161" s="13">
        <f>IF(A161="","",E161*D161*IF(AND(F161&gt;=Setup!$B$4,EDATE(Setup!$B$4,12)-F161&lt;180),0.5,1))</f>
        <v/>
      </c>
      <c r="L161" s="13">
        <f>IF(A161="","",K161-J161)</f>
        <v/>
      </c>
      <c r="M161" s="8" t="n"/>
    </row>
    <row r="162">
      <c r="A162" s="10" t="n"/>
      <c r="B162" s="10" t="n"/>
      <c r="C162" s="11" t="n"/>
      <c r="D162" s="9" t="n"/>
      <c r="E162" s="12" t="n"/>
      <c r="F162" s="8" t="n"/>
      <c r="G162" s="10" t="n"/>
      <c r="H162" s="13">
        <f>IF(A162="","",E162*(1-Setup!$B$5)/(C162*12))</f>
        <v/>
      </c>
      <c r="I162" s="14">
        <f>IF(A162="","",MAX(0,MIN(12,DATEDIF(MAX(F162,Setup!$B$4),EDATE(Setup!$B$4,12),"m"))))</f>
        <v/>
      </c>
      <c r="J162" s="13">
        <f>IF(A162="","",H162*I162)</f>
        <v/>
      </c>
      <c r="K162" s="13">
        <f>IF(A162="","",E162*D162*IF(AND(F162&gt;=Setup!$B$4,EDATE(Setup!$B$4,12)-F162&lt;180),0.5,1))</f>
        <v/>
      </c>
      <c r="L162" s="13">
        <f>IF(A162="","",K162-J162)</f>
        <v/>
      </c>
      <c r="M162" s="8" t="n"/>
    </row>
    <row r="163">
      <c r="A163" s="10" t="n"/>
      <c r="B163" s="10" t="n"/>
      <c r="C163" s="11" t="n"/>
      <c r="D163" s="9" t="n"/>
      <c r="E163" s="12" t="n"/>
      <c r="F163" s="8" t="n"/>
      <c r="G163" s="10" t="n"/>
      <c r="H163" s="13">
        <f>IF(A163="","",E163*(1-Setup!$B$5)/(C163*12))</f>
        <v/>
      </c>
      <c r="I163" s="14">
        <f>IF(A163="","",MAX(0,MIN(12,DATEDIF(MAX(F163,Setup!$B$4),EDATE(Setup!$B$4,12),"m"))))</f>
        <v/>
      </c>
      <c r="J163" s="13">
        <f>IF(A163="","",H163*I163)</f>
        <v/>
      </c>
      <c r="K163" s="13">
        <f>IF(A163="","",E163*D163*IF(AND(F163&gt;=Setup!$B$4,EDATE(Setup!$B$4,12)-F163&lt;180),0.5,1))</f>
        <v/>
      </c>
      <c r="L163" s="13">
        <f>IF(A163="","",K163-J163)</f>
        <v/>
      </c>
      <c r="M163" s="8" t="n"/>
    </row>
    <row r="164">
      <c r="A164" s="10" t="n"/>
      <c r="B164" s="10" t="n"/>
      <c r="C164" s="11" t="n"/>
      <c r="D164" s="9" t="n"/>
      <c r="E164" s="12" t="n"/>
      <c r="F164" s="8" t="n"/>
      <c r="G164" s="10" t="n"/>
      <c r="H164" s="13">
        <f>IF(A164="","",E164*(1-Setup!$B$5)/(C164*12))</f>
        <v/>
      </c>
      <c r="I164" s="14">
        <f>IF(A164="","",MAX(0,MIN(12,DATEDIF(MAX(F164,Setup!$B$4),EDATE(Setup!$B$4,12),"m"))))</f>
        <v/>
      </c>
      <c r="J164" s="13">
        <f>IF(A164="","",H164*I164)</f>
        <v/>
      </c>
      <c r="K164" s="13">
        <f>IF(A164="","",E164*D164*IF(AND(F164&gt;=Setup!$B$4,EDATE(Setup!$B$4,12)-F164&lt;180),0.5,1))</f>
        <v/>
      </c>
      <c r="L164" s="13">
        <f>IF(A164="","",K164-J164)</f>
        <v/>
      </c>
      <c r="M164" s="8" t="n"/>
    </row>
    <row r="165">
      <c r="A165" s="10" t="n"/>
      <c r="B165" s="10" t="n"/>
      <c r="C165" s="11" t="n"/>
      <c r="D165" s="9" t="n"/>
      <c r="E165" s="12" t="n"/>
      <c r="F165" s="8" t="n"/>
      <c r="G165" s="10" t="n"/>
      <c r="H165" s="13">
        <f>IF(A165="","",E165*(1-Setup!$B$5)/(C165*12))</f>
        <v/>
      </c>
      <c r="I165" s="14">
        <f>IF(A165="","",MAX(0,MIN(12,DATEDIF(MAX(F165,Setup!$B$4),EDATE(Setup!$B$4,12),"m"))))</f>
        <v/>
      </c>
      <c r="J165" s="13">
        <f>IF(A165="","",H165*I165)</f>
        <v/>
      </c>
      <c r="K165" s="13">
        <f>IF(A165="","",E165*D165*IF(AND(F165&gt;=Setup!$B$4,EDATE(Setup!$B$4,12)-F165&lt;180),0.5,1))</f>
        <v/>
      </c>
      <c r="L165" s="13">
        <f>IF(A165="","",K165-J165)</f>
        <v/>
      </c>
      <c r="M165" s="8" t="n"/>
    </row>
    <row r="166">
      <c r="A166" s="10" t="n"/>
      <c r="B166" s="10" t="n"/>
      <c r="C166" s="11" t="n"/>
      <c r="D166" s="9" t="n"/>
      <c r="E166" s="12" t="n"/>
      <c r="F166" s="8" t="n"/>
      <c r="G166" s="10" t="n"/>
      <c r="H166" s="13">
        <f>IF(A166="","",E166*(1-Setup!$B$5)/(C166*12))</f>
        <v/>
      </c>
      <c r="I166" s="14">
        <f>IF(A166="","",MAX(0,MIN(12,DATEDIF(MAX(F166,Setup!$B$4),EDATE(Setup!$B$4,12),"m"))))</f>
        <v/>
      </c>
      <c r="J166" s="13">
        <f>IF(A166="","",H166*I166)</f>
        <v/>
      </c>
      <c r="K166" s="13">
        <f>IF(A166="","",E166*D166*IF(AND(F166&gt;=Setup!$B$4,EDATE(Setup!$B$4,12)-F166&lt;180),0.5,1))</f>
        <v/>
      </c>
      <c r="L166" s="13">
        <f>IF(A166="","",K166-J166)</f>
        <v/>
      </c>
      <c r="M166" s="8" t="n"/>
    </row>
    <row r="167">
      <c r="A167" s="10" t="n"/>
      <c r="B167" s="10" t="n"/>
      <c r="C167" s="11" t="n"/>
      <c r="D167" s="9" t="n"/>
      <c r="E167" s="12" t="n"/>
      <c r="F167" s="8" t="n"/>
      <c r="G167" s="10" t="n"/>
      <c r="H167" s="13">
        <f>IF(A167="","",E167*(1-Setup!$B$5)/(C167*12))</f>
        <v/>
      </c>
      <c r="I167" s="14">
        <f>IF(A167="","",MAX(0,MIN(12,DATEDIF(MAX(F167,Setup!$B$4),EDATE(Setup!$B$4,12),"m"))))</f>
        <v/>
      </c>
      <c r="J167" s="13">
        <f>IF(A167="","",H167*I167)</f>
        <v/>
      </c>
      <c r="K167" s="13">
        <f>IF(A167="","",E167*D167*IF(AND(F167&gt;=Setup!$B$4,EDATE(Setup!$B$4,12)-F167&lt;180),0.5,1))</f>
        <v/>
      </c>
      <c r="L167" s="13">
        <f>IF(A167="","",K167-J167)</f>
        <v/>
      </c>
      <c r="M167" s="8" t="n"/>
    </row>
    <row r="168">
      <c r="A168" s="10" t="n"/>
      <c r="B168" s="10" t="n"/>
      <c r="C168" s="11" t="n"/>
      <c r="D168" s="9" t="n"/>
      <c r="E168" s="12" t="n"/>
      <c r="F168" s="8" t="n"/>
      <c r="G168" s="10" t="n"/>
      <c r="H168" s="13">
        <f>IF(A168="","",E168*(1-Setup!$B$5)/(C168*12))</f>
        <v/>
      </c>
      <c r="I168" s="14">
        <f>IF(A168="","",MAX(0,MIN(12,DATEDIF(MAX(F168,Setup!$B$4),EDATE(Setup!$B$4,12),"m"))))</f>
        <v/>
      </c>
      <c r="J168" s="13">
        <f>IF(A168="","",H168*I168)</f>
        <v/>
      </c>
      <c r="K168" s="13">
        <f>IF(A168="","",E168*D168*IF(AND(F168&gt;=Setup!$B$4,EDATE(Setup!$B$4,12)-F168&lt;180),0.5,1))</f>
        <v/>
      </c>
      <c r="L168" s="13">
        <f>IF(A168="","",K168-J168)</f>
        <v/>
      </c>
      <c r="M168" s="8" t="n"/>
    </row>
    <row r="169">
      <c r="A169" s="10" t="n"/>
      <c r="B169" s="10" t="n"/>
      <c r="C169" s="11" t="n"/>
      <c r="D169" s="9" t="n"/>
      <c r="E169" s="12" t="n"/>
      <c r="F169" s="8" t="n"/>
      <c r="G169" s="10" t="n"/>
      <c r="H169" s="13">
        <f>IF(A169="","",E169*(1-Setup!$B$5)/(C169*12))</f>
        <v/>
      </c>
      <c r="I169" s="14">
        <f>IF(A169="","",MAX(0,MIN(12,DATEDIF(MAX(F169,Setup!$B$4),EDATE(Setup!$B$4,12),"m"))))</f>
        <v/>
      </c>
      <c r="J169" s="13">
        <f>IF(A169="","",H169*I169)</f>
        <v/>
      </c>
      <c r="K169" s="13">
        <f>IF(A169="","",E169*D169*IF(AND(F169&gt;=Setup!$B$4,EDATE(Setup!$B$4,12)-F169&lt;180),0.5,1))</f>
        <v/>
      </c>
      <c r="L169" s="13">
        <f>IF(A169="","",K169-J169)</f>
        <v/>
      </c>
      <c r="M169" s="8" t="n"/>
    </row>
    <row r="170">
      <c r="A170" s="10" t="n"/>
      <c r="B170" s="10" t="n"/>
      <c r="C170" s="11" t="n"/>
      <c r="D170" s="9" t="n"/>
      <c r="E170" s="12" t="n"/>
      <c r="F170" s="8" t="n"/>
      <c r="G170" s="10" t="n"/>
      <c r="H170" s="13">
        <f>IF(A170="","",E170*(1-Setup!$B$5)/(C170*12))</f>
        <v/>
      </c>
      <c r="I170" s="14">
        <f>IF(A170="","",MAX(0,MIN(12,DATEDIF(MAX(F170,Setup!$B$4),EDATE(Setup!$B$4,12),"m"))))</f>
        <v/>
      </c>
      <c r="J170" s="13">
        <f>IF(A170="","",H170*I170)</f>
        <v/>
      </c>
      <c r="K170" s="13">
        <f>IF(A170="","",E170*D170*IF(AND(F170&gt;=Setup!$B$4,EDATE(Setup!$B$4,12)-F170&lt;180),0.5,1))</f>
        <v/>
      </c>
      <c r="L170" s="13">
        <f>IF(A170="","",K170-J170)</f>
        <v/>
      </c>
      <c r="M170" s="8" t="n"/>
    </row>
    <row r="171">
      <c r="A171" s="10" t="n"/>
      <c r="B171" s="10" t="n"/>
      <c r="C171" s="11" t="n"/>
      <c r="D171" s="9" t="n"/>
      <c r="E171" s="12" t="n"/>
      <c r="F171" s="8" t="n"/>
      <c r="G171" s="10" t="n"/>
      <c r="H171" s="13">
        <f>IF(A171="","",E171*(1-Setup!$B$5)/(C171*12))</f>
        <v/>
      </c>
      <c r="I171" s="14">
        <f>IF(A171="","",MAX(0,MIN(12,DATEDIF(MAX(F171,Setup!$B$4),EDATE(Setup!$B$4,12),"m"))))</f>
        <v/>
      </c>
      <c r="J171" s="13">
        <f>IF(A171="","",H171*I171)</f>
        <v/>
      </c>
      <c r="K171" s="13">
        <f>IF(A171="","",E171*D171*IF(AND(F171&gt;=Setup!$B$4,EDATE(Setup!$B$4,12)-F171&lt;180),0.5,1))</f>
        <v/>
      </c>
      <c r="L171" s="13">
        <f>IF(A171="","",K171-J171)</f>
        <v/>
      </c>
      <c r="M171" s="8" t="n"/>
    </row>
    <row r="172">
      <c r="A172" s="10" t="n"/>
      <c r="B172" s="10" t="n"/>
      <c r="C172" s="11" t="n"/>
      <c r="D172" s="9" t="n"/>
      <c r="E172" s="12" t="n"/>
      <c r="F172" s="8" t="n"/>
      <c r="G172" s="10" t="n"/>
      <c r="H172" s="13">
        <f>IF(A172="","",E172*(1-Setup!$B$5)/(C172*12))</f>
        <v/>
      </c>
      <c r="I172" s="14">
        <f>IF(A172="","",MAX(0,MIN(12,DATEDIF(MAX(F172,Setup!$B$4),EDATE(Setup!$B$4,12),"m"))))</f>
        <v/>
      </c>
      <c r="J172" s="13">
        <f>IF(A172="","",H172*I172)</f>
        <v/>
      </c>
      <c r="K172" s="13">
        <f>IF(A172="","",E172*D172*IF(AND(F172&gt;=Setup!$B$4,EDATE(Setup!$B$4,12)-F172&lt;180),0.5,1))</f>
        <v/>
      </c>
      <c r="L172" s="13">
        <f>IF(A172="","",K172-J172)</f>
        <v/>
      </c>
      <c r="M172" s="8" t="n"/>
    </row>
    <row r="173">
      <c r="A173" s="10" t="n"/>
      <c r="B173" s="10" t="n"/>
      <c r="C173" s="11" t="n"/>
      <c r="D173" s="9" t="n"/>
      <c r="E173" s="12" t="n"/>
      <c r="F173" s="8" t="n"/>
      <c r="G173" s="10" t="n"/>
      <c r="H173" s="13">
        <f>IF(A173="","",E173*(1-Setup!$B$5)/(C173*12))</f>
        <v/>
      </c>
      <c r="I173" s="14">
        <f>IF(A173="","",MAX(0,MIN(12,DATEDIF(MAX(F173,Setup!$B$4),EDATE(Setup!$B$4,12),"m"))))</f>
        <v/>
      </c>
      <c r="J173" s="13">
        <f>IF(A173="","",H173*I173)</f>
        <v/>
      </c>
      <c r="K173" s="13">
        <f>IF(A173="","",E173*D173*IF(AND(F173&gt;=Setup!$B$4,EDATE(Setup!$B$4,12)-F173&lt;180),0.5,1))</f>
        <v/>
      </c>
      <c r="L173" s="13">
        <f>IF(A173="","",K173-J173)</f>
        <v/>
      </c>
      <c r="M173" s="8" t="n"/>
    </row>
    <row r="174">
      <c r="A174" s="10" t="n"/>
      <c r="B174" s="10" t="n"/>
      <c r="C174" s="11" t="n"/>
      <c r="D174" s="9" t="n"/>
      <c r="E174" s="12" t="n"/>
      <c r="F174" s="8" t="n"/>
      <c r="G174" s="10" t="n"/>
      <c r="H174" s="13">
        <f>IF(A174="","",E174*(1-Setup!$B$5)/(C174*12))</f>
        <v/>
      </c>
      <c r="I174" s="14">
        <f>IF(A174="","",MAX(0,MIN(12,DATEDIF(MAX(F174,Setup!$B$4),EDATE(Setup!$B$4,12),"m"))))</f>
        <v/>
      </c>
      <c r="J174" s="13">
        <f>IF(A174="","",H174*I174)</f>
        <v/>
      </c>
      <c r="K174" s="13">
        <f>IF(A174="","",E174*D174*IF(AND(F174&gt;=Setup!$B$4,EDATE(Setup!$B$4,12)-F174&lt;180),0.5,1))</f>
        <v/>
      </c>
      <c r="L174" s="13">
        <f>IF(A174="","",K174-J174)</f>
        <v/>
      </c>
      <c r="M174" s="8" t="n"/>
    </row>
    <row r="175">
      <c r="A175" s="10" t="n"/>
      <c r="B175" s="10" t="n"/>
      <c r="C175" s="11" t="n"/>
      <c r="D175" s="9" t="n"/>
      <c r="E175" s="12" t="n"/>
      <c r="F175" s="8" t="n"/>
      <c r="G175" s="10" t="n"/>
      <c r="H175" s="13">
        <f>IF(A175="","",E175*(1-Setup!$B$5)/(C175*12))</f>
        <v/>
      </c>
      <c r="I175" s="14">
        <f>IF(A175="","",MAX(0,MIN(12,DATEDIF(MAX(F175,Setup!$B$4),EDATE(Setup!$B$4,12),"m"))))</f>
        <v/>
      </c>
      <c r="J175" s="13">
        <f>IF(A175="","",H175*I175)</f>
        <v/>
      </c>
      <c r="K175" s="13">
        <f>IF(A175="","",E175*D175*IF(AND(F175&gt;=Setup!$B$4,EDATE(Setup!$B$4,12)-F175&lt;180),0.5,1))</f>
        <v/>
      </c>
      <c r="L175" s="13">
        <f>IF(A175="","",K175-J175)</f>
        <v/>
      </c>
      <c r="M175" s="8" t="n"/>
    </row>
    <row r="176">
      <c r="A176" s="10" t="n"/>
      <c r="B176" s="10" t="n"/>
      <c r="C176" s="11" t="n"/>
      <c r="D176" s="9" t="n"/>
      <c r="E176" s="12" t="n"/>
      <c r="F176" s="8" t="n"/>
      <c r="G176" s="10" t="n"/>
      <c r="H176" s="13">
        <f>IF(A176="","",E176*(1-Setup!$B$5)/(C176*12))</f>
        <v/>
      </c>
      <c r="I176" s="14">
        <f>IF(A176="","",MAX(0,MIN(12,DATEDIF(MAX(F176,Setup!$B$4),EDATE(Setup!$B$4,12),"m"))))</f>
        <v/>
      </c>
      <c r="J176" s="13">
        <f>IF(A176="","",H176*I176)</f>
        <v/>
      </c>
      <c r="K176" s="13">
        <f>IF(A176="","",E176*D176*IF(AND(F176&gt;=Setup!$B$4,EDATE(Setup!$B$4,12)-F176&lt;180),0.5,1))</f>
        <v/>
      </c>
      <c r="L176" s="13">
        <f>IF(A176="","",K176-J176)</f>
        <v/>
      </c>
      <c r="M176" s="8" t="n"/>
    </row>
    <row r="177">
      <c r="A177" s="10" t="n"/>
      <c r="B177" s="10" t="n"/>
      <c r="C177" s="11" t="n"/>
      <c r="D177" s="9" t="n"/>
      <c r="E177" s="12" t="n"/>
      <c r="F177" s="8" t="n"/>
      <c r="G177" s="10" t="n"/>
      <c r="H177" s="13">
        <f>IF(A177="","",E177*(1-Setup!$B$5)/(C177*12))</f>
        <v/>
      </c>
      <c r="I177" s="14">
        <f>IF(A177="","",MAX(0,MIN(12,DATEDIF(MAX(F177,Setup!$B$4),EDATE(Setup!$B$4,12),"m"))))</f>
        <v/>
      </c>
      <c r="J177" s="13">
        <f>IF(A177="","",H177*I177)</f>
        <v/>
      </c>
      <c r="K177" s="13">
        <f>IF(A177="","",E177*D177*IF(AND(F177&gt;=Setup!$B$4,EDATE(Setup!$B$4,12)-F177&lt;180),0.5,1))</f>
        <v/>
      </c>
      <c r="L177" s="13">
        <f>IF(A177="","",K177-J177)</f>
        <v/>
      </c>
      <c r="M177" s="8" t="n"/>
    </row>
    <row r="178">
      <c r="A178" s="10" t="n"/>
      <c r="B178" s="10" t="n"/>
      <c r="C178" s="11" t="n"/>
      <c r="D178" s="9" t="n"/>
      <c r="E178" s="12" t="n"/>
      <c r="F178" s="8" t="n"/>
      <c r="G178" s="10" t="n"/>
      <c r="H178" s="13">
        <f>IF(A178="","",E178*(1-Setup!$B$5)/(C178*12))</f>
        <v/>
      </c>
      <c r="I178" s="14">
        <f>IF(A178="","",MAX(0,MIN(12,DATEDIF(MAX(F178,Setup!$B$4),EDATE(Setup!$B$4,12),"m"))))</f>
        <v/>
      </c>
      <c r="J178" s="13">
        <f>IF(A178="","",H178*I178)</f>
        <v/>
      </c>
      <c r="K178" s="13">
        <f>IF(A178="","",E178*D178*IF(AND(F178&gt;=Setup!$B$4,EDATE(Setup!$B$4,12)-F178&lt;180),0.5,1))</f>
        <v/>
      </c>
      <c r="L178" s="13">
        <f>IF(A178="","",K178-J178)</f>
        <v/>
      </c>
      <c r="M178" s="8" t="n"/>
    </row>
    <row r="179">
      <c r="A179" s="10" t="n"/>
      <c r="B179" s="10" t="n"/>
      <c r="C179" s="11" t="n"/>
      <c r="D179" s="9" t="n"/>
      <c r="E179" s="12" t="n"/>
      <c r="F179" s="8" t="n"/>
      <c r="G179" s="10" t="n"/>
      <c r="H179" s="13">
        <f>IF(A179="","",E179*(1-Setup!$B$5)/(C179*12))</f>
        <v/>
      </c>
      <c r="I179" s="14">
        <f>IF(A179="","",MAX(0,MIN(12,DATEDIF(MAX(F179,Setup!$B$4),EDATE(Setup!$B$4,12),"m"))))</f>
        <v/>
      </c>
      <c r="J179" s="13">
        <f>IF(A179="","",H179*I179)</f>
        <v/>
      </c>
      <c r="K179" s="13">
        <f>IF(A179="","",E179*D179*IF(AND(F179&gt;=Setup!$B$4,EDATE(Setup!$B$4,12)-F179&lt;180),0.5,1))</f>
        <v/>
      </c>
      <c r="L179" s="13">
        <f>IF(A179="","",K179-J179)</f>
        <v/>
      </c>
      <c r="M179" s="8" t="n"/>
    </row>
    <row r="180">
      <c r="A180" s="10" t="n"/>
      <c r="B180" s="10" t="n"/>
      <c r="C180" s="11" t="n"/>
      <c r="D180" s="9" t="n"/>
      <c r="E180" s="12" t="n"/>
      <c r="F180" s="8" t="n"/>
      <c r="G180" s="10" t="n"/>
      <c r="H180" s="13">
        <f>IF(A180="","",E180*(1-Setup!$B$5)/(C180*12))</f>
        <v/>
      </c>
      <c r="I180" s="14">
        <f>IF(A180="","",MAX(0,MIN(12,DATEDIF(MAX(F180,Setup!$B$4),EDATE(Setup!$B$4,12),"m"))))</f>
        <v/>
      </c>
      <c r="J180" s="13">
        <f>IF(A180="","",H180*I180)</f>
        <v/>
      </c>
      <c r="K180" s="13">
        <f>IF(A180="","",E180*D180*IF(AND(F180&gt;=Setup!$B$4,EDATE(Setup!$B$4,12)-F180&lt;180),0.5,1))</f>
        <v/>
      </c>
      <c r="L180" s="13">
        <f>IF(A180="","",K180-J180)</f>
        <v/>
      </c>
      <c r="M180" s="8" t="n"/>
    </row>
    <row r="181">
      <c r="A181" s="10" t="n"/>
      <c r="B181" s="10" t="n"/>
      <c r="C181" s="11" t="n"/>
      <c r="D181" s="9" t="n"/>
      <c r="E181" s="12" t="n"/>
      <c r="F181" s="8" t="n"/>
      <c r="G181" s="10" t="n"/>
      <c r="H181" s="13">
        <f>IF(A181="","",E181*(1-Setup!$B$5)/(C181*12))</f>
        <v/>
      </c>
      <c r="I181" s="14">
        <f>IF(A181="","",MAX(0,MIN(12,DATEDIF(MAX(F181,Setup!$B$4),EDATE(Setup!$B$4,12),"m"))))</f>
        <v/>
      </c>
      <c r="J181" s="13">
        <f>IF(A181="","",H181*I181)</f>
        <v/>
      </c>
      <c r="K181" s="13">
        <f>IF(A181="","",E181*D181*IF(AND(F181&gt;=Setup!$B$4,EDATE(Setup!$B$4,12)-F181&lt;180),0.5,1))</f>
        <v/>
      </c>
      <c r="L181" s="13">
        <f>IF(A181="","",K181-J181)</f>
        <v/>
      </c>
      <c r="M181" s="8" t="n"/>
    </row>
    <row r="182">
      <c r="A182" s="10" t="n"/>
      <c r="B182" s="10" t="n"/>
      <c r="C182" s="11" t="n"/>
      <c r="D182" s="9" t="n"/>
      <c r="E182" s="12" t="n"/>
      <c r="F182" s="8" t="n"/>
      <c r="G182" s="10" t="n"/>
      <c r="H182" s="13">
        <f>IF(A182="","",E182*(1-Setup!$B$5)/(C182*12))</f>
        <v/>
      </c>
      <c r="I182" s="14">
        <f>IF(A182="","",MAX(0,MIN(12,DATEDIF(MAX(F182,Setup!$B$4),EDATE(Setup!$B$4,12),"m"))))</f>
        <v/>
      </c>
      <c r="J182" s="13">
        <f>IF(A182="","",H182*I182)</f>
        <v/>
      </c>
      <c r="K182" s="13">
        <f>IF(A182="","",E182*D182*IF(AND(F182&gt;=Setup!$B$4,EDATE(Setup!$B$4,12)-F182&lt;180),0.5,1))</f>
        <v/>
      </c>
      <c r="L182" s="13">
        <f>IF(A182="","",K182-J182)</f>
        <v/>
      </c>
      <c r="M182" s="8" t="n"/>
    </row>
    <row r="183">
      <c r="A183" s="10" t="n"/>
      <c r="B183" s="10" t="n"/>
      <c r="C183" s="11" t="n"/>
      <c r="D183" s="9" t="n"/>
      <c r="E183" s="12" t="n"/>
      <c r="F183" s="8" t="n"/>
      <c r="G183" s="10" t="n"/>
      <c r="H183" s="13">
        <f>IF(A183="","",E183*(1-Setup!$B$5)/(C183*12))</f>
        <v/>
      </c>
      <c r="I183" s="14">
        <f>IF(A183="","",MAX(0,MIN(12,DATEDIF(MAX(F183,Setup!$B$4),EDATE(Setup!$B$4,12),"m"))))</f>
        <v/>
      </c>
      <c r="J183" s="13">
        <f>IF(A183="","",H183*I183)</f>
        <v/>
      </c>
      <c r="K183" s="13">
        <f>IF(A183="","",E183*D183*IF(AND(F183&gt;=Setup!$B$4,EDATE(Setup!$B$4,12)-F183&lt;180),0.5,1))</f>
        <v/>
      </c>
      <c r="L183" s="13">
        <f>IF(A183="","",K183-J183)</f>
        <v/>
      </c>
      <c r="M183" s="8" t="n"/>
    </row>
    <row r="184">
      <c r="A184" s="10" t="n"/>
      <c r="B184" s="10" t="n"/>
      <c r="C184" s="11" t="n"/>
      <c r="D184" s="9" t="n"/>
      <c r="E184" s="12" t="n"/>
      <c r="F184" s="8" t="n"/>
      <c r="G184" s="10" t="n"/>
      <c r="H184" s="13">
        <f>IF(A184="","",E184*(1-Setup!$B$5)/(C184*12))</f>
        <v/>
      </c>
      <c r="I184" s="14">
        <f>IF(A184="","",MAX(0,MIN(12,DATEDIF(MAX(F184,Setup!$B$4),EDATE(Setup!$B$4,12),"m"))))</f>
        <v/>
      </c>
      <c r="J184" s="13">
        <f>IF(A184="","",H184*I184)</f>
        <v/>
      </c>
      <c r="K184" s="13">
        <f>IF(A184="","",E184*D184*IF(AND(F184&gt;=Setup!$B$4,EDATE(Setup!$B$4,12)-F184&lt;180),0.5,1))</f>
        <v/>
      </c>
      <c r="L184" s="13">
        <f>IF(A184="","",K184-J184)</f>
        <v/>
      </c>
      <c r="M184" s="8" t="n"/>
    </row>
    <row r="185">
      <c r="A185" s="10" t="n"/>
      <c r="B185" s="10" t="n"/>
      <c r="C185" s="11" t="n"/>
      <c r="D185" s="9" t="n"/>
      <c r="E185" s="12" t="n"/>
      <c r="F185" s="8" t="n"/>
      <c r="G185" s="10" t="n"/>
      <c r="H185" s="13">
        <f>IF(A185="","",E185*(1-Setup!$B$5)/(C185*12))</f>
        <v/>
      </c>
      <c r="I185" s="14">
        <f>IF(A185="","",MAX(0,MIN(12,DATEDIF(MAX(F185,Setup!$B$4),EDATE(Setup!$B$4,12),"m"))))</f>
        <v/>
      </c>
      <c r="J185" s="13">
        <f>IF(A185="","",H185*I185)</f>
        <v/>
      </c>
      <c r="K185" s="13">
        <f>IF(A185="","",E185*D185*IF(AND(F185&gt;=Setup!$B$4,EDATE(Setup!$B$4,12)-F185&lt;180),0.5,1))</f>
        <v/>
      </c>
      <c r="L185" s="13">
        <f>IF(A185="","",K185-J185)</f>
        <v/>
      </c>
      <c r="M185" s="8" t="n"/>
    </row>
    <row r="186">
      <c r="A186" s="10" t="n"/>
      <c r="B186" s="10" t="n"/>
      <c r="C186" s="11" t="n"/>
      <c r="D186" s="9" t="n"/>
      <c r="E186" s="12" t="n"/>
      <c r="F186" s="8" t="n"/>
      <c r="G186" s="10" t="n"/>
      <c r="H186" s="13">
        <f>IF(A186="","",E186*(1-Setup!$B$5)/(C186*12))</f>
        <v/>
      </c>
      <c r="I186" s="14">
        <f>IF(A186="","",MAX(0,MIN(12,DATEDIF(MAX(F186,Setup!$B$4),EDATE(Setup!$B$4,12),"m"))))</f>
        <v/>
      </c>
      <c r="J186" s="13">
        <f>IF(A186="","",H186*I186)</f>
        <v/>
      </c>
      <c r="K186" s="13">
        <f>IF(A186="","",E186*D186*IF(AND(F186&gt;=Setup!$B$4,EDATE(Setup!$B$4,12)-F186&lt;180),0.5,1))</f>
        <v/>
      </c>
      <c r="L186" s="13">
        <f>IF(A186="","",K186-J186)</f>
        <v/>
      </c>
      <c r="M186" s="8" t="n"/>
    </row>
    <row r="187">
      <c r="A187" s="10" t="n"/>
      <c r="B187" s="10" t="n"/>
      <c r="C187" s="11" t="n"/>
      <c r="D187" s="9" t="n"/>
      <c r="E187" s="12" t="n"/>
      <c r="F187" s="8" t="n"/>
      <c r="G187" s="10" t="n"/>
      <c r="H187" s="13">
        <f>IF(A187="","",E187*(1-Setup!$B$5)/(C187*12))</f>
        <v/>
      </c>
      <c r="I187" s="14">
        <f>IF(A187="","",MAX(0,MIN(12,DATEDIF(MAX(F187,Setup!$B$4),EDATE(Setup!$B$4,12),"m"))))</f>
        <v/>
      </c>
      <c r="J187" s="13">
        <f>IF(A187="","",H187*I187)</f>
        <v/>
      </c>
      <c r="K187" s="13">
        <f>IF(A187="","",E187*D187*IF(AND(F187&gt;=Setup!$B$4,EDATE(Setup!$B$4,12)-F187&lt;180),0.5,1))</f>
        <v/>
      </c>
      <c r="L187" s="13">
        <f>IF(A187="","",K187-J187)</f>
        <v/>
      </c>
      <c r="M187" s="8" t="n"/>
    </row>
    <row r="188">
      <c r="A188" s="10" t="n"/>
      <c r="B188" s="10" t="n"/>
      <c r="C188" s="11" t="n"/>
      <c r="D188" s="9" t="n"/>
      <c r="E188" s="12" t="n"/>
      <c r="F188" s="8" t="n"/>
      <c r="G188" s="10" t="n"/>
      <c r="H188" s="13">
        <f>IF(A188="","",E188*(1-Setup!$B$5)/(C188*12))</f>
        <v/>
      </c>
      <c r="I188" s="14">
        <f>IF(A188="","",MAX(0,MIN(12,DATEDIF(MAX(F188,Setup!$B$4),EDATE(Setup!$B$4,12),"m"))))</f>
        <v/>
      </c>
      <c r="J188" s="13">
        <f>IF(A188="","",H188*I188)</f>
        <v/>
      </c>
      <c r="K188" s="13">
        <f>IF(A188="","",E188*D188*IF(AND(F188&gt;=Setup!$B$4,EDATE(Setup!$B$4,12)-F188&lt;180),0.5,1))</f>
        <v/>
      </c>
      <c r="L188" s="13">
        <f>IF(A188="","",K188-J188)</f>
        <v/>
      </c>
      <c r="M188" s="8" t="n"/>
    </row>
    <row r="189">
      <c r="A189" s="10" t="n"/>
      <c r="B189" s="10" t="n"/>
      <c r="C189" s="11" t="n"/>
      <c r="D189" s="9" t="n"/>
      <c r="E189" s="12" t="n"/>
      <c r="F189" s="8" t="n"/>
      <c r="G189" s="10" t="n"/>
      <c r="H189" s="13">
        <f>IF(A189="","",E189*(1-Setup!$B$5)/(C189*12))</f>
        <v/>
      </c>
      <c r="I189" s="14">
        <f>IF(A189="","",MAX(0,MIN(12,DATEDIF(MAX(F189,Setup!$B$4),EDATE(Setup!$B$4,12),"m"))))</f>
        <v/>
      </c>
      <c r="J189" s="13">
        <f>IF(A189="","",H189*I189)</f>
        <v/>
      </c>
      <c r="K189" s="13">
        <f>IF(A189="","",E189*D189*IF(AND(F189&gt;=Setup!$B$4,EDATE(Setup!$B$4,12)-F189&lt;180),0.5,1))</f>
        <v/>
      </c>
      <c r="L189" s="13">
        <f>IF(A189="","",K189-J189)</f>
        <v/>
      </c>
      <c r="M189" s="8" t="n"/>
    </row>
    <row r="190">
      <c r="A190" s="10" t="n"/>
      <c r="B190" s="10" t="n"/>
      <c r="C190" s="11" t="n"/>
      <c r="D190" s="9" t="n"/>
      <c r="E190" s="12" t="n"/>
      <c r="F190" s="8" t="n"/>
      <c r="G190" s="10" t="n"/>
      <c r="H190" s="13">
        <f>IF(A190="","",E190*(1-Setup!$B$5)/(C190*12))</f>
        <v/>
      </c>
      <c r="I190" s="14">
        <f>IF(A190="","",MAX(0,MIN(12,DATEDIF(MAX(F190,Setup!$B$4),EDATE(Setup!$B$4,12),"m"))))</f>
        <v/>
      </c>
      <c r="J190" s="13">
        <f>IF(A190="","",H190*I190)</f>
        <v/>
      </c>
      <c r="K190" s="13">
        <f>IF(A190="","",E190*D190*IF(AND(F190&gt;=Setup!$B$4,EDATE(Setup!$B$4,12)-F190&lt;180),0.5,1))</f>
        <v/>
      </c>
      <c r="L190" s="13">
        <f>IF(A190="","",K190-J190)</f>
        <v/>
      </c>
      <c r="M190" s="8" t="n"/>
    </row>
    <row r="191">
      <c r="A191" s="10" t="n"/>
      <c r="B191" s="10" t="n"/>
      <c r="C191" s="11" t="n"/>
      <c r="D191" s="9" t="n"/>
      <c r="E191" s="12" t="n"/>
      <c r="F191" s="8" t="n"/>
      <c r="G191" s="10" t="n"/>
      <c r="H191" s="13">
        <f>IF(A191="","",E191*(1-Setup!$B$5)/(C191*12))</f>
        <v/>
      </c>
      <c r="I191" s="14">
        <f>IF(A191="","",MAX(0,MIN(12,DATEDIF(MAX(F191,Setup!$B$4),EDATE(Setup!$B$4,12),"m"))))</f>
        <v/>
      </c>
      <c r="J191" s="13">
        <f>IF(A191="","",H191*I191)</f>
        <v/>
      </c>
      <c r="K191" s="13">
        <f>IF(A191="","",E191*D191*IF(AND(F191&gt;=Setup!$B$4,EDATE(Setup!$B$4,12)-F191&lt;180),0.5,1))</f>
        <v/>
      </c>
      <c r="L191" s="13">
        <f>IF(A191="","",K191-J191)</f>
        <v/>
      </c>
      <c r="M191" s="8" t="n"/>
    </row>
    <row r="192">
      <c r="A192" s="10" t="n"/>
      <c r="B192" s="10" t="n"/>
      <c r="C192" s="11" t="n"/>
      <c r="D192" s="9" t="n"/>
      <c r="E192" s="12" t="n"/>
      <c r="F192" s="8" t="n"/>
      <c r="G192" s="10" t="n"/>
      <c r="H192" s="13">
        <f>IF(A192="","",E192*(1-Setup!$B$5)/(C192*12))</f>
        <v/>
      </c>
      <c r="I192" s="14">
        <f>IF(A192="","",MAX(0,MIN(12,DATEDIF(MAX(F192,Setup!$B$4),EDATE(Setup!$B$4,12),"m"))))</f>
        <v/>
      </c>
      <c r="J192" s="13">
        <f>IF(A192="","",H192*I192)</f>
        <v/>
      </c>
      <c r="K192" s="13">
        <f>IF(A192="","",E192*D192*IF(AND(F192&gt;=Setup!$B$4,EDATE(Setup!$B$4,12)-F192&lt;180),0.5,1))</f>
        <v/>
      </c>
      <c r="L192" s="13">
        <f>IF(A192="","",K192-J192)</f>
        <v/>
      </c>
      <c r="M192" s="8" t="n"/>
    </row>
    <row r="193">
      <c r="A193" s="10" t="n"/>
      <c r="B193" s="10" t="n"/>
      <c r="C193" s="11" t="n"/>
      <c r="D193" s="9" t="n"/>
      <c r="E193" s="12" t="n"/>
      <c r="F193" s="8" t="n"/>
      <c r="G193" s="10" t="n"/>
      <c r="H193" s="13">
        <f>IF(A193="","",E193*(1-Setup!$B$5)/(C193*12))</f>
        <v/>
      </c>
      <c r="I193" s="14">
        <f>IF(A193="","",MAX(0,MIN(12,DATEDIF(MAX(F193,Setup!$B$4),EDATE(Setup!$B$4,12),"m"))))</f>
        <v/>
      </c>
      <c r="J193" s="13">
        <f>IF(A193="","",H193*I193)</f>
        <v/>
      </c>
      <c r="K193" s="13">
        <f>IF(A193="","",E193*D193*IF(AND(F193&gt;=Setup!$B$4,EDATE(Setup!$B$4,12)-F193&lt;180),0.5,1))</f>
        <v/>
      </c>
      <c r="L193" s="13">
        <f>IF(A193="","",K193-J193)</f>
        <v/>
      </c>
      <c r="M193" s="8" t="n"/>
    </row>
    <row r="194">
      <c r="A194" s="10" t="n"/>
      <c r="B194" s="10" t="n"/>
      <c r="C194" s="11" t="n"/>
      <c r="D194" s="9" t="n"/>
      <c r="E194" s="12" t="n"/>
      <c r="F194" s="8" t="n"/>
      <c r="G194" s="10" t="n"/>
      <c r="H194" s="13">
        <f>IF(A194="","",E194*(1-Setup!$B$5)/(C194*12))</f>
        <v/>
      </c>
      <c r="I194" s="14">
        <f>IF(A194="","",MAX(0,MIN(12,DATEDIF(MAX(F194,Setup!$B$4),EDATE(Setup!$B$4,12),"m"))))</f>
        <v/>
      </c>
      <c r="J194" s="13">
        <f>IF(A194="","",H194*I194)</f>
        <v/>
      </c>
      <c r="K194" s="13">
        <f>IF(A194="","",E194*D194*IF(AND(F194&gt;=Setup!$B$4,EDATE(Setup!$B$4,12)-F194&lt;180),0.5,1))</f>
        <v/>
      </c>
      <c r="L194" s="13">
        <f>IF(A194="","",K194-J194)</f>
        <v/>
      </c>
      <c r="M194" s="8" t="n"/>
    </row>
    <row r="195">
      <c r="A195" s="10" t="n"/>
      <c r="B195" s="10" t="n"/>
      <c r="C195" s="11" t="n"/>
      <c r="D195" s="9" t="n"/>
      <c r="E195" s="12" t="n"/>
      <c r="F195" s="8" t="n"/>
      <c r="G195" s="10" t="n"/>
      <c r="H195" s="13">
        <f>IF(A195="","",E195*(1-Setup!$B$5)/(C195*12))</f>
        <v/>
      </c>
      <c r="I195" s="14">
        <f>IF(A195="","",MAX(0,MIN(12,DATEDIF(MAX(F195,Setup!$B$4),EDATE(Setup!$B$4,12),"m"))))</f>
        <v/>
      </c>
      <c r="J195" s="13">
        <f>IF(A195="","",H195*I195)</f>
        <v/>
      </c>
      <c r="K195" s="13">
        <f>IF(A195="","",E195*D195*IF(AND(F195&gt;=Setup!$B$4,EDATE(Setup!$B$4,12)-F195&lt;180),0.5,1))</f>
        <v/>
      </c>
      <c r="L195" s="13">
        <f>IF(A195="","",K195-J195)</f>
        <v/>
      </c>
      <c r="M195" s="8" t="n"/>
    </row>
    <row r="196">
      <c r="A196" s="10" t="n"/>
      <c r="B196" s="10" t="n"/>
      <c r="C196" s="11" t="n"/>
      <c r="D196" s="9" t="n"/>
      <c r="E196" s="12" t="n"/>
      <c r="F196" s="8" t="n"/>
      <c r="G196" s="10" t="n"/>
      <c r="H196" s="13">
        <f>IF(A196="","",E196*(1-Setup!$B$5)/(C196*12))</f>
        <v/>
      </c>
      <c r="I196" s="14">
        <f>IF(A196="","",MAX(0,MIN(12,DATEDIF(MAX(F196,Setup!$B$4),EDATE(Setup!$B$4,12),"m"))))</f>
        <v/>
      </c>
      <c r="J196" s="13">
        <f>IF(A196="","",H196*I196)</f>
        <v/>
      </c>
      <c r="K196" s="13">
        <f>IF(A196="","",E196*D196*IF(AND(F196&gt;=Setup!$B$4,EDATE(Setup!$B$4,12)-F196&lt;180),0.5,1))</f>
        <v/>
      </c>
      <c r="L196" s="13">
        <f>IF(A196="","",K196-J196)</f>
        <v/>
      </c>
      <c r="M196" s="8" t="n"/>
    </row>
    <row r="197">
      <c r="A197" s="10" t="n"/>
      <c r="B197" s="10" t="n"/>
      <c r="C197" s="11" t="n"/>
      <c r="D197" s="9" t="n"/>
      <c r="E197" s="12" t="n"/>
      <c r="F197" s="8" t="n"/>
      <c r="G197" s="10" t="n"/>
      <c r="H197" s="13">
        <f>IF(A197="","",E197*(1-Setup!$B$5)/(C197*12))</f>
        <v/>
      </c>
      <c r="I197" s="14">
        <f>IF(A197="","",MAX(0,MIN(12,DATEDIF(MAX(F197,Setup!$B$4),EDATE(Setup!$B$4,12),"m"))))</f>
        <v/>
      </c>
      <c r="J197" s="13">
        <f>IF(A197="","",H197*I197)</f>
        <v/>
      </c>
      <c r="K197" s="13">
        <f>IF(A197="","",E197*D197*IF(AND(F197&gt;=Setup!$B$4,EDATE(Setup!$B$4,12)-F197&lt;180),0.5,1))</f>
        <v/>
      </c>
      <c r="L197" s="13">
        <f>IF(A197="","",K197-J197)</f>
        <v/>
      </c>
      <c r="M197" s="8" t="n"/>
    </row>
    <row r="198">
      <c r="A198" s="10" t="n"/>
      <c r="B198" s="10" t="n"/>
      <c r="C198" s="11" t="n"/>
      <c r="D198" s="9" t="n"/>
      <c r="E198" s="12" t="n"/>
      <c r="F198" s="8" t="n"/>
      <c r="G198" s="10" t="n"/>
      <c r="H198" s="13">
        <f>IF(A198="","",E198*(1-Setup!$B$5)/(C198*12))</f>
        <v/>
      </c>
      <c r="I198" s="14">
        <f>IF(A198="","",MAX(0,MIN(12,DATEDIF(MAX(F198,Setup!$B$4),EDATE(Setup!$B$4,12),"m"))))</f>
        <v/>
      </c>
      <c r="J198" s="13">
        <f>IF(A198="","",H198*I198)</f>
        <v/>
      </c>
      <c r="K198" s="13">
        <f>IF(A198="","",E198*D198*IF(AND(F198&gt;=Setup!$B$4,EDATE(Setup!$B$4,12)-F198&lt;180),0.5,1))</f>
        <v/>
      </c>
      <c r="L198" s="13">
        <f>IF(A198="","",K198-J198)</f>
        <v/>
      </c>
      <c r="M198" s="8" t="n"/>
    </row>
    <row r="199">
      <c r="A199" s="10" t="n"/>
      <c r="B199" s="10" t="n"/>
      <c r="C199" s="11" t="n"/>
      <c r="D199" s="9" t="n"/>
      <c r="E199" s="12" t="n"/>
      <c r="F199" s="8" t="n"/>
      <c r="G199" s="10" t="n"/>
      <c r="H199" s="13">
        <f>IF(A199="","",E199*(1-Setup!$B$5)/(C199*12))</f>
        <v/>
      </c>
      <c r="I199" s="14">
        <f>IF(A199="","",MAX(0,MIN(12,DATEDIF(MAX(F199,Setup!$B$4),EDATE(Setup!$B$4,12),"m"))))</f>
        <v/>
      </c>
      <c r="J199" s="13">
        <f>IF(A199="","",H199*I199)</f>
        <v/>
      </c>
      <c r="K199" s="13">
        <f>IF(A199="","",E199*D199*IF(AND(F199&gt;=Setup!$B$4,EDATE(Setup!$B$4,12)-F199&lt;180),0.5,1))</f>
        <v/>
      </c>
      <c r="L199" s="13">
        <f>IF(A199="","",K199-J199)</f>
        <v/>
      </c>
      <c r="M199" s="8" t="n"/>
    </row>
    <row r="200">
      <c r="A200" s="10" t="n"/>
      <c r="B200" s="10" t="n"/>
      <c r="C200" s="11" t="n"/>
      <c r="D200" s="9" t="n"/>
      <c r="E200" s="12" t="n"/>
      <c r="F200" s="8" t="n"/>
      <c r="G200" s="10" t="n"/>
      <c r="H200" s="13">
        <f>IF(A200="","",E200*(1-Setup!$B$5)/(C200*12))</f>
        <v/>
      </c>
      <c r="I200" s="14">
        <f>IF(A200="","",MAX(0,MIN(12,DATEDIF(MAX(F200,Setup!$B$4),EDATE(Setup!$B$4,12),"m"))))</f>
        <v/>
      </c>
      <c r="J200" s="13">
        <f>IF(A200="","",H200*I200)</f>
        <v/>
      </c>
      <c r="K200" s="13">
        <f>IF(A200="","",E200*D200*IF(AND(F200&gt;=Setup!$B$4,EDATE(Setup!$B$4,12)-F200&lt;180),0.5,1))</f>
        <v/>
      </c>
      <c r="L200" s="13">
        <f>IF(A200="","",K200-J200)</f>
        <v/>
      </c>
      <c r="M200" s="8" t="n"/>
    </row>
    <row r="201">
      <c r="A201" s="10" t="n"/>
      <c r="B201" s="10" t="n"/>
      <c r="C201" s="11" t="n"/>
      <c r="D201" s="9" t="n"/>
      <c r="E201" s="12" t="n"/>
      <c r="F201" s="8" t="n"/>
      <c r="G201" s="10" t="n"/>
      <c r="H201" s="13">
        <f>IF(A201="","",E201*(1-Setup!$B$5)/(C201*12))</f>
        <v/>
      </c>
      <c r="I201" s="14">
        <f>IF(A201="","",MAX(0,MIN(12,DATEDIF(MAX(F201,Setup!$B$4),EDATE(Setup!$B$4,12),"m"))))</f>
        <v/>
      </c>
      <c r="J201" s="13">
        <f>IF(A201="","",H201*I201)</f>
        <v/>
      </c>
      <c r="K201" s="13">
        <f>IF(A201="","",E201*D201*IF(AND(F201&gt;=Setup!$B$4,EDATE(Setup!$B$4,12)-F201&lt;180),0.5,1))</f>
        <v/>
      </c>
      <c r="L201" s="13">
        <f>IF(A201="","",K201-J201)</f>
        <v/>
      </c>
      <c r="M201" s="8" t="n"/>
    </row>
    <row r="202">
      <c r="A202" s="10" t="n"/>
      <c r="B202" s="10" t="n"/>
      <c r="C202" s="11" t="n"/>
      <c r="D202" s="9" t="n"/>
      <c r="E202" s="12" t="n"/>
      <c r="F202" s="8" t="n"/>
      <c r="G202" s="10" t="n"/>
      <c r="H202" s="13">
        <f>IF(A202="","",E202*(1-Setup!$B$5)/(C202*12))</f>
        <v/>
      </c>
      <c r="I202" s="14">
        <f>IF(A202="","",MAX(0,MIN(12,DATEDIF(MAX(F202,Setup!$B$4),EDATE(Setup!$B$4,12),"m"))))</f>
        <v/>
      </c>
      <c r="J202" s="13">
        <f>IF(A202="","",H202*I202)</f>
        <v/>
      </c>
      <c r="K202" s="13">
        <f>IF(A202="","",E202*D202*IF(AND(F202&gt;=Setup!$B$4,EDATE(Setup!$B$4,12)-F202&lt;180),0.5,1))</f>
        <v/>
      </c>
      <c r="L202" s="13">
        <f>IF(A202="","",K202-J202)</f>
        <v/>
      </c>
      <c r="M202" s="8" t="n"/>
    </row>
    <row r="203">
      <c r="A203" s="10" t="n"/>
      <c r="B203" s="10" t="n"/>
      <c r="C203" s="11" t="n"/>
      <c r="D203" s="9" t="n"/>
      <c r="E203" s="12" t="n"/>
      <c r="F203" s="8" t="n"/>
      <c r="G203" s="10" t="n"/>
      <c r="H203" s="13">
        <f>IF(A203="","",E203*(1-Setup!$B$5)/(C203*12))</f>
        <v/>
      </c>
      <c r="I203" s="14">
        <f>IF(A203="","",MAX(0,MIN(12,DATEDIF(MAX(F203,Setup!$B$4),EDATE(Setup!$B$4,12),"m"))))</f>
        <v/>
      </c>
      <c r="J203" s="13">
        <f>IF(A203="","",H203*I203)</f>
        <v/>
      </c>
      <c r="K203" s="13">
        <f>IF(A203="","",E203*D203*IF(AND(F203&gt;=Setup!$B$4,EDATE(Setup!$B$4,12)-F203&lt;180),0.5,1))</f>
        <v/>
      </c>
      <c r="L203" s="13">
        <f>IF(A203="","",K203-J203)</f>
        <v/>
      </c>
      <c r="M203" s="8" t="n"/>
    </row>
    <row r="204">
      <c r="A204" s="10" t="n"/>
      <c r="B204" s="10" t="n"/>
      <c r="C204" s="11" t="n"/>
      <c r="D204" s="9" t="n"/>
      <c r="E204" s="12" t="n"/>
      <c r="F204" s="8" t="n"/>
      <c r="G204" s="10" t="n"/>
      <c r="H204" s="13">
        <f>IF(A204="","",E204*(1-Setup!$B$5)/(C204*12))</f>
        <v/>
      </c>
      <c r="I204" s="14">
        <f>IF(A204="","",MAX(0,MIN(12,DATEDIF(MAX(F204,Setup!$B$4),EDATE(Setup!$B$4,12),"m"))))</f>
        <v/>
      </c>
      <c r="J204" s="13">
        <f>IF(A204="","",H204*I204)</f>
        <v/>
      </c>
      <c r="K204" s="13">
        <f>IF(A204="","",E204*D204*IF(AND(F204&gt;=Setup!$B$4,EDATE(Setup!$B$4,12)-F204&lt;180),0.5,1))</f>
        <v/>
      </c>
      <c r="L204" s="13">
        <f>IF(A204="","",K204-J204)</f>
        <v/>
      </c>
      <c r="M204" s="8" t="n"/>
    </row>
    <row r="205">
      <c r="A205" s="10" t="n"/>
      <c r="B205" s="10" t="n"/>
      <c r="C205" s="11" t="n"/>
      <c r="D205" s="9" t="n"/>
      <c r="E205" s="12" t="n"/>
      <c r="F205" s="8" t="n"/>
      <c r="G205" s="10" t="n"/>
      <c r="H205" s="13">
        <f>IF(A205="","",E205*(1-Setup!$B$5)/(C205*12))</f>
        <v/>
      </c>
      <c r="I205" s="14">
        <f>IF(A205="","",MAX(0,MIN(12,DATEDIF(MAX(F205,Setup!$B$4),EDATE(Setup!$B$4,12),"m"))))</f>
        <v/>
      </c>
      <c r="J205" s="13">
        <f>IF(A205="","",H205*I205)</f>
        <v/>
      </c>
      <c r="K205" s="13">
        <f>IF(A205="","",E205*D205*IF(AND(F205&gt;=Setup!$B$4,EDATE(Setup!$B$4,12)-F205&lt;180),0.5,1))</f>
        <v/>
      </c>
      <c r="L205" s="13">
        <f>IF(A205="","",K205-J205)</f>
        <v/>
      </c>
      <c r="M205" s="8" t="n"/>
    </row>
    <row r="206">
      <c r="A206" s="10" t="n"/>
      <c r="B206" s="10" t="n"/>
      <c r="C206" s="11" t="n"/>
      <c r="D206" s="9" t="n"/>
      <c r="E206" s="12" t="n"/>
      <c r="F206" s="8" t="n"/>
      <c r="G206" s="10" t="n"/>
      <c r="H206" s="13">
        <f>IF(A206="","",E206*(1-Setup!$B$5)/(C206*12))</f>
        <v/>
      </c>
      <c r="I206" s="14">
        <f>IF(A206="","",MAX(0,MIN(12,DATEDIF(MAX(F206,Setup!$B$4),EDATE(Setup!$B$4,12),"m"))))</f>
        <v/>
      </c>
      <c r="J206" s="13">
        <f>IF(A206="","",H206*I206)</f>
        <v/>
      </c>
      <c r="K206" s="13">
        <f>IF(A206="","",E206*D206*IF(AND(F206&gt;=Setup!$B$4,EDATE(Setup!$B$4,12)-F206&lt;180),0.5,1))</f>
        <v/>
      </c>
      <c r="L206" s="13">
        <f>IF(A206="","",K206-J206)</f>
        <v/>
      </c>
      <c r="M206" s="8" t="n"/>
    </row>
    <row r="207">
      <c r="A207" s="10" t="n"/>
      <c r="B207" s="10" t="n"/>
      <c r="C207" s="11" t="n"/>
      <c r="D207" s="9" t="n"/>
      <c r="E207" s="12" t="n"/>
      <c r="F207" s="8" t="n"/>
      <c r="G207" s="10" t="n"/>
      <c r="H207" s="13">
        <f>IF(A207="","",E207*(1-Setup!$B$5)/(C207*12))</f>
        <v/>
      </c>
      <c r="I207" s="14">
        <f>IF(A207="","",MAX(0,MIN(12,DATEDIF(MAX(F207,Setup!$B$4),EDATE(Setup!$B$4,12),"m"))))</f>
        <v/>
      </c>
      <c r="J207" s="13">
        <f>IF(A207="","",H207*I207)</f>
        <v/>
      </c>
      <c r="K207" s="13">
        <f>IF(A207="","",E207*D207*IF(AND(F207&gt;=Setup!$B$4,EDATE(Setup!$B$4,12)-F207&lt;180),0.5,1))</f>
        <v/>
      </c>
      <c r="L207" s="13">
        <f>IF(A207="","",K207-J207)</f>
        <v/>
      </c>
      <c r="M207" s="8" t="n"/>
    </row>
    <row r="208">
      <c r="A208" s="10" t="n"/>
      <c r="B208" s="10" t="n"/>
      <c r="C208" s="11" t="n"/>
      <c r="D208" s="9" t="n"/>
      <c r="E208" s="12" t="n"/>
      <c r="F208" s="8" t="n"/>
      <c r="G208" s="10" t="n"/>
      <c r="H208" s="13">
        <f>IF(A208="","",E208*(1-Setup!$B$5)/(C208*12))</f>
        <v/>
      </c>
      <c r="I208" s="14">
        <f>IF(A208="","",MAX(0,MIN(12,DATEDIF(MAX(F208,Setup!$B$4),EDATE(Setup!$B$4,12),"m"))))</f>
        <v/>
      </c>
      <c r="J208" s="13">
        <f>IF(A208="","",H208*I208)</f>
        <v/>
      </c>
      <c r="K208" s="13">
        <f>IF(A208="","",E208*D208*IF(AND(F208&gt;=Setup!$B$4,EDATE(Setup!$B$4,12)-F208&lt;180),0.5,1))</f>
        <v/>
      </c>
      <c r="L208" s="13">
        <f>IF(A208="","",K208-J208)</f>
        <v/>
      </c>
      <c r="M208" s="8" t="n"/>
    </row>
    <row r="209">
      <c r="A209" s="10" t="n"/>
      <c r="B209" s="10" t="n"/>
      <c r="C209" s="11" t="n"/>
      <c r="D209" s="9" t="n"/>
      <c r="E209" s="12" t="n"/>
      <c r="F209" s="8" t="n"/>
      <c r="G209" s="10" t="n"/>
      <c r="H209" s="13">
        <f>IF(A209="","",E209*(1-Setup!$B$5)/(C209*12))</f>
        <v/>
      </c>
      <c r="I209" s="14">
        <f>IF(A209="","",MAX(0,MIN(12,DATEDIF(MAX(F209,Setup!$B$4),EDATE(Setup!$B$4,12),"m"))))</f>
        <v/>
      </c>
      <c r="J209" s="13">
        <f>IF(A209="","",H209*I209)</f>
        <v/>
      </c>
      <c r="K209" s="13">
        <f>IF(A209="","",E209*D209*IF(AND(F209&gt;=Setup!$B$4,EDATE(Setup!$B$4,12)-F209&lt;180),0.5,1))</f>
        <v/>
      </c>
      <c r="L209" s="13">
        <f>IF(A209="","",K209-J209)</f>
        <v/>
      </c>
      <c r="M209" s="8" t="n"/>
    </row>
    <row r="210">
      <c r="A210" s="10" t="n"/>
      <c r="B210" s="10" t="n"/>
      <c r="C210" s="11" t="n"/>
      <c r="D210" s="9" t="n"/>
      <c r="E210" s="12" t="n"/>
      <c r="F210" s="8" t="n"/>
      <c r="G210" s="10" t="n"/>
      <c r="H210" s="13">
        <f>IF(A210="","",E210*(1-Setup!$B$5)/(C210*12))</f>
        <v/>
      </c>
      <c r="I210" s="14">
        <f>IF(A210="","",MAX(0,MIN(12,DATEDIF(MAX(F210,Setup!$B$4),EDATE(Setup!$B$4,12),"m"))))</f>
        <v/>
      </c>
      <c r="J210" s="13">
        <f>IF(A210="","",H210*I210)</f>
        <v/>
      </c>
      <c r="K210" s="13">
        <f>IF(A210="","",E210*D210*IF(AND(F210&gt;=Setup!$B$4,EDATE(Setup!$B$4,12)-F210&lt;180),0.5,1))</f>
        <v/>
      </c>
      <c r="L210" s="13">
        <f>IF(A210="","",K210-J210)</f>
        <v/>
      </c>
      <c r="M210" s="8" t="n"/>
    </row>
    <row r="211">
      <c r="A211" s="10" t="n"/>
      <c r="B211" s="10" t="n"/>
      <c r="C211" s="11" t="n"/>
      <c r="D211" s="9" t="n"/>
      <c r="E211" s="12" t="n"/>
      <c r="F211" s="8" t="n"/>
      <c r="G211" s="10" t="n"/>
      <c r="H211" s="13">
        <f>IF(A211="","",E211*(1-Setup!$B$5)/(C211*12))</f>
        <v/>
      </c>
      <c r="I211" s="14">
        <f>IF(A211="","",MAX(0,MIN(12,DATEDIF(MAX(F211,Setup!$B$4),EDATE(Setup!$B$4,12),"m"))))</f>
        <v/>
      </c>
      <c r="J211" s="13">
        <f>IF(A211="","",H211*I211)</f>
        <v/>
      </c>
      <c r="K211" s="13">
        <f>IF(A211="","",E211*D211*IF(AND(F211&gt;=Setup!$B$4,EDATE(Setup!$B$4,12)-F211&lt;180),0.5,1))</f>
        <v/>
      </c>
      <c r="L211" s="13">
        <f>IF(A211="","",K211-J211)</f>
        <v/>
      </c>
      <c r="M211" s="8" t="n"/>
    </row>
    <row r="212">
      <c r="A212" s="10" t="n"/>
      <c r="B212" s="10" t="n"/>
      <c r="C212" s="11" t="n"/>
      <c r="D212" s="9" t="n"/>
      <c r="E212" s="12" t="n"/>
      <c r="F212" s="8" t="n"/>
      <c r="G212" s="10" t="n"/>
      <c r="H212" s="13">
        <f>IF(A212="","",E212*(1-Setup!$B$5)/(C212*12))</f>
        <v/>
      </c>
      <c r="I212" s="14">
        <f>IF(A212="","",MAX(0,MIN(12,DATEDIF(MAX(F212,Setup!$B$4),EDATE(Setup!$B$4,12),"m"))))</f>
        <v/>
      </c>
      <c r="J212" s="13">
        <f>IF(A212="","",H212*I212)</f>
        <v/>
      </c>
      <c r="K212" s="13">
        <f>IF(A212="","",E212*D212*IF(AND(F212&gt;=Setup!$B$4,EDATE(Setup!$B$4,12)-F212&lt;180),0.5,1))</f>
        <v/>
      </c>
      <c r="L212" s="13">
        <f>IF(A212="","",K212-J212)</f>
        <v/>
      </c>
      <c r="M212" s="8" t="n"/>
    </row>
    <row r="213">
      <c r="A213" s="10" t="n"/>
      <c r="B213" s="10" t="n"/>
      <c r="C213" s="11" t="n"/>
      <c r="D213" s="9" t="n"/>
      <c r="E213" s="12" t="n"/>
      <c r="F213" s="8" t="n"/>
      <c r="G213" s="10" t="n"/>
      <c r="H213" s="13">
        <f>IF(A213="","",E213*(1-Setup!$B$5)/(C213*12))</f>
        <v/>
      </c>
      <c r="I213" s="14">
        <f>IF(A213="","",MAX(0,MIN(12,DATEDIF(MAX(F213,Setup!$B$4),EDATE(Setup!$B$4,12),"m"))))</f>
        <v/>
      </c>
      <c r="J213" s="13">
        <f>IF(A213="","",H213*I213)</f>
        <v/>
      </c>
      <c r="K213" s="13">
        <f>IF(A213="","",E213*D213*IF(AND(F213&gt;=Setup!$B$4,EDATE(Setup!$B$4,12)-F213&lt;180),0.5,1))</f>
        <v/>
      </c>
      <c r="L213" s="13">
        <f>IF(A213="","",K213-J213)</f>
        <v/>
      </c>
      <c r="M213" s="8" t="n"/>
    </row>
    <row r="214">
      <c r="A214" s="10" t="n"/>
      <c r="B214" s="10" t="n"/>
      <c r="C214" s="11" t="n"/>
      <c r="D214" s="9" t="n"/>
      <c r="E214" s="12" t="n"/>
      <c r="F214" s="8" t="n"/>
      <c r="G214" s="10" t="n"/>
      <c r="H214" s="13">
        <f>IF(A214="","",E214*(1-Setup!$B$5)/(C214*12))</f>
        <v/>
      </c>
      <c r="I214" s="14">
        <f>IF(A214="","",MAX(0,MIN(12,DATEDIF(MAX(F214,Setup!$B$4),EDATE(Setup!$B$4,12),"m"))))</f>
        <v/>
      </c>
      <c r="J214" s="13">
        <f>IF(A214="","",H214*I214)</f>
        <v/>
      </c>
      <c r="K214" s="13">
        <f>IF(A214="","",E214*D214*IF(AND(F214&gt;=Setup!$B$4,EDATE(Setup!$B$4,12)-F214&lt;180),0.5,1))</f>
        <v/>
      </c>
      <c r="L214" s="13">
        <f>IF(A214="","",K214-J214)</f>
        <v/>
      </c>
      <c r="M214" s="8" t="n"/>
    </row>
    <row r="215">
      <c r="A215" s="10" t="n"/>
      <c r="B215" s="10" t="n"/>
      <c r="C215" s="11" t="n"/>
      <c r="D215" s="9" t="n"/>
      <c r="E215" s="12" t="n"/>
      <c r="F215" s="8" t="n"/>
      <c r="G215" s="10" t="n"/>
      <c r="H215" s="13">
        <f>IF(A215="","",E215*(1-Setup!$B$5)/(C215*12))</f>
        <v/>
      </c>
      <c r="I215" s="14">
        <f>IF(A215="","",MAX(0,MIN(12,DATEDIF(MAX(F215,Setup!$B$4),EDATE(Setup!$B$4,12),"m"))))</f>
        <v/>
      </c>
      <c r="J215" s="13">
        <f>IF(A215="","",H215*I215)</f>
        <v/>
      </c>
      <c r="K215" s="13">
        <f>IF(A215="","",E215*D215*IF(AND(F215&gt;=Setup!$B$4,EDATE(Setup!$B$4,12)-F215&lt;180),0.5,1))</f>
        <v/>
      </c>
      <c r="L215" s="13">
        <f>IF(A215="","",K215-J215)</f>
        <v/>
      </c>
      <c r="M215" s="8" t="n"/>
    </row>
    <row r="216">
      <c r="A216" s="10" t="n"/>
      <c r="B216" s="10" t="n"/>
      <c r="C216" s="11" t="n"/>
      <c r="D216" s="9" t="n"/>
      <c r="E216" s="12" t="n"/>
      <c r="F216" s="8" t="n"/>
      <c r="G216" s="10" t="n"/>
      <c r="H216" s="13">
        <f>IF(A216="","",E216*(1-Setup!$B$5)/(C216*12))</f>
        <v/>
      </c>
      <c r="I216" s="14">
        <f>IF(A216="","",MAX(0,MIN(12,DATEDIF(MAX(F216,Setup!$B$4),EDATE(Setup!$B$4,12),"m"))))</f>
        <v/>
      </c>
      <c r="J216" s="13">
        <f>IF(A216="","",H216*I216)</f>
        <v/>
      </c>
      <c r="K216" s="13">
        <f>IF(A216="","",E216*D216*IF(AND(F216&gt;=Setup!$B$4,EDATE(Setup!$B$4,12)-F216&lt;180),0.5,1))</f>
        <v/>
      </c>
      <c r="L216" s="13">
        <f>IF(A216="","",K216-J216)</f>
        <v/>
      </c>
      <c r="M216" s="8" t="n"/>
    </row>
    <row r="217">
      <c r="A217" s="10" t="n"/>
      <c r="B217" s="10" t="n"/>
      <c r="C217" s="11" t="n"/>
      <c r="D217" s="9" t="n"/>
      <c r="E217" s="12" t="n"/>
      <c r="F217" s="8" t="n"/>
      <c r="G217" s="10" t="n"/>
      <c r="H217" s="13">
        <f>IF(A217="","",E217*(1-Setup!$B$5)/(C217*12))</f>
        <v/>
      </c>
      <c r="I217" s="14">
        <f>IF(A217="","",MAX(0,MIN(12,DATEDIF(MAX(F217,Setup!$B$4),EDATE(Setup!$B$4,12),"m"))))</f>
        <v/>
      </c>
      <c r="J217" s="13">
        <f>IF(A217="","",H217*I217)</f>
        <v/>
      </c>
      <c r="K217" s="13">
        <f>IF(A217="","",E217*D217*IF(AND(F217&gt;=Setup!$B$4,EDATE(Setup!$B$4,12)-F217&lt;180),0.5,1))</f>
        <v/>
      </c>
      <c r="L217" s="13">
        <f>IF(A217="","",K217-J217)</f>
        <v/>
      </c>
      <c r="M217" s="8" t="n"/>
    </row>
    <row r="218">
      <c r="A218" s="10" t="n"/>
      <c r="B218" s="10" t="n"/>
      <c r="C218" s="11" t="n"/>
      <c r="D218" s="9" t="n"/>
      <c r="E218" s="12" t="n"/>
      <c r="F218" s="8" t="n"/>
      <c r="G218" s="10" t="n"/>
      <c r="H218" s="13">
        <f>IF(A218="","",E218*(1-Setup!$B$5)/(C218*12))</f>
        <v/>
      </c>
      <c r="I218" s="14">
        <f>IF(A218="","",MAX(0,MIN(12,DATEDIF(MAX(F218,Setup!$B$4),EDATE(Setup!$B$4,12),"m"))))</f>
        <v/>
      </c>
      <c r="J218" s="13">
        <f>IF(A218="","",H218*I218)</f>
        <v/>
      </c>
      <c r="K218" s="13">
        <f>IF(A218="","",E218*D218*IF(AND(F218&gt;=Setup!$B$4,EDATE(Setup!$B$4,12)-F218&lt;180),0.5,1))</f>
        <v/>
      </c>
      <c r="L218" s="13">
        <f>IF(A218="","",K218-J218)</f>
        <v/>
      </c>
      <c r="M218" s="8" t="n"/>
    </row>
    <row r="219">
      <c r="A219" s="10" t="n"/>
      <c r="B219" s="10" t="n"/>
      <c r="C219" s="11" t="n"/>
      <c r="D219" s="9" t="n"/>
      <c r="E219" s="12" t="n"/>
      <c r="F219" s="8" t="n"/>
      <c r="G219" s="10" t="n"/>
      <c r="H219" s="13">
        <f>IF(A219="","",E219*(1-Setup!$B$5)/(C219*12))</f>
        <v/>
      </c>
      <c r="I219" s="14">
        <f>IF(A219="","",MAX(0,MIN(12,DATEDIF(MAX(F219,Setup!$B$4),EDATE(Setup!$B$4,12),"m"))))</f>
        <v/>
      </c>
      <c r="J219" s="13">
        <f>IF(A219="","",H219*I219)</f>
        <v/>
      </c>
      <c r="K219" s="13">
        <f>IF(A219="","",E219*D219*IF(AND(F219&gt;=Setup!$B$4,EDATE(Setup!$B$4,12)-F219&lt;180),0.5,1))</f>
        <v/>
      </c>
      <c r="L219" s="13">
        <f>IF(A219="","",K219-J219)</f>
        <v/>
      </c>
      <c r="M219" s="8" t="n"/>
    </row>
    <row r="220">
      <c r="A220" s="10" t="n"/>
      <c r="B220" s="10" t="n"/>
      <c r="C220" s="11" t="n"/>
      <c r="D220" s="9" t="n"/>
      <c r="E220" s="12" t="n"/>
      <c r="F220" s="8" t="n"/>
      <c r="G220" s="10" t="n"/>
      <c r="H220" s="13">
        <f>IF(A220="","",E220*(1-Setup!$B$5)/(C220*12))</f>
        <v/>
      </c>
      <c r="I220" s="14">
        <f>IF(A220="","",MAX(0,MIN(12,DATEDIF(MAX(F220,Setup!$B$4),EDATE(Setup!$B$4,12),"m"))))</f>
        <v/>
      </c>
      <c r="J220" s="13">
        <f>IF(A220="","",H220*I220)</f>
        <v/>
      </c>
      <c r="K220" s="13">
        <f>IF(A220="","",E220*D220*IF(AND(F220&gt;=Setup!$B$4,EDATE(Setup!$B$4,12)-F220&lt;180),0.5,1))</f>
        <v/>
      </c>
      <c r="L220" s="13">
        <f>IF(A220="","",K220-J220)</f>
        <v/>
      </c>
      <c r="M220" s="8" t="n"/>
    </row>
    <row r="221">
      <c r="A221" s="10" t="n"/>
      <c r="B221" s="10" t="n"/>
      <c r="C221" s="11" t="n"/>
      <c r="D221" s="9" t="n"/>
      <c r="E221" s="12" t="n"/>
      <c r="F221" s="8" t="n"/>
      <c r="G221" s="10" t="n"/>
      <c r="H221" s="13">
        <f>IF(A221="","",E221*(1-Setup!$B$5)/(C221*12))</f>
        <v/>
      </c>
      <c r="I221" s="14">
        <f>IF(A221="","",MAX(0,MIN(12,DATEDIF(MAX(F221,Setup!$B$4),EDATE(Setup!$B$4,12),"m"))))</f>
        <v/>
      </c>
      <c r="J221" s="13">
        <f>IF(A221="","",H221*I221)</f>
        <v/>
      </c>
      <c r="K221" s="13">
        <f>IF(A221="","",E221*D221*IF(AND(F221&gt;=Setup!$B$4,EDATE(Setup!$B$4,12)-F221&lt;180),0.5,1))</f>
        <v/>
      </c>
      <c r="L221" s="13">
        <f>IF(A221="","",K221-J221)</f>
        <v/>
      </c>
      <c r="M221" s="8" t="n"/>
    </row>
    <row r="222">
      <c r="A222" s="10" t="n"/>
      <c r="B222" s="10" t="n"/>
      <c r="C222" s="11" t="n"/>
      <c r="D222" s="9" t="n"/>
      <c r="E222" s="12" t="n"/>
      <c r="F222" s="8" t="n"/>
      <c r="G222" s="10" t="n"/>
      <c r="H222" s="13">
        <f>IF(A222="","",E222*(1-Setup!$B$5)/(C222*12))</f>
        <v/>
      </c>
      <c r="I222" s="14">
        <f>IF(A222="","",MAX(0,MIN(12,DATEDIF(MAX(F222,Setup!$B$4),EDATE(Setup!$B$4,12),"m"))))</f>
        <v/>
      </c>
      <c r="J222" s="13">
        <f>IF(A222="","",H222*I222)</f>
        <v/>
      </c>
      <c r="K222" s="13">
        <f>IF(A222="","",E222*D222*IF(AND(F222&gt;=Setup!$B$4,EDATE(Setup!$B$4,12)-F222&lt;180),0.5,1))</f>
        <v/>
      </c>
      <c r="L222" s="13">
        <f>IF(A222="","",K222-J222)</f>
        <v/>
      </c>
      <c r="M222" s="8" t="n"/>
    </row>
    <row r="223">
      <c r="A223" s="10" t="n"/>
      <c r="B223" s="10" t="n"/>
      <c r="C223" s="11" t="n"/>
      <c r="D223" s="9" t="n"/>
      <c r="E223" s="12" t="n"/>
      <c r="F223" s="8" t="n"/>
      <c r="G223" s="10" t="n"/>
      <c r="H223" s="13">
        <f>IF(A223="","",E223*(1-Setup!$B$5)/(C223*12))</f>
        <v/>
      </c>
      <c r="I223" s="14">
        <f>IF(A223="","",MAX(0,MIN(12,DATEDIF(MAX(F223,Setup!$B$4),EDATE(Setup!$B$4,12),"m"))))</f>
        <v/>
      </c>
      <c r="J223" s="13">
        <f>IF(A223="","",H223*I223)</f>
        <v/>
      </c>
      <c r="K223" s="13">
        <f>IF(A223="","",E223*D223*IF(AND(F223&gt;=Setup!$B$4,EDATE(Setup!$B$4,12)-F223&lt;180),0.5,1))</f>
        <v/>
      </c>
      <c r="L223" s="13">
        <f>IF(A223="","",K223-J223)</f>
        <v/>
      </c>
      <c r="M223" s="8" t="n"/>
    </row>
    <row r="224">
      <c r="A224" s="10" t="n"/>
      <c r="B224" s="10" t="n"/>
      <c r="C224" s="11" t="n"/>
      <c r="D224" s="9" t="n"/>
      <c r="E224" s="12" t="n"/>
      <c r="F224" s="8" t="n"/>
      <c r="G224" s="10" t="n"/>
      <c r="H224" s="13">
        <f>IF(A224="","",E224*(1-Setup!$B$5)/(C224*12))</f>
        <v/>
      </c>
      <c r="I224" s="14">
        <f>IF(A224="","",MAX(0,MIN(12,DATEDIF(MAX(F224,Setup!$B$4),EDATE(Setup!$B$4,12),"m"))))</f>
        <v/>
      </c>
      <c r="J224" s="13">
        <f>IF(A224="","",H224*I224)</f>
        <v/>
      </c>
      <c r="K224" s="13">
        <f>IF(A224="","",E224*D224*IF(AND(F224&gt;=Setup!$B$4,EDATE(Setup!$B$4,12)-F224&lt;180),0.5,1))</f>
        <v/>
      </c>
      <c r="L224" s="13">
        <f>IF(A224="","",K224-J224)</f>
        <v/>
      </c>
      <c r="M224" s="8" t="n"/>
    </row>
    <row r="225">
      <c r="A225" s="10" t="n"/>
      <c r="B225" s="10" t="n"/>
      <c r="C225" s="11" t="n"/>
      <c r="D225" s="9" t="n"/>
      <c r="E225" s="12" t="n"/>
      <c r="F225" s="8" t="n"/>
      <c r="G225" s="10" t="n"/>
      <c r="H225" s="13">
        <f>IF(A225="","",E225*(1-Setup!$B$5)/(C225*12))</f>
        <v/>
      </c>
      <c r="I225" s="14">
        <f>IF(A225="","",MAX(0,MIN(12,DATEDIF(MAX(F225,Setup!$B$4),EDATE(Setup!$B$4,12),"m"))))</f>
        <v/>
      </c>
      <c r="J225" s="13">
        <f>IF(A225="","",H225*I225)</f>
        <v/>
      </c>
      <c r="K225" s="13">
        <f>IF(A225="","",E225*D225*IF(AND(F225&gt;=Setup!$B$4,EDATE(Setup!$B$4,12)-F225&lt;180),0.5,1))</f>
        <v/>
      </c>
      <c r="L225" s="13">
        <f>IF(A225="","",K225-J225)</f>
        <v/>
      </c>
      <c r="M225" s="8" t="n"/>
    </row>
    <row r="226">
      <c r="A226" s="10" t="n"/>
      <c r="B226" s="10" t="n"/>
      <c r="C226" s="11" t="n"/>
      <c r="D226" s="9" t="n"/>
      <c r="E226" s="12" t="n"/>
      <c r="F226" s="8" t="n"/>
      <c r="G226" s="10" t="n"/>
      <c r="H226" s="13">
        <f>IF(A226="","",E226*(1-Setup!$B$5)/(C226*12))</f>
        <v/>
      </c>
      <c r="I226" s="14">
        <f>IF(A226="","",MAX(0,MIN(12,DATEDIF(MAX(F226,Setup!$B$4),EDATE(Setup!$B$4,12),"m"))))</f>
        <v/>
      </c>
      <c r="J226" s="13">
        <f>IF(A226="","",H226*I226)</f>
        <v/>
      </c>
      <c r="K226" s="13">
        <f>IF(A226="","",E226*D226*IF(AND(F226&gt;=Setup!$B$4,EDATE(Setup!$B$4,12)-F226&lt;180),0.5,1))</f>
        <v/>
      </c>
      <c r="L226" s="13">
        <f>IF(A226="","",K226-J226)</f>
        <v/>
      </c>
      <c r="M226" s="8" t="n"/>
    </row>
    <row r="227">
      <c r="A227" s="10" t="n"/>
      <c r="B227" s="10" t="n"/>
      <c r="C227" s="11" t="n"/>
      <c r="D227" s="9" t="n"/>
      <c r="E227" s="12" t="n"/>
      <c r="F227" s="8" t="n"/>
      <c r="G227" s="10" t="n"/>
      <c r="H227" s="13">
        <f>IF(A227="","",E227*(1-Setup!$B$5)/(C227*12))</f>
        <v/>
      </c>
      <c r="I227" s="14">
        <f>IF(A227="","",MAX(0,MIN(12,DATEDIF(MAX(F227,Setup!$B$4),EDATE(Setup!$B$4,12),"m"))))</f>
        <v/>
      </c>
      <c r="J227" s="13">
        <f>IF(A227="","",H227*I227)</f>
        <v/>
      </c>
      <c r="K227" s="13">
        <f>IF(A227="","",E227*D227*IF(AND(F227&gt;=Setup!$B$4,EDATE(Setup!$B$4,12)-F227&lt;180),0.5,1))</f>
        <v/>
      </c>
      <c r="L227" s="13">
        <f>IF(A227="","",K227-J227)</f>
        <v/>
      </c>
      <c r="M227" s="8" t="n"/>
    </row>
    <row r="228">
      <c r="A228" s="10" t="n"/>
      <c r="B228" s="10" t="n"/>
      <c r="C228" s="11" t="n"/>
      <c r="D228" s="9" t="n"/>
      <c r="E228" s="12" t="n"/>
      <c r="F228" s="8" t="n"/>
      <c r="G228" s="10" t="n"/>
      <c r="H228" s="13">
        <f>IF(A228="","",E228*(1-Setup!$B$5)/(C228*12))</f>
        <v/>
      </c>
      <c r="I228" s="14">
        <f>IF(A228="","",MAX(0,MIN(12,DATEDIF(MAX(F228,Setup!$B$4),EDATE(Setup!$B$4,12),"m"))))</f>
        <v/>
      </c>
      <c r="J228" s="13">
        <f>IF(A228="","",H228*I228)</f>
        <v/>
      </c>
      <c r="K228" s="13">
        <f>IF(A228="","",E228*D228*IF(AND(F228&gt;=Setup!$B$4,EDATE(Setup!$B$4,12)-F228&lt;180),0.5,1))</f>
        <v/>
      </c>
      <c r="L228" s="13">
        <f>IF(A228="","",K228-J228)</f>
        <v/>
      </c>
      <c r="M228" s="8" t="n"/>
    </row>
    <row r="229">
      <c r="A229" s="10" t="n"/>
      <c r="B229" s="10" t="n"/>
      <c r="C229" s="11" t="n"/>
      <c r="D229" s="9" t="n"/>
      <c r="E229" s="12" t="n"/>
      <c r="F229" s="8" t="n"/>
      <c r="G229" s="10" t="n"/>
      <c r="H229" s="13">
        <f>IF(A229="","",E229*(1-Setup!$B$5)/(C229*12))</f>
        <v/>
      </c>
      <c r="I229" s="14">
        <f>IF(A229="","",MAX(0,MIN(12,DATEDIF(MAX(F229,Setup!$B$4),EDATE(Setup!$B$4,12),"m"))))</f>
        <v/>
      </c>
      <c r="J229" s="13">
        <f>IF(A229="","",H229*I229)</f>
        <v/>
      </c>
      <c r="K229" s="13">
        <f>IF(A229="","",E229*D229*IF(AND(F229&gt;=Setup!$B$4,EDATE(Setup!$B$4,12)-F229&lt;180),0.5,1))</f>
        <v/>
      </c>
      <c r="L229" s="13">
        <f>IF(A229="","",K229-J229)</f>
        <v/>
      </c>
      <c r="M229" s="8" t="n"/>
    </row>
    <row r="230">
      <c r="A230" s="10" t="n"/>
      <c r="B230" s="10" t="n"/>
      <c r="C230" s="11" t="n"/>
      <c r="D230" s="9" t="n"/>
      <c r="E230" s="12" t="n"/>
      <c r="F230" s="8" t="n"/>
      <c r="G230" s="10" t="n"/>
      <c r="H230" s="13">
        <f>IF(A230="","",E230*(1-Setup!$B$5)/(C230*12))</f>
        <v/>
      </c>
      <c r="I230" s="14">
        <f>IF(A230="","",MAX(0,MIN(12,DATEDIF(MAX(F230,Setup!$B$4),EDATE(Setup!$B$4,12),"m"))))</f>
        <v/>
      </c>
      <c r="J230" s="13">
        <f>IF(A230="","",H230*I230)</f>
        <v/>
      </c>
      <c r="K230" s="13">
        <f>IF(A230="","",E230*D230*IF(AND(F230&gt;=Setup!$B$4,EDATE(Setup!$B$4,12)-F230&lt;180),0.5,1))</f>
        <v/>
      </c>
      <c r="L230" s="13">
        <f>IF(A230="","",K230-J230)</f>
        <v/>
      </c>
      <c r="M230" s="8" t="n"/>
    </row>
    <row r="231">
      <c r="A231" s="10" t="n"/>
      <c r="B231" s="10" t="n"/>
      <c r="C231" s="11" t="n"/>
      <c r="D231" s="9" t="n"/>
      <c r="E231" s="12" t="n"/>
      <c r="F231" s="8" t="n"/>
      <c r="G231" s="10" t="n"/>
      <c r="H231" s="13">
        <f>IF(A231="","",E231*(1-Setup!$B$5)/(C231*12))</f>
        <v/>
      </c>
      <c r="I231" s="14">
        <f>IF(A231="","",MAX(0,MIN(12,DATEDIF(MAX(F231,Setup!$B$4),EDATE(Setup!$B$4,12),"m"))))</f>
        <v/>
      </c>
      <c r="J231" s="13">
        <f>IF(A231="","",H231*I231)</f>
        <v/>
      </c>
      <c r="K231" s="13">
        <f>IF(A231="","",E231*D231*IF(AND(F231&gt;=Setup!$B$4,EDATE(Setup!$B$4,12)-F231&lt;180),0.5,1))</f>
        <v/>
      </c>
      <c r="L231" s="13">
        <f>IF(A231="","",K231-J231)</f>
        <v/>
      </c>
      <c r="M231" s="8" t="n"/>
    </row>
    <row r="232">
      <c r="A232" s="10" t="n"/>
      <c r="B232" s="10" t="n"/>
      <c r="C232" s="11" t="n"/>
      <c r="D232" s="9" t="n"/>
      <c r="E232" s="12" t="n"/>
      <c r="F232" s="8" t="n"/>
      <c r="G232" s="10" t="n"/>
      <c r="H232" s="13">
        <f>IF(A232="","",E232*(1-Setup!$B$5)/(C232*12))</f>
        <v/>
      </c>
      <c r="I232" s="14">
        <f>IF(A232="","",MAX(0,MIN(12,DATEDIF(MAX(F232,Setup!$B$4),EDATE(Setup!$B$4,12),"m"))))</f>
        <v/>
      </c>
      <c r="J232" s="13">
        <f>IF(A232="","",H232*I232)</f>
        <v/>
      </c>
      <c r="K232" s="13">
        <f>IF(A232="","",E232*D232*IF(AND(F232&gt;=Setup!$B$4,EDATE(Setup!$B$4,12)-F232&lt;180),0.5,1))</f>
        <v/>
      </c>
      <c r="L232" s="13">
        <f>IF(A232="","",K232-J232)</f>
        <v/>
      </c>
      <c r="M232" s="8" t="n"/>
    </row>
    <row r="233">
      <c r="A233" s="10" t="n"/>
      <c r="B233" s="10" t="n"/>
      <c r="C233" s="11" t="n"/>
      <c r="D233" s="9" t="n"/>
      <c r="E233" s="12" t="n"/>
      <c r="F233" s="8" t="n"/>
      <c r="G233" s="10" t="n"/>
      <c r="H233" s="13">
        <f>IF(A233="","",E233*(1-Setup!$B$5)/(C233*12))</f>
        <v/>
      </c>
      <c r="I233" s="14">
        <f>IF(A233="","",MAX(0,MIN(12,DATEDIF(MAX(F233,Setup!$B$4),EDATE(Setup!$B$4,12),"m"))))</f>
        <v/>
      </c>
      <c r="J233" s="13">
        <f>IF(A233="","",H233*I233)</f>
        <v/>
      </c>
      <c r="K233" s="13">
        <f>IF(A233="","",E233*D233*IF(AND(F233&gt;=Setup!$B$4,EDATE(Setup!$B$4,12)-F233&lt;180),0.5,1))</f>
        <v/>
      </c>
      <c r="L233" s="13">
        <f>IF(A233="","",K233-J233)</f>
        <v/>
      </c>
      <c r="M233" s="8" t="n"/>
    </row>
    <row r="234">
      <c r="A234" s="10" t="n"/>
      <c r="B234" s="10" t="n"/>
      <c r="C234" s="11" t="n"/>
      <c r="D234" s="9" t="n"/>
      <c r="E234" s="12" t="n"/>
      <c r="F234" s="8" t="n"/>
      <c r="G234" s="10" t="n"/>
      <c r="H234" s="13">
        <f>IF(A234="","",E234*(1-Setup!$B$5)/(C234*12))</f>
        <v/>
      </c>
      <c r="I234" s="14">
        <f>IF(A234="","",MAX(0,MIN(12,DATEDIF(MAX(F234,Setup!$B$4),EDATE(Setup!$B$4,12),"m"))))</f>
        <v/>
      </c>
      <c r="J234" s="13">
        <f>IF(A234="","",H234*I234)</f>
        <v/>
      </c>
      <c r="K234" s="13">
        <f>IF(A234="","",E234*D234*IF(AND(F234&gt;=Setup!$B$4,EDATE(Setup!$B$4,12)-F234&lt;180),0.5,1))</f>
        <v/>
      </c>
      <c r="L234" s="13">
        <f>IF(A234="","",K234-J234)</f>
        <v/>
      </c>
      <c r="M234" s="8" t="n"/>
    </row>
    <row r="235">
      <c r="A235" s="10" t="n"/>
      <c r="B235" s="10" t="n"/>
      <c r="C235" s="11" t="n"/>
      <c r="D235" s="9" t="n"/>
      <c r="E235" s="12" t="n"/>
      <c r="F235" s="8" t="n"/>
      <c r="G235" s="10" t="n"/>
      <c r="H235" s="13">
        <f>IF(A235="","",E235*(1-Setup!$B$5)/(C235*12))</f>
        <v/>
      </c>
      <c r="I235" s="14">
        <f>IF(A235="","",MAX(0,MIN(12,DATEDIF(MAX(F235,Setup!$B$4),EDATE(Setup!$B$4,12),"m"))))</f>
        <v/>
      </c>
      <c r="J235" s="13">
        <f>IF(A235="","",H235*I235)</f>
        <v/>
      </c>
      <c r="K235" s="13">
        <f>IF(A235="","",E235*D235*IF(AND(F235&gt;=Setup!$B$4,EDATE(Setup!$B$4,12)-F235&lt;180),0.5,1))</f>
        <v/>
      </c>
      <c r="L235" s="13">
        <f>IF(A235="","",K235-J235)</f>
        <v/>
      </c>
      <c r="M235" s="8" t="n"/>
    </row>
    <row r="236">
      <c r="A236" s="10" t="n"/>
      <c r="B236" s="10" t="n"/>
      <c r="C236" s="11" t="n"/>
      <c r="D236" s="9" t="n"/>
      <c r="E236" s="12" t="n"/>
      <c r="F236" s="8" t="n"/>
      <c r="G236" s="10" t="n"/>
      <c r="H236" s="13">
        <f>IF(A236="","",E236*(1-Setup!$B$5)/(C236*12))</f>
        <v/>
      </c>
      <c r="I236" s="14">
        <f>IF(A236="","",MAX(0,MIN(12,DATEDIF(MAX(F236,Setup!$B$4),EDATE(Setup!$B$4,12),"m"))))</f>
        <v/>
      </c>
      <c r="J236" s="13">
        <f>IF(A236="","",H236*I236)</f>
        <v/>
      </c>
      <c r="K236" s="13">
        <f>IF(A236="","",E236*D236*IF(AND(F236&gt;=Setup!$B$4,EDATE(Setup!$B$4,12)-F236&lt;180),0.5,1))</f>
        <v/>
      </c>
      <c r="L236" s="13">
        <f>IF(A236="","",K236-J236)</f>
        <v/>
      </c>
      <c r="M236" s="8" t="n"/>
    </row>
    <row r="237">
      <c r="A237" s="10" t="n"/>
      <c r="B237" s="10" t="n"/>
      <c r="C237" s="11" t="n"/>
      <c r="D237" s="9" t="n"/>
      <c r="E237" s="12" t="n"/>
      <c r="F237" s="8" t="n"/>
      <c r="G237" s="10" t="n"/>
      <c r="H237" s="13">
        <f>IF(A237="","",E237*(1-Setup!$B$5)/(C237*12))</f>
        <v/>
      </c>
      <c r="I237" s="14">
        <f>IF(A237="","",MAX(0,MIN(12,DATEDIF(MAX(F237,Setup!$B$4),EDATE(Setup!$B$4,12),"m"))))</f>
        <v/>
      </c>
      <c r="J237" s="13">
        <f>IF(A237="","",H237*I237)</f>
        <v/>
      </c>
      <c r="K237" s="13">
        <f>IF(A237="","",E237*D237*IF(AND(F237&gt;=Setup!$B$4,EDATE(Setup!$B$4,12)-F237&lt;180),0.5,1))</f>
        <v/>
      </c>
      <c r="L237" s="13">
        <f>IF(A237="","",K237-J237)</f>
        <v/>
      </c>
      <c r="M237" s="8" t="n"/>
    </row>
    <row r="238">
      <c r="A238" s="10" t="n"/>
      <c r="B238" s="10" t="n"/>
      <c r="C238" s="11" t="n"/>
      <c r="D238" s="9" t="n"/>
      <c r="E238" s="12" t="n"/>
      <c r="F238" s="8" t="n"/>
      <c r="G238" s="10" t="n"/>
      <c r="H238" s="13">
        <f>IF(A238="","",E238*(1-Setup!$B$5)/(C238*12))</f>
        <v/>
      </c>
      <c r="I238" s="14">
        <f>IF(A238="","",MAX(0,MIN(12,DATEDIF(MAX(F238,Setup!$B$4),EDATE(Setup!$B$4,12),"m"))))</f>
        <v/>
      </c>
      <c r="J238" s="13">
        <f>IF(A238="","",H238*I238)</f>
        <v/>
      </c>
      <c r="K238" s="13">
        <f>IF(A238="","",E238*D238*IF(AND(F238&gt;=Setup!$B$4,EDATE(Setup!$B$4,12)-F238&lt;180),0.5,1))</f>
        <v/>
      </c>
      <c r="L238" s="13">
        <f>IF(A238="","",K238-J238)</f>
        <v/>
      </c>
      <c r="M238" s="8" t="n"/>
    </row>
    <row r="239">
      <c r="A239" s="10" t="n"/>
      <c r="B239" s="10" t="n"/>
      <c r="C239" s="11" t="n"/>
      <c r="D239" s="9" t="n"/>
      <c r="E239" s="12" t="n"/>
      <c r="F239" s="8" t="n"/>
      <c r="G239" s="10" t="n"/>
      <c r="H239" s="13">
        <f>IF(A239="","",E239*(1-Setup!$B$5)/(C239*12))</f>
        <v/>
      </c>
      <c r="I239" s="14">
        <f>IF(A239="","",MAX(0,MIN(12,DATEDIF(MAX(F239,Setup!$B$4),EDATE(Setup!$B$4,12),"m"))))</f>
        <v/>
      </c>
      <c r="J239" s="13">
        <f>IF(A239="","",H239*I239)</f>
        <v/>
      </c>
      <c r="K239" s="13">
        <f>IF(A239="","",E239*D239*IF(AND(F239&gt;=Setup!$B$4,EDATE(Setup!$B$4,12)-F239&lt;180),0.5,1))</f>
        <v/>
      </c>
      <c r="L239" s="13">
        <f>IF(A239="","",K239-J239)</f>
        <v/>
      </c>
      <c r="M239" s="8" t="n"/>
    </row>
    <row r="240">
      <c r="A240" s="10" t="n"/>
      <c r="B240" s="10" t="n"/>
      <c r="C240" s="11" t="n"/>
      <c r="D240" s="9" t="n"/>
      <c r="E240" s="12" t="n"/>
      <c r="F240" s="8" t="n"/>
      <c r="G240" s="10" t="n"/>
      <c r="H240" s="13">
        <f>IF(A240="","",E240*(1-Setup!$B$5)/(C240*12))</f>
        <v/>
      </c>
      <c r="I240" s="14">
        <f>IF(A240="","",MAX(0,MIN(12,DATEDIF(MAX(F240,Setup!$B$4),EDATE(Setup!$B$4,12),"m"))))</f>
        <v/>
      </c>
      <c r="J240" s="13">
        <f>IF(A240="","",H240*I240)</f>
        <v/>
      </c>
      <c r="K240" s="13">
        <f>IF(A240="","",E240*D240*IF(AND(F240&gt;=Setup!$B$4,EDATE(Setup!$B$4,12)-F240&lt;180),0.5,1))</f>
        <v/>
      </c>
      <c r="L240" s="13">
        <f>IF(A240="","",K240-J240)</f>
        <v/>
      </c>
      <c r="M240" s="8" t="n"/>
    </row>
    <row r="241">
      <c r="A241" s="10" t="n"/>
      <c r="B241" s="10" t="n"/>
      <c r="C241" s="11" t="n"/>
      <c r="D241" s="9" t="n"/>
      <c r="E241" s="12" t="n"/>
      <c r="F241" s="8" t="n"/>
      <c r="G241" s="10" t="n"/>
      <c r="H241" s="13">
        <f>IF(A241="","",E241*(1-Setup!$B$5)/(C241*12))</f>
        <v/>
      </c>
      <c r="I241" s="14">
        <f>IF(A241="","",MAX(0,MIN(12,DATEDIF(MAX(F241,Setup!$B$4),EDATE(Setup!$B$4,12),"m"))))</f>
        <v/>
      </c>
      <c r="J241" s="13">
        <f>IF(A241="","",H241*I241)</f>
        <v/>
      </c>
      <c r="K241" s="13">
        <f>IF(A241="","",E241*D241*IF(AND(F241&gt;=Setup!$B$4,EDATE(Setup!$B$4,12)-F241&lt;180),0.5,1))</f>
        <v/>
      </c>
      <c r="L241" s="13">
        <f>IF(A241="","",K241-J241)</f>
        <v/>
      </c>
      <c r="M241" s="8" t="n"/>
    </row>
    <row r="242">
      <c r="A242" s="10" t="n"/>
      <c r="B242" s="10" t="n"/>
      <c r="C242" s="11" t="n"/>
      <c r="D242" s="9" t="n"/>
      <c r="E242" s="12" t="n"/>
      <c r="F242" s="8" t="n"/>
      <c r="G242" s="10" t="n"/>
      <c r="H242" s="13">
        <f>IF(A242="","",E242*(1-Setup!$B$5)/(C242*12))</f>
        <v/>
      </c>
      <c r="I242" s="14">
        <f>IF(A242="","",MAX(0,MIN(12,DATEDIF(MAX(F242,Setup!$B$4),EDATE(Setup!$B$4,12),"m"))))</f>
        <v/>
      </c>
      <c r="J242" s="13">
        <f>IF(A242="","",H242*I242)</f>
        <v/>
      </c>
      <c r="K242" s="13">
        <f>IF(A242="","",E242*D242*IF(AND(F242&gt;=Setup!$B$4,EDATE(Setup!$B$4,12)-F242&lt;180),0.5,1))</f>
        <v/>
      </c>
      <c r="L242" s="13">
        <f>IF(A242="","",K242-J242)</f>
        <v/>
      </c>
      <c r="M242" s="8" t="n"/>
    </row>
    <row r="243">
      <c r="A243" s="10" t="n"/>
      <c r="B243" s="10" t="n"/>
      <c r="C243" s="11" t="n"/>
      <c r="D243" s="9" t="n"/>
      <c r="E243" s="12" t="n"/>
      <c r="F243" s="8" t="n"/>
      <c r="G243" s="10" t="n"/>
      <c r="H243" s="13">
        <f>IF(A243="","",E243*(1-Setup!$B$5)/(C243*12))</f>
        <v/>
      </c>
      <c r="I243" s="14">
        <f>IF(A243="","",MAX(0,MIN(12,DATEDIF(MAX(F243,Setup!$B$4),EDATE(Setup!$B$4,12),"m"))))</f>
        <v/>
      </c>
      <c r="J243" s="13">
        <f>IF(A243="","",H243*I243)</f>
        <v/>
      </c>
      <c r="K243" s="13">
        <f>IF(A243="","",E243*D243*IF(AND(F243&gt;=Setup!$B$4,EDATE(Setup!$B$4,12)-F243&lt;180),0.5,1))</f>
        <v/>
      </c>
      <c r="L243" s="13">
        <f>IF(A243="","",K243-J243)</f>
        <v/>
      </c>
      <c r="M243" s="8" t="n"/>
    </row>
    <row r="244">
      <c r="A244" s="10" t="n"/>
      <c r="B244" s="10" t="n"/>
      <c r="C244" s="11" t="n"/>
      <c r="D244" s="9" t="n"/>
      <c r="E244" s="12" t="n"/>
      <c r="F244" s="8" t="n"/>
      <c r="G244" s="10" t="n"/>
      <c r="H244" s="13">
        <f>IF(A244="","",E244*(1-Setup!$B$5)/(C244*12))</f>
        <v/>
      </c>
      <c r="I244" s="14">
        <f>IF(A244="","",MAX(0,MIN(12,DATEDIF(MAX(F244,Setup!$B$4),EDATE(Setup!$B$4,12),"m"))))</f>
        <v/>
      </c>
      <c r="J244" s="13">
        <f>IF(A244="","",H244*I244)</f>
        <v/>
      </c>
      <c r="K244" s="13">
        <f>IF(A244="","",E244*D244*IF(AND(F244&gt;=Setup!$B$4,EDATE(Setup!$B$4,12)-F244&lt;180),0.5,1))</f>
        <v/>
      </c>
      <c r="L244" s="13">
        <f>IF(A244="","",K244-J244)</f>
        <v/>
      </c>
      <c r="M244" s="8" t="n"/>
    </row>
    <row r="245">
      <c r="A245" s="10" t="n"/>
      <c r="B245" s="10" t="n"/>
      <c r="C245" s="11" t="n"/>
      <c r="D245" s="9" t="n"/>
      <c r="E245" s="12" t="n"/>
      <c r="F245" s="8" t="n"/>
      <c r="G245" s="10" t="n"/>
      <c r="H245" s="13">
        <f>IF(A245="","",E245*(1-Setup!$B$5)/(C245*12))</f>
        <v/>
      </c>
      <c r="I245" s="14">
        <f>IF(A245="","",MAX(0,MIN(12,DATEDIF(MAX(F245,Setup!$B$4),EDATE(Setup!$B$4,12),"m"))))</f>
        <v/>
      </c>
      <c r="J245" s="13">
        <f>IF(A245="","",H245*I245)</f>
        <v/>
      </c>
      <c r="K245" s="13">
        <f>IF(A245="","",E245*D245*IF(AND(F245&gt;=Setup!$B$4,EDATE(Setup!$B$4,12)-F245&lt;180),0.5,1))</f>
        <v/>
      </c>
      <c r="L245" s="13">
        <f>IF(A245="","",K245-J245)</f>
        <v/>
      </c>
      <c r="M245" s="8" t="n"/>
    </row>
    <row r="246">
      <c r="A246" s="10" t="n"/>
      <c r="B246" s="10" t="n"/>
      <c r="C246" s="11" t="n"/>
      <c r="D246" s="9" t="n"/>
      <c r="E246" s="12" t="n"/>
      <c r="F246" s="8" t="n"/>
      <c r="G246" s="10" t="n"/>
      <c r="H246" s="13">
        <f>IF(A246="","",E246*(1-Setup!$B$5)/(C246*12))</f>
        <v/>
      </c>
      <c r="I246" s="14">
        <f>IF(A246="","",MAX(0,MIN(12,DATEDIF(MAX(F246,Setup!$B$4),EDATE(Setup!$B$4,12),"m"))))</f>
        <v/>
      </c>
      <c r="J246" s="13">
        <f>IF(A246="","",H246*I246)</f>
        <v/>
      </c>
      <c r="K246" s="13">
        <f>IF(A246="","",E246*D246*IF(AND(F246&gt;=Setup!$B$4,EDATE(Setup!$B$4,12)-F246&lt;180),0.5,1))</f>
        <v/>
      </c>
      <c r="L246" s="13">
        <f>IF(A246="","",K246-J246)</f>
        <v/>
      </c>
      <c r="M246" s="8" t="n"/>
    </row>
    <row r="247">
      <c r="A247" s="10" t="n"/>
      <c r="B247" s="10" t="n"/>
      <c r="C247" s="11" t="n"/>
      <c r="D247" s="9" t="n"/>
      <c r="E247" s="12" t="n"/>
      <c r="F247" s="8" t="n"/>
      <c r="G247" s="10" t="n"/>
      <c r="H247" s="13">
        <f>IF(A247="","",E247*(1-Setup!$B$5)/(C247*12))</f>
        <v/>
      </c>
      <c r="I247" s="14">
        <f>IF(A247="","",MAX(0,MIN(12,DATEDIF(MAX(F247,Setup!$B$4),EDATE(Setup!$B$4,12),"m"))))</f>
        <v/>
      </c>
      <c r="J247" s="13">
        <f>IF(A247="","",H247*I247)</f>
        <v/>
      </c>
      <c r="K247" s="13">
        <f>IF(A247="","",E247*D247*IF(AND(F247&gt;=Setup!$B$4,EDATE(Setup!$B$4,12)-F247&lt;180),0.5,1))</f>
        <v/>
      </c>
      <c r="L247" s="13">
        <f>IF(A247="","",K247-J247)</f>
        <v/>
      </c>
      <c r="M247" s="8" t="n"/>
    </row>
    <row r="248">
      <c r="A248" s="10" t="n"/>
      <c r="B248" s="10" t="n"/>
      <c r="C248" s="11" t="n"/>
      <c r="D248" s="9" t="n"/>
      <c r="E248" s="12" t="n"/>
      <c r="F248" s="8" t="n"/>
      <c r="G248" s="10" t="n"/>
      <c r="H248" s="13">
        <f>IF(A248="","",E248*(1-Setup!$B$5)/(C248*12))</f>
        <v/>
      </c>
      <c r="I248" s="14">
        <f>IF(A248="","",MAX(0,MIN(12,DATEDIF(MAX(F248,Setup!$B$4),EDATE(Setup!$B$4,12),"m"))))</f>
        <v/>
      </c>
      <c r="J248" s="13">
        <f>IF(A248="","",H248*I248)</f>
        <v/>
      </c>
      <c r="K248" s="13">
        <f>IF(A248="","",E248*D248*IF(AND(F248&gt;=Setup!$B$4,EDATE(Setup!$B$4,12)-F248&lt;180),0.5,1))</f>
        <v/>
      </c>
      <c r="L248" s="13">
        <f>IF(A248="","",K248-J248)</f>
        <v/>
      </c>
      <c r="M248" s="8" t="n"/>
    </row>
    <row r="249">
      <c r="A249" s="10" t="n"/>
      <c r="B249" s="10" t="n"/>
      <c r="C249" s="11" t="n"/>
      <c r="D249" s="9" t="n"/>
      <c r="E249" s="12" t="n"/>
      <c r="F249" s="8" t="n"/>
      <c r="G249" s="10" t="n"/>
      <c r="H249" s="13">
        <f>IF(A249="","",E249*(1-Setup!$B$5)/(C249*12))</f>
        <v/>
      </c>
      <c r="I249" s="14">
        <f>IF(A249="","",MAX(0,MIN(12,DATEDIF(MAX(F249,Setup!$B$4),EDATE(Setup!$B$4,12),"m"))))</f>
        <v/>
      </c>
      <c r="J249" s="13">
        <f>IF(A249="","",H249*I249)</f>
        <v/>
      </c>
      <c r="K249" s="13">
        <f>IF(A249="","",E249*D249*IF(AND(F249&gt;=Setup!$B$4,EDATE(Setup!$B$4,12)-F249&lt;180),0.5,1))</f>
        <v/>
      </c>
      <c r="L249" s="13">
        <f>IF(A249="","",K249-J249)</f>
        <v/>
      </c>
      <c r="M249" s="8" t="n"/>
    </row>
    <row r="250">
      <c r="A250" s="10" t="n"/>
      <c r="B250" s="10" t="n"/>
      <c r="C250" s="11" t="n"/>
      <c r="D250" s="9" t="n"/>
      <c r="E250" s="12" t="n"/>
      <c r="F250" s="8" t="n"/>
      <c r="G250" s="10" t="n"/>
      <c r="H250" s="13">
        <f>IF(A250="","",E250*(1-Setup!$B$5)/(C250*12))</f>
        <v/>
      </c>
      <c r="I250" s="14">
        <f>IF(A250="","",MAX(0,MIN(12,DATEDIF(MAX(F250,Setup!$B$4),EDATE(Setup!$B$4,12),"m"))))</f>
        <v/>
      </c>
      <c r="J250" s="13">
        <f>IF(A250="","",H250*I250)</f>
        <v/>
      </c>
      <c r="K250" s="13">
        <f>IF(A250="","",E250*D250*IF(AND(F250&gt;=Setup!$B$4,EDATE(Setup!$B$4,12)-F250&lt;180),0.5,1))</f>
        <v/>
      </c>
      <c r="L250" s="13">
        <f>IF(A250="","",K250-J250)</f>
        <v/>
      </c>
      <c r="M250" s="8" t="n"/>
    </row>
    <row r="251">
      <c r="A251" s="10" t="n"/>
      <c r="B251" s="10" t="n"/>
      <c r="C251" s="11" t="n"/>
      <c r="D251" s="9" t="n"/>
      <c r="E251" s="12" t="n"/>
      <c r="F251" s="8" t="n"/>
      <c r="G251" s="10" t="n"/>
      <c r="H251" s="13">
        <f>IF(A251="","",E251*(1-Setup!$B$5)/(C251*12))</f>
        <v/>
      </c>
      <c r="I251" s="14">
        <f>IF(A251="","",MAX(0,MIN(12,DATEDIF(MAX(F251,Setup!$B$4),EDATE(Setup!$B$4,12),"m"))))</f>
        <v/>
      </c>
      <c r="J251" s="13">
        <f>IF(A251="","",H251*I251)</f>
        <v/>
      </c>
      <c r="K251" s="13">
        <f>IF(A251="","",E251*D251*IF(AND(F251&gt;=Setup!$B$4,EDATE(Setup!$B$4,12)-F251&lt;180),0.5,1))</f>
        <v/>
      </c>
      <c r="L251" s="13">
        <f>IF(A251="","",K251-J251)</f>
        <v/>
      </c>
      <c r="M251" s="8" t="n"/>
    </row>
    <row r="252">
      <c r="A252" s="10" t="n"/>
      <c r="B252" s="10" t="n"/>
      <c r="C252" s="11" t="n"/>
      <c r="D252" s="9" t="n"/>
      <c r="E252" s="12" t="n"/>
      <c r="F252" s="8" t="n"/>
      <c r="G252" s="10" t="n"/>
      <c r="H252" s="13">
        <f>IF(A252="","",E252*(1-Setup!$B$5)/(C252*12))</f>
        <v/>
      </c>
      <c r="I252" s="14">
        <f>IF(A252="","",MAX(0,MIN(12,DATEDIF(MAX(F252,Setup!$B$4),EDATE(Setup!$B$4,12),"m"))))</f>
        <v/>
      </c>
      <c r="J252" s="13">
        <f>IF(A252="","",H252*I252)</f>
        <v/>
      </c>
      <c r="K252" s="13">
        <f>IF(A252="","",E252*D252*IF(AND(F252&gt;=Setup!$B$4,EDATE(Setup!$B$4,12)-F252&lt;180),0.5,1))</f>
        <v/>
      </c>
      <c r="L252" s="13">
        <f>IF(A252="","",K252-J252)</f>
        <v/>
      </c>
      <c r="M252" s="8" t="n"/>
    </row>
    <row r="253">
      <c r="A253" s="10" t="n"/>
      <c r="B253" s="10" t="n"/>
      <c r="C253" s="11" t="n"/>
      <c r="D253" s="9" t="n"/>
      <c r="E253" s="12" t="n"/>
      <c r="F253" s="8" t="n"/>
      <c r="G253" s="10" t="n"/>
      <c r="H253" s="13">
        <f>IF(A253="","",E253*(1-Setup!$B$5)/(C253*12))</f>
        <v/>
      </c>
      <c r="I253" s="14">
        <f>IF(A253="","",MAX(0,MIN(12,DATEDIF(MAX(F253,Setup!$B$4),EDATE(Setup!$B$4,12),"m"))))</f>
        <v/>
      </c>
      <c r="J253" s="13">
        <f>IF(A253="","",H253*I253)</f>
        <v/>
      </c>
      <c r="K253" s="13">
        <f>IF(A253="","",E253*D253*IF(AND(F253&gt;=Setup!$B$4,EDATE(Setup!$B$4,12)-F253&lt;180),0.5,1))</f>
        <v/>
      </c>
      <c r="L253" s="13">
        <f>IF(A253="","",K253-J253)</f>
        <v/>
      </c>
      <c r="M253" s="8" t="n"/>
    </row>
    <row r="254">
      <c r="A254" s="10" t="n"/>
      <c r="B254" s="10" t="n"/>
      <c r="C254" s="11" t="n"/>
      <c r="D254" s="9" t="n"/>
      <c r="E254" s="12" t="n"/>
      <c r="F254" s="8" t="n"/>
      <c r="G254" s="10" t="n"/>
      <c r="H254" s="13">
        <f>IF(A254="","",E254*(1-Setup!$B$5)/(C254*12))</f>
        <v/>
      </c>
      <c r="I254" s="14">
        <f>IF(A254="","",MAX(0,MIN(12,DATEDIF(MAX(F254,Setup!$B$4),EDATE(Setup!$B$4,12),"m"))))</f>
        <v/>
      </c>
      <c r="J254" s="13">
        <f>IF(A254="","",H254*I254)</f>
        <v/>
      </c>
      <c r="K254" s="13">
        <f>IF(A254="","",E254*D254*IF(AND(F254&gt;=Setup!$B$4,EDATE(Setup!$B$4,12)-F254&lt;180),0.5,1))</f>
        <v/>
      </c>
      <c r="L254" s="13">
        <f>IF(A254="","",K254-J254)</f>
        <v/>
      </c>
      <c r="M254" s="8" t="n"/>
    </row>
    <row r="255">
      <c r="A255" s="10" t="n"/>
      <c r="B255" s="10" t="n"/>
      <c r="C255" s="11" t="n"/>
      <c r="D255" s="9" t="n"/>
      <c r="E255" s="12" t="n"/>
      <c r="F255" s="8" t="n"/>
      <c r="G255" s="10" t="n"/>
      <c r="H255" s="13">
        <f>IF(A255="","",E255*(1-Setup!$B$5)/(C255*12))</f>
        <v/>
      </c>
      <c r="I255" s="14">
        <f>IF(A255="","",MAX(0,MIN(12,DATEDIF(MAX(F255,Setup!$B$4),EDATE(Setup!$B$4,12),"m"))))</f>
        <v/>
      </c>
      <c r="J255" s="13">
        <f>IF(A255="","",H255*I255)</f>
        <v/>
      </c>
      <c r="K255" s="13">
        <f>IF(A255="","",E255*D255*IF(AND(F255&gt;=Setup!$B$4,EDATE(Setup!$B$4,12)-F255&lt;180),0.5,1))</f>
        <v/>
      </c>
      <c r="L255" s="13">
        <f>IF(A255="","",K255-J255)</f>
        <v/>
      </c>
      <c r="M255" s="8" t="n"/>
    </row>
    <row r="256">
      <c r="A256" s="10" t="n"/>
      <c r="B256" s="10" t="n"/>
      <c r="C256" s="11" t="n"/>
      <c r="D256" s="9" t="n"/>
      <c r="E256" s="12" t="n"/>
      <c r="F256" s="8" t="n"/>
      <c r="G256" s="10" t="n"/>
      <c r="H256" s="13">
        <f>IF(A256="","",E256*(1-Setup!$B$5)/(C256*12))</f>
        <v/>
      </c>
      <c r="I256" s="14">
        <f>IF(A256="","",MAX(0,MIN(12,DATEDIF(MAX(F256,Setup!$B$4),EDATE(Setup!$B$4,12),"m"))))</f>
        <v/>
      </c>
      <c r="J256" s="13">
        <f>IF(A256="","",H256*I256)</f>
        <v/>
      </c>
      <c r="K256" s="13">
        <f>IF(A256="","",E256*D256*IF(AND(F256&gt;=Setup!$B$4,EDATE(Setup!$B$4,12)-F256&lt;180),0.5,1))</f>
        <v/>
      </c>
      <c r="L256" s="13">
        <f>IF(A256="","",K256-J256)</f>
        <v/>
      </c>
      <c r="M256" s="8" t="n"/>
    </row>
    <row r="257">
      <c r="A257" s="10" t="n"/>
      <c r="B257" s="10" t="n"/>
      <c r="C257" s="11" t="n"/>
      <c r="D257" s="9" t="n"/>
      <c r="E257" s="12" t="n"/>
      <c r="F257" s="8" t="n"/>
      <c r="G257" s="10" t="n"/>
      <c r="H257" s="13">
        <f>IF(A257="","",E257*(1-Setup!$B$5)/(C257*12))</f>
        <v/>
      </c>
      <c r="I257" s="14">
        <f>IF(A257="","",MAX(0,MIN(12,DATEDIF(MAX(F257,Setup!$B$4),EDATE(Setup!$B$4,12),"m"))))</f>
        <v/>
      </c>
      <c r="J257" s="13">
        <f>IF(A257="","",H257*I257)</f>
        <v/>
      </c>
      <c r="K257" s="13">
        <f>IF(A257="","",E257*D257*IF(AND(F257&gt;=Setup!$B$4,EDATE(Setup!$B$4,12)-F257&lt;180),0.5,1))</f>
        <v/>
      </c>
      <c r="L257" s="13">
        <f>IF(A257="","",K257-J257)</f>
        <v/>
      </c>
      <c r="M257" s="8" t="n"/>
    </row>
    <row r="258">
      <c r="A258" s="10" t="n"/>
      <c r="B258" s="10" t="n"/>
      <c r="C258" s="11" t="n"/>
      <c r="D258" s="9" t="n"/>
      <c r="E258" s="12" t="n"/>
      <c r="F258" s="8" t="n"/>
      <c r="G258" s="10" t="n"/>
      <c r="H258" s="13">
        <f>IF(A258="","",E258*(1-Setup!$B$5)/(C258*12))</f>
        <v/>
      </c>
      <c r="I258" s="14">
        <f>IF(A258="","",MAX(0,MIN(12,DATEDIF(MAX(F258,Setup!$B$4),EDATE(Setup!$B$4,12),"m"))))</f>
        <v/>
      </c>
      <c r="J258" s="13">
        <f>IF(A258="","",H258*I258)</f>
        <v/>
      </c>
      <c r="K258" s="13">
        <f>IF(A258="","",E258*D258*IF(AND(F258&gt;=Setup!$B$4,EDATE(Setup!$B$4,12)-F258&lt;180),0.5,1))</f>
        <v/>
      </c>
      <c r="L258" s="13">
        <f>IF(A258="","",K258-J258)</f>
        <v/>
      </c>
      <c r="M258" s="8" t="n"/>
    </row>
    <row r="259">
      <c r="A259" s="10" t="n"/>
      <c r="B259" s="10" t="n"/>
      <c r="C259" s="11" t="n"/>
      <c r="D259" s="9" t="n"/>
      <c r="E259" s="12" t="n"/>
      <c r="F259" s="8" t="n"/>
      <c r="G259" s="10" t="n"/>
      <c r="H259" s="13">
        <f>IF(A259="","",E259*(1-Setup!$B$5)/(C259*12))</f>
        <v/>
      </c>
      <c r="I259" s="14">
        <f>IF(A259="","",MAX(0,MIN(12,DATEDIF(MAX(F259,Setup!$B$4),EDATE(Setup!$B$4,12),"m"))))</f>
        <v/>
      </c>
      <c r="J259" s="13">
        <f>IF(A259="","",H259*I259)</f>
        <v/>
      </c>
      <c r="K259" s="13">
        <f>IF(A259="","",E259*D259*IF(AND(F259&gt;=Setup!$B$4,EDATE(Setup!$B$4,12)-F259&lt;180),0.5,1))</f>
        <v/>
      </c>
      <c r="L259" s="13">
        <f>IF(A259="","",K259-J259)</f>
        <v/>
      </c>
      <c r="M259" s="8" t="n"/>
    </row>
    <row r="260">
      <c r="A260" s="10" t="n"/>
      <c r="B260" s="10" t="n"/>
      <c r="C260" s="11" t="n"/>
      <c r="D260" s="9" t="n"/>
      <c r="E260" s="12" t="n"/>
      <c r="F260" s="8" t="n"/>
      <c r="G260" s="10" t="n"/>
      <c r="H260" s="13">
        <f>IF(A260="","",E260*(1-Setup!$B$5)/(C260*12))</f>
        <v/>
      </c>
      <c r="I260" s="14">
        <f>IF(A260="","",MAX(0,MIN(12,DATEDIF(MAX(F260,Setup!$B$4),EDATE(Setup!$B$4,12),"m"))))</f>
        <v/>
      </c>
      <c r="J260" s="13">
        <f>IF(A260="","",H260*I260)</f>
        <v/>
      </c>
      <c r="K260" s="13">
        <f>IF(A260="","",E260*D260*IF(AND(F260&gt;=Setup!$B$4,EDATE(Setup!$B$4,12)-F260&lt;180),0.5,1))</f>
        <v/>
      </c>
      <c r="L260" s="13">
        <f>IF(A260="","",K260-J260)</f>
        <v/>
      </c>
      <c r="M260" s="8" t="n"/>
    </row>
    <row r="261">
      <c r="A261" s="10" t="n"/>
      <c r="B261" s="10" t="n"/>
      <c r="C261" s="11" t="n"/>
      <c r="D261" s="9" t="n"/>
      <c r="E261" s="12" t="n"/>
      <c r="F261" s="8" t="n"/>
      <c r="G261" s="10" t="n"/>
      <c r="H261" s="13">
        <f>IF(A261="","",E261*(1-Setup!$B$5)/(C261*12))</f>
        <v/>
      </c>
      <c r="I261" s="14">
        <f>IF(A261="","",MAX(0,MIN(12,DATEDIF(MAX(F261,Setup!$B$4),EDATE(Setup!$B$4,12),"m"))))</f>
        <v/>
      </c>
      <c r="J261" s="13">
        <f>IF(A261="","",H261*I261)</f>
        <v/>
      </c>
      <c r="K261" s="13">
        <f>IF(A261="","",E261*D261*IF(AND(F261&gt;=Setup!$B$4,EDATE(Setup!$B$4,12)-F261&lt;180),0.5,1))</f>
        <v/>
      </c>
      <c r="L261" s="13">
        <f>IF(A261="","",K261-J261)</f>
        <v/>
      </c>
      <c r="M261" s="8" t="n"/>
    </row>
    <row r="262">
      <c r="A262" s="10" t="n"/>
      <c r="B262" s="10" t="n"/>
      <c r="C262" s="11" t="n"/>
      <c r="D262" s="9" t="n"/>
      <c r="E262" s="12" t="n"/>
      <c r="F262" s="8" t="n"/>
      <c r="G262" s="10" t="n"/>
      <c r="H262" s="13">
        <f>IF(A262="","",E262*(1-Setup!$B$5)/(C262*12))</f>
        <v/>
      </c>
      <c r="I262" s="14">
        <f>IF(A262="","",MAX(0,MIN(12,DATEDIF(MAX(F262,Setup!$B$4),EDATE(Setup!$B$4,12),"m"))))</f>
        <v/>
      </c>
      <c r="J262" s="13">
        <f>IF(A262="","",H262*I262)</f>
        <v/>
      </c>
      <c r="K262" s="13">
        <f>IF(A262="","",E262*D262*IF(AND(F262&gt;=Setup!$B$4,EDATE(Setup!$B$4,12)-F262&lt;180),0.5,1))</f>
        <v/>
      </c>
      <c r="L262" s="13">
        <f>IF(A262="","",K262-J262)</f>
        <v/>
      </c>
      <c r="M262" s="8" t="n"/>
    </row>
    <row r="263">
      <c r="A263" s="10" t="n"/>
      <c r="B263" s="10" t="n"/>
      <c r="C263" s="11" t="n"/>
      <c r="D263" s="9" t="n"/>
      <c r="E263" s="12" t="n"/>
      <c r="F263" s="8" t="n"/>
      <c r="G263" s="10" t="n"/>
      <c r="H263" s="13">
        <f>IF(A263="","",E263*(1-Setup!$B$5)/(C263*12))</f>
        <v/>
      </c>
      <c r="I263" s="14">
        <f>IF(A263="","",MAX(0,MIN(12,DATEDIF(MAX(F263,Setup!$B$4),EDATE(Setup!$B$4,12),"m"))))</f>
        <v/>
      </c>
      <c r="J263" s="13">
        <f>IF(A263="","",H263*I263)</f>
        <v/>
      </c>
      <c r="K263" s="13">
        <f>IF(A263="","",E263*D263*IF(AND(F263&gt;=Setup!$B$4,EDATE(Setup!$B$4,12)-F263&lt;180),0.5,1))</f>
        <v/>
      </c>
      <c r="L263" s="13">
        <f>IF(A263="","",K263-J263)</f>
        <v/>
      </c>
      <c r="M263" s="8" t="n"/>
    </row>
    <row r="264">
      <c r="A264" s="10" t="n"/>
      <c r="B264" s="10" t="n"/>
      <c r="C264" s="11" t="n"/>
      <c r="D264" s="9" t="n"/>
      <c r="E264" s="12" t="n"/>
      <c r="F264" s="8" t="n"/>
      <c r="G264" s="10" t="n"/>
      <c r="H264" s="13">
        <f>IF(A264="","",E264*(1-Setup!$B$5)/(C264*12))</f>
        <v/>
      </c>
      <c r="I264" s="14">
        <f>IF(A264="","",MAX(0,MIN(12,DATEDIF(MAX(F264,Setup!$B$4),EDATE(Setup!$B$4,12),"m"))))</f>
        <v/>
      </c>
      <c r="J264" s="13">
        <f>IF(A264="","",H264*I264)</f>
        <v/>
      </c>
      <c r="K264" s="13">
        <f>IF(A264="","",E264*D264*IF(AND(F264&gt;=Setup!$B$4,EDATE(Setup!$B$4,12)-F264&lt;180),0.5,1))</f>
        <v/>
      </c>
      <c r="L264" s="13">
        <f>IF(A264="","",K264-J264)</f>
        <v/>
      </c>
      <c r="M264" s="8" t="n"/>
    </row>
    <row r="265">
      <c r="A265" s="10" t="n"/>
      <c r="B265" s="10" t="n"/>
      <c r="C265" s="11" t="n"/>
      <c r="D265" s="9" t="n"/>
      <c r="E265" s="12" t="n"/>
      <c r="F265" s="8" t="n"/>
      <c r="G265" s="10" t="n"/>
      <c r="H265" s="13">
        <f>IF(A265="","",E265*(1-Setup!$B$5)/(C265*12))</f>
        <v/>
      </c>
      <c r="I265" s="14">
        <f>IF(A265="","",MAX(0,MIN(12,DATEDIF(MAX(F265,Setup!$B$4),EDATE(Setup!$B$4,12),"m"))))</f>
        <v/>
      </c>
      <c r="J265" s="13">
        <f>IF(A265="","",H265*I265)</f>
        <v/>
      </c>
      <c r="K265" s="13">
        <f>IF(A265="","",E265*D265*IF(AND(F265&gt;=Setup!$B$4,EDATE(Setup!$B$4,12)-F265&lt;180),0.5,1))</f>
        <v/>
      </c>
      <c r="L265" s="13">
        <f>IF(A265="","",K265-J265)</f>
        <v/>
      </c>
      <c r="M265" s="8" t="n"/>
    </row>
    <row r="266">
      <c r="A266" s="10" t="n"/>
      <c r="B266" s="10" t="n"/>
      <c r="C266" s="11" t="n"/>
      <c r="D266" s="9" t="n"/>
      <c r="E266" s="12" t="n"/>
      <c r="F266" s="8" t="n"/>
      <c r="G266" s="10" t="n"/>
      <c r="H266" s="13">
        <f>IF(A266="","",E266*(1-Setup!$B$5)/(C266*12))</f>
        <v/>
      </c>
      <c r="I266" s="14">
        <f>IF(A266="","",MAX(0,MIN(12,DATEDIF(MAX(F266,Setup!$B$4),EDATE(Setup!$B$4,12),"m"))))</f>
        <v/>
      </c>
      <c r="J266" s="13">
        <f>IF(A266="","",H266*I266)</f>
        <v/>
      </c>
      <c r="K266" s="13">
        <f>IF(A266="","",E266*D266*IF(AND(F266&gt;=Setup!$B$4,EDATE(Setup!$B$4,12)-F266&lt;180),0.5,1))</f>
        <v/>
      </c>
      <c r="L266" s="13">
        <f>IF(A266="","",K266-J266)</f>
        <v/>
      </c>
      <c r="M266" s="8" t="n"/>
    </row>
    <row r="267">
      <c r="A267" s="10" t="n"/>
      <c r="B267" s="10" t="n"/>
      <c r="C267" s="11" t="n"/>
      <c r="D267" s="9" t="n"/>
      <c r="E267" s="12" t="n"/>
      <c r="F267" s="8" t="n"/>
      <c r="G267" s="10" t="n"/>
      <c r="H267" s="13">
        <f>IF(A267="","",E267*(1-Setup!$B$5)/(C267*12))</f>
        <v/>
      </c>
      <c r="I267" s="14">
        <f>IF(A267="","",MAX(0,MIN(12,DATEDIF(MAX(F267,Setup!$B$4),EDATE(Setup!$B$4,12),"m"))))</f>
        <v/>
      </c>
      <c r="J267" s="13">
        <f>IF(A267="","",H267*I267)</f>
        <v/>
      </c>
      <c r="K267" s="13">
        <f>IF(A267="","",E267*D267*IF(AND(F267&gt;=Setup!$B$4,EDATE(Setup!$B$4,12)-F267&lt;180),0.5,1))</f>
        <v/>
      </c>
      <c r="L267" s="13">
        <f>IF(A267="","",K267-J267)</f>
        <v/>
      </c>
      <c r="M267" s="8" t="n"/>
    </row>
    <row r="268">
      <c r="A268" s="10" t="n"/>
      <c r="B268" s="10" t="n"/>
      <c r="C268" s="11" t="n"/>
      <c r="D268" s="9" t="n"/>
      <c r="E268" s="12" t="n"/>
      <c r="F268" s="8" t="n"/>
      <c r="G268" s="10" t="n"/>
      <c r="H268" s="13">
        <f>IF(A268="","",E268*(1-Setup!$B$5)/(C268*12))</f>
        <v/>
      </c>
      <c r="I268" s="14">
        <f>IF(A268="","",MAX(0,MIN(12,DATEDIF(MAX(F268,Setup!$B$4),EDATE(Setup!$B$4,12),"m"))))</f>
        <v/>
      </c>
      <c r="J268" s="13">
        <f>IF(A268="","",H268*I268)</f>
        <v/>
      </c>
      <c r="K268" s="13">
        <f>IF(A268="","",E268*D268*IF(AND(F268&gt;=Setup!$B$4,EDATE(Setup!$B$4,12)-F268&lt;180),0.5,1))</f>
        <v/>
      </c>
      <c r="L268" s="13">
        <f>IF(A268="","",K268-J268)</f>
        <v/>
      </c>
      <c r="M268" s="8" t="n"/>
    </row>
    <row r="269">
      <c r="A269" s="10" t="n"/>
      <c r="B269" s="10" t="n"/>
      <c r="C269" s="11" t="n"/>
      <c r="D269" s="9" t="n"/>
      <c r="E269" s="12" t="n"/>
      <c r="F269" s="8" t="n"/>
      <c r="G269" s="10" t="n"/>
      <c r="H269" s="13">
        <f>IF(A269="","",E269*(1-Setup!$B$5)/(C269*12))</f>
        <v/>
      </c>
      <c r="I269" s="14">
        <f>IF(A269="","",MAX(0,MIN(12,DATEDIF(MAX(F269,Setup!$B$4),EDATE(Setup!$B$4,12),"m"))))</f>
        <v/>
      </c>
      <c r="J269" s="13">
        <f>IF(A269="","",H269*I269)</f>
        <v/>
      </c>
      <c r="K269" s="13">
        <f>IF(A269="","",E269*D269*IF(AND(F269&gt;=Setup!$B$4,EDATE(Setup!$B$4,12)-F269&lt;180),0.5,1))</f>
        <v/>
      </c>
      <c r="L269" s="13">
        <f>IF(A269="","",K269-J269)</f>
        <v/>
      </c>
      <c r="M269" s="8" t="n"/>
    </row>
    <row r="270">
      <c r="A270" s="10" t="n"/>
      <c r="B270" s="10" t="n"/>
      <c r="C270" s="11" t="n"/>
      <c r="D270" s="9" t="n"/>
      <c r="E270" s="12" t="n"/>
      <c r="F270" s="8" t="n"/>
      <c r="G270" s="10" t="n"/>
      <c r="H270" s="13">
        <f>IF(A270="","",E270*(1-Setup!$B$5)/(C270*12))</f>
        <v/>
      </c>
      <c r="I270" s="14">
        <f>IF(A270="","",MAX(0,MIN(12,DATEDIF(MAX(F270,Setup!$B$4),EDATE(Setup!$B$4,12),"m"))))</f>
        <v/>
      </c>
      <c r="J270" s="13">
        <f>IF(A270="","",H270*I270)</f>
        <v/>
      </c>
      <c r="K270" s="13">
        <f>IF(A270="","",E270*D270*IF(AND(F270&gt;=Setup!$B$4,EDATE(Setup!$B$4,12)-F270&lt;180),0.5,1))</f>
        <v/>
      </c>
      <c r="L270" s="13">
        <f>IF(A270="","",K270-J270)</f>
        <v/>
      </c>
      <c r="M270" s="8" t="n"/>
    </row>
    <row r="271">
      <c r="A271" s="10" t="n"/>
      <c r="B271" s="10" t="n"/>
      <c r="C271" s="11" t="n"/>
      <c r="D271" s="9" t="n"/>
      <c r="E271" s="12" t="n"/>
      <c r="F271" s="8" t="n"/>
      <c r="G271" s="10" t="n"/>
      <c r="H271" s="13">
        <f>IF(A271="","",E271*(1-Setup!$B$5)/(C271*12))</f>
        <v/>
      </c>
      <c r="I271" s="14">
        <f>IF(A271="","",MAX(0,MIN(12,DATEDIF(MAX(F271,Setup!$B$4),EDATE(Setup!$B$4,12),"m"))))</f>
        <v/>
      </c>
      <c r="J271" s="13">
        <f>IF(A271="","",H271*I271)</f>
        <v/>
      </c>
      <c r="K271" s="13">
        <f>IF(A271="","",E271*D271*IF(AND(F271&gt;=Setup!$B$4,EDATE(Setup!$B$4,12)-F271&lt;180),0.5,1))</f>
        <v/>
      </c>
      <c r="L271" s="13">
        <f>IF(A271="","",K271-J271)</f>
        <v/>
      </c>
      <c r="M271" s="8" t="n"/>
    </row>
    <row r="272">
      <c r="A272" s="10" t="n"/>
      <c r="B272" s="10" t="n"/>
      <c r="C272" s="11" t="n"/>
      <c r="D272" s="9" t="n"/>
      <c r="E272" s="12" t="n"/>
      <c r="F272" s="8" t="n"/>
      <c r="G272" s="10" t="n"/>
      <c r="H272" s="13">
        <f>IF(A272="","",E272*(1-Setup!$B$5)/(C272*12))</f>
        <v/>
      </c>
      <c r="I272" s="14">
        <f>IF(A272="","",MAX(0,MIN(12,DATEDIF(MAX(F272,Setup!$B$4),EDATE(Setup!$B$4,12),"m"))))</f>
        <v/>
      </c>
      <c r="J272" s="13">
        <f>IF(A272="","",H272*I272)</f>
        <v/>
      </c>
      <c r="K272" s="13">
        <f>IF(A272="","",E272*D272*IF(AND(F272&gt;=Setup!$B$4,EDATE(Setup!$B$4,12)-F272&lt;180),0.5,1))</f>
        <v/>
      </c>
      <c r="L272" s="13">
        <f>IF(A272="","",K272-J272)</f>
        <v/>
      </c>
      <c r="M272" s="8" t="n"/>
    </row>
    <row r="273">
      <c r="A273" s="10" t="n"/>
      <c r="B273" s="10" t="n"/>
      <c r="C273" s="11" t="n"/>
      <c r="D273" s="9" t="n"/>
      <c r="E273" s="12" t="n"/>
      <c r="F273" s="8" t="n"/>
      <c r="G273" s="10" t="n"/>
      <c r="H273" s="13">
        <f>IF(A273="","",E273*(1-Setup!$B$5)/(C273*12))</f>
        <v/>
      </c>
      <c r="I273" s="14">
        <f>IF(A273="","",MAX(0,MIN(12,DATEDIF(MAX(F273,Setup!$B$4),EDATE(Setup!$B$4,12),"m"))))</f>
        <v/>
      </c>
      <c r="J273" s="13">
        <f>IF(A273="","",H273*I273)</f>
        <v/>
      </c>
      <c r="K273" s="13">
        <f>IF(A273="","",E273*D273*IF(AND(F273&gt;=Setup!$B$4,EDATE(Setup!$B$4,12)-F273&lt;180),0.5,1))</f>
        <v/>
      </c>
      <c r="L273" s="13">
        <f>IF(A273="","",K273-J273)</f>
        <v/>
      </c>
      <c r="M273" s="8" t="n"/>
    </row>
    <row r="274">
      <c r="A274" s="10" t="n"/>
      <c r="B274" s="10" t="n"/>
      <c r="C274" s="11" t="n"/>
      <c r="D274" s="9" t="n"/>
      <c r="E274" s="12" t="n"/>
      <c r="F274" s="8" t="n"/>
      <c r="G274" s="10" t="n"/>
      <c r="H274" s="13">
        <f>IF(A274="","",E274*(1-Setup!$B$5)/(C274*12))</f>
        <v/>
      </c>
      <c r="I274" s="14">
        <f>IF(A274="","",MAX(0,MIN(12,DATEDIF(MAX(F274,Setup!$B$4),EDATE(Setup!$B$4,12),"m"))))</f>
        <v/>
      </c>
      <c r="J274" s="13">
        <f>IF(A274="","",H274*I274)</f>
        <v/>
      </c>
      <c r="K274" s="13">
        <f>IF(A274="","",E274*D274*IF(AND(F274&gt;=Setup!$B$4,EDATE(Setup!$B$4,12)-F274&lt;180),0.5,1))</f>
        <v/>
      </c>
      <c r="L274" s="13">
        <f>IF(A274="","",K274-J274)</f>
        <v/>
      </c>
      <c r="M274" s="8" t="n"/>
    </row>
    <row r="275">
      <c r="A275" s="10" t="n"/>
      <c r="B275" s="10" t="n"/>
      <c r="C275" s="11" t="n"/>
      <c r="D275" s="9" t="n"/>
      <c r="E275" s="12" t="n"/>
      <c r="F275" s="8" t="n"/>
      <c r="G275" s="10" t="n"/>
      <c r="H275" s="13">
        <f>IF(A275="","",E275*(1-Setup!$B$5)/(C275*12))</f>
        <v/>
      </c>
      <c r="I275" s="14">
        <f>IF(A275="","",MAX(0,MIN(12,DATEDIF(MAX(F275,Setup!$B$4),EDATE(Setup!$B$4,12),"m"))))</f>
        <v/>
      </c>
      <c r="J275" s="13">
        <f>IF(A275="","",H275*I275)</f>
        <v/>
      </c>
      <c r="K275" s="13">
        <f>IF(A275="","",E275*D275*IF(AND(F275&gt;=Setup!$B$4,EDATE(Setup!$B$4,12)-F275&lt;180),0.5,1))</f>
        <v/>
      </c>
      <c r="L275" s="13">
        <f>IF(A275="","",K275-J275)</f>
        <v/>
      </c>
      <c r="M275" s="8" t="n"/>
    </row>
    <row r="276">
      <c r="A276" s="10" t="n"/>
      <c r="B276" s="10" t="n"/>
      <c r="C276" s="11" t="n"/>
      <c r="D276" s="9" t="n"/>
      <c r="E276" s="12" t="n"/>
      <c r="F276" s="8" t="n"/>
      <c r="G276" s="10" t="n"/>
      <c r="H276" s="13">
        <f>IF(A276="","",E276*(1-Setup!$B$5)/(C276*12))</f>
        <v/>
      </c>
      <c r="I276" s="14">
        <f>IF(A276="","",MAX(0,MIN(12,DATEDIF(MAX(F276,Setup!$B$4),EDATE(Setup!$B$4,12),"m"))))</f>
        <v/>
      </c>
      <c r="J276" s="13">
        <f>IF(A276="","",H276*I276)</f>
        <v/>
      </c>
      <c r="K276" s="13">
        <f>IF(A276="","",E276*D276*IF(AND(F276&gt;=Setup!$B$4,EDATE(Setup!$B$4,12)-F276&lt;180),0.5,1))</f>
        <v/>
      </c>
      <c r="L276" s="13">
        <f>IF(A276="","",K276-J276)</f>
        <v/>
      </c>
      <c r="M276" s="8" t="n"/>
    </row>
    <row r="277">
      <c r="A277" s="10" t="n"/>
      <c r="B277" s="10" t="n"/>
      <c r="C277" s="11" t="n"/>
      <c r="D277" s="9" t="n"/>
      <c r="E277" s="12" t="n"/>
      <c r="F277" s="8" t="n"/>
      <c r="G277" s="10" t="n"/>
      <c r="H277" s="13">
        <f>IF(A277="","",E277*(1-Setup!$B$5)/(C277*12))</f>
        <v/>
      </c>
      <c r="I277" s="14">
        <f>IF(A277="","",MAX(0,MIN(12,DATEDIF(MAX(F277,Setup!$B$4),EDATE(Setup!$B$4,12),"m"))))</f>
        <v/>
      </c>
      <c r="J277" s="13">
        <f>IF(A277="","",H277*I277)</f>
        <v/>
      </c>
      <c r="K277" s="13">
        <f>IF(A277="","",E277*D277*IF(AND(F277&gt;=Setup!$B$4,EDATE(Setup!$B$4,12)-F277&lt;180),0.5,1))</f>
        <v/>
      </c>
      <c r="L277" s="13">
        <f>IF(A277="","",K277-J277)</f>
        <v/>
      </c>
      <c r="M277" s="8" t="n"/>
    </row>
    <row r="278">
      <c r="A278" s="10" t="n"/>
      <c r="B278" s="10" t="n"/>
      <c r="C278" s="11" t="n"/>
      <c r="D278" s="9" t="n"/>
      <c r="E278" s="12" t="n"/>
      <c r="F278" s="8" t="n"/>
      <c r="G278" s="10" t="n"/>
      <c r="H278" s="13">
        <f>IF(A278="","",E278*(1-Setup!$B$5)/(C278*12))</f>
        <v/>
      </c>
      <c r="I278" s="14">
        <f>IF(A278="","",MAX(0,MIN(12,DATEDIF(MAX(F278,Setup!$B$4),EDATE(Setup!$B$4,12),"m"))))</f>
        <v/>
      </c>
      <c r="J278" s="13">
        <f>IF(A278="","",H278*I278)</f>
        <v/>
      </c>
      <c r="K278" s="13">
        <f>IF(A278="","",E278*D278*IF(AND(F278&gt;=Setup!$B$4,EDATE(Setup!$B$4,12)-F278&lt;180),0.5,1))</f>
        <v/>
      </c>
      <c r="L278" s="13">
        <f>IF(A278="","",K278-J278)</f>
        <v/>
      </c>
      <c r="M278" s="8" t="n"/>
    </row>
    <row r="279">
      <c r="A279" s="10" t="n"/>
      <c r="B279" s="10" t="n"/>
      <c r="C279" s="11" t="n"/>
      <c r="D279" s="9" t="n"/>
      <c r="E279" s="12" t="n"/>
      <c r="F279" s="8" t="n"/>
      <c r="G279" s="10" t="n"/>
      <c r="H279" s="13">
        <f>IF(A279="","",E279*(1-Setup!$B$5)/(C279*12))</f>
        <v/>
      </c>
      <c r="I279" s="14">
        <f>IF(A279="","",MAX(0,MIN(12,DATEDIF(MAX(F279,Setup!$B$4),EDATE(Setup!$B$4,12),"m"))))</f>
        <v/>
      </c>
      <c r="J279" s="13">
        <f>IF(A279="","",H279*I279)</f>
        <v/>
      </c>
      <c r="K279" s="13">
        <f>IF(A279="","",E279*D279*IF(AND(F279&gt;=Setup!$B$4,EDATE(Setup!$B$4,12)-F279&lt;180),0.5,1))</f>
        <v/>
      </c>
      <c r="L279" s="13">
        <f>IF(A279="","",K279-J279)</f>
        <v/>
      </c>
      <c r="M279" s="8" t="n"/>
    </row>
    <row r="280">
      <c r="A280" s="10" t="n"/>
      <c r="B280" s="10" t="n"/>
      <c r="C280" s="11" t="n"/>
      <c r="D280" s="9" t="n"/>
      <c r="E280" s="12" t="n"/>
      <c r="F280" s="8" t="n"/>
      <c r="G280" s="10" t="n"/>
      <c r="H280" s="13">
        <f>IF(A280="","",E280*(1-Setup!$B$5)/(C280*12))</f>
        <v/>
      </c>
      <c r="I280" s="14">
        <f>IF(A280="","",MAX(0,MIN(12,DATEDIF(MAX(F280,Setup!$B$4),EDATE(Setup!$B$4,12),"m"))))</f>
        <v/>
      </c>
      <c r="J280" s="13">
        <f>IF(A280="","",H280*I280)</f>
        <v/>
      </c>
      <c r="K280" s="13">
        <f>IF(A280="","",E280*D280*IF(AND(F280&gt;=Setup!$B$4,EDATE(Setup!$B$4,12)-F280&lt;180),0.5,1))</f>
        <v/>
      </c>
      <c r="L280" s="13">
        <f>IF(A280="","",K280-J280)</f>
        <v/>
      </c>
      <c r="M280" s="8" t="n"/>
    </row>
    <row r="281">
      <c r="A281" s="10" t="n"/>
      <c r="B281" s="10" t="n"/>
      <c r="C281" s="11" t="n"/>
      <c r="D281" s="9" t="n"/>
      <c r="E281" s="12" t="n"/>
      <c r="F281" s="8" t="n"/>
      <c r="G281" s="10" t="n"/>
      <c r="H281" s="13">
        <f>IF(A281="","",E281*(1-Setup!$B$5)/(C281*12))</f>
        <v/>
      </c>
      <c r="I281" s="14">
        <f>IF(A281="","",MAX(0,MIN(12,DATEDIF(MAX(F281,Setup!$B$4),EDATE(Setup!$B$4,12),"m"))))</f>
        <v/>
      </c>
      <c r="J281" s="13">
        <f>IF(A281="","",H281*I281)</f>
        <v/>
      </c>
      <c r="K281" s="13">
        <f>IF(A281="","",E281*D281*IF(AND(F281&gt;=Setup!$B$4,EDATE(Setup!$B$4,12)-F281&lt;180),0.5,1))</f>
        <v/>
      </c>
      <c r="L281" s="13">
        <f>IF(A281="","",K281-J281)</f>
        <v/>
      </c>
      <c r="M281" s="8" t="n"/>
    </row>
    <row r="282">
      <c r="A282" s="10" t="n"/>
      <c r="B282" s="10" t="n"/>
      <c r="C282" s="11" t="n"/>
      <c r="D282" s="9" t="n"/>
      <c r="E282" s="12" t="n"/>
      <c r="F282" s="8" t="n"/>
      <c r="G282" s="10" t="n"/>
      <c r="H282" s="13">
        <f>IF(A282="","",E282*(1-Setup!$B$5)/(C282*12))</f>
        <v/>
      </c>
      <c r="I282" s="14">
        <f>IF(A282="","",MAX(0,MIN(12,DATEDIF(MAX(F282,Setup!$B$4),EDATE(Setup!$B$4,12),"m"))))</f>
        <v/>
      </c>
      <c r="J282" s="13">
        <f>IF(A282="","",H282*I282)</f>
        <v/>
      </c>
      <c r="K282" s="13">
        <f>IF(A282="","",E282*D282*IF(AND(F282&gt;=Setup!$B$4,EDATE(Setup!$B$4,12)-F282&lt;180),0.5,1))</f>
        <v/>
      </c>
      <c r="L282" s="13">
        <f>IF(A282="","",K282-J282)</f>
        <v/>
      </c>
      <c r="M282" s="8" t="n"/>
    </row>
    <row r="283">
      <c r="A283" s="10" t="n"/>
      <c r="B283" s="10" t="n"/>
      <c r="C283" s="11" t="n"/>
      <c r="D283" s="9" t="n"/>
      <c r="E283" s="12" t="n"/>
      <c r="F283" s="8" t="n"/>
      <c r="G283" s="10" t="n"/>
      <c r="H283" s="13">
        <f>IF(A283="","",E283*(1-Setup!$B$5)/(C283*12))</f>
        <v/>
      </c>
      <c r="I283" s="14">
        <f>IF(A283="","",MAX(0,MIN(12,DATEDIF(MAX(F283,Setup!$B$4),EDATE(Setup!$B$4,12),"m"))))</f>
        <v/>
      </c>
      <c r="J283" s="13">
        <f>IF(A283="","",H283*I283)</f>
        <v/>
      </c>
      <c r="K283" s="13">
        <f>IF(A283="","",E283*D283*IF(AND(F283&gt;=Setup!$B$4,EDATE(Setup!$B$4,12)-F283&lt;180),0.5,1))</f>
        <v/>
      </c>
      <c r="L283" s="13">
        <f>IF(A283="","",K283-J283)</f>
        <v/>
      </c>
      <c r="M283" s="8" t="n"/>
    </row>
    <row r="284">
      <c r="A284" s="10" t="n"/>
      <c r="B284" s="10" t="n"/>
      <c r="C284" s="11" t="n"/>
      <c r="D284" s="9" t="n"/>
      <c r="E284" s="12" t="n"/>
      <c r="F284" s="8" t="n"/>
      <c r="G284" s="10" t="n"/>
      <c r="H284" s="13">
        <f>IF(A284="","",E284*(1-Setup!$B$5)/(C284*12))</f>
        <v/>
      </c>
      <c r="I284" s="14">
        <f>IF(A284="","",MAX(0,MIN(12,DATEDIF(MAX(F284,Setup!$B$4),EDATE(Setup!$B$4,12),"m"))))</f>
        <v/>
      </c>
      <c r="J284" s="13">
        <f>IF(A284="","",H284*I284)</f>
        <v/>
      </c>
      <c r="K284" s="13">
        <f>IF(A284="","",E284*D284*IF(AND(F284&gt;=Setup!$B$4,EDATE(Setup!$B$4,12)-F284&lt;180),0.5,1))</f>
        <v/>
      </c>
      <c r="L284" s="13">
        <f>IF(A284="","",K284-J284)</f>
        <v/>
      </c>
      <c r="M284" s="8" t="n"/>
    </row>
    <row r="285">
      <c r="A285" s="10" t="n"/>
      <c r="B285" s="10" t="n"/>
      <c r="C285" s="11" t="n"/>
      <c r="D285" s="9" t="n"/>
      <c r="E285" s="12" t="n"/>
      <c r="F285" s="8" t="n"/>
      <c r="G285" s="10" t="n"/>
      <c r="H285" s="13">
        <f>IF(A285="","",E285*(1-Setup!$B$5)/(C285*12))</f>
        <v/>
      </c>
      <c r="I285" s="14">
        <f>IF(A285="","",MAX(0,MIN(12,DATEDIF(MAX(F285,Setup!$B$4),EDATE(Setup!$B$4,12),"m"))))</f>
        <v/>
      </c>
      <c r="J285" s="13">
        <f>IF(A285="","",H285*I285)</f>
        <v/>
      </c>
      <c r="K285" s="13">
        <f>IF(A285="","",E285*D285*IF(AND(F285&gt;=Setup!$B$4,EDATE(Setup!$B$4,12)-F285&lt;180),0.5,1))</f>
        <v/>
      </c>
      <c r="L285" s="13">
        <f>IF(A285="","",K285-J285)</f>
        <v/>
      </c>
      <c r="M285" s="8" t="n"/>
    </row>
    <row r="286">
      <c r="A286" s="10" t="n"/>
      <c r="B286" s="10" t="n"/>
      <c r="C286" s="11" t="n"/>
      <c r="D286" s="9" t="n"/>
      <c r="E286" s="12" t="n"/>
      <c r="F286" s="8" t="n"/>
      <c r="G286" s="10" t="n"/>
      <c r="H286" s="13">
        <f>IF(A286="","",E286*(1-Setup!$B$5)/(C286*12))</f>
        <v/>
      </c>
      <c r="I286" s="14">
        <f>IF(A286="","",MAX(0,MIN(12,DATEDIF(MAX(F286,Setup!$B$4),EDATE(Setup!$B$4,12),"m"))))</f>
        <v/>
      </c>
      <c r="J286" s="13">
        <f>IF(A286="","",H286*I286)</f>
        <v/>
      </c>
      <c r="K286" s="13">
        <f>IF(A286="","",E286*D286*IF(AND(F286&gt;=Setup!$B$4,EDATE(Setup!$B$4,12)-F286&lt;180),0.5,1))</f>
        <v/>
      </c>
      <c r="L286" s="13">
        <f>IF(A286="","",K286-J286)</f>
        <v/>
      </c>
      <c r="M286" s="8" t="n"/>
    </row>
    <row r="287">
      <c r="A287" s="10" t="n"/>
      <c r="B287" s="10" t="n"/>
      <c r="C287" s="11" t="n"/>
      <c r="D287" s="9" t="n"/>
      <c r="E287" s="12" t="n"/>
      <c r="F287" s="8" t="n"/>
      <c r="G287" s="10" t="n"/>
      <c r="H287" s="13">
        <f>IF(A287="","",E287*(1-Setup!$B$5)/(C287*12))</f>
        <v/>
      </c>
      <c r="I287" s="14">
        <f>IF(A287="","",MAX(0,MIN(12,DATEDIF(MAX(F287,Setup!$B$4),EDATE(Setup!$B$4,12),"m"))))</f>
        <v/>
      </c>
      <c r="J287" s="13">
        <f>IF(A287="","",H287*I287)</f>
        <v/>
      </c>
      <c r="K287" s="13">
        <f>IF(A287="","",E287*D287*IF(AND(F287&gt;=Setup!$B$4,EDATE(Setup!$B$4,12)-F287&lt;180),0.5,1))</f>
        <v/>
      </c>
      <c r="L287" s="13">
        <f>IF(A287="","",K287-J287)</f>
        <v/>
      </c>
      <c r="M287" s="8" t="n"/>
    </row>
    <row r="288">
      <c r="A288" s="10" t="n"/>
      <c r="B288" s="10" t="n"/>
      <c r="C288" s="11" t="n"/>
      <c r="D288" s="9" t="n"/>
      <c r="E288" s="12" t="n"/>
      <c r="F288" s="8" t="n"/>
      <c r="G288" s="10" t="n"/>
      <c r="H288" s="13">
        <f>IF(A288="","",E288*(1-Setup!$B$5)/(C288*12))</f>
        <v/>
      </c>
      <c r="I288" s="14">
        <f>IF(A288="","",MAX(0,MIN(12,DATEDIF(MAX(F288,Setup!$B$4),EDATE(Setup!$B$4,12),"m"))))</f>
        <v/>
      </c>
      <c r="J288" s="13">
        <f>IF(A288="","",H288*I288)</f>
        <v/>
      </c>
      <c r="K288" s="13">
        <f>IF(A288="","",E288*D288*IF(AND(F288&gt;=Setup!$B$4,EDATE(Setup!$B$4,12)-F288&lt;180),0.5,1))</f>
        <v/>
      </c>
      <c r="L288" s="13">
        <f>IF(A288="","",K288-J288)</f>
        <v/>
      </c>
      <c r="M288" s="8" t="n"/>
    </row>
    <row r="289">
      <c r="A289" s="10" t="n"/>
      <c r="B289" s="10" t="n"/>
      <c r="C289" s="11" t="n"/>
      <c r="D289" s="9" t="n"/>
      <c r="E289" s="12" t="n"/>
      <c r="F289" s="8" t="n"/>
      <c r="G289" s="10" t="n"/>
      <c r="H289" s="13">
        <f>IF(A289="","",E289*(1-Setup!$B$5)/(C289*12))</f>
        <v/>
      </c>
      <c r="I289" s="14">
        <f>IF(A289="","",MAX(0,MIN(12,DATEDIF(MAX(F289,Setup!$B$4),EDATE(Setup!$B$4,12),"m"))))</f>
        <v/>
      </c>
      <c r="J289" s="13">
        <f>IF(A289="","",H289*I289)</f>
        <v/>
      </c>
      <c r="K289" s="13">
        <f>IF(A289="","",E289*D289*IF(AND(F289&gt;=Setup!$B$4,EDATE(Setup!$B$4,12)-F289&lt;180),0.5,1))</f>
        <v/>
      </c>
      <c r="L289" s="13">
        <f>IF(A289="","",K289-J289)</f>
        <v/>
      </c>
      <c r="M289" s="8" t="n"/>
    </row>
    <row r="290">
      <c r="A290" s="10" t="n"/>
      <c r="B290" s="10" t="n"/>
      <c r="C290" s="11" t="n"/>
      <c r="D290" s="9" t="n"/>
      <c r="E290" s="12" t="n"/>
      <c r="F290" s="8" t="n"/>
      <c r="G290" s="10" t="n"/>
      <c r="H290" s="13">
        <f>IF(A290="","",E290*(1-Setup!$B$5)/(C290*12))</f>
        <v/>
      </c>
      <c r="I290" s="14">
        <f>IF(A290="","",MAX(0,MIN(12,DATEDIF(MAX(F290,Setup!$B$4),EDATE(Setup!$B$4,12),"m"))))</f>
        <v/>
      </c>
      <c r="J290" s="13">
        <f>IF(A290="","",H290*I290)</f>
        <v/>
      </c>
      <c r="K290" s="13">
        <f>IF(A290="","",E290*D290*IF(AND(F290&gt;=Setup!$B$4,EDATE(Setup!$B$4,12)-F290&lt;180),0.5,1))</f>
        <v/>
      </c>
      <c r="L290" s="13">
        <f>IF(A290="","",K290-J290)</f>
        <v/>
      </c>
      <c r="M290" s="8" t="n"/>
    </row>
    <row r="291">
      <c r="A291" s="10" t="n"/>
      <c r="B291" s="10" t="n"/>
      <c r="C291" s="11" t="n"/>
      <c r="D291" s="9" t="n"/>
      <c r="E291" s="12" t="n"/>
      <c r="F291" s="8" t="n"/>
      <c r="G291" s="10" t="n"/>
      <c r="H291" s="13">
        <f>IF(A291="","",E291*(1-Setup!$B$5)/(C291*12))</f>
        <v/>
      </c>
      <c r="I291" s="14">
        <f>IF(A291="","",MAX(0,MIN(12,DATEDIF(MAX(F291,Setup!$B$4),EDATE(Setup!$B$4,12),"m"))))</f>
        <v/>
      </c>
      <c r="J291" s="13">
        <f>IF(A291="","",H291*I291)</f>
        <v/>
      </c>
      <c r="K291" s="13">
        <f>IF(A291="","",E291*D291*IF(AND(F291&gt;=Setup!$B$4,EDATE(Setup!$B$4,12)-F291&lt;180),0.5,1))</f>
        <v/>
      </c>
      <c r="L291" s="13">
        <f>IF(A291="","",K291-J291)</f>
        <v/>
      </c>
      <c r="M291" s="8" t="n"/>
    </row>
    <row r="292">
      <c r="A292" s="10" t="n"/>
      <c r="B292" s="10" t="n"/>
      <c r="C292" s="11" t="n"/>
      <c r="D292" s="9" t="n"/>
      <c r="E292" s="12" t="n"/>
      <c r="F292" s="8" t="n"/>
      <c r="G292" s="10" t="n"/>
      <c r="H292" s="13">
        <f>IF(A292="","",E292*(1-Setup!$B$5)/(C292*12))</f>
        <v/>
      </c>
      <c r="I292" s="14">
        <f>IF(A292="","",MAX(0,MIN(12,DATEDIF(MAX(F292,Setup!$B$4),EDATE(Setup!$B$4,12),"m"))))</f>
        <v/>
      </c>
      <c r="J292" s="13">
        <f>IF(A292="","",H292*I292)</f>
        <v/>
      </c>
      <c r="K292" s="13">
        <f>IF(A292="","",E292*D292*IF(AND(F292&gt;=Setup!$B$4,EDATE(Setup!$B$4,12)-F292&lt;180),0.5,1))</f>
        <v/>
      </c>
      <c r="L292" s="13">
        <f>IF(A292="","",K292-J292)</f>
        <v/>
      </c>
      <c r="M292" s="8" t="n"/>
    </row>
    <row r="293">
      <c r="A293" s="10" t="n"/>
      <c r="B293" s="10" t="n"/>
      <c r="C293" s="11" t="n"/>
      <c r="D293" s="9" t="n"/>
      <c r="E293" s="12" t="n"/>
      <c r="F293" s="8" t="n"/>
      <c r="G293" s="10" t="n"/>
      <c r="H293" s="13">
        <f>IF(A293="","",E293*(1-Setup!$B$5)/(C293*12))</f>
        <v/>
      </c>
      <c r="I293" s="14">
        <f>IF(A293="","",MAX(0,MIN(12,DATEDIF(MAX(F293,Setup!$B$4),EDATE(Setup!$B$4,12),"m"))))</f>
        <v/>
      </c>
      <c r="J293" s="13">
        <f>IF(A293="","",H293*I293)</f>
        <v/>
      </c>
      <c r="K293" s="13">
        <f>IF(A293="","",E293*D293*IF(AND(F293&gt;=Setup!$B$4,EDATE(Setup!$B$4,12)-F293&lt;180),0.5,1))</f>
        <v/>
      </c>
      <c r="L293" s="13">
        <f>IF(A293="","",K293-J293)</f>
        <v/>
      </c>
      <c r="M293" s="8" t="n"/>
    </row>
    <row r="294">
      <c r="A294" s="10" t="n"/>
      <c r="B294" s="10" t="n"/>
      <c r="C294" s="11" t="n"/>
      <c r="D294" s="9" t="n"/>
      <c r="E294" s="12" t="n"/>
      <c r="F294" s="8" t="n"/>
      <c r="G294" s="10" t="n"/>
      <c r="H294" s="13">
        <f>IF(A294="","",E294*(1-Setup!$B$5)/(C294*12))</f>
        <v/>
      </c>
      <c r="I294" s="14">
        <f>IF(A294="","",MAX(0,MIN(12,DATEDIF(MAX(F294,Setup!$B$4),EDATE(Setup!$B$4,12),"m"))))</f>
        <v/>
      </c>
      <c r="J294" s="13">
        <f>IF(A294="","",H294*I294)</f>
        <v/>
      </c>
      <c r="K294" s="13">
        <f>IF(A294="","",E294*D294*IF(AND(F294&gt;=Setup!$B$4,EDATE(Setup!$B$4,12)-F294&lt;180),0.5,1))</f>
        <v/>
      </c>
      <c r="L294" s="13">
        <f>IF(A294="","",K294-J294)</f>
        <v/>
      </c>
      <c r="M294" s="8" t="n"/>
    </row>
    <row r="295">
      <c r="A295" s="10" t="n"/>
      <c r="B295" s="10" t="n"/>
      <c r="C295" s="11" t="n"/>
      <c r="D295" s="9" t="n"/>
      <c r="E295" s="12" t="n"/>
      <c r="F295" s="8" t="n"/>
      <c r="G295" s="10" t="n"/>
      <c r="H295" s="13">
        <f>IF(A295="","",E295*(1-Setup!$B$5)/(C295*12))</f>
        <v/>
      </c>
      <c r="I295" s="14">
        <f>IF(A295="","",MAX(0,MIN(12,DATEDIF(MAX(F295,Setup!$B$4),EDATE(Setup!$B$4,12),"m"))))</f>
        <v/>
      </c>
      <c r="J295" s="13">
        <f>IF(A295="","",H295*I295)</f>
        <v/>
      </c>
      <c r="K295" s="13">
        <f>IF(A295="","",E295*D295*IF(AND(F295&gt;=Setup!$B$4,EDATE(Setup!$B$4,12)-F295&lt;180),0.5,1))</f>
        <v/>
      </c>
      <c r="L295" s="13">
        <f>IF(A295="","",K295-J295)</f>
        <v/>
      </c>
      <c r="M295" s="8" t="n"/>
    </row>
    <row r="296">
      <c r="A296" s="10" t="n"/>
      <c r="B296" s="10" t="n"/>
      <c r="C296" s="11" t="n"/>
      <c r="D296" s="9" t="n"/>
      <c r="E296" s="12" t="n"/>
      <c r="F296" s="8" t="n"/>
      <c r="G296" s="10" t="n"/>
      <c r="H296" s="13">
        <f>IF(A296="","",E296*(1-Setup!$B$5)/(C296*12))</f>
        <v/>
      </c>
      <c r="I296" s="14">
        <f>IF(A296="","",MAX(0,MIN(12,DATEDIF(MAX(F296,Setup!$B$4),EDATE(Setup!$B$4,12),"m"))))</f>
        <v/>
      </c>
      <c r="J296" s="13">
        <f>IF(A296="","",H296*I296)</f>
        <v/>
      </c>
      <c r="K296" s="13">
        <f>IF(A296="","",E296*D296*IF(AND(F296&gt;=Setup!$B$4,EDATE(Setup!$B$4,12)-F296&lt;180),0.5,1))</f>
        <v/>
      </c>
      <c r="L296" s="13">
        <f>IF(A296="","",K296-J296)</f>
        <v/>
      </c>
      <c r="M296" s="8" t="n"/>
    </row>
    <row r="297">
      <c r="A297" s="10" t="n"/>
      <c r="B297" s="10" t="n"/>
      <c r="C297" s="11" t="n"/>
      <c r="D297" s="9" t="n"/>
      <c r="E297" s="12" t="n"/>
      <c r="F297" s="8" t="n"/>
      <c r="G297" s="10" t="n"/>
      <c r="H297" s="13">
        <f>IF(A297="","",E297*(1-Setup!$B$5)/(C297*12))</f>
        <v/>
      </c>
      <c r="I297" s="14">
        <f>IF(A297="","",MAX(0,MIN(12,DATEDIF(MAX(F297,Setup!$B$4),EDATE(Setup!$B$4,12),"m"))))</f>
        <v/>
      </c>
      <c r="J297" s="13">
        <f>IF(A297="","",H297*I297)</f>
        <v/>
      </c>
      <c r="K297" s="13">
        <f>IF(A297="","",E297*D297*IF(AND(F297&gt;=Setup!$B$4,EDATE(Setup!$B$4,12)-F297&lt;180),0.5,1))</f>
        <v/>
      </c>
      <c r="L297" s="13">
        <f>IF(A297="","",K297-J297)</f>
        <v/>
      </c>
      <c r="M297" s="8" t="n"/>
    </row>
    <row r="298">
      <c r="A298" s="10" t="n"/>
      <c r="B298" s="10" t="n"/>
      <c r="C298" s="11" t="n"/>
      <c r="D298" s="9" t="n"/>
      <c r="E298" s="12" t="n"/>
      <c r="F298" s="8" t="n"/>
      <c r="G298" s="10" t="n"/>
      <c r="H298" s="13">
        <f>IF(A298="","",E298*(1-Setup!$B$5)/(C298*12))</f>
        <v/>
      </c>
      <c r="I298" s="14">
        <f>IF(A298="","",MAX(0,MIN(12,DATEDIF(MAX(F298,Setup!$B$4),EDATE(Setup!$B$4,12),"m"))))</f>
        <v/>
      </c>
      <c r="J298" s="13">
        <f>IF(A298="","",H298*I298)</f>
        <v/>
      </c>
      <c r="K298" s="13">
        <f>IF(A298="","",E298*D298*IF(AND(F298&gt;=Setup!$B$4,EDATE(Setup!$B$4,12)-F298&lt;180),0.5,1))</f>
        <v/>
      </c>
      <c r="L298" s="13">
        <f>IF(A298="","",K298-J298)</f>
        <v/>
      </c>
      <c r="M298" s="8" t="n"/>
    </row>
    <row r="299">
      <c r="A299" s="10" t="n"/>
      <c r="B299" s="10" t="n"/>
      <c r="C299" s="11" t="n"/>
      <c r="D299" s="9" t="n"/>
      <c r="E299" s="12" t="n"/>
      <c r="F299" s="8" t="n"/>
      <c r="G299" s="10" t="n"/>
      <c r="H299" s="13">
        <f>IF(A299="","",E299*(1-Setup!$B$5)/(C299*12))</f>
        <v/>
      </c>
      <c r="I299" s="14">
        <f>IF(A299="","",MAX(0,MIN(12,DATEDIF(MAX(F299,Setup!$B$4),EDATE(Setup!$B$4,12),"m"))))</f>
        <v/>
      </c>
      <c r="J299" s="13">
        <f>IF(A299="","",H299*I299)</f>
        <v/>
      </c>
      <c r="K299" s="13">
        <f>IF(A299="","",E299*D299*IF(AND(F299&gt;=Setup!$B$4,EDATE(Setup!$B$4,12)-F299&lt;180),0.5,1))</f>
        <v/>
      </c>
      <c r="L299" s="13">
        <f>IF(A299="","",K299-J299)</f>
        <v/>
      </c>
      <c r="M299" s="8" t="n"/>
    </row>
    <row r="300">
      <c r="A300" s="10" t="n"/>
      <c r="B300" s="10" t="n"/>
      <c r="C300" s="11" t="n"/>
      <c r="D300" s="9" t="n"/>
      <c r="E300" s="12" t="n"/>
      <c r="F300" s="8" t="n"/>
      <c r="G300" s="10" t="n"/>
      <c r="H300" s="13">
        <f>IF(A300="","",E300*(1-Setup!$B$5)/(C300*12))</f>
        <v/>
      </c>
      <c r="I300" s="14">
        <f>IF(A300="","",MAX(0,MIN(12,DATEDIF(MAX(F300,Setup!$B$4),EDATE(Setup!$B$4,12),"m"))))</f>
        <v/>
      </c>
      <c r="J300" s="13">
        <f>IF(A300="","",H300*I300)</f>
        <v/>
      </c>
      <c r="K300" s="13">
        <f>IF(A300="","",E300*D300*IF(AND(F300&gt;=Setup!$B$4,EDATE(Setup!$B$4,12)-F300&lt;180),0.5,1))</f>
        <v/>
      </c>
      <c r="L300" s="13">
        <f>IF(A300="","",K300-J300)</f>
        <v/>
      </c>
      <c r="M300" s="8" t="n"/>
    </row>
    <row r="301">
      <c r="A301" s="10" t="n"/>
      <c r="B301" s="10" t="n"/>
      <c r="C301" s="11" t="n"/>
      <c r="D301" s="9" t="n"/>
      <c r="E301" s="12" t="n"/>
      <c r="F301" s="8" t="n"/>
      <c r="G301" s="10" t="n"/>
      <c r="H301" s="13">
        <f>IF(A301="","",E301*(1-Setup!$B$5)/(C301*12))</f>
        <v/>
      </c>
      <c r="I301" s="14">
        <f>IF(A301="","",MAX(0,MIN(12,DATEDIF(MAX(F301,Setup!$B$4),EDATE(Setup!$B$4,12),"m"))))</f>
        <v/>
      </c>
      <c r="J301" s="13">
        <f>IF(A301="","",H301*I301)</f>
        <v/>
      </c>
      <c r="K301" s="13">
        <f>IF(A301="","",E301*D301*IF(AND(F301&gt;=Setup!$B$4,EDATE(Setup!$B$4,12)-F301&lt;180),0.5,1))</f>
        <v/>
      </c>
      <c r="L301" s="13">
        <f>IF(A301="","",K301-J301)</f>
        <v/>
      </c>
      <c r="M301" s="8" t="n"/>
    </row>
    <row r="302">
      <c r="A302" s="10" t="n"/>
      <c r="B302" s="10" t="n"/>
      <c r="C302" s="11" t="n"/>
      <c r="D302" s="9" t="n"/>
      <c r="E302" s="12" t="n"/>
      <c r="F302" s="8" t="n"/>
      <c r="G302" s="10" t="n"/>
      <c r="H302" s="13">
        <f>IF(A302="","",E302*(1-Setup!$B$5)/(C302*12))</f>
        <v/>
      </c>
      <c r="I302" s="14">
        <f>IF(A302="","",MAX(0,MIN(12,DATEDIF(MAX(F302,Setup!$B$4),EDATE(Setup!$B$4,12),"m"))))</f>
        <v/>
      </c>
      <c r="J302" s="13">
        <f>IF(A302="","",H302*I302)</f>
        <v/>
      </c>
      <c r="K302" s="13">
        <f>IF(A302="","",E302*D302*IF(AND(F302&gt;=Setup!$B$4,EDATE(Setup!$B$4,12)-F302&lt;180),0.5,1))</f>
        <v/>
      </c>
      <c r="L302" s="13">
        <f>IF(A302="","",K302-J302)</f>
        <v/>
      </c>
      <c r="M302" s="8" t="n"/>
    </row>
    <row r="303">
      <c r="A303" s="10" t="n"/>
      <c r="B303" s="10" t="n"/>
      <c r="C303" s="11" t="n"/>
      <c r="D303" s="9" t="n"/>
      <c r="E303" s="12" t="n"/>
      <c r="F303" s="8" t="n"/>
      <c r="G303" s="10" t="n"/>
      <c r="H303" s="13">
        <f>IF(A303="","",E303*(1-Setup!$B$5)/(C303*12))</f>
        <v/>
      </c>
      <c r="I303" s="14">
        <f>IF(A303="","",MAX(0,MIN(12,DATEDIF(MAX(F303,Setup!$B$4),EDATE(Setup!$B$4,12),"m"))))</f>
        <v/>
      </c>
      <c r="J303" s="13">
        <f>IF(A303="","",H303*I303)</f>
        <v/>
      </c>
      <c r="K303" s="13">
        <f>IF(A303="","",E303*D303*IF(AND(F303&gt;=Setup!$B$4,EDATE(Setup!$B$4,12)-F303&lt;180),0.5,1))</f>
        <v/>
      </c>
      <c r="L303" s="13">
        <f>IF(A303="","",K303-J303)</f>
        <v/>
      </c>
      <c r="M303" s="8" t="n"/>
    </row>
    <row r="304">
      <c r="A304" s="10" t="n"/>
      <c r="B304" s="10" t="n"/>
      <c r="C304" s="11" t="n"/>
      <c r="D304" s="9" t="n"/>
      <c r="E304" s="12" t="n"/>
      <c r="F304" s="8" t="n"/>
      <c r="G304" s="10" t="n"/>
      <c r="H304" s="13">
        <f>IF(A304="","",E304*(1-Setup!$B$5)/(C304*12))</f>
        <v/>
      </c>
      <c r="I304" s="14">
        <f>IF(A304="","",MAX(0,MIN(12,DATEDIF(MAX(F304,Setup!$B$4),EDATE(Setup!$B$4,12),"m"))))</f>
        <v/>
      </c>
      <c r="J304" s="13">
        <f>IF(A304="","",H304*I304)</f>
        <v/>
      </c>
      <c r="K304" s="13">
        <f>IF(A304="","",E304*D304*IF(AND(F304&gt;=Setup!$B$4,EDATE(Setup!$B$4,12)-F304&lt;180),0.5,1))</f>
        <v/>
      </c>
      <c r="L304" s="13">
        <f>IF(A304="","",K304-J304)</f>
        <v/>
      </c>
      <c r="M304" s="8" t="n"/>
    </row>
    <row r="305">
      <c r="A305" s="10" t="n"/>
      <c r="B305" s="10" t="n"/>
      <c r="C305" s="11" t="n"/>
      <c r="D305" s="9" t="n"/>
      <c r="E305" s="12" t="n"/>
      <c r="F305" s="8" t="n"/>
      <c r="G305" s="10" t="n"/>
      <c r="H305" s="13">
        <f>IF(A305="","",E305*(1-Setup!$B$5)/(C305*12))</f>
        <v/>
      </c>
      <c r="I305" s="14">
        <f>IF(A305="","",MAX(0,MIN(12,DATEDIF(MAX(F305,Setup!$B$4),EDATE(Setup!$B$4,12),"m"))))</f>
        <v/>
      </c>
      <c r="J305" s="13">
        <f>IF(A305="","",H305*I305)</f>
        <v/>
      </c>
      <c r="K305" s="13">
        <f>IF(A305="","",E305*D305*IF(AND(F305&gt;=Setup!$B$4,EDATE(Setup!$B$4,12)-F305&lt;180),0.5,1))</f>
        <v/>
      </c>
      <c r="L305" s="13">
        <f>IF(A305="","",K305-J305)</f>
        <v/>
      </c>
      <c r="M305" s="8" t="n"/>
    </row>
    <row r="306">
      <c r="A306" s="10" t="n"/>
      <c r="B306" s="10" t="n"/>
      <c r="C306" s="11" t="n"/>
      <c r="D306" s="9" t="n"/>
      <c r="E306" s="12" t="n"/>
      <c r="F306" s="8" t="n"/>
      <c r="G306" s="10" t="n"/>
      <c r="H306" s="13">
        <f>IF(A306="","",E306*(1-Setup!$B$5)/(C306*12))</f>
        <v/>
      </c>
      <c r="I306" s="14">
        <f>IF(A306="","",MAX(0,MIN(12,DATEDIF(MAX(F306,Setup!$B$4),EDATE(Setup!$B$4,12),"m"))))</f>
        <v/>
      </c>
      <c r="J306" s="13">
        <f>IF(A306="","",H306*I306)</f>
        <v/>
      </c>
      <c r="K306" s="13">
        <f>IF(A306="","",E306*D306*IF(AND(F306&gt;=Setup!$B$4,EDATE(Setup!$B$4,12)-F306&lt;180),0.5,1))</f>
        <v/>
      </c>
      <c r="L306" s="13">
        <f>IF(A306="","",K306-J306)</f>
        <v/>
      </c>
      <c r="M306" s="8" t="n"/>
    </row>
    <row r="307">
      <c r="A307" s="10" t="n"/>
      <c r="B307" s="10" t="n"/>
      <c r="C307" s="11" t="n"/>
      <c r="D307" s="9" t="n"/>
      <c r="E307" s="12" t="n"/>
      <c r="F307" s="8" t="n"/>
      <c r="G307" s="10" t="n"/>
      <c r="H307" s="13">
        <f>IF(A307="","",E307*(1-Setup!$B$5)/(C307*12))</f>
        <v/>
      </c>
      <c r="I307" s="14">
        <f>IF(A307="","",MAX(0,MIN(12,DATEDIF(MAX(F307,Setup!$B$4),EDATE(Setup!$B$4,12),"m"))))</f>
        <v/>
      </c>
      <c r="J307" s="13">
        <f>IF(A307="","",H307*I307)</f>
        <v/>
      </c>
      <c r="K307" s="13">
        <f>IF(A307="","",E307*D307*IF(AND(F307&gt;=Setup!$B$4,EDATE(Setup!$B$4,12)-F307&lt;180),0.5,1))</f>
        <v/>
      </c>
      <c r="L307" s="13">
        <f>IF(A307="","",K307-J307)</f>
        <v/>
      </c>
      <c r="M307" s="8" t="n"/>
    </row>
    <row r="308">
      <c r="A308" s="10" t="n"/>
      <c r="B308" s="10" t="n"/>
      <c r="C308" s="11" t="n"/>
      <c r="D308" s="9" t="n"/>
      <c r="E308" s="12" t="n"/>
      <c r="F308" s="8" t="n"/>
      <c r="G308" s="10" t="n"/>
      <c r="H308" s="13">
        <f>IF(A308="","",E308*(1-Setup!$B$5)/(C308*12))</f>
        <v/>
      </c>
      <c r="I308" s="14">
        <f>IF(A308="","",MAX(0,MIN(12,DATEDIF(MAX(F308,Setup!$B$4),EDATE(Setup!$B$4,12),"m"))))</f>
        <v/>
      </c>
      <c r="J308" s="13">
        <f>IF(A308="","",H308*I308)</f>
        <v/>
      </c>
      <c r="K308" s="13">
        <f>IF(A308="","",E308*D308*IF(AND(F308&gt;=Setup!$B$4,EDATE(Setup!$B$4,12)-F308&lt;180),0.5,1))</f>
        <v/>
      </c>
      <c r="L308" s="13">
        <f>IF(A308="","",K308-J308)</f>
        <v/>
      </c>
      <c r="M308" s="8" t="n"/>
    </row>
    <row r="309">
      <c r="A309" s="10" t="n"/>
      <c r="B309" s="10" t="n"/>
      <c r="C309" s="11" t="n"/>
      <c r="D309" s="9" t="n"/>
      <c r="E309" s="12" t="n"/>
      <c r="F309" s="8" t="n"/>
      <c r="G309" s="10" t="n"/>
      <c r="H309" s="13">
        <f>IF(A309="","",E309*(1-Setup!$B$5)/(C309*12))</f>
        <v/>
      </c>
      <c r="I309" s="14">
        <f>IF(A309="","",MAX(0,MIN(12,DATEDIF(MAX(F309,Setup!$B$4),EDATE(Setup!$B$4,12),"m"))))</f>
        <v/>
      </c>
      <c r="J309" s="13">
        <f>IF(A309="","",H309*I309)</f>
        <v/>
      </c>
      <c r="K309" s="13">
        <f>IF(A309="","",E309*D309*IF(AND(F309&gt;=Setup!$B$4,EDATE(Setup!$B$4,12)-F309&lt;180),0.5,1))</f>
        <v/>
      </c>
      <c r="L309" s="13">
        <f>IF(A309="","",K309-J309)</f>
        <v/>
      </c>
      <c r="M309" s="8" t="n"/>
    </row>
    <row r="310">
      <c r="A310" s="10" t="n"/>
      <c r="B310" s="10" t="n"/>
      <c r="C310" s="11" t="n"/>
      <c r="D310" s="9" t="n"/>
      <c r="E310" s="12" t="n"/>
      <c r="F310" s="8" t="n"/>
      <c r="G310" s="10" t="n"/>
      <c r="H310" s="13">
        <f>IF(A310="","",E310*(1-Setup!$B$5)/(C310*12))</f>
        <v/>
      </c>
      <c r="I310" s="14">
        <f>IF(A310="","",MAX(0,MIN(12,DATEDIF(MAX(F310,Setup!$B$4),EDATE(Setup!$B$4,12),"m"))))</f>
        <v/>
      </c>
      <c r="J310" s="13">
        <f>IF(A310="","",H310*I310)</f>
        <v/>
      </c>
      <c r="K310" s="13">
        <f>IF(A310="","",E310*D310*IF(AND(F310&gt;=Setup!$B$4,EDATE(Setup!$B$4,12)-F310&lt;180),0.5,1))</f>
        <v/>
      </c>
      <c r="L310" s="13">
        <f>IF(A310="","",K310-J310)</f>
        <v/>
      </c>
      <c r="M310" s="8" t="n"/>
    </row>
    <row r="311">
      <c r="A311" s="10" t="n"/>
      <c r="B311" s="10" t="n"/>
      <c r="C311" s="11" t="n"/>
      <c r="D311" s="9" t="n"/>
      <c r="E311" s="12" t="n"/>
      <c r="F311" s="8" t="n"/>
      <c r="G311" s="10" t="n"/>
      <c r="H311" s="13">
        <f>IF(A311="","",E311*(1-Setup!$B$5)/(C311*12))</f>
        <v/>
      </c>
      <c r="I311" s="14">
        <f>IF(A311="","",MAX(0,MIN(12,DATEDIF(MAX(F311,Setup!$B$4),EDATE(Setup!$B$4,12),"m"))))</f>
        <v/>
      </c>
      <c r="J311" s="13">
        <f>IF(A311="","",H311*I311)</f>
        <v/>
      </c>
      <c r="K311" s="13">
        <f>IF(A311="","",E311*D311*IF(AND(F311&gt;=Setup!$B$4,EDATE(Setup!$B$4,12)-F311&lt;180),0.5,1))</f>
        <v/>
      </c>
      <c r="L311" s="13">
        <f>IF(A311="","",K311-J311)</f>
        <v/>
      </c>
      <c r="M311" s="8" t="n"/>
    </row>
    <row r="312">
      <c r="A312" s="10" t="n"/>
      <c r="B312" s="10" t="n"/>
      <c r="C312" s="11" t="n"/>
      <c r="D312" s="9" t="n"/>
      <c r="E312" s="12" t="n"/>
      <c r="F312" s="8" t="n"/>
      <c r="G312" s="10" t="n"/>
      <c r="H312" s="13">
        <f>IF(A312="","",E312*(1-Setup!$B$5)/(C312*12))</f>
        <v/>
      </c>
      <c r="I312" s="14">
        <f>IF(A312="","",MAX(0,MIN(12,DATEDIF(MAX(F312,Setup!$B$4),EDATE(Setup!$B$4,12),"m"))))</f>
        <v/>
      </c>
      <c r="J312" s="13">
        <f>IF(A312="","",H312*I312)</f>
        <v/>
      </c>
      <c r="K312" s="13">
        <f>IF(A312="","",E312*D312*IF(AND(F312&gt;=Setup!$B$4,EDATE(Setup!$B$4,12)-F312&lt;180),0.5,1))</f>
        <v/>
      </c>
      <c r="L312" s="13">
        <f>IF(A312="","",K312-J312)</f>
        <v/>
      </c>
      <c r="M312" s="8" t="n"/>
    </row>
    <row r="313">
      <c r="A313" s="10" t="n"/>
      <c r="B313" s="10" t="n"/>
      <c r="C313" s="11" t="n"/>
      <c r="D313" s="9" t="n"/>
      <c r="E313" s="12" t="n"/>
      <c r="F313" s="8" t="n"/>
      <c r="G313" s="10" t="n"/>
      <c r="H313" s="13">
        <f>IF(A313="","",E313*(1-Setup!$B$5)/(C313*12))</f>
        <v/>
      </c>
      <c r="I313" s="14">
        <f>IF(A313="","",MAX(0,MIN(12,DATEDIF(MAX(F313,Setup!$B$4),EDATE(Setup!$B$4,12),"m"))))</f>
        <v/>
      </c>
      <c r="J313" s="13">
        <f>IF(A313="","",H313*I313)</f>
        <v/>
      </c>
      <c r="K313" s="13">
        <f>IF(A313="","",E313*D313*IF(AND(F313&gt;=Setup!$B$4,EDATE(Setup!$B$4,12)-F313&lt;180),0.5,1))</f>
        <v/>
      </c>
      <c r="L313" s="13">
        <f>IF(A313="","",K313-J313)</f>
        <v/>
      </c>
      <c r="M313" s="8" t="n"/>
    </row>
    <row r="314">
      <c r="A314" s="10" t="n"/>
      <c r="B314" s="10" t="n"/>
      <c r="C314" s="11" t="n"/>
      <c r="D314" s="9" t="n"/>
      <c r="E314" s="12" t="n"/>
      <c r="F314" s="8" t="n"/>
      <c r="G314" s="10" t="n"/>
      <c r="H314" s="13">
        <f>IF(A314="","",E314*(1-Setup!$B$5)/(C314*12))</f>
        <v/>
      </c>
      <c r="I314" s="14">
        <f>IF(A314="","",MAX(0,MIN(12,DATEDIF(MAX(F314,Setup!$B$4),EDATE(Setup!$B$4,12),"m"))))</f>
        <v/>
      </c>
      <c r="J314" s="13">
        <f>IF(A314="","",H314*I314)</f>
        <v/>
      </c>
      <c r="K314" s="13">
        <f>IF(A314="","",E314*D314*IF(AND(F314&gt;=Setup!$B$4,EDATE(Setup!$B$4,12)-F314&lt;180),0.5,1))</f>
        <v/>
      </c>
      <c r="L314" s="13">
        <f>IF(A314="","",K314-J314)</f>
        <v/>
      </c>
      <c r="M314" s="8" t="n"/>
    </row>
    <row r="315">
      <c r="A315" s="10" t="n"/>
      <c r="B315" s="10" t="n"/>
      <c r="C315" s="11" t="n"/>
      <c r="D315" s="9" t="n"/>
      <c r="E315" s="12" t="n"/>
      <c r="F315" s="8" t="n"/>
      <c r="G315" s="10" t="n"/>
      <c r="H315" s="13">
        <f>IF(A315="","",E315*(1-Setup!$B$5)/(C315*12))</f>
        <v/>
      </c>
      <c r="I315" s="14">
        <f>IF(A315="","",MAX(0,MIN(12,DATEDIF(MAX(F315,Setup!$B$4),EDATE(Setup!$B$4,12),"m"))))</f>
        <v/>
      </c>
      <c r="J315" s="13">
        <f>IF(A315="","",H315*I315)</f>
        <v/>
      </c>
      <c r="K315" s="13">
        <f>IF(A315="","",E315*D315*IF(AND(F315&gt;=Setup!$B$4,EDATE(Setup!$B$4,12)-F315&lt;180),0.5,1))</f>
        <v/>
      </c>
      <c r="L315" s="13">
        <f>IF(A315="","",K315-J315)</f>
        <v/>
      </c>
      <c r="M315" s="8" t="n"/>
    </row>
    <row r="316">
      <c r="A316" s="10" t="n"/>
      <c r="B316" s="10" t="n"/>
      <c r="C316" s="11" t="n"/>
      <c r="D316" s="9" t="n"/>
      <c r="E316" s="12" t="n"/>
      <c r="F316" s="8" t="n"/>
      <c r="G316" s="10" t="n"/>
      <c r="H316" s="13">
        <f>IF(A316="","",E316*(1-Setup!$B$5)/(C316*12))</f>
        <v/>
      </c>
      <c r="I316" s="14">
        <f>IF(A316="","",MAX(0,MIN(12,DATEDIF(MAX(F316,Setup!$B$4),EDATE(Setup!$B$4,12),"m"))))</f>
        <v/>
      </c>
      <c r="J316" s="13">
        <f>IF(A316="","",H316*I316)</f>
        <v/>
      </c>
      <c r="K316" s="13">
        <f>IF(A316="","",E316*D316*IF(AND(F316&gt;=Setup!$B$4,EDATE(Setup!$B$4,12)-F316&lt;180),0.5,1))</f>
        <v/>
      </c>
      <c r="L316" s="13">
        <f>IF(A316="","",K316-J316)</f>
        <v/>
      </c>
      <c r="M316" s="8" t="n"/>
    </row>
    <row r="317">
      <c r="A317" s="10" t="n"/>
      <c r="B317" s="10" t="n"/>
      <c r="C317" s="11" t="n"/>
      <c r="D317" s="9" t="n"/>
      <c r="E317" s="12" t="n"/>
      <c r="F317" s="8" t="n"/>
      <c r="G317" s="10" t="n"/>
      <c r="H317" s="13">
        <f>IF(A317="","",E317*(1-Setup!$B$5)/(C317*12))</f>
        <v/>
      </c>
      <c r="I317" s="14">
        <f>IF(A317="","",MAX(0,MIN(12,DATEDIF(MAX(F317,Setup!$B$4),EDATE(Setup!$B$4,12),"m"))))</f>
        <v/>
      </c>
      <c r="J317" s="13">
        <f>IF(A317="","",H317*I317)</f>
        <v/>
      </c>
      <c r="K317" s="13">
        <f>IF(A317="","",E317*D317*IF(AND(F317&gt;=Setup!$B$4,EDATE(Setup!$B$4,12)-F317&lt;180),0.5,1))</f>
        <v/>
      </c>
      <c r="L317" s="13">
        <f>IF(A317="","",K317-J317)</f>
        <v/>
      </c>
      <c r="M317" s="8" t="n"/>
    </row>
    <row r="318">
      <c r="A318" s="10" t="n"/>
      <c r="B318" s="10" t="n"/>
      <c r="C318" s="11" t="n"/>
      <c r="D318" s="9" t="n"/>
      <c r="E318" s="12" t="n"/>
      <c r="F318" s="8" t="n"/>
      <c r="G318" s="10" t="n"/>
      <c r="H318" s="13">
        <f>IF(A318="","",E318*(1-Setup!$B$5)/(C318*12))</f>
        <v/>
      </c>
      <c r="I318" s="14">
        <f>IF(A318="","",MAX(0,MIN(12,DATEDIF(MAX(F318,Setup!$B$4),EDATE(Setup!$B$4,12),"m"))))</f>
        <v/>
      </c>
      <c r="J318" s="13">
        <f>IF(A318="","",H318*I318)</f>
        <v/>
      </c>
      <c r="K318" s="13">
        <f>IF(A318="","",E318*D318*IF(AND(F318&gt;=Setup!$B$4,EDATE(Setup!$B$4,12)-F318&lt;180),0.5,1))</f>
        <v/>
      </c>
      <c r="L318" s="13">
        <f>IF(A318="","",K318-J318)</f>
        <v/>
      </c>
      <c r="M318" s="8" t="n"/>
    </row>
    <row r="319">
      <c r="A319" s="10" t="n"/>
      <c r="B319" s="10" t="n"/>
      <c r="C319" s="11" t="n"/>
      <c r="D319" s="9" t="n"/>
      <c r="E319" s="12" t="n"/>
      <c r="F319" s="8" t="n"/>
      <c r="G319" s="10" t="n"/>
      <c r="H319" s="13">
        <f>IF(A319="","",E319*(1-Setup!$B$5)/(C319*12))</f>
        <v/>
      </c>
      <c r="I319" s="14">
        <f>IF(A319="","",MAX(0,MIN(12,DATEDIF(MAX(F319,Setup!$B$4),EDATE(Setup!$B$4,12),"m"))))</f>
        <v/>
      </c>
      <c r="J319" s="13">
        <f>IF(A319="","",H319*I319)</f>
        <v/>
      </c>
      <c r="K319" s="13">
        <f>IF(A319="","",E319*D319*IF(AND(F319&gt;=Setup!$B$4,EDATE(Setup!$B$4,12)-F319&lt;180),0.5,1))</f>
        <v/>
      </c>
      <c r="L319" s="13">
        <f>IF(A319="","",K319-J319)</f>
        <v/>
      </c>
      <c r="M319" s="8" t="n"/>
    </row>
    <row r="320">
      <c r="A320" s="10" t="n"/>
      <c r="B320" s="10" t="n"/>
      <c r="C320" s="11" t="n"/>
      <c r="D320" s="9" t="n"/>
      <c r="E320" s="12" t="n"/>
      <c r="F320" s="8" t="n"/>
      <c r="G320" s="10" t="n"/>
      <c r="H320" s="13">
        <f>IF(A320="","",E320*(1-Setup!$B$5)/(C320*12))</f>
        <v/>
      </c>
      <c r="I320" s="14">
        <f>IF(A320="","",MAX(0,MIN(12,DATEDIF(MAX(F320,Setup!$B$4),EDATE(Setup!$B$4,12),"m"))))</f>
        <v/>
      </c>
      <c r="J320" s="13">
        <f>IF(A320="","",H320*I320)</f>
        <v/>
      </c>
      <c r="K320" s="13">
        <f>IF(A320="","",E320*D320*IF(AND(F320&gt;=Setup!$B$4,EDATE(Setup!$B$4,12)-F320&lt;180),0.5,1))</f>
        <v/>
      </c>
      <c r="L320" s="13">
        <f>IF(A320="","",K320-J320)</f>
        <v/>
      </c>
      <c r="M320" s="8" t="n"/>
    </row>
    <row r="321">
      <c r="A321" s="10" t="n"/>
      <c r="B321" s="10" t="n"/>
      <c r="C321" s="11" t="n"/>
      <c r="D321" s="9" t="n"/>
      <c r="E321" s="12" t="n"/>
      <c r="F321" s="8" t="n"/>
      <c r="G321" s="10" t="n"/>
      <c r="H321" s="13">
        <f>IF(A321="","",E321*(1-Setup!$B$5)/(C321*12))</f>
        <v/>
      </c>
      <c r="I321" s="14">
        <f>IF(A321="","",MAX(0,MIN(12,DATEDIF(MAX(F321,Setup!$B$4),EDATE(Setup!$B$4,12),"m"))))</f>
        <v/>
      </c>
      <c r="J321" s="13">
        <f>IF(A321="","",H321*I321)</f>
        <v/>
      </c>
      <c r="K321" s="13">
        <f>IF(A321="","",E321*D321*IF(AND(F321&gt;=Setup!$B$4,EDATE(Setup!$B$4,12)-F321&lt;180),0.5,1))</f>
        <v/>
      </c>
      <c r="L321" s="13">
        <f>IF(A321="","",K321-J321)</f>
        <v/>
      </c>
      <c r="M321" s="8" t="n"/>
    </row>
    <row r="322">
      <c r="A322" s="10" t="n"/>
      <c r="B322" s="10" t="n"/>
      <c r="C322" s="11" t="n"/>
      <c r="D322" s="9" t="n"/>
      <c r="E322" s="12" t="n"/>
      <c r="F322" s="8" t="n"/>
      <c r="G322" s="10" t="n"/>
      <c r="H322" s="13">
        <f>IF(A322="","",E322*(1-Setup!$B$5)/(C322*12))</f>
        <v/>
      </c>
      <c r="I322" s="14">
        <f>IF(A322="","",MAX(0,MIN(12,DATEDIF(MAX(F322,Setup!$B$4),EDATE(Setup!$B$4,12),"m"))))</f>
        <v/>
      </c>
      <c r="J322" s="13">
        <f>IF(A322="","",H322*I322)</f>
        <v/>
      </c>
      <c r="K322" s="13">
        <f>IF(A322="","",E322*D322*IF(AND(F322&gt;=Setup!$B$4,EDATE(Setup!$B$4,12)-F322&lt;180),0.5,1))</f>
        <v/>
      </c>
      <c r="L322" s="13">
        <f>IF(A322="","",K322-J322)</f>
        <v/>
      </c>
      <c r="M322" s="8" t="n"/>
    </row>
    <row r="323">
      <c r="A323" s="10" t="n"/>
      <c r="B323" s="10" t="n"/>
      <c r="C323" s="11" t="n"/>
      <c r="D323" s="9" t="n"/>
      <c r="E323" s="12" t="n"/>
      <c r="F323" s="8" t="n"/>
      <c r="G323" s="10" t="n"/>
      <c r="H323" s="13">
        <f>IF(A323="","",E323*(1-Setup!$B$5)/(C323*12))</f>
        <v/>
      </c>
      <c r="I323" s="14">
        <f>IF(A323="","",MAX(0,MIN(12,DATEDIF(MAX(F323,Setup!$B$4),EDATE(Setup!$B$4,12),"m"))))</f>
        <v/>
      </c>
      <c r="J323" s="13">
        <f>IF(A323="","",H323*I323)</f>
        <v/>
      </c>
      <c r="K323" s="13">
        <f>IF(A323="","",E323*D323*IF(AND(F323&gt;=Setup!$B$4,EDATE(Setup!$B$4,12)-F323&lt;180),0.5,1))</f>
        <v/>
      </c>
      <c r="L323" s="13">
        <f>IF(A323="","",K323-J323)</f>
        <v/>
      </c>
      <c r="M323" s="8" t="n"/>
    </row>
    <row r="324">
      <c r="A324" s="10" t="n"/>
      <c r="B324" s="10" t="n"/>
      <c r="C324" s="11" t="n"/>
      <c r="D324" s="9" t="n"/>
      <c r="E324" s="12" t="n"/>
      <c r="F324" s="8" t="n"/>
      <c r="G324" s="10" t="n"/>
      <c r="H324" s="13">
        <f>IF(A324="","",E324*(1-Setup!$B$5)/(C324*12))</f>
        <v/>
      </c>
      <c r="I324" s="14">
        <f>IF(A324="","",MAX(0,MIN(12,DATEDIF(MAX(F324,Setup!$B$4),EDATE(Setup!$B$4,12),"m"))))</f>
        <v/>
      </c>
      <c r="J324" s="13">
        <f>IF(A324="","",H324*I324)</f>
        <v/>
      </c>
      <c r="K324" s="13">
        <f>IF(A324="","",E324*D324*IF(AND(F324&gt;=Setup!$B$4,EDATE(Setup!$B$4,12)-F324&lt;180),0.5,1))</f>
        <v/>
      </c>
      <c r="L324" s="13">
        <f>IF(A324="","",K324-J324)</f>
        <v/>
      </c>
      <c r="M324" s="8" t="n"/>
    </row>
    <row r="325">
      <c r="A325" s="10" t="n"/>
      <c r="B325" s="10" t="n"/>
      <c r="C325" s="11" t="n"/>
      <c r="D325" s="9" t="n"/>
      <c r="E325" s="12" t="n"/>
      <c r="F325" s="8" t="n"/>
      <c r="G325" s="10" t="n"/>
      <c r="H325" s="13">
        <f>IF(A325="","",E325*(1-Setup!$B$5)/(C325*12))</f>
        <v/>
      </c>
      <c r="I325" s="14">
        <f>IF(A325="","",MAX(0,MIN(12,DATEDIF(MAX(F325,Setup!$B$4),EDATE(Setup!$B$4,12),"m"))))</f>
        <v/>
      </c>
      <c r="J325" s="13">
        <f>IF(A325="","",H325*I325)</f>
        <v/>
      </c>
      <c r="K325" s="13">
        <f>IF(A325="","",E325*D325*IF(AND(F325&gt;=Setup!$B$4,EDATE(Setup!$B$4,12)-F325&lt;180),0.5,1))</f>
        <v/>
      </c>
      <c r="L325" s="13">
        <f>IF(A325="","",K325-J325)</f>
        <v/>
      </c>
      <c r="M325" s="8" t="n"/>
    </row>
    <row r="326">
      <c r="A326" s="10" t="n"/>
      <c r="B326" s="10" t="n"/>
      <c r="C326" s="11" t="n"/>
      <c r="D326" s="9" t="n"/>
      <c r="E326" s="12" t="n"/>
      <c r="F326" s="8" t="n"/>
      <c r="G326" s="10" t="n"/>
      <c r="H326" s="13">
        <f>IF(A326="","",E326*(1-Setup!$B$5)/(C326*12))</f>
        <v/>
      </c>
      <c r="I326" s="14">
        <f>IF(A326="","",MAX(0,MIN(12,DATEDIF(MAX(F326,Setup!$B$4),EDATE(Setup!$B$4,12),"m"))))</f>
        <v/>
      </c>
      <c r="J326" s="13">
        <f>IF(A326="","",H326*I326)</f>
        <v/>
      </c>
      <c r="K326" s="13">
        <f>IF(A326="","",E326*D326*IF(AND(F326&gt;=Setup!$B$4,EDATE(Setup!$B$4,12)-F326&lt;180),0.5,1))</f>
        <v/>
      </c>
      <c r="L326" s="13">
        <f>IF(A326="","",K326-J326)</f>
        <v/>
      </c>
      <c r="M326" s="8" t="n"/>
    </row>
    <row r="327">
      <c r="A327" s="10" t="n"/>
      <c r="B327" s="10" t="n"/>
      <c r="C327" s="11" t="n"/>
      <c r="D327" s="9" t="n"/>
      <c r="E327" s="12" t="n"/>
      <c r="F327" s="8" t="n"/>
      <c r="G327" s="10" t="n"/>
      <c r="H327" s="13">
        <f>IF(A327="","",E327*(1-Setup!$B$5)/(C327*12))</f>
        <v/>
      </c>
      <c r="I327" s="14">
        <f>IF(A327="","",MAX(0,MIN(12,DATEDIF(MAX(F327,Setup!$B$4),EDATE(Setup!$B$4,12),"m"))))</f>
        <v/>
      </c>
      <c r="J327" s="13">
        <f>IF(A327="","",H327*I327)</f>
        <v/>
      </c>
      <c r="K327" s="13">
        <f>IF(A327="","",E327*D327*IF(AND(F327&gt;=Setup!$B$4,EDATE(Setup!$B$4,12)-F327&lt;180),0.5,1))</f>
        <v/>
      </c>
      <c r="L327" s="13">
        <f>IF(A327="","",K327-J327)</f>
        <v/>
      </c>
      <c r="M327" s="8" t="n"/>
    </row>
    <row r="328">
      <c r="A328" s="10" t="n"/>
      <c r="B328" s="10" t="n"/>
      <c r="C328" s="11" t="n"/>
      <c r="D328" s="9" t="n"/>
      <c r="E328" s="12" t="n"/>
      <c r="F328" s="8" t="n"/>
      <c r="G328" s="10" t="n"/>
      <c r="H328" s="13">
        <f>IF(A328="","",E328*(1-Setup!$B$5)/(C328*12))</f>
        <v/>
      </c>
      <c r="I328" s="14">
        <f>IF(A328="","",MAX(0,MIN(12,DATEDIF(MAX(F328,Setup!$B$4),EDATE(Setup!$B$4,12),"m"))))</f>
        <v/>
      </c>
      <c r="J328" s="13">
        <f>IF(A328="","",H328*I328)</f>
        <v/>
      </c>
      <c r="K328" s="13">
        <f>IF(A328="","",E328*D328*IF(AND(F328&gt;=Setup!$B$4,EDATE(Setup!$B$4,12)-F328&lt;180),0.5,1))</f>
        <v/>
      </c>
      <c r="L328" s="13">
        <f>IF(A328="","",K328-J328)</f>
        <v/>
      </c>
      <c r="M328" s="8" t="n"/>
    </row>
    <row r="329">
      <c r="A329" s="10" t="n"/>
      <c r="B329" s="10" t="n"/>
      <c r="C329" s="11" t="n"/>
      <c r="D329" s="9" t="n"/>
      <c r="E329" s="12" t="n"/>
      <c r="F329" s="8" t="n"/>
      <c r="G329" s="10" t="n"/>
      <c r="H329" s="13">
        <f>IF(A329="","",E329*(1-Setup!$B$5)/(C329*12))</f>
        <v/>
      </c>
      <c r="I329" s="14">
        <f>IF(A329="","",MAX(0,MIN(12,DATEDIF(MAX(F329,Setup!$B$4),EDATE(Setup!$B$4,12),"m"))))</f>
        <v/>
      </c>
      <c r="J329" s="13">
        <f>IF(A329="","",H329*I329)</f>
        <v/>
      </c>
      <c r="K329" s="13">
        <f>IF(A329="","",E329*D329*IF(AND(F329&gt;=Setup!$B$4,EDATE(Setup!$B$4,12)-F329&lt;180),0.5,1))</f>
        <v/>
      </c>
      <c r="L329" s="13">
        <f>IF(A329="","",K329-J329)</f>
        <v/>
      </c>
      <c r="M329" s="8" t="n"/>
    </row>
    <row r="330">
      <c r="A330" s="10" t="n"/>
      <c r="B330" s="10" t="n"/>
      <c r="C330" s="11" t="n"/>
      <c r="D330" s="9" t="n"/>
      <c r="E330" s="12" t="n"/>
      <c r="F330" s="8" t="n"/>
      <c r="G330" s="10" t="n"/>
      <c r="H330" s="13">
        <f>IF(A330="","",E330*(1-Setup!$B$5)/(C330*12))</f>
        <v/>
      </c>
      <c r="I330" s="14">
        <f>IF(A330="","",MAX(0,MIN(12,DATEDIF(MAX(F330,Setup!$B$4),EDATE(Setup!$B$4,12),"m"))))</f>
        <v/>
      </c>
      <c r="J330" s="13">
        <f>IF(A330="","",H330*I330)</f>
        <v/>
      </c>
      <c r="K330" s="13">
        <f>IF(A330="","",E330*D330*IF(AND(F330&gt;=Setup!$B$4,EDATE(Setup!$B$4,12)-F330&lt;180),0.5,1))</f>
        <v/>
      </c>
      <c r="L330" s="13">
        <f>IF(A330="","",K330-J330)</f>
        <v/>
      </c>
      <c r="M330" s="8" t="n"/>
    </row>
    <row r="331">
      <c r="A331" s="10" t="n"/>
      <c r="B331" s="10" t="n"/>
      <c r="C331" s="11" t="n"/>
      <c r="D331" s="9" t="n"/>
      <c r="E331" s="12" t="n"/>
      <c r="F331" s="8" t="n"/>
      <c r="G331" s="10" t="n"/>
      <c r="H331" s="13">
        <f>IF(A331="","",E331*(1-Setup!$B$5)/(C331*12))</f>
        <v/>
      </c>
      <c r="I331" s="14">
        <f>IF(A331="","",MAX(0,MIN(12,DATEDIF(MAX(F331,Setup!$B$4),EDATE(Setup!$B$4,12),"m"))))</f>
        <v/>
      </c>
      <c r="J331" s="13">
        <f>IF(A331="","",H331*I331)</f>
        <v/>
      </c>
      <c r="K331" s="13">
        <f>IF(A331="","",E331*D331*IF(AND(F331&gt;=Setup!$B$4,EDATE(Setup!$B$4,12)-F331&lt;180),0.5,1))</f>
        <v/>
      </c>
      <c r="L331" s="13">
        <f>IF(A331="","",K331-J331)</f>
        <v/>
      </c>
      <c r="M331" s="8" t="n"/>
    </row>
    <row r="332">
      <c r="A332" s="10" t="n"/>
      <c r="B332" s="10" t="n"/>
      <c r="C332" s="11" t="n"/>
      <c r="D332" s="9" t="n"/>
      <c r="E332" s="12" t="n"/>
      <c r="F332" s="8" t="n"/>
      <c r="G332" s="10" t="n"/>
      <c r="H332" s="13">
        <f>IF(A332="","",E332*(1-Setup!$B$5)/(C332*12))</f>
        <v/>
      </c>
      <c r="I332" s="14">
        <f>IF(A332="","",MAX(0,MIN(12,DATEDIF(MAX(F332,Setup!$B$4),EDATE(Setup!$B$4,12),"m"))))</f>
        <v/>
      </c>
      <c r="J332" s="13">
        <f>IF(A332="","",H332*I332)</f>
        <v/>
      </c>
      <c r="K332" s="13">
        <f>IF(A332="","",E332*D332*IF(AND(F332&gt;=Setup!$B$4,EDATE(Setup!$B$4,12)-F332&lt;180),0.5,1))</f>
        <v/>
      </c>
      <c r="L332" s="13">
        <f>IF(A332="","",K332-J332)</f>
        <v/>
      </c>
      <c r="M332" s="8" t="n"/>
    </row>
    <row r="333">
      <c r="A333" s="10" t="n"/>
      <c r="B333" s="10" t="n"/>
      <c r="C333" s="11" t="n"/>
      <c r="D333" s="9" t="n"/>
      <c r="E333" s="12" t="n"/>
      <c r="F333" s="8" t="n"/>
      <c r="G333" s="10" t="n"/>
      <c r="H333" s="13">
        <f>IF(A333="","",E333*(1-Setup!$B$5)/(C333*12))</f>
        <v/>
      </c>
      <c r="I333" s="14">
        <f>IF(A333="","",MAX(0,MIN(12,DATEDIF(MAX(F333,Setup!$B$4),EDATE(Setup!$B$4,12),"m"))))</f>
        <v/>
      </c>
      <c r="J333" s="13">
        <f>IF(A333="","",H333*I333)</f>
        <v/>
      </c>
      <c r="K333" s="13">
        <f>IF(A333="","",E333*D333*IF(AND(F333&gt;=Setup!$B$4,EDATE(Setup!$B$4,12)-F333&lt;180),0.5,1))</f>
        <v/>
      </c>
      <c r="L333" s="13">
        <f>IF(A333="","",K333-J333)</f>
        <v/>
      </c>
      <c r="M333" s="8" t="n"/>
    </row>
    <row r="334">
      <c r="A334" s="10" t="n"/>
      <c r="B334" s="10" t="n"/>
      <c r="C334" s="11" t="n"/>
      <c r="D334" s="9" t="n"/>
      <c r="E334" s="12" t="n"/>
      <c r="F334" s="8" t="n"/>
      <c r="G334" s="10" t="n"/>
      <c r="H334" s="13">
        <f>IF(A334="","",E334*(1-Setup!$B$5)/(C334*12))</f>
        <v/>
      </c>
      <c r="I334" s="14">
        <f>IF(A334="","",MAX(0,MIN(12,DATEDIF(MAX(F334,Setup!$B$4),EDATE(Setup!$B$4,12),"m"))))</f>
        <v/>
      </c>
      <c r="J334" s="13">
        <f>IF(A334="","",H334*I334)</f>
        <v/>
      </c>
      <c r="K334" s="13">
        <f>IF(A334="","",E334*D334*IF(AND(F334&gt;=Setup!$B$4,EDATE(Setup!$B$4,12)-F334&lt;180),0.5,1))</f>
        <v/>
      </c>
      <c r="L334" s="13">
        <f>IF(A334="","",K334-J334)</f>
        <v/>
      </c>
      <c r="M334" s="8" t="n"/>
    </row>
    <row r="335">
      <c r="A335" s="10" t="n"/>
      <c r="B335" s="10" t="n"/>
      <c r="C335" s="11" t="n"/>
      <c r="D335" s="9" t="n"/>
      <c r="E335" s="12" t="n"/>
      <c r="F335" s="8" t="n"/>
      <c r="G335" s="10" t="n"/>
      <c r="H335" s="13">
        <f>IF(A335="","",E335*(1-Setup!$B$5)/(C335*12))</f>
        <v/>
      </c>
      <c r="I335" s="14">
        <f>IF(A335="","",MAX(0,MIN(12,DATEDIF(MAX(F335,Setup!$B$4),EDATE(Setup!$B$4,12),"m"))))</f>
        <v/>
      </c>
      <c r="J335" s="13">
        <f>IF(A335="","",H335*I335)</f>
        <v/>
      </c>
      <c r="K335" s="13">
        <f>IF(A335="","",E335*D335*IF(AND(F335&gt;=Setup!$B$4,EDATE(Setup!$B$4,12)-F335&lt;180),0.5,1))</f>
        <v/>
      </c>
      <c r="L335" s="13">
        <f>IF(A335="","",K335-J335)</f>
        <v/>
      </c>
      <c r="M335" s="8" t="n"/>
    </row>
    <row r="336">
      <c r="A336" s="10" t="n"/>
      <c r="B336" s="10" t="n"/>
      <c r="C336" s="11" t="n"/>
      <c r="D336" s="9" t="n"/>
      <c r="E336" s="12" t="n"/>
      <c r="F336" s="8" t="n"/>
      <c r="G336" s="10" t="n"/>
      <c r="H336" s="13">
        <f>IF(A336="","",E336*(1-Setup!$B$5)/(C336*12))</f>
        <v/>
      </c>
      <c r="I336" s="14">
        <f>IF(A336="","",MAX(0,MIN(12,DATEDIF(MAX(F336,Setup!$B$4),EDATE(Setup!$B$4,12),"m"))))</f>
        <v/>
      </c>
      <c r="J336" s="13">
        <f>IF(A336="","",H336*I336)</f>
        <v/>
      </c>
      <c r="K336" s="13">
        <f>IF(A336="","",E336*D336*IF(AND(F336&gt;=Setup!$B$4,EDATE(Setup!$B$4,12)-F336&lt;180),0.5,1))</f>
        <v/>
      </c>
      <c r="L336" s="13">
        <f>IF(A336="","",K336-J336)</f>
        <v/>
      </c>
      <c r="M336" s="8" t="n"/>
    </row>
    <row r="337">
      <c r="A337" s="10" t="n"/>
      <c r="B337" s="10" t="n"/>
      <c r="C337" s="11" t="n"/>
      <c r="D337" s="9" t="n"/>
      <c r="E337" s="12" t="n"/>
      <c r="F337" s="8" t="n"/>
      <c r="G337" s="10" t="n"/>
      <c r="H337" s="13">
        <f>IF(A337="","",E337*(1-Setup!$B$5)/(C337*12))</f>
        <v/>
      </c>
      <c r="I337" s="14">
        <f>IF(A337="","",MAX(0,MIN(12,DATEDIF(MAX(F337,Setup!$B$4),EDATE(Setup!$B$4,12),"m"))))</f>
        <v/>
      </c>
      <c r="J337" s="13">
        <f>IF(A337="","",H337*I337)</f>
        <v/>
      </c>
      <c r="K337" s="13">
        <f>IF(A337="","",E337*D337*IF(AND(F337&gt;=Setup!$B$4,EDATE(Setup!$B$4,12)-F337&lt;180),0.5,1))</f>
        <v/>
      </c>
      <c r="L337" s="13">
        <f>IF(A337="","",K337-J337)</f>
        <v/>
      </c>
      <c r="M337" s="8" t="n"/>
    </row>
    <row r="338">
      <c r="A338" s="10" t="n"/>
      <c r="B338" s="10" t="n"/>
      <c r="C338" s="11" t="n"/>
      <c r="D338" s="9" t="n"/>
      <c r="E338" s="12" t="n"/>
      <c r="F338" s="8" t="n"/>
      <c r="G338" s="10" t="n"/>
      <c r="H338" s="13">
        <f>IF(A338="","",E338*(1-Setup!$B$5)/(C338*12))</f>
        <v/>
      </c>
      <c r="I338" s="14">
        <f>IF(A338="","",MAX(0,MIN(12,DATEDIF(MAX(F338,Setup!$B$4),EDATE(Setup!$B$4,12),"m"))))</f>
        <v/>
      </c>
      <c r="J338" s="13">
        <f>IF(A338="","",H338*I338)</f>
        <v/>
      </c>
      <c r="K338" s="13">
        <f>IF(A338="","",E338*D338*IF(AND(F338&gt;=Setup!$B$4,EDATE(Setup!$B$4,12)-F338&lt;180),0.5,1))</f>
        <v/>
      </c>
      <c r="L338" s="13">
        <f>IF(A338="","",K338-J338)</f>
        <v/>
      </c>
      <c r="M338" s="8" t="n"/>
    </row>
    <row r="339">
      <c r="A339" s="10" t="n"/>
      <c r="B339" s="10" t="n"/>
      <c r="C339" s="11" t="n"/>
      <c r="D339" s="9" t="n"/>
      <c r="E339" s="12" t="n"/>
      <c r="F339" s="8" t="n"/>
      <c r="G339" s="10" t="n"/>
      <c r="H339" s="13">
        <f>IF(A339="","",E339*(1-Setup!$B$5)/(C339*12))</f>
        <v/>
      </c>
      <c r="I339" s="14">
        <f>IF(A339="","",MAX(0,MIN(12,DATEDIF(MAX(F339,Setup!$B$4),EDATE(Setup!$B$4,12),"m"))))</f>
        <v/>
      </c>
      <c r="J339" s="13">
        <f>IF(A339="","",H339*I339)</f>
        <v/>
      </c>
      <c r="K339" s="13">
        <f>IF(A339="","",E339*D339*IF(AND(F339&gt;=Setup!$B$4,EDATE(Setup!$B$4,12)-F339&lt;180),0.5,1))</f>
        <v/>
      </c>
      <c r="L339" s="13">
        <f>IF(A339="","",K339-J339)</f>
        <v/>
      </c>
      <c r="M339" s="8" t="n"/>
    </row>
    <row r="340">
      <c r="A340" s="10" t="n"/>
      <c r="B340" s="10" t="n"/>
      <c r="C340" s="11" t="n"/>
      <c r="D340" s="9" t="n"/>
      <c r="E340" s="12" t="n"/>
      <c r="F340" s="8" t="n"/>
      <c r="G340" s="10" t="n"/>
      <c r="H340" s="13">
        <f>IF(A340="","",E340*(1-Setup!$B$5)/(C340*12))</f>
        <v/>
      </c>
      <c r="I340" s="14">
        <f>IF(A340="","",MAX(0,MIN(12,DATEDIF(MAX(F340,Setup!$B$4),EDATE(Setup!$B$4,12),"m"))))</f>
        <v/>
      </c>
      <c r="J340" s="13">
        <f>IF(A340="","",H340*I340)</f>
        <v/>
      </c>
      <c r="K340" s="13">
        <f>IF(A340="","",E340*D340*IF(AND(F340&gt;=Setup!$B$4,EDATE(Setup!$B$4,12)-F340&lt;180),0.5,1))</f>
        <v/>
      </c>
      <c r="L340" s="13">
        <f>IF(A340="","",K340-J340)</f>
        <v/>
      </c>
      <c r="M340" s="8" t="n"/>
    </row>
    <row r="341">
      <c r="A341" s="10" t="n"/>
      <c r="B341" s="10" t="n"/>
      <c r="C341" s="11" t="n"/>
      <c r="D341" s="9" t="n"/>
      <c r="E341" s="12" t="n"/>
      <c r="F341" s="8" t="n"/>
      <c r="G341" s="10" t="n"/>
      <c r="H341" s="13">
        <f>IF(A341="","",E341*(1-Setup!$B$5)/(C341*12))</f>
        <v/>
      </c>
      <c r="I341" s="14">
        <f>IF(A341="","",MAX(0,MIN(12,DATEDIF(MAX(F341,Setup!$B$4),EDATE(Setup!$B$4,12),"m"))))</f>
        <v/>
      </c>
      <c r="J341" s="13">
        <f>IF(A341="","",H341*I341)</f>
        <v/>
      </c>
      <c r="K341" s="13">
        <f>IF(A341="","",E341*D341*IF(AND(F341&gt;=Setup!$B$4,EDATE(Setup!$B$4,12)-F341&lt;180),0.5,1))</f>
        <v/>
      </c>
      <c r="L341" s="13">
        <f>IF(A341="","",K341-J341)</f>
        <v/>
      </c>
      <c r="M341" s="8" t="n"/>
    </row>
    <row r="342">
      <c r="A342" s="10" t="n"/>
      <c r="B342" s="10" t="n"/>
      <c r="C342" s="11" t="n"/>
      <c r="D342" s="9" t="n"/>
      <c r="E342" s="12" t="n"/>
      <c r="F342" s="8" t="n"/>
      <c r="G342" s="10" t="n"/>
      <c r="H342" s="13">
        <f>IF(A342="","",E342*(1-Setup!$B$5)/(C342*12))</f>
        <v/>
      </c>
      <c r="I342" s="14">
        <f>IF(A342="","",MAX(0,MIN(12,DATEDIF(MAX(F342,Setup!$B$4),EDATE(Setup!$B$4,12),"m"))))</f>
        <v/>
      </c>
      <c r="J342" s="13">
        <f>IF(A342="","",H342*I342)</f>
        <v/>
      </c>
      <c r="K342" s="13">
        <f>IF(A342="","",E342*D342*IF(AND(F342&gt;=Setup!$B$4,EDATE(Setup!$B$4,12)-F342&lt;180),0.5,1))</f>
        <v/>
      </c>
      <c r="L342" s="13">
        <f>IF(A342="","",K342-J342)</f>
        <v/>
      </c>
      <c r="M342" s="8" t="n"/>
    </row>
    <row r="343">
      <c r="A343" s="10" t="n"/>
      <c r="B343" s="10" t="n"/>
      <c r="C343" s="11" t="n"/>
      <c r="D343" s="9" t="n"/>
      <c r="E343" s="12" t="n"/>
      <c r="F343" s="8" t="n"/>
      <c r="G343" s="10" t="n"/>
      <c r="H343" s="13">
        <f>IF(A343="","",E343*(1-Setup!$B$5)/(C343*12))</f>
        <v/>
      </c>
      <c r="I343" s="14">
        <f>IF(A343="","",MAX(0,MIN(12,DATEDIF(MAX(F343,Setup!$B$4),EDATE(Setup!$B$4,12),"m"))))</f>
        <v/>
      </c>
      <c r="J343" s="13">
        <f>IF(A343="","",H343*I343)</f>
        <v/>
      </c>
      <c r="K343" s="13">
        <f>IF(A343="","",E343*D343*IF(AND(F343&gt;=Setup!$B$4,EDATE(Setup!$B$4,12)-F343&lt;180),0.5,1))</f>
        <v/>
      </c>
      <c r="L343" s="13">
        <f>IF(A343="","",K343-J343)</f>
        <v/>
      </c>
      <c r="M343" s="8" t="n"/>
    </row>
    <row r="344">
      <c r="A344" s="10" t="n"/>
      <c r="B344" s="10" t="n"/>
      <c r="C344" s="11" t="n"/>
      <c r="D344" s="9" t="n"/>
      <c r="E344" s="12" t="n"/>
      <c r="F344" s="8" t="n"/>
      <c r="G344" s="10" t="n"/>
      <c r="H344" s="13">
        <f>IF(A344="","",E344*(1-Setup!$B$5)/(C344*12))</f>
        <v/>
      </c>
      <c r="I344" s="14">
        <f>IF(A344="","",MAX(0,MIN(12,DATEDIF(MAX(F344,Setup!$B$4),EDATE(Setup!$B$4,12),"m"))))</f>
        <v/>
      </c>
      <c r="J344" s="13">
        <f>IF(A344="","",H344*I344)</f>
        <v/>
      </c>
      <c r="K344" s="13">
        <f>IF(A344="","",E344*D344*IF(AND(F344&gt;=Setup!$B$4,EDATE(Setup!$B$4,12)-F344&lt;180),0.5,1))</f>
        <v/>
      </c>
      <c r="L344" s="13">
        <f>IF(A344="","",K344-J344)</f>
        <v/>
      </c>
      <c r="M344" s="8" t="n"/>
    </row>
    <row r="345">
      <c r="A345" s="10" t="n"/>
      <c r="B345" s="10" t="n"/>
      <c r="C345" s="11" t="n"/>
      <c r="D345" s="9" t="n"/>
      <c r="E345" s="12" t="n"/>
      <c r="F345" s="8" t="n"/>
      <c r="G345" s="10" t="n"/>
      <c r="H345" s="13">
        <f>IF(A345="","",E345*(1-Setup!$B$5)/(C345*12))</f>
        <v/>
      </c>
      <c r="I345" s="14">
        <f>IF(A345="","",MAX(0,MIN(12,DATEDIF(MAX(F345,Setup!$B$4),EDATE(Setup!$B$4,12),"m"))))</f>
        <v/>
      </c>
      <c r="J345" s="13">
        <f>IF(A345="","",H345*I345)</f>
        <v/>
      </c>
      <c r="K345" s="13">
        <f>IF(A345="","",E345*D345*IF(AND(F345&gt;=Setup!$B$4,EDATE(Setup!$B$4,12)-F345&lt;180),0.5,1))</f>
        <v/>
      </c>
      <c r="L345" s="13">
        <f>IF(A345="","",K345-J345)</f>
        <v/>
      </c>
      <c r="M345" s="8" t="n"/>
    </row>
    <row r="346">
      <c r="A346" s="10" t="n"/>
      <c r="B346" s="10" t="n"/>
      <c r="C346" s="11" t="n"/>
      <c r="D346" s="9" t="n"/>
      <c r="E346" s="12" t="n"/>
      <c r="F346" s="8" t="n"/>
      <c r="G346" s="10" t="n"/>
      <c r="H346" s="13">
        <f>IF(A346="","",E346*(1-Setup!$B$5)/(C346*12))</f>
        <v/>
      </c>
      <c r="I346" s="14">
        <f>IF(A346="","",MAX(0,MIN(12,DATEDIF(MAX(F346,Setup!$B$4),EDATE(Setup!$B$4,12),"m"))))</f>
        <v/>
      </c>
      <c r="J346" s="13">
        <f>IF(A346="","",H346*I346)</f>
        <v/>
      </c>
      <c r="K346" s="13">
        <f>IF(A346="","",E346*D346*IF(AND(F346&gt;=Setup!$B$4,EDATE(Setup!$B$4,12)-F346&lt;180),0.5,1))</f>
        <v/>
      </c>
      <c r="L346" s="13">
        <f>IF(A346="","",K346-J346)</f>
        <v/>
      </c>
      <c r="M346" s="8" t="n"/>
    </row>
    <row r="347">
      <c r="A347" s="10" t="n"/>
      <c r="B347" s="10" t="n"/>
      <c r="C347" s="11" t="n"/>
      <c r="D347" s="9" t="n"/>
      <c r="E347" s="12" t="n"/>
      <c r="F347" s="8" t="n"/>
      <c r="G347" s="10" t="n"/>
      <c r="H347" s="13">
        <f>IF(A347="","",E347*(1-Setup!$B$5)/(C347*12))</f>
        <v/>
      </c>
      <c r="I347" s="14">
        <f>IF(A347="","",MAX(0,MIN(12,DATEDIF(MAX(F347,Setup!$B$4),EDATE(Setup!$B$4,12),"m"))))</f>
        <v/>
      </c>
      <c r="J347" s="13">
        <f>IF(A347="","",H347*I347)</f>
        <v/>
      </c>
      <c r="K347" s="13">
        <f>IF(A347="","",E347*D347*IF(AND(F347&gt;=Setup!$B$4,EDATE(Setup!$B$4,12)-F347&lt;180),0.5,1))</f>
        <v/>
      </c>
      <c r="L347" s="13">
        <f>IF(A347="","",K347-J347)</f>
        <v/>
      </c>
      <c r="M347" s="8" t="n"/>
    </row>
    <row r="348">
      <c r="A348" s="10" t="n"/>
      <c r="B348" s="10" t="n"/>
      <c r="C348" s="11" t="n"/>
      <c r="D348" s="9" t="n"/>
      <c r="E348" s="12" t="n"/>
      <c r="F348" s="8" t="n"/>
      <c r="G348" s="10" t="n"/>
      <c r="H348" s="13">
        <f>IF(A348="","",E348*(1-Setup!$B$5)/(C348*12))</f>
        <v/>
      </c>
      <c r="I348" s="14">
        <f>IF(A348="","",MAX(0,MIN(12,DATEDIF(MAX(F348,Setup!$B$4),EDATE(Setup!$B$4,12),"m"))))</f>
        <v/>
      </c>
      <c r="J348" s="13">
        <f>IF(A348="","",H348*I348)</f>
        <v/>
      </c>
      <c r="K348" s="13">
        <f>IF(A348="","",E348*D348*IF(AND(F348&gt;=Setup!$B$4,EDATE(Setup!$B$4,12)-F348&lt;180),0.5,1))</f>
        <v/>
      </c>
      <c r="L348" s="13">
        <f>IF(A348="","",K348-J348)</f>
        <v/>
      </c>
      <c r="M348" s="8" t="n"/>
    </row>
    <row r="349">
      <c r="A349" s="10" t="n"/>
      <c r="B349" s="10" t="n"/>
      <c r="C349" s="11" t="n"/>
      <c r="D349" s="9" t="n"/>
      <c r="E349" s="12" t="n"/>
      <c r="F349" s="8" t="n"/>
      <c r="G349" s="10" t="n"/>
      <c r="H349" s="13">
        <f>IF(A349="","",E349*(1-Setup!$B$5)/(C349*12))</f>
        <v/>
      </c>
      <c r="I349" s="14">
        <f>IF(A349="","",MAX(0,MIN(12,DATEDIF(MAX(F349,Setup!$B$4),EDATE(Setup!$B$4,12),"m"))))</f>
        <v/>
      </c>
      <c r="J349" s="13">
        <f>IF(A349="","",H349*I349)</f>
        <v/>
      </c>
      <c r="K349" s="13">
        <f>IF(A349="","",E349*D349*IF(AND(F349&gt;=Setup!$B$4,EDATE(Setup!$B$4,12)-F349&lt;180),0.5,1))</f>
        <v/>
      </c>
      <c r="L349" s="13">
        <f>IF(A349="","",K349-J349)</f>
        <v/>
      </c>
      <c r="M349" s="8" t="n"/>
    </row>
    <row r="350">
      <c r="A350" s="10" t="n"/>
      <c r="B350" s="10" t="n"/>
      <c r="C350" s="11" t="n"/>
      <c r="D350" s="9" t="n"/>
      <c r="E350" s="12" t="n"/>
      <c r="F350" s="8" t="n"/>
      <c r="G350" s="10" t="n"/>
      <c r="H350" s="13">
        <f>IF(A350="","",E350*(1-Setup!$B$5)/(C350*12))</f>
        <v/>
      </c>
      <c r="I350" s="14">
        <f>IF(A350="","",MAX(0,MIN(12,DATEDIF(MAX(F350,Setup!$B$4),EDATE(Setup!$B$4,12),"m"))))</f>
        <v/>
      </c>
      <c r="J350" s="13">
        <f>IF(A350="","",H350*I350)</f>
        <v/>
      </c>
      <c r="K350" s="13">
        <f>IF(A350="","",E350*D350*IF(AND(F350&gt;=Setup!$B$4,EDATE(Setup!$B$4,12)-F350&lt;180),0.5,1))</f>
        <v/>
      </c>
      <c r="L350" s="13">
        <f>IF(A350="","",K350-J350)</f>
        <v/>
      </c>
      <c r="M350" s="8" t="n"/>
    </row>
    <row r="351">
      <c r="A351" s="10" t="n"/>
      <c r="B351" s="10" t="n"/>
      <c r="C351" s="11" t="n"/>
      <c r="D351" s="9" t="n"/>
      <c r="E351" s="12" t="n"/>
      <c r="F351" s="8" t="n"/>
      <c r="G351" s="10" t="n"/>
      <c r="H351" s="13">
        <f>IF(A351="","",E351*(1-Setup!$B$5)/(C351*12))</f>
        <v/>
      </c>
      <c r="I351" s="14">
        <f>IF(A351="","",MAX(0,MIN(12,DATEDIF(MAX(F351,Setup!$B$4),EDATE(Setup!$B$4,12),"m"))))</f>
        <v/>
      </c>
      <c r="J351" s="13">
        <f>IF(A351="","",H351*I351)</f>
        <v/>
      </c>
      <c r="K351" s="13">
        <f>IF(A351="","",E351*D351*IF(AND(F351&gt;=Setup!$B$4,EDATE(Setup!$B$4,12)-F351&lt;180),0.5,1))</f>
        <v/>
      </c>
      <c r="L351" s="13">
        <f>IF(A351="","",K351-J351)</f>
        <v/>
      </c>
      <c r="M351" s="8" t="n"/>
    </row>
    <row r="352">
      <c r="A352" s="10" t="n"/>
      <c r="B352" s="10" t="n"/>
      <c r="C352" s="11" t="n"/>
      <c r="D352" s="9" t="n"/>
      <c r="E352" s="12" t="n"/>
      <c r="F352" s="8" t="n"/>
      <c r="G352" s="10" t="n"/>
      <c r="H352" s="13">
        <f>IF(A352="","",E352*(1-Setup!$B$5)/(C352*12))</f>
        <v/>
      </c>
      <c r="I352" s="14">
        <f>IF(A352="","",MAX(0,MIN(12,DATEDIF(MAX(F352,Setup!$B$4),EDATE(Setup!$B$4,12),"m"))))</f>
        <v/>
      </c>
      <c r="J352" s="13">
        <f>IF(A352="","",H352*I352)</f>
        <v/>
      </c>
      <c r="K352" s="13">
        <f>IF(A352="","",E352*D352*IF(AND(F352&gt;=Setup!$B$4,EDATE(Setup!$B$4,12)-F352&lt;180),0.5,1))</f>
        <v/>
      </c>
      <c r="L352" s="13">
        <f>IF(A352="","",K352-J352)</f>
        <v/>
      </c>
      <c r="M352" s="8" t="n"/>
    </row>
    <row r="353">
      <c r="A353" s="10" t="n"/>
      <c r="B353" s="10" t="n"/>
      <c r="C353" s="11" t="n"/>
      <c r="D353" s="9" t="n"/>
      <c r="E353" s="12" t="n"/>
      <c r="F353" s="8" t="n"/>
      <c r="G353" s="10" t="n"/>
      <c r="H353" s="13">
        <f>IF(A353="","",E353*(1-Setup!$B$5)/(C353*12))</f>
        <v/>
      </c>
      <c r="I353" s="14">
        <f>IF(A353="","",MAX(0,MIN(12,DATEDIF(MAX(F353,Setup!$B$4),EDATE(Setup!$B$4,12),"m"))))</f>
        <v/>
      </c>
      <c r="J353" s="13">
        <f>IF(A353="","",H353*I353)</f>
        <v/>
      </c>
      <c r="K353" s="13">
        <f>IF(A353="","",E353*D353*IF(AND(F353&gt;=Setup!$B$4,EDATE(Setup!$B$4,12)-F353&lt;180),0.5,1))</f>
        <v/>
      </c>
      <c r="L353" s="13">
        <f>IF(A353="","",K353-J353)</f>
        <v/>
      </c>
      <c r="M353" s="8" t="n"/>
    </row>
    <row r="354">
      <c r="A354" s="10" t="n"/>
      <c r="B354" s="10" t="n"/>
      <c r="C354" s="11" t="n"/>
      <c r="D354" s="9" t="n"/>
      <c r="E354" s="12" t="n"/>
      <c r="F354" s="8" t="n"/>
      <c r="G354" s="10" t="n"/>
      <c r="H354" s="13">
        <f>IF(A354="","",E354*(1-Setup!$B$5)/(C354*12))</f>
        <v/>
      </c>
      <c r="I354" s="14">
        <f>IF(A354="","",MAX(0,MIN(12,DATEDIF(MAX(F354,Setup!$B$4),EDATE(Setup!$B$4,12),"m"))))</f>
        <v/>
      </c>
      <c r="J354" s="13">
        <f>IF(A354="","",H354*I354)</f>
        <v/>
      </c>
      <c r="K354" s="13">
        <f>IF(A354="","",E354*D354*IF(AND(F354&gt;=Setup!$B$4,EDATE(Setup!$B$4,12)-F354&lt;180),0.5,1))</f>
        <v/>
      </c>
      <c r="L354" s="13">
        <f>IF(A354="","",K354-J354)</f>
        <v/>
      </c>
      <c r="M354" s="8" t="n"/>
    </row>
    <row r="355">
      <c r="A355" s="10" t="n"/>
      <c r="B355" s="10" t="n"/>
      <c r="C355" s="11" t="n"/>
      <c r="D355" s="9" t="n"/>
      <c r="E355" s="12" t="n"/>
      <c r="F355" s="8" t="n"/>
      <c r="G355" s="10" t="n"/>
      <c r="H355" s="13">
        <f>IF(A355="","",E355*(1-Setup!$B$5)/(C355*12))</f>
        <v/>
      </c>
      <c r="I355" s="14">
        <f>IF(A355="","",MAX(0,MIN(12,DATEDIF(MAX(F355,Setup!$B$4),EDATE(Setup!$B$4,12),"m"))))</f>
        <v/>
      </c>
      <c r="J355" s="13">
        <f>IF(A355="","",H355*I355)</f>
        <v/>
      </c>
      <c r="K355" s="13">
        <f>IF(A355="","",E355*D355*IF(AND(F355&gt;=Setup!$B$4,EDATE(Setup!$B$4,12)-F355&lt;180),0.5,1))</f>
        <v/>
      </c>
      <c r="L355" s="13">
        <f>IF(A355="","",K355-J355)</f>
        <v/>
      </c>
      <c r="M355" s="8" t="n"/>
    </row>
    <row r="356">
      <c r="A356" s="10" t="n"/>
      <c r="B356" s="10" t="n"/>
      <c r="C356" s="11" t="n"/>
      <c r="D356" s="9" t="n"/>
      <c r="E356" s="12" t="n"/>
      <c r="F356" s="8" t="n"/>
      <c r="G356" s="10" t="n"/>
      <c r="H356" s="13">
        <f>IF(A356="","",E356*(1-Setup!$B$5)/(C356*12))</f>
        <v/>
      </c>
      <c r="I356" s="14">
        <f>IF(A356="","",MAX(0,MIN(12,DATEDIF(MAX(F356,Setup!$B$4),EDATE(Setup!$B$4,12),"m"))))</f>
        <v/>
      </c>
      <c r="J356" s="13">
        <f>IF(A356="","",H356*I356)</f>
        <v/>
      </c>
      <c r="K356" s="13">
        <f>IF(A356="","",E356*D356*IF(AND(F356&gt;=Setup!$B$4,EDATE(Setup!$B$4,12)-F356&lt;180),0.5,1))</f>
        <v/>
      </c>
      <c r="L356" s="13">
        <f>IF(A356="","",K356-J356)</f>
        <v/>
      </c>
      <c r="M356" s="8" t="n"/>
    </row>
    <row r="357">
      <c r="A357" s="10" t="n"/>
      <c r="B357" s="10" t="n"/>
      <c r="C357" s="11" t="n"/>
      <c r="D357" s="9" t="n"/>
      <c r="E357" s="12" t="n"/>
      <c r="F357" s="8" t="n"/>
      <c r="G357" s="10" t="n"/>
      <c r="H357" s="13">
        <f>IF(A357="","",E357*(1-Setup!$B$5)/(C357*12))</f>
        <v/>
      </c>
      <c r="I357" s="14">
        <f>IF(A357="","",MAX(0,MIN(12,DATEDIF(MAX(F357,Setup!$B$4),EDATE(Setup!$B$4,12),"m"))))</f>
        <v/>
      </c>
      <c r="J357" s="13">
        <f>IF(A357="","",H357*I357)</f>
        <v/>
      </c>
      <c r="K357" s="13">
        <f>IF(A357="","",E357*D357*IF(AND(F357&gt;=Setup!$B$4,EDATE(Setup!$B$4,12)-F357&lt;180),0.5,1))</f>
        <v/>
      </c>
      <c r="L357" s="13">
        <f>IF(A357="","",K357-J357)</f>
        <v/>
      </c>
      <c r="M357" s="8" t="n"/>
    </row>
    <row r="358">
      <c r="A358" s="10" t="n"/>
      <c r="B358" s="10" t="n"/>
      <c r="C358" s="11" t="n"/>
      <c r="D358" s="9" t="n"/>
      <c r="E358" s="12" t="n"/>
      <c r="F358" s="8" t="n"/>
      <c r="G358" s="10" t="n"/>
      <c r="H358" s="13">
        <f>IF(A358="","",E358*(1-Setup!$B$5)/(C358*12))</f>
        <v/>
      </c>
      <c r="I358" s="14">
        <f>IF(A358="","",MAX(0,MIN(12,DATEDIF(MAX(F358,Setup!$B$4),EDATE(Setup!$B$4,12),"m"))))</f>
        <v/>
      </c>
      <c r="J358" s="13">
        <f>IF(A358="","",H358*I358)</f>
        <v/>
      </c>
      <c r="K358" s="13">
        <f>IF(A358="","",E358*D358*IF(AND(F358&gt;=Setup!$B$4,EDATE(Setup!$B$4,12)-F358&lt;180),0.5,1))</f>
        <v/>
      </c>
      <c r="L358" s="13">
        <f>IF(A358="","",K358-J358)</f>
        <v/>
      </c>
      <c r="M358" s="8" t="n"/>
    </row>
    <row r="359">
      <c r="A359" s="10" t="n"/>
      <c r="B359" s="10" t="n"/>
      <c r="C359" s="11" t="n"/>
      <c r="D359" s="9" t="n"/>
      <c r="E359" s="12" t="n"/>
      <c r="F359" s="8" t="n"/>
      <c r="G359" s="10" t="n"/>
      <c r="H359" s="13">
        <f>IF(A359="","",E359*(1-Setup!$B$5)/(C359*12))</f>
        <v/>
      </c>
      <c r="I359" s="14">
        <f>IF(A359="","",MAX(0,MIN(12,DATEDIF(MAX(F359,Setup!$B$4),EDATE(Setup!$B$4,12),"m"))))</f>
        <v/>
      </c>
      <c r="J359" s="13">
        <f>IF(A359="","",H359*I359)</f>
        <v/>
      </c>
      <c r="K359" s="13">
        <f>IF(A359="","",E359*D359*IF(AND(F359&gt;=Setup!$B$4,EDATE(Setup!$B$4,12)-F359&lt;180),0.5,1))</f>
        <v/>
      </c>
      <c r="L359" s="13">
        <f>IF(A359="","",K359-J359)</f>
        <v/>
      </c>
      <c r="M359" s="8" t="n"/>
    </row>
    <row r="360">
      <c r="A360" s="10" t="n"/>
      <c r="B360" s="10" t="n"/>
      <c r="C360" s="11" t="n"/>
      <c r="D360" s="9" t="n"/>
      <c r="E360" s="12" t="n"/>
      <c r="F360" s="8" t="n"/>
      <c r="G360" s="10" t="n"/>
      <c r="H360" s="13">
        <f>IF(A360="","",E360*(1-Setup!$B$5)/(C360*12))</f>
        <v/>
      </c>
      <c r="I360" s="14">
        <f>IF(A360="","",MAX(0,MIN(12,DATEDIF(MAX(F360,Setup!$B$4),EDATE(Setup!$B$4,12),"m"))))</f>
        <v/>
      </c>
      <c r="J360" s="13">
        <f>IF(A360="","",H360*I360)</f>
        <v/>
      </c>
      <c r="K360" s="13">
        <f>IF(A360="","",E360*D360*IF(AND(F360&gt;=Setup!$B$4,EDATE(Setup!$B$4,12)-F360&lt;180),0.5,1))</f>
        <v/>
      </c>
      <c r="L360" s="13">
        <f>IF(A360="","",K360-J360)</f>
        <v/>
      </c>
      <c r="M360" s="8" t="n"/>
    </row>
    <row r="361">
      <c r="A361" s="10" t="n"/>
      <c r="B361" s="10" t="n"/>
      <c r="C361" s="11" t="n"/>
      <c r="D361" s="9" t="n"/>
      <c r="E361" s="12" t="n"/>
      <c r="F361" s="8" t="n"/>
      <c r="G361" s="10" t="n"/>
      <c r="H361" s="13">
        <f>IF(A361="","",E361*(1-Setup!$B$5)/(C361*12))</f>
        <v/>
      </c>
      <c r="I361" s="14">
        <f>IF(A361="","",MAX(0,MIN(12,DATEDIF(MAX(F361,Setup!$B$4),EDATE(Setup!$B$4,12),"m"))))</f>
        <v/>
      </c>
      <c r="J361" s="13">
        <f>IF(A361="","",H361*I361)</f>
        <v/>
      </c>
      <c r="K361" s="13">
        <f>IF(A361="","",E361*D361*IF(AND(F361&gt;=Setup!$B$4,EDATE(Setup!$B$4,12)-F361&lt;180),0.5,1))</f>
        <v/>
      </c>
      <c r="L361" s="13">
        <f>IF(A361="","",K361-J361)</f>
        <v/>
      </c>
      <c r="M361" s="8" t="n"/>
    </row>
    <row r="362">
      <c r="A362" s="10" t="n"/>
      <c r="B362" s="10" t="n"/>
      <c r="C362" s="11" t="n"/>
      <c r="D362" s="9" t="n"/>
      <c r="E362" s="12" t="n"/>
      <c r="F362" s="8" t="n"/>
      <c r="G362" s="10" t="n"/>
      <c r="H362" s="13">
        <f>IF(A362="","",E362*(1-Setup!$B$5)/(C362*12))</f>
        <v/>
      </c>
      <c r="I362" s="14">
        <f>IF(A362="","",MAX(0,MIN(12,DATEDIF(MAX(F362,Setup!$B$4),EDATE(Setup!$B$4,12),"m"))))</f>
        <v/>
      </c>
      <c r="J362" s="13">
        <f>IF(A362="","",H362*I362)</f>
        <v/>
      </c>
      <c r="K362" s="13">
        <f>IF(A362="","",E362*D362*IF(AND(F362&gt;=Setup!$B$4,EDATE(Setup!$B$4,12)-F362&lt;180),0.5,1))</f>
        <v/>
      </c>
      <c r="L362" s="13">
        <f>IF(A362="","",K362-J362)</f>
        <v/>
      </c>
      <c r="M362" s="8" t="n"/>
    </row>
    <row r="363">
      <c r="A363" s="10" t="n"/>
      <c r="B363" s="10" t="n"/>
      <c r="C363" s="11" t="n"/>
      <c r="D363" s="9" t="n"/>
      <c r="E363" s="12" t="n"/>
      <c r="F363" s="8" t="n"/>
      <c r="G363" s="10" t="n"/>
      <c r="H363" s="13">
        <f>IF(A363="","",E363*(1-Setup!$B$5)/(C363*12))</f>
        <v/>
      </c>
      <c r="I363" s="14">
        <f>IF(A363="","",MAX(0,MIN(12,DATEDIF(MAX(F363,Setup!$B$4),EDATE(Setup!$B$4,12),"m"))))</f>
        <v/>
      </c>
      <c r="J363" s="13">
        <f>IF(A363="","",H363*I363)</f>
        <v/>
      </c>
      <c r="K363" s="13">
        <f>IF(A363="","",E363*D363*IF(AND(F363&gt;=Setup!$B$4,EDATE(Setup!$B$4,12)-F363&lt;180),0.5,1))</f>
        <v/>
      </c>
      <c r="L363" s="13">
        <f>IF(A363="","",K363-J363)</f>
        <v/>
      </c>
      <c r="M363" s="8" t="n"/>
    </row>
    <row r="364">
      <c r="A364" s="10" t="n"/>
      <c r="B364" s="10" t="n"/>
      <c r="C364" s="11" t="n"/>
      <c r="D364" s="9" t="n"/>
      <c r="E364" s="12" t="n"/>
      <c r="F364" s="8" t="n"/>
      <c r="G364" s="10" t="n"/>
      <c r="H364" s="13">
        <f>IF(A364="","",E364*(1-Setup!$B$5)/(C364*12))</f>
        <v/>
      </c>
      <c r="I364" s="14">
        <f>IF(A364="","",MAX(0,MIN(12,DATEDIF(MAX(F364,Setup!$B$4),EDATE(Setup!$B$4,12),"m"))))</f>
        <v/>
      </c>
      <c r="J364" s="13">
        <f>IF(A364="","",H364*I364)</f>
        <v/>
      </c>
      <c r="K364" s="13">
        <f>IF(A364="","",E364*D364*IF(AND(F364&gt;=Setup!$B$4,EDATE(Setup!$B$4,12)-F364&lt;180),0.5,1))</f>
        <v/>
      </c>
      <c r="L364" s="13">
        <f>IF(A364="","",K364-J364)</f>
        <v/>
      </c>
      <c r="M364" s="8" t="n"/>
    </row>
    <row r="365">
      <c r="A365" s="10" t="n"/>
      <c r="B365" s="10" t="n"/>
      <c r="C365" s="11" t="n"/>
      <c r="D365" s="9" t="n"/>
      <c r="E365" s="12" t="n"/>
      <c r="F365" s="8" t="n"/>
      <c r="G365" s="10" t="n"/>
      <c r="H365" s="13">
        <f>IF(A365="","",E365*(1-Setup!$B$5)/(C365*12))</f>
        <v/>
      </c>
      <c r="I365" s="14">
        <f>IF(A365="","",MAX(0,MIN(12,DATEDIF(MAX(F365,Setup!$B$4),EDATE(Setup!$B$4,12),"m"))))</f>
        <v/>
      </c>
      <c r="J365" s="13">
        <f>IF(A365="","",H365*I365)</f>
        <v/>
      </c>
      <c r="K365" s="13">
        <f>IF(A365="","",E365*D365*IF(AND(F365&gt;=Setup!$B$4,EDATE(Setup!$B$4,12)-F365&lt;180),0.5,1))</f>
        <v/>
      </c>
      <c r="L365" s="13">
        <f>IF(A365="","",K365-J365)</f>
        <v/>
      </c>
      <c r="M365" s="8" t="n"/>
    </row>
    <row r="366">
      <c r="A366" s="10" t="n"/>
      <c r="B366" s="10" t="n"/>
      <c r="C366" s="11" t="n"/>
      <c r="D366" s="9" t="n"/>
      <c r="E366" s="12" t="n"/>
      <c r="F366" s="8" t="n"/>
      <c r="G366" s="10" t="n"/>
      <c r="H366" s="13">
        <f>IF(A366="","",E366*(1-Setup!$B$5)/(C366*12))</f>
        <v/>
      </c>
      <c r="I366" s="14">
        <f>IF(A366="","",MAX(0,MIN(12,DATEDIF(MAX(F366,Setup!$B$4),EDATE(Setup!$B$4,12),"m"))))</f>
        <v/>
      </c>
      <c r="J366" s="13">
        <f>IF(A366="","",H366*I366)</f>
        <v/>
      </c>
      <c r="K366" s="13">
        <f>IF(A366="","",E366*D366*IF(AND(F366&gt;=Setup!$B$4,EDATE(Setup!$B$4,12)-F366&lt;180),0.5,1))</f>
        <v/>
      </c>
      <c r="L366" s="13">
        <f>IF(A366="","",K366-J366)</f>
        <v/>
      </c>
      <c r="M366" s="8" t="n"/>
    </row>
    <row r="367">
      <c r="A367" s="10" t="n"/>
      <c r="B367" s="10" t="n"/>
      <c r="C367" s="11" t="n"/>
      <c r="D367" s="9" t="n"/>
      <c r="E367" s="12" t="n"/>
      <c r="F367" s="8" t="n"/>
      <c r="G367" s="10" t="n"/>
      <c r="H367" s="13">
        <f>IF(A367="","",E367*(1-Setup!$B$5)/(C367*12))</f>
        <v/>
      </c>
      <c r="I367" s="14">
        <f>IF(A367="","",MAX(0,MIN(12,DATEDIF(MAX(F367,Setup!$B$4),EDATE(Setup!$B$4,12),"m"))))</f>
        <v/>
      </c>
      <c r="J367" s="13">
        <f>IF(A367="","",H367*I367)</f>
        <v/>
      </c>
      <c r="K367" s="13">
        <f>IF(A367="","",E367*D367*IF(AND(F367&gt;=Setup!$B$4,EDATE(Setup!$B$4,12)-F367&lt;180),0.5,1))</f>
        <v/>
      </c>
      <c r="L367" s="13">
        <f>IF(A367="","",K367-J367)</f>
        <v/>
      </c>
      <c r="M367" s="8" t="n"/>
    </row>
    <row r="368">
      <c r="A368" s="10" t="n"/>
      <c r="B368" s="10" t="n"/>
      <c r="C368" s="11" t="n"/>
      <c r="D368" s="9" t="n"/>
      <c r="E368" s="12" t="n"/>
      <c r="F368" s="8" t="n"/>
      <c r="G368" s="10" t="n"/>
      <c r="H368" s="13">
        <f>IF(A368="","",E368*(1-Setup!$B$5)/(C368*12))</f>
        <v/>
      </c>
      <c r="I368" s="14">
        <f>IF(A368="","",MAX(0,MIN(12,DATEDIF(MAX(F368,Setup!$B$4),EDATE(Setup!$B$4,12),"m"))))</f>
        <v/>
      </c>
      <c r="J368" s="13">
        <f>IF(A368="","",H368*I368)</f>
        <v/>
      </c>
      <c r="K368" s="13">
        <f>IF(A368="","",E368*D368*IF(AND(F368&gt;=Setup!$B$4,EDATE(Setup!$B$4,12)-F368&lt;180),0.5,1))</f>
        <v/>
      </c>
      <c r="L368" s="13">
        <f>IF(A368="","",K368-J368)</f>
        <v/>
      </c>
      <c r="M368" s="8" t="n"/>
    </row>
    <row r="369">
      <c r="A369" s="10" t="n"/>
      <c r="B369" s="10" t="n"/>
      <c r="C369" s="11" t="n"/>
      <c r="D369" s="9" t="n"/>
      <c r="E369" s="12" t="n"/>
      <c r="F369" s="8" t="n"/>
      <c r="G369" s="10" t="n"/>
      <c r="H369" s="13">
        <f>IF(A369="","",E369*(1-Setup!$B$5)/(C369*12))</f>
        <v/>
      </c>
      <c r="I369" s="14">
        <f>IF(A369="","",MAX(0,MIN(12,DATEDIF(MAX(F369,Setup!$B$4),EDATE(Setup!$B$4,12),"m"))))</f>
        <v/>
      </c>
      <c r="J369" s="13">
        <f>IF(A369="","",H369*I369)</f>
        <v/>
      </c>
      <c r="K369" s="13">
        <f>IF(A369="","",E369*D369*IF(AND(F369&gt;=Setup!$B$4,EDATE(Setup!$B$4,12)-F369&lt;180),0.5,1))</f>
        <v/>
      </c>
      <c r="L369" s="13">
        <f>IF(A369="","",K369-J369)</f>
        <v/>
      </c>
      <c r="M369" s="8" t="n"/>
    </row>
    <row r="370">
      <c r="A370" s="10" t="n"/>
      <c r="B370" s="10" t="n"/>
      <c r="C370" s="11" t="n"/>
      <c r="D370" s="9" t="n"/>
      <c r="E370" s="12" t="n"/>
      <c r="F370" s="8" t="n"/>
      <c r="G370" s="10" t="n"/>
      <c r="H370" s="13">
        <f>IF(A370="","",E370*(1-Setup!$B$5)/(C370*12))</f>
        <v/>
      </c>
      <c r="I370" s="14">
        <f>IF(A370="","",MAX(0,MIN(12,DATEDIF(MAX(F370,Setup!$B$4),EDATE(Setup!$B$4,12),"m"))))</f>
        <v/>
      </c>
      <c r="J370" s="13">
        <f>IF(A370="","",H370*I370)</f>
        <v/>
      </c>
      <c r="K370" s="13">
        <f>IF(A370="","",E370*D370*IF(AND(F370&gt;=Setup!$B$4,EDATE(Setup!$B$4,12)-F370&lt;180),0.5,1))</f>
        <v/>
      </c>
      <c r="L370" s="13">
        <f>IF(A370="","",K370-J370)</f>
        <v/>
      </c>
      <c r="M370" s="8" t="n"/>
    </row>
    <row r="371">
      <c r="A371" s="10" t="n"/>
      <c r="B371" s="10" t="n"/>
      <c r="C371" s="11" t="n"/>
      <c r="D371" s="9" t="n"/>
      <c r="E371" s="12" t="n"/>
      <c r="F371" s="8" t="n"/>
      <c r="G371" s="10" t="n"/>
      <c r="H371" s="13">
        <f>IF(A371="","",E371*(1-Setup!$B$5)/(C371*12))</f>
        <v/>
      </c>
      <c r="I371" s="14">
        <f>IF(A371="","",MAX(0,MIN(12,DATEDIF(MAX(F371,Setup!$B$4),EDATE(Setup!$B$4,12),"m"))))</f>
        <v/>
      </c>
      <c r="J371" s="13">
        <f>IF(A371="","",H371*I371)</f>
        <v/>
      </c>
      <c r="K371" s="13">
        <f>IF(A371="","",E371*D371*IF(AND(F371&gt;=Setup!$B$4,EDATE(Setup!$B$4,12)-F371&lt;180),0.5,1))</f>
        <v/>
      </c>
      <c r="L371" s="13">
        <f>IF(A371="","",K371-J371)</f>
        <v/>
      </c>
      <c r="M371" s="8" t="n"/>
    </row>
    <row r="372">
      <c r="A372" s="10" t="n"/>
      <c r="B372" s="10" t="n"/>
      <c r="C372" s="11" t="n"/>
      <c r="D372" s="9" t="n"/>
      <c r="E372" s="12" t="n"/>
      <c r="F372" s="8" t="n"/>
      <c r="G372" s="10" t="n"/>
      <c r="H372" s="13">
        <f>IF(A372="","",E372*(1-Setup!$B$5)/(C372*12))</f>
        <v/>
      </c>
      <c r="I372" s="14">
        <f>IF(A372="","",MAX(0,MIN(12,DATEDIF(MAX(F372,Setup!$B$4),EDATE(Setup!$B$4,12),"m"))))</f>
        <v/>
      </c>
      <c r="J372" s="13">
        <f>IF(A372="","",H372*I372)</f>
        <v/>
      </c>
      <c r="K372" s="13">
        <f>IF(A372="","",E372*D372*IF(AND(F372&gt;=Setup!$B$4,EDATE(Setup!$B$4,12)-F372&lt;180),0.5,1))</f>
        <v/>
      </c>
      <c r="L372" s="13">
        <f>IF(A372="","",K372-J372)</f>
        <v/>
      </c>
      <c r="M372" s="8" t="n"/>
    </row>
    <row r="373">
      <c r="A373" s="10" t="n"/>
      <c r="B373" s="10" t="n"/>
      <c r="C373" s="11" t="n"/>
      <c r="D373" s="9" t="n"/>
      <c r="E373" s="12" t="n"/>
      <c r="F373" s="8" t="n"/>
      <c r="G373" s="10" t="n"/>
      <c r="H373" s="13">
        <f>IF(A373="","",E373*(1-Setup!$B$5)/(C373*12))</f>
        <v/>
      </c>
      <c r="I373" s="14">
        <f>IF(A373="","",MAX(0,MIN(12,DATEDIF(MAX(F373,Setup!$B$4),EDATE(Setup!$B$4,12),"m"))))</f>
        <v/>
      </c>
      <c r="J373" s="13">
        <f>IF(A373="","",H373*I373)</f>
        <v/>
      </c>
      <c r="K373" s="13">
        <f>IF(A373="","",E373*D373*IF(AND(F373&gt;=Setup!$B$4,EDATE(Setup!$B$4,12)-F373&lt;180),0.5,1))</f>
        <v/>
      </c>
      <c r="L373" s="13">
        <f>IF(A373="","",K373-J373)</f>
        <v/>
      </c>
      <c r="M373" s="8" t="n"/>
    </row>
    <row r="374">
      <c r="A374" s="10" t="n"/>
      <c r="B374" s="10" t="n"/>
      <c r="C374" s="11" t="n"/>
      <c r="D374" s="9" t="n"/>
      <c r="E374" s="12" t="n"/>
      <c r="F374" s="8" t="n"/>
      <c r="G374" s="10" t="n"/>
      <c r="H374" s="13">
        <f>IF(A374="","",E374*(1-Setup!$B$5)/(C374*12))</f>
        <v/>
      </c>
      <c r="I374" s="14">
        <f>IF(A374="","",MAX(0,MIN(12,DATEDIF(MAX(F374,Setup!$B$4),EDATE(Setup!$B$4,12),"m"))))</f>
        <v/>
      </c>
      <c r="J374" s="13">
        <f>IF(A374="","",H374*I374)</f>
        <v/>
      </c>
      <c r="K374" s="13">
        <f>IF(A374="","",E374*D374*IF(AND(F374&gt;=Setup!$B$4,EDATE(Setup!$B$4,12)-F374&lt;180),0.5,1))</f>
        <v/>
      </c>
      <c r="L374" s="13">
        <f>IF(A374="","",K374-J374)</f>
        <v/>
      </c>
      <c r="M374" s="8" t="n"/>
    </row>
    <row r="375">
      <c r="A375" s="10" t="n"/>
      <c r="B375" s="10" t="n"/>
      <c r="C375" s="11" t="n"/>
      <c r="D375" s="9" t="n"/>
      <c r="E375" s="12" t="n"/>
      <c r="F375" s="8" t="n"/>
      <c r="G375" s="10" t="n"/>
      <c r="H375" s="13">
        <f>IF(A375="","",E375*(1-Setup!$B$5)/(C375*12))</f>
        <v/>
      </c>
      <c r="I375" s="14">
        <f>IF(A375="","",MAX(0,MIN(12,DATEDIF(MAX(F375,Setup!$B$4),EDATE(Setup!$B$4,12),"m"))))</f>
        <v/>
      </c>
      <c r="J375" s="13">
        <f>IF(A375="","",H375*I375)</f>
        <v/>
      </c>
      <c r="K375" s="13">
        <f>IF(A375="","",E375*D375*IF(AND(F375&gt;=Setup!$B$4,EDATE(Setup!$B$4,12)-F375&lt;180),0.5,1))</f>
        <v/>
      </c>
      <c r="L375" s="13">
        <f>IF(A375="","",K375-J375)</f>
        <v/>
      </c>
      <c r="M375" s="8" t="n"/>
    </row>
    <row r="376">
      <c r="A376" s="10" t="n"/>
      <c r="B376" s="10" t="n"/>
      <c r="C376" s="11" t="n"/>
      <c r="D376" s="9" t="n"/>
      <c r="E376" s="12" t="n"/>
      <c r="F376" s="8" t="n"/>
      <c r="G376" s="10" t="n"/>
      <c r="H376" s="13">
        <f>IF(A376="","",E376*(1-Setup!$B$5)/(C376*12))</f>
        <v/>
      </c>
      <c r="I376" s="14">
        <f>IF(A376="","",MAX(0,MIN(12,DATEDIF(MAX(F376,Setup!$B$4),EDATE(Setup!$B$4,12),"m"))))</f>
        <v/>
      </c>
      <c r="J376" s="13">
        <f>IF(A376="","",H376*I376)</f>
        <v/>
      </c>
      <c r="K376" s="13">
        <f>IF(A376="","",E376*D376*IF(AND(F376&gt;=Setup!$B$4,EDATE(Setup!$B$4,12)-F376&lt;180),0.5,1))</f>
        <v/>
      </c>
      <c r="L376" s="13">
        <f>IF(A376="","",K376-J376)</f>
        <v/>
      </c>
      <c r="M376" s="8" t="n"/>
    </row>
    <row r="377">
      <c r="A377" s="10" t="n"/>
      <c r="B377" s="10" t="n"/>
      <c r="C377" s="11" t="n"/>
      <c r="D377" s="9" t="n"/>
      <c r="E377" s="12" t="n"/>
      <c r="F377" s="8" t="n"/>
      <c r="G377" s="10" t="n"/>
      <c r="H377" s="13">
        <f>IF(A377="","",E377*(1-Setup!$B$5)/(C377*12))</f>
        <v/>
      </c>
      <c r="I377" s="14">
        <f>IF(A377="","",MAX(0,MIN(12,DATEDIF(MAX(F377,Setup!$B$4),EDATE(Setup!$B$4,12),"m"))))</f>
        <v/>
      </c>
      <c r="J377" s="13">
        <f>IF(A377="","",H377*I377)</f>
        <v/>
      </c>
      <c r="K377" s="13">
        <f>IF(A377="","",E377*D377*IF(AND(F377&gt;=Setup!$B$4,EDATE(Setup!$B$4,12)-F377&lt;180),0.5,1))</f>
        <v/>
      </c>
      <c r="L377" s="13">
        <f>IF(A377="","",K377-J377)</f>
        <v/>
      </c>
      <c r="M377" s="8" t="n"/>
    </row>
    <row r="378">
      <c r="A378" s="10" t="n"/>
      <c r="B378" s="10" t="n"/>
      <c r="C378" s="11" t="n"/>
      <c r="D378" s="9" t="n"/>
      <c r="E378" s="12" t="n"/>
      <c r="F378" s="8" t="n"/>
      <c r="G378" s="10" t="n"/>
      <c r="H378" s="13">
        <f>IF(A378="","",E378*(1-Setup!$B$5)/(C378*12))</f>
        <v/>
      </c>
      <c r="I378" s="14">
        <f>IF(A378="","",MAX(0,MIN(12,DATEDIF(MAX(F378,Setup!$B$4),EDATE(Setup!$B$4,12),"m"))))</f>
        <v/>
      </c>
      <c r="J378" s="13">
        <f>IF(A378="","",H378*I378)</f>
        <v/>
      </c>
      <c r="K378" s="13">
        <f>IF(A378="","",E378*D378*IF(AND(F378&gt;=Setup!$B$4,EDATE(Setup!$B$4,12)-F378&lt;180),0.5,1))</f>
        <v/>
      </c>
      <c r="L378" s="13">
        <f>IF(A378="","",K378-J378)</f>
        <v/>
      </c>
      <c r="M378" s="8" t="n"/>
    </row>
    <row r="379">
      <c r="A379" s="10" t="n"/>
      <c r="B379" s="10" t="n"/>
      <c r="C379" s="11" t="n"/>
      <c r="D379" s="9" t="n"/>
      <c r="E379" s="12" t="n"/>
      <c r="F379" s="8" t="n"/>
      <c r="G379" s="10" t="n"/>
      <c r="H379" s="13">
        <f>IF(A379="","",E379*(1-Setup!$B$5)/(C379*12))</f>
        <v/>
      </c>
      <c r="I379" s="14">
        <f>IF(A379="","",MAX(0,MIN(12,DATEDIF(MAX(F379,Setup!$B$4),EDATE(Setup!$B$4,12),"m"))))</f>
        <v/>
      </c>
      <c r="J379" s="13">
        <f>IF(A379="","",H379*I379)</f>
        <v/>
      </c>
      <c r="K379" s="13">
        <f>IF(A379="","",E379*D379*IF(AND(F379&gt;=Setup!$B$4,EDATE(Setup!$B$4,12)-F379&lt;180),0.5,1))</f>
        <v/>
      </c>
      <c r="L379" s="13">
        <f>IF(A379="","",K379-J379)</f>
        <v/>
      </c>
      <c r="M379" s="8" t="n"/>
    </row>
    <row r="380">
      <c r="A380" s="10" t="n"/>
      <c r="B380" s="10" t="n"/>
      <c r="C380" s="11" t="n"/>
      <c r="D380" s="9" t="n"/>
      <c r="E380" s="12" t="n"/>
      <c r="F380" s="8" t="n"/>
      <c r="G380" s="10" t="n"/>
      <c r="H380" s="13">
        <f>IF(A380="","",E380*(1-Setup!$B$5)/(C380*12))</f>
        <v/>
      </c>
      <c r="I380" s="14">
        <f>IF(A380="","",MAX(0,MIN(12,DATEDIF(MAX(F380,Setup!$B$4),EDATE(Setup!$B$4,12),"m"))))</f>
        <v/>
      </c>
      <c r="J380" s="13">
        <f>IF(A380="","",H380*I380)</f>
        <v/>
      </c>
      <c r="K380" s="13">
        <f>IF(A380="","",E380*D380*IF(AND(F380&gt;=Setup!$B$4,EDATE(Setup!$B$4,12)-F380&lt;180),0.5,1))</f>
        <v/>
      </c>
      <c r="L380" s="13">
        <f>IF(A380="","",K380-J380)</f>
        <v/>
      </c>
      <c r="M380" s="8" t="n"/>
    </row>
    <row r="381">
      <c r="A381" s="10" t="n"/>
      <c r="B381" s="10" t="n"/>
      <c r="C381" s="11" t="n"/>
      <c r="D381" s="9" t="n"/>
      <c r="E381" s="12" t="n"/>
      <c r="F381" s="8" t="n"/>
      <c r="G381" s="10" t="n"/>
      <c r="H381" s="13">
        <f>IF(A381="","",E381*(1-Setup!$B$5)/(C381*12))</f>
        <v/>
      </c>
      <c r="I381" s="14">
        <f>IF(A381="","",MAX(0,MIN(12,DATEDIF(MAX(F381,Setup!$B$4),EDATE(Setup!$B$4,12),"m"))))</f>
        <v/>
      </c>
      <c r="J381" s="13">
        <f>IF(A381="","",H381*I381)</f>
        <v/>
      </c>
      <c r="K381" s="13">
        <f>IF(A381="","",E381*D381*IF(AND(F381&gt;=Setup!$B$4,EDATE(Setup!$B$4,12)-F381&lt;180),0.5,1))</f>
        <v/>
      </c>
      <c r="L381" s="13">
        <f>IF(A381="","",K381-J381)</f>
        <v/>
      </c>
      <c r="M381" s="8" t="n"/>
    </row>
    <row r="382">
      <c r="A382" s="10" t="n"/>
      <c r="B382" s="10" t="n"/>
      <c r="C382" s="11" t="n"/>
      <c r="D382" s="9" t="n"/>
      <c r="E382" s="12" t="n"/>
      <c r="F382" s="8" t="n"/>
      <c r="G382" s="10" t="n"/>
      <c r="H382" s="13">
        <f>IF(A382="","",E382*(1-Setup!$B$5)/(C382*12))</f>
        <v/>
      </c>
      <c r="I382" s="14">
        <f>IF(A382="","",MAX(0,MIN(12,DATEDIF(MAX(F382,Setup!$B$4),EDATE(Setup!$B$4,12),"m"))))</f>
        <v/>
      </c>
      <c r="J382" s="13">
        <f>IF(A382="","",H382*I382)</f>
        <v/>
      </c>
      <c r="K382" s="13">
        <f>IF(A382="","",E382*D382*IF(AND(F382&gt;=Setup!$B$4,EDATE(Setup!$B$4,12)-F382&lt;180),0.5,1))</f>
        <v/>
      </c>
      <c r="L382" s="13">
        <f>IF(A382="","",K382-J382)</f>
        <v/>
      </c>
      <c r="M382" s="8" t="n"/>
    </row>
    <row r="383">
      <c r="A383" s="10" t="n"/>
      <c r="B383" s="10" t="n"/>
      <c r="C383" s="11" t="n"/>
      <c r="D383" s="9" t="n"/>
      <c r="E383" s="12" t="n"/>
      <c r="F383" s="8" t="n"/>
      <c r="G383" s="10" t="n"/>
      <c r="H383" s="13">
        <f>IF(A383="","",E383*(1-Setup!$B$5)/(C383*12))</f>
        <v/>
      </c>
      <c r="I383" s="14">
        <f>IF(A383="","",MAX(0,MIN(12,DATEDIF(MAX(F383,Setup!$B$4),EDATE(Setup!$B$4,12),"m"))))</f>
        <v/>
      </c>
      <c r="J383" s="13">
        <f>IF(A383="","",H383*I383)</f>
        <v/>
      </c>
      <c r="K383" s="13">
        <f>IF(A383="","",E383*D383*IF(AND(F383&gt;=Setup!$B$4,EDATE(Setup!$B$4,12)-F383&lt;180),0.5,1))</f>
        <v/>
      </c>
      <c r="L383" s="13">
        <f>IF(A383="","",K383-J383)</f>
        <v/>
      </c>
      <c r="M383" s="8" t="n"/>
    </row>
    <row r="384">
      <c r="A384" s="10" t="n"/>
      <c r="B384" s="10" t="n"/>
      <c r="C384" s="11" t="n"/>
      <c r="D384" s="9" t="n"/>
      <c r="E384" s="12" t="n"/>
      <c r="F384" s="8" t="n"/>
      <c r="G384" s="10" t="n"/>
      <c r="H384" s="13">
        <f>IF(A384="","",E384*(1-Setup!$B$5)/(C384*12))</f>
        <v/>
      </c>
      <c r="I384" s="14">
        <f>IF(A384="","",MAX(0,MIN(12,DATEDIF(MAX(F384,Setup!$B$4),EDATE(Setup!$B$4,12),"m"))))</f>
        <v/>
      </c>
      <c r="J384" s="13">
        <f>IF(A384="","",H384*I384)</f>
        <v/>
      </c>
      <c r="K384" s="13">
        <f>IF(A384="","",E384*D384*IF(AND(F384&gt;=Setup!$B$4,EDATE(Setup!$B$4,12)-F384&lt;180),0.5,1))</f>
        <v/>
      </c>
      <c r="L384" s="13">
        <f>IF(A384="","",K384-J384)</f>
        <v/>
      </c>
      <c r="M384" s="8" t="n"/>
    </row>
    <row r="385">
      <c r="A385" s="10" t="n"/>
      <c r="B385" s="10" t="n"/>
      <c r="C385" s="11" t="n"/>
      <c r="D385" s="9" t="n"/>
      <c r="E385" s="12" t="n"/>
      <c r="F385" s="8" t="n"/>
      <c r="G385" s="10" t="n"/>
      <c r="H385" s="13">
        <f>IF(A385="","",E385*(1-Setup!$B$5)/(C385*12))</f>
        <v/>
      </c>
      <c r="I385" s="14">
        <f>IF(A385="","",MAX(0,MIN(12,DATEDIF(MAX(F385,Setup!$B$4),EDATE(Setup!$B$4,12),"m"))))</f>
        <v/>
      </c>
      <c r="J385" s="13">
        <f>IF(A385="","",H385*I385)</f>
        <v/>
      </c>
      <c r="K385" s="13">
        <f>IF(A385="","",E385*D385*IF(AND(F385&gt;=Setup!$B$4,EDATE(Setup!$B$4,12)-F385&lt;180),0.5,1))</f>
        <v/>
      </c>
      <c r="L385" s="13">
        <f>IF(A385="","",K385-J385)</f>
        <v/>
      </c>
      <c r="M385" s="8" t="n"/>
    </row>
    <row r="386">
      <c r="A386" s="10" t="n"/>
      <c r="B386" s="10" t="n"/>
      <c r="C386" s="11" t="n"/>
      <c r="D386" s="9" t="n"/>
      <c r="E386" s="12" t="n"/>
      <c r="F386" s="8" t="n"/>
      <c r="G386" s="10" t="n"/>
      <c r="H386" s="13">
        <f>IF(A386="","",E386*(1-Setup!$B$5)/(C386*12))</f>
        <v/>
      </c>
      <c r="I386" s="14">
        <f>IF(A386="","",MAX(0,MIN(12,DATEDIF(MAX(F386,Setup!$B$4),EDATE(Setup!$B$4,12),"m"))))</f>
        <v/>
      </c>
      <c r="J386" s="13">
        <f>IF(A386="","",H386*I386)</f>
        <v/>
      </c>
      <c r="K386" s="13">
        <f>IF(A386="","",E386*D386*IF(AND(F386&gt;=Setup!$B$4,EDATE(Setup!$B$4,12)-F386&lt;180),0.5,1))</f>
        <v/>
      </c>
      <c r="L386" s="13">
        <f>IF(A386="","",K386-J386)</f>
        <v/>
      </c>
      <c r="M386" s="8" t="n"/>
    </row>
    <row r="387">
      <c r="A387" s="10" t="n"/>
      <c r="B387" s="10" t="n"/>
      <c r="C387" s="11" t="n"/>
      <c r="D387" s="9" t="n"/>
      <c r="E387" s="12" t="n"/>
      <c r="F387" s="8" t="n"/>
      <c r="G387" s="10" t="n"/>
      <c r="H387" s="13">
        <f>IF(A387="","",E387*(1-Setup!$B$5)/(C387*12))</f>
        <v/>
      </c>
      <c r="I387" s="14">
        <f>IF(A387="","",MAX(0,MIN(12,DATEDIF(MAX(F387,Setup!$B$4),EDATE(Setup!$B$4,12),"m"))))</f>
        <v/>
      </c>
      <c r="J387" s="13">
        <f>IF(A387="","",H387*I387)</f>
        <v/>
      </c>
      <c r="K387" s="13">
        <f>IF(A387="","",E387*D387*IF(AND(F387&gt;=Setup!$B$4,EDATE(Setup!$B$4,12)-F387&lt;180),0.5,1))</f>
        <v/>
      </c>
      <c r="L387" s="13">
        <f>IF(A387="","",K387-J387)</f>
        <v/>
      </c>
      <c r="M387" s="8" t="n"/>
    </row>
    <row r="388">
      <c r="A388" s="10" t="n"/>
      <c r="B388" s="10" t="n"/>
      <c r="C388" s="11" t="n"/>
      <c r="D388" s="9" t="n"/>
      <c r="E388" s="12" t="n"/>
      <c r="F388" s="8" t="n"/>
      <c r="G388" s="10" t="n"/>
      <c r="H388" s="13">
        <f>IF(A388="","",E388*(1-Setup!$B$5)/(C388*12))</f>
        <v/>
      </c>
      <c r="I388" s="14">
        <f>IF(A388="","",MAX(0,MIN(12,DATEDIF(MAX(F388,Setup!$B$4),EDATE(Setup!$B$4,12),"m"))))</f>
        <v/>
      </c>
      <c r="J388" s="13">
        <f>IF(A388="","",H388*I388)</f>
        <v/>
      </c>
      <c r="K388" s="13">
        <f>IF(A388="","",E388*D388*IF(AND(F388&gt;=Setup!$B$4,EDATE(Setup!$B$4,12)-F388&lt;180),0.5,1))</f>
        <v/>
      </c>
      <c r="L388" s="13">
        <f>IF(A388="","",K388-J388)</f>
        <v/>
      </c>
      <c r="M388" s="8" t="n"/>
    </row>
    <row r="389">
      <c r="A389" s="10" t="n"/>
      <c r="B389" s="10" t="n"/>
      <c r="C389" s="11" t="n"/>
      <c r="D389" s="9" t="n"/>
      <c r="E389" s="12" t="n"/>
      <c r="F389" s="8" t="n"/>
      <c r="G389" s="10" t="n"/>
      <c r="H389" s="13">
        <f>IF(A389="","",E389*(1-Setup!$B$5)/(C389*12))</f>
        <v/>
      </c>
      <c r="I389" s="14">
        <f>IF(A389="","",MAX(0,MIN(12,DATEDIF(MAX(F389,Setup!$B$4),EDATE(Setup!$B$4,12),"m"))))</f>
        <v/>
      </c>
      <c r="J389" s="13">
        <f>IF(A389="","",H389*I389)</f>
        <v/>
      </c>
      <c r="K389" s="13">
        <f>IF(A389="","",E389*D389*IF(AND(F389&gt;=Setup!$B$4,EDATE(Setup!$B$4,12)-F389&lt;180),0.5,1))</f>
        <v/>
      </c>
      <c r="L389" s="13">
        <f>IF(A389="","",K389-J389)</f>
        <v/>
      </c>
      <c r="M389" s="8" t="n"/>
    </row>
    <row r="390">
      <c r="A390" s="10" t="n"/>
      <c r="B390" s="10" t="n"/>
      <c r="C390" s="11" t="n"/>
      <c r="D390" s="9" t="n"/>
      <c r="E390" s="12" t="n"/>
      <c r="F390" s="8" t="n"/>
      <c r="G390" s="10" t="n"/>
      <c r="H390" s="13">
        <f>IF(A390="","",E390*(1-Setup!$B$5)/(C390*12))</f>
        <v/>
      </c>
      <c r="I390" s="14">
        <f>IF(A390="","",MAX(0,MIN(12,DATEDIF(MAX(F390,Setup!$B$4),EDATE(Setup!$B$4,12),"m"))))</f>
        <v/>
      </c>
      <c r="J390" s="13">
        <f>IF(A390="","",H390*I390)</f>
        <v/>
      </c>
      <c r="K390" s="13">
        <f>IF(A390="","",E390*D390*IF(AND(F390&gt;=Setup!$B$4,EDATE(Setup!$B$4,12)-F390&lt;180),0.5,1))</f>
        <v/>
      </c>
      <c r="L390" s="13">
        <f>IF(A390="","",K390-J390)</f>
        <v/>
      </c>
      <c r="M390" s="8" t="n"/>
    </row>
    <row r="391">
      <c r="A391" s="10" t="n"/>
      <c r="B391" s="10" t="n"/>
      <c r="C391" s="11" t="n"/>
      <c r="D391" s="9" t="n"/>
      <c r="E391" s="12" t="n"/>
      <c r="F391" s="8" t="n"/>
      <c r="G391" s="10" t="n"/>
      <c r="H391" s="13">
        <f>IF(A391="","",E391*(1-Setup!$B$5)/(C391*12))</f>
        <v/>
      </c>
      <c r="I391" s="14">
        <f>IF(A391="","",MAX(0,MIN(12,DATEDIF(MAX(F391,Setup!$B$4),EDATE(Setup!$B$4,12),"m"))))</f>
        <v/>
      </c>
      <c r="J391" s="13">
        <f>IF(A391="","",H391*I391)</f>
        <v/>
      </c>
      <c r="K391" s="13">
        <f>IF(A391="","",E391*D391*IF(AND(F391&gt;=Setup!$B$4,EDATE(Setup!$B$4,12)-F391&lt;180),0.5,1))</f>
        <v/>
      </c>
      <c r="L391" s="13">
        <f>IF(A391="","",K391-J391)</f>
        <v/>
      </c>
      <c r="M391" s="8" t="n"/>
    </row>
    <row r="392">
      <c r="A392" s="10" t="n"/>
      <c r="B392" s="10" t="n"/>
      <c r="C392" s="11" t="n"/>
      <c r="D392" s="9" t="n"/>
      <c r="E392" s="12" t="n"/>
      <c r="F392" s="8" t="n"/>
      <c r="G392" s="10" t="n"/>
      <c r="H392" s="13">
        <f>IF(A392="","",E392*(1-Setup!$B$5)/(C392*12))</f>
        <v/>
      </c>
      <c r="I392" s="14">
        <f>IF(A392="","",MAX(0,MIN(12,DATEDIF(MAX(F392,Setup!$B$4),EDATE(Setup!$B$4,12),"m"))))</f>
        <v/>
      </c>
      <c r="J392" s="13">
        <f>IF(A392="","",H392*I392)</f>
        <v/>
      </c>
      <c r="K392" s="13">
        <f>IF(A392="","",E392*D392*IF(AND(F392&gt;=Setup!$B$4,EDATE(Setup!$B$4,12)-F392&lt;180),0.5,1))</f>
        <v/>
      </c>
      <c r="L392" s="13">
        <f>IF(A392="","",K392-J392)</f>
        <v/>
      </c>
      <c r="M392" s="8" t="n"/>
    </row>
    <row r="393">
      <c r="A393" s="10" t="n"/>
      <c r="B393" s="10" t="n"/>
      <c r="C393" s="11" t="n"/>
      <c r="D393" s="9" t="n"/>
      <c r="E393" s="12" t="n"/>
      <c r="F393" s="8" t="n"/>
      <c r="G393" s="10" t="n"/>
      <c r="H393" s="13">
        <f>IF(A393="","",E393*(1-Setup!$B$5)/(C393*12))</f>
        <v/>
      </c>
      <c r="I393" s="14">
        <f>IF(A393="","",MAX(0,MIN(12,DATEDIF(MAX(F393,Setup!$B$4),EDATE(Setup!$B$4,12),"m"))))</f>
        <v/>
      </c>
      <c r="J393" s="13">
        <f>IF(A393="","",H393*I393)</f>
        <v/>
      </c>
      <c r="K393" s="13">
        <f>IF(A393="","",E393*D393*IF(AND(F393&gt;=Setup!$B$4,EDATE(Setup!$B$4,12)-F393&lt;180),0.5,1))</f>
        <v/>
      </c>
      <c r="L393" s="13">
        <f>IF(A393="","",K393-J393)</f>
        <v/>
      </c>
      <c r="M393" s="8" t="n"/>
    </row>
    <row r="394">
      <c r="A394" s="10" t="n"/>
      <c r="B394" s="10" t="n"/>
      <c r="C394" s="11" t="n"/>
      <c r="D394" s="9" t="n"/>
      <c r="E394" s="12" t="n"/>
      <c r="F394" s="8" t="n"/>
      <c r="G394" s="10" t="n"/>
      <c r="H394" s="13">
        <f>IF(A394="","",E394*(1-Setup!$B$5)/(C394*12))</f>
        <v/>
      </c>
      <c r="I394" s="14">
        <f>IF(A394="","",MAX(0,MIN(12,DATEDIF(MAX(F394,Setup!$B$4),EDATE(Setup!$B$4,12),"m"))))</f>
        <v/>
      </c>
      <c r="J394" s="13">
        <f>IF(A394="","",H394*I394)</f>
        <v/>
      </c>
      <c r="K394" s="13">
        <f>IF(A394="","",E394*D394*IF(AND(F394&gt;=Setup!$B$4,EDATE(Setup!$B$4,12)-F394&lt;180),0.5,1))</f>
        <v/>
      </c>
      <c r="L394" s="13">
        <f>IF(A394="","",K394-J394)</f>
        <v/>
      </c>
      <c r="M394" s="8" t="n"/>
    </row>
    <row r="395">
      <c r="A395" s="10" t="n"/>
      <c r="B395" s="10" t="n"/>
      <c r="C395" s="11" t="n"/>
      <c r="D395" s="9" t="n"/>
      <c r="E395" s="12" t="n"/>
      <c r="F395" s="8" t="n"/>
      <c r="G395" s="10" t="n"/>
      <c r="H395" s="13">
        <f>IF(A395="","",E395*(1-Setup!$B$5)/(C395*12))</f>
        <v/>
      </c>
      <c r="I395" s="14">
        <f>IF(A395="","",MAX(0,MIN(12,DATEDIF(MAX(F395,Setup!$B$4),EDATE(Setup!$B$4,12),"m"))))</f>
        <v/>
      </c>
      <c r="J395" s="13">
        <f>IF(A395="","",H395*I395)</f>
        <v/>
      </c>
      <c r="K395" s="13">
        <f>IF(A395="","",E395*D395*IF(AND(F395&gt;=Setup!$B$4,EDATE(Setup!$B$4,12)-F395&lt;180),0.5,1))</f>
        <v/>
      </c>
      <c r="L395" s="13">
        <f>IF(A395="","",K395-J395)</f>
        <v/>
      </c>
      <c r="M395" s="8" t="n"/>
    </row>
    <row r="396">
      <c r="A396" s="10" t="n"/>
      <c r="B396" s="10" t="n"/>
      <c r="C396" s="11" t="n"/>
      <c r="D396" s="9" t="n"/>
      <c r="E396" s="12" t="n"/>
      <c r="F396" s="8" t="n"/>
      <c r="G396" s="10" t="n"/>
      <c r="H396" s="13">
        <f>IF(A396="","",E396*(1-Setup!$B$5)/(C396*12))</f>
        <v/>
      </c>
      <c r="I396" s="14">
        <f>IF(A396="","",MAX(0,MIN(12,DATEDIF(MAX(F396,Setup!$B$4),EDATE(Setup!$B$4,12),"m"))))</f>
        <v/>
      </c>
      <c r="J396" s="13">
        <f>IF(A396="","",H396*I396)</f>
        <v/>
      </c>
      <c r="K396" s="13">
        <f>IF(A396="","",E396*D396*IF(AND(F396&gt;=Setup!$B$4,EDATE(Setup!$B$4,12)-F396&lt;180),0.5,1))</f>
        <v/>
      </c>
      <c r="L396" s="13">
        <f>IF(A396="","",K396-J396)</f>
        <v/>
      </c>
      <c r="M396" s="8" t="n"/>
    </row>
    <row r="397">
      <c r="A397" s="10" t="n"/>
      <c r="B397" s="10" t="n"/>
      <c r="C397" s="11" t="n"/>
      <c r="D397" s="9" t="n"/>
      <c r="E397" s="12" t="n"/>
      <c r="F397" s="8" t="n"/>
      <c r="G397" s="10" t="n"/>
      <c r="H397" s="13">
        <f>IF(A397="","",E397*(1-Setup!$B$5)/(C397*12))</f>
        <v/>
      </c>
      <c r="I397" s="14">
        <f>IF(A397="","",MAX(0,MIN(12,DATEDIF(MAX(F397,Setup!$B$4),EDATE(Setup!$B$4,12),"m"))))</f>
        <v/>
      </c>
      <c r="J397" s="13">
        <f>IF(A397="","",H397*I397)</f>
        <v/>
      </c>
      <c r="K397" s="13">
        <f>IF(A397="","",E397*D397*IF(AND(F397&gt;=Setup!$B$4,EDATE(Setup!$B$4,12)-F397&lt;180),0.5,1))</f>
        <v/>
      </c>
      <c r="L397" s="13">
        <f>IF(A397="","",K397-J397)</f>
        <v/>
      </c>
      <c r="M397" s="8" t="n"/>
    </row>
    <row r="398">
      <c r="A398" s="10" t="n"/>
      <c r="B398" s="10" t="n"/>
      <c r="C398" s="11" t="n"/>
      <c r="D398" s="9" t="n"/>
      <c r="E398" s="12" t="n"/>
      <c r="F398" s="8" t="n"/>
      <c r="G398" s="10" t="n"/>
      <c r="H398" s="13">
        <f>IF(A398="","",E398*(1-Setup!$B$5)/(C398*12))</f>
        <v/>
      </c>
      <c r="I398" s="14">
        <f>IF(A398="","",MAX(0,MIN(12,DATEDIF(MAX(F398,Setup!$B$4),EDATE(Setup!$B$4,12),"m"))))</f>
        <v/>
      </c>
      <c r="J398" s="13">
        <f>IF(A398="","",H398*I398)</f>
        <v/>
      </c>
      <c r="K398" s="13">
        <f>IF(A398="","",E398*D398*IF(AND(F398&gt;=Setup!$B$4,EDATE(Setup!$B$4,12)-F398&lt;180),0.5,1))</f>
        <v/>
      </c>
      <c r="L398" s="13">
        <f>IF(A398="","",K398-J398)</f>
        <v/>
      </c>
      <c r="M398" s="8" t="n"/>
    </row>
    <row r="399">
      <c r="A399" s="10" t="n"/>
      <c r="B399" s="10" t="n"/>
      <c r="C399" s="11" t="n"/>
      <c r="D399" s="9" t="n"/>
      <c r="E399" s="12" t="n"/>
      <c r="F399" s="8" t="n"/>
      <c r="G399" s="10" t="n"/>
      <c r="H399" s="13">
        <f>IF(A399="","",E399*(1-Setup!$B$5)/(C399*12))</f>
        <v/>
      </c>
      <c r="I399" s="14">
        <f>IF(A399="","",MAX(0,MIN(12,DATEDIF(MAX(F399,Setup!$B$4),EDATE(Setup!$B$4,12),"m"))))</f>
        <v/>
      </c>
      <c r="J399" s="13">
        <f>IF(A399="","",H399*I399)</f>
        <v/>
      </c>
      <c r="K399" s="13">
        <f>IF(A399="","",E399*D399*IF(AND(F399&gt;=Setup!$B$4,EDATE(Setup!$B$4,12)-F399&lt;180),0.5,1))</f>
        <v/>
      </c>
      <c r="L399" s="13">
        <f>IF(A399="","",K399-J399)</f>
        <v/>
      </c>
      <c r="M399" s="8" t="n"/>
    </row>
    <row r="400">
      <c r="A400" s="10" t="n"/>
      <c r="B400" s="10" t="n"/>
      <c r="C400" s="11" t="n"/>
      <c r="D400" s="9" t="n"/>
      <c r="E400" s="12" t="n"/>
      <c r="F400" s="8" t="n"/>
      <c r="G400" s="10" t="n"/>
      <c r="H400" s="13">
        <f>IF(A400="","",E400*(1-Setup!$B$5)/(C400*12))</f>
        <v/>
      </c>
      <c r="I400" s="14">
        <f>IF(A400="","",MAX(0,MIN(12,DATEDIF(MAX(F400,Setup!$B$4),EDATE(Setup!$B$4,12),"m"))))</f>
        <v/>
      </c>
      <c r="J400" s="13">
        <f>IF(A400="","",H400*I400)</f>
        <v/>
      </c>
      <c r="K400" s="13">
        <f>IF(A400="","",E400*D400*IF(AND(F400&gt;=Setup!$B$4,EDATE(Setup!$B$4,12)-F400&lt;180),0.5,1))</f>
        <v/>
      </c>
      <c r="L400" s="13">
        <f>IF(A400="","",K400-J400)</f>
        <v/>
      </c>
      <c r="M400" s="8" t="n"/>
    </row>
    <row r="401">
      <c r="A401" s="10" t="n"/>
      <c r="B401" s="10" t="n"/>
      <c r="C401" s="11" t="n"/>
      <c r="D401" s="9" t="n"/>
      <c r="E401" s="12" t="n"/>
      <c r="F401" s="8" t="n"/>
      <c r="G401" s="10" t="n"/>
      <c r="H401" s="13">
        <f>IF(A401="","",E401*(1-Setup!$B$5)/(C401*12))</f>
        <v/>
      </c>
      <c r="I401" s="14">
        <f>IF(A401="","",MAX(0,MIN(12,DATEDIF(MAX(F401,Setup!$B$4),EDATE(Setup!$B$4,12),"m"))))</f>
        <v/>
      </c>
      <c r="J401" s="13">
        <f>IF(A401="","",H401*I401)</f>
        <v/>
      </c>
      <c r="K401" s="13">
        <f>IF(A401="","",E401*D401*IF(AND(F401&gt;=Setup!$B$4,EDATE(Setup!$B$4,12)-F401&lt;180),0.5,1))</f>
        <v/>
      </c>
      <c r="L401" s="13">
        <f>IF(A401="","",K401-J401)</f>
        <v/>
      </c>
      <c r="M401" s="8" t="n"/>
    </row>
    <row r="402">
      <c r="A402" s="10" t="n"/>
      <c r="B402" s="10" t="n"/>
      <c r="C402" s="11" t="n"/>
      <c r="D402" s="9" t="n"/>
      <c r="E402" s="12" t="n"/>
      <c r="F402" s="8" t="n"/>
      <c r="G402" s="10" t="n"/>
      <c r="H402" s="13">
        <f>IF(A402="","",E402*(1-Setup!$B$5)/(C402*12))</f>
        <v/>
      </c>
      <c r="I402" s="14">
        <f>IF(A402="","",MAX(0,MIN(12,DATEDIF(MAX(F402,Setup!$B$4),EDATE(Setup!$B$4,12),"m"))))</f>
        <v/>
      </c>
      <c r="J402" s="13">
        <f>IF(A402="","",H402*I402)</f>
        <v/>
      </c>
      <c r="K402" s="13">
        <f>IF(A402="","",E402*D402*IF(AND(F402&gt;=Setup!$B$4,EDATE(Setup!$B$4,12)-F402&lt;180),0.5,1))</f>
        <v/>
      </c>
      <c r="L402" s="13">
        <f>IF(A402="","",K402-J402)</f>
        <v/>
      </c>
      <c r="M402" s="8" t="n"/>
    </row>
    <row r="403">
      <c r="A403" s="10" t="n"/>
      <c r="B403" s="10" t="n"/>
      <c r="C403" s="11" t="n"/>
      <c r="D403" s="9" t="n"/>
      <c r="E403" s="12" t="n"/>
      <c r="F403" s="8" t="n"/>
      <c r="G403" s="10" t="n"/>
      <c r="H403" s="13">
        <f>IF(A403="","",E403*(1-Setup!$B$5)/(C403*12))</f>
        <v/>
      </c>
      <c r="I403" s="14">
        <f>IF(A403="","",MAX(0,MIN(12,DATEDIF(MAX(F403,Setup!$B$4),EDATE(Setup!$B$4,12),"m"))))</f>
        <v/>
      </c>
      <c r="J403" s="13">
        <f>IF(A403="","",H403*I403)</f>
        <v/>
      </c>
      <c r="K403" s="13">
        <f>IF(A403="","",E403*D403*IF(AND(F403&gt;=Setup!$B$4,EDATE(Setup!$B$4,12)-F403&lt;180),0.5,1))</f>
        <v/>
      </c>
      <c r="L403" s="13">
        <f>IF(A403="","",K403-J403)</f>
        <v/>
      </c>
      <c r="M403" s="8" t="n"/>
    </row>
    <row r="404">
      <c r="A404" s="10" t="n"/>
      <c r="B404" s="10" t="n"/>
      <c r="C404" s="11" t="n"/>
      <c r="D404" s="9" t="n"/>
      <c r="E404" s="12" t="n"/>
      <c r="F404" s="8" t="n"/>
      <c r="G404" s="10" t="n"/>
      <c r="H404" s="13">
        <f>IF(A404="","",E404*(1-Setup!$B$5)/(C404*12))</f>
        <v/>
      </c>
      <c r="I404" s="14">
        <f>IF(A404="","",MAX(0,MIN(12,DATEDIF(MAX(F404,Setup!$B$4),EDATE(Setup!$B$4,12),"m"))))</f>
        <v/>
      </c>
      <c r="J404" s="13">
        <f>IF(A404="","",H404*I404)</f>
        <v/>
      </c>
      <c r="K404" s="13">
        <f>IF(A404="","",E404*D404*IF(AND(F404&gt;=Setup!$B$4,EDATE(Setup!$B$4,12)-F404&lt;180),0.5,1))</f>
        <v/>
      </c>
      <c r="L404" s="13">
        <f>IF(A404="","",K404-J404)</f>
        <v/>
      </c>
      <c r="M404" s="8" t="n"/>
    </row>
    <row r="405">
      <c r="A405" s="10" t="n"/>
      <c r="B405" s="10" t="n"/>
      <c r="C405" s="11" t="n"/>
      <c r="D405" s="9" t="n"/>
      <c r="E405" s="12" t="n"/>
      <c r="F405" s="8" t="n"/>
      <c r="G405" s="10" t="n"/>
      <c r="H405" s="13">
        <f>IF(A405="","",E405*(1-Setup!$B$5)/(C405*12))</f>
        <v/>
      </c>
      <c r="I405" s="14">
        <f>IF(A405="","",MAX(0,MIN(12,DATEDIF(MAX(F405,Setup!$B$4),EDATE(Setup!$B$4,12),"m"))))</f>
        <v/>
      </c>
      <c r="J405" s="13">
        <f>IF(A405="","",H405*I405)</f>
        <v/>
      </c>
      <c r="K405" s="13">
        <f>IF(A405="","",E405*D405*IF(AND(F405&gt;=Setup!$B$4,EDATE(Setup!$B$4,12)-F405&lt;180),0.5,1))</f>
        <v/>
      </c>
      <c r="L405" s="13">
        <f>IF(A405="","",K405-J405)</f>
        <v/>
      </c>
      <c r="M405" s="8" t="n"/>
    </row>
    <row r="406">
      <c r="A406" s="10" t="n"/>
      <c r="B406" s="10" t="n"/>
      <c r="C406" s="11" t="n"/>
      <c r="D406" s="9" t="n"/>
      <c r="E406" s="12" t="n"/>
      <c r="F406" s="8" t="n"/>
      <c r="G406" s="10" t="n"/>
      <c r="H406" s="13">
        <f>IF(A406="","",E406*(1-Setup!$B$5)/(C406*12))</f>
        <v/>
      </c>
      <c r="I406" s="14">
        <f>IF(A406="","",MAX(0,MIN(12,DATEDIF(MAX(F406,Setup!$B$4),EDATE(Setup!$B$4,12),"m"))))</f>
        <v/>
      </c>
      <c r="J406" s="13">
        <f>IF(A406="","",H406*I406)</f>
        <v/>
      </c>
      <c r="K406" s="13">
        <f>IF(A406="","",E406*D406*IF(AND(F406&gt;=Setup!$B$4,EDATE(Setup!$B$4,12)-F406&lt;180),0.5,1))</f>
        <v/>
      </c>
      <c r="L406" s="13">
        <f>IF(A406="","",K406-J406)</f>
        <v/>
      </c>
      <c r="M406" s="8" t="n"/>
    </row>
    <row r="407">
      <c r="A407" s="10" t="n"/>
      <c r="B407" s="10" t="n"/>
      <c r="C407" s="11" t="n"/>
      <c r="D407" s="9" t="n"/>
      <c r="E407" s="12" t="n"/>
      <c r="F407" s="8" t="n"/>
      <c r="G407" s="10" t="n"/>
      <c r="H407" s="13">
        <f>IF(A407="","",E407*(1-Setup!$B$5)/(C407*12))</f>
        <v/>
      </c>
      <c r="I407" s="14">
        <f>IF(A407="","",MAX(0,MIN(12,DATEDIF(MAX(F407,Setup!$B$4),EDATE(Setup!$B$4,12),"m"))))</f>
        <v/>
      </c>
      <c r="J407" s="13">
        <f>IF(A407="","",H407*I407)</f>
        <v/>
      </c>
      <c r="K407" s="13">
        <f>IF(A407="","",E407*D407*IF(AND(F407&gt;=Setup!$B$4,EDATE(Setup!$B$4,12)-F407&lt;180),0.5,1))</f>
        <v/>
      </c>
      <c r="L407" s="13">
        <f>IF(A407="","",K407-J407)</f>
        <v/>
      </c>
      <c r="M407" s="8" t="n"/>
    </row>
    <row r="408">
      <c r="A408" s="10" t="n"/>
      <c r="B408" s="10" t="n"/>
      <c r="C408" s="11" t="n"/>
      <c r="D408" s="9" t="n"/>
      <c r="E408" s="12" t="n"/>
      <c r="F408" s="8" t="n"/>
      <c r="G408" s="10" t="n"/>
      <c r="H408" s="13">
        <f>IF(A408="","",E408*(1-Setup!$B$5)/(C408*12))</f>
        <v/>
      </c>
      <c r="I408" s="14">
        <f>IF(A408="","",MAX(0,MIN(12,DATEDIF(MAX(F408,Setup!$B$4),EDATE(Setup!$B$4,12),"m"))))</f>
        <v/>
      </c>
      <c r="J408" s="13">
        <f>IF(A408="","",H408*I408)</f>
        <v/>
      </c>
      <c r="K408" s="13">
        <f>IF(A408="","",E408*D408*IF(AND(F408&gt;=Setup!$B$4,EDATE(Setup!$B$4,12)-F408&lt;180),0.5,1))</f>
        <v/>
      </c>
      <c r="L408" s="13">
        <f>IF(A408="","",K408-J408)</f>
        <v/>
      </c>
      <c r="M408" s="8" t="n"/>
    </row>
    <row r="409">
      <c r="A409" s="10" t="n"/>
      <c r="B409" s="10" t="n"/>
      <c r="C409" s="11" t="n"/>
      <c r="D409" s="9" t="n"/>
      <c r="E409" s="12" t="n"/>
      <c r="F409" s="8" t="n"/>
      <c r="G409" s="10" t="n"/>
      <c r="H409" s="13">
        <f>IF(A409="","",E409*(1-Setup!$B$5)/(C409*12))</f>
        <v/>
      </c>
      <c r="I409" s="14">
        <f>IF(A409="","",MAX(0,MIN(12,DATEDIF(MAX(F409,Setup!$B$4),EDATE(Setup!$B$4,12),"m"))))</f>
        <v/>
      </c>
      <c r="J409" s="13">
        <f>IF(A409="","",H409*I409)</f>
        <v/>
      </c>
      <c r="K409" s="13">
        <f>IF(A409="","",E409*D409*IF(AND(F409&gt;=Setup!$B$4,EDATE(Setup!$B$4,12)-F409&lt;180),0.5,1))</f>
        <v/>
      </c>
      <c r="L409" s="13">
        <f>IF(A409="","",K409-J409)</f>
        <v/>
      </c>
      <c r="M409" s="8" t="n"/>
    </row>
    <row r="410">
      <c r="A410" s="10" t="n"/>
      <c r="B410" s="10" t="n"/>
      <c r="C410" s="11" t="n"/>
      <c r="D410" s="9" t="n"/>
      <c r="E410" s="12" t="n"/>
      <c r="F410" s="8" t="n"/>
      <c r="G410" s="10" t="n"/>
      <c r="H410" s="13">
        <f>IF(A410="","",E410*(1-Setup!$B$5)/(C410*12))</f>
        <v/>
      </c>
      <c r="I410" s="14">
        <f>IF(A410="","",MAX(0,MIN(12,DATEDIF(MAX(F410,Setup!$B$4),EDATE(Setup!$B$4,12),"m"))))</f>
        <v/>
      </c>
      <c r="J410" s="13">
        <f>IF(A410="","",H410*I410)</f>
        <v/>
      </c>
      <c r="K410" s="13">
        <f>IF(A410="","",E410*D410*IF(AND(F410&gt;=Setup!$B$4,EDATE(Setup!$B$4,12)-F410&lt;180),0.5,1))</f>
        <v/>
      </c>
      <c r="L410" s="13">
        <f>IF(A410="","",K410-J410)</f>
        <v/>
      </c>
      <c r="M410" s="8" t="n"/>
    </row>
    <row r="411">
      <c r="A411" s="10" t="n"/>
      <c r="B411" s="10" t="n"/>
      <c r="C411" s="11" t="n"/>
      <c r="D411" s="9" t="n"/>
      <c r="E411" s="12" t="n"/>
      <c r="F411" s="8" t="n"/>
      <c r="G411" s="10" t="n"/>
      <c r="H411" s="13">
        <f>IF(A411="","",E411*(1-Setup!$B$5)/(C411*12))</f>
        <v/>
      </c>
      <c r="I411" s="14">
        <f>IF(A411="","",MAX(0,MIN(12,DATEDIF(MAX(F411,Setup!$B$4),EDATE(Setup!$B$4,12),"m"))))</f>
        <v/>
      </c>
      <c r="J411" s="13">
        <f>IF(A411="","",H411*I411)</f>
        <v/>
      </c>
      <c r="K411" s="13">
        <f>IF(A411="","",E411*D411*IF(AND(F411&gt;=Setup!$B$4,EDATE(Setup!$B$4,12)-F411&lt;180),0.5,1))</f>
        <v/>
      </c>
      <c r="L411" s="13">
        <f>IF(A411="","",K411-J411)</f>
        <v/>
      </c>
      <c r="M411" s="8" t="n"/>
    </row>
    <row r="412">
      <c r="A412" s="10" t="n"/>
      <c r="B412" s="10" t="n"/>
      <c r="C412" s="11" t="n"/>
      <c r="D412" s="9" t="n"/>
      <c r="E412" s="12" t="n"/>
      <c r="F412" s="8" t="n"/>
      <c r="G412" s="10" t="n"/>
      <c r="H412" s="13">
        <f>IF(A412="","",E412*(1-Setup!$B$5)/(C412*12))</f>
        <v/>
      </c>
      <c r="I412" s="14">
        <f>IF(A412="","",MAX(0,MIN(12,DATEDIF(MAX(F412,Setup!$B$4),EDATE(Setup!$B$4,12),"m"))))</f>
        <v/>
      </c>
      <c r="J412" s="13">
        <f>IF(A412="","",H412*I412)</f>
        <v/>
      </c>
      <c r="K412" s="13">
        <f>IF(A412="","",E412*D412*IF(AND(F412&gt;=Setup!$B$4,EDATE(Setup!$B$4,12)-F412&lt;180),0.5,1))</f>
        <v/>
      </c>
      <c r="L412" s="13">
        <f>IF(A412="","",K412-J412)</f>
        <v/>
      </c>
      <c r="M412" s="8" t="n"/>
    </row>
    <row r="413">
      <c r="A413" s="10" t="n"/>
      <c r="B413" s="10" t="n"/>
      <c r="C413" s="11" t="n"/>
      <c r="D413" s="9" t="n"/>
      <c r="E413" s="12" t="n"/>
      <c r="F413" s="8" t="n"/>
      <c r="G413" s="10" t="n"/>
      <c r="H413" s="13">
        <f>IF(A413="","",E413*(1-Setup!$B$5)/(C413*12))</f>
        <v/>
      </c>
      <c r="I413" s="14">
        <f>IF(A413="","",MAX(0,MIN(12,DATEDIF(MAX(F413,Setup!$B$4),EDATE(Setup!$B$4,12),"m"))))</f>
        <v/>
      </c>
      <c r="J413" s="13">
        <f>IF(A413="","",H413*I413)</f>
        <v/>
      </c>
      <c r="K413" s="13">
        <f>IF(A413="","",E413*D413*IF(AND(F413&gt;=Setup!$B$4,EDATE(Setup!$B$4,12)-F413&lt;180),0.5,1))</f>
        <v/>
      </c>
      <c r="L413" s="13">
        <f>IF(A413="","",K413-J413)</f>
        <v/>
      </c>
      <c r="M413" s="8" t="n"/>
    </row>
    <row r="414">
      <c r="A414" s="10" t="n"/>
      <c r="B414" s="10" t="n"/>
      <c r="C414" s="11" t="n"/>
      <c r="D414" s="9" t="n"/>
      <c r="E414" s="12" t="n"/>
      <c r="F414" s="8" t="n"/>
      <c r="G414" s="10" t="n"/>
      <c r="H414" s="13">
        <f>IF(A414="","",E414*(1-Setup!$B$5)/(C414*12))</f>
        <v/>
      </c>
      <c r="I414" s="14">
        <f>IF(A414="","",MAX(0,MIN(12,DATEDIF(MAX(F414,Setup!$B$4),EDATE(Setup!$B$4,12),"m"))))</f>
        <v/>
      </c>
      <c r="J414" s="13">
        <f>IF(A414="","",H414*I414)</f>
        <v/>
      </c>
      <c r="K414" s="13">
        <f>IF(A414="","",E414*D414*IF(AND(F414&gt;=Setup!$B$4,EDATE(Setup!$B$4,12)-F414&lt;180),0.5,1))</f>
        <v/>
      </c>
      <c r="L414" s="13">
        <f>IF(A414="","",K414-J414)</f>
        <v/>
      </c>
      <c r="M414" s="8" t="n"/>
    </row>
    <row r="415">
      <c r="A415" s="10" t="n"/>
      <c r="B415" s="10" t="n"/>
      <c r="C415" s="11" t="n"/>
      <c r="D415" s="9" t="n"/>
      <c r="E415" s="12" t="n"/>
      <c r="F415" s="8" t="n"/>
      <c r="G415" s="10" t="n"/>
      <c r="H415" s="13">
        <f>IF(A415="","",E415*(1-Setup!$B$5)/(C415*12))</f>
        <v/>
      </c>
      <c r="I415" s="14">
        <f>IF(A415="","",MAX(0,MIN(12,DATEDIF(MAX(F415,Setup!$B$4),EDATE(Setup!$B$4,12),"m"))))</f>
        <v/>
      </c>
      <c r="J415" s="13">
        <f>IF(A415="","",H415*I415)</f>
        <v/>
      </c>
      <c r="K415" s="13">
        <f>IF(A415="","",E415*D415*IF(AND(F415&gt;=Setup!$B$4,EDATE(Setup!$B$4,12)-F415&lt;180),0.5,1))</f>
        <v/>
      </c>
      <c r="L415" s="13">
        <f>IF(A415="","",K415-J415)</f>
        <v/>
      </c>
      <c r="M415" s="8" t="n"/>
    </row>
    <row r="416">
      <c r="A416" s="10" t="n"/>
      <c r="B416" s="10" t="n"/>
      <c r="C416" s="11" t="n"/>
      <c r="D416" s="9" t="n"/>
      <c r="E416" s="12" t="n"/>
      <c r="F416" s="8" t="n"/>
      <c r="G416" s="10" t="n"/>
      <c r="H416" s="13">
        <f>IF(A416="","",E416*(1-Setup!$B$5)/(C416*12))</f>
        <v/>
      </c>
      <c r="I416" s="14">
        <f>IF(A416="","",MAX(0,MIN(12,DATEDIF(MAX(F416,Setup!$B$4),EDATE(Setup!$B$4,12),"m"))))</f>
        <v/>
      </c>
      <c r="J416" s="13">
        <f>IF(A416="","",H416*I416)</f>
        <v/>
      </c>
      <c r="K416" s="13">
        <f>IF(A416="","",E416*D416*IF(AND(F416&gt;=Setup!$B$4,EDATE(Setup!$B$4,12)-F416&lt;180),0.5,1))</f>
        <v/>
      </c>
      <c r="L416" s="13">
        <f>IF(A416="","",K416-J416)</f>
        <v/>
      </c>
      <c r="M416" s="8" t="n"/>
    </row>
    <row r="417">
      <c r="A417" s="10" t="n"/>
      <c r="B417" s="10" t="n"/>
      <c r="C417" s="11" t="n"/>
      <c r="D417" s="9" t="n"/>
      <c r="E417" s="12" t="n"/>
      <c r="F417" s="8" t="n"/>
      <c r="G417" s="10" t="n"/>
      <c r="H417" s="13">
        <f>IF(A417="","",E417*(1-Setup!$B$5)/(C417*12))</f>
        <v/>
      </c>
      <c r="I417" s="14">
        <f>IF(A417="","",MAX(0,MIN(12,DATEDIF(MAX(F417,Setup!$B$4),EDATE(Setup!$B$4,12),"m"))))</f>
        <v/>
      </c>
      <c r="J417" s="13">
        <f>IF(A417="","",H417*I417)</f>
        <v/>
      </c>
      <c r="K417" s="13">
        <f>IF(A417="","",E417*D417*IF(AND(F417&gt;=Setup!$B$4,EDATE(Setup!$B$4,12)-F417&lt;180),0.5,1))</f>
        <v/>
      </c>
      <c r="L417" s="13">
        <f>IF(A417="","",K417-J417)</f>
        <v/>
      </c>
      <c r="M417" s="8" t="n"/>
    </row>
    <row r="418">
      <c r="A418" s="10" t="n"/>
      <c r="B418" s="10" t="n"/>
      <c r="C418" s="11" t="n"/>
      <c r="D418" s="9" t="n"/>
      <c r="E418" s="12" t="n"/>
      <c r="F418" s="8" t="n"/>
      <c r="G418" s="10" t="n"/>
      <c r="H418" s="13">
        <f>IF(A418="","",E418*(1-Setup!$B$5)/(C418*12))</f>
        <v/>
      </c>
      <c r="I418" s="14">
        <f>IF(A418="","",MAX(0,MIN(12,DATEDIF(MAX(F418,Setup!$B$4),EDATE(Setup!$B$4,12),"m"))))</f>
        <v/>
      </c>
      <c r="J418" s="13">
        <f>IF(A418="","",H418*I418)</f>
        <v/>
      </c>
      <c r="K418" s="13">
        <f>IF(A418="","",E418*D418*IF(AND(F418&gt;=Setup!$B$4,EDATE(Setup!$B$4,12)-F418&lt;180),0.5,1))</f>
        <v/>
      </c>
      <c r="L418" s="13">
        <f>IF(A418="","",K418-J418)</f>
        <v/>
      </c>
      <c r="M418" s="8" t="n"/>
    </row>
    <row r="419">
      <c r="A419" s="10" t="n"/>
      <c r="B419" s="10" t="n"/>
      <c r="C419" s="11" t="n"/>
      <c r="D419" s="9" t="n"/>
      <c r="E419" s="12" t="n"/>
      <c r="F419" s="8" t="n"/>
      <c r="G419" s="10" t="n"/>
      <c r="H419" s="13">
        <f>IF(A419="","",E419*(1-Setup!$B$5)/(C419*12))</f>
        <v/>
      </c>
      <c r="I419" s="14">
        <f>IF(A419="","",MAX(0,MIN(12,DATEDIF(MAX(F419,Setup!$B$4),EDATE(Setup!$B$4,12),"m"))))</f>
        <v/>
      </c>
      <c r="J419" s="13">
        <f>IF(A419="","",H419*I419)</f>
        <v/>
      </c>
      <c r="K419" s="13">
        <f>IF(A419="","",E419*D419*IF(AND(F419&gt;=Setup!$B$4,EDATE(Setup!$B$4,12)-F419&lt;180),0.5,1))</f>
        <v/>
      </c>
      <c r="L419" s="13">
        <f>IF(A419="","",K419-J419)</f>
        <v/>
      </c>
      <c r="M419" s="8" t="n"/>
    </row>
    <row r="420">
      <c r="A420" s="10" t="n"/>
      <c r="B420" s="10" t="n"/>
      <c r="C420" s="11" t="n"/>
      <c r="D420" s="9" t="n"/>
      <c r="E420" s="12" t="n"/>
      <c r="F420" s="8" t="n"/>
      <c r="G420" s="10" t="n"/>
      <c r="H420" s="13">
        <f>IF(A420="","",E420*(1-Setup!$B$5)/(C420*12))</f>
        <v/>
      </c>
      <c r="I420" s="14">
        <f>IF(A420="","",MAX(0,MIN(12,DATEDIF(MAX(F420,Setup!$B$4),EDATE(Setup!$B$4,12),"m"))))</f>
        <v/>
      </c>
      <c r="J420" s="13">
        <f>IF(A420="","",H420*I420)</f>
        <v/>
      </c>
      <c r="K420" s="13">
        <f>IF(A420="","",E420*D420*IF(AND(F420&gt;=Setup!$B$4,EDATE(Setup!$B$4,12)-F420&lt;180),0.5,1))</f>
        <v/>
      </c>
      <c r="L420" s="13">
        <f>IF(A420="","",K420-J420)</f>
        <v/>
      </c>
      <c r="M420" s="8" t="n"/>
    </row>
    <row r="421">
      <c r="A421" s="10" t="n"/>
      <c r="B421" s="10" t="n"/>
      <c r="C421" s="11" t="n"/>
      <c r="D421" s="9" t="n"/>
      <c r="E421" s="12" t="n"/>
      <c r="F421" s="8" t="n"/>
      <c r="G421" s="10" t="n"/>
      <c r="H421" s="13">
        <f>IF(A421="","",E421*(1-Setup!$B$5)/(C421*12))</f>
        <v/>
      </c>
      <c r="I421" s="14">
        <f>IF(A421="","",MAX(0,MIN(12,DATEDIF(MAX(F421,Setup!$B$4),EDATE(Setup!$B$4,12),"m"))))</f>
        <v/>
      </c>
      <c r="J421" s="13">
        <f>IF(A421="","",H421*I421)</f>
        <v/>
      </c>
      <c r="K421" s="13">
        <f>IF(A421="","",E421*D421*IF(AND(F421&gt;=Setup!$B$4,EDATE(Setup!$B$4,12)-F421&lt;180),0.5,1))</f>
        <v/>
      </c>
      <c r="L421" s="13">
        <f>IF(A421="","",K421-J421)</f>
        <v/>
      </c>
      <c r="M421" s="8" t="n"/>
    </row>
    <row r="422">
      <c r="A422" s="10" t="n"/>
      <c r="B422" s="10" t="n"/>
      <c r="C422" s="11" t="n"/>
      <c r="D422" s="9" t="n"/>
      <c r="E422" s="12" t="n"/>
      <c r="F422" s="8" t="n"/>
      <c r="G422" s="10" t="n"/>
      <c r="H422" s="13">
        <f>IF(A422="","",E422*(1-Setup!$B$5)/(C422*12))</f>
        <v/>
      </c>
      <c r="I422" s="14">
        <f>IF(A422="","",MAX(0,MIN(12,DATEDIF(MAX(F422,Setup!$B$4),EDATE(Setup!$B$4,12),"m"))))</f>
        <v/>
      </c>
      <c r="J422" s="13">
        <f>IF(A422="","",H422*I422)</f>
        <v/>
      </c>
      <c r="K422" s="13">
        <f>IF(A422="","",E422*D422*IF(AND(F422&gt;=Setup!$B$4,EDATE(Setup!$B$4,12)-F422&lt;180),0.5,1))</f>
        <v/>
      </c>
      <c r="L422" s="13">
        <f>IF(A422="","",K422-J422)</f>
        <v/>
      </c>
      <c r="M422" s="8" t="n"/>
    </row>
    <row r="423">
      <c r="A423" s="10" t="n"/>
      <c r="B423" s="10" t="n"/>
      <c r="C423" s="11" t="n"/>
      <c r="D423" s="9" t="n"/>
      <c r="E423" s="12" t="n"/>
      <c r="F423" s="8" t="n"/>
      <c r="G423" s="10" t="n"/>
      <c r="H423" s="13">
        <f>IF(A423="","",E423*(1-Setup!$B$5)/(C423*12))</f>
        <v/>
      </c>
      <c r="I423" s="14">
        <f>IF(A423="","",MAX(0,MIN(12,DATEDIF(MAX(F423,Setup!$B$4),EDATE(Setup!$B$4,12),"m"))))</f>
        <v/>
      </c>
      <c r="J423" s="13">
        <f>IF(A423="","",H423*I423)</f>
        <v/>
      </c>
      <c r="K423" s="13">
        <f>IF(A423="","",E423*D423*IF(AND(F423&gt;=Setup!$B$4,EDATE(Setup!$B$4,12)-F423&lt;180),0.5,1))</f>
        <v/>
      </c>
      <c r="L423" s="13">
        <f>IF(A423="","",K423-J423)</f>
        <v/>
      </c>
      <c r="M423" s="8" t="n"/>
    </row>
    <row r="424">
      <c r="A424" s="10" t="n"/>
      <c r="B424" s="10" t="n"/>
      <c r="C424" s="11" t="n"/>
      <c r="D424" s="9" t="n"/>
      <c r="E424" s="12" t="n"/>
      <c r="F424" s="8" t="n"/>
      <c r="G424" s="10" t="n"/>
      <c r="H424" s="13">
        <f>IF(A424="","",E424*(1-Setup!$B$5)/(C424*12))</f>
        <v/>
      </c>
      <c r="I424" s="14">
        <f>IF(A424="","",MAX(0,MIN(12,DATEDIF(MAX(F424,Setup!$B$4),EDATE(Setup!$B$4,12),"m"))))</f>
        <v/>
      </c>
      <c r="J424" s="13">
        <f>IF(A424="","",H424*I424)</f>
        <v/>
      </c>
      <c r="K424" s="13">
        <f>IF(A424="","",E424*D424*IF(AND(F424&gt;=Setup!$B$4,EDATE(Setup!$B$4,12)-F424&lt;180),0.5,1))</f>
        <v/>
      </c>
      <c r="L424" s="13">
        <f>IF(A424="","",K424-J424)</f>
        <v/>
      </c>
      <c r="M424" s="8" t="n"/>
    </row>
    <row r="425">
      <c r="A425" s="10" t="n"/>
      <c r="B425" s="10" t="n"/>
      <c r="C425" s="11" t="n"/>
      <c r="D425" s="9" t="n"/>
      <c r="E425" s="12" t="n"/>
      <c r="F425" s="8" t="n"/>
      <c r="G425" s="10" t="n"/>
      <c r="H425" s="13">
        <f>IF(A425="","",E425*(1-Setup!$B$5)/(C425*12))</f>
        <v/>
      </c>
      <c r="I425" s="14">
        <f>IF(A425="","",MAX(0,MIN(12,DATEDIF(MAX(F425,Setup!$B$4),EDATE(Setup!$B$4,12),"m"))))</f>
        <v/>
      </c>
      <c r="J425" s="13">
        <f>IF(A425="","",H425*I425)</f>
        <v/>
      </c>
      <c r="K425" s="13">
        <f>IF(A425="","",E425*D425*IF(AND(F425&gt;=Setup!$B$4,EDATE(Setup!$B$4,12)-F425&lt;180),0.5,1))</f>
        <v/>
      </c>
      <c r="L425" s="13">
        <f>IF(A425="","",K425-J425)</f>
        <v/>
      </c>
      <c r="M425" s="8" t="n"/>
    </row>
    <row r="426">
      <c r="A426" s="10" t="n"/>
      <c r="B426" s="10" t="n"/>
      <c r="C426" s="11" t="n"/>
      <c r="D426" s="9" t="n"/>
      <c r="E426" s="12" t="n"/>
      <c r="F426" s="8" t="n"/>
      <c r="G426" s="10" t="n"/>
      <c r="H426" s="13">
        <f>IF(A426="","",E426*(1-Setup!$B$5)/(C426*12))</f>
        <v/>
      </c>
      <c r="I426" s="14">
        <f>IF(A426="","",MAX(0,MIN(12,DATEDIF(MAX(F426,Setup!$B$4),EDATE(Setup!$B$4,12),"m"))))</f>
        <v/>
      </c>
      <c r="J426" s="13">
        <f>IF(A426="","",H426*I426)</f>
        <v/>
      </c>
      <c r="K426" s="13">
        <f>IF(A426="","",E426*D426*IF(AND(F426&gt;=Setup!$B$4,EDATE(Setup!$B$4,12)-F426&lt;180),0.5,1))</f>
        <v/>
      </c>
      <c r="L426" s="13">
        <f>IF(A426="","",K426-J426)</f>
        <v/>
      </c>
      <c r="M426" s="8" t="n"/>
    </row>
    <row r="427">
      <c r="A427" s="10" t="n"/>
      <c r="B427" s="10" t="n"/>
      <c r="C427" s="11" t="n"/>
      <c r="D427" s="9" t="n"/>
      <c r="E427" s="12" t="n"/>
      <c r="F427" s="8" t="n"/>
      <c r="G427" s="10" t="n"/>
      <c r="H427" s="13">
        <f>IF(A427="","",E427*(1-Setup!$B$5)/(C427*12))</f>
        <v/>
      </c>
      <c r="I427" s="14">
        <f>IF(A427="","",MAX(0,MIN(12,DATEDIF(MAX(F427,Setup!$B$4),EDATE(Setup!$B$4,12),"m"))))</f>
        <v/>
      </c>
      <c r="J427" s="13">
        <f>IF(A427="","",H427*I427)</f>
        <v/>
      </c>
      <c r="K427" s="13">
        <f>IF(A427="","",E427*D427*IF(AND(F427&gt;=Setup!$B$4,EDATE(Setup!$B$4,12)-F427&lt;180),0.5,1))</f>
        <v/>
      </c>
      <c r="L427" s="13">
        <f>IF(A427="","",K427-J427)</f>
        <v/>
      </c>
      <c r="M427" s="8" t="n"/>
    </row>
    <row r="428">
      <c r="A428" s="10" t="n"/>
      <c r="B428" s="10" t="n"/>
      <c r="C428" s="11" t="n"/>
      <c r="D428" s="9" t="n"/>
      <c r="E428" s="12" t="n"/>
      <c r="F428" s="8" t="n"/>
      <c r="G428" s="10" t="n"/>
      <c r="H428" s="13">
        <f>IF(A428="","",E428*(1-Setup!$B$5)/(C428*12))</f>
        <v/>
      </c>
      <c r="I428" s="14">
        <f>IF(A428="","",MAX(0,MIN(12,DATEDIF(MAX(F428,Setup!$B$4),EDATE(Setup!$B$4,12),"m"))))</f>
        <v/>
      </c>
      <c r="J428" s="13">
        <f>IF(A428="","",H428*I428)</f>
        <v/>
      </c>
      <c r="K428" s="13">
        <f>IF(A428="","",E428*D428*IF(AND(F428&gt;=Setup!$B$4,EDATE(Setup!$B$4,12)-F428&lt;180),0.5,1))</f>
        <v/>
      </c>
      <c r="L428" s="13">
        <f>IF(A428="","",K428-J428)</f>
        <v/>
      </c>
      <c r="M428" s="8" t="n"/>
    </row>
    <row r="429">
      <c r="A429" s="10" t="n"/>
      <c r="B429" s="10" t="n"/>
      <c r="C429" s="11" t="n"/>
      <c r="D429" s="9" t="n"/>
      <c r="E429" s="12" t="n"/>
      <c r="F429" s="8" t="n"/>
      <c r="G429" s="10" t="n"/>
      <c r="H429" s="13">
        <f>IF(A429="","",E429*(1-Setup!$B$5)/(C429*12))</f>
        <v/>
      </c>
      <c r="I429" s="14">
        <f>IF(A429="","",MAX(0,MIN(12,DATEDIF(MAX(F429,Setup!$B$4),EDATE(Setup!$B$4,12),"m"))))</f>
        <v/>
      </c>
      <c r="J429" s="13">
        <f>IF(A429="","",H429*I429)</f>
        <v/>
      </c>
      <c r="K429" s="13">
        <f>IF(A429="","",E429*D429*IF(AND(F429&gt;=Setup!$B$4,EDATE(Setup!$B$4,12)-F429&lt;180),0.5,1))</f>
        <v/>
      </c>
      <c r="L429" s="13">
        <f>IF(A429="","",K429-J429)</f>
        <v/>
      </c>
      <c r="M429" s="8" t="n"/>
    </row>
    <row r="430">
      <c r="A430" s="10" t="n"/>
      <c r="B430" s="10" t="n"/>
      <c r="C430" s="11" t="n"/>
      <c r="D430" s="9" t="n"/>
      <c r="E430" s="12" t="n"/>
      <c r="F430" s="8" t="n"/>
      <c r="G430" s="10" t="n"/>
      <c r="H430" s="13">
        <f>IF(A430="","",E430*(1-Setup!$B$5)/(C430*12))</f>
        <v/>
      </c>
      <c r="I430" s="14">
        <f>IF(A430="","",MAX(0,MIN(12,DATEDIF(MAX(F430,Setup!$B$4),EDATE(Setup!$B$4,12),"m"))))</f>
        <v/>
      </c>
      <c r="J430" s="13">
        <f>IF(A430="","",H430*I430)</f>
        <v/>
      </c>
      <c r="K430" s="13">
        <f>IF(A430="","",E430*D430*IF(AND(F430&gt;=Setup!$B$4,EDATE(Setup!$B$4,12)-F430&lt;180),0.5,1))</f>
        <v/>
      </c>
      <c r="L430" s="13">
        <f>IF(A430="","",K430-J430)</f>
        <v/>
      </c>
      <c r="M430" s="8" t="n"/>
    </row>
    <row r="431">
      <c r="A431" s="10" t="n"/>
      <c r="B431" s="10" t="n"/>
      <c r="C431" s="11" t="n"/>
      <c r="D431" s="9" t="n"/>
      <c r="E431" s="12" t="n"/>
      <c r="F431" s="8" t="n"/>
      <c r="G431" s="10" t="n"/>
      <c r="H431" s="13">
        <f>IF(A431="","",E431*(1-Setup!$B$5)/(C431*12))</f>
        <v/>
      </c>
      <c r="I431" s="14">
        <f>IF(A431="","",MAX(0,MIN(12,DATEDIF(MAX(F431,Setup!$B$4),EDATE(Setup!$B$4,12),"m"))))</f>
        <v/>
      </c>
      <c r="J431" s="13">
        <f>IF(A431="","",H431*I431)</f>
        <v/>
      </c>
      <c r="K431" s="13">
        <f>IF(A431="","",E431*D431*IF(AND(F431&gt;=Setup!$B$4,EDATE(Setup!$B$4,12)-F431&lt;180),0.5,1))</f>
        <v/>
      </c>
      <c r="L431" s="13">
        <f>IF(A431="","",K431-J431)</f>
        <v/>
      </c>
      <c r="M431" s="8" t="n"/>
    </row>
    <row r="432">
      <c r="A432" s="10" t="n"/>
      <c r="B432" s="10" t="n"/>
      <c r="C432" s="11" t="n"/>
      <c r="D432" s="9" t="n"/>
      <c r="E432" s="12" t="n"/>
      <c r="F432" s="8" t="n"/>
      <c r="G432" s="10" t="n"/>
      <c r="H432" s="13">
        <f>IF(A432="","",E432*(1-Setup!$B$5)/(C432*12))</f>
        <v/>
      </c>
      <c r="I432" s="14">
        <f>IF(A432="","",MAX(0,MIN(12,DATEDIF(MAX(F432,Setup!$B$4),EDATE(Setup!$B$4,12),"m"))))</f>
        <v/>
      </c>
      <c r="J432" s="13">
        <f>IF(A432="","",H432*I432)</f>
        <v/>
      </c>
      <c r="K432" s="13">
        <f>IF(A432="","",E432*D432*IF(AND(F432&gt;=Setup!$B$4,EDATE(Setup!$B$4,12)-F432&lt;180),0.5,1))</f>
        <v/>
      </c>
      <c r="L432" s="13">
        <f>IF(A432="","",K432-J432)</f>
        <v/>
      </c>
      <c r="M432" s="8" t="n"/>
    </row>
    <row r="433">
      <c r="A433" s="10" t="n"/>
      <c r="B433" s="10" t="n"/>
      <c r="C433" s="11" t="n"/>
      <c r="D433" s="9" t="n"/>
      <c r="E433" s="12" t="n"/>
      <c r="F433" s="8" t="n"/>
      <c r="G433" s="10" t="n"/>
      <c r="H433" s="13">
        <f>IF(A433="","",E433*(1-Setup!$B$5)/(C433*12))</f>
        <v/>
      </c>
      <c r="I433" s="14">
        <f>IF(A433="","",MAX(0,MIN(12,DATEDIF(MAX(F433,Setup!$B$4),EDATE(Setup!$B$4,12),"m"))))</f>
        <v/>
      </c>
      <c r="J433" s="13">
        <f>IF(A433="","",H433*I433)</f>
        <v/>
      </c>
      <c r="K433" s="13">
        <f>IF(A433="","",E433*D433*IF(AND(F433&gt;=Setup!$B$4,EDATE(Setup!$B$4,12)-F433&lt;180),0.5,1))</f>
        <v/>
      </c>
      <c r="L433" s="13">
        <f>IF(A433="","",K433-J433)</f>
        <v/>
      </c>
      <c r="M433" s="8" t="n"/>
    </row>
    <row r="434">
      <c r="A434" s="10" t="n"/>
      <c r="B434" s="10" t="n"/>
      <c r="C434" s="11" t="n"/>
      <c r="D434" s="9" t="n"/>
      <c r="E434" s="12" t="n"/>
      <c r="F434" s="8" t="n"/>
      <c r="G434" s="10" t="n"/>
      <c r="H434" s="13">
        <f>IF(A434="","",E434*(1-Setup!$B$5)/(C434*12))</f>
        <v/>
      </c>
      <c r="I434" s="14">
        <f>IF(A434="","",MAX(0,MIN(12,DATEDIF(MAX(F434,Setup!$B$4),EDATE(Setup!$B$4,12),"m"))))</f>
        <v/>
      </c>
      <c r="J434" s="13">
        <f>IF(A434="","",H434*I434)</f>
        <v/>
      </c>
      <c r="K434" s="13">
        <f>IF(A434="","",E434*D434*IF(AND(F434&gt;=Setup!$B$4,EDATE(Setup!$B$4,12)-F434&lt;180),0.5,1))</f>
        <v/>
      </c>
      <c r="L434" s="13">
        <f>IF(A434="","",K434-J434)</f>
        <v/>
      </c>
      <c r="M434" s="8" t="n"/>
    </row>
    <row r="435">
      <c r="A435" s="10" t="n"/>
      <c r="B435" s="10" t="n"/>
      <c r="C435" s="11" t="n"/>
      <c r="D435" s="9" t="n"/>
      <c r="E435" s="12" t="n"/>
      <c r="F435" s="8" t="n"/>
      <c r="G435" s="10" t="n"/>
      <c r="H435" s="13">
        <f>IF(A435="","",E435*(1-Setup!$B$5)/(C435*12))</f>
        <v/>
      </c>
      <c r="I435" s="14">
        <f>IF(A435="","",MAX(0,MIN(12,DATEDIF(MAX(F435,Setup!$B$4),EDATE(Setup!$B$4,12),"m"))))</f>
        <v/>
      </c>
      <c r="J435" s="13">
        <f>IF(A435="","",H435*I435)</f>
        <v/>
      </c>
      <c r="K435" s="13">
        <f>IF(A435="","",E435*D435*IF(AND(F435&gt;=Setup!$B$4,EDATE(Setup!$B$4,12)-F435&lt;180),0.5,1))</f>
        <v/>
      </c>
      <c r="L435" s="13">
        <f>IF(A435="","",K435-J435)</f>
        <v/>
      </c>
      <c r="M435" s="8" t="n"/>
    </row>
    <row r="436">
      <c r="A436" s="10" t="n"/>
      <c r="B436" s="10" t="n"/>
      <c r="C436" s="11" t="n"/>
      <c r="D436" s="9" t="n"/>
      <c r="E436" s="12" t="n"/>
      <c r="F436" s="8" t="n"/>
      <c r="G436" s="10" t="n"/>
      <c r="H436" s="13">
        <f>IF(A436="","",E436*(1-Setup!$B$5)/(C436*12))</f>
        <v/>
      </c>
      <c r="I436" s="14">
        <f>IF(A436="","",MAX(0,MIN(12,DATEDIF(MAX(F436,Setup!$B$4),EDATE(Setup!$B$4,12),"m"))))</f>
        <v/>
      </c>
      <c r="J436" s="13">
        <f>IF(A436="","",H436*I436)</f>
        <v/>
      </c>
      <c r="K436" s="13">
        <f>IF(A436="","",E436*D436*IF(AND(F436&gt;=Setup!$B$4,EDATE(Setup!$B$4,12)-F436&lt;180),0.5,1))</f>
        <v/>
      </c>
      <c r="L436" s="13">
        <f>IF(A436="","",K436-J436)</f>
        <v/>
      </c>
      <c r="M436" s="8" t="n"/>
    </row>
    <row r="437">
      <c r="A437" s="10" t="n"/>
      <c r="B437" s="10" t="n"/>
      <c r="C437" s="11" t="n"/>
      <c r="D437" s="9" t="n"/>
      <c r="E437" s="12" t="n"/>
      <c r="F437" s="8" t="n"/>
      <c r="G437" s="10" t="n"/>
      <c r="H437" s="13">
        <f>IF(A437="","",E437*(1-Setup!$B$5)/(C437*12))</f>
        <v/>
      </c>
      <c r="I437" s="14">
        <f>IF(A437="","",MAX(0,MIN(12,DATEDIF(MAX(F437,Setup!$B$4),EDATE(Setup!$B$4,12),"m"))))</f>
        <v/>
      </c>
      <c r="J437" s="13">
        <f>IF(A437="","",H437*I437)</f>
        <v/>
      </c>
      <c r="K437" s="13">
        <f>IF(A437="","",E437*D437*IF(AND(F437&gt;=Setup!$B$4,EDATE(Setup!$B$4,12)-F437&lt;180),0.5,1))</f>
        <v/>
      </c>
      <c r="L437" s="13">
        <f>IF(A437="","",K437-J437)</f>
        <v/>
      </c>
      <c r="M437" s="8" t="n"/>
    </row>
    <row r="438">
      <c r="A438" s="10" t="n"/>
      <c r="B438" s="10" t="n"/>
      <c r="C438" s="11" t="n"/>
      <c r="D438" s="9" t="n"/>
      <c r="E438" s="12" t="n"/>
      <c r="F438" s="8" t="n"/>
      <c r="G438" s="10" t="n"/>
      <c r="H438" s="13">
        <f>IF(A438="","",E438*(1-Setup!$B$5)/(C438*12))</f>
        <v/>
      </c>
      <c r="I438" s="14">
        <f>IF(A438="","",MAX(0,MIN(12,DATEDIF(MAX(F438,Setup!$B$4),EDATE(Setup!$B$4,12),"m"))))</f>
        <v/>
      </c>
      <c r="J438" s="13">
        <f>IF(A438="","",H438*I438)</f>
        <v/>
      </c>
      <c r="K438" s="13">
        <f>IF(A438="","",E438*D438*IF(AND(F438&gt;=Setup!$B$4,EDATE(Setup!$B$4,12)-F438&lt;180),0.5,1))</f>
        <v/>
      </c>
      <c r="L438" s="13">
        <f>IF(A438="","",K438-J438)</f>
        <v/>
      </c>
      <c r="M438" s="8" t="n"/>
    </row>
    <row r="439">
      <c r="A439" s="10" t="n"/>
      <c r="B439" s="10" t="n"/>
      <c r="C439" s="11" t="n"/>
      <c r="D439" s="9" t="n"/>
      <c r="E439" s="12" t="n"/>
      <c r="F439" s="8" t="n"/>
      <c r="G439" s="10" t="n"/>
      <c r="H439" s="13">
        <f>IF(A439="","",E439*(1-Setup!$B$5)/(C439*12))</f>
        <v/>
      </c>
      <c r="I439" s="14">
        <f>IF(A439="","",MAX(0,MIN(12,DATEDIF(MAX(F439,Setup!$B$4),EDATE(Setup!$B$4,12),"m"))))</f>
        <v/>
      </c>
      <c r="J439" s="13">
        <f>IF(A439="","",H439*I439)</f>
        <v/>
      </c>
      <c r="K439" s="13">
        <f>IF(A439="","",E439*D439*IF(AND(F439&gt;=Setup!$B$4,EDATE(Setup!$B$4,12)-F439&lt;180),0.5,1))</f>
        <v/>
      </c>
      <c r="L439" s="13">
        <f>IF(A439="","",K439-J439)</f>
        <v/>
      </c>
      <c r="M439" s="8" t="n"/>
    </row>
    <row r="440">
      <c r="A440" s="10" t="n"/>
      <c r="B440" s="10" t="n"/>
      <c r="C440" s="11" t="n"/>
      <c r="D440" s="9" t="n"/>
      <c r="E440" s="12" t="n"/>
      <c r="F440" s="8" t="n"/>
      <c r="G440" s="10" t="n"/>
      <c r="H440" s="13">
        <f>IF(A440="","",E440*(1-Setup!$B$5)/(C440*12))</f>
        <v/>
      </c>
      <c r="I440" s="14">
        <f>IF(A440="","",MAX(0,MIN(12,DATEDIF(MAX(F440,Setup!$B$4),EDATE(Setup!$B$4,12),"m"))))</f>
        <v/>
      </c>
      <c r="J440" s="13">
        <f>IF(A440="","",H440*I440)</f>
        <v/>
      </c>
      <c r="K440" s="13">
        <f>IF(A440="","",E440*D440*IF(AND(F440&gt;=Setup!$B$4,EDATE(Setup!$B$4,12)-F440&lt;180),0.5,1))</f>
        <v/>
      </c>
      <c r="L440" s="13">
        <f>IF(A440="","",K440-J440)</f>
        <v/>
      </c>
      <c r="M440" s="8" t="n"/>
    </row>
    <row r="441">
      <c r="A441" s="10" t="n"/>
      <c r="B441" s="10" t="n"/>
      <c r="C441" s="11" t="n"/>
      <c r="D441" s="9" t="n"/>
      <c r="E441" s="12" t="n"/>
      <c r="F441" s="8" t="n"/>
      <c r="G441" s="10" t="n"/>
      <c r="H441" s="13">
        <f>IF(A441="","",E441*(1-Setup!$B$5)/(C441*12))</f>
        <v/>
      </c>
      <c r="I441" s="14">
        <f>IF(A441="","",MAX(0,MIN(12,DATEDIF(MAX(F441,Setup!$B$4),EDATE(Setup!$B$4,12),"m"))))</f>
        <v/>
      </c>
      <c r="J441" s="13">
        <f>IF(A441="","",H441*I441)</f>
        <v/>
      </c>
      <c r="K441" s="13">
        <f>IF(A441="","",E441*D441*IF(AND(F441&gt;=Setup!$B$4,EDATE(Setup!$B$4,12)-F441&lt;180),0.5,1))</f>
        <v/>
      </c>
      <c r="L441" s="13">
        <f>IF(A441="","",K441-J441)</f>
        <v/>
      </c>
      <c r="M441" s="8" t="n"/>
    </row>
    <row r="442">
      <c r="A442" s="10" t="n"/>
      <c r="B442" s="10" t="n"/>
      <c r="C442" s="11" t="n"/>
      <c r="D442" s="9" t="n"/>
      <c r="E442" s="12" t="n"/>
      <c r="F442" s="8" t="n"/>
      <c r="G442" s="10" t="n"/>
      <c r="H442" s="13">
        <f>IF(A442="","",E442*(1-Setup!$B$5)/(C442*12))</f>
        <v/>
      </c>
      <c r="I442" s="14">
        <f>IF(A442="","",MAX(0,MIN(12,DATEDIF(MAX(F442,Setup!$B$4),EDATE(Setup!$B$4,12),"m"))))</f>
        <v/>
      </c>
      <c r="J442" s="13">
        <f>IF(A442="","",H442*I442)</f>
        <v/>
      </c>
      <c r="K442" s="13">
        <f>IF(A442="","",E442*D442*IF(AND(F442&gt;=Setup!$B$4,EDATE(Setup!$B$4,12)-F442&lt;180),0.5,1))</f>
        <v/>
      </c>
      <c r="L442" s="13">
        <f>IF(A442="","",K442-J442)</f>
        <v/>
      </c>
      <c r="M442" s="8" t="n"/>
    </row>
    <row r="443">
      <c r="A443" s="10" t="n"/>
      <c r="B443" s="10" t="n"/>
      <c r="C443" s="11" t="n"/>
      <c r="D443" s="9" t="n"/>
      <c r="E443" s="12" t="n"/>
      <c r="F443" s="8" t="n"/>
      <c r="G443" s="10" t="n"/>
      <c r="H443" s="13">
        <f>IF(A443="","",E443*(1-Setup!$B$5)/(C443*12))</f>
        <v/>
      </c>
      <c r="I443" s="14">
        <f>IF(A443="","",MAX(0,MIN(12,DATEDIF(MAX(F443,Setup!$B$4),EDATE(Setup!$B$4,12),"m"))))</f>
        <v/>
      </c>
      <c r="J443" s="13">
        <f>IF(A443="","",H443*I443)</f>
        <v/>
      </c>
      <c r="K443" s="13">
        <f>IF(A443="","",E443*D443*IF(AND(F443&gt;=Setup!$B$4,EDATE(Setup!$B$4,12)-F443&lt;180),0.5,1))</f>
        <v/>
      </c>
      <c r="L443" s="13">
        <f>IF(A443="","",K443-J443)</f>
        <v/>
      </c>
      <c r="M443" s="8" t="n"/>
    </row>
    <row r="444">
      <c r="A444" s="10" t="n"/>
      <c r="B444" s="10" t="n"/>
      <c r="C444" s="11" t="n"/>
      <c r="D444" s="9" t="n"/>
      <c r="E444" s="12" t="n"/>
      <c r="F444" s="8" t="n"/>
      <c r="G444" s="10" t="n"/>
      <c r="H444" s="13">
        <f>IF(A444="","",E444*(1-Setup!$B$5)/(C444*12))</f>
        <v/>
      </c>
      <c r="I444" s="14">
        <f>IF(A444="","",MAX(0,MIN(12,DATEDIF(MAX(F444,Setup!$B$4),EDATE(Setup!$B$4,12),"m"))))</f>
        <v/>
      </c>
      <c r="J444" s="13">
        <f>IF(A444="","",H444*I444)</f>
        <v/>
      </c>
      <c r="K444" s="13">
        <f>IF(A444="","",E444*D444*IF(AND(F444&gt;=Setup!$B$4,EDATE(Setup!$B$4,12)-F444&lt;180),0.5,1))</f>
        <v/>
      </c>
      <c r="L444" s="13">
        <f>IF(A444="","",K444-J444)</f>
        <v/>
      </c>
      <c r="M444" s="8" t="n"/>
    </row>
    <row r="445">
      <c r="A445" s="10" t="n"/>
      <c r="B445" s="10" t="n"/>
      <c r="C445" s="11" t="n"/>
      <c r="D445" s="9" t="n"/>
      <c r="E445" s="12" t="n"/>
      <c r="F445" s="8" t="n"/>
      <c r="G445" s="10" t="n"/>
      <c r="H445" s="13">
        <f>IF(A445="","",E445*(1-Setup!$B$5)/(C445*12))</f>
        <v/>
      </c>
      <c r="I445" s="14">
        <f>IF(A445="","",MAX(0,MIN(12,DATEDIF(MAX(F445,Setup!$B$4),EDATE(Setup!$B$4,12),"m"))))</f>
        <v/>
      </c>
      <c r="J445" s="13">
        <f>IF(A445="","",H445*I445)</f>
        <v/>
      </c>
      <c r="K445" s="13">
        <f>IF(A445="","",E445*D445*IF(AND(F445&gt;=Setup!$B$4,EDATE(Setup!$B$4,12)-F445&lt;180),0.5,1))</f>
        <v/>
      </c>
      <c r="L445" s="13">
        <f>IF(A445="","",K445-J445)</f>
        <v/>
      </c>
      <c r="M445" s="8" t="n"/>
    </row>
    <row r="446">
      <c r="A446" s="10" t="n"/>
      <c r="B446" s="10" t="n"/>
      <c r="C446" s="11" t="n"/>
      <c r="D446" s="9" t="n"/>
      <c r="E446" s="12" t="n"/>
      <c r="F446" s="8" t="n"/>
      <c r="G446" s="10" t="n"/>
      <c r="H446" s="13">
        <f>IF(A446="","",E446*(1-Setup!$B$5)/(C446*12))</f>
        <v/>
      </c>
      <c r="I446" s="14">
        <f>IF(A446="","",MAX(0,MIN(12,DATEDIF(MAX(F446,Setup!$B$4),EDATE(Setup!$B$4,12),"m"))))</f>
        <v/>
      </c>
      <c r="J446" s="13">
        <f>IF(A446="","",H446*I446)</f>
        <v/>
      </c>
      <c r="K446" s="13">
        <f>IF(A446="","",E446*D446*IF(AND(F446&gt;=Setup!$B$4,EDATE(Setup!$B$4,12)-F446&lt;180),0.5,1))</f>
        <v/>
      </c>
      <c r="L446" s="13">
        <f>IF(A446="","",K446-J446)</f>
        <v/>
      </c>
      <c r="M446" s="8" t="n"/>
    </row>
    <row r="447">
      <c r="A447" s="10" t="n"/>
      <c r="B447" s="10" t="n"/>
      <c r="C447" s="11" t="n"/>
      <c r="D447" s="9" t="n"/>
      <c r="E447" s="12" t="n"/>
      <c r="F447" s="8" t="n"/>
      <c r="G447" s="10" t="n"/>
      <c r="H447" s="13">
        <f>IF(A447="","",E447*(1-Setup!$B$5)/(C447*12))</f>
        <v/>
      </c>
      <c r="I447" s="14">
        <f>IF(A447="","",MAX(0,MIN(12,DATEDIF(MAX(F447,Setup!$B$4),EDATE(Setup!$B$4,12),"m"))))</f>
        <v/>
      </c>
      <c r="J447" s="13">
        <f>IF(A447="","",H447*I447)</f>
        <v/>
      </c>
      <c r="K447" s="13">
        <f>IF(A447="","",E447*D447*IF(AND(F447&gt;=Setup!$B$4,EDATE(Setup!$B$4,12)-F447&lt;180),0.5,1))</f>
        <v/>
      </c>
      <c r="L447" s="13">
        <f>IF(A447="","",K447-J447)</f>
        <v/>
      </c>
      <c r="M447" s="8" t="n"/>
    </row>
    <row r="448">
      <c r="A448" s="10" t="n"/>
      <c r="B448" s="10" t="n"/>
      <c r="C448" s="11" t="n"/>
      <c r="D448" s="9" t="n"/>
      <c r="E448" s="12" t="n"/>
      <c r="F448" s="8" t="n"/>
      <c r="G448" s="10" t="n"/>
      <c r="H448" s="13">
        <f>IF(A448="","",E448*(1-Setup!$B$5)/(C448*12))</f>
        <v/>
      </c>
      <c r="I448" s="14">
        <f>IF(A448="","",MAX(0,MIN(12,DATEDIF(MAX(F448,Setup!$B$4),EDATE(Setup!$B$4,12),"m"))))</f>
        <v/>
      </c>
      <c r="J448" s="13">
        <f>IF(A448="","",H448*I448)</f>
        <v/>
      </c>
      <c r="K448" s="13">
        <f>IF(A448="","",E448*D448*IF(AND(F448&gt;=Setup!$B$4,EDATE(Setup!$B$4,12)-F448&lt;180),0.5,1))</f>
        <v/>
      </c>
      <c r="L448" s="13">
        <f>IF(A448="","",K448-J448)</f>
        <v/>
      </c>
      <c r="M448" s="8" t="n"/>
    </row>
    <row r="449">
      <c r="A449" s="10" t="n"/>
      <c r="B449" s="10" t="n"/>
      <c r="C449" s="11" t="n"/>
      <c r="D449" s="9" t="n"/>
      <c r="E449" s="12" t="n"/>
      <c r="F449" s="8" t="n"/>
      <c r="G449" s="10" t="n"/>
      <c r="H449" s="13">
        <f>IF(A449="","",E449*(1-Setup!$B$5)/(C449*12))</f>
        <v/>
      </c>
      <c r="I449" s="14">
        <f>IF(A449="","",MAX(0,MIN(12,DATEDIF(MAX(F449,Setup!$B$4),EDATE(Setup!$B$4,12),"m"))))</f>
        <v/>
      </c>
      <c r="J449" s="13">
        <f>IF(A449="","",H449*I449)</f>
        <v/>
      </c>
      <c r="K449" s="13">
        <f>IF(A449="","",E449*D449*IF(AND(F449&gt;=Setup!$B$4,EDATE(Setup!$B$4,12)-F449&lt;180),0.5,1))</f>
        <v/>
      </c>
      <c r="L449" s="13">
        <f>IF(A449="","",K449-J449)</f>
        <v/>
      </c>
      <c r="M449" s="8" t="n"/>
    </row>
    <row r="450">
      <c r="A450" s="10" t="n"/>
      <c r="B450" s="10" t="n"/>
      <c r="C450" s="11" t="n"/>
      <c r="D450" s="9" t="n"/>
      <c r="E450" s="12" t="n"/>
      <c r="F450" s="8" t="n"/>
      <c r="G450" s="10" t="n"/>
      <c r="H450" s="13">
        <f>IF(A450="","",E450*(1-Setup!$B$5)/(C450*12))</f>
        <v/>
      </c>
      <c r="I450" s="14">
        <f>IF(A450="","",MAX(0,MIN(12,DATEDIF(MAX(F450,Setup!$B$4),EDATE(Setup!$B$4,12),"m"))))</f>
        <v/>
      </c>
      <c r="J450" s="13">
        <f>IF(A450="","",H450*I450)</f>
        <v/>
      </c>
      <c r="K450" s="13">
        <f>IF(A450="","",E450*D450*IF(AND(F450&gt;=Setup!$B$4,EDATE(Setup!$B$4,12)-F450&lt;180),0.5,1))</f>
        <v/>
      </c>
      <c r="L450" s="13">
        <f>IF(A450="","",K450-J450)</f>
        <v/>
      </c>
      <c r="M450" s="8" t="n"/>
    </row>
    <row r="451">
      <c r="A451" s="10" t="n"/>
      <c r="B451" s="10" t="n"/>
      <c r="C451" s="11" t="n"/>
      <c r="D451" s="9" t="n"/>
      <c r="E451" s="12" t="n"/>
      <c r="F451" s="8" t="n"/>
      <c r="G451" s="10" t="n"/>
      <c r="H451" s="13">
        <f>IF(A451="","",E451*(1-Setup!$B$5)/(C451*12))</f>
        <v/>
      </c>
      <c r="I451" s="14">
        <f>IF(A451="","",MAX(0,MIN(12,DATEDIF(MAX(F451,Setup!$B$4),EDATE(Setup!$B$4,12),"m"))))</f>
        <v/>
      </c>
      <c r="J451" s="13">
        <f>IF(A451="","",H451*I451)</f>
        <v/>
      </c>
      <c r="K451" s="13">
        <f>IF(A451="","",E451*D451*IF(AND(F451&gt;=Setup!$B$4,EDATE(Setup!$B$4,12)-F451&lt;180),0.5,1))</f>
        <v/>
      </c>
      <c r="L451" s="13">
        <f>IF(A451="","",K451-J451)</f>
        <v/>
      </c>
      <c r="M451" s="8" t="n"/>
    </row>
    <row r="452">
      <c r="A452" s="10" t="n"/>
      <c r="B452" s="10" t="n"/>
      <c r="C452" s="11" t="n"/>
      <c r="D452" s="9" t="n"/>
      <c r="E452" s="12" t="n"/>
      <c r="F452" s="8" t="n"/>
      <c r="G452" s="10" t="n"/>
      <c r="H452" s="13">
        <f>IF(A452="","",E452*(1-Setup!$B$5)/(C452*12))</f>
        <v/>
      </c>
      <c r="I452" s="14">
        <f>IF(A452="","",MAX(0,MIN(12,DATEDIF(MAX(F452,Setup!$B$4),EDATE(Setup!$B$4,12),"m"))))</f>
        <v/>
      </c>
      <c r="J452" s="13">
        <f>IF(A452="","",H452*I452)</f>
        <v/>
      </c>
      <c r="K452" s="13">
        <f>IF(A452="","",E452*D452*IF(AND(F452&gt;=Setup!$B$4,EDATE(Setup!$B$4,12)-F452&lt;180),0.5,1))</f>
        <v/>
      </c>
      <c r="L452" s="13">
        <f>IF(A452="","",K452-J452)</f>
        <v/>
      </c>
      <c r="M452" s="8" t="n"/>
    </row>
    <row r="453">
      <c r="A453" s="10" t="n"/>
      <c r="B453" s="10" t="n"/>
      <c r="C453" s="11" t="n"/>
      <c r="D453" s="9" t="n"/>
      <c r="E453" s="12" t="n"/>
      <c r="F453" s="8" t="n"/>
      <c r="G453" s="10" t="n"/>
      <c r="H453" s="13">
        <f>IF(A453="","",E453*(1-Setup!$B$5)/(C453*12))</f>
        <v/>
      </c>
      <c r="I453" s="14">
        <f>IF(A453="","",MAX(0,MIN(12,DATEDIF(MAX(F453,Setup!$B$4),EDATE(Setup!$B$4,12),"m"))))</f>
        <v/>
      </c>
      <c r="J453" s="13">
        <f>IF(A453="","",H453*I453)</f>
        <v/>
      </c>
      <c r="K453" s="13">
        <f>IF(A453="","",E453*D453*IF(AND(F453&gt;=Setup!$B$4,EDATE(Setup!$B$4,12)-F453&lt;180),0.5,1))</f>
        <v/>
      </c>
      <c r="L453" s="13">
        <f>IF(A453="","",K453-J453)</f>
        <v/>
      </c>
      <c r="M453" s="8" t="n"/>
    </row>
    <row r="454">
      <c r="A454" s="10" t="n"/>
      <c r="B454" s="10" t="n"/>
      <c r="C454" s="11" t="n"/>
      <c r="D454" s="9" t="n"/>
      <c r="E454" s="12" t="n"/>
      <c r="F454" s="8" t="n"/>
      <c r="G454" s="10" t="n"/>
      <c r="H454" s="13">
        <f>IF(A454="","",E454*(1-Setup!$B$5)/(C454*12))</f>
        <v/>
      </c>
      <c r="I454" s="14">
        <f>IF(A454="","",MAX(0,MIN(12,DATEDIF(MAX(F454,Setup!$B$4),EDATE(Setup!$B$4,12),"m"))))</f>
        <v/>
      </c>
      <c r="J454" s="13">
        <f>IF(A454="","",H454*I454)</f>
        <v/>
      </c>
      <c r="K454" s="13">
        <f>IF(A454="","",E454*D454*IF(AND(F454&gt;=Setup!$B$4,EDATE(Setup!$B$4,12)-F454&lt;180),0.5,1))</f>
        <v/>
      </c>
      <c r="L454" s="13">
        <f>IF(A454="","",K454-J454)</f>
        <v/>
      </c>
      <c r="M454" s="8" t="n"/>
    </row>
    <row r="455">
      <c r="A455" s="10" t="n"/>
      <c r="B455" s="10" t="n"/>
      <c r="C455" s="11" t="n"/>
      <c r="D455" s="9" t="n"/>
      <c r="E455" s="12" t="n"/>
      <c r="F455" s="8" t="n"/>
      <c r="G455" s="10" t="n"/>
      <c r="H455" s="13">
        <f>IF(A455="","",E455*(1-Setup!$B$5)/(C455*12))</f>
        <v/>
      </c>
      <c r="I455" s="14">
        <f>IF(A455="","",MAX(0,MIN(12,DATEDIF(MAX(F455,Setup!$B$4),EDATE(Setup!$B$4,12),"m"))))</f>
        <v/>
      </c>
      <c r="J455" s="13">
        <f>IF(A455="","",H455*I455)</f>
        <v/>
      </c>
      <c r="K455" s="13">
        <f>IF(A455="","",E455*D455*IF(AND(F455&gt;=Setup!$B$4,EDATE(Setup!$B$4,12)-F455&lt;180),0.5,1))</f>
        <v/>
      </c>
      <c r="L455" s="13">
        <f>IF(A455="","",K455-J455)</f>
        <v/>
      </c>
      <c r="M455" s="8" t="n"/>
    </row>
    <row r="456">
      <c r="A456" s="10" t="n"/>
      <c r="B456" s="10" t="n"/>
      <c r="C456" s="11" t="n"/>
      <c r="D456" s="9" t="n"/>
      <c r="E456" s="12" t="n"/>
      <c r="F456" s="8" t="n"/>
      <c r="G456" s="10" t="n"/>
      <c r="H456" s="13">
        <f>IF(A456="","",E456*(1-Setup!$B$5)/(C456*12))</f>
        <v/>
      </c>
      <c r="I456" s="14">
        <f>IF(A456="","",MAX(0,MIN(12,DATEDIF(MAX(F456,Setup!$B$4),EDATE(Setup!$B$4,12),"m"))))</f>
        <v/>
      </c>
      <c r="J456" s="13">
        <f>IF(A456="","",H456*I456)</f>
        <v/>
      </c>
      <c r="K456" s="13">
        <f>IF(A456="","",E456*D456*IF(AND(F456&gt;=Setup!$B$4,EDATE(Setup!$B$4,12)-F456&lt;180),0.5,1))</f>
        <v/>
      </c>
      <c r="L456" s="13">
        <f>IF(A456="","",K456-J456)</f>
        <v/>
      </c>
      <c r="M456" s="8" t="n"/>
    </row>
    <row r="457">
      <c r="A457" s="10" t="n"/>
      <c r="B457" s="10" t="n"/>
      <c r="C457" s="11" t="n"/>
      <c r="D457" s="9" t="n"/>
      <c r="E457" s="12" t="n"/>
      <c r="F457" s="8" t="n"/>
      <c r="G457" s="10" t="n"/>
      <c r="H457" s="13">
        <f>IF(A457="","",E457*(1-Setup!$B$5)/(C457*12))</f>
        <v/>
      </c>
      <c r="I457" s="14">
        <f>IF(A457="","",MAX(0,MIN(12,DATEDIF(MAX(F457,Setup!$B$4),EDATE(Setup!$B$4,12),"m"))))</f>
        <v/>
      </c>
      <c r="J457" s="13">
        <f>IF(A457="","",H457*I457)</f>
        <v/>
      </c>
      <c r="K457" s="13">
        <f>IF(A457="","",E457*D457*IF(AND(F457&gt;=Setup!$B$4,EDATE(Setup!$B$4,12)-F457&lt;180),0.5,1))</f>
        <v/>
      </c>
      <c r="L457" s="13">
        <f>IF(A457="","",K457-J457)</f>
        <v/>
      </c>
      <c r="M457" s="8" t="n"/>
    </row>
    <row r="458">
      <c r="A458" s="10" t="n"/>
      <c r="B458" s="10" t="n"/>
      <c r="C458" s="11" t="n"/>
      <c r="D458" s="9" t="n"/>
      <c r="E458" s="12" t="n"/>
      <c r="F458" s="8" t="n"/>
      <c r="G458" s="10" t="n"/>
      <c r="H458" s="13">
        <f>IF(A458="","",E458*(1-Setup!$B$5)/(C458*12))</f>
        <v/>
      </c>
      <c r="I458" s="14">
        <f>IF(A458="","",MAX(0,MIN(12,DATEDIF(MAX(F458,Setup!$B$4),EDATE(Setup!$B$4,12),"m"))))</f>
        <v/>
      </c>
      <c r="J458" s="13">
        <f>IF(A458="","",H458*I458)</f>
        <v/>
      </c>
      <c r="K458" s="13">
        <f>IF(A458="","",E458*D458*IF(AND(F458&gt;=Setup!$B$4,EDATE(Setup!$B$4,12)-F458&lt;180),0.5,1))</f>
        <v/>
      </c>
      <c r="L458" s="13">
        <f>IF(A458="","",K458-J458)</f>
        <v/>
      </c>
      <c r="M458" s="8" t="n"/>
    </row>
    <row r="459">
      <c r="A459" s="10" t="n"/>
      <c r="B459" s="10" t="n"/>
      <c r="C459" s="11" t="n"/>
      <c r="D459" s="9" t="n"/>
      <c r="E459" s="12" t="n"/>
      <c r="F459" s="8" t="n"/>
      <c r="G459" s="10" t="n"/>
      <c r="H459" s="13">
        <f>IF(A459="","",E459*(1-Setup!$B$5)/(C459*12))</f>
        <v/>
      </c>
      <c r="I459" s="14">
        <f>IF(A459="","",MAX(0,MIN(12,DATEDIF(MAX(F459,Setup!$B$4),EDATE(Setup!$B$4,12),"m"))))</f>
        <v/>
      </c>
      <c r="J459" s="13">
        <f>IF(A459="","",H459*I459)</f>
        <v/>
      </c>
      <c r="K459" s="13">
        <f>IF(A459="","",E459*D459*IF(AND(F459&gt;=Setup!$B$4,EDATE(Setup!$B$4,12)-F459&lt;180),0.5,1))</f>
        <v/>
      </c>
      <c r="L459" s="13">
        <f>IF(A459="","",K459-J459)</f>
        <v/>
      </c>
      <c r="M459" s="8" t="n"/>
    </row>
    <row r="460">
      <c r="A460" s="10" t="n"/>
      <c r="B460" s="10" t="n"/>
      <c r="C460" s="11" t="n"/>
      <c r="D460" s="9" t="n"/>
      <c r="E460" s="12" t="n"/>
      <c r="F460" s="8" t="n"/>
      <c r="G460" s="10" t="n"/>
      <c r="H460" s="13">
        <f>IF(A460="","",E460*(1-Setup!$B$5)/(C460*12))</f>
        <v/>
      </c>
      <c r="I460" s="14">
        <f>IF(A460="","",MAX(0,MIN(12,DATEDIF(MAX(F460,Setup!$B$4),EDATE(Setup!$B$4,12),"m"))))</f>
        <v/>
      </c>
      <c r="J460" s="13">
        <f>IF(A460="","",H460*I460)</f>
        <v/>
      </c>
      <c r="K460" s="13">
        <f>IF(A460="","",E460*D460*IF(AND(F460&gt;=Setup!$B$4,EDATE(Setup!$B$4,12)-F460&lt;180),0.5,1))</f>
        <v/>
      </c>
      <c r="L460" s="13">
        <f>IF(A460="","",K460-J460)</f>
        <v/>
      </c>
      <c r="M460" s="8" t="n"/>
    </row>
    <row r="461">
      <c r="A461" s="10" t="n"/>
      <c r="B461" s="10" t="n"/>
      <c r="C461" s="11" t="n"/>
      <c r="D461" s="9" t="n"/>
      <c r="E461" s="12" t="n"/>
      <c r="F461" s="8" t="n"/>
      <c r="G461" s="10" t="n"/>
      <c r="H461" s="13">
        <f>IF(A461="","",E461*(1-Setup!$B$5)/(C461*12))</f>
        <v/>
      </c>
      <c r="I461" s="14">
        <f>IF(A461="","",MAX(0,MIN(12,DATEDIF(MAX(F461,Setup!$B$4),EDATE(Setup!$B$4,12),"m"))))</f>
        <v/>
      </c>
      <c r="J461" s="13">
        <f>IF(A461="","",H461*I461)</f>
        <v/>
      </c>
      <c r="K461" s="13">
        <f>IF(A461="","",E461*D461*IF(AND(F461&gt;=Setup!$B$4,EDATE(Setup!$B$4,12)-F461&lt;180),0.5,1))</f>
        <v/>
      </c>
      <c r="L461" s="13">
        <f>IF(A461="","",K461-J461)</f>
        <v/>
      </c>
      <c r="M461" s="8" t="n"/>
    </row>
    <row r="462">
      <c r="A462" s="10" t="n"/>
      <c r="B462" s="10" t="n"/>
      <c r="C462" s="11" t="n"/>
      <c r="D462" s="9" t="n"/>
      <c r="E462" s="12" t="n"/>
      <c r="F462" s="8" t="n"/>
      <c r="G462" s="10" t="n"/>
      <c r="H462" s="13">
        <f>IF(A462="","",E462*(1-Setup!$B$5)/(C462*12))</f>
        <v/>
      </c>
      <c r="I462" s="14">
        <f>IF(A462="","",MAX(0,MIN(12,DATEDIF(MAX(F462,Setup!$B$4),EDATE(Setup!$B$4,12),"m"))))</f>
        <v/>
      </c>
      <c r="J462" s="13">
        <f>IF(A462="","",H462*I462)</f>
        <v/>
      </c>
      <c r="K462" s="13">
        <f>IF(A462="","",E462*D462*IF(AND(F462&gt;=Setup!$B$4,EDATE(Setup!$B$4,12)-F462&lt;180),0.5,1))</f>
        <v/>
      </c>
      <c r="L462" s="13">
        <f>IF(A462="","",K462-J462)</f>
        <v/>
      </c>
      <c r="M462" s="8" t="n"/>
    </row>
    <row r="463">
      <c r="A463" s="10" t="n"/>
      <c r="B463" s="10" t="n"/>
      <c r="C463" s="11" t="n"/>
      <c r="D463" s="9" t="n"/>
      <c r="E463" s="12" t="n"/>
      <c r="F463" s="8" t="n"/>
      <c r="G463" s="10" t="n"/>
      <c r="H463" s="13">
        <f>IF(A463="","",E463*(1-Setup!$B$5)/(C463*12))</f>
        <v/>
      </c>
      <c r="I463" s="14">
        <f>IF(A463="","",MAX(0,MIN(12,DATEDIF(MAX(F463,Setup!$B$4),EDATE(Setup!$B$4,12),"m"))))</f>
        <v/>
      </c>
      <c r="J463" s="13">
        <f>IF(A463="","",H463*I463)</f>
        <v/>
      </c>
      <c r="K463" s="13">
        <f>IF(A463="","",E463*D463*IF(AND(F463&gt;=Setup!$B$4,EDATE(Setup!$B$4,12)-F463&lt;180),0.5,1))</f>
        <v/>
      </c>
      <c r="L463" s="13">
        <f>IF(A463="","",K463-J463)</f>
        <v/>
      </c>
      <c r="M463" s="8" t="n"/>
    </row>
    <row r="464">
      <c r="A464" s="10" t="n"/>
      <c r="B464" s="10" t="n"/>
      <c r="C464" s="11" t="n"/>
      <c r="D464" s="9" t="n"/>
      <c r="E464" s="12" t="n"/>
      <c r="F464" s="8" t="n"/>
      <c r="G464" s="10" t="n"/>
      <c r="H464" s="13">
        <f>IF(A464="","",E464*(1-Setup!$B$5)/(C464*12))</f>
        <v/>
      </c>
      <c r="I464" s="14">
        <f>IF(A464="","",MAX(0,MIN(12,DATEDIF(MAX(F464,Setup!$B$4),EDATE(Setup!$B$4,12),"m"))))</f>
        <v/>
      </c>
      <c r="J464" s="13">
        <f>IF(A464="","",H464*I464)</f>
        <v/>
      </c>
      <c r="K464" s="13">
        <f>IF(A464="","",E464*D464*IF(AND(F464&gt;=Setup!$B$4,EDATE(Setup!$B$4,12)-F464&lt;180),0.5,1))</f>
        <v/>
      </c>
      <c r="L464" s="13">
        <f>IF(A464="","",K464-J464)</f>
        <v/>
      </c>
      <c r="M464" s="8" t="n"/>
    </row>
    <row r="465">
      <c r="A465" s="10" t="n"/>
      <c r="B465" s="10" t="n"/>
      <c r="C465" s="11" t="n"/>
      <c r="D465" s="9" t="n"/>
      <c r="E465" s="12" t="n"/>
      <c r="F465" s="8" t="n"/>
      <c r="G465" s="10" t="n"/>
      <c r="H465" s="13">
        <f>IF(A465="","",E465*(1-Setup!$B$5)/(C465*12))</f>
        <v/>
      </c>
      <c r="I465" s="14">
        <f>IF(A465="","",MAX(0,MIN(12,DATEDIF(MAX(F465,Setup!$B$4),EDATE(Setup!$B$4,12),"m"))))</f>
        <v/>
      </c>
      <c r="J465" s="13">
        <f>IF(A465="","",H465*I465)</f>
        <v/>
      </c>
      <c r="K465" s="13">
        <f>IF(A465="","",E465*D465*IF(AND(F465&gt;=Setup!$B$4,EDATE(Setup!$B$4,12)-F465&lt;180),0.5,1))</f>
        <v/>
      </c>
      <c r="L465" s="13">
        <f>IF(A465="","",K465-J465)</f>
        <v/>
      </c>
      <c r="M465" s="8" t="n"/>
    </row>
    <row r="466">
      <c r="A466" s="10" t="n"/>
      <c r="B466" s="10" t="n"/>
      <c r="C466" s="11" t="n"/>
      <c r="D466" s="9" t="n"/>
      <c r="E466" s="12" t="n"/>
      <c r="F466" s="8" t="n"/>
      <c r="G466" s="10" t="n"/>
      <c r="H466" s="13">
        <f>IF(A466="","",E466*(1-Setup!$B$5)/(C466*12))</f>
        <v/>
      </c>
      <c r="I466" s="14">
        <f>IF(A466="","",MAX(0,MIN(12,DATEDIF(MAX(F466,Setup!$B$4),EDATE(Setup!$B$4,12),"m"))))</f>
        <v/>
      </c>
      <c r="J466" s="13">
        <f>IF(A466="","",H466*I466)</f>
        <v/>
      </c>
      <c r="K466" s="13">
        <f>IF(A466="","",E466*D466*IF(AND(F466&gt;=Setup!$B$4,EDATE(Setup!$B$4,12)-F466&lt;180),0.5,1))</f>
        <v/>
      </c>
      <c r="L466" s="13">
        <f>IF(A466="","",K466-J466)</f>
        <v/>
      </c>
      <c r="M466" s="8" t="n"/>
    </row>
    <row r="467">
      <c r="A467" s="10" t="n"/>
      <c r="B467" s="10" t="n"/>
      <c r="C467" s="11" t="n"/>
      <c r="D467" s="9" t="n"/>
      <c r="E467" s="12" t="n"/>
      <c r="F467" s="8" t="n"/>
      <c r="G467" s="10" t="n"/>
      <c r="H467" s="13">
        <f>IF(A467="","",E467*(1-Setup!$B$5)/(C467*12))</f>
        <v/>
      </c>
      <c r="I467" s="14">
        <f>IF(A467="","",MAX(0,MIN(12,DATEDIF(MAX(F467,Setup!$B$4),EDATE(Setup!$B$4,12),"m"))))</f>
        <v/>
      </c>
      <c r="J467" s="13">
        <f>IF(A467="","",H467*I467)</f>
        <v/>
      </c>
      <c r="K467" s="13">
        <f>IF(A467="","",E467*D467*IF(AND(F467&gt;=Setup!$B$4,EDATE(Setup!$B$4,12)-F467&lt;180),0.5,1))</f>
        <v/>
      </c>
      <c r="L467" s="13">
        <f>IF(A467="","",K467-J467)</f>
        <v/>
      </c>
      <c r="M467" s="8" t="n"/>
    </row>
    <row r="468">
      <c r="A468" s="10" t="n"/>
      <c r="B468" s="10" t="n"/>
      <c r="C468" s="11" t="n"/>
      <c r="D468" s="9" t="n"/>
      <c r="E468" s="12" t="n"/>
      <c r="F468" s="8" t="n"/>
      <c r="G468" s="10" t="n"/>
      <c r="H468" s="13">
        <f>IF(A468="","",E468*(1-Setup!$B$5)/(C468*12))</f>
        <v/>
      </c>
      <c r="I468" s="14">
        <f>IF(A468="","",MAX(0,MIN(12,DATEDIF(MAX(F468,Setup!$B$4),EDATE(Setup!$B$4,12),"m"))))</f>
        <v/>
      </c>
      <c r="J468" s="13">
        <f>IF(A468="","",H468*I468)</f>
        <v/>
      </c>
      <c r="K468" s="13">
        <f>IF(A468="","",E468*D468*IF(AND(F468&gt;=Setup!$B$4,EDATE(Setup!$B$4,12)-F468&lt;180),0.5,1))</f>
        <v/>
      </c>
      <c r="L468" s="13">
        <f>IF(A468="","",K468-J468)</f>
        <v/>
      </c>
      <c r="M468" s="8" t="n"/>
    </row>
    <row r="469">
      <c r="A469" s="10" t="n"/>
      <c r="B469" s="10" t="n"/>
      <c r="C469" s="11" t="n"/>
      <c r="D469" s="9" t="n"/>
      <c r="E469" s="12" t="n"/>
      <c r="F469" s="8" t="n"/>
      <c r="G469" s="10" t="n"/>
      <c r="H469" s="13">
        <f>IF(A469="","",E469*(1-Setup!$B$5)/(C469*12))</f>
        <v/>
      </c>
      <c r="I469" s="14">
        <f>IF(A469="","",MAX(0,MIN(12,DATEDIF(MAX(F469,Setup!$B$4),EDATE(Setup!$B$4,12),"m"))))</f>
        <v/>
      </c>
      <c r="J469" s="13">
        <f>IF(A469="","",H469*I469)</f>
        <v/>
      </c>
      <c r="K469" s="13">
        <f>IF(A469="","",E469*D469*IF(AND(F469&gt;=Setup!$B$4,EDATE(Setup!$B$4,12)-F469&lt;180),0.5,1))</f>
        <v/>
      </c>
      <c r="L469" s="13">
        <f>IF(A469="","",K469-J469)</f>
        <v/>
      </c>
      <c r="M469" s="8" t="n"/>
    </row>
    <row r="470">
      <c r="A470" s="10" t="n"/>
      <c r="B470" s="10" t="n"/>
      <c r="C470" s="11" t="n"/>
      <c r="D470" s="9" t="n"/>
      <c r="E470" s="12" t="n"/>
      <c r="F470" s="8" t="n"/>
      <c r="G470" s="10" t="n"/>
      <c r="H470" s="13">
        <f>IF(A470="","",E470*(1-Setup!$B$5)/(C470*12))</f>
        <v/>
      </c>
      <c r="I470" s="14">
        <f>IF(A470="","",MAX(0,MIN(12,DATEDIF(MAX(F470,Setup!$B$4),EDATE(Setup!$B$4,12),"m"))))</f>
        <v/>
      </c>
      <c r="J470" s="13">
        <f>IF(A470="","",H470*I470)</f>
        <v/>
      </c>
      <c r="K470" s="13">
        <f>IF(A470="","",E470*D470*IF(AND(F470&gt;=Setup!$B$4,EDATE(Setup!$B$4,12)-F470&lt;180),0.5,1))</f>
        <v/>
      </c>
      <c r="L470" s="13">
        <f>IF(A470="","",K470-J470)</f>
        <v/>
      </c>
      <c r="M470" s="8" t="n"/>
    </row>
    <row r="471">
      <c r="A471" s="10" t="n"/>
      <c r="B471" s="10" t="n"/>
      <c r="C471" s="11" t="n"/>
      <c r="D471" s="9" t="n"/>
      <c r="E471" s="12" t="n"/>
      <c r="F471" s="8" t="n"/>
      <c r="G471" s="10" t="n"/>
      <c r="H471" s="13">
        <f>IF(A471="","",E471*(1-Setup!$B$5)/(C471*12))</f>
        <v/>
      </c>
      <c r="I471" s="14">
        <f>IF(A471="","",MAX(0,MIN(12,DATEDIF(MAX(F471,Setup!$B$4),EDATE(Setup!$B$4,12),"m"))))</f>
        <v/>
      </c>
      <c r="J471" s="13">
        <f>IF(A471="","",H471*I471)</f>
        <v/>
      </c>
      <c r="K471" s="13">
        <f>IF(A471="","",E471*D471*IF(AND(F471&gt;=Setup!$B$4,EDATE(Setup!$B$4,12)-F471&lt;180),0.5,1))</f>
        <v/>
      </c>
      <c r="L471" s="13">
        <f>IF(A471="","",K471-J471)</f>
        <v/>
      </c>
      <c r="M471" s="8" t="n"/>
    </row>
    <row r="472">
      <c r="A472" s="10" t="n"/>
      <c r="B472" s="10" t="n"/>
      <c r="C472" s="11" t="n"/>
      <c r="D472" s="9" t="n"/>
      <c r="E472" s="12" t="n"/>
      <c r="F472" s="8" t="n"/>
      <c r="G472" s="10" t="n"/>
      <c r="H472" s="13">
        <f>IF(A472="","",E472*(1-Setup!$B$5)/(C472*12))</f>
        <v/>
      </c>
      <c r="I472" s="14">
        <f>IF(A472="","",MAX(0,MIN(12,DATEDIF(MAX(F472,Setup!$B$4),EDATE(Setup!$B$4,12),"m"))))</f>
        <v/>
      </c>
      <c r="J472" s="13">
        <f>IF(A472="","",H472*I472)</f>
        <v/>
      </c>
      <c r="K472" s="13">
        <f>IF(A472="","",E472*D472*IF(AND(F472&gt;=Setup!$B$4,EDATE(Setup!$B$4,12)-F472&lt;180),0.5,1))</f>
        <v/>
      </c>
      <c r="L472" s="13">
        <f>IF(A472="","",K472-J472)</f>
        <v/>
      </c>
      <c r="M472" s="8" t="n"/>
    </row>
    <row r="473">
      <c r="A473" s="10" t="n"/>
      <c r="B473" s="10" t="n"/>
      <c r="C473" s="11" t="n"/>
      <c r="D473" s="9" t="n"/>
      <c r="E473" s="12" t="n"/>
      <c r="F473" s="8" t="n"/>
      <c r="G473" s="10" t="n"/>
      <c r="H473" s="13">
        <f>IF(A473="","",E473*(1-Setup!$B$5)/(C473*12))</f>
        <v/>
      </c>
      <c r="I473" s="14">
        <f>IF(A473="","",MAX(0,MIN(12,DATEDIF(MAX(F473,Setup!$B$4),EDATE(Setup!$B$4,12),"m"))))</f>
        <v/>
      </c>
      <c r="J473" s="13">
        <f>IF(A473="","",H473*I473)</f>
        <v/>
      </c>
      <c r="K473" s="13">
        <f>IF(A473="","",E473*D473*IF(AND(F473&gt;=Setup!$B$4,EDATE(Setup!$B$4,12)-F473&lt;180),0.5,1))</f>
        <v/>
      </c>
      <c r="L473" s="13">
        <f>IF(A473="","",K473-J473)</f>
        <v/>
      </c>
      <c r="M473" s="8" t="n"/>
    </row>
    <row r="474">
      <c r="A474" s="10" t="n"/>
      <c r="B474" s="10" t="n"/>
      <c r="C474" s="11" t="n"/>
      <c r="D474" s="9" t="n"/>
      <c r="E474" s="12" t="n"/>
      <c r="F474" s="8" t="n"/>
      <c r="G474" s="10" t="n"/>
      <c r="H474" s="13">
        <f>IF(A474="","",E474*(1-Setup!$B$5)/(C474*12))</f>
        <v/>
      </c>
      <c r="I474" s="14">
        <f>IF(A474="","",MAX(0,MIN(12,DATEDIF(MAX(F474,Setup!$B$4),EDATE(Setup!$B$4,12),"m"))))</f>
        <v/>
      </c>
      <c r="J474" s="13">
        <f>IF(A474="","",H474*I474)</f>
        <v/>
      </c>
      <c r="K474" s="13">
        <f>IF(A474="","",E474*D474*IF(AND(F474&gt;=Setup!$B$4,EDATE(Setup!$B$4,12)-F474&lt;180),0.5,1))</f>
        <v/>
      </c>
      <c r="L474" s="13">
        <f>IF(A474="","",K474-J474)</f>
        <v/>
      </c>
      <c r="M474" s="8" t="n"/>
    </row>
    <row r="475">
      <c r="A475" s="10" t="n"/>
      <c r="B475" s="10" t="n"/>
      <c r="C475" s="11" t="n"/>
      <c r="D475" s="9" t="n"/>
      <c r="E475" s="12" t="n"/>
      <c r="F475" s="8" t="n"/>
      <c r="G475" s="10" t="n"/>
      <c r="H475" s="13">
        <f>IF(A475="","",E475*(1-Setup!$B$5)/(C475*12))</f>
        <v/>
      </c>
      <c r="I475" s="14">
        <f>IF(A475="","",MAX(0,MIN(12,DATEDIF(MAX(F475,Setup!$B$4),EDATE(Setup!$B$4,12),"m"))))</f>
        <v/>
      </c>
      <c r="J475" s="13">
        <f>IF(A475="","",H475*I475)</f>
        <v/>
      </c>
      <c r="K475" s="13">
        <f>IF(A475="","",E475*D475*IF(AND(F475&gt;=Setup!$B$4,EDATE(Setup!$B$4,12)-F475&lt;180),0.5,1))</f>
        <v/>
      </c>
      <c r="L475" s="13">
        <f>IF(A475="","",K475-J475)</f>
        <v/>
      </c>
      <c r="M475" s="8" t="n"/>
    </row>
    <row r="476">
      <c r="A476" s="10" t="n"/>
      <c r="B476" s="10" t="n"/>
      <c r="C476" s="11" t="n"/>
      <c r="D476" s="9" t="n"/>
      <c r="E476" s="12" t="n"/>
      <c r="F476" s="8" t="n"/>
      <c r="G476" s="10" t="n"/>
      <c r="H476" s="13">
        <f>IF(A476="","",E476*(1-Setup!$B$5)/(C476*12))</f>
        <v/>
      </c>
      <c r="I476" s="14">
        <f>IF(A476="","",MAX(0,MIN(12,DATEDIF(MAX(F476,Setup!$B$4),EDATE(Setup!$B$4,12),"m"))))</f>
        <v/>
      </c>
      <c r="J476" s="13">
        <f>IF(A476="","",H476*I476)</f>
        <v/>
      </c>
      <c r="K476" s="13">
        <f>IF(A476="","",E476*D476*IF(AND(F476&gt;=Setup!$B$4,EDATE(Setup!$B$4,12)-F476&lt;180),0.5,1))</f>
        <v/>
      </c>
      <c r="L476" s="13">
        <f>IF(A476="","",K476-J476)</f>
        <v/>
      </c>
      <c r="M476" s="8" t="n"/>
    </row>
    <row r="477">
      <c r="A477" s="10" t="n"/>
      <c r="B477" s="10" t="n"/>
      <c r="C477" s="11" t="n"/>
      <c r="D477" s="9" t="n"/>
      <c r="E477" s="12" t="n"/>
      <c r="F477" s="8" t="n"/>
      <c r="G477" s="10" t="n"/>
      <c r="H477" s="13">
        <f>IF(A477="","",E477*(1-Setup!$B$5)/(C477*12))</f>
        <v/>
      </c>
      <c r="I477" s="14">
        <f>IF(A477="","",MAX(0,MIN(12,DATEDIF(MAX(F477,Setup!$B$4),EDATE(Setup!$B$4,12),"m"))))</f>
        <v/>
      </c>
      <c r="J477" s="13">
        <f>IF(A477="","",H477*I477)</f>
        <v/>
      </c>
      <c r="K477" s="13">
        <f>IF(A477="","",E477*D477*IF(AND(F477&gt;=Setup!$B$4,EDATE(Setup!$B$4,12)-F477&lt;180),0.5,1))</f>
        <v/>
      </c>
      <c r="L477" s="13">
        <f>IF(A477="","",K477-J477)</f>
        <v/>
      </c>
      <c r="M477" s="8" t="n"/>
    </row>
    <row r="478">
      <c r="A478" s="10" t="n"/>
      <c r="B478" s="10" t="n"/>
      <c r="C478" s="11" t="n"/>
      <c r="D478" s="9" t="n"/>
      <c r="E478" s="12" t="n"/>
      <c r="F478" s="8" t="n"/>
      <c r="G478" s="10" t="n"/>
      <c r="H478" s="13">
        <f>IF(A478="","",E478*(1-Setup!$B$5)/(C478*12))</f>
        <v/>
      </c>
      <c r="I478" s="14">
        <f>IF(A478="","",MAX(0,MIN(12,DATEDIF(MAX(F478,Setup!$B$4),EDATE(Setup!$B$4,12),"m"))))</f>
        <v/>
      </c>
      <c r="J478" s="13">
        <f>IF(A478="","",H478*I478)</f>
        <v/>
      </c>
      <c r="K478" s="13">
        <f>IF(A478="","",E478*D478*IF(AND(F478&gt;=Setup!$B$4,EDATE(Setup!$B$4,12)-F478&lt;180),0.5,1))</f>
        <v/>
      </c>
      <c r="L478" s="13">
        <f>IF(A478="","",K478-J478)</f>
        <v/>
      </c>
      <c r="M478" s="8" t="n"/>
    </row>
    <row r="479">
      <c r="A479" s="10" t="n"/>
      <c r="B479" s="10" t="n"/>
      <c r="C479" s="11" t="n"/>
      <c r="D479" s="9" t="n"/>
      <c r="E479" s="12" t="n"/>
      <c r="F479" s="8" t="n"/>
      <c r="G479" s="10" t="n"/>
      <c r="H479" s="13">
        <f>IF(A479="","",E479*(1-Setup!$B$5)/(C479*12))</f>
        <v/>
      </c>
      <c r="I479" s="14">
        <f>IF(A479="","",MAX(0,MIN(12,DATEDIF(MAX(F479,Setup!$B$4),EDATE(Setup!$B$4,12),"m"))))</f>
        <v/>
      </c>
      <c r="J479" s="13">
        <f>IF(A479="","",H479*I479)</f>
        <v/>
      </c>
      <c r="K479" s="13">
        <f>IF(A479="","",E479*D479*IF(AND(F479&gt;=Setup!$B$4,EDATE(Setup!$B$4,12)-F479&lt;180),0.5,1))</f>
        <v/>
      </c>
      <c r="L479" s="13">
        <f>IF(A479="","",K479-J479)</f>
        <v/>
      </c>
      <c r="M479" s="8" t="n"/>
    </row>
    <row r="480">
      <c r="A480" s="10" t="n"/>
      <c r="B480" s="10" t="n"/>
      <c r="C480" s="11" t="n"/>
      <c r="D480" s="9" t="n"/>
      <c r="E480" s="12" t="n"/>
      <c r="F480" s="8" t="n"/>
      <c r="G480" s="10" t="n"/>
      <c r="H480" s="13">
        <f>IF(A480="","",E480*(1-Setup!$B$5)/(C480*12))</f>
        <v/>
      </c>
      <c r="I480" s="14">
        <f>IF(A480="","",MAX(0,MIN(12,DATEDIF(MAX(F480,Setup!$B$4),EDATE(Setup!$B$4,12),"m"))))</f>
        <v/>
      </c>
      <c r="J480" s="13">
        <f>IF(A480="","",H480*I480)</f>
        <v/>
      </c>
      <c r="K480" s="13">
        <f>IF(A480="","",E480*D480*IF(AND(F480&gt;=Setup!$B$4,EDATE(Setup!$B$4,12)-F480&lt;180),0.5,1))</f>
        <v/>
      </c>
      <c r="L480" s="13">
        <f>IF(A480="","",K480-J480)</f>
        <v/>
      </c>
      <c r="M480" s="8" t="n"/>
    </row>
    <row r="481">
      <c r="A481" s="10" t="n"/>
      <c r="B481" s="10" t="n"/>
      <c r="C481" s="11" t="n"/>
      <c r="D481" s="9" t="n"/>
      <c r="E481" s="12" t="n"/>
      <c r="F481" s="8" t="n"/>
      <c r="G481" s="10" t="n"/>
      <c r="H481" s="13">
        <f>IF(A481="","",E481*(1-Setup!$B$5)/(C481*12))</f>
        <v/>
      </c>
      <c r="I481" s="14">
        <f>IF(A481="","",MAX(0,MIN(12,DATEDIF(MAX(F481,Setup!$B$4),EDATE(Setup!$B$4,12),"m"))))</f>
        <v/>
      </c>
      <c r="J481" s="13">
        <f>IF(A481="","",H481*I481)</f>
        <v/>
      </c>
      <c r="K481" s="13">
        <f>IF(A481="","",E481*D481*IF(AND(F481&gt;=Setup!$B$4,EDATE(Setup!$B$4,12)-F481&lt;180),0.5,1))</f>
        <v/>
      </c>
      <c r="L481" s="13">
        <f>IF(A481="","",K481-J481)</f>
        <v/>
      </c>
      <c r="M481" s="8" t="n"/>
    </row>
    <row r="482">
      <c r="A482" s="10" t="n"/>
      <c r="B482" s="10" t="n"/>
      <c r="C482" s="11" t="n"/>
      <c r="D482" s="9" t="n"/>
      <c r="E482" s="12" t="n"/>
      <c r="F482" s="8" t="n"/>
      <c r="G482" s="10" t="n"/>
      <c r="H482" s="13">
        <f>IF(A482="","",E482*(1-Setup!$B$5)/(C482*12))</f>
        <v/>
      </c>
      <c r="I482" s="14">
        <f>IF(A482="","",MAX(0,MIN(12,DATEDIF(MAX(F482,Setup!$B$4),EDATE(Setup!$B$4,12),"m"))))</f>
        <v/>
      </c>
      <c r="J482" s="13">
        <f>IF(A482="","",H482*I482)</f>
        <v/>
      </c>
      <c r="K482" s="13">
        <f>IF(A482="","",E482*D482*IF(AND(F482&gt;=Setup!$B$4,EDATE(Setup!$B$4,12)-F482&lt;180),0.5,1))</f>
        <v/>
      </c>
      <c r="L482" s="13">
        <f>IF(A482="","",K482-J482)</f>
        <v/>
      </c>
      <c r="M482" s="8" t="n"/>
    </row>
    <row r="483">
      <c r="A483" s="10" t="n"/>
      <c r="B483" s="10" t="n"/>
      <c r="C483" s="11" t="n"/>
      <c r="D483" s="9" t="n"/>
      <c r="E483" s="12" t="n"/>
      <c r="F483" s="8" t="n"/>
      <c r="G483" s="10" t="n"/>
      <c r="H483" s="13">
        <f>IF(A483="","",E483*(1-Setup!$B$5)/(C483*12))</f>
        <v/>
      </c>
      <c r="I483" s="14">
        <f>IF(A483="","",MAX(0,MIN(12,DATEDIF(MAX(F483,Setup!$B$4),EDATE(Setup!$B$4,12),"m"))))</f>
        <v/>
      </c>
      <c r="J483" s="13">
        <f>IF(A483="","",H483*I483)</f>
        <v/>
      </c>
      <c r="K483" s="13">
        <f>IF(A483="","",E483*D483*IF(AND(F483&gt;=Setup!$B$4,EDATE(Setup!$B$4,12)-F483&lt;180),0.5,1))</f>
        <v/>
      </c>
      <c r="L483" s="13">
        <f>IF(A483="","",K483-J483)</f>
        <v/>
      </c>
      <c r="M483" s="8" t="n"/>
    </row>
    <row r="484">
      <c r="A484" s="10" t="n"/>
      <c r="B484" s="10" t="n"/>
      <c r="C484" s="11" t="n"/>
      <c r="D484" s="9" t="n"/>
      <c r="E484" s="12" t="n"/>
      <c r="F484" s="8" t="n"/>
      <c r="G484" s="10" t="n"/>
      <c r="H484" s="13">
        <f>IF(A484="","",E484*(1-Setup!$B$5)/(C484*12))</f>
        <v/>
      </c>
      <c r="I484" s="14">
        <f>IF(A484="","",MAX(0,MIN(12,DATEDIF(MAX(F484,Setup!$B$4),EDATE(Setup!$B$4,12),"m"))))</f>
        <v/>
      </c>
      <c r="J484" s="13">
        <f>IF(A484="","",H484*I484)</f>
        <v/>
      </c>
      <c r="K484" s="13">
        <f>IF(A484="","",E484*D484*IF(AND(F484&gt;=Setup!$B$4,EDATE(Setup!$B$4,12)-F484&lt;180),0.5,1))</f>
        <v/>
      </c>
      <c r="L484" s="13">
        <f>IF(A484="","",K484-J484)</f>
        <v/>
      </c>
      <c r="M484" s="8" t="n"/>
    </row>
    <row r="485">
      <c r="A485" s="10" t="n"/>
      <c r="B485" s="10" t="n"/>
      <c r="C485" s="11" t="n"/>
      <c r="D485" s="9" t="n"/>
      <c r="E485" s="12" t="n"/>
      <c r="F485" s="8" t="n"/>
      <c r="G485" s="10" t="n"/>
      <c r="H485" s="13">
        <f>IF(A485="","",E485*(1-Setup!$B$5)/(C485*12))</f>
        <v/>
      </c>
      <c r="I485" s="14">
        <f>IF(A485="","",MAX(0,MIN(12,DATEDIF(MAX(F485,Setup!$B$4),EDATE(Setup!$B$4,12),"m"))))</f>
        <v/>
      </c>
      <c r="J485" s="13">
        <f>IF(A485="","",H485*I485)</f>
        <v/>
      </c>
      <c r="K485" s="13">
        <f>IF(A485="","",E485*D485*IF(AND(F485&gt;=Setup!$B$4,EDATE(Setup!$B$4,12)-F485&lt;180),0.5,1))</f>
        <v/>
      </c>
      <c r="L485" s="13">
        <f>IF(A485="","",K485-J485)</f>
        <v/>
      </c>
      <c r="M485" s="8" t="n"/>
    </row>
    <row r="486">
      <c r="A486" s="10" t="n"/>
      <c r="B486" s="10" t="n"/>
      <c r="C486" s="11" t="n"/>
      <c r="D486" s="9" t="n"/>
      <c r="E486" s="12" t="n"/>
      <c r="F486" s="8" t="n"/>
      <c r="G486" s="10" t="n"/>
      <c r="H486" s="13">
        <f>IF(A486="","",E486*(1-Setup!$B$5)/(C486*12))</f>
        <v/>
      </c>
      <c r="I486" s="14">
        <f>IF(A486="","",MAX(0,MIN(12,DATEDIF(MAX(F486,Setup!$B$4),EDATE(Setup!$B$4,12),"m"))))</f>
        <v/>
      </c>
      <c r="J486" s="13">
        <f>IF(A486="","",H486*I486)</f>
        <v/>
      </c>
      <c r="K486" s="13">
        <f>IF(A486="","",E486*D486*IF(AND(F486&gt;=Setup!$B$4,EDATE(Setup!$B$4,12)-F486&lt;180),0.5,1))</f>
        <v/>
      </c>
      <c r="L486" s="13">
        <f>IF(A486="","",K486-J486)</f>
        <v/>
      </c>
      <c r="M486" s="8" t="n"/>
    </row>
    <row r="487">
      <c r="A487" s="10" t="n"/>
      <c r="B487" s="10" t="n"/>
      <c r="C487" s="11" t="n"/>
      <c r="D487" s="9" t="n"/>
      <c r="E487" s="12" t="n"/>
      <c r="F487" s="8" t="n"/>
      <c r="G487" s="10" t="n"/>
      <c r="H487" s="13">
        <f>IF(A487="","",E487*(1-Setup!$B$5)/(C487*12))</f>
        <v/>
      </c>
      <c r="I487" s="14">
        <f>IF(A487="","",MAX(0,MIN(12,DATEDIF(MAX(F487,Setup!$B$4),EDATE(Setup!$B$4,12),"m"))))</f>
        <v/>
      </c>
      <c r="J487" s="13">
        <f>IF(A487="","",H487*I487)</f>
        <v/>
      </c>
      <c r="K487" s="13">
        <f>IF(A487="","",E487*D487*IF(AND(F487&gt;=Setup!$B$4,EDATE(Setup!$B$4,12)-F487&lt;180),0.5,1))</f>
        <v/>
      </c>
      <c r="L487" s="13">
        <f>IF(A487="","",K487-J487)</f>
        <v/>
      </c>
      <c r="M487" s="8" t="n"/>
    </row>
    <row r="488">
      <c r="A488" s="10" t="n"/>
      <c r="B488" s="10" t="n"/>
      <c r="C488" s="11" t="n"/>
      <c r="D488" s="9" t="n"/>
      <c r="E488" s="12" t="n"/>
      <c r="F488" s="8" t="n"/>
      <c r="G488" s="10" t="n"/>
      <c r="H488" s="13">
        <f>IF(A488="","",E488*(1-Setup!$B$5)/(C488*12))</f>
        <v/>
      </c>
      <c r="I488" s="14">
        <f>IF(A488="","",MAX(0,MIN(12,DATEDIF(MAX(F488,Setup!$B$4),EDATE(Setup!$B$4,12),"m"))))</f>
        <v/>
      </c>
      <c r="J488" s="13">
        <f>IF(A488="","",H488*I488)</f>
        <v/>
      </c>
      <c r="K488" s="13">
        <f>IF(A488="","",E488*D488*IF(AND(F488&gt;=Setup!$B$4,EDATE(Setup!$B$4,12)-F488&lt;180),0.5,1))</f>
        <v/>
      </c>
      <c r="L488" s="13">
        <f>IF(A488="","",K488-J488)</f>
        <v/>
      </c>
      <c r="M488" s="8" t="n"/>
    </row>
    <row r="489">
      <c r="A489" s="10" t="n"/>
      <c r="B489" s="10" t="n"/>
      <c r="C489" s="11" t="n"/>
      <c r="D489" s="9" t="n"/>
      <c r="E489" s="12" t="n"/>
      <c r="F489" s="8" t="n"/>
      <c r="G489" s="10" t="n"/>
      <c r="H489" s="13">
        <f>IF(A489="","",E489*(1-Setup!$B$5)/(C489*12))</f>
        <v/>
      </c>
      <c r="I489" s="14">
        <f>IF(A489="","",MAX(0,MIN(12,DATEDIF(MAX(F489,Setup!$B$4),EDATE(Setup!$B$4,12),"m"))))</f>
        <v/>
      </c>
      <c r="J489" s="13">
        <f>IF(A489="","",H489*I489)</f>
        <v/>
      </c>
      <c r="K489" s="13">
        <f>IF(A489="","",E489*D489*IF(AND(F489&gt;=Setup!$B$4,EDATE(Setup!$B$4,12)-F489&lt;180),0.5,1))</f>
        <v/>
      </c>
      <c r="L489" s="13">
        <f>IF(A489="","",K489-J489)</f>
        <v/>
      </c>
      <c r="M489" s="8" t="n"/>
    </row>
    <row r="490">
      <c r="A490" s="10" t="n"/>
      <c r="B490" s="10" t="n"/>
      <c r="C490" s="11" t="n"/>
      <c r="D490" s="9" t="n"/>
      <c r="E490" s="12" t="n"/>
      <c r="F490" s="8" t="n"/>
      <c r="G490" s="10" t="n"/>
      <c r="H490" s="13">
        <f>IF(A490="","",E490*(1-Setup!$B$5)/(C490*12))</f>
        <v/>
      </c>
      <c r="I490" s="14">
        <f>IF(A490="","",MAX(0,MIN(12,DATEDIF(MAX(F490,Setup!$B$4),EDATE(Setup!$B$4,12),"m"))))</f>
        <v/>
      </c>
      <c r="J490" s="13">
        <f>IF(A490="","",H490*I490)</f>
        <v/>
      </c>
      <c r="K490" s="13">
        <f>IF(A490="","",E490*D490*IF(AND(F490&gt;=Setup!$B$4,EDATE(Setup!$B$4,12)-F490&lt;180),0.5,1))</f>
        <v/>
      </c>
      <c r="L490" s="13">
        <f>IF(A490="","",K490-J490)</f>
        <v/>
      </c>
      <c r="M490" s="8" t="n"/>
    </row>
    <row r="491">
      <c r="A491" s="10" t="n"/>
      <c r="B491" s="10" t="n"/>
      <c r="C491" s="11" t="n"/>
      <c r="D491" s="9" t="n"/>
      <c r="E491" s="12" t="n"/>
      <c r="F491" s="8" t="n"/>
      <c r="G491" s="10" t="n"/>
      <c r="H491" s="13">
        <f>IF(A491="","",E491*(1-Setup!$B$5)/(C491*12))</f>
        <v/>
      </c>
      <c r="I491" s="14">
        <f>IF(A491="","",MAX(0,MIN(12,DATEDIF(MAX(F491,Setup!$B$4),EDATE(Setup!$B$4,12),"m"))))</f>
        <v/>
      </c>
      <c r="J491" s="13">
        <f>IF(A491="","",H491*I491)</f>
        <v/>
      </c>
      <c r="K491" s="13">
        <f>IF(A491="","",E491*D491*IF(AND(F491&gt;=Setup!$B$4,EDATE(Setup!$B$4,12)-F491&lt;180),0.5,1))</f>
        <v/>
      </c>
      <c r="L491" s="13">
        <f>IF(A491="","",K491-J491)</f>
        <v/>
      </c>
      <c r="M491" s="8" t="n"/>
    </row>
    <row r="492">
      <c r="A492" s="10" t="n"/>
      <c r="B492" s="10" t="n"/>
      <c r="C492" s="11" t="n"/>
      <c r="D492" s="9" t="n"/>
      <c r="E492" s="12" t="n"/>
      <c r="F492" s="8" t="n"/>
      <c r="G492" s="10" t="n"/>
      <c r="H492" s="13">
        <f>IF(A492="","",E492*(1-Setup!$B$5)/(C492*12))</f>
        <v/>
      </c>
      <c r="I492" s="14">
        <f>IF(A492="","",MAX(0,MIN(12,DATEDIF(MAX(F492,Setup!$B$4),EDATE(Setup!$B$4,12),"m"))))</f>
        <v/>
      </c>
      <c r="J492" s="13">
        <f>IF(A492="","",H492*I492)</f>
        <v/>
      </c>
      <c r="K492" s="13">
        <f>IF(A492="","",E492*D492*IF(AND(F492&gt;=Setup!$B$4,EDATE(Setup!$B$4,12)-F492&lt;180),0.5,1))</f>
        <v/>
      </c>
      <c r="L492" s="13">
        <f>IF(A492="","",K492-J492)</f>
        <v/>
      </c>
      <c r="M492" s="8" t="n"/>
    </row>
    <row r="493">
      <c r="A493" s="10" t="n"/>
      <c r="B493" s="10" t="n"/>
      <c r="C493" s="11" t="n"/>
      <c r="D493" s="9" t="n"/>
      <c r="E493" s="12" t="n"/>
      <c r="F493" s="8" t="n"/>
      <c r="G493" s="10" t="n"/>
      <c r="H493" s="13">
        <f>IF(A493="","",E493*(1-Setup!$B$5)/(C493*12))</f>
        <v/>
      </c>
      <c r="I493" s="14">
        <f>IF(A493="","",MAX(0,MIN(12,DATEDIF(MAX(F493,Setup!$B$4),EDATE(Setup!$B$4,12),"m"))))</f>
        <v/>
      </c>
      <c r="J493" s="13">
        <f>IF(A493="","",H493*I493)</f>
        <v/>
      </c>
      <c r="K493" s="13">
        <f>IF(A493="","",E493*D493*IF(AND(F493&gt;=Setup!$B$4,EDATE(Setup!$B$4,12)-F493&lt;180),0.5,1))</f>
        <v/>
      </c>
      <c r="L493" s="13">
        <f>IF(A493="","",K493-J493)</f>
        <v/>
      </c>
      <c r="M493" s="8" t="n"/>
    </row>
    <row r="494">
      <c r="A494" s="10" t="n"/>
      <c r="B494" s="10" t="n"/>
      <c r="C494" s="11" t="n"/>
      <c r="D494" s="9" t="n"/>
      <c r="E494" s="12" t="n"/>
      <c r="F494" s="8" t="n"/>
      <c r="G494" s="10" t="n"/>
      <c r="H494" s="13">
        <f>IF(A494="","",E494*(1-Setup!$B$5)/(C494*12))</f>
        <v/>
      </c>
      <c r="I494" s="14">
        <f>IF(A494="","",MAX(0,MIN(12,DATEDIF(MAX(F494,Setup!$B$4),EDATE(Setup!$B$4,12),"m"))))</f>
        <v/>
      </c>
      <c r="J494" s="13">
        <f>IF(A494="","",H494*I494)</f>
        <v/>
      </c>
      <c r="K494" s="13">
        <f>IF(A494="","",E494*D494*IF(AND(F494&gt;=Setup!$B$4,EDATE(Setup!$B$4,12)-F494&lt;180),0.5,1))</f>
        <v/>
      </c>
      <c r="L494" s="13">
        <f>IF(A494="","",K494-J494)</f>
        <v/>
      </c>
      <c r="M494" s="8" t="n"/>
    </row>
    <row r="495">
      <c r="A495" s="10" t="n"/>
      <c r="B495" s="10" t="n"/>
      <c r="C495" s="11" t="n"/>
      <c r="D495" s="9" t="n"/>
      <c r="E495" s="12" t="n"/>
      <c r="F495" s="8" t="n"/>
      <c r="G495" s="10" t="n"/>
      <c r="H495" s="13">
        <f>IF(A495="","",E495*(1-Setup!$B$5)/(C495*12))</f>
        <v/>
      </c>
      <c r="I495" s="14">
        <f>IF(A495="","",MAX(0,MIN(12,DATEDIF(MAX(F495,Setup!$B$4),EDATE(Setup!$B$4,12),"m"))))</f>
        <v/>
      </c>
      <c r="J495" s="13">
        <f>IF(A495="","",H495*I495)</f>
        <v/>
      </c>
      <c r="K495" s="13">
        <f>IF(A495="","",E495*D495*IF(AND(F495&gt;=Setup!$B$4,EDATE(Setup!$B$4,12)-F495&lt;180),0.5,1))</f>
        <v/>
      </c>
      <c r="L495" s="13">
        <f>IF(A495="","",K495-J495)</f>
        <v/>
      </c>
      <c r="M495" s="8" t="n"/>
    </row>
    <row r="496">
      <c r="A496" s="10" t="n"/>
      <c r="B496" s="10" t="n"/>
      <c r="C496" s="11" t="n"/>
      <c r="D496" s="9" t="n"/>
      <c r="E496" s="12" t="n"/>
      <c r="F496" s="8" t="n"/>
      <c r="G496" s="10" t="n"/>
      <c r="H496" s="13">
        <f>IF(A496="","",E496*(1-Setup!$B$5)/(C496*12))</f>
        <v/>
      </c>
      <c r="I496" s="14">
        <f>IF(A496="","",MAX(0,MIN(12,DATEDIF(MAX(F496,Setup!$B$4),EDATE(Setup!$B$4,12),"m"))))</f>
        <v/>
      </c>
      <c r="J496" s="13">
        <f>IF(A496="","",H496*I496)</f>
        <v/>
      </c>
      <c r="K496" s="13">
        <f>IF(A496="","",E496*D496*IF(AND(F496&gt;=Setup!$B$4,EDATE(Setup!$B$4,12)-F496&lt;180),0.5,1))</f>
        <v/>
      </c>
      <c r="L496" s="13">
        <f>IF(A496="","",K496-J496)</f>
        <v/>
      </c>
      <c r="M496" s="8" t="n"/>
    </row>
    <row r="497">
      <c r="A497" s="10" t="n"/>
      <c r="B497" s="10" t="n"/>
      <c r="C497" s="11" t="n"/>
      <c r="D497" s="9" t="n"/>
      <c r="E497" s="12" t="n"/>
      <c r="F497" s="8" t="n"/>
      <c r="G497" s="10" t="n"/>
      <c r="H497" s="13">
        <f>IF(A497="","",E497*(1-Setup!$B$5)/(C497*12))</f>
        <v/>
      </c>
      <c r="I497" s="14">
        <f>IF(A497="","",MAX(0,MIN(12,DATEDIF(MAX(F497,Setup!$B$4),EDATE(Setup!$B$4,12),"m"))))</f>
        <v/>
      </c>
      <c r="J497" s="13">
        <f>IF(A497="","",H497*I497)</f>
        <v/>
      </c>
      <c r="K497" s="13">
        <f>IF(A497="","",E497*D497*IF(AND(F497&gt;=Setup!$B$4,EDATE(Setup!$B$4,12)-F497&lt;180),0.5,1))</f>
        <v/>
      </c>
      <c r="L497" s="13">
        <f>IF(A497="","",K497-J497)</f>
        <v/>
      </c>
      <c r="M497" s="8" t="n"/>
    </row>
    <row r="498">
      <c r="A498" s="10" t="n"/>
      <c r="B498" s="10" t="n"/>
      <c r="C498" s="11" t="n"/>
      <c r="D498" s="9" t="n"/>
      <c r="E498" s="12" t="n"/>
      <c r="F498" s="8" t="n"/>
      <c r="G498" s="10" t="n"/>
      <c r="H498" s="13">
        <f>IF(A498="","",E498*(1-Setup!$B$5)/(C498*12))</f>
        <v/>
      </c>
      <c r="I498" s="14">
        <f>IF(A498="","",MAX(0,MIN(12,DATEDIF(MAX(F498,Setup!$B$4),EDATE(Setup!$B$4,12),"m"))))</f>
        <v/>
      </c>
      <c r="J498" s="13">
        <f>IF(A498="","",H498*I498)</f>
        <v/>
      </c>
      <c r="K498" s="13">
        <f>IF(A498="","",E498*D498*IF(AND(F498&gt;=Setup!$B$4,EDATE(Setup!$B$4,12)-F498&lt;180),0.5,1))</f>
        <v/>
      </c>
      <c r="L498" s="13">
        <f>IF(A498="","",K498-J498)</f>
        <v/>
      </c>
      <c r="M498" s="8" t="n"/>
    </row>
    <row r="499">
      <c r="A499" s="10" t="n"/>
      <c r="B499" s="10" t="n"/>
      <c r="C499" s="11" t="n"/>
      <c r="D499" s="9" t="n"/>
      <c r="E499" s="12" t="n"/>
      <c r="F499" s="8" t="n"/>
      <c r="G499" s="10" t="n"/>
      <c r="H499" s="13">
        <f>IF(A499="","",E499*(1-Setup!$B$5)/(C499*12))</f>
        <v/>
      </c>
      <c r="I499" s="14">
        <f>IF(A499="","",MAX(0,MIN(12,DATEDIF(MAX(F499,Setup!$B$4),EDATE(Setup!$B$4,12),"m"))))</f>
        <v/>
      </c>
      <c r="J499" s="13">
        <f>IF(A499="","",H499*I499)</f>
        <v/>
      </c>
      <c r="K499" s="13">
        <f>IF(A499="","",E499*D499*IF(AND(F499&gt;=Setup!$B$4,EDATE(Setup!$B$4,12)-F499&lt;180),0.5,1))</f>
        <v/>
      </c>
      <c r="L499" s="13">
        <f>IF(A499="","",K499-J499)</f>
        <v/>
      </c>
      <c r="M499" s="8" t="n"/>
    </row>
    <row r="500">
      <c r="A500" s="10" t="n"/>
      <c r="B500" s="10" t="n"/>
      <c r="C500" s="11" t="n"/>
      <c r="D500" s="9" t="n"/>
      <c r="E500" s="12" t="n"/>
      <c r="F500" s="8" t="n"/>
      <c r="G500" s="10" t="n"/>
      <c r="H500" s="13">
        <f>IF(A500="","",E500*(1-Setup!$B$5)/(C500*12))</f>
        <v/>
      </c>
      <c r="I500" s="14">
        <f>IF(A500="","",MAX(0,MIN(12,DATEDIF(MAX(F500,Setup!$B$4),EDATE(Setup!$B$4,12),"m"))))</f>
        <v/>
      </c>
      <c r="J500" s="13">
        <f>IF(A500="","",H500*I500)</f>
        <v/>
      </c>
      <c r="K500" s="13">
        <f>IF(A500="","",E500*D500*IF(AND(F500&gt;=Setup!$B$4,EDATE(Setup!$B$4,12)-F500&lt;180),0.5,1))</f>
        <v/>
      </c>
      <c r="L500" s="13">
        <f>IF(A500="","",K500-J500)</f>
        <v/>
      </c>
      <c r="M500" s="8" t="n"/>
    </row>
    <row r="501">
      <c r="A501" s="10" t="n"/>
      <c r="B501" s="10" t="n"/>
      <c r="C501" s="11" t="n"/>
      <c r="D501" s="9" t="n"/>
      <c r="E501" s="12" t="n"/>
      <c r="F501" s="8" t="n"/>
      <c r="G501" s="10" t="n"/>
      <c r="H501" s="13">
        <f>IF(A501="","",E501*(1-Setup!$B$5)/(C501*12))</f>
        <v/>
      </c>
      <c r="I501" s="14">
        <f>IF(A501="","",MAX(0,MIN(12,DATEDIF(MAX(F501,Setup!$B$4),EDATE(Setup!$B$4,12),"m"))))</f>
        <v/>
      </c>
      <c r="J501" s="13">
        <f>IF(A501="","",H501*I501)</f>
        <v/>
      </c>
      <c r="K501" s="13">
        <f>IF(A501="","",E501*D501*IF(AND(F501&gt;=Setup!$B$4,EDATE(Setup!$B$4,12)-F501&lt;180),0.5,1))</f>
        <v/>
      </c>
      <c r="L501" s="13">
        <f>IF(A501="","",K501-J501)</f>
        <v/>
      </c>
      <c r="M501" s="8" t="n"/>
    </row>
    <row r="502">
      <c r="A502" s="10" t="n"/>
      <c r="B502" s="10" t="n"/>
      <c r="C502" s="11" t="n"/>
      <c r="D502" s="9" t="n"/>
      <c r="E502" s="12" t="n"/>
      <c r="F502" s="8" t="n"/>
      <c r="G502" s="10" t="n"/>
      <c r="H502" s="13">
        <f>IF(A502="","",E502*(1-Setup!$B$5)/(C502*12))</f>
        <v/>
      </c>
      <c r="I502" s="14">
        <f>IF(A502="","",MAX(0,MIN(12,DATEDIF(MAX(F502,Setup!$B$4),EDATE(Setup!$B$4,12),"m"))))</f>
        <v/>
      </c>
      <c r="J502" s="13">
        <f>IF(A502="","",H502*I502)</f>
        <v/>
      </c>
      <c r="K502" s="13">
        <f>IF(A502="","",E502*D502*IF(AND(F502&gt;=Setup!$B$4,EDATE(Setup!$B$4,12)-F502&lt;180),0.5,1))</f>
        <v/>
      </c>
      <c r="L502" s="13">
        <f>IF(A502="","",K502-J502)</f>
        <v/>
      </c>
      <c r="M502" s="8" t="n"/>
    </row>
    <row r="503">
      <c r="A503" s="10" t="n"/>
      <c r="B503" s="10" t="n"/>
      <c r="C503" s="11" t="n"/>
      <c r="D503" s="9" t="n"/>
      <c r="E503" s="12" t="n"/>
      <c r="F503" s="8" t="n"/>
      <c r="G503" s="10" t="n"/>
      <c r="H503" s="13">
        <f>IF(A503="","",E503*(1-Setup!$B$5)/(C503*12))</f>
        <v/>
      </c>
      <c r="I503" s="14">
        <f>IF(A503="","",MAX(0,MIN(12,DATEDIF(MAX(F503,Setup!$B$4),EDATE(Setup!$B$4,12),"m"))))</f>
        <v/>
      </c>
      <c r="J503" s="13">
        <f>IF(A503="","",H503*I503)</f>
        <v/>
      </c>
      <c r="K503" s="13">
        <f>IF(A503="","",E503*D503*IF(AND(F503&gt;=Setup!$B$4,EDATE(Setup!$B$4,12)-F503&lt;180),0.5,1))</f>
        <v/>
      </c>
      <c r="L503" s="13">
        <f>IF(A503="","",K503-J503)</f>
        <v/>
      </c>
      <c r="M503" s="8" t="n"/>
    </row>
    <row r="504">
      <c r="A504" s="10" t="n"/>
      <c r="B504" s="10" t="n"/>
      <c r="C504" s="11" t="n"/>
      <c r="D504" s="9" t="n"/>
      <c r="E504" s="12" t="n"/>
      <c r="F504" s="8" t="n"/>
      <c r="G504" s="10" t="n"/>
      <c r="H504" s="13">
        <f>IF(A504="","",E504*(1-Setup!$B$5)/(C504*12))</f>
        <v/>
      </c>
      <c r="I504" s="14">
        <f>IF(A504="","",MAX(0,MIN(12,DATEDIF(MAX(F504,Setup!$B$4),EDATE(Setup!$B$4,12),"m"))))</f>
        <v/>
      </c>
      <c r="J504" s="13">
        <f>IF(A504="","",H504*I504)</f>
        <v/>
      </c>
      <c r="K504" s="13">
        <f>IF(A504="","",E504*D504*IF(AND(F504&gt;=Setup!$B$4,EDATE(Setup!$B$4,12)-F504&lt;180),0.5,1))</f>
        <v/>
      </c>
      <c r="L504" s="13">
        <f>IF(A504="","",K504-J504)</f>
        <v/>
      </c>
      <c r="M504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37" customWidth="1" min="3" max="3"/>
  </cols>
  <sheetData>
    <row r="1">
      <c r="A1" s="1" t="inlineStr">
        <is>
          <t>Capex plan by K01 month (feeds capex_monthly = average, da_monthly = average)</t>
        </is>
      </c>
    </row>
    <row r="2"/>
    <row r="3"/>
    <row r="4">
      <c r="A4" s="6" t="inlineStr">
        <is>
          <t>month no.</t>
        </is>
      </c>
      <c r="B4" s="6" t="inlineStr">
        <is>
          <t>capex</t>
        </is>
      </c>
      <c r="C4" s="6" t="inlineStr">
        <is>
          <t>new D&amp;A per month from this capex</t>
        </is>
      </c>
    </row>
    <row r="5">
      <c r="A5" s="11" t="n">
        <v>1</v>
      </c>
      <c r="B5" s="12" t="n">
        <v>2500000</v>
      </c>
      <c r="C5" s="12" t="n">
        <v>14000</v>
      </c>
    </row>
    <row r="6">
      <c r="A6" s="11" t="n">
        <v>4</v>
      </c>
      <c r="B6" s="12" t="n">
        <v>8000000</v>
      </c>
      <c r="C6" s="12" t="n">
        <v>45000</v>
      </c>
    </row>
    <row r="7">
      <c r="A7" s="11" t="n"/>
      <c r="B7" s="12" t="n"/>
      <c r="C7" s="12" t="n"/>
    </row>
    <row r="8">
      <c r="A8" s="11" t="n"/>
      <c r="B8" s="12" t="n"/>
      <c r="C8" s="12" t="n"/>
    </row>
    <row r="9">
      <c r="A9" s="11" t="n"/>
      <c r="B9" s="12" t="n"/>
      <c r="C9" s="12" t="n"/>
    </row>
    <row r="10">
      <c r="A10" s="11" t="n"/>
      <c r="B10" s="12" t="n"/>
      <c r="C10" s="12" t="n"/>
    </row>
    <row r="11">
      <c r="A11" s="11" t="n"/>
      <c r="B11" s="12" t="n"/>
      <c r="C11" s="12" t="n"/>
    </row>
    <row r="12">
      <c r="A12" s="11" t="n"/>
      <c r="B12" s="12" t="n"/>
      <c r="C12" s="12" t="n"/>
    </row>
    <row r="13">
      <c r="A13" s="11" t="n"/>
      <c r="B13" s="12" t="n"/>
      <c r="C13" s="12" t="n"/>
    </row>
    <row r="14">
      <c r="A14" s="11" t="n"/>
      <c r="B14" s="12" t="n"/>
      <c r="C14" s="12" t="n"/>
    </row>
    <row r="15">
      <c r="A15" s="11" t="n"/>
      <c r="B15" s="12" t="n"/>
      <c r="C15" s="12" t="n"/>
    </row>
    <row r="16">
      <c r="A16" s="11" t="n"/>
      <c r="B16" s="12" t="n"/>
      <c r="C16" s="12" t="n"/>
    </row>
    <row r="17">
      <c r="A17" s="11" t="n"/>
      <c r="B17" s="12" t="n"/>
      <c r="C17" s="12" t="n"/>
    </row>
    <row r="18">
      <c r="A18" s="11" t="n"/>
      <c r="B18" s="12" t="n"/>
      <c r="C18" s="12" t="n"/>
    </row>
    <row r="19">
      <c r="A19" s="11" t="n"/>
      <c r="B19" s="12" t="n"/>
      <c r="C19" s="12" t="n"/>
    </row>
    <row r="20">
      <c r="A20" s="11" t="n"/>
      <c r="B20" s="12" t="n"/>
      <c r="C20" s="12" t="n"/>
    </row>
    <row r="21">
      <c r="A21" s="11" t="n"/>
      <c r="B21" s="12" t="n"/>
      <c r="C21" s="12" t="n"/>
    </row>
    <row r="22">
      <c r="A22" s="11" t="n"/>
      <c r="B22" s="12" t="n"/>
      <c r="C22" s="12" t="n"/>
    </row>
    <row r="23">
      <c r="A23" s="11" t="n"/>
      <c r="B23" s="12" t="n"/>
      <c r="C23" s="12" t="n"/>
    </row>
    <row r="24">
      <c r="A24" s="11" t="n"/>
      <c r="B24" s="12" t="n"/>
      <c r="C24" s="12" t="n"/>
    </row>
    <row r="25">
      <c r="A25" s="11" t="n"/>
      <c r="B25" s="12" t="n"/>
      <c r="C25" s="12" t="n"/>
    </row>
    <row r="26">
      <c r="A26" s="11" t="n"/>
      <c r="B26" s="12" t="n"/>
      <c r="C26" s="12" t="n"/>
    </row>
    <row r="27">
      <c r="A27" s="11" t="n"/>
      <c r="B27" s="12" t="n"/>
      <c r="C27" s="12" t="n"/>
    </row>
    <row r="28">
      <c r="A28" s="11" t="n"/>
      <c r="B28" s="12" t="n"/>
      <c r="C28" s="12" t="n"/>
    </row>
    <row r="29">
      <c r="A29" s="11" t="n"/>
      <c r="B29" s="12" t="n"/>
      <c r="C29" s="12" t="n"/>
    </row>
    <row r="30">
      <c r="A30" s="11" t="n"/>
      <c r="B30" s="12" t="n"/>
      <c r="C30" s="12" t="n"/>
    </row>
    <row r="31">
      <c r="A31" s="11" t="n"/>
      <c r="B31" s="12" t="n"/>
      <c r="C31" s="12" t="n"/>
    </row>
    <row r="32">
      <c r="A32" s="11" t="n"/>
      <c r="B32" s="12" t="n"/>
      <c r="C32" s="12" t="n"/>
    </row>
    <row r="33">
      <c r="A33" s="11" t="n"/>
      <c r="B33" s="12" t="n"/>
      <c r="C33" s="12" t="n"/>
    </row>
    <row r="34">
      <c r="A34" s="11" t="n"/>
      <c r="B34" s="12" t="n"/>
      <c r="C34" s="12" t="n"/>
    </row>
    <row r="35">
      <c r="A35" s="11" t="n"/>
      <c r="B35" s="12" t="n"/>
      <c r="C35" s="12" t="n"/>
    </row>
    <row r="36">
      <c r="A36" s="11" t="n"/>
      <c r="B36" s="12" t="n"/>
      <c r="C36" s="12" t="n"/>
    </row>
    <row r="37">
      <c r="A37" s="11" t="n"/>
      <c r="B37" s="12" t="n"/>
      <c r="C37" s="12" t="n"/>
    </row>
    <row r="38">
      <c r="A38" s="11" t="n"/>
      <c r="B38" s="12" t="n"/>
      <c r="C38" s="12" t="n"/>
    </row>
    <row r="39">
      <c r="A39" s="11" t="n"/>
      <c r="B39" s="12" t="n"/>
      <c r="C39" s="12" t="n"/>
    </row>
    <row r="40">
      <c r="A40" s="11" t="n"/>
      <c r="B40" s="12" t="n"/>
      <c r="C40" s="12" t="n"/>
    </row>
    <row r="41">
      <c r="A41" s="11" t="n"/>
      <c r="B41" s="12" t="n"/>
      <c r="C41" s="12" t="n"/>
    </row>
    <row r="42">
      <c r="A42" s="11" t="n"/>
      <c r="B42" s="12" t="n"/>
      <c r="C42" s="12" t="n"/>
    </row>
    <row r="43">
      <c r="A43" s="11" t="n"/>
      <c r="B43" s="12" t="n"/>
      <c r="C43" s="12" t="n"/>
    </row>
    <row r="44">
      <c r="A44" s="11" t="n"/>
      <c r="B44" s="12" t="n"/>
      <c r="C44" s="12" t="n"/>
    </row>
    <row r="45">
      <c r="A45" s="11" t="n"/>
      <c r="B45" s="12" t="n"/>
      <c r="C45" s="12" t="n"/>
    </row>
    <row r="46">
      <c r="A46" s="11" t="n"/>
      <c r="B46" s="12" t="n"/>
      <c r="C46" s="12" t="n"/>
    </row>
    <row r="47">
      <c r="A47" s="11" t="n"/>
      <c r="B47" s="12" t="n"/>
      <c r="C47" s="12" t="n"/>
    </row>
    <row r="48">
      <c r="A48" s="11" t="n"/>
      <c r="B48" s="12" t="n"/>
      <c r="C48" s="12" t="n"/>
    </row>
    <row r="49">
      <c r="A49" s="11" t="n"/>
      <c r="B49" s="12" t="n"/>
      <c r="C49" s="12" t="n"/>
    </row>
    <row r="50">
      <c r="A50" s="11" t="n"/>
      <c r="B50" s="12" t="n"/>
      <c r="C50" s="12" t="n"/>
    </row>
    <row r="51">
      <c r="A51" s="11" t="n"/>
      <c r="B51" s="12" t="n"/>
      <c r="C51" s="12" t="n"/>
    </row>
    <row r="52">
      <c r="A52" s="11" t="n"/>
      <c r="B52" s="12" t="n"/>
      <c r="C52" s="12" t="n"/>
    </row>
    <row r="53">
      <c r="A53" s="11" t="n"/>
      <c r="B53" s="12" t="n"/>
      <c r="C53" s="12" t="n"/>
    </row>
    <row r="54">
      <c r="A54" s="11" t="n"/>
      <c r="B54" s="12" t="n"/>
      <c r="C54" s="12" t="n"/>
    </row>
    <row r="55">
      <c r="A55" s="11" t="n"/>
      <c r="B55" s="12" t="n"/>
      <c r="C55" s="12" t="n"/>
    </row>
    <row r="56">
      <c r="A56" s="11" t="n"/>
      <c r="B56" s="12" t="n"/>
      <c r="C56" s="12" t="n"/>
    </row>
    <row r="57">
      <c r="A57" s="11" t="n"/>
      <c r="B57" s="12" t="n"/>
      <c r="C57" s="12" t="n"/>
    </row>
    <row r="58">
      <c r="A58" s="11" t="n"/>
      <c r="B58" s="12" t="n"/>
      <c r="C58" s="12" t="n"/>
    </row>
    <row r="59">
      <c r="A59" s="11" t="n"/>
      <c r="B59" s="12" t="n"/>
      <c r="C59" s="12" t="n"/>
    </row>
    <row r="60">
      <c r="A60" s="11" t="n"/>
      <c r="B60" s="12" t="n"/>
      <c r="C60" s="12" t="n"/>
    </row>
    <row r="61">
      <c r="A61" s="11" t="n"/>
      <c r="B61" s="12" t="n"/>
      <c r="C61" s="12" t="n"/>
    </row>
    <row r="62">
      <c r="A62" s="11" t="n"/>
      <c r="B62" s="12" t="n"/>
      <c r="C62" s="12" t="n"/>
    </row>
    <row r="63">
      <c r="A63" s="11" t="n"/>
      <c r="B63" s="12" t="n"/>
      <c r="C63" s="12" t="n"/>
    </row>
    <row r="64">
      <c r="A64" s="11" t="n"/>
      <c r="B64" s="12" t="n"/>
      <c r="C64" s="12" t="n"/>
    </row>
    <row r="65">
      <c r="A65" s="11" t="n"/>
      <c r="B65" s="12" t="n"/>
      <c r="C65" s="12" t="n"/>
    </row>
    <row r="66">
      <c r="A66" s="11" t="n"/>
      <c r="B66" s="12" t="n"/>
      <c r="C66" s="12" t="n"/>
    </row>
    <row r="67">
      <c r="A67" s="11" t="n"/>
      <c r="B67" s="12" t="n"/>
      <c r="C67" s="12" t="n"/>
    </row>
    <row r="68">
      <c r="A68" s="11" t="n"/>
      <c r="B68" s="12" t="n"/>
      <c r="C68" s="12" t="n"/>
    </row>
    <row r="69">
      <c r="A69" s="11" t="n"/>
      <c r="B69" s="12" t="n"/>
      <c r="C69" s="12" t="n"/>
    </row>
    <row r="70">
      <c r="A70" s="11" t="n"/>
      <c r="B70" s="12" t="n"/>
      <c r="C70" s="12" t="n"/>
    </row>
    <row r="71">
      <c r="A71" s="11" t="n"/>
      <c r="B71" s="12" t="n"/>
      <c r="C71" s="12" t="n"/>
    </row>
    <row r="72">
      <c r="A72" s="11" t="n"/>
      <c r="B72" s="12" t="n"/>
      <c r="C72" s="12" t="n"/>
    </row>
    <row r="73">
      <c r="A73" s="11" t="n"/>
      <c r="B73" s="12" t="n"/>
      <c r="C73" s="12" t="n"/>
    </row>
    <row r="74">
      <c r="A74" s="11" t="n"/>
      <c r="B74" s="12" t="n"/>
      <c r="C74" s="12" t="n"/>
    </row>
    <row r="75">
      <c r="A75" s="11" t="n"/>
      <c r="B75" s="12" t="n"/>
      <c r="C75" s="12" t="n"/>
    </row>
    <row r="76">
      <c r="A76" s="11" t="n"/>
      <c r="B76" s="12" t="n"/>
      <c r="C76" s="12" t="n"/>
    </row>
    <row r="77">
      <c r="A77" s="11" t="n"/>
      <c r="B77" s="12" t="n"/>
      <c r="C77" s="12" t="n"/>
    </row>
    <row r="78">
      <c r="A78" s="11" t="n"/>
      <c r="B78" s="12" t="n"/>
      <c r="C78" s="12" t="n"/>
    </row>
    <row r="79">
      <c r="A79" s="11" t="n"/>
      <c r="B79" s="12" t="n"/>
      <c r="C79" s="12" t="n"/>
    </row>
    <row r="80">
      <c r="A80" s="11" t="n"/>
      <c r="B80" s="12" t="n"/>
      <c r="C80" s="12" t="n"/>
    </row>
    <row r="81">
      <c r="A81" s="11" t="n"/>
      <c r="B81" s="12" t="n"/>
      <c r="C81" s="12" t="n"/>
    </row>
    <row r="82">
      <c r="A82" s="11" t="n"/>
      <c r="B82" s="12" t="n"/>
      <c r="C82" s="12" t="n"/>
    </row>
    <row r="83">
      <c r="A83" s="11" t="n"/>
      <c r="B83" s="12" t="n"/>
      <c r="C83" s="12" t="n"/>
    </row>
    <row r="84">
      <c r="A84" s="11" t="n"/>
      <c r="B84" s="12" t="n"/>
      <c r="C84" s="12" t="n"/>
    </row>
    <row r="85">
      <c r="A85" s="11" t="n"/>
      <c r="B85" s="12" t="n"/>
      <c r="C85" s="12" t="n"/>
    </row>
    <row r="86">
      <c r="A86" s="11" t="n"/>
      <c r="B86" s="12" t="n"/>
      <c r="C86" s="12" t="n"/>
    </row>
    <row r="87">
      <c r="A87" s="11" t="n"/>
      <c r="B87" s="12" t="n"/>
      <c r="C87" s="12" t="n"/>
    </row>
    <row r="88">
      <c r="A88" s="11" t="n"/>
      <c r="B88" s="12" t="n"/>
      <c r="C88" s="12" t="n"/>
    </row>
    <row r="89">
      <c r="A89" s="11" t="n"/>
      <c r="B89" s="12" t="n"/>
      <c r="C89" s="12" t="n"/>
    </row>
    <row r="90">
      <c r="A90" s="11" t="n"/>
      <c r="B90" s="12" t="n"/>
      <c r="C90" s="12" t="n"/>
    </row>
    <row r="91">
      <c r="A91" s="11" t="n"/>
      <c r="B91" s="12" t="n"/>
      <c r="C91" s="12" t="n"/>
    </row>
    <row r="92">
      <c r="A92" s="11" t="n"/>
      <c r="B92" s="12" t="n"/>
      <c r="C92" s="12" t="n"/>
    </row>
    <row r="93">
      <c r="A93" s="11" t="n"/>
      <c r="B93" s="12" t="n"/>
      <c r="C93" s="12" t="n"/>
    </row>
    <row r="94">
      <c r="A94" s="11" t="n"/>
      <c r="B94" s="12" t="n"/>
      <c r="C94" s="12" t="n"/>
    </row>
    <row r="95">
      <c r="A95" s="11" t="n"/>
      <c r="B95" s="12" t="n"/>
      <c r="C95" s="12" t="n"/>
    </row>
    <row r="96">
      <c r="A96" s="11" t="n"/>
      <c r="B96" s="12" t="n"/>
      <c r="C96" s="12" t="n"/>
    </row>
    <row r="97">
      <c r="A97" s="11" t="n"/>
      <c r="B97" s="12" t="n"/>
      <c r="C97" s="12" t="n"/>
    </row>
    <row r="98">
      <c r="A98" s="11" t="n"/>
      <c r="B98" s="12" t="n"/>
      <c r="C98" s="12" t="n"/>
    </row>
    <row r="99">
      <c r="A99" s="11" t="n"/>
      <c r="B99" s="12" t="n"/>
      <c r="C99" s="12" t="n"/>
    </row>
    <row r="100">
      <c r="A100" s="11" t="n"/>
      <c r="B100" s="12" t="n"/>
      <c r="C100" s="12" t="n"/>
    </row>
    <row r="101">
      <c r="A101" s="11" t="n"/>
      <c r="B101" s="12" t="n"/>
      <c r="C101" s="12" t="n"/>
    </row>
    <row r="102">
      <c r="A102" s="11" t="n"/>
      <c r="B102" s="12" t="n"/>
      <c r="C102" s="12" t="n"/>
    </row>
    <row r="103">
      <c r="A103" s="11" t="n"/>
      <c r="B103" s="12" t="n"/>
      <c r="C103" s="12" t="n"/>
    </row>
    <row r="104">
      <c r="A104" s="11" t="n"/>
      <c r="B104" s="12" t="n"/>
      <c r="C104" s="12" t="n"/>
    </row>
    <row r="105">
      <c r="A105" s="11" t="n"/>
      <c r="B105" s="12" t="n"/>
      <c r="C105" s="12" t="n"/>
    </row>
    <row r="106">
      <c r="A106" s="11" t="n"/>
      <c r="B106" s="12" t="n"/>
      <c r="C106" s="12" t="n"/>
    </row>
    <row r="107">
      <c r="A107" s="11" t="n"/>
      <c r="B107" s="12" t="n"/>
      <c r="C107" s="12" t="n"/>
    </row>
    <row r="108">
      <c r="A108" s="11" t="n"/>
      <c r="B108" s="12" t="n"/>
      <c r="C108" s="12" t="n"/>
    </row>
    <row r="109">
      <c r="A109" s="11" t="n"/>
      <c r="B109" s="12" t="n"/>
      <c r="C109" s="12" t="n"/>
    </row>
    <row r="110">
      <c r="A110" s="11" t="n"/>
      <c r="B110" s="12" t="n"/>
      <c r="C110" s="12" t="n"/>
    </row>
    <row r="111">
      <c r="A111" s="11" t="n"/>
      <c r="B111" s="12" t="n"/>
      <c r="C111" s="12" t="n"/>
    </row>
    <row r="112">
      <c r="A112" s="11" t="n"/>
      <c r="B112" s="12" t="n"/>
      <c r="C112" s="12" t="n"/>
    </row>
    <row r="113">
      <c r="A113" s="11" t="n"/>
      <c r="B113" s="12" t="n"/>
      <c r="C113" s="12" t="n"/>
    </row>
    <row r="114">
      <c r="A114" s="11" t="n"/>
      <c r="B114" s="12" t="n"/>
      <c r="C114" s="12" t="n"/>
    </row>
    <row r="115">
      <c r="A115" s="11" t="n"/>
      <c r="B115" s="12" t="n"/>
      <c r="C115" s="12" t="n"/>
    </row>
    <row r="116">
      <c r="A116" s="11" t="n"/>
      <c r="B116" s="12" t="n"/>
      <c r="C116" s="12" t="n"/>
    </row>
    <row r="117">
      <c r="A117" s="11" t="n"/>
      <c r="B117" s="12" t="n"/>
      <c r="C117" s="12" t="n"/>
    </row>
    <row r="118">
      <c r="A118" s="11" t="n"/>
      <c r="B118" s="12" t="n"/>
      <c r="C118" s="12" t="n"/>
    </row>
    <row r="119">
      <c r="A119" s="11" t="n"/>
      <c r="B119" s="12" t="n"/>
      <c r="C119" s="12" t="n"/>
    </row>
    <row r="120">
      <c r="A120" s="11" t="n"/>
      <c r="B120" s="12" t="n"/>
      <c r="C120" s="12" t="n"/>
    </row>
    <row r="121">
      <c r="A121" s="11" t="n"/>
      <c r="B121" s="12" t="n"/>
      <c r="C121" s="12" t="n"/>
    </row>
    <row r="122">
      <c r="A122" s="11" t="n"/>
      <c r="B122" s="12" t="n"/>
      <c r="C122" s="12" t="n"/>
    </row>
    <row r="123">
      <c r="A123" s="11" t="n"/>
      <c r="B123" s="12" t="n"/>
      <c r="C123" s="12" t="n"/>
    </row>
    <row r="124">
      <c r="A124" s="11" t="n"/>
      <c r="B124" s="12" t="n"/>
      <c r="C124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</cols>
  <sheetData>
    <row r="1">
      <c r="A1" s="1" t="inlineStr">
        <is>
          <t>Capital work-in-progress ageing (Schedule III disclosure)</t>
        </is>
      </c>
    </row>
    <row r="2"/>
    <row r="3"/>
    <row r="4">
      <c r="A4" s="6" t="inlineStr">
        <is>
          <t>project</t>
        </is>
      </c>
      <c r="B4" s="6" t="inlineStr">
        <is>
          <t>amount</t>
        </is>
      </c>
      <c r="C4" s="6" t="inlineStr">
        <is>
          <t>start date</t>
        </is>
      </c>
      <c r="D4" s="6" t="inlineStr">
        <is>
          <t>age years</t>
        </is>
      </c>
      <c r="E4" s="6" t="inlineStr">
        <is>
          <t>bucket</t>
        </is>
      </c>
    </row>
    <row r="5">
      <c r="A5" s="10" t="inlineStr">
        <is>
          <t>Hosur EV line civil works</t>
        </is>
      </c>
      <c r="B5" s="12" t="n">
        <v>18000000</v>
      </c>
      <c r="C5" s="8" t="n">
        <v>45870</v>
      </c>
      <c r="D5" s="15">
        <f>IF(A5="","",(Setup!$B$4+365-C5)/365)</f>
        <v/>
      </c>
      <c r="E5" s="7">
        <f>IF(A5="","",IF(D5&lt;1,"&lt; 1 year",IF(D5&lt;2,"1-2 years",IF(D5&lt;3,"2-3 years","&gt; 3 years"))))</f>
        <v/>
      </c>
    </row>
    <row r="6">
      <c r="A6" s="10" t="n"/>
      <c r="B6" s="12" t="n"/>
      <c r="C6" s="8" t="n"/>
      <c r="D6" s="15">
        <f>IF(A6="","",(Setup!$B$4+365-C6)/365)</f>
        <v/>
      </c>
      <c r="E6" s="7">
        <f>IF(A6="","",IF(D6&lt;1,"&lt; 1 year",IF(D6&lt;2,"1-2 years",IF(D6&lt;3,"2-3 years","&gt; 3 years"))))</f>
        <v/>
      </c>
    </row>
    <row r="7">
      <c r="A7" s="10" t="n"/>
      <c r="B7" s="12" t="n"/>
      <c r="C7" s="8" t="n"/>
      <c r="D7" s="15">
        <f>IF(A7="","",(Setup!$B$4+365-C7)/365)</f>
        <v/>
      </c>
      <c r="E7" s="7">
        <f>IF(A7="","",IF(D7&lt;1,"&lt; 1 year",IF(D7&lt;2,"1-2 years",IF(D7&lt;3,"2-3 years","&gt; 3 years"))))</f>
        <v/>
      </c>
    </row>
    <row r="8">
      <c r="A8" s="10" t="n"/>
      <c r="B8" s="12" t="n"/>
      <c r="C8" s="8" t="n"/>
      <c r="D8" s="15">
        <f>IF(A8="","",(Setup!$B$4+365-C8)/365)</f>
        <v/>
      </c>
      <c r="E8" s="7">
        <f>IF(A8="","",IF(D8&lt;1,"&lt; 1 year",IF(D8&lt;2,"1-2 years",IF(D8&lt;3,"2-3 years","&gt; 3 years"))))</f>
        <v/>
      </c>
    </row>
    <row r="9">
      <c r="A9" s="10" t="n"/>
      <c r="B9" s="12" t="n"/>
      <c r="C9" s="8" t="n"/>
      <c r="D9" s="15">
        <f>IF(A9="","",(Setup!$B$4+365-C9)/365)</f>
        <v/>
      </c>
      <c r="E9" s="7">
        <f>IF(A9="","",IF(D9&lt;1,"&lt; 1 year",IF(D9&lt;2,"1-2 years",IF(D9&lt;3,"2-3 years","&gt; 3 years"))))</f>
        <v/>
      </c>
    </row>
    <row r="10">
      <c r="A10" s="10" t="n"/>
      <c r="B10" s="12" t="n"/>
      <c r="C10" s="8" t="n"/>
      <c r="D10" s="15">
        <f>IF(A10="","",(Setup!$B$4+365-C10)/365)</f>
        <v/>
      </c>
      <c r="E10" s="7">
        <f>IF(A10="","",IF(D10&lt;1,"&lt; 1 year",IF(D10&lt;2,"1-2 years",IF(D10&lt;3,"2-3 years","&gt; 3 years"))))</f>
        <v/>
      </c>
    </row>
    <row r="11">
      <c r="A11" s="10" t="n"/>
      <c r="B11" s="12" t="n"/>
      <c r="C11" s="8" t="n"/>
      <c r="D11" s="15">
        <f>IF(A11="","",(Setup!$B$4+365-C11)/365)</f>
        <v/>
      </c>
      <c r="E11" s="7">
        <f>IF(A11="","",IF(D11&lt;1,"&lt; 1 year",IF(D11&lt;2,"1-2 years",IF(D11&lt;3,"2-3 years","&gt; 3 years"))))</f>
        <v/>
      </c>
    </row>
    <row r="12">
      <c r="A12" s="10" t="n"/>
      <c r="B12" s="12" t="n"/>
      <c r="C12" s="8" t="n"/>
      <c r="D12" s="15">
        <f>IF(A12="","",(Setup!$B$4+365-C12)/365)</f>
        <v/>
      </c>
      <c r="E12" s="7">
        <f>IF(A12="","",IF(D12&lt;1,"&lt; 1 year",IF(D12&lt;2,"1-2 years",IF(D12&lt;3,"2-3 years","&gt; 3 years"))))</f>
        <v/>
      </c>
    </row>
    <row r="13">
      <c r="A13" s="10" t="n"/>
      <c r="B13" s="12" t="n"/>
      <c r="C13" s="8" t="n"/>
      <c r="D13" s="15">
        <f>IF(A13="","",(Setup!$B$4+365-C13)/365)</f>
        <v/>
      </c>
      <c r="E13" s="7">
        <f>IF(A13="","",IF(D13&lt;1,"&lt; 1 year",IF(D13&lt;2,"1-2 years",IF(D13&lt;3,"2-3 years","&gt; 3 years"))))</f>
        <v/>
      </c>
    </row>
    <row r="14">
      <c r="A14" s="10" t="n"/>
      <c r="B14" s="12" t="n"/>
      <c r="C14" s="8" t="n"/>
      <c r="D14" s="15">
        <f>IF(A14="","",(Setup!$B$4+365-C14)/365)</f>
        <v/>
      </c>
      <c r="E14" s="7">
        <f>IF(A14="","",IF(D14&lt;1,"&lt; 1 year",IF(D14&lt;2,"1-2 years",IF(D14&lt;3,"2-3 years","&gt; 3 years"))))</f>
        <v/>
      </c>
    </row>
    <row r="15">
      <c r="A15" s="10" t="n"/>
      <c r="B15" s="12" t="n"/>
      <c r="C15" s="8" t="n"/>
      <c r="D15" s="15">
        <f>IF(A15="","",(Setup!$B$4+365-C15)/365)</f>
        <v/>
      </c>
      <c r="E15" s="7">
        <f>IF(A15="","",IF(D15&lt;1,"&lt; 1 year",IF(D15&lt;2,"1-2 years",IF(D15&lt;3,"2-3 years","&gt; 3 years"))))</f>
        <v/>
      </c>
    </row>
    <row r="16">
      <c r="A16" s="10" t="n"/>
      <c r="B16" s="12" t="n"/>
      <c r="C16" s="8" t="n"/>
      <c r="D16" s="15">
        <f>IF(A16="","",(Setup!$B$4+365-C16)/365)</f>
        <v/>
      </c>
      <c r="E16" s="7">
        <f>IF(A16="","",IF(D16&lt;1,"&lt; 1 year",IF(D16&lt;2,"1-2 years",IF(D16&lt;3,"2-3 years","&gt; 3 years"))))</f>
        <v/>
      </c>
    </row>
    <row r="17">
      <c r="A17" s="10" t="n"/>
      <c r="B17" s="12" t="n"/>
      <c r="C17" s="8" t="n"/>
      <c r="D17" s="15">
        <f>IF(A17="","",(Setup!$B$4+365-C17)/365)</f>
        <v/>
      </c>
      <c r="E17" s="7">
        <f>IF(A17="","",IF(D17&lt;1,"&lt; 1 year",IF(D17&lt;2,"1-2 years",IF(D17&lt;3,"2-3 years","&gt; 3 years"))))</f>
        <v/>
      </c>
    </row>
    <row r="18">
      <c r="A18" s="10" t="n"/>
      <c r="B18" s="12" t="n"/>
      <c r="C18" s="8" t="n"/>
      <c r="D18" s="15">
        <f>IF(A18="","",(Setup!$B$4+365-C18)/365)</f>
        <v/>
      </c>
      <c r="E18" s="7">
        <f>IF(A18="","",IF(D18&lt;1,"&lt; 1 year",IF(D18&lt;2,"1-2 years",IF(D18&lt;3,"2-3 years","&gt; 3 years"))))</f>
        <v/>
      </c>
    </row>
    <row r="19">
      <c r="A19" s="10" t="n"/>
      <c r="B19" s="12" t="n"/>
      <c r="C19" s="8" t="n"/>
      <c r="D19" s="15">
        <f>IF(A19="","",(Setup!$B$4+365-C19)/365)</f>
        <v/>
      </c>
      <c r="E19" s="7">
        <f>IF(A19="","",IF(D19&lt;1,"&lt; 1 year",IF(D19&lt;2,"1-2 years",IF(D19&lt;3,"2-3 years","&gt; 3 years"))))</f>
        <v/>
      </c>
    </row>
    <row r="20">
      <c r="A20" s="10" t="n"/>
      <c r="B20" s="12" t="n"/>
      <c r="C20" s="8" t="n"/>
      <c r="D20" s="15">
        <f>IF(A20="","",(Setup!$B$4+365-C20)/365)</f>
        <v/>
      </c>
      <c r="E20" s="7">
        <f>IF(A20="","",IF(D20&lt;1,"&lt; 1 year",IF(D20&lt;2,"1-2 years",IF(D20&lt;3,"2-3 years","&gt; 3 years"))))</f>
        <v/>
      </c>
    </row>
    <row r="21">
      <c r="A21" s="10" t="n"/>
      <c r="B21" s="12" t="n"/>
      <c r="C21" s="8" t="n"/>
      <c r="D21" s="15">
        <f>IF(A21="","",(Setup!$B$4+365-C21)/365)</f>
        <v/>
      </c>
      <c r="E21" s="7">
        <f>IF(A21="","",IF(D21&lt;1,"&lt; 1 year",IF(D21&lt;2,"1-2 years",IF(D21&lt;3,"2-3 years","&gt; 3 years"))))</f>
        <v/>
      </c>
    </row>
    <row r="22">
      <c r="A22" s="10" t="n"/>
      <c r="B22" s="12" t="n"/>
      <c r="C22" s="8" t="n"/>
      <c r="D22" s="15">
        <f>IF(A22="","",(Setup!$B$4+365-C22)/365)</f>
        <v/>
      </c>
      <c r="E22" s="7">
        <f>IF(A22="","",IF(D22&lt;1,"&lt; 1 year",IF(D22&lt;2,"1-2 years",IF(D22&lt;3,"2-3 years","&gt; 3 years"))))</f>
        <v/>
      </c>
    </row>
    <row r="23">
      <c r="A23" s="10" t="n"/>
      <c r="B23" s="12" t="n"/>
      <c r="C23" s="8" t="n"/>
      <c r="D23" s="15">
        <f>IF(A23="","",(Setup!$B$4+365-C23)/365)</f>
        <v/>
      </c>
      <c r="E23" s="7">
        <f>IF(A23="","",IF(D23&lt;1,"&lt; 1 year",IF(D23&lt;2,"1-2 years",IF(D23&lt;3,"2-3 years","&gt; 3 years"))))</f>
        <v/>
      </c>
    </row>
    <row r="24">
      <c r="A24" s="10" t="n"/>
      <c r="B24" s="12" t="n"/>
      <c r="C24" s="8" t="n"/>
      <c r="D24" s="15">
        <f>IF(A24="","",(Setup!$B$4+365-C24)/365)</f>
        <v/>
      </c>
      <c r="E24" s="7">
        <f>IF(A24="","",IF(D24&lt;1,"&lt; 1 year",IF(D24&lt;2,"1-2 years",IF(D24&lt;3,"2-3 years","&gt; 3 years"))))</f>
        <v/>
      </c>
    </row>
    <row r="25">
      <c r="A25" s="10" t="n"/>
      <c r="B25" s="12" t="n"/>
      <c r="C25" s="8" t="n"/>
      <c r="D25" s="15">
        <f>IF(A25="","",(Setup!$B$4+365-C25)/365)</f>
        <v/>
      </c>
      <c r="E25" s="7">
        <f>IF(A25="","",IF(D25&lt;1,"&lt; 1 year",IF(D25&lt;2,"1-2 years",IF(D25&lt;3,"2-3 years","&gt; 3 years"))))</f>
        <v/>
      </c>
    </row>
    <row r="26">
      <c r="A26" s="10" t="n"/>
      <c r="B26" s="12" t="n"/>
      <c r="C26" s="8" t="n"/>
      <c r="D26" s="15">
        <f>IF(A26="","",(Setup!$B$4+365-C26)/365)</f>
        <v/>
      </c>
      <c r="E26" s="7">
        <f>IF(A26="","",IF(D26&lt;1,"&lt; 1 year",IF(D26&lt;2,"1-2 years",IF(D26&lt;3,"2-3 years","&gt; 3 years"))))</f>
        <v/>
      </c>
    </row>
    <row r="27">
      <c r="A27" s="10" t="n"/>
      <c r="B27" s="12" t="n"/>
      <c r="C27" s="8" t="n"/>
      <c r="D27" s="15">
        <f>IF(A27="","",(Setup!$B$4+365-C27)/365)</f>
        <v/>
      </c>
      <c r="E27" s="7">
        <f>IF(A27="","",IF(D27&lt;1,"&lt; 1 year",IF(D27&lt;2,"1-2 years",IF(D27&lt;3,"2-3 years","&gt; 3 years"))))</f>
        <v/>
      </c>
    </row>
    <row r="28">
      <c r="A28" s="10" t="n"/>
      <c r="B28" s="12" t="n"/>
      <c r="C28" s="8" t="n"/>
      <c r="D28" s="15">
        <f>IF(A28="","",(Setup!$B$4+365-C28)/365)</f>
        <v/>
      </c>
      <c r="E28" s="7">
        <f>IF(A28="","",IF(D28&lt;1,"&lt; 1 year",IF(D28&lt;2,"1-2 years",IF(D28&lt;3,"2-3 years","&gt; 3 years"))))</f>
        <v/>
      </c>
    </row>
    <row r="29">
      <c r="A29" s="10" t="n"/>
      <c r="B29" s="12" t="n"/>
      <c r="C29" s="8" t="n"/>
      <c r="D29" s="15">
        <f>IF(A29="","",(Setup!$B$4+365-C29)/365)</f>
        <v/>
      </c>
      <c r="E29" s="7">
        <f>IF(A29="","",IF(D29&lt;1,"&lt; 1 year",IF(D29&lt;2,"1-2 years",IF(D29&lt;3,"2-3 years","&gt; 3 years"))))</f>
        <v/>
      </c>
    </row>
    <row r="30">
      <c r="A30" s="10" t="n"/>
      <c r="B30" s="12" t="n"/>
      <c r="C30" s="8" t="n"/>
      <c r="D30" s="15">
        <f>IF(A30="","",(Setup!$B$4+365-C30)/365)</f>
        <v/>
      </c>
      <c r="E30" s="7">
        <f>IF(A30="","",IF(D30&lt;1,"&lt; 1 year",IF(D30&lt;2,"1-2 years",IF(D30&lt;3,"2-3 years","&gt; 3 years"))))</f>
        <v/>
      </c>
    </row>
    <row r="31">
      <c r="A31" s="10" t="n"/>
      <c r="B31" s="12" t="n"/>
      <c r="C31" s="8" t="n"/>
      <c r="D31" s="15">
        <f>IF(A31="","",(Setup!$B$4+365-C31)/365)</f>
        <v/>
      </c>
      <c r="E31" s="7">
        <f>IF(A31="","",IF(D31&lt;1,"&lt; 1 year",IF(D31&lt;2,"1-2 years",IF(D31&lt;3,"2-3 years","&gt; 3 years"))))</f>
        <v/>
      </c>
    </row>
    <row r="32">
      <c r="A32" s="10" t="n"/>
      <c r="B32" s="12" t="n"/>
      <c r="C32" s="8" t="n"/>
      <c r="D32" s="15">
        <f>IF(A32="","",(Setup!$B$4+365-C32)/365)</f>
        <v/>
      </c>
      <c r="E32" s="7">
        <f>IF(A32="","",IF(D32&lt;1,"&lt; 1 year",IF(D32&lt;2,"1-2 years",IF(D32&lt;3,"2-3 years","&gt; 3 years"))))</f>
        <v/>
      </c>
    </row>
    <row r="33">
      <c r="A33" s="10" t="n"/>
      <c r="B33" s="12" t="n"/>
      <c r="C33" s="8" t="n"/>
      <c r="D33" s="15">
        <f>IF(A33="","",(Setup!$B$4+365-C33)/365)</f>
        <v/>
      </c>
      <c r="E33" s="7">
        <f>IF(A33="","",IF(D33&lt;1,"&lt; 1 year",IF(D33&lt;2,"1-2 years",IF(D33&lt;3,"2-3 years","&gt; 3 years"))))</f>
        <v/>
      </c>
    </row>
    <row r="34">
      <c r="A34" s="10" t="n"/>
      <c r="B34" s="12" t="n"/>
      <c r="C34" s="8" t="n"/>
      <c r="D34" s="15">
        <f>IF(A34="","",(Setup!$B$4+365-C34)/365)</f>
        <v/>
      </c>
      <c r="E34" s="7">
        <f>IF(A34="","",IF(D34&lt;1,"&lt; 1 year",IF(D34&lt;2,"1-2 years",IF(D34&lt;3,"2-3 years","&gt; 3 years"))))</f>
        <v/>
      </c>
    </row>
    <row r="35">
      <c r="A35" s="10" t="n"/>
      <c r="B35" s="12" t="n"/>
      <c r="C35" s="8" t="n"/>
      <c r="D35" s="15">
        <f>IF(A35="","",(Setup!$B$4+365-C35)/365)</f>
        <v/>
      </c>
      <c r="E35" s="7">
        <f>IF(A35="","",IF(D35&lt;1,"&lt; 1 year",IF(D35&lt;2,"1-2 years",IF(D35&lt;3,"2-3 years","&gt; 3 years"))))</f>
        <v/>
      </c>
    </row>
    <row r="36">
      <c r="A36" s="10" t="n"/>
      <c r="B36" s="12" t="n"/>
      <c r="C36" s="8" t="n"/>
      <c r="D36" s="15">
        <f>IF(A36="","",(Setup!$B$4+365-C36)/365)</f>
        <v/>
      </c>
      <c r="E36" s="7">
        <f>IF(A36="","",IF(D36&lt;1,"&lt; 1 year",IF(D36&lt;2,"1-2 years",IF(D36&lt;3,"2-3 years","&gt; 3 years"))))</f>
        <v/>
      </c>
    </row>
    <row r="37">
      <c r="A37" s="10" t="n"/>
      <c r="B37" s="12" t="n"/>
      <c r="C37" s="8" t="n"/>
      <c r="D37" s="15">
        <f>IF(A37="","",(Setup!$B$4+365-C37)/365)</f>
        <v/>
      </c>
      <c r="E37" s="7">
        <f>IF(A37="","",IF(D37&lt;1,"&lt; 1 year",IF(D37&lt;2,"1-2 years",IF(D37&lt;3,"2-3 years","&gt; 3 years"))))</f>
        <v/>
      </c>
    </row>
    <row r="38">
      <c r="A38" s="10" t="n"/>
      <c r="B38" s="12" t="n"/>
      <c r="C38" s="8" t="n"/>
      <c r="D38" s="15">
        <f>IF(A38="","",(Setup!$B$4+365-C38)/365)</f>
        <v/>
      </c>
      <c r="E38" s="7">
        <f>IF(A38="","",IF(D38&lt;1,"&lt; 1 year",IF(D38&lt;2,"1-2 years",IF(D38&lt;3,"2-3 years","&gt; 3 years"))))</f>
        <v/>
      </c>
    </row>
    <row r="39">
      <c r="A39" s="10" t="n"/>
      <c r="B39" s="12" t="n"/>
      <c r="C39" s="8" t="n"/>
      <c r="D39" s="15">
        <f>IF(A39="","",(Setup!$B$4+365-C39)/365)</f>
        <v/>
      </c>
      <c r="E39" s="7">
        <f>IF(A39="","",IF(D39&lt;1,"&lt; 1 year",IF(D39&lt;2,"1-2 years",IF(D39&lt;3,"2-3 years","&gt; 3 years"))))</f>
        <v/>
      </c>
    </row>
    <row r="40">
      <c r="A40" s="10" t="n"/>
      <c r="B40" s="12" t="n"/>
      <c r="C40" s="8" t="n"/>
      <c r="D40" s="15">
        <f>IF(A40="","",(Setup!$B$4+365-C40)/365)</f>
        <v/>
      </c>
      <c r="E40" s="7">
        <f>IF(A40="","",IF(D40&lt;1,"&lt; 1 year",IF(D40&lt;2,"1-2 years",IF(D40&lt;3,"2-3 years","&gt; 3 years"))))</f>
        <v/>
      </c>
    </row>
    <row r="41">
      <c r="A41" s="10" t="n"/>
      <c r="B41" s="12" t="n"/>
      <c r="C41" s="8" t="n"/>
      <c r="D41" s="15">
        <f>IF(A41="","",(Setup!$B$4+365-C41)/365)</f>
        <v/>
      </c>
      <c r="E41" s="7">
        <f>IF(A41="","",IF(D41&lt;1,"&lt; 1 year",IF(D41&lt;2,"1-2 years",IF(D41&lt;3,"2-3 years","&gt; 3 years"))))</f>
        <v/>
      </c>
    </row>
    <row r="42">
      <c r="A42" s="10" t="n"/>
      <c r="B42" s="12" t="n"/>
      <c r="C42" s="8" t="n"/>
      <c r="D42" s="15">
        <f>IF(A42="","",(Setup!$B$4+365-C42)/365)</f>
        <v/>
      </c>
      <c r="E42" s="7">
        <f>IF(A42="","",IF(D42&lt;1,"&lt; 1 year",IF(D42&lt;2,"1-2 years",IF(D42&lt;3,"2-3 years","&gt; 3 years"))))</f>
        <v/>
      </c>
    </row>
    <row r="43">
      <c r="A43" s="10" t="n"/>
      <c r="B43" s="12" t="n"/>
      <c r="C43" s="8" t="n"/>
      <c r="D43" s="15">
        <f>IF(A43="","",(Setup!$B$4+365-C43)/365)</f>
        <v/>
      </c>
      <c r="E43" s="7">
        <f>IF(A43="","",IF(D43&lt;1,"&lt; 1 year",IF(D43&lt;2,"1-2 years",IF(D43&lt;3,"2-3 years","&gt; 3 years"))))</f>
        <v/>
      </c>
    </row>
    <row r="44">
      <c r="A44" s="10" t="n"/>
      <c r="B44" s="12" t="n"/>
      <c r="C44" s="8" t="n"/>
      <c r="D44" s="15">
        <f>IF(A44="","",(Setup!$B$4+365-C44)/365)</f>
        <v/>
      </c>
      <c r="E44" s="7">
        <f>IF(A44="","",IF(D44&lt;1,"&lt; 1 year",IF(D44&lt;2,"1-2 years",IF(D44&lt;3,"2-3 years","&gt; 3 years"))))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</t>
        </is>
      </c>
    </row>
    <row r="2"/>
    <row r="3"/>
    <row r="4">
      <c r="A4" t="inlineStr">
        <is>
          <t>capex_monthly (average over horizon months)</t>
        </is>
      </c>
      <c r="B4" s="11" t="n">
        <v>12</v>
      </c>
    </row>
    <row r="5">
      <c r="A5" t="inlineStr">
        <is>
          <t>capex_monthly -&gt; K01</t>
        </is>
      </c>
      <c r="B5" s="16">
        <f>SUM(CapexPlan!B5:B124)/ToKernel!$B$4</f>
        <v/>
      </c>
    </row>
    <row r="6">
      <c r="A6" t="inlineStr">
        <is>
          <t>existing book D&amp;A per month</t>
        </is>
      </c>
      <c r="B6" s="13">
        <f>SUM(Assets!H5:H504)</f>
        <v/>
      </c>
    </row>
    <row r="7">
      <c r="A7" t="inlineStr">
        <is>
          <t>da_monthly -&gt; K01 (existing + average new)</t>
        </is>
      </c>
      <c r="B7" s="16">
        <f>B6+SUMPRODUCT(CapexPlan!C5:C124*(ToKernel!$B$4-CapexPlan!A5:A124+1)*(CapexPlan!A5:A124&lt;=ToKernel!$B$4))/ToKernel!$B$4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2026-10-18T16:52:46Z</dcterms:created>
  <dcterms:modified xmlns:dcterms="http://purl.org/dc/terms/" xmlns:xsi="http://www.w3.org/2001/XMLSchema-instance" xsi:type="dcterms:W3CDTF">2026-10-18T16:52:46Z</dcterms:modified>
</cp:coreProperties>
</file>