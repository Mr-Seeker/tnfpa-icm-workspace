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Versions" sheetId="3" state="visible" r:id="rId3"/>
    <sheet xmlns:r="http://schemas.openxmlformats.org/officeDocument/2006/relationships" name="Setup" sheetId="4" state="visible" r:id="rId4"/>
    <sheet xmlns:r="http://schemas.openxmlformats.org/officeDocument/2006/relationships" name="DriverTree" sheetId="5" state="visible" r:id="rId5"/>
  </sheets>
  <definedNames>
    <definedName name="materiality">'Setup'!$B$4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D01 · Enterprise performance management &amp; planning</t>
        </is>
      </c>
    </row>
    <row r="2"/>
    <row r="3">
      <c r="A3" s="2" t="inlineStr">
        <is>
          <t>Domain D01: Enterprise performance management &amp; planning.</t>
        </is>
      </c>
    </row>
    <row r="4">
      <c r="A4" s="2" t="inlineStr">
        <is>
          <t>Run budgets, latest estimates and plan-vs-actual on top of the K01 champion: versions, driver trees, variance attribution and materiality.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companies/&lt;slug&gt;/domains/D01_epm-planning/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channels[i].cogs_pct  &lt;=  DriverTree cogs_pct</t>
        </is>
      </c>
    </row>
    <row r="11">
      <c r="A11" s="2" t="inlineStr">
        <is>
          <t>K01 channels[i].annual_revenue  &lt;=  DriverTree revenue</t>
        </is>
      </c>
    </row>
    <row r="12">
      <c r="A12" s="2" t="inlineStr">
        <is>
          <t>W04 variance narrative  &lt;=  Versions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every material variance has a driver</t>
        </is>
      </c>
      <c r="C5" s="7">
        <f>IF(SUMPRODUCT((Versions!J5:J44=TRUE)*(Versions!H5:H44=""))=0,"PASS","FAIL")</f>
        <v/>
      </c>
    </row>
    <row r="6">
      <c r="A6" t="n">
        <v>2</v>
      </c>
      <c r="B6" t="inlineStr">
        <is>
          <t>every material variance has an explanation</t>
        </is>
      </c>
      <c r="C6" s="7">
        <f>IF(SUMPRODUCT((Versions!J5:J44=TRUE)*(Versions!I5:I44=""))=0,"PASS","FAIL")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27" customWidth="1" min="4" max="4"/>
    <col width="17" customWidth="1" min="5" max="5"/>
    <col width="19" customWidth="1" min="6" max="6"/>
    <col width="13" customWidth="1" min="7" max="7"/>
    <col width="40" customWidth="1" min="8" max="8"/>
    <col width="24" customWidth="1" min="9" max="9"/>
    <col width="34" customWidth="1" min="10" max="10"/>
  </cols>
  <sheetData>
    <row r="1">
      <c r="A1" s="1" t="inlineStr">
        <is>
          <t>Plan versions &amp; variance (Budget / Latest Estimate / Actual)</t>
        </is>
      </c>
    </row>
    <row r="2"/>
    <row r="3"/>
    <row r="4">
      <c r="A4" s="6" t="inlineStr">
        <is>
          <t>line (K01 line name)</t>
        </is>
      </c>
      <c r="B4" s="6" t="inlineStr">
        <is>
          <t>budget</t>
        </is>
      </c>
      <c r="C4" s="6" t="inlineStr">
        <is>
          <t>latest estimate</t>
        </is>
      </c>
      <c r="D4" s="6" t="inlineStr">
        <is>
          <t>actual (closed periods)</t>
        </is>
      </c>
      <c r="E4" s="6" t="inlineStr">
        <is>
          <t>var vs budget</t>
        </is>
      </c>
      <c r="F4" s="6" t="inlineStr">
        <is>
          <t>var % vs budget</t>
        </is>
      </c>
      <c r="G4" s="6" t="inlineStr">
        <is>
          <t>var vs LE</t>
        </is>
      </c>
      <c r="H4" s="6" t="inlineStr">
        <is>
          <t>primary driver (volume/price/cost ratio/timing/one-time)</t>
        </is>
      </c>
      <c r="I4" s="6" t="inlineStr">
        <is>
          <t>explanation (1 line)</t>
        </is>
      </c>
      <c r="J4" s="6" t="inlineStr">
        <is>
          <t>material? (|var%|&gt;= threshold)</t>
        </is>
      </c>
    </row>
    <row r="5">
      <c r="A5" s="8" t="inlineStr">
        <is>
          <t>revenue</t>
        </is>
      </c>
      <c r="B5" s="9" t="n">
        <v>1200000000</v>
      </c>
      <c r="C5" s="9" t="n">
        <v>1180000000</v>
      </c>
      <c r="D5" s="9" t="n">
        <v>1150000000</v>
      </c>
      <c r="E5" s="10">
        <f>IF(A5="","",D5-B5)</f>
        <v/>
      </c>
      <c r="F5" s="11">
        <f>IF(OR(A5="",N(B5)=0),"",E5/ABS(B5))</f>
        <v/>
      </c>
      <c r="G5" s="10">
        <f>IF(A5="","",D5-C5)</f>
        <v/>
      </c>
      <c r="H5" s="8" t="inlineStr">
        <is>
          <t>volume</t>
        </is>
      </c>
      <c r="I5" s="8" t="inlineStr">
        <is>
          <t>Deepavali shipments slipped to November</t>
        </is>
      </c>
      <c r="J5" s="7">
        <f>IF(F5="","",ABS(F5)&gt;=Setup!$B$4)</f>
        <v/>
      </c>
    </row>
    <row r="6">
      <c r="A6" s="8" t="inlineStr">
        <is>
          <t>gross_profit</t>
        </is>
      </c>
      <c r="B6" s="9" t="n">
        <v>456000000</v>
      </c>
      <c r="C6" s="9" t="n">
        <v>448000000</v>
      </c>
      <c r="D6" s="9" t="n">
        <v>430000000</v>
      </c>
      <c r="E6" s="10">
        <f>IF(A6="","",D6-B6)</f>
        <v/>
      </c>
      <c r="F6" s="11">
        <f>IF(OR(A6="",N(B6)=0),"",E6/ABS(B6))</f>
        <v/>
      </c>
      <c r="G6" s="10">
        <f>IF(A6="","",D6-C6)</f>
        <v/>
      </c>
      <c r="H6" s="8" t="inlineStr">
        <is>
          <t>cost ratio</t>
        </is>
      </c>
      <c r="I6" s="8" t="inlineStr">
        <is>
          <t>cotton yarn price up</t>
        </is>
      </c>
      <c r="J6" s="7">
        <f>IF(F6="","",ABS(F6)&gt;=Setup!$B$4)</f>
        <v/>
      </c>
    </row>
    <row r="7">
      <c r="A7" s="8" t="inlineStr">
        <is>
          <t>ebitda</t>
        </is>
      </c>
      <c r="B7" s="9" t="n">
        <v>140000000</v>
      </c>
      <c r="C7" s="9" t="n">
        <v>132000000</v>
      </c>
      <c r="D7" s="9" t="n">
        <v>118000000</v>
      </c>
      <c r="E7" s="10">
        <f>IF(A7="","",D7-B7)</f>
        <v/>
      </c>
      <c r="F7" s="11">
        <f>IF(OR(A7="",N(B7)=0),"",E7/ABS(B7))</f>
        <v/>
      </c>
      <c r="G7" s="10">
        <f>IF(A7="","",D7-C7)</f>
        <v/>
      </c>
      <c r="H7" s="8" t="inlineStr">
        <is>
          <t>volume</t>
        </is>
      </c>
      <c r="I7" s="8" t="inlineStr">
        <is>
          <t>lower absorption on slipped volume</t>
        </is>
      </c>
      <c r="J7" s="7">
        <f>IF(F7="","",ABS(F7)&gt;=Setup!$B$4)</f>
        <v/>
      </c>
    </row>
    <row r="8">
      <c r="A8" s="8" t="n"/>
      <c r="B8" s="9" t="n"/>
      <c r="C8" s="9" t="n"/>
      <c r="D8" s="9" t="n"/>
      <c r="E8" s="10">
        <f>IF(A8="","",D8-B8)</f>
        <v/>
      </c>
      <c r="F8" s="11">
        <f>IF(OR(A8="",N(B8)=0),"",E8/ABS(B8))</f>
        <v/>
      </c>
      <c r="G8" s="10">
        <f>IF(A8="","",D8-C8)</f>
        <v/>
      </c>
      <c r="H8" s="8" t="n"/>
      <c r="I8" s="8" t="n"/>
      <c r="J8" s="7">
        <f>IF(F8="","",ABS(F8)&gt;=Setup!$B$4)</f>
        <v/>
      </c>
    </row>
    <row r="9">
      <c r="A9" s="8" t="n"/>
      <c r="B9" s="9" t="n"/>
      <c r="C9" s="9" t="n"/>
      <c r="D9" s="9" t="n"/>
      <c r="E9" s="10">
        <f>IF(A9="","",D9-B9)</f>
        <v/>
      </c>
      <c r="F9" s="11">
        <f>IF(OR(A9="",N(B9)=0),"",E9/ABS(B9))</f>
        <v/>
      </c>
      <c r="G9" s="10">
        <f>IF(A9="","",D9-C9)</f>
        <v/>
      </c>
      <c r="H9" s="8" t="n"/>
      <c r="I9" s="8" t="n"/>
      <c r="J9" s="7">
        <f>IF(F9="","",ABS(F9)&gt;=Setup!$B$4)</f>
        <v/>
      </c>
    </row>
    <row r="10">
      <c r="A10" s="8" t="n"/>
      <c r="B10" s="9" t="n"/>
      <c r="C10" s="9" t="n"/>
      <c r="D10" s="9" t="n"/>
      <c r="E10" s="10">
        <f>IF(A10="","",D10-B10)</f>
        <v/>
      </c>
      <c r="F10" s="11">
        <f>IF(OR(A10="",N(B10)=0),"",E10/ABS(B10))</f>
        <v/>
      </c>
      <c r="G10" s="10">
        <f>IF(A10="","",D10-C10)</f>
        <v/>
      </c>
      <c r="H10" s="8" t="n"/>
      <c r="I10" s="8" t="n"/>
      <c r="J10" s="7">
        <f>IF(F10="","",ABS(F10)&gt;=Setup!$B$4)</f>
        <v/>
      </c>
    </row>
    <row r="11">
      <c r="A11" s="8" t="n"/>
      <c r="B11" s="9" t="n"/>
      <c r="C11" s="9" t="n"/>
      <c r="D11" s="9" t="n"/>
      <c r="E11" s="10">
        <f>IF(A11="","",D11-B11)</f>
        <v/>
      </c>
      <c r="F11" s="11">
        <f>IF(OR(A11="",N(B11)=0),"",E11/ABS(B11))</f>
        <v/>
      </c>
      <c r="G11" s="10">
        <f>IF(A11="","",D11-C11)</f>
        <v/>
      </c>
      <c r="H11" s="8" t="n"/>
      <c r="I11" s="8" t="n"/>
      <c r="J11" s="7">
        <f>IF(F11="","",ABS(F11)&gt;=Setup!$B$4)</f>
        <v/>
      </c>
    </row>
    <row r="12">
      <c r="A12" s="8" t="n"/>
      <c r="B12" s="9" t="n"/>
      <c r="C12" s="9" t="n"/>
      <c r="D12" s="9" t="n"/>
      <c r="E12" s="10">
        <f>IF(A12="","",D12-B12)</f>
        <v/>
      </c>
      <c r="F12" s="11">
        <f>IF(OR(A12="",N(B12)=0),"",E12/ABS(B12))</f>
        <v/>
      </c>
      <c r="G12" s="10">
        <f>IF(A12="","",D12-C12)</f>
        <v/>
      </c>
      <c r="H12" s="8" t="n"/>
      <c r="I12" s="8" t="n"/>
      <c r="J12" s="7">
        <f>IF(F12="","",ABS(F12)&gt;=Setup!$B$4)</f>
        <v/>
      </c>
    </row>
    <row r="13">
      <c r="A13" s="8" t="n"/>
      <c r="B13" s="9" t="n"/>
      <c r="C13" s="9" t="n"/>
      <c r="D13" s="9" t="n"/>
      <c r="E13" s="10">
        <f>IF(A13="","",D13-B13)</f>
        <v/>
      </c>
      <c r="F13" s="11">
        <f>IF(OR(A13="",N(B13)=0),"",E13/ABS(B13))</f>
        <v/>
      </c>
      <c r="G13" s="10">
        <f>IF(A13="","",D13-C13)</f>
        <v/>
      </c>
      <c r="H13" s="8" t="n"/>
      <c r="I13" s="8" t="n"/>
      <c r="J13" s="7">
        <f>IF(F13="","",ABS(F13)&gt;=Setup!$B$4)</f>
        <v/>
      </c>
    </row>
    <row r="14">
      <c r="A14" s="8" t="n"/>
      <c r="B14" s="9" t="n"/>
      <c r="C14" s="9" t="n"/>
      <c r="D14" s="9" t="n"/>
      <c r="E14" s="10">
        <f>IF(A14="","",D14-B14)</f>
        <v/>
      </c>
      <c r="F14" s="11">
        <f>IF(OR(A14="",N(B14)=0),"",E14/ABS(B14))</f>
        <v/>
      </c>
      <c r="G14" s="10">
        <f>IF(A14="","",D14-C14)</f>
        <v/>
      </c>
      <c r="H14" s="8" t="n"/>
      <c r="I14" s="8" t="n"/>
      <c r="J14" s="7">
        <f>IF(F14="","",ABS(F14)&gt;=Setup!$B$4)</f>
        <v/>
      </c>
    </row>
    <row r="15">
      <c r="A15" s="8" t="n"/>
      <c r="B15" s="9" t="n"/>
      <c r="C15" s="9" t="n"/>
      <c r="D15" s="9" t="n"/>
      <c r="E15" s="10">
        <f>IF(A15="","",D15-B15)</f>
        <v/>
      </c>
      <c r="F15" s="11">
        <f>IF(OR(A15="",N(B15)=0),"",E15/ABS(B15))</f>
        <v/>
      </c>
      <c r="G15" s="10">
        <f>IF(A15="","",D15-C15)</f>
        <v/>
      </c>
      <c r="H15" s="8" t="n"/>
      <c r="I15" s="8" t="n"/>
      <c r="J15" s="7">
        <f>IF(F15="","",ABS(F15)&gt;=Setup!$B$4)</f>
        <v/>
      </c>
    </row>
    <row r="16">
      <c r="A16" s="8" t="n"/>
      <c r="B16" s="9" t="n"/>
      <c r="C16" s="9" t="n"/>
      <c r="D16" s="9" t="n"/>
      <c r="E16" s="10">
        <f>IF(A16="","",D16-B16)</f>
        <v/>
      </c>
      <c r="F16" s="11">
        <f>IF(OR(A16="",N(B16)=0),"",E16/ABS(B16))</f>
        <v/>
      </c>
      <c r="G16" s="10">
        <f>IF(A16="","",D16-C16)</f>
        <v/>
      </c>
      <c r="H16" s="8" t="n"/>
      <c r="I16" s="8" t="n"/>
      <c r="J16" s="7">
        <f>IF(F16="","",ABS(F16)&gt;=Setup!$B$4)</f>
        <v/>
      </c>
    </row>
    <row r="17">
      <c r="A17" s="8" t="n"/>
      <c r="B17" s="9" t="n"/>
      <c r="C17" s="9" t="n"/>
      <c r="D17" s="9" t="n"/>
      <c r="E17" s="10">
        <f>IF(A17="","",D17-B17)</f>
        <v/>
      </c>
      <c r="F17" s="11">
        <f>IF(OR(A17="",N(B17)=0),"",E17/ABS(B17))</f>
        <v/>
      </c>
      <c r="G17" s="10">
        <f>IF(A17="","",D17-C17)</f>
        <v/>
      </c>
      <c r="H17" s="8" t="n"/>
      <c r="I17" s="8" t="n"/>
      <c r="J17" s="7">
        <f>IF(F17="","",ABS(F17)&gt;=Setup!$B$4)</f>
        <v/>
      </c>
    </row>
    <row r="18">
      <c r="A18" s="8" t="n"/>
      <c r="B18" s="9" t="n"/>
      <c r="C18" s="9" t="n"/>
      <c r="D18" s="9" t="n"/>
      <c r="E18" s="10">
        <f>IF(A18="","",D18-B18)</f>
        <v/>
      </c>
      <c r="F18" s="11">
        <f>IF(OR(A18="",N(B18)=0),"",E18/ABS(B18))</f>
        <v/>
      </c>
      <c r="G18" s="10">
        <f>IF(A18="","",D18-C18)</f>
        <v/>
      </c>
      <c r="H18" s="8" t="n"/>
      <c r="I18" s="8" t="n"/>
      <c r="J18" s="7">
        <f>IF(F18="","",ABS(F18)&gt;=Setup!$B$4)</f>
        <v/>
      </c>
    </row>
    <row r="19">
      <c r="A19" s="8" t="n"/>
      <c r="B19" s="9" t="n"/>
      <c r="C19" s="9" t="n"/>
      <c r="D19" s="9" t="n"/>
      <c r="E19" s="10">
        <f>IF(A19="","",D19-B19)</f>
        <v/>
      </c>
      <c r="F19" s="11">
        <f>IF(OR(A19="",N(B19)=0),"",E19/ABS(B19))</f>
        <v/>
      </c>
      <c r="G19" s="10">
        <f>IF(A19="","",D19-C19)</f>
        <v/>
      </c>
      <c r="H19" s="8" t="n"/>
      <c r="I19" s="8" t="n"/>
      <c r="J19" s="7">
        <f>IF(F19="","",ABS(F19)&gt;=Setup!$B$4)</f>
        <v/>
      </c>
    </row>
    <row r="20">
      <c r="A20" s="8" t="n"/>
      <c r="B20" s="9" t="n"/>
      <c r="C20" s="9" t="n"/>
      <c r="D20" s="9" t="n"/>
      <c r="E20" s="10">
        <f>IF(A20="","",D20-B20)</f>
        <v/>
      </c>
      <c r="F20" s="11">
        <f>IF(OR(A20="",N(B20)=0),"",E20/ABS(B20))</f>
        <v/>
      </c>
      <c r="G20" s="10">
        <f>IF(A20="","",D20-C20)</f>
        <v/>
      </c>
      <c r="H20" s="8" t="n"/>
      <c r="I20" s="8" t="n"/>
      <c r="J20" s="7">
        <f>IF(F20="","",ABS(F20)&gt;=Setup!$B$4)</f>
        <v/>
      </c>
    </row>
    <row r="21">
      <c r="A21" s="8" t="n"/>
      <c r="B21" s="9" t="n"/>
      <c r="C21" s="9" t="n"/>
      <c r="D21" s="9" t="n"/>
      <c r="E21" s="10">
        <f>IF(A21="","",D21-B21)</f>
        <v/>
      </c>
      <c r="F21" s="11">
        <f>IF(OR(A21="",N(B21)=0),"",E21/ABS(B21))</f>
        <v/>
      </c>
      <c r="G21" s="10">
        <f>IF(A21="","",D21-C21)</f>
        <v/>
      </c>
      <c r="H21" s="8" t="n"/>
      <c r="I21" s="8" t="n"/>
      <c r="J21" s="7">
        <f>IF(F21="","",ABS(F21)&gt;=Setup!$B$4)</f>
        <v/>
      </c>
    </row>
    <row r="22">
      <c r="A22" s="8" t="n"/>
      <c r="B22" s="9" t="n"/>
      <c r="C22" s="9" t="n"/>
      <c r="D22" s="9" t="n"/>
      <c r="E22" s="10">
        <f>IF(A22="","",D22-B22)</f>
        <v/>
      </c>
      <c r="F22" s="11">
        <f>IF(OR(A22="",N(B22)=0),"",E22/ABS(B22))</f>
        <v/>
      </c>
      <c r="G22" s="10">
        <f>IF(A22="","",D22-C22)</f>
        <v/>
      </c>
      <c r="H22" s="8" t="n"/>
      <c r="I22" s="8" t="n"/>
      <c r="J22" s="7">
        <f>IF(F22="","",ABS(F22)&gt;=Setup!$B$4)</f>
        <v/>
      </c>
    </row>
    <row r="23">
      <c r="A23" s="8" t="n"/>
      <c r="B23" s="9" t="n"/>
      <c r="C23" s="9" t="n"/>
      <c r="D23" s="9" t="n"/>
      <c r="E23" s="10">
        <f>IF(A23="","",D23-B23)</f>
        <v/>
      </c>
      <c r="F23" s="11">
        <f>IF(OR(A23="",N(B23)=0),"",E23/ABS(B23))</f>
        <v/>
      </c>
      <c r="G23" s="10">
        <f>IF(A23="","",D23-C23)</f>
        <v/>
      </c>
      <c r="H23" s="8" t="n"/>
      <c r="I23" s="8" t="n"/>
      <c r="J23" s="7">
        <f>IF(F23="","",ABS(F23)&gt;=Setup!$B$4)</f>
        <v/>
      </c>
    </row>
    <row r="24">
      <c r="A24" s="8" t="n"/>
      <c r="B24" s="9" t="n"/>
      <c r="C24" s="9" t="n"/>
      <c r="D24" s="9" t="n"/>
      <c r="E24" s="10">
        <f>IF(A24="","",D24-B24)</f>
        <v/>
      </c>
      <c r="F24" s="11">
        <f>IF(OR(A24="",N(B24)=0),"",E24/ABS(B24))</f>
        <v/>
      </c>
      <c r="G24" s="10">
        <f>IF(A24="","",D24-C24)</f>
        <v/>
      </c>
      <c r="H24" s="8" t="n"/>
      <c r="I24" s="8" t="n"/>
      <c r="J24" s="7">
        <f>IF(F24="","",ABS(F24)&gt;=Setup!$B$4)</f>
        <v/>
      </c>
    </row>
    <row r="25">
      <c r="A25" s="8" t="n"/>
      <c r="B25" s="9" t="n"/>
      <c r="C25" s="9" t="n"/>
      <c r="D25" s="9" t="n"/>
      <c r="E25" s="10">
        <f>IF(A25="","",D25-B25)</f>
        <v/>
      </c>
      <c r="F25" s="11">
        <f>IF(OR(A25="",N(B25)=0),"",E25/ABS(B25))</f>
        <v/>
      </c>
      <c r="G25" s="10">
        <f>IF(A25="","",D25-C25)</f>
        <v/>
      </c>
      <c r="H25" s="8" t="n"/>
      <c r="I25" s="8" t="n"/>
      <c r="J25" s="7">
        <f>IF(F25="","",ABS(F25)&gt;=Setup!$B$4)</f>
        <v/>
      </c>
    </row>
    <row r="26">
      <c r="A26" s="8" t="n"/>
      <c r="B26" s="9" t="n"/>
      <c r="C26" s="9" t="n"/>
      <c r="D26" s="9" t="n"/>
      <c r="E26" s="10">
        <f>IF(A26="","",D26-B26)</f>
        <v/>
      </c>
      <c r="F26" s="11">
        <f>IF(OR(A26="",N(B26)=0),"",E26/ABS(B26))</f>
        <v/>
      </c>
      <c r="G26" s="10">
        <f>IF(A26="","",D26-C26)</f>
        <v/>
      </c>
      <c r="H26" s="8" t="n"/>
      <c r="I26" s="8" t="n"/>
      <c r="J26" s="7">
        <f>IF(F26="","",ABS(F26)&gt;=Setup!$B$4)</f>
        <v/>
      </c>
    </row>
    <row r="27">
      <c r="A27" s="8" t="n"/>
      <c r="B27" s="9" t="n"/>
      <c r="C27" s="9" t="n"/>
      <c r="D27" s="9" t="n"/>
      <c r="E27" s="10">
        <f>IF(A27="","",D27-B27)</f>
        <v/>
      </c>
      <c r="F27" s="11">
        <f>IF(OR(A27="",N(B27)=0),"",E27/ABS(B27))</f>
        <v/>
      </c>
      <c r="G27" s="10">
        <f>IF(A27="","",D27-C27)</f>
        <v/>
      </c>
      <c r="H27" s="8" t="n"/>
      <c r="I27" s="8" t="n"/>
      <c r="J27" s="7">
        <f>IF(F27="","",ABS(F27)&gt;=Setup!$B$4)</f>
        <v/>
      </c>
    </row>
    <row r="28">
      <c r="A28" s="8" t="n"/>
      <c r="B28" s="9" t="n"/>
      <c r="C28" s="9" t="n"/>
      <c r="D28" s="9" t="n"/>
      <c r="E28" s="10">
        <f>IF(A28="","",D28-B28)</f>
        <v/>
      </c>
      <c r="F28" s="11">
        <f>IF(OR(A28="",N(B28)=0),"",E28/ABS(B28))</f>
        <v/>
      </c>
      <c r="G28" s="10">
        <f>IF(A28="","",D28-C28)</f>
        <v/>
      </c>
      <c r="H28" s="8" t="n"/>
      <c r="I28" s="8" t="n"/>
      <c r="J28" s="7">
        <f>IF(F28="","",ABS(F28)&gt;=Setup!$B$4)</f>
        <v/>
      </c>
    </row>
    <row r="29">
      <c r="A29" s="8" t="n"/>
      <c r="B29" s="9" t="n"/>
      <c r="C29" s="9" t="n"/>
      <c r="D29" s="9" t="n"/>
      <c r="E29" s="10">
        <f>IF(A29="","",D29-B29)</f>
        <v/>
      </c>
      <c r="F29" s="11">
        <f>IF(OR(A29="",N(B29)=0),"",E29/ABS(B29))</f>
        <v/>
      </c>
      <c r="G29" s="10">
        <f>IF(A29="","",D29-C29)</f>
        <v/>
      </c>
      <c r="H29" s="8" t="n"/>
      <c r="I29" s="8" t="n"/>
      <c r="J29" s="7">
        <f>IF(F29="","",ABS(F29)&gt;=Setup!$B$4)</f>
        <v/>
      </c>
    </row>
    <row r="30">
      <c r="A30" s="8" t="n"/>
      <c r="B30" s="9" t="n"/>
      <c r="C30" s="9" t="n"/>
      <c r="D30" s="9" t="n"/>
      <c r="E30" s="10">
        <f>IF(A30="","",D30-B30)</f>
        <v/>
      </c>
      <c r="F30" s="11">
        <f>IF(OR(A30="",N(B30)=0),"",E30/ABS(B30))</f>
        <v/>
      </c>
      <c r="G30" s="10">
        <f>IF(A30="","",D30-C30)</f>
        <v/>
      </c>
      <c r="H30" s="8" t="n"/>
      <c r="I30" s="8" t="n"/>
      <c r="J30" s="7">
        <f>IF(F30="","",ABS(F30)&gt;=Setup!$B$4)</f>
        <v/>
      </c>
    </row>
    <row r="31">
      <c r="A31" s="8" t="n"/>
      <c r="B31" s="9" t="n"/>
      <c r="C31" s="9" t="n"/>
      <c r="D31" s="9" t="n"/>
      <c r="E31" s="10">
        <f>IF(A31="","",D31-B31)</f>
        <v/>
      </c>
      <c r="F31" s="11">
        <f>IF(OR(A31="",N(B31)=0),"",E31/ABS(B31))</f>
        <v/>
      </c>
      <c r="G31" s="10">
        <f>IF(A31="","",D31-C31)</f>
        <v/>
      </c>
      <c r="H31" s="8" t="n"/>
      <c r="I31" s="8" t="n"/>
      <c r="J31" s="7">
        <f>IF(F31="","",ABS(F31)&gt;=Setup!$B$4)</f>
        <v/>
      </c>
    </row>
    <row r="32">
      <c r="A32" s="8" t="n"/>
      <c r="B32" s="9" t="n"/>
      <c r="C32" s="9" t="n"/>
      <c r="D32" s="9" t="n"/>
      <c r="E32" s="10">
        <f>IF(A32="","",D32-B32)</f>
        <v/>
      </c>
      <c r="F32" s="11">
        <f>IF(OR(A32="",N(B32)=0),"",E32/ABS(B32))</f>
        <v/>
      </c>
      <c r="G32" s="10">
        <f>IF(A32="","",D32-C32)</f>
        <v/>
      </c>
      <c r="H32" s="8" t="n"/>
      <c r="I32" s="8" t="n"/>
      <c r="J32" s="7">
        <f>IF(F32="","",ABS(F32)&gt;=Setup!$B$4)</f>
        <v/>
      </c>
    </row>
    <row r="33">
      <c r="A33" s="8" t="n"/>
      <c r="B33" s="9" t="n"/>
      <c r="C33" s="9" t="n"/>
      <c r="D33" s="9" t="n"/>
      <c r="E33" s="10">
        <f>IF(A33="","",D33-B33)</f>
        <v/>
      </c>
      <c r="F33" s="11">
        <f>IF(OR(A33="",N(B33)=0),"",E33/ABS(B33))</f>
        <v/>
      </c>
      <c r="G33" s="10">
        <f>IF(A33="","",D33-C33)</f>
        <v/>
      </c>
      <c r="H33" s="8" t="n"/>
      <c r="I33" s="8" t="n"/>
      <c r="J33" s="7">
        <f>IF(F33="","",ABS(F33)&gt;=Setup!$B$4)</f>
        <v/>
      </c>
    </row>
    <row r="34">
      <c r="A34" s="8" t="n"/>
      <c r="B34" s="9" t="n"/>
      <c r="C34" s="9" t="n"/>
      <c r="D34" s="9" t="n"/>
      <c r="E34" s="10">
        <f>IF(A34="","",D34-B34)</f>
        <v/>
      </c>
      <c r="F34" s="11">
        <f>IF(OR(A34="",N(B34)=0),"",E34/ABS(B34))</f>
        <v/>
      </c>
      <c r="G34" s="10">
        <f>IF(A34="","",D34-C34)</f>
        <v/>
      </c>
      <c r="H34" s="8" t="n"/>
      <c r="I34" s="8" t="n"/>
      <c r="J34" s="7">
        <f>IF(F34="","",ABS(F34)&gt;=Setup!$B$4)</f>
        <v/>
      </c>
    </row>
    <row r="35">
      <c r="A35" s="8" t="n"/>
      <c r="B35" s="9" t="n"/>
      <c r="C35" s="9" t="n"/>
      <c r="D35" s="9" t="n"/>
      <c r="E35" s="10">
        <f>IF(A35="","",D35-B35)</f>
        <v/>
      </c>
      <c r="F35" s="11">
        <f>IF(OR(A35="",N(B35)=0),"",E35/ABS(B35))</f>
        <v/>
      </c>
      <c r="G35" s="10">
        <f>IF(A35="","",D35-C35)</f>
        <v/>
      </c>
      <c r="H35" s="8" t="n"/>
      <c r="I35" s="8" t="n"/>
      <c r="J35" s="7">
        <f>IF(F35="","",ABS(F35)&gt;=Setup!$B$4)</f>
        <v/>
      </c>
    </row>
    <row r="36">
      <c r="A36" s="8" t="n"/>
      <c r="B36" s="9" t="n"/>
      <c r="C36" s="9" t="n"/>
      <c r="D36" s="9" t="n"/>
      <c r="E36" s="10">
        <f>IF(A36="","",D36-B36)</f>
        <v/>
      </c>
      <c r="F36" s="11">
        <f>IF(OR(A36="",N(B36)=0),"",E36/ABS(B36))</f>
        <v/>
      </c>
      <c r="G36" s="10">
        <f>IF(A36="","",D36-C36)</f>
        <v/>
      </c>
      <c r="H36" s="8" t="n"/>
      <c r="I36" s="8" t="n"/>
      <c r="J36" s="7">
        <f>IF(F36="","",ABS(F36)&gt;=Setup!$B$4)</f>
        <v/>
      </c>
    </row>
    <row r="37">
      <c r="A37" s="8" t="n"/>
      <c r="B37" s="9" t="n"/>
      <c r="C37" s="9" t="n"/>
      <c r="D37" s="9" t="n"/>
      <c r="E37" s="10">
        <f>IF(A37="","",D37-B37)</f>
        <v/>
      </c>
      <c r="F37" s="11">
        <f>IF(OR(A37="",N(B37)=0),"",E37/ABS(B37))</f>
        <v/>
      </c>
      <c r="G37" s="10">
        <f>IF(A37="","",D37-C37)</f>
        <v/>
      </c>
      <c r="H37" s="8" t="n"/>
      <c r="I37" s="8" t="n"/>
      <c r="J37" s="7">
        <f>IF(F37="","",ABS(F37)&gt;=Setup!$B$4)</f>
        <v/>
      </c>
    </row>
    <row r="38">
      <c r="A38" s="8" t="n"/>
      <c r="B38" s="9" t="n"/>
      <c r="C38" s="9" t="n"/>
      <c r="D38" s="9" t="n"/>
      <c r="E38" s="10">
        <f>IF(A38="","",D38-B38)</f>
        <v/>
      </c>
      <c r="F38" s="11">
        <f>IF(OR(A38="",N(B38)=0),"",E38/ABS(B38))</f>
        <v/>
      </c>
      <c r="G38" s="10">
        <f>IF(A38="","",D38-C38)</f>
        <v/>
      </c>
      <c r="H38" s="8" t="n"/>
      <c r="I38" s="8" t="n"/>
      <c r="J38" s="7">
        <f>IF(F38="","",ABS(F38)&gt;=Setup!$B$4)</f>
        <v/>
      </c>
    </row>
    <row r="39">
      <c r="A39" s="8" t="n"/>
      <c r="B39" s="9" t="n"/>
      <c r="C39" s="9" t="n"/>
      <c r="D39" s="9" t="n"/>
      <c r="E39" s="10">
        <f>IF(A39="","",D39-B39)</f>
        <v/>
      </c>
      <c r="F39" s="11">
        <f>IF(OR(A39="",N(B39)=0),"",E39/ABS(B39))</f>
        <v/>
      </c>
      <c r="G39" s="10">
        <f>IF(A39="","",D39-C39)</f>
        <v/>
      </c>
      <c r="H39" s="8" t="n"/>
      <c r="I39" s="8" t="n"/>
      <c r="J39" s="7">
        <f>IF(F39="","",ABS(F39)&gt;=Setup!$B$4)</f>
        <v/>
      </c>
    </row>
    <row r="40">
      <c r="A40" s="8" t="n"/>
      <c r="B40" s="9" t="n"/>
      <c r="C40" s="9" t="n"/>
      <c r="D40" s="9" t="n"/>
      <c r="E40" s="10">
        <f>IF(A40="","",D40-B40)</f>
        <v/>
      </c>
      <c r="F40" s="11">
        <f>IF(OR(A40="",N(B40)=0),"",E40/ABS(B40))</f>
        <v/>
      </c>
      <c r="G40" s="10">
        <f>IF(A40="","",D40-C40)</f>
        <v/>
      </c>
      <c r="H40" s="8" t="n"/>
      <c r="I40" s="8" t="n"/>
      <c r="J40" s="7">
        <f>IF(F40="","",ABS(F40)&gt;=Setup!$B$4)</f>
        <v/>
      </c>
    </row>
    <row r="41">
      <c r="A41" s="8" t="n"/>
      <c r="B41" s="9" t="n"/>
      <c r="C41" s="9" t="n"/>
      <c r="D41" s="9" t="n"/>
      <c r="E41" s="10">
        <f>IF(A41="","",D41-B41)</f>
        <v/>
      </c>
      <c r="F41" s="11">
        <f>IF(OR(A41="",N(B41)=0),"",E41/ABS(B41))</f>
        <v/>
      </c>
      <c r="G41" s="10">
        <f>IF(A41="","",D41-C41)</f>
        <v/>
      </c>
      <c r="H41" s="8" t="n"/>
      <c r="I41" s="8" t="n"/>
      <c r="J41" s="7">
        <f>IF(F41="","",ABS(F41)&gt;=Setup!$B$4)</f>
        <v/>
      </c>
    </row>
    <row r="42">
      <c r="A42" s="8" t="n"/>
      <c r="B42" s="9" t="n"/>
      <c r="C42" s="9" t="n"/>
      <c r="D42" s="9" t="n"/>
      <c r="E42" s="10">
        <f>IF(A42="","",D42-B42)</f>
        <v/>
      </c>
      <c r="F42" s="11">
        <f>IF(OR(A42="",N(B42)=0),"",E42/ABS(B42))</f>
        <v/>
      </c>
      <c r="G42" s="10">
        <f>IF(A42="","",D42-C42)</f>
        <v/>
      </c>
      <c r="H42" s="8" t="n"/>
      <c r="I42" s="8" t="n"/>
      <c r="J42" s="7">
        <f>IF(F42="","",ABS(F42)&gt;=Setup!$B$4)</f>
        <v/>
      </c>
    </row>
    <row r="43">
      <c r="A43" s="8" t="n"/>
      <c r="B43" s="9" t="n"/>
      <c r="C43" s="9" t="n"/>
      <c r="D43" s="9" t="n"/>
      <c r="E43" s="10">
        <f>IF(A43="","",D43-B43)</f>
        <v/>
      </c>
      <c r="F43" s="11">
        <f>IF(OR(A43="",N(B43)=0),"",E43/ABS(B43))</f>
        <v/>
      </c>
      <c r="G43" s="10">
        <f>IF(A43="","",D43-C43)</f>
        <v/>
      </c>
      <c r="H43" s="8" t="n"/>
      <c r="I43" s="8" t="n"/>
      <c r="J43" s="7">
        <f>IF(F43="","",ABS(F43)&gt;=Setup!$B$4)</f>
        <v/>
      </c>
    </row>
    <row r="44">
      <c r="A44" s="8" t="n"/>
      <c r="B44" s="9" t="n"/>
      <c r="C44" s="9" t="n"/>
      <c r="D44" s="9" t="n"/>
      <c r="E44" s="10">
        <f>IF(A44="","",D44-B44)</f>
        <v/>
      </c>
      <c r="F44" s="11">
        <f>IF(OR(A44="",N(B44)=0),"",E44/ABS(B44))</f>
        <v/>
      </c>
      <c r="G44" s="10">
        <f>IF(A44="","",D44-C44)</f>
        <v/>
      </c>
      <c r="H44" s="8" t="n"/>
      <c r="I44" s="8" t="n"/>
      <c r="J44" s="7">
        <f>IF(F44="","",ABS(F44)&gt;=Setup!$B$4)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materiality threshold (|variance %|)</t>
        </is>
      </c>
      <c r="B4" s="12" t="n">
        <v>0.05</v>
      </c>
    </row>
    <row r="5">
      <c r="A5" t="inlineStr">
        <is>
          <t>version naming: Budget FY2026-27 / LE-Mn (month of re-forecast) / Actual</t>
        </is>
      </c>
      <c r="B5" s="8" t="inlineStr">
        <is>
          <t>LE-Oct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Driver tree (revenue = units x price; cost = units x unit cost)</t>
        </is>
      </c>
    </row>
    <row r="2"/>
    <row r="3"/>
    <row r="4">
      <c r="A4" s="6" t="inlineStr">
        <is>
          <t>product / channel</t>
        </is>
      </c>
      <c r="B4" s="6" t="inlineStr">
        <is>
          <t>units</t>
        </is>
      </c>
      <c r="C4" s="6" t="inlineStr">
        <is>
          <t>price</t>
        </is>
      </c>
      <c r="D4" s="6" t="inlineStr">
        <is>
          <t>unit cost</t>
        </is>
      </c>
      <c r="E4" s="6" t="inlineStr">
        <is>
          <t>revenue</t>
        </is>
      </c>
      <c r="F4" s="6" t="inlineStr">
        <is>
          <t>cogs</t>
        </is>
      </c>
      <c r="G4" s="6" t="inlineStr">
        <is>
          <t>cogs_pct (feeds K01 channels[i].cogs_pct)</t>
        </is>
      </c>
    </row>
    <row r="5">
      <c r="A5" s="8" t="inlineStr">
        <is>
          <t>Dealer network</t>
        </is>
      </c>
      <c r="B5" s="13" t="n">
        <v>120000</v>
      </c>
      <c r="C5" s="9" t="n">
        <v>4500</v>
      </c>
      <c r="D5" s="9" t="n">
        <v>2700</v>
      </c>
      <c r="E5" s="10">
        <f>IF(A5="","",B5*C5)</f>
        <v/>
      </c>
      <c r="F5" s="10">
        <f>IF(A5="","",B5*D5)</f>
        <v/>
      </c>
      <c r="G5" s="11">
        <f>IF(OR(A5="",N(E5)=0),"",F5/E5)</f>
        <v/>
      </c>
    </row>
    <row r="6">
      <c r="A6" s="8" t="inlineStr">
        <is>
          <t>Amazon.in / Flipkart</t>
        </is>
      </c>
      <c r="B6" s="13" t="n">
        <v>60000</v>
      </c>
      <c r="C6" s="9" t="n">
        <v>5200</v>
      </c>
      <c r="D6" s="9" t="n">
        <v>2900</v>
      </c>
      <c r="E6" s="10">
        <f>IF(A6="","",B6*C6)</f>
        <v/>
      </c>
      <c r="F6" s="10">
        <f>IF(A6="","",B6*D6)</f>
        <v/>
      </c>
      <c r="G6" s="11">
        <f>IF(OR(A6="",N(E6)=0),"",F6/E6)</f>
        <v/>
      </c>
    </row>
    <row r="7">
      <c r="A7" s="8" t="n"/>
      <c r="B7" s="13" t="n"/>
      <c r="C7" s="9" t="n"/>
      <c r="D7" s="9" t="n"/>
      <c r="E7" s="10">
        <f>IF(A7="","",B7*C7)</f>
        <v/>
      </c>
      <c r="F7" s="10">
        <f>IF(A7="","",B7*D7)</f>
        <v/>
      </c>
      <c r="G7" s="11">
        <f>IF(OR(A7="",N(E7)=0),"",F7/E7)</f>
        <v/>
      </c>
    </row>
    <row r="8">
      <c r="A8" s="8" t="n"/>
      <c r="B8" s="13" t="n"/>
      <c r="C8" s="9" t="n"/>
      <c r="D8" s="9" t="n"/>
      <c r="E8" s="10">
        <f>IF(A8="","",B8*C8)</f>
        <v/>
      </c>
      <c r="F8" s="10">
        <f>IF(A8="","",B8*D8)</f>
        <v/>
      </c>
      <c r="G8" s="11">
        <f>IF(OR(A8="",N(E8)=0),"",F8/E8)</f>
        <v/>
      </c>
    </row>
    <row r="9">
      <c r="A9" s="8" t="n"/>
      <c r="B9" s="13" t="n"/>
      <c r="C9" s="9" t="n"/>
      <c r="D9" s="9" t="n"/>
      <c r="E9" s="10">
        <f>IF(A9="","",B9*C9)</f>
        <v/>
      </c>
      <c r="F9" s="10">
        <f>IF(A9="","",B9*D9)</f>
        <v/>
      </c>
      <c r="G9" s="11">
        <f>IF(OR(A9="",N(E9)=0),"",F9/E9)</f>
        <v/>
      </c>
    </row>
    <row r="10">
      <c r="A10" s="8" t="n"/>
      <c r="B10" s="13" t="n"/>
      <c r="C10" s="9" t="n"/>
      <c r="D10" s="9" t="n"/>
      <c r="E10" s="10">
        <f>IF(A10="","",B10*C10)</f>
        <v/>
      </c>
      <c r="F10" s="10">
        <f>IF(A10="","",B10*D10)</f>
        <v/>
      </c>
      <c r="G10" s="11">
        <f>IF(OR(A10="",N(E10)=0),"",F10/E10)</f>
        <v/>
      </c>
    </row>
    <row r="11">
      <c r="A11" s="8" t="n"/>
      <c r="B11" s="13" t="n"/>
      <c r="C11" s="9" t="n"/>
      <c r="D11" s="9" t="n"/>
      <c r="E11" s="10">
        <f>IF(A11="","",B11*C11)</f>
        <v/>
      </c>
      <c r="F11" s="10">
        <f>IF(A11="","",B11*D11)</f>
        <v/>
      </c>
      <c r="G11" s="11">
        <f>IF(OR(A11="",N(E11)=0),"",F11/E11)</f>
        <v/>
      </c>
    </row>
    <row r="12">
      <c r="A12" s="8" t="n"/>
      <c r="B12" s="13" t="n"/>
      <c r="C12" s="9" t="n"/>
      <c r="D12" s="9" t="n"/>
      <c r="E12" s="10">
        <f>IF(A12="","",B12*C12)</f>
        <v/>
      </c>
      <c r="F12" s="10">
        <f>IF(A12="","",B12*D12)</f>
        <v/>
      </c>
      <c r="G12" s="11">
        <f>IF(OR(A12="",N(E12)=0),"",F12/E12)</f>
        <v/>
      </c>
    </row>
    <row r="13">
      <c r="A13" s="8" t="n"/>
      <c r="B13" s="13" t="n"/>
      <c r="C13" s="9" t="n"/>
      <c r="D13" s="9" t="n"/>
      <c r="E13" s="10">
        <f>IF(A13="","",B13*C13)</f>
        <v/>
      </c>
      <c r="F13" s="10">
        <f>IF(A13="","",B13*D13)</f>
        <v/>
      </c>
      <c r="G13" s="11">
        <f>IF(OR(A13="",N(E13)=0),"",F13/E13)</f>
        <v/>
      </c>
    </row>
    <row r="14">
      <c r="A14" s="8" t="n"/>
      <c r="B14" s="13" t="n"/>
      <c r="C14" s="9" t="n"/>
      <c r="D14" s="9" t="n"/>
      <c r="E14" s="10">
        <f>IF(A14="","",B14*C14)</f>
        <v/>
      </c>
      <c r="F14" s="10">
        <f>IF(A14="","",B14*D14)</f>
        <v/>
      </c>
      <c r="G14" s="11">
        <f>IF(OR(A14="",N(E14)=0),"",F14/E14)</f>
        <v/>
      </c>
    </row>
    <row r="15">
      <c r="A15" s="8" t="n"/>
      <c r="B15" s="13" t="n"/>
      <c r="C15" s="9" t="n"/>
      <c r="D15" s="9" t="n"/>
      <c r="E15" s="10">
        <f>IF(A15="","",B15*C15)</f>
        <v/>
      </c>
      <c r="F15" s="10">
        <f>IF(A15="","",B15*D15)</f>
        <v/>
      </c>
      <c r="G15" s="11">
        <f>IF(OR(A15="",N(E15)=0),"",F15/E15)</f>
        <v/>
      </c>
    </row>
    <row r="16">
      <c r="A16" s="8" t="n"/>
      <c r="B16" s="13" t="n"/>
      <c r="C16" s="9" t="n"/>
      <c r="D16" s="9" t="n"/>
      <c r="E16" s="10">
        <f>IF(A16="","",B16*C16)</f>
        <v/>
      </c>
      <c r="F16" s="10">
        <f>IF(A16="","",B16*D16)</f>
        <v/>
      </c>
      <c r="G16" s="11">
        <f>IF(OR(A16="",N(E16)=0),"",F16/E16)</f>
        <v/>
      </c>
    </row>
    <row r="17">
      <c r="A17" s="8" t="n"/>
      <c r="B17" s="13" t="n"/>
      <c r="C17" s="9" t="n"/>
      <c r="D17" s="9" t="n"/>
      <c r="E17" s="10">
        <f>IF(A17="","",B17*C17)</f>
        <v/>
      </c>
      <c r="F17" s="10">
        <f>IF(A17="","",B17*D17)</f>
        <v/>
      </c>
      <c r="G17" s="11">
        <f>IF(OR(A17="",N(E17)=0),"",F17/E17)</f>
        <v/>
      </c>
    </row>
    <row r="18">
      <c r="A18" s="8" t="n"/>
      <c r="B18" s="13" t="n"/>
      <c r="C18" s="9" t="n"/>
      <c r="D18" s="9" t="n"/>
      <c r="E18" s="10">
        <f>IF(A18="","",B18*C18)</f>
        <v/>
      </c>
      <c r="F18" s="10">
        <f>IF(A18="","",B18*D18)</f>
        <v/>
      </c>
      <c r="G18" s="11">
        <f>IF(OR(A18="",N(E18)=0),"",F18/E18)</f>
        <v/>
      </c>
    </row>
    <row r="19">
      <c r="A19" s="8" t="n"/>
      <c r="B19" s="13" t="n"/>
      <c r="C19" s="9" t="n"/>
      <c r="D19" s="9" t="n"/>
      <c r="E19" s="10">
        <f>IF(A19="","",B19*C19)</f>
        <v/>
      </c>
      <c r="F19" s="10">
        <f>IF(A19="","",B19*D19)</f>
        <v/>
      </c>
      <c r="G19" s="11">
        <f>IF(OR(A19="",N(E19)=0),"",F19/E19)</f>
        <v/>
      </c>
    </row>
    <row r="20">
      <c r="A20" s="8" t="n"/>
      <c r="B20" s="13" t="n"/>
      <c r="C20" s="9" t="n"/>
      <c r="D20" s="9" t="n"/>
      <c r="E20" s="10">
        <f>IF(A20="","",B20*C20)</f>
        <v/>
      </c>
      <c r="F20" s="10">
        <f>IF(A20="","",B20*D20)</f>
        <v/>
      </c>
      <c r="G20" s="11">
        <f>IF(OR(A20="",N(E20)=0),"",F20/E20)</f>
        <v/>
      </c>
    </row>
    <row r="21">
      <c r="A21" s="8" t="n"/>
      <c r="B21" s="13" t="n"/>
      <c r="C21" s="9" t="n"/>
      <c r="D21" s="9" t="n"/>
      <c r="E21" s="10">
        <f>IF(A21="","",B21*C21)</f>
        <v/>
      </c>
      <c r="F21" s="10">
        <f>IF(A21="","",B21*D21)</f>
        <v/>
      </c>
      <c r="G21" s="11">
        <f>IF(OR(A21="",N(E21)=0),"",F21/E21)</f>
        <v/>
      </c>
    </row>
    <row r="22">
      <c r="A22" s="8" t="n"/>
      <c r="B22" s="13" t="n"/>
      <c r="C22" s="9" t="n"/>
      <c r="D22" s="9" t="n"/>
      <c r="E22" s="10">
        <f>IF(A22="","",B22*C22)</f>
        <v/>
      </c>
      <c r="F22" s="10">
        <f>IF(A22="","",B22*D22)</f>
        <v/>
      </c>
      <c r="G22" s="11">
        <f>IF(OR(A22="",N(E22)=0),"",F22/E22)</f>
        <v/>
      </c>
    </row>
    <row r="23">
      <c r="A23" s="8" t="n"/>
      <c r="B23" s="13" t="n"/>
      <c r="C23" s="9" t="n"/>
      <c r="D23" s="9" t="n"/>
      <c r="E23" s="10">
        <f>IF(A23="","",B23*C23)</f>
        <v/>
      </c>
      <c r="F23" s="10">
        <f>IF(A23="","",B23*D23)</f>
        <v/>
      </c>
      <c r="G23" s="11">
        <f>IF(OR(A23="",N(E23)=0),"",F23/E23)</f>
        <v/>
      </c>
    </row>
    <row r="24">
      <c r="A24" s="8" t="n"/>
      <c r="B24" s="13" t="n"/>
      <c r="C24" s="9" t="n"/>
      <c r="D24" s="9" t="n"/>
      <c r="E24" s="10">
        <f>IF(A24="","",B24*C24)</f>
        <v/>
      </c>
      <c r="F24" s="10">
        <f>IF(A24="","",B24*D24)</f>
        <v/>
      </c>
      <c r="G24" s="11">
        <f>IF(OR(A24="",N(E24)=0),"",F24/E24)</f>
        <v/>
      </c>
    </row>
    <row r="25">
      <c r="A25" s="8" t="n"/>
      <c r="B25" s="13" t="n"/>
      <c r="C25" s="9" t="n"/>
      <c r="D25" s="9" t="n"/>
      <c r="E25" s="10">
        <f>IF(A25="","",B25*C25)</f>
        <v/>
      </c>
      <c r="F25" s="10">
        <f>IF(A25="","",B25*D25)</f>
        <v/>
      </c>
      <c r="G25" s="11">
        <f>IF(OR(A25="",N(E25)=0),"",F25/E25)</f>
        <v/>
      </c>
    </row>
    <row r="26">
      <c r="A26" s="8" t="n"/>
      <c r="B26" s="13" t="n"/>
      <c r="C26" s="9" t="n"/>
      <c r="D26" s="9" t="n"/>
      <c r="E26" s="10">
        <f>IF(A26="","",B26*C26)</f>
        <v/>
      </c>
      <c r="F26" s="10">
        <f>IF(A26="","",B26*D26)</f>
        <v/>
      </c>
      <c r="G26" s="11">
        <f>IF(OR(A26="",N(E26)=0),"",F26/E26)</f>
        <v/>
      </c>
    </row>
    <row r="27">
      <c r="A27" s="8" t="n"/>
      <c r="B27" s="13" t="n"/>
      <c r="C27" s="9" t="n"/>
      <c r="D27" s="9" t="n"/>
      <c r="E27" s="10">
        <f>IF(A27="","",B27*C27)</f>
        <v/>
      </c>
      <c r="F27" s="10">
        <f>IF(A27="","",B27*D27)</f>
        <v/>
      </c>
      <c r="G27" s="11">
        <f>IF(OR(A27="",N(E27)=0),"",F27/E27)</f>
        <v/>
      </c>
    </row>
    <row r="28">
      <c r="A28" s="8" t="n"/>
      <c r="B28" s="13" t="n"/>
      <c r="C28" s="9" t="n"/>
      <c r="D28" s="9" t="n"/>
      <c r="E28" s="10">
        <f>IF(A28="","",B28*C28)</f>
        <v/>
      </c>
      <c r="F28" s="10">
        <f>IF(A28="","",B28*D28)</f>
        <v/>
      </c>
      <c r="G28" s="11">
        <f>IF(OR(A28="",N(E28)=0),"",F28/E28)</f>
        <v/>
      </c>
    </row>
    <row r="29">
      <c r="A29" s="8" t="n"/>
      <c r="B29" s="13" t="n"/>
      <c r="C29" s="9" t="n"/>
      <c r="D29" s="9" t="n"/>
      <c r="E29" s="10">
        <f>IF(A29="","",B29*C29)</f>
        <v/>
      </c>
      <c r="F29" s="10">
        <f>IF(A29="","",B29*D29)</f>
        <v/>
      </c>
      <c r="G29" s="11">
        <f>IF(OR(A29="",N(E29)=0),"",F29/E29)</f>
        <v/>
      </c>
    </row>
    <row r="30">
      <c r="A30" s="8" t="n"/>
      <c r="B30" s="13" t="n"/>
      <c r="C30" s="9" t="n"/>
      <c r="D30" s="9" t="n"/>
      <c r="E30" s="10">
        <f>IF(A30="","",B30*C30)</f>
        <v/>
      </c>
      <c r="F30" s="10">
        <f>IF(A30="","",B30*D30)</f>
        <v/>
      </c>
      <c r="G30" s="11">
        <f>IF(OR(A30="",N(E30)=0),"",F30/E30)</f>
        <v/>
      </c>
    </row>
    <row r="31">
      <c r="A31" s="8" t="n"/>
      <c r="B31" s="13" t="n"/>
      <c r="C31" s="9" t="n"/>
      <c r="D31" s="9" t="n"/>
      <c r="E31" s="10">
        <f>IF(A31="","",B31*C31)</f>
        <v/>
      </c>
      <c r="F31" s="10">
        <f>IF(A31="","",B31*D31)</f>
        <v/>
      </c>
      <c r="G31" s="11">
        <f>IF(OR(A31="",N(E31)=0),"",F31/E31)</f>
        <v/>
      </c>
    </row>
    <row r="32">
      <c r="A32" s="8" t="n"/>
      <c r="B32" s="13" t="n"/>
      <c r="C32" s="9" t="n"/>
      <c r="D32" s="9" t="n"/>
      <c r="E32" s="10">
        <f>IF(A32="","",B32*C32)</f>
        <v/>
      </c>
      <c r="F32" s="10">
        <f>IF(A32="","",B32*D32)</f>
        <v/>
      </c>
      <c r="G32" s="11">
        <f>IF(OR(A32="",N(E32)=0),"",F32/E32)</f>
        <v/>
      </c>
    </row>
    <row r="33">
      <c r="A33" s="8" t="n"/>
      <c r="B33" s="13" t="n"/>
      <c r="C33" s="9" t="n"/>
      <c r="D33" s="9" t="n"/>
      <c r="E33" s="10">
        <f>IF(A33="","",B33*C33)</f>
        <v/>
      </c>
      <c r="F33" s="10">
        <f>IF(A33="","",B33*D33)</f>
        <v/>
      </c>
      <c r="G33" s="11">
        <f>IF(OR(A33="",N(E33)=0),"",F33/E33)</f>
        <v/>
      </c>
    </row>
    <row r="34">
      <c r="A34" s="8" t="n"/>
      <c r="B34" s="13" t="n"/>
      <c r="C34" s="9" t="n"/>
      <c r="D34" s="9" t="n"/>
      <c r="E34" s="10">
        <f>IF(A34="","",B34*C34)</f>
        <v/>
      </c>
      <c r="F34" s="10">
        <f>IF(A34="","",B34*D34)</f>
        <v/>
      </c>
      <c r="G34" s="11">
        <f>IF(OR(A34="",N(E34)=0),"",F34/E34)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2026-10-18T16:52:38Z</dcterms:created>
  <dcterms:modified xmlns:dcterms="http://purl.org/dc/terms/" xmlns:xsi="http://www.w3.org/2001/XMLSchema-instance" xsi:type="dcterms:W3CDTF">2026-10-18T16:52:38Z</dcterms:modified>
</cp:coreProperties>
</file>