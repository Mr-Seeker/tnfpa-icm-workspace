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RiskRegister" sheetId="3" state="visible" r:id="rId3"/>
    <sheet xmlns:r="http://schemas.openxmlformats.org/officeDocument/2006/relationships" name="Covenants" sheetId="4" state="visible" r:id="rId4"/>
    <sheet xmlns:r="http://schemas.openxmlformats.org/officeDocument/2006/relationships" name="FXExposure" sheetId="5" state="visible" r:id="rId5"/>
  </sheets>
  <definedNames>
    <definedName name="cv_ebitda">'Covenants'!$B$4</definedName>
    <definedName name="cv_int">'Covenants'!$B$5</definedName>
    <definedName name="cv_prin">'Covenants'!$B$6</definedName>
    <definedName name="cv_tax">'Covenants'!$B$7</definedName>
    <definedName name="cv_ca">'Covenants'!$B$8</definedName>
    <definedName name="cv_cl">'Covenants'!$B$9</definedName>
    <definedName name="cv_tol">'Covenants'!$B$10</definedName>
    <definedName name="cv_tnw">'Covenants'!$B$11</definedName>
    <definedName name="cv_nd">'Covenants'!$B$12</definedName>
    <definedName name="min_dscr">'Covenants'!$B$17</definedName>
    <definedName name="min_cr">'Covenants'!$B$18</definedName>
    <definedName name="max_toltnw">'Covenants'!$B$19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;[Red]-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1" fontId="4" fillId="3" borderId="1" pivotButton="0" quotePrefix="0" xfId="0"/>
    <xf numFmtId="1" fontId="0" fillId="0" borderId="1" pivotButton="0" quotePrefix="0" xfId="0"/>
    <xf numFmtId="164" fontId="4" fillId="3" borderId="1" pivotButton="0" quotePrefix="0" xfId="0"/>
    <xf numFmtId="2" fontId="5" fillId="0" borderId="1" pivotButton="0" quotePrefix="0" xfId="0"/>
    <xf numFmtId="2" fontId="4" fillId="3" borderId="1" pivotButton="0" quotePrefix="0" xfId="0"/>
    <xf numFmtId="165" fontId="4" fillId="3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D15 · Risk &amp; treasury management systems</t>
        </is>
      </c>
    </row>
    <row r="2"/>
    <row r="3">
      <c r="A3" s="2" t="inlineStr">
        <is>
          <t>Domain D15: Risk &amp; treasury management systems.</t>
        </is>
      </c>
    </row>
    <row r="4">
      <c r="A4" s="2" t="inlineStr">
        <is>
          <t>Enterprise risk register with heat-map ratings and owners, bank covenant tests from model outputs, and FX exposure/hedge ratios.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companies/&lt;slug&gt;/domains/D15_risk-treasury/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K01 debt slots (CC/OD as loc, term loans)  &lt;=  facility terms</t>
        </is>
      </c>
    </row>
    <row r="11">
      <c r="A11" s="2" t="inlineStr">
        <is>
          <t>K02 stress (D27)  &lt;=  risk links</t>
        </is>
      </c>
    </row>
    <row r="12">
      <c r="A12" s="2" t="inlineStr">
        <is>
          <t>W07 covenant headroom  &lt;=  Covenants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likelihood and impact within 1..5</t>
        </is>
      </c>
      <c r="C5" s="7">
        <f>IF(COUNTIF(RiskRegister!D5:E104,"&gt;5")+COUNTIF(RiskRegister!D5:E104,"&lt;0")=0,"PASS","FAIL")</f>
        <v/>
      </c>
    </row>
    <row r="6">
      <c r="A6" t="n">
        <v>2</v>
      </c>
      <c r="B6" t="inlineStr">
        <is>
          <t>every HIGH risk has an owner and mitigation</t>
        </is>
      </c>
      <c r="C6" s="7">
        <f>IF(SUMPRODUCT((RiskRegister!G5:G104="HIGH")*((RiskRegister!H5:H104="")+(RiskRegister!I5:I104="")&gt;0))=0,"PASS","FAIL")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37" customWidth="1" min="10" max="10"/>
  </cols>
  <sheetData>
    <row r="1">
      <c r="A1" s="1" t="inlineStr">
        <is>
          <t>Enterprise risk register (Companies Act s.134(3)(n); LODR Reg 21 for top-1000 listed)</t>
        </is>
      </c>
    </row>
    <row r="2"/>
    <row r="3"/>
    <row r="4">
      <c r="A4" s="6" t="inlineStr">
        <is>
          <t>risk id</t>
        </is>
      </c>
      <c r="B4" s="6" t="inlineStr">
        <is>
          <t>risk</t>
        </is>
      </c>
      <c r="C4" s="6" t="inlineStr">
        <is>
          <t>category</t>
        </is>
      </c>
      <c r="D4" s="6" t="inlineStr">
        <is>
          <t>likelihood 1-5</t>
        </is>
      </c>
      <c r="E4" s="6" t="inlineStr">
        <is>
          <t>impact 1-5</t>
        </is>
      </c>
      <c r="F4" s="6" t="inlineStr">
        <is>
          <t>score</t>
        </is>
      </c>
      <c r="G4" s="6" t="inlineStr">
        <is>
          <t>rating</t>
        </is>
      </c>
      <c r="H4" s="6" t="inlineStr">
        <is>
          <t>owner</t>
        </is>
      </c>
      <c r="I4" s="6" t="inlineStr">
        <is>
          <t>mitigation</t>
        </is>
      </c>
      <c r="J4" s="6" t="inlineStr">
        <is>
          <t>K02 stress link (D27 scenario id)</t>
        </is>
      </c>
    </row>
    <row r="5">
      <c r="A5" s="8" t="inlineStr">
        <is>
          <t>R01</t>
        </is>
      </c>
      <c r="B5" s="8" t="inlineStr">
        <is>
          <t>Cyclone / flood shuts Chennai plant for 10 days</t>
        </is>
      </c>
      <c r="C5" s="8" t="inlineStr">
        <is>
          <t>Operational</t>
        </is>
      </c>
      <c r="D5" s="9" t="n">
        <v>3</v>
      </c>
      <c r="E5" s="9" t="n">
        <v>4</v>
      </c>
      <c r="F5" s="10">
        <f>IF(A5="","",D5*E5)</f>
        <v/>
      </c>
      <c r="G5" s="7">
        <f>IF(F5="","",IF(F5&gt;=15,"HIGH",IF(F5&gt;=8,"MEDIUM","LOW")))</f>
        <v/>
      </c>
      <c r="H5" s="8" t="inlineStr">
        <is>
          <t>Plant head</t>
        </is>
      </c>
      <c r="I5" s="8" t="inlineStr">
        <is>
          <t>BI cover; dual sourcing</t>
        </is>
      </c>
      <c r="J5" s="8" t="inlineStr">
        <is>
          <t>CR-FLOOD</t>
        </is>
      </c>
    </row>
    <row r="6">
      <c r="A6" s="8" t="inlineStr">
        <is>
          <t>R02</t>
        </is>
      </c>
      <c r="B6" s="8" t="inlineStr">
        <is>
          <t>Large dealer default (Madurai cluster)</t>
        </is>
      </c>
      <c r="C6" s="8" t="inlineStr">
        <is>
          <t>Credit</t>
        </is>
      </c>
      <c r="D6" s="9" t="n">
        <v>2</v>
      </c>
      <c r="E6" s="9" t="n">
        <v>4</v>
      </c>
      <c r="F6" s="10">
        <f>IF(A6="","",D6*E6)</f>
        <v/>
      </c>
      <c r="G6" s="7">
        <f>IF(F6="","",IF(F6&gt;=15,"HIGH",IF(F6&gt;=8,"MEDIUM","LOW")))</f>
        <v/>
      </c>
      <c r="H6" s="8" t="inlineStr">
        <is>
          <t>CFO</t>
        </is>
      </c>
      <c r="I6" s="8" t="inlineStr">
        <is>
          <t>credit limits; ECGC-style cover</t>
        </is>
      </c>
      <c r="J6" s="8" t="inlineStr">
        <is>
          <t>CR-DEBTOR</t>
        </is>
      </c>
    </row>
    <row r="7">
      <c r="A7" s="8" t="inlineStr">
        <is>
          <t>R03</t>
        </is>
      </c>
      <c r="B7" s="8" t="inlineStr">
        <is>
          <t>Cotton / steel input price spike</t>
        </is>
      </c>
      <c r="C7" s="8" t="inlineStr">
        <is>
          <t>Market</t>
        </is>
      </c>
      <c r="D7" s="9" t="n">
        <v>4</v>
      </c>
      <c r="E7" s="9" t="n">
        <v>3</v>
      </c>
      <c r="F7" s="10">
        <f>IF(A7="","",D7*E7)</f>
        <v/>
      </c>
      <c r="G7" s="7">
        <f>IF(F7="","",IF(F7&gt;=15,"HIGH",IF(F7&gt;=8,"MEDIUM","LOW")))</f>
        <v/>
      </c>
      <c r="H7" s="8" t="inlineStr">
        <is>
          <t>Purchase head</t>
        </is>
      </c>
      <c r="I7" s="8" t="inlineStr">
        <is>
          <t>price escalation clauses</t>
        </is>
      </c>
      <c r="J7" s="8" t="inlineStr"/>
    </row>
    <row r="8">
      <c r="A8" s="8" t="n"/>
      <c r="B8" s="8" t="n"/>
      <c r="C8" s="8" t="n"/>
      <c r="D8" s="9" t="n"/>
      <c r="E8" s="9" t="n"/>
      <c r="F8" s="10">
        <f>IF(A8="","",D8*E8)</f>
        <v/>
      </c>
      <c r="G8" s="7">
        <f>IF(F8="","",IF(F8&gt;=15,"HIGH",IF(F8&gt;=8,"MEDIUM","LOW")))</f>
        <v/>
      </c>
      <c r="H8" s="8" t="n"/>
      <c r="I8" s="8" t="n"/>
      <c r="J8" s="8" t="n"/>
    </row>
    <row r="9">
      <c r="A9" s="8" t="n"/>
      <c r="B9" s="8" t="n"/>
      <c r="C9" s="8" t="n"/>
      <c r="D9" s="9" t="n"/>
      <c r="E9" s="9" t="n"/>
      <c r="F9" s="10">
        <f>IF(A9="","",D9*E9)</f>
        <v/>
      </c>
      <c r="G9" s="7">
        <f>IF(F9="","",IF(F9&gt;=15,"HIGH",IF(F9&gt;=8,"MEDIUM","LOW")))</f>
        <v/>
      </c>
      <c r="H9" s="8" t="n"/>
      <c r="I9" s="8" t="n"/>
      <c r="J9" s="8" t="n"/>
    </row>
    <row r="10">
      <c r="A10" s="8" t="n"/>
      <c r="B10" s="8" t="n"/>
      <c r="C10" s="8" t="n"/>
      <c r="D10" s="9" t="n"/>
      <c r="E10" s="9" t="n"/>
      <c r="F10" s="10">
        <f>IF(A10="","",D10*E10)</f>
        <v/>
      </c>
      <c r="G10" s="7">
        <f>IF(F10="","",IF(F10&gt;=15,"HIGH",IF(F10&gt;=8,"MEDIUM","LOW")))</f>
        <v/>
      </c>
      <c r="H10" s="8" t="n"/>
      <c r="I10" s="8" t="n"/>
      <c r="J10" s="8" t="n"/>
    </row>
    <row r="11">
      <c r="A11" s="8" t="n"/>
      <c r="B11" s="8" t="n"/>
      <c r="C11" s="8" t="n"/>
      <c r="D11" s="9" t="n"/>
      <c r="E11" s="9" t="n"/>
      <c r="F11" s="10">
        <f>IF(A11="","",D11*E11)</f>
        <v/>
      </c>
      <c r="G11" s="7">
        <f>IF(F11="","",IF(F11&gt;=15,"HIGH",IF(F11&gt;=8,"MEDIUM","LOW")))</f>
        <v/>
      </c>
      <c r="H11" s="8" t="n"/>
      <c r="I11" s="8" t="n"/>
      <c r="J11" s="8" t="n"/>
    </row>
    <row r="12">
      <c r="A12" s="8" t="n"/>
      <c r="B12" s="8" t="n"/>
      <c r="C12" s="8" t="n"/>
      <c r="D12" s="9" t="n"/>
      <c r="E12" s="9" t="n"/>
      <c r="F12" s="10">
        <f>IF(A12="","",D12*E12)</f>
        <v/>
      </c>
      <c r="G12" s="7">
        <f>IF(F12="","",IF(F12&gt;=15,"HIGH",IF(F12&gt;=8,"MEDIUM","LOW")))</f>
        <v/>
      </c>
      <c r="H12" s="8" t="n"/>
      <c r="I12" s="8" t="n"/>
      <c r="J12" s="8" t="n"/>
    </row>
    <row r="13">
      <c r="A13" s="8" t="n"/>
      <c r="B13" s="8" t="n"/>
      <c r="C13" s="8" t="n"/>
      <c r="D13" s="9" t="n"/>
      <c r="E13" s="9" t="n"/>
      <c r="F13" s="10">
        <f>IF(A13="","",D13*E13)</f>
        <v/>
      </c>
      <c r="G13" s="7">
        <f>IF(F13="","",IF(F13&gt;=15,"HIGH",IF(F13&gt;=8,"MEDIUM","LOW")))</f>
        <v/>
      </c>
      <c r="H13" s="8" t="n"/>
      <c r="I13" s="8" t="n"/>
      <c r="J13" s="8" t="n"/>
    </row>
    <row r="14">
      <c r="A14" s="8" t="n"/>
      <c r="B14" s="8" t="n"/>
      <c r="C14" s="8" t="n"/>
      <c r="D14" s="9" t="n"/>
      <c r="E14" s="9" t="n"/>
      <c r="F14" s="10">
        <f>IF(A14="","",D14*E14)</f>
        <v/>
      </c>
      <c r="G14" s="7">
        <f>IF(F14="","",IF(F14&gt;=15,"HIGH",IF(F14&gt;=8,"MEDIUM","LOW")))</f>
        <v/>
      </c>
      <c r="H14" s="8" t="n"/>
      <c r="I14" s="8" t="n"/>
      <c r="J14" s="8" t="n"/>
    </row>
    <row r="15">
      <c r="A15" s="8" t="n"/>
      <c r="B15" s="8" t="n"/>
      <c r="C15" s="8" t="n"/>
      <c r="D15" s="9" t="n"/>
      <c r="E15" s="9" t="n"/>
      <c r="F15" s="10">
        <f>IF(A15="","",D15*E15)</f>
        <v/>
      </c>
      <c r="G15" s="7">
        <f>IF(F15="","",IF(F15&gt;=15,"HIGH",IF(F15&gt;=8,"MEDIUM","LOW")))</f>
        <v/>
      </c>
      <c r="H15" s="8" t="n"/>
      <c r="I15" s="8" t="n"/>
      <c r="J15" s="8" t="n"/>
    </row>
    <row r="16">
      <c r="A16" s="8" t="n"/>
      <c r="B16" s="8" t="n"/>
      <c r="C16" s="8" t="n"/>
      <c r="D16" s="9" t="n"/>
      <c r="E16" s="9" t="n"/>
      <c r="F16" s="10">
        <f>IF(A16="","",D16*E16)</f>
        <v/>
      </c>
      <c r="G16" s="7">
        <f>IF(F16="","",IF(F16&gt;=15,"HIGH",IF(F16&gt;=8,"MEDIUM","LOW")))</f>
        <v/>
      </c>
      <c r="H16" s="8" t="n"/>
      <c r="I16" s="8" t="n"/>
      <c r="J16" s="8" t="n"/>
    </row>
    <row r="17">
      <c r="A17" s="8" t="n"/>
      <c r="B17" s="8" t="n"/>
      <c r="C17" s="8" t="n"/>
      <c r="D17" s="9" t="n"/>
      <c r="E17" s="9" t="n"/>
      <c r="F17" s="10">
        <f>IF(A17="","",D17*E17)</f>
        <v/>
      </c>
      <c r="G17" s="7">
        <f>IF(F17="","",IF(F17&gt;=15,"HIGH",IF(F17&gt;=8,"MEDIUM","LOW")))</f>
        <v/>
      </c>
      <c r="H17" s="8" t="n"/>
      <c r="I17" s="8" t="n"/>
      <c r="J17" s="8" t="n"/>
    </row>
    <row r="18">
      <c r="A18" s="8" t="n"/>
      <c r="B18" s="8" t="n"/>
      <c r="C18" s="8" t="n"/>
      <c r="D18" s="9" t="n"/>
      <c r="E18" s="9" t="n"/>
      <c r="F18" s="10">
        <f>IF(A18="","",D18*E18)</f>
        <v/>
      </c>
      <c r="G18" s="7">
        <f>IF(F18="","",IF(F18&gt;=15,"HIGH",IF(F18&gt;=8,"MEDIUM","LOW")))</f>
        <v/>
      </c>
      <c r="H18" s="8" t="n"/>
      <c r="I18" s="8" t="n"/>
      <c r="J18" s="8" t="n"/>
    </row>
    <row r="19">
      <c r="A19" s="8" t="n"/>
      <c r="B19" s="8" t="n"/>
      <c r="C19" s="8" t="n"/>
      <c r="D19" s="9" t="n"/>
      <c r="E19" s="9" t="n"/>
      <c r="F19" s="10">
        <f>IF(A19="","",D19*E19)</f>
        <v/>
      </c>
      <c r="G19" s="7">
        <f>IF(F19="","",IF(F19&gt;=15,"HIGH",IF(F19&gt;=8,"MEDIUM","LOW")))</f>
        <v/>
      </c>
      <c r="H19" s="8" t="n"/>
      <c r="I19" s="8" t="n"/>
      <c r="J19" s="8" t="n"/>
    </row>
    <row r="20">
      <c r="A20" s="8" t="n"/>
      <c r="B20" s="8" t="n"/>
      <c r="C20" s="8" t="n"/>
      <c r="D20" s="9" t="n"/>
      <c r="E20" s="9" t="n"/>
      <c r="F20" s="10">
        <f>IF(A20="","",D20*E20)</f>
        <v/>
      </c>
      <c r="G20" s="7">
        <f>IF(F20="","",IF(F20&gt;=15,"HIGH",IF(F20&gt;=8,"MEDIUM","LOW")))</f>
        <v/>
      </c>
      <c r="H20" s="8" t="n"/>
      <c r="I20" s="8" t="n"/>
      <c r="J20" s="8" t="n"/>
    </row>
    <row r="21">
      <c r="A21" s="8" t="n"/>
      <c r="B21" s="8" t="n"/>
      <c r="C21" s="8" t="n"/>
      <c r="D21" s="9" t="n"/>
      <c r="E21" s="9" t="n"/>
      <c r="F21" s="10">
        <f>IF(A21="","",D21*E21)</f>
        <v/>
      </c>
      <c r="G21" s="7">
        <f>IF(F21="","",IF(F21&gt;=15,"HIGH",IF(F21&gt;=8,"MEDIUM","LOW")))</f>
        <v/>
      </c>
      <c r="H21" s="8" t="n"/>
      <c r="I21" s="8" t="n"/>
      <c r="J21" s="8" t="n"/>
    </row>
    <row r="22">
      <c r="A22" s="8" t="n"/>
      <c r="B22" s="8" t="n"/>
      <c r="C22" s="8" t="n"/>
      <c r="D22" s="9" t="n"/>
      <c r="E22" s="9" t="n"/>
      <c r="F22" s="10">
        <f>IF(A22="","",D22*E22)</f>
        <v/>
      </c>
      <c r="G22" s="7">
        <f>IF(F22="","",IF(F22&gt;=15,"HIGH",IF(F22&gt;=8,"MEDIUM","LOW")))</f>
        <v/>
      </c>
      <c r="H22" s="8" t="n"/>
      <c r="I22" s="8" t="n"/>
      <c r="J22" s="8" t="n"/>
    </row>
    <row r="23">
      <c r="A23" s="8" t="n"/>
      <c r="B23" s="8" t="n"/>
      <c r="C23" s="8" t="n"/>
      <c r="D23" s="9" t="n"/>
      <c r="E23" s="9" t="n"/>
      <c r="F23" s="10">
        <f>IF(A23="","",D23*E23)</f>
        <v/>
      </c>
      <c r="G23" s="7">
        <f>IF(F23="","",IF(F23&gt;=15,"HIGH",IF(F23&gt;=8,"MEDIUM","LOW")))</f>
        <v/>
      </c>
      <c r="H23" s="8" t="n"/>
      <c r="I23" s="8" t="n"/>
      <c r="J23" s="8" t="n"/>
    </row>
    <row r="24">
      <c r="A24" s="8" t="n"/>
      <c r="B24" s="8" t="n"/>
      <c r="C24" s="8" t="n"/>
      <c r="D24" s="9" t="n"/>
      <c r="E24" s="9" t="n"/>
      <c r="F24" s="10">
        <f>IF(A24="","",D24*E24)</f>
        <v/>
      </c>
      <c r="G24" s="7">
        <f>IF(F24="","",IF(F24&gt;=15,"HIGH",IF(F24&gt;=8,"MEDIUM","LOW")))</f>
        <v/>
      </c>
      <c r="H24" s="8" t="n"/>
      <c r="I24" s="8" t="n"/>
      <c r="J24" s="8" t="n"/>
    </row>
    <row r="25">
      <c r="A25" s="8" t="n"/>
      <c r="B25" s="8" t="n"/>
      <c r="C25" s="8" t="n"/>
      <c r="D25" s="9" t="n"/>
      <c r="E25" s="9" t="n"/>
      <c r="F25" s="10">
        <f>IF(A25="","",D25*E25)</f>
        <v/>
      </c>
      <c r="G25" s="7">
        <f>IF(F25="","",IF(F25&gt;=15,"HIGH",IF(F25&gt;=8,"MEDIUM","LOW")))</f>
        <v/>
      </c>
      <c r="H25" s="8" t="n"/>
      <c r="I25" s="8" t="n"/>
      <c r="J25" s="8" t="n"/>
    </row>
    <row r="26">
      <c r="A26" s="8" t="n"/>
      <c r="B26" s="8" t="n"/>
      <c r="C26" s="8" t="n"/>
      <c r="D26" s="9" t="n"/>
      <c r="E26" s="9" t="n"/>
      <c r="F26" s="10">
        <f>IF(A26="","",D26*E26)</f>
        <v/>
      </c>
      <c r="G26" s="7">
        <f>IF(F26="","",IF(F26&gt;=15,"HIGH",IF(F26&gt;=8,"MEDIUM","LOW")))</f>
        <v/>
      </c>
      <c r="H26" s="8" t="n"/>
      <c r="I26" s="8" t="n"/>
      <c r="J26" s="8" t="n"/>
    </row>
    <row r="27">
      <c r="A27" s="8" t="n"/>
      <c r="B27" s="8" t="n"/>
      <c r="C27" s="8" t="n"/>
      <c r="D27" s="9" t="n"/>
      <c r="E27" s="9" t="n"/>
      <c r="F27" s="10">
        <f>IF(A27="","",D27*E27)</f>
        <v/>
      </c>
      <c r="G27" s="7">
        <f>IF(F27="","",IF(F27&gt;=15,"HIGH",IF(F27&gt;=8,"MEDIUM","LOW")))</f>
        <v/>
      </c>
      <c r="H27" s="8" t="n"/>
      <c r="I27" s="8" t="n"/>
      <c r="J27" s="8" t="n"/>
    </row>
    <row r="28">
      <c r="A28" s="8" t="n"/>
      <c r="B28" s="8" t="n"/>
      <c r="C28" s="8" t="n"/>
      <c r="D28" s="9" t="n"/>
      <c r="E28" s="9" t="n"/>
      <c r="F28" s="10">
        <f>IF(A28="","",D28*E28)</f>
        <v/>
      </c>
      <c r="G28" s="7">
        <f>IF(F28="","",IF(F28&gt;=15,"HIGH",IF(F28&gt;=8,"MEDIUM","LOW")))</f>
        <v/>
      </c>
      <c r="H28" s="8" t="n"/>
      <c r="I28" s="8" t="n"/>
      <c r="J28" s="8" t="n"/>
    </row>
    <row r="29">
      <c r="A29" s="8" t="n"/>
      <c r="B29" s="8" t="n"/>
      <c r="C29" s="8" t="n"/>
      <c r="D29" s="9" t="n"/>
      <c r="E29" s="9" t="n"/>
      <c r="F29" s="10">
        <f>IF(A29="","",D29*E29)</f>
        <v/>
      </c>
      <c r="G29" s="7">
        <f>IF(F29="","",IF(F29&gt;=15,"HIGH",IF(F29&gt;=8,"MEDIUM","LOW")))</f>
        <v/>
      </c>
      <c r="H29" s="8" t="n"/>
      <c r="I29" s="8" t="n"/>
      <c r="J29" s="8" t="n"/>
    </row>
    <row r="30">
      <c r="A30" s="8" t="n"/>
      <c r="B30" s="8" t="n"/>
      <c r="C30" s="8" t="n"/>
      <c r="D30" s="9" t="n"/>
      <c r="E30" s="9" t="n"/>
      <c r="F30" s="10">
        <f>IF(A30="","",D30*E30)</f>
        <v/>
      </c>
      <c r="G30" s="7">
        <f>IF(F30="","",IF(F30&gt;=15,"HIGH",IF(F30&gt;=8,"MEDIUM","LOW")))</f>
        <v/>
      </c>
      <c r="H30" s="8" t="n"/>
      <c r="I30" s="8" t="n"/>
      <c r="J30" s="8" t="n"/>
    </row>
    <row r="31">
      <c r="A31" s="8" t="n"/>
      <c r="B31" s="8" t="n"/>
      <c r="C31" s="8" t="n"/>
      <c r="D31" s="9" t="n"/>
      <c r="E31" s="9" t="n"/>
      <c r="F31" s="10">
        <f>IF(A31="","",D31*E31)</f>
        <v/>
      </c>
      <c r="G31" s="7">
        <f>IF(F31="","",IF(F31&gt;=15,"HIGH",IF(F31&gt;=8,"MEDIUM","LOW")))</f>
        <v/>
      </c>
      <c r="H31" s="8" t="n"/>
      <c r="I31" s="8" t="n"/>
      <c r="J31" s="8" t="n"/>
    </row>
    <row r="32">
      <c r="A32" s="8" t="n"/>
      <c r="B32" s="8" t="n"/>
      <c r="C32" s="8" t="n"/>
      <c r="D32" s="9" t="n"/>
      <c r="E32" s="9" t="n"/>
      <c r="F32" s="10">
        <f>IF(A32="","",D32*E32)</f>
        <v/>
      </c>
      <c r="G32" s="7">
        <f>IF(F32="","",IF(F32&gt;=15,"HIGH",IF(F32&gt;=8,"MEDIUM","LOW")))</f>
        <v/>
      </c>
      <c r="H32" s="8" t="n"/>
      <c r="I32" s="8" t="n"/>
      <c r="J32" s="8" t="n"/>
    </row>
    <row r="33">
      <c r="A33" s="8" t="n"/>
      <c r="B33" s="8" t="n"/>
      <c r="C33" s="8" t="n"/>
      <c r="D33" s="9" t="n"/>
      <c r="E33" s="9" t="n"/>
      <c r="F33" s="10">
        <f>IF(A33="","",D33*E33)</f>
        <v/>
      </c>
      <c r="G33" s="7">
        <f>IF(F33="","",IF(F33&gt;=15,"HIGH",IF(F33&gt;=8,"MEDIUM","LOW")))</f>
        <v/>
      </c>
      <c r="H33" s="8" t="n"/>
      <c r="I33" s="8" t="n"/>
      <c r="J33" s="8" t="n"/>
    </row>
    <row r="34">
      <c r="A34" s="8" t="n"/>
      <c r="B34" s="8" t="n"/>
      <c r="C34" s="8" t="n"/>
      <c r="D34" s="9" t="n"/>
      <c r="E34" s="9" t="n"/>
      <c r="F34" s="10">
        <f>IF(A34="","",D34*E34)</f>
        <v/>
      </c>
      <c r="G34" s="7">
        <f>IF(F34="","",IF(F34&gt;=15,"HIGH",IF(F34&gt;=8,"MEDIUM","LOW")))</f>
        <v/>
      </c>
      <c r="H34" s="8" t="n"/>
      <c r="I34" s="8" t="n"/>
      <c r="J34" s="8" t="n"/>
    </row>
    <row r="35">
      <c r="A35" s="8" t="n"/>
      <c r="B35" s="8" t="n"/>
      <c r="C35" s="8" t="n"/>
      <c r="D35" s="9" t="n"/>
      <c r="E35" s="9" t="n"/>
      <c r="F35" s="10">
        <f>IF(A35="","",D35*E35)</f>
        <v/>
      </c>
      <c r="G35" s="7">
        <f>IF(F35="","",IF(F35&gt;=15,"HIGH",IF(F35&gt;=8,"MEDIUM","LOW")))</f>
        <v/>
      </c>
      <c r="H35" s="8" t="n"/>
      <c r="I35" s="8" t="n"/>
      <c r="J35" s="8" t="n"/>
    </row>
    <row r="36">
      <c r="A36" s="8" t="n"/>
      <c r="B36" s="8" t="n"/>
      <c r="C36" s="8" t="n"/>
      <c r="D36" s="9" t="n"/>
      <c r="E36" s="9" t="n"/>
      <c r="F36" s="10">
        <f>IF(A36="","",D36*E36)</f>
        <v/>
      </c>
      <c r="G36" s="7">
        <f>IF(F36="","",IF(F36&gt;=15,"HIGH",IF(F36&gt;=8,"MEDIUM","LOW")))</f>
        <v/>
      </c>
      <c r="H36" s="8" t="n"/>
      <c r="I36" s="8" t="n"/>
      <c r="J36" s="8" t="n"/>
    </row>
    <row r="37">
      <c r="A37" s="8" t="n"/>
      <c r="B37" s="8" t="n"/>
      <c r="C37" s="8" t="n"/>
      <c r="D37" s="9" t="n"/>
      <c r="E37" s="9" t="n"/>
      <c r="F37" s="10">
        <f>IF(A37="","",D37*E37)</f>
        <v/>
      </c>
      <c r="G37" s="7">
        <f>IF(F37="","",IF(F37&gt;=15,"HIGH",IF(F37&gt;=8,"MEDIUM","LOW")))</f>
        <v/>
      </c>
      <c r="H37" s="8" t="n"/>
      <c r="I37" s="8" t="n"/>
      <c r="J37" s="8" t="n"/>
    </row>
    <row r="38">
      <c r="A38" s="8" t="n"/>
      <c r="B38" s="8" t="n"/>
      <c r="C38" s="8" t="n"/>
      <c r="D38" s="9" t="n"/>
      <c r="E38" s="9" t="n"/>
      <c r="F38" s="10">
        <f>IF(A38="","",D38*E38)</f>
        <v/>
      </c>
      <c r="G38" s="7">
        <f>IF(F38="","",IF(F38&gt;=15,"HIGH",IF(F38&gt;=8,"MEDIUM","LOW")))</f>
        <v/>
      </c>
      <c r="H38" s="8" t="n"/>
      <c r="I38" s="8" t="n"/>
      <c r="J38" s="8" t="n"/>
    </row>
    <row r="39">
      <c r="A39" s="8" t="n"/>
      <c r="B39" s="8" t="n"/>
      <c r="C39" s="8" t="n"/>
      <c r="D39" s="9" t="n"/>
      <c r="E39" s="9" t="n"/>
      <c r="F39" s="10">
        <f>IF(A39="","",D39*E39)</f>
        <v/>
      </c>
      <c r="G39" s="7">
        <f>IF(F39="","",IF(F39&gt;=15,"HIGH",IF(F39&gt;=8,"MEDIUM","LOW")))</f>
        <v/>
      </c>
      <c r="H39" s="8" t="n"/>
      <c r="I39" s="8" t="n"/>
      <c r="J39" s="8" t="n"/>
    </row>
    <row r="40">
      <c r="A40" s="8" t="n"/>
      <c r="B40" s="8" t="n"/>
      <c r="C40" s="8" t="n"/>
      <c r="D40" s="9" t="n"/>
      <c r="E40" s="9" t="n"/>
      <c r="F40" s="10">
        <f>IF(A40="","",D40*E40)</f>
        <v/>
      </c>
      <c r="G40" s="7">
        <f>IF(F40="","",IF(F40&gt;=15,"HIGH",IF(F40&gt;=8,"MEDIUM","LOW")))</f>
        <v/>
      </c>
      <c r="H40" s="8" t="n"/>
      <c r="I40" s="8" t="n"/>
      <c r="J40" s="8" t="n"/>
    </row>
    <row r="41">
      <c r="A41" s="8" t="n"/>
      <c r="B41" s="8" t="n"/>
      <c r="C41" s="8" t="n"/>
      <c r="D41" s="9" t="n"/>
      <c r="E41" s="9" t="n"/>
      <c r="F41" s="10">
        <f>IF(A41="","",D41*E41)</f>
        <v/>
      </c>
      <c r="G41" s="7">
        <f>IF(F41="","",IF(F41&gt;=15,"HIGH",IF(F41&gt;=8,"MEDIUM","LOW")))</f>
        <v/>
      </c>
      <c r="H41" s="8" t="n"/>
      <c r="I41" s="8" t="n"/>
      <c r="J41" s="8" t="n"/>
    </row>
    <row r="42">
      <c r="A42" s="8" t="n"/>
      <c r="B42" s="8" t="n"/>
      <c r="C42" s="8" t="n"/>
      <c r="D42" s="9" t="n"/>
      <c r="E42" s="9" t="n"/>
      <c r="F42" s="10">
        <f>IF(A42="","",D42*E42)</f>
        <v/>
      </c>
      <c r="G42" s="7">
        <f>IF(F42="","",IF(F42&gt;=15,"HIGH",IF(F42&gt;=8,"MEDIUM","LOW")))</f>
        <v/>
      </c>
      <c r="H42" s="8" t="n"/>
      <c r="I42" s="8" t="n"/>
      <c r="J42" s="8" t="n"/>
    </row>
    <row r="43">
      <c r="A43" s="8" t="n"/>
      <c r="B43" s="8" t="n"/>
      <c r="C43" s="8" t="n"/>
      <c r="D43" s="9" t="n"/>
      <c r="E43" s="9" t="n"/>
      <c r="F43" s="10">
        <f>IF(A43="","",D43*E43)</f>
        <v/>
      </c>
      <c r="G43" s="7">
        <f>IF(F43="","",IF(F43&gt;=15,"HIGH",IF(F43&gt;=8,"MEDIUM","LOW")))</f>
        <v/>
      </c>
      <c r="H43" s="8" t="n"/>
      <c r="I43" s="8" t="n"/>
      <c r="J43" s="8" t="n"/>
    </row>
    <row r="44">
      <c r="A44" s="8" t="n"/>
      <c r="B44" s="8" t="n"/>
      <c r="C44" s="8" t="n"/>
      <c r="D44" s="9" t="n"/>
      <c r="E44" s="9" t="n"/>
      <c r="F44" s="10">
        <f>IF(A44="","",D44*E44)</f>
        <v/>
      </c>
      <c r="G44" s="7">
        <f>IF(F44="","",IF(F44&gt;=15,"HIGH",IF(F44&gt;=8,"MEDIUM","LOW")))</f>
        <v/>
      </c>
      <c r="H44" s="8" t="n"/>
      <c r="I44" s="8" t="n"/>
      <c r="J44" s="8" t="n"/>
    </row>
    <row r="45">
      <c r="A45" s="8" t="n"/>
      <c r="B45" s="8" t="n"/>
      <c r="C45" s="8" t="n"/>
      <c r="D45" s="9" t="n"/>
      <c r="E45" s="9" t="n"/>
      <c r="F45" s="10">
        <f>IF(A45="","",D45*E45)</f>
        <v/>
      </c>
      <c r="G45" s="7">
        <f>IF(F45="","",IF(F45&gt;=15,"HIGH",IF(F45&gt;=8,"MEDIUM","LOW")))</f>
        <v/>
      </c>
      <c r="H45" s="8" t="n"/>
      <c r="I45" s="8" t="n"/>
      <c r="J45" s="8" t="n"/>
    </row>
    <row r="46">
      <c r="A46" s="8" t="n"/>
      <c r="B46" s="8" t="n"/>
      <c r="C46" s="8" t="n"/>
      <c r="D46" s="9" t="n"/>
      <c r="E46" s="9" t="n"/>
      <c r="F46" s="10">
        <f>IF(A46="","",D46*E46)</f>
        <v/>
      </c>
      <c r="G46" s="7">
        <f>IF(F46="","",IF(F46&gt;=15,"HIGH",IF(F46&gt;=8,"MEDIUM","LOW")))</f>
        <v/>
      </c>
      <c r="H46" s="8" t="n"/>
      <c r="I46" s="8" t="n"/>
      <c r="J46" s="8" t="n"/>
    </row>
    <row r="47">
      <c r="A47" s="8" t="n"/>
      <c r="B47" s="8" t="n"/>
      <c r="C47" s="8" t="n"/>
      <c r="D47" s="9" t="n"/>
      <c r="E47" s="9" t="n"/>
      <c r="F47" s="10">
        <f>IF(A47="","",D47*E47)</f>
        <v/>
      </c>
      <c r="G47" s="7">
        <f>IF(F47="","",IF(F47&gt;=15,"HIGH",IF(F47&gt;=8,"MEDIUM","LOW")))</f>
        <v/>
      </c>
      <c r="H47" s="8" t="n"/>
      <c r="I47" s="8" t="n"/>
      <c r="J47" s="8" t="n"/>
    </row>
    <row r="48">
      <c r="A48" s="8" t="n"/>
      <c r="B48" s="8" t="n"/>
      <c r="C48" s="8" t="n"/>
      <c r="D48" s="9" t="n"/>
      <c r="E48" s="9" t="n"/>
      <c r="F48" s="10">
        <f>IF(A48="","",D48*E48)</f>
        <v/>
      </c>
      <c r="G48" s="7">
        <f>IF(F48="","",IF(F48&gt;=15,"HIGH",IF(F48&gt;=8,"MEDIUM","LOW")))</f>
        <v/>
      </c>
      <c r="H48" s="8" t="n"/>
      <c r="I48" s="8" t="n"/>
      <c r="J48" s="8" t="n"/>
    </row>
    <row r="49">
      <c r="A49" s="8" t="n"/>
      <c r="B49" s="8" t="n"/>
      <c r="C49" s="8" t="n"/>
      <c r="D49" s="9" t="n"/>
      <c r="E49" s="9" t="n"/>
      <c r="F49" s="10">
        <f>IF(A49="","",D49*E49)</f>
        <v/>
      </c>
      <c r="G49" s="7">
        <f>IF(F49="","",IF(F49&gt;=15,"HIGH",IF(F49&gt;=8,"MEDIUM","LOW")))</f>
        <v/>
      </c>
      <c r="H49" s="8" t="n"/>
      <c r="I49" s="8" t="n"/>
      <c r="J49" s="8" t="n"/>
    </row>
    <row r="50">
      <c r="A50" s="8" t="n"/>
      <c r="B50" s="8" t="n"/>
      <c r="C50" s="8" t="n"/>
      <c r="D50" s="9" t="n"/>
      <c r="E50" s="9" t="n"/>
      <c r="F50" s="10">
        <f>IF(A50="","",D50*E50)</f>
        <v/>
      </c>
      <c r="G50" s="7">
        <f>IF(F50="","",IF(F50&gt;=15,"HIGH",IF(F50&gt;=8,"MEDIUM","LOW")))</f>
        <v/>
      </c>
      <c r="H50" s="8" t="n"/>
      <c r="I50" s="8" t="n"/>
      <c r="J50" s="8" t="n"/>
    </row>
    <row r="51">
      <c r="A51" s="8" t="n"/>
      <c r="B51" s="8" t="n"/>
      <c r="C51" s="8" t="n"/>
      <c r="D51" s="9" t="n"/>
      <c r="E51" s="9" t="n"/>
      <c r="F51" s="10">
        <f>IF(A51="","",D51*E51)</f>
        <v/>
      </c>
      <c r="G51" s="7">
        <f>IF(F51="","",IF(F51&gt;=15,"HIGH",IF(F51&gt;=8,"MEDIUM","LOW")))</f>
        <v/>
      </c>
      <c r="H51" s="8" t="n"/>
      <c r="I51" s="8" t="n"/>
      <c r="J51" s="8" t="n"/>
    </row>
    <row r="52">
      <c r="A52" s="8" t="n"/>
      <c r="B52" s="8" t="n"/>
      <c r="C52" s="8" t="n"/>
      <c r="D52" s="9" t="n"/>
      <c r="E52" s="9" t="n"/>
      <c r="F52" s="10">
        <f>IF(A52="","",D52*E52)</f>
        <v/>
      </c>
      <c r="G52" s="7">
        <f>IF(F52="","",IF(F52&gt;=15,"HIGH",IF(F52&gt;=8,"MEDIUM","LOW")))</f>
        <v/>
      </c>
      <c r="H52" s="8" t="n"/>
      <c r="I52" s="8" t="n"/>
      <c r="J52" s="8" t="n"/>
    </row>
    <row r="53">
      <c r="A53" s="8" t="n"/>
      <c r="B53" s="8" t="n"/>
      <c r="C53" s="8" t="n"/>
      <c r="D53" s="9" t="n"/>
      <c r="E53" s="9" t="n"/>
      <c r="F53" s="10">
        <f>IF(A53="","",D53*E53)</f>
        <v/>
      </c>
      <c r="G53" s="7">
        <f>IF(F53="","",IF(F53&gt;=15,"HIGH",IF(F53&gt;=8,"MEDIUM","LOW")))</f>
        <v/>
      </c>
      <c r="H53" s="8" t="n"/>
      <c r="I53" s="8" t="n"/>
      <c r="J53" s="8" t="n"/>
    </row>
    <row r="54">
      <c r="A54" s="8" t="n"/>
      <c r="B54" s="8" t="n"/>
      <c r="C54" s="8" t="n"/>
      <c r="D54" s="9" t="n"/>
      <c r="E54" s="9" t="n"/>
      <c r="F54" s="10">
        <f>IF(A54="","",D54*E54)</f>
        <v/>
      </c>
      <c r="G54" s="7">
        <f>IF(F54="","",IF(F54&gt;=15,"HIGH",IF(F54&gt;=8,"MEDIUM","LOW")))</f>
        <v/>
      </c>
      <c r="H54" s="8" t="n"/>
      <c r="I54" s="8" t="n"/>
      <c r="J54" s="8" t="n"/>
    </row>
    <row r="55">
      <c r="A55" s="8" t="n"/>
      <c r="B55" s="8" t="n"/>
      <c r="C55" s="8" t="n"/>
      <c r="D55" s="9" t="n"/>
      <c r="E55" s="9" t="n"/>
      <c r="F55" s="10">
        <f>IF(A55="","",D55*E55)</f>
        <v/>
      </c>
      <c r="G55" s="7">
        <f>IF(F55="","",IF(F55&gt;=15,"HIGH",IF(F55&gt;=8,"MEDIUM","LOW")))</f>
        <v/>
      </c>
      <c r="H55" s="8" t="n"/>
      <c r="I55" s="8" t="n"/>
      <c r="J55" s="8" t="n"/>
    </row>
    <row r="56">
      <c r="A56" s="8" t="n"/>
      <c r="B56" s="8" t="n"/>
      <c r="C56" s="8" t="n"/>
      <c r="D56" s="9" t="n"/>
      <c r="E56" s="9" t="n"/>
      <c r="F56" s="10">
        <f>IF(A56="","",D56*E56)</f>
        <v/>
      </c>
      <c r="G56" s="7">
        <f>IF(F56="","",IF(F56&gt;=15,"HIGH",IF(F56&gt;=8,"MEDIUM","LOW")))</f>
        <v/>
      </c>
      <c r="H56" s="8" t="n"/>
      <c r="I56" s="8" t="n"/>
      <c r="J56" s="8" t="n"/>
    </row>
    <row r="57">
      <c r="A57" s="8" t="n"/>
      <c r="B57" s="8" t="n"/>
      <c r="C57" s="8" t="n"/>
      <c r="D57" s="9" t="n"/>
      <c r="E57" s="9" t="n"/>
      <c r="F57" s="10">
        <f>IF(A57="","",D57*E57)</f>
        <v/>
      </c>
      <c r="G57" s="7">
        <f>IF(F57="","",IF(F57&gt;=15,"HIGH",IF(F57&gt;=8,"MEDIUM","LOW")))</f>
        <v/>
      </c>
      <c r="H57" s="8" t="n"/>
      <c r="I57" s="8" t="n"/>
      <c r="J57" s="8" t="n"/>
    </row>
    <row r="58">
      <c r="A58" s="8" t="n"/>
      <c r="B58" s="8" t="n"/>
      <c r="C58" s="8" t="n"/>
      <c r="D58" s="9" t="n"/>
      <c r="E58" s="9" t="n"/>
      <c r="F58" s="10">
        <f>IF(A58="","",D58*E58)</f>
        <v/>
      </c>
      <c r="G58" s="7">
        <f>IF(F58="","",IF(F58&gt;=15,"HIGH",IF(F58&gt;=8,"MEDIUM","LOW")))</f>
        <v/>
      </c>
      <c r="H58" s="8" t="n"/>
      <c r="I58" s="8" t="n"/>
      <c r="J58" s="8" t="n"/>
    </row>
    <row r="59">
      <c r="A59" s="8" t="n"/>
      <c r="B59" s="8" t="n"/>
      <c r="C59" s="8" t="n"/>
      <c r="D59" s="9" t="n"/>
      <c r="E59" s="9" t="n"/>
      <c r="F59" s="10">
        <f>IF(A59="","",D59*E59)</f>
        <v/>
      </c>
      <c r="G59" s="7">
        <f>IF(F59="","",IF(F59&gt;=15,"HIGH",IF(F59&gt;=8,"MEDIUM","LOW")))</f>
        <v/>
      </c>
      <c r="H59" s="8" t="n"/>
      <c r="I59" s="8" t="n"/>
      <c r="J59" s="8" t="n"/>
    </row>
    <row r="60">
      <c r="A60" s="8" t="n"/>
      <c r="B60" s="8" t="n"/>
      <c r="C60" s="8" t="n"/>
      <c r="D60" s="9" t="n"/>
      <c r="E60" s="9" t="n"/>
      <c r="F60" s="10">
        <f>IF(A60="","",D60*E60)</f>
        <v/>
      </c>
      <c r="G60" s="7">
        <f>IF(F60="","",IF(F60&gt;=15,"HIGH",IF(F60&gt;=8,"MEDIUM","LOW")))</f>
        <v/>
      </c>
      <c r="H60" s="8" t="n"/>
      <c r="I60" s="8" t="n"/>
      <c r="J60" s="8" t="n"/>
    </row>
    <row r="61">
      <c r="A61" s="8" t="n"/>
      <c r="B61" s="8" t="n"/>
      <c r="C61" s="8" t="n"/>
      <c r="D61" s="9" t="n"/>
      <c r="E61" s="9" t="n"/>
      <c r="F61" s="10">
        <f>IF(A61="","",D61*E61)</f>
        <v/>
      </c>
      <c r="G61" s="7">
        <f>IF(F61="","",IF(F61&gt;=15,"HIGH",IF(F61&gt;=8,"MEDIUM","LOW")))</f>
        <v/>
      </c>
      <c r="H61" s="8" t="n"/>
      <c r="I61" s="8" t="n"/>
      <c r="J61" s="8" t="n"/>
    </row>
    <row r="62">
      <c r="A62" s="8" t="n"/>
      <c r="B62" s="8" t="n"/>
      <c r="C62" s="8" t="n"/>
      <c r="D62" s="9" t="n"/>
      <c r="E62" s="9" t="n"/>
      <c r="F62" s="10">
        <f>IF(A62="","",D62*E62)</f>
        <v/>
      </c>
      <c r="G62" s="7">
        <f>IF(F62="","",IF(F62&gt;=15,"HIGH",IF(F62&gt;=8,"MEDIUM","LOW")))</f>
        <v/>
      </c>
      <c r="H62" s="8" t="n"/>
      <c r="I62" s="8" t="n"/>
      <c r="J62" s="8" t="n"/>
    </row>
    <row r="63">
      <c r="A63" s="8" t="n"/>
      <c r="B63" s="8" t="n"/>
      <c r="C63" s="8" t="n"/>
      <c r="D63" s="9" t="n"/>
      <c r="E63" s="9" t="n"/>
      <c r="F63" s="10">
        <f>IF(A63="","",D63*E63)</f>
        <v/>
      </c>
      <c r="G63" s="7">
        <f>IF(F63="","",IF(F63&gt;=15,"HIGH",IF(F63&gt;=8,"MEDIUM","LOW")))</f>
        <v/>
      </c>
      <c r="H63" s="8" t="n"/>
      <c r="I63" s="8" t="n"/>
      <c r="J63" s="8" t="n"/>
    </row>
    <row r="64">
      <c r="A64" s="8" t="n"/>
      <c r="B64" s="8" t="n"/>
      <c r="C64" s="8" t="n"/>
      <c r="D64" s="9" t="n"/>
      <c r="E64" s="9" t="n"/>
      <c r="F64" s="10">
        <f>IF(A64="","",D64*E64)</f>
        <v/>
      </c>
      <c r="G64" s="7">
        <f>IF(F64="","",IF(F64&gt;=15,"HIGH",IF(F64&gt;=8,"MEDIUM","LOW")))</f>
        <v/>
      </c>
      <c r="H64" s="8" t="n"/>
      <c r="I64" s="8" t="n"/>
      <c r="J64" s="8" t="n"/>
    </row>
    <row r="65">
      <c r="A65" s="8" t="n"/>
      <c r="B65" s="8" t="n"/>
      <c r="C65" s="8" t="n"/>
      <c r="D65" s="9" t="n"/>
      <c r="E65" s="9" t="n"/>
      <c r="F65" s="10">
        <f>IF(A65="","",D65*E65)</f>
        <v/>
      </c>
      <c r="G65" s="7">
        <f>IF(F65="","",IF(F65&gt;=15,"HIGH",IF(F65&gt;=8,"MEDIUM","LOW")))</f>
        <v/>
      </c>
      <c r="H65" s="8" t="n"/>
      <c r="I65" s="8" t="n"/>
      <c r="J65" s="8" t="n"/>
    </row>
    <row r="66">
      <c r="A66" s="8" t="n"/>
      <c r="B66" s="8" t="n"/>
      <c r="C66" s="8" t="n"/>
      <c r="D66" s="9" t="n"/>
      <c r="E66" s="9" t="n"/>
      <c r="F66" s="10">
        <f>IF(A66="","",D66*E66)</f>
        <v/>
      </c>
      <c r="G66" s="7">
        <f>IF(F66="","",IF(F66&gt;=15,"HIGH",IF(F66&gt;=8,"MEDIUM","LOW")))</f>
        <v/>
      </c>
      <c r="H66" s="8" t="n"/>
      <c r="I66" s="8" t="n"/>
      <c r="J66" s="8" t="n"/>
    </row>
    <row r="67">
      <c r="A67" s="8" t="n"/>
      <c r="B67" s="8" t="n"/>
      <c r="C67" s="8" t="n"/>
      <c r="D67" s="9" t="n"/>
      <c r="E67" s="9" t="n"/>
      <c r="F67" s="10">
        <f>IF(A67="","",D67*E67)</f>
        <v/>
      </c>
      <c r="G67" s="7">
        <f>IF(F67="","",IF(F67&gt;=15,"HIGH",IF(F67&gt;=8,"MEDIUM","LOW")))</f>
        <v/>
      </c>
      <c r="H67" s="8" t="n"/>
      <c r="I67" s="8" t="n"/>
      <c r="J67" s="8" t="n"/>
    </row>
    <row r="68">
      <c r="A68" s="8" t="n"/>
      <c r="B68" s="8" t="n"/>
      <c r="C68" s="8" t="n"/>
      <c r="D68" s="9" t="n"/>
      <c r="E68" s="9" t="n"/>
      <c r="F68" s="10">
        <f>IF(A68="","",D68*E68)</f>
        <v/>
      </c>
      <c r="G68" s="7">
        <f>IF(F68="","",IF(F68&gt;=15,"HIGH",IF(F68&gt;=8,"MEDIUM","LOW")))</f>
        <v/>
      </c>
      <c r="H68" s="8" t="n"/>
      <c r="I68" s="8" t="n"/>
      <c r="J68" s="8" t="n"/>
    </row>
    <row r="69">
      <c r="A69" s="8" t="n"/>
      <c r="B69" s="8" t="n"/>
      <c r="C69" s="8" t="n"/>
      <c r="D69" s="9" t="n"/>
      <c r="E69" s="9" t="n"/>
      <c r="F69" s="10">
        <f>IF(A69="","",D69*E69)</f>
        <v/>
      </c>
      <c r="G69" s="7">
        <f>IF(F69="","",IF(F69&gt;=15,"HIGH",IF(F69&gt;=8,"MEDIUM","LOW")))</f>
        <v/>
      </c>
      <c r="H69" s="8" t="n"/>
      <c r="I69" s="8" t="n"/>
      <c r="J69" s="8" t="n"/>
    </row>
    <row r="70">
      <c r="A70" s="8" t="n"/>
      <c r="B70" s="8" t="n"/>
      <c r="C70" s="8" t="n"/>
      <c r="D70" s="9" t="n"/>
      <c r="E70" s="9" t="n"/>
      <c r="F70" s="10">
        <f>IF(A70="","",D70*E70)</f>
        <v/>
      </c>
      <c r="G70" s="7">
        <f>IF(F70="","",IF(F70&gt;=15,"HIGH",IF(F70&gt;=8,"MEDIUM","LOW")))</f>
        <v/>
      </c>
      <c r="H70" s="8" t="n"/>
      <c r="I70" s="8" t="n"/>
      <c r="J70" s="8" t="n"/>
    </row>
    <row r="71">
      <c r="A71" s="8" t="n"/>
      <c r="B71" s="8" t="n"/>
      <c r="C71" s="8" t="n"/>
      <c r="D71" s="9" t="n"/>
      <c r="E71" s="9" t="n"/>
      <c r="F71" s="10">
        <f>IF(A71="","",D71*E71)</f>
        <v/>
      </c>
      <c r="G71" s="7">
        <f>IF(F71="","",IF(F71&gt;=15,"HIGH",IF(F71&gt;=8,"MEDIUM","LOW")))</f>
        <v/>
      </c>
      <c r="H71" s="8" t="n"/>
      <c r="I71" s="8" t="n"/>
      <c r="J71" s="8" t="n"/>
    </row>
    <row r="72">
      <c r="A72" s="8" t="n"/>
      <c r="B72" s="8" t="n"/>
      <c r="C72" s="8" t="n"/>
      <c r="D72" s="9" t="n"/>
      <c r="E72" s="9" t="n"/>
      <c r="F72" s="10">
        <f>IF(A72="","",D72*E72)</f>
        <v/>
      </c>
      <c r="G72" s="7">
        <f>IF(F72="","",IF(F72&gt;=15,"HIGH",IF(F72&gt;=8,"MEDIUM","LOW")))</f>
        <v/>
      </c>
      <c r="H72" s="8" t="n"/>
      <c r="I72" s="8" t="n"/>
      <c r="J72" s="8" t="n"/>
    </row>
    <row r="73">
      <c r="A73" s="8" t="n"/>
      <c r="B73" s="8" t="n"/>
      <c r="C73" s="8" t="n"/>
      <c r="D73" s="9" t="n"/>
      <c r="E73" s="9" t="n"/>
      <c r="F73" s="10">
        <f>IF(A73="","",D73*E73)</f>
        <v/>
      </c>
      <c r="G73" s="7">
        <f>IF(F73="","",IF(F73&gt;=15,"HIGH",IF(F73&gt;=8,"MEDIUM","LOW")))</f>
        <v/>
      </c>
      <c r="H73" s="8" t="n"/>
      <c r="I73" s="8" t="n"/>
      <c r="J73" s="8" t="n"/>
    </row>
    <row r="74">
      <c r="A74" s="8" t="n"/>
      <c r="B74" s="8" t="n"/>
      <c r="C74" s="8" t="n"/>
      <c r="D74" s="9" t="n"/>
      <c r="E74" s="9" t="n"/>
      <c r="F74" s="10">
        <f>IF(A74="","",D74*E74)</f>
        <v/>
      </c>
      <c r="G74" s="7">
        <f>IF(F74="","",IF(F74&gt;=15,"HIGH",IF(F74&gt;=8,"MEDIUM","LOW")))</f>
        <v/>
      </c>
      <c r="H74" s="8" t="n"/>
      <c r="I74" s="8" t="n"/>
      <c r="J74" s="8" t="n"/>
    </row>
    <row r="75">
      <c r="A75" s="8" t="n"/>
      <c r="B75" s="8" t="n"/>
      <c r="C75" s="8" t="n"/>
      <c r="D75" s="9" t="n"/>
      <c r="E75" s="9" t="n"/>
      <c r="F75" s="10">
        <f>IF(A75="","",D75*E75)</f>
        <v/>
      </c>
      <c r="G75" s="7">
        <f>IF(F75="","",IF(F75&gt;=15,"HIGH",IF(F75&gt;=8,"MEDIUM","LOW")))</f>
        <v/>
      </c>
      <c r="H75" s="8" t="n"/>
      <c r="I75" s="8" t="n"/>
      <c r="J75" s="8" t="n"/>
    </row>
    <row r="76">
      <c r="A76" s="8" t="n"/>
      <c r="B76" s="8" t="n"/>
      <c r="C76" s="8" t="n"/>
      <c r="D76" s="9" t="n"/>
      <c r="E76" s="9" t="n"/>
      <c r="F76" s="10">
        <f>IF(A76="","",D76*E76)</f>
        <v/>
      </c>
      <c r="G76" s="7">
        <f>IF(F76="","",IF(F76&gt;=15,"HIGH",IF(F76&gt;=8,"MEDIUM","LOW")))</f>
        <v/>
      </c>
      <c r="H76" s="8" t="n"/>
      <c r="I76" s="8" t="n"/>
      <c r="J76" s="8" t="n"/>
    </row>
    <row r="77">
      <c r="A77" s="8" t="n"/>
      <c r="B77" s="8" t="n"/>
      <c r="C77" s="8" t="n"/>
      <c r="D77" s="9" t="n"/>
      <c r="E77" s="9" t="n"/>
      <c r="F77" s="10">
        <f>IF(A77="","",D77*E77)</f>
        <v/>
      </c>
      <c r="G77" s="7">
        <f>IF(F77="","",IF(F77&gt;=15,"HIGH",IF(F77&gt;=8,"MEDIUM","LOW")))</f>
        <v/>
      </c>
      <c r="H77" s="8" t="n"/>
      <c r="I77" s="8" t="n"/>
      <c r="J77" s="8" t="n"/>
    </row>
    <row r="78">
      <c r="A78" s="8" t="n"/>
      <c r="B78" s="8" t="n"/>
      <c r="C78" s="8" t="n"/>
      <c r="D78" s="9" t="n"/>
      <c r="E78" s="9" t="n"/>
      <c r="F78" s="10">
        <f>IF(A78="","",D78*E78)</f>
        <v/>
      </c>
      <c r="G78" s="7">
        <f>IF(F78="","",IF(F78&gt;=15,"HIGH",IF(F78&gt;=8,"MEDIUM","LOW")))</f>
        <v/>
      </c>
      <c r="H78" s="8" t="n"/>
      <c r="I78" s="8" t="n"/>
      <c r="J78" s="8" t="n"/>
    </row>
    <row r="79">
      <c r="A79" s="8" t="n"/>
      <c r="B79" s="8" t="n"/>
      <c r="C79" s="8" t="n"/>
      <c r="D79" s="9" t="n"/>
      <c r="E79" s="9" t="n"/>
      <c r="F79" s="10">
        <f>IF(A79="","",D79*E79)</f>
        <v/>
      </c>
      <c r="G79" s="7">
        <f>IF(F79="","",IF(F79&gt;=15,"HIGH",IF(F79&gt;=8,"MEDIUM","LOW")))</f>
        <v/>
      </c>
      <c r="H79" s="8" t="n"/>
      <c r="I79" s="8" t="n"/>
      <c r="J79" s="8" t="n"/>
    </row>
    <row r="80">
      <c r="A80" s="8" t="n"/>
      <c r="B80" s="8" t="n"/>
      <c r="C80" s="8" t="n"/>
      <c r="D80" s="9" t="n"/>
      <c r="E80" s="9" t="n"/>
      <c r="F80" s="10">
        <f>IF(A80="","",D80*E80)</f>
        <v/>
      </c>
      <c r="G80" s="7">
        <f>IF(F80="","",IF(F80&gt;=15,"HIGH",IF(F80&gt;=8,"MEDIUM","LOW")))</f>
        <v/>
      </c>
      <c r="H80" s="8" t="n"/>
      <c r="I80" s="8" t="n"/>
      <c r="J80" s="8" t="n"/>
    </row>
    <row r="81">
      <c r="A81" s="8" t="n"/>
      <c r="B81" s="8" t="n"/>
      <c r="C81" s="8" t="n"/>
      <c r="D81" s="9" t="n"/>
      <c r="E81" s="9" t="n"/>
      <c r="F81" s="10">
        <f>IF(A81="","",D81*E81)</f>
        <v/>
      </c>
      <c r="G81" s="7">
        <f>IF(F81="","",IF(F81&gt;=15,"HIGH",IF(F81&gt;=8,"MEDIUM","LOW")))</f>
        <v/>
      </c>
      <c r="H81" s="8" t="n"/>
      <c r="I81" s="8" t="n"/>
      <c r="J81" s="8" t="n"/>
    </row>
    <row r="82">
      <c r="A82" s="8" t="n"/>
      <c r="B82" s="8" t="n"/>
      <c r="C82" s="8" t="n"/>
      <c r="D82" s="9" t="n"/>
      <c r="E82" s="9" t="n"/>
      <c r="F82" s="10">
        <f>IF(A82="","",D82*E82)</f>
        <v/>
      </c>
      <c r="G82" s="7">
        <f>IF(F82="","",IF(F82&gt;=15,"HIGH",IF(F82&gt;=8,"MEDIUM","LOW")))</f>
        <v/>
      </c>
      <c r="H82" s="8" t="n"/>
      <c r="I82" s="8" t="n"/>
      <c r="J82" s="8" t="n"/>
    </row>
    <row r="83">
      <c r="A83" s="8" t="n"/>
      <c r="B83" s="8" t="n"/>
      <c r="C83" s="8" t="n"/>
      <c r="D83" s="9" t="n"/>
      <c r="E83" s="9" t="n"/>
      <c r="F83" s="10">
        <f>IF(A83="","",D83*E83)</f>
        <v/>
      </c>
      <c r="G83" s="7">
        <f>IF(F83="","",IF(F83&gt;=15,"HIGH",IF(F83&gt;=8,"MEDIUM","LOW")))</f>
        <v/>
      </c>
      <c r="H83" s="8" t="n"/>
      <c r="I83" s="8" t="n"/>
      <c r="J83" s="8" t="n"/>
    </row>
    <row r="84">
      <c r="A84" s="8" t="n"/>
      <c r="B84" s="8" t="n"/>
      <c r="C84" s="8" t="n"/>
      <c r="D84" s="9" t="n"/>
      <c r="E84" s="9" t="n"/>
      <c r="F84" s="10">
        <f>IF(A84="","",D84*E84)</f>
        <v/>
      </c>
      <c r="G84" s="7">
        <f>IF(F84="","",IF(F84&gt;=15,"HIGH",IF(F84&gt;=8,"MEDIUM","LOW")))</f>
        <v/>
      </c>
      <c r="H84" s="8" t="n"/>
      <c r="I84" s="8" t="n"/>
      <c r="J84" s="8" t="n"/>
    </row>
    <row r="85">
      <c r="A85" s="8" t="n"/>
      <c r="B85" s="8" t="n"/>
      <c r="C85" s="8" t="n"/>
      <c r="D85" s="9" t="n"/>
      <c r="E85" s="9" t="n"/>
      <c r="F85" s="10">
        <f>IF(A85="","",D85*E85)</f>
        <v/>
      </c>
      <c r="G85" s="7">
        <f>IF(F85="","",IF(F85&gt;=15,"HIGH",IF(F85&gt;=8,"MEDIUM","LOW")))</f>
        <v/>
      </c>
      <c r="H85" s="8" t="n"/>
      <c r="I85" s="8" t="n"/>
      <c r="J85" s="8" t="n"/>
    </row>
    <row r="86">
      <c r="A86" s="8" t="n"/>
      <c r="B86" s="8" t="n"/>
      <c r="C86" s="8" t="n"/>
      <c r="D86" s="9" t="n"/>
      <c r="E86" s="9" t="n"/>
      <c r="F86" s="10">
        <f>IF(A86="","",D86*E86)</f>
        <v/>
      </c>
      <c r="G86" s="7">
        <f>IF(F86="","",IF(F86&gt;=15,"HIGH",IF(F86&gt;=8,"MEDIUM","LOW")))</f>
        <v/>
      </c>
      <c r="H86" s="8" t="n"/>
      <c r="I86" s="8" t="n"/>
      <c r="J86" s="8" t="n"/>
    </row>
    <row r="87">
      <c r="A87" s="8" t="n"/>
      <c r="B87" s="8" t="n"/>
      <c r="C87" s="8" t="n"/>
      <c r="D87" s="9" t="n"/>
      <c r="E87" s="9" t="n"/>
      <c r="F87" s="10">
        <f>IF(A87="","",D87*E87)</f>
        <v/>
      </c>
      <c r="G87" s="7">
        <f>IF(F87="","",IF(F87&gt;=15,"HIGH",IF(F87&gt;=8,"MEDIUM","LOW")))</f>
        <v/>
      </c>
      <c r="H87" s="8" t="n"/>
      <c r="I87" s="8" t="n"/>
      <c r="J87" s="8" t="n"/>
    </row>
    <row r="88">
      <c r="A88" s="8" t="n"/>
      <c r="B88" s="8" t="n"/>
      <c r="C88" s="8" t="n"/>
      <c r="D88" s="9" t="n"/>
      <c r="E88" s="9" t="n"/>
      <c r="F88" s="10">
        <f>IF(A88="","",D88*E88)</f>
        <v/>
      </c>
      <c r="G88" s="7">
        <f>IF(F88="","",IF(F88&gt;=15,"HIGH",IF(F88&gt;=8,"MEDIUM","LOW")))</f>
        <v/>
      </c>
      <c r="H88" s="8" t="n"/>
      <c r="I88" s="8" t="n"/>
      <c r="J88" s="8" t="n"/>
    </row>
    <row r="89">
      <c r="A89" s="8" t="n"/>
      <c r="B89" s="8" t="n"/>
      <c r="C89" s="8" t="n"/>
      <c r="D89" s="9" t="n"/>
      <c r="E89" s="9" t="n"/>
      <c r="F89" s="10">
        <f>IF(A89="","",D89*E89)</f>
        <v/>
      </c>
      <c r="G89" s="7">
        <f>IF(F89="","",IF(F89&gt;=15,"HIGH",IF(F89&gt;=8,"MEDIUM","LOW")))</f>
        <v/>
      </c>
      <c r="H89" s="8" t="n"/>
      <c r="I89" s="8" t="n"/>
      <c r="J89" s="8" t="n"/>
    </row>
    <row r="90">
      <c r="A90" s="8" t="n"/>
      <c r="B90" s="8" t="n"/>
      <c r="C90" s="8" t="n"/>
      <c r="D90" s="9" t="n"/>
      <c r="E90" s="9" t="n"/>
      <c r="F90" s="10">
        <f>IF(A90="","",D90*E90)</f>
        <v/>
      </c>
      <c r="G90" s="7">
        <f>IF(F90="","",IF(F90&gt;=15,"HIGH",IF(F90&gt;=8,"MEDIUM","LOW")))</f>
        <v/>
      </c>
      <c r="H90" s="8" t="n"/>
      <c r="I90" s="8" t="n"/>
      <c r="J90" s="8" t="n"/>
    </row>
    <row r="91">
      <c r="A91" s="8" t="n"/>
      <c r="B91" s="8" t="n"/>
      <c r="C91" s="8" t="n"/>
      <c r="D91" s="9" t="n"/>
      <c r="E91" s="9" t="n"/>
      <c r="F91" s="10">
        <f>IF(A91="","",D91*E91)</f>
        <v/>
      </c>
      <c r="G91" s="7">
        <f>IF(F91="","",IF(F91&gt;=15,"HIGH",IF(F91&gt;=8,"MEDIUM","LOW")))</f>
        <v/>
      </c>
      <c r="H91" s="8" t="n"/>
      <c r="I91" s="8" t="n"/>
      <c r="J91" s="8" t="n"/>
    </row>
    <row r="92">
      <c r="A92" s="8" t="n"/>
      <c r="B92" s="8" t="n"/>
      <c r="C92" s="8" t="n"/>
      <c r="D92" s="9" t="n"/>
      <c r="E92" s="9" t="n"/>
      <c r="F92" s="10">
        <f>IF(A92="","",D92*E92)</f>
        <v/>
      </c>
      <c r="G92" s="7">
        <f>IF(F92="","",IF(F92&gt;=15,"HIGH",IF(F92&gt;=8,"MEDIUM","LOW")))</f>
        <v/>
      </c>
      <c r="H92" s="8" t="n"/>
      <c r="I92" s="8" t="n"/>
      <c r="J92" s="8" t="n"/>
    </row>
    <row r="93">
      <c r="A93" s="8" t="n"/>
      <c r="B93" s="8" t="n"/>
      <c r="C93" s="8" t="n"/>
      <c r="D93" s="9" t="n"/>
      <c r="E93" s="9" t="n"/>
      <c r="F93" s="10">
        <f>IF(A93="","",D93*E93)</f>
        <v/>
      </c>
      <c r="G93" s="7">
        <f>IF(F93="","",IF(F93&gt;=15,"HIGH",IF(F93&gt;=8,"MEDIUM","LOW")))</f>
        <v/>
      </c>
      <c r="H93" s="8" t="n"/>
      <c r="I93" s="8" t="n"/>
      <c r="J93" s="8" t="n"/>
    </row>
    <row r="94">
      <c r="A94" s="8" t="n"/>
      <c r="B94" s="8" t="n"/>
      <c r="C94" s="8" t="n"/>
      <c r="D94" s="9" t="n"/>
      <c r="E94" s="9" t="n"/>
      <c r="F94" s="10">
        <f>IF(A94="","",D94*E94)</f>
        <v/>
      </c>
      <c r="G94" s="7">
        <f>IF(F94="","",IF(F94&gt;=15,"HIGH",IF(F94&gt;=8,"MEDIUM","LOW")))</f>
        <v/>
      </c>
      <c r="H94" s="8" t="n"/>
      <c r="I94" s="8" t="n"/>
      <c r="J94" s="8" t="n"/>
    </row>
    <row r="95">
      <c r="A95" s="8" t="n"/>
      <c r="B95" s="8" t="n"/>
      <c r="C95" s="8" t="n"/>
      <c r="D95" s="9" t="n"/>
      <c r="E95" s="9" t="n"/>
      <c r="F95" s="10">
        <f>IF(A95="","",D95*E95)</f>
        <v/>
      </c>
      <c r="G95" s="7">
        <f>IF(F95="","",IF(F95&gt;=15,"HIGH",IF(F95&gt;=8,"MEDIUM","LOW")))</f>
        <v/>
      </c>
      <c r="H95" s="8" t="n"/>
      <c r="I95" s="8" t="n"/>
      <c r="J95" s="8" t="n"/>
    </row>
    <row r="96">
      <c r="A96" s="8" t="n"/>
      <c r="B96" s="8" t="n"/>
      <c r="C96" s="8" t="n"/>
      <c r="D96" s="9" t="n"/>
      <c r="E96" s="9" t="n"/>
      <c r="F96" s="10">
        <f>IF(A96="","",D96*E96)</f>
        <v/>
      </c>
      <c r="G96" s="7">
        <f>IF(F96="","",IF(F96&gt;=15,"HIGH",IF(F96&gt;=8,"MEDIUM","LOW")))</f>
        <v/>
      </c>
      <c r="H96" s="8" t="n"/>
      <c r="I96" s="8" t="n"/>
      <c r="J96" s="8" t="n"/>
    </row>
    <row r="97">
      <c r="A97" s="8" t="n"/>
      <c r="B97" s="8" t="n"/>
      <c r="C97" s="8" t="n"/>
      <c r="D97" s="9" t="n"/>
      <c r="E97" s="9" t="n"/>
      <c r="F97" s="10">
        <f>IF(A97="","",D97*E97)</f>
        <v/>
      </c>
      <c r="G97" s="7">
        <f>IF(F97="","",IF(F97&gt;=15,"HIGH",IF(F97&gt;=8,"MEDIUM","LOW")))</f>
        <v/>
      </c>
      <c r="H97" s="8" t="n"/>
      <c r="I97" s="8" t="n"/>
      <c r="J97" s="8" t="n"/>
    </row>
    <row r="98">
      <c r="A98" s="8" t="n"/>
      <c r="B98" s="8" t="n"/>
      <c r="C98" s="8" t="n"/>
      <c r="D98" s="9" t="n"/>
      <c r="E98" s="9" t="n"/>
      <c r="F98" s="10">
        <f>IF(A98="","",D98*E98)</f>
        <v/>
      </c>
      <c r="G98" s="7">
        <f>IF(F98="","",IF(F98&gt;=15,"HIGH",IF(F98&gt;=8,"MEDIUM","LOW")))</f>
        <v/>
      </c>
      <c r="H98" s="8" t="n"/>
      <c r="I98" s="8" t="n"/>
      <c r="J98" s="8" t="n"/>
    </row>
    <row r="99">
      <c r="A99" s="8" t="n"/>
      <c r="B99" s="8" t="n"/>
      <c r="C99" s="8" t="n"/>
      <c r="D99" s="9" t="n"/>
      <c r="E99" s="9" t="n"/>
      <c r="F99" s="10">
        <f>IF(A99="","",D99*E99)</f>
        <v/>
      </c>
      <c r="G99" s="7">
        <f>IF(F99="","",IF(F99&gt;=15,"HIGH",IF(F99&gt;=8,"MEDIUM","LOW")))</f>
        <v/>
      </c>
      <c r="H99" s="8" t="n"/>
      <c r="I99" s="8" t="n"/>
      <c r="J99" s="8" t="n"/>
    </row>
    <row r="100">
      <c r="A100" s="8" t="n"/>
      <c r="B100" s="8" t="n"/>
      <c r="C100" s="8" t="n"/>
      <c r="D100" s="9" t="n"/>
      <c r="E100" s="9" t="n"/>
      <c r="F100" s="10">
        <f>IF(A100="","",D100*E100)</f>
        <v/>
      </c>
      <c r="G100" s="7">
        <f>IF(F100="","",IF(F100&gt;=15,"HIGH",IF(F100&gt;=8,"MEDIUM","LOW")))</f>
        <v/>
      </c>
      <c r="H100" s="8" t="n"/>
      <c r="I100" s="8" t="n"/>
      <c r="J100" s="8" t="n"/>
    </row>
    <row r="101">
      <c r="A101" s="8" t="n"/>
      <c r="B101" s="8" t="n"/>
      <c r="C101" s="8" t="n"/>
      <c r="D101" s="9" t="n"/>
      <c r="E101" s="9" t="n"/>
      <c r="F101" s="10">
        <f>IF(A101="","",D101*E101)</f>
        <v/>
      </c>
      <c r="G101" s="7">
        <f>IF(F101="","",IF(F101&gt;=15,"HIGH",IF(F101&gt;=8,"MEDIUM","LOW")))</f>
        <v/>
      </c>
      <c r="H101" s="8" t="n"/>
      <c r="I101" s="8" t="n"/>
      <c r="J101" s="8" t="n"/>
    </row>
    <row r="102">
      <c r="A102" s="8" t="n"/>
      <c r="B102" s="8" t="n"/>
      <c r="C102" s="8" t="n"/>
      <c r="D102" s="9" t="n"/>
      <c r="E102" s="9" t="n"/>
      <c r="F102" s="10">
        <f>IF(A102="","",D102*E102)</f>
        <v/>
      </c>
      <c r="G102" s="7">
        <f>IF(F102="","",IF(F102&gt;=15,"HIGH",IF(F102&gt;=8,"MEDIUM","LOW")))</f>
        <v/>
      </c>
      <c r="H102" s="8" t="n"/>
      <c r="I102" s="8" t="n"/>
      <c r="J102" s="8" t="n"/>
    </row>
    <row r="103">
      <c r="A103" s="8" t="n"/>
      <c r="B103" s="8" t="n"/>
      <c r="C103" s="8" t="n"/>
      <c r="D103" s="9" t="n"/>
      <c r="E103" s="9" t="n"/>
      <c r="F103" s="10">
        <f>IF(A103="","",D103*E103)</f>
        <v/>
      </c>
      <c r="G103" s="7">
        <f>IF(F103="","",IF(F103&gt;=15,"HIGH",IF(F103&gt;=8,"MEDIUM","LOW")))</f>
        <v/>
      </c>
      <c r="H103" s="8" t="n"/>
      <c r="I103" s="8" t="n"/>
      <c r="J103" s="8" t="n"/>
    </row>
    <row r="104">
      <c r="A104" s="8" t="n"/>
      <c r="B104" s="8" t="n"/>
      <c r="C104" s="8" t="n"/>
      <c r="D104" s="9" t="n"/>
      <c r="E104" s="9" t="n"/>
      <c r="F104" s="10">
        <f>IF(A104="","",D104*E104)</f>
        <v/>
      </c>
      <c r="G104" s="7">
        <f>IF(F104="","",IF(F104&gt;=15,"HIGH",IF(F104&gt;=8,"MEDIUM","LOW")))</f>
        <v/>
      </c>
      <c r="H104" s="8" t="n"/>
      <c r="I104" s="8" t="n"/>
      <c r="J104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Bank covenant tests (enter from K01 Summary / balance sheet)</t>
        </is>
      </c>
    </row>
    <row r="2"/>
    <row r="3"/>
    <row r="4">
      <c r="A4" t="inlineStr">
        <is>
          <t>EBITDA (TTM)</t>
        </is>
      </c>
      <c r="B4" s="11" t="n"/>
    </row>
    <row r="5">
      <c r="A5" t="inlineStr">
        <is>
          <t>interest (TTM)</t>
        </is>
      </c>
      <c r="B5" s="11" t="n"/>
    </row>
    <row r="6">
      <c r="A6" t="inlineStr">
        <is>
          <t>principal repaid (TTM)</t>
        </is>
      </c>
      <c r="B6" s="11" t="n"/>
    </row>
    <row r="7">
      <c r="A7" t="inlineStr">
        <is>
          <t>tax paid (TTM)</t>
        </is>
      </c>
      <c r="B7" s="11" t="n"/>
    </row>
    <row r="8">
      <c r="A8" t="inlineStr">
        <is>
          <t>current assets</t>
        </is>
      </c>
      <c r="B8" s="11" t="n"/>
    </row>
    <row r="9">
      <c r="A9" t="inlineStr">
        <is>
          <t>current liabilities</t>
        </is>
      </c>
      <c r="B9" s="11" t="n"/>
    </row>
    <row r="10">
      <c r="A10" t="inlineStr">
        <is>
          <t>total outside liabilities</t>
        </is>
      </c>
      <c r="B10" s="11" t="n"/>
    </row>
    <row r="11">
      <c r="A11" t="inlineStr">
        <is>
          <t>tangible net worth</t>
        </is>
      </c>
      <c r="B11" s="11" t="n"/>
    </row>
    <row r="12">
      <c r="A12" t="inlineStr">
        <is>
          <t>net debt</t>
        </is>
      </c>
      <c r="B12" s="11" t="n"/>
    </row>
    <row r="13">
      <c r="A13" t="inlineStr">
        <is>
          <t>DSCR = (EBITDA - tax) / (interest + principal)</t>
        </is>
      </c>
      <c r="B13" s="12">
        <f>IFERROR((Covenants!$B$4-Covenants!$B$7)/(Covenants!$B$5+Covenants!$B$6),"")</f>
        <v/>
      </c>
    </row>
    <row r="14">
      <c r="A14" t="inlineStr">
        <is>
          <t>current ratio</t>
        </is>
      </c>
      <c r="B14" s="12">
        <f>IFERROR(Covenants!$B$8/Covenants!$B$9,"")</f>
        <v/>
      </c>
    </row>
    <row r="15">
      <c r="A15" t="inlineStr">
        <is>
          <t>TOL / TNW</t>
        </is>
      </c>
      <c r="B15" s="12">
        <f>IFERROR(Covenants!$B$10/Covenants!$B$11,"")</f>
        <v/>
      </c>
    </row>
    <row r="16">
      <c r="A16" t="inlineStr">
        <is>
          <t>net debt / EBITDA</t>
        </is>
      </c>
      <c r="B16" s="12">
        <f>IFERROR(Covenants!$B$12/Covenants!$B$4,"")</f>
        <v/>
      </c>
    </row>
    <row r="17">
      <c r="A17" t="inlineStr">
        <is>
          <t>covenant: DSCR minimum</t>
        </is>
      </c>
      <c r="B17" s="13" t="n">
        <v>1.25</v>
      </c>
    </row>
    <row r="18">
      <c r="A18" t="inlineStr">
        <is>
          <t>covenant: current ratio minimum</t>
        </is>
      </c>
      <c r="B18" s="13" t="n">
        <v>1.33</v>
      </c>
    </row>
    <row r="19">
      <c r="A19" t="inlineStr">
        <is>
          <t>covenant: TOL/TNW maximum</t>
        </is>
      </c>
      <c r="B19" s="13" t="n">
        <v>3</v>
      </c>
    </row>
    <row r="20">
      <c r="A20" t="inlineStr">
        <is>
          <t>ALL COVENANTS MET?</t>
        </is>
      </c>
      <c r="B20" s="5">
        <f>IF(OR(B13="",B14="",B15=""),"enter inputs",IF(AND(B13&gt;=Covenants!$B$17,B14&gt;=Covenants!$B$18,B15&lt;=Covenants!$B$19),"MET","BREACH - escalate"))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6" customWidth="1" min="5" max="5"/>
    <col width="15" customWidth="1" min="6" max="6"/>
  </cols>
  <sheetData>
    <row r="1">
      <c r="A1" s="1" t="inlineStr">
        <is>
          <t>FX exposure &amp; hedge ratio</t>
        </is>
      </c>
    </row>
    <row r="2"/>
    <row r="3"/>
    <row r="4">
      <c r="A4" s="6" t="inlineStr">
        <is>
          <t>exposure</t>
        </is>
      </c>
      <c r="B4" s="6" t="inlineStr">
        <is>
          <t>currency</t>
        </is>
      </c>
      <c r="C4" s="6" t="inlineStr">
        <is>
          <t>amount (FCY)</t>
        </is>
      </c>
      <c r="D4" s="6" t="inlineStr">
        <is>
          <t>due month</t>
        </is>
      </c>
      <c r="E4" s="6" t="inlineStr">
        <is>
          <t>hedged (FCY)</t>
        </is>
      </c>
      <c r="F4" s="6" t="inlineStr">
        <is>
          <t>hedge ratio</t>
        </is>
      </c>
    </row>
    <row r="5">
      <c r="A5" s="8" t="inlineStr">
        <is>
          <t>Import of CNC spares</t>
        </is>
      </c>
      <c r="B5" s="8" t="inlineStr">
        <is>
          <t>USD</t>
        </is>
      </c>
      <c r="C5" s="14" t="n">
        <v>250000</v>
      </c>
      <c r="D5" s="8" t="inlineStr">
        <is>
          <t>2026-12</t>
        </is>
      </c>
      <c r="E5" s="14" t="n">
        <v>150000</v>
      </c>
      <c r="F5" s="15">
        <f>IF(OR(A5="",N(C5)=0),"",E5/C5)</f>
        <v/>
      </c>
    </row>
    <row r="6">
      <c r="A6" s="8" t="n"/>
      <c r="B6" s="8" t="n"/>
      <c r="C6" s="14" t="n"/>
      <c r="D6" s="8" t="n"/>
      <c r="E6" s="14" t="n"/>
      <c r="F6" s="15">
        <f>IF(OR(A6="",N(C6)=0),"",E6/C6)</f>
        <v/>
      </c>
    </row>
    <row r="7">
      <c r="A7" s="8" t="n"/>
      <c r="B7" s="8" t="n"/>
      <c r="C7" s="14" t="n"/>
      <c r="D7" s="8" t="n"/>
      <c r="E7" s="14" t="n"/>
      <c r="F7" s="15">
        <f>IF(OR(A7="",N(C7)=0),"",E7/C7)</f>
        <v/>
      </c>
    </row>
    <row r="8">
      <c r="A8" s="8" t="n"/>
      <c r="B8" s="8" t="n"/>
      <c r="C8" s="14" t="n"/>
      <c r="D8" s="8" t="n"/>
      <c r="E8" s="14" t="n"/>
      <c r="F8" s="15">
        <f>IF(OR(A8="",N(C8)=0),"",E8/C8)</f>
        <v/>
      </c>
    </row>
    <row r="9">
      <c r="A9" s="8" t="n"/>
      <c r="B9" s="8" t="n"/>
      <c r="C9" s="14" t="n"/>
      <c r="D9" s="8" t="n"/>
      <c r="E9" s="14" t="n"/>
      <c r="F9" s="15">
        <f>IF(OR(A9="",N(C9)=0),"",E9/C9)</f>
        <v/>
      </c>
    </row>
    <row r="10">
      <c r="A10" s="8" t="n"/>
      <c r="B10" s="8" t="n"/>
      <c r="C10" s="14" t="n"/>
      <c r="D10" s="8" t="n"/>
      <c r="E10" s="14" t="n"/>
      <c r="F10" s="15">
        <f>IF(OR(A10="",N(C10)=0),"",E10/C10)</f>
        <v/>
      </c>
    </row>
    <row r="11">
      <c r="A11" s="8" t="n"/>
      <c r="B11" s="8" t="n"/>
      <c r="C11" s="14" t="n"/>
      <c r="D11" s="8" t="n"/>
      <c r="E11" s="14" t="n"/>
      <c r="F11" s="15">
        <f>IF(OR(A11="",N(C11)=0),"",E11/C11)</f>
        <v/>
      </c>
    </row>
    <row r="12">
      <c r="A12" s="8" t="n"/>
      <c r="B12" s="8" t="n"/>
      <c r="C12" s="14" t="n"/>
      <c r="D12" s="8" t="n"/>
      <c r="E12" s="14" t="n"/>
      <c r="F12" s="15">
        <f>IF(OR(A12="",N(C12)=0),"",E12/C12)</f>
        <v/>
      </c>
    </row>
    <row r="13">
      <c r="A13" s="8" t="n"/>
      <c r="B13" s="8" t="n"/>
      <c r="C13" s="14" t="n"/>
      <c r="D13" s="8" t="n"/>
      <c r="E13" s="14" t="n"/>
      <c r="F13" s="15">
        <f>IF(OR(A13="",N(C13)=0),"",E13/C13)</f>
        <v/>
      </c>
    </row>
    <row r="14">
      <c r="A14" s="8" t="n"/>
      <c r="B14" s="8" t="n"/>
      <c r="C14" s="14" t="n"/>
      <c r="D14" s="8" t="n"/>
      <c r="E14" s="14" t="n"/>
      <c r="F14" s="15">
        <f>IF(OR(A14="",N(C14)=0),"",E14/C14)</f>
        <v/>
      </c>
    </row>
    <row r="15">
      <c r="A15" s="8" t="n"/>
      <c r="B15" s="8" t="n"/>
      <c r="C15" s="14" t="n"/>
      <c r="D15" s="8" t="n"/>
      <c r="E15" s="14" t="n"/>
      <c r="F15" s="15">
        <f>IF(OR(A15="",N(C15)=0),"",E15/C15)</f>
        <v/>
      </c>
    </row>
    <row r="16">
      <c r="A16" s="8" t="n"/>
      <c r="B16" s="8" t="n"/>
      <c r="C16" s="14" t="n"/>
      <c r="D16" s="8" t="n"/>
      <c r="E16" s="14" t="n"/>
      <c r="F16" s="15">
        <f>IF(OR(A16="",N(C16)=0),"",E16/C16)</f>
        <v/>
      </c>
    </row>
    <row r="17">
      <c r="A17" s="8" t="n"/>
      <c r="B17" s="8" t="n"/>
      <c r="C17" s="14" t="n"/>
      <c r="D17" s="8" t="n"/>
      <c r="E17" s="14" t="n"/>
      <c r="F17" s="15">
        <f>IF(OR(A17="",N(C17)=0),"",E17/C17)</f>
        <v/>
      </c>
    </row>
    <row r="18">
      <c r="A18" s="8" t="n"/>
      <c r="B18" s="8" t="n"/>
      <c r="C18" s="14" t="n"/>
      <c r="D18" s="8" t="n"/>
      <c r="E18" s="14" t="n"/>
      <c r="F18" s="15">
        <f>IF(OR(A18="",N(C18)=0),"",E18/C18)</f>
        <v/>
      </c>
    </row>
    <row r="19">
      <c r="A19" s="8" t="n"/>
      <c r="B19" s="8" t="n"/>
      <c r="C19" s="14" t="n"/>
      <c r="D19" s="8" t="n"/>
      <c r="E19" s="14" t="n"/>
      <c r="F19" s="15">
        <f>IF(OR(A19="",N(C19)=0),"",E19/C19)</f>
        <v/>
      </c>
    </row>
    <row r="20">
      <c r="A20" s="8" t="n"/>
      <c r="B20" s="8" t="n"/>
      <c r="C20" s="14" t="n"/>
      <c r="D20" s="8" t="n"/>
      <c r="E20" s="14" t="n"/>
      <c r="F20" s="15">
        <f>IF(OR(A20="",N(C20)=0),"",E20/C20)</f>
        <v/>
      </c>
    </row>
    <row r="21">
      <c r="A21" s="8" t="n"/>
      <c r="B21" s="8" t="n"/>
      <c r="C21" s="14" t="n"/>
      <c r="D21" s="8" t="n"/>
      <c r="E21" s="14" t="n"/>
      <c r="F21" s="15">
        <f>IF(OR(A21="",N(C21)=0),"",E21/C21)</f>
        <v/>
      </c>
    </row>
    <row r="22">
      <c r="A22" s="8" t="n"/>
      <c r="B22" s="8" t="n"/>
      <c r="C22" s="14" t="n"/>
      <c r="D22" s="8" t="n"/>
      <c r="E22" s="14" t="n"/>
      <c r="F22" s="15">
        <f>IF(OR(A22="",N(C22)=0),"",E22/C22)</f>
        <v/>
      </c>
    </row>
    <row r="23">
      <c r="A23" s="8" t="n"/>
      <c r="B23" s="8" t="n"/>
      <c r="C23" s="14" t="n"/>
      <c r="D23" s="8" t="n"/>
      <c r="E23" s="14" t="n"/>
      <c r="F23" s="15">
        <f>IF(OR(A23="",N(C23)=0),"",E23/C23)</f>
        <v/>
      </c>
    </row>
    <row r="24">
      <c r="A24" s="8" t="n"/>
      <c r="B24" s="8" t="n"/>
      <c r="C24" s="14" t="n"/>
      <c r="D24" s="8" t="n"/>
      <c r="E24" s="14" t="n"/>
      <c r="F24" s="15">
        <f>IF(OR(A24="",N(C24)=0),"",E24/C24)</f>
        <v/>
      </c>
    </row>
    <row r="25">
      <c r="A25" s="8" t="n"/>
      <c r="B25" s="8" t="n"/>
      <c r="C25" s="14" t="n"/>
      <c r="D25" s="8" t="n"/>
      <c r="E25" s="14" t="n"/>
      <c r="F25" s="15">
        <f>IF(OR(A25="",N(C25)=0),"",E25/C25)</f>
        <v/>
      </c>
    </row>
    <row r="26">
      <c r="A26" s="8" t="n"/>
      <c r="B26" s="8" t="n"/>
      <c r="C26" s="14" t="n"/>
      <c r="D26" s="8" t="n"/>
      <c r="E26" s="14" t="n"/>
      <c r="F26" s="15">
        <f>IF(OR(A26="",N(C26)=0),"",E26/C26)</f>
        <v/>
      </c>
    </row>
    <row r="27">
      <c r="A27" s="8" t="n"/>
      <c r="B27" s="8" t="n"/>
      <c r="C27" s="14" t="n"/>
      <c r="D27" s="8" t="n"/>
      <c r="E27" s="14" t="n"/>
      <c r="F27" s="15">
        <f>IF(OR(A27="",N(C27)=0),"",E27/C27)</f>
        <v/>
      </c>
    </row>
    <row r="28">
      <c r="A28" s="8" t="n"/>
      <c r="B28" s="8" t="n"/>
      <c r="C28" s="14" t="n"/>
      <c r="D28" s="8" t="n"/>
      <c r="E28" s="14" t="n"/>
      <c r="F28" s="15">
        <f>IF(OR(A28="",N(C28)=0),"",E28/C28)</f>
        <v/>
      </c>
    </row>
    <row r="29">
      <c r="A29" s="8" t="n"/>
      <c r="B29" s="8" t="n"/>
      <c r="C29" s="14" t="n"/>
      <c r="D29" s="8" t="n"/>
      <c r="E29" s="14" t="n"/>
      <c r="F29" s="15">
        <f>IF(OR(A29="",N(C29)=0),"",E29/C29)</f>
        <v/>
      </c>
    </row>
    <row r="30">
      <c r="A30" s="8" t="n"/>
      <c r="B30" s="8" t="n"/>
      <c r="C30" s="14" t="n"/>
      <c r="D30" s="8" t="n"/>
      <c r="E30" s="14" t="n"/>
      <c r="F30" s="15">
        <f>IF(OR(A30="",N(C30)=0),"",E30/C30)</f>
        <v/>
      </c>
    </row>
    <row r="31">
      <c r="A31" s="8" t="n"/>
      <c r="B31" s="8" t="n"/>
      <c r="C31" s="14" t="n"/>
      <c r="D31" s="8" t="n"/>
      <c r="E31" s="14" t="n"/>
      <c r="F31" s="15">
        <f>IF(OR(A31="",N(C31)=0),"",E31/C31)</f>
        <v/>
      </c>
    </row>
    <row r="32">
      <c r="A32" s="8" t="n"/>
      <c r="B32" s="8" t="n"/>
      <c r="C32" s="14" t="n"/>
      <c r="D32" s="8" t="n"/>
      <c r="E32" s="14" t="n"/>
      <c r="F32" s="15">
        <f>IF(OR(A32="",N(C32)=0),"",E32/C32)</f>
        <v/>
      </c>
    </row>
    <row r="33">
      <c r="A33" s="8" t="n"/>
      <c r="B33" s="8" t="n"/>
      <c r="C33" s="14" t="n"/>
      <c r="D33" s="8" t="n"/>
      <c r="E33" s="14" t="n"/>
      <c r="F33" s="15">
        <f>IF(OR(A33="",N(C33)=0),"",E33/C33)</f>
        <v/>
      </c>
    </row>
    <row r="34">
      <c r="A34" s="8" t="n"/>
      <c r="B34" s="8" t="n"/>
      <c r="C34" s="14" t="n"/>
      <c r="D34" s="8" t="n"/>
      <c r="E34" s="14" t="n"/>
      <c r="F34" s="15">
        <f>IF(OR(A34="",N(C34)=0),"",E34/C34)</f>
        <v/>
      </c>
    </row>
    <row r="35">
      <c r="A35" s="8" t="n"/>
      <c r="B35" s="8" t="n"/>
      <c r="C35" s="14" t="n"/>
      <c r="D35" s="8" t="n"/>
      <c r="E35" s="14" t="n"/>
      <c r="F35" s="15">
        <f>IF(OR(A35="",N(C35)=0),"",E35/C35)</f>
        <v/>
      </c>
    </row>
    <row r="36">
      <c r="A36" s="8" t="n"/>
      <c r="B36" s="8" t="n"/>
      <c r="C36" s="14" t="n"/>
      <c r="D36" s="8" t="n"/>
      <c r="E36" s="14" t="n"/>
      <c r="F36" s="15">
        <f>IF(OR(A36="",N(C36)=0),"",E36/C36)</f>
        <v/>
      </c>
    </row>
    <row r="37">
      <c r="A37" s="8" t="n"/>
      <c r="B37" s="8" t="n"/>
      <c r="C37" s="14" t="n"/>
      <c r="D37" s="8" t="n"/>
      <c r="E37" s="14" t="n"/>
      <c r="F37" s="15">
        <f>IF(OR(A37="",N(C37)=0),"",E37/C37)</f>
        <v/>
      </c>
    </row>
    <row r="38">
      <c r="A38" s="8" t="n"/>
      <c r="B38" s="8" t="n"/>
      <c r="C38" s="14" t="n"/>
      <c r="D38" s="8" t="n"/>
      <c r="E38" s="14" t="n"/>
      <c r="F38" s="15">
        <f>IF(OR(A38="",N(C38)=0),"",E38/C38)</f>
        <v/>
      </c>
    </row>
    <row r="39">
      <c r="A39" s="8" t="n"/>
      <c r="B39" s="8" t="n"/>
      <c r="C39" s="14" t="n"/>
      <c r="D39" s="8" t="n"/>
      <c r="E39" s="14" t="n"/>
      <c r="F39" s="15">
        <f>IF(OR(A39="",N(C39)=0),"",E39/C39)</f>
        <v/>
      </c>
    </row>
    <row r="40">
      <c r="A40" s="8" t="n"/>
      <c r="B40" s="8" t="n"/>
      <c r="C40" s="14" t="n"/>
      <c r="D40" s="8" t="n"/>
      <c r="E40" s="14" t="n"/>
      <c r="F40" s="15">
        <f>IF(OR(A40="",N(C40)=0),"",E40/C40)</f>
        <v/>
      </c>
    </row>
    <row r="41">
      <c r="A41" s="8" t="n"/>
      <c r="B41" s="8" t="n"/>
      <c r="C41" s="14" t="n"/>
      <c r="D41" s="8" t="n"/>
      <c r="E41" s="14" t="n"/>
      <c r="F41" s="15">
        <f>IF(OR(A41="",N(C41)=0),"",E41/C41)</f>
        <v/>
      </c>
    </row>
    <row r="42">
      <c r="A42" s="8" t="n"/>
      <c r="B42" s="8" t="n"/>
      <c r="C42" s="14" t="n"/>
      <c r="D42" s="8" t="n"/>
      <c r="E42" s="14" t="n"/>
      <c r="F42" s="15">
        <f>IF(OR(A42="",N(C42)=0),"",E42/C42)</f>
        <v/>
      </c>
    </row>
    <row r="43">
      <c r="A43" s="8" t="n"/>
      <c r="B43" s="8" t="n"/>
      <c r="C43" s="14" t="n"/>
      <c r="D43" s="8" t="n"/>
      <c r="E43" s="14" t="n"/>
      <c r="F43" s="15">
        <f>IF(OR(A43="",N(C43)=0),"",E43/C43)</f>
        <v/>
      </c>
    </row>
    <row r="44">
      <c r="A44" s="8" t="n"/>
      <c r="B44" s="8" t="n"/>
      <c r="C44" s="14" t="n"/>
      <c r="D44" s="8" t="n"/>
      <c r="E44" s="14" t="n"/>
      <c r="F44" s="15">
        <f>IF(OR(A44="",N(C44)=0),"",E44/C44)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2026-10-18T16:52:45Z</dcterms:created>
  <dcterms:modified xmlns:dcterms="http://purl.org/dc/terms/" xmlns:xsi="http://www.w3.org/2001/XMLSchema-instance" xsi:type="dcterms:W3CDTF">2026-10-18T16:52:45Z</dcterms:modified>
</cp:coreProperties>
</file>