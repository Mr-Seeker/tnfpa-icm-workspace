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164" fontId="4" fillId="3" borderId="1" pivotButton="0" quotePrefix="0" xfId="0"/>
    <xf numFmtId="0" fontId="4" fillId="3" borderId="1" pivotButton="0" quotePrefix="0" xfId="0"/>
    <xf numFmtId="1" fontId="4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D29 · Informal corporate intelligence networks</t>
        </is>
      </c>
    </row>
    <row r="2"/>
    <row r="3">
      <c r="A3" s="2" t="inlineStr">
        <is>
          <t>Domain D29: Informal corporate intelligence networks.</t>
        </is>
      </c>
    </row>
    <row r="4">
      <c r="A4" s="2" t="inlineStr">
        <is>
          <t>Capture lawful weak signals from dealers, suppliers, bankers and associations; grade source reliability and information credibility; route strong signals into intake evidence or context corrections.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companies/&lt;slug&gt;/domains/D29_informal-intelligence-networks/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memory/intake.csv (evidence)  &lt;=  Signals route</t>
        </is>
      </c>
    </row>
    <row r="11">
      <c r="A11" s="2" t="inlineStr">
        <is>
          <t>W08 context corrections  &lt;=  high-confidence signals</t>
        </is>
      </c>
    </row>
    <row r="12">
      <c r="A12" s="2" t="inlineStr">
        <is>
          <t>D14 macro register  &lt;=  market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reliability is a letter A-F</t>
        </is>
      </c>
      <c r="C5" s="7">
        <f>IF(SUMPRODUCT((Signals!F5:F504&lt;&gt;"")*((CODE(UPPER(Signals!D5:D504&amp;"Z"))&lt;65)+(CODE(UPPER(Signals!D5:D504&amp;"Z"))&gt;70)&gt;0))=0,"PASS","FAIL")</f>
        <v/>
      </c>
    </row>
    <row r="6">
      <c r="A6" t="n">
        <v>2</v>
      </c>
      <c r="B6" t="inlineStr">
        <is>
          <t>credibility within 1..6</t>
        </is>
      </c>
      <c r="C6" s="7">
        <f>IF(COUNTIF(Signals!E5:E504,"&gt;6")+COUNTIF(Signals!E5:E504,"&lt;0")=0,"PASS","FAIL")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40" customWidth="1" min="4" max="4"/>
    <col width="40" customWidth="1" min="5" max="5"/>
    <col width="12" customWidth="1" min="6" max="6"/>
    <col width="40" customWidth="1" min="7" max="7"/>
    <col width="30" customWidth="1" min="8" max="8"/>
    <col width="34" customWidth="1" min="9" max="9"/>
    <col width="18" customWidth="1" min="10" max="10"/>
    <col width="12" customWidth="1" min="11" max="11"/>
  </cols>
  <sheetData>
    <row r="1">
      <c r="A1" s="1" t="inlineStr">
        <is>
          <t>Signal log (weak signals from trade bodies, dealers, bankers, suppliers, ex-employees - public or lawfully shared only)</t>
        </is>
      </c>
    </row>
    <row r="2"/>
    <row r="3"/>
    <row r="4">
      <c r="A4" s="6" t="inlineStr">
        <is>
          <t>date</t>
        </is>
      </c>
      <c r="B4" s="6" t="inlineStr">
        <is>
          <t>source type (dealer / supplier / banker / association / media / customer)</t>
        </is>
      </c>
      <c r="C4" s="6" t="inlineStr">
        <is>
          <t>source id (pseudonym)</t>
        </is>
      </c>
      <c r="D4" s="6" t="inlineStr">
        <is>
          <t>source reliability A-F (A = always reliable)</t>
        </is>
      </c>
      <c r="E4" s="6" t="inlineStr">
        <is>
          <t>information credibility 1-6 (1 = confirmed)</t>
        </is>
      </c>
      <c r="F4" s="6" t="inlineStr">
        <is>
          <t>signal</t>
        </is>
      </c>
      <c r="G4" s="6" t="inlineStr">
        <is>
          <t>affected driver (K01 path or intake key)</t>
        </is>
      </c>
      <c r="H4" s="6" t="inlineStr">
        <is>
          <t>independent corroborations</t>
        </is>
      </c>
      <c r="I4" s="6" t="inlineStr">
        <is>
          <t>lawful &amp; non-confidential? y/n</t>
        </is>
      </c>
      <c r="J4" s="6" t="inlineStr">
        <is>
          <t>confidence 0-1</t>
        </is>
      </c>
      <c r="K4" s="6" t="inlineStr">
        <is>
          <t>route</t>
        </is>
      </c>
    </row>
    <row r="5">
      <c r="A5" s="8" t="n">
        <v>46277</v>
      </c>
      <c r="B5" s="9" t="inlineStr">
        <is>
          <t>association</t>
        </is>
      </c>
      <c r="C5" s="9" t="inlineStr">
        <is>
          <t>CODISSIA-member-3</t>
        </is>
      </c>
      <c r="D5" s="9" t="inlineStr">
        <is>
          <t>B</t>
        </is>
      </c>
      <c r="E5" s="10" t="n">
        <v>2</v>
      </c>
      <c r="F5" s="9" t="inlineStr">
        <is>
          <t>Pump makers seeing export order slowdown to Africa</t>
        </is>
      </c>
      <c r="G5" s="9" t="inlineStr">
        <is>
          <t>channels[2].growth_rate</t>
        </is>
      </c>
      <c r="H5" s="10" t="n">
        <v>2</v>
      </c>
      <c r="I5" s="9" t="inlineStr">
        <is>
          <t>y</t>
        </is>
      </c>
      <c r="J5" s="11">
        <f>IF(F5="","",MAX(0,MIN(1,(1-(CODE(UPPER(D5))-65)/5)*0.5+(1-(E5-1)/5)*0.3+MIN(N(H5),3)/3*0.2)))</f>
        <v/>
      </c>
      <c r="K5" s="7">
        <f>IF(F5="","",IF(LOWER(I5)&lt;&gt;"y","DISCARD (not lawful/ethical to use)",IF(J5&gt;=0.7,"record as context correction (W08) + intake evidence",IF(J5&gt;=0.4,"watch - seek corroboration","note only"))))</f>
        <v/>
      </c>
    </row>
    <row r="6">
      <c r="A6" s="8" t="n">
        <v>46285</v>
      </c>
      <c r="B6" s="9" t="inlineStr">
        <is>
          <t>dealer</t>
        </is>
      </c>
      <c r="C6" s="9" t="inlineStr">
        <is>
          <t>Madurai-D07</t>
        </is>
      </c>
      <c r="D6" s="9" t="inlineStr">
        <is>
          <t>C</t>
        </is>
      </c>
      <c r="E6" s="10" t="n">
        <v>3</v>
      </c>
      <c r="F6" s="9" t="inlineStr">
        <is>
          <t>Competitor cutting dealer margins by 2% before Deepavali</t>
        </is>
      </c>
      <c r="G6" s="9" t="inlineStr">
        <is>
          <t>pricing (D13)</t>
        </is>
      </c>
      <c r="H6" s="10" t="n">
        <v>0</v>
      </c>
      <c r="I6" s="9" t="inlineStr">
        <is>
          <t>y</t>
        </is>
      </c>
      <c r="J6" s="11">
        <f>IF(F6="","",MAX(0,MIN(1,(1-(CODE(UPPER(D6))-65)/5)*0.5+(1-(E6-1)/5)*0.3+MIN(N(H6),3)/3*0.2)))</f>
        <v/>
      </c>
      <c r="K6" s="7">
        <f>IF(F6="","",IF(LOWER(I6)&lt;&gt;"y","DISCARD (not lawful/ethical to use)",IF(J6&gt;=0.7,"record as context correction (W08) + intake evidence",IF(J6&gt;=0.4,"watch - seek corroboration","note only"))))</f>
        <v/>
      </c>
    </row>
    <row r="7">
      <c r="A7" s="8" t="n"/>
      <c r="B7" s="9" t="n"/>
      <c r="C7" s="9" t="n"/>
      <c r="D7" s="9" t="n"/>
      <c r="E7" s="10" t="n"/>
      <c r="F7" s="9" t="n"/>
      <c r="G7" s="9" t="n"/>
      <c r="H7" s="10" t="n"/>
      <c r="I7" s="9" t="n"/>
      <c r="J7" s="11">
        <f>IF(F7="","",MAX(0,MIN(1,(1-(CODE(UPPER(D7))-65)/5)*0.5+(1-(E7-1)/5)*0.3+MIN(N(H7),3)/3*0.2)))</f>
        <v/>
      </c>
      <c r="K7" s="7">
        <f>IF(F7="","",IF(LOWER(I7)&lt;&gt;"y","DISCARD (not lawful/ethical to use)",IF(J7&gt;=0.7,"record as context correction (W08) + intake evidence",IF(J7&gt;=0.4,"watch - seek corroboration","note only"))))</f>
        <v/>
      </c>
    </row>
    <row r="8">
      <c r="A8" s="8" t="n"/>
      <c r="B8" s="9" t="n"/>
      <c r="C8" s="9" t="n"/>
      <c r="D8" s="9" t="n"/>
      <c r="E8" s="10" t="n"/>
      <c r="F8" s="9" t="n"/>
      <c r="G8" s="9" t="n"/>
      <c r="H8" s="10" t="n"/>
      <c r="I8" s="9" t="n"/>
      <c r="J8" s="11">
        <f>IF(F8="","",MAX(0,MIN(1,(1-(CODE(UPPER(D8))-65)/5)*0.5+(1-(E8-1)/5)*0.3+MIN(N(H8),3)/3*0.2)))</f>
        <v/>
      </c>
      <c r="K8" s="7">
        <f>IF(F8="","",IF(LOWER(I8)&lt;&gt;"y","DISCARD (not lawful/ethical to use)",IF(J8&gt;=0.7,"record as context correction (W08) + intake evidence",IF(J8&gt;=0.4,"watch - seek corroboration","note only"))))</f>
        <v/>
      </c>
    </row>
    <row r="9">
      <c r="A9" s="8" t="n"/>
      <c r="B9" s="9" t="n"/>
      <c r="C9" s="9" t="n"/>
      <c r="D9" s="9" t="n"/>
      <c r="E9" s="10" t="n"/>
      <c r="F9" s="9" t="n"/>
      <c r="G9" s="9" t="n"/>
      <c r="H9" s="10" t="n"/>
      <c r="I9" s="9" t="n"/>
      <c r="J9" s="11">
        <f>IF(F9="","",MAX(0,MIN(1,(1-(CODE(UPPER(D9))-65)/5)*0.5+(1-(E9-1)/5)*0.3+MIN(N(H9),3)/3*0.2)))</f>
        <v/>
      </c>
      <c r="K9" s="7">
        <f>IF(F9="","",IF(LOWER(I9)&lt;&gt;"y","DISCARD (not lawful/ethical to use)",IF(J9&gt;=0.7,"record as context correction (W08) + intake evidence",IF(J9&gt;=0.4,"watch - seek corroboration","note only"))))</f>
        <v/>
      </c>
    </row>
    <row r="10">
      <c r="A10" s="8" t="n"/>
      <c r="B10" s="9" t="n"/>
      <c r="C10" s="9" t="n"/>
      <c r="D10" s="9" t="n"/>
      <c r="E10" s="10" t="n"/>
      <c r="F10" s="9" t="n"/>
      <c r="G10" s="9" t="n"/>
      <c r="H10" s="10" t="n"/>
      <c r="I10" s="9" t="n"/>
      <c r="J10" s="11">
        <f>IF(F10="","",MAX(0,MIN(1,(1-(CODE(UPPER(D10))-65)/5)*0.5+(1-(E10-1)/5)*0.3+MIN(N(H10),3)/3*0.2)))</f>
        <v/>
      </c>
      <c r="K10" s="7">
        <f>IF(F10="","",IF(LOWER(I10)&lt;&gt;"y","DISCARD (not lawful/ethical to use)",IF(J10&gt;=0.7,"record as context correction (W08) + intake evidence",IF(J10&gt;=0.4,"watch - seek corroboration","note only"))))</f>
        <v/>
      </c>
    </row>
    <row r="11">
      <c r="A11" s="8" t="n"/>
      <c r="B11" s="9" t="n"/>
      <c r="C11" s="9" t="n"/>
      <c r="D11" s="9" t="n"/>
      <c r="E11" s="10" t="n"/>
      <c r="F11" s="9" t="n"/>
      <c r="G11" s="9" t="n"/>
      <c r="H11" s="10" t="n"/>
      <c r="I11" s="9" t="n"/>
      <c r="J11" s="11">
        <f>IF(F11="","",MAX(0,MIN(1,(1-(CODE(UPPER(D11))-65)/5)*0.5+(1-(E11-1)/5)*0.3+MIN(N(H11),3)/3*0.2)))</f>
        <v/>
      </c>
      <c r="K11" s="7">
        <f>IF(F11="","",IF(LOWER(I11)&lt;&gt;"y","DISCARD (not lawful/ethical to use)",IF(J11&gt;=0.7,"record as context correction (W08) + intake evidence",IF(J11&gt;=0.4,"watch - seek corroboration","note only"))))</f>
        <v/>
      </c>
    </row>
    <row r="12">
      <c r="A12" s="8" t="n"/>
      <c r="B12" s="9" t="n"/>
      <c r="C12" s="9" t="n"/>
      <c r="D12" s="9" t="n"/>
      <c r="E12" s="10" t="n"/>
      <c r="F12" s="9" t="n"/>
      <c r="G12" s="9" t="n"/>
      <c r="H12" s="10" t="n"/>
      <c r="I12" s="9" t="n"/>
      <c r="J12" s="11">
        <f>IF(F12="","",MAX(0,MIN(1,(1-(CODE(UPPER(D12))-65)/5)*0.5+(1-(E12-1)/5)*0.3+MIN(N(H12),3)/3*0.2)))</f>
        <v/>
      </c>
      <c r="K12" s="7">
        <f>IF(F12="","",IF(LOWER(I12)&lt;&gt;"y","DISCARD (not lawful/ethical to use)",IF(J12&gt;=0.7,"record as context correction (W08) + intake evidence",IF(J12&gt;=0.4,"watch - seek corroboration","note only"))))</f>
        <v/>
      </c>
    </row>
    <row r="13">
      <c r="A13" s="8" t="n"/>
      <c r="B13" s="9" t="n"/>
      <c r="C13" s="9" t="n"/>
      <c r="D13" s="9" t="n"/>
      <c r="E13" s="10" t="n"/>
      <c r="F13" s="9" t="n"/>
      <c r="G13" s="9" t="n"/>
      <c r="H13" s="10" t="n"/>
      <c r="I13" s="9" t="n"/>
      <c r="J13" s="11">
        <f>IF(F13="","",MAX(0,MIN(1,(1-(CODE(UPPER(D13))-65)/5)*0.5+(1-(E13-1)/5)*0.3+MIN(N(H13),3)/3*0.2)))</f>
        <v/>
      </c>
      <c r="K13" s="7">
        <f>IF(F13="","",IF(LOWER(I13)&lt;&gt;"y","DISCARD (not lawful/ethical to use)",IF(J13&gt;=0.7,"record as context correction (W08) + intake evidence",IF(J13&gt;=0.4,"watch - seek corroboration","note only"))))</f>
        <v/>
      </c>
    </row>
    <row r="14">
      <c r="A14" s="8" t="n"/>
      <c r="B14" s="9" t="n"/>
      <c r="C14" s="9" t="n"/>
      <c r="D14" s="9" t="n"/>
      <c r="E14" s="10" t="n"/>
      <c r="F14" s="9" t="n"/>
      <c r="G14" s="9" t="n"/>
      <c r="H14" s="10" t="n"/>
      <c r="I14" s="9" t="n"/>
      <c r="J14" s="11">
        <f>IF(F14="","",MAX(0,MIN(1,(1-(CODE(UPPER(D14))-65)/5)*0.5+(1-(E14-1)/5)*0.3+MIN(N(H14),3)/3*0.2)))</f>
        <v/>
      </c>
      <c r="K14" s="7">
        <f>IF(F14="","",IF(LOWER(I14)&lt;&gt;"y","DISCARD (not lawful/ethical to use)",IF(J14&gt;=0.7,"record as context correction (W08) + intake evidence",IF(J14&gt;=0.4,"watch - seek corroboration","note only"))))</f>
        <v/>
      </c>
    </row>
    <row r="15">
      <c r="A15" s="8" t="n"/>
      <c r="B15" s="9" t="n"/>
      <c r="C15" s="9" t="n"/>
      <c r="D15" s="9" t="n"/>
      <c r="E15" s="10" t="n"/>
      <c r="F15" s="9" t="n"/>
      <c r="G15" s="9" t="n"/>
      <c r="H15" s="10" t="n"/>
      <c r="I15" s="9" t="n"/>
      <c r="J15" s="11">
        <f>IF(F15="","",MAX(0,MIN(1,(1-(CODE(UPPER(D15))-65)/5)*0.5+(1-(E15-1)/5)*0.3+MIN(N(H15),3)/3*0.2)))</f>
        <v/>
      </c>
      <c r="K15" s="7">
        <f>IF(F15="","",IF(LOWER(I15)&lt;&gt;"y","DISCARD (not lawful/ethical to use)",IF(J15&gt;=0.7,"record as context correction (W08) + intake evidence",IF(J15&gt;=0.4,"watch - seek corroboration","note only"))))</f>
        <v/>
      </c>
    </row>
    <row r="16">
      <c r="A16" s="8" t="n"/>
      <c r="B16" s="9" t="n"/>
      <c r="C16" s="9" t="n"/>
      <c r="D16" s="9" t="n"/>
      <c r="E16" s="10" t="n"/>
      <c r="F16" s="9" t="n"/>
      <c r="G16" s="9" t="n"/>
      <c r="H16" s="10" t="n"/>
      <c r="I16" s="9" t="n"/>
      <c r="J16" s="11">
        <f>IF(F16="","",MAX(0,MIN(1,(1-(CODE(UPPER(D16))-65)/5)*0.5+(1-(E16-1)/5)*0.3+MIN(N(H16),3)/3*0.2)))</f>
        <v/>
      </c>
      <c r="K16" s="7">
        <f>IF(F16="","",IF(LOWER(I16)&lt;&gt;"y","DISCARD (not lawful/ethical to use)",IF(J16&gt;=0.7,"record as context correction (W08) + intake evidence",IF(J16&gt;=0.4,"watch - seek corroboration","note only"))))</f>
        <v/>
      </c>
    </row>
    <row r="17">
      <c r="A17" s="8" t="n"/>
      <c r="B17" s="9" t="n"/>
      <c r="C17" s="9" t="n"/>
      <c r="D17" s="9" t="n"/>
      <c r="E17" s="10" t="n"/>
      <c r="F17" s="9" t="n"/>
      <c r="G17" s="9" t="n"/>
      <c r="H17" s="10" t="n"/>
      <c r="I17" s="9" t="n"/>
      <c r="J17" s="11">
        <f>IF(F17="","",MAX(0,MIN(1,(1-(CODE(UPPER(D17))-65)/5)*0.5+(1-(E17-1)/5)*0.3+MIN(N(H17),3)/3*0.2)))</f>
        <v/>
      </c>
      <c r="K17" s="7">
        <f>IF(F17="","",IF(LOWER(I17)&lt;&gt;"y","DISCARD (not lawful/ethical to use)",IF(J17&gt;=0.7,"record as context correction (W08) + intake evidence",IF(J17&gt;=0.4,"watch - seek corroboration","note only"))))</f>
        <v/>
      </c>
    </row>
    <row r="18">
      <c r="A18" s="8" t="n"/>
      <c r="B18" s="9" t="n"/>
      <c r="C18" s="9" t="n"/>
      <c r="D18" s="9" t="n"/>
      <c r="E18" s="10" t="n"/>
      <c r="F18" s="9" t="n"/>
      <c r="G18" s="9" t="n"/>
      <c r="H18" s="10" t="n"/>
      <c r="I18" s="9" t="n"/>
      <c r="J18" s="11">
        <f>IF(F18="","",MAX(0,MIN(1,(1-(CODE(UPPER(D18))-65)/5)*0.5+(1-(E18-1)/5)*0.3+MIN(N(H18),3)/3*0.2)))</f>
        <v/>
      </c>
      <c r="K18" s="7">
        <f>IF(F18="","",IF(LOWER(I18)&lt;&gt;"y","DISCARD (not lawful/ethical to use)",IF(J18&gt;=0.7,"record as context correction (W08) + intake evidence",IF(J18&gt;=0.4,"watch - seek corroboration","note only"))))</f>
        <v/>
      </c>
    </row>
    <row r="19">
      <c r="A19" s="8" t="n"/>
      <c r="B19" s="9" t="n"/>
      <c r="C19" s="9" t="n"/>
      <c r="D19" s="9" t="n"/>
      <c r="E19" s="10" t="n"/>
      <c r="F19" s="9" t="n"/>
      <c r="G19" s="9" t="n"/>
      <c r="H19" s="10" t="n"/>
      <c r="I19" s="9" t="n"/>
      <c r="J19" s="11">
        <f>IF(F19="","",MAX(0,MIN(1,(1-(CODE(UPPER(D19))-65)/5)*0.5+(1-(E19-1)/5)*0.3+MIN(N(H19),3)/3*0.2)))</f>
        <v/>
      </c>
      <c r="K19" s="7">
        <f>IF(F19="","",IF(LOWER(I19)&lt;&gt;"y","DISCARD (not lawful/ethical to use)",IF(J19&gt;=0.7,"record as context correction (W08) + intake evidence",IF(J19&gt;=0.4,"watch - seek corroboration","note only"))))</f>
        <v/>
      </c>
    </row>
    <row r="20">
      <c r="A20" s="8" t="n"/>
      <c r="B20" s="9" t="n"/>
      <c r="C20" s="9" t="n"/>
      <c r="D20" s="9" t="n"/>
      <c r="E20" s="10" t="n"/>
      <c r="F20" s="9" t="n"/>
      <c r="G20" s="9" t="n"/>
      <c r="H20" s="10" t="n"/>
      <c r="I20" s="9" t="n"/>
      <c r="J20" s="11">
        <f>IF(F20="","",MAX(0,MIN(1,(1-(CODE(UPPER(D20))-65)/5)*0.5+(1-(E20-1)/5)*0.3+MIN(N(H20),3)/3*0.2)))</f>
        <v/>
      </c>
      <c r="K20" s="7">
        <f>IF(F20="","",IF(LOWER(I20)&lt;&gt;"y","DISCARD (not lawful/ethical to use)",IF(J20&gt;=0.7,"record as context correction (W08) + intake evidence",IF(J20&gt;=0.4,"watch - seek corroboration","note only"))))</f>
        <v/>
      </c>
    </row>
    <row r="21">
      <c r="A21" s="8" t="n"/>
      <c r="B21" s="9" t="n"/>
      <c r="C21" s="9" t="n"/>
      <c r="D21" s="9" t="n"/>
      <c r="E21" s="10" t="n"/>
      <c r="F21" s="9" t="n"/>
      <c r="G21" s="9" t="n"/>
      <c r="H21" s="10" t="n"/>
      <c r="I21" s="9" t="n"/>
      <c r="J21" s="11">
        <f>IF(F21="","",MAX(0,MIN(1,(1-(CODE(UPPER(D21))-65)/5)*0.5+(1-(E21-1)/5)*0.3+MIN(N(H21),3)/3*0.2)))</f>
        <v/>
      </c>
      <c r="K21" s="7">
        <f>IF(F21="","",IF(LOWER(I21)&lt;&gt;"y","DISCARD (not lawful/ethical to use)",IF(J21&gt;=0.7,"record as context correction (W08) + intake evidence",IF(J21&gt;=0.4,"watch - seek corroboration","note only"))))</f>
        <v/>
      </c>
    </row>
    <row r="22">
      <c r="A22" s="8" t="n"/>
      <c r="B22" s="9" t="n"/>
      <c r="C22" s="9" t="n"/>
      <c r="D22" s="9" t="n"/>
      <c r="E22" s="10" t="n"/>
      <c r="F22" s="9" t="n"/>
      <c r="G22" s="9" t="n"/>
      <c r="H22" s="10" t="n"/>
      <c r="I22" s="9" t="n"/>
      <c r="J22" s="11">
        <f>IF(F22="","",MAX(0,MIN(1,(1-(CODE(UPPER(D22))-65)/5)*0.5+(1-(E22-1)/5)*0.3+MIN(N(H22),3)/3*0.2)))</f>
        <v/>
      </c>
      <c r="K22" s="7">
        <f>IF(F22="","",IF(LOWER(I22)&lt;&gt;"y","DISCARD (not lawful/ethical to use)",IF(J22&gt;=0.7,"record as context correction (W08) + intake evidence",IF(J22&gt;=0.4,"watch - seek corroboration","note only"))))</f>
        <v/>
      </c>
    </row>
    <row r="23">
      <c r="A23" s="8" t="n"/>
      <c r="B23" s="9" t="n"/>
      <c r="C23" s="9" t="n"/>
      <c r="D23" s="9" t="n"/>
      <c r="E23" s="10" t="n"/>
      <c r="F23" s="9" t="n"/>
      <c r="G23" s="9" t="n"/>
      <c r="H23" s="10" t="n"/>
      <c r="I23" s="9" t="n"/>
      <c r="J23" s="11">
        <f>IF(F23="","",MAX(0,MIN(1,(1-(CODE(UPPER(D23))-65)/5)*0.5+(1-(E23-1)/5)*0.3+MIN(N(H23),3)/3*0.2)))</f>
        <v/>
      </c>
      <c r="K23" s="7">
        <f>IF(F23="","",IF(LOWER(I23)&lt;&gt;"y","DISCARD (not lawful/ethical to use)",IF(J23&gt;=0.7,"record as context correction (W08) + intake evidence",IF(J23&gt;=0.4,"watch - seek corroboration","note only"))))</f>
        <v/>
      </c>
    </row>
    <row r="24">
      <c r="A24" s="8" t="n"/>
      <c r="B24" s="9" t="n"/>
      <c r="C24" s="9" t="n"/>
      <c r="D24" s="9" t="n"/>
      <c r="E24" s="10" t="n"/>
      <c r="F24" s="9" t="n"/>
      <c r="G24" s="9" t="n"/>
      <c r="H24" s="10" t="n"/>
      <c r="I24" s="9" t="n"/>
      <c r="J24" s="11">
        <f>IF(F24="","",MAX(0,MIN(1,(1-(CODE(UPPER(D24))-65)/5)*0.5+(1-(E24-1)/5)*0.3+MIN(N(H24),3)/3*0.2)))</f>
        <v/>
      </c>
      <c r="K24" s="7">
        <f>IF(F24="","",IF(LOWER(I24)&lt;&gt;"y","DISCARD (not lawful/ethical to use)",IF(J24&gt;=0.7,"record as context correction (W08) + intake evidence",IF(J24&gt;=0.4,"watch - seek corroboration","note only"))))</f>
        <v/>
      </c>
    </row>
    <row r="25">
      <c r="A25" s="8" t="n"/>
      <c r="B25" s="9" t="n"/>
      <c r="C25" s="9" t="n"/>
      <c r="D25" s="9" t="n"/>
      <c r="E25" s="10" t="n"/>
      <c r="F25" s="9" t="n"/>
      <c r="G25" s="9" t="n"/>
      <c r="H25" s="10" t="n"/>
      <c r="I25" s="9" t="n"/>
      <c r="J25" s="11">
        <f>IF(F25="","",MAX(0,MIN(1,(1-(CODE(UPPER(D25))-65)/5)*0.5+(1-(E25-1)/5)*0.3+MIN(N(H25),3)/3*0.2)))</f>
        <v/>
      </c>
      <c r="K25" s="7">
        <f>IF(F25="","",IF(LOWER(I25)&lt;&gt;"y","DISCARD (not lawful/ethical to use)",IF(J25&gt;=0.7,"record as context correction (W08) + intake evidence",IF(J25&gt;=0.4,"watch - seek corroboration","note only"))))</f>
        <v/>
      </c>
    </row>
    <row r="26">
      <c r="A26" s="8" t="n"/>
      <c r="B26" s="9" t="n"/>
      <c r="C26" s="9" t="n"/>
      <c r="D26" s="9" t="n"/>
      <c r="E26" s="10" t="n"/>
      <c r="F26" s="9" t="n"/>
      <c r="G26" s="9" t="n"/>
      <c r="H26" s="10" t="n"/>
      <c r="I26" s="9" t="n"/>
      <c r="J26" s="11">
        <f>IF(F26="","",MAX(0,MIN(1,(1-(CODE(UPPER(D26))-65)/5)*0.5+(1-(E26-1)/5)*0.3+MIN(N(H26),3)/3*0.2)))</f>
        <v/>
      </c>
      <c r="K26" s="7">
        <f>IF(F26="","",IF(LOWER(I26)&lt;&gt;"y","DISCARD (not lawful/ethical to use)",IF(J26&gt;=0.7,"record as context correction (W08) + intake evidence",IF(J26&gt;=0.4,"watch - seek corroboration","note only"))))</f>
        <v/>
      </c>
    </row>
    <row r="27">
      <c r="A27" s="8" t="n"/>
      <c r="B27" s="9" t="n"/>
      <c r="C27" s="9" t="n"/>
      <c r="D27" s="9" t="n"/>
      <c r="E27" s="10" t="n"/>
      <c r="F27" s="9" t="n"/>
      <c r="G27" s="9" t="n"/>
      <c r="H27" s="10" t="n"/>
      <c r="I27" s="9" t="n"/>
      <c r="J27" s="11">
        <f>IF(F27="","",MAX(0,MIN(1,(1-(CODE(UPPER(D27))-65)/5)*0.5+(1-(E27-1)/5)*0.3+MIN(N(H27),3)/3*0.2)))</f>
        <v/>
      </c>
      <c r="K27" s="7">
        <f>IF(F27="","",IF(LOWER(I27)&lt;&gt;"y","DISCARD (not lawful/ethical to use)",IF(J27&gt;=0.7,"record as context correction (W08) + intake evidence",IF(J27&gt;=0.4,"watch - seek corroboration","note only"))))</f>
        <v/>
      </c>
    </row>
    <row r="28">
      <c r="A28" s="8" t="n"/>
      <c r="B28" s="9" t="n"/>
      <c r="C28" s="9" t="n"/>
      <c r="D28" s="9" t="n"/>
      <c r="E28" s="10" t="n"/>
      <c r="F28" s="9" t="n"/>
      <c r="G28" s="9" t="n"/>
      <c r="H28" s="10" t="n"/>
      <c r="I28" s="9" t="n"/>
      <c r="J28" s="11">
        <f>IF(F28="","",MAX(0,MIN(1,(1-(CODE(UPPER(D28))-65)/5)*0.5+(1-(E28-1)/5)*0.3+MIN(N(H28),3)/3*0.2)))</f>
        <v/>
      </c>
      <c r="K28" s="7">
        <f>IF(F28="","",IF(LOWER(I28)&lt;&gt;"y","DISCARD (not lawful/ethical to use)",IF(J28&gt;=0.7,"record as context correction (W08) + intake evidence",IF(J28&gt;=0.4,"watch - seek corroboration","note only"))))</f>
        <v/>
      </c>
    </row>
    <row r="29">
      <c r="A29" s="8" t="n"/>
      <c r="B29" s="9" t="n"/>
      <c r="C29" s="9" t="n"/>
      <c r="D29" s="9" t="n"/>
      <c r="E29" s="10" t="n"/>
      <c r="F29" s="9" t="n"/>
      <c r="G29" s="9" t="n"/>
      <c r="H29" s="10" t="n"/>
      <c r="I29" s="9" t="n"/>
      <c r="J29" s="11">
        <f>IF(F29="","",MAX(0,MIN(1,(1-(CODE(UPPER(D29))-65)/5)*0.5+(1-(E29-1)/5)*0.3+MIN(N(H29),3)/3*0.2)))</f>
        <v/>
      </c>
      <c r="K29" s="7">
        <f>IF(F29="","",IF(LOWER(I29)&lt;&gt;"y","DISCARD (not lawful/ethical to use)",IF(J29&gt;=0.7,"record as context correction (W08) + intake evidence",IF(J29&gt;=0.4,"watch - seek corroboration","note only"))))</f>
        <v/>
      </c>
    </row>
    <row r="30">
      <c r="A30" s="8" t="n"/>
      <c r="B30" s="9" t="n"/>
      <c r="C30" s="9" t="n"/>
      <c r="D30" s="9" t="n"/>
      <c r="E30" s="10" t="n"/>
      <c r="F30" s="9" t="n"/>
      <c r="G30" s="9" t="n"/>
      <c r="H30" s="10" t="n"/>
      <c r="I30" s="9" t="n"/>
      <c r="J30" s="11">
        <f>IF(F30="","",MAX(0,MIN(1,(1-(CODE(UPPER(D30))-65)/5)*0.5+(1-(E30-1)/5)*0.3+MIN(N(H30),3)/3*0.2)))</f>
        <v/>
      </c>
      <c r="K30" s="7">
        <f>IF(F30="","",IF(LOWER(I30)&lt;&gt;"y","DISCARD (not lawful/ethical to use)",IF(J30&gt;=0.7,"record as context correction (W08) + intake evidence",IF(J30&gt;=0.4,"watch - seek corroboration","note only"))))</f>
        <v/>
      </c>
    </row>
    <row r="31">
      <c r="A31" s="8" t="n"/>
      <c r="B31" s="9" t="n"/>
      <c r="C31" s="9" t="n"/>
      <c r="D31" s="9" t="n"/>
      <c r="E31" s="10" t="n"/>
      <c r="F31" s="9" t="n"/>
      <c r="G31" s="9" t="n"/>
      <c r="H31" s="10" t="n"/>
      <c r="I31" s="9" t="n"/>
      <c r="J31" s="11">
        <f>IF(F31="","",MAX(0,MIN(1,(1-(CODE(UPPER(D31))-65)/5)*0.5+(1-(E31-1)/5)*0.3+MIN(N(H31),3)/3*0.2)))</f>
        <v/>
      </c>
      <c r="K31" s="7">
        <f>IF(F31="","",IF(LOWER(I31)&lt;&gt;"y","DISCARD (not lawful/ethical to use)",IF(J31&gt;=0.7,"record as context correction (W08) + intake evidence",IF(J31&gt;=0.4,"watch - seek corroboration","note only"))))</f>
        <v/>
      </c>
    </row>
    <row r="32">
      <c r="A32" s="8" t="n"/>
      <c r="B32" s="9" t="n"/>
      <c r="C32" s="9" t="n"/>
      <c r="D32" s="9" t="n"/>
      <c r="E32" s="10" t="n"/>
      <c r="F32" s="9" t="n"/>
      <c r="G32" s="9" t="n"/>
      <c r="H32" s="10" t="n"/>
      <c r="I32" s="9" t="n"/>
      <c r="J32" s="11">
        <f>IF(F32="","",MAX(0,MIN(1,(1-(CODE(UPPER(D32))-65)/5)*0.5+(1-(E32-1)/5)*0.3+MIN(N(H32),3)/3*0.2)))</f>
        <v/>
      </c>
      <c r="K32" s="7">
        <f>IF(F32="","",IF(LOWER(I32)&lt;&gt;"y","DISCARD (not lawful/ethical to use)",IF(J32&gt;=0.7,"record as context correction (W08) + intake evidence",IF(J32&gt;=0.4,"watch - seek corroboration","note only"))))</f>
        <v/>
      </c>
    </row>
    <row r="33">
      <c r="A33" s="8" t="n"/>
      <c r="B33" s="9" t="n"/>
      <c r="C33" s="9" t="n"/>
      <c r="D33" s="9" t="n"/>
      <c r="E33" s="10" t="n"/>
      <c r="F33" s="9" t="n"/>
      <c r="G33" s="9" t="n"/>
      <c r="H33" s="10" t="n"/>
      <c r="I33" s="9" t="n"/>
      <c r="J33" s="11">
        <f>IF(F33="","",MAX(0,MIN(1,(1-(CODE(UPPER(D33))-65)/5)*0.5+(1-(E33-1)/5)*0.3+MIN(N(H33),3)/3*0.2)))</f>
        <v/>
      </c>
      <c r="K33" s="7">
        <f>IF(F33="","",IF(LOWER(I33)&lt;&gt;"y","DISCARD (not lawful/ethical to use)",IF(J33&gt;=0.7,"record as context correction (W08) + intake evidence",IF(J33&gt;=0.4,"watch - seek corroboration","note only"))))</f>
        <v/>
      </c>
    </row>
    <row r="34">
      <c r="A34" s="8" t="n"/>
      <c r="B34" s="9" t="n"/>
      <c r="C34" s="9" t="n"/>
      <c r="D34" s="9" t="n"/>
      <c r="E34" s="10" t="n"/>
      <c r="F34" s="9" t="n"/>
      <c r="G34" s="9" t="n"/>
      <c r="H34" s="10" t="n"/>
      <c r="I34" s="9" t="n"/>
      <c r="J34" s="11">
        <f>IF(F34="","",MAX(0,MIN(1,(1-(CODE(UPPER(D34))-65)/5)*0.5+(1-(E34-1)/5)*0.3+MIN(N(H34),3)/3*0.2)))</f>
        <v/>
      </c>
      <c r="K34" s="7">
        <f>IF(F34="","",IF(LOWER(I34)&lt;&gt;"y","DISCARD (not lawful/ethical to use)",IF(J34&gt;=0.7,"record as context correction (W08) + intake evidence",IF(J34&gt;=0.4,"watch - seek corroboration","note only"))))</f>
        <v/>
      </c>
    </row>
    <row r="35">
      <c r="A35" s="8" t="n"/>
      <c r="B35" s="9" t="n"/>
      <c r="C35" s="9" t="n"/>
      <c r="D35" s="9" t="n"/>
      <c r="E35" s="10" t="n"/>
      <c r="F35" s="9" t="n"/>
      <c r="G35" s="9" t="n"/>
      <c r="H35" s="10" t="n"/>
      <c r="I35" s="9" t="n"/>
      <c r="J35" s="11">
        <f>IF(F35="","",MAX(0,MIN(1,(1-(CODE(UPPER(D35))-65)/5)*0.5+(1-(E35-1)/5)*0.3+MIN(N(H35),3)/3*0.2)))</f>
        <v/>
      </c>
      <c r="K35" s="7">
        <f>IF(F35="","",IF(LOWER(I35)&lt;&gt;"y","DISCARD (not lawful/ethical to use)",IF(J35&gt;=0.7,"record as context correction (W08) + intake evidence",IF(J35&gt;=0.4,"watch - seek corroboration","note only"))))</f>
        <v/>
      </c>
    </row>
    <row r="36">
      <c r="A36" s="8" t="n"/>
      <c r="B36" s="9" t="n"/>
      <c r="C36" s="9" t="n"/>
      <c r="D36" s="9" t="n"/>
      <c r="E36" s="10" t="n"/>
      <c r="F36" s="9" t="n"/>
      <c r="G36" s="9" t="n"/>
      <c r="H36" s="10" t="n"/>
      <c r="I36" s="9" t="n"/>
      <c r="J36" s="11">
        <f>IF(F36="","",MAX(0,MIN(1,(1-(CODE(UPPER(D36))-65)/5)*0.5+(1-(E36-1)/5)*0.3+MIN(N(H36),3)/3*0.2)))</f>
        <v/>
      </c>
      <c r="K36" s="7">
        <f>IF(F36="","",IF(LOWER(I36)&lt;&gt;"y","DISCARD (not lawful/ethical to use)",IF(J36&gt;=0.7,"record as context correction (W08) + intake evidence",IF(J36&gt;=0.4,"watch - seek corroboration","note only"))))</f>
        <v/>
      </c>
    </row>
    <row r="37">
      <c r="A37" s="8" t="n"/>
      <c r="B37" s="9" t="n"/>
      <c r="C37" s="9" t="n"/>
      <c r="D37" s="9" t="n"/>
      <c r="E37" s="10" t="n"/>
      <c r="F37" s="9" t="n"/>
      <c r="G37" s="9" t="n"/>
      <c r="H37" s="10" t="n"/>
      <c r="I37" s="9" t="n"/>
      <c r="J37" s="11">
        <f>IF(F37="","",MAX(0,MIN(1,(1-(CODE(UPPER(D37))-65)/5)*0.5+(1-(E37-1)/5)*0.3+MIN(N(H37),3)/3*0.2)))</f>
        <v/>
      </c>
      <c r="K37" s="7">
        <f>IF(F37="","",IF(LOWER(I37)&lt;&gt;"y","DISCARD (not lawful/ethical to use)",IF(J37&gt;=0.7,"record as context correction (W08) + intake evidence",IF(J37&gt;=0.4,"watch - seek corroboration","note only"))))</f>
        <v/>
      </c>
    </row>
    <row r="38">
      <c r="A38" s="8" t="n"/>
      <c r="B38" s="9" t="n"/>
      <c r="C38" s="9" t="n"/>
      <c r="D38" s="9" t="n"/>
      <c r="E38" s="10" t="n"/>
      <c r="F38" s="9" t="n"/>
      <c r="G38" s="9" t="n"/>
      <c r="H38" s="10" t="n"/>
      <c r="I38" s="9" t="n"/>
      <c r="J38" s="11">
        <f>IF(F38="","",MAX(0,MIN(1,(1-(CODE(UPPER(D38))-65)/5)*0.5+(1-(E38-1)/5)*0.3+MIN(N(H38),3)/3*0.2)))</f>
        <v/>
      </c>
      <c r="K38" s="7">
        <f>IF(F38="","",IF(LOWER(I38)&lt;&gt;"y","DISCARD (not lawful/ethical to use)",IF(J38&gt;=0.7,"record as context correction (W08) + intake evidence",IF(J38&gt;=0.4,"watch - seek corroboration","note only"))))</f>
        <v/>
      </c>
    </row>
    <row r="39">
      <c r="A39" s="8" t="n"/>
      <c r="B39" s="9" t="n"/>
      <c r="C39" s="9" t="n"/>
      <c r="D39" s="9" t="n"/>
      <c r="E39" s="10" t="n"/>
      <c r="F39" s="9" t="n"/>
      <c r="G39" s="9" t="n"/>
      <c r="H39" s="10" t="n"/>
      <c r="I39" s="9" t="n"/>
      <c r="J39" s="11">
        <f>IF(F39="","",MAX(0,MIN(1,(1-(CODE(UPPER(D39))-65)/5)*0.5+(1-(E39-1)/5)*0.3+MIN(N(H39),3)/3*0.2)))</f>
        <v/>
      </c>
      <c r="K39" s="7">
        <f>IF(F39="","",IF(LOWER(I39)&lt;&gt;"y","DISCARD (not lawful/ethical to use)",IF(J39&gt;=0.7,"record as context correction (W08) + intake evidence",IF(J39&gt;=0.4,"watch - seek corroboration","note only"))))</f>
        <v/>
      </c>
    </row>
    <row r="40">
      <c r="A40" s="8" t="n"/>
      <c r="B40" s="9" t="n"/>
      <c r="C40" s="9" t="n"/>
      <c r="D40" s="9" t="n"/>
      <c r="E40" s="10" t="n"/>
      <c r="F40" s="9" t="n"/>
      <c r="G40" s="9" t="n"/>
      <c r="H40" s="10" t="n"/>
      <c r="I40" s="9" t="n"/>
      <c r="J40" s="11">
        <f>IF(F40="","",MAX(0,MIN(1,(1-(CODE(UPPER(D40))-65)/5)*0.5+(1-(E40-1)/5)*0.3+MIN(N(H40),3)/3*0.2)))</f>
        <v/>
      </c>
      <c r="K40" s="7">
        <f>IF(F40="","",IF(LOWER(I40)&lt;&gt;"y","DISCARD (not lawful/ethical to use)",IF(J40&gt;=0.7,"record as context correction (W08) + intake evidence",IF(J40&gt;=0.4,"watch - seek corroboration","note only"))))</f>
        <v/>
      </c>
    </row>
    <row r="41">
      <c r="A41" s="8" t="n"/>
      <c r="B41" s="9" t="n"/>
      <c r="C41" s="9" t="n"/>
      <c r="D41" s="9" t="n"/>
      <c r="E41" s="10" t="n"/>
      <c r="F41" s="9" t="n"/>
      <c r="G41" s="9" t="n"/>
      <c r="H41" s="10" t="n"/>
      <c r="I41" s="9" t="n"/>
      <c r="J41" s="11">
        <f>IF(F41="","",MAX(0,MIN(1,(1-(CODE(UPPER(D41))-65)/5)*0.5+(1-(E41-1)/5)*0.3+MIN(N(H41),3)/3*0.2)))</f>
        <v/>
      </c>
      <c r="K41" s="7">
        <f>IF(F41="","",IF(LOWER(I41)&lt;&gt;"y","DISCARD (not lawful/ethical to use)",IF(J41&gt;=0.7,"record as context correction (W08) + intake evidence",IF(J41&gt;=0.4,"watch - seek corroboration","note only"))))</f>
        <v/>
      </c>
    </row>
    <row r="42">
      <c r="A42" s="8" t="n"/>
      <c r="B42" s="9" t="n"/>
      <c r="C42" s="9" t="n"/>
      <c r="D42" s="9" t="n"/>
      <c r="E42" s="10" t="n"/>
      <c r="F42" s="9" t="n"/>
      <c r="G42" s="9" t="n"/>
      <c r="H42" s="10" t="n"/>
      <c r="I42" s="9" t="n"/>
      <c r="J42" s="11">
        <f>IF(F42="","",MAX(0,MIN(1,(1-(CODE(UPPER(D42))-65)/5)*0.5+(1-(E42-1)/5)*0.3+MIN(N(H42),3)/3*0.2)))</f>
        <v/>
      </c>
      <c r="K42" s="7">
        <f>IF(F42="","",IF(LOWER(I42)&lt;&gt;"y","DISCARD (not lawful/ethical to use)",IF(J42&gt;=0.7,"record as context correction (W08) + intake evidence",IF(J42&gt;=0.4,"watch - seek corroboration","note only"))))</f>
        <v/>
      </c>
    </row>
    <row r="43">
      <c r="A43" s="8" t="n"/>
      <c r="B43" s="9" t="n"/>
      <c r="C43" s="9" t="n"/>
      <c r="D43" s="9" t="n"/>
      <c r="E43" s="10" t="n"/>
      <c r="F43" s="9" t="n"/>
      <c r="G43" s="9" t="n"/>
      <c r="H43" s="10" t="n"/>
      <c r="I43" s="9" t="n"/>
      <c r="J43" s="11">
        <f>IF(F43="","",MAX(0,MIN(1,(1-(CODE(UPPER(D43))-65)/5)*0.5+(1-(E43-1)/5)*0.3+MIN(N(H43),3)/3*0.2)))</f>
        <v/>
      </c>
      <c r="K43" s="7">
        <f>IF(F43="","",IF(LOWER(I43)&lt;&gt;"y","DISCARD (not lawful/ethical to use)",IF(J43&gt;=0.7,"record as context correction (W08) + intake evidence",IF(J43&gt;=0.4,"watch - seek corroboration","note only"))))</f>
        <v/>
      </c>
    </row>
    <row r="44">
      <c r="A44" s="8" t="n"/>
      <c r="B44" s="9" t="n"/>
      <c r="C44" s="9" t="n"/>
      <c r="D44" s="9" t="n"/>
      <c r="E44" s="10" t="n"/>
      <c r="F44" s="9" t="n"/>
      <c r="G44" s="9" t="n"/>
      <c r="H44" s="10" t="n"/>
      <c r="I44" s="9" t="n"/>
      <c r="J44" s="11">
        <f>IF(F44="","",MAX(0,MIN(1,(1-(CODE(UPPER(D44))-65)/5)*0.5+(1-(E44-1)/5)*0.3+MIN(N(H44),3)/3*0.2)))</f>
        <v/>
      </c>
      <c r="K44" s="7">
        <f>IF(F44="","",IF(LOWER(I44)&lt;&gt;"y","DISCARD (not lawful/ethical to use)",IF(J44&gt;=0.7,"record as context correction (W08) + intake evidence",IF(J44&gt;=0.4,"watch - seek corroboration","note only"))))</f>
        <v/>
      </c>
    </row>
    <row r="45">
      <c r="A45" s="8" t="n"/>
      <c r="B45" s="9" t="n"/>
      <c r="C45" s="9" t="n"/>
      <c r="D45" s="9" t="n"/>
      <c r="E45" s="10" t="n"/>
      <c r="F45" s="9" t="n"/>
      <c r="G45" s="9" t="n"/>
      <c r="H45" s="10" t="n"/>
      <c r="I45" s="9" t="n"/>
      <c r="J45" s="11">
        <f>IF(F45="","",MAX(0,MIN(1,(1-(CODE(UPPER(D45))-65)/5)*0.5+(1-(E45-1)/5)*0.3+MIN(N(H45),3)/3*0.2)))</f>
        <v/>
      </c>
      <c r="K45" s="7">
        <f>IF(F45="","",IF(LOWER(I45)&lt;&gt;"y","DISCARD (not lawful/ethical to use)",IF(J45&gt;=0.7,"record as context correction (W08) + intake evidence",IF(J45&gt;=0.4,"watch - seek corroboration","note only"))))</f>
        <v/>
      </c>
    </row>
    <row r="46">
      <c r="A46" s="8" t="n"/>
      <c r="B46" s="9" t="n"/>
      <c r="C46" s="9" t="n"/>
      <c r="D46" s="9" t="n"/>
      <c r="E46" s="10" t="n"/>
      <c r="F46" s="9" t="n"/>
      <c r="G46" s="9" t="n"/>
      <c r="H46" s="10" t="n"/>
      <c r="I46" s="9" t="n"/>
      <c r="J46" s="11">
        <f>IF(F46="","",MAX(0,MIN(1,(1-(CODE(UPPER(D46))-65)/5)*0.5+(1-(E46-1)/5)*0.3+MIN(N(H46),3)/3*0.2)))</f>
        <v/>
      </c>
      <c r="K46" s="7">
        <f>IF(F46="","",IF(LOWER(I46)&lt;&gt;"y","DISCARD (not lawful/ethical to use)",IF(J46&gt;=0.7,"record as context correction (W08) + intake evidence",IF(J46&gt;=0.4,"watch - seek corroboration","note only"))))</f>
        <v/>
      </c>
    </row>
    <row r="47">
      <c r="A47" s="8" t="n"/>
      <c r="B47" s="9" t="n"/>
      <c r="C47" s="9" t="n"/>
      <c r="D47" s="9" t="n"/>
      <c r="E47" s="10" t="n"/>
      <c r="F47" s="9" t="n"/>
      <c r="G47" s="9" t="n"/>
      <c r="H47" s="10" t="n"/>
      <c r="I47" s="9" t="n"/>
      <c r="J47" s="11">
        <f>IF(F47="","",MAX(0,MIN(1,(1-(CODE(UPPER(D47))-65)/5)*0.5+(1-(E47-1)/5)*0.3+MIN(N(H47),3)/3*0.2)))</f>
        <v/>
      </c>
      <c r="K47" s="7">
        <f>IF(F47="","",IF(LOWER(I47)&lt;&gt;"y","DISCARD (not lawful/ethical to use)",IF(J47&gt;=0.7,"record as context correction (W08) + intake evidence",IF(J47&gt;=0.4,"watch - seek corroboration","note only"))))</f>
        <v/>
      </c>
    </row>
    <row r="48">
      <c r="A48" s="8" t="n"/>
      <c r="B48" s="9" t="n"/>
      <c r="C48" s="9" t="n"/>
      <c r="D48" s="9" t="n"/>
      <c r="E48" s="10" t="n"/>
      <c r="F48" s="9" t="n"/>
      <c r="G48" s="9" t="n"/>
      <c r="H48" s="10" t="n"/>
      <c r="I48" s="9" t="n"/>
      <c r="J48" s="11">
        <f>IF(F48="","",MAX(0,MIN(1,(1-(CODE(UPPER(D48))-65)/5)*0.5+(1-(E48-1)/5)*0.3+MIN(N(H48),3)/3*0.2)))</f>
        <v/>
      </c>
      <c r="K48" s="7">
        <f>IF(F48="","",IF(LOWER(I48)&lt;&gt;"y","DISCARD (not lawful/ethical to use)",IF(J48&gt;=0.7,"record as context correction (W08) + intake evidence",IF(J48&gt;=0.4,"watch - seek corroboration","note only"))))</f>
        <v/>
      </c>
    </row>
    <row r="49">
      <c r="A49" s="8" t="n"/>
      <c r="B49" s="9" t="n"/>
      <c r="C49" s="9" t="n"/>
      <c r="D49" s="9" t="n"/>
      <c r="E49" s="10" t="n"/>
      <c r="F49" s="9" t="n"/>
      <c r="G49" s="9" t="n"/>
      <c r="H49" s="10" t="n"/>
      <c r="I49" s="9" t="n"/>
      <c r="J49" s="11">
        <f>IF(F49="","",MAX(0,MIN(1,(1-(CODE(UPPER(D49))-65)/5)*0.5+(1-(E49-1)/5)*0.3+MIN(N(H49),3)/3*0.2)))</f>
        <v/>
      </c>
      <c r="K49" s="7">
        <f>IF(F49="","",IF(LOWER(I49)&lt;&gt;"y","DISCARD (not lawful/ethical to use)",IF(J49&gt;=0.7,"record as context correction (W08) + intake evidence",IF(J49&gt;=0.4,"watch - seek corroboration","note only"))))</f>
        <v/>
      </c>
    </row>
    <row r="50">
      <c r="A50" s="8" t="n"/>
      <c r="B50" s="9" t="n"/>
      <c r="C50" s="9" t="n"/>
      <c r="D50" s="9" t="n"/>
      <c r="E50" s="10" t="n"/>
      <c r="F50" s="9" t="n"/>
      <c r="G50" s="9" t="n"/>
      <c r="H50" s="10" t="n"/>
      <c r="I50" s="9" t="n"/>
      <c r="J50" s="11">
        <f>IF(F50="","",MAX(0,MIN(1,(1-(CODE(UPPER(D50))-65)/5)*0.5+(1-(E50-1)/5)*0.3+MIN(N(H50),3)/3*0.2)))</f>
        <v/>
      </c>
      <c r="K50" s="7">
        <f>IF(F50="","",IF(LOWER(I50)&lt;&gt;"y","DISCARD (not lawful/ethical to use)",IF(J50&gt;=0.7,"record as context correction (W08) + intake evidence",IF(J50&gt;=0.4,"watch - seek corroboration","note only"))))</f>
        <v/>
      </c>
    </row>
    <row r="51">
      <c r="A51" s="8" t="n"/>
      <c r="B51" s="9" t="n"/>
      <c r="C51" s="9" t="n"/>
      <c r="D51" s="9" t="n"/>
      <c r="E51" s="10" t="n"/>
      <c r="F51" s="9" t="n"/>
      <c r="G51" s="9" t="n"/>
      <c r="H51" s="10" t="n"/>
      <c r="I51" s="9" t="n"/>
      <c r="J51" s="11">
        <f>IF(F51="","",MAX(0,MIN(1,(1-(CODE(UPPER(D51))-65)/5)*0.5+(1-(E51-1)/5)*0.3+MIN(N(H51),3)/3*0.2)))</f>
        <v/>
      </c>
      <c r="K51" s="7">
        <f>IF(F51="","",IF(LOWER(I51)&lt;&gt;"y","DISCARD (not lawful/ethical to use)",IF(J51&gt;=0.7,"record as context correction (W08) + intake evidence",IF(J51&gt;=0.4,"watch - seek corroboration","note only"))))</f>
        <v/>
      </c>
    </row>
    <row r="52">
      <c r="A52" s="8" t="n"/>
      <c r="B52" s="9" t="n"/>
      <c r="C52" s="9" t="n"/>
      <c r="D52" s="9" t="n"/>
      <c r="E52" s="10" t="n"/>
      <c r="F52" s="9" t="n"/>
      <c r="G52" s="9" t="n"/>
      <c r="H52" s="10" t="n"/>
      <c r="I52" s="9" t="n"/>
      <c r="J52" s="11">
        <f>IF(F52="","",MAX(0,MIN(1,(1-(CODE(UPPER(D52))-65)/5)*0.5+(1-(E52-1)/5)*0.3+MIN(N(H52),3)/3*0.2)))</f>
        <v/>
      </c>
      <c r="K52" s="7">
        <f>IF(F52="","",IF(LOWER(I52)&lt;&gt;"y","DISCARD (not lawful/ethical to use)",IF(J52&gt;=0.7,"record as context correction (W08) + intake evidence",IF(J52&gt;=0.4,"watch - seek corroboration","note only"))))</f>
        <v/>
      </c>
    </row>
    <row r="53">
      <c r="A53" s="8" t="n"/>
      <c r="B53" s="9" t="n"/>
      <c r="C53" s="9" t="n"/>
      <c r="D53" s="9" t="n"/>
      <c r="E53" s="10" t="n"/>
      <c r="F53" s="9" t="n"/>
      <c r="G53" s="9" t="n"/>
      <c r="H53" s="10" t="n"/>
      <c r="I53" s="9" t="n"/>
      <c r="J53" s="11">
        <f>IF(F53="","",MAX(0,MIN(1,(1-(CODE(UPPER(D53))-65)/5)*0.5+(1-(E53-1)/5)*0.3+MIN(N(H53),3)/3*0.2)))</f>
        <v/>
      </c>
      <c r="K53" s="7">
        <f>IF(F53="","",IF(LOWER(I53)&lt;&gt;"y","DISCARD (not lawful/ethical to use)",IF(J53&gt;=0.7,"record as context correction (W08) + intake evidence",IF(J53&gt;=0.4,"watch - seek corroboration","note only"))))</f>
        <v/>
      </c>
    </row>
    <row r="54">
      <c r="A54" s="8" t="n"/>
      <c r="B54" s="9" t="n"/>
      <c r="C54" s="9" t="n"/>
      <c r="D54" s="9" t="n"/>
      <c r="E54" s="10" t="n"/>
      <c r="F54" s="9" t="n"/>
      <c r="G54" s="9" t="n"/>
      <c r="H54" s="10" t="n"/>
      <c r="I54" s="9" t="n"/>
      <c r="J54" s="11">
        <f>IF(F54="","",MAX(0,MIN(1,(1-(CODE(UPPER(D54))-65)/5)*0.5+(1-(E54-1)/5)*0.3+MIN(N(H54),3)/3*0.2)))</f>
        <v/>
      </c>
      <c r="K54" s="7">
        <f>IF(F54="","",IF(LOWER(I54)&lt;&gt;"y","DISCARD (not lawful/ethical to use)",IF(J54&gt;=0.7,"record as context correction (W08) + intake evidence",IF(J54&gt;=0.4,"watch - seek corroboration","note only"))))</f>
        <v/>
      </c>
    </row>
    <row r="55">
      <c r="A55" s="8" t="n"/>
      <c r="B55" s="9" t="n"/>
      <c r="C55" s="9" t="n"/>
      <c r="D55" s="9" t="n"/>
      <c r="E55" s="10" t="n"/>
      <c r="F55" s="9" t="n"/>
      <c r="G55" s="9" t="n"/>
      <c r="H55" s="10" t="n"/>
      <c r="I55" s="9" t="n"/>
      <c r="J55" s="11">
        <f>IF(F55="","",MAX(0,MIN(1,(1-(CODE(UPPER(D55))-65)/5)*0.5+(1-(E55-1)/5)*0.3+MIN(N(H55),3)/3*0.2)))</f>
        <v/>
      </c>
      <c r="K55" s="7">
        <f>IF(F55="","",IF(LOWER(I55)&lt;&gt;"y","DISCARD (not lawful/ethical to use)",IF(J55&gt;=0.7,"record as context correction (W08) + intake evidence",IF(J55&gt;=0.4,"watch - seek corroboration","note only"))))</f>
        <v/>
      </c>
    </row>
    <row r="56">
      <c r="A56" s="8" t="n"/>
      <c r="B56" s="9" t="n"/>
      <c r="C56" s="9" t="n"/>
      <c r="D56" s="9" t="n"/>
      <c r="E56" s="10" t="n"/>
      <c r="F56" s="9" t="n"/>
      <c r="G56" s="9" t="n"/>
      <c r="H56" s="10" t="n"/>
      <c r="I56" s="9" t="n"/>
      <c r="J56" s="11">
        <f>IF(F56="","",MAX(0,MIN(1,(1-(CODE(UPPER(D56))-65)/5)*0.5+(1-(E56-1)/5)*0.3+MIN(N(H56),3)/3*0.2)))</f>
        <v/>
      </c>
      <c r="K56" s="7">
        <f>IF(F56="","",IF(LOWER(I56)&lt;&gt;"y","DISCARD (not lawful/ethical to use)",IF(J56&gt;=0.7,"record as context correction (W08) + intake evidence",IF(J56&gt;=0.4,"watch - seek corroboration","note only"))))</f>
        <v/>
      </c>
    </row>
    <row r="57">
      <c r="A57" s="8" t="n"/>
      <c r="B57" s="9" t="n"/>
      <c r="C57" s="9" t="n"/>
      <c r="D57" s="9" t="n"/>
      <c r="E57" s="10" t="n"/>
      <c r="F57" s="9" t="n"/>
      <c r="G57" s="9" t="n"/>
      <c r="H57" s="10" t="n"/>
      <c r="I57" s="9" t="n"/>
      <c r="J57" s="11">
        <f>IF(F57="","",MAX(0,MIN(1,(1-(CODE(UPPER(D57))-65)/5)*0.5+(1-(E57-1)/5)*0.3+MIN(N(H57),3)/3*0.2)))</f>
        <v/>
      </c>
      <c r="K57" s="7">
        <f>IF(F57="","",IF(LOWER(I57)&lt;&gt;"y","DISCARD (not lawful/ethical to use)",IF(J57&gt;=0.7,"record as context correction (W08) + intake evidence",IF(J57&gt;=0.4,"watch - seek corroboration","note only"))))</f>
        <v/>
      </c>
    </row>
    <row r="58">
      <c r="A58" s="8" t="n"/>
      <c r="B58" s="9" t="n"/>
      <c r="C58" s="9" t="n"/>
      <c r="D58" s="9" t="n"/>
      <c r="E58" s="10" t="n"/>
      <c r="F58" s="9" t="n"/>
      <c r="G58" s="9" t="n"/>
      <c r="H58" s="10" t="n"/>
      <c r="I58" s="9" t="n"/>
      <c r="J58" s="11">
        <f>IF(F58="","",MAX(0,MIN(1,(1-(CODE(UPPER(D58))-65)/5)*0.5+(1-(E58-1)/5)*0.3+MIN(N(H58),3)/3*0.2)))</f>
        <v/>
      </c>
      <c r="K58" s="7">
        <f>IF(F58="","",IF(LOWER(I58)&lt;&gt;"y","DISCARD (not lawful/ethical to use)",IF(J58&gt;=0.7,"record as context correction (W08) + intake evidence",IF(J58&gt;=0.4,"watch - seek corroboration","note only"))))</f>
        <v/>
      </c>
    </row>
    <row r="59">
      <c r="A59" s="8" t="n"/>
      <c r="B59" s="9" t="n"/>
      <c r="C59" s="9" t="n"/>
      <c r="D59" s="9" t="n"/>
      <c r="E59" s="10" t="n"/>
      <c r="F59" s="9" t="n"/>
      <c r="G59" s="9" t="n"/>
      <c r="H59" s="10" t="n"/>
      <c r="I59" s="9" t="n"/>
      <c r="J59" s="11">
        <f>IF(F59="","",MAX(0,MIN(1,(1-(CODE(UPPER(D59))-65)/5)*0.5+(1-(E59-1)/5)*0.3+MIN(N(H59),3)/3*0.2)))</f>
        <v/>
      </c>
      <c r="K59" s="7">
        <f>IF(F59="","",IF(LOWER(I59)&lt;&gt;"y","DISCARD (not lawful/ethical to use)",IF(J59&gt;=0.7,"record as context correction (W08) + intake evidence",IF(J59&gt;=0.4,"watch - seek corroboration","note only"))))</f>
        <v/>
      </c>
    </row>
    <row r="60">
      <c r="A60" s="8" t="n"/>
      <c r="B60" s="9" t="n"/>
      <c r="C60" s="9" t="n"/>
      <c r="D60" s="9" t="n"/>
      <c r="E60" s="10" t="n"/>
      <c r="F60" s="9" t="n"/>
      <c r="G60" s="9" t="n"/>
      <c r="H60" s="10" t="n"/>
      <c r="I60" s="9" t="n"/>
      <c r="J60" s="11">
        <f>IF(F60="","",MAX(0,MIN(1,(1-(CODE(UPPER(D60))-65)/5)*0.5+(1-(E60-1)/5)*0.3+MIN(N(H60),3)/3*0.2)))</f>
        <v/>
      </c>
      <c r="K60" s="7">
        <f>IF(F60="","",IF(LOWER(I60)&lt;&gt;"y","DISCARD (not lawful/ethical to use)",IF(J60&gt;=0.7,"record as context correction (W08) + intake evidence",IF(J60&gt;=0.4,"watch - seek corroboration","note only"))))</f>
        <v/>
      </c>
    </row>
    <row r="61">
      <c r="A61" s="8" t="n"/>
      <c r="B61" s="9" t="n"/>
      <c r="C61" s="9" t="n"/>
      <c r="D61" s="9" t="n"/>
      <c r="E61" s="10" t="n"/>
      <c r="F61" s="9" t="n"/>
      <c r="G61" s="9" t="n"/>
      <c r="H61" s="10" t="n"/>
      <c r="I61" s="9" t="n"/>
      <c r="J61" s="11">
        <f>IF(F61="","",MAX(0,MIN(1,(1-(CODE(UPPER(D61))-65)/5)*0.5+(1-(E61-1)/5)*0.3+MIN(N(H61),3)/3*0.2)))</f>
        <v/>
      </c>
      <c r="K61" s="7">
        <f>IF(F61="","",IF(LOWER(I61)&lt;&gt;"y","DISCARD (not lawful/ethical to use)",IF(J61&gt;=0.7,"record as context correction (W08) + intake evidence",IF(J61&gt;=0.4,"watch - seek corroboration","note only"))))</f>
        <v/>
      </c>
    </row>
    <row r="62">
      <c r="A62" s="8" t="n"/>
      <c r="B62" s="9" t="n"/>
      <c r="C62" s="9" t="n"/>
      <c r="D62" s="9" t="n"/>
      <c r="E62" s="10" t="n"/>
      <c r="F62" s="9" t="n"/>
      <c r="G62" s="9" t="n"/>
      <c r="H62" s="10" t="n"/>
      <c r="I62" s="9" t="n"/>
      <c r="J62" s="11">
        <f>IF(F62="","",MAX(0,MIN(1,(1-(CODE(UPPER(D62))-65)/5)*0.5+(1-(E62-1)/5)*0.3+MIN(N(H62),3)/3*0.2)))</f>
        <v/>
      </c>
      <c r="K62" s="7">
        <f>IF(F62="","",IF(LOWER(I62)&lt;&gt;"y","DISCARD (not lawful/ethical to use)",IF(J62&gt;=0.7,"record as context correction (W08) + intake evidence",IF(J62&gt;=0.4,"watch - seek corroboration","note only"))))</f>
        <v/>
      </c>
    </row>
    <row r="63">
      <c r="A63" s="8" t="n"/>
      <c r="B63" s="9" t="n"/>
      <c r="C63" s="9" t="n"/>
      <c r="D63" s="9" t="n"/>
      <c r="E63" s="10" t="n"/>
      <c r="F63" s="9" t="n"/>
      <c r="G63" s="9" t="n"/>
      <c r="H63" s="10" t="n"/>
      <c r="I63" s="9" t="n"/>
      <c r="J63" s="11">
        <f>IF(F63="","",MAX(0,MIN(1,(1-(CODE(UPPER(D63))-65)/5)*0.5+(1-(E63-1)/5)*0.3+MIN(N(H63),3)/3*0.2)))</f>
        <v/>
      </c>
      <c r="K63" s="7">
        <f>IF(F63="","",IF(LOWER(I63)&lt;&gt;"y","DISCARD (not lawful/ethical to use)",IF(J63&gt;=0.7,"record as context correction (W08) + intake evidence",IF(J63&gt;=0.4,"watch - seek corroboration","note only"))))</f>
        <v/>
      </c>
    </row>
    <row r="64">
      <c r="A64" s="8" t="n"/>
      <c r="B64" s="9" t="n"/>
      <c r="C64" s="9" t="n"/>
      <c r="D64" s="9" t="n"/>
      <c r="E64" s="10" t="n"/>
      <c r="F64" s="9" t="n"/>
      <c r="G64" s="9" t="n"/>
      <c r="H64" s="10" t="n"/>
      <c r="I64" s="9" t="n"/>
      <c r="J64" s="11">
        <f>IF(F64="","",MAX(0,MIN(1,(1-(CODE(UPPER(D64))-65)/5)*0.5+(1-(E64-1)/5)*0.3+MIN(N(H64),3)/3*0.2)))</f>
        <v/>
      </c>
      <c r="K64" s="7">
        <f>IF(F64="","",IF(LOWER(I64)&lt;&gt;"y","DISCARD (not lawful/ethical to use)",IF(J64&gt;=0.7,"record as context correction (W08) + intake evidence",IF(J64&gt;=0.4,"watch - seek corroboration","note only"))))</f>
        <v/>
      </c>
    </row>
    <row r="65">
      <c r="A65" s="8" t="n"/>
      <c r="B65" s="9" t="n"/>
      <c r="C65" s="9" t="n"/>
      <c r="D65" s="9" t="n"/>
      <c r="E65" s="10" t="n"/>
      <c r="F65" s="9" t="n"/>
      <c r="G65" s="9" t="n"/>
      <c r="H65" s="10" t="n"/>
      <c r="I65" s="9" t="n"/>
      <c r="J65" s="11">
        <f>IF(F65="","",MAX(0,MIN(1,(1-(CODE(UPPER(D65))-65)/5)*0.5+(1-(E65-1)/5)*0.3+MIN(N(H65),3)/3*0.2)))</f>
        <v/>
      </c>
      <c r="K65" s="7">
        <f>IF(F65="","",IF(LOWER(I65)&lt;&gt;"y","DISCARD (not lawful/ethical to use)",IF(J65&gt;=0.7,"record as context correction (W08) + intake evidence",IF(J65&gt;=0.4,"watch - seek corroboration","note only"))))</f>
        <v/>
      </c>
    </row>
    <row r="66">
      <c r="A66" s="8" t="n"/>
      <c r="B66" s="9" t="n"/>
      <c r="C66" s="9" t="n"/>
      <c r="D66" s="9" t="n"/>
      <c r="E66" s="10" t="n"/>
      <c r="F66" s="9" t="n"/>
      <c r="G66" s="9" t="n"/>
      <c r="H66" s="10" t="n"/>
      <c r="I66" s="9" t="n"/>
      <c r="J66" s="11">
        <f>IF(F66="","",MAX(0,MIN(1,(1-(CODE(UPPER(D66))-65)/5)*0.5+(1-(E66-1)/5)*0.3+MIN(N(H66),3)/3*0.2)))</f>
        <v/>
      </c>
      <c r="K66" s="7">
        <f>IF(F66="","",IF(LOWER(I66)&lt;&gt;"y","DISCARD (not lawful/ethical to use)",IF(J66&gt;=0.7,"record as context correction (W08) + intake evidence",IF(J66&gt;=0.4,"watch - seek corroboration","note only"))))</f>
        <v/>
      </c>
    </row>
    <row r="67">
      <c r="A67" s="8" t="n"/>
      <c r="B67" s="9" t="n"/>
      <c r="C67" s="9" t="n"/>
      <c r="D67" s="9" t="n"/>
      <c r="E67" s="10" t="n"/>
      <c r="F67" s="9" t="n"/>
      <c r="G67" s="9" t="n"/>
      <c r="H67" s="10" t="n"/>
      <c r="I67" s="9" t="n"/>
      <c r="J67" s="11">
        <f>IF(F67="","",MAX(0,MIN(1,(1-(CODE(UPPER(D67))-65)/5)*0.5+(1-(E67-1)/5)*0.3+MIN(N(H67),3)/3*0.2)))</f>
        <v/>
      </c>
      <c r="K67" s="7">
        <f>IF(F67="","",IF(LOWER(I67)&lt;&gt;"y","DISCARD (not lawful/ethical to use)",IF(J67&gt;=0.7,"record as context correction (W08) + intake evidence",IF(J67&gt;=0.4,"watch - seek corroboration","note only"))))</f>
        <v/>
      </c>
    </row>
    <row r="68">
      <c r="A68" s="8" t="n"/>
      <c r="B68" s="9" t="n"/>
      <c r="C68" s="9" t="n"/>
      <c r="D68" s="9" t="n"/>
      <c r="E68" s="10" t="n"/>
      <c r="F68" s="9" t="n"/>
      <c r="G68" s="9" t="n"/>
      <c r="H68" s="10" t="n"/>
      <c r="I68" s="9" t="n"/>
      <c r="J68" s="11">
        <f>IF(F68="","",MAX(0,MIN(1,(1-(CODE(UPPER(D68))-65)/5)*0.5+(1-(E68-1)/5)*0.3+MIN(N(H68),3)/3*0.2)))</f>
        <v/>
      </c>
      <c r="K68" s="7">
        <f>IF(F68="","",IF(LOWER(I68)&lt;&gt;"y","DISCARD (not lawful/ethical to use)",IF(J68&gt;=0.7,"record as context correction (W08) + intake evidence",IF(J68&gt;=0.4,"watch - seek corroboration","note only"))))</f>
        <v/>
      </c>
    </row>
    <row r="69">
      <c r="A69" s="8" t="n"/>
      <c r="B69" s="9" t="n"/>
      <c r="C69" s="9" t="n"/>
      <c r="D69" s="9" t="n"/>
      <c r="E69" s="10" t="n"/>
      <c r="F69" s="9" t="n"/>
      <c r="G69" s="9" t="n"/>
      <c r="H69" s="10" t="n"/>
      <c r="I69" s="9" t="n"/>
      <c r="J69" s="11">
        <f>IF(F69="","",MAX(0,MIN(1,(1-(CODE(UPPER(D69))-65)/5)*0.5+(1-(E69-1)/5)*0.3+MIN(N(H69),3)/3*0.2)))</f>
        <v/>
      </c>
      <c r="K69" s="7">
        <f>IF(F69="","",IF(LOWER(I69)&lt;&gt;"y","DISCARD (not lawful/ethical to use)",IF(J69&gt;=0.7,"record as context correction (W08) + intake evidence",IF(J69&gt;=0.4,"watch - seek corroboration","note only"))))</f>
        <v/>
      </c>
    </row>
    <row r="70">
      <c r="A70" s="8" t="n"/>
      <c r="B70" s="9" t="n"/>
      <c r="C70" s="9" t="n"/>
      <c r="D70" s="9" t="n"/>
      <c r="E70" s="10" t="n"/>
      <c r="F70" s="9" t="n"/>
      <c r="G70" s="9" t="n"/>
      <c r="H70" s="10" t="n"/>
      <c r="I70" s="9" t="n"/>
      <c r="J70" s="11">
        <f>IF(F70="","",MAX(0,MIN(1,(1-(CODE(UPPER(D70))-65)/5)*0.5+(1-(E70-1)/5)*0.3+MIN(N(H70),3)/3*0.2)))</f>
        <v/>
      </c>
      <c r="K70" s="7">
        <f>IF(F70="","",IF(LOWER(I70)&lt;&gt;"y","DISCARD (not lawful/ethical to use)",IF(J70&gt;=0.7,"record as context correction (W08) + intake evidence",IF(J70&gt;=0.4,"watch - seek corroboration","note only"))))</f>
        <v/>
      </c>
    </row>
    <row r="71">
      <c r="A71" s="8" t="n"/>
      <c r="B71" s="9" t="n"/>
      <c r="C71" s="9" t="n"/>
      <c r="D71" s="9" t="n"/>
      <c r="E71" s="10" t="n"/>
      <c r="F71" s="9" t="n"/>
      <c r="G71" s="9" t="n"/>
      <c r="H71" s="10" t="n"/>
      <c r="I71" s="9" t="n"/>
      <c r="J71" s="11">
        <f>IF(F71="","",MAX(0,MIN(1,(1-(CODE(UPPER(D71))-65)/5)*0.5+(1-(E71-1)/5)*0.3+MIN(N(H71),3)/3*0.2)))</f>
        <v/>
      </c>
      <c r="K71" s="7">
        <f>IF(F71="","",IF(LOWER(I71)&lt;&gt;"y","DISCARD (not lawful/ethical to use)",IF(J71&gt;=0.7,"record as context correction (W08) + intake evidence",IF(J71&gt;=0.4,"watch - seek corroboration","note only"))))</f>
        <v/>
      </c>
    </row>
    <row r="72">
      <c r="A72" s="8" t="n"/>
      <c r="B72" s="9" t="n"/>
      <c r="C72" s="9" t="n"/>
      <c r="D72" s="9" t="n"/>
      <c r="E72" s="10" t="n"/>
      <c r="F72" s="9" t="n"/>
      <c r="G72" s="9" t="n"/>
      <c r="H72" s="10" t="n"/>
      <c r="I72" s="9" t="n"/>
      <c r="J72" s="11">
        <f>IF(F72="","",MAX(0,MIN(1,(1-(CODE(UPPER(D72))-65)/5)*0.5+(1-(E72-1)/5)*0.3+MIN(N(H72),3)/3*0.2)))</f>
        <v/>
      </c>
      <c r="K72" s="7">
        <f>IF(F72="","",IF(LOWER(I72)&lt;&gt;"y","DISCARD (not lawful/ethical to use)",IF(J72&gt;=0.7,"record as context correction (W08) + intake evidence",IF(J72&gt;=0.4,"watch - seek corroboration","note only"))))</f>
        <v/>
      </c>
    </row>
    <row r="73">
      <c r="A73" s="8" t="n"/>
      <c r="B73" s="9" t="n"/>
      <c r="C73" s="9" t="n"/>
      <c r="D73" s="9" t="n"/>
      <c r="E73" s="10" t="n"/>
      <c r="F73" s="9" t="n"/>
      <c r="G73" s="9" t="n"/>
      <c r="H73" s="10" t="n"/>
      <c r="I73" s="9" t="n"/>
      <c r="J73" s="11">
        <f>IF(F73="","",MAX(0,MIN(1,(1-(CODE(UPPER(D73))-65)/5)*0.5+(1-(E73-1)/5)*0.3+MIN(N(H73),3)/3*0.2)))</f>
        <v/>
      </c>
      <c r="K73" s="7">
        <f>IF(F73="","",IF(LOWER(I73)&lt;&gt;"y","DISCARD (not lawful/ethical to use)",IF(J73&gt;=0.7,"record as context correction (W08) + intake evidence",IF(J73&gt;=0.4,"watch - seek corroboration","note only"))))</f>
        <v/>
      </c>
    </row>
    <row r="74">
      <c r="A74" s="8" t="n"/>
      <c r="B74" s="9" t="n"/>
      <c r="C74" s="9" t="n"/>
      <c r="D74" s="9" t="n"/>
      <c r="E74" s="10" t="n"/>
      <c r="F74" s="9" t="n"/>
      <c r="G74" s="9" t="n"/>
      <c r="H74" s="10" t="n"/>
      <c r="I74" s="9" t="n"/>
      <c r="J74" s="11">
        <f>IF(F74="","",MAX(0,MIN(1,(1-(CODE(UPPER(D74))-65)/5)*0.5+(1-(E74-1)/5)*0.3+MIN(N(H74),3)/3*0.2)))</f>
        <v/>
      </c>
      <c r="K74" s="7">
        <f>IF(F74="","",IF(LOWER(I74)&lt;&gt;"y","DISCARD (not lawful/ethical to use)",IF(J74&gt;=0.7,"record as context correction (W08) + intake evidence",IF(J74&gt;=0.4,"watch - seek corroboration","note only"))))</f>
        <v/>
      </c>
    </row>
    <row r="75">
      <c r="A75" s="8" t="n"/>
      <c r="B75" s="9" t="n"/>
      <c r="C75" s="9" t="n"/>
      <c r="D75" s="9" t="n"/>
      <c r="E75" s="10" t="n"/>
      <c r="F75" s="9" t="n"/>
      <c r="G75" s="9" t="n"/>
      <c r="H75" s="10" t="n"/>
      <c r="I75" s="9" t="n"/>
      <c r="J75" s="11">
        <f>IF(F75="","",MAX(0,MIN(1,(1-(CODE(UPPER(D75))-65)/5)*0.5+(1-(E75-1)/5)*0.3+MIN(N(H75),3)/3*0.2)))</f>
        <v/>
      </c>
      <c r="K75" s="7">
        <f>IF(F75="","",IF(LOWER(I75)&lt;&gt;"y","DISCARD (not lawful/ethical to use)",IF(J75&gt;=0.7,"record as context correction (W08) + intake evidence",IF(J75&gt;=0.4,"watch - seek corroboration","note only"))))</f>
        <v/>
      </c>
    </row>
    <row r="76">
      <c r="A76" s="8" t="n"/>
      <c r="B76" s="9" t="n"/>
      <c r="C76" s="9" t="n"/>
      <c r="D76" s="9" t="n"/>
      <c r="E76" s="10" t="n"/>
      <c r="F76" s="9" t="n"/>
      <c r="G76" s="9" t="n"/>
      <c r="H76" s="10" t="n"/>
      <c r="I76" s="9" t="n"/>
      <c r="J76" s="11">
        <f>IF(F76="","",MAX(0,MIN(1,(1-(CODE(UPPER(D76))-65)/5)*0.5+(1-(E76-1)/5)*0.3+MIN(N(H76),3)/3*0.2)))</f>
        <v/>
      </c>
      <c r="K76" s="7">
        <f>IF(F76="","",IF(LOWER(I76)&lt;&gt;"y","DISCARD (not lawful/ethical to use)",IF(J76&gt;=0.7,"record as context correction (W08) + intake evidence",IF(J76&gt;=0.4,"watch - seek corroboration","note only"))))</f>
        <v/>
      </c>
    </row>
    <row r="77">
      <c r="A77" s="8" t="n"/>
      <c r="B77" s="9" t="n"/>
      <c r="C77" s="9" t="n"/>
      <c r="D77" s="9" t="n"/>
      <c r="E77" s="10" t="n"/>
      <c r="F77" s="9" t="n"/>
      <c r="G77" s="9" t="n"/>
      <c r="H77" s="10" t="n"/>
      <c r="I77" s="9" t="n"/>
      <c r="J77" s="11">
        <f>IF(F77="","",MAX(0,MIN(1,(1-(CODE(UPPER(D77))-65)/5)*0.5+(1-(E77-1)/5)*0.3+MIN(N(H77),3)/3*0.2)))</f>
        <v/>
      </c>
      <c r="K77" s="7">
        <f>IF(F77="","",IF(LOWER(I77)&lt;&gt;"y","DISCARD (not lawful/ethical to use)",IF(J77&gt;=0.7,"record as context correction (W08) + intake evidence",IF(J77&gt;=0.4,"watch - seek corroboration","note only"))))</f>
        <v/>
      </c>
    </row>
    <row r="78">
      <c r="A78" s="8" t="n"/>
      <c r="B78" s="9" t="n"/>
      <c r="C78" s="9" t="n"/>
      <c r="D78" s="9" t="n"/>
      <c r="E78" s="10" t="n"/>
      <c r="F78" s="9" t="n"/>
      <c r="G78" s="9" t="n"/>
      <c r="H78" s="10" t="n"/>
      <c r="I78" s="9" t="n"/>
      <c r="J78" s="11">
        <f>IF(F78="","",MAX(0,MIN(1,(1-(CODE(UPPER(D78))-65)/5)*0.5+(1-(E78-1)/5)*0.3+MIN(N(H78),3)/3*0.2)))</f>
        <v/>
      </c>
      <c r="K78" s="7">
        <f>IF(F78="","",IF(LOWER(I78)&lt;&gt;"y","DISCARD (not lawful/ethical to use)",IF(J78&gt;=0.7,"record as context correction (W08) + intake evidence",IF(J78&gt;=0.4,"watch - seek corroboration","note only"))))</f>
        <v/>
      </c>
    </row>
    <row r="79">
      <c r="A79" s="8" t="n"/>
      <c r="B79" s="9" t="n"/>
      <c r="C79" s="9" t="n"/>
      <c r="D79" s="9" t="n"/>
      <c r="E79" s="10" t="n"/>
      <c r="F79" s="9" t="n"/>
      <c r="G79" s="9" t="n"/>
      <c r="H79" s="10" t="n"/>
      <c r="I79" s="9" t="n"/>
      <c r="J79" s="11">
        <f>IF(F79="","",MAX(0,MIN(1,(1-(CODE(UPPER(D79))-65)/5)*0.5+(1-(E79-1)/5)*0.3+MIN(N(H79),3)/3*0.2)))</f>
        <v/>
      </c>
      <c r="K79" s="7">
        <f>IF(F79="","",IF(LOWER(I79)&lt;&gt;"y","DISCARD (not lawful/ethical to use)",IF(J79&gt;=0.7,"record as context correction (W08) + intake evidence",IF(J79&gt;=0.4,"watch - seek corroboration","note only"))))</f>
        <v/>
      </c>
    </row>
    <row r="80">
      <c r="A80" s="8" t="n"/>
      <c r="B80" s="9" t="n"/>
      <c r="C80" s="9" t="n"/>
      <c r="D80" s="9" t="n"/>
      <c r="E80" s="10" t="n"/>
      <c r="F80" s="9" t="n"/>
      <c r="G80" s="9" t="n"/>
      <c r="H80" s="10" t="n"/>
      <c r="I80" s="9" t="n"/>
      <c r="J80" s="11">
        <f>IF(F80="","",MAX(0,MIN(1,(1-(CODE(UPPER(D80))-65)/5)*0.5+(1-(E80-1)/5)*0.3+MIN(N(H80),3)/3*0.2)))</f>
        <v/>
      </c>
      <c r="K80" s="7">
        <f>IF(F80="","",IF(LOWER(I80)&lt;&gt;"y","DISCARD (not lawful/ethical to use)",IF(J80&gt;=0.7,"record as context correction (W08) + intake evidence",IF(J80&gt;=0.4,"watch - seek corroboration","note only"))))</f>
        <v/>
      </c>
    </row>
    <row r="81">
      <c r="A81" s="8" t="n"/>
      <c r="B81" s="9" t="n"/>
      <c r="C81" s="9" t="n"/>
      <c r="D81" s="9" t="n"/>
      <c r="E81" s="10" t="n"/>
      <c r="F81" s="9" t="n"/>
      <c r="G81" s="9" t="n"/>
      <c r="H81" s="10" t="n"/>
      <c r="I81" s="9" t="n"/>
      <c r="J81" s="11">
        <f>IF(F81="","",MAX(0,MIN(1,(1-(CODE(UPPER(D81))-65)/5)*0.5+(1-(E81-1)/5)*0.3+MIN(N(H81),3)/3*0.2)))</f>
        <v/>
      </c>
      <c r="K81" s="7">
        <f>IF(F81="","",IF(LOWER(I81)&lt;&gt;"y","DISCARD (not lawful/ethical to use)",IF(J81&gt;=0.7,"record as context correction (W08) + intake evidence",IF(J81&gt;=0.4,"watch - seek corroboration","note only"))))</f>
        <v/>
      </c>
    </row>
    <row r="82">
      <c r="A82" s="8" t="n"/>
      <c r="B82" s="9" t="n"/>
      <c r="C82" s="9" t="n"/>
      <c r="D82" s="9" t="n"/>
      <c r="E82" s="10" t="n"/>
      <c r="F82" s="9" t="n"/>
      <c r="G82" s="9" t="n"/>
      <c r="H82" s="10" t="n"/>
      <c r="I82" s="9" t="n"/>
      <c r="J82" s="11">
        <f>IF(F82="","",MAX(0,MIN(1,(1-(CODE(UPPER(D82))-65)/5)*0.5+(1-(E82-1)/5)*0.3+MIN(N(H82),3)/3*0.2)))</f>
        <v/>
      </c>
      <c r="K82" s="7">
        <f>IF(F82="","",IF(LOWER(I82)&lt;&gt;"y","DISCARD (not lawful/ethical to use)",IF(J82&gt;=0.7,"record as context correction (W08) + intake evidence",IF(J82&gt;=0.4,"watch - seek corroboration","note only"))))</f>
        <v/>
      </c>
    </row>
    <row r="83">
      <c r="A83" s="8" t="n"/>
      <c r="B83" s="9" t="n"/>
      <c r="C83" s="9" t="n"/>
      <c r="D83" s="9" t="n"/>
      <c r="E83" s="10" t="n"/>
      <c r="F83" s="9" t="n"/>
      <c r="G83" s="9" t="n"/>
      <c r="H83" s="10" t="n"/>
      <c r="I83" s="9" t="n"/>
      <c r="J83" s="11">
        <f>IF(F83="","",MAX(0,MIN(1,(1-(CODE(UPPER(D83))-65)/5)*0.5+(1-(E83-1)/5)*0.3+MIN(N(H83),3)/3*0.2)))</f>
        <v/>
      </c>
      <c r="K83" s="7">
        <f>IF(F83="","",IF(LOWER(I83)&lt;&gt;"y","DISCARD (not lawful/ethical to use)",IF(J83&gt;=0.7,"record as context correction (W08) + intake evidence",IF(J83&gt;=0.4,"watch - seek corroboration","note only"))))</f>
        <v/>
      </c>
    </row>
    <row r="84">
      <c r="A84" s="8" t="n"/>
      <c r="B84" s="9" t="n"/>
      <c r="C84" s="9" t="n"/>
      <c r="D84" s="9" t="n"/>
      <c r="E84" s="10" t="n"/>
      <c r="F84" s="9" t="n"/>
      <c r="G84" s="9" t="n"/>
      <c r="H84" s="10" t="n"/>
      <c r="I84" s="9" t="n"/>
      <c r="J84" s="11">
        <f>IF(F84="","",MAX(0,MIN(1,(1-(CODE(UPPER(D84))-65)/5)*0.5+(1-(E84-1)/5)*0.3+MIN(N(H84),3)/3*0.2)))</f>
        <v/>
      </c>
      <c r="K84" s="7">
        <f>IF(F84="","",IF(LOWER(I84)&lt;&gt;"y","DISCARD (not lawful/ethical to use)",IF(J84&gt;=0.7,"record as context correction (W08) + intake evidence",IF(J84&gt;=0.4,"watch - seek corroboration","note only"))))</f>
        <v/>
      </c>
    </row>
    <row r="85">
      <c r="A85" s="8" t="n"/>
      <c r="B85" s="9" t="n"/>
      <c r="C85" s="9" t="n"/>
      <c r="D85" s="9" t="n"/>
      <c r="E85" s="10" t="n"/>
      <c r="F85" s="9" t="n"/>
      <c r="G85" s="9" t="n"/>
      <c r="H85" s="10" t="n"/>
      <c r="I85" s="9" t="n"/>
      <c r="J85" s="11">
        <f>IF(F85="","",MAX(0,MIN(1,(1-(CODE(UPPER(D85))-65)/5)*0.5+(1-(E85-1)/5)*0.3+MIN(N(H85),3)/3*0.2)))</f>
        <v/>
      </c>
      <c r="K85" s="7">
        <f>IF(F85="","",IF(LOWER(I85)&lt;&gt;"y","DISCARD (not lawful/ethical to use)",IF(J85&gt;=0.7,"record as context correction (W08) + intake evidence",IF(J85&gt;=0.4,"watch - seek corroboration","note only"))))</f>
        <v/>
      </c>
    </row>
    <row r="86">
      <c r="A86" s="8" t="n"/>
      <c r="B86" s="9" t="n"/>
      <c r="C86" s="9" t="n"/>
      <c r="D86" s="9" t="n"/>
      <c r="E86" s="10" t="n"/>
      <c r="F86" s="9" t="n"/>
      <c r="G86" s="9" t="n"/>
      <c r="H86" s="10" t="n"/>
      <c r="I86" s="9" t="n"/>
      <c r="J86" s="11">
        <f>IF(F86="","",MAX(0,MIN(1,(1-(CODE(UPPER(D86))-65)/5)*0.5+(1-(E86-1)/5)*0.3+MIN(N(H86),3)/3*0.2)))</f>
        <v/>
      </c>
      <c r="K86" s="7">
        <f>IF(F86="","",IF(LOWER(I86)&lt;&gt;"y","DISCARD (not lawful/ethical to use)",IF(J86&gt;=0.7,"record as context correction (W08) + intake evidence",IF(J86&gt;=0.4,"watch - seek corroboration","note only"))))</f>
        <v/>
      </c>
    </row>
    <row r="87">
      <c r="A87" s="8" t="n"/>
      <c r="B87" s="9" t="n"/>
      <c r="C87" s="9" t="n"/>
      <c r="D87" s="9" t="n"/>
      <c r="E87" s="10" t="n"/>
      <c r="F87" s="9" t="n"/>
      <c r="G87" s="9" t="n"/>
      <c r="H87" s="10" t="n"/>
      <c r="I87" s="9" t="n"/>
      <c r="J87" s="11">
        <f>IF(F87="","",MAX(0,MIN(1,(1-(CODE(UPPER(D87))-65)/5)*0.5+(1-(E87-1)/5)*0.3+MIN(N(H87),3)/3*0.2)))</f>
        <v/>
      </c>
      <c r="K87" s="7">
        <f>IF(F87="","",IF(LOWER(I87)&lt;&gt;"y","DISCARD (not lawful/ethical to use)",IF(J87&gt;=0.7,"record as context correction (W08) + intake evidence",IF(J87&gt;=0.4,"watch - seek corroboration","note only"))))</f>
        <v/>
      </c>
    </row>
    <row r="88">
      <c r="A88" s="8" t="n"/>
      <c r="B88" s="9" t="n"/>
      <c r="C88" s="9" t="n"/>
      <c r="D88" s="9" t="n"/>
      <c r="E88" s="10" t="n"/>
      <c r="F88" s="9" t="n"/>
      <c r="G88" s="9" t="n"/>
      <c r="H88" s="10" t="n"/>
      <c r="I88" s="9" t="n"/>
      <c r="J88" s="11">
        <f>IF(F88="","",MAX(0,MIN(1,(1-(CODE(UPPER(D88))-65)/5)*0.5+(1-(E88-1)/5)*0.3+MIN(N(H88),3)/3*0.2)))</f>
        <v/>
      </c>
      <c r="K88" s="7">
        <f>IF(F88="","",IF(LOWER(I88)&lt;&gt;"y","DISCARD (not lawful/ethical to use)",IF(J88&gt;=0.7,"record as context correction (W08) + intake evidence",IF(J88&gt;=0.4,"watch - seek corroboration","note only"))))</f>
        <v/>
      </c>
    </row>
    <row r="89">
      <c r="A89" s="8" t="n"/>
      <c r="B89" s="9" t="n"/>
      <c r="C89" s="9" t="n"/>
      <c r="D89" s="9" t="n"/>
      <c r="E89" s="10" t="n"/>
      <c r="F89" s="9" t="n"/>
      <c r="G89" s="9" t="n"/>
      <c r="H89" s="10" t="n"/>
      <c r="I89" s="9" t="n"/>
      <c r="J89" s="11">
        <f>IF(F89="","",MAX(0,MIN(1,(1-(CODE(UPPER(D89))-65)/5)*0.5+(1-(E89-1)/5)*0.3+MIN(N(H89),3)/3*0.2)))</f>
        <v/>
      </c>
      <c r="K89" s="7">
        <f>IF(F89="","",IF(LOWER(I89)&lt;&gt;"y","DISCARD (not lawful/ethical to use)",IF(J89&gt;=0.7,"record as context correction (W08) + intake evidence",IF(J89&gt;=0.4,"watch - seek corroboration","note only"))))</f>
        <v/>
      </c>
    </row>
    <row r="90">
      <c r="A90" s="8" t="n"/>
      <c r="B90" s="9" t="n"/>
      <c r="C90" s="9" t="n"/>
      <c r="D90" s="9" t="n"/>
      <c r="E90" s="10" t="n"/>
      <c r="F90" s="9" t="n"/>
      <c r="G90" s="9" t="n"/>
      <c r="H90" s="10" t="n"/>
      <c r="I90" s="9" t="n"/>
      <c r="J90" s="11">
        <f>IF(F90="","",MAX(0,MIN(1,(1-(CODE(UPPER(D90))-65)/5)*0.5+(1-(E90-1)/5)*0.3+MIN(N(H90),3)/3*0.2)))</f>
        <v/>
      </c>
      <c r="K90" s="7">
        <f>IF(F90="","",IF(LOWER(I90)&lt;&gt;"y","DISCARD (not lawful/ethical to use)",IF(J90&gt;=0.7,"record as context correction (W08) + intake evidence",IF(J90&gt;=0.4,"watch - seek corroboration","note only"))))</f>
        <v/>
      </c>
    </row>
    <row r="91">
      <c r="A91" s="8" t="n"/>
      <c r="B91" s="9" t="n"/>
      <c r="C91" s="9" t="n"/>
      <c r="D91" s="9" t="n"/>
      <c r="E91" s="10" t="n"/>
      <c r="F91" s="9" t="n"/>
      <c r="G91" s="9" t="n"/>
      <c r="H91" s="10" t="n"/>
      <c r="I91" s="9" t="n"/>
      <c r="J91" s="11">
        <f>IF(F91="","",MAX(0,MIN(1,(1-(CODE(UPPER(D91))-65)/5)*0.5+(1-(E91-1)/5)*0.3+MIN(N(H91),3)/3*0.2)))</f>
        <v/>
      </c>
      <c r="K91" s="7">
        <f>IF(F91="","",IF(LOWER(I91)&lt;&gt;"y","DISCARD (not lawful/ethical to use)",IF(J91&gt;=0.7,"record as context correction (W08) + intake evidence",IF(J91&gt;=0.4,"watch - seek corroboration","note only"))))</f>
        <v/>
      </c>
    </row>
    <row r="92">
      <c r="A92" s="8" t="n"/>
      <c r="B92" s="9" t="n"/>
      <c r="C92" s="9" t="n"/>
      <c r="D92" s="9" t="n"/>
      <c r="E92" s="10" t="n"/>
      <c r="F92" s="9" t="n"/>
      <c r="G92" s="9" t="n"/>
      <c r="H92" s="10" t="n"/>
      <c r="I92" s="9" t="n"/>
      <c r="J92" s="11">
        <f>IF(F92="","",MAX(0,MIN(1,(1-(CODE(UPPER(D92))-65)/5)*0.5+(1-(E92-1)/5)*0.3+MIN(N(H92),3)/3*0.2)))</f>
        <v/>
      </c>
      <c r="K92" s="7">
        <f>IF(F92="","",IF(LOWER(I92)&lt;&gt;"y","DISCARD (not lawful/ethical to use)",IF(J92&gt;=0.7,"record as context correction (W08) + intake evidence",IF(J92&gt;=0.4,"watch - seek corroboration","note only"))))</f>
        <v/>
      </c>
    </row>
    <row r="93">
      <c r="A93" s="8" t="n"/>
      <c r="B93" s="9" t="n"/>
      <c r="C93" s="9" t="n"/>
      <c r="D93" s="9" t="n"/>
      <c r="E93" s="10" t="n"/>
      <c r="F93" s="9" t="n"/>
      <c r="G93" s="9" t="n"/>
      <c r="H93" s="10" t="n"/>
      <c r="I93" s="9" t="n"/>
      <c r="J93" s="11">
        <f>IF(F93="","",MAX(0,MIN(1,(1-(CODE(UPPER(D93))-65)/5)*0.5+(1-(E93-1)/5)*0.3+MIN(N(H93),3)/3*0.2)))</f>
        <v/>
      </c>
      <c r="K93" s="7">
        <f>IF(F93="","",IF(LOWER(I93)&lt;&gt;"y","DISCARD (not lawful/ethical to use)",IF(J93&gt;=0.7,"record as context correction (W08) + intake evidence",IF(J93&gt;=0.4,"watch - seek corroboration","note only"))))</f>
        <v/>
      </c>
    </row>
    <row r="94">
      <c r="A94" s="8" t="n"/>
      <c r="B94" s="9" t="n"/>
      <c r="C94" s="9" t="n"/>
      <c r="D94" s="9" t="n"/>
      <c r="E94" s="10" t="n"/>
      <c r="F94" s="9" t="n"/>
      <c r="G94" s="9" t="n"/>
      <c r="H94" s="10" t="n"/>
      <c r="I94" s="9" t="n"/>
      <c r="J94" s="11">
        <f>IF(F94="","",MAX(0,MIN(1,(1-(CODE(UPPER(D94))-65)/5)*0.5+(1-(E94-1)/5)*0.3+MIN(N(H94),3)/3*0.2)))</f>
        <v/>
      </c>
      <c r="K94" s="7">
        <f>IF(F94="","",IF(LOWER(I94)&lt;&gt;"y","DISCARD (not lawful/ethical to use)",IF(J94&gt;=0.7,"record as context correction (W08) + intake evidence",IF(J94&gt;=0.4,"watch - seek corroboration","note only"))))</f>
        <v/>
      </c>
    </row>
    <row r="95">
      <c r="A95" s="8" t="n"/>
      <c r="B95" s="9" t="n"/>
      <c r="C95" s="9" t="n"/>
      <c r="D95" s="9" t="n"/>
      <c r="E95" s="10" t="n"/>
      <c r="F95" s="9" t="n"/>
      <c r="G95" s="9" t="n"/>
      <c r="H95" s="10" t="n"/>
      <c r="I95" s="9" t="n"/>
      <c r="J95" s="11">
        <f>IF(F95="","",MAX(0,MIN(1,(1-(CODE(UPPER(D95))-65)/5)*0.5+(1-(E95-1)/5)*0.3+MIN(N(H95),3)/3*0.2)))</f>
        <v/>
      </c>
      <c r="K95" s="7">
        <f>IF(F95="","",IF(LOWER(I95)&lt;&gt;"y","DISCARD (not lawful/ethical to use)",IF(J95&gt;=0.7,"record as context correction (W08) + intake evidence",IF(J95&gt;=0.4,"watch - seek corroboration","note only"))))</f>
        <v/>
      </c>
    </row>
    <row r="96">
      <c r="A96" s="8" t="n"/>
      <c r="B96" s="9" t="n"/>
      <c r="C96" s="9" t="n"/>
      <c r="D96" s="9" t="n"/>
      <c r="E96" s="10" t="n"/>
      <c r="F96" s="9" t="n"/>
      <c r="G96" s="9" t="n"/>
      <c r="H96" s="10" t="n"/>
      <c r="I96" s="9" t="n"/>
      <c r="J96" s="11">
        <f>IF(F96="","",MAX(0,MIN(1,(1-(CODE(UPPER(D96))-65)/5)*0.5+(1-(E96-1)/5)*0.3+MIN(N(H96),3)/3*0.2)))</f>
        <v/>
      </c>
      <c r="K96" s="7">
        <f>IF(F96="","",IF(LOWER(I96)&lt;&gt;"y","DISCARD (not lawful/ethical to use)",IF(J96&gt;=0.7,"record as context correction (W08) + intake evidence",IF(J96&gt;=0.4,"watch - seek corroboration","note only"))))</f>
        <v/>
      </c>
    </row>
    <row r="97">
      <c r="A97" s="8" t="n"/>
      <c r="B97" s="9" t="n"/>
      <c r="C97" s="9" t="n"/>
      <c r="D97" s="9" t="n"/>
      <c r="E97" s="10" t="n"/>
      <c r="F97" s="9" t="n"/>
      <c r="G97" s="9" t="n"/>
      <c r="H97" s="10" t="n"/>
      <c r="I97" s="9" t="n"/>
      <c r="J97" s="11">
        <f>IF(F97="","",MAX(0,MIN(1,(1-(CODE(UPPER(D97))-65)/5)*0.5+(1-(E97-1)/5)*0.3+MIN(N(H97),3)/3*0.2)))</f>
        <v/>
      </c>
      <c r="K97" s="7">
        <f>IF(F97="","",IF(LOWER(I97)&lt;&gt;"y","DISCARD (not lawful/ethical to use)",IF(J97&gt;=0.7,"record as context correction (W08) + intake evidence",IF(J97&gt;=0.4,"watch - seek corroboration","note only"))))</f>
        <v/>
      </c>
    </row>
    <row r="98">
      <c r="A98" s="8" t="n"/>
      <c r="B98" s="9" t="n"/>
      <c r="C98" s="9" t="n"/>
      <c r="D98" s="9" t="n"/>
      <c r="E98" s="10" t="n"/>
      <c r="F98" s="9" t="n"/>
      <c r="G98" s="9" t="n"/>
      <c r="H98" s="10" t="n"/>
      <c r="I98" s="9" t="n"/>
      <c r="J98" s="11">
        <f>IF(F98="","",MAX(0,MIN(1,(1-(CODE(UPPER(D98))-65)/5)*0.5+(1-(E98-1)/5)*0.3+MIN(N(H98),3)/3*0.2)))</f>
        <v/>
      </c>
      <c r="K98" s="7">
        <f>IF(F98="","",IF(LOWER(I98)&lt;&gt;"y","DISCARD (not lawful/ethical to use)",IF(J98&gt;=0.7,"record as context correction (W08) + intake evidence",IF(J98&gt;=0.4,"watch - seek corroboration","note only"))))</f>
        <v/>
      </c>
    </row>
    <row r="99">
      <c r="A99" s="8" t="n"/>
      <c r="B99" s="9" t="n"/>
      <c r="C99" s="9" t="n"/>
      <c r="D99" s="9" t="n"/>
      <c r="E99" s="10" t="n"/>
      <c r="F99" s="9" t="n"/>
      <c r="G99" s="9" t="n"/>
      <c r="H99" s="10" t="n"/>
      <c r="I99" s="9" t="n"/>
      <c r="J99" s="11">
        <f>IF(F99="","",MAX(0,MIN(1,(1-(CODE(UPPER(D99))-65)/5)*0.5+(1-(E99-1)/5)*0.3+MIN(N(H99),3)/3*0.2)))</f>
        <v/>
      </c>
      <c r="K99" s="7">
        <f>IF(F99="","",IF(LOWER(I99)&lt;&gt;"y","DISCARD (not lawful/ethical to use)",IF(J99&gt;=0.7,"record as context correction (W08) + intake evidence",IF(J99&gt;=0.4,"watch - seek corroboration","note only"))))</f>
        <v/>
      </c>
    </row>
    <row r="100">
      <c r="A100" s="8" t="n"/>
      <c r="B100" s="9" t="n"/>
      <c r="C100" s="9" t="n"/>
      <c r="D100" s="9" t="n"/>
      <c r="E100" s="10" t="n"/>
      <c r="F100" s="9" t="n"/>
      <c r="G100" s="9" t="n"/>
      <c r="H100" s="10" t="n"/>
      <c r="I100" s="9" t="n"/>
      <c r="J100" s="11">
        <f>IF(F100="","",MAX(0,MIN(1,(1-(CODE(UPPER(D100))-65)/5)*0.5+(1-(E100-1)/5)*0.3+MIN(N(H100),3)/3*0.2)))</f>
        <v/>
      </c>
      <c r="K100" s="7">
        <f>IF(F100="","",IF(LOWER(I100)&lt;&gt;"y","DISCARD (not lawful/ethical to use)",IF(J100&gt;=0.7,"record as context correction (W08) + intake evidence",IF(J100&gt;=0.4,"watch - seek corroboration","note only"))))</f>
        <v/>
      </c>
    </row>
    <row r="101">
      <c r="A101" s="8" t="n"/>
      <c r="B101" s="9" t="n"/>
      <c r="C101" s="9" t="n"/>
      <c r="D101" s="9" t="n"/>
      <c r="E101" s="10" t="n"/>
      <c r="F101" s="9" t="n"/>
      <c r="G101" s="9" t="n"/>
      <c r="H101" s="10" t="n"/>
      <c r="I101" s="9" t="n"/>
      <c r="J101" s="11">
        <f>IF(F101="","",MAX(0,MIN(1,(1-(CODE(UPPER(D101))-65)/5)*0.5+(1-(E101-1)/5)*0.3+MIN(N(H101),3)/3*0.2)))</f>
        <v/>
      </c>
      <c r="K101" s="7">
        <f>IF(F101="","",IF(LOWER(I101)&lt;&gt;"y","DISCARD (not lawful/ethical to use)",IF(J101&gt;=0.7,"record as context correction (W08) + intake evidence",IF(J101&gt;=0.4,"watch - seek corroboration","note only"))))</f>
        <v/>
      </c>
    </row>
    <row r="102">
      <c r="A102" s="8" t="n"/>
      <c r="B102" s="9" t="n"/>
      <c r="C102" s="9" t="n"/>
      <c r="D102" s="9" t="n"/>
      <c r="E102" s="10" t="n"/>
      <c r="F102" s="9" t="n"/>
      <c r="G102" s="9" t="n"/>
      <c r="H102" s="10" t="n"/>
      <c r="I102" s="9" t="n"/>
      <c r="J102" s="11">
        <f>IF(F102="","",MAX(0,MIN(1,(1-(CODE(UPPER(D102))-65)/5)*0.5+(1-(E102-1)/5)*0.3+MIN(N(H102),3)/3*0.2)))</f>
        <v/>
      </c>
      <c r="K102" s="7">
        <f>IF(F102="","",IF(LOWER(I102)&lt;&gt;"y","DISCARD (not lawful/ethical to use)",IF(J102&gt;=0.7,"record as context correction (W08) + intake evidence",IF(J102&gt;=0.4,"watch - seek corroboration","note only"))))</f>
        <v/>
      </c>
    </row>
    <row r="103">
      <c r="A103" s="8" t="n"/>
      <c r="B103" s="9" t="n"/>
      <c r="C103" s="9" t="n"/>
      <c r="D103" s="9" t="n"/>
      <c r="E103" s="10" t="n"/>
      <c r="F103" s="9" t="n"/>
      <c r="G103" s="9" t="n"/>
      <c r="H103" s="10" t="n"/>
      <c r="I103" s="9" t="n"/>
      <c r="J103" s="11">
        <f>IF(F103="","",MAX(0,MIN(1,(1-(CODE(UPPER(D103))-65)/5)*0.5+(1-(E103-1)/5)*0.3+MIN(N(H103),3)/3*0.2)))</f>
        <v/>
      </c>
      <c r="K103" s="7">
        <f>IF(F103="","",IF(LOWER(I103)&lt;&gt;"y","DISCARD (not lawful/ethical to use)",IF(J103&gt;=0.7,"record as context correction (W08) + intake evidence",IF(J103&gt;=0.4,"watch - seek corroboration","note only"))))</f>
        <v/>
      </c>
    </row>
    <row r="104">
      <c r="A104" s="8" t="n"/>
      <c r="B104" s="9" t="n"/>
      <c r="C104" s="9" t="n"/>
      <c r="D104" s="9" t="n"/>
      <c r="E104" s="10" t="n"/>
      <c r="F104" s="9" t="n"/>
      <c r="G104" s="9" t="n"/>
      <c r="H104" s="10" t="n"/>
      <c r="I104" s="9" t="n"/>
      <c r="J104" s="11">
        <f>IF(F104="","",MAX(0,MIN(1,(1-(CODE(UPPER(D104))-65)/5)*0.5+(1-(E104-1)/5)*0.3+MIN(N(H104),3)/3*0.2)))</f>
        <v/>
      </c>
      <c r="K104" s="7">
        <f>IF(F104="","",IF(LOWER(I104)&lt;&gt;"y","DISCARD (not lawful/ethical to use)",IF(J104&gt;=0.7,"record as context correction (W08) + intake evidence",IF(J104&gt;=0.4,"watch - seek corroboration","note only"))))</f>
        <v/>
      </c>
    </row>
    <row r="105">
      <c r="A105" s="8" t="n"/>
      <c r="B105" s="9" t="n"/>
      <c r="C105" s="9" t="n"/>
      <c r="D105" s="9" t="n"/>
      <c r="E105" s="10" t="n"/>
      <c r="F105" s="9" t="n"/>
      <c r="G105" s="9" t="n"/>
      <c r="H105" s="10" t="n"/>
      <c r="I105" s="9" t="n"/>
      <c r="J105" s="11">
        <f>IF(F105="","",MAX(0,MIN(1,(1-(CODE(UPPER(D105))-65)/5)*0.5+(1-(E105-1)/5)*0.3+MIN(N(H105),3)/3*0.2)))</f>
        <v/>
      </c>
      <c r="K105" s="7">
        <f>IF(F105="","",IF(LOWER(I105)&lt;&gt;"y","DISCARD (not lawful/ethical to use)",IF(J105&gt;=0.7,"record as context correction (W08) + intake evidence",IF(J105&gt;=0.4,"watch - seek corroboration","note only"))))</f>
        <v/>
      </c>
    </row>
    <row r="106">
      <c r="A106" s="8" t="n"/>
      <c r="B106" s="9" t="n"/>
      <c r="C106" s="9" t="n"/>
      <c r="D106" s="9" t="n"/>
      <c r="E106" s="10" t="n"/>
      <c r="F106" s="9" t="n"/>
      <c r="G106" s="9" t="n"/>
      <c r="H106" s="10" t="n"/>
      <c r="I106" s="9" t="n"/>
      <c r="J106" s="11">
        <f>IF(F106="","",MAX(0,MIN(1,(1-(CODE(UPPER(D106))-65)/5)*0.5+(1-(E106-1)/5)*0.3+MIN(N(H106),3)/3*0.2)))</f>
        <v/>
      </c>
      <c r="K106" s="7">
        <f>IF(F106="","",IF(LOWER(I106)&lt;&gt;"y","DISCARD (not lawful/ethical to use)",IF(J106&gt;=0.7,"record as context correction (W08) + intake evidence",IF(J106&gt;=0.4,"watch - seek corroboration","note only"))))</f>
        <v/>
      </c>
    </row>
    <row r="107">
      <c r="A107" s="8" t="n"/>
      <c r="B107" s="9" t="n"/>
      <c r="C107" s="9" t="n"/>
      <c r="D107" s="9" t="n"/>
      <c r="E107" s="10" t="n"/>
      <c r="F107" s="9" t="n"/>
      <c r="G107" s="9" t="n"/>
      <c r="H107" s="10" t="n"/>
      <c r="I107" s="9" t="n"/>
      <c r="J107" s="11">
        <f>IF(F107="","",MAX(0,MIN(1,(1-(CODE(UPPER(D107))-65)/5)*0.5+(1-(E107-1)/5)*0.3+MIN(N(H107),3)/3*0.2)))</f>
        <v/>
      </c>
      <c r="K107" s="7">
        <f>IF(F107="","",IF(LOWER(I107)&lt;&gt;"y","DISCARD (not lawful/ethical to use)",IF(J107&gt;=0.7,"record as context correction (W08) + intake evidence",IF(J107&gt;=0.4,"watch - seek corroboration","note only"))))</f>
        <v/>
      </c>
    </row>
    <row r="108">
      <c r="A108" s="8" t="n"/>
      <c r="B108" s="9" t="n"/>
      <c r="C108" s="9" t="n"/>
      <c r="D108" s="9" t="n"/>
      <c r="E108" s="10" t="n"/>
      <c r="F108" s="9" t="n"/>
      <c r="G108" s="9" t="n"/>
      <c r="H108" s="10" t="n"/>
      <c r="I108" s="9" t="n"/>
      <c r="J108" s="11">
        <f>IF(F108="","",MAX(0,MIN(1,(1-(CODE(UPPER(D108))-65)/5)*0.5+(1-(E108-1)/5)*0.3+MIN(N(H108),3)/3*0.2)))</f>
        <v/>
      </c>
      <c r="K108" s="7">
        <f>IF(F108="","",IF(LOWER(I108)&lt;&gt;"y","DISCARD (not lawful/ethical to use)",IF(J108&gt;=0.7,"record as context correction (W08) + intake evidence",IF(J108&gt;=0.4,"watch - seek corroboration","note only"))))</f>
        <v/>
      </c>
    </row>
    <row r="109">
      <c r="A109" s="8" t="n"/>
      <c r="B109" s="9" t="n"/>
      <c r="C109" s="9" t="n"/>
      <c r="D109" s="9" t="n"/>
      <c r="E109" s="10" t="n"/>
      <c r="F109" s="9" t="n"/>
      <c r="G109" s="9" t="n"/>
      <c r="H109" s="10" t="n"/>
      <c r="I109" s="9" t="n"/>
      <c r="J109" s="11">
        <f>IF(F109="","",MAX(0,MIN(1,(1-(CODE(UPPER(D109))-65)/5)*0.5+(1-(E109-1)/5)*0.3+MIN(N(H109),3)/3*0.2)))</f>
        <v/>
      </c>
      <c r="K109" s="7">
        <f>IF(F109="","",IF(LOWER(I109)&lt;&gt;"y","DISCARD (not lawful/ethical to use)",IF(J109&gt;=0.7,"record as context correction (W08) + intake evidence",IF(J109&gt;=0.4,"watch - seek corroboration","note only"))))</f>
        <v/>
      </c>
    </row>
    <row r="110">
      <c r="A110" s="8" t="n"/>
      <c r="B110" s="9" t="n"/>
      <c r="C110" s="9" t="n"/>
      <c r="D110" s="9" t="n"/>
      <c r="E110" s="10" t="n"/>
      <c r="F110" s="9" t="n"/>
      <c r="G110" s="9" t="n"/>
      <c r="H110" s="10" t="n"/>
      <c r="I110" s="9" t="n"/>
      <c r="J110" s="11">
        <f>IF(F110="","",MAX(0,MIN(1,(1-(CODE(UPPER(D110))-65)/5)*0.5+(1-(E110-1)/5)*0.3+MIN(N(H110),3)/3*0.2)))</f>
        <v/>
      </c>
      <c r="K110" s="7">
        <f>IF(F110="","",IF(LOWER(I110)&lt;&gt;"y","DISCARD (not lawful/ethical to use)",IF(J110&gt;=0.7,"record as context correction (W08) + intake evidence",IF(J110&gt;=0.4,"watch - seek corroboration","note only"))))</f>
        <v/>
      </c>
    </row>
    <row r="111">
      <c r="A111" s="8" t="n"/>
      <c r="B111" s="9" t="n"/>
      <c r="C111" s="9" t="n"/>
      <c r="D111" s="9" t="n"/>
      <c r="E111" s="10" t="n"/>
      <c r="F111" s="9" t="n"/>
      <c r="G111" s="9" t="n"/>
      <c r="H111" s="10" t="n"/>
      <c r="I111" s="9" t="n"/>
      <c r="J111" s="11">
        <f>IF(F111="","",MAX(0,MIN(1,(1-(CODE(UPPER(D111))-65)/5)*0.5+(1-(E111-1)/5)*0.3+MIN(N(H111),3)/3*0.2)))</f>
        <v/>
      </c>
      <c r="K111" s="7">
        <f>IF(F111="","",IF(LOWER(I111)&lt;&gt;"y","DISCARD (not lawful/ethical to use)",IF(J111&gt;=0.7,"record as context correction (W08) + intake evidence",IF(J111&gt;=0.4,"watch - seek corroboration","note only"))))</f>
        <v/>
      </c>
    </row>
    <row r="112">
      <c r="A112" s="8" t="n"/>
      <c r="B112" s="9" t="n"/>
      <c r="C112" s="9" t="n"/>
      <c r="D112" s="9" t="n"/>
      <c r="E112" s="10" t="n"/>
      <c r="F112" s="9" t="n"/>
      <c r="G112" s="9" t="n"/>
      <c r="H112" s="10" t="n"/>
      <c r="I112" s="9" t="n"/>
      <c r="J112" s="11">
        <f>IF(F112="","",MAX(0,MIN(1,(1-(CODE(UPPER(D112))-65)/5)*0.5+(1-(E112-1)/5)*0.3+MIN(N(H112),3)/3*0.2)))</f>
        <v/>
      </c>
      <c r="K112" s="7">
        <f>IF(F112="","",IF(LOWER(I112)&lt;&gt;"y","DISCARD (not lawful/ethical to use)",IF(J112&gt;=0.7,"record as context correction (W08) + intake evidence",IF(J112&gt;=0.4,"watch - seek corroboration","note only"))))</f>
        <v/>
      </c>
    </row>
    <row r="113">
      <c r="A113" s="8" t="n"/>
      <c r="B113" s="9" t="n"/>
      <c r="C113" s="9" t="n"/>
      <c r="D113" s="9" t="n"/>
      <c r="E113" s="10" t="n"/>
      <c r="F113" s="9" t="n"/>
      <c r="G113" s="9" t="n"/>
      <c r="H113" s="10" t="n"/>
      <c r="I113" s="9" t="n"/>
      <c r="J113" s="11">
        <f>IF(F113="","",MAX(0,MIN(1,(1-(CODE(UPPER(D113))-65)/5)*0.5+(1-(E113-1)/5)*0.3+MIN(N(H113),3)/3*0.2)))</f>
        <v/>
      </c>
      <c r="K113" s="7">
        <f>IF(F113="","",IF(LOWER(I113)&lt;&gt;"y","DISCARD (not lawful/ethical to use)",IF(J113&gt;=0.7,"record as context correction (W08) + intake evidence",IF(J113&gt;=0.4,"watch - seek corroboration","note only"))))</f>
        <v/>
      </c>
    </row>
    <row r="114">
      <c r="A114" s="8" t="n"/>
      <c r="B114" s="9" t="n"/>
      <c r="C114" s="9" t="n"/>
      <c r="D114" s="9" t="n"/>
      <c r="E114" s="10" t="n"/>
      <c r="F114" s="9" t="n"/>
      <c r="G114" s="9" t="n"/>
      <c r="H114" s="10" t="n"/>
      <c r="I114" s="9" t="n"/>
      <c r="J114" s="11">
        <f>IF(F114="","",MAX(0,MIN(1,(1-(CODE(UPPER(D114))-65)/5)*0.5+(1-(E114-1)/5)*0.3+MIN(N(H114),3)/3*0.2)))</f>
        <v/>
      </c>
      <c r="K114" s="7">
        <f>IF(F114="","",IF(LOWER(I114)&lt;&gt;"y","DISCARD (not lawful/ethical to use)",IF(J114&gt;=0.7,"record as context correction (W08) + intake evidence",IF(J114&gt;=0.4,"watch - seek corroboration","note only"))))</f>
        <v/>
      </c>
    </row>
    <row r="115">
      <c r="A115" s="8" t="n"/>
      <c r="B115" s="9" t="n"/>
      <c r="C115" s="9" t="n"/>
      <c r="D115" s="9" t="n"/>
      <c r="E115" s="10" t="n"/>
      <c r="F115" s="9" t="n"/>
      <c r="G115" s="9" t="n"/>
      <c r="H115" s="10" t="n"/>
      <c r="I115" s="9" t="n"/>
      <c r="J115" s="11">
        <f>IF(F115="","",MAX(0,MIN(1,(1-(CODE(UPPER(D115))-65)/5)*0.5+(1-(E115-1)/5)*0.3+MIN(N(H115),3)/3*0.2)))</f>
        <v/>
      </c>
      <c r="K115" s="7">
        <f>IF(F115="","",IF(LOWER(I115)&lt;&gt;"y","DISCARD (not lawful/ethical to use)",IF(J115&gt;=0.7,"record as context correction (W08) + intake evidence",IF(J115&gt;=0.4,"watch - seek corroboration","note only"))))</f>
        <v/>
      </c>
    </row>
    <row r="116">
      <c r="A116" s="8" t="n"/>
      <c r="B116" s="9" t="n"/>
      <c r="C116" s="9" t="n"/>
      <c r="D116" s="9" t="n"/>
      <c r="E116" s="10" t="n"/>
      <c r="F116" s="9" t="n"/>
      <c r="G116" s="9" t="n"/>
      <c r="H116" s="10" t="n"/>
      <c r="I116" s="9" t="n"/>
      <c r="J116" s="11">
        <f>IF(F116="","",MAX(0,MIN(1,(1-(CODE(UPPER(D116))-65)/5)*0.5+(1-(E116-1)/5)*0.3+MIN(N(H116),3)/3*0.2)))</f>
        <v/>
      </c>
      <c r="K116" s="7">
        <f>IF(F116="","",IF(LOWER(I116)&lt;&gt;"y","DISCARD (not lawful/ethical to use)",IF(J116&gt;=0.7,"record as context correction (W08) + intake evidence",IF(J116&gt;=0.4,"watch - seek corroboration","note only"))))</f>
        <v/>
      </c>
    </row>
    <row r="117">
      <c r="A117" s="8" t="n"/>
      <c r="B117" s="9" t="n"/>
      <c r="C117" s="9" t="n"/>
      <c r="D117" s="9" t="n"/>
      <c r="E117" s="10" t="n"/>
      <c r="F117" s="9" t="n"/>
      <c r="G117" s="9" t="n"/>
      <c r="H117" s="10" t="n"/>
      <c r="I117" s="9" t="n"/>
      <c r="J117" s="11">
        <f>IF(F117="","",MAX(0,MIN(1,(1-(CODE(UPPER(D117))-65)/5)*0.5+(1-(E117-1)/5)*0.3+MIN(N(H117),3)/3*0.2)))</f>
        <v/>
      </c>
      <c r="K117" s="7">
        <f>IF(F117="","",IF(LOWER(I117)&lt;&gt;"y","DISCARD (not lawful/ethical to use)",IF(J117&gt;=0.7,"record as context correction (W08) + intake evidence",IF(J117&gt;=0.4,"watch - seek corroboration","note only"))))</f>
        <v/>
      </c>
    </row>
    <row r="118">
      <c r="A118" s="8" t="n"/>
      <c r="B118" s="9" t="n"/>
      <c r="C118" s="9" t="n"/>
      <c r="D118" s="9" t="n"/>
      <c r="E118" s="10" t="n"/>
      <c r="F118" s="9" t="n"/>
      <c r="G118" s="9" t="n"/>
      <c r="H118" s="10" t="n"/>
      <c r="I118" s="9" t="n"/>
      <c r="J118" s="11">
        <f>IF(F118="","",MAX(0,MIN(1,(1-(CODE(UPPER(D118))-65)/5)*0.5+(1-(E118-1)/5)*0.3+MIN(N(H118),3)/3*0.2)))</f>
        <v/>
      </c>
      <c r="K118" s="7">
        <f>IF(F118="","",IF(LOWER(I118)&lt;&gt;"y","DISCARD (not lawful/ethical to use)",IF(J118&gt;=0.7,"record as context correction (W08) + intake evidence",IF(J118&gt;=0.4,"watch - seek corroboration","note only"))))</f>
        <v/>
      </c>
    </row>
    <row r="119">
      <c r="A119" s="8" t="n"/>
      <c r="B119" s="9" t="n"/>
      <c r="C119" s="9" t="n"/>
      <c r="D119" s="9" t="n"/>
      <c r="E119" s="10" t="n"/>
      <c r="F119" s="9" t="n"/>
      <c r="G119" s="9" t="n"/>
      <c r="H119" s="10" t="n"/>
      <c r="I119" s="9" t="n"/>
      <c r="J119" s="11">
        <f>IF(F119="","",MAX(0,MIN(1,(1-(CODE(UPPER(D119))-65)/5)*0.5+(1-(E119-1)/5)*0.3+MIN(N(H119),3)/3*0.2)))</f>
        <v/>
      </c>
      <c r="K119" s="7">
        <f>IF(F119="","",IF(LOWER(I119)&lt;&gt;"y","DISCARD (not lawful/ethical to use)",IF(J119&gt;=0.7,"record as context correction (W08) + intake evidence",IF(J119&gt;=0.4,"watch - seek corroboration","note only"))))</f>
        <v/>
      </c>
    </row>
    <row r="120">
      <c r="A120" s="8" t="n"/>
      <c r="B120" s="9" t="n"/>
      <c r="C120" s="9" t="n"/>
      <c r="D120" s="9" t="n"/>
      <c r="E120" s="10" t="n"/>
      <c r="F120" s="9" t="n"/>
      <c r="G120" s="9" t="n"/>
      <c r="H120" s="10" t="n"/>
      <c r="I120" s="9" t="n"/>
      <c r="J120" s="11">
        <f>IF(F120="","",MAX(0,MIN(1,(1-(CODE(UPPER(D120))-65)/5)*0.5+(1-(E120-1)/5)*0.3+MIN(N(H120),3)/3*0.2)))</f>
        <v/>
      </c>
      <c r="K120" s="7">
        <f>IF(F120="","",IF(LOWER(I120)&lt;&gt;"y","DISCARD (not lawful/ethical to use)",IF(J120&gt;=0.7,"record as context correction (W08) + intake evidence",IF(J120&gt;=0.4,"watch - seek corroboration","note only"))))</f>
        <v/>
      </c>
    </row>
    <row r="121">
      <c r="A121" s="8" t="n"/>
      <c r="B121" s="9" t="n"/>
      <c r="C121" s="9" t="n"/>
      <c r="D121" s="9" t="n"/>
      <c r="E121" s="10" t="n"/>
      <c r="F121" s="9" t="n"/>
      <c r="G121" s="9" t="n"/>
      <c r="H121" s="10" t="n"/>
      <c r="I121" s="9" t="n"/>
      <c r="J121" s="11">
        <f>IF(F121="","",MAX(0,MIN(1,(1-(CODE(UPPER(D121))-65)/5)*0.5+(1-(E121-1)/5)*0.3+MIN(N(H121),3)/3*0.2)))</f>
        <v/>
      </c>
      <c r="K121" s="7">
        <f>IF(F121="","",IF(LOWER(I121)&lt;&gt;"y","DISCARD (not lawful/ethical to use)",IF(J121&gt;=0.7,"record as context correction (W08) + intake evidence",IF(J121&gt;=0.4,"watch - seek corroboration","note only"))))</f>
        <v/>
      </c>
    </row>
    <row r="122">
      <c r="A122" s="8" t="n"/>
      <c r="B122" s="9" t="n"/>
      <c r="C122" s="9" t="n"/>
      <c r="D122" s="9" t="n"/>
      <c r="E122" s="10" t="n"/>
      <c r="F122" s="9" t="n"/>
      <c r="G122" s="9" t="n"/>
      <c r="H122" s="10" t="n"/>
      <c r="I122" s="9" t="n"/>
      <c r="J122" s="11">
        <f>IF(F122="","",MAX(0,MIN(1,(1-(CODE(UPPER(D122))-65)/5)*0.5+(1-(E122-1)/5)*0.3+MIN(N(H122),3)/3*0.2)))</f>
        <v/>
      </c>
      <c r="K122" s="7">
        <f>IF(F122="","",IF(LOWER(I122)&lt;&gt;"y","DISCARD (not lawful/ethical to use)",IF(J122&gt;=0.7,"record as context correction (W08) + intake evidence",IF(J122&gt;=0.4,"watch - seek corroboration","note only"))))</f>
        <v/>
      </c>
    </row>
    <row r="123">
      <c r="A123" s="8" t="n"/>
      <c r="B123" s="9" t="n"/>
      <c r="C123" s="9" t="n"/>
      <c r="D123" s="9" t="n"/>
      <c r="E123" s="10" t="n"/>
      <c r="F123" s="9" t="n"/>
      <c r="G123" s="9" t="n"/>
      <c r="H123" s="10" t="n"/>
      <c r="I123" s="9" t="n"/>
      <c r="J123" s="11">
        <f>IF(F123="","",MAX(0,MIN(1,(1-(CODE(UPPER(D123))-65)/5)*0.5+(1-(E123-1)/5)*0.3+MIN(N(H123),3)/3*0.2)))</f>
        <v/>
      </c>
      <c r="K123" s="7">
        <f>IF(F123="","",IF(LOWER(I123)&lt;&gt;"y","DISCARD (not lawful/ethical to use)",IF(J123&gt;=0.7,"record as context correction (W08) + intake evidence",IF(J123&gt;=0.4,"watch - seek corroboration","note only"))))</f>
        <v/>
      </c>
    </row>
    <row r="124">
      <c r="A124" s="8" t="n"/>
      <c r="B124" s="9" t="n"/>
      <c r="C124" s="9" t="n"/>
      <c r="D124" s="9" t="n"/>
      <c r="E124" s="10" t="n"/>
      <c r="F124" s="9" t="n"/>
      <c r="G124" s="9" t="n"/>
      <c r="H124" s="10" t="n"/>
      <c r="I124" s="9" t="n"/>
      <c r="J124" s="11">
        <f>IF(F124="","",MAX(0,MIN(1,(1-(CODE(UPPER(D124))-65)/5)*0.5+(1-(E124-1)/5)*0.3+MIN(N(H124),3)/3*0.2)))</f>
        <v/>
      </c>
      <c r="K124" s="7">
        <f>IF(F124="","",IF(LOWER(I124)&lt;&gt;"y","DISCARD (not lawful/ethical to use)",IF(J124&gt;=0.7,"record as context correction (W08) + intake evidence",IF(J124&gt;=0.4,"watch - seek corroboration","note only"))))</f>
        <v/>
      </c>
    </row>
    <row r="125">
      <c r="A125" s="8" t="n"/>
      <c r="B125" s="9" t="n"/>
      <c r="C125" s="9" t="n"/>
      <c r="D125" s="9" t="n"/>
      <c r="E125" s="10" t="n"/>
      <c r="F125" s="9" t="n"/>
      <c r="G125" s="9" t="n"/>
      <c r="H125" s="10" t="n"/>
      <c r="I125" s="9" t="n"/>
      <c r="J125" s="11">
        <f>IF(F125="","",MAX(0,MIN(1,(1-(CODE(UPPER(D125))-65)/5)*0.5+(1-(E125-1)/5)*0.3+MIN(N(H125),3)/3*0.2)))</f>
        <v/>
      </c>
      <c r="K125" s="7">
        <f>IF(F125="","",IF(LOWER(I125)&lt;&gt;"y","DISCARD (not lawful/ethical to use)",IF(J125&gt;=0.7,"record as context correction (W08) + intake evidence",IF(J125&gt;=0.4,"watch - seek corroboration","note only"))))</f>
        <v/>
      </c>
    </row>
    <row r="126">
      <c r="A126" s="8" t="n"/>
      <c r="B126" s="9" t="n"/>
      <c r="C126" s="9" t="n"/>
      <c r="D126" s="9" t="n"/>
      <c r="E126" s="10" t="n"/>
      <c r="F126" s="9" t="n"/>
      <c r="G126" s="9" t="n"/>
      <c r="H126" s="10" t="n"/>
      <c r="I126" s="9" t="n"/>
      <c r="J126" s="11">
        <f>IF(F126="","",MAX(0,MIN(1,(1-(CODE(UPPER(D126))-65)/5)*0.5+(1-(E126-1)/5)*0.3+MIN(N(H126),3)/3*0.2)))</f>
        <v/>
      </c>
      <c r="K126" s="7">
        <f>IF(F126="","",IF(LOWER(I126)&lt;&gt;"y","DISCARD (not lawful/ethical to use)",IF(J126&gt;=0.7,"record as context correction (W08) + intake evidence",IF(J126&gt;=0.4,"watch - seek corroboration","note only"))))</f>
        <v/>
      </c>
    </row>
    <row r="127">
      <c r="A127" s="8" t="n"/>
      <c r="B127" s="9" t="n"/>
      <c r="C127" s="9" t="n"/>
      <c r="D127" s="9" t="n"/>
      <c r="E127" s="10" t="n"/>
      <c r="F127" s="9" t="n"/>
      <c r="G127" s="9" t="n"/>
      <c r="H127" s="10" t="n"/>
      <c r="I127" s="9" t="n"/>
      <c r="J127" s="11">
        <f>IF(F127="","",MAX(0,MIN(1,(1-(CODE(UPPER(D127))-65)/5)*0.5+(1-(E127-1)/5)*0.3+MIN(N(H127),3)/3*0.2)))</f>
        <v/>
      </c>
      <c r="K127" s="7">
        <f>IF(F127="","",IF(LOWER(I127)&lt;&gt;"y","DISCARD (not lawful/ethical to use)",IF(J127&gt;=0.7,"record as context correction (W08) + intake evidence",IF(J127&gt;=0.4,"watch - seek corroboration","note only"))))</f>
        <v/>
      </c>
    </row>
    <row r="128">
      <c r="A128" s="8" t="n"/>
      <c r="B128" s="9" t="n"/>
      <c r="C128" s="9" t="n"/>
      <c r="D128" s="9" t="n"/>
      <c r="E128" s="10" t="n"/>
      <c r="F128" s="9" t="n"/>
      <c r="G128" s="9" t="n"/>
      <c r="H128" s="10" t="n"/>
      <c r="I128" s="9" t="n"/>
      <c r="J128" s="11">
        <f>IF(F128="","",MAX(0,MIN(1,(1-(CODE(UPPER(D128))-65)/5)*0.5+(1-(E128-1)/5)*0.3+MIN(N(H128),3)/3*0.2)))</f>
        <v/>
      </c>
      <c r="K128" s="7">
        <f>IF(F128="","",IF(LOWER(I128)&lt;&gt;"y","DISCARD (not lawful/ethical to use)",IF(J128&gt;=0.7,"record as context correction (W08) + intake evidence",IF(J128&gt;=0.4,"watch - seek corroboration","note only"))))</f>
        <v/>
      </c>
    </row>
    <row r="129">
      <c r="A129" s="8" t="n"/>
      <c r="B129" s="9" t="n"/>
      <c r="C129" s="9" t="n"/>
      <c r="D129" s="9" t="n"/>
      <c r="E129" s="10" t="n"/>
      <c r="F129" s="9" t="n"/>
      <c r="G129" s="9" t="n"/>
      <c r="H129" s="10" t="n"/>
      <c r="I129" s="9" t="n"/>
      <c r="J129" s="11">
        <f>IF(F129="","",MAX(0,MIN(1,(1-(CODE(UPPER(D129))-65)/5)*0.5+(1-(E129-1)/5)*0.3+MIN(N(H129),3)/3*0.2)))</f>
        <v/>
      </c>
      <c r="K129" s="7">
        <f>IF(F129="","",IF(LOWER(I129)&lt;&gt;"y","DISCARD (not lawful/ethical to use)",IF(J129&gt;=0.7,"record as context correction (W08) + intake evidence",IF(J129&gt;=0.4,"watch - seek corroboration","note only"))))</f>
        <v/>
      </c>
    </row>
    <row r="130">
      <c r="A130" s="8" t="n"/>
      <c r="B130" s="9" t="n"/>
      <c r="C130" s="9" t="n"/>
      <c r="D130" s="9" t="n"/>
      <c r="E130" s="10" t="n"/>
      <c r="F130" s="9" t="n"/>
      <c r="G130" s="9" t="n"/>
      <c r="H130" s="10" t="n"/>
      <c r="I130" s="9" t="n"/>
      <c r="J130" s="11">
        <f>IF(F130="","",MAX(0,MIN(1,(1-(CODE(UPPER(D130))-65)/5)*0.5+(1-(E130-1)/5)*0.3+MIN(N(H130),3)/3*0.2)))</f>
        <v/>
      </c>
      <c r="K130" s="7">
        <f>IF(F130="","",IF(LOWER(I130)&lt;&gt;"y","DISCARD (not lawful/ethical to use)",IF(J130&gt;=0.7,"record as context correction (W08) + intake evidence",IF(J130&gt;=0.4,"watch - seek corroboration","note only"))))</f>
        <v/>
      </c>
    </row>
    <row r="131">
      <c r="A131" s="8" t="n"/>
      <c r="B131" s="9" t="n"/>
      <c r="C131" s="9" t="n"/>
      <c r="D131" s="9" t="n"/>
      <c r="E131" s="10" t="n"/>
      <c r="F131" s="9" t="n"/>
      <c r="G131" s="9" t="n"/>
      <c r="H131" s="10" t="n"/>
      <c r="I131" s="9" t="n"/>
      <c r="J131" s="11">
        <f>IF(F131="","",MAX(0,MIN(1,(1-(CODE(UPPER(D131))-65)/5)*0.5+(1-(E131-1)/5)*0.3+MIN(N(H131),3)/3*0.2)))</f>
        <v/>
      </c>
      <c r="K131" s="7">
        <f>IF(F131="","",IF(LOWER(I131)&lt;&gt;"y","DISCARD (not lawful/ethical to use)",IF(J131&gt;=0.7,"record as context correction (W08) + intake evidence",IF(J131&gt;=0.4,"watch - seek corroboration","note only"))))</f>
        <v/>
      </c>
    </row>
    <row r="132">
      <c r="A132" s="8" t="n"/>
      <c r="B132" s="9" t="n"/>
      <c r="C132" s="9" t="n"/>
      <c r="D132" s="9" t="n"/>
      <c r="E132" s="10" t="n"/>
      <c r="F132" s="9" t="n"/>
      <c r="G132" s="9" t="n"/>
      <c r="H132" s="10" t="n"/>
      <c r="I132" s="9" t="n"/>
      <c r="J132" s="11">
        <f>IF(F132="","",MAX(0,MIN(1,(1-(CODE(UPPER(D132))-65)/5)*0.5+(1-(E132-1)/5)*0.3+MIN(N(H132),3)/3*0.2)))</f>
        <v/>
      </c>
      <c r="K132" s="7">
        <f>IF(F132="","",IF(LOWER(I132)&lt;&gt;"y","DISCARD (not lawful/ethical to use)",IF(J132&gt;=0.7,"record as context correction (W08) + intake evidence",IF(J132&gt;=0.4,"watch - seek corroboration","note only"))))</f>
        <v/>
      </c>
    </row>
    <row r="133">
      <c r="A133" s="8" t="n"/>
      <c r="B133" s="9" t="n"/>
      <c r="C133" s="9" t="n"/>
      <c r="D133" s="9" t="n"/>
      <c r="E133" s="10" t="n"/>
      <c r="F133" s="9" t="n"/>
      <c r="G133" s="9" t="n"/>
      <c r="H133" s="10" t="n"/>
      <c r="I133" s="9" t="n"/>
      <c r="J133" s="11">
        <f>IF(F133="","",MAX(0,MIN(1,(1-(CODE(UPPER(D133))-65)/5)*0.5+(1-(E133-1)/5)*0.3+MIN(N(H133),3)/3*0.2)))</f>
        <v/>
      </c>
      <c r="K133" s="7">
        <f>IF(F133="","",IF(LOWER(I133)&lt;&gt;"y","DISCARD (not lawful/ethical to use)",IF(J133&gt;=0.7,"record as context correction (W08) + intake evidence",IF(J133&gt;=0.4,"watch - seek corroboration","note only"))))</f>
        <v/>
      </c>
    </row>
    <row r="134">
      <c r="A134" s="8" t="n"/>
      <c r="B134" s="9" t="n"/>
      <c r="C134" s="9" t="n"/>
      <c r="D134" s="9" t="n"/>
      <c r="E134" s="10" t="n"/>
      <c r="F134" s="9" t="n"/>
      <c r="G134" s="9" t="n"/>
      <c r="H134" s="10" t="n"/>
      <c r="I134" s="9" t="n"/>
      <c r="J134" s="11">
        <f>IF(F134="","",MAX(0,MIN(1,(1-(CODE(UPPER(D134))-65)/5)*0.5+(1-(E134-1)/5)*0.3+MIN(N(H134),3)/3*0.2)))</f>
        <v/>
      </c>
      <c r="K134" s="7">
        <f>IF(F134="","",IF(LOWER(I134)&lt;&gt;"y","DISCARD (not lawful/ethical to use)",IF(J134&gt;=0.7,"record as context correction (W08) + intake evidence",IF(J134&gt;=0.4,"watch - seek corroboration","note only"))))</f>
        <v/>
      </c>
    </row>
    <row r="135">
      <c r="A135" s="8" t="n"/>
      <c r="B135" s="9" t="n"/>
      <c r="C135" s="9" t="n"/>
      <c r="D135" s="9" t="n"/>
      <c r="E135" s="10" t="n"/>
      <c r="F135" s="9" t="n"/>
      <c r="G135" s="9" t="n"/>
      <c r="H135" s="10" t="n"/>
      <c r="I135" s="9" t="n"/>
      <c r="J135" s="11">
        <f>IF(F135="","",MAX(0,MIN(1,(1-(CODE(UPPER(D135))-65)/5)*0.5+(1-(E135-1)/5)*0.3+MIN(N(H135),3)/3*0.2)))</f>
        <v/>
      </c>
      <c r="K135" s="7">
        <f>IF(F135="","",IF(LOWER(I135)&lt;&gt;"y","DISCARD (not lawful/ethical to use)",IF(J135&gt;=0.7,"record as context correction (W08) + intake evidence",IF(J135&gt;=0.4,"watch - seek corroboration","note only"))))</f>
        <v/>
      </c>
    </row>
    <row r="136">
      <c r="A136" s="8" t="n"/>
      <c r="B136" s="9" t="n"/>
      <c r="C136" s="9" t="n"/>
      <c r="D136" s="9" t="n"/>
      <c r="E136" s="10" t="n"/>
      <c r="F136" s="9" t="n"/>
      <c r="G136" s="9" t="n"/>
      <c r="H136" s="10" t="n"/>
      <c r="I136" s="9" t="n"/>
      <c r="J136" s="11">
        <f>IF(F136="","",MAX(0,MIN(1,(1-(CODE(UPPER(D136))-65)/5)*0.5+(1-(E136-1)/5)*0.3+MIN(N(H136),3)/3*0.2)))</f>
        <v/>
      </c>
      <c r="K136" s="7">
        <f>IF(F136="","",IF(LOWER(I136)&lt;&gt;"y","DISCARD (not lawful/ethical to use)",IF(J136&gt;=0.7,"record as context correction (W08) + intake evidence",IF(J136&gt;=0.4,"watch - seek corroboration","note only"))))</f>
        <v/>
      </c>
    </row>
    <row r="137">
      <c r="A137" s="8" t="n"/>
      <c r="B137" s="9" t="n"/>
      <c r="C137" s="9" t="n"/>
      <c r="D137" s="9" t="n"/>
      <c r="E137" s="10" t="n"/>
      <c r="F137" s="9" t="n"/>
      <c r="G137" s="9" t="n"/>
      <c r="H137" s="10" t="n"/>
      <c r="I137" s="9" t="n"/>
      <c r="J137" s="11">
        <f>IF(F137="","",MAX(0,MIN(1,(1-(CODE(UPPER(D137))-65)/5)*0.5+(1-(E137-1)/5)*0.3+MIN(N(H137),3)/3*0.2)))</f>
        <v/>
      </c>
      <c r="K137" s="7">
        <f>IF(F137="","",IF(LOWER(I137)&lt;&gt;"y","DISCARD (not lawful/ethical to use)",IF(J137&gt;=0.7,"record as context correction (W08) + intake evidence",IF(J137&gt;=0.4,"watch - seek corroboration","note only"))))</f>
        <v/>
      </c>
    </row>
    <row r="138">
      <c r="A138" s="8" t="n"/>
      <c r="B138" s="9" t="n"/>
      <c r="C138" s="9" t="n"/>
      <c r="D138" s="9" t="n"/>
      <c r="E138" s="10" t="n"/>
      <c r="F138" s="9" t="n"/>
      <c r="G138" s="9" t="n"/>
      <c r="H138" s="10" t="n"/>
      <c r="I138" s="9" t="n"/>
      <c r="J138" s="11">
        <f>IF(F138="","",MAX(0,MIN(1,(1-(CODE(UPPER(D138))-65)/5)*0.5+(1-(E138-1)/5)*0.3+MIN(N(H138),3)/3*0.2)))</f>
        <v/>
      </c>
      <c r="K138" s="7">
        <f>IF(F138="","",IF(LOWER(I138)&lt;&gt;"y","DISCARD (not lawful/ethical to use)",IF(J138&gt;=0.7,"record as context correction (W08) + intake evidence",IF(J138&gt;=0.4,"watch - seek corroboration","note only"))))</f>
        <v/>
      </c>
    </row>
    <row r="139">
      <c r="A139" s="8" t="n"/>
      <c r="B139" s="9" t="n"/>
      <c r="C139" s="9" t="n"/>
      <c r="D139" s="9" t="n"/>
      <c r="E139" s="10" t="n"/>
      <c r="F139" s="9" t="n"/>
      <c r="G139" s="9" t="n"/>
      <c r="H139" s="10" t="n"/>
      <c r="I139" s="9" t="n"/>
      <c r="J139" s="11">
        <f>IF(F139="","",MAX(0,MIN(1,(1-(CODE(UPPER(D139))-65)/5)*0.5+(1-(E139-1)/5)*0.3+MIN(N(H139),3)/3*0.2)))</f>
        <v/>
      </c>
      <c r="K139" s="7">
        <f>IF(F139="","",IF(LOWER(I139)&lt;&gt;"y","DISCARD (not lawful/ethical to use)",IF(J139&gt;=0.7,"record as context correction (W08) + intake evidence",IF(J139&gt;=0.4,"watch - seek corroboration","note only"))))</f>
        <v/>
      </c>
    </row>
    <row r="140">
      <c r="A140" s="8" t="n"/>
      <c r="B140" s="9" t="n"/>
      <c r="C140" s="9" t="n"/>
      <c r="D140" s="9" t="n"/>
      <c r="E140" s="10" t="n"/>
      <c r="F140" s="9" t="n"/>
      <c r="G140" s="9" t="n"/>
      <c r="H140" s="10" t="n"/>
      <c r="I140" s="9" t="n"/>
      <c r="J140" s="11">
        <f>IF(F140="","",MAX(0,MIN(1,(1-(CODE(UPPER(D140))-65)/5)*0.5+(1-(E140-1)/5)*0.3+MIN(N(H140),3)/3*0.2)))</f>
        <v/>
      </c>
      <c r="K140" s="7">
        <f>IF(F140="","",IF(LOWER(I140)&lt;&gt;"y","DISCARD (not lawful/ethical to use)",IF(J140&gt;=0.7,"record as context correction (W08) + intake evidence",IF(J140&gt;=0.4,"watch - seek corroboration","note only"))))</f>
        <v/>
      </c>
    </row>
    <row r="141">
      <c r="A141" s="8" t="n"/>
      <c r="B141" s="9" t="n"/>
      <c r="C141" s="9" t="n"/>
      <c r="D141" s="9" t="n"/>
      <c r="E141" s="10" t="n"/>
      <c r="F141" s="9" t="n"/>
      <c r="G141" s="9" t="n"/>
      <c r="H141" s="10" t="n"/>
      <c r="I141" s="9" t="n"/>
      <c r="J141" s="11">
        <f>IF(F141="","",MAX(0,MIN(1,(1-(CODE(UPPER(D141))-65)/5)*0.5+(1-(E141-1)/5)*0.3+MIN(N(H141),3)/3*0.2)))</f>
        <v/>
      </c>
      <c r="K141" s="7">
        <f>IF(F141="","",IF(LOWER(I141)&lt;&gt;"y","DISCARD (not lawful/ethical to use)",IF(J141&gt;=0.7,"record as context correction (W08) + intake evidence",IF(J141&gt;=0.4,"watch - seek corroboration","note only"))))</f>
        <v/>
      </c>
    </row>
    <row r="142">
      <c r="A142" s="8" t="n"/>
      <c r="B142" s="9" t="n"/>
      <c r="C142" s="9" t="n"/>
      <c r="D142" s="9" t="n"/>
      <c r="E142" s="10" t="n"/>
      <c r="F142" s="9" t="n"/>
      <c r="G142" s="9" t="n"/>
      <c r="H142" s="10" t="n"/>
      <c r="I142" s="9" t="n"/>
      <c r="J142" s="11">
        <f>IF(F142="","",MAX(0,MIN(1,(1-(CODE(UPPER(D142))-65)/5)*0.5+(1-(E142-1)/5)*0.3+MIN(N(H142),3)/3*0.2)))</f>
        <v/>
      </c>
      <c r="K142" s="7">
        <f>IF(F142="","",IF(LOWER(I142)&lt;&gt;"y","DISCARD (not lawful/ethical to use)",IF(J142&gt;=0.7,"record as context correction (W08) + intake evidence",IF(J142&gt;=0.4,"watch - seek corroboration","note only"))))</f>
        <v/>
      </c>
    </row>
    <row r="143">
      <c r="A143" s="8" t="n"/>
      <c r="B143" s="9" t="n"/>
      <c r="C143" s="9" t="n"/>
      <c r="D143" s="9" t="n"/>
      <c r="E143" s="10" t="n"/>
      <c r="F143" s="9" t="n"/>
      <c r="G143" s="9" t="n"/>
      <c r="H143" s="10" t="n"/>
      <c r="I143" s="9" t="n"/>
      <c r="J143" s="11">
        <f>IF(F143="","",MAX(0,MIN(1,(1-(CODE(UPPER(D143))-65)/5)*0.5+(1-(E143-1)/5)*0.3+MIN(N(H143),3)/3*0.2)))</f>
        <v/>
      </c>
      <c r="K143" s="7">
        <f>IF(F143="","",IF(LOWER(I143)&lt;&gt;"y","DISCARD (not lawful/ethical to use)",IF(J143&gt;=0.7,"record as context correction (W08) + intake evidence",IF(J143&gt;=0.4,"watch - seek corroboration","note only"))))</f>
        <v/>
      </c>
    </row>
    <row r="144">
      <c r="A144" s="8" t="n"/>
      <c r="B144" s="9" t="n"/>
      <c r="C144" s="9" t="n"/>
      <c r="D144" s="9" t="n"/>
      <c r="E144" s="10" t="n"/>
      <c r="F144" s="9" t="n"/>
      <c r="G144" s="9" t="n"/>
      <c r="H144" s="10" t="n"/>
      <c r="I144" s="9" t="n"/>
      <c r="J144" s="11">
        <f>IF(F144="","",MAX(0,MIN(1,(1-(CODE(UPPER(D144))-65)/5)*0.5+(1-(E144-1)/5)*0.3+MIN(N(H144),3)/3*0.2)))</f>
        <v/>
      </c>
      <c r="K144" s="7">
        <f>IF(F144="","",IF(LOWER(I144)&lt;&gt;"y","DISCARD (not lawful/ethical to use)",IF(J144&gt;=0.7,"record as context correction (W08) + intake evidence",IF(J144&gt;=0.4,"watch - seek corroboration","note only"))))</f>
        <v/>
      </c>
    </row>
    <row r="145">
      <c r="A145" s="8" t="n"/>
      <c r="B145" s="9" t="n"/>
      <c r="C145" s="9" t="n"/>
      <c r="D145" s="9" t="n"/>
      <c r="E145" s="10" t="n"/>
      <c r="F145" s="9" t="n"/>
      <c r="G145" s="9" t="n"/>
      <c r="H145" s="10" t="n"/>
      <c r="I145" s="9" t="n"/>
      <c r="J145" s="11">
        <f>IF(F145="","",MAX(0,MIN(1,(1-(CODE(UPPER(D145))-65)/5)*0.5+(1-(E145-1)/5)*0.3+MIN(N(H145),3)/3*0.2)))</f>
        <v/>
      </c>
      <c r="K145" s="7">
        <f>IF(F145="","",IF(LOWER(I145)&lt;&gt;"y","DISCARD (not lawful/ethical to use)",IF(J145&gt;=0.7,"record as context correction (W08) + intake evidence",IF(J145&gt;=0.4,"watch - seek corroboration","note only"))))</f>
        <v/>
      </c>
    </row>
    <row r="146">
      <c r="A146" s="8" t="n"/>
      <c r="B146" s="9" t="n"/>
      <c r="C146" s="9" t="n"/>
      <c r="D146" s="9" t="n"/>
      <c r="E146" s="10" t="n"/>
      <c r="F146" s="9" t="n"/>
      <c r="G146" s="9" t="n"/>
      <c r="H146" s="10" t="n"/>
      <c r="I146" s="9" t="n"/>
      <c r="J146" s="11">
        <f>IF(F146="","",MAX(0,MIN(1,(1-(CODE(UPPER(D146))-65)/5)*0.5+(1-(E146-1)/5)*0.3+MIN(N(H146),3)/3*0.2)))</f>
        <v/>
      </c>
      <c r="K146" s="7">
        <f>IF(F146="","",IF(LOWER(I146)&lt;&gt;"y","DISCARD (not lawful/ethical to use)",IF(J146&gt;=0.7,"record as context correction (W08) + intake evidence",IF(J146&gt;=0.4,"watch - seek corroboration","note only"))))</f>
        <v/>
      </c>
    </row>
    <row r="147">
      <c r="A147" s="8" t="n"/>
      <c r="B147" s="9" t="n"/>
      <c r="C147" s="9" t="n"/>
      <c r="D147" s="9" t="n"/>
      <c r="E147" s="10" t="n"/>
      <c r="F147" s="9" t="n"/>
      <c r="G147" s="9" t="n"/>
      <c r="H147" s="10" t="n"/>
      <c r="I147" s="9" t="n"/>
      <c r="J147" s="11">
        <f>IF(F147="","",MAX(0,MIN(1,(1-(CODE(UPPER(D147))-65)/5)*0.5+(1-(E147-1)/5)*0.3+MIN(N(H147),3)/3*0.2)))</f>
        <v/>
      </c>
      <c r="K147" s="7">
        <f>IF(F147="","",IF(LOWER(I147)&lt;&gt;"y","DISCARD (not lawful/ethical to use)",IF(J147&gt;=0.7,"record as context correction (W08) + intake evidence",IF(J147&gt;=0.4,"watch - seek corroboration","note only"))))</f>
        <v/>
      </c>
    </row>
    <row r="148">
      <c r="A148" s="8" t="n"/>
      <c r="B148" s="9" t="n"/>
      <c r="C148" s="9" t="n"/>
      <c r="D148" s="9" t="n"/>
      <c r="E148" s="10" t="n"/>
      <c r="F148" s="9" t="n"/>
      <c r="G148" s="9" t="n"/>
      <c r="H148" s="10" t="n"/>
      <c r="I148" s="9" t="n"/>
      <c r="J148" s="11">
        <f>IF(F148="","",MAX(0,MIN(1,(1-(CODE(UPPER(D148))-65)/5)*0.5+(1-(E148-1)/5)*0.3+MIN(N(H148),3)/3*0.2)))</f>
        <v/>
      </c>
      <c r="K148" s="7">
        <f>IF(F148="","",IF(LOWER(I148)&lt;&gt;"y","DISCARD (not lawful/ethical to use)",IF(J148&gt;=0.7,"record as context correction (W08) + intake evidence",IF(J148&gt;=0.4,"watch - seek corroboration","note only"))))</f>
        <v/>
      </c>
    </row>
    <row r="149">
      <c r="A149" s="8" t="n"/>
      <c r="B149" s="9" t="n"/>
      <c r="C149" s="9" t="n"/>
      <c r="D149" s="9" t="n"/>
      <c r="E149" s="10" t="n"/>
      <c r="F149" s="9" t="n"/>
      <c r="G149" s="9" t="n"/>
      <c r="H149" s="10" t="n"/>
      <c r="I149" s="9" t="n"/>
      <c r="J149" s="11">
        <f>IF(F149="","",MAX(0,MIN(1,(1-(CODE(UPPER(D149))-65)/5)*0.5+(1-(E149-1)/5)*0.3+MIN(N(H149),3)/3*0.2)))</f>
        <v/>
      </c>
      <c r="K149" s="7">
        <f>IF(F149="","",IF(LOWER(I149)&lt;&gt;"y","DISCARD (not lawful/ethical to use)",IF(J149&gt;=0.7,"record as context correction (W08) + intake evidence",IF(J149&gt;=0.4,"watch - seek corroboration","note only"))))</f>
        <v/>
      </c>
    </row>
    <row r="150">
      <c r="A150" s="8" t="n"/>
      <c r="B150" s="9" t="n"/>
      <c r="C150" s="9" t="n"/>
      <c r="D150" s="9" t="n"/>
      <c r="E150" s="10" t="n"/>
      <c r="F150" s="9" t="n"/>
      <c r="G150" s="9" t="n"/>
      <c r="H150" s="10" t="n"/>
      <c r="I150" s="9" t="n"/>
      <c r="J150" s="11">
        <f>IF(F150="","",MAX(0,MIN(1,(1-(CODE(UPPER(D150))-65)/5)*0.5+(1-(E150-1)/5)*0.3+MIN(N(H150),3)/3*0.2)))</f>
        <v/>
      </c>
      <c r="K150" s="7">
        <f>IF(F150="","",IF(LOWER(I150)&lt;&gt;"y","DISCARD (not lawful/ethical to use)",IF(J150&gt;=0.7,"record as context correction (W08) + intake evidence",IF(J150&gt;=0.4,"watch - seek corroboration","note only"))))</f>
        <v/>
      </c>
    </row>
    <row r="151">
      <c r="A151" s="8" t="n"/>
      <c r="B151" s="9" t="n"/>
      <c r="C151" s="9" t="n"/>
      <c r="D151" s="9" t="n"/>
      <c r="E151" s="10" t="n"/>
      <c r="F151" s="9" t="n"/>
      <c r="G151" s="9" t="n"/>
      <c r="H151" s="10" t="n"/>
      <c r="I151" s="9" t="n"/>
      <c r="J151" s="11">
        <f>IF(F151="","",MAX(0,MIN(1,(1-(CODE(UPPER(D151))-65)/5)*0.5+(1-(E151-1)/5)*0.3+MIN(N(H151),3)/3*0.2)))</f>
        <v/>
      </c>
      <c r="K151" s="7">
        <f>IF(F151="","",IF(LOWER(I151)&lt;&gt;"y","DISCARD (not lawful/ethical to use)",IF(J151&gt;=0.7,"record as context correction (W08) + intake evidence",IF(J151&gt;=0.4,"watch - seek corroboration","note only"))))</f>
        <v/>
      </c>
    </row>
    <row r="152">
      <c r="A152" s="8" t="n"/>
      <c r="B152" s="9" t="n"/>
      <c r="C152" s="9" t="n"/>
      <c r="D152" s="9" t="n"/>
      <c r="E152" s="10" t="n"/>
      <c r="F152" s="9" t="n"/>
      <c r="G152" s="9" t="n"/>
      <c r="H152" s="10" t="n"/>
      <c r="I152" s="9" t="n"/>
      <c r="J152" s="11">
        <f>IF(F152="","",MAX(0,MIN(1,(1-(CODE(UPPER(D152))-65)/5)*0.5+(1-(E152-1)/5)*0.3+MIN(N(H152),3)/3*0.2)))</f>
        <v/>
      </c>
      <c r="K152" s="7">
        <f>IF(F152="","",IF(LOWER(I152)&lt;&gt;"y","DISCARD (not lawful/ethical to use)",IF(J152&gt;=0.7,"record as context correction (W08) + intake evidence",IF(J152&gt;=0.4,"watch - seek corroboration","note only"))))</f>
        <v/>
      </c>
    </row>
    <row r="153">
      <c r="A153" s="8" t="n"/>
      <c r="B153" s="9" t="n"/>
      <c r="C153" s="9" t="n"/>
      <c r="D153" s="9" t="n"/>
      <c r="E153" s="10" t="n"/>
      <c r="F153" s="9" t="n"/>
      <c r="G153" s="9" t="n"/>
      <c r="H153" s="10" t="n"/>
      <c r="I153" s="9" t="n"/>
      <c r="J153" s="11">
        <f>IF(F153="","",MAX(0,MIN(1,(1-(CODE(UPPER(D153))-65)/5)*0.5+(1-(E153-1)/5)*0.3+MIN(N(H153),3)/3*0.2)))</f>
        <v/>
      </c>
      <c r="K153" s="7">
        <f>IF(F153="","",IF(LOWER(I153)&lt;&gt;"y","DISCARD (not lawful/ethical to use)",IF(J153&gt;=0.7,"record as context correction (W08) + intake evidence",IF(J153&gt;=0.4,"watch - seek corroboration","note only"))))</f>
        <v/>
      </c>
    </row>
    <row r="154">
      <c r="A154" s="8" t="n"/>
      <c r="B154" s="9" t="n"/>
      <c r="C154" s="9" t="n"/>
      <c r="D154" s="9" t="n"/>
      <c r="E154" s="10" t="n"/>
      <c r="F154" s="9" t="n"/>
      <c r="G154" s="9" t="n"/>
      <c r="H154" s="10" t="n"/>
      <c r="I154" s="9" t="n"/>
      <c r="J154" s="11">
        <f>IF(F154="","",MAX(0,MIN(1,(1-(CODE(UPPER(D154))-65)/5)*0.5+(1-(E154-1)/5)*0.3+MIN(N(H154),3)/3*0.2)))</f>
        <v/>
      </c>
      <c r="K154" s="7">
        <f>IF(F154="","",IF(LOWER(I154)&lt;&gt;"y","DISCARD (not lawful/ethical to use)",IF(J154&gt;=0.7,"record as context correction (W08) + intake evidence",IF(J154&gt;=0.4,"watch - seek corroboration","note only"))))</f>
        <v/>
      </c>
    </row>
    <row r="155">
      <c r="A155" s="8" t="n"/>
      <c r="B155" s="9" t="n"/>
      <c r="C155" s="9" t="n"/>
      <c r="D155" s="9" t="n"/>
      <c r="E155" s="10" t="n"/>
      <c r="F155" s="9" t="n"/>
      <c r="G155" s="9" t="n"/>
      <c r="H155" s="10" t="n"/>
      <c r="I155" s="9" t="n"/>
      <c r="J155" s="11">
        <f>IF(F155="","",MAX(0,MIN(1,(1-(CODE(UPPER(D155))-65)/5)*0.5+(1-(E155-1)/5)*0.3+MIN(N(H155),3)/3*0.2)))</f>
        <v/>
      </c>
      <c r="K155" s="7">
        <f>IF(F155="","",IF(LOWER(I155)&lt;&gt;"y","DISCARD (not lawful/ethical to use)",IF(J155&gt;=0.7,"record as context correction (W08) + intake evidence",IF(J155&gt;=0.4,"watch - seek corroboration","note only"))))</f>
        <v/>
      </c>
    </row>
    <row r="156">
      <c r="A156" s="8" t="n"/>
      <c r="B156" s="9" t="n"/>
      <c r="C156" s="9" t="n"/>
      <c r="D156" s="9" t="n"/>
      <c r="E156" s="10" t="n"/>
      <c r="F156" s="9" t="n"/>
      <c r="G156" s="9" t="n"/>
      <c r="H156" s="10" t="n"/>
      <c r="I156" s="9" t="n"/>
      <c r="J156" s="11">
        <f>IF(F156="","",MAX(0,MIN(1,(1-(CODE(UPPER(D156))-65)/5)*0.5+(1-(E156-1)/5)*0.3+MIN(N(H156),3)/3*0.2)))</f>
        <v/>
      </c>
      <c r="K156" s="7">
        <f>IF(F156="","",IF(LOWER(I156)&lt;&gt;"y","DISCARD (not lawful/ethical to use)",IF(J156&gt;=0.7,"record as context correction (W08) + intake evidence",IF(J156&gt;=0.4,"watch - seek corroboration","note only"))))</f>
        <v/>
      </c>
    </row>
    <row r="157">
      <c r="A157" s="8" t="n"/>
      <c r="B157" s="9" t="n"/>
      <c r="C157" s="9" t="n"/>
      <c r="D157" s="9" t="n"/>
      <c r="E157" s="10" t="n"/>
      <c r="F157" s="9" t="n"/>
      <c r="G157" s="9" t="n"/>
      <c r="H157" s="10" t="n"/>
      <c r="I157" s="9" t="n"/>
      <c r="J157" s="11">
        <f>IF(F157="","",MAX(0,MIN(1,(1-(CODE(UPPER(D157))-65)/5)*0.5+(1-(E157-1)/5)*0.3+MIN(N(H157),3)/3*0.2)))</f>
        <v/>
      </c>
      <c r="K157" s="7">
        <f>IF(F157="","",IF(LOWER(I157)&lt;&gt;"y","DISCARD (not lawful/ethical to use)",IF(J157&gt;=0.7,"record as context correction (W08) + intake evidence",IF(J157&gt;=0.4,"watch - seek corroboration","note only"))))</f>
        <v/>
      </c>
    </row>
    <row r="158">
      <c r="A158" s="8" t="n"/>
      <c r="B158" s="9" t="n"/>
      <c r="C158" s="9" t="n"/>
      <c r="D158" s="9" t="n"/>
      <c r="E158" s="10" t="n"/>
      <c r="F158" s="9" t="n"/>
      <c r="G158" s="9" t="n"/>
      <c r="H158" s="10" t="n"/>
      <c r="I158" s="9" t="n"/>
      <c r="J158" s="11">
        <f>IF(F158="","",MAX(0,MIN(1,(1-(CODE(UPPER(D158))-65)/5)*0.5+(1-(E158-1)/5)*0.3+MIN(N(H158),3)/3*0.2)))</f>
        <v/>
      </c>
      <c r="K158" s="7">
        <f>IF(F158="","",IF(LOWER(I158)&lt;&gt;"y","DISCARD (not lawful/ethical to use)",IF(J158&gt;=0.7,"record as context correction (W08) + intake evidence",IF(J158&gt;=0.4,"watch - seek corroboration","note only"))))</f>
        <v/>
      </c>
    </row>
    <row r="159">
      <c r="A159" s="8" t="n"/>
      <c r="B159" s="9" t="n"/>
      <c r="C159" s="9" t="n"/>
      <c r="D159" s="9" t="n"/>
      <c r="E159" s="10" t="n"/>
      <c r="F159" s="9" t="n"/>
      <c r="G159" s="9" t="n"/>
      <c r="H159" s="10" t="n"/>
      <c r="I159" s="9" t="n"/>
      <c r="J159" s="11">
        <f>IF(F159="","",MAX(0,MIN(1,(1-(CODE(UPPER(D159))-65)/5)*0.5+(1-(E159-1)/5)*0.3+MIN(N(H159),3)/3*0.2)))</f>
        <v/>
      </c>
      <c r="K159" s="7">
        <f>IF(F159="","",IF(LOWER(I159)&lt;&gt;"y","DISCARD (not lawful/ethical to use)",IF(J159&gt;=0.7,"record as context correction (W08) + intake evidence",IF(J159&gt;=0.4,"watch - seek corroboration","note only"))))</f>
        <v/>
      </c>
    </row>
    <row r="160">
      <c r="A160" s="8" t="n"/>
      <c r="B160" s="9" t="n"/>
      <c r="C160" s="9" t="n"/>
      <c r="D160" s="9" t="n"/>
      <c r="E160" s="10" t="n"/>
      <c r="F160" s="9" t="n"/>
      <c r="G160" s="9" t="n"/>
      <c r="H160" s="10" t="n"/>
      <c r="I160" s="9" t="n"/>
      <c r="J160" s="11">
        <f>IF(F160="","",MAX(0,MIN(1,(1-(CODE(UPPER(D160))-65)/5)*0.5+(1-(E160-1)/5)*0.3+MIN(N(H160),3)/3*0.2)))</f>
        <v/>
      </c>
      <c r="K160" s="7">
        <f>IF(F160="","",IF(LOWER(I160)&lt;&gt;"y","DISCARD (not lawful/ethical to use)",IF(J160&gt;=0.7,"record as context correction (W08) + intake evidence",IF(J160&gt;=0.4,"watch - seek corroboration","note only"))))</f>
        <v/>
      </c>
    </row>
    <row r="161">
      <c r="A161" s="8" t="n"/>
      <c r="B161" s="9" t="n"/>
      <c r="C161" s="9" t="n"/>
      <c r="D161" s="9" t="n"/>
      <c r="E161" s="10" t="n"/>
      <c r="F161" s="9" t="n"/>
      <c r="G161" s="9" t="n"/>
      <c r="H161" s="10" t="n"/>
      <c r="I161" s="9" t="n"/>
      <c r="J161" s="11">
        <f>IF(F161="","",MAX(0,MIN(1,(1-(CODE(UPPER(D161))-65)/5)*0.5+(1-(E161-1)/5)*0.3+MIN(N(H161),3)/3*0.2)))</f>
        <v/>
      </c>
      <c r="K161" s="7">
        <f>IF(F161="","",IF(LOWER(I161)&lt;&gt;"y","DISCARD (not lawful/ethical to use)",IF(J161&gt;=0.7,"record as context correction (W08) + intake evidence",IF(J161&gt;=0.4,"watch - seek corroboration","note only"))))</f>
        <v/>
      </c>
    </row>
    <row r="162">
      <c r="A162" s="8" t="n"/>
      <c r="B162" s="9" t="n"/>
      <c r="C162" s="9" t="n"/>
      <c r="D162" s="9" t="n"/>
      <c r="E162" s="10" t="n"/>
      <c r="F162" s="9" t="n"/>
      <c r="G162" s="9" t="n"/>
      <c r="H162" s="10" t="n"/>
      <c r="I162" s="9" t="n"/>
      <c r="J162" s="11">
        <f>IF(F162="","",MAX(0,MIN(1,(1-(CODE(UPPER(D162))-65)/5)*0.5+(1-(E162-1)/5)*0.3+MIN(N(H162),3)/3*0.2)))</f>
        <v/>
      </c>
      <c r="K162" s="7">
        <f>IF(F162="","",IF(LOWER(I162)&lt;&gt;"y","DISCARD (not lawful/ethical to use)",IF(J162&gt;=0.7,"record as context correction (W08) + intake evidence",IF(J162&gt;=0.4,"watch - seek corroboration","note only"))))</f>
        <v/>
      </c>
    </row>
    <row r="163">
      <c r="A163" s="8" t="n"/>
      <c r="B163" s="9" t="n"/>
      <c r="C163" s="9" t="n"/>
      <c r="D163" s="9" t="n"/>
      <c r="E163" s="10" t="n"/>
      <c r="F163" s="9" t="n"/>
      <c r="G163" s="9" t="n"/>
      <c r="H163" s="10" t="n"/>
      <c r="I163" s="9" t="n"/>
      <c r="J163" s="11">
        <f>IF(F163="","",MAX(0,MIN(1,(1-(CODE(UPPER(D163))-65)/5)*0.5+(1-(E163-1)/5)*0.3+MIN(N(H163),3)/3*0.2)))</f>
        <v/>
      </c>
      <c r="K163" s="7">
        <f>IF(F163="","",IF(LOWER(I163)&lt;&gt;"y","DISCARD (not lawful/ethical to use)",IF(J163&gt;=0.7,"record as context correction (W08) + intake evidence",IF(J163&gt;=0.4,"watch - seek corroboration","note only"))))</f>
        <v/>
      </c>
    </row>
    <row r="164">
      <c r="A164" s="8" t="n"/>
      <c r="B164" s="9" t="n"/>
      <c r="C164" s="9" t="n"/>
      <c r="D164" s="9" t="n"/>
      <c r="E164" s="10" t="n"/>
      <c r="F164" s="9" t="n"/>
      <c r="G164" s="9" t="n"/>
      <c r="H164" s="10" t="n"/>
      <c r="I164" s="9" t="n"/>
      <c r="J164" s="11">
        <f>IF(F164="","",MAX(0,MIN(1,(1-(CODE(UPPER(D164))-65)/5)*0.5+(1-(E164-1)/5)*0.3+MIN(N(H164),3)/3*0.2)))</f>
        <v/>
      </c>
      <c r="K164" s="7">
        <f>IF(F164="","",IF(LOWER(I164)&lt;&gt;"y","DISCARD (not lawful/ethical to use)",IF(J164&gt;=0.7,"record as context correction (W08) + intake evidence",IF(J164&gt;=0.4,"watch - seek corroboration","note only"))))</f>
        <v/>
      </c>
    </row>
    <row r="165">
      <c r="A165" s="8" t="n"/>
      <c r="B165" s="9" t="n"/>
      <c r="C165" s="9" t="n"/>
      <c r="D165" s="9" t="n"/>
      <c r="E165" s="10" t="n"/>
      <c r="F165" s="9" t="n"/>
      <c r="G165" s="9" t="n"/>
      <c r="H165" s="10" t="n"/>
      <c r="I165" s="9" t="n"/>
      <c r="J165" s="11">
        <f>IF(F165="","",MAX(0,MIN(1,(1-(CODE(UPPER(D165))-65)/5)*0.5+(1-(E165-1)/5)*0.3+MIN(N(H165),3)/3*0.2)))</f>
        <v/>
      </c>
      <c r="K165" s="7">
        <f>IF(F165="","",IF(LOWER(I165)&lt;&gt;"y","DISCARD (not lawful/ethical to use)",IF(J165&gt;=0.7,"record as context correction (W08) + intake evidence",IF(J165&gt;=0.4,"watch - seek corroboration","note only"))))</f>
        <v/>
      </c>
    </row>
    <row r="166">
      <c r="A166" s="8" t="n"/>
      <c r="B166" s="9" t="n"/>
      <c r="C166" s="9" t="n"/>
      <c r="D166" s="9" t="n"/>
      <c r="E166" s="10" t="n"/>
      <c r="F166" s="9" t="n"/>
      <c r="G166" s="9" t="n"/>
      <c r="H166" s="10" t="n"/>
      <c r="I166" s="9" t="n"/>
      <c r="J166" s="11">
        <f>IF(F166="","",MAX(0,MIN(1,(1-(CODE(UPPER(D166))-65)/5)*0.5+(1-(E166-1)/5)*0.3+MIN(N(H166),3)/3*0.2)))</f>
        <v/>
      </c>
      <c r="K166" s="7">
        <f>IF(F166="","",IF(LOWER(I166)&lt;&gt;"y","DISCARD (not lawful/ethical to use)",IF(J166&gt;=0.7,"record as context correction (W08) + intake evidence",IF(J166&gt;=0.4,"watch - seek corroboration","note only"))))</f>
        <v/>
      </c>
    </row>
    <row r="167">
      <c r="A167" s="8" t="n"/>
      <c r="B167" s="9" t="n"/>
      <c r="C167" s="9" t="n"/>
      <c r="D167" s="9" t="n"/>
      <c r="E167" s="10" t="n"/>
      <c r="F167" s="9" t="n"/>
      <c r="G167" s="9" t="n"/>
      <c r="H167" s="10" t="n"/>
      <c r="I167" s="9" t="n"/>
      <c r="J167" s="11">
        <f>IF(F167="","",MAX(0,MIN(1,(1-(CODE(UPPER(D167))-65)/5)*0.5+(1-(E167-1)/5)*0.3+MIN(N(H167),3)/3*0.2)))</f>
        <v/>
      </c>
      <c r="K167" s="7">
        <f>IF(F167="","",IF(LOWER(I167)&lt;&gt;"y","DISCARD (not lawful/ethical to use)",IF(J167&gt;=0.7,"record as context correction (W08) + intake evidence",IF(J167&gt;=0.4,"watch - seek corroboration","note only"))))</f>
        <v/>
      </c>
    </row>
    <row r="168">
      <c r="A168" s="8" t="n"/>
      <c r="B168" s="9" t="n"/>
      <c r="C168" s="9" t="n"/>
      <c r="D168" s="9" t="n"/>
      <c r="E168" s="10" t="n"/>
      <c r="F168" s="9" t="n"/>
      <c r="G168" s="9" t="n"/>
      <c r="H168" s="10" t="n"/>
      <c r="I168" s="9" t="n"/>
      <c r="J168" s="11">
        <f>IF(F168="","",MAX(0,MIN(1,(1-(CODE(UPPER(D168))-65)/5)*0.5+(1-(E168-1)/5)*0.3+MIN(N(H168),3)/3*0.2)))</f>
        <v/>
      </c>
      <c r="K168" s="7">
        <f>IF(F168="","",IF(LOWER(I168)&lt;&gt;"y","DISCARD (not lawful/ethical to use)",IF(J168&gt;=0.7,"record as context correction (W08) + intake evidence",IF(J168&gt;=0.4,"watch - seek corroboration","note only"))))</f>
        <v/>
      </c>
    </row>
    <row r="169">
      <c r="A169" s="8" t="n"/>
      <c r="B169" s="9" t="n"/>
      <c r="C169" s="9" t="n"/>
      <c r="D169" s="9" t="n"/>
      <c r="E169" s="10" t="n"/>
      <c r="F169" s="9" t="n"/>
      <c r="G169" s="9" t="n"/>
      <c r="H169" s="10" t="n"/>
      <c r="I169" s="9" t="n"/>
      <c r="J169" s="11">
        <f>IF(F169="","",MAX(0,MIN(1,(1-(CODE(UPPER(D169))-65)/5)*0.5+(1-(E169-1)/5)*0.3+MIN(N(H169),3)/3*0.2)))</f>
        <v/>
      </c>
      <c r="K169" s="7">
        <f>IF(F169="","",IF(LOWER(I169)&lt;&gt;"y","DISCARD (not lawful/ethical to use)",IF(J169&gt;=0.7,"record as context correction (W08) + intake evidence",IF(J169&gt;=0.4,"watch - seek corroboration","note only"))))</f>
        <v/>
      </c>
    </row>
    <row r="170">
      <c r="A170" s="8" t="n"/>
      <c r="B170" s="9" t="n"/>
      <c r="C170" s="9" t="n"/>
      <c r="D170" s="9" t="n"/>
      <c r="E170" s="10" t="n"/>
      <c r="F170" s="9" t="n"/>
      <c r="G170" s="9" t="n"/>
      <c r="H170" s="10" t="n"/>
      <c r="I170" s="9" t="n"/>
      <c r="J170" s="11">
        <f>IF(F170="","",MAX(0,MIN(1,(1-(CODE(UPPER(D170))-65)/5)*0.5+(1-(E170-1)/5)*0.3+MIN(N(H170),3)/3*0.2)))</f>
        <v/>
      </c>
      <c r="K170" s="7">
        <f>IF(F170="","",IF(LOWER(I170)&lt;&gt;"y","DISCARD (not lawful/ethical to use)",IF(J170&gt;=0.7,"record as context correction (W08) + intake evidence",IF(J170&gt;=0.4,"watch - seek corroboration","note only"))))</f>
        <v/>
      </c>
    </row>
    <row r="171">
      <c r="A171" s="8" t="n"/>
      <c r="B171" s="9" t="n"/>
      <c r="C171" s="9" t="n"/>
      <c r="D171" s="9" t="n"/>
      <c r="E171" s="10" t="n"/>
      <c r="F171" s="9" t="n"/>
      <c r="G171" s="9" t="n"/>
      <c r="H171" s="10" t="n"/>
      <c r="I171" s="9" t="n"/>
      <c r="J171" s="11">
        <f>IF(F171="","",MAX(0,MIN(1,(1-(CODE(UPPER(D171))-65)/5)*0.5+(1-(E171-1)/5)*0.3+MIN(N(H171),3)/3*0.2)))</f>
        <v/>
      </c>
      <c r="K171" s="7">
        <f>IF(F171="","",IF(LOWER(I171)&lt;&gt;"y","DISCARD (not lawful/ethical to use)",IF(J171&gt;=0.7,"record as context correction (W08) + intake evidence",IF(J171&gt;=0.4,"watch - seek corroboration","note only"))))</f>
        <v/>
      </c>
    </row>
    <row r="172">
      <c r="A172" s="8" t="n"/>
      <c r="B172" s="9" t="n"/>
      <c r="C172" s="9" t="n"/>
      <c r="D172" s="9" t="n"/>
      <c r="E172" s="10" t="n"/>
      <c r="F172" s="9" t="n"/>
      <c r="G172" s="9" t="n"/>
      <c r="H172" s="10" t="n"/>
      <c r="I172" s="9" t="n"/>
      <c r="J172" s="11">
        <f>IF(F172="","",MAX(0,MIN(1,(1-(CODE(UPPER(D172))-65)/5)*0.5+(1-(E172-1)/5)*0.3+MIN(N(H172),3)/3*0.2)))</f>
        <v/>
      </c>
      <c r="K172" s="7">
        <f>IF(F172="","",IF(LOWER(I172)&lt;&gt;"y","DISCARD (not lawful/ethical to use)",IF(J172&gt;=0.7,"record as context correction (W08) + intake evidence",IF(J172&gt;=0.4,"watch - seek corroboration","note only"))))</f>
        <v/>
      </c>
    </row>
    <row r="173">
      <c r="A173" s="8" t="n"/>
      <c r="B173" s="9" t="n"/>
      <c r="C173" s="9" t="n"/>
      <c r="D173" s="9" t="n"/>
      <c r="E173" s="10" t="n"/>
      <c r="F173" s="9" t="n"/>
      <c r="G173" s="9" t="n"/>
      <c r="H173" s="10" t="n"/>
      <c r="I173" s="9" t="n"/>
      <c r="J173" s="11">
        <f>IF(F173="","",MAX(0,MIN(1,(1-(CODE(UPPER(D173))-65)/5)*0.5+(1-(E173-1)/5)*0.3+MIN(N(H173),3)/3*0.2)))</f>
        <v/>
      </c>
      <c r="K173" s="7">
        <f>IF(F173="","",IF(LOWER(I173)&lt;&gt;"y","DISCARD (not lawful/ethical to use)",IF(J173&gt;=0.7,"record as context correction (W08) + intake evidence",IF(J173&gt;=0.4,"watch - seek corroboration","note only"))))</f>
        <v/>
      </c>
    </row>
    <row r="174">
      <c r="A174" s="8" t="n"/>
      <c r="B174" s="9" t="n"/>
      <c r="C174" s="9" t="n"/>
      <c r="D174" s="9" t="n"/>
      <c r="E174" s="10" t="n"/>
      <c r="F174" s="9" t="n"/>
      <c r="G174" s="9" t="n"/>
      <c r="H174" s="10" t="n"/>
      <c r="I174" s="9" t="n"/>
      <c r="J174" s="11">
        <f>IF(F174="","",MAX(0,MIN(1,(1-(CODE(UPPER(D174))-65)/5)*0.5+(1-(E174-1)/5)*0.3+MIN(N(H174),3)/3*0.2)))</f>
        <v/>
      </c>
      <c r="K174" s="7">
        <f>IF(F174="","",IF(LOWER(I174)&lt;&gt;"y","DISCARD (not lawful/ethical to use)",IF(J174&gt;=0.7,"record as context correction (W08) + intake evidence",IF(J174&gt;=0.4,"watch - seek corroboration","note only"))))</f>
        <v/>
      </c>
    </row>
    <row r="175">
      <c r="A175" s="8" t="n"/>
      <c r="B175" s="9" t="n"/>
      <c r="C175" s="9" t="n"/>
      <c r="D175" s="9" t="n"/>
      <c r="E175" s="10" t="n"/>
      <c r="F175" s="9" t="n"/>
      <c r="G175" s="9" t="n"/>
      <c r="H175" s="10" t="n"/>
      <c r="I175" s="9" t="n"/>
      <c r="J175" s="11">
        <f>IF(F175="","",MAX(0,MIN(1,(1-(CODE(UPPER(D175))-65)/5)*0.5+(1-(E175-1)/5)*0.3+MIN(N(H175),3)/3*0.2)))</f>
        <v/>
      </c>
      <c r="K175" s="7">
        <f>IF(F175="","",IF(LOWER(I175)&lt;&gt;"y","DISCARD (not lawful/ethical to use)",IF(J175&gt;=0.7,"record as context correction (W08) + intake evidence",IF(J175&gt;=0.4,"watch - seek corroboration","note only"))))</f>
        <v/>
      </c>
    </row>
    <row r="176">
      <c r="A176" s="8" t="n"/>
      <c r="B176" s="9" t="n"/>
      <c r="C176" s="9" t="n"/>
      <c r="D176" s="9" t="n"/>
      <c r="E176" s="10" t="n"/>
      <c r="F176" s="9" t="n"/>
      <c r="G176" s="9" t="n"/>
      <c r="H176" s="10" t="n"/>
      <c r="I176" s="9" t="n"/>
      <c r="J176" s="11">
        <f>IF(F176="","",MAX(0,MIN(1,(1-(CODE(UPPER(D176))-65)/5)*0.5+(1-(E176-1)/5)*0.3+MIN(N(H176),3)/3*0.2)))</f>
        <v/>
      </c>
      <c r="K176" s="7">
        <f>IF(F176="","",IF(LOWER(I176)&lt;&gt;"y","DISCARD (not lawful/ethical to use)",IF(J176&gt;=0.7,"record as context correction (W08) + intake evidence",IF(J176&gt;=0.4,"watch - seek corroboration","note only"))))</f>
        <v/>
      </c>
    </row>
    <row r="177">
      <c r="A177" s="8" t="n"/>
      <c r="B177" s="9" t="n"/>
      <c r="C177" s="9" t="n"/>
      <c r="D177" s="9" t="n"/>
      <c r="E177" s="10" t="n"/>
      <c r="F177" s="9" t="n"/>
      <c r="G177" s="9" t="n"/>
      <c r="H177" s="10" t="n"/>
      <c r="I177" s="9" t="n"/>
      <c r="J177" s="11">
        <f>IF(F177="","",MAX(0,MIN(1,(1-(CODE(UPPER(D177))-65)/5)*0.5+(1-(E177-1)/5)*0.3+MIN(N(H177),3)/3*0.2)))</f>
        <v/>
      </c>
      <c r="K177" s="7">
        <f>IF(F177="","",IF(LOWER(I177)&lt;&gt;"y","DISCARD (not lawful/ethical to use)",IF(J177&gt;=0.7,"record as context correction (W08) + intake evidence",IF(J177&gt;=0.4,"watch - seek corroboration","note only"))))</f>
        <v/>
      </c>
    </row>
    <row r="178">
      <c r="A178" s="8" t="n"/>
      <c r="B178" s="9" t="n"/>
      <c r="C178" s="9" t="n"/>
      <c r="D178" s="9" t="n"/>
      <c r="E178" s="10" t="n"/>
      <c r="F178" s="9" t="n"/>
      <c r="G178" s="9" t="n"/>
      <c r="H178" s="10" t="n"/>
      <c r="I178" s="9" t="n"/>
      <c r="J178" s="11">
        <f>IF(F178="","",MAX(0,MIN(1,(1-(CODE(UPPER(D178))-65)/5)*0.5+(1-(E178-1)/5)*0.3+MIN(N(H178),3)/3*0.2)))</f>
        <v/>
      </c>
      <c r="K178" s="7">
        <f>IF(F178="","",IF(LOWER(I178)&lt;&gt;"y","DISCARD (not lawful/ethical to use)",IF(J178&gt;=0.7,"record as context correction (W08) + intake evidence",IF(J178&gt;=0.4,"watch - seek corroboration","note only"))))</f>
        <v/>
      </c>
    </row>
    <row r="179">
      <c r="A179" s="8" t="n"/>
      <c r="B179" s="9" t="n"/>
      <c r="C179" s="9" t="n"/>
      <c r="D179" s="9" t="n"/>
      <c r="E179" s="10" t="n"/>
      <c r="F179" s="9" t="n"/>
      <c r="G179" s="9" t="n"/>
      <c r="H179" s="10" t="n"/>
      <c r="I179" s="9" t="n"/>
      <c r="J179" s="11">
        <f>IF(F179="","",MAX(0,MIN(1,(1-(CODE(UPPER(D179))-65)/5)*0.5+(1-(E179-1)/5)*0.3+MIN(N(H179),3)/3*0.2)))</f>
        <v/>
      </c>
      <c r="K179" s="7">
        <f>IF(F179="","",IF(LOWER(I179)&lt;&gt;"y","DISCARD (not lawful/ethical to use)",IF(J179&gt;=0.7,"record as context correction (W08) + intake evidence",IF(J179&gt;=0.4,"watch - seek corroboration","note only"))))</f>
        <v/>
      </c>
    </row>
    <row r="180">
      <c r="A180" s="8" t="n"/>
      <c r="B180" s="9" t="n"/>
      <c r="C180" s="9" t="n"/>
      <c r="D180" s="9" t="n"/>
      <c r="E180" s="10" t="n"/>
      <c r="F180" s="9" t="n"/>
      <c r="G180" s="9" t="n"/>
      <c r="H180" s="10" t="n"/>
      <c r="I180" s="9" t="n"/>
      <c r="J180" s="11">
        <f>IF(F180="","",MAX(0,MIN(1,(1-(CODE(UPPER(D180))-65)/5)*0.5+(1-(E180-1)/5)*0.3+MIN(N(H180),3)/3*0.2)))</f>
        <v/>
      </c>
      <c r="K180" s="7">
        <f>IF(F180="","",IF(LOWER(I180)&lt;&gt;"y","DISCARD (not lawful/ethical to use)",IF(J180&gt;=0.7,"record as context correction (W08) + intake evidence",IF(J180&gt;=0.4,"watch - seek corroboration","note only"))))</f>
        <v/>
      </c>
    </row>
    <row r="181">
      <c r="A181" s="8" t="n"/>
      <c r="B181" s="9" t="n"/>
      <c r="C181" s="9" t="n"/>
      <c r="D181" s="9" t="n"/>
      <c r="E181" s="10" t="n"/>
      <c r="F181" s="9" t="n"/>
      <c r="G181" s="9" t="n"/>
      <c r="H181" s="10" t="n"/>
      <c r="I181" s="9" t="n"/>
      <c r="J181" s="11">
        <f>IF(F181="","",MAX(0,MIN(1,(1-(CODE(UPPER(D181))-65)/5)*0.5+(1-(E181-1)/5)*0.3+MIN(N(H181),3)/3*0.2)))</f>
        <v/>
      </c>
      <c r="K181" s="7">
        <f>IF(F181="","",IF(LOWER(I181)&lt;&gt;"y","DISCARD (not lawful/ethical to use)",IF(J181&gt;=0.7,"record as context correction (W08) + intake evidence",IF(J181&gt;=0.4,"watch - seek corroboration","note only"))))</f>
        <v/>
      </c>
    </row>
    <row r="182">
      <c r="A182" s="8" t="n"/>
      <c r="B182" s="9" t="n"/>
      <c r="C182" s="9" t="n"/>
      <c r="D182" s="9" t="n"/>
      <c r="E182" s="10" t="n"/>
      <c r="F182" s="9" t="n"/>
      <c r="G182" s="9" t="n"/>
      <c r="H182" s="10" t="n"/>
      <c r="I182" s="9" t="n"/>
      <c r="J182" s="11">
        <f>IF(F182="","",MAX(0,MIN(1,(1-(CODE(UPPER(D182))-65)/5)*0.5+(1-(E182-1)/5)*0.3+MIN(N(H182),3)/3*0.2)))</f>
        <v/>
      </c>
      <c r="K182" s="7">
        <f>IF(F182="","",IF(LOWER(I182)&lt;&gt;"y","DISCARD (not lawful/ethical to use)",IF(J182&gt;=0.7,"record as context correction (W08) + intake evidence",IF(J182&gt;=0.4,"watch - seek corroboration","note only"))))</f>
        <v/>
      </c>
    </row>
    <row r="183">
      <c r="A183" s="8" t="n"/>
      <c r="B183" s="9" t="n"/>
      <c r="C183" s="9" t="n"/>
      <c r="D183" s="9" t="n"/>
      <c r="E183" s="10" t="n"/>
      <c r="F183" s="9" t="n"/>
      <c r="G183" s="9" t="n"/>
      <c r="H183" s="10" t="n"/>
      <c r="I183" s="9" t="n"/>
      <c r="J183" s="11">
        <f>IF(F183="","",MAX(0,MIN(1,(1-(CODE(UPPER(D183))-65)/5)*0.5+(1-(E183-1)/5)*0.3+MIN(N(H183),3)/3*0.2)))</f>
        <v/>
      </c>
      <c r="K183" s="7">
        <f>IF(F183="","",IF(LOWER(I183)&lt;&gt;"y","DISCARD (not lawful/ethical to use)",IF(J183&gt;=0.7,"record as context correction (W08) + intake evidence",IF(J183&gt;=0.4,"watch - seek corroboration","note only"))))</f>
        <v/>
      </c>
    </row>
    <row r="184">
      <c r="A184" s="8" t="n"/>
      <c r="B184" s="9" t="n"/>
      <c r="C184" s="9" t="n"/>
      <c r="D184" s="9" t="n"/>
      <c r="E184" s="10" t="n"/>
      <c r="F184" s="9" t="n"/>
      <c r="G184" s="9" t="n"/>
      <c r="H184" s="10" t="n"/>
      <c r="I184" s="9" t="n"/>
      <c r="J184" s="11">
        <f>IF(F184="","",MAX(0,MIN(1,(1-(CODE(UPPER(D184))-65)/5)*0.5+(1-(E184-1)/5)*0.3+MIN(N(H184),3)/3*0.2)))</f>
        <v/>
      </c>
      <c r="K184" s="7">
        <f>IF(F184="","",IF(LOWER(I184)&lt;&gt;"y","DISCARD (not lawful/ethical to use)",IF(J184&gt;=0.7,"record as context correction (W08) + intake evidence",IF(J184&gt;=0.4,"watch - seek corroboration","note only"))))</f>
        <v/>
      </c>
    </row>
    <row r="185">
      <c r="A185" s="8" t="n"/>
      <c r="B185" s="9" t="n"/>
      <c r="C185" s="9" t="n"/>
      <c r="D185" s="9" t="n"/>
      <c r="E185" s="10" t="n"/>
      <c r="F185" s="9" t="n"/>
      <c r="G185" s="9" t="n"/>
      <c r="H185" s="10" t="n"/>
      <c r="I185" s="9" t="n"/>
      <c r="J185" s="11">
        <f>IF(F185="","",MAX(0,MIN(1,(1-(CODE(UPPER(D185))-65)/5)*0.5+(1-(E185-1)/5)*0.3+MIN(N(H185),3)/3*0.2)))</f>
        <v/>
      </c>
      <c r="K185" s="7">
        <f>IF(F185="","",IF(LOWER(I185)&lt;&gt;"y","DISCARD (not lawful/ethical to use)",IF(J185&gt;=0.7,"record as context correction (W08) + intake evidence",IF(J185&gt;=0.4,"watch - seek corroboration","note only"))))</f>
        <v/>
      </c>
    </row>
    <row r="186">
      <c r="A186" s="8" t="n"/>
      <c r="B186" s="9" t="n"/>
      <c r="C186" s="9" t="n"/>
      <c r="D186" s="9" t="n"/>
      <c r="E186" s="10" t="n"/>
      <c r="F186" s="9" t="n"/>
      <c r="G186" s="9" t="n"/>
      <c r="H186" s="10" t="n"/>
      <c r="I186" s="9" t="n"/>
      <c r="J186" s="11">
        <f>IF(F186="","",MAX(0,MIN(1,(1-(CODE(UPPER(D186))-65)/5)*0.5+(1-(E186-1)/5)*0.3+MIN(N(H186),3)/3*0.2)))</f>
        <v/>
      </c>
      <c r="K186" s="7">
        <f>IF(F186="","",IF(LOWER(I186)&lt;&gt;"y","DISCARD (not lawful/ethical to use)",IF(J186&gt;=0.7,"record as context correction (W08) + intake evidence",IF(J186&gt;=0.4,"watch - seek corroboration","note only"))))</f>
        <v/>
      </c>
    </row>
    <row r="187">
      <c r="A187" s="8" t="n"/>
      <c r="B187" s="9" t="n"/>
      <c r="C187" s="9" t="n"/>
      <c r="D187" s="9" t="n"/>
      <c r="E187" s="10" t="n"/>
      <c r="F187" s="9" t="n"/>
      <c r="G187" s="9" t="n"/>
      <c r="H187" s="10" t="n"/>
      <c r="I187" s="9" t="n"/>
      <c r="J187" s="11">
        <f>IF(F187="","",MAX(0,MIN(1,(1-(CODE(UPPER(D187))-65)/5)*0.5+(1-(E187-1)/5)*0.3+MIN(N(H187),3)/3*0.2)))</f>
        <v/>
      </c>
      <c r="K187" s="7">
        <f>IF(F187="","",IF(LOWER(I187)&lt;&gt;"y","DISCARD (not lawful/ethical to use)",IF(J187&gt;=0.7,"record as context correction (W08) + intake evidence",IF(J187&gt;=0.4,"watch - seek corroboration","note only"))))</f>
        <v/>
      </c>
    </row>
    <row r="188">
      <c r="A188" s="8" t="n"/>
      <c r="B188" s="9" t="n"/>
      <c r="C188" s="9" t="n"/>
      <c r="D188" s="9" t="n"/>
      <c r="E188" s="10" t="n"/>
      <c r="F188" s="9" t="n"/>
      <c r="G188" s="9" t="n"/>
      <c r="H188" s="10" t="n"/>
      <c r="I188" s="9" t="n"/>
      <c r="J188" s="11">
        <f>IF(F188="","",MAX(0,MIN(1,(1-(CODE(UPPER(D188))-65)/5)*0.5+(1-(E188-1)/5)*0.3+MIN(N(H188),3)/3*0.2)))</f>
        <v/>
      </c>
      <c r="K188" s="7">
        <f>IF(F188="","",IF(LOWER(I188)&lt;&gt;"y","DISCARD (not lawful/ethical to use)",IF(J188&gt;=0.7,"record as context correction (W08) + intake evidence",IF(J188&gt;=0.4,"watch - seek corroboration","note only"))))</f>
        <v/>
      </c>
    </row>
    <row r="189">
      <c r="A189" s="8" t="n"/>
      <c r="B189" s="9" t="n"/>
      <c r="C189" s="9" t="n"/>
      <c r="D189" s="9" t="n"/>
      <c r="E189" s="10" t="n"/>
      <c r="F189" s="9" t="n"/>
      <c r="G189" s="9" t="n"/>
      <c r="H189" s="10" t="n"/>
      <c r="I189" s="9" t="n"/>
      <c r="J189" s="11">
        <f>IF(F189="","",MAX(0,MIN(1,(1-(CODE(UPPER(D189))-65)/5)*0.5+(1-(E189-1)/5)*0.3+MIN(N(H189),3)/3*0.2)))</f>
        <v/>
      </c>
      <c r="K189" s="7">
        <f>IF(F189="","",IF(LOWER(I189)&lt;&gt;"y","DISCARD (not lawful/ethical to use)",IF(J189&gt;=0.7,"record as context correction (W08) + intake evidence",IF(J189&gt;=0.4,"watch - seek corroboration","note only"))))</f>
        <v/>
      </c>
    </row>
    <row r="190">
      <c r="A190" s="8" t="n"/>
      <c r="B190" s="9" t="n"/>
      <c r="C190" s="9" t="n"/>
      <c r="D190" s="9" t="n"/>
      <c r="E190" s="10" t="n"/>
      <c r="F190" s="9" t="n"/>
      <c r="G190" s="9" t="n"/>
      <c r="H190" s="10" t="n"/>
      <c r="I190" s="9" t="n"/>
      <c r="J190" s="11">
        <f>IF(F190="","",MAX(0,MIN(1,(1-(CODE(UPPER(D190))-65)/5)*0.5+(1-(E190-1)/5)*0.3+MIN(N(H190),3)/3*0.2)))</f>
        <v/>
      </c>
      <c r="K190" s="7">
        <f>IF(F190="","",IF(LOWER(I190)&lt;&gt;"y","DISCARD (not lawful/ethical to use)",IF(J190&gt;=0.7,"record as context correction (W08) + intake evidence",IF(J190&gt;=0.4,"watch - seek corroboration","note only"))))</f>
        <v/>
      </c>
    </row>
    <row r="191">
      <c r="A191" s="8" t="n"/>
      <c r="B191" s="9" t="n"/>
      <c r="C191" s="9" t="n"/>
      <c r="D191" s="9" t="n"/>
      <c r="E191" s="10" t="n"/>
      <c r="F191" s="9" t="n"/>
      <c r="G191" s="9" t="n"/>
      <c r="H191" s="10" t="n"/>
      <c r="I191" s="9" t="n"/>
      <c r="J191" s="11">
        <f>IF(F191="","",MAX(0,MIN(1,(1-(CODE(UPPER(D191))-65)/5)*0.5+(1-(E191-1)/5)*0.3+MIN(N(H191),3)/3*0.2)))</f>
        <v/>
      </c>
      <c r="K191" s="7">
        <f>IF(F191="","",IF(LOWER(I191)&lt;&gt;"y","DISCARD (not lawful/ethical to use)",IF(J191&gt;=0.7,"record as context correction (W08) + intake evidence",IF(J191&gt;=0.4,"watch - seek corroboration","note only"))))</f>
        <v/>
      </c>
    </row>
    <row r="192">
      <c r="A192" s="8" t="n"/>
      <c r="B192" s="9" t="n"/>
      <c r="C192" s="9" t="n"/>
      <c r="D192" s="9" t="n"/>
      <c r="E192" s="10" t="n"/>
      <c r="F192" s="9" t="n"/>
      <c r="G192" s="9" t="n"/>
      <c r="H192" s="10" t="n"/>
      <c r="I192" s="9" t="n"/>
      <c r="J192" s="11">
        <f>IF(F192="","",MAX(0,MIN(1,(1-(CODE(UPPER(D192))-65)/5)*0.5+(1-(E192-1)/5)*0.3+MIN(N(H192),3)/3*0.2)))</f>
        <v/>
      </c>
      <c r="K192" s="7">
        <f>IF(F192="","",IF(LOWER(I192)&lt;&gt;"y","DISCARD (not lawful/ethical to use)",IF(J192&gt;=0.7,"record as context correction (W08) + intake evidence",IF(J192&gt;=0.4,"watch - seek corroboration","note only"))))</f>
        <v/>
      </c>
    </row>
    <row r="193">
      <c r="A193" s="8" t="n"/>
      <c r="B193" s="9" t="n"/>
      <c r="C193" s="9" t="n"/>
      <c r="D193" s="9" t="n"/>
      <c r="E193" s="10" t="n"/>
      <c r="F193" s="9" t="n"/>
      <c r="G193" s="9" t="n"/>
      <c r="H193" s="10" t="n"/>
      <c r="I193" s="9" t="n"/>
      <c r="J193" s="11">
        <f>IF(F193="","",MAX(0,MIN(1,(1-(CODE(UPPER(D193))-65)/5)*0.5+(1-(E193-1)/5)*0.3+MIN(N(H193),3)/3*0.2)))</f>
        <v/>
      </c>
      <c r="K193" s="7">
        <f>IF(F193="","",IF(LOWER(I193)&lt;&gt;"y","DISCARD (not lawful/ethical to use)",IF(J193&gt;=0.7,"record as context correction (W08) + intake evidence",IF(J193&gt;=0.4,"watch - seek corroboration","note only"))))</f>
        <v/>
      </c>
    </row>
    <row r="194">
      <c r="A194" s="8" t="n"/>
      <c r="B194" s="9" t="n"/>
      <c r="C194" s="9" t="n"/>
      <c r="D194" s="9" t="n"/>
      <c r="E194" s="10" t="n"/>
      <c r="F194" s="9" t="n"/>
      <c r="G194" s="9" t="n"/>
      <c r="H194" s="10" t="n"/>
      <c r="I194" s="9" t="n"/>
      <c r="J194" s="11">
        <f>IF(F194="","",MAX(0,MIN(1,(1-(CODE(UPPER(D194))-65)/5)*0.5+(1-(E194-1)/5)*0.3+MIN(N(H194),3)/3*0.2)))</f>
        <v/>
      </c>
      <c r="K194" s="7">
        <f>IF(F194="","",IF(LOWER(I194)&lt;&gt;"y","DISCARD (not lawful/ethical to use)",IF(J194&gt;=0.7,"record as context correction (W08) + intake evidence",IF(J194&gt;=0.4,"watch - seek corroboration","note only"))))</f>
        <v/>
      </c>
    </row>
    <row r="195">
      <c r="A195" s="8" t="n"/>
      <c r="B195" s="9" t="n"/>
      <c r="C195" s="9" t="n"/>
      <c r="D195" s="9" t="n"/>
      <c r="E195" s="10" t="n"/>
      <c r="F195" s="9" t="n"/>
      <c r="G195" s="9" t="n"/>
      <c r="H195" s="10" t="n"/>
      <c r="I195" s="9" t="n"/>
      <c r="J195" s="11">
        <f>IF(F195="","",MAX(0,MIN(1,(1-(CODE(UPPER(D195))-65)/5)*0.5+(1-(E195-1)/5)*0.3+MIN(N(H195),3)/3*0.2)))</f>
        <v/>
      </c>
      <c r="K195" s="7">
        <f>IF(F195="","",IF(LOWER(I195)&lt;&gt;"y","DISCARD (not lawful/ethical to use)",IF(J195&gt;=0.7,"record as context correction (W08) + intake evidence",IF(J195&gt;=0.4,"watch - seek corroboration","note only"))))</f>
        <v/>
      </c>
    </row>
    <row r="196">
      <c r="A196" s="8" t="n"/>
      <c r="B196" s="9" t="n"/>
      <c r="C196" s="9" t="n"/>
      <c r="D196" s="9" t="n"/>
      <c r="E196" s="10" t="n"/>
      <c r="F196" s="9" t="n"/>
      <c r="G196" s="9" t="n"/>
      <c r="H196" s="10" t="n"/>
      <c r="I196" s="9" t="n"/>
      <c r="J196" s="11">
        <f>IF(F196="","",MAX(0,MIN(1,(1-(CODE(UPPER(D196))-65)/5)*0.5+(1-(E196-1)/5)*0.3+MIN(N(H196),3)/3*0.2)))</f>
        <v/>
      </c>
      <c r="K196" s="7">
        <f>IF(F196="","",IF(LOWER(I196)&lt;&gt;"y","DISCARD (not lawful/ethical to use)",IF(J196&gt;=0.7,"record as context correction (W08) + intake evidence",IF(J196&gt;=0.4,"watch - seek corroboration","note only"))))</f>
        <v/>
      </c>
    </row>
    <row r="197">
      <c r="A197" s="8" t="n"/>
      <c r="B197" s="9" t="n"/>
      <c r="C197" s="9" t="n"/>
      <c r="D197" s="9" t="n"/>
      <c r="E197" s="10" t="n"/>
      <c r="F197" s="9" t="n"/>
      <c r="G197" s="9" t="n"/>
      <c r="H197" s="10" t="n"/>
      <c r="I197" s="9" t="n"/>
      <c r="J197" s="11">
        <f>IF(F197="","",MAX(0,MIN(1,(1-(CODE(UPPER(D197))-65)/5)*0.5+(1-(E197-1)/5)*0.3+MIN(N(H197),3)/3*0.2)))</f>
        <v/>
      </c>
      <c r="K197" s="7">
        <f>IF(F197="","",IF(LOWER(I197)&lt;&gt;"y","DISCARD (not lawful/ethical to use)",IF(J197&gt;=0.7,"record as context correction (W08) + intake evidence",IF(J197&gt;=0.4,"watch - seek corroboration","note only"))))</f>
        <v/>
      </c>
    </row>
    <row r="198">
      <c r="A198" s="8" t="n"/>
      <c r="B198" s="9" t="n"/>
      <c r="C198" s="9" t="n"/>
      <c r="D198" s="9" t="n"/>
      <c r="E198" s="10" t="n"/>
      <c r="F198" s="9" t="n"/>
      <c r="G198" s="9" t="n"/>
      <c r="H198" s="10" t="n"/>
      <c r="I198" s="9" t="n"/>
      <c r="J198" s="11">
        <f>IF(F198="","",MAX(0,MIN(1,(1-(CODE(UPPER(D198))-65)/5)*0.5+(1-(E198-1)/5)*0.3+MIN(N(H198),3)/3*0.2)))</f>
        <v/>
      </c>
      <c r="K198" s="7">
        <f>IF(F198="","",IF(LOWER(I198)&lt;&gt;"y","DISCARD (not lawful/ethical to use)",IF(J198&gt;=0.7,"record as context correction (W08) + intake evidence",IF(J198&gt;=0.4,"watch - seek corroboration","note only"))))</f>
        <v/>
      </c>
    </row>
    <row r="199">
      <c r="A199" s="8" t="n"/>
      <c r="B199" s="9" t="n"/>
      <c r="C199" s="9" t="n"/>
      <c r="D199" s="9" t="n"/>
      <c r="E199" s="10" t="n"/>
      <c r="F199" s="9" t="n"/>
      <c r="G199" s="9" t="n"/>
      <c r="H199" s="10" t="n"/>
      <c r="I199" s="9" t="n"/>
      <c r="J199" s="11">
        <f>IF(F199="","",MAX(0,MIN(1,(1-(CODE(UPPER(D199))-65)/5)*0.5+(1-(E199-1)/5)*0.3+MIN(N(H199),3)/3*0.2)))</f>
        <v/>
      </c>
      <c r="K199" s="7">
        <f>IF(F199="","",IF(LOWER(I199)&lt;&gt;"y","DISCARD (not lawful/ethical to use)",IF(J199&gt;=0.7,"record as context correction (W08) + intake evidence",IF(J199&gt;=0.4,"watch - seek corroboration","note only"))))</f>
        <v/>
      </c>
    </row>
    <row r="200">
      <c r="A200" s="8" t="n"/>
      <c r="B200" s="9" t="n"/>
      <c r="C200" s="9" t="n"/>
      <c r="D200" s="9" t="n"/>
      <c r="E200" s="10" t="n"/>
      <c r="F200" s="9" t="n"/>
      <c r="G200" s="9" t="n"/>
      <c r="H200" s="10" t="n"/>
      <c r="I200" s="9" t="n"/>
      <c r="J200" s="11">
        <f>IF(F200="","",MAX(0,MIN(1,(1-(CODE(UPPER(D200))-65)/5)*0.5+(1-(E200-1)/5)*0.3+MIN(N(H200),3)/3*0.2)))</f>
        <v/>
      </c>
      <c r="K200" s="7">
        <f>IF(F200="","",IF(LOWER(I200)&lt;&gt;"y","DISCARD (not lawful/ethical to use)",IF(J200&gt;=0.7,"record as context correction (W08) + intake evidence",IF(J200&gt;=0.4,"watch - seek corroboration","note only"))))</f>
        <v/>
      </c>
    </row>
    <row r="201">
      <c r="A201" s="8" t="n"/>
      <c r="B201" s="9" t="n"/>
      <c r="C201" s="9" t="n"/>
      <c r="D201" s="9" t="n"/>
      <c r="E201" s="10" t="n"/>
      <c r="F201" s="9" t="n"/>
      <c r="G201" s="9" t="n"/>
      <c r="H201" s="10" t="n"/>
      <c r="I201" s="9" t="n"/>
      <c r="J201" s="11">
        <f>IF(F201="","",MAX(0,MIN(1,(1-(CODE(UPPER(D201))-65)/5)*0.5+(1-(E201-1)/5)*0.3+MIN(N(H201),3)/3*0.2)))</f>
        <v/>
      </c>
      <c r="K201" s="7">
        <f>IF(F201="","",IF(LOWER(I201)&lt;&gt;"y","DISCARD (not lawful/ethical to use)",IF(J201&gt;=0.7,"record as context correction (W08) + intake evidence",IF(J201&gt;=0.4,"watch - seek corroboration","note only"))))</f>
        <v/>
      </c>
    </row>
    <row r="202">
      <c r="A202" s="8" t="n"/>
      <c r="B202" s="9" t="n"/>
      <c r="C202" s="9" t="n"/>
      <c r="D202" s="9" t="n"/>
      <c r="E202" s="10" t="n"/>
      <c r="F202" s="9" t="n"/>
      <c r="G202" s="9" t="n"/>
      <c r="H202" s="10" t="n"/>
      <c r="I202" s="9" t="n"/>
      <c r="J202" s="11">
        <f>IF(F202="","",MAX(0,MIN(1,(1-(CODE(UPPER(D202))-65)/5)*0.5+(1-(E202-1)/5)*0.3+MIN(N(H202),3)/3*0.2)))</f>
        <v/>
      </c>
      <c r="K202" s="7">
        <f>IF(F202="","",IF(LOWER(I202)&lt;&gt;"y","DISCARD (not lawful/ethical to use)",IF(J202&gt;=0.7,"record as context correction (W08) + intake evidence",IF(J202&gt;=0.4,"watch - seek corroboration","note only"))))</f>
        <v/>
      </c>
    </row>
    <row r="203">
      <c r="A203" s="8" t="n"/>
      <c r="B203" s="9" t="n"/>
      <c r="C203" s="9" t="n"/>
      <c r="D203" s="9" t="n"/>
      <c r="E203" s="10" t="n"/>
      <c r="F203" s="9" t="n"/>
      <c r="G203" s="9" t="n"/>
      <c r="H203" s="10" t="n"/>
      <c r="I203" s="9" t="n"/>
      <c r="J203" s="11">
        <f>IF(F203="","",MAX(0,MIN(1,(1-(CODE(UPPER(D203))-65)/5)*0.5+(1-(E203-1)/5)*0.3+MIN(N(H203),3)/3*0.2)))</f>
        <v/>
      </c>
      <c r="K203" s="7">
        <f>IF(F203="","",IF(LOWER(I203)&lt;&gt;"y","DISCARD (not lawful/ethical to use)",IF(J203&gt;=0.7,"record as context correction (W08) + intake evidence",IF(J203&gt;=0.4,"watch - seek corroboration","note only"))))</f>
        <v/>
      </c>
    </row>
    <row r="204">
      <c r="A204" s="8" t="n"/>
      <c r="B204" s="9" t="n"/>
      <c r="C204" s="9" t="n"/>
      <c r="D204" s="9" t="n"/>
      <c r="E204" s="10" t="n"/>
      <c r="F204" s="9" t="n"/>
      <c r="G204" s="9" t="n"/>
      <c r="H204" s="10" t="n"/>
      <c r="I204" s="9" t="n"/>
      <c r="J204" s="11">
        <f>IF(F204="","",MAX(0,MIN(1,(1-(CODE(UPPER(D204))-65)/5)*0.5+(1-(E204-1)/5)*0.3+MIN(N(H204),3)/3*0.2)))</f>
        <v/>
      </c>
      <c r="K204" s="7">
        <f>IF(F204="","",IF(LOWER(I204)&lt;&gt;"y","DISCARD (not lawful/ethical to use)",IF(J204&gt;=0.7,"record as context correction (W08) + intake evidence",IF(J204&gt;=0.4,"watch - seek corroboration","note only"))))</f>
        <v/>
      </c>
    </row>
    <row r="205">
      <c r="A205" s="8" t="n"/>
      <c r="B205" s="9" t="n"/>
      <c r="C205" s="9" t="n"/>
      <c r="D205" s="9" t="n"/>
      <c r="E205" s="10" t="n"/>
      <c r="F205" s="9" t="n"/>
      <c r="G205" s="9" t="n"/>
      <c r="H205" s="10" t="n"/>
      <c r="I205" s="9" t="n"/>
      <c r="J205" s="11">
        <f>IF(F205="","",MAX(0,MIN(1,(1-(CODE(UPPER(D205))-65)/5)*0.5+(1-(E205-1)/5)*0.3+MIN(N(H205),3)/3*0.2)))</f>
        <v/>
      </c>
      <c r="K205" s="7">
        <f>IF(F205="","",IF(LOWER(I205)&lt;&gt;"y","DISCARD (not lawful/ethical to use)",IF(J205&gt;=0.7,"record as context correction (W08) + intake evidence",IF(J205&gt;=0.4,"watch - seek corroboration","note only"))))</f>
        <v/>
      </c>
    </row>
    <row r="206">
      <c r="A206" s="8" t="n"/>
      <c r="B206" s="9" t="n"/>
      <c r="C206" s="9" t="n"/>
      <c r="D206" s="9" t="n"/>
      <c r="E206" s="10" t="n"/>
      <c r="F206" s="9" t="n"/>
      <c r="G206" s="9" t="n"/>
      <c r="H206" s="10" t="n"/>
      <c r="I206" s="9" t="n"/>
      <c r="J206" s="11">
        <f>IF(F206="","",MAX(0,MIN(1,(1-(CODE(UPPER(D206))-65)/5)*0.5+(1-(E206-1)/5)*0.3+MIN(N(H206),3)/3*0.2)))</f>
        <v/>
      </c>
      <c r="K206" s="7">
        <f>IF(F206="","",IF(LOWER(I206)&lt;&gt;"y","DISCARD (not lawful/ethical to use)",IF(J206&gt;=0.7,"record as context correction (W08) + intake evidence",IF(J206&gt;=0.4,"watch - seek corroboration","note only"))))</f>
        <v/>
      </c>
    </row>
    <row r="207">
      <c r="A207" s="8" t="n"/>
      <c r="B207" s="9" t="n"/>
      <c r="C207" s="9" t="n"/>
      <c r="D207" s="9" t="n"/>
      <c r="E207" s="10" t="n"/>
      <c r="F207" s="9" t="n"/>
      <c r="G207" s="9" t="n"/>
      <c r="H207" s="10" t="n"/>
      <c r="I207" s="9" t="n"/>
      <c r="J207" s="11">
        <f>IF(F207="","",MAX(0,MIN(1,(1-(CODE(UPPER(D207))-65)/5)*0.5+(1-(E207-1)/5)*0.3+MIN(N(H207),3)/3*0.2)))</f>
        <v/>
      </c>
      <c r="K207" s="7">
        <f>IF(F207="","",IF(LOWER(I207)&lt;&gt;"y","DISCARD (not lawful/ethical to use)",IF(J207&gt;=0.7,"record as context correction (W08) + intake evidence",IF(J207&gt;=0.4,"watch - seek corroboration","note only"))))</f>
        <v/>
      </c>
    </row>
    <row r="208">
      <c r="A208" s="8" t="n"/>
      <c r="B208" s="9" t="n"/>
      <c r="C208" s="9" t="n"/>
      <c r="D208" s="9" t="n"/>
      <c r="E208" s="10" t="n"/>
      <c r="F208" s="9" t="n"/>
      <c r="G208" s="9" t="n"/>
      <c r="H208" s="10" t="n"/>
      <c r="I208" s="9" t="n"/>
      <c r="J208" s="11">
        <f>IF(F208="","",MAX(0,MIN(1,(1-(CODE(UPPER(D208))-65)/5)*0.5+(1-(E208-1)/5)*0.3+MIN(N(H208),3)/3*0.2)))</f>
        <v/>
      </c>
      <c r="K208" s="7">
        <f>IF(F208="","",IF(LOWER(I208)&lt;&gt;"y","DISCARD (not lawful/ethical to use)",IF(J208&gt;=0.7,"record as context correction (W08) + intake evidence",IF(J208&gt;=0.4,"watch - seek corroboration","note only"))))</f>
        <v/>
      </c>
    </row>
    <row r="209">
      <c r="A209" s="8" t="n"/>
      <c r="B209" s="9" t="n"/>
      <c r="C209" s="9" t="n"/>
      <c r="D209" s="9" t="n"/>
      <c r="E209" s="10" t="n"/>
      <c r="F209" s="9" t="n"/>
      <c r="G209" s="9" t="n"/>
      <c r="H209" s="10" t="n"/>
      <c r="I209" s="9" t="n"/>
      <c r="J209" s="11">
        <f>IF(F209="","",MAX(0,MIN(1,(1-(CODE(UPPER(D209))-65)/5)*0.5+(1-(E209-1)/5)*0.3+MIN(N(H209),3)/3*0.2)))</f>
        <v/>
      </c>
      <c r="K209" s="7">
        <f>IF(F209="","",IF(LOWER(I209)&lt;&gt;"y","DISCARD (not lawful/ethical to use)",IF(J209&gt;=0.7,"record as context correction (W08) + intake evidence",IF(J209&gt;=0.4,"watch - seek corroboration","note only"))))</f>
        <v/>
      </c>
    </row>
    <row r="210">
      <c r="A210" s="8" t="n"/>
      <c r="B210" s="9" t="n"/>
      <c r="C210" s="9" t="n"/>
      <c r="D210" s="9" t="n"/>
      <c r="E210" s="10" t="n"/>
      <c r="F210" s="9" t="n"/>
      <c r="G210" s="9" t="n"/>
      <c r="H210" s="10" t="n"/>
      <c r="I210" s="9" t="n"/>
      <c r="J210" s="11">
        <f>IF(F210="","",MAX(0,MIN(1,(1-(CODE(UPPER(D210))-65)/5)*0.5+(1-(E210-1)/5)*0.3+MIN(N(H210),3)/3*0.2)))</f>
        <v/>
      </c>
      <c r="K210" s="7">
        <f>IF(F210="","",IF(LOWER(I210)&lt;&gt;"y","DISCARD (not lawful/ethical to use)",IF(J210&gt;=0.7,"record as context correction (W08) + intake evidence",IF(J210&gt;=0.4,"watch - seek corroboration","note only"))))</f>
        <v/>
      </c>
    </row>
    <row r="211">
      <c r="A211" s="8" t="n"/>
      <c r="B211" s="9" t="n"/>
      <c r="C211" s="9" t="n"/>
      <c r="D211" s="9" t="n"/>
      <c r="E211" s="10" t="n"/>
      <c r="F211" s="9" t="n"/>
      <c r="G211" s="9" t="n"/>
      <c r="H211" s="10" t="n"/>
      <c r="I211" s="9" t="n"/>
      <c r="J211" s="11">
        <f>IF(F211="","",MAX(0,MIN(1,(1-(CODE(UPPER(D211))-65)/5)*0.5+(1-(E211-1)/5)*0.3+MIN(N(H211),3)/3*0.2)))</f>
        <v/>
      </c>
      <c r="K211" s="7">
        <f>IF(F211="","",IF(LOWER(I211)&lt;&gt;"y","DISCARD (not lawful/ethical to use)",IF(J211&gt;=0.7,"record as context correction (W08) + intake evidence",IF(J211&gt;=0.4,"watch - seek corroboration","note only"))))</f>
        <v/>
      </c>
    </row>
    <row r="212">
      <c r="A212" s="8" t="n"/>
      <c r="B212" s="9" t="n"/>
      <c r="C212" s="9" t="n"/>
      <c r="D212" s="9" t="n"/>
      <c r="E212" s="10" t="n"/>
      <c r="F212" s="9" t="n"/>
      <c r="G212" s="9" t="n"/>
      <c r="H212" s="10" t="n"/>
      <c r="I212" s="9" t="n"/>
      <c r="J212" s="11">
        <f>IF(F212="","",MAX(0,MIN(1,(1-(CODE(UPPER(D212))-65)/5)*0.5+(1-(E212-1)/5)*0.3+MIN(N(H212),3)/3*0.2)))</f>
        <v/>
      </c>
      <c r="K212" s="7">
        <f>IF(F212="","",IF(LOWER(I212)&lt;&gt;"y","DISCARD (not lawful/ethical to use)",IF(J212&gt;=0.7,"record as context correction (W08) + intake evidence",IF(J212&gt;=0.4,"watch - seek corroboration","note only"))))</f>
        <v/>
      </c>
    </row>
    <row r="213">
      <c r="A213" s="8" t="n"/>
      <c r="B213" s="9" t="n"/>
      <c r="C213" s="9" t="n"/>
      <c r="D213" s="9" t="n"/>
      <c r="E213" s="10" t="n"/>
      <c r="F213" s="9" t="n"/>
      <c r="G213" s="9" t="n"/>
      <c r="H213" s="10" t="n"/>
      <c r="I213" s="9" t="n"/>
      <c r="J213" s="11">
        <f>IF(F213="","",MAX(0,MIN(1,(1-(CODE(UPPER(D213))-65)/5)*0.5+(1-(E213-1)/5)*0.3+MIN(N(H213),3)/3*0.2)))</f>
        <v/>
      </c>
      <c r="K213" s="7">
        <f>IF(F213="","",IF(LOWER(I213)&lt;&gt;"y","DISCARD (not lawful/ethical to use)",IF(J213&gt;=0.7,"record as context correction (W08) + intake evidence",IF(J213&gt;=0.4,"watch - seek corroboration","note only"))))</f>
        <v/>
      </c>
    </row>
    <row r="214">
      <c r="A214" s="8" t="n"/>
      <c r="B214" s="9" t="n"/>
      <c r="C214" s="9" t="n"/>
      <c r="D214" s="9" t="n"/>
      <c r="E214" s="10" t="n"/>
      <c r="F214" s="9" t="n"/>
      <c r="G214" s="9" t="n"/>
      <c r="H214" s="10" t="n"/>
      <c r="I214" s="9" t="n"/>
      <c r="J214" s="11">
        <f>IF(F214="","",MAX(0,MIN(1,(1-(CODE(UPPER(D214))-65)/5)*0.5+(1-(E214-1)/5)*0.3+MIN(N(H214),3)/3*0.2)))</f>
        <v/>
      </c>
      <c r="K214" s="7">
        <f>IF(F214="","",IF(LOWER(I214)&lt;&gt;"y","DISCARD (not lawful/ethical to use)",IF(J214&gt;=0.7,"record as context correction (W08) + intake evidence",IF(J214&gt;=0.4,"watch - seek corroboration","note only"))))</f>
        <v/>
      </c>
    </row>
    <row r="215">
      <c r="A215" s="8" t="n"/>
      <c r="B215" s="9" t="n"/>
      <c r="C215" s="9" t="n"/>
      <c r="D215" s="9" t="n"/>
      <c r="E215" s="10" t="n"/>
      <c r="F215" s="9" t="n"/>
      <c r="G215" s="9" t="n"/>
      <c r="H215" s="10" t="n"/>
      <c r="I215" s="9" t="n"/>
      <c r="J215" s="11">
        <f>IF(F215="","",MAX(0,MIN(1,(1-(CODE(UPPER(D215))-65)/5)*0.5+(1-(E215-1)/5)*0.3+MIN(N(H215),3)/3*0.2)))</f>
        <v/>
      </c>
      <c r="K215" s="7">
        <f>IF(F215="","",IF(LOWER(I215)&lt;&gt;"y","DISCARD (not lawful/ethical to use)",IF(J215&gt;=0.7,"record as context correction (W08) + intake evidence",IF(J215&gt;=0.4,"watch - seek corroboration","note only"))))</f>
        <v/>
      </c>
    </row>
    <row r="216">
      <c r="A216" s="8" t="n"/>
      <c r="B216" s="9" t="n"/>
      <c r="C216" s="9" t="n"/>
      <c r="D216" s="9" t="n"/>
      <c r="E216" s="10" t="n"/>
      <c r="F216" s="9" t="n"/>
      <c r="G216" s="9" t="n"/>
      <c r="H216" s="10" t="n"/>
      <c r="I216" s="9" t="n"/>
      <c r="J216" s="11">
        <f>IF(F216="","",MAX(0,MIN(1,(1-(CODE(UPPER(D216))-65)/5)*0.5+(1-(E216-1)/5)*0.3+MIN(N(H216),3)/3*0.2)))</f>
        <v/>
      </c>
      <c r="K216" s="7">
        <f>IF(F216="","",IF(LOWER(I216)&lt;&gt;"y","DISCARD (not lawful/ethical to use)",IF(J216&gt;=0.7,"record as context correction (W08) + intake evidence",IF(J216&gt;=0.4,"watch - seek corroboration","note only"))))</f>
        <v/>
      </c>
    </row>
    <row r="217">
      <c r="A217" s="8" t="n"/>
      <c r="B217" s="9" t="n"/>
      <c r="C217" s="9" t="n"/>
      <c r="D217" s="9" t="n"/>
      <c r="E217" s="10" t="n"/>
      <c r="F217" s="9" t="n"/>
      <c r="G217" s="9" t="n"/>
      <c r="H217" s="10" t="n"/>
      <c r="I217" s="9" t="n"/>
      <c r="J217" s="11">
        <f>IF(F217="","",MAX(0,MIN(1,(1-(CODE(UPPER(D217))-65)/5)*0.5+(1-(E217-1)/5)*0.3+MIN(N(H217),3)/3*0.2)))</f>
        <v/>
      </c>
      <c r="K217" s="7">
        <f>IF(F217="","",IF(LOWER(I217)&lt;&gt;"y","DISCARD (not lawful/ethical to use)",IF(J217&gt;=0.7,"record as context correction (W08) + intake evidence",IF(J217&gt;=0.4,"watch - seek corroboration","note only"))))</f>
        <v/>
      </c>
    </row>
    <row r="218">
      <c r="A218" s="8" t="n"/>
      <c r="B218" s="9" t="n"/>
      <c r="C218" s="9" t="n"/>
      <c r="D218" s="9" t="n"/>
      <c r="E218" s="10" t="n"/>
      <c r="F218" s="9" t="n"/>
      <c r="G218" s="9" t="n"/>
      <c r="H218" s="10" t="n"/>
      <c r="I218" s="9" t="n"/>
      <c r="J218" s="11">
        <f>IF(F218="","",MAX(0,MIN(1,(1-(CODE(UPPER(D218))-65)/5)*0.5+(1-(E218-1)/5)*0.3+MIN(N(H218),3)/3*0.2)))</f>
        <v/>
      </c>
      <c r="K218" s="7">
        <f>IF(F218="","",IF(LOWER(I218)&lt;&gt;"y","DISCARD (not lawful/ethical to use)",IF(J218&gt;=0.7,"record as context correction (W08) + intake evidence",IF(J218&gt;=0.4,"watch - seek corroboration","note only"))))</f>
        <v/>
      </c>
    </row>
    <row r="219">
      <c r="A219" s="8" t="n"/>
      <c r="B219" s="9" t="n"/>
      <c r="C219" s="9" t="n"/>
      <c r="D219" s="9" t="n"/>
      <c r="E219" s="10" t="n"/>
      <c r="F219" s="9" t="n"/>
      <c r="G219" s="9" t="n"/>
      <c r="H219" s="10" t="n"/>
      <c r="I219" s="9" t="n"/>
      <c r="J219" s="11">
        <f>IF(F219="","",MAX(0,MIN(1,(1-(CODE(UPPER(D219))-65)/5)*0.5+(1-(E219-1)/5)*0.3+MIN(N(H219),3)/3*0.2)))</f>
        <v/>
      </c>
      <c r="K219" s="7">
        <f>IF(F219="","",IF(LOWER(I219)&lt;&gt;"y","DISCARD (not lawful/ethical to use)",IF(J219&gt;=0.7,"record as context correction (W08) + intake evidence",IF(J219&gt;=0.4,"watch - seek corroboration","note only"))))</f>
        <v/>
      </c>
    </row>
    <row r="220">
      <c r="A220" s="8" t="n"/>
      <c r="B220" s="9" t="n"/>
      <c r="C220" s="9" t="n"/>
      <c r="D220" s="9" t="n"/>
      <c r="E220" s="10" t="n"/>
      <c r="F220" s="9" t="n"/>
      <c r="G220" s="9" t="n"/>
      <c r="H220" s="10" t="n"/>
      <c r="I220" s="9" t="n"/>
      <c r="J220" s="11">
        <f>IF(F220="","",MAX(0,MIN(1,(1-(CODE(UPPER(D220))-65)/5)*0.5+(1-(E220-1)/5)*0.3+MIN(N(H220),3)/3*0.2)))</f>
        <v/>
      </c>
      <c r="K220" s="7">
        <f>IF(F220="","",IF(LOWER(I220)&lt;&gt;"y","DISCARD (not lawful/ethical to use)",IF(J220&gt;=0.7,"record as context correction (W08) + intake evidence",IF(J220&gt;=0.4,"watch - seek corroboration","note only"))))</f>
        <v/>
      </c>
    </row>
    <row r="221">
      <c r="A221" s="8" t="n"/>
      <c r="B221" s="9" t="n"/>
      <c r="C221" s="9" t="n"/>
      <c r="D221" s="9" t="n"/>
      <c r="E221" s="10" t="n"/>
      <c r="F221" s="9" t="n"/>
      <c r="G221" s="9" t="n"/>
      <c r="H221" s="10" t="n"/>
      <c r="I221" s="9" t="n"/>
      <c r="J221" s="11">
        <f>IF(F221="","",MAX(0,MIN(1,(1-(CODE(UPPER(D221))-65)/5)*0.5+(1-(E221-1)/5)*0.3+MIN(N(H221),3)/3*0.2)))</f>
        <v/>
      </c>
      <c r="K221" s="7">
        <f>IF(F221="","",IF(LOWER(I221)&lt;&gt;"y","DISCARD (not lawful/ethical to use)",IF(J221&gt;=0.7,"record as context correction (W08) + intake evidence",IF(J221&gt;=0.4,"watch - seek corroboration","note only"))))</f>
        <v/>
      </c>
    </row>
    <row r="222">
      <c r="A222" s="8" t="n"/>
      <c r="B222" s="9" t="n"/>
      <c r="C222" s="9" t="n"/>
      <c r="D222" s="9" t="n"/>
      <c r="E222" s="10" t="n"/>
      <c r="F222" s="9" t="n"/>
      <c r="G222" s="9" t="n"/>
      <c r="H222" s="10" t="n"/>
      <c r="I222" s="9" t="n"/>
      <c r="J222" s="11">
        <f>IF(F222="","",MAX(0,MIN(1,(1-(CODE(UPPER(D222))-65)/5)*0.5+(1-(E222-1)/5)*0.3+MIN(N(H222),3)/3*0.2)))</f>
        <v/>
      </c>
      <c r="K222" s="7">
        <f>IF(F222="","",IF(LOWER(I222)&lt;&gt;"y","DISCARD (not lawful/ethical to use)",IF(J222&gt;=0.7,"record as context correction (W08) + intake evidence",IF(J222&gt;=0.4,"watch - seek corroboration","note only"))))</f>
        <v/>
      </c>
    </row>
    <row r="223">
      <c r="A223" s="8" t="n"/>
      <c r="B223" s="9" t="n"/>
      <c r="C223" s="9" t="n"/>
      <c r="D223" s="9" t="n"/>
      <c r="E223" s="10" t="n"/>
      <c r="F223" s="9" t="n"/>
      <c r="G223" s="9" t="n"/>
      <c r="H223" s="10" t="n"/>
      <c r="I223" s="9" t="n"/>
      <c r="J223" s="11">
        <f>IF(F223="","",MAX(0,MIN(1,(1-(CODE(UPPER(D223))-65)/5)*0.5+(1-(E223-1)/5)*0.3+MIN(N(H223),3)/3*0.2)))</f>
        <v/>
      </c>
      <c r="K223" s="7">
        <f>IF(F223="","",IF(LOWER(I223)&lt;&gt;"y","DISCARD (not lawful/ethical to use)",IF(J223&gt;=0.7,"record as context correction (W08) + intake evidence",IF(J223&gt;=0.4,"watch - seek corroboration","note only"))))</f>
        <v/>
      </c>
    </row>
    <row r="224">
      <c r="A224" s="8" t="n"/>
      <c r="B224" s="9" t="n"/>
      <c r="C224" s="9" t="n"/>
      <c r="D224" s="9" t="n"/>
      <c r="E224" s="10" t="n"/>
      <c r="F224" s="9" t="n"/>
      <c r="G224" s="9" t="n"/>
      <c r="H224" s="10" t="n"/>
      <c r="I224" s="9" t="n"/>
      <c r="J224" s="11">
        <f>IF(F224="","",MAX(0,MIN(1,(1-(CODE(UPPER(D224))-65)/5)*0.5+(1-(E224-1)/5)*0.3+MIN(N(H224),3)/3*0.2)))</f>
        <v/>
      </c>
      <c r="K224" s="7">
        <f>IF(F224="","",IF(LOWER(I224)&lt;&gt;"y","DISCARD (not lawful/ethical to use)",IF(J224&gt;=0.7,"record as context correction (W08) + intake evidence",IF(J224&gt;=0.4,"watch - seek corroboration","note only"))))</f>
        <v/>
      </c>
    </row>
    <row r="225">
      <c r="A225" s="8" t="n"/>
      <c r="B225" s="9" t="n"/>
      <c r="C225" s="9" t="n"/>
      <c r="D225" s="9" t="n"/>
      <c r="E225" s="10" t="n"/>
      <c r="F225" s="9" t="n"/>
      <c r="G225" s="9" t="n"/>
      <c r="H225" s="10" t="n"/>
      <c r="I225" s="9" t="n"/>
      <c r="J225" s="11">
        <f>IF(F225="","",MAX(0,MIN(1,(1-(CODE(UPPER(D225))-65)/5)*0.5+(1-(E225-1)/5)*0.3+MIN(N(H225),3)/3*0.2)))</f>
        <v/>
      </c>
      <c r="K225" s="7">
        <f>IF(F225="","",IF(LOWER(I225)&lt;&gt;"y","DISCARD (not lawful/ethical to use)",IF(J225&gt;=0.7,"record as context correction (W08) + intake evidence",IF(J225&gt;=0.4,"watch - seek corroboration","note only"))))</f>
        <v/>
      </c>
    </row>
    <row r="226">
      <c r="A226" s="8" t="n"/>
      <c r="B226" s="9" t="n"/>
      <c r="C226" s="9" t="n"/>
      <c r="D226" s="9" t="n"/>
      <c r="E226" s="10" t="n"/>
      <c r="F226" s="9" t="n"/>
      <c r="G226" s="9" t="n"/>
      <c r="H226" s="10" t="n"/>
      <c r="I226" s="9" t="n"/>
      <c r="J226" s="11">
        <f>IF(F226="","",MAX(0,MIN(1,(1-(CODE(UPPER(D226))-65)/5)*0.5+(1-(E226-1)/5)*0.3+MIN(N(H226),3)/3*0.2)))</f>
        <v/>
      </c>
      <c r="K226" s="7">
        <f>IF(F226="","",IF(LOWER(I226)&lt;&gt;"y","DISCARD (not lawful/ethical to use)",IF(J226&gt;=0.7,"record as context correction (W08) + intake evidence",IF(J226&gt;=0.4,"watch - seek corroboration","note only"))))</f>
        <v/>
      </c>
    </row>
    <row r="227">
      <c r="A227" s="8" t="n"/>
      <c r="B227" s="9" t="n"/>
      <c r="C227" s="9" t="n"/>
      <c r="D227" s="9" t="n"/>
      <c r="E227" s="10" t="n"/>
      <c r="F227" s="9" t="n"/>
      <c r="G227" s="9" t="n"/>
      <c r="H227" s="10" t="n"/>
      <c r="I227" s="9" t="n"/>
      <c r="J227" s="11">
        <f>IF(F227="","",MAX(0,MIN(1,(1-(CODE(UPPER(D227))-65)/5)*0.5+(1-(E227-1)/5)*0.3+MIN(N(H227),3)/3*0.2)))</f>
        <v/>
      </c>
      <c r="K227" s="7">
        <f>IF(F227="","",IF(LOWER(I227)&lt;&gt;"y","DISCARD (not lawful/ethical to use)",IF(J227&gt;=0.7,"record as context correction (W08) + intake evidence",IF(J227&gt;=0.4,"watch - seek corroboration","note only"))))</f>
        <v/>
      </c>
    </row>
    <row r="228">
      <c r="A228" s="8" t="n"/>
      <c r="B228" s="9" t="n"/>
      <c r="C228" s="9" t="n"/>
      <c r="D228" s="9" t="n"/>
      <c r="E228" s="10" t="n"/>
      <c r="F228" s="9" t="n"/>
      <c r="G228" s="9" t="n"/>
      <c r="H228" s="10" t="n"/>
      <c r="I228" s="9" t="n"/>
      <c r="J228" s="11">
        <f>IF(F228="","",MAX(0,MIN(1,(1-(CODE(UPPER(D228))-65)/5)*0.5+(1-(E228-1)/5)*0.3+MIN(N(H228),3)/3*0.2)))</f>
        <v/>
      </c>
      <c r="K228" s="7">
        <f>IF(F228="","",IF(LOWER(I228)&lt;&gt;"y","DISCARD (not lawful/ethical to use)",IF(J228&gt;=0.7,"record as context correction (W08) + intake evidence",IF(J228&gt;=0.4,"watch - seek corroboration","note only"))))</f>
        <v/>
      </c>
    </row>
    <row r="229">
      <c r="A229" s="8" t="n"/>
      <c r="B229" s="9" t="n"/>
      <c r="C229" s="9" t="n"/>
      <c r="D229" s="9" t="n"/>
      <c r="E229" s="10" t="n"/>
      <c r="F229" s="9" t="n"/>
      <c r="G229" s="9" t="n"/>
      <c r="H229" s="10" t="n"/>
      <c r="I229" s="9" t="n"/>
      <c r="J229" s="11">
        <f>IF(F229="","",MAX(0,MIN(1,(1-(CODE(UPPER(D229))-65)/5)*0.5+(1-(E229-1)/5)*0.3+MIN(N(H229),3)/3*0.2)))</f>
        <v/>
      </c>
      <c r="K229" s="7">
        <f>IF(F229="","",IF(LOWER(I229)&lt;&gt;"y","DISCARD (not lawful/ethical to use)",IF(J229&gt;=0.7,"record as context correction (W08) + intake evidence",IF(J229&gt;=0.4,"watch - seek corroboration","note only"))))</f>
        <v/>
      </c>
    </row>
    <row r="230">
      <c r="A230" s="8" t="n"/>
      <c r="B230" s="9" t="n"/>
      <c r="C230" s="9" t="n"/>
      <c r="D230" s="9" t="n"/>
      <c r="E230" s="10" t="n"/>
      <c r="F230" s="9" t="n"/>
      <c r="G230" s="9" t="n"/>
      <c r="H230" s="10" t="n"/>
      <c r="I230" s="9" t="n"/>
      <c r="J230" s="11">
        <f>IF(F230="","",MAX(0,MIN(1,(1-(CODE(UPPER(D230))-65)/5)*0.5+(1-(E230-1)/5)*0.3+MIN(N(H230),3)/3*0.2)))</f>
        <v/>
      </c>
      <c r="K230" s="7">
        <f>IF(F230="","",IF(LOWER(I230)&lt;&gt;"y","DISCARD (not lawful/ethical to use)",IF(J230&gt;=0.7,"record as context correction (W08) + intake evidence",IF(J230&gt;=0.4,"watch - seek corroboration","note only"))))</f>
        <v/>
      </c>
    </row>
    <row r="231">
      <c r="A231" s="8" t="n"/>
      <c r="B231" s="9" t="n"/>
      <c r="C231" s="9" t="n"/>
      <c r="D231" s="9" t="n"/>
      <c r="E231" s="10" t="n"/>
      <c r="F231" s="9" t="n"/>
      <c r="G231" s="9" t="n"/>
      <c r="H231" s="10" t="n"/>
      <c r="I231" s="9" t="n"/>
      <c r="J231" s="11">
        <f>IF(F231="","",MAX(0,MIN(1,(1-(CODE(UPPER(D231))-65)/5)*0.5+(1-(E231-1)/5)*0.3+MIN(N(H231),3)/3*0.2)))</f>
        <v/>
      </c>
      <c r="K231" s="7">
        <f>IF(F231="","",IF(LOWER(I231)&lt;&gt;"y","DISCARD (not lawful/ethical to use)",IF(J231&gt;=0.7,"record as context correction (W08) + intake evidence",IF(J231&gt;=0.4,"watch - seek corroboration","note only"))))</f>
        <v/>
      </c>
    </row>
    <row r="232">
      <c r="A232" s="8" t="n"/>
      <c r="B232" s="9" t="n"/>
      <c r="C232" s="9" t="n"/>
      <c r="D232" s="9" t="n"/>
      <c r="E232" s="10" t="n"/>
      <c r="F232" s="9" t="n"/>
      <c r="G232" s="9" t="n"/>
      <c r="H232" s="10" t="n"/>
      <c r="I232" s="9" t="n"/>
      <c r="J232" s="11">
        <f>IF(F232="","",MAX(0,MIN(1,(1-(CODE(UPPER(D232))-65)/5)*0.5+(1-(E232-1)/5)*0.3+MIN(N(H232),3)/3*0.2)))</f>
        <v/>
      </c>
      <c r="K232" s="7">
        <f>IF(F232="","",IF(LOWER(I232)&lt;&gt;"y","DISCARD (not lawful/ethical to use)",IF(J232&gt;=0.7,"record as context correction (W08) + intake evidence",IF(J232&gt;=0.4,"watch - seek corroboration","note only"))))</f>
        <v/>
      </c>
    </row>
    <row r="233">
      <c r="A233" s="8" t="n"/>
      <c r="B233" s="9" t="n"/>
      <c r="C233" s="9" t="n"/>
      <c r="D233" s="9" t="n"/>
      <c r="E233" s="10" t="n"/>
      <c r="F233" s="9" t="n"/>
      <c r="G233" s="9" t="n"/>
      <c r="H233" s="10" t="n"/>
      <c r="I233" s="9" t="n"/>
      <c r="J233" s="11">
        <f>IF(F233="","",MAX(0,MIN(1,(1-(CODE(UPPER(D233))-65)/5)*0.5+(1-(E233-1)/5)*0.3+MIN(N(H233),3)/3*0.2)))</f>
        <v/>
      </c>
      <c r="K233" s="7">
        <f>IF(F233="","",IF(LOWER(I233)&lt;&gt;"y","DISCARD (not lawful/ethical to use)",IF(J233&gt;=0.7,"record as context correction (W08) + intake evidence",IF(J233&gt;=0.4,"watch - seek corroboration","note only"))))</f>
        <v/>
      </c>
    </row>
    <row r="234">
      <c r="A234" s="8" t="n"/>
      <c r="B234" s="9" t="n"/>
      <c r="C234" s="9" t="n"/>
      <c r="D234" s="9" t="n"/>
      <c r="E234" s="10" t="n"/>
      <c r="F234" s="9" t="n"/>
      <c r="G234" s="9" t="n"/>
      <c r="H234" s="10" t="n"/>
      <c r="I234" s="9" t="n"/>
      <c r="J234" s="11">
        <f>IF(F234="","",MAX(0,MIN(1,(1-(CODE(UPPER(D234))-65)/5)*0.5+(1-(E234-1)/5)*0.3+MIN(N(H234),3)/3*0.2)))</f>
        <v/>
      </c>
      <c r="K234" s="7">
        <f>IF(F234="","",IF(LOWER(I234)&lt;&gt;"y","DISCARD (not lawful/ethical to use)",IF(J234&gt;=0.7,"record as context correction (W08) + intake evidence",IF(J234&gt;=0.4,"watch - seek corroboration","note only"))))</f>
        <v/>
      </c>
    </row>
    <row r="235">
      <c r="A235" s="8" t="n"/>
      <c r="B235" s="9" t="n"/>
      <c r="C235" s="9" t="n"/>
      <c r="D235" s="9" t="n"/>
      <c r="E235" s="10" t="n"/>
      <c r="F235" s="9" t="n"/>
      <c r="G235" s="9" t="n"/>
      <c r="H235" s="10" t="n"/>
      <c r="I235" s="9" t="n"/>
      <c r="J235" s="11">
        <f>IF(F235="","",MAX(0,MIN(1,(1-(CODE(UPPER(D235))-65)/5)*0.5+(1-(E235-1)/5)*0.3+MIN(N(H235),3)/3*0.2)))</f>
        <v/>
      </c>
      <c r="K235" s="7">
        <f>IF(F235="","",IF(LOWER(I235)&lt;&gt;"y","DISCARD (not lawful/ethical to use)",IF(J235&gt;=0.7,"record as context correction (W08) + intake evidence",IF(J235&gt;=0.4,"watch - seek corroboration","note only"))))</f>
        <v/>
      </c>
    </row>
    <row r="236">
      <c r="A236" s="8" t="n"/>
      <c r="B236" s="9" t="n"/>
      <c r="C236" s="9" t="n"/>
      <c r="D236" s="9" t="n"/>
      <c r="E236" s="10" t="n"/>
      <c r="F236" s="9" t="n"/>
      <c r="G236" s="9" t="n"/>
      <c r="H236" s="10" t="n"/>
      <c r="I236" s="9" t="n"/>
      <c r="J236" s="11">
        <f>IF(F236="","",MAX(0,MIN(1,(1-(CODE(UPPER(D236))-65)/5)*0.5+(1-(E236-1)/5)*0.3+MIN(N(H236),3)/3*0.2)))</f>
        <v/>
      </c>
      <c r="K236" s="7">
        <f>IF(F236="","",IF(LOWER(I236)&lt;&gt;"y","DISCARD (not lawful/ethical to use)",IF(J236&gt;=0.7,"record as context correction (W08) + intake evidence",IF(J236&gt;=0.4,"watch - seek corroboration","note only"))))</f>
        <v/>
      </c>
    </row>
    <row r="237">
      <c r="A237" s="8" t="n"/>
      <c r="B237" s="9" t="n"/>
      <c r="C237" s="9" t="n"/>
      <c r="D237" s="9" t="n"/>
      <c r="E237" s="10" t="n"/>
      <c r="F237" s="9" t="n"/>
      <c r="G237" s="9" t="n"/>
      <c r="H237" s="10" t="n"/>
      <c r="I237" s="9" t="n"/>
      <c r="J237" s="11">
        <f>IF(F237="","",MAX(0,MIN(1,(1-(CODE(UPPER(D237))-65)/5)*0.5+(1-(E237-1)/5)*0.3+MIN(N(H237),3)/3*0.2)))</f>
        <v/>
      </c>
      <c r="K237" s="7">
        <f>IF(F237="","",IF(LOWER(I237)&lt;&gt;"y","DISCARD (not lawful/ethical to use)",IF(J237&gt;=0.7,"record as context correction (W08) + intake evidence",IF(J237&gt;=0.4,"watch - seek corroboration","note only"))))</f>
        <v/>
      </c>
    </row>
    <row r="238">
      <c r="A238" s="8" t="n"/>
      <c r="B238" s="9" t="n"/>
      <c r="C238" s="9" t="n"/>
      <c r="D238" s="9" t="n"/>
      <c r="E238" s="10" t="n"/>
      <c r="F238" s="9" t="n"/>
      <c r="G238" s="9" t="n"/>
      <c r="H238" s="10" t="n"/>
      <c r="I238" s="9" t="n"/>
      <c r="J238" s="11">
        <f>IF(F238="","",MAX(0,MIN(1,(1-(CODE(UPPER(D238))-65)/5)*0.5+(1-(E238-1)/5)*0.3+MIN(N(H238),3)/3*0.2)))</f>
        <v/>
      </c>
      <c r="K238" s="7">
        <f>IF(F238="","",IF(LOWER(I238)&lt;&gt;"y","DISCARD (not lawful/ethical to use)",IF(J238&gt;=0.7,"record as context correction (W08) + intake evidence",IF(J238&gt;=0.4,"watch - seek corroboration","note only"))))</f>
        <v/>
      </c>
    </row>
    <row r="239">
      <c r="A239" s="8" t="n"/>
      <c r="B239" s="9" t="n"/>
      <c r="C239" s="9" t="n"/>
      <c r="D239" s="9" t="n"/>
      <c r="E239" s="10" t="n"/>
      <c r="F239" s="9" t="n"/>
      <c r="G239" s="9" t="n"/>
      <c r="H239" s="10" t="n"/>
      <c r="I239" s="9" t="n"/>
      <c r="J239" s="11">
        <f>IF(F239="","",MAX(0,MIN(1,(1-(CODE(UPPER(D239))-65)/5)*0.5+(1-(E239-1)/5)*0.3+MIN(N(H239),3)/3*0.2)))</f>
        <v/>
      </c>
      <c r="K239" s="7">
        <f>IF(F239="","",IF(LOWER(I239)&lt;&gt;"y","DISCARD (not lawful/ethical to use)",IF(J239&gt;=0.7,"record as context correction (W08) + intake evidence",IF(J239&gt;=0.4,"watch - seek corroboration","note only"))))</f>
        <v/>
      </c>
    </row>
    <row r="240">
      <c r="A240" s="8" t="n"/>
      <c r="B240" s="9" t="n"/>
      <c r="C240" s="9" t="n"/>
      <c r="D240" s="9" t="n"/>
      <c r="E240" s="10" t="n"/>
      <c r="F240" s="9" t="n"/>
      <c r="G240" s="9" t="n"/>
      <c r="H240" s="10" t="n"/>
      <c r="I240" s="9" t="n"/>
      <c r="J240" s="11">
        <f>IF(F240="","",MAX(0,MIN(1,(1-(CODE(UPPER(D240))-65)/5)*0.5+(1-(E240-1)/5)*0.3+MIN(N(H240),3)/3*0.2)))</f>
        <v/>
      </c>
      <c r="K240" s="7">
        <f>IF(F240="","",IF(LOWER(I240)&lt;&gt;"y","DISCARD (not lawful/ethical to use)",IF(J240&gt;=0.7,"record as context correction (W08) + intake evidence",IF(J240&gt;=0.4,"watch - seek corroboration","note only"))))</f>
        <v/>
      </c>
    </row>
    <row r="241">
      <c r="A241" s="8" t="n"/>
      <c r="B241" s="9" t="n"/>
      <c r="C241" s="9" t="n"/>
      <c r="D241" s="9" t="n"/>
      <c r="E241" s="10" t="n"/>
      <c r="F241" s="9" t="n"/>
      <c r="G241" s="9" t="n"/>
      <c r="H241" s="10" t="n"/>
      <c r="I241" s="9" t="n"/>
      <c r="J241" s="11">
        <f>IF(F241="","",MAX(0,MIN(1,(1-(CODE(UPPER(D241))-65)/5)*0.5+(1-(E241-1)/5)*0.3+MIN(N(H241),3)/3*0.2)))</f>
        <v/>
      </c>
      <c r="K241" s="7">
        <f>IF(F241="","",IF(LOWER(I241)&lt;&gt;"y","DISCARD (not lawful/ethical to use)",IF(J241&gt;=0.7,"record as context correction (W08) + intake evidence",IF(J241&gt;=0.4,"watch - seek corroboration","note only"))))</f>
        <v/>
      </c>
    </row>
    <row r="242">
      <c r="A242" s="8" t="n"/>
      <c r="B242" s="9" t="n"/>
      <c r="C242" s="9" t="n"/>
      <c r="D242" s="9" t="n"/>
      <c r="E242" s="10" t="n"/>
      <c r="F242" s="9" t="n"/>
      <c r="G242" s="9" t="n"/>
      <c r="H242" s="10" t="n"/>
      <c r="I242" s="9" t="n"/>
      <c r="J242" s="11">
        <f>IF(F242="","",MAX(0,MIN(1,(1-(CODE(UPPER(D242))-65)/5)*0.5+(1-(E242-1)/5)*0.3+MIN(N(H242),3)/3*0.2)))</f>
        <v/>
      </c>
      <c r="K242" s="7">
        <f>IF(F242="","",IF(LOWER(I242)&lt;&gt;"y","DISCARD (not lawful/ethical to use)",IF(J242&gt;=0.7,"record as context correction (W08) + intake evidence",IF(J242&gt;=0.4,"watch - seek corroboration","note only"))))</f>
        <v/>
      </c>
    </row>
    <row r="243">
      <c r="A243" s="8" t="n"/>
      <c r="B243" s="9" t="n"/>
      <c r="C243" s="9" t="n"/>
      <c r="D243" s="9" t="n"/>
      <c r="E243" s="10" t="n"/>
      <c r="F243" s="9" t="n"/>
      <c r="G243" s="9" t="n"/>
      <c r="H243" s="10" t="n"/>
      <c r="I243" s="9" t="n"/>
      <c r="J243" s="11">
        <f>IF(F243="","",MAX(0,MIN(1,(1-(CODE(UPPER(D243))-65)/5)*0.5+(1-(E243-1)/5)*0.3+MIN(N(H243),3)/3*0.2)))</f>
        <v/>
      </c>
      <c r="K243" s="7">
        <f>IF(F243="","",IF(LOWER(I243)&lt;&gt;"y","DISCARD (not lawful/ethical to use)",IF(J243&gt;=0.7,"record as context correction (W08) + intake evidence",IF(J243&gt;=0.4,"watch - seek corroboration","note only"))))</f>
        <v/>
      </c>
    </row>
    <row r="244">
      <c r="A244" s="8" t="n"/>
      <c r="B244" s="9" t="n"/>
      <c r="C244" s="9" t="n"/>
      <c r="D244" s="9" t="n"/>
      <c r="E244" s="10" t="n"/>
      <c r="F244" s="9" t="n"/>
      <c r="G244" s="9" t="n"/>
      <c r="H244" s="10" t="n"/>
      <c r="I244" s="9" t="n"/>
      <c r="J244" s="11">
        <f>IF(F244="","",MAX(0,MIN(1,(1-(CODE(UPPER(D244))-65)/5)*0.5+(1-(E244-1)/5)*0.3+MIN(N(H244),3)/3*0.2)))</f>
        <v/>
      </c>
      <c r="K244" s="7">
        <f>IF(F244="","",IF(LOWER(I244)&lt;&gt;"y","DISCARD (not lawful/ethical to use)",IF(J244&gt;=0.7,"record as context correction (W08) + intake evidence",IF(J244&gt;=0.4,"watch - seek corroboration","note only"))))</f>
        <v/>
      </c>
    </row>
    <row r="245">
      <c r="A245" s="8" t="n"/>
      <c r="B245" s="9" t="n"/>
      <c r="C245" s="9" t="n"/>
      <c r="D245" s="9" t="n"/>
      <c r="E245" s="10" t="n"/>
      <c r="F245" s="9" t="n"/>
      <c r="G245" s="9" t="n"/>
      <c r="H245" s="10" t="n"/>
      <c r="I245" s="9" t="n"/>
      <c r="J245" s="11">
        <f>IF(F245="","",MAX(0,MIN(1,(1-(CODE(UPPER(D245))-65)/5)*0.5+(1-(E245-1)/5)*0.3+MIN(N(H245),3)/3*0.2)))</f>
        <v/>
      </c>
      <c r="K245" s="7">
        <f>IF(F245="","",IF(LOWER(I245)&lt;&gt;"y","DISCARD (not lawful/ethical to use)",IF(J245&gt;=0.7,"record as context correction (W08) + intake evidence",IF(J245&gt;=0.4,"watch - seek corroboration","note only"))))</f>
        <v/>
      </c>
    </row>
    <row r="246">
      <c r="A246" s="8" t="n"/>
      <c r="B246" s="9" t="n"/>
      <c r="C246" s="9" t="n"/>
      <c r="D246" s="9" t="n"/>
      <c r="E246" s="10" t="n"/>
      <c r="F246" s="9" t="n"/>
      <c r="G246" s="9" t="n"/>
      <c r="H246" s="10" t="n"/>
      <c r="I246" s="9" t="n"/>
      <c r="J246" s="11">
        <f>IF(F246="","",MAX(0,MIN(1,(1-(CODE(UPPER(D246))-65)/5)*0.5+(1-(E246-1)/5)*0.3+MIN(N(H246),3)/3*0.2)))</f>
        <v/>
      </c>
      <c r="K246" s="7">
        <f>IF(F246="","",IF(LOWER(I246)&lt;&gt;"y","DISCARD (not lawful/ethical to use)",IF(J246&gt;=0.7,"record as context correction (W08) + intake evidence",IF(J246&gt;=0.4,"watch - seek corroboration","note only"))))</f>
        <v/>
      </c>
    </row>
    <row r="247">
      <c r="A247" s="8" t="n"/>
      <c r="B247" s="9" t="n"/>
      <c r="C247" s="9" t="n"/>
      <c r="D247" s="9" t="n"/>
      <c r="E247" s="10" t="n"/>
      <c r="F247" s="9" t="n"/>
      <c r="G247" s="9" t="n"/>
      <c r="H247" s="10" t="n"/>
      <c r="I247" s="9" t="n"/>
      <c r="J247" s="11">
        <f>IF(F247="","",MAX(0,MIN(1,(1-(CODE(UPPER(D247))-65)/5)*0.5+(1-(E247-1)/5)*0.3+MIN(N(H247),3)/3*0.2)))</f>
        <v/>
      </c>
      <c r="K247" s="7">
        <f>IF(F247="","",IF(LOWER(I247)&lt;&gt;"y","DISCARD (not lawful/ethical to use)",IF(J247&gt;=0.7,"record as context correction (W08) + intake evidence",IF(J247&gt;=0.4,"watch - seek corroboration","note only"))))</f>
        <v/>
      </c>
    </row>
    <row r="248">
      <c r="A248" s="8" t="n"/>
      <c r="B248" s="9" t="n"/>
      <c r="C248" s="9" t="n"/>
      <c r="D248" s="9" t="n"/>
      <c r="E248" s="10" t="n"/>
      <c r="F248" s="9" t="n"/>
      <c r="G248" s="9" t="n"/>
      <c r="H248" s="10" t="n"/>
      <c r="I248" s="9" t="n"/>
      <c r="J248" s="11">
        <f>IF(F248="","",MAX(0,MIN(1,(1-(CODE(UPPER(D248))-65)/5)*0.5+(1-(E248-1)/5)*0.3+MIN(N(H248),3)/3*0.2)))</f>
        <v/>
      </c>
      <c r="K248" s="7">
        <f>IF(F248="","",IF(LOWER(I248)&lt;&gt;"y","DISCARD (not lawful/ethical to use)",IF(J248&gt;=0.7,"record as context correction (W08) + intake evidence",IF(J248&gt;=0.4,"watch - seek corroboration","note only"))))</f>
        <v/>
      </c>
    </row>
    <row r="249">
      <c r="A249" s="8" t="n"/>
      <c r="B249" s="9" t="n"/>
      <c r="C249" s="9" t="n"/>
      <c r="D249" s="9" t="n"/>
      <c r="E249" s="10" t="n"/>
      <c r="F249" s="9" t="n"/>
      <c r="G249" s="9" t="n"/>
      <c r="H249" s="10" t="n"/>
      <c r="I249" s="9" t="n"/>
      <c r="J249" s="11">
        <f>IF(F249="","",MAX(0,MIN(1,(1-(CODE(UPPER(D249))-65)/5)*0.5+(1-(E249-1)/5)*0.3+MIN(N(H249),3)/3*0.2)))</f>
        <v/>
      </c>
      <c r="K249" s="7">
        <f>IF(F249="","",IF(LOWER(I249)&lt;&gt;"y","DISCARD (not lawful/ethical to use)",IF(J249&gt;=0.7,"record as context correction (W08) + intake evidence",IF(J249&gt;=0.4,"watch - seek corroboration","note only"))))</f>
        <v/>
      </c>
    </row>
    <row r="250">
      <c r="A250" s="8" t="n"/>
      <c r="B250" s="9" t="n"/>
      <c r="C250" s="9" t="n"/>
      <c r="D250" s="9" t="n"/>
      <c r="E250" s="10" t="n"/>
      <c r="F250" s="9" t="n"/>
      <c r="G250" s="9" t="n"/>
      <c r="H250" s="10" t="n"/>
      <c r="I250" s="9" t="n"/>
      <c r="J250" s="11">
        <f>IF(F250="","",MAX(0,MIN(1,(1-(CODE(UPPER(D250))-65)/5)*0.5+(1-(E250-1)/5)*0.3+MIN(N(H250),3)/3*0.2)))</f>
        <v/>
      </c>
      <c r="K250" s="7">
        <f>IF(F250="","",IF(LOWER(I250)&lt;&gt;"y","DISCARD (not lawful/ethical to use)",IF(J250&gt;=0.7,"record as context correction (W08) + intake evidence",IF(J250&gt;=0.4,"watch - seek corroboration","note only"))))</f>
        <v/>
      </c>
    </row>
    <row r="251">
      <c r="A251" s="8" t="n"/>
      <c r="B251" s="9" t="n"/>
      <c r="C251" s="9" t="n"/>
      <c r="D251" s="9" t="n"/>
      <c r="E251" s="10" t="n"/>
      <c r="F251" s="9" t="n"/>
      <c r="G251" s="9" t="n"/>
      <c r="H251" s="10" t="n"/>
      <c r="I251" s="9" t="n"/>
      <c r="J251" s="11">
        <f>IF(F251="","",MAX(0,MIN(1,(1-(CODE(UPPER(D251))-65)/5)*0.5+(1-(E251-1)/5)*0.3+MIN(N(H251),3)/3*0.2)))</f>
        <v/>
      </c>
      <c r="K251" s="7">
        <f>IF(F251="","",IF(LOWER(I251)&lt;&gt;"y","DISCARD (not lawful/ethical to use)",IF(J251&gt;=0.7,"record as context correction (W08) + intake evidence",IF(J251&gt;=0.4,"watch - seek corroboration","note only"))))</f>
        <v/>
      </c>
    </row>
    <row r="252">
      <c r="A252" s="8" t="n"/>
      <c r="B252" s="9" t="n"/>
      <c r="C252" s="9" t="n"/>
      <c r="D252" s="9" t="n"/>
      <c r="E252" s="10" t="n"/>
      <c r="F252" s="9" t="n"/>
      <c r="G252" s="9" t="n"/>
      <c r="H252" s="10" t="n"/>
      <c r="I252" s="9" t="n"/>
      <c r="J252" s="11">
        <f>IF(F252="","",MAX(0,MIN(1,(1-(CODE(UPPER(D252))-65)/5)*0.5+(1-(E252-1)/5)*0.3+MIN(N(H252),3)/3*0.2)))</f>
        <v/>
      </c>
      <c r="K252" s="7">
        <f>IF(F252="","",IF(LOWER(I252)&lt;&gt;"y","DISCARD (not lawful/ethical to use)",IF(J252&gt;=0.7,"record as context correction (W08) + intake evidence",IF(J252&gt;=0.4,"watch - seek corroboration","note only"))))</f>
        <v/>
      </c>
    </row>
    <row r="253">
      <c r="A253" s="8" t="n"/>
      <c r="B253" s="9" t="n"/>
      <c r="C253" s="9" t="n"/>
      <c r="D253" s="9" t="n"/>
      <c r="E253" s="10" t="n"/>
      <c r="F253" s="9" t="n"/>
      <c r="G253" s="9" t="n"/>
      <c r="H253" s="10" t="n"/>
      <c r="I253" s="9" t="n"/>
      <c r="J253" s="11">
        <f>IF(F253="","",MAX(0,MIN(1,(1-(CODE(UPPER(D253))-65)/5)*0.5+(1-(E253-1)/5)*0.3+MIN(N(H253),3)/3*0.2)))</f>
        <v/>
      </c>
      <c r="K253" s="7">
        <f>IF(F253="","",IF(LOWER(I253)&lt;&gt;"y","DISCARD (not lawful/ethical to use)",IF(J253&gt;=0.7,"record as context correction (W08) + intake evidence",IF(J253&gt;=0.4,"watch - seek corroboration","note only"))))</f>
        <v/>
      </c>
    </row>
    <row r="254">
      <c r="A254" s="8" t="n"/>
      <c r="B254" s="9" t="n"/>
      <c r="C254" s="9" t="n"/>
      <c r="D254" s="9" t="n"/>
      <c r="E254" s="10" t="n"/>
      <c r="F254" s="9" t="n"/>
      <c r="G254" s="9" t="n"/>
      <c r="H254" s="10" t="n"/>
      <c r="I254" s="9" t="n"/>
      <c r="J254" s="11">
        <f>IF(F254="","",MAX(0,MIN(1,(1-(CODE(UPPER(D254))-65)/5)*0.5+(1-(E254-1)/5)*0.3+MIN(N(H254),3)/3*0.2)))</f>
        <v/>
      </c>
      <c r="K254" s="7">
        <f>IF(F254="","",IF(LOWER(I254)&lt;&gt;"y","DISCARD (not lawful/ethical to use)",IF(J254&gt;=0.7,"record as context correction (W08) + intake evidence",IF(J254&gt;=0.4,"watch - seek corroboration","note only"))))</f>
        <v/>
      </c>
    </row>
    <row r="255">
      <c r="A255" s="8" t="n"/>
      <c r="B255" s="9" t="n"/>
      <c r="C255" s="9" t="n"/>
      <c r="D255" s="9" t="n"/>
      <c r="E255" s="10" t="n"/>
      <c r="F255" s="9" t="n"/>
      <c r="G255" s="9" t="n"/>
      <c r="H255" s="10" t="n"/>
      <c r="I255" s="9" t="n"/>
      <c r="J255" s="11">
        <f>IF(F255="","",MAX(0,MIN(1,(1-(CODE(UPPER(D255))-65)/5)*0.5+(1-(E255-1)/5)*0.3+MIN(N(H255),3)/3*0.2)))</f>
        <v/>
      </c>
      <c r="K255" s="7">
        <f>IF(F255="","",IF(LOWER(I255)&lt;&gt;"y","DISCARD (not lawful/ethical to use)",IF(J255&gt;=0.7,"record as context correction (W08) + intake evidence",IF(J255&gt;=0.4,"watch - seek corroboration","note only"))))</f>
        <v/>
      </c>
    </row>
    <row r="256">
      <c r="A256" s="8" t="n"/>
      <c r="B256" s="9" t="n"/>
      <c r="C256" s="9" t="n"/>
      <c r="D256" s="9" t="n"/>
      <c r="E256" s="10" t="n"/>
      <c r="F256" s="9" t="n"/>
      <c r="G256" s="9" t="n"/>
      <c r="H256" s="10" t="n"/>
      <c r="I256" s="9" t="n"/>
      <c r="J256" s="11">
        <f>IF(F256="","",MAX(0,MIN(1,(1-(CODE(UPPER(D256))-65)/5)*0.5+(1-(E256-1)/5)*0.3+MIN(N(H256),3)/3*0.2)))</f>
        <v/>
      </c>
      <c r="K256" s="7">
        <f>IF(F256="","",IF(LOWER(I256)&lt;&gt;"y","DISCARD (not lawful/ethical to use)",IF(J256&gt;=0.7,"record as context correction (W08) + intake evidence",IF(J256&gt;=0.4,"watch - seek corroboration","note only"))))</f>
        <v/>
      </c>
    </row>
    <row r="257">
      <c r="A257" s="8" t="n"/>
      <c r="B257" s="9" t="n"/>
      <c r="C257" s="9" t="n"/>
      <c r="D257" s="9" t="n"/>
      <c r="E257" s="10" t="n"/>
      <c r="F257" s="9" t="n"/>
      <c r="G257" s="9" t="n"/>
      <c r="H257" s="10" t="n"/>
      <c r="I257" s="9" t="n"/>
      <c r="J257" s="11">
        <f>IF(F257="","",MAX(0,MIN(1,(1-(CODE(UPPER(D257))-65)/5)*0.5+(1-(E257-1)/5)*0.3+MIN(N(H257),3)/3*0.2)))</f>
        <v/>
      </c>
      <c r="K257" s="7">
        <f>IF(F257="","",IF(LOWER(I257)&lt;&gt;"y","DISCARD (not lawful/ethical to use)",IF(J257&gt;=0.7,"record as context correction (W08) + intake evidence",IF(J257&gt;=0.4,"watch - seek corroboration","note only"))))</f>
        <v/>
      </c>
    </row>
    <row r="258">
      <c r="A258" s="8" t="n"/>
      <c r="B258" s="9" t="n"/>
      <c r="C258" s="9" t="n"/>
      <c r="D258" s="9" t="n"/>
      <c r="E258" s="10" t="n"/>
      <c r="F258" s="9" t="n"/>
      <c r="G258" s="9" t="n"/>
      <c r="H258" s="10" t="n"/>
      <c r="I258" s="9" t="n"/>
      <c r="J258" s="11">
        <f>IF(F258="","",MAX(0,MIN(1,(1-(CODE(UPPER(D258))-65)/5)*0.5+(1-(E258-1)/5)*0.3+MIN(N(H258),3)/3*0.2)))</f>
        <v/>
      </c>
      <c r="K258" s="7">
        <f>IF(F258="","",IF(LOWER(I258)&lt;&gt;"y","DISCARD (not lawful/ethical to use)",IF(J258&gt;=0.7,"record as context correction (W08) + intake evidence",IF(J258&gt;=0.4,"watch - seek corroboration","note only"))))</f>
        <v/>
      </c>
    </row>
    <row r="259">
      <c r="A259" s="8" t="n"/>
      <c r="B259" s="9" t="n"/>
      <c r="C259" s="9" t="n"/>
      <c r="D259" s="9" t="n"/>
      <c r="E259" s="10" t="n"/>
      <c r="F259" s="9" t="n"/>
      <c r="G259" s="9" t="n"/>
      <c r="H259" s="10" t="n"/>
      <c r="I259" s="9" t="n"/>
      <c r="J259" s="11">
        <f>IF(F259="","",MAX(0,MIN(1,(1-(CODE(UPPER(D259))-65)/5)*0.5+(1-(E259-1)/5)*0.3+MIN(N(H259),3)/3*0.2)))</f>
        <v/>
      </c>
      <c r="K259" s="7">
        <f>IF(F259="","",IF(LOWER(I259)&lt;&gt;"y","DISCARD (not lawful/ethical to use)",IF(J259&gt;=0.7,"record as context correction (W08) + intake evidence",IF(J259&gt;=0.4,"watch - seek corroboration","note only"))))</f>
        <v/>
      </c>
    </row>
    <row r="260">
      <c r="A260" s="8" t="n"/>
      <c r="B260" s="9" t="n"/>
      <c r="C260" s="9" t="n"/>
      <c r="D260" s="9" t="n"/>
      <c r="E260" s="10" t="n"/>
      <c r="F260" s="9" t="n"/>
      <c r="G260" s="9" t="n"/>
      <c r="H260" s="10" t="n"/>
      <c r="I260" s="9" t="n"/>
      <c r="J260" s="11">
        <f>IF(F260="","",MAX(0,MIN(1,(1-(CODE(UPPER(D260))-65)/5)*0.5+(1-(E260-1)/5)*0.3+MIN(N(H260),3)/3*0.2)))</f>
        <v/>
      </c>
      <c r="K260" s="7">
        <f>IF(F260="","",IF(LOWER(I260)&lt;&gt;"y","DISCARD (not lawful/ethical to use)",IF(J260&gt;=0.7,"record as context correction (W08) + intake evidence",IF(J260&gt;=0.4,"watch - seek corroboration","note only"))))</f>
        <v/>
      </c>
    </row>
    <row r="261">
      <c r="A261" s="8" t="n"/>
      <c r="B261" s="9" t="n"/>
      <c r="C261" s="9" t="n"/>
      <c r="D261" s="9" t="n"/>
      <c r="E261" s="10" t="n"/>
      <c r="F261" s="9" t="n"/>
      <c r="G261" s="9" t="n"/>
      <c r="H261" s="10" t="n"/>
      <c r="I261" s="9" t="n"/>
      <c r="J261" s="11">
        <f>IF(F261="","",MAX(0,MIN(1,(1-(CODE(UPPER(D261))-65)/5)*0.5+(1-(E261-1)/5)*0.3+MIN(N(H261),3)/3*0.2)))</f>
        <v/>
      </c>
      <c r="K261" s="7">
        <f>IF(F261="","",IF(LOWER(I261)&lt;&gt;"y","DISCARD (not lawful/ethical to use)",IF(J261&gt;=0.7,"record as context correction (W08) + intake evidence",IF(J261&gt;=0.4,"watch - seek corroboration","note only"))))</f>
        <v/>
      </c>
    </row>
    <row r="262">
      <c r="A262" s="8" t="n"/>
      <c r="B262" s="9" t="n"/>
      <c r="C262" s="9" t="n"/>
      <c r="D262" s="9" t="n"/>
      <c r="E262" s="10" t="n"/>
      <c r="F262" s="9" t="n"/>
      <c r="G262" s="9" t="n"/>
      <c r="H262" s="10" t="n"/>
      <c r="I262" s="9" t="n"/>
      <c r="J262" s="11">
        <f>IF(F262="","",MAX(0,MIN(1,(1-(CODE(UPPER(D262))-65)/5)*0.5+(1-(E262-1)/5)*0.3+MIN(N(H262),3)/3*0.2)))</f>
        <v/>
      </c>
      <c r="K262" s="7">
        <f>IF(F262="","",IF(LOWER(I262)&lt;&gt;"y","DISCARD (not lawful/ethical to use)",IF(J262&gt;=0.7,"record as context correction (W08) + intake evidence",IF(J262&gt;=0.4,"watch - seek corroboration","note only"))))</f>
        <v/>
      </c>
    </row>
    <row r="263">
      <c r="A263" s="8" t="n"/>
      <c r="B263" s="9" t="n"/>
      <c r="C263" s="9" t="n"/>
      <c r="D263" s="9" t="n"/>
      <c r="E263" s="10" t="n"/>
      <c r="F263" s="9" t="n"/>
      <c r="G263" s="9" t="n"/>
      <c r="H263" s="10" t="n"/>
      <c r="I263" s="9" t="n"/>
      <c r="J263" s="11">
        <f>IF(F263="","",MAX(0,MIN(1,(1-(CODE(UPPER(D263))-65)/5)*0.5+(1-(E263-1)/5)*0.3+MIN(N(H263),3)/3*0.2)))</f>
        <v/>
      </c>
      <c r="K263" s="7">
        <f>IF(F263="","",IF(LOWER(I263)&lt;&gt;"y","DISCARD (not lawful/ethical to use)",IF(J263&gt;=0.7,"record as context correction (W08) + intake evidence",IF(J263&gt;=0.4,"watch - seek corroboration","note only"))))</f>
        <v/>
      </c>
    </row>
    <row r="264">
      <c r="A264" s="8" t="n"/>
      <c r="B264" s="9" t="n"/>
      <c r="C264" s="9" t="n"/>
      <c r="D264" s="9" t="n"/>
      <c r="E264" s="10" t="n"/>
      <c r="F264" s="9" t="n"/>
      <c r="G264" s="9" t="n"/>
      <c r="H264" s="10" t="n"/>
      <c r="I264" s="9" t="n"/>
      <c r="J264" s="11">
        <f>IF(F264="","",MAX(0,MIN(1,(1-(CODE(UPPER(D264))-65)/5)*0.5+(1-(E264-1)/5)*0.3+MIN(N(H264),3)/3*0.2)))</f>
        <v/>
      </c>
      <c r="K264" s="7">
        <f>IF(F264="","",IF(LOWER(I264)&lt;&gt;"y","DISCARD (not lawful/ethical to use)",IF(J264&gt;=0.7,"record as context correction (W08) + intake evidence",IF(J264&gt;=0.4,"watch - seek corroboration","note only"))))</f>
        <v/>
      </c>
    </row>
    <row r="265">
      <c r="A265" s="8" t="n"/>
      <c r="B265" s="9" t="n"/>
      <c r="C265" s="9" t="n"/>
      <c r="D265" s="9" t="n"/>
      <c r="E265" s="10" t="n"/>
      <c r="F265" s="9" t="n"/>
      <c r="G265" s="9" t="n"/>
      <c r="H265" s="10" t="n"/>
      <c r="I265" s="9" t="n"/>
      <c r="J265" s="11">
        <f>IF(F265="","",MAX(0,MIN(1,(1-(CODE(UPPER(D265))-65)/5)*0.5+(1-(E265-1)/5)*0.3+MIN(N(H265),3)/3*0.2)))</f>
        <v/>
      </c>
      <c r="K265" s="7">
        <f>IF(F265="","",IF(LOWER(I265)&lt;&gt;"y","DISCARD (not lawful/ethical to use)",IF(J265&gt;=0.7,"record as context correction (W08) + intake evidence",IF(J265&gt;=0.4,"watch - seek corroboration","note only"))))</f>
        <v/>
      </c>
    </row>
    <row r="266">
      <c r="A266" s="8" t="n"/>
      <c r="B266" s="9" t="n"/>
      <c r="C266" s="9" t="n"/>
      <c r="D266" s="9" t="n"/>
      <c r="E266" s="10" t="n"/>
      <c r="F266" s="9" t="n"/>
      <c r="G266" s="9" t="n"/>
      <c r="H266" s="10" t="n"/>
      <c r="I266" s="9" t="n"/>
      <c r="J266" s="11">
        <f>IF(F266="","",MAX(0,MIN(1,(1-(CODE(UPPER(D266))-65)/5)*0.5+(1-(E266-1)/5)*0.3+MIN(N(H266),3)/3*0.2)))</f>
        <v/>
      </c>
      <c r="K266" s="7">
        <f>IF(F266="","",IF(LOWER(I266)&lt;&gt;"y","DISCARD (not lawful/ethical to use)",IF(J266&gt;=0.7,"record as context correction (W08) + intake evidence",IF(J266&gt;=0.4,"watch - seek corroboration","note only"))))</f>
        <v/>
      </c>
    </row>
    <row r="267">
      <c r="A267" s="8" t="n"/>
      <c r="B267" s="9" t="n"/>
      <c r="C267" s="9" t="n"/>
      <c r="D267" s="9" t="n"/>
      <c r="E267" s="10" t="n"/>
      <c r="F267" s="9" t="n"/>
      <c r="G267" s="9" t="n"/>
      <c r="H267" s="10" t="n"/>
      <c r="I267" s="9" t="n"/>
      <c r="J267" s="11">
        <f>IF(F267="","",MAX(0,MIN(1,(1-(CODE(UPPER(D267))-65)/5)*0.5+(1-(E267-1)/5)*0.3+MIN(N(H267),3)/3*0.2)))</f>
        <v/>
      </c>
      <c r="K267" s="7">
        <f>IF(F267="","",IF(LOWER(I267)&lt;&gt;"y","DISCARD (not lawful/ethical to use)",IF(J267&gt;=0.7,"record as context correction (W08) + intake evidence",IF(J267&gt;=0.4,"watch - seek corroboration","note only"))))</f>
        <v/>
      </c>
    </row>
    <row r="268">
      <c r="A268" s="8" t="n"/>
      <c r="B268" s="9" t="n"/>
      <c r="C268" s="9" t="n"/>
      <c r="D268" s="9" t="n"/>
      <c r="E268" s="10" t="n"/>
      <c r="F268" s="9" t="n"/>
      <c r="G268" s="9" t="n"/>
      <c r="H268" s="10" t="n"/>
      <c r="I268" s="9" t="n"/>
      <c r="J268" s="11">
        <f>IF(F268="","",MAX(0,MIN(1,(1-(CODE(UPPER(D268))-65)/5)*0.5+(1-(E268-1)/5)*0.3+MIN(N(H268),3)/3*0.2)))</f>
        <v/>
      </c>
      <c r="K268" s="7">
        <f>IF(F268="","",IF(LOWER(I268)&lt;&gt;"y","DISCARD (not lawful/ethical to use)",IF(J268&gt;=0.7,"record as context correction (W08) + intake evidence",IF(J268&gt;=0.4,"watch - seek corroboration","note only"))))</f>
        <v/>
      </c>
    </row>
    <row r="269">
      <c r="A269" s="8" t="n"/>
      <c r="B269" s="9" t="n"/>
      <c r="C269" s="9" t="n"/>
      <c r="D269" s="9" t="n"/>
      <c r="E269" s="10" t="n"/>
      <c r="F269" s="9" t="n"/>
      <c r="G269" s="9" t="n"/>
      <c r="H269" s="10" t="n"/>
      <c r="I269" s="9" t="n"/>
      <c r="J269" s="11">
        <f>IF(F269="","",MAX(0,MIN(1,(1-(CODE(UPPER(D269))-65)/5)*0.5+(1-(E269-1)/5)*0.3+MIN(N(H269),3)/3*0.2)))</f>
        <v/>
      </c>
      <c r="K269" s="7">
        <f>IF(F269="","",IF(LOWER(I269)&lt;&gt;"y","DISCARD (not lawful/ethical to use)",IF(J269&gt;=0.7,"record as context correction (W08) + intake evidence",IF(J269&gt;=0.4,"watch - seek corroboration","note only"))))</f>
        <v/>
      </c>
    </row>
    <row r="270">
      <c r="A270" s="8" t="n"/>
      <c r="B270" s="9" t="n"/>
      <c r="C270" s="9" t="n"/>
      <c r="D270" s="9" t="n"/>
      <c r="E270" s="10" t="n"/>
      <c r="F270" s="9" t="n"/>
      <c r="G270" s="9" t="n"/>
      <c r="H270" s="10" t="n"/>
      <c r="I270" s="9" t="n"/>
      <c r="J270" s="11">
        <f>IF(F270="","",MAX(0,MIN(1,(1-(CODE(UPPER(D270))-65)/5)*0.5+(1-(E270-1)/5)*0.3+MIN(N(H270),3)/3*0.2)))</f>
        <v/>
      </c>
      <c r="K270" s="7">
        <f>IF(F270="","",IF(LOWER(I270)&lt;&gt;"y","DISCARD (not lawful/ethical to use)",IF(J270&gt;=0.7,"record as context correction (W08) + intake evidence",IF(J270&gt;=0.4,"watch - seek corroboration","note only"))))</f>
        <v/>
      </c>
    </row>
    <row r="271">
      <c r="A271" s="8" t="n"/>
      <c r="B271" s="9" t="n"/>
      <c r="C271" s="9" t="n"/>
      <c r="D271" s="9" t="n"/>
      <c r="E271" s="10" t="n"/>
      <c r="F271" s="9" t="n"/>
      <c r="G271" s="9" t="n"/>
      <c r="H271" s="10" t="n"/>
      <c r="I271" s="9" t="n"/>
      <c r="J271" s="11">
        <f>IF(F271="","",MAX(0,MIN(1,(1-(CODE(UPPER(D271))-65)/5)*0.5+(1-(E271-1)/5)*0.3+MIN(N(H271),3)/3*0.2)))</f>
        <v/>
      </c>
      <c r="K271" s="7">
        <f>IF(F271="","",IF(LOWER(I271)&lt;&gt;"y","DISCARD (not lawful/ethical to use)",IF(J271&gt;=0.7,"record as context correction (W08) + intake evidence",IF(J271&gt;=0.4,"watch - seek corroboration","note only"))))</f>
        <v/>
      </c>
    </row>
    <row r="272">
      <c r="A272" s="8" t="n"/>
      <c r="B272" s="9" t="n"/>
      <c r="C272" s="9" t="n"/>
      <c r="D272" s="9" t="n"/>
      <c r="E272" s="10" t="n"/>
      <c r="F272" s="9" t="n"/>
      <c r="G272" s="9" t="n"/>
      <c r="H272" s="10" t="n"/>
      <c r="I272" s="9" t="n"/>
      <c r="J272" s="11">
        <f>IF(F272="","",MAX(0,MIN(1,(1-(CODE(UPPER(D272))-65)/5)*0.5+(1-(E272-1)/5)*0.3+MIN(N(H272),3)/3*0.2)))</f>
        <v/>
      </c>
      <c r="K272" s="7">
        <f>IF(F272="","",IF(LOWER(I272)&lt;&gt;"y","DISCARD (not lawful/ethical to use)",IF(J272&gt;=0.7,"record as context correction (W08) + intake evidence",IF(J272&gt;=0.4,"watch - seek corroboration","note only"))))</f>
        <v/>
      </c>
    </row>
    <row r="273">
      <c r="A273" s="8" t="n"/>
      <c r="B273" s="9" t="n"/>
      <c r="C273" s="9" t="n"/>
      <c r="D273" s="9" t="n"/>
      <c r="E273" s="10" t="n"/>
      <c r="F273" s="9" t="n"/>
      <c r="G273" s="9" t="n"/>
      <c r="H273" s="10" t="n"/>
      <c r="I273" s="9" t="n"/>
      <c r="J273" s="11">
        <f>IF(F273="","",MAX(0,MIN(1,(1-(CODE(UPPER(D273))-65)/5)*0.5+(1-(E273-1)/5)*0.3+MIN(N(H273),3)/3*0.2)))</f>
        <v/>
      </c>
      <c r="K273" s="7">
        <f>IF(F273="","",IF(LOWER(I273)&lt;&gt;"y","DISCARD (not lawful/ethical to use)",IF(J273&gt;=0.7,"record as context correction (W08) + intake evidence",IF(J273&gt;=0.4,"watch - seek corroboration","note only"))))</f>
        <v/>
      </c>
    </row>
    <row r="274">
      <c r="A274" s="8" t="n"/>
      <c r="B274" s="9" t="n"/>
      <c r="C274" s="9" t="n"/>
      <c r="D274" s="9" t="n"/>
      <c r="E274" s="10" t="n"/>
      <c r="F274" s="9" t="n"/>
      <c r="G274" s="9" t="n"/>
      <c r="H274" s="10" t="n"/>
      <c r="I274" s="9" t="n"/>
      <c r="J274" s="11">
        <f>IF(F274="","",MAX(0,MIN(1,(1-(CODE(UPPER(D274))-65)/5)*0.5+(1-(E274-1)/5)*0.3+MIN(N(H274),3)/3*0.2)))</f>
        <v/>
      </c>
      <c r="K274" s="7">
        <f>IF(F274="","",IF(LOWER(I274)&lt;&gt;"y","DISCARD (not lawful/ethical to use)",IF(J274&gt;=0.7,"record as context correction (W08) + intake evidence",IF(J274&gt;=0.4,"watch - seek corroboration","note only"))))</f>
        <v/>
      </c>
    </row>
    <row r="275">
      <c r="A275" s="8" t="n"/>
      <c r="B275" s="9" t="n"/>
      <c r="C275" s="9" t="n"/>
      <c r="D275" s="9" t="n"/>
      <c r="E275" s="10" t="n"/>
      <c r="F275" s="9" t="n"/>
      <c r="G275" s="9" t="n"/>
      <c r="H275" s="10" t="n"/>
      <c r="I275" s="9" t="n"/>
      <c r="J275" s="11">
        <f>IF(F275="","",MAX(0,MIN(1,(1-(CODE(UPPER(D275))-65)/5)*0.5+(1-(E275-1)/5)*0.3+MIN(N(H275),3)/3*0.2)))</f>
        <v/>
      </c>
      <c r="K275" s="7">
        <f>IF(F275="","",IF(LOWER(I275)&lt;&gt;"y","DISCARD (not lawful/ethical to use)",IF(J275&gt;=0.7,"record as context correction (W08) + intake evidence",IF(J275&gt;=0.4,"watch - seek corroboration","note only"))))</f>
        <v/>
      </c>
    </row>
    <row r="276">
      <c r="A276" s="8" t="n"/>
      <c r="B276" s="9" t="n"/>
      <c r="C276" s="9" t="n"/>
      <c r="D276" s="9" t="n"/>
      <c r="E276" s="10" t="n"/>
      <c r="F276" s="9" t="n"/>
      <c r="G276" s="9" t="n"/>
      <c r="H276" s="10" t="n"/>
      <c r="I276" s="9" t="n"/>
      <c r="J276" s="11">
        <f>IF(F276="","",MAX(0,MIN(1,(1-(CODE(UPPER(D276))-65)/5)*0.5+(1-(E276-1)/5)*0.3+MIN(N(H276),3)/3*0.2)))</f>
        <v/>
      </c>
      <c r="K276" s="7">
        <f>IF(F276="","",IF(LOWER(I276)&lt;&gt;"y","DISCARD (not lawful/ethical to use)",IF(J276&gt;=0.7,"record as context correction (W08) + intake evidence",IF(J276&gt;=0.4,"watch - seek corroboration","note only"))))</f>
        <v/>
      </c>
    </row>
    <row r="277">
      <c r="A277" s="8" t="n"/>
      <c r="B277" s="9" t="n"/>
      <c r="C277" s="9" t="n"/>
      <c r="D277" s="9" t="n"/>
      <c r="E277" s="10" t="n"/>
      <c r="F277" s="9" t="n"/>
      <c r="G277" s="9" t="n"/>
      <c r="H277" s="10" t="n"/>
      <c r="I277" s="9" t="n"/>
      <c r="J277" s="11">
        <f>IF(F277="","",MAX(0,MIN(1,(1-(CODE(UPPER(D277))-65)/5)*0.5+(1-(E277-1)/5)*0.3+MIN(N(H277),3)/3*0.2)))</f>
        <v/>
      </c>
      <c r="K277" s="7">
        <f>IF(F277="","",IF(LOWER(I277)&lt;&gt;"y","DISCARD (not lawful/ethical to use)",IF(J277&gt;=0.7,"record as context correction (W08) + intake evidence",IF(J277&gt;=0.4,"watch - seek corroboration","note only"))))</f>
        <v/>
      </c>
    </row>
    <row r="278">
      <c r="A278" s="8" t="n"/>
      <c r="B278" s="9" t="n"/>
      <c r="C278" s="9" t="n"/>
      <c r="D278" s="9" t="n"/>
      <c r="E278" s="10" t="n"/>
      <c r="F278" s="9" t="n"/>
      <c r="G278" s="9" t="n"/>
      <c r="H278" s="10" t="n"/>
      <c r="I278" s="9" t="n"/>
      <c r="J278" s="11">
        <f>IF(F278="","",MAX(0,MIN(1,(1-(CODE(UPPER(D278))-65)/5)*0.5+(1-(E278-1)/5)*0.3+MIN(N(H278),3)/3*0.2)))</f>
        <v/>
      </c>
      <c r="K278" s="7">
        <f>IF(F278="","",IF(LOWER(I278)&lt;&gt;"y","DISCARD (not lawful/ethical to use)",IF(J278&gt;=0.7,"record as context correction (W08) + intake evidence",IF(J278&gt;=0.4,"watch - seek corroboration","note only"))))</f>
        <v/>
      </c>
    </row>
    <row r="279">
      <c r="A279" s="8" t="n"/>
      <c r="B279" s="9" t="n"/>
      <c r="C279" s="9" t="n"/>
      <c r="D279" s="9" t="n"/>
      <c r="E279" s="10" t="n"/>
      <c r="F279" s="9" t="n"/>
      <c r="G279" s="9" t="n"/>
      <c r="H279" s="10" t="n"/>
      <c r="I279" s="9" t="n"/>
      <c r="J279" s="11">
        <f>IF(F279="","",MAX(0,MIN(1,(1-(CODE(UPPER(D279))-65)/5)*0.5+(1-(E279-1)/5)*0.3+MIN(N(H279),3)/3*0.2)))</f>
        <v/>
      </c>
      <c r="K279" s="7">
        <f>IF(F279="","",IF(LOWER(I279)&lt;&gt;"y","DISCARD (not lawful/ethical to use)",IF(J279&gt;=0.7,"record as context correction (W08) + intake evidence",IF(J279&gt;=0.4,"watch - seek corroboration","note only"))))</f>
        <v/>
      </c>
    </row>
    <row r="280">
      <c r="A280" s="8" t="n"/>
      <c r="B280" s="9" t="n"/>
      <c r="C280" s="9" t="n"/>
      <c r="D280" s="9" t="n"/>
      <c r="E280" s="10" t="n"/>
      <c r="F280" s="9" t="n"/>
      <c r="G280" s="9" t="n"/>
      <c r="H280" s="10" t="n"/>
      <c r="I280" s="9" t="n"/>
      <c r="J280" s="11">
        <f>IF(F280="","",MAX(0,MIN(1,(1-(CODE(UPPER(D280))-65)/5)*0.5+(1-(E280-1)/5)*0.3+MIN(N(H280),3)/3*0.2)))</f>
        <v/>
      </c>
      <c r="K280" s="7">
        <f>IF(F280="","",IF(LOWER(I280)&lt;&gt;"y","DISCARD (not lawful/ethical to use)",IF(J280&gt;=0.7,"record as context correction (W08) + intake evidence",IF(J280&gt;=0.4,"watch - seek corroboration","note only"))))</f>
        <v/>
      </c>
    </row>
    <row r="281">
      <c r="A281" s="8" t="n"/>
      <c r="B281" s="9" t="n"/>
      <c r="C281" s="9" t="n"/>
      <c r="D281" s="9" t="n"/>
      <c r="E281" s="10" t="n"/>
      <c r="F281" s="9" t="n"/>
      <c r="G281" s="9" t="n"/>
      <c r="H281" s="10" t="n"/>
      <c r="I281" s="9" t="n"/>
      <c r="J281" s="11">
        <f>IF(F281="","",MAX(0,MIN(1,(1-(CODE(UPPER(D281))-65)/5)*0.5+(1-(E281-1)/5)*0.3+MIN(N(H281),3)/3*0.2)))</f>
        <v/>
      </c>
      <c r="K281" s="7">
        <f>IF(F281="","",IF(LOWER(I281)&lt;&gt;"y","DISCARD (not lawful/ethical to use)",IF(J281&gt;=0.7,"record as context correction (W08) + intake evidence",IF(J281&gt;=0.4,"watch - seek corroboration","note only"))))</f>
        <v/>
      </c>
    </row>
    <row r="282">
      <c r="A282" s="8" t="n"/>
      <c r="B282" s="9" t="n"/>
      <c r="C282" s="9" t="n"/>
      <c r="D282" s="9" t="n"/>
      <c r="E282" s="10" t="n"/>
      <c r="F282" s="9" t="n"/>
      <c r="G282" s="9" t="n"/>
      <c r="H282" s="10" t="n"/>
      <c r="I282" s="9" t="n"/>
      <c r="J282" s="11">
        <f>IF(F282="","",MAX(0,MIN(1,(1-(CODE(UPPER(D282))-65)/5)*0.5+(1-(E282-1)/5)*0.3+MIN(N(H282),3)/3*0.2)))</f>
        <v/>
      </c>
      <c r="K282" s="7">
        <f>IF(F282="","",IF(LOWER(I282)&lt;&gt;"y","DISCARD (not lawful/ethical to use)",IF(J282&gt;=0.7,"record as context correction (W08) + intake evidence",IF(J282&gt;=0.4,"watch - seek corroboration","note only"))))</f>
        <v/>
      </c>
    </row>
    <row r="283">
      <c r="A283" s="8" t="n"/>
      <c r="B283" s="9" t="n"/>
      <c r="C283" s="9" t="n"/>
      <c r="D283" s="9" t="n"/>
      <c r="E283" s="10" t="n"/>
      <c r="F283" s="9" t="n"/>
      <c r="G283" s="9" t="n"/>
      <c r="H283" s="10" t="n"/>
      <c r="I283" s="9" t="n"/>
      <c r="J283" s="11">
        <f>IF(F283="","",MAX(0,MIN(1,(1-(CODE(UPPER(D283))-65)/5)*0.5+(1-(E283-1)/5)*0.3+MIN(N(H283),3)/3*0.2)))</f>
        <v/>
      </c>
      <c r="K283" s="7">
        <f>IF(F283="","",IF(LOWER(I283)&lt;&gt;"y","DISCARD (not lawful/ethical to use)",IF(J283&gt;=0.7,"record as context correction (W08) + intake evidence",IF(J283&gt;=0.4,"watch - seek corroboration","note only"))))</f>
        <v/>
      </c>
    </row>
    <row r="284">
      <c r="A284" s="8" t="n"/>
      <c r="B284" s="9" t="n"/>
      <c r="C284" s="9" t="n"/>
      <c r="D284" s="9" t="n"/>
      <c r="E284" s="10" t="n"/>
      <c r="F284" s="9" t="n"/>
      <c r="G284" s="9" t="n"/>
      <c r="H284" s="10" t="n"/>
      <c r="I284" s="9" t="n"/>
      <c r="J284" s="11">
        <f>IF(F284="","",MAX(0,MIN(1,(1-(CODE(UPPER(D284))-65)/5)*0.5+(1-(E284-1)/5)*0.3+MIN(N(H284),3)/3*0.2)))</f>
        <v/>
      </c>
      <c r="K284" s="7">
        <f>IF(F284="","",IF(LOWER(I284)&lt;&gt;"y","DISCARD (not lawful/ethical to use)",IF(J284&gt;=0.7,"record as context correction (W08) + intake evidence",IF(J284&gt;=0.4,"watch - seek corroboration","note only"))))</f>
        <v/>
      </c>
    </row>
    <row r="285">
      <c r="A285" s="8" t="n"/>
      <c r="B285" s="9" t="n"/>
      <c r="C285" s="9" t="n"/>
      <c r="D285" s="9" t="n"/>
      <c r="E285" s="10" t="n"/>
      <c r="F285" s="9" t="n"/>
      <c r="G285" s="9" t="n"/>
      <c r="H285" s="10" t="n"/>
      <c r="I285" s="9" t="n"/>
      <c r="J285" s="11">
        <f>IF(F285="","",MAX(0,MIN(1,(1-(CODE(UPPER(D285))-65)/5)*0.5+(1-(E285-1)/5)*0.3+MIN(N(H285),3)/3*0.2)))</f>
        <v/>
      </c>
      <c r="K285" s="7">
        <f>IF(F285="","",IF(LOWER(I285)&lt;&gt;"y","DISCARD (not lawful/ethical to use)",IF(J285&gt;=0.7,"record as context correction (W08) + intake evidence",IF(J285&gt;=0.4,"watch - seek corroboration","note only"))))</f>
        <v/>
      </c>
    </row>
    <row r="286">
      <c r="A286" s="8" t="n"/>
      <c r="B286" s="9" t="n"/>
      <c r="C286" s="9" t="n"/>
      <c r="D286" s="9" t="n"/>
      <c r="E286" s="10" t="n"/>
      <c r="F286" s="9" t="n"/>
      <c r="G286" s="9" t="n"/>
      <c r="H286" s="10" t="n"/>
      <c r="I286" s="9" t="n"/>
      <c r="J286" s="11">
        <f>IF(F286="","",MAX(0,MIN(1,(1-(CODE(UPPER(D286))-65)/5)*0.5+(1-(E286-1)/5)*0.3+MIN(N(H286),3)/3*0.2)))</f>
        <v/>
      </c>
      <c r="K286" s="7">
        <f>IF(F286="","",IF(LOWER(I286)&lt;&gt;"y","DISCARD (not lawful/ethical to use)",IF(J286&gt;=0.7,"record as context correction (W08) + intake evidence",IF(J286&gt;=0.4,"watch - seek corroboration","note only"))))</f>
        <v/>
      </c>
    </row>
    <row r="287">
      <c r="A287" s="8" t="n"/>
      <c r="B287" s="9" t="n"/>
      <c r="C287" s="9" t="n"/>
      <c r="D287" s="9" t="n"/>
      <c r="E287" s="10" t="n"/>
      <c r="F287" s="9" t="n"/>
      <c r="G287" s="9" t="n"/>
      <c r="H287" s="10" t="n"/>
      <c r="I287" s="9" t="n"/>
      <c r="J287" s="11">
        <f>IF(F287="","",MAX(0,MIN(1,(1-(CODE(UPPER(D287))-65)/5)*0.5+(1-(E287-1)/5)*0.3+MIN(N(H287),3)/3*0.2)))</f>
        <v/>
      </c>
      <c r="K287" s="7">
        <f>IF(F287="","",IF(LOWER(I287)&lt;&gt;"y","DISCARD (not lawful/ethical to use)",IF(J287&gt;=0.7,"record as context correction (W08) + intake evidence",IF(J287&gt;=0.4,"watch - seek corroboration","note only"))))</f>
        <v/>
      </c>
    </row>
    <row r="288">
      <c r="A288" s="8" t="n"/>
      <c r="B288" s="9" t="n"/>
      <c r="C288" s="9" t="n"/>
      <c r="D288" s="9" t="n"/>
      <c r="E288" s="10" t="n"/>
      <c r="F288" s="9" t="n"/>
      <c r="G288" s="9" t="n"/>
      <c r="H288" s="10" t="n"/>
      <c r="I288" s="9" t="n"/>
      <c r="J288" s="11">
        <f>IF(F288="","",MAX(0,MIN(1,(1-(CODE(UPPER(D288))-65)/5)*0.5+(1-(E288-1)/5)*0.3+MIN(N(H288),3)/3*0.2)))</f>
        <v/>
      </c>
      <c r="K288" s="7">
        <f>IF(F288="","",IF(LOWER(I288)&lt;&gt;"y","DISCARD (not lawful/ethical to use)",IF(J288&gt;=0.7,"record as context correction (W08) + intake evidence",IF(J288&gt;=0.4,"watch - seek corroboration","note only"))))</f>
        <v/>
      </c>
    </row>
    <row r="289">
      <c r="A289" s="8" t="n"/>
      <c r="B289" s="9" t="n"/>
      <c r="C289" s="9" t="n"/>
      <c r="D289" s="9" t="n"/>
      <c r="E289" s="10" t="n"/>
      <c r="F289" s="9" t="n"/>
      <c r="G289" s="9" t="n"/>
      <c r="H289" s="10" t="n"/>
      <c r="I289" s="9" t="n"/>
      <c r="J289" s="11">
        <f>IF(F289="","",MAX(0,MIN(1,(1-(CODE(UPPER(D289))-65)/5)*0.5+(1-(E289-1)/5)*0.3+MIN(N(H289),3)/3*0.2)))</f>
        <v/>
      </c>
      <c r="K289" s="7">
        <f>IF(F289="","",IF(LOWER(I289)&lt;&gt;"y","DISCARD (not lawful/ethical to use)",IF(J289&gt;=0.7,"record as context correction (W08) + intake evidence",IF(J289&gt;=0.4,"watch - seek corroboration","note only"))))</f>
        <v/>
      </c>
    </row>
    <row r="290">
      <c r="A290" s="8" t="n"/>
      <c r="B290" s="9" t="n"/>
      <c r="C290" s="9" t="n"/>
      <c r="D290" s="9" t="n"/>
      <c r="E290" s="10" t="n"/>
      <c r="F290" s="9" t="n"/>
      <c r="G290" s="9" t="n"/>
      <c r="H290" s="10" t="n"/>
      <c r="I290" s="9" t="n"/>
      <c r="J290" s="11">
        <f>IF(F290="","",MAX(0,MIN(1,(1-(CODE(UPPER(D290))-65)/5)*0.5+(1-(E290-1)/5)*0.3+MIN(N(H290),3)/3*0.2)))</f>
        <v/>
      </c>
      <c r="K290" s="7">
        <f>IF(F290="","",IF(LOWER(I290)&lt;&gt;"y","DISCARD (not lawful/ethical to use)",IF(J290&gt;=0.7,"record as context correction (W08) + intake evidence",IF(J290&gt;=0.4,"watch - seek corroboration","note only"))))</f>
        <v/>
      </c>
    </row>
    <row r="291">
      <c r="A291" s="8" t="n"/>
      <c r="B291" s="9" t="n"/>
      <c r="C291" s="9" t="n"/>
      <c r="D291" s="9" t="n"/>
      <c r="E291" s="10" t="n"/>
      <c r="F291" s="9" t="n"/>
      <c r="G291" s="9" t="n"/>
      <c r="H291" s="10" t="n"/>
      <c r="I291" s="9" t="n"/>
      <c r="J291" s="11">
        <f>IF(F291="","",MAX(0,MIN(1,(1-(CODE(UPPER(D291))-65)/5)*0.5+(1-(E291-1)/5)*0.3+MIN(N(H291),3)/3*0.2)))</f>
        <v/>
      </c>
      <c r="K291" s="7">
        <f>IF(F291="","",IF(LOWER(I291)&lt;&gt;"y","DISCARD (not lawful/ethical to use)",IF(J291&gt;=0.7,"record as context correction (W08) + intake evidence",IF(J291&gt;=0.4,"watch - seek corroboration","note only"))))</f>
        <v/>
      </c>
    </row>
    <row r="292">
      <c r="A292" s="8" t="n"/>
      <c r="B292" s="9" t="n"/>
      <c r="C292" s="9" t="n"/>
      <c r="D292" s="9" t="n"/>
      <c r="E292" s="10" t="n"/>
      <c r="F292" s="9" t="n"/>
      <c r="G292" s="9" t="n"/>
      <c r="H292" s="10" t="n"/>
      <c r="I292" s="9" t="n"/>
      <c r="J292" s="11">
        <f>IF(F292="","",MAX(0,MIN(1,(1-(CODE(UPPER(D292))-65)/5)*0.5+(1-(E292-1)/5)*0.3+MIN(N(H292),3)/3*0.2)))</f>
        <v/>
      </c>
      <c r="K292" s="7">
        <f>IF(F292="","",IF(LOWER(I292)&lt;&gt;"y","DISCARD (not lawful/ethical to use)",IF(J292&gt;=0.7,"record as context correction (W08) + intake evidence",IF(J292&gt;=0.4,"watch - seek corroboration","note only"))))</f>
        <v/>
      </c>
    </row>
    <row r="293">
      <c r="A293" s="8" t="n"/>
      <c r="B293" s="9" t="n"/>
      <c r="C293" s="9" t="n"/>
      <c r="D293" s="9" t="n"/>
      <c r="E293" s="10" t="n"/>
      <c r="F293" s="9" t="n"/>
      <c r="G293" s="9" t="n"/>
      <c r="H293" s="10" t="n"/>
      <c r="I293" s="9" t="n"/>
      <c r="J293" s="11">
        <f>IF(F293="","",MAX(0,MIN(1,(1-(CODE(UPPER(D293))-65)/5)*0.5+(1-(E293-1)/5)*0.3+MIN(N(H293),3)/3*0.2)))</f>
        <v/>
      </c>
      <c r="K293" s="7">
        <f>IF(F293="","",IF(LOWER(I293)&lt;&gt;"y","DISCARD (not lawful/ethical to use)",IF(J293&gt;=0.7,"record as context correction (W08) + intake evidence",IF(J293&gt;=0.4,"watch - seek corroboration","note only"))))</f>
        <v/>
      </c>
    </row>
    <row r="294">
      <c r="A294" s="8" t="n"/>
      <c r="B294" s="9" t="n"/>
      <c r="C294" s="9" t="n"/>
      <c r="D294" s="9" t="n"/>
      <c r="E294" s="10" t="n"/>
      <c r="F294" s="9" t="n"/>
      <c r="G294" s="9" t="n"/>
      <c r="H294" s="10" t="n"/>
      <c r="I294" s="9" t="n"/>
      <c r="J294" s="11">
        <f>IF(F294="","",MAX(0,MIN(1,(1-(CODE(UPPER(D294))-65)/5)*0.5+(1-(E294-1)/5)*0.3+MIN(N(H294),3)/3*0.2)))</f>
        <v/>
      </c>
      <c r="K294" s="7">
        <f>IF(F294="","",IF(LOWER(I294)&lt;&gt;"y","DISCARD (not lawful/ethical to use)",IF(J294&gt;=0.7,"record as context correction (W08) + intake evidence",IF(J294&gt;=0.4,"watch - seek corroboration","note only"))))</f>
        <v/>
      </c>
    </row>
    <row r="295">
      <c r="A295" s="8" t="n"/>
      <c r="B295" s="9" t="n"/>
      <c r="C295" s="9" t="n"/>
      <c r="D295" s="9" t="n"/>
      <c r="E295" s="10" t="n"/>
      <c r="F295" s="9" t="n"/>
      <c r="G295" s="9" t="n"/>
      <c r="H295" s="10" t="n"/>
      <c r="I295" s="9" t="n"/>
      <c r="J295" s="11">
        <f>IF(F295="","",MAX(0,MIN(1,(1-(CODE(UPPER(D295))-65)/5)*0.5+(1-(E295-1)/5)*0.3+MIN(N(H295),3)/3*0.2)))</f>
        <v/>
      </c>
      <c r="K295" s="7">
        <f>IF(F295="","",IF(LOWER(I295)&lt;&gt;"y","DISCARD (not lawful/ethical to use)",IF(J295&gt;=0.7,"record as context correction (W08) + intake evidence",IF(J295&gt;=0.4,"watch - seek corroboration","note only"))))</f>
        <v/>
      </c>
    </row>
    <row r="296">
      <c r="A296" s="8" t="n"/>
      <c r="B296" s="9" t="n"/>
      <c r="C296" s="9" t="n"/>
      <c r="D296" s="9" t="n"/>
      <c r="E296" s="10" t="n"/>
      <c r="F296" s="9" t="n"/>
      <c r="G296" s="9" t="n"/>
      <c r="H296" s="10" t="n"/>
      <c r="I296" s="9" t="n"/>
      <c r="J296" s="11">
        <f>IF(F296="","",MAX(0,MIN(1,(1-(CODE(UPPER(D296))-65)/5)*0.5+(1-(E296-1)/5)*0.3+MIN(N(H296),3)/3*0.2)))</f>
        <v/>
      </c>
      <c r="K296" s="7">
        <f>IF(F296="","",IF(LOWER(I296)&lt;&gt;"y","DISCARD (not lawful/ethical to use)",IF(J296&gt;=0.7,"record as context correction (W08) + intake evidence",IF(J296&gt;=0.4,"watch - seek corroboration","note only"))))</f>
        <v/>
      </c>
    </row>
    <row r="297">
      <c r="A297" s="8" t="n"/>
      <c r="B297" s="9" t="n"/>
      <c r="C297" s="9" t="n"/>
      <c r="D297" s="9" t="n"/>
      <c r="E297" s="10" t="n"/>
      <c r="F297" s="9" t="n"/>
      <c r="G297" s="9" t="n"/>
      <c r="H297" s="10" t="n"/>
      <c r="I297" s="9" t="n"/>
      <c r="J297" s="11">
        <f>IF(F297="","",MAX(0,MIN(1,(1-(CODE(UPPER(D297))-65)/5)*0.5+(1-(E297-1)/5)*0.3+MIN(N(H297),3)/3*0.2)))</f>
        <v/>
      </c>
      <c r="K297" s="7">
        <f>IF(F297="","",IF(LOWER(I297)&lt;&gt;"y","DISCARD (not lawful/ethical to use)",IF(J297&gt;=0.7,"record as context correction (W08) + intake evidence",IF(J297&gt;=0.4,"watch - seek corroboration","note only"))))</f>
        <v/>
      </c>
    </row>
    <row r="298">
      <c r="A298" s="8" t="n"/>
      <c r="B298" s="9" t="n"/>
      <c r="C298" s="9" t="n"/>
      <c r="D298" s="9" t="n"/>
      <c r="E298" s="10" t="n"/>
      <c r="F298" s="9" t="n"/>
      <c r="G298" s="9" t="n"/>
      <c r="H298" s="10" t="n"/>
      <c r="I298" s="9" t="n"/>
      <c r="J298" s="11">
        <f>IF(F298="","",MAX(0,MIN(1,(1-(CODE(UPPER(D298))-65)/5)*0.5+(1-(E298-1)/5)*0.3+MIN(N(H298),3)/3*0.2)))</f>
        <v/>
      </c>
      <c r="K298" s="7">
        <f>IF(F298="","",IF(LOWER(I298)&lt;&gt;"y","DISCARD (not lawful/ethical to use)",IF(J298&gt;=0.7,"record as context correction (W08) + intake evidence",IF(J298&gt;=0.4,"watch - seek corroboration","note only"))))</f>
        <v/>
      </c>
    </row>
    <row r="299">
      <c r="A299" s="8" t="n"/>
      <c r="B299" s="9" t="n"/>
      <c r="C299" s="9" t="n"/>
      <c r="D299" s="9" t="n"/>
      <c r="E299" s="10" t="n"/>
      <c r="F299" s="9" t="n"/>
      <c r="G299" s="9" t="n"/>
      <c r="H299" s="10" t="n"/>
      <c r="I299" s="9" t="n"/>
      <c r="J299" s="11">
        <f>IF(F299="","",MAX(0,MIN(1,(1-(CODE(UPPER(D299))-65)/5)*0.5+(1-(E299-1)/5)*0.3+MIN(N(H299),3)/3*0.2)))</f>
        <v/>
      </c>
      <c r="K299" s="7">
        <f>IF(F299="","",IF(LOWER(I299)&lt;&gt;"y","DISCARD (not lawful/ethical to use)",IF(J299&gt;=0.7,"record as context correction (W08) + intake evidence",IF(J299&gt;=0.4,"watch - seek corroboration","note only"))))</f>
        <v/>
      </c>
    </row>
    <row r="300">
      <c r="A300" s="8" t="n"/>
      <c r="B300" s="9" t="n"/>
      <c r="C300" s="9" t="n"/>
      <c r="D300" s="9" t="n"/>
      <c r="E300" s="10" t="n"/>
      <c r="F300" s="9" t="n"/>
      <c r="G300" s="9" t="n"/>
      <c r="H300" s="10" t="n"/>
      <c r="I300" s="9" t="n"/>
      <c r="J300" s="11">
        <f>IF(F300="","",MAX(0,MIN(1,(1-(CODE(UPPER(D300))-65)/5)*0.5+(1-(E300-1)/5)*0.3+MIN(N(H300),3)/3*0.2)))</f>
        <v/>
      </c>
      <c r="K300" s="7">
        <f>IF(F300="","",IF(LOWER(I300)&lt;&gt;"y","DISCARD (not lawful/ethical to use)",IF(J300&gt;=0.7,"record as context correction (W08) + intake evidence",IF(J300&gt;=0.4,"watch - seek corroboration","note only"))))</f>
        <v/>
      </c>
    </row>
    <row r="301">
      <c r="A301" s="8" t="n"/>
      <c r="B301" s="9" t="n"/>
      <c r="C301" s="9" t="n"/>
      <c r="D301" s="9" t="n"/>
      <c r="E301" s="10" t="n"/>
      <c r="F301" s="9" t="n"/>
      <c r="G301" s="9" t="n"/>
      <c r="H301" s="10" t="n"/>
      <c r="I301" s="9" t="n"/>
      <c r="J301" s="11">
        <f>IF(F301="","",MAX(0,MIN(1,(1-(CODE(UPPER(D301))-65)/5)*0.5+(1-(E301-1)/5)*0.3+MIN(N(H301),3)/3*0.2)))</f>
        <v/>
      </c>
      <c r="K301" s="7">
        <f>IF(F301="","",IF(LOWER(I301)&lt;&gt;"y","DISCARD (not lawful/ethical to use)",IF(J301&gt;=0.7,"record as context correction (W08) + intake evidence",IF(J301&gt;=0.4,"watch - seek corroboration","note only"))))</f>
        <v/>
      </c>
    </row>
    <row r="302">
      <c r="A302" s="8" t="n"/>
      <c r="B302" s="9" t="n"/>
      <c r="C302" s="9" t="n"/>
      <c r="D302" s="9" t="n"/>
      <c r="E302" s="10" t="n"/>
      <c r="F302" s="9" t="n"/>
      <c r="G302" s="9" t="n"/>
      <c r="H302" s="10" t="n"/>
      <c r="I302" s="9" t="n"/>
      <c r="J302" s="11">
        <f>IF(F302="","",MAX(0,MIN(1,(1-(CODE(UPPER(D302))-65)/5)*0.5+(1-(E302-1)/5)*0.3+MIN(N(H302),3)/3*0.2)))</f>
        <v/>
      </c>
      <c r="K302" s="7">
        <f>IF(F302="","",IF(LOWER(I302)&lt;&gt;"y","DISCARD (not lawful/ethical to use)",IF(J302&gt;=0.7,"record as context correction (W08) + intake evidence",IF(J302&gt;=0.4,"watch - seek corroboration","note only"))))</f>
        <v/>
      </c>
    </row>
    <row r="303">
      <c r="A303" s="8" t="n"/>
      <c r="B303" s="9" t="n"/>
      <c r="C303" s="9" t="n"/>
      <c r="D303" s="9" t="n"/>
      <c r="E303" s="10" t="n"/>
      <c r="F303" s="9" t="n"/>
      <c r="G303" s="9" t="n"/>
      <c r="H303" s="10" t="n"/>
      <c r="I303" s="9" t="n"/>
      <c r="J303" s="11">
        <f>IF(F303="","",MAX(0,MIN(1,(1-(CODE(UPPER(D303))-65)/5)*0.5+(1-(E303-1)/5)*0.3+MIN(N(H303),3)/3*0.2)))</f>
        <v/>
      </c>
      <c r="K303" s="7">
        <f>IF(F303="","",IF(LOWER(I303)&lt;&gt;"y","DISCARD (not lawful/ethical to use)",IF(J303&gt;=0.7,"record as context correction (W08) + intake evidence",IF(J303&gt;=0.4,"watch - seek corroboration","note only"))))</f>
        <v/>
      </c>
    </row>
    <row r="304">
      <c r="A304" s="8" t="n"/>
      <c r="B304" s="9" t="n"/>
      <c r="C304" s="9" t="n"/>
      <c r="D304" s="9" t="n"/>
      <c r="E304" s="10" t="n"/>
      <c r="F304" s="9" t="n"/>
      <c r="G304" s="9" t="n"/>
      <c r="H304" s="10" t="n"/>
      <c r="I304" s="9" t="n"/>
      <c r="J304" s="11">
        <f>IF(F304="","",MAX(0,MIN(1,(1-(CODE(UPPER(D304))-65)/5)*0.5+(1-(E304-1)/5)*0.3+MIN(N(H304),3)/3*0.2)))</f>
        <v/>
      </c>
      <c r="K304" s="7">
        <f>IF(F304="","",IF(LOWER(I304)&lt;&gt;"y","DISCARD (not lawful/ethical to use)",IF(J304&gt;=0.7,"record as context correction (W08) + intake evidence",IF(J304&gt;=0.4,"watch - seek corroboration","note only"))))</f>
        <v/>
      </c>
    </row>
    <row r="305">
      <c r="A305" s="8" t="n"/>
      <c r="B305" s="9" t="n"/>
      <c r="C305" s="9" t="n"/>
      <c r="D305" s="9" t="n"/>
      <c r="E305" s="10" t="n"/>
      <c r="F305" s="9" t="n"/>
      <c r="G305" s="9" t="n"/>
      <c r="H305" s="10" t="n"/>
      <c r="I305" s="9" t="n"/>
      <c r="J305" s="11">
        <f>IF(F305="","",MAX(0,MIN(1,(1-(CODE(UPPER(D305))-65)/5)*0.5+(1-(E305-1)/5)*0.3+MIN(N(H305),3)/3*0.2)))</f>
        <v/>
      </c>
      <c r="K305" s="7">
        <f>IF(F305="","",IF(LOWER(I305)&lt;&gt;"y","DISCARD (not lawful/ethical to use)",IF(J305&gt;=0.7,"record as context correction (W08) + intake evidence",IF(J305&gt;=0.4,"watch - seek corroboration","note only"))))</f>
        <v/>
      </c>
    </row>
    <row r="306">
      <c r="A306" s="8" t="n"/>
      <c r="B306" s="9" t="n"/>
      <c r="C306" s="9" t="n"/>
      <c r="D306" s="9" t="n"/>
      <c r="E306" s="10" t="n"/>
      <c r="F306" s="9" t="n"/>
      <c r="G306" s="9" t="n"/>
      <c r="H306" s="10" t="n"/>
      <c r="I306" s="9" t="n"/>
      <c r="J306" s="11">
        <f>IF(F306="","",MAX(0,MIN(1,(1-(CODE(UPPER(D306))-65)/5)*0.5+(1-(E306-1)/5)*0.3+MIN(N(H306),3)/3*0.2)))</f>
        <v/>
      </c>
      <c r="K306" s="7">
        <f>IF(F306="","",IF(LOWER(I306)&lt;&gt;"y","DISCARD (not lawful/ethical to use)",IF(J306&gt;=0.7,"record as context correction (W08) + intake evidence",IF(J306&gt;=0.4,"watch - seek corroboration","note only"))))</f>
        <v/>
      </c>
    </row>
    <row r="307">
      <c r="A307" s="8" t="n"/>
      <c r="B307" s="9" t="n"/>
      <c r="C307" s="9" t="n"/>
      <c r="D307" s="9" t="n"/>
      <c r="E307" s="10" t="n"/>
      <c r="F307" s="9" t="n"/>
      <c r="G307" s="9" t="n"/>
      <c r="H307" s="10" t="n"/>
      <c r="I307" s="9" t="n"/>
      <c r="J307" s="11">
        <f>IF(F307="","",MAX(0,MIN(1,(1-(CODE(UPPER(D307))-65)/5)*0.5+(1-(E307-1)/5)*0.3+MIN(N(H307),3)/3*0.2)))</f>
        <v/>
      </c>
      <c r="K307" s="7">
        <f>IF(F307="","",IF(LOWER(I307)&lt;&gt;"y","DISCARD (not lawful/ethical to use)",IF(J307&gt;=0.7,"record as context correction (W08) + intake evidence",IF(J307&gt;=0.4,"watch - seek corroboration","note only"))))</f>
        <v/>
      </c>
    </row>
    <row r="308">
      <c r="A308" s="8" t="n"/>
      <c r="B308" s="9" t="n"/>
      <c r="C308" s="9" t="n"/>
      <c r="D308" s="9" t="n"/>
      <c r="E308" s="10" t="n"/>
      <c r="F308" s="9" t="n"/>
      <c r="G308" s="9" t="n"/>
      <c r="H308" s="10" t="n"/>
      <c r="I308" s="9" t="n"/>
      <c r="J308" s="11">
        <f>IF(F308="","",MAX(0,MIN(1,(1-(CODE(UPPER(D308))-65)/5)*0.5+(1-(E308-1)/5)*0.3+MIN(N(H308),3)/3*0.2)))</f>
        <v/>
      </c>
      <c r="K308" s="7">
        <f>IF(F308="","",IF(LOWER(I308)&lt;&gt;"y","DISCARD (not lawful/ethical to use)",IF(J308&gt;=0.7,"record as context correction (W08) + intake evidence",IF(J308&gt;=0.4,"watch - seek corroboration","note only"))))</f>
        <v/>
      </c>
    </row>
    <row r="309">
      <c r="A309" s="8" t="n"/>
      <c r="B309" s="9" t="n"/>
      <c r="C309" s="9" t="n"/>
      <c r="D309" s="9" t="n"/>
      <c r="E309" s="10" t="n"/>
      <c r="F309" s="9" t="n"/>
      <c r="G309" s="9" t="n"/>
      <c r="H309" s="10" t="n"/>
      <c r="I309" s="9" t="n"/>
      <c r="J309" s="11">
        <f>IF(F309="","",MAX(0,MIN(1,(1-(CODE(UPPER(D309))-65)/5)*0.5+(1-(E309-1)/5)*0.3+MIN(N(H309),3)/3*0.2)))</f>
        <v/>
      </c>
      <c r="K309" s="7">
        <f>IF(F309="","",IF(LOWER(I309)&lt;&gt;"y","DISCARD (not lawful/ethical to use)",IF(J309&gt;=0.7,"record as context correction (W08) + intake evidence",IF(J309&gt;=0.4,"watch - seek corroboration","note only"))))</f>
        <v/>
      </c>
    </row>
    <row r="310">
      <c r="A310" s="8" t="n"/>
      <c r="B310" s="9" t="n"/>
      <c r="C310" s="9" t="n"/>
      <c r="D310" s="9" t="n"/>
      <c r="E310" s="10" t="n"/>
      <c r="F310" s="9" t="n"/>
      <c r="G310" s="9" t="n"/>
      <c r="H310" s="10" t="n"/>
      <c r="I310" s="9" t="n"/>
      <c r="J310" s="11">
        <f>IF(F310="","",MAX(0,MIN(1,(1-(CODE(UPPER(D310))-65)/5)*0.5+(1-(E310-1)/5)*0.3+MIN(N(H310),3)/3*0.2)))</f>
        <v/>
      </c>
      <c r="K310" s="7">
        <f>IF(F310="","",IF(LOWER(I310)&lt;&gt;"y","DISCARD (not lawful/ethical to use)",IF(J310&gt;=0.7,"record as context correction (W08) + intake evidence",IF(J310&gt;=0.4,"watch - seek corroboration","note only"))))</f>
        <v/>
      </c>
    </row>
    <row r="311">
      <c r="A311" s="8" t="n"/>
      <c r="B311" s="9" t="n"/>
      <c r="C311" s="9" t="n"/>
      <c r="D311" s="9" t="n"/>
      <c r="E311" s="10" t="n"/>
      <c r="F311" s="9" t="n"/>
      <c r="G311" s="9" t="n"/>
      <c r="H311" s="10" t="n"/>
      <c r="I311" s="9" t="n"/>
      <c r="J311" s="11">
        <f>IF(F311="","",MAX(0,MIN(1,(1-(CODE(UPPER(D311))-65)/5)*0.5+(1-(E311-1)/5)*0.3+MIN(N(H311),3)/3*0.2)))</f>
        <v/>
      </c>
      <c r="K311" s="7">
        <f>IF(F311="","",IF(LOWER(I311)&lt;&gt;"y","DISCARD (not lawful/ethical to use)",IF(J311&gt;=0.7,"record as context correction (W08) + intake evidence",IF(J311&gt;=0.4,"watch - seek corroboration","note only"))))</f>
        <v/>
      </c>
    </row>
    <row r="312">
      <c r="A312" s="8" t="n"/>
      <c r="B312" s="9" t="n"/>
      <c r="C312" s="9" t="n"/>
      <c r="D312" s="9" t="n"/>
      <c r="E312" s="10" t="n"/>
      <c r="F312" s="9" t="n"/>
      <c r="G312" s="9" t="n"/>
      <c r="H312" s="10" t="n"/>
      <c r="I312" s="9" t="n"/>
      <c r="J312" s="11">
        <f>IF(F312="","",MAX(0,MIN(1,(1-(CODE(UPPER(D312))-65)/5)*0.5+(1-(E312-1)/5)*0.3+MIN(N(H312),3)/3*0.2)))</f>
        <v/>
      </c>
      <c r="K312" s="7">
        <f>IF(F312="","",IF(LOWER(I312)&lt;&gt;"y","DISCARD (not lawful/ethical to use)",IF(J312&gt;=0.7,"record as context correction (W08) + intake evidence",IF(J312&gt;=0.4,"watch - seek corroboration","note only"))))</f>
        <v/>
      </c>
    </row>
    <row r="313">
      <c r="A313" s="8" t="n"/>
      <c r="B313" s="9" t="n"/>
      <c r="C313" s="9" t="n"/>
      <c r="D313" s="9" t="n"/>
      <c r="E313" s="10" t="n"/>
      <c r="F313" s="9" t="n"/>
      <c r="G313" s="9" t="n"/>
      <c r="H313" s="10" t="n"/>
      <c r="I313" s="9" t="n"/>
      <c r="J313" s="11">
        <f>IF(F313="","",MAX(0,MIN(1,(1-(CODE(UPPER(D313))-65)/5)*0.5+(1-(E313-1)/5)*0.3+MIN(N(H313),3)/3*0.2)))</f>
        <v/>
      </c>
      <c r="K313" s="7">
        <f>IF(F313="","",IF(LOWER(I313)&lt;&gt;"y","DISCARD (not lawful/ethical to use)",IF(J313&gt;=0.7,"record as context correction (W08) + intake evidence",IF(J313&gt;=0.4,"watch - seek corroboration","note only"))))</f>
        <v/>
      </c>
    </row>
    <row r="314">
      <c r="A314" s="8" t="n"/>
      <c r="B314" s="9" t="n"/>
      <c r="C314" s="9" t="n"/>
      <c r="D314" s="9" t="n"/>
      <c r="E314" s="10" t="n"/>
      <c r="F314" s="9" t="n"/>
      <c r="G314" s="9" t="n"/>
      <c r="H314" s="10" t="n"/>
      <c r="I314" s="9" t="n"/>
      <c r="J314" s="11">
        <f>IF(F314="","",MAX(0,MIN(1,(1-(CODE(UPPER(D314))-65)/5)*0.5+(1-(E314-1)/5)*0.3+MIN(N(H314),3)/3*0.2)))</f>
        <v/>
      </c>
      <c r="K314" s="7">
        <f>IF(F314="","",IF(LOWER(I314)&lt;&gt;"y","DISCARD (not lawful/ethical to use)",IF(J314&gt;=0.7,"record as context correction (W08) + intake evidence",IF(J314&gt;=0.4,"watch - seek corroboration","note only"))))</f>
        <v/>
      </c>
    </row>
    <row r="315">
      <c r="A315" s="8" t="n"/>
      <c r="B315" s="9" t="n"/>
      <c r="C315" s="9" t="n"/>
      <c r="D315" s="9" t="n"/>
      <c r="E315" s="10" t="n"/>
      <c r="F315" s="9" t="n"/>
      <c r="G315" s="9" t="n"/>
      <c r="H315" s="10" t="n"/>
      <c r="I315" s="9" t="n"/>
      <c r="J315" s="11">
        <f>IF(F315="","",MAX(0,MIN(1,(1-(CODE(UPPER(D315))-65)/5)*0.5+(1-(E315-1)/5)*0.3+MIN(N(H315),3)/3*0.2)))</f>
        <v/>
      </c>
      <c r="K315" s="7">
        <f>IF(F315="","",IF(LOWER(I315)&lt;&gt;"y","DISCARD (not lawful/ethical to use)",IF(J315&gt;=0.7,"record as context correction (W08) + intake evidence",IF(J315&gt;=0.4,"watch - seek corroboration","note only"))))</f>
        <v/>
      </c>
    </row>
    <row r="316">
      <c r="A316" s="8" t="n"/>
      <c r="B316" s="9" t="n"/>
      <c r="C316" s="9" t="n"/>
      <c r="D316" s="9" t="n"/>
      <c r="E316" s="10" t="n"/>
      <c r="F316" s="9" t="n"/>
      <c r="G316" s="9" t="n"/>
      <c r="H316" s="10" t="n"/>
      <c r="I316" s="9" t="n"/>
      <c r="J316" s="11">
        <f>IF(F316="","",MAX(0,MIN(1,(1-(CODE(UPPER(D316))-65)/5)*0.5+(1-(E316-1)/5)*0.3+MIN(N(H316),3)/3*0.2)))</f>
        <v/>
      </c>
      <c r="K316" s="7">
        <f>IF(F316="","",IF(LOWER(I316)&lt;&gt;"y","DISCARD (not lawful/ethical to use)",IF(J316&gt;=0.7,"record as context correction (W08) + intake evidence",IF(J316&gt;=0.4,"watch - seek corroboration","note only"))))</f>
        <v/>
      </c>
    </row>
    <row r="317">
      <c r="A317" s="8" t="n"/>
      <c r="B317" s="9" t="n"/>
      <c r="C317" s="9" t="n"/>
      <c r="D317" s="9" t="n"/>
      <c r="E317" s="10" t="n"/>
      <c r="F317" s="9" t="n"/>
      <c r="G317" s="9" t="n"/>
      <c r="H317" s="10" t="n"/>
      <c r="I317" s="9" t="n"/>
      <c r="J317" s="11">
        <f>IF(F317="","",MAX(0,MIN(1,(1-(CODE(UPPER(D317))-65)/5)*0.5+(1-(E317-1)/5)*0.3+MIN(N(H317),3)/3*0.2)))</f>
        <v/>
      </c>
      <c r="K317" s="7">
        <f>IF(F317="","",IF(LOWER(I317)&lt;&gt;"y","DISCARD (not lawful/ethical to use)",IF(J317&gt;=0.7,"record as context correction (W08) + intake evidence",IF(J317&gt;=0.4,"watch - seek corroboration","note only"))))</f>
        <v/>
      </c>
    </row>
    <row r="318">
      <c r="A318" s="8" t="n"/>
      <c r="B318" s="9" t="n"/>
      <c r="C318" s="9" t="n"/>
      <c r="D318" s="9" t="n"/>
      <c r="E318" s="10" t="n"/>
      <c r="F318" s="9" t="n"/>
      <c r="G318" s="9" t="n"/>
      <c r="H318" s="10" t="n"/>
      <c r="I318" s="9" t="n"/>
      <c r="J318" s="11">
        <f>IF(F318="","",MAX(0,MIN(1,(1-(CODE(UPPER(D318))-65)/5)*0.5+(1-(E318-1)/5)*0.3+MIN(N(H318),3)/3*0.2)))</f>
        <v/>
      </c>
      <c r="K318" s="7">
        <f>IF(F318="","",IF(LOWER(I318)&lt;&gt;"y","DISCARD (not lawful/ethical to use)",IF(J318&gt;=0.7,"record as context correction (W08) + intake evidence",IF(J318&gt;=0.4,"watch - seek corroboration","note only"))))</f>
        <v/>
      </c>
    </row>
    <row r="319">
      <c r="A319" s="8" t="n"/>
      <c r="B319" s="9" t="n"/>
      <c r="C319" s="9" t="n"/>
      <c r="D319" s="9" t="n"/>
      <c r="E319" s="10" t="n"/>
      <c r="F319" s="9" t="n"/>
      <c r="G319" s="9" t="n"/>
      <c r="H319" s="10" t="n"/>
      <c r="I319" s="9" t="n"/>
      <c r="J319" s="11">
        <f>IF(F319="","",MAX(0,MIN(1,(1-(CODE(UPPER(D319))-65)/5)*0.5+(1-(E319-1)/5)*0.3+MIN(N(H319),3)/3*0.2)))</f>
        <v/>
      </c>
      <c r="K319" s="7">
        <f>IF(F319="","",IF(LOWER(I319)&lt;&gt;"y","DISCARD (not lawful/ethical to use)",IF(J319&gt;=0.7,"record as context correction (W08) + intake evidence",IF(J319&gt;=0.4,"watch - seek corroboration","note only"))))</f>
        <v/>
      </c>
    </row>
    <row r="320">
      <c r="A320" s="8" t="n"/>
      <c r="B320" s="9" t="n"/>
      <c r="C320" s="9" t="n"/>
      <c r="D320" s="9" t="n"/>
      <c r="E320" s="10" t="n"/>
      <c r="F320" s="9" t="n"/>
      <c r="G320" s="9" t="n"/>
      <c r="H320" s="10" t="n"/>
      <c r="I320" s="9" t="n"/>
      <c r="J320" s="11">
        <f>IF(F320="","",MAX(0,MIN(1,(1-(CODE(UPPER(D320))-65)/5)*0.5+(1-(E320-1)/5)*0.3+MIN(N(H320),3)/3*0.2)))</f>
        <v/>
      </c>
      <c r="K320" s="7">
        <f>IF(F320="","",IF(LOWER(I320)&lt;&gt;"y","DISCARD (not lawful/ethical to use)",IF(J320&gt;=0.7,"record as context correction (W08) + intake evidence",IF(J320&gt;=0.4,"watch - seek corroboration","note only"))))</f>
        <v/>
      </c>
    </row>
    <row r="321">
      <c r="A321" s="8" t="n"/>
      <c r="B321" s="9" t="n"/>
      <c r="C321" s="9" t="n"/>
      <c r="D321" s="9" t="n"/>
      <c r="E321" s="10" t="n"/>
      <c r="F321" s="9" t="n"/>
      <c r="G321" s="9" t="n"/>
      <c r="H321" s="10" t="n"/>
      <c r="I321" s="9" t="n"/>
      <c r="J321" s="11">
        <f>IF(F321="","",MAX(0,MIN(1,(1-(CODE(UPPER(D321))-65)/5)*0.5+(1-(E321-1)/5)*0.3+MIN(N(H321),3)/3*0.2)))</f>
        <v/>
      </c>
      <c r="K321" s="7">
        <f>IF(F321="","",IF(LOWER(I321)&lt;&gt;"y","DISCARD (not lawful/ethical to use)",IF(J321&gt;=0.7,"record as context correction (W08) + intake evidence",IF(J321&gt;=0.4,"watch - seek corroboration","note only"))))</f>
        <v/>
      </c>
    </row>
    <row r="322">
      <c r="A322" s="8" t="n"/>
      <c r="B322" s="9" t="n"/>
      <c r="C322" s="9" t="n"/>
      <c r="D322" s="9" t="n"/>
      <c r="E322" s="10" t="n"/>
      <c r="F322" s="9" t="n"/>
      <c r="G322" s="9" t="n"/>
      <c r="H322" s="10" t="n"/>
      <c r="I322" s="9" t="n"/>
      <c r="J322" s="11">
        <f>IF(F322="","",MAX(0,MIN(1,(1-(CODE(UPPER(D322))-65)/5)*0.5+(1-(E322-1)/5)*0.3+MIN(N(H322),3)/3*0.2)))</f>
        <v/>
      </c>
      <c r="K322" s="7">
        <f>IF(F322="","",IF(LOWER(I322)&lt;&gt;"y","DISCARD (not lawful/ethical to use)",IF(J322&gt;=0.7,"record as context correction (W08) + intake evidence",IF(J322&gt;=0.4,"watch - seek corroboration","note only"))))</f>
        <v/>
      </c>
    </row>
    <row r="323">
      <c r="A323" s="8" t="n"/>
      <c r="B323" s="9" t="n"/>
      <c r="C323" s="9" t="n"/>
      <c r="D323" s="9" t="n"/>
      <c r="E323" s="10" t="n"/>
      <c r="F323" s="9" t="n"/>
      <c r="G323" s="9" t="n"/>
      <c r="H323" s="10" t="n"/>
      <c r="I323" s="9" t="n"/>
      <c r="J323" s="11">
        <f>IF(F323="","",MAX(0,MIN(1,(1-(CODE(UPPER(D323))-65)/5)*0.5+(1-(E323-1)/5)*0.3+MIN(N(H323),3)/3*0.2)))</f>
        <v/>
      </c>
      <c r="K323" s="7">
        <f>IF(F323="","",IF(LOWER(I323)&lt;&gt;"y","DISCARD (not lawful/ethical to use)",IF(J323&gt;=0.7,"record as context correction (W08) + intake evidence",IF(J323&gt;=0.4,"watch - seek corroboration","note only"))))</f>
        <v/>
      </c>
    </row>
    <row r="324">
      <c r="A324" s="8" t="n"/>
      <c r="B324" s="9" t="n"/>
      <c r="C324" s="9" t="n"/>
      <c r="D324" s="9" t="n"/>
      <c r="E324" s="10" t="n"/>
      <c r="F324" s="9" t="n"/>
      <c r="G324" s="9" t="n"/>
      <c r="H324" s="10" t="n"/>
      <c r="I324" s="9" t="n"/>
      <c r="J324" s="11">
        <f>IF(F324="","",MAX(0,MIN(1,(1-(CODE(UPPER(D324))-65)/5)*0.5+(1-(E324-1)/5)*0.3+MIN(N(H324),3)/3*0.2)))</f>
        <v/>
      </c>
      <c r="K324" s="7">
        <f>IF(F324="","",IF(LOWER(I324)&lt;&gt;"y","DISCARD (not lawful/ethical to use)",IF(J324&gt;=0.7,"record as context correction (W08) + intake evidence",IF(J324&gt;=0.4,"watch - seek corroboration","note only"))))</f>
        <v/>
      </c>
    </row>
    <row r="325">
      <c r="A325" s="8" t="n"/>
      <c r="B325" s="9" t="n"/>
      <c r="C325" s="9" t="n"/>
      <c r="D325" s="9" t="n"/>
      <c r="E325" s="10" t="n"/>
      <c r="F325" s="9" t="n"/>
      <c r="G325" s="9" t="n"/>
      <c r="H325" s="10" t="n"/>
      <c r="I325" s="9" t="n"/>
      <c r="J325" s="11">
        <f>IF(F325="","",MAX(0,MIN(1,(1-(CODE(UPPER(D325))-65)/5)*0.5+(1-(E325-1)/5)*0.3+MIN(N(H325),3)/3*0.2)))</f>
        <v/>
      </c>
      <c r="K325" s="7">
        <f>IF(F325="","",IF(LOWER(I325)&lt;&gt;"y","DISCARD (not lawful/ethical to use)",IF(J325&gt;=0.7,"record as context correction (W08) + intake evidence",IF(J325&gt;=0.4,"watch - seek corroboration","note only"))))</f>
        <v/>
      </c>
    </row>
    <row r="326">
      <c r="A326" s="8" t="n"/>
      <c r="B326" s="9" t="n"/>
      <c r="C326" s="9" t="n"/>
      <c r="D326" s="9" t="n"/>
      <c r="E326" s="10" t="n"/>
      <c r="F326" s="9" t="n"/>
      <c r="G326" s="9" t="n"/>
      <c r="H326" s="10" t="n"/>
      <c r="I326" s="9" t="n"/>
      <c r="J326" s="11">
        <f>IF(F326="","",MAX(0,MIN(1,(1-(CODE(UPPER(D326))-65)/5)*0.5+(1-(E326-1)/5)*0.3+MIN(N(H326),3)/3*0.2)))</f>
        <v/>
      </c>
      <c r="K326" s="7">
        <f>IF(F326="","",IF(LOWER(I326)&lt;&gt;"y","DISCARD (not lawful/ethical to use)",IF(J326&gt;=0.7,"record as context correction (W08) + intake evidence",IF(J326&gt;=0.4,"watch - seek corroboration","note only"))))</f>
        <v/>
      </c>
    </row>
    <row r="327">
      <c r="A327" s="8" t="n"/>
      <c r="B327" s="9" t="n"/>
      <c r="C327" s="9" t="n"/>
      <c r="D327" s="9" t="n"/>
      <c r="E327" s="10" t="n"/>
      <c r="F327" s="9" t="n"/>
      <c r="G327" s="9" t="n"/>
      <c r="H327" s="10" t="n"/>
      <c r="I327" s="9" t="n"/>
      <c r="J327" s="11">
        <f>IF(F327="","",MAX(0,MIN(1,(1-(CODE(UPPER(D327))-65)/5)*0.5+(1-(E327-1)/5)*0.3+MIN(N(H327),3)/3*0.2)))</f>
        <v/>
      </c>
      <c r="K327" s="7">
        <f>IF(F327="","",IF(LOWER(I327)&lt;&gt;"y","DISCARD (not lawful/ethical to use)",IF(J327&gt;=0.7,"record as context correction (W08) + intake evidence",IF(J327&gt;=0.4,"watch - seek corroboration","note only"))))</f>
        <v/>
      </c>
    </row>
    <row r="328">
      <c r="A328" s="8" t="n"/>
      <c r="B328" s="9" t="n"/>
      <c r="C328" s="9" t="n"/>
      <c r="D328" s="9" t="n"/>
      <c r="E328" s="10" t="n"/>
      <c r="F328" s="9" t="n"/>
      <c r="G328" s="9" t="n"/>
      <c r="H328" s="10" t="n"/>
      <c r="I328" s="9" t="n"/>
      <c r="J328" s="11">
        <f>IF(F328="","",MAX(0,MIN(1,(1-(CODE(UPPER(D328))-65)/5)*0.5+(1-(E328-1)/5)*0.3+MIN(N(H328),3)/3*0.2)))</f>
        <v/>
      </c>
      <c r="K328" s="7">
        <f>IF(F328="","",IF(LOWER(I328)&lt;&gt;"y","DISCARD (not lawful/ethical to use)",IF(J328&gt;=0.7,"record as context correction (W08) + intake evidence",IF(J328&gt;=0.4,"watch - seek corroboration","note only"))))</f>
        <v/>
      </c>
    </row>
    <row r="329">
      <c r="A329" s="8" t="n"/>
      <c r="B329" s="9" t="n"/>
      <c r="C329" s="9" t="n"/>
      <c r="D329" s="9" t="n"/>
      <c r="E329" s="10" t="n"/>
      <c r="F329" s="9" t="n"/>
      <c r="G329" s="9" t="n"/>
      <c r="H329" s="10" t="n"/>
      <c r="I329" s="9" t="n"/>
      <c r="J329" s="11">
        <f>IF(F329="","",MAX(0,MIN(1,(1-(CODE(UPPER(D329))-65)/5)*0.5+(1-(E329-1)/5)*0.3+MIN(N(H329),3)/3*0.2)))</f>
        <v/>
      </c>
      <c r="K329" s="7">
        <f>IF(F329="","",IF(LOWER(I329)&lt;&gt;"y","DISCARD (not lawful/ethical to use)",IF(J329&gt;=0.7,"record as context correction (W08) + intake evidence",IF(J329&gt;=0.4,"watch - seek corroboration","note only"))))</f>
        <v/>
      </c>
    </row>
    <row r="330">
      <c r="A330" s="8" t="n"/>
      <c r="B330" s="9" t="n"/>
      <c r="C330" s="9" t="n"/>
      <c r="D330" s="9" t="n"/>
      <c r="E330" s="10" t="n"/>
      <c r="F330" s="9" t="n"/>
      <c r="G330" s="9" t="n"/>
      <c r="H330" s="10" t="n"/>
      <c r="I330" s="9" t="n"/>
      <c r="J330" s="11">
        <f>IF(F330="","",MAX(0,MIN(1,(1-(CODE(UPPER(D330))-65)/5)*0.5+(1-(E330-1)/5)*0.3+MIN(N(H330),3)/3*0.2)))</f>
        <v/>
      </c>
      <c r="K330" s="7">
        <f>IF(F330="","",IF(LOWER(I330)&lt;&gt;"y","DISCARD (not lawful/ethical to use)",IF(J330&gt;=0.7,"record as context correction (W08) + intake evidence",IF(J330&gt;=0.4,"watch - seek corroboration","note only"))))</f>
        <v/>
      </c>
    </row>
    <row r="331">
      <c r="A331" s="8" t="n"/>
      <c r="B331" s="9" t="n"/>
      <c r="C331" s="9" t="n"/>
      <c r="D331" s="9" t="n"/>
      <c r="E331" s="10" t="n"/>
      <c r="F331" s="9" t="n"/>
      <c r="G331" s="9" t="n"/>
      <c r="H331" s="10" t="n"/>
      <c r="I331" s="9" t="n"/>
      <c r="J331" s="11">
        <f>IF(F331="","",MAX(0,MIN(1,(1-(CODE(UPPER(D331))-65)/5)*0.5+(1-(E331-1)/5)*0.3+MIN(N(H331),3)/3*0.2)))</f>
        <v/>
      </c>
      <c r="K331" s="7">
        <f>IF(F331="","",IF(LOWER(I331)&lt;&gt;"y","DISCARD (not lawful/ethical to use)",IF(J331&gt;=0.7,"record as context correction (W08) + intake evidence",IF(J331&gt;=0.4,"watch - seek corroboration","note only"))))</f>
        <v/>
      </c>
    </row>
    <row r="332">
      <c r="A332" s="8" t="n"/>
      <c r="B332" s="9" t="n"/>
      <c r="C332" s="9" t="n"/>
      <c r="D332" s="9" t="n"/>
      <c r="E332" s="10" t="n"/>
      <c r="F332" s="9" t="n"/>
      <c r="G332" s="9" t="n"/>
      <c r="H332" s="10" t="n"/>
      <c r="I332" s="9" t="n"/>
      <c r="J332" s="11">
        <f>IF(F332="","",MAX(0,MIN(1,(1-(CODE(UPPER(D332))-65)/5)*0.5+(1-(E332-1)/5)*0.3+MIN(N(H332),3)/3*0.2)))</f>
        <v/>
      </c>
      <c r="K332" s="7">
        <f>IF(F332="","",IF(LOWER(I332)&lt;&gt;"y","DISCARD (not lawful/ethical to use)",IF(J332&gt;=0.7,"record as context correction (W08) + intake evidence",IF(J332&gt;=0.4,"watch - seek corroboration","note only"))))</f>
        <v/>
      </c>
    </row>
    <row r="333">
      <c r="A333" s="8" t="n"/>
      <c r="B333" s="9" t="n"/>
      <c r="C333" s="9" t="n"/>
      <c r="D333" s="9" t="n"/>
      <c r="E333" s="10" t="n"/>
      <c r="F333" s="9" t="n"/>
      <c r="G333" s="9" t="n"/>
      <c r="H333" s="10" t="n"/>
      <c r="I333" s="9" t="n"/>
      <c r="J333" s="11">
        <f>IF(F333="","",MAX(0,MIN(1,(1-(CODE(UPPER(D333))-65)/5)*0.5+(1-(E333-1)/5)*0.3+MIN(N(H333),3)/3*0.2)))</f>
        <v/>
      </c>
      <c r="K333" s="7">
        <f>IF(F333="","",IF(LOWER(I333)&lt;&gt;"y","DISCARD (not lawful/ethical to use)",IF(J333&gt;=0.7,"record as context correction (W08) + intake evidence",IF(J333&gt;=0.4,"watch - seek corroboration","note only"))))</f>
        <v/>
      </c>
    </row>
    <row r="334">
      <c r="A334" s="8" t="n"/>
      <c r="B334" s="9" t="n"/>
      <c r="C334" s="9" t="n"/>
      <c r="D334" s="9" t="n"/>
      <c r="E334" s="10" t="n"/>
      <c r="F334" s="9" t="n"/>
      <c r="G334" s="9" t="n"/>
      <c r="H334" s="10" t="n"/>
      <c r="I334" s="9" t="n"/>
      <c r="J334" s="11">
        <f>IF(F334="","",MAX(0,MIN(1,(1-(CODE(UPPER(D334))-65)/5)*0.5+(1-(E334-1)/5)*0.3+MIN(N(H334),3)/3*0.2)))</f>
        <v/>
      </c>
      <c r="K334" s="7">
        <f>IF(F334="","",IF(LOWER(I334)&lt;&gt;"y","DISCARD (not lawful/ethical to use)",IF(J334&gt;=0.7,"record as context correction (W08) + intake evidence",IF(J334&gt;=0.4,"watch - seek corroboration","note only"))))</f>
        <v/>
      </c>
    </row>
    <row r="335">
      <c r="A335" s="8" t="n"/>
      <c r="B335" s="9" t="n"/>
      <c r="C335" s="9" t="n"/>
      <c r="D335" s="9" t="n"/>
      <c r="E335" s="10" t="n"/>
      <c r="F335" s="9" t="n"/>
      <c r="G335" s="9" t="n"/>
      <c r="H335" s="10" t="n"/>
      <c r="I335" s="9" t="n"/>
      <c r="J335" s="11">
        <f>IF(F335="","",MAX(0,MIN(1,(1-(CODE(UPPER(D335))-65)/5)*0.5+(1-(E335-1)/5)*0.3+MIN(N(H335),3)/3*0.2)))</f>
        <v/>
      </c>
      <c r="K335" s="7">
        <f>IF(F335="","",IF(LOWER(I335)&lt;&gt;"y","DISCARD (not lawful/ethical to use)",IF(J335&gt;=0.7,"record as context correction (W08) + intake evidence",IF(J335&gt;=0.4,"watch - seek corroboration","note only"))))</f>
        <v/>
      </c>
    </row>
    <row r="336">
      <c r="A336" s="8" t="n"/>
      <c r="B336" s="9" t="n"/>
      <c r="C336" s="9" t="n"/>
      <c r="D336" s="9" t="n"/>
      <c r="E336" s="10" t="n"/>
      <c r="F336" s="9" t="n"/>
      <c r="G336" s="9" t="n"/>
      <c r="H336" s="10" t="n"/>
      <c r="I336" s="9" t="n"/>
      <c r="J336" s="11">
        <f>IF(F336="","",MAX(0,MIN(1,(1-(CODE(UPPER(D336))-65)/5)*0.5+(1-(E336-1)/5)*0.3+MIN(N(H336),3)/3*0.2)))</f>
        <v/>
      </c>
      <c r="K336" s="7">
        <f>IF(F336="","",IF(LOWER(I336)&lt;&gt;"y","DISCARD (not lawful/ethical to use)",IF(J336&gt;=0.7,"record as context correction (W08) + intake evidence",IF(J336&gt;=0.4,"watch - seek corroboration","note only"))))</f>
        <v/>
      </c>
    </row>
    <row r="337">
      <c r="A337" s="8" t="n"/>
      <c r="B337" s="9" t="n"/>
      <c r="C337" s="9" t="n"/>
      <c r="D337" s="9" t="n"/>
      <c r="E337" s="10" t="n"/>
      <c r="F337" s="9" t="n"/>
      <c r="G337" s="9" t="n"/>
      <c r="H337" s="10" t="n"/>
      <c r="I337" s="9" t="n"/>
      <c r="J337" s="11">
        <f>IF(F337="","",MAX(0,MIN(1,(1-(CODE(UPPER(D337))-65)/5)*0.5+(1-(E337-1)/5)*0.3+MIN(N(H337),3)/3*0.2)))</f>
        <v/>
      </c>
      <c r="K337" s="7">
        <f>IF(F337="","",IF(LOWER(I337)&lt;&gt;"y","DISCARD (not lawful/ethical to use)",IF(J337&gt;=0.7,"record as context correction (W08) + intake evidence",IF(J337&gt;=0.4,"watch - seek corroboration","note only"))))</f>
        <v/>
      </c>
    </row>
    <row r="338">
      <c r="A338" s="8" t="n"/>
      <c r="B338" s="9" t="n"/>
      <c r="C338" s="9" t="n"/>
      <c r="D338" s="9" t="n"/>
      <c r="E338" s="10" t="n"/>
      <c r="F338" s="9" t="n"/>
      <c r="G338" s="9" t="n"/>
      <c r="H338" s="10" t="n"/>
      <c r="I338" s="9" t="n"/>
      <c r="J338" s="11">
        <f>IF(F338="","",MAX(0,MIN(1,(1-(CODE(UPPER(D338))-65)/5)*0.5+(1-(E338-1)/5)*0.3+MIN(N(H338),3)/3*0.2)))</f>
        <v/>
      </c>
      <c r="K338" s="7">
        <f>IF(F338="","",IF(LOWER(I338)&lt;&gt;"y","DISCARD (not lawful/ethical to use)",IF(J338&gt;=0.7,"record as context correction (W08) + intake evidence",IF(J338&gt;=0.4,"watch - seek corroboration","note only"))))</f>
        <v/>
      </c>
    </row>
    <row r="339">
      <c r="A339" s="8" t="n"/>
      <c r="B339" s="9" t="n"/>
      <c r="C339" s="9" t="n"/>
      <c r="D339" s="9" t="n"/>
      <c r="E339" s="10" t="n"/>
      <c r="F339" s="9" t="n"/>
      <c r="G339" s="9" t="n"/>
      <c r="H339" s="10" t="n"/>
      <c r="I339" s="9" t="n"/>
      <c r="J339" s="11">
        <f>IF(F339="","",MAX(0,MIN(1,(1-(CODE(UPPER(D339))-65)/5)*0.5+(1-(E339-1)/5)*0.3+MIN(N(H339),3)/3*0.2)))</f>
        <v/>
      </c>
      <c r="K339" s="7">
        <f>IF(F339="","",IF(LOWER(I339)&lt;&gt;"y","DISCARD (not lawful/ethical to use)",IF(J339&gt;=0.7,"record as context correction (W08) + intake evidence",IF(J339&gt;=0.4,"watch - seek corroboration","note only"))))</f>
        <v/>
      </c>
    </row>
    <row r="340">
      <c r="A340" s="8" t="n"/>
      <c r="B340" s="9" t="n"/>
      <c r="C340" s="9" t="n"/>
      <c r="D340" s="9" t="n"/>
      <c r="E340" s="10" t="n"/>
      <c r="F340" s="9" t="n"/>
      <c r="G340" s="9" t="n"/>
      <c r="H340" s="10" t="n"/>
      <c r="I340" s="9" t="n"/>
      <c r="J340" s="11">
        <f>IF(F340="","",MAX(0,MIN(1,(1-(CODE(UPPER(D340))-65)/5)*0.5+(1-(E340-1)/5)*0.3+MIN(N(H340),3)/3*0.2)))</f>
        <v/>
      </c>
      <c r="K340" s="7">
        <f>IF(F340="","",IF(LOWER(I340)&lt;&gt;"y","DISCARD (not lawful/ethical to use)",IF(J340&gt;=0.7,"record as context correction (W08) + intake evidence",IF(J340&gt;=0.4,"watch - seek corroboration","note only"))))</f>
        <v/>
      </c>
    </row>
    <row r="341">
      <c r="A341" s="8" t="n"/>
      <c r="B341" s="9" t="n"/>
      <c r="C341" s="9" t="n"/>
      <c r="D341" s="9" t="n"/>
      <c r="E341" s="10" t="n"/>
      <c r="F341" s="9" t="n"/>
      <c r="G341" s="9" t="n"/>
      <c r="H341" s="10" t="n"/>
      <c r="I341" s="9" t="n"/>
      <c r="J341" s="11">
        <f>IF(F341="","",MAX(0,MIN(1,(1-(CODE(UPPER(D341))-65)/5)*0.5+(1-(E341-1)/5)*0.3+MIN(N(H341),3)/3*0.2)))</f>
        <v/>
      </c>
      <c r="K341" s="7">
        <f>IF(F341="","",IF(LOWER(I341)&lt;&gt;"y","DISCARD (not lawful/ethical to use)",IF(J341&gt;=0.7,"record as context correction (W08) + intake evidence",IF(J341&gt;=0.4,"watch - seek corroboration","note only"))))</f>
        <v/>
      </c>
    </row>
    <row r="342">
      <c r="A342" s="8" t="n"/>
      <c r="B342" s="9" t="n"/>
      <c r="C342" s="9" t="n"/>
      <c r="D342" s="9" t="n"/>
      <c r="E342" s="10" t="n"/>
      <c r="F342" s="9" t="n"/>
      <c r="G342" s="9" t="n"/>
      <c r="H342" s="10" t="n"/>
      <c r="I342" s="9" t="n"/>
      <c r="J342" s="11">
        <f>IF(F342="","",MAX(0,MIN(1,(1-(CODE(UPPER(D342))-65)/5)*0.5+(1-(E342-1)/5)*0.3+MIN(N(H342),3)/3*0.2)))</f>
        <v/>
      </c>
      <c r="K342" s="7">
        <f>IF(F342="","",IF(LOWER(I342)&lt;&gt;"y","DISCARD (not lawful/ethical to use)",IF(J342&gt;=0.7,"record as context correction (W08) + intake evidence",IF(J342&gt;=0.4,"watch - seek corroboration","note only"))))</f>
        <v/>
      </c>
    </row>
    <row r="343">
      <c r="A343" s="8" t="n"/>
      <c r="B343" s="9" t="n"/>
      <c r="C343" s="9" t="n"/>
      <c r="D343" s="9" t="n"/>
      <c r="E343" s="10" t="n"/>
      <c r="F343" s="9" t="n"/>
      <c r="G343" s="9" t="n"/>
      <c r="H343" s="10" t="n"/>
      <c r="I343" s="9" t="n"/>
      <c r="J343" s="11">
        <f>IF(F343="","",MAX(0,MIN(1,(1-(CODE(UPPER(D343))-65)/5)*0.5+(1-(E343-1)/5)*0.3+MIN(N(H343),3)/3*0.2)))</f>
        <v/>
      </c>
      <c r="K343" s="7">
        <f>IF(F343="","",IF(LOWER(I343)&lt;&gt;"y","DISCARD (not lawful/ethical to use)",IF(J343&gt;=0.7,"record as context correction (W08) + intake evidence",IF(J343&gt;=0.4,"watch - seek corroboration","note only"))))</f>
        <v/>
      </c>
    </row>
    <row r="344">
      <c r="A344" s="8" t="n"/>
      <c r="B344" s="9" t="n"/>
      <c r="C344" s="9" t="n"/>
      <c r="D344" s="9" t="n"/>
      <c r="E344" s="10" t="n"/>
      <c r="F344" s="9" t="n"/>
      <c r="G344" s="9" t="n"/>
      <c r="H344" s="10" t="n"/>
      <c r="I344" s="9" t="n"/>
      <c r="J344" s="11">
        <f>IF(F344="","",MAX(0,MIN(1,(1-(CODE(UPPER(D344))-65)/5)*0.5+(1-(E344-1)/5)*0.3+MIN(N(H344),3)/3*0.2)))</f>
        <v/>
      </c>
      <c r="K344" s="7">
        <f>IF(F344="","",IF(LOWER(I344)&lt;&gt;"y","DISCARD (not lawful/ethical to use)",IF(J344&gt;=0.7,"record as context correction (W08) + intake evidence",IF(J344&gt;=0.4,"watch - seek corroboration","note only"))))</f>
        <v/>
      </c>
    </row>
    <row r="345">
      <c r="A345" s="8" t="n"/>
      <c r="B345" s="9" t="n"/>
      <c r="C345" s="9" t="n"/>
      <c r="D345" s="9" t="n"/>
      <c r="E345" s="10" t="n"/>
      <c r="F345" s="9" t="n"/>
      <c r="G345" s="9" t="n"/>
      <c r="H345" s="10" t="n"/>
      <c r="I345" s="9" t="n"/>
      <c r="J345" s="11">
        <f>IF(F345="","",MAX(0,MIN(1,(1-(CODE(UPPER(D345))-65)/5)*0.5+(1-(E345-1)/5)*0.3+MIN(N(H345),3)/3*0.2)))</f>
        <v/>
      </c>
      <c r="K345" s="7">
        <f>IF(F345="","",IF(LOWER(I345)&lt;&gt;"y","DISCARD (not lawful/ethical to use)",IF(J345&gt;=0.7,"record as context correction (W08) + intake evidence",IF(J345&gt;=0.4,"watch - seek corroboration","note only"))))</f>
        <v/>
      </c>
    </row>
    <row r="346">
      <c r="A346" s="8" t="n"/>
      <c r="B346" s="9" t="n"/>
      <c r="C346" s="9" t="n"/>
      <c r="D346" s="9" t="n"/>
      <c r="E346" s="10" t="n"/>
      <c r="F346" s="9" t="n"/>
      <c r="G346" s="9" t="n"/>
      <c r="H346" s="10" t="n"/>
      <c r="I346" s="9" t="n"/>
      <c r="J346" s="11">
        <f>IF(F346="","",MAX(0,MIN(1,(1-(CODE(UPPER(D346))-65)/5)*0.5+(1-(E346-1)/5)*0.3+MIN(N(H346),3)/3*0.2)))</f>
        <v/>
      </c>
      <c r="K346" s="7">
        <f>IF(F346="","",IF(LOWER(I346)&lt;&gt;"y","DISCARD (not lawful/ethical to use)",IF(J346&gt;=0.7,"record as context correction (W08) + intake evidence",IF(J346&gt;=0.4,"watch - seek corroboration","note only"))))</f>
        <v/>
      </c>
    </row>
    <row r="347">
      <c r="A347" s="8" t="n"/>
      <c r="B347" s="9" t="n"/>
      <c r="C347" s="9" t="n"/>
      <c r="D347" s="9" t="n"/>
      <c r="E347" s="10" t="n"/>
      <c r="F347" s="9" t="n"/>
      <c r="G347" s="9" t="n"/>
      <c r="H347" s="10" t="n"/>
      <c r="I347" s="9" t="n"/>
      <c r="J347" s="11">
        <f>IF(F347="","",MAX(0,MIN(1,(1-(CODE(UPPER(D347))-65)/5)*0.5+(1-(E347-1)/5)*0.3+MIN(N(H347),3)/3*0.2)))</f>
        <v/>
      </c>
      <c r="K347" s="7">
        <f>IF(F347="","",IF(LOWER(I347)&lt;&gt;"y","DISCARD (not lawful/ethical to use)",IF(J347&gt;=0.7,"record as context correction (W08) + intake evidence",IF(J347&gt;=0.4,"watch - seek corroboration","note only"))))</f>
        <v/>
      </c>
    </row>
    <row r="348">
      <c r="A348" s="8" t="n"/>
      <c r="B348" s="9" t="n"/>
      <c r="C348" s="9" t="n"/>
      <c r="D348" s="9" t="n"/>
      <c r="E348" s="10" t="n"/>
      <c r="F348" s="9" t="n"/>
      <c r="G348" s="9" t="n"/>
      <c r="H348" s="10" t="n"/>
      <c r="I348" s="9" t="n"/>
      <c r="J348" s="11">
        <f>IF(F348="","",MAX(0,MIN(1,(1-(CODE(UPPER(D348))-65)/5)*0.5+(1-(E348-1)/5)*0.3+MIN(N(H348),3)/3*0.2)))</f>
        <v/>
      </c>
      <c r="K348" s="7">
        <f>IF(F348="","",IF(LOWER(I348)&lt;&gt;"y","DISCARD (not lawful/ethical to use)",IF(J348&gt;=0.7,"record as context correction (W08) + intake evidence",IF(J348&gt;=0.4,"watch - seek corroboration","note only"))))</f>
        <v/>
      </c>
    </row>
    <row r="349">
      <c r="A349" s="8" t="n"/>
      <c r="B349" s="9" t="n"/>
      <c r="C349" s="9" t="n"/>
      <c r="D349" s="9" t="n"/>
      <c r="E349" s="10" t="n"/>
      <c r="F349" s="9" t="n"/>
      <c r="G349" s="9" t="n"/>
      <c r="H349" s="10" t="n"/>
      <c r="I349" s="9" t="n"/>
      <c r="J349" s="11">
        <f>IF(F349="","",MAX(0,MIN(1,(1-(CODE(UPPER(D349))-65)/5)*0.5+(1-(E349-1)/5)*0.3+MIN(N(H349),3)/3*0.2)))</f>
        <v/>
      </c>
      <c r="K349" s="7">
        <f>IF(F349="","",IF(LOWER(I349)&lt;&gt;"y","DISCARD (not lawful/ethical to use)",IF(J349&gt;=0.7,"record as context correction (W08) + intake evidence",IF(J349&gt;=0.4,"watch - seek corroboration","note only"))))</f>
        <v/>
      </c>
    </row>
    <row r="350">
      <c r="A350" s="8" t="n"/>
      <c r="B350" s="9" t="n"/>
      <c r="C350" s="9" t="n"/>
      <c r="D350" s="9" t="n"/>
      <c r="E350" s="10" t="n"/>
      <c r="F350" s="9" t="n"/>
      <c r="G350" s="9" t="n"/>
      <c r="H350" s="10" t="n"/>
      <c r="I350" s="9" t="n"/>
      <c r="J350" s="11">
        <f>IF(F350="","",MAX(0,MIN(1,(1-(CODE(UPPER(D350))-65)/5)*0.5+(1-(E350-1)/5)*0.3+MIN(N(H350),3)/3*0.2)))</f>
        <v/>
      </c>
      <c r="K350" s="7">
        <f>IF(F350="","",IF(LOWER(I350)&lt;&gt;"y","DISCARD (not lawful/ethical to use)",IF(J350&gt;=0.7,"record as context correction (W08) + intake evidence",IF(J350&gt;=0.4,"watch - seek corroboration","note only"))))</f>
        <v/>
      </c>
    </row>
    <row r="351">
      <c r="A351" s="8" t="n"/>
      <c r="B351" s="9" t="n"/>
      <c r="C351" s="9" t="n"/>
      <c r="D351" s="9" t="n"/>
      <c r="E351" s="10" t="n"/>
      <c r="F351" s="9" t="n"/>
      <c r="G351" s="9" t="n"/>
      <c r="H351" s="10" t="n"/>
      <c r="I351" s="9" t="n"/>
      <c r="J351" s="11">
        <f>IF(F351="","",MAX(0,MIN(1,(1-(CODE(UPPER(D351))-65)/5)*0.5+(1-(E351-1)/5)*0.3+MIN(N(H351),3)/3*0.2)))</f>
        <v/>
      </c>
      <c r="K351" s="7">
        <f>IF(F351="","",IF(LOWER(I351)&lt;&gt;"y","DISCARD (not lawful/ethical to use)",IF(J351&gt;=0.7,"record as context correction (W08) + intake evidence",IF(J351&gt;=0.4,"watch - seek corroboration","note only"))))</f>
        <v/>
      </c>
    </row>
    <row r="352">
      <c r="A352" s="8" t="n"/>
      <c r="B352" s="9" t="n"/>
      <c r="C352" s="9" t="n"/>
      <c r="D352" s="9" t="n"/>
      <c r="E352" s="10" t="n"/>
      <c r="F352" s="9" t="n"/>
      <c r="G352" s="9" t="n"/>
      <c r="H352" s="10" t="n"/>
      <c r="I352" s="9" t="n"/>
      <c r="J352" s="11">
        <f>IF(F352="","",MAX(0,MIN(1,(1-(CODE(UPPER(D352))-65)/5)*0.5+(1-(E352-1)/5)*0.3+MIN(N(H352),3)/3*0.2)))</f>
        <v/>
      </c>
      <c r="K352" s="7">
        <f>IF(F352="","",IF(LOWER(I352)&lt;&gt;"y","DISCARD (not lawful/ethical to use)",IF(J352&gt;=0.7,"record as context correction (W08) + intake evidence",IF(J352&gt;=0.4,"watch - seek corroboration","note only"))))</f>
        <v/>
      </c>
    </row>
    <row r="353">
      <c r="A353" s="8" t="n"/>
      <c r="B353" s="9" t="n"/>
      <c r="C353" s="9" t="n"/>
      <c r="D353" s="9" t="n"/>
      <c r="E353" s="10" t="n"/>
      <c r="F353" s="9" t="n"/>
      <c r="G353" s="9" t="n"/>
      <c r="H353" s="10" t="n"/>
      <c r="I353" s="9" t="n"/>
      <c r="J353" s="11">
        <f>IF(F353="","",MAX(0,MIN(1,(1-(CODE(UPPER(D353))-65)/5)*0.5+(1-(E353-1)/5)*0.3+MIN(N(H353),3)/3*0.2)))</f>
        <v/>
      </c>
      <c r="K353" s="7">
        <f>IF(F353="","",IF(LOWER(I353)&lt;&gt;"y","DISCARD (not lawful/ethical to use)",IF(J353&gt;=0.7,"record as context correction (W08) + intake evidence",IF(J353&gt;=0.4,"watch - seek corroboration","note only"))))</f>
        <v/>
      </c>
    </row>
    <row r="354">
      <c r="A354" s="8" t="n"/>
      <c r="B354" s="9" t="n"/>
      <c r="C354" s="9" t="n"/>
      <c r="D354" s="9" t="n"/>
      <c r="E354" s="10" t="n"/>
      <c r="F354" s="9" t="n"/>
      <c r="G354" s="9" t="n"/>
      <c r="H354" s="10" t="n"/>
      <c r="I354" s="9" t="n"/>
      <c r="J354" s="11">
        <f>IF(F354="","",MAX(0,MIN(1,(1-(CODE(UPPER(D354))-65)/5)*0.5+(1-(E354-1)/5)*0.3+MIN(N(H354),3)/3*0.2)))</f>
        <v/>
      </c>
      <c r="K354" s="7">
        <f>IF(F354="","",IF(LOWER(I354)&lt;&gt;"y","DISCARD (not lawful/ethical to use)",IF(J354&gt;=0.7,"record as context correction (W08) + intake evidence",IF(J354&gt;=0.4,"watch - seek corroboration","note only"))))</f>
        <v/>
      </c>
    </row>
    <row r="355">
      <c r="A355" s="8" t="n"/>
      <c r="B355" s="9" t="n"/>
      <c r="C355" s="9" t="n"/>
      <c r="D355" s="9" t="n"/>
      <c r="E355" s="10" t="n"/>
      <c r="F355" s="9" t="n"/>
      <c r="G355" s="9" t="n"/>
      <c r="H355" s="10" t="n"/>
      <c r="I355" s="9" t="n"/>
      <c r="J355" s="11">
        <f>IF(F355="","",MAX(0,MIN(1,(1-(CODE(UPPER(D355))-65)/5)*0.5+(1-(E355-1)/5)*0.3+MIN(N(H355),3)/3*0.2)))</f>
        <v/>
      </c>
      <c r="K355" s="7">
        <f>IF(F355="","",IF(LOWER(I355)&lt;&gt;"y","DISCARD (not lawful/ethical to use)",IF(J355&gt;=0.7,"record as context correction (W08) + intake evidence",IF(J355&gt;=0.4,"watch - seek corroboration","note only"))))</f>
        <v/>
      </c>
    </row>
    <row r="356">
      <c r="A356" s="8" t="n"/>
      <c r="B356" s="9" t="n"/>
      <c r="C356" s="9" t="n"/>
      <c r="D356" s="9" t="n"/>
      <c r="E356" s="10" t="n"/>
      <c r="F356" s="9" t="n"/>
      <c r="G356" s="9" t="n"/>
      <c r="H356" s="10" t="n"/>
      <c r="I356" s="9" t="n"/>
      <c r="J356" s="11">
        <f>IF(F356="","",MAX(0,MIN(1,(1-(CODE(UPPER(D356))-65)/5)*0.5+(1-(E356-1)/5)*0.3+MIN(N(H356),3)/3*0.2)))</f>
        <v/>
      </c>
      <c r="K356" s="7">
        <f>IF(F356="","",IF(LOWER(I356)&lt;&gt;"y","DISCARD (not lawful/ethical to use)",IF(J356&gt;=0.7,"record as context correction (W08) + intake evidence",IF(J356&gt;=0.4,"watch - seek corroboration","note only"))))</f>
        <v/>
      </c>
    </row>
    <row r="357">
      <c r="A357" s="8" t="n"/>
      <c r="B357" s="9" t="n"/>
      <c r="C357" s="9" t="n"/>
      <c r="D357" s="9" t="n"/>
      <c r="E357" s="10" t="n"/>
      <c r="F357" s="9" t="n"/>
      <c r="G357" s="9" t="n"/>
      <c r="H357" s="10" t="n"/>
      <c r="I357" s="9" t="n"/>
      <c r="J357" s="11">
        <f>IF(F357="","",MAX(0,MIN(1,(1-(CODE(UPPER(D357))-65)/5)*0.5+(1-(E357-1)/5)*0.3+MIN(N(H357),3)/3*0.2)))</f>
        <v/>
      </c>
      <c r="K357" s="7">
        <f>IF(F357="","",IF(LOWER(I357)&lt;&gt;"y","DISCARD (not lawful/ethical to use)",IF(J357&gt;=0.7,"record as context correction (W08) + intake evidence",IF(J357&gt;=0.4,"watch - seek corroboration","note only"))))</f>
        <v/>
      </c>
    </row>
    <row r="358">
      <c r="A358" s="8" t="n"/>
      <c r="B358" s="9" t="n"/>
      <c r="C358" s="9" t="n"/>
      <c r="D358" s="9" t="n"/>
      <c r="E358" s="10" t="n"/>
      <c r="F358" s="9" t="n"/>
      <c r="G358" s="9" t="n"/>
      <c r="H358" s="10" t="n"/>
      <c r="I358" s="9" t="n"/>
      <c r="J358" s="11">
        <f>IF(F358="","",MAX(0,MIN(1,(1-(CODE(UPPER(D358))-65)/5)*0.5+(1-(E358-1)/5)*0.3+MIN(N(H358),3)/3*0.2)))</f>
        <v/>
      </c>
      <c r="K358" s="7">
        <f>IF(F358="","",IF(LOWER(I358)&lt;&gt;"y","DISCARD (not lawful/ethical to use)",IF(J358&gt;=0.7,"record as context correction (W08) + intake evidence",IF(J358&gt;=0.4,"watch - seek corroboration","note only"))))</f>
        <v/>
      </c>
    </row>
    <row r="359">
      <c r="A359" s="8" t="n"/>
      <c r="B359" s="9" t="n"/>
      <c r="C359" s="9" t="n"/>
      <c r="D359" s="9" t="n"/>
      <c r="E359" s="10" t="n"/>
      <c r="F359" s="9" t="n"/>
      <c r="G359" s="9" t="n"/>
      <c r="H359" s="10" t="n"/>
      <c r="I359" s="9" t="n"/>
      <c r="J359" s="11">
        <f>IF(F359="","",MAX(0,MIN(1,(1-(CODE(UPPER(D359))-65)/5)*0.5+(1-(E359-1)/5)*0.3+MIN(N(H359),3)/3*0.2)))</f>
        <v/>
      </c>
      <c r="K359" s="7">
        <f>IF(F359="","",IF(LOWER(I359)&lt;&gt;"y","DISCARD (not lawful/ethical to use)",IF(J359&gt;=0.7,"record as context correction (W08) + intake evidence",IF(J359&gt;=0.4,"watch - seek corroboration","note only"))))</f>
        <v/>
      </c>
    </row>
    <row r="360">
      <c r="A360" s="8" t="n"/>
      <c r="B360" s="9" t="n"/>
      <c r="C360" s="9" t="n"/>
      <c r="D360" s="9" t="n"/>
      <c r="E360" s="10" t="n"/>
      <c r="F360" s="9" t="n"/>
      <c r="G360" s="9" t="n"/>
      <c r="H360" s="10" t="n"/>
      <c r="I360" s="9" t="n"/>
      <c r="J360" s="11">
        <f>IF(F360="","",MAX(0,MIN(1,(1-(CODE(UPPER(D360))-65)/5)*0.5+(1-(E360-1)/5)*0.3+MIN(N(H360),3)/3*0.2)))</f>
        <v/>
      </c>
      <c r="K360" s="7">
        <f>IF(F360="","",IF(LOWER(I360)&lt;&gt;"y","DISCARD (not lawful/ethical to use)",IF(J360&gt;=0.7,"record as context correction (W08) + intake evidence",IF(J360&gt;=0.4,"watch - seek corroboration","note only"))))</f>
        <v/>
      </c>
    </row>
    <row r="361">
      <c r="A361" s="8" t="n"/>
      <c r="B361" s="9" t="n"/>
      <c r="C361" s="9" t="n"/>
      <c r="D361" s="9" t="n"/>
      <c r="E361" s="10" t="n"/>
      <c r="F361" s="9" t="n"/>
      <c r="G361" s="9" t="n"/>
      <c r="H361" s="10" t="n"/>
      <c r="I361" s="9" t="n"/>
      <c r="J361" s="11">
        <f>IF(F361="","",MAX(0,MIN(1,(1-(CODE(UPPER(D361))-65)/5)*0.5+(1-(E361-1)/5)*0.3+MIN(N(H361),3)/3*0.2)))</f>
        <v/>
      </c>
      <c r="K361" s="7">
        <f>IF(F361="","",IF(LOWER(I361)&lt;&gt;"y","DISCARD (not lawful/ethical to use)",IF(J361&gt;=0.7,"record as context correction (W08) + intake evidence",IF(J361&gt;=0.4,"watch - seek corroboration","note only"))))</f>
        <v/>
      </c>
    </row>
    <row r="362">
      <c r="A362" s="8" t="n"/>
      <c r="B362" s="9" t="n"/>
      <c r="C362" s="9" t="n"/>
      <c r="D362" s="9" t="n"/>
      <c r="E362" s="10" t="n"/>
      <c r="F362" s="9" t="n"/>
      <c r="G362" s="9" t="n"/>
      <c r="H362" s="10" t="n"/>
      <c r="I362" s="9" t="n"/>
      <c r="J362" s="11">
        <f>IF(F362="","",MAX(0,MIN(1,(1-(CODE(UPPER(D362))-65)/5)*0.5+(1-(E362-1)/5)*0.3+MIN(N(H362),3)/3*0.2)))</f>
        <v/>
      </c>
      <c r="K362" s="7">
        <f>IF(F362="","",IF(LOWER(I362)&lt;&gt;"y","DISCARD (not lawful/ethical to use)",IF(J362&gt;=0.7,"record as context correction (W08) + intake evidence",IF(J362&gt;=0.4,"watch - seek corroboration","note only"))))</f>
        <v/>
      </c>
    </row>
    <row r="363">
      <c r="A363" s="8" t="n"/>
      <c r="B363" s="9" t="n"/>
      <c r="C363" s="9" t="n"/>
      <c r="D363" s="9" t="n"/>
      <c r="E363" s="10" t="n"/>
      <c r="F363" s="9" t="n"/>
      <c r="G363" s="9" t="n"/>
      <c r="H363" s="10" t="n"/>
      <c r="I363" s="9" t="n"/>
      <c r="J363" s="11">
        <f>IF(F363="","",MAX(0,MIN(1,(1-(CODE(UPPER(D363))-65)/5)*0.5+(1-(E363-1)/5)*0.3+MIN(N(H363),3)/3*0.2)))</f>
        <v/>
      </c>
      <c r="K363" s="7">
        <f>IF(F363="","",IF(LOWER(I363)&lt;&gt;"y","DISCARD (not lawful/ethical to use)",IF(J363&gt;=0.7,"record as context correction (W08) + intake evidence",IF(J363&gt;=0.4,"watch - seek corroboration","note only"))))</f>
        <v/>
      </c>
    </row>
    <row r="364">
      <c r="A364" s="8" t="n"/>
      <c r="B364" s="9" t="n"/>
      <c r="C364" s="9" t="n"/>
      <c r="D364" s="9" t="n"/>
      <c r="E364" s="10" t="n"/>
      <c r="F364" s="9" t="n"/>
      <c r="G364" s="9" t="n"/>
      <c r="H364" s="10" t="n"/>
      <c r="I364" s="9" t="n"/>
      <c r="J364" s="11">
        <f>IF(F364="","",MAX(0,MIN(1,(1-(CODE(UPPER(D364))-65)/5)*0.5+(1-(E364-1)/5)*0.3+MIN(N(H364),3)/3*0.2)))</f>
        <v/>
      </c>
      <c r="K364" s="7">
        <f>IF(F364="","",IF(LOWER(I364)&lt;&gt;"y","DISCARD (not lawful/ethical to use)",IF(J364&gt;=0.7,"record as context correction (W08) + intake evidence",IF(J364&gt;=0.4,"watch - seek corroboration","note only"))))</f>
        <v/>
      </c>
    </row>
    <row r="365">
      <c r="A365" s="8" t="n"/>
      <c r="B365" s="9" t="n"/>
      <c r="C365" s="9" t="n"/>
      <c r="D365" s="9" t="n"/>
      <c r="E365" s="10" t="n"/>
      <c r="F365" s="9" t="n"/>
      <c r="G365" s="9" t="n"/>
      <c r="H365" s="10" t="n"/>
      <c r="I365" s="9" t="n"/>
      <c r="J365" s="11">
        <f>IF(F365="","",MAX(0,MIN(1,(1-(CODE(UPPER(D365))-65)/5)*0.5+(1-(E365-1)/5)*0.3+MIN(N(H365),3)/3*0.2)))</f>
        <v/>
      </c>
      <c r="K365" s="7">
        <f>IF(F365="","",IF(LOWER(I365)&lt;&gt;"y","DISCARD (not lawful/ethical to use)",IF(J365&gt;=0.7,"record as context correction (W08) + intake evidence",IF(J365&gt;=0.4,"watch - seek corroboration","note only"))))</f>
        <v/>
      </c>
    </row>
    <row r="366">
      <c r="A366" s="8" t="n"/>
      <c r="B366" s="9" t="n"/>
      <c r="C366" s="9" t="n"/>
      <c r="D366" s="9" t="n"/>
      <c r="E366" s="10" t="n"/>
      <c r="F366" s="9" t="n"/>
      <c r="G366" s="9" t="n"/>
      <c r="H366" s="10" t="n"/>
      <c r="I366" s="9" t="n"/>
      <c r="J366" s="11">
        <f>IF(F366="","",MAX(0,MIN(1,(1-(CODE(UPPER(D366))-65)/5)*0.5+(1-(E366-1)/5)*0.3+MIN(N(H366),3)/3*0.2)))</f>
        <v/>
      </c>
      <c r="K366" s="7">
        <f>IF(F366="","",IF(LOWER(I366)&lt;&gt;"y","DISCARD (not lawful/ethical to use)",IF(J366&gt;=0.7,"record as context correction (W08) + intake evidence",IF(J366&gt;=0.4,"watch - seek corroboration","note only"))))</f>
        <v/>
      </c>
    </row>
    <row r="367">
      <c r="A367" s="8" t="n"/>
      <c r="B367" s="9" t="n"/>
      <c r="C367" s="9" t="n"/>
      <c r="D367" s="9" t="n"/>
      <c r="E367" s="10" t="n"/>
      <c r="F367" s="9" t="n"/>
      <c r="G367" s="9" t="n"/>
      <c r="H367" s="10" t="n"/>
      <c r="I367" s="9" t="n"/>
      <c r="J367" s="11">
        <f>IF(F367="","",MAX(0,MIN(1,(1-(CODE(UPPER(D367))-65)/5)*0.5+(1-(E367-1)/5)*0.3+MIN(N(H367),3)/3*0.2)))</f>
        <v/>
      </c>
      <c r="K367" s="7">
        <f>IF(F367="","",IF(LOWER(I367)&lt;&gt;"y","DISCARD (not lawful/ethical to use)",IF(J367&gt;=0.7,"record as context correction (W08) + intake evidence",IF(J367&gt;=0.4,"watch - seek corroboration","note only"))))</f>
        <v/>
      </c>
    </row>
    <row r="368">
      <c r="A368" s="8" t="n"/>
      <c r="B368" s="9" t="n"/>
      <c r="C368" s="9" t="n"/>
      <c r="D368" s="9" t="n"/>
      <c r="E368" s="10" t="n"/>
      <c r="F368" s="9" t="n"/>
      <c r="G368" s="9" t="n"/>
      <c r="H368" s="10" t="n"/>
      <c r="I368" s="9" t="n"/>
      <c r="J368" s="11">
        <f>IF(F368="","",MAX(0,MIN(1,(1-(CODE(UPPER(D368))-65)/5)*0.5+(1-(E368-1)/5)*0.3+MIN(N(H368),3)/3*0.2)))</f>
        <v/>
      </c>
      <c r="K368" s="7">
        <f>IF(F368="","",IF(LOWER(I368)&lt;&gt;"y","DISCARD (not lawful/ethical to use)",IF(J368&gt;=0.7,"record as context correction (W08) + intake evidence",IF(J368&gt;=0.4,"watch - seek corroboration","note only"))))</f>
        <v/>
      </c>
    </row>
    <row r="369">
      <c r="A369" s="8" t="n"/>
      <c r="B369" s="9" t="n"/>
      <c r="C369" s="9" t="n"/>
      <c r="D369" s="9" t="n"/>
      <c r="E369" s="10" t="n"/>
      <c r="F369" s="9" t="n"/>
      <c r="G369" s="9" t="n"/>
      <c r="H369" s="10" t="n"/>
      <c r="I369" s="9" t="n"/>
      <c r="J369" s="11">
        <f>IF(F369="","",MAX(0,MIN(1,(1-(CODE(UPPER(D369))-65)/5)*0.5+(1-(E369-1)/5)*0.3+MIN(N(H369),3)/3*0.2)))</f>
        <v/>
      </c>
      <c r="K369" s="7">
        <f>IF(F369="","",IF(LOWER(I369)&lt;&gt;"y","DISCARD (not lawful/ethical to use)",IF(J369&gt;=0.7,"record as context correction (W08) + intake evidence",IF(J369&gt;=0.4,"watch - seek corroboration","note only"))))</f>
        <v/>
      </c>
    </row>
    <row r="370">
      <c r="A370" s="8" t="n"/>
      <c r="B370" s="9" t="n"/>
      <c r="C370" s="9" t="n"/>
      <c r="D370" s="9" t="n"/>
      <c r="E370" s="10" t="n"/>
      <c r="F370" s="9" t="n"/>
      <c r="G370" s="9" t="n"/>
      <c r="H370" s="10" t="n"/>
      <c r="I370" s="9" t="n"/>
      <c r="J370" s="11">
        <f>IF(F370="","",MAX(0,MIN(1,(1-(CODE(UPPER(D370))-65)/5)*0.5+(1-(E370-1)/5)*0.3+MIN(N(H370),3)/3*0.2)))</f>
        <v/>
      </c>
      <c r="K370" s="7">
        <f>IF(F370="","",IF(LOWER(I370)&lt;&gt;"y","DISCARD (not lawful/ethical to use)",IF(J370&gt;=0.7,"record as context correction (W08) + intake evidence",IF(J370&gt;=0.4,"watch - seek corroboration","note only"))))</f>
        <v/>
      </c>
    </row>
    <row r="371">
      <c r="A371" s="8" t="n"/>
      <c r="B371" s="9" t="n"/>
      <c r="C371" s="9" t="n"/>
      <c r="D371" s="9" t="n"/>
      <c r="E371" s="10" t="n"/>
      <c r="F371" s="9" t="n"/>
      <c r="G371" s="9" t="n"/>
      <c r="H371" s="10" t="n"/>
      <c r="I371" s="9" t="n"/>
      <c r="J371" s="11">
        <f>IF(F371="","",MAX(0,MIN(1,(1-(CODE(UPPER(D371))-65)/5)*0.5+(1-(E371-1)/5)*0.3+MIN(N(H371),3)/3*0.2)))</f>
        <v/>
      </c>
      <c r="K371" s="7">
        <f>IF(F371="","",IF(LOWER(I371)&lt;&gt;"y","DISCARD (not lawful/ethical to use)",IF(J371&gt;=0.7,"record as context correction (W08) + intake evidence",IF(J371&gt;=0.4,"watch - seek corroboration","note only"))))</f>
        <v/>
      </c>
    </row>
    <row r="372">
      <c r="A372" s="8" t="n"/>
      <c r="B372" s="9" t="n"/>
      <c r="C372" s="9" t="n"/>
      <c r="D372" s="9" t="n"/>
      <c r="E372" s="10" t="n"/>
      <c r="F372" s="9" t="n"/>
      <c r="G372" s="9" t="n"/>
      <c r="H372" s="10" t="n"/>
      <c r="I372" s="9" t="n"/>
      <c r="J372" s="11">
        <f>IF(F372="","",MAX(0,MIN(1,(1-(CODE(UPPER(D372))-65)/5)*0.5+(1-(E372-1)/5)*0.3+MIN(N(H372),3)/3*0.2)))</f>
        <v/>
      </c>
      <c r="K372" s="7">
        <f>IF(F372="","",IF(LOWER(I372)&lt;&gt;"y","DISCARD (not lawful/ethical to use)",IF(J372&gt;=0.7,"record as context correction (W08) + intake evidence",IF(J372&gt;=0.4,"watch - seek corroboration","note only"))))</f>
        <v/>
      </c>
    </row>
    <row r="373">
      <c r="A373" s="8" t="n"/>
      <c r="B373" s="9" t="n"/>
      <c r="C373" s="9" t="n"/>
      <c r="D373" s="9" t="n"/>
      <c r="E373" s="10" t="n"/>
      <c r="F373" s="9" t="n"/>
      <c r="G373" s="9" t="n"/>
      <c r="H373" s="10" t="n"/>
      <c r="I373" s="9" t="n"/>
      <c r="J373" s="11">
        <f>IF(F373="","",MAX(0,MIN(1,(1-(CODE(UPPER(D373))-65)/5)*0.5+(1-(E373-1)/5)*0.3+MIN(N(H373),3)/3*0.2)))</f>
        <v/>
      </c>
      <c r="K373" s="7">
        <f>IF(F373="","",IF(LOWER(I373)&lt;&gt;"y","DISCARD (not lawful/ethical to use)",IF(J373&gt;=0.7,"record as context correction (W08) + intake evidence",IF(J373&gt;=0.4,"watch - seek corroboration","note only"))))</f>
        <v/>
      </c>
    </row>
    <row r="374">
      <c r="A374" s="8" t="n"/>
      <c r="B374" s="9" t="n"/>
      <c r="C374" s="9" t="n"/>
      <c r="D374" s="9" t="n"/>
      <c r="E374" s="10" t="n"/>
      <c r="F374" s="9" t="n"/>
      <c r="G374" s="9" t="n"/>
      <c r="H374" s="10" t="n"/>
      <c r="I374" s="9" t="n"/>
      <c r="J374" s="11">
        <f>IF(F374="","",MAX(0,MIN(1,(1-(CODE(UPPER(D374))-65)/5)*0.5+(1-(E374-1)/5)*0.3+MIN(N(H374),3)/3*0.2)))</f>
        <v/>
      </c>
      <c r="K374" s="7">
        <f>IF(F374="","",IF(LOWER(I374)&lt;&gt;"y","DISCARD (not lawful/ethical to use)",IF(J374&gt;=0.7,"record as context correction (W08) + intake evidence",IF(J374&gt;=0.4,"watch - seek corroboration","note only"))))</f>
        <v/>
      </c>
    </row>
    <row r="375">
      <c r="A375" s="8" t="n"/>
      <c r="B375" s="9" t="n"/>
      <c r="C375" s="9" t="n"/>
      <c r="D375" s="9" t="n"/>
      <c r="E375" s="10" t="n"/>
      <c r="F375" s="9" t="n"/>
      <c r="G375" s="9" t="n"/>
      <c r="H375" s="10" t="n"/>
      <c r="I375" s="9" t="n"/>
      <c r="J375" s="11">
        <f>IF(F375="","",MAX(0,MIN(1,(1-(CODE(UPPER(D375))-65)/5)*0.5+(1-(E375-1)/5)*0.3+MIN(N(H375),3)/3*0.2)))</f>
        <v/>
      </c>
      <c r="K375" s="7">
        <f>IF(F375="","",IF(LOWER(I375)&lt;&gt;"y","DISCARD (not lawful/ethical to use)",IF(J375&gt;=0.7,"record as context correction (W08) + intake evidence",IF(J375&gt;=0.4,"watch - seek corroboration","note only"))))</f>
        <v/>
      </c>
    </row>
    <row r="376">
      <c r="A376" s="8" t="n"/>
      <c r="B376" s="9" t="n"/>
      <c r="C376" s="9" t="n"/>
      <c r="D376" s="9" t="n"/>
      <c r="E376" s="10" t="n"/>
      <c r="F376" s="9" t="n"/>
      <c r="G376" s="9" t="n"/>
      <c r="H376" s="10" t="n"/>
      <c r="I376" s="9" t="n"/>
      <c r="J376" s="11">
        <f>IF(F376="","",MAX(0,MIN(1,(1-(CODE(UPPER(D376))-65)/5)*0.5+(1-(E376-1)/5)*0.3+MIN(N(H376),3)/3*0.2)))</f>
        <v/>
      </c>
      <c r="K376" s="7">
        <f>IF(F376="","",IF(LOWER(I376)&lt;&gt;"y","DISCARD (not lawful/ethical to use)",IF(J376&gt;=0.7,"record as context correction (W08) + intake evidence",IF(J376&gt;=0.4,"watch - seek corroboration","note only"))))</f>
        <v/>
      </c>
    </row>
    <row r="377">
      <c r="A377" s="8" t="n"/>
      <c r="B377" s="9" t="n"/>
      <c r="C377" s="9" t="n"/>
      <c r="D377" s="9" t="n"/>
      <c r="E377" s="10" t="n"/>
      <c r="F377" s="9" t="n"/>
      <c r="G377" s="9" t="n"/>
      <c r="H377" s="10" t="n"/>
      <c r="I377" s="9" t="n"/>
      <c r="J377" s="11">
        <f>IF(F377="","",MAX(0,MIN(1,(1-(CODE(UPPER(D377))-65)/5)*0.5+(1-(E377-1)/5)*0.3+MIN(N(H377),3)/3*0.2)))</f>
        <v/>
      </c>
      <c r="K377" s="7">
        <f>IF(F377="","",IF(LOWER(I377)&lt;&gt;"y","DISCARD (not lawful/ethical to use)",IF(J377&gt;=0.7,"record as context correction (W08) + intake evidence",IF(J377&gt;=0.4,"watch - seek corroboration","note only"))))</f>
        <v/>
      </c>
    </row>
    <row r="378">
      <c r="A378" s="8" t="n"/>
      <c r="B378" s="9" t="n"/>
      <c r="C378" s="9" t="n"/>
      <c r="D378" s="9" t="n"/>
      <c r="E378" s="10" t="n"/>
      <c r="F378" s="9" t="n"/>
      <c r="G378" s="9" t="n"/>
      <c r="H378" s="10" t="n"/>
      <c r="I378" s="9" t="n"/>
      <c r="J378" s="11">
        <f>IF(F378="","",MAX(0,MIN(1,(1-(CODE(UPPER(D378))-65)/5)*0.5+(1-(E378-1)/5)*0.3+MIN(N(H378),3)/3*0.2)))</f>
        <v/>
      </c>
      <c r="K378" s="7">
        <f>IF(F378="","",IF(LOWER(I378)&lt;&gt;"y","DISCARD (not lawful/ethical to use)",IF(J378&gt;=0.7,"record as context correction (W08) + intake evidence",IF(J378&gt;=0.4,"watch - seek corroboration","note only"))))</f>
        <v/>
      </c>
    </row>
    <row r="379">
      <c r="A379" s="8" t="n"/>
      <c r="B379" s="9" t="n"/>
      <c r="C379" s="9" t="n"/>
      <c r="D379" s="9" t="n"/>
      <c r="E379" s="10" t="n"/>
      <c r="F379" s="9" t="n"/>
      <c r="G379" s="9" t="n"/>
      <c r="H379" s="10" t="n"/>
      <c r="I379" s="9" t="n"/>
      <c r="J379" s="11">
        <f>IF(F379="","",MAX(0,MIN(1,(1-(CODE(UPPER(D379))-65)/5)*0.5+(1-(E379-1)/5)*0.3+MIN(N(H379),3)/3*0.2)))</f>
        <v/>
      </c>
      <c r="K379" s="7">
        <f>IF(F379="","",IF(LOWER(I379)&lt;&gt;"y","DISCARD (not lawful/ethical to use)",IF(J379&gt;=0.7,"record as context correction (W08) + intake evidence",IF(J379&gt;=0.4,"watch - seek corroboration","note only"))))</f>
        <v/>
      </c>
    </row>
    <row r="380">
      <c r="A380" s="8" t="n"/>
      <c r="B380" s="9" t="n"/>
      <c r="C380" s="9" t="n"/>
      <c r="D380" s="9" t="n"/>
      <c r="E380" s="10" t="n"/>
      <c r="F380" s="9" t="n"/>
      <c r="G380" s="9" t="n"/>
      <c r="H380" s="10" t="n"/>
      <c r="I380" s="9" t="n"/>
      <c r="J380" s="11">
        <f>IF(F380="","",MAX(0,MIN(1,(1-(CODE(UPPER(D380))-65)/5)*0.5+(1-(E380-1)/5)*0.3+MIN(N(H380),3)/3*0.2)))</f>
        <v/>
      </c>
      <c r="K380" s="7">
        <f>IF(F380="","",IF(LOWER(I380)&lt;&gt;"y","DISCARD (not lawful/ethical to use)",IF(J380&gt;=0.7,"record as context correction (W08) + intake evidence",IF(J380&gt;=0.4,"watch - seek corroboration","note only"))))</f>
        <v/>
      </c>
    </row>
    <row r="381">
      <c r="A381" s="8" t="n"/>
      <c r="B381" s="9" t="n"/>
      <c r="C381" s="9" t="n"/>
      <c r="D381" s="9" t="n"/>
      <c r="E381" s="10" t="n"/>
      <c r="F381" s="9" t="n"/>
      <c r="G381" s="9" t="n"/>
      <c r="H381" s="10" t="n"/>
      <c r="I381" s="9" t="n"/>
      <c r="J381" s="11">
        <f>IF(F381="","",MAX(0,MIN(1,(1-(CODE(UPPER(D381))-65)/5)*0.5+(1-(E381-1)/5)*0.3+MIN(N(H381),3)/3*0.2)))</f>
        <v/>
      </c>
      <c r="K381" s="7">
        <f>IF(F381="","",IF(LOWER(I381)&lt;&gt;"y","DISCARD (not lawful/ethical to use)",IF(J381&gt;=0.7,"record as context correction (W08) + intake evidence",IF(J381&gt;=0.4,"watch - seek corroboration","note only"))))</f>
        <v/>
      </c>
    </row>
    <row r="382">
      <c r="A382" s="8" t="n"/>
      <c r="B382" s="9" t="n"/>
      <c r="C382" s="9" t="n"/>
      <c r="D382" s="9" t="n"/>
      <c r="E382" s="10" t="n"/>
      <c r="F382" s="9" t="n"/>
      <c r="G382" s="9" t="n"/>
      <c r="H382" s="10" t="n"/>
      <c r="I382" s="9" t="n"/>
      <c r="J382" s="11">
        <f>IF(F382="","",MAX(0,MIN(1,(1-(CODE(UPPER(D382))-65)/5)*0.5+(1-(E382-1)/5)*0.3+MIN(N(H382),3)/3*0.2)))</f>
        <v/>
      </c>
      <c r="K382" s="7">
        <f>IF(F382="","",IF(LOWER(I382)&lt;&gt;"y","DISCARD (not lawful/ethical to use)",IF(J382&gt;=0.7,"record as context correction (W08) + intake evidence",IF(J382&gt;=0.4,"watch - seek corroboration","note only"))))</f>
        <v/>
      </c>
    </row>
    <row r="383">
      <c r="A383" s="8" t="n"/>
      <c r="B383" s="9" t="n"/>
      <c r="C383" s="9" t="n"/>
      <c r="D383" s="9" t="n"/>
      <c r="E383" s="10" t="n"/>
      <c r="F383" s="9" t="n"/>
      <c r="G383" s="9" t="n"/>
      <c r="H383" s="10" t="n"/>
      <c r="I383" s="9" t="n"/>
      <c r="J383" s="11">
        <f>IF(F383="","",MAX(0,MIN(1,(1-(CODE(UPPER(D383))-65)/5)*0.5+(1-(E383-1)/5)*0.3+MIN(N(H383),3)/3*0.2)))</f>
        <v/>
      </c>
      <c r="K383" s="7">
        <f>IF(F383="","",IF(LOWER(I383)&lt;&gt;"y","DISCARD (not lawful/ethical to use)",IF(J383&gt;=0.7,"record as context correction (W08) + intake evidence",IF(J383&gt;=0.4,"watch - seek corroboration","note only"))))</f>
        <v/>
      </c>
    </row>
    <row r="384">
      <c r="A384" s="8" t="n"/>
      <c r="B384" s="9" t="n"/>
      <c r="C384" s="9" t="n"/>
      <c r="D384" s="9" t="n"/>
      <c r="E384" s="10" t="n"/>
      <c r="F384" s="9" t="n"/>
      <c r="G384" s="9" t="n"/>
      <c r="H384" s="10" t="n"/>
      <c r="I384" s="9" t="n"/>
      <c r="J384" s="11">
        <f>IF(F384="","",MAX(0,MIN(1,(1-(CODE(UPPER(D384))-65)/5)*0.5+(1-(E384-1)/5)*0.3+MIN(N(H384),3)/3*0.2)))</f>
        <v/>
      </c>
      <c r="K384" s="7">
        <f>IF(F384="","",IF(LOWER(I384)&lt;&gt;"y","DISCARD (not lawful/ethical to use)",IF(J384&gt;=0.7,"record as context correction (W08) + intake evidence",IF(J384&gt;=0.4,"watch - seek corroboration","note only"))))</f>
        <v/>
      </c>
    </row>
    <row r="385">
      <c r="A385" s="8" t="n"/>
      <c r="B385" s="9" t="n"/>
      <c r="C385" s="9" t="n"/>
      <c r="D385" s="9" t="n"/>
      <c r="E385" s="10" t="n"/>
      <c r="F385" s="9" t="n"/>
      <c r="G385" s="9" t="n"/>
      <c r="H385" s="10" t="n"/>
      <c r="I385" s="9" t="n"/>
      <c r="J385" s="11">
        <f>IF(F385="","",MAX(0,MIN(1,(1-(CODE(UPPER(D385))-65)/5)*0.5+(1-(E385-1)/5)*0.3+MIN(N(H385),3)/3*0.2)))</f>
        <v/>
      </c>
      <c r="K385" s="7">
        <f>IF(F385="","",IF(LOWER(I385)&lt;&gt;"y","DISCARD (not lawful/ethical to use)",IF(J385&gt;=0.7,"record as context correction (W08) + intake evidence",IF(J385&gt;=0.4,"watch - seek corroboration","note only"))))</f>
        <v/>
      </c>
    </row>
    <row r="386">
      <c r="A386" s="8" t="n"/>
      <c r="B386" s="9" t="n"/>
      <c r="C386" s="9" t="n"/>
      <c r="D386" s="9" t="n"/>
      <c r="E386" s="10" t="n"/>
      <c r="F386" s="9" t="n"/>
      <c r="G386" s="9" t="n"/>
      <c r="H386" s="10" t="n"/>
      <c r="I386" s="9" t="n"/>
      <c r="J386" s="11">
        <f>IF(F386="","",MAX(0,MIN(1,(1-(CODE(UPPER(D386))-65)/5)*0.5+(1-(E386-1)/5)*0.3+MIN(N(H386),3)/3*0.2)))</f>
        <v/>
      </c>
      <c r="K386" s="7">
        <f>IF(F386="","",IF(LOWER(I386)&lt;&gt;"y","DISCARD (not lawful/ethical to use)",IF(J386&gt;=0.7,"record as context correction (W08) + intake evidence",IF(J386&gt;=0.4,"watch - seek corroboration","note only"))))</f>
        <v/>
      </c>
    </row>
    <row r="387">
      <c r="A387" s="8" t="n"/>
      <c r="B387" s="9" t="n"/>
      <c r="C387" s="9" t="n"/>
      <c r="D387" s="9" t="n"/>
      <c r="E387" s="10" t="n"/>
      <c r="F387" s="9" t="n"/>
      <c r="G387" s="9" t="n"/>
      <c r="H387" s="10" t="n"/>
      <c r="I387" s="9" t="n"/>
      <c r="J387" s="11">
        <f>IF(F387="","",MAX(0,MIN(1,(1-(CODE(UPPER(D387))-65)/5)*0.5+(1-(E387-1)/5)*0.3+MIN(N(H387),3)/3*0.2)))</f>
        <v/>
      </c>
      <c r="K387" s="7">
        <f>IF(F387="","",IF(LOWER(I387)&lt;&gt;"y","DISCARD (not lawful/ethical to use)",IF(J387&gt;=0.7,"record as context correction (W08) + intake evidence",IF(J387&gt;=0.4,"watch - seek corroboration","note only"))))</f>
        <v/>
      </c>
    </row>
    <row r="388">
      <c r="A388" s="8" t="n"/>
      <c r="B388" s="9" t="n"/>
      <c r="C388" s="9" t="n"/>
      <c r="D388" s="9" t="n"/>
      <c r="E388" s="10" t="n"/>
      <c r="F388" s="9" t="n"/>
      <c r="G388" s="9" t="n"/>
      <c r="H388" s="10" t="n"/>
      <c r="I388" s="9" t="n"/>
      <c r="J388" s="11">
        <f>IF(F388="","",MAX(0,MIN(1,(1-(CODE(UPPER(D388))-65)/5)*0.5+(1-(E388-1)/5)*0.3+MIN(N(H388),3)/3*0.2)))</f>
        <v/>
      </c>
      <c r="K388" s="7">
        <f>IF(F388="","",IF(LOWER(I388)&lt;&gt;"y","DISCARD (not lawful/ethical to use)",IF(J388&gt;=0.7,"record as context correction (W08) + intake evidence",IF(J388&gt;=0.4,"watch - seek corroboration","note only"))))</f>
        <v/>
      </c>
    </row>
    <row r="389">
      <c r="A389" s="8" t="n"/>
      <c r="B389" s="9" t="n"/>
      <c r="C389" s="9" t="n"/>
      <c r="D389" s="9" t="n"/>
      <c r="E389" s="10" t="n"/>
      <c r="F389" s="9" t="n"/>
      <c r="G389" s="9" t="n"/>
      <c r="H389" s="10" t="n"/>
      <c r="I389" s="9" t="n"/>
      <c r="J389" s="11">
        <f>IF(F389="","",MAX(0,MIN(1,(1-(CODE(UPPER(D389))-65)/5)*0.5+(1-(E389-1)/5)*0.3+MIN(N(H389),3)/3*0.2)))</f>
        <v/>
      </c>
      <c r="K389" s="7">
        <f>IF(F389="","",IF(LOWER(I389)&lt;&gt;"y","DISCARD (not lawful/ethical to use)",IF(J389&gt;=0.7,"record as context correction (W08) + intake evidence",IF(J389&gt;=0.4,"watch - seek corroboration","note only"))))</f>
        <v/>
      </c>
    </row>
    <row r="390">
      <c r="A390" s="8" t="n"/>
      <c r="B390" s="9" t="n"/>
      <c r="C390" s="9" t="n"/>
      <c r="D390" s="9" t="n"/>
      <c r="E390" s="10" t="n"/>
      <c r="F390" s="9" t="n"/>
      <c r="G390" s="9" t="n"/>
      <c r="H390" s="10" t="n"/>
      <c r="I390" s="9" t="n"/>
      <c r="J390" s="11">
        <f>IF(F390="","",MAX(0,MIN(1,(1-(CODE(UPPER(D390))-65)/5)*0.5+(1-(E390-1)/5)*0.3+MIN(N(H390),3)/3*0.2)))</f>
        <v/>
      </c>
      <c r="K390" s="7">
        <f>IF(F390="","",IF(LOWER(I390)&lt;&gt;"y","DISCARD (not lawful/ethical to use)",IF(J390&gt;=0.7,"record as context correction (W08) + intake evidence",IF(J390&gt;=0.4,"watch - seek corroboration","note only"))))</f>
        <v/>
      </c>
    </row>
    <row r="391">
      <c r="A391" s="8" t="n"/>
      <c r="B391" s="9" t="n"/>
      <c r="C391" s="9" t="n"/>
      <c r="D391" s="9" t="n"/>
      <c r="E391" s="10" t="n"/>
      <c r="F391" s="9" t="n"/>
      <c r="G391" s="9" t="n"/>
      <c r="H391" s="10" t="n"/>
      <c r="I391" s="9" t="n"/>
      <c r="J391" s="11">
        <f>IF(F391="","",MAX(0,MIN(1,(1-(CODE(UPPER(D391))-65)/5)*0.5+(1-(E391-1)/5)*0.3+MIN(N(H391),3)/3*0.2)))</f>
        <v/>
      </c>
      <c r="K391" s="7">
        <f>IF(F391="","",IF(LOWER(I391)&lt;&gt;"y","DISCARD (not lawful/ethical to use)",IF(J391&gt;=0.7,"record as context correction (W08) + intake evidence",IF(J391&gt;=0.4,"watch - seek corroboration","note only"))))</f>
        <v/>
      </c>
    </row>
    <row r="392">
      <c r="A392" s="8" t="n"/>
      <c r="B392" s="9" t="n"/>
      <c r="C392" s="9" t="n"/>
      <c r="D392" s="9" t="n"/>
      <c r="E392" s="10" t="n"/>
      <c r="F392" s="9" t="n"/>
      <c r="G392" s="9" t="n"/>
      <c r="H392" s="10" t="n"/>
      <c r="I392" s="9" t="n"/>
      <c r="J392" s="11">
        <f>IF(F392="","",MAX(0,MIN(1,(1-(CODE(UPPER(D392))-65)/5)*0.5+(1-(E392-1)/5)*0.3+MIN(N(H392),3)/3*0.2)))</f>
        <v/>
      </c>
      <c r="K392" s="7">
        <f>IF(F392="","",IF(LOWER(I392)&lt;&gt;"y","DISCARD (not lawful/ethical to use)",IF(J392&gt;=0.7,"record as context correction (W08) + intake evidence",IF(J392&gt;=0.4,"watch - seek corroboration","note only"))))</f>
        <v/>
      </c>
    </row>
    <row r="393">
      <c r="A393" s="8" t="n"/>
      <c r="B393" s="9" t="n"/>
      <c r="C393" s="9" t="n"/>
      <c r="D393" s="9" t="n"/>
      <c r="E393" s="10" t="n"/>
      <c r="F393" s="9" t="n"/>
      <c r="G393" s="9" t="n"/>
      <c r="H393" s="10" t="n"/>
      <c r="I393" s="9" t="n"/>
      <c r="J393" s="11">
        <f>IF(F393="","",MAX(0,MIN(1,(1-(CODE(UPPER(D393))-65)/5)*0.5+(1-(E393-1)/5)*0.3+MIN(N(H393),3)/3*0.2)))</f>
        <v/>
      </c>
      <c r="K393" s="7">
        <f>IF(F393="","",IF(LOWER(I393)&lt;&gt;"y","DISCARD (not lawful/ethical to use)",IF(J393&gt;=0.7,"record as context correction (W08) + intake evidence",IF(J393&gt;=0.4,"watch - seek corroboration","note only"))))</f>
        <v/>
      </c>
    </row>
    <row r="394">
      <c r="A394" s="8" t="n"/>
      <c r="B394" s="9" t="n"/>
      <c r="C394" s="9" t="n"/>
      <c r="D394" s="9" t="n"/>
      <c r="E394" s="10" t="n"/>
      <c r="F394" s="9" t="n"/>
      <c r="G394" s="9" t="n"/>
      <c r="H394" s="10" t="n"/>
      <c r="I394" s="9" t="n"/>
      <c r="J394" s="11">
        <f>IF(F394="","",MAX(0,MIN(1,(1-(CODE(UPPER(D394))-65)/5)*0.5+(1-(E394-1)/5)*0.3+MIN(N(H394),3)/3*0.2)))</f>
        <v/>
      </c>
      <c r="K394" s="7">
        <f>IF(F394="","",IF(LOWER(I394)&lt;&gt;"y","DISCARD (not lawful/ethical to use)",IF(J394&gt;=0.7,"record as context correction (W08) + intake evidence",IF(J394&gt;=0.4,"watch - seek corroboration","note only"))))</f>
        <v/>
      </c>
    </row>
    <row r="395">
      <c r="A395" s="8" t="n"/>
      <c r="B395" s="9" t="n"/>
      <c r="C395" s="9" t="n"/>
      <c r="D395" s="9" t="n"/>
      <c r="E395" s="10" t="n"/>
      <c r="F395" s="9" t="n"/>
      <c r="G395" s="9" t="n"/>
      <c r="H395" s="10" t="n"/>
      <c r="I395" s="9" t="n"/>
      <c r="J395" s="11">
        <f>IF(F395="","",MAX(0,MIN(1,(1-(CODE(UPPER(D395))-65)/5)*0.5+(1-(E395-1)/5)*0.3+MIN(N(H395),3)/3*0.2)))</f>
        <v/>
      </c>
      <c r="K395" s="7">
        <f>IF(F395="","",IF(LOWER(I395)&lt;&gt;"y","DISCARD (not lawful/ethical to use)",IF(J395&gt;=0.7,"record as context correction (W08) + intake evidence",IF(J395&gt;=0.4,"watch - seek corroboration","note only"))))</f>
        <v/>
      </c>
    </row>
    <row r="396">
      <c r="A396" s="8" t="n"/>
      <c r="B396" s="9" t="n"/>
      <c r="C396" s="9" t="n"/>
      <c r="D396" s="9" t="n"/>
      <c r="E396" s="10" t="n"/>
      <c r="F396" s="9" t="n"/>
      <c r="G396" s="9" t="n"/>
      <c r="H396" s="10" t="n"/>
      <c r="I396" s="9" t="n"/>
      <c r="J396" s="11">
        <f>IF(F396="","",MAX(0,MIN(1,(1-(CODE(UPPER(D396))-65)/5)*0.5+(1-(E396-1)/5)*0.3+MIN(N(H396),3)/3*0.2)))</f>
        <v/>
      </c>
      <c r="K396" s="7">
        <f>IF(F396="","",IF(LOWER(I396)&lt;&gt;"y","DISCARD (not lawful/ethical to use)",IF(J396&gt;=0.7,"record as context correction (W08) + intake evidence",IF(J396&gt;=0.4,"watch - seek corroboration","note only"))))</f>
        <v/>
      </c>
    </row>
    <row r="397">
      <c r="A397" s="8" t="n"/>
      <c r="B397" s="9" t="n"/>
      <c r="C397" s="9" t="n"/>
      <c r="D397" s="9" t="n"/>
      <c r="E397" s="10" t="n"/>
      <c r="F397" s="9" t="n"/>
      <c r="G397" s="9" t="n"/>
      <c r="H397" s="10" t="n"/>
      <c r="I397" s="9" t="n"/>
      <c r="J397" s="11">
        <f>IF(F397="","",MAX(0,MIN(1,(1-(CODE(UPPER(D397))-65)/5)*0.5+(1-(E397-1)/5)*0.3+MIN(N(H397),3)/3*0.2)))</f>
        <v/>
      </c>
      <c r="K397" s="7">
        <f>IF(F397="","",IF(LOWER(I397)&lt;&gt;"y","DISCARD (not lawful/ethical to use)",IF(J397&gt;=0.7,"record as context correction (W08) + intake evidence",IF(J397&gt;=0.4,"watch - seek corroboration","note only"))))</f>
        <v/>
      </c>
    </row>
    <row r="398">
      <c r="A398" s="8" t="n"/>
      <c r="B398" s="9" t="n"/>
      <c r="C398" s="9" t="n"/>
      <c r="D398" s="9" t="n"/>
      <c r="E398" s="10" t="n"/>
      <c r="F398" s="9" t="n"/>
      <c r="G398" s="9" t="n"/>
      <c r="H398" s="10" t="n"/>
      <c r="I398" s="9" t="n"/>
      <c r="J398" s="11">
        <f>IF(F398="","",MAX(0,MIN(1,(1-(CODE(UPPER(D398))-65)/5)*0.5+(1-(E398-1)/5)*0.3+MIN(N(H398),3)/3*0.2)))</f>
        <v/>
      </c>
      <c r="K398" s="7">
        <f>IF(F398="","",IF(LOWER(I398)&lt;&gt;"y","DISCARD (not lawful/ethical to use)",IF(J398&gt;=0.7,"record as context correction (W08) + intake evidence",IF(J398&gt;=0.4,"watch - seek corroboration","note only"))))</f>
        <v/>
      </c>
    </row>
    <row r="399">
      <c r="A399" s="8" t="n"/>
      <c r="B399" s="9" t="n"/>
      <c r="C399" s="9" t="n"/>
      <c r="D399" s="9" t="n"/>
      <c r="E399" s="10" t="n"/>
      <c r="F399" s="9" t="n"/>
      <c r="G399" s="9" t="n"/>
      <c r="H399" s="10" t="n"/>
      <c r="I399" s="9" t="n"/>
      <c r="J399" s="11">
        <f>IF(F399="","",MAX(0,MIN(1,(1-(CODE(UPPER(D399))-65)/5)*0.5+(1-(E399-1)/5)*0.3+MIN(N(H399),3)/3*0.2)))</f>
        <v/>
      </c>
      <c r="K399" s="7">
        <f>IF(F399="","",IF(LOWER(I399)&lt;&gt;"y","DISCARD (not lawful/ethical to use)",IF(J399&gt;=0.7,"record as context correction (W08) + intake evidence",IF(J399&gt;=0.4,"watch - seek corroboration","note only"))))</f>
        <v/>
      </c>
    </row>
    <row r="400">
      <c r="A400" s="8" t="n"/>
      <c r="B400" s="9" t="n"/>
      <c r="C400" s="9" t="n"/>
      <c r="D400" s="9" t="n"/>
      <c r="E400" s="10" t="n"/>
      <c r="F400" s="9" t="n"/>
      <c r="G400" s="9" t="n"/>
      <c r="H400" s="10" t="n"/>
      <c r="I400" s="9" t="n"/>
      <c r="J400" s="11">
        <f>IF(F400="","",MAX(0,MIN(1,(1-(CODE(UPPER(D400))-65)/5)*0.5+(1-(E400-1)/5)*0.3+MIN(N(H400),3)/3*0.2)))</f>
        <v/>
      </c>
      <c r="K400" s="7">
        <f>IF(F400="","",IF(LOWER(I400)&lt;&gt;"y","DISCARD (not lawful/ethical to use)",IF(J400&gt;=0.7,"record as context correction (W08) + intake evidence",IF(J400&gt;=0.4,"watch - seek corroboration","note only"))))</f>
        <v/>
      </c>
    </row>
    <row r="401">
      <c r="A401" s="8" t="n"/>
      <c r="B401" s="9" t="n"/>
      <c r="C401" s="9" t="n"/>
      <c r="D401" s="9" t="n"/>
      <c r="E401" s="10" t="n"/>
      <c r="F401" s="9" t="n"/>
      <c r="G401" s="9" t="n"/>
      <c r="H401" s="10" t="n"/>
      <c r="I401" s="9" t="n"/>
      <c r="J401" s="11">
        <f>IF(F401="","",MAX(0,MIN(1,(1-(CODE(UPPER(D401))-65)/5)*0.5+(1-(E401-1)/5)*0.3+MIN(N(H401),3)/3*0.2)))</f>
        <v/>
      </c>
      <c r="K401" s="7">
        <f>IF(F401="","",IF(LOWER(I401)&lt;&gt;"y","DISCARD (not lawful/ethical to use)",IF(J401&gt;=0.7,"record as context correction (W08) + intake evidence",IF(J401&gt;=0.4,"watch - seek corroboration","note only"))))</f>
        <v/>
      </c>
    </row>
    <row r="402">
      <c r="A402" s="8" t="n"/>
      <c r="B402" s="9" t="n"/>
      <c r="C402" s="9" t="n"/>
      <c r="D402" s="9" t="n"/>
      <c r="E402" s="10" t="n"/>
      <c r="F402" s="9" t="n"/>
      <c r="G402" s="9" t="n"/>
      <c r="H402" s="10" t="n"/>
      <c r="I402" s="9" t="n"/>
      <c r="J402" s="11">
        <f>IF(F402="","",MAX(0,MIN(1,(1-(CODE(UPPER(D402))-65)/5)*0.5+(1-(E402-1)/5)*0.3+MIN(N(H402),3)/3*0.2)))</f>
        <v/>
      </c>
      <c r="K402" s="7">
        <f>IF(F402="","",IF(LOWER(I402)&lt;&gt;"y","DISCARD (not lawful/ethical to use)",IF(J402&gt;=0.7,"record as context correction (W08) + intake evidence",IF(J402&gt;=0.4,"watch - seek corroboration","note only"))))</f>
        <v/>
      </c>
    </row>
    <row r="403">
      <c r="A403" s="8" t="n"/>
      <c r="B403" s="9" t="n"/>
      <c r="C403" s="9" t="n"/>
      <c r="D403" s="9" t="n"/>
      <c r="E403" s="10" t="n"/>
      <c r="F403" s="9" t="n"/>
      <c r="G403" s="9" t="n"/>
      <c r="H403" s="10" t="n"/>
      <c r="I403" s="9" t="n"/>
      <c r="J403" s="11">
        <f>IF(F403="","",MAX(0,MIN(1,(1-(CODE(UPPER(D403))-65)/5)*0.5+(1-(E403-1)/5)*0.3+MIN(N(H403),3)/3*0.2)))</f>
        <v/>
      </c>
      <c r="K403" s="7">
        <f>IF(F403="","",IF(LOWER(I403)&lt;&gt;"y","DISCARD (not lawful/ethical to use)",IF(J403&gt;=0.7,"record as context correction (W08) + intake evidence",IF(J403&gt;=0.4,"watch - seek corroboration","note only"))))</f>
        <v/>
      </c>
    </row>
    <row r="404">
      <c r="A404" s="8" t="n"/>
      <c r="B404" s="9" t="n"/>
      <c r="C404" s="9" t="n"/>
      <c r="D404" s="9" t="n"/>
      <c r="E404" s="10" t="n"/>
      <c r="F404" s="9" t="n"/>
      <c r="G404" s="9" t="n"/>
      <c r="H404" s="10" t="n"/>
      <c r="I404" s="9" t="n"/>
      <c r="J404" s="11">
        <f>IF(F404="","",MAX(0,MIN(1,(1-(CODE(UPPER(D404))-65)/5)*0.5+(1-(E404-1)/5)*0.3+MIN(N(H404),3)/3*0.2)))</f>
        <v/>
      </c>
      <c r="K404" s="7">
        <f>IF(F404="","",IF(LOWER(I404)&lt;&gt;"y","DISCARD (not lawful/ethical to use)",IF(J404&gt;=0.7,"record as context correction (W08) + intake evidence",IF(J404&gt;=0.4,"watch - seek corroboration","note only"))))</f>
        <v/>
      </c>
    </row>
    <row r="405">
      <c r="A405" s="8" t="n"/>
      <c r="B405" s="9" t="n"/>
      <c r="C405" s="9" t="n"/>
      <c r="D405" s="9" t="n"/>
      <c r="E405" s="10" t="n"/>
      <c r="F405" s="9" t="n"/>
      <c r="G405" s="9" t="n"/>
      <c r="H405" s="10" t="n"/>
      <c r="I405" s="9" t="n"/>
      <c r="J405" s="11">
        <f>IF(F405="","",MAX(0,MIN(1,(1-(CODE(UPPER(D405))-65)/5)*0.5+(1-(E405-1)/5)*0.3+MIN(N(H405),3)/3*0.2)))</f>
        <v/>
      </c>
      <c r="K405" s="7">
        <f>IF(F405="","",IF(LOWER(I405)&lt;&gt;"y","DISCARD (not lawful/ethical to use)",IF(J405&gt;=0.7,"record as context correction (W08) + intake evidence",IF(J405&gt;=0.4,"watch - seek corroboration","note only"))))</f>
        <v/>
      </c>
    </row>
    <row r="406">
      <c r="A406" s="8" t="n"/>
      <c r="B406" s="9" t="n"/>
      <c r="C406" s="9" t="n"/>
      <c r="D406" s="9" t="n"/>
      <c r="E406" s="10" t="n"/>
      <c r="F406" s="9" t="n"/>
      <c r="G406" s="9" t="n"/>
      <c r="H406" s="10" t="n"/>
      <c r="I406" s="9" t="n"/>
      <c r="J406" s="11">
        <f>IF(F406="","",MAX(0,MIN(1,(1-(CODE(UPPER(D406))-65)/5)*0.5+(1-(E406-1)/5)*0.3+MIN(N(H406),3)/3*0.2)))</f>
        <v/>
      </c>
      <c r="K406" s="7">
        <f>IF(F406="","",IF(LOWER(I406)&lt;&gt;"y","DISCARD (not lawful/ethical to use)",IF(J406&gt;=0.7,"record as context correction (W08) + intake evidence",IF(J406&gt;=0.4,"watch - seek corroboration","note only"))))</f>
        <v/>
      </c>
    </row>
    <row r="407">
      <c r="A407" s="8" t="n"/>
      <c r="B407" s="9" t="n"/>
      <c r="C407" s="9" t="n"/>
      <c r="D407" s="9" t="n"/>
      <c r="E407" s="10" t="n"/>
      <c r="F407" s="9" t="n"/>
      <c r="G407" s="9" t="n"/>
      <c r="H407" s="10" t="n"/>
      <c r="I407" s="9" t="n"/>
      <c r="J407" s="11">
        <f>IF(F407="","",MAX(0,MIN(1,(1-(CODE(UPPER(D407))-65)/5)*0.5+(1-(E407-1)/5)*0.3+MIN(N(H407),3)/3*0.2)))</f>
        <v/>
      </c>
      <c r="K407" s="7">
        <f>IF(F407="","",IF(LOWER(I407)&lt;&gt;"y","DISCARD (not lawful/ethical to use)",IF(J407&gt;=0.7,"record as context correction (W08) + intake evidence",IF(J407&gt;=0.4,"watch - seek corroboration","note only"))))</f>
        <v/>
      </c>
    </row>
    <row r="408">
      <c r="A408" s="8" t="n"/>
      <c r="B408" s="9" t="n"/>
      <c r="C408" s="9" t="n"/>
      <c r="D408" s="9" t="n"/>
      <c r="E408" s="10" t="n"/>
      <c r="F408" s="9" t="n"/>
      <c r="G408" s="9" t="n"/>
      <c r="H408" s="10" t="n"/>
      <c r="I408" s="9" t="n"/>
      <c r="J408" s="11">
        <f>IF(F408="","",MAX(0,MIN(1,(1-(CODE(UPPER(D408))-65)/5)*0.5+(1-(E408-1)/5)*0.3+MIN(N(H408),3)/3*0.2)))</f>
        <v/>
      </c>
      <c r="K408" s="7">
        <f>IF(F408="","",IF(LOWER(I408)&lt;&gt;"y","DISCARD (not lawful/ethical to use)",IF(J408&gt;=0.7,"record as context correction (W08) + intake evidence",IF(J408&gt;=0.4,"watch - seek corroboration","note only"))))</f>
        <v/>
      </c>
    </row>
    <row r="409">
      <c r="A409" s="8" t="n"/>
      <c r="B409" s="9" t="n"/>
      <c r="C409" s="9" t="n"/>
      <c r="D409" s="9" t="n"/>
      <c r="E409" s="10" t="n"/>
      <c r="F409" s="9" t="n"/>
      <c r="G409" s="9" t="n"/>
      <c r="H409" s="10" t="n"/>
      <c r="I409" s="9" t="n"/>
      <c r="J409" s="11">
        <f>IF(F409="","",MAX(0,MIN(1,(1-(CODE(UPPER(D409))-65)/5)*0.5+(1-(E409-1)/5)*0.3+MIN(N(H409),3)/3*0.2)))</f>
        <v/>
      </c>
      <c r="K409" s="7">
        <f>IF(F409="","",IF(LOWER(I409)&lt;&gt;"y","DISCARD (not lawful/ethical to use)",IF(J409&gt;=0.7,"record as context correction (W08) + intake evidence",IF(J409&gt;=0.4,"watch - seek corroboration","note only"))))</f>
        <v/>
      </c>
    </row>
    <row r="410">
      <c r="A410" s="8" t="n"/>
      <c r="B410" s="9" t="n"/>
      <c r="C410" s="9" t="n"/>
      <c r="D410" s="9" t="n"/>
      <c r="E410" s="10" t="n"/>
      <c r="F410" s="9" t="n"/>
      <c r="G410" s="9" t="n"/>
      <c r="H410" s="10" t="n"/>
      <c r="I410" s="9" t="n"/>
      <c r="J410" s="11">
        <f>IF(F410="","",MAX(0,MIN(1,(1-(CODE(UPPER(D410))-65)/5)*0.5+(1-(E410-1)/5)*0.3+MIN(N(H410),3)/3*0.2)))</f>
        <v/>
      </c>
      <c r="K410" s="7">
        <f>IF(F410="","",IF(LOWER(I410)&lt;&gt;"y","DISCARD (not lawful/ethical to use)",IF(J410&gt;=0.7,"record as context correction (W08) + intake evidence",IF(J410&gt;=0.4,"watch - seek corroboration","note only"))))</f>
        <v/>
      </c>
    </row>
    <row r="411">
      <c r="A411" s="8" t="n"/>
      <c r="B411" s="9" t="n"/>
      <c r="C411" s="9" t="n"/>
      <c r="D411" s="9" t="n"/>
      <c r="E411" s="10" t="n"/>
      <c r="F411" s="9" t="n"/>
      <c r="G411" s="9" t="n"/>
      <c r="H411" s="10" t="n"/>
      <c r="I411" s="9" t="n"/>
      <c r="J411" s="11">
        <f>IF(F411="","",MAX(0,MIN(1,(1-(CODE(UPPER(D411))-65)/5)*0.5+(1-(E411-1)/5)*0.3+MIN(N(H411),3)/3*0.2)))</f>
        <v/>
      </c>
      <c r="K411" s="7">
        <f>IF(F411="","",IF(LOWER(I411)&lt;&gt;"y","DISCARD (not lawful/ethical to use)",IF(J411&gt;=0.7,"record as context correction (W08) + intake evidence",IF(J411&gt;=0.4,"watch - seek corroboration","note only"))))</f>
        <v/>
      </c>
    </row>
    <row r="412">
      <c r="A412" s="8" t="n"/>
      <c r="B412" s="9" t="n"/>
      <c r="C412" s="9" t="n"/>
      <c r="D412" s="9" t="n"/>
      <c r="E412" s="10" t="n"/>
      <c r="F412" s="9" t="n"/>
      <c r="G412" s="9" t="n"/>
      <c r="H412" s="10" t="n"/>
      <c r="I412" s="9" t="n"/>
      <c r="J412" s="11">
        <f>IF(F412="","",MAX(0,MIN(1,(1-(CODE(UPPER(D412))-65)/5)*0.5+(1-(E412-1)/5)*0.3+MIN(N(H412),3)/3*0.2)))</f>
        <v/>
      </c>
      <c r="K412" s="7">
        <f>IF(F412="","",IF(LOWER(I412)&lt;&gt;"y","DISCARD (not lawful/ethical to use)",IF(J412&gt;=0.7,"record as context correction (W08) + intake evidence",IF(J412&gt;=0.4,"watch - seek corroboration","note only"))))</f>
        <v/>
      </c>
    </row>
    <row r="413">
      <c r="A413" s="8" t="n"/>
      <c r="B413" s="9" t="n"/>
      <c r="C413" s="9" t="n"/>
      <c r="D413" s="9" t="n"/>
      <c r="E413" s="10" t="n"/>
      <c r="F413" s="9" t="n"/>
      <c r="G413" s="9" t="n"/>
      <c r="H413" s="10" t="n"/>
      <c r="I413" s="9" t="n"/>
      <c r="J413" s="11">
        <f>IF(F413="","",MAX(0,MIN(1,(1-(CODE(UPPER(D413))-65)/5)*0.5+(1-(E413-1)/5)*0.3+MIN(N(H413),3)/3*0.2)))</f>
        <v/>
      </c>
      <c r="K413" s="7">
        <f>IF(F413="","",IF(LOWER(I413)&lt;&gt;"y","DISCARD (not lawful/ethical to use)",IF(J413&gt;=0.7,"record as context correction (W08) + intake evidence",IF(J413&gt;=0.4,"watch - seek corroboration","note only"))))</f>
        <v/>
      </c>
    </row>
    <row r="414">
      <c r="A414" s="8" t="n"/>
      <c r="B414" s="9" t="n"/>
      <c r="C414" s="9" t="n"/>
      <c r="D414" s="9" t="n"/>
      <c r="E414" s="10" t="n"/>
      <c r="F414" s="9" t="n"/>
      <c r="G414" s="9" t="n"/>
      <c r="H414" s="10" t="n"/>
      <c r="I414" s="9" t="n"/>
      <c r="J414" s="11">
        <f>IF(F414="","",MAX(0,MIN(1,(1-(CODE(UPPER(D414))-65)/5)*0.5+(1-(E414-1)/5)*0.3+MIN(N(H414),3)/3*0.2)))</f>
        <v/>
      </c>
      <c r="K414" s="7">
        <f>IF(F414="","",IF(LOWER(I414)&lt;&gt;"y","DISCARD (not lawful/ethical to use)",IF(J414&gt;=0.7,"record as context correction (W08) + intake evidence",IF(J414&gt;=0.4,"watch - seek corroboration","note only"))))</f>
        <v/>
      </c>
    </row>
    <row r="415">
      <c r="A415" s="8" t="n"/>
      <c r="B415" s="9" t="n"/>
      <c r="C415" s="9" t="n"/>
      <c r="D415" s="9" t="n"/>
      <c r="E415" s="10" t="n"/>
      <c r="F415" s="9" t="n"/>
      <c r="G415" s="9" t="n"/>
      <c r="H415" s="10" t="n"/>
      <c r="I415" s="9" t="n"/>
      <c r="J415" s="11">
        <f>IF(F415="","",MAX(0,MIN(1,(1-(CODE(UPPER(D415))-65)/5)*0.5+(1-(E415-1)/5)*0.3+MIN(N(H415),3)/3*0.2)))</f>
        <v/>
      </c>
      <c r="K415" s="7">
        <f>IF(F415="","",IF(LOWER(I415)&lt;&gt;"y","DISCARD (not lawful/ethical to use)",IF(J415&gt;=0.7,"record as context correction (W08) + intake evidence",IF(J415&gt;=0.4,"watch - seek corroboration","note only"))))</f>
        <v/>
      </c>
    </row>
    <row r="416">
      <c r="A416" s="8" t="n"/>
      <c r="B416" s="9" t="n"/>
      <c r="C416" s="9" t="n"/>
      <c r="D416" s="9" t="n"/>
      <c r="E416" s="10" t="n"/>
      <c r="F416" s="9" t="n"/>
      <c r="G416" s="9" t="n"/>
      <c r="H416" s="10" t="n"/>
      <c r="I416" s="9" t="n"/>
      <c r="J416" s="11">
        <f>IF(F416="","",MAX(0,MIN(1,(1-(CODE(UPPER(D416))-65)/5)*0.5+(1-(E416-1)/5)*0.3+MIN(N(H416),3)/3*0.2)))</f>
        <v/>
      </c>
      <c r="K416" s="7">
        <f>IF(F416="","",IF(LOWER(I416)&lt;&gt;"y","DISCARD (not lawful/ethical to use)",IF(J416&gt;=0.7,"record as context correction (W08) + intake evidence",IF(J416&gt;=0.4,"watch - seek corroboration","note only"))))</f>
        <v/>
      </c>
    </row>
    <row r="417">
      <c r="A417" s="8" t="n"/>
      <c r="B417" s="9" t="n"/>
      <c r="C417" s="9" t="n"/>
      <c r="D417" s="9" t="n"/>
      <c r="E417" s="10" t="n"/>
      <c r="F417" s="9" t="n"/>
      <c r="G417" s="9" t="n"/>
      <c r="H417" s="10" t="n"/>
      <c r="I417" s="9" t="n"/>
      <c r="J417" s="11">
        <f>IF(F417="","",MAX(0,MIN(1,(1-(CODE(UPPER(D417))-65)/5)*0.5+(1-(E417-1)/5)*0.3+MIN(N(H417),3)/3*0.2)))</f>
        <v/>
      </c>
      <c r="K417" s="7">
        <f>IF(F417="","",IF(LOWER(I417)&lt;&gt;"y","DISCARD (not lawful/ethical to use)",IF(J417&gt;=0.7,"record as context correction (W08) + intake evidence",IF(J417&gt;=0.4,"watch - seek corroboration","note only"))))</f>
        <v/>
      </c>
    </row>
    <row r="418">
      <c r="A418" s="8" t="n"/>
      <c r="B418" s="9" t="n"/>
      <c r="C418" s="9" t="n"/>
      <c r="D418" s="9" t="n"/>
      <c r="E418" s="10" t="n"/>
      <c r="F418" s="9" t="n"/>
      <c r="G418" s="9" t="n"/>
      <c r="H418" s="10" t="n"/>
      <c r="I418" s="9" t="n"/>
      <c r="J418" s="11">
        <f>IF(F418="","",MAX(0,MIN(1,(1-(CODE(UPPER(D418))-65)/5)*0.5+(1-(E418-1)/5)*0.3+MIN(N(H418),3)/3*0.2)))</f>
        <v/>
      </c>
      <c r="K418" s="7">
        <f>IF(F418="","",IF(LOWER(I418)&lt;&gt;"y","DISCARD (not lawful/ethical to use)",IF(J418&gt;=0.7,"record as context correction (W08) + intake evidence",IF(J418&gt;=0.4,"watch - seek corroboration","note only"))))</f>
        <v/>
      </c>
    </row>
    <row r="419">
      <c r="A419" s="8" t="n"/>
      <c r="B419" s="9" t="n"/>
      <c r="C419" s="9" t="n"/>
      <c r="D419" s="9" t="n"/>
      <c r="E419" s="10" t="n"/>
      <c r="F419" s="9" t="n"/>
      <c r="G419" s="9" t="n"/>
      <c r="H419" s="10" t="n"/>
      <c r="I419" s="9" t="n"/>
      <c r="J419" s="11">
        <f>IF(F419="","",MAX(0,MIN(1,(1-(CODE(UPPER(D419))-65)/5)*0.5+(1-(E419-1)/5)*0.3+MIN(N(H419),3)/3*0.2)))</f>
        <v/>
      </c>
      <c r="K419" s="7">
        <f>IF(F419="","",IF(LOWER(I419)&lt;&gt;"y","DISCARD (not lawful/ethical to use)",IF(J419&gt;=0.7,"record as context correction (W08) + intake evidence",IF(J419&gt;=0.4,"watch - seek corroboration","note only"))))</f>
        <v/>
      </c>
    </row>
    <row r="420">
      <c r="A420" s="8" t="n"/>
      <c r="B420" s="9" t="n"/>
      <c r="C420" s="9" t="n"/>
      <c r="D420" s="9" t="n"/>
      <c r="E420" s="10" t="n"/>
      <c r="F420" s="9" t="n"/>
      <c r="G420" s="9" t="n"/>
      <c r="H420" s="10" t="n"/>
      <c r="I420" s="9" t="n"/>
      <c r="J420" s="11">
        <f>IF(F420="","",MAX(0,MIN(1,(1-(CODE(UPPER(D420))-65)/5)*0.5+(1-(E420-1)/5)*0.3+MIN(N(H420),3)/3*0.2)))</f>
        <v/>
      </c>
      <c r="K420" s="7">
        <f>IF(F420="","",IF(LOWER(I420)&lt;&gt;"y","DISCARD (not lawful/ethical to use)",IF(J420&gt;=0.7,"record as context correction (W08) + intake evidence",IF(J420&gt;=0.4,"watch - seek corroboration","note only"))))</f>
        <v/>
      </c>
    </row>
    <row r="421">
      <c r="A421" s="8" t="n"/>
      <c r="B421" s="9" t="n"/>
      <c r="C421" s="9" t="n"/>
      <c r="D421" s="9" t="n"/>
      <c r="E421" s="10" t="n"/>
      <c r="F421" s="9" t="n"/>
      <c r="G421" s="9" t="n"/>
      <c r="H421" s="10" t="n"/>
      <c r="I421" s="9" t="n"/>
      <c r="J421" s="11">
        <f>IF(F421="","",MAX(0,MIN(1,(1-(CODE(UPPER(D421))-65)/5)*0.5+(1-(E421-1)/5)*0.3+MIN(N(H421),3)/3*0.2)))</f>
        <v/>
      </c>
      <c r="K421" s="7">
        <f>IF(F421="","",IF(LOWER(I421)&lt;&gt;"y","DISCARD (not lawful/ethical to use)",IF(J421&gt;=0.7,"record as context correction (W08) + intake evidence",IF(J421&gt;=0.4,"watch - seek corroboration","note only"))))</f>
        <v/>
      </c>
    </row>
    <row r="422">
      <c r="A422" s="8" t="n"/>
      <c r="B422" s="9" t="n"/>
      <c r="C422" s="9" t="n"/>
      <c r="D422" s="9" t="n"/>
      <c r="E422" s="10" t="n"/>
      <c r="F422" s="9" t="n"/>
      <c r="G422" s="9" t="n"/>
      <c r="H422" s="10" t="n"/>
      <c r="I422" s="9" t="n"/>
      <c r="J422" s="11">
        <f>IF(F422="","",MAX(0,MIN(1,(1-(CODE(UPPER(D422))-65)/5)*0.5+(1-(E422-1)/5)*0.3+MIN(N(H422),3)/3*0.2)))</f>
        <v/>
      </c>
      <c r="K422" s="7">
        <f>IF(F422="","",IF(LOWER(I422)&lt;&gt;"y","DISCARD (not lawful/ethical to use)",IF(J422&gt;=0.7,"record as context correction (W08) + intake evidence",IF(J422&gt;=0.4,"watch - seek corroboration","note only"))))</f>
        <v/>
      </c>
    </row>
    <row r="423">
      <c r="A423" s="8" t="n"/>
      <c r="B423" s="9" t="n"/>
      <c r="C423" s="9" t="n"/>
      <c r="D423" s="9" t="n"/>
      <c r="E423" s="10" t="n"/>
      <c r="F423" s="9" t="n"/>
      <c r="G423" s="9" t="n"/>
      <c r="H423" s="10" t="n"/>
      <c r="I423" s="9" t="n"/>
      <c r="J423" s="11">
        <f>IF(F423="","",MAX(0,MIN(1,(1-(CODE(UPPER(D423))-65)/5)*0.5+(1-(E423-1)/5)*0.3+MIN(N(H423),3)/3*0.2)))</f>
        <v/>
      </c>
      <c r="K423" s="7">
        <f>IF(F423="","",IF(LOWER(I423)&lt;&gt;"y","DISCARD (not lawful/ethical to use)",IF(J423&gt;=0.7,"record as context correction (W08) + intake evidence",IF(J423&gt;=0.4,"watch - seek corroboration","note only"))))</f>
        <v/>
      </c>
    </row>
    <row r="424">
      <c r="A424" s="8" t="n"/>
      <c r="B424" s="9" t="n"/>
      <c r="C424" s="9" t="n"/>
      <c r="D424" s="9" t="n"/>
      <c r="E424" s="10" t="n"/>
      <c r="F424" s="9" t="n"/>
      <c r="G424" s="9" t="n"/>
      <c r="H424" s="10" t="n"/>
      <c r="I424" s="9" t="n"/>
      <c r="J424" s="11">
        <f>IF(F424="","",MAX(0,MIN(1,(1-(CODE(UPPER(D424))-65)/5)*0.5+(1-(E424-1)/5)*0.3+MIN(N(H424),3)/3*0.2)))</f>
        <v/>
      </c>
      <c r="K424" s="7">
        <f>IF(F424="","",IF(LOWER(I424)&lt;&gt;"y","DISCARD (not lawful/ethical to use)",IF(J424&gt;=0.7,"record as context correction (W08) + intake evidence",IF(J424&gt;=0.4,"watch - seek corroboration","note only"))))</f>
        <v/>
      </c>
    </row>
    <row r="425">
      <c r="A425" s="8" t="n"/>
      <c r="B425" s="9" t="n"/>
      <c r="C425" s="9" t="n"/>
      <c r="D425" s="9" t="n"/>
      <c r="E425" s="10" t="n"/>
      <c r="F425" s="9" t="n"/>
      <c r="G425" s="9" t="n"/>
      <c r="H425" s="10" t="n"/>
      <c r="I425" s="9" t="n"/>
      <c r="J425" s="11">
        <f>IF(F425="","",MAX(0,MIN(1,(1-(CODE(UPPER(D425))-65)/5)*0.5+(1-(E425-1)/5)*0.3+MIN(N(H425),3)/3*0.2)))</f>
        <v/>
      </c>
      <c r="K425" s="7">
        <f>IF(F425="","",IF(LOWER(I425)&lt;&gt;"y","DISCARD (not lawful/ethical to use)",IF(J425&gt;=0.7,"record as context correction (W08) + intake evidence",IF(J425&gt;=0.4,"watch - seek corroboration","note only"))))</f>
        <v/>
      </c>
    </row>
    <row r="426">
      <c r="A426" s="8" t="n"/>
      <c r="B426" s="9" t="n"/>
      <c r="C426" s="9" t="n"/>
      <c r="D426" s="9" t="n"/>
      <c r="E426" s="10" t="n"/>
      <c r="F426" s="9" t="n"/>
      <c r="G426" s="9" t="n"/>
      <c r="H426" s="10" t="n"/>
      <c r="I426" s="9" t="n"/>
      <c r="J426" s="11">
        <f>IF(F426="","",MAX(0,MIN(1,(1-(CODE(UPPER(D426))-65)/5)*0.5+(1-(E426-1)/5)*0.3+MIN(N(H426),3)/3*0.2)))</f>
        <v/>
      </c>
      <c r="K426" s="7">
        <f>IF(F426="","",IF(LOWER(I426)&lt;&gt;"y","DISCARD (not lawful/ethical to use)",IF(J426&gt;=0.7,"record as context correction (W08) + intake evidence",IF(J426&gt;=0.4,"watch - seek corroboration","note only"))))</f>
        <v/>
      </c>
    </row>
    <row r="427">
      <c r="A427" s="8" t="n"/>
      <c r="B427" s="9" t="n"/>
      <c r="C427" s="9" t="n"/>
      <c r="D427" s="9" t="n"/>
      <c r="E427" s="10" t="n"/>
      <c r="F427" s="9" t="n"/>
      <c r="G427" s="9" t="n"/>
      <c r="H427" s="10" t="n"/>
      <c r="I427" s="9" t="n"/>
      <c r="J427" s="11">
        <f>IF(F427="","",MAX(0,MIN(1,(1-(CODE(UPPER(D427))-65)/5)*0.5+(1-(E427-1)/5)*0.3+MIN(N(H427),3)/3*0.2)))</f>
        <v/>
      </c>
      <c r="K427" s="7">
        <f>IF(F427="","",IF(LOWER(I427)&lt;&gt;"y","DISCARD (not lawful/ethical to use)",IF(J427&gt;=0.7,"record as context correction (W08) + intake evidence",IF(J427&gt;=0.4,"watch - seek corroboration","note only"))))</f>
        <v/>
      </c>
    </row>
    <row r="428">
      <c r="A428" s="8" t="n"/>
      <c r="B428" s="9" t="n"/>
      <c r="C428" s="9" t="n"/>
      <c r="D428" s="9" t="n"/>
      <c r="E428" s="10" t="n"/>
      <c r="F428" s="9" t="n"/>
      <c r="G428" s="9" t="n"/>
      <c r="H428" s="10" t="n"/>
      <c r="I428" s="9" t="n"/>
      <c r="J428" s="11">
        <f>IF(F428="","",MAX(0,MIN(1,(1-(CODE(UPPER(D428))-65)/5)*0.5+(1-(E428-1)/5)*0.3+MIN(N(H428),3)/3*0.2)))</f>
        <v/>
      </c>
      <c r="K428" s="7">
        <f>IF(F428="","",IF(LOWER(I428)&lt;&gt;"y","DISCARD (not lawful/ethical to use)",IF(J428&gt;=0.7,"record as context correction (W08) + intake evidence",IF(J428&gt;=0.4,"watch - seek corroboration","note only"))))</f>
        <v/>
      </c>
    </row>
    <row r="429">
      <c r="A429" s="8" t="n"/>
      <c r="B429" s="9" t="n"/>
      <c r="C429" s="9" t="n"/>
      <c r="D429" s="9" t="n"/>
      <c r="E429" s="10" t="n"/>
      <c r="F429" s="9" t="n"/>
      <c r="G429" s="9" t="n"/>
      <c r="H429" s="10" t="n"/>
      <c r="I429" s="9" t="n"/>
      <c r="J429" s="11">
        <f>IF(F429="","",MAX(0,MIN(1,(1-(CODE(UPPER(D429))-65)/5)*0.5+(1-(E429-1)/5)*0.3+MIN(N(H429),3)/3*0.2)))</f>
        <v/>
      </c>
      <c r="K429" s="7">
        <f>IF(F429="","",IF(LOWER(I429)&lt;&gt;"y","DISCARD (not lawful/ethical to use)",IF(J429&gt;=0.7,"record as context correction (W08) + intake evidence",IF(J429&gt;=0.4,"watch - seek corroboration","note only"))))</f>
        <v/>
      </c>
    </row>
    <row r="430">
      <c r="A430" s="8" t="n"/>
      <c r="B430" s="9" t="n"/>
      <c r="C430" s="9" t="n"/>
      <c r="D430" s="9" t="n"/>
      <c r="E430" s="10" t="n"/>
      <c r="F430" s="9" t="n"/>
      <c r="G430" s="9" t="n"/>
      <c r="H430" s="10" t="n"/>
      <c r="I430" s="9" t="n"/>
      <c r="J430" s="11">
        <f>IF(F430="","",MAX(0,MIN(1,(1-(CODE(UPPER(D430))-65)/5)*0.5+(1-(E430-1)/5)*0.3+MIN(N(H430),3)/3*0.2)))</f>
        <v/>
      </c>
      <c r="K430" s="7">
        <f>IF(F430="","",IF(LOWER(I430)&lt;&gt;"y","DISCARD (not lawful/ethical to use)",IF(J430&gt;=0.7,"record as context correction (W08) + intake evidence",IF(J430&gt;=0.4,"watch - seek corroboration","note only"))))</f>
        <v/>
      </c>
    </row>
    <row r="431">
      <c r="A431" s="8" t="n"/>
      <c r="B431" s="9" t="n"/>
      <c r="C431" s="9" t="n"/>
      <c r="D431" s="9" t="n"/>
      <c r="E431" s="10" t="n"/>
      <c r="F431" s="9" t="n"/>
      <c r="G431" s="9" t="n"/>
      <c r="H431" s="10" t="n"/>
      <c r="I431" s="9" t="n"/>
      <c r="J431" s="11">
        <f>IF(F431="","",MAX(0,MIN(1,(1-(CODE(UPPER(D431))-65)/5)*0.5+(1-(E431-1)/5)*0.3+MIN(N(H431),3)/3*0.2)))</f>
        <v/>
      </c>
      <c r="K431" s="7">
        <f>IF(F431="","",IF(LOWER(I431)&lt;&gt;"y","DISCARD (not lawful/ethical to use)",IF(J431&gt;=0.7,"record as context correction (W08) + intake evidence",IF(J431&gt;=0.4,"watch - seek corroboration","note only"))))</f>
        <v/>
      </c>
    </row>
    <row r="432">
      <c r="A432" s="8" t="n"/>
      <c r="B432" s="9" t="n"/>
      <c r="C432" s="9" t="n"/>
      <c r="D432" s="9" t="n"/>
      <c r="E432" s="10" t="n"/>
      <c r="F432" s="9" t="n"/>
      <c r="G432" s="9" t="n"/>
      <c r="H432" s="10" t="n"/>
      <c r="I432" s="9" t="n"/>
      <c r="J432" s="11">
        <f>IF(F432="","",MAX(0,MIN(1,(1-(CODE(UPPER(D432))-65)/5)*0.5+(1-(E432-1)/5)*0.3+MIN(N(H432),3)/3*0.2)))</f>
        <v/>
      </c>
      <c r="K432" s="7">
        <f>IF(F432="","",IF(LOWER(I432)&lt;&gt;"y","DISCARD (not lawful/ethical to use)",IF(J432&gt;=0.7,"record as context correction (W08) + intake evidence",IF(J432&gt;=0.4,"watch - seek corroboration","note only"))))</f>
        <v/>
      </c>
    </row>
    <row r="433">
      <c r="A433" s="8" t="n"/>
      <c r="B433" s="9" t="n"/>
      <c r="C433" s="9" t="n"/>
      <c r="D433" s="9" t="n"/>
      <c r="E433" s="10" t="n"/>
      <c r="F433" s="9" t="n"/>
      <c r="G433" s="9" t="n"/>
      <c r="H433" s="10" t="n"/>
      <c r="I433" s="9" t="n"/>
      <c r="J433" s="11">
        <f>IF(F433="","",MAX(0,MIN(1,(1-(CODE(UPPER(D433))-65)/5)*0.5+(1-(E433-1)/5)*0.3+MIN(N(H433),3)/3*0.2)))</f>
        <v/>
      </c>
      <c r="K433" s="7">
        <f>IF(F433="","",IF(LOWER(I433)&lt;&gt;"y","DISCARD (not lawful/ethical to use)",IF(J433&gt;=0.7,"record as context correction (W08) + intake evidence",IF(J433&gt;=0.4,"watch - seek corroboration","note only"))))</f>
        <v/>
      </c>
    </row>
    <row r="434">
      <c r="A434" s="8" t="n"/>
      <c r="B434" s="9" t="n"/>
      <c r="C434" s="9" t="n"/>
      <c r="D434" s="9" t="n"/>
      <c r="E434" s="10" t="n"/>
      <c r="F434" s="9" t="n"/>
      <c r="G434" s="9" t="n"/>
      <c r="H434" s="10" t="n"/>
      <c r="I434" s="9" t="n"/>
      <c r="J434" s="11">
        <f>IF(F434="","",MAX(0,MIN(1,(1-(CODE(UPPER(D434))-65)/5)*0.5+(1-(E434-1)/5)*0.3+MIN(N(H434),3)/3*0.2)))</f>
        <v/>
      </c>
      <c r="K434" s="7">
        <f>IF(F434="","",IF(LOWER(I434)&lt;&gt;"y","DISCARD (not lawful/ethical to use)",IF(J434&gt;=0.7,"record as context correction (W08) + intake evidence",IF(J434&gt;=0.4,"watch - seek corroboration","note only"))))</f>
        <v/>
      </c>
    </row>
    <row r="435">
      <c r="A435" s="8" t="n"/>
      <c r="B435" s="9" t="n"/>
      <c r="C435" s="9" t="n"/>
      <c r="D435" s="9" t="n"/>
      <c r="E435" s="10" t="n"/>
      <c r="F435" s="9" t="n"/>
      <c r="G435" s="9" t="n"/>
      <c r="H435" s="10" t="n"/>
      <c r="I435" s="9" t="n"/>
      <c r="J435" s="11">
        <f>IF(F435="","",MAX(0,MIN(1,(1-(CODE(UPPER(D435))-65)/5)*0.5+(1-(E435-1)/5)*0.3+MIN(N(H435),3)/3*0.2)))</f>
        <v/>
      </c>
      <c r="K435" s="7">
        <f>IF(F435="","",IF(LOWER(I435)&lt;&gt;"y","DISCARD (not lawful/ethical to use)",IF(J435&gt;=0.7,"record as context correction (W08) + intake evidence",IF(J435&gt;=0.4,"watch - seek corroboration","note only"))))</f>
        <v/>
      </c>
    </row>
    <row r="436">
      <c r="A436" s="8" t="n"/>
      <c r="B436" s="9" t="n"/>
      <c r="C436" s="9" t="n"/>
      <c r="D436" s="9" t="n"/>
      <c r="E436" s="10" t="n"/>
      <c r="F436" s="9" t="n"/>
      <c r="G436" s="9" t="n"/>
      <c r="H436" s="10" t="n"/>
      <c r="I436" s="9" t="n"/>
      <c r="J436" s="11">
        <f>IF(F436="","",MAX(0,MIN(1,(1-(CODE(UPPER(D436))-65)/5)*0.5+(1-(E436-1)/5)*0.3+MIN(N(H436),3)/3*0.2)))</f>
        <v/>
      </c>
      <c r="K436" s="7">
        <f>IF(F436="","",IF(LOWER(I436)&lt;&gt;"y","DISCARD (not lawful/ethical to use)",IF(J436&gt;=0.7,"record as context correction (W08) + intake evidence",IF(J436&gt;=0.4,"watch - seek corroboration","note only"))))</f>
        <v/>
      </c>
    </row>
    <row r="437">
      <c r="A437" s="8" t="n"/>
      <c r="B437" s="9" t="n"/>
      <c r="C437" s="9" t="n"/>
      <c r="D437" s="9" t="n"/>
      <c r="E437" s="10" t="n"/>
      <c r="F437" s="9" t="n"/>
      <c r="G437" s="9" t="n"/>
      <c r="H437" s="10" t="n"/>
      <c r="I437" s="9" t="n"/>
      <c r="J437" s="11">
        <f>IF(F437="","",MAX(0,MIN(1,(1-(CODE(UPPER(D437))-65)/5)*0.5+(1-(E437-1)/5)*0.3+MIN(N(H437),3)/3*0.2)))</f>
        <v/>
      </c>
      <c r="K437" s="7">
        <f>IF(F437="","",IF(LOWER(I437)&lt;&gt;"y","DISCARD (not lawful/ethical to use)",IF(J437&gt;=0.7,"record as context correction (W08) + intake evidence",IF(J437&gt;=0.4,"watch - seek corroboration","note only"))))</f>
        <v/>
      </c>
    </row>
    <row r="438">
      <c r="A438" s="8" t="n"/>
      <c r="B438" s="9" t="n"/>
      <c r="C438" s="9" t="n"/>
      <c r="D438" s="9" t="n"/>
      <c r="E438" s="10" t="n"/>
      <c r="F438" s="9" t="n"/>
      <c r="G438" s="9" t="n"/>
      <c r="H438" s="10" t="n"/>
      <c r="I438" s="9" t="n"/>
      <c r="J438" s="11">
        <f>IF(F438="","",MAX(0,MIN(1,(1-(CODE(UPPER(D438))-65)/5)*0.5+(1-(E438-1)/5)*0.3+MIN(N(H438),3)/3*0.2)))</f>
        <v/>
      </c>
      <c r="K438" s="7">
        <f>IF(F438="","",IF(LOWER(I438)&lt;&gt;"y","DISCARD (not lawful/ethical to use)",IF(J438&gt;=0.7,"record as context correction (W08) + intake evidence",IF(J438&gt;=0.4,"watch - seek corroboration","note only"))))</f>
        <v/>
      </c>
    </row>
    <row r="439">
      <c r="A439" s="8" t="n"/>
      <c r="B439" s="9" t="n"/>
      <c r="C439" s="9" t="n"/>
      <c r="D439" s="9" t="n"/>
      <c r="E439" s="10" t="n"/>
      <c r="F439" s="9" t="n"/>
      <c r="G439" s="9" t="n"/>
      <c r="H439" s="10" t="n"/>
      <c r="I439" s="9" t="n"/>
      <c r="J439" s="11">
        <f>IF(F439="","",MAX(0,MIN(1,(1-(CODE(UPPER(D439))-65)/5)*0.5+(1-(E439-1)/5)*0.3+MIN(N(H439),3)/3*0.2)))</f>
        <v/>
      </c>
      <c r="K439" s="7">
        <f>IF(F439="","",IF(LOWER(I439)&lt;&gt;"y","DISCARD (not lawful/ethical to use)",IF(J439&gt;=0.7,"record as context correction (W08) + intake evidence",IF(J439&gt;=0.4,"watch - seek corroboration","note only"))))</f>
        <v/>
      </c>
    </row>
    <row r="440">
      <c r="A440" s="8" t="n"/>
      <c r="B440" s="9" t="n"/>
      <c r="C440" s="9" t="n"/>
      <c r="D440" s="9" t="n"/>
      <c r="E440" s="10" t="n"/>
      <c r="F440" s="9" t="n"/>
      <c r="G440" s="9" t="n"/>
      <c r="H440" s="10" t="n"/>
      <c r="I440" s="9" t="n"/>
      <c r="J440" s="11">
        <f>IF(F440="","",MAX(0,MIN(1,(1-(CODE(UPPER(D440))-65)/5)*0.5+(1-(E440-1)/5)*0.3+MIN(N(H440),3)/3*0.2)))</f>
        <v/>
      </c>
      <c r="K440" s="7">
        <f>IF(F440="","",IF(LOWER(I440)&lt;&gt;"y","DISCARD (not lawful/ethical to use)",IF(J440&gt;=0.7,"record as context correction (W08) + intake evidence",IF(J440&gt;=0.4,"watch - seek corroboration","note only"))))</f>
        <v/>
      </c>
    </row>
    <row r="441">
      <c r="A441" s="8" t="n"/>
      <c r="B441" s="9" t="n"/>
      <c r="C441" s="9" t="n"/>
      <c r="D441" s="9" t="n"/>
      <c r="E441" s="10" t="n"/>
      <c r="F441" s="9" t="n"/>
      <c r="G441" s="9" t="n"/>
      <c r="H441" s="10" t="n"/>
      <c r="I441" s="9" t="n"/>
      <c r="J441" s="11">
        <f>IF(F441="","",MAX(0,MIN(1,(1-(CODE(UPPER(D441))-65)/5)*0.5+(1-(E441-1)/5)*0.3+MIN(N(H441),3)/3*0.2)))</f>
        <v/>
      </c>
      <c r="K441" s="7">
        <f>IF(F441="","",IF(LOWER(I441)&lt;&gt;"y","DISCARD (not lawful/ethical to use)",IF(J441&gt;=0.7,"record as context correction (W08) + intake evidence",IF(J441&gt;=0.4,"watch - seek corroboration","note only"))))</f>
        <v/>
      </c>
    </row>
    <row r="442">
      <c r="A442" s="8" t="n"/>
      <c r="B442" s="9" t="n"/>
      <c r="C442" s="9" t="n"/>
      <c r="D442" s="9" t="n"/>
      <c r="E442" s="10" t="n"/>
      <c r="F442" s="9" t="n"/>
      <c r="G442" s="9" t="n"/>
      <c r="H442" s="10" t="n"/>
      <c r="I442" s="9" t="n"/>
      <c r="J442" s="11">
        <f>IF(F442="","",MAX(0,MIN(1,(1-(CODE(UPPER(D442))-65)/5)*0.5+(1-(E442-1)/5)*0.3+MIN(N(H442),3)/3*0.2)))</f>
        <v/>
      </c>
      <c r="K442" s="7">
        <f>IF(F442="","",IF(LOWER(I442)&lt;&gt;"y","DISCARD (not lawful/ethical to use)",IF(J442&gt;=0.7,"record as context correction (W08) + intake evidence",IF(J442&gt;=0.4,"watch - seek corroboration","note only"))))</f>
        <v/>
      </c>
    </row>
    <row r="443">
      <c r="A443" s="8" t="n"/>
      <c r="B443" s="9" t="n"/>
      <c r="C443" s="9" t="n"/>
      <c r="D443" s="9" t="n"/>
      <c r="E443" s="10" t="n"/>
      <c r="F443" s="9" t="n"/>
      <c r="G443" s="9" t="n"/>
      <c r="H443" s="10" t="n"/>
      <c r="I443" s="9" t="n"/>
      <c r="J443" s="11">
        <f>IF(F443="","",MAX(0,MIN(1,(1-(CODE(UPPER(D443))-65)/5)*0.5+(1-(E443-1)/5)*0.3+MIN(N(H443),3)/3*0.2)))</f>
        <v/>
      </c>
      <c r="K443" s="7">
        <f>IF(F443="","",IF(LOWER(I443)&lt;&gt;"y","DISCARD (not lawful/ethical to use)",IF(J443&gt;=0.7,"record as context correction (W08) + intake evidence",IF(J443&gt;=0.4,"watch - seek corroboration","note only"))))</f>
        <v/>
      </c>
    </row>
    <row r="444">
      <c r="A444" s="8" t="n"/>
      <c r="B444" s="9" t="n"/>
      <c r="C444" s="9" t="n"/>
      <c r="D444" s="9" t="n"/>
      <c r="E444" s="10" t="n"/>
      <c r="F444" s="9" t="n"/>
      <c r="G444" s="9" t="n"/>
      <c r="H444" s="10" t="n"/>
      <c r="I444" s="9" t="n"/>
      <c r="J444" s="11">
        <f>IF(F444="","",MAX(0,MIN(1,(1-(CODE(UPPER(D444))-65)/5)*0.5+(1-(E444-1)/5)*0.3+MIN(N(H444),3)/3*0.2)))</f>
        <v/>
      </c>
      <c r="K444" s="7">
        <f>IF(F444="","",IF(LOWER(I444)&lt;&gt;"y","DISCARD (not lawful/ethical to use)",IF(J444&gt;=0.7,"record as context correction (W08) + intake evidence",IF(J444&gt;=0.4,"watch - seek corroboration","note only"))))</f>
        <v/>
      </c>
    </row>
    <row r="445">
      <c r="A445" s="8" t="n"/>
      <c r="B445" s="9" t="n"/>
      <c r="C445" s="9" t="n"/>
      <c r="D445" s="9" t="n"/>
      <c r="E445" s="10" t="n"/>
      <c r="F445" s="9" t="n"/>
      <c r="G445" s="9" t="n"/>
      <c r="H445" s="10" t="n"/>
      <c r="I445" s="9" t="n"/>
      <c r="J445" s="11">
        <f>IF(F445="","",MAX(0,MIN(1,(1-(CODE(UPPER(D445))-65)/5)*0.5+(1-(E445-1)/5)*0.3+MIN(N(H445),3)/3*0.2)))</f>
        <v/>
      </c>
      <c r="K445" s="7">
        <f>IF(F445="","",IF(LOWER(I445)&lt;&gt;"y","DISCARD (not lawful/ethical to use)",IF(J445&gt;=0.7,"record as context correction (W08) + intake evidence",IF(J445&gt;=0.4,"watch - seek corroboration","note only"))))</f>
        <v/>
      </c>
    </row>
    <row r="446">
      <c r="A446" s="8" t="n"/>
      <c r="B446" s="9" t="n"/>
      <c r="C446" s="9" t="n"/>
      <c r="D446" s="9" t="n"/>
      <c r="E446" s="10" t="n"/>
      <c r="F446" s="9" t="n"/>
      <c r="G446" s="9" t="n"/>
      <c r="H446" s="10" t="n"/>
      <c r="I446" s="9" t="n"/>
      <c r="J446" s="11">
        <f>IF(F446="","",MAX(0,MIN(1,(1-(CODE(UPPER(D446))-65)/5)*0.5+(1-(E446-1)/5)*0.3+MIN(N(H446),3)/3*0.2)))</f>
        <v/>
      </c>
      <c r="K446" s="7">
        <f>IF(F446="","",IF(LOWER(I446)&lt;&gt;"y","DISCARD (not lawful/ethical to use)",IF(J446&gt;=0.7,"record as context correction (W08) + intake evidence",IF(J446&gt;=0.4,"watch - seek corroboration","note only"))))</f>
        <v/>
      </c>
    </row>
    <row r="447">
      <c r="A447" s="8" t="n"/>
      <c r="B447" s="9" t="n"/>
      <c r="C447" s="9" t="n"/>
      <c r="D447" s="9" t="n"/>
      <c r="E447" s="10" t="n"/>
      <c r="F447" s="9" t="n"/>
      <c r="G447" s="9" t="n"/>
      <c r="H447" s="10" t="n"/>
      <c r="I447" s="9" t="n"/>
      <c r="J447" s="11">
        <f>IF(F447="","",MAX(0,MIN(1,(1-(CODE(UPPER(D447))-65)/5)*0.5+(1-(E447-1)/5)*0.3+MIN(N(H447),3)/3*0.2)))</f>
        <v/>
      </c>
      <c r="K447" s="7">
        <f>IF(F447="","",IF(LOWER(I447)&lt;&gt;"y","DISCARD (not lawful/ethical to use)",IF(J447&gt;=0.7,"record as context correction (W08) + intake evidence",IF(J447&gt;=0.4,"watch - seek corroboration","note only"))))</f>
        <v/>
      </c>
    </row>
    <row r="448">
      <c r="A448" s="8" t="n"/>
      <c r="B448" s="9" t="n"/>
      <c r="C448" s="9" t="n"/>
      <c r="D448" s="9" t="n"/>
      <c r="E448" s="10" t="n"/>
      <c r="F448" s="9" t="n"/>
      <c r="G448" s="9" t="n"/>
      <c r="H448" s="10" t="n"/>
      <c r="I448" s="9" t="n"/>
      <c r="J448" s="11">
        <f>IF(F448="","",MAX(0,MIN(1,(1-(CODE(UPPER(D448))-65)/5)*0.5+(1-(E448-1)/5)*0.3+MIN(N(H448),3)/3*0.2)))</f>
        <v/>
      </c>
      <c r="K448" s="7">
        <f>IF(F448="","",IF(LOWER(I448)&lt;&gt;"y","DISCARD (not lawful/ethical to use)",IF(J448&gt;=0.7,"record as context correction (W08) + intake evidence",IF(J448&gt;=0.4,"watch - seek corroboration","note only"))))</f>
        <v/>
      </c>
    </row>
    <row r="449">
      <c r="A449" s="8" t="n"/>
      <c r="B449" s="9" t="n"/>
      <c r="C449" s="9" t="n"/>
      <c r="D449" s="9" t="n"/>
      <c r="E449" s="10" t="n"/>
      <c r="F449" s="9" t="n"/>
      <c r="G449" s="9" t="n"/>
      <c r="H449" s="10" t="n"/>
      <c r="I449" s="9" t="n"/>
      <c r="J449" s="11">
        <f>IF(F449="","",MAX(0,MIN(1,(1-(CODE(UPPER(D449))-65)/5)*0.5+(1-(E449-1)/5)*0.3+MIN(N(H449),3)/3*0.2)))</f>
        <v/>
      </c>
      <c r="K449" s="7">
        <f>IF(F449="","",IF(LOWER(I449)&lt;&gt;"y","DISCARD (not lawful/ethical to use)",IF(J449&gt;=0.7,"record as context correction (W08) + intake evidence",IF(J449&gt;=0.4,"watch - seek corroboration","note only"))))</f>
        <v/>
      </c>
    </row>
    <row r="450">
      <c r="A450" s="8" t="n"/>
      <c r="B450" s="9" t="n"/>
      <c r="C450" s="9" t="n"/>
      <c r="D450" s="9" t="n"/>
      <c r="E450" s="10" t="n"/>
      <c r="F450" s="9" t="n"/>
      <c r="G450" s="9" t="n"/>
      <c r="H450" s="10" t="n"/>
      <c r="I450" s="9" t="n"/>
      <c r="J450" s="11">
        <f>IF(F450="","",MAX(0,MIN(1,(1-(CODE(UPPER(D450))-65)/5)*0.5+(1-(E450-1)/5)*0.3+MIN(N(H450),3)/3*0.2)))</f>
        <v/>
      </c>
      <c r="K450" s="7">
        <f>IF(F450="","",IF(LOWER(I450)&lt;&gt;"y","DISCARD (not lawful/ethical to use)",IF(J450&gt;=0.7,"record as context correction (W08) + intake evidence",IF(J450&gt;=0.4,"watch - seek corroboration","note only"))))</f>
        <v/>
      </c>
    </row>
    <row r="451">
      <c r="A451" s="8" t="n"/>
      <c r="B451" s="9" t="n"/>
      <c r="C451" s="9" t="n"/>
      <c r="D451" s="9" t="n"/>
      <c r="E451" s="10" t="n"/>
      <c r="F451" s="9" t="n"/>
      <c r="G451" s="9" t="n"/>
      <c r="H451" s="10" t="n"/>
      <c r="I451" s="9" t="n"/>
      <c r="J451" s="11">
        <f>IF(F451="","",MAX(0,MIN(1,(1-(CODE(UPPER(D451))-65)/5)*0.5+(1-(E451-1)/5)*0.3+MIN(N(H451),3)/3*0.2)))</f>
        <v/>
      </c>
      <c r="K451" s="7">
        <f>IF(F451="","",IF(LOWER(I451)&lt;&gt;"y","DISCARD (not lawful/ethical to use)",IF(J451&gt;=0.7,"record as context correction (W08) + intake evidence",IF(J451&gt;=0.4,"watch - seek corroboration","note only"))))</f>
        <v/>
      </c>
    </row>
    <row r="452">
      <c r="A452" s="8" t="n"/>
      <c r="B452" s="9" t="n"/>
      <c r="C452" s="9" t="n"/>
      <c r="D452" s="9" t="n"/>
      <c r="E452" s="10" t="n"/>
      <c r="F452" s="9" t="n"/>
      <c r="G452" s="9" t="n"/>
      <c r="H452" s="10" t="n"/>
      <c r="I452" s="9" t="n"/>
      <c r="J452" s="11">
        <f>IF(F452="","",MAX(0,MIN(1,(1-(CODE(UPPER(D452))-65)/5)*0.5+(1-(E452-1)/5)*0.3+MIN(N(H452),3)/3*0.2)))</f>
        <v/>
      </c>
      <c r="K452" s="7">
        <f>IF(F452="","",IF(LOWER(I452)&lt;&gt;"y","DISCARD (not lawful/ethical to use)",IF(J452&gt;=0.7,"record as context correction (W08) + intake evidence",IF(J452&gt;=0.4,"watch - seek corroboration","note only"))))</f>
        <v/>
      </c>
    </row>
    <row r="453">
      <c r="A453" s="8" t="n"/>
      <c r="B453" s="9" t="n"/>
      <c r="C453" s="9" t="n"/>
      <c r="D453" s="9" t="n"/>
      <c r="E453" s="10" t="n"/>
      <c r="F453" s="9" t="n"/>
      <c r="G453" s="9" t="n"/>
      <c r="H453" s="10" t="n"/>
      <c r="I453" s="9" t="n"/>
      <c r="J453" s="11">
        <f>IF(F453="","",MAX(0,MIN(1,(1-(CODE(UPPER(D453))-65)/5)*0.5+(1-(E453-1)/5)*0.3+MIN(N(H453),3)/3*0.2)))</f>
        <v/>
      </c>
      <c r="K453" s="7">
        <f>IF(F453="","",IF(LOWER(I453)&lt;&gt;"y","DISCARD (not lawful/ethical to use)",IF(J453&gt;=0.7,"record as context correction (W08) + intake evidence",IF(J453&gt;=0.4,"watch - seek corroboration","note only"))))</f>
        <v/>
      </c>
    </row>
    <row r="454">
      <c r="A454" s="8" t="n"/>
      <c r="B454" s="9" t="n"/>
      <c r="C454" s="9" t="n"/>
      <c r="D454" s="9" t="n"/>
      <c r="E454" s="10" t="n"/>
      <c r="F454" s="9" t="n"/>
      <c r="G454" s="9" t="n"/>
      <c r="H454" s="10" t="n"/>
      <c r="I454" s="9" t="n"/>
      <c r="J454" s="11">
        <f>IF(F454="","",MAX(0,MIN(1,(1-(CODE(UPPER(D454))-65)/5)*0.5+(1-(E454-1)/5)*0.3+MIN(N(H454),3)/3*0.2)))</f>
        <v/>
      </c>
      <c r="K454" s="7">
        <f>IF(F454="","",IF(LOWER(I454)&lt;&gt;"y","DISCARD (not lawful/ethical to use)",IF(J454&gt;=0.7,"record as context correction (W08) + intake evidence",IF(J454&gt;=0.4,"watch - seek corroboration","note only"))))</f>
        <v/>
      </c>
    </row>
    <row r="455">
      <c r="A455" s="8" t="n"/>
      <c r="B455" s="9" t="n"/>
      <c r="C455" s="9" t="n"/>
      <c r="D455" s="9" t="n"/>
      <c r="E455" s="10" t="n"/>
      <c r="F455" s="9" t="n"/>
      <c r="G455" s="9" t="n"/>
      <c r="H455" s="10" t="n"/>
      <c r="I455" s="9" t="n"/>
      <c r="J455" s="11">
        <f>IF(F455="","",MAX(0,MIN(1,(1-(CODE(UPPER(D455))-65)/5)*0.5+(1-(E455-1)/5)*0.3+MIN(N(H455),3)/3*0.2)))</f>
        <v/>
      </c>
      <c r="K455" s="7">
        <f>IF(F455="","",IF(LOWER(I455)&lt;&gt;"y","DISCARD (not lawful/ethical to use)",IF(J455&gt;=0.7,"record as context correction (W08) + intake evidence",IF(J455&gt;=0.4,"watch - seek corroboration","note only"))))</f>
        <v/>
      </c>
    </row>
    <row r="456">
      <c r="A456" s="8" t="n"/>
      <c r="B456" s="9" t="n"/>
      <c r="C456" s="9" t="n"/>
      <c r="D456" s="9" t="n"/>
      <c r="E456" s="10" t="n"/>
      <c r="F456" s="9" t="n"/>
      <c r="G456" s="9" t="n"/>
      <c r="H456" s="10" t="n"/>
      <c r="I456" s="9" t="n"/>
      <c r="J456" s="11">
        <f>IF(F456="","",MAX(0,MIN(1,(1-(CODE(UPPER(D456))-65)/5)*0.5+(1-(E456-1)/5)*0.3+MIN(N(H456),3)/3*0.2)))</f>
        <v/>
      </c>
      <c r="K456" s="7">
        <f>IF(F456="","",IF(LOWER(I456)&lt;&gt;"y","DISCARD (not lawful/ethical to use)",IF(J456&gt;=0.7,"record as context correction (W08) + intake evidence",IF(J456&gt;=0.4,"watch - seek corroboration","note only"))))</f>
        <v/>
      </c>
    </row>
    <row r="457">
      <c r="A457" s="8" t="n"/>
      <c r="B457" s="9" t="n"/>
      <c r="C457" s="9" t="n"/>
      <c r="D457" s="9" t="n"/>
      <c r="E457" s="10" t="n"/>
      <c r="F457" s="9" t="n"/>
      <c r="G457" s="9" t="n"/>
      <c r="H457" s="10" t="n"/>
      <c r="I457" s="9" t="n"/>
      <c r="J457" s="11">
        <f>IF(F457="","",MAX(0,MIN(1,(1-(CODE(UPPER(D457))-65)/5)*0.5+(1-(E457-1)/5)*0.3+MIN(N(H457),3)/3*0.2)))</f>
        <v/>
      </c>
      <c r="K457" s="7">
        <f>IF(F457="","",IF(LOWER(I457)&lt;&gt;"y","DISCARD (not lawful/ethical to use)",IF(J457&gt;=0.7,"record as context correction (W08) + intake evidence",IF(J457&gt;=0.4,"watch - seek corroboration","note only"))))</f>
        <v/>
      </c>
    </row>
    <row r="458">
      <c r="A458" s="8" t="n"/>
      <c r="B458" s="9" t="n"/>
      <c r="C458" s="9" t="n"/>
      <c r="D458" s="9" t="n"/>
      <c r="E458" s="10" t="n"/>
      <c r="F458" s="9" t="n"/>
      <c r="G458" s="9" t="n"/>
      <c r="H458" s="10" t="n"/>
      <c r="I458" s="9" t="n"/>
      <c r="J458" s="11">
        <f>IF(F458="","",MAX(0,MIN(1,(1-(CODE(UPPER(D458))-65)/5)*0.5+(1-(E458-1)/5)*0.3+MIN(N(H458),3)/3*0.2)))</f>
        <v/>
      </c>
      <c r="K458" s="7">
        <f>IF(F458="","",IF(LOWER(I458)&lt;&gt;"y","DISCARD (not lawful/ethical to use)",IF(J458&gt;=0.7,"record as context correction (W08) + intake evidence",IF(J458&gt;=0.4,"watch - seek corroboration","note only"))))</f>
        <v/>
      </c>
    </row>
    <row r="459">
      <c r="A459" s="8" t="n"/>
      <c r="B459" s="9" t="n"/>
      <c r="C459" s="9" t="n"/>
      <c r="D459" s="9" t="n"/>
      <c r="E459" s="10" t="n"/>
      <c r="F459" s="9" t="n"/>
      <c r="G459" s="9" t="n"/>
      <c r="H459" s="10" t="n"/>
      <c r="I459" s="9" t="n"/>
      <c r="J459" s="11">
        <f>IF(F459="","",MAX(0,MIN(1,(1-(CODE(UPPER(D459))-65)/5)*0.5+(1-(E459-1)/5)*0.3+MIN(N(H459),3)/3*0.2)))</f>
        <v/>
      </c>
      <c r="K459" s="7">
        <f>IF(F459="","",IF(LOWER(I459)&lt;&gt;"y","DISCARD (not lawful/ethical to use)",IF(J459&gt;=0.7,"record as context correction (W08) + intake evidence",IF(J459&gt;=0.4,"watch - seek corroboration","note only"))))</f>
        <v/>
      </c>
    </row>
    <row r="460">
      <c r="A460" s="8" t="n"/>
      <c r="B460" s="9" t="n"/>
      <c r="C460" s="9" t="n"/>
      <c r="D460" s="9" t="n"/>
      <c r="E460" s="10" t="n"/>
      <c r="F460" s="9" t="n"/>
      <c r="G460" s="9" t="n"/>
      <c r="H460" s="10" t="n"/>
      <c r="I460" s="9" t="n"/>
      <c r="J460" s="11">
        <f>IF(F460="","",MAX(0,MIN(1,(1-(CODE(UPPER(D460))-65)/5)*0.5+(1-(E460-1)/5)*0.3+MIN(N(H460),3)/3*0.2)))</f>
        <v/>
      </c>
      <c r="K460" s="7">
        <f>IF(F460="","",IF(LOWER(I460)&lt;&gt;"y","DISCARD (not lawful/ethical to use)",IF(J460&gt;=0.7,"record as context correction (W08) + intake evidence",IF(J460&gt;=0.4,"watch - seek corroboration","note only"))))</f>
        <v/>
      </c>
    </row>
    <row r="461">
      <c r="A461" s="8" t="n"/>
      <c r="B461" s="9" t="n"/>
      <c r="C461" s="9" t="n"/>
      <c r="D461" s="9" t="n"/>
      <c r="E461" s="10" t="n"/>
      <c r="F461" s="9" t="n"/>
      <c r="G461" s="9" t="n"/>
      <c r="H461" s="10" t="n"/>
      <c r="I461" s="9" t="n"/>
      <c r="J461" s="11">
        <f>IF(F461="","",MAX(0,MIN(1,(1-(CODE(UPPER(D461))-65)/5)*0.5+(1-(E461-1)/5)*0.3+MIN(N(H461),3)/3*0.2)))</f>
        <v/>
      </c>
      <c r="K461" s="7">
        <f>IF(F461="","",IF(LOWER(I461)&lt;&gt;"y","DISCARD (not lawful/ethical to use)",IF(J461&gt;=0.7,"record as context correction (W08) + intake evidence",IF(J461&gt;=0.4,"watch - seek corroboration","note only"))))</f>
        <v/>
      </c>
    </row>
    <row r="462">
      <c r="A462" s="8" t="n"/>
      <c r="B462" s="9" t="n"/>
      <c r="C462" s="9" t="n"/>
      <c r="D462" s="9" t="n"/>
      <c r="E462" s="10" t="n"/>
      <c r="F462" s="9" t="n"/>
      <c r="G462" s="9" t="n"/>
      <c r="H462" s="10" t="n"/>
      <c r="I462" s="9" t="n"/>
      <c r="J462" s="11">
        <f>IF(F462="","",MAX(0,MIN(1,(1-(CODE(UPPER(D462))-65)/5)*0.5+(1-(E462-1)/5)*0.3+MIN(N(H462),3)/3*0.2)))</f>
        <v/>
      </c>
      <c r="K462" s="7">
        <f>IF(F462="","",IF(LOWER(I462)&lt;&gt;"y","DISCARD (not lawful/ethical to use)",IF(J462&gt;=0.7,"record as context correction (W08) + intake evidence",IF(J462&gt;=0.4,"watch - seek corroboration","note only"))))</f>
        <v/>
      </c>
    </row>
    <row r="463">
      <c r="A463" s="8" t="n"/>
      <c r="B463" s="9" t="n"/>
      <c r="C463" s="9" t="n"/>
      <c r="D463" s="9" t="n"/>
      <c r="E463" s="10" t="n"/>
      <c r="F463" s="9" t="n"/>
      <c r="G463" s="9" t="n"/>
      <c r="H463" s="10" t="n"/>
      <c r="I463" s="9" t="n"/>
      <c r="J463" s="11">
        <f>IF(F463="","",MAX(0,MIN(1,(1-(CODE(UPPER(D463))-65)/5)*0.5+(1-(E463-1)/5)*0.3+MIN(N(H463),3)/3*0.2)))</f>
        <v/>
      </c>
      <c r="K463" s="7">
        <f>IF(F463="","",IF(LOWER(I463)&lt;&gt;"y","DISCARD (not lawful/ethical to use)",IF(J463&gt;=0.7,"record as context correction (W08) + intake evidence",IF(J463&gt;=0.4,"watch - seek corroboration","note only"))))</f>
        <v/>
      </c>
    </row>
    <row r="464">
      <c r="A464" s="8" t="n"/>
      <c r="B464" s="9" t="n"/>
      <c r="C464" s="9" t="n"/>
      <c r="D464" s="9" t="n"/>
      <c r="E464" s="10" t="n"/>
      <c r="F464" s="9" t="n"/>
      <c r="G464" s="9" t="n"/>
      <c r="H464" s="10" t="n"/>
      <c r="I464" s="9" t="n"/>
      <c r="J464" s="11">
        <f>IF(F464="","",MAX(0,MIN(1,(1-(CODE(UPPER(D464))-65)/5)*0.5+(1-(E464-1)/5)*0.3+MIN(N(H464),3)/3*0.2)))</f>
        <v/>
      </c>
      <c r="K464" s="7">
        <f>IF(F464="","",IF(LOWER(I464)&lt;&gt;"y","DISCARD (not lawful/ethical to use)",IF(J464&gt;=0.7,"record as context correction (W08) + intake evidence",IF(J464&gt;=0.4,"watch - seek corroboration","note only"))))</f>
        <v/>
      </c>
    </row>
    <row r="465">
      <c r="A465" s="8" t="n"/>
      <c r="B465" s="9" t="n"/>
      <c r="C465" s="9" t="n"/>
      <c r="D465" s="9" t="n"/>
      <c r="E465" s="10" t="n"/>
      <c r="F465" s="9" t="n"/>
      <c r="G465" s="9" t="n"/>
      <c r="H465" s="10" t="n"/>
      <c r="I465" s="9" t="n"/>
      <c r="J465" s="11">
        <f>IF(F465="","",MAX(0,MIN(1,(1-(CODE(UPPER(D465))-65)/5)*0.5+(1-(E465-1)/5)*0.3+MIN(N(H465),3)/3*0.2)))</f>
        <v/>
      </c>
      <c r="K465" s="7">
        <f>IF(F465="","",IF(LOWER(I465)&lt;&gt;"y","DISCARD (not lawful/ethical to use)",IF(J465&gt;=0.7,"record as context correction (W08) + intake evidence",IF(J465&gt;=0.4,"watch - seek corroboration","note only"))))</f>
        <v/>
      </c>
    </row>
    <row r="466">
      <c r="A466" s="8" t="n"/>
      <c r="B466" s="9" t="n"/>
      <c r="C466" s="9" t="n"/>
      <c r="D466" s="9" t="n"/>
      <c r="E466" s="10" t="n"/>
      <c r="F466" s="9" t="n"/>
      <c r="G466" s="9" t="n"/>
      <c r="H466" s="10" t="n"/>
      <c r="I466" s="9" t="n"/>
      <c r="J466" s="11">
        <f>IF(F466="","",MAX(0,MIN(1,(1-(CODE(UPPER(D466))-65)/5)*0.5+(1-(E466-1)/5)*0.3+MIN(N(H466),3)/3*0.2)))</f>
        <v/>
      </c>
      <c r="K466" s="7">
        <f>IF(F466="","",IF(LOWER(I466)&lt;&gt;"y","DISCARD (not lawful/ethical to use)",IF(J466&gt;=0.7,"record as context correction (W08) + intake evidence",IF(J466&gt;=0.4,"watch - seek corroboration","note only"))))</f>
        <v/>
      </c>
    </row>
    <row r="467">
      <c r="A467" s="8" t="n"/>
      <c r="B467" s="9" t="n"/>
      <c r="C467" s="9" t="n"/>
      <c r="D467" s="9" t="n"/>
      <c r="E467" s="10" t="n"/>
      <c r="F467" s="9" t="n"/>
      <c r="G467" s="9" t="n"/>
      <c r="H467" s="10" t="n"/>
      <c r="I467" s="9" t="n"/>
      <c r="J467" s="11">
        <f>IF(F467="","",MAX(0,MIN(1,(1-(CODE(UPPER(D467))-65)/5)*0.5+(1-(E467-1)/5)*0.3+MIN(N(H467),3)/3*0.2)))</f>
        <v/>
      </c>
      <c r="K467" s="7">
        <f>IF(F467="","",IF(LOWER(I467)&lt;&gt;"y","DISCARD (not lawful/ethical to use)",IF(J467&gt;=0.7,"record as context correction (W08) + intake evidence",IF(J467&gt;=0.4,"watch - seek corroboration","note only"))))</f>
        <v/>
      </c>
    </row>
    <row r="468">
      <c r="A468" s="8" t="n"/>
      <c r="B468" s="9" t="n"/>
      <c r="C468" s="9" t="n"/>
      <c r="D468" s="9" t="n"/>
      <c r="E468" s="10" t="n"/>
      <c r="F468" s="9" t="n"/>
      <c r="G468" s="9" t="n"/>
      <c r="H468" s="10" t="n"/>
      <c r="I468" s="9" t="n"/>
      <c r="J468" s="11">
        <f>IF(F468="","",MAX(0,MIN(1,(1-(CODE(UPPER(D468))-65)/5)*0.5+(1-(E468-1)/5)*0.3+MIN(N(H468),3)/3*0.2)))</f>
        <v/>
      </c>
      <c r="K468" s="7">
        <f>IF(F468="","",IF(LOWER(I468)&lt;&gt;"y","DISCARD (not lawful/ethical to use)",IF(J468&gt;=0.7,"record as context correction (W08) + intake evidence",IF(J468&gt;=0.4,"watch - seek corroboration","note only"))))</f>
        <v/>
      </c>
    </row>
    <row r="469">
      <c r="A469" s="8" t="n"/>
      <c r="B469" s="9" t="n"/>
      <c r="C469" s="9" t="n"/>
      <c r="D469" s="9" t="n"/>
      <c r="E469" s="10" t="n"/>
      <c r="F469" s="9" t="n"/>
      <c r="G469" s="9" t="n"/>
      <c r="H469" s="10" t="n"/>
      <c r="I469" s="9" t="n"/>
      <c r="J469" s="11">
        <f>IF(F469="","",MAX(0,MIN(1,(1-(CODE(UPPER(D469))-65)/5)*0.5+(1-(E469-1)/5)*0.3+MIN(N(H469),3)/3*0.2)))</f>
        <v/>
      </c>
      <c r="K469" s="7">
        <f>IF(F469="","",IF(LOWER(I469)&lt;&gt;"y","DISCARD (not lawful/ethical to use)",IF(J469&gt;=0.7,"record as context correction (W08) + intake evidence",IF(J469&gt;=0.4,"watch - seek corroboration","note only"))))</f>
        <v/>
      </c>
    </row>
    <row r="470">
      <c r="A470" s="8" t="n"/>
      <c r="B470" s="9" t="n"/>
      <c r="C470" s="9" t="n"/>
      <c r="D470" s="9" t="n"/>
      <c r="E470" s="10" t="n"/>
      <c r="F470" s="9" t="n"/>
      <c r="G470" s="9" t="n"/>
      <c r="H470" s="10" t="n"/>
      <c r="I470" s="9" t="n"/>
      <c r="J470" s="11">
        <f>IF(F470="","",MAX(0,MIN(1,(1-(CODE(UPPER(D470))-65)/5)*0.5+(1-(E470-1)/5)*0.3+MIN(N(H470),3)/3*0.2)))</f>
        <v/>
      </c>
      <c r="K470" s="7">
        <f>IF(F470="","",IF(LOWER(I470)&lt;&gt;"y","DISCARD (not lawful/ethical to use)",IF(J470&gt;=0.7,"record as context correction (W08) + intake evidence",IF(J470&gt;=0.4,"watch - seek corroboration","note only"))))</f>
        <v/>
      </c>
    </row>
    <row r="471">
      <c r="A471" s="8" t="n"/>
      <c r="B471" s="9" t="n"/>
      <c r="C471" s="9" t="n"/>
      <c r="D471" s="9" t="n"/>
      <c r="E471" s="10" t="n"/>
      <c r="F471" s="9" t="n"/>
      <c r="G471" s="9" t="n"/>
      <c r="H471" s="10" t="n"/>
      <c r="I471" s="9" t="n"/>
      <c r="J471" s="11">
        <f>IF(F471="","",MAX(0,MIN(1,(1-(CODE(UPPER(D471))-65)/5)*0.5+(1-(E471-1)/5)*0.3+MIN(N(H471),3)/3*0.2)))</f>
        <v/>
      </c>
      <c r="K471" s="7">
        <f>IF(F471="","",IF(LOWER(I471)&lt;&gt;"y","DISCARD (not lawful/ethical to use)",IF(J471&gt;=0.7,"record as context correction (W08) + intake evidence",IF(J471&gt;=0.4,"watch - seek corroboration","note only"))))</f>
        <v/>
      </c>
    </row>
    <row r="472">
      <c r="A472" s="8" t="n"/>
      <c r="B472" s="9" t="n"/>
      <c r="C472" s="9" t="n"/>
      <c r="D472" s="9" t="n"/>
      <c r="E472" s="10" t="n"/>
      <c r="F472" s="9" t="n"/>
      <c r="G472" s="9" t="n"/>
      <c r="H472" s="10" t="n"/>
      <c r="I472" s="9" t="n"/>
      <c r="J472" s="11">
        <f>IF(F472="","",MAX(0,MIN(1,(1-(CODE(UPPER(D472))-65)/5)*0.5+(1-(E472-1)/5)*0.3+MIN(N(H472),3)/3*0.2)))</f>
        <v/>
      </c>
      <c r="K472" s="7">
        <f>IF(F472="","",IF(LOWER(I472)&lt;&gt;"y","DISCARD (not lawful/ethical to use)",IF(J472&gt;=0.7,"record as context correction (W08) + intake evidence",IF(J472&gt;=0.4,"watch - seek corroboration","note only"))))</f>
        <v/>
      </c>
    </row>
    <row r="473">
      <c r="A473" s="8" t="n"/>
      <c r="B473" s="9" t="n"/>
      <c r="C473" s="9" t="n"/>
      <c r="D473" s="9" t="n"/>
      <c r="E473" s="10" t="n"/>
      <c r="F473" s="9" t="n"/>
      <c r="G473" s="9" t="n"/>
      <c r="H473" s="10" t="n"/>
      <c r="I473" s="9" t="n"/>
      <c r="J473" s="11">
        <f>IF(F473="","",MAX(0,MIN(1,(1-(CODE(UPPER(D473))-65)/5)*0.5+(1-(E473-1)/5)*0.3+MIN(N(H473),3)/3*0.2)))</f>
        <v/>
      </c>
      <c r="K473" s="7">
        <f>IF(F473="","",IF(LOWER(I473)&lt;&gt;"y","DISCARD (not lawful/ethical to use)",IF(J473&gt;=0.7,"record as context correction (W08) + intake evidence",IF(J473&gt;=0.4,"watch - seek corroboration","note only"))))</f>
        <v/>
      </c>
    </row>
    <row r="474">
      <c r="A474" s="8" t="n"/>
      <c r="B474" s="9" t="n"/>
      <c r="C474" s="9" t="n"/>
      <c r="D474" s="9" t="n"/>
      <c r="E474" s="10" t="n"/>
      <c r="F474" s="9" t="n"/>
      <c r="G474" s="9" t="n"/>
      <c r="H474" s="10" t="n"/>
      <c r="I474" s="9" t="n"/>
      <c r="J474" s="11">
        <f>IF(F474="","",MAX(0,MIN(1,(1-(CODE(UPPER(D474))-65)/5)*0.5+(1-(E474-1)/5)*0.3+MIN(N(H474),3)/3*0.2)))</f>
        <v/>
      </c>
      <c r="K474" s="7">
        <f>IF(F474="","",IF(LOWER(I474)&lt;&gt;"y","DISCARD (not lawful/ethical to use)",IF(J474&gt;=0.7,"record as context correction (W08) + intake evidence",IF(J474&gt;=0.4,"watch - seek corroboration","note only"))))</f>
        <v/>
      </c>
    </row>
    <row r="475">
      <c r="A475" s="8" t="n"/>
      <c r="B475" s="9" t="n"/>
      <c r="C475" s="9" t="n"/>
      <c r="D475" s="9" t="n"/>
      <c r="E475" s="10" t="n"/>
      <c r="F475" s="9" t="n"/>
      <c r="G475" s="9" t="n"/>
      <c r="H475" s="10" t="n"/>
      <c r="I475" s="9" t="n"/>
      <c r="J475" s="11">
        <f>IF(F475="","",MAX(0,MIN(1,(1-(CODE(UPPER(D475))-65)/5)*0.5+(1-(E475-1)/5)*0.3+MIN(N(H475),3)/3*0.2)))</f>
        <v/>
      </c>
      <c r="K475" s="7">
        <f>IF(F475="","",IF(LOWER(I475)&lt;&gt;"y","DISCARD (not lawful/ethical to use)",IF(J475&gt;=0.7,"record as context correction (W08) + intake evidence",IF(J475&gt;=0.4,"watch - seek corroboration","note only"))))</f>
        <v/>
      </c>
    </row>
    <row r="476">
      <c r="A476" s="8" t="n"/>
      <c r="B476" s="9" t="n"/>
      <c r="C476" s="9" t="n"/>
      <c r="D476" s="9" t="n"/>
      <c r="E476" s="10" t="n"/>
      <c r="F476" s="9" t="n"/>
      <c r="G476" s="9" t="n"/>
      <c r="H476" s="10" t="n"/>
      <c r="I476" s="9" t="n"/>
      <c r="J476" s="11">
        <f>IF(F476="","",MAX(0,MIN(1,(1-(CODE(UPPER(D476))-65)/5)*0.5+(1-(E476-1)/5)*0.3+MIN(N(H476),3)/3*0.2)))</f>
        <v/>
      </c>
      <c r="K476" s="7">
        <f>IF(F476="","",IF(LOWER(I476)&lt;&gt;"y","DISCARD (not lawful/ethical to use)",IF(J476&gt;=0.7,"record as context correction (W08) + intake evidence",IF(J476&gt;=0.4,"watch - seek corroboration","note only"))))</f>
        <v/>
      </c>
    </row>
    <row r="477">
      <c r="A477" s="8" t="n"/>
      <c r="B477" s="9" t="n"/>
      <c r="C477" s="9" t="n"/>
      <c r="D477" s="9" t="n"/>
      <c r="E477" s="10" t="n"/>
      <c r="F477" s="9" t="n"/>
      <c r="G477" s="9" t="n"/>
      <c r="H477" s="10" t="n"/>
      <c r="I477" s="9" t="n"/>
      <c r="J477" s="11">
        <f>IF(F477="","",MAX(0,MIN(1,(1-(CODE(UPPER(D477))-65)/5)*0.5+(1-(E477-1)/5)*0.3+MIN(N(H477),3)/3*0.2)))</f>
        <v/>
      </c>
      <c r="K477" s="7">
        <f>IF(F477="","",IF(LOWER(I477)&lt;&gt;"y","DISCARD (not lawful/ethical to use)",IF(J477&gt;=0.7,"record as context correction (W08) + intake evidence",IF(J477&gt;=0.4,"watch - seek corroboration","note only"))))</f>
        <v/>
      </c>
    </row>
    <row r="478">
      <c r="A478" s="8" t="n"/>
      <c r="B478" s="9" t="n"/>
      <c r="C478" s="9" t="n"/>
      <c r="D478" s="9" t="n"/>
      <c r="E478" s="10" t="n"/>
      <c r="F478" s="9" t="n"/>
      <c r="G478" s="9" t="n"/>
      <c r="H478" s="10" t="n"/>
      <c r="I478" s="9" t="n"/>
      <c r="J478" s="11">
        <f>IF(F478="","",MAX(0,MIN(1,(1-(CODE(UPPER(D478))-65)/5)*0.5+(1-(E478-1)/5)*0.3+MIN(N(H478),3)/3*0.2)))</f>
        <v/>
      </c>
      <c r="K478" s="7">
        <f>IF(F478="","",IF(LOWER(I478)&lt;&gt;"y","DISCARD (not lawful/ethical to use)",IF(J478&gt;=0.7,"record as context correction (W08) + intake evidence",IF(J478&gt;=0.4,"watch - seek corroboration","note only"))))</f>
        <v/>
      </c>
    </row>
    <row r="479">
      <c r="A479" s="8" t="n"/>
      <c r="B479" s="9" t="n"/>
      <c r="C479" s="9" t="n"/>
      <c r="D479" s="9" t="n"/>
      <c r="E479" s="10" t="n"/>
      <c r="F479" s="9" t="n"/>
      <c r="G479" s="9" t="n"/>
      <c r="H479" s="10" t="n"/>
      <c r="I479" s="9" t="n"/>
      <c r="J479" s="11">
        <f>IF(F479="","",MAX(0,MIN(1,(1-(CODE(UPPER(D479))-65)/5)*0.5+(1-(E479-1)/5)*0.3+MIN(N(H479),3)/3*0.2)))</f>
        <v/>
      </c>
      <c r="K479" s="7">
        <f>IF(F479="","",IF(LOWER(I479)&lt;&gt;"y","DISCARD (not lawful/ethical to use)",IF(J479&gt;=0.7,"record as context correction (W08) + intake evidence",IF(J479&gt;=0.4,"watch - seek corroboration","note only"))))</f>
        <v/>
      </c>
    </row>
    <row r="480">
      <c r="A480" s="8" t="n"/>
      <c r="B480" s="9" t="n"/>
      <c r="C480" s="9" t="n"/>
      <c r="D480" s="9" t="n"/>
      <c r="E480" s="10" t="n"/>
      <c r="F480" s="9" t="n"/>
      <c r="G480" s="9" t="n"/>
      <c r="H480" s="10" t="n"/>
      <c r="I480" s="9" t="n"/>
      <c r="J480" s="11">
        <f>IF(F480="","",MAX(0,MIN(1,(1-(CODE(UPPER(D480))-65)/5)*0.5+(1-(E480-1)/5)*0.3+MIN(N(H480),3)/3*0.2)))</f>
        <v/>
      </c>
      <c r="K480" s="7">
        <f>IF(F480="","",IF(LOWER(I480)&lt;&gt;"y","DISCARD (not lawful/ethical to use)",IF(J480&gt;=0.7,"record as context correction (W08) + intake evidence",IF(J480&gt;=0.4,"watch - seek corroboration","note only"))))</f>
        <v/>
      </c>
    </row>
    <row r="481">
      <c r="A481" s="8" t="n"/>
      <c r="B481" s="9" t="n"/>
      <c r="C481" s="9" t="n"/>
      <c r="D481" s="9" t="n"/>
      <c r="E481" s="10" t="n"/>
      <c r="F481" s="9" t="n"/>
      <c r="G481" s="9" t="n"/>
      <c r="H481" s="10" t="n"/>
      <c r="I481" s="9" t="n"/>
      <c r="J481" s="11">
        <f>IF(F481="","",MAX(0,MIN(1,(1-(CODE(UPPER(D481))-65)/5)*0.5+(1-(E481-1)/5)*0.3+MIN(N(H481),3)/3*0.2)))</f>
        <v/>
      </c>
      <c r="K481" s="7">
        <f>IF(F481="","",IF(LOWER(I481)&lt;&gt;"y","DISCARD (not lawful/ethical to use)",IF(J481&gt;=0.7,"record as context correction (W08) + intake evidence",IF(J481&gt;=0.4,"watch - seek corroboration","note only"))))</f>
        <v/>
      </c>
    </row>
    <row r="482">
      <c r="A482" s="8" t="n"/>
      <c r="B482" s="9" t="n"/>
      <c r="C482" s="9" t="n"/>
      <c r="D482" s="9" t="n"/>
      <c r="E482" s="10" t="n"/>
      <c r="F482" s="9" t="n"/>
      <c r="G482" s="9" t="n"/>
      <c r="H482" s="10" t="n"/>
      <c r="I482" s="9" t="n"/>
      <c r="J482" s="11">
        <f>IF(F482="","",MAX(0,MIN(1,(1-(CODE(UPPER(D482))-65)/5)*0.5+(1-(E482-1)/5)*0.3+MIN(N(H482),3)/3*0.2)))</f>
        <v/>
      </c>
      <c r="K482" s="7">
        <f>IF(F482="","",IF(LOWER(I482)&lt;&gt;"y","DISCARD (not lawful/ethical to use)",IF(J482&gt;=0.7,"record as context correction (W08) + intake evidence",IF(J482&gt;=0.4,"watch - seek corroboration","note only"))))</f>
        <v/>
      </c>
    </row>
    <row r="483">
      <c r="A483" s="8" t="n"/>
      <c r="B483" s="9" t="n"/>
      <c r="C483" s="9" t="n"/>
      <c r="D483" s="9" t="n"/>
      <c r="E483" s="10" t="n"/>
      <c r="F483" s="9" t="n"/>
      <c r="G483" s="9" t="n"/>
      <c r="H483" s="10" t="n"/>
      <c r="I483" s="9" t="n"/>
      <c r="J483" s="11">
        <f>IF(F483="","",MAX(0,MIN(1,(1-(CODE(UPPER(D483))-65)/5)*0.5+(1-(E483-1)/5)*0.3+MIN(N(H483),3)/3*0.2)))</f>
        <v/>
      </c>
      <c r="K483" s="7">
        <f>IF(F483="","",IF(LOWER(I483)&lt;&gt;"y","DISCARD (not lawful/ethical to use)",IF(J483&gt;=0.7,"record as context correction (W08) + intake evidence",IF(J483&gt;=0.4,"watch - seek corroboration","note only"))))</f>
        <v/>
      </c>
    </row>
    <row r="484">
      <c r="A484" s="8" t="n"/>
      <c r="B484" s="9" t="n"/>
      <c r="C484" s="9" t="n"/>
      <c r="D484" s="9" t="n"/>
      <c r="E484" s="10" t="n"/>
      <c r="F484" s="9" t="n"/>
      <c r="G484" s="9" t="n"/>
      <c r="H484" s="10" t="n"/>
      <c r="I484" s="9" t="n"/>
      <c r="J484" s="11">
        <f>IF(F484="","",MAX(0,MIN(1,(1-(CODE(UPPER(D484))-65)/5)*0.5+(1-(E484-1)/5)*0.3+MIN(N(H484),3)/3*0.2)))</f>
        <v/>
      </c>
      <c r="K484" s="7">
        <f>IF(F484="","",IF(LOWER(I484)&lt;&gt;"y","DISCARD (not lawful/ethical to use)",IF(J484&gt;=0.7,"record as context correction (W08) + intake evidence",IF(J484&gt;=0.4,"watch - seek corroboration","note only"))))</f>
        <v/>
      </c>
    </row>
    <row r="485">
      <c r="A485" s="8" t="n"/>
      <c r="B485" s="9" t="n"/>
      <c r="C485" s="9" t="n"/>
      <c r="D485" s="9" t="n"/>
      <c r="E485" s="10" t="n"/>
      <c r="F485" s="9" t="n"/>
      <c r="G485" s="9" t="n"/>
      <c r="H485" s="10" t="n"/>
      <c r="I485" s="9" t="n"/>
      <c r="J485" s="11">
        <f>IF(F485="","",MAX(0,MIN(1,(1-(CODE(UPPER(D485))-65)/5)*0.5+(1-(E485-1)/5)*0.3+MIN(N(H485),3)/3*0.2)))</f>
        <v/>
      </c>
      <c r="K485" s="7">
        <f>IF(F485="","",IF(LOWER(I485)&lt;&gt;"y","DISCARD (not lawful/ethical to use)",IF(J485&gt;=0.7,"record as context correction (W08) + intake evidence",IF(J485&gt;=0.4,"watch - seek corroboration","note only"))))</f>
        <v/>
      </c>
    </row>
    <row r="486">
      <c r="A486" s="8" t="n"/>
      <c r="B486" s="9" t="n"/>
      <c r="C486" s="9" t="n"/>
      <c r="D486" s="9" t="n"/>
      <c r="E486" s="10" t="n"/>
      <c r="F486" s="9" t="n"/>
      <c r="G486" s="9" t="n"/>
      <c r="H486" s="10" t="n"/>
      <c r="I486" s="9" t="n"/>
      <c r="J486" s="11">
        <f>IF(F486="","",MAX(0,MIN(1,(1-(CODE(UPPER(D486))-65)/5)*0.5+(1-(E486-1)/5)*0.3+MIN(N(H486),3)/3*0.2)))</f>
        <v/>
      </c>
      <c r="K486" s="7">
        <f>IF(F486="","",IF(LOWER(I486)&lt;&gt;"y","DISCARD (not lawful/ethical to use)",IF(J486&gt;=0.7,"record as context correction (W08) + intake evidence",IF(J486&gt;=0.4,"watch - seek corroboration","note only"))))</f>
        <v/>
      </c>
    </row>
    <row r="487">
      <c r="A487" s="8" t="n"/>
      <c r="B487" s="9" t="n"/>
      <c r="C487" s="9" t="n"/>
      <c r="D487" s="9" t="n"/>
      <c r="E487" s="10" t="n"/>
      <c r="F487" s="9" t="n"/>
      <c r="G487" s="9" t="n"/>
      <c r="H487" s="10" t="n"/>
      <c r="I487" s="9" t="n"/>
      <c r="J487" s="11">
        <f>IF(F487="","",MAX(0,MIN(1,(1-(CODE(UPPER(D487))-65)/5)*0.5+(1-(E487-1)/5)*0.3+MIN(N(H487),3)/3*0.2)))</f>
        <v/>
      </c>
      <c r="K487" s="7">
        <f>IF(F487="","",IF(LOWER(I487)&lt;&gt;"y","DISCARD (not lawful/ethical to use)",IF(J487&gt;=0.7,"record as context correction (W08) + intake evidence",IF(J487&gt;=0.4,"watch - seek corroboration","note only"))))</f>
        <v/>
      </c>
    </row>
    <row r="488">
      <c r="A488" s="8" t="n"/>
      <c r="B488" s="9" t="n"/>
      <c r="C488" s="9" t="n"/>
      <c r="D488" s="9" t="n"/>
      <c r="E488" s="10" t="n"/>
      <c r="F488" s="9" t="n"/>
      <c r="G488" s="9" t="n"/>
      <c r="H488" s="10" t="n"/>
      <c r="I488" s="9" t="n"/>
      <c r="J488" s="11">
        <f>IF(F488="","",MAX(0,MIN(1,(1-(CODE(UPPER(D488))-65)/5)*0.5+(1-(E488-1)/5)*0.3+MIN(N(H488),3)/3*0.2)))</f>
        <v/>
      </c>
      <c r="K488" s="7">
        <f>IF(F488="","",IF(LOWER(I488)&lt;&gt;"y","DISCARD (not lawful/ethical to use)",IF(J488&gt;=0.7,"record as context correction (W08) + intake evidence",IF(J488&gt;=0.4,"watch - seek corroboration","note only"))))</f>
        <v/>
      </c>
    </row>
    <row r="489">
      <c r="A489" s="8" t="n"/>
      <c r="B489" s="9" t="n"/>
      <c r="C489" s="9" t="n"/>
      <c r="D489" s="9" t="n"/>
      <c r="E489" s="10" t="n"/>
      <c r="F489" s="9" t="n"/>
      <c r="G489" s="9" t="n"/>
      <c r="H489" s="10" t="n"/>
      <c r="I489" s="9" t="n"/>
      <c r="J489" s="11">
        <f>IF(F489="","",MAX(0,MIN(1,(1-(CODE(UPPER(D489))-65)/5)*0.5+(1-(E489-1)/5)*0.3+MIN(N(H489),3)/3*0.2)))</f>
        <v/>
      </c>
      <c r="K489" s="7">
        <f>IF(F489="","",IF(LOWER(I489)&lt;&gt;"y","DISCARD (not lawful/ethical to use)",IF(J489&gt;=0.7,"record as context correction (W08) + intake evidence",IF(J489&gt;=0.4,"watch - seek corroboration","note only"))))</f>
        <v/>
      </c>
    </row>
    <row r="490">
      <c r="A490" s="8" t="n"/>
      <c r="B490" s="9" t="n"/>
      <c r="C490" s="9" t="n"/>
      <c r="D490" s="9" t="n"/>
      <c r="E490" s="10" t="n"/>
      <c r="F490" s="9" t="n"/>
      <c r="G490" s="9" t="n"/>
      <c r="H490" s="10" t="n"/>
      <c r="I490" s="9" t="n"/>
      <c r="J490" s="11">
        <f>IF(F490="","",MAX(0,MIN(1,(1-(CODE(UPPER(D490))-65)/5)*0.5+(1-(E490-1)/5)*0.3+MIN(N(H490),3)/3*0.2)))</f>
        <v/>
      </c>
      <c r="K490" s="7">
        <f>IF(F490="","",IF(LOWER(I490)&lt;&gt;"y","DISCARD (not lawful/ethical to use)",IF(J490&gt;=0.7,"record as context correction (W08) + intake evidence",IF(J490&gt;=0.4,"watch - seek corroboration","note only"))))</f>
        <v/>
      </c>
    </row>
    <row r="491">
      <c r="A491" s="8" t="n"/>
      <c r="B491" s="9" t="n"/>
      <c r="C491" s="9" t="n"/>
      <c r="D491" s="9" t="n"/>
      <c r="E491" s="10" t="n"/>
      <c r="F491" s="9" t="n"/>
      <c r="G491" s="9" t="n"/>
      <c r="H491" s="10" t="n"/>
      <c r="I491" s="9" t="n"/>
      <c r="J491" s="11">
        <f>IF(F491="","",MAX(0,MIN(1,(1-(CODE(UPPER(D491))-65)/5)*0.5+(1-(E491-1)/5)*0.3+MIN(N(H491),3)/3*0.2)))</f>
        <v/>
      </c>
      <c r="K491" s="7">
        <f>IF(F491="","",IF(LOWER(I491)&lt;&gt;"y","DISCARD (not lawful/ethical to use)",IF(J491&gt;=0.7,"record as context correction (W08) + intake evidence",IF(J491&gt;=0.4,"watch - seek corroboration","note only"))))</f>
        <v/>
      </c>
    </row>
    <row r="492">
      <c r="A492" s="8" t="n"/>
      <c r="B492" s="9" t="n"/>
      <c r="C492" s="9" t="n"/>
      <c r="D492" s="9" t="n"/>
      <c r="E492" s="10" t="n"/>
      <c r="F492" s="9" t="n"/>
      <c r="G492" s="9" t="n"/>
      <c r="H492" s="10" t="n"/>
      <c r="I492" s="9" t="n"/>
      <c r="J492" s="11">
        <f>IF(F492="","",MAX(0,MIN(1,(1-(CODE(UPPER(D492))-65)/5)*0.5+(1-(E492-1)/5)*0.3+MIN(N(H492),3)/3*0.2)))</f>
        <v/>
      </c>
      <c r="K492" s="7">
        <f>IF(F492="","",IF(LOWER(I492)&lt;&gt;"y","DISCARD (not lawful/ethical to use)",IF(J492&gt;=0.7,"record as context correction (W08) + intake evidence",IF(J492&gt;=0.4,"watch - seek corroboration","note only"))))</f>
        <v/>
      </c>
    </row>
    <row r="493">
      <c r="A493" s="8" t="n"/>
      <c r="B493" s="9" t="n"/>
      <c r="C493" s="9" t="n"/>
      <c r="D493" s="9" t="n"/>
      <c r="E493" s="10" t="n"/>
      <c r="F493" s="9" t="n"/>
      <c r="G493" s="9" t="n"/>
      <c r="H493" s="10" t="n"/>
      <c r="I493" s="9" t="n"/>
      <c r="J493" s="11">
        <f>IF(F493="","",MAX(0,MIN(1,(1-(CODE(UPPER(D493))-65)/5)*0.5+(1-(E493-1)/5)*0.3+MIN(N(H493),3)/3*0.2)))</f>
        <v/>
      </c>
      <c r="K493" s="7">
        <f>IF(F493="","",IF(LOWER(I493)&lt;&gt;"y","DISCARD (not lawful/ethical to use)",IF(J493&gt;=0.7,"record as context correction (W08) + intake evidence",IF(J493&gt;=0.4,"watch - seek corroboration","note only"))))</f>
        <v/>
      </c>
    </row>
    <row r="494">
      <c r="A494" s="8" t="n"/>
      <c r="B494" s="9" t="n"/>
      <c r="C494" s="9" t="n"/>
      <c r="D494" s="9" t="n"/>
      <c r="E494" s="10" t="n"/>
      <c r="F494" s="9" t="n"/>
      <c r="G494" s="9" t="n"/>
      <c r="H494" s="10" t="n"/>
      <c r="I494" s="9" t="n"/>
      <c r="J494" s="11">
        <f>IF(F494="","",MAX(0,MIN(1,(1-(CODE(UPPER(D494))-65)/5)*0.5+(1-(E494-1)/5)*0.3+MIN(N(H494),3)/3*0.2)))</f>
        <v/>
      </c>
      <c r="K494" s="7">
        <f>IF(F494="","",IF(LOWER(I494)&lt;&gt;"y","DISCARD (not lawful/ethical to use)",IF(J494&gt;=0.7,"record as context correction (W08) + intake evidence",IF(J494&gt;=0.4,"watch - seek corroboration","note only"))))</f>
        <v/>
      </c>
    </row>
    <row r="495">
      <c r="A495" s="8" t="n"/>
      <c r="B495" s="9" t="n"/>
      <c r="C495" s="9" t="n"/>
      <c r="D495" s="9" t="n"/>
      <c r="E495" s="10" t="n"/>
      <c r="F495" s="9" t="n"/>
      <c r="G495" s="9" t="n"/>
      <c r="H495" s="10" t="n"/>
      <c r="I495" s="9" t="n"/>
      <c r="J495" s="11">
        <f>IF(F495="","",MAX(0,MIN(1,(1-(CODE(UPPER(D495))-65)/5)*0.5+(1-(E495-1)/5)*0.3+MIN(N(H495),3)/3*0.2)))</f>
        <v/>
      </c>
      <c r="K495" s="7">
        <f>IF(F495="","",IF(LOWER(I495)&lt;&gt;"y","DISCARD (not lawful/ethical to use)",IF(J495&gt;=0.7,"record as context correction (W08) + intake evidence",IF(J495&gt;=0.4,"watch - seek corroboration","note only"))))</f>
        <v/>
      </c>
    </row>
    <row r="496">
      <c r="A496" s="8" t="n"/>
      <c r="B496" s="9" t="n"/>
      <c r="C496" s="9" t="n"/>
      <c r="D496" s="9" t="n"/>
      <c r="E496" s="10" t="n"/>
      <c r="F496" s="9" t="n"/>
      <c r="G496" s="9" t="n"/>
      <c r="H496" s="10" t="n"/>
      <c r="I496" s="9" t="n"/>
      <c r="J496" s="11">
        <f>IF(F496="","",MAX(0,MIN(1,(1-(CODE(UPPER(D496))-65)/5)*0.5+(1-(E496-1)/5)*0.3+MIN(N(H496),3)/3*0.2)))</f>
        <v/>
      </c>
      <c r="K496" s="7">
        <f>IF(F496="","",IF(LOWER(I496)&lt;&gt;"y","DISCARD (not lawful/ethical to use)",IF(J496&gt;=0.7,"record as context correction (W08) + intake evidence",IF(J496&gt;=0.4,"watch - seek corroboration","note only"))))</f>
        <v/>
      </c>
    </row>
    <row r="497">
      <c r="A497" s="8" t="n"/>
      <c r="B497" s="9" t="n"/>
      <c r="C497" s="9" t="n"/>
      <c r="D497" s="9" t="n"/>
      <c r="E497" s="10" t="n"/>
      <c r="F497" s="9" t="n"/>
      <c r="G497" s="9" t="n"/>
      <c r="H497" s="10" t="n"/>
      <c r="I497" s="9" t="n"/>
      <c r="J497" s="11">
        <f>IF(F497="","",MAX(0,MIN(1,(1-(CODE(UPPER(D497))-65)/5)*0.5+(1-(E497-1)/5)*0.3+MIN(N(H497),3)/3*0.2)))</f>
        <v/>
      </c>
      <c r="K497" s="7">
        <f>IF(F497="","",IF(LOWER(I497)&lt;&gt;"y","DISCARD (not lawful/ethical to use)",IF(J497&gt;=0.7,"record as context correction (W08) + intake evidence",IF(J497&gt;=0.4,"watch - seek corroboration","note only"))))</f>
        <v/>
      </c>
    </row>
    <row r="498">
      <c r="A498" s="8" t="n"/>
      <c r="B498" s="9" t="n"/>
      <c r="C498" s="9" t="n"/>
      <c r="D498" s="9" t="n"/>
      <c r="E498" s="10" t="n"/>
      <c r="F498" s="9" t="n"/>
      <c r="G498" s="9" t="n"/>
      <c r="H498" s="10" t="n"/>
      <c r="I498" s="9" t="n"/>
      <c r="J498" s="11">
        <f>IF(F498="","",MAX(0,MIN(1,(1-(CODE(UPPER(D498))-65)/5)*0.5+(1-(E498-1)/5)*0.3+MIN(N(H498),3)/3*0.2)))</f>
        <v/>
      </c>
      <c r="K498" s="7">
        <f>IF(F498="","",IF(LOWER(I498)&lt;&gt;"y","DISCARD (not lawful/ethical to use)",IF(J498&gt;=0.7,"record as context correction (W08) + intake evidence",IF(J498&gt;=0.4,"watch - seek corroboration","note only"))))</f>
        <v/>
      </c>
    </row>
    <row r="499">
      <c r="A499" s="8" t="n"/>
      <c r="B499" s="9" t="n"/>
      <c r="C499" s="9" t="n"/>
      <c r="D499" s="9" t="n"/>
      <c r="E499" s="10" t="n"/>
      <c r="F499" s="9" t="n"/>
      <c r="G499" s="9" t="n"/>
      <c r="H499" s="10" t="n"/>
      <c r="I499" s="9" t="n"/>
      <c r="J499" s="11">
        <f>IF(F499="","",MAX(0,MIN(1,(1-(CODE(UPPER(D499))-65)/5)*0.5+(1-(E499-1)/5)*0.3+MIN(N(H499),3)/3*0.2)))</f>
        <v/>
      </c>
      <c r="K499" s="7">
        <f>IF(F499="","",IF(LOWER(I499)&lt;&gt;"y","DISCARD (not lawful/ethical to use)",IF(J499&gt;=0.7,"record as context correction (W08) + intake evidence",IF(J499&gt;=0.4,"watch - seek corroboration","note only"))))</f>
        <v/>
      </c>
    </row>
    <row r="500">
      <c r="A500" s="8" t="n"/>
      <c r="B500" s="9" t="n"/>
      <c r="C500" s="9" t="n"/>
      <c r="D500" s="9" t="n"/>
      <c r="E500" s="10" t="n"/>
      <c r="F500" s="9" t="n"/>
      <c r="G500" s="9" t="n"/>
      <c r="H500" s="10" t="n"/>
      <c r="I500" s="9" t="n"/>
      <c r="J500" s="11">
        <f>IF(F500="","",MAX(0,MIN(1,(1-(CODE(UPPER(D500))-65)/5)*0.5+(1-(E500-1)/5)*0.3+MIN(N(H500),3)/3*0.2)))</f>
        <v/>
      </c>
      <c r="K500" s="7">
        <f>IF(F500="","",IF(LOWER(I500)&lt;&gt;"y","DISCARD (not lawful/ethical to use)",IF(J500&gt;=0.7,"record as context correction (W08) + intake evidence",IF(J500&gt;=0.4,"watch - seek corroboration","note only"))))</f>
        <v/>
      </c>
    </row>
    <row r="501">
      <c r="A501" s="8" t="n"/>
      <c r="B501" s="9" t="n"/>
      <c r="C501" s="9" t="n"/>
      <c r="D501" s="9" t="n"/>
      <c r="E501" s="10" t="n"/>
      <c r="F501" s="9" t="n"/>
      <c r="G501" s="9" t="n"/>
      <c r="H501" s="10" t="n"/>
      <c r="I501" s="9" t="n"/>
      <c r="J501" s="11">
        <f>IF(F501="","",MAX(0,MIN(1,(1-(CODE(UPPER(D501))-65)/5)*0.5+(1-(E501-1)/5)*0.3+MIN(N(H501),3)/3*0.2)))</f>
        <v/>
      </c>
      <c r="K501" s="7">
        <f>IF(F501="","",IF(LOWER(I501)&lt;&gt;"y","DISCARD (not lawful/ethical to use)",IF(J501&gt;=0.7,"record as context correction (W08) + intake evidence",IF(J501&gt;=0.4,"watch - seek corroboration","note only"))))</f>
        <v/>
      </c>
    </row>
    <row r="502">
      <c r="A502" s="8" t="n"/>
      <c r="B502" s="9" t="n"/>
      <c r="C502" s="9" t="n"/>
      <c r="D502" s="9" t="n"/>
      <c r="E502" s="10" t="n"/>
      <c r="F502" s="9" t="n"/>
      <c r="G502" s="9" t="n"/>
      <c r="H502" s="10" t="n"/>
      <c r="I502" s="9" t="n"/>
      <c r="J502" s="11">
        <f>IF(F502="","",MAX(0,MIN(1,(1-(CODE(UPPER(D502))-65)/5)*0.5+(1-(E502-1)/5)*0.3+MIN(N(H502),3)/3*0.2)))</f>
        <v/>
      </c>
      <c r="K502" s="7">
        <f>IF(F502="","",IF(LOWER(I502)&lt;&gt;"y","DISCARD (not lawful/ethical to use)",IF(J502&gt;=0.7,"record as context correction (W08) + intake evidence",IF(J502&gt;=0.4,"watch - seek corroboration","note only"))))</f>
        <v/>
      </c>
    </row>
    <row r="503">
      <c r="A503" s="8" t="n"/>
      <c r="B503" s="9" t="n"/>
      <c r="C503" s="9" t="n"/>
      <c r="D503" s="9" t="n"/>
      <c r="E503" s="10" t="n"/>
      <c r="F503" s="9" t="n"/>
      <c r="G503" s="9" t="n"/>
      <c r="H503" s="10" t="n"/>
      <c r="I503" s="9" t="n"/>
      <c r="J503" s="11">
        <f>IF(F503="","",MAX(0,MIN(1,(1-(CODE(UPPER(D503))-65)/5)*0.5+(1-(E503-1)/5)*0.3+MIN(N(H503),3)/3*0.2)))</f>
        <v/>
      </c>
      <c r="K503" s="7">
        <f>IF(F503="","",IF(LOWER(I503)&lt;&gt;"y","DISCARD (not lawful/ethical to use)",IF(J503&gt;=0.7,"record as context correction (W08) + intake evidence",IF(J503&gt;=0.4,"watch - seek corroboration","note only"))))</f>
        <v/>
      </c>
    </row>
    <row r="504">
      <c r="A504" s="8" t="n"/>
      <c r="B504" s="9" t="n"/>
      <c r="C504" s="9" t="n"/>
      <c r="D504" s="9" t="n"/>
      <c r="E504" s="10" t="n"/>
      <c r="F504" s="9" t="n"/>
      <c r="G504" s="9" t="n"/>
      <c r="H504" s="10" t="n"/>
      <c r="I504" s="9" t="n"/>
      <c r="J504" s="11">
        <f>IF(F504="","",MAX(0,MIN(1,(1-(CODE(UPPER(D504))-65)/5)*0.5+(1-(E504-1)/5)*0.3+MIN(N(H504),3)/3*0.2)))</f>
        <v/>
      </c>
      <c r="K504" s="7">
        <f>IF(F504="","",IF(LOWER(I504)&lt;&gt;"y","DISCARD (not lawful/ethical to use)",IF(J504&gt;=0.7,"record as context correction (W08) + intake evidence",IF(J504&gt;=0.4,"watch - seek corroboration","note only"))))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2" customWidth="1" min="4" max="4"/>
    <col width="22" customWidth="1" min="5" max="5"/>
    <col width="16" customWidth="1" min="6" max="6"/>
    <col width="23" customWidth="1" min="7" max="7"/>
  </cols>
  <sheetData>
    <row r="1">
      <c r="A1" s="1" t="inlineStr">
        <is>
          <t>Relationship map (who knows what; refresh quarterly)</t>
        </is>
      </c>
    </row>
    <row r="2"/>
    <row r="3"/>
    <row r="4">
      <c r="A4" s="6" t="inlineStr">
        <is>
          <t>contact (pseudonym)</t>
        </is>
      </c>
      <c r="B4" s="6" t="inlineStr">
        <is>
          <t>organisation type</t>
        </is>
      </c>
      <c r="C4" s="6" t="inlineStr">
        <is>
          <t>city</t>
        </is>
      </c>
      <c r="D4" s="6" t="inlineStr">
        <is>
          <t>topics</t>
        </is>
      </c>
      <c r="E4" s="6" t="inlineStr">
        <is>
          <t>relationship owner</t>
        </is>
      </c>
      <c r="F4" s="6" t="inlineStr">
        <is>
          <t>last contact</t>
        </is>
      </c>
      <c r="G4" s="6" t="inlineStr">
        <is>
          <t>stale? (&gt; 120 days)</t>
        </is>
      </c>
    </row>
    <row r="5">
      <c r="A5" s="9" t="inlineStr">
        <is>
          <t>TNCCI-contact-1</t>
        </is>
      </c>
      <c r="B5" s="9" t="inlineStr">
        <is>
          <t>chamber of commerce</t>
        </is>
      </c>
      <c r="C5" s="9" t="inlineStr">
        <is>
          <t>Madurai</t>
        </is>
      </c>
      <c r="D5" s="9" t="inlineStr">
        <is>
          <t>southern TN demand</t>
        </is>
      </c>
      <c r="E5" s="9" t="inlineStr">
        <is>
          <t>CFO</t>
        </is>
      </c>
      <c r="F5" s="8" t="n">
        <v>46264</v>
      </c>
      <c r="G5" s="7">
        <f>IF(F5="","",TODAY()-F5&gt;120)</f>
        <v/>
      </c>
    </row>
    <row r="6">
      <c r="A6" s="9" t="inlineStr">
        <is>
          <t>Bank-RM-IOB</t>
        </is>
      </c>
      <c r="B6" s="9" t="inlineStr">
        <is>
          <t>bank</t>
        </is>
      </c>
      <c r="C6" s="9" t="inlineStr">
        <is>
          <t>Chennai</t>
        </is>
      </c>
      <c r="D6" s="9" t="inlineStr">
        <is>
          <t>credit appetite</t>
        </is>
      </c>
      <c r="E6" s="9" t="inlineStr">
        <is>
          <t>Treasury</t>
        </is>
      </c>
      <c r="F6" s="8" t="n">
        <v>46296</v>
      </c>
      <c r="G6" s="7">
        <f>IF(F6="","",TODAY()-F6&gt;120)</f>
        <v/>
      </c>
    </row>
    <row r="7">
      <c r="A7" s="9" t="n"/>
      <c r="B7" s="9" t="n"/>
      <c r="C7" s="9" t="n"/>
      <c r="D7" s="9" t="n"/>
      <c r="E7" s="9" t="n"/>
      <c r="F7" s="8" t="n"/>
      <c r="G7" s="7">
        <f>IF(F7="","",TODAY()-F7&gt;120)</f>
        <v/>
      </c>
    </row>
    <row r="8">
      <c r="A8" s="9" t="n"/>
      <c r="B8" s="9" t="n"/>
      <c r="C8" s="9" t="n"/>
      <c r="D8" s="9" t="n"/>
      <c r="E8" s="9" t="n"/>
      <c r="F8" s="8" t="n"/>
      <c r="G8" s="7">
        <f>IF(F8="","",TODAY()-F8&gt;120)</f>
        <v/>
      </c>
    </row>
    <row r="9">
      <c r="A9" s="9" t="n"/>
      <c r="B9" s="9" t="n"/>
      <c r="C9" s="9" t="n"/>
      <c r="D9" s="9" t="n"/>
      <c r="E9" s="9" t="n"/>
      <c r="F9" s="8" t="n"/>
      <c r="G9" s="7">
        <f>IF(F9="","",TODAY()-F9&gt;120)</f>
        <v/>
      </c>
    </row>
    <row r="10">
      <c r="A10" s="9" t="n"/>
      <c r="B10" s="9" t="n"/>
      <c r="C10" s="9" t="n"/>
      <c r="D10" s="9" t="n"/>
      <c r="E10" s="9" t="n"/>
      <c r="F10" s="8" t="n"/>
      <c r="G10" s="7">
        <f>IF(F10="","",TODAY()-F10&gt;120)</f>
        <v/>
      </c>
    </row>
    <row r="11">
      <c r="A11" s="9" t="n"/>
      <c r="B11" s="9" t="n"/>
      <c r="C11" s="9" t="n"/>
      <c r="D11" s="9" t="n"/>
      <c r="E11" s="9" t="n"/>
      <c r="F11" s="8" t="n"/>
      <c r="G11" s="7">
        <f>IF(F11="","",TODAY()-F11&gt;120)</f>
        <v/>
      </c>
    </row>
    <row r="12">
      <c r="A12" s="9" t="n"/>
      <c r="B12" s="9" t="n"/>
      <c r="C12" s="9" t="n"/>
      <c r="D12" s="9" t="n"/>
      <c r="E12" s="9" t="n"/>
      <c r="F12" s="8" t="n"/>
      <c r="G12" s="7">
        <f>IF(F12="","",TODAY()-F12&gt;120)</f>
        <v/>
      </c>
    </row>
    <row r="13">
      <c r="A13" s="9" t="n"/>
      <c r="B13" s="9" t="n"/>
      <c r="C13" s="9" t="n"/>
      <c r="D13" s="9" t="n"/>
      <c r="E13" s="9" t="n"/>
      <c r="F13" s="8" t="n"/>
      <c r="G13" s="7">
        <f>IF(F13="","",TODAY()-F13&gt;120)</f>
        <v/>
      </c>
    </row>
    <row r="14">
      <c r="A14" s="9" t="n"/>
      <c r="B14" s="9" t="n"/>
      <c r="C14" s="9" t="n"/>
      <c r="D14" s="9" t="n"/>
      <c r="E14" s="9" t="n"/>
      <c r="F14" s="8" t="n"/>
      <c r="G14" s="7">
        <f>IF(F14="","",TODAY()-F14&gt;120)</f>
        <v/>
      </c>
    </row>
    <row r="15">
      <c r="A15" s="9" t="n"/>
      <c r="B15" s="9" t="n"/>
      <c r="C15" s="9" t="n"/>
      <c r="D15" s="9" t="n"/>
      <c r="E15" s="9" t="n"/>
      <c r="F15" s="8" t="n"/>
      <c r="G15" s="7">
        <f>IF(F15="","",TODAY()-F15&gt;120)</f>
        <v/>
      </c>
    </row>
    <row r="16">
      <c r="A16" s="9" t="n"/>
      <c r="B16" s="9" t="n"/>
      <c r="C16" s="9" t="n"/>
      <c r="D16" s="9" t="n"/>
      <c r="E16" s="9" t="n"/>
      <c r="F16" s="8" t="n"/>
      <c r="G16" s="7">
        <f>IF(F16="","",TODAY()-F16&gt;120)</f>
        <v/>
      </c>
    </row>
    <row r="17">
      <c r="A17" s="9" t="n"/>
      <c r="B17" s="9" t="n"/>
      <c r="C17" s="9" t="n"/>
      <c r="D17" s="9" t="n"/>
      <c r="E17" s="9" t="n"/>
      <c r="F17" s="8" t="n"/>
      <c r="G17" s="7">
        <f>IF(F17="","",TODAY()-F17&gt;120)</f>
        <v/>
      </c>
    </row>
    <row r="18">
      <c r="A18" s="9" t="n"/>
      <c r="B18" s="9" t="n"/>
      <c r="C18" s="9" t="n"/>
      <c r="D18" s="9" t="n"/>
      <c r="E18" s="9" t="n"/>
      <c r="F18" s="8" t="n"/>
      <c r="G18" s="7">
        <f>IF(F18="","",TODAY()-F18&gt;120)</f>
        <v/>
      </c>
    </row>
    <row r="19">
      <c r="A19" s="9" t="n"/>
      <c r="B19" s="9" t="n"/>
      <c r="C19" s="9" t="n"/>
      <c r="D19" s="9" t="n"/>
      <c r="E19" s="9" t="n"/>
      <c r="F19" s="8" t="n"/>
      <c r="G19" s="7">
        <f>IF(F19="","",TODAY()-F19&gt;120)</f>
        <v/>
      </c>
    </row>
    <row r="20">
      <c r="A20" s="9" t="n"/>
      <c r="B20" s="9" t="n"/>
      <c r="C20" s="9" t="n"/>
      <c r="D20" s="9" t="n"/>
      <c r="E20" s="9" t="n"/>
      <c r="F20" s="8" t="n"/>
      <c r="G20" s="7">
        <f>IF(F20="","",TODAY()-F20&gt;120)</f>
        <v/>
      </c>
    </row>
    <row r="21">
      <c r="A21" s="9" t="n"/>
      <c r="B21" s="9" t="n"/>
      <c r="C21" s="9" t="n"/>
      <c r="D21" s="9" t="n"/>
      <c r="E21" s="9" t="n"/>
      <c r="F21" s="8" t="n"/>
      <c r="G21" s="7">
        <f>IF(F21="","",TODAY()-F21&gt;120)</f>
        <v/>
      </c>
    </row>
    <row r="22">
      <c r="A22" s="9" t="n"/>
      <c r="B22" s="9" t="n"/>
      <c r="C22" s="9" t="n"/>
      <c r="D22" s="9" t="n"/>
      <c r="E22" s="9" t="n"/>
      <c r="F22" s="8" t="n"/>
      <c r="G22" s="7">
        <f>IF(F22="","",TODAY()-F22&gt;120)</f>
        <v/>
      </c>
    </row>
    <row r="23">
      <c r="A23" s="9" t="n"/>
      <c r="B23" s="9" t="n"/>
      <c r="C23" s="9" t="n"/>
      <c r="D23" s="9" t="n"/>
      <c r="E23" s="9" t="n"/>
      <c r="F23" s="8" t="n"/>
      <c r="G23" s="7">
        <f>IF(F23="","",TODAY()-F23&gt;120)</f>
        <v/>
      </c>
    </row>
    <row r="24">
      <c r="A24" s="9" t="n"/>
      <c r="B24" s="9" t="n"/>
      <c r="C24" s="9" t="n"/>
      <c r="D24" s="9" t="n"/>
      <c r="E24" s="9" t="n"/>
      <c r="F24" s="8" t="n"/>
      <c r="G24" s="7">
        <f>IF(F24="","",TODAY()-F24&gt;120)</f>
        <v/>
      </c>
    </row>
    <row r="25">
      <c r="A25" s="9" t="n"/>
      <c r="B25" s="9" t="n"/>
      <c r="C25" s="9" t="n"/>
      <c r="D25" s="9" t="n"/>
      <c r="E25" s="9" t="n"/>
      <c r="F25" s="8" t="n"/>
      <c r="G25" s="7">
        <f>IF(F25="","",TODAY()-F25&gt;120)</f>
        <v/>
      </c>
    </row>
    <row r="26">
      <c r="A26" s="9" t="n"/>
      <c r="B26" s="9" t="n"/>
      <c r="C26" s="9" t="n"/>
      <c r="D26" s="9" t="n"/>
      <c r="E26" s="9" t="n"/>
      <c r="F26" s="8" t="n"/>
      <c r="G26" s="7">
        <f>IF(F26="","",TODAY()-F26&gt;120)</f>
        <v/>
      </c>
    </row>
    <row r="27">
      <c r="A27" s="9" t="n"/>
      <c r="B27" s="9" t="n"/>
      <c r="C27" s="9" t="n"/>
      <c r="D27" s="9" t="n"/>
      <c r="E27" s="9" t="n"/>
      <c r="F27" s="8" t="n"/>
      <c r="G27" s="7">
        <f>IF(F27="","",TODAY()-F27&gt;120)</f>
        <v/>
      </c>
    </row>
    <row r="28">
      <c r="A28" s="9" t="n"/>
      <c r="B28" s="9" t="n"/>
      <c r="C28" s="9" t="n"/>
      <c r="D28" s="9" t="n"/>
      <c r="E28" s="9" t="n"/>
      <c r="F28" s="8" t="n"/>
      <c r="G28" s="7">
        <f>IF(F28="","",TODAY()-F28&gt;120)</f>
        <v/>
      </c>
    </row>
    <row r="29">
      <c r="A29" s="9" t="n"/>
      <c r="B29" s="9" t="n"/>
      <c r="C29" s="9" t="n"/>
      <c r="D29" s="9" t="n"/>
      <c r="E29" s="9" t="n"/>
      <c r="F29" s="8" t="n"/>
      <c r="G29" s="7">
        <f>IF(F29="","",TODAY()-F29&gt;120)</f>
        <v/>
      </c>
    </row>
    <row r="30">
      <c r="A30" s="9" t="n"/>
      <c r="B30" s="9" t="n"/>
      <c r="C30" s="9" t="n"/>
      <c r="D30" s="9" t="n"/>
      <c r="E30" s="9" t="n"/>
      <c r="F30" s="8" t="n"/>
      <c r="G30" s="7">
        <f>IF(F30="","",TODAY()-F30&gt;120)</f>
        <v/>
      </c>
    </row>
    <row r="31">
      <c r="A31" s="9" t="n"/>
      <c r="B31" s="9" t="n"/>
      <c r="C31" s="9" t="n"/>
      <c r="D31" s="9" t="n"/>
      <c r="E31" s="9" t="n"/>
      <c r="F31" s="8" t="n"/>
      <c r="G31" s="7">
        <f>IF(F31="","",TODAY()-F31&gt;120)</f>
        <v/>
      </c>
    </row>
    <row r="32">
      <c r="A32" s="9" t="n"/>
      <c r="B32" s="9" t="n"/>
      <c r="C32" s="9" t="n"/>
      <c r="D32" s="9" t="n"/>
      <c r="E32" s="9" t="n"/>
      <c r="F32" s="8" t="n"/>
      <c r="G32" s="7">
        <f>IF(F32="","",TODAY()-F32&gt;120)</f>
        <v/>
      </c>
    </row>
    <row r="33">
      <c r="A33" s="9" t="n"/>
      <c r="B33" s="9" t="n"/>
      <c r="C33" s="9" t="n"/>
      <c r="D33" s="9" t="n"/>
      <c r="E33" s="9" t="n"/>
      <c r="F33" s="8" t="n"/>
      <c r="G33" s="7">
        <f>IF(F33="","",TODAY()-F33&gt;120)</f>
        <v/>
      </c>
    </row>
    <row r="34">
      <c r="A34" s="9" t="n"/>
      <c r="B34" s="9" t="n"/>
      <c r="C34" s="9" t="n"/>
      <c r="D34" s="9" t="n"/>
      <c r="E34" s="9" t="n"/>
      <c r="F34" s="8" t="n"/>
      <c r="G34" s="7">
        <f>IF(F34="","",TODAY()-F34&gt;120)</f>
        <v/>
      </c>
    </row>
    <row r="35">
      <c r="A35" s="9" t="n"/>
      <c r="B35" s="9" t="n"/>
      <c r="C35" s="9" t="n"/>
      <c r="D35" s="9" t="n"/>
      <c r="E35" s="9" t="n"/>
      <c r="F35" s="8" t="n"/>
      <c r="G35" s="7">
        <f>IF(F35="","",TODAY()-F35&gt;120)</f>
        <v/>
      </c>
    </row>
    <row r="36">
      <c r="A36" s="9" t="n"/>
      <c r="B36" s="9" t="n"/>
      <c r="C36" s="9" t="n"/>
      <c r="D36" s="9" t="n"/>
      <c r="E36" s="9" t="n"/>
      <c r="F36" s="8" t="n"/>
      <c r="G36" s="7">
        <f>IF(F36="","",TODAY()-F36&gt;120)</f>
        <v/>
      </c>
    </row>
    <row r="37">
      <c r="A37" s="9" t="n"/>
      <c r="B37" s="9" t="n"/>
      <c r="C37" s="9" t="n"/>
      <c r="D37" s="9" t="n"/>
      <c r="E37" s="9" t="n"/>
      <c r="F37" s="8" t="n"/>
      <c r="G37" s="7">
        <f>IF(F37="","",TODAY()-F37&gt;120)</f>
        <v/>
      </c>
    </row>
    <row r="38">
      <c r="A38" s="9" t="n"/>
      <c r="B38" s="9" t="n"/>
      <c r="C38" s="9" t="n"/>
      <c r="D38" s="9" t="n"/>
      <c r="E38" s="9" t="n"/>
      <c r="F38" s="8" t="n"/>
      <c r="G38" s="7">
        <f>IF(F38="","",TODAY()-F38&gt;120)</f>
        <v/>
      </c>
    </row>
    <row r="39">
      <c r="A39" s="9" t="n"/>
      <c r="B39" s="9" t="n"/>
      <c r="C39" s="9" t="n"/>
      <c r="D39" s="9" t="n"/>
      <c r="E39" s="9" t="n"/>
      <c r="F39" s="8" t="n"/>
      <c r="G39" s="7">
        <f>IF(F39="","",TODAY()-F39&gt;120)</f>
        <v/>
      </c>
    </row>
    <row r="40">
      <c r="A40" s="9" t="n"/>
      <c r="B40" s="9" t="n"/>
      <c r="C40" s="9" t="n"/>
      <c r="D40" s="9" t="n"/>
      <c r="E40" s="9" t="n"/>
      <c r="F40" s="8" t="n"/>
      <c r="G40" s="7">
        <f>IF(F40="","",TODAY()-F40&gt;120)</f>
        <v/>
      </c>
    </row>
    <row r="41">
      <c r="A41" s="9" t="n"/>
      <c r="B41" s="9" t="n"/>
      <c r="C41" s="9" t="n"/>
      <c r="D41" s="9" t="n"/>
      <c r="E41" s="9" t="n"/>
      <c r="F41" s="8" t="n"/>
      <c r="G41" s="7">
        <f>IF(F41="","",TODAY()-F41&gt;120)</f>
        <v/>
      </c>
    </row>
    <row r="42">
      <c r="A42" s="9" t="n"/>
      <c r="B42" s="9" t="n"/>
      <c r="C42" s="9" t="n"/>
      <c r="D42" s="9" t="n"/>
      <c r="E42" s="9" t="n"/>
      <c r="F42" s="8" t="n"/>
      <c r="G42" s="7">
        <f>IF(F42="","",TODAY()-F42&gt;120)</f>
        <v/>
      </c>
    </row>
    <row r="43">
      <c r="A43" s="9" t="n"/>
      <c r="B43" s="9" t="n"/>
      <c r="C43" s="9" t="n"/>
      <c r="D43" s="9" t="n"/>
      <c r="E43" s="9" t="n"/>
      <c r="F43" s="8" t="n"/>
      <c r="G43" s="7">
        <f>IF(F43="","",TODAY()-F43&gt;120)</f>
        <v/>
      </c>
    </row>
    <row r="44">
      <c r="A44" s="9" t="n"/>
      <c r="B44" s="9" t="n"/>
      <c r="C44" s="9" t="n"/>
      <c r="D44" s="9" t="n"/>
      <c r="E44" s="9" t="n"/>
      <c r="F44" s="8" t="n"/>
      <c r="G44" s="7">
        <f>IF(F44="","",TODAY()-F44&gt;120)</f>
        <v/>
      </c>
    </row>
    <row r="45">
      <c r="A45" s="9" t="n"/>
      <c r="B45" s="9" t="n"/>
      <c r="C45" s="9" t="n"/>
      <c r="D45" s="9" t="n"/>
      <c r="E45" s="9" t="n"/>
      <c r="F45" s="8" t="n"/>
      <c r="G45" s="7">
        <f>IF(F45="","",TODAY()-F45&gt;120)</f>
        <v/>
      </c>
    </row>
    <row r="46">
      <c r="A46" s="9" t="n"/>
      <c r="B46" s="9" t="n"/>
      <c r="C46" s="9" t="n"/>
      <c r="D46" s="9" t="n"/>
      <c r="E46" s="9" t="n"/>
      <c r="F46" s="8" t="n"/>
      <c r="G46" s="7">
        <f>IF(F46="","",TODAY()-F46&gt;120)</f>
        <v/>
      </c>
    </row>
    <row r="47">
      <c r="A47" s="9" t="n"/>
      <c r="B47" s="9" t="n"/>
      <c r="C47" s="9" t="n"/>
      <c r="D47" s="9" t="n"/>
      <c r="E47" s="9" t="n"/>
      <c r="F47" s="8" t="n"/>
      <c r="G47" s="7">
        <f>IF(F47="","",TODAY()-F47&gt;120)</f>
        <v/>
      </c>
    </row>
    <row r="48">
      <c r="A48" s="9" t="n"/>
      <c r="B48" s="9" t="n"/>
      <c r="C48" s="9" t="n"/>
      <c r="D48" s="9" t="n"/>
      <c r="E48" s="9" t="n"/>
      <c r="F48" s="8" t="n"/>
      <c r="G48" s="7">
        <f>IF(F48="","",TODAY()-F48&gt;120)</f>
        <v/>
      </c>
    </row>
    <row r="49">
      <c r="A49" s="9" t="n"/>
      <c r="B49" s="9" t="n"/>
      <c r="C49" s="9" t="n"/>
      <c r="D49" s="9" t="n"/>
      <c r="E49" s="9" t="n"/>
      <c r="F49" s="8" t="n"/>
      <c r="G49" s="7">
        <f>IF(F49="","",TODAY()-F49&gt;120)</f>
        <v/>
      </c>
    </row>
    <row r="50">
      <c r="A50" s="9" t="n"/>
      <c r="B50" s="9" t="n"/>
      <c r="C50" s="9" t="n"/>
      <c r="D50" s="9" t="n"/>
      <c r="E50" s="9" t="n"/>
      <c r="F50" s="8" t="n"/>
      <c r="G50" s="7">
        <f>IF(F50="","",TODAY()-F50&gt;120)</f>
        <v/>
      </c>
    </row>
    <row r="51">
      <c r="A51" s="9" t="n"/>
      <c r="B51" s="9" t="n"/>
      <c r="C51" s="9" t="n"/>
      <c r="D51" s="9" t="n"/>
      <c r="E51" s="9" t="n"/>
      <c r="F51" s="8" t="n"/>
      <c r="G51" s="7">
        <f>IF(F51="","",TODAY()-F51&gt;120)</f>
        <v/>
      </c>
    </row>
    <row r="52">
      <c r="A52" s="9" t="n"/>
      <c r="B52" s="9" t="n"/>
      <c r="C52" s="9" t="n"/>
      <c r="D52" s="9" t="n"/>
      <c r="E52" s="9" t="n"/>
      <c r="F52" s="8" t="n"/>
      <c r="G52" s="7">
        <f>IF(F52="","",TODAY()-F52&gt;120)</f>
        <v/>
      </c>
    </row>
    <row r="53">
      <c r="A53" s="9" t="n"/>
      <c r="B53" s="9" t="n"/>
      <c r="C53" s="9" t="n"/>
      <c r="D53" s="9" t="n"/>
      <c r="E53" s="9" t="n"/>
      <c r="F53" s="8" t="n"/>
      <c r="G53" s="7">
        <f>IF(F53="","",TODAY()-F53&gt;120)</f>
        <v/>
      </c>
    </row>
    <row r="54">
      <c r="A54" s="9" t="n"/>
      <c r="B54" s="9" t="n"/>
      <c r="C54" s="9" t="n"/>
      <c r="D54" s="9" t="n"/>
      <c r="E54" s="9" t="n"/>
      <c r="F54" s="8" t="n"/>
      <c r="G54" s="7">
        <f>IF(F54="","",TODAY()-F54&gt;120)</f>
        <v/>
      </c>
    </row>
    <row r="55">
      <c r="A55" s="9" t="n"/>
      <c r="B55" s="9" t="n"/>
      <c r="C55" s="9" t="n"/>
      <c r="D55" s="9" t="n"/>
      <c r="E55" s="9" t="n"/>
      <c r="F55" s="8" t="n"/>
      <c r="G55" s="7">
        <f>IF(F55="","",TODAY()-F55&gt;120)</f>
        <v/>
      </c>
    </row>
    <row r="56">
      <c r="A56" s="9" t="n"/>
      <c r="B56" s="9" t="n"/>
      <c r="C56" s="9" t="n"/>
      <c r="D56" s="9" t="n"/>
      <c r="E56" s="9" t="n"/>
      <c r="F56" s="8" t="n"/>
      <c r="G56" s="7">
        <f>IF(F56="","",TODAY()-F56&gt;120)</f>
        <v/>
      </c>
    </row>
    <row r="57">
      <c r="A57" s="9" t="n"/>
      <c r="B57" s="9" t="n"/>
      <c r="C57" s="9" t="n"/>
      <c r="D57" s="9" t="n"/>
      <c r="E57" s="9" t="n"/>
      <c r="F57" s="8" t="n"/>
      <c r="G57" s="7">
        <f>IF(F57="","",TODAY()-F57&gt;120)</f>
        <v/>
      </c>
    </row>
    <row r="58">
      <c r="A58" s="9" t="n"/>
      <c r="B58" s="9" t="n"/>
      <c r="C58" s="9" t="n"/>
      <c r="D58" s="9" t="n"/>
      <c r="E58" s="9" t="n"/>
      <c r="F58" s="8" t="n"/>
      <c r="G58" s="7">
        <f>IF(F58="","",TODAY()-F58&gt;120)</f>
        <v/>
      </c>
    </row>
    <row r="59">
      <c r="A59" s="9" t="n"/>
      <c r="B59" s="9" t="n"/>
      <c r="C59" s="9" t="n"/>
      <c r="D59" s="9" t="n"/>
      <c r="E59" s="9" t="n"/>
      <c r="F59" s="8" t="n"/>
      <c r="G59" s="7">
        <f>IF(F59="","",TODAY()-F59&gt;120)</f>
        <v/>
      </c>
    </row>
    <row r="60">
      <c r="A60" s="9" t="n"/>
      <c r="B60" s="9" t="n"/>
      <c r="C60" s="9" t="n"/>
      <c r="D60" s="9" t="n"/>
      <c r="E60" s="9" t="n"/>
      <c r="F60" s="8" t="n"/>
      <c r="G60" s="7">
        <f>IF(F60="","",TODAY()-F60&gt;120)</f>
        <v/>
      </c>
    </row>
    <row r="61">
      <c r="A61" s="9" t="n"/>
      <c r="B61" s="9" t="n"/>
      <c r="C61" s="9" t="n"/>
      <c r="D61" s="9" t="n"/>
      <c r="E61" s="9" t="n"/>
      <c r="F61" s="8" t="n"/>
      <c r="G61" s="7">
        <f>IF(F61="","",TODAY()-F61&gt;120)</f>
        <v/>
      </c>
    </row>
    <row r="62">
      <c r="A62" s="9" t="n"/>
      <c r="B62" s="9" t="n"/>
      <c r="C62" s="9" t="n"/>
      <c r="D62" s="9" t="n"/>
      <c r="E62" s="9" t="n"/>
      <c r="F62" s="8" t="n"/>
      <c r="G62" s="7">
        <f>IF(F62="","",TODAY()-F62&gt;120)</f>
        <v/>
      </c>
    </row>
    <row r="63">
      <c r="A63" s="9" t="n"/>
      <c r="B63" s="9" t="n"/>
      <c r="C63" s="9" t="n"/>
      <c r="D63" s="9" t="n"/>
      <c r="E63" s="9" t="n"/>
      <c r="F63" s="8" t="n"/>
      <c r="G63" s="7">
        <f>IF(F63="","",TODAY()-F63&gt;120)</f>
        <v/>
      </c>
    </row>
    <row r="64">
      <c r="A64" s="9" t="n"/>
      <c r="B64" s="9" t="n"/>
      <c r="C64" s="9" t="n"/>
      <c r="D64" s="9" t="n"/>
      <c r="E64" s="9" t="n"/>
      <c r="F64" s="8" t="n"/>
      <c r="G64" s="7">
        <f>IF(F64="","",TODAY()-F64&gt;120)</f>
        <v/>
      </c>
    </row>
    <row r="65">
      <c r="A65" s="9" t="n"/>
      <c r="B65" s="9" t="n"/>
      <c r="C65" s="9" t="n"/>
      <c r="D65" s="9" t="n"/>
      <c r="E65" s="9" t="n"/>
      <c r="F65" s="8" t="n"/>
      <c r="G65" s="7">
        <f>IF(F65="","",TODAY()-F65&gt;120)</f>
        <v/>
      </c>
    </row>
    <row r="66">
      <c r="A66" s="9" t="n"/>
      <c r="B66" s="9" t="n"/>
      <c r="C66" s="9" t="n"/>
      <c r="D66" s="9" t="n"/>
      <c r="E66" s="9" t="n"/>
      <c r="F66" s="8" t="n"/>
      <c r="G66" s="7">
        <f>IF(F66="","",TODAY()-F66&gt;120)</f>
        <v/>
      </c>
    </row>
    <row r="67">
      <c r="A67" s="9" t="n"/>
      <c r="B67" s="9" t="n"/>
      <c r="C67" s="9" t="n"/>
      <c r="D67" s="9" t="n"/>
      <c r="E67" s="9" t="n"/>
      <c r="F67" s="8" t="n"/>
      <c r="G67" s="7">
        <f>IF(F67="","",TODAY()-F67&gt;120)</f>
        <v/>
      </c>
    </row>
    <row r="68">
      <c r="A68" s="9" t="n"/>
      <c r="B68" s="9" t="n"/>
      <c r="C68" s="9" t="n"/>
      <c r="D68" s="9" t="n"/>
      <c r="E68" s="9" t="n"/>
      <c r="F68" s="8" t="n"/>
      <c r="G68" s="7">
        <f>IF(F68="","",TODAY()-F68&gt;120)</f>
        <v/>
      </c>
    </row>
    <row r="69">
      <c r="A69" s="9" t="n"/>
      <c r="B69" s="9" t="n"/>
      <c r="C69" s="9" t="n"/>
      <c r="D69" s="9" t="n"/>
      <c r="E69" s="9" t="n"/>
      <c r="F69" s="8" t="n"/>
      <c r="G69" s="7">
        <f>IF(F69="","",TODAY()-F69&gt;120)</f>
        <v/>
      </c>
    </row>
    <row r="70">
      <c r="A70" s="9" t="n"/>
      <c r="B70" s="9" t="n"/>
      <c r="C70" s="9" t="n"/>
      <c r="D70" s="9" t="n"/>
      <c r="E70" s="9" t="n"/>
      <c r="F70" s="8" t="n"/>
      <c r="G70" s="7">
        <f>IF(F70="","",TODAY()-F70&gt;120)</f>
        <v/>
      </c>
    </row>
    <row r="71">
      <c r="A71" s="9" t="n"/>
      <c r="B71" s="9" t="n"/>
      <c r="C71" s="9" t="n"/>
      <c r="D71" s="9" t="n"/>
      <c r="E71" s="9" t="n"/>
      <c r="F71" s="8" t="n"/>
      <c r="G71" s="7">
        <f>IF(F71="","",TODAY()-F71&gt;120)</f>
        <v/>
      </c>
    </row>
    <row r="72">
      <c r="A72" s="9" t="n"/>
      <c r="B72" s="9" t="n"/>
      <c r="C72" s="9" t="n"/>
      <c r="D72" s="9" t="n"/>
      <c r="E72" s="9" t="n"/>
      <c r="F72" s="8" t="n"/>
      <c r="G72" s="7">
        <f>IF(F72="","",TODAY()-F72&gt;120)</f>
        <v/>
      </c>
    </row>
    <row r="73">
      <c r="A73" s="9" t="n"/>
      <c r="B73" s="9" t="n"/>
      <c r="C73" s="9" t="n"/>
      <c r="D73" s="9" t="n"/>
      <c r="E73" s="9" t="n"/>
      <c r="F73" s="8" t="n"/>
      <c r="G73" s="7">
        <f>IF(F73="","",TODAY()-F73&gt;120)</f>
        <v/>
      </c>
    </row>
    <row r="74">
      <c r="A74" s="9" t="n"/>
      <c r="B74" s="9" t="n"/>
      <c r="C74" s="9" t="n"/>
      <c r="D74" s="9" t="n"/>
      <c r="E74" s="9" t="n"/>
      <c r="F74" s="8" t="n"/>
      <c r="G74" s="7">
        <f>IF(F74="","",TODAY()-F74&gt;120)</f>
        <v/>
      </c>
    </row>
    <row r="75">
      <c r="A75" s="9" t="n"/>
      <c r="B75" s="9" t="n"/>
      <c r="C75" s="9" t="n"/>
      <c r="D75" s="9" t="n"/>
      <c r="E75" s="9" t="n"/>
      <c r="F75" s="8" t="n"/>
      <c r="G75" s="7">
        <f>IF(F75="","",TODAY()-F75&gt;120)</f>
        <v/>
      </c>
    </row>
    <row r="76">
      <c r="A76" s="9" t="n"/>
      <c r="B76" s="9" t="n"/>
      <c r="C76" s="9" t="n"/>
      <c r="D76" s="9" t="n"/>
      <c r="E76" s="9" t="n"/>
      <c r="F76" s="8" t="n"/>
      <c r="G76" s="7">
        <f>IF(F76="","",TODAY()-F76&gt;120)</f>
        <v/>
      </c>
    </row>
    <row r="77">
      <c r="A77" s="9" t="n"/>
      <c r="B77" s="9" t="n"/>
      <c r="C77" s="9" t="n"/>
      <c r="D77" s="9" t="n"/>
      <c r="E77" s="9" t="n"/>
      <c r="F77" s="8" t="n"/>
      <c r="G77" s="7">
        <f>IF(F77="","",TODAY()-F77&gt;120)</f>
        <v/>
      </c>
    </row>
    <row r="78">
      <c r="A78" s="9" t="n"/>
      <c r="B78" s="9" t="n"/>
      <c r="C78" s="9" t="n"/>
      <c r="D78" s="9" t="n"/>
      <c r="E78" s="9" t="n"/>
      <c r="F78" s="8" t="n"/>
      <c r="G78" s="7">
        <f>IF(F78="","",TODAY()-F78&gt;120)</f>
        <v/>
      </c>
    </row>
    <row r="79">
      <c r="A79" s="9" t="n"/>
      <c r="B79" s="9" t="n"/>
      <c r="C79" s="9" t="n"/>
      <c r="D79" s="9" t="n"/>
      <c r="E79" s="9" t="n"/>
      <c r="F79" s="8" t="n"/>
      <c r="G79" s="7">
        <f>IF(F79="","",TODAY()-F79&gt;120)</f>
        <v/>
      </c>
    </row>
    <row r="80">
      <c r="A80" s="9" t="n"/>
      <c r="B80" s="9" t="n"/>
      <c r="C80" s="9" t="n"/>
      <c r="D80" s="9" t="n"/>
      <c r="E80" s="9" t="n"/>
      <c r="F80" s="8" t="n"/>
      <c r="G80" s="7">
        <f>IF(F80="","",TODAY()-F80&gt;120)</f>
        <v/>
      </c>
    </row>
    <row r="81">
      <c r="A81" s="9" t="n"/>
      <c r="B81" s="9" t="n"/>
      <c r="C81" s="9" t="n"/>
      <c r="D81" s="9" t="n"/>
      <c r="E81" s="9" t="n"/>
      <c r="F81" s="8" t="n"/>
      <c r="G81" s="7">
        <f>IF(F81="","",TODAY()-F81&gt;120)</f>
        <v/>
      </c>
    </row>
    <row r="82">
      <c r="A82" s="9" t="n"/>
      <c r="B82" s="9" t="n"/>
      <c r="C82" s="9" t="n"/>
      <c r="D82" s="9" t="n"/>
      <c r="E82" s="9" t="n"/>
      <c r="F82" s="8" t="n"/>
      <c r="G82" s="7">
        <f>IF(F82="","",TODAY()-F82&gt;120)</f>
        <v/>
      </c>
    </row>
    <row r="83">
      <c r="A83" s="9" t="n"/>
      <c r="B83" s="9" t="n"/>
      <c r="C83" s="9" t="n"/>
      <c r="D83" s="9" t="n"/>
      <c r="E83" s="9" t="n"/>
      <c r="F83" s="8" t="n"/>
      <c r="G83" s="7">
        <f>IF(F83="","",TODAY()-F83&gt;120)</f>
        <v/>
      </c>
    </row>
    <row r="84">
      <c r="A84" s="9" t="n"/>
      <c r="B84" s="9" t="n"/>
      <c r="C84" s="9" t="n"/>
      <c r="D84" s="9" t="n"/>
      <c r="E84" s="9" t="n"/>
      <c r="F84" s="8" t="n"/>
      <c r="G84" s="7">
        <f>IF(F84="","",TODAY()-F84&gt;120)</f>
        <v/>
      </c>
    </row>
    <row r="85">
      <c r="A85" s="9" t="n"/>
      <c r="B85" s="9" t="n"/>
      <c r="C85" s="9" t="n"/>
      <c r="D85" s="9" t="n"/>
      <c r="E85" s="9" t="n"/>
      <c r="F85" s="8" t="n"/>
      <c r="G85" s="7">
        <f>IF(F85="","",TODAY()-F85&gt;120)</f>
        <v/>
      </c>
    </row>
    <row r="86">
      <c r="A86" s="9" t="n"/>
      <c r="B86" s="9" t="n"/>
      <c r="C86" s="9" t="n"/>
      <c r="D86" s="9" t="n"/>
      <c r="E86" s="9" t="n"/>
      <c r="F86" s="8" t="n"/>
      <c r="G86" s="7">
        <f>IF(F86="","",TODAY()-F86&gt;120)</f>
        <v/>
      </c>
    </row>
    <row r="87">
      <c r="A87" s="9" t="n"/>
      <c r="B87" s="9" t="n"/>
      <c r="C87" s="9" t="n"/>
      <c r="D87" s="9" t="n"/>
      <c r="E87" s="9" t="n"/>
      <c r="F87" s="8" t="n"/>
      <c r="G87" s="7">
        <f>IF(F87="","",TODAY()-F87&gt;120)</f>
        <v/>
      </c>
    </row>
    <row r="88">
      <c r="A88" s="9" t="n"/>
      <c r="B88" s="9" t="n"/>
      <c r="C88" s="9" t="n"/>
      <c r="D88" s="9" t="n"/>
      <c r="E88" s="9" t="n"/>
      <c r="F88" s="8" t="n"/>
      <c r="G88" s="7">
        <f>IF(F88="","",TODAY()-F88&gt;120)</f>
        <v/>
      </c>
    </row>
    <row r="89">
      <c r="A89" s="9" t="n"/>
      <c r="B89" s="9" t="n"/>
      <c r="C89" s="9" t="n"/>
      <c r="D89" s="9" t="n"/>
      <c r="E89" s="9" t="n"/>
      <c r="F89" s="8" t="n"/>
      <c r="G89" s="7">
        <f>IF(F89="","",TODAY()-F89&gt;120)</f>
        <v/>
      </c>
    </row>
    <row r="90">
      <c r="A90" s="9" t="n"/>
      <c r="B90" s="9" t="n"/>
      <c r="C90" s="9" t="n"/>
      <c r="D90" s="9" t="n"/>
      <c r="E90" s="9" t="n"/>
      <c r="F90" s="8" t="n"/>
      <c r="G90" s="7">
        <f>IF(F90="","",TODAY()-F90&gt;120)</f>
        <v/>
      </c>
    </row>
    <row r="91">
      <c r="A91" s="9" t="n"/>
      <c r="B91" s="9" t="n"/>
      <c r="C91" s="9" t="n"/>
      <c r="D91" s="9" t="n"/>
      <c r="E91" s="9" t="n"/>
      <c r="F91" s="8" t="n"/>
      <c r="G91" s="7">
        <f>IF(F91="","",TODAY()-F91&gt;120)</f>
        <v/>
      </c>
    </row>
    <row r="92">
      <c r="A92" s="9" t="n"/>
      <c r="B92" s="9" t="n"/>
      <c r="C92" s="9" t="n"/>
      <c r="D92" s="9" t="n"/>
      <c r="E92" s="9" t="n"/>
      <c r="F92" s="8" t="n"/>
      <c r="G92" s="7">
        <f>IF(F92="","",TODAY()-F92&gt;120)</f>
        <v/>
      </c>
    </row>
    <row r="93">
      <c r="A93" s="9" t="n"/>
      <c r="B93" s="9" t="n"/>
      <c r="C93" s="9" t="n"/>
      <c r="D93" s="9" t="n"/>
      <c r="E93" s="9" t="n"/>
      <c r="F93" s="8" t="n"/>
      <c r="G93" s="7">
        <f>IF(F93="","",TODAY()-F93&gt;120)</f>
        <v/>
      </c>
    </row>
    <row r="94">
      <c r="A94" s="9" t="n"/>
      <c r="B94" s="9" t="n"/>
      <c r="C94" s="9" t="n"/>
      <c r="D94" s="9" t="n"/>
      <c r="E94" s="9" t="n"/>
      <c r="F94" s="8" t="n"/>
      <c r="G94" s="7">
        <f>IF(F94="","",TODAY()-F94&gt;120)</f>
        <v/>
      </c>
    </row>
    <row r="95">
      <c r="A95" s="9" t="n"/>
      <c r="B95" s="9" t="n"/>
      <c r="C95" s="9" t="n"/>
      <c r="D95" s="9" t="n"/>
      <c r="E95" s="9" t="n"/>
      <c r="F95" s="8" t="n"/>
      <c r="G95" s="7">
        <f>IF(F95="","",TODAY()-F95&gt;120)</f>
        <v/>
      </c>
    </row>
    <row r="96">
      <c r="A96" s="9" t="n"/>
      <c r="B96" s="9" t="n"/>
      <c r="C96" s="9" t="n"/>
      <c r="D96" s="9" t="n"/>
      <c r="E96" s="9" t="n"/>
      <c r="F96" s="8" t="n"/>
      <c r="G96" s="7">
        <f>IF(F96="","",TODAY()-F96&gt;120)</f>
        <v/>
      </c>
    </row>
    <row r="97">
      <c r="A97" s="9" t="n"/>
      <c r="B97" s="9" t="n"/>
      <c r="C97" s="9" t="n"/>
      <c r="D97" s="9" t="n"/>
      <c r="E97" s="9" t="n"/>
      <c r="F97" s="8" t="n"/>
      <c r="G97" s="7">
        <f>IF(F97="","",TODAY()-F97&gt;120)</f>
        <v/>
      </c>
    </row>
    <row r="98">
      <c r="A98" s="9" t="n"/>
      <c r="B98" s="9" t="n"/>
      <c r="C98" s="9" t="n"/>
      <c r="D98" s="9" t="n"/>
      <c r="E98" s="9" t="n"/>
      <c r="F98" s="8" t="n"/>
      <c r="G98" s="7">
        <f>IF(F98="","",TODAY()-F98&gt;120)</f>
        <v/>
      </c>
    </row>
    <row r="99">
      <c r="A99" s="9" t="n"/>
      <c r="B99" s="9" t="n"/>
      <c r="C99" s="9" t="n"/>
      <c r="D99" s="9" t="n"/>
      <c r="E99" s="9" t="n"/>
      <c r="F99" s="8" t="n"/>
      <c r="G99" s="7">
        <f>IF(F99="","",TODAY()-F99&gt;120)</f>
        <v/>
      </c>
    </row>
    <row r="100">
      <c r="A100" s="9" t="n"/>
      <c r="B100" s="9" t="n"/>
      <c r="C100" s="9" t="n"/>
      <c r="D100" s="9" t="n"/>
      <c r="E100" s="9" t="n"/>
      <c r="F100" s="8" t="n"/>
      <c r="G100" s="7">
        <f>IF(F100="","",TODAY()-F100&gt;120)</f>
        <v/>
      </c>
    </row>
    <row r="101">
      <c r="A101" s="9" t="n"/>
      <c r="B101" s="9" t="n"/>
      <c r="C101" s="9" t="n"/>
      <c r="D101" s="9" t="n"/>
      <c r="E101" s="9" t="n"/>
      <c r="F101" s="8" t="n"/>
      <c r="G101" s="7">
        <f>IF(F101="","",TODAY()-F101&gt;120)</f>
        <v/>
      </c>
    </row>
    <row r="102">
      <c r="A102" s="9" t="n"/>
      <c r="B102" s="9" t="n"/>
      <c r="C102" s="9" t="n"/>
      <c r="D102" s="9" t="n"/>
      <c r="E102" s="9" t="n"/>
      <c r="F102" s="8" t="n"/>
      <c r="G102" s="7">
        <f>IF(F102="","",TODAY()-F102&gt;120)</f>
        <v/>
      </c>
    </row>
    <row r="103">
      <c r="A103" s="9" t="n"/>
      <c r="B103" s="9" t="n"/>
      <c r="C103" s="9" t="n"/>
      <c r="D103" s="9" t="n"/>
      <c r="E103" s="9" t="n"/>
      <c r="F103" s="8" t="n"/>
      <c r="G103" s="7">
        <f>IF(F103="","",TODAY()-F103&gt;120)</f>
        <v/>
      </c>
    </row>
    <row r="104">
      <c r="A104" s="9" t="n"/>
      <c r="B104" s="9" t="n"/>
      <c r="C104" s="9" t="n"/>
      <c r="D104" s="9" t="n"/>
      <c r="E104" s="9" t="n"/>
      <c r="F104" s="8" t="n"/>
      <c r="G104" s="7">
        <f>IF(F104="","",TODAY()-F104&gt;120)</f>
        <v/>
      </c>
    </row>
    <row r="105">
      <c r="A105" s="9" t="n"/>
      <c r="B105" s="9" t="n"/>
      <c r="C105" s="9" t="n"/>
      <c r="D105" s="9" t="n"/>
      <c r="E105" s="9" t="n"/>
      <c r="F105" s="8" t="n"/>
      <c r="G105" s="7">
        <f>IF(F105="","",TODAY()-F105&gt;120)</f>
        <v/>
      </c>
    </row>
    <row r="106">
      <c r="A106" s="9" t="n"/>
      <c r="B106" s="9" t="n"/>
      <c r="C106" s="9" t="n"/>
      <c r="D106" s="9" t="n"/>
      <c r="E106" s="9" t="n"/>
      <c r="F106" s="8" t="n"/>
      <c r="G106" s="7">
        <f>IF(F106="","",TODAY()-F106&gt;120)</f>
        <v/>
      </c>
    </row>
    <row r="107">
      <c r="A107" s="9" t="n"/>
      <c r="B107" s="9" t="n"/>
      <c r="C107" s="9" t="n"/>
      <c r="D107" s="9" t="n"/>
      <c r="E107" s="9" t="n"/>
      <c r="F107" s="8" t="n"/>
      <c r="G107" s="7">
        <f>IF(F107="","",TODAY()-F107&gt;120)</f>
        <v/>
      </c>
    </row>
    <row r="108">
      <c r="A108" s="9" t="n"/>
      <c r="B108" s="9" t="n"/>
      <c r="C108" s="9" t="n"/>
      <c r="D108" s="9" t="n"/>
      <c r="E108" s="9" t="n"/>
      <c r="F108" s="8" t="n"/>
      <c r="G108" s="7">
        <f>IF(F108="","",TODAY()-F108&gt;120)</f>
        <v/>
      </c>
    </row>
    <row r="109">
      <c r="A109" s="9" t="n"/>
      <c r="B109" s="9" t="n"/>
      <c r="C109" s="9" t="n"/>
      <c r="D109" s="9" t="n"/>
      <c r="E109" s="9" t="n"/>
      <c r="F109" s="8" t="n"/>
      <c r="G109" s="7">
        <f>IF(F109="","",TODAY()-F109&gt;120)</f>
        <v/>
      </c>
    </row>
    <row r="110">
      <c r="A110" s="9" t="n"/>
      <c r="B110" s="9" t="n"/>
      <c r="C110" s="9" t="n"/>
      <c r="D110" s="9" t="n"/>
      <c r="E110" s="9" t="n"/>
      <c r="F110" s="8" t="n"/>
      <c r="G110" s="7">
        <f>IF(F110="","",TODAY()-F110&gt;120)</f>
        <v/>
      </c>
    </row>
    <row r="111">
      <c r="A111" s="9" t="n"/>
      <c r="B111" s="9" t="n"/>
      <c r="C111" s="9" t="n"/>
      <c r="D111" s="9" t="n"/>
      <c r="E111" s="9" t="n"/>
      <c r="F111" s="8" t="n"/>
      <c r="G111" s="7">
        <f>IF(F111="","",TODAY()-F111&gt;120)</f>
        <v/>
      </c>
    </row>
    <row r="112">
      <c r="A112" s="9" t="n"/>
      <c r="B112" s="9" t="n"/>
      <c r="C112" s="9" t="n"/>
      <c r="D112" s="9" t="n"/>
      <c r="E112" s="9" t="n"/>
      <c r="F112" s="8" t="n"/>
      <c r="G112" s="7">
        <f>IF(F112="","",TODAY()-F112&gt;120)</f>
        <v/>
      </c>
    </row>
    <row r="113">
      <c r="A113" s="9" t="n"/>
      <c r="B113" s="9" t="n"/>
      <c r="C113" s="9" t="n"/>
      <c r="D113" s="9" t="n"/>
      <c r="E113" s="9" t="n"/>
      <c r="F113" s="8" t="n"/>
      <c r="G113" s="7">
        <f>IF(F113="","",TODAY()-F113&gt;120)</f>
        <v/>
      </c>
    </row>
    <row r="114">
      <c r="A114" s="9" t="n"/>
      <c r="B114" s="9" t="n"/>
      <c r="C114" s="9" t="n"/>
      <c r="D114" s="9" t="n"/>
      <c r="E114" s="9" t="n"/>
      <c r="F114" s="8" t="n"/>
      <c r="G114" s="7">
        <f>IF(F114="","",TODAY()-F114&gt;120)</f>
        <v/>
      </c>
    </row>
    <row r="115">
      <c r="A115" s="9" t="n"/>
      <c r="B115" s="9" t="n"/>
      <c r="C115" s="9" t="n"/>
      <c r="D115" s="9" t="n"/>
      <c r="E115" s="9" t="n"/>
      <c r="F115" s="8" t="n"/>
      <c r="G115" s="7">
        <f>IF(F115="","",TODAY()-F115&gt;120)</f>
        <v/>
      </c>
    </row>
    <row r="116">
      <c r="A116" s="9" t="n"/>
      <c r="B116" s="9" t="n"/>
      <c r="C116" s="9" t="n"/>
      <c r="D116" s="9" t="n"/>
      <c r="E116" s="9" t="n"/>
      <c r="F116" s="8" t="n"/>
      <c r="G116" s="7">
        <f>IF(F116="","",TODAY()-F116&gt;120)</f>
        <v/>
      </c>
    </row>
    <row r="117">
      <c r="A117" s="9" t="n"/>
      <c r="B117" s="9" t="n"/>
      <c r="C117" s="9" t="n"/>
      <c r="D117" s="9" t="n"/>
      <c r="E117" s="9" t="n"/>
      <c r="F117" s="8" t="n"/>
      <c r="G117" s="7">
        <f>IF(F117="","",TODAY()-F117&gt;120)</f>
        <v/>
      </c>
    </row>
    <row r="118">
      <c r="A118" s="9" t="n"/>
      <c r="B118" s="9" t="n"/>
      <c r="C118" s="9" t="n"/>
      <c r="D118" s="9" t="n"/>
      <c r="E118" s="9" t="n"/>
      <c r="F118" s="8" t="n"/>
      <c r="G118" s="7">
        <f>IF(F118="","",TODAY()-F118&gt;120)</f>
        <v/>
      </c>
    </row>
    <row r="119">
      <c r="A119" s="9" t="n"/>
      <c r="B119" s="9" t="n"/>
      <c r="C119" s="9" t="n"/>
      <c r="D119" s="9" t="n"/>
      <c r="E119" s="9" t="n"/>
      <c r="F119" s="8" t="n"/>
      <c r="G119" s="7">
        <f>IF(F119="","",TODAY()-F119&gt;120)</f>
        <v/>
      </c>
    </row>
    <row r="120">
      <c r="A120" s="9" t="n"/>
      <c r="B120" s="9" t="n"/>
      <c r="C120" s="9" t="n"/>
      <c r="D120" s="9" t="n"/>
      <c r="E120" s="9" t="n"/>
      <c r="F120" s="8" t="n"/>
      <c r="G120" s="7">
        <f>IF(F120="","",TODAY()-F120&gt;120)</f>
        <v/>
      </c>
    </row>
    <row r="121">
      <c r="A121" s="9" t="n"/>
      <c r="B121" s="9" t="n"/>
      <c r="C121" s="9" t="n"/>
      <c r="D121" s="9" t="n"/>
      <c r="E121" s="9" t="n"/>
      <c r="F121" s="8" t="n"/>
      <c r="G121" s="7">
        <f>IF(F121="","",TODAY()-F121&gt;120)</f>
        <v/>
      </c>
    </row>
    <row r="122">
      <c r="A122" s="9" t="n"/>
      <c r="B122" s="9" t="n"/>
      <c r="C122" s="9" t="n"/>
      <c r="D122" s="9" t="n"/>
      <c r="E122" s="9" t="n"/>
      <c r="F122" s="8" t="n"/>
      <c r="G122" s="7">
        <f>IF(F122="","",TODAY()-F122&gt;120)</f>
        <v/>
      </c>
    </row>
    <row r="123">
      <c r="A123" s="9" t="n"/>
      <c r="B123" s="9" t="n"/>
      <c r="C123" s="9" t="n"/>
      <c r="D123" s="9" t="n"/>
      <c r="E123" s="9" t="n"/>
      <c r="F123" s="8" t="n"/>
      <c r="G123" s="7">
        <f>IF(F123="","",TODAY()-F123&gt;120)</f>
        <v/>
      </c>
    </row>
    <row r="124">
      <c r="A124" s="9" t="n"/>
      <c r="B124" s="9" t="n"/>
      <c r="C124" s="9" t="n"/>
      <c r="D124" s="9" t="n"/>
      <c r="E124" s="9" t="n"/>
      <c r="F124" s="8" t="n"/>
      <c r="G124" s="7">
        <f>IF(F124="","",TODAY()-F124&gt;120)</f>
        <v/>
      </c>
    </row>
    <row r="125">
      <c r="A125" s="9" t="n"/>
      <c r="B125" s="9" t="n"/>
      <c r="C125" s="9" t="n"/>
      <c r="D125" s="9" t="n"/>
      <c r="E125" s="9" t="n"/>
      <c r="F125" s="8" t="n"/>
      <c r="G125" s="7">
        <f>IF(F125="","",TODAY()-F125&gt;120)</f>
        <v/>
      </c>
    </row>
    <row r="126">
      <c r="A126" s="9" t="n"/>
      <c r="B126" s="9" t="n"/>
      <c r="C126" s="9" t="n"/>
      <c r="D126" s="9" t="n"/>
      <c r="E126" s="9" t="n"/>
      <c r="F126" s="8" t="n"/>
      <c r="G126" s="7">
        <f>IF(F126="","",TODAY()-F126&gt;120)</f>
        <v/>
      </c>
    </row>
    <row r="127">
      <c r="A127" s="9" t="n"/>
      <c r="B127" s="9" t="n"/>
      <c r="C127" s="9" t="n"/>
      <c r="D127" s="9" t="n"/>
      <c r="E127" s="9" t="n"/>
      <c r="F127" s="8" t="n"/>
      <c r="G127" s="7">
        <f>IF(F127="","",TODAY()-F127&gt;120)</f>
        <v/>
      </c>
    </row>
    <row r="128">
      <c r="A128" s="9" t="n"/>
      <c r="B128" s="9" t="n"/>
      <c r="C128" s="9" t="n"/>
      <c r="D128" s="9" t="n"/>
      <c r="E128" s="9" t="n"/>
      <c r="F128" s="8" t="n"/>
      <c r="G128" s="7">
        <f>IF(F128="","",TODAY()-F128&gt;120)</f>
        <v/>
      </c>
    </row>
    <row r="129">
      <c r="A129" s="9" t="n"/>
      <c r="B129" s="9" t="n"/>
      <c r="C129" s="9" t="n"/>
      <c r="D129" s="9" t="n"/>
      <c r="E129" s="9" t="n"/>
      <c r="F129" s="8" t="n"/>
      <c r="G129" s="7">
        <f>IF(F129="","",TODAY()-F129&gt;120)</f>
        <v/>
      </c>
    </row>
    <row r="130">
      <c r="A130" s="9" t="n"/>
      <c r="B130" s="9" t="n"/>
      <c r="C130" s="9" t="n"/>
      <c r="D130" s="9" t="n"/>
      <c r="E130" s="9" t="n"/>
      <c r="F130" s="8" t="n"/>
      <c r="G130" s="7">
        <f>IF(F130="","",TODAY()-F130&gt;120)</f>
        <v/>
      </c>
    </row>
    <row r="131">
      <c r="A131" s="9" t="n"/>
      <c r="B131" s="9" t="n"/>
      <c r="C131" s="9" t="n"/>
      <c r="D131" s="9" t="n"/>
      <c r="E131" s="9" t="n"/>
      <c r="F131" s="8" t="n"/>
      <c r="G131" s="7">
        <f>IF(F131="","",TODAY()-F131&gt;120)</f>
        <v/>
      </c>
    </row>
    <row r="132">
      <c r="A132" s="9" t="n"/>
      <c r="B132" s="9" t="n"/>
      <c r="C132" s="9" t="n"/>
      <c r="D132" s="9" t="n"/>
      <c r="E132" s="9" t="n"/>
      <c r="F132" s="8" t="n"/>
      <c r="G132" s="7">
        <f>IF(F132="","",TODAY()-F132&gt;120)</f>
        <v/>
      </c>
    </row>
    <row r="133">
      <c r="A133" s="9" t="n"/>
      <c r="B133" s="9" t="n"/>
      <c r="C133" s="9" t="n"/>
      <c r="D133" s="9" t="n"/>
      <c r="E133" s="9" t="n"/>
      <c r="F133" s="8" t="n"/>
      <c r="G133" s="7">
        <f>IF(F133="","",TODAY()-F133&gt;120)</f>
        <v/>
      </c>
    </row>
    <row r="134">
      <c r="A134" s="9" t="n"/>
      <c r="B134" s="9" t="n"/>
      <c r="C134" s="9" t="n"/>
      <c r="D134" s="9" t="n"/>
      <c r="E134" s="9" t="n"/>
      <c r="F134" s="8" t="n"/>
      <c r="G134" s="7">
        <f>IF(F134="","",TODAY()-F134&gt;120)</f>
        <v/>
      </c>
    </row>
    <row r="135">
      <c r="A135" s="9" t="n"/>
      <c r="B135" s="9" t="n"/>
      <c r="C135" s="9" t="n"/>
      <c r="D135" s="9" t="n"/>
      <c r="E135" s="9" t="n"/>
      <c r="F135" s="8" t="n"/>
      <c r="G135" s="7">
        <f>IF(F135="","",TODAY()-F135&gt;120)</f>
        <v/>
      </c>
    </row>
    <row r="136">
      <c r="A136" s="9" t="n"/>
      <c r="B136" s="9" t="n"/>
      <c r="C136" s="9" t="n"/>
      <c r="D136" s="9" t="n"/>
      <c r="E136" s="9" t="n"/>
      <c r="F136" s="8" t="n"/>
      <c r="G136" s="7">
        <f>IF(F136="","",TODAY()-F136&gt;120)</f>
        <v/>
      </c>
    </row>
    <row r="137">
      <c r="A137" s="9" t="n"/>
      <c r="B137" s="9" t="n"/>
      <c r="C137" s="9" t="n"/>
      <c r="D137" s="9" t="n"/>
      <c r="E137" s="9" t="n"/>
      <c r="F137" s="8" t="n"/>
      <c r="G137" s="7">
        <f>IF(F137="","",TODAY()-F137&gt;120)</f>
        <v/>
      </c>
    </row>
    <row r="138">
      <c r="A138" s="9" t="n"/>
      <c r="B138" s="9" t="n"/>
      <c r="C138" s="9" t="n"/>
      <c r="D138" s="9" t="n"/>
      <c r="E138" s="9" t="n"/>
      <c r="F138" s="8" t="n"/>
      <c r="G138" s="7">
        <f>IF(F138="","",TODAY()-F138&gt;120)</f>
        <v/>
      </c>
    </row>
    <row r="139">
      <c r="A139" s="9" t="n"/>
      <c r="B139" s="9" t="n"/>
      <c r="C139" s="9" t="n"/>
      <c r="D139" s="9" t="n"/>
      <c r="E139" s="9" t="n"/>
      <c r="F139" s="8" t="n"/>
      <c r="G139" s="7">
        <f>IF(F139="","",TODAY()-F139&gt;120)</f>
        <v/>
      </c>
    </row>
    <row r="140">
      <c r="A140" s="9" t="n"/>
      <c r="B140" s="9" t="n"/>
      <c r="C140" s="9" t="n"/>
      <c r="D140" s="9" t="n"/>
      <c r="E140" s="9" t="n"/>
      <c r="F140" s="8" t="n"/>
      <c r="G140" s="7">
        <f>IF(F140="","",TODAY()-F140&gt;120)</f>
        <v/>
      </c>
    </row>
    <row r="141">
      <c r="A141" s="9" t="n"/>
      <c r="B141" s="9" t="n"/>
      <c r="C141" s="9" t="n"/>
      <c r="D141" s="9" t="n"/>
      <c r="E141" s="9" t="n"/>
      <c r="F141" s="8" t="n"/>
      <c r="G141" s="7">
        <f>IF(F141="","",TODAY()-F141&gt;120)</f>
        <v/>
      </c>
    </row>
    <row r="142">
      <c r="A142" s="9" t="n"/>
      <c r="B142" s="9" t="n"/>
      <c r="C142" s="9" t="n"/>
      <c r="D142" s="9" t="n"/>
      <c r="E142" s="9" t="n"/>
      <c r="F142" s="8" t="n"/>
      <c r="G142" s="7">
        <f>IF(F142="","",TODAY()-F142&gt;120)</f>
        <v/>
      </c>
    </row>
    <row r="143">
      <c r="A143" s="9" t="n"/>
      <c r="B143" s="9" t="n"/>
      <c r="C143" s="9" t="n"/>
      <c r="D143" s="9" t="n"/>
      <c r="E143" s="9" t="n"/>
      <c r="F143" s="8" t="n"/>
      <c r="G143" s="7">
        <f>IF(F143="","",TODAY()-F143&gt;120)</f>
        <v/>
      </c>
    </row>
    <row r="144">
      <c r="A144" s="9" t="n"/>
      <c r="B144" s="9" t="n"/>
      <c r="C144" s="9" t="n"/>
      <c r="D144" s="9" t="n"/>
      <c r="E144" s="9" t="n"/>
      <c r="F144" s="8" t="n"/>
      <c r="G144" s="7">
        <f>IF(F144="","",TODAY()-F144&gt;120)</f>
        <v/>
      </c>
    </row>
    <row r="145">
      <c r="A145" s="9" t="n"/>
      <c r="B145" s="9" t="n"/>
      <c r="C145" s="9" t="n"/>
      <c r="D145" s="9" t="n"/>
      <c r="E145" s="9" t="n"/>
      <c r="F145" s="8" t="n"/>
      <c r="G145" s="7">
        <f>IF(F145="","",TODAY()-F145&gt;120)</f>
        <v/>
      </c>
    </row>
    <row r="146">
      <c r="A146" s="9" t="n"/>
      <c r="B146" s="9" t="n"/>
      <c r="C146" s="9" t="n"/>
      <c r="D146" s="9" t="n"/>
      <c r="E146" s="9" t="n"/>
      <c r="F146" s="8" t="n"/>
      <c r="G146" s="7">
        <f>IF(F146="","",TODAY()-F146&gt;120)</f>
        <v/>
      </c>
    </row>
    <row r="147">
      <c r="A147" s="9" t="n"/>
      <c r="B147" s="9" t="n"/>
      <c r="C147" s="9" t="n"/>
      <c r="D147" s="9" t="n"/>
      <c r="E147" s="9" t="n"/>
      <c r="F147" s="8" t="n"/>
      <c r="G147" s="7">
        <f>IF(F147="","",TODAY()-F147&gt;120)</f>
        <v/>
      </c>
    </row>
    <row r="148">
      <c r="A148" s="9" t="n"/>
      <c r="B148" s="9" t="n"/>
      <c r="C148" s="9" t="n"/>
      <c r="D148" s="9" t="n"/>
      <c r="E148" s="9" t="n"/>
      <c r="F148" s="8" t="n"/>
      <c r="G148" s="7">
        <f>IF(F148="","",TODAY()-F148&gt;120)</f>
        <v/>
      </c>
    </row>
    <row r="149">
      <c r="A149" s="9" t="n"/>
      <c r="B149" s="9" t="n"/>
      <c r="C149" s="9" t="n"/>
      <c r="D149" s="9" t="n"/>
      <c r="E149" s="9" t="n"/>
      <c r="F149" s="8" t="n"/>
      <c r="G149" s="7">
        <f>IF(F149="","",TODAY()-F149&gt;120)</f>
        <v/>
      </c>
    </row>
    <row r="150">
      <c r="A150" s="9" t="n"/>
      <c r="B150" s="9" t="n"/>
      <c r="C150" s="9" t="n"/>
      <c r="D150" s="9" t="n"/>
      <c r="E150" s="9" t="n"/>
      <c r="F150" s="8" t="n"/>
      <c r="G150" s="7">
        <f>IF(F150="","",TODAY()-F150&gt;120)</f>
        <v/>
      </c>
    </row>
    <row r="151">
      <c r="A151" s="9" t="n"/>
      <c r="B151" s="9" t="n"/>
      <c r="C151" s="9" t="n"/>
      <c r="D151" s="9" t="n"/>
      <c r="E151" s="9" t="n"/>
      <c r="F151" s="8" t="n"/>
      <c r="G151" s="7">
        <f>IF(F151="","",TODAY()-F151&gt;120)</f>
        <v/>
      </c>
    </row>
    <row r="152">
      <c r="A152" s="9" t="n"/>
      <c r="B152" s="9" t="n"/>
      <c r="C152" s="9" t="n"/>
      <c r="D152" s="9" t="n"/>
      <c r="E152" s="9" t="n"/>
      <c r="F152" s="8" t="n"/>
      <c r="G152" s="7">
        <f>IF(F152="","",TODAY()-F152&gt;120)</f>
        <v/>
      </c>
    </row>
    <row r="153">
      <c r="A153" s="9" t="n"/>
      <c r="B153" s="9" t="n"/>
      <c r="C153" s="9" t="n"/>
      <c r="D153" s="9" t="n"/>
      <c r="E153" s="9" t="n"/>
      <c r="F153" s="8" t="n"/>
      <c r="G153" s="7">
        <f>IF(F153="","",TODAY()-F153&gt;120)</f>
        <v/>
      </c>
    </row>
    <row r="154">
      <c r="A154" s="9" t="n"/>
      <c r="B154" s="9" t="n"/>
      <c r="C154" s="9" t="n"/>
      <c r="D154" s="9" t="n"/>
      <c r="E154" s="9" t="n"/>
      <c r="F154" s="8" t="n"/>
      <c r="G154" s="7">
        <f>IF(F154="","",TODAY()-F154&gt;120)</f>
        <v/>
      </c>
    </row>
    <row r="155">
      <c r="A155" s="9" t="n"/>
      <c r="B155" s="9" t="n"/>
      <c r="C155" s="9" t="n"/>
      <c r="D155" s="9" t="n"/>
      <c r="E155" s="9" t="n"/>
      <c r="F155" s="8" t="n"/>
      <c r="G155" s="7">
        <f>IF(F155="","",TODAY()-F155&gt;120)</f>
        <v/>
      </c>
    </row>
    <row r="156">
      <c r="A156" s="9" t="n"/>
      <c r="B156" s="9" t="n"/>
      <c r="C156" s="9" t="n"/>
      <c r="D156" s="9" t="n"/>
      <c r="E156" s="9" t="n"/>
      <c r="F156" s="8" t="n"/>
      <c r="G156" s="7">
        <f>IF(F156="","",TODAY()-F156&gt;120)</f>
        <v/>
      </c>
    </row>
    <row r="157">
      <c r="A157" s="9" t="n"/>
      <c r="B157" s="9" t="n"/>
      <c r="C157" s="9" t="n"/>
      <c r="D157" s="9" t="n"/>
      <c r="E157" s="9" t="n"/>
      <c r="F157" s="8" t="n"/>
      <c r="G157" s="7">
        <f>IF(F157="","",TODAY()-F157&gt;120)</f>
        <v/>
      </c>
    </row>
    <row r="158">
      <c r="A158" s="9" t="n"/>
      <c r="B158" s="9" t="n"/>
      <c r="C158" s="9" t="n"/>
      <c r="D158" s="9" t="n"/>
      <c r="E158" s="9" t="n"/>
      <c r="F158" s="8" t="n"/>
      <c r="G158" s="7">
        <f>IF(F158="","",TODAY()-F158&gt;120)</f>
        <v/>
      </c>
    </row>
    <row r="159">
      <c r="A159" s="9" t="n"/>
      <c r="B159" s="9" t="n"/>
      <c r="C159" s="9" t="n"/>
      <c r="D159" s="9" t="n"/>
      <c r="E159" s="9" t="n"/>
      <c r="F159" s="8" t="n"/>
      <c r="G159" s="7">
        <f>IF(F159="","",TODAY()-F159&gt;120)</f>
        <v/>
      </c>
    </row>
    <row r="160">
      <c r="A160" s="9" t="n"/>
      <c r="B160" s="9" t="n"/>
      <c r="C160" s="9" t="n"/>
      <c r="D160" s="9" t="n"/>
      <c r="E160" s="9" t="n"/>
      <c r="F160" s="8" t="n"/>
      <c r="G160" s="7">
        <f>IF(F160="","",TODAY()-F160&gt;120)</f>
        <v/>
      </c>
    </row>
    <row r="161">
      <c r="A161" s="9" t="n"/>
      <c r="B161" s="9" t="n"/>
      <c r="C161" s="9" t="n"/>
      <c r="D161" s="9" t="n"/>
      <c r="E161" s="9" t="n"/>
      <c r="F161" s="8" t="n"/>
      <c r="G161" s="7">
        <f>IF(F161="","",TODAY()-F161&gt;120)</f>
        <v/>
      </c>
    </row>
    <row r="162">
      <c r="A162" s="9" t="n"/>
      <c r="B162" s="9" t="n"/>
      <c r="C162" s="9" t="n"/>
      <c r="D162" s="9" t="n"/>
      <c r="E162" s="9" t="n"/>
      <c r="F162" s="8" t="n"/>
      <c r="G162" s="7">
        <f>IF(F162="","",TODAY()-F162&gt;120)</f>
        <v/>
      </c>
    </row>
    <row r="163">
      <c r="A163" s="9" t="n"/>
      <c r="B163" s="9" t="n"/>
      <c r="C163" s="9" t="n"/>
      <c r="D163" s="9" t="n"/>
      <c r="E163" s="9" t="n"/>
      <c r="F163" s="8" t="n"/>
      <c r="G163" s="7">
        <f>IF(F163="","",TODAY()-F163&gt;120)</f>
        <v/>
      </c>
    </row>
    <row r="164">
      <c r="A164" s="9" t="n"/>
      <c r="B164" s="9" t="n"/>
      <c r="C164" s="9" t="n"/>
      <c r="D164" s="9" t="n"/>
      <c r="E164" s="9" t="n"/>
      <c r="F164" s="8" t="n"/>
      <c r="G164" s="7">
        <f>IF(F164="","",TODAY()-F164&gt;120)</f>
        <v/>
      </c>
    </row>
    <row r="165">
      <c r="A165" s="9" t="n"/>
      <c r="B165" s="9" t="n"/>
      <c r="C165" s="9" t="n"/>
      <c r="D165" s="9" t="n"/>
      <c r="E165" s="9" t="n"/>
      <c r="F165" s="8" t="n"/>
      <c r="G165" s="7">
        <f>IF(F165="","",TODAY()-F165&gt;120)</f>
        <v/>
      </c>
    </row>
    <row r="166">
      <c r="A166" s="9" t="n"/>
      <c r="B166" s="9" t="n"/>
      <c r="C166" s="9" t="n"/>
      <c r="D166" s="9" t="n"/>
      <c r="E166" s="9" t="n"/>
      <c r="F166" s="8" t="n"/>
      <c r="G166" s="7">
        <f>IF(F166="","",TODAY()-F166&gt;120)</f>
        <v/>
      </c>
    </row>
    <row r="167">
      <c r="A167" s="9" t="n"/>
      <c r="B167" s="9" t="n"/>
      <c r="C167" s="9" t="n"/>
      <c r="D167" s="9" t="n"/>
      <c r="E167" s="9" t="n"/>
      <c r="F167" s="8" t="n"/>
      <c r="G167" s="7">
        <f>IF(F167="","",TODAY()-F167&gt;120)</f>
        <v/>
      </c>
    </row>
    <row r="168">
      <c r="A168" s="9" t="n"/>
      <c r="B168" s="9" t="n"/>
      <c r="C168" s="9" t="n"/>
      <c r="D168" s="9" t="n"/>
      <c r="E168" s="9" t="n"/>
      <c r="F168" s="8" t="n"/>
      <c r="G168" s="7">
        <f>IF(F168="","",TODAY()-F168&gt;120)</f>
        <v/>
      </c>
    </row>
    <row r="169">
      <c r="A169" s="9" t="n"/>
      <c r="B169" s="9" t="n"/>
      <c r="C169" s="9" t="n"/>
      <c r="D169" s="9" t="n"/>
      <c r="E169" s="9" t="n"/>
      <c r="F169" s="8" t="n"/>
      <c r="G169" s="7">
        <f>IF(F169="","",TODAY()-F169&gt;120)</f>
        <v/>
      </c>
    </row>
    <row r="170">
      <c r="A170" s="9" t="n"/>
      <c r="B170" s="9" t="n"/>
      <c r="C170" s="9" t="n"/>
      <c r="D170" s="9" t="n"/>
      <c r="E170" s="9" t="n"/>
      <c r="F170" s="8" t="n"/>
      <c r="G170" s="7">
        <f>IF(F170="","",TODAY()-F170&gt;120)</f>
        <v/>
      </c>
    </row>
    <row r="171">
      <c r="A171" s="9" t="n"/>
      <c r="B171" s="9" t="n"/>
      <c r="C171" s="9" t="n"/>
      <c r="D171" s="9" t="n"/>
      <c r="E171" s="9" t="n"/>
      <c r="F171" s="8" t="n"/>
      <c r="G171" s="7">
        <f>IF(F171="","",TODAY()-F171&gt;120)</f>
        <v/>
      </c>
    </row>
    <row r="172">
      <c r="A172" s="9" t="n"/>
      <c r="B172" s="9" t="n"/>
      <c r="C172" s="9" t="n"/>
      <c r="D172" s="9" t="n"/>
      <c r="E172" s="9" t="n"/>
      <c r="F172" s="8" t="n"/>
      <c r="G172" s="7">
        <f>IF(F172="","",TODAY()-F172&gt;120)</f>
        <v/>
      </c>
    </row>
    <row r="173">
      <c r="A173" s="9" t="n"/>
      <c r="B173" s="9" t="n"/>
      <c r="C173" s="9" t="n"/>
      <c r="D173" s="9" t="n"/>
      <c r="E173" s="9" t="n"/>
      <c r="F173" s="8" t="n"/>
      <c r="G173" s="7">
        <f>IF(F173="","",TODAY()-F173&gt;120)</f>
        <v/>
      </c>
    </row>
    <row r="174">
      <c r="A174" s="9" t="n"/>
      <c r="B174" s="9" t="n"/>
      <c r="C174" s="9" t="n"/>
      <c r="D174" s="9" t="n"/>
      <c r="E174" s="9" t="n"/>
      <c r="F174" s="8" t="n"/>
      <c r="G174" s="7">
        <f>IF(F174="","",TODAY()-F174&gt;120)</f>
        <v/>
      </c>
    </row>
    <row r="175">
      <c r="A175" s="9" t="n"/>
      <c r="B175" s="9" t="n"/>
      <c r="C175" s="9" t="n"/>
      <c r="D175" s="9" t="n"/>
      <c r="E175" s="9" t="n"/>
      <c r="F175" s="8" t="n"/>
      <c r="G175" s="7">
        <f>IF(F175="","",TODAY()-F175&gt;120)</f>
        <v/>
      </c>
    </row>
    <row r="176">
      <c r="A176" s="9" t="n"/>
      <c r="B176" s="9" t="n"/>
      <c r="C176" s="9" t="n"/>
      <c r="D176" s="9" t="n"/>
      <c r="E176" s="9" t="n"/>
      <c r="F176" s="8" t="n"/>
      <c r="G176" s="7">
        <f>IF(F176="","",TODAY()-F176&gt;120)</f>
        <v/>
      </c>
    </row>
    <row r="177">
      <c r="A177" s="9" t="n"/>
      <c r="B177" s="9" t="n"/>
      <c r="C177" s="9" t="n"/>
      <c r="D177" s="9" t="n"/>
      <c r="E177" s="9" t="n"/>
      <c r="F177" s="8" t="n"/>
      <c r="G177" s="7">
        <f>IF(F177="","",TODAY()-F177&gt;120)</f>
        <v/>
      </c>
    </row>
    <row r="178">
      <c r="A178" s="9" t="n"/>
      <c r="B178" s="9" t="n"/>
      <c r="C178" s="9" t="n"/>
      <c r="D178" s="9" t="n"/>
      <c r="E178" s="9" t="n"/>
      <c r="F178" s="8" t="n"/>
      <c r="G178" s="7">
        <f>IF(F178="","",TODAY()-F178&gt;120)</f>
        <v/>
      </c>
    </row>
    <row r="179">
      <c r="A179" s="9" t="n"/>
      <c r="B179" s="9" t="n"/>
      <c r="C179" s="9" t="n"/>
      <c r="D179" s="9" t="n"/>
      <c r="E179" s="9" t="n"/>
      <c r="F179" s="8" t="n"/>
      <c r="G179" s="7">
        <f>IF(F179="","",TODAY()-F179&gt;120)</f>
        <v/>
      </c>
    </row>
    <row r="180">
      <c r="A180" s="9" t="n"/>
      <c r="B180" s="9" t="n"/>
      <c r="C180" s="9" t="n"/>
      <c r="D180" s="9" t="n"/>
      <c r="E180" s="9" t="n"/>
      <c r="F180" s="8" t="n"/>
      <c r="G180" s="7">
        <f>IF(F180="","",TODAY()-F180&gt;120)</f>
        <v/>
      </c>
    </row>
    <row r="181">
      <c r="A181" s="9" t="n"/>
      <c r="B181" s="9" t="n"/>
      <c r="C181" s="9" t="n"/>
      <c r="D181" s="9" t="n"/>
      <c r="E181" s="9" t="n"/>
      <c r="F181" s="8" t="n"/>
      <c r="G181" s="7">
        <f>IF(F181="","",TODAY()-F181&gt;120)</f>
        <v/>
      </c>
    </row>
    <row r="182">
      <c r="A182" s="9" t="n"/>
      <c r="B182" s="9" t="n"/>
      <c r="C182" s="9" t="n"/>
      <c r="D182" s="9" t="n"/>
      <c r="E182" s="9" t="n"/>
      <c r="F182" s="8" t="n"/>
      <c r="G182" s="7">
        <f>IF(F182="","",TODAY()-F182&gt;120)</f>
        <v/>
      </c>
    </row>
    <row r="183">
      <c r="A183" s="9" t="n"/>
      <c r="B183" s="9" t="n"/>
      <c r="C183" s="9" t="n"/>
      <c r="D183" s="9" t="n"/>
      <c r="E183" s="9" t="n"/>
      <c r="F183" s="8" t="n"/>
      <c r="G183" s="7">
        <f>IF(F183="","",TODAY()-F183&gt;120)</f>
        <v/>
      </c>
    </row>
    <row r="184">
      <c r="A184" s="9" t="n"/>
      <c r="B184" s="9" t="n"/>
      <c r="C184" s="9" t="n"/>
      <c r="D184" s="9" t="n"/>
      <c r="E184" s="9" t="n"/>
      <c r="F184" s="8" t="n"/>
      <c r="G184" s="7">
        <f>IF(F184="","",TODAY()-F184&gt;120)</f>
        <v/>
      </c>
    </row>
    <row r="185">
      <c r="A185" s="9" t="n"/>
      <c r="B185" s="9" t="n"/>
      <c r="C185" s="9" t="n"/>
      <c r="D185" s="9" t="n"/>
      <c r="E185" s="9" t="n"/>
      <c r="F185" s="8" t="n"/>
      <c r="G185" s="7">
        <f>IF(F185="","",TODAY()-F185&gt;120)</f>
        <v/>
      </c>
    </row>
    <row r="186">
      <c r="A186" s="9" t="n"/>
      <c r="B186" s="9" t="n"/>
      <c r="C186" s="9" t="n"/>
      <c r="D186" s="9" t="n"/>
      <c r="E186" s="9" t="n"/>
      <c r="F186" s="8" t="n"/>
      <c r="G186" s="7">
        <f>IF(F186="","",TODAY()-F186&gt;120)</f>
        <v/>
      </c>
    </row>
    <row r="187">
      <c r="A187" s="9" t="n"/>
      <c r="B187" s="9" t="n"/>
      <c r="C187" s="9" t="n"/>
      <c r="D187" s="9" t="n"/>
      <c r="E187" s="9" t="n"/>
      <c r="F187" s="8" t="n"/>
      <c r="G187" s="7">
        <f>IF(F187="","",TODAY()-F187&gt;120)</f>
        <v/>
      </c>
    </row>
    <row r="188">
      <c r="A188" s="9" t="n"/>
      <c r="B188" s="9" t="n"/>
      <c r="C188" s="9" t="n"/>
      <c r="D188" s="9" t="n"/>
      <c r="E188" s="9" t="n"/>
      <c r="F188" s="8" t="n"/>
      <c r="G188" s="7">
        <f>IF(F188="","",TODAY()-F188&gt;120)</f>
        <v/>
      </c>
    </row>
    <row r="189">
      <c r="A189" s="9" t="n"/>
      <c r="B189" s="9" t="n"/>
      <c r="C189" s="9" t="n"/>
      <c r="D189" s="9" t="n"/>
      <c r="E189" s="9" t="n"/>
      <c r="F189" s="8" t="n"/>
      <c r="G189" s="7">
        <f>IF(F189="","",TODAY()-F189&gt;120)</f>
        <v/>
      </c>
    </row>
    <row r="190">
      <c r="A190" s="9" t="n"/>
      <c r="B190" s="9" t="n"/>
      <c r="C190" s="9" t="n"/>
      <c r="D190" s="9" t="n"/>
      <c r="E190" s="9" t="n"/>
      <c r="F190" s="8" t="n"/>
      <c r="G190" s="7">
        <f>IF(F190="","",TODAY()-F190&gt;120)</f>
        <v/>
      </c>
    </row>
    <row r="191">
      <c r="A191" s="9" t="n"/>
      <c r="B191" s="9" t="n"/>
      <c r="C191" s="9" t="n"/>
      <c r="D191" s="9" t="n"/>
      <c r="E191" s="9" t="n"/>
      <c r="F191" s="8" t="n"/>
      <c r="G191" s="7">
        <f>IF(F191="","",TODAY()-F191&gt;120)</f>
        <v/>
      </c>
    </row>
    <row r="192">
      <c r="A192" s="9" t="n"/>
      <c r="B192" s="9" t="n"/>
      <c r="C192" s="9" t="n"/>
      <c r="D192" s="9" t="n"/>
      <c r="E192" s="9" t="n"/>
      <c r="F192" s="8" t="n"/>
      <c r="G192" s="7">
        <f>IF(F192="","",TODAY()-F192&gt;120)</f>
        <v/>
      </c>
    </row>
    <row r="193">
      <c r="A193" s="9" t="n"/>
      <c r="B193" s="9" t="n"/>
      <c r="C193" s="9" t="n"/>
      <c r="D193" s="9" t="n"/>
      <c r="E193" s="9" t="n"/>
      <c r="F193" s="8" t="n"/>
      <c r="G193" s="7">
        <f>IF(F193="","",TODAY()-F193&gt;120)</f>
        <v/>
      </c>
    </row>
    <row r="194">
      <c r="A194" s="9" t="n"/>
      <c r="B194" s="9" t="n"/>
      <c r="C194" s="9" t="n"/>
      <c r="D194" s="9" t="n"/>
      <c r="E194" s="9" t="n"/>
      <c r="F194" s="8" t="n"/>
      <c r="G194" s="7">
        <f>IF(F194="","",TODAY()-F194&gt;120)</f>
        <v/>
      </c>
    </row>
    <row r="195">
      <c r="A195" s="9" t="n"/>
      <c r="B195" s="9" t="n"/>
      <c r="C195" s="9" t="n"/>
      <c r="D195" s="9" t="n"/>
      <c r="E195" s="9" t="n"/>
      <c r="F195" s="8" t="n"/>
      <c r="G195" s="7">
        <f>IF(F195="","",TODAY()-F195&gt;120)</f>
        <v/>
      </c>
    </row>
    <row r="196">
      <c r="A196" s="9" t="n"/>
      <c r="B196" s="9" t="n"/>
      <c r="C196" s="9" t="n"/>
      <c r="D196" s="9" t="n"/>
      <c r="E196" s="9" t="n"/>
      <c r="F196" s="8" t="n"/>
      <c r="G196" s="7">
        <f>IF(F196="","",TODAY()-F196&gt;120)</f>
        <v/>
      </c>
    </row>
    <row r="197">
      <c r="A197" s="9" t="n"/>
      <c r="B197" s="9" t="n"/>
      <c r="C197" s="9" t="n"/>
      <c r="D197" s="9" t="n"/>
      <c r="E197" s="9" t="n"/>
      <c r="F197" s="8" t="n"/>
      <c r="G197" s="7">
        <f>IF(F197="","",TODAY()-F197&gt;120)</f>
        <v/>
      </c>
    </row>
    <row r="198">
      <c r="A198" s="9" t="n"/>
      <c r="B198" s="9" t="n"/>
      <c r="C198" s="9" t="n"/>
      <c r="D198" s="9" t="n"/>
      <c r="E198" s="9" t="n"/>
      <c r="F198" s="8" t="n"/>
      <c r="G198" s="7">
        <f>IF(F198="","",TODAY()-F198&gt;120)</f>
        <v/>
      </c>
    </row>
    <row r="199">
      <c r="A199" s="9" t="n"/>
      <c r="B199" s="9" t="n"/>
      <c r="C199" s="9" t="n"/>
      <c r="D199" s="9" t="n"/>
      <c r="E199" s="9" t="n"/>
      <c r="F199" s="8" t="n"/>
      <c r="G199" s="7">
        <f>IF(F199="","",TODAY()-F199&gt;120)</f>
        <v/>
      </c>
    </row>
    <row r="200">
      <c r="A200" s="9" t="n"/>
      <c r="B200" s="9" t="n"/>
      <c r="C200" s="9" t="n"/>
      <c r="D200" s="9" t="n"/>
      <c r="E200" s="9" t="n"/>
      <c r="F200" s="8" t="n"/>
      <c r="G200" s="7">
        <f>IF(F200="","",TODAY()-F200&gt;120)</f>
        <v/>
      </c>
    </row>
    <row r="201">
      <c r="A201" s="9" t="n"/>
      <c r="B201" s="9" t="n"/>
      <c r="C201" s="9" t="n"/>
      <c r="D201" s="9" t="n"/>
      <c r="E201" s="9" t="n"/>
      <c r="F201" s="8" t="n"/>
      <c r="G201" s="7">
        <f>IF(F201="","",TODAY()-F201&gt;120)</f>
        <v/>
      </c>
    </row>
    <row r="202">
      <c r="A202" s="9" t="n"/>
      <c r="B202" s="9" t="n"/>
      <c r="C202" s="9" t="n"/>
      <c r="D202" s="9" t="n"/>
      <c r="E202" s="9" t="n"/>
      <c r="F202" s="8" t="n"/>
      <c r="G202" s="7">
        <f>IF(F202="","",TODAY()-F202&gt;120)</f>
        <v/>
      </c>
    </row>
    <row r="203">
      <c r="A203" s="9" t="n"/>
      <c r="B203" s="9" t="n"/>
      <c r="C203" s="9" t="n"/>
      <c r="D203" s="9" t="n"/>
      <c r="E203" s="9" t="n"/>
      <c r="F203" s="8" t="n"/>
      <c r="G203" s="7">
        <f>IF(F203="","",TODAY()-F203&gt;120)</f>
        <v/>
      </c>
    </row>
    <row r="204">
      <c r="A204" s="9" t="n"/>
      <c r="B204" s="9" t="n"/>
      <c r="C204" s="9" t="n"/>
      <c r="D204" s="9" t="n"/>
      <c r="E204" s="9" t="n"/>
      <c r="F204" s="8" t="n"/>
      <c r="G204" s="7">
        <f>IF(F204="","",TODAY()-F204&gt;120)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2026-10-18T16:52:50Z</dcterms:created>
  <dcterms:modified xmlns:dcterms="http://purl.org/dc/terms/" xmlns:xsi="http://www.w3.org/2001/XMLSchema-instance" xsi:type="dcterms:W3CDTF">2026-10-18T16:52:50Z</dcterms:modified>
</cp:coreProperties>
</file>