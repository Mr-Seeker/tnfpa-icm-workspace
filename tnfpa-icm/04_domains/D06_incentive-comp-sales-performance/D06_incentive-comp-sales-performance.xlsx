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Reps" sheetId="4" state="visible" r:id="rId4"/>
    <sheet xmlns:r="http://schemas.openxmlformats.org/officeDocument/2006/relationships" name="ToKernel" sheetId="5" state="visible" r:id="rId5"/>
  </sheets>
  <definedNames>
    <definedName name="icm_thr">'Plan'!$B$4</definedName>
    <definedName name="icm_thr_pay">'Plan'!$B$5</definedName>
    <definedName name="icm_acc">'Plan'!$B$6</definedName>
    <definedName name="icm_cap">'Plan'!$B$7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3" fillId="2" borderId="1" pivotButton="0" quotePrefix="0" xfId="0"/>
    <xf numFmtId="2" fontId="3" fillId="2" borderId="1" pivotButton="0" quotePrefix="0" xfId="0"/>
    <xf numFmtId="0" fontId="3" fillId="2" borderId="1" pivotButton="0" quotePrefix="0" xfId="0"/>
    <xf numFmtId="165" fontId="3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5" fillId="0" borderId="1" pivotButton="0" quotePrefix="0" xfId="0"/>
    <xf numFmtId="10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D06 · Incentive compensation management &amp; sales performance management</t>
        </is>
      </c>
    </row>
    <row r="2"/>
    <row r="3">
      <c r="A3" s="2" t="inlineStr">
        <is>
          <t>Domain D06: Incentive compensation management &amp; sales performance management.</t>
        </is>
      </c>
    </row>
    <row r="4">
      <c r="A4" s="2" t="inlineStr">
        <is>
          <t>Compute rep/dealer incentive payouts on a threshold–target–accelerator–cap curve and convert them into a variable opex rate and payout cash weeks.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companies/&lt;slug&gt;/domains/D06_incentive-comp-sales-performance/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variable 'Sales incentives' pct_of_revenue  &lt;=  ToKernel B6</t>
        </is>
      </c>
    </row>
    <row r="11">
      <c r="A11" s="2" t="inlineStr">
        <is>
          <t>K02 quarterly payout flows  &lt;=  Plan cadence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payout never exceeds cap x target</t>
        </is>
      </c>
      <c r="C5" s="7">
        <f>IF(COUNTIF(Reps!I5:I204,TRUE)=0,"PASS","FAIL")</f>
        <v/>
      </c>
    </row>
    <row r="6">
      <c r="A6" t="n">
        <v>2</v>
      </c>
      <c r="B6" t="inlineStr">
        <is>
          <t>threshold below 100%</t>
        </is>
      </c>
      <c r="C6" s="7">
        <f>IF(Plan!$B$4&lt;1,"PASS","FAIL")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Incentive plan design (one plan per workbook copy)</t>
        </is>
      </c>
    </row>
    <row r="2"/>
    <row r="3"/>
    <row r="4">
      <c r="A4" t="inlineStr">
        <is>
          <t>threshold attainment (no payout below)</t>
        </is>
      </c>
      <c r="B4" s="8" t="n">
        <v>0.8</v>
      </c>
    </row>
    <row r="5">
      <c r="A5" t="inlineStr">
        <is>
          <t>payout at threshold (% of target incentive)</t>
        </is>
      </c>
      <c r="B5" s="8" t="n">
        <v>0.5</v>
      </c>
    </row>
    <row r="6">
      <c r="A6" t="inlineStr">
        <is>
          <t>accelerator multiple above 100%</t>
        </is>
      </c>
      <c r="B6" s="9" t="n">
        <v>1.5</v>
      </c>
    </row>
    <row r="7">
      <c r="A7" t="inlineStr">
        <is>
          <t>cap (% of target incentive)</t>
        </is>
      </c>
      <c r="B7" s="8" t="n">
        <v>2</v>
      </c>
    </row>
    <row r="8">
      <c r="A8" t="inlineStr">
        <is>
          <t>payout cadence (quarterly / monthly)</t>
        </is>
      </c>
      <c r="B8" s="10" t="inlineStr">
        <is>
          <t>quarterly</t>
        </is>
      </c>
    </row>
    <row r="9">
      <c r="A9" t="inlineStr">
        <is>
          <t>tax: incentives are salary - TDS u/s 192 at payout; employer PF only if part of basic</t>
        </is>
      </c>
      <c r="B9" s="10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30" customWidth="1" min="4" max="4"/>
    <col width="20" customWidth="1" min="5" max="5"/>
    <col width="14" customWidth="1" min="6" max="6"/>
    <col width="22" customWidth="1" min="7" max="7"/>
    <col width="12" customWidth="1" min="8" max="8"/>
    <col width="13" customWidth="1" min="9" max="9"/>
  </cols>
  <sheetData>
    <row r="1">
      <c r="A1" s="1" t="inlineStr">
        <is>
          <t>Reps / dealers - attainment and payout</t>
        </is>
      </c>
    </row>
    <row r="2"/>
    <row r="3"/>
    <row r="4">
      <c r="A4" s="6" t="inlineStr">
        <is>
          <t>rep / dealer</t>
        </is>
      </c>
      <c r="B4" s="6" t="inlineStr">
        <is>
          <t>territory (TN district)</t>
        </is>
      </c>
      <c r="C4" s="6" t="inlineStr">
        <is>
          <t>quota</t>
        </is>
      </c>
      <c r="D4" s="6" t="inlineStr">
        <is>
          <t>actual (booked &amp; invoiced)</t>
        </is>
      </c>
      <c r="E4" s="6" t="inlineStr">
        <is>
          <t>target incentive</t>
        </is>
      </c>
      <c r="F4" s="6" t="inlineStr">
        <is>
          <t>attainment</t>
        </is>
      </c>
      <c r="G4" s="6" t="inlineStr">
        <is>
          <t>payout % of target</t>
        </is>
      </c>
      <c r="H4" s="6" t="inlineStr">
        <is>
          <t>payout</t>
        </is>
      </c>
      <c r="I4" s="6" t="inlineStr">
        <is>
          <t>over cap?</t>
        </is>
      </c>
    </row>
    <row r="5">
      <c r="A5" s="10" t="inlineStr">
        <is>
          <t>R-Madurai-01</t>
        </is>
      </c>
      <c r="B5" s="10" t="inlineStr">
        <is>
          <t>Madurai</t>
        </is>
      </c>
      <c r="C5" s="11" t="n">
        <v>24000000</v>
      </c>
      <c r="D5" s="11" t="n">
        <v>26500000</v>
      </c>
      <c r="E5" s="11" t="n">
        <v>300000</v>
      </c>
      <c r="F5" s="12">
        <f>IF(OR(A5="",N(C5)=0),"",D5/C5)</f>
        <v/>
      </c>
      <c r="G5" s="12">
        <f>IF(F5="","",IF(F5&lt;Plan!$B$4,0,IF(F5&lt;=1,Plan!$B$5+(1-Plan!$B$5)*(F5-Plan!$B$4)/(1-Plan!$B$4),MIN(Plan!$B$7,1+Plan!$B$6*(F5-1)))))</f>
        <v/>
      </c>
      <c r="H5" s="13">
        <f>IF(G5="","",G5*E5)</f>
        <v/>
      </c>
      <c r="I5" s="7">
        <f>IF(H5="","",H5&gt;Plan!$B$7*E5+0.01)</f>
        <v/>
      </c>
    </row>
    <row r="6">
      <c r="A6" s="10" t="inlineStr">
        <is>
          <t>R-Salem-02</t>
        </is>
      </c>
      <c r="B6" s="10" t="inlineStr">
        <is>
          <t>Salem</t>
        </is>
      </c>
      <c r="C6" s="11" t="n">
        <v>18000000</v>
      </c>
      <c r="D6" s="11" t="n">
        <v>14000000</v>
      </c>
      <c r="E6" s="11" t="n">
        <v>240000</v>
      </c>
      <c r="F6" s="12">
        <f>IF(OR(A6="",N(C6)=0),"",D6/C6)</f>
        <v/>
      </c>
      <c r="G6" s="12">
        <f>IF(F6="","",IF(F6&lt;Plan!$B$4,0,IF(F6&lt;=1,Plan!$B$5+(1-Plan!$B$5)*(F6-Plan!$B$4)/(1-Plan!$B$4),MIN(Plan!$B$7,1+Plan!$B$6*(F6-1)))))</f>
        <v/>
      </c>
      <c r="H6" s="13">
        <f>IF(G6="","",G6*E6)</f>
        <v/>
      </c>
      <c r="I6" s="7">
        <f>IF(H6="","",H6&gt;Plan!$B$7*E6+0.01)</f>
        <v/>
      </c>
    </row>
    <row r="7">
      <c r="A7" s="10" t="inlineStr">
        <is>
          <t>D-Tiruppur-07</t>
        </is>
      </c>
      <c r="B7" s="10" t="inlineStr">
        <is>
          <t>Tiruppur</t>
        </is>
      </c>
      <c r="C7" s="11" t="n">
        <v>30000000</v>
      </c>
      <c r="D7" s="11" t="n">
        <v>31000000</v>
      </c>
      <c r="E7" s="11" t="n">
        <v>360000</v>
      </c>
      <c r="F7" s="12">
        <f>IF(OR(A7="",N(C7)=0),"",D7/C7)</f>
        <v/>
      </c>
      <c r="G7" s="12">
        <f>IF(F7="","",IF(F7&lt;Plan!$B$4,0,IF(F7&lt;=1,Plan!$B$5+(1-Plan!$B$5)*(F7-Plan!$B$4)/(1-Plan!$B$4),MIN(Plan!$B$7,1+Plan!$B$6*(F7-1)))))</f>
        <v/>
      </c>
      <c r="H7" s="13">
        <f>IF(G7="","",G7*E7)</f>
        <v/>
      </c>
      <c r="I7" s="7">
        <f>IF(H7="","",H7&gt;Plan!$B$7*E7+0.01)</f>
        <v/>
      </c>
    </row>
    <row r="8">
      <c r="A8" s="10" t="n"/>
      <c r="B8" s="10" t="n"/>
      <c r="C8" s="11" t="n"/>
      <c r="D8" s="11" t="n"/>
      <c r="E8" s="11" t="n"/>
      <c r="F8" s="12">
        <f>IF(OR(A8="",N(C8)=0),"",D8/C8)</f>
        <v/>
      </c>
      <c r="G8" s="12">
        <f>IF(F8="","",IF(F8&lt;Plan!$B$4,0,IF(F8&lt;=1,Plan!$B$5+(1-Plan!$B$5)*(F8-Plan!$B$4)/(1-Plan!$B$4),MIN(Plan!$B$7,1+Plan!$B$6*(F8-1)))))</f>
        <v/>
      </c>
      <c r="H8" s="13">
        <f>IF(G8="","",G8*E8)</f>
        <v/>
      </c>
      <c r="I8" s="7">
        <f>IF(H8="","",H8&gt;Plan!$B$7*E8+0.01)</f>
        <v/>
      </c>
    </row>
    <row r="9">
      <c r="A9" s="10" t="n"/>
      <c r="B9" s="10" t="n"/>
      <c r="C9" s="11" t="n"/>
      <c r="D9" s="11" t="n"/>
      <c r="E9" s="11" t="n"/>
      <c r="F9" s="12">
        <f>IF(OR(A9="",N(C9)=0),"",D9/C9)</f>
        <v/>
      </c>
      <c r="G9" s="12">
        <f>IF(F9="","",IF(F9&lt;Plan!$B$4,0,IF(F9&lt;=1,Plan!$B$5+(1-Plan!$B$5)*(F9-Plan!$B$4)/(1-Plan!$B$4),MIN(Plan!$B$7,1+Plan!$B$6*(F9-1)))))</f>
        <v/>
      </c>
      <c r="H9" s="13">
        <f>IF(G9="","",G9*E9)</f>
        <v/>
      </c>
      <c r="I9" s="7">
        <f>IF(H9="","",H9&gt;Plan!$B$7*E9+0.01)</f>
        <v/>
      </c>
    </row>
    <row r="10">
      <c r="A10" s="10" t="n"/>
      <c r="B10" s="10" t="n"/>
      <c r="C10" s="11" t="n"/>
      <c r="D10" s="11" t="n"/>
      <c r="E10" s="11" t="n"/>
      <c r="F10" s="12">
        <f>IF(OR(A10="",N(C10)=0),"",D10/C10)</f>
        <v/>
      </c>
      <c r="G10" s="12">
        <f>IF(F10="","",IF(F10&lt;Plan!$B$4,0,IF(F10&lt;=1,Plan!$B$5+(1-Plan!$B$5)*(F10-Plan!$B$4)/(1-Plan!$B$4),MIN(Plan!$B$7,1+Plan!$B$6*(F10-1)))))</f>
        <v/>
      </c>
      <c r="H10" s="13">
        <f>IF(G10="","",G10*E10)</f>
        <v/>
      </c>
      <c r="I10" s="7">
        <f>IF(H10="","",H10&gt;Plan!$B$7*E10+0.01)</f>
        <v/>
      </c>
    </row>
    <row r="11">
      <c r="A11" s="10" t="n"/>
      <c r="B11" s="10" t="n"/>
      <c r="C11" s="11" t="n"/>
      <c r="D11" s="11" t="n"/>
      <c r="E11" s="11" t="n"/>
      <c r="F11" s="12">
        <f>IF(OR(A11="",N(C11)=0),"",D11/C11)</f>
        <v/>
      </c>
      <c r="G11" s="12">
        <f>IF(F11="","",IF(F11&lt;Plan!$B$4,0,IF(F11&lt;=1,Plan!$B$5+(1-Plan!$B$5)*(F11-Plan!$B$4)/(1-Plan!$B$4),MIN(Plan!$B$7,1+Plan!$B$6*(F11-1)))))</f>
        <v/>
      </c>
      <c r="H11" s="13">
        <f>IF(G11="","",G11*E11)</f>
        <v/>
      </c>
      <c r="I11" s="7">
        <f>IF(H11="","",H11&gt;Plan!$B$7*E11+0.01)</f>
        <v/>
      </c>
    </row>
    <row r="12">
      <c r="A12" s="10" t="n"/>
      <c r="B12" s="10" t="n"/>
      <c r="C12" s="11" t="n"/>
      <c r="D12" s="11" t="n"/>
      <c r="E12" s="11" t="n"/>
      <c r="F12" s="12">
        <f>IF(OR(A12="",N(C12)=0),"",D12/C12)</f>
        <v/>
      </c>
      <c r="G12" s="12">
        <f>IF(F12="","",IF(F12&lt;Plan!$B$4,0,IF(F12&lt;=1,Plan!$B$5+(1-Plan!$B$5)*(F12-Plan!$B$4)/(1-Plan!$B$4),MIN(Plan!$B$7,1+Plan!$B$6*(F12-1)))))</f>
        <v/>
      </c>
      <c r="H12" s="13">
        <f>IF(G12="","",G12*E12)</f>
        <v/>
      </c>
      <c r="I12" s="7">
        <f>IF(H12="","",H12&gt;Plan!$B$7*E12+0.01)</f>
        <v/>
      </c>
    </row>
    <row r="13">
      <c r="A13" s="10" t="n"/>
      <c r="B13" s="10" t="n"/>
      <c r="C13" s="11" t="n"/>
      <c r="D13" s="11" t="n"/>
      <c r="E13" s="11" t="n"/>
      <c r="F13" s="12">
        <f>IF(OR(A13="",N(C13)=0),"",D13/C13)</f>
        <v/>
      </c>
      <c r="G13" s="12">
        <f>IF(F13="","",IF(F13&lt;Plan!$B$4,0,IF(F13&lt;=1,Plan!$B$5+(1-Plan!$B$5)*(F13-Plan!$B$4)/(1-Plan!$B$4),MIN(Plan!$B$7,1+Plan!$B$6*(F13-1)))))</f>
        <v/>
      </c>
      <c r="H13" s="13">
        <f>IF(G13="","",G13*E13)</f>
        <v/>
      </c>
      <c r="I13" s="7">
        <f>IF(H13="","",H13&gt;Plan!$B$7*E13+0.01)</f>
        <v/>
      </c>
    </row>
    <row r="14">
      <c r="A14" s="10" t="n"/>
      <c r="B14" s="10" t="n"/>
      <c r="C14" s="11" t="n"/>
      <c r="D14" s="11" t="n"/>
      <c r="E14" s="11" t="n"/>
      <c r="F14" s="12">
        <f>IF(OR(A14="",N(C14)=0),"",D14/C14)</f>
        <v/>
      </c>
      <c r="G14" s="12">
        <f>IF(F14="","",IF(F14&lt;Plan!$B$4,0,IF(F14&lt;=1,Plan!$B$5+(1-Plan!$B$5)*(F14-Plan!$B$4)/(1-Plan!$B$4),MIN(Plan!$B$7,1+Plan!$B$6*(F14-1)))))</f>
        <v/>
      </c>
      <c r="H14" s="13">
        <f>IF(G14="","",G14*E14)</f>
        <v/>
      </c>
      <c r="I14" s="7">
        <f>IF(H14="","",H14&gt;Plan!$B$7*E14+0.01)</f>
        <v/>
      </c>
    </row>
    <row r="15">
      <c r="A15" s="10" t="n"/>
      <c r="B15" s="10" t="n"/>
      <c r="C15" s="11" t="n"/>
      <c r="D15" s="11" t="n"/>
      <c r="E15" s="11" t="n"/>
      <c r="F15" s="12">
        <f>IF(OR(A15="",N(C15)=0),"",D15/C15)</f>
        <v/>
      </c>
      <c r="G15" s="12">
        <f>IF(F15="","",IF(F15&lt;Plan!$B$4,0,IF(F15&lt;=1,Plan!$B$5+(1-Plan!$B$5)*(F15-Plan!$B$4)/(1-Plan!$B$4),MIN(Plan!$B$7,1+Plan!$B$6*(F15-1)))))</f>
        <v/>
      </c>
      <c r="H15" s="13">
        <f>IF(G15="","",G15*E15)</f>
        <v/>
      </c>
      <c r="I15" s="7">
        <f>IF(H15="","",H15&gt;Plan!$B$7*E15+0.01)</f>
        <v/>
      </c>
    </row>
    <row r="16">
      <c r="A16" s="10" t="n"/>
      <c r="B16" s="10" t="n"/>
      <c r="C16" s="11" t="n"/>
      <c r="D16" s="11" t="n"/>
      <c r="E16" s="11" t="n"/>
      <c r="F16" s="12">
        <f>IF(OR(A16="",N(C16)=0),"",D16/C16)</f>
        <v/>
      </c>
      <c r="G16" s="12">
        <f>IF(F16="","",IF(F16&lt;Plan!$B$4,0,IF(F16&lt;=1,Plan!$B$5+(1-Plan!$B$5)*(F16-Plan!$B$4)/(1-Plan!$B$4),MIN(Plan!$B$7,1+Plan!$B$6*(F16-1)))))</f>
        <v/>
      </c>
      <c r="H16" s="13">
        <f>IF(G16="","",G16*E16)</f>
        <v/>
      </c>
      <c r="I16" s="7">
        <f>IF(H16="","",H16&gt;Plan!$B$7*E16+0.01)</f>
        <v/>
      </c>
    </row>
    <row r="17">
      <c r="A17" s="10" t="n"/>
      <c r="B17" s="10" t="n"/>
      <c r="C17" s="11" t="n"/>
      <c r="D17" s="11" t="n"/>
      <c r="E17" s="11" t="n"/>
      <c r="F17" s="12">
        <f>IF(OR(A17="",N(C17)=0),"",D17/C17)</f>
        <v/>
      </c>
      <c r="G17" s="12">
        <f>IF(F17="","",IF(F17&lt;Plan!$B$4,0,IF(F17&lt;=1,Plan!$B$5+(1-Plan!$B$5)*(F17-Plan!$B$4)/(1-Plan!$B$4),MIN(Plan!$B$7,1+Plan!$B$6*(F17-1)))))</f>
        <v/>
      </c>
      <c r="H17" s="13">
        <f>IF(G17="","",G17*E17)</f>
        <v/>
      </c>
      <c r="I17" s="7">
        <f>IF(H17="","",H17&gt;Plan!$B$7*E17+0.01)</f>
        <v/>
      </c>
    </row>
    <row r="18">
      <c r="A18" s="10" t="n"/>
      <c r="B18" s="10" t="n"/>
      <c r="C18" s="11" t="n"/>
      <c r="D18" s="11" t="n"/>
      <c r="E18" s="11" t="n"/>
      <c r="F18" s="12">
        <f>IF(OR(A18="",N(C18)=0),"",D18/C18)</f>
        <v/>
      </c>
      <c r="G18" s="12">
        <f>IF(F18="","",IF(F18&lt;Plan!$B$4,0,IF(F18&lt;=1,Plan!$B$5+(1-Plan!$B$5)*(F18-Plan!$B$4)/(1-Plan!$B$4),MIN(Plan!$B$7,1+Plan!$B$6*(F18-1)))))</f>
        <v/>
      </c>
      <c r="H18" s="13">
        <f>IF(G18="","",G18*E18)</f>
        <v/>
      </c>
      <c r="I18" s="7">
        <f>IF(H18="","",H18&gt;Plan!$B$7*E18+0.01)</f>
        <v/>
      </c>
    </row>
    <row r="19">
      <c r="A19" s="10" t="n"/>
      <c r="B19" s="10" t="n"/>
      <c r="C19" s="11" t="n"/>
      <c r="D19" s="11" t="n"/>
      <c r="E19" s="11" t="n"/>
      <c r="F19" s="12">
        <f>IF(OR(A19="",N(C19)=0),"",D19/C19)</f>
        <v/>
      </c>
      <c r="G19" s="12">
        <f>IF(F19="","",IF(F19&lt;Plan!$B$4,0,IF(F19&lt;=1,Plan!$B$5+(1-Plan!$B$5)*(F19-Plan!$B$4)/(1-Plan!$B$4),MIN(Plan!$B$7,1+Plan!$B$6*(F19-1)))))</f>
        <v/>
      </c>
      <c r="H19" s="13">
        <f>IF(G19="","",G19*E19)</f>
        <v/>
      </c>
      <c r="I19" s="7">
        <f>IF(H19="","",H19&gt;Plan!$B$7*E19+0.01)</f>
        <v/>
      </c>
    </row>
    <row r="20">
      <c r="A20" s="10" t="n"/>
      <c r="B20" s="10" t="n"/>
      <c r="C20" s="11" t="n"/>
      <c r="D20" s="11" t="n"/>
      <c r="E20" s="11" t="n"/>
      <c r="F20" s="12">
        <f>IF(OR(A20="",N(C20)=0),"",D20/C20)</f>
        <v/>
      </c>
      <c r="G20" s="12">
        <f>IF(F20="","",IF(F20&lt;Plan!$B$4,0,IF(F20&lt;=1,Plan!$B$5+(1-Plan!$B$5)*(F20-Plan!$B$4)/(1-Plan!$B$4),MIN(Plan!$B$7,1+Plan!$B$6*(F20-1)))))</f>
        <v/>
      </c>
      <c r="H20" s="13">
        <f>IF(G20="","",G20*E20)</f>
        <v/>
      </c>
      <c r="I20" s="7">
        <f>IF(H20="","",H20&gt;Plan!$B$7*E20+0.01)</f>
        <v/>
      </c>
    </row>
    <row r="21">
      <c r="A21" s="10" t="n"/>
      <c r="B21" s="10" t="n"/>
      <c r="C21" s="11" t="n"/>
      <c r="D21" s="11" t="n"/>
      <c r="E21" s="11" t="n"/>
      <c r="F21" s="12">
        <f>IF(OR(A21="",N(C21)=0),"",D21/C21)</f>
        <v/>
      </c>
      <c r="G21" s="12">
        <f>IF(F21="","",IF(F21&lt;Plan!$B$4,0,IF(F21&lt;=1,Plan!$B$5+(1-Plan!$B$5)*(F21-Plan!$B$4)/(1-Plan!$B$4),MIN(Plan!$B$7,1+Plan!$B$6*(F21-1)))))</f>
        <v/>
      </c>
      <c r="H21" s="13">
        <f>IF(G21="","",G21*E21)</f>
        <v/>
      </c>
      <c r="I21" s="7">
        <f>IF(H21="","",H21&gt;Plan!$B$7*E21+0.01)</f>
        <v/>
      </c>
    </row>
    <row r="22">
      <c r="A22" s="10" t="n"/>
      <c r="B22" s="10" t="n"/>
      <c r="C22" s="11" t="n"/>
      <c r="D22" s="11" t="n"/>
      <c r="E22" s="11" t="n"/>
      <c r="F22" s="12">
        <f>IF(OR(A22="",N(C22)=0),"",D22/C22)</f>
        <v/>
      </c>
      <c r="G22" s="12">
        <f>IF(F22="","",IF(F22&lt;Plan!$B$4,0,IF(F22&lt;=1,Plan!$B$5+(1-Plan!$B$5)*(F22-Plan!$B$4)/(1-Plan!$B$4),MIN(Plan!$B$7,1+Plan!$B$6*(F22-1)))))</f>
        <v/>
      </c>
      <c r="H22" s="13">
        <f>IF(G22="","",G22*E22)</f>
        <v/>
      </c>
      <c r="I22" s="7">
        <f>IF(H22="","",H22&gt;Plan!$B$7*E22+0.01)</f>
        <v/>
      </c>
    </row>
    <row r="23">
      <c r="A23" s="10" t="n"/>
      <c r="B23" s="10" t="n"/>
      <c r="C23" s="11" t="n"/>
      <c r="D23" s="11" t="n"/>
      <c r="E23" s="11" t="n"/>
      <c r="F23" s="12">
        <f>IF(OR(A23="",N(C23)=0),"",D23/C23)</f>
        <v/>
      </c>
      <c r="G23" s="12">
        <f>IF(F23="","",IF(F23&lt;Plan!$B$4,0,IF(F23&lt;=1,Plan!$B$5+(1-Plan!$B$5)*(F23-Plan!$B$4)/(1-Plan!$B$4),MIN(Plan!$B$7,1+Plan!$B$6*(F23-1)))))</f>
        <v/>
      </c>
      <c r="H23" s="13">
        <f>IF(G23="","",G23*E23)</f>
        <v/>
      </c>
      <c r="I23" s="7">
        <f>IF(H23="","",H23&gt;Plan!$B$7*E23+0.01)</f>
        <v/>
      </c>
    </row>
    <row r="24">
      <c r="A24" s="10" t="n"/>
      <c r="B24" s="10" t="n"/>
      <c r="C24" s="11" t="n"/>
      <c r="D24" s="11" t="n"/>
      <c r="E24" s="11" t="n"/>
      <c r="F24" s="12">
        <f>IF(OR(A24="",N(C24)=0),"",D24/C24)</f>
        <v/>
      </c>
      <c r="G24" s="12">
        <f>IF(F24="","",IF(F24&lt;Plan!$B$4,0,IF(F24&lt;=1,Plan!$B$5+(1-Plan!$B$5)*(F24-Plan!$B$4)/(1-Plan!$B$4),MIN(Plan!$B$7,1+Plan!$B$6*(F24-1)))))</f>
        <v/>
      </c>
      <c r="H24" s="13">
        <f>IF(G24="","",G24*E24)</f>
        <v/>
      </c>
      <c r="I24" s="7">
        <f>IF(H24="","",H24&gt;Plan!$B$7*E24+0.01)</f>
        <v/>
      </c>
    </row>
    <row r="25">
      <c r="A25" s="10" t="n"/>
      <c r="B25" s="10" t="n"/>
      <c r="C25" s="11" t="n"/>
      <c r="D25" s="11" t="n"/>
      <c r="E25" s="11" t="n"/>
      <c r="F25" s="12">
        <f>IF(OR(A25="",N(C25)=0),"",D25/C25)</f>
        <v/>
      </c>
      <c r="G25" s="12">
        <f>IF(F25="","",IF(F25&lt;Plan!$B$4,0,IF(F25&lt;=1,Plan!$B$5+(1-Plan!$B$5)*(F25-Plan!$B$4)/(1-Plan!$B$4),MIN(Plan!$B$7,1+Plan!$B$6*(F25-1)))))</f>
        <v/>
      </c>
      <c r="H25" s="13">
        <f>IF(G25="","",G25*E25)</f>
        <v/>
      </c>
      <c r="I25" s="7">
        <f>IF(H25="","",H25&gt;Plan!$B$7*E25+0.01)</f>
        <v/>
      </c>
    </row>
    <row r="26">
      <c r="A26" s="10" t="n"/>
      <c r="B26" s="10" t="n"/>
      <c r="C26" s="11" t="n"/>
      <c r="D26" s="11" t="n"/>
      <c r="E26" s="11" t="n"/>
      <c r="F26" s="12">
        <f>IF(OR(A26="",N(C26)=0),"",D26/C26)</f>
        <v/>
      </c>
      <c r="G26" s="12">
        <f>IF(F26="","",IF(F26&lt;Plan!$B$4,0,IF(F26&lt;=1,Plan!$B$5+(1-Plan!$B$5)*(F26-Plan!$B$4)/(1-Plan!$B$4),MIN(Plan!$B$7,1+Plan!$B$6*(F26-1)))))</f>
        <v/>
      </c>
      <c r="H26" s="13">
        <f>IF(G26="","",G26*E26)</f>
        <v/>
      </c>
      <c r="I26" s="7">
        <f>IF(H26="","",H26&gt;Plan!$B$7*E26+0.01)</f>
        <v/>
      </c>
    </row>
    <row r="27">
      <c r="A27" s="10" t="n"/>
      <c r="B27" s="10" t="n"/>
      <c r="C27" s="11" t="n"/>
      <c r="D27" s="11" t="n"/>
      <c r="E27" s="11" t="n"/>
      <c r="F27" s="12">
        <f>IF(OR(A27="",N(C27)=0),"",D27/C27)</f>
        <v/>
      </c>
      <c r="G27" s="12">
        <f>IF(F27="","",IF(F27&lt;Plan!$B$4,0,IF(F27&lt;=1,Plan!$B$5+(1-Plan!$B$5)*(F27-Plan!$B$4)/(1-Plan!$B$4),MIN(Plan!$B$7,1+Plan!$B$6*(F27-1)))))</f>
        <v/>
      </c>
      <c r="H27" s="13">
        <f>IF(G27="","",G27*E27)</f>
        <v/>
      </c>
      <c r="I27" s="7">
        <f>IF(H27="","",H27&gt;Plan!$B$7*E27+0.01)</f>
        <v/>
      </c>
    </row>
    <row r="28">
      <c r="A28" s="10" t="n"/>
      <c r="B28" s="10" t="n"/>
      <c r="C28" s="11" t="n"/>
      <c r="D28" s="11" t="n"/>
      <c r="E28" s="11" t="n"/>
      <c r="F28" s="12">
        <f>IF(OR(A28="",N(C28)=0),"",D28/C28)</f>
        <v/>
      </c>
      <c r="G28" s="12">
        <f>IF(F28="","",IF(F28&lt;Plan!$B$4,0,IF(F28&lt;=1,Plan!$B$5+(1-Plan!$B$5)*(F28-Plan!$B$4)/(1-Plan!$B$4),MIN(Plan!$B$7,1+Plan!$B$6*(F28-1)))))</f>
        <v/>
      </c>
      <c r="H28" s="13">
        <f>IF(G28="","",G28*E28)</f>
        <v/>
      </c>
      <c r="I28" s="7">
        <f>IF(H28="","",H28&gt;Plan!$B$7*E28+0.01)</f>
        <v/>
      </c>
    </row>
    <row r="29">
      <c r="A29" s="10" t="n"/>
      <c r="B29" s="10" t="n"/>
      <c r="C29" s="11" t="n"/>
      <c r="D29" s="11" t="n"/>
      <c r="E29" s="11" t="n"/>
      <c r="F29" s="12">
        <f>IF(OR(A29="",N(C29)=0),"",D29/C29)</f>
        <v/>
      </c>
      <c r="G29" s="12">
        <f>IF(F29="","",IF(F29&lt;Plan!$B$4,0,IF(F29&lt;=1,Plan!$B$5+(1-Plan!$B$5)*(F29-Plan!$B$4)/(1-Plan!$B$4),MIN(Plan!$B$7,1+Plan!$B$6*(F29-1)))))</f>
        <v/>
      </c>
      <c r="H29" s="13">
        <f>IF(G29="","",G29*E29)</f>
        <v/>
      </c>
      <c r="I29" s="7">
        <f>IF(H29="","",H29&gt;Plan!$B$7*E29+0.01)</f>
        <v/>
      </c>
    </row>
    <row r="30">
      <c r="A30" s="10" t="n"/>
      <c r="B30" s="10" t="n"/>
      <c r="C30" s="11" t="n"/>
      <c r="D30" s="11" t="n"/>
      <c r="E30" s="11" t="n"/>
      <c r="F30" s="12">
        <f>IF(OR(A30="",N(C30)=0),"",D30/C30)</f>
        <v/>
      </c>
      <c r="G30" s="12">
        <f>IF(F30="","",IF(F30&lt;Plan!$B$4,0,IF(F30&lt;=1,Plan!$B$5+(1-Plan!$B$5)*(F30-Plan!$B$4)/(1-Plan!$B$4),MIN(Plan!$B$7,1+Plan!$B$6*(F30-1)))))</f>
        <v/>
      </c>
      <c r="H30" s="13">
        <f>IF(G30="","",G30*E30)</f>
        <v/>
      </c>
      <c r="I30" s="7">
        <f>IF(H30="","",H30&gt;Plan!$B$7*E30+0.01)</f>
        <v/>
      </c>
    </row>
    <row r="31">
      <c r="A31" s="10" t="n"/>
      <c r="B31" s="10" t="n"/>
      <c r="C31" s="11" t="n"/>
      <c r="D31" s="11" t="n"/>
      <c r="E31" s="11" t="n"/>
      <c r="F31" s="12">
        <f>IF(OR(A31="",N(C31)=0),"",D31/C31)</f>
        <v/>
      </c>
      <c r="G31" s="12">
        <f>IF(F31="","",IF(F31&lt;Plan!$B$4,0,IF(F31&lt;=1,Plan!$B$5+(1-Plan!$B$5)*(F31-Plan!$B$4)/(1-Plan!$B$4),MIN(Plan!$B$7,1+Plan!$B$6*(F31-1)))))</f>
        <v/>
      </c>
      <c r="H31" s="13">
        <f>IF(G31="","",G31*E31)</f>
        <v/>
      </c>
      <c r="I31" s="7">
        <f>IF(H31="","",H31&gt;Plan!$B$7*E31+0.01)</f>
        <v/>
      </c>
    </row>
    <row r="32">
      <c r="A32" s="10" t="n"/>
      <c r="B32" s="10" t="n"/>
      <c r="C32" s="11" t="n"/>
      <c r="D32" s="11" t="n"/>
      <c r="E32" s="11" t="n"/>
      <c r="F32" s="12">
        <f>IF(OR(A32="",N(C32)=0),"",D32/C32)</f>
        <v/>
      </c>
      <c r="G32" s="12">
        <f>IF(F32="","",IF(F32&lt;Plan!$B$4,0,IF(F32&lt;=1,Plan!$B$5+(1-Plan!$B$5)*(F32-Plan!$B$4)/(1-Plan!$B$4),MIN(Plan!$B$7,1+Plan!$B$6*(F32-1)))))</f>
        <v/>
      </c>
      <c r="H32" s="13">
        <f>IF(G32="","",G32*E32)</f>
        <v/>
      </c>
      <c r="I32" s="7">
        <f>IF(H32="","",H32&gt;Plan!$B$7*E32+0.01)</f>
        <v/>
      </c>
    </row>
    <row r="33">
      <c r="A33" s="10" t="n"/>
      <c r="B33" s="10" t="n"/>
      <c r="C33" s="11" t="n"/>
      <c r="D33" s="11" t="n"/>
      <c r="E33" s="11" t="n"/>
      <c r="F33" s="12">
        <f>IF(OR(A33="",N(C33)=0),"",D33/C33)</f>
        <v/>
      </c>
      <c r="G33" s="12">
        <f>IF(F33="","",IF(F33&lt;Plan!$B$4,0,IF(F33&lt;=1,Plan!$B$5+(1-Plan!$B$5)*(F33-Plan!$B$4)/(1-Plan!$B$4),MIN(Plan!$B$7,1+Plan!$B$6*(F33-1)))))</f>
        <v/>
      </c>
      <c r="H33" s="13">
        <f>IF(G33="","",G33*E33)</f>
        <v/>
      </c>
      <c r="I33" s="7">
        <f>IF(H33="","",H33&gt;Plan!$B$7*E33+0.01)</f>
        <v/>
      </c>
    </row>
    <row r="34">
      <c r="A34" s="10" t="n"/>
      <c r="B34" s="10" t="n"/>
      <c r="C34" s="11" t="n"/>
      <c r="D34" s="11" t="n"/>
      <c r="E34" s="11" t="n"/>
      <c r="F34" s="12">
        <f>IF(OR(A34="",N(C34)=0),"",D34/C34)</f>
        <v/>
      </c>
      <c r="G34" s="12">
        <f>IF(F34="","",IF(F34&lt;Plan!$B$4,0,IF(F34&lt;=1,Plan!$B$5+(1-Plan!$B$5)*(F34-Plan!$B$4)/(1-Plan!$B$4),MIN(Plan!$B$7,1+Plan!$B$6*(F34-1)))))</f>
        <v/>
      </c>
      <c r="H34" s="13">
        <f>IF(G34="","",G34*E34)</f>
        <v/>
      </c>
      <c r="I34" s="7">
        <f>IF(H34="","",H34&gt;Plan!$B$7*E34+0.01)</f>
        <v/>
      </c>
    </row>
    <row r="35">
      <c r="A35" s="10" t="n"/>
      <c r="B35" s="10" t="n"/>
      <c r="C35" s="11" t="n"/>
      <c r="D35" s="11" t="n"/>
      <c r="E35" s="11" t="n"/>
      <c r="F35" s="12">
        <f>IF(OR(A35="",N(C35)=0),"",D35/C35)</f>
        <v/>
      </c>
      <c r="G35" s="12">
        <f>IF(F35="","",IF(F35&lt;Plan!$B$4,0,IF(F35&lt;=1,Plan!$B$5+(1-Plan!$B$5)*(F35-Plan!$B$4)/(1-Plan!$B$4),MIN(Plan!$B$7,1+Plan!$B$6*(F35-1)))))</f>
        <v/>
      </c>
      <c r="H35" s="13">
        <f>IF(G35="","",G35*E35)</f>
        <v/>
      </c>
      <c r="I35" s="7">
        <f>IF(H35="","",H35&gt;Plan!$B$7*E35+0.01)</f>
        <v/>
      </c>
    </row>
    <row r="36">
      <c r="A36" s="10" t="n"/>
      <c r="B36" s="10" t="n"/>
      <c r="C36" s="11" t="n"/>
      <c r="D36" s="11" t="n"/>
      <c r="E36" s="11" t="n"/>
      <c r="F36" s="12">
        <f>IF(OR(A36="",N(C36)=0),"",D36/C36)</f>
        <v/>
      </c>
      <c r="G36" s="12">
        <f>IF(F36="","",IF(F36&lt;Plan!$B$4,0,IF(F36&lt;=1,Plan!$B$5+(1-Plan!$B$5)*(F36-Plan!$B$4)/(1-Plan!$B$4),MIN(Plan!$B$7,1+Plan!$B$6*(F36-1)))))</f>
        <v/>
      </c>
      <c r="H36" s="13">
        <f>IF(G36="","",G36*E36)</f>
        <v/>
      </c>
      <c r="I36" s="7">
        <f>IF(H36="","",H36&gt;Plan!$B$7*E36+0.01)</f>
        <v/>
      </c>
    </row>
    <row r="37">
      <c r="A37" s="10" t="n"/>
      <c r="B37" s="10" t="n"/>
      <c r="C37" s="11" t="n"/>
      <c r="D37" s="11" t="n"/>
      <c r="E37" s="11" t="n"/>
      <c r="F37" s="12">
        <f>IF(OR(A37="",N(C37)=0),"",D37/C37)</f>
        <v/>
      </c>
      <c r="G37" s="12">
        <f>IF(F37="","",IF(F37&lt;Plan!$B$4,0,IF(F37&lt;=1,Plan!$B$5+(1-Plan!$B$5)*(F37-Plan!$B$4)/(1-Plan!$B$4),MIN(Plan!$B$7,1+Plan!$B$6*(F37-1)))))</f>
        <v/>
      </c>
      <c r="H37" s="13">
        <f>IF(G37="","",G37*E37)</f>
        <v/>
      </c>
      <c r="I37" s="7">
        <f>IF(H37="","",H37&gt;Plan!$B$7*E37+0.01)</f>
        <v/>
      </c>
    </row>
    <row r="38">
      <c r="A38" s="10" t="n"/>
      <c r="B38" s="10" t="n"/>
      <c r="C38" s="11" t="n"/>
      <c r="D38" s="11" t="n"/>
      <c r="E38" s="11" t="n"/>
      <c r="F38" s="12">
        <f>IF(OR(A38="",N(C38)=0),"",D38/C38)</f>
        <v/>
      </c>
      <c r="G38" s="12">
        <f>IF(F38="","",IF(F38&lt;Plan!$B$4,0,IF(F38&lt;=1,Plan!$B$5+(1-Plan!$B$5)*(F38-Plan!$B$4)/(1-Plan!$B$4),MIN(Plan!$B$7,1+Plan!$B$6*(F38-1)))))</f>
        <v/>
      </c>
      <c r="H38" s="13">
        <f>IF(G38="","",G38*E38)</f>
        <v/>
      </c>
      <c r="I38" s="7">
        <f>IF(H38="","",H38&gt;Plan!$B$7*E38+0.01)</f>
        <v/>
      </c>
    </row>
    <row r="39">
      <c r="A39" s="10" t="n"/>
      <c r="B39" s="10" t="n"/>
      <c r="C39" s="11" t="n"/>
      <c r="D39" s="11" t="n"/>
      <c r="E39" s="11" t="n"/>
      <c r="F39" s="12">
        <f>IF(OR(A39="",N(C39)=0),"",D39/C39)</f>
        <v/>
      </c>
      <c r="G39" s="12">
        <f>IF(F39="","",IF(F39&lt;Plan!$B$4,0,IF(F39&lt;=1,Plan!$B$5+(1-Plan!$B$5)*(F39-Plan!$B$4)/(1-Plan!$B$4),MIN(Plan!$B$7,1+Plan!$B$6*(F39-1)))))</f>
        <v/>
      </c>
      <c r="H39" s="13">
        <f>IF(G39="","",G39*E39)</f>
        <v/>
      </c>
      <c r="I39" s="7">
        <f>IF(H39="","",H39&gt;Plan!$B$7*E39+0.01)</f>
        <v/>
      </c>
    </row>
    <row r="40">
      <c r="A40" s="10" t="n"/>
      <c r="B40" s="10" t="n"/>
      <c r="C40" s="11" t="n"/>
      <c r="D40" s="11" t="n"/>
      <c r="E40" s="11" t="n"/>
      <c r="F40" s="12">
        <f>IF(OR(A40="",N(C40)=0),"",D40/C40)</f>
        <v/>
      </c>
      <c r="G40" s="12">
        <f>IF(F40="","",IF(F40&lt;Plan!$B$4,0,IF(F40&lt;=1,Plan!$B$5+(1-Plan!$B$5)*(F40-Plan!$B$4)/(1-Plan!$B$4),MIN(Plan!$B$7,1+Plan!$B$6*(F40-1)))))</f>
        <v/>
      </c>
      <c r="H40" s="13">
        <f>IF(G40="","",G40*E40)</f>
        <v/>
      </c>
      <c r="I40" s="7">
        <f>IF(H40="","",H40&gt;Plan!$B$7*E40+0.01)</f>
        <v/>
      </c>
    </row>
    <row r="41">
      <c r="A41" s="10" t="n"/>
      <c r="B41" s="10" t="n"/>
      <c r="C41" s="11" t="n"/>
      <c r="D41" s="11" t="n"/>
      <c r="E41" s="11" t="n"/>
      <c r="F41" s="12">
        <f>IF(OR(A41="",N(C41)=0),"",D41/C41)</f>
        <v/>
      </c>
      <c r="G41" s="12">
        <f>IF(F41="","",IF(F41&lt;Plan!$B$4,0,IF(F41&lt;=1,Plan!$B$5+(1-Plan!$B$5)*(F41-Plan!$B$4)/(1-Plan!$B$4),MIN(Plan!$B$7,1+Plan!$B$6*(F41-1)))))</f>
        <v/>
      </c>
      <c r="H41" s="13">
        <f>IF(G41="","",G41*E41)</f>
        <v/>
      </c>
      <c r="I41" s="7">
        <f>IF(H41="","",H41&gt;Plan!$B$7*E41+0.01)</f>
        <v/>
      </c>
    </row>
    <row r="42">
      <c r="A42" s="10" t="n"/>
      <c r="B42" s="10" t="n"/>
      <c r="C42" s="11" t="n"/>
      <c r="D42" s="11" t="n"/>
      <c r="E42" s="11" t="n"/>
      <c r="F42" s="12">
        <f>IF(OR(A42="",N(C42)=0),"",D42/C42)</f>
        <v/>
      </c>
      <c r="G42" s="12">
        <f>IF(F42="","",IF(F42&lt;Plan!$B$4,0,IF(F42&lt;=1,Plan!$B$5+(1-Plan!$B$5)*(F42-Plan!$B$4)/(1-Plan!$B$4),MIN(Plan!$B$7,1+Plan!$B$6*(F42-1)))))</f>
        <v/>
      </c>
      <c r="H42" s="13">
        <f>IF(G42="","",G42*E42)</f>
        <v/>
      </c>
      <c r="I42" s="7">
        <f>IF(H42="","",H42&gt;Plan!$B$7*E42+0.01)</f>
        <v/>
      </c>
    </row>
    <row r="43">
      <c r="A43" s="10" t="n"/>
      <c r="B43" s="10" t="n"/>
      <c r="C43" s="11" t="n"/>
      <c r="D43" s="11" t="n"/>
      <c r="E43" s="11" t="n"/>
      <c r="F43" s="12">
        <f>IF(OR(A43="",N(C43)=0),"",D43/C43)</f>
        <v/>
      </c>
      <c r="G43" s="12">
        <f>IF(F43="","",IF(F43&lt;Plan!$B$4,0,IF(F43&lt;=1,Plan!$B$5+(1-Plan!$B$5)*(F43-Plan!$B$4)/(1-Plan!$B$4),MIN(Plan!$B$7,1+Plan!$B$6*(F43-1)))))</f>
        <v/>
      </c>
      <c r="H43" s="13">
        <f>IF(G43="","",G43*E43)</f>
        <v/>
      </c>
      <c r="I43" s="7">
        <f>IF(H43="","",H43&gt;Plan!$B$7*E43+0.01)</f>
        <v/>
      </c>
    </row>
    <row r="44">
      <c r="A44" s="10" t="n"/>
      <c r="B44" s="10" t="n"/>
      <c r="C44" s="11" t="n"/>
      <c r="D44" s="11" t="n"/>
      <c r="E44" s="11" t="n"/>
      <c r="F44" s="12">
        <f>IF(OR(A44="",N(C44)=0),"",D44/C44)</f>
        <v/>
      </c>
      <c r="G44" s="12">
        <f>IF(F44="","",IF(F44&lt;Plan!$B$4,0,IF(F44&lt;=1,Plan!$B$5+(1-Plan!$B$5)*(F44-Plan!$B$4)/(1-Plan!$B$4),MIN(Plan!$B$7,1+Plan!$B$6*(F44-1)))))</f>
        <v/>
      </c>
      <c r="H44" s="13">
        <f>IF(G44="","",G44*E44)</f>
        <v/>
      </c>
      <c r="I44" s="7">
        <f>IF(H44="","",H44&gt;Plan!$B$7*E44+0.01)</f>
        <v/>
      </c>
    </row>
    <row r="45">
      <c r="A45" s="10" t="n"/>
      <c r="B45" s="10" t="n"/>
      <c r="C45" s="11" t="n"/>
      <c r="D45" s="11" t="n"/>
      <c r="E45" s="11" t="n"/>
      <c r="F45" s="12">
        <f>IF(OR(A45="",N(C45)=0),"",D45/C45)</f>
        <v/>
      </c>
      <c r="G45" s="12">
        <f>IF(F45="","",IF(F45&lt;Plan!$B$4,0,IF(F45&lt;=1,Plan!$B$5+(1-Plan!$B$5)*(F45-Plan!$B$4)/(1-Plan!$B$4),MIN(Plan!$B$7,1+Plan!$B$6*(F45-1)))))</f>
        <v/>
      </c>
      <c r="H45" s="13">
        <f>IF(G45="","",G45*E45)</f>
        <v/>
      </c>
      <c r="I45" s="7">
        <f>IF(H45="","",H45&gt;Plan!$B$7*E45+0.01)</f>
        <v/>
      </c>
    </row>
    <row r="46">
      <c r="A46" s="10" t="n"/>
      <c r="B46" s="10" t="n"/>
      <c r="C46" s="11" t="n"/>
      <c r="D46" s="11" t="n"/>
      <c r="E46" s="11" t="n"/>
      <c r="F46" s="12">
        <f>IF(OR(A46="",N(C46)=0),"",D46/C46)</f>
        <v/>
      </c>
      <c r="G46" s="12">
        <f>IF(F46="","",IF(F46&lt;Plan!$B$4,0,IF(F46&lt;=1,Plan!$B$5+(1-Plan!$B$5)*(F46-Plan!$B$4)/(1-Plan!$B$4),MIN(Plan!$B$7,1+Plan!$B$6*(F46-1)))))</f>
        <v/>
      </c>
      <c r="H46" s="13">
        <f>IF(G46="","",G46*E46)</f>
        <v/>
      </c>
      <c r="I46" s="7">
        <f>IF(H46="","",H46&gt;Plan!$B$7*E46+0.01)</f>
        <v/>
      </c>
    </row>
    <row r="47">
      <c r="A47" s="10" t="n"/>
      <c r="B47" s="10" t="n"/>
      <c r="C47" s="11" t="n"/>
      <c r="D47" s="11" t="n"/>
      <c r="E47" s="11" t="n"/>
      <c r="F47" s="12">
        <f>IF(OR(A47="",N(C47)=0),"",D47/C47)</f>
        <v/>
      </c>
      <c r="G47" s="12">
        <f>IF(F47="","",IF(F47&lt;Plan!$B$4,0,IF(F47&lt;=1,Plan!$B$5+(1-Plan!$B$5)*(F47-Plan!$B$4)/(1-Plan!$B$4),MIN(Plan!$B$7,1+Plan!$B$6*(F47-1)))))</f>
        <v/>
      </c>
      <c r="H47" s="13">
        <f>IF(G47="","",G47*E47)</f>
        <v/>
      </c>
      <c r="I47" s="7">
        <f>IF(H47="","",H47&gt;Plan!$B$7*E47+0.01)</f>
        <v/>
      </c>
    </row>
    <row r="48">
      <c r="A48" s="10" t="n"/>
      <c r="B48" s="10" t="n"/>
      <c r="C48" s="11" t="n"/>
      <c r="D48" s="11" t="n"/>
      <c r="E48" s="11" t="n"/>
      <c r="F48" s="12">
        <f>IF(OR(A48="",N(C48)=0),"",D48/C48)</f>
        <v/>
      </c>
      <c r="G48" s="12">
        <f>IF(F48="","",IF(F48&lt;Plan!$B$4,0,IF(F48&lt;=1,Plan!$B$5+(1-Plan!$B$5)*(F48-Plan!$B$4)/(1-Plan!$B$4),MIN(Plan!$B$7,1+Plan!$B$6*(F48-1)))))</f>
        <v/>
      </c>
      <c r="H48" s="13">
        <f>IF(G48="","",G48*E48)</f>
        <v/>
      </c>
      <c r="I48" s="7">
        <f>IF(H48="","",H48&gt;Plan!$B$7*E48+0.01)</f>
        <v/>
      </c>
    </row>
    <row r="49">
      <c r="A49" s="10" t="n"/>
      <c r="B49" s="10" t="n"/>
      <c r="C49" s="11" t="n"/>
      <c r="D49" s="11" t="n"/>
      <c r="E49" s="11" t="n"/>
      <c r="F49" s="12">
        <f>IF(OR(A49="",N(C49)=0),"",D49/C49)</f>
        <v/>
      </c>
      <c r="G49" s="12">
        <f>IF(F49="","",IF(F49&lt;Plan!$B$4,0,IF(F49&lt;=1,Plan!$B$5+(1-Plan!$B$5)*(F49-Plan!$B$4)/(1-Plan!$B$4),MIN(Plan!$B$7,1+Plan!$B$6*(F49-1)))))</f>
        <v/>
      </c>
      <c r="H49" s="13">
        <f>IF(G49="","",G49*E49)</f>
        <v/>
      </c>
      <c r="I49" s="7">
        <f>IF(H49="","",H49&gt;Plan!$B$7*E49+0.01)</f>
        <v/>
      </c>
    </row>
    <row r="50">
      <c r="A50" s="10" t="n"/>
      <c r="B50" s="10" t="n"/>
      <c r="C50" s="11" t="n"/>
      <c r="D50" s="11" t="n"/>
      <c r="E50" s="11" t="n"/>
      <c r="F50" s="12">
        <f>IF(OR(A50="",N(C50)=0),"",D50/C50)</f>
        <v/>
      </c>
      <c r="G50" s="12">
        <f>IF(F50="","",IF(F50&lt;Plan!$B$4,0,IF(F50&lt;=1,Plan!$B$5+(1-Plan!$B$5)*(F50-Plan!$B$4)/(1-Plan!$B$4),MIN(Plan!$B$7,1+Plan!$B$6*(F50-1)))))</f>
        <v/>
      </c>
      <c r="H50" s="13">
        <f>IF(G50="","",G50*E50)</f>
        <v/>
      </c>
      <c r="I50" s="7">
        <f>IF(H50="","",H50&gt;Plan!$B$7*E50+0.01)</f>
        <v/>
      </c>
    </row>
    <row r="51">
      <c r="A51" s="10" t="n"/>
      <c r="B51" s="10" t="n"/>
      <c r="C51" s="11" t="n"/>
      <c r="D51" s="11" t="n"/>
      <c r="E51" s="11" t="n"/>
      <c r="F51" s="12">
        <f>IF(OR(A51="",N(C51)=0),"",D51/C51)</f>
        <v/>
      </c>
      <c r="G51" s="12">
        <f>IF(F51="","",IF(F51&lt;Plan!$B$4,0,IF(F51&lt;=1,Plan!$B$5+(1-Plan!$B$5)*(F51-Plan!$B$4)/(1-Plan!$B$4),MIN(Plan!$B$7,1+Plan!$B$6*(F51-1)))))</f>
        <v/>
      </c>
      <c r="H51" s="13">
        <f>IF(G51="","",G51*E51)</f>
        <v/>
      </c>
      <c r="I51" s="7">
        <f>IF(H51="","",H51&gt;Plan!$B$7*E51+0.01)</f>
        <v/>
      </c>
    </row>
    <row r="52">
      <c r="A52" s="10" t="n"/>
      <c r="B52" s="10" t="n"/>
      <c r="C52" s="11" t="n"/>
      <c r="D52" s="11" t="n"/>
      <c r="E52" s="11" t="n"/>
      <c r="F52" s="12">
        <f>IF(OR(A52="",N(C52)=0),"",D52/C52)</f>
        <v/>
      </c>
      <c r="G52" s="12">
        <f>IF(F52="","",IF(F52&lt;Plan!$B$4,0,IF(F52&lt;=1,Plan!$B$5+(1-Plan!$B$5)*(F52-Plan!$B$4)/(1-Plan!$B$4),MIN(Plan!$B$7,1+Plan!$B$6*(F52-1)))))</f>
        <v/>
      </c>
      <c r="H52" s="13">
        <f>IF(G52="","",G52*E52)</f>
        <v/>
      </c>
      <c r="I52" s="7">
        <f>IF(H52="","",H52&gt;Plan!$B$7*E52+0.01)</f>
        <v/>
      </c>
    </row>
    <row r="53">
      <c r="A53" s="10" t="n"/>
      <c r="B53" s="10" t="n"/>
      <c r="C53" s="11" t="n"/>
      <c r="D53" s="11" t="n"/>
      <c r="E53" s="11" t="n"/>
      <c r="F53" s="12">
        <f>IF(OR(A53="",N(C53)=0),"",D53/C53)</f>
        <v/>
      </c>
      <c r="G53" s="12">
        <f>IF(F53="","",IF(F53&lt;Plan!$B$4,0,IF(F53&lt;=1,Plan!$B$5+(1-Plan!$B$5)*(F53-Plan!$B$4)/(1-Plan!$B$4),MIN(Plan!$B$7,1+Plan!$B$6*(F53-1)))))</f>
        <v/>
      </c>
      <c r="H53" s="13">
        <f>IF(G53="","",G53*E53)</f>
        <v/>
      </c>
      <c r="I53" s="7">
        <f>IF(H53="","",H53&gt;Plan!$B$7*E53+0.01)</f>
        <v/>
      </c>
    </row>
    <row r="54">
      <c r="A54" s="10" t="n"/>
      <c r="B54" s="10" t="n"/>
      <c r="C54" s="11" t="n"/>
      <c r="D54" s="11" t="n"/>
      <c r="E54" s="11" t="n"/>
      <c r="F54" s="12">
        <f>IF(OR(A54="",N(C54)=0),"",D54/C54)</f>
        <v/>
      </c>
      <c r="G54" s="12">
        <f>IF(F54="","",IF(F54&lt;Plan!$B$4,0,IF(F54&lt;=1,Plan!$B$5+(1-Plan!$B$5)*(F54-Plan!$B$4)/(1-Plan!$B$4),MIN(Plan!$B$7,1+Plan!$B$6*(F54-1)))))</f>
        <v/>
      </c>
      <c r="H54" s="13">
        <f>IF(G54="","",G54*E54)</f>
        <v/>
      </c>
      <c r="I54" s="7">
        <f>IF(H54="","",H54&gt;Plan!$B$7*E54+0.01)</f>
        <v/>
      </c>
    </row>
    <row r="55">
      <c r="A55" s="10" t="n"/>
      <c r="B55" s="10" t="n"/>
      <c r="C55" s="11" t="n"/>
      <c r="D55" s="11" t="n"/>
      <c r="E55" s="11" t="n"/>
      <c r="F55" s="12">
        <f>IF(OR(A55="",N(C55)=0),"",D55/C55)</f>
        <v/>
      </c>
      <c r="G55" s="12">
        <f>IF(F55="","",IF(F55&lt;Plan!$B$4,0,IF(F55&lt;=1,Plan!$B$5+(1-Plan!$B$5)*(F55-Plan!$B$4)/(1-Plan!$B$4),MIN(Plan!$B$7,1+Plan!$B$6*(F55-1)))))</f>
        <v/>
      </c>
      <c r="H55" s="13">
        <f>IF(G55="","",G55*E55)</f>
        <v/>
      </c>
      <c r="I55" s="7">
        <f>IF(H55="","",H55&gt;Plan!$B$7*E55+0.01)</f>
        <v/>
      </c>
    </row>
    <row r="56">
      <c r="A56" s="10" t="n"/>
      <c r="B56" s="10" t="n"/>
      <c r="C56" s="11" t="n"/>
      <c r="D56" s="11" t="n"/>
      <c r="E56" s="11" t="n"/>
      <c r="F56" s="12">
        <f>IF(OR(A56="",N(C56)=0),"",D56/C56)</f>
        <v/>
      </c>
      <c r="G56" s="12">
        <f>IF(F56="","",IF(F56&lt;Plan!$B$4,0,IF(F56&lt;=1,Plan!$B$5+(1-Plan!$B$5)*(F56-Plan!$B$4)/(1-Plan!$B$4),MIN(Plan!$B$7,1+Plan!$B$6*(F56-1)))))</f>
        <v/>
      </c>
      <c r="H56" s="13">
        <f>IF(G56="","",G56*E56)</f>
        <v/>
      </c>
      <c r="I56" s="7">
        <f>IF(H56="","",H56&gt;Plan!$B$7*E56+0.01)</f>
        <v/>
      </c>
    </row>
    <row r="57">
      <c r="A57" s="10" t="n"/>
      <c r="B57" s="10" t="n"/>
      <c r="C57" s="11" t="n"/>
      <c r="D57" s="11" t="n"/>
      <c r="E57" s="11" t="n"/>
      <c r="F57" s="12">
        <f>IF(OR(A57="",N(C57)=0),"",D57/C57)</f>
        <v/>
      </c>
      <c r="G57" s="12">
        <f>IF(F57="","",IF(F57&lt;Plan!$B$4,0,IF(F57&lt;=1,Plan!$B$5+(1-Plan!$B$5)*(F57-Plan!$B$4)/(1-Plan!$B$4),MIN(Plan!$B$7,1+Plan!$B$6*(F57-1)))))</f>
        <v/>
      </c>
      <c r="H57" s="13">
        <f>IF(G57="","",G57*E57)</f>
        <v/>
      </c>
      <c r="I57" s="7">
        <f>IF(H57="","",H57&gt;Plan!$B$7*E57+0.01)</f>
        <v/>
      </c>
    </row>
    <row r="58">
      <c r="A58" s="10" t="n"/>
      <c r="B58" s="10" t="n"/>
      <c r="C58" s="11" t="n"/>
      <c r="D58" s="11" t="n"/>
      <c r="E58" s="11" t="n"/>
      <c r="F58" s="12">
        <f>IF(OR(A58="",N(C58)=0),"",D58/C58)</f>
        <v/>
      </c>
      <c r="G58" s="12">
        <f>IF(F58="","",IF(F58&lt;Plan!$B$4,0,IF(F58&lt;=1,Plan!$B$5+(1-Plan!$B$5)*(F58-Plan!$B$4)/(1-Plan!$B$4),MIN(Plan!$B$7,1+Plan!$B$6*(F58-1)))))</f>
        <v/>
      </c>
      <c r="H58" s="13">
        <f>IF(G58="","",G58*E58)</f>
        <v/>
      </c>
      <c r="I58" s="7">
        <f>IF(H58="","",H58&gt;Plan!$B$7*E58+0.01)</f>
        <v/>
      </c>
    </row>
    <row r="59">
      <c r="A59" s="10" t="n"/>
      <c r="B59" s="10" t="n"/>
      <c r="C59" s="11" t="n"/>
      <c r="D59" s="11" t="n"/>
      <c r="E59" s="11" t="n"/>
      <c r="F59" s="12">
        <f>IF(OR(A59="",N(C59)=0),"",D59/C59)</f>
        <v/>
      </c>
      <c r="G59" s="12">
        <f>IF(F59="","",IF(F59&lt;Plan!$B$4,0,IF(F59&lt;=1,Plan!$B$5+(1-Plan!$B$5)*(F59-Plan!$B$4)/(1-Plan!$B$4),MIN(Plan!$B$7,1+Plan!$B$6*(F59-1)))))</f>
        <v/>
      </c>
      <c r="H59" s="13">
        <f>IF(G59="","",G59*E59)</f>
        <v/>
      </c>
      <c r="I59" s="7">
        <f>IF(H59="","",H59&gt;Plan!$B$7*E59+0.01)</f>
        <v/>
      </c>
    </row>
    <row r="60">
      <c r="A60" s="10" t="n"/>
      <c r="B60" s="10" t="n"/>
      <c r="C60" s="11" t="n"/>
      <c r="D60" s="11" t="n"/>
      <c r="E60" s="11" t="n"/>
      <c r="F60" s="12">
        <f>IF(OR(A60="",N(C60)=0),"",D60/C60)</f>
        <v/>
      </c>
      <c r="G60" s="12">
        <f>IF(F60="","",IF(F60&lt;Plan!$B$4,0,IF(F60&lt;=1,Plan!$B$5+(1-Plan!$B$5)*(F60-Plan!$B$4)/(1-Plan!$B$4),MIN(Plan!$B$7,1+Plan!$B$6*(F60-1)))))</f>
        <v/>
      </c>
      <c r="H60" s="13">
        <f>IF(G60="","",G60*E60)</f>
        <v/>
      </c>
      <c r="I60" s="7">
        <f>IF(H60="","",H60&gt;Plan!$B$7*E60+0.01)</f>
        <v/>
      </c>
    </row>
    <row r="61">
      <c r="A61" s="10" t="n"/>
      <c r="B61" s="10" t="n"/>
      <c r="C61" s="11" t="n"/>
      <c r="D61" s="11" t="n"/>
      <c r="E61" s="11" t="n"/>
      <c r="F61" s="12">
        <f>IF(OR(A61="",N(C61)=0),"",D61/C61)</f>
        <v/>
      </c>
      <c r="G61" s="12">
        <f>IF(F61="","",IF(F61&lt;Plan!$B$4,0,IF(F61&lt;=1,Plan!$B$5+(1-Plan!$B$5)*(F61-Plan!$B$4)/(1-Plan!$B$4),MIN(Plan!$B$7,1+Plan!$B$6*(F61-1)))))</f>
        <v/>
      </c>
      <c r="H61" s="13">
        <f>IF(G61="","",G61*E61)</f>
        <v/>
      </c>
      <c r="I61" s="7">
        <f>IF(H61="","",H61&gt;Plan!$B$7*E61+0.01)</f>
        <v/>
      </c>
    </row>
    <row r="62">
      <c r="A62" s="10" t="n"/>
      <c r="B62" s="10" t="n"/>
      <c r="C62" s="11" t="n"/>
      <c r="D62" s="11" t="n"/>
      <c r="E62" s="11" t="n"/>
      <c r="F62" s="12">
        <f>IF(OR(A62="",N(C62)=0),"",D62/C62)</f>
        <v/>
      </c>
      <c r="G62" s="12">
        <f>IF(F62="","",IF(F62&lt;Plan!$B$4,0,IF(F62&lt;=1,Plan!$B$5+(1-Plan!$B$5)*(F62-Plan!$B$4)/(1-Plan!$B$4),MIN(Plan!$B$7,1+Plan!$B$6*(F62-1)))))</f>
        <v/>
      </c>
      <c r="H62" s="13">
        <f>IF(G62="","",G62*E62)</f>
        <v/>
      </c>
      <c r="I62" s="7">
        <f>IF(H62="","",H62&gt;Plan!$B$7*E62+0.01)</f>
        <v/>
      </c>
    </row>
    <row r="63">
      <c r="A63" s="10" t="n"/>
      <c r="B63" s="10" t="n"/>
      <c r="C63" s="11" t="n"/>
      <c r="D63" s="11" t="n"/>
      <c r="E63" s="11" t="n"/>
      <c r="F63" s="12">
        <f>IF(OR(A63="",N(C63)=0),"",D63/C63)</f>
        <v/>
      </c>
      <c r="G63" s="12">
        <f>IF(F63="","",IF(F63&lt;Plan!$B$4,0,IF(F63&lt;=1,Plan!$B$5+(1-Plan!$B$5)*(F63-Plan!$B$4)/(1-Plan!$B$4),MIN(Plan!$B$7,1+Plan!$B$6*(F63-1)))))</f>
        <v/>
      </c>
      <c r="H63" s="13">
        <f>IF(G63="","",G63*E63)</f>
        <v/>
      </c>
      <c r="I63" s="7">
        <f>IF(H63="","",H63&gt;Plan!$B$7*E63+0.01)</f>
        <v/>
      </c>
    </row>
    <row r="64">
      <c r="A64" s="10" t="n"/>
      <c r="B64" s="10" t="n"/>
      <c r="C64" s="11" t="n"/>
      <c r="D64" s="11" t="n"/>
      <c r="E64" s="11" t="n"/>
      <c r="F64" s="12">
        <f>IF(OR(A64="",N(C64)=0),"",D64/C64)</f>
        <v/>
      </c>
      <c r="G64" s="12">
        <f>IF(F64="","",IF(F64&lt;Plan!$B$4,0,IF(F64&lt;=1,Plan!$B$5+(1-Plan!$B$5)*(F64-Plan!$B$4)/(1-Plan!$B$4),MIN(Plan!$B$7,1+Plan!$B$6*(F64-1)))))</f>
        <v/>
      </c>
      <c r="H64" s="13">
        <f>IF(G64="","",G64*E64)</f>
        <v/>
      </c>
      <c r="I64" s="7">
        <f>IF(H64="","",H64&gt;Plan!$B$7*E64+0.01)</f>
        <v/>
      </c>
    </row>
    <row r="65">
      <c r="A65" s="10" t="n"/>
      <c r="B65" s="10" t="n"/>
      <c r="C65" s="11" t="n"/>
      <c r="D65" s="11" t="n"/>
      <c r="E65" s="11" t="n"/>
      <c r="F65" s="12">
        <f>IF(OR(A65="",N(C65)=0),"",D65/C65)</f>
        <v/>
      </c>
      <c r="G65" s="12">
        <f>IF(F65="","",IF(F65&lt;Plan!$B$4,0,IF(F65&lt;=1,Plan!$B$5+(1-Plan!$B$5)*(F65-Plan!$B$4)/(1-Plan!$B$4),MIN(Plan!$B$7,1+Plan!$B$6*(F65-1)))))</f>
        <v/>
      </c>
      <c r="H65" s="13">
        <f>IF(G65="","",G65*E65)</f>
        <v/>
      </c>
      <c r="I65" s="7">
        <f>IF(H65="","",H65&gt;Plan!$B$7*E65+0.01)</f>
        <v/>
      </c>
    </row>
    <row r="66">
      <c r="A66" s="10" t="n"/>
      <c r="B66" s="10" t="n"/>
      <c r="C66" s="11" t="n"/>
      <c r="D66" s="11" t="n"/>
      <c r="E66" s="11" t="n"/>
      <c r="F66" s="12">
        <f>IF(OR(A66="",N(C66)=0),"",D66/C66)</f>
        <v/>
      </c>
      <c r="G66" s="12">
        <f>IF(F66="","",IF(F66&lt;Plan!$B$4,0,IF(F66&lt;=1,Plan!$B$5+(1-Plan!$B$5)*(F66-Plan!$B$4)/(1-Plan!$B$4),MIN(Plan!$B$7,1+Plan!$B$6*(F66-1)))))</f>
        <v/>
      </c>
      <c r="H66" s="13">
        <f>IF(G66="","",G66*E66)</f>
        <v/>
      </c>
      <c r="I66" s="7">
        <f>IF(H66="","",H66&gt;Plan!$B$7*E66+0.01)</f>
        <v/>
      </c>
    </row>
    <row r="67">
      <c r="A67" s="10" t="n"/>
      <c r="B67" s="10" t="n"/>
      <c r="C67" s="11" t="n"/>
      <c r="D67" s="11" t="n"/>
      <c r="E67" s="11" t="n"/>
      <c r="F67" s="12">
        <f>IF(OR(A67="",N(C67)=0),"",D67/C67)</f>
        <v/>
      </c>
      <c r="G67" s="12">
        <f>IF(F67="","",IF(F67&lt;Plan!$B$4,0,IF(F67&lt;=1,Plan!$B$5+(1-Plan!$B$5)*(F67-Plan!$B$4)/(1-Plan!$B$4),MIN(Plan!$B$7,1+Plan!$B$6*(F67-1)))))</f>
        <v/>
      </c>
      <c r="H67" s="13">
        <f>IF(G67="","",G67*E67)</f>
        <v/>
      </c>
      <c r="I67" s="7">
        <f>IF(H67="","",H67&gt;Plan!$B$7*E67+0.01)</f>
        <v/>
      </c>
    </row>
    <row r="68">
      <c r="A68" s="10" t="n"/>
      <c r="B68" s="10" t="n"/>
      <c r="C68" s="11" t="n"/>
      <c r="D68" s="11" t="n"/>
      <c r="E68" s="11" t="n"/>
      <c r="F68" s="12">
        <f>IF(OR(A68="",N(C68)=0),"",D68/C68)</f>
        <v/>
      </c>
      <c r="G68" s="12">
        <f>IF(F68="","",IF(F68&lt;Plan!$B$4,0,IF(F68&lt;=1,Plan!$B$5+(1-Plan!$B$5)*(F68-Plan!$B$4)/(1-Plan!$B$4),MIN(Plan!$B$7,1+Plan!$B$6*(F68-1)))))</f>
        <v/>
      </c>
      <c r="H68" s="13">
        <f>IF(G68="","",G68*E68)</f>
        <v/>
      </c>
      <c r="I68" s="7">
        <f>IF(H68="","",H68&gt;Plan!$B$7*E68+0.01)</f>
        <v/>
      </c>
    </row>
    <row r="69">
      <c r="A69" s="10" t="n"/>
      <c r="B69" s="10" t="n"/>
      <c r="C69" s="11" t="n"/>
      <c r="D69" s="11" t="n"/>
      <c r="E69" s="11" t="n"/>
      <c r="F69" s="12">
        <f>IF(OR(A69="",N(C69)=0),"",D69/C69)</f>
        <v/>
      </c>
      <c r="G69" s="12">
        <f>IF(F69="","",IF(F69&lt;Plan!$B$4,0,IF(F69&lt;=1,Plan!$B$5+(1-Plan!$B$5)*(F69-Plan!$B$4)/(1-Plan!$B$4),MIN(Plan!$B$7,1+Plan!$B$6*(F69-1)))))</f>
        <v/>
      </c>
      <c r="H69" s="13">
        <f>IF(G69="","",G69*E69)</f>
        <v/>
      </c>
      <c r="I69" s="7">
        <f>IF(H69="","",H69&gt;Plan!$B$7*E69+0.01)</f>
        <v/>
      </c>
    </row>
    <row r="70">
      <c r="A70" s="10" t="n"/>
      <c r="B70" s="10" t="n"/>
      <c r="C70" s="11" t="n"/>
      <c r="D70" s="11" t="n"/>
      <c r="E70" s="11" t="n"/>
      <c r="F70" s="12">
        <f>IF(OR(A70="",N(C70)=0),"",D70/C70)</f>
        <v/>
      </c>
      <c r="G70" s="12">
        <f>IF(F70="","",IF(F70&lt;Plan!$B$4,0,IF(F70&lt;=1,Plan!$B$5+(1-Plan!$B$5)*(F70-Plan!$B$4)/(1-Plan!$B$4),MIN(Plan!$B$7,1+Plan!$B$6*(F70-1)))))</f>
        <v/>
      </c>
      <c r="H70" s="13">
        <f>IF(G70="","",G70*E70)</f>
        <v/>
      </c>
      <c r="I70" s="7">
        <f>IF(H70="","",H70&gt;Plan!$B$7*E70+0.01)</f>
        <v/>
      </c>
    </row>
    <row r="71">
      <c r="A71" s="10" t="n"/>
      <c r="B71" s="10" t="n"/>
      <c r="C71" s="11" t="n"/>
      <c r="D71" s="11" t="n"/>
      <c r="E71" s="11" t="n"/>
      <c r="F71" s="12">
        <f>IF(OR(A71="",N(C71)=0),"",D71/C71)</f>
        <v/>
      </c>
      <c r="G71" s="12">
        <f>IF(F71="","",IF(F71&lt;Plan!$B$4,0,IF(F71&lt;=1,Plan!$B$5+(1-Plan!$B$5)*(F71-Plan!$B$4)/(1-Plan!$B$4),MIN(Plan!$B$7,1+Plan!$B$6*(F71-1)))))</f>
        <v/>
      </c>
      <c r="H71" s="13">
        <f>IF(G71="","",G71*E71)</f>
        <v/>
      </c>
      <c r="I71" s="7">
        <f>IF(H71="","",H71&gt;Plan!$B$7*E71+0.01)</f>
        <v/>
      </c>
    </row>
    <row r="72">
      <c r="A72" s="10" t="n"/>
      <c r="B72" s="10" t="n"/>
      <c r="C72" s="11" t="n"/>
      <c r="D72" s="11" t="n"/>
      <c r="E72" s="11" t="n"/>
      <c r="F72" s="12">
        <f>IF(OR(A72="",N(C72)=0),"",D72/C72)</f>
        <v/>
      </c>
      <c r="G72" s="12">
        <f>IF(F72="","",IF(F72&lt;Plan!$B$4,0,IF(F72&lt;=1,Plan!$B$5+(1-Plan!$B$5)*(F72-Plan!$B$4)/(1-Plan!$B$4),MIN(Plan!$B$7,1+Plan!$B$6*(F72-1)))))</f>
        <v/>
      </c>
      <c r="H72" s="13">
        <f>IF(G72="","",G72*E72)</f>
        <v/>
      </c>
      <c r="I72" s="7">
        <f>IF(H72="","",H72&gt;Plan!$B$7*E72+0.01)</f>
        <v/>
      </c>
    </row>
    <row r="73">
      <c r="A73" s="10" t="n"/>
      <c r="B73" s="10" t="n"/>
      <c r="C73" s="11" t="n"/>
      <c r="D73" s="11" t="n"/>
      <c r="E73" s="11" t="n"/>
      <c r="F73" s="12">
        <f>IF(OR(A73="",N(C73)=0),"",D73/C73)</f>
        <v/>
      </c>
      <c r="G73" s="12">
        <f>IF(F73="","",IF(F73&lt;Plan!$B$4,0,IF(F73&lt;=1,Plan!$B$5+(1-Plan!$B$5)*(F73-Plan!$B$4)/(1-Plan!$B$4),MIN(Plan!$B$7,1+Plan!$B$6*(F73-1)))))</f>
        <v/>
      </c>
      <c r="H73" s="13">
        <f>IF(G73="","",G73*E73)</f>
        <v/>
      </c>
      <c r="I73" s="7">
        <f>IF(H73="","",H73&gt;Plan!$B$7*E73+0.01)</f>
        <v/>
      </c>
    </row>
    <row r="74">
      <c r="A74" s="10" t="n"/>
      <c r="B74" s="10" t="n"/>
      <c r="C74" s="11" t="n"/>
      <c r="D74" s="11" t="n"/>
      <c r="E74" s="11" t="n"/>
      <c r="F74" s="12">
        <f>IF(OR(A74="",N(C74)=0),"",D74/C74)</f>
        <v/>
      </c>
      <c r="G74" s="12">
        <f>IF(F74="","",IF(F74&lt;Plan!$B$4,0,IF(F74&lt;=1,Plan!$B$5+(1-Plan!$B$5)*(F74-Plan!$B$4)/(1-Plan!$B$4),MIN(Plan!$B$7,1+Plan!$B$6*(F74-1)))))</f>
        <v/>
      </c>
      <c r="H74" s="13">
        <f>IF(G74="","",G74*E74)</f>
        <v/>
      </c>
      <c r="I74" s="7">
        <f>IF(H74="","",H74&gt;Plan!$B$7*E74+0.01)</f>
        <v/>
      </c>
    </row>
    <row r="75">
      <c r="A75" s="10" t="n"/>
      <c r="B75" s="10" t="n"/>
      <c r="C75" s="11" t="n"/>
      <c r="D75" s="11" t="n"/>
      <c r="E75" s="11" t="n"/>
      <c r="F75" s="12">
        <f>IF(OR(A75="",N(C75)=0),"",D75/C75)</f>
        <v/>
      </c>
      <c r="G75" s="12">
        <f>IF(F75="","",IF(F75&lt;Plan!$B$4,0,IF(F75&lt;=1,Plan!$B$5+(1-Plan!$B$5)*(F75-Plan!$B$4)/(1-Plan!$B$4),MIN(Plan!$B$7,1+Plan!$B$6*(F75-1)))))</f>
        <v/>
      </c>
      <c r="H75" s="13">
        <f>IF(G75="","",G75*E75)</f>
        <v/>
      </c>
      <c r="I75" s="7">
        <f>IF(H75="","",H75&gt;Plan!$B$7*E75+0.01)</f>
        <v/>
      </c>
    </row>
    <row r="76">
      <c r="A76" s="10" t="n"/>
      <c r="B76" s="10" t="n"/>
      <c r="C76" s="11" t="n"/>
      <c r="D76" s="11" t="n"/>
      <c r="E76" s="11" t="n"/>
      <c r="F76" s="12">
        <f>IF(OR(A76="",N(C76)=0),"",D76/C76)</f>
        <v/>
      </c>
      <c r="G76" s="12">
        <f>IF(F76="","",IF(F76&lt;Plan!$B$4,0,IF(F76&lt;=1,Plan!$B$5+(1-Plan!$B$5)*(F76-Plan!$B$4)/(1-Plan!$B$4),MIN(Plan!$B$7,1+Plan!$B$6*(F76-1)))))</f>
        <v/>
      </c>
      <c r="H76" s="13">
        <f>IF(G76="","",G76*E76)</f>
        <v/>
      </c>
      <c r="I76" s="7">
        <f>IF(H76="","",H76&gt;Plan!$B$7*E76+0.01)</f>
        <v/>
      </c>
    </row>
    <row r="77">
      <c r="A77" s="10" t="n"/>
      <c r="B77" s="10" t="n"/>
      <c r="C77" s="11" t="n"/>
      <c r="D77" s="11" t="n"/>
      <c r="E77" s="11" t="n"/>
      <c r="F77" s="12">
        <f>IF(OR(A77="",N(C77)=0),"",D77/C77)</f>
        <v/>
      </c>
      <c r="G77" s="12">
        <f>IF(F77="","",IF(F77&lt;Plan!$B$4,0,IF(F77&lt;=1,Plan!$B$5+(1-Plan!$B$5)*(F77-Plan!$B$4)/(1-Plan!$B$4),MIN(Plan!$B$7,1+Plan!$B$6*(F77-1)))))</f>
        <v/>
      </c>
      <c r="H77" s="13">
        <f>IF(G77="","",G77*E77)</f>
        <v/>
      </c>
      <c r="I77" s="7">
        <f>IF(H77="","",H77&gt;Plan!$B$7*E77+0.01)</f>
        <v/>
      </c>
    </row>
    <row r="78">
      <c r="A78" s="10" t="n"/>
      <c r="B78" s="10" t="n"/>
      <c r="C78" s="11" t="n"/>
      <c r="D78" s="11" t="n"/>
      <c r="E78" s="11" t="n"/>
      <c r="F78" s="12">
        <f>IF(OR(A78="",N(C78)=0),"",D78/C78)</f>
        <v/>
      </c>
      <c r="G78" s="12">
        <f>IF(F78="","",IF(F78&lt;Plan!$B$4,0,IF(F78&lt;=1,Plan!$B$5+(1-Plan!$B$5)*(F78-Plan!$B$4)/(1-Plan!$B$4),MIN(Plan!$B$7,1+Plan!$B$6*(F78-1)))))</f>
        <v/>
      </c>
      <c r="H78" s="13">
        <f>IF(G78="","",G78*E78)</f>
        <v/>
      </c>
      <c r="I78" s="7">
        <f>IF(H78="","",H78&gt;Plan!$B$7*E78+0.01)</f>
        <v/>
      </c>
    </row>
    <row r="79">
      <c r="A79" s="10" t="n"/>
      <c r="B79" s="10" t="n"/>
      <c r="C79" s="11" t="n"/>
      <c r="D79" s="11" t="n"/>
      <c r="E79" s="11" t="n"/>
      <c r="F79" s="12">
        <f>IF(OR(A79="",N(C79)=0),"",D79/C79)</f>
        <v/>
      </c>
      <c r="G79" s="12">
        <f>IF(F79="","",IF(F79&lt;Plan!$B$4,0,IF(F79&lt;=1,Plan!$B$5+(1-Plan!$B$5)*(F79-Plan!$B$4)/(1-Plan!$B$4),MIN(Plan!$B$7,1+Plan!$B$6*(F79-1)))))</f>
        <v/>
      </c>
      <c r="H79" s="13">
        <f>IF(G79="","",G79*E79)</f>
        <v/>
      </c>
      <c r="I79" s="7">
        <f>IF(H79="","",H79&gt;Plan!$B$7*E79+0.01)</f>
        <v/>
      </c>
    </row>
    <row r="80">
      <c r="A80" s="10" t="n"/>
      <c r="B80" s="10" t="n"/>
      <c r="C80" s="11" t="n"/>
      <c r="D80" s="11" t="n"/>
      <c r="E80" s="11" t="n"/>
      <c r="F80" s="12">
        <f>IF(OR(A80="",N(C80)=0),"",D80/C80)</f>
        <v/>
      </c>
      <c r="G80" s="12">
        <f>IF(F80="","",IF(F80&lt;Plan!$B$4,0,IF(F80&lt;=1,Plan!$B$5+(1-Plan!$B$5)*(F80-Plan!$B$4)/(1-Plan!$B$4),MIN(Plan!$B$7,1+Plan!$B$6*(F80-1)))))</f>
        <v/>
      </c>
      <c r="H80" s="13">
        <f>IF(G80="","",G80*E80)</f>
        <v/>
      </c>
      <c r="I80" s="7">
        <f>IF(H80="","",H80&gt;Plan!$B$7*E80+0.01)</f>
        <v/>
      </c>
    </row>
    <row r="81">
      <c r="A81" s="10" t="n"/>
      <c r="B81" s="10" t="n"/>
      <c r="C81" s="11" t="n"/>
      <c r="D81" s="11" t="n"/>
      <c r="E81" s="11" t="n"/>
      <c r="F81" s="12">
        <f>IF(OR(A81="",N(C81)=0),"",D81/C81)</f>
        <v/>
      </c>
      <c r="G81" s="12">
        <f>IF(F81="","",IF(F81&lt;Plan!$B$4,0,IF(F81&lt;=1,Plan!$B$5+(1-Plan!$B$5)*(F81-Plan!$B$4)/(1-Plan!$B$4),MIN(Plan!$B$7,1+Plan!$B$6*(F81-1)))))</f>
        <v/>
      </c>
      <c r="H81" s="13">
        <f>IF(G81="","",G81*E81)</f>
        <v/>
      </c>
      <c r="I81" s="7">
        <f>IF(H81="","",H81&gt;Plan!$B$7*E81+0.01)</f>
        <v/>
      </c>
    </row>
    <row r="82">
      <c r="A82" s="10" t="n"/>
      <c r="B82" s="10" t="n"/>
      <c r="C82" s="11" t="n"/>
      <c r="D82" s="11" t="n"/>
      <c r="E82" s="11" t="n"/>
      <c r="F82" s="12">
        <f>IF(OR(A82="",N(C82)=0),"",D82/C82)</f>
        <v/>
      </c>
      <c r="G82" s="12">
        <f>IF(F82="","",IF(F82&lt;Plan!$B$4,0,IF(F82&lt;=1,Plan!$B$5+(1-Plan!$B$5)*(F82-Plan!$B$4)/(1-Plan!$B$4),MIN(Plan!$B$7,1+Plan!$B$6*(F82-1)))))</f>
        <v/>
      </c>
      <c r="H82" s="13">
        <f>IF(G82="","",G82*E82)</f>
        <v/>
      </c>
      <c r="I82" s="7">
        <f>IF(H82="","",H82&gt;Plan!$B$7*E82+0.01)</f>
        <v/>
      </c>
    </row>
    <row r="83">
      <c r="A83" s="10" t="n"/>
      <c r="B83" s="10" t="n"/>
      <c r="C83" s="11" t="n"/>
      <c r="D83" s="11" t="n"/>
      <c r="E83" s="11" t="n"/>
      <c r="F83" s="12">
        <f>IF(OR(A83="",N(C83)=0),"",D83/C83)</f>
        <v/>
      </c>
      <c r="G83" s="12">
        <f>IF(F83="","",IF(F83&lt;Plan!$B$4,0,IF(F83&lt;=1,Plan!$B$5+(1-Plan!$B$5)*(F83-Plan!$B$4)/(1-Plan!$B$4),MIN(Plan!$B$7,1+Plan!$B$6*(F83-1)))))</f>
        <v/>
      </c>
      <c r="H83" s="13">
        <f>IF(G83="","",G83*E83)</f>
        <v/>
      </c>
      <c r="I83" s="7">
        <f>IF(H83="","",H83&gt;Plan!$B$7*E83+0.01)</f>
        <v/>
      </c>
    </row>
    <row r="84">
      <c r="A84" s="10" t="n"/>
      <c r="B84" s="10" t="n"/>
      <c r="C84" s="11" t="n"/>
      <c r="D84" s="11" t="n"/>
      <c r="E84" s="11" t="n"/>
      <c r="F84" s="12">
        <f>IF(OR(A84="",N(C84)=0),"",D84/C84)</f>
        <v/>
      </c>
      <c r="G84" s="12">
        <f>IF(F84="","",IF(F84&lt;Plan!$B$4,0,IF(F84&lt;=1,Plan!$B$5+(1-Plan!$B$5)*(F84-Plan!$B$4)/(1-Plan!$B$4),MIN(Plan!$B$7,1+Plan!$B$6*(F84-1)))))</f>
        <v/>
      </c>
      <c r="H84" s="13">
        <f>IF(G84="","",G84*E84)</f>
        <v/>
      </c>
      <c r="I84" s="7">
        <f>IF(H84="","",H84&gt;Plan!$B$7*E84+0.01)</f>
        <v/>
      </c>
    </row>
    <row r="85">
      <c r="A85" s="10" t="n"/>
      <c r="B85" s="10" t="n"/>
      <c r="C85" s="11" t="n"/>
      <c r="D85" s="11" t="n"/>
      <c r="E85" s="11" t="n"/>
      <c r="F85" s="12">
        <f>IF(OR(A85="",N(C85)=0),"",D85/C85)</f>
        <v/>
      </c>
      <c r="G85" s="12">
        <f>IF(F85="","",IF(F85&lt;Plan!$B$4,0,IF(F85&lt;=1,Plan!$B$5+(1-Plan!$B$5)*(F85-Plan!$B$4)/(1-Plan!$B$4),MIN(Plan!$B$7,1+Plan!$B$6*(F85-1)))))</f>
        <v/>
      </c>
      <c r="H85" s="13">
        <f>IF(G85="","",G85*E85)</f>
        <v/>
      </c>
      <c r="I85" s="7">
        <f>IF(H85="","",H85&gt;Plan!$B$7*E85+0.01)</f>
        <v/>
      </c>
    </row>
    <row r="86">
      <c r="A86" s="10" t="n"/>
      <c r="B86" s="10" t="n"/>
      <c r="C86" s="11" t="n"/>
      <c r="D86" s="11" t="n"/>
      <c r="E86" s="11" t="n"/>
      <c r="F86" s="12">
        <f>IF(OR(A86="",N(C86)=0),"",D86/C86)</f>
        <v/>
      </c>
      <c r="G86" s="12">
        <f>IF(F86="","",IF(F86&lt;Plan!$B$4,0,IF(F86&lt;=1,Plan!$B$5+(1-Plan!$B$5)*(F86-Plan!$B$4)/(1-Plan!$B$4),MIN(Plan!$B$7,1+Plan!$B$6*(F86-1)))))</f>
        <v/>
      </c>
      <c r="H86" s="13">
        <f>IF(G86="","",G86*E86)</f>
        <v/>
      </c>
      <c r="I86" s="7">
        <f>IF(H86="","",H86&gt;Plan!$B$7*E86+0.01)</f>
        <v/>
      </c>
    </row>
    <row r="87">
      <c r="A87" s="10" t="n"/>
      <c r="B87" s="10" t="n"/>
      <c r="C87" s="11" t="n"/>
      <c r="D87" s="11" t="n"/>
      <c r="E87" s="11" t="n"/>
      <c r="F87" s="12">
        <f>IF(OR(A87="",N(C87)=0),"",D87/C87)</f>
        <v/>
      </c>
      <c r="G87" s="12">
        <f>IF(F87="","",IF(F87&lt;Plan!$B$4,0,IF(F87&lt;=1,Plan!$B$5+(1-Plan!$B$5)*(F87-Plan!$B$4)/(1-Plan!$B$4),MIN(Plan!$B$7,1+Plan!$B$6*(F87-1)))))</f>
        <v/>
      </c>
      <c r="H87" s="13">
        <f>IF(G87="","",G87*E87)</f>
        <v/>
      </c>
      <c r="I87" s="7">
        <f>IF(H87="","",H87&gt;Plan!$B$7*E87+0.01)</f>
        <v/>
      </c>
    </row>
    <row r="88">
      <c r="A88" s="10" t="n"/>
      <c r="B88" s="10" t="n"/>
      <c r="C88" s="11" t="n"/>
      <c r="D88" s="11" t="n"/>
      <c r="E88" s="11" t="n"/>
      <c r="F88" s="12">
        <f>IF(OR(A88="",N(C88)=0),"",D88/C88)</f>
        <v/>
      </c>
      <c r="G88" s="12">
        <f>IF(F88="","",IF(F88&lt;Plan!$B$4,0,IF(F88&lt;=1,Plan!$B$5+(1-Plan!$B$5)*(F88-Plan!$B$4)/(1-Plan!$B$4),MIN(Plan!$B$7,1+Plan!$B$6*(F88-1)))))</f>
        <v/>
      </c>
      <c r="H88" s="13">
        <f>IF(G88="","",G88*E88)</f>
        <v/>
      </c>
      <c r="I88" s="7">
        <f>IF(H88="","",H88&gt;Plan!$B$7*E88+0.01)</f>
        <v/>
      </c>
    </row>
    <row r="89">
      <c r="A89" s="10" t="n"/>
      <c r="B89" s="10" t="n"/>
      <c r="C89" s="11" t="n"/>
      <c r="D89" s="11" t="n"/>
      <c r="E89" s="11" t="n"/>
      <c r="F89" s="12">
        <f>IF(OR(A89="",N(C89)=0),"",D89/C89)</f>
        <v/>
      </c>
      <c r="G89" s="12">
        <f>IF(F89="","",IF(F89&lt;Plan!$B$4,0,IF(F89&lt;=1,Plan!$B$5+(1-Plan!$B$5)*(F89-Plan!$B$4)/(1-Plan!$B$4),MIN(Plan!$B$7,1+Plan!$B$6*(F89-1)))))</f>
        <v/>
      </c>
      <c r="H89" s="13">
        <f>IF(G89="","",G89*E89)</f>
        <v/>
      </c>
      <c r="I89" s="7">
        <f>IF(H89="","",H89&gt;Plan!$B$7*E89+0.01)</f>
        <v/>
      </c>
    </row>
    <row r="90">
      <c r="A90" s="10" t="n"/>
      <c r="B90" s="10" t="n"/>
      <c r="C90" s="11" t="n"/>
      <c r="D90" s="11" t="n"/>
      <c r="E90" s="11" t="n"/>
      <c r="F90" s="12">
        <f>IF(OR(A90="",N(C90)=0),"",D90/C90)</f>
        <v/>
      </c>
      <c r="G90" s="12">
        <f>IF(F90="","",IF(F90&lt;Plan!$B$4,0,IF(F90&lt;=1,Plan!$B$5+(1-Plan!$B$5)*(F90-Plan!$B$4)/(1-Plan!$B$4),MIN(Plan!$B$7,1+Plan!$B$6*(F90-1)))))</f>
        <v/>
      </c>
      <c r="H90" s="13">
        <f>IF(G90="","",G90*E90)</f>
        <v/>
      </c>
      <c r="I90" s="7">
        <f>IF(H90="","",H90&gt;Plan!$B$7*E90+0.01)</f>
        <v/>
      </c>
    </row>
    <row r="91">
      <c r="A91" s="10" t="n"/>
      <c r="B91" s="10" t="n"/>
      <c r="C91" s="11" t="n"/>
      <c r="D91" s="11" t="n"/>
      <c r="E91" s="11" t="n"/>
      <c r="F91" s="12">
        <f>IF(OR(A91="",N(C91)=0),"",D91/C91)</f>
        <v/>
      </c>
      <c r="G91" s="12">
        <f>IF(F91="","",IF(F91&lt;Plan!$B$4,0,IF(F91&lt;=1,Plan!$B$5+(1-Plan!$B$5)*(F91-Plan!$B$4)/(1-Plan!$B$4),MIN(Plan!$B$7,1+Plan!$B$6*(F91-1)))))</f>
        <v/>
      </c>
      <c r="H91" s="13">
        <f>IF(G91="","",G91*E91)</f>
        <v/>
      </c>
      <c r="I91" s="7">
        <f>IF(H91="","",H91&gt;Plan!$B$7*E91+0.01)</f>
        <v/>
      </c>
    </row>
    <row r="92">
      <c r="A92" s="10" t="n"/>
      <c r="B92" s="10" t="n"/>
      <c r="C92" s="11" t="n"/>
      <c r="D92" s="11" t="n"/>
      <c r="E92" s="11" t="n"/>
      <c r="F92" s="12">
        <f>IF(OR(A92="",N(C92)=0),"",D92/C92)</f>
        <v/>
      </c>
      <c r="G92" s="12">
        <f>IF(F92="","",IF(F92&lt;Plan!$B$4,0,IF(F92&lt;=1,Plan!$B$5+(1-Plan!$B$5)*(F92-Plan!$B$4)/(1-Plan!$B$4),MIN(Plan!$B$7,1+Plan!$B$6*(F92-1)))))</f>
        <v/>
      </c>
      <c r="H92" s="13">
        <f>IF(G92="","",G92*E92)</f>
        <v/>
      </c>
      <c r="I92" s="7">
        <f>IF(H92="","",H92&gt;Plan!$B$7*E92+0.01)</f>
        <v/>
      </c>
    </row>
    <row r="93">
      <c r="A93" s="10" t="n"/>
      <c r="B93" s="10" t="n"/>
      <c r="C93" s="11" t="n"/>
      <c r="D93" s="11" t="n"/>
      <c r="E93" s="11" t="n"/>
      <c r="F93" s="12">
        <f>IF(OR(A93="",N(C93)=0),"",D93/C93)</f>
        <v/>
      </c>
      <c r="G93" s="12">
        <f>IF(F93="","",IF(F93&lt;Plan!$B$4,0,IF(F93&lt;=1,Plan!$B$5+(1-Plan!$B$5)*(F93-Plan!$B$4)/(1-Plan!$B$4),MIN(Plan!$B$7,1+Plan!$B$6*(F93-1)))))</f>
        <v/>
      </c>
      <c r="H93" s="13">
        <f>IF(G93="","",G93*E93)</f>
        <v/>
      </c>
      <c r="I93" s="7">
        <f>IF(H93="","",H93&gt;Plan!$B$7*E93+0.01)</f>
        <v/>
      </c>
    </row>
    <row r="94">
      <c r="A94" s="10" t="n"/>
      <c r="B94" s="10" t="n"/>
      <c r="C94" s="11" t="n"/>
      <c r="D94" s="11" t="n"/>
      <c r="E94" s="11" t="n"/>
      <c r="F94" s="12">
        <f>IF(OR(A94="",N(C94)=0),"",D94/C94)</f>
        <v/>
      </c>
      <c r="G94" s="12">
        <f>IF(F94="","",IF(F94&lt;Plan!$B$4,0,IF(F94&lt;=1,Plan!$B$5+(1-Plan!$B$5)*(F94-Plan!$B$4)/(1-Plan!$B$4),MIN(Plan!$B$7,1+Plan!$B$6*(F94-1)))))</f>
        <v/>
      </c>
      <c r="H94" s="13">
        <f>IF(G94="","",G94*E94)</f>
        <v/>
      </c>
      <c r="I94" s="7">
        <f>IF(H94="","",H94&gt;Plan!$B$7*E94+0.01)</f>
        <v/>
      </c>
    </row>
    <row r="95">
      <c r="A95" s="10" t="n"/>
      <c r="B95" s="10" t="n"/>
      <c r="C95" s="11" t="n"/>
      <c r="D95" s="11" t="n"/>
      <c r="E95" s="11" t="n"/>
      <c r="F95" s="12">
        <f>IF(OR(A95="",N(C95)=0),"",D95/C95)</f>
        <v/>
      </c>
      <c r="G95" s="12">
        <f>IF(F95="","",IF(F95&lt;Plan!$B$4,0,IF(F95&lt;=1,Plan!$B$5+(1-Plan!$B$5)*(F95-Plan!$B$4)/(1-Plan!$B$4),MIN(Plan!$B$7,1+Plan!$B$6*(F95-1)))))</f>
        <v/>
      </c>
      <c r="H95" s="13">
        <f>IF(G95="","",G95*E95)</f>
        <v/>
      </c>
      <c r="I95" s="7">
        <f>IF(H95="","",H95&gt;Plan!$B$7*E95+0.01)</f>
        <v/>
      </c>
    </row>
    <row r="96">
      <c r="A96" s="10" t="n"/>
      <c r="B96" s="10" t="n"/>
      <c r="C96" s="11" t="n"/>
      <c r="D96" s="11" t="n"/>
      <c r="E96" s="11" t="n"/>
      <c r="F96" s="12">
        <f>IF(OR(A96="",N(C96)=0),"",D96/C96)</f>
        <v/>
      </c>
      <c r="G96" s="12">
        <f>IF(F96="","",IF(F96&lt;Plan!$B$4,0,IF(F96&lt;=1,Plan!$B$5+(1-Plan!$B$5)*(F96-Plan!$B$4)/(1-Plan!$B$4),MIN(Plan!$B$7,1+Plan!$B$6*(F96-1)))))</f>
        <v/>
      </c>
      <c r="H96" s="13">
        <f>IF(G96="","",G96*E96)</f>
        <v/>
      </c>
      <c r="I96" s="7">
        <f>IF(H96="","",H96&gt;Plan!$B$7*E96+0.01)</f>
        <v/>
      </c>
    </row>
    <row r="97">
      <c r="A97" s="10" t="n"/>
      <c r="B97" s="10" t="n"/>
      <c r="C97" s="11" t="n"/>
      <c r="D97" s="11" t="n"/>
      <c r="E97" s="11" t="n"/>
      <c r="F97" s="12">
        <f>IF(OR(A97="",N(C97)=0),"",D97/C97)</f>
        <v/>
      </c>
      <c r="G97" s="12">
        <f>IF(F97="","",IF(F97&lt;Plan!$B$4,0,IF(F97&lt;=1,Plan!$B$5+(1-Plan!$B$5)*(F97-Plan!$B$4)/(1-Plan!$B$4),MIN(Plan!$B$7,1+Plan!$B$6*(F97-1)))))</f>
        <v/>
      </c>
      <c r="H97" s="13">
        <f>IF(G97="","",G97*E97)</f>
        <v/>
      </c>
      <c r="I97" s="7">
        <f>IF(H97="","",H97&gt;Plan!$B$7*E97+0.01)</f>
        <v/>
      </c>
    </row>
    <row r="98">
      <c r="A98" s="10" t="n"/>
      <c r="B98" s="10" t="n"/>
      <c r="C98" s="11" t="n"/>
      <c r="D98" s="11" t="n"/>
      <c r="E98" s="11" t="n"/>
      <c r="F98" s="12">
        <f>IF(OR(A98="",N(C98)=0),"",D98/C98)</f>
        <v/>
      </c>
      <c r="G98" s="12">
        <f>IF(F98="","",IF(F98&lt;Plan!$B$4,0,IF(F98&lt;=1,Plan!$B$5+(1-Plan!$B$5)*(F98-Plan!$B$4)/(1-Plan!$B$4),MIN(Plan!$B$7,1+Plan!$B$6*(F98-1)))))</f>
        <v/>
      </c>
      <c r="H98" s="13">
        <f>IF(G98="","",G98*E98)</f>
        <v/>
      </c>
      <c r="I98" s="7">
        <f>IF(H98="","",H98&gt;Plan!$B$7*E98+0.01)</f>
        <v/>
      </c>
    </row>
    <row r="99">
      <c r="A99" s="10" t="n"/>
      <c r="B99" s="10" t="n"/>
      <c r="C99" s="11" t="n"/>
      <c r="D99" s="11" t="n"/>
      <c r="E99" s="11" t="n"/>
      <c r="F99" s="12">
        <f>IF(OR(A99="",N(C99)=0),"",D99/C99)</f>
        <v/>
      </c>
      <c r="G99" s="12">
        <f>IF(F99="","",IF(F99&lt;Plan!$B$4,0,IF(F99&lt;=1,Plan!$B$5+(1-Plan!$B$5)*(F99-Plan!$B$4)/(1-Plan!$B$4),MIN(Plan!$B$7,1+Plan!$B$6*(F99-1)))))</f>
        <v/>
      </c>
      <c r="H99" s="13">
        <f>IF(G99="","",G99*E99)</f>
        <v/>
      </c>
      <c r="I99" s="7">
        <f>IF(H99="","",H99&gt;Plan!$B$7*E99+0.01)</f>
        <v/>
      </c>
    </row>
    <row r="100">
      <c r="A100" s="10" t="n"/>
      <c r="B100" s="10" t="n"/>
      <c r="C100" s="11" t="n"/>
      <c r="D100" s="11" t="n"/>
      <c r="E100" s="11" t="n"/>
      <c r="F100" s="12">
        <f>IF(OR(A100="",N(C100)=0),"",D100/C100)</f>
        <v/>
      </c>
      <c r="G100" s="12">
        <f>IF(F100="","",IF(F100&lt;Plan!$B$4,0,IF(F100&lt;=1,Plan!$B$5+(1-Plan!$B$5)*(F100-Plan!$B$4)/(1-Plan!$B$4),MIN(Plan!$B$7,1+Plan!$B$6*(F100-1)))))</f>
        <v/>
      </c>
      <c r="H100" s="13">
        <f>IF(G100="","",G100*E100)</f>
        <v/>
      </c>
      <c r="I100" s="7">
        <f>IF(H100="","",H100&gt;Plan!$B$7*E100+0.01)</f>
        <v/>
      </c>
    </row>
    <row r="101">
      <c r="A101" s="10" t="n"/>
      <c r="B101" s="10" t="n"/>
      <c r="C101" s="11" t="n"/>
      <c r="D101" s="11" t="n"/>
      <c r="E101" s="11" t="n"/>
      <c r="F101" s="12">
        <f>IF(OR(A101="",N(C101)=0),"",D101/C101)</f>
        <v/>
      </c>
      <c r="G101" s="12">
        <f>IF(F101="","",IF(F101&lt;Plan!$B$4,0,IF(F101&lt;=1,Plan!$B$5+(1-Plan!$B$5)*(F101-Plan!$B$4)/(1-Plan!$B$4),MIN(Plan!$B$7,1+Plan!$B$6*(F101-1)))))</f>
        <v/>
      </c>
      <c r="H101" s="13">
        <f>IF(G101="","",G101*E101)</f>
        <v/>
      </c>
      <c r="I101" s="7">
        <f>IF(H101="","",H101&gt;Plan!$B$7*E101+0.01)</f>
        <v/>
      </c>
    </row>
    <row r="102">
      <c r="A102" s="10" t="n"/>
      <c r="B102" s="10" t="n"/>
      <c r="C102" s="11" t="n"/>
      <c r="D102" s="11" t="n"/>
      <c r="E102" s="11" t="n"/>
      <c r="F102" s="12">
        <f>IF(OR(A102="",N(C102)=0),"",D102/C102)</f>
        <v/>
      </c>
      <c r="G102" s="12">
        <f>IF(F102="","",IF(F102&lt;Plan!$B$4,0,IF(F102&lt;=1,Plan!$B$5+(1-Plan!$B$5)*(F102-Plan!$B$4)/(1-Plan!$B$4),MIN(Plan!$B$7,1+Plan!$B$6*(F102-1)))))</f>
        <v/>
      </c>
      <c r="H102" s="13">
        <f>IF(G102="","",G102*E102)</f>
        <v/>
      </c>
      <c r="I102" s="7">
        <f>IF(H102="","",H102&gt;Plan!$B$7*E102+0.01)</f>
        <v/>
      </c>
    </row>
    <row r="103">
      <c r="A103" s="10" t="n"/>
      <c r="B103" s="10" t="n"/>
      <c r="C103" s="11" t="n"/>
      <c r="D103" s="11" t="n"/>
      <c r="E103" s="11" t="n"/>
      <c r="F103" s="12">
        <f>IF(OR(A103="",N(C103)=0),"",D103/C103)</f>
        <v/>
      </c>
      <c r="G103" s="12">
        <f>IF(F103="","",IF(F103&lt;Plan!$B$4,0,IF(F103&lt;=1,Plan!$B$5+(1-Plan!$B$5)*(F103-Plan!$B$4)/(1-Plan!$B$4),MIN(Plan!$B$7,1+Plan!$B$6*(F103-1)))))</f>
        <v/>
      </c>
      <c r="H103" s="13">
        <f>IF(G103="","",G103*E103)</f>
        <v/>
      </c>
      <c r="I103" s="7">
        <f>IF(H103="","",H103&gt;Plan!$B$7*E103+0.01)</f>
        <v/>
      </c>
    </row>
    <row r="104">
      <c r="A104" s="10" t="n"/>
      <c r="B104" s="10" t="n"/>
      <c r="C104" s="11" t="n"/>
      <c r="D104" s="11" t="n"/>
      <c r="E104" s="11" t="n"/>
      <c r="F104" s="12">
        <f>IF(OR(A104="",N(C104)=0),"",D104/C104)</f>
        <v/>
      </c>
      <c r="G104" s="12">
        <f>IF(F104="","",IF(F104&lt;Plan!$B$4,0,IF(F104&lt;=1,Plan!$B$5+(1-Plan!$B$5)*(F104-Plan!$B$4)/(1-Plan!$B$4),MIN(Plan!$B$7,1+Plan!$B$6*(F104-1)))))</f>
        <v/>
      </c>
      <c r="H104" s="13">
        <f>IF(G104="","",G104*E104)</f>
        <v/>
      </c>
      <c r="I104" s="7">
        <f>IF(H104="","",H104&gt;Plan!$B$7*E104+0.01)</f>
        <v/>
      </c>
    </row>
    <row r="105">
      <c r="A105" s="10" t="n"/>
      <c r="B105" s="10" t="n"/>
      <c r="C105" s="11" t="n"/>
      <c r="D105" s="11" t="n"/>
      <c r="E105" s="11" t="n"/>
      <c r="F105" s="12">
        <f>IF(OR(A105="",N(C105)=0),"",D105/C105)</f>
        <v/>
      </c>
      <c r="G105" s="12">
        <f>IF(F105="","",IF(F105&lt;Plan!$B$4,0,IF(F105&lt;=1,Plan!$B$5+(1-Plan!$B$5)*(F105-Plan!$B$4)/(1-Plan!$B$4),MIN(Plan!$B$7,1+Plan!$B$6*(F105-1)))))</f>
        <v/>
      </c>
      <c r="H105" s="13">
        <f>IF(G105="","",G105*E105)</f>
        <v/>
      </c>
      <c r="I105" s="7">
        <f>IF(H105="","",H105&gt;Plan!$B$7*E105+0.01)</f>
        <v/>
      </c>
    </row>
    <row r="106">
      <c r="A106" s="10" t="n"/>
      <c r="B106" s="10" t="n"/>
      <c r="C106" s="11" t="n"/>
      <c r="D106" s="11" t="n"/>
      <c r="E106" s="11" t="n"/>
      <c r="F106" s="12">
        <f>IF(OR(A106="",N(C106)=0),"",D106/C106)</f>
        <v/>
      </c>
      <c r="G106" s="12">
        <f>IF(F106="","",IF(F106&lt;Plan!$B$4,0,IF(F106&lt;=1,Plan!$B$5+(1-Plan!$B$5)*(F106-Plan!$B$4)/(1-Plan!$B$4),MIN(Plan!$B$7,1+Plan!$B$6*(F106-1)))))</f>
        <v/>
      </c>
      <c r="H106" s="13">
        <f>IF(G106="","",G106*E106)</f>
        <v/>
      </c>
      <c r="I106" s="7">
        <f>IF(H106="","",H106&gt;Plan!$B$7*E106+0.01)</f>
        <v/>
      </c>
    </row>
    <row r="107">
      <c r="A107" s="10" t="n"/>
      <c r="B107" s="10" t="n"/>
      <c r="C107" s="11" t="n"/>
      <c r="D107" s="11" t="n"/>
      <c r="E107" s="11" t="n"/>
      <c r="F107" s="12">
        <f>IF(OR(A107="",N(C107)=0),"",D107/C107)</f>
        <v/>
      </c>
      <c r="G107" s="12">
        <f>IF(F107="","",IF(F107&lt;Plan!$B$4,0,IF(F107&lt;=1,Plan!$B$5+(1-Plan!$B$5)*(F107-Plan!$B$4)/(1-Plan!$B$4),MIN(Plan!$B$7,1+Plan!$B$6*(F107-1)))))</f>
        <v/>
      </c>
      <c r="H107" s="13">
        <f>IF(G107="","",G107*E107)</f>
        <v/>
      </c>
      <c r="I107" s="7">
        <f>IF(H107="","",H107&gt;Plan!$B$7*E107+0.01)</f>
        <v/>
      </c>
    </row>
    <row r="108">
      <c r="A108" s="10" t="n"/>
      <c r="B108" s="10" t="n"/>
      <c r="C108" s="11" t="n"/>
      <c r="D108" s="11" t="n"/>
      <c r="E108" s="11" t="n"/>
      <c r="F108" s="12">
        <f>IF(OR(A108="",N(C108)=0),"",D108/C108)</f>
        <v/>
      </c>
      <c r="G108" s="12">
        <f>IF(F108="","",IF(F108&lt;Plan!$B$4,0,IF(F108&lt;=1,Plan!$B$5+(1-Plan!$B$5)*(F108-Plan!$B$4)/(1-Plan!$B$4),MIN(Plan!$B$7,1+Plan!$B$6*(F108-1)))))</f>
        <v/>
      </c>
      <c r="H108" s="13">
        <f>IF(G108="","",G108*E108)</f>
        <v/>
      </c>
      <c r="I108" s="7">
        <f>IF(H108="","",H108&gt;Plan!$B$7*E108+0.01)</f>
        <v/>
      </c>
    </row>
    <row r="109">
      <c r="A109" s="10" t="n"/>
      <c r="B109" s="10" t="n"/>
      <c r="C109" s="11" t="n"/>
      <c r="D109" s="11" t="n"/>
      <c r="E109" s="11" t="n"/>
      <c r="F109" s="12">
        <f>IF(OR(A109="",N(C109)=0),"",D109/C109)</f>
        <v/>
      </c>
      <c r="G109" s="12">
        <f>IF(F109="","",IF(F109&lt;Plan!$B$4,0,IF(F109&lt;=1,Plan!$B$5+(1-Plan!$B$5)*(F109-Plan!$B$4)/(1-Plan!$B$4),MIN(Plan!$B$7,1+Plan!$B$6*(F109-1)))))</f>
        <v/>
      </c>
      <c r="H109" s="13">
        <f>IF(G109="","",G109*E109)</f>
        <v/>
      </c>
      <c r="I109" s="7">
        <f>IF(H109="","",H109&gt;Plan!$B$7*E109+0.01)</f>
        <v/>
      </c>
    </row>
    <row r="110">
      <c r="A110" s="10" t="n"/>
      <c r="B110" s="10" t="n"/>
      <c r="C110" s="11" t="n"/>
      <c r="D110" s="11" t="n"/>
      <c r="E110" s="11" t="n"/>
      <c r="F110" s="12">
        <f>IF(OR(A110="",N(C110)=0),"",D110/C110)</f>
        <v/>
      </c>
      <c r="G110" s="12">
        <f>IF(F110="","",IF(F110&lt;Plan!$B$4,0,IF(F110&lt;=1,Plan!$B$5+(1-Plan!$B$5)*(F110-Plan!$B$4)/(1-Plan!$B$4),MIN(Plan!$B$7,1+Plan!$B$6*(F110-1)))))</f>
        <v/>
      </c>
      <c r="H110" s="13">
        <f>IF(G110="","",G110*E110)</f>
        <v/>
      </c>
      <c r="I110" s="7">
        <f>IF(H110="","",H110&gt;Plan!$B$7*E110+0.01)</f>
        <v/>
      </c>
    </row>
    <row r="111">
      <c r="A111" s="10" t="n"/>
      <c r="B111" s="10" t="n"/>
      <c r="C111" s="11" t="n"/>
      <c r="D111" s="11" t="n"/>
      <c r="E111" s="11" t="n"/>
      <c r="F111" s="12">
        <f>IF(OR(A111="",N(C111)=0),"",D111/C111)</f>
        <v/>
      </c>
      <c r="G111" s="12">
        <f>IF(F111="","",IF(F111&lt;Plan!$B$4,0,IF(F111&lt;=1,Plan!$B$5+(1-Plan!$B$5)*(F111-Plan!$B$4)/(1-Plan!$B$4),MIN(Plan!$B$7,1+Plan!$B$6*(F111-1)))))</f>
        <v/>
      </c>
      <c r="H111" s="13">
        <f>IF(G111="","",G111*E111)</f>
        <v/>
      </c>
      <c r="I111" s="7">
        <f>IF(H111="","",H111&gt;Plan!$B$7*E111+0.01)</f>
        <v/>
      </c>
    </row>
    <row r="112">
      <c r="A112" s="10" t="n"/>
      <c r="B112" s="10" t="n"/>
      <c r="C112" s="11" t="n"/>
      <c r="D112" s="11" t="n"/>
      <c r="E112" s="11" t="n"/>
      <c r="F112" s="12">
        <f>IF(OR(A112="",N(C112)=0),"",D112/C112)</f>
        <v/>
      </c>
      <c r="G112" s="12">
        <f>IF(F112="","",IF(F112&lt;Plan!$B$4,0,IF(F112&lt;=1,Plan!$B$5+(1-Plan!$B$5)*(F112-Plan!$B$4)/(1-Plan!$B$4),MIN(Plan!$B$7,1+Plan!$B$6*(F112-1)))))</f>
        <v/>
      </c>
      <c r="H112" s="13">
        <f>IF(G112="","",G112*E112)</f>
        <v/>
      </c>
      <c r="I112" s="7">
        <f>IF(H112="","",H112&gt;Plan!$B$7*E112+0.01)</f>
        <v/>
      </c>
    </row>
    <row r="113">
      <c r="A113" s="10" t="n"/>
      <c r="B113" s="10" t="n"/>
      <c r="C113" s="11" t="n"/>
      <c r="D113" s="11" t="n"/>
      <c r="E113" s="11" t="n"/>
      <c r="F113" s="12">
        <f>IF(OR(A113="",N(C113)=0),"",D113/C113)</f>
        <v/>
      </c>
      <c r="G113" s="12">
        <f>IF(F113="","",IF(F113&lt;Plan!$B$4,0,IF(F113&lt;=1,Plan!$B$5+(1-Plan!$B$5)*(F113-Plan!$B$4)/(1-Plan!$B$4),MIN(Plan!$B$7,1+Plan!$B$6*(F113-1)))))</f>
        <v/>
      </c>
      <c r="H113" s="13">
        <f>IF(G113="","",G113*E113)</f>
        <v/>
      </c>
      <c r="I113" s="7">
        <f>IF(H113="","",H113&gt;Plan!$B$7*E113+0.01)</f>
        <v/>
      </c>
    </row>
    <row r="114">
      <c r="A114" s="10" t="n"/>
      <c r="B114" s="10" t="n"/>
      <c r="C114" s="11" t="n"/>
      <c r="D114" s="11" t="n"/>
      <c r="E114" s="11" t="n"/>
      <c r="F114" s="12">
        <f>IF(OR(A114="",N(C114)=0),"",D114/C114)</f>
        <v/>
      </c>
      <c r="G114" s="12">
        <f>IF(F114="","",IF(F114&lt;Plan!$B$4,0,IF(F114&lt;=1,Plan!$B$5+(1-Plan!$B$5)*(F114-Plan!$B$4)/(1-Plan!$B$4),MIN(Plan!$B$7,1+Plan!$B$6*(F114-1)))))</f>
        <v/>
      </c>
      <c r="H114" s="13">
        <f>IF(G114="","",G114*E114)</f>
        <v/>
      </c>
      <c r="I114" s="7">
        <f>IF(H114="","",H114&gt;Plan!$B$7*E114+0.01)</f>
        <v/>
      </c>
    </row>
    <row r="115">
      <c r="A115" s="10" t="n"/>
      <c r="B115" s="10" t="n"/>
      <c r="C115" s="11" t="n"/>
      <c r="D115" s="11" t="n"/>
      <c r="E115" s="11" t="n"/>
      <c r="F115" s="12">
        <f>IF(OR(A115="",N(C115)=0),"",D115/C115)</f>
        <v/>
      </c>
      <c r="G115" s="12">
        <f>IF(F115="","",IF(F115&lt;Plan!$B$4,0,IF(F115&lt;=1,Plan!$B$5+(1-Plan!$B$5)*(F115-Plan!$B$4)/(1-Plan!$B$4),MIN(Plan!$B$7,1+Plan!$B$6*(F115-1)))))</f>
        <v/>
      </c>
      <c r="H115" s="13">
        <f>IF(G115="","",G115*E115)</f>
        <v/>
      </c>
      <c r="I115" s="7">
        <f>IF(H115="","",H115&gt;Plan!$B$7*E115+0.01)</f>
        <v/>
      </c>
    </row>
    <row r="116">
      <c r="A116" s="10" t="n"/>
      <c r="B116" s="10" t="n"/>
      <c r="C116" s="11" t="n"/>
      <c r="D116" s="11" t="n"/>
      <c r="E116" s="11" t="n"/>
      <c r="F116" s="12">
        <f>IF(OR(A116="",N(C116)=0),"",D116/C116)</f>
        <v/>
      </c>
      <c r="G116" s="12">
        <f>IF(F116="","",IF(F116&lt;Plan!$B$4,0,IF(F116&lt;=1,Plan!$B$5+(1-Plan!$B$5)*(F116-Plan!$B$4)/(1-Plan!$B$4),MIN(Plan!$B$7,1+Plan!$B$6*(F116-1)))))</f>
        <v/>
      </c>
      <c r="H116" s="13">
        <f>IF(G116="","",G116*E116)</f>
        <v/>
      </c>
      <c r="I116" s="7">
        <f>IF(H116="","",H116&gt;Plan!$B$7*E116+0.01)</f>
        <v/>
      </c>
    </row>
    <row r="117">
      <c r="A117" s="10" t="n"/>
      <c r="B117" s="10" t="n"/>
      <c r="C117" s="11" t="n"/>
      <c r="D117" s="11" t="n"/>
      <c r="E117" s="11" t="n"/>
      <c r="F117" s="12">
        <f>IF(OR(A117="",N(C117)=0),"",D117/C117)</f>
        <v/>
      </c>
      <c r="G117" s="12">
        <f>IF(F117="","",IF(F117&lt;Plan!$B$4,0,IF(F117&lt;=1,Plan!$B$5+(1-Plan!$B$5)*(F117-Plan!$B$4)/(1-Plan!$B$4),MIN(Plan!$B$7,1+Plan!$B$6*(F117-1)))))</f>
        <v/>
      </c>
      <c r="H117" s="13">
        <f>IF(G117="","",G117*E117)</f>
        <v/>
      </c>
      <c r="I117" s="7">
        <f>IF(H117="","",H117&gt;Plan!$B$7*E117+0.01)</f>
        <v/>
      </c>
    </row>
    <row r="118">
      <c r="A118" s="10" t="n"/>
      <c r="B118" s="10" t="n"/>
      <c r="C118" s="11" t="n"/>
      <c r="D118" s="11" t="n"/>
      <c r="E118" s="11" t="n"/>
      <c r="F118" s="12">
        <f>IF(OR(A118="",N(C118)=0),"",D118/C118)</f>
        <v/>
      </c>
      <c r="G118" s="12">
        <f>IF(F118="","",IF(F118&lt;Plan!$B$4,0,IF(F118&lt;=1,Plan!$B$5+(1-Plan!$B$5)*(F118-Plan!$B$4)/(1-Plan!$B$4),MIN(Plan!$B$7,1+Plan!$B$6*(F118-1)))))</f>
        <v/>
      </c>
      <c r="H118" s="13">
        <f>IF(G118="","",G118*E118)</f>
        <v/>
      </c>
      <c r="I118" s="7">
        <f>IF(H118="","",H118&gt;Plan!$B$7*E118+0.01)</f>
        <v/>
      </c>
    </row>
    <row r="119">
      <c r="A119" s="10" t="n"/>
      <c r="B119" s="10" t="n"/>
      <c r="C119" s="11" t="n"/>
      <c r="D119" s="11" t="n"/>
      <c r="E119" s="11" t="n"/>
      <c r="F119" s="12">
        <f>IF(OR(A119="",N(C119)=0),"",D119/C119)</f>
        <v/>
      </c>
      <c r="G119" s="12">
        <f>IF(F119="","",IF(F119&lt;Plan!$B$4,0,IF(F119&lt;=1,Plan!$B$5+(1-Plan!$B$5)*(F119-Plan!$B$4)/(1-Plan!$B$4),MIN(Plan!$B$7,1+Plan!$B$6*(F119-1)))))</f>
        <v/>
      </c>
      <c r="H119" s="13">
        <f>IF(G119="","",G119*E119)</f>
        <v/>
      </c>
      <c r="I119" s="7">
        <f>IF(H119="","",H119&gt;Plan!$B$7*E119+0.01)</f>
        <v/>
      </c>
    </row>
    <row r="120">
      <c r="A120" s="10" t="n"/>
      <c r="B120" s="10" t="n"/>
      <c r="C120" s="11" t="n"/>
      <c r="D120" s="11" t="n"/>
      <c r="E120" s="11" t="n"/>
      <c r="F120" s="12">
        <f>IF(OR(A120="",N(C120)=0),"",D120/C120)</f>
        <v/>
      </c>
      <c r="G120" s="12">
        <f>IF(F120="","",IF(F120&lt;Plan!$B$4,0,IF(F120&lt;=1,Plan!$B$5+(1-Plan!$B$5)*(F120-Plan!$B$4)/(1-Plan!$B$4),MIN(Plan!$B$7,1+Plan!$B$6*(F120-1)))))</f>
        <v/>
      </c>
      <c r="H120" s="13">
        <f>IF(G120="","",G120*E120)</f>
        <v/>
      </c>
      <c r="I120" s="7">
        <f>IF(H120="","",H120&gt;Plan!$B$7*E120+0.01)</f>
        <v/>
      </c>
    </row>
    <row r="121">
      <c r="A121" s="10" t="n"/>
      <c r="B121" s="10" t="n"/>
      <c r="C121" s="11" t="n"/>
      <c r="D121" s="11" t="n"/>
      <c r="E121" s="11" t="n"/>
      <c r="F121" s="12">
        <f>IF(OR(A121="",N(C121)=0),"",D121/C121)</f>
        <v/>
      </c>
      <c r="G121" s="12">
        <f>IF(F121="","",IF(F121&lt;Plan!$B$4,0,IF(F121&lt;=1,Plan!$B$5+(1-Plan!$B$5)*(F121-Plan!$B$4)/(1-Plan!$B$4),MIN(Plan!$B$7,1+Plan!$B$6*(F121-1)))))</f>
        <v/>
      </c>
      <c r="H121" s="13">
        <f>IF(G121="","",G121*E121)</f>
        <v/>
      </c>
      <c r="I121" s="7">
        <f>IF(H121="","",H121&gt;Plan!$B$7*E121+0.01)</f>
        <v/>
      </c>
    </row>
    <row r="122">
      <c r="A122" s="10" t="n"/>
      <c r="B122" s="10" t="n"/>
      <c r="C122" s="11" t="n"/>
      <c r="D122" s="11" t="n"/>
      <c r="E122" s="11" t="n"/>
      <c r="F122" s="12">
        <f>IF(OR(A122="",N(C122)=0),"",D122/C122)</f>
        <v/>
      </c>
      <c r="G122" s="12">
        <f>IF(F122="","",IF(F122&lt;Plan!$B$4,0,IF(F122&lt;=1,Plan!$B$5+(1-Plan!$B$5)*(F122-Plan!$B$4)/(1-Plan!$B$4),MIN(Plan!$B$7,1+Plan!$B$6*(F122-1)))))</f>
        <v/>
      </c>
      <c r="H122" s="13">
        <f>IF(G122="","",G122*E122)</f>
        <v/>
      </c>
      <c r="I122" s="7">
        <f>IF(H122="","",H122&gt;Plan!$B$7*E122+0.01)</f>
        <v/>
      </c>
    </row>
    <row r="123">
      <c r="A123" s="10" t="n"/>
      <c r="B123" s="10" t="n"/>
      <c r="C123" s="11" t="n"/>
      <c r="D123" s="11" t="n"/>
      <c r="E123" s="11" t="n"/>
      <c r="F123" s="12">
        <f>IF(OR(A123="",N(C123)=0),"",D123/C123)</f>
        <v/>
      </c>
      <c r="G123" s="12">
        <f>IF(F123="","",IF(F123&lt;Plan!$B$4,0,IF(F123&lt;=1,Plan!$B$5+(1-Plan!$B$5)*(F123-Plan!$B$4)/(1-Plan!$B$4),MIN(Plan!$B$7,1+Plan!$B$6*(F123-1)))))</f>
        <v/>
      </c>
      <c r="H123" s="13">
        <f>IF(G123="","",G123*E123)</f>
        <v/>
      </c>
      <c r="I123" s="7">
        <f>IF(H123="","",H123&gt;Plan!$B$7*E123+0.01)</f>
        <v/>
      </c>
    </row>
    <row r="124">
      <c r="A124" s="10" t="n"/>
      <c r="B124" s="10" t="n"/>
      <c r="C124" s="11" t="n"/>
      <c r="D124" s="11" t="n"/>
      <c r="E124" s="11" t="n"/>
      <c r="F124" s="12">
        <f>IF(OR(A124="",N(C124)=0),"",D124/C124)</f>
        <v/>
      </c>
      <c r="G124" s="12">
        <f>IF(F124="","",IF(F124&lt;Plan!$B$4,0,IF(F124&lt;=1,Plan!$B$5+(1-Plan!$B$5)*(F124-Plan!$B$4)/(1-Plan!$B$4),MIN(Plan!$B$7,1+Plan!$B$6*(F124-1)))))</f>
        <v/>
      </c>
      <c r="H124" s="13">
        <f>IF(G124="","",G124*E124)</f>
        <v/>
      </c>
      <c r="I124" s="7">
        <f>IF(H124="","",H124&gt;Plan!$B$7*E124+0.01)</f>
        <v/>
      </c>
    </row>
    <row r="125">
      <c r="A125" s="10" t="n"/>
      <c r="B125" s="10" t="n"/>
      <c r="C125" s="11" t="n"/>
      <c r="D125" s="11" t="n"/>
      <c r="E125" s="11" t="n"/>
      <c r="F125" s="12">
        <f>IF(OR(A125="",N(C125)=0),"",D125/C125)</f>
        <v/>
      </c>
      <c r="G125" s="12">
        <f>IF(F125="","",IF(F125&lt;Plan!$B$4,0,IF(F125&lt;=1,Plan!$B$5+(1-Plan!$B$5)*(F125-Plan!$B$4)/(1-Plan!$B$4),MIN(Plan!$B$7,1+Plan!$B$6*(F125-1)))))</f>
        <v/>
      </c>
      <c r="H125" s="13">
        <f>IF(G125="","",G125*E125)</f>
        <v/>
      </c>
      <c r="I125" s="7">
        <f>IF(H125="","",H125&gt;Plan!$B$7*E125+0.01)</f>
        <v/>
      </c>
    </row>
    <row r="126">
      <c r="A126" s="10" t="n"/>
      <c r="B126" s="10" t="n"/>
      <c r="C126" s="11" t="n"/>
      <c r="D126" s="11" t="n"/>
      <c r="E126" s="11" t="n"/>
      <c r="F126" s="12">
        <f>IF(OR(A126="",N(C126)=0),"",D126/C126)</f>
        <v/>
      </c>
      <c r="G126" s="12">
        <f>IF(F126="","",IF(F126&lt;Plan!$B$4,0,IF(F126&lt;=1,Plan!$B$5+(1-Plan!$B$5)*(F126-Plan!$B$4)/(1-Plan!$B$4),MIN(Plan!$B$7,1+Plan!$B$6*(F126-1)))))</f>
        <v/>
      </c>
      <c r="H126" s="13">
        <f>IF(G126="","",G126*E126)</f>
        <v/>
      </c>
      <c r="I126" s="7">
        <f>IF(H126="","",H126&gt;Plan!$B$7*E126+0.01)</f>
        <v/>
      </c>
    </row>
    <row r="127">
      <c r="A127" s="10" t="n"/>
      <c r="B127" s="10" t="n"/>
      <c r="C127" s="11" t="n"/>
      <c r="D127" s="11" t="n"/>
      <c r="E127" s="11" t="n"/>
      <c r="F127" s="12">
        <f>IF(OR(A127="",N(C127)=0),"",D127/C127)</f>
        <v/>
      </c>
      <c r="G127" s="12">
        <f>IF(F127="","",IF(F127&lt;Plan!$B$4,0,IF(F127&lt;=1,Plan!$B$5+(1-Plan!$B$5)*(F127-Plan!$B$4)/(1-Plan!$B$4),MIN(Plan!$B$7,1+Plan!$B$6*(F127-1)))))</f>
        <v/>
      </c>
      <c r="H127" s="13">
        <f>IF(G127="","",G127*E127)</f>
        <v/>
      </c>
      <c r="I127" s="7">
        <f>IF(H127="","",H127&gt;Plan!$B$7*E127+0.01)</f>
        <v/>
      </c>
    </row>
    <row r="128">
      <c r="A128" s="10" t="n"/>
      <c r="B128" s="10" t="n"/>
      <c r="C128" s="11" t="n"/>
      <c r="D128" s="11" t="n"/>
      <c r="E128" s="11" t="n"/>
      <c r="F128" s="12">
        <f>IF(OR(A128="",N(C128)=0),"",D128/C128)</f>
        <v/>
      </c>
      <c r="G128" s="12">
        <f>IF(F128="","",IF(F128&lt;Plan!$B$4,0,IF(F128&lt;=1,Plan!$B$5+(1-Plan!$B$5)*(F128-Plan!$B$4)/(1-Plan!$B$4),MIN(Plan!$B$7,1+Plan!$B$6*(F128-1)))))</f>
        <v/>
      </c>
      <c r="H128" s="13">
        <f>IF(G128="","",G128*E128)</f>
        <v/>
      </c>
      <c r="I128" s="7">
        <f>IF(H128="","",H128&gt;Plan!$B$7*E128+0.01)</f>
        <v/>
      </c>
    </row>
    <row r="129">
      <c r="A129" s="10" t="n"/>
      <c r="B129" s="10" t="n"/>
      <c r="C129" s="11" t="n"/>
      <c r="D129" s="11" t="n"/>
      <c r="E129" s="11" t="n"/>
      <c r="F129" s="12">
        <f>IF(OR(A129="",N(C129)=0),"",D129/C129)</f>
        <v/>
      </c>
      <c r="G129" s="12">
        <f>IF(F129="","",IF(F129&lt;Plan!$B$4,0,IF(F129&lt;=1,Plan!$B$5+(1-Plan!$B$5)*(F129-Plan!$B$4)/(1-Plan!$B$4),MIN(Plan!$B$7,1+Plan!$B$6*(F129-1)))))</f>
        <v/>
      </c>
      <c r="H129" s="13">
        <f>IF(G129="","",G129*E129)</f>
        <v/>
      </c>
      <c r="I129" s="7">
        <f>IF(H129="","",H129&gt;Plan!$B$7*E129+0.01)</f>
        <v/>
      </c>
    </row>
    <row r="130">
      <c r="A130" s="10" t="n"/>
      <c r="B130" s="10" t="n"/>
      <c r="C130" s="11" t="n"/>
      <c r="D130" s="11" t="n"/>
      <c r="E130" s="11" t="n"/>
      <c r="F130" s="12">
        <f>IF(OR(A130="",N(C130)=0),"",D130/C130)</f>
        <v/>
      </c>
      <c r="G130" s="12">
        <f>IF(F130="","",IF(F130&lt;Plan!$B$4,0,IF(F130&lt;=1,Plan!$B$5+(1-Plan!$B$5)*(F130-Plan!$B$4)/(1-Plan!$B$4),MIN(Plan!$B$7,1+Plan!$B$6*(F130-1)))))</f>
        <v/>
      </c>
      <c r="H130" s="13">
        <f>IF(G130="","",G130*E130)</f>
        <v/>
      </c>
      <c r="I130" s="7">
        <f>IF(H130="","",H130&gt;Plan!$B$7*E130+0.01)</f>
        <v/>
      </c>
    </row>
    <row r="131">
      <c r="A131" s="10" t="n"/>
      <c r="B131" s="10" t="n"/>
      <c r="C131" s="11" t="n"/>
      <c r="D131" s="11" t="n"/>
      <c r="E131" s="11" t="n"/>
      <c r="F131" s="12">
        <f>IF(OR(A131="",N(C131)=0),"",D131/C131)</f>
        <v/>
      </c>
      <c r="G131" s="12">
        <f>IF(F131="","",IF(F131&lt;Plan!$B$4,0,IF(F131&lt;=1,Plan!$B$5+(1-Plan!$B$5)*(F131-Plan!$B$4)/(1-Plan!$B$4),MIN(Plan!$B$7,1+Plan!$B$6*(F131-1)))))</f>
        <v/>
      </c>
      <c r="H131" s="13">
        <f>IF(G131="","",G131*E131)</f>
        <v/>
      </c>
      <c r="I131" s="7">
        <f>IF(H131="","",H131&gt;Plan!$B$7*E131+0.01)</f>
        <v/>
      </c>
    </row>
    <row r="132">
      <c r="A132" s="10" t="n"/>
      <c r="B132" s="10" t="n"/>
      <c r="C132" s="11" t="n"/>
      <c r="D132" s="11" t="n"/>
      <c r="E132" s="11" t="n"/>
      <c r="F132" s="12">
        <f>IF(OR(A132="",N(C132)=0),"",D132/C132)</f>
        <v/>
      </c>
      <c r="G132" s="12">
        <f>IF(F132="","",IF(F132&lt;Plan!$B$4,0,IF(F132&lt;=1,Plan!$B$5+(1-Plan!$B$5)*(F132-Plan!$B$4)/(1-Plan!$B$4),MIN(Plan!$B$7,1+Plan!$B$6*(F132-1)))))</f>
        <v/>
      </c>
      <c r="H132" s="13">
        <f>IF(G132="","",G132*E132)</f>
        <v/>
      </c>
      <c r="I132" s="7">
        <f>IF(H132="","",H132&gt;Plan!$B$7*E132+0.01)</f>
        <v/>
      </c>
    </row>
    <row r="133">
      <c r="A133" s="10" t="n"/>
      <c r="B133" s="10" t="n"/>
      <c r="C133" s="11" t="n"/>
      <c r="D133" s="11" t="n"/>
      <c r="E133" s="11" t="n"/>
      <c r="F133" s="12">
        <f>IF(OR(A133="",N(C133)=0),"",D133/C133)</f>
        <v/>
      </c>
      <c r="G133" s="12">
        <f>IF(F133="","",IF(F133&lt;Plan!$B$4,0,IF(F133&lt;=1,Plan!$B$5+(1-Plan!$B$5)*(F133-Plan!$B$4)/(1-Plan!$B$4),MIN(Plan!$B$7,1+Plan!$B$6*(F133-1)))))</f>
        <v/>
      </c>
      <c r="H133" s="13">
        <f>IF(G133="","",G133*E133)</f>
        <v/>
      </c>
      <c r="I133" s="7">
        <f>IF(H133="","",H133&gt;Plan!$B$7*E133+0.01)</f>
        <v/>
      </c>
    </row>
    <row r="134">
      <c r="A134" s="10" t="n"/>
      <c r="B134" s="10" t="n"/>
      <c r="C134" s="11" t="n"/>
      <c r="D134" s="11" t="n"/>
      <c r="E134" s="11" t="n"/>
      <c r="F134" s="12">
        <f>IF(OR(A134="",N(C134)=0),"",D134/C134)</f>
        <v/>
      </c>
      <c r="G134" s="12">
        <f>IF(F134="","",IF(F134&lt;Plan!$B$4,0,IF(F134&lt;=1,Plan!$B$5+(1-Plan!$B$5)*(F134-Plan!$B$4)/(1-Plan!$B$4),MIN(Plan!$B$7,1+Plan!$B$6*(F134-1)))))</f>
        <v/>
      </c>
      <c r="H134" s="13">
        <f>IF(G134="","",G134*E134)</f>
        <v/>
      </c>
      <c r="I134" s="7">
        <f>IF(H134="","",H134&gt;Plan!$B$7*E134+0.01)</f>
        <v/>
      </c>
    </row>
    <row r="135">
      <c r="A135" s="10" t="n"/>
      <c r="B135" s="10" t="n"/>
      <c r="C135" s="11" t="n"/>
      <c r="D135" s="11" t="n"/>
      <c r="E135" s="11" t="n"/>
      <c r="F135" s="12">
        <f>IF(OR(A135="",N(C135)=0),"",D135/C135)</f>
        <v/>
      </c>
      <c r="G135" s="12">
        <f>IF(F135="","",IF(F135&lt;Plan!$B$4,0,IF(F135&lt;=1,Plan!$B$5+(1-Plan!$B$5)*(F135-Plan!$B$4)/(1-Plan!$B$4),MIN(Plan!$B$7,1+Plan!$B$6*(F135-1)))))</f>
        <v/>
      </c>
      <c r="H135" s="13">
        <f>IF(G135="","",G135*E135)</f>
        <v/>
      </c>
      <c r="I135" s="7">
        <f>IF(H135="","",H135&gt;Plan!$B$7*E135+0.01)</f>
        <v/>
      </c>
    </row>
    <row r="136">
      <c r="A136" s="10" t="n"/>
      <c r="B136" s="10" t="n"/>
      <c r="C136" s="11" t="n"/>
      <c r="D136" s="11" t="n"/>
      <c r="E136" s="11" t="n"/>
      <c r="F136" s="12">
        <f>IF(OR(A136="",N(C136)=0),"",D136/C136)</f>
        <v/>
      </c>
      <c r="G136" s="12">
        <f>IF(F136="","",IF(F136&lt;Plan!$B$4,0,IF(F136&lt;=1,Plan!$B$5+(1-Plan!$B$5)*(F136-Plan!$B$4)/(1-Plan!$B$4),MIN(Plan!$B$7,1+Plan!$B$6*(F136-1)))))</f>
        <v/>
      </c>
      <c r="H136" s="13">
        <f>IF(G136="","",G136*E136)</f>
        <v/>
      </c>
      <c r="I136" s="7">
        <f>IF(H136="","",H136&gt;Plan!$B$7*E136+0.01)</f>
        <v/>
      </c>
    </row>
    <row r="137">
      <c r="A137" s="10" t="n"/>
      <c r="B137" s="10" t="n"/>
      <c r="C137" s="11" t="n"/>
      <c r="D137" s="11" t="n"/>
      <c r="E137" s="11" t="n"/>
      <c r="F137" s="12">
        <f>IF(OR(A137="",N(C137)=0),"",D137/C137)</f>
        <v/>
      </c>
      <c r="G137" s="12">
        <f>IF(F137="","",IF(F137&lt;Plan!$B$4,0,IF(F137&lt;=1,Plan!$B$5+(1-Plan!$B$5)*(F137-Plan!$B$4)/(1-Plan!$B$4),MIN(Plan!$B$7,1+Plan!$B$6*(F137-1)))))</f>
        <v/>
      </c>
      <c r="H137" s="13">
        <f>IF(G137="","",G137*E137)</f>
        <v/>
      </c>
      <c r="I137" s="7">
        <f>IF(H137="","",H137&gt;Plan!$B$7*E137+0.01)</f>
        <v/>
      </c>
    </row>
    <row r="138">
      <c r="A138" s="10" t="n"/>
      <c r="B138" s="10" t="n"/>
      <c r="C138" s="11" t="n"/>
      <c r="D138" s="11" t="n"/>
      <c r="E138" s="11" t="n"/>
      <c r="F138" s="12">
        <f>IF(OR(A138="",N(C138)=0),"",D138/C138)</f>
        <v/>
      </c>
      <c r="G138" s="12">
        <f>IF(F138="","",IF(F138&lt;Plan!$B$4,0,IF(F138&lt;=1,Plan!$B$5+(1-Plan!$B$5)*(F138-Plan!$B$4)/(1-Plan!$B$4),MIN(Plan!$B$7,1+Plan!$B$6*(F138-1)))))</f>
        <v/>
      </c>
      <c r="H138" s="13">
        <f>IF(G138="","",G138*E138)</f>
        <v/>
      </c>
      <c r="I138" s="7">
        <f>IF(H138="","",H138&gt;Plan!$B$7*E138+0.01)</f>
        <v/>
      </c>
    </row>
    <row r="139">
      <c r="A139" s="10" t="n"/>
      <c r="B139" s="10" t="n"/>
      <c r="C139" s="11" t="n"/>
      <c r="D139" s="11" t="n"/>
      <c r="E139" s="11" t="n"/>
      <c r="F139" s="12">
        <f>IF(OR(A139="",N(C139)=0),"",D139/C139)</f>
        <v/>
      </c>
      <c r="G139" s="12">
        <f>IF(F139="","",IF(F139&lt;Plan!$B$4,0,IF(F139&lt;=1,Plan!$B$5+(1-Plan!$B$5)*(F139-Plan!$B$4)/(1-Plan!$B$4),MIN(Plan!$B$7,1+Plan!$B$6*(F139-1)))))</f>
        <v/>
      </c>
      <c r="H139" s="13">
        <f>IF(G139="","",G139*E139)</f>
        <v/>
      </c>
      <c r="I139" s="7">
        <f>IF(H139="","",H139&gt;Plan!$B$7*E139+0.01)</f>
        <v/>
      </c>
    </row>
    <row r="140">
      <c r="A140" s="10" t="n"/>
      <c r="B140" s="10" t="n"/>
      <c r="C140" s="11" t="n"/>
      <c r="D140" s="11" t="n"/>
      <c r="E140" s="11" t="n"/>
      <c r="F140" s="12">
        <f>IF(OR(A140="",N(C140)=0),"",D140/C140)</f>
        <v/>
      </c>
      <c r="G140" s="12">
        <f>IF(F140="","",IF(F140&lt;Plan!$B$4,0,IF(F140&lt;=1,Plan!$B$5+(1-Plan!$B$5)*(F140-Plan!$B$4)/(1-Plan!$B$4),MIN(Plan!$B$7,1+Plan!$B$6*(F140-1)))))</f>
        <v/>
      </c>
      <c r="H140" s="13">
        <f>IF(G140="","",G140*E140)</f>
        <v/>
      </c>
      <c r="I140" s="7">
        <f>IF(H140="","",H140&gt;Plan!$B$7*E140+0.01)</f>
        <v/>
      </c>
    </row>
    <row r="141">
      <c r="A141" s="10" t="n"/>
      <c r="B141" s="10" t="n"/>
      <c r="C141" s="11" t="n"/>
      <c r="D141" s="11" t="n"/>
      <c r="E141" s="11" t="n"/>
      <c r="F141" s="12">
        <f>IF(OR(A141="",N(C141)=0),"",D141/C141)</f>
        <v/>
      </c>
      <c r="G141" s="12">
        <f>IF(F141="","",IF(F141&lt;Plan!$B$4,0,IF(F141&lt;=1,Plan!$B$5+(1-Plan!$B$5)*(F141-Plan!$B$4)/(1-Plan!$B$4),MIN(Plan!$B$7,1+Plan!$B$6*(F141-1)))))</f>
        <v/>
      </c>
      <c r="H141" s="13">
        <f>IF(G141="","",G141*E141)</f>
        <v/>
      </c>
      <c r="I141" s="7">
        <f>IF(H141="","",H141&gt;Plan!$B$7*E141+0.01)</f>
        <v/>
      </c>
    </row>
    <row r="142">
      <c r="A142" s="10" t="n"/>
      <c r="B142" s="10" t="n"/>
      <c r="C142" s="11" t="n"/>
      <c r="D142" s="11" t="n"/>
      <c r="E142" s="11" t="n"/>
      <c r="F142" s="12">
        <f>IF(OR(A142="",N(C142)=0),"",D142/C142)</f>
        <v/>
      </c>
      <c r="G142" s="12">
        <f>IF(F142="","",IF(F142&lt;Plan!$B$4,0,IF(F142&lt;=1,Plan!$B$5+(1-Plan!$B$5)*(F142-Plan!$B$4)/(1-Plan!$B$4),MIN(Plan!$B$7,1+Plan!$B$6*(F142-1)))))</f>
        <v/>
      </c>
      <c r="H142" s="13">
        <f>IF(G142="","",G142*E142)</f>
        <v/>
      </c>
      <c r="I142" s="7">
        <f>IF(H142="","",H142&gt;Plan!$B$7*E142+0.01)</f>
        <v/>
      </c>
    </row>
    <row r="143">
      <c r="A143" s="10" t="n"/>
      <c r="B143" s="10" t="n"/>
      <c r="C143" s="11" t="n"/>
      <c r="D143" s="11" t="n"/>
      <c r="E143" s="11" t="n"/>
      <c r="F143" s="12">
        <f>IF(OR(A143="",N(C143)=0),"",D143/C143)</f>
        <v/>
      </c>
      <c r="G143" s="12">
        <f>IF(F143="","",IF(F143&lt;Plan!$B$4,0,IF(F143&lt;=1,Plan!$B$5+(1-Plan!$B$5)*(F143-Plan!$B$4)/(1-Plan!$B$4),MIN(Plan!$B$7,1+Plan!$B$6*(F143-1)))))</f>
        <v/>
      </c>
      <c r="H143" s="13">
        <f>IF(G143="","",G143*E143)</f>
        <v/>
      </c>
      <c r="I143" s="7">
        <f>IF(H143="","",H143&gt;Plan!$B$7*E143+0.01)</f>
        <v/>
      </c>
    </row>
    <row r="144">
      <c r="A144" s="10" t="n"/>
      <c r="B144" s="10" t="n"/>
      <c r="C144" s="11" t="n"/>
      <c r="D144" s="11" t="n"/>
      <c r="E144" s="11" t="n"/>
      <c r="F144" s="12">
        <f>IF(OR(A144="",N(C144)=0),"",D144/C144)</f>
        <v/>
      </c>
      <c r="G144" s="12">
        <f>IF(F144="","",IF(F144&lt;Plan!$B$4,0,IF(F144&lt;=1,Plan!$B$5+(1-Plan!$B$5)*(F144-Plan!$B$4)/(1-Plan!$B$4),MIN(Plan!$B$7,1+Plan!$B$6*(F144-1)))))</f>
        <v/>
      </c>
      <c r="H144" s="13">
        <f>IF(G144="","",G144*E144)</f>
        <v/>
      </c>
      <c r="I144" s="7">
        <f>IF(H144="","",H144&gt;Plan!$B$7*E144+0.01)</f>
        <v/>
      </c>
    </row>
    <row r="145">
      <c r="A145" s="10" t="n"/>
      <c r="B145" s="10" t="n"/>
      <c r="C145" s="11" t="n"/>
      <c r="D145" s="11" t="n"/>
      <c r="E145" s="11" t="n"/>
      <c r="F145" s="12">
        <f>IF(OR(A145="",N(C145)=0),"",D145/C145)</f>
        <v/>
      </c>
      <c r="G145" s="12">
        <f>IF(F145="","",IF(F145&lt;Plan!$B$4,0,IF(F145&lt;=1,Plan!$B$5+(1-Plan!$B$5)*(F145-Plan!$B$4)/(1-Plan!$B$4),MIN(Plan!$B$7,1+Plan!$B$6*(F145-1)))))</f>
        <v/>
      </c>
      <c r="H145" s="13">
        <f>IF(G145="","",G145*E145)</f>
        <v/>
      </c>
      <c r="I145" s="7">
        <f>IF(H145="","",H145&gt;Plan!$B$7*E145+0.01)</f>
        <v/>
      </c>
    </row>
    <row r="146">
      <c r="A146" s="10" t="n"/>
      <c r="B146" s="10" t="n"/>
      <c r="C146" s="11" t="n"/>
      <c r="D146" s="11" t="n"/>
      <c r="E146" s="11" t="n"/>
      <c r="F146" s="12">
        <f>IF(OR(A146="",N(C146)=0),"",D146/C146)</f>
        <v/>
      </c>
      <c r="G146" s="12">
        <f>IF(F146="","",IF(F146&lt;Plan!$B$4,0,IF(F146&lt;=1,Plan!$B$5+(1-Plan!$B$5)*(F146-Plan!$B$4)/(1-Plan!$B$4),MIN(Plan!$B$7,1+Plan!$B$6*(F146-1)))))</f>
        <v/>
      </c>
      <c r="H146" s="13">
        <f>IF(G146="","",G146*E146)</f>
        <v/>
      </c>
      <c r="I146" s="7">
        <f>IF(H146="","",H146&gt;Plan!$B$7*E146+0.01)</f>
        <v/>
      </c>
    </row>
    <row r="147">
      <c r="A147" s="10" t="n"/>
      <c r="B147" s="10" t="n"/>
      <c r="C147" s="11" t="n"/>
      <c r="D147" s="11" t="n"/>
      <c r="E147" s="11" t="n"/>
      <c r="F147" s="12">
        <f>IF(OR(A147="",N(C147)=0),"",D147/C147)</f>
        <v/>
      </c>
      <c r="G147" s="12">
        <f>IF(F147="","",IF(F147&lt;Plan!$B$4,0,IF(F147&lt;=1,Plan!$B$5+(1-Plan!$B$5)*(F147-Plan!$B$4)/(1-Plan!$B$4),MIN(Plan!$B$7,1+Plan!$B$6*(F147-1)))))</f>
        <v/>
      </c>
      <c r="H147" s="13">
        <f>IF(G147="","",G147*E147)</f>
        <v/>
      </c>
      <c r="I147" s="7">
        <f>IF(H147="","",H147&gt;Plan!$B$7*E147+0.01)</f>
        <v/>
      </c>
    </row>
    <row r="148">
      <c r="A148" s="10" t="n"/>
      <c r="B148" s="10" t="n"/>
      <c r="C148" s="11" t="n"/>
      <c r="D148" s="11" t="n"/>
      <c r="E148" s="11" t="n"/>
      <c r="F148" s="12">
        <f>IF(OR(A148="",N(C148)=0),"",D148/C148)</f>
        <v/>
      </c>
      <c r="G148" s="12">
        <f>IF(F148="","",IF(F148&lt;Plan!$B$4,0,IF(F148&lt;=1,Plan!$B$5+(1-Plan!$B$5)*(F148-Plan!$B$4)/(1-Plan!$B$4),MIN(Plan!$B$7,1+Plan!$B$6*(F148-1)))))</f>
        <v/>
      </c>
      <c r="H148" s="13">
        <f>IF(G148="","",G148*E148)</f>
        <v/>
      </c>
      <c r="I148" s="7">
        <f>IF(H148="","",H148&gt;Plan!$B$7*E148+0.01)</f>
        <v/>
      </c>
    </row>
    <row r="149">
      <c r="A149" s="10" t="n"/>
      <c r="B149" s="10" t="n"/>
      <c r="C149" s="11" t="n"/>
      <c r="D149" s="11" t="n"/>
      <c r="E149" s="11" t="n"/>
      <c r="F149" s="12">
        <f>IF(OR(A149="",N(C149)=0),"",D149/C149)</f>
        <v/>
      </c>
      <c r="G149" s="12">
        <f>IF(F149="","",IF(F149&lt;Plan!$B$4,0,IF(F149&lt;=1,Plan!$B$5+(1-Plan!$B$5)*(F149-Plan!$B$4)/(1-Plan!$B$4),MIN(Plan!$B$7,1+Plan!$B$6*(F149-1)))))</f>
        <v/>
      </c>
      <c r="H149" s="13">
        <f>IF(G149="","",G149*E149)</f>
        <v/>
      </c>
      <c r="I149" s="7">
        <f>IF(H149="","",H149&gt;Plan!$B$7*E149+0.01)</f>
        <v/>
      </c>
    </row>
    <row r="150">
      <c r="A150" s="10" t="n"/>
      <c r="B150" s="10" t="n"/>
      <c r="C150" s="11" t="n"/>
      <c r="D150" s="11" t="n"/>
      <c r="E150" s="11" t="n"/>
      <c r="F150" s="12">
        <f>IF(OR(A150="",N(C150)=0),"",D150/C150)</f>
        <v/>
      </c>
      <c r="G150" s="12">
        <f>IF(F150="","",IF(F150&lt;Plan!$B$4,0,IF(F150&lt;=1,Plan!$B$5+(1-Plan!$B$5)*(F150-Plan!$B$4)/(1-Plan!$B$4),MIN(Plan!$B$7,1+Plan!$B$6*(F150-1)))))</f>
        <v/>
      </c>
      <c r="H150" s="13">
        <f>IF(G150="","",G150*E150)</f>
        <v/>
      </c>
      <c r="I150" s="7">
        <f>IF(H150="","",H150&gt;Plan!$B$7*E150+0.01)</f>
        <v/>
      </c>
    </row>
    <row r="151">
      <c r="A151" s="10" t="n"/>
      <c r="B151" s="10" t="n"/>
      <c r="C151" s="11" t="n"/>
      <c r="D151" s="11" t="n"/>
      <c r="E151" s="11" t="n"/>
      <c r="F151" s="12">
        <f>IF(OR(A151="",N(C151)=0),"",D151/C151)</f>
        <v/>
      </c>
      <c r="G151" s="12">
        <f>IF(F151="","",IF(F151&lt;Plan!$B$4,0,IF(F151&lt;=1,Plan!$B$5+(1-Plan!$B$5)*(F151-Plan!$B$4)/(1-Plan!$B$4),MIN(Plan!$B$7,1+Plan!$B$6*(F151-1)))))</f>
        <v/>
      </c>
      <c r="H151" s="13">
        <f>IF(G151="","",G151*E151)</f>
        <v/>
      </c>
      <c r="I151" s="7">
        <f>IF(H151="","",H151&gt;Plan!$B$7*E151+0.01)</f>
        <v/>
      </c>
    </row>
    <row r="152">
      <c r="A152" s="10" t="n"/>
      <c r="B152" s="10" t="n"/>
      <c r="C152" s="11" t="n"/>
      <c r="D152" s="11" t="n"/>
      <c r="E152" s="11" t="n"/>
      <c r="F152" s="12">
        <f>IF(OR(A152="",N(C152)=0),"",D152/C152)</f>
        <v/>
      </c>
      <c r="G152" s="12">
        <f>IF(F152="","",IF(F152&lt;Plan!$B$4,0,IF(F152&lt;=1,Plan!$B$5+(1-Plan!$B$5)*(F152-Plan!$B$4)/(1-Plan!$B$4),MIN(Plan!$B$7,1+Plan!$B$6*(F152-1)))))</f>
        <v/>
      </c>
      <c r="H152" s="13">
        <f>IF(G152="","",G152*E152)</f>
        <v/>
      </c>
      <c r="I152" s="7">
        <f>IF(H152="","",H152&gt;Plan!$B$7*E152+0.01)</f>
        <v/>
      </c>
    </row>
    <row r="153">
      <c r="A153" s="10" t="n"/>
      <c r="B153" s="10" t="n"/>
      <c r="C153" s="11" t="n"/>
      <c r="D153" s="11" t="n"/>
      <c r="E153" s="11" t="n"/>
      <c r="F153" s="12">
        <f>IF(OR(A153="",N(C153)=0),"",D153/C153)</f>
        <v/>
      </c>
      <c r="G153" s="12">
        <f>IF(F153="","",IF(F153&lt;Plan!$B$4,0,IF(F153&lt;=1,Plan!$B$5+(1-Plan!$B$5)*(F153-Plan!$B$4)/(1-Plan!$B$4),MIN(Plan!$B$7,1+Plan!$B$6*(F153-1)))))</f>
        <v/>
      </c>
      <c r="H153" s="13">
        <f>IF(G153="","",G153*E153)</f>
        <v/>
      </c>
      <c r="I153" s="7">
        <f>IF(H153="","",H153&gt;Plan!$B$7*E153+0.01)</f>
        <v/>
      </c>
    </row>
    <row r="154">
      <c r="A154" s="10" t="n"/>
      <c r="B154" s="10" t="n"/>
      <c r="C154" s="11" t="n"/>
      <c r="D154" s="11" t="n"/>
      <c r="E154" s="11" t="n"/>
      <c r="F154" s="12">
        <f>IF(OR(A154="",N(C154)=0),"",D154/C154)</f>
        <v/>
      </c>
      <c r="G154" s="12">
        <f>IF(F154="","",IF(F154&lt;Plan!$B$4,0,IF(F154&lt;=1,Plan!$B$5+(1-Plan!$B$5)*(F154-Plan!$B$4)/(1-Plan!$B$4),MIN(Plan!$B$7,1+Plan!$B$6*(F154-1)))))</f>
        <v/>
      </c>
      <c r="H154" s="13">
        <f>IF(G154="","",G154*E154)</f>
        <v/>
      </c>
      <c r="I154" s="7">
        <f>IF(H154="","",H154&gt;Plan!$B$7*E154+0.01)</f>
        <v/>
      </c>
    </row>
    <row r="155">
      <c r="A155" s="10" t="n"/>
      <c r="B155" s="10" t="n"/>
      <c r="C155" s="11" t="n"/>
      <c r="D155" s="11" t="n"/>
      <c r="E155" s="11" t="n"/>
      <c r="F155" s="12">
        <f>IF(OR(A155="",N(C155)=0),"",D155/C155)</f>
        <v/>
      </c>
      <c r="G155" s="12">
        <f>IF(F155="","",IF(F155&lt;Plan!$B$4,0,IF(F155&lt;=1,Plan!$B$5+(1-Plan!$B$5)*(F155-Plan!$B$4)/(1-Plan!$B$4),MIN(Plan!$B$7,1+Plan!$B$6*(F155-1)))))</f>
        <v/>
      </c>
      <c r="H155" s="13">
        <f>IF(G155="","",G155*E155)</f>
        <v/>
      </c>
      <c r="I155" s="7">
        <f>IF(H155="","",H155&gt;Plan!$B$7*E155+0.01)</f>
        <v/>
      </c>
    </row>
    <row r="156">
      <c r="A156" s="10" t="n"/>
      <c r="B156" s="10" t="n"/>
      <c r="C156" s="11" t="n"/>
      <c r="D156" s="11" t="n"/>
      <c r="E156" s="11" t="n"/>
      <c r="F156" s="12">
        <f>IF(OR(A156="",N(C156)=0),"",D156/C156)</f>
        <v/>
      </c>
      <c r="G156" s="12">
        <f>IF(F156="","",IF(F156&lt;Plan!$B$4,0,IF(F156&lt;=1,Plan!$B$5+(1-Plan!$B$5)*(F156-Plan!$B$4)/(1-Plan!$B$4),MIN(Plan!$B$7,1+Plan!$B$6*(F156-1)))))</f>
        <v/>
      </c>
      <c r="H156" s="13">
        <f>IF(G156="","",G156*E156)</f>
        <v/>
      </c>
      <c r="I156" s="7">
        <f>IF(H156="","",H156&gt;Plan!$B$7*E156+0.01)</f>
        <v/>
      </c>
    </row>
    <row r="157">
      <c r="A157" s="10" t="n"/>
      <c r="B157" s="10" t="n"/>
      <c r="C157" s="11" t="n"/>
      <c r="D157" s="11" t="n"/>
      <c r="E157" s="11" t="n"/>
      <c r="F157" s="12">
        <f>IF(OR(A157="",N(C157)=0),"",D157/C157)</f>
        <v/>
      </c>
      <c r="G157" s="12">
        <f>IF(F157="","",IF(F157&lt;Plan!$B$4,0,IF(F157&lt;=1,Plan!$B$5+(1-Plan!$B$5)*(F157-Plan!$B$4)/(1-Plan!$B$4),MIN(Plan!$B$7,1+Plan!$B$6*(F157-1)))))</f>
        <v/>
      </c>
      <c r="H157" s="13">
        <f>IF(G157="","",G157*E157)</f>
        <v/>
      </c>
      <c r="I157" s="7">
        <f>IF(H157="","",H157&gt;Plan!$B$7*E157+0.01)</f>
        <v/>
      </c>
    </row>
    <row r="158">
      <c r="A158" s="10" t="n"/>
      <c r="B158" s="10" t="n"/>
      <c r="C158" s="11" t="n"/>
      <c r="D158" s="11" t="n"/>
      <c r="E158" s="11" t="n"/>
      <c r="F158" s="12">
        <f>IF(OR(A158="",N(C158)=0),"",D158/C158)</f>
        <v/>
      </c>
      <c r="G158" s="12">
        <f>IF(F158="","",IF(F158&lt;Plan!$B$4,0,IF(F158&lt;=1,Plan!$B$5+(1-Plan!$B$5)*(F158-Plan!$B$4)/(1-Plan!$B$4),MIN(Plan!$B$7,1+Plan!$B$6*(F158-1)))))</f>
        <v/>
      </c>
      <c r="H158" s="13">
        <f>IF(G158="","",G158*E158)</f>
        <v/>
      </c>
      <c r="I158" s="7">
        <f>IF(H158="","",H158&gt;Plan!$B$7*E158+0.01)</f>
        <v/>
      </c>
    </row>
    <row r="159">
      <c r="A159" s="10" t="n"/>
      <c r="B159" s="10" t="n"/>
      <c r="C159" s="11" t="n"/>
      <c r="D159" s="11" t="n"/>
      <c r="E159" s="11" t="n"/>
      <c r="F159" s="12">
        <f>IF(OR(A159="",N(C159)=0),"",D159/C159)</f>
        <v/>
      </c>
      <c r="G159" s="12">
        <f>IF(F159="","",IF(F159&lt;Plan!$B$4,0,IF(F159&lt;=1,Plan!$B$5+(1-Plan!$B$5)*(F159-Plan!$B$4)/(1-Plan!$B$4),MIN(Plan!$B$7,1+Plan!$B$6*(F159-1)))))</f>
        <v/>
      </c>
      <c r="H159" s="13">
        <f>IF(G159="","",G159*E159)</f>
        <v/>
      </c>
      <c r="I159" s="7">
        <f>IF(H159="","",H159&gt;Plan!$B$7*E159+0.01)</f>
        <v/>
      </c>
    </row>
    <row r="160">
      <c r="A160" s="10" t="n"/>
      <c r="B160" s="10" t="n"/>
      <c r="C160" s="11" t="n"/>
      <c r="D160" s="11" t="n"/>
      <c r="E160" s="11" t="n"/>
      <c r="F160" s="12">
        <f>IF(OR(A160="",N(C160)=0),"",D160/C160)</f>
        <v/>
      </c>
      <c r="G160" s="12">
        <f>IF(F160="","",IF(F160&lt;Plan!$B$4,0,IF(F160&lt;=1,Plan!$B$5+(1-Plan!$B$5)*(F160-Plan!$B$4)/(1-Plan!$B$4),MIN(Plan!$B$7,1+Plan!$B$6*(F160-1)))))</f>
        <v/>
      </c>
      <c r="H160" s="13">
        <f>IF(G160="","",G160*E160)</f>
        <v/>
      </c>
      <c r="I160" s="7">
        <f>IF(H160="","",H160&gt;Plan!$B$7*E160+0.01)</f>
        <v/>
      </c>
    </row>
    <row r="161">
      <c r="A161" s="10" t="n"/>
      <c r="B161" s="10" t="n"/>
      <c r="C161" s="11" t="n"/>
      <c r="D161" s="11" t="n"/>
      <c r="E161" s="11" t="n"/>
      <c r="F161" s="12">
        <f>IF(OR(A161="",N(C161)=0),"",D161/C161)</f>
        <v/>
      </c>
      <c r="G161" s="12">
        <f>IF(F161="","",IF(F161&lt;Plan!$B$4,0,IF(F161&lt;=1,Plan!$B$5+(1-Plan!$B$5)*(F161-Plan!$B$4)/(1-Plan!$B$4),MIN(Plan!$B$7,1+Plan!$B$6*(F161-1)))))</f>
        <v/>
      </c>
      <c r="H161" s="13">
        <f>IF(G161="","",G161*E161)</f>
        <v/>
      </c>
      <c r="I161" s="7">
        <f>IF(H161="","",H161&gt;Plan!$B$7*E161+0.01)</f>
        <v/>
      </c>
    </row>
    <row r="162">
      <c r="A162" s="10" t="n"/>
      <c r="B162" s="10" t="n"/>
      <c r="C162" s="11" t="n"/>
      <c r="D162" s="11" t="n"/>
      <c r="E162" s="11" t="n"/>
      <c r="F162" s="12">
        <f>IF(OR(A162="",N(C162)=0),"",D162/C162)</f>
        <v/>
      </c>
      <c r="G162" s="12">
        <f>IF(F162="","",IF(F162&lt;Plan!$B$4,0,IF(F162&lt;=1,Plan!$B$5+(1-Plan!$B$5)*(F162-Plan!$B$4)/(1-Plan!$B$4),MIN(Plan!$B$7,1+Plan!$B$6*(F162-1)))))</f>
        <v/>
      </c>
      <c r="H162" s="13">
        <f>IF(G162="","",G162*E162)</f>
        <v/>
      </c>
      <c r="I162" s="7">
        <f>IF(H162="","",H162&gt;Plan!$B$7*E162+0.01)</f>
        <v/>
      </c>
    </row>
    <row r="163">
      <c r="A163" s="10" t="n"/>
      <c r="B163" s="10" t="n"/>
      <c r="C163" s="11" t="n"/>
      <c r="D163" s="11" t="n"/>
      <c r="E163" s="11" t="n"/>
      <c r="F163" s="12">
        <f>IF(OR(A163="",N(C163)=0),"",D163/C163)</f>
        <v/>
      </c>
      <c r="G163" s="12">
        <f>IF(F163="","",IF(F163&lt;Plan!$B$4,0,IF(F163&lt;=1,Plan!$B$5+(1-Plan!$B$5)*(F163-Plan!$B$4)/(1-Plan!$B$4),MIN(Plan!$B$7,1+Plan!$B$6*(F163-1)))))</f>
        <v/>
      </c>
      <c r="H163" s="13">
        <f>IF(G163="","",G163*E163)</f>
        <v/>
      </c>
      <c r="I163" s="7">
        <f>IF(H163="","",H163&gt;Plan!$B$7*E163+0.01)</f>
        <v/>
      </c>
    </row>
    <row r="164">
      <c r="A164" s="10" t="n"/>
      <c r="B164" s="10" t="n"/>
      <c r="C164" s="11" t="n"/>
      <c r="D164" s="11" t="n"/>
      <c r="E164" s="11" t="n"/>
      <c r="F164" s="12">
        <f>IF(OR(A164="",N(C164)=0),"",D164/C164)</f>
        <v/>
      </c>
      <c r="G164" s="12">
        <f>IF(F164="","",IF(F164&lt;Plan!$B$4,0,IF(F164&lt;=1,Plan!$B$5+(1-Plan!$B$5)*(F164-Plan!$B$4)/(1-Plan!$B$4),MIN(Plan!$B$7,1+Plan!$B$6*(F164-1)))))</f>
        <v/>
      </c>
      <c r="H164" s="13">
        <f>IF(G164="","",G164*E164)</f>
        <v/>
      </c>
      <c r="I164" s="7">
        <f>IF(H164="","",H164&gt;Plan!$B$7*E164+0.01)</f>
        <v/>
      </c>
    </row>
    <row r="165">
      <c r="A165" s="10" t="n"/>
      <c r="B165" s="10" t="n"/>
      <c r="C165" s="11" t="n"/>
      <c r="D165" s="11" t="n"/>
      <c r="E165" s="11" t="n"/>
      <c r="F165" s="12">
        <f>IF(OR(A165="",N(C165)=0),"",D165/C165)</f>
        <v/>
      </c>
      <c r="G165" s="12">
        <f>IF(F165="","",IF(F165&lt;Plan!$B$4,0,IF(F165&lt;=1,Plan!$B$5+(1-Plan!$B$5)*(F165-Plan!$B$4)/(1-Plan!$B$4),MIN(Plan!$B$7,1+Plan!$B$6*(F165-1)))))</f>
        <v/>
      </c>
      <c r="H165" s="13">
        <f>IF(G165="","",G165*E165)</f>
        <v/>
      </c>
      <c r="I165" s="7">
        <f>IF(H165="","",H165&gt;Plan!$B$7*E165+0.01)</f>
        <v/>
      </c>
    </row>
    <row r="166">
      <c r="A166" s="10" t="n"/>
      <c r="B166" s="10" t="n"/>
      <c r="C166" s="11" t="n"/>
      <c r="D166" s="11" t="n"/>
      <c r="E166" s="11" t="n"/>
      <c r="F166" s="12">
        <f>IF(OR(A166="",N(C166)=0),"",D166/C166)</f>
        <v/>
      </c>
      <c r="G166" s="12">
        <f>IF(F166="","",IF(F166&lt;Plan!$B$4,0,IF(F166&lt;=1,Plan!$B$5+(1-Plan!$B$5)*(F166-Plan!$B$4)/(1-Plan!$B$4),MIN(Plan!$B$7,1+Plan!$B$6*(F166-1)))))</f>
        <v/>
      </c>
      <c r="H166" s="13">
        <f>IF(G166="","",G166*E166)</f>
        <v/>
      </c>
      <c r="I166" s="7">
        <f>IF(H166="","",H166&gt;Plan!$B$7*E166+0.01)</f>
        <v/>
      </c>
    </row>
    <row r="167">
      <c r="A167" s="10" t="n"/>
      <c r="B167" s="10" t="n"/>
      <c r="C167" s="11" t="n"/>
      <c r="D167" s="11" t="n"/>
      <c r="E167" s="11" t="n"/>
      <c r="F167" s="12">
        <f>IF(OR(A167="",N(C167)=0),"",D167/C167)</f>
        <v/>
      </c>
      <c r="G167" s="12">
        <f>IF(F167="","",IF(F167&lt;Plan!$B$4,0,IF(F167&lt;=1,Plan!$B$5+(1-Plan!$B$5)*(F167-Plan!$B$4)/(1-Plan!$B$4),MIN(Plan!$B$7,1+Plan!$B$6*(F167-1)))))</f>
        <v/>
      </c>
      <c r="H167" s="13">
        <f>IF(G167="","",G167*E167)</f>
        <v/>
      </c>
      <c r="I167" s="7">
        <f>IF(H167="","",H167&gt;Plan!$B$7*E167+0.01)</f>
        <v/>
      </c>
    </row>
    <row r="168">
      <c r="A168" s="10" t="n"/>
      <c r="B168" s="10" t="n"/>
      <c r="C168" s="11" t="n"/>
      <c r="D168" s="11" t="n"/>
      <c r="E168" s="11" t="n"/>
      <c r="F168" s="12">
        <f>IF(OR(A168="",N(C168)=0),"",D168/C168)</f>
        <v/>
      </c>
      <c r="G168" s="12">
        <f>IF(F168="","",IF(F168&lt;Plan!$B$4,0,IF(F168&lt;=1,Plan!$B$5+(1-Plan!$B$5)*(F168-Plan!$B$4)/(1-Plan!$B$4),MIN(Plan!$B$7,1+Plan!$B$6*(F168-1)))))</f>
        <v/>
      </c>
      <c r="H168" s="13">
        <f>IF(G168="","",G168*E168)</f>
        <v/>
      </c>
      <c r="I168" s="7">
        <f>IF(H168="","",H168&gt;Plan!$B$7*E168+0.01)</f>
        <v/>
      </c>
    </row>
    <row r="169">
      <c r="A169" s="10" t="n"/>
      <c r="B169" s="10" t="n"/>
      <c r="C169" s="11" t="n"/>
      <c r="D169" s="11" t="n"/>
      <c r="E169" s="11" t="n"/>
      <c r="F169" s="12">
        <f>IF(OR(A169="",N(C169)=0),"",D169/C169)</f>
        <v/>
      </c>
      <c r="G169" s="12">
        <f>IF(F169="","",IF(F169&lt;Plan!$B$4,0,IF(F169&lt;=1,Plan!$B$5+(1-Plan!$B$5)*(F169-Plan!$B$4)/(1-Plan!$B$4),MIN(Plan!$B$7,1+Plan!$B$6*(F169-1)))))</f>
        <v/>
      </c>
      <c r="H169" s="13">
        <f>IF(G169="","",G169*E169)</f>
        <v/>
      </c>
      <c r="I169" s="7">
        <f>IF(H169="","",H169&gt;Plan!$B$7*E169+0.01)</f>
        <v/>
      </c>
    </row>
    <row r="170">
      <c r="A170" s="10" t="n"/>
      <c r="B170" s="10" t="n"/>
      <c r="C170" s="11" t="n"/>
      <c r="D170" s="11" t="n"/>
      <c r="E170" s="11" t="n"/>
      <c r="F170" s="12">
        <f>IF(OR(A170="",N(C170)=0),"",D170/C170)</f>
        <v/>
      </c>
      <c r="G170" s="12">
        <f>IF(F170="","",IF(F170&lt;Plan!$B$4,0,IF(F170&lt;=1,Plan!$B$5+(1-Plan!$B$5)*(F170-Plan!$B$4)/(1-Plan!$B$4),MIN(Plan!$B$7,1+Plan!$B$6*(F170-1)))))</f>
        <v/>
      </c>
      <c r="H170" s="13">
        <f>IF(G170="","",G170*E170)</f>
        <v/>
      </c>
      <c r="I170" s="7">
        <f>IF(H170="","",H170&gt;Plan!$B$7*E170+0.01)</f>
        <v/>
      </c>
    </row>
    <row r="171">
      <c r="A171" s="10" t="n"/>
      <c r="B171" s="10" t="n"/>
      <c r="C171" s="11" t="n"/>
      <c r="D171" s="11" t="n"/>
      <c r="E171" s="11" t="n"/>
      <c r="F171" s="12">
        <f>IF(OR(A171="",N(C171)=0),"",D171/C171)</f>
        <v/>
      </c>
      <c r="G171" s="12">
        <f>IF(F171="","",IF(F171&lt;Plan!$B$4,0,IF(F171&lt;=1,Plan!$B$5+(1-Plan!$B$5)*(F171-Plan!$B$4)/(1-Plan!$B$4),MIN(Plan!$B$7,1+Plan!$B$6*(F171-1)))))</f>
        <v/>
      </c>
      <c r="H171" s="13">
        <f>IF(G171="","",G171*E171)</f>
        <v/>
      </c>
      <c r="I171" s="7">
        <f>IF(H171="","",H171&gt;Plan!$B$7*E171+0.01)</f>
        <v/>
      </c>
    </row>
    <row r="172">
      <c r="A172" s="10" t="n"/>
      <c r="B172" s="10" t="n"/>
      <c r="C172" s="11" t="n"/>
      <c r="D172" s="11" t="n"/>
      <c r="E172" s="11" t="n"/>
      <c r="F172" s="12">
        <f>IF(OR(A172="",N(C172)=0),"",D172/C172)</f>
        <v/>
      </c>
      <c r="G172" s="12">
        <f>IF(F172="","",IF(F172&lt;Plan!$B$4,0,IF(F172&lt;=1,Plan!$B$5+(1-Plan!$B$5)*(F172-Plan!$B$4)/(1-Plan!$B$4),MIN(Plan!$B$7,1+Plan!$B$6*(F172-1)))))</f>
        <v/>
      </c>
      <c r="H172" s="13">
        <f>IF(G172="","",G172*E172)</f>
        <v/>
      </c>
      <c r="I172" s="7">
        <f>IF(H172="","",H172&gt;Plan!$B$7*E172+0.01)</f>
        <v/>
      </c>
    </row>
    <row r="173">
      <c r="A173" s="10" t="n"/>
      <c r="B173" s="10" t="n"/>
      <c r="C173" s="11" t="n"/>
      <c r="D173" s="11" t="n"/>
      <c r="E173" s="11" t="n"/>
      <c r="F173" s="12">
        <f>IF(OR(A173="",N(C173)=0),"",D173/C173)</f>
        <v/>
      </c>
      <c r="G173" s="12">
        <f>IF(F173="","",IF(F173&lt;Plan!$B$4,0,IF(F173&lt;=1,Plan!$B$5+(1-Plan!$B$5)*(F173-Plan!$B$4)/(1-Plan!$B$4),MIN(Plan!$B$7,1+Plan!$B$6*(F173-1)))))</f>
        <v/>
      </c>
      <c r="H173" s="13">
        <f>IF(G173="","",G173*E173)</f>
        <v/>
      </c>
      <c r="I173" s="7">
        <f>IF(H173="","",H173&gt;Plan!$B$7*E173+0.01)</f>
        <v/>
      </c>
    </row>
    <row r="174">
      <c r="A174" s="10" t="n"/>
      <c r="B174" s="10" t="n"/>
      <c r="C174" s="11" t="n"/>
      <c r="D174" s="11" t="n"/>
      <c r="E174" s="11" t="n"/>
      <c r="F174" s="12">
        <f>IF(OR(A174="",N(C174)=0),"",D174/C174)</f>
        <v/>
      </c>
      <c r="G174" s="12">
        <f>IF(F174="","",IF(F174&lt;Plan!$B$4,0,IF(F174&lt;=1,Plan!$B$5+(1-Plan!$B$5)*(F174-Plan!$B$4)/(1-Plan!$B$4),MIN(Plan!$B$7,1+Plan!$B$6*(F174-1)))))</f>
        <v/>
      </c>
      <c r="H174" s="13">
        <f>IF(G174="","",G174*E174)</f>
        <v/>
      </c>
      <c r="I174" s="7">
        <f>IF(H174="","",H174&gt;Plan!$B$7*E174+0.01)</f>
        <v/>
      </c>
    </row>
    <row r="175">
      <c r="A175" s="10" t="n"/>
      <c r="B175" s="10" t="n"/>
      <c r="C175" s="11" t="n"/>
      <c r="D175" s="11" t="n"/>
      <c r="E175" s="11" t="n"/>
      <c r="F175" s="12">
        <f>IF(OR(A175="",N(C175)=0),"",D175/C175)</f>
        <v/>
      </c>
      <c r="G175" s="12">
        <f>IF(F175="","",IF(F175&lt;Plan!$B$4,0,IF(F175&lt;=1,Plan!$B$5+(1-Plan!$B$5)*(F175-Plan!$B$4)/(1-Plan!$B$4),MIN(Plan!$B$7,1+Plan!$B$6*(F175-1)))))</f>
        <v/>
      </c>
      <c r="H175" s="13">
        <f>IF(G175="","",G175*E175)</f>
        <v/>
      </c>
      <c r="I175" s="7">
        <f>IF(H175="","",H175&gt;Plan!$B$7*E175+0.01)</f>
        <v/>
      </c>
    </row>
    <row r="176">
      <c r="A176" s="10" t="n"/>
      <c r="B176" s="10" t="n"/>
      <c r="C176" s="11" t="n"/>
      <c r="D176" s="11" t="n"/>
      <c r="E176" s="11" t="n"/>
      <c r="F176" s="12">
        <f>IF(OR(A176="",N(C176)=0),"",D176/C176)</f>
        <v/>
      </c>
      <c r="G176" s="12">
        <f>IF(F176="","",IF(F176&lt;Plan!$B$4,0,IF(F176&lt;=1,Plan!$B$5+(1-Plan!$B$5)*(F176-Plan!$B$4)/(1-Plan!$B$4),MIN(Plan!$B$7,1+Plan!$B$6*(F176-1)))))</f>
        <v/>
      </c>
      <c r="H176" s="13">
        <f>IF(G176="","",G176*E176)</f>
        <v/>
      </c>
      <c r="I176" s="7">
        <f>IF(H176="","",H176&gt;Plan!$B$7*E176+0.01)</f>
        <v/>
      </c>
    </row>
    <row r="177">
      <c r="A177" s="10" t="n"/>
      <c r="B177" s="10" t="n"/>
      <c r="C177" s="11" t="n"/>
      <c r="D177" s="11" t="n"/>
      <c r="E177" s="11" t="n"/>
      <c r="F177" s="12">
        <f>IF(OR(A177="",N(C177)=0),"",D177/C177)</f>
        <v/>
      </c>
      <c r="G177" s="12">
        <f>IF(F177="","",IF(F177&lt;Plan!$B$4,0,IF(F177&lt;=1,Plan!$B$5+(1-Plan!$B$5)*(F177-Plan!$B$4)/(1-Plan!$B$4),MIN(Plan!$B$7,1+Plan!$B$6*(F177-1)))))</f>
        <v/>
      </c>
      <c r="H177" s="13">
        <f>IF(G177="","",G177*E177)</f>
        <v/>
      </c>
      <c r="I177" s="7">
        <f>IF(H177="","",H177&gt;Plan!$B$7*E177+0.01)</f>
        <v/>
      </c>
    </row>
    <row r="178">
      <c r="A178" s="10" t="n"/>
      <c r="B178" s="10" t="n"/>
      <c r="C178" s="11" t="n"/>
      <c r="D178" s="11" t="n"/>
      <c r="E178" s="11" t="n"/>
      <c r="F178" s="12">
        <f>IF(OR(A178="",N(C178)=0),"",D178/C178)</f>
        <v/>
      </c>
      <c r="G178" s="12">
        <f>IF(F178="","",IF(F178&lt;Plan!$B$4,0,IF(F178&lt;=1,Plan!$B$5+(1-Plan!$B$5)*(F178-Plan!$B$4)/(1-Plan!$B$4),MIN(Plan!$B$7,1+Plan!$B$6*(F178-1)))))</f>
        <v/>
      </c>
      <c r="H178" s="13">
        <f>IF(G178="","",G178*E178)</f>
        <v/>
      </c>
      <c r="I178" s="7">
        <f>IF(H178="","",H178&gt;Plan!$B$7*E178+0.01)</f>
        <v/>
      </c>
    </row>
    <row r="179">
      <c r="A179" s="10" t="n"/>
      <c r="B179" s="10" t="n"/>
      <c r="C179" s="11" t="n"/>
      <c r="D179" s="11" t="n"/>
      <c r="E179" s="11" t="n"/>
      <c r="F179" s="12">
        <f>IF(OR(A179="",N(C179)=0),"",D179/C179)</f>
        <v/>
      </c>
      <c r="G179" s="12">
        <f>IF(F179="","",IF(F179&lt;Plan!$B$4,0,IF(F179&lt;=1,Plan!$B$5+(1-Plan!$B$5)*(F179-Plan!$B$4)/(1-Plan!$B$4),MIN(Plan!$B$7,1+Plan!$B$6*(F179-1)))))</f>
        <v/>
      </c>
      <c r="H179" s="13">
        <f>IF(G179="","",G179*E179)</f>
        <v/>
      </c>
      <c r="I179" s="7">
        <f>IF(H179="","",H179&gt;Plan!$B$7*E179+0.01)</f>
        <v/>
      </c>
    </row>
    <row r="180">
      <c r="A180" s="10" t="n"/>
      <c r="B180" s="10" t="n"/>
      <c r="C180" s="11" t="n"/>
      <c r="D180" s="11" t="n"/>
      <c r="E180" s="11" t="n"/>
      <c r="F180" s="12">
        <f>IF(OR(A180="",N(C180)=0),"",D180/C180)</f>
        <v/>
      </c>
      <c r="G180" s="12">
        <f>IF(F180="","",IF(F180&lt;Plan!$B$4,0,IF(F180&lt;=1,Plan!$B$5+(1-Plan!$B$5)*(F180-Plan!$B$4)/(1-Plan!$B$4),MIN(Plan!$B$7,1+Plan!$B$6*(F180-1)))))</f>
        <v/>
      </c>
      <c r="H180" s="13">
        <f>IF(G180="","",G180*E180)</f>
        <v/>
      </c>
      <c r="I180" s="7">
        <f>IF(H180="","",H180&gt;Plan!$B$7*E180+0.01)</f>
        <v/>
      </c>
    </row>
    <row r="181">
      <c r="A181" s="10" t="n"/>
      <c r="B181" s="10" t="n"/>
      <c r="C181" s="11" t="n"/>
      <c r="D181" s="11" t="n"/>
      <c r="E181" s="11" t="n"/>
      <c r="F181" s="12">
        <f>IF(OR(A181="",N(C181)=0),"",D181/C181)</f>
        <v/>
      </c>
      <c r="G181" s="12">
        <f>IF(F181="","",IF(F181&lt;Plan!$B$4,0,IF(F181&lt;=1,Plan!$B$5+(1-Plan!$B$5)*(F181-Plan!$B$4)/(1-Plan!$B$4),MIN(Plan!$B$7,1+Plan!$B$6*(F181-1)))))</f>
        <v/>
      </c>
      <c r="H181" s="13">
        <f>IF(G181="","",G181*E181)</f>
        <v/>
      </c>
      <c r="I181" s="7">
        <f>IF(H181="","",H181&gt;Plan!$B$7*E181+0.01)</f>
        <v/>
      </c>
    </row>
    <row r="182">
      <c r="A182" s="10" t="n"/>
      <c r="B182" s="10" t="n"/>
      <c r="C182" s="11" t="n"/>
      <c r="D182" s="11" t="n"/>
      <c r="E182" s="11" t="n"/>
      <c r="F182" s="12">
        <f>IF(OR(A182="",N(C182)=0),"",D182/C182)</f>
        <v/>
      </c>
      <c r="G182" s="12">
        <f>IF(F182="","",IF(F182&lt;Plan!$B$4,0,IF(F182&lt;=1,Plan!$B$5+(1-Plan!$B$5)*(F182-Plan!$B$4)/(1-Plan!$B$4),MIN(Plan!$B$7,1+Plan!$B$6*(F182-1)))))</f>
        <v/>
      </c>
      <c r="H182" s="13">
        <f>IF(G182="","",G182*E182)</f>
        <v/>
      </c>
      <c r="I182" s="7">
        <f>IF(H182="","",H182&gt;Plan!$B$7*E182+0.01)</f>
        <v/>
      </c>
    </row>
    <row r="183">
      <c r="A183" s="10" t="n"/>
      <c r="B183" s="10" t="n"/>
      <c r="C183" s="11" t="n"/>
      <c r="D183" s="11" t="n"/>
      <c r="E183" s="11" t="n"/>
      <c r="F183" s="12">
        <f>IF(OR(A183="",N(C183)=0),"",D183/C183)</f>
        <v/>
      </c>
      <c r="G183" s="12">
        <f>IF(F183="","",IF(F183&lt;Plan!$B$4,0,IF(F183&lt;=1,Plan!$B$5+(1-Plan!$B$5)*(F183-Plan!$B$4)/(1-Plan!$B$4),MIN(Plan!$B$7,1+Plan!$B$6*(F183-1)))))</f>
        <v/>
      </c>
      <c r="H183" s="13">
        <f>IF(G183="","",G183*E183)</f>
        <v/>
      </c>
      <c r="I183" s="7">
        <f>IF(H183="","",H183&gt;Plan!$B$7*E183+0.01)</f>
        <v/>
      </c>
    </row>
    <row r="184">
      <c r="A184" s="10" t="n"/>
      <c r="B184" s="10" t="n"/>
      <c r="C184" s="11" t="n"/>
      <c r="D184" s="11" t="n"/>
      <c r="E184" s="11" t="n"/>
      <c r="F184" s="12">
        <f>IF(OR(A184="",N(C184)=0),"",D184/C184)</f>
        <v/>
      </c>
      <c r="G184" s="12">
        <f>IF(F184="","",IF(F184&lt;Plan!$B$4,0,IF(F184&lt;=1,Plan!$B$5+(1-Plan!$B$5)*(F184-Plan!$B$4)/(1-Plan!$B$4),MIN(Plan!$B$7,1+Plan!$B$6*(F184-1)))))</f>
        <v/>
      </c>
      <c r="H184" s="13">
        <f>IF(G184="","",G184*E184)</f>
        <v/>
      </c>
      <c r="I184" s="7">
        <f>IF(H184="","",H184&gt;Plan!$B$7*E184+0.01)</f>
        <v/>
      </c>
    </row>
    <row r="185">
      <c r="A185" s="10" t="n"/>
      <c r="B185" s="10" t="n"/>
      <c r="C185" s="11" t="n"/>
      <c r="D185" s="11" t="n"/>
      <c r="E185" s="11" t="n"/>
      <c r="F185" s="12">
        <f>IF(OR(A185="",N(C185)=0),"",D185/C185)</f>
        <v/>
      </c>
      <c r="G185" s="12">
        <f>IF(F185="","",IF(F185&lt;Plan!$B$4,0,IF(F185&lt;=1,Plan!$B$5+(1-Plan!$B$5)*(F185-Plan!$B$4)/(1-Plan!$B$4),MIN(Plan!$B$7,1+Plan!$B$6*(F185-1)))))</f>
        <v/>
      </c>
      <c r="H185" s="13">
        <f>IF(G185="","",G185*E185)</f>
        <v/>
      </c>
      <c r="I185" s="7">
        <f>IF(H185="","",H185&gt;Plan!$B$7*E185+0.01)</f>
        <v/>
      </c>
    </row>
    <row r="186">
      <c r="A186" s="10" t="n"/>
      <c r="B186" s="10" t="n"/>
      <c r="C186" s="11" t="n"/>
      <c r="D186" s="11" t="n"/>
      <c r="E186" s="11" t="n"/>
      <c r="F186" s="12">
        <f>IF(OR(A186="",N(C186)=0),"",D186/C186)</f>
        <v/>
      </c>
      <c r="G186" s="12">
        <f>IF(F186="","",IF(F186&lt;Plan!$B$4,0,IF(F186&lt;=1,Plan!$B$5+(1-Plan!$B$5)*(F186-Plan!$B$4)/(1-Plan!$B$4),MIN(Plan!$B$7,1+Plan!$B$6*(F186-1)))))</f>
        <v/>
      </c>
      <c r="H186" s="13">
        <f>IF(G186="","",G186*E186)</f>
        <v/>
      </c>
      <c r="I186" s="7">
        <f>IF(H186="","",H186&gt;Plan!$B$7*E186+0.01)</f>
        <v/>
      </c>
    </row>
    <row r="187">
      <c r="A187" s="10" t="n"/>
      <c r="B187" s="10" t="n"/>
      <c r="C187" s="11" t="n"/>
      <c r="D187" s="11" t="n"/>
      <c r="E187" s="11" t="n"/>
      <c r="F187" s="12">
        <f>IF(OR(A187="",N(C187)=0),"",D187/C187)</f>
        <v/>
      </c>
      <c r="G187" s="12">
        <f>IF(F187="","",IF(F187&lt;Plan!$B$4,0,IF(F187&lt;=1,Plan!$B$5+(1-Plan!$B$5)*(F187-Plan!$B$4)/(1-Plan!$B$4),MIN(Plan!$B$7,1+Plan!$B$6*(F187-1)))))</f>
        <v/>
      </c>
      <c r="H187" s="13">
        <f>IF(G187="","",G187*E187)</f>
        <v/>
      </c>
      <c r="I187" s="7">
        <f>IF(H187="","",H187&gt;Plan!$B$7*E187+0.01)</f>
        <v/>
      </c>
    </row>
    <row r="188">
      <c r="A188" s="10" t="n"/>
      <c r="B188" s="10" t="n"/>
      <c r="C188" s="11" t="n"/>
      <c r="D188" s="11" t="n"/>
      <c r="E188" s="11" t="n"/>
      <c r="F188" s="12">
        <f>IF(OR(A188="",N(C188)=0),"",D188/C188)</f>
        <v/>
      </c>
      <c r="G188" s="12">
        <f>IF(F188="","",IF(F188&lt;Plan!$B$4,0,IF(F188&lt;=1,Plan!$B$5+(1-Plan!$B$5)*(F188-Plan!$B$4)/(1-Plan!$B$4),MIN(Plan!$B$7,1+Plan!$B$6*(F188-1)))))</f>
        <v/>
      </c>
      <c r="H188" s="13">
        <f>IF(G188="","",G188*E188)</f>
        <v/>
      </c>
      <c r="I188" s="7">
        <f>IF(H188="","",H188&gt;Plan!$B$7*E188+0.01)</f>
        <v/>
      </c>
    </row>
    <row r="189">
      <c r="A189" s="10" t="n"/>
      <c r="B189" s="10" t="n"/>
      <c r="C189" s="11" t="n"/>
      <c r="D189" s="11" t="n"/>
      <c r="E189" s="11" t="n"/>
      <c r="F189" s="12">
        <f>IF(OR(A189="",N(C189)=0),"",D189/C189)</f>
        <v/>
      </c>
      <c r="G189" s="12">
        <f>IF(F189="","",IF(F189&lt;Plan!$B$4,0,IF(F189&lt;=1,Plan!$B$5+(1-Plan!$B$5)*(F189-Plan!$B$4)/(1-Plan!$B$4),MIN(Plan!$B$7,1+Plan!$B$6*(F189-1)))))</f>
        <v/>
      </c>
      <c r="H189" s="13">
        <f>IF(G189="","",G189*E189)</f>
        <v/>
      </c>
      <c r="I189" s="7">
        <f>IF(H189="","",H189&gt;Plan!$B$7*E189+0.01)</f>
        <v/>
      </c>
    </row>
    <row r="190">
      <c r="A190" s="10" t="n"/>
      <c r="B190" s="10" t="n"/>
      <c r="C190" s="11" t="n"/>
      <c r="D190" s="11" t="n"/>
      <c r="E190" s="11" t="n"/>
      <c r="F190" s="12">
        <f>IF(OR(A190="",N(C190)=0),"",D190/C190)</f>
        <v/>
      </c>
      <c r="G190" s="12">
        <f>IF(F190="","",IF(F190&lt;Plan!$B$4,0,IF(F190&lt;=1,Plan!$B$5+(1-Plan!$B$5)*(F190-Plan!$B$4)/(1-Plan!$B$4),MIN(Plan!$B$7,1+Plan!$B$6*(F190-1)))))</f>
        <v/>
      </c>
      <c r="H190" s="13">
        <f>IF(G190="","",G190*E190)</f>
        <v/>
      </c>
      <c r="I190" s="7">
        <f>IF(H190="","",H190&gt;Plan!$B$7*E190+0.01)</f>
        <v/>
      </c>
    </row>
    <row r="191">
      <c r="A191" s="10" t="n"/>
      <c r="B191" s="10" t="n"/>
      <c r="C191" s="11" t="n"/>
      <c r="D191" s="11" t="n"/>
      <c r="E191" s="11" t="n"/>
      <c r="F191" s="12">
        <f>IF(OR(A191="",N(C191)=0),"",D191/C191)</f>
        <v/>
      </c>
      <c r="G191" s="12">
        <f>IF(F191="","",IF(F191&lt;Plan!$B$4,0,IF(F191&lt;=1,Plan!$B$5+(1-Plan!$B$5)*(F191-Plan!$B$4)/(1-Plan!$B$4),MIN(Plan!$B$7,1+Plan!$B$6*(F191-1)))))</f>
        <v/>
      </c>
      <c r="H191" s="13">
        <f>IF(G191="","",G191*E191)</f>
        <v/>
      </c>
      <c r="I191" s="7">
        <f>IF(H191="","",H191&gt;Plan!$B$7*E191+0.01)</f>
        <v/>
      </c>
    </row>
    <row r="192">
      <c r="A192" s="10" t="n"/>
      <c r="B192" s="10" t="n"/>
      <c r="C192" s="11" t="n"/>
      <c r="D192" s="11" t="n"/>
      <c r="E192" s="11" t="n"/>
      <c r="F192" s="12">
        <f>IF(OR(A192="",N(C192)=0),"",D192/C192)</f>
        <v/>
      </c>
      <c r="G192" s="12">
        <f>IF(F192="","",IF(F192&lt;Plan!$B$4,0,IF(F192&lt;=1,Plan!$B$5+(1-Plan!$B$5)*(F192-Plan!$B$4)/(1-Plan!$B$4),MIN(Plan!$B$7,1+Plan!$B$6*(F192-1)))))</f>
        <v/>
      </c>
      <c r="H192" s="13">
        <f>IF(G192="","",G192*E192)</f>
        <v/>
      </c>
      <c r="I192" s="7">
        <f>IF(H192="","",H192&gt;Plan!$B$7*E192+0.01)</f>
        <v/>
      </c>
    </row>
    <row r="193">
      <c r="A193" s="10" t="n"/>
      <c r="B193" s="10" t="n"/>
      <c r="C193" s="11" t="n"/>
      <c r="D193" s="11" t="n"/>
      <c r="E193" s="11" t="n"/>
      <c r="F193" s="12">
        <f>IF(OR(A193="",N(C193)=0),"",D193/C193)</f>
        <v/>
      </c>
      <c r="G193" s="12">
        <f>IF(F193="","",IF(F193&lt;Plan!$B$4,0,IF(F193&lt;=1,Plan!$B$5+(1-Plan!$B$5)*(F193-Plan!$B$4)/(1-Plan!$B$4),MIN(Plan!$B$7,1+Plan!$B$6*(F193-1)))))</f>
        <v/>
      </c>
      <c r="H193" s="13">
        <f>IF(G193="","",G193*E193)</f>
        <v/>
      </c>
      <c r="I193" s="7">
        <f>IF(H193="","",H193&gt;Plan!$B$7*E193+0.01)</f>
        <v/>
      </c>
    </row>
    <row r="194">
      <c r="A194" s="10" t="n"/>
      <c r="B194" s="10" t="n"/>
      <c r="C194" s="11" t="n"/>
      <c r="D194" s="11" t="n"/>
      <c r="E194" s="11" t="n"/>
      <c r="F194" s="12">
        <f>IF(OR(A194="",N(C194)=0),"",D194/C194)</f>
        <v/>
      </c>
      <c r="G194" s="12">
        <f>IF(F194="","",IF(F194&lt;Plan!$B$4,0,IF(F194&lt;=1,Plan!$B$5+(1-Plan!$B$5)*(F194-Plan!$B$4)/(1-Plan!$B$4),MIN(Plan!$B$7,1+Plan!$B$6*(F194-1)))))</f>
        <v/>
      </c>
      <c r="H194" s="13">
        <f>IF(G194="","",G194*E194)</f>
        <v/>
      </c>
      <c r="I194" s="7">
        <f>IF(H194="","",H194&gt;Plan!$B$7*E194+0.01)</f>
        <v/>
      </c>
    </row>
    <row r="195">
      <c r="A195" s="10" t="n"/>
      <c r="B195" s="10" t="n"/>
      <c r="C195" s="11" t="n"/>
      <c r="D195" s="11" t="n"/>
      <c r="E195" s="11" t="n"/>
      <c r="F195" s="12">
        <f>IF(OR(A195="",N(C195)=0),"",D195/C195)</f>
        <v/>
      </c>
      <c r="G195" s="12">
        <f>IF(F195="","",IF(F195&lt;Plan!$B$4,0,IF(F195&lt;=1,Plan!$B$5+(1-Plan!$B$5)*(F195-Plan!$B$4)/(1-Plan!$B$4),MIN(Plan!$B$7,1+Plan!$B$6*(F195-1)))))</f>
        <v/>
      </c>
      <c r="H195" s="13">
        <f>IF(G195="","",G195*E195)</f>
        <v/>
      </c>
      <c r="I195" s="7">
        <f>IF(H195="","",H195&gt;Plan!$B$7*E195+0.01)</f>
        <v/>
      </c>
    </row>
    <row r="196">
      <c r="A196" s="10" t="n"/>
      <c r="B196" s="10" t="n"/>
      <c r="C196" s="11" t="n"/>
      <c r="D196" s="11" t="n"/>
      <c r="E196" s="11" t="n"/>
      <c r="F196" s="12">
        <f>IF(OR(A196="",N(C196)=0),"",D196/C196)</f>
        <v/>
      </c>
      <c r="G196" s="12">
        <f>IF(F196="","",IF(F196&lt;Plan!$B$4,0,IF(F196&lt;=1,Plan!$B$5+(1-Plan!$B$5)*(F196-Plan!$B$4)/(1-Plan!$B$4),MIN(Plan!$B$7,1+Plan!$B$6*(F196-1)))))</f>
        <v/>
      </c>
      <c r="H196" s="13">
        <f>IF(G196="","",G196*E196)</f>
        <v/>
      </c>
      <c r="I196" s="7">
        <f>IF(H196="","",H196&gt;Plan!$B$7*E196+0.01)</f>
        <v/>
      </c>
    </row>
    <row r="197">
      <c r="A197" s="10" t="n"/>
      <c r="B197" s="10" t="n"/>
      <c r="C197" s="11" t="n"/>
      <c r="D197" s="11" t="n"/>
      <c r="E197" s="11" t="n"/>
      <c r="F197" s="12">
        <f>IF(OR(A197="",N(C197)=0),"",D197/C197)</f>
        <v/>
      </c>
      <c r="G197" s="12">
        <f>IF(F197="","",IF(F197&lt;Plan!$B$4,0,IF(F197&lt;=1,Plan!$B$5+(1-Plan!$B$5)*(F197-Plan!$B$4)/(1-Plan!$B$4),MIN(Plan!$B$7,1+Plan!$B$6*(F197-1)))))</f>
        <v/>
      </c>
      <c r="H197" s="13">
        <f>IF(G197="","",G197*E197)</f>
        <v/>
      </c>
      <c r="I197" s="7">
        <f>IF(H197="","",H197&gt;Plan!$B$7*E197+0.01)</f>
        <v/>
      </c>
    </row>
    <row r="198">
      <c r="A198" s="10" t="n"/>
      <c r="B198" s="10" t="n"/>
      <c r="C198" s="11" t="n"/>
      <c r="D198" s="11" t="n"/>
      <c r="E198" s="11" t="n"/>
      <c r="F198" s="12">
        <f>IF(OR(A198="",N(C198)=0),"",D198/C198)</f>
        <v/>
      </c>
      <c r="G198" s="12">
        <f>IF(F198="","",IF(F198&lt;Plan!$B$4,0,IF(F198&lt;=1,Plan!$B$5+(1-Plan!$B$5)*(F198-Plan!$B$4)/(1-Plan!$B$4),MIN(Plan!$B$7,1+Plan!$B$6*(F198-1)))))</f>
        <v/>
      </c>
      <c r="H198" s="13">
        <f>IF(G198="","",G198*E198)</f>
        <v/>
      </c>
      <c r="I198" s="7">
        <f>IF(H198="","",H198&gt;Plan!$B$7*E198+0.01)</f>
        <v/>
      </c>
    </row>
    <row r="199">
      <c r="A199" s="10" t="n"/>
      <c r="B199" s="10" t="n"/>
      <c r="C199" s="11" t="n"/>
      <c r="D199" s="11" t="n"/>
      <c r="E199" s="11" t="n"/>
      <c r="F199" s="12">
        <f>IF(OR(A199="",N(C199)=0),"",D199/C199)</f>
        <v/>
      </c>
      <c r="G199" s="12">
        <f>IF(F199="","",IF(F199&lt;Plan!$B$4,0,IF(F199&lt;=1,Plan!$B$5+(1-Plan!$B$5)*(F199-Plan!$B$4)/(1-Plan!$B$4),MIN(Plan!$B$7,1+Plan!$B$6*(F199-1)))))</f>
        <v/>
      </c>
      <c r="H199" s="13">
        <f>IF(G199="","",G199*E199)</f>
        <v/>
      </c>
      <c r="I199" s="7">
        <f>IF(H199="","",H199&gt;Plan!$B$7*E199+0.01)</f>
        <v/>
      </c>
    </row>
    <row r="200">
      <c r="A200" s="10" t="n"/>
      <c r="B200" s="10" t="n"/>
      <c r="C200" s="11" t="n"/>
      <c r="D200" s="11" t="n"/>
      <c r="E200" s="11" t="n"/>
      <c r="F200" s="12">
        <f>IF(OR(A200="",N(C200)=0),"",D200/C200)</f>
        <v/>
      </c>
      <c r="G200" s="12">
        <f>IF(F200="","",IF(F200&lt;Plan!$B$4,0,IF(F200&lt;=1,Plan!$B$5+(1-Plan!$B$5)*(F200-Plan!$B$4)/(1-Plan!$B$4),MIN(Plan!$B$7,1+Plan!$B$6*(F200-1)))))</f>
        <v/>
      </c>
      <c r="H200" s="13">
        <f>IF(G200="","",G200*E200)</f>
        <v/>
      </c>
      <c r="I200" s="7">
        <f>IF(H200="","",H200&gt;Plan!$B$7*E200+0.01)</f>
        <v/>
      </c>
    </row>
    <row r="201">
      <c r="A201" s="10" t="n"/>
      <c r="B201" s="10" t="n"/>
      <c r="C201" s="11" t="n"/>
      <c r="D201" s="11" t="n"/>
      <c r="E201" s="11" t="n"/>
      <c r="F201" s="12">
        <f>IF(OR(A201="",N(C201)=0),"",D201/C201)</f>
        <v/>
      </c>
      <c r="G201" s="12">
        <f>IF(F201="","",IF(F201&lt;Plan!$B$4,0,IF(F201&lt;=1,Plan!$B$5+(1-Plan!$B$5)*(F201-Plan!$B$4)/(1-Plan!$B$4),MIN(Plan!$B$7,1+Plan!$B$6*(F201-1)))))</f>
        <v/>
      </c>
      <c r="H201" s="13">
        <f>IF(G201="","",G201*E201)</f>
        <v/>
      </c>
      <c r="I201" s="7">
        <f>IF(H201="","",H201&gt;Plan!$B$7*E201+0.01)</f>
        <v/>
      </c>
    </row>
    <row r="202">
      <c r="A202" s="10" t="n"/>
      <c r="B202" s="10" t="n"/>
      <c r="C202" s="11" t="n"/>
      <c r="D202" s="11" t="n"/>
      <c r="E202" s="11" t="n"/>
      <c r="F202" s="12">
        <f>IF(OR(A202="",N(C202)=0),"",D202/C202)</f>
        <v/>
      </c>
      <c r="G202" s="12">
        <f>IF(F202="","",IF(F202&lt;Plan!$B$4,0,IF(F202&lt;=1,Plan!$B$5+(1-Plan!$B$5)*(F202-Plan!$B$4)/(1-Plan!$B$4),MIN(Plan!$B$7,1+Plan!$B$6*(F202-1)))))</f>
        <v/>
      </c>
      <c r="H202" s="13">
        <f>IF(G202="","",G202*E202)</f>
        <v/>
      </c>
      <c r="I202" s="7">
        <f>IF(H202="","",H202&gt;Plan!$B$7*E202+0.01)</f>
        <v/>
      </c>
    </row>
    <row r="203">
      <c r="A203" s="10" t="n"/>
      <c r="B203" s="10" t="n"/>
      <c r="C203" s="11" t="n"/>
      <c r="D203" s="11" t="n"/>
      <c r="E203" s="11" t="n"/>
      <c r="F203" s="12">
        <f>IF(OR(A203="",N(C203)=0),"",D203/C203)</f>
        <v/>
      </c>
      <c r="G203" s="12">
        <f>IF(F203="","",IF(F203&lt;Plan!$B$4,0,IF(F203&lt;=1,Plan!$B$5+(1-Plan!$B$5)*(F203-Plan!$B$4)/(1-Plan!$B$4),MIN(Plan!$B$7,1+Plan!$B$6*(F203-1)))))</f>
        <v/>
      </c>
      <c r="H203" s="13">
        <f>IF(G203="","",G203*E203)</f>
        <v/>
      </c>
      <c r="I203" s="7">
        <f>IF(H203="","",H203&gt;Plan!$B$7*E203+0.01)</f>
        <v/>
      </c>
    </row>
    <row r="204">
      <c r="A204" s="10" t="n"/>
      <c r="B204" s="10" t="n"/>
      <c r="C204" s="11" t="n"/>
      <c r="D204" s="11" t="n"/>
      <c r="E204" s="11" t="n"/>
      <c r="F204" s="12">
        <f>IF(OR(A204="",N(C204)=0),"",D204/C204)</f>
        <v/>
      </c>
      <c r="G204" s="12">
        <f>IF(F204="","",IF(F204&lt;Plan!$B$4,0,IF(F204&lt;=1,Plan!$B$5+(1-Plan!$B$5)*(F204-Plan!$B$4)/(1-Plan!$B$4),MIN(Plan!$B$7,1+Plan!$B$6*(F204-1)))))</f>
        <v/>
      </c>
      <c r="H204" s="13">
        <f>IF(G204="","",G204*E204)</f>
        <v/>
      </c>
      <c r="I204" s="7">
        <f>IF(H204="","",H204&gt;Plan!$B$7*E204+0.01)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 opex (variable 'Sales incentives' pct_of_revenue) and K02 payout weeks</t>
        </is>
      </c>
    </row>
    <row r="2"/>
    <row r="3"/>
    <row r="4">
      <c r="A4" t="inlineStr">
        <is>
          <t>total payout</t>
        </is>
      </c>
      <c r="B4" s="14">
        <f>SUM(Reps!H5:H204)</f>
        <v/>
      </c>
    </row>
    <row r="5">
      <c r="A5" t="inlineStr">
        <is>
          <t>total actual sales</t>
        </is>
      </c>
      <c r="B5" s="13">
        <f>SUM(Reps!D5:D204)</f>
        <v/>
      </c>
    </row>
    <row r="6">
      <c r="A6" t="inlineStr">
        <is>
          <t>incentive as % of revenue -&gt; K01 opex variable pct_of_revenue</t>
        </is>
      </c>
      <c r="B6" s="15">
        <f>IF(B5=0,0,B4/B5)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2026-10-18T16:52:40Z</dcterms:created>
  <dcterms:modified xmlns:dcterms="http://purl.org/dc/terms/" xmlns:xsi="http://www.w3.org/2001/XMLSchema-instance" xsi:type="dcterms:W3CDTF">2026-10-18T16:52:40Z</dcterms:modified>
</cp:coreProperties>
</file>