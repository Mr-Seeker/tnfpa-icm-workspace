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Deal" sheetId="4" state="visible" r:id="rId4"/>
  </sheets>
  <definedNames>
    <definedName name="batna">'Deal'!$B$5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1" fontId="4" fillId="3" borderId="1" pivotButton="0" quotePrefix="0" xfId="0"/>
    <xf numFmtId="2" fontId="0" fillId="0" borderId="1" pivotButton="0" quotePrefix="0" xfId="0"/>
    <xf numFmtId="165" fontId="0" fillId="0" borderId="1" pivotButton="0" quotePrefix="0" xfId="0"/>
    <xf numFmtId="165" fontId="5" fillId="0" borderId="1" pivotButton="0" quotePrefix="0" xfId="0"/>
    <xf numFmtId="2" fontId="4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D25 · Executive &amp; boardroom negotiation psychology</t>
        </is>
      </c>
    </row>
    <row r="2"/>
    <row r="3">
      <c r="A3" s="2" t="inlineStr">
        <is>
          <t>Domain D25: Executive &amp; boardroom negotiation psychology.</t>
        </is>
      </c>
    </row>
    <row r="4">
      <c r="A4" s="2" t="inlineStr">
        <is>
          <t>Prepare negotiations (bank limits, vendor terms, dealer schemes, investor rounds, board approvals) with explicit BATNA, reservation values, ZOPA, weighted issues and planned concessions.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companies/&lt;slug&gt;/domains/D25_boardroom-negotiation-psychology/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debt rate / terms after a bank negotiation  &lt;=  Issues outcomes</t>
        </is>
      </c>
    </row>
    <row r="11">
      <c r="A11" s="2" t="inlineStr">
        <is>
          <t>D12 supplier terms → DPO  &lt;=  outcomes</t>
        </is>
      </c>
    </row>
    <row r="12">
      <c r="A12" s="2" t="inlineStr">
        <is>
          <t>D26 calibration log  &lt;=  predictions about counterpart behaviour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weights sum to 100%</t>
        </is>
      </c>
      <c r="C5" s="7">
        <f>IF(ABS(Deal!B7-1)&lt;1E-9,"PASS","FAIL")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31" customWidth="1" min="4" max="4"/>
    <col width="40" customWidth="1" min="5" max="5"/>
    <col width="40" customWidth="1" min="6" max="6"/>
    <col width="16" customWidth="1" min="7" max="7"/>
    <col width="18" customWidth="1" min="8" max="8"/>
    <col width="24" customWidth="1" min="9" max="9"/>
    <col width="20" customWidth="1" min="10" max="10"/>
    <col width="28" customWidth="1" min="11" max="11"/>
    <col width="29" customWidth="1" min="12" max="12"/>
  </cols>
  <sheetData>
    <row r="1">
      <c r="A1" s="1" t="inlineStr">
        <is>
          <t>Negotiation preparation - issues, positions and weights (prepare BEFORE the meeting)</t>
        </is>
      </c>
    </row>
    <row r="2"/>
    <row r="3"/>
    <row r="4">
      <c r="A4" s="6" t="inlineStr">
        <is>
          <t>issue</t>
        </is>
      </c>
      <c r="B4" s="6" t="inlineStr">
        <is>
          <t>weight (sum to 100%)</t>
        </is>
      </c>
      <c r="C4" s="6" t="inlineStr">
        <is>
          <t>our target</t>
        </is>
      </c>
      <c r="D4" s="6" t="inlineStr">
        <is>
          <t>our walk-away (reservation)</t>
        </is>
      </c>
      <c r="E4" s="6" t="inlineStr">
        <is>
          <t>their likely reservation (estimate + evidence)</t>
        </is>
      </c>
      <c r="F4" s="6" t="inlineStr">
        <is>
          <t>higher is better for us? (1 yes / 0 no)</t>
        </is>
      </c>
      <c r="G4" s="6" t="inlineStr">
        <is>
          <t>ZOPA exists?</t>
        </is>
      </c>
      <c r="H4" s="6" t="inlineStr">
        <is>
          <t>offer on table</t>
        </is>
      </c>
      <c r="I4" s="6" t="inlineStr">
        <is>
          <t>utility of offer 0-1</t>
        </is>
      </c>
      <c r="J4" s="6" t="inlineStr">
        <is>
          <t>weighted utility</t>
        </is>
      </c>
      <c r="K4" s="6" t="inlineStr">
        <is>
          <t>planned concession steps</t>
        </is>
      </c>
      <c r="L4" s="6" t="inlineStr">
        <is>
          <t>what we will trade it for</t>
        </is>
      </c>
    </row>
    <row r="5">
      <c r="A5" s="8" t="inlineStr">
        <is>
          <t>Cash-credit interest spread over EBLR (%)</t>
        </is>
      </c>
      <c r="B5" s="9" t="n">
        <v>0.4</v>
      </c>
      <c r="C5" s="10" t="n">
        <v>1.75</v>
      </c>
      <c r="D5" s="10" t="n">
        <v>2.75</v>
      </c>
      <c r="E5" s="10" t="n">
        <v>2.25</v>
      </c>
      <c r="F5" s="11" t="n">
        <v>0</v>
      </c>
      <c r="G5" s="7">
        <f>IF(A5="","",IF(F5=1,E5&gt;=D5,E5&lt;=D5))</f>
        <v/>
      </c>
      <c r="H5" s="10" t="n">
        <v>2.5</v>
      </c>
      <c r="I5" s="12">
        <f>IF(OR(A5="",H5="",C5=D5),"",MAX(0,MIN(1,(H5-D5)/(C5-D5))))</f>
        <v/>
      </c>
      <c r="J5" s="13">
        <f>IF(I5="","",I5*B5)</f>
        <v/>
      </c>
      <c r="K5" s="8" t="n"/>
      <c r="L5" s="8" t="n"/>
    </row>
    <row r="6">
      <c r="A6" s="8" t="inlineStr">
        <is>
          <t>Collateral cover (x)</t>
        </is>
      </c>
      <c r="B6" s="9" t="n">
        <v>0.3</v>
      </c>
      <c r="C6" s="10" t="n">
        <v>1.25</v>
      </c>
      <c r="D6" s="10" t="n">
        <v>1.75</v>
      </c>
      <c r="E6" s="10" t="n">
        <v>1.5</v>
      </c>
      <c r="F6" s="11" t="n">
        <v>0</v>
      </c>
      <c r="G6" s="7">
        <f>IF(A6="","",IF(F6=1,E6&gt;=D6,E6&lt;=D6))</f>
        <v/>
      </c>
      <c r="H6" s="10" t="n">
        <v>1.6</v>
      </c>
      <c r="I6" s="12">
        <f>IF(OR(A6="",H6="",C6=D6),"",MAX(0,MIN(1,(H6-D6)/(C6-D6))))</f>
        <v/>
      </c>
      <c r="J6" s="13">
        <f>IF(I6="","",I6*B6)</f>
        <v/>
      </c>
      <c r="K6" s="8" t="n"/>
      <c r="L6" s="8" t="n"/>
    </row>
    <row r="7">
      <c r="A7" s="8" t="inlineStr">
        <is>
          <t>Tenor (months)</t>
        </is>
      </c>
      <c r="B7" s="9" t="n">
        <v>0.3</v>
      </c>
      <c r="C7" s="10" t="n">
        <v>84</v>
      </c>
      <c r="D7" s="10" t="n">
        <v>60</v>
      </c>
      <c r="E7" s="10" t="n">
        <v>72</v>
      </c>
      <c r="F7" s="11" t="n">
        <v>1</v>
      </c>
      <c r="G7" s="7">
        <f>IF(A7="","",IF(F7=1,E7&gt;=D7,E7&lt;=D7))</f>
        <v/>
      </c>
      <c r="H7" s="10" t="n">
        <v>72</v>
      </c>
      <c r="I7" s="12">
        <f>IF(OR(A7="",H7="",C7=D7),"",MAX(0,MIN(1,(H7-D7)/(C7-D7))))</f>
        <v/>
      </c>
      <c r="J7" s="13">
        <f>IF(I7="","",I7*B7)</f>
        <v/>
      </c>
      <c r="K7" s="8" t="n"/>
      <c r="L7" s="8" t="n"/>
    </row>
    <row r="8">
      <c r="A8" s="8" t="n"/>
      <c r="B8" s="9" t="n"/>
      <c r="C8" s="10" t="n"/>
      <c r="D8" s="10" t="n"/>
      <c r="E8" s="10" t="n"/>
      <c r="F8" s="11" t="n"/>
      <c r="G8" s="7">
        <f>IF(A8="","",IF(F8=1,E8&gt;=D8,E8&lt;=D8))</f>
        <v/>
      </c>
      <c r="H8" s="10" t="n"/>
      <c r="I8" s="12">
        <f>IF(OR(A8="",H8="",C8=D8),"",MAX(0,MIN(1,(H8-D8)/(C8-D8))))</f>
        <v/>
      </c>
      <c r="J8" s="13">
        <f>IF(I8="","",I8*B8)</f>
        <v/>
      </c>
      <c r="K8" s="8" t="n"/>
      <c r="L8" s="8" t="n"/>
    </row>
    <row r="9">
      <c r="A9" s="8" t="n"/>
      <c r="B9" s="9" t="n"/>
      <c r="C9" s="10" t="n"/>
      <c r="D9" s="10" t="n"/>
      <c r="E9" s="10" t="n"/>
      <c r="F9" s="11" t="n"/>
      <c r="G9" s="7">
        <f>IF(A9="","",IF(F9=1,E9&gt;=D9,E9&lt;=D9))</f>
        <v/>
      </c>
      <c r="H9" s="10" t="n"/>
      <c r="I9" s="12">
        <f>IF(OR(A9="",H9="",C9=D9),"",MAX(0,MIN(1,(H9-D9)/(C9-D9))))</f>
        <v/>
      </c>
      <c r="J9" s="13">
        <f>IF(I9="","",I9*B9)</f>
        <v/>
      </c>
      <c r="K9" s="8" t="n"/>
      <c r="L9" s="8" t="n"/>
    </row>
    <row r="10">
      <c r="A10" s="8" t="n"/>
      <c r="B10" s="9" t="n"/>
      <c r="C10" s="10" t="n"/>
      <c r="D10" s="10" t="n"/>
      <c r="E10" s="10" t="n"/>
      <c r="F10" s="11" t="n"/>
      <c r="G10" s="7">
        <f>IF(A10="","",IF(F10=1,E10&gt;=D10,E10&lt;=D10))</f>
        <v/>
      </c>
      <c r="H10" s="10" t="n"/>
      <c r="I10" s="12">
        <f>IF(OR(A10="",H10="",C10=D10),"",MAX(0,MIN(1,(H10-D10)/(C10-D10))))</f>
        <v/>
      </c>
      <c r="J10" s="13">
        <f>IF(I10="","",I10*B10)</f>
        <v/>
      </c>
      <c r="K10" s="8" t="n"/>
      <c r="L10" s="8" t="n"/>
    </row>
    <row r="11">
      <c r="A11" s="8" t="n"/>
      <c r="B11" s="9" t="n"/>
      <c r="C11" s="10" t="n"/>
      <c r="D11" s="10" t="n"/>
      <c r="E11" s="10" t="n"/>
      <c r="F11" s="11" t="n"/>
      <c r="G11" s="7">
        <f>IF(A11="","",IF(F11=1,E11&gt;=D11,E11&lt;=D11))</f>
        <v/>
      </c>
      <c r="H11" s="10" t="n"/>
      <c r="I11" s="12">
        <f>IF(OR(A11="",H11="",C11=D11),"",MAX(0,MIN(1,(H11-D11)/(C11-D11))))</f>
        <v/>
      </c>
      <c r="J11" s="13">
        <f>IF(I11="","",I11*B11)</f>
        <v/>
      </c>
      <c r="K11" s="8" t="n"/>
      <c r="L11" s="8" t="n"/>
    </row>
    <row r="12">
      <c r="A12" s="8" t="n"/>
      <c r="B12" s="9" t="n"/>
      <c r="C12" s="10" t="n"/>
      <c r="D12" s="10" t="n"/>
      <c r="E12" s="10" t="n"/>
      <c r="F12" s="11" t="n"/>
      <c r="G12" s="7">
        <f>IF(A12="","",IF(F12=1,E12&gt;=D12,E12&lt;=D12))</f>
        <v/>
      </c>
      <c r="H12" s="10" t="n"/>
      <c r="I12" s="12">
        <f>IF(OR(A12="",H12="",C12=D12),"",MAX(0,MIN(1,(H12-D12)/(C12-D12))))</f>
        <v/>
      </c>
      <c r="J12" s="13">
        <f>IF(I12="","",I12*B12)</f>
        <v/>
      </c>
      <c r="K12" s="8" t="n"/>
      <c r="L12" s="8" t="n"/>
    </row>
    <row r="13">
      <c r="A13" s="8" t="n"/>
      <c r="B13" s="9" t="n"/>
      <c r="C13" s="10" t="n"/>
      <c r="D13" s="10" t="n"/>
      <c r="E13" s="10" t="n"/>
      <c r="F13" s="11" t="n"/>
      <c r="G13" s="7">
        <f>IF(A13="","",IF(F13=1,E13&gt;=D13,E13&lt;=D13))</f>
        <v/>
      </c>
      <c r="H13" s="10" t="n"/>
      <c r="I13" s="12">
        <f>IF(OR(A13="",H13="",C13=D13),"",MAX(0,MIN(1,(H13-D13)/(C13-D13))))</f>
        <v/>
      </c>
      <c r="J13" s="13">
        <f>IF(I13="","",I13*B13)</f>
        <v/>
      </c>
      <c r="K13" s="8" t="n"/>
      <c r="L13" s="8" t="n"/>
    </row>
    <row r="14">
      <c r="A14" s="8" t="n"/>
      <c r="B14" s="9" t="n"/>
      <c r="C14" s="10" t="n"/>
      <c r="D14" s="10" t="n"/>
      <c r="E14" s="10" t="n"/>
      <c r="F14" s="11" t="n"/>
      <c r="G14" s="7">
        <f>IF(A14="","",IF(F14=1,E14&gt;=D14,E14&lt;=D14))</f>
        <v/>
      </c>
      <c r="H14" s="10" t="n"/>
      <c r="I14" s="12">
        <f>IF(OR(A14="",H14="",C14=D14),"",MAX(0,MIN(1,(H14-D14)/(C14-D14))))</f>
        <v/>
      </c>
      <c r="J14" s="13">
        <f>IF(I14="","",I14*B14)</f>
        <v/>
      </c>
      <c r="K14" s="8" t="n"/>
      <c r="L14" s="8" t="n"/>
    </row>
    <row r="15">
      <c r="A15" s="8" t="n"/>
      <c r="B15" s="9" t="n"/>
      <c r="C15" s="10" t="n"/>
      <c r="D15" s="10" t="n"/>
      <c r="E15" s="10" t="n"/>
      <c r="F15" s="11" t="n"/>
      <c r="G15" s="7">
        <f>IF(A15="","",IF(F15=1,E15&gt;=D15,E15&lt;=D15))</f>
        <v/>
      </c>
      <c r="H15" s="10" t="n"/>
      <c r="I15" s="12">
        <f>IF(OR(A15="",H15="",C15=D15),"",MAX(0,MIN(1,(H15-D15)/(C15-D15))))</f>
        <v/>
      </c>
      <c r="J15" s="13">
        <f>IF(I15="","",I15*B15)</f>
        <v/>
      </c>
      <c r="K15" s="8" t="n"/>
      <c r="L15" s="8" t="n"/>
    </row>
    <row r="16">
      <c r="A16" s="8" t="n"/>
      <c r="B16" s="9" t="n"/>
      <c r="C16" s="10" t="n"/>
      <c r="D16" s="10" t="n"/>
      <c r="E16" s="10" t="n"/>
      <c r="F16" s="11" t="n"/>
      <c r="G16" s="7">
        <f>IF(A16="","",IF(F16=1,E16&gt;=D16,E16&lt;=D16))</f>
        <v/>
      </c>
      <c r="H16" s="10" t="n"/>
      <c r="I16" s="12">
        <f>IF(OR(A16="",H16="",C16=D16),"",MAX(0,MIN(1,(H16-D16)/(C16-D16))))</f>
        <v/>
      </c>
      <c r="J16" s="13">
        <f>IF(I16="","",I16*B16)</f>
        <v/>
      </c>
      <c r="K16" s="8" t="n"/>
      <c r="L16" s="8" t="n"/>
    </row>
    <row r="17">
      <c r="A17" s="8" t="n"/>
      <c r="B17" s="9" t="n"/>
      <c r="C17" s="10" t="n"/>
      <c r="D17" s="10" t="n"/>
      <c r="E17" s="10" t="n"/>
      <c r="F17" s="11" t="n"/>
      <c r="G17" s="7">
        <f>IF(A17="","",IF(F17=1,E17&gt;=D17,E17&lt;=D17))</f>
        <v/>
      </c>
      <c r="H17" s="10" t="n"/>
      <c r="I17" s="12">
        <f>IF(OR(A17="",H17="",C17=D17),"",MAX(0,MIN(1,(H17-D17)/(C17-D17))))</f>
        <v/>
      </c>
      <c r="J17" s="13">
        <f>IF(I17="","",I17*B17)</f>
        <v/>
      </c>
      <c r="K17" s="8" t="n"/>
      <c r="L17" s="8" t="n"/>
    </row>
    <row r="18">
      <c r="A18" s="8" t="n"/>
      <c r="B18" s="9" t="n"/>
      <c r="C18" s="10" t="n"/>
      <c r="D18" s="10" t="n"/>
      <c r="E18" s="10" t="n"/>
      <c r="F18" s="11" t="n"/>
      <c r="G18" s="7">
        <f>IF(A18="","",IF(F18=1,E18&gt;=D18,E18&lt;=D18))</f>
        <v/>
      </c>
      <c r="H18" s="10" t="n"/>
      <c r="I18" s="12">
        <f>IF(OR(A18="",H18="",C18=D18),"",MAX(0,MIN(1,(H18-D18)/(C18-D18))))</f>
        <v/>
      </c>
      <c r="J18" s="13">
        <f>IF(I18="","",I18*B18)</f>
        <v/>
      </c>
      <c r="K18" s="8" t="n"/>
      <c r="L18" s="8" t="n"/>
    </row>
    <row r="19">
      <c r="A19" s="8" t="n"/>
      <c r="B19" s="9" t="n"/>
      <c r="C19" s="10" t="n"/>
      <c r="D19" s="10" t="n"/>
      <c r="E19" s="10" t="n"/>
      <c r="F19" s="11" t="n"/>
      <c r="G19" s="7">
        <f>IF(A19="","",IF(F19=1,E19&gt;=D19,E19&lt;=D19))</f>
        <v/>
      </c>
      <c r="H19" s="10" t="n"/>
      <c r="I19" s="12">
        <f>IF(OR(A19="",H19="",C19=D19),"",MAX(0,MIN(1,(H19-D19)/(C19-D19))))</f>
        <v/>
      </c>
      <c r="J19" s="13">
        <f>IF(I19="","",I19*B19)</f>
        <v/>
      </c>
      <c r="K19" s="8" t="n"/>
      <c r="L19" s="8" t="n"/>
    </row>
    <row r="20">
      <c r="A20" s="8" t="n"/>
      <c r="B20" s="9" t="n"/>
      <c r="C20" s="10" t="n"/>
      <c r="D20" s="10" t="n"/>
      <c r="E20" s="10" t="n"/>
      <c r="F20" s="11" t="n"/>
      <c r="G20" s="7">
        <f>IF(A20="","",IF(F20=1,E20&gt;=D20,E20&lt;=D20))</f>
        <v/>
      </c>
      <c r="H20" s="10" t="n"/>
      <c r="I20" s="12">
        <f>IF(OR(A20="",H20="",C20=D20),"",MAX(0,MIN(1,(H20-D20)/(C20-D20))))</f>
        <v/>
      </c>
      <c r="J20" s="13">
        <f>IF(I20="","",I20*B20)</f>
        <v/>
      </c>
      <c r="K20" s="8" t="n"/>
      <c r="L20" s="8" t="n"/>
    </row>
    <row r="21">
      <c r="A21" s="8" t="n"/>
      <c r="B21" s="9" t="n"/>
      <c r="C21" s="10" t="n"/>
      <c r="D21" s="10" t="n"/>
      <c r="E21" s="10" t="n"/>
      <c r="F21" s="11" t="n"/>
      <c r="G21" s="7">
        <f>IF(A21="","",IF(F21=1,E21&gt;=D21,E21&lt;=D21))</f>
        <v/>
      </c>
      <c r="H21" s="10" t="n"/>
      <c r="I21" s="12">
        <f>IF(OR(A21="",H21="",C21=D21),"",MAX(0,MIN(1,(H21-D21)/(C21-D21))))</f>
        <v/>
      </c>
      <c r="J21" s="13">
        <f>IF(I21="","",I21*B21)</f>
        <v/>
      </c>
      <c r="K21" s="8" t="n"/>
      <c r="L21" s="8" t="n"/>
    </row>
    <row r="22">
      <c r="A22" s="8" t="n"/>
      <c r="B22" s="9" t="n"/>
      <c r="C22" s="10" t="n"/>
      <c r="D22" s="10" t="n"/>
      <c r="E22" s="10" t="n"/>
      <c r="F22" s="11" t="n"/>
      <c r="G22" s="7">
        <f>IF(A22="","",IF(F22=1,E22&gt;=D22,E22&lt;=D22))</f>
        <v/>
      </c>
      <c r="H22" s="10" t="n"/>
      <c r="I22" s="12">
        <f>IF(OR(A22="",H22="",C22=D22),"",MAX(0,MIN(1,(H22-D22)/(C22-D22))))</f>
        <v/>
      </c>
      <c r="J22" s="13">
        <f>IF(I22="","",I22*B22)</f>
        <v/>
      </c>
      <c r="K22" s="8" t="n"/>
      <c r="L22" s="8" t="n"/>
    </row>
    <row r="23">
      <c r="A23" s="8" t="n"/>
      <c r="B23" s="9" t="n"/>
      <c r="C23" s="10" t="n"/>
      <c r="D23" s="10" t="n"/>
      <c r="E23" s="10" t="n"/>
      <c r="F23" s="11" t="n"/>
      <c r="G23" s="7">
        <f>IF(A23="","",IF(F23=1,E23&gt;=D23,E23&lt;=D23))</f>
        <v/>
      </c>
      <c r="H23" s="10" t="n"/>
      <c r="I23" s="12">
        <f>IF(OR(A23="",H23="",C23=D23),"",MAX(0,MIN(1,(H23-D23)/(C23-D23))))</f>
        <v/>
      </c>
      <c r="J23" s="13">
        <f>IF(I23="","",I23*B23)</f>
        <v/>
      </c>
      <c r="K23" s="8" t="n"/>
      <c r="L23" s="8" t="n"/>
    </row>
    <row r="24">
      <c r="A24" s="8" t="n"/>
      <c r="B24" s="9" t="n"/>
      <c r="C24" s="10" t="n"/>
      <c r="D24" s="10" t="n"/>
      <c r="E24" s="10" t="n"/>
      <c r="F24" s="11" t="n"/>
      <c r="G24" s="7">
        <f>IF(A24="","",IF(F24=1,E24&gt;=D24,E24&lt;=D24))</f>
        <v/>
      </c>
      <c r="H24" s="10" t="n"/>
      <c r="I24" s="12">
        <f>IF(OR(A24="",H24="",C24=D24),"",MAX(0,MIN(1,(H24-D24)/(C24-D24))))</f>
        <v/>
      </c>
      <c r="J24" s="13">
        <f>IF(I24="","",I24*B24)</f>
        <v/>
      </c>
      <c r="K24" s="8" t="n"/>
      <c r="L24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Deal score vs BATNA</t>
        </is>
      </c>
    </row>
    <row r="2"/>
    <row r="3"/>
    <row r="4">
      <c r="A4" t="inlineStr">
        <is>
          <t>total weighted utility of current package</t>
        </is>
      </c>
      <c r="B4" s="14">
        <f>SUM(Issues!J5:J24)</f>
        <v/>
      </c>
    </row>
    <row r="5">
      <c r="A5" t="inlineStr">
        <is>
          <t>utility of our BATNA (best alternative, 0-1, documented)</t>
        </is>
      </c>
      <c r="B5" s="15" t="n">
        <v>0.45</v>
      </c>
    </row>
    <row r="6">
      <c r="A6" t="inlineStr">
        <is>
          <t>ACCEPT / CONTINUE / WALK</t>
        </is>
      </c>
      <c r="B6" s="5">
        <f>IF(B4&gt;=0.8,"ACCEPT (above target zone)",IF(B4&gt;Deal!$B$5,"CONTINUE - better than BATNA, push on high-weight issues","WALK or improve BATNA"))</f>
        <v/>
      </c>
    </row>
    <row r="7">
      <c r="A7" t="inlineStr">
        <is>
          <t>weights sum</t>
        </is>
      </c>
      <c r="B7" s="16">
        <f>SUM(Issues!B5:B24)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2026-10-18T16:52:49Z</dcterms:created>
  <dcterms:modified xmlns:dcterms="http://purl.org/dc/terms/" xmlns:xsi="http://www.w3.org/2001/XMLSchema-instance" xsi:type="dcterms:W3CDTF">2026-10-18T16:52:49Z</dcterms:modified>
</cp:coreProperties>
</file>