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Indica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1" pivotButton="0" quotePrefix="0" xfId="0"/>
    <xf numFmtId="2" fontId="4" fillId="3" borderId="1" pivotButton="0" quotePrefix="0" xfId="0"/>
    <xf numFmtId="164" fontId="4" fillId="3" borderId="1" pivotButton="0" quotePrefix="0" xfId="0"/>
    <xf numFmtId="2" fontId="0" fillId="0" borderId="1" pivotButton="0" quotePrefix="0" xfId="0"/>
    <xf numFmtId="165" fontId="4" fillId="3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D14 · Macroeconomic &amp; market intelligence systems</t>
        </is>
      </c>
    </row>
    <row r="2"/>
    <row r="3">
      <c r="A3" s="2" t="inlineStr">
        <is>
          <t>Domain D14: Macroeconomic &amp; market intelligence systems.</t>
        </is>
      </c>
    </row>
    <row r="4">
      <c r="A4" s="2" t="inlineStr">
        <is>
          <t>A dated register of macro and market indicators linked to the drivers they move, with sensitivities and staleness flags.</t>
        </is>
      </c>
    </row>
    <row r="5">
      <c r="A5" s="3" t="inlineStr">
        <is>
          <t>How to use</t>
        </is>
      </c>
    </row>
    <row r="6">
      <c r="A6" s="2" t="inlineStr">
        <is>
          <t>Copy this workbook into companies/&lt;slug&gt;/domains/D14_macroeconomic-market-intelligence/ before typing. Replace the SAMPLE rows (illustrative Tamil Nadu data) with company data.</t>
        </is>
      </c>
    </row>
    <row r="7">
      <c r="A7" s="2" t="inlineStr">
        <is>
          <t>Type only into pale-yellow cells; white cells are formulas. Checks › OVERALL must be PASS before any value feeds K01/K02.</t>
        </is>
      </c>
    </row>
    <row r="8">
      <c r="A8" s="2" t="inlineStr">
        <is>
          <t>Statutory rates are starting values - verify in 01_tamil-nadu/verification-register.md.</t>
        </is>
      </c>
    </row>
    <row r="9">
      <c r="A9" s="3" t="inlineStr">
        <is>
          <t>Feeds</t>
        </is>
      </c>
    </row>
    <row r="10">
      <c r="A10" s="2" t="inlineStr">
        <is>
          <t>K01 debt[ALL].annual_rate  &lt;=  repo-linked lending</t>
        </is>
      </c>
    </row>
    <row r="11">
      <c r="A11" s="2" t="inlineStr">
        <is>
          <t>K01 opex escalation  &lt;=  CPI</t>
        </is>
      </c>
    </row>
    <row r="12">
      <c r="A12" s="2" t="inlineStr">
        <is>
          <t>K01 seasonality / growth  &lt;=  monsoon, GSDP</t>
        </is>
      </c>
    </row>
    <row r="13">
      <c r="A13" s="2" t="inlineStr">
        <is>
          <t>W08 corrections (context)  &lt;=  shocks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4" t="inlineStr">
        <is>
          <t>OVERALL</t>
        </is>
      </c>
      <c r="C3" s="5">
        <f>IF(COUNTIF(C5:C6,"PASS")=COUNT(A5:A6),"PASS","FAIL")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</row>
    <row r="5">
      <c r="A5" t="n">
        <v>1</v>
      </c>
      <c r="B5" t="inlineStr">
        <is>
          <t>every populated indicator has an as-of date and a source</t>
        </is>
      </c>
      <c r="C5" s="7">
        <f>IF(SUMPRODUCT((Indicators!B5:B64&lt;&gt;"")*((Indicators!D5:D64="")+(Indicators!E5:E64="")&gt;0))=0,"PASS","FAIL")</f>
        <v/>
      </c>
    </row>
    <row r="6">
      <c r="A6" t="n">
        <v>2</v>
      </c>
      <c r="B6" t="inlineStr">
        <is>
          <t>no stale indicator used in the plan</t>
        </is>
      </c>
      <c r="C6" s="7">
        <f>IF(COUNTIF(Indicators!K5:K64,TRUE)=0,"PASS","FAIL")</f>
        <v/>
      </c>
    </row>
  </sheetData>
  <conditionalFormatting sqref="C3:C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2" customWidth="1" min="5" max="5"/>
    <col width="25" customWidth="1" min="6" max="6"/>
    <col width="13" customWidth="1" min="7" max="7"/>
    <col width="30" customWidth="1" min="8" max="8"/>
    <col width="40" customWidth="1" min="9" max="9"/>
    <col width="26" customWidth="1" min="10" max="10"/>
    <col width="22" customWidth="1" min="11" max="11"/>
  </cols>
  <sheetData>
    <row r="1">
      <c r="A1" s="1" t="inlineStr">
        <is>
          <t>Macro &amp; market register (always record value, as-of date and source; never use an undated number)</t>
        </is>
      </c>
    </row>
    <row r="2"/>
    <row r="3"/>
    <row r="4">
      <c r="A4" s="6" t="inlineStr">
        <is>
          <t>indicator</t>
        </is>
      </c>
      <c r="B4" s="6" t="inlineStr">
        <is>
          <t>value</t>
        </is>
      </c>
      <c r="C4" s="6" t="inlineStr">
        <is>
          <t>unit</t>
        </is>
      </c>
      <c r="D4" s="6" t="inlineStr">
        <is>
          <t>as-of date</t>
        </is>
      </c>
      <c r="E4" s="6" t="inlineStr">
        <is>
          <t>source</t>
        </is>
      </c>
      <c r="F4" s="6" t="inlineStr">
        <is>
          <t>baseline used in plan</t>
        </is>
      </c>
      <c r="G4" s="6" t="inlineStr">
        <is>
          <t>deviation</t>
        </is>
      </c>
      <c r="H4" s="6" t="inlineStr">
        <is>
          <t>driver affected (K01 path)</t>
        </is>
      </c>
      <c r="I4" s="6" t="inlineStr">
        <is>
          <t>sensitivity (driver change per 1 unit deviation)</t>
        </is>
      </c>
      <c r="J4" s="6" t="inlineStr">
        <is>
          <t>suggested driver shift</t>
        </is>
      </c>
      <c r="K4" s="6" t="inlineStr">
        <is>
          <t>stale? (&gt; 90 days)</t>
        </is>
      </c>
    </row>
    <row r="5">
      <c r="A5" s="8" t="inlineStr">
        <is>
          <t>RBI policy repo rate</t>
        </is>
      </c>
      <c r="B5" s="9" t="n"/>
      <c r="C5" s="8" t="inlineStr">
        <is>
          <t>%</t>
        </is>
      </c>
      <c r="D5" s="10" t="n"/>
      <c r="E5" s="8" t="inlineStr">
        <is>
          <t>RBI monetary policy statement</t>
        </is>
      </c>
      <c r="F5" s="9" t="n"/>
      <c r="G5" s="11">
        <f>IF(OR(A5="",F5=""),"",B5-F5)</f>
        <v/>
      </c>
      <c r="H5" s="8" t="inlineStr">
        <is>
          <t>debt[ALL].annual_rate</t>
        </is>
      </c>
      <c r="I5" s="12" t="n">
        <v>0.01</v>
      </c>
      <c r="J5" s="13">
        <f>IF(OR(G5="",I5=""),"",G5*I5)</f>
        <v/>
      </c>
      <c r="K5" s="7">
        <f>IF(D5="","",TODAY()-D5&gt;90)</f>
        <v/>
      </c>
    </row>
    <row r="6">
      <c r="A6" s="8" t="inlineStr">
        <is>
          <t>CPI inflation (all-India, YoY)</t>
        </is>
      </c>
      <c r="B6" s="9" t="n"/>
      <c r="C6" s="8" t="inlineStr">
        <is>
          <t>%</t>
        </is>
      </c>
      <c r="D6" s="10" t="n"/>
      <c r="E6" s="8" t="inlineStr">
        <is>
          <t>MoSPI</t>
        </is>
      </c>
      <c r="F6" s="9" t="n"/>
      <c r="G6" s="11">
        <f>IF(OR(A6="",F6=""),"",B6-F6)</f>
        <v/>
      </c>
      <c r="H6" s="8" t="inlineStr">
        <is>
          <t>opex[*] (fixed lines escalation)</t>
        </is>
      </c>
      <c r="I6" s="12" t="n">
        <v>0.01</v>
      </c>
      <c r="J6" s="13">
        <f>IF(OR(G6="",I6=""),"",G6*I6)</f>
        <v/>
      </c>
      <c r="K6" s="7">
        <f>IF(D6="","",TODAY()-D6&gt;90)</f>
        <v/>
      </c>
    </row>
    <row r="7">
      <c r="A7" s="8" t="inlineStr">
        <is>
          <t>USD/INR reference rate</t>
        </is>
      </c>
      <c r="B7" s="9" t="n"/>
      <c r="C7" s="8" t="inlineStr">
        <is>
          <t>INR</t>
        </is>
      </c>
      <c r="D7" s="10" t="n"/>
      <c r="E7" s="8" t="inlineStr">
        <is>
          <t>FBIL</t>
        </is>
      </c>
      <c r="F7" s="9" t="n"/>
      <c r="G7" s="11">
        <f>IF(OR(A7="",F7=""),"",B7-F7)</f>
        <v/>
      </c>
      <c r="H7" s="8" t="inlineStr">
        <is>
          <t>channels[i].cogs_pct (imported content)</t>
        </is>
      </c>
      <c r="I7" s="12" t="n">
        <v>0</v>
      </c>
      <c r="J7" s="13">
        <f>IF(OR(G7="",I7=""),"",G7*I7)</f>
        <v/>
      </c>
      <c r="K7" s="7">
        <f>IF(D7="","",TODAY()-D7&gt;90)</f>
        <v/>
      </c>
    </row>
    <row r="8">
      <c r="A8" s="8" t="inlineStr">
        <is>
          <t>NE monsoon rainfall, TN (% of LPA)</t>
        </is>
      </c>
      <c r="B8" s="9" t="n"/>
      <c r="C8" s="8" t="inlineStr">
        <is>
          <t>%</t>
        </is>
      </c>
      <c r="D8" s="10" t="n"/>
      <c r="E8" s="8" t="inlineStr">
        <is>
          <t>IMD Chennai</t>
        </is>
      </c>
      <c r="F8" s="9" t="n"/>
      <c r="G8" s="11">
        <f>IF(OR(A8="",F8=""),"",B8-F8)</f>
        <v/>
      </c>
      <c r="H8" s="8" t="inlineStr">
        <is>
          <t>seasonality (Oct-Dec) for agri/construction</t>
        </is>
      </c>
      <c r="I8" s="12" t="n">
        <v>0</v>
      </c>
      <c r="J8" s="13">
        <f>IF(OR(G8="",I8=""),"",G8*I8)</f>
        <v/>
      </c>
      <c r="K8" s="7">
        <f>IF(D8="","",TODAY()-D8&gt;90)</f>
        <v/>
      </c>
    </row>
    <row r="9">
      <c r="A9" s="8" t="inlineStr">
        <is>
          <t>TN GSDP growth (real)</t>
        </is>
      </c>
      <c r="B9" s="9" t="n"/>
      <c r="C9" s="8" t="inlineStr">
        <is>
          <t>%</t>
        </is>
      </c>
      <c r="D9" s="10" t="n"/>
      <c r="E9" s="8" t="inlineStr">
        <is>
          <t>TN Dept of Economics &amp; Statistics</t>
        </is>
      </c>
      <c r="F9" s="9" t="n"/>
      <c r="G9" s="11">
        <f>IF(OR(A9="",F9=""),"",B9-F9)</f>
        <v/>
      </c>
      <c r="H9" s="8" t="inlineStr">
        <is>
          <t>channels[*].growth_rate</t>
        </is>
      </c>
      <c r="I9" s="12" t="n">
        <v>0.5</v>
      </c>
      <c r="J9" s="13">
        <f>IF(OR(G9="",I9=""),"",G9*I9)</f>
        <v/>
      </c>
      <c r="K9" s="7">
        <f>IF(D9="","",TODAY()-D9&gt;90)</f>
        <v/>
      </c>
    </row>
    <row r="10">
      <c r="A10" s="8" t="inlineStr">
        <is>
          <t>GST collections, Tamil Nadu (YoY)</t>
        </is>
      </c>
      <c r="B10" s="9" t="n"/>
      <c r="C10" s="8" t="inlineStr">
        <is>
          <t>%</t>
        </is>
      </c>
      <c r="D10" s="10" t="n"/>
      <c r="E10" s="8" t="inlineStr">
        <is>
          <t>GSTN state-wise data</t>
        </is>
      </c>
      <c r="F10" s="9" t="n"/>
      <c r="G10" s="11">
        <f>IF(OR(A10="",F10=""),"",B10-F10)</f>
        <v/>
      </c>
      <c r="H10" s="8" t="inlineStr">
        <is>
          <t>demand cross-check</t>
        </is>
      </c>
      <c r="I10" s="12" t="n">
        <v>0</v>
      </c>
      <c r="J10" s="13">
        <f>IF(OR(G10="",I10=""),"",G10*I10)</f>
        <v/>
      </c>
      <c r="K10" s="7">
        <f>IF(D10="","",TODAY()-D10&gt;90)</f>
        <v/>
      </c>
    </row>
    <row r="11">
      <c r="A11" s="8" t="inlineStr">
        <is>
          <t>Cotton price (Shankar-6 / ICE)</t>
        </is>
      </c>
      <c r="B11" s="9" t="n"/>
      <c r="C11" s="8" t="inlineStr">
        <is>
          <t>INR/candy</t>
        </is>
      </c>
      <c r="D11" s="10" t="n"/>
      <c r="E11" s="8" t="inlineStr">
        <is>
          <t>CAI / exchange</t>
        </is>
      </c>
      <c r="F11" s="9" t="n"/>
      <c r="G11" s="11">
        <f>IF(OR(A11="",F11=""),"",B11-F11)</f>
        <v/>
      </c>
      <c r="H11" s="8" t="inlineStr">
        <is>
          <t>textile cogs_pct</t>
        </is>
      </c>
      <c r="I11" s="12" t="n">
        <v>0</v>
      </c>
      <c r="J11" s="13">
        <f>IF(OR(G11="",I11=""),"",G11*I11)</f>
        <v/>
      </c>
      <c r="K11" s="7">
        <f>IF(D11="","",TODAY()-D11&gt;90)</f>
        <v/>
      </c>
    </row>
    <row r="12">
      <c r="A12" s="8" t="n"/>
      <c r="B12" s="9" t="n"/>
      <c r="C12" s="8" t="n"/>
      <c r="D12" s="10" t="n"/>
      <c r="E12" s="8" t="n"/>
      <c r="F12" s="9" t="n"/>
      <c r="G12" s="11">
        <f>IF(OR(A12="",F12=""),"",B12-F12)</f>
        <v/>
      </c>
      <c r="H12" s="8" t="n"/>
      <c r="I12" s="12" t="n"/>
      <c r="J12" s="13">
        <f>IF(OR(G12="",I12=""),"",G12*I12)</f>
        <v/>
      </c>
      <c r="K12" s="7">
        <f>IF(D12="","",TODAY()-D12&gt;90)</f>
        <v/>
      </c>
    </row>
    <row r="13">
      <c r="A13" s="8" t="n"/>
      <c r="B13" s="9" t="n"/>
      <c r="C13" s="8" t="n"/>
      <c r="D13" s="10" t="n"/>
      <c r="E13" s="8" t="n"/>
      <c r="F13" s="9" t="n"/>
      <c r="G13" s="11">
        <f>IF(OR(A13="",F13=""),"",B13-F13)</f>
        <v/>
      </c>
      <c r="H13" s="8" t="n"/>
      <c r="I13" s="12" t="n"/>
      <c r="J13" s="13">
        <f>IF(OR(G13="",I13=""),"",G13*I13)</f>
        <v/>
      </c>
      <c r="K13" s="7">
        <f>IF(D13="","",TODAY()-D13&gt;90)</f>
        <v/>
      </c>
    </row>
    <row r="14">
      <c r="A14" s="8" t="n"/>
      <c r="B14" s="9" t="n"/>
      <c r="C14" s="8" t="n"/>
      <c r="D14" s="10" t="n"/>
      <c r="E14" s="8" t="n"/>
      <c r="F14" s="9" t="n"/>
      <c r="G14" s="11">
        <f>IF(OR(A14="",F14=""),"",B14-F14)</f>
        <v/>
      </c>
      <c r="H14" s="8" t="n"/>
      <c r="I14" s="12" t="n"/>
      <c r="J14" s="13">
        <f>IF(OR(G14="",I14=""),"",G14*I14)</f>
        <v/>
      </c>
      <c r="K14" s="7">
        <f>IF(D14="","",TODAY()-D14&gt;90)</f>
        <v/>
      </c>
    </row>
    <row r="15">
      <c r="A15" s="8" t="n"/>
      <c r="B15" s="9" t="n"/>
      <c r="C15" s="8" t="n"/>
      <c r="D15" s="10" t="n"/>
      <c r="E15" s="8" t="n"/>
      <c r="F15" s="9" t="n"/>
      <c r="G15" s="11">
        <f>IF(OR(A15="",F15=""),"",B15-F15)</f>
        <v/>
      </c>
      <c r="H15" s="8" t="n"/>
      <c r="I15" s="12" t="n"/>
      <c r="J15" s="13">
        <f>IF(OR(G15="",I15=""),"",G15*I15)</f>
        <v/>
      </c>
      <c r="K15" s="7">
        <f>IF(D15="","",TODAY()-D15&gt;90)</f>
        <v/>
      </c>
    </row>
    <row r="16">
      <c r="A16" s="8" t="n"/>
      <c r="B16" s="9" t="n"/>
      <c r="C16" s="8" t="n"/>
      <c r="D16" s="10" t="n"/>
      <c r="E16" s="8" t="n"/>
      <c r="F16" s="9" t="n"/>
      <c r="G16" s="11">
        <f>IF(OR(A16="",F16=""),"",B16-F16)</f>
        <v/>
      </c>
      <c r="H16" s="8" t="n"/>
      <c r="I16" s="12" t="n"/>
      <c r="J16" s="13">
        <f>IF(OR(G16="",I16=""),"",G16*I16)</f>
        <v/>
      </c>
      <c r="K16" s="7">
        <f>IF(D16="","",TODAY()-D16&gt;90)</f>
        <v/>
      </c>
    </row>
    <row r="17">
      <c r="A17" s="8" t="n"/>
      <c r="B17" s="9" t="n"/>
      <c r="C17" s="8" t="n"/>
      <c r="D17" s="10" t="n"/>
      <c r="E17" s="8" t="n"/>
      <c r="F17" s="9" t="n"/>
      <c r="G17" s="11">
        <f>IF(OR(A17="",F17=""),"",B17-F17)</f>
        <v/>
      </c>
      <c r="H17" s="8" t="n"/>
      <c r="I17" s="12" t="n"/>
      <c r="J17" s="13">
        <f>IF(OR(G17="",I17=""),"",G17*I17)</f>
        <v/>
      </c>
      <c r="K17" s="7">
        <f>IF(D17="","",TODAY()-D17&gt;90)</f>
        <v/>
      </c>
    </row>
    <row r="18">
      <c r="A18" s="8" t="n"/>
      <c r="B18" s="9" t="n"/>
      <c r="C18" s="8" t="n"/>
      <c r="D18" s="10" t="n"/>
      <c r="E18" s="8" t="n"/>
      <c r="F18" s="9" t="n"/>
      <c r="G18" s="11">
        <f>IF(OR(A18="",F18=""),"",B18-F18)</f>
        <v/>
      </c>
      <c r="H18" s="8" t="n"/>
      <c r="I18" s="12" t="n"/>
      <c r="J18" s="13">
        <f>IF(OR(G18="",I18=""),"",G18*I18)</f>
        <v/>
      </c>
      <c r="K18" s="7">
        <f>IF(D18="","",TODAY()-D18&gt;90)</f>
        <v/>
      </c>
    </row>
    <row r="19">
      <c r="A19" s="8" t="n"/>
      <c r="B19" s="9" t="n"/>
      <c r="C19" s="8" t="n"/>
      <c r="D19" s="10" t="n"/>
      <c r="E19" s="8" t="n"/>
      <c r="F19" s="9" t="n"/>
      <c r="G19" s="11">
        <f>IF(OR(A19="",F19=""),"",B19-F19)</f>
        <v/>
      </c>
      <c r="H19" s="8" t="n"/>
      <c r="I19" s="12" t="n"/>
      <c r="J19" s="13">
        <f>IF(OR(G19="",I19=""),"",G19*I19)</f>
        <v/>
      </c>
      <c r="K19" s="7">
        <f>IF(D19="","",TODAY()-D19&gt;90)</f>
        <v/>
      </c>
    </row>
    <row r="20">
      <c r="A20" s="8" t="n"/>
      <c r="B20" s="9" t="n"/>
      <c r="C20" s="8" t="n"/>
      <c r="D20" s="10" t="n"/>
      <c r="E20" s="8" t="n"/>
      <c r="F20" s="9" t="n"/>
      <c r="G20" s="11">
        <f>IF(OR(A20="",F20=""),"",B20-F20)</f>
        <v/>
      </c>
      <c r="H20" s="8" t="n"/>
      <c r="I20" s="12" t="n"/>
      <c r="J20" s="13">
        <f>IF(OR(G20="",I20=""),"",G20*I20)</f>
        <v/>
      </c>
      <c r="K20" s="7">
        <f>IF(D20="","",TODAY()-D20&gt;90)</f>
        <v/>
      </c>
    </row>
    <row r="21">
      <c r="A21" s="8" t="n"/>
      <c r="B21" s="9" t="n"/>
      <c r="C21" s="8" t="n"/>
      <c r="D21" s="10" t="n"/>
      <c r="E21" s="8" t="n"/>
      <c r="F21" s="9" t="n"/>
      <c r="G21" s="11">
        <f>IF(OR(A21="",F21=""),"",B21-F21)</f>
        <v/>
      </c>
      <c r="H21" s="8" t="n"/>
      <c r="I21" s="12" t="n"/>
      <c r="J21" s="13">
        <f>IF(OR(G21="",I21=""),"",G21*I21)</f>
        <v/>
      </c>
      <c r="K21" s="7">
        <f>IF(D21="","",TODAY()-D21&gt;90)</f>
        <v/>
      </c>
    </row>
    <row r="22">
      <c r="A22" s="8" t="n"/>
      <c r="B22" s="9" t="n"/>
      <c r="C22" s="8" t="n"/>
      <c r="D22" s="10" t="n"/>
      <c r="E22" s="8" t="n"/>
      <c r="F22" s="9" t="n"/>
      <c r="G22" s="11">
        <f>IF(OR(A22="",F22=""),"",B22-F22)</f>
        <v/>
      </c>
      <c r="H22" s="8" t="n"/>
      <c r="I22" s="12" t="n"/>
      <c r="J22" s="13">
        <f>IF(OR(G22="",I22=""),"",G22*I22)</f>
        <v/>
      </c>
      <c r="K22" s="7">
        <f>IF(D22="","",TODAY()-D22&gt;90)</f>
        <v/>
      </c>
    </row>
    <row r="23">
      <c r="A23" s="8" t="n"/>
      <c r="B23" s="9" t="n"/>
      <c r="C23" s="8" t="n"/>
      <c r="D23" s="10" t="n"/>
      <c r="E23" s="8" t="n"/>
      <c r="F23" s="9" t="n"/>
      <c r="G23" s="11">
        <f>IF(OR(A23="",F23=""),"",B23-F23)</f>
        <v/>
      </c>
      <c r="H23" s="8" t="n"/>
      <c r="I23" s="12" t="n"/>
      <c r="J23" s="13">
        <f>IF(OR(G23="",I23=""),"",G23*I23)</f>
        <v/>
      </c>
      <c r="K23" s="7">
        <f>IF(D23="","",TODAY()-D23&gt;90)</f>
        <v/>
      </c>
    </row>
    <row r="24">
      <c r="A24" s="8" t="n"/>
      <c r="B24" s="9" t="n"/>
      <c r="C24" s="8" t="n"/>
      <c r="D24" s="10" t="n"/>
      <c r="E24" s="8" t="n"/>
      <c r="F24" s="9" t="n"/>
      <c r="G24" s="11">
        <f>IF(OR(A24="",F24=""),"",B24-F24)</f>
        <v/>
      </c>
      <c r="H24" s="8" t="n"/>
      <c r="I24" s="12" t="n"/>
      <c r="J24" s="13">
        <f>IF(OR(G24="",I24=""),"",G24*I24)</f>
        <v/>
      </c>
      <c r="K24" s="7">
        <f>IF(D24="","",TODAY()-D24&gt;90)</f>
        <v/>
      </c>
    </row>
    <row r="25">
      <c r="A25" s="8" t="n"/>
      <c r="B25" s="9" t="n"/>
      <c r="C25" s="8" t="n"/>
      <c r="D25" s="10" t="n"/>
      <c r="E25" s="8" t="n"/>
      <c r="F25" s="9" t="n"/>
      <c r="G25" s="11">
        <f>IF(OR(A25="",F25=""),"",B25-F25)</f>
        <v/>
      </c>
      <c r="H25" s="8" t="n"/>
      <c r="I25" s="12" t="n"/>
      <c r="J25" s="13">
        <f>IF(OR(G25="",I25=""),"",G25*I25)</f>
        <v/>
      </c>
      <c r="K25" s="7">
        <f>IF(D25="","",TODAY()-D25&gt;90)</f>
        <v/>
      </c>
    </row>
    <row r="26">
      <c r="A26" s="8" t="n"/>
      <c r="B26" s="9" t="n"/>
      <c r="C26" s="8" t="n"/>
      <c r="D26" s="10" t="n"/>
      <c r="E26" s="8" t="n"/>
      <c r="F26" s="9" t="n"/>
      <c r="G26" s="11">
        <f>IF(OR(A26="",F26=""),"",B26-F26)</f>
        <v/>
      </c>
      <c r="H26" s="8" t="n"/>
      <c r="I26" s="12" t="n"/>
      <c r="J26" s="13">
        <f>IF(OR(G26="",I26=""),"",G26*I26)</f>
        <v/>
      </c>
      <c r="K26" s="7">
        <f>IF(D26="","",TODAY()-D26&gt;90)</f>
        <v/>
      </c>
    </row>
    <row r="27">
      <c r="A27" s="8" t="n"/>
      <c r="B27" s="9" t="n"/>
      <c r="C27" s="8" t="n"/>
      <c r="D27" s="10" t="n"/>
      <c r="E27" s="8" t="n"/>
      <c r="F27" s="9" t="n"/>
      <c r="G27" s="11">
        <f>IF(OR(A27="",F27=""),"",B27-F27)</f>
        <v/>
      </c>
      <c r="H27" s="8" t="n"/>
      <c r="I27" s="12" t="n"/>
      <c r="J27" s="13">
        <f>IF(OR(G27="",I27=""),"",G27*I27)</f>
        <v/>
      </c>
      <c r="K27" s="7">
        <f>IF(D27="","",TODAY()-D27&gt;90)</f>
        <v/>
      </c>
    </row>
    <row r="28">
      <c r="A28" s="8" t="n"/>
      <c r="B28" s="9" t="n"/>
      <c r="C28" s="8" t="n"/>
      <c r="D28" s="10" t="n"/>
      <c r="E28" s="8" t="n"/>
      <c r="F28" s="9" t="n"/>
      <c r="G28" s="11">
        <f>IF(OR(A28="",F28=""),"",B28-F28)</f>
        <v/>
      </c>
      <c r="H28" s="8" t="n"/>
      <c r="I28" s="12" t="n"/>
      <c r="J28" s="13">
        <f>IF(OR(G28="",I28=""),"",G28*I28)</f>
        <v/>
      </c>
      <c r="K28" s="7">
        <f>IF(D28="","",TODAY()-D28&gt;90)</f>
        <v/>
      </c>
    </row>
    <row r="29">
      <c r="A29" s="8" t="n"/>
      <c r="B29" s="9" t="n"/>
      <c r="C29" s="8" t="n"/>
      <c r="D29" s="10" t="n"/>
      <c r="E29" s="8" t="n"/>
      <c r="F29" s="9" t="n"/>
      <c r="G29" s="11">
        <f>IF(OR(A29="",F29=""),"",B29-F29)</f>
        <v/>
      </c>
      <c r="H29" s="8" t="n"/>
      <c r="I29" s="12" t="n"/>
      <c r="J29" s="13">
        <f>IF(OR(G29="",I29=""),"",G29*I29)</f>
        <v/>
      </c>
      <c r="K29" s="7">
        <f>IF(D29="","",TODAY()-D29&gt;90)</f>
        <v/>
      </c>
    </row>
    <row r="30">
      <c r="A30" s="8" t="n"/>
      <c r="B30" s="9" t="n"/>
      <c r="C30" s="8" t="n"/>
      <c r="D30" s="10" t="n"/>
      <c r="E30" s="8" t="n"/>
      <c r="F30" s="9" t="n"/>
      <c r="G30" s="11">
        <f>IF(OR(A30="",F30=""),"",B30-F30)</f>
        <v/>
      </c>
      <c r="H30" s="8" t="n"/>
      <c r="I30" s="12" t="n"/>
      <c r="J30" s="13">
        <f>IF(OR(G30="",I30=""),"",G30*I30)</f>
        <v/>
      </c>
      <c r="K30" s="7">
        <f>IF(D30="","",TODAY()-D30&gt;90)</f>
        <v/>
      </c>
    </row>
    <row r="31">
      <c r="A31" s="8" t="n"/>
      <c r="B31" s="9" t="n"/>
      <c r="C31" s="8" t="n"/>
      <c r="D31" s="10" t="n"/>
      <c r="E31" s="8" t="n"/>
      <c r="F31" s="9" t="n"/>
      <c r="G31" s="11">
        <f>IF(OR(A31="",F31=""),"",B31-F31)</f>
        <v/>
      </c>
      <c r="H31" s="8" t="n"/>
      <c r="I31" s="12" t="n"/>
      <c r="J31" s="13">
        <f>IF(OR(G31="",I31=""),"",G31*I31)</f>
        <v/>
      </c>
      <c r="K31" s="7">
        <f>IF(D31="","",TODAY()-D31&gt;90)</f>
        <v/>
      </c>
    </row>
    <row r="32">
      <c r="A32" s="8" t="n"/>
      <c r="B32" s="9" t="n"/>
      <c r="C32" s="8" t="n"/>
      <c r="D32" s="10" t="n"/>
      <c r="E32" s="8" t="n"/>
      <c r="F32" s="9" t="n"/>
      <c r="G32" s="11">
        <f>IF(OR(A32="",F32=""),"",B32-F32)</f>
        <v/>
      </c>
      <c r="H32" s="8" t="n"/>
      <c r="I32" s="12" t="n"/>
      <c r="J32" s="13">
        <f>IF(OR(G32="",I32=""),"",G32*I32)</f>
        <v/>
      </c>
      <c r="K32" s="7">
        <f>IF(D32="","",TODAY()-D32&gt;90)</f>
        <v/>
      </c>
    </row>
    <row r="33">
      <c r="A33" s="8" t="n"/>
      <c r="B33" s="9" t="n"/>
      <c r="C33" s="8" t="n"/>
      <c r="D33" s="10" t="n"/>
      <c r="E33" s="8" t="n"/>
      <c r="F33" s="9" t="n"/>
      <c r="G33" s="11">
        <f>IF(OR(A33="",F33=""),"",B33-F33)</f>
        <v/>
      </c>
      <c r="H33" s="8" t="n"/>
      <c r="I33" s="12" t="n"/>
      <c r="J33" s="13">
        <f>IF(OR(G33="",I33=""),"",G33*I33)</f>
        <v/>
      </c>
      <c r="K33" s="7">
        <f>IF(D33="","",TODAY()-D33&gt;90)</f>
        <v/>
      </c>
    </row>
    <row r="34">
      <c r="A34" s="8" t="n"/>
      <c r="B34" s="9" t="n"/>
      <c r="C34" s="8" t="n"/>
      <c r="D34" s="10" t="n"/>
      <c r="E34" s="8" t="n"/>
      <c r="F34" s="9" t="n"/>
      <c r="G34" s="11">
        <f>IF(OR(A34="",F34=""),"",B34-F34)</f>
        <v/>
      </c>
      <c r="H34" s="8" t="n"/>
      <c r="I34" s="12" t="n"/>
      <c r="J34" s="13">
        <f>IF(OR(G34="",I34=""),"",G34*I34)</f>
        <v/>
      </c>
      <c r="K34" s="7">
        <f>IF(D34="","",TODAY()-D34&gt;90)</f>
        <v/>
      </c>
    </row>
    <row r="35">
      <c r="A35" s="8" t="n"/>
      <c r="B35" s="9" t="n"/>
      <c r="C35" s="8" t="n"/>
      <c r="D35" s="10" t="n"/>
      <c r="E35" s="8" t="n"/>
      <c r="F35" s="9" t="n"/>
      <c r="G35" s="11">
        <f>IF(OR(A35="",F35=""),"",B35-F35)</f>
        <v/>
      </c>
      <c r="H35" s="8" t="n"/>
      <c r="I35" s="12" t="n"/>
      <c r="J35" s="13">
        <f>IF(OR(G35="",I35=""),"",G35*I35)</f>
        <v/>
      </c>
      <c r="K35" s="7">
        <f>IF(D35="","",TODAY()-D35&gt;90)</f>
        <v/>
      </c>
    </row>
    <row r="36">
      <c r="A36" s="8" t="n"/>
      <c r="B36" s="9" t="n"/>
      <c r="C36" s="8" t="n"/>
      <c r="D36" s="10" t="n"/>
      <c r="E36" s="8" t="n"/>
      <c r="F36" s="9" t="n"/>
      <c r="G36" s="11">
        <f>IF(OR(A36="",F36=""),"",B36-F36)</f>
        <v/>
      </c>
      <c r="H36" s="8" t="n"/>
      <c r="I36" s="12" t="n"/>
      <c r="J36" s="13">
        <f>IF(OR(G36="",I36=""),"",G36*I36)</f>
        <v/>
      </c>
      <c r="K36" s="7">
        <f>IF(D36="","",TODAY()-D36&gt;90)</f>
        <v/>
      </c>
    </row>
    <row r="37">
      <c r="A37" s="8" t="n"/>
      <c r="B37" s="9" t="n"/>
      <c r="C37" s="8" t="n"/>
      <c r="D37" s="10" t="n"/>
      <c r="E37" s="8" t="n"/>
      <c r="F37" s="9" t="n"/>
      <c r="G37" s="11">
        <f>IF(OR(A37="",F37=""),"",B37-F37)</f>
        <v/>
      </c>
      <c r="H37" s="8" t="n"/>
      <c r="I37" s="12" t="n"/>
      <c r="J37" s="13">
        <f>IF(OR(G37="",I37=""),"",G37*I37)</f>
        <v/>
      </c>
      <c r="K37" s="7">
        <f>IF(D37="","",TODAY()-D37&gt;90)</f>
        <v/>
      </c>
    </row>
    <row r="38">
      <c r="A38" s="8" t="n"/>
      <c r="B38" s="9" t="n"/>
      <c r="C38" s="8" t="n"/>
      <c r="D38" s="10" t="n"/>
      <c r="E38" s="8" t="n"/>
      <c r="F38" s="9" t="n"/>
      <c r="G38" s="11">
        <f>IF(OR(A38="",F38=""),"",B38-F38)</f>
        <v/>
      </c>
      <c r="H38" s="8" t="n"/>
      <c r="I38" s="12" t="n"/>
      <c r="J38" s="13">
        <f>IF(OR(G38="",I38=""),"",G38*I38)</f>
        <v/>
      </c>
      <c r="K38" s="7">
        <f>IF(D38="","",TODAY()-D38&gt;90)</f>
        <v/>
      </c>
    </row>
    <row r="39">
      <c r="A39" s="8" t="n"/>
      <c r="B39" s="9" t="n"/>
      <c r="C39" s="8" t="n"/>
      <c r="D39" s="10" t="n"/>
      <c r="E39" s="8" t="n"/>
      <c r="F39" s="9" t="n"/>
      <c r="G39" s="11">
        <f>IF(OR(A39="",F39=""),"",B39-F39)</f>
        <v/>
      </c>
      <c r="H39" s="8" t="n"/>
      <c r="I39" s="12" t="n"/>
      <c r="J39" s="13">
        <f>IF(OR(G39="",I39=""),"",G39*I39)</f>
        <v/>
      </c>
      <c r="K39" s="7">
        <f>IF(D39="","",TODAY()-D39&gt;90)</f>
        <v/>
      </c>
    </row>
    <row r="40">
      <c r="A40" s="8" t="n"/>
      <c r="B40" s="9" t="n"/>
      <c r="C40" s="8" t="n"/>
      <c r="D40" s="10" t="n"/>
      <c r="E40" s="8" t="n"/>
      <c r="F40" s="9" t="n"/>
      <c r="G40" s="11">
        <f>IF(OR(A40="",F40=""),"",B40-F40)</f>
        <v/>
      </c>
      <c r="H40" s="8" t="n"/>
      <c r="I40" s="12" t="n"/>
      <c r="J40" s="13">
        <f>IF(OR(G40="",I40=""),"",G40*I40)</f>
        <v/>
      </c>
      <c r="K40" s="7">
        <f>IF(D40="","",TODAY()-D40&gt;90)</f>
        <v/>
      </c>
    </row>
    <row r="41">
      <c r="A41" s="8" t="n"/>
      <c r="B41" s="9" t="n"/>
      <c r="C41" s="8" t="n"/>
      <c r="D41" s="10" t="n"/>
      <c r="E41" s="8" t="n"/>
      <c r="F41" s="9" t="n"/>
      <c r="G41" s="11">
        <f>IF(OR(A41="",F41=""),"",B41-F41)</f>
        <v/>
      </c>
      <c r="H41" s="8" t="n"/>
      <c r="I41" s="12" t="n"/>
      <c r="J41" s="13">
        <f>IF(OR(G41="",I41=""),"",G41*I41)</f>
        <v/>
      </c>
      <c r="K41" s="7">
        <f>IF(D41="","",TODAY()-D41&gt;90)</f>
        <v/>
      </c>
    </row>
    <row r="42">
      <c r="A42" s="8" t="n"/>
      <c r="B42" s="9" t="n"/>
      <c r="C42" s="8" t="n"/>
      <c r="D42" s="10" t="n"/>
      <c r="E42" s="8" t="n"/>
      <c r="F42" s="9" t="n"/>
      <c r="G42" s="11">
        <f>IF(OR(A42="",F42=""),"",B42-F42)</f>
        <v/>
      </c>
      <c r="H42" s="8" t="n"/>
      <c r="I42" s="12" t="n"/>
      <c r="J42" s="13">
        <f>IF(OR(G42="",I42=""),"",G42*I42)</f>
        <v/>
      </c>
      <c r="K42" s="7">
        <f>IF(D42="","",TODAY()-D42&gt;90)</f>
        <v/>
      </c>
    </row>
    <row r="43">
      <c r="A43" s="8" t="n"/>
      <c r="B43" s="9" t="n"/>
      <c r="C43" s="8" t="n"/>
      <c r="D43" s="10" t="n"/>
      <c r="E43" s="8" t="n"/>
      <c r="F43" s="9" t="n"/>
      <c r="G43" s="11">
        <f>IF(OR(A43="",F43=""),"",B43-F43)</f>
        <v/>
      </c>
      <c r="H43" s="8" t="n"/>
      <c r="I43" s="12" t="n"/>
      <c r="J43" s="13">
        <f>IF(OR(G43="",I43=""),"",G43*I43)</f>
        <v/>
      </c>
      <c r="K43" s="7">
        <f>IF(D43="","",TODAY()-D43&gt;90)</f>
        <v/>
      </c>
    </row>
    <row r="44">
      <c r="A44" s="8" t="n"/>
      <c r="B44" s="9" t="n"/>
      <c r="C44" s="8" t="n"/>
      <c r="D44" s="10" t="n"/>
      <c r="E44" s="8" t="n"/>
      <c r="F44" s="9" t="n"/>
      <c r="G44" s="11">
        <f>IF(OR(A44="",F44=""),"",B44-F44)</f>
        <v/>
      </c>
      <c r="H44" s="8" t="n"/>
      <c r="I44" s="12" t="n"/>
      <c r="J44" s="13">
        <f>IF(OR(G44="",I44=""),"",G44*I44)</f>
        <v/>
      </c>
      <c r="K44" s="7">
        <f>IF(D44="","",TODAY()-D44&gt;90)</f>
        <v/>
      </c>
    </row>
    <row r="45">
      <c r="A45" s="8" t="n"/>
      <c r="B45" s="9" t="n"/>
      <c r="C45" s="8" t="n"/>
      <c r="D45" s="10" t="n"/>
      <c r="E45" s="8" t="n"/>
      <c r="F45" s="9" t="n"/>
      <c r="G45" s="11">
        <f>IF(OR(A45="",F45=""),"",B45-F45)</f>
        <v/>
      </c>
      <c r="H45" s="8" t="n"/>
      <c r="I45" s="12" t="n"/>
      <c r="J45" s="13">
        <f>IF(OR(G45="",I45=""),"",G45*I45)</f>
        <v/>
      </c>
      <c r="K45" s="7">
        <f>IF(D45="","",TODAY()-D45&gt;90)</f>
        <v/>
      </c>
    </row>
    <row r="46">
      <c r="A46" s="8" t="n"/>
      <c r="B46" s="9" t="n"/>
      <c r="C46" s="8" t="n"/>
      <c r="D46" s="10" t="n"/>
      <c r="E46" s="8" t="n"/>
      <c r="F46" s="9" t="n"/>
      <c r="G46" s="11">
        <f>IF(OR(A46="",F46=""),"",B46-F46)</f>
        <v/>
      </c>
      <c r="H46" s="8" t="n"/>
      <c r="I46" s="12" t="n"/>
      <c r="J46" s="13">
        <f>IF(OR(G46="",I46=""),"",G46*I46)</f>
        <v/>
      </c>
      <c r="K46" s="7">
        <f>IF(D46="","",TODAY()-D46&gt;90)</f>
        <v/>
      </c>
    </row>
    <row r="47">
      <c r="A47" s="8" t="n"/>
      <c r="B47" s="9" t="n"/>
      <c r="C47" s="8" t="n"/>
      <c r="D47" s="10" t="n"/>
      <c r="E47" s="8" t="n"/>
      <c r="F47" s="9" t="n"/>
      <c r="G47" s="11">
        <f>IF(OR(A47="",F47=""),"",B47-F47)</f>
        <v/>
      </c>
      <c r="H47" s="8" t="n"/>
      <c r="I47" s="12" t="n"/>
      <c r="J47" s="13">
        <f>IF(OR(G47="",I47=""),"",G47*I47)</f>
        <v/>
      </c>
      <c r="K47" s="7">
        <f>IF(D47="","",TODAY()-D47&gt;90)</f>
        <v/>
      </c>
    </row>
    <row r="48">
      <c r="A48" s="8" t="n"/>
      <c r="B48" s="9" t="n"/>
      <c r="C48" s="8" t="n"/>
      <c r="D48" s="10" t="n"/>
      <c r="E48" s="8" t="n"/>
      <c r="F48" s="9" t="n"/>
      <c r="G48" s="11">
        <f>IF(OR(A48="",F48=""),"",B48-F48)</f>
        <v/>
      </c>
      <c r="H48" s="8" t="n"/>
      <c r="I48" s="12" t="n"/>
      <c r="J48" s="13">
        <f>IF(OR(G48="",I48=""),"",G48*I48)</f>
        <v/>
      </c>
      <c r="K48" s="7">
        <f>IF(D48="","",TODAY()-D48&gt;90)</f>
        <v/>
      </c>
    </row>
    <row r="49">
      <c r="A49" s="8" t="n"/>
      <c r="B49" s="9" t="n"/>
      <c r="C49" s="8" t="n"/>
      <c r="D49" s="10" t="n"/>
      <c r="E49" s="8" t="n"/>
      <c r="F49" s="9" t="n"/>
      <c r="G49" s="11">
        <f>IF(OR(A49="",F49=""),"",B49-F49)</f>
        <v/>
      </c>
      <c r="H49" s="8" t="n"/>
      <c r="I49" s="12" t="n"/>
      <c r="J49" s="13">
        <f>IF(OR(G49="",I49=""),"",G49*I49)</f>
        <v/>
      </c>
      <c r="K49" s="7">
        <f>IF(D49="","",TODAY()-D49&gt;90)</f>
        <v/>
      </c>
    </row>
    <row r="50">
      <c r="A50" s="8" t="n"/>
      <c r="B50" s="9" t="n"/>
      <c r="C50" s="8" t="n"/>
      <c r="D50" s="10" t="n"/>
      <c r="E50" s="8" t="n"/>
      <c r="F50" s="9" t="n"/>
      <c r="G50" s="11">
        <f>IF(OR(A50="",F50=""),"",B50-F50)</f>
        <v/>
      </c>
      <c r="H50" s="8" t="n"/>
      <c r="I50" s="12" t="n"/>
      <c r="J50" s="13">
        <f>IF(OR(G50="",I50=""),"",G50*I50)</f>
        <v/>
      </c>
      <c r="K50" s="7">
        <f>IF(D50="","",TODAY()-D50&gt;90)</f>
        <v/>
      </c>
    </row>
    <row r="51">
      <c r="A51" s="8" t="n"/>
      <c r="B51" s="9" t="n"/>
      <c r="C51" s="8" t="n"/>
      <c r="D51" s="10" t="n"/>
      <c r="E51" s="8" t="n"/>
      <c r="F51" s="9" t="n"/>
      <c r="G51" s="11">
        <f>IF(OR(A51="",F51=""),"",B51-F51)</f>
        <v/>
      </c>
      <c r="H51" s="8" t="n"/>
      <c r="I51" s="12" t="n"/>
      <c r="J51" s="13">
        <f>IF(OR(G51="",I51=""),"",G51*I51)</f>
        <v/>
      </c>
      <c r="K51" s="7">
        <f>IF(D51="","",TODAY()-D51&gt;90)</f>
        <v/>
      </c>
    </row>
    <row r="52">
      <c r="A52" s="8" t="n"/>
      <c r="B52" s="9" t="n"/>
      <c r="C52" s="8" t="n"/>
      <c r="D52" s="10" t="n"/>
      <c r="E52" s="8" t="n"/>
      <c r="F52" s="9" t="n"/>
      <c r="G52" s="11">
        <f>IF(OR(A52="",F52=""),"",B52-F52)</f>
        <v/>
      </c>
      <c r="H52" s="8" t="n"/>
      <c r="I52" s="12" t="n"/>
      <c r="J52" s="13">
        <f>IF(OR(G52="",I52=""),"",G52*I52)</f>
        <v/>
      </c>
      <c r="K52" s="7">
        <f>IF(D52="","",TODAY()-D52&gt;90)</f>
        <v/>
      </c>
    </row>
    <row r="53">
      <c r="A53" s="8" t="n"/>
      <c r="B53" s="9" t="n"/>
      <c r="C53" s="8" t="n"/>
      <c r="D53" s="10" t="n"/>
      <c r="E53" s="8" t="n"/>
      <c r="F53" s="9" t="n"/>
      <c r="G53" s="11">
        <f>IF(OR(A53="",F53=""),"",B53-F53)</f>
        <v/>
      </c>
      <c r="H53" s="8" t="n"/>
      <c r="I53" s="12" t="n"/>
      <c r="J53" s="13">
        <f>IF(OR(G53="",I53=""),"",G53*I53)</f>
        <v/>
      </c>
      <c r="K53" s="7">
        <f>IF(D53="","",TODAY()-D53&gt;90)</f>
        <v/>
      </c>
    </row>
    <row r="54">
      <c r="A54" s="8" t="n"/>
      <c r="B54" s="9" t="n"/>
      <c r="C54" s="8" t="n"/>
      <c r="D54" s="10" t="n"/>
      <c r="E54" s="8" t="n"/>
      <c r="F54" s="9" t="n"/>
      <c r="G54" s="11">
        <f>IF(OR(A54="",F54=""),"",B54-F54)</f>
        <v/>
      </c>
      <c r="H54" s="8" t="n"/>
      <c r="I54" s="12" t="n"/>
      <c r="J54" s="13">
        <f>IF(OR(G54="",I54=""),"",G54*I54)</f>
        <v/>
      </c>
      <c r="K54" s="7">
        <f>IF(D54="","",TODAY()-D54&gt;90)</f>
        <v/>
      </c>
    </row>
    <row r="55">
      <c r="A55" s="8" t="n"/>
      <c r="B55" s="9" t="n"/>
      <c r="C55" s="8" t="n"/>
      <c r="D55" s="10" t="n"/>
      <c r="E55" s="8" t="n"/>
      <c r="F55" s="9" t="n"/>
      <c r="G55" s="11">
        <f>IF(OR(A55="",F55=""),"",B55-F55)</f>
        <v/>
      </c>
      <c r="H55" s="8" t="n"/>
      <c r="I55" s="12" t="n"/>
      <c r="J55" s="13">
        <f>IF(OR(G55="",I55=""),"",G55*I55)</f>
        <v/>
      </c>
      <c r="K55" s="7">
        <f>IF(D55="","",TODAY()-D55&gt;90)</f>
        <v/>
      </c>
    </row>
    <row r="56">
      <c r="A56" s="8" t="n"/>
      <c r="B56" s="9" t="n"/>
      <c r="C56" s="8" t="n"/>
      <c r="D56" s="10" t="n"/>
      <c r="E56" s="8" t="n"/>
      <c r="F56" s="9" t="n"/>
      <c r="G56" s="11">
        <f>IF(OR(A56="",F56=""),"",B56-F56)</f>
        <v/>
      </c>
      <c r="H56" s="8" t="n"/>
      <c r="I56" s="12" t="n"/>
      <c r="J56" s="13">
        <f>IF(OR(G56="",I56=""),"",G56*I56)</f>
        <v/>
      </c>
      <c r="K56" s="7">
        <f>IF(D56="","",TODAY()-D56&gt;90)</f>
        <v/>
      </c>
    </row>
    <row r="57">
      <c r="A57" s="8" t="n"/>
      <c r="B57" s="9" t="n"/>
      <c r="C57" s="8" t="n"/>
      <c r="D57" s="10" t="n"/>
      <c r="E57" s="8" t="n"/>
      <c r="F57" s="9" t="n"/>
      <c r="G57" s="11">
        <f>IF(OR(A57="",F57=""),"",B57-F57)</f>
        <v/>
      </c>
      <c r="H57" s="8" t="n"/>
      <c r="I57" s="12" t="n"/>
      <c r="J57" s="13">
        <f>IF(OR(G57="",I57=""),"",G57*I57)</f>
        <v/>
      </c>
      <c r="K57" s="7">
        <f>IF(D57="","",TODAY()-D57&gt;90)</f>
        <v/>
      </c>
    </row>
    <row r="58">
      <c r="A58" s="8" t="n"/>
      <c r="B58" s="9" t="n"/>
      <c r="C58" s="8" t="n"/>
      <c r="D58" s="10" t="n"/>
      <c r="E58" s="8" t="n"/>
      <c r="F58" s="9" t="n"/>
      <c r="G58" s="11">
        <f>IF(OR(A58="",F58=""),"",B58-F58)</f>
        <v/>
      </c>
      <c r="H58" s="8" t="n"/>
      <c r="I58" s="12" t="n"/>
      <c r="J58" s="13">
        <f>IF(OR(G58="",I58=""),"",G58*I58)</f>
        <v/>
      </c>
      <c r="K58" s="7">
        <f>IF(D58="","",TODAY()-D58&gt;90)</f>
        <v/>
      </c>
    </row>
    <row r="59">
      <c r="A59" s="8" t="n"/>
      <c r="B59" s="9" t="n"/>
      <c r="C59" s="8" t="n"/>
      <c r="D59" s="10" t="n"/>
      <c r="E59" s="8" t="n"/>
      <c r="F59" s="9" t="n"/>
      <c r="G59" s="11">
        <f>IF(OR(A59="",F59=""),"",B59-F59)</f>
        <v/>
      </c>
      <c r="H59" s="8" t="n"/>
      <c r="I59" s="12" t="n"/>
      <c r="J59" s="13">
        <f>IF(OR(G59="",I59=""),"",G59*I59)</f>
        <v/>
      </c>
      <c r="K59" s="7">
        <f>IF(D59="","",TODAY()-D59&gt;90)</f>
        <v/>
      </c>
    </row>
    <row r="60">
      <c r="A60" s="8" t="n"/>
      <c r="B60" s="9" t="n"/>
      <c r="C60" s="8" t="n"/>
      <c r="D60" s="10" t="n"/>
      <c r="E60" s="8" t="n"/>
      <c r="F60" s="9" t="n"/>
      <c r="G60" s="11">
        <f>IF(OR(A60="",F60=""),"",B60-F60)</f>
        <v/>
      </c>
      <c r="H60" s="8" t="n"/>
      <c r="I60" s="12" t="n"/>
      <c r="J60" s="13">
        <f>IF(OR(G60="",I60=""),"",G60*I60)</f>
        <v/>
      </c>
      <c r="K60" s="7">
        <f>IF(D60="","",TODAY()-D60&gt;90)</f>
        <v/>
      </c>
    </row>
    <row r="61">
      <c r="A61" s="8" t="n"/>
      <c r="B61" s="9" t="n"/>
      <c r="C61" s="8" t="n"/>
      <c r="D61" s="10" t="n"/>
      <c r="E61" s="8" t="n"/>
      <c r="F61" s="9" t="n"/>
      <c r="G61" s="11">
        <f>IF(OR(A61="",F61=""),"",B61-F61)</f>
        <v/>
      </c>
      <c r="H61" s="8" t="n"/>
      <c r="I61" s="12" t="n"/>
      <c r="J61" s="13">
        <f>IF(OR(G61="",I61=""),"",G61*I61)</f>
        <v/>
      </c>
      <c r="K61" s="7">
        <f>IF(D61="","",TODAY()-D61&gt;90)</f>
        <v/>
      </c>
    </row>
    <row r="62">
      <c r="A62" s="8" t="n"/>
      <c r="B62" s="9" t="n"/>
      <c r="C62" s="8" t="n"/>
      <c r="D62" s="10" t="n"/>
      <c r="E62" s="8" t="n"/>
      <c r="F62" s="9" t="n"/>
      <c r="G62" s="11">
        <f>IF(OR(A62="",F62=""),"",B62-F62)</f>
        <v/>
      </c>
      <c r="H62" s="8" t="n"/>
      <c r="I62" s="12" t="n"/>
      <c r="J62" s="13">
        <f>IF(OR(G62="",I62=""),"",G62*I62)</f>
        <v/>
      </c>
      <c r="K62" s="7">
        <f>IF(D62="","",TODAY()-D62&gt;90)</f>
        <v/>
      </c>
    </row>
    <row r="63">
      <c r="A63" s="8" t="n"/>
      <c r="B63" s="9" t="n"/>
      <c r="C63" s="8" t="n"/>
      <c r="D63" s="10" t="n"/>
      <c r="E63" s="8" t="n"/>
      <c r="F63" s="9" t="n"/>
      <c r="G63" s="11">
        <f>IF(OR(A63="",F63=""),"",B63-F63)</f>
        <v/>
      </c>
      <c r="H63" s="8" t="n"/>
      <c r="I63" s="12" t="n"/>
      <c r="J63" s="13">
        <f>IF(OR(G63="",I63=""),"",G63*I63)</f>
        <v/>
      </c>
      <c r="K63" s="7">
        <f>IF(D63="","",TODAY()-D63&gt;90)</f>
        <v/>
      </c>
    </row>
    <row r="64">
      <c r="A64" s="8" t="n"/>
      <c r="B64" s="9" t="n"/>
      <c r="C64" s="8" t="n"/>
      <c r="D64" s="10" t="n"/>
      <c r="E64" s="8" t="n"/>
      <c r="F64" s="9" t="n"/>
      <c r="G64" s="11">
        <f>IF(OR(A64="",F64=""),"",B64-F64)</f>
        <v/>
      </c>
      <c r="H64" s="8" t="n"/>
      <c r="I64" s="12" t="n"/>
      <c r="J64" s="13">
        <f>IF(OR(G64="",I64=""),"",G64*I64)</f>
        <v/>
      </c>
      <c r="K64" s="7">
        <f>IF(D64="","",TODAY()-D64&gt;90)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2026-10-18T16:52:44Z</dcterms:created>
  <dcterms:modified xmlns:dcterms="http://purl.org/dc/terms/" xmlns:xsi="http://www.w3.org/2001/XMLSchema-instance" xsi:type="dcterms:W3CDTF">2026-10-18T16:52:45Z</dcterms:modified>
</cp:coreProperties>
</file>