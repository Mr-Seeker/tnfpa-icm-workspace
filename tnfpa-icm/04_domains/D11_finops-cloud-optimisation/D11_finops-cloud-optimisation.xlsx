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CloudCosts" sheetId="4" state="visible" r:id="rId4"/>
    <sheet xmlns:r="http://schemas.openxmlformats.org/officeDocument/2006/relationships" name="Unit" sheetId="5" state="visible" r:id="rId5"/>
  </sheets>
  <definedNames>
    <definedName name="usdinr">'Setup'!$B$4</definedName>
    <definedName name="rcm">'Setup'!$B$5</definedName>
    <definedName name="rcm_leak">'Setup'!$B$6</definedName>
    <definedName name="units">'Setup'!$B$7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;[Red]-#,##0.00"/>
    <numFmt numFmtId="166" formatCode="#,##0;[Red]-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2" fontId="3" fillId="2" borderId="1" pivotButton="0" quotePrefix="0" xfId="0"/>
    <xf numFmtId="164" fontId="3" fillId="2" borderId="1" pivotButton="0" quotePrefix="0" xfId="0"/>
    <xf numFmtId="3" fontId="3" fillId="2" borderId="1" pivotButton="0" quotePrefix="0" xfId="0"/>
    <xf numFmtId="0" fontId="3" fillId="2" borderId="1" pivotButton="0" quotePrefix="0" xfId="0"/>
    <xf numFmtId="165" fontId="3" fillId="2" borderId="1" pivotButton="0" quotePrefix="0" xfId="0"/>
    <xf numFmtId="166" fontId="0" fillId="0" borderId="1" pivotButton="0" quotePrefix="0" xfId="0"/>
    <xf numFmtId="166" fontId="5" fillId="0" borderId="1" pivotButton="0" quotePrefix="0" xfId="0"/>
    <xf numFmtId="165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D11 · FinOps &amp; cloud optimisation systems</t>
        </is>
      </c>
    </row>
    <row r="2"/>
    <row r="3">
      <c r="A3" s="2" t="inlineStr">
        <is>
          <t>Domain D11: FinOps &amp; cloud optimisation systems.</t>
        </is>
      </c>
    </row>
    <row r="4">
      <c r="A4" s="2" t="inlineStr">
        <is>
          <t>Make cloud and SaaS spend visible in rupees, including reverse-charge GST leakage, commitment coverage and unit cost, and feed it to K01 opex.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companies/&lt;slug&gt;/domains/D11_finops-cloud-optimisation/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opex fixed 'Cloud &amp; software' monthly_amount  &lt;=  Unit B4</t>
        </is>
      </c>
    </row>
    <row r="11">
      <c r="A11" s="2" t="inlineStr">
        <is>
          <t>D24 GST (RCM on imported services)  &lt;=  RCM</t>
        </is>
      </c>
    </row>
    <row r="12">
      <c r="A12" s="2" t="inlineStr">
        <is>
          <t>D13 unit economics  &lt;=  cost per 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IF(COUNTIF(C5:C5,"PASS")=COUNT(A5:A5),"PASS","FAIL")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billing currency is USD or INR</t>
        </is>
      </c>
      <c r="C5" s="7">
        <f>IF(SUMPRODUCT((CloudCosts!A5:A304&lt;&gt;"")*(CloudCosts!D5:D304&lt;&gt;"USD")*(CloudCosts!D5:D304&lt;&gt;"INR"))=0,"PASS","FAIL")</f>
        <v/>
      </c>
    </row>
  </sheetData>
  <conditionalFormatting sqref="C3: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FinOps setup</t>
        </is>
      </c>
    </row>
    <row r="2"/>
    <row r="3"/>
    <row r="4">
      <c r="A4" t="inlineStr">
        <is>
          <t>USD/INR (FBIL/RBI reference, dated)</t>
        </is>
      </c>
      <c r="B4" s="8" t="n">
        <v>88</v>
      </c>
    </row>
    <row r="5">
      <c r="A5" t="inlineStr">
        <is>
          <t>IGST under reverse charge on imported services (if ITC blocked/partial, cost)</t>
        </is>
      </c>
      <c r="B5" s="9" t="n">
        <v>0.18</v>
      </c>
    </row>
    <row r="6">
      <c r="A6" t="inlineStr">
        <is>
          <t>share of RCM IGST NOT recoverable as ITC</t>
        </is>
      </c>
      <c r="B6" s="9" t="n">
        <v>0</v>
      </c>
    </row>
    <row r="7">
      <c r="A7" t="inlineStr">
        <is>
          <t>units of usage this month (orders / invoices / users)</t>
        </is>
      </c>
      <c r="B7" s="10" t="n">
        <v>250000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37" customWidth="1" min="5" max="5"/>
    <col width="38" customWidth="1" min="6" max="6"/>
    <col width="36" customWidth="1" min="7" max="7"/>
    <col width="12" customWidth="1" min="8" max="8"/>
    <col width="20" customWidth="1" min="9" max="9"/>
    <col width="14" customWidth="1" min="10" max="10"/>
  </cols>
  <sheetData>
    <row r="1">
      <c r="A1" s="1" t="inlineStr">
        <is>
          <t>Cloud &amp; SaaS cost register (AWS / Azure (South India = Chennai) / GCP / Zoho / Microsoft 365 ...)</t>
        </is>
      </c>
    </row>
    <row r="2"/>
    <row r="3"/>
    <row r="4">
      <c r="A4" s="6" t="inlineStr">
        <is>
          <t>service</t>
        </is>
      </c>
      <c r="B4" s="6" t="inlineStr">
        <is>
          <t>provider</t>
        </is>
      </c>
      <c r="C4" s="6" t="inlineStr">
        <is>
          <t>region</t>
        </is>
      </c>
      <c r="D4" s="6" t="inlineStr">
        <is>
          <t>billing currency (USD/INR)</t>
        </is>
      </c>
      <c r="E4" s="6" t="inlineStr">
        <is>
          <t>monthly amount (billing currency)</t>
        </is>
      </c>
      <c r="F4" s="6" t="inlineStr">
        <is>
          <t>allocation (cost centre / product)</t>
        </is>
      </c>
      <c r="G4" s="6" t="inlineStr">
        <is>
          <t>committed (RI/savings plan)? y/n</t>
        </is>
      </c>
      <c r="H4" s="6" t="inlineStr">
        <is>
          <t>INR cost</t>
        </is>
      </c>
      <c r="I4" s="6" t="inlineStr">
        <is>
          <t>RCM IGST leakage</t>
        </is>
      </c>
      <c r="J4" s="6" t="inlineStr">
        <is>
          <t>all-in INR</t>
        </is>
      </c>
    </row>
    <row r="5">
      <c r="A5" s="11" t="inlineStr">
        <is>
          <t>EC2 + RDS</t>
        </is>
      </c>
      <c r="B5" s="11" t="inlineStr">
        <is>
          <t>AWS</t>
        </is>
      </c>
      <c r="C5" s="11" t="inlineStr">
        <is>
          <t>ap-south-1</t>
        </is>
      </c>
      <c r="D5" s="11" t="inlineStr">
        <is>
          <t>USD</t>
        </is>
      </c>
      <c r="E5" s="12" t="n">
        <v>6200</v>
      </c>
      <c r="F5" s="11" t="inlineStr">
        <is>
          <t>Platform</t>
        </is>
      </c>
      <c r="G5" s="11" t="inlineStr">
        <is>
          <t>y</t>
        </is>
      </c>
      <c r="H5" s="13">
        <f>IF(A5="","",E5*IF(D5="USD",Setup!$B$4,1))</f>
        <v/>
      </c>
      <c r="I5" s="13">
        <f>IF(A5="","",IF(D5="USD",H5*Setup!$B$5*Setup!$B$6,0))</f>
        <v/>
      </c>
      <c r="J5" s="13">
        <f>IF(A5="","",H5+I5)</f>
        <v/>
      </c>
    </row>
    <row r="6">
      <c r="A6" s="11" t="inlineStr">
        <is>
          <t>Zoho One</t>
        </is>
      </c>
      <c r="B6" s="11" t="inlineStr">
        <is>
          <t>Zoho</t>
        </is>
      </c>
      <c r="C6" s="11" t="inlineStr">
        <is>
          <t>IN</t>
        </is>
      </c>
      <c r="D6" s="11" t="inlineStr">
        <is>
          <t>INR</t>
        </is>
      </c>
      <c r="E6" s="12" t="n">
        <v>145000</v>
      </c>
      <c r="F6" s="11" t="inlineStr">
        <is>
          <t>G&amp;A</t>
        </is>
      </c>
      <c r="G6" s="11" t="inlineStr">
        <is>
          <t>n</t>
        </is>
      </c>
      <c r="H6" s="13">
        <f>IF(A6="","",E6*IF(D6="USD",Setup!$B$4,1))</f>
        <v/>
      </c>
      <c r="I6" s="13">
        <f>IF(A6="","",IF(D6="USD",H6*Setup!$B$5*Setup!$B$6,0))</f>
        <v/>
      </c>
      <c r="J6" s="13">
        <f>IF(A6="","",H6+I6)</f>
        <v/>
      </c>
    </row>
    <row r="7">
      <c r="A7" s="11" t="inlineStr">
        <is>
          <t>Azure VMs</t>
        </is>
      </c>
      <c r="B7" s="11" t="inlineStr">
        <is>
          <t>Microsoft</t>
        </is>
      </c>
      <c r="C7" s="11" t="inlineStr">
        <is>
          <t>South India</t>
        </is>
      </c>
      <c r="D7" s="11" t="inlineStr">
        <is>
          <t>USD</t>
        </is>
      </c>
      <c r="E7" s="12" t="n">
        <v>1800</v>
      </c>
      <c r="F7" s="11" t="inlineStr">
        <is>
          <t>Analytics</t>
        </is>
      </c>
      <c r="G7" s="11" t="inlineStr">
        <is>
          <t>n</t>
        </is>
      </c>
      <c r="H7" s="13">
        <f>IF(A7="","",E7*IF(D7="USD",Setup!$B$4,1))</f>
        <v/>
      </c>
      <c r="I7" s="13">
        <f>IF(A7="","",IF(D7="USD",H7*Setup!$B$5*Setup!$B$6,0))</f>
        <v/>
      </c>
      <c r="J7" s="13">
        <f>IF(A7="","",H7+I7)</f>
        <v/>
      </c>
    </row>
    <row r="8">
      <c r="A8" s="11" t="n"/>
      <c r="B8" s="11" t="n"/>
      <c r="C8" s="11" t="n"/>
      <c r="D8" s="11" t="n"/>
      <c r="E8" s="12" t="n"/>
      <c r="F8" s="11" t="n"/>
      <c r="G8" s="11" t="n"/>
      <c r="H8" s="13">
        <f>IF(A8="","",E8*IF(D8="USD",Setup!$B$4,1))</f>
        <v/>
      </c>
      <c r="I8" s="13">
        <f>IF(A8="","",IF(D8="USD",H8*Setup!$B$5*Setup!$B$6,0))</f>
        <v/>
      </c>
      <c r="J8" s="13">
        <f>IF(A8="","",H8+I8)</f>
        <v/>
      </c>
    </row>
    <row r="9">
      <c r="A9" s="11" t="n"/>
      <c r="B9" s="11" t="n"/>
      <c r="C9" s="11" t="n"/>
      <c r="D9" s="11" t="n"/>
      <c r="E9" s="12" t="n"/>
      <c r="F9" s="11" t="n"/>
      <c r="G9" s="11" t="n"/>
      <c r="H9" s="13">
        <f>IF(A9="","",E9*IF(D9="USD",Setup!$B$4,1))</f>
        <v/>
      </c>
      <c r="I9" s="13">
        <f>IF(A9="","",IF(D9="USD",H9*Setup!$B$5*Setup!$B$6,0))</f>
        <v/>
      </c>
      <c r="J9" s="13">
        <f>IF(A9="","",H9+I9)</f>
        <v/>
      </c>
    </row>
    <row r="10">
      <c r="A10" s="11" t="n"/>
      <c r="B10" s="11" t="n"/>
      <c r="C10" s="11" t="n"/>
      <c r="D10" s="11" t="n"/>
      <c r="E10" s="12" t="n"/>
      <c r="F10" s="11" t="n"/>
      <c r="G10" s="11" t="n"/>
      <c r="H10" s="13">
        <f>IF(A10="","",E10*IF(D10="USD",Setup!$B$4,1))</f>
        <v/>
      </c>
      <c r="I10" s="13">
        <f>IF(A10="","",IF(D10="USD",H10*Setup!$B$5*Setup!$B$6,0))</f>
        <v/>
      </c>
      <c r="J10" s="13">
        <f>IF(A10="","",H10+I10)</f>
        <v/>
      </c>
    </row>
    <row r="11">
      <c r="A11" s="11" t="n"/>
      <c r="B11" s="11" t="n"/>
      <c r="C11" s="11" t="n"/>
      <c r="D11" s="11" t="n"/>
      <c r="E11" s="12" t="n"/>
      <c r="F11" s="11" t="n"/>
      <c r="G11" s="11" t="n"/>
      <c r="H11" s="13">
        <f>IF(A11="","",E11*IF(D11="USD",Setup!$B$4,1))</f>
        <v/>
      </c>
      <c r="I11" s="13">
        <f>IF(A11="","",IF(D11="USD",H11*Setup!$B$5*Setup!$B$6,0))</f>
        <v/>
      </c>
      <c r="J11" s="13">
        <f>IF(A11="","",H11+I11)</f>
        <v/>
      </c>
    </row>
    <row r="12">
      <c r="A12" s="11" t="n"/>
      <c r="B12" s="11" t="n"/>
      <c r="C12" s="11" t="n"/>
      <c r="D12" s="11" t="n"/>
      <c r="E12" s="12" t="n"/>
      <c r="F12" s="11" t="n"/>
      <c r="G12" s="11" t="n"/>
      <c r="H12" s="13">
        <f>IF(A12="","",E12*IF(D12="USD",Setup!$B$4,1))</f>
        <v/>
      </c>
      <c r="I12" s="13">
        <f>IF(A12="","",IF(D12="USD",H12*Setup!$B$5*Setup!$B$6,0))</f>
        <v/>
      </c>
      <c r="J12" s="13">
        <f>IF(A12="","",H12+I12)</f>
        <v/>
      </c>
    </row>
    <row r="13">
      <c r="A13" s="11" t="n"/>
      <c r="B13" s="11" t="n"/>
      <c r="C13" s="11" t="n"/>
      <c r="D13" s="11" t="n"/>
      <c r="E13" s="12" t="n"/>
      <c r="F13" s="11" t="n"/>
      <c r="G13" s="11" t="n"/>
      <c r="H13" s="13">
        <f>IF(A13="","",E13*IF(D13="USD",Setup!$B$4,1))</f>
        <v/>
      </c>
      <c r="I13" s="13">
        <f>IF(A13="","",IF(D13="USD",H13*Setup!$B$5*Setup!$B$6,0))</f>
        <v/>
      </c>
      <c r="J13" s="13">
        <f>IF(A13="","",H13+I13)</f>
        <v/>
      </c>
    </row>
    <row r="14">
      <c r="A14" s="11" t="n"/>
      <c r="B14" s="11" t="n"/>
      <c r="C14" s="11" t="n"/>
      <c r="D14" s="11" t="n"/>
      <c r="E14" s="12" t="n"/>
      <c r="F14" s="11" t="n"/>
      <c r="G14" s="11" t="n"/>
      <c r="H14" s="13">
        <f>IF(A14="","",E14*IF(D14="USD",Setup!$B$4,1))</f>
        <v/>
      </c>
      <c r="I14" s="13">
        <f>IF(A14="","",IF(D14="USD",H14*Setup!$B$5*Setup!$B$6,0))</f>
        <v/>
      </c>
      <c r="J14" s="13">
        <f>IF(A14="","",H14+I14)</f>
        <v/>
      </c>
    </row>
    <row r="15">
      <c r="A15" s="11" t="n"/>
      <c r="B15" s="11" t="n"/>
      <c r="C15" s="11" t="n"/>
      <c r="D15" s="11" t="n"/>
      <c r="E15" s="12" t="n"/>
      <c r="F15" s="11" t="n"/>
      <c r="G15" s="11" t="n"/>
      <c r="H15" s="13">
        <f>IF(A15="","",E15*IF(D15="USD",Setup!$B$4,1))</f>
        <v/>
      </c>
      <c r="I15" s="13">
        <f>IF(A15="","",IF(D15="USD",H15*Setup!$B$5*Setup!$B$6,0))</f>
        <v/>
      </c>
      <c r="J15" s="13">
        <f>IF(A15="","",H15+I15)</f>
        <v/>
      </c>
    </row>
    <row r="16">
      <c r="A16" s="11" t="n"/>
      <c r="B16" s="11" t="n"/>
      <c r="C16" s="11" t="n"/>
      <c r="D16" s="11" t="n"/>
      <c r="E16" s="12" t="n"/>
      <c r="F16" s="11" t="n"/>
      <c r="G16" s="11" t="n"/>
      <c r="H16" s="13">
        <f>IF(A16="","",E16*IF(D16="USD",Setup!$B$4,1))</f>
        <v/>
      </c>
      <c r="I16" s="13">
        <f>IF(A16="","",IF(D16="USD",H16*Setup!$B$5*Setup!$B$6,0))</f>
        <v/>
      </c>
      <c r="J16" s="13">
        <f>IF(A16="","",H16+I16)</f>
        <v/>
      </c>
    </row>
    <row r="17">
      <c r="A17" s="11" t="n"/>
      <c r="B17" s="11" t="n"/>
      <c r="C17" s="11" t="n"/>
      <c r="D17" s="11" t="n"/>
      <c r="E17" s="12" t="n"/>
      <c r="F17" s="11" t="n"/>
      <c r="G17" s="11" t="n"/>
      <c r="H17" s="13">
        <f>IF(A17="","",E17*IF(D17="USD",Setup!$B$4,1))</f>
        <v/>
      </c>
      <c r="I17" s="13">
        <f>IF(A17="","",IF(D17="USD",H17*Setup!$B$5*Setup!$B$6,0))</f>
        <v/>
      </c>
      <c r="J17" s="13">
        <f>IF(A17="","",H17+I17)</f>
        <v/>
      </c>
    </row>
    <row r="18">
      <c r="A18" s="11" t="n"/>
      <c r="B18" s="11" t="n"/>
      <c r="C18" s="11" t="n"/>
      <c r="D18" s="11" t="n"/>
      <c r="E18" s="12" t="n"/>
      <c r="F18" s="11" t="n"/>
      <c r="G18" s="11" t="n"/>
      <c r="H18" s="13">
        <f>IF(A18="","",E18*IF(D18="USD",Setup!$B$4,1))</f>
        <v/>
      </c>
      <c r="I18" s="13">
        <f>IF(A18="","",IF(D18="USD",H18*Setup!$B$5*Setup!$B$6,0))</f>
        <v/>
      </c>
      <c r="J18" s="13">
        <f>IF(A18="","",H18+I18)</f>
        <v/>
      </c>
    </row>
    <row r="19">
      <c r="A19" s="11" t="n"/>
      <c r="B19" s="11" t="n"/>
      <c r="C19" s="11" t="n"/>
      <c r="D19" s="11" t="n"/>
      <c r="E19" s="12" t="n"/>
      <c r="F19" s="11" t="n"/>
      <c r="G19" s="11" t="n"/>
      <c r="H19" s="13">
        <f>IF(A19="","",E19*IF(D19="USD",Setup!$B$4,1))</f>
        <v/>
      </c>
      <c r="I19" s="13">
        <f>IF(A19="","",IF(D19="USD",H19*Setup!$B$5*Setup!$B$6,0))</f>
        <v/>
      </c>
      <c r="J19" s="13">
        <f>IF(A19="","",H19+I19)</f>
        <v/>
      </c>
    </row>
    <row r="20">
      <c r="A20" s="11" t="n"/>
      <c r="B20" s="11" t="n"/>
      <c r="C20" s="11" t="n"/>
      <c r="D20" s="11" t="n"/>
      <c r="E20" s="12" t="n"/>
      <c r="F20" s="11" t="n"/>
      <c r="G20" s="11" t="n"/>
      <c r="H20" s="13">
        <f>IF(A20="","",E20*IF(D20="USD",Setup!$B$4,1))</f>
        <v/>
      </c>
      <c r="I20" s="13">
        <f>IF(A20="","",IF(D20="USD",H20*Setup!$B$5*Setup!$B$6,0))</f>
        <v/>
      </c>
      <c r="J20" s="13">
        <f>IF(A20="","",H20+I20)</f>
        <v/>
      </c>
    </row>
    <row r="21">
      <c r="A21" s="11" t="n"/>
      <c r="B21" s="11" t="n"/>
      <c r="C21" s="11" t="n"/>
      <c r="D21" s="11" t="n"/>
      <c r="E21" s="12" t="n"/>
      <c r="F21" s="11" t="n"/>
      <c r="G21" s="11" t="n"/>
      <c r="H21" s="13">
        <f>IF(A21="","",E21*IF(D21="USD",Setup!$B$4,1))</f>
        <v/>
      </c>
      <c r="I21" s="13">
        <f>IF(A21="","",IF(D21="USD",H21*Setup!$B$5*Setup!$B$6,0))</f>
        <v/>
      </c>
      <c r="J21" s="13">
        <f>IF(A21="","",H21+I21)</f>
        <v/>
      </c>
    </row>
    <row r="22">
      <c r="A22" s="11" t="n"/>
      <c r="B22" s="11" t="n"/>
      <c r="C22" s="11" t="n"/>
      <c r="D22" s="11" t="n"/>
      <c r="E22" s="12" t="n"/>
      <c r="F22" s="11" t="n"/>
      <c r="G22" s="11" t="n"/>
      <c r="H22" s="13">
        <f>IF(A22="","",E22*IF(D22="USD",Setup!$B$4,1))</f>
        <v/>
      </c>
      <c r="I22" s="13">
        <f>IF(A22="","",IF(D22="USD",H22*Setup!$B$5*Setup!$B$6,0))</f>
        <v/>
      </c>
      <c r="J22" s="13">
        <f>IF(A22="","",H22+I22)</f>
        <v/>
      </c>
    </row>
    <row r="23">
      <c r="A23" s="11" t="n"/>
      <c r="B23" s="11" t="n"/>
      <c r="C23" s="11" t="n"/>
      <c r="D23" s="11" t="n"/>
      <c r="E23" s="12" t="n"/>
      <c r="F23" s="11" t="n"/>
      <c r="G23" s="11" t="n"/>
      <c r="H23" s="13">
        <f>IF(A23="","",E23*IF(D23="USD",Setup!$B$4,1))</f>
        <v/>
      </c>
      <c r="I23" s="13">
        <f>IF(A23="","",IF(D23="USD",H23*Setup!$B$5*Setup!$B$6,0))</f>
        <v/>
      </c>
      <c r="J23" s="13">
        <f>IF(A23="","",H23+I23)</f>
        <v/>
      </c>
    </row>
    <row r="24">
      <c r="A24" s="11" t="n"/>
      <c r="B24" s="11" t="n"/>
      <c r="C24" s="11" t="n"/>
      <c r="D24" s="11" t="n"/>
      <c r="E24" s="12" t="n"/>
      <c r="F24" s="11" t="n"/>
      <c r="G24" s="11" t="n"/>
      <c r="H24" s="13">
        <f>IF(A24="","",E24*IF(D24="USD",Setup!$B$4,1))</f>
        <v/>
      </c>
      <c r="I24" s="13">
        <f>IF(A24="","",IF(D24="USD",H24*Setup!$B$5*Setup!$B$6,0))</f>
        <v/>
      </c>
      <c r="J24" s="13">
        <f>IF(A24="","",H24+I24)</f>
        <v/>
      </c>
    </row>
    <row r="25">
      <c r="A25" s="11" t="n"/>
      <c r="B25" s="11" t="n"/>
      <c r="C25" s="11" t="n"/>
      <c r="D25" s="11" t="n"/>
      <c r="E25" s="12" t="n"/>
      <c r="F25" s="11" t="n"/>
      <c r="G25" s="11" t="n"/>
      <c r="H25" s="13">
        <f>IF(A25="","",E25*IF(D25="USD",Setup!$B$4,1))</f>
        <v/>
      </c>
      <c r="I25" s="13">
        <f>IF(A25="","",IF(D25="USD",H25*Setup!$B$5*Setup!$B$6,0))</f>
        <v/>
      </c>
      <c r="J25" s="13">
        <f>IF(A25="","",H25+I25)</f>
        <v/>
      </c>
    </row>
    <row r="26">
      <c r="A26" s="11" t="n"/>
      <c r="B26" s="11" t="n"/>
      <c r="C26" s="11" t="n"/>
      <c r="D26" s="11" t="n"/>
      <c r="E26" s="12" t="n"/>
      <c r="F26" s="11" t="n"/>
      <c r="G26" s="11" t="n"/>
      <c r="H26" s="13">
        <f>IF(A26="","",E26*IF(D26="USD",Setup!$B$4,1))</f>
        <v/>
      </c>
      <c r="I26" s="13">
        <f>IF(A26="","",IF(D26="USD",H26*Setup!$B$5*Setup!$B$6,0))</f>
        <v/>
      </c>
      <c r="J26" s="13">
        <f>IF(A26="","",H26+I26)</f>
        <v/>
      </c>
    </row>
    <row r="27">
      <c r="A27" s="11" t="n"/>
      <c r="B27" s="11" t="n"/>
      <c r="C27" s="11" t="n"/>
      <c r="D27" s="11" t="n"/>
      <c r="E27" s="12" t="n"/>
      <c r="F27" s="11" t="n"/>
      <c r="G27" s="11" t="n"/>
      <c r="H27" s="13">
        <f>IF(A27="","",E27*IF(D27="USD",Setup!$B$4,1))</f>
        <v/>
      </c>
      <c r="I27" s="13">
        <f>IF(A27="","",IF(D27="USD",H27*Setup!$B$5*Setup!$B$6,0))</f>
        <v/>
      </c>
      <c r="J27" s="13">
        <f>IF(A27="","",H27+I27)</f>
        <v/>
      </c>
    </row>
    <row r="28">
      <c r="A28" s="11" t="n"/>
      <c r="B28" s="11" t="n"/>
      <c r="C28" s="11" t="n"/>
      <c r="D28" s="11" t="n"/>
      <c r="E28" s="12" t="n"/>
      <c r="F28" s="11" t="n"/>
      <c r="G28" s="11" t="n"/>
      <c r="H28" s="13">
        <f>IF(A28="","",E28*IF(D28="USD",Setup!$B$4,1))</f>
        <v/>
      </c>
      <c r="I28" s="13">
        <f>IF(A28="","",IF(D28="USD",H28*Setup!$B$5*Setup!$B$6,0))</f>
        <v/>
      </c>
      <c r="J28" s="13">
        <f>IF(A28="","",H28+I28)</f>
        <v/>
      </c>
    </row>
    <row r="29">
      <c r="A29" s="11" t="n"/>
      <c r="B29" s="11" t="n"/>
      <c r="C29" s="11" t="n"/>
      <c r="D29" s="11" t="n"/>
      <c r="E29" s="12" t="n"/>
      <c r="F29" s="11" t="n"/>
      <c r="G29" s="11" t="n"/>
      <c r="H29" s="13">
        <f>IF(A29="","",E29*IF(D29="USD",Setup!$B$4,1))</f>
        <v/>
      </c>
      <c r="I29" s="13">
        <f>IF(A29="","",IF(D29="USD",H29*Setup!$B$5*Setup!$B$6,0))</f>
        <v/>
      </c>
      <c r="J29" s="13">
        <f>IF(A29="","",H29+I29)</f>
        <v/>
      </c>
    </row>
    <row r="30">
      <c r="A30" s="11" t="n"/>
      <c r="B30" s="11" t="n"/>
      <c r="C30" s="11" t="n"/>
      <c r="D30" s="11" t="n"/>
      <c r="E30" s="12" t="n"/>
      <c r="F30" s="11" t="n"/>
      <c r="G30" s="11" t="n"/>
      <c r="H30" s="13">
        <f>IF(A30="","",E30*IF(D30="USD",Setup!$B$4,1))</f>
        <v/>
      </c>
      <c r="I30" s="13">
        <f>IF(A30="","",IF(D30="USD",H30*Setup!$B$5*Setup!$B$6,0))</f>
        <v/>
      </c>
      <c r="J30" s="13">
        <f>IF(A30="","",H30+I30)</f>
        <v/>
      </c>
    </row>
    <row r="31">
      <c r="A31" s="11" t="n"/>
      <c r="B31" s="11" t="n"/>
      <c r="C31" s="11" t="n"/>
      <c r="D31" s="11" t="n"/>
      <c r="E31" s="12" t="n"/>
      <c r="F31" s="11" t="n"/>
      <c r="G31" s="11" t="n"/>
      <c r="H31" s="13">
        <f>IF(A31="","",E31*IF(D31="USD",Setup!$B$4,1))</f>
        <v/>
      </c>
      <c r="I31" s="13">
        <f>IF(A31="","",IF(D31="USD",H31*Setup!$B$5*Setup!$B$6,0))</f>
        <v/>
      </c>
      <c r="J31" s="13">
        <f>IF(A31="","",H31+I31)</f>
        <v/>
      </c>
    </row>
    <row r="32">
      <c r="A32" s="11" t="n"/>
      <c r="B32" s="11" t="n"/>
      <c r="C32" s="11" t="n"/>
      <c r="D32" s="11" t="n"/>
      <c r="E32" s="12" t="n"/>
      <c r="F32" s="11" t="n"/>
      <c r="G32" s="11" t="n"/>
      <c r="H32" s="13">
        <f>IF(A32="","",E32*IF(D32="USD",Setup!$B$4,1))</f>
        <v/>
      </c>
      <c r="I32" s="13">
        <f>IF(A32="","",IF(D32="USD",H32*Setup!$B$5*Setup!$B$6,0))</f>
        <v/>
      </c>
      <c r="J32" s="13">
        <f>IF(A32="","",H32+I32)</f>
        <v/>
      </c>
    </row>
    <row r="33">
      <c r="A33" s="11" t="n"/>
      <c r="B33" s="11" t="n"/>
      <c r="C33" s="11" t="n"/>
      <c r="D33" s="11" t="n"/>
      <c r="E33" s="12" t="n"/>
      <c r="F33" s="11" t="n"/>
      <c r="G33" s="11" t="n"/>
      <c r="H33" s="13">
        <f>IF(A33="","",E33*IF(D33="USD",Setup!$B$4,1))</f>
        <v/>
      </c>
      <c r="I33" s="13">
        <f>IF(A33="","",IF(D33="USD",H33*Setup!$B$5*Setup!$B$6,0))</f>
        <v/>
      </c>
      <c r="J33" s="13">
        <f>IF(A33="","",H33+I33)</f>
        <v/>
      </c>
    </row>
    <row r="34">
      <c r="A34" s="11" t="n"/>
      <c r="B34" s="11" t="n"/>
      <c r="C34" s="11" t="n"/>
      <c r="D34" s="11" t="n"/>
      <c r="E34" s="12" t="n"/>
      <c r="F34" s="11" t="n"/>
      <c r="G34" s="11" t="n"/>
      <c r="H34" s="13">
        <f>IF(A34="","",E34*IF(D34="USD",Setup!$B$4,1))</f>
        <v/>
      </c>
      <c r="I34" s="13">
        <f>IF(A34="","",IF(D34="USD",H34*Setup!$B$5*Setup!$B$6,0))</f>
        <v/>
      </c>
      <c r="J34" s="13">
        <f>IF(A34="","",H34+I34)</f>
        <v/>
      </c>
    </row>
    <row r="35">
      <c r="A35" s="11" t="n"/>
      <c r="B35" s="11" t="n"/>
      <c r="C35" s="11" t="n"/>
      <c r="D35" s="11" t="n"/>
      <c r="E35" s="12" t="n"/>
      <c r="F35" s="11" t="n"/>
      <c r="G35" s="11" t="n"/>
      <c r="H35" s="13">
        <f>IF(A35="","",E35*IF(D35="USD",Setup!$B$4,1))</f>
        <v/>
      </c>
      <c r="I35" s="13">
        <f>IF(A35="","",IF(D35="USD",H35*Setup!$B$5*Setup!$B$6,0))</f>
        <v/>
      </c>
      <c r="J35" s="13">
        <f>IF(A35="","",H35+I35)</f>
        <v/>
      </c>
    </row>
    <row r="36">
      <c r="A36" s="11" t="n"/>
      <c r="B36" s="11" t="n"/>
      <c r="C36" s="11" t="n"/>
      <c r="D36" s="11" t="n"/>
      <c r="E36" s="12" t="n"/>
      <c r="F36" s="11" t="n"/>
      <c r="G36" s="11" t="n"/>
      <c r="H36" s="13">
        <f>IF(A36="","",E36*IF(D36="USD",Setup!$B$4,1))</f>
        <v/>
      </c>
      <c r="I36" s="13">
        <f>IF(A36="","",IF(D36="USD",H36*Setup!$B$5*Setup!$B$6,0))</f>
        <v/>
      </c>
      <c r="J36" s="13">
        <f>IF(A36="","",H36+I36)</f>
        <v/>
      </c>
    </row>
    <row r="37">
      <c r="A37" s="11" t="n"/>
      <c r="B37" s="11" t="n"/>
      <c r="C37" s="11" t="n"/>
      <c r="D37" s="11" t="n"/>
      <c r="E37" s="12" t="n"/>
      <c r="F37" s="11" t="n"/>
      <c r="G37" s="11" t="n"/>
      <c r="H37" s="13">
        <f>IF(A37="","",E37*IF(D37="USD",Setup!$B$4,1))</f>
        <v/>
      </c>
      <c r="I37" s="13">
        <f>IF(A37="","",IF(D37="USD",H37*Setup!$B$5*Setup!$B$6,0))</f>
        <v/>
      </c>
      <c r="J37" s="13">
        <f>IF(A37="","",H37+I37)</f>
        <v/>
      </c>
    </row>
    <row r="38">
      <c r="A38" s="11" t="n"/>
      <c r="B38" s="11" t="n"/>
      <c r="C38" s="11" t="n"/>
      <c r="D38" s="11" t="n"/>
      <c r="E38" s="12" t="n"/>
      <c r="F38" s="11" t="n"/>
      <c r="G38" s="11" t="n"/>
      <c r="H38" s="13">
        <f>IF(A38="","",E38*IF(D38="USD",Setup!$B$4,1))</f>
        <v/>
      </c>
      <c r="I38" s="13">
        <f>IF(A38="","",IF(D38="USD",H38*Setup!$B$5*Setup!$B$6,0))</f>
        <v/>
      </c>
      <c r="J38" s="13">
        <f>IF(A38="","",H38+I38)</f>
        <v/>
      </c>
    </row>
    <row r="39">
      <c r="A39" s="11" t="n"/>
      <c r="B39" s="11" t="n"/>
      <c r="C39" s="11" t="n"/>
      <c r="D39" s="11" t="n"/>
      <c r="E39" s="12" t="n"/>
      <c r="F39" s="11" t="n"/>
      <c r="G39" s="11" t="n"/>
      <c r="H39" s="13">
        <f>IF(A39="","",E39*IF(D39="USD",Setup!$B$4,1))</f>
        <v/>
      </c>
      <c r="I39" s="13">
        <f>IF(A39="","",IF(D39="USD",H39*Setup!$B$5*Setup!$B$6,0))</f>
        <v/>
      </c>
      <c r="J39" s="13">
        <f>IF(A39="","",H39+I39)</f>
        <v/>
      </c>
    </row>
    <row r="40">
      <c r="A40" s="11" t="n"/>
      <c r="B40" s="11" t="n"/>
      <c r="C40" s="11" t="n"/>
      <c r="D40" s="11" t="n"/>
      <c r="E40" s="12" t="n"/>
      <c r="F40" s="11" t="n"/>
      <c r="G40" s="11" t="n"/>
      <c r="H40" s="13">
        <f>IF(A40="","",E40*IF(D40="USD",Setup!$B$4,1))</f>
        <v/>
      </c>
      <c r="I40" s="13">
        <f>IF(A40="","",IF(D40="USD",H40*Setup!$B$5*Setup!$B$6,0))</f>
        <v/>
      </c>
      <c r="J40" s="13">
        <f>IF(A40="","",H40+I40)</f>
        <v/>
      </c>
    </row>
    <row r="41">
      <c r="A41" s="11" t="n"/>
      <c r="B41" s="11" t="n"/>
      <c r="C41" s="11" t="n"/>
      <c r="D41" s="11" t="n"/>
      <c r="E41" s="12" t="n"/>
      <c r="F41" s="11" t="n"/>
      <c r="G41" s="11" t="n"/>
      <c r="H41" s="13">
        <f>IF(A41="","",E41*IF(D41="USD",Setup!$B$4,1))</f>
        <v/>
      </c>
      <c r="I41" s="13">
        <f>IF(A41="","",IF(D41="USD",H41*Setup!$B$5*Setup!$B$6,0))</f>
        <v/>
      </c>
      <c r="J41" s="13">
        <f>IF(A41="","",H41+I41)</f>
        <v/>
      </c>
    </row>
    <row r="42">
      <c r="A42" s="11" t="n"/>
      <c r="B42" s="11" t="n"/>
      <c r="C42" s="11" t="n"/>
      <c r="D42" s="11" t="n"/>
      <c r="E42" s="12" t="n"/>
      <c r="F42" s="11" t="n"/>
      <c r="G42" s="11" t="n"/>
      <c r="H42" s="13">
        <f>IF(A42="","",E42*IF(D42="USD",Setup!$B$4,1))</f>
        <v/>
      </c>
      <c r="I42" s="13">
        <f>IF(A42="","",IF(D42="USD",H42*Setup!$B$5*Setup!$B$6,0))</f>
        <v/>
      </c>
      <c r="J42" s="13">
        <f>IF(A42="","",H42+I42)</f>
        <v/>
      </c>
    </row>
    <row r="43">
      <c r="A43" s="11" t="n"/>
      <c r="B43" s="11" t="n"/>
      <c r="C43" s="11" t="n"/>
      <c r="D43" s="11" t="n"/>
      <c r="E43" s="12" t="n"/>
      <c r="F43" s="11" t="n"/>
      <c r="G43" s="11" t="n"/>
      <c r="H43" s="13">
        <f>IF(A43="","",E43*IF(D43="USD",Setup!$B$4,1))</f>
        <v/>
      </c>
      <c r="I43" s="13">
        <f>IF(A43="","",IF(D43="USD",H43*Setup!$B$5*Setup!$B$6,0))</f>
        <v/>
      </c>
      <c r="J43" s="13">
        <f>IF(A43="","",H43+I43)</f>
        <v/>
      </c>
    </row>
    <row r="44">
      <c r="A44" s="11" t="n"/>
      <c r="B44" s="11" t="n"/>
      <c r="C44" s="11" t="n"/>
      <c r="D44" s="11" t="n"/>
      <c r="E44" s="12" t="n"/>
      <c r="F44" s="11" t="n"/>
      <c r="G44" s="11" t="n"/>
      <c r="H44" s="13">
        <f>IF(A44="","",E44*IF(D44="USD",Setup!$B$4,1))</f>
        <v/>
      </c>
      <c r="I44" s="13">
        <f>IF(A44="","",IF(D44="USD",H44*Setup!$B$5*Setup!$B$6,0))</f>
        <v/>
      </c>
      <c r="J44" s="13">
        <f>IF(A44="","",H44+I44)</f>
        <v/>
      </c>
    </row>
    <row r="45">
      <c r="A45" s="11" t="n"/>
      <c r="B45" s="11" t="n"/>
      <c r="C45" s="11" t="n"/>
      <c r="D45" s="11" t="n"/>
      <c r="E45" s="12" t="n"/>
      <c r="F45" s="11" t="n"/>
      <c r="G45" s="11" t="n"/>
      <c r="H45" s="13">
        <f>IF(A45="","",E45*IF(D45="USD",Setup!$B$4,1))</f>
        <v/>
      </c>
      <c r="I45" s="13">
        <f>IF(A45="","",IF(D45="USD",H45*Setup!$B$5*Setup!$B$6,0))</f>
        <v/>
      </c>
      <c r="J45" s="13">
        <f>IF(A45="","",H45+I45)</f>
        <v/>
      </c>
    </row>
    <row r="46">
      <c r="A46" s="11" t="n"/>
      <c r="B46" s="11" t="n"/>
      <c r="C46" s="11" t="n"/>
      <c r="D46" s="11" t="n"/>
      <c r="E46" s="12" t="n"/>
      <c r="F46" s="11" t="n"/>
      <c r="G46" s="11" t="n"/>
      <c r="H46" s="13">
        <f>IF(A46="","",E46*IF(D46="USD",Setup!$B$4,1))</f>
        <v/>
      </c>
      <c r="I46" s="13">
        <f>IF(A46="","",IF(D46="USD",H46*Setup!$B$5*Setup!$B$6,0))</f>
        <v/>
      </c>
      <c r="J46" s="13">
        <f>IF(A46="","",H46+I46)</f>
        <v/>
      </c>
    </row>
    <row r="47">
      <c r="A47" s="11" t="n"/>
      <c r="B47" s="11" t="n"/>
      <c r="C47" s="11" t="n"/>
      <c r="D47" s="11" t="n"/>
      <c r="E47" s="12" t="n"/>
      <c r="F47" s="11" t="n"/>
      <c r="G47" s="11" t="n"/>
      <c r="H47" s="13">
        <f>IF(A47="","",E47*IF(D47="USD",Setup!$B$4,1))</f>
        <v/>
      </c>
      <c r="I47" s="13">
        <f>IF(A47="","",IF(D47="USD",H47*Setup!$B$5*Setup!$B$6,0))</f>
        <v/>
      </c>
      <c r="J47" s="13">
        <f>IF(A47="","",H47+I47)</f>
        <v/>
      </c>
    </row>
    <row r="48">
      <c r="A48" s="11" t="n"/>
      <c r="B48" s="11" t="n"/>
      <c r="C48" s="11" t="n"/>
      <c r="D48" s="11" t="n"/>
      <c r="E48" s="12" t="n"/>
      <c r="F48" s="11" t="n"/>
      <c r="G48" s="11" t="n"/>
      <c r="H48" s="13">
        <f>IF(A48="","",E48*IF(D48="USD",Setup!$B$4,1))</f>
        <v/>
      </c>
      <c r="I48" s="13">
        <f>IF(A48="","",IF(D48="USD",H48*Setup!$B$5*Setup!$B$6,0))</f>
        <v/>
      </c>
      <c r="J48" s="13">
        <f>IF(A48="","",H48+I48)</f>
        <v/>
      </c>
    </row>
    <row r="49">
      <c r="A49" s="11" t="n"/>
      <c r="B49" s="11" t="n"/>
      <c r="C49" s="11" t="n"/>
      <c r="D49" s="11" t="n"/>
      <c r="E49" s="12" t="n"/>
      <c r="F49" s="11" t="n"/>
      <c r="G49" s="11" t="n"/>
      <c r="H49" s="13">
        <f>IF(A49="","",E49*IF(D49="USD",Setup!$B$4,1))</f>
        <v/>
      </c>
      <c r="I49" s="13">
        <f>IF(A49="","",IF(D49="USD",H49*Setup!$B$5*Setup!$B$6,0))</f>
        <v/>
      </c>
      <c r="J49" s="13">
        <f>IF(A49="","",H49+I49)</f>
        <v/>
      </c>
    </row>
    <row r="50">
      <c r="A50" s="11" t="n"/>
      <c r="B50" s="11" t="n"/>
      <c r="C50" s="11" t="n"/>
      <c r="D50" s="11" t="n"/>
      <c r="E50" s="12" t="n"/>
      <c r="F50" s="11" t="n"/>
      <c r="G50" s="11" t="n"/>
      <c r="H50" s="13">
        <f>IF(A50="","",E50*IF(D50="USD",Setup!$B$4,1))</f>
        <v/>
      </c>
      <c r="I50" s="13">
        <f>IF(A50="","",IF(D50="USD",H50*Setup!$B$5*Setup!$B$6,0))</f>
        <v/>
      </c>
      <c r="J50" s="13">
        <f>IF(A50="","",H50+I50)</f>
        <v/>
      </c>
    </row>
    <row r="51">
      <c r="A51" s="11" t="n"/>
      <c r="B51" s="11" t="n"/>
      <c r="C51" s="11" t="n"/>
      <c r="D51" s="11" t="n"/>
      <c r="E51" s="12" t="n"/>
      <c r="F51" s="11" t="n"/>
      <c r="G51" s="11" t="n"/>
      <c r="H51" s="13">
        <f>IF(A51="","",E51*IF(D51="USD",Setup!$B$4,1))</f>
        <v/>
      </c>
      <c r="I51" s="13">
        <f>IF(A51="","",IF(D51="USD",H51*Setup!$B$5*Setup!$B$6,0))</f>
        <v/>
      </c>
      <c r="J51" s="13">
        <f>IF(A51="","",H51+I51)</f>
        <v/>
      </c>
    </row>
    <row r="52">
      <c r="A52" s="11" t="n"/>
      <c r="B52" s="11" t="n"/>
      <c r="C52" s="11" t="n"/>
      <c r="D52" s="11" t="n"/>
      <c r="E52" s="12" t="n"/>
      <c r="F52" s="11" t="n"/>
      <c r="G52" s="11" t="n"/>
      <c r="H52" s="13">
        <f>IF(A52="","",E52*IF(D52="USD",Setup!$B$4,1))</f>
        <v/>
      </c>
      <c r="I52" s="13">
        <f>IF(A52="","",IF(D52="USD",H52*Setup!$B$5*Setup!$B$6,0))</f>
        <v/>
      </c>
      <c r="J52" s="13">
        <f>IF(A52="","",H52+I52)</f>
        <v/>
      </c>
    </row>
    <row r="53">
      <c r="A53" s="11" t="n"/>
      <c r="B53" s="11" t="n"/>
      <c r="C53" s="11" t="n"/>
      <c r="D53" s="11" t="n"/>
      <c r="E53" s="12" t="n"/>
      <c r="F53" s="11" t="n"/>
      <c r="G53" s="11" t="n"/>
      <c r="H53" s="13">
        <f>IF(A53="","",E53*IF(D53="USD",Setup!$B$4,1))</f>
        <v/>
      </c>
      <c r="I53" s="13">
        <f>IF(A53="","",IF(D53="USD",H53*Setup!$B$5*Setup!$B$6,0))</f>
        <v/>
      </c>
      <c r="J53" s="13">
        <f>IF(A53="","",H53+I53)</f>
        <v/>
      </c>
    </row>
    <row r="54">
      <c r="A54" s="11" t="n"/>
      <c r="B54" s="11" t="n"/>
      <c r="C54" s="11" t="n"/>
      <c r="D54" s="11" t="n"/>
      <c r="E54" s="12" t="n"/>
      <c r="F54" s="11" t="n"/>
      <c r="G54" s="11" t="n"/>
      <c r="H54" s="13">
        <f>IF(A54="","",E54*IF(D54="USD",Setup!$B$4,1))</f>
        <v/>
      </c>
      <c r="I54" s="13">
        <f>IF(A54="","",IF(D54="USD",H54*Setup!$B$5*Setup!$B$6,0))</f>
        <v/>
      </c>
      <c r="J54" s="13">
        <f>IF(A54="","",H54+I54)</f>
        <v/>
      </c>
    </row>
    <row r="55">
      <c r="A55" s="11" t="n"/>
      <c r="B55" s="11" t="n"/>
      <c r="C55" s="11" t="n"/>
      <c r="D55" s="11" t="n"/>
      <c r="E55" s="12" t="n"/>
      <c r="F55" s="11" t="n"/>
      <c r="G55" s="11" t="n"/>
      <c r="H55" s="13">
        <f>IF(A55="","",E55*IF(D55="USD",Setup!$B$4,1))</f>
        <v/>
      </c>
      <c r="I55" s="13">
        <f>IF(A55="","",IF(D55="USD",H55*Setup!$B$5*Setup!$B$6,0))</f>
        <v/>
      </c>
      <c r="J55" s="13">
        <f>IF(A55="","",H55+I55)</f>
        <v/>
      </c>
    </row>
    <row r="56">
      <c r="A56" s="11" t="n"/>
      <c r="B56" s="11" t="n"/>
      <c r="C56" s="11" t="n"/>
      <c r="D56" s="11" t="n"/>
      <c r="E56" s="12" t="n"/>
      <c r="F56" s="11" t="n"/>
      <c r="G56" s="11" t="n"/>
      <c r="H56" s="13">
        <f>IF(A56="","",E56*IF(D56="USD",Setup!$B$4,1))</f>
        <v/>
      </c>
      <c r="I56" s="13">
        <f>IF(A56="","",IF(D56="USD",H56*Setup!$B$5*Setup!$B$6,0))</f>
        <v/>
      </c>
      <c r="J56" s="13">
        <f>IF(A56="","",H56+I56)</f>
        <v/>
      </c>
    </row>
    <row r="57">
      <c r="A57" s="11" t="n"/>
      <c r="B57" s="11" t="n"/>
      <c r="C57" s="11" t="n"/>
      <c r="D57" s="11" t="n"/>
      <c r="E57" s="12" t="n"/>
      <c r="F57" s="11" t="n"/>
      <c r="G57" s="11" t="n"/>
      <c r="H57" s="13">
        <f>IF(A57="","",E57*IF(D57="USD",Setup!$B$4,1))</f>
        <v/>
      </c>
      <c r="I57" s="13">
        <f>IF(A57="","",IF(D57="USD",H57*Setup!$B$5*Setup!$B$6,0))</f>
        <v/>
      </c>
      <c r="J57" s="13">
        <f>IF(A57="","",H57+I57)</f>
        <v/>
      </c>
    </row>
    <row r="58">
      <c r="A58" s="11" t="n"/>
      <c r="B58" s="11" t="n"/>
      <c r="C58" s="11" t="n"/>
      <c r="D58" s="11" t="n"/>
      <c r="E58" s="12" t="n"/>
      <c r="F58" s="11" t="n"/>
      <c r="G58" s="11" t="n"/>
      <c r="H58" s="13">
        <f>IF(A58="","",E58*IF(D58="USD",Setup!$B$4,1))</f>
        <v/>
      </c>
      <c r="I58" s="13">
        <f>IF(A58="","",IF(D58="USD",H58*Setup!$B$5*Setup!$B$6,0))</f>
        <v/>
      </c>
      <c r="J58" s="13">
        <f>IF(A58="","",H58+I58)</f>
        <v/>
      </c>
    </row>
    <row r="59">
      <c r="A59" s="11" t="n"/>
      <c r="B59" s="11" t="n"/>
      <c r="C59" s="11" t="n"/>
      <c r="D59" s="11" t="n"/>
      <c r="E59" s="12" t="n"/>
      <c r="F59" s="11" t="n"/>
      <c r="G59" s="11" t="n"/>
      <c r="H59" s="13">
        <f>IF(A59="","",E59*IF(D59="USD",Setup!$B$4,1))</f>
        <v/>
      </c>
      <c r="I59" s="13">
        <f>IF(A59="","",IF(D59="USD",H59*Setup!$B$5*Setup!$B$6,0))</f>
        <v/>
      </c>
      <c r="J59" s="13">
        <f>IF(A59="","",H59+I59)</f>
        <v/>
      </c>
    </row>
    <row r="60">
      <c r="A60" s="11" t="n"/>
      <c r="B60" s="11" t="n"/>
      <c r="C60" s="11" t="n"/>
      <c r="D60" s="11" t="n"/>
      <c r="E60" s="12" t="n"/>
      <c r="F60" s="11" t="n"/>
      <c r="G60" s="11" t="n"/>
      <c r="H60" s="13">
        <f>IF(A60="","",E60*IF(D60="USD",Setup!$B$4,1))</f>
        <v/>
      </c>
      <c r="I60" s="13">
        <f>IF(A60="","",IF(D60="USD",H60*Setup!$B$5*Setup!$B$6,0))</f>
        <v/>
      </c>
      <c r="J60" s="13">
        <f>IF(A60="","",H60+I60)</f>
        <v/>
      </c>
    </row>
    <row r="61">
      <c r="A61" s="11" t="n"/>
      <c r="B61" s="11" t="n"/>
      <c r="C61" s="11" t="n"/>
      <c r="D61" s="11" t="n"/>
      <c r="E61" s="12" t="n"/>
      <c r="F61" s="11" t="n"/>
      <c r="G61" s="11" t="n"/>
      <c r="H61" s="13">
        <f>IF(A61="","",E61*IF(D61="USD",Setup!$B$4,1))</f>
        <v/>
      </c>
      <c r="I61" s="13">
        <f>IF(A61="","",IF(D61="USD",H61*Setup!$B$5*Setup!$B$6,0))</f>
        <v/>
      </c>
      <c r="J61" s="13">
        <f>IF(A61="","",H61+I61)</f>
        <v/>
      </c>
    </row>
    <row r="62">
      <c r="A62" s="11" t="n"/>
      <c r="B62" s="11" t="n"/>
      <c r="C62" s="11" t="n"/>
      <c r="D62" s="11" t="n"/>
      <c r="E62" s="12" t="n"/>
      <c r="F62" s="11" t="n"/>
      <c r="G62" s="11" t="n"/>
      <c r="H62" s="13">
        <f>IF(A62="","",E62*IF(D62="USD",Setup!$B$4,1))</f>
        <v/>
      </c>
      <c r="I62" s="13">
        <f>IF(A62="","",IF(D62="USD",H62*Setup!$B$5*Setup!$B$6,0))</f>
        <v/>
      </c>
      <c r="J62" s="13">
        <f>IF(A62="","",H62+I62)</f>
        <v/>
      </c>
    </row>
    <row r="63">
      <c r="A63" s="11" t="n"/>
      <c r="B63" s="11" t="n"/>
      <c r="C63" s="11" t="n"/>
      <c r="D63" s="11" t="n"/>
      <c r="E63" s="12" t="n"/>
      <c r="F63" s="11" t="n"/>
      <c r="G63" s="11" t="n"/>
      <c r="H63" s="13">
        <f>IF(A63="","",E63*IF(D63="USD",Setup!$B$4,1))</f>
        <v/>
      </c>
      <c r="I63" s="13">
        <f>IF(A63="","",IF(D63="USD",H63*Setup!$B$5*Setup!$B$6,0))</f>
        <v/>
      </c>
      <c r="J63" s="13">
        <f>IF(A63="","",H63+I63)</f>
        <v/>
      </c>
    </row>
    <row r="64">
      <c r="A64" s="11" t="n"/>
      <c r="B64" s="11" t="n"/>
      <c r="C64" s="11" t="n"/>
      <c r="D64" s="11" t="n"/>
      <c r="E64" s="12" t="n"/>
      <c r="F64" s="11" t="n"/>
      <c r="G64" s="11" t="n"/>
      <c r="H64" s="13">
        <f>IF(A64="","",E64*IF(D64="USD",Setup!$B$4,1))</f>
        <v/>
      </c>
      <c r="I64" s="13">
        <f>IF(A64="","",IF(D64="USD",H64*Setup!$B$5*Setup!$B$6,0))</f>
        <v/>
      </c>
      <c r="J64" s="13">
        <f>IF(A64="","",H64+I64)</f>
        <v/>
      </c>
    </row>
    <row r="65">
      <c r="A65" s="11" t="n"/>
      <c r="B65" s="11" t="n"/>
      <c r="C65" s="11" t="n"/>
      <c r="D65" s="11" t="n"/>
      <c r="E65" s="12" t="n"/>
      <c r="F65" s="11" t="n"/>
      <c r="G65" s="11" t="n"/>
      <c r="H65" s="13">
        <f>IF(A65="","",E65*IF(D65="USD",Setup!$B$4,1))</f>
        <v/>
      </c>
      <c r="I65" s="13">
        <f>IF(A65="","",IF(D65="USD",H65*Setup!$B$5*Setup!$B$6,0))</f>
        <v/>
      </c>
      <c r="J65" s="13">
        <f>IF(A65="","",H65+I65)</f>
        <v/>
      </c>
    </row>
    <row r="66">
      <c r="A66" s="11" t="n"/>
      <c r="B66" s="11" t="n"/>
      <c r="C66" s="11" t="n"/>
      <c r="D66" s="11" t="n"/>
      <c r="E66" s="12" t="n"/>
      <c r="F66" s="11" t="n"/>
      <c r="G66" s="11" t="n"/>
      <c r="H66" s="13">
        <f>IF(A66="","",E66*IF(D66="USD",Setup!$B$4,1))</f>
        <v/>
      </c>
      <c r="I66" s="13">
        <f>IF(A66="","",IF(D66="USD",H66*Setup!$B$5*Setup!$B$6,0))</f>
        <v/>
      </c>
      <c r="J66" s="13">
        <f>IF(A66="","",H66+I66)</f>
        <v/>
      </c>
    </row>
    <row r="67">
      <c r="A67" s="11" t="n"/>
      <c r="B67" s="11" t="n"/>
      <c r="C67" s="11" t="n"/>
      <c r="D67" s="11" t="n"/>
      <c r="E67" s="12" t="n"/>
      <c r="F67" s="11" t="n"/>
      <c r="G67" s="11" t="n"/>
      <c r="H67" s="13">
        <f>IF(A67="","",E67*IF(D67="USD",Setup!$B$4,1))</f>
        <v/>
      </c>
      <c r="I67" s="13">
        <f>IF(A67="","",IF(D67="USD",H67*Setup!$B$5*Setup!$B$6,0))</f>
        <v/>
      </c>
      <c r="J67" s="13">
        <f>IF(A67="","",H67+I67)</f>
        <v/>
      </c>
    </row>
    <row r="68">
      <c r="A68" s="11" t="n"/>
      <c r="B68" s="11" t="n"/>
      <c r="C68" s="11" t="n"/>
      <c r="D68" s="11" t="n"/>
      <c r="E68" s="12" t="n"/>
      <c r="F68" s="11" t="n"/>
      <c r="G68" s="11" t="n"/>
      <c r="H68" s="13">
        <f>IF(A68="","",E68*IF(D68="USD",Setup!$B$4,1))</f>
        <v/>
      </c>
      <c r="I68" s="13">
        <f>IF(A68="","",IF(D68="USD",H68*Setup!$B$5*Setup!$B$6,0))</f>
        <v/>
      </c>
      <c r="J68" s="13">
        <f>IF(A68="","",H68+I68)</f>
        <v/>
      </c>
    </row>
    <row r="69">
      <c r="A69" s="11" t="n"/>
      <c r="B69" s="11" t="n"/>
      <c r="C69" s="11" t="n"/>
      <c r="D69" s="11" t="n"/>
      <c r="E69" s="12" t="n"/>
      <c r="F69" s="11" t="n"/>
      <c r="G69" s="11" t="n"/>
      <c r="H69" s="13">
        <f>IF(A69="","",E69*IF(D69="USD",Setup!$B$4,1))</f>
        <v/>
      </c>
      <c r="I69" s="13">
        <f>IF(A69="","",IF(D69="USD",H69*Setup!$B$5*Setup!$B$6,0))</f>
        <v/>
      </c>
      <c r="J69" s="13">
        <f>IF(A69="","",H69+I69)</f>
        <v/>
      </c>
    </row>
    <row r="70">
      <c r="A70" s="11" t="n"/>
      <c r="B70" s="11" t="n"/>
      <c r="C70" s="11" t="n"/>
      <c r="D70" s="11" t="n"/>
      <c r="E70" s="12" t="n"/>
      <c r="F70" s="11" t="n"/>
      <c r="G70" s="11" t="n"/>
      <c r="H70" s="13">
        <f>IF(A70="","",E70*IF(D70="USD",Setup!$B$4,1))</f>
        <v/>
      </c>
      <c r="I70" s="13">
        <f>IF(A70="","",IF(D70="USD",H70*Setup!$B$5*Setup!$B$6,0))</f>
        <v/>
      </c>
      <c r="J70" s="13">
        <f>IF(A70="","",H70+I70)</f>
        <v/>
      </c>
    </row>
    <row r="71">
      <c r="A71" s="11" t="n"/>
      <c r="B71" s="11" t="n"/>
      <c r="C71" s="11" t="n"/>
      <c r="D71" s="11" t="n"/>
      <c r="E71" s="12" t="n"/>
      <c r="F71" s="11" t="n"/>
      <c r="G71" s="11" t="n"/>
      <c r="H71" s="13">
        <f>IF(A71="","",E71*IF(D71="USD",Setup!$B$4,1))</f>
        <v/>
      </c>
      <c r="I71" s="13">
        <f>IF(A71="","",IF(D71="USD",H71*Setup!$B$5*Setup!$B$6,0))</f>
        <v/>
      </c>
      <c r="J71" s="13">
        <f>IF(A71="","",H71+I71)</f>
        <v/>
      </c>
    </row>
    <row r="72">
      <c r="A72" s="11" t="n"/>
      <c r="B72" s="11" t="n"/>
      <c r="C72" s="11" t="n"/>
      <c r="D72" s="11" t="n"/>
      <c r="E72" s="12" t="n"/>
      <c r="F72" s="11" t="n"/>
      <c r="G72" s="11" t="n"/>
      <c r="H72" s="13">
        <f>IF(A72="","",E72*IF(D72="USD",Setup!$B$4,1))</f>
        <v/>
      </c>
      <c r="I72" s="13">
        <f>IF(A72="","",IF(D72="USD",H72*Setup!$B$5*Setup!$B$6,0))</f>
        <v/>
      </c>
      <c r="J72" s="13">
        <f>IF(A72="","",H72+I72)</f>
        <v/>
      </c>
    </row>
    <row r="73">
      <c r="A73" s="11" t="n"/>
      <c r="B73" s="11" t="n"/>
      <c r="C73" s="11" t="n"/>
      <c r="D73" s="11" t="n"/>
      <c r="E73" s="12" t="n"/>
      <c r="F73" s="11" t="n"/>
      <c r="G73" s="11" t="n"/>
      <c r="H73" s="13">
        <f>IF(A73="","",E73*IF(D73="USD",Setup!$B$4,1))</f>
        <v/>
      </c>
      <c r="I73" s="13">
        <f>IF(A73="","",IF(D73="USD",H73*Setup!$B$5*Setup!$B$6,0))</f>
        <v/>
      </c>
      <c r="J73" s="13">
        <f>IF(A73="","",H73+I73)</f>
        <v/>
      </c>
    </row>
    <row r="74">
      <c r="A74" s="11" t="n"/>
      <c r="B74" s="11" t="n"/>
      <c r="C74" s="11" t="n"/>
      <c r="D74" s="11" t="n"/>
      <c r="E74" s="12" t="n"/>
      <c r="F74" s="11" t="n"/>
      <c r="G74" s="11" t="n"/>
      <c r="H74" s="13">
        <f>IF(A74="","",E74*IF(D74="USD",Setup!$B$4,1))</f>
        <v/>
      </c>
      <c r="I74" s="13">
        <f>IF(A74="","",IF(D74="USD",H74*Setup!$B$5*Setup!$B$6,0))</f>
        <v/>
      </c>
      <c r="J74" s="13">
        <f>IF(A74="","",H74+I74)</f>
        <v/>
      </c>
    </row>
    <row r="75">
      <c r="A75" s="11" t="n"/>
      <c r="B75" s="11" t="n"/>
      <c r="C75" s="11" t="n"/>
      <c r="D75" s="11" t="n"/>
      <c r="E75" s="12" t="n"/>
      <c r="F75" s="11" t="n"/>
      <c r="G75" s="11" t="n"/>
      <c r="H75" s="13">
        <f>IF(A75="","",E75*IF(D75="USD",Setup!$B$4,1))</f>
        <v/>
      </c>
      <c r="I75" s="13">
        <f>IF(A75="","",IF(D75="USD",H75*Setup!$B$5*Setup!$B$6,0))</f>
        <v/>
      </c>
      <c r="J75" s="13">
        <f>IF(A75="","",H75+I75)</f>
        <v/>
      </c>
    </row>
    <row r="76">
      <c r="A76" s="11" t="n"/>
      <c r="B76" s="11" t="n"/>
      <c r="C76" s="11" t="n"/>
      <c r="D76" s="11" t="n"/>
      <c r="E76" s="12" t="n"/>
      <c r="F76" s="11" t="n"/>
      <c r="G76" s="11" t="n"/>
      <c r="H76" s="13">
        <f>IF(A76="","",E76*IF(D76="USD",Setup!$B$4,1))</f>
        <v/>
      </c>
      <c r="I76" s="13">
        <f>IF(A76="","",IF(D76="USD",H76*Setup!$B$5*Setup!$B$6,0))</f>
        <v/>
      </c>
      <c r="J76" s="13">
        <f>IF(A76="","",H76+I76)</f>
        <v/>
      </c>
    </row>
    <row r="77">
      <c r="A77" s="11" t="n"/>
      <c r="B77" s="11" t="n"/>
      <c r="C77" s="11" t="n"/>
      <c r="D77" s="11" t="n"/>
      <c r="E77" s="12" t="n"/>
      <c r="F77" s="11" t="n"/>
      <c r="G77" s="11" t="n"/>
      <c r="H77" s="13">
        <f>IF(A77="","",E77*IF(D77="USD",Setup!$B$4,1))</f>
        <v/>
      </c>
      <c r="I77" s="13">
        <f>IF(A77="","",IF(D77="USD",H77*Setup!$B$5*Setup!$B$6,0))</f>
        <v/>
      </c>
      <c r="J77" s="13">
        <f>IF(A77="","",H77+I77)</f>
        <v/>
      </c>
    </row>
    <row r="78">
      <c r="A78" s="11" t="n"/>
      <c r="B78" s="11" t="n"/>
      <c r="C78" s="11" t="n"/>
      <c r="D78" s="11" t="n"/>
      <c r="E78" s="12" t="n"/>
      <c r="F78" s="11" t="n"/>
      <c r="G78" s="11" t="n"/>
      <c r="H78" s="13">
        <f>IF(A78="","",E78*IF(D78="USD",Setup!$B$4,1))</f>
        <v/>
      </c>
      <c r="I78" s="13">
        <f>IF(A78="","",IF(D78="USD",H78*Setup!$B$5*Setup!$B$6,0))</f>
        <v/>
      </c>
      <c r="J78" s="13">
        <f>IF(A78="","",H78+I78)</f>
        <v/>
      </c>
    </row>
    <row r="79">
      <c r="A79" s="11" t="n"/>
      <c r="B79" s="11" t="n"/>
      <c r="C79" s="11" t="n"/>
      <c r="D79" s="11" t="n"/>
      <c r="E79" s="12" t="n"/>
      <c r="F79" s="11" t="n"/>
      <c r="G79" s="11" t="n"/>
      <c r="H79" s="13">
        <f>IF(A79="","",E79*IF(D79="USD",Setup!$B$4,1))</f>
        <v/>
      </c>
      <c r="I79" s="13">
        <f>IF(A79="","",IF(D79="USD",H79*Setup!$B$5*Setup!$B$6,0))</f>
        <v/>
      </c>
      <c r="J79" s="13">
        <f>IF(A79="","",H79+I79)</f>
        <v/>
      </c>
    </row>
    <row r="80">
      <c r="A80" s="11" t="n"/>
      <c r="B80" s="11" t="n"/>
      <c r="C80" s="11" t="n"/>
      <c r="D80" s="11" t="n"/>
      <c r="E80" s="12" t="n"/>
      <c r="F80" s="11" t="n"/>
      <c r="G80" s="11" t="n"/>
      <c r="H80" s="13">
        <f>IF(A80="","",E80*IF(D80="USD",Setup!$B$4,1))</f>
        <v/>
      </c>
      <c r="I80" s="13">
        <f>IF(A80="","",IF(D80="USD",H80*Setup!$B$5*Setup!$B$6,0))</f>
        <v/>
      </c>
      <c r="J80" s="13">
        <f>IF(A80="","",H80+I80)</f>
        <v/>
      </c>
    </row>
    <row r="81">
      <c r="A81" s="11" t="n"/>
      <c r="B81" s="11" t="n"/>
      <c r="C81" s="11" t="n"/>
      <c r="D81" s="11" t="n"/>
      <c r="E81" s="12" t="n"/>
      <c r="F81" s="11" t="n"/>
      <c r="G81" s="11" t="n"/>
      <c r="H81" s="13">
        <f>IF(A81="","",E81*IF(D81="USD",Setup!$B$4,1))</f>
        <v/>
      </c>
      <c r="I81" s="13">
        <f>IF(A81="","",IF(D81="USD",H81*Setup!$B$5*Setup!$B$6,0))</f>
        <v/>
      </c>
      <c r="J81" s="13">
        <f>IF(A81="","",H81+I81)</f>
        <v/>
      </c>
    </row>
    <row r="82">
      <c r="A82" s="11" t="n"/>
      <c r="B82" s="11" t="n"/>
      <c r="C82" s="11" t="n"/>
      <c r="D82" s="11" t="n"/>
      <c r="E82" s="12" t="n"/>
      <c r="F82" s="11" t="n"/>
      <c r="G82" s="11" t="n"/>
      <c r="H82" s="13">
        <f>IF(A82="","",E82*IF(D82="USD",Setup!$B$4,1))</f>
        <v/>
      </c>
      <c r="I82" s="13">
        <f>IF(A82="","",IF(D82="USD",H82*Setup!$B$5*Setup!$B$6,0))</f>
        <v/>
      </c>
      <c r="J82" s="13">
        <f>IF(A82="","",H82+I82)</f>
        <v/>
      </c>
    </row>
    <row r="83">
      <c r="A83" s="11" t="n"/>
      <c r="B83" s="11" t="n"/>
      <c r="C83" s="11" t="n"/>
      <c r="D83" s="11" t="n"/>
      <c r="E83" s="12" t="n"/>
      <c r="F83" s="11" t="n"/>
      <c r="G83" s="11" t="n"/>
      <c r="H83" s="13">
        <f>IF(A83="","",E83*IF(D83="USD",Setup!$B$4,1))</f>
        <v/>
      </c>
      <c r="I83" s="13">
        <f>IF(A83="","",IF(D83="USD",H83*Setup!$B$5*Setup!$B$6,0))</f>
        <v/>
      </c>
      <c r="J83" s="13">
        <f>IF(A83="","",H83+I83)</f>
        <v/>
      </c>
    </row>
    <row r="84">
      <c r="A84" s="11" t="n"/>
      <c r="B84" s="11" t="n"/>
      <c r="C84" s="11" t="n"/>
      <c r="D84" s="11" t="n"/>
      <c r="E84" s="12" t="n"/>
      <c r="F84" s="11" t="n"/>
      <c r="G84" s="11" t="n"/>
      <c r="H84" s="13">
        <f>IF(A84="","",E84*IF(D84="USD",Setup!$B$4,1))</f>
        <v/>
      </c>
      <c r="I84" s="13">
        <f>IF(A84="","",IF(D84="USD",H84*Setup!$B$5*Setup!$B$6,0))</f>
        <v/>
      </c>
      <c r="J84" s="13">
        <f>IF(A84="","",H84+I84)</f>
        <v/>
      </c>
    </row>
    <row r="85">
      <c r="A85" s="11" t="n"/>
      <c r="B85" s="11" t="n"/>
      <c r="C85" s="11" t="n"/>
      <c r="D85" s="11" t="n"/>
      <c r="E85" s="12" t="n"/>
      <c r="F85" s="11" t="n"/>
      <c r="G85" s="11" t="n"/>
      <c r="H85" s="13">
        <f>IF(A85="","",E85*IF(D85="USD",Setup!$B$4,1))</f>
        <v/>
      </c>
      <c r="I85" s="13">
        <f>IF(A85="","",IF(D85="USD",H85*Setup!$B$5*Setup!$B$6,0))</f>
        <v/>
      </c>
      <c r="J85" s="13">
        <f>IF(A85="","",H85+I85)</f>
        <v/>
      </c>
    </row>
    <row r="86">
      <c r="A86" s="11" t="n"/>
      <c r="B86" s="11" t="n"/>
      <c r="C86" s="11" t="n"/>
      <c r="D86" s="11" t="n"/>
      <c r="E86" s="12" t="n"/>
      <c r="F86" s="11" t="n"/>
      <c r="G86" s="11" t="n"/>
      <c r="H86" s="13">
        <f>IF(A86="","",E86*IF(D86="USD",Setup!$B$4,1))</f>
        <v/>
      </c>
      <c r="I86" s="13">
        <f>IF(A86="","",IF(D86="USD",H86*Setup!$B$5*Setup!$B$6,0))</f>
        <v/>
      </c>
      <c r="J86" s="13">
        <f>IF(A86="","",H86+I86)</f>
        <v/>
      </c>
    </row>
    <row r="87">
      <c r="A87" s="11" t="n"/>
      <c r="B87" s="11" t="n"/>
      <c r="C87" s="11" t="n"/>
      <c r="D87" s="11" t="n"/>
      <c r="E87" s="12" t="n"/>
      <c r="F87" s="11" t="n"/>
      <c r="G87" s="11" t="n"/>
      <c r="H87" s="13">
        <f>IF(A87="","",E87*IF(D87="USD",Setup!$B$4,1))</f>
        <v/>
      </c>
      <c r="I87" s="13">
        <f>IF(A87="","",IF(D87="USD",H87*Setup!$B$5*Setup!$B$6,0))</f>
        <v/>
      </c>
      <c r="J87" s="13">
        <f>IF(A87="","",H87+I87)</f>
        <v/>
      </c>
    </row>
    <row r="88">
      <c r="A88" s="11" t="n"/>
      <c r="B88" s="11" t="n"/>
      <c r="C88" s="11" t="n"/>
      <c r="D88" s="11" t="n"/>
      <c r="E88" s="12" t="n"/>
      <c r="F88" s="11" t="n"/>
      <c r="G88" s="11" t="n"/>
      <c r="H88" s="13">
        <f>IF(A88="","",E88*IF(D88="USD",Setup!$B$4,1))</f>
        <v/>
      </c>
      <c r="I88" s="13">
        <f>IF(A88="","",IF(D88="USD",H88*Setup!$B$5*Setup!$B$6,0))</f>
        <v/>
      </c>
      <c r="J88" s="13">
        <f>IF(A88="","",H88+I88)</f>
        <v/>
      </c>
    </row>
    <row r="89">
      <c r="A89" s="11" t="n"/>
      <c r="B89" s="11" t="n"/>
      <c r="C89" s="11" t="n"/>
      <c r="D89" s="11" t="n"/>
      <c r="E89" s="12" t="n"/>
      <c r="F89" s="11" t="n"/>
      <c r="G89" s="11" t="n"/>
      <c r="H89" s="13">
        <f>IF(A89="","",E89*IF(D89="USD",Setup!$B$4,1))</f>
        <v/>
      </c>
      <c r="I89" s="13">
        <f>IF(A89="","",IF(D89="USD",H89*Setup!$B$5*Setup!$B$6,0))</f>
        <v/>
      </c>
      <c r="J89" s="13">
        <f>IF(A89="","",H89+I89)</f>
        <v/>
      </c>
    </row>
    <row r="90">
      <c r="A90" s="11" t="n"/>
      <c r="B90" s="11" t="n"/>
      <c r="C90" s="11" t="n"/>
      <c r="D90" s="11" t="n"/>
      <c r="E90" s="12" t="n"/>
      <c r="F90" s="11" t="n"/>
      <c r="G90" s="11" t="n"/>
      <c r="H90" s="13">
        <f>IF(A90="","",E90*IF(D90="USD",Setup!$B$4,1))</f>
        <v/>
      </c>
      <c r="I90" s="13">
        <f>IF(A90="","",IF(D90="USD",H90*Setup!$B$5*Setup!$B$6,0))</f>
        <v/>
      </c>
      <c r="J90" s="13">
        <f>IF(A90="","",H90+I90)</f>
        <v/>
      </c>
    </row>
    <row r="91">
      <c r="A91" s="11" t="n"/>
      <c r="B91" s="11" t="n"/>
      <c r="C91" s="11" t="n"/>
      <c r="D91" s="11" t="n"/>
      <c r="E91" s="12" t="n"/>
      <c r="F91" s="11" t="n"/>
      <c r="G91" s="11" t="n"/>
      <c r="H91" s="13">
        <f>IF(A91="","",E91*IF(D91="USD",Setup!$B$4,1))</f>
        <v/>
      </c>
      <c r="I91" s="13">
        <f>IF(A91="","",IF(D91="USD",H91*Setup!$B$5*Setup!$B$6,0))</f>
        <v/>
      </c>
      <c r="J91" s="13">
        <f>IF(A91="","",H91+I91)</f>
        <v/>
      </c>
    </row>
    <row r="92">
      <c r="A92" s="11" t="n"/>
      <c r="B92" s="11" t="n"/>
      <c r="C92" s="11" t="n"/>
      <c r="D92" s="11" t="n"/>
      <c r="E92" s="12" t="n"/>
      <c r="F92" s="11" t="n"/>
      <c r="G92" s="11" t="n"/>
      <c r="H92" s="13">
        <f>IF(A92="","",E92*IF(D92="USD",Setup!$B$4,1))</f>
        <v/>
      </c>
      <c r="I92" s="13">
        <f>IF(A92="","",IF(D92="USD",H92*Setup!$B$5*Setup!$B$6,0))</f>
        <v/>
      </c>
      <c r="J92" s="13">
        <f>IF(A92="","",H92+I92)</f>
        <v/>
      </c>
    </row>
    <row r="93">
      <c r="A93" s="11" t="n"/>
      <c r="B93" s="11" t="n"/>
      <c r="C93" s="11" t="n"/>
      <c r="D93" s="11" t="n"/>
      <c r="E93" s="12" t="n"/>
      <c r="F93" s="11" t="n"/>
      <c r="G93" s="11" t="n"/>
      <c r="H93" s="13">
        <f>IF(A93="","",E93*IF(D93="USD",Setup!$B$4,1))</f>
        <v/>
      </c>
      <c r="I93" s="13">
        <f>IF(A93="","",IF(D93="USD",H93*Setup!$B$5*Setup!$B$6,0))</f>
        <v/>
      </c>
      <c r="J93" s="13">
        <f>IF(A93="","",H93+I93)</f>
        <v/>
      </c>
    </row>
    <row r="94">
      <c r="A94" s="11" t="n"/>
      <c r="B94" s="11" t="n"/>
      <c r="C94" s="11" t="n"/>
      <c r="D94" s="11" t="n"/>
      <c r="E94" s="12" t="n"/>
      <c r="F94" s="11" t="n"/>
      <c r="G94" s="11" t="n"/>
      <c r="H94" s="13">
        <f>IF(A94="","",E94*IF(D94="USD",Setup!$B$4,1))</f>
        <v/>
      </c>
      <c r="I94" s="13">
        <f>IF(A94="","",IF(D94="USD",H94*Setup!$B$5*Setup!$B$6,0))</f>
        <v/>
      </c>
      <c r="J94" s="13">
        <f>IF(A94="","",H94+I94)</f>
        <v/>
      </c>
    </row>
    <row r="95">
      <c r="A95" s="11" t="n"/>
      <c r="B95" s="11" t="n"/>
      <c r="C95" s="11" t="n"/>
      <c r="D95" s="11" t="n"/>
      <c r="E95" s="12" t="n"/>
      <c r="F95" s="11" t="n"/>
      <c r="G95" s="11" t="n"/>
      <c r="H95" s="13">
        <f>IF(A95="","",E95*IF(D95="USD",Setup!$B$4,1))</f>
        <v/>
      </c>
      <c r="I95" s="13">
        <f>IF(A95="","",IF(D95="USD",H95*Setup!$B$5*Setup!$B$6,0))</f>
        <v/>
      </c>
      <c r="J95" s="13">
        <f>IF(A95="","",H95+I95)</f>
        <v/>
      </c>
    </row>
    <row r="96">
      <c r="A96" s="11" t="n"/>
      <c r="B96" s="11" t="n"/>
      <c r="C96" s="11" t="n"/>
      <c r="D96" s="11" t="n"/>
      <c r="E96" s="12" t="n"/>
      <c r="F96" s="11" t="n"/>
      <c r="G96" s="11" t="n"/>
      <c r="H96" s="13">
        <f>IF(A96="","",E96*IF(D96="USD",Setup!$B$4,1))</f>
        <v/>
      </c>
      <c r="I96" s="13">
        <f>IF(A96="","",IF(D96="USD",H96*Setup!$B$5*Setup!$B$6,0))</f>
        <v/>
      </c>
      <c r="J96" s="13">
        <f>IF(A96="","",H96+I96)</f>
        <v/>
      </c>
    </row>
    <row r="97">
      <c r="A97" s="11" t="n"/>
      <c r="B97" s="11" t="n"/>
      <c r="C97" s="11" t="n"/>
      <c r="D97" s="11" t="n"/>
      <c r="E97" s="12" t="n"/>
      <c r="F97" s="11" t="n"/>
      <c r="G97" s="11" t="n"/>
      <c r="H97" s="13">
        <f>IF(A97="","",E97*IF(D97="USD",Setup!$B$4,1))</f>
        <v/>
      </c>
      <c r="I97" s="13">
        <f>IF(A97="","",IF(D97="USD",H97*Setup!$B$5*Setup!$B$6,0))</f>
        <v/>
      </c>
      <c r="J97" s="13">
        <f>IF(A97="","",H97+I97)</f>
        <v/>
      </c>
    </row>
    <row r="98">
      <c r="A98" s="11" t="n"/>
      <c r="B98" s="11" t="n"/>
      <c r="C98" s="11" t="n"/>
      <c r="D98" s="11" t="n"/>
      <c r="E98" s="12" t="n"/>
      <c r="F98" s="11" t="n"/>
      <c r="G98" s="11" t="n"/>
      <c r="H98" s="13">
        <f>IF(A98="","",E98*IF(D98="USD",Setup!$B$4,1))</f>
        <v/>
      </c>
      <c r="I98" s="13">
        <f>IF(A98="","",IF(D98="USD",H98*Setup!$B$5*Setup!$B$6,0))</f>
        <v/>
      </c>
      <c r="J98" s="13">
        <f>IF(A98="","",H98+I98)</f>
        <v/>
      </c>
    </row>
    <row r="99">
      <c r="A99" s="11" t="n"/>
      <c r="B99" s="11" t="n"/>
      <c r="C99" s="11" t="n"/>
      <c r="D99" s="11" t="n"/>
      <c r="E99" s="12" t="n"/>
      <c r="F99" s="11" t="n"/>
      <c r="G99" s="11" t="n"/>
      <c r="H99" s="13">
        <f>IF(A99="","",E99*IF(D99="USD",Setup!$B$4,1))</f>
        <v/>
      </c>
      <c r="I99" s="13">
        <f>IF(A99="","",IF(D99="USD",H99*Setup!$B$5*Setup!$B$6,0))</f>
        <v/>
      </c>
      <c r="J99" s="13">
        <f>IF(A99="","",H99+I99)</f>
        <v/>
      </c>
    </row>
    <row r="100">
      <c r="A100" s="11" t="n"/>
      <c r="B100" s="11" t="n"/>
      <c r="C100" s="11" t="n"/>
      <c r="D100" s="11" t="n"/>
      <c r="E100" s="12" t="n"/>
      <c r="F100" s="11" t="n"/>
      <c r="G100" s="11" t="n"/>
      <c r="H100" s="13">
        <f>IF(A100="","",E100*IF(D100="USD",Setup!$B$4,1))</f>
        <v/>
      </c>
      <c r="I100" s="13">
        <f>IF(A100="","",IF(D100="USD",H100*Setup!$B$5*Setup!$B$6,0))</f>
        <v/>
      </c>
      <c r="J100" s="13">
        <f>IF(A100="","",H100+I100)</f>
        <v/>
      </c>
    </row>
    <row r="101">
      <c r="A101" s="11" t="n"/>
      <c r="B101" s="11" t="n"/>
      <c r="C101" s="11" t="n"/>
      <c r="D101" s="11" t="n"/>
      <c r="E101" s="12" t="n"/>
      <c r="F101" s="11" t="n"/>
      <c r="G101" s="11" t="n"/>
      <c r="H101" s="13">
        <f>IF(A101="","",E101*IF(D101="USD",Setup!$B$4,1))</f>
        <v/>
      </c>
      <c r="I101" s="13">
        <f>IF(A101="","",IF(D101="USD",H101*Setup!$B$5*Setup!$B$6,0))</f>
        <v/>
      </c>
      <c r="J101" s="13">
        <f>IF(A101="","",H101+I101)</f>
        <v/>
      </c>
    </row>
    <row r="102">
      <c r="A102" s="11" t="n"/>
      <c r="B102" s="11" t="n"/>
      <c r="C102" s="11" t="n"/>
      <c r="D102" s="11" t="n"/>
      <c r="E102" s="12" t="n"/>
      <c r="F102" s="11" t="n"/>
      <c r="G102" s="11" t="n"/>
      <c r="H102" s="13">
        <f>IF(A102="","",E102*IF(D102="USD",Setup!$B$4,1))</f>
        <v/>
      </c>
      <c r="I102" s="13">
        <f>IF(A102="","",IF(D102="USD",H102*Setup!$B$5*Setup!$B$6,0))</f>
        <v/>
      </c>
      <c r="J102" s="13">
        <f>IF(A102="","",H102+I102)</f>
        <v/>
      </c>
    </row>
    <row r="103">
      <c r="A103" s="11" t="n"/>
      <c r="B103" s="11" t="n"/>
      <c r="C103" s="11" t="n"/>
      <c r="D103" s="11" t="n"/>
      <c r="E103" s="12" t="n"/>
      <c r="F103" s="11" t="n"/>
      <c r="G103" s="11" t="n"/>
      <c r="H103" s="13">
        <f>IF(A103="","",E103*IF(D103="USD",Setup!$B$4,1))</f>
        <v/>
      </c>
      <c r="I103" s="13">
        <f>IF(A103="","",IF(D103="USD",H103*Setup!$B$5*Setup!$B$6,0))</f>
        <v/>
      </c>
      <c r="J103" s="13">
        <f>IF(A103="","",H103+I103)</f>
        <v/>
      </c>
    </row>
    <row r="104">
      <c r="A104" s="11" t="n"/>
      <c r="B104" s="11" t="n"/>
      <c r="C104" s="11" t="n"/>
      <c r="D104" s="11" t="n"/>
      <c r="E104" s="12" t="n"/>
      <c r="F104" s="11" t="n"/>
      <c r="G104" s="11" t="n"/>
      <c r="H104" s="13">
        <f>IF(A104="","",E104*IF(D104="USD",Setup!$B$4,1))</f>
        <v/>
      </c>
      <c r="I104" s="13">
        <f>IF(A104="","",IF(D104="USD",H104*Setup!$B$5*Setup!$B$6,0))</f>
        <v/>
      </c>
      <c r="J104" s="13">
        <f>IF(A104="","",H104+I104)</f>
        <v/>
      </c>
    </row>
    <row r="105">
      <c r="A105" s="11" t="n"/>
      <c r="B105" s="11" t="n"/>
      <c r="C105" s="11" t="n"/>
      <c r="D105" s="11" t="n"/>
      <c r="E105" s="12" t="n"/>
      <c r="F105" s="11" t="n"/>
      <c r="G105" s="11" t="n"/>
      <c r="H105" s="13">
        <f>IF(A105="","",E105*IF(D105="USD",Setup!$B$4,1))</f>
        <v/>
      </c>
      <c r="I105" s="13">
        <f>IF(A105="","",IF(D105="USD",H105*Setup!$B$5*Setup!$B$6,0))</f>
        <v/>
      </c>
      <c r="J105" s="13">
        <f>IF(A105="","",H105+I105)</f>
        <v/>
      </c>
    </row>
    <row r="106">
      <c r="A106" s="11" t="n"/>
      <c r="B106" s="11" t="n"/>
      <c r="C106" s="11" t="n"/>
      <c r="D106" s="11" t="n"/>
      <c r="E106" s="12" t="n"/>
      <c r="F106" s="11" t="n"/>
      <c r="G106" s="11" t="n"/>
      <c r="H106" s="13">
        <f>IF(A106="","",E106*IF(D106="USD",Setup!$B$4,1))</f>
        <v/>
      </c>
      <c r="I106" s="13">
        <f>IF(A106="","",IF(D106="USD",H106*Setup!$B$5*Setup!$B$6,0))</f>
        <v/>
      </c>
      <c r="J106" s="13">
        <f>IF(A106="","",H106+I106)</f>
        <v/>
      </c>
    </row>
    <row r="107">
      <c r="A107" s="11" t="n"/>
      <c r="B107" s="11" t="n"/>
      <c r="C107" s="11" t="n"/>
      <c r="D107" s="11" t="n"/>
      <c r="E107" s="12" t="n"/>
      <c r="F107" s="11" t="n"/>
      <c r="G107" s="11" t="n"/>
      <c r="H107" s="13">
        <f>IF(A107="","",E107*IF(D107="USD",Setup!$B$4,1))</f>
        <v/>
      </c>
      <c r="I107" s="13">
        <f>IF(A107="","",IF(D107="USD",H107*Setup!$B$5*Setup!$B$6,0))</f>
        <v/>
      </c>
      <c r="J107" s="13">
        <f>IF(A107="","",H107+I107)</f>
        <v/>
      </c>
    </row>
    <row r="108">
      <c r="A108" s="11" t="n"/>
      <c r="B108" s="11" t="n"/>
      <c r="C108" s="11" t="n"/>
      <c r="D108" s="11" t="n"/>
      <c r="E108" s="12" t="n"/>
      <c r="F108" s="11" t="n"/>
      <c r="G108" s="11" t="n"/>
      <c r="H108" s="13">
        <f>IF(A108="","",E108*IF(D108="USD",Setup!$B$4,1))</f>
        <v/>
      </c>
      <c r="I108" s="13">
        <f>IF(A108="","",IF(D108="USD",H108*Setup!$B$5*Setup!$B$6,0))</f>
        <v/>
      </c>
      <c r="J108" s="13">
        <f>IF(A108="","",H108+I108)</f>
        <v/>
      </c>
    </row>
    <row r="109">
      <c r="A109" s="11" t="n"/>
      <c r="B109" s="11" t="n"/>
      <c r="C109" s="11" t="n"/>
      <c r="D109" s="11" t="n"/>
      <c r="E109" s="12" t="n"/>
      <c r="F109" s="11" t="n"/>
      <c r="G109" s="11" t="n"/>
      <c r="H109" s="13">
        <f>IF(A109="","",E109*IF(D109="USD",Setup!$B$4,1))</f>
        <v/>
      </c>
      <c r="I109" s="13">
        <f>IF(A109="","",IF(D109="USD",H109*Setup!$B$5*Setup!$B$6,0))</f>
        <v/>
      </c>
      <c r="J109" s="13">
        <f>IF(A109="","",H109+I109)</f>
        <v/>
      </c>
    </row>
    <row r="110">
      <c r="A110" s="11" t="n"/>
      <c r="B110" s="11" t="n"/>
      <c r="C110" s="11" t="n"/>
      <c r="D110" s="11" t="n"/>
      <c r="E110" s="12" t="n"/>
      <c r="F110" s="11" t="n"/>
      <c r="G110" s="11" t="n"/>
      <c r="H110" s="13">
        <f>IF(A110="","",E110*IF(D110="USD",Setup!$B$4,1))</f>
        <v/>
      </c>
      <c r="I110" s="13">
        <f>IF(A110="","",IF(D110="USD",H110*Setup!$B$5*Setup!$B$6,0))</f>
        <v/>
      </c>
      <c r="J110" s="13">
        <f>IF(A110="","",H110+I110)</f>
        <v/>
      </c>
    </row>
    <row r="111">
      <c r="A111" s="11" t="n"/>
      <c r="B111" s="11" t="n"/>
      <c r="C111" s="11" t="n"/>
      <c r="D111" s="11" t="n"/>
      <c r="E111" s="12" t="n"/>
      <c r="F111" s="11" t="n"/>
      <c r="G111" s="11" t="n"/>
      <c r="H111" s="13">
        <f>IF(A111="","",E111*IF(D111="USD",Setup!$B$4,1))</f>
        <v/>
      </c>
      <c r="I111" s="13">
        <f>IF(A111="","",IF(D111="USD",H111*Setup!$B$5*Setup!$B$6,0))</f>
        <v/>
      </c>
      <c r="J111" s="13">
        <f>IF(A111="","",H111+I111)</f>
        <v/>
      </c>
    </row>
    <row r="112">
      <c r="A112" s="11" t="n"/>
      <c r="B112" s="11" t="n"/>
      <c r="C112" s="11" t="n"/>
      <c r="D112" s="11" t="n"/>
      <c r="E112" s="12" t="n"/>
      <c r="F112" s="11" t="n"/>
      <c r="G112" s="11" t="n"/>
      <c r="H112" s="13">
        <f>IF(A112="","",E112*IF(D112="USD",Setup!$B$4,1))</f>
        <v/>
      </c>
      <c r="I112" s="13">
        <f>IF(A112="","",IF(D112="USD",H112*Setup!$B$5*Setup!$B$6,0))</f>
        <v/>
      </c>
      <c r="J112" s="13">
        <f>IF(A112="","",H112+I112)</f>
        <v/>
      </c>
    </row>
    <row r="113">
      <c r="A113" s="11" t="n"/>
      <c r="B113" s="11" t="n"/>
      <c r="C113" s="11" t="n"/>
      <c r="D113" s="11" t="n"/>
      <c r="E113" s="12" t="n"/>
      <c r="F113" s="11" t="n"/>
      <c r="G113" s="11" t="n"/>
      <c r="H113" s="13">
        <f>IF(A113="","",E113*IF(D113="USD",Setup!$B$4,1))</f>
        <v/>
      </c>
      <c r="I113" s="13">
        <f>IF(A113="","",IF(D113="USD",H113*Setup!$B$5*Setup!$B$6,0))</f>
        <v/>
      </c>
      <c r="J113" s="13">
        <f>IF(A113="","",H113+I113)</f>
        <v/>
      </c>
    </row>
    <row r="114">
      <c r="A114" s="11" t="n"/>
      <c r="B114" s="11" t="n"/>
      <c r="C114" s="11" t="n"/>
      <c r="D114" s="11" t="n"/>
      <c r="E114" s="12" t="n"/>
      <c r="F114" s="11" t="n"/>
      <c r="G114" s="11" t="n"/>
      <c r="H114" s="13">
        <f>IF(A114="","",E114*IF(D114="USD",Setup!$B$4,1))</f>
        <v/>
      </c>
      <c r="I114" s="13">
        <f>IF(A114="","",IF(D114="USD",H114*Setup!$B$5*Setup!$B$6,0))</f>
        <v/>
      </c>
      <c r="J114" s="13">
        <f>IF(A114="","",H114+I114)</f>
        <v/>
      </c>
    </row>
    <row r="115">
      <c r="A115" s="11" t="n"/>
      <c r="B115" s="11" t="n"/>
      <c r="C115" s="11" t="n"/>
      <c r="D115" s="11" t="n"/>
      <c r="E115" s="12" t="n"/>
      <c r="F115" s="11" t="n"/>
      <c r="G115" s="11" t="n"/>
      <c r="H115" s="13">
        <f>IF(A115="","",E115*IF(D115="USD",Setup!$B$4,1))</f>
        <v/>
      </c>
      <c r="I115" s="13">
        <f>IF(A115="","",IF(D115="USD",H115*Setup!$B$5*Setup!$B$6,0))</f>
        <v/>
      </c>
      <c r="J115" s="13">
        <f>IF(A115="","",H115+I115)</f>
        <v/>
      </c>
    </row>
    <row r="116">
      <c r="A116" s="11" t="n"/>
      <c r="B116" s="11" t="n"/>
      <c r="C116" s="11" t="n"/>
      <c r="D116" s="11" t="n"/>
      <c r="E116" s="12" t="n"/>
      <c r="F116" s="11" t="n"/>
      <c r="G116" s="11" t="n"/>
      <c r="H116" s="13">
        <f>IF(A116="","",E116*IF(D116="USD",Setup!$B$4,1))</f>
        <v/>
      </c>
      <c r="I116" s="13">
        <f>IF(A116="","",IF(D116="USD",H116*Setup!$B$5*Setup!$B$6,0))</f>
        <v/>
      </c>
      <c r="J116" s="13">
        <f>IF(A116="","",H116+I116)</f>
        <v/>
      </c>
    </row>
    <row r="117">
      <c r="A117" s="11" t="n"/>
      <c r="B117" s="11" t="n"/>
      <c r="C117" s="11" t="n"/>
      <c r="D117" s="11" t="n"/>
      <c r="E117" s="12" t="n"/>
      <c r="F117" s="11" t="n"/>
      <c r="G117" s="11" t="n"/>
      <c r="H117" s="13">
        <f>IF(A117="","",E117*IF(D117="USD",Setup!$B$4,1))</f>
        <v/>
      </c>
      <c r="I117" s="13">
        <f>IF(A117="","",IF(D117="USD",H117*Setup!$B$5*Setup!$B$6,0))</f>
        <v/>
      </c>
      <c r="J117" s="13">
        <f>IF(A117="","",H117+I117)</f>
        <v/>
      </c>
    </row>
    <row r="118">
      <c r="A118" s="11" t="n"/>
      <c r="B118" s="11" t="n"/>
      <c r="C118" s="11" t="n"/>
      <c r="D118" s="11" t="n"/>
      <c r="E118" s="12" t="n"/>
      <c r="F118" s="11" t="n"/>
      <c r="G118" s="11" t="n"/>
      <c r="H118" s="13">
        <f>IF(A118="","",E118*IF(D118="USD",Setup!$B$4,1))</f>
        <v/>
      </c>
      <c r="I118" s="13">
        <f>IF(A118="","",IF(D118="USD",H118*Setup!$B$5*Setup!$B$6,0))</f>
        <v/>
      </c>
      <c r="J118" s="13">
        <f>IF(A118="","",H118+I118)</f>
        <v/>
      </c>
    </row>
    <row r="119">
      <c r="A119" s="11" t="n"/>
      <c r="B119" s="11" t="n"/>
      <c r="C119" s="11" t="n"/>
      <c r="D119" s="11" t="n"/>
      <c r="E119" s="12" t="n"/>
      <c r="F119" s="11" t="n"/>
      <c r="G119" s="11" t="n"/>
      <c r="H119" s="13">
        <f>IF(A119="","",E119*IF(D119="USD",Setup!$B$4,1))</f>
        <v/>
      </c>
      <c r="I119" s="13">
        <f>IF(A119="","",IF(D119="USD",H119*Setup!$B$5*Setup!$B$6,0))</f>
        <v/>
      </c>
      <c r="J119" s="13">
        <f>IF(A119="","",H119+I119)</f>
        <v/>
      </c>
    </row>
    <row r="120">
      <c r="A120" s="11" t="n"/>
      <c r="B120" s="11" t="n"/>
      <c r="C120" s="11" t="n"/>
      <c r="D120" s="11" t="n"/>
      <c r="E120" s="12" t="n"/>
      <c r="F120" s="11" t="n"/>
      <c r="G120" s="11" t="n"/>
      <c r="H120" s="13">
        <f>IF(A120="","",E120*IF(D120="USD",Setup!$B$4,1))</f>
        <v/>
      </c>
      <c r="I120" s="13">
        <f>IF(A120="","",IF(D120="USD",H120*Setup!$B$5*Setup!$B$6,0))</f>
        <v/>
      </c>
      <c r="J120" s="13">
        <f>IF(A120="","",H120+I120)</f>
        <v/>
      </c>
    </row>
    <row r="121">
      <c r="A121" s="11" t="n"/>
      <c r="B121" s="11" t="n"/>
      <c r="C121" s="11" t="n"/>
      <c r="D121" s="11" t="n"/>
      <c r="E121" s="12" t="n"/>
      <c r="F121" s="11" t="n"/>
      <c r="G121" s="11" t="n"/>
      <c r="H121" s="13">
        <f>IF(A121="","",E121*IF(D121="USD",Setup!$B$4,1))</f>
        <v/>
      </c>
      <c r="I121" s="13">
        <f>IF(A121="","",IF(D121="USD",H121*Setup!$B$5*Setup!$B$6,0))</f>
        <v/>
      </c>
      <c r="J121" s="13">
        <f>IF(A121="","",H121+I121)</f>
        <v/>
      </c>
    </row>
    <row r="122">
      <c r="A122" s="11" t="n"/>
      <c r="B122" s="11" t="n"/>
      <c r="C122" s="11" t="n"/>
      <c r="D122" s="11" t="n"/>
      <c r="E122" s="12" t="n"/>
      <c r="F122" s="11" t="n"/>
      <c r="G122" s="11" t="n"/>
      <c r="H122" s="13">
        <f>IF(A122="","",E122*IF(D122="USD",Setup!$B$4,1))</f>
        <v/>
      </c>
      <c r="I122" s="13">
        <f>IF(A122="","",IF(D122="USD",H122*Setup!$B$5*Setup!$B$6,0))</f>
        <v/>
      </c>
      <c r="J122" s="13">
        <f>IF(A122="","",H122+I122)</f>
        <v/>
      </c>
    </row>
    <row r="123">
      <c r="A123" s="11" t="n"/>
      <c r="B123" s="11" t="n"/>
      <c r="C123" s="11" t="n"/>
      <c r="D123" s="11" t="n"/>
      <c r="E123" s="12" t="n"/>
      <c r="F123" s="11" t="n"/>
      <c r="G123" s="11" t="n"/>
      <c r="H123" s="13">
        <f>IF(A123="","",E123*IF(D123="USD",Setup!$B$4,1))</f>
        <v/>
      </c>
      <c r="I123" s="13">
        <f>IF(A123="","",IF(D123="USD",H123*Setup!$B$5*Setup!$B$6,0))</f>
        <v/>
      </c>
      <c r="J123" s="13">
        <f>IF(A123="","",H123+I123)</f>
        <v/>
      </c>
    </row>
    <row r="124">
      <c r="A124" s="11" t="n"/>
      <c r="B124" s="11" t="n"/>
      <c r="C124" s="11" t="n"/>
      <c r="D124" s="11" t="n"/>
      <c r="E124" s="12" t="n"/>
      <c r="F124" s="11" t="n"/>
      <c r="G124" s="11" t="n"/>
      <c r="H124" s="13">
        <f>IF(A124="","",E124*IF(D124="USD",Setup!$B$4,1))</f>
        <v/>
      </c>
      <c r="I124" s="13">
        <f>IF(A124="","",IF(D124="USD",H124*Setup!$B$5*Setup!$B$6,0))</f>
        <v/>
      </c>
      <c r="J124" s="13">
        <f>IF(A124="","",H124+I124)</f>
        <v/>
      </c>
    </row>
    <row r="125">
      <c r="A125" s="11" t="n"/>
      <c r="B125" s="11" t="n"/>
      <c r="C125" s="11" t="n"/>
      <c r="D125" s="11" t="n"/>
      <c r="E125" s="12" t="n"/>
      <c r="F125" s="11" t="n"/>
      <c r="G125" s="11" t="n"/>
      <c r="H125" s="13">
        <f>IF(A125="","",E125*IF(D125="USD",Setup!$B$4,1))</f>
        <v/>
      </c>
      <c r="I125" s="13">
        <f>IF(A125="","",IF(D125="USD",H125*Setup!$B$5*Setup!$B$6,0))</f>
        <v/>
      </c>
      <c r="J125" s="13">
        <f>IF(A125="","",H125+I125)</f>
        <v/>
      </c>
    </row>
    <row r="126">
      <c r="A126" s="11" t="n"/>
      <c r="B126" s="11" t="n"/>
      <c r="C126" s="11" t="n"/>
      <c r="D126" s="11" t="n"/>
      <c r="E126" s="12" t="n"/>
      <c r="F126" s="11" t="n"/>
      <c r="G126" s="11" t="n"/>
      <c r="H126" s="13">
        <f>IF(A126="","",E126*IF(D126="USD",Setup!$B$4,1))</f>
        <v/>
      </c>
      <c r="I126" s="13">
        <f>IF(A126="","",IF(D126="USD",H126*Setup!$B$5*Setup!$B$6,0))</f>
        <v/>
      </c>
      <c r="J126" s="13">
        <f>IF(A126="","",H126+I126)</f>
        <v/>
      </c>
    </row>
    <row r="127">
      <c r="A127" s="11" t="n"/>
      <c r="B127" s="11" t="n"/>
      <c r="C127" s="11" t="n"/>
      <c r="D127" s="11" t="n"/>
      <c r="E127" s="12" t="n"/>
      <c r="F127" s="11" t="n"/>
      <c r="G127" s="11" t="n"/>
      <c r="H127" s="13">
        <f>IF(A127="","",E127*IF(D127="USD",Setup!$B$4,1))</f>
        <v/>
      </c>
      <c r="I127" s="13">
        <f>IF(A127="","",IF(D127="USD",H127*Setup!$B$5*Setup!$B$6,0))</f>
        <v/>
      </c>
      <c r="J127" s="13">
        <f>IF(A127="","",H127+I127)</f>
        <v/>
      </c>
    </row>
    <row r="128">
      <c r="A128" s="11" t="n"/>
      <c r="B128" s="11" t="n"/>
      <c r="C128" s="11" t="n"/>
      <c r="D128" s="11" t="n"/>
      <c r="E128" s="12" t="n"/>
      <c r="F128" s="11" t="n"/>
      <c r="G128" s="11" t="n"/>
      <c r="H128" s="13">
        <f>IF(A128="","",E128*IF(D128="USD",Setup!$B$4,1))</f>
        <v/>
      </c>
      <c r="I128" s="13">
        <f>IF(A128="","",IF(D128="USD",H128*Setup!$B$5*Setup!$B$6,0))</f>
        <v/>
      </c>
      <c r="J128" s="13">
        <f>IF(A128="","",H128+I128)</f>
        <v/>
      </c>
    </row>
    <row r="129">
      <c r="A129" s="11" t="n"/>
      <c r="B129" s="11" t="n"/>
      <c r="C129" s="11" t="n"/>
      <c r="D129" s="11" t="n"/>
      <c r="E129" s="12" t="n"/>
      <c r="F129" s="11" t="n"/>
      <c r="G129" s="11" t="n"/>
      <c r="H129" s="13">
        <f>IF(A129="","",E129*IF(D129="USD",Setup!$B$4,1))</f>
        <v/>
      </c>
      <c r="I129" s="13">
        <f>IF(A129="","",IF(D129="USD",H129*Setup!$B$5*Setup!$B$6,0))</f>
        <v/>
      </c>
      <c r="J129" s="13">
        <f>IF(A129="","",H129+I129)</f>
        <v/>
      </c>
    </row>
    <row r="130">
      <c r="A130" s="11" t="n"/>
      <c r="B130" s="11" t="n"/>
      <c r="C130" s="11" t="n"/>
      <c r="D130" s="11" t="n"/>
      <c r="E130" s="12" t="n"/>
      <c r="F130" s="11" t="n"/>
      <c r="G130" s="11" t="n"/>
      <c r="H130" s="13">
        <f>IF(A130="","",E130*IF(D130="USD",Setup!$B$4,1))</f>
        <v/>
      </c>
      <c r="I130" s="13">
        <f>IF(A130="","",IF(D130="USD",H130*Setup!$B$5*Setup!$B$6,0))</f>
        <v/>
      </c>
      <c r="J130" s="13">
        <f>IF(A130="","",H130+I130)</f>
        <v/>
      </c>
    </row>
    <row r="131">
      <c r="A131" s="11" t="n"/>
      <c r="B131" s="11" t="n"/>
      <c r="C131" s="11" t="n"/>
      <c r="D131" s="11" t="n"/>
      <c r="E131" s="12" t="n"/>
      <c r="F131" s="11" t="n"/>
      <c r="G131" s="11" t="n"/>
      <c r="H131" s="13">
        <f>IF(A131="","",E131*IF(D131="USD",Setup!$B$4,1))</f>
        <v/>
      </c>
      <c r="I131" s="13">
        <f>IF(A131="","",IF(D131="USD",H131*Setup!$B$5*Setup!$B$6,0))</f>
        <v/>
      </c>
      <c r="J131" s="13">
        <f>IF(A131="","",H131+I131)</f>
        <v/>
      </c>
    </row>
    <row r="132">
      <c r="A132" s="11" t="n"/>
      <c r="B132" s="11" t="n"/>
      <c r="C132" s="11" t="n"/>
      <c r="D132" s="11" t="n"/>
      <c r="E132" s="12" t="n"/>
      <c r="F132" s="11" t="n"/>
      <c r="G132" s="11" t="n"/>
      <c r="H132" s="13">
        <f>IF(A132="","",E132*IF(D132="USD",Setup!$B$4,1))</f>
        <v/>
      </c>
      <c r="I132" s="13">
        <f>IF(A132="","",IF(D132="USD",H132*Setup!$B$5*Setup!$B$6,0))</f>
        <v/>
      </c>
      <c r="J132" s="13">
        <f>IF(A132="","",H132+I132)</f>
        <v/>
      </c>
    </row>
    <row r="133">
      <c r="A133" s="11" t="n"/>
      <c r="B133" s="11" t="n"/>
      <c r="C133" s="11" t="n"/>
      <c r="D133" s="11" t="n"/>
      <c r="E133" s="12" t="n"/>
      <c r="F133" s="11" t="n"/>
      <c r="G133" s="11" t="n"/>
      <c r="H133" s="13">
        <f>IF(A133="","",E133*IF(D133="USD",Setup!$B$4,1))</f>
        <v/>
      </c>
      <c r="I133" s="13">
        <f>IF(A133="","",IF(D133="USD",H133*Setup!$B$5*Setup!$B$6,0))</f>
        <v/>
      </c>
      <c r="J133" s="13">
        <f>IF(A133="","",H133+I133)</f>
        <v/>
      </c>
    </row>
    <row r="134">
      <c r="A134" s="11" t="n"/>
      <c r="B134" s="11" t="n"/>
      <c r="C134" s="11" t="n"/>
      <c r="D134" s="11" t="n"/>
      <c r="E134" s="12" t="n"/>
      <c r="F134" s="11" t="n"/>
      <c r="G134" s="11" t="n"/>
      <c r="H134" s="13">
        <f>IF(A134="","",E134*IF(D134="USD",Setup!$B$4,1))</f>
        <v/>
      </c>
      <c r="I134" s="13">
        <f>IF(A134="","",IF(D134="USD",H134*Setup!$B$5*Setup!$B$6,0))</f>
        <v/>
      </c>
      <c r="J134" s="13">
        <f>IF(A134="","",H134+I134)</f>
        <v/>
      </c>
    </row>
    <row r="135">
      <c r="A135" s="11" t="n"/>
      <c r="B135" s="11" t="n"/>
      <c r="C135" s="11" t="n"/>
      <c r="D135" s="11" t="n"/>
      <c r="E135" s="12" t="n"/>
      <c r="F135" s="11" t="n"/>
      <c r="G135" s="11" t="n"/>
      <c r="H135" s="13">
        <f>IF(A135="","",E135*IF(D135="USD",Setup!$B$4,1))</f>
        <v/>
      </c>
      <c r="I135" s="13">
        <f>IF(A135="","",IF(D135="USD",H135*Setup!$B$5*Setup!$B$6,0))</f>
        <v/>
      </c>
      <c r="J135" s="13">
        <f>IF(A135="","",H135+I135)</f>
        <v/>
      </c>
    </row>
    <row r="136">
      <c r="A136" s="11" t="n"/>
      <c r="B136" s="11" t="n"/>
      <c r="C136" s="11" t="n"/>
      <c r="D136" s="11" t="n"/>
      <c r="E136" s="12" t="n"/>
      <c r="F136" s="11" t="n"/>
      <c r="G136" s="11" t="n"/>
      <c r="H136" s="13">
        <f>IF(A136="","",E136*IF(D136="USD",Setup!$B$4,1))</f>
        <v/>
      </c>
      <c r="I136" s="13">
        <f>IF(A136="","",IF(D136="USD",H136*Setup!$B$5*Setup!$B$6,0))</f>
        <v/>
      </c>
      <c r="J136" s="13">
        <f>IF(A136="","",H136+I136)</f>
        <v/>
      </c>
    </row>
    <row r="137">
      <c r="A137" s="11" t="n"/>
      <c r="B137" s="11" t="n"/>
      <c r="C137" s="11" t="n"/>
      <c r="D137" s="11" t="n"/>
      <c r="E137" s="12" t="n"/>
      <c r="F137" s="11" t="n"/>
      <c r="G137" s="11" t="n"/>
      <c r="H137" s="13">
        <f>IF(A137="","",E137*IF(D137="USD",Setup!$B$4,1))</f>
        <v/>
      </c>
      <c r="I137" s="13">
        <f>IF(A137="","",IF(D137="USD",H137*Setup!$B$5*Setup!$B$6,0))</f>
        <v/>
      </c>
      <c r="J137" s="13">
        <f>IF(A137="","",H137+I137)</f>
        <v/>
      </c>
    </row>
    <row r="138">
      <c r="A138" s="11" t="n"/>
      <c r="B138" s="11" t="n"/>
      <c r="C138" s="11" t="n"/>
      <c r="D138" s="11" t="n"/>
      <c r="E138" s="12" t="n"/>
      <c r="F138" s="11" t="n"/>
      <c r="G138" s="11" t="n"/>
      <c r="H138" s="13">
        <f>IF(A138="","",E138*IF(D138="USD",Setup!$B$4,1))</f>
        <v/>
      </c>
      <c r="I138" s="13">
        <f>IF(A138="","",IF(D138="USD",H138*Setup!$B$5*Setup!$B$6,0))</f>
        <v/>
      </c>
      <c r="J138" s="13">
        <f>IF(A138="","",H138+I138)</f>
        <v/>
      </c>
    </row>
    <row r="139">
      <c r="A139" s="11" t="n"/>
      <c r="B139" s="11" t="n"/>
      <c r="C139" s="11" t="n"/>
      <c r="D139" s="11" t="n"/>
      <c r="E139" s="12" t="n"/>
      <c r="F139" s="11" t="n"/>
      <c r="G139" s="11" t="n"/>
      <c r="H139" s="13">
        <f>IF(A139="","",E139*IF(D139="USD",Setup!$B$4,1))</f>
        <v/>
      </c>
      <c r="I139" s="13">
        <f>IF(A139="","",IF(D139="USD",H139*Setup!$B$5*Setup!$B$6,0))</f>
        <v/>
      </c>
      <c r="J139" s="13">
        <f>IF(A139="","",H139+I139)</f>
        <v/>
      </c>
    </row>
    <row r="140">
      <c r="A140" s="11" t="n"/>
      <c r="B140" s="11" t="n"/>
      <c r="C140" s="11" t="n"/>
      <c r="D140" s="11" t="n"/>
      <c r="E140" s="12" t="n"/>
      <c r="F140" s="11" t="n"/>
      <c r="G140" s="11" t="n"/>
      <c r="H140" s="13">
        <f>IF(A140="","",E140*IF(D140="USD",Setup!$B$4,1))</f>
        <v/>
      </c>
      <c r="I140" s="13">
        <f>IF(A140="","",IF(D140="USD",H140*Setup!$B$5*Setup!$B$6,0))</f>
        <v/>
      </c>
      <c r="J140" s="13">
        <f>IF(A140="","",H140+I140)</f>
        <v/>
      </c>
    </row>
    <row r="141">
      <c r="A141" s="11" t="n"/>
      <c r="B141" s="11" t="n"/>
      <c r="C141" s="11" t="n"/>
      <c r="D141" s="11" t="n"/>
      <c r="E141" s="12" t="n"/>
      <c r="F141" s="11" t="n"/>
      <c r="G141" s="11" t="n"/>
      <c r="H141" s="13">
        <f>IF(A141="","",E141*IF(D141="USD",Setup!$B$4,1))</f>
        <v/>
      </c>
      <c r="I141" s="13">
        <f>IF(A141="","",IF(D141="USD",H141*Setup!$B$5*Setup!$B$6,0))</f>
        <v/>
      </c>
      <c r="J141" s="13">
        <f>IF(A141="","",H141+I141)</f>
        <v/>
      </c>
    </row>
    <row r="142">
      <c r="A142" s="11" t="n"/>
      <c r="B142" s="11" t="n"/>
      <c r="C142" s="11" t="n"/>
      <c r="D142" s="11" t="n"/>
      <c r="E142" s="12" t="n"/>
      <c r="F142" s="11" t="n"/>
      <c r="G142" s="11" t="n"/>
      <c r="H142" s="13">
        <f>IF(A142="","",E142*IF(D142="USD",Setup!$B$4,1))</f>
        <v/>
      </c>
      <c r="I142" s="13">
        <f>IF(A142="","",IF(D142="USD",H142*Setup!$B$5*Setup!$B$6,0))</f>
        <v/>
      </c>
      <c r="J142" s="13">
        <f>IF(A142="","",H142+I142)</f>
        <v/>
      </c>
    </row>
    <row r="143">
      <c r="A143" s="11" t="n"/>
      <c r="B143" s="11" t="n"/>
      <c r="C143" s="11" t="n"/>
      <c r="D143" s="11" t="n"/>
      <c r="E143" s="12" t="n"/>
      <c r="F143" s="11" t="n"/>
      <c r="G143" s="11" t="n"/>
      <c r="H143" s="13">
        <f>IF(A143="","",E143*IF(D143="USD",Setup!$B$4,1))</f>
        <v/>
      </c>
      <c r="I143" s="13">
        <f>IF(A143="","",IF(D143="USD",H143*Setup!$B$5*Setup!$B$6,0))</f>
        <v/>
      </c>
      <c r="J143" s="13">
        <f>IF(A143="","",H143+I143)</f>
        <v/>
      </c>
    </row>
    <row r="144">
      <c r="A144" s="11" t="n"/>
      <c r="B144" s="11" t="n"/>
      <c r="C144" s="11" t="n"/>
      <c r="D144" s="11" t="n"/>
      <c r="E144" s="12" t="n"/>
      <c r="F144" s="11" t="n"/>
      <c r="G144" s="11" t="n"/>
      <c r="H144" s="13">
        <f>IF(A144="","",E144*IF(D144="USD",Setup!$B$4,1))</f>
        <v/>
      </c>
      <c r="I144" s="13">
        <f>IF(A144="","",IF(D144="USD",H144*Setup!$B$5*Setup!$B$6,0))</f>
        <v/>
      </c>
      <c r="J144" s="13">
        <f>IF(A144="","",H144+I144)</f>
        <v/>
      </c>
    </row>
    <row r="145">
      <c r="A145" s="11" t="n"/>
      <c r="B145" s="11" t="n"/>
      <c r="C145" s="11" t="n"/>
      <c r="D145" s="11" t="n"/>
      <c r="E145" s="12" t="n"/>
      <c r="F145" s="11" t="n"/>
      <c r="G145" s="11" t="n"/>
      <c r="H145" s="13">
        <f>IF(A145="","",E145*IF(D145="USD",Setup!$B$4,1))</f>
        <v/>
      </c>
      <c r="I145" s="13">
        <f>IF(A145="","",IF(D145="USD",H145*Setup!$B$5*Setup!$B$6,0))</f>
        <v/>
      </c>
      <c r="J145" s="13">
        <f>IF(A145="","",H145+I145)</f>
        <v/>
      </c>
    </row>
    <row r="146">
      <c r="A146" s="11" t="n"/>
      <c r="B146" s="11" t="n"/>
      <c r="C146" s="11" t="n"/>
      <c r="D146" s="11" t="n"/>
      <c r="E146" s="12" t="n"/>
      <c r="F146" s="11" t="n"/>
      <c r="G146" s="11" t="n"/>
      <c r="H146" s="13">
        <f>IF(A146="","",E146*IF(D146="USD",Setup!$B$4,1))</f>
        <v/>
      </c>
      <c r="I146" s="13">
        <f>IF(A146="","",IF(D146="USD",H146*Setup!$B$5*Setup!$B$6,0))</f>
        <v/>
      </c>
      <c r="J146" s="13">
        <f>IF(A146="","",H146+I146)</f>
        <v/>
      </c>
    </row>
    <row r="147">
      <c r="A147" s="11" t="n"/>
      <c r="B147" s="11" t="n"/>
      <c r="C147" s="11" t="n"/>
      <c r="D147" s="11" t="n"/>
      <c r="E147" s="12" t="n"/>
      <c r="F147" s="11" t="n"/>
      <c r="G147" s="11" t="n"/>
      <c r="H147" s="13">
        <f>IF(A147="","",E147*IF(D147="USD",Setup!$B$4,1))</f>
        <v/>
      </c>
      <c r="I147" s="13">
        <f>IF(A147="","",IF(D147="USD",H147*Setup!$B$5*Setup!$B$6,0))</f>
        <v/>
      </c>
      <c r="J147" s="13">
        <f>IF(A147="","",H147+I147)</f>
        <v/>
      </c>
    </row>
    <row r="148">
      <c r="A148" s="11" t="n"/>
      <c r="B148" s="11" t="n"/>
      <c r="C148" s="11" t="n"/>
      <c r="D148" s="11" t="n"/>
      <c r="E148" s="12" t="n"/>
      <c r="F148" s="11" t="n"/>
      <c r="G148" s="11" t="n"/>
      <c r="H148" s="13">
        <f>IF(A148="","",E148*IF(D148="USD",Setup!$B$4,1))</f>
        <v/>
      </c>
      <c r="I148" s="13">
        <f>IF(A148="","",IF(D148="USD",H148*Setup!$B$5*Setup!$B$6,0))</f>
        <v/>
      </c>
      <c r="J148" s="13">
        <f>IF(A148="","",H148+I148)</f>
        <v/>
      </c>
    </row>
    <row r="149">
      <c r="A149" s="11" t="n"/>
      <c r="B149" s="11" t="n"/>
      <c r="C149" s="11" t="n"/>
      <c r="D149" s="11" t="n"/>
      <c r="E149" s="12" t="n"/>
      <c r="F149" s="11" t="n"/>
      <c r="G149" s="11" t="n"/>
      <c r="H149" s="13">
        <f>IF(A149="","",E149*IF(D149="USD",Setup!$B$4,1))</f>
        <v/>
      </c>
      <c r="I149" s="13">
        <f>IF(A149="","",IF(D149="USD",H149*Setup!$B$5*Setup!$B$6,0))</f>
        <v/>
      </c>
      <c r="J149" s="13">
        <f>IF(A149="","",H149+I149)</f>
        <v/>
      </c>
    </row>
    <row r="150">
      <c r="A150" s="11" t="n"/>
      <c r="B150" s="11" t="n"/>
      <c r="C150" s="11" t="n"/>
      <c r="D150" s="11" t="n"/>
      <c r="E150" s="12" t="n"/>
      <c r="F150" s="11" t="n"/>
      <c r="G150" s="11" t="n"/>
      <c r="H150" s="13">
        <f>IF(A150="","",E150*IF(D150="USD",Setup!$B$4,1))</f>
        <v/>
      </c>
      <c r="I150" s="13">
        <f>IF(A150="","",IF(D150="USD",H150*Setup!$B$5*Setup!$B$6,0))</f>
        <v/>
      </c>
      <c r="J150" s="13">
        <f>IF(A150="","",H150+I150)</f>
        <v/>
      </c>
    </row>
    <row r="151">
      <c r="A151" s="11" t="n"/>
      <c r="B151" s="11" t="n"/>
      <c r="C151" s="11" t="n"/>
      <c r="D151" s="11" t="n"/>
      <c r="E151" s="12" t="n"/>
      <c r="F151" s="11" t="n"/>
      <c r="G151" s="11" t="n"/>
      <c r="H151" s="13">
        <f>IF(A151="","",E151*IF(D151="USD",Setup!$B$4,1))</f>
        <v/>
      </c>
      <c r="I151" s="13">
        <f>IF(A151="","",IF(D151="USD",H151*Setup!$B$5*Setup!$B$6,0))</f>
        <v/>
      </c>
      <c r="J151" s="13">
        <f>IF(A151="","",H151+I151)</f>
        <v/>
      </c>
    </row>
    <row r="152">
      <c r="A152" s="11" t="n"/>
      <c r="B152" s="11" t="n"/>
      <c r="C152" s="11" t="n"/>
      <c r="D152" s="11" t="n"/>
      <c r="E152" s="12" t="n"/>
      <c r="F152" s="11" t="n"/>
      <c r="G152" s="11" t="n"/>
      <c r="H152" s="13">
        <f>IF(A152="","",E152*IF(D152="USD",Setup!$B$4,1))</f>
        <v/>
      </c>
      <c r="I152" s="13">
        <f>IF(A152="","",IF(D152="USD",H152*Setup!$B$5*Setup!$B$6,0))</f>
        <v/>
      </c>
      <c r="J152" s="13">
        <f>IF(A152="","",H152+I152)</f>
        <v/>
      </c>
    </row>
    <row r="153">
      <c r="A153" s="11" t="n"/>
      <c r="B153" s="11" t="n"/>
      <c r="C153" s="11" t="n"/>
      <c r="D153" s="11" t="n"/>
      <c r="E153" s="12" t="n"/>
      <c r="F153" s="11" t="n"/>
      <c r="G153" s="11" t="n"/>
      <c r="H153" s="13">
        <f>IF(A153="","",E153*IF(D153="USD",Setup!$B$4,1))</f>
        <v/>
      </c>
      <c r="I153" s="13">
        <f>IF(A153="","",IF(D153="USD",H153*Setup!$B$5*Setup!$B$6,0))</f>
        <v/>
      </c>
      <c r="J153" s="13">
        <f>IF(A153="","",H153+I153)</f>
        <v/>
      </c>
    </row>
    <row r="154">
      <c r="A154" s="11" t="n"/>
      <c r="B154" s="11" t="n"/>
      <c r="C154" s="11" t="n"/>
      <c r="D154" s="11" t="n"/>
      <c r="E154" s="12" t="n"/>
      <c r="F154" s="11" t="n"/>
      <c r="G154" s="11" t="n"/>
      <c r="H154" s="13">
        <f>IF(A154="","",E154*IF(D154="USD",Setup!$B$4,1))</f>
        <v/>
      </c>
      <c r="I154" s="13">
        <f>IF(A154="","",IF(D154="USD",H154*Setup!$B$5*Setup!$B$6,0))</f>
        <v/>
      </c>
      <c r="J154" s="13">
        <f>IF(A154="","",H154+I154)</f>
        <v/>
      </c>
    </row>
    <row r="155">
      <c r="A155" s="11" t="n"/>
      <c r="B155" s="11" t="n"/>
      <c r="C155" s="11" t="n"/>
      <c r="D155" s="11" t="n"/>
      <c r="E155" s="12" t="n"/>
      <c r="F155" s="11" t="n"/>
      <c r="G155" s="11" t="n"/>
      <c r="H155" s="13">
        <f>IF(A155="","",E155*IF(D155="USD",Setup!$B$4,1))</f>
        <v/>
      </c>
      <c r="I155" s="13">
        <f>IF(A155="","",IF(D155="USD",H155*Setup!$B$5*Setup!$B$6,0))</f>
        <v/>
      </c>
      <c r="J155" s="13">
        <f>IF(A155="","",H155+I155)</f>
        <v/>
      </c>
    </row>
    <row r="156">
      <c r="A156" s="11" t="n"/>
      <c r="B156" s="11" t="n"/>
      <c r="C156" s="11" t="n"/>
      <c r="D156" s="11" t="n"/>
      <c r="E156" s="12" t="n"/>
      <c r="F156" s="11" t="n"/>
      <c r="G156" s="11" t="n"/>
      <c r="H156" s="13">
        <f>IF(A156="","",E156*IF(D156="USD",Setup!$B$4,1))</f>
        <v/>
      </c>
      <c r="I156" s="13">
        <f>IF(A156="","",IF(D156="USD",H156*Setup!$B$5*Setup!$B$6,0))</f>
        <v/>
      </c>
      <c r="J156" s="13">
        <f>IF(A156="","",H156+I156)</f>
        <v/>
      </c>
    </row>
    <row r="157">
      <c r="A157" s="11" t="n"/>
      <c r="B157" s="11" t="n"/>
      <c r="C157" s="11" t="n"/>
      <c r="D157" s="11" t="n"/>
      <c r="E157" s="12" t="n"/>
      <c r="F157" s="11" t="n"/>
      <c r="G157" s="11" t="n"/>
      <c r="H157" s="13">
        <f>IF(A157="","",E157*IF(D157="USD",Setup!$B$4,1))</f>
        <v/>
      </c>
      <c r="I157" s="13">
        <f>IF(A157="","",IF(D157="USD",H157*Setup!$B$5*Setup!$B$6,0))</f>
        <v/>
      </c>
      <c r="J157" s="13">
        <f>IF(A157="","",H157+I157)</f>
        <v/>
      </c>
    </row>
    <row r="158">
      <c r="A158" s="11" t="n"/>
      <c r="B158" s="11" t="n"/>
      <c r="C158" s="11" t="n"/>
      <c r="D158" s="11" t="n"/>
      <c r="E158" s="12" t="n"/>
      <c r="F158" s="11" t="n"/>
      <c r="G158" s="11" t="n"/>
      <c r="H158" s="13">
        <f>IF(A158="","",E158*IF(D158="USD",Setup!$B$4,1))</f>
        <v/>
      </c>
      <c r="I158" s="13">
        <f>IF(A158="","",IF(D158="USD",H158*Setup!$B$5*Setup!$B$6,0))</f>
        <v/>
      </c>
      <c r="J158" s="13">
        <f>IF(A158="","",H158+I158)</f>
        <v/>
      </c>
    </row>
    <row r="159">
      <c r="A159" s="11" t="n"/>
      <c r="B159" s="11" t="n"/>
      <c r="C159" s="11" t="n"/>
      <c r="D159" s="11" t="n"/>
      <c r="E159" s="12" t="n"/>
      <c r="F159" s="11" t="n"/>
      <c r="G159" s="11" t="n"/>
      <c r="H159" s="13">
        <f>IF(A159="","",E159*IF(D159="USD",Setup!$B$4,1))</f>
        <v/>
      </c>
      <c r="I159" s="13">
        <f>IF(A159="","",IF(D159="USD",H159*Setup!$B$5*Setup!$B$6,0))</f>
        <v/>
      </c>
      <c r="J159" s="13">
        <f>IF(A159="","",H159+I159)</f>
        <v/>
      </c>
    </row>
    <row r="160">
      <c r="A160" s="11" t="n"/>
      <c r="B160" s="11" t="n"/>
      <c r="C160" s="11" t="n"/>
      <c r="D160" s="11" t="n"/>
      <c r="E160" s="12" t="n"/>
      <c r="F160" s="11" t="n"/>
      <c r="G160" s="11" t="n"/>
      <c r="H160" s="13">
        <f>IF(A160="","",E160*IF(D160="USD",Setup!$B$4,1))</f>
        <v/>
      </c>
      <c r="I160" s="13">
        <f>IF(A160="","",IF(D160="USD",H160*Setup!$B$5*Setup!$B$6,0))</f>
        <v/>
      </c>
      <c r="J160" s="13">
        <f>IF(A160="","",H160+I160)</f>
        <v/>
      </c>
    </row>
    <row r="161">
      <c r="A161" s="11" t="n"/>
      <c r="B161" s="11" t="n"/>
      <c r="C161" s="11" t="n"/>
      <c r="D161" s="11" t="n"/>
      <c r="E161" s="12" t="n"/>
      <c r="F161" s="11" t="n"/>
      <c r="G161" s="11" t="n"/>
      <c r="H161" s="13">
        <f>IF(A161="","",E161*IF(D161="USD",Setup!$B$4,1))</f>
        <v/>
      </c>
      <c r="I161" s="13">
        <f>IF(A161="","",IF(D161="USD",H161*Setup!$B$5*Setup!$B$6,0))</f>
        <v/>
      </c>
      <c r="J161" s="13">
        <f>IF(A161="","",H161+I161)</f>
        <v/>
      </c>
    </row>
    <row r="162">
      <c r="A162" s="11" t="n"/>
      <c r="B162" s="11" t="n"/>
      <c r="C162" s="11" t="n"/>
      <c r="D162" s="11" t="n"/>
      <c r="E162" s="12" t="n"/>
      <c r="F162" s="11" t="n"/>
      <c r="G162" s="11" t="n"/>
      <c r="H162" s="13">
        <f>IF(A162="","",E162*IF(D162="USD",Setup!$B$4,1))</f>
        <v/>
      </c>
      <c r="I162" s="13">
        <f>IF(A162="","",IF(D162="USD",H162*Setup!$B$5*Setup!$B$6,0))</f>
        <v/>
      </c>
      <c r="J162" s="13">
        <f>IF(A162="","",H162+I162)</f>
        <v/>
      </c>
    </row>
    <row r="163">
      <c r="A163" s="11" t="n"/>
      <c r="B163" s="11" t="n"/>
      <c r="C163" s="11" t="n"/>
      <c r="D163" s="11" t="n"/>
      <c r="E163" s="12" t="n"/>
      <c r="F163" s="11" t="n"/>
      <c r="G163" s="11" t="n"/>
      <c r="H163" s="13">
        <f>IF(A163="","",E163*IF(D163="USD",Setup!$B$4,1))</f>
        <v/>
      </c>
      <c r="I163" s="13">
        <f>IF(A163="","",IF(D163="USD",H163*Setup!$B$5*Setup!$B$6,0))</f>
        <v/>
      </c>
      <c r="J163" s="13">
        <f>IF(A163="","",H163+I163)</f>
        <v/>
      </c>
    </row>
    <row r="164">
      <c r="A164" s="11" t="n"/>
      <c r="B164" s="11" t="n"/>
      <c r="C164" s="11" t="n"/>
      <c r="D164" s="11" t="n"/>
      <c r="E164" s="12" t="n"/>
      <c r="F164" s="11" t="n"/>
      <c r="G164" s="11" t="n"/>
      <c r="H164" s="13">
        <f>IF(A164="","",E164*IF(D164="USD",Setup!$B$4,1))</f>
        <v/>
      </c>
      <c r="I164" s="13">
        <f>IF(A164="","",IF(D164="USD",H164*Setup!$B$5*Setup!$B$6,0))</f>
        <v/>
      </c>
      <c r="J164" s="13">
        <f>IF(A164="","",H164+I164)</f>
        <v/>
      </c>
    </row>
    <row r="165">
      <c r="A165" s="11" t="n"/>
      <c r="B165" s="11" t="n"/>
      <c r="C165" s="11" t="n"/>
      <c r="D165" s="11" t="n"/>
      <c r="E165" s="12" t="n"/>
      <c r="F165" s="11" t="n"/>
      <c r="G165" s="11" t="n"/>
      <c r="H165" s="13">
        <f>IF(A165="","",E165*IF(D165="USD",Setup!$B$4,1))</f>
        <v/>
      </c>
      <c r="I165" s="13">
        <f>IF(A165="","",IF(D165="USD",H165*Setup!$B$5*Setup!$B$6,0))</f>
        <v/>
      </c>
      <c r="J165" s="13">
        <f>IF(A165="","",H165+I165)</f>
        <v/>
      </c>
    </row>
    <row r="166">
      <c r="A166" s="11" t="n"/>
      <c r="B166" s="11" t="n"/>
      <c r="C166" s="11" t="n"/>
      <c r="D166" s="11" t="n"/>
      <c r="E166" s="12" t="n"/>
      <c r="F166" s="11" t="n"/>
      <c r="G166" s="11" t="n"/>
      <c r="H166" s="13">
        <f>IF(A166="","",E166*IF(D166="USD",Setup!$B$4,1))</f>
        <v/>
      </c>
      <c r="I166" s="13">
        <f>IF(A166="","",IF(D166="USD",H166*Setup!$B$5*Setup!$B$6,0))</f>
        <v/>
      </c>
      <c r="J166" s="13">
        <f>IF(A166="","",H166+I166)</f>
        <v/>
      </c>
    </row>
    <row r="167">
      <c r="A167" s="11" t="n"/>
      <c r="B167" s="11" t="n"/>
      <c r="C167" s="11" t="n"/>
      <c r="D167" s="11" t="n"/>
      <c r="E167" s="12" t="n"/>
      <c r="F167" s="11" t="n"/>
      <c r="G167" s="11" t="n"/>
      <c r="H167" s="13">
        <f>IF(A167="","",E167*IF(D167="USD",Setup!$B$4,1))</f>
        <v/>
      </c>
      <c r="I167" s="13">
        <f>IF(A167="","",IF(D167="USD",H167*Setup!$B$5*Setup!$B$6,0))</f>
        <v/>
      </c>
      <c r="J167" s="13">
        <f>IF(A167="","",H167+I167)</f>
        <v/>
      </c>
    </row>
    <row r="168">
      <c r="A168" s="11" t="n"/>
      <c r="B168" s="11" t="n"/>
      <c r="C168" s="11" t="n"/>
      <c r="D168" s="11" t="n"/>
      <c r="E168" s="12" t="n"/>
      <c r="F168" s="11" t="n"/>
      <c r="G168" s="11" t="n"/>
      <c r="H168" s="13">
        <f>IF(A168="","",E168*IF(D168="USD",Setup!$B$4,1))</f>
        <v/>
      </c>
      <c r="I168" s="13">
        <f>IF(A168="","",IF(D168="USD",H168*Setup!$B$5*Setup!$B$6,0))</f>
        <v/>
      </c>
      <c r="J168" s="13">
        <f>IF(A168="","",H168+I168)</f>
        <v/>
      </c>
    </row>
    <row r="169">
      <c r="A169" s="11" t="n"/>
      <c r="B169" s="11" t="n"/>
      <c r="C169" s="11" t="n"/>
      <c r="D169" s="11" t="n"/>
      <c r="E169" s="12" t="n"/>
      <c r="F169" s="11" t="n"/>
      <c r="G169" s="11" t="n"/>
      <c r="H169" s="13">
        <f>IF(A169="","",E169*IF(D169="USD",Setup!$B$4,1))</f>
        <v/>
      </c>
      <c r="I169" s="13">
        <f>IF(A169="","",IF(D169="USD",H169*Setup!$B$5*Setup!$B$6,0))</f>
        <v/>
      </c>
      <c r="J169" s="13">
        <f>IF(A169="","",H169+I169)</f>
        <v/>
      </c>
    </row>
    <row r="170">
      <c r="A170" s="11" t="n"/>
      <c r="B170" s="11" t="n"/>
      <c r="C170" s="11" t="n"/>
      <c r="D170" s="11" t="n"/>
      <c r="E170" s="12" t="n"/>
      <c r="F170" s="11" t="n"/>
      <c r="G170" s="11" t="n"/>
      <c r="H170" s="13">
        <f>IF(A170="","",E170*IF(D170="USD",Setup!$B$4,1))</f>
        <v/>
      </c>
      <c r="I170" s="13">
        <f>IF(A170="","",IF(D170="USD",H170*Setup!$B$5*Setup!$B$6,0))</f>
        <v/>
      </c>
      <c r="J170" s="13">
        <f>IF(A170="","",H170+I170)</f>
        <v/>
      </c>
    </row>
    <row r="171">
      <c r="A171" s="11" t="n"/>
      <c r="B171" s="11" t="n"/>
      <c r="C171" s="11" t="n"/>
      <c r="D171" s="11" t="n"/>
      <c r="E171" s="12" t="n"/>
      <c r="F171" s="11" t="n"/>
      <c r="G171" s="11" t="n"/>
      <c r="H171" s="13">
        <f>IF(A171="","",E171*IF(D171="USD",Setup!$B$4,1))</f>
        <v/>
      </c>
      <c r="I171" s="13">
        <f>IF(A171="","",IF(D171="USD",H171*Setup!$B$5*Setup!$B$6,0))</f>
        <v/>
      </c>
      <c r="J171" s="13">
        <f>IF(A171="","",H171+I171)</f>
        <v/>
      </c>
    </row>
    <row r="172">
      <c r="A172" s="11" t="n"/>
      <c r="B172" s="11" t="n"/>
      <c r="C172" s="11" t="n"/>
      <c r="D172" s="11" t="n"/>
      <c r="E172" s="12" t="n"/>
      <c r="F172" s="11" t="n"/>
      <c r="G172" s="11" t="n"/>
      <c r="H172" s="13">
        <f>IF(A172="","",E172*IF(D172="USD",Setup!$B$4,1))</f>
        <v/>
      </c>
      <c r="I172" s="13">
        <f>IF(A172="","",IF(D172="USD",H172*Setup!$B$5*Setup!$B$6,0))</f>
        <v/>
      </c>
      <c r="J172" s="13">
        <f>IF(A172="","",H172+I172)</f>
        <v/>
      </c>
    </row>
    <row r="173">
      <c r="A173" s="11" t="n"/>
      <c r="B173" s="11" t="n"/>
      <c r="C173" s="11" t="n"/>
      <c r="D173" s="11" t="n"/>
      <c r="E173" s="12" t="n"/>
      <c r="F173" s="11" t="n"/>
      <c r="G173" s="11" t="n"/>
      <c r="H173" s="13">
        <f>IF(A173="","",E173*IF(D173="USD",Setup!$B$4,1))</f>
        <v/>
      </c>
      <c r="I173" s="13">
        <f>IF(A173="","",IF(D173="USD",H173*Setup!$B$5*Setup!$B$6,0))</f>
        <v/>
      </c>
      <c r="J173" s="13">
        <f>IF(A173="","",H173+I173)</f>
        <v/>
      </c>
    </row>
    <row r="174">
      <c r="A174" s="11" t="n"/>
      <c r="B174" s="11" t="n"/>
      <c r="C174" s="11" t="n"/>
      <c r="D174" s="11" t="n"/>
      <c r="E174" s="12" t="n"/>
      <c r="F174" s="11" t="n"/>
      <c r="G174" s="11" t="n"/>
      <c r="H174" s="13">
        <f>IF(A174="","",E174*IF(D174="USD",Setup!$B$4,1))</f>
        <v/>
      </c>
      <c r="I174" s="13">
        <f>IF(A174="","",IF(D174="USD",H174*Setup!$B$5*Setup!$B$6,0))</f>
        <v/>
      </c>
      <c r="J174" s="13">
        <f>IF(A174="","",H174+I174)</f>
        <v/>
      </c>
    </row>
    <row r="175">
      <c r="A175" s="11" t="n"/>
      <c r="B175" s="11" t="n"/>
      <c r="C175" s="11" t="n"/>
      <c r="D175" s="11" t="n"/>
      <c r="E175" s="12" t="n"/>
      <c r="F175" s="11" t="n"/>
      <c r="G175" s="11" t="n"/>
      <c r="H175" s="13">
        <f>IF(A175="","",E175*IF(D175="USD",Setup!$B$4,1))</f>
        <v/>
      </c>
      <c r="I175" s="13">
        <f>IF(A175="","",IF(D175="USD",H175*Setup!$B$5*Setup!$B$6,0))</f>
        <v/>
      </c>
      <c r="J175" s="13">
        <f>IF(A175="","",H175+I175)</f>
        <v/>
      </c>
    </row>
    <row r="176">
      <c r="A176" s="11" t="n"/>
      <c r="B176" s="11" t="n"/>
      <c r="C176" s="11" t="n"/>
      <c r="D176" s="11" t="n"/>
      <c r="E176" s="12" t="n"/>
      <c r="F176" s="11" t="n"/>
      <c r="G176" s="11" t="n"/>
      <c r="H176" s="13">
        <f>IF(A176="","",E176*IF(D176="USD",Setup!$B$4,1))</f>
        <v/>
      </c>
      <c r="I176" s="13">
        <f>IF(A176="","",IF(D176="USD",H176*Setup!$B$5*Setup!$B$6,0))</f>
        <v/>
      </c>
      <c r="J176" s="13">
        <f>IF(A176="","",H176+I176)</f>
        <v/>
      </c>
    </row>
    <row r="177">
      <c r="A177" s="11" t="n"/>
      <c r="B177" s="11" t="n"/>
      <c r="C177" s="11" t="n"/>
      <c r="D177" s="11" t="n"/>
      <c r="E177" s="12" t="n"/>
      <c r="F177" s="11" t="n"/>
      <c r="G177" s="11" t="n"/>
      <c r="H177" s="13">
        <f>IF(A177="","",E177*IF(D177="USD",Setup!$B$4,1))</f>
        <v/>
      </c>
      <c r="I177" s="13">
        <f>IF(A177="","",IF(D177="USD",H177*Setup!$B$5*Setup!$B$6,0))</f>
        <v/>
      </c>
      <c r="J177" s="13">
        <f>IF(A177="","",H177+I177)</f>
        <v/>
      </c>
    </row>
    <row r="178">
      <c r="A178" s="11" t="n"/>
      <c r="B178" s="11" t="n"/>
      <c r="C178" s="11" t="n"/>
      <c r="D178" s="11" t="n"/>
      <c r="E178" s="12" t="n"/>
      <c r="F178" s="11" t="n"/>
      <c r="G178" s="11" t="n"/>
      <c r="H178" s="13">
        <f>IF(A178="","",E178*IF(D178="USD",Setup!$B$4,1))</f>
        <v/>
      </c>
      <c r="I178" s="13">
        <f>IF(A178="","",IF(D178="USD",H178*Setup!$B$5*Setup!$B$6,0))</f>
        <v/>
      </c>
      <c r="J178" s="13">
        <f>IF(A178="","",H178+I178)</f>
        <v/>
      </c>
    </row>
    <row r="179">
      <c r="A179" s="11" t="n"/>
      <c r="B179" s="11" t="n"/>
      <c r="C179" s="11" t="n"/>
      <c r="D179" s="11" t="n"/>
      <c r="E179" s="12" t="n"/>
      <c r="F179" s="11" t="n"/>
      <c r="G179" s="11" t="n"/>
      <c r="H179" s="13">
        <f>IF(A179="","",E179*IF(D179="USD",Setup!$B$4,1))</f>
        <v/>
      </c>
      <c r="I179" s="13">
        <f>IF(A179="","",IF(D179="USD",H179*Setup!$B$5*Setup!$B$6,0))</f>
        <v/>
      </c>
      <c r="J179" s="13">
        <f>IF(A179="","",H179+I179)</f>
        <v/>
      </c>
    </row>
    <row r="180">
      <c r="A180" s="11" t="n"/>
      <c r="B180" s="11" t="n"/>
      <c r="C180" s="11" t="n"/>
      <c r="D180" s="11" t="n"/>
      <c r="E180" s="12" t="n"/>
      <c r="F180" s="11" t="n"/>
      <c r="G180" s="11" t="n"/>
      <c r="H180" s="13">
        <f>IF(A180="","",E180*IF(D180="USD",Setup!$B$4,1))</f>
        <v/>
      </c>
      <c r="I180" s="13">
        <f>IF(A180="","",IF(D180="USD",H180*Setup!$B$5*Setup!$B$6,0))</f>
        <v/>
      </c>
      <c r="J180" s="13">
        <f>IF(A180="","",H180+I180)</f>
        <v/>
      </c>
    </row>
    <row r="181">
      <c r="A181" s="11" t="n"/>
      <c r="B181" s="11" t="n"/>
      <c r="C181" s="11" t="n"/>
      <c r="D181" s="11" t="n"/>
      <c r="E181" s="12" t="n"/>
      <c r="F181" s="11" t="n"/>
      <c r="G181" s="11" t="n"/>
      <c r="H181" s="13">
        <f>IF(A181="","",E181*IF(D181="USD",Setup!$B$4,1))</f>
        <v/>
      </c>
      <c r="I181" s="13">
        <f>IF(A181="","",IF(D181="USD",H181*Setup!$B$5*Setup!$B$6,0))</f>
        <v/>
      </c>
      <c r="J181" s="13">
        <f>IF(A181="","",H181+I181)</f>
        <v/>
      </c>
    </row>
    <row r="182">
      <c r="A182" s="11" t="n"/>
      <c r="B182" s="11" t="n"/>
      <c r="C182" s="11" t="n"/>
      <c r="D182" s="11" t="n"/>
      <c r="E182" s="12" t="n"/>
      <c r="F182" s="11" t="n"/>
      <c r="G182" s="11" t="n"/>
      <c r="H182" s="13">
        <f>IF(A182="","",E182*IF(D182="USD",Setup!$B$4,1))</f>
        <v/>
      </c>
      <c r="I182" s="13">
        <f>IF(A182="","",IF(D182="USD",H182*Setup!$B$5*Setup!$B$6,0))</f>
        <v/>
      </c>
      <c r="J182" s="13">
        <f>IF(A182="","",H182+I182)</f>
        <v/>
      </c>
    </row>
    <row r="183">
      <c r="A183" s="11" t="n"/>
      <c r="B183" s="11" t="n"/>
      <c r="C183" s="11" t="n"/>
      <c r="D183" s="11" t="n"/>
      <c r="E183" s="12" t="n"/>
      <c r="F183" s="11" t="n"/>
      <c r="G183" s="11" t="n"/>
      <c r="H183" s="13">
        <f>IF(A183="","",E183*IF(D183="USD",Setup!$B$4,1))</f>
        <v/>
      </c>
      <c r="I183" s="13">
        <f>IF(A183="","",IF(D183="USD",H183*Setup!$B$5*Setup!$B$6,0))</f>
        <v/>
      </c>
      <c r="J183" s="13">
        <f>IF(A183="","",H183+I183)</f>
        <v/>
      </c>
    </row>
    <row r="184">
      <c r="A184" s="11" t="n"/>
      <c r="B184" s="11" t="n"/>
      <c r="C184" s="11" t="n"/>
      <c r="D184" s="11" t="n"/>
      <c r="E184" s="12" t="n"/>
      <c r="F184" s="11" t="n"/>
      <c r="G184" s="11" t="n"/>
      <c r="H184" s="13">
        <f>IF(A184="","",E184*IF(D184="USD",Setup!$B$4,1))</f>
        <v/>
      </c>
      <c r="I184" s="13">
        <f>IF(A184="","",IF(D184="USD",H184*Setup!$B$5*Setup!$B$6,0))</f>
        <v/>
      </c>
      <c r="J184" s="13">
        <f>IF(A184="","",H184+I184)</f>
        <v/>
      </c>
    </row>
    <row r="185">
      <c r="A185" s="11" t="n"/>
      <c r="B185" s="11" t="n"/>
      <c r="C185" s="11" t="n"/>
      <c r="D185" s="11" t="n"/>
      <c r="E185" s="12" t="n"/>
      <c r="F185" s="11" t="n"/>
      <c r="G185" s="11" t="n"/>
      <c r="H185" s="13">
        <f>IF(A185="","",E185*IF(D185="USD",Setup!$B$4,1))</f>
        <v/>
      </c>
      <c r="I185" s="13">
        <f>IF(A185="","",IF(D185="USD",H185*Setup!$B$5*Setup!$B$6,0))</f>
        <v/>
      </c>
      <c r="J185" s="13">
        <f>IF(A185="","",H185+I185)</f>
        <v/>
      </c>
    </row>
    <row r="186">
      <c r="A186" s="11" t="n"/>
      <c r="B186" s="11" t="n"/>
      <c r="C186" s="11" t="n"/>
      <c r="D186" s="11" t="n"/>
      <c r="E186" s="12" t="n"/>
      <c r="F186" s="11" t="n"/>
      <c r="G186" s="11" t="n"/>
      <c r="H186" s="13">
        <f>IF(A186="","",E186*IF(D186="USD",Setup!$B$4,1))</f>
        <v/>
      </c>
      <c r="I186" s="13">
        <f>IF(A186="","",IF(D186="USD",H186*Setup!$B$5*Setup!$B$6,0))</f>
        <v/>
      </c>
      <c r="J186" s="13">
        <f>IF(A186="","",H186+I186)</f>
        <v/>
      </c>
    </row>
    <row r="187">
      <c r="A187" s="11" t="n"/>
      <c r="B187" s="11" t="n"/>
      <c r="C187" s="11" t="n"/>
      <c r="D187" s="11" t="n"/>
      <c r="E187" s="12" t="n"/>
      <c r="F187" s="11" t="n"/>
      <c r="G187" s="11" t="n"/>
      <c r="H187" s="13">
        <f>IF(A187="","",E187*IF(D187="USD",Setup!$B$4,1))</f>
        <v/>
      </c>
      <c r="I187" s="13">
        <f>IF(A187="","",IF(D187="USD",H187*Setup!$B$5*Setup!$B$6,0))</f>
        <v/>
      </c>
      <c r="J187" s="13">
        <f>IF(A187="","",H187+I187)</f>
        <v/>
      </c>
    </row>
    <row r="188">
      <c r="A188" s="11" t="n"/>
      <c r="B188" s="11" t="n"/>
      <c r="C188" s="11" t="n"/>
      <c r="D188" s="11" t="n"/>
      <c r="E188" s="12" t="n"/>
      <c r="F188" s="11" t="n"/>
      <c r="G188" s="11" t="n"/>
      <c r="H188" s="13">
        <f>IF(A188="","",E188*IF(D188="USD",Setup!$B$4,1))</f>
        <v/>
      </c>
      <c r="I188" s="13">
        <f>IF(A188="","",IF(D188="USD",H188*Setup!$B$5*Setup!$B$6,0))</f>
        <v/>
      </c>
      <c r="J188" s="13">
        <f>IF(A188="","",H188+I188)</f>
        <v/>
      </c>
    </row>
    <row r="189">
      <c r="A189" s="11" t="n"/>
      <c r="B189" s="11" t="n"/>
      <c r="C189" s="11" t="n"/>
      <c r="D189" s="11" t="n"/>
      <c r="E189" s="12" t="n"/>
      <c r="F189" s="11" t="n"/>
      <c r="G189" s="11" t="n"/>
      <c r="H189" s="13">
        <f>IF(A189="","",E189*IF(D189="USD",Setup!$B$4,1))</f>
        <v/>
      </c>
      <c r="I189" s="13">
        <f>IF(A189="","",IF(D189="USD",H189*Setup!$B$5*Setup!$B$6,0))</f>
        <v/>
      </c>
      <c r="J189" s="13">
        <f>IF(A189="","",H189+I189)</f>
        <v/>
      </c>
    </row>
    <row r="190">
      <c r="A190" s="11" t="n"/>
      <c r="B190" s="11" t="n"/>
      <c r="C190" s="11" t="n"/>
      <c r="D190" s="11" t="n"/>
      <c r="E190" s="12" t="n"/>
      <c r="F190" s="11" t="n"/>
      <c r="G190" s="11" t="n"/>
      <c r="H190" s="13">
        <f>IF(A190="","",E190*IF(D190="USD",Setup!$B$4,1))</f>
        <v/>
      </c>
      <c r="I190" s="13">
        <f>IF(A190="","",IF(D190="USD",H190*Setup!$B$5*Setup!$B$6,0))</f>
        <v/>
      </c>
      <c r="J190" s="13">
        <f>IF(A190="","",H190+I190)</f>
        <v/>
      </c>
    </row>
    <row r="191">
      <c r="A191" s="11" t="n"/>
      <c r="B191" s="11" t="n"/>
      <c r="C191" s="11" t="n"/>
      <c r="D191" s="11" t="n"/>
      <c r="E191" s="12" t="n"/>
      <c r="F191" s="11" t="n"/>
      <c r="G191" s="11" t="n"/>
      <c r="H191" s="13">
        <f>IF(A191="","",E191*IF(D191="USD",Setup!$B$4,1))</f>
        <v/>
      </c>
      <c r="I191" s="13">
        <f>IF(A191="","",IF(D191="USD",H191*Setup!$B$5*Setup!$B$6,0))</f>
        <v/>
      </c>
      <c r="J191" s="13">
        <f>IF(A191="","",H191+I191)</f>
        <v/>
      </c>
    </row>
    <row r="192">
      <c r="A192" s="11" t="n"/>
      <c r="B192" s="11" t="n"/>
      <c r="C192" s="11" t="n"/>
      <c r="D192" s="11" t="n"/>
      <c r="E192" s="12" t="n"/>
      <c r="F192" s="11" t="n"/>
      <c r="G192" s="11" t="n"/>
      <c r="H192" s="13">
        <f>IF(A192="","",E192*IF(D192="USD",Setup!$B$4,1))</f>
        <v/>
      </c>
      <c r="I192" s="13">
        <f>IF(A192="","",IF(D192="USD",H192*Setup!$B$5*Setup!$B$6,0))</f>
        <v/>
      </c>
      <c r="J192" s="13">
        <f>IF(A192="","",H192+I192)</f>
        <v/>
      </c>
    </row>
    <row r="193">
      <c r="A193" s="11" t="n"/>
      <c r="B193" s="11" t="n"/>
      <c r="C193" s="11" t="n"/>
      <c r="D193" s="11" t="n"/>
      <c r="E193" s="12" t="n"/>
      <c r="F193" s="11" t="n"/>
      <c r="G193" s="11" t="n"/>
      <c r="H193" s="13">
        <f>IF(A193="","",E193*IF(D193="USD",Setup!$B$4,1))</f>
        <v/>
      </c>
      <c r="I193" s="13">
        <f>IF(A193="","",IF(D193="USD",H193*Setup!$B$5*Setup!$B$6,0))</f>
        <v/>
      </c>
      <c r="J193" s="13">
        <f>IF(A193="","",H193+I193)</f>
        <v/>
      </c>
    </row>
    <row r="194">
      <c r="A194" s="11" t="n"/>
      <c r="B194" s="11" t="n"/>
      <c r="C194" s="11" t="n"/>
      <c r="D194" s="11" t="n"/>
      <c r="E194" s="12" t="n"/>
      <c r="F194" s="11" t="n"/>
      <c r="G194" s="11" t="n"/>
      <c r="H194" s="13">
        <f>IF(A194="","",E194*IF(D194="USD",Setup!$B$4,1))</f>
        <v/>
      </c>
      <c r="I194" s="13">
        <f>IF(A194="","",IF(D194="USD",H194*Setup!$B$5*Setup!$B$6,0))</f>
        <v/>
      </c>
      <c r="J194" s="13">
        <f>IF(A194="","",H194+I194)</f>
        <v/>
      </c>
    </row>
    <row r="195">
      <c r="A195" s="11" t="n"/>
      <c r="B195" s="11" t="n"/>
      <c r="C195" s="11" t="n"/>
      <c r="D195" s="11" t="n"/>
      <c r="E195" s="12" t="n"/>
      <c r="F195" s="11" t="n"/>
      <c r="G195" s="11" t="n"/>
      <c r="H195" s="13">
        <f>IF(A195="","",E195*IF(D195="USD",Setup!$B$4,1))</f>
        <v/>
      </c>
      <c r="I195" s="13">
        <f>IF(A195="","",IF(D195="USD",H195*Setup!$B$5*Setup!$B$6,0))</f>
        <v/>
      </c>
      <c r="J195" s="13">
        <f>IF(A195="","",H195+I195)</f>
        <v/>
      </c>
    </row>
    <row r="196">
      <c r="A196" s="11" t="n"/>
      <c r="B196" s="11" t="n"/>
      <c r="C196" s="11" t="n"/>
      <c r="D196" s="11" t="n"/>
      <c r="E196" s="12" t="n"/>
      <c r="F196" s="11" t="n"/>
      <c r="G196" s="11" t="n"/>
      <c r="H196" s="13">
        <f>IF(A196="","",E196*IF(D196="USD",Setup!$B$4,1))</f>
        <v/>
      </c>
      <c r="I196" s="13">
        <f>IF(A196="","",IF(D196="USD",H196*Setup!$B$5*Setup!$B$6,0))</f>
        <v/>
      </c>
      <c r="J196" s="13">
        <f>IF(A196="","",H196+I196)</f>
        <v/>
      </c>
    </row>
    <row r="197">
      <c r="A197" s="11" t="n"/>
      <c r="B197" s="11" t="n"/>
      <c r="C197" s="11" t="n"/>
      <c r="D197" s="11" t="n"/>
      <c r="E197" s="12" t="n"/>
      <c r="F197" s="11" t="n"/>
      <c r="G197" s="11" t="n"/>
      <c r="H197" s="13">
        <f>IF(A197="","",E197*IF(D197="USD",Setup!$B$4,1))</f>
        <v/>
      </c>
      <c r="I197" s="13">
        <f>IF(A197="","",IF(D197="USD",H197*Setup!$B$5*Setup!$B$6,0))</f>
        <v/>
      </c>
      <c r="J197" s="13">
        <f>IF(A197="","",H197+I197)</f>
        <v/>
      </c>
    </row>
    <row r="198">
      <c r="A198" s="11" t="n"/>
      <c r="B198" s="11" t="n"/>
      <c r="C198" s="11" t="n"/>
      <c r="D198" s="11" t="n"/>
      <c r="E198" s="12" t="n"/>
      <c r="F198" s="11" t="n"/>
      <c r="G198" s="11" t="n"/>
      <c r="H198" s="13">
        <f>IF(A198="","",E198*IF(D198="USD",Setup!$B$4,1))</f>
        <v/>
      </c>
      <c r="I198" s="13">
        <f>IF(A198="","",IF(D198="USD",H198*Setup!$B$5*Setup!$B$6,0))</f>
        <v/>
      </c>
      <c r="J198" s="13">
        <f>IF(A198="","",H198+I198)</f>
        <v/>
      </c>
    </row>
    <row r="199">
      <c r="A199" s="11" t="n"/>
      <c r="B199" s="11" t="n"/>
      <c r="C199" s="11" t="n"/>
      <c r="D199" s="11" t="n"/>
      <c r="E199" s="12" t="n"/>
      <c r="F199" s="11" t="n"/>
      <c r="G199" s="11" t="n"/>
      <c r="H199" s="13">
        <f>IF(A199="","",E199*IF(D199="USD",Setup!$B$4,1))</f>
        <v/>
      </c>
      <c r="I199" s="13">
        <f>IF(A199="","",IF(D199="USD",H199*Setup!$B$5*Setup!$B$6,0))</f>
        <v/>
      </c>
      <c r="J199" s="13">
        <f>IF(A199="","",H199+I199)</f>
        <v/>
      </c>
    </row>
    <row r="200">
      <c r="A200" s="11" t="n"/>
      <c r="B200" s="11" t="n"/>
      <c r="C200" s="11" t="n"/>
      <c r="D200" s="11" t="n"/>
      <c r="E200" s="12" t="n"/>
      <c r="F200" s="11" t="n"/>
      <c r="G200" s="11" t="n"/>
      <c r="H200" s="13">
        <f>IF(A200="","",E200*IF(D200="USD",Setup!$B$4,1))</f>
        <v/>
      </c>
      <c r="I200" s="13">
        <f>IF(A200="","",IF(D200="USD",H200*Setup!$B$5*Setup!$B$6,0))</f>
        <v/>
      </c>
      <c r="J200" s="13">
        <f>IF(A200="","",H200+I200)</f>
        <v/>
      </c>
    </row>
    <row r="201">
      <c r="A201" s="11" t="n"/>
      <c r="B201" s="11" t="n"/>
      <c r="C201" s="11" t="n"/>
      <c r="D201" s="11" t="n"/>
      <c r="E201" s="12" t="n"/>
      <c r="F201" s="11" t="n"/>
      <c r="G201" s="11" t="n"/>
      <c r="H201" s="13">
        <f>IF(A201="","",E201*IF(D201="USD",Setup!$B$4,1))</f>
        <v/>
      </c>
      <c r="I201" s="13">
        <f>IF(A201="","",IF(D201="USD",H201*Setup!$B$5*Setup!$B$6,0))</f>
        <v/>
      </c>
      <c r="J201" s="13">
        <f>IF(A201="","",H201+I201)</f>
        <v/>
      </c>
    </row>
    <row r="202">
      <c r="A202" s="11" t="n"/>
      <c r="B202" s="11" t="n"/>
      <c r="C202" s="11" t="n"/>
      <c r="D202" s="11" t="n"/>
      <c r="E202" s="12" t="n"/>
      <c r="F202" s="11" t="n"/>
      <c r="G202" s="11" t="n"/>
      <c r="H202" s="13">
        <f>IF(A202="","",E202*IF(D202="USD",Setup!$B$4,1))</f>
        <v/>
      </c>
      <c r="I202" s="13">
        <f>IF(A202="","",IF(D202="USD",H202*Setup!$B$5*Setup!$B$6,0))</f>
        <v/>
      </c>
      <c r="J202" s="13">
        <f>IF(A202="","",H202+I202)</f>
        <v/>
      </c>
    </row>
    <row r="203">
      <c r="A203" s="11" t="n"/>
      <c r="B203" s="11" t="n"/>
      <c r="C203" s="11" t="n"/>
      <c r="D203" s="11" t="n"/>
      <c r="E203" s="12" t="n"/>
      <c r="F203" s="11" t="n"/>
      <c r="G203" s="11" t="n"/>
      <c r="H203" s="13">
        <f>IF(A203="","",E203*IF(D203="USD",Setup!$B$4,1))</f>
        <v/>
      </c>
      <c r="I203" s="13">
        <f>IF(A203="","",IF(D203="USD",H203*Setup!$B$5*Setup!$B$6,0))</f>
        <v/>
      </c>
      <c r="J203" s="13">
        <f>IF(A203="","",H203+I203)</f>
        <v/>
      </c>
    </row>
    <row r="204">
      <c r="A204" s="11" t="n"/>
      <c r="B204" s="11" t="n"/>
      <c r="C204" s="11" t="n"/>
      <c r="D204" s="11" t="n"/>
      <c r="E204" s="12" t="n"/>
      <c r="F204" s="11" t="n"/>
      <c r="G204" s="11" t="n"/>
      <c r="H204" s="13">
        <f>IF(A204="","",E204*IF(D204="USD",Setup!$B$4,1))</f>
        <v/>
      </c>
      <c r="I204" s="13">
        <f>IF(A204="","",IF(D204="USD",H204*Setup!$B$5*Setup!$B$6,0))</f>
        <v/>
      </c>
      <c r="J204" s="13">
        <f>IF(A204="","",H204+I204)</f>
        <v/>
      </c>
    </row>
    <row r="205">
      <c r="A205" s="11" t="n"/>
      <c r="B205" s="11" t="n"/>
      <c r="C205" s="11" t="n"/>
      <c r="D205" s="11" t="n"/>
      <c r="E205" s="12" t="n"/>
      <c r="F205" s="11" t="n"/>
      <c r="G205" s="11" t="n"/>
      <c r="H205" s="13">
        <f>IF(A205="","",E205*IF(D205="USD",Setup!$B$4,1))</f>
        <v/>
      </c>
      <c r="I205" s="13">
        <f>IF(A205="","",IF(D205="USD",H205*Setup!$B$5*Setup!$B$6,0))</f>
        <v/>
      </c>
      <c r="J205" s="13">
        <f>IF(A205="","",H205+I205)</f>
        <v/>
      </c>
    </row>
    <row r="206">
      <c r="A206" s="11" t="n"/>
      <c r="B206" s="11" t="n"/>
      <c r="C206" s="11" t="n"/>
      <c r="D206" s="11" t="n"/>
      <c r="E206" s="12" t="n"/>
      <c r="F206" s="11" t="n"/>
      <c r="G206" s="11" t="n"/>
      <c r="H206" s="13">
        <f>IF(A206="","",E206*IF(D206="USD",Setup!$B$4,1))</f>
        <v/>
      </c>
      <c r="I206" s="13">
        <f>IF(A206="","",IF(D206="USD",H206*Setup!$B$5*Setup!$B$6,0))</f>
        <v/>
      </c>
      <c r="J206" s="13">
        <f>IF(A206="","",H206+I206)</f>
        <v/>
      </c>
    </row>
    <row r="207">
      <c r="A207" s="11" t="n"/>
      <c r="B207" s="11" t="n"/>
      <c r="C207" s="11" t="n"/>
      <c r="D207" s="11" t="n"/>
      <c r="E207" s="12" t="n"/>
      <c r="F207" s="11" t="n"/>
      <c r="G207" s="11" t="n"/>
      <c r="H207" s="13">
        <f>IF(A207="","",E207*IF(D207="USD",Setup!$B$4,1))</f>
        <v/>
      </c>
      <c r="I207" s="13">
        <f>IF(A207="","",IF(D207="USD",H207*Setup!$B$5*Setup!$B$6,0))</f>
        <v/>
      </c>
      <c r="J207" s="13">
        <f>IF(A207="","",H207+I207)</f>
        <v/>
      </c>
    </row>
    <row r="208">
      <c r="A208" s="11" t="n"/>
      <c r="B208" s="11" t="n"/>
      <c r="C208" s="11" t="n"/>
      <c r="D208" s="11" t="n"/>
      <c r="E208" s="12" t="n"/>
      <c r="F208" s="11" t="n"/>
      <c r="G208" s="11" t="n"/>
      <c r="H208" s="13">
        <f>IF(A208="","",E208*IF(D208="USD",Setup!$B$4,1))</f>
        <v/>
      </c>
      <c r="I208" s="13">
        <f>IF(A208="","",IF(D208="USD",H208*Setup!$B$5*Setup!$B$6,0))</f>
        <v/>
      </c>
      <c r="J208" s="13">
        <f>IF(A208="","",H208+I208)</f>
        <v/>
      </c>
    </row>
    <row r="209">
      <c r="A209" s="11" t="n"/>
      <c r="B209" s="11" t="n"/>
      <c r="C209" s="11" t="n"/>
      <c r="D209" s="11" t="n"/>
      <c r="E209" s="12" t="n"/>
      <c r="F209" s="11" t="n"/>
      <c r="G209" s="11" t="n"/>
      <c r="H209" s="13">
        <f>IF(A209="","",E209*IF(D209="USD",Setup!$B$4,1))</f>
        <v/>
      </c>
      <c r="I209" s="13">
        <f>IF(A209="","",IF(D209="USD",H209*Setup!$B$5*Setup!$B$6,0))</f>
        <v/>
      </c>
      <c r="J209" s="13">
        <f>IF(A209="","",H209+I209)</f>
        <v/>
      </c>
    </row>
    <row r="210">
      <c r="A210" s="11" t="n"/>
      <c r="B210" s="11" t="n"/>
      <c r="C210" s="11" t="n"/>
      <c r="D210" s="11" t="n"/>
      <c r="E210" s="12" t="n"/>
      <c r="F210" s="11" t="n"/>
      <c r="G210" s="11" t="n"/>
      <c r="H210" s="13">
        <f>IF(A210="","",E210*IF(D210="USD",Setup!$B$4,1))</f>
        <v/>
      </c>
      <c r="I210" s="13">
        <f>IF(A210="","",IF(D210="USD",H210*Setup!$B$5*Setup!$B$6,0))</f>
        <v/>
      </c>
      <c r="J210" s="13">
        <f>IF(A210="","",H210+I210)</f>
        <v/>
      </c>
    </row>
    <row r="211">
      <c r="A211" s="11" t="n"/>
      <c r="B211" s="11" t="n"/>
      <c r="C211" s="11" t="n"/>
      <c r="D211" s="11" t="n"/>
      <c r="E211" s="12" t="n"/>
      <c r="F211" s="11" t="n"/>
      <c r="G211" s="11" t="n"/>
      <c r="H211" s="13">
        <f>IF(A211="","",E211*IF(D211="USD",Setup!$B$4,1))</f>
        <v/>
      </c>
      <c r="I211" s="13">
        <f>IF(A211="","",IF(D211="USD",H211*Setup!$B$5*Setup!$B$6,0))</f>
        <v/>
      </c>
      <c r="J211" s="13">
        <f>IF(A211="","",H211+I211)</f>
        <v/>
      </c>
    </row>
    <row r="212">
      <c r="A212" s="11" t="n"/>
      <c r="B212" s="11" t="n"/>
      <c r="C212" s="11" t="n"/>
      <c r="D212" s="11" t="n"/>
      <c r="E212" s="12" t="n"/>
      <c r="F212" s="11" t="n"/>
      <c r="G212" s="11" t="n"/>
      <c r="H212" s="13">
        <f>IF(A212="","",E212*IF(D212="USD",Setup!$B$4,1))</f>
        <v/>
      </c>
      <c r="I212" s="13">
        <f>IF(A212="","",IF(D212="USD",H212*Setup!$B$5*Setup!$B$6,0))</f>
        <v/>
      </c>
      <c r="J212" s="13">
        <f>IF(A212="","",H212+I212)</f>
        <v/>
      </c>
    </row>
    <row r="213">
      <c r="A213" s="11" t="n"/>
      <c r="B213" s="11" t="n"/>
      <c r="C213" s="11" t="n"/>
      <c r="D213" s="11" t="n"/>
      <c r="E213" s="12" t="n"/>
      <c r="F213" s="11" t="n"/>
      <c r="G213" s="11" t="n"/>
      <c r="H213" s="13">
        <f>IF(A213="","",E213*IF(D213="USD",Setup!$B$4,1))</f>
        <v/>
      </c>
      <c r="I213" s="13">
        <f>IF(A213="","",IF(D213="USD",H213*Setup!$B$5*Setup!$B$6,0))</f>
        <v/>
      </c>
      <c r="J213" s="13">
        <f>IF(A213="","",H213+I213)</f>
        <v/>
      </c>
    </row>
    <row r="214">
      <c r="A214" s="11" t="n"/>
      <c r="B214" s="11" t="n"/>
      <c r="C214" s="11" t="n"/>
      <c r="D214" s="11" t="n"/>
      <c r="E214" s="12" t="n"/>
      <c r="F214" s="11" t="n"/>
      <c r="G214" s="11" t="n"/>
      <c r="H214" s="13">
        <f>IF(A214="","",E214*IF(D214="USD",Setup!$B$4,1))</f>
        <v/>
      </c>
      <c r="I214" s="13">
        <f>IF(A214="","",IF(D214="USD",H214*Setup!$B$5*Setup!$B$6,0))</f>
        <v/>
      </c>
      <c r="J214" s="13">
        <f>IF(A214="","",H214+I214)</f>
        <v/>
      </c>
    </row>
    <row r="215">
      <c r="A215" s="11" t="n"/>
      <c r="B215" s="11" t="n"/>
      <c r="C215" s="11" t="n"/>
      <c r="D215" s="11" t="n"/>
      <c r="E215" s="12" t="n"/>
      <c r="F215" s="11" t="n"/>
      <c r="G215" s="11" t="n"/>
      <c r="H215" s="13">
        <f>IF(A215="","",E215*IF(D215="USD",Setup!$B$4,1))</f>
        <v/>
      </c>
      <c r="I215" s="13">
        <f>IF(A215="","",IF(D215="USD",H215*Setup!$B$5*Setup!$B$6,0))</f>
        <v/>
      </c>
      <c r="J215" s="13">
        <f>IF(A215="","",H215+I215)</f>
        <v/>
      </c>
    </row>
    <row r="216">
      <c r="A216" s="11" t="n"/>
      <c r="B216" s="11" t="n"/>
      <c r="C216" s="11" t="n"/>
      <c r="D216" s="11" t="n"/>
      <c r="E216" s="12" t="n"/>
      <c r="F216" s="11" t="n"/>
      <c r="G216" s="11" t="n"/>
      <c r="H216" s="13">
        <f>IF(A216="","",E216*IF(D216="USD",Setup!$B$4,1))</f>
        <v/>
      </c>
      <c r="I216" s="13">
        <f>IF(A216="","",IF(D216="USD",H216*Setup!$B$5*Setup!$B$6,0))</f>
        <v/>
      </c>
      <c r="J216" s="13">
        <f>IF(A216="","",H216+I216)</f>
        <v/>
      </c>
    </row>
    <row r="217">
      <c r="A217" s="11" t="n"/>
      <c r="B217" s="11" t="n"/>
      <c r="C217" s="11" t="n"/>
      <c r="D217" s="11" t="n"/>
      <c r="E217" s="12" t="n"/>
      <c r="F217" s="11" t="n"/>
      <c r="G217" s="11" t="n"/>
      <c r="H217" s="13">
        <f>IF(A217="","",E217*IF(D217="USD",Setup!$B$4,1))</f>
        <v/>
      </c>
      <c r="I217" s="13">
        <f>IF(A217="","",IF(D217="USD",H217*Setup!$B$5*Setup!$B$6,0))</f>
        <v/>
      </c>
      <c r="J217" s="13">
        <f>IF(A217="","",H217+I217)</f>
        <v/>
      </c>
    </row>
    <row r="218">
      <c r="A218" s="11" t="n"/>
      <c r="B218" s="11" t="n"/>
      <c r="C218" s="11" t="n"/>
      <c r="D218" s="11" t="n"/>
      <c r="E218" s="12" t="n"/>
      <c r="F218" s="11" t="n"/>
      <c r="G218" s="11" t="n"/>
      <c r="H218" s="13">
        <f>IF(A218="","",E218*IF(D218="USD",Setup!$B$4,1))</f>
        <v/>
      </c>
      <c r="I218" s="13">
        <f>IF(A218="","",IF(D218="USD",H218*Setup!$B$5*Setup!$B$6,0))</f>
        <v/>
      </c>
      <c r="J218" s="13">
        <f>IF(A218="","",H218+I218)</f>
        <v/>
      </c>
    </row>
    <row r="219">
      <c r="A219" s="11" t="n"/>
      <c r="B219" s="11" t="n"/>
      <c r="C219" s="11" t="n"/>
      <c r="D219" s="11" t="n"/>
      <c r="E219" s="12" t="n"/>
      <c r="F219" s="11" t="n"/>
      <c r="G219" s="11" t="n"/>
      <c r="H219" s="13">
        <f>IF(A219="","",E219*IF(D219="USD",Setup!$B$4,1))</f>
        <v/>
      </c>
      <c r="I219" s="13">
        <f>IF(A219="","",IF(D219="USD",H219*Setup!$B$5*Setup!$B$6,0))</f>
        <v/>
      </c>
      <c r="J219" s="13">
        <f>IF(A219="","",H219+I219)</f>
        <v/>
      </c>
    </row>
    <row r="220">
      <c r="A220" s="11" t="n"/>
      <c r="B220" s="11" t="n"/>
      <c r="C220" s="11" t="n"/>
      <c r="D220" s="11" t="n"/>
      <c r="E220" s="12" t="n"/>
      <c r="F220" s="11" t="n"/>
      <c r="G220" s="11" t="n"/>
      <c r="H220" s="13">
        <f>IF(A220="","",E220*IF(D220="USD",Setup!$B$4,1))</f>
        <v/>
      </c>
      <c r="I220" s="13">
        <f>IF(A220="","",IF(D220="USD",H220*Setup!$B$5*Setup!$B$6,0))</f>
        <v/>
      </c>
      <c r="J220" s="13">
        <f>IF(A220="","",H220+I220)</f>
        <v/>
      </c>
    </row>
    <row r="221">
      <c r="A221" s="11" t="n"/>
      <c r="B221" s="11" t="n"/>
      <c r="C221" s="11" t="n"/>
      <c r="D221" s="11" t="n"/>
      <c r="E221" s="12" t="n"/>
      <c r="F221" s="11" t="n"/>
      <c r="G221" s="11" t="n"/>
      <c r="H221" s="13">
        <f>IF(A221="","",E221*IF(D221="USD",Setup!$B$4,1))</f>
        <v/>
      </c>
      <c r="I221" s="13">
        <f>IF(A221="","",IF(D221="USD",H221*Setup!$B$5*Setup!$B$6,0))</f>
        <v/>
      </c>
      <c r="J221" s="13">
        <f>IF(A221="","",H221+I221)</f>
        <v/>
      </c>
    </row>
    <row r="222">
      <c r="A222" s="11" t="n"/>
      <c r="B222" s="11" t="n"/>
      <c r="C222" s="11" t="n"/>
      <c r="D222" s="11" t="n"/>
      <c r="E222" s="12" t="n"/>
      <c r="F222" s="11" t="n"/>
      <c r="G222" s="11" t="n"/>
      <c r="H222" s="13">
        <f>IF(A222="","",E222*IF(D222="USD",Setup!$B$4,1))</f>
        <v/>
      </c>
      <c r="I222" s="13">
        <f>IF(A222="","",IF(D222="USD",H222*Setup!$B$5*Setup!$B$6,0))</f>
        <v/>
      </c>
      <c r="J222" s="13">
        <f>IF(A222="","",H222+I222)</f>
        <v/>
      </c>
    </row>
    <row r="223">
      <c r="A223" s="11" t="n"/>
      <c r="B223" s="11" t="n"/>
      <c r="C223" s="11" t="n"/>
      <c r="D223" s="11" t="n"/>
      <c r="E223" s="12" t="n"/>
      <c r="F223" s="11" t="n"/>
      <c r="G223" s="11" t="n"/>
      <c r="H223" s="13">
        <f>IF(A223="","",E223*IF(D223="USD",Setup!$B$4,1))</f>
        <v/>
      </c>
      <c r="I223" s="13">
        <f>IF(A223="","",IF(D223="USD",H223*Setup!$B$5*Setup!$B$6,0))</f>
        <v/>
      </c>
      <c r="J223" s="13">
        <f>IF(A223="","",H223+I223)</f>
        <v/>
      </c>
    </row>
    <row r="224">
      <c r="A224" s="11" t="n"/>
      <c r="B224" s="11" t="n"/>
      <c r="C224" s="11" t="n"/>
      <c r="D224" s="11" t="n"/>
      <c r="E224" s="12" t="n"/>
      <c r="F224" s="11" t="n"/>
      <c r="G224" s="11" t="n"/>
      <c r="H224" s="13">
        <f>IF(A224="","",E224*IF(D224="USD",Setup!$B$4,1))</f>
        <v/>
      </c>
      <c r="I224" s="13">
        <f>IF(A224="","",IF(D224="USD",H224*Setup!$B$5*Setup!$B$6,0))</f>
        <v/>
      </c>
      <c r="J224" s="13">
        <f>IF(A224="","",H224+I224)</f>
        <v/>
      </c>
    </row>
    <row r="225">
      <c r="A225" s="11" t="n"/>
      <c r="B225" s="11" t="n"/>
      <c r="C225" s="11" t="n"/>
      <c r="D225" s="11" t="n"/>
      <c r="E225" s="12" t="n"/>
      <c r="F225" s="11" t="n"/>
      <c r="G225" s="11" t="n"/>
      <c r="H225" s="13">
        <f>IF(A225="","",E225*IF(D225="USD",Setup!$B$4,1))</f>
        <v/>
      </c>
      <c r="I225" s="13">
        <f>IF(A225="","",IF(D225="USD",H225*Setup!$B$5*Setup!$B$6,0))</f>
        <v/>
      </c>
      <c r="J225" s="13">
        <f>IF(A225="","",H225+I225)</f>
        <v/>
      </c>
    </row>
    <row r="226">
      <c r="A226" s="11" t="n"/>
      <c r="B226" s="11" t="n"/>
      <c r="C226" s="11" t="n"/>
      <c r="D226" s="11" t="n"/>
      <c r="E226" s="12" t="n"/>
      <c r="F226" s="11" t="n"/>
      <c r="G226" s="11" t="n"/>
      <c r="H226" s="13">
        <f>IF(A226="","",E226*IF(D226="USD",Setup!$B$4,1))</f>
        <v/>
      </c>
      <c r="I226" s="13">
        <f>IF(A226="","",IF(D226="USD",H226*Setup!$B$5*Setup!$B$6,0))</f>
        <v/>
      </c>
      <c r="J226" s="13">
        <f>IF(A226="","",H226+I226)</f>
        <v/>
      </c>
    </row>
    <row r="227">
      <c r="A227" s="11" t="n"/>
      <c r="B227" s="11" t="n"/>
      <c r="C227" s="11" t="n"/>
      <c r="D227" s="11" t="n"/>
      <c r="E227" s="12" t="n"/>
      <c r="F227" s="11" t="n"/>
      <c r="G227" s="11" t="n"/>
      <c r="H227" s="13">
        <f>IF(A227="","",E227*IF(D227="USD",Setup!$B$4,1))</f>
        <v/>
      </c>
      <c r="I227" s="13">
        <f>IF(A227="","",IF(D227="USD",H227*Setup!$B$5*Setup!$B$6,0))</f>
        <v/>
      </c>
      <c r="J227" s="13">
        <f>IF(A227="","",H227+I227)</f>
        <v/>
      </c>
    </row>
    <row r="228">
      <c r="A228" s="11" t="n"/>
      <c r="B228" s="11" t="n"/>
      <c r="C228" s="11" t="n"/>
      <c r="D228" s="11" t="n"/>
      <c r="E228" s="12" t="n"/>
      <c r="F228" s="11" t="n"/>
      <c r="G228" s="11" t="n"/>
      <c r="H228" s="13">
        <f>IF(A228="","",E228*IF(D228="USD",Setup!$B$4,1))</f>
        <v/>
      </c>
      <c r="I228" s="13">
        <f>IF(A228="","",IF(D228="USD",H228*Setup!$B$5*Setup!$B$6,0))</f>
        <v/>
      </c>
      <c r="J228" s="13">
        <f>IF(A228="","",H228+I228)</f>
        <v/>
      </c>
    </row>
    <row r="229">
      <c r="A229" s="11" t="n"/>
      <c r="B229" s="11" t="n"/>
      <c r="C229" s="11" t="n"/>
      <c r="D229" s="11" t="n"/>
      <c r="E229" s="12" t="n"/>
      <c r="F229" s="11" t="n"/>
      <c r="G229" s="11" t="n"/>
      <c r="H229" s="13">
        <f>IF(A229="","",E229*IF(D229="USD",Setup!$B$4,1))</f>
        <v/>
      </c>
      <c r="I229" s="13">
        <f>IF(A229="","",IF(D229="USD",H229*Setup!$B$5*Setup!$B$6,0))</f>
        <v/>
      </c>
      <c r="J229" s="13">
        <f>IF(A229="","",H229+I229)</f>
        <v/>
      </c>
    </row>
    <row r="230">
      <c r="A230" s="11" t="n"/>
      <c r="B230" s="11" t="n"/>
      <c r="C230" s="11" t="n"/>
      <c r="D230" s="11" t="n"/>
      <c r="E230" s="12" t="n"/>
      <c r="F230" s="11" t="n"/>
      <c r="G230" s="11" t="n"/>
      <c r="H230" s="13">
        <f>IF(A230="","",E230*IF(D230="USD",Setup!$B$4,1))</f>
        <v/>
      </c>
      <c r="I230" s="13">
        <f>IF(A230="","",IF(D230="USD",H230*Setup!$B$5*Setup!$B$6,0))</f>
        <v/>
      </c>
      <c r="J230" s="13">
        <f>IF(A230="","",H230+I230)</f>
        <v/>
      </c>
    </row>
    <row r="231">
      <c r="A231" s="11" t="n"/>
      <c r="B231" s="11" t="n"/>
      <c r="C231" s="11" t="n"/>
      <c r="D231" s="11" t="n"/>
      <c r="E231" s="12" t="n"/>
      <c r="F231" s="11" t="n"/>
      <c r="G231" s="11" t="n"/>
      <c r="H231" s="13">
        <f>IF(A231="","",E231*IF(D231="USD",Setup!$B$4,1))</f>
        <v/>
      </c>
      <c r="I231" s="13">
        <f>IF(A231="","",IF(D231="USD",H231*Setup!$B$5*Setup!$B$6,0))</f>
        <v/>
      </c>
      <c r="J231" s="13">
        <f>IF(A231="","",H231+I231)</f>
        <v/>
      </c>
    </row>
    <row r="232">
      <c r="A232" s="11" t="n"/>
      <c r="B232" s="11" t="n"/>
      <c r="C232" s="11" t="n"/>
      <c r="D232" s="11" t="n"/>
      <c r="E232" s="12" t="n"/>
      <c r="F232" s="11" t="n"/>
      <c r="G232" s="11" t="n"/>
      <c r="H232" s="13">
        <f>IF(A232="","",E232*IF(D232="USD",Setup!$B$4,1))</f>
        <v/>
      </c>
      <c r="I232" s="13">
        <f>IF(A232="","",IF(D232="USD",H232*Setup!$B$5*Setup!$B$6,0))</f>
        <v/>
      </c>
      <c r="J232" s="13">
        <f>IF(A232="","",H232+I232)</f>
        <v/>
      </c>
    </row>
    <row r="233">
      <c r="A233" s="11" t="n"/>
      <c r="B233" s="11" t="n"/>
      <c r="C233" s="11" t="n"/>
      <c r="D233" s="11" t="n"/>
      <c r="E233" s="12" t="n"/>
      <c r="F233" s="11" t="n"/>
      <c r="G233" s="11" t="n"/>
      <c r="H233" s="13">
        <f>IF(A233="","",E233*IF(D233="USD",Setup!$B$4,1))</f>
        <v/>
      </c>
      <c r="I233" s="13">
        <f>IF(A233="","",IF(D233="USD",H233*Setup!$B$5*Setup!$B$6,0))</f>
        <v/>
      </c>
      <c r="J233" s="13">
        <f>IF(A233="","",H233+I233)</f>
        <v/>
      </c>
    </row>
    <row r="234">
      <c r="A234" s="11" t="n"/>
      <c r="B234" s="11" t="n"/>
      <c r="C234" s="11" t="n"/>
      <c r="D234" s="11" t="n"/>
      <c r="E234" s="12" t="n"/>
      <c r="F234" s="11" t="n"/>
      <c r="G234" s="11" t="n"/>
      <c r="H234" s="13">
        <f>IF(A234="","",E234*IF(D234="USD",Setup!$B$4,1))</f>
        <v/>
      </c>
      <c r="I234" s="13">
        <f>IF(A234="","",IF(D234="USD",H234*Setup!$B$5*Setup!$B$6,0))</f>
        <v/>
      </c>
      <c r="J234" s="13">
        <f>IF(A234="","",H234+I234)</f>
        <v/>
      </c>
    </row>
    <row r="235">
      <c r="A235" s="11" t="n"/>
      <c r="B235" s="11" t="n"/>
      <c r="C235" s="11" t="n"/>
      <c r="D235" s="11" t="n"/>
      <c r="E235" s="12" t="n"/>
      <c r="F235" s="11" t="n"/>
      <c r="G235" s="11" t="n"/>
      <c r="H235" s="13">
        <f>IF(A235="","",E235*IF(D235="USD",Setup!$B$4,1))</f>
        <v/>
      </c>
      <c r="I235" s="13">
        <f>IF(A235="","",IF(D235="USD",H235*Setup!$B$5*Setup!$B$6,0))</f>
        <v/>
      </c>
      <c r="J235" s="13">
        <f>IF(A235="","",H235+I235)</f>
        <v/>
      </c>
    </row>
    <row r="236">
      <c r="A236" s="11" t="n"/>
      <c r="B236" s="11" t="n"/>
      <c r="C236" s="11" t="n"/>
      <c r="D236" s="11" t="n"/>
      <c r="E236" s="12" t="n"/>
      <c r="F236" s="11" t="n"/>
      <c r="G236" s="11" t="n"/>
      <c r="H236" s="13">
        <f>IF(A236="","",E236*IF(D236="USD",Setup!$B$4,1))</f>
        <v/>
      </c>
      <c r="I236" s="13">
        <f>IF(A236="","",IF(D236="USD",H236*Setup!$B$5*Setup!$B$6,0))</f>
        <v/>
      </c>
      <c r="J236" s="13">
        <f>IF(A236="","",H236+I236)</f>
        <v/>
      </c>
    </row>
    <row r="237">
      <c r="A237" s="11" t="n"/>
      <c r="B237" s="11" t="n"/>
      <c r="C237" s="11" t="n"/>
      <c r="D237" s="11" t="n"/>
      <c r="E237" s="12" t="n"/>
      <c r="F237" s="11" t="n"/>
      <c r="G237" s="11" t="n"/>
      <c r="H237" s="13">
        <f>IF(A237="","",E237*IF(D237="USD",Setup!$B$4,1))</f>
        <v/>
      </c>
      <c r="I237" s="13">
        <f>IF(A237="","",IF(D237="USD",H237*Setup!$B$5*Setup!$B$6,0))</f>
        <v/>
      </c>
      <c r="J237" s="13">
        <f>IF(A237="","",H237+I237)</f>
        <v/>
      </c>
    </row>
    <row r="238">
      <c r="A238" s="11" t="n"/>
      <c r="B238" s="11" t="n"/>
      <c r="C238" s="11" t="n"/>
      <c r="D238" s="11" t="n"/>
      <c r="E238" s="12" t="n"/>
      <c r="F238" s="11" t="n"/>
      <c r="G238" s="11" t="n"/>
      <c r="H238" s="13">
        <f>IF(A238="","",E238*IF(D238="USD",Setup!$B$4,1))</f>
        <v/>
      </c>
      <c r="I238" s="13">
        <f>IF(A238="","",IF(D238="USD",H238*Setup!$B$5*Setup!$B$6,0))</f>
        <v/>
      </c>
      <c r="J238" s="13">
        <f>IF(A238="","",H238+I238)</f>
        <v/>
      </c>
    </row>
    <row r="239">
      <c r="A239" s="11" t="n"/>
      <c r="B239" s="11" t="n"/>
      <c r="C239" s="11" t="n"/>
      <c r="D239" s="11" t="n"/>
      <c r="E239" s="12" t="n"/>
      <c r="F239" s="11" t="n"/>
      <c r="G239" s="11" t="n"/>
      <c r="H239" s="13">
        <f>IF(A239="","",E239*IF(D239="USD",Setup!$B$4,1))</f>
        <v/>
      </c>
      <c r="I239" s="13">
        <f>IF(A239="","",IF(D239="USD",H239*Setup!$B$5*Setup!$B$6,0))</f>
        <v/>
      </c>
      <c r="J239" s="13">
        <f>IF(A239="","",H239+I239)</f>
        <v/>
      </c>
    </row>
    <row r="240">
      <c r="A240" s="11" t="n"/>
      <c r="B240" s="11" t="n"/>
      <c r="C240" s="11" t="n"/>
      <c r="D240" s="11" t="n"/>
      <c r="E240" s="12" t="n"/>
      <c r="F240" s="11" t="n"/>
      <c r="G240" s="11" t="n"/>
      <c r="H240" s="13">
        <f>IF(A240="","",E240*IF(D240="USD",Setup!$B$4,1))</f>
        <v/>
      </c>
      <c r="I240" s="13">
        <f>IF(A240="","",IF(D240="USD",H240*Setup!$B$5*Setup!$B$6,0))</f>
        <v/>
      </c>
      <c r="J240" s="13">
        <f>IF(A240="","",H240+I240)</f>
        <v/>
      </c>
    </row>
    <row r="241">
      <c r="A241" s="11" t="n"/>
      <c r="B241" s="11" t="n"/>
      <c r="C241" s="11" t="n"/>
      <c r="D241" s="11" t="n"/>
      <c r="E241" s="12" t="n"/>
      <c r="F241" s="11" t="n"/>
      <c r="G241" s="11" t="n"/>
      <c r="H241" s="13">
        <f>IF(A241="","",E241*IF(D241="USD",Setup!$B$4,1))</f>
        <v/>
      </c>
      <c r="I241" s="13">
        <f>IF(A241="","",IF(D241="USD",H241*Setup!$B$5*Setup!$B$6,0))</f>
        <v/>
      </c>
      <c r="J241" s="13">
        <f>IF(A241="","",H241+I241)</f>
        <v/>
      </c>
    </row>
    <row r="242">
      <c r="A242" s="11" t="n"/>
      <c r="B242" s="11" t="n"/>
      <c r="C242" s="11" t="n"/>
      <c r="D242" s="11" t="n"/>
      <c r="E242" s="12" t="n"/>
      <c r="F242" s="11" t="n"/>
      <c r="G242" s="11" t="n"/>
      <c r="H242" s="13">
        <f>IF(A242="","",E242*IF(D242="USD",Setup!$B$4,1))</f>
        <v/>
      </c>
      <c r="I242" s="13">
        <f>IF(A242="","",IF(D242="USD",H242*Setup!$B$5*Setup!$B$6,0))</f>
        <v/>
      </c>
      <c r="J242" s="13">
        <f>IF(A242="","",H242+I242)</f>
        <v/>
      </c>
    </row>
    <row r="243">
      <c r="A243" s="11" t="n"/>
      <c r="B243" s="11" t="n"/>
      <c r="C243" s="11" t="n"/>
      <c r="D243" s="11" t="n"/>
      <c r="E243" s="12" t="n"/>
      <c r="F243" s="11" t="n"/>
      <c r="G243" s="11" t="n"/>
      <c r="H243" s="13">
        <f>IF(A243="","",E243*IF(D243="USD",Setup!$B$4,1))</f>
        <v/>
      </c>
      <c r="I243" s="13">
        <f>IF(A243="","",IF(D243="USD",H243*Setup!$B$5*Setup!$B$6,0))</f>
        <v/>
      </c>
      <c r="J243" s="13">
        <f>IF(A243="","",H243+I243)</f>
        <v/>
      </c>
    </row>
    <row r="244">
      <c r="A244" s="11" t="n"/>
      <c r="B244" s="11" t="n"/>
      <c r="C244" s="11" t="n"/>
      <c r="D244" s="11" t="n"/>
      <c r="E244" s="12" t="n"/>
      <c r="F244" s="11" t="n"/>
      <c r="G244" s="11" t="n"/>
      <c r="H244" s="13">
        <f>IF(A244="","",E244*IF(D244="USD",Setup!$B$4,1))</f>
        <v/>
      </c>
      <c r="I244" s="13">
        <f>IF(A244="","",IF(D244="USD",H244*Setup!$B$5*Setup!$B$6,0))</f>
        <v/>
      </c>
      <c r="J244" s="13">
        <f>IF(A244="","",H244+I244)</f>
        <v/>
      </c>
    </row>
    <row r="245">
      <c r="A245" s="11" t="n"/>
      <c r="B245" s="11" t="n"/>
      <c r="C245" s="11" t="n"/>
      <c r="D245" s="11" t="n"/>
      <c r="E245" s="12" t="n"/>
      <c r="F245" s="11" t="n"/>
      <c r="G245" s="11" t="n"/>
      <c r="H245" s="13">
        <f>IF(A245="","",E245*IF(D245="USD",Setup!$B$4,1))</f>
        <v/>
      </c>
      <c r="I245" s="13">
        <f>IF(A245="","",IF(D245="USD",H245*Setup!$B$5*Setup!$B$6,0))</f>
        <v/>
      </c>
      <c r="J245" s="13">
        <f>IF(A245="","",H245+I245)</f>
        <v/>
      </c>
    </row>
    <row r="246">
      <c r="A246" s="11" t="n"/>
      <c r="B246" s="11" t="n"/>
      <c r="C246" s="11" t="n"/>
      <c r="D246" s="11" t="n"/>
      <c r="E246" s="12" t="n"/>
      <c r="F246" s="11" t="n"/>
      <c r="G246" s="11" t="n"/>
      <c r="H246" s="13">
        <f>IF(A246="","",E246*IF(D246="USD",Setup!$B$4,1))</f>
        <v/>
      </c>
      <c r="I246" s="13">
        <f>IF(A246="","",IF(D246="USD",H246*Setup!$B$5*Setup!$B$6,0))</f>
        <v/>
      </c>
      <c r="J246" s="13">
        <f>IF(A246="","",H246+I246)</f>
        <v/>
      </c>
    </row>
    <row r="247">
      <c r="A247" s="11" t="n"/>
      <c r="B247" s="11" t="n"/>
      <c r="C247" s="11" t="n"/>
      <c r="D247" s="11" t="n"/>
      <c r="E247" s="12" t="n"/>
      <c r="F247" s="11" t="n"/>
      <c r="G247" s="11" t="n"/>
      <c r="H247" s="13">
        <f>IF(A247="","",E247*IF(D247="USD",Setup!$B$4,1))</f>
        <v/>
      </c>
      <c r="I247" s="13">
        <f>IF(A247="","",IF(D247="USD",H247*Setup!$B$5*Setup!$B$6,0))</f>
        <v/>
      </c>
      <c r="J247" s="13">
        <f>IF(A247="","",H247+I247)</f>
        <v/>
      </c>
    </row>
    <row r="248">
      <c r="A248" s="11" t="n"/>
      <c r="B248" s="11" t="n"/>
      <c r="C248" s="11" t="n"/>
      <c r="D248" s="11" t="n"/>
      <c r="E248" s="12" t="n"/>
      <c r="F248" s="11" t="n"/>
      <c r="G248" s="11" t="n"/>
      <c r="H248" s="13">
        <f>IF(A248="","",E248*IF(D248="USD",Setup!$B$4,1))</f>
        <v/>
      </c>
      <c r="I248" s="13">
        <f>IF(A248="","",IF(D248="USD",H248*Setup!$B$5*Setup!$B$6,0))</f>
        <v/>
      </c>
      <c r="J248" s="13">
        <f>IF(A248="","",H248+I248)</f>
        <v/>
      </c>
    </row>
    <row r="249">
      <c r="A249" s="11" t="n"/>
      <c r="B249" s="11" t="n"/>
      <c r="C249" s="11" t="n"/>
      <c r="D249" s="11" t="n"/>
      <c r="E249" s="12" t="n"/>
      <c r="F249" s="11" t="n"/>
      <c r="G249" s="11" t="n"/>
      <c r="H249" s="13">
        <f>IF(A249="","",E249*IF(D249="USD",Setup!$B$4,1))</f>
        <v/>
      </c>
      <c r="I249" s="13">
        <f>IF(A249="","",IF(D249="USD",H249*Setup!$B$5*Setup!$B$6,0))</f>
        <v/>
      </c>
      <c r="J249" s="13">
        <f>IF(A249="","",H249+I249)</f>
        <v/>
      </c>
    </row>
    <row r="250">
      <c r="A250" s="11" t="n"/>
      <c r="B250" s="11" t="n"/>
      <c r="C250" s="11" t="n"/>
      <c r="D250" s="11" t="n"/>
      <c r="E250" s="12" t="n"/>
      <c r="F250" s="11" t="n"/>
      <c r="G250" s="11" t="n"/>
      <c r="H250" s="13">
        <f>IF(A250="","",E250*IF(D250="USD",Setup!$B$4,1))</f>
        <v/>
      </c>
      <c r="I250" s="13">
        <f>IF(A250="","",IF(D250="USD",H250*Setup!$B$5*Setup!$B$6,0))</f>
        <v/>
      </c>
      <c r="J250" s="13">
        <f>IF(A250="","",H250+I250)</f>
        <v/>
      </c>
    </row>
    <row r="251">
      <c r="A251" s="11" t="n"/>
      <c r="B251" s="11" t="n"/>
      <c r="C251" s="11" t="n"/>
      <c r="D251" s="11" t="n"/>
      <c r="E251" s="12" t="n"/>
      <c r="F251" s="11" t="n"/>
      <c r="G251" s="11" t="n"/>
      <c r="H251" s="13">
        <f>IF(A251="","",E251*IF(D251="USD",Setup!$B$4,1))</f>
        <v/>
      </c>
      <c r="I251" s="13">
        <f>IF(A251="","",IF(D251="USD",H251*Setup!$B$5*Setup!$B$6,0))</f>
        <v/>
      </c>
      <c r="J251" s="13">
        <f>IF(A251="","",H251+I251)</f>
        <v/>
      </c>
    </row>
    <row r="252">
      <c r="A252" s="11" t="n"/>
      <c r="B252" s="11" t="n"/>
      <c r="C252" s="11" t="n"/>
      <c r="D252" s="11" t="n"/>
      <c r="E252" s="12" t="n"/>
      <c r="F252" s="11" t="n"/>
      <c r="G252" s="11" t="n"/>
      <c r="H252" s="13">
        <f>IF(A252="","",E252*IF(D252="USD",Setup!$B$4,1))</f>
        <v/>
      </c>
      <c r="I252" s="13">
        <f>IF(A252="","",IF(D252="USD",H252*Setup!$B$5*Setup!$B$6,0))</f>
        <v/>
      </c>
      <c r="J252" s="13">
        <f>IF(A252="","",H252+I252)</f>
        <v/>
      </c>
    </row>
    <row r="253">
      <c r="A253" s="11" t="n"/>
      <c r="B253" s="11" t="n"/>
      <c r="C253" s="11" t="n"/>
      <c r="D253" s="11" t="n"/>
      <c r="E253" s="12" t="n"/>
      <c r="F253" s="11" t="n"/>
      <c r="G253" s="11" t="n"/>
      <c r="H253" s="13">
        <f>IF(A253="","",E253*IF(D253="USD",Setup!$B$4,1))</f>
        <v/>
      </c>
      <c r="I253" s="13">
        <f>IF(A253="","",IF(D253="USD",H253*Setup!$B$5*Setup!$B$6,0))</f>
        <v/>
      </c>
      <c r="J253" s="13">
        <f>IF(A253="","",H253+I253)</f>
        <v/>
      </c>
    </row>
    <row r="254">
      <c r="A254" s="11" t="n"/>
      <c r="B254" s="11" t="n"/>
      <c r="C254" s="11" t="n"/>
      <c r="D254" s="11" t="n"/>
      <c r="E254" s="12" t="n"/>
      <c r="F254" s="11" t="n"/>
      <c r="G254" s="11" t="n"/>
      <c r="H254" s="13">
        <f>IF(A254="","",E254*IF(D254="USD",Setup!$B$4,1))</f>
        <v/>
      </c>
      <c r="I254" s="13">
        <f>IF(A254="","",IF(D254="USD",H254*Setup!$B$5*Setup!$B$6,0))</f>
        <v/>
      </c>
      <c r="J254" s="13">
        <f>IF(A254="","",H254+I254)</f>
        <v/>
      </c>
    </row>
    <row r="255">
      <c r="A255" s="11" t="n"/>
      <c r="B255" s="11" t="n"/>
      <c r="C255" s="11" t="n"/>
      <c r="D255" s="11" t="n"/>
      <c r="E255" s="12" t="n"/>
      <c r="F255" s="11" t="n"/>
      <c r="G255" s="11" t="n"/>
      <c r="H255" s="13">
        <f>IF(A255="","",E255*IF(D255="USD",Setup!$B$4,1))</f>
        <v/>
      </c>
      <c r="I255" s="13">
        <f>IF(A255="","",IF(D255="USD",H255*Setup!$B$5*Setup!$B$6,0))</f>
        <v/>
      </c>
      <c r="J255" s="13">
        <f>IF(A255="","",H255+I255)</f>
        <v/>
      </c>
    </row>
    <row r="256">
      <c r="A256" s="11" t="n"/>
      <c r="B256" s="11" t="n"/>
      <c r="C256" s="11" t="n"/>
      <c r="D256" s="11" t="n"/>
      <c r="E256" s="12" t="n"/>
      <c r="F256" s="11" t="n"/>
      <c r="G256" s="11" t="n"/>
      <c r="H256" s="13">
        <f>IF(A256="","",E256*IF(D256="USD",Setup!$B$4,1))</f>
        <v/>
      </c>
      <c r="I256" s="13">
        <f>IF(A256="","",IF(D256="USD",H256*Setup!$B$5*Setup!$B$6,0))</f>
        <v/>
      </c>
      <c r="J256" s="13">
        <f>IF(A256="","",H256+I256)</f>
        <v/>
      </c>
    </row>
    <row r="257">
      <c r="A257" s="11" t="n"/>
      <c r="B257" s="11" t="n"/>
      <c r="C257" s="11" t="n"/>
      <c r="D257" s="11" t="n"/>
      <c r="E257" s="12" t="n"/>
      <c r="F257" s="11" t="n"/>
      <c r="G257" s="11" t="n"/>
      <c r="H257" s="13">
        <f>IF(A257="","",E257*IF(D257="USD",Setup!$B$4,1))</f>
        <v/>
      </c>
      <c r="I257" s="13">
        <f>IF(A257="","",IF(D257="USD",H257*Setup!$B$5*Setup!$B$6,0))</f>
        <v/>
      </c>
      <c r="J257" s="13">
        <f>IF(A257="","",H257+I257)</f>
        <v/>
      </c>
    </row>
    <row r="258">
      <c r="A258" s="11" t="n"/>
      <c r="B258" s="11" t="n"/>
      <c r="C258" s="11" t="n"/>
      <c r="D258" s="11" t="n"/>
      <c r="E258" s="12" t="n"/>
      <c r="F258" s="11" t="n"/>
      <c r="G258" s="11" t="n"/>
      <c r="H258" s="13">
        <f>IF(A258="","",E258*IF(D258="USD",Setup!$B$4,1))</f>
        <v/>
      </c>
      <c r="I258" s="13">
        <f>IF(A258="","",IF(D258="USD",H258*Setup!$B$5*Setup!$B$6,0))</f>
        <v/>
      </c>
      <c r="J258" s="13">
        <f>IF(A258="","",H258+I258)</f>
        <v/>
      </c>
    </row>
    <row r="259">
      <c r="A259" s="11" t="n"/>
      <c r="B259" s="11" t="n"/>
      <c r="C259" s="11" t="n"/>
      <c r="D259" s="11" t="n"/>
      <c r="E259" s="12" t="n"/>
      <c r="F259" s="11" t="n"/>
      <c r="G259" s="11" t="n"/>
      <c r="H259" s="13">
        <f>IF(A259="","",E259*IF(D259="USD",Setup!$B$4,1))</f>
        <v/>
      </c>
      <c r="I259" s="13">
        <f>IF(A259="","",IF(D259="USD",H259*Setup!$B$5*Setup!$B$6,0))</f>
        <v/>
      </c>
      <c r="J259" s="13">
        <f>IF(A259="","",H259+I259)</f>
        <v/>
      </c>
    </row>
    <row r="260">
      <c r="A260" s="11" t="n"/>
      <c r="B260" s="11" t="n"/>
      <c r="C260" s="11" t="n"/>
      <c r="D260" s="11" t="n"/>
      <c r="E260" s="12" t="n"/>
      <c r="F260" s="11" t="n"/>
      <c r="G260" s="11" t="n"/>
      <c r="H260" s="13">
        <f>IF(A260="","",E260*IF(D260="USD",Setup!$B$4,1))</f>
        <v/>
      </c>
      <c r="I260" s="13">
        <f>IF(A260="","",IF(D260="USD",H260*Setup!$B$5*Setup!$B$6,0))</f>
        <v/>
      </c>
      <c r="J260" s="13">
        <f>IF(A260="","",H260+I260)</f>
        <v/>
      </c>
    </row>
    <row r="261">
      <c r="A261" s="11" t="n"/>
      <c r="B261" s="11" t="n"/>
      <c r="C261" s="11" t="n"/>
      <c r="D261" s="11" t="n"/>
      <c r="E261" s="12" t="n"/>
      <c r="F261" s="11" t="n"/>
      <c r="G261" s="11" t="n"/>
      <c r="H261" s="13">
        <f>IF(A261="","",E261*IF(D261="USD",Setup!$B$4,1))</f>
        <v/>
      </c>
      <c r="I261" s="13">
        <f>IF(A261="","",IF(D261="USD",H261*Setup!$B$5*Setup!$B$6,0))</f>
        <v/>
      </c>
      <c r="J261" s="13">
        <f>IF(A261="","",H261+I261)</f>
        <v/>
      </c>
    </row>
    <row r="262">
      <c r="A262" s="11" t="n"/>
      <c r="B262" s="11" t="n"/>
      <c r="C262" s="11" t="n"/>
      <c r="D262" s="11" t="n"/>
      <c r="E262" s="12" t="n"/>
      <c r="F262" s="11" t="n"/>
      <c r="G262" s="11" t="n"/>
      <c r="H262" s="13">
        <f>IF(A262="","",E262*IF(D262="USD",Setup!$B$4,1))</f>
        <v/>
      </c>
      <c r="I262" s="13">
        <f>IF(A262="","",IF(D262="USD",H262*Setup!$B$5*Setup!$B$6,0))</f>
        <v/>
      </c>
      <c r="J262" s="13">
        <f>IF(A262="","",H262+I262)</f>
        <v/>
      </c>
    </row>
    <row r="263">
      <c r="A263" s="11" t="n"/>
      <c r="B263" s="11" t="n"/>
      <c r="C263" s="11" t="n"/>
      <c r="D263" s="11" t="n"/>
      <c r="E263" s="12" t="n"/>
      <c r="F263" s="11" t="n"/>
      <c r="G263" s="11" t="n"/>
      <c r="H263" s="13">
        <f>IF(A263="","",E263*IF(D263="USD",Setup!$B$4,1))</f>
        <v/>
      </c>
      <c r="I263" s="13">
        <f>IF(A263="","",IF(D263="USD",H263*Setup!$B$5*Setup!$B$6,0))</f>
        <v/>
      </c>
      <c r="J263" s="13">
        <f>IF(A263="","",H263+I263)</f>
        <v/>
      </c>
    </row>
    <row r="264">
      <c r="A264" s="11" t="n"/>
      <c r="B264" s="11" t="n"/>
      <c r="C264" s="11" t="n"/>
      <c r="D264" s="11" t="n"/>
      <c r="E264" s="12" t="n"/>
      <c r="F264" s="11" t="n"/>
      <c r="G264" s="11" t="n"/>
      <c r="H264" s="13">
        <f>IF(A264="","",E264*IF(D264="USD",Setup!$B$4,1))</f>
        <v/>
      </c>
      <c r="I264" s="13">
        <f>IF(A264="","",IF(D264="USD",H264*Setup!$B$5*Setup!$B$6,0))</f>
        <v/>
      </c>
      <c r="J264" s="13">
        <f>IF(A264="","",H264+I264)</f>
        <v/>
      </c>
    </row>
    <row r="265">
      <c r="A265" s="11" t="n"/>
      <c r="B265" s="11" t="n"/>
      <c r="C265" s="11" t="n"/>
      <c r="D265" s="11" t="n"/>
      <c r="E265" s="12" t="n"/>
      <c r="F265" s="11" t="n"/>
      <c r="G265" s="11" t="n"/>
      <c r="H265" s="13">
        <f>IF(A265="","",E265*IF(D265="USD",Setup!$B$4,1))</f>
        <v/>
      </c>
      <c r="I265" s="13">
        <f>IF(A265="","",IF(D265="USD",H265*Setup!$B$5*Setup!$B$6,0))</f>
        <v/>
      </c>
      <c r="J265" s="13">
        <f>IF(A265="","",H265+I265)</f>
        <v/>
      </c>
    </row>
    <row r="266">
      <c r="A266" s="11" t="n"/>
      <c r="B266" s="11" t="n"/>
      <c r="C266" s="11" t="n"/>
      <c r="D266" s="11" t="n"/>
      <c r="E266" s="12" t="n"/>
      <c r="F266" s="11" t="n"/>
      <c r="G266" s="11" t="n"/>
      <c r="H266" s="13">
        <f>IF(A266="","",E266*IF(D266="USD",Setup!$B$4,1))</f>
        <v/>
      </c>
      <c r="I266" s="13">
        <f>IF(A266="","",IF(D266="USD",H266*Setup!$B$5*Setup!$B$6,0))</f>
        <v/>
      </c>
      <c r="J266" s="13">
        <f>IF(A266="","",H266+I266)</f>
        <v/>
      </c>
    </row>
    <row r="267">
      <c r="A267" s="11" t="n"/>
      <c r="B267" s="11" t="n"/>
      <c r="C267" s="11" t="n"/>
      <c r="D267" s="11" t="n"/>
      <c r="E267" s="12" t="n"/>
      <c r="F267" s="11" t="n"/>
      <c r="G267" s="11" t="n"/>
      <c r="H267" s="13">
        <f>IF(A267="","",E267*IF(D267="USD",Setup!$B$4,1))</f>
        <v/>
      </c>
      <c r="I267" s="13">
        <f>IF(A267="","",IF(D267="USD",H267*Setup!$B$5*Setup!$B$6,0))</f>
        <v/>
      </c>
      <c r="J267" s="13">
        <f>IF(A267="","",H267+I267)</f>
        <v/>
      </c>
    </row>
    <row r="268">
      <c r="A268" s="11" t="n"/>
      <c r="B268" s="11" t="n"/>
      <c r="C268" s="11" t="n"/>
      <c r="D268" s="11" t="n"/>
      <c r="E268" s="12" t="n"/>
      <c r="F268" s="11" t="n"/>
      <c r="G268" s="11" t="n"/>
      <c r="H268" s="13">
        <f>IF(A268="","",E268*IF(D268="USD",Setup!$B$4,1))</f>
        <v/>
      </c>
      <c r="I268" s="13">
        <f>IF(A268="","",IF(D268="USD",H268*Setup!$B$5*Setup!$B$6,0))</f>
        <v/>
      </c>
      <c r="J268" s="13">
        <f>IF(A268="","",H268+I268)</f>
        <v/>
      </c>
    </row>
    <row r="269">
      <c r="A269" s="11" t="n"/>
      <c r="B269" s="11" t="n"/>
      <c r="C269" s="11" t="n"/>
      <c r="D269" s="11" t="n"/>
      <c r="E269" s="12" t="n"/>
      <c r="F269" s="11" t="n"/>
      <c r="G269" s="11" t="n"/>
      <c r="H269" s="13">
        <f>IF(A269="","",E269*IF(D269="USD",Setup!$B$4,1))</f>
        <v/>
      </c>
      <c r="I269" s="13">
        <f>IF(A269="","",IF(D269="USD",H269*Setup!$B$5*Setup!$B$6,0))</f>
        <v/>
      </c>
      <c r="J269" s="13">
        <f>IF(A269="","",H269+I269)</f>
        <v/>
      </c>
    </row>
    <row r="270">
      <c r="A270" s="11" t="n"/>
      <c r="B270" s="11" t="n"/>
      <c r="C270" s="11" t="n"/>
      <c r="D270" s="11" t="n"/>
      <c r="E270" s="12" t="n"/>
      <c r="F270" s="11" t="n"/>
      <c r="G270" s="11" t="n"/>
      <c r="H270" s="13">
        <f>IF(A270="","",E270*IF(D270="USD",Setup!$B$4,1))</f>
        <v/>
      </c>
      <c r="I270" s="13">
        <f>IF(A270="","",IF(D270="USD",H270*Setup!$B$5*Setup!$B$6,0))</f>
        <v/>
      </c>
      <c r="J270" s="13">
        <f>IF(A270="","",H270+I270)</f>
        <v/>
      </c>
    </row>
    <row r="271">
      <c r="A271" s="11" t="n"/>
      <c r="B271" s="11" t="n"/>
      <c r="C271" s="11" t="n"/>
      <c r="D271" s="11" t="n"/>
      <c r="E271" s="12" t="n"/>
      <c r="F271" s="11" t="n"/>
      <c r="G271" s="11" t="n"/>
      <c r="H271" s="13">
        <f>IF(A271="","",E271*IF(D271="USD",Setup!$B$4,1))</f>
        <v/>
      </c>
      <c r="I271" s="13">
        <f>IF(A271="","",IF(D271="USD",H271*Setup!$B$5*Setup!$B$6,0))</f>
        <v/>
      </c>
      <c r="J271" s="13">
        <f>IF(A271="","",H271+I271)</f>
        <v/>
      </c>
    </row>
    <row r="272">
      <c r="A272" s="11" t="n"/>
      <c r="B272" s="11" t="n"/>
      <c r="C272" s="11" t="n"/>
      <c r="D272" s="11" t="n"/>
      <c r="E272" s="12" t="n"/>
      <c r="F272" s="11" t="n"/>
      <c r="G272" s="11" t="n"/>
      <c r="H272" s="13">
        <f>IF(A272="","",E272*IF(D272="USD",Setup!$B$4,1))</f>
        <v/>
      </c>
      <c r="I272" s="13">
        <f>IF(A272="","",IF(D272="USD",H272*Setup!$B$5*Setup!$B$6,0))</f>
        <v/>
      </c>
      <c r="J272" s="13">
        <f>IF(A272="","",H272+I272)</f>
        <v/>
      </c>
    </row>
    <row r="273">
      <c r="A273" s="11" t="n"/>
      <c r="B273" s="11" t="n"/>
      <c r="C273" s="11" t="n"/>
      <c r="D273" s="11" t="n"/>
      <c r="E273" s="12" t="n"/>
      <c r="F273" s="11" t="n"/>
      <c r="G273" s="11" t="n"/>
      <c r="H273" s="13">
        <f>IF(A273="","",E273*IF(D273="USD",Setup!$B$4,1))</f>
        <v/>
      </c>
      <c r="I273" s="13">
        <f>IF(A273="","",IF(D273="USD",H273*Setup!$B$5*Setup!$B$6,0))</f>
        <v/>
      </c>
      <c r="J273" s="13">
        <f>IF(A273="","",H273+I273)</f>
        <v/>
      </c>
    </row>
    <row r="274">
      <c r="A274" s="11" t="n"/>
      <c r="B274" s="11" t="n"/>
      <c r="C274" s="11" t="n"/>
      <c r="D274" s="11" t="n"/>
      <c r="E274" s="12" t="n"/>
      <c r="F274" s="11" t="n"/>
      <c r="G274" s="11" t="n"/>
      <c r="H274" s="13">
        <f>IF(A274="","",E274*IF(D274="USD",Setup!$B$4,1))</f>
        <v/>
      </c>
      <c r="I274" s="13">
        <f>IF(A274="","",IF(D274="USD",H274*Setup!$B$5*Setup!$B$6,0))</f>
        <v/>
      </c>
      <c r="J274" s="13">
        <f>IF(A274="","",H274+I274)</f>
        <v/>
      </c>
    </row>
    <row r="275">
      <c r="A275" s="11" t="n"/>
      <c r="B275" s="11" t="n"/>
      <c r="C275" s="11" t="n"/>
      <c r="D275" s="11" t="n"/>
      <c r="E275" s="12" t="n"/>
      <c r="F275" s="11" t="n"/>
      <c r="G275" s="11" t="n"/>
      <c r="H275" s="13">
        <f>IF(A275="","",E275*IF(D275="USD",Setup!$B$4,1))</f>
        <v/>
      </c>
      <c r="I275" s="13">
        <f>IF(A275="","",IF(D275="USD",H275*Setup!$B$5*Setup!$B$6,0))</f>
        <v/>
      </c>
      <c r="J275" s="13">
        <f>IF(A275="","",H275+I275)</f>
        <v/>
      </c>
    </row>
    <row r="276">
      <c r="A276" s="11" t="n"/>
      <c r="B276" s="11" t="n"/>
      <c r="C276" s="11" t="n"/>
      <c r="D276" s="11" t="n"/>
      <c r="E276" s="12" t="n"/>
      <c r="F276" s="11" t="n"/>
      <c r="G276" s="11" t="n"/>
      <c r="H276" s="13">
        <f>IF(A276="","",E276*IF(D276="USD",Setup!$B$4,1))</f>
        <v/>
      </c>
      <c r="I276" s="13">
        <f>IF(A276="","",IF(D276="USD",H276*Setup!$B$5*Setup!$B$6,0))</f>
        <v/>
      </c>
      <c r="J276" s="13">
        <f>IF(A276="","",H276+I276)</f>
        <v/>
      </c>
    </row>
    <row r="277">
      <c r="A277" s="11" t="n"/>
      <c r="B277" s="11" t="n"/>
      <c r="C277" s="11" t="n"/>
      <c r="D277" s="11" t="n"/>
      <c r="E277" s="12" t="n"/>
      <c r="F277" s="11" t="n"/>
      <c r="G277" s="11" t="n"/>
      <c r="H277" s="13">
        <f>IF(A277="","",E277*IF(D277="USD",Setup!$B$4,1))</f>
        <v/>
      </c>
      <c r="I277" s="13">
        <f>IF(A277="","",IF(D277="USD",H277*Setup!$B$5*Setup!$B$6,0))</f>
        <v/>
      </c>
      <c r="J277" s="13">
        <f>IF(A277="","",H277+I277)</f>
        <v/>
      </c>
    </row>
    <row r="278">
      <c r="A278" s="11" t="n"/>
      <c r="B278" s="11" t="n"/>
      <c r="C278" s="11" t="n"/>
      <c r="D278" s="11" t="n"/>
      <c r="E278" s="12" t="n"/>
      <c r="F278" s="11" t="n"/>
      <c r="G278" s="11" t="n"/>
      <c r="H278" s="13">
        <f>IF(A278="","",E278*IF(D278="USD",Setup!$B$4,1))</f>
        <v/>
      </c>
      <c r="I278" s="13">
        <f>IF(A278="","",IF(D278="USD",H278*Setup!$B$5*Setup!$B$6,0))</f>
        <v/>
      </c>
      <c r="J278" s="13">
        <f>IF(A278="","",H278+I278)</f>
        <v/>
      </c>
    </row>
    <row r="279">
      <c r="A279" s="11" t="n"/>
      <c r="B279" s="11" t="n"/>
      <c r="C279" s="11" t="n"/>
      <c r="D279" s="11" t="n"/>
      <c r="E279" s="12" t="n"/>
      <c r="F279" s="11" t="n"/>
      <c r="G279" s="11" t="n"/>
      <c r="H279" s="13">
        <f>IF(A279="","",E279*IF(D279="USD",Setup!$B$4,1))</f>
        <v/>
      </c>
      <c r="I279" s="13">
        <f>IF(A279="","",IF(D279="USD",H279*Setup!$B$5*Setup!$B$6,0))</f>
        <v/>
      </c>
      <c r="J279" s="13">
        <f>IF(A279="","",H279+I279)</f>
        <v/>
      </c>
    </row>
    <row r="280">
      <c r="A280" s="11" t="n"/>
      <c r="B280" s="11" t="n"/>
      <c r="C280" s="11" t="n"/>
      <c r="D280" s="11" t="n"/>
      <c r="E280" s="12" t="n"/>
      <c r="F280" s="11" t="n"/>
      <c r="G280" s="11" t="n"/>
      <c r="H280" s="13">
        <f>IF(A280="","",E280*IF(D280="USD",Setup!$B$4,1))</f>
        <v/>
      </c>
      <c r="I280" s="13">
        <f>IF(A280="","",IF(D280="USD",H280*Setup!$B$5*Setup!$B$6,0))</f>
        <v/>
      </c>
      <c r="J280" s="13">
        <f>IF(A280="","",H280+I280)</f>
        <v/>
      </c>
    </row>
    <row r="281">
      <c r="A281" s="11" t="n"/>
      <c r="B281" s="11" t="n"/>
      <c r="C281" s="11" t="n"/>
      <c r="D281" s="11" t="n"/>
      <c r="E281" s="12" t="n"/>
      <c r="F281" s="11" t="n"/>
      <c r="G281" s="11" t="n"/>
      <c r="H281" s="13">
        <f>IF(A281="","",E281*IF(D281="USD",Setup!$B$4,1))</f>
        <v/>
      </c>
      <c r="I281" s="13">
        <f>IF(A281="","",IF(D281="USD",H281*Setup!$B$5*Setup!$B$6,0))</f>
        <v/>
      </c>
      <c r="J281" s="13">
        <f>IF(A281="","",H281+I281)</f>
        <v/>
      </c>
    </row>
    <row r="282">
      <c r="A282" s="11" t="n"/>
      <c r="B282" s="11" t="n"/>
      <c r="C282" s="11" t="n"/>
      <c r="D282" s="11" t="n"/>
      <c r="E282" s="12" t="n"/>
      <c r="F282" s="11" t="n"/>
      <c r="G282" s="11" t="n"/>
      <c r="H282" s="13">
        <f>IF(A282="","",E282*IF(D282="USD",Setup!$B$4,1))</f>
        <v/>
      </c>
      <c r="I282" s="13">
        <f>IF(A282="","",IF(D282="USD",H282*Setup!$B$5*Setup!$B$6,0))</f>
        <v/>
      </c>
      <c r="J282" s="13">
        <f>IF(A282="","",H282+I282)</f>
        <v/>
      </c>
    </row>
    <row r="283">
      <c r="A283" s="11" t="n"/>
      <c r="B283" s="11" t="n"/>
      <c r="C283" s="11" t="n"/>
      <c r="D283" s="11" t="n"/>
      <c r="E283" s="12" t="n"/>
      <c r="F283" s="11" t="n"/>
      <c r="G283" s="11" t="n"/>
      <c r="H283" s="13">
        <f>IF(A283="","",E283*IF(D283="USD",Setup!$B$4,1))</f>
        <v/>
      </c>
      <c r="I283" s="13">
        <f>IF(A283="","",IF(D283="USD",H283*Setup!$B$5*Setup!$B$6,0))</f>
        <v/>
      </c>
      <c r="J283" s="13">
        <f>IF(A283="","",H283+I283)</f>
        <v/>
      </c>
    </row>
    <row r="284">
      <c r="A284" s="11" t="n"/>
      <c r="B284" s="11" t="n"/>
      <c r="C284" s="11" t="n"/>
      <c r="D284" s="11" t="n"/>
      <c r="E284" s="12" t="n"/>
      <c r="F284" s="11" t="n"/>
      <c r="G284" s="11" t="n"/>
      <c r="H284" s="13">
        <f>IF(A284="","",E284*IF(D284="USD",Setup!$B$4,1))</f>
        <v/>
      </c>
      <c r="I284" s="13">
        <f>IF(A284="","",IF(D284="USD",H284*Setup!$B$5*Setup!$B$6,0))</f>
        <v/>
      </c>
      <c r="J284" s="13">
        <f>IF(A284="","",H284+I284)</f>
        <v/>
      </c>
    </row>
    <row r="285">
      <c r="A285" s="11" t="n"/>
      <c r="B285" s="11" t="n"/>
      <c r="C285" s="11" t="n"/>
      <c r="D285" s="11" t="n"/>
      <c r="E285" s="12" t="n"/>
      <c r="F285" s="11" t="n"/>
      <c r="G285" s="11" t="n"/>
      <c r="H285" s="13">
        <f>IF(A285="","",E285*IF(D285="USD",Setup!$B$4,1))</f>
        <v/>
      </c>
      <c r="I285" s="13">
        <f>IF(A285="","",IF(D285="USD",H285*Setup!$B$5*Setup!$B$6,0))</f>
        <v/>
      </c>
      <c r="J285" s="13">
        <f>IF(A285="","",H285+I285)</f>
        <v/>
      </c>
    </row>
    <row r="286">
      <c r="A286" s="11" t="n"/>
      <c r="B286" s="11" t="n"/>
      <c r="C286" s="11" t="n"/>
      <c r="D286" s="11" t="n"/>
      <c r="E286" s="12" t="n"/>
      <c r="F286" s="11" t="n"/>
      <c r="G286" s="11" t="n"/>
      <c r="H286" s="13">
        <f>IF(A286="","",E286*IF(D286="USD",Setup!$B$4,1))</f>
        <v/>
      </c>
      <c r="I286" s="13">
        <f>IF(A286="","",IF(D286="USD",H286*Setup!$B$5*Setup!$B$6,0))</f>
        <v/>
      </c>
      <c r="J286" s="13">
        <f>IF(A286="","",H286+I286)</f>
        <v/>
      </c>
    </row>
    <row r="287">
      <c r="A287" s="11" t="n"/>
      <c r="B287" s="11" t="n"/>
      <c r="C287" s="11" t="n"/>
      <c r="D287" s="11" t="n"/>
      <c r="E287" s="12" t="n"/>
      <c r="F287" s="11" t="n"/>
      <c r="G287" s="11" t="n"/>
      <c r="H287" s="13">
        <f>IF(A287="","",E287*IF(D287="USD",Setup!$B$4,1))</f>
        <v/>
      </c>
      <c r="I287" s="13">
        <f>IF(A287="","",IF(D287="USD",H287*Setup!$B$5*Setup!$B$6,0))</f>
        <v/>
      </c>
      <c r="J287" s="13">
        <f>IF(A287="","",H287+I287)</f>
        <v/>
      </c>
    </row>
    <row r="288">
      <c r="A288" s="11" t="n"/>
      <c r="B288" s="11" t="n"/>
      <c r="C288" s="11" t="n"/>
      <c r="D288" s="11" t="n"/>
      <c r="E288" s="12" t="n"/>
      <c r="F288" s="11" t="n"/>
      <c r="G288" s="11" t="n"/>
      <c r="H288" s="13">
        <f>IF(A288="","",E288*IF(D288="USD",Setup!$B$4,1))</f>
        <v/>
      </c>
      <c r="I288" s="13">
        <f>IF(A288="","",IF(D288="USD",H288*Setup!$B$5*Setup!$B$6,0))</f>
        <v/>
      </c>
      <c r="J288" s="13">
        <f>IF(A288="","",H288+I288)</f>
        <v/>
      </c>
    </row>
    <row r="289">
      <c r="A289" s="11" t="n"/>
      <c r="B289" s="11" t="n"/>
      <c r="C289" s="11" t="n"/>
      <c r="D289" s="11" t="n"/>
      <c r="E289" s="12" t="n"/>
      <c r="F289" s="11" t="n"/>
      <c r="G289" s="11" t="n"/>
      <c r="H289" s="13">
        <f>IF(A289="","",E289*IF(D289="USD",Setup!$B$4,1))</f>
        <v/>
      </c>
      <c r="I289" s="13">
        <f>IF(A289="","",IF(D289="USD",H289*Setup!$B$5*Setup!$B$6,0))</f>
        <v/>
      </c>
      <c r="J289" s="13">
        <f>IF(A289="","",H289+I289)</f>
        <v/>
      </c>
    </row>
    <row r="290">
      <c r="A290" s="11" t="n"/>
      <c r="B290" s="11" t="n"/>
      <c r="C290" s="11" t="n"/>
      <c r="D290" s="11" t="n"/>
      <c r="E290" s="12" t="n"/>
      <c r="F290" s="11" t="n"/>
      <c r="G290" s="11" t="n"/>
      <c r="H290" s="13">
        <f>IF(A290="","",E290*IF(D290="USD",Setup!$B$4,1))</f>
        <v/>
      </c>
      <c r="I290" s="13">
        <f>IF(A290="","",IF(D290="USD",H290*Setup!$B$5*Setup!$B$6,0))</f>
        <v/>
      </c>
      <c r="J290" s="13">
        <f>IF(A290="","",H290+I290)</f>
        <v/>
      </c>
    </row>
    <row r="291">
      <c r="A291" s="11" t="n"/>
      <c r="B291" s="11" t="n"/>
      <c r="C291" s="11" t="n"/>
      <c r="D291" s="11" t="n"/>
      <c r="E291" s="12" t="n"/>
      <c r="F291" s="11" t="n"/>
      <c r="G291" s="11" t="n"/>
      <c r="H291" s="13">
        <f>IF(A291="","",E291*IF(D291="USD",Setup!$B$4,1))</f>
        <v/>
      </c>
      <c r="I291" s="13">
        <f>IF(A291="","",IF(D291="USD",H291*Setup!$B$5*Setup!$B$6,0))</f>
        <v/>
      </c>
      <c r="J291" s="13">
        <f>IF(A291="","",H291+I291)</f>
        <v/>
      </c>
    </row>
    <row r="292">
      <c r="A292" s="11" t="n"/>
      <c r="B292" s="11" t="n"/>
      <c r="C292" s="11" t="n"/>
      <c r="D292" s="11" t="n"/>
      <c r="E292" s="12" t="n"/>
      <c r="F292" s="11" t="n"/>
      <c r="G292" s="11" t="n"/>
      <c r="H292" s="13">
        <f>IF(A292="","",E292*IF(D292="USD",Setup!$B$4,1))</f>
        <v/>
      </c>
      <c r="I292" s="13">
        <f>IF(A292="","",IF(D292="USD",H292*Setup!$B$5*Setup!$B$6,0))</f>
        <v/>
      </c>
      <c r="J292" s="13">
        <f>IF(A292="","",H292+I292)</f>
        <v/>
      </c>
    </row>
    <row r="293">
      <c r="A293" s="11" t="n"/>
      <c r="B293" s="11" t="n"/>
      <c r="C293" s="11" t="n"/>
      <c r="D293" s="11" t="n"/>
      <c r="E293" s="12" t="n"/>
      <c r="F293" s="11" t="n"/>
      <c r="G293" s="11" t="n"/>
      <c r="H293" s="13">
        <f>IF(A293="","",E293*IF(D293="USD",Setup!$B$4,1))</f>
        <v/>
      </c>
      <c r="I293" s="13">
        <f>IF(A293="","",IF(D293="USD",H293*Setup!$B$5*Setup!$B$6,0))</f>
        <v/>
      </c>
      <c r="J293" s="13">
        <f>IF(A293="","",H293+I293)</f>
        <v/>
      </c>
    </row>
    <row r="294">
      <c r="A294" s="11" t="n"/>
      <c r="B294" s="11" t="n"/>
      <c r="C294" s="11" t="n"/>
      <c r="D294" s="11" t="n"/>
      <c r="E294" s="12" t="n"/>
      <c r="F294" s="11" t="n"/>
      <c r="G294" s="11" t="n"/>
      <c r="H294" s="13">
        <f>IF(A294="","",E294*IF(D294="USD",Setup!$B$4,1))</f>
        <v/>
      </c>
      <c r="I294" s="13">
        <f>IF(A294="","",IF(D294="USD",H294*Setup!$B$5*Setup!$B$6,0))</f>
        <v/>
      </c>
      <c r="J294" s="13">
        <f>IF(A294="","",H294+I294)</f>
        <v/>
      </c>
    </row>
    <row r="295">
      <c r="A295" s="11" t="n"/>
      <c r="B295" s="11" t="n"/>
      <c r="C295" s="11" t="n"/>
      <c r="D295" s="11" t="n"/>
      <c r="E295" s="12" t="n"/>
      <c r="F295" s="11" t="n"/>
      <c r="G295" s="11" t="n"/>
      <c r="H295" s="13">
        <f>IF(A295="","",E295*IF(D295="USD",Setup!$B$4,1))</f>
        <v/>
      </c>
      <c r="I295" s="13">
        <f>IF(A295="","",IF(D295="USD",H295*Setup!$B$5*Setup!$B$6,0))</f>
        <v/>
      </c>
      <c r="J295" s="13">
        <f>IF(A295="","",H295+I295)</f>
        <v/>
      </c>
    </row>
    <row r="296">
      <c r="A296" s="11" t="n"/>
      <c r="B296" s="11" t="n"/>
      <c r="C296" s="11" t="n"/>
      <c r="D296" s="11" t="n"/>
      <c r="E296" s="12" t="n"/>
      <c r="F296" s="11" t="n"/>
      <c r="G296" s="11" t="n"/>
      <c r="H296" s="13">
        <f>IF(A296="","",E296*IF(D296="USD",Setup!$B$4,1))</f>
        <v/>
      </c>
      <c r="I296" s="13">
        <f>IF(A296="","",IF(D296="USD",H296*Setup!$B$5*Setup!$B$6,0))</f>
        <v/>
      </c>
      <c r="J296" s="13">
        <f>IF(A296="","",H296+I296)</f>
        <v/>
      </c>
    </row>
    <row r="297">
      <c r="A297" s="11" t="n"/>
      <c r="B297" s="11" t="n"/>
      <c r="C297" s="11" t="n"/>
      <c r="D297" s="11" t="n"/>
      <c r="E297" s="12" t="n"/>
      <c r="F297" s="11" t="n"/>
      <c r="G297" s="11" t="n"/>
      <c r="H297" s="13">
        <f>IF(A297="","",E297*IF(D297="USD",Setup!$B$4,1))</f>
        <v/>
      </c>
      <c r="I297" s="13">
        <f>IF(A297="","",IF(D297="USD",H297*Setup!$B$5*Setup!$B$6,0))</f>
        <v/>
      </c>
      <c r="J297" s="13">
        <f>IF(A297="","",H297+I297)</f>
        <v/>
      </c>
    </row>
    <row r="298">
      <c r="A298" s="11" t="n"/>
      <c r="B298" s="11" t="n"/>
      <c r="C298" s="11" t="n"/>
      <c r="D298" s="11" t="n"/>
      <c r="E298" s="12" t="n"/>
      <c r="F298" s="11" t="n"/>
      <c r="G298" s="11" t="n"/>
      <c r="H298" s="13">
        <f>IF(A298="","",E298*IF(D298="USD",Setup!$B$4,1))</f>
        <v/>
      </c>
      <c r="I298" s="13">
        <f>IF(A298="","",IF(D298="USD",H298*Setup!$B$5*Setup!$B$6,0))</f>
        <v/>
      </c>
      <c r="J298" s="13">
        <f>IF(A298="","",H298+I298)</f>
        <v/>
      </c>
    </row>
    <row r="299">
      <c r="A299" s="11" t="n"/>
      <c r="B299" s="11" t="n"/>
      <c r="C299" s="11" t="n"/>
      <c r="D299" s="11" t="n"/>
      <c r="E299" s="12" t="n"/>
      <c r="F299" s="11" t="n"/>
      <c r="G299" s="11" t="n"/>
      <c r="H299" s="13">
        <f>IF(A299="","",E299*IF(D299="USD",Setup!$B$4,1))</f>
        <v/>
      </c>
      <c r="I299" s="13">
        <f>IF(A299="","",IF(D299="USD",H299*Setup!$B$5*Setup!$B$6,0))</f>
        <v/>
      </c>
      <c r="J299" s="13">
        <f>IF(A299="","",H299+I299)</f>
        <v/>
      </c>
    </row>
    <row r="300">
      <c r="A300" s="11" t="n"/>
      <c r="B300" s="11" t="n"/>
      <c r="C300" s="11" t="n"/>
      <c r="D300" s="11" t="n"/>
      <c r="E300" s="12" t="n"/>
      <c r="F300" s="11" t="n"/>
      <c r="G300" s="11" t="n"/>
      <c r="H300" s="13">
        <f>IF(A300="","",E300*IF(D300="USD",Setup!$B$4,1))</f>
        <v/>
      </c>
      <c r="I300" s="13">
        <f>IF(A300="","",IF(D300="USD",H300*Setup!$B$5*Setup!$B$6,0))</f>
        <v/>
      </c>
      <c r="J300" s="13">
        <f>IF(A300="","",H300+I300)</f>
        <v/>
      </c>
    </row>
    <row r="301">
      <c r="A301" s="11" t="n"/>
      <c r="B301" s="11" t="n"/>
      <c r="C301" s="11" t="n"/>
      <c r="D301" s="11" t="n"/>
      <c r="E301" s="12" t="n"/>
      <c r="F301" s="11" t="n"/>
      <c r="G301" s="11" t="n"/>
      <c r="H301" s="13">
        <f>IF(A301="","",E301*IF(D301="USD",Setup!$B$4,1))</f>
        <v/>
      </c>
      <c r="I301" s="13">
        <f>IF(A301="","",IF(D301="USD",H301*Setup!$B$5*Setup!$B$6,0))</f>
        <v/>
      </c>
      <c r="J301" s="13">
        <f>IF(A301="","",H301+I301)</f>
        <v/>
      </c>
    </row>
    <row r="302">
      <c r="A302" s="11" t="n"/>
      <c r="B302" s="11" t="n"/>
      <c r="C302" s="11" t="n"/>
      <c r="D302" s="11" t="n"/>
      <c r="E302" s="12" t="n"/>
      <c r="F302" s="11" t="n"/>
      <c r="G302" s="11" t="n"/>
      <c r="H302" s="13">
        <f>IF(A302="","",E302*IF(D302="USD",Setup!$B$4,1))</f>
        <v/>
      </c>
      <c r="I302" s="13">
        <f>IF(A302="","",IF(D302="USD",H302*Setup!$B$5*Setup!$B$6,0))</f>
        <v/>
      </c>
      <c r="J302" s="13">
        <f>IF(A302="","",H302+I302)</f>
        <v/>
      </c>
    </row>
    <row r="303">
      <c r="A303" s="11" t="n"/>
      <c r="B303" s="11" t="n"/>
      <c r="C303" s="11" t="n"/>
      <c r="D303" s="11" t="n"/>
      <c r="E303" s="12" t="n"/>
      <c r="F303" s="11" t="n"/>
      <c r="G303" s="11" t="n"/>
      <c r="H303" s="13">
        <f>IF(A303="","",E303*IF(D303="USD",Setup!$B$4,1))</f>
        <v/>
      </c>
      <c r="I303" s="13">
        <f>IF(A303="","",IF(D303="USD",H303*Setup!$B$5*Setup!$B$6,0))</f>
        <v/>
      </c>
      <c r="J303" s="13">
        <f>IF(A303="","",H303+I303)</f>
        <v/>
      </c>
    </row>
    <row r="304">
      <c r="A304" s="11" t="n"/>
      <c r="B304" s="11" t="n"/>
      <c r="C304" s="11" t="n"/>
      <c r="D304" s="11" t="n"/>
      <c r="E304" s="12" t="n"/>
      <c r="F304" s="11" t="n"/>
      <c r="G304" s="11" t="n"/>
      <c r="H304" s="13">
        <f>IF(A304="","",E304*IF(D304="USD",Setup!$B$4,1))</f>
        <v/>
      </c>
      <c r="I304" s="13">
        <f>IF(A304="","",IF(D304="USD",H304*Setup!$B$5*Setup!$B$6,0))</f>
        <v/>
      </c>
      <c r="J304" s="13">
        <f>IF(A304="","",H304+I304)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Unit economics -&gt; K01 opex line 'Cloud &amp; software'</t>
        </is>
      </c>
    </row>
    <row r="2"/>
    <row r="3"/>
    <row r="4">
      <c r="A4" t="inlineStr">
        <is>
          <t>total monthly all-in INR -&gt; K01 fixed opex monthly_amount</t>
        </is>
      </c>
      <c r="B4" s="14">
        <f>SUM(CloudCosts!J5:J304)</f>
        <v/>
      </c>
    </row>
    <row r="5">
      <c r="A5" t="inlineStr">
        <is>
          <t>cost per unit</t>
        </is>
      </c>
      <c r="B5" s="15">
        <f>IF(Setup!$B$7=0,0,B4/Setup!$B$7)</f>
        <v/>
      </c>
    </row>
    <row r="6">
      <c r="A6" t="inlineStr">
        <is>
          <t>commitment coverage % (committed spend / total)</t>
        </is>
      </c>
      <c r="B6" s="16">
        <f>IF(B4=0,0,SUMIF(CloudCosts!G5:G304,"y",CloudCosts!J5:J304)/B4)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2026-10-18T16:52:42Z</dcterms:created>
  <dcterms:modified xmlns:dcterms="http://purl.org/dc/terms/" xmlns:xsi="http://www.w3.org/2001/XMLSchema-instance" xsi:type="dcterms:W3CDTF">2026-10-18T16:52:43Z</dcterms:modified>
</cp:coreProperties>
</file>