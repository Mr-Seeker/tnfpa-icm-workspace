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Leases" sheetId="3" state="visible" r:id="rId3"/>
    <sheet xmlns:r="http://schemas.openxmlformats.org/officeDocument/2006/relationships" name="ToKer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" fontId="4" fillId="3" borderId="1" pivotButton="0" quotePrefix="0" xfId="0"/>
    <xf numFmtId="10" fontId="4" fillId="3" borderId="1" pivotButton="0" quotePrefix="0" xfId="0"/>
    <xf numFmtId="164" fontId="0" fillId="0" borderId="1" pivotButton="0" quotePrefix="0" xfId="0"/>
    <xf numFmtId="3" fontId="4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D18 · Real estate &amp; facilities optimisation / IWMS / proptech</t>
        </is>
      </c>
    </row>
    <row r="2"/>
    <row r="3">
      <c r="A3" s="2" t="inlineStr">
        <is>
          <t>Domain D18: Real estate &amp; facilities optimisation / IWMS / proptech.</t>
        </is>
      </c>
    </row>
    <row r="4">
      <c r="A4" s="2" t="inlineStr">
        <is>
          <t>Lease register with Ind AS 116 liability and right-of-use view, space utilisation and cost per used seat/sq ft, and cash rent for K01/K02.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companies/&lt;slug&gt;/domains/D18_real-estate-facilities-iwms-proptech/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opex fixed 'Rent &amp; facilities'  &lt;=  ToKernel B4</t>
        </is>
      </c>
    </row>
    <row r="11">
      <c r="A11" s="2" t="inlineStr">
        <is>
          <t>K02 monthly rent flows  &lt;=  Leases</t>
        </is>
      </c>
    </row>
    <row r="12">
      <c r="A12" s="2" t="inlineStr">
        <is>
          <t>D03 Ind AS 116 disclosures  &lt;=  lease 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rates and terms positive</t>
        </is>
      </c>
      <c r="C5" s="7">
        <f>IF(SUMPRODUCT((Leases!A5:A104&lt;&gt;"")*((Leases!E5:E104&lt;=0)+(Leases!F5:F104&lt;=0)&gt;0))=0,"PASS","FAIL")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3" customWidth="1" min="4" max="4"/>
    <col width="17" customWidth="1" min="5" max="5"/>
    <col width="30" customWidth="1" min="6" max="6"/>
    <col width="20" customWidth="1" min="7" max="7"/>
    <col width="40" customWidth="1" min="8" max="8"/>
    <col width="40" customWidth="1" min="9" max="9"/>
    <col width="35" customWidth="1" min="10" max="10"/>
    <col width="28" customWidth="1" min="11" max="11"/>
    <col width="26" customWidth="1" min="12" max="12"/>
    <col width="22" customWidth="1" min="13" max="13"/>
    <col width="15" customWidth="1" min="14" max="14"/>
    <col width="22" customWidth="1" min="15" max="15"/>
  </cols>
  <sheetData>
    <row r="1">
      <c r="A1" s="1" t="inlineStr">
        <is>
          <t>Lease register (Ind AS 116) - office, warehouse, plant, showroom</t>
        </is>
      </c>
    </row>
    <row r="2"/>
    <row r="3"/>
    <row r="4">
      <c r="A4" s="6" t="inlineStr">
        <is>
          <t>lease id</t>
        </is>
      </c>
      <c r="B4" s="6" t="inlineStr">
        <is>
          <t>property / micro-market (OMR, Guindy, Ambattur, Oragadam, Hosur SIPCOT, Coimbatore)</t>
        </is>
      </c>
      <c r="C4" s="6" t="inlineStr">
        <is>
          <t>monthly rent (excl. GST)</t>
        </is>
      </c>
      <c r="D4" s="6" t="inlineStr">
        <is>
          <t>annual escalation %</t>
        </is>
      </c>
      <c r="E4" s="6" t="inlineStr">
        <is>
          <t>term (months)</t>
        </is>
      </c>
      <c r="F4" s="6" t="inlineStr">
        <is>
          <t>incremental borrowing rate</t>
        </is>
      </c>
      <c r="G4" s="6" t="inlineStr">
        <is>
          <t>security deposit</t>
        </is>
      </c>
      <c r="H4" s="6" t="inlineStr">
        <is>
          <t>registered under TN Landlords &amp; Tenants Act 2017? y/n</t>
        </is>
      </c>
      <c r="I4" s="6" t="inlineStr">
        <is>
          <t>lease liability at start (PV, level rent approx.)</t>
        </is>
      </c>
      <c r="J4" s="6" t="inlineStr">
        <is>
          <t>monthly interest (yr 1 approx.)</t>
        </is>
      </c>
      <c r="K4" s="6" t="inlineStr">
        <is>
          <t>monthly ROU depreciation</t>
        </is>
      </c>
      <c r="L4" s="6" t="inlineStr">
        <is>
          <t>seats / sq ft capacity</t>
        </is>
      </c>
      <c r="M4" s="6" t="inlineStr">
        <is>
          <t>seats / sq ft used</t>
        </is>
      </c>
      <c r="N4" s="6" t="inlineStr">
        <is>
          <t>utilisation</t>
        </is>
      </c>
      <c r="O4" s="6" t="inlineStr">
        <is>
          <t>rent per used unit</t>
        </is>
      </c>
    </row>
    <row r="5">
      <c r="A5" s="8" t="inlineStr">
        <is>
          <t>L-OMR-01</t>
        </is>
      </c>
      <c r="B5" s="8" t="inlineStr">
        <is>
          <t>Chennai OMR office</t>
        </is>
      </c>
      <c r="C5" s="9" t="n">
        <v>650000</v>
      </c>
      <c r="D5" s="10" t="n">
        <v>0.05</v>
      </c>
      <c r="E5" s="11" t="n">
        <v>60</v>
      </c>
      <c r="F5" s="12" t="n">
        <v>0.095</v>
      </c>
      <c r="G5" s="9" t="n">
        <v>3900000</v>
      </c>
      <c r="H5" s="8" t="inlineStr">
        <is>
          <t>y</t>
        </is>
      </c>
      <c r="I5" s="13">
        <f>IF(A5="","",PV(F5/12,E5,-C5))</f>
        <v/>
      </c>
      <c r="J5" s="13">
        <f>IF(A5="","",I5*F5/12)</f>
        <v/>
      </c>
      <c r="K5" s="13">
        <f>IF(A5="","",I5/E5)</f>
        <v/>
      </c>
      <c r="L5" s="14" t="n">
        <v>180</v>
      </c>
      <c r="M5" s="14" t="n">
        <v>142</v>
      </c>
      <c r="N5" s="15">
        <f>IF(OR(A5="",N(L5)=0),"",M5/L5)</f>
        <v/>
      </c>
      <c r="O5" s="16">
        <f>IF(OR(A5="",N(M5)=0),"",C5/M5)</f>
        <v/>
      </c>
    </row>
    <row r="6">
      <c r="A6" s="8" t="inlineStr">
        <is>
          <t>L-HSR-02</t>
        </is>
      </c>
      <c r="B6" s="8" t="inlineStr">
        <is>
          <t>Hosur SIPCOT warehouse</t>
        </is>
      </c>
      <c r="C6" s="9" t="n">
        <v>420000</v>
      </c>
      <c r="D6" s="10" t="n">
        <v>0.05</v>
      </c>
      <c r="E6" s="11" t="n">
        <v>108</v>
      </c>
      <c r="F6" s="12" t="n">
        <v>0.095</v>
      </c>
      <c r="G6" s="9" t="n">
        <v>2520000</v>
      </c>
      <c r="H6" s="8" t="inlineStr">
        <is>
          <t>y</t>
        </is>
      </c>
      <c r="I6" s="13">
        <f>IF(A6="","",PV(F6/12,E6,-C6))</f>
        <v/>
      </c>
      <c r="J6" s="13">
        <f>IF(A6="","",I6*F6/12)</f>
        <v/>
      </c>
      <c r="K6" s="13">
        <f>IF(A6="","",I6/E6)</f>
        <v/>
      </c>
      <c r="L6" s="14" t="n">
        <v>30000</v>
      </c>
      <c r="M6" s="14" t="n">
        <v>26500</v>
      </c>
      <c r="N6" s="15">
        <f>IF(OR(A6="",N(L6)=0),"",M6/L6)</f>
        <v/>
      </c>
      <c r="O6" s="16">
        <f>IF(OR(A6="",N(M6)=0),"",C6/M6)</f>
        <v/>
      </c>
    </row>
    <row r="7">
      <c r="A7" s="8" t="n"/>
      <c r="B7" s="8" t="n"/>
      <c r="C7" s="9" t="n"/>
      <c r="D7" s="10" t="n"/>
      <c r="E7" s="11" t="n"/>
      <c r="F7" s="12" t="n"/>
      <c r="G7" s="9" t="n"/>
      <c r="H7" s="8" t="n"/>
      <c r="I7" s="13">
        <f>IF(A7="","",PV(F7/12,E7,-C7))</f>
        <v/>
      </c>
      <c r="J7" s="13">
        <f>IF(A7="","",I7*F7/12)</f>
        <v/>
      </c>
      <c r="K7" s="13">
        <f>IF(A7="","",I7/E7)</f>
        <v/>
      </c>
      <c r="L7" s="14" t="n"/>
      <c r="M7" s="14" t="n"/>
      <c r="N7" s="15">
        <f>IF(OR(A7="",N(L7)=0),"",M7/L7)</f>
        <v/>
      </c>
      <c r="O7" s="16">
        <f>IF(OR(A7="",N(M7)=0),"",C7/M7)</f>
        <v/>
      </c>
    </row>
    <row r="8">
      <c r="A8" s="8" t="n"/>
      <c r="B8" s="8" t="n"/>
      <c r="C8" s="9" t="n"/>
      <c r="D8" s="10" t="n"/>
      <c r="E8" s="11" t="n"/>
      <c r="F8" s="12" t="n"/>
      <c r="G8" s="9" t="n"/>
      <c r="H8" s="8" t="n"/>
      <c r="I8" s="13">
        <f>IF(A8="","",PV(F8/12,E8,-C8))</f>
        <v/>
      </c>
      <c r="J8" s="13">
        <f>IF(A8="","",I8*F8/12)</f>
        <v/>
      </c>
      <c r="K8" s="13">
        <f>IF(A8="","",I8/E8)</f>
        <v/>
      </c>
      <c r="L8" s="14" t="n"/>
      <c r="M8" s="14" t="n"/>
      <c r="N8" s="15">
        <f>IF(OR(A8="",N(L8)=0),"",M8/L8)</f>
        <v/>
      </c>
      <c r="O8" s="16">
        <f>IF(OR(A8="",N(M8)=0),"",C8/M8)</f>
        <v/>
      </c>
    </row>
    <row r="9">
      <c r="A9" s="8" t="n"/>
      <c r="B9" s="8" t="n"/>
      <c r="C9" s="9" t="n"/>
      <c r="D9" s="10" t="n"/>
      <c r="E9" s="11" t="n"/>
      <c r="F9" s="12" t="n"/>
      <c r="G9" s="9" t="n"/>
      <c r="H9" s="8" t="n"/>
      <c r="I9" s="13">
        <f>IF(A9="","",PV(F9/12,E9,-C9))</f>
        <v/>
      </c>
      <c r="J9" s="13">
        <f>IF(A9="","",I9*F9/12)</f>
        <v/>
      </c>
      <c r="K9" s="13">
        <f>IF(A9="","",I9/E9)</f>
        <v/>
      </c>
      <c r="L9" s="14" t="n"/>
      <c r="M9" s="14" t="n"/>
      <c r="N9" s="15">
        <f>IF(OR(A9="",N(L9)=0),"",M9/L9)</f>
        <v/>
      </c>
      <c r="O9" s="16">
        <f>IF(OR(A9="",N(M9)=0),"",C9/M9)</f>
        <v/>
      </c>
    </row>
    <row r="10">
      <c r="A10" s="8" t="n"/>
      <c r="B10" s="8" t="n"/>
      <c r="C10" s="9" t="n"/>
      <c r="D10" s="10" t="n"/>
      <c r="E10" s="11" t="n"/>
      <c r="F10" s="12" t="n"/>
      <c r="G10" s="9" t="n"/>
      <c r="H10" s="8" t="n"/>
      <c r="I10" s="13">
        <f>IF(A10="","",PV(F10/12,E10,-C10))</f>
        <v/>
      </c>
      <c r="J10" s="13">
        <f>IF(A10="","",I10*F10/12)</f>
        <v/>
      </c>
      <c r="K10" s="13">
        <f>IF(A10="","",I10/E10)</f>
        <v/>
      </c>
      <c r="L10" s="14" t="n"/>
      <c r="M10" s="14" t="n"/>
      <c r="N10" s="15">
        <f>IF(OR(A10="",N(L10)=0),"",M10/L10)</f>
        <v/>
      </c>
      <c r="O10" s="16">
        <f>IF(OR(A10="",N(M10)=0),"",C10/M10)</f>
        <v/>
      </c>
    </row>
    <row r="11">
      <c r="A11" s="8" t="n"/>
      <c r="B11" s="8" t="n"/>
      <c r="C11" s="9" t="n"/>
      <c r="D11" s="10" t="n"/>
      <c r="E11" s="11" t="n"/>
      <c r="F11" s="12" t="n"/>
      <c r="G11" s="9" t="n"/>
      <c r="H11" s="8" t="n"/>
      <c r="I11" s="13">
        <f>IF(A11="","",PV(F11/12,E11,-C11))</f>
        <v/>
      </c>
      <c r="J11" s="13">
        <f>IF(A11="","",I11*F11/12)</f>
        <v/>
      </c>
      <c r="K11" s="13">
        <f>IF(A11="","",I11/E11)</f>
        <v/>
      </c>
      <c r="L11" s="14" t="n"/>
      <c r="M11" s="14" t="n"/>
      <c r="N11" s="15">
        <f>IF(OR(A11="",N(L11)=0),"",M11/L11)</f>
        <v/>
      </c>
      <c r="O11" s="16">
        <f>IF(OR(A11="",N(M11)=0),"",C11/M11)</f>
        <v/>
      </c>
    </row>
    <row r="12">
      <c r="A12" s="8" t="n"/>
      <c r="B12" s="8" t="n"/>
      <c r="C12" s="9" t="n"/>
      <c r="D12" s="10" t="n"/>
      <c r="E12" s="11" t="n"/>
      <c r="F12" s="12" t="n"/>
      <c r="G12" s="9" t="n"/>
      <c r="H12" s="8" t="n"/>
      <c r="I12" s="13">
        <f>IF(A12="","",PV(F12/12,E12,-C12))</f>
        <v/>
      </c>
      <c r="J12" s="13">
        <f>IF(A12="","",I12*F12/12)</f>
        <v/>
      </c>
      <c r="K12" s="13">
        <f>IF(A12="","",I12/E12)</f>
        <v/>
      </c>
      <c r="L12" s="14" t="n"/>
      <c r="M12" s="14" t="n"/>
      <c r="N12" s="15">
        <f>IF(OR(A12="",N(L12)=0),"",M12/L12)</f>
        <v/>
      </c>
      <c r="O12" s="16">
        <f>IF(OR(A12="",N(M12)=0),"",C12/M12)</f>
        <v/>
      </c>
    </row>
    <row r="13">
      <c r="A13" s="8" t="n"/>
      <c r="B13" s="8" t="n"/>
      <c r="C13" s="9" t="n"/>
      <c r="D13" s="10" t="n"/>
      <c r="E13" s="11" t="n"/>
      <c r="F13" s="12" t="n"/>
      <c r="G13" s="9" t="n"/>
      <c r="H13" s="8" t="n"/>
      <c r="I13" s="13">
        <f>IF(A13="","",PV(F13/12,E13,-C13))</f>
        <v/>
      </c>
      <c r="J13" s="13">
        <f>IF(A13="","",I13*F13/12)</f>
        <v/>
      </c>
      <c r="K13" s="13">
        <f>IF(A13="","",I13/E13)</f>
        <v/>
      </c>
      <c r="L13" s="14" t="n"/>
      <c r="M13" s="14" t="n"/>
      <c r="N13" s="15">
        <f>IF(OR(A13="",N(L13)=0),"",M13/L13)</f>
        <v/>
      </c>
      <c r="O13" s="16">
        <f>IF(OR(A13="",N(M13)=0),"",C13/M13)</f>
        <v/>
      </c>
    </row>
    <row r="14">
      <c r="A14" s="8" t="n"/>
      <c r="B14" s="8" t="n"/>
      <c r="C14" s="9" t="n"/>
      <c r="D14" s="10" t="n"/>
      <c r="E14" s="11" t="n"/>
      <c r="F14" s="12" t="n"/>
      <c r="G14" s="9" t="n"/>
      <c r="H14" s="8" t="n"/>
      <c r="I14" s="13">
        <f>IF(A14="","",PV(F14/12,E14,-C14))</f>
        <v/>
      </c>
      <c r="J14" s="13">
        <f>IF(A14="","",I14*F14/12)</f>
        <v/>
      </c>
      <c r="K14" s="13">
        <f>IF(A14="","",I14/E14)</f>
        <v/>
      </c>
      <c r="L14" s="14" t="n"/>
      <c r="M14" s="14" t="n"/>
      <c r="N14" s="15">
        <f>IF(OR(A14="",N(L14)=0),"",M14/L14)</f>
        <v/>
      </c>
      <c r="O14" s="16">
        <f>IF(OR(A14="",N(M14)=0),"",C14/M14)</f>
        <v/>
      </c>
    </row>
    <row r="15">
      <c r="A15" s="8" t="n"/>
      <c r="B15" s="8" t="n"/>
      <c r="C15" s="9" t="n"/>
      <c r="D15" s="10" t="n"/>
      <c r="E15" s="11" t="n"/>
      <c r="F15" s="12" t="n"/>
      <c r="G15" s="9" t="n"/>
      <c r="H15" s="8" t="n"/>
      <c r="I15" s="13">
        <f>IF(A15="","",PV(F15/12,E15,-C15))</f>
        <v/>
      </c>
      <c r="J15" s="13">
        <f>IF(A15="","",I15*F15/12)</f>
        <v/>
      </c>
      <c r="K15" s="13">
        <f>IF(A15="","",I15/E15)</f>
        <v/>
      </c>
      <c r="L15" s="14" t="n"/>
      <c r="M15" s="14" t="n"/>
      <c r="N15" s="15">
        <f>IF(OR(A15="",N(L15)=0),"",M15/L15)</f>
        <v/>
      </c>
      <c r="O15" s="16">
        <f>IF(OR(A15="",N(M15)=0),"",C15/M15)</f>
        <v/>
      </c>
    </row>
    <row r="16">
      <c r="A16" s="8" t="n"/>
      <c r="B16" s="8" t="n"/>
      <c r="C16" s="9" t="n"/>
      <c r="D16" s="10" t="n"/>
      <c r="E16" s="11" t="n"/>
      <c r="F16" s="12" t="n"/>
      <c r="G16" s="9" t="n"/>
      <c r="H16" s="8" t="n"/>
      <c r="I16" s="13">
        <f>IF(A16="","",PV(F16/12,E16,-C16))</f>
        <v/>
      </c>
      <c r="J16" s="13">
        <f>IF(A16="","",I16*F16/12)</f>
        <v/>
      </c>
      <c r="K16" s="13">
        <f>IF(A16="","",I16/E16)</f>
        <v/>
      </c>
      <c r="L16" s="14" t="n"/>
      <c r="M16" s="14" t="n"/>
      <c r="N16" s="15">
        <f>IF(OR(A16="",N(L16)=0),"",M16/L16)</f>
        <v/>
      </c>
      <c r="O16" s="16">
        <f>IF(OR(A16="",N(M16)=0),"",C16/M16)</f>
        <v/>
      </c>
    </row>
    <row r="17">
      <c r="A17" s="8" t="n"/>
      <c r="B17" s="8" t="n"/>
      <c r="C17" s="9" t="n"/>
      <c r="D17" s="10" t="n"/>
      <c r="E17" s="11" t="n"/>
      <c r="F17" s="12" t="n"/>
      <c r="G17" s="9" t="n"/>
      <c r="H17" s="8" t="n"/>
      <c r="I17" s="13">
        <f>IF(A17="","",PV(F17/12,E17,-C17))</f>
        <v/>
      </c>
      <c r="J17" s="13">
        <f>IF(A17="","",I17*F17/12)</f>
        <v/>
      </c>
      <c r="K17" s="13">
        <f>IF(A17="","",I17/E17)</f>
        <v/>
      </c>
      <c r="L17" s="14" t="n"/>
      <c r="M17" s="14" t="n"/>
      <c r="N17" s="15">
        <f>IF(OR(A17="",N(L17)=0),"",M17/L17)</f>
        <v/>
      </c>
      <c r="O17" s="16">
        <f>IF(OR(A17="",N(M17)=0),"",C17/M17)</f>
        <v/>
      </c>
    </row>
    <row r="18">
      <c r="A18" s="8" t="n"/>
      <c r="B18" s="8" t="n"/>
      <c r="C18" s="9" t="n"/>
      <c r="D18" s="10" t="n"/>
      <c r="E18" s="11" t="n"/>
      <c r="F18" s="12" t="n"/>
      <c r="G18" s="9" t="n"/>
      <c r="H18" s="8" t="n"/>
      <c r="I18" s="13">
        <f>IF(A18="","",PV(F18/12,E18,-C18))</f>
        <v/>
      </c>
      <c r="J18" s="13">
        <f>IF(A18="","",I18*F18/12)</f>
        <v/>
      </c>
      <c r="K18" s="13">
        <f>IF(A18="","",I18/E18)</f>
        <v/>
      </c>
      <c r="L18" s="14" t="n"/>
      <c r="M18" s="14" t="n"/>
      <c r="N18" s="15">
        <f>IF(OR(A18="",N(L18)=0),"",M18/L18)</f>
        <v/>
      </c>
      <c r="O18" s="16">
        <f>IF(OR(A18="",N(M18)=0),"",C18/M18)</f>
        <v/>
      </c>
    </row>
    <row r="19">
      <c r="A19" s="8" t="n"/>
      <c r="B19" s="8" t="n"/>
      <c r="C19" s="9" t="n"/>
      <c r="D19" s="10" t="n"/>
      <c r="E19" s="11" t="n"/>
      <c r="F19" s="12" t="n"/>
      <c r="G19" s="9" t="n"/>
      <c r="H19" s="8" t="n"/>
      <c r="I19" s="13">
        <f>IF(A19="","",PV(F19/12,E19,-C19))</f>
        <v/>
      </c>
      <c r="J19" s="13">
        <f>IF(A19="","",I19*F19/12)</f>
        <v/>
      </c>
      <c r="K19" s="13">
        <f>IF(A19="","",I19/E19)</f>
        <v/>
      </c>
      <c r="L19" s="14" t="n"/>
      <c r="M19" s="14" t="n"/>
      <c r="N19" s="15">
        <f>IF(OR(A19="",N(L19)=0),"",M19/L19)</f>
        <v/>
      </c>
      <c r="O19" s="16">
        <f>IF(OR(A19="",N(M19)=0),"",C19/M19)</f>
        <v/>
      </c>
    </row>
    <row r="20">
      <c r="A20" s="8" t="n"/>
      <c r="B20" s="8" t="n"/>
      <c r="C20" s="9" t="n"/>
      <c r="D20" s="10" t="n"/>
      <c r="E20" s="11" t="n"/>
      <c r="F20" s="12" t="n"/>
      <c r="G20" s="9" t="n"/>
      <c r="H20" s="8" t="n"/>
      <c r="I20" s="13">
        <f>IF(A20="","",PV(F20/12,E20,-C20))</f>
        <v/>
      </c>
      <c r="J20" s="13">
        <f>IF(A20="","",I20*F20/12)</f>
        <v/>
      </c>
      <c r="K20" s="13">
        <f>IF(A20="","",I20/E20)</f>
        <v/>
      </c>
      <c r="L20" s="14" t="n"/>
      <c r="M20" s="14" t="n"/>
      <c r="N20" s="15">
        <f>IF(OR(A20="",N(L20)=0),"",M20/L20)</f>
        <v/>
      </c>
      <c r="O20" s="16">
        <f>IF(OR(A20="",N(M20)=0),"",C20/M20)</f>
        <v/>
      </c>
    </row>
    <row r="21">
      <c r="A21" s="8" t="n"/>
      <c r="B21" s="8" t="n"/>
      <c r="C21" s="9" t="n"/>
      <c r="D21" s="10" t="n"/>
      <c r="E21" s="11" t="n"/>
      <c r="F21" s="12" t="n"/>
      <c r="G21" s="9" t="n"/>
      <c r="H21" s="8" t="n"/>
      <c r="I21" s="13">
        <f>IF(A21="","",PV(F21/12,E21,-C21))</f>
        <v/>
      </c>
      <c r="J21" s="13">
        <f>IF(A21="","",I21*F21/12)</f>
        <v/>
      </c>
      <c r="K21" s="13">
        <f>IF(A21="","",I21/E21)</f>
        <v/>
      </c>
      <c r="L21" s="14" t="n"/>
      <c r="M21" s="14" t="n"/>
      <c r="N21" s="15">
        <f>IF(OR(A21="",N(L21)=0),"",M21/L21)</f>
        <v/>
      </c>
      <c r="O21" s="16">
        <f>IF(OR(A21="",N(M21)=0),"",C21/M21)</f>
        <v/>
      </c>
    </row>
    <row r="22">
      <c r="A22" s="8" t="n"/>
      <c r="B22" s="8" t="n"/>
      <c r="C22" s="9" t="n"/>
      <c r="D22" s="10" t="n"/>
      <c r="E22" s="11" t="n"/>
      <c r="F22" s="12" t="n"/>
      <c r="G22" s="9" t="n"/>
      <c r="H22" s="8" t="n"/>
      <c r="I22" s="13">
        <f>IF(A22="","",PV(F22/12,E22,-C22))</f>
        <v/>
      </c>
      <c r="J22" s="13">
        <f>IF(A22="","",I22*F22/12)</f>
        <v/>
      </c>
      <c r="K22" s="13">
        <f>IF(A22="","",I22/E22)</f>
        <v/>
      </c>
      <c r="L22" s="14" t="n"/>
      <c r="M22" s="14" t="n"/>
      <c r="N22" s="15">
        <f>IF(OR(A22="",N(L22)=0),"",M22/L22)</f>
        <v/>
      </c>
      <c r="O22" s="16">
        <f>IF(OR(A22="",N(M22)=0),"",C22/M22)</f>
        <v/>
      </c>
    </row>
    <row r="23">
      <c r="A23" s="8" t="n"/>
      <c r="B23" s="8" t="n"/>
      <c r="C23" s="9" t="n"/>
      <c r="D23" s="10" t="n"/>
      <c r="E23" s="11" t="n"/>
      <c r="F23" s="12" t="n"/>
      <c r="G23" s="9" t="n"/>
      <c r="H23" s="8" t="n"/>
      <c r="I23" s="13">
        <f>IF(A23="","",PV(F23/12,E23,-C23))</f>
        <v/>
      </c>
      <c r="J23" s="13">
        <f>IF(A23="","",I23*F23/12)</f>
        <v/>
      </c>
      <c r="K23" s="13">
        <f>IF(A23="","",I23/E23)</f>
        <v/>
      </c>
      <c r="L23" s="14" t="n"/>
      <c r="M23" s="14" t="n"/>
      <c r="N23" s="15">
        <f>IF(OR(A23="",N(L23)=0),"",M23/L23)</f>
        <v/>
      </c>
      <c r="O23" s="16">
        <f>IF(OR(A23="",N(M23)=0),"",C23/M23)</f>
        <v/>
      </c>
    </row>
    <row r="24">
      <c r="A24" s="8" t="n"/>
      <c r="B24" s="8" t="n"/>
      <c r="C24" s="9" t="n"/>
      <c r="D24" s="10" t="n"/>
      <c r="E24" s="11" t="n"/>
      <c r="F24" s="12" t="n"/>
      <c r="G24" s="9" t="n"/>
      <c r="H24" s="8" t="n"/>
      <c r="I24" s="13">
        <f>IF(A24="","",PV(F24/12,E24,-C24))</f>
        <v/>
      </c>
      <c r="J24" s="13">
        <f>IF(A24="","",I24*F24/12)</f>
        <v/>
      </c>
      <c r="K24" s="13">
        <f>IF(A24="","",I24/E24)</f>
        <v/>
      </c>
      <c r="L24" s="14" t="n"/>
      <c r="M24" s="14" t="n"/>
      <c r="N24" s="15">
        <f>IF(OR(A24="",N(L24)=0),"",M24/L24)</f>
        <v/>
      </c>
      <c r="O24" s="16">
        <f>IF(OR(A24="",N(M24)=0),"",C24/M24)</f>
        <v/>
      </c>
    </row>
    <row r="25">
      <c r="A25" s="8" t="n"/>
      <c r="B25" s="8" t="n"/>
      <c r="C25" s="9" t="n"/>
      <c r="D25" s="10" t="n"/>
      <c r="E25" s="11" t="n"/>
      <c r="F25" s="12" t="n"/>
      <c r="G25" s="9" t="n"/>
      <c r="H25" s="8" t="n"/>
      <c r="I25" s="13">
        <f>IF(A25="","",PV(F25/12,E25,-C25))</f>
        <v/>
      </c>
      <c r="J25" s="13">
        <f>IF(A25="","",I25*F25/12)</f>
        <v/>
      </c>
      <c r="K25" s="13">
        <f>IF(A25="","",I25/E25)</f>
        <v/>
      </c>
      <c r="L25" s="14" t="n"/>
      <c r="M25" s="14" t="n"/>
      <c r="N25" s="15">
        <f>IF(OR(A25="",N(L25)=0),"",M25/L25)</f>
        <v/>
      </c>
      <c r="O25" s="16">
        <f>IF(OR(A25="",N(M25)=0),"",C25/M25)</f>
        <v/>
      </c>
    </row>
    <row r="26">
      <c r="A26" s="8" t="n"/>
      <c r="B26" s="8" t="n"/>
      <c r="C26" s="9" t="n"/>
      <c r="D26" s="10" t="n"/>
      <c r="E26" s="11" t="n"/>
      <c r="F26" s="12" t="n"/>
      <c r="G26" s="9" t="n"/>
      <c r="H26" s="8" t="n"/>
      <c r="I26" s="13">
        <f>IF(A26="","",PV(F26/12,E26,-C26))</f>
        <v/>
      </c>
      <c r="J26" s="13">
        <f>IF(A26="","",I26*F26/12)</f>
        <v/>
      </c>
      <c r="K26" s="13">
        <f>IF(A26="","",I26/E26)</f>
        <v/>
      </c>
      <c r="L26" s="14" t="n"/>
      <c r="M26" s="14" t="n"/>
      <c r="N26" s="15">
        <f>IF(OR(A26="",N(L26)=0),"",M26/L26)</f>
        <v/>
      </c>
      <c r="O26" s="16">
        <f>IF(OR(A26="",N(M26)=0),"",C26/M26)</f>
        <v/>
      </c>
    </row>
    <row r="27">
      <c r="A27" s="8" t="n"/>
      <c r="B27" s="8" t="n"/>
      <c r="C27" s="9" t="n"/>
      <c r="D27" s="10" t="n"/>
      <c r="E27" s="11" t="n"/>
      <c r="F27" s="12" t="n"/>
      <c r="G27" s="9" t="n"/>
      <c r="H27" s="8" t="n"/>
      <c r="I27" s="13">
        <f>IF(A27="","",PV(F27/12,E27,-C27))</f>
        <v/>
      </c>
      <c r="J27" s="13">
        <f>IF(A27="","",I27*F27/12)</f>
        <v/>
      </c>
      <c r="K27" s="13">
        <f>IF(A27="","",I27/E27)</f>
        <v/>
      </c>
      <c r="L27" s="14" t="n"/>
      <c r="M27" s="14" t="n"/>
      <c r="N27" s="15">
        <f>IF(OR(A27="",N(L27)=0),"",M27/L27)</f>
        <v/>
      </c>
      <c r="O27" s="16">
        <f>IF(OR(A27="",N(M27)=0),"",C27/M27)</f>
        <v/>
      </c>
    </row>
    <row r="28">
      <c r="A28" s="8" t="n"/>
      <c r="B28" s="8" t="n"/>
      <c r="C28" s="9" t="n"/>
      <c r="D28" s="10" t="n"/>
      <c r="E28" s="11" t="n"/>
      <c r="F28" s="12" t="n"/>
      <c r="G28" s="9" t="n"/>
      <c r="H28" s="8" t="n"/>
      <c r="I28" s="13">
        <f>IF(A28="","",PV(F28/12,E28,-C28))</f>
        <v/>
      </c>
      <c r="J28" s="13">
        <f>IF(A28="","",I28*F28/12)</f>
        <v/>
      </c>
      <c r="K28" s="13">
        <f>IF(A28="","",I28/E28)</f>
        <v/>
      </c>
      <c r="L28" s="14" t="n"/>
      <c r="M28" s="14" t="n"/>
      <c r="N28" s="15">
        <f>IF(OR(A28="",N(L28)=0),"",M28/L28)</f>
        <v/>
      </c>
      <c r="O28" s="16">
        <f>IF(OR(A28="",N(M28)=0),"",C28/M28)</f>
        <v/>
      </c>
    </row>
    <row r="29">
      <c r="A29" s="8" t="n"/>
      <c r="B29" s="8" t="n"/>
      <c r="C29" s="9" t="n"/>
      <c r="D29" s="10" t="n"/>
      <c r="E29" s="11" t="n"/>
      <c r="F29" s="12" t="n"/>
      <c r="G29" s="9" t="n"/>
      <c r="H29" s="8" t="n"/>
      <c r="I29" s="13">
        <f>IF(A29="","",PV(F29/12,E29,-C29))</f>
        <v/>
      </c>
      <c r="J29" s="13">
        <f>IF(A29="","",I29*F29/12)</f>
        <v/>
      </c>
      <c r="K29" s="13">
        <f>IF(A29="","",I29/E29)</f>
        <v/>
      </c>
      <c r="L29" s="14" t="n"/>
      <c r="M29" s="14" t="n"/>
      <c r="N29" s="15">
        <f>IF(OR(A29="",N(L29)=0),"",M29/L29)</f>
        <v/>
      </c>
      <c r="O29" s="16">
        <f>IF(OR(A29="",N(M29)=0),"",C29/M29)</f>
        <v/>
      </c>
    </row>
    <row r="30">
      <c r="A30" s="8" t="n"/>
      <c r="B30" s="8" t="n"/>
      <c r="C30" s="9" t="n"/>
      <c r="D30" s="10" t="n"/>
      <c r="E30" s="11" t="n"/>
      <c r="F30" s="12" t="n"/>
      <c r="G30" s="9" t="n"/>
      <c r="H30" s="8" t="n"/>
      <c r="I30" s="13">
        <f>IF(A30="","",PV(F30/12,E30,-C30))</f>
        <v/>
      </c>
      <c r="J30" s="13">
        <f>IF(A30="","",I30*F30/12)</f>
        <v/>
      </c>
      <c r="K30" s="13">
        <f>IF(A30="","",I30/E30)</f>
        <v/>
      </c>
      <c r="L30" s="14" t="n"/>
      <c r="M30" s="14" t="n"/>
      <c r="N30" s="15">
        <f>IF(OR(A30="",N(L30)=0),"",M30/L30)</f>
        <v/>
      </c>
      <c r="O30" s="16">
        <f>IF(OR(A30="",N(M30)=0),"",C30/M30)</f>
        <v/>
      </c>
    </row>
    <row r="31">
      <c r="A31" s="8" t="n"/>
      <c r="B31" s="8" t="n"/>
      <c r="C31" s="9" t="n"/>
      <c r="D31" s="10" t="n"/>
      <c r="E31" s="11" t="n"/>
      <c r="F31" s="12" t="n"/>
      <c r="G31" s="9" t="n"/>
      <c r="H31" s="8" t="n"/>
      <c r="I31" s="13">
        <f>IF(A31="","",PV(F31/12,E31,-C31))</f>
        <v/>
      </c>
      <c r="J31" s="13">
        <f>IF(A31="","",I31*F31/12)</f>
        <v/>
      </c>
      <c r="K31" s="13">
        <f>IF(A31="","",I31/E31)</f>
        <v/>
      </c>
      <c r="L31" s="14" t="n"/>
      <c r="M31" s="14" t="n"/>
      <c r="N31" s="15">
        <f>IF(OR(A31="",N(L31)=0),"",M31/L31)</f>
        <v/>
      </c>
      <c r="O31" s="16">
        <f>IF(OR(A31="",N(M31)=0),"",C31/M31)</f>
        <v/>
      </c>
    </row>
    <row r="32">
      <c r="A32" s="8" t="n"/>
      <c r="B32" s="8" t="n"/>
      <c r="C32" s="9" t="n"/>
      <c r="D32" s="10" t="n"/>
      <c r="E32" s="11" t="n"/>
      <c r="F32" s="12" t="n"/>
      <c r="G32" s="9" t="n"/>
      <c r="H32" s="8" t="n"/>
      <c r="I32" s="13">
        <f>IF(A32="","",PV(F32/12,E32,-C32))</f>
        <v/>
      </c>
      <c r="J32" s="13">
        <f>IF(A32="","",I32*F32/12)</f>
        <v/>
      </c>
      <c r="K32" s="13">
        <f>IF(A32="","",I32/E32)</f>
        <v/>
      </c>
      <c r="L32" s="14" t="n"/>
      <c r="M32" s="14" t="n"/>
      <c r="N32" s="15">
        <f>IF(OR(A32="",N(L32)=0),"",M32/L32)</f>
        <v/>
      </c>
      <c r="O32" s="16">
        <f>IF(OR(A32="",N(M32)=0),"",C32/M32)</f>
        <v/>
      </c>
    </row>
    <row r="33">
      <c r="A33" s="8" t="n"/>
      <c r="B33" s="8" t="n"/>
      <c r="C33" s="9" t="n"/>
      <c r="D33" s="10" t="n"/>
      <c r="E33" s="11" t="n"/>
      <c r="F33" s="12" t="n"/>
      <c r="G33" s="9" t="n"/>
      <c r="H33" s="8" t="n"/>
      <c r="I33" s="13">
        <f>IF(A33="","",PV(F33/12,E33,-C33))</f>
        <v/>
      </c>
      <c r="J33" s="13">
        <f>IF(A33="","",I33*F33/12)</f>
        <v/>
      </c>
      <c r="K33" s="13">
        <f>IF(A33="","",I33/E33)</f>
        <v/>
      </c>
      <c r="L33" s="14" t="n"/>
      <c r="M33" s="14" t="n"/>
      <c r="N33" s="15">
        <f>IF(OR(A33="",N(L33)=0),"",M33/L33)</f>
        <v/>
      </c>
      <c r="O33" s="16">
        <f>IF(OR(A33="",N(M33)=0),"",C33/M33)</f>
        <v/>
      </c>
    </row>
    <row r="34">
      <c r="A34" s="8" t="n"/>
      <c r="B34" s="8" t="n"/>
      <c r="C34" s="9" t="n"/>
      <c r="D34" s="10" t="n"/>
      <c r="E34" s="11" t="n"/>
      <c r="F34" s="12" t="n"/>
      <c r="G34" s="9" t="n"/>
      <c r="H34" s="8" t="n"/>
      <c r="I34" s="13">
        <f>IF(A34="","",PV(F34/12,E34,-C34))</f>
        <v/>
      </c>
      <c r="J34" s="13">
        <f>IF(A34="","",I34*F34/12)</f>
        <v/>
      </c>
      <c r="K34" s="13">
        <f>IF(A34="","",I34/E34)</f>
        <v/>
      </c>
      <c r="L34" s="14" t="n"/>
      <c r="M34" s="14" t="n"/>
      <c r="N34" s="15">
        <f>IF(OR(A34="",N(L34)=0),"",M34/L34)</f>
        <v/>
      </c>
      <c r="O34" s="16">
        <f>IF(OR(A34="",N(M34)=0),"",C34/M34)</f>
        <v/>
      </c>
    </row>
    <row r="35">
      <c r="A35" s="8" t="n"/>
      <c r="B35" s="8" t="n"/>
      <c r="C35" s="9" t="n"/>
      <c r="D35" s="10" t="n"/>
      <c r="E35" s="11" t="n"/>
      <c r="F35" s="12" t="n"/>
      <c r="G35" s="9" t="n"/>
      <c r="H35" s="8" t="n"/>
      <c r="I35" s="13">
        <f>IF(A35="","",PV(F35/12,E35,-C35))</f>
        <v/>
      </c>
      <c r="J35" s="13">
        <f>IF(A35="","",I35*F35/12)</f>
        <v/>
      </c>
      <c r="K35" s="13">
        <f>IF(A35="","",I35/E35)</f>
        <v/>
      </c>
      <c r="L35" s="14" t="n"/>
      <c r="M35" s="14" t="n"/>
      <c r="N35" s="15">
        <f>IF(OR(A35="",N(L35)=0),"",M35/L35)</f>
        <v/>
      </c>
      <c r="O35" s="16">
        <f>IF(OR(A35="",N(M35)=0),"",C35/M35)</f>
        <v/>
      </c>
    </row>
    <row r="36">
      <c r="A36" s="8" t="n"/>
      <c r="B36" s="8" t="n"/>
      <c r="C36" s="9" t="n"/>
      <c r="D36" s="10" t="n"/>
      <c r="E36" s="11" t="n"/>
      <c r="F36" s="12" t="n"/>
      <c r="G36" s="9" t="n"/>
      <c r="H36" s="8" t="n"/>
      <c r="I36" s="13">
        <f>IF(A36="","",PV(F36/12,E36,-C36))</f>
        <v/>
      </c>
      <c r="J36" s="13">
        <f>IF(A36="","",I36*F36/12)</f>
        <v/>
      </c>
      <c r="K36" s="13">
        <f>IF(A36="","",I36/E36)</f>
        <v/>
      </c>
      <c r="L36" s="14" t="n"/>
      <c r="M36" s="14" t="n"/>
      <c r="N36" s="15">
        <f>IF(OR(A36="",N(L36)=0),"",M36/L36)</f>
        <v/>
      </c>
      <c r="O36" s="16">
        <f>IF(OR(A36="",N(M36)=0),"",C36/M36)</f>
        <v/>
      </c>
    </row>
    <row r="37">
      <c r="A37" s="8" t="n"/>
      <c r="B37" s="8" t="n"/>
      <c r="C37" s="9" t="n"/>
      <c r="D37" s="10" t="n"/>
      <c r="E37" s="11" t="n"/>
      <c r="F37" s="12" t="n"/>
      <c r="G37" s="9" t="n"/>
      <c r="H37" s="8" t="n"/>
      <c r="I37" s="13">
        <f>IF(A37="","",PV(F37/12,E37,-C37))</f>
        <v/>
      </c>
      <c r="J37" s="13">
        <f>IF(A37="","",I37*F37/12)</f>
        <v/>
      </c>
      <c r="K37" s="13">
        <f>IF(A37="","",I37/E37)</f>
        <v/>
      </c>
      <c r="L37" s="14" t="n"/>
      <c r="M37" s="14" t="n"/>
      <c r="N37" s="15">
        <f>IF(OR(A37="",N(L37)=0),"",M37/L37)</f>
        <v/>
      </c>
      <c r="O37" s="16">
        <f>IF(OR(A37="",N(M37)=0),"",C37/M37)</f>
        <v/>
      </c>
    </row>
    <row r="38">
      <c r="A38" s="8" t="n"/>
      <c r="B38" s="8" t="n"/>
      <c r="C38" s="9" t="n"/>
      <c r="D38" s="10" t="n"/>
      <c r="E38" s="11" t="n"/>
      <c r="F38" s="12" t="n"/>
      <c r="G38" s="9" t="n"/>
      <c r="H38" s="8" t="n"/>
      <c r="I38" s="13">
        <f>IF(A38="","",PV(F38/12,E38,-C38))</f>
        <v/>
      </c>
      <c r="J38" s="13">
        <f>IF(A38="","",I38*F38/12)</f>
        <v/>
      </c>
      <c r="K38" s="13">
        <f>IF(A38="","",I38/E38)</f>
        <v/>
      </c>
      <c r="L38" s="14" t="n"/>
      <c r="M38" s="14" t="n"/>
      <c r="N38" s="15">
        <f>IF(OR(A38="",N(L38)=0),"",M38/L38)</f>
        <v/>
      </c>
      <c r="O38" s="16">
        <f>IF(OR(A38="",N(M38)=0),"",C38/M38)</f>
        <v/>
      </c>
    </row>
    <row r="39">
      <c r="A39" s="8" t="n"/>
      <c r="B39" s="8" t="n"/>
      <c r="C39" s="9" t="n"/>
      <c r="D39" s="10" t="n"/>
      <c r="E39" s="11" t="n"/>
      <c r="F39" s="12" t="n"/>
      <c r="G39" s="9" t="n"/>
      <c r="H39" s="8" t="n"/>
      <c r="I39" s="13">
        <f>IF(A39="","",PV(F39/12,E39,-C39))</f>
        <v/>
      </c>
      <c r="J39" s="13">
        <f>IF(A39="","",I39*F39/12)</f>
        <v/>
      </c>
      <c r="K39" s="13">
        <f>IF(A39="","",I39/E39)</f>
        <v/>
      </c>
      <c r="L39" s="14" t="n"/>
      <c r="M39" s="14" t="n"/>
      <c r="N39" s="15">
        <f>IF(OR(A39="",N(L39)=0),"",M39/L39)</f>
        <v/>
      </c>
      <c r="O39" s="16">
        <f>IF(OR(A39="",N(M39)=0),"",C39/M39)</f>
        <v/>
      </c>
    </row>
    <row r="40">
      <c r="A40" s="8" t="n"/>
      <c r="B40" s="8" t="n"/>
      <c r="C40" s="9" t="n"/>
      <c r="D40" s="10" t="n"/>
      <c r="E40" s="11" t="n"/>
      <c r="F40" s="12" t="n"/>
      <c r="G40" s="9" t="n"/>
      <c r="H40" s="8" t="n"/>
      <c r="I40" s="13">
        <f>IF(A40="","",PV(F40/12,E40,-C40))</f>
        <v/>
      </c>
      <c r="J40" s="13">
        <f>IF(A40="","",I40*F40/12)</f>
        <v/>
      </c>
      <c r="K40" s="13">
        <f>IF(A40="","",I40/E40)</f>
        <v/>
      </c>
      <c r="L40" s="14" t="n"/>
      <c r="M40" s="14" t="n"/>
      <c r="N40" s="15">
        <f>IF(OR(A40="",N(L40)=0),"",M40/L40)</f>
        <v/>
      </c>
      <c r="O40" s="16">
        <f>IF(OR(A40="",N(M40)=0),"",C40/M40)</f>
        <v/>
      </c>
    </row>
    <row r="41">
      <c r="A41" s="8" t="n"/>
      <c r="B41" s="8" t="n"/>
      <c r="C41" s="9" t="n"/>
      <c r="D41" s="10" t="n"/>
      <c r="E41" s="11" t="n"/>
      <c r="F41" s="12" t="n"/>
      <c r="G41" s="9" t="n"/>
      <c r="H41" s="8" t="n"/>
      <c r="I41" s="13">
        <f>IF(A41="","",PV(F41/12,E41,-C41))</f>
        <v/>
      </c>
      <c r="J41" s="13">
        <f>IF(A41="","",I41*F41/12)</f>
        <v/>
      </c>
      <c r="K41" s="13">
        <f>IF(A41="","",I41/E41)</f>
        <v/>
      </c>
      <c r="L41" s="14" t="n"/>
      <c r="M41" s="14" t="n"/>
      <c r="N41" s="15">
        <f>IF(OR(A41="",N(L41)=0),"",M41/L41)</f>
        <v/>
      </c>
      <c r="O41" s="16">
        <f>IF(OR(A41="",N(M41)=0),"",C41/M41)</f>
        <v/>
      </c>
    </row>
    <row r="42">
      <c r="A42" s="8" t="n"/>
      <c r="B42" s="8" t="n"/>
      <c r="C42" s="9" t="n"/>
      <c r="D42" s="10" t="n"/>
      <c r="E42" s="11" t="n"/>
      <c r="F42" s="12" t="n"/>
      <c r="G42" s="9" t="n"/>
      <c r="H42" s="8" t="n"/>
      <c r="I42" s="13">
        <f>IF(A42="","",PV(F42/12,E42,-C42))</f>
        <v/>
      </c>
      <c r="J42" s="13">
        <f>IF(A42="","",I42*F42/12)</f>
        <v/>
      </c>
      <c r="K42" s="13">
        <f>IF(A42="","",I42/E42)</f>
        <v/>
      </c>
      <c r="L42" s="14" t="n"/>
      <c r="M42" s="14" t="n"/>
      <c r="N42" s="15">
        <f>IF(OR(A42="",N(L42)=0),"",M42/L42)</f>
        <v/>
      </c>
      <c r="O42" s="16">
        <f>IF(OR(A42="",N(M42)=0),"",C42/M42)</f>
        <v/>
      </c>
    </row>
    <row r="43">
      <c r="A43" s="8" t="n"/>
      <c r="B43" s="8" t="n"/>
      <c r="C43" s="9" t="n"/>
      <c r="D43" s="10" t="n"/>
      <c r="E43" s="11" t="n"/>
      <c r="F43" s="12" t="n"/>
      <c r="G43" s="9" t="n"/>
      <c r="H43" s="8" t="n"/>
      <c r="I43" s="13">
        <f>IF(A43="","",PV(F43/12,E43,-C43))</f>
        <v/>
      </c>
      <c r="J43" s="13">
        <f>IF(A43="","",I43*F43/12)</f>
        <v/>
      </c>
      <c r="K43" s="13">
        <f>IF(A43="","",I43/E43)</f>
        <v/>
      </c>
      <c r="L43" s="14" t="n"/>
      <c r="M43" s="14" t="n"/>
      <c r="N43" s="15">
        <f>IF(OR(A43="",N(L43)=0),"",M43/L43)</f>
        <v/>
      </c>
      <c r="O43" s="16">
        <f>IF(OR(A43="",N(M43)=0),"",C43/M43)</f>
        <v/>
      </c>
    </row>
    <row r="44">
      <c r="A44" s="8" t="n"/>
      <c r="B44" s="8" t="n"/>
      <c r="C44" s="9" t="n"/>
      <c r="D44" s="10" t="n"/>
      <c r="E44" s="11" t="n"/>
      <c r="F44" s="12" t="n"/>
      <c r="G44" s="9" t="n"/>
      <c r="H44" s="8" t="n"/>
      <c r="I44" s="13">
        <f>IF(A44="","",PV(F44/12,E44,-C44))</f>
        <v/>
      </c>
      <c r="J44" s="13">
        <f>IF(A44="","",I44*F44/12)</f>
        <v/>
      </c>
      <c r="K44" s="13">
        <f>IF(A44="","",I44/E44)</f>
        <v/>
      </c>
      <c r="L44" s="14" t="n"/>
      <c r="M44" s="14" t="n"/>
      <c r="N44" s="15">
        <f>IF(OR(A44="",N(L44)=0),"",M44/L44)</f>
        <v/>
      </c>
      <c r="O44" s="16">
        <f>IF(OR(A44="",N(M44)=0),"",C44/M44)</f>
        <v/>
      </c>
    </row>
    <row r="45">
      <c r="A45" s="8" t="n"/>
      <c r="B45" s="8" t="n"/>
      <c r="C45" s="9" t="n"/>
      <c r="D45" s="10" t="n"/>
      <c r="E45" s="11" t="n"/>
      <c r="F45" s="12" t="n"/>
      <c r="G45" s="9" t="n"/>
      <c r="H45" s="8" t="n"/>
      <c r="I45" s="13">
        <f>IF(A45="","",PV(F45/12,E45,-C45))</f>
        <v/>
      </c>
      <c r="J45" s="13">
        <f>IF(A45="","",I45*F45/12)</f>
        <v/>
      </c>
      <c r="K45" s="13">
        <f>IF(A45="","",I45/E45)</f>
        <v/>
      </c>
      <c r="L45" s="14" t="n"/>
      <c r="M45" s="14" t="n"/>
      <c r="N45" s="15">
        <f>IF(OR(A45="",N(L45)=0),"",M45/L45)</f>
        <v/>
      </c>
      <c r="O45" s="16">
        <f>IF(OR(A45="",N(M45)=0),"",C45/M45)</f>
        <v/>
      </c>
    </row>
    <row r="46">
      <c r="A46" s="8" t="n"/>
      <c r="B46" s="8" t="n"/>
      <c r="C46" s="9" t="n"/>
      <c r="D46" s="10" t="n"/>
      <c r="E46" s="11" t="n"/>
      <c r="F46" s="12" t="n"/>
      <c r="G46" s="9" t="n"/>
      <c r="H46" s="8" t="n"/>
      <c r="I46" s="13">
        <f>IF(A46="","",PV(F46/12,E46,-C46))</f>
        <v/>
      </c>
      <c r="J46" s="13">
        <f>IF(A46="","",I46*F46/12)</f>
        <v/>
      </c>
      <c r="K46" s="13">
        <f>IF(A46="","",I46/E46)</f>
        <v/>
      </c>
      <c r="L46" s="14" t="n"/>
      <c r="M46" s="14" t="n"/>
      <c r="N46" s="15">
        <f>IF(OR(A46="",N(L46)=0),"",M46/L46)</f>
        <v/>
      </c>
      <c r="O46" s="16">
        <f>IF(OR(A46="",N(M46)=0),"",C46/M46)</f>
        <v/>
      </c>
    </row>
    <row r="47">
      <c r="A47" s="8" t="n"/>
      <c r="B47" s="8" t="n"/>
      <c r="C47" s="9" t="n"/>
      <c r="D47" s="10" t="n"/>
      <c r="E47" s="11" t="n"/>
      <c r="F47" s="12" t="n"/>
      <c r="G47" s="9" t="n"/>
      <c r="H47" s="8" t="n"/>
      <c r="I47" s="13">
        <f>IF(A47="","",PV(F47/12,E47,-C47))</f>
        <v/>
      </c>
      <c r="J47" s="13">
        <f>IF(A47="","",I47*F47/12)</f>
        <v/>
      </c>
      <c r="K47" s="13">
        <f>IF(A47="","",I47/E47)</f>
        <v/>
      </c>
      <c r="L47" s="14" t="n"/>
      <c r="M47" s="14" t="n"/>
      <c r="N47" s="15">
        <f>IF(OR(A47="",N(L47)=0),"",M47/L47)</f>
        <v/>
      </c>
      <c r="O47" s="16">
        <f>IF(OR(A47="",N(M47)=0),"",C47/M47)</f>
        <v/>
      </c>
    </row>
    <row r="48">
      <c r="A48" s="8" t="n"/>
      <c r="B48" s="8" t="n"/>
      <c r="C48" s="9" t="n"/>
      <c r="D48" s="10" t="n"/>
      <c r="E48" s="11" t="n"/>
      <c r="F48" s="12" t="n"/>
      <c r="G48" s="9" t="n"/>
      <c r="H48" s="8" t="n"/>
      <c r="I48" s="13">
        <f>IF(A48="","",PV(F48/12,E48,-C48))</f>
        <v/>
      </c>
      <c r="J48" s="13">
        <f>IF(A48="","",I48*F48/12)</f>
        <v/>
      </c>
      <c r="K48" s="13">
        <f>IF(A48="","",I48/E48)</f>
        <v/>
      </c>
      <c r="L48" s="14" t="n"/>
      <c r="M48" s="14" t="n"/>
      <c r="N48" s="15">
        <f>IF(OR(A48="",N(L48)=0),"",M48/L48)</f>
        <v/>
      </c>
      <c r="O48" s="16">
        <f>IF(OR(A48="",N(M48)=0),"",C48/M48)</f>
        <v/>
      </c>
    </row>
    <row r="49">
      <c r="A49" s="8" t="n"/>
      <c r="B49" s="8" t="n"/>
      <c r="C49" s="9" t="n"/>
      <c r="D49" s="10" t="n"/>
      <c r="E49" s="11" t="n"/>
      <c r="F49" s="12" t="n"/>
      <c r="G49" s="9" t="n"/>
      <c r="H49" s="8" t="n"/>
      <c r="I49" s="13">
        <f>IF(A49="","",PV(F49/12,E49,-C49))</f>
        <v/>
      </c>
      <c r="J49" s="13">
        <f>IF(A49="","",I49*F49/12)</f>
        <v/>
      </c>
      <c r="K49" s="13">
        <f>IF(A49="","",I49/E49)</f>
        <v/>
      </c>
      <c r="L49" s="14" t="n"/>
      <c r="M49" s="14" t="n"/>
      <c r="N49" s="15">
        <f>IF(OR(A49="",N(L49)=0),"",M49/L49)</f>
        <v/>
      </c>
      <c r="O49" s="16">
        <f>IF(OR(A49="",N(M49)=0),"",C49/M49)</f>
        <v/>
      </c>
    </row>
    <row r="50">
      <c r="A50" s="8" t="n"/>
      <c r="B50" s="8" t="n"/>
      <c r="C50" s="9" t="n"/>
      <c r="D50" s="10" t="n"/>
      <c r="E50" s="11" t="n"/>
      <c r="F50" s="12" t="n"/>
      <c r="G50" s="9" t="n"/>
      <c r="H50" s="8" t="n"/>
      <c r="I50" s="13">
        <f>IF(A50="","",PV(F50/12,E50,-C50))</f>
        <v/>
      </c>
      <c r="J50" s="13">
        <f>IF(A50="","",I50*F50/12)</f>
        <v/>
      </c>
      <c r="K50" s="13">
        <f>IF(A50="","",I50/E50)</f>
        <v/>
      </c>
      <c r="L50" s="14" t="n"/>
      <c r="M50" s="14" t="n"/>
      <c r="N50" s="15">
        <f>IF(OR(A50="",N(L50)=0),"",M50/L50)</f>
        <v/>
      </c>
      <c r="O50" s="16">
        <f>IF(OR(A50="",N(M50)=0),"",C50/M50)</f>
        <v/>
      </c>
    </row>
    <row r="51">
      <c r="A51" s="8" t="n"/>
      <c r="B51" s="8" t="n"/>
      <c r="C51" s="9" t="n"/>
      <c r="D51" s="10" t="n"/>
      <c r="E51" s="11" t="n"/>
      <c r="F51" s="12" t="n"/>
      <c r="G51" s="9" t="n"/>
      <c r="H51" s="8" t="n"/>
      <c r="I51" s="13">
        <f>IF(A51="","",PV(F51/12,E51,-C51))</f>
        <v/>
      </c>
      <c r="J51" s="13">
        <f>IF(A51="","",I51*F51/12)</f>
        <v/>
      </c>
      <c r="K51" s="13">
        <f>IF(A51="","",I51/E51)</f>
        <v/>
      </c>
      <c r="L51" s="14" t="n"/>
      <c r="M51" s="14" t="n"/>
      <c r="N51" s="15">
        <f>IF(OR(A51="",N(L51)=0),"",M51/L51)</f>
        <v/>
      </c>
      <c r="O51" s="16">
        <f>IF(OR(A51="",N(M51)=0),"",C51/M51)</f>
        <v/>
      </c>
    </row>
    <row r="52">
      <c r="A52" s="8" t="n"/>
      <c r="B52" s="8" t="n"/>
      <c r="C52" s="9" t="n"/>
      <c r="D52" s="10" t="n"/>
      <c r="E52" s="11" t="n"/>
      <c r="F52" s="12" t="n"/>
      <c r="G52" s="9" t="n"/>
      <c r="H52" s="8" t="n"/>
      <c r="I52" s="13">
        <f>IF(A52="","",PV(F52/12,E52,-C52))</f>
        <v/>
      </c>
      <c r="J52" s="13">
        <f>IF(A52="","",I52*F52/12)</f>
        <v/>
      </c>
      <c r="K52" s="13">
        <f>IF(A52="","",I52/E52)</f>
        <v/>
      </c>
      <c r="L52" s="14" t="n"/>
      <c r="M52" s="14" t="n"/>
      <c r="N52" s="15">
        <f>IF(OR(A52="",N(L52)=0),"",M52/L52)</f>
        <v/>
      </c>
      <c r="O52" s="16">
        <f>IF(OR(A52="",N(M52)=0),"",C52/M52)</f>
        <v/>
      </c>
    </row>
    <row r="53">
      <c r="A53" s="8" t="n"/>
      <c r="B53" s="8" t="n"/>
      <c r="C53" s="9" t="n"/>
      <c r="D53" s="10" t="n"/>
      <c r="E53" s="11" t="n"/>
      <c r="F53" s="12" t="n"/>
      <c r="G53" s="9" t="n"/>
      <c r="H53" s="8" t="n"/>
      <c r="I53" s="13">
        <f>IF(A53="","",PV(F53/12,E53,-C53))</f>
        <v/>
      </c>
      <c r="J53" s="13">
        <f>IF(A53="","",I53*F53/12)</f>
        <v/>
      </c>
      <c r="K53" s="13">
        <f>IF(A53="","",I53/E53)</f>
        <v/>
      </c>
      <c r="L53" s="14" t="n"/>
      <c r="M53" s="14" t="n"/>
      <c r="N53" s="15">
        <f>IF(OR(A53="",N(L53)=0),"",M53/L53)</f>
        <v/>
      </c>
      <c r="O53" s="16">
        <f>IF(OR(A53="",N(M53)=0),"",C53/M53)</f>
        <v/>
      </c>
    </row>
    <row r="54">
      <c r="A54" s="8" t="n"/>
      <c r="B54" s="8" t="n"/>
      <c r="C54" s="9" t="n"/>
      <c r="D54" s="10" t="n"/>
      <c r="E54" s="11" t="n"/>
      <c r="F54" s="12" t="n"/>
      <c r="G54" s="9" t="n"/>
      <c r="H54" s="8" t="n"/>
      <c r="I54" s="13">
        <f>IF(A54="","",PV(F54/12,E54,-C54))</f>
        <v/>
      </c>
      <c r="J54" s="13">
        <f>IF(A54="","",I54*F54/12)</f>
        <v/>
      </c>
      <c r="K54" s="13">
        <f>IF(A54="","",I54/E54)</f>
        <v/>
      </c>
      <c r="L54" s="14" t="n"/>
      <c r="M54" s="14" t="n"/>
      <c r="N54" s="15">
        <f>IF(OR(A54="",N(L54)=0),"",M54/L54)</f>
        <v/>
      </c>
      <c r="O54" s="16">
        <f>IF(OR(A54="",N(M54)=0),"",C54/M54)</f>
        <v/>
      </c>
    </row>
    <row r="55">
      <c r="A55" s="8" t="n"/>
      <c r="B55" s="8" t="n"/>
      <c r="C55" s="9" t="n"/>
      <c r="D55" s="10" t="n"/>
      <c r="E55" s="11" t="n"/>
      <c r="F55" s="12" t="n"/>
      <c r="G55" s="9" t="n"/>
      <c r="H55" s="8" t="n"/>
      <c r="I55" s="13">
        <f>IF(A55="","",PV(F55/12,E55,-C55))</f>
        <v/>
      </c>
      <c r="J55" s="13">
        <f>IF(A55="","",I55*F55/12)</f>
        <v/>
      </c>
      <c r="K55" s="13">
        <f>IF(A55="","",I55/E55)</f>
        <v/>
      </c>
      <c r="L55" s="14" t="n"/>
      <c r="M55" s="14" t="n"/>
      <c r="N55" s="15">
        <f>IF(OR(A55="",N(L55)=0),"",M55/L55)</f>
        <v/>
      </c>
      <c r="O55" s="16">
        <f>IF(OR(A55="",N(M55)=0),"",C55/M55)</f>
        <v/>
      </c>
    </row>
    <row r="56">
      <c r="A56" s="8" t="n"/>
      <c r="B56" s="8" t="n"/>
      <c r="C56" s="9" t="n"/>
      <c r="D56" s="10" t="n"/>
      <c r="E56" s="11" t="n"/>
      <c r="F56" s="12" t="n"/>
      <c r="G56" s="9" t="n"/>
      <c r="H56" s="8" t="n"/>
      <c r="I56" s="13">
        <f>IF(A56="","",PV(F56/12,E56,-C56))</f>
        <v/>
      </c>
      <c r="J56" s="13">
        <f>IF(A56="","",I56*F56/12)</f>
        <v/>
      </c>
      <c r="K56" s="13">
        <f>IF(A56="","",I56/E56)</f>
        <v/>
      </c>
      <c r="L56" s="14" t="n"/>
      <c r="M56" s="14" t="n"/>
      <c r="N56" s="15">
        <f>IF(OR(A56="",N(L56)=0),"",M56/L56)</f>
        <v/>
      </c>
      <c r="O56" s="16">
        <f>IF(OR(A56="",N(M56)=0),"",C56/M56)</f>
        <v/>
      </c>
    </row>
    <row r="57">
      <c r="A57" s="8" t="n"/>
      <c r="B57" s="8" t="n"/>
      <c r="C57" s="9" t="n"/>
      <c r="D57" s="10" t="n"/>
      <c r="E57" s="11" t="n"/>
      <c r="F57" s="12" t="n"/>
      <c r="G57" s="9" t="n"/>
      <c r="H57" s="8" t="n"/>
      <c r="I57" s="13">
        <f>IF(A57="","",PV(F57/12,E57,-C57))</f>
        <v/>
      </c>
      <c r="J57" s="13">
        <f>IF(A57="","",I57*F57/12)</f>
        <v/>
      </c>
      <c r="K57" s="13">
        <f>IF(A57="","",I57/E57)</f>
        <v/>
      </c>
      <c r="L57" s="14" t="n"/>
      <c r="M57" s="14" t="n"/>
      <c r="N57" s="15">
        <f>IF(OR(A57="",N(L57)=0),"",M57/L57)</f>
        <v/>
      </c>
      <c r="O57" s="16">
        <f>IF(OR(A57="",N(M57)=0),"",C57/M57)</f>
        <v/>
      </c>
    </row>
    <row r="58">
      <c r="A58" s="8" t="n"/>
      <c r="B58" s="8" t="n"/>
      <c r="C58" s="9" t="n"/>
      <c r="D58" s="10" t="n"/>
      <c r="E58" s="11" t="n"/>
      <c r="F58" s="12" t="n"/>
      <c r="G58" s="9" t="n"/>
      <c r="H58" s="8" t="n"/>
      <c r="I58" s="13">
        <f>IF(A58="","",PV(F58/12,E58,-C58))</f>
        <v/>
      </c>
      <c r="J58" s="13">
        <f>IF(A58="","",I58*F58/12)</f>
        <v/>
      </c>
      <c r="K58" s="13">
        <f>IF(A58="","",I58/E58)</f>
        <v/>
      </c>
      <c r="L58" s="14" t="n"/>
      <c r="M58" s="14" t="n"/>
      <c r="N58" s="15">
        <f>IF(OR(A58="",N(L58)=0),"",M58/L58)</f>
        <v/>
      </c>
      <c r="O58" s="16">
        <f>IF(OR(A58="",N(M58)=0),"",C58/M58)</f>
        <v/>
      </c>
    </row>
    <row r="59">
      <c r="A59" s="8" t="n"/>
      <c r="B59" s="8" t="n"/>
      <c r="C59" s="9" t="n"/>
      <c r="D59" s="10" t="n"/>
      <c r="E59" s="11" t="n"/>
      <c r="F59" s="12" t="n"/>
      <c r="G59" s="9" t="n"/>
      <c r="H59" s="8" t="n"/>
      <c r="I59" s="13">
        <f>IF(A59="","",PV(F59/12,E59,-C59))</f>
        <v/>
      </c>
      <c r="J59" s="13">
        <f>IF(A59="","",I59*F59/12)</f>
        <v/>
      </c>
      <c r="K59" s="13">
        <f>IF(A59="","",I59/E59)</f>
        <v/>
      </c>
      <c r="L59" s="14" t="n"/>
      <c r="M59" s="14" t="n"/>
      <c r="N59" s="15">
        <f>IF(OR(A59="",N(L59)=0),"",M59/L59)</f>
        <v/>
      </c>
      <c r="O59" s="16">
        <f>IF(OR(A59="",N(M59)=0),"",C59/M59)</f>
        <v/>
      </c>
    </row>
    <row r="60">
      <c r="A60" s="8" t="n"/>
      <c r="B60" s="8" t="n"/>
      <c r="C60" s="9" t="n"/>
      <c r="D60" s="10" t="n"/>
      <c r="E60" s="11" t="n"/>
      <c r="F60" s="12" t="n"/>
      <c r="G60" s="9" t="n"/>
      <c r="H60" s="8" t="n"/>
      <c r="I60" s="13">
        <f>IF(A60="","",PV(F60/12,E60,-C60))</f>
        <v/>
      </c>
      <c r="J60" s="13">
        <f>IF(A60="","",I60*F60/12)</f>
        <v/>
      </c>
      <c r="K60" s="13">
        <f>IF(A60="","",I60/E60)</f>
        <v/>
      </c>
      <c r="L60" s="14" t="n"/>
      <c r="M60" s="14" t="n"/>
      <c r="N60" s="15">
        <f>IF(OR(A60="",N(L60)=0),"",M60/L60)</f>
        <v/>
      </c>
      <c r="O60" s="16">
        <f>IF(OR(A60="",N(M60)=0),"",C60/M60)</f>
        <v/>
      </c>
    </row>
    <row r="61">
      <c r="A61" s="8" t="n"/>
      <c r="B61" s="8" t="n"/>
      <c r="C61" s="9" t="n"/>
      <c r="D61" s="10" t="n"/>
      <c r="E61" s="11" t="n"/>
      <c r="F61" s="12" t="n"/>
      <c r="G61" s="9" t="n"/>
      <c r="H61" s="8" t="n"/>
      <c r="I61" s="13">
        <f>IF(A61="","",PV(F61/12,E61,-C61))</f>
        <v/>
      </c>
      <c r="J61" s="13">
        <f>IF(A61="","",I61*F61/12)</f>
        <v/>
      </c>
      <c r="K61" s="13">
        <f>IF(A61="","",I61/E61)</f>
        <v/>
      </c>
      <c r="L61" s="14" t="n"/>
      <c r="M61" s="14" t="n"/>
      <c r="N61" s="15">
        <f>IF(OR(A61="",N(L61)=0),"",M61/L61)</f>
        <v/>
      </c>
      <c r="O61" s="16">
        <f>IF(OR(A61="",N(M61)=0),"",C61/M61)</f>
        <v/>
      </c>
    </row>
    <row r="62">
      <c r="A62" s="8" t="n"/>
      <c r="B62" s="8" t="n"/>
      <c r="C62" s="9" t="n"/>
      <c r="D62" s="10" t="n"/>
      <c r="E62" s="11" t="n"/>
      <c r="F62" s="12" t="n"/>
      <c r="G62" s="9" t="n"/>
      <c r="H62" s="8" t="n"/>
      <c r="I62" s="13">
        <f>IF(A62="","",PV(F62/12,E62,-C62))</f>
        <v/>
      </c>
      <c r="J62" s="13">
        <f>IF(A62="","",I62*F62/12)</f>
        <v/>
      </c>
      <c r="K62" s="13">
        <f>IF(A62="","",I62/E62)</f>
        <v/>
      </c>
      <c r="L62" s="14" t="n"/>
      <c r="M62" s="14" t="n"/>
      <c r="N62" s="15">
        <f>IF(OR(A62="",N(L62)=0),"",M62/L62)</f>
        <v/>
      </c>
      <c r="O62" s="16">
        <f>IF(OR(A62="",N(M62)=0),"",C62/M62)</f>
        <v/>
      </c>
    </row>
    <row r="63">
      <c r="A63" s="8" t="n"/>
      <c r="B63" s="8" t="n"/>
      <c r="C63" s="9" t="n"/>
      <c r="D63" s="10" t="n"/>
      <c r="E63" s="11" t="n"/>
      <c r="F63" s="12" t="n"/>
      <c r="G63" s="9" t="n"/>
      <c r="H63" s="8" t="n"/>
      <c r="I63" s="13">
        <f>IF(A63="","",PV(F63/12,E63,-C63))</f>
        <v/>
      </c>
      <c r="J63" s="13">
        <f>IF(A63="","",I63*F63/12)</f>
        <v/>
      </c>
      <c r="K63" s="13">
        <f>IF(A63="","",I63/E63)</f>
        <v/>
      </c>
      <c r="L63" s="14" t="n"/>
      <c r="M63" s="14" t="n"/>
      <c r="N63" s="15">
        <f>IF(OR(A63="",N(L63)=0),"",M63/L63)</f>
        <v/>
      </c>
      <c r="O63" s="16">
        <f>IF(OR(A63="",N(M63)=0),"",C63/M63)</f>
        <v/>
      </c>
    </row>
    <row r="64">
      <c r="A64" s="8" t="n"/>
      <c r="B64" s="8" t="n"/>
      <c r="C64" s="9" t="n"/>
      <c r="D64" s="10" t="n"/>
      <c r="E64" s="11" t="n"/>
      <c r="F64" s="12" t="n"/>
      <c r="G64" s="9" t="n"/>
      <c r="H64" s="8" t="n"/>
      <c r="I64" s="13">
        <f>IF(A64="","",PV(F64/12,E64,-C64))</f>
        <v/>
      </c>
      <c r="J64" s="13">
        <f>IF(A64="","",I64*F64/12)</f>
        <v/>
      </c>
      <c r="K64" s="13">
        <f>IF(A64="","",I64/E64)</f>
        <v/>
      </c>
      <c r="L64" s="14" t="n"/>
      <c r="M64" s="14" t="n"/>
      <c r="N64" s="15">
        <f>IF(OR(A64="",N(L64)=0),"",M64/L64)</f>
        <v/>
      </c>
      <c r="O64" s="16">
        <f>IF(OR(A64="",N(M64)=0),"",C64/M64)</f>
        <v/>
      </c>
    </row>
    <row r="65">
      <c r="A65" s="8" t="n"/>
      <c r="B65" s="8" t="n"/>
      <c r="C65" s="9" t="n"/>
      <c r="D65" s="10" t="n"/>
      <c r="E65" s="11" t="n"/>
      <c r="F65" s="12" t="n"/>
      <c r="G65" s="9" t="n"/>
      <c r="H65" s="8" t="n"/>
      <c r="I65" s="13">
        <f>IF(A65="","",PV(F65/12,E65,-C65))</f>
        <v/>
      </c>
      <c r="J65" s="13">
        <f>IF(A65="","",I65*F65/12)</f>
        <v/>
      </c>
      <c r="K65" s="13">
        <f>IF(A65="","",I65/E65)</f>
        <v/>
      </c>
      <c r="L65" s="14" t="n"/>
      <c r="M65" s="14" t="n"/>
      <c r="N65" s="15">
        <f>IF(OR(A65="",N(L65)=0),"",M65/L65)</f>
        <v/>
      </c>
      <c r="O65" s="16">
        <f>IF(OR(A65="",N(M65)=0),"",C65/M65)</f>
        <v/>
      </c>
    </row>
    <row r="66">
      <c r="A66" s="8" t="n"/>
      <c r="B66" s="8" t="n"/>
      <c r="C66" s="9" t="n"/>
      <c r="D66" s="10" t="n"/>
      <c r="E66" s="11" t="n"/>
      <c r="F66" s="12" t="n"/>
      <c r="G66" s="9" t="n"/>
      <c r="H66" s="8" t="n"/>
      <c r="I66" s="13">
        <f>IF(A66="","",PV(F66/12,E66,-C66))</f>
        <v/>
      </c>
      <c r="J66" s="13">
        <f>IF(A66="","",I66*F66/12)</f>
        <v/>
      </c>
      <c r="K66" s="13">
        <f>IF(A66="","",I66/E66)</f>
        <v/>
      </c>
      <c r="L66" s="14" t="n"/>
      <c r="M66" s="14" t="n"/>
      <c r="N66" s="15">
        <f>IF(OR(A66="",N(L66)=0),"",M66/L66)</f>
        <v/>
      </c>
      <c r="O66" s="16">
        <f>IF(OR(A66="",N(M66)=0),"",C66/M66)</f>
        <v/>
      </c>
    </row>
    <row r="67">
      <c r="A67" s="8" t="n"/>
      <c r="B67" s="8" t="n"/>
      <c r="C67" s="9" t="n"/>
      <c r="D67" s="10" t="n"/>
      <c r="E67" s="11" t="n"/>
      <c r="F67" s="12" t="n"/>
      <c r="G67" s="9" t="n"/>
      <c r="H67" s="8" t="n"/>
      <c r="I67" s="13">
        <f>IF(A67="","",PV(F67/12,E67,-C67))</f>
        <v/>
      </c>
      <c r="J67" s="13">
        <f>IF(A67="","",I67*F67/12)</f>
        <v/>
      </c>
      <c r="K67" s="13">
        <f>IF(A67="","",I67/E67)</f>
        <v/>
      </c>
      <c r="L67" s="14" t="n"/>
      <c r="M67" s="14" t="n"/>
      <c r="N67" s="15">
        <f>IF(OR(A67="",N(L67)=0),"",M67/L67)</f>
        <v/>
      </c>
      <c r="O67" s="16">
        <f>IF(OR(A67="",N(M67)=0),"",C67/M67)</f>
        <v/>
      </c>
    </row>
    <row r="68">
      <c r="A68" s="8" t="n"/>
      <c r="B68" s="8" t="n"/>
      <c r="C68" s="9" t="n"/>
      <c r="D68" s="10" t="n"/>
      <c r="E68" s="11" t="n"/>
      <c r="F68" s="12" t="n"/>
      <c r="G68" s="9" t="n"/>
      <c r="H68" s="8" t="n"/>
      <c r="I68" s="13">
        <f>IF(A68="","",PV(F68/12,E68,-C68))</f>
        <v/>
      </c>
      <c r="J68" s="13">
        <f>IF(A68="","",I68*F68/12)</f>
        <v/>
      </c>
      <c r="K68" s="13">
        <f>IF(A68="","",I68/E68)</f>
        <v/>
      </c>
      <c r="L68" s="14" t="n"/>
      <c r="M68" s="14" t="n"/>
      <c r="N68" s="15">
        <f>IF(OR(A68="",N(L68)=0),"",M68/L68)</f>
        <v/>
      </c>
      <c r="O68" s="16">
        <f>IF(OR(A68="",N(M68)=0),"",C68/M68)</f>
        <v/>
      </c>
    </row>
    <row r="69">
      <c r="A69" s="8" t="n"/>
      <c r="B69" s="8" t="n"/>
      <c r="C69" s="9" t="n"/>
      <c r="D69" s="10" t="n"/>
      <c r="E69" s="11" t="n"/>
      <c r="F69" s="12" t="n"/>
      <c r="G69" s="9" t="n"/>
      <c r="H69" s="8" t="n"/>
      <c r="I69" s="13">
        <f>IF(A69="","",PV(F69/12,E69,-C69))</f>
        <v/>
      </c>
      <c r="J69" s="13">
        <f>IF(A69="","",I69*F69/12)</f>
        <v/>
      </c>
      <c r="K69" s="13">
        <f>IF(A69="","",I69/E69)</f>
        <v/>
      </c>
      <c r="L69" s="14" t="n"/>
      <c r="M69" s="14" t="n"/>
      <c r="N69" s="15">
        <f>IF(OR(A69="",N(L69)=0),"",M69/L69)</f>
        <v/>
      </c>
      <c r="O69" s="16">
        <f>IF(OR(A69="",N(M69)=0),"",C69/M69)</f>
        <v/>
      </c>
    </row>
    <row r="70">
      <c r="A70" s="8" t="n"/>
      <c r="B70" s="8" t="n"/>
      <c r="C70" s="9" t="n"/>
      <c r="D70" s="10" t="n"/>
      <c r="E70" s="11" t="n"/>
      <c r="F70" s="12" t="n"/>
      <c r="G70" s="9" t="n"/>
      <c r="H70" s="8" t="n"/>
      <c r="I70" s="13">
        <f>IF(A70="","",PV(F70/12,E70,-C70))</f>
        <v/>
      </c>
      <c r="J70" s="13">
        <f>IF(A70="","",I70*F70/12)</f>
        <v/>
      </c>
      <c r="K70" s="13">
        <f>IF(A70="","",I70/E70)</f>
        <v/>
      </c>
      <c r="L70" s="14" t="n"/>
      <c r="M70" s="14" t="n"/>
      <c r="N70" s="15">
        <f>IF(OR(A70="",N(L70)=0),"",M70/L70)</f>
        <v/>
      </c>
      <c r="O70" s="16">
        <f>IF(OR(A70="",N(M70)=0),"",C70/M70)</f>
        <v/>
      </c>
    </row>
    <row r="71">
      <c r="A71" s="8" t="n"/>
      <c r="B71" s="8" t="n"/>
      <c r="C71" s="9" t="n"/>
      <c r="D71" s="10" t="n"/>
      <c r="E71" s="11" t="n"/>
      <c r="F71" s="12" t="n"/>
      <c r="G71" s="9" t="n"/>
      <c r="H71" s="8" t="n"/>
      <c r="I71" s="13">
        <f>IF(A71="","",PV(F71/12,E71,-C71))</f>
        <v/>
      </c>
      <c r="J71" s="13">
        <f>IF(A71="","",I71*F71/12)</f>
        <v/>
      </c>
      <c r="K71" s="13">
        <f>IF(A71="","",I71/E71)</f>
        <v/>
      </c>
      <c r="L71" s="14" t="n"/>
      <c r="M71" s="14" t="n"/>
      <c r="N71" s="15">
        <f>IF(OR(A71="",N(L71)=0),"",M71/L71)</f>
        <v/>
      </c>
      <c r="O71" s="16">
        <f>IF(OR(A71="",N(M71)=0),"",C71/M71)</f>
        <v/>
      </c>
    </row>
    <row r="72">
      <c r="A72" s="8" t="n"/>
      <c r="B72" s="8" t="n"/>
      <c r="C72" s="9" t="n"/>
      <c r="D72" s="10" t="n"/>
      <c r="E72" s="11" t="n"/>
      <c r="F72" s="12" t="n"/>
      <c r="G72" s="9" t="n"/>
      <c r="H72" s="8" t="n"/>
      <c r="I72" s="13">
        <f>IF(A72="","",PV(F72/12,E72,-C72))</f>
        <v/>
      </c>
      <c r="J72" s="13">
        <f>IF(A72="","",I72*F72/12)</f>
        <v/>
      </c>
      <c r="K72" s="13">
        <f>IF(A72="","",I72/E72)</f>
        <v/>
      </c>
      <c r="L72" s="14" t="n"/>
      <c r="M72" s="14" t="n"/>
      <c r="N72" s="15">
        <f>IF(OR(A72="",N(L72)=0),"",M72/L72)</f>
        <v/>
      </c>
      <c r="O72" s="16">
        <f>IF(OR(A72="",N(M72)=0),"",C72/M72)</f>
        <v/>
      </c>
    </row>
    <row r="73">
      <c r="A73" s="8" t="n"/>
      <c r="B73" s="8" t="n"/>
      <c r="C73" s="9" t="n"/>
      <c r="D73" s="10" t="n"/>
      <c r="E73" s="11" t="n"/>
      <c r="F73" s="12" t="n"/>
      <c r="G73" s="9" t="n"/>
      <c r="H73" s="8" t="n"/>
      <c r="I73" s="13">
        <f>IF(A73="","",PV(F73/12,E73,-C73))</f>
        <v/>
      </c>
      <c r="J73" s="13">
        <f>IF(A73="","",I73*F73/12)</f>
        <v/>
      </c>
      <c r="K73" s="13">
        <f>IF(A73="","",I73/E73)</f>
        <v/>
      </c>
      <c r="L73" s="14" t="n"/>
      <c r="M73" s="14" t="n"/>
      <c r="N73" s="15">
        <f>IF(OR(A73="",N(L73)=0),"",M73/L73)</f>
        <v/>
      </c>
      <c r="O73" s="16">
        <f>IF(OR(A73="",N(M73)=0),"",C73/M73)</f>
        <v/>
      </c>
    </row>
    <row r="74">
      <c r="A74" s="8" t="n"/>
      <c r="B74" s="8" t="n"/>
      <c r="C74" s="9" t="n"/>
      <c r="D74" s="10" t="n"/>
      <c r="E74" s="11" t="n"/>
      <c r="F74" s="12" t="n"/>
      <c r="G74" s="9" t="n"/>
      <c r="H74" s="8" t="n"/>
      <c r="I74" s="13">
        <f>IF(A74="","",PV(F74/12,E74,-C74))</f>
        <v/>
      </c>
      <c r="J74" s="13">
        <f>IF(A74="","",I74*F74/12)</f>
        <v/>
      </c>
      <c r="K74" s="13">
        <f>IF(A74="","",I74/E74)</f>
        <v/>
      </c>
      <c r="L74" s="14" t="n"/>
      <c r="M74" s="14" t="n"/>
      <c r="N74" s="15">
        <f>IF(OR(A74="",N(L74)=0),"",M74/L74)</f>
        <v/>
      </c>
      <c r="O74" s="16">
        <f>IF(OR(A74="",N(M74)=0),"",C74/M74)</f>
        <v/>
      </c>
    </row>
    <row r="75">
      <c r="A75" s="8" t="n"/>
      <c r="B75" s="8" t="n"/>
      <c r="C75" s="9" t="n"/>
      <c r="D75" s="10" t="n"/>
      <c r="E75" s="11" t="n"/>
      <c r="F75" s="12" t="n"/>
      <c r="G75" s="9" t="n"/>
      <c r="H75" s="8" t="n"/>
      <c r="I75" s="13">
        <f>IF(A75="","",PV(F75/12,E75,-C75))</f>
        <v/>
      </c>
      <c r="J75" s="13">
        <f>IF(A75="","",I75*F75/12)</f>
        <v/>
      </c>
      <c r="K75" s="13">
        <f>IF(A75="","",I75/E75)</f>
        <v/>
      </c>
      <c r="L75" s="14" t="n"/>
      <c r="M75" s="14" t="n"/>
      <c r="N75" s="15">
        <f>IF(OR(A75="",N(L75)=0),"",M75/L75)</f>
        <v/>
      </c>
      <c r="O75" s="16">
        <f>IF(OR(A75="",N(M75)=0),"",C75/M75)</f>
        <v/>
      </c>
    </row>
    <row r="76">
      <c r="A76" s="8" t="n"/>
      <c r="B76" s="8" t="n"/>
      <c r="C76" s="9" t="n"/>
      <c r="D76" s="10" t="n"/>
      <c r="E76" s="11" t="n"/>
      <c r="F76" s="12" t="n"/>
      <c r="G76" s="9" t="n"/>
      <c r="H76" s="8" t="n"/>
      <c r="I76" s="13">
        <f>IF(A76="","",PV(F76/12,E76,-C76))</f>
        <v/>
      </c>
      <c r="J76" s="13">
        <f>IF(A76="","",I76*F76/12)</f>
        <v/>
      </c>
      <c r="K76" s="13">
        <f>IF(A76="","",I76/E76)</f>
        <v/>
      </c>
      <c r="L76" s="14" t="n"/>
      <c r="M76" s="14" t="n"/>
      <c r="N76" s="15">
        <f>IF(OR(A76="",N(L76)=0),"",M76/L76)</f>
        <v/>
      </c>
      <c r="O76" s="16">
        <f>IF(OR(A76="",N(M76)=0),"",C76/M76)</f>
        <v/>
      </c>
    </row>
    <row r="77">
      <c r="A77" s="8" t="n"/>
      <c r="B77" s="8" t="n"/>
      <c r="C77" s="9" t="n"/>
      <c r="D77" s="10" t="n"/>
      <c r="E77" s="11" t="n"/>
      <c r="F77" s="12" t="n"/>
      <c r="G77" s="9" t="n"/>
      <c r="H77" s="8" t="n"/>
      <c r="I77" s="13">
        <f>IF(A77="","",PV(F77/12,E77,-C77))</f>
        <v/>
      </c>
      <c r="J77" s="13">
        <f>IF(A77="","",I77*F77/12)</f>
        <v/>
      </c>
      <c r="K77" s="13">
        <f>IF(A77="","",I77/E77)</f>
        <v/>
      </c>
      <c r="L77" s="14" t="n"/>
      <c r="M77" s="14" t="n"/>
      <c r="N77" s="15">
        <f>IF(OR(A77="",N(L77)=0),"",M77/L77)</f>
        <v/>
      </c>
      <c r="O77" s="16">
        <f>IF(OR(A77="",N(M77)=0),"",C77/M77)</f>
        <v/>
      </c>
    </row>
    <row r="78">
      <c r="A78" s="8" t="n"/>
      <c r="B78" s="8" t="n"/>
      <c r="C78" s="9" t="n"/>
      <c r="D78" s="10" t="n"/>
      <c r="E78" s="11" t="n"/>
      <c r="F78" s="12" t="n"/>
      <c r="G78" s="9" t="n"/>
      <c r="H78" s="8" t="n"/>
      <c r="I78" s="13">
        <f>IF(A78="","",PV(F78/12,E78,-C78))</f>
        <v/>
      </c>
      <c r="J78" s="13">
        <f>IF(A78="","",I78*F78/12)</f>
        <v/>
      </c>
      <c r="K78" s="13">
        <f>IF(A78="","",I78/E78)</f>
        <v/>
      </c>
      <c r="L78" s="14" t="n"/>
      <c r="M78" s="14" t="n"/>
      <c r="N78" s="15">
        <f>IF(OR(A78="",N(L78)=0),"",M78/L78)</f>
        <v/>
      </c>
      <c r="O78" s="16">
        <f>IF(OR(A78="",N(M78)=0),"",C78/M78)</f>
        <v/>
      </c>
    </row>
    <row r="79">
      <c r="A79" s="8" t="n"/>
      <c r="B79" s="8" t="n"/>
      <c r="C79" s="9" t="n"/>
      <c r="D79" s="10" t="n"/>
      <c r="E79" s="11" t="n"/>
      <c r="F79" s="12" t="n"/>
      <c r="G79" s="9" t="n"/>
      <c r="H79" s="8" t="n"/>
      <c r="I79" s="13">
        <f>IF(A79="","",PV(F79/12,E79,-C79))</f>
        <v/>
      </c>
      <c r="J79" s="13">
        <f>IF(A79="","",I79*F79/12)</f>
        <v/>
      </c>
      <c r="K79" s="13">
        <f>IF(A79="","",I79/E79)</f>
        <v/>
      </c>
      <c r="L79" s="14" t="n"/>
      <c r="M79" s="14" t="n"/>
      <c r="N79" s="15">
        <f>IF(OR(A79="",N(L79)=0),"",M79/L79)</f>
        <v/>
      </c>
      <c r="O79" s="16">
        <f>IF(OR(A79="",N(M79)=0),"",C79/M79)</f>
        <v/>
      </c>
    </row>
    <row r="80">
      <c r="A80" s="8" t="n"/>
      <c r="B80" s="8" t="n"/>
      <c r="C80" s="9" t="n"/>
      <c r="D80" s="10" t="n"/>
      <c r="E80" s="11" t="n"/>
      <c r="F80" s="12" t="n"/>
      <c r="G80" s="9" t="n"/>
      <c r="H80" s="8" t="n"/>
      <c r="I80" s="13">
        <f>IF(A80="","",PV(F80/12,E80,-C80))</f>
        <v/>
      </c>
      <c r="J80" s="13">
        <f>IF(A80="","",I80*F80/12)</f>
        <v/>
      </c>
      <c r="K80" s="13">
        <f>IF(A80="","",I80/E80)</f>
        <v/>
      </c>
      <c r="L80" s="14" t="n"/>
      <c r="M80" s="14" t="n"/>
      <c r="N80" s="15">
        <f>IF(OR(A80="",N(L80)=0),"",M80/L80)</f>
        <v/>
      </c>
      <c r="O80" s="16">
        <f>IF(OR(A80="",N(M80)=0),"",C80/M80)</f>
        <v/>
      </c>
    </row>
    <row r="81">
      <c r="A81" s="8" t="n"/>
      <c r="B81" s="8" t="n"/>
      <c r="C81" s="9" t="n"/>
      <c r="D81" s="10" t="n"/>
      <c r="E81" s="11" t="n"/>
      <c r="F81" s="12" t="n"/>
      <c r="G81" s="9" t="n"/>
      <c r="H81" s="8" t="n"/>
      <c r="I81" s="13">
        <f>IF(A81="","",PV(F81/12,E81,-C81))</f>
        <v/>
      </c>
      <c r="J81" s="13">
        <f>IF(A81="","",I81*F81/12)</f>
        <v/>
      </c>
      <c r="K81" s="13">
        <f>IF(A81="","",I81/E81)</f>
        <v/>
      </c>
      <c r="L81" s="14" t="n"/>
      <c r="M81" s="14" t="n"/>
      <c r="N81" s="15">
        <f>IF(OR(A81="",N(L81)=0),"",M81/L81)</f>
        <v/>
      </c>
      <c r="O81" s="16">
        <f>IF(OR(A81="",N(M81)=0),"",C81/M81)</f>
        <v/>
      </c>
    </row>
    <row r="82">
      <c r="A82" s="8" t="n"/>
      <c r="B82" s="8" t="n"/>
      <c r="C82" s="9" t="n"/>
      <c r="D82" s="10" t="n"/>
      <c r="E82" s="11" t="n"/>
      <c r="F82" s="12" t="n"/>
      <c r="G82" s="9" t="n"/>
      <c r="H82" s="8" t="n"/>
      <c r="I82" s="13">
        <f>IF(A82="","",PV(F82/12,E82,-C82))</f>
        <v/>
      </c>
      <c r="J82" s="13">
        <f>IF(A82="","",I82*F82/12)</f>
        <v/>
      </c>
      <c r="K82" s="13">
        <f>IF(A82="","",I82/E82)</f>
        <v/>
      </c>
      <c r="L82" s="14" t="n"/>
      <c r="M82" s="14" t="n"/>
      <c r="N82" s="15">
        <f>IF(OR(A82="",N(L82)=0),"",M82/L82)</f>
        <v/>
      </c>
      <c r="O82" s="16">
        <f>IF(OR(A82="",N(M82)=0),"",C82/M82)</f>
        <v/>
      </c>
    </row>
    <row r="83">
      <c r="A83" s="8" t="n"/>
      <c r="B83" s="8" t="n"/>
      <c r="C83" s="9" t="n"/>
      <c r="D83" s="10" t="n"/>
      <c r="E83" s="11" t="n"/>
      <c r="F83" s="12" t="n"/>
      <c r="G83" s="9" t="n"/>
      <c r="H83" s="8" t="n"/>
      <c r="I83" s="13">
        <f>IF(A83="","",PV(F83/12,E83,-C83))</f>
        <v/>
      </c>
      <c r="J83" s="13">
        <f>IF(A83="","",I83*F83/12)</f>
        <v/>
      </c>
      <c r="K83" s="13">
        <f>IF(A83="","",I83/E83)</f>
        <v/>
      </c>
      <c r="L83" s="14" t="n"/>
      <c r="M83" s="14" t="n"/>
      <c r="N83" s="15">
        <f>IF(OR(A83="",N(L83)=0),"",M83/L83)</f>
        <v/>
      </c>
      <c r="O83" s="16">
        <f>IF(OR(A83="",N(M83)=0),"",C83/M83)</f>
        <v/>
      </c>
    </row>
    <row r="84">
      <c r="A84" s="8" t="n"/>
      <c r="B84" s="8" t="n"/>
      <c r="C84" s="9" t="n"/>
      <c r="D84" s="10" t="n"/>
      <c r="E84" s="11" t="n"/>
      <c r="F84" s="12" t="n"/>
      <c r="G84" s="9" t="n"/>
      <c r="H84" s="8" t="n"/>
      <c r="I84" s="13">
        <f>IF(A84="","",PV(F84/12,E84,-C84))</f>
        <v/>
      </c>
      <c r="J84" s="13">
        <f>IF(A84="","",I84*F84/12)</f>
        <v/>
      </c>
      <c r="K84" s="13">
        <f>IF(A84="","",I84/E84)</f>
        <v/>
      </c>
      <c r="L84" s="14" t="n"/>
      <c r="M84" s="14" t="n"/>
      <c r="N84" s="15">
        <f>IF(OR(A84="",N(L84)=0),"",M84/L84)</f>
        <v/>
      </c>
      <c r="O84" s="16">
        <f>IF(OR(A84="",N(M84)=0),"",C84/M84)</f>
        <v/>
      </c>
    </row>
    <row r="85">
      <c r="A85" s="8" t="n"/>
      <c r="B85" s="8" t="n"/>
      <c r="C85" s="9" t="n"/>
      <c r="D85" s="10" t="n"/>
      <c r="E85" s="11" t="n"/>
      <c r="F85" s="12" t="n"/>
      <c r="G85" s="9" t="n"/>
      <c r="H85" s="8" t="n"/>
      <c r="I85" s="13">
        <f>IF(A85="","",PV(F85/12,E85,-C85))</f>
        <v/>
      </c>
      <c r="J85" s="13">
        <f>IF(A85="","",I85*F85/12)</f>
        <v/>
      </c>
      <c r="K85" s="13">
        <f>IF(A85="","",I85/E85)</f>
        <v/>
      </c>
      <c r="L85" s="14" t="n"/>
      <c r="M85" s="14" t="n"/>
      <c r="N85" s="15">
        <f>IF(OR(A85="",N(L85)=0),"",M85/L85)</f>
        <v/>
      </c>
      <c r="O85" s="16">
        <f>IF(OR(A85="",N(M85)=0),"",C85/M85)</f>
        <v/>
      </c>
    </row>
    <row r="86">
      <c r="A86" s="8" t="n"/>
      <c r="B86" s="8" t="n"/>
      <c r="C86" s="9" t="n"/>
      <c r="D86" s="10" t="n"/>
      <c r="E86" s="11" t="n"/>
      <c r="F86" s="12" t="n"/>
      <c r="G86" s="9" t="n"/>
      <c r="H86" s="8" t="n"/>
      <c r="I86" s="13">
        <f>IF(A86="","",PV(F86/12,E86,-C86))</f>
        <v/>
      </c>
      <c r="J86" s="13">
        <f>IF(A86="","",I86*F86/12)</f>
        <v/>
      </c>
      <c r="K86" s="13">
        <f>IF(A86="","",I86/E86)</f>
        <v/>
      </c>
      <c r="L86" s="14" t="n"/>
      <c r="M86" s="14" t="n"/>
      <c r="N86" s="15">
        <f>IF(OR(A86="",N(L86)=0),"",M86/L86)</f>
        <v/>
      </c>
      <c r="O86" s="16">
        <f>IF(OR(A86="",N(M86)=0),"",C86/M86)</f>
        <v/>
      </c>
    </row>
    <row r="87">
      <c r="A87" s="8" t="n"/>
      <c r="B87" s="8" t="n"/>
      <c r="C87" s="9" t="n"/>
      <c r="D87" s="10" t="n"/>
      <c r="E87" s="11" t="n"/>
      <c r="F87" s="12" t="n"/>
      <c r="G87" s="9" t="n"/>
      <c r="H87" s="8" t="n"/>
      <c r="I87" s="13">
        <f>IF(A87="","",PV(F87/12,E87,-C87))</f>
        <v/>
      </c>
      <c r="J87" s="13">
        <f>IF(A87="","",I87*F87/12)</f>
        <v/>
      </c>
      <c r="K87" s="13">
        <f>IF(A87="","",I87/E87)</f>
        <v/>
      </c>
      <c r="L87" s="14" t="n"/>
      <c r="M87" s="14" t="n"/>
      <c r="N87" s="15">
        <f>IF(OR(A87="",N(L87)=0),"",M87/L87)</f>
        <v/>
      </c>
      <c r="O87" s="16">
        <f>IF(OR(A87="",N(M87)=0),"",C87/M87)</f>
        <v/>
      </c>
    </row>
    <row r="88">
      <c r="A88" s="8" t="n"/>
      <c r="B88" s="8" t="n"/>
      <c r="C88" s="9" t="n"/>
      <c r="D88" s="10" t="n"/>
      <c r="E88" s="11" t="n"/>
      <c r="F88" s="12" t="n"/>
      <c r="G88" s="9" t="n"/>
      <c r="H88" s="8" t="n"/>
      <c r="I88" s="13">
        <f>IF(A88="","",PV(F88/12,E88,-C88))</f>
        <v/>
      </c>
      <c r="J88" s="13">
        <f>IF(A88="","",I88*F88/12)</f>
        <v/>
      </c>
      <c r="K88" s="13">
        <f>IF(A88="","",I88/E88)</f>
        <v/>
      </c>
      <c r="L88" s="14" t="n"/>
      <c r="M88" s="14" t="n"/>
      <c r="N88" s="15">
        <f>IF(OR(A88="",N(L88)=0),"",M88/L88)</f>
        <v/>
      </c>
      <c r="O88" s="16">
        <f>IF(OR(A88="",N(M88)=0),"",C88/M88)</f>
        <v/>
      </c>
    </row>
    <row r="89">
      <c r="A89" s="8" t="n"/>
      <c r="B89" s="8" t="n"/>
      <c r="C89" s="9" t="n"/>
      <c r="D89" s="10" t="n"/>
      <c r="E89" s="11" t="n"/>
      <c r="F89" s="12" t="n"/>
      <c r="G89" s="9" t="n"/>
      <c r="H89" s="8" t="n"/>
      <c r="I89" s="13">
        <f>IF(A89="","",PV(F89/12,E89,-C89))</f>
        <v/>
      </c>
      <c r="J89" s="13">
        <f>IF(A89="","",I89*F89/12)</f>
        <v/>
      </c>
      <c r="K89" s="13">
        <f>IF(A89="","",I89/E89)</f>
        <v/>
      </c>
      <c r="L89" s="14" t="n"/>
      <c r="M89" s="14" t="n"/>
      <c r="N89" s="15">
        <f>IF(OR(A89="",N(L89)=0),"",M89/L89)</f>
        <v/>
      </c>
      <c r="O89" s="16">
        <f>IF(OR(A89="",N(M89)=0),"",C89/M89)</f>
        <v/>
      </c>
    </row>
    <row r="90">
      <c r="A90" s="8" t="n"/>
      <c r="B90" s="8" t="n"/>
      <c r="C90" s="9" t="n"/>
      <c r="D90" s="10" t="n"/>
      <c r="E90" s="11" t="n"/>
      <c r="F90" s="12" t="n"/>
      <c r="G90" s="9" t="n"/>
      <c r="H90" s="8" t="n"/>
      <c r="I90" s="13">
        <f>IF(A90="","",PV(F90/12,E90,-C90))</f>
        <v/>
      </c>
      <c r="J90" s="13">
        <f>IF(A90="","",I90*F90/12)</f>
        <v/>
      </c>
      <c r="K90" s="13">
        <f>IF(A90="","",I90/E90)</f>
        <v/>
      </c>
      <c r="L90" s="14" t="n"/>
      <c r="M90" s="14" t="n"/>
      <c r="N90" s="15">
        <f>IF(OR(A90="",N(L90)=0),"",M90/L90)</f>
        <v/>
      </c>
      <c r="O90" s="16">
        <f>IF(OR(A90="",N(M90)=0),"",C90/M90)</f>
        <v/>
      </c>
    </row>
    <row r="91">
      <c r="A91" s="8" t="n"/>
      <c r="B91" s="8" t="n"/>
      <c r="C91" s="9" t="n"/>
      <c r="D91" s="10" t="n"/>
      <c r="E91" s="11" t="n"/>
      <c r="F91" s="12" t="n"/>
      <c r="G91" s="9" t="n"/>
      <c r="H91" s="8" t="n"/>
      <c r="I91" s="13">
        <f>IF(A91="","",PV(F91/12,E91,-C91))</f>
        <v/>
      </c>
      <c r="J91" s="13">
        <f>IF(A91="","",I91*F91/12)</f>
        <v/>
      </c>
      <c r="K91" s="13">
        <f>IF(A91="","",I91/E91)</f>
        <v/>
      </c>
      <c r="L91" s="14" t="n"/>
      <c r="M91" s="14" t="n"/>
      <c r="N91" s="15">
        <f>IF(OR(A91="",N(L91)=0),"",M91/L91)</f>
        <v/>
      </c>
      <c r="O91" s="16">
        <f>IF(OR(A91="",N(M91)=0),"",C91/M91)</f>
        <v/>
      </c>
    </row>
    <row r="92">
      <c r="A92" s="8" t="n"/>
      <c r="B92" s="8" t="n"/>
      <c r="C92" s="9" t="n"/>
      <c r="D92" s="10" t="n"/>
      <c r="E92" s="11" t="n"/>
      <c r="F92" s="12" t="n"/>
      <c r="G92" s="9" t="n"/>
      <c r="H92" s="8" t="n"/>
      <c r="I92" s="13">
        <f>IF(A92="","",PV(F92/12,E92,-C92))</f>
        <v/>
      </c>
      <c r="J92" s="13">
        <f>IF(A92="","",I92*F92/12)</f>
        <v/>
      </c>
      <c r="K92" s="13">
        <f>IF(A92="","",I92/E92)</f>
        <v/>
      </c>
      <c r="L92" s="14" t="n"/>
      <c r="M92" s="14" t="n"/>
      <c r="N92" s="15">
        <f>IF(OR(A92="",N(L92)=0),"",M92/L92)</f>
        <v/>
      </c>
      <c r="O92" s="16">
        <f>IF(OR(A92="",N(M92)=0),"",C92/M92)</f>
        <v/>
      </c>
    </row>
    <row r="93">
      <c r="A93" s="8" t="n"/>
      <c r="B93" s="8" t="n"/>
      <c r="C93" s="9" t="n"/>
      <c r="D93" s="10" t="n"/>
      <c r="E93" s="11" t="n"/>
      <c r="F93" s="12" t="n"/>
      <c r="G93" s="9" t="n"/>
      <c r="H93" s="8" t="n"/>
      <c r="I93" s="13">
        <f>IF(A93="","",PV(F93/12,E93,-C93))</f>
        <v/>
      </c>
      <c r="J93" s="13">
        <f>IF(A93="","",I93*F93/12)</f>
        <v/>
      </c>
      <c r="K93" s="13">
        <f>IF(A93="","",I93/E93)</f>
        <v/>
      </c>
      <c r="L93" s="14" t="n"/>
      <c r="M93" s="14" t="n"/>
      <c r="N93" s="15">
        <f>IF(OR(A93="",N(L93)=0),"",M93/L93)</f>
        <v/>
      </c>
      <c r="O93" s="16">
        <f>IF(OR(A93="",N(M93)=0),"",C93/M93)</f>
        <v/>
      </c>
    </row>
    <row r="94">
      <c r="A94" s="8" t="n"/>
      <c r="B94" s="8" t="n"/>
      <c r="C94" s="9" t="n"/>
      <c r="D94" s="10" t="n"/>
      <c r="E94" s="11" t="n"/>
      <c r="F94" s="12" t="n"/>
      <c r="G94" s="9" t="n"/>
      <c r="H94" s="8" t="n"/>
      <c r="I94" s="13">
        <f>IF(A94="","",PV(F94/12,E94,-C94))</f>
        <v/>
      </c>
      <c r="J94" s="13">
        <f>IF(A94="","",I94*F94/12)</f>
        <v/>
      </c>
      <c r="K94" s="13">
        <f>IF(A94="","",I94/E94)</f>
        <v/>
      </c>
      <c r="L94" s="14" t="n"/>
      <c r="M94" s="14" t="n"/>
      <c r="N94" s="15">
        <f>IF(OR(A94="",N(L94)=0),"",M94/L94)</f>
        <v/>
      </c>
      <c r="O94" s="16">
        <f>IF(OR(A94="",N(M94)=0),"",C94/M94)</f>
        <v/>
      </c>
    </row>
    <row r="95">
      <c r="A95" s="8" t="n"/>
      <c r="B95" s="8" t="n"/>
      <c r="C95" s="9" t="n"/>
      <c r="D95" s="10" t="n"/>
      <c r="E95" s="11" t="n"/>
      <c r="F95" s="12" t="n"/>
      <c r="G95" s="9" t="n"/>
      <c r="H95" s="8" t="n"/>
      <c r="I95" s="13">
        <f>IF(A95="","",PV(F95/12,E95,-C95))</f>
        <v/>
      </c>
      <c r="J95" s="13">
        <f>IF(A95="","",I95*F95/12)</f>
        <v/>
      </c>
      <c r="K95" s="13">
        <f>IF(A95="","",I95/E95)</f>
        <v/>
      </c>
      <c r="L95" s="14" t="n"/>
      <c r="M95" s="14" t="n"/>
      <c r="N95" s="15">
        <f>IF(OR(A95="",N(L95)=0),"",M95/L95)</f>
        <v/>
      </c>
      <c r="O95" s="16">
        <f>IF(OR(A95="",N(M95)=0),"",C95/M95)</f>
        <v/>
      </c>
    </row>
    <row r="96">
      <c r="A96" s="8" t="n"/>
      <c r="B96" s="8" t="n"/>
      <c r="C96" s="9" t="n"/>
      <c r="D96" s="10" t="n"/>
      <c r="E96" s="11" t="n"/>
      <c r="F96" s="12" t="n"/>
      <c r="G96" s="9" t="n"/>
      <c r="H96" s="8" t="n"/>
      <c r="I96" s="13">
        <f>IF(A96="","",PV(F96/12,E96,-C96))</f>
        <v/>
      </c>
      <c r="J96" s="13">
        <f>IF(A96="","",I96*F96/12)</f>
        <v/>
      </c>
      <c r="K96" s="13">
        <f>IF(A96="","",I96/E96)</f>
        <v/>
      </c>
      <c r="L96" s="14" t="n"/>
      <c r="M96" s="14" t="n"/>
      <c r="N96" s="15">
        <f>IF(OR(A96="",N(L96)=0),"",M96/L96)</f>
        <v/>
      </c>
      <c r="O96" s="16">
        <f>IF(OR(A96="",N(M96)=0),"",C96/M96)</f>
        <v/>
      </c>
    </row>
    <row r="97">
      <c r="A97" s="8" t="n"/>
      <c r="B97" s="8" t="n"/>
      <c r="C97" s="9" t="n"/>
      <c r="D97" s="10" t="n"/>
      <c r="E97" s="11" t="n"/>
      <c r="F97" s="12" t="n"/>
      <c r="G97" s="9" t="n"/>
      <c r="H97" s="8" t="n"/>
      <c r="I97" s="13">
        <f>IF(A97="","",PV(F97/12,E97,-C97))</f>
        <v/>
      </c>
      <c r="J97" s="13">
        <f>IF(A97="","",I97*F97/12)</f>
        <v/>
      </c>
      <c r="K97" s="13">
        <f>IF(A97="","",I97/E97)</f>
        <v/>
      </c>
      <c r="L97" s="14" t="n"/>
      <c r="M97" s="14" t="n"/>
      <c r="N97" s="15">
        <f>IF(OR(A97="",N(L97)=0),"",M97/L97)</f>
        <v/>
      </c>
      <c r="O97" s="16">
        <f>IF(OR(A97="",N(M97)=0),"",C97/M97)</f>
        <v/>
      </c>
    </row>
    <row r="98">
      <c r="A98" s="8" t="n"/>
      <c r="B98" s="8" t="n"/>
      <c r="C98" s="9" t="n"/>
      <c r="D98" s="10" t="n"/>
      <c r="E98" s="11" t="n"/>
      <c r="F98" s="12" t="n"/>
      <c r="G98" s="9" t="n"/>
      <c r="H98" s="8" t="n"/>
      <c r="I98" s="13">
        <f>IF(A98="","",PV(F98/12,E98,-C98))</f>
        <v/>
      </c>
      <c r="J98" s="13">
        <f>IF(A98="","",I98*F98/12)</f>
        <v/>
      </c>
      <c r="K98" s="13">
        <f>IF(A98="","",I98/E98)</f>
        <v/>
      </c>
      <c r="L98" s="14" t="n"/>
      <c r="M98" s="14" t="n"/>
      <c r="N98" s="15">
        <f>IF(OR(A98="",N(L98)=0),"",M98/L98)</f>
        <v/>
      </c>
      <c r="O98" s="16">
        <f>IF(OR(A98="",N(M98)=0),"",C98/M98)</f>
        <v/>
      </c>
    </row>
    <row r="99">
      <c r="A99" s="8" t="n"/>
      <c r="B99" s="8" t="n"/>
      <c r="C99" s="9" t="n"/>
      <c r="D99" s="10" t="n"/>
      <c r="E99" s="11" t="n"/>
      <c r="F99" s="12" t="n"/>
      <c r="G99" s="9" t="n"/>
      <c r="H99" s="8" t="n"/>
      <c r="I99" s="13">
        <f>IF(A99="","",PV(F99/12,E99,-C99))</f>
        <v/>
      </c>
      <c r="J99" s="13">
        <f>IF(A99="","",I99*F99/12)</f>
        <v/>
      </c>
      <c r="K99" s="13">
        <f>IF(A99="","",I99/E99)</f>
        <v/>
      </c>
      <c r="L99" s="14" t="n"/>
      <c r="M99" s="14" t="n"/>
      <c r="N99" s="15">
        <f>IF(OR(A99="",N(L99)=0),"",M99/L99)</f>
        <v/>
      </c>
      <c r="O99" s="16">
        <f>IF(OR(A99="",N(M99)=0),"",C99/M99)</f>
        <v/>
      </c>
    </row>
    <row r="100">
      <c r="A100" s="8" t="n"/>
      <c r="B100" s="8" t="n"/>
      <c r="C100" s="9" t="n"/>
      <c r="D100" s="10" t="n"/>
      <c r="E100" s="11" t="n"/>
      <c r="F100" s="12" t="n"/>
      <c r="G100" s="9" t="n"/>
      <c r="H100" s="8" t="n"/>
      <c r="I100" s="13">
        <f>IF(A100="","",PV(F100/12,E100,-C100))</f>
        <v/>
      </c>
      <c r="J100" s="13">
        <f>IF(A100="","",I100*F100/12)</f>
        <v/>
      </c>
      <c r="K100" s="13">
        <f>IF(A100="","",I100/E100)</f>
        <v/>
      </c>
      <c r="L100" s="14" t="n"/>
      <c r="M100" s="14" t="n"/>
      <c r="N100" s="15">
        <f>IF(OR(A100="",N(L100)=0),"",M100/L100)</f>
        <v/>
      </c>
      <c r="O100" s="16">
        <f>IF(OR(A100="",N(M100)=0),"",C100/M100)</f>
        <v/>
      </c>
    </row>
    <row r="101">
      <c r="A101" s="8" t="n"/>
      <c r="B101" s="8" t="n"/>
      <c r="C101" s="9" t="n"/>
      <c r="D101" s="10" t="n"/>
      <c r="E101" s="11" t="n"/>
      <c r="F101" s="12" t="n"/>
      <c r="G101" s="9" t="n"/>
      <c r="H101" s="8" t="n"/>
      <c r="I101" s="13">
        <f>IF(A101="","",PV(F101/12,E101,-C101))</f>
        <v/>
      </c>
      <c r="J101" s="13">
        <f>IF(A101="","",I101*F101/12)</f>
        <v/>
      </c>
      <c r="K101" s="13">
        <f>IF(A101="","",I101/E101)</f>
        <v/>
      </c>
      <c r="L101" s="14" t="n"/>
      <c r="M101" s="14" t="n"/>
      <c r="N101" s="15">
        <f>IF(OR(A101="",N(L101)=0),"",M101/L101)</f>
        <v/>
      </c>
      <c r="O101" s="16">
        <f>IF(OR(A101="",N(M101)=0),"",C101/M101)</f>
        <v/>
      </c>
    </row>
    <row r="102">
      <c r="A102" s="8" t="n"/>
      <c r="B102" s="8" t="n"/>
      <c r="C102" s="9" t="n"/>
      <c r="D102" s="10" t="n"/>
      <c r="E102" s="11" t="n"/>
      <c r="F102" s="12" t="n"/>
      <c r="G102" s="9" t="n"/>
      <c r="H102" s="8" t="n"/>
      <c r="I102" s="13">
        <f>IF(A102="","",PV(F102/12,E102,-C102))</f>
        <v/>
      </c>
      <c r="J102" s="13">
        <f>IF(A102="","",I102*F102/12)</f>
        <v/>
      </c>
      <c r="K102" s="13">
        <f>IF(A102="","",I102/E102)</f>
        <v/>
      </c>
      <c r="L102" s="14" t="n"/>
      <c r="M102" s="14" t="n"/>
      <c r="N102" s="15">
        <f>IF(OR(A102="",N(L102)=0),"",M102/L102)</f>
        <v/>
      </c>
      <c r="O102" s="16">
        <f>IF(OR(A102="",N(M102)=0),"",C102/M102)</f>
        <v/>
      </c>
    </row>
    <row r="103">
      <c r="A103" s="8" t="n"/>
      <c r="B103" s="8" t="n"/>
      <c r="C103" s="9" t="n"/>
      <c r="D103" s="10" t="n"/>
      <c r="E103" s="11" t="n"/>
      <c r="F103" s="12" t="n"/>
      <c r="G103" s="9" t="n"/>
      <c r="H103" s="8" t="n"/>
      <c r="I103" s="13">
        <f>IF(A103="","",PV(F103/12,E103,-C103))</f>
        <v/>
      </c>
      <c r="J103" s="13">
        <f>IF(A103="","",I103*F103/12)</f>
        <v/>
      </c>
      <c r="K103" s="13">
        <f>IF(A103="","",I103/E103)</f>
        <v/>
      </c>
      <c r="L103" s="14" t="n"/>
      <c r="M103" s="14" t="n"/>
      <c r="N103" s="15">
        <f>IF(OR(A103="",N(L103)=0),"",M103/L103)</f>
        <v/>
      </c>
      <c r="O103" s="16">
        <f>IF(OR(A103="",N(M103)=0),"",C103/M103)</f>
        <v/>
      </c>
    </row>
    <row r="104">
      <c r="A104" s="8" t="n"/>
      <c r="B104" s="8" t="n"/>
      <c r="C104" s="9" t="n"/>
      <c r="D104" s="10" t="n"/>
      <c r="E104" s="11" t="n"/>
      <c r="F104" s="12" t="n"/>
      <c r="G104" s="9" t="n"/>
      <c r="H104" s="8" t="n"/>
      <c r="I104" s="13">
        <f>IF(A104="","",PV(F104/12,E104,-C104))</f>
        <v/>
      </c>
      <c r="J104" s="13">
        <f>IF(A104="","",I104*F104/12)</f>
        <v/>
      </c>
      <c r="K104" s="13">
        <f>IF(A104="","",I104/E104)</f>
        <v/>
      </c>
      <c r="L104" s="14" t="n"/>
      <c r="M104" s="14" t="n"/>
      <c r="N104" s="15">
        <f>IF(OR(A104="",N(L104)=0),"",M104/L104)</f>
        <v/>
      </c>
      <c r="O104" s="16">
        <f>IF(OR(A104="",N(M104)=0),"",C104/M104)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Feeds K01 opex 'Rent &amp; facilities' (cash basis) and K02 monthly rent flows</t>
        </is>
      </c>
    </row>
    <row r="2"/>
    <row r="3"/>
    <row r="4">
      <c r="A4" t="inlineStr">
        <is>
          <t>total monthly rent (cash) -&gt; K01 fixed opex</t>
        </is>
      </c>
      <c r="B4" s="17">
        <f>SUM(Leases!C5:C104)</f>
        <v/>
      </c>
    </row>
    <row r="5">
      <c r="A5" t="inlineStr">
        <is>
          <t>total lease liability</t>
        </is>
      </c>
      <c r="B5" s="17">
        <f>SUM(Leases!I5:I104)</f>
        <v/>
      </c>
    </row>
    <row r="6">
      <c r="A6" t="inlineStr">
        <is>
          <t>leases not registered</t>
        </is>
      </c>
      <c r="B6" s="18">
        <f>COUNTIF(Leases!H5:H104,"n")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2026-10-18T16:52:47Z</dcterms:created>
  <dcterms:modified xmlns:dcterms="http://purl.org/dc/terms/" xmlns:xsi="http://www.w3.org/2001/XMLSchema-instance" xsi:type="dcterms:W3CDTF">2026-10-18T16:52:47Z</dcterms:modified>
</cp:coreProperties>
</file>